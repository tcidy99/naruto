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1E62C6A4-2ABF-4E33-9ABC-D6E8D72318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02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C2" i="12" l="1"/>
  <c r="F20" i="12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<sst xmlns="http://schemas.openxmlformats.org/spreadsheetml/2006/main" count="2377" uniqueCount="81">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</sst>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47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7" fillId="0" borderId="0" xfId="0" applyFont="1" applyFill="1" applyBorder="1"/>
    <xf numFmtId="0" fontId="7" fillId="3" borderId="0" xfId="0" applyFont="1" applyFill="1" applyBorder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14" fillId="0" borderId="0" xfId="0" applyFont="1" applyBorder="1"/>
    <xf numFmtId="0" fontId="0" fillId="0" borderId="0" xfId="0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6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4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4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5" borderId="13" xfId="0" applyFont="1" applyFill="1" applyBorder="1"/>
    <xf numFmtId="0" fontId="13" fillId="26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7" borderId="0" xfId="0" applyFont="1" applyFill="1" applyBorder="1"/>
    <xf numFmtId="0" fontId="18" fillId="27" borderId="0" xfId="1" applyFont="1" applyFill="1" applyBorder="1"/>
    <xf numFmtId="0" fontId="18" fillId="28" borderId="0" xfId="1" applyFont="1" applyFill="1" applyBorder="1"/>
    <xf numFmtId="0" fontId="13" fillId="0" borderId="13" xfId="0" applyFont="1" applyFill="1" applyBorder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2" fillId="17" borderId="0" xfId="0" applyNumberFormat="1" applyFont="1" applyFill="1"/>
    <xf numFmtId="0" fontId="2" fillId="3" borderId="0" xfId="0" applyFont="1" applyFill="1"/>
    <xf numFmtId="0" fontId="2" fillId="18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2" fillId="10" borderId="15" xfId="0" applyFont="1" applyFill="1" applyBorder="1"/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14" fontId="2" fillId="21" borderId="0" xfId="0" applyNumberFormat="1" applyFont="1" applyFill="1"/>
    <xf numFmtId="0" fontId="6" fillId="22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2" borderId="2" xfId="0" applyFont="1" applyFill="1" applyBorder="1" applyAlignment="1"/>
    <xf numFmtId="0" fontId="0" fillId="22" borderId="5" xfId="0" applyFill="1" applyBorder="1"/>
    <xf numFmtId="0" fontId="22" fillId="3" borderId="0" xfId="0" applyFont="1" applyFill="1"/>
    <xf numFmtId="0" fontId="23" fillId="3" borderId="0" xfId="0" applyFont="1" applyFill="1"/>
    <xf numFmtId="0" fontId="1" fillId="0" borderId="0" xfId="0" applyFont="1"/>
    <xf numFmtId="0" fontId="1" fillId="22" borderId="0" xfId="0" applyFont="1" applyFill="1"/>
    <xf numFmtId="0" fontId="0" fillId="22" borderId="0" xfId="0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" fillId="10" borderId="0" xfId="0" applyFont="1" applyFill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Normal="100" workbookViewId="0">
      <pane ySplit="3" topLeftCell="A27" activePane="bottomLeft" state="frozen"/>
      <selection activeCell="AO32" sqref="AO32"/>
      <selection pane="bottomLeft" activeCell="M27" sqref="M27"/>
    </sheetView>
  </sheetViews>
  <sheetFormatPr defaultColWidth="9" defaultRowHeight="14.4"/>
  <cols>
    <col min="1" max="1" width="11.88671875" customWidth="1"/>
    <col min="2" max="2" width="8.5546875" customWidth="1"/>
    <col min="3" max="3" width="7.66406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 thickBot="1">
      <c r="A1" s="118">
        <f ca="1">(_xlfn.DAYS(TODAY(),A4)+2)/((_xlfn.DAYS(A93,A4))+1)</f>
        <v>2.2222222222222223E-2</v>
      </c>
      <c r="B1" s="119"/>
      <c r="C1" s="119"/>
      <c r="D1" s="119"/>
      <c r="E1" s="119"/>
      <c r="F1" s="119"/>
      <c r="G1" s="119"/>
      <c r="H1" s="120"/>
      <c r="I1" s="121" t="s">
        <v>0</v>
      </c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3"/>
      <c r="AH1" s="19"/>
      <c r="AI1" s="19"/>
      <c r="AJ1" s="19"/>
      <c r="AO1" s="116"/>
      <c r="AP1" s="116"/>
      <c r="AQ1" s="116"/>
      <c r="AR1" s="40"/>
    </row>
    <row r="2" spans="1:57" ht="16.2" customHeight="1" thickBot="1">
      <c r="A2" s="54"/>
      <c r="B2" s="46" t="s">
        <v>60</v>
      </c>
      <c r="C2" s="83">
        <f>SUM(D4:D19)</f>
        <v>30028</v>
      </c>
      <c r="D2" s="124" t="s">
        <v>1</v>
      </c>
      <c r="E2" s="125"/>
      <c r="F2" s="126">
        <f>SUM(F4:F93)+SUM(H4:H93)</f>
        <v>25790</v>
      </c>
      <c r="G2" s="126"/>
      <c r="H2" s="127"/>
      <c r="I2" s="128" t="s">
        <v>2</v>
      </c>
      <c r="J2" s="129"/>
      <c r="K2" s="51" t="s">
        <v>3</v>
      </c>
      <c r="L2" s="51">
        <f>COUNTIF(I4:P93,"&lt;&gt;空")</f>
        <v>6</v>
      </c>
      <c r="M2" s="129" t="s">
        <v>4</v>
      </c>
      <c r="N2" s="129"/>
      <c r="O2" s="129"/>
      <c r="P2" s="130"/>
      <c r="Q2" s="131" t="s">
        <v>5</v>
      </c>
      <c r="R2" s="132"/>
      <c r="S2" s="96" t="s">
        <v>3</v>
      </c>
      <c r="T2" s="96">
        <f>COUNTIF(Q4:X93,"&lt;&gt;空")</f>
        <v>184</v>
      </c>
      <c r="U2" s="132" t="s">
        <v>4</v>
      </c>
      <c r="V2" s="132"/>
      <c r="W2" s="132"/>
      <c r="X2" s="133"/>
      <c r="Y2" s="134" t="s">
        <v>6</v>
      </c>
      <c r="Z2" s="135"/>
      <c r="AA2" s="97" t="s">
        <v>7</v>
      </c>
      <c r="AB2" s="95">
        <f>COUNTIF(Y4:AF93,"&lt;&gt;空")</f>
        <v>138</v>
      </c>
      <c r="AC2" s="135" t="s">
        <v>4</v>
      </c>
      <c r="AD2" s="135"/>
      <c r="AE2" s="135"/>
      <c r="AF2" s="136"/>
      <c r="AG2" s="34">
        <f>SUM(AG4:AG93)</f>
        <v>36</v>
      </c>
      <c r="AH2" s="34">
        <f>SUM(AH4:AH93)</f>
        <v>1</v>
      </c>
      <c r="AI2" s="34">
        <f>SUM(AI4:AI93)</f>
        <v>26</v>
      </c>
      <c r="AJ2" s="18">
        <f>SUM(AJ4:AJ93)</f>
        <v>9</v>
      </c>
      <c r="AK2" s="113" t="s">
        <v>8</v>
      </c>
      <c r="AO2" s="117"/>
      <c r="AP2" s="117"/>
      <c r="AQ2" s="117"/>
      <c r="AR2" s="44"/>
      <c r="AU2" t="s">
        <v>27</v>
      </c>
      <c r="AV2">
        <f>SUM(AV4:AV29)</f>
        <v>328</v>
      </c>
      <c r="AW2" s="101" t="s">
        <v>13</v>
      </c>
      <c r="AX2">
        <f>AR47</f>
        <v>-158</v>
      </c>
      <c r="AY2" t="s">
        <v>56</v>
      </c>
      <c r="AZ2" s="28">
        <f>SUM(AX4:AZ29)+7000</f>
        <v>25790</v>
      </c>
      <c r="BA2" s="21"/>
      <c r="BB2" s="29" t="s">
        <v>9</v>
      </c>
    </row>
    <row r="3" spans="1:57" ht="31.5" customHeight="1" thickBot="1">
      <c r="A3" s="14" t="s">
        <v>10</v>
      </c>
      <c r="B3" s="15" t="s">
        <v>11</v>
      </c>
      <c r="C3" s="50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9" t="s">
        <v>16</v>
      </c>
      <c r="I3" s="52">
        <v>1</v>
      </c>
      <c r="J3" s="53">
        <v>2</v>
      </c>
      <c r="K3" s="53">
        <v>3</v>
      </c>
      <c r="L3" s="53">
        <v>4</v>
      </c>
      <c r="M3" s="53">
        <v>5</v>
      </c>
      <c r="N3" s="53">
        <v>6</v>
      </c>
      <c r="O3" s="53">
        <v>7</v>
      </c>
      <c r="P3" s="53">
        <v>8</v>
      </c>
      <c r="Q3" s="57">
        <v>1</v>
      </c>
      <c r="R3" s="58">
        <v>2</v>
      </c>
      <c r="S3" s="58">
        <v>3</v>
      </c>
      <c r="T3" s="58">
        <v>4</v>
      </c>
      <c r="U3" s="58">
        <v>5</v>
      </c>
      <c r="V3" s="58">
        <v>6</v>
      </c>
      <c r="W3" s="58">
        <v>7</v>
      </c>
      <c r="X3" s="58">
        <v>8</v>
      </c>
      <c r="Y3" s="55">
        <v>1</v>
      </c>
      <c r="Z3" s="56">
        <v>2</v>
      </c>
      <c r="AA3" s="56">
        <v>3</v>
      </c>
      <c r="AB3" s="56">
        <v>4</v>
      </c>
      <c r="AC3" s="56">
        <v>5</v>
      </c>
      <c r="AD3" s="56">
        <v>6</v>
      </c>
      <c r="AE3" s="56">
        <v>7</v>
      </c>
      <c r="AF3" s="98">
        <v>8</v>
      </c>
      <c r="AG3" s="35" t="s">
        <v>17</v>
      </c>
      <c r="AH3" s="111" t="s">
        <v>18</v>
      </c>
      <c r="AI3" s="36" t="s">
        <v>19</v>
      </c>
      <c r="AJ3" s="110" t="s">
        <v>20</v>
      </c>
      <c r="AK3" s="114"/>
      <c r="AL3" s="106" t="s">
        <v>78</v>
      </c>
      <c r="AM3" s="107" t="s">
        <v>79</v>
      </c>
      <c r="AN3" s="108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30">
        <v>1</v>
      </c>
    </row>
    <row r="4" spans="1:57" s="31" customFormat="1" ht="15" thickBot="1">
      <c r="A4" s="85">
        <v>45730</v>
      </c>
      <c r="B4" s="86">
        <v>800</v>
      </c>
      <c r="C4" s="87">
        <v>4800</v>
      </c>
      <c r="D4" s="86">
        <f>(SUM(粮草!A4:X4)+AG4*10*IF(AK4="是",$BB$4,$BB$3))</f>
        <v>2600</v>
      </c>
      <c r="E4" s="100">
        <f>SUM($B$4:B4)+SUM($C$4:C4)-SUM($D$4:D4)</f>
        <v>3000</v>
      </c>
      <c r="F4" s="99">
        <f>SUM(经验!A4:X4)</f>
        <v>625</v>
      </c>
      <c r="G4" s="86">
        <f>SUM($F$4:F4)+SUM($H$4:H4)</f>
        <v>1125</v>
      </c>
      <c r="H4" s="86">
        <v>500</v>
      </c>
      <c r="I4" s="59" t="s">
        <v>32</v>
      </c>
      <c r="J4" s="59" t="s">
        <v>32</v>
      </c>
      <c r="K4" s="59" t="s">
        <v>32</v>
      </c>
      <c r="L4" s="59" t="s">
        <v>32</v>
      </c>
      <c r="M4" s="59" t="s">
        <v>32</v>
      </c>
      <c r="N4" s="59" t="s">
        <v>32</v>
      </c>
      <c r="O4" s="89" t="s">
        <v>33</v>
      </c>
      <c r="P4" s="89" t="s">
        <v>33</v>
      </c>
      <c r="Q4" s="59" t="s">
        <v>32</v>
      </c>
      <c r="R4" s="59" t="s">
        <v>32</v>
      </c>
      <c r="S4" s="59" t="s">
        <v>32</v>
      </c>
      <c r="T4" s="59" t="s">
        <v>32</v>
      </c>
      <c r="U4" s="59" t="s">
        <v>32</v>
      </c>
      <c r="V4" s="59" t="s">
        <v>32</v>
      </c>
      <c r="W4" s="89" t="s">
        <v>33</v>
      </c>
      <c r="X4" s="89" t="s">
        <v>33</v>
      </c>
      <c r="Y4" s="69" t="s">
        <v>38</v>
      </c>
      <c r="Z4" s="59" t="s">
        <v>32</v>
      </c>
      <c r="AA4" s="59" t="s">
        <v>32</v>
      </c>
      <c r="AB4" s="59" t="s">
        <v>32</v>
      </c>
      <c r="AC4" s="59" t="s">
        <v>32</v>
      </c>
      <c r="AD4" s="59" t="s">
        <v>32</v>
      </c>
      <c r="AE4" s="89" t="s">
        <v>33</v>
      </c>
      <c r="AF4" s="89" t="s">
        <v>33</v>
      </c>
      <c r="AG4" s="90">
        <f>AH4+AI4+AJ4</f>
        <v>0</v>
      </c>
      <c r="AH4" s="90"/>
      <c r="AI4" s="90"/>
      <c r="AJ4" s="90"/>
      <c r="AK4" s="91" t="s">
        <v>34</v>
      </c>
      <c r="AL4" s="109">
        <f>6-COUNTIF(I4:P4,"&lt;&gt;空")</f>
        <v>0</v>
      </c>
      <c r="AM4" s="109">
        <f>6-COUNTIF(Q4:X4,"&lt;&gt;空")</f>
        <v>0</v>
      </c>
      <c r="AN4" s="109">
        <f>6-COUNTIF(Y4:AF4,"&lt;&gt;空")</f>
        <v>0</v>
      </c>
      <c r="AO4" s="59" t="s">
        <v>32</v>
      </c>
      <c r="AP4" s="20">
        <v>150</v>
      </c>
      <c r="AQ4" s="20">
        <v>35</v>
      </c>
      <c r="AR4" s="38">
        <v>44.222109392472248</v>
      </c>
      <c r="AS4" s="38">
        <f t="shared" ref="AS4:AS26" si="0">COUNTIF($I$4:$P$93,AO4)</f>
        <v>6</v>
      </c>
      <c r="AT4" s="38">
        <f t="shared" ref="AT4:AT26" si="1">COUNTIF($Q$4:$X$93,AO4)</f>
        <v>6</v>
      </c>
      <c r="AU4" s="38">
        <f t="shared" ref="AU4:AU26" si="2">COUNTIF($Y$4:$AF$93,AO4)</f>
        <v>13</v>
      </c>
      <c r="AV4" s="104">
        <f>AS4+AT4+AU4</f>
        <v>25</v>
      </c>
      <c r="AW4" s="39">
        <v>30</v>
      </c>
      <c r="AX4" s="39">
        <f t="shared" ref="AX4:AX26" si="3">AS4*$AQ4</f>
        <v>210</v>
      </c>
      <c r="AY4" s="39">
        <f t="shared" ref="AY4:AZ19" si="4">AT4*$AQ4</f>
        <v>210</v>
      </c>
      <c r="AZ4" s="39">
        <f t="shared" si="4"/>
        <v>455</v>
      </c>
      <c r="BA4" s="32" t="s">
        <v>35</v>
      </c>
      <c r="BB4" s="33">
        <v>0.8</v>
      </c>
      <c r="BD4" s="37">
        <f t="shared" ref="BD4:BD26" si="5">AP4*0.8</f>
        <v>120</v>
      </c>
    </row>
    <row r="5" spans="1:57" s="31" customFormat="1">
      <c r="A5" s="85">
        <v>45731</v>
      </c>
      <c r="B5" s="86">
        <v>1600</v>
      </c>
      <c r="C5" s="146">
        <v>1250</v>
      </c>
      <c r="D5" s="86">
        <f>(SUM(粮草!A5:X5)+AG5*10*IF(AK5="是",$BB$4,$BB$3))</f>
        <v>1780</v>
      </c>
      <c r="E5" s="100">
        <f>SUM($B$4:B5)+SUM($C$4:C5)-SUM($D$4:D5)</f>
        <v>4070</v>
      </c>
      <c r="F5" s="99">
        <f>SUM(经验!A5:X5)</f>
        <v>450</v>
      </c>
      <c r="G5" s="86">
        <f>SUM($F$4:F5)+SUM($H$4:H5)</f>
        <v>1575</v>
      </c>
      <c r="H5" s="86">
        <v>0</v>
      </c>
      <c r="I5" s="88" t="s">
        <v>33</v>
      </c>
      <c r="J5" s="88" t="s">
        <v>33</v>
      </c>
      <c r="K5" s="88" t="s">
        <v>33</v>
      </c>
      <c r="L5" s="88" t="s">
        <v>33</v>
      </c>
      <c r="M5" s="88" t="s">
        <v>33</v>
      </c>
      <c r="N5" s="88" t="s">
        <v>33</v>
      </c>
      <c r="O5" s="89" t="s">
        <v>33</v>
      </c>
      <c r="P5" s="89" t="s">
        <v>33</v>
      </c>
      <c r="Q5" s="60" t="s">
        <v>36</v>
      </c>
      <c r="R5" s="60" t="s">
        <v>36</v>
      </c>
      <c r="S5" s="60" t="s">
        <v>36</v>
      </c>
      <c r="T5" s="69" t="s">
        <v>38</v>
      </c>
      <c r="U5" s="60" t="s">
        <v>36</v>
      </c>
      <c r="V5" s="60" t="s">
        <v>36</v>
      </c>
      <c r="W5" s="89" t="s">
        <v>33</v>
      </c>
      <c r="X5" s="89" t="s">
        <v>33</v>
      </c>
      <c r="Y5" s="59" t="s">
        <v>32</v>
      </c>
      <c r="Z5" s="59" t="s">
        <v>32</v>
      </c>
      <c r="AA5" s="59" t="s">
        <v>32</v>
      </c>
      <c r="AB5" s="59" t="s">
        <v>32</v>
      </c>
      <c r="AC5" s="60" t="s">
        <v>36</v>
      </c>
      <c r="AD5" s="60" t="s">
        <v>36</v>
      </c>
      <c r="AE5" s="89" t="s">
        <v>33</v>
      </c>
      <c r="AF5" s="89" t="s">
        <v>33</v>
      </c>
      <c r="AG5" s="90">
        <f t="shared" ref="AG5:AG68" si="6">AH5+AI5+AJ5</f>
        <v>1</v>
      </c>
      <c r="AH5" s="90"/>
      <c r="AI5" s="90">
        <v>1</v>
      </c>
      <c r="AJ5" s="90"/>
      <c r="AK5" s="91" t="s">
        <v>34</v>
      </c>
      <c r="AL5" s="109">
        <f>MIN(AL4+6,18)-COUNTIF(I5:P5,"&lt;&gt;空")+COUNTIF(I5:P5,"历练")+COUNTIF(I5:P5,"营地")*2</f>
        <v>6</v>
      </c>
      <c r="AM5" s="109">
        <f t="shared" ref="AM5:AM36" si="7">MIN(AM4+6,18)-COUNTIF(Q5:X5,"&lt;&gt;空")+COUNTIF(Q5:X5,"历练")+COUNTIF(Q5:X5,"营地")*2</f>
        <v>0</v>
      </c>
      <c r="AN5" s="109">
        <f t="shared" ref="AN5:AN36" si="8">MIN(AN4+6,18)-COUNTIF(Y5:AF5,"&lt;&gt;空")+COUNTIF(Y5:AF5,"历练")+COUNTIF(Y5:AF5,"营地")*2</f>
        <v>0</v>
      </c>
      <c r="AO5" s="60" t="s">
        <v>36</v>
      </c>
      <c r="AP5" s="20">
        <v>160</v>
      </c>
      <c r="AQ5" s="20">
        <v>40</v>
      </c>
      <c r="AR5" s="38">
        <v>39.110982162825422</v>
      </c>
      <c r="AS5" s="38">
        <f t="shared" si="0"/>
        <v>0</v>
      </c>
      <c r="AT5" s="38">
        <f t="shared" si="1"/>
        <v>15</v>
      </c>
      <c r="AU5" s="38">
        <f t="shared" si="2"/>
        <v>11</v>
      </c>
      <c r="AV5" s="104">
        <f t="shared" ref="AV5:AV26" si="9">AS5+AT5+AU5</f>
        <v>26</v>
      </c>
      <c r="AW5" s="39">
        <v>54</v>
      </c>
      <c r="AX5" s="39">
        <f t="shared" si="3"/>
        <v>0</v>
      </c>
      <c r="AY5" s="39">
        <f t="shared" si="4"/>
        <v>600</v>
      </c>
      <c r="AZ5" s="39">
        <f t="shared" si="4"/>
        <v>440</v>
      </c>
      <c r="BA5" s="115" t="s">
        <v>37</v>
      </c>
      <c r="BB5" s="115"/>
      <c r="BD5" s="37">
        <f t="shared" si="5"/>
        <v>128</v>
      </c>
    </row>
    <row r="6" spans="1:57" s="31" customFormat="1">
      <c r="A6" s="85">
        <v>45732</v>
      </c>
      <c r="B6" s="86">
        <v>1600</v>
      </c>
      <c r="C6" s="87"/>
      <c r="D6" s="86">
        <f>(SUM(粮草!A6:X6)+AG6*10*IF(AK6="是",$BB$4,$BB$3))</f>
        <v>1920</v>
      </c>
      <c r="E6" s="100">
        <f>SUM($B$4:B6)+SUM($C$4:C6)-SUM($D$4:D6)</f>
        <v>3750</v>
      </c>
      <c r="F6" s="99">
        <f>SUM(经验!A6:X6)</f>
        <v>480</v>
      </c>
      <c r="G6" s="86">
        <f>SUM($F$4:F6)+SUM($H$4:H6)</f>
        <v>2055</v>
      </c>
      <c r="H6" s="86">
        <v>0</v>
      </c>
      <c r="I6" s="88" t="s">
        <v>33</v>
      </c>
      <c r="J6" s="88" t="s">
        <v>33</v>
      </c>
      <c r="K6" s="88" t="s">
        <v>33</v>
      </c>
      <c r="L6" s="88" t="s">
        <v>33</v>
      </c>
      <c r="M6" s="88" t="s">
        <v>33</v>
      </c>
      <c r="N6" s="88" t="s">
        <v>33</v>
      </c>
      <c r="O6" s="89" t="s">
        <v>33</v>
      </c>
      <c r="P6" s="89" t="s">
        <v>33</v>
      </c>
      <c r="Q6" s="60" t="s">
        <v>36</v>
      </c>
      <c r="R6" s="60" t="s">
        <v>36</v>
      </c>
      <c r="S6" s="60" t="s">
        <v>36</v>
      </c>
      <c r="T6" s="60" t="s">
        <v>36</v>
      </c>
      <c r="U6" s="60" t="s">
        <v>36</v>
      </c>
      <c r="V6" s="60" t="s">
        <v>36</v>
      </c>
      <c r="W6" s="89" t="s">
        <v>33</v>
      </c>
      <c r="X6" s="89" t="s">
        <v>33</v>
      </c>
      <c r="Y6" s="60" t="s">
        <v>36</v>
      </c>
      <c r="Z6" s="60" t="s">
        <v>36</v>
      </c>
      <c r="AA6" s="60" t="s">
        <v>36</v>
      </c>
      <c r="AB6" s="60" t="s">
        <v>36</v>
      </c>
      <c r="AC6" s="60" t="s">
        <v>36</v>
      </c>
      <c r="AD6" s="60" t="s">
        <v>36</v>
      </c>
      <c r="AE6" s="89" t="s">
        <v>33</v>
      </c>
      <c r="AF6" s="89" t="s">
        <v>33</v>
      </c>
      <c r="AG6" s="90">
        <f t="shared" si="6"/>
        <v>0</v>
      </c>
      <c r="AH6" s="90"/>
      <c r="AI6" s="90"/>
      <c r="AJ6" s="90"/>
      <c r="AK6" s="91" t="s">
        <v>34</v>
      </c>
      <c r="AL6" s="109">
        <f t="shared" ref="AL6:AL36" si="10">MIN(AL5+6,18)-COUNTIF(I6:P6,"&lt;&gt;空")+COUNTIF(I6:P6,"历练")+COUNTIF(I6:P6,"营地")*2</f>
        <v>12</v>
      </c>
      <c r="AM6" s="109">
        <f t="shared" si="7"/>
        <v>0</v>
      </c>
      <c r="AN6" s="109">
        <f t="shared" si="8"/>
        <v>0</v>
      </c>
      <c r="AO6" s="61" t="s">
        <v>39</v>
      </c>
      <c r="AP6" s="20">
        <v>170</v>
      </c>
      <c r="AQ6" s="20">
        <v>45</v>
      </c>
      <c r="AR6" s="38">
        <v>34</v>
      </c>
      <c r="AS6" s="38">
        <f t="shared" si="0"/>
        <v>0</v>
      </c>
      <c r="AT6" s="38">
        <f t="shared" si="1"/>
        <v>54</v>
      </c>
      <c r="AU6" s="38">
        <f t="shared" si="2"/>
        <v>35</v>
      </c>
      <c r="AV6" s="104">
        <f t="shared" si="9"/>
        <v>89</v>
      </c>
      <c r="AW6" s="39">
        <v>180</v>
      </c>
      <c r="AX6" s="39">
        <f t="shared" si="3"/>
        <v>0</v>
      </c>
      <c r="AY6" s="39">
        <f t="shared" si="4"/>
        <v>2430</v>
      </c>
      <c r="AZ6" s="39">
        <f t="shared" si="4"/>
        <v>1575</v>
      </c>
      <c r="BA6" s="116"/>
      <c r="BB6" s="116"/>
      <c r="BD6" s="37">
        <f t="shared" si="5"/>
        <v>136</v>
      </c>
    </row>
    <row r="7" spans="1:57">
      <c r="A7" s="85">
        <v>45733</v>
      </c>
      <c r="B7" s="88">
        <v>1600</v>
      </c>
      <c r="C7" s="88"/>
      <c r="D7" s="86">
        <f>(SUM(粮草!A7:X7)+AG7*10*IF(AK7="是",$BB$4,$BB$3))</f>
        <v>1690</v>
      </c>
      <c r="E7" s="100">
        <f>SUM($B$4:B7)+SUM($C$4:C7)-SUM($D$4:D7)</f>
        <v>3660</v>
      </c>
      <c r="F7" s="99">
        <f>SUM(经验!A7:X7)</f>
        <v>1000</v>
      </c>
      <c r="G7" s="86">
        <f>SUM($F$4:F7)+SUM($H$4:H7)</f>
        <v>3255</v>
      </c>
      <c r="H7" s="88">
        <v>200</v>
      </c>
      <c r="I7" s="88" t="s">
        <v>33</v>
      </c>
      <c r="J7" s="88" t="s">
        <v>33</v>
      </c>
      <c r="K7" s="88" t="s">
        <v>33</v>
      </c>
      <c r="L7" s="88" t="s">
        <v>33</v>
      </c>
      <c r="M7" s="88" t="s">
        <v>33</v>
      </c>
      <c r="N7" s="88" t="s">
        <v>33</v>
      </c>
      <c r="O7" s="89" t="s">
        <v>33</v>
      </c>
      <c r="P7" s="89" t="s">
        <v>33</v>
      </c>
      <c r="Q7" s="60" t="s">
        <v>36</v>
      </c>
      <c r="R7" s="47" t="s">
        <v>61</v>
      </c>
      <c r="S7" s="60" t="s">
        <v>36</v>
      </c>
      <c r="T7" s="60" t="s">
        <v>36</v>
      </c>
      <c r="U7" s="70" t="s">
        <v>45</v>
      </c>
      <c r="V7" s="60" t="s">
        <v>36</v>
      </c>
      <c r="W7" s="62" t="s">
        <v>41</v>
      </c>
      <c r="X7" s="62" t="s">
        <v>41</v>
      </c>
      <c r="Y7" s="59" t="s">
        <v>32</v>
      </c>
      <c r="Z7" s="60" t="s">
        <v>36</v>
      </c>
      <c r="AA7" s="60" t="s">
        <v>36</v>
      </c>
      <c r="AB7" s="69" t="s">
        <v>38</v>
      </c>
      <c r="AC7" s="60" t="s">
        <v>36</v>
      </c>
      <c r="AD7" s="59" t="s">
        <v>32</v>
      </c>
      <c r="AE7" s="89" t="s">
        <v>33</v>
      </c>
      <c r="AF7" s="89" t="s">
        <v>33</v>
      </c>
      <c r="AG7" s="90">
        <f t="shared" si="6"/>
        <v>6</v>
      </c>
      <c r="AH7" s="90"/>
      <c r="AI7" s="90">
        <v>6</v>
      </c>
      <c r="AJ7" s="90"/>
      <c r="AK7" s="91" t="s">
        <v>34</v>
      </c>
      <c r="AL7" s="109">
        <f t="shared" si="10"/>
        <v>18</v>
      </c>
      <c r="AM7" s="109">
        <f t="shared" si="7"/>
        <v>1</v>
      </c>
      <c r="AN7" s="109">
        <f t="shared" si="8"/>
        <v>0</v>
      </c>
      <c r="AO7" s="62" t="s">
        <v>41</v>
      </c>
      <c r="AP7" s="20">
        <v>180</v>
      </c>
      <c r="AQ7" s="20">
        <v>50</v>
      </c>
      <c r="AR7" s="20">
        <v>36</v>
      </c>
      <c r="AS7" s="20">
        <f t="shared" si="0"/>
        <v>0</v>
      </c>
      <c r="AT7" s="20">
        <f t="shared" si="1"/>
        <v>4</v>
      </c>
      <c r="AU7" s="20">
        <f t="shared" si="2"/>
        <v>39</v>
      </c>
      <c r="AV7" s="105">
        <f t="shared" si="9"/>
        <v>43</v>
      </c>
      <c r="AW7" s="27">
        <v>104</v>
      </c>
      <c r="AX7" s="27">
        <f t="shared" si="3"/>
        <v>0</v>
      </c>
      <c r="AY7" s="27">
        <f t="shared" si="4"/>
        <v>200</v>
      </c>
      <c r="AZ7" s="27">
        <f t="shared" si="4"/>
        <v>1950</v>
      </c>
      <c r="BA7" s="116"/>
      <c r="BB7" s="116"/>
      <c r="BD7">
        <f t="shared" si="5"/>
        <v>144</v>
      </c>
      <c r="BE7" s="31"/>
    </row>
    <row r="8" spans="1:57">
      <c r="A8" s="85">
        <v>45734</v>
      </c>
      <c r="B8" s="88">
        <v>1600</v>
      </c>
      <c r="C8" s="88"/>
      <c r="D8" s="86">
        <f>(SUM(粮草!A8:X8)+AG8*10*IF(AK8="是",$BB$4,$BB$3))</f>
        <v>2130</v>
      </c>
      <c r="E8" s="100">
        <f>SUM($B$4:B8)+SUM($C$4:C8)-SUM($D$4:D8)</f>
        <v>3130</v>
      </c>
      <c r="F8" s="99">
        <f>SUM(经验!A8:X8)</f>
        <v>850</v>
      </c>
      <c r="G8" s="86">
        <f>SUM($F$4:F8)+SUM($H$4:H8)</f>
        <v>4205</v>
      </c>
      <c r="H8" s="88">
        <v>100</v>
      </c>
      <c r="I8" s="88" t="s">
        <v>33</v>
      </c>
      <c r="J8" s="88" t="s">
        <v>33</v>
      </c>
      <c r="K8" s="88" t="s">
        <v>33</v>
      </c>
      <c r="L8" s="88" t="s">
        <v>33</v>
      </c>
      <c r="M8" s="88" t="s">
        <v>33</v>
      </c>
      <c r="N8" s="88" t="s">
        <v>33</v>
      </c>
      <c r="O8" s="89" t="s">
        <v>33</v>
      </c>
      <c r="P8" s="89" t="s">
        <v>33</v>
      </c>
      <c r="Q8" s="62" t="s">
        <v>41</v>
      </c>
      <c r="R8" s="70" t="s">
        <v>45</v>
      </c>
      <c r="S8" s="62" t="s">
        <v>41</v>
      </c>
      <c r="T8" s="61" t="s">
        <v>39</v>
      </c>
      <c r="U8" s="61" t="s">
        <v>39</v>
      </c>
      <c r="V8" s="45" t="s">
        <v>62</v>
      </c>
      <c r="W8" s="61" t="s">
        <v>39</v>
      </c>
      <c r="X8" s="61" t="s">
        <v>39</v>
      </c>
      <c r="Y8" s="61" t="s">
        <v>39</v>
      </c>
      <c r="Z8" s="61" t="s">
        <v>39</v>
      </c>
      <c r="AA8" s="61" t="s">
        <v>39</v>
      </c>
      <c r="AB8" s="45" t="s">
        <v>64</v>
      </c>
      <c r="AC8" s="61" t="s">
        <v>39</v>
      </c>
      <c r="AD8" s="61" t="s">
        <v>39</v>
      </c>
      <c r="AE8" s="89" t="s">
        <v>33</v>
      </c>
      <c r="AF8" s="89" t="s">
        <v>33</v>
      </c>
      <c r="AG8" s="90">
        <f t="shared" si="6"/>
        <v>7</v>
      </c>
      <c r="AH8" s="90"/>
      <c r="AI8" s="90">
        <v>5</v>
      </c>
      <c r="AJ8" s="90">
        <v>2</v>
      </c>
      <c r="AK8" s="91" t="s">
        <v>34</v>
      </c>
      <c r="AL8" s="109">
        <f t="shared" si="10"/>
        <v>18</v>
      </c>
      <c r="AM8" s="109">
        <f t="shared" si="7"/>
        <v>1</v>
      </c>
      <c r="AN8" s="109">
        <f t="shared" si="8"/>
        <v>0</v>
      </c>
      <c r="AO8" s="63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26</v>
      </c>
      <c r="AU8" s="20">
        <f t="shared" si="2"/>
        <v>21</v>
      </c>
      <c r="AV8" s="105">
        <f t="shared" si="9"/>
        <v>47</v>
      </c>
      <c r="AW8" s="27">
        <v>31</v>
      </c>
      <c r="AX8" s="27">
        <f t="shared" si="3"/>
        <v>0</v>
      </c>
      <c r="AY8" s="27">
        <f t="shared" si="4"/>
        <v>1430</v>
      </c>
      <c r="AZ8" s="27">
        <f t="shared" si="4"/>
        <v>1155</v>
      </c>
      <c r="BA8" s="116"/>
      <c r="BB8" s="116"/>
      <c r="BD8">
        <f t="shared" si="5"/>
        <v>152</v>
      </c>
      <c r="BE8" s="31"/>
    </row>
    <row r="9" spans="1:57">
      <c r="A9" s="85">
        <v>45735</v>
      </c>
      <c r="B9" s="88">
        <v>1600</v>
      </c>
      <c r="C9" s="88"/>
      <c r="D9" s="86">
        <f>(SUM(粮草!A9:X9)+AG9*10*IF(AK9="是",$BB$4,$BB$3))</f>
        <v>1680</v>
      </c>
      <c r="E9" s="100">
        <f>SUM($B$4:B9)+SUM($C$4:C9)-SUM($D$4:D9)</f>
        <v>3050</v>
      </c>
      <c r="F9" s="99">
        <f>SUM(经验!A9:X9)</f>
        <v>545</v>
      </c>
      <c r="G9" s="86">
        <f>SUM($F$4:F9)+SUM($H$4:H9)</f>
        <v>4950</v>
      </c>
      <c r="H9" s="88">
        <v>200</v>
      </c>
      <c r="I9" s="88" t="s">
        <v>33</v>
      </c>
      <c r="J9" s="88" t="s">
        <v>33</v>
      </c>
      <c r="K9" s="88" t="s">
        <v>33</v>
      </c>
      <c r="L9" s="88" t="s">
        <v>33</v>
      </c>
      <c r="M9" s="88" t="s">
        <v>33</v>
      </c>
      <c r="N9" s="88" t="s">
        <v>33</v>
      </c>
      <c r="O9" s="89" t="s">
        <v>33</v>
      </c>
      <c r="P9" s="89" t="s">
        <v>33</v>
      </c>
      <c r="Q9" s="61" t="s">
        <v>39</v>
      </c>
      <c r="R9" s="61" t="s">
        <v>39</v>
      </c>
      <c r="S9" s="70" t="s">
        <v>45</v>
      </c>
      <c r="T9" s="61" t="s">
        <v>39</v>
      </c>
      <c r="U9" s="61" t="s">
        <v>39</v>
      </c>
      <c r="V9" s="61" t="s">
        <v>39</v>
      </c>
      <c r="W9" s="61" t="s">
        <v>39</v>
      </c>
      <c r="X9" s="69" t="s">
        <v>38</v>
      </c>
      <c r="Y9" s="59" t="s">
        <v>32</v>
      </c>
      <c r="Z9" s="61" t="s">
        <v>39</v>
      </c>
      <c r="AA9" s="69" t="s">
        <v>38</v>
      </c>
      <c r="AB9" s="61" t="s">
        <v>39</v>
      </c>
      <c r="AC9" s="66" t="s">
        <v>46</v>
      </c>
      <c r="AD9" s="61" t="s">
        <v>39</v>
      </c>
      <c r="AE9" s="89" t="s">
        <v>33</v>
      </c>
      <c r="AF9" s="89" t="s">
        <v>33</v>
      </c>
      <c r="AG9" s="90">
        <f t="shared" si="6"/>
        <v>0</v>
      </c>
      <c r="AH9" s="90"/>
      <c r="AI9" s="90"/>
      <c r="AJ9" s="90"/>
      <c r="AK9" s="91" t="s">
        <v>34</v>
      </c>
      <c r="AL9" s="109">
        <f t="shared" si="10"/>
        <v>18</v>
      </c>
      <c r="AM9" s="109">
        <f t="shared" si="7"/>
        <v>1</v>
      </c>
      <c r="AN9" s="109">
        <f t="shared" si="8"/>
        <v>0</v>
      </c>
      <c r="AO9" s="64" t="s">
        <v>43</v>
      </c>
      <c r="AP9" s="20">
        <v>200</v>
      </c>
      <c r="AQ9" s="20">
        <v>60</v>
      </c>
      <c r="AR9" s="20"/>
      <c r="AS9" s="20">
        <f t="shared" si="0"/>
        <v>0</v>
      </c>
      <c r="AT9" s="20">
        <f t="shared" si="1"/>
        <v>58</v>
      </c>
      <c r="AU9" s="20">
        <f t="shared" si="2"/>
        <v>0</v>
      </c>
      <c r="AV9" s="105">
        <f t="shared" si="9"/>
        <v>58</v>
      </c>
      <c r="AW9" s="27">
        <v>98</v>
      </c>
      <c r="AX9" s="27">
        <f t="shared" si="3"/>
        <v>0</v>
      </c>
      <c r="AY9" s="27">
        <f t="shared" si="4"/>
        <v>3480</v>
      </c>
      <c r="AZ9" s="27">
        <f t="shared" si="4"/>
        <v>0</v>
      </c>
      <c r="BD9">
        <f t="shared" si="5"/>
        <v>160</v>
      </c>
      <c r="BE9" s="31"/>
    </row>
    <row r="10" spans="1:57">
      <c r="A10" s="85">
        <v>45736</v>
      </c>
      <c r="B10" s="88">
        <v>1600</v>
      </c>
      <c r="C10" s="88"/>
      <c r="D10" s="86">
        <f>(SUM(粮草!A10:X10)+AG10*10*IF(AK10="是",$BB$4,$BB$3))</f>
        <v>2080</v>
      </c>
      <c r="E10" s="100">
        <f>SUM($B$4:B10)+SUM($C$4:C10)-SUM($D$4:D10)</f>
        <v>2570</v>
      </c>
      <c r="F10" s="99">
        <f>SUM(经验!A10:X10)</f>
        <v>570</v>
      </c>
      <c r="G10" s="86">
        <f>SUM($F$4:F10)+SUM($H$4:H10)</f>
        <v>5520</v>
      </c>
      <c r="H10" s="88">
        <v>0</v>
      </c>
      <c r="I10" s="88" t="s">
        <v>33</v>
      </c>
      <c r="J10" s="88" t="s">
        <v>33</v>
      </c>
      <c r="K10" s="88" t="s">
        <v>33</v>
      </c>
      <c r="L10" s="88" t="s">
        <v>33</v>
      </c>
      <c r="M10" s="88" t="s">
        <v>33</v>
      </c>
      <c r="N10" s="88" t="s">
        <v>33</v>
      </c>
      <c r="O10" s="89" t="s">
        <v>33</v>
      </c>
      <c r="P10" s="89" t="s">
        <v>33</v>
      </c>
      <c r="Q10" s="61" t="s">
        <v>39</v>
      </c>
      <c r="R10" s="61" t="s">
        <v>39</v>
      </c>
      <c r="S10" s="66" t="s">
        <v>46</v>
      </c>
      <c r="T10" s="61" t="s">
        <v>39</v>
      </c>
      <c r="U10" s="61" t="s">
        <v>39</v>
      </c>
      <c r="V10" s="61" t="s">
        <v>39</v>
      </c>
      <c r="W10" s="69" t="s">
        <v>38</v>
      </c>
      <c r="X10" s="89" t="s">
        <v>33</v>
      </c>
      <c r="Y10" s="61" t="s">
        <v>39</v>
      </c>
      <c r="Z10" s="45" t="s">
        <v>64</v>
      </c>
      <c r="AA10" s="61" t="s">
        <v>39</v>
      </c>
      <c r="AB10" s="61" t="s">
        <v>39</v>
      </c>
      <c r="AC10" s="61" t="s">
        <v>39</v>
      </c>
      <c r="AD10" s="61" t="s">
        <v>39</v>
      </c>
      <c r="AE10" s="89" t="s">
        <v>33</v>
      </c>
      <c r="AF10" s="89" t="s">
        <v>33</v>
      </c>
      <c r="AG10" s="90">
        <f t="shared" si="6"/>
        <v>1</v>
      </c>
      <c r="AH10" s="90"/>
      <c r="AI10" s="90"/>
      <c r="AJ10" s="90">
        <v>1</v>
      </c>
      <c r="AK10" s="91" t="s">
        <v>34</v>
      </c>
      <c r="AL10" s="109">
        <f t="shared" si="10"/>
        <v>18</v>
      </c>
      <c r="AM10" s="109">
        <f t="shared" si="7"/>
        <v>0</v>
      </c>
      <c r="AN10" s="109">
        <f t="shared" si="8"/>
        <v>0</v>
      </c>
      <c r="AO10" s="48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105">
        <f t="shared" si="9"/>
        <v>0</v>
      </c>
      <c r="AW10" s="27">
        <v>0</v>
      </c>
      <c r="AX10" s="27">
        <f t="shared" si="3"/>
        <v>0</v>
      </c>
      <c r="AY10" s="27">
        <f t="shared" si="4"/>
        <v>0</v>
      </c>
      <c r="AZ10" s="27">
        <f t="shared" si="4"/>
        <v>0</v>
      </c>
      <c r="BD10">
        <f t="shared" si="5"/>
        <v>120</v>
      </c>
      <c r="BE10" s="31"/>
    </row>
    <row r="11" spans="1:57">
      <c r="A11" s="85">
        <v>45737</v>
      </c>
      <c r="B11" s="88">
        <v>1600</v>
      </c>
      <c r="C11" s="88"/>
      <c r="D11" s="86">
        <f>(SUM(粮草!A11:X11)+AG11*10*IF(AK11="是",$BB$4,$BB$3))</f>
        <v>1960</v>
      </c>
      <c r="E11" s="100">
        <f>SUM($B$4:B11)+SUM($C$4:C11)-SUM($D$4:D11)</f>
        <v>2210</v>
      </c>
      <c r="F11" s="99">
        <f>SUM(经验!A11:X11)</f>
        <v>590</v>
      </c>
      <c r="G11" s="86">
        <f>SUM($F$4:F11)+SUM($H$4:H11)</f>
        <v>6110</v>
      </c>
      <c r="H11" s="88">
        <v>0</v>
      </c>
      <c r="I11" s="88" t="s">
        <v>33</v>
      </c>
      <c r="J11" s="88" t="s">
        <v>33</v>
      </c>
      <c r="K11" s="88" t="s">
        <v>33</v>
      </c>
      <c r="L11" s="88" t="s">
        <v>33</v>
      </c>
      <c r="M11" s="88" t="s">
        <v>33</v>
      </c>
      <c r="N11" s="88" t="s">
        <v>33</v>
      </c>
      <c r="O11" s="89" t="s">
        <v>33</v>
      </c>
      <c r="P11" s="89" t="s">
        <v>33</v>
      </c>
      <c r="Q11" s="61" t="s">
        <v>39</v>
      </c>
      <c r="R11" s="61" t="s">
        <v>39</v>
      </c>
      <c r="S11" s="61" t="s">
        <v>39</v>
      </c>
      <c r="T11" s="70" t="s">
        <v>45</v>
      </c>
      <c r="U11" s="61" t="s">
        <v>39</v>
      </c>
      <c r="V11" s="61" t="s">
        <v>39</v>
      </c>
      <c r="W11" s="61" t="s">
        <v>39</v>
      </c>
      <c r="X11" s="61" t="s">
        <v>39</v>
      </c>
      <c r="Y11" s="61" t="s">
        <v>39</v>
      </c>
      <c r="Z11" s="61" t="s">
        <v>39</v>
      </c>
      <c r="AA11" s="61" t="s">
        <v>39</v>
      </c>
      <c r="AB11" s="66" t="s">
        <v>46</v>
      </c>
      <c r="AC11" s="61" t="s">
        <v>39</v>
      </c>
      <c r="AD11" s="62" t="s">
        <v>41</v>
      </c>
      <c r="AE11" s="89" t="s">
        <v>33</v>
      </c>
      <c r="AF11" s="89" t="s">
        <v>33</v>
      </c>
      <c r="AG11" s="90">
        <f t="shared" si="6"/>
        <v>1</v>
      </c>
      <c r="AH11" s="90"/>
      <c r="AI11" s="90">
        <v>1</v>
      </c>
      <c r="AJ11" s="90"/>
      <c r="AK11" s="91" t="s">
        <v>34</v>
      </c>
      <c r="AL11" s="109">
        <f t="shared" si="10"/>
        <v>18</v>
      </c>
      <c r="AM11" s="109">
        <f t="shared" si="7"/>
        <v>0</v>
      </c>
      <c r="AN11" s="109">
        <f t="shared" si="8"/>
        <v>0</v>
      </c>
      <c r="AO11" s="65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0</v>
      </c>
      <c r="AT11" s="20">
        <f t="shared" si="1"/>
        <v>0</v>
      </c>
      <c r="AU11" s="20">
        <f t="shared" si="2"/>
        <v>0</v>
      </c>
      <c r="AV11" s="105">
        <f t="shared" si="9"/>
        <v>0</v>
      </c>
      <c r="AW11" s="27">
        <v>2</v>
      </c>
      <c r="AX11" s="27">
        <f t="shared" si="3"/>
        <v>0</v>
      </c>
      <c r="AY11" s="27">
        <f t="shared" si="4"/>
        <v>0</v>
      </c>
      <c r="AZ11" s="27">
        <f t="shared" si="4"/>
        <v>0</v>
      </c>
      <c r="BD11">
        <f t="shared" si="5"/>
        <v>120</v>
      </c>
      <c r="BE11" s="31"/>
    </row>
    <row r="12" spans="1:57">
      <c r="A12" s="85">
        <v>45738</v>
      </c>
      <c r="B12" s="88">
        <v>1600</v>
      </c>
      <c r="C12" s="88"/>
      <c r="D12" s="86">
        <f>(SUM(粮草!A12:X12)+AG12*10*IF(AK12="是",$BB$4,$BB$3))</f>
        <v>1980</v>
      </c>
      <c r="E12" s="100">
        <f>SUM($B$4:B12)+SUM($C$4:C12)-SUM($D$4:D12)</f>
        <v>1830</v>
      </c>
      <c r="F12" s="99">
        <f>SUM(经验!A12:X12)</f>
        <v>540</v>
      </c>
      <c r="G12" s="86">
        <f>SUM($F$4:F12)+SUM($H$4:H12)</f>
        <v>6650</v>
      </c>
      <c r="H12" s="88">
        <v>0</v>
      </c>
      <c r="I12" s="88" t="s">
        <v>33</v>
      </c>
      <c r="J12" s="88" t="s">
        <v>33</v>
      </c>
      <c r="K12" s="88" t="s">
        <v>33</v>
      </c>
      <c r="L12" s="88" t="s">
        <v>33</v>
      </c>
      <c r="M12" s="88" t="s">
        <v>33</v>
      </c>
      <c r="N12" s="88" t="s">
        <v>33</v>
      </c>
      <c r="O12" s="89" t="s">
        <v>33</v>
      </c>
      <c r="P12" s="89" t="s">
        <v>33</v>
      </c>
      <c r="Q12" s="45" t="s">
        <v>64</v>
      </c>
      <c r="R12" s="61" t="s">
        <v>39</v>
      </c>
      <c r="S12" s="69" t="s">
        <v>38</v>
      </c>
      <c r="T12" s="61" t="s">
        <v>39</v>
      </c>
      <c r="U12" s="61" t="s">
        <v>39</v>
      </c>
      <c r="V12" s="61" t="s">
        <v>39</v>
      </c>
      <c r="W12" s="89" t="s">
        <v>33</v>
      </c>
      <c r="X12" s="89" t="s">
        <v>33</v>
      </c>
      <c r="Y12" s="62" t="s">
        <v>41</v>
      </c>
      <c r="Z12" s="62" t="s">
        <v>41</v>
      </c>
      <c r="AA12" s="62" t="s">
        <v>41</v>
      </c>
      <c r="AB12" s="61" t="s">
        <v>39</v>
      </c>
      <c r="AC12" s="61" t="s">
        <v>39</v>
      </c>
      <c r="AD12" s="45" t="s">
        <v>64</v>
      </c>
      <c r="AE12" s="89" t="s">
        <v>33</v>
      </c>
      <c r="AF12" s="89" t="s">
        <v>33</v>
      </c>
      <c r="AG12" s="90">
        <f t="shared" si="6"/>
        <v>3</v>
      </c>
      <c r="AH12" s="90"/>
      <c r="AI12" s="90">
        <v>1</v>
      </c>
      <c r="AJ12" s="90">
        <v>2</v>
      </c>
      <c r="AK12" s="91" t="s">
        <v>34</v>
      </c>
      <c r="AL12" s="109">
        <f t="shared" si="10"/>
        <v>18</v>
      </c>
      <c r="AM12" s="109">
        <f t="shared" si="7"/>
        <v>0</v>
      </c>
      <c r="AN12" s="109">
        <f t="shared" si="8"/>
        <v>0</v>
      </c>
      <c r="AO12" s="66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1</v>
      </c>
      <c r="AU12" s="20">
        <f t="shared" si="2"/>
        <v>3</v>
      </c>
      <c r="AV12" s="105">
        <f t="shared" si="9"/>
        <v>4</v>
      </c>
      <c r="AW12" s="27">
        <v>5</v>
      </c>
      <c r="AX12" s="27">
        <f t="shared" si="3"/>
        <v>0</v>
      </c>
      <c r="AY12" s="27">
        <f t="shared" si="4"/>
        <v>45</v>
      </c>
      <c r="AZ12" s="27">
        <f t="shared" si="4"/>
        <v>135</v>
      </c>
      <c r="BD12">
        <f t="shared" si="5"/>
        <v>120</v>
      </c>
      <c r="BE12" s="31"/>
    </row>
    <row r="13" spans="1:57">
      <c r="A13" s="85">
        <v>45739</v>
      </c>
      <c r="B13" s="88">
        <v>1600</v>
      </c>
      <c r="C13" s="88"/>
      <c r="D13" s="86">
        <f>(SUM(粮草!A13:X13)+AG13*10*IF(AK13="是",$BB$4,$BB$3))</f>
        <v>2090</v>
      </c>
      <c r="E13" s="100">
        <f>SUM($B$4:B13)+SUM($C$4:C13)-SUM($D$4:D13)</f>
        <v>1340</v>
      </c>
      <c r="F13" s="99">
        <f>SUM(经验!A13:X13)</f>
        <v>565</v>
      </c>
      <c r="G13" s="86">
        <f>SUM($F$4:F13)+SUM($H$4:H13)</f>
        <v>7215</v>
      </c>
      <c r="H13" s="88">
        <v>0</v>
      </c>
      <c r="I13" s="88" t="s">
        <v>33</v>
      </c>
      <c r="J13" s="88" t="s">
        <v>33</v>
      </c>
      <c r="K13" s="88" t="s">
        <v>33</v>
      </c>
      <c r="L13" s="88" t="s">
        <v>33</v>
      </c>
      <c r="M13" s="88" t="s">
        <v>33</v>
      </c>
      <c r="N13" s="88" t="s">
        <v>33</v>
      </c>
      <c r="O13" s="89" t="s">
        <v>33</v>
      </c>
      <c r="P13" s="89" t="s">
        <v>33</v>
      </c>
      <c r="Q13" s="61" t="s">
        <v>39</v>
      </c>
      <c r="R13" s="61" t="s">
        <v>39</v>
      </c>
      <c r="S13" s="61" t="s">
        <v>39</v>
      </c>
      <c r="T13" s="61" t="s">
        <v>39</v>
      </c>
      <c r="U13" s="61" t="s">
        <v>39</v>
      </c>
      <c r="V13" s="61" t="s">
        <v>39</v>
      </c>
      <c r="W13" s="89" t="s">
        <v>33</v>
      </c>
      <c r="X13" s="89" t="s">
        <v>33</v>
      </c>
      <c r="Y13" s="61" t="s">
        <v>39</v>
      </c>
      <c r="Z13" s="62" t="s">
        <v>41</v>
      </c>
      <c r="AA13" s="62" t="s">
        <v>41</v>
      </c>
      <c r="AB13" s="62" t="s">
        <v>41</v>
      </c>
      <c r="AC13" s="62" t="s">
        <v>41</v>
      </c>
      <c r="AD13" s="62" t="s">
        <v>41</v>
      </c>
      <c r="AE13" s="89" t="s">
        <v>33</v>
      </c>
      <c r="AF13" s="89" t="s">
        <v>33</v>
      </c>
      <c r="AG13" s="90">
        <f t="shared" si="6"/>
        <v>0</v>
      </c>
      <c r="AH13" s="92"/>
      <c r="AI13" s="92"/>
      <c r="AJ13" s="92"/>
      <c r="AK13" s="91" t="s">
        <v>34</v>
      </c>
      <c r="AL13" s="109">
        <f t="shared" si="10"/>
        <v>18</v>
      </c>
      <c r="AM13" s="109">
        <f t="shared" si="7"/>
        <v>0</v>
      </c>
      <c r="AN13" s="109">
        <f t="shared" si="8"/>
        <v>0</v>
      </c>
      <c r="AO13" s="67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105">
        <f t="shared" si="9"/>
        <v>0</v>
      </c>
      <c r="AW13" s="27">
        <v>1</v>
      </c>
      <c r="AX13" s="27">
        <f t="shared" si="3"/>
        <v>0</v>
      </c>
      <c r="AY13" s="27">
        <f t="shared" si="4"/>
        <v>0</v>
      </c>
      <c r="AZ13" s="27">
        <f t="shared" si="4"/>
        <v>0</v>
      </c>
      <c r="BD13">
        <f t="shared" si="5"/>
        <v>120</v>
      </c>
      <c r="BE13" s="31"/>
    </row>
    <row r="14" spans="1:57">
      <c r="A14" s="94">
        <v>45740</v>
      </c>
      <c r="B14" s="86">
        <v>1600</v>
      </c>
      <c r="C14" s="87"/>
      <c r="D14" s="86">
        <f>(SUM(粮草!A14:X14)+AG14*10*IF(AK14="是",$BB$4,$BB$3))</f>
        <v>2050</v>
      </c>
      <c r="E14" s="100">
        <f>SUM($B$4:B14)+SUM($C$4:C14)-SUM($D$4:D14)</f>
        <v>890</v>
      </c>
      <c r="F14" s="99">
        <f>SUM(经验!A14:X14)</f>
        <v>555</v>
      </c>
      <c r="G14" s="86">
        <f>SUM($F$4:F14)+SUM($H$4:H14)</f>
        <v>8070</v>
      </c>
      <c r="H14" s="86">
        <v>300</v>
      </c>
      <c r="I14" s="88" t="s">
        <v>33</v>
      </c>
      <c r="J14" s="88" t="s">
        <v>33</v>
      </c>
      <c r="K14" s="88" t="s">
        <v>33</v>
      </c>
      <c r="L14" s="88" t="s">
        <v>33</v>
      </c>
      <c r="M14" s="88" t="s">
        <v>33</v>
      </c>
      <c r="N14" s="88" t="s">
        <v>33</v>
      </c>
      <c r="O14" s="89" t="s">
        <v>33</v>
      </c>
      <c r="P14" s="89" t="s">
        <v>33</v>
      </c>
      <c r="Q14" s="61" t="s">
        <v>39</v>
      </c>
      <c r="R14" s="45" t="s">
        <v>64</v>
      </c>
      <c r="S14" s="61" t="s">
        <v>39</v>
      </c>
      <c r="T14" s="61" t="s">
        <v>39</v>
      </c>
      <c r="U14" s="61" t="s">
        <v>39</v>
      </c>
      <c r="V14" s="61" t="s">
        <v>39</v>
      </c>
      <c r="W14" s="89" t="s">
        <v>33</v>
      </c>
      <c r="X14" s="89" t="s">
        <v>33</v>
      </c>
      <c r="Y14" s="62" t="s">
        <v>41</v>
      </c>
      <c r="Z14" s="62" t="s">
        <v>41</v>
      </c>
      <c r="AA14" s="62" t="s">
        <v>41</v>
      </c>
      <c r="AB14" s="61" t="s">
        <v>39</v>
      </c>
      <c r="AC14" s="66" t="s">
        <v>46</v>
      </c>
      <c r="AD14" s="61" t="s">
        <v>39</v>
      </c>
      <c r="AE14" s="89" t="s">
        <v>33</v>
      </c>
      <c r="AF14" s="89" t="s">
        <v>33</v>
      </c>
      <c r="AG14" s="90">
        <f t="shared" si="6"/>
        <v>0</v>
      </c>
      <c r="AH14" s="92"/>
      <c r="AI14" s="92"/>
      <c r="AJ14" s="92"/>
      <c r="AK14" s="91" t="s">
        <v>34</v>
      </c>
      <c r="AL14" s="109">
        <f t="shared" si="10"/>
        <v>18</v>
      </c>
      <c r="AM14" s="109">
        <f t="shared" si="7"/>
        <v>0</v>
      </c>
      <c r="AN14" s="109">
        <f t="shared" si="8"/>
        <v>0</v>
      </c>
      <c r="AO14" s="79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105">
        <f t="shared" si="9"/>
        <v>0</v>
      </c>
      <c r="AW14" s="27">
        <v>0</v>
      </c>
      <c r="AX14" s="27">
        <f t="shared" si="3"/>
        <v>0</v>
      </c>
      <c r="AY14" s="27">
        <f t="shared" si="4"/>
        <v>0</v>
      </c>
      <c r="AZ14" s="27">
        <f t="shared" si="4"/>
        <v>0</v>
      </c>
      <c r="BD14">
        <f t="shared" si="5"/>
        <v>120</v>
      </c>
      <c r="BE14" s="31"/>
    </row>
    <row r="15" spans="1:57">
      <c r="A15" s="94">
        <v>45741</v>
      </c>
      <c r="B15" s="86">
        <v>1600</v>
      </c>
      <c r="C15" s="87"/>
      <c r="D15" s="86">
        <f>(SUM(粮草!A15:X15)+AG15*10*IF(AK15="是",$BB$4,$BB$3))</f>
        <v>1890</v>
      </c>
      <c r="E15" s="100">
        <f>SUM($B$4:B15)+SUM($C$4:C15)-SUM($D$4:D15)</f>
        <v>600</v>
      </c>
      <c r="F15" s="99">
        <f>SUM(经验!A15:X15)</f>
        <v>765</v>
      </c>
      <c r="G15" s="86">
        <f>SUM($F$4:F15)+SUM($H$4:H15)</f>
        <v>8835</v>
      </c>
      <c r="H15" s="86">
        <v>0</v>
      </c>
      <c r="I15" s="88" t="s">
        <v>33</v>
      </c>
      <c r="J15" s="88" t="s">
        <v>33</v>
      </c>
      <c r="K15" s="88" t="s">
        <v>33</v>
      </c>
      <c r="L15" s="88" t="s">
        <v>33</v>
      </c>
      <c r="M15" s="88" t="s">
        <v>33</v>
      </c>
      <c r="N15" s="88" t="s">
        <v>33</v>
      </c>
      <c r="O15" s="89" t="s">
        <v>33</v>
      </c>
      <c r="P15" s="89" t="s">
        <v>33</v>
      </c>
      <c r="Q15" s="61" t="s">
        <v>39</v>
      </c>
      <c r="R15" s="61" t="s">
        <v>39</v>
      </c>
      <c r="S15" s="61" t="s">
        <v>39</v>
      </c>
      <c r="T15" s="63" t="s">
        <v>42</v>
      </c>
      <c r="U15" s="63" t="s">
        <v>42</v>
      </c>
      <c r="V15" s="63" t="s">
        <v>42</v>
      </c>
      <c r="W15" s="89" t="s">
        <v>33</v>
      </c>
      <c r="X15" s="89" t="s">
        <v>33</v>
      </c>
      <c r="Y15" s="69" t="s">
        <v>38</v>
      </c>
      <c r="Z15" s="61" t="s">
        <v>39</v>
      </c>
      <c r="AA15" s="61" t="s">
        <v>39</v>
      </c>
      <c r="AB15" s="61" t="s">
        <v>39</v>
      </c>
      <c r="AC15" s="45" t="s">
        <v>62</v>
      </c>
      <c r="AD15" s="88" t="s">
        <v>33</v>
      </c>
      <c r="AE15" s="89" t="s">
        <v>33</v>
      </c>
      <c r="AF15" s="89" t="s">
        <v>33</v>
      </c>
      <c r="AG15" s="90">
        <f t="shared" si="6"/>
        <v>0</v>
      </c>
      <c r="AH15" s="92"/>
      <c r="AI15" s="92"/>
      <c r="AJ15" s="92"/>
      <c r="AK15" s="91" t="s">
        <v>34</v>
      </c>
      <c r="AL15" s="109">
        <f t="shared" si="10"/>
        <v>18</v>
      </c>
      <c r="AM15" s="109">
        <f t="shared" si="7"/>
        <v>0</v>
      </c>
      <c r="AN15" s="109">
        <f t="shared" si="8"/>
        <v>1</v>
      </c>
      <c r="AO15" s="80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105">
        <f t="shared" si="9"/>
        <v>0</v>
      </c>
      <c r="AW15" s="27">
        <v>0</v>
      </c>
      <c r="AX15" s="27">
        <f t="shared" si="3"/>
        <v>0</v>
      </c>
      <c r="AY15" s="27">
        <f t="shared" si="4"/>
        <v>0</v>
      </c>
      <c r="AZ15" s="27">
        <f t="shared" si="4"/>
        <v>0</v>
      </c>
      <c r="BD15">
        <f t="shared" si="5"/>
        <v>120</v>
      </c>
      <c r="BE15" s="31"/>
    </row>
    <row r="16" spans="1:57">
      <c r="A16" s="94">
        <v>45742</v>
      </c>
      <c r="B16" s="86">
        <v>1600</v>
      </c>
      <c r="C16" s="87"/>
      <c r="D16" s="86">
        <f>(SUM(粮草!A16:X16)+AG16*10*IF(AK16="是",$BB$4,$BB$3))</f>
        <v>1040</v>
      </c>
      <c r="E16" s="100">
        <f>SUM($B$4:B16)+SUM($C$4:C16)-SUM($D$4:D16)</f>
        <v>1160</v>
      </c>
      <c r="F16" s="99">
        <f>SUM(经验!A16:X16)</f>
        <v>280</v>
      </c>
      <c r="G16" s="86">
        <f>SUM($F$4:F16)+SUM($H$4:H16)</f>
        <v>9315</v>
      </c>
      <c r="H16" s="86">
        <v>200</v>
      </c>
      <c r="I16" s="88" t="s">
        <v>33</v>
      </c>
      <c r="J16" s="88" t="s">
        <v>33</v>
      </c>
      <c r="K16" s="88" t="s">
        <v>33</v>
      </c>
      <c r="L16" s="88" t="s">
        <v>33</v>
      </c>
      <c r="M16" s="88" t="s">
        <v>33</v>
      </c>
      <c r="N16" s="88" t="s">
        <v>33</v>
      </c>
      <c r="O16" s="89" t="s">
        <v>33</v>
      </c>
      <c r="P16" s="89" t="s">
        <v>33</v>
      </c>
      <c r="Q16" s="63" t="s">
        <v>42</v>
      </c>
      <c r="R16" s="61" t="s">
        <v>39</v>
      </c>
      <c r="S16" s="61" t="s">
        <v>39</v>
      </c>
      <c r="T16" s="61" t="s">
        <v>39</v>
      </c>
      <c r="U16" s="61" t="s">
        <v>39</v>
      </c>
      <c r="V16" s="61" t="s">
        <v>39</v>
      </c>
      <c r="W16" s="89" t="s">
        <v>33</v>
      </c>
      <c r="X16" s="89" t="s">
        <v>33</v>
      </c>
      <c r="Y16" s="88" t="s">
        <v>33</v>
      </c>
      <c r="Z16" s="88" t="s">
        <v>33</v>
      </c>
      <c r="AA16" s="88" t="s">
        <v>33</v>
      </c>
      <c r="AB16" s="88" t="s">
        <v>33</v>
      </c>
      <c r="AC16" s="88" t="s">
        <v>33</v>
      </c>
      <c r="AD16" s="88" t="s">
        <v>33</v>
      </c>
      <c r="AE16" s="89" t="s">
        <v>33</v>
      </c>
      <c r="AF16" s="89" t="s">
        <v>33</v>
      </c>
      <c r="AG16" s="90">
        <f t="shared" si="6"/>
        <v>0</v>
      </c>
      <c r="AH16" s="92"/>
      <c r="AI16" s="92"/>
      <c r="AJ16" s="92"/>
      <c r="AK16" s="91" t="s">
        <v>34</v>
      </c>
      <c r="AL16" s="109">
        <f t="shared" si="10"/>
        <v>18</v>
      </c>
      <c r="AM16" s="109">
        <f t="shared" si="7"/>
        <v>0</v>
      </c>
      <c r="AN16" s="109">
        <f t="shared" si="8"/>
        <v>7</v>
      </c>
      <c r="AO16" s="68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105">
        <f t="shared" si="9"/>
        <v>0</v>
      </c>
      <c r="AW16" s="27">
        <v>0</v>
      </c>
      <c r="AX16" s="27">
        <f t="shared" si="3"/>
        <v>0</v>
      </c>
      <c r="AY16" s="27">
        <f t="shared" si="4"/>
        <v>0</v>
      </c>
      <c r="AZ16" s="27">
        <f t="shared" si="4"/>
        <v>0</v>
      </c>
      <c r="BD16">
        <f t="shared" si="5"/>
        <v>120</v>
      </c>
      <c r="BE16" s="31"/>
    </row>
    <row r="17" spans="1:57">
      <c r="A17" s="94">
        <v>45743</v>
      </c>
      <c r="B17" s="86">
        <v>1600</v>
      </c>
      <c r="C17" s="87">
        <v>-50</v>
      </c>
      <c r="D17" s="86">
        <f>(SUM(粮草!A17:X17)+AG17*10*IF(AK17="是",$BB$4,$BB$3))</f>
        <v>1654</v>
      </c>
      <c r="E17" s="100">
        <f>SUM($B$4:B17)+SUM($C$4:C17)-SUM($D$4:D17)</f>
        <v>1056</v>
      </c>
      <c r="F17" s="99">
        <f>SUM(经验!A17:X17)</f>
        <v>860</v>
      </c>
      <c r="G17" s="86">
        <f>SUM($F$4:F17)+SUM($H$4:H17)</f>
        <v>10175</v>
      </c>
      <c r="H17" s="86">
        <v>0</v>
      </c>
      <c r="I17" s="88" t="s">
        <v>33</v>
      </c>
      <c r="J17" s="88" t="s">
        <v>33</v>
      </c>
      <c r="K17" s="88" t="s">
        <v>33</v>
      </c>
      <c r="L17" s="88" t="s">
        <v>33</v>
      </c>
      <c r="M17" s="88" t="s">
        <v>33</v>
      </c>
      <c r="N17" s="88" t="s">
        <v>33</v>
      </c>
      <c r="O17" s="89" t="s">
        <v>33</v>
      </c>
      <c r="P17" s="89" t="s">
        <v>33</v>
      </c>
      <c r="Q17" s="45" t="s">
        <v>62</v>
      </c>
      <c r="R17" s="61" t="s">
        <v>39</v>
      </c>
      <c r="S17" s="61" t="s">
        <v>39</v>
      </c>
      <c r="T17" s="61" t="s">
        <v>39</v>
      </c>
      <c r="U17" s="61" t="s">
        <v>39</v>
      </c>
      <c r="V17" s="63" t="s">
        <v>42</v>
      </c>
      <c r="W17" s="89" t="s">
        <v>33</v>
      </c>
      <c r="X17" s="89" t="s">
        <v>33</v>
      </c>
      <c r="Y17" s="61" t="s">
        <v>39</v>
      </c>
      <c r="Z17" s="61" t="s">
        <v>39</v>
      </c>
      <c r="AA17" s="61" t="s">
        <v>39</v>
      </c>
      <c r="AB17" s="63" t="s">
        <v>42</v>
      </c>
      <c r="AC17" s="61" t="s">
        <v>39</v>
      </c>
      <c r="AD17" s="61" t="s">
        <v>39</v>
      </c>
      <c r="AE17" s="70" t="s">
        <v>45</v>
      </c>
      <c r="AF17" s="61" t="s">
        <v>39</v>
      </c>
      <c r="AG17" s="90">
        <f t="shared" si="6"/>
        <v>0</v>
      </c>
      <c r="AH17" s="92"/>
      <c r="AI17" s="92"/>
      <c r="AJ17" s="92"/>
      <c r="AK17" s="93" t="s">
        <v>51</v>
      </c>
      <c r="AL17" s="109">
        <f t="shared" si="10"/>
        <v>18</v>
      </c>
      <c r="AM17" s="109">
        <f t="shared" si="7"/>
        <v>0</v>
      </c>
      <c r="AN17" s="109">
        <f t="shared" si="8"/>
        <v>7</v>
      </c>
      <c r="AO17" s="69" t="s">
        <v>38</v>
      </c>
      <c r="AP17" s="20">
        <v>50</v>
      </c>
      <c r="AQ17" s="20">
        <v>30</v>
      </c>
      <c r="AR17" s="20">
        <v>10</v>
      </c>
      <c r="AS17" s="20">
        <f t="shared" si="0"/>
        <v>0</v>
      </c>
      <c r="AT17" s="20">
        <f t="shared" si="1"/>
        <v>4</v>
      </c>
      <c r="AU17" s="20">
        <f t="shared" si="2"/>
        <v>7</v>
      </c>
      <c r="AV17" s="105">
        <f t="shared" si="9"/>
        <v>11</v>
      </c>
      <c r="AW17" s="27">
        <v>34</v>
      </c>
      <c r="AX17" s="27">
        <f t="shared" si="3"/>
        <v>0</v>
      </c>
      <c r="AY17" s="27">
        <f t="shared" si="4"/>
        <v>120</v>
      </c>
      <c r="AZ17" s="27">
        <f t="shared" si="4"/>
        <v>210</v>
      </c>
      <c r="BD17">
        <f t="shared" si="5"/>
        <v>40</v>
      </c>
      <c r="BE17" s="31"/>
    </row>
    <row r="18" spans="1:57">
      <c r="A18" s="94">
        <v>45744</v>
      </c>
      <c r="B18" s="86">
        <v>1600</v>
      </c>
      <c r="C18" s="87"/>
      <c r="D18" s="86">
        <f>(SUM(粮草!A18:X18)+AG18*10*IF(AK18="是",$BB$4,$BB$3))</f>
        <v>1936</v>
      </c>
      <c r="E18" s="100">
        <f>SUM($B$4:B18)+SUM($C$4:C18)-SUM($D$4:D18)</f>
        <v>720</v>
      </c>
      <c r="F18" s="99">
        <f>SUM(经验!A18:X18)</f>
        <v>670</v>
      </c>
      <c r="G18" s="86">
        <f>SUM($F$4:F18)+SUM($H$4:H18)</f>
        <v>10845</v>
      </c>
      <c r="H18" s="86">
        <v>0</v>
      </c>
      <c r="I18" s="88" t="s">
        <v>33</v>
      </c>
      <c r="J18" s="88" t="s">
        <v>33</v>
      </c>
      <c r="K18" s="88" t="s">
        <v>33</v>
      </c>
      <c r="L18" s="88" t="s">
        <v>33</v>
      </c>
      <c r="M18" s="88" t="s">
        <v>33</v>
      </c>
      <c r="N18" s="88" t="s">
        <v>33</v>
      </c>
      <c r="O18" s="89" t="s">
        <v>33</v>
      </c>
      <c r="P18" s="89" t="s">
        <v>33</v>
      </c>
      <c r="Q18" s="63" t="s">
        <v>42</v>
      </c>
      <c r="R18" s="63" t="s">
        <v>42</v>
      </c>
      <c r="S18" s="63" t="s">
        <v>42</v>
      </c>
      <c r="T18" s="63" t="s">
        <v>42</v>
      </c>
      <c r="U18" s="61" t="s">
        <v>39</v>
      </c>
      <c r="V18" s="61" t="s">
        <v>39</v>
      </c>
      <c r="W18" s="89" t="s">
        <v>33</v>
      </c>
      <c r="X18" s="89" t="s">
        <v>33</v>
      </c>
      <c r="Y18" s="61" t="s">
        <v>39</v>
      </c>
      <c r="Z18" s="69" t="s">
        <v>38</v>
      </c>
      <c r="AA18" s="61" t="s">
        <v>39</v>
      </c>
      <c r="AB18" s="61" t="s">
        <v>39</v>
      </c>
      <c r="AC18" s="61" t="s">
        <v>39</v>
      </c>
      <c r="AD18" s="62" t="s">
        <v>41</v>
      </c>
      <c r="AE18" s="62" t="s">
        <v>41</v>
      </c>
      <c r="AF18" s="62" t="s">
        <v>41</v>
      </c>
      <c r="AG18" s="90">
        <f t="shared" si="6"/>
        <v>5</v>
      </c>
      <c r="AH18" s="92"/>
      <c r="AI18" s="92">
        <v>5</v>
      </c>
      <c r="AJ18" s="92"/>
      <c r="AK18" s="93" t="s">
        <v>51</v>
      </c>
      <c r="AL18" s="109">
        <f t="shared" si="10"/>
        <v>18</v>
      </c>
      <c r="AM18" s="109">
        <f t="shared" si="7"/>
        <v>0</v>
      </c>
      <c r="AN18" s="109">
        <f t="shared" si="8"/>
        <v>5</v>
      </c>
      <c r="AO18" s="70" t="s">
        <v>45</v>
      </c>
      <c r="AP18" s="20">
        <v>-150</v>
      </c>
      <c r="AQ18" s="20">
        <v>0</v>
      </c>
      <c r="AR18" s="20">
        <v>10</v>
      </c>
      <c r="AS18" s="20">
        <f t="shared" si="0"/>
        <v>0</v>
      </c>
      <c r="AT18" s="20">
        <f t="shared" si="1"/>
        <v>9</v>
      </c>
      <c r="AU18" s="20">
        <f t="shared" si="2"/>
        <v>4</v>
      </c>
      <c r="AV18" s="105">
        <f t="shared" si="9"/>
        <v>13</v>
      </c>
      <c r="AW18" s="27">
        <v>15</v>
      </c>
      <c r="AX18" s="27">
        <f t="shared" si="3"/>
        <v>0</v>
      </c>
      <c r="AY18" s="27">
        <f t="shared" si="4"/>
        <v>0</v>
      </c>
      <c r="AZ18" s="27">
        <f t="shared" si="4"/>
        <v>0</v>
      </c>
      <c r="BD18">
        <f t="shared" si="5"/>
        <v>-120</v>
      </c>
      <c r="BE18" s="31"/>
    </row>
    <row r="19" spans="1:57">
      <c r="A19" s="94">
        <v>45745</v>
      </c>
      <c r="B19" s="86">
        <v>1600</v>
      </c>
      <c r="C19" s="87"/>
      <c r="D19" s="86">
        <f>(SUM(粮草!A19:X19)+AG19*10*IF(AK19="是",$BB$4,$BB$3))</f>
        <v>1548</v>
      </c>
      <c r="E19" s="100">
        <f>SUM($B$4:B19)+SUM($C$4:C19)-SUM($D$4:D19)</f>
        <v>772</v>
      </c>
      <c r="F19" s="99">
        <f>SUM(经验!A19:X19)</f>
        <v>710</v>
      </c>
      <c r="G19" s="86">
        <f>SUM($F$4:F19)+SUM($H$4:H19)</f>
        <v>11555</v>
      </c>
      <c r="H19" s="86">
        <v>0</v>
      </c>
      <c r="I19" s="88" t="s">
        <v>33</v>
      </c>
      <c r="J19" s="88" t="s">
        <v>33</v>
      </c>
      <c r="K19" s="88" t="s">
        <v>33</v>
      </c>
      <c r="L19" s="88" t="s">
        <v>33</v>
      </c>
      <c r="M19" s="88" t="s">
        <v>33</v>
      </c>
      <c r="N19" s="88" t="s">
        <v>33</v>
      </c>
      <c r="O19" s="89" t="s">
        <v>33</v>
      </c>
      <c r="P19" s="89" t="s">
        <v>33</v>
      </c>
      <c r="Q19" s="63" t="s">
        <v>42</v>
      </c>
      <c r="R19" s="63" t="s">
        <v>42</v>
      </c>
      <c r="S19" s="63" t="s">
        <v>42</v>
      </c>
      <c r="T19" s="63" t="s">
        <v>42</v>
      </c>
      <c r="U19" s="63" t="s">
        <v>42</v>
      </c>
      <c r="V19" s="63" t="s">
        <v>42</v>
      </c>
      <c r="W19" s="70" t="s">
        <v>45</v>
      </c>
      <c r="X19" s="63" t="s">
        <v>42</v>
      </c>
      <c r="Y19" s="70" t="s">
        <v>45</v>
      </c>
      <c r="Z19" s="62" t="s">
        <v>41</v>
      </c>
      <c r="AA19" s="59" t="s">
        <v>32</v>
      </c>
      <c r="AB19" s="62" t="s">
        <v>41</v>
      </c>
      <c r="AC19" s="62" t="s">
        <v>41</v>
      </c>
      <c r="AD19" s="69" t="s">
        <v>38</v>
      </c>
      <c r="AE19" s="63" t="s">
        <v>42</v>
      </c>
      <c r="AF19" s="63" t="s">
        <v>42</v>
      </c>
      <c r="AG19" s="90">
        <f>AH19+AI19+AJ19</f>
        <v>1</v>
      </c>
      <c r="AH19" s="92"/>
      <c r="AI19" s="92">
        <v>1</v>
      </c>
      <c r="AJ19" s="92"/>
      <c r="AK19" s="93" t="s">
        <v>51</v>
      </c>
      <c r="AL19" s="109">
        <f t="shared" si="10"/>
        <v>18</v>
      </c>
      <c r="AM19" s="109">
        <f t="shared" si="7"/>
        <v>0</v>
      </c>
      <c r="AN19" s="109">
        <f t="shared" si="8"/>
        <v>5</v>
      </c>
      <c r="AO19" s="45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105">
        <f t="shared" si="9"/>
        <v>3</v>
      </c>
      <c r="AW19" s="27">
        <v>3</v>
      </c>
      <c r="AX19" s="27">
        <f t="shared" si="3"/>
        <v>0</v>
      </c>
      <c r="AY19" s="27">
        <f t="shared" si="4"/>
        <v>600</v>
      </c>
      <c r="AZ19" s="27">
        <f t="shared" si="4"/>
        <v>300</v>
      </c>
      <c r="BD19">
        <f t="shared" si="5"/>
        <v>200</v>
      </c>
      <c r="BE19" s="31"/>
    </row>
    <row r="20" spans="1:57">
      <c r="A20" s="94">
        <v>45746</v>
      </c>
      <c r="B20" s="86">
        <v>1600</v>
      </c>
      <c r="C20" s="87"/>
      <c r="D20" s="86">
        <f>(SUM(粮草!A20:X20)+AG20*10*IF(AK20="是",$BB$4,$BB$3))</f>
        <v>2168</v>
      </c>
      <c r="E20" s="100">
        <f>SUM($B$4:B20)+SUM($C$4:C20)-SUM($D$4:D20)</f>
        <v>204</v>
      </c>
      <c r="F20" s="99">
        <f>SUM(经验!A20:X20)</f>
        <v>770</v>
      </c>
      <c r="G20" s="86">
        <f>SUM($F$4:F20)+SUM($H$4:H20)</f>
        <v>12325</v>
      </c>
      <c r="H20" s="86">
        <v>0</v>
      </c>
      <c r="I20" s="88" t="s">
        <v>33</v>
      </c>
      <c r="J20" s="88" t="s">
        <v>33</v>
      </c>
      <c r="K20" s="88" t="s">
        <v>33</v>
      </c>
      <c r="L20" s="88" t="s">
        <v>33</v>
      </c>
      <c r="M20" s="88" t="s">
        <v>33</v>
      </c>
      <c r="N20" s="88" t="s">
        <v>33</v>
      </c>
      <c r="O20" s="89" t="s">
        <v>33</v>
      </c>
      <c r="P20" s="89" t="s">
        <v>33</v>
      </c>
      <c r="Q20" s="63" t="s">
        <v>42</v>
      </c>
      <c r="R20" s="63" t="s">
        <v>42</v>
      </c>
      <c r="S20" s="63" t="s">
        <v>42</v>
      </c>
      <c r="T20" s="63" t="s">
        <v>42</v>
      </c>
      <c r="U20" s="63" t="s">
        <v>42</v>
      </c>
      <c r="V20" s="63" t="s">
        <v>42</v>
      </c>
      <c r="W20" s="89" t="s">
        <v>33</v>
      </c>
      <c r="X20" s="89" t="s">
        <v>33</v>
      </c>
      <c r="Y20" s="63" t="s">
        <v>42</v>
      </c>
      <c r="Z20" s="63" t="s">
        <v>42</v>
      </c>
      <c r="AA20" s="63" t="s">
        <v>42</v>
      </c>
      <c r="AB20" s="63" t="s">
        <v>42</v>
      </c>
      <c r="AC20" s="63" t="s">
        <v>42</v>
      </c>
      <c r="AD20" s="63" t="s">
        <v>42</v>
      </c>
      <c r="AE20" s="63" t="s">
        <v>42</v>
      </c>
      <c r="AF20" s="63" t="s">
        <v>42</v>
      </c>
      <c r="AG20" s="90">
        <f>AH20+AI20+AJ20</f>
        <v>5</v>
      </c>
      <c r="AH20" s="92"/>
      <c r="AI20" s="92">
        <v>5</v>
      </c>
      <c r="AJ20" s="92"/>
      <c r="AK20" s="93" t="s">
        <v>51</v>
      </c>
      <c r="AL20" s="109">
        <f t="shared" si="10"/>
        <v>18</v>
      </c>
      <c r="AM20" s="109">
        <f t="shared" si="7"/>
        <v>0</v>
      </c>
      <c r="AN20" s="109">
        <f t="shared" si="8"/>
        <v>3</v>
      </c>
      <c r="AO20" s="45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105">
        <f t="shared" si="9"/>
        <v>5</v>
      </c>
      <c r="AW20" s="27">
        <v>5</v>
      </c>
      <c r="AX20" s="27">
        <f t="shared" si="3"/>
        <v>0</v>
      </c>
      <c r="AY20" s="27">
        <f t="shared" ref="AY20:AY28" si="11">AT20*$AQ20</f>
        <v>90</v>
      </c>
      <c r="AZ20" s="27">
        <f t="shared" ref="AZ20:AZ28" si="12">AU20*$AQ20</f>
        <v>135</v>
      </c>
      <c r="BD20">
        <f t="shared" si="5"/>
        <v>136</v>
      </c>
      <c r="BE20" s="31"/>
    </row>
    <row r="21" spans="1:57">
      <c r="A21" s="94">
        <v>45747</v>
      </c>
      <c r="B21" s="88">
        <v>1600</v>
      </c>
      <c r="C21" s="88"/>
      <c r="D21" s="86">
        <f>(SUM(粮草!A21:X21)+AG21*10*IF(AK21="是",$BB$4,$BB$3))</f>
        <v>1670</v>
      </c>
      <c r="E21" s="100">
        <f>SUM($B$4:B21)+SUM($C$4:C21)-SUM($D$4:D21)</f>
        <v>134</v>
      </c>
      <c r="F21" s="99">
        <f>SUM(经验!A21:X21)</f>
        <v>695</v>
      </c>
      <c r="G21" s="86">
        <f>SUM($F$4:F21)+SUM($H$4:H21)</f>
        <v>13220</v>
      </c>
      <c r="H21" s="88">
        <v>200</v>
      </c>
      <c r="I21" s="88" t="s">
        <v>33</v>
      </c>
      <c r="J21" s="88" t="s">
        <v>33</v>
      </c>
      <c r="K21" s="88" t="s">
        <v>33</v>
      </c>
      <c r="L21" s="88" t="s">
        <v>33</v>
      </c>
      <c r="M21" s="88" t="s">
        <v>33</v>
      </c>
      <c r="N21" s="88" t="s">
        <v>33</v>
      </c>
      <c r="O21" s="89" t="s">
        <v>33</v>
      </c>
      <c r="P21" s="89" t="s">
        <v>33</v>
      </c>
      <c r="Q21" s="64" t="s">
        <v>43</v>
      </c>
      <c r="R21" s="64" t="s">
        <v>43</v>
      </c>
      <c r="S21" s="64" t="s">
        <v>43</v>
      </c>
      <c r="T21" s="64" t="s">
        <v>43</v>
      </c>
      <c r="U21" s="64" t="s">
        <v>43</v>
      </c>
      <c r="V21" s="70" t="s">
        <v>45</v>
      </c>
      <c r="W21" s="64" t="s">
        <v>43</v>
      </c>
      <c r="X21" s="64" t="s">
        <v>43</v>
      </c>
      <c r="Y21" s="63" t="s">
        <v>42</v>
      </c>
      <c r="Z21" s="63" t="s">
        <v>42</v>
      </c>
      <c r="AA21" s="63" t="s">
        <v>42</v>
      </c>
      <c r="AB21" s="63" t="s">
        <v>42</v>
      </c>
      <c r="AC21" s="63" t="s">
        <v>42</v>
      </c>
      <c r="AD21" s="88" t="s">
        <v>33</v>
      </c>
      <c r="AE21" s="89" t="s">
        <v>33</v>
      </c>
      <c r="AF21" s="89" t="s">
        <v>33</v>
      </c>
      <c r="AG21" s="90">
        <f>AH21+AI21+AJ21</f>
        <v>0</v>
      </c>
      <c r="AH21" s="92"/>
      <c r="AI21" s="92"/>
      <c r="AJ21" s="92"/>
      <c r="AK21" s="93" t="s">
        <v>51</v>
      </c>
      <c r="AL21" s="109">
        <f t="shared" si="10"/>
        <v>18</v>
      </c>
      <c r="AM21" s="109">
        <f t="shared" si="7"/>
        <v>0</v>
      </c>
      <c r="AN21" s="109">
        <f t="shared" si="8"/>
        <v>4</v>
      </c>
      <c r="AO21" s="78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105">
        <f t="shared" si="9"/>
        <v>0</v>
      </c>
      <c r="AW21" s="27">
        <v>0</v>
      </c>
      <c r="AX21" s="27">
        <f t="shared" si="3"/>
        <v>0</v>
      </c>
      <c r="AY21" s="27">
        <f t="shared" si="11"/>
        <v>0</v>
      </c>
      <c r="AZ21" s="27">
        <f t="shared" si="12"/>
        <v>0</v>
      </c>
      <c r="BD21">
        <f t="shared" si="5"/>
        <v>200</v>
      </c>
      <c r="BE21" s="31"/>
    </row>
    <row r="22" spans="1:57">
      <c r="A22" s="94">
        <v>45748</v>
      </c>
      <c r="B22" s="88">
        <v>1600</v>
      </c>
      <c r="C22" s="88"/>
      <c r="D22" s="86">
        <f>(SUM(粮草!A22:X22)+AG22*10*IF(AK22="是",$BB$4,$BB$3))</f>
        <v>1704</v>
      </c>
      <c r="E22" s="100">
        <f>SUM($B$4:B22)+SUM($C$4:C22)-SUM($D$4:D22)</f>
        <v>30</v>
      </c>
      <c r="F22" s="99">
        <f>SUM(经验!A22:X22)</f>
        <v>625</v>
      </c>
      <c r="G22" s="86">
        <f>SUM($F$4:F22)+SUM($H$4:H22)</f>
        <v>13945</v>
      </c>
      <c r="H22" s="88">
        <v>100</v>
      </c>
      <c r="I22" s="88" t="s">
        <v>33</v>
      </c>
      <c r="J22" s="88" t="s">
        <v>33</v>
      </c>
      <c r="K22" s="88" t="s">
        <v>33</v>
      </c>
      <c r="L22" s="88" t="s">
        <v>33</v>
      </c>
      <c r="M22" s="88" t="s">
        <v>33</v>
      </c>
      <c r="N22" s="88" t="s">
        <v>33</v>
      </c>
      <c r="O22" s="89" t="s">
        <v>33</v>
      </c>
      <c r="P22" s="89" t="s">
        <v>33</v>
      </c>
      <c r="Q22" s="64" t="s">
        <v>43</v>
      </c>
      <c r="R22" s="64" t="s">
        <v>43</v>
      </c>
      <c r="S22" s="64" t="s">
        <v>43</v>
      </c>
      <c r="T22" s="64" t="s">
        <v>43</v>
      </c>
      <c r="U22" s="64" t="s">
        <v>43</v>
      </c>
      <c r="V22" s="64" t="s">
        <v>43</v>
      </c>
      <c r="W22" s="89" t="s">
        <v>33</v>
      </c>
      <c r="X22" s="89" t="s">
        <v>33</v>
      </c>
      <c r="Y22" s="63" t="s">
        <v>42</v>
      </c>
      <c r="Z22" s="63" t="s">
        <v>42</v>
      </c>
      <c r="AA22" s="63" t="s">
        <v>42</v>
      </c>
      <c r="AB22" s="62" t="s">
        <v>41</v>
      </c>
      <c r="AC22" s="62" t="s">
        <v>41</v>
      </c>
      <c r="AD22" s="88" t="s">
        <v>33</v>
      </c>
      <c r="AE22" s="89" t="s">
        <v>33</v>
      </c>
      <c r="AF22" s="89" t="s">
        <v>33</v>
      </c>
      <c r="AG22" s="90">
        <f t="shared" si="6"/>
        <v>0</v>
      </c>
      <c r="AH22" s="92"/>
      <c r="AI22" s="92"/>
      <c r="AJ22" s="92"/>
      <c r="AK22" s="93" t="s">
        <v>51</v>
      </c>
      <c r="AL22" s="109">
        <f t="shared" si="10"/>
        <v>18</v>
      </c>
      <c r="AM22" s="109">
        <f t="shared" si="7"/>
        <v>0</v>
      </c>
      <c r="AN22" s="109">
        <f t="shared" si="8"/>
        <v>5</v>
      </c>
      <c r="AO22" s="71" t="s">
        <v>52</v>
      </c>
      <c r="AP22" s="20">
        <v>250</v>
      </c>
      <c r="AQ22" s="20">
        <v>1000</v>
      </c>
      <c r="AR22" s="20"/>
      <c r="AS22" s="20">
        <f t="shared" si="0"/>
        <v>0</v>
      </c>
      <c r="AT22" s="20">
        <f t="shared" si="1"/>
        <v>2</v>
      </c>
      <c r="AU22" s="20">
        <f t="shared" si="2"/>
        <v>0</v>
      </c>
      <c r="AV22" s="105">
        <f t="shared" si="9"/>
        <v>2</v>
      </c>
      <c r="AW22" s="27">
        <v>1</v>
      </c>
      <c r="AX22" s="27">
        <f t="shared" si="3"/>
        <v>0</v>
      </c>
      <c r="AY22" s="27">
        <f t="shared" si="11"/>
        <v>2000</v>
      </c>
      <c r="AZ22" s="27">
        <f t="shared" si="12"/>
        <v>0</v>
      </c>
      <c r="BD22">
        <f t="shared" si="5"/>
        <v>200</v>
      </c>
      <c r="BE22" s="31"/>
    </row>
    <row r="23" spans="1:57">
      <c r="A23" s="94">
        <v>45749</v>
      </c>
      <c r="B23" s="88">
        <v>1600</v>
      </c>
      <c r="C23" s="88"/>
      <c r="D23" s="86">
        <f>(SUM(粮草!A23:X23)+AG23*10*IF(AK23="是",$BB$4,$BB$3))</f>
        <v>916</v>
      </c>
      <c r="E23" s="100">
        <f>SUM($B$4:B23)+SUM($C$4:C23)-SUM($D$4:D23)</f>
        <v>714</v>
      </c>
      <c r="F23" s="99">
        <f>SUM(经验!A23:X23)</f>
        <v>930</v>
      </c>
      <c r="G23" s="86">
        <f>SUM($F$4:F23)+SUM($H$4:H23)</f>
        <v>15075</v>
      </c>
      <c r="H23" s="88">
        <v>200</v>
      </c>
      <c r="I23" s="88" t="s">
        <v>33</v>
      </c>
      <c r="J23" s="88" t="s">
        <v>33</v>
      </c>
      <c r="K23" s="88" t="s">
        <v>33</v>
      </c>
      <c r="L23" s="88" t="s">
        <v>33</v>
      </c>
      <c r="M23" s="88" t="s">
        <v>33</v>
      </c>
      <c r="N23" s="88" t="s">
        <v>33</v>
      </c>
      <c r="O23" s="89" t="s">
        <v>33</v>
      </c>
      <c r="P23" s="89" t="s">
        <v>33</v>
      </c>
      <c r="Q23" s="64" t="s">
        <v>43</v>
      </c>
      <c r="R23" s="64" t="s">
        <v>43</v>
      </c>
      <c r="S23" s="64" t="s">
        <v>43</v>
      </c>
      <c r="T23" s="64" t="s">
        <v>43</v>
      </c>
      <c r="U23" s="70" t="s">
        <v>45</v>
      </c>
      <c r="V23" s="88" t="s">
        <v>33</v>
      </c>
      <c r="W23" s="89" t="s">
        <v>33</v>
      </c>
      <c r="X23" s="89" t="s">
        <v>33</v>
      </c>
      <c r="Y23" s="72" t="s">
        <v>53</v>
      </c>
      <c r="Z23" s="69" t="s">
        <v>38</v>
      </c>
      <c r="AA23" s="62" t="s">
        <v>41</v>
      </c>
      <c r="AB23" s="63" t="s">
        <v>42</v>
      </c>
      <c r="AC23" s="63" t="s">
        <v>42</v>
      </c>
      <c r="AD23" s="70" t="s">
        <v>45</v>
      </c>
      <c r="AE23" s="89" t="s">
        <v>33</v>
      </c>
      <c r="AF23" s="89" t="s">
        <v>33</v>
      </c>
      <c r="AG23" s="90">
        <f t="shared" si="6"/>
        <v>1</v>
      </c>
      <c r="AH23" s="92">
        <v>1</v>
      </c>
      <c r="AI23" s="92"/>
      <c r="AJ23" s="92"/>
      <c r="AK23" s="93" t="s">
        <v>51</v>
      </c>
      <c r="AL23" s="109">
        <f t="shared" si="10"/>
        <v>18</v>
      </c>
      <c r="AM23" s="109">
        <f t="shared" si="7"/>
        <v>3</v>
      </c>
      <c r="AN23" s="109">
        <f t="shared" si="8"/>
        <v>7</v>
      </c>
      <c r="AO23" s="72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1</v>
      </c>
      <c r="AV23" s="105">
        <f t="shared" si="9"/>
        <v>1</v>
      </c>
      <c r="AW23" s="27">
        <v>0</v>
      </c>
      <c r="AX23" s="27">
        <f t="shared" si="3"/>
        <v>0</v>
      </c>
      <c r="AY23" s="27">
        <f t="shared" si="11"/>
        <v>0</v>
      </c>
      <c r="AZ23" s="27">
        <f t="shared" si="12"/>
        <v>500</v>
      </c>
      <c r="BD23">
        <f t="shared" si="5"/>
        <v>200</v>
      </c>
      <c r="BE23" s="31"/>
    </row>
    <row r="24" spans="1:57">
      <c r="A24" s="85">
        <v>45750</v>
      </c>
      <c r="B24" s="88">
        <v>1600</v>
      </c>
      <c r="C24" s="88"/>
      <c r="D24" s="86">
        <f>(SUM(粮草!A24:X24)+AG24*10*IF(AK24="是",$BB$4,$BB$3))</f>
        <v>40</v>
      </c>
      <c r="E24" s="100">
        <f>SUM($B$4:B24)+SUM($C$4:C24)-SUM($D$4:D24)</f>
        <v>2274</v>
      </c>
      <c r="F24" s="99">
        <f>SUM(经验!A24:X24)</f>
        <v>0</v>
      </c>
      <c r="G24" s="86">
        <f>SUM($F$4:F24)+SUM($H$4:H24)</f>
        <v>15075</v>
      </c>
      <c r="H24" s="88">
        <v>0</v>
      </c>
      <c r="I24" s="88" t="s">
        <v>33</v>
      </c>
      <c r="J24" s="88" t="s">
        <v>33</v>
      </c>
      <c r="K24" s="88" t="s">
        <v>33</v>
      </c>
      <c r="L24" s="88" t="s">
        <v>33</v>
      </c>
      <c r="M24" s="88" t="s">
        <v>33</v>
      </c>
      <c r="N24" s="88" t="s">
        <v>33</v>
      </c>
      <c r="O24" s="89" t="s">
        <v>33</v>
      </c>
      <c r="P24" s="89" t="s">
        <v>33</v>
      </c>
      <c r="Q24" s="88" t="s">
        <v>33</v>
      </c>
      <c r="R24" s="88" t="s">
        <v>33</v>
      </c>
      <c r="S24" s="88" t="s">
        <v>33</v>
      </c>
      <c r="T24" s="88" t="s">
        <v>33</v>
      </c>
      <c r="U24" s="88" t="s">
        <v>33</v>
      </c>
      <c r="V24" s="88" t="s">
        <v>33</v>
      </c>
      <c r="W24" s="89" t="s">
        <v>33</v>
      </c>
      <c r="X24" s="89" t="s">
        <v>33</v>
      </c>
      <c r="Y24" s="88" t="s">
        <v>33</v>
      </c>
      <c r="Z24" s="88" t="s">
        <v>33</v>
      </c>
      <c r="AA24" s="88" t="s">
        <v>33</v>
      </c>
      <c r="AB24" s="88" t="s">
        <v>33</v>
      </c>
      <c r="AC24" s="88" t="s">
        <v>33</v>
      </c>
      <c r="AD24" s="88" t="s">
        <v>33</v>
      </c>
      <c r="AE24" s="89" t="s">
        <v>33</v>
      </c>
      <c r="AF24" s="89" t="s">
        <v>33</v>
      </c>
      <c r="AG24" s="90">
        <f t="shared" si="6"/>
        <v>5</v>
      </c>
      <c r="AH24" s="92"/>
      <c r="AI24" s="92">
        <v>1</v>
      </c>
      <c r="AJ24" s="92">
        <v>4</v>
      </c>
      <c r="AK24" s="93" t="s">
        <v>51</v>
      </c>
      <c r="AL24" s="109">
        <f t="shared" si="10"/>
        <v>18</v>
      </c>
      <c r="AM24" s="109">
        <f t="shared" si="7"/>
        <v>9</v>
      </c>
      <c r="AN24" s="109">
        <f t="shared" si="8"/>
        <v>13</v>
      </c>
      <c r="AO24" s="78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105">
        <f t="shared" si="9"/>
        <v>0</v>
      </c>
      <c r="AW24" s="27">
        <v>0</v>
      </c>
      <c r="AX24" s="27">
        <f t="shared" si="3"/>
        <v>0</v>
      </c>
      <c r="AY24" s="27">
        <f t="shared" si="11"/>
        <v>0</v>
      </c>
      <c r="AZ24" s="27">
        <f t="shared" si="12"/>
        <v>0</v>
      </c>
      <c r="BD24">
        <f t="shared" si="5"/>
        <v>144</v>
      </c>
      <c r="BE24" s="31"/>
    </row>
    <row r="25" spans="1:57">
      <c r="A25" s="85">
        <v>45751</v>
      </c>
      <c r="B25" s="88">
        <v>1600</v>
      </c>
      <c r="C25" s="88"/>
      <c r="D25" s="86">
        <f>(SUM(粮草!A25:X25)+AG25*10*IF(AK25="是",$BB$4,$BB$3))</f>
        <v>840</v>
      </c>
      <c r="E25" s="100">
        <f>SUM($B$4:B25)+SUM($C$4:C25)-SUM($D$4:D25)</f>
        <v>3034</v>
      </c>
      <c r="F25" s="99">
        <f>SUM(经验!A25:X25)</f>
        <v>1240</v>
      </c>
      <c r="G25" s="86">
        <f>SUM($F$4:F25)+SUM($H$4:H25)</f>
        <v>16315</v>
      </c>
      <c r="H25" s="88">
        <v>0</v>
      </c>
      <c r="I25" s="88" t="s">
        <v>33</v>
      </c>
      <c r="J25" s="88" t="s">
        <v>33</v>
      </c>
      <c r="K25" s="88" t="s">
        <v>33</v>
      </c>
      <c r="L25" s="88" t="s">
        <v>33</v>
      </c>
      <c r="M25" s="88" t="s">
        <v>33</v>
      </c>
      <c r="N25" s="88" t="s">
        <v>33</v>
      </c>
      <c r="O25" s="89" t="s">
        <v>33</v>
      </c>
      <c r="P25" s="89" t="s">
        <v>33</v>
      </c>
      <c r="Q25" s="64" t="s">
        <v>43</v>
      </c>
      <c r="R25" s="64" t="s">
        <v>43</v>
      </c>
      <c r="S25" s="71" t="s">
        <v>52</v>
      </c>
      <c r="T25" s="64" t="s">
        <v>43</v>
      </c>
      <c r="U25" s="64" t="s">
        <v>43</v>
      </c>
      <c r="V25" s="88" t="s">
        <v>33</v>
      </c>
      <c r="W25" s="89" t="s">
        <v>33</v>
      </c>
      <c r="X25" s="89" t="s">
        <v>33</v>
      </c>
      <c r="Y25" s="88" t="s">
        <v>33</v>
      </c>
      <c r="Z25" s="88" t="s">
        <v>33</v>
      </c>
      <c r="AA25" s="88" t="s">
        <v>33</v>
      </c>
      <c r="AB25" s="88" t="s">
        <v>33</v>
      </c>
      <c r="AC25" s="88" t="s">
        <v>33</v>
      </c>
      <c r="AD25" s="88" t="s">
        <v>33</v>
      </c>
      <c r="AE25" s="89" t="s">
        <v>33</v>
      </c>
      <c r="AF25" s="89" t="s">
        <v>33</v>
      </c>
      <c r="AG25" s="90">
        <f t="shared" si="6"/>
        <v>0</v>
      </c>
      <c r="AH25" s="92"/>
      <c r="AI25" s="92"/>
      <c r="AJ25" s="92"/>
      <c r="AK25" s="93" t="s">
        <v>51</v>
      </c>
      <c r="AL25" s="109">
        <f t="shared" si="10"/>
        <v>18</v>
      </c>
      <c r="AM25" s="109">
        <f t="shared" si="7"/>
        <v>10</v>
      </c>
      <c r="AN25" s="109">
        <f t="shared" si="8"/>
        <v>18</v>
      </c>
      <c r="AO25" s="73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105">
        <f t="shared" si="9"/>
        <v>0</v>
      </c>
      <c r="AW25" s="27">
        <v>0</v>
      </c>
      <c r="AX25" s="27">
        <f t="shared" si="3"/>
        <v>0</v>
      </c>
      <c r="AY25" s="27">
        <f t="shared" si="11"/>
        <v>0</v>
      </c>
      <c r="AZ25" s="27">
        <f t="shared" si="12"/>
        <v>0</v>
      </c>
      <c r="BD25">
        <f t="shared" si="5"/>
        <v>128</v>
      </c>
      <c r="BE25" s="31"/>
    </row>
    <row r="26" spans="1:57">
      <c r="A26" s="85">
        <v>45752</v>
      </c>
      <c r="B26" s="88">
        <v>1600</v>
      </c>
      <c r="C26" s="88"/>
      <c r="D26" s="86">
        <f>(SUM(粮草!A26:X26)+AG26*10*IF(AK26="是",$BB$4,$BB$3))</f>
        <v>800</v>
      </c>
      <c r="E26" s="100">
        <f>SUM($B$4:B26)+SUM($C$4:C26)-SUM($D$4:D26)</f>
        <v>3834</v>
      </c>
      <c r="F26" s="99">
        <f>SUM(经验!A26:X26)</f>
        <v>300</v>
      </c>
      <c r="G26" s="86">
        <f>SUM($F$4:F26)+SUM($H$4:H26)</f>
        <v>16615</v>
      </c>
      <c r="H26" s="88">
        <v>0</v>
      </c>
      <c r="I26" s="88" t="s">
        <v>33</v>
      </c>
      <c r="J26" s="88" t="s">
        <v>33</v>
      </c>
      <c r="K26" s="88" t="s">
        <v>33</v>
      </c>
      <c r="L26" s="88" t="s">
        <v>33</v>
      </c>
      <c r="M26" s="88" t="s">
        <v>33</v>
      </c>
      <c r="N26" s="88" t="s">
        <v>33</v>
      </c>
      <c r="O26" s="89" t="s">
        <v>33</v>
      </c>
      <c r="P26" s="89" t="s">
        <v>33</v>
      </c>
      <c r="Q26" s="64" t="s">
        <v>43</v>
      </c>
      <c r="R26" s="64" t="s">
        <v>43</v>
      </c>
      <c r="S26" s="64" t="s">
        <v>43</v>
      </c>
      <c r="T26" s="64" t="s">
        <v>43</v>
      </c>
      <c r="U26" s="64" t="s">
        <v>43</v>
      </c>
      <c r="V26" s="88" t="s">
        <v>33</v>
      </c>
      <c r="W26" s="89" t="s">
        <v>33</v>
      </c>
      <c r="X26" s="89" t="s">
        <v>33</v>
      </c>
      <c r="Y26" s="88" t="s">
        <v>33</v>
      </c>
      <c r="Z26" s="88" t="s">
        <v>33</v>
      </c>
      <c r="AA26" s="88" t="s">
        <v>33</v>
      </c>
      <c r="AB26" s="88" t="s">
        <v>33</v>
      </c>
      <c r="AC26" s="88" t="s">
        <v>33</v>
      </c>
      <c r="AD26" s="88" t="s">
        <v>33</v>
      </c>
      <c r="AE26" s="89" t="s">
        <v>33</v>
      </c>
      <c r="AF26" s="89" t="s">
        <v>33</v>
      </c>
      <c r="AG26" s="90">
        <f t="shared" si="6"/>
        <v>0</v>
      </c>
      <c r="AH26" s="92"/>
      <c r="AI26" s="92"/>
      <c r="AJ26" s="92"/>
      <c r="AK26" s="93" t="s">
        <v>51</v>
      </c>
      <c r="AL26" s="109">
        <f t="shared" si="10"/>
        <v>18</v>
      </c>
      <c r="AM26" s="109">
        <f t="shared" si="7"/>
        <v>11</v>
      </c>
      <c r="AN26" s="109">
        <f t="shared" si="8"/>
        <v>18</v>
      </c>
      <c r="AO26" s="73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105">
        <f t="shared" si="9"/>
        <v>0</v>
      </c>
      <c r="AW26" s="27">
        <v>0</v>
      </c>
      <c r="AX26" s="27">
        <f t="shared" si="3"/>
        <v>0</v>
      </c>
      <c r="AY26" s="27">
        <f t="shared" si="11"/>
        <v>0</v>
      </c>
      <c r="AZ26" s="27">
        <f t="shared" si="12"/>
        <v>0</v>
      </c>
      <c r="BD26">
        <f t="shared" si="5"/>
        <v>120</v>
      </c>
      <c r="BE26" s="31"/>
    </row>
    <row r="27" spans="1:57">
      <c r="A27" s="85">
        <v>45753</v>
      </c>
      <c r="B27" s="88">
        <v>1600</v>
      </c>
      <c r="C27" s="88"/>
      <c r="D27" s="86">
        <f>(SUM(粮草!A27:X27)+AG27*10*IF(AK27="是",$BB$4,$BB$3))</f>
        <v>1272</v>
      </c>
      <c r="E27" s="100">
        <f>SUM($B$4:B27)+SUM($C$4:C27)-SUM($D$4:D27)</f>
        <v>4162</v>
      </c>
      <c r="F27" s="99">
        <f>SUM(经验!A27:X27)</f>
        <v>475</v>
      </c>
      <c r="G27" s="86">
        <f>SUM($F$4:F27)+SUM($H$4:H27)</f>
        <v>17090</v>
      </c>
      <c r="H27" s="88">
        <v>0</v>
      </c>
      <c r="I27" s="88" t="s">
        <v>33</v>
      </c>
      <c r="J27" s="88" t="s">
        <v>33</v>
      </c>
      <c r="K27" s="88" t="s">
        <v>33</v>
      </c>
      <c r="L27" s="88" t="s">
        <v>33</v>
      </c>
      <c r="M27" s="88" t="s">
        <v>33</v>
      </c>
      <c r="N27" s="88" t="s">
        <v>33</v>
      </c>
      <c r="O27" s="89" t="s">
        <v>33</v>
      </c>
      <c r="P27" s="89" t="s">
        <v>33</v>
      </c>
      <c r="Q27" s="64" t="s">
        <v>43</v>
      </c>
      <c r="R27" s="64" t="s">
        <v>43</v>
      </c>
      <c r="S27" s="64" t="s">
        <v>43</v>
      </c>
      <c r="T27" s="64" t="s">
        <v>43</v>
      </c>
      <c r="U27" s="64" t="s">
        <v>43</v>
      </c>
      <c r="V27" s="64" t="s">
        <v>43</v>
      </c>
      <c r="W27" s="64" t="s">
        <v>43</v>
      </c>
      <c r="X27" s="63" t="s">
        <v>42</v>
      </c>
      <c r="Y27" s="88" t="s">
        <v>33</v>
      </c>
      <c r="Z27" s="88" t="s">
        <v>33</v>
      </c>
      <c r="AA27" s="88" t="s">
        <v>33</v>
      </c>
      <c r="AB27" s="88" t="s">
        <v>33</v>
      </c>
      <c r="AC27" s="88" t="s">
        <v>33</v>
      </c>
      <c r="AD27" s="88" t="s">
        <v>33</v>
      </c>
      <c r="AE27" s="89" t="s">
        <v>33</v>
      </c>
      <c r="AF27" s="89" t="s">
        <v>33</v>
      </c>
      <c r="AG27" s="90">
        <f t="shared" si="6"/>
        <v>0</v>
      </c>
      <c r="AH27" s="92"/>
      <c r="AI27" s="92"/>
      <c r="AJ27" s="92"/>
      <c r="AK27" s="93" t="s">
        <v>51</v>
      </c>
      <c r="AL27" s="109">
        <f t="shared" si="10"/>
        <v>18</v>
      </c>
      <c r="AM27" s="109">
        <f t="shared" si="7"/>
        <v>9</v>
      </c>
      <c r="AN27" s="109">
        <f t="shared" si="8"/>
        <v>18</v>
      </c>
      <c r="AO27" s="74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105"/>
      <c r="AW27" s="27"/>
      <c r="AX27" s="27">
        <f>AS27*$AQ27</f>
        <v>0</v>
      </c>
      <c r="AY27" s="27">
        <f t="shared" si="11"/>
        <v>0</v>
      </c>
      <c r="AZ27" s="27">
        <f t="shared" si="12"/>
        <v>0</v>
      </c>
      <c r="BD27">
        <f>AP27*0.8</f>
        <v>0</v>
      </c>
      <c r="BE27" s="31"/>
    </row>
    <row r="28" spans="1:57">
      <c r="A28" s="85">
        <v>45754</v>
      </c>
      <c r="B28" s="86">
        <v>1600</v>
      </c>
      <c r="C28" s="87">
        <v>40</v>
      </c>
      <c r="D28" s="86">
        <f>(SUM(粮草!A28:X28)+AG28*10*IF(AK28="是",$BB$4,$BB$3))</f>
        <v>864</v>
      </c>
      <c r="E28" s="100">
        <f>SUM($B$4:B28)+SUM($C$4:C28)-SUM($D$4:D28)</f>
        <v>4938</v>
      </c>
      <c r="F28" s="99">
        <f>SUM(经验!A28:X28)</f>
        <v>360</v>
      </c>
      <c r="G28" s="86">
        <f>SUM($F$4:F28)+SUM($H$4:H28)</f>
        <v>17650</v>
      </c>
      <c r="H28" s="86">
        <v>200</v>
      </c>
      <c r="I28" s="88" t="s">
        <v>33</v>
      </c>
      <c r="J28" s="88" t="s">
        <v>33</v>
      </c>
      <c r="K28" s="88" t="s">
        <v>33</v>
      </c>
      <c r="L28" s="88" t="s">
        <v>33</v>
      </c>
      <c r="M28" s="88" t="s">
        <v>33</v>
      </c>
      <c r="N28" s="88" t="s">
        <v>33</v>
      </c>
      <c r="O28" s="89" t="s">
        <v>33</v>
      </c>
      <c r="P28" s="89" t="s">
        <v>33</v>
      </c>
      <c r="Q28" s="63" t="s">
        <v>42</v>
      </c>
      <c r="R28" s="63" t="s">
        <v>42</v>
      </c>
      <c r="S28" s="70" t="s">
        <v>45</v>
      </c>
      <c r="T28" s="63" t="s">
        <v>42</v>
      </c>
      <c r="U28" s="61" t="s">
        <v>39</v>
      </c>
      <c r="V28" s="61" t="s">
        <v>39</v>
      </c>
      <c r="W28" s="61" t="s">
        <v>39</v>
      </c>
      <c r="X28" s="64" t="s">
        <v>43</v>
      </c>
      <c r="Y28" s="88" t="s">
        <v>33</v>
      </c>
      <c r="Z28" s="88" t="s">
        <v>33</v>
      </c>
      <c r="AA28" s="88" t="s">
        <v>33</v>
      </c>
      <c r="AB28" s="88" t="s">
        <v>33</v>
      </c>
      <c r="AC28" s="88" t="s">
        <v>33</v>
      </c>
      <c r="AD28" s="88" t="s">
        <v>33</v>
      </c>
      <c r="AE28" s="89" t="s">
        <v>33</v>
      </c>
      <c r="AF28" s="89" t="s">
        <v>33</v>
      </c>
      <c r="AG28" s="90">
        <f t="shared" si="6"/>
        <v>0</v>
      </c>
      <c r="AH28" s="92"/>
      <c r="AI28" s="92"/>
      <c r="AJ28" s="92"/>
      <c r="AK28" s="93" t="s">
        <v>51</v>
      </c>
      <c r="AL28" s="109">
        <f t="shared" si="10"/>
        <v>18</v>
      </c>
      <c r="AM28" s="109">
        <f t="shared" si="7"/>
        <v>9</v>
      </c>
      <c r="AN28" s="109">
        <f t="shared" si="8"/>
        <v>18</v>
      </c>
      <c r="AO28" s="78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105">
        <f>AS28+AT28+AU28</f>
        <v>0</v>
      </c>
      <c r="AW28" s="27">
        <v>0</v>
      </c>
      <c r="AX28" s="27">
        <f>AS28*$AQ28</f>
        <v>0</v>
      </c>
      <c r="AY28" s="27">
        <f t="shared" si="11"/>
        <v>0</v>
      </c>
      <c r="AZ28" s="27">
        <f t="shared" si="12"/>
        <v>0</v>
      </c>
      <c r="BD28">
        <f>AP28*0.8</f>
        <v>0</v>
      </c>
      <c r="BE28" s="31"/>
    </row>
    <row r="29" spans="1:57">
      <c r="A29" s="85">
        <v>45755</v>
      </c>
      <c r="B29" s="86">
        <v>1600</v>
      </c>
      <c r="C29" s="87"/>
      <c r="D29" s="86">
        <f>(SUM(粮草!A29:X29)+AG29*10*IF(AK29="是",$BB$4,$BB$3))</f>
        <v>1120</v>
      </c>
      <c r="E29" s="100">
        <f>SUM($B$4:B29)+SUM($C$4:C29)-SUM($D$4:D29)</f>
        <v>5418</v>
      </c>
      <c r="F29" s="99">
        <f>SUM(经验!A29:X29)</f>
        <v>420</v>
      </c>
      <c r="G29" s="86">
        <f>SUM($F$4:F29)+SUM($H$4:H29)</f>
        <v>18170</v>
      </c>
      <c r="H29" s="86">
        <v>100</v>
      </c>
      <c r="I29" s="88" t="s">
        <v>33</v>
      </c>
      <c r="J29" s="88" t="s">
        <v>33</v>
      </c>
      <c r="K29" s="88" t="s">
        <v>33</v>
      </c>
      <c r="L29" s="88" t="s">
        <v>33</v>
      </c>
      <c r="M29" s="88" t="s">
        <v>33</v>
      </c>
      <c r="N29" s="88" t="s">
        <v>33</v>
      </c>
      <c r="O29" s="89" t="s">
        <v>33</v>
      </c>
      <c r="P29" s="89" t="s">
        <v>33</v>
      </c>
      <c r="Q29" s="64" t="s">
        <v>43</v>
      </c>
      <c r="R29" s="64" t="s">
        <v>43</v>
      </c>
      <c r="S29" s="64" t="s">
        <v>43</v>
      </c>
      <c r="T29" s="64" t="s">
        <v>43</v>
      </c>
      <c r="U29" s="64" t="s">
        <v>43</v>
      </c>
      <c r="V29" s="64" t="s">
        <v>43</v>
      </c>
      <c r="W29" s="64" t="s">
        <v>43</v>
      </c>
      <c r="X29" s="89" t="s">
        <v>33</v>
      </c>
      <c r="Y29" s="88" t="s">
        <v>33</v>
      </c>
      <c r="Z29" s="88" t="s">
        <v>33</v>
      </c>
      <c r="AA29" s="88" t="s">
        <v>33</v>
      </c>
      <c r="AB29" s="88" t="s">
        <v>33</v>
      </c>
      <c r="AC29" s="88" t="s">
        <v>33</v>
      </c>
      <c r="AD29" s="88" t="s">
        <v>33</v>
      </c>
      <c r="AE29" s="89" t="s">
        <v>33</v>
      </c>
      <c r="AF29" s="89" t="s">
        <v>33</v>
      </c>
      <c r="AG29" s="90">
        <f t="shared" si="6"/>
        <v>0</v>
      </c>
      <c r="AH29" s="92"/>
      <c r="AI29" s="92"/>
      <c r="AJ29" s="92"/>
      <c r="AK29" s="93" t="s">
        <v>51</v>
      </c>
      <c r="AL29" s="109">
        <f t="shared" si="10"/>
        <v>18</v>
      </c>
      <c r="AM29" s="109">
        <f t="shared" si="7"/>
        <v>8</v>
      </c>
      <c r="AN29" s="109">
        <f t="shared" si="8"/>
        <v>18</v>
      </c>
      <c r="AO29" s="47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1</v>
      </c>
      <c r="AU29" s="20">
        <f>COUNTIF($Y$4:$AF$93,AO29)</f>
        <v>0</v>
      </c>
      <c r="AV29" s="105">
        <f>AS29+AT29+AU29</f>
        <v>1</v>
      </c>
      <c r="AW29" s="27">
        <v>1</v>
      </c>
      <c r="AX29" s="27">
        <f>AS29*$AQ29</f>
        <v>0</v>
      </c>
      <c r="AY29" s="27">
        <f>AT29*$AQ29</f>
        <v>520</v>
      </c>
      <c r="AZ29" s="27">
        <f>AU29*$AQ29</f>
        <v>0</v>
      </c>
      <c r="BD29">
        <f>AP29*0.8</f>
        <v>40</v>
      </c>
      <c r="BE29" s="31"/>
    </row>
    <row r="30" spans="1:57">
      <c r="A30" s="85">
        <v>45756</v>
      </c>
      <c r="B30" s="86">
        <v>1600</v>
      </c>
      <c r="C30" s="87"/>
      <c r="D30" s="86">
        <f>(SUM(粮草!A30:X30)+AG30*10*IF(AK30="是",$BB$4,$BB$3))</f>
        <v>960</v>
      </c>
      <c r="E30" s="100">
        <f>SUM($B$4:B30)+SUM($C$4:C30)-SUM($D$4:D30)</f>
        <v>6058</v>
      </c>
      <c r="F30" s="99">
        <f>SUM(经验!A30:X30)</f>
        <v>360</v>
      </c>
      <c r="G30" s="86">
        <f>SUM($F$4:F30)+SUM($H$4:H30)</f>
        <v>18730</v>
      </c>
      <c r="H30" s="86">
        <v>200</v>
      </c>
      <c r="I30" s="88" t="s">
        <v>33</v>
      </c>
      <c r="J30" s="88" t="s">
        <v>33</v>
      </c>
      <c r="K30" s="88" t="s">
        <v>33</v>
      </c>
      <c r="L30" s="88" t="s">
        <v>33</v>
      </c>
      <c r="M30" s="88" t="s">
        <v>33</v>
      </c>
      <c r="N30" s="88" t="s">
        <v>33</v>
      </c>
      <c r="O30" s="89" t="s">
        <v>33</v>
      </c>
      <c r="P30" s="89" t="s">
        <v>33</v>
      </c>
      <c r="Q30" s="64" t="s">
        <v>43</v>
      </c>
      <c r="R30" s="64" t="s">
        <v>43</v>
      </c>
      <c r="S30" s="64" t="s">
        <v>43</v>
      </c>
      <c r="T30" s="64" t="s">
        <v>43</v>
      </c>
      <c r="U30" s="64" t="s">
        <v>43</v>
      </c>
      <c r="V30" s="64" t="s">
        <v>43</v>
      </c>
      <c r="W30" s="89" t="s">
        <v>33</v>
      </c>
      <c r="X30" s="89" t="s">
        <v>33</v>
      </c>
      <c r="Y30" s="88" t="s">
        <v>33</v>
      </c>
      <c r="Z30" s="88" t="s">
        <v>33</v>
      </c>
      <c r="AA30" s="88" t="s">
        <v>33</v>
      </c>
      <c r="AB30" s="88" t="s">
        <v>33</v>
      </c>
      <c r="AC30" s="88" t="s">
        <v>33</v>
      </c>
      <c r="AD30" s="88" t="s">
        <v>33</v>
      </c>
      <c r="AE30" s="89" t="s">
        <v>33</v>
      </c>
      <c r="AF30" s="89" t="s">
        <v>33</v>
      </c>
      <c r="AG30" s="90">
        <f t="shared" si="6"/>
        <v>0</v>
      </c>
      <c r="AH30" s="92"/>
      <c r="AI30" s="92"/>
      <c r="AJ30" s="92"/>
      <c r="AK30" s="93" t="s">
        <v>51</v>
      </c>
      <c r="AL30" s="109">
        <f>MIN(AL29+6,18)-COUNTIF(I30:P30,"&lt;&gt;空")+COUNTIF(I30:P30,"历练")+COUNTIF(I30:P30,"营地")*2</f>
        <v>18</v>
      </c>
      <c r="AM30" s="109">
        <f t="shared" si="7"/>
        <v>8</v>
      </c>
      <c r="AN30" s="109">
        <f t="shared" si="8"/>
        <v>18</v>
      </c>
      <c r="AO30" s="20"/>
      <c r="AP30" s="20"/>
      <c r="AQ30" s="20"/>
      <c r="AR30" s="27"/>
      <c r="BE30" s="31"/>
    </row>
    <row r="31" spans="1:57">
      <c r="A31" s="85">
        <v>45757</v>
      </c>
      <c r="B31" s="86">
        <v>1600</v>
      </c>
      <c r="C31" s="87"/>
      <c r="D31" s="86">
        <f>(SUM(粮草!A31:X31)+AG31*10*IF(AK31="是",$BB$4,$BB$3))</f>
        <v>960</v>
      </c>
      <c r="E31" s="100">
        <f>SUM($B$4:B31)+SUM($C$4:C31)-SUM($D$4:D31)</f>
        <v>6698</v>
      </c>
      <c r="F31" s="99">
        <f>SUM(经验!A31:X31)</f>
        <v>420</v>
      </c>
      <c r="G31" s="86">
        <f>SUM($F$4:F31)+SUM($H$4:H31)</f>
        <v>19150</v>
      </c>
      <c r="H31" s="86">
        <v>0</v>
      </c>
      <c r="I31" s="88" t="s">
        <v>33</v>
      </c>
      <c r="J31" s="88" t="s">
        <v>33</v>
      </c>
      <c r="K31" s="88" t="s">
        <v>33</v>
      </c>
      <c r="L31" s="88" t="s">
        <v>33</v>
      </c>
      <c r="M31" s="88" t="s">
        <v>33</v>
      </c>
      <c r="N31" s="88" t="s">
        <v>33</v>
      </c>
      <c r="O31" s="89" t="s">
        <v>33</v>
      </c>
      <c r="P31" s="89" t="s">
        <v>33</v>
      </c>
      <c r="Q31" s="64" t="s">
        <v>43</v>
      </c>
      <c r="R31" s="64" t="s">
        <v>43</v>
      </c>
      <c r="S31" s="64" t="s">
        <v>43</v>
      </c>
      <c r="T31" s="64" t="s">
        <v>43</v>
      </c>
      <c r="U31" s="64" t="s">
        <v>43</v>
      </c>
      <c r="V31" s="70" t="s">
        <v>45</v>
      </c>
      <c r="W31" s="64" t="s">
        <v>43</v>
      </c>
      <c r="X31" s="64" t="s">
        <v>43</v>
      </c>
      <c r="Y31" s="88" t="s">
        <v>33</v>
      </c>
      <c r="Z31" s="88" t="s">
        <v>33</v>
      </c>
      <c r="AA31" s="88" t="s">
        <v>33</v>
      </c>
      <c r="AB31" s="88" t="s">
        <v>33</v>
      </c>
      <c r="AC31" s="88" t="s">
        <v>33</v>
      </c>
      <c r="AD31" s="88" t="s">
        <v>33</v>
      </c>
      <c r="AE31" s="89" t="s">
        <v>33</v>
      </c>
      <c r="AF31" s="89" t="s">
        <v>33</v>
      </c>
      <c r="AG31" s="90">
        <f t="shared" si="6"/>
        <v>0</v>
      </c>
      <c r="AH31" s="92"/>
      <c r="AI31" s="92"/>
      <c r="AJ31" s="92"/>
      <c r="AK31" s="93" t="s">
        <v>51</v>
      </c>
      <c r="AL31" s="109">
        <f t="shared" si="10"/>
        <v>18</v>
      </c>
      <c r="AM31" s="109">
        <f t="shared" si="7"/>
        <v>8</v>
      </c>
      <c r="AN31" s="109">
        <f t="shared" si="8"/>
        <v>18</v>
      </c>
      <c r="AO31" s="20"/>
      <c r="AP31" s="20"/>
      <c r="AQ31" s="20"/>
      <c r="AR31" s="27"/>
      <c r="BE31" s="31"/>
    </row>
    <row r="32" spans="1:57">
      <c r="A32" s="85">
        <v>45758</v>
      </c>
      <c r="B32" s="86">
        <v>1600</v>
      </c>
      <c r="C32" s="87"/>
      <c r="D32" s="86">
        <f>(SUM(粮草!A32:X32)+AG32*10*IF(AK32="是",$BB$4,$BB$3))</f>
        <v>840</v>
      </c>
      <c r="E32" s="100">
        <f>SUM($B$4:B32)+SUM($C$4:C32)-SUM($D$4:D32)</f>
        <v>7458</v>
      </c>
      <c r="F32" s="99">
        <f>SUM(经验!A32:X32)</f>
        <v>1240</v>
      </c>
      <c r="G32" s="86">
        <f>SUM($F$4:F32)+SUM($H$4:H32)</f>
        <v>20390</v>
      </c>
      <c r="H32" s="86">
        <v>0</v>
      </c>
      <c r="I32" s="88" t="s">
        <v>33</v>
      </c>
      <c r="J32" s="88" t="s">
        <v>33</v>
      </c>
      <c r="K32" s="88" t="s">
        <v>33</v>
      </c>
      <c r="L32" s="88" t="s">
        <v>33</v>
      </c>
      <c r="M32" s="88" t="s">
        <v>33</v>
      </c>
      <c r="N32" s="88" t="s">
        <v>33</v>
      </c>
      <c r="O32" s="89" t="s">
        <v>33</v>
      </c>
      <c r="P32" s="89" t="s">
        <v>33</v>
      </c>
      <c r="Q32" s="64" t="s">
        <v>43</v>
      </c>
      <c r="R32" s="64" t="s">
        <v>43</v>
      </c>
      <c r="S32" s="64" t="s">
        <v>43</v>
      </c>
      <c r="T32" s="64" t="s">
        <v>43</v>
      </c>
      <c r="U32" s="71" t="s">
        <v>52</v>
      </c>
      <c r="V32" s="88" t="s">
        <v>33</v>
      </c>
      <c r="W32" s="89" t="s">
        <v>33</v>
      </c>
      <c r="X32" s="89" t="s">
        <v>33</v>
      </c>
      <c r="Y32" s="88" t="s">
        <v>33</v>
      </c>
      <c r="Z32" s="88" t="s">
        <v>33</v>
      </c>
      <c r="AA32" s="88" t="s">
        <v>33</v>
      </c>
      <c r="AB32" s="88" t="s">
        <v>33</v>
      </c>
      <c r="AC32" s="88" t="s">
        <v>33</v>
      </c>
      <c r="AD32" s="88" t="s">
        <v>33</v>
      </c>
      <c r="AE32" s="89" t="s">
        <v>33</v>
      </c>
      <c r="AF32" s="89" t="s">
        <v>33</v>
      </c>
      <c r="AG32" s="90">
        <f t="shared" si="6"/>
        <v>0</v>
      </c>
      <c r="AH32" s="92"/>
      <c r="AI32" s="92"/>
      <c r="AJ32" s="92"/>
      <c r="AK32" s="93" t="s">
        <v>51</v>
      </c>
      <c r="AL32" s="109">
        <f t="shared" si="10"/>
        <v>18</v>
      </c>
      <c r="AM32" s="109">
        <f t="shared" si="7"/>
        <v>9</v>
      </c>
      <c r="AN32" s="109">
        <f t="shared" si="8"/>
        <v>18</v>
      </c>
      <c r="AO32" s="20" t="s">
        <v>72</v>
      </c>
      <c r="AP32" s="20" t="s">
        <v>75</v>
      </c>
      <c r="AQ32" s="20" t="s">
        <v>74</v>
      </c>
      <c r="AR32" s="28" t="s">
        <v>22</v>
      </c>
      <c r="AS32" s="101" t="s">
        <v>76</v>
      </c>
      <c r="BE32" s="31"/>
    </row>
    <row r="33" spans="1:57">
      <c r="A33" s="85">
        <v>45759</v>
      </c>
      <c r="B33" s="86">
        <v>1600</v>
      </c>
      <c r="C33" s="87"/>
      <c r="D33" s="86">
        <f>(SUM(粮草!A33:X33)+AG33*10*IF(AK33="是",$BB$4,$BB$3))</f>
        <v>864</v>
      </c>
      <c r="E33" s="100">
        <f>SUM($B$4:B33)+SUM($C$4:C33)-SUM($D$4:D33)</f>
        <v>8194</v>
      </c>
      <c r="F33" s="99">
        <f>SUM(经验!A33:X33)</f>
        <v>300</v>
      </c>
      <c r="G33" s="86">
        <f>SUM($F$4:F33)+SUM($H$4:H33)</f>
        <v>20690</v>
      </c>
      <c r="H33" s="86">
        <v>0</v>
      </c>
      <c r="I33" s="88" t="s">
        <v>33</v>
      </c>
      <c r="J33" s="88" t="s">
        <v>33</v>
      </c>
      <c r="K33" s="88" t="s">
        <v>33</v>
      </c>
      <c r="L33" s="88" t="s">
        <v>33</v>
      </c>
      <c r="M33" s="88" t="s">
        <v>33</v>
      </c>
      <c r="N33" s="88" t="s">
        <v>33</v>
      </c>
      <c r="O33" s="89" t="s">
        <v>33</v>
      </c>
      <c r="P33" s="89" t="s">
        <v>33</v>
      </c>
      <c r="Q33" s="88" t="s">
        <v>33</v>
      </c>
      <c r="R33" s="88" t="s">
        <v>33</v>
      </c>
      <c r="S33" s="88" t="s">
        <v>33</v>
      </c>
      <c r="T33" s="88" t="s">
        <v>33</v>
      </c>
      <c r="U33" s="88" t="s">
        <v>33</v>
      </c>
      <c r="V33" s="88" t="s">
        <v>33</v>
      </c>
      <c r="W33" s="89" t="s">
        <v>33</v>
      </c>
      <c r="X33" s="89" t="s">
        <v>33</v>
      </c>
      <c r="Y33" s="62" t="s">
        <v>41</v>
      </c>
      <c r="Z33" s="62" t="s">
        <v>41</v>
      </c>
      <c r="AA33" s="62" t="s">
        <v>41</v>
      </c>
      <c r="AB33" s="62" t="s">
        <v>41</v>
      </c>
      <c r="AC33" s="62" t="s">
        <v>41</v>
      </c>
      <c r="AD33" s="62" t="s">
        <v>41</v>
      </c>
      <c r="AE33" s="89" t="s">
        <v>33</v>
      </c>
      <c r="AF33" s="89" t="s">
        <v>33</v>
      </c>
      <c r="AG33" s="90">
        <f t="shared" si="6"/>
        <v>0</v>
      </c>
      <c r="AH33" s="92"/>
      <c r="AI33" s="92"/>
      <c r="AJ33" s="92"/>
      <c r="AK33" s="93" t="s">
        <v>51</v>
      </c>
      <c r="AL33" s="109">
        <f t="shared" si="10"/>
        <v>18</v>
      </c>
      <c r="AM33" s="109">
        <f t="shared" si="7"/>
        <v>15</v>
      </c>
      <c r="AN33" s="109">
        <f t="shared" si="8"/>
        <v>12</v>
      </c>
      <c r="AO33" s="61" t="s">
        <v>39</v>
      </c>
      <c r="AP33" s="20">
        <v>209</v>
      </c>
      <c r="AQ33" s="20">
        <f>AP33-AV6</f>
        <v>120</v>
      </c>
      <c r="AR33" s="27">
        <f>AQ33*AP6*0.8</f>
        <v>16320</v>
      </c>
      <c r="AS33" s="27">
        <f>AQ33*AQ6</f>
        <v>5400</v>
      </c>
      <c r="BE33" s="31"/>
    </row>
    <row r="34" spans="1:57">
      <c r="A34" s="85">
        <v>45760</v>
      </c>
      <c r="B34" s="86">
        <v>1600</v>
      </c>
      <c r="C34" s="87"/>
      <c r="D34" s="86">
        <f>(SUM(粮草!A34:X34)+AG34*10*IF(AK34="是",$BB$4,$BB$3))</f>
        <v>864</v>
      </c>
      <c r="E34" s="100">
        <f>SUM($B$4:B34)+SUM($C$4:C34)-SUM($D$4:D34)</f>
        <v>8930</v>
      </c>
      <c r="F34" s="99">
        <f>SUM(经验!A34:X34)</f>
        <v>300</v>
      </c>
      <c r="G34" s="86">
        <f>SUM($F$4:F34)+SUM($H$4:H34)</f>
        <v>20990</v>
      </c>
      <c r="H34" s="86">
        <v>0</v>
      </c>
      <c r="I34" s="88" t="s">
        <v>33</v>
      </c>
      <c r="J34" s="88" t="s">
        <v>33</v>
      </c>
      <c r="K34" s="88" t="s">
        <v>33</v>
      </c>
      <c r="L34" s="88" t="s">
        <v>33</v>
      </c>
      <c r="M34" s="88" t="s">
        <v>33</v>
      </c>
      <c r="N34" s="88" t="s">
        <v>33</v>
      </c>
      <c r="O34" s="89" t="s">
        <v>33</v>
      </c>
      <c r="P34" s="89" t="s">
        <v>33</v>
      </c>
      <c r="Q34" s="88" t="s">
        <v>33</v>
      </c>
      <c r="R34" s="88" t="s">
        <v>33</v>
      </c>
      <c r="S34" s="88" t="s">
        <v>33</v>
      </c>
      <c r="T34" s="88" t="s">
        <v>33</v>
      </c>
      <c r="U34" s="88" t="s">
        <v>33</v>
      </c>
      <c r="V34" s="88" t="s">
        <v>33</v>
      </c>
      <c r="W34" s="89" t="s">
        <v>33</v>
      </c>
      <c r="X34" s="89" t="s">
        <v>33</v>
      </c>
      <c r="Y34" s="62" t="s">
        <v>41</v>
      </c>
      <c r="Z34" s="62" t="s">
        <v>41</v>
      </c>
      <c r="AA34" s="62" t="s">
        <v>41</v>
      </c>
      <c r="AB34" s="62" t="s">
        <v>41</v>
      </c>
      <c r="AC34" s="62" t="s">
        <v>41</v>
      </c>
      <c r="AD34" s="62" t="s">
        <v>41</v>
      </c>
      <c r="AE34" s="89" t="s">
        <v>33</v>
      </c>
      <c r="AF34" s="89" t="s">
        <v>33</v>
      </c>
      <c r="AG34" s="90">
        <f t="shared" si="6"/>
        <v>0</v>
      </c>
      <c r="AH34" s="92"/>
      <c r="AI34" s="92"/>
      <c r="AJ34" s="92"/>
      <c r="AK34" s="93" t="s">
        <v>51</v>
      </c>
      <c r="AL34" s="109">
        <f t="shared" si="10"/>
        <v>18</v>
      </c>
      <c r="AM34" s="109">
        <f t="shared" si="7"/>
        <v>18</v>
      </c>
      <c r="AN34" s="109">
        <f t="shared" si="8"/>
        <v>12</v>
      </c>
      <c r="AO34" s="62" t="s">
        <v>41</v>
      </c>
      <c r="AP34" s="20">
        <v>276</v>
      </c>
      <c r="AQ34" s="20">
        <f>AP34-AV7</f>
        <v>233</v>
      </c>
      <c r="AR34" s="27">
        <f>AQ34*AP7*0.8</f>
        <v>33552</v>
      </c>
      <c r="AS34" s="27">
        <f>AQ34*AQ7</f>
        <v>11650</v>
      </c>
      <c r="BE34" s="31"/>
    </row>
    <row r="35" spans="1:57">
      <c r="A35" s="85">
        <v>45761</v>
      </c>
      <c r="B35" s="88">
        <v>1600</v>
      </c>
      <c r="C35" s="88"/>
      <c r="D35" s="86">
        <f>(SUM(粮草!A35:X35)+AG35*10*IF(AK35="是",$BB$4,$BB$3))</f>
        <v>704</v>
      </c>
      <c r="E35" s="100">
        <f>SUM($B$4:B35)+SUM($C$4:C35)-SUM($D$4:D35)</f>
        <v>9826</v>
      </c>
      <c r="F35" s="99">
        <f>SUM(经验!A35:X35)</f>
        <v>300</v>
      </c>
      <c r="G35" s="86">
        <f>SUM($F$4:F35)+SUM($H$4:H35)</f>
        <v>21490</v>
      </c>
      <c r="H35" s="88">
        <v>200</v>
      </c>
      <c r="I35" s="88" t="s">
        <v>33</v>
      </c>
      <c r="J35" s="88" t="s">
        <v>33</v>
      </c>
      <c r="K35" s="88" t="s">
        <v>33</v>
      </c>
      <c r="L35" s="88" t="s">
        <v>33</v>
      </c>
      <c r="M35" s="88" t="s">
        <v>33</v>
      </c>
      <c r="N35" s="88" t="s">
        <v>33</v>
      </c>
      <c r="O35" s="89" t="s">
        <v>33</v>
      </c>
      <c r="P35" s="89" t="s">
        <v>33</v>
      </c>
      <c r="Q35" s="88" t="s">
        <v>33</v>
      </c>
      <c r="R35" s="88" t="s">
        <v>33</v>
      </c>
      <c r="S35" s="88" t="s">
        <v>33</v>
      </c>
      <c r="T35" s="88" t="s">
        <v>33</v>
      </c>
      <c r="U35" s="88" t="s">
        <v>33</v>
      </c>
      <c r="V35" s="88" t="s">
        <v>33</v>
      </c>
      <c r="W35" s="89" t="s">
        <v>33</v>
      </c>
      <c r="X35" s="89" t="s">
        <v>33</v>
      </c>
      <c r="Y35" s="62" t="s">
        <v>41</v>
      </c>
      <c r="Z35" s="62" t="s">
        <v>41</v>
      </c>
      <c r="AA35" s="62" t="s">
        <v>41</v>
      </c>
      <c r="AB35" s="62" t="s">
        <v>41</v>
      </c>
      <c r="AC35" s="62" t="s">
        <v>41</v>
      </c>
      <c r="AD35" s="62" t="s">
        <v>41</v>
      </c>
      <c r="AE35" s="70" t="s">
        <v>45</v>
      </c>
      <c r="AF35" s="89" t="s">
        <v>33</v>
      </c>
      <c r="AG35" s="90">
        <f t="shared" si="6"/>
        <v>0</v>
      </c>
      <c r="AH35" s="92"/>
      <c r="AI35" s="92"/>
      <c r="AJ35" s="92"/>
      <c r="AK35" s="93" t="s">
        <v>51</v>
      </c>
      <c r="AL35" s="109">
        <f t="shared" si="10"/>
        <v>18</v>
      </c>
      <c r="AM35" s="109">
        <f t="shared" si="7"/>
        <v>18</v>
      </c>
      <c r="AN35" s="109">
        <f t="shared" si="8"/>
        <v>13</v>
      </c>
      <c r="AO35" s="63" t="s">
        <v>42</v>
      </c>
      <c r="AP35" s="20">
        <v>233</v>
      </c>
      <c r="AQ35" s="20">
        <f>AP35-AV8</f>
        <v>186</v>
      </c>
      <c r="AR35" s="27">
        <f>AQ35*AP8*0.8</f>
        <v>28272</v>
      </c>
      <c r="AS35" s="27">
        <f t="shared" ref="AS35:AS42" si="13">AQ35*AQ8</f>
        <v>10230</v>
      </c>
      <c r="BE35" s="31"/>
    </row>
    <row r="36" spans="1:57">
      <c r="A36" s="85">
        <v>45762</v>
      </c>
      <c r="B36" s="88">
        <v>1600</v>
      </c>
      <c r="C36" s="88"/>
      <c r="D36" s="86">
        <f>(SUM(粮草!A36:X36)+AG36*10*IF(AK36="是",$BB$4,$BB$3))</f>
        <v>0</v>
      </c>
      <c r="E36" s="100">
        <f>SUM($B$4:B36)+SUM($C$4:C36)-SUM($D$4:D36)</f>
        <v>11426</v>
      </c>
      <c r="F36" s="99">
        <f>SUM(经验!A36:X36)</f>
        <v>0</v>
      </c>
      <c r="G36" s="86">
        <f>SUM($F$4:F36)+SUM($H$4:H36)</f>
        <v>21590</v>
      </c>
      <c r="H36" s="88">
        <v>100</v>
      </c>
      <c r="I36" s="88" t="s">
        <v>33</v>
      </c>
      <c r="J36" s="88" t="s">
        <v>33</v>
      </c>
      <c r="K36" s="88" t="s">
        <v>33</v>
      </c>
      <c r="L36" s="88" t="s">
        <v>33</v>
      </c>
      <c r="M36" s="88" t="s">
        <v>33</v>
      </c>
      <c r="N36" s="88" t="s">
        <v>33</v>
      </c>
      <c r="O36" s="89" t="s">
        <v>33</v>
      </c>
      <c r="P36" s="89" t="s">
        <v>33</v>
      </c>
      <c r="Q36" s="88" t="s">
        <v>33</v>
      </c>
      <c r="R36" s="88" t="s">
        <v>33</v>
      </c>
      <c r="S36" s="88" t="s">
        <v>33</v>
      </c>
      <c r="T36" s="88" t="s">
        <v>33</v>
      </c>
      <c r="U36" s="88" t="s">
        <v>33</v>
      </c>
      <c r="V36" s="88" t="s">
        <v>33</v>
      </c>
      <c r="W36" s="89" t="s">
        <v>33</v>
      </c>
      <c r="X36" s="89" t="s">
        <v>33</v>
      </c>
      <c r="Y36" s="88" t="s">
        <v>33</v>
      </c>
      <c r="Z36" s="88" t="s">
        <v>33</v>
      </c>
      <c r="AA36" s="88" t="s">
        <v>33</v>
      </c>
      <c r="AB36" s="88" t="s">
        <v>33</v>
      </c>
      <c r="AC36" s="88" t="s">
        <v>33</v>
      </c>
      <c r="AD36" s="88" t="s">
        <v>33</v>
      </c>
      <c r="AE36" s="89" t="s">
        <v>33</v>
      </c>
      <c r="AF36" s="89" t="s">
        <v>33</v>
      </c>
      <c r="AG36" s="90">
        <f t="shared" si="6"/>
        <v>0</v>
      </c>
      <c r="AH36" s="92"/>
      <c r="AI36" s="92"/>
      <c r="AJ36" s="92"/>
      <c r="AK36" s="93" t="s">
        <v>51</v>
      </c>
      <c r="AL36" s="109">
        <f t="shared" si="10"/>
        <v>18</v>
      </c>
      <c r="AM36" s="109">
        <f t="shared" si="7"/>
        <v>18</v>
      </c>
      <c r="AN36" s="109">
        <f t="shared" si="8"/>
        <v>18</v>
      </c>
      <c r="AO36" s="64" t="s">
        <v>43</v>
      </c>
      <c r="AP36" s="20">
        <v>193</v>
      </c>
      <c r="AQ36" s="20">
        <f>AP36-AV9</f>
        <v>135</v>
      </c>
      <c r="AR36" s="27">
        <f>AQ36*AP9*0.8</f>
        <v>21600</v>
      </c>
      <c r="AS36" s="27">
        <f t="shared" si="13"/>
        <v>8100</v>
      </c>
      <c r="BE36" s="31"/>
    </row>
    <row r="37" spans="1:57">
      <c r="A37" s="85">
        <v>45763</v>
      </c>
      <c r="B37" s="88">
        <v>1600</v>
      </c>
      <c r="C37" s="88"/>
      <c r="D37" s="86">
        <f>(SUM(粮草!A37:X37)+AG37*10*IF(AK37="是",$BB$4,$BB$3))</f>
        <v>0</v>
      </c>
      <c r="E37" s="100">
        <f>SUM($B$4:B37)+SUM($C$4:C37)-SUM($D$4:D37)</f>
        <v>13026</v>
      </c>
      <c r="F37" s="99">
        <f>SUM(经验!A37:X37)</f>
        <v>0</v>
      </c>
      <c r="G37" s="86">
        <f>SUM($F$4:F37)+SUM($H$4:H37)</f>
        <v>21790</v>
      </c>
      <c r="H37" s="88">
        <v>200</v>
      </c>
      <c r="I37" s="88" t="s">
        <v>33</v>
      </c>
      <c r="J37" s="88" t="s">
        <v>33</v>
      </c>
      <c r="K37" s="88" t="s">
        <v>33</v>
      </c>
      <c r="L37" s="88" t="s">
        <v>33</v>
      </c>
      <c r="M37" s="88" t="s">
        <v>33</v>
      </c>
      <c r="N37" s="88" t="s">
        <v>33</v>
      </c>
      <c r="O37" s="89" t="s">
        <v>33</v>
      </c>
      <c r="P37" s="89" t="s">
        <v>33</v>
      </c>
      <c r="Q37" s="88" t="s">
        <v>33</v>
      </c>
      <c r="R37" s="88" t="s">
        <v>33</v>
      </c>
      <c r="S37" s="88" t="s">
        <v>33</v>
      </c>
      <c r="T37" s="88" t="s">
        <v>33</v>
      </c>
      <c r="U37" s="88" t="s">
        <v>33</v>
      </c>
      <c r="V37" s="88" t="s">
        <v>33</v>
      </c>
      <c r="W37" s="89" t="s">
        <v>33</v>
      </c>
      <c r="X37" s="89" t="s">
        <v>33</v>
      </c>
      <c r="Y37" s="88" t="s">
        <v>33</v>
      </c>
      <c r="Z37" s="88" t="s">
        <v>33</v>
      </c>
      <c r="AA37" s="88" t="s">
        <v>33</v>
      </c>
      <c r="AB37" s="88" t="s">
        <v>33</v>
      </c>
      <c r="AC37" s="88" t="s">
        <v>33</v>
      </c>
      <c r="AD37" s="88" t="s">
        <v>33</v>
      </c>
      <c r="AE37" s="89" t="s">
        <v>33</v>
      </c>
      <c r="AF37" s="89" t="s">
        <v>33</v>
      </c>
      <c r="AG37" s="90">
        <f t="shared" si="6"/>
        <v>0</v>
      </c>
      <c r="AH37" s="92"/>
      <c r="AI37" s="92"/>
      <c r="AJ37" s="92"/>
      <c r="AK37" s="93" t="s">
        <v>51</v>
      </c>
      <c r="AL37" s="109">
        <f t="shared" ref="AL37:AL68" si="14">MIN(AL36+6,18)-COUNTIF(I37:P37,"&lt;&gt;空")+COUNTIF(I37:P37,"历练")+COUNTIF(I37:P37,"营地")*2</f>
        <v>18</v>
      </c>
      <c r="AM37" s="109">
        <f t="shared" ref="AM37:AM68" si="15">MIN(AM36+6,18)-COUNTIF(Q37:X37,"&lt;&gt;空")+COUNTIF(Q37:X37,"历练")+COUNTIF(Q37:X37,"营地")*2</f>
        <v>18</v>
      </c>
      <c r="AN37" s="109">
        <f t="shared" ref="AN37:AN68" si="16">MIN(AN36+6,18)-COUNTIF(Y37:AF37,"&lt;&gt;空")+COUNTIF(Y37:AF37,"历练")+COUNTIF(Y37:AF37,"营地")*2</f>
        <v>18</v>
      </c>
      <c r="AO37" s="69" t="s">
        <v>38</v>
      </c>
      <c r="AP37" s="20">
        <v>38</v>
      </c>
      <c r="AQ37" s="20">
        <f>AP37-AV17</f>
        <v>27</v>
      </c>
      <c r="AR37" s="27">
        <f>AQ37*AP17*0.8</f>
        <v>1080</v>
      </c>
      <c r="AS37" s="27">
        <f>AQ37*AQ17</f>
        <v>810</v>
      </c>
      <c r="BE37" s="31"/>
    </row>
    <row r="38" spans="1:57">
      <c r="A38" s="85">
        <v>45764</v>
      </c>
      <c r="B38" s="88">
        <v>1600</v>
      </c>
      <c r="C38" s="88"/>
      <c r="D38" s="86">
        <f>(SUM(粮草!A38:X38)+AG38*10*IF(AK38="是",$BB$4,$BB$3))</f>
        <v>0</v>
      </c>
      <c r="E38" s="100">
        <f>SUM($B$4:B38)+SUM($C$4:C38)-SUM($D$4:D38)</f>
        <v>14626</v>
      </c>
      <c r="F38" s="99">
        <f>SUM(经验!A38:X38)</f>
        <v>0</v>
      </c>
      <c r="G38" s="86">
        <f>SUM($F$4:F38)+SUM($H$4:H38)</f>
        <v>21790</v>
      </c>
      <c r="H38" s="88">
        <v>0</v>
      </c>
      <c r="I38" s="88" t="s">
        <v>33</v>
      </c>
      <c r="J38" s="88" t="s">
        <v>33</v>
      </c>
      <c r="K38" s="88" t="s">
        <v>33</v>
      </c>
      <c r="L38" s="88" t="s">
        <v>33</v>
      </c>
      <c r="M38" s="88" t="s">
        <v>33</v>
      </c>
      <c r="N38" s="88" t="s">
        <v>33</v>
      </c>
      <c r="O38" s="89" t="s">
        <v>33</v>
      </c>
      <c r="P38" s="89" t="s">
        <v>33</v>
      </c>
      <c r="Q38" s="88" t="s">
        <v>33</v>
      </c>
      <c r="R38" s="88" t="s">
        <v>33</v>
      </c>
      <c r="S38" s="88" t="s">
        <v>33</v>
      </c>
      <c r="T38" s="88" t="s">
        <v>33</v>
      </c>
      <c r="U38" s="88" t="s">
        <v>33</v>
      </c>
      <c r="V38" s="88" t="s">
        <v>33</v>
      </c>
      <c r="W38" s="89" t="s">
        <v>33</v>
      </c>
      <c r="X38" s="89" t="s">
        <v>33</v>
      </c>
      <c r="Y38" s="88" t="s">
        <v>33</v>
      </c>
      <c r="Z38" s="88" t="s">
        <v>33</v>
      </c>
      <c r="AA38" s="88" t="s">
        <v>33</v>
      </c>
      <c r="AB38" s="88" t="s">
        <v>33</v>
      </c>
      <c r="AC38" s="88" t="s">
        <v>33</v>
      </c>
      <c r="AD38" s="88" t="s">
        <v>33</v>
      </c>
      <c r="AE38" s="89" t="s">
        <v>33</v>
      </c>
      <c r="AF38" s="89" t="s">
        <v>33</v>
      </c>
      <c r="AG38" s="90">
        <f t="shared" si="6"/>
        <v>0</v>
      </c>
      <c r="AH38" s="92"/>
      <c r="AI38" s="92"/>
      <c r="AJ38" s="92"/>
      <c r="AK38" s="93" t="s">
        <v>51</v>
      </c>
      <c r="AL38" s="109">
        <f t="shared" si="14"/>
        <v>18</v>
      </c>
      <c r="AM38" s="109">
        <f t="shared" si="15"/>
        <v>18</v>
      </c>
      <c r="AN38" s="109">
        <f t="shared" si="16"/>
        <v>18</v>
      </c>
      <c r="AO38" s="65" t="s">
        <v>40</v>
      </c>
      <c r="AP38" s="20">
        <v>5</v>
      </c>
      <c r="AQ38" s="20">
        <f>AP38-AV11</f>
        <v>5</v>
      </c>
      <c r="AR38" s="27">
        <f>AQ38*AP11*0.8</f>
        <v>600</v>
      </c>
      <c r="AS38" s="27">
        <f>AQ38*AQ11</f>
        <v>200</v>
      </c>
      <c r="BE38" s="31"/>
    </row>
    <row r="39" spans="1:57">
      <c r="A39" s="94">
        <v>45765</v>
      </c>
      <c r="B39" s="88">
        <v>1600</v>
      </c>
      <c r="C39" s="88"/>
      <c r="D39" s="86">
        <f>(SUM(粮草!A39:X39)+AG39*10*IF(AK39="是",$BB$4,$BB$3))</f>
        <v>0</v>
      </c>
      <c r="E39" s="100">
        <f>SUM($B$4:B39)+SUM($C$4:C39)-SUM($D$4:D39)</f>
        <v>16226</v>
      </c>
      <c r="F39" s="99">
        <f>SUM(经验!A39:X39)</f>
        <v>0</v>
      </c>
      <c r="G39" s="86">
        <f>SUM($F$4:F39)+SUM($H$4:H39)</f>
        <v>21790</v>
      </c>
      <c r="H39" s="88">
        <v>0</v>
      </c>
      <c r="I39" s="88" t="s">
        <v>33</v>
      </c>
      <c r="J39" s="88" t="s">
        <v>33</v>
      </c>
      <c r="K39" s="88" t="s">
        <v>33</v>
      </c>
      <c r="L39" s="88" t="s">
        <v>33</v>
      </c>
      <c r="M39" s="88" t="s">
        <v>33</v>
      </c>
      <c r="N39" s="88" t="s">
        <v>33</v>
      </c>
      <c r="O39" s="89" t="s">
        <v>33</v>
      </c>
      <c r="P39" s="89" t="s">
        <v>33</v>
      </c>
      <c r="Q39" s="88" t="s">
        <v>33</v>
      </c>
      <c r="R39" s="88" t="s">
        <v>33</v>
      </c>
      <c r="S39" s="88" t="s">
        <v>33</v>
      </c>
      <c r="T39" s="88" t="s">
        <v>33</v>
      </c>
      <c r="U39" s="88" t="s">
        <v>33</v>
      </c>
      <c r="V39" s="88" t="s">
        <v>33</v>
      </c>
      <c r="W39" s="89" t="s">
        <v>33</v>
      </c>
      <c r="X39" s="89" t="s">
        <v>33</v>
      </c>
      <c r="Y39" s="88" t="s">
        <v>33</v>
      </c>
      <c r="Z39" s="88" t="s">
        <v>33</v>
      </c>
      <c r="AA39" s="88" t="s">
        <v>33</v>
      </c>
      <c r="AB39" s="88" t="s">
        <v>33</v>
      </c>
      <c r="AC39" s="88" t="s">
        <v>33</v>
      </c>
      <c r="AD39" s="88" t="s">
        <v>33</v>
      </c>
      <c r="AE39" s="89" t="s">
        <v>33</v>
      </c>
      <c r="AF39" s="89" t="s">
        <v>33</v>
      </c>
      <c r="AG39" s="90">
        <f t="shared" si="6"/>
        <v>0</v>
      </c>
      <c r="AH39" s="92"/>
      <c r="AI39" s="92"/>
      <c r="AJ39" s="92"/>
      <c r="AK39" s="93" t="s">
        <v>51</v>
      </c>
      <c r="AL39" s="109">
        <f t="shared" si="14"/>
        <v>18</v>
      </c>
      <c r="AM39" s="109">
        <f t="shared" si="15"/>
        <v>18</v>
      </c>
      <c r="AN39" s="109">
        <f t="shared" si="16"/>
        <v>18</v>
      </c>
      <c r="AO39" s="66" t="s">
        <v>46</v>
      </c>
      <c r="AP39" s="82">
        <v>6</v>
      </c>
      <c r="AQ39" s="20">
        <f>AP39-AV12</f>
        <v>2</v>
      </c>
      <c r="AR39" s="27">
        <f>AQ39*AP12*0.8</f>
        <v>240</v>
      </c>
      <c r="AS39" s="27">
        <f t="shared" si="13"/>
        <v>90</v>
      </c>
      <c r="BE39" s="31"/>
    </row>
    <row r="40" spans="1:57">
      <c r="A40" s="94">
        <v>45766</v>
      </c>
      <c r="B40" s="88">
        <v>1600</v>
      </c>
      <c r="C40" s="88"/>
      <c r="D40" s="86">
        <f>(SUM(粮草!A40:X40)+AG40*10*IF(AK40="是",$BB$4,$BB$3))</f>
        <v>0</v>
      </c>
      <c r="E40" s="100">
        <f>SUM($B$4:B40)+SUM($C$4:C40)-SUM($D$4:D40)</f>
        <v>17826</v>
      </c>
      <c r="F40" s="99">
        <f>SUM(经验!A40:X40)</f>
        <v>0</v>
      </c>
      <c r="G40" s="86">
        <f>SUM($F$4:F40)+SUM($H$4:H40)</f>
        <v>21790</v>
      </c>
      <c r="H40" s="88">
        <v>0</v>
      </c>
      <c r="I40" s="88" t="s">
        <v>33</v>
      </c>
      <c r="J40" s="88" t="s">
        <v>33</v>
      </c>
      <c r="K40" s="88" t="s">
        <v>33</v>
      </c>
      <c r="L40" s="88" t="s">
        <v>33</v>
      </c>
      <c r="M40" s="88" t="s">
        <v>33</v>
      </c>
      <c r="N40" s="88" t="s">
        <v>33</v>
      </c>
      <c r="O40" s="89" t="s">
        <v>33</v>
      </c>
      <c r="P40" s="89" t="s">
        <v>33</v>
      </c>
      <c r="Q40" s="88" t="s">
        <v>33</v>
      </c>
      <c r="R40" s="88" t="s">
        <v>33</v>
      </c>
      <c r="S40" s="88" t="s">
        <v>33</v>
      </c>
      <c r="T40" s="88" t="s">
        <v>33</v>
      </c>
      <c r="U40" s="88" t="s">
        <v>33</v>
      </c>
      <c r="V40" s="88" t="s">
        <v>33</v>
      </c>
      <c r="W40" s="89" t="s">
        <v>33</v>
      </c>
      <c r="X40" s="89" t="s">
        <v>33</v>
      </c>
      <c r="Y40" s="88" t="s">
        <v>33</v>
      </c>
      <c r="Z40" s="88" t="s">
        <v>33</v>
      </c>
      <c r="AA40" s="88" t="s">
        <v>33</v>
      </c>
      <c r="AB40" s="88" t="s">
        <v>33</v>
      </c>
      <c r="AC40" s="88" t="s">
        <v>33</v>
      </c>
      <c r="AD40" s="88" t="s">
        <v>33</v>
      </c>
      <c r="AE40" s="89" t="s">
        <v>33</v>
      </c>
      <c r="AF40" s="89" t="s">
        <v>33</v>
      </c>
      <c r="AG40" s="90">
        <f t="shared" si="6"/>
        <v>0</v>
      </c>
      <c r="AH40" s="92"/>
      <c r="AI40" s="92"/>
      <c r="AJ40" s="92"/>
      <c r="AK40" s="93" t="s">
        <v>51</v>
      </c>
      <c r="AL40" s="109">
        <f t="shared" si="14"/>
        <v>18</v>
      </c>
      <c r="AM40" s="109">
        <f t="shared" si="15"/>
        <v>18</v>
      </c>
      <c r="AN40" s="109">
        <f t="shared" si="16"/>
        <v>18</v>
      </c>
      <c r="AO40" s="67" t="s">
        <v>47</v>
      </c>
      <c r="AP40" s="82">
        <v>3</v>
      </c>
      <c r="AQ40" s="20">
        <f>AP40-AV13</f>
        <v>3</v>
      </c>
      <c r="AR40" s="27">
        <f>AQ40*AP13*0.8</f>
        <v>360</v>
      </c>
      <c r="AS40" s="27">
        <f t="shared" si="13"/>
        <v>150</v>
      </c>
      <c r="BE40" s="31"/>
    </row>
    <row r="41" spans="1:57">
      <c r="A41" s="94">
        <v>45767</v>
      </c>
      <c r="B41" s="88">
        <v>1600</v>
      </c>
      <c r="C41" s="88"/>
      <c r="D41" s="86">
        <f>(SUM(粮草!A41:X41)+AG41*10*IF(AK41="是",$BB$4,$BB$3))</f>
        <v>0</v>
      </c>
      <c r="E41" s="100">
        <f>SUM($B$4:B41)+SUM($C$4:C41)-SUM($D$4:D41)</f>
        <v>19426</v>
      </c>
      <c r="F41" s="99">
        <f>SUM(经验!A41:X41)</f>
        <v>0</v>
      </c>
      <c r="G41" s="86">
        <f>SUM($F$4:F41)+SUM($H$4:H41)</f>
        <v>21790</v>
      </c>
      <c r="H41" s="88">
        <v>0</v>
      </c>
      <c r="I41" s="88" t="s">
        <v>33</v>
      </c>
      <c r="J41" s="88" t="s">
        <v>33</v>
      </c>
      <c r="K41" s="88" t="s">
        <v>33</v>
      </c>
      <c r="L41" s="88" t="s">
        <v>33</v>
      </c>
      <c r="M41" s="88" t="s">
        <v>33</v>
      </c>
      <c r="N41" s="88" t="s">
        <v>33</v>
      </c>
      <c r="O41" s="89" t="s">
        <v>33</v>
      </c>
      <c r="P41" s="89" t="s">
        <v>33</v>
      </c>
      <c r="Q41" s="88" t="s">
        <v>33</v>
      </c>
      <c r="R41" s="88" t="s">
        <v>33</v>
      </c>
      <c r="S41" s="88" t="s">
        <v>33</v>
      </c>
      <c r="T41" s="88" t="s">
        <v>33</v>
      </c>
      <c r="U41" s="88" t="s">
        <v>33</v>
      </c>
      <c r="V41" s="88" t="s">
        <v>33</v>
      </c>
      <c r="W41" s="89" t="s">
        <v>33</v>
      </c>
      <c r="X41" s="89" t="s">
        <v>33</v>
      </c>
      <c r="Y41" s="88" t="s">
        <v>33</v>
      </c>
      <c r="Z41" s="88" t="s">
        <v>33</v>
      </c>
      <c r="AA41" s="88" t="s">
        <v>33</v>
      </c>
      <c r="AB41" s="88" t="s">
        <v>33</v>
      </c>
      <c r="AC41" s="88" t="s">
        <v>33</v>
      </c>
      <c r="AD41" s="88" t="s">
        <v>33</v>
      </c>
      <c r="AE41" s="89" t="s">
        <v>33</v>
      </c>
      <c r="AF41" s="89" t="s">
        <v>33</v>
      </c>
      <c r="AG41" s="90">
        <f t="shared" si="6"/>
        <v>0</v>
      </c>
      <c r="AH41" s="92"/>
      <c r="AI41" s="92"/>
      <c r="AJ41" s="92"/>
      <c r="AK41" s="93" t="s">
        <v>51</v>
      </c>
      <c r="AL41" s="109">
        <f t="shared" si="14"/>
        <v>18</v>
      </c>
      <c r="AM41" s="109">
        <f t="shared" si="15"/>
        <v>18</v>
      </c>
      <c r="AN41" s="109">
        <f t="shared" si="16"/>
        <v>18</v>
      </c>
      <c r="AO41" s="79" t="s">
        <v>48</v>
      </c>
      <c r="AP41" s="82">
        <v>3</v>
      </c>
      <c r="AQ41" s="20">
        <f>AP41-AV14</f>
        <v>3</v>
      </c>
      <c r="AR41" s="27">
        <f>AQ41*AP14*0.8</f>
        <v>360</v>
      </c>
      <c r="AS41" s="27">
        <f t="shared" si="13"/>
        <v>165</v>
      </c>
      <c r="BE41" s="31"/>
    </row>
    <row r="42" spans="1:57">
      <c r="A42" s="94">
        <v>45768</v>
      </c>
      <c r="B42" s="86">
        <v>1600</v>
      </c>
      <c r="C42" s="87"/>
      <c r="D42" s="86">
        <f>(SUM(粮草!A42:X42)+AG42*10*IF(AK42="是",$BB$4,$BB$3))</f>
        <v>0</v>
      </c>
      <c r="E42" s="100">
        <f>SUM($B$4:B42)+SUM($C$4:C42)-SUM($D$4:D42)</f>
        <v>21026</v>
      </c>
      <c r="F42" s="99">
        <f>SUM(经验!A42:X42)</f>
        <v>0</v>
      </c>
      <c r="G42" s="86">
        <f>SUM($F$4:F42)+SUM($H$4:H42)</f>
        <v>22090</v>
      </c>
      <c r="H42" s="86">
        <v>300</v>
      </c>
      <c r="I42" s="88" t="s">
        <v>33</v>
      </c>
      <c r="J42" s="88" t="s">
        <v>33</v>
      </c>
      <c r="K42" s="88" t="s">
        <v>33</v>
      </c>
      <c r="L42" s="88" t="s">
        <v>33</v>
      </c>
      <c r="M42" s="88" t="s">
        <v>33</v>
      </c>
      <c r="N42" s="88" t="s">
        <v>33</v>
      </c>
      <c r="O42" s="89" t="s">
        <v>33</v>
      </c>
      <c r="P42" s="89" t="s">
        <v>33</v>
      </c>
      <c r="Q42" s="88" t="s">
        <v>33</v>
      </c>
      <c r="R42" s="88" t="s">
        <v>33</v>
      </c>
      <c r="S42" s="88" t="s">
        <v>33</v>
      </c>
      <c r="T42" s="88" t="s">
        <v>33</v>
      </c>
      <c r="U42" s="88" t="s">
        <v>33</v>
      </c>
      <c r="V42" s="88" t="s">
        <v>33</v>
      </c>
      <c r="W42" s="89" t="s">
        <v>33</v>
      </c>
      <c r="X42" s="89" t="s">
        <v>33</v>
      </c>
      <c r="Y42" s="88" t="s">
        <v>33</v>
      </c>
      <c r="Z42" s="88" t="s">
        <v>33</v>
      </c>
      <c r="AA42" s="88" t="s">
        <v>33</v>
      </c>
      <c r="AB42" s="88" t="s">
        <v>33</v>
      </c>
      <c r="AC42" s="88" t="s">
        <v>33</v>
      </c>
      <c r="AD42" s="88" t="s">
        <v>33</v>
      </c>
      <c r="AE42" s="89" t="s">
        <v>33</v>
      </c>
      <c r="AF42" s="89" t="s">
        <v>33</v>
      </c>
      <c r="AG42" s="90">
        <f t="shared" si="6"/>
        <v>0</v>
      </c>
      <c r="AH42" s="92"/>
      <c r="AI42" s="92"/>
      <c r="AJ42" s="92"/>
      <c r="AK42" s="93" t="s">
        <v>51</v>
      </c>
      <c r="AL42" s="109">
        <f t="shared" si="14"/>
        <v>18</v>
      </c>
      <c r="AM42" s="109">
        <f t="shared" si="15"/>
        <v>18</v>
      </c>
      <c r="AN42" s="109">
        <f t="shared" si="16"/>
        <v>18</v>
      </c>
      <c r="AO42" s="80" t="s">
        <v>49</v>
      </c>
      <c r="AP42" s="82">
        <v>1</v>
      </c>
      <c r="AQ42" s="20">
        <f>AP42-AV15</f>
        <v>1</v>
      </c>
      <c r="AR42" s="27">
        <f>AQ42*AP15*0.8</f>
        <v>120</v>
      </c>
      <c r="AS42" s="27">
        <f t="shared" si="13"/>
        <v>60</v>
      </c>
      <c r="BE42" s="31"/>
    </row>
    <row r="43" spans="1:57">
      <c r="A43" s="94">
        <v>45769</v>
      </c>
      <c r="B43" s="86">
        <v>1600</v>
      </c>
      <c r="C43" s="87"/>
      <c r="D43" s="86">
        <f>(SUM(粮草!A43:X43)+AG43*10*IF(AK43="是",$BB$4,$BB$3))</f>
        <v>0</v>
      </c>
      <c r="E43" s="100">
        <f>SUM($B$4:B43)+SUM($C$4:C43)-SUM($D$4:D43)</f>
        <v>22626</v>
      </c>
      <c r="F43" s="99">
        <f>SUM(经验!A43:X43)</f>
        <v>0</v>
      </c>
      <c r="G43" s="86">
        <f>SUM($F$4:F43)+SUM($H$4:H43)</f>
        <v>22090</v>
      </c>
      <c r="H43" s="86">
        <v>0</v>
      </c>
      <c r="I43" s="88" t="s">
        <v>33</v>
      </c>
      <c r="J43" s="88" t="s">
        <v>33</v>
      </c>
      <c r="K43" s="88" t="s">
        <v>33</v>
      </c>
      <c r="L43" s="88" t="s">
        <v>33</v>
      </c>
      <c r="M43" s="88" t="s">
        <v>33</v>
      </c>
      <c r="N43" s="88" t="s">
        <v>33</v>
      </c>
      <c r="O43" s="89" t="s">
        <v>33</v>
      </c>
      <c r="P43" s="89" t="s">
        <v>33</v>
      </c>
      <c r="Q43" s="88" t="s">
        <v>33</v>
      </c>
      <c r="R43" s="88" t="s">
        <v>33</v>
      </c>
      <c r="S43" s="88" t="s">
        <v>33</v>
      </c>
      <c r="T43" s="88" t="s">
        <v>33</v>
      </c>
      <c r="U43" s="88" t="s">
        <v>33</v>
      </c>
      <c r="V43" s="88" t="s">
        <v>33</v>
      </c>
      <c r="W43" s="89" t="s">
        <v>33</v>
      </c>
      <c r="X43" s="89" t="s">
        <v>33</v>
      </c>
      <c r="Y43" s="88" t="s">
        <v>33</v>
      </c>
      <c r="Z43" s="88" t="s">
        <v>33</v>
      </c>
      <c r="AA43" s="88" t="s">
        <v>33</v>
      </c>
      <c r="AB43" s="88" t="s">
        <v>33</v>
      </c>
      <c r="AC43" s="88" t="s">
        <v>33</v>
      </c>
      <c r="AD43" s="88" t="s">
        <v>33</v>
      </c>
      <c r="AE43" s="89" t="s">
        <v>33</v>
      </c>
      <c r="AF43" s="89" t="s">
        <v>33</v>
      </c>
      <c r="AG43" s="90">
        <f t="shared" si="6"/>
        <v>0</v>
      </c>
      <c r="AH43" s="92"/>
      <c r="AI43" s="92"/>
      <c r="AJ43" s="92"/>
      <c r="AK43" s="93" t="s">
        <v>51</v>
      </c>
      <c r="AL43" s="109">
        <f t="shared" si="14"/>
        <v>18</v>
      </c>
      <c r="AM43" s="109">
        <f t="shared" si="15"/>
        <v>18</v>
      </c>
      <c r="AN43" s="109">
        <f t="shared" si="16"/>
        <v>18</v>
      </c>
      <c r="AO43" s="72" t="s">
        <v>53</v>
      </c>
      <c r="AP43" s="82">
        <v>2</v>
      </c>
      <c r="AQ43" s="82">
        <f>AP43-AV23</f>
        <v>1</v>
      </c>
      <c r="AR43" s="28">
        <f>AQ43*AP23*0.8</f>
        <v>200</v>
      </c>
      <c r="AS43" s="27">
        <f>AQ43*AQ23</f>
        <v>500</v>
      </c>
      <c r="BE43" s="31"/>
    </row>
    <row r="44" spans="1:57">
      <c r="A44" s="94">
        <v>45770</v>
      </c>
      <c r="B44" s="86">
        <v>1600</v>
      </c>
      <c r="C44" s="87"/>
      <c r="D44" s="86">
        <f>(SUM(粮草!A44:X44)+AG44*10*IF(AK44="是",$BB$4,$BB$3))</f>
        <v>0</v>
      </c>
      <c r="E44" s="100">
        <f>SUM($B$4:B44)+SUM($C$4:C44)-SUM($D$4:D44)</f>
        <v>24226</v>
      </c>
      <c r="F44" s="99">
        <f>SUM(经验!A44:X44)</f>
        <v>0</v>
      </c>
      <c r="G44" s="86">
        <f>SUM($F$4:F44)+SUM($H$4:H44)</f>
        <v>22290</v>
      </c>
      <c r="H44" s="86">
        <v>200</v>
      </c>
      <c r="I44" s="88" t="s">
        <v>33</v>
      </c>
      <c r="J44" s="88" t="s">
        <v>33</v>
      </c>
      <c r="K44" s="88" t="s">
        <v>33</v>
      </c>
      <c r="L44" s="88" t="s">
        <v>33</v>
      </c>
      <c r="M44" s="88" t="s">
        <v>33</v>
      </c>
      <c r="N44" s="88" t="s">
        <v>33</v>
      </c>
      <c r="O44" s="89" t="s">
        <v>33</v>
      </c>
      <c r="P44" s="89" t="s">
        <v>33</v>
      </c>
      <c r="Q44" s="88" t="s">
        <v>33</v>
      </c>
      <c r="R44" s="88" t="s">
        <v>33</v>
      </c>
      <c r="S44" s="88" t="s">
        <v>33</v>
      </c>
      <c r="T44" s="88" t="s">
        <v>33</v>
      </c>
      <c r="U44" s="88" t="s">
        <v>33</v>
      </c>
      <c r="V44" s="88" t="s">
        <v>33</v>
      </c>
      <c r="W44" s="89" t="s">
        <v>33</v>
      </c>
      <c r="X44" s="89" t="s">
        <v>33</v>
      </c>
      <c r="Y44" s="88" t="s">
        <v>33</v>
      </c>
      <c r="Z44" s="88" t="s">
        <v>33</v>
      </c>
      <c r="AA44" s="88" t="s">
        <v>33</v>
      </c>
      <c r="AB44" s="88" t="s">
        <v>33</v>
      </c>
      <c r="AC44" s="88" t="s">
        <v>33</v>
      </c>
      <c r="AD44" s="88" t="s">
        <v>33</v>
      </c>
      <c r="AE44" s="89" t="s">
        <v>33</v>
      </c>
      <c r="AF44" s="89" t="s">
        <v>33</v>
      </c>
      <c r="AG44" s="90">
        <f t="shared" si="6"/>
        <v>0</v>
      </c>
      <c r="AH44" s="92"/>
      <c r="AI44" s="92"/>
      <c r="AJ44" s="92"/>
      <c r="AK44" s="93" t="s">
        <v>51</v>
      </c>
      <c r="AL44" s="109">
        <f t="shared" si="14"/>
        <v>18</v>
      </c>
      <c r="AM44" s="109">
        <f t="shared" si="15"/>
        <v>18</v>
      </c>
      <c r="AN44" s="109">
        <f t="shared" si="16"/>
        <v>18</v>
      </c>
      <c r="AO44" s="47" t="s">
        <v>61</v>
      </c>
      <c r="AP44" s="82">
        <v>3</v>
      </c>
      <c r="AQ44">
        <f>AP44-AV29</f>
        <v>2</v>
      </c>
      <c r="AR44" s="28">
        <f>AQ44*AP29*0.8</f>
        <v>80</v>
      </c>
      <c r="AS44" s="27">
        <f>AQ44*AQ29</f>
        <v>1040</v>
      </c>
      <c r="BE44" s="31"/>
    </row>
    <row r="45" spans="1:57">
      <c r="A45" s="94">
        <v>45771</v>
      </c>
      <c r="B45" s="86">
        <v>1600</v>
      </c>
      <c r="C45" s="87"/>
      <c r="D45" s="86">
        <f>(SUM(粮草!A45:X45)+AG45*10*IF(AK45="是",$BB$4,$BB$3))</f>
        <v>0</v>
      </c>
      <c r="E45" s="100">
        <f>SUM($B$4:B45)+SUM($C$4:C45)-SUM($D$4:D45)</f>
        <v>25826</v>
      </c>
      <c r="F45" s="99">
        <f>SUM(经验!A45:X45)</f>
        <v>0</v>
      </c>
      <c r="G45" s="86">
        <f>SUM($F$4:F45)+SUM($H$4:H45)</f>
        <v>22290</v>
      </c>
      <c r="H45" s="86">
        <v>0</v>
      </c>
      <c r="I45" s="88" t="s">
        <v>33</v>
      </c>
      <c r="J45" s="88" t="s">
        <v>33</v>
      </c>
      <c r="K45" s="88" t="s">
        <v>33</v>
      </c>
      <c r="L45" s="88" t="s">
        <v>33</v>
      </c>
      <c r="M45" s="88" t="s">
        <v>33</v>
      </c>
      <c r="N45" s="88" t="s">
        <v>33</v>
      </c>
      <c r="O45" s="89" t="s">
        <v>33</v>
      </c>
      <c r="P45" s="89" t="s">
        <v>33</v>
      </c>
      <c r="Q45" s="88" t="s">
        <v>33</v>
      </c>
      <c r="R45" s="88" t="s">
        <v>33</v>
      </c>
      <c r="S45" s="88" t="s">
        <v>33</v>
      </c>
      <c r="T45" s="88" t="s">
        <v>33</v>
      </c>
      <c r="U45" s="88" t="s">
        <v>33</v>
      </c>
      <c r="V45" s="88" t="s">
        <v>33</v>
      </c>
      <c r="W45" s="89" t="s">
        <v>33</v>
      </c>
      <c r="X45" s="89" t="s">
        <v>33</v>
      </c>
      <c r="Y45" s="88" t="s">
        <v>33</v>
      </c>
      <c r="Z45" s="88" t="s">
        <v>33</v>
      </c>
      <c r="AA45" s="88" t="s">
        <v>33</v>
      </c>
      <c r="AB45" s="88" t="s">
        <v>33</v>
      </c>
      <c r="AC45" s="88" t="s">
        <v>33</v>
      </c>
      <c r="AD45" s="88" t="s">
        <v>33</v>
      </c>
      <c r="AE45" s="89" t="s">
        <v>33</v>
      </c>
      <c r="AF45" s="89" t="s">
        <v>33</v>
      </c>
      <c r="AG45" s="90">
        <f t="shared" si="6"/>
        <v>0</v>
      </c>
      <c r="AH45" s="92"/>
      <c r="AI45" s="92"/>
      <c r="AJ45" s="92"/>
      <c r="AK45" s="93" t="s">
        <v>51</v>
      </c>
      <c r="AL45" s="109">
        <f t="shared" si="14"/>
        <v>18</v>
      </c>
      <c r="AM45" s="109">
        <f t="shared" si="15"/>
        <v>18</v>
      </c>
      <c r="AN45" s="109">
        <f t="shared" si="16"/>
        <v>18</v>
      </c>
      <c r="AO45" s="71" t="s">
        <v>52</v>
      </c>
      <c r="AP45" s="84">
        <v>2</v>
      </c>
      <c r="AQ45">
        <f>AP45-AV22</f>
        <v>0</v>
      </c>
      <c r="AR45">
        <f>AQ45*AP22*0.8</f>
        <v>0</v>
      </c>
      <c r="AS45">
        <f>AQ45*AQ22</f>
        <v>0</v>
      </c>
      <c r="BE45" s="31"/>
    </row>
    <row r="46" spans="1:57">
      <c r="A46" s="94">
        <v>45772</v>
      </c>
      <c r="B46" s="86">
        <v>1600</v>
      </c>
      <c r="C46" s="87"/>
      <c r="D46" s="86">
        <f>(SUM(粮草!A46:X46)+AG46*10*IF(AK46="是",$BB$4,$BB$3))</f>
        <v>0</v>
      </c>
      <c r="E46" s="100">
        <f>SUM($B$4:B46)+SUM($C$4:C46)-SUM($D$4:D46)</f>
        <v>27426</v>
      </c>
      <c r="F46" s="99">
        <f>SUM(经验!A46:X46)</f>
        <v>0</v>
      </c>
      <c r="G46" s="86">
        <f>SUM($F$4:F46)+SUM($H$4:H46)</f>
        <v>22290</v>
      </c>
      <c r="H46" s="86">
        <v>0</v>
      </c>
      <c r="I46" s="88" t="s">
        <v>33</v>
      </c>
      <c r="J46" s="88" t="s">
        <v>33</v>
      </c>
      <c r="K46" s="88" t="s">
        <v>33</v>
      </c>
      <c r="L46" s="88" t="s">
        <v>33</v>
      </c>
      <c r="M46" s="88" t="s">
        <v>33</v>
      </c>
      <c r="N46" s="88" t="s">
        <v>33</v>
      </c>
      <c r="O46" s="89" t="s">
        <v>33</v>
      </c>
      <c r="P46" s="89" t="s">
        <v>33</v>
      </c>
      <c r="Q46" s="88" t="s">
        <v>33</v>
      </c>
      <c r="R46" s="88" t="s">
        <v>33</v>
      </c>
      <c r="S46" s="88" t="s">
        <v>33</v>
      </c>
      <c r="T46" s="88" t="s">
        <v>33</v>
      </c>
      <c r="U46" s="88" t="s">
        <v>33</v>
      </c>
      <c r="V46" s="88" t="s">
        <v>33</v>
      </c>
      <c r="W46" s="89" t="s">
        <v>33</v>
      </c>
      <c r="X46" s="89" t="s">
        <v>33</v>
      </c>
      <c r="Y46" s="88" t="s">
        <v>33</v>
      </c>
      <c r="Z46" s="88" t="s">
        <v>33</v>
      </c>
      <c r="AA46" s="88" t="s">
        <v>33</v>
      </c>
      <c r="AB46" s="88" t="s">
        <v>33</v>
      </c>
      <c r="AC46" s="88" t="s">
        <v>33</v>
      </c>
      <c r="AD46" s="88" t="s">
        <v>33</v>
      </c>
      <c r="AE46" s="89" t="s">
        <v>33</v>
      </c>
      <c r="AF46" s="89" t="s">
        <v>33</v>
      </c>
      <c r="AG46" s="90">
        <f t="shared" si="6"/>
        <v>0</v>
      </c>
      <c r="AH46" s="92"/>
      <c r="AI46" s="92"/>
      <c r="AJ46" s="92"/>
      <c r="AK46" s="93" t="s">
        <v>51</v>
      </c>
      <c r="AL46" s="109">
        <f t="shared" si="14"/>
        <v>18</v>
      </c>
      <c r="AM46" s="109">
        <f t="shared" si="15"/>
        <v>18</v>
      </c>
      <c r="AN46" s="109">
        <f t="shared" si="16"/>
        <v>18</v>
      </c>
      <c r="AO46" t="s">
        <v>73</v>
      </c>
      <c r="AQ46" s="28">
        <f>SUM(AQ33:AQ43)</f>
        <v>716</v>
      </c>
      <c r="AR46" s="28">
        <f>SUM(AR33:AR45)</f>
        <v>102784</v>
      </c>
      <c r="AS46" s="28">
        <f>SUM(AS33:AS45)</f>
        <v>38395</v>
      </c>
      <c r="BE46" s="31"/>
    </row>
    <row r="47" spans="1:57">
      <c r="A47" s="94">
        <v>45773</v>
      </c>
      <c r="B47" s="86">
        <v>1600</v>
      </c>
      <c r="C47" s="87"/>
      <c r="D47" s="86">
        <f>(SUM(粮草!A47:X47)+AG47*10*IF(AK47="是",$BB$4,$BB$3))</f>
        <v>0</v>
      </c>
      <c r="E47" s="100">
        <f>SUM($B$4:B47)+SUM($C$4:C47)-SUM($D$4:D47)</f>
        <v>29026</v>
      </c>
      <c r="F47" s="99">
        <f>SUM(经验!A47:X47)</f>
        <v>0</v>
      </c>
      <c r="G47" s="86">
        <f>SUM($F$4:F47)+SUM($H$4:H47)</f>
        <v>22290</v>
      </c>
      <c r="H47" s="86">
        <v>0</v>
      </c>
      <c r="I47" s="88" t="s">
        <v>33</v>
      </c>
      <c r="J47" s="88" t="s">
        <v>33</v>
      </c>
      <c r="K47" s="88" t="s">
        <v>33</v>
      </c>
      <c r="L47" s="88" t="s">
        <v>33</v>
      </c>
      <c r="M47" s="88" t="s">
        <v>33</v>
      </c>
      <c r="N47" s="88" t="s">
        <v>33</v>
      </c>
      <c r="O47" s="89" t="s">
        <v>33</v>
      </c>
      <c r="P47" s="89" t="s">
        <v>33</v>
      </c>
      <c r="Q47" s="88" t="s">
        <v>33</v>
      </c>
      <c r="R47" s="88" t="s">
        <v>33</v>
      </c>
      <c r="S47" s="88" t="s">
        <v>33</v>
      </c>
      <c r="T47" s="88" t="s">
        <v>33</v>
      </c>
      <c r="U47" s="88" t="s">
        <v>33</v>
      </c>
      <c r="V47" s="88" t="s">
        <v>33</v>
      </c>
      <c r="W47" s="89" t="s">
        <v>33</v>
      </c>
      <c r="X47" s="89" t="s">
        <v>33</v>
      </c>
      <c r="Y47" s="88" t="s">
        <v>33</v>
      </c>
      <c r="Z47" s="88" t="s">
        <v>33</v>
      </c>
      <c r="AA47" s="88" t="s">
        <v>33</v>
      </c>
      <c r="AB47" s="88" t="s">
        <v>33</v>
      </c>
      <c r="AC47" s="88" t="s">
        <v>33</v>
      </c>
      <c r="AD47" s="88" t="s">
        <v>33</v>
      </c>
      <c r="AE47" s="89" t="s">
        <v>33</v>
      </c>
      <c r="AF47" s="89" t="s">
        <v>33</v>
      </c>
      <c r="AG47" s="90">
        <f t="shared" si="6"/>
        <v>0</v>
      </c>
      <c r="AH47" s="92"/>
      <c r="AI47" s="92"/>
      <c r="AJ47" s="92"/>
      <c r="AK47" s="93" t="s">
        <v>51</v>
      </c>
      <c r="AL47" s="109">
        <f t="shared" si="14"/>
        <v>18</v>
      </c>
      <c r="AM47" s="109">
        <f t="shared" si="15"/>
        <v>18</v>
      </c>
      <c r="AN47" s="109">
        <f t="shared" si="16"/>
        <v>18</v>
      </c>
      <c r="AQ47" s="102" t="s">
        <v>77</v>
      </c>
      <c r="AR47" s="103">
        <f>E93-AR46</f>
        <v>-158</v>
      </c>
      <c r="AS47" s="103">
        <f>AS46+G93</f>
        <v>64185</v>
      </c>
      <c r="BE47" s="31"/>
    </row>
    <row r="48" spans="1:57">
      <c r="A48" s="94">
        <v>45774</v>
      </c>
      <c r="B48" s="86">
        <v>1600</v>
      </c>
      <c r="C48" s="87"/>
      <c r="D48" s="86">
        <f>(SUM(粮草!A48:X48)+AG48*10*IF(AK48="是",$BB$4,$BB$3))</f>
        <v>0</v>
      </c>
      <c r="E48" s="100">
        <f>SUM($B$4:B48)+SUM($C$4:C48)-SUM($D$4:D48)</f>
        <v>30626</v>
      </c>
      <c r="F48" s="99">
        <f>SUM(经验!A48:X48)</f>
        <v>0</v>
      </c>
      <c r="G48" s="86">
        <f>SUM($F$4:F48)+SUM($H$4:H48)</f>
        <v>22290</v>
      </c>
      <c r="H48" s="86">
        <v>0</v>
      </c>
      <c r="I48" s="88" t="s">
        <v>33</v>
      </c>
      <c r="J48" s="88" t="s">
        <v>33</v>
      </c>
      <c r="K48" s="88" t="s">
        <v>33</v>
      </c>
      <c r="L48" s="88" t="s">
        <v>33</v>
      </c>
      <c r="M48" s="88" t="s">
        <v>33</v>
      </c>
      <c r="N48" s="88" t="s">
        <v>33</v>
      </c>
      <c r="O48" s="89" t="s">
        <v>33</v>
      </c>
      <c r="P48" s="89" t="s">
        <v>33</v>
      </c>
      <c r="Q48" s="88" t="s">
        <v>33</v>
      </c>
      <c r="R48" s="88" t="s">
        <v>33</v>
      </c>
      <c r="S48" s="88" t="s">
        <v>33</v>
      </c>
      <c r="T48" s="88" t="s">
        <v>33</v>
      </c>
      <c r="U48" s="88" t="s">
        <v>33</v>
      </c>
      <c r="V48" s="88" t="s">
        <v>33</v>
      </c>
      <c r="W48" s="89" t="s">
        <v>33</v>
      </c>
      <c r="X48" s="89" t="s">
        <v>33</v>
      </c>
      <c r="Y48" s="88" t="s">
        <v>33</v>
      </c>
      <c r="Z48" s="88" t="s">
        <v>33</v>
      </c>
      <c r="AA48" s="88" t="s">
        <v>33</v>
      </c>
      <c r="AB48" s="88" t="s">
        <v>33</v>
      </c>
      <c r="AC48" s="88" t="s">
        <v>33</v>
      </c>
      <c r="AD48" s="88" t="s">
        <v>33</v>
      </c>
      <c r="AE48" s="89" t="s">
        <v>33</v>
      </c>
      <c r="AF48" s="89" t="s">
        <v>33</v>
      </c>
      <c r="AG48" s="90">
        <f t="shared" si="6"/>
        <v>0</v>
      </c>
      <c r="AH48" s="92"/>
      <c r="AI48" s="92"/>
      <c r="AJ48" s="92"/>
      <c r="AK48" s="93" t="s">
        <v>51</v>
      </c>
      <c r="AL48" s="109">
        <f t="shared" si="14"/>
        <v>18</v>
      </c>
      <c r="AM48" s="109">
        <f t="shared" si="15"/>
        <v>18</v>
      </c>
      <c r="AN48" s="109">
        <f t="shared" si="16"/>
        <v>18</v>
      </c>
      <c r="AQ48" s="112" t="s">
        <v>70</v>
      </c>
      <c r="AR48" s="112"/>
      <c r="BE48" s="31"/>
    </row>
    <row r="49" spans="1:57">
      <c r="A49" s="94">
        <v>45775</v>
      </c>
      <c r="B49" s="88">
        <v>1600</v>
      </c>
      <c r="C49" s="88"/>
      <c r="D49" s="86">
        <f>(SUM(粮草!A49:X49)+AG49*10*IF(AK49="是",$BB$4,$BB$3))</f>
        <v>0</v>
      </c>
      <c r="E49" s="100">
        <f>SUM($B$4:B49)+SUM($C$4:C49)-SUM($D$4:D49)</f>
        <v>32226</v>
      </c>
      <c r="F49" s="99">
        <f>SUM(经验!A49:X49)</f>
        <v>0</v>
      </c>
      <c r="G49" s="86">
        <f>SUM($F$4:F49)+SUM($H$4:H49)</f>
        <v>22490</v>
      </c>
      <c r="H49" s="88">
        <v>200</v>
      </c>
      <c r="I49" s="88" t="s">
        <v>33</v>
      </c>
      <c r="J49" s="88" t="s">
        <v>33</v>
      </c>
      <c r="K49" s="88" t="s">
        <v>33</v>
      </c>
      <c r="L49" s="88" t="s">
        <v>33</v>
      </c>
      <c r="M49" s="88" t="s">
        <v>33</v>
      </c>
      <c r="N49" s="88" t="s">
        <v>33</v>
      </c>
      <c r="O49" s="89" t="s">
        <v>33</v>
      </c>
      <c r="P49" s="89" t="s">
        <v>33</v>
      </c>
      <c r="Q49" s="88" t="s">
        <v>33</v>
      </c>
      <c r="R49" s="88" t="s">
        <v>33</v>
      </c>
      <c r="S49" s="88" t="s">
        <v>33</v>
      </c>
      <c r="T49" s="88" t="s">
        <v>33</v>
      </c>
      <c r="U49" s="88" t="s">
        <v>33</v>
      </c>
      <c r="V49" s="88" t="s">
        <v>33</v>
      </c>
      <c r="W49" s="89" t="s">
        <v>33</v>
      </c>
      <c r="X49" s="89" t="s">
        <v>33</v>
      </c>
      <c r="Y49" s="88" t="s">
        <v>33</v>
      </c>
      <c r="Z49" s="88" t="s">
        <v>33</v>
      </c>
      <c r="AA49" s="88" t="s">
        <v>33</v>
      </c>
      <c r="AB49" s="88" t="s">
        <v>33</v>
      </c>
      <c r="AC49" s="88" t="s">
        <v>33</v>
      </c>
      <c r="AD49" s="88" t="s">
        <v>33</v>
      </c>
      <c r="AE49" s="89" t="s">
        <v>33</v>
      </c>
      <c r="AF49" s="89" t="s">
        <v>33</v>
      </c>
      <c r="AG49" s="90">
        <f t="shared" si="6"/>
        <v>0</v>
      </c>
      <c r="AH49" s="92"/>
      <c r="AI49" s="92"/>
      <c r="AJ49" s="92"/>
      <c r="AK49" s="93" t="s">
        <v>51</v>
      </c>
      <c r="AL49" s="109">
        <f t="shared" si="14"/>
        <v>18</v>
      </c>
      <c r="AM49" s="109">
        <f t="shared" si="15"/>
        <v>18</v>
      </c>
      <c r="AN49" s="109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31"/>
    </row>
    <row r="50" spans="1:57">
      <c r="A50" s="94">
        <v>45776</v>
      </c>
      <c r="B50" s="88">
        <v>1600</v>
      </c>
      <c r="C50" s="88"/>
      <c r="D50" s="86">
        <f>(SUM(粮草!A50:X50)+AG50*10*IF(AK50="是",$BB$4,$BB$3))</f>
        <v>0</v>
      </c>
      <c r="E50" s="100">
        <f>SUM($B$4:B50)+SUM($C$4:C50)-SUM($D$4:D50)</f>
        <v>33826</v>
      </c>
      <c r="F50" s="99">
        <f>SUM(经验!A50:X50)</f>
        <v>0</v>
      </c>
      <c r="G50" s="86">
        <f>SUM($F$4:F50)+SUM($H$4:H50)</f>
        <v>22590</v>
      </c>
      <c r="H50" s="88">
        <v>100</v>
      </c>
      <c r="I50" s="88" t="s">
        <v>33</v>
      </c>
      <c r="J50" s="88" t="s">
        <v>33</v>
      </c>
      <c r="K50" s="88" t="s">
        <v>33</v>
      </c>
      <c r="L50" s="88" t="s">
        <v>33</v>
      </c>
      <c r="M50" s="88" t="s">
        <v>33</v>
      </c>
      <c r="N50" s="88" t="s">
        <v>33</v>
      </c>
      <c r="O50" s="89" t="s">
        <v>33</v>
      </c>
      <c r="P50" s="89" t="s">
        <v>33</v>
      </c>
      <c r="Q50" s="88" t="s">
        <v>33</v>
      </c>
      <c r="R50" s="88" t="s">
        <v>33</v>
      </c>
      <c r="S50" s="88" t="s">
        <v>33</v>
      </c>
      <c r="T50" s="88" t="s">
        <v>33</v>
      </c>
      <c r="U50" s="88" t="s">
        <v>33</v>
      </c>
      <c r="V50" s="88" t="s">
        <v>33</v>
      </c>
      <c r="W50" s="89" t="s">
        <v>33</v>
      </c>
      <c r="X50" s="89" t="s">
        <v>33</v>
      </c>
      <c r="Y50" s="88" t="s">
        <v>33</v>
      </c>
      <c r="Z50" s="88" t="s">
        <v>33</v>
      </c>
      <c r="AA50" s="88" t="s">
        <v>33</v>
      </c>
      <c r="AB50" s="88" t="s">
        <v>33</v>
      </c>
      <c r="AC50" s="88" t="s">
        <v>33</v>
      </c>
      <c r="AD50" s="88" t="s">
        <v>33</v>
      </c>
      <c r="AE50" s="89" t="s">
        <v>33</v>
      </c>
      <c r="AF50" s="89" t="s">
        <v>33</v>
      </c>
      <c r="AG50" s="90">
        <f t="shared" si="6"/>
        <v>0</v>
      </c>
      <c r="AH50" s="92"/>
      <c r="AI50" s="92"/>
      <c r="AJ50" s="92"/>
      <c r="AK50" s="93" t="s">
        <v>51</v>
      </c>
      <c r="AL50" s="109">
        <f t="shared" si="14"/>
        <v>18</v>
      </c>
      <c r="AM50" s="109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81">
        <f>COUNTIF(I4:AF17,$AO$18)</f>
        <v>5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31"/>
    </row>
    <row r="51" spans="1:57">
      <c r="A51" s="94">
        <v>45777</v>
      </c>
      <c r="B51" s="88">
        <v>1600</v>
      </c>
      <c r="C51" s="88"/>
      <c r="D51" s="86">
        <f>(SUM(粮草!A51:X51)+AG51*10*IF(AK51="是",$BB$4,$BB$3))</f>
        <v>0</v>
      </c>
      <c r="E51" s="100">
        <f>SUM($B$4:B51)+SUM($C$4:C51)-SUM($D$4:D51)</f>
        <v>35426</v>
      </c>
      <c r="F51" s="99">
        <f>SUM(经验!A51:X51)</f>
        <v>0</v>
      </c>
      <c r="G51" s="86">
        <f>SUM($F$4:F51)+SUM($H$4:H51)</f>
        <v>22790</v>
      </c>
      <c r="H51" s="88">
        <v>200</v>
      </c>
      <c r="I51" s="88" t="s">
        <v>33</v>
      </c>
      <c r="J51" s="88" t="s">
        <v>33</v>
      </c>
      <c r="K51" s="88" t="s">
        <v>33</v>
      </c>
      <c r="L51" s="88" t="s">
        <v>33</v>
      </c>
      <c r="M51" s="88" t="s">
        <v>33</v>
      </c>
      <c r="N51" s="88" t="s">
        <v>33</v>
      </c>
      <c r="O51" s="89" t="s">
        <v>33</v>
      </c>
      <c r="P51" s="89" t="s">
        <v>33</v>
      </c>
      <c r="Q51" s="88" t="s">
        <v>33</v>
      </c>
      <c r="R51" s="88" t="s">
        <v>33</v>
      </c>
      <c r="S51" s="88" t="s">
        <v>33</v>
      </c>
      <c r="T51" s="88" t="s">
        <v>33</v>
      </c>
      <c r="U51" s="88" t="s">
        <v>33</v>
      </c>
      <c r="V51" s="88" t="s">
        <v>33</v>
      </c>
      <c r="W51" s="89" t="s">
        <v>33</v>
      </c>
      <c r="X51" s="89" t="s">
        <v>33</v>
      </c>
      <c r="Y51" s="88" t="s">
        <v>33</v>
      </c>
      <c r="Z51" s="88" t="s">
        <v>33</v>
      </c>
      <c r="AA51" s="88" t="s">
        <v>33</v>
      </c>
      <c r="AB51" s="88" t="s">
        <v>33</v>
      </c>
      <c r="AC51" s="88" t="s">
        <v>33</v>
      </c>
      <c r="AD51" s="88" t="s">
        <v>33</v>
      </c>
      <c r="AE51" s="89" t="s">
        <v>33</v>
      </c>
      <c r="AF51" s="89" t="s">
        <v>33</v>
      </c>
      <c r="AG51" s="90">
        <f t="shared" si="6"/>
        <v>0</v>
      </c>
      <c r="AH51" s="92"/>
      <c r="AI51" s="92"/>
      <c r="AJ51" s="92"/>
      <c r="AK51" s="93" t="s">
        <v>51</v>
      </c>
      <c r="AL51" s="109">
        <f t="shared" si="14"/>
        <v>18</v>
      </c>
      <c r="AM51" s="109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81">
        <f>COUNTIF(I18:AE24,$AO$18)</f>
        <v>5</v>
      </c>
      <c r="AV51">
        <v>1</v>
      </c>
      <c r="AW51">
        <v>160</v>
      </c>
      <c r="BE51" s="31"/>
    </row>
    <row r="52" spans="1:57">
      <c r="A52" s="94">
        <v>45778</v>
      </c>
      <c r="B52" s="88">
        <v>1600</v>
      </c>
      <c r="C52" s="88"/>
      <c r="D52" s="86">
        <f>(SUM(粮草!A52:X52)+AG52*10*IF(AK52="是",$BB$4,$BB$3))</f>
        <v>0</v>
      </c>
      <c r="E52" s="100">
        <f>SUM($B$4:B52)+SUM($C$4:C52)-SUM($D$4:D52)</f>
        <v>37026</v>
      </c>
      <c r="F52" s="99">
        <f>SUM(经验!A52:X52)</f>
        <v>0</v>
      </c>
      <c r="G52" s="86">
        <f>SUM($F$4:F52)+SUM($H$4:H52)</f>
        <v>22790</v>
      </c>
      <c r="H52" s="88">
        <v>0</v>
      </c>
      <c r="I52" s="88" t="s">
        <v>33</v>
      </c>
      <c r="J52" s="88" t="s">
        <v>33</v>
      </c>
      <c r="K52" s="88" t="s">
        <v>33</v>
      </c>
      <c r="L52" s="88" t="s">
        <v>33</v>
      </c>
      <c r="M52" s="88" t="s">
        <v>33</v>
      </c>
      <c r="N52" s="88" t="s">
        <v>33</v>
      </c>
      <c r="O52" s="89" t="s">
        <v>33</v>
      </c>
      <c r="P52" s="89" t="s">
        <v>33</v>
      </c>
      <c r="Q52" s="88" t="s">
        <v>33</v>
      </c>
      <c r="R52" s="88" t="s">
        <v>33</v>
      </c>
      <c r="S52" s="88" t="s">
        <v>33</v>
      </c>
      <c r="T52" s="88" t="s">
        <v>33</v>
      </c>
      <c r="U52" s="88" t="s">
        <v>33</v>
      </c>
      <c r="V52" s="88" t="s">
        <v>33</v>
      </c>
      <c r="W52" s="89" t="s">
        <v>33</v>
      </c>
      <c r="X52" s="89" t="s">
        <v>33</v>
      </c>
      <c r="Y52" s="88" t="s">
        <v>33</v>
      </c>
      <c r="Z52" s="88" t="s">
        <v>33</v>
      </c>
      <c r="AA52" s="88" t="s">
        <v>33</v>
      </c>
      <c r="AB52" s="88" t="s">
        <v>33</v>
      </c>
      <c r="AC52" s="88" t="s">
        <v>33</v>
      </c>
      <c r="AD52" s="88" t="s">
        <v>33</v>
      </c>
      <c r="AE52" s="89" t="s">
        <v>33</v>
      </c>
      <c r="AF52" s="89" t="s">
        <v>33</v>
      </c>
      <c r="AG52" s="90">
        <f t="shared" si="6"/>
        <v>0</v>
      </c>
      <c r="AH52" s="92"/>
      <c r="AI52" s="92"/>
      <c r="AJ52" s="92"/>
      <c r="AK52" s="93" t="s">
        <v>51</v>
      </c>
      <c r="AL52" s="109">
        <f t="shared" si="14"/>
        <v>18</v>
      </c>
      <c r="AM52" s="109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81">
        <f>COUNTIF(I25:AF38,$AO$18)</f>
        <v>3</v>
      </c>
      <c r="BE52" s="31"/>
    </row>
    <row r="53" spans="1:57">
      <c r="A53" s="94">
        <v>45779</v>
      </c>
      <c r="B53" s="88">
        <v>1600</v>
      </c>
      <c r="C53" s="88"/>
      <c r="D53" s="86">
        <f>(SUM(粮草!A53:X53)+AG53*10*IF(AK53="是",$BB$4,$BB$3))</f>
        <v>0</v>
      </c>
      <c r="E53" s="100">
        <f>SUM($B$4:B53)+SUM($C$4:C53)-SUM($D$4:D53)</f>
        <v>38626</v>
      </c>
      <c r="F53" s="99">
        <f>SUM(经验!A53:X53)</f>
        <v>0</v>
      </c>
      <c r="G53" s="86">
        <f>SUM($F$4:F53)+SUM($H$4:H53)</f>
        <v>22790</v>
      </c>
      <c r="H53" s="88">
        <v>0</v>
      </c>
      <c r="I53" s="88" t="s">
        <v>33</v>
      </c>
      <c r="J53" s="88" t="s">
        <v>33</v>
      </c>
      <c r="K53" s="88" t="s">
        <v>33</v>
      </c>
      <c r="L53" s="88" t="s">
        <v>33</v>
      </c>
      <c r="M53" s="88" t="s">
        <v>33</v>
      </c>
      <c r="N53" s="88" t="s">
        <v>33</v>
      </c>
      <c r="O53" s="89" t="s">
        <v>33</v>
      </c>
      <c r="P53" s="89" t="s">
        <v>33</v>
      </c>
      <c r="Q53" s="88" t="s">
        <v>33</v>
      </c>
      <c r="R53" s="88" t="s">
        <v>33</v>
      </c>
      <c r="S53" s="88" t="s">
        <v>33</v>
      </c>
      <c r="T53" s="88" t="s">
        <v>33</v>
      </c>
      <c r="U53" s="88" t="s">
        <v>33</v>
      </c>
      <c r="V53" s="88" t="s">
        <v>33</v>
      </c>
      <c r="W53" s="89" t="s">
        <v>33</v>
      </c>
      <c r="X53" s="89" t="s">
        <v>33</v>
      </c>
      <c r="Y53" s="88" t="s">
        <v>33</v>
      </c>
      <c r="Z53" s="88" t="s">
        <v>33</v>
      </c>
      <c r="AA53" s="88" t="s">
        <v>33</v>
      </c>
      <c r="AB53" s="88" t="s">
        <v>33</v>
      </c>
      <c r="AC53" s="88" t="s">
        <v>33</v>
      </c>
      <c r="AD53" s="88" t="s">
        <v>33</v>
      </c>
      <c r="AE53" s="89" t="s">
        <v>33</v>
      </c>
      <c r="AF53" s="89" t="s">
        <v>33</v>
      </c>
      <c r="AG53" s="90">
        <f t="shared" si="6"/>
        <v>0</v>
      </c>
      <c r="AH53" s="92"/>
      <c r="AI53" s="92"/>
      <c r="AJ53" s="92"/>
      <c r="AK53" s="93" t="s">
        <v>51</v>
      </c>
      <c r="AL53" s="109">
        <f t="shared" si="14"/>
        <v>18</v>
      </c>
      <c r="AM53" s="109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81">
        <f>COUNTIF(I39:AF59,$AO$18)</f>
        <v>0</v>
      </c>
      <c r="BE53" s="31"/>
    </row>
    <row r="54" spans="1:57">
      <c r="A54" s="85">
        <v>45780</v>
      </c>
      <c r="B54" s="88">
        <v>1600</v>
      </c>
      <c r="C54" s="88"/>
      <c r="D54" s="86">
        <f>(SUM(粮草!A54:X54)+AG54*10*IF(AK54="是",$BB$4,$BB$3))</f>
        <v>0</v>
      </c>
      <c r="E54" s="100">
        <f>SUM($B$4:B54)+SUM($C$4:C54)-SUM($D$4:D54)</f>
        <v>40226</v>
      </c>
      <c r="F54" s="99">
        <f>SUM(经验!A54:X54)</f>
        <v>0</v>
      </c>
      <c r="G54" s="86">
        <f>SUM($F$4:F54)+SUM($H$4:H54)</f>
        <v>22790</v>
      </c>
      <c r="H54" s="88">
        <v>0</v>
      </c>
      <c r="I54" s="88" t="s">
        <v>33</v>
      </c>
      <c r="J54" s="88" t="s">
        <v>33</v>
      </c>
      <c r="K54" s="88" t="s">
        <v>33</v>
      </c>
      <c r="L54" s="88" t="s">
        <v>33</v>
      </c>
      <c r="M54" s="88" t="s">
        <v>33</v>
      </c>
      <c r="N54" s="88" t="s">
        <v>33</v>
      </c>
      <c r="O54" s="89" t="s">
        <v>33</v>
      </c>
      <c r="P54" s="89" t="s">
        <v>33</v>
      </c>
      <c r="Q54" s="88" t="s">
        <v>33</v>
      </c>
      <c r="R54" s="88" t="s">
        <v>33</v>
      </c>
      <c r="S54" s="88" t="s">
        <v>33</v>
      </c>
      <c r="T54" s="88" t="s">
        <v>33</v>
      </c>
      <c r="U54" s="88" t="s">
        <v>33</v>
      </c>
      <c r="V54" s="88" t="s">
        <v>33</v>
      </c>
      <c r="W54" s="89" t="s">
        <v>33</v>
      </c>
      <c r="X54" s="89" t="s">
        <v>33</v>
      </c>
      <c r="Y54" s="88" t="s">
        <v>33</v>
      </c>
      <c r="Z54" s="88" t="s">
        <v>33</v>
      </c>
      <c r="AA54" s="88" t="s">
        <v>33</v>
      </c>
      <c r="AB54" s="88" t="s">
        <v>33</v>
      </c>
      <c r="AC54" s="88" t="s">
        <v>33</v>
      </c>
      <c r="AD54" s="88" t="s">
        <v>33</v>
      </c>
      <c r="AE54" s="89" t="s">
        <v>33</v>
      </c>
      <c r="AF54" s="89" t="s">
        <v>33</v>
      </c>
      <c r="AG54" s="90">
        <f t="shared" si="6"/>
        <v>0</v>
      </c>
      <c r="AH54" s="92"/>
      <c r="AI54" s="92"/>
      <c r="AJ54" s="92"/>
      <c r="AK54" s="93" t="s">
        <v>51</v>
      </c>
      <c r="AL54" s="109">
        <f t="shared" si="14"/>
        <v>18</v>
      </c>
      <c r="AM54" s="109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81">
        <f>COUNTIF(I60:AF93,$AO$18)</f>
        <v>0</v>
      </c>
      <c r="BE54" s="31"/>
    </row>
    <row r="55" spans="1:57">
      <c r="A55" s="85">
        <v>45781</v>
      </c>
      <c r="B55" s="88">
        <v>1600</v>
      </c>
      <c r="C55" s="88"/>
      <c r="D55" s="86">
        <f>(SUM(粮草!A55:X55)+AG55*10*IF(AK55="是",$BB$4,$BB$3))</f>
        <v>0</v>
      </c>
      <c r="E55" s="100">
        <f>SUM($B$4:B55)+SUM($C$4:C55)-SUM($D$4:D55)</f>
        <v>41826</v>
      </c>
      <c r="F55" s="99">
        <f>SUM(经验!A55:X55)</f>
        <v>0</v>
      </c>
      <c r="G55" s="86">
        <f>SUM($F$4:F55)+SUM($H$4:H55)</f>
        <v>22790</v>
      </c>
      <c r="H55" s="88">
        <v>0</v>
      </c>
      <c r="I55" s="88" t="s">
        <v>33</v>
      </c>
      <c r="J55" s="88" t="s">
        <v>33</v>
      </c>
      <c r="K55" s="88" t="s">
        <v>33</v>
      </c>
      <c r="L55" s="88" t="s">
        <v>33</v>
      </c>
      <c r="M55" s="88" t="s">
        <v>33</v>
      </c>
      <c r="N55" s="88" t="s">
        <v>33</v>
      </c>
      <c r="O55" s="89" t="s">
        <v>33</v>
      </c>
      <c r="P55" s="89" t="s">
        <v>33</v>
      </c>
      <c r="Q55" s="88" t="s">
        <v>33</v>
      </c>
      <c r="R55" s="88" t="s">
        <v>33</v>
      </c>
      <c r="S55" s="88" t="s">
        <v>33</v>
      </c>
      <c r="T55" s="88" t="s">
        <v>33</v>
      </c>
      <c r="U55" s="88" t="s">
        <v>33</v>
      </c>
      <c r="V55" s="88" t="s">
        <v>33</v>
      </c>
      <c r="W55" s="89" t="s">
        <v>33</v>
      </c>
      <c r="X55" s="89" t="s">
        <v>33</v>
      </c>
      <c r="Y55" s="88" t="s">
        <v>33</v>
      </c>
      <c r="Z55" s="88" t="s">
        <v>33</v>
      </c>
      <c r="AA55" s="88" t="s">
        <v>33</v>
      </c>
      <c r="AB55" s="88" t="s">
        <v>33</v>
      </c>
      <c r="AC55" s="88" t="s">
        <v>33</v>
      </c>
      <c r="AD55" s="88" t="s">
        <v>33</v>
      </c>
      <c r="AE55" s="89" t="s">
        <v>33</v>
      </c>
      <c r="AF55" s="89" t="s">
        <v>33</v>
      </c>
      <c r="AG55" s="90">
        <f t="shared" si="6"/>
        <v>0</v>
      </c>
      <c r="AH55" s="92"/>
      <c r="AI55" s="92"/>
      <c r="AJ55" s="92"/>
      <c r="AK55" s="93" t="s">
        <v>51</v>
      </c>
      <c r="AL55" s="109">
        <f t="shared" si="14"/>
        <v>18</v>
      </c>
      <c r="AM55" s="109">
        <f t="shared" si="15"/>
        <v>18</v>
      </c>
      <c r="AN55" s="109">
        <f t="shared" si="16"/>
        <v>18</v>
      </c>
      <c r="BE55" s="31"/>
    </row>
    <row r="56" spans="1:57">
      <c r="A56" s="85">
        <v>45782</v>
      </c>
      <c r="B56" s="86">
        <v>1600</v>
      </c>
      <c r="C56" s="87"/>
      <c r="D56" s="86">
        <f>(SUM(粮草!A56:X56)+AG56*10*IF(AK56="是",$BB$4,$BB$3))</f>
        <v>0</v>
      </c>
      <c r="E56" s="100">
        <f>SUM($B$4:B56)+SUM($C$4:C56)-SUM($D$4:D56)</f>
        <v>43426</v>
      </c>
      <c r="F56" s="99">
        <f>SUM(经验!A56:X56)</f>
        <v>0</v>
      </c>
      <c r="G56" s="86">
        <f>SUM($F$4:F56)+SUM($H$4:H56)</f>
        <v>23090</v>
      </c>
      <c r="H56" s="86">
        <v>300</v>
      </c>
      <c r="I56" s="88" t="s">
        <v>33</v>
      </c>
      <c r="J56" s="88" t="s">
        <v>33</v>
      </c>
      <c r="K56" s="88" t="s">
        <v>33</v>
      </c>
      <c r="L56" s="88" t="s">
        <v>33</v>
      </c>
      <c r="M56" s="88" t="s">
        <v>33</v>
      </c>
      <c r="N56" s="88" t="s">
        <v>33</v>
      </c>
      <c r="O56" s="89" t="s">
        <v>33</v>
      </c>
      <c r="P56" s="89" t="s">
        <v>33</v>
      </c>
      <c r="Q56" s="88" t="s">
        <v>33</v>
      </c>
      <c r="R56" s="88" t="s">
        <v>33</v>
      </c>
      <c r="S56" s="88" t="s">
        <v>33</v>
      </c>
      <c r="T56" s="88" t="s">
        <v>33</v>
      </c>
      <c r="U56" s="88" t="s">
        <v>33</v>
      </c>
      <c r="V56" s="88" t="s">
        <v>33</v>
      </c>
      <c r="W56" s="89" t="s">
        <v>33</v>
      </c>
      <c r="X56" s="89" t="s">
        <v>33</v>
      </c>
      <c r="Y56" s="88" t="s">
        <v>33</v>
      </c>
      <c r="Z56" s="88" t="s">
        <v>33</v>
      </c>
      <c r="AA56" s="88" t="s">
        <v>33</v>
      </c>
      <c r="AB56" s="88" t="s">
        <v>33</v>
      </c>
      <c r="AC56" s="88" t="s">
        <v>33</v>
      </c>
      <c r="AD56" s="88" t="s">
        <v>33</v>
      </c>
      <c r="AE56" s="89" t="s">
        <v>33</v>
      </c>
      <c r="AF56" s="89" t="s">
        <v>33</v>
      </c>
      <c r="AG56" s="90">
        <f t="shared" si="6"/>
        <v>0</v>
      </c>
      <c r="AH56" s="92"/>
      <c r="AI56" s="92"/>
      <c r="AJ56" s="92"/>
      <c r="AK56" s="93" t="s">
        <v>51</v>
      </c>
      <c r="AL56" s="109">
        <f t="shared" si="14"/>
        <v>18</v>
      </c>
      <c r="AM56" s="109">
        <f t="shared" si="15"/>
        <v>18</v>
      </c>
      <c r="AN56" s="109">
        <f t="shared" si="16"/>
        <v>18</v>
      </c>
      <c r="BE56" s="31"/>
    </row>
    <row r="57" spans="1:57">
      <c r="A57" s="85">
        <v>45783</v>
      </c>
      <c r="B57" s="86">
        <v>1600</v>
      </c>
      <c r="C57" s="87"/>
      <c r="D57" s="86">
        <f>(SUM(粮草!A57:X57)+AG57*10*IF(AK57="是",$BB$4,$BB$3))</f>
        <v>0</v>
      </c>
      <c r="E57" s="100">
        <f>SUM($B$4:B57)+SUM($C$4:C57)-SUM($D$4:D57)</f>
        <v>45026</v>
      </c>
      <c r="F57" s="99">
        <f>SUM(经验!A57:X57)</f>
        <v>0</v>
      </c>
      <c r="G57" s="86">
        <f>SUM($F$4:F57)+SUM($H$4:H57)</f>
        <v>23090</v>
      </c>
      <c r="H57" s="86">
        <v>0</v>
      </c>
      <c r="I57" s="88" t="s">
        <v>33</v>
      </c>
      <c r="J57" s="88" t="s">
        <v>33</v>
      </c>
      <c r="K57" s="88" t="s">
        <v>33</v>
      </c>
      <c r="L57" s="88" t="s">
        <v>33</v>
      </c>
      <c r="M57" s="88" t="s">
        <v>33</v>
      </c>
      <c r="N57" s="88" t="s">
        <v>33</v>
      </c>
      <c r="O57" s="89" t="s">
        <v>33</v>
      </c>
      <c r="P57" s="89" t="s">
        <v>33</v>
      </c>
      <c r="Q57" s="88" t="s">
        <v>33</v>
      </c>
      <c r="R57" s="88" t="s">
        <v>33</v>
      </c>
      <c r="S57" s="88" t="s">
        <v>33</v>
      </c>
      <c r="T57" s="88" t="s">
        <v>33</v>
      </c>
      <c r="U57" s="88" t="s">
        <v>33</v>
      </c>
      <c r="V57" s="88" t="s">
        <v>33</v>
      </c>
      <c r="W57" s="89" t="s">
        <v>33</v>
      </c>
      <c r="X57" s="89" t="s">
        <v>33</v>
      </c>
      <c r="Y57" s="88" t="s">
        <v>33</v>
      </c>
      <c r="Z57" s="88" t="s">
        <v>33</v>
      </c>
      <c r="AA57" s="88" t="s">
        <v>33</v>
      </c>
      <c r="AB57" s="88" t="s">
        <v>33</v>
      </c>
      <c r="AC57" s="88" t="s">
        <v>33</v>
      </c>
      <c r="AD57" s="88" t="s">
        <v>33</v>
      </c>
      <c r="AE57" s="89" t="s">
        <v>33</v>
      </c>
      <c r="AF57" s="89" t="s">
        <v>33</v>
      </c>
      <c r="AG57" s="90">
        <f t="shared" si="6"/>
        <v>0</v>
      </c>
      <c r="AH57" s="92"/>
      <c r="AI57" s="92"/>
      <c r="AJ57" s="92"/>
      <c r="AK57" s="93" t="s">
        <v>51</v>
      </c>
      <c r="AL57" s="109">
        <f t="shared" si="14"/>
        <v>18</v>
      </c>
      <c r="AM57" s="109">
        <f t="shared" si="15"/>
        <v>18</v>
      </c>
      <c r="AN57" s="109">
        <f t="shared" si="16"/>
        <v>18</v>
      </c>
      <c r="BE57" s="31"/>
    </row>
    <row r="58" spans="1:57">
      <c r="A58" s="85">
        <v>45784</v>
      </c>
      <c r="B58" s="86">
        <v>1600</v>
      </c>
      <c r="C58" s="87"/>
      <c r="D58" s="86">
        <f>(SUM(粮草!A58:X58)+AG58*10*IF(AK58="是",$BB$4,$BB$3))</f>
        <v>0</v>
      </c>
      <c r="E58" s="100">
        <f>SUM($B$4:B58)+SUM($C$4:C58)-SUM($D$4:D58)</f>
        <v>46626</v>
      </c>
      <c r="F58" s="99">
        <f>SUM(经验!A58:X58)</f>
        <v>0</v>
      </c>
      <c r="G58" s="86">
        <f>SUM($F$4:F58)+SUM($H$4:H58)</f>
        <v>23290</v>
      </c>
      <c r="H58" s="86">
        <v>200</v>
      </c>
      <c r="I58" s="88" t="s">
        <v>33</v>
      </c>
      <c r="J58" s="88" t="s">
        <v>33</v>
      </c>
      <c r="K58" s="88" t="s">
        <v>33</v>
      </c>
      <c r="L58" s="88" t="s">
        <v>33</v>
      </c>
      <c r="M58" s="88" t="s">
        <v>33</v>
      </c>
      <c r="N58" s="88" t="s">
        <v>33</v>
      </c>
      <c r="O58" s="89" t="s">
        <v>33</v>
      </c>
      <c r="P58" s="89" t="s">
        <v>33</v>
      </c>
      <c r="Q58" s="88" t="s">
        <v>33</v>
      </c>
      <c r="R58" s="88" t="s">
        <v>33</v>
      </c>
      <c r="S58" s="88" t="s">
        <v>33</v>
      </c>
      <c r="T58" s="88" t="s">
        <v>33</v>
      </c>
      <c r="U58" s="88" t="s">
        <v>33</v>
      </c>
      <c r="V58" s="88" t="s">
        <v>33</v>
      </c>
      <c r="W58" s="89" t="s">
        <v>33</v>
      </c>
      <c r="X58" s="89" t="s">
        <v>33</v>
      </c>
      <c r="Y58" s="88" t="s">
        <v>33</v>
      </c>
      <c r="Z58" s="88" t="s">
        <v>33</v>
      </c>
      <c r="AA58" s="88" t="s">
        <v>33</v>
      </c>
      <c r="AB58" s="88" t="s">
        <v>33</v>
      </c>
      <c r="AC58" s="88" t="s">
        <v>33</v>
      </c>
      <c r="AD58" s="88" t="s">
        <v>33</v>
      </c>
      <c r="AE58" s="89" t="s">
        <v>33</v>
      </c>
      <c r="AF58" s="89" t="s">
        <v>33</v>
      </c>
      <c r="AG58" s="90">
        <f t="shared" si="6"/>
        <v>0</v>
      </c>
      <c r="AH58" s="92"/>
      <c r="AI58" s="92"/>
      <c r="AJ58" s="92"/>
      <c r="AK58" s="93" t="s">
        <v>51</v>
      </c>
      <c r="AL58" s="109">
        <f t="shared" si="14"/>
        <v>18</v>
      </c>
      <c r="AM58" s="109">
        <f t="shared" si="15"/>
        <v>18</v>
      </c>
      <c r="AN58" s="109">
        <f t="shared" si="16"/>
        <v>18</v>
      </c>
      <c r="BE58" s="31"/>
    </row>
    <row r="59" spans="1:57">
      <c r="A59" s="85">
        <v>45785</v>
      </c>
      <c r="B59" s="86">
        <v>1600</v>
      </c>
      <c r="C59" s="87"/>
      <c r="D59" s="86">
        <f>(SUM(粮草!A59:X59)+AG59*10*IF(AK59="是",$BB$4,$BB$3))</f>
        <v>0</v>
      </c>
      <c r="E59" s="100">
        <f>SUM($B$4:B59)+SUM($C$4:C59)-SUM($D$4:D59)</f>
        <v>48226</v>
      </c>
      <c r="F59" s="99">
        <f>SUM(经验!A59:X59)</f>
        <v>0</v>
      </c>
      <c r="G59" s="86">
        <f>SUM($F$4:F59)+SUM($H$4:H59)</f>
        <v>23290</v>
      </c>
      <c r="H59" s="86">
        <v>0</v>
      </c>
      <c r="I59" s="88" t="s">
        <v>33</v>
      </c>
      <c r="J59" s="88" t="s">
        <v>33</v>
      </c>
      <c r="K59" s="88" t="s">
        <v>33</v>
      </c>
      <c r="L59" s="88" t="s">
        <v>33</v>
      </c>
      <c r="M59" s="88" t="s">
        <v>33</v>
      </c>
      <c r="N59" s="88" t="s">
        <v>33</v>
      </c>
      <c r="O59" s="89" t="s">
        <v>33</v>
      </c>
      <c r="P59" s="89" t="s">
        <v>33</v>
      </c>
      <c r="Q59" s="88" t="s">
        <v>33</v>
      </c>
      <c r="R59" s="88" t="s">
        <v>33</v>
      </c>
      <c r="S59" s="88" t="s">
        <v>33</v>
      </c>
      <c r="T59" s="88" t="s">
        <v>33</v>
      </c>
      <c r="U59" s="88" t="s">
        <v>33</v>
      </c>
      <c r="V59" s="88" t="s">
        <v>33</v>
      </c>
      <c r="W59" s="89" t="s">
        <v>33</v>
      </c>
      <c r="X59" s="89" t="s">
        <v>33</v>
      </c>
      <c r="Y59" s="88" t="s">
        <v>33</v>
      </c>
      <c r="Z59" s="88" t="s">
        <v>33</v>
      </c>
      <c r="AA59" s="88" t="s">
        <v>33</v>
      </c>
      <c r="AB59" s="88" t="s">
        <v>33</v>
      </c>
      <c r="AC59" s="88" t="s">
        <v>33</v>
      </c>
      <c r="AD59" s="88" t="s">
        <v>33</v>
      </c>
      <c r="AE59" s="89" t="s">
        <v>33</v>
      </c>
      <c r="AF59" s="89" t="s">
        <v>33</v>
      </c>
      <c r="AG59" s="90">
        <f t="shared" si="6"/>
        <v>0</v>
      </c>
      <c r="AH59" s="92"/>
      <c r="AI59" s="92"/>
      <c r="AJ59" s="92"/>
      <c r="AK59" s="93" t="s">
        <v>51</v>
      </c>
      <c r="AL59" s="109">
        <f t="shared" si="14"/>
        <v>18</v>
      </c>
      <c r="AM59" s="109">
        <f t="shared" si="15"/>
        <v>18</v>
      </c>
      <c r="AN59" s="109">
        <f t="shared" si="16"/>
        <v>18</v>
      </c>
      <c r="BE59" s="31"/>
    </row>
    <row r="60" spans="1:57">
      <c r="A60" s="85">
        <v>45786</v>
      </c>
      <c r="B60" s="86">
        <v>1600</v>
      </c>
      <c r="C60" s="87"/>
      <c r="D60" s="86">
        <f>(SUM(粮草!A60:X60)+AG60*10*IF(AK60="是",$BB$4,$BB$3))</f>
        <v>0</v>
      </c>
      <c r="E60" s="100">
        <f>SUM($B$4:B60)+SUM($C$4:C60)-SUM($D$4:D60)</f>
        <v>49826</v>
      </c>
      <c r="F60" s="99">
        <f>SUM(经验!A60:X60)</f>
        <v>0</v>
      </c>
      <c r="G60" s="86">
        <f>SUM($F$4:F60)+SUM($H$4:H60)</f>
        <v>23290</v>
      </c>
      <c r="H60" s="86">
        <v>0</v>
      </c>
      <c r="I60" s="88" t="s">
        <v>33</v>
      </c>
      <c r="J60" s="88" t="s">
        <v>33</v>
      </c>
      <c r="K60" s="88" t="s">
        <v>33</v>
      </c>
      <c r="L60" s="88" t="s">
        <v>33</v>
      </c>
      <c r="M60" s="88" t="s">
        <v>33</v>
      </c>
      <c r="N60" s="88" t="s">
        <v>33</v>
      </c>
      <c r="O60" s="89" t="s">
        <v>33</v>
      </c>
      <c r="P60" s="89" t="s">
        <v>33</v>
      </c>
      <c r="Q60" s="88" t="s">
        <v>33</v>
      </c>
      <c r="R60" s="88" t="s">
        <v>33</v>
      </c>
      <c r="S60" s="88" t="s">
        <v>33</v>
      </c>
      <c r="T60" s="88" t="s">
        <v>33</v>
      </c>
      <c r="U60" s="88" t="s">
        <v>33</v>
      </c>
      <c r="V60" s="88" t="s">
        <v>33</v>
      </c>
      <c r="W60" s="89" t="s">
        <v>33</v>
      </c>
      <c r="X60" s="89" t="s">
        <v>33</v>
      </c>
      <c r="Y60" s="88" t="s">
        <v>33</v>
      </c>
      <c r="Z60" s="88" t="s">
        <v>33</v>
      </c>
      <c r="AA60" s="88" t="s">
        <v>33</v>
      </c>
      <c r="AB60" s="88" t="s">
        <v>33</v>
      </c>
      <c r="AC60" s="88" t="s">
        <v>33</v>
      </c>
      <c r="AD60" s="88" t="s">
        <v>33</v>
      </c>
      <c r="AE60" s="89" t="s">
        <v>33</v>
      </c>
      <c r="AF60" s="89" t="s">
        <v>33</v>
      </c>
      <c r="AG60" s="90">
        <f t="shared" si="6"/>
        <v>0</v>
      </c>
      <c r="AH60" s="92"/>
      <c r="AI60" s="92"/>
      <c r="AJ60" s="92"/>
      <c r="AK60" s="93" t="s">
        <v>51</v>
      </c>
      <c r="AL60" s="109">
        <f t="shared" si="14"/>
        <v>18</v>
      </c>
      <c r="AM60" s="109">
        <f t="shared" si="15"/>
        <v>18</v>
      </c>
      <c r="AN60" s="109">
        <f t="shared" si="16"/>
        <v>18</v>
      </c>
      <c r="BE60" s="31"/>
    </row>
    <row r="61" spans="1:57">
      <c r="A61" s="85">
        <v>45787</v>
      </c>
      <c r="B61" s="86">
        <v>1600</v>
      </c>
      <c r="C61" s="87"/>
      <c r="D61" s="86">
        <f>(SUM(粮草!A61:X61)+AG61*10*IF(AK61="是",$BB$4,$BB$3))</f>
        <v>0</v>
      </c>
      <c r="E61" s="100">
        <f>SUM($B$4:B61)+SUM($C$4:C61)-SUM($D$4:D61)</f>
        <v>51426</v>
      </c>
      <c r="F61" s="99">
        <f>SUM(经验!A61:X61)</f>
        <v>0</v>
      </c>
      <c r="G61" s="86">
        <f>SUM($F$4:F61)+SUM($H$4:H61)</f>
        <v>23290</v>
      </c>
      <c r="H61" s="86">
        <v>0</v>
      </c>
      <c r="I61" s="88" t="s">
        <v>33</v>
      </c>
      <c r="J61" s="88" t="s">
        <v>33</v>
      </c>
      <c r="K61" s="88" t="s">
        <v>33</v>
      </c>
      <c r="L61" s="88" t="s">
        <v>33</v>
      </c>
      <c r="M61" s="88" t="s">
        <v>33</v>
      </c>
      <c r="N61" s="88" t="s">
        <v>33</v>
      </c>
      <c r="O61" s="89" t="s">
        <v>33</v>
      </c>
      <c r="P61" s="89" t="s">
        <v>33</v>
      </c>
      <c r="Q61" s="88" t="s">
        <v>33</v>
      </c>
      <c r="R61" s="88" t="s">
        <v>33</v>
      </c>
      <c r="S61" s="88" t="s">
        <v>33</v>
      </c>
      <c r="T61" s="88" t="s">
        <v>33</v>
      </c>
      <c r="U61" s="88" t="s">
        <v>33</v>
      </c>
      <c r="V61" s="88" t="s">
        <v>33</v>
      </c>
      <c r="W61" s="89" t="s">
        <v>33</v>
      </c>
      <c r="X61" s="89" t="s">
        <v>33</v>
      </c>
      <c r="Y61" s="88" t="s">
        <v>33</v>
      </c>
      <c r="Z61" s="88" t="s">
        <v>33</v>
      </c>
      <c r="AA61" s="88" t="s">
        <v>33</v>
      </c>
      <c r="AB61" s="88" t="s">
        <v>33</v>
      </c>
      <c r="AC61" s="88" t="s">
        <v>33</v>
      </c>
      <c r="AD61" s="88" t="s">
        <v>33</v>
      </c>
      <c r="AE61" s="89" t="s">
        <v>33</v>
      </c>
      <c r="AF61" s="89" t="s">
        <v>33</v>
      </c>
      <c r="AG61" s="90">
        <f t="shared" si="6"/>
        <v>0</v>
      </c>
      <c r="AH61" s="92"/>
      <c r="AI61" s="92"/>
      <c r="AJ61" s="92"/>
      <c r="AK61" s="93" t="s">
        <v>51</v>
      </c>
      <c r="AL61" s="109">
        <f t="shared" si="14"/>
        <v>18</v>
      </c>
      <c r="AM61" s="109">
        <f t="shared" si="15"/>
        <v>18</v>
      </c>
      <c r="AN61" s="109">
        <f t="shared" si="16"/>
        <v>18</v>
      </c>
      <c r="BE61" s="31"/>
    </row>
    <row r="62" spans="1:57">
      <c r="A62" s="85">
        <v>45788</v>
      </c>
      <c r="B62" s="86">
        <v>1600</v>
      </c>
      <c r="C62" s="87"/>
      <c r="D62" s="86">
        <f>(SUM(粮草!A62:X62)+AG62*10*IF(AK62="是",$BB$4,$BB$3))</f>
        <v>0</v>
      </c>
      <c r="E62" s="100">
        <f>SUM($B$4:B62)+SUM($C$4:C62)-SUM($D$4:D62)</f>
        <v>53026</v>
      </c>
      <c r="F62" s="99">
        <f>SUM(经验!A62:X62)</f>
        <v>0</v>
      </c>
      <c r="G62" s="86">
        <f>SUM($F$4:F62)+SUM($H$4:H62)</f>
        <v>23290</v>
      </c>
      <c r="H62" s="86">
        <v>0</v>
      </c>
      <c r="I62" s="88" t="s">
        <v>33</v>
      </c>
      <c r="J62" s="88" t="s">
        <v>33</v>
      </c>
      <c r="K62" s="88" t="s">
        <v>33</v>
      </c>
      <c r="L62" s="88" t="s">
        <v>33</v>
      </c>
      <c r="M62" s="88" t="s">
        <v>33</v>
      </c>
      <c r="N62" s="88" t="s">
        <v>33</v>
      </c>
      <c r="O62" s="89" t="s">
        <v>33</v>
      </c>
      <c r="P62" s="89" t="s">
        <v>33</v>
      </c>
      <c r="Q62" s="88" t="s">
        <v>33</v>
      </c>
      <c r="R62" s="88" t="s">
        <v>33</v>
      </c>
      <c r="S62" s="88" t="s">
        <v>33</v>
      </c>
      <c r="T62" s="88" t="s">
        <v>33</v>
      </c>
      <c r="U62" s="88" t="s">
        <v>33</v>
      </c>
      <c r="V62" s="88" t="s">
        <v>33</v>
      </c>
      <c r="W62" s="89" t="s">
        <v>33</v>
      </c>
      <c r="X62" s="89" t="s">
        <v>33</v>
      </c>
      <c r="Y62" s="88" t="s">
        <v>33</v>
      </c>
      <c r="Z62" s="88" t="s">
        <v>33</v>
      </c>
      <c r="AA62" s="88" t="s">
        <v>33</v>
      </c>
      <c r="AB62" s="88" t="s">
        <v>33</v>
      </c>
      <c r="AC62" s="88" t="s">
        <v>33</v>
      </c>
      <c r="AD62" s="88" t="s">
        <v>33</v>
      </c>
      <c r="AE62" s="89" t="s">
        <v>33</v>
      </c>
      <c r="AF62" s="89" t="s">
        <v>33</v>
      </c>
      <c r="AG62" s="90">
        <f t="shared" si="6"/>
        <v>0</v>
      </c>
      <c r="AH62" s="92"/>
      <c r="AI62" s="92"/>
      <c r="AJ62" s="92"/>
      <c r="AK62" s="93" t="s">
        <v>51</v>
      </c>
      <c r="AL62" s="109">
        <f t="shared" si="14"/>
        <v>18</v>
      </c>
      <c r="AM62" s="109">
        <f t="shared" si="15"/>
        <v>18</v>
      </c>
      <c r="AN62" s="109">
        <f t="shared" si="16"/>
        <v>18</v>
      </c>
      <c r="BE62" s="31"/>
    </row>
    <row r="63" spans="1:57">
      <c r="A63" s="85">
        <v>45789</v>
      </c>
      <c r="B63" s="88">
        <v>1600</v>
      </c>
      <c r="C63" s="88"/>
      <c r="D63" s="86">
        <f>(SUM(粮草!A63:X63)+AG63*10*IF(AK63="是",$BB$4,$BB$3))</f>
        <v>0</v>
      </c>
      <c r="E63" s="100">
        <f>SUM($B$4:B63)+SUM($C$4:C63)-SUM($D$4:D63)</f>
        <v>54626</v>
      </c>
      <c r="F63" s="99">
        <f>SUM(经验!A63:X63)</f>
        <v>0</v>
      </c>
      <c r="G63" s="86">
        <f>SUM($F$4:F63)+SUM($H$4:H63)</f>
        <v>23590</v>
      </c>
      <c r="H63" s="88">
        <v>300</v>
      </c>
      <c r="I63" s="88" t="s">
        <v>33</v>
      </c>
      <c r="J63" s="88" t="s">
        <v>33</v>
      </c>
      <c r="K63" s="88" t="s">
        <v>33</v>
      </c>
      <c r="L63" s="88" t="s">
        <v>33</v>
      </c>
      <c r="M63" s="88" t="s">
        <v>33</v>
      </c>
      <c r="N63" s="88" t="s">
        <v>33</v>
      </c>
      <c r="O63" s="89" t="s">
        <v>33</v>
      </c>
      <c r="P63" s="89" t="s">
        <v>33</v>
      </c>
      <c r="Q63" s="88" t="s">
        <v>33</v>
      </c>
      <c r="R63" s="88" t="s">
        <v>33</v>
      </c>
      <c r="S63" s="88" t="s">
        <v>33</v>
      </c>
      <c r="T63" s="88" t="s">
        <v>33</v>
      </c>
      <c r="U63" s="88" t="s">
        <v>33</v>
      </c>
      <c r="V63" s="88" t="s">
        <v>33</v>
      </c>
      <c r="W63" s="89" t="s">
        <v>33</v>
      </c>
      <c r="X63" s="89" t="s">
        <v>33</v>
      </c>
      <c r="Y63" s="88" t="s">
        <v>33</v>
      </c>
      <c r="Z63" s="88" t="s">
        <v>33</v>
      </c>
      <c r="AA63" s="88" t="s">
        <v>33</v>
      </c>
      <c r="AB63" s="88" t="s">
        <v>33</v>
      </c>
      <c r="AC63" s="88" t="s">
        <v>33</v>
      </c>
      <c r="AD63" s="88" t="s">
        <v>33</v>
      </c>
      <c r="AE63" s="89" t="s">
        <v>33</v>
      </c>
      <c r="AF63" s="89" t="s">
        <v>33</v>
      </c>
      <c r="AG63" s="90">
        <f t="shared" si="6"/>
        <v>0</v>
      </c>
      <c r="AH63" s="92"/>
      <c r="AI63" s="92"/>
      <c r="AJ63" s="92"/>
      <c r="AK63" s="93" t="s">
        <v>51</v>
      </c>
      <c r="AL63" s="109">
        <f t="shared" si="14"/>
        <v>18</v>
      </c>
      <c r="AM63" s="109">
        <f t="shared" si="15"/>
        <v>18</v>
      </c>
      <c r="AN63" s="109">
        <f t="shared" si="16"/>
        <v>18</v>
      </c>
      <c r="BE63" s="31"/>
    </row>
    <row r="64" spans="1:57">
      <c r="A64" s="85">
        <v>45790</v>
      </c>
      <c r="B64" s="88">
        <v>1600</v>
      </c>
      <c r="C64" s="88"/>
      <c r="D64" s="86">
        <f>(SUM(粮草!A64:X64)+AG64*10*IF(AK64="是",$BB$4,$BB$3))</f>
        <v>0</v>
      </c>
      <c r="E64" s="100">
        <f>SUM($B$4:B64)+SUM($C$4:C64)-SUM($D$4:D64)</f>
        <v>56226</v>
      </c>
      <c r="F64" s="99">
        <f>SUM(经验!A64:X64)</f>
        <v>0</v>
      </c>
      <c r="G64" s="86">
        <f>SUM($F$4:F64)+SUM($H$4:H64)</f>
        <v>23590</v>
      </c>
      <c r="H64" s="88">
        <v>0</v>
      </c>
      <c r="I64" s="88" t="s">
        <v>33</v>
      </c>
      <c r="J64" s="88" t="s">
        <v>33</v>
      </c>
      <c r="K64" s="88" t="s">
        <v>33</v>
      </c>
      <c r="L64" s="88" t="s">
        <v>33</v>
      </c>
      <c r="M64" s="88" t="s">
        <v>33</v>
      </c>
      <c r="N64" s="88" t="s">
        <v>33</v>
      </c>
      <c r="O64" s="89" t="s">
        <v>33</v>
      </c>
      <c r="P64" s="89" t="s">
        <v>33</v>
      </c>
      <c r="Q64" s="88" t="s">
        <v>33</v>
      </c>
      <c r="R64" s="88" t="s">
        <v>33</v>
      </c>
      <c r="S64" s="88" t="s">
        <v>33</v>
      </c>
      <c r="T64" s="88" t="s">
        <v>33</v>
      </c>
      <c r="U64" s="88" t="s">
        <v>33</v>
      </c>
      <c r="V64" s="88" t="s">
        <v>33</v>
      </c>
      <c r="W64" s="89" t="s">
        <v>33</v>
      </c>
      <c r="X64" s="89" t="s">
        <v>33</v>
      </c>
      <c r="Y64" s="88" t="s">
        <v>33</v>
      </c>
      <c r="Z64" s="88" t="s">
        <v>33</v>
      </c>
      <c r="AA64" s="88" t="s">
        <v>33</v>
      </c>
      <c r="AB64" s="88" t="s">
        <v>33</v>
      </c>
      <c r="AC64" s="88" t="s">
        <v>33</v>
      </c>
      <c r="AD64" s="88" t="s">
        <v>33</v>
      </c>
      <c r="AE64" s="89" t="s">
        <v>33</v>
      </c>
      <c r="AF64" s="89" t="s">
        <v>33</v>
      </c>
      <c r="AG64" s="90">
        <f t="shared" si="6"/>
        <v>0</v>
      </c>
      <c r="AH64" s="92"/>
      <c r="AI64" s="92"/>
      <c r="AJ64" s="92"/>
      <c r="AK64" s="93" t="s">
        <v>51</v>
      </c>
      <c r="AL64" s="109">
        <f t="shared" si="14"/>
        <v>18</v>
      </c>
      <c r="AM64" s="109">
        <f t="shared" si="15"/>
        <v>18</v>
      </c>
      <c r="AN64" s="109">
        <f t="shared" si="16"/>
        <v>18</v>
      </c>
      <c r="BE64" s="31"/>
    </row>
    <row r="65" spans="1:57">
      <c r="A65" s="85">
        <v>45791</v>
      </c>
      <c r="B65" s="88">
        <v>1600</v>
      </c>
      <c r="C65" s="88"/>
      <c r="D65" s="86">
        <f>(SUM(粮草!A65:X65)+AG65*10*IF(AK65="是",$BB$4,$BB$3))</f>
        <v>0</v>
      </c>
      <c r="E65" s="100">
        <f>SUM($B$4:B65)+SUM($C$4:C65)-SUM($D$4:D65)</f>
        <v>57826</v>
      </c>
      <c r="F65" s="99">
        <f>SUM(经验!A65:X65)</f>
        <v>0</v>
      </c>
      <c r="G65" s="86">
        <f>SUM($F$4:F65)+SUM($H$4:H65)</f>
        <v>23790</v>
      </c>
      <c r="H65" s="88">
        <v>200</v>
      </c>
      <c r="I65" s="88" t="s">
        <v>33</v>
      </c>
      <c r="J65" s="88" t="s">
        <v>33</v>
      </c>
      <c r="K65" s="88" t="s">
        <v>33</v>
      </c>
      <c r="L65" s="88" t="s">
        <v>33</v>
      </c>
      <c r="M65" s="88" t="s">
        <v>33</v>
      </c>
      <c r="N65" s="88" t="s">
        <v>33</v>
      </c>
      <c r="O65" s="89" t="s">
        <v>33</v>
      </c>
      <c r="P65" s="89" t="s">
        <v>33</v>
      </c>
      <c r="Q65" s="88" t="s">
        <v>33</v>
      </c>
      <c r="R65" s="88" t="s">
        <v>33</v>
      </c>
      <c r="S65" s="88" t="s">
        <v>33</v>
      </c>
      <c r="T65" s="88" t="s">
        <v>33</v>
      </c>
      <c r="U65" s="88" t="s">
        <v>33</v>
      </c>
      <c r="V65" s="88" t="s">
        <v>33</v>
      </c>
      <c r="W65" s="89" t="s">
        <v>33</v>
      </c>
      <c r="X65" s="89" t="s">
        <v>33</v>
      </c>
      <c r="Y65" s="88" t="s">
        <v>33</v>
      </c>
      <c r="Z65" s="88" t="s">
        <v>33</v>
      </c>
      <c r="AA65" s="88" t="s">
        <v>33</v>
      </c>
      <c r="AB65" s="88" t="s">
        <v>33</v>
      </c>
      <c r="AC65" s="88" t="s">
        <v>33</v>
      </c>
      <c r="AD65" s="88" t="s">
        <v>33</v>
      </c>
      <c r="AE65" s="89" t="s">
        <v>33</v>
      </c>
      <c r="AF65" s="89" t="s">
        <v>33</v>
      </c>
      <c r="AG65" s="90">
        <f t="shared" si="6"/>
        <v>0</v>
      </c>
      <c r="AH65" s="92"/>
      <c r="AI65" s="92"/>
      <c r="AJ65" s="92"/>
      <c r="AK65" s="93" t="s">
        <v>51</v>
      </c>
      <c r="AL65" s="109">
        <f t="shared" si="14"/>
        <v>18</v>
      </c>
      <c r="AM65" s="109">
        <f t="shared" si="15"/>
        <v>18</v>
      </c>
      <c r="AN65" s="109">
        <f t="shared" si="16"/>
        <v>18</v>
      </c>
      <c r="BE65" s="31"/>
    </row>
    <row r="66" spans="1:57">
      <c r="A66" s="85">
        <v>45792</v>
      </c>
      <c r="B66" s="88">
        <v>1600</v>
      </c>
      <c r="C66" s="88"/>
      <c r="D66" s="86">
        <f>(SUM(粮草!A66:X66)+AG66*10*IF(AK66="是",$BB$4,$BB$3))</f>
        <v>0</v>
      </c>
      <c r="E66" s="100">
        <f>SUM($B$4:B66)+SUM($C$4:C66)-SUM($D$4:D66)</f>
        <v>59426</v>
      </c>
      <c r="F66" s="99">
        <f>SUM(经验!A66:X66)</f>
        <v>0</v>
      </c>
      <c r="G66" s="86">
        <f>SUM($F$4:F66)+SUM($H$4:H66)</f>
        <v>23790</v>
      </c>
      <c r="H66" s="88">
        <v>0</v>
      </c>
      <c r="I66" s="88" t="s">
        <v>33</v>
      </c>
      <c r="J66" s="88" t="s">
        <v>33</v>
      </c>
      <c r="K66" s="88" t="s">
        <v>33</v>
      </c>
      <c r="L66" s="88" t="s">
        <v>33</v>
      </c>
      <c r="M66" s="88" t="s">
        <v>33</v>
      </c>
      <c r="N66" s="88" t="s">
        <v>33</v>
      </c>
      <c r="O66" s="89" t="s">
        <v>33</v>
      </c>
      <c r="P66" s="89" t="s">
        <v>33</v>
      </c>
      <c r="Q66" s="88" t="s">
        <v>33</v>
      </c>
      <c r="R66" s="88" t="s">
        <v>33</v>
      </c>
      <c r="S66" s="88" t="s">
        <v>33</v>
      </c>
      <c r="T66" s="88" t="s">
        <v>33</v>
      </c>
      <c r="U66" s="88" t="s">
        <v>33</v>
      </c>
      <c r="V66" s="88" t="s">
        <v>33</v>
      </c>
      <c r="W66" s="89" t="s">
        <v>33</v>
      </c>
      <c r="X66" s="89" t="s">
        <v>33</v>
      </c>
      <c r="Y66" s="88" t="s">
        <v>33</v>
      </c>
      <c r="Z66" s="88" t="s">
        <v>33</v>
      </c>
      <c r="AA66" s="88" t="s">
        <v>33</v>
      </c>
      <c r="AB66" s="88" t="s">
        <v>33</v>
      </c>
      <c r="AC66" s="88" t="s">
        <v>33</v>
      </c>
      <c r="AD66" s="88" t="s">
        <v>33</v>
      </c>
      <c r="AE66" s="89" t="s">
        <v>33</v>
      </c>
      <c r="AF66" s="89" t="s">
        <v>33</v>
      </c>
      <c r="AG66" s="90">
        <f t="shared" si="6"/>
        <v>0</v>
      </c>
      <c r="AH66" s="92"/>
      <c r="AI66" s="92"/>
      <c r="AJ66" s="92"/>
      <c r="AK66" s="93" t="s">
        <v>51</v>
      </c>
      <c r="AL66" s="109">
        <f t="shared" si="14"/>
        <v>18</v>
      </c>
      <c r="AM66" s="109">
        <f t="shared" si="15"/>
        <v>18</v>
      </c>
      <c r="AN66" s="109">
        <f t="shared" si="16"/>
        <v>18</v>
      </c>
      <c r="BE66" s="31"/>
    </row>
    <row r="67" spans="1:57">
      <c r="A67" s="85">
        <v>45793</v>
      </c>
      <c r="B67" s="88">
        <v>1600</v>
      </c>
      <c r="C67" s="88"/>
      <c r="D67" s="86">
        <f>(SUM(粮草!A67:X67)+AG67*10*IF(AK67="是",$BB$4,$BB$3))</f>
        <v>0</v>
      </c>
      <c r="E67" s="100">
        <f>SUM($B$4:B67)+SUM($C$4:C67)-SUM($D$4:D67)</f>
        <v>61026</v>
      </c>
      <c r="F67" s="99">
        <f>SUM(经验!A67:X67)</f>
        <v>0</v>
      </c>
      <c r="G67" s="86">
        <f>SUM($F$4:F67)+SUM($H$4:H67)</f>
        <v>23790</v>
      </c>
      <c r="H67" s="88">
        <v>0</v>
      </c>
      <c r="I67" s="88" t="s">
        <v>33</v>
      </c>
      <c r="J67" s="88" t="s">
        <v>33</v>
      </c>
      <c r="K67" s="88" t="s">
        <v>33</v>
      </c>
      <c r="L67" s="88" t="s">
        <v>33</v>
      </c>
      <c r="M67" s="88" t="s">
        <v>33</v>
      </c>
      <c r="N67" s="88" t="s">
        <v>33</v>
      </c>
      <c r="O67" s="89" t="s">
        <v>33</v>
      </c>
      <c r="P67" s="89" t="s">
        <v>33</v>
      </c>
      <c r="Q67" s="88" t="s">
        <v>33</v>
      </c>
      <c r="R67" s="88" t="s">
        <v>33</v>
      </c>
      <c r="S67" s="88" t="s">
        <v>33</v>
      </c>
      <c r="T67" s="88" t="s">
        <v>33</v>
      </c>
      <c r="U67" s="88" t="s">
        <v>33</v>
      </c>
      <c r="V67" s="88" t="s">
        <v>33</v>
      </c>
      <c r="W67" s="89" t="s">
        <v>33</v>
      </c>
      <c r="X67" s="89" t="s">
        <v>33</v>
      </c>
      <c r="Y67" s="88" t="s">
        <v>33</v>
      </c>
      <c r="Z67" s="88" t="s">
        <v>33</v>
      </c>
      <c r="AA67" s="88" t="s">
        <v>33</v>
      </c>
      <c r="AB67" s="88" t="s">
        <v>33</v>
      </c>
      <c r="AC67" s="88" t="s">
        <v>33</v>
      </c>
      <c r="AD67" s="88" t="s">
        <v>33</v>
      </c>
      <c r="AE67" s="89" t="s">
        <v>33</v>
      </c>
      <c r="AF67" s="89" t="s">
        <v>33</v>
      </c>
      <c r="AG67" s="90">
        <f t="shared" si="6"/>
        <v>0</v>
      </c>
      <c r="AH67" s="92"/>
      <c r="AI67" s="92"/>
      <c r="AJ67" s="92"/>
      <c r="AK67" s="93" t="s">
        <v>51</v>
      </c>
      <c r="AL67" s="109">
        <f t="shared" si="14"/>
        <v>18</v>
      </c>
      <c r="AM67" s="109">
        <f t="shared" si="15"/>
        <v>18</v>
      </c>
      <c r="AN67" s="109">
        <f t="shared" si="16"/>
        <v>18</v>
      </c>
      <c r="BE67" s="31"/>
    </row>
    <row r="68" spans="1:57">
      <c r="A68" s="85">
        <v>45794</v>
      </c>
      <c r="B68" s="88">
        <v>1600</v>
      </c>
      <c r="C68" s="88"/>
      <c r="D68" s="86">
        <f>(SUM(粮草!A68:X68)+AG68*10*IF(AK68="是",$BB$4,$BB$3))</f>
        <v>0</v>
      </c>
      <c r="E68" s="100">
        <f>SUM($B$4:B68)+SUM($C$4:C68)-SUM($D$4:D68)</f>
        <v>62626</v>
      </c>
      <c r="F68" s="99">
        <f>SUM(经验!A68:X68)</f>
        <v>0</v>
      </c>
      <c r="G68" s="86">
        <f>SUM($F$4:F68)+SUM($H$4:H68)</f>
        <v>23790</v>
      </c>
      <c r="H68" s="88">
        <v>0</v>
      </c>
      <c r="I68" s="88" t="s">
        <v>33</v>
      </c>
      <c r="J68" s="88" t="s">
        <v>33</v>
      </c>
      <c r="K68" s="88" t="s">
        <v>33</v>
      </c>
      <c r="L68" s="88" t="s">
        <v>33</v>
      </c>
      <c r="M68" s="88" t="s">
        <v>33</v>
      </c>
      <c r="N68" s="88" t="s">
        <v>33</v>
      </c>
      <c r="O68" s="89" t="s">
        <v>33</v>
      </c>
      <c r="P68" s="89" t="s">
        <v>33</v>
      </c>
      <c r="Q68" s="88" t="s">
        <v>33</v>
      </c>
      <c r="R68" s="88" t="s">
        <v>33</v>
      </c>
      <c r="S68" s="88" t="s">
        <v>33</v>
      </c>
      <c r="T68" s="88" t="s">
        <v>33</v>
      </c>
      <c r="U68" s="88" t="s">
        <v>33</v>
      </c>
      <c r="V68" s="88" t="s">
        <v>33</v>
      </c>
      <c r="W68" s="89" t="s">
        <v>33</v>
      </c>
      <c r="X68" s="89" t="s">
        <v>33</v>
      </c>
      <c r="Y68" s="88" t="s">
        <v>33</v>
      </c>
      <c r="Z68" s="88" t="s">
        <v>33</v>
      </c>
      <c r="AA68" s="88" t="s">
        <v>33</v>
      </c>
      <c r="AB68" s="88" t="s">
        <v>33</v>
      </c>
      <c r="AC68" s="88" t="s">
        <v>33</v>
      </c>
      <c r="AD68" s="88" t="s">
        <v>33</v>
      </c>
      <c r="AE68" s="89" t="s">
        <v>33</v>
      </c>
      <c r="AF68" s="89" t="s">
        <v>33</v>
      </c>
      <c r="AG68" s="90">
        <f t="shared" si="6"/>
        <v>0</v>
      </c>
      <c r="AH68" s="92"/>
      <c r="AI68" s="92"/>
      <c r="AJ68" s="92"/>
      <c r="AK68" s="93" t="s">
        <v>51</v>
      </c>
      <c r="AL68" s="109">
        <f t="shared" si="14"/>
        <v>18</v>
      </c>
      <c r="AM68" s="109">
        <f t="shared" si="15"/>
        <v>18</v>
      </c>
      <c r="AN68" s="109">
        <f t="shared" si="16"/>
        <v>18</v>
      </c>
      <c r="BE68" s="31"/>
    </row>
    <row r="69" spans="1:57">
      <c r="A69" s="85">
        <v>45795</v>
      </c>
      <c r="B69" s="88">
        <v>1600</v>
      </c>
      <c r="C69" s="88"/>
      <c r="D69" s="86">
        <f>(SUM(粮草!A69:X69)+AG69*10*IF(AK69="是",$BB$4,$BB$3))</f>
        <v>0</v>
      </c>
      <c r="E69" s="100">
        <f>SUM($B$4:B69)+SUM($C$4:C69)-SUM($D$4:D69)</f>
        <v>64226</v>
      </c>
      <c r="F69" s="99">
        <f>SUM(经验!A69:X69)</f>
        <v>0</v>
      </c>
      <c r="G69" s="86">
        <f>SUM($F$4:F69)+SUM($H$4:H69)</f>
        <v>23790</v>
      </c>
      <c r="H69" s="88">
        <v>0</v>
      </c>
      <c r="I69" s="88" t="s">
        <v>33</v>
      </c>
      <c r="J69" s="88" t="s">
        <v>33</v>
      </c>
      <c r="K69" s="88" t="s">
        <v>33</v>
      </c>
      <c r="L69" s="88" t="s">
        <v>33</v>
      </c>
      <c r="M69" s="88" t="s">
        <v>33</v>
      </c>
      <c r="N69" s="88" t="s">
        <v>33</v>
      </c>
      <c r="O69" s="89" t="s">
        <v>33</v>
      </c>
      <c r="P69" s="89" t="s">
        <v>33</v>
      </c>
      <c r="Q69" s="88" t="s">
        <v>33</v>
      </c>
      <c r="R69" s="88" t="s">
        <v>33</v>
      </c>
      <c r="S69" s="88" t="s">
        <v>33</v>
      </c>
      <c r="T69" s="88" t="s">
        <v>33</v>
      </c>
      <c r="U69" s="88" t="s">
        <v>33</v>
      </c>
      <c r="V69" s="88" t="s">
        <v>33</v>
      </c>
      <c r="W69" s="89" t="s">
        <v>33</v>
      </c>
      <c r="X69" s="89" t="s">
        <v>33</v>
      </c>
      <c r="Y69" s="88" t="s">
        <v>33</v>
      </c>
      <c r="Z69" s="88" t="s">
        <v>33</v>
      </c>
      <c r="AA69" s="88" t="s">
        <v>33</v>
      </c>
      <c r="AB69" s="88" t="s">
        <v>33</v>
      </c>
      <c r="AC69" s="88" t="s">
        <v>33</v>
      </c>
      <c r="AD69" s="88" t="s">
        <v>33</v>
      </c>
      <c r="AE69" s="89" t="s">
        <v>33</v>
      </c>
      <c r="AF69" s="89" t="s">
        <v>33</v>
      </c>
      <c r="AG69" s="90">
        <f t="shared" ref="AG69:AG93" si="17">AH69+AI69+AJ69</f>
        <v>0</v>
      </c>
      <c r="AH69" s="92"/>
      <c r="AI69" s="92"/>
      <c r="AJ69" s="92"/>
      <c r="AK69" s="93" t="s">
        <v>51</v>
      </c>
      <c r="AL69" s="109">
        <f t="shared" ref="AL69:AL93" si="18">MIN(AL68+6,18)-COUNTIF(I69:P69,"&lt;&gt;空")+COUNTIF(I69:P69,"历练")+COUNTIF(I69:P69,"营地")*2</f>
        <v>18</v>
      </c>
      <c r="AM69" s="109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31"/>
    </row>
    <row r="70" spans="1:57">
      <c r="A70" s="85">
        <v>45796</v>
      </c>
      <c r="B70" s="86">
        <v>1600</v>
      </c>
      <c r="C70" s="87"/>
      <c r="D70" s="86">
        <f>(SUM(粮草!A70:X70)+AG70*10*IF(AK70="是",$BB$4,$BB$3))</f>
        <v>0</v>
      </c>
      <c r="E70" s="100">
        <f>SUM($B$4:B70)+SUM($C$4:C70)-SUM($D$4:D70)</f>
        <v>65826</v>
      </c>
      <c r="F70" s="99">
        <f>SUM(经验!A70:X70)</f>
        <v>0</v>
      </c>
      <c r="G70" s="86">
        <f>SUM($F$4:F70)+SUM($H$4:H70)</f>
        <v>24090</v>
      </c>
      <c r="H70" s="86">
        <v>300</v>
      </c>
      <c r="I70" s="88" t="s">
        <v>33</v>
      </c>
      <c r="J70" s="88" t="s">
        <v>33</v>
      </c>
      <c r="K70" s="88" t="s">
        <v>33</v>
      </c>
      <c r="L70" s="88" t="s">
        <v>33</v>
      </c>
      <c r="M70" s="88" t="s">
        <v>33</v>
      </c>
      <c r="N70" s="88" t="s">
        <v>33</v>
      </c>
      <c r="O70" s="89" t="s">
        <v>33</v>
      </c>
      <c r="P70" s="89" t="s">
        <v>33</v>
      </c>
      <c r="Q70" s="88" t="s">
        <v>33</v>
      </c>
      <c r="R70" s="88" t="s">
        <v>33</v>
      </c>
      <c r="S70" s="88" t="s">
        <v>33</v>
      </c>
      <c r="T70" s="88" t="s">
        <v>33</v>
      </c>
      <c r="U70" s="88" t="s">
        <v>33</v>
      </c>
      <c r="V70" s="88" t="s">
        <v>33</v>
      </c>
      <c r="W70" s="89" t="s">
        <v>33</v>
      </c>
      <c r="X70" s="89" t="s">
        <v>33</v>
      </c>
      <c r="Y70" s="88" t="s">
        <v>33</v>
      </c>
      <c r="Z70" s="88" t="s">
        <v>33</v>
      </c>
      <c r="AA70" s="88" t="s">
        <v>33</v>
      </c>
      <c r="AB70" s="88" t="s">
        <v>33</v>
      </c>
      <c r="AC70" s="88" t="s">
        <v>33</v>
      </c>
      <c r="AD70" s="88" t="s">
        <v>33</v>
      </c>
      <c r="AE70" s="89" t="s">
        <v>33</v>
      </c>
      <c r="AF70" s="89" t="s">
        <v>33</v>
      </c>
      <c r="AG70" s="90">
        <f t="shared" si="17"/>
        <v>0</v>
      </c>
      <c r="AH70" s="92"/>
      <c r="AI70" s="92"/>
      <c r="AJ70" s="92"/>
      <c r="AK70" s="93" t="s">
        <v>51</v>
      </c>
      <c r="AL70" s="109">
        <f t="shared" si="18"/>
        <v>18</v>
      </c>
      <c r="AM70" s="109">
        <f t="shared" si="19"/>
        <v>18</v>
      </c>
      <c r="AN70" s="109">
        <f t="shared" si="20"/>
        <v>18</v>
      </c>
      <c r="BE70" s="31"/>
    </row>
    <row r="71" spans="1:57">
      <c r="A71" s="85">
        <v>45797</v>
      </c>
      <c r="B71" s="86">
        <v>1600</v>
      </c>
      <c r="C71" s="87"/>
      <c r="D71" s="86">
        <f>(SUM(粮草!A71:X71)+AG71*10*IF(AK71="是",$BB$4,$BB$3))</f>
        <v>0</v>
      </c>
      <c r="E71" s="100">
        <f>SUM($B$4:B71)+SUM($C$4:C71)-SUM($D$4:D71)</f>
        <v>67426</v>
      </c>
      <c r="F71" s="99">
        <f>SUM(经验!A71:X71)</f>
        <v>0</v>
      </c>
      <c r="G71" s="86">
        <f>SUM($F$4:F71)+SUM($H$4:H71)</f>
        <v>24090</v>
      </c>
      <c r="H71" s="86">
        <v>0</v>
      </c>
      <c r="I71" s="88" t="s">
        <v>33</v>
      </c>
      <c r="J71" s="88" t="s">
        <v>33</v>
      </c>
      <c r="K71" s="88" t="s">
        <v>33</v>
      </c>
      <c r="L71" s="88" t="s">
        <v>33</v>
      </c>
      <c r="M71" s="88" t="s">
        <v>33</v>
      </c>
      <c r="N71" s="88" t="s">
        <v>33</v>
      </c>
      <c r="O71" s="89" t="s">
        <v>33</v>
      </c>
      <c r="P71" s="89" t="s">
        <v>33</v>
      </c>
      <c r="Q71" s="88" t="s">
        <v>33</v>
      </c>
      <c r="R71" s="88" t="s">
        <v>33</v>
      </c>
      <c r="S71" s="88" t="s">
        <v>33</v>
      </c>
      <c r="T71" s="88" t="s">
        <v>33</v>
      </c>
      <c r="U71" s="88" t="s">
        <v>33</v>
      </c>
      <c r="V71" s="88" t="s">
        <v>33</v>
      </c>
      <c r="W71" s="89" t="s">
        <v>33</v>
      </c>
      <c r="X71" s="89" t="s">
        <v>33</v>
      </c>
      <c r="Y71" s="88" t="s">
        <v>33</v>
      </c>
      <c r="Z71" s="88" t="s">
        <v>33</v>
      </c>
      <c r="AA71" s="88" t="s">
        <v>33</v>
      </c>
      <c r="AB71" s="88" t="s">
        <v>33</v>
      </c>
      <c r="AC71" s="88" t="s">
        <v>33</v>
      </c>
      <c r="AD71" s="88" t="s">
        <v>33</v>
      </c>
      <c r="AE71" s="89" t="s">
        <v>33</v>
      </c>
      <c r="AF71" s="89" t="s">
        <v>33</v>
      </c>
      <c r="AG71" s="90">
        <f t="shared" si="17"/>
        <v>0</v>
      </c>
      <c r="AH71" s="92"/>
      <c r="AI71" s="92"/>
      <c r="AJ71" s="92"/>
      <c r="AK71" s="93" t="s">
        <v>51</v>
      </c>
      <c r="AL71" s="109">
        <f t="shared" si="18"/>
        <v>18</v>
      </c>
      <c r="AM71" s="109">
        <f t="shared" si="19"/>
        <v>18</v>
      </c>
      <c r="AN71" s="109">
        <f t="shared" si="20"/>
        <v>18</v>
      </c>
      <c r="BE71" s="31"/>
    </row>
    <row r="72" spans="1:57">
      <c r="A72" s="85">
        <v>45798</v>
      </c>
      <c r="B72" s="86">
        <v>1600</v>
      </c>
      <c r="C72" s="87"/>
      <c r="D72" s="86">
        <f>(SUM(粮草!A72:X72)+AG72*10*IF(AK72="是",$BB$4,$BB$3))</f>
        <v>0</v>
      </c>
      <c r="E72" s="100">
        <f>SUM($B$4:B72)+SUM($C$4:C72)-SUM($D$4:D72)</f>
        <v>69026</v>
      </c>
      <c r="F72" s="99">
        <f>SUM(经验!A72:X72)</f>
        <v>0</v>
      </c>
      <c r="G72" s="86">
        <f>SUM($F$4:F72)+SUM($H$4:H72)</f>
        <v>24290</v>
      </c>
      <c r="H72" s="86">
        <v>200</v>
      </c>
      <c r="I72" s="88" t="s">
        <v>33</v>
      </c>
      <c r="J72" s="88" t="s">
        <v>33</v>
      </c>
      <c r="K72" s="88" t="s">
        <v>33</v>
      </c>
      <c r="L72" s="88" t="s">
        <v>33</v>
      </c>
      <c r="M72" s="88" t="s">
        <v>33</v>
      </c>
      <c r="N72" s="88" t="s">
        <v>33</v>
      </c>
      <c r="O72" s="89" t="s">
        <v>33</v>
      </c>
      <c r="P72" s="89" t="s">
        <v>33</v>
      </c>
      <c r="Q72" s="88" t="s">
        <v>33</v>
      </c>
      <c r="R72" s="88" t="s">
        <v>33</v>
      </c>
      <c r="S72" s="88" t="s">
        <v>33</v>
      </c>
      <c r="T72" s="88" t="s">
        <v>33</v>
      </c>
      <c r="U72" s="88" t="s">
        <v>33</v>
      </c>
      <c r="V72" s="88" t="s">
        <v>33</v>
      </c>
      <c r="W72" s="89" t="s">
        <v>33</v>
      </c>
      <c r="X72" s="89" t="s">
        <v>33</v>
      </c>
      <c r="Y72" s="88" t="s">
        <v>33</v>
      </c>
      <c r="Z72" s="88" t="s">
        <v>33</v>
      </c>
      <c r="AA72" s="88" t="s">
        <v>33</v>
      </c>
      <c r="AB72" s="88" t="s">
        <v>33</v>
      </c>
      <c r="AC72" s="88" t="s">
        <v>33</v>
      </c>
      <c r="AD72" s="88" t="s">
        <v>33</v>
      </c>
      <c r="AE72" s="89" t="s">
        <v>33</v>
      </c>
      <c r="AF72" s="89" t="s">
        <v>33</v>
      </c>
      <c r="AG72" s="90">
        <f t="shared" si="17"/>
        <v>0</v>
      </c>
      <c r="AH72" s="92"/>
      <c r="AI72" s="92"/>
      <c r="AJ72" s="92"/>
      <c r="AK72" s="93" t="s">
        <v>51</v>
      </c>
      <c r="AL72" s="109">
        <f t="shared" si="18"/>
        <v>18</v>
      </c>
      <c r="AM72" s="109">
        <f t="shared" si="19"/>
        <v>18</v>
      </c>
      <c r="AN72" s="109">
        <f t="shared" si="20"/>
        <v>18</v>
      </c>
      <c r="BE72" s="31"/>
    </row>
    <row r="73" spans="1:57">
      <c r="A73" s="85">
        <v>45799</v>
      </c>
      <c r="B73" s="86">
        <v>1600</v>
      </c>
      <c r="C73" s="87"/>
      <c r="D73" s="86">
        <f>(SUM(粮草!A73:X73)+AG73*10*IF(AK73="是",$BB$4,$BB$3))</f>
        <v>0</v>
      </c>
      <c r="E73" s="100">
        <f>SUM($B$4:B73)+SUM($C$4:C73)-SUM($D$4:D73)</f>
        <v>70626</v>
      </c>
      <c r="F73" s="99">
        <f>SUM(经验!A73:X73)</f>
        <v>0</v>
      </c>
      <c r="G73" s="86">
        <f>SUM($F$4:F73)+SUM($H$4:H73)</f>
        <v>24290</v>
      </c>
      <c r="H73" s="86">
        <v>0</v>
      </c>
      <c r="I73" s="88" t="s">
        <v>33</v>
      </c>
      <c r="J73" s="88" t="s">
        <v>33</v>
      </c>
      <c r="K73" s="88" t="s">
        <v>33</v>
      </c>
      <c r="L73" s="88" t="s">
        <v>33</v>
      </c>
      <c r="M73" s="88" t="s">
        <v>33</v>
      </c>
      <c r="N73" s="88" t="s">
        <v>33</v>
      </c>
      <c r="O73" s="89" t="s">
        <v>33</v>
      </c>
      <c r="P73" s="89" t="s">
        <v>33</v>
      </c>
      <c r="Q73" s="88" t="s">
        <v>33</v>
      </c>
      <c r="R73" s="88" t="s">
        <v>33</v>
      </c>
      <c r="S73" s="88" t="s">
        <v>33</v>
      </c>
      <c r="T73" s="88" t="s">
        <v>33</v>
      </c>
      <c r="U73" s="88" t="s">
        <v>33</v>
      </c>
      <c r="V73" s="88" t="s">
        <v>33</v>
      </c>
      <c r="W73" s="89" t="s">
        <v>33</v>
      </c>
      <c r="X73" s="89" t="s">
        <v>33</v>
      </c>
      <c r="Y73" s="88" t="s">
        <v>33</v>
      </c>
      <c r="Z73" s="88" t="s">
        <v>33</v>
      </c>
      <c r="AA73" s="88" t="s">
        <v>33</v>
      </c>
      <c r="AB73" s="88" t="s">
        <v>33</v>
      </c>
      <c r="AC73" s="88" t="s">
        <v>33</v>
      </c>
      <c r="AD73" s="88" t="s">
        <v>33</v>
      </c>
      <c r="AE73" s="89" t="s">
        <v>33</v>
      </c>
      <c r="AF73" s="89" t="s">
        <v>33</v>
      </c>
      <c r="AG73" s="90">
        <f t="shared" si="17"/>
        <v>0</v>
      </c>
      <c r="AH73" s="92"/>
      <c r="AI73" s="92"/>
      <c r="AJ73" s="92"/>
      <c r="AK73" s="93" t="s">
        <v>51</v>
      </c>
      <c r="AL73" s="109">
        <f t="shared" si="18"/>
        <v>18</v>
      </c>
      <c r="AM73" s="109">
        <f t="shared" si="19"/>
        <v>18</v>
      </c>
      <c r="AN73" s="109">
        <f t="shared" si="20"/>
        <v>18</v>
      </c>
      <c r="BE73" s="31"/>
    </row>
    <row r="74" spans="1:57">
      <c r="A74" s="85">
        <v>45800</v>
      </c>
      <c r="B74" s="86">
        <v>1600</v>
      </c>
      <c r="C74" s="87"/>
      <c r="D74" s="86">
        <f>(SUM(粮草!A74:X74)+AG74*10*IF(AK74="是",$BB$4,$BB$3))</f>
        <v>0</v>
      </c>
      <c r="E74" s="100">
        <f>SUM($B$4:B74)+SUM($C$4:C74)-SUM($D$4:D74)</f>
        <v>72226</v>
      </c>
      <c r="F74" s="99">
        <f>SUM(经验!A74:X74)</f>
        <v>0</v>
      </c>
      <c r="G74" s="86">
        <f>SUM($F$4:F74)+SUM($H$4:H74)</f>
        <v>24290</v>
      </c>
      <c r="H74" s="86">
        <v>0</v>
      </c>
      <c r="I74" s="88" t="s">
        <v>33</v>
      </c>
      <c r="J74" s="88" t="s">
        <v>33</v>
      </c>
      <c r="K74" s="88" t="s">
        <v>33</v>
      </c>
      <c r="L74" s="88" t="s">
        <v>33</v>
      </c>
      <c r="M74" s="88" t="s">
        <v>33</v>
      </c>
      <c r="N74" s="88" t="s">
        <v>33</v>
      </c>
      <c r="O74" s="89" t="s">
        <v>33</v>
      </c>
      <c r="P74" s="89" t="s">
        <v>33</v>
      </c>
      <c r="Q74" s="88" t="s">
        <v>33</v>
      </c>
      <c r="R74" s="88" t="s">
        <v>33</v>
      </c>
      <c r="S74" s="88" t="s">
        <v>33</v>
      </c>
      <c r="T74" s="88" t="s">
        <v>33</v>
      </c>
      <c r="U74" s="88" t="s">
        <v>33</v>
      </c>
      <c r="V74" s="88" t="s">
        <v>33</v>
      </c>
      <c r="W74" s="89" t="s">
        <v>33</v>
      </c>
      <c r="X74" s="89" t="s">
        <v>33</v>
      </c>
      <c r="Y74" s="88" t="s">
        <v>33</v>
      </c>
      <c r="Z74" s="88" t="s">
        <v>33</v>
      </c>
      <c r="AA74" s="88" t="s">
        <v>33</v>
      </c>
      <c r="AB74" s="88" t="s">
        <v>33</v>
      </c>
      <c r="AC74" s="88" t="s">
        <v>33</v>
      </c>
      <c r="AD74" s="88" t="s">
        <v>33</v>
      </c>
      <c r="AE74" s="89" t="s">
        <v>33</v>
      </c>
      <c r="AF74" s="89" t="s">
        <v>33</v>
      </c>
      <c r="AG74" s="90">
        <f t="shared" si="17"/>
        <v>0</v>
      </c>
      <c r="AH74" s="92"/>
      <c r="AI74" s="92"/>
      <c r="AJ74" s="92"/>
      <c r="AK74" s="93" t="s">
        <v>51</v>
      </c>
      <c r="AL74" s="109">
        <f t="shared" si="18"/>
        <v>18</v>
      </c>
      <c r="AM74" s="109">
        <f t="shared" si="19"/>
        <v>18</v>
      </c>
      <c r="AN74" s="109">
        <f t="shared" si="20"/>
        <v>18</v>
      </c>
      <c r="BE74" s="31"/>
    </row>
    <row r="75" spans="1:57">
      <c r="A75" s="85">
        <v>45801</v>
      </c>
      <c r="B75" s="86">
        <v>1600</v>
      </c>
      <c r="C75" s="87"/>
      <c r="D75" s="86">
        <f>(SUM(粮草!A75:X75)+AG75*10*IF(AK75="是",$BB$4,$BB$3))</f>
        <v>0</v>
      </c>
      <c r="E75" s="100">
        <f>SUM($B$4:B75)+SUM($C$4:C75)-SUM($D$4:D75)</f>
        <v>73826</v>
      </c>
      <c r="F75" s="99">
        <f>SUM(经验!A75:X75)</f>
        <v>0</v>
      </c>
      <c r="G75" s="86">
        <f>SUM($F$4:F75)+SUM($H$4:H75)</f>
        <v>24290</v>
      </c>
      <c r="H75" s="86">
        <v>0</v>
      </c>
      <c r="I75" s="88" t="s">
        <v>33</v>
      </c>
      <c r="J75" s="88" t="s">
        <v>33</v>
      </c>
      <c r="K75" s="88" t="s">
        <v>33</v>
      </c>
      <c r="L75" s="88" t="s">
        <v>33</v>
      </c>
      <c r="M75" s="88" t="s">
        <v>33</v>
      </c>
      <c r="N75" s="88" t="s">
        <v>33</v>
      </c>
      <c r="O75" s="89" t="s">
        <v>33</v>
      </c>
      <c r="P75" s="89" t="s">
        <v>33</v>
      </c>
      <c r="Q75" s="88" t="s">
        <v>33</v>
      </c>
      <c r="R75" s="88" t="s">
        <v>33</v>
      </c>
      <c r="S75" s="88" t="s">
        <v>33</v>
      </c>
      <c r="T75" s="88" t="s">
        <v>33</v>
      </c>
      <c r="U75" s="88" t="s">
        <v>33</v>
      </c>
      <c r="V75" s="88" t="s">
        <v>33</v>
      </c>
      <c r="W75" s="89" t="s">
        <v>33</v>
      </c>
      <c r="X75" s="89" t="s">
        <v>33</v>
      </c>
      <c r="Y75" s="88" t="s">
        <v>33</v>
      </c>
      <c r="Z75" s="88" t="s">
        <v>33</v>
      </c>
      <c r="AA75" s="88" t="s">
        <v>33</v>
      </c>
      <c r="AB75" s="88" t="s">
        <v>33</v>
      </c>
      <c r="AC75" s="88" t="s">
        <v>33</v>
      </c>
      <c r="AD75" s="88" t="s">
        <v>33</v>
      </c>
      <c r="AE75" s="89" t="s">
        <v>33</v>
      </c>
      <c r="AF75" s="89" t="s">
        <v>33</v>
      </c>
      <c r="AG75" s="90">
        <f t="shared" si="17"/>
        <v>0</v>
      </c>
      <c r="AH75" s="92"/>
      <c r="AI75" s="92"/>
      <c r="AJ75" s="92"/>
      <c r="AK75" s="93" t="s">
        <v>51</v>
      </c>
      <c r="AL75" s="109">
        <f t="shared" si="18"/>
        <v>18</v>
      </c>
      <c r="AM75" s="109">
        <f t="shared" si="19"/>
        <v>18</v>
      </c>
      <c r="AN75" s="109">
        <f t="shared" si="20"/>
        <v>18</v>
      </c>
      <c r="BE75" s="31"/>
    </row>
    <row r="76" spans="1:57">
      <c r="A76" s="85">
        <v>45802</v>
      </c>
      <c r="B76" s="86">
        <v>1600</v>
      </c>
      <c r="C76" s="87"/>
      <c r="D76" s="86">
        <f>(SUM(粮草!A76:X76)+AG76*10*IF(AK76="是",$BB$4,$BB$3))</f>
        <v>0</v>
      </c>
      <c r="E76" s="100">
        <f>SUM($B$4:B76)+SUM($C$4:C76)-SUM($D$4:D76)</f>
        <v>75426</v>
      </c>
      <c r="F76" s="99">
        <f>SUM(经验!A76:X76)</f>
        <v>0</v>
      </c>
      <c r="G76" s="86">
        <f>SUM($F$4:F76)+SUM($H$4:H76)</f>
        <v>24290</v>
      </c>
      <c r="H76" s="86">
        <v>0</v>
      </c>
      <c r="I76" s="88" t="s">
        <v>33</v>
      </c>
      <c r="J76" s="88" t="s">
        <v>33</v>
      </c>
      <c r="K76" s="88" t="s">
        <v>33</v>
      </c>
      <c r="L76" s="88" t="s">
        <v>33</v>
      </c>
      <c r="M76" s="88" t="s">
        <v>33</v>
      </c>
      <c r="N76" s="88" t="s">
        <v>33</v>
      </c>
      <c r="O76" s="89" t="s">
        <v>33</v>
      </c>
      <c r="P76" s="89" t="s">
        <v>33</v>
      </c>
      <c r="Q76" s="88" t="s">
        <v>33</v>
      </c>
      <c r="R76" s="88" t="s">
        <v>33</v>
      </c>
      <c r="S76" s="88" t="s">
        <v>33</v>
      </c>
      <c r="T76" s="88" t="s">
        <v>33</v>
      </c>
      <c r="U76" s="88" t="s">
        <v>33</v>
      </c>
      <c r="V76" s="88" t="s">
        <v>33</v>
      </c>
      <c r="W76" s="89" t="s">
        <v>33</v>
      </c>
      <c r="X76" s="89" t="s">
        <v>33</v>
      </c>
      <c r="Y76" s="88" t="s">
        <v>33</v>
      </c>
      <c r="Z76" s="88" t="s">
        <v>33</v>
      </c>
      <c r="AA76" s="88" t="s">
        <v>33</v>
      </c>
      <c r="AB76" s="88" t="s">
        <v>33</v>
      </c>
      <c r="AC76" s="88" t="s">
        <v>33</v>
      </c>
      <c r="AD76" s="88" t="s">
        <v>33</v>
      </c>
      <c r="AE76" s="89" t="s">
        <v>33</v>
      </c>
      <c r="AF76" s="89" t="s">
        <v>33</v>
      </c>
      <c r="AG76" s="90">
        <f t="shared" si="17"/>
        <v>0</v>
      </c>
      <c r="AH76" s="92"/>
      <c r="AI76" s="92"/>
      <c r="AJ76" s="92"/>
      <c r="AK76" s="93" t="s">
        <v>51</v>
      </c>
      <c r="AL76" s="109">
        <f t="shared" si="18"/>
        <v>18</v>
      </c>
      <c r="AM76" s="109">
        <f t="shared" si="19"/>
        <v>18</v>
      </c>
      <c r="AN76" s="109">
        <f t="shared" si="20"/>
        <v>18</v>
      </c>
      <c r="BE76" s="31"/>
    </row>
    <row r="77" spans="1:57">
      <c r="A77" s="85">
        <v>45803</v>
      </c>
      <c r="B77" s="88">
        <v>1600</v>
      </c>
      <c r="C77" s="88"/>
      <c r="D77" s="86">
        <f>(SUM(粮草!A77:X77)+AG77*10*IF(AK77="是",$BB$4,$BB$3))</f>
        <v>0</v>
      </c>
      <c r="E77" s="100">
        <f>SUM($B$4:B77)+SUM($C$4:C77)-SUM($D$4:D77)</f>
        <v>77026</v>
      </c>
      <c r="F77" s="99">
        <f>SUM(经验!A77:X77)</f>
        <v>0</v>
      </c>
      <c r="G77" s="86">
        <f>SUM($F$4:F77)+SUM($H$4:H77)</f>
        <v>24590</v>
      </c>
      <c r="H77" s="88">
        <v>300</v>
      </c>
      <c r="I77" s="88" t="s">
        <v>33</v>
      </c>
      <c r="J77" s="88" t="s">
        <v>33</v>
      </c>
      <c r="K77" s="88" t="s">
        <v>33</v>
      </c>
      <c r="L77" s="88" t="s">
        <v>33</v>
      </c>
      <c r="M77" s="88" t="s">
        <v>33</v>
      </c>
      <c r="N77" s="88" t="s">
        <v>33</v>
      </c>
      <c r="O77" s="89" t="s">
        <v>33</v>
      </c>
      <c r="P77" s="89" t="s">
        <v>33</v>
      </c>
      <c r="Q77" s="88" t="s">
        <v>33</v>
      </c>
      <c r="R77" s="88" t="s">
        <v>33</v>
      </c>
      <c r="S77" s="88" t="s">
        <v>33</v>
      </c>
      <c r="T77" s="88" t="s">
        <v>33</v>
      </c>
      <c r="U77" s="88" t="s">
        <v>33</v>
      </c>
      <c r="V77" s="88" t="s">
        <v>33</v>
      </c>
      <c r="W77" s="89" t="s">
        <v>33</v>
      </c>
      <c r="X77" s="89" t="s">
        <v>33</v>
      </c>
      <c r="Y77" s="88" t="s">
        <v>33</v>
      </c>
      <c r="Z77" s="88" t="s">
        <v>33</v>
      </c>
      <c r="AA77" s="88" t="s">
        <v>33</v>
      </c>
      <c r="AB77" s="88" t="s">
        <v>33</v>
      </c>
      <c r="AC77" s="88" t="s">
        <v>33</v>
      </c>
      <c r="AD77" s="88" t="s">
        <v>33</v>
      </c>
      <c r="AE77" s="89" t="s">
        <v>33</v>
      </c>
      <c r="AF77" s="89" t="s">
        <v>33</v>
      </c>
      <c r="AG77" s="90">
        <f t="shared" si="17"/>
        <v>0</v>
      </c>
      <c r="AH77" s="92"/>
      <c r="AI77" s="92"/>
      <c r="AJ77" s="92"/>
      <c r="AK77" s="93" t="s">
        <v>51</v>
      </c>
      <c r="AL77" s="109">
        <f t="shared" si="18"/>
        <v>18</v>
      </c>
      <c r="AM77" s="109">
        <f t="shared" si="19"/>
        <v>18</v>
      </c>
      <c r="AN77" s="109">
        <f t="shared" si="20"/>
        <v>18</v>
      </c>
      <c r="BE77" s="31"/>
    </row>
    <row r="78" spans="1:57">
      <c r="A78" s="85">
        <v>45804</v>
      </c>
      <c r="B78" s="88">
        <v>1600</v>
      </c>
      <c r="C78" s="88"/>
      <c r="D78" s="86">
        <f>(SUM(粮草!A78:X78)+AG78*10*IF(AK78="是",$BB$4,$BB$3))</f>
        <v>0</v>
      </c>
      <c r="E78" s="100">
        <f>SUM($B$4:B78)+SUM($C$4:C78)-SUM($D$4:D78)</f>
        <v>78626</v>
      </c>
      <c r="F78" s="99">
        <f>SUM(经验!A78:X78)</f>
        <v>0</v>
      </c>
      <c r="G78" s="86">
        <f>SUM($F$4:F78)+SUM($H$4:H78)</f>
        <v>24590</v>
      </c>
      <c r="H78" s="88">
        <v>0</v>
      </c>
      <c r="I78" s="88" t="s">
        <v>33</v>
      </c>
      <c r="J78" s="88" t="s">
        <v>33</v>
      </c>
      <c r="K78" s="88" t="s">
        <v>33</v>
      </c>
      <c r="L78" s="88" t="s">
        <v>33</v>
      </c>
      <c r="M78" s="88" t="s">
        <v>33</v>
      </c>
      <c r="N78" s="88" t="s">
        <v>33</v>
      </c>
      <c r="O78" s="89" t="s">
        <v>33</v>
      </c>
      <c r="P78" s="89" t="s">
        <v>33</v>
      </c>
      <c r="Q78" s="88" t="s">
        <v>33</v>
      </c>
      <c r="R78" s="88" t="s">
        <v>33</v>
      </c>
      <c r="S78" s="88" t="s">
        <v>33</v>
      </c>
      <c r="T78" s="88" t="s">
        <v>33</v>
      </c>
      <c r="U78" s="88" t="s">
        <v>33</v>
      </c>
      <c r="V78" s="88" t="s">
        <v>33</v>
      </c>
      <c r="W78" s="89" t="s">
        <v>33</v>
      </c>
      <c r="X78" s="89" t="s">
        <v>33</v>
      </c>
      <c r="Y78" s="88" t="s">
        <v>33</v>
      </c>
      <c r="Z78" s="88" t="s">
        <v>33</v>
      </c>
      <c r="AA78" s="88" t="s">
        <v>33</v>
      </c>
      <c r="AB78" s="88" t="s">
        <v>33</v>
      </c>
      <c r="AC78" s="88" t="s">
        <v>33</v>
      </c>
      <c r="AD78" s="88" t="s">
        <v>33</v>
      </c>
      <c r="AE78" s="89" t="s">
        <v>33</v>
      </c>
      <c r="AF78" s="89" t="s">
        <v>33</v>
      </c>
      <c r="AG78" s="90">
        <f t="shared" si="17"/>
        <v>0</v>
      </c>
      <c r="AH78" s="92"/>
      <c r="AI78" s="92"/>
      <c r="AJ78" s="92"/>
      <c r="AK78" s="93" t="s">
        <v>51</v>
      </c>
      <c r="AL78" s="109">
        <f t="shared" si="18"/>
        <v>18</v>
      </c>
      <c r="AM78" s="109">
        <f t="shared" si="19"/>
        <v>18</v>
      </c>
      <c r="AN78" s="109">
        <f t="shared" si="20"/>
        <v>18</v>
      </c>
      <c r="BE78" s="31"/>
    </row>
    <row r="79" spans="1:57">
      <c r="A79" s="85">
        <v>45805</v>
      </c>
      <c r="B79" s="88">
        <v>1600</v>
      </c>
      <c r="C79" s="88"/>
      <c r="D79" s="86">
        <f>(SUM(粮草!A79:X79)+AG79*10*IF(AK79="是",$BB$4,$BB$3))</f>
        <v>0</v>
      </c>
      <c r="E79" s="100">
        <f>SUM($B$4:B79)+SUM($C$4:C79)-SUM($D$4:D79)</f>
        <v>80226</v>
      </c>
      <c r="F79" s="99">
        <f>SUM(经验!A79:X79)</f>
        <v>0</v>
      </c>
      <c r="G79" s="86">
        <f>SUM($F$4:F79)+SUM($H$4:H79)</f>
        <v>24790</v>
      </c>
      <c r="H79" s="88">
        <v>200</v>
      </c>
      <c r="I79" s="88" t="s">
        <v>33</v>
      </c>
      <c r="J79" s="88" t="s">
        <v>33</v>
      </c>
      <c r="K79" s="88" t="s">
        <v>33</v>
      </c>
      <c r="L79" s="88" t="s">
        <v>33</v>
      </c>
      <c r="M79" s="88" t="s">
        <v>33</v>
      </c>
      <c r="N79" s="88" t="s">
        <v>33</v>
      </c>
      <c r="O79" s="89" t="s">
        <v>33</v>
      </c>
      <c r="P79" s="89" t="s">
        <v>33</v>
      </c>
      <c r="Q79" s="88" t="s">
        <v>33</v>
      </c>
      <c r="R79" s="88" t="s">
        <v>33</v>
      </c>
      <c r="S79" s="88" t="s">
        <v>33</v>
      </c>
      <c r="T79" s="88" t="s">
        <v>33</v>
      </c>
      <c r="U79" s="88" t="s">
        <v>33</v>
      </c>
      <c r="V79" s="88" t="s">
        <v>33</v>
      </c>
      <c r="W79" s="89" t="s">
        <v>33</v>
      </c>
      <c r="X79" s="89" t="s">
        <v>33</v>
      </c>
      <c r="Y79" s="88" t="s">
        <v>33</v>
      </c>
      <c r="Z79" s="88" t="s">
        <v>33</v>
      </c>
      <c r="AA79" s="88" t="s">
        <v>33</v>
      </c>
      <c r="AB79" s="88" t="s">
        <v>33</v>
      </c>
      <c r="AC79" s="88" t="s">
        <v>33</v>
      </c>
      <c r="AD79" s="88" t="s">
        <v>33</v>
      </c>
      <c r="AE79" s="89" t="s">
        <v>33</v>
      </c>
      <c r="AF79" s="89" t="s">
        <v>33</v>
      </c>
      <c r="AG79" s="90">
        <f t="shared" si="17"/>
        <v>0</v>
      </c>
      <c r="AH79" s="92"/>
      <c r="AI79" s="92"/>
      <c r="AJ79" s="92"/>
      <c r="AK79" s="93" t="s">
        <v>51</v>
      </c>
      <c r="AL79" s="109">
        <f t="shared" si="18"/>
        <v>18</v>
      </c>
      <c r="AM79" s="109">
        <f t="shared" si="19"/>
        <v>18</v>
      </c>
      <c r="AN79" s="109">
        <f t="shared" si="20"/>
        <v>18</v>
      </c>
      <c r="BE79" s="31"/>
    </row>
    <row r="80" spans="1:57">
      <c r="A80" s="85">
        <v>45806</v>
      </c>
      <c r="B80" s="88">
        <v>1600</v>
      </c>
      <c r="C80" s="88"/>
      <c r="D80" s="86">
        <f>(SUM(粮草!A80:X80)+AG80*10*IF(AK80="是",$BB$4,$BB$3))</f>
        <v>0</v>
      </c>
      <c r="E80" s="100">
        <f>SUM($B$4:B80)+SUM($C$4:C80)-SUM($D$4:D80)</f>
        <v>81826</v>
      </c>
      <c r="F80" s="99">
        <f>SUM(经验!A80:X80)</f>
        <v>0</v>
      </c>
      <c r="G80" s="86">
        <f>SUM($F$4:F80)+SUM($H$4:H80)</f>
        <v>24790</v>
      </c>
      <c r="H80" s="88">
        <v>0</v>
      </c>
      <c r="I80" s="88" t="s">
        <v>33</v>
      </c>
      <c r="J80" s="88" t="s">
        <v>33</v>
      </c>
      <c r="K80" s="88" t="s">
        <v>33</v>
      </c>
      <c r="L80" s="88" t="s">
        <v>33</v>
      </c>
      <c r="M80" s="88" t="s">
        <v>33</v>
      </c>
      <c r="N80" s="88" t="s">
        <v>33</v>
      </c>
      <c r="O80" s="89" t="s">
        <v>33</v>
      </c>
      <c r="P80" s="89" t="s">
        <v>33</v>
      </c>
      <c r="Q80" s="88" t="s">
        <v>33</v>
      </c>
      <c r="R80" s="88" t="s">
        <v>33</v>
      </c>
      <c r="S80" s="88" t="s">
        <v>33</v>
      </c>
      <c r="T80" s="88" t="s">
        <v>33</v>
      </c>
      <c r="U80" s="88" t="s">
        <v>33</v>
      </c>
      <c r="V80" s="88" t="s">
        <v>33</v>
      </c>
      <c r="W80" s="89" t="s">
        <v>33</v>
      </c>
      <c r="X80" s="89" t="s">
        <v>33</v>
      </c>
      <c r="Y80" s="88" t="s">
        <v>33</v>
      </c>
      <c r="Z80" s="88" t="s">
        <v>33</v>
      </c>
      <c r="AA80" s="88" t="s">
        <v>33</v>
      </c>
      <c r="AB80" s="88" t="s">
        <v>33</v>
      </c>
      <c r="AC80" s="88" t="s">
        <v>33</v>
      </c>
      <c r="AD80" s="88" t="s">
        <v>33</v>
      </c>
      <c r="AE80" s="89" t="s">
        <v>33</v>
      </c>
      <c r="AF80" s="89" t="s">
        <v>33</v>
      </c>
      <c r="AG80" s="90">
        <f t="shared" si="17"/>
        <v>0</v>
      </c>
      <c r="AH80" s="92"/>
      <c r="AI80" s="92"/>
      <c r="AJ80" s="92"/>
      <c r="AK80" s="93" t="s">
        <v>51</v>
      </c>
      <c r="AL80" s="109">
        <f t="shared" si="18"/>
        <v>18</v>
      </c>
      <c r="AM80" s="109">
        <f t="shared" si="19"/>
        <v>18</v>
      </c>
      <c r="AN80" s="109">
        <f t="shared" si="20"/>
        <v>18</v>
      </c>
      <c r="BE80" s="31"/>
    </row>
    <row r="81" spans="1:57">
      <c r="A81" s="85">
        <v>45807</v>
      </c>
      <c r="B81" s="88">
        <v>1600</v>
      </c>
      <c r="C81" s="88"/>
      <c r="D81" s="86">
        <f>(SUM(粮草!A81:X81)+AG81*10*IF(AK81="是",$BB$4,$BB$3))</f>
        <v>0</v>
      </c>
      <c r="E81" s="100">
        <f>SUM($B$4:B81)+SUM($C$4:C81)-SUM($D$4:D81)</f>
        <v>83426</v>
      </c>
      <c r="F81" s="99">
        <f>SUM(经验!A81:X81)</f>
        <v>0</v>
      </c>
      <c r="G81" s="86">
        <f>SUM($F$4:F81)+SUM($H$4:H81)</f>
        <v>24790</v>
      </c>
      <c r="H81" s="88">
        <v>0</v>
      </c>
      <c r="I81" s="88" t="s">
        <v>33</v>
      </c>
      <c r="J81" s="88" t="s">
        <v>33</v>
      </c>
      <c r="K81" s="88" t="s">
        <v>33</v>
      </c>
      <c r="L81" s="88" t="s">
        <v>33</v>
      </c>
      <c r="M81" s="88" t="s">
        <v>33</v>
      </c>
      <c r="N81" s="88" t="s">
        <v>33</v>
      </c>
      <c r="O81" s="89" t="s">
        <v>33</v>
      </c>
      <c r="P81" s="89" t="s">
        <v>33</v>
      </c>
      <c r="Q81" s="88" t="s">
        <v>33</v>
      </c>
      <c r="R81" s="88" t="s">
        <v>33</v>
      </c>
      <c r="S81" s="88" t="s">
        <v>33</v>
      </c>
      <c r="T81" s="88" t="s">
        <v>33</v>
      </c>
      <c r="U81" s="88" t="s">
        <v>33</v>
      </c>
      <c r="V81" s="88" t="s">
        <v>33</v>
      </c>
      <c r="W81" s="89" t="s">
        <v>33</v>
      </c>
      <c r="X81" s="89" t="s">
        <v>33</v>
      </c>
      <c r="Y81" s="88" t="s">
        <v>33</v>
      </c>
      <c r="Z81" s="88" t="s">
        <v>33</v>
      </c>
      <c r="AA81" s="88" t="s">
        <v>33</v>
      </c>
      <c r="AB81" s="88" t="s">
        <v>33</v>
      </c>
      <c r="AC81" s="88" t="s">
        <v>33</v>
      </c>
      <c r="AD81" s="88" t="s">
        <v>33</v>
      </c>
      <c r="AE81" s="89" t="s">
        <v>33</v>
      </c>
      <c r="AF81" s="89" t="s">
        <v>33</v>
      </c>
      <c r="AG81" s="90">
        <f t="shared" si="17"/>
        <v>0</v>
      </c>
      <c r="AH81" s="92"/>
      <c r="AI81" s="92"/>
      <c r="AJ81" s="92"/>
      <c r="AK81" s="93" t="s">
        <v>51</v>
      </c>
      <c r="AL81" s="109">
        <f t="shared" si="18"/>
        <v>18</v>
      </c>
      <c r="AM81" s="109">
        <f t="shared" si="19"/>
        <v>18</v>
      </c>
      <c r="AN81" s="109">
        <f t="shared" si="20"/>
        <v>18</v>
      </c>
      <c r="BE81" s="31"/>
    </row>
    <row r="82" spans="1:57">
      <c r="A82" s="85">
        <v>45808</v>
      </c>
      <c r="B82" s="88">
        <v>1600</v>
      </c>
      <c r="C82" s="88"/>
      <c r="D82" s="86">
        <f>(SUM(粮草!A82:X82)+AG82*10*IF(AK82="是",$BB$4,$BB$3))</f>
        <v>0</v>
      </c>
      <c r="E82" s="100">
        <f>SUM($B$4:B82)+SUM($C$4:C82)-SUM($D$4:D82)</f>
        <v>85026</v>
      </c>
      <c r="F82" s="99">
        <f>SUM(经验!A82:X82)</f>
        <v>0</v>
      </c>
      <c r="G82" s="86">
        <f>SUM($F$4:F82)+SUM($H$4:H82)</f>
        <v>24790</v>
      </c>
      <c r="H82" s="88">
        <v>0</v>
      </c>
      <c r="I82" s="88" t="s">
        <v>33</v>
      </c>
      <c r="J82" s="88" t="s">
        <v>33</v>
      </c>
      <c r="K82" s="88" t="s">
        <v>33</v>
      </c>
      <c r="L82" s="88" t="s">
        <v>33</v>
      </c>
      <c r="M82" s="88" t="s">
        <v>33</v>
      </c>
      <c r="N82" s="88" t="s">
        <v>33</v>
      </c>
      <c r="O82" s="89" t="s">
        <v>33</v>
      </c>
      <c r="P82" s="89" t="s">
        <v>33</v>
      </c>
      <c r="Q82" s="88" t="s">
        <v>33</v>
      </c>
      <c r="R82" s="88" t="s">
        <v>33</v>
      </c>
      <c r="S82" s="88" t="s">
        <v>33</v>
      </c>
      <c r="T82" s="88" t="s">
        <v>33</v>
      </c>
      <c r="U82" s="88" t="s">
        <v>33</v>
      </c>
      <c r="V82" s="88" t="s">
        <v>33</v>
      </c>
      <c r="W82" s="89" t="s">
        <v>33</v>
      </c>
      <c r="X82" s="89" t="s">
        <v>33</v>
      </c>
      <c r="Y82" s="88" t="s">
        <v>33</v>
      </c>
      <c r="Z82" s="88" t="s">
        <v>33</v>
      </c>
      <c r="AA82" s="88" t="s">
        <v>33</v>
      </c>
      <c r="AB82" s="88" t="s">
        <v>33</v>
      </c>
      <c r="AC82" s="88" t="s">
        <v>33</v>
      </c>
      <c r="AD82" s="88" t="s">
        <v>33</v>
      </c>
      <c r="AE82" s="89" t="s">
        <v>33</v>
      </c>
      <c r="AF82" s="89" t="s">
        <v>33</v>
      </c>
      <c r="AG82" s="90">
        <f t="shared" si="17"/>
        <v>0</v>
      </c>
      <c r="AH82" s="92"/>
      <c r="AI82" s="92"/>
      <c r="AJ82" s="92"/>
      <c r="AK82" s="93" t="s">
        <v>51</v>
      </c>
      <c r="AL82" s="109">
        <f t="shared" si="18"/>
        <v>18</v>
      </c>
      <c r="AM82" s="109">
        <f t="shared" si="19"/>
        <v>18</v>
      </c>
      <c r="AN82" s="109">
        <f t="shared" si="20"/>
        <v>18</v>
      </c>
      <c r="BE82" s="31"/>
    </row>
    <row r="83" spans="1:57">
      <c r="A83" s="85">
        <v>45809</v>
      </c>
      <c r="B83" s="88">
        <v>1600</v>
      </c>
      <c r="C83" s="88"/>
      <c r="D83" s="86">
        <f>(SUM(粮草!A83:X83)+AG83*10*IF(AK83="是",$BB$4,$BB$3))</f>
        <v>0</v>
      </c>
      <c r="E83" s="100">
        <f>SUM($B$4:B83)+SUM($C$4:C83)-SUM($D$4:D83)</f>
        <v>86626</v>
      </c>
      <c r="F83" s="99">
        <f>SUM(经验!A83:X83)</f>
        <v>0</v>
      </c>
      <c r="G83" s="86">
        <f>SUM($F$4:F83)+SUM($H$4:H83)</f>
        <v>24790</v>
      </c>
      <c r="H83" s="88">
        <v>0</v>
      </c>
      <c r="I83" s="88" t="s">
        <v>33</v>
      </c>
      <c r="J83" s="88" t="s">
        <v>33</v>
      </c>
      <c r="K83" s="88" t="s">
        <v>33</v>
      </c>
      <c r="L83" s="88" t="s">
        <v>33</v>
      </c>
      <c r="M83" s="88" t="s">
        <v>33</v>
      </c>
      <c r="N83" s="88" t="s">
        <v>33</v>
      </c>
      <c r="O83" s="89" t="s">
        <v>33</v>
      </c>
      <c r="P83" s="89" t="s">
        <v>33</v>
      </c>
      <c r="Q83" s="88" t="s">
        <v>33</v>
      </c>
      <c r="R83" s="88" t="s">
        <v>33</v>
      </c>
      <c r="S83" s="88" t="s">
        <v>33</v>
      </c>
      <c r="T83" s="88" t="s">
        <v>33</v>
      </c>
      <c r="U83" s="88" t="s">
        <v>33</v>
      </c>
      <c r="V83" s="88" t="s">
        <v>33</v>
      </c>
      <c r="W83" s="89" t="s">
        <v>33</v>
      </c>
      <c r="X83" s="89" t="s">
        <v>33</v>
      </c>
      <c r="Y83" s="88" t="s">
        <v>33</v>
      </c>
      <c r="Z83" s="88" t="s">
        <v>33</v>
      </c>
      <c r="AA83" s="88" t="s">
        <v>33</v>
      </c>
      <c r="AB83" s="88" t="s">
        <v>33</v>
      </c>
      <c r="AC83" s="88" t="s">
        <v>33</v>
      </c>
      <c r="AD83" s="88" t="s">
        <v>33</v>
      </c>
      <c r="AE83" s="89" t="s">
        <v>33</v>
      </c>
      <c r="AF83" s="89" t="s">
        <v>33</v>
      </c>
      <c r="AG83" s="90">
        <f t="shared" si="17"/>
        <v>0</v>
      </c>
      <c r="AH83" s="92"/>
      <c r="AI83" s="92"/>
      <c r="AJ83" s="92"/>
      <c r="AK83" s="93" t="s">
        <v>51</v>
      </c>
      <c r="AL83" s="109">
        <f t="shared" si="18"/>
        <v>18</v>
      </c>
      <c r="AM83" s="109">
        <f t="shared" si="19"/>
        <v>18</v>
      </c>
      <c r="AN83" s="109">
        <f t="shared" si="20"/>
        <v>18</v>
      </c>
      <c r="BE83" s="31"/>
    </row>
    <row r="84" spans="1:57">
      <c r="A84" s="85">
        <v>45810</v>
      </c>
      <c r="B84" s="86">
        <v>1600</v>
      </c>
      <c r="C84" s="87"/>
      <c r="D84" s="86">
        <f>(SUM(粮草!A84:X84)+AG84*10*IF(AK84="是",$BB$4,$BB$3))</f>
        <v>0</v>
      </c>
      <c r="E84" s="100">
        <f>SUM($B$4:B84)+SUM($C$4:C84)-SUM($D$4:D84)</f>
        <v>88226</v>
      </c>
      <c r="F84" s="99">
        <f>SUM(经验!A84:X84)</f>
        <v>0</v>
      </c>
      <c r="G84" s="86">
        <f>SUM($F$4:F84)+SUM($H$4:H84)</f>
        <v>24990</v>
      </c>
      <c r="H84" s="86">
        <v>200</v>
      </c>
      <c r="I84" s="88" t="s">
        <v>33</v>
      </c>
      <c r="J84" s="88" t="s">
        <v>33</v>
      </c>
      <c r="K84" s="88" t="s">
        <v>33</v>
      </c>
      <c r="L84" s="88" t="s">
        <v>33</v>
      </c>
      <c r="M84" s="88" t="s">
        <v>33</v>
      </c>
      <c r="N84" s="88" t="s">
        <v>33</v>
      </c>
      <c r="O84" s="89" t="s">
        <v>33</v>
      </c>
      <c r="P84" s="89" t="s">
        <v>33</v>
      </c>
      <c r="Q84" s="88" t="s">
        <v>33</v>
      </c>
      <c r="R84" s="88" t="s">
        <v>33</v>
      </c>
      <c r="S84" s="88" t="s">
        <v>33</v>
      </c>
      <c r="T84" s="88" t="s">
        <v>33</v>
      </c>
      <c r="U84" s="88" t="s">
        <v>33</v>
      </c>
      <c r="V84" s="88" t="s">
        <v>33</v>
      </c>
      <c r="W84" s="89" t="s">
        <v>33</v>
      </c>
      <c r="X84" s="89" t="s">
        <v>33</v>
      </c>
      <c r="Y84" s="88" t="s">
        <v>33</v>
      </c>
      <c r="Z84" s="88" t="s">
        <v>33</v>
      </c>
      <c r="AA84" s="88" t="s">
        <v>33</v>
      </c>
      <c r="AB84" s="88" t="s">
        <v>33</v>
      </c>
      <c r="AC84" s="88" t="s">
        <v>33</v>
      </c>
      <c r="AD84" s="88" t="s">
        <v>33</v>
      </c>
      <c r="AE84" s="89" t="s">
        <v>33</v>
      </c>
      <c r="AF84" s="89" t="s">
        <v>33</v>
      </c>
      <c r="AG84" s="90">
        <f t="shared" si="17"/>
        <v>0</v>
      </c>
      <c r="AH84" s="92"/>
      <c r="AI84" s="92"/>
      <c r="AJ84" s="92"/>
      <c r="AK84" s="93" t="s">
        <v>51</v>
      </c>
      <c r="AL84" s="109">
        <f t="shared" si="18"/>
        <v>18</v>
      </c>
      <c r="AM84" s="109">
        <f t="shared" si="19"/>
        <v>18</v>
      </c>
      <c r="AN84" s="109">
        <f t="shared" si="20"/>
        <v>18</v>
      </c>
      <c r="BE84" s="31"/>
    </row>
    <row r="85" spans="1:57">
      <c r="A85" s="85">
        <v>45811</v>
      </c>
      <c r="B85" s="86">
        <v>1600</v>
      </c>
      <c r="C85" s="87"/>
      <c r="D85" s="86">
        <f>(SUM(粮草!A85:X85)+AG85*10*IF(AK85="是",$BB$4,$BB$3))</f>
        <v>0</v>
      </c>
      <c r="E85" s="100">
        <f>SUM($B$4:B85)+SUM($C$4:C85)-SUM($D$4:D85)</f>
        <v>89826</v>
      </c>
      <c r="F85" s="99">
        <f>SUM(经验!A85:X85)</f>
        <v>0</v>
      </c>
      <c r="G85" s="86">
        <f>SUM($F$4:F85)+SUM($H$4:H85)</f>
        <v>24990</v>
      </c>
      <c r="H85" s="86">
        <v>0</v>
      </c>
      <c r="I85" s="88" t="s">
        <v>33</v>
      </c>
      <c r="J85" s="88" t="s">
        <v>33</v>
      </c>
      <c r="K85" s="88" t="s">
        <v>33</v>
      </c>
      <c r="L85" s="88" t="s">
        <v>33</v>
      </c>
      <c r="M85" s="88" t="s">
        <v>33</v>
      </c>
      <c r="N85" s="88" t="s">
        <v>33</v>
      </c>
      <c r="O85" s="89" t="s">
        <v>33</v>
      </c>
      <c r="P85" s="89" t="s">
        <v>33</v>
      </c>
      <c r="Q85" s="88" t="s">
        <v>33</v>
      </c>
      <c r="R85" s="88" t="s">
        <v>33</v>
      </c>
      <c r="S85" s="88" t="s">
        <v>33</v>
      </c>
      <c r="T85" s="88" t="s">
        <v>33</v>
      </c>
      <c r="U85" s="88" t="s">
        <v>33</v>
      </c>
      <c r="V85" s="88" t="s">
        <v>33</v>
      </c>
      <c r="W85" s="89" t="s">
        <v>33</v>
      </c>
      <c r="X85" s="89" t="s">
        <v>33</v>
      </c>
      <c r="Y85" s="88" t="s">
        <v>33</v>
      </c>
      <c r="Z85" s="88" t="s">
        <v>33</v>
      </c>
      <c r="AA85" s="88" t="s">
        <v>33</v>
      </c>
      <c r="AB85" s="88" t="s">
        <v>33</v>
      </c>
      <c r="AC85" s="88" t="s">
        <v>33</v>
      </c>
      <c r="AD85" s="88" t="s">
        <v>33</v>
      </c>
      <c r="AE85" s="89" t="s">
        <v>33</v>
      </c>
      <c r="AF85" s="89" t="s">
        <v>33</v>
      </c>
      <c r="AG85" s="90">
        <f t="shared" si="17"/>
        <v>0</v>
      </c>
      <c r="AH85" s="92"/>
      <c r="AI85" s="92"/>
      <c r="AJ85" s="92"/>
      <c r="AK85" s="93" t="s">
        <v>51</v>
      </c>
      <c r="AL85" s="109">
        <f t="shared" si="18"/>
        <v>18</v>
      </c>
      <c r="AM85" s="109">
        <f t="shared" si="19"/>
        <v>18</v>
      </c>
      <c r="AN85" s="109">
        <f t="shared" si="20"/>
        <v>18</v>
      </c>
      <c r="BE85" s="31"/>
    </row>
    <row r="86" spans="1:57">
      <c r="A86" s="85">
        <v>45812</v>
      </c>
      <c r="B86" s="86">
        <v>1600</v>
      </c>
      <c r="C86" s="87"/>
      <c r="D86" s="86">
        <f>(SUM(粮草!A86:X86)+AG86*10*IF(AK86="是",$BB$4,$BB$3))</f>
        <v>0</v>
      </c>
      <c r="E86" s="100">
        <f>SUM($B$4:B86)+SUM($C$4:C86)-SUM($D$4:D86)</f>
        <v>91426</v>
      </c>
      <c r="F86" s="99">
        <f>SUM(经验!A86:X86)</f>
        <v>0</v>
      </c>
      <c r="G86" s="86">
        <f>SUM($F$4:F86)+SUM($H$4:H86)</f>
        <v>25290</v>
      </c>
      <c r="H86" s="86">
        <v>300</v>
      </c>
      <c r="I86" s="88" t="s">
        <v>33</v>
      </c>
      <c r="J86" s="88" t="s">
        <v>33</v>
      </c>
      <c r="K86" s="88" t="s">
        <v>33</v>
      </c>
      <c r="L86" s="88" t="s">
        <v>33</v>
      </c>
      <c r="M86" s="88" t="s">
        <v>33</v>
      </c>
      <c r="N86" s="88" t="s">
        <v>33</v>
      </c>
      <c r="O86" s="89" t="s">
        <v>33</v>
      </c>
      <c r="P86" s="89" t="s">
        <v>33</v>
      </c>
      <c r="Q86" s="88" t="s">
        <v>33</v>
      </c>
      <c r="R86" s="88" t="s">
        <v>33</v>
      </c>
      <c r="S86" s="88" t="s">
        <v>33</v>
      </c>
      <c r="T86" s="88" t="s">
        <v>33</v>
      </c>
      <c r="U86" s="88" t="s">
        <v>33</v>
      </c>
      <c r="V86" s="88" t="s">
        <v>33</v>
      </c>
      <c r="W86" s="89" t="s">
        <v>33</v>
      </c>
      <c r="X86" s="89" t="s">
        <v>33</v>
      </c>
      <c r="Y86" s="88" t="s">
        <v>33</v>
      </c>
      <c r="Z86" s="88" t="s">
        <v>33</v>
      </c>
      <c r="AA86" s="88" t="s">
        <v>33</v>
      </c>
      <c r="AB86" s="88" t="s">
        <v>33</v>
      </c>
      <c r="AC86" s="88" t="s">
        <v>33</v>
      </c>
      <c r="AD86" s="88" t="s">
        <v>33</v>
      </c>
      <c r="AE86" s="89" t="s">
        <v>33</v>
      </c>
      <c r="AF86" s="89" t="s">
        <v>33</v>
      </c>
      <c r="AG86" s="90">
        <f t="shared" si="17"/>
        <v>0</v>
      </c>
      <c r="AH86" s="92"/>
      <c r="AI86" s="92"/>
      <c r="AJ86" s="92"/>
      <c r="AK86" s="93" t="s">
        <v>51</v>
      </c>
      <c r="AL86" s="109">
        <f t="shared" si="18"/>
        <v>18</v>
      </c>
      <c r="AM86" s="109">
        <f t="shared" si="19"/>
        <v>18</v>
      </c>
      <c r="AN86" s="109">
        <f t="shared" si="20"/>
        <v>18</v>
      </c>
      <c r="BE86" s="31"/>
    </row>
    <row r="87" spans="1:57">
      <c r="A87" s="85">
        <v>45813</v>
      </c>
      <c r="B87" s="86">
        <v>1600</v>
      </c>
      <c r="C87" s="87"/>
      <c r="D87" s="86">
        <f>(SUM(粮草!A87:X87)+AG87*10*IF(AK87="是",$BB$4,$BB$3))</f>
        <v>0</v>
      </c>
      <c r="E87" s="100">
        <f>SUM($B$4:B87)+SUM($C$4:C87)-SUM($D$4:D87)</f>
        <v>93026</v>
      </c>
      <c r="F87" s="99">
        <f>SUM(经验!A87:X87)</f>
        <v>0</v>
      </c>
      <c r="G87" s="86">
        <f>SUM($F$4:F87)+SUM($H$4:H87)</f>
        <v>25290</v>
      </c>
      <c r="H87" s="86">
        <v>0</v>
      </c>
      <c r="I87" s="88" t="s">
        <v>33</v>
      </c>
      <c r="J87" s="88" t="s">
        <v>33</v>
      </c>
      <c r="K87" s="88" t="s">
        <v>33</v>
      </c>
      <c r="L87" s="88" t="s">
        <v>33</v>
      </c>
      <c r="M87" s="88" t="s">
        <v>33</v>
      </c>
      <c r="N87" s="88" t="s">
        <v>33</v>
      </c>
      <c r="O87" s="89" t="s">
        <v>33</v>
      </c>
      <c r="P87" s="89" t="s">
        <v>33</v>
      </c>
      <c r="Q87" s="88" t="s">
        <v>33</v>
      </c>
      <c r="R87" s="88" t="s">
        <v>33</v>
      </c>
      <c r="S87" s="88" t="s">
        <v>33</v>
      </c>
      <c r="T87" s="88" t="s">
        <v>33</v>
      </c>
      <c r="U87" s="88" t="s">
        <v>33</v>
      </c>
      <c r="V87" s="88" t="s">
        <v>33</v>
      </c>
      <c r="W87" s="89" t="s">
        <v>33</v>
      </c>
      <c r="X87" s="89" t="s">
        <v>33</v>
      </c>
      <c r="Y87" s="88" t="s">
        <v>33</v>
      </c>
      <c r="Z87" s="88" t="s">
        <v>33</v>
      </c>
      <c r="AA87" s="88" t="s">
        <v>33</v>
      </c>
      <c r="AB87" s="88" t="s">
        <v>33</v>
      </c>
      <c r="AC87" s="88" t="s">
        <v>33</v>
      </c>
      <c r="AD87" s="88" t="s">
        <v>33</v>
      </c>
      <c r="AE87" s="89" t="s">
        <v>33</v>
      </c>
      <c r="AF87" s="89" t="s">
        <v>33</v>
      </c>
      <c r="AG87" s="90">
        <f t="shared" si="17"/>
        <v>0</v>
      </c>
      <c r="AH87" s="92"/>
      <c r="AI87" s="92"/>
      <c r="AJ87" s="92"/>
      <c r="AK87" s="93" t="s">
        <v>51</v>
      </c>
      <c r="AL87" s="109">
        <f t="shared" si="18"/>
        <v>18</v>
      </c>
      <c r="AM87" s="109">
        <f t="shared" si="19"/>
        <v>18</v>
      </c>
      <c r="AN87" s="109">
        <f t="shared" si="20"/>
        <v>18</v>
      </c>
      <c r="BE87" s="31"/>
    </row>
    <row r="88" spans="1:57">
      <c r="A88" s="85">
        <v>45814</v>
      </c>
      <c r="B88" s="86">
        <v>1600</v>
      </c>
      <c r="C88" s="87"/>
      <c r="D88" s="86">
        <f>(SUM(粮草!A88:X88)+AG88*10*IF(AK88="是",$BB$4,$BB$3))</f>
        <v>0</v>
      </c>
      <c r="E88" s="100">
        <f>SUM($B$4:B88)+SUM($C$4:C88)-SUM($D$4:D88)</f>
        <v>94626</v>
      </c>
      <c r="F88" s="99">
        <f>SUM(经验!A88:X88)</f>
        <v>0</v>
      </c>
      <c r="G88" s="86">
        <f>SUM($F$4:F88)+SUM($H$4:H88)</f>
        <v>25290</v>
      </c>
      <c r="H88" s="86">
        <v>0</v>
      </c>
      <c r="I88" s="88" t="s">
        <v>33</v>
      </c>
      <c r="J88" s="88" t="s">
        <v>33</v>
      </c>
      <c r="K88" s="88" t="s">
        <v>33</v>
      </c>
      <c r="L88" s="88" t="s">
        <v>33</v>
      </c>
      <c r="M88" s="88" t="s">
        <v>33</v>
      </c>
      <c r="N88" s="88" t="s">
        <v>33</v>
      </c>
      <c r="O88" s="89" t="s">
        <v>33</v>
      </c>
      <c r="P88" s="89" t="s">
        <v>33</v>
      </c>
      <c r="Q88" s="88" t="s">
        <v>33</v>
      </c>
      <c r="R88" s="88" t="s">
        <v>33</v>
      </c>
      <c r="S88" s="88" t="s">
        <v>33</v>
      </c>
      <c r="T88" s="88" t="s">
        <v>33</v>
      </c>
      <c r="U88" s="88" t="s">
        <v>33</v>
      </c>
      <c r="V88" s="88" t="s">
        <v>33</v>
      </c>
      <c r="W88" s="89" t="s">
        <v>33</v>
      </c>
      <c r="X88" s="89" t="s">
        <v>33</v>
      </c>
      <c r="Y88" s="88" t="s">
        <v>33</v>
      </c>
      <c r="Z88" s="88" t="s">
        <v>33</v>
      </c>
      <c r="AA88" s="88" t="s">
        <v>33</v>
      </c>
      <c r="AB88" s="88" t="s">
        <v>33</v>
      </c>
      <c r="AC88" s="88" t="s">
        <v>33</v>
      </c>
      <c r="AD88" s="88" t="s">
        <v>33</v>
      </c>
      <c r="AE88" s="89" t="s">
        <v>33</v>
      </c>
      <c r="AF88" s="89" t="s">
        <v>33</v>
      </c>
      <c r="AG88" s="90">
        <f t="shared" si="17"/>
        <v>0</v>
      </c>
      <c r="AH88" s="92"/>
      <c r="AI88" s="92"/>
      <c r="AJ88" s="92"/>
      <c r="AK88" s="93" t="s">
        <v>51</v>
      </c>
      <c r="AL88" s="109">
        <f t="shared" si="18"/>
        <v>18</v>
      </c>
      <c r="AM88" s="109">
        <f t="shared" si="19"/>
        <v>18</v>
      </c>
      <c r="AN88" s="109">
        <f t="shared" si="20"/>
        <v>18</v>
      </c>
      <c r="BE88" s="31"/>
    </row>
    <row r="89" spans="1:57">
      <c r="A89" s="85">
        <v>45815</v>
      </c>
      <c r="B89" s="86">
        <v>1600</v>
      </c>
      <c r="C89" s="87"/>
      <c r="D89" s="86">
        <f>(SUM(粮草!A89:X89)+AG89*10*IF(AK89="是",$BB$4,$BB$3))</f>
        <v>0</v>
      </c>
      <c r="E89" s="100">
        <f>SUM($B$4:B89)+SUM($C$4:C89)-SUM($D$4:D89)</f>
        <v>96226</v>
      </c>
      <c r="F89" s="99">
        <f>SUM(经验!A89:X89)</f>
        <v>0</v>
      </c>
      <c r="G89" s="86">
        <f>SUM($F$4:F89)+SUM($H$4:H89)</f>
        <v>25290</v>
      </c>
      <c r="H89" s="86">
        <v>0</v>
      </c>
      <c r="I89" s="88" t="s">
        <v>33</v>
      </c>
      <c r="J89" s="88" t="s">
        <v>33</v>
      </c>
      <c r="K89" s="88" t="s">
        <v>33</v>
      </c>
      <c r="L89" s="88" t="s">
        <v>33</v>
      </c>
      <c r="M89" s="88" t="s">
        <v>33</v>
      </c>
      <c r="N89" s="88" t="s">
        <v>33</v>
      </c>
      <c r="O89" s="89" t="s">
        <v>33</v>
      </c>
      <c r="P89" s="89" t="s">
        <v>33</v>
      </c>
      <c r="Q89" s="88" t="s">
        <v>33</v>
      </c>
      <c r="R89" s="88" t="s">
        <v>33</v>
      </c>
      <c r="S89" s="88" t="s">
        <v>33</v>
      </c>
      <c r="T89" s="88" t="s">
        <v>33</v>
      </c>
      <c r="U89" s="88" t="s">
        <v>33</v>
      </c>
      <c r="V89" s="88" t="s">
        <v>33</v>
      </c>
      <c r="W89" s="89" t="s">
        <v>33</v>
      </c>
      <c r="X89" s="89" t="s">
        <v>33</v>
      </c>
      <c r="Y89" s="88" t="s">
        <v>33</v>
      </c>
      <c r="Z89" s="88" t="s">
        <v>33</v>
      </c>
      <c r="AA89" s="88" t="s">
        <v>33</v>
      </c>
      <c r="AB89" s="88" t="s">
        <v>33</v>
      </c>
      <c r="AC89" s="88" t="s">
        <v>33</v>
      </c>
      <c r="AD89" s="88" t="s">
        <v>33</v>
      </c>
      <c r="AE89" s="89" t="s">
        <v>33</v>
      </c>
      <c r="AF89" s="89" t="s">
        <v>33</v>
      </c>
      <c r="AG89" s="90">
        <f t="shared" si="17"/>
        <v>0</v>
      </c>
      <c r="AH89" s="92"/>
      <c r="AI89" s="92"/>
      <c r="AJ89" s="92"/>
      <c r="AK89" s="93" t="s">
        <v>51</v>
      </c>
      <c r="AL89" s="109">
        <f t="shared" si="18"/>
        <v>18</v>
      </c>
      <c r="AM89" s="109">
        <f t="shared" si="19"/>
        <v>18</v>
      </c>
      <c r="AN89" s="109">
        <f t="shared" si="20"/>
        <v>18</v>
      </c>
      <c r="BE89" s="31"/>
    </row>
    <row r="90" spans="1:57">
      <c r="A90" s="85">
        <v>45816</v>
      </c>
      <c r="B90" s="86">
        <v>1600</v>
      </c>
      <c r="C90" s="87"/>
      <c r="D90" s="86">
        <f>(SUM(粮草!A90:X90)+AG90*10*IF(AK90="是",$BB$4,$BB$3))</f>
        <v>0</v>
      </c>
      <c r="E90" s="100">
        <f>SUM($B$4:B90)+SUM($C$4:C90)-SUM($D$4:D90)</f>
        <v>97826</v>
      </c>
      <c r="F90" s="99">
        <f>SUM(经验!A90:X90)</f>
        <v>0</v>
      </c>
      <c r="G90" s="86">
        <f>SUM($F$4:F90)+SUM($H$4:H90)</f>
        <v>25290</v>
      </c>
      <c r="H90" s="86">
        <v>0</v>
      </c>
      <c r="I90" s="88" t="s">
        <v>33</v>
      </c>
      <c r="J90" s="88" t="s">
        <v>33</v>
      </c>
      <c r="K90" s="88" t="s">
        <v>33</v>
      </c>
      <c r="L90" s="88" t="s">
        <v>33</v>
      </c>
      <c r="M90" s="88" t="s">
        <v>33</v>
      </c>
      <c r="N90" s="88" t="s">
        <v>33</v>
      </c>
      <c r="O90" s="89" t="s">
        <v>33</v>
      </c>
      <c r="P90" s="89" t="s">
        <v>33</v>
      </c>
      <c r="Q90" s="88" t="s">
        <v>33</v>
      </c>
      <c r="R90" s="88" t="s">
        <v>33</v>
      </c>
      <c r="S90" s="88" t="s">
        <v>33</v>
      </c>
      <c r="T90" s="88" t="s">
        <v>33</v>
      </c>
      <c r="U90" s="88" t="s">
        <v>33</v>
      </c>
      <c r="V90" s="88" t="s">
        <v>33</v>
      </c>
      <c r="W90" s="89" t="s">
        <v>33</v>
      </c>
      <c r="X90" s="89" t="s">
        <v>33</v>
      </c>
      <c r="Y90" s="88" t="s">
        <v>33</v>
      </c>
      <c r="Z90" s="88" t="s">
        <v>33</v>
      </c>
      <c r="AA90" s="88" t="s">
        <v>33</v>
      </c>
      <c r="AB90" s="88" t="s">
        <v>33</v>
      </c>
      <c r="AC90" s="88" t="s">
        <v>33</v>
      </c>
      <c r="AD90" s="88" t="s">
        <v>33</v>
      </c>
      <c r="AE90" s="89" t="s">
        <v>33</v>
      </c>
      <c r="AF90" s="89" t="s">
        <v>33</v>
      </c>
      <c r="AG90" s="90">
        <f t="shared" si="17"/>
        <v>0</v>
      </c>
      <c r="AH90" s="92"/>
      <c r="AI90" s="92"/>
      <c r="AJ90" s="92"/>
      <c r="AK90" s="93" t="s">
        <v>51</v>
      </c>
      <c r="AL90" s="109">
        <f t="shared" si="18"/>
        <v>18</v>
      </c>
      <c r="AM90" s="109">
        <f t="shared" si="19"/>
        <v>18</v>
      </c>
      <c r="AN90" s="109">
        <f t="shared" si="20"/>
        <v>18</v>
      </c>
      <c r="BE90" s="31"/>
    </row>
    <row r="91" spans="1:57">
      <c r="A91" s="85">
        <v>45817</v>
      </c>
      <c r="B91" s="88">
        <v>1600</v>
      </c>
      <c r="C91" s="88"/>
      <c r="D91" s="86">
        <f>(SUM(粮草!A91:X91)+AG91*10*IF(AK91="是",$BB$4,$BB$3))</f>
        <v>0</v>
      </c>
      <c r="E91" s="100">
        <f>SUM($B$4:B91)+SUM($C$4:C91)-SUM($D$4:D91)</f>
        <v>99426</v>
      </c>
      <c r="F91" s="99">
        <f>SUM(经验!A91:X91)</f>
        <v>0</v>
      </c>
      <c r="G91" s="86">
        <f>SUM($F$4:F91)+SUM($H$4:H91)</f>
        <v>25490</v>
      </c>
      <c r="H91" s="88">
        <v>200</v>
      </c>
      <c r="I91" s="88" t="s">
        <v>33</v>
      </c>
      <c r="J91" s="88" t="s">
        <v>33</v>
      </c>
      <c r="K91" s="88" t="s">
        <v>33</v>
      </c>
      <c r="L91" s="88" t="s">
        <v>33</v>
      </c>
      <c r="M91" s="88" t="s">
        <v>33</v>
      </c>
      <c r="N91" s="88" t="s">
        <v>33</v>
      </c>
      <c r="O91" s="89" t="s">
        <v>33</v>
      </c>
      <c r="P91" s="89" t="s">
        <v>33</v>
      </c>
      <c r="Q91" s="88" t="s">
        <v>33</v>
      </c>
      <c r="R91" s="88" t="s">
        <v>33</v>
      </c>
      <c r="S91" s="88" t="s">
        <v>33</v>
      </c>
      <c r="T91" s="88" t="s">
        <v>33</v>
      </c>
      <c r="U91" s="88" t="s">
        <v>33</v>
      </c>
      <c r="V91" s="88" t="s">
        <v>33</v>
      </c>
      <c r="W91" s="89" t="s">
        <v>33</v>
      </c>
      <c r="X91" s="89" t="s">
        <v>33</v>
      </c>
      <c r="Y91" s="88" t="s">
        <v>33</v>
      </c>
      <c r="Z91" s="88" t="s">
        <v>33</v>
      </c>
      <c r="AA91" s="88" t="s">
        <v>33</v>
      </c>
      <c r="AB91" s="88" t="s">
        <v>33</v>
      </c>
      <c r="AC91" s="88" t="s">
        <v>33</v>
      </c>
      <c r="AD91" s="88" t="s">
        <v>33</v>
      </c>
      <c r="AE91" s="89" t="s">
        <v>33</v>
      </c>
      <c r="AF91" s="89" t="s">
        <v>33</v>
      </c>
      <c r="AG91" s="90">
        <f t="shared" si="17"/>
        <v>0</v>
      </c>
      <c r="AH91" s="92"/>
      <c r="AI91" s="92"/>
      <c r="AJ91" s="92"/>
      <c r="AK91" s="93" t="s">
        <v>51</v>
      </c>
      <c r="AL91" s="109">
        <f t="shared" si="18"/>
        <v>18</v>
      </c>
      <c r="AM91" s="109">
        <f t="shared" si="19"/>
        <v>18</v>
      </c>
      <c r="AN91" s="109">
        <f t="shared" si="20"/>
        <v>18</v>
      </c>
      <c r="BE91" s="31"/>
    </row>
    <row r="92" spans="1:57">
      <c r="A92" s="85">
        <v>45818</v>
      </c>
      <c r="B92" s="88">
        <v>1600</v>
      </c>
      <c r="C92" s="88"/>
      <c r="D92" s="86">
        <f>(SUM(粮草!A92:X92)+AG92*10*IF(AK92="是",$BB$4,$BB$3))</f>
        <v>0</v>
      </c>
      <c r="E92" s="100">
        <f>SUM($B$4:B92)+SUM($C$4:C92)-SUM($D$4:D92)</f>
        <v>101026</v>
      </c>
      <c r="F92" s="99">
        <f>SUM(经验!A92:X92)</f>
        <v>0</v>
      </c>
      <c r="G92" s="86">
        <f>SUM($F$4:F92)+SUM($H$4:H92)</f>
        <v>25590</v>
      </c>
      <c r="H92" s="88">
        <v>100</v>
      </c>
      <c r="I92" s="88" t="s">
        <v>33</v>
      </c>
      <c r="J92" s="88" t="s">
        <v>33</v>
      </c>
      <c r="K92" s="88" t="s">
        <v>33</v>
      </c>
      <c r="L92" s="88" t="s">
        <v>33</v>
      </c>
      <c r="M92" s="88" t="s">
        <v>33</v>
      </c>
      <c r="N92" s="88" t="s">
        <v>33</v>
      </c>
      <c r="O92" s="89" t="s">
        <v>33</v>
      </c>
      <c r="P92" s="89" t="s">
        <v>33</v>
      </c>
      <c r="Q92" s="88" t="s">
        <v>33</v>
      </c>
      <c r="R92" s="88" t="s">
        <v>33</v>
      </c>
      <c r="S92" s="88" t="s">
        <v>33</v>
      </c>
      <c r="T92" s="88" t="s">
        <v>33</v>
      </c>
      <c r="U92" s="88" t="s">
        <v>33</v>
      </c>
      <c r="V92" s="88" t="s">
        <v>33</v>
      </c>
      <c r="W92" s="89" t="s">
        <v>33</v>
      </c>
      <c r="X92" s="89" t="s">
        <v>33</v>
      </c>
      <c r="Y92" s="88" t="s">
        <v>33</v>
      </c>
      <c r="Z92" s="88" t="s">
        <v>33</v>
      </c>
      <c r="AA92" s="88" t="s">
        <v>33</v>
      </c>
      <c r="AB92" s="88" t="s">
        <v>33</v>
      </c>
      <c r="AC92" s="88" t="s">
        <v>33</v>
      </c>
      <c r="AD92" s="88" t="s">
        <v>33</v>
      </c>
      <c r="AE92" s="89" t="s">
        <v>33</v>
      </c>
      <c r="AF92" s="89" t="s">
        <v>33</v>
      </c>
      <c r="AG92" s="90">
        <f t="shared" si="17"/>
        <v>0</v>
      </c>
      <c r="AH92" s="92"/>
      <c r="AI92" s="92"/>
      <c r="AJ92" s="92"/>
      <c r="AK92" s="93" t="s">
        <v>51</v>
      </c>
      <c r="AL92" s="109">
        <f t="shared" si="18"/>
        <v>18</v>
      </c>
      <c r="AM92" s="109">
        <f t="shared" si="19"/>
        <v>18</v>
      </c>
      <c r="AN92" s="109">
        <f t="shared" si="20"/>
        <v>18</v>
      </c>
      <c r="BE92" s="31"/>
    </row>
    <row r="93" spans="1:57">
      <c r="A93" s="85">
        <v>45819</v>
      </c>
      <c r="B93" s="88">
        <v>1600</v>
      </c>
      <c r="C93" s="88"/>
      <c r="D93" s="86">
        <f>(SUM(粮草!A93:X93)+AG93*10*IF(AK93="是",$BB$4,$BB$3))</f>
        <v>0</v>
      </c>
      <c r="E93" s="100">
        <f>SUM($B$4:B93)+SUM($C$4:C93)-SUM($D$4:D93)</f>
        <v>102626</v>
      </c>
      <c r="F93" s="99">
        <f>SUM(经验!A93:X93)</f>
        <v>0</v>
      </c>
      <c r="G93" s="86">
        <f>SUM($F$4:F93)+SUM($H$4:H93)</f>
        <v>25790</v>
      </c>
      <c r="H93" s="88">
        <v>200</v>
      </c>
      <c r="I93" s="88" t="s">
        <v>33</v>
      </c>
      <c r="J93" s="88" t="s">
        <v>33</v>
      </c>
      <c r="K93" s="88" t="s">
        <v>33</v>
      </c>
      <c r="L93" s="88" t="s">
        <v>33</v>
      </c>
      <c r="M93" s="88" t="s">
        <v>33</v>
      </c>
      <c r="N93" s="88" t="s">
        <v>33</v>
      </c>
      <c r="O93" s="89" t="s">
        <v>33</v>
      </c>
      <c r="P93" s="89" t="s">
        <v>33</v>
      </c>
      <c r="Q93" s="88" t="s">
        <v>33</v>
      </c>
      <c r="R93" s="88" t="s">
        <v>33</v>
      </c>
      <c r="S93" s="88" t="s">
        <v>33</v>
      </c>
      <c r="T93" s="88" t="s">
        <v>33</v>
      </c>
      <c r="U93" s="88" t="s">
        <v>33</v>
      </c>
      <c r="V93" s="88" t="s">
        <v>33</v>
      </c>
      <c r="W93" s="89" t="s">
        <v>33</v>
      </c>
      <c r="X93" s="89" t="s">
        <v>33</v>
      </c>
      <c r="Y93" s="88" t="s">
        <v>33</v>
      </c>
      <c r="Z93" s="88" t="s">
        <v>33</v>
      </c>
      <c r="AA93" s="88" t="s">
        <v>33</v>
      </c>
      <c r="AB93" s="88" t="s">
        <v>33</v>
      </c>
      <c r="AC93" s="88" t="s">
        <v>33</v>
      </c>
      <c r="AD93" s="88" t="s">
        <v>33</v>
      </c>
      <c r="AE93" s="89" t="s">
        <v>33</v>
      </c>
      <c r="AF93" s="89" t="s">
        <v>33</v>
      </c>
      <c r="AG93" s="90">
        <f t="shared" si="17"/>
        <v>0</v>
      </c>
      <c r="AH93" s="92"/>
      <c r="AI93" s="92"/>
      <c r="AJ93" s="92"/>
      <c r="AK93" s="93" t="s">
        <v>51</v>
      </c>
      <c r="AL93" s="109">
        <f t="shared" si="18"/>
        <v>18</v>
      </c>
      <c r="AM93" s="109">
        <f t="shared" si="19"/>
        <v>18</v>
      </c>
      <c r="AN93" s="109">
        <f t="shared" si="20"/>
        <v>18</v>
      </c>
      <c r="BE93" s="31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bestFit="1" customWidth="1"/>
  </cols>
  <sheetData>
    <row r="2" spans="1:26">
      <c r="A2" s="139" t="s">
        <v>58</v>
      </c>
      <c r="B2" s="140"/>
      <c r="C2" s="1" t="s">
        <v>3</v>
      </c>
      <c r="D2" s="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6" t="s">
        <v>3</v>
      </c>
      <c r="L2" s="6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9">
        <f>COUNTIF(Q4:X94,"&lt;&gt;空")</f>
        <v>728</v>
      </c>
      <c r="U2" s="137" t="s">
        <v>4</v>
      </c>
      <c r="V2" s="137"/>
      <c r="W2" s="137"/>
      <c r="X2" s="138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IF(ISNUMBER(SEARCH("营",'19.02'!I4)),(-$Y4+50*IF('19.02'!$AK4="是",'19.02'!$BB$4,'19.02'!$BB$3)),(VLOOKUP('19.02'!I4,'19.02'!$AO$4:$AQ$55,2,FALSE))*IF('19.02'!$AK4="是",'19.02'!$BB$4,'19.02'!$BB$3))</f>
        <v>150</v>
      </c>
      <c r="B4" s="4">
        <f>IF(ISNUMBER(SEARCH("营",'19.02'!J4)),(-$Y4+50*IF('19.02'!$AK4="是",'19.02'!$BB$4,'19.02'!$BB$3)),(VLOOKUP('19.02'!J4,'19.02'!$AO$4:$AQ$55,2,FALSE))*IF('19.02'!$AK4="是",'19.02'!$BB$4,'19.02'!$BB$3))</f>
        <v>150</v>
      </c>
      <c r="C4" s="4">
        <f>IF(ISNUMBER(SEARCH("营",'19.02'!K4)),(-$Y4+50*IF('19.02'!$AK4="是",'19.02'!$BB$4,'19.02'!$BB$3)),(VLOOKUP('19.02'!K4,'19.02'!$AO$4:$AQ$55,2,FALSE))*IF('19.02'!$AK4="是",'19.02'!$BB$4,'19.02'!$BB$3))</f>
        <v>150</v>
      </c>
      <c r="D4" s="4">
        <f>IF(ISNUMBER(SEARCH("营",'19.02'!L4)),(-$Y4+50*IF('19.02'!$AK4="是",'19.02'!$BB$4,'19.02'!$BB$3)),(VLOOKUP('19.02'!L4,'19.02'!$AO$4:$AQ$55,2,FALSE))*IF('19.02'!$AK4="是",'19.02'!$BB$4,'19.02'!$BB$3))</f>
        <v>150</v>
      </c>
      <c r="E4" s="4">
        <f>IF(ISNUMBER(SEARCH("营",'19.02'!M4)),(-$Y4+50*IF('19.02'!$AK4="是",'19.02'!$BB$4,'19.02'!$BB$3)),(VLOOKUP('19.02'!M4,'19.02'!$AO$4:$AQ$55,2,FALSE))*IF('19.02'!$AK4="是",'19.02'!$BB$4,'19.02'!$BB$3))</f>
        <v>150</v>
      </c>
      <c r="F4" s="4">
        <f>IF(ISNUMBER(SEARCH("营",'19.02'!N4)),(-$Y4+50*IF('19.02'!$AK4="是",'19.02'!$BB$4,'19.02'!$BB$3)),(VLOOKUP('19.02'!N4,'19.02'!$AO$4:$AQ$55,2,FALSE))*IF('19.02'!$AK4="是",'19.02'!$BB$4,'19.02'!$BB$3))</f>
        <v>150</v>
      </c>
      <c r="G4" s="4">
        <f>IF(ISNUMBER(SEARCH("营",'19.02'!O4)),(-$Y4+50*IF('19.02'!$AK4="是",'19.02'!$BB$4,'19.02'!$BB$3)),(VLOOKUP('19.02'!O4,'19.02'!$AO$4:$AQ$55,2,FALSE))*IF('19.02'!$AK4="是",'19.02'!$BB$4,'19.02'!$BB$3))</f>
        <v>0</v>
      </c>
      <c r="H4" s="4">
        <f>IF(ISNUMBER(SEARCH("营",'19.02'!P4)),(-$Y4+50*IF('19.02'!$AK4="是",'19.02'!$BB$4,'19.02'!$BB$3)),(VLOOKUP('19.02'!P4,'19.02'!$AO$4:$AQ$55,2,FALSE))*IF('19.02'!$AK4="是",'19.02'!$BB$4,'19.02'!$BB$3))</f>
        <v>0</v>
      </c>
      <c r="I4" s="4">
        <f>IF(ISNUMBER(SEARCH("营",'19.02'!Q4)),(-$Y4+50*IF('19.02'!$AK4="是",'19.02'!$BB$4,'19.02'!$BB$3)),(VLOOKUP('19.02'!Q4,'19.02'!$AO$4:$AQ$55,2,FALSE))*IF('19.02'!$AK4="是",'19.02'!$BB$4,'19.02'!$BB$3))</f>
        <v>150</v>
      </c>
      <c r="J4" s="4">
        <f>IF(ISNUMBER(SEARCH("营",'19.02'!R4)),(-$Y4+50*IF('19.02'!$AK4="是",'19.02'!$BB$4,'19.02'!$BB$3)),(VLOOKUP('19.02'!R4,'19.02'!$AO$4:$AQ$55,2,FALSE))*IF('19.02'!$AK4="是",'19.02'!$BB$4,'19.02'!$BB$3))</f>
        <v>150</v>
      </c>
      <c r="K4" s="4">
        <f>IF(ISNUMBER(SEARCH("营",'19.02'!S4)),(-$Y4+50*IF('19.02'!$AK4="是",'19.02'!$BB$4,'19.02'!$BB$3)),(VLOOKUP('19.02'!S4,'19.02'!$AO$4:$AQ$55,2,FALSE))*IF('19.02'!$AK4="是",'19.02'!$BB$4,'19.02'!$BB$3))</f>
        <v>150</v>
      </c>
      <c r="L4" s="4">
        <f>IF(ISNUMBER(SEARCH("营",'19.02'!T4)),(-$Y4+50*IF('19.02'!$AK4="是",'19.02'!$BB$4,'19.02'!$BB$3)),(VLOOKUP('19.02'!T4,'19.02'!$AO$4:$AQ$55,2,FALSE))*IF('19.02'!$AK4="是",'19.02'!$BB$4,'19.02'!$BB$3))</f>
        <v>150</v>
      </c>
      <c r="M4" s="4">
        <f>IF(ISNUMBER(SEARCH("营",'19.02'!U4)),(-$Y4+50*IF('19.02'!$AK4="是",'19.02'!$BB$4,'19.02'!$BB$3)),(VLOOKUP('19.02'!U4,'19.02'!$AO$4:$AQ$55,2,FALSE))*IF('19.02'!$AK4="是",'19.02'!$BB$4,'19.02'!$BB$3))</f>
        <v>150</v>
      </c>
      <c r="N4" s="4">
        <f>IF(ISNUMBER(SEARCH("营",'19.02'!V4)),(-$Y4+50*IF('19.02'!$AK4="是",'19.02'!$BB$4,'19.02'!$BB$3)),(VLOOKUP('19.02'!V4,'19.02'!$AO$4:$AQ$55,2,FALSE))*IF('19.02'!$AK4="是",'19.02'!$BB$4,'19.02'!$BB$3))</f>
        <v>150</v>
      </c>
      <c r="O4" s="4">
        <f>IF(ISNUMBER(SEARCH("营",'19.02'!W4)),(-$Y4+50*IF('19.02'!$AK4="是",'19.02'!$BB$4,'19.02'!$BB$3)),(VLOOKUP('19.02'!W4,'19.02'!$AO$4:$AQ$55,2,FALSE))*IF('19.02'!$AK4="是",'19.02'!$BB$4,'19.02'!$BB$3))</f>
        <v>0</v>
      </c>
      <c r="P4" s="4">
        <f>IF(ISNUMBER(SEARCH("营",'19.02'!X4)),(-$Y4+50*IF('19.02'!$AK4="是",'19.02'!$BB$4,'19.02'!$BB$3)),(VLOOKUP('19.02'!X4,'19.02'!$AO$4:$AQ$55,2,FALSE))*IF('19.02'!$AK4="是",'19.02'!$BB$4,'19.02'!$BB$3))</f>
        <v>0</v>
      </c>
      <c r="Q4" s="4">
        <f>IF(ISNUMBER(SEARCH("营",'19.02'!Y4)),(-$Y4+50*IF('19.02'!$AK4="是",'19.02'!$BB$4,'19.02'!$BB$3)),(VLOOKUP('19.02'!Y4,'19.02'!$AO$4:$AQ$55,2,FALSE))*IF('19.02'!$AK4="是",'19.02'!$BB$4,'19.02'!$BB$3))</f>
        <v>50</v>
      </c>
      <c r="R4" s="4">
        <f>IF(ISNUMBER(SEARCH("营",'19.02'!Z4)),(-$Y4+50*IF('19.02'!$AK4="是",'19.02'!$BB$4,'19.02'!$BB$3)),(VLOOKUP('19.02'!Z4,'19.02'!$AO$4:$AQ$55,2,FALSE))*IF('19.02'!$AK4="是",'19.02'!$BB$4,'19.02'!$BB$3))</f>
        <v>150</v>
      </c>
      <c r="S4" s="4">
        <f>IF(ISNUMBER(SEARCH("营",'19.02'!AA4)),(-$Y4+50*IF('19.02'!$AK4="是",'19.02'!$BB$4,'19.02'!$BB$3)),(VLOOKUP('19.02'!AA4,'19.02'!$AO$4:$AQ$55,2,FALSE))*IF('19.02'!$AK4="是",'19.02'!$BB$4,'19.02'!$BB$3))</f>
        <v>150</v>
      </c>
      <c r="T4" s="4">
        <f>IF(ISNUMBER(SEARCH("营",'19.02'!AB4)),(-$Y4+50*IF('19.02'!$AK4="是",'19.02'!$BB$4,'19.02'!$BB$3)),(VLOOKUP('19.02'!AB4,'19.02'!$AO$4:$AQ$55,2,FALSE))*IF('19.02'!$AK4="是",'19.02'!$BB$4,'19.02'!$BB$3))</f>
        <v>150</v>
      </c>
      <c r="U4" s="4">
        <f>IF(ISNUMBER(SEARCH("营",'19.02'!AC4)),(-$Y4+50*IF('19.02'!$AK4="是",'19.02'!$BB$4,'19.02'!$BB$3)),(VLOOKUP('19.02'!AC4,'19.02'!$AO$4:$AQ$55,2,FALSE))*IF('19.02'!$AK4="是",'19.02'!$BB$4,'19.02'!$BB$3))</f>
        <v>150</v>
      </c>
      <c r="V4" s="4">
        <f>IF(ISNUMBER(SEARCH("营",'19.02'!AD4)),(-$Y4+50*IF('19.02'!$AK4="是",'19.02'!$BB$4,'19.02'!$BB$3)),(VLOOKUP('19.02'!AD4,'19.02'!$AO$4:$AQ$55,2,FALSE))*IF('19.02'!$AK4="是",'19.02'!$BB$4,'19.02'!$BB$3))</f>
        <v>150</v>
      </c>
      <c r="W4" s="4">
        <f>IF(ISNUMBER(SEARCH("营",'19.02'!AE4)),(-$Y4+50*IF('19.02'!$AK4="是",'19.02'!$BB$4,'19.02'!$BB$3)),(VLOOKUP('19.02'!AE4,'19.02'!$AO$4:$AQ$55,2,FALSE))*IF('19.02'!$AK4="是",'19.02'!$BB$4,'19.02'!$BB$3))</f>
        <v>0</v>
      </c>
      <c r="X4" s="4">
        <f>IF(ISNUMBER(SEARCH("营",'19.02'!AF4)),(-$Y4+50*IF('19.02'!$AK4="是",'19.02'!$BB$4,'19.02'!$BB$3)),(VLOOKUP('19.02'!AF4,'19.02'!$AO$4:$AQ$55,2,FALSE))*IF('19.02'!$AK4="是",'19.02'!$BB$4,'19.02'!$BB$3))</f>
        <v>0</v>
      </c>
      <c r="Y4" s="75">
        <v>300</v>
      </c>
      <c r="Z4" s="85">
        <v>45730</v>
      </c>
    </row>
    <row r="5" spans="1:26">
      <c r="A5" s="4">
        <f>IF(ISNUMBER(SEARCH("营",'19.02'!I5)),(-$Y5+50*IF('19.02'!$AK5="是",'19.02'!$BB$4,'19.02'!$BB$3)),(VLOOKUP('19.02'!I5,'19.02'!$AO$4:$AQ$55,2,FALSE))*IF('19.02'!$AK5="是",'19.02'!$BB$4,'19.02'!$BB$3))</f>
        <v>0</v>
      </c>
      <c r="B5" s="4">
        <f>IF(ISNUMBER(SEARCH("营",'19.02'!J5)),(-$Y5+50*IF('19.02'!$AK5="是",'19.02'!$BB$4,'19.02'!$BB$3)),(VLOOKUP('19.02'!J5,'19.02'!$AO$4:$AQ$55,2,FALSE))*IF('19.02'!$AK5="是",'19.02'!$BB$4,'19.02'!$BB$3))</f>
        <v>0</v>
      </c>
      <c r="C5" s="4">
        <f>IF(ISNUMBER(SEARCH("营",'19.02'!K5)),(-$Y5+50*IF('19.02'!$AK5="是",'19.02'!$BB$4,'19.02'!$BB$3)),(VLOOKUP('19.02'!K5,'19.02'!$AO$4:$AQ$55,2,FALSE))*IF('19.02'!$AK5="是",'19.02'!$BB$4,'19.02'!$BB$3))</f>
        <v>0</v>
      </c>
      <c r="D5" s="4">
        <f>IF(ISNUMBER(SEARCH("营",'19.02'!L5)),(-$Y5+50*IF('19.02'!$AK5="是",'19.02'!$BB$4,'19.02'!$BB$3)),(VLOOKUP('19.02'!L5,'19.02'!$AO$4:$AQ$55,2,FALSE))*IF('19.02'!$AK5="是",'19.02'!$BB$4,'19.02'!$BB$3))</f>
        <v>0</v>
      </c>
      <c r="E5" s="4">
        <f>IF(ISNUMBER(SEARCH("营",'19.02'!M5)),(-$Y5+50*IF('19.02'!$AK5="是",'19.02'!$BB$4,'19.02'!$BB$3)),(VLOOKUP('19.02'!M5,'19.02'!$AO$4:$AQ$55,2,FALSE))*IF('19.02'!$AK5="是",'19.02'!$BB$4,'19.02'!$BB$3))</f>
        <v>0</v>
      </c>
      <c r="F5" s="4">
        <f>IF(ISNUMBER(SEARCH("营",'19.02'!N5)),(-$Y5+50*IF('19.02'!$AK5="是",'19.02'!$BB$4,'19.02'!$BB$3)),(VLOOKUP('19.02'!N5,'19.02'!$AO$4:$AQ$55,2,FALSE))*IF('19.02'!$AK5="是",'19.02'!$BB$4,'19.02'!$BB$3))</f>
        <v>0</v>
      </c>
      <c r="G5" s="4">
        <f>IF(ISNUMBER(SEARCH("营",'19.02'!O5)),(-$Y5+50*IF('19.02'!$AK5="是",'19.02'!$BB$4,'19.02'!$BB$3)),(VLOOKUP('19.02'!O5,'19.02'!$AO$4:$AQ$55,2,FALSE))*IF('19.02'!$AK5="是",'19.02'!$BB$4,'19.02'!$BB$3))</f>
        <v>0</v>
      </c>
      <c r="H5" s="4">
        <f>IF(ISNUMBER(SEARCH("营",'19.02'!P5)),(-$Y5+50*IF('19.02'!$AK5="是",'19.02'!$BB$4,'19.02'!$BB$3)),(VLOOKUP('19.02'!P5,'19.02'!$AO$4:$AQ$55,2,FALSE))*IF('19.02'!$AK5="是",'19.02'!$BB$4,'19.02'!$BB$3))</f>
        <v>0</v>
      </c>
      <c r="I5" s="4">
        <f>IF(ISNUMBER(SEARCH("营",'19.02'!Q5)),(-$Y5+50*IF('19.02'!$AK5="是",'19.02'!$BB$4,'19.02'!$BB$3)),(VLOOKUP('19.02'!Q5,'19.02'!$AO$4:$AQ$55,2,FALSE))*IF('19.02'!$AK5="是",'19.02'!$BB$4,'19.02'!$BB$3))</f>
        <v>160</v>
      </c>
      <c r="J5" s="4">
        <f>IF(ISNUMBER(SEARCH("营",'19.02'!R5)),(-$Y5+50*IF('19.02'!$AK5="是",'19.02'!$BB$4,'19.02'!$BB$3)),(VLOOKUP('19.02'!R5,'19.02'!$AO$4:$AQ$55,2,FALSE))*IF('19.02'!$AK5="是",'19.02'!$BB$4,'19.02'!$BB$3))</f>
        <v>160</v>
      </c>
      <c r="K5" s="4">
        <f>IF(ISNUMBER(SEARCH("营",'19.02'!S5)),(-$Y5+50*IF('19.02'!$AK5="是",'19.02'!$BB$4,'19.02'!$BB$3)),(VLOOKUP('19.02'!S5,'19.02'!$AO$4:$AQ$55,2,FALSE))*IF('19.02'!$AK5="是",'19.02'!$BB$4,'19.02'!$BB$3))</f>
        <v>160</v>
      </c>
      <c r="L5" s="4">
        <f>IF(ISNUMBER(SEARCH("营",'19.02'!T5)),(-$Y5+50*IF('19.02'!$AK5="是",'19.02'!$BB$4,'19.02'!$BB$3)),(VLOOKUP('19.02'!T5,'19.02'!$AO$4:$AQ$55,2,FALSE))*IF('19.02'!$AK5="是",'19.02'!$BB$4,'19.02'!$BB$3))</f>
        <v>50</v>
      </c>
      <c r="M5" s="4">
        <f>IF(ISNUMBER(SEARCH("营",'19.02'!U5)),(-$Y5+50*IF('19.02'!$AK5="是",'19.02'!$BB$4,'19.02'!$BB$3)),(VLOOKUP('19.02'!U5,'19.02'!$AO$4:$AQ$55,2,FALSE))*IF('19.02'!$AK5="是",'19.02'!$BB$4,'19.02'!$BB$3))</f>
        <v>160</v>
      </c>
      <c r="N5" s="4">
        <f>IF(ISNUMBER(SEARCH("营",'19.02'!V5)),(-$Y5+50*IF('19.02'!$AK5="是",'19.02'!$BB$4,'19.02'!$BB$3)),(VLOOKUP('19.02'!V5,'19.02'!$AO$4:$AQ$55,2,FALSE))*IF('19.02'!$AK5="是",'19.02'!$BB$4,'19.02'!$BB$3))</f>
        <v>160</v>
      </c>
      <c r="O5" s="4">
        <f>IF(ISNUMBER(SEARCH("营",'19.02'!W5)),(-$Y5+50*IF('19.02'!$AK5="是",'19.02'!$BB$4,'19.02'!$BB$3)),(VLOOKUP('19.02'!W5,'19.02'!$AO$4:$AQ$55,2,FALSE))*IF('19.02'!$AK5="是",'19.02'!$BB$4,'19.02'!$BB$3))</f>
        <v>0</v>
      </c>
      <c r="P5" s="4">
        <f>IF(ISNUMBER(SEARCH("营",'19.02'!X5)),(-$Y5+50*IF('19.02'!$AK5="是",'19.02'!$BB$4,'19.02'!$BB$3)),(VLOOKUP('19.02'!X5,'19.02'!$AO$4:$AQ$55,2,FALSE))*IF('19.02'!$AK5="是",'19.02'!$BB$4,'19.02'!$BB$3))</f>
        <v>0</v>
      </c>
      <c r="Q5" s="4">
        <f>IF(ISNUMBER(SEARCH("营",'19.02'!Y5)),(-$Y5+50*IF('19.02'!$AK5="是",'19.02'!$BB$4,'19.02'!$BB$3)),(VLOOKUP('19.02'!Y5,'19.02'!$AO$4:$AQ$55,2,FALSE))*IF('19.02'!$AK5="是",'19.02'!$BB$4,'19.02'!$BB$3))</f>
        <v>150</v>
      </c>
      <c r="R5" s="4">
        <f>IF(ISNUMBER(SEARCH("营",'19.02'!Z5)),(-$Y5+50*IF('19.02'!$AK5="是",'19.02'!$BB$4,'19.02'!$BB$3)),(VLOOKUP('19.02'!Z5,'19.02'!$AO$4:$AQ$55,2,FALSE))*IF('19.02'!$AK5="是",'19.02'!$BB$4,'19.02'!$BB$3))</f>
        <v>150</v>
      </c>
      <c r="S5" s="4">
        <f>IF(ISNUMBER(SEARCH("营",'19.02'!AA5)),(-$Y5+50*IF('19.02'!$AK5="是",'19.02'!$BB$4,'19.02'!$BB$3)),(VLOOKUP('19.02'!AA5,'19.02'!$AO$4:$AQ$55,2,FALSE))*IF('19.02'!$AK5="是",'19.02'!$BB$4,'19.02'!$BB$3))</f>
        <v>150</v>
      </c>
      <c r="T5" s="4">
        <f>IF(ISNUMBER(SEARCH("营",'19.02'!AB5)),(-$Y5+50*IF('19.02'!$AK5="是",'19.02'!$BB$4,'19.02'!$BB$3)),(VLOOKUP('19.02'!AB5,'19.02'!$AO$4:$AQ$55,2,FALSE))*IF('19.02'!$AK5="是",'19.02'!$BB$4,'19.02'!$BB$3))</f>
        <v>150</v>
      </c>
      <c r="U5" s="4">
        <f>IF(ISNUMBER(SEARCH("营",'19.02'!AC5)),(-$Y5+50*IF('19.02'!$AK5="是",'19.02'!$BB$4,'19.02'!$BB$3)),(VLOOKUP('19.02'!AC5,'19.02'!$AO$4:$AQ$55,2,FALSE))*IF('19.02'!$AK5="是",'19.02'!$BB$4,'19.02'!$BB$3))</f>
        <v>160</v>
      </c>
      <c r="V5" s="4">
        <f>IF(ISNUMBER(SEARCH("营",'19.02'!AD5)),(-$Y5+50*IF('19.02'!$AK5="是",'19.02'!$BB$4,'19.02'!$BB$3)),(VLOOKUP('19.02'!AD5,'19.02'!$AO$4:$AQ$55,2,FALSE))*IF('19.02'!$AK5="是",'19.02'!$BB$4,'19.02'!$BB$3))</f>
        <v>160</v>
      </c>
      <c r="W5" s="4">
        <f>IF(ISNUMBER(SEARCH("营",'19.02'!AE5)),(-$Y5+50*IF('19.02'!$AK5="是",'19.02'!$BB$4,'19.02'!$BB$3)),(VLOOKUP('19.02'!AE5,'19.02'!$AO$4:$AQ$55,2,FALSE))*IF('19.02'!$AK5="是",'19.02'!$BB$4,'19.02'!$BB$3))</f>
        <v>0</v>
      </c>
      <c r="X5" s="4">
        <f>IF(ISNUMBER(SEARCH("营",'19.02'!AF5)),(-$Y5+50*IF('19.02'!$AK5="是",'19.02'!$BB$4,'19.02'!$BB$3)),(VLOOKUP('19.02'!AF5,'19.02'!$AO$4:$AQ$55,2,FALSE))*IF('19.02'!$AK5="是",'19.02'!$BB$4,'19.02'!$BB$3))</f>
        <v>0</v>
      </c>
      <c r="Y5" s="75">
        <v>300</v>
      </c>
      <c r="Z5" s="85">
        <v>45731</v>
      </c>
    </row>
    <row r="6" spans="1:26">
      <c r="A6" s="4">
        <f>IF(ISNUMBER(SEARCH("营",'19.02'!I6)),(-$Y6+50*IF('19.02'!$AK6="是",'19.02'!$BB$4,'19.02'!$BB$3)),(VLOOKUP('19.02'!I6,'19.02'!$AO$4:$AQ$55,2,FALSE))*IF('19.02'!$AK6="是",'19.02'!$BB$4,'19.02'!$BB$3))</f>
        <v>0</v>
      </c>
      <c r="B6" s="4">
        <f>IF(ISNUMBER(SEARCH("营",'19.02'!J6)),(-$Y6+50*IF('19.02'!$AK6="是",'19.02'!$BB$4,'19.02'!$BB$3)),(VLOOKUP('19.02'!J6,'19.02'!$AO$4:$AQ$55,2,FALSE))*IF('19.02'!$AK6="是",'19.02'!$BB$4,'19.02'!$BB$3))</f>
        <v>0</v>
      </c>
      <c r="C6" s="4">
        <f>IF(ISNUMBER(SEARCH("营",'19.02'!K6)),(-$Y6+50*IF('19.02'!$AK6="是",'19.02'!$BB$4,'19.02'!$BB$3)),(VLOOKUP('19.02'!K6,'19.02'!$AO$4:$AQ$55,2,FALSE))*IF('19.02'!$AK6="是",'19.02'!$BB$4,'19.02'!$BB$3))</f>
        <v>0</v>
      </c>
      <c r="D6" s="4">
        <f>IF(ISNUMBER(SEARCH("营",'19.02'!L6)),(-$Y6+50*IF('19.02'!$AK6="是",'19.02'!$BB$4,'19.02'!$BB$3)),(VLOOKUP('19.02'!L6,'19.02'!$AO$4:$AQ$55,2,FALSE))*IF('19.02'!$AK6="是",'19.02'!$BB$4,'19.02'!$BB$3))</f>
        <v>0</v>
      </c>
      <c r="E6" s="4">
        <f>IF(ISNUMBER(SEARCH("营",'19.02'!M6)),(-$Y6+50*IF('19.02'!$AK6="是",'19.02'!$BB$4,'19.02'!$BB$3)),(VLOOKUP('19.02'!M6,'19.02'!$AO$4:$AQ$55,2,FALSE))*IF('19.02'!$AK6="是",'19.02'!$BB$4,'19.02'!$BB$3))</f>
        <v>0</v>
      </c>
      <c r="F6" s="4">
        <f>IF(ISNUMBER(SEARCH("营",'19.02'!N6)),(-$Y6+50*IF('19.02'!$AK6="是",'19.02'!$BB$4,'19.02'!$BB$3)),(VLOOKUP('19.02'!N6,'19.02'!$AO$4:$AQ$55,2,FALSE))*IF('19.02'!$AK6="是",'19.02'!$BB$4,'19.02'!$BB$3))</f>
        <v>0</v>
      </c>
      <c r="G6" s="4">
        <f>IF(ISNUMBER(SEARCH("营",'19.02'!O6)),(-$Y6+50*IF('19.02'!$AK6="是",'19.02'!$BB$4,'19.02'!$BB$3)),(VLOOKUP('19.02'!O6,'19.02'!$AO$4:$AQ$55,2,FALSE))*IF('19.02'!$AK6="是",'19.02'!$BB$4,'19.02'!$BB$3))</f>
        <v>0</v>
      </c>
      <c r="H6" s="4">
        <f>IF(ISNUMBER(SEARCH("营",'19.02'!P6)),(-$Y6+50*IF('19.02'!$AK6="是",'19.02'!$BB$4,'19.02'!$BB$3)),(VLOOKUP('19.02'!P6,'19.02'!$AO$4:$AQ$55,2,FALSE))*IF('19.02'!$AK6="是",'19.02'!$BB$4,'19.02'!$BB$3))</f>
        <v>0</v>
      </c>
      <c r="I6" s="4">
        <f>IF(ISNUMBER(SEARCH("营",'19.02'!Q6)),(-$Y6+50*IF('19.02'!$AK6="是",'19.02'!$BB$4,'19.02'!$BB$3)),(VLOOKUP('19.02'!Q6,'19.02'!$AO$4:$AQ$55,2,FALSE))*IF('19.02'!$AK6="是",'19.02'!$BB$4,'19.02'!$BB$3))</f>
        <v>160</v>
      </c>
      <c r="J6" s="4">
        <f>IF(ISNUMBER(SEARCH("营",'19.02'!R6)),(-$Y6+50*IF('19.02'!$AK6="是",'19.02'!$BB$4,'19.02'!$BB$3)),(VLOOKUP('19.02'!R6,'19.02'!$AO$4:$AQ$55,2,FALSE))*IF('19.02'!$AK6="是",'19.02'!$BB$4,'19.02'!$BB$3))</f>
        <v>160</v>
      </c>
      <c r="K6" s="4">
        <f>IF(ISNUMBER(SEARCH("营",'19.02'!S6)),(-$Y6+50*IF('19.02'!$AK6="是",'19.02'!$BB$4,'19.02'!$BB$3)),(VLOOKUP('19.02'!S6,'19.02'!$AO$4:$AQ$55,2,FALSE))*IF('19.02'!$AK6="是",'19.02'!$BB$4,'19.02'!$BB$3))</f>
        <v>160</v>
      </c>
      <c r="L6" s="4">
        <f>IF(ISNUMBER(SEARCH("营",'19.02'!T6)),(-$Y6+50*IF('19.02'!$AK6="是",'19.02'!$BB$4,'19.02'!$BB$3)),(VLOOKUP('19.02'!T6,'19.02'!$AO$4:$AQ$55,2,FALSE))*IF('19.02'!$AK6="是",'19.02'!$BB$4,'19.02'!$BB$3))</f>
        <v>160</v>
      </c>
      <c r="M6" s="4">
        <f>IF(ISNUMBER(SEARCH("营",'19.02'!U6)),(-$Y6+50*IF('19.02'!$AK6="是",'19.02'!$BB$4,'19.02'!$BB$3)),(VLOOKUP('19.02'!U6,'19.02'!$AO$4:$AQ$55,2,FALSE))*IF('19.02'!$AK6="是",'19.02'!$BB$4,'19.02'!$BB$3))</f>
        <v>160</v>
      </c>
      <c r="N6" s="4">
        <f>IF(ISNUMBER(SEARCH("营",'19.02'!V6)),(-$Y6+50*IF('19.02'!$AK6="是",'19.02'!$BB$4,'19.02'!$BB$3)),(VLOOKUP('19.02'!V6,'19.02'!$AO$4:$AQ$55,2,FALSE))*IF('19.02'!$AK6="是",'19.02'!$BB$4,'19.02'!$BB$3))</f>
        <v>160</v>
      </c>
      <c r="O6" s="4">
        <f>IF(ISNUMBER(SEARCH("营",'19.02'!W6)),(-$Y6+50*IF('19.02'!$AK6="是",'19.02'!$BB$4,'19.02'!$BB$3)),(VLOOKUP('19.02'!W6,'19.02'!$AO$4:$AQ$55,2,FALSE))*IF('19.02'!$AK6="是",'19.02'!$BB$4,'19.02'!$BB$3))</f>
        <v>0</v>
      </c>
      <c r="P6" s="4">
        <f>IF(ISNUMBER(SEARCH("营",'19.02'!X6)),(-$Y6+50*IF('19.02'!$AK6="是",'19.02'!$BB$4,'19.02'!$BB$3)),(VLOOKUP('19.02'!X6,'19.02'!$AO$4:$AQ$55,2,FALSE))*IF('19.02'!$AK6="是",'19.02'!$BB$4,'19.02'!$BB$3))</f>
        <v>0</v>
      </c>
      <c r="Q6" s="4">
        <f>IF(ISNUMBER(SEARCH("营",'19.02'!Y6)),(-$Y6+50*IF('19.02'!$AK6="是",'19.02'!$BB$4,'19.02'!$BB$3)),(VLOOKUP('19.02'!Y6,'19.02'!$AO$4:$AQ$55,2,FALSE))*IF('19.02'!$AK6="是",'19.02'!$BB$4,'19.02'!$BB$3))</f>
        <v>160</v>
      </c>
      <c r="R6" s="4">
        <f>IF(ISNUMBER(SEARCH("营",'19.02'!Z6)),(-$Y6+50*IF('19.02'!$AK6="是",'19.02'!$BB$4,'19.02'!$BB$3)),(VLOOKUP('19.02'!Z6,'19.02'!$AO$4:$AQ$55,2,FALSE))*IF('19.02'!$AK6="是",'19.02'!$BB$4,'19.02'!$BB$3))</f>
        <v>160</v>
      </c>
      <c r="S6" s="4">
        <f>IF(ISNUMBER(SEARCH("营",'19.02'!AA6)),(-$Y6+50*IF('19.02'!$AK6="是",'19.02'!$BB$4,'19.02'!$BB$3)),(VLOOKUP('19.02'!AA6,'19.02'!$AO$4:$AQ$55,2,FALSE))*IF('19.02'!$AK6="是",'19.02'!$BB$4,'19.02'!$BB$3))</f>
        <v>160</v>
      </c>
      <c r="T6" s="4">
        <f>IF(ISNUMBER(SEARCH("营",'19.02'!AB6)),(-$Y6+50*IF('19.02'!$AK6="是",'19.02'!$BB$4,'19.02'!$BB$3)),(VLOOKUP('19.02'!AB6,'19.02'!$AO$4:$AQ$55,2,FALSE))*IF('19.02'!$AK6="是",'19.02'!$BB$4,'19.02'!$BB$3))</f>
        <v>160</v>
      </c>
      <c r="U6" s="4">
        <f>IF(ISNUMBER(SEARCH("营",'19.02'!AC6)),(-$Y6+50*IF('19.02'!$AK6="是",'19.02'!$BB$4,'19.02'!$BB$3)),(VLOOKUP('19.02'!AC6,'19.02'!$AO$4:$AQ$55,2,FALSE))*IF('19.02'!$AK6="是",'19.02'!$BB$4,'19.02'!$BB$3))</f>
        <v>160</v>
      </c>
      <c r="V6" s="4">
        <f>IF(ISNUMBER(SEARCH("营",'19.02'!AD6)),(-$Y6+50*IF('19.02'!$AK6="是",'19.02'!$BB$4,'19.02'!$BB$3)),(VLOOKUP('19.02'!AD6,'19.02'!$AO$4:$AQ$55,2,FALSE))*IF('19.02'!$AK6="是",'19.02'!$BB$4,'19.02'!$BB$3))</f>
        <v>160</v>
      </c>
      <c r="W6" s="4">
        <f>IF(ISNUMBER(SEARCH("营",'19.02'!AE6)),(-$Y6+50*IF('19.02'!$AK6="是",'19.02'!$BB$4,'19.02'!$BB$3)),(VLOOKUP('19.02'!AE6,'19.02'!$AO$4:$AQ$55,2,FALSE))*IF('19.02'!$AK6="是",'19.02'!$BB$4,'19.02'!$BB$3))</f>
        <v>0</v>
      </c>
      <c r="X6" s="4">
        <f>IF(ISNUMBER(SEARCH("营",'19.02'!AF6)),(-$Y6+50*IF('19.02'!$AK6="是",'19.02'!$BB$4,'19.02'!$BB$3)),(VLOOKUP('19.02'!AF6,'19.02'!$AO$4:$AQ$55,2,FALSE))*IF('19.02'!$AK6="是",'19.02'!$BB$4,'19.02'!$BB$3))</f>
        <v>0</v>
      </c>
      <c r="Y6" s="75">
        <v>300</v>
      </c>
      <c r="Z6" s="85">
        <v>45732</v>
      </c>
    </row>
    <row r="7" spans="1:26">
      <c r="A7" s="4">
        <f>IF(ISNUMBER(SEARCH("营",'19.02'!I7)),(-$Y7+50*IF('19.02'!$AK7="是",'19.02'!$BB$4,'19.02'!$BB$3)),(VLOOKUP('19.02'!I7,'19.02'!$AO$4:$AQ$55,2,FALSE))*IF('19.02'!$AK7="是",'19.02'!$BB$4,'19.02'!$BB$3))</f>
        <v>0</v>
      </c>
      <c r="B7" s="4">
        <f>IF(ISNUMBER(SEARCH("营",'19.02'!J7)),(-$Y7+50*IF('19.02'!$AK7="是",'19.02'!$BB$4,'19.02'!$BB$3)),(VLOOKUP('19.02'!J7,'19.02'!$AO$4:$AQ$55,2,FALSE))*IF('19.02'!$AK7="是",'19.02'!$BB$4,'19.02'!$BB$3))</f>
        <v>0</v>
      </c>
      <c r="C7" s="4">
        <f>IF(ISNUMBER(SEARCH("营",'19.02'!K7)),(-$Y7+50*IF('19.02'!$AK7="是",'19.02'!$BB$4,'19.02'!$BB$3)),(VLOOKUP('19.02'!K7,'19.02'!$AO$4:$AQ$55,2,FALSE))*IF('19.02'!$AK7="是",'19.02'!$BB$4,'19.02'!$BB$3))</f>
        <v>0</v>
      </c>
      <c r="D7" s="4">
        <f>IF(ISNUMBER(SEARCH("营",'19.02'!L7)),(-$Y7+50*IF('19.02'!$AK7="是",'19.02'!$BB$4,'19.02'!$BB$3)),(VLOOKUP('19.02'!L7,'19.02'!$AO$4:$AQ$55,2,FALSE))*IF('19.02'!$AK7="是",'19.02'!$BB$4,'19.02'!$BB$3))</f>
        <v>0</v>
      </c>
      <c r="E7" s="4">
        <f>IF(ISNUMBER(SEARCH("营",'19.02'!M7)),(-$Y7+50*IF('19.02'!$AK7="是",'19.02'!$BB$4,'19.02'!$BB$3)),(VLOOKUP('19.02'!M7,'19.02'!$AO$4:$AQ$55,2,FALSE))*IF('19.02'!$AK7="是",'19.02'!$BB$4,'19.02'!$BB$3))</f>
        <v>0</v>
      </c>
      <c r="F7" s="4">
        <f>IF(ISNUMBER(SEARCH("营",'19.02'!N7)),(-$Y7+50*IF('19.02'!$AK7="是",'19.02'!$BB$4,'19.02'!$BB$3)),(VLOOKUP('19.02'!N7,'19.02'!$AO$4:$AQ$55,2,FALSE))*IF('19.02'!$AK7="是",'19.02'!$BB$4,'19.02'!$BB$3))</f>
        <v>0</v>
      </c>
      <c r="G7" s="4">
        <f>IF(ISNUMBER(SEARCH("营",'19.02'!O7)),(-$Y7+50*IF('19.02'!$AK7="是",'19.02'!$BB$4,'19.02'!$BB$3)),(VLOOKUP('19.02'!O7,'19.02'!$AO$4:$AQ$55,2,FALSE))*IF('19.02'!$AK7="是",'19.02'!$BB$4,'19.02'!$BB$3))</f>
        <v>0</v>
      </c>
      <c r="H7" s="4">
        <f>IF(ISNUMBER(SEARCH("营",'19.02'!P7)),(-$Y7+50*IF('19.02'!$AK7="是",'19.02'!$BB$4,'19.02'!$BB$3)),(VLOOKUP('19.02'!P7,'19.02'!$AO$4:$AQ$55,2,FALSE))*IF('19.02'!$AK7="是",'19.02'!$BB$4,'19.02'!$BB$3))</f>
        <v>0</v>
      </c>
      <c r="I7" s="4">
        <f>IF(ISNUMBER(SEARCH("营",'19.02'!Q7)),(-$Y7+50*IF('19.02'!$AK7="是",'19.02'!$BB$4,'19.02'!$BB$3)),(VLOOKUP('19.02'!Q7,'19.02'!$AO$4:$AQ$55,2,FALSE))*IF('19.02'!$AK7="是",'19.02'!$BB$4,'19.02'!$BB$3))</f>
        <v>160</v>
      </c>
      <c r="J7" s="4">
        <f>IF(ISNUMBER(SEARCH("营",'19.02'!R7)),(-$Y7+50*IF('19.02'!$AK7="是",'19.02'!$BB$4,'19.02'!$BB$3)),(VLOOKUP('19.02'!R7,'19.02'!$AO$4:$AQ$55,2,FALSE))*IF('19.02'!$AK7="是",'19.02'!$BB$4,'19.02'!$BB$3))</f>
        <v>50</v>
      </c>
      <c r="K7" s="4">
        <f>IF(ISNUMBER(SEARCH("营",'19.02'!S7)),(-$Y7+50*IF('19.02'!$AK7="是",'19.02'!$BB$4,'19.02'!$BB$3)),(VLOOKUP('19.02'!S7,'19.02'!$AO$4:$AQ$55,2,FALSE))*IF('19.02'!$AK7="是",'19.02'!$BB$4,'19.02'!$BB$3))</f>
        <v>160</v>
      </c>
      <c r="L7" s="4">
        <f>IF(ISNUMBER(SEARCH("营",'19.02'!T7)),(-$Y7+50*IF('19.02'!$AK7="是",'19.02'!$BB$4,'19.02'!$BB$3)),(VLOOKUP('19.02'!T7,'19.02'!$AO$4:$AQ$55,2,FALSE))*IF('19.02'!$AK7="是",'19.02'!$BB$4,'19.02'!$BB$3))</f>
        <v>160</v>
      </c>
      <c r="M7" s="4">
        <f>IF(ISNUMBER(SEARCH("营",'19.02'!U7)),(-$Y7+50*IF('19.02'!$AK7="是",'19.02'!$BB$4,'19.02'!$BB$3)),(VLOOKUP('19.02'!U7,'19.02'!$AO$4:$AQ$55,2,FALSE))*IF('19.02'!$AK7="是",'19.02'!$BB$4,'19.02'!$BB$3))</f>
        <v>-250</v>
      </c>
      <c r="N7" s="4">
        <f>IF(ISNUMBER(SEARCH("营",'19.02'!V7)),(-$Y7+50*IF('19.02'!$AK7="是",'19.02'!$BB$4,'19.02'!$BB$3)),(VLOOKUP('19.02'!V7,'19.02'!$AO$4:$AQ$55,2,FALSE))*IF('19.02'!$AK7="是",'19.02'!$BB$4,'19.02'!$BB$3))</f>
        <v>160</v>
      </c>
      <c r="O7" s="4">
        <f>IF(ISNUMBER(SEARCH("营",'19.02'!W7)),(-$Y7+50*IF('19.02'!$AK7="是",'19.02'!$BB$4,'19.02'!$BB$3)),(VLOOKUP('19.02'!W7,'19.02'!$AO$4:$AQ$55,2,FALSE))*IF('19.02'!$AK7="是",'19.02'!$BB$4,'19.02'!$BB$3))</f>
        <v>180</v>
      </c>
      <c r="P7" s="4">
        <f>IF(ISNUMBER(SEARCH("营",'19.02'!X7)),(-$Y7+50*IF('19.02'!$AK7="是",'19.02'!$BB$4,'19.02'!$BB$3)),(VLOOKUP('19.02'!X7,'19.02'!$AO$4:$AQ$55,2,FALSE))*IF('19.02'!$AK7="是",'19.02'!$BB$4,'19.02'!$BB$3))</f>
        <v>180</v>
      </c>
      <c r="Q7" s="4">
        <f>IF(ISNUMBER(SEARCH("营",'19.02'!Y7)),(-$Y7+50*IF('19.02'!$AK7="是",'19.02'!$BB$4,'19.02'!$BB$3)),(VLOOKUP('19.02'!Y7,'19.02'!$AO$4:$AQ$55,2,FALSE))*IF('19.02'!$AK7="是",'19.02'!$BB$4,'19.02'!$BB$3))</f>
        <v>150</v>
      </c>
      <c r="R7" s="4">
        <f>IF(ISNUMBER(SEARCH("营",'19.02'!Z7)),(-$Y7+50*IF('19.02'!$AK7="是",'19.02'!$BB$4,'19.02'!$BB$3)),(VLOOKUP('19.02'!Z7,'19.02'!$AO$4:$AQ$55,2,FALSE))*IF('19.02'!$AK7="是",'19.02'!$BB$4,'19.02'!$BB$3))</f>
        <v>160</v>
      </c>
      <c r="S7" s="4">
        <f>IF(ISNUMBER(SEARCH("营",'19.02'!AA7)),(-$Y7+50*IF('19.02'!$AK7="是",'19.02'!$BB$4,'19.02'!$BB$3)),(VLOOKUP('19.02'!AA7,'19.02'!$AO$4:$AQ$55,2,FALSE))*IF('19.02'!$AK7="是",'19.02'!$BB$4,'19.02'!$BB$3))</f>
        <v>160</v>
      </c>
      <c r="T7" s="4">
        <f>IF(ISNUMBER(SEARCH("营",'19.02'!AB7)),(-$Y7+50*IF('19.02'!$AK7="是",'19.02'!$BB$4,'19.02'!$BB$3)),(VLOOKUP('19.02'!AB7,'19.02'!$AO$4:$AQ$55,2,FALSE))*IF('19.02'!$AK7="是",'19.02'!$BB$4,'19.02'!$BB$3))</f>
        <v>50</v>
      </c>
      <c r="U7" s="4">
        <f>IF(ISNUMBER(SEARCH("营",'19.02'!AC7)),(-$Y7+50*IF('19.02'!$AK7="是",'19.02'!$BB$4,'19.02'!$BB$3)),(VLOOKUP('19.02'!AC7,'19.02'!$AO$4:$AQ$55,2,FALSE))*IF('19.02'!$AK7="是",'19.02'!$BB$4,'19.02'!$BB$3))</f>
        <v>160</v>
      </c>
      <c r="V7" s="4">
        <f>IF(ISNUMBER(SEARCH("营",'19.02'!AD7)),(-$Y7+50*IF('19.02'!$AK7="是",'19.02'!$BB$4,'19.02'!$BB$3)),(VLOOKUP('19.02'!AD7,'19.02'!$AO$4:$AQ$55,2,FALSE))*IF('19.02'!$AK7="是",'19.02'!$BB$4,'19.02'!$BB$3))</f>
        <v>150</v>
      </c>
      <c r="W7" s="4">
        <f>IF(ISNUMBER(SEARCH("营",'19.02'!AE7)),(-$Y7+50*IF('19.02'!$AK7="是",'19.02'!$BB$4,'19.02'!$BB$3)),(VLOOKUP('19.02'!AE7,'19.02'!$AO$4:$AQ$55,2,FALSE))*IF('19.02'!$AK7="是",'19.02'!$BB$4,'19.02'!$BB$3))</f>
        <v>0</v>
      </c>
      <c r="X7" s="4">
        <f>IF(ISNUMBER(SEARCH("营",'19.02'!AF7)),(-$Y7+50*IF('19.02'!$AK7="是",'19.02'!$BB$4,'19.02'!$BB$3)),(VLOOKUP('19.02'!AF7,'19.02'!$AO$4:$AQ$55,2,FALSE))*IF('19.02'!$AK7="是",'19.02'!$BB$4,'19.02'!$BB$3))</f>
        <v>0</v>
      </c>
      <c r="Y7" s="75">
        <v>300</v>
      </c>
      <c r="Z7" s="85">
        <v>45733</v>
      </c>
    </row>
    <row r="8" spans="1:26">
      <c r="A8" s="4">
        <f>IF(ISNUMBER(SEARCH("营",'19.02'!I8)),(-$Y8+50*IF('19.02'!$AK8="是",'19.02'!$BB$4,'19.02'!$BB$3)),(VLOOKUP('19.02'!I8,'19.02'!$AO$4:$AQ$55,2,FALSE))*IF('19.02'!$AK8="是",'19.02'!$BB$4,'19.02'!$BB$3))</f>
        <v>0</v>
      </c>
      <c r="B8" s="4">
        <f>IF(ISNUMBER(SEARCH("营",'19.02'!J8)),(-$Y8+50*IF('19.02'!$AK8="是",'19.02'!$BB$4,'19.02'!$BB$3)),(VLOOKUP('19.02'!J8,'19.02'!$AO$4:$AQ$55,2,FALSE))*IF('19.02'!$AK8="是",'19.02'!$BB$4,'19.02'!$BB$3))</f>
        <v>0</v>
      </c>
      <c r="C8" s="4">
        <f>IF(ISNUMBER(SEARCH("营",'19.02'!K8)),(-$Y8+50*IF('19.02'!$AK8="是",'19.02'!$BB$4,'19.02'!$BB$3)),(VLOOKUP('19.02'!K8,'19.02'!$AO$4:$AQ$55,2,FALSE))*IF('19.02'!$AK8="是",'19.02'!$BB$4,'19.02'!$BB$3))</f>
        <v>0</v>
      </c>
      <c r="D8" s="4">
        <f>IF(ISNUMBER(SEARCH("营",'19.02'!L8)),(-$Y8+50*IF('19.02'!$AK8="是",'19.02'!$BB$4,'19.02'!$BB$3)),(VLOOKUP('19.02'!L8,'19.02'!$AO$4:$AQ$55,2,FALSE))*IF('19.02'!$AK8="是",'19.02'!$BB$4,'19.02'!$BB$3))</f>
        <v>0</v>
      </c>
      <c r="E8" s="4">
        <f>IF(ISNUMBER(SEARCH("营",'19.02'!M8)),(-$Y8+50*IF('19.02'!$AK8="是",'19.02'!$BB$4,'19.02'!$BB$3)),(VLOOKUP('19.02'!M8,'19.02'!$AO$4:$AQ$55,2,FALSE))*IF('19.02'!$AK8="是",'19.02'!$BB$4,'19.02'!$BB$3))</f>
        <v>0</v>
      </c>
      <c r="F8" s="4">
        <f>IF(ISNUMBER(SEARCH("营",'19.02'!N8)),(-$Y8+50*IF('19.02'!$AK8="是",'19.02'!$BB$4,'19.02'!$BB$3)),(VLOOKUP('19.02'!N8,'19.02'!$AO$4:$AQ$55,2,FALSE))*IF('19.02'!$AK8="是",'19.02'!$BB$4,'19.02'!$BB$3))</f>
        <v>0</v>
      </c>
      <c r="G8" s="4">
        <f>IF(ISNUMBER(SEARCH("营",'19.02'!O8)),(-$Y8+50*IF('19.02'!$AK8="是",'19.02'!$BB$4,'19.02'!$BB$3)),(VLOOKUP('19.02'!O8,'19.02'!$AO$4:$AQ$55,2,FALSE))*IF('19.02'!$AK8="是",'19.02'!$BB$4,'19.02'!$BB$3))</f>
        <v>0</v>
      </c>
      <c r="H8" s="4">
        <f>IF(ISNUMBER(SEARCH("营",'19.02'!P8)),(-$Y8+50*IF('19.02'!$AK8="是",'19.02'!$BB$4,'19.02'!$BB$3)),(VLOOKUP('19.02'!P8,'19.02'!$AO$4:$AQ$55,2,FALSE))*IF('19.02'!$AK8="是",'19.02'!$BB$4,'19.02'!$BB$3))</f>
        <v>0</v>
      </c>
      <c r="I8" s="4">
        <f>IF(ISNUMBER(SEARCH("营",'19.02'!Q8)),(-$Y8+50*IF('19.02'!$AK8="是",'19.02'!$BB$4,'19.02'!$BB$3)),(VLOOKUP('19.02'!Q8,'19.02'!$AO$4:$AQ$55,2,FALSE))*IF('19.02'!$AK8="是",'19.02'!$BB$4,'19.02'!$BB$3))</f>
        <v>180</v>
      </c>
      <c r="J8" s="4">
        <f>IF(ISNUMBER(SEARCH("营",'19.02'!R8)),(-$Y8+50*IF('19.02'!$AK8="是",'19.02'!$BB$4,'19.02'!$BB$3)),(VLOOKUP('19.02'!R8,'19.02'!$AO$4:$AQ$55,2,FALSE))*IF('19.02'!$AK8="是",'19.02'!$BB$4,'19.02'!$BB$3))</f>
        <v>-250</v>
      </c>
      <c r="K8" s="4">
        <f>IF(ISNUMBER(SEARCH("营",'19.02'!S8)),(-$Y8+50*IF('19.02'!$AK8="是",'19.02'!$BB$4,'19.02'!$BB$3)),(VLOOKUP('19.02'!S8,'19.02'!$AO$4:$AQ$55,2,FALSE))*IF('19.02'!$AK8="是",'19.02'!$BB$4,'19.02'!$BB$3))</f>
        <v>180</v>
      </c>
      <c r="L8" s="4">
        <f>IF(ISNUMBER(SEARCH("营",'19.02'!T8)),(-$Y8+50*IF('19.02'!$AK8="是",'19.02'!$BB$4,'19.02'!$BB$3)),(VLOOKUP('19.02'!T8,'19.02'!$AO$4:$AQ$55,2,FALSE))*IF('19.02'!$AK8="是",'19.02'!$BB$4,'19.02'!$BB$3))</f>
        <v>170</v>
      </c>
      <c r="M8" s="4">
        <f>IF(ISNUMBER(SEARCH("营",'19.02'!U8)),(-$Y8+50*IF('19.02'!$AK8="是",'19.02'!$BB$4,'19.02'!$BB$3)),(VLOOKUP('19.02'!U8,'19.02'!$AO$4:$AQ$55,2,FALSE))*IF('19.02'!$AK8="是",'19.02'!$BB$4,'19.02'!$BB$3))</f>
        <v>170</v>
      </c>
      <c r="N8" s="4">
        <f>IF(ISNUMBER(SEARCH("营",'19.02'!V8)),(-$Y8+50*IF('19.02'!$AK8="是",'19.02'!$BB$4,'19.02'!$BB$3)),(VLOOKUP('19.02'!V8,'19.02'!$AO$4:$AQ$55,2,FALSE))*IF('19.02'!$AK8="是",'19.02'!$BB$4,'19.02'!$BB$3))</f>
        <v>250</v>
      </c>
      <c r="O8" s="4">
        <f>IF(ISNUMBER(SEARCH("营",'19.02'!W8)),(-$Y8+50*IF('19.02'!$AK8="是",'19.02'!$BB$4,'19.02'!$BB$3)),(VLOOKUP('19.02'!W8,'19.02'!$AO$4:$AQ$55,2,FALSE))*IF('19.02'!$AK8="是",'19.02'!$BB$4,'19.02'!$BB$3))</f>
        <v>170</v>
      </c>
      <c r="P8" s="4">
        <f>IF(ISNUMBER(SEARCH("营",'19.02'!X8)),(-$Y8+50*IF('19.02'!$AK8="是",'19.02'!$BB$4,'19.02'!$BB$3)),(VLOOKUP('19.02'!X8,'19.02'!$AO$4:$AQ$55,2,FALSE))*IF('19.02'!$AK8="是",'19.02'!$BB$4,'19.02'!$BB$3))</f>
        <v>170</v>
      </c>
      <c r="Q8" s="4">
        <f>IF(ISNUMBER(SEARCH("营",'19.02'!Y8)),(-$Y8+50*IF('19.02'!$AK8="是",'19.02'!$BB$4,'19.02'!$BB$3)),(VLOOKUP('19.02'!Y8,'19.02'!$AO$4:$AQ$55,2,FALSE))*IF('19.02'!$AK8="是",'19.02'!$BB$4,'19.02'!$BB$3))</f>
        <v>170</v>
      </c>
      <c r="R8" s="4">
        <f>IF(ISNUMBER(SEARCH("营",'19.02'!Z8)),(-$Y8+50*IF('19.02'!$AK8="是",'19.02'!$BB$4,'19.02'!$BB$3)),(VLOOKUP('19.02'!Z8,'19.02'!$AO$4:$AQ$55,2,FALSE))*IF('19.02'!$AK8="是",'19.02'!$BB$4,'19.02'!$BB$3))</f>
        <v>170</v>
      </c>
      <c r="S8" s="4">
        <f>IF(ISNUMBER(SEARCH("营",'19.02'!AA8)),(-$Y8+50*IF('19.02'!$AK8="是",'19.02'!$BB$4,'19.02'!$BB$3)),(VLOOKUP('19.02'!AA8,'19.02'!$AO$4:$AQ$55,2,FALSE))*IF('19.02'!$AK8="是",'19.02'!$BB$4,'19.02'!$BB$3))</f>
        <v>170</v>
      </c>
      <c r="T8" s="4">
        <f>IF(ISNUMBER(SEARCH("营",'19.02'!AB8)),(-$Y8+50*IF('19.02'!$AK8="是",'19.02'!$BB$4,'19.02'!$BB$3)),(VLOOKUP('19.02'!AB8,'19.02'!$AO$4:$AQ$55,2,FALSE))*IF('19.02'!$AK8="是",'19.02'!$BB$4,'19.02'!$BB$3))</f>
        <v>170</v>
      </c>
      <c r="U8" s="4">
        <f>IF(ISNUMBER(SEARCH("营",'19.02'!AC8)),(-$Y8+50*IF('19.02'!$AK8="是",'19.02'!$BB$4,'19.02'!$BB$3)),(VLOOKUP('19.02'!AC8,'19.02'!$AO$4:$AQ$55,2,FALSE))*IF('19.02'!$AK8="是",'19.02'!$BB$4,'19.02'!$BB$3))</f>
        <v>170</v>
      </c>
      <c r="V8" s="4">
        <f>IF(ISNUMBER(SEARCH("营",'19.02'!AD8)),(-$Y8+50*IF('19.02'!$AK8="是",'19.02'!$BB$4,'19.02'!$BB$3)),(VLOOKUP('19.02'!AD8,'19.02'!$AO$4:$AQ$55,2,FALSE))*IF('19.02'!$AK8="是",'19.02'!$BB$4,'19.02'!$BB$3))</f>
        <v>170</v>
      </c>
      <c r="W8" s="4">
        <f>IF(ISNUMBER(SEARCH("营",'19.02'!AE8)),(-$Y8+50*IF('19.02'!$AK8="是",'19.02'!$BB$4,'19.02'!$BB$3)),(VLOOKUP('19.02'!AE8,'19.02'!$AO$4:$AQ$55,2,FALSE))*IF('19.02'!$AK8="是",'19.02'!$BB$4,'19.02'!$BB$3))</f>
        <v>0</v>
      </c>
      <c r="X8" s="4">
        <f>IF(ISNUMBER(SEARCH("营",'19.02'!AF8)),(-$Y8+50*IF('19.02'!$AK8="是",'19.02'!$BB$4,'19.02'!$BB$3)),(VLOOKUP('19.02'!AF8,'19.02'!$AO$4:$AQ$55,2,FALSE))*IF('19.02'!$AK8="是",'19.02'!$BB$4,'19.02'!$BB$3))</f>
        <v>0</v>
      </c>
      <c r="Y8" s="75">
        <v>300</v>
      </c>
      <c r="Z8" s="85">
        <v>45734</v>
      </c>
    </row>
    <row r="9" spans="1:26">
      <c r="A9" s="4">
        <f>IF(ISNUMBER(SEARCH("营",'19.02'!I9)),(-$Y9+50*IF('19.02'!$AK9="是",'19.02'!$BB$4,'19.02'!$BB$3)),(VLOOKUP('19.02'!I9,'19.02'!$AO$4:$AQ$55,2,FALSE))*IF('19.02'!$AK9="是",'19.02'!$BB$4,'19.02'!$BB$3))</f>
        <v>0</v>
      </c>
      <c r="B9" s="4">
        <f>IF(ISNUMBER(SEARCH("营",'19.02'!J9)),(-$Y9+50*IF('19.02'!$AK9="是",'19.02'!$BB$4,'19.02'!$BB$3)),(VLOOKUP('19.02'!J9,'19.02'!$AO$4:$AQ$55,2,FALSE))*IF('19.02'!$AK9="是",'19.02'!$BB$4,'19.02'!$BB$3))</f>
        <v>0</v>
      </c>
      <c r="C9" s="4">
        <f>IF(ISNUMBER(SEARCH("营",'19.02'!K9)),(-$Y9+50*IF('19.02'!$AK9="是",'19.02'!$BB$4,'19.02'!$BB$3)),(VLOOKUP('19.02'!K9,'19.02'!$AO$4:$AQ$55,2,FALSE))*IF('19.02'!$AK9="是",'19.02'!$BB$4,'19.02'!$BB$3))</f>
        <v>0</v>
      </c>
      <c r="D9" s="4">
        <f>IF(ISNUMBER(SEARCH("营",'19.02'!L9)),(-$Y9+50*IF('19.02'!$AK9="是",'19.02'!$BB$4,'19.02'!$BB$3)),(VLOOKUP('19.02'!L9,'19.02'!$AO$4:$AQ$55,2,FALSE))*IF('19.02'!$AK9="是",'19.02'!$BB$4,'19.02'!$BB$3))</f>
        <v>0</v>
      </c>
      <c r="E9" s="4">
        <f>IF(ISNUMBER(SEARCH("营",'19.02'!M9)),(-$Y9+50*IF('19.02'!$AK9="是",'19.02'!$BB$4,'19.02'!$BB$3)),(VLOOKUP('19.02'!M9,'19.02'!$AO$4:$AQ$55,2,FALSE))*IF('19.02'!$AK9="是",'19.02'!$BB$4,'19.02'!$BB$3))</f>
        <v>0</v>
      </c>
      <c r="F9" s="4">
        <f>IF(ISNUMBER(SEARCH("营",'19.02'!N9)),(-$Y9+50*IF('19.02'!$AK9="是",'19.02'!$BB$4,'19.02'!$BB$3)),(VLOOKUP('19.02'!N9,'19.02'!$AO$4:$AQ$55,2,FALSE))*IF('19.02'!$AK9="是",'19.02'!$BB$4,'19.02'!$BB$3))</f>
        <v>0</v>
      </c>
      <c r="G9" s="4">
        <f>IF(ISNUMBER(SEARCH("营",'19.02'!O9)),(-$Y9+50*IF('19.02'!$AK9="是",'19.02'!$BB$4,'19.02'!$BB$3)),(VLOOKUP('19.02'!O9,'19.02'!$AO$4:$AQ$55,2,FALSE))*IF('19.02'!$AK9="是",'19.02'!$BB$4,'19.02'!$BB$3))</f>
        <v>0</v>
      </c>
      <c r="H9" s="4">
        <f>IF(ISNUMBER(SEARCH("营",'19.02'!P9)),(-$Y9+50*IF('19.02'!$AK9="是",'19.02'!$BB$4,'19.02'!$BB$3)),(VLOOKUP('19.02'!P9,'19.02'!$AO$4:$AQ$55,2,FALSE))*IF('19.02'!$AK9="是",'19.02'!$BB$4,'19.02'!$BB$3))</f>
        <v>0</v>
      </c>
      <c r="I9" s="4">
        <f>IF(ISNUMBER(SEARCH("营",'19.02'!Q9)),(-$Y9+50*IF('19.02'!$AK9="是",'19.02'!$BB$4,'19.02'!$BB$3)),(VLOOKUP('19.02'!Q9,'19.02'!$AO$4:$AQ$55,2,FALSE))*IF('19.02'!$AK9="是",'19.02'!$BB$4,'19.02'!$BB$3))</f>
        <v>170</v>
      </c>
      <c r="J9" s="4">
        <f>IF(ISNUMBER(SEARCH("营",'19.02'!R9)),(-$Y9+50*IF('19.02'!$AK9="是",'19.02'!$BB$4,'19.02'!$BB$3)),(VLOOKUP('19.02'!R9,'19.02'!$AO$4:$AQ$55,2,FALSE))*IF('19.02'!$AK9="是",'19.02'!$BB$4,'19.02'!$BB$3))</f>
        <v>170</v>
      </c>
      <c r="K9" s="4">
        <f>IF(ISNUMBER(SEARCH("营",'19.02'!S9)),(-$Y9+50*IF('19.02'!$AK9="是",'19.02'!$BB$4,'19.02'!$BB$3)),(VLOOKUP('19.02'!S9,'19.02'!$AO$4:$AQ$55,2,FALSE))*IF('19.02'!$AK9="是",'19.02'!$BB$4,'19.02'!$BB$3))</f>
        <v>-250</v>
      </c>
      <c r="L9" s="4">
        <f>IF(ISNUMBER(SEARCH("营",'19.02'!T9)),(-$Y9+50*IF('19.02'!$AK9="是",'19.02'!$BB$4,'19.02'!$BB$3)),(VLOOKUP('19.02'!T9,'19.02'!$AO$4:$AQ$55,2,FALSE))*IF('19.02'!$AK9="是",'19.02'!$BB$4,'19.02'!$BB$3))</f>
        <v>170</v>
      </c>
      <c r="M9" s="4">
        <f>IF(ISNUMBER(SEARCH("营",'19.02'!U9)),(-$Y9+50*IF('19.02'!$AK9="是",'19.02'!$BB$4,'19.02'!$BB$3)),(VLOOKUP('19.02'!U9,'19.02'!$AO$4:$AQ$55,2,FALSE))*IF('19.02'!$AK9="是",'19.02'!$BB$4,'19.02'!$BB$3))</f>
        <v>170</v>
      </c>
      <c r="N9" s="4">
        <f>IF(ISNUMBER(SEARCH("营",'19.02'!V9)),(-$Y9+50*IF('19.02'!$AK9="是",'19.02'!$BB$4,'19.02'!$BB$3)),(VLOOKUP('19.02'!V9,'19.02'!$AO$4:$AQ$55,2,FALSE))*IF('19.02'!$AK9="是",'19.02'!$BB$4,'19.02'!$BB$3))</f>
        <v>170</v>
      </c>
      <c r="O9" s="4">
        <f>IF(ISNUMBER(SEARCH("营",'19.02'!W9)),(-$Y9+50*IF('19.02'!$AK9="是",'19.02'!$BB$4,'19.02'!$BB$3)),(VLOOKUP('19.02'!W9,'19.02'!$AO$4:$AQ$55,2,FALSE))*IF('19.02'!$AK9="是",'19.02'!$BB$4,'19.02'!$BB$3))</f>
        <v>170</v>
      </c>
      <c r="P9" s="4">
        <f>IF(ISNUMBER(SEARCH("营",'19.02'!X9)),(-$Y9+50*IF('19.02'!$AK9="是",'19.02'!$BB$4,'19.02'!$BB$3)),(VLOOKUP('19.02'!X9,'19.02'!$AO$4:$AQ$55,2,FALSE))*IF('19.02'!$AK9="是",'19.02'!$BB$4,'19.02'!$BB$3))</f>
        <v>50</v>
      </c>
      <c r="Q9" s="4">
        <f>IF(ISNUMBER(SEARCH("营",'19.02'!Y9)),(-$Y9+50*IF('19.02'!$AK9="是",'19.02'!$BB$4,'19.02'!$BB$3)),(VLOOKUP('19.02'!Y9,'19.02'!$AO$4:$AQ$55,2,FALSE))*IF('19.02'!$AK9="是",'19.02'!$BB$4,'19.02'!$BB$3))</f>
        <v>150</v>
      </c>
      <c r="R9" s="4">
        <f>IF(ISNUMBER(SEARCH("营",'19.02'!Z9)),(-$Y9+50*IF('19.02'!$AK9="是",'19.02'!$BB$4,'19.02'!$BB$3)),(VLOOKUP('19.02'!Z9,'19.02'!$AO$4:$AQ$55,2,FALSE))*IF('19.02'!$AK9="是",'19.02'!$BB$4,'19.02'!$BB$3))</f>
        <v>170</v>
      </c>
      <c r="S9" s="4">
        <f>IF(ISNUMBER(SEARCH("营",'19.02'!AA9)),(-$Y9+50*IF('19.02'!$AK9="是",'19.02'!$BB$4,'19.02'!$BB$3)),(VLOOKUP('19.02'!AA9,'19.02'!$AO$4:$AQ$55,2,FALSE))*IF('19.02'!$AK9="是",'19.02'!$BB$4,'19.02'!$BB$3))</f>
        <v>50</v>
      </c>
      <c r="T9" s="4">
        <f>IF(ISNUMBER(SEARCH("营",'19.02'!AB9)),(-$Y9+50*IF('19.02'!$AK9="是",'19.02'!$BB$4,'19.02'!$BB$3)),(VLOOKUP('19.02'!AB9,'19.02'!$AO$4:$AQ$55,2,FALSE))*IF('19.02'!$AK9="是",'19.02'!$BB$4,'19.02'!$BB$3))</f>
        <v>170</v>
      </c>
      <c r="U9" s="4">
        <f>IF(ISNUMBER(SEARCH("营",'19.02'!AC9)),(-$Y9+50*IF('19.02'!$AK9="是",'19.02'!$BB$4,'19.02'!$BB$3)),(VLOOKUP('19.02'!AC9,'19.02'!$AO$4:$AQ$55,2,FALSE))*IF('19.02'!$AK9="是",'19.02'!$BB$4,'19.02'!$BB$3))</f>
        <v>150</v>
      </c>
      <c r="V9" s="4">
        <f>IF(ISNUMBER(SEARCH("营",'19.02'!AD9)),(-$Y9+50*IF('19.02'!$AK9="是",'19.02'!$BB$4,'19.02'!$BB$3)),(VLOOKUP('19.02'!AD9,'19.02'!$AO$4:$AQ$55,2,FALSE))*IF('19.02'!$AK9="是",'19.02'!$BB$4,'19.02'!$BB$3))</f>
        <v>170</v>
      </c>
      <c r="W9" s="4">
        <f>IF(ISNUMBER(SEARCH("营",'19.02'!AE9)),(-$Y9+50*IF('19.02'!$AK9="是",'19.02'!$BB$4,'19.02'!$BB$3)),(VLOOKUP('19.02'!AE9,'19.02'!$AO$4:$AQ$55,2,FALSE))*IF('19.02'!$AK9="是",'19.02'!$BB$4,'19.02'!$BB$3))</f>
        <v>0</v>
      </c>
      <c r="X9" s="4">
        <f>IF(ISNUMBER(SEARCH("营",'19.02'!AF9)),(-$Y9+50*IF('19.02'!$AK9="是",'19.02'!$BB$4,'19.02'!$BB$3)),(VLOOKUP('19.02'!AF9,'19.02'!$AO$4:$AQ$55,2,FALSE))*IF('19.02'!$AK9="是",'19.02'!$BB$4,'19.02'!$BB$3))</f>
        <v>0</v>
      </c>
      <c r="Y9" s="75">
        <v>300</v>
      </c>
      <c r="Z9" s="85">
        <v>45735</v>
      </c>
    </row>
    <row r="10" spans="1:26">
      <c r="A10" s="4">
        <f>IF(ISNUMBER(SEARCH("营",'19.02'!I10)),(-$Y10+50*IF('19.02'!$AK10="是",'19.02'!$BB$4,'19.02'!$BB$3)),(VLOOKUP('19.02'!I10,'19.02'!$AO$4:$AQ$55,2,FALSE))*IF('19.02'!$AK10="是",'19.02'!$BB$4,'19.02'!$BB$3))</f>
        <v>0</v>
      </c>
      <c r="B10" s="4">
        <f>IF(ISNUMBER(SEARCH("营",'19.02'!J10)),(-$Y10+50*IF('19.02'!$AK10="是",'19.02'!$BB$4,'19.02'!$BB$3)),(VLOOKUP('19.02'!J10,'19.02'!$AO$4:$AQ$55,2,FALSE))*IF('19.02'!$AK10="是",'19.02'!$BB$4,'19.02'!$BB$3))</f>
        <v>0</v>
      </c>
      <c r="C10" s="4">
        <f>IF(ISNUMBER(SEARCH("营",'19.02'!K10)),(-$Y10+50*IF('19.02'!$AK10="是",'19.02'!$BB$4,'19.02'!$BB$3)),(VLOOKUP('19.02'!K10,'19.02'!$AO$4:$AQ$55,2,FALSE))*IF('19.02'!$AK10="是",'19.02'!$BB$4,'19.02'!$BB$3))</f>
        <v>0</v>
      </c>
      <c r="D10" s="4">
        <f>IF(ISNUMBER(SEARCH("营",'19.02'!L10)),(-$Y10+50*IF('19.02'!$AK10="是",'19.02'!$BB$4,'19.02'!$BB$3)),(VLOOKUP('19.02'!L10,'19.02'!$AO$4:$AQ$55,2,FALSE))*IF('19.02'!$AK10="是",'19.02'!$BB$4,'19.02'!$BB$3))</f>
        <v>0</v>
      </c>
      <c r="E10" s="4">
        <f>IF(ISNUMBER(SEARCH("营",'19.02'!M10)),(-$Y10+50*IF('19.02'!$AK10="是",'19.02'!$BB$4,'19.02'!$BB$3)),(VLOOKUP('19.02'!M10,'19.02'!$AO$4:$AQ$55,2,FALSE))*IF('19.02'!$AK10="是",'19.02'!$BB$4,'19.02'!$BB$3))</f>
        <v>0</v>
      </c>
      <c r="F10" s="4">
        <f>IF(ISNUMBER(SEARCH("营",'19.02'!N10)),(-$Y10+50*IF('19.02'!$AK10="是",'19.02'!$BB$4,'19.02'!$BB$3)),(VLOOKUP('19.02'!N10,'19.02'!$AO$4:$AQ$55,2,FALSE))*IF('19.02'!$AK10="是",'19.02'!$BB$4,'19.02'!$BB$3))</f>
        <v>0</v>
      </c>
      <c r="G10" s="4">
        <f>IF(ISNUMBER(SEARCH("营",'19.02'!O10)),(-$Y10+50*IF('19.02'!$AK10="是",'19.02'!$BB$4,'19.02'!$BB$3)),(VLOOKUP('19.02'!O10,'19.02'!$AO$4:$AQ$55,2,FALSE))*IF('19.02'!$AK10="是",'19.02'!$BB$4,'19.02'!$BB$3))</f>
        <v>0</v>
      </c>
      <c r="H10" s="4">
        <f>IF(ISNUMBER(SEARCH("营",'19.02'!P10)),(-$Y10+50*IF('19.02'!$AK10="是",'19.02'!$BB$4,'19.02'!$BB$3)),(VLOOKUP('19.02'!P10,'19.02'!$AO$4:$AQ$55,2,FALSE))*IF('19.02'!$AK10="是",'19.02'!$BB$4,'19.02'!$BB$3))</f>
        <v>0</v>
      </c>
      <c r="I10" s="4">
        <f>IF(ISNUMBER(SEARCH("营",'19.02'!Q10)),(-$Y10+50*IF('19.02'!$AK10="是",'19.02'!$BB$4,'19.02'!$BB$3)),(VLOOKUP('19.02'!Q10,'19.02'!$AO$4:$AQ$55,2,FALSE))*IF('19.02'!$AK10="是",'19.02'!$BB$4,'19.02'!$BB$3))</f>
        <v>170</v>
      </c>
      <c r="J10" s="4">
        <f>IF(ISNUMBER(SEARCH("营",'19.02'!R10)),(-$Y10+50*IF('19.02'!$AK10="是",'19.02'!$BB$4,'19.02'!$BB$3)),(VLOOKUP('19.02'!R10,'19.02'!$AO$4:$AQ$55,2,FALSE))*IF('19.02'!$AK10="是",'19.02'!$BB$4,'19.02'!$BB$3))</f>
        <v>170</v>
      </c>
      <c r="K10" s="4">
        <f>IF(ISNUMBER(SEARCH("营",'19.02'!S10)),(-$Y10+50*IF('19.02'!$AK10="是",'19.02'!$BB$4,'19.02'!$BB$3)),(VLOOKUP('19.02'!S10,'19.02'!$AO$4:$AQ$55,2,FALSE))*IF('19.02'!$AK10="是",'19.02'!$BB$4,'19.02'!$BB$3))</f>
        <v>150</v>
      </c>
      <c r="L10" s="4">
        <f>IF(ISNUMBER(SEARCH("营",'19.02'!T10)),(-$Y10+50*IF('19.02'!$AK10="是",'19.02'!$BB$4,'19.02'!$BB$3)),(VLOOKUP('19.02'!T10,'19.02'!$AO$4:$AQ$55,2,FALSE))*IF('19.02'!$AK10="是",'19.02'!$BB$4,'19.02'!$BB$3))</f>
        <v>170</v>
      </c>
      <c r="M10" s="4">
        <f>IF(ISNUMBER(SEARCH("营",'19.02'!U10)),(-$Y10+50*IF('19.02'!$AK10="是",'19.02'!$BB$4,'19.02'!$BB$3)),(VLOOKUP('19.02'!U10,'19.02'!$AO$4:$AQ$55,2,FALSE))*IF('19.02'!$AK10="是",'19.02'!$BB$4,'19.02'!$BB$3))</f>
        <v>170</v>
      </c>
      <c r="N10" s="4">
        <f>IF(ISNUMBER(SEARCH("营",'19.02'!V10)),(-$Y10+50*IF('19.02'!$AK10="是",'19.02'!$BB$4,'19.02'!$BB$3)),(VLOOKUP('19.02'!V10,'19.02'!$AO$4:$AQ$55,2,FALSE))*IF('19.02'!$AK10="是",'19.02'!$BB$4,'19.02'!$BB$3))</f>
        <v>170</v>
      </c>
      <c r="O10" s="4">
        <f>IF(ISNUMBER(SEARCH("营",'19.02'!W10)),(-$Y10+50*IF('19.02'!$AK10="是",'19.02'!$BB$4,'19.02'!$BB$3)),(VLOOKUP('19.02'!W10,'19.02'!$AO$4:$AQ$55,2,FALSE))*IF('19.02'!$AK10="是",'19.02'!$BB$4,'19.02'!$BB$3))</f>
        <v>50</v>
      </c>
      <c r="P10" s="4">
        <f>IF(ISNUMBER(SEARCH("营",'19.02'!X10)),(-$Y10+50*IF('19.02'!$AK10="是",'19.02'!$BB$4,'19.02'!$BB$3)),(VLOOKUP('19.02'!X10,'19.02'!$AO$4:$AQ$55,2,FALSE))*IF('19.02'!$AK10="是",'19.02'!$BB$4,'19.02'!$BB$3))</f>
        <v>0</v>
      </c>
      <c r="Q10" s="4">
        <f>IF(ISNUMBER(SEARCH("营",'19.02'!Y10)),(-$Y10+50*IF('19.02'!$AK10="是",'19.02'!$BB$4,'19.02'!$BB$3)),(VLOOKUP('19.02'!Y10,'19.02'!$AO$4:$AQ$55,2,FALSE))*IF('19.02'!$AK10="是",'19.02'!$BB$4,'19.02'!$BB$3))</f>
        <v>170</v>
      </c>
      <c r="R10" s="4">
        <f>IF(ISNUMBER(SEARCH("营",'19.02'!Z10)),(-$Y10+50*IF('19.02'!$AK10="是",'19.02'!$BB$4,'19.02'!$BB$3)),(VLOOKUP('19.02'!Z10,'19.02'!$AO$4:$AQ$55,2,FALSE))*IF('19.02'!$AK10="是",'19.02'!$BB$4,'19.02'!$BB$3))</f>
        <v>170</v>
      </c>
      <c r="S10" s="4">
        <f>IF(ISNUMBER(SEARCH("营",'19.02'!AA10)),(-$Y10+50*IF('19.02'!$AK10="是",'19.02'!$BB$4,'19.02'!$BB$3)),(VLOOKUP('19.02'!AA10,'19.02'!$AO$4:$AQ$55,2,FALSE))*IF('19.02'!$AK10="是",'19.02'!$BB$4,'19.02'!$BB$3))</f>
        <v>170</v>
      </c>
      <c r="T10" s="4">
        <f>IF(ISNUMBER(SEARCH("营",'19.02'!AB10)),(-$Y10+50*IF('19.02'!$AK10="是",'19.02'!$BB$4,'19.02'!$BB$3)),(VLOOKUP('19.02'!AB10,'19.02'!$AO$4:$AQ$55,2,FALSE))*IF('19.02'!$AK10="是",'19.02'!$BB$4,'19.02'!$BB$3))</f>
        <v>170</v>
      </c>
      <c r="U10" s="4">
        <f>IF(ISNUMBER(SEARCH("营",'19.02'!AC10)),(-$Y10+50*IF('19.02'!$AK10="是",'19.02'!$BB$4,'19.02'!$BB$3)),(VLOOKUP('19.02'!AC10,'19.02'!$AO$4:$AQ$55,2,FALSE))*IF('19.02'!$AK10="是",'19.02'!$BB$4,'19.02'!$BB$3))</f>
        <v>170</v>
      </c>
      <c r="V10" s="4">
        <f>IF(ISNUMBER(SEARCH("营",'19.02'!AD10)),(-$Y10+50*IF('19.02'!$AK10="是",'19.02'!$BB$4,'19.02'!$BB$3)),(VLOOKUP('19.02'!AD10,'19.02'!$AO$4:$AQ$55,2,FALSE))*IF('19.02'!$AK10="是",'19.02'!$BB$4,'19.02'!$BB$3))</f>
        <v>170</v>
      </c>
      <c r="W10" s="4">
        <f>IF(ISNUMBER(SEARCH("营",'19.02'!AE10)),(-$Y10+50*IF('19.02'!$AK10="是",'19.02'!$BB$4,'19.02'!$BB$3)),(VLOOKUP('19.02'!AE10,'19.02'!$AO$4:$AQ$55,2,FALSE))*IF('19.02'!$AK10="是",'19.02'!$BB$4,'19.02'!$BB$3))</f>
        <v>0</v>
      </c>
      <c r="X10" s="4">
        <f>IF(ISNUMBER(SEARCH("营",'19.02'!AF10)),(-$Y10+50*IF('19.02'!$AK10="是",'19.02'!$BB$4,'19.02'!$BB$3)),(VLOOKUP('19.02'!AF10,'19.02'!$AO$4:$AQ$55,2,FALSE))*IF('19.02'!$AK10="是",'19.02'!$BB$4,'19.02'!$BB$3))</f>
        <v>0</v>
      </c>
      <c r="Y10" s="75">
        <v>300</v>
      </c>
      <c r="Z10" s="85">
        <v>45736</v>
      </c>
    </row>
    <row r="11" spans="1:26">
      <c r="A11" s="4">
        <f>IF(ISNUMBER(SEARCH("营",'19.02'!I11)),(-$Y11+50*IF('19.02'!$AK11="是",'19.02'!$BB$4,'19.02'!$BB$3)),(VLOOKUP('19.02'!I11,'19.02'!$AO$4:$AQ$55,2,FALSE))*IF('19.02'!$AK11="是",'19.02'!$BB$4,'19.02'!$BB$3))</f>
        <v>0</v>
      </c>
      <c r="B11" s="4">
        <f>IF(ISNUMBER(SEARCH("营",'19.02'!J11)),(-$Y11+50*IF('19.02'!$AK11="是",'19.02'!$BB$4,'19.02'!$BB$3)),(VLOOKUP('19.02'!J11,'19.02'!$AO$4:$AQ$55,2,FALSE))*IF('19.02'!$AK11="是",'19.02'!$BB$4,'19.02'!$BB$3))</f>
        <v>0</v>
      </c>
      <c r="C11" s="4">
        <f>IF(ISNUMBER(SEARCH("营",'19.02'!K11)),(-$Y11+50*IF('19.02'!$AK11="是",'19.02'!$BB$4,'19.02'!$BB$3)),(VLOOKUP('19.02'!K11,'19.02'!$AO$4:$AQ$55,2,FALSE))*IF('19.02'!$AK11="是",'19.02'!$BB$4,'19.02'!$BB$3))</f>
        <v>0</v>
      </c>
      <c r="D11" s="4">
        <f>IF(ISNUMBER(SEARCH("营",'19.02'!L11)),(-$Y11+50*IF('19.02'!$AK11="是",'19.02'!$BB$4,'19.02'!$BB$3)),(VLOOKUP('19.02'!L11,'19.02'!$AO$4:$AQ$55,2,FALSE))*IF('19.02'!$AK11="是",'19.02'!$BB$4,'19.02'!$BB$3))</f>
        <v>0</v>
      </c>
      <c r="E11" s="4">
        <f>IF(ISNUMBER(SEARCH("营",'19.02'!M11)),(-$Y11+50*IF('19.02'!$AK11="是",'19.02'!$BB$4,'19.02'!$BB$3)),(VLOOKUP('19.02'!M11,'19.02'!$AO$4:$AQ$55,2,FALSE))*IF('19.02'!$AK11="是",'19.02'!$BB$4,'19.02'!$BB$3))</f>
        <v>0</v>
      </c>
      <c r="F11" s="4">
        <f>IF(ISNUMBER(SEARCH("营",'19.02'!N11)),(-$Y11+50*IF('19.02'!$AK11="是",'19.02'!$BB$4,'19.02'!$BB$3)),(VLOOKUP('19.02'!N11,'19.02'!$AO$4:$AQ$55,2,FALSE))*IF('19.02'!$AK11="是",'19.02'!$BB$4,'19.02'!$BB$3))</f>
        <v>0</v>
      </c>
      <c r="G11" s="4">
        <f>IF(ISNUMBER(SEARCH("营",'19.02'!O11)),(-$Y11+50*IF('19.02'!$AK11="是",'19.02'!$BB$4,'19.02'!$BB$3)),(VLOOKUP('19.02'!O11,'19.02'!$AO$4:$AQ$55,2,FALSE))*IF('19.02'!$AK11="是",'19.02'!$BB$4,'19.02'!$BB$3))</f>
        <v>0</v>
      </c>
      <c r="H11" s="4">
        <f>IF(ISNUMBER(SEARCH("营",'19.02'!P11)),(-$Y11+50*IF('19.02'!$AK11="是",'19.02'!$BB$4,'19.02'!$BB$3)),(VLOOKUP('19.02'!P11,'19.02'!$AO$4:$AQ$55,2,FALSE))*IF('19.02'!$AK11="是",'19.02'!$BB$4,'19.02'!$BB$3))</f>
        <v>0</v>
      </c>
      <c r="I11" s="4">
        <f>IF(ISNUMBER(SEARCH("营",'19.02'!Q11)),(-$Y11+50*IF('19.02'!$AK11="是",'19.02'!$BB$4,'19.02'!$BB$3)),(VLOOKUP('19.02'!Q11,'19.02'!$AO$4:$AQ$55,2,FALSE))*IF('19.02'!$AK11="是",'19.02'!$BB$4,'19.02'!$BB$3))</f>
        <v>170</v>
      </c>
      <c r="J11" s="4">
        <f>IF(ISNUMBER(SEARCH("营",'19.02'!R11)),(-$Y11+50*IF('19.02'!$AK11="是",'19.02'!$BB$4,'19.02'!$BB$3)),(VLOOKUP('19.02'!R11,'19.02'!$AO$4:$AQ$55,2,FALSE))*IF('19.02'!$AK11="是",'19.02'!$BB$4,'19.02'!$BB$3))</f>
        <v>170</v>
      </c>
      <c r="K11" s="4">
        <f>IF(ISNUMBER(SEARCH("营",'19.02'!S11)),(-$Y11+50*IF('19.02'!$AK11="是",'19.02'!$BB$4,'19.02'!$BB$3)),(VLOOKUP('19.02'!S11,'19.02'!$AO$4:$AQ$55,2,FALSE))*IF('19.02'!$AK11="是",'19.02'!$BB$4,'19.02'!$BB$3))</f>
        <v>170</v>
      </c>
      <c r="L11" s="4">
        <f>IF(ISNUMBER(SEARCH("营",'19.02'!T11)),(-$Y11+50*IF('19.02'!$AK11="是",'19.02'!$BB$4,'19.02'!$BB$3)),(VLOOKUP('19.02'!T11,'19.02'!$AO$4:$AQ$55,2,FALSE))*IF('19.02'!$AK11="是",'19.02'!$BB$4,'19.02'!$BB$3))</f>
        <v>-250</v>
      </c>
      <c r="M11" s="4">
        <f>IF(ISNUMBER(SEARCH("营",'19.02'!U11)),(-$Y11+50*IF('19.02'!$AK11="是",'19.02'!$BB$4,'19.02'!$BB$3)),(VLOOKUP('19.02'!U11,'19.02'!$AO$4:$AQ$55,2,FALSE))*IF('19.02'!$AK11="是",'19.02'!$BB$4,'19.02'!$BB$3))</f>
        <v>170</v>
      </c>
      <c r="N11" s="4">
        <f>IF(ISNUMBER(SEARCH("营",'19.02'!V11)),(-$Y11+50*IF('19.02'!$AK11="是",'19.02'!$BB$4,'19.02'!$BB$3)),(VLOOKUP('19.02'!V11,'19.02'!$AO$4:$AQ$55,2,FALSE))*IF('19.02'!$AK11="是",'19.02'!$BB$4,'19.02'!$BB$3))</f>
        <v>170</v>
      </c>
      <c r="O11" s="4">
        <f>IF(ISNUMBER(SEARCH("营",'19.02'!W11)),(-$Y11+50*IF('19.02'!$AK11="是",'19.02'!$BB$4,'19.02'!$BB$3)),(VLOOKUP('19.02'!W11,'19.02'!$AO$4:$AQ$55,2,FALSE))*IF('19.02'!$AK11="是",'19.02'!$BB$4,'19.02'!$BB$3))</f>
        <v>170</v>
      </c>
      <c r="P11" s="4">
        <f>IF(ISNUMBER(SEARCH("营",'19.02'!X11)),(-$Y11+50*IF('19.02'!$AK11="是",'19.02'!$BB$4,'19.02'!$BB$3)),(VLOOKUP('19.02'!X11,'19.02'!$AO$4:$AQ$55,2,FALSE))*IF('19.02'!$AK11="是",'19.02'!$BB$4,'19.02'!$BB$3))</f>
        <v>170</v>
      </c>
      <c r="Q11" s="4">
        <f>IF(ISNUMBER(SEARCH("营",'19.02'!Y11)),(-$Y11+50*IF('19.02'!$AK11="是",'19.02'!$BB$4,'19.02'!$BB$3)),(VLOOKUP('19.02'!Y11,'19.02'!$AO$4:$AQ$55,2,FALSE))*IF('19.02'!$AK11="是",'19.02'!$BB$4,'19.02'!$BB$3))</f>
        <v>170</v>
      </c>
      <c r="R11" s="4">
        <f>IF(ISNUMBER(SEARCH("营",'19.02'!Z11)),(-$Y11+50*IF('19.02'!$AK11="是",'19.02'!$BB$4,'19.02'!$BB$3)),(VLOOKUP('19.02'!Z11,'19.02'!$AO$4:$AQ$55,2,FALSE))*IF('19.02'!$AK11="是",'19.02'!$BB$4,'19.02'!$BB$3))</f>
        <v>170</v>
      </c>
      <c r="S11" s="4">
        <f>IF(ISNUMBER(SEARCH("营",'19.02'!AA11)),(-$Y11+50*IF('19.02'!$AK11="是",'19.02'!$BB$4,'19.02'!$BB$3)),(VLOOKUP('19.02'!AA11,'19.02'!$AO$4:$AQ$55,2,FALSE))*IF('19.02'!$AK11="是",'19.02'!$BB$4,'19.02'!$BB$3))</f>
        <v>170</v>
      </c>
      <c r="T11" s="4">
        <f>IF(ISNUMBER(SEARCH("营",'19.02'!AB11)),(-$Y11+50*IF('19.02'!$AK11="是",'19.02'!$BB$4,'19.02'!$BB$3)),(VLOOKUP('19.02'!AB11,'19.02'!$AO$4:$AQ$55,2,FALSE))*IF('19.02'!$AK11="是",'19.02'!$BB$4,'19.02'!$BB$3))</f>
        <v>150</v>
      </c>
      <c r="U11" s="4">
        <f>IF(ISNUMBER(SEARCH("营",'19.02'!AC11)),(-$Y11+50*IF('19.02'!$AK11="是",'19.02'!$BB$4,'19.02'!$BB$3)),(VLOOKUP('19.02'!AC11,'19.02'!$AO$4:$AQ$55,2,FALSE))*IF('19.02'!$AK11="是",'19.02'!$BB$4,'19.02'!$BB$3))</f>
        <v>170</v>
      </c>
      <c r="V11" s="4">
        <f>IF(ISNUMBER(SEARCH("营",'19.02'!AD11)),(-$Y11+50*IF('19.02'!$AK11="是",'19.02'!$BB$4,'19.02'!$BB$3)),(VLOOKUP('19.02'!AD11,'19.02'!$AO$4:$AQ$55,2,FALSE))*IF('19.02'!$AK11="是",'19.02'!$BB$4,'19.02'!$BB$3))</f>
        <v>180</v>
      </c>
      <c r="W11" s="4">
        <f>IF(ISNUMBER(SEARCH("营",'19.02'!AE11)),(-$Y11+50*IF('19.02'!$AK11="是",'19.02'!$BB$4,'19.02'!$BB$3)),(VLOOKUP('19.02'!AE11,'19.02'!$AO$4:$AQ$55,2,FALSE))*IF('19.02'!$AK11="是",'19.02'!$BB$4,'19.02'!$BB$3))</f>
        <v>0</v>
      </c>
      <c r="X11" s="4">
        <f>IF(ISNUMBER(SEARCH("营",'19.02'!AF11)),(-$Y11+50*IF('19.02'!$AK11="是",'19.02'!$BB$4,'19.02'!$BB$3)),(VLOOKUP('19.02'!AF11,'19.02'!$AO$4:$AQ$55,2,FALSE))*IF('19.02'!$AK11="是",'19.02'!$BB$4,'19.02'!$BB$3))</f>
        <v>0</v>
      </c>
      <c r="Y11" s="75">
        <v>300</v>
      </c>
      <c r="Z11" s="85">
        <v>45737</v>
      </c>
    </row>
    <row r="12" spans="1:26">
      <c r="A12" s="4">
        <f>IF(ISNUMBER(SEARCH("营",'19.02'!I12)),(-$Y12+50*IF('19.02'!$AK12="是",'19.02'!$BB$4,'19.02'!$BB$3)),(VLOOKUP('19.02'!I12,'19.02'!$AO$4:$AQ$55,2,FALSE))*IF('19.02'!$AK12="是",'19.02'!$BB$4,'19.02'!$BB$3))</f>
        <v>0</v>
      </c>
      <c r="B12" s="4">
        <f>IF(ISNUMBER(SEARCH("营",'19.02'!J12)),(-$Y12+50*IF('19.02'!$AK12="是",'19.02'!$BB$4,'19.02'!$BB$3)),(VLOOKUP('19.02'!J12,'19.02'!$AO$4:$AQ$55,2,FALSE))*IF('19.02'!$AK12="是",'19.02'!$BB$4,'19.02'!$BB$3))</f>
        <v>0</v>
      </c>
      <c r="C12" s="4">
        <f>IF(ISNUMBER(SEARCH("营",'19.02'!K12)),(-$Y12+50*IF('19.02'!$AK12="是",'19.02'!$BB$4,'19.02'!$BB$3)),(VLOOKUP('19.02'!K12,'19.02'!$AO$4:$AQ$55,2,FALSE))*IF('19.02'!$AK12="是",'19.02'!$BB$4,'19.02'!$BB$3))</f>
        <v>0</v>
      </c>
      <c r="D12" s="4">
        <f>IF(ISNUMBER(SEARCH("营",'19.02'!L12)),(-$Y12+50*IF('19.02'!$AK12="是",'19.02'!$BB$4,'19.02'!$BB$3)),(VLOOKUP('19.02'!L12,'19.02'!$AO$4:$AQ$55,2,FALSE))*IF('19.02'!$AK12="是",'19.02'!$BB$4,'19.02'!$BB$3))</f>
        <v>0</v>
      </c>
      <c r="E12" s="4">
        <f>IF(ISNUMBER(SEARCH("营",'19.02'!M12)),(-$Y12+50*IF('19.02'!$AK12="是",'19.02'!$BB$4,'19.02'!$BB$3)),(VLOOKUP('19.02'!M12,'19.02'!$AO$4:$AQ$55,2,FALSE))*IF('19.02'!$AK12="是",'19.02'!$BB$4,'19.02'!$BB$3))</f>
        <v>0</v>
      </c>
      <c r="F12" s="4">
        <f>IF(ISNUMBER(SEARCH("营",'19.02'!N12)),(-$Y12+50*IF('19.02'!$AK12="是",'19.02'!$BB$4,'19.02'!$BB$3)),(VLOOKUP('19.02'!N12,'19.02'!$AO$4:$AQ$55,2,FALSE))*IF('19.02'!$AK12="是",'19.02'!$BB$4,'19.02'!$BB$3))</f>
        <v>0</v>
      </c>
      <c r="G12" s="4">
        <f>IF(ISNUMBER(SEARCH("营",'19.02'!O12)),(-$Y12+50*IF('19.02'!$AK12="是",'19.02'!$BB$4,'19.02'!$BB$3)),(VLOOKUP('19.02'!O12,'19.02'!$AO$4:$AQ$55,2,FALSE))*IF('19.02'!$AK12="是",'19.02'!$BB$4,'19.02'!$BB$3))</f>
        <v>0</v>
      </c>
      <c r="H12" s="4">
        <f>IF(ISNUMBER(SEARCH("营",'19.02'!P12)),(-$Y12+50*IF('19.02'!$AK12="是",'19.02'!$BB$4,'19.02'!$BB$3)),(VLOOKUP('19.02'!P12,'19.02'!$AO$4:$AQ$55,2,FALSE))*IF('19.02'!$AK12="是",'19.02'!$BB$4,'19.02'!$BB$3))</f>
        <v>0</v>
      </c>
      <c r="I12" s="4">
        <f>IF(ISNUMBER(SEARCH("营",'19.02'!Q12)),(-$Y12+50*IF('19.02'!$AK12="是",'19.02'!$BB$4,'19.02'!$BB$3)),(VLOOKUP('19.02'!Q12,'19.02'!$AO$4:$AQ$55,2,FALSE))*IF('19.02'!$AK12="是",'19.02'!$BB$4,'19.02'!$BB$3))</f>
        <v>170</v>
      </c>
      <c r="J12" s="4">
        <f>IF(ISNUMBER(SEARCH("营",'19.02'!R12)),(-$Y12+50*IF('19.02'!$AK12="是",'19.02'!$BB$4,'19.02'!$BB$3)),(VLOOKUP('19.02'!R12,'19.02'!$AO$4:$AQ$55,2,FALSE))*IF('19.02'!$AK12="是",'19.02'!$BB$4,'19.02'!$BB$3))</f>
        <v>170</v>
      </c>
      <c r="K12" s="4">
        <f>IF(ISNUMBER(SEARCH("营",'19.02'!S12)),(-$Y12+50*IF('19.02'!$AK12="是",'19.02'!$BB$4,'19.02'!$BB$3)),(VLOOKUP('19.02'!S12,'19.02'!$AO$4:$AQ$55,2,FALSE))*IF('19.02'!$AK12="是",'19.02'!$BB$4,'19.02'!$BB$3))</f>
        <v>50</v>
      </c>
      <c r="L12" s="4">
        <f>IF(ISNUMBER(SEARCH("营",'19.02'!T12)),(-$Y12+50*IF('19.02'!$AK12="是",'19.02'!$BB$4,'19.02'!$BB$3)),(VLOOKUP('19.02'!T12,'19.02'!$AO$4:$AQ$55,2,FALSE))*IF('19.02'!$AK12="是",'19.02'!$BB$4,'19.02'!$BB$3))</f>
        <v>170</v>
      </c>
      <c r="M12" s="4">
        <f>IF(ISNUMBER(SEARCH("营",'19.02'!U12)),(-$Y12+50*IF('19.02'!$AK12="是",'19.02'!$BB$4,'19.02'!$BB$3)),(VLOOKUP('19.02'!U12,'19.02'!$AO$4:$AQ$55,2,FALSE))*IF('19.02'!$AK12="是",'19.02'!$BB$4,'19.02'!$BB$3))</f>
        <v>170</v>
      </c>
      <c r="N12" s="4">
        <f>IF(ISNUMBER(SEARCH("营",'19.02'!V12)),(-$Y12+50*IF('19.02'!$AK12="是",'19.02'!$BB$4,'19.02'!$BB$3)),(VLOOKUP('19.02'!V12,'19.02'!$AO$4:$AQ$55,2,FALSE))*IF('19.02'!$AK12="是",'19.02'!$BB$4,'19.02'!$BB$3))</f>
        <v>170</v>
      </c>
      <c r="O12" s="4">
        <f>IF(ISNUMBER(SEARCH("营",'19.02'!W12)),(-$Y12+50*IF('19.02'!$AK12="是",'19.02'!$BB$4,'19.02'!$BB$3)),(VLOOKUP('19.02'!W12,'19.02'!$AO$4:$AQ$55,2,FALSE))*IF('19.02'!$AK12="是",'19.02'!$BB$4,'19.02'!$BB$3))</f>
        <v>0</v>
      </c>
      <c r="P12" s="4">
        <f>IF(ISNUMBER(SEARCH("营",'19.02'!X12)),(-$Y12+50*IF('19.02'!$AK12="是",'19.02'!$BB$4,'19.02'!$BB$3)),(VLOOKUP('19.02'!X12,'19.02'!$AO$4:$AQ$55,2,FALSE))*IF('19.02'!$AK12="是",'19.02'!$BB$4,'19.02'!$BB$3))</f>
        <v>0</v>
      </c>
      <c r="Q12" s="4">
        <f>IF(ISNUMBER(SEARCH("营",'19.02'!Y12)),(-$Y12+50*IF('19.02'!$AK12="是",'19.02'!$BB$4,'19.02'!$BB$3)),(VLOOKUP('19.02'!Y12,'19.02'!$AO$4:$AQ$55,2,FALSE))*IF('19.02'!$AK12="是",'19.02'!$BB$4,'19.02'!$BB$3))</f>
        <v>180</v>
      </c>
      <c r="R12" s="4">
        <f>IF(ISNUMBER(SEARCH("营",'19.02'!Z12)),(-$Y12+50*IF('19.02'!$AK12="是",'19.02'!$BB$4,'19.02'!$BB$3)),(VLOOKUP('19.02'!Z12,'19.02'!$AO$4:$AQ$55,2,FALSE))*IF('19.02'!$AK12="是",'19.02'!$BB$4,'19.02'!$BB$3))</f>
        <v>180</v>
      </c>
      <c r="S12" s="4">
        <f>IF(ISNUMBER(SEARCH("营",'19.02'!AA12)),(-$Y12+50*IF('19.02'!$AK12="是",'19.02'!$BB$4,'19.02'!$BB$3)),(VLOOKUP('19.02'!AA12,'19.02'!$AO$4:$AQ$55,2,FALSE))*IF('19.02'!$AK12="是",'19.02'!$BB$4,'19.02'!$BB$3))</f>
        <v>180</v>
      </c>
      <c r="T12" s="4">
        <f>IF(ISNUMBER(SEARCH("营",'19.02'!AB12)),(-$Y12+50*IF('19.02'!$AK12="是",'19.02'!$BB$4,'19.02'!$BB$3)),(VLOOKUP('19.02'!AB12,'19.02'!$AO$4:$AQ$55,2,FALSE))*IF('19.02'!$AK12="是",'19.02'!$BB$4,'19.02'!$BB$3))</f>
        <v>170</v>
      </c>
      <c r="U12" s="4">
        <f>IF(ISNUMBER(SEARCH("营",'19.02'!AC12)),(-$Y12+50*IF('19.02'!$AK12="是",'19.02'!$BB$4,'19.02'!$BB$3)),(VLOOKUP('19.02'!AC12,'19.02'!$AO$4:$AQ$55,2,FALSE))*IF('19.02'!$AK12="是",'19.02'!$BB$4,'19.02'!$BB$3))</f>
        <v>170</v>
      </c>
      <c r="V12" s="4">
        <f>IF(ISNUMBER(SEARCH("营",'19.02'!AD12)),(-$Y12+50*IF('19.02'!$AK12="是",'19.02'!$BB$4,'19.02'!$BB$3)),(VLOOKUP('19.02'!AD12,'19.02'!$AO$4:$AQ$55,2,FALSE))*IF('19.02'!$AK12="是",'19.02'!$BB$4,'19.02'!$BB$3))</f>
        <v>170</v>
      </c>
      <c r="W12" s="4">
        <f>IF(ISNUMBER(SEARCH("营",'19.02'!AE12)),(-$Y12+50*IF('19.02'!$AK12="是",'19.02'!$BB$4,'19.02'!$BB$3)),(VLOOKUP('19.02'!AE12,'19.02'!$AO$4:$AQ$55,2,FALSE))*IF('19.02'!$AK12="是",'19.02'!$BB$4,'19.02'!$BB$3))</f>
        <v>0</v>
      </c>
      <c r="X12" s="4">
        <f>IF(ISNUMBER(SEARCH("营",'19.02'!AF12)),(-$Y12+50*IF('19.02'!$AK12="是",'19.02'!$BB$4,'19.02'!$BB$3)),(VLOOKUP('19.02'!AF12,'19.02'!$AO$4:$AQ$55,2,FALSE))*IF('19.02'!$AK12="是",'19.02'!$BB$4,'19.02'!$BB$3))</f>
        <v>0</v>
      </c>
      <c r="Y12" s="75">
        <v>300</v>
      </c>
      <c r="Z12" s="85">
        <v>45738</v>
      </c>
    </row>
    <row r="13" spans="1:26">
      <c r="A13" s="4">
        <f>IF(ISNUMBER(SEARCH("营",'19.02'!I13)),(-$Y13+50*IF('19.02'!$AK13="是",'19.02'!$BB$4,'19.02'!$BB$3)),(VLOOKUP('19.02'!I13,'19.02'!$AO$4:$AQ$55,2,FALSE))*IF('19.02'!$AK13="是",'19.02'!$BB$4,'19.02'!$BB$3))</f>
        <v>0</v>
      </c>
      <c r="B13" s="4">
        <f>IF(ISNUMBER(SEARCH("营",'19.02'!J13)),(-$Y13+50*IF('19.02'!$AK13="是",'19.02'!$BB$4,'19.02'!$BB$3)),(VLOOKUP('19.02'!J13,'19.02'!$AO$4:$AQ$55,2,FALSE))*IF('19.02'!$AK13="是",'19.02'!$BB$4,'19.02'!$BB$3))</f>
        <v>0</v>
      </c>
      <c r="C13" s="4">
        <f>IF(ISNUMBER(SEARCH("营",'19.02'!K13)),(-$Y13+50*IF('19.02'!$AK13="是",'19.02'!$BB$4,'19.02'!$BB$3)),(VLOOKUP('19.02'!K13,'19.02'!$AO$4:$AQ$55,2,FALSE))*IF('19.02'!$AK13="是",'19.02'!$BB$4,'19.02'!$BB$3))</f>
        <v>0</v>
      </c>
      <c r="D13" s="4">
        <f>IF(ISNUMBER(SEARCH("营",'19.02'!L13)),(-$Y13+50*IF('19.02'!$AK13="是",'19.02'!$BB$4,'19.02'!$BB$3)),(VLOOKUP('19.02'!L13,'19.02'!$AO$4:$AQ$55,2,FALSE))*IF('19.02'!$AK13="是",'19.02'!$BB$4,'19.02'!$BB$3))</f>
        <v>0</v>
      </c>
      <c r="E13" s="4">
        <f>IF(ISNUMBER(SEARCH("营",'19.02'!M13)),(-$Y13+50*IF('19.02'!$AK13="是",'19.02'!$BB$4,'19.02'!$BB$3)),(VLOOKUP('19.02'!M13,'19.02'!$AO$4:$AQ$55,2,FALSE))*IF('19.02'!$AK13="是",'19.02'!$BB$4,'19.02'!$BB$3))</f>
        <v>0</v>
      </c>
      <c r="F13" s="4">
        <f>IF(ISNUMBER(SEARCH("营",'19.02'!N13)),(-$Y13+50*IF('19.02'!$AK13="是",'19.02'!$BB$4,'19.02'!$BB$3)),(VLOOKUP('19.02'!N13,'19.02'!$AO$4:$AQ$55,2,FALSE))*IF('19.02'!$AK13="是",'19.02'!$BB$4,'19.02'!$BB$3))</f>
        <v>0</v>
      </c>
      <c r="G13" s="4">
        <f>IF(ISNUMBER(SEARCH("营",'19.02'!O13)),(-$Y13+50*IF('19.02'!$AK13="是",'19.02'!$BB$4,'19.02'!$BB$3)),(VLOOKUP('19.02'!O13,'19.02'!$AO$4:$AQ$55,2,FALSE))*IF('19.02'!$AK13="是",'19.02'!$BB$4,'19.02'!$BB$3))</f>
        <v>0</v>
      </c>
      <c r="H13" s="4">
        <f>IF(ISNUMBER(SEARCH("营",'19.02'!P13)),(-$Y13+50*IF('19.02'!$AK13="是",'19.02'!$BB$4,'19.02'!$BB$3)),(VLOOKUP('19.02'!P13,'19.02'!$AO$4:$AQ$55,2,FALSE))*IF('19.02'!$AK13="是",'19.02'!$BB$4,'19.02'!$BB$3))</f>
        <v>0</v>
      </c>
      <c r="I13" s="4">
        <f>IF(ISNUMBER(SEARCH("营",'19.02'!Q13)),(-$Y13+50*IF('19.02'!$AK13="是",'19.02'!$BB$4,'19.02'!$BB$3)),(VLOOKUP('19.02'!Q13,'19.02'!$AO$4:$AQ$55,2,FALSE))*IF('19.02'!$AK13="是",'19.02'!$BB$4,'19.02'!$BB$3))</f>
        <v>170</v>
      </c>
      <c r="J13" s="4">
        <f>IF(ISNUMBER(SEARCH("营",'19.02'!R13)),(-$Y13+50*IF('19.02'!$AK13="是",'19.02'!$BB$4,'19.02'!$BB$3)),(VLOOKUP('19.02'!R13,'19.02'!$AO$4:$AQ$55,2,FALSE))*IF('19.02'!$AK13="是",'19.02'!$BB$4,'19.02'!$BB$3))</f>
        <v>170</v>
      </c>
      <c r="K13" s="4">
        <f>IF(ISNUMBER(SEARCH("营",'19.02'!S13)),(-$Y13+50*IF('19.02'!$AK13="是",'19.02'!$BB$4,'19.02'!$BB$3)),(VLOOKUP('19.02'!S13,'19.02'!$AO$4:$AQ$55,2,FALSE))*IF('19.02'!$AK13="是",'19.02'!$BB$4,'19.02'!$BB$3))</f>
        <v>170</v>
      </c>
      <c r="L13" s="4">
        <f>IF(ISNUMBER(SEARCH("营",'19.02'!T13)),(-$Y13+50*IF('19.02'!$AK13="是",'19.02'!$BB$4,'19.02'!$BB$3)),(VLOOKUP('19.02'!T13,'19.02'!$AO$4:$AQ$55,2,FALSE))*IF('19.02'!$AK13="是",'19.02'!$BB$4,'19.02'!$BB$3))</f>
        <v>170</v>
      </c>
      <c r="M13" s="4">
        <f>IF(ISNUMBER(SEARCH("营",'19.02'!U13)),(-$Y13+50*IF('19.02'!$AK13="是",'19.02'!$BB$4,'19.02'!$BB$3)),(VLOOKUP('19.02'!U13,'19.02'!$AO$4:$AQ$55,2,FALSE))*IF('19.02'!$AK13="是",'19.02'!$BB$4,'19.02'!$BB$3))</f>
        <v>170</v>
      </c>
      <c r="N13" s="4">
        <f>IF(ISNUMBER(SEARCH("营",'19.02'!V13)),(-$Y13+50*IF('19.02'!$AK13="是",'19.02'!$BB$4,'19.02'!$BB$3)),(VLOOKUP('19.02'!V13,'19.02'!$AO$4:$AQ$55,2,FALSE))*IF('19.02'!$AK13="是",'19.02'!$BB$4,'19.02'!$BB$3))</f>
        <v>170</v>
      </c>
      <c r="O13" s="4">
        <f>IF(ISNUMBER(SEARCH("营",'19.02'!W13)),(-$Y13+50*IF('19.02'!$AK13="是",'19.02'!$BB$4,'19.02'!$BB$3)),(VLOOKUP('19.02'!W13,'19.02'!$AO$4:$AQ$55,2,FALSE))*IF('19.02'!$AK13="是",'19.02'!$BB$4,'19.02'!$BB$3))</f>
        <v>0</v>
      </c>
      <c r="P13" s="4">
        <f>IF(ISNUMBER(SEARCH("营",'19.02'!X13)),(-$Y13+50*IF('19.02'!$AK13="是",'19.02'!$BB$4,'19.02'!$BB$3)),(VLOOKUP('19.02'!X13,'19.02'!$AO$4:$AQ$55,2,FALSE))*IF('19.02'!$AK13="是",'19.02'!$BB$4,'19.02'!$BB$3))</f>
        <v>0</v>
      </c>
      <c r="Q13" s="4">
        <f>IF(ISNUMBER(SEARCH("营",'19.02'!Y13)),(-$Y13+50*IF('19.02'!$AK13="是",'19.02'!$BB$4,'19.02'!$BB$3)),(VLOOKUP('19.02'!Y13,'19.02'!$AO$4:$AQ$55,2,FALSE))*IF('19.02'!$AK13="是",'19.02'!$BB$4,'19.02'!$BB$3))</f>
        <v>170</v>
      </c>
      <c r="R13" s="4">
        <f>IF(ISNUMBER(SEARCH("营",'19.02'!Z13)),(-$Y13+50*IF('19.02'!$AK13="是",'19.02'!$BB$4,'19.02'!$BB$3)),(VLOOKUP('19.02'!Z13,'19.02'!$AO$4:$AQ$55,2,FALSE))*IF('19.02'!$AK13="是",'19.02'!$BB$4,'19.02'!$BB$3))</f>
        <v>180</v>
      </c>
      <c r="S13" s="4">
        <f>IF(ISNUMBER(SEARCH("营",'19.02'!AA13)),(-$Y13+50*IF('19.02'!$AK13="是",'19.02'!$BB$4,'19.02'!$BB$3)),(VLOOKUP('19.02'!AA13,'19.02'!$AO$4:$AQ$55,2,FALSE))*IF('19.02'!$AK13="是",'19.02'!$BB$4,'19.02'!$BB$3))</f>
        <v>180</v>
      </c>
      <c r="T13" s="4">
        <f>IF(ISNUMBER(SEARCH("营",'19.02'!AB13)),(-$Y13+50*IF('19.02'!$AK13="是",'19.02'!$BB$4,'19.02'!$BB$3)),(VLOOKUP('19.02'!AB13,'19.02'!$AO$4:$AQ$55,2,FALSE))*IF('19.02'!$AK13="是",'19.02'!$BB$4,'19.02'!$BB$3))</f>
        <v>180</v>
      </c>
      <c r="U13" s="4">
        <f>IF(ISNUMBER(SEARCH("营",'19.02'!AC13)),(-$Y13+50*IF('19.02'!$AK13="是",'19.02'!$BB$4,'19.02'!$BB$3)),(VLOOKUP('19.02'!AC13,'19.02'!$AO$4:$AQ$55,2,FALSE))*IF('19.02'!$AK13="是",'19.02'!$BB$4,'19.02'!$BB$3))</f>
        <v>180</v>
      </c>
      <c r="V13" s="4">
        <f>IF(ISNUMBER(SEARCH("营",'19.02'!AD13)),(-$Y13+50*IF('19.02'!$AK13="是",'19.02'!$BB$4,'19.02'!$BB$3)),(VLOOKUP('19.02'!AD13,'19.02'!$AO$4:$AQ$55,2,FALSE))*IF('19.02'!$AK13="是",'19.02'!$BB$4,'19.02'!$BB$3))</f>
        <v>180</v>
      </c>
      <c r="W13" s="4">
        <f>IF(ISNUMBER(SEARCH("营",'19.02'!AE13)),(-$Y13+50*IF('19.02'!$AK13="是",'19.02'!$BB$4,'19.02'!$BB$3)),(VLOOKUP('19.02'!AE13,'19.02'!$AO$4:$AQ$55,2,FALSE))*IF('19.02'!$AK13="是",'19.02'!$BB$4,'19.02'!$BB$3))</f>
        <v>0</v>
      </c>
      <c r="X13" s="4">
        <f>IF(ISNUMBER(SEARCH("营",'19.02'!AF13)),(-$Y13+50*IF('19.02'!$AK13="是",'19.02'!$BB$4,'19.02'!$BB$3)),(VLOOKUP('19.02'!AF13,'19.02'!$AO$4:$AQ$55,2,FALSE))*IF('19.02'!$AK13="是",'19.02'!$BB$4,'19.02'!$BB$3))</f>
        <v>0</v>
      </c>
      <c r="Y13" s="75">
        <v>300</v>
      </c>
      <c r="Z13" s="85">
        <v>45739</v>
      </c>
    </row>
    <row r="14" spans="1:26">
      <c r="A14" s="4">
        <f>IF(ISNUMBER(SEARCH("营",'19.02'!I14)),(-$Y14+50*IF('19.02'!$AK14="是",'19.02'!$BB$4,'19.02'!$BB$3)),(VLOOKUP('19.02'!I14,'19.02'!$AO$4:$AQ$55,2,FALSE))*IF('19.02'!$AK14="是",'19.02'!$BB$4,'19.02'!$BB$3))</f>
        <v>0</v>
      </c>
      <c r="B14" s="4">
        <f>IF(ISNUMBER(SEARCH("营",'19.02'!J14)),(-$Y14+50*IF('19.02'!$AK14="是",'19.02'!$BB$4,'19.02'!$BB$3)),(VLOOKUP('19.02'!J14,'19.02'!$AO$4:$AQ$55,2,FALSE))*IF('19.02'!$AK14="是",'19.02'!$BB$4,'19.02'!$BB$3))</f>
        <v>0</v>
      </c>
      <c r="C14" s="4">
        <f>IF(ISNUMBER(SEARCH("营",'19.02'!K14)),(-$Y14+50*IF('19.02'!$AK14="是",'19.02'!$BB$4,'19.02'!$BB$3)),(VLOOKUP('19.02'!K14,'19.02'!$AO$4:$AQ$55,2,FALSE))*IF('19.02'!$AK14="是",'19.02'!$BB$4,'19.02'!$BB$3))</f>
        <v>0</v>
      </c>
      <c r="D14" s="4">
        <f>IF(ISNUMBER(SEARCH("营",'19.02'!L14)),(-$Y14+50*IF('19.02'!$AK14="是",'19.02'!$BB$4,'19.02'!$BB$3)),(VLOOKUP('19.02'!L14,'19.02'!$AO$4:$AQ$55,2,FALSE))*IF('19.02'!$AK14="是",'19.02'!$BB$4,'19.02'!$BB$3))</f>
        <v>0</v>
      </c>
      <c r="E14" s="4">
        <f>IF(ISNUMBER(SEARCH("营",'19.02'!M14)),(-$Y14+50*IF('19.02'!$AK14="是",'19.02'!$BB$4,'19.02'!$BB$3)),(VLOOKUP('19.02'!M14,'19.02'!$AO$4:$AQ$55,2,FALSE))*IF('19.02'!$AK14="是",'19.02'!$BB$4,'19.02'!$BB$3))</f>
        <v>0</v>
      </c>
      <c r="F14" s="4">
        <f>IF(ISNUMBER(SEARCH("营",'19.02'!N14)),(-$Y14+50*IF('19.02'!$AK14="是",'19.02'!$BB$4,'19.02'!$BB$3)),(VLOOKUP('19.02'!N14,'19.02'!$AO$4:$AQ$55,2,FALSE))*IF('19.02'!$AK14="是",'19.02'!$BB$4,'19.02'!$BB$3))</f>
        <v>0</v>
      </c>
      <c r="G14" s="4">
        <f>IF(ISNUMBER(SEARCH("营",'19.02'!O14)),(-$Y14+50*IF('19.02'!$AK14="是",'19.02'!$BB$4,'19.02'!$BB$3)),(VLOOKUP('19.02'!O14,'19.02'!$AO$4:$AQ$55,2,FALSE))*IF('19.02'!$AK14="是",'19.02'!$BB$4,'19.02'!$BB$3))</f>
        <v>0</v>
      </c>
      <c r="H14" s="4">
        <f>IF(ISNUMBER(SEARCH("营",'19.02'!P14)),(-$Y14+50*IF('19.02'!$AK14="是",'19.02'!$BB$4,'19.02'!$BB$3)),(VLOOKUP('19.02'!P14,'19.02'!$AO$4:$AQ$55,2,FALSE))*IF('19.02'!$AK14="是",'19.02'!$BB$4,'19.02'!$BB$3))</f>
        <v>0</v>
      </c>
      <c r="I14" s="4">
        <f>IF(ISNUMBER(SEARCH("营",'19.02'!Q14)),(-$Y14+50*IF('19.02'!$AK14="是",'19.02'!$BB$4,'19.02'!$BB$3)),(VLOOKUP('19.02'!Q14,'19.02'!$AO$4:$AQ$55,2,FALSE))*IF('19.02'!$AK14="是",'19.02'!$BB$4,'19.02'!$BB$3))</f>
        <v>170</v>
      </c>
      <c r="J14" s="4">
        <f>IF(ISNUMBER(SEARCH("营",'19.02'!R14)),(-$Y14+50*IF('19.02'!$AK14="是",'19.02'!$BB$4,'19.02'!$BB$3)),(VLOOKUP('19.02'!R14,'19.02'!$AO$4:$AQ$55,2,FALSE))*IF('19.02'!$AK14="是",'19.02'!$BB$4,'19.02'!$BB$3))</f>
        <v>170</v>
      </c>
      <c r="K14" s="4">
        <f>IF(ISNUMBER(SEARCH("营",'19.02'!S14)),(-$Y14+50*IF('19.02'!$AK14="是",'19.02'!$BB$4,'19.02'!$BB$3)),(VLOOKUP('19.02'!S14,'19.02'!$AO$4:$AQ$55,2,FALSE))*IF('19.02'!$AK14="是",'19.02'!$BB$4,'19.02'!$BB$3))</f>
        <v>170</v>
      </c>
      <c r="L14" s="4">
        <f>IF(ISNUMBER(SEARCH("营",'19.02'!T14)),(-$Y14+50*IF('19.02'!$AK14="是",'19.02'!$BB$4,'19.02'!$BB$3)),(VLOOKUP('19.02'!T14,'19.02'!$AO$4:$AQ$55,2,FALSE))*IF('19.02'!$AK14="是",'19.02'!$BB$4,'19.02'!$BB$3))</f>
        <v>170</v>
      </c>
      <c r="M14" s="4">
        <f>IF(ISNUMBER(SEARCH("营",'19.02'!U14)),(-$Y14+50*IF('19.02'!$AK14="是",'19.02'!$BB$4,'19.02'!$BB$3)),(VLOOKUP('19.02'!U14,'19.02'!$AO$4:$AQ$55,2,FALSE))*IF('19.02'!$AK14="是",'19.02'!$BB$4,'19.02'!$BB$3))</f>
        <v>170</v>
      </c>
      <c r="N14" s="4">
        <f>IF(ISNUMBER(SEARCH("营",'19.02'!V14)),(-$Y14+50*IF('19.02'!$AK14="是",'19.02'!$BB$4,'19.02'!$BB$3)),(VLOOKUP('19.02'!V14,'19.02'!$AO$4:$AQ$55,2,FALSE))*IF('19.02'!$AK14="是",'19.02'!$BB$4,'19.02'!$BB$3))</f>
        <v>170</v>
      </c>
      <c r="O14" s="4">
        <f>IF(ISNUMBER(SEARCH("营",'19.02'!W14)),(-$Y14+50*IF('19.02'!$AK14="是",'19.02'!$BB$4,'19.02'!$BB$3)),(VLOOKUP('19.02'!W14,'19.02'!$AO$4:$AQ$55,2,FALSE))*IF('19.02'!$AK14="是",'19.02'!$BB$4,'19.02'!$BB$3))</f>
        <v>0</v>
      </c>
      <c r="P14" s="4">
        <f>IF(ISNUMBER(SEARCH("营",'19.02'!X14)),(-$Y14+50*IF('19.02'!$AK14="是",'19.02'!$BB$4,'19.02'!$BB$3)),(VLOOKUP('19.02'!X14,'19.02'!$AO$4:$AQ$55,2,FALSE))*IF('19.02'!$AK14="是",'19.02'!$BB$4,'19.02'!$BB$3))</f>
        <v>0</v>
      </c>
      <c r="Q14" s="4">
        <f>IF(ISNUMBER(SEARCH("营",'19.02'!Y14)),(-$Y14+50*IF('19.02'!$AK14="是",'19.02'!$BB$4,'19.02'!$BB$3)),(VLOOKUP('19.02'!Y14,'19.02'!$AO$4:$AQ$55,2,FALSE))*IF('19.02'!$AK14="是",'19.02'!$BB$4,'19.02'!$BB$3))</f>
        <v>180</v>
      </c>
      <c r="R14" s="4">
        <f>IF(ISNUMBER(SEARCH("营",'19.02'!Z14)),(-$Y14+50*IF('19.02'!$AK14="是",'19.02'!$BB$4,'19.02'!$BB$3)),(VLOOKUP('19.02'!Z14,'19.02'!$AO$4:$AQ$55,2,FALSE))*IF('19.02'!$AK14="是",'19.02'!$BB$4,'19.02'!$BB$3))</f>
        <v>180</v>
      </c>
      <c r="S14" s="4">
        <f>IF(ISNUMBER(SEARCH("营",'19.02'!AA14)),(-$Y14+50*IF('19.02'!$AK14="是",'19.02'!$BB$4,'19.02'!$BB$3)),(VLOOKUP('19.02'!AA14,'19.02'!$AO$4:$AQ$55,2,FALSE))*IF('19.02'!$AK14="是",'19.02'!$BB$4,'19.02'!$BB$3))</f>
        <v>180</v>
      </c>
      <c r="T14" s="4">
        <f>IF(ISNUMBER(SEARCH("营",'19.02'!AB14)),(-$Y14+50*IF('19.02'!$AK14="是",'19.02'!$BB$4,'19.02'!$BB$3)),(VLOOKUP('19.02'!AB14,'19.02'!$AO$4:$AQ$55,2,FALSE))*IF('19.02'!$AK14="是",'19.02'!$BB$4,'19.02'!$BB$3))</f>
        <v>170</v>
      </c>
      <c r="U14" s="4">
        <f>IF(ISNUMBER(SEARCH("营",'19.02'!AC14)),(-$Y14+50*IF('19.02'!$AK14="是",'19.02'!$BB$4,'19.02'!$BB$3)),(VLOOKUP('19.02'!AC14,'19.02'!$AO$4:$AQ$55,2,FALSE))*IF('19.02'!$AK14="是",'19.02'!$BB$4,'19.02'!$BB$3))</f>
        <v>150</v>
      </c>
      <c r="V14" s="4">
        <f>IF(ISNUMBER(SEARCH("营",'19.02'!AD14)),(-$Y14+50*IF('19.02'!$AK14="是",'19.02'!$BB$4,'19.02'!$BB$3)),(VLOOKUP('19.02'!AD14,'19.02'!$AO$4:$AQ$55,2,FALSE))*IF('19.02'!$AK14="是",'19.02'!$BB$4,'19.02'!$BB$3))</f>
        <v>170</v>
      </c>
      <c r="W14" s="4">
        <f>IF(ISNUMBER(SEARCH("营",'19.02'!AE14)),(-$Y14+50*IF('19.02'!$AK14="是",'19.02'!$BB$4,'19.02'!$BB$3)),(VLOOKUP('19.02'!AE14,'19.02'!$AO$4:$AQ$55,2,FALSE))*IF('19.02'!$AK14="是",'19.02'!$BB$4,'19.02'!$BB$3))</f>
        <v>0</v>
      </c>
      <c r="X14" s="4">
        <f>IF(ISNUMBER(SEARCH("营",'19.02'!AF14)),(-$Y14+50*IF('19.02'!$AK14="是",'19.02'!$BB$4,'19.02'!$BB$3)),(VLOOKUP('19.02'!AF14,'19.02'!$AO$4:$AQ$55,2,FALSE))*IF('19.02'!$AK14="是",'19.02'!$BB$4,'19.02'!$BB$3))</f>
        <v>0</v>
      </c>
      <c r="Y14" s="77">
        <v>250</v>
      </c>
      <c r="Z14" s="94">
        <v>45740</v>
      </c>
    </row>
    <row r="15" spans="1:26">
      <c r="A15" s="4">
        <f>IF(ISNUMBER(SEARCH("营",'19.02'!I15)),(-$Y15+50*IF('19.02'!$AK15="是",'19.02'!$BB$4,'19.02'!$BB$3)),(VLOOKUP('19.02'!I15,'19.02'!$AO$4:$AQ$55,2,FALSE))*IF('19.02'!$AK15="是",'19.02'!$BB$4,'19.02'!$BB$3))</f>
        <v>0</v>
      </c>
      <c r="B15" s="4">
        <f>IF(ISNUMBER(SEARCH("营",'19.02'!J15)),(-$Y15+50*IF('19.02'!$AK15="是",'19.02'!$BB$4,'19.02'!$BB$3)),(VLOOKUP('19.02'!J15,'19.02'!$AO$4:$AQ$55,2,FALSE))*IF('19.02'!$AK15="是",'19.02'!$BB$4,'19.02'!$BB$3))</f>
        <v>0</v>
      </c>
      <c r="C15" s="4">
        <f>IF(ISNUMBER(SEARCH("营",'19.02'!K15)),(-$Y15+50*IF('19.02'!$AK15="是",'19.02'!$BB$4,'19.02'!$BB$3)),(VLOOKUP('19.02'!K15,'19.02'!$AO$4:$AQ$55,2,FALSE))*IF('19.02'!$AK15="是",'19.02'!$BB$4,'19.02'!$BB$3))</f>
        <v>0</v>
      </c>
      <c r="D15" s="4">
        <f>IF(ISNUMBER(SEARCH("营",'19.02'!L15)),(-$Y15+50*IF('19.02'!$AK15="是",'19.02'!$BB$4,'19.02'!$BB$3)),(VLOOKUP('19.02'!L15,'19.02'!$AO$4:$AQ$55,2,FALSE))*IF('19.02'!$AK15="是",'19.02'!$BB$4,'19.02'!$BB$3))</f>
        <v>0</v>
      </c>
      <c r="E15" s="4">
        <f>IF(ISNUMBER(SEARCH("营",'19.02'!M15)),(-$Y15+50*IF('19.02'!$AK15="是",'19.02'!$BB$4,'19.02'!$BB$3)),(VLOOKUP('19.02'!M15,'19.02'!$AO$4:$AQ$55,2,FALSE))*IF('19.02'!$AK15="是",'19.02'!$BB$4,'19.02'!$BB$3))</f>
        <v>0</v>
      </c>
      <c r="F15" s="4">
        <f>IF(ISNUMBER(SEARCH("营",'19.02'!N15)),(-$Y15+50*IF('19.02'!$AK15="是",'19.02'!$BB$4,'19.02'!$BB$3)),(VLOOKUP('19.02'!N15,'19.02'!$AO$4:$AQ$55,2,FALSE))*IF('19.02'!$AK15="是",'19.02'!$BB$4,'19.02'!$BB$3))</f>
        <v>0</v>
      </c>
      <c r="G15" s="4">
        <f>IF(ISNUMBER(SEARCH("营",'19.02'!O15)),(-$Y15+50*IF('19.02'!$AK15="是",'19.02'!$BB$4,'19.02'!$BB$3)),(VLOOKUP('19.02'!O15,'19.02'!$AO$4:$AQ$55,2,FALSE))*IF('19.02'!$AK15="是",'19.02'!$BB$4,'19.02'!$BB$3))</f>
        <v>0</v>
      </c>
      <c r="H15" s="4">
        <f>IF(ISNUMBER(SEARCH("营",'19.02'!P15)),(-$Y15+50*IF('19.02'!$AK15="是",'19.02'!$BB$4,'19.02'!$BB$3)),(VLOOKUP('19.02'!P15,'19.02'!$AO$4:$AQ$55,2,FALSE))*IF('19.02'!$AK15="是",'19.02'!$BB$4,'19.02'!$BB$3))</f>
        <v>0</v>
      </c>
      <c r="I15" s="4">
        <f>IF(ISNUMBER(SEARCH("营",'19.02'!Q15)),(-$Y15+50*IF('19.02'!$AK15="是",'19.02'!$BB$4,'19.02'!$BB$3)),(VLOOKUP('19.02'!Q15,'19.02'!$AO$4:$AQ$55,2,FALSE))*IF('19.02'!$AK15="是",'19.02'!$BB$4,'19.02'!$BB$3))</f>
        <v>170</v>
      </c>
      <c r="J15" s="4">
        <f>IF(ISNUMBER(SEARCH("营",'19.02'!R15)),(-$Y15+50*IF('19.02'!$AK15="是",'19.02'!$BB$4,'19.02'!$BB$3)),(VLOOKUP('19.02'!R15,'19.02'!$AO$4:$AQ$55,2,FALSE))*IF('19.02'!$AK15="是",'19.02'!$BB$4,'19.02'!$BB$3))</f>
        <v>170</v>
      </c>
      <c r="K15" s="4">
        <f>IF(ISNUMBER(SEARCH("营",'19.02'!S15)),(-$Y15+50*IF('19.02'!$AK15="是",'19.02'!$BB$4,'19.02'!$BB$3)),(VLOOKUP('19.02'!S15,'19.02'!$AO$4:$AQ$55,2,FALSE))*IF('19.02'!$AK15="是",'19.02'!$BB$4,'19.02'!$BB$3))</f>
        <v>170</v>
      </c>
      <c r="L15" s="4">
        <f>IF(ISNUMBER(SEARCH("营",'19.02'!T15)),(-$Y15+50*IF('19.02'!$AK15="是",'19.02'!$BB$4,'19.02'!$BB$3)),(VLOOKUP('19.02'!T15,'19.02'!$AO$4:$AQ$55,2,FALSE))*IF('19.02'!$AK15="是",'19.02'!$BB$4,'19.02'!$BB$3))</f>
        <v>190</v>
      </c>
      <c r="M15" s="4">
        <f>IF(ISNUMBER(SEARCH("营",'19.02'!U15)),(-$Y15+50*IF('19.02'!$AK15="是",'19.02'!$BB$4,'19.02'!$BB$3)),(VLOOKUP('19.02'!U15,'19.02'!$AO$4:$AQ$55,2,FALSE))*IF('19.02'!$AK15="是",'19.02'!$BB$4,'19.02'!$BB$3))</f>
        <v>190</v>
      </c>
      <c r="N15" s="4">
        <f>IF(ISNUMBER(SEARCH("营",'19.02'!V15)),(-$Y15+50*IF('19.02'!$AK15="是",'19.02'!$BB$4,'19.02'!$BB$3)),(VLOOKUP('19.02'!V15,'19.02'!$AO$4:$AQ$55,2,FALSE))*IF('19.02'!$AK15="是",'19.02'!$BB$4,'19.02'!$BB$3))</f>
        <v>190</v>
      </c>
      <c r="O15" s="4">
        <f>IF(ISNUMBER(SEARCH("营",'19.02'!W15)),(-$Y15+50*IF('19.02'!$AK15="是",'19.02'!$BB$4,'19.02'!$BB$3)),(VLOOKUP('19.02'!W15,'19.02'!$AO$4:$AQ$55,2,FALSE))*IF('19.02'!$AK15="是",'19.02'!$BB$4,'19.02'!$BB$3))</f>
        <v>0</v>
      </c>
      <c r="P15" s="4">
        <f>IF(ISNUMBER(SEARCH("营",'19.02'!X15)),(-$Y15+50*IF('19.02'!$AK15="是",'19.02'!$BB$4,'19.02'!$BB$3)),(VLOOKUP('19.02'!X15,'19.02'!$AO$4:$AQ$55,2,FALSE))*IF('19.02'!$AK15="是",'19.02'!$BB$4,'19.02'!$BB$3))</f>
        <v>0</v>
      </c>
      <c r="Q15" s="4">
        <f>IF(ISNUMBER(SEARCH("营",'19.02'!Y15)),(-$Y15+50*IF('19.02'!$AK15="是",'19.02'!$BB$4,'19.02'!$BB$3)),(VLOOKUP('19.02'!Y15,'19.02'!$AO$4:$AQ$55,2,FALSE))*IF('19.02'!$AK15="是",'19.02'!$BB$4,'19.02'!$BB$3))</f>
        <v>50</v>
      </c>
      <c r="R15" s="4">
        <f>IF(ISNUMBER(SEARCH("营",'19.02'!Z15)),(-$Y15+50*IF('19.02'!$AK15="是",'19.02'!$BB$4,'19.02'!$BB$3)),(VLOOKUP('19.02'!Z15,'19.02'!$AO$4:$AQ$55,2,FALSE))*IF('19.02'!$AK15="是",'19.02'!$BB$4,'19.02'!$BB$3))</f>
        <v>170</v>
      </c>
      <c r="S15" s="4">
        <f>IF(ISNUMBER(SEARCH("营",'19.02'!AA15)),(-$Y15+50*IF('19.02'!$AK15="是",'19.02'!$BB$4,'19.02'!$BB$3)),(VLOOKUP('19.02'!AA15,'19.02'!$AO$4:$AQ$55,2,FALSE))*IF('19.02'!$AK15="是",'19.02'!$BB$4,'19.02'!$BB$3))</f>
        <v>170</v>
      </c>
      <c r="T15" s="4">
        <f>IF(ISNUMBER(SEARCH("营",'19.02'!AB15)),(-$Y15+50*IF('19.02'!$AK15="是",'19.02'!$BB$4,'19.02'!$BB$3)),(VLOOKUP('19.02'!AB15,'19.02'!$AO$4:$AQ$55,2,FALSE))*IF('19.02'!$AK15="是",'19.02'!$BB$4,'19.02'!$BB$3))</f>
        <v>170</v>
      </c>
      <c r="U15" s="4">
        <f>IF(ISNUMBER(SEARCH("营",'19.02'!AC15)),(-$Y15+50*IF('19.02'!$AK15="是",'19.02'!$BB$4,'19.02'!$BB$3)),(VLOOKUP('19.02'!AC15,'19.02'!$AO$4:$AQ$55,2,FALSE))*IF('19.02'!$AK15="是",'19.02'!$BB$4,'19.02'!$BB$3))</f>
        <v>250</v>
      </c>
      <c r="V15" s="4">
        <f>IF(ISNUMBER(SEARCH("营",'19.02'!AD15)),(-$Y15+50*IF('19.02'!$AK15="是",'19.02'!$BB$4,'19.02'!$BB$3)),(VLOOKUP('19.02'!AD15,'19.02'!$AO$4:$AQ$55,2,FALSE))*IF('19.02'!$AK15="是",'19.02'!$BB$4,'19.02'!$BB$3))</f>
        <v>0</v>
      </c>
      <c r="W15" s="4">
        <f>IF(ISNUMBER(SEARCH("营",'19.02'!AE15)),(-$Y15+50*IF('19.02'!$AK15="是",'19.02'!$BB$4,'19.02'!$BB$3)),(VLOOKUP('19.02'!AE15,'19.02'!$AO$4:$AQ$55,2,FALSE))*IF('19.02'!$AK15="是",'19.02'!$BB$4,'19.02'!$BB$3))</f>
        <v>0</v>
      </c>
      <c r="X15" s="4">
        <f>IF(ISNUMBER(SEARCH("营",'19.02'!AF15)),(-$Y15+50*IF('19.02'!$AK15="是",'19.02'!$BB$4,'19.02'!$BB$3)),(VLOOKUP('19.02'!AF15,'19.02'!$AO$4:$AQ$55,2,FALSE))*IF('19.02'!$AK15="是",'19.02'!$BB$4,'19.02'!$BB$3))</f>
        <v>0</v>
      </c>
      <c r="Y15" s="77">
        <v>250</v>
      </c>
      <c r="Z15" s="94">
        <v>45741</v>
      </c>
    </row>
    <row r="16" spans="1:26">
      <c r="A16" s="4">
        <f>IF(ISNUMBER(SEARCH("营",'19.02'!I16)),(-$Y16+50*IF('19.02'!$AK16="是",'19.02'!$BB$4,'19.02'!$BB$3)),(VLOOKUP('19.02'!I16,'19.02'!$AO$4:$AQ$55,2,FALSE))*IF('19.02'!$AK16="是",'19.02'!$BB$4,'19.02'!$BB$3))</f>
        <v>0</v>
      </c>
      <c r="B16" s="4">
        <f>IF(ISNUMBER(SEARCH("营",'19.02'!J16)),(-$Y16+50*IF('19.02'!$AK16="是",'19.02'!$BB$4,'19.02'!$BB$3)),(VLOOKUP('19.02'!J16,'19.02'!$AO$4:$AQ$55,2,FALSE))*IF('19.02'!$AK16="是",'19.02'!$BB$4,'19.02'!$BB$3))</f>
        <v>0</v>
      </c>
      <c r="C16" s="4">
        <f>IF(ISNUMBER(SEARCH("营",'19.02'!K16)),(-$Y16+50*IF('19.02'!$AK16="是",'19.02'!$BB$4,'19.02'!$BB$3)),(VLOOKUP('19.02'!K16,'19.02'!$AO$4:$AQ$55,2,FALSE))*IF('19.02'!$AK16="是",'19.02'!$BB$4,'19.02'!$BB$3))</f>
        <v>0</v>
      </c>
      <c r="D16" s="4">
        <f>IF(ISNUMBER(SEARCH("营",'19.02'!L16)),(-$Y16+50*IF('19.02'!$AK16="是",'19.02'!$BB$4,'19.02'!$BB$3)),(VLOOKUP('19.02'!L16,'19.02'!$AO$4:$AQ$55,2,FALSE))*IF('19.02'!$AK16="是",'19.02'!$BB$4,'19.02'!$BB$3))</f>
        <v>0</v>
      </c>
      <c r="E16" s="4">
        <f>IF(ISNUMBER(SEARCH("营",'19.02'!M16)),(-$Y16+50*IF('19.02'!$AK16="是",'19.02'!$BB$4,'19.02'!$BB$3)),(VLOOKUP('19.02'!M16,'19.02'!$AO$4:$AQ$55,2,FALSE))*IF('19.02'!$AK16="是",'19.02'!$BB$4,'19.02'!$BB$3))</f>
        <v>0</v>
      </c>
      <c r="F16" s="4">
        <f>IF(ISNUMBER(SEARCH("营",'19.02'!N16)),(-$Y16+50*IF('19.02'!$AK16="是",'19.02'!$BB$4,'19.02'!$BB$3)),(VLOOKUP('19.02'!N16,'19.02'!$AO$4:$AQ$55,2,FALSE))*IF('19.02'!$AK16="是",'19.02'!$BB$4,'19.02'!$BB$3))</f>
        <v>0</v>
      </c>
      <c r="G16" s="4">
        <f>IF(ISNUMBER(SEARCH("营",'19.02'!O16)),(-$Y16+50*IF('19.02'!$AK16="是",'19.02'!$BB$4,'19.02'!$BB$3)),(VLOOKUP('19.02'!O16,'19.02'!$AO$4:$AQ$55,2,FALSE))*IF('19.02'!$AK16="是",'19.02'!$BB$4,'19.02'!$BB$3))</f>
        <v>0</v>
      </c>
      <c r="H16" s="4">
        <f>IF(ISNUMBER(SEARCH("营",'19.02'!P16)),(-$Y16+50*IF('19.02'!$AK16="是",'19.02'!$BB$4,'19.02'!$BB$3)),(VLOOKUP('19.02'!P16,'19.02'!$AO$4:$AQ$55,2,FALSE))*IF('19.02'!$AK16="是",'19.02'!$BB$4,'19.02'!$BB$3))</f>
        <v>0</v>
      </c>
      <c r="I16" s="4">
        <f>IF(ISNUMBER(SEARCH("营",'19.02'!Q16)),(-$Y16+50*IF('19.02'!$AK16="是",'19.02'!$BB$4,'19.02'!$BB$3)),(VLOOKUP('19.02'!Q16,'19.02'!$AO$4:$AQ$55,2,FALSE))*IF('19.02'!$AK16="是",'19.02'!$BB$4,'19.02'!$BB$3))</f>
        <v>190</v>
      </c>
      <c r="J16" s="4">
        <f>IF(ISNUMBER(SEARCH("营",'19.02'!R16)),(-$Y16+50*IF('19.02'!$AK16="是",'19.02'!$BB$4,'19.02'!$BB$3)),(VLOOKUP('19.02'!R16,'19.02'!$AO$4:$AQ$55,2,FALSE))*IF('19.02'!$AK16="是",'19.02'!$BB$4,'19.02'!$BB$3))</f>
        <v>170</v>
      </c>
      <c r="K16" s="4">
        <f>IF(ISNUMBER(SEARCH("营",'19.02'!S16)),(-$Y16+50*IF('19.02'!$AK16="是",'19.02'!$BB$4,'19.02'!$BB$3)),(VLOOKUP('19.02'!S16,'19.02'!$AO$4:$AQ$55,2,FALSE))*IF('19.02'!$AK16="是",'19.02'!$BB$4,'19.02'!$BB$3))</f>
        <v>170</v>
      </c>
      <c r="L16" s="4">
        <f>IF(ISNUMBER(SEARCH("营",'19.02'!T16)),(-$Y16+50*IF('19.02'!$AK16="是",'19.02'!$BB$4,'19.02'!$BB$3)),(VLOOKUP('19.02'!T16,'19.02'!$AO$4:$AQ$55,2,FALSE))*IF('19.02'!$AK16="是",'19.02'!$BB$4,'19.02'!$BB$3))</f>
        <v>170</v>
      </c>
      <c r="M16" s="4">
        <f>IF(ISNUMBER(SEARCH("营",'19.02'!U16)),(-$Y16+50*IF('19.02'!$AK16="是",'19.02'!$BB$4,'19.02'!$BB$3)),(VLOOKUP('19.02'!U16,'19.02'!$AO$4:$AQ$55,2,FALSE))*IF('19.02'!$AK16="是",'19.02'!$BB$4,'19.02'!$BB$3))</f>
        <v>170</v>
      </c>
      <c r="N16" s="4">
        <f>IF(ISNUMBER(SEARCH("营",'19.02'!V16)),(-$Y16+50*IF('19.02'!$AK16="是",'19.02'!$BB$4,'19.02'!$BB$3)),(VLOOKUP('19.02'!V16,'19.02'!$AO$4:$AQ$55,2,FALSE))*IF('19.02'!$AK16="是",'19.02'!$BB$4,'19.02'!$BB$3))</f>
        <v>170</v>
      </c>
      <c r="O16" s="4">
        <f>IF(ISNUMBER(SEARCH("营",'19.02'!W16)),(-$Y16+50*IF('19.02'!$AK16="是",'19.02'!$BB$4,'19.02'!$BB$3)),(VLOOKUP('19.02'!W16,'19.02'!$AO$4:$AQ$55,2,FALSE))*IF('19.02'!$AK16="是",'19.02'!$BB$4,'19.02'!$BB$3))</f>
        <v>0</v>
      </c>
      <c r="P16" s="4">
        <f>IF(ISNUMBER(SEARCH("营",'19.02'!X16)),(-$Y16+50*IF('19.02'!$AK16="是",'19.02'!$BB$4,'19.02'!$BB$3)),(VLOOKUP('19.02'!X16,'19.02'!$AO$4:$AQ$55,2,FALSE))*IF('19.02'!$AK16="是",'19.02'!$BB$4,'19.02'!$BB$3))</f>
        <v>0</v>
      </c>
      <c r="Q16" s="4">
        <f>IF(ISNUMBER(SEARCH("营",'19.02'!Y16)),(-$Y16+50*IF('19.02'!$AK16="是",'19.02'!$BB$4,'19.02'!$BB$3)),(VLOOKUP('19.02'!Y16,'19.02'!$AO$4:$AQ$55,2,FALSE))*IF('19.02'!$AK16="是",'19.02'!$BB$4,'19.02'!$BB$3))</f>
        <v>0</v>
      </c>
      <c r="R16" s="4">
        <f>IF(ISNUMBER(SEARCH("营",'19.02'!Z16)),(-$Y16+50*IF('19.02'!$AK16="是",'19.02'!$BB$4,'19.02'!$BB$3)),(VLOOKUP('19.02'!Z16,'19.02'!$AO$4:$AQ$55,2,FALSE))*IF('19.02'!$AK16="是",'19.02'!$BB$4,'19.02'!$BB$3))</f>
        <v>0</v>
      </c>
      <c r="S16" s="4">
        <f>IF(ISNUMBER(SEARCH("营",'19.02'!AA16)),(-$Y16+50*IF('19.02'!$AK16="是",'19.02'!$BB$4,'19.02'!$BB$3)),(VLOOKUP('19.02'!AA16,'19.02'!$AO$4:$AQ$55,2,FALSE))*IF('19.02'!$AK16="是",'19.02'!$BB$4,'19.02'!$BB$3))</f>
        <v>0</v>
      </c>
      <c r="T16" s="4">
        <f>IF(ISNUMBER(SEARCH("营",'19.02'!AB16)),(-$Y16+50*IF('19.02'!$AK16="是",'19.02'!$BB$4,'19.02'!$BB$3)),(VLOOKUP('19.02'!AB16,'19.02'!$AO$4:$AQ$55,2,FALSE))*IF('19.02'!$AK16="是",'19.02'!$BB$4,'19.02'!$BB$3))</f>
        <v>0</v>
      </c>
      <c r="U16" s="4">
        <f>IF(ISNUMBER(SEARCH("营",'19.02'!AC16)),(-$Y16+50*IF('19.02'!$AK16="是",'19.02'!$BB$4,'19.02'!$BB$3)),(VLOOKUP('19.02'!AC16,'19.02'!$AO$4:$AQ$55,2,FALSE))*IF('19.02'!$AK16="是",'19.02'!$BB$4,'19.02'!$BB$3))</f>
        <v>0</v>
      </c>
      <c r="V16" s="4">
        <f>IF(ISNUMBER(SEARCH("营",'19.02'!AD16)),(-$Y16+50*IF('19.02'!$AK16="是",'19.02'!$BB$4,'19.02'!$BB$3)),(VLOOKUP('19.02'!AD16,'19.02'!$AO$4:$AQ$55,2,FALSE))*IF('19.02'!$AK16="是",'19.02'!$BB$4,'19.02'!$BB$3))</f>
        <v>0</v>
      </c>
      <c r="W16" s="4">
        <f>IF(ISNUMBER(SEARCH("营",'19.02'!AE16)),(-$Y16+50*IF('19.02'!$AK16="是",'19.02'!$BB$4,'19.02'!$BB$3)),(VLOOKUP('19.02'!AE16,'19.02'!$AO$4:$AQ$55,2,FALSE))*IF('19.02'!$AK16="是",'19.02'!$BB$4,'19.02'!$BB$3))</f>
        <v>0</v>
      </c>
      <c r="X16" s="4">
        <f>IF(ISNUMBER(SEARCH("营",'19.02'!AF16)),(-$Y16+50*IF('19.02'!$AK16="是",'19.02'!$BB$4,'19.02'!$BB$3)),(VLOOKUP('19.02'!AF16,'19.02'!$AO$4:$AQ$55,2,FALSE))*IF('19.02'!$AK16="是",'19.02'!$BB$4,'19.02'!$BB$3))</f>
        <v>0</v>
      </c>
      <c r="Y16" s="77">
        <v>250</v>
      </c>
      <c r="Z16" s="94">
        <v>45742</v>
      </c>
    </row>
    <row r="17" spans="1:26">
      <c r="A17" s="4">
        <f>IF(ISNUMBER(SEARCH("营",'19.02'!I17)),(-$Y17+50*IF('19.02'!$AK17="是",'19.02'!$BB$4,'19.02'!$BB$3)),(VLOOKUP('19.02'!I17,'19.02'!$AO$4:$AQ$55,2,FALSE))*IF('19.02'!$AK17="是",'19.02'!$BB$4,'19.02'!$BB$3))</f>
        <v>0</v>
      </c>
      <c r="B17" s="4">
        <f>IF(ISNUMBER(SEARCH("营",'19.02'!J17)),(-$Y17+50*IF('19.02'!$AK17="是",'19.02'!$BB$4,'19.02'!$BB$3)),(VLOOKUP('19.02'!J17,'19.02'!$AO$4:$AQ$55,2,FALSE))*IF('19.02'!$AK17="是",'19.02'!$BB$4,'19.02'!$BB$3))</f>
        <v>0</v>
      </c>
      <c r="C17" s="4">
        <f>IF(ISNUMBER(SEARCH("营",'19.02'!K17)),(-$Y17+50*IF('19.02'!$AK17="是",'19.02'!$BB$4,'19.02'!$BB$3)),(VLOOKUP('19.02'!K17,'19.02'!$AO$4:$AQ$55,2,FALSE))*IF('19.02'!$AK17="是",'19.02'!$BB$4,'19.02'!$BB$3))</f>
        <v>0</v>
      </c>
      <c r="D17" s="4">
        <f>IF(ISNUMBER(SEARCH("营",'19.02'!L17)),(-$Y17+50*IF('19.02'!$AK17="是",'19.02'!$BB$4,'19.02'!$BB$3)),(VLOOKUP('19.02'!L17,'19.02'!$AO$4:$AQ$55,2,FALSE))*IF('19.02'!$AK17="是",'19.02'!$BB$4,'19.02'!$BB$3))</f>
        <v>0</v>
      </c>
      <c r="E17" s="4">
        <f>IF(ISNUMBER(SEARCH("营",'19.02'!M17)),(-$Y17+50*IF('19.02'!$AK17="是",'19.02'!$BB$4,'19.02'!$BB$3)),(VLOOKUP('19.02'!M17,'19.02'!$AO$4:$AQ$55,2,FALSE))*IF('19.02'!$AK17="是",'19.02'!$BB$4,'19.02'!$BB$3))</f>
        <v>0</v>
      </c>
      <c r="F17" s="4">
        <f>IF(ISNUMBER(SEARCH("营",'19.02'!N17)),(-$Y17+50*IF('19.02'!$AK17="是",'19.02'!$BB$4,'19.02'!$BB$3)),(VLOOKUP('19.02'!N17,'19.02'!$AO$4:$AQ$55,2,FALSE))*IF('19.02'!$AK17="是",'19.02'!$BB$4,'19.02'!$BB$3))</f>
        <v>0</v>
      </c>
      <c r="G17" s="4">
        <f>IF(ISNUMBER(SEARCH("营",'19.02'!O17)),(-$Y17+50*IF('19.02'!$AK17="是",'19.02'!$BB$4,'19.02'!$BB$3)),(VLOOKUP('19.02'!O17,'19.02'!$AO$4:$AQ$55,2,FALSE))*IF('19.02'!$AK17="是",'19.02'!$BB$4,'19.02'!$BB$3))</f>
        <v>0</v>
      </c>
      <c r="H17" s="4">
        <f>IF(ISNUMBER(SEARCH("营",'19.02'!P17)),(-$Y17+50*IF('19.02'!$AK17="是",'19.02'!$BB$4,'19.02'!$BB$3)),(VLOOKUP('19.02'!P17,'19.02'!$AO$4:$AQ$55,2,FALSE))*IF('19.02'!$AK17="是",'19.02'!$BB$4,'19.02'!$BB$3))</f>
        <v>0</v>
      </c>
      <c r="I17" s="4">
        <f>IF(ISNUMBER(SEARCH("营",'19.02'!Q17)),(-$Y17+50*IF('19.02'!$AK17="是",'19.02'!$BB$4,'19.02'!$BB$3)),(VLOOKUP('19.02'!Q17,'19.02'!$AO$4:$AQ$55,2,FALSE))*IF('19.02'!$AK17="是",'19.02'!$BB$4,'19.02'!$BB$3))</f>
        <v>200</v>
      </c>
      <c r="J17" s="4">
        <f>IF(ISNUMBER(SEARCH("营",'19.02'!R17)),(-$Y17+50*IF('19.02'!$AK17="是",'19.02'!$BB$4,'19.02'!$BB$3)),(VLOOKUP('19.02'!R17,'19.02'!$AO$4:$AQ$55,2,FALSE))*IF('19.02'!$AK17="是",'19.02'!$BB$4,'19.02'!$BB$3))</f>
        <v>136</v>
      </c>
      <c r="K17" s="4">
        <f>IF(ISNUMBER(SEARCH("营",'19.02'!S17)),(-$Y17+50*IF('19.02'!$AK17="是",'19.02'!$BB$4,'19.02'!$BB$3)),(VLOOKUP('19.02'!S17,'19.02'!$AO$4:$AQ$55,2,FALSE))*IF('19.02'!$AK17="是",'19.02'!$BB$4,'19.02'!$BB$3))</f>
        <v>136</v>
      </c>
      <c r="L17" s="4">
        <f>IF(ISNUMBER(SEARCH("营",'19.02'!T17)),(-$Y17+50*IF('19.02'!$AK17="是",'19.02'!$BB$4,'19.02'!$BB$3)),(VLOOKUP('19.02'!T17,'19.02'!$AO$4:$AQ$55,2,FALSE))*IF('19.02'!$AK17="是",'19.02'!$BB$4,'19.02'!$BB$3))</f>
        <v>136</v>
      </c>
      <c r="M17" s="4">
        <f>IF(ISNUMBER(SEARCH("营",'19.02'!U17)),(-$Y17+50*IF('19.02'!$AK17="是",'19.02'!$BB$4,'19.02'!$BB$3)),(VLOOKUP('19.02'!U17,'19.02'!$AO$4:$AQ$55,2,FALSE))*IF('19.02'!$AK17="是",'19.02'!$BB$4,'19.02'!$BB$3))</f>
        <v>136</v>
      </c>
      <c r="N17" s="4">
        <f>IF(ISNUMBER(SEARCH("营",'19.02'!V17)),(-$Y17+50*IF('19.02'!$AK17="是",'19.02'!$BB$4,'19.02'!$BB$3)),(VLOOKUP('19.02'!V17,'19.02'!$AO$4:$AQ$55,2,FALSE))*IF('19.02'!$AK17="是",'19.02'!$BB$4,'19.02'!$BB$3))</f>
        <v>152</v>
      </c>
      <c r="O17" s="4">
        <f>IF(ISNUMBER(SEARCH("营",'19.02'!W17)),(-$Y17+50*IF('19.02'!$AK17="是",'19.02'!$BB$4,'19.02'!$BB$3)),(VLOOKUP('19.02'!W17,'19.02'!$AO$4:$AQ$55,2,FALSE))*IF('19.02'!$AK17="是",'19.02'!$BB$4,'19.02'!$BB$3))</f>
        <v>0</v>
      </c>
      <c r="P17" s="4">
        <f>IF(ISNUMBER(SEARCH("营",'19.02'!X17)),(-$Y17+50*IF('19.02'!$AK17="是",'19.02'!$BB$4,'19.02'!$BB$3)),(VLOOKUP('19.02'!X17,'19.02'!$AO$4:$AQ$55,2,FALSE))*IF('19.02'!$AK17="是",'19.02'!$BB$4,'19.02'!$BB$3))</f>
        <v>0</v>
      </c>
      <c r="Q17" s="4">
        <f>IF(ISNUMBER(SEARCH("营",'19.02'!Y17)),(-$Y17+50*IF('19.02'!$AK17="是",'19.02'!$BB$4,'19.02'!$BB$3)),(VLOOKUP('19.02'!Y17,'19.02'!$AO$4:$AQ$55,2,FALSE))*IF('19.02'!$AK17="是",'19.02'!$BB$4,'19.02'!$BB$3))</f>
        <v>136</v>
      </c>
      <c r="R17" s="4">
        <f>IF(ISNUMBER(SEARCH("营",'19.02'!Z17)),(-$Y17+50*IF('19.02'!$AK17="是",'19.02'!$BB$4,'19.02'!$BB$3)),(VLOOKUP('19.02'!Z17,'19.02'!$AO$4:$AQ$55,2,FALSE))*IF('19.02'!$AK17="是",'19.02'!$BB$4,'19.02'!$BB$3))</f>
        <v>136</v>
      </c>
      <c r="S17" s="4">
        <f>IF(ISNUMBER(SEARCH("营",'19.02'!AA17)),(-$Y17+50*IF('19.02'!$AK17="是",'19.02'!$BB$4,'19.02'!$BB$3)),(VLOOKUP('19.02'!AA17,'19.02'!$AO$4:$AQ$55,2,FALSE))*IF('19.02'!$AK17="是",'19.02'!$BB$4,'19.02'!$BB$3))</f>
        <v>136</v>
      </c>
      <c r="T17" s="4">
        <f>IF(ISNUMBER(SEARCH("营",'19.02'!AB17)),(-$Y17+50*IF('19.02'!$AK17="是",'19.02'!$BB$4,'19.02'!$BB$3)),(VLOOKUP('19.02'!AB17,'19.02'!$AO$4:$AQ$55,2,FALSE))*IF('19.02'!$AK17="是",'19.02'!$BB$4,'19.02'!$BB$3))</f>
        <v>152</v>
      </c>
      <c r="U17" s="4">
        <f>IF(ISNUMBER(SEARCH("营",'19.02'!AC17)),(-$Y17+50*IF('19.02'!$AK17="是",'19.02'!$BB$4,'19.02'!$BB$3)),(VLOOKUP('19.02'!AC17,'19.02'!$AO$4:$AQ$55,2,FALSE))*IF('19.02'!$AK17="是",'19.02'!$BB$4,'19.02'!$BB$3))</f>
        <v>136</v>
      </c>
      <c r="V17" s="4">
        <f>IF(ISNUMBER(SEARCH("营",'19.02'!AD17)),(-$Y17+50*IF('19.02'!$AK17="是",'19.02'!$BB$4,'19.02'!$BB$3)),(VLOOKUP('19.02'!AD17,'19.02'!$AO$4:$AQ$55,2,FALSE))*IF('19.02'!$AK17="是",'19.02'!$BB$4,'19.02'!$BB$3))</f>
        <v>136</v>
      </c>
      <c r="W17" s="4">
        <f>IF(ISNUMBER(SEARCH("营",'19.02'!AE17)),(-$Y17+50*IF('19.02'!$AK17="是",'19.02'!$BB$4,'19.02'!$BB$3)),(VLOOKUP('19.02'!AE17,'19.02'!$AO$4:$AQ$55,2,FALSE))*IF('19.02'!$AK17="是",'19.02'!$BB$4,'19.02'!$BB$3))</f>
        <v>-210</v>
      </c>
      <c r="X17" s="4">
        <f>IF(ISNUMBER(SEARCH("营",'19.02'!AF17)),(-$Y17+50*IF('19.02'!$AK17="是",'19.02'!$BB$4,'19.02'!$BB$3)),(VLOOKUP('19.02'!AF17,'19.02'!$AO$4:$AQ$55,2,FALSE))*IF('19.02'!$AK17="是",'19.02'!$BB$4,'19.02'!$BB$3))</f>
        <v>136</v>
      </c>
      <c r="Y17" s="77">
        <v>250</v>
      </c>
      <c r="Z17" s="94">
        <v>45743</v>
      </c>
    </row>
    <row r="18" spans="1:26">
      <c r="A18" s="4">
        <f>IF(ISNUMBER(SEARCH("营",'19.02'!I18)),(-$Y18+50*IF('19.02'!$AK18="是",'19.02'!$BB$4,'19.02'!$BB$3)),(VLOOKUP('19.02'!I18,'19.02'!$AO$4:$AQ$55,2,FALSE))*IF('19.02'!$AK18="是",'19.02'!$BB$4,'19.02'!$BB$3))</f>
        <v>0</v>
      </c>
      <c r="B18" s="4">
        <f>IF(ISNUMBER(SEARCH("营",'19.02'!J18)),(-$Y18+50*IF('19.02'!$AK18="是",'19.02'!$BB$4,'19.02'!$BB$3)),(VLOOKUP('19.02'!J18,'19.02'!$AO$4:$AQ$55,2,FALSE))*IF('19.02'!$AK18="是",'19.02'!$BB$4,'19.02'!$BB$3))</f>
        <v>0</v>
      </c>
      <c r="C18" s="4">
        <f>IF(ISNUMBER(SEARCH("营",'19.02'!K18)),(-$Y18+50*IF('19.02'!$AK18="是",'19.02'!$BB$4,'19.02'!$BB$3)),(VLOOKUP('19.02'!K18,'19.02'!$AO$4:$AQ$55,2,FALSE))*IF('19.02'!$AK18="是",'19.02'!$BB$4,'19.02'!$BB$3))</f>
        <v>0</v>
      </c>
      <c r="D18" s="4">
        <f>IF(ISNUMBER(SEARCH("营",'19.02'!L18)),(-$Y18+50*IF('19.02'!$AK18="是",'19.02'!$BB$4,'19.02'!$BB$3)),(VLOOKUP('19.02'!L18,'19.02'!$AO$4:$AQ$55,2,FALSE))*IF('19.02'!$AK18="是",'19.02'!$BB$4,'19.02'!$BB$3))</f>
        <v>0</v>
      </c>
      <c r="E18" s="4">
        <f>IF(ISNUMBER(SEARCH("营",'19.02'!M18)),(-$Y18+50*IF('19.02'!$AK18="是",'19.02'!$BB$4,'19.02'!$BB$3)),(VLOOKUP('19.02'!M18,'19.02'!$AO$4:$AQ$55,2,FALSE))*IF('19.02'!$AK18="是",'19.02'!$BB$4,'19.02'!$BB$3))</f>
        <v>0</v>
      </c>
      <c r="F18" s="4">
        <f>IF(ISNUMBER(SEARCH("营",'19.02'!N18)),(-$Y18+50*IF('19.02'!$AK18="是",'19.02'!$BB$4,'19.02'!$BB$3)),(VLOOKUP('19.02'!N18,'19.02'!$AO$4:$AQ$55,2,FALSE))*IF('19.02'!$AK18="是",'19.02'!$BB$4,'19.02'!$BB$3))</f>
        <v>0</v>
      </c>
      <c r="G18" s="4">
        <f>IF(ISNUMBER(SEARCH("营",'19.02'!O18)),(-$Y18+50*IF('19.02'!$AK18="是",'19.02'!$BB$4,'19.02'!$BB$3)),(VLOOKUP('19.02'!O18,'19.02'!$AO$4:$AQ$55,2,FALSE))*IF('19.02'!$AK18="是",'19.02'!$BB$4,'19.02'!$BB$3))</f>
        <v>0</v>
      </c>
      <c r="H18" s="4">
        <f>IF(ISNUMBER(SEARCH("营",'19.02'!P18)),(-$Y18+50*IF('19.02'!$AK18="是",'19.02'!$BB$4,'19.02'!$BB$3)),(VLOOKUP('19.02'!P18,'19.02'!$AO$4:$AQ$55,2,FALSE))*IF('19.02'!$AK18="是",'19.02'!$BB$4,'19.02'!$BB$3))</f>
        <v>0</v>
      </c>
      <c r="I18" s="4">
        <f>IF(ISNUMBER(SEARCH("营",'19.02'!Q18)),(-$Y18+50*IF('19.02'!$AK18="是",'19.02'!$BB$4,'19.02'!$BB$3)),(VLOOKUP('19.02'!Q18,'19.02'!$AO$4:$AQ$55,2,FALSE))*IF('19.02'!$AK18="是",'19.02'!$BB$4,'19.02'!$BB$3))</f>
        <v>152</v>
      </c>
      <c r="J18" s="4">
        <f>IF(ISNUMBER(SEARCH("营",'19.02'!R18)),(-$Y18+50*IF('19.02'!$AK18="是",'19.02'!$BB$4,'19.02'!$BB$3)),(VLOOKUP('19.02'!R18,'19.02'!$AO$4:$AQ$55,2,FALSE))*IF('19.02'!$AK18="是",'19.02'!$BB$4,'19.02'!$BB$3))</f>
        <v>152</v>
      </c>
      <c r="K18" s="4">
        <f>IF(ISNUMBER(SEARCH("营",'19.02'!S18)),(-$Y18+50*IF('19.02'!$AK18="是",'19.02'!$BB$4,'19.02'!$BB$3)),(VLOOKUP('19.02'!S18,'19.02'!$AO$4:$AQ$55,2,FALSE))*IF('19.02'!$AK18="是",'19.02'!$BB$4,'19.02'!$BB$3))</f>
        <v>152</v>
      </c>
      <c r="L18" s="4">
        <f>IF(ISNUMBER(SEARCH("营",'19.02'!T18)),(-$Y18+50*IF('19.02'!$AK18="是",'19.02'!$BB$4,'19.02'!$BB$3)),(VLOOKUP('19.02'!T18,'19.02'!$AO$4:$AQ$55,2,FALSE))*IF('19.02'!$AK18="是",'19.02'!$BB$4,'19.02'!$BB$3))</f>
        <v>152</v>
      </c>
      <c r="M18" s="4">
        <f>IF(ISNUMBER(SEARCH("营",'19.02'!U18)),(-$Y18+50*IF('19.02'!$AK18="是",'19.02'!$BB$4,'19.02'!$BB$3)),(VLOOKUP('19.02'!U18,'19.02'!$AO$4:$AQ$55,2,FALSE))*IF('19.02'!$AK18="是",'19.02'!$BB$4,'19.02'!$BB$3))</f>
        <v>136</v>
      </c>
      <c r="N18" s="4">
        <f>IF(ISNUMBER(SEARCH("营",'19.02'!V18)),(-$Y18+50*IF('19.02'!$AK18="是",'19.02'!$BB$4,'19.02'!$BB$3)),(VLOOKUP('19.02'!V18,'19.02'!$AO$4:$AQ$55,2,FALSE))*IF('19.02'!$AK18="是",'19.02'!$BB$4,'19.02'!$BB$3))</f>
        <v>136</v>
      </c>
      <c r="O18" s="4">
        <f>IF(ISNUMBER(SEARCH("营",'19.02'!W18)),(-$Y18+50*IF('19.02'!$AK18="是",'19.02'!$BB$4,'19.02'!$BB$3)),(VLOOKUP('19.02'!W18,'19.02'!$AO$4:$AQ$55,2,FALSE))*IF('19.02'!$AK18="是",'19.02'!$BB$4,'19.02'!$BB$3))</f>
        <v>0</v>
      </c>
      <c r="P18" s="4">
        <f>IF(ISNUMBER(SEARCH("营",'19.02'!X18)),(-$Y18+50*IF('19.02'!$AK18="是",'19.02'!$BB$4,'19.02'!$BB$3)),(VLOOKUP('19.02'!X18,'19.02'!$AO$4:$AQ$55,2,FALSE))*IF('19.02'!$AK18="是",'19.02'!$BB$4,'19.02'!$BB$3))</f>
        <v>0</v>
      </c>
      <c r="Q18" s="4">
        <f>IF(ISNUMBER(SEARCH("营",'19.02'!Y18)),(-$Y18+50*IF('19.02'!$AK18="是",'19.02'!$BB$4,'19.02'!$BB$3)),(VLOOKUP('19.02'!Y18,'19.02'!$AO$4:$AQ$55,2,FALSE))*IF('19.02'!$AK18="是",'19.02'!$BB$4,'19.02'!$BB$3))</f>
        <v>136</v>
      </c>
      <c r="R18" s="4">
        <f>IF(ISNUMBER(SEARCH("营",'19.02'!Z18)),(-$Y18+50*IF('19.02'!$AK18="是",'19.02'!$BB$4,'19.02'!$BB$3)),(VLOOKUP('19.02'!Z18,'19.02'!$AO$4:$AQ$55,2,FALSE))*IF('19.02'!$AK18="是",'19.02'!$BB$4,'19.02'!$BB$3))</f>
        <v>40</v>
      </c>
      <c r="S18" s="4">
        <f>IF(ISNUMBER(SEARCH("营",'19.02'!AA18)),(-$Y18+50*IF('19.02'!$AK18="是",'19.02'!$BB$4,'19.02'!$BB$3)),(VLOOKUP('19.02'!AA18,'19.02'!$AO$4:$AQ$55,2,FALSE))*IF('19.02'!$AK18="是",'19.02'!$BB$4,'19.02'!$BB$3))</f>
        <v>136</v>
      </c>
      <c r="T18" s="4">
        <f>IF(ISNUMBER(SEARCH("营",'19.02'!AB18)),(-$Y18+50*IF('19.02'!$AK18="是",'19.02'!$BB$4,'19.02'!$BB$3)),(VLOOKUP('19.02'!AB18,'19.02'!$AO$4:$AQ$55,2,FALSE))*IF('19.02'!$AK18="是",'19.02'!$BB$4,'19.02'!$BB$3))</f>
        <v>136</v>
      </c>
      <c r="U18" s="4">
        <f>IF(ISNUMBER(SEARCH("营",'19.02'!AC18)),(-$Y18+50*IF('19.02'!$AK18="是",'19.02'!$BB$4,'19.02'!$BB$3)),(VLOOKUP('19.02'!AC18,'19.02'!$AO$4:$AQ$55,2,FALSE))*IF('19.02'!$AK18="是",'19.02'!$BB$4,'19.02'!$BB$3))</f>
        <v>136</v>
      </c>
      <c r="V18" s="4">
        <f>IF(ISNUMBER(SEARCH("营",'19.02'!AD18)),(-$Y18+50*IF('19.02'!$AK18="是",'19.02'!$BB$4,'19.02'!$BB$3)),(VLOOKUP('19.02'!AD18,'19.02'!$AO$4:$AQ$55,2,FALSE))*IF('19.02'!$AK18="是",'19.02'!$BB$4,'19.02'!$BB$3))</f>
        <v>144</v>
      </c>
      <c r="W18" s="4">
        <f>IF(ISNUMBER(SEARCH("营",'19.02'!AE18)),(-$Y18+50*IF('19.02'!$AK18="是",'19.02'!$BB$4,'19.02'!$BB$3)),(VLOOKUP('19.02'!AE18,'19.02'!$AO$4:$AQ$55,2,FALSE))*IF('19.02'!$AK18="是",'19.02'!$BB$4,'19.02'!$BB$3))</f>
        <v>144</v>
      </c>
      <c r="X18" s="4">
        <f>IF(ISNUMBER(SEARCH("营",'19.02'!AF18)),(-$Y18+50*IF('19.02'!$AK18="是",'19.02'!$BB$4,'19.02'!$BB$3)),(VLOOKUP('19.02'!AF18,'19.02'!$AO$4:$AQ$55,2,FALSE))*IF('19.02'!$AK18="是",'19.02'!$BB$4,'19.02'!$BB$3))</f>
        <v>144</v>
      </c>
      <c r="Y18" s="77">
        <v>250</v>
      </c>
      <c r="Z18" s="94">
        <v>45744</v>
      </c>
    </row>
    <row r="19" spans="1:26">
      <c r="A19" s="4">
        <f>IF(ISNUMBER(SEARCH("营",'19.02'!I19)),(-$Y19+50*IF('19.02'!$AK19="是",'19.02'!$BB$4,'19.02'!$BB$3)),(VLOOKUP('19.02'!I19,'19.02'!$AO$4:$AQ$55,2,FALSE))*IF('19.02'!$AK19="是",'19.02'!$BB$4,'19.02'!$BB$3))</f>
        <v>0</v>
      </c>
      <c r="B19" s="4">
        <f>IF(ISNUMBER(SEARCH("营",'19.02'!J19)),(-$Y19+50*IF('19.02'!$AK19="是",'19.02'!$BB$4,'19.02'!$BB$3)),(VLOOKUP('19.02'!J19,'19.02'!$AO$4:$AQ$55,2,FALSE))*IF('19.02'!$AK19="是",'19.02'!$BB$4,'19.02'!$BB$3))</f>
        <v>0</v>
      </c>
      <c r="C19" s="4">
        <f>IF(ISNUMBER(SEARCH("营",'19.02'!K19)),(-$Y19+50*IF('19.02'!$AK19="是",'19.02'!$BB$4,'19.02'!$BB$3)),(VLOOKUP('19.02'!K19,'19.02'!$AO$4:$AQ$55,2,FALSE))*IF('19.02'!$AK19="是",'19.02'!$BB$4,'19.02'!$BB$3))</f>
        <v>0</v>
      </c>
      <c r="D19" s="4">
        <f>IF(ISNUMBER(SEARCH("营",'19.02'!L19)),(-$Y19+50*IF('19.02'!$AK19="是",'19.02'!$BB$4,'19.02'!$BB$3)),(VLOOKUP('19.02'!L19,'19.02'!$AO$4:$AQ$55,2,FALSE))*IF('19.02'!$AK19="是",'19.02'!$BB$4,'19.02'!$BB$3))</f>
        <v>0</v>
      </c>
      <c r="E19" s="4">
        <f>IF(ISNUMBER(SEARCH("营",'19.02'!M19)),(-$Y19+50*IF('19.02'!$AK19="是",'19.02'!$BB$4,'19.02'!$BB$3)),(VLOOKUP('19.02'!M19,'19.02'!$AO$4:$AQ$55,2,FALSE))*IF('19.02'!$AK19="是",'19.02'!$BB$4,'19.02'!$BB$3))</f>
        <v>0</v>
      </c>
      <c r="F19" s="4">
        <f>IF(ISNUMBER(SEARCH("营",'19.02'!N19)),(-$Y19+50*IF('19.02'!$AK19="是",'19.02'!$BB$4,'19.02'!$BB$3)),(VLOOKUP('19.02'!N19,'19.02'!$AO$4:$AQ$55,2,FALSE))*IF('19.02'!$AK19="是",'19.02'!$BB$4,'19.02'!$BB$3))</f>
        <v>0</v>
      </c>
      <c r="G19" s="4">
        <f>IF(ISNUMBER(SEARCH("营",'19.02'!O19)),(-$Y19+50*IF('19.02'!$AK19="是",'19.02'!$BB$4,'19.02'!$BB$3)),(VLOOKUP('19.02'!O19,'19.02'!$AO$4:$AQ$55,2,FALSE))*IF('19.02'!$AK19="是",'19.02'!$BB$4,'19.02'!$BB$3))</f>
        <v>0</v>
      </c>
      <c r="H19" s="4">
        <f>IF(ISNUMBER(SEARCH("营",'19.02'!P19)),(-$Y19+50*IF('19.02'!$AK19="是",'19.02'!$BB$4,'19.02'!$BB$3)),(VLOOKUP('19.02'!P19,'19.02'!$AO$4:$AQ$55,2,FALSE))*IF('19.02'!$AK19="是",'19.02'!$BB$4,'19.02'!$BB$3))</f>
        <v>0</v>
      </c>
      <c r="I19" s="4">
        <f>IF(ISNUMBER(SEARCH("营",'19.02'!Q19)),(-$Y19+50*IF('19.02'!$AK19="是",'19.02'!$BB$4,'19.02'!$BB$3)),(VLOOKUP('19.02'!Q19,'19.02'!$AO$4:$AQ$55,2,FALSE))*IF('19.02'!$AK19="是",'19.02'!$BB$4,'19.02'!$BB$3))</f>
        <v>152</v>
      </c>
      <c r="J19" s="4">
        <f>IF(ISNUMBER(SEARCH("营",'19.02'!R19)),(-$Y19+50*IF('19.02'!$AK19="是",'19.02'!$BB$4,'19.02'!$BB$3)),(VLOOKUP('19.02'!R19,'19.02'!$AO$4:$AQ$55,2,FALSE))*IF('19.02'!$AK19="是",'19.02'!$BB$4,'19.02'!$BB$3))</f>
        <v>152</v>
      </c>
      <c r="K19" s="4">
        <f>IF(ISNUMBER(SEARCH("营",'19.02'!S19)),(-$Y19+50*IF('19.02'!$AK19="是",'19.02'!$BB$4,'19.02'!$BB$3)),(VLOOKUP('19.02'!S19,'19.02'!$AO$4:$AQ$55,2,FALSE))*IF('19.02'!$AK19="是",'19.02'!$BB$4,'19.02'!$BB$3))</f>
        <v>152</v>
      </c>
      <c r="L19" s="4">
        <f>IF(ISNUMBER(SEARCH("营",'19.02'!T19)),(-$Y19+50*IF('19.02'!$AK19="是",'19.02'!$BB$4,'19.02'!$BB$3)),(VLOOKUP('19.02'!T19,'19.02'!$AO$4:$AQ$55,2,FALSE))*IF('19.02'!$AK19="是",'19.02'!$BB$4,'19.02'!$BB$3))</f>
        <v>152</v>
      </c>
      <c r="M19" s="4">
        <f>IF(ISNUMBER(SEARCH("营",'19.02'!U19)),(-$Y19+50*IF('19.02'!$AK19="是",'19.02'!$BB$4,'19.02'!$BB$3)),(VLOOKUP('19.02'!U19,'19.02'!$AO$4:$AQ$55,2,FALSE))*IF('19.02'!$AK19="是",'19.02'!$BB$4,'19.02'!$BB$3))</f>
        <v>152</v>
      </c>
      <c r="N19" s="4">
        <f>IF(ISNUMBER(SEARCH("营",'19.02'!V19)),(-$Y19+50*IF('19.02'!$AK19="是",'19.02'!$BB$4,'19.02'!$BB$3)),(VLOOKUP('19.02'!V19,'19.02'!$AO$4:$AQ$55,2,FALSE))*IF('19.02'!$AK19="是",'19.02'!$BB$4,'19.02'!$BB$3))</f>
        <v>152</v>
      </c>
      <c r="O19" s="4">
        <f>IF(ISNUMBER(SEARCH("营",'19.02'!W19)),(-$Y19+50*IF('19.02'!$AK19="是",'19.02'!$BB$4,'19.02'!$BB$3)),(VLOOKUP('19.02'!W19,'19.02'!$AO$4:$AQ$55,2,FALSE))*IF('19.02'!$AK19="是",'19.02'!$BB$4,'19.02'!$BB$3))</f>
        <v>-210</v>
      </c>
      <c r="P19" s="4">
        <f>IF(ISNUMBER(SEARCH("营",'19.02'!X19)),(-$Y19+50*IF('19.02'!$AK19="是",'19.02'!$BB$4,'19.02'!$BB$3)),(VLOOKUP('19.02'!X19,'19.02'!$AO$4:$AQ$55,2,FALSE))*IF('19.02'!$AK19="是",'19.02'!$BB$4,'19.02'!$BB$3))</f>
        <v>152</v>
      </c>
      <c r="Q19" s="4">
        <f>IF(ISNUMBER(SEARCH("营",'19.02'!Y19)),(-$Y19+50*IF('19.02'!$AK19="是",'19.02'!$BB$4,'19.02'!$BB$3)),(VLOOKUP('19.02'!Y19,'19.02'!$AO$4:$AQ$55,2,FALSE))*IF('19.02'!$AK19="是",'19.02'!$BB$4,'19.02'!$BB$3))</f>
        <v>-210</v>
      </c>
      <c r="R19" s="4">
        <f>IF(ISNUMBER(SEARCH("营",'19.02'!Z19)),(-$Y19+50*IF('19.02'!$AK19="是",'19.02'!$BB$4,'19.02'!$BB$3)),(VLOOKUP('19.02'!Z19,'19.02'!$AO$4:$AQ$55,2,FALSE))*IF('19.02'!$AK19="是",'19.02'!$BB$4,'19.02'!$BB$3))</f>
        <v>144</v>
      </c>
      <c r="S19" s="4">
        <f>IF(ISNUMBER(SEARCH("营",'19.02'!AA19)),(-$Y19+50*IF('19.02'!$AK19="是",'19.02'!$BB$4,'19.02'!$BB$3)),(VLOOKUP('19.02'!AA19,'19.02'!$AO$4:$AQ$55,2,FALSE))*IF('19.02'!$AK19="是",'19.02'!$BB$4,'19.02'!$BB$3))</f>
        <v>120</v>
      </c>
      <c r="T19" s="4">
        <f>IF(ISNUMBER(SEARCH("营",'19.02'!AB19)),(-$Y19+50*IF('19.02'!$AK19="是",'19.02'!$BB$4,'19.02'!$BB$3)),(VLOOKUP('19.02'!AB19,'19.02'!$AO$4:$AQ$55,2,FALSE))*IF('19.02'!$AK19="是",'19.02'!$BB$4,'19.02'!$BB$3))</f>
        <v>144</v>
      </c>
      <c r="U19" s="4">
        <f>IF(ISNUMBER(SEARCH("营",'19.02'!AC19)),(-$Y19+50*IF('19.02'!$AK19="是",'19.02'!$BB$4,'19.02'!$BB$3)),(VLOOKUP('19.02'!AC19,'19.02'!$AO$4:$AQ$55,2,FALSE))*IF('19.02'!$AK19="是",'19.02'!$BB$4,'19.02'!$BB$3))</f>
        <v>144</v>
      </c>
      <c r="V19" s="4">
        <f>IF(ISNUMBER(SEARCH("营",'19.02'!AD19)),(-$Y19+50*IF('19.02'!$AK19="是",'19.02'!$BB$4,'19.02'!$BB$3)),(VLOOKUP('19.02'!AD19,'19.02'!$AO$4:$AQ$55,2,FALSE))*IF('19.02'!$AK19="是",'19.02'!$BB$4,'19.02'!$BB$3))</f>
        <v>40</v>
      </c>
      <c r="W19" s="4">
        <f>IF(ISNUMBER(SEARCH("营",'19.02'!AE19)),(-$Y19+50*IF('19.02'!$AK19="是",'19.02'!$BB$4,'19.02'!$BB$3)),(VLOOKUP('19.02'!AE19,'19.02'!$AO$4:$AQ$55,2,FALSE))*IF('19.02'!$AK19="是",'19.02'!$BB$4,'19.02'!$BB$3))</f>
        <v>152</v>
      </c>
      <c r="X19" s="4">
        <f>IF(ISNUMBER(SEARCH("营",'19.02'!AF19)),(-$Y19+50*IF('19.02'!$AK19="是",'19.02'!$BB$4,'19.02'!$BB$3)),(VLOOKUP('19.02'!AF19,'19.02'!$AO$4:$AQ$55,2,FALSE))*IF('19.02'!$AK19="是",'19.02'!$BB$4,'19.02'!$BB$3))</f>
        <v>152</v>
      </c>
      <c r="Y19" s="77">
        <v>250</v>
      </c>
      <c r="Z19" s="94">
        <v>45745</v>
      </c>
    </row>
    <row r="20" spans="1:26">
      <c r="A20" s="4">
        <f>IF(ISNUMBER(SEARCH("营",'19.02'!I20)),(-$Y20+50*IF('19.02'!$AK20="是",'19.02'!$BB$4,'19.02'!$BB$3)),(VLOOKUP('19.02'!I20,'19.02'!$AO$4:$AQ$55,2,FALSE))*IF('19.02'!$AK20="是",'19.02'!$BB$4,'19.02'!$BB$3))</f>
        <v>0</v>
      </c>
      <c r="B20" s="4">
        <f>IF(ISNUMBER(SEARCH("营",'19.02'!J20)),(-$Y20+50*IF('19.02'!$AK20="是",'19.02'!$BB$4,'19.02'!$BB$3)),(VLOOKUP('19.02'!J20,'19.02'!$AO$4:$AQ$55,2,FALSE))*IF('19.02'!$AK20="是",'19.02'!$BB$4,'19.02'!$BB$3))</f>
        <v>0</v>
      </c>
      <c r="C20" s="4">
        <f>IF(ISNUMBER(SEARCH("营",'19.02'!K20)),(-$Y20+50*IF('19.02'!$AK20="是",'19.02'!$BB$4,'19.02'!$BB$3)),(VLOOKUP('19.02'!K20,'19.02'!$AO$4:$AQ$55,2,FALSE))*IF('19.02'!$AK20="是",'19.02'!$BB$4,'19.02'!$BB$3))</f>
        <v>0</v>
      </c>
      <c r="D20" s="4">
        <f>IF(ISNUMBER(SEARCH("营",'19.02'!L20)),(-$Y20+50*IF('19.02'!$AK20="是",'19.02'!$BB$4,'19.02'!$BB$3)),(VLOOKUP('19.02'!L20,'19.02'!$AO$4:$AQ$55,2,FALSE))*IF('19.02'!$AK20="是",'19.02'!$BB$4,'19.02'!$BB$3))</f>
        <v>0</v>
      </c>
      <c r="E20" s="4">
        <f>IF(ISNUMBER(SEARCH("营",'19.02'!M20)),(-$Y20+50*IF('19.02'!$AK20="是",'19.02'!$BB$4,'19.02'!$BB$3)),(VLOOKUP('19.02'!M20,'19.02'!$AO$4:$AQ$55,2,FALSE))*IF('19.02'!$AK20="是",'19.02'!$BB$4,'19.02'!$BB$3))</f>
        <v>0</v>
      </c>
      <c r="F20" s="4">
        <f>IF(ISNUMBER(SEARCH("营",'19.02'!N20)),(-$Y20+50*IF('19.02'!$AK20="是",'19.02'!$BB$4,'19.02'!$BB$3)),(VLOOKUP('19.02'!N20,'19.02'!$AO$4:$AQ$55,2,FALSE))*IF('19.02'!$AK20="是",'19.02'!$BB$4,'19.02'!$BB$3))</f>
        <v>0</v>
      </c>
      <c r="G20" s="4">
        <f>IF(ISNUMBER(SEARCH("营",'19.02'!O20)),(-$Y20+50*IF('19.02'!$AK20="是",'19.02'!$BB$4,'19.02'!$BB$3)),(VLOOKUP('19.02'!O20,'19.02'!$AO$4:$AQ$55,2,FALSE))*IF('19.02'!$AK20="是",'19.02'!$BB$4,'19.02'!$BB$3))</f>
        <v>0</v>
      </c>
      <c r="H20" s="4">
        <f>IF(ISNUMBER(SEARCH("营",'19.02'!P20)),(-$Y20+50*IF('19.02'!$AK20="是",'19.02'!$BB$4,'19.02'!$BB$3)),(VLOOKUP('19.02'!P20,'19.02'!$AO$4:$AQ$55,2,FALSE))*IF('19.02'!$AK20="是",'19.02'!$BB$4,'19.02'!$BB$3))</f>
        <v>0</v>
      </c>
      <c r="I20" s="4">
        <f>IF(ISNUMBER(SEARCH("营",'19.02'!Q20)),(-$Y20+50*IF('19.02'!$AK20="是",'19.02'!$BB$4,'19.02'!$BB$3)),(VLOOKUP('19.02'!Q20,'19.02'!$AO$4:$AQ$55,2,FALSE))*IF('19.02'!$AK20="是",'19.02'!$BB$4,'19.02'!$BB$3))</f>
        <v>152</v>
      </c>
      <c r="J20" s="4">
        <f>IF(ISNUMBER(SEARCH("营",'19.02'!R20)),(-$Y20+50*IF('19.02'!$AK20="是",'19.02'!$BB$4,'19.02'!$BB$3)),(VLOOKUP('19.02'!R20,'19.02'!$AO$4:$AQ$55,2,FALSE))*IF('19.02'!$AK20="是",'19.02'!$BB$4,'19.02'!$BB$3))</f>
        <v>152</v>
      </c>
      <c r="K20" s="4">
        <f>IF(ISNUMBER(SEARCH("营",'19.02'!S20)),(-$Y20+50*IF('19.02'!$AK20="是",'19.02'!$BB$4,'19.02'!$BB$3)),(VLOOKUP('19.02'!S20,'19.02'!$AO$4:$AQ$55,2,FALSE))*IF('19.02'!$AK20="是",'19.02'!$BB$4,'19.02'!$BB$3))</f>
        <v>152</v>
      </c>
      <c r="L20" s="4">
        <f>IF(ISNUMBER(SEARCH("营",'19.02'!T20)),(-$Y20+50*IF('19.02'!$AK20="是",'19.02'!$BB$4,'19.02'!$BB$3)),(VLOOKUP('19.02'!T20,'19.02'!$AO$4:$AQ$55,2,FALSE))*IF('19.02'!$AK20="是",'19.02'!$BB$4,'19.02'!$BB$3))</f>
        <v>152</v>
      </c>
      <c r="M20" s="4">
        <f>IF(ISNUMBER(SEARCH("营",'19.02'!U20)),(-$Y20+50*IF('19.02'!$AK20="是",'19.02'!$BB$4,'19.02'!$BB$3)),(VLOOKUP('19.02'!U20,'19.02'!$AO$4:$AQ$55,2,FALSE))*IF('19.02'!$AK20="是",'19.02'!$BB$4,'19.02'!$BB$3))</f>
        <v>152</v>
      </c>
      <c r="N20" s="4">
        <f>IF(ISNUMBER(SEARCH("营",'19.02'!V20)),(-$Y20+50*IF('19.02'!$AK20="是",'19.02'!$BB$4,'19.02'!$BB$3)),(VLOOKUP('19.02'!V20,'19.02'!$AO$4:$AQ$55,2,FALSE))*IF('19.02'!$AK20="是",'19.02'!$BB$4,'19.02'!$BB$3))</f>
        <v>152</v>
      </c>
      <c r="O20" s="4">
        <f>IF(ISNUMBER(SEARCH("营",'19.02'!W20)),(-$Y20+50*IF('19.02'!$AK20="是",'19.02'!$BB$4,'19.02'!$BB$3)),(VLOOKUP('19.02'!W20,'19.02'!$AO$4:$AQ$55,2,FALSE))*IF('19.02'!$AK20="是",'19.02'!$BB$4,'19.02'!$BB$3))</f>
        <v>0</v>
      </c>
      <c r="P20" s="4">
        <f>IF(ISNUMBER(SEARCH("营",'19.02'!X20)),(-$Y20+50*IF('19.02'!$AK20="是",'19.02'!$BB$4,'19.02'!$BB$3)),(VLOOKUP('19.02'!X20,'19.02'!$AO$4:$AQ$55,2,FALSE))*IF('19.02'!$AK20="是",'19.02'!$BB$4,'19.02'!$BB$3))</f>
        <v>0</v>
      </c>
      <c r="Q20" s="4">
        <f>IF(ISNUMBER(SEARCH("营",'19.02'!Y20)),(-$Y20+50*IF('19.02'!$AK20="是",'19.02'!$BB$4,'19.02'!$BB$3)),(VLOOKUP('19.02'!Y20,'19.02'!$AO$4:$AQ$55,2,FALSE))*IF('19.02'!$AK20="是",'19.02'!$BB$4,'19.02'!$BB$3))</f>
        <v>152</v>
      </c>
      <c r="R20" s="4">
        <f>IF(ISNUMBER(SEARCH("营",'19.02'!Z20)),(-$Y20+50*IF('19.02'!$AK20="是",'19.02'!$BB$4,'19.02'!$BB$3)),(VLOOKUP('19.02'!Z20,'19.02'!$AO$4:$AQ$55,2,FALSE))*IF('19.02'!$AK20="是",'19.02'!$BB$4,'19.02'!$BB$3))</f>
        <v>152</v>
      </c>
      <c r="S20" s="4">
        <f>IF(ISNUMBER(SEARCH("营",'19.02'!AA20)),(-$Y20+50*IF('19.02'!$AK20="是",'19.02'!$BB$4,'19.02'!$BB$3)),(VLOOKUP('19.02'!AA20,'19.02'!$AO$4:$AQ$55,2,FALSE))*IF('19.02'!$AK20="是",'19.02'!$BB$4,'19.02'!$BB$3))</f>
        <v>152</v>
      </c>
      <c r="T20" s="4">
        <f>IF(ISNUMBER(SEARCH("营",'19.02'!AB20)),(-$Y20+50*IF('19.02'!$AK20="是",'19.02'!$BB$4,'19.02'!$BB$3)),(VLOOKUP('19.02'!AB20,'19.02'!$AO$4:$AQ$55,2,FALSE))*IF('19.02'!$AK20="是",'19.02'!$BB$4,'19.02'!$BB$3))</f>
        <v>152</v>
      </c>
      <c r="U20" s="4">
        <f>IF(ISNUMBER(SEARCH("营",'19.02'!AC20)),(-$Y20+50*IF('19.02'!$AK20="是",'19.02'!$BB$4,'19.02'!$BB$3)),(VLOOKUP('19.02'!AC20,'19.02'!$AO$4:$AQ$55,2,FALSE))*IF('19.02'!$AK20="是",'19.02'!$BB$4,'19.02'!$BB$3))</f>
        <v>152</v>
      </c>
      <c r="V20" s="4">
        <f>IF(ISNUMBER(SEARCH("营",'19.02'!AD20)),(-$Y20+50*IF('19.02'!$AK20="是",'19.02'!$BB$4,'19.02'!$BB$3)),(VLOOKUP('19.02'!AD20,'19.02'!$AO$4:$AQ$55,2,FALSE))*IF('19.02'!$AK20="是",'19.02'!$BB$4,'19.02'!$BB$3))</f>
        <v>152</v>
      </c>
      <c r="W20" s="4">
        <f>IF(ISNUMBER(SEARCH("营",'19.02'!AE20)),(-$Y20+50*IF('19.02'!$AK20="是",'19.02'!$BB$4,'19.02'!$BB$3)),(VLOOKUP('19.02'!AE20,'19.02'!$AO$4:$AQ$55,2,FALSE))*IF('19.02'!$AK20="是",'19.02'!$BB$4,'19.02'!$BB$3))</f>
        <v>152</v>
      </c>
      <c r="X20" s="4">
        <f>IF(ISNUMBER(SEARCH("营",'19.02'!AF20)),(-$Y20+50*IF('19.02'!$AK20="是",'19.02'!$BB$4,'19.02'!$BB$3)),(VLOOKUP('19.02'!AF20,'19.02'!$AO$4:$AQ$55,2,FALSE))*IF('19.02'!$AK20="是",'19.02'!$BB$4,'19.02'!$BB$3))</f>
        <v>152</v>
      </c>
      <c r="Y20" s="77">
        <v>250</v>
      </c>
      <c r="Z20" s="94">
        <v>45746</v>
      </c>
    </row>
    <row r="21" spans="1:26">
      <c r="A21" s="4">
        <f>IF(ISNUMBER(SEARCH("营",'19.02'!I21)),(-$Y21+50*IF('19.02'!$AK21="是",'19.02'!$BB$4,'19.02'!$BB$3)),(VLOOKUP('19.02'!I21,'19.02'!$AO$4:$AQ$55,2,FALSE))*IF('19.02'!$AK21="是",'19.02'!$BB$4,'19.02'!$BB$3))</f>
        <v>0</v>
      </c>
      <c r="B21" s="4">
        <f>IF(ISNUMBER(SEARCH("营",'19.02'!J21)),(-$Y21+50*IF('19.02'!$AK21="是",'19.02'!$BB$4,'19.02'!$BB$3)),(VLOOKUP('19.02'!J21,'19.02'!$AO$4:$AQ$55,2,FALSE))*IF('19.02'!$AK21="是",'19.02'!$BB$4,'19.02'!$BB$3))</f>
        <v>0</v>
      </c>
      <c r="C21" s="4">
        <f>IF(ISNUMBER(SEARCH("营",'19.02'!K21)),(-$Y21+50*IF('19.02'!$AK21="是",'19.02'!$BB$4,'19.02'!$BB$3)),(VLOOKUP('19.02'!K21,'19.02'!$AO$4:$AQ$55,2,FALSE))*IF('19.02'!$AK21="是",'19.02'!$BB$4,'19.02'!$BB$3))</f>
        <v>0</v>
      </c>
      <c r="D21" s="4">
        <f>IF(ISNUMBER(SEARCH("营",'19.02'!L21)),(-$Y21+50*IF('19.02'!$AK21="是",'19.02'!$BB$4,'19.02'!$BB$3)),(VLOOKUP('19.02'!L21,'19.02'!$AO$4:$AQ$55,2,FALSE))*IF('19.02'!$AK21="是",'19.02'!$BB$4,'19.02'!$BB$3))</f>
        <v>0</v>
      </c>
      <c r="E21" s="4">
        <f>IF(ISNUMBER(SEARCH("营",'19.02'!M21)),(-$Y21+50*IF('19.02'!$AK21="是",'19.02'!$BB$4,'19.02'!$BB$3)),(VLOOKUP('19.02'!M21,'19.02'!$AO$4:$AQ$55,2,FALSE))*IF('19.02'!$AK21="是",'19.02'!$BB$4,'19.02'!$BB$3))</f>
        <v>0</v>
      </c>
      <c r="F21" s="4">
        <f>IF(ISNUMBER(SEARCH("营",'19.02'!N21)),(-$Y21+50*IF('19.02'!$AK21="是",'19.02'!$BB$4,'19.02'!$BB$3)),(VLOOKUP('19.02'!N21,'19.02'!$AO$4:$AQ$55,2,FALSE))*IF('19.02'!$AK21="是",'19.02'!$BB$4,'19.02'!$BB$3))</f>
        <v>0</v>
      </c>
      <c r="G21" s="4">
        <f>IF(ISNUMBER(SEARCH("营",'19.02'!O21)),(-$Y21+50*IF('19.02'!$AK21="是",'19.02'!$BB$4,'19.02'!$BB$3)),(VLOOKUP('19.02'!O21,'19.02'!$AO$4:$AQ$55,2,FALSE))*IF('19.02'!$AK21="是",'19.02'!$BB$4,'19.02'!$BB$3))</f>
        <v>0</v>
      </c>
      <c r="H21" s="4">
        <f>IF(ISNUMBER(SEARCH("营",'19.02'!P21)),(-$Y21+50*IF('19.02'!$AK21="是",'19.02'!$BB$4,'19.02'!$BB$3)),(VLOOKUP('19.02'!P21,'19.02'!$AO$4:$AQ$55,2,FALSE))*IF('19.02'!$AK21="是",'19.02'!$BB$4,'19.02'!$BB$3))</f>
        <v>0</v>
      </c>
      <c r="I21" s="4">
        <f>IF(ISNUMBER(SEARCH("营",'19.02'!Q21)),(-$Y21+50*IF('19.02'!$AK21="是",'19.02'!$BB$4,'19.02'!$BB$3)),(VLOOKUP('19.02'!Q21,'19.02'!$AO$4:$AQ$55,2,FALSE))*IF('19.02'!$AK21="是",'19.02'!$BB$4,'19.02'!$BB$3))</f>
        <v>160</v>
      </c>
      <c r="J21" s="4">
        <f>IF(ISNUMBER(SEARCH("营",'19.02'!R21)),(-$Y21+50*IF('19.02'!$AK21="是",'19.02'!$BB$4,'19.02'!$BB$3)),(VLOOKUP('19.02'!R21,'19.02'!$AO$4:$AQ$55,2,FALSE))*IF('19.02'!$AK21="是",'19.02'!$BB$4,'19.02'!$BB$3))</f>
        <v>160</v>
      </c>
      <c r="K21" s="4">
        <f>IF(ISNUMBER(SEARCH("营",'19.02'!S21)),(-$Y21+50*IF('19.02'!$AK21="是",'19.02'!$BB$4,'19.02'!$BB$3)),(VLOOKUP('19.02'!S21,'19.02'!$AO$4:$AQ$55,2,FALSE))*IF('19.02'!$AK21="是",'19.02'!$BB$4,'19.02'!$BB$3))</f>
        <v>160</v>
      </c>
      <c r="L21" s="4">
        <f>IF(ISNUMBER(SEARCH("营",'19.02'!T21)),(-$Y21+50*IF('19.02'!$AK21="是",'19.02'!$BB$4,'19.02'!$BB$3)),(VLOOKUP('19.02'!T21,'19.02'!$AO$4:$AQ$55,2,FALSE))*IF('19.02'!$AK21="是",'19.02'!$BB$4,'19.02'!$BB$3))</f>
        <v>160</v>
      </c>
      <c r="M21" s="4">
        <f>IF(ISNUMBER(SEARCH("营",'19.02'!U21)),(-$Y21+50*IF('19.02'!$AK21="是",'19.02'!$BB$4,'19.02'!$BB$3)),(VLOOKUP('19.02'!U21,'19.02'!$AO$4:$AQ$55,2,FALSE))*IF('19.02'!$AK21="是",'19.02'!$BB$4,'19.02'!$BB$3))</f>
        <v>160</v>
      </c>
      <c r="N21" s="4">
        <f>IF(ISNUMBER(SEARCH("营",'19.02'!V21)),(-$Y21+50*IF('19.02'!$AK21="是",'19.02'!$BB$4,'19.02'!$BB$3)),(VLOOKUP('19.02'!V21,'19.02'!$AO$4:$AQ$55,2,FALSE))*IF('19.02'!$AK21="是",'19.02'!$BB$4,'19.02'!$BB$3))</f>
        <v>-210</v>
      </c>
      <c r="O21" s="4">
        <f>IF(ISNUMBER(SEARCH("营",'19.02'!W21)),(-$Y21+50*IF('19.02'!$AK21="是",'19.02'!$BB$4,'19.02'!$BB$3)),(VLOOKUP('19.02'!W21,'19.02'!$AO$4:$AQ$55,2,FALSE))*IF('19.02'!$AK21="是",'19.02'!$BB$4,'19.02'!$BB$3))</f>
        <v>160</v>
      </c>
      <c r="P21" s="4">
        <f>IF(ISNUMBER(SEARCH("营",'19.02'!X21)),(-$Y21+50*IF('19.02'!$AK21="是",'19.02'!$BB$4,'19.02'!$BB$3)),(VLOOKUP('19.02'!X21,'19.02'!$AO$4:$AQ$55,2,FALSE))*IF('19.02'!$AK21="是",'19.02'!$BB$4,'19.02'!$BB$3))</f>
        <v>160</v>
      </c>
      <c r="Q21" s="4">
        <f>IF(ISNUMBER(SEARCH("营",'19.02'!Y21)),(-$Y21+50*IF('19.02'!$AK21="是",'19.02'!$BB$4,'19.02'!$BB$3)),(VLOOKUP('19.02'!Y21,'19.02'!$AO$4:$AQ$55,2,FALSE))*IF('19.02'!$AK21="是",'19.02'!$BB$4,'19.02'!$BB$3))</f>
        <v>152</v>
      </c>
      <c r="R21" s="4">
        <f>IF(ISNUMBER(SEARCH("营",'19.02'!Z21)),(-$Y21+50*IF('19.02'!$AK21="是",'19.02'!$BB$4,'19.02'!$BB$3)),(VLOOKUP('19.02'!Z21,'19.02'!$AO$4:$AQ$55,2,FALSE))*IF('19.02'!$AK21="是",'19.02'!$BB$4,'19.02'!$BB$3))</f>
        <v>152</v>
      </c>
      <c r="S21" s="4">
        <f>IF(ISNUMBER(SEARCH("营",'19.02'!AA21)),(-$Y21+50*IF('19.02'!$AK21="是",'19.02'!$BB$4,'19.02'!$BB$3)),(VLOOKUP('19.02'!AA21,'19.02'!$AO$4:$AQ$55,2,FALSE))*IF('19.02'!$AK21="是",'19.02'!$BB$4,'19.02'!$BB$3))</f>
        <v>152</v>
      </c>
      <c r="T21" s="4">
        <f>IF(ISNUMBER(SEARCH("营",'19.02'!AB21)),(-$Y21+50*IF('19.02'!$AK21="是",'19.02'!$BB$4,'19.02'!$BB$3)),(VLOOKUP('19.02'!AB21,'19.02'!$AO$4:$AQ$55,2,FALSE))*IF('19.02'!$AK21="是",'19.02'!$BB$4,'19.02'!$BB$3))</f>
        <v>152</v>
      </c>
      <c r="U21" s="4">
        <f>IF(ISNUMBER(SEARCH("营",'19.02'!AC21)),(-$Y21+50*IF('19.02'!$AK21="是",'19.02'!$BB$4,'19.02'!$BB$3)),(VLOOKUP('19.02'!AC21,'19.02'!$AO$4:$AQ$55,2,FALSE))*IF('19.02'!$AK21="是",'19.02'!$BB$4,'19.02'!$BB$3))</f>
        <v>152</v>
      </c>
      <c r="V21" s="4">
        <f>IF(ISNUMBER(SEARCH("营",'19.02'!AD21)),(-$Y21+50*IF('19.02'!$AK21="是",'19.02'!$BB$4,'19.02'!$BB$3)),(VLOOKUP('19.02'!AD21,'19.02'!$AO$4:$AQ$55,2,FALSE))*IF('19.02'!$AK21="是",'19.02'!$BB$4,'19.02'!$BB$3))</f>
        <v>0</v>
      </c>
      <c r="W21" s="4">
        <f>IF(ISNUMBER(SEARCH("营",'19.02'!AE21)),(-$Y21+50*IF('19.02'!$AK21="是",'19.02'!$BB$4,'19.02'!$BB$3)),(VLOOKUP('19.02'!AE21,'19.02'!$AO$4:$AQ$55,2,FALSE))*IF('19.02'!$AK21="是",'19.02'!$BB$4,'19.02'!$BB$3))</f>
        <v>0</v>
      </c>
      <c r="X21" s="4">
        <f>IF(ISNUMBER(SEARCH("营",'19.02'!AF21)),(-$Y21+50*IF('19.02'!$AK21="是",'19.02'!$BB$4,'19.02'!$BB$3)),(VLOOKUP('19.02'!AF21,'19.02'!$AO$4:$AQ$55,2,FALSE))*IF('19.02'!$AK21="是",'19.02'!$BB$4,'19.02'!$BB$3))</f>
        <v>0</v>
      </c>
      <c r="Y21" s="77">
        <v>250</v>
      </c>
      <c r="Z21" s="94">
        <v>45747</v>
      </c>
    </row>
    <row r="22" spans="1:26">
      <c r="A22" s="4">
        <f>IF(ISNUMBER(SEARCH("营",'19.02'!I22)),(-$Y22+50*IF('19.02'!$AK22="是",'19.02'!$BB$4,'19.02'!$BB$3)),(VLOOKUP('19.02'!I22,'19.02'!$AO$4:$AQ$55,2,FALSE))*IF('19.02'!$AK22="是",'19.02'!$BB$4,'19.02'!$BB$3))</f>
        <v>0</v>
      </c>
      <c r="B22" s="4">
        <f>IF(ISNUMBER(SEARCH("营",'19.02'!J22)),(-$Y22+50*IF('19.02'!$AK22="是",'19.02'!$BB$4,'19.02'!$BB$3)),(VLOOKUP('19.02'!J22,'19.02'!$AO$4:$AQ$55,2,FALSE))*IF('19.02'!$AK22="是",'19.02'!$BB$4,'19.02'!$BB$3))</f>
        <v>0</v>
      </c>
      <c r="C22" s="4">
        <f>IF(ISNUMBER(SEARCH("营",'19.02'!K22)),(-$Y22+50*IF('19.02'!$AK22="是",'19.02'!$BB$4,'19.02'!$BB$3)),(VLOOKUP('19.02'!K22,'19.02'!$AO$4:$AQ$55,2,FALSE))*IF('19.02'!$AK22="是",'19.02'!$BB$4,'19.02'!$BB$3))</f>
        <v>0</v>
      </c>
      <c r="D22" s="4">
        <f>IF(ISNUMBER(SEARCH("营",'19.02'!L22)),(-$Y22+50*IF('19.02'!$AK22="是",'19.02'!$BB$4,'19.02'!$BB$3)),(VLOOKUP('19.02'!L22,'19.02'!$AO$4:$AQ$55,2,FALSE))*IF('19.02'!$AK22="是",'19.02'!$BB$4,'19.02'!$BB$3))</f>
        <v>0</v>
      </c>
      <c r="E22" s="4">
        <f>IF(ISNUMBER(SEARCH("营",'19.02'!M22)),(-$Y22+50*IF('19.02'!$AK22="是",'19.02'!$BB$4,'19.02'!$BB$3)),(VLOOKUP('19.02'!M22,'19.02'!$AO$4:$AQ$55,2,FALSE))*IF('19.02'!$AK22="是",'19.02'!$BB$4,'19.02'!$BB$3))</f>
        <v>0</v>
      </c>
      <c r="F22" s="4">
        <f>IF(ISNUMBER(SEARCH("营",'19.02'!N22)),(-$Y22+50*IF('19.02'!$AK22="是",'19.02'!$BB$4,'19.02'!$BB$3)),(VLOOKUP('19.02'!N22,'19.02'!$AO$4:$AQ$55,2,FALSE))*IF('19.02'!$AK22="是",'19.02'!$BB$4,'19.02'!$BB$3))</f>
        <v>0</v>
      </c>
      <c r="G22" s="4">
        <f>IF(ISNUMBER(SEARCH("营",'19.02'!O22)),(-$Y22+50*IF('19.02'!$AK22="是",'19.02'!$BB$4,'19.02'!$BB$3)),(VLOOKUP('19.02'!O22,'19.02'!$AO$4:$AQ$55,2,FALSE))*IF('19.02'!$AK22="是",'19.02'!$BB$4,'19.02'!$BB$3))</f>
        <v>0</v>
      </c>
      <c r="H22" s="4">
        <f>IF(ISNUMBER(SEARCH("营",'19.02'!P22)),(-$Y22+50*IF('19.02'!$AK22="是",'19.02'!$BB$4,'19.02'!$BB$3)),(VLOOKUP('19.02'!P22,'19.02'!$AO$4:$AQ$55,2,FALSE))*IF('19.02'!$AK22="是",'19.02'!$BB$4,'19.02'!$BB$3))</f>
        <v>0</v>
      </c>
      <c r="I22" s="4">
        <f>IF(ISNUMBER(SEARCH("营",'19.02'!Q22)),(-$Y22+50*IF('19.02'!$AK22="是",'19.02'!$BB$4,'19.02'!$BB$3)),(VLOOKUP('19.02'!Q22,'19.02'!$AO$4:$AQ$55,2,FALSE))*IF('19.02'!$AK22="是",'19.02'!$BB$4,'19.02'!$BB$3))</f>
        <v>160</v>
      </c>
      <c r="J22" s="4">
        <f>IF(ISNUMBER(SEARCH("营",'19.02'!R22)),(-$Y22+50*IF('19.02'!$AK22="是",'19.02'!$BB$4,'19.02'!$BB$3)),(VLOOKUP('19.02'!R22,'19.02'!$AO$4:$AQ$55,2,FALSE))*IF('19.02'!$AK22="是",'19.02'!$BB$4,'19.02'!$BB$3))</f>
        <v>160</v>
      </c>
      <c r="K22" s="4">
        <f>IF(ISNUMBER(SEARCH("营",'19.02'!S22)),(-$Y22+50*IF('19.02'!$AK22="是",'19.02'!$BB$4,'19.02'!$BB$3)),(VLOOKUP('19.02'!S22,'19.02'!$AO$4:$AQ$55,2,FALSE))*IF('19.02'!$AK22="是",'19.02'!$BB$4,'19.02'!$BB$3))</f>
        <v>160</v>
      </c>
      <c r="L22" s="4">
        <f>IF(ISNUMBER(SEARCH("营",'19.02'!T22)),(-$Y22+50*IF('19.02'!$AK22="是",'19.02'!$BB$4,'19.02'!$BB$3)),(VLOOKUP('19.02'!T22,'19.02'!$AO$4:$AQ$55,2,FALSE))*IF('19.02'!$AK22="是",'19.02'!$BB$4,'19.02'!$BB$3))</f>
        <v>160</v>
      </c>
      <c r="M22" s="4">
        <f>IF(ISNUMBER(SEARCH("营",'19.02'!U22)),(-$Y22+50*IF('19.02'!$AK22="是",'19.02'!$BB$4,'19.02'!$BB$3)),(VLOOKUP('19.02'!U22,'19.02'!$AO$4:$AQ$55,2,FALSE))*IF('19.02'!$AK22="是",'19.02'!$BB$4,'19.02'!$BB$3))</f>
        <v>160</v>
      </c>
      <c r="N22" s="4">
        <f>IF(ISNUMBER(SEARCH("营",'19.02'!V22)),(-$Y22+50*IF('19.02'!$AK22="是",'19.02'!$BB$4,'19.02'!$BB$3)),(VLOOKUP('19.02'!V22,'19.02'!$AO$4:$AQ$55,2,FALSE))*IF('19.02'!$AK22="是",'19.02'!$BB$4,'19.02'!$BB$3))</f>
        <v>160</v>
      </c>
      <c r="O22" s="4">
        <f>IF(ISNUMBER(SEARCH("营",'19.02'!W22)),(-$Y22+50*IF('19.02'!$AK22="是",'19.02'!$BB$4,'19.02'!$BB$3)),(VLOOKUP('19.02'!W22,'19.02'!$AO$4:$AQ$55,2,FALSE))*IF('19.02'!$AK22="是",'19.02'!$BB$4,'19.02'!$BB$3))</f>
        <v>0</v>
      </c>
      <c r="P22" s="4">
        <f>IF(ISNUMBER(SEARCH("营",'19.02'!X22)),(-$Y22+50*IF('19.02'!$AK22="是",'19.02'!$BB$4,'19.02'!$BB$3)),(VLOOKUP('19.02'!X22,'19.02'!$AO$4:$AQ$55,2,FALSE))*IF('19.02'!$AK22="是",'19.02'!$BB$4,'19.02'!$BB$3))</f>
        <v>0</v>
      </c>
      <c r="Q22" s="4">
        <f>IF(ISNUMBER(SEARCH("营",'19.02'!Y22)),(-$Y22+50*IF('19.02'!$AK22="是",'19.02'!$BB$4,'19.02'!$BB$3)),(VLOOKUP('19.02'!Y22,'19.02'!$AO$4:$AQ$55,2,FALSE))*IF('19.02'!$AK22="是",'19.02'!$BB$4,'19.02'!$BB$3))</f>
        <v>152</v>
      </c>
      <c r="R22" s="4">
        <f>IF(ISNUMBER(SEARCH("营",'19.02'!Z22)),(-$Y22+50*IF('19.02'!$AK22="是",'19.02'!$BB$4,'19.02'!$BB$3)),(VLOOKUP('19.02'!Z22,'19.02'!$AO$4:$AQ$55,2,FALSE))*IF('19.02'!$AK22="是",'19.02'!$BB$4,'19.02'!$BB$3))</f>
        <v>152</v>
      </c>
      <c r="S22" s="4">
        <f>IF(ISNUMBER(SEARCH("营",'19.02'!AA22)),(-$Y22+50*IF('19.02'!$AK22="是",'19.02'!$BB$4,'19.02'!$BB$3)),(VLOOKUP('19.02'!AA22,'19.02'!$AO$4:$AQ$55,2,FALSE))*IF('19.02'!$AK22="是",'19.02'!$BB$4,'19.02'!$BB$3))</f>
        <v>152</v>
      </c>
      <c r="T22" s="4">
        <f>IF(ISNUMBER(SEARCH("营",'19.02'!AB22)),(-$Y22+50*IF('19.02'!$AK22="是",'19.02'!$BB$4,'19.02'!$BB$3)),(VLOOKUP('19.02'!AB22,'19.02'!$AO$4:$AQ$55,2,FALSE))*IF('19.02'!$AK22="是",'19.02'!$BB$4,'19.02'!$BB$3))</f>
        <v>144</v>
      </c>
      <c r="U22" s="4">
        <f>IF(ISNUMBER(SEARCH("营",'19.02'!AC22)),(-$Y22+50*IF('19.02'!$AK22="是",'19.02'!$BB$4,'19.02'!$BB$3)),(VLOOKUP('19.02'!AC22,'19.02'!$AO$4:$AQ$55,2,FALSE))*IF('19.02'!$AK22="是",'19.02'!$BB$4,'19.02'!$BB$3))</f>
        <v>144</v>
      </c>
      <c r="V22" s="4">
        <f>IF(ISNUMBER(SEARCH("营",'19.02'!AD22)),(-$Y22+50*IF('19.02'!$AK22="是",'19.02'!$BB$4,'19.02'!$BB$3)),(VLOOKUP('19.02'!AD22,'19.02'!$AO$4:$AQ$55,2,FALSE))*IF('19.02'!$AK22="是",'19.02'!$BB$4,'19.02'!$BB$3))</f>
        <v>0</v>
      </c>
      <c r="W22" s="4">
        <f>IF(ISNUMBER(SEARCH("营",'19.02'!AE22)),(-$Y22+50*IF('19.02'!$AK22="是",'19.02'!$BB$4,'19.02'!$BB$3)),(VLOOKUP('19.02'!AE22,'19.02'!$AO$4:$AQ$55,2,FALSE))*IF('19.02'!$AK22="是",'19.02'!$BB$4,'19.02'!$BB$3))</f>
        <v>0</v>
      </c>
      <c r="X22" s="4">
        <f>IF(ISNUMBER(SEARCH("营",'19.02'!AF22)),(-$Y22+50*IF('19.02'!$AK22="是",'19.02'!$BB$4,'19.02'!$BB$3)),(VLOOKUP('19.02'!AF22,'19.02'!$AO$4:$AQ$55,2,FALSE))*IF('19.02'!$AK22="是",'19.02'!$BB$4,'19.02'!$BB$3))</f>
        <v>0</v>
      </c>
      <c r="Y22" s="77">
        <v>250</v>
      </c>
      <c r="Z22" s="94">
        <v>45748</v>
      </c>
    </row>
    <row r="23" spans="1:26">
      <c r="A23" s="4">
        <f>IF(ISNUMBER(SEARCH("营",'19.02'!I23)),(-$Y23+50*IF('19.02'!$AK23="是",'19.02'!$BB$4,'19.02'!$BB$3)),(VLOOKUP('19.02'!I23,'19.02'!$AO$4:$AQ$55,2,FALSE))*IF('19.02'!$AK23="是",'19.02'!$BB$4,'19.02'!$BB$3))</f>
        <v>0</v>
      </c>
      <c r="B23" s="4">
        <f>IF(ISNUMBER(SEARCH("营",'19.02'!J23)),(-$Y23+50*IF('19.02'!$AK23="是",'19.02'!$BB$4,'19.02'!$BB$3)),(VLOOKUP('19.02'!J23,'19.02'!$AO$4:$AQ$55,2,FALSE))*IF('19.02'!$AK23="是",'19.02'!$BB$4,'19.02'!$BB$3))</f>
        <v>0</v>
      </c>
      <c r="C23" s="4">
        <f>IF(ISNUMBER(SEARCH("营",'19.02'!K23)),(-$Y23+50*IF('19.02'!$AK23="是",'19.02'!$BB$4,'19.02'!$BB$3)),(VLOOKUP('19.02'!K23,'19.02'!$AO$4:$AQ$55,2,FALSE))*IF('19.02'!$AK23="是",'19.02'!$BB$4,'19.02'!$BB$3))</f>
        <v>0</v>
      </c>
      <c r="D23" s="4">
        <f>IF(ISNUMBER(SEARCH("营",'19.02'!L23)),(-$Y23+50*IF('19.02'!$AK23="是",'19.02'!$BB$4,'19.02'!$BB$3)),(VLOOKUP('19.02'!L23,'19.02'!$AO$4:$AQ$55,2,FALSE))*IF('19.02'!$AK23="是",'19.02'!$BB$4,'19.02'!$BB$3))</f>
        <v>0</v>
      </c>
      <c r="E23" s="4">
        <f>IF(ISNUMBER(SEARCH("营",'19.02'!M23)),(-$Y23+50*IF('19.02'!$AK23="是",'19.02'!$BB$4,'19.02'!$BB$3)),(VLOOKUP('19.02'!M23,'19.02'!$AO$4:$AQ$55,2,FALSE))*IF('19.02'!$AK23="是",'19.02'!$BB$4,'19.02'!$BB$3))</f>
        <v>0</v>
      </c>
      <c r="F23" s="4">
        <f>IF(ISNUMBER(SEARCH("营",'19.02'!N23)),(-$Y23+50*IF('19.02'!$AK23="是",'19.02'!$BB$4,'19.02'!$BB$3)),(VLOOKUP('19.02'!N23,'19.02'!$AO$4:$AQ$55,2,FALSE))*IF('19.02'!$AK23="是",'19.02'!$BB$4,'19.02'!$BB$3))</f>
        <v>0</v>
      </c>
      <c r="G23" s="4">
        <f>IF(ISNUMBER(SEARCH("营",'19.02'!O23)),(-$Y23+50*IF('19.02'!$AK23="是",'19.02'!$BB$4,'19.02'!$BB$3)),(VLOOKUP('19.02'!O23,'19.02'!$AO$4:$AQ$55,2,FALSE))*IF('19.02'!$AK23="是",'19.02'!$BB$4,'19.02'!$BB$3))</f>
        <v>0</v>
      </c>
      <c r="H23" s="4">
        <f>IF(ISNUMBER(SEARCH("营",'19.02'!P23)),(-$Y23+50*IF('19.02'!$AK23="是",'19.02'!$BB$4,'19.02'!$BB$3)),(VLOOKUP('19.02'!P23,'19.02'!$AO$4:$AQ$55,2,FALSE))*IF('19.02'!$AK23="是",'19.02'!$BB$4,'19.02'!$BB$3))</f>
        <v>0</v>
      </c>
      <c r="I23" s="4">
        <f>IF(ISNUMBER(SEARCH("营",'19.02'!Q23)),(-$Y23+50*IF('19.02'!$AK23="是",'19.02'!$BB$4,'19.02'!$BB$3)),(VLOOKUP('19.02'!Q23,'19.02'!$AO$4:$AQ$55,2,FALSE))*IF('19.02'!$AK23="是",'19.02'!$BB$4,'19.02'!$BB$3))</f>
        <v>160</v>
      </c>
      <c r="J23" s="4">
        <f>IF(ISNUMBER(SEARCH("营",'19.02'!R23)),(-$Y23+50*IF('19.02'!$AK23="是",'19.02'!$BB$4,'19.02'!$BB$3)),(VLOOKUP('19.02'!R23,'19.02'!$AO$4:$AQ$55,2,FALSE))*IF('19.02'!$AK23="是",'19.02'!$BB$4,'19.02'!$BB$3))</f>
        <v>160</v>
      </c>
      <c r="K23" s="4">
        <f>IF(ISNUMBER(SEARCH("营",'19.02'!S23)),(-$Y23+50*IF('19.02'!$AK23="是",'19.02'!$BB$4,'19.02'!$BB$3)),(VLOOKUP('19.02'!S23,'19.02'!$AO$4:$AQ$55,2,FALSE))*IF('19.02'!$AK23="是",'19.02'!$BB$4,'19.02'!$BB$3))</f>
        <v>160</v>
      </c>
      <c r="L23" s="4">
        <f>IF(ISNUMBER(SEARCH("营",'19.02'!T23)),(-$Y23+50*IF('19.02'!$AK23="是",'19.02'!$BB$4,'19.02'!$BB$3)),(VLOOKUP('19.02'!T23,'19.02'!$AO$4:$AQ$55,2,FALSE))*IF('19.02'!$AK23="是",'19.02'!$BB$4,'19.02'!$BB$3))</f>
        <v>160</v>
      </c>
      <c r="M23" s="4">
        <f>IF(ISNUMBER(SEARCH("营",'19.02'!U23)),(-$Y23+50*IF('19.02'!$AK23="是",'19.02'!$BB$4,'19.02'!$BB$3)),(VLOOKUP('19.02'!U23,'19.02'!$AO$4:$AQ$55,2,FALSE))*IF('19.02'!$AK23="是",'19.02'!$BB$4,'19.02'!$BB$3))</f>
        <v>-210</v>
      </c>
      <c r="N23" s="4">
        <f>IF(ISNUMBER(SEARCH("营",'19.02'!V23)),(-$Y23+50*IF('19.02'!$AK23="是",'19.02'!$BB$4,'19.02'!$BB$3)),(VLOOKUP('19.02'!V23,'19.02'!$AO$4:$AQ$55,2,FALSE))*IF('19.02'!$AK23="是",'19.02'!$BB$4,'19.02'!$BB$3))</f>
        <v>0</v>
      </c>
      <c r="O23" s="4">
        <f>IF(ISNUMBER(SEARCH("营",'19.02'!W23)),(-$Y23+50*IF('19.02'!$AK23="是",'19.02'!$BB$4,'19.02'!$BB$3)),(VLOOKUP('19.02'!W23,'19.02'!$AO$4:$AQ$55,2,FALSE))*IF('19.02'!$AK23="是",'19.02'!$BB$4,'19.02'!$BB$3))</f>
        <v>0</v>
      </c>
      <c r="P23" s="4">
        <f>IF(ISNUMBER(SEARCH("营",'19.02'!X23)),(-$Y23+50*IF('19.02'!$AK23="是",'19.02'!$BB$4,'19.02'!$BB$3)),(VLOOKUP('19.02'!X23,'19.02'!$AO$4:$AQ$55,2,FALSE))*IF('19.02'!$AK23="是",'19.02'!$BB$4,'19.02'!$BB$3))</f>
        <v>0</v>
      </c>
      <c r="Q23" s="4">
        <f>IF(ISNUMBER(SEARCH("营",'19.02'!Y23)),(-$Y23+50*IF('19.02'!$AK23="是",'19.02'!$BB$4,'19.02'!$BB$3)),(VLOOKUP('19.02'!Y23,'19.02'!$AO$4:$AQ$55,2,FALSE))*IF('19.02'!$AK23="是",'19.02'!$BB$4,'19.02'!$BB$3))</f>
        <v>200</v>
      </c>
      <c r="R23" s="4">
        <f>IF(ISNUMBER(SEARCH("营",'19.02'!Z23)),(-$Y23+50*IF('19.02'!$AK23="是",'19.02'!$BB$4,'19.02'!$BB$3)),(VLOOKUP('19.02'!Z23,'19.02'!$AO$4:$AQ$55,2,FALSE))*IF('19.02'!$AK23="是",'19.02'!$BB$4,'19.02'!$BB$3))</f>
        <v>40</v>
      </c>
      <c r="S23" s="4">
        <f>IF(ISNUMBER(SEARCH("营",'19.02'!AA23)),(-$Y23+50*IF('19.02'!$AK23="是",'19.02'!$BB$4,'19.02'!$BB$3)),(VLOOKUP('19.02'!AA23,'19.02'!$AO$4:$AQ$55,2,FALSE))*IF('19.02'!$AK23="是",'19.02'!$BB$4,'19.02'!$BB$3))</f>
        <v>144</v>
      </c>
      <c r="T23" s="4">
        <f>IF(ISNUMBER(SEARCH("营",'19.02'!AB23)),(-$Y23+50*IF('19.02'!$AK23="是",'19.02'!$BB$4,'19.02'!$BB$3)),(VLOOKUP('19.02'!AB23,'19.02'!$AO$4:$AQ$55,2,FALSE))*IF('19.02'!$AK23="是",'19.02'!$BB$4,'19.02'!$BB$3))</f>
        <v>152</v>
      </c>
      <c r="U23" s="4">
        <f>IF(ISNUMBER(SEARCH("营",'19.02'!AC23)),(-$Y23+50*IF('19.02'!$AK23="是",'19.02'!$BB$4,'19.02'!$BB$3)),(VLOOKUP('19.02'!AC23,'19.02'!$AO$4:$AQ$55,2,FALSE))*IF('19.02'!$AK23="是",'19.02'!$BB$4,'19.02'!$BB$3))</f>
        <v>152</v>
      </c>
      <c r="V23" s="4">
        <f>IF(ISNUMBER(SEARCH("营",'19.02'!AD23)),(-$Y23+50*IF('19.02'!$AK23="是",'19.02'!$BB$4,'19.02'!$BB$3)),(VLOOKUP('19.02'!AD23,'19.02'!$AO$4:$AQ$55,2,FALSE))*IF('19.02'!$AK23="是",'19.02'!$BB$4,'19.02'!$BB$3))</f>
        <v>-210</v>
      </c>
      <c r="W23" s="4">
        <f>IF(ISNUMBER(SEARCH("营",'19.02'!AE23)),(-$Y23+50*IF('19.02'!$AK23="是",'19.02'!$BB$4,'19.02'!$BB$3)),(VLOOKUP('19.02'!AE23,'19.02'!$AO$4:$AQ$55,2,FALSE))*IF('19.02'!$AK23="是",'19.02'!$BB$4,'19.02'!$BB$3))</f>
        <v>0</v>
      </c>
      <c r="X23" s="4">
        <f>IF(ISNUMBER(SEARCH("营",'19.02'!AF23)),(-$Y23+50*IF('19.02'!$AK23="是",'19.02'!$BB$4,'19.02'!$BB$3)),(VLOOKUP('19.02'!AF23,'19.02'!$AO$4:$AQ$55,2,FALSE))*IF('19.02'!$AK23="是",'19.02'!$BB$4,'19.02'!$BB$3))</f>
        <v>0</v>
      </c>
      <c r="Y23" s="77">
        <v>250</v>
      </c>
      <c r="Z23" s="94">
        <v>45749</v>
      </c>
    </row>
    <row r="24" spans="1:26">
      <c r="A24" s="4">
        <f>IF(ISNUMBER(SEARCH("营",'19.02'!I24)),(-$Y24+50*IF('19.02'!$AK24="是",'19.02'!$BB$4,'19.02'!$BB$3)),(VLOOKUP('19.02'!I24,'19.02'!$AO$4:$AQ$55,2,FALSE))*IF('19.02'!$AK24="是",'19.02'!$BB$4,'19.02'!$BB$3))</f>
        <v>0</v>
      </c>
      <c r="B24" s="4">
        <f>IF(ISNUMBER(SEARCH("营",'19.02'!J24)),(-$Y24+50*IF('19.02'!$AK24="是",'19.02'!$BB$4,'19.02'!$BB$3)),(VLOOKUP('19.02'!J24,'19.02'!$AO$4:$AQ$55,2,FALSE))*IF('19.02'!$AK24="是",'19.02'!$BB$4,'19.02'!$BB$3))</f>
        <v>0</v>
      </c>
      <c r="C24" s="4">
        <f>IF(ISNUMBER(SEARCH("营",'19.02'!K24)),(-$Y24+50*IF('19.02'!$AK24="是",'19.02'!$BB$4,'19.02'!$BB$3)),(VLOOKUP('19.02'!K24,'19.02'!$AO$4:$AQ$55,2,FALSE))*IF('19.02'!$AK24="是",'19.02'!$BB$4,'19.02'!$BB$3))</f>
        <v>0</v>
      </c>
      <c r="D24" s="4">
        <f>IF(ISNUMBER(SEARCH("营",'19.02'!L24)),(-$Y24+50*IF('19.02'!$AK24="是",'19.02'!$BB$4,'19.02'!$BB$3)),(VLOOKUP('19.02'!L24,'19.02'!$AO$4:$AQ$55,2,FALSE))*IF('19.02'!$AK24="是",'19.02'!$BB$4,'19.02'!$BB$3))</f>
        <v>0</v>
      </c>
      <c r="E24" s="4">
        <f>IF(ISNUMBER(SEARCH("营",'19.02'!M24)),(-$Y24+50*IF('19.02'!$AK24="是",'19.02'!$BB$4,'19.02'!$BB$3)),(VLOOKUP('19.02'!M24,'19.02'!$AO$4:$AQ$55,2,FALSE))*IF('19.02'!$AK24="是",'19.02'!$BB$4,'19.02'!$BB$3))</f>
        <v>0</v>
      </c>
      <c r="F24" s="4">
        <f>IF(ISNUMBER(SEARCH("营",'19.02'!N24)),(-$Y24+50*IF('19.02'!$AK24="是",'19.02'!$BB$4,'19.02'!$BB$3)),(VLOOKUP('19.02'!N24,'19.02'!$AO$4:$AQ$55,2,FALSE))*IF('19.02'!$AK24="是",'19.02'!$BB$4,'19.02'!$BB$3))</f>
        <v>0</v>
      </c>
      <c r="G24" s="4">
        <f>IF(ISNUMBER(SEARCH("营",'19.02'!O24)),(-$Y24+50*IF('19.02'!$AK24="是",'19.02'!$BB$4,'19.02'!$BB$3)),(VLOOKUP('19.02'!O24,'19.02'!$AO$4:$AQ$55,2,FALSE))*IF('19.02'!$AK24="是",'19.02'!$BB$4,'19.02'!$BB$3))</f>
        <v>0</v>
      </c>
      <c r="H24" s="4">
        <f>IF(ISNUMBER(SEARCH("营",'19.02'!P24)),(-$Y24+50*IF('19.02'!$AK24="是",'19.02'!$BB$4,'19.02'!$BB$3)),(VLOOKUP('19.02'!P24,'19.02'!$AO$4:$AQ$55,2,FALSE))*IF('19.02'!$AK24="是",'19.02'!$BB$4,'19.02'!$BB$3))</f>
        <v>0</v>
      </c>
      <c r="I24" s="4">
        <f>IF(ISNUMBER(SEARCH("营",'19.02'!Q24)),(-$Y24+50*IF('19.02'!$AK24="是",'19.02'!$BB$4,'19.02'!$BB$3)),(VLOOKUP('19.02'!Q24,'19.02'!$AO$4:$AQ$55,2,FALSE))*IF('19.02'!$AK24="是",'19.02'!$BB$4,'19.02'!$BB$3))</f>
        <v>0</v>
      </c>
      <c r="J24" s="4">
        <f>IF(ISNUMBER(SEARCH("营",'19.02'!R24)),(-$Y24+50*IF('19.02'!$AK24="是",'19.02'!$BB$4,'19.02'!$BB$3)),(VLOOKUP('19.02'!R24,'19.02'!$AO$4:$AQ$55,2,FALSE))*IF('19.02'!$AK24="是",'19.02'!$BB$4,'19.02'!$BB$3))</f>
        <v>0</v>
      </c>
      <c r="K24" s="4">
        <f>IF(ISNUMBER(SEARCH("营",'19.02'!S24)),(-$Y24+50*IF('19.02'!$AK24="是",'19.02'!$BB$4,'19.02'!$BB$3)),(VLOOKUP('19.02'!S24,'19.02'!$AO$4:$AQ$55,2,FALSE))*IF('19.02'!$AK24="是",'19.02'!$BB$4,'19.02'!$BB$3))</f>
        <v>0</v>
      </c>
      <c r="L24" s="4">
        <f>IF(ISNUMBER(SEARCH("营",'19.02'!T24)),(-$Y24+50*IF('19.02'!$AK24="是",'19.02'!$BB$4,'19.02'!$BB$3)),(VLOOKUP('19.02'!T24,'19.02'!$AO$4:$AQ$55,2,FALSE))*IF('19.02'!$AK24="是",'19.02'!$BB$4,'19.02'!$BB$3))</f>
        <v>0</v>
      </c>
      <c r="M24" s="4">
        <f>IF(ISNUMBER(SEARCH("营",'19.02'!U24)),(-$Y24+50*IF('19.02'!$AK24="是",'19.02'!$BB$4,'19.02'!$BB$3)),(VLOOKUP('19.02'!U24,'19.02'!$AO$4:$AQ$55,2,FALSE))*IF('19.02'!$AK24="是",'19.02'!$BB$4,'19.02'!$BB$3))</f>
        <v>0</v>
      </c>
      <c r="N24" s="4">
        <f>IF(ISNUMBER(SEARCH("营",'19.02'!V24)),(-$Y24+50*IF('19.02'!$AK24="是",'19.02'!$BB$4,'19.02'!$BB$3)),(VLOOKUP('19.02'!V24,'19.02'!$AO$4:$AQ$55,2,FALSE))*IF('19.02'!$AK24="是",'19.02'!$BB$4,'19.02'!$BB$3))</f>
        <v>0</v>
      </c>
      <c r="O24" s="4">
        <f>IF(ISNUMBER(SEARCH("营",'19.02'!W24)),(-$Y24+50*IF('19.02'!$AK24="是",'19.02'!$BB$4,'19.02'!$BB$3)),(VLOOKUP('19.02'!W24,'19.02'!$AO$4:$AQ$55,2,FALSE))*IF('19.02'!$AK24="是",'19.02'!$BB$4,'19.02'!$BB$3))</f>
        <v>0</v>
      </c>
      <c r="P24" s="4">
        <f>IF(ISNUMBER(SEARCH("营",'19.02'!X24)),(-$Y24+50*IF('19.02'!$AK24="是",'19.02'!$BB$4,'19.02'!$BB$3)),(VLOOKUP('19.02'!X24,'19.02'!$AO$4:$AQ$55,2,FALSE))*IF('19.02'!$AK24="是",'19.02'!$BB$4,'19.02'!$BB$3))</f>
        <v>0</v>
      </c>
      <c r="Q24" s="4">
        <f>IF(ISNUMBER(SEARCH("营",'19.02'!Y24)),(-$Y24+50*IF('19.02'!$AK24="是",'19.02'!$BB$4,'19.02'!$BB$3)),(VLOOKUP('19.02'!Y24,'19.02'!$AO$4:$AQ$55,2,FALSE))*IF('19.02'!$AK24="是",'19.02'!$BB$4,'19.02'!$BB$3))</f>
        <v>0</v>
      </c>
      <c r="R24" s="4">
        <f>IF(ISNUMBER(SEARCH("营",'19.02'!Z24)),(-$Y24+50*IF('19.02'!$AK24="是",'19.02'!$BB$4,'19.02'!$BB$3)),(VLOOKUP('19.02'!Z24,'19.02'!$AO$4:$AQ$55,2,FALSE))*IF('19.02'!$AK24="是",'19.02'!$BB$4,'19.02'!$BB$3))</f>
        <v>0</v>
      </c>
      <c r="S24" s="4">
        <f>IF(ISNUMBER(SEARCH("营",'19.02'!AA24)),(-$Y24+50*IF('19.02'!$AK24="是",'19.02'!$BB$4,'19.02'!$BB$3)),(VLOOKUP('19.02'!AA24,'19.02'!$AO$4:$AQ$55,2,FALSE))*IF('19.02'!$AK24="是",'19.02'!$BB$4,'19.02'!$BB$3))</f>
        <v>0</v>
      </c>
      <c r="T24" s="4">
        <f>IF(ISNUMBER(SEARCH("营",'19.02'!AB24)),(-$Y24+50*IF('19.02'!$AK24="是",'19.02'!$BB$4,'19.02'!$BB$3)),(VLOOKUP('19.02'!AB24,'19.02'!$AO$4:$AQ$55,2,FALSE))*IF('19.02'!$AK24="是",'19.02'!$BB$4,'19.02'!$BB$3))</f>
        <v>0</v>
      </c>
      <c r="U24" s="4">
        <f>IF(ISNUMBER(SEARCH("营",'19.02'!AC24)),(-$Y24+50*IF('19.02'!$AK24="是",'19.02'!$BB$4,'19.02'!$BB$3)),(VLOOKUP('19.02'!AC24,'19.02'!$AO$4:$AQ$55,2,FALSE))*IF('19.02'!$AK24="是",'19.02'!$BB$4,'19.02'!$BB$3))</f>
        <v>0</v>
      </c>
      <c r="V24" s="4">
        <f>IF(ISNUMBER(SEARCH("营",'19.02'!AD24)),(-$Y24+50*IF('19.02'!$AK24="是",'19.02'!$BB$4,'19.02'!$BB$3)),(VLOOKUP('19.02'!AD24,'19.02'!$AO$4:$AQ$55,2,FALSE))*IF('19.02'!$AK24="是",'19.02'!$BB$4,'19.02'!$BB$3))</f>
        <v>0</v>
      </c>
      <c r="W24" s="4">
        <f>IF(ISNUMBER(SEARCH("营",'19.02'!AE24)),(-$Y24+50*IF('19.02'!$AK24="是",'19.02'!$BB$4,'19.02'!$BB$3)),(VLOOKUP('19.02'!AE24,'19.02'!$AO$4:$AQ$55,2,FALSE))*IF('19.02'!$AK24="是",'19.02'!$BB$4,'19.02'!$BB$3))</f>
        <v>0</v>
      </c>
      <c r="X24" s="4">
        <f>IF(ISNUMBER(SEARCH("营",'19.02'!AF24)),(-$Y24+50*IF('19.02'!$AK24="是",'19.02'!$BB$4,'19.02'!$BB$3)),(VLOOKUP('19.02'!AF24,'19.02'!$AO$4:$AQ$55,2,FALSE))*IF('19.02'!$AK24="是",'19.02'!$BB$4,'19.02'!$BB$3))</f>
        <v>0</v>
      </c>
      <c r="Y24" s="76">
        <v>200</v>
      </c>
      <c r="Z24" s="85">
        <v>45750</v>
      </c>
    </row>
    <row r="25" spans="1:26">
      <c r="A25" s="4">
        <f>IF(ISNUMBER(SEARCH("营",'19.02'!I25)),(-$Y25+50*IF('19.02'!$AK25="是",'19.02'!$BB$4,'19.02'!$BB$3)),(VLOOKUP('19.02'!I25,'19.02'!$AO$4:$AQ$55,2,FALSE))*IF('19.02'!$AK25="是",'19.02'!$BB$4,'19.02'!$BB$3))</f>
        <v>0</v>
      </c>
      <c r="B25" s="4">
        <f>IF(ISNUMBER(SEARCH("营",'19.02'!J25)),(-$Y25+50*IF('19.02'!$AK25="是",'19.02'!$BB$4,'19.02'!$BB$3)),(VLOOKUP('19.02'!J25,'19.02'!$AO$4:$AQ$55,2,FALSE))*IF('19.02'!$AK25="是",'19.02'!$BB$4,'19.02'!$BB$3))</f>
        <v>0</v>
      </c>
      <c r="C25" s="4">
        <f>IF(ISNUMBER(SEARCH("营",'19.02'!K25)),(-$Y25+50*IF('19.02'!$AK25="是",'19.02'!$BB$4,'19.02'!$BB$3)),(VLOOKUP('19.02'!K25,'19.02'!$AO$4:$AQ$55,2,FALSE))*IF('19.02'!$AK25="是",'19.02'!$BB$4,'19.02'!$BB$3))</f>
        <v>0</v>
      </c>
      <c r="D25" s="4">
        <f>IF(ISNUMBER(SEARCH("营",'19.02'!L25)),(-$Y25+50*IF('19.02'!$AK25="是",'19.02'!$BB$4,'19.02'!$BB$3)),(VLOOKUP('19.02'!L25,'19.02'!$AO$4:$AQ$55,2,FALSE))*IF('19.02'!$AK25="是",'19.02'!$BB$4,'19.02'!$BB$3))</f>
        <v>0</v>
      </c>
      <c r="E25" s="4">
        <f>IF(ISNUMBER(SEARCH("营",'19.02'!M25)),(-$Y25+50*IF('19.02'!$AK25="是",'19.02'!$BB$4,'19.02'!$BB$3)),(VLOOKUP('19.02'!M25,'19.02'!$AO$4:$AQ$55,2,FALSE))*IF('19.02'!$AK25="是",'19.02'!$BB$4,'19.02'!$BB$3))</f>
        <v>0</v>
      </c>
      <c r="F25" s="4">
        <f>IF(ISNUMBER(SEARCH("营",'19.02'!N25)),(-$Y25+50*IF('19.02'!$AK25="是",'19.02'!$BB$4,'19.02'!$BB$3)),(VLOOKUP('19.02'!N25,'19.02'!$AO$4:$AQ$55,2,FALSE))*IF('19.02'!$AK25="是",'19.02'!$BB$4,'19.02'!$BB$3))</f>
        <v>0</v>
      </c>
      <c r="G25" s="4">
        <f>IF(ISNUMBER(SEARCH("营",'19.02'!O25)),(-$Y25+50*IF('19.02'!$AK25="是",'19.02'!$BB$4,'19.02'!$BB$3)),(VLOOKUP('19.02'!O25,'19.02'!$AO$4:$AQ$55,2,FALSE))*IF('19.02'!$AK25="是",'19.02'!$BB$4,'19.02'!$BB$3))</f>
        <v>0</v>
      </c>
      <c r="H25" s="4">
        <f>IF(ISNUMBER(SEARCH("营",'19.02'!P25)),(-$Y25+50*IF('19.02'!$AK25="是",'19.02'!$BB$4,'19.02'!$BB$3)),(VLOOKUP('19.02'!P25,'19.02'!$AO$4:$AQ$55,2,FALSE))*IF('19.02'!$AK25="是",'19.02'!$BB$4,'19.02'!$BB$3))</f>
        <v>0</v>
      </c>
      <c r="I25" s="4">
        <f>IF(ISNUMBER(SEARCH("营",'19.02'!Q25)),(-$Y25+50*IF('19.02'!$AK25="是",'19.02'!$BB$4,'19.02'!$BB$3)),(VLOOKUP('19.02'!Q25,'19.02'!$AO$4:$AQ$55,2,FALSE))*IF('19.02'!$AK25="是",'19.02'!$BB$4,'19.02'!$BB$3))</f>
        <v>160</v>
      </c>
      <c r="J25" s="4">
        <f>IF(ISNUMBER(SEARCH("营",'19.02'!R25)),(-$Y25+50*IF('19.02'!$AK25="是",'19.02'!$BB$4,'19.02'!$BB$3)),(VLOOKUP('19.02'!R25,'19.02'!$AO$4:$AQ$55,2,FALSE))*IF('19.02'!$AK25="是",'19.02'!$BB$4,'19.02'!$BB$3))</f>
        <v>160</v>
      </c>
      <c r="K25" s="4">
        <f>IF(ISNUMBER(SEARCH("营",'19.02'!S25)),(-$Y25+50*IF('19.02'!$AK25="是",'19.02'!$BB$4,'19.02'!$BB$3)),(VLOOKUP('19.02'!S25,'19.02'!$AO$4:$AQ$55,2,FALSE))*IF('19.02'!$AK25="是",'19.02'!$BB$4,'19.02'!$BB$3))</f>
        <v>200</v>
      </c>
      <c r="L25" s="4">
        <f>IF(ISNUMBER(SEARCH("营",'19.02'!T25)),(-$Y25+50*IF('19.02'!$AK25="是",'19.02'!$BB$4,'19.02'!$BB$3)),(VLOOKUP('19.02'!T25,'19.02'!$AO$4:$AQ$55,2,FALSE))*IF('19.02'!$AK25="是",'19.02'!$BB$4,'19.02'!$BB$3))</f>
        <v>160</v>
      </c>
      <c r="M25" s="4">
        <f>IF(ISNUMBER(SEARCH("营",'19.02'!U25)),(-$Y25+50*IF('19.02'!$AK25="是",'19.02'!$BB$4,'19.02'!$BB$3)),(VLOOKUP('19.02'!U25,'19.02'!$AO$4:$AQ$55,2,FALSE))*IF('19.02'!$AK25="是",'19.02'!$BB$4,'19.02'!$BB$3))</f>
        <v>160</v>
      </c>
      <c r="N25" s="4">
        <f>IF(ISNUMBER(SEARCH("营",'19.02'!V25)),(-$Y25+50*IF('19.02'!$AK25="是",'19.02'!$BB$4,'19.02'!$BB$3)),(VLOOKUP('19.02'!V25,'19.02'!$AO$4:$AQ$55,2,FALSE))*IF('19.02'!$AK25="是",'19.02'!$BB$4,'19.02'!$BB$3))</f>
        <v>0</v>
      </c>
      <c r="O25" s="4">
        <f>IF(ISNUMBER(SEARCH("营",'19.02'!W25)),(-$Y25+50*IF('19.02'!$AK25="是",'19.02'!$BB$4,'19.02'!$BB$3)),(VLOOKUP('19.02'!W25,'19.02'!$AO$4:$AQ$55,2,FALSE))*IF('19.02'!$AK25="是",'19.02'!$BB$4,'19.02'!$BB$3))</f>
        <v>0</v>
      </c>
      <c r="P25" s="4">
        <f>IF(ISNUMBER(SEARCH("营",'19.02'!X25)),(-$Y25+50*IF('19.02'!$AK25="是",'19.02'!$BB$4,'19.02'!$BB$3)),(VLOOKUP('19.02'!X25,'19.02'!$AO$4:$AQ$55,2,FALSE))*IF('19.02'!$AK25="是",'19.02'!$BB$4,'19.02'!$BB$3))</f>
        <v>0</v>
      </c>
      <c r="Q25" s="4">
        <f>IF(ISNUMBER(SEARCH("营",'19.02'!Y25)),(-$Y25+50*IF('19.02'!$AK25="是",'19.02'!$BB$4,'19.02'!$BB$3)),(VLOOKUP('19.02'!Y25,'19.02'!$AO$4:$AQ$55,2,FALSE))*IF('19.02'!$AK25="是",'19.02'!$BB$4,'19.02'!$BB$3))</f>
        <v>0</v>
      </c>
      <c r="R25" s="4">
        <f>IF(ISNUMBER(SEARCH("营",'19.02'!Z25)),(-$Y25+50*IF('19.02'!$AK25="是",'19.02'!$BB$4,'19.02'!$BB$3)),(VLOOKUP('19.02'!Z25,'19.02'!$AO$4:$AQ$55,2,FALSE))*IF('19.02'!$AK25="是",'19.02'!$BB$4,'19.02'!$BB$3))</f>
        <v>0</v>
      </c>
      <c r="S25" s="4">
        <f>IF(ISNUMBER(SEARCH("营",'19.02'!AA25)),(-$Y25+50*IF('19.02'!$AK25="是",'19.02'!$BB$4,'19.02'!$BB$3)),(VLOOKUP('19.02'!AA25,'19.02'!$AO$4:$AQ$55,2,FALSE))*IF('19.02'!$AK25="是",'19.02'!$BB$4,'19.02'!$BB$3))</f>
        <v>0</v>
      </c>
      <c r="T25" s="4">
        <f>IF(ISNUMBER(SEARCH("营",'19.02'!AB25)),(-$Y25+50*IF('19.02'!$AK25="是",'19.02'!$BB$4,'19.02'!$BB$3)),(VLOOKUP('19.02'!AB25,'19.02'!$AO$4:$AQ$55,2,FALSE))*IF('19.02'!$AK25="是",'19.02'!$BB$4,'19.02'!$BB$3))</f>
        <v>0</v>
      </c>
      <c r="U25" s="4">
        <f>IF(ISNUMBER(SEARCH("营",'19.02'!AC25)),(-$Y25+50*IF('19.02'!$AK25="是",'19.02'!$BB$4,'19.02'!$BB$3)),(VLOOKUP('19.02'!AC25,'19.02'!$AO$4:$AQ$55,2,FALSE))*IF('19.02'!$AK25="是",'19.02'!$BB$4,'19.02'!$BB$3))</f>
        <v>0</v>
      </c>
      <c r="V25" s="4">
        <f>IF(ISNUMBER(SEARCH("营",'19.02'!AD25)),(-$Y25+50*IF('19.02'!$AK25="是",'19.02'!$BB$4,'19.02'!$BB$3)),(VLOOKUP('19.02'!AD25,'19.02'!$AO$4:$AQ$55,2,FALSE))*IF('19.02'!$AK25="是",'19.02'!$BB$4,'19.02'!$BB$3))</f>
        <v>0</v>
      </c>
      <c r="W25" s="4">
        <f>IF(ISNUMBER(SEARCH("营",'19.02'!AE25)),(-$Y25+50*IF('19.02'!$AK25="是",'19.02'!$BB$4,'19.02'!$BB$3)),(VLOOKUP('19.02'!AE25,'19.02'!$AO$4:$AQ$55,2,FALSE))*IF('19.02'!$AK25="是",'19.02'!$BB$4,'19.02'!$BB$3))</f>
        <v>0</v>
      </c>
      <c r="X25" s="4">
        <f>IF(ISNUMBER(SEARCH("营",'19.02'!AF25)),(-$Y25+50*IF('19.02'!$AK25="是",'19.02'!$BB$4,'19.02'!$BB$3)),(VLOOKUP('19.02'!AF25,'19.02'!$AO$4:$AQ$55,2,FALSE))*IF('19.02'!$AK25="是",'19.02'!$BB$4,'19.02'!$BB$3))</f>
        <v>0</v>
      </c>
      <c r="Y25" s="76">
        <v>200</v>
      </c>
      <c r="Z25" s="85">
        <v>45751</v>
      </c>
    </row>
    <row r="26" spans="1:26">
      <c r="A26" s="4">
        <f>IF(ISNUMBER(SEARCH("营",'19.02'!I26)),(-$Y26+50*IF('19.02'!$AK26="是",'19.02'!$BB$4,'19.02'!$BB$3)),(VLOOKUP('19.02'!I26,'19.02'!$AO$4:$AQ$55,2,FALSE))*IF('19.02'!$AK26="是",'19.02'!$BB$4,'19.02'!$BB$3))</f>
        <v>0</v>
      </c>
      <c r="B26" s="4">
        <f>IF(ISNUMBER(SEARCH("营",'19.02'!J26)),(-$Y26+50*IF('19.02'!$AK26="是",'19.02'!$BB$4,'19.02'!$BB$3)),(VLOOKUP('19.02'!J26,'19.02'!$AO$4:$AQ$55,2,FALSE))*IF('19.02'!$AK26="是",'19.02'!$BB$4,'19.02'!$BB$3))</f>
        <v>0</v>
      </c>
      <c r="C26" s="4">
        <f>IF(ISNUMBER(SEARCH("营",'19.02'!K26)),(-$Y26+50*IF('19.02'!$AK26="是",'19.02'!$BB$4,'19.02'!$BB$3)),(VLOOKUP('19.02'!K26,'19.02'!$AO$4:$AQ$55,2,FALSE))*IF('19.02'!$AK26="是",'19.02'!$BB$4,'19.02'!$BB$3))</f>
        <v>0</v>
      </c>
      <c r="D26" s="4">
        <f>IF(ISNUMBER(SEARCH("营",'19.02'!L26)),(-$Y26+50*IF('19.02'!$AK26="是",'19.02'!$BB$4,'19.02'!$BB$3)),(VLOOKUP('19.02'!L26,'19.02'!$AO$4:$AQ$55,2,FALSE))*IF('19.02'!$AK26="是",'19.02'!$BB$4,'19.02'!$BB$3))</f>
        <v>0</v>
      </c>
      <c r="E26" s="4">
        <f>IF(ISNUMBER(SEARCH("营",'19.02'!M26)),(-$Y26+50*IF('19.02'!$AK26="是",'19.02'!$BB$4,'19.02'!$BB$3)),(VLOOKUP('19.02'!M26,'19.02'!$AO$4:$AQ$55,2,FALSE))*IF('19.02'!$AK26="是",'19.02'!$BB$4,'19.02'!$BB$3))</f>
        <v>0</v>
      </c>
      <c r="F26" s="4">
        <f>IF(ISNUMBER(SEARCH("营",'19.02'!N26)),(-$Y26+50*IF('19.02'!$AK26="是",'19.02'!$BB$4,'19.02'!$BB$3)),(VLOOKUP('19.02'!N26,'19.02'!$AO$4:$AQ$55,2,FALSE))*IF('19.02'!$AK26="是",'19.02'!$BB$4,'19.02'!$BB$3))</f>
        <v>0</v>
      </c>
      <c r="G26" s="4">
        <f>IF(ISNUMBER(SEARCH("营",'19.02'!O26)),(-$Y26+50*IF('19.02'!$AK26="是",'19.02'!$BB$4,'19.02'!$BB$3)),(VLOOKUP('19.02'!O26,'19.02'!$AO$4:$AQ$55,2,FALSE))*IF('19.02'!$AK26="是",'19.02'!$BB$4,'19.02'!$BB$3))</f>
        <v>0</v>
      </c>
      <c r="H26" s="4">
        <f>IF(ISNUMBER(SEARCH("营",'19.02'!P26)),(-$Y26+50*IF('19.02'!$AK26="是",'19.02'!$BB$4,'19.02'!$BB$3)),(VLOOKUP('19.02'!P26,'19.02'!$AO$4:$AQ$55,2,FALSE))*IF('19.02'!$AK26="是",'19.02'!$BB$4,'19.02'!$BB$3))</f>
        <v>0</v>
      </c>
      <c r="I26" s="4">
        <f>IF(ISNUMBER(SEARCH("营",'19.02'!Q26)),(-$Y26+50*IF('19.02'!$AK26="是",'19.02'!$BB$4,'19.02'!$BB$3)),(VLOOKUP('19.02'!Q26,'19.02'!$AO$4:$AQ$55,2,FALSE))*IF('19.02'!$AK26="是",'19.02'!$BB$4,'19.02'!$BB$3))</f>
        <v>160</v>
      </c>
      <c r="J26" s="4">
        <f>IF(ISNUMBER(SEARCH("营",'19.02'!R26)),(-$Y26+50*IF('19.02'!$AK26="是",'19.02'!$BB$4,'19.02'!$BB$3)),(VLOOKUP('19.02'!R26,'19.02'!$AO$4:$AQ$55,2,FALSE))*IF('19.02'!$AK26="是",'19.02'!$BB$4,'19.02'!$BB$3))</f>
        <v>160</v>
      </c>
      <c r="K26" s="4">
        <f>IF(ISNUMBER(SEARCH("营",'19.02'!S26)),(-$Y26+50*IF('19.02'!$AK26="是",'19.02'!$BB$4,'19.02'!$BB$3)),(VLOOKUP('19.02'!S26,'19.02'!$AO$4:$AQ$55,2,FALSE))*IF('19.02'!$AK26="是",'19.02'!$BB$4,'19.02'!$BB$3))</f>
        <v>160</v>
      </c>
      <c r="L26" s="4">
        <f>IF(ISNUMBER(SEARCH("营",'19.02'!T26)),(-$Y26+50*IF('19.02'!$AK26="是",'19.02'!$BB$4,'19.02'!$BB$3)),(VLOOKUP('19.02'!T26,'19.02'!$AO$4:$AQ$55,2,FALSE))*IF('19.02'!$AK26="是",'19.02'!$BB$4,'19.02'!$BB$3))</f>
        <v>160</v>
      </c>
      <c r="M26" s="4">
        <f>IF(ISNUMBER(SEARCH("营",'19.02'!U26)),(-$Y26+50*IF('19.02'!$AK26="是",'19.02'!$BB$4,'19.02'!$BB$3)),(VLOOKUP('19.02'!U26,'19.02'!$AO$4:$AQ$55,2,FALSE))*IF('19.02'!$AK26="是",'19.02'!$BB$4,'19.02'!$BB$3))</f>
        <v>160</v>
      </c>
      <c r="N26" s="4">
        <f>IF(ISNUMBER(SEARCH("营",'19.02'!V26)),(-$Y26+50*IF('19.02'!$AK26="是",'19.02'!$BB$4,'19.02'!$BB$3)),(VLOOKUP('19.02'!V26,'19.02'!$AO$4:$AQ$55,2,FALSE))*IF('19.02'!$AK26="是",'19.02'!$BB$4,'19.02'!$BB$3))</f>
        <v>0</v>
      </c>
      <c r="O26" s="4">
        <f>IF(ISNUMBER(SEARCH("营",'19.02'!W26)),(-$Y26+50*IF('19.02'!$AK26="是",'19.02'!$BB$4,'19.02'!$BB$3)),(VLOOKUP('19.02'!W26,'19.02'!$AO$4:$AQ$55,2,FALSE))*IF('19.02'!$AK26="是",'19.02'!$BB$4,'19.02'!$BB$3))</f>
        <v>0</v>
      </c>
      <c r="P26" s="4">
        <f>IF(ISNUMBER(SEARCH("营",'19.02'!X26)),(-$Y26+50*IF('19.02'!$AK26="是",'19.02'!$BB$4,'19.02'!$BB$3)),(VLOOKUP('19.02'!X26,'19.02'!$AO$4:$AQ$55,2,FALSE))*IF('19.02'!$AK26="是",'19.02'!$BB$4,'19.02'!$BB$3))</f>
        <v>0</v>
      </c>
      <c r="Q26" s="4">
        <f>IF(ISNUMBER(SEARCH("营",'19.02'!Y26)),(-$Y26+50*IF('19.02'!$AK26="是",'19.02'!$BB$4,'19.02'!$BB$3)),(VLOOKUP('19.02'!Y26,'19.02'!$AO$4:$AQ$55,2,FALSE))*IF('19.02'!$AK26="是",'19.02'!$BB$4,'19.02'!$BB$3))</f>
        <v>0</v>
      </c>
      <c r="R26" s="4">
        <f>IF(ISNUMBER(SEARCH("营",'19.02'!Z26)),(-$Y26+50*IF('19.02'!$AK26="是",'19.02'!$BB$4,'19.02'!$BB$3)),(VLOOKUP('19.02'!Z26,'19.02'!$AO$4:$AQ$55,2,FALSE))*IF('19.02'!$AK26="是",'19.02'!$BB$4,'19.02'!$BB$3))</f>
        <v>0</v>
      </c>
      <c r="S26" s="4">
        <f>IF(ISNUMBER(SEARCH("营",'19.02'!AA26)),(-$Y26+50*IF('19.02'!$AK26="是",'19.02'!$BB$4,'19.02'!$BB$3)),(VLOOKUP('19.02'!AA26,'19.02'!$AO$4:$AQ$55,2,FALSE))*IF('19.02'!$AK26="是",'19.02'!$BB$4,'19.02'!$BB$3))</f>
        <v>0</v>
      </c>
      <c r="T26" s="4">
        <f>IF(ISNUMBER(SEARCH("营",'19.02'!AB26)),(-$Y26+50*IF('19.02'!$AK26="是",'19.02'!$BB$4,'19.02'!$BB$3)),(VLOOKUP('19.02'!AB26,'19.02'!$AO$4:$AQ$55,2,FALSE))*IF('19.02'!$AK26="是",'19.02'!$BB$4,'19.02'!$BB$3))</f>
        <v>0</v>
      </c>
      <c r="U26" s="4">
        <f>IF(ISNUMBER(SEARCH("营",'19.02'!AC26)),(-$Y26+50*IF('19.02'!$AK26="是",'19.02'!$BB$4,'19.02'!$BB$3)),(VLOOKUP('19.02'!AC26,'19.02'!$AO$4:$AQ$55,2,FALSE))*IF('19.02'!$AK26="是",'19.02'!$BB$4,'19.02'!$BB$3))</f>
        <v>0</v>
      </c>
      <c r="V26" s="4">
        <f>IF(ISNUMBER(SEARCH("营",'19.02'!AD26)),(-$Y26+50*IF('19.02'!$AK26="是",'19.02'!$BB$4,'19.02'!$BB$3)),(VLOOKUP('19.02'!AD26,'19.02'!$AO$4:$AQ$55,2,FALSE))*IF('19.02'!$AK26="是",'19.02'!$BB$4,'19.02'!$BB$3))</f>
        <v>0</v>
      </c>
      <c r="W26" s="4">
        <f>IF(ISNUMBER(SEARCH("营",'19.02'!AE26)),(-$Y26+50*IF('19.02'!$AK26="是",'19.02'!$BB$4,'19.02'!$BB$3)),(VLOOKUP('19.02'!AE26,'19.02'!$AO$4:$AQ$55,2,FALSE))*IF('19.02'!$AK26="是",'19.02'!$BB$4,'19.02'!$BB$3))</f>
        <v>0</v>
      </c>
      <c r="X26" s="4">
        <f>IF(ISNUMBER(SEARCH("营",'19.02'!AF26)),(-$Y26+50*IF('19.02'!$AK26="是",'19.02'!$BB$4,'19.02'!$BB$3)),(VLOOKUP('19.02'!AF26,'19.02'!$AO$4:$AQ$55,2,FALSE))*IF('19.02'!$AK26="是",'19.02'!$BB$4,'19.02'!$BB$3))</f>
        <v>0</v>
      </c>
      <c r="Y26" s="76">
        <v>200</v>
      </c>
      <c r="Z26" s="85">
        <v>45752</v>
      </c>
    </row>
    <row r="27" spans="1:26">
      <c r="A27" s="4">
        <f>IF(ISNUMBER(SEARCH("营",'19.02'!I27)),(-$Y27+50*IF('19.02'!$AK27="是",'19.02'!$BB$4,'19.02'!$BB$3)),(VLOOKUP('19.02'!I27,'19.02'!$AO$4:$AQ$55,2,FALSE))*IF('19.02'!$AK27="是",'19.02'!$BB$4,'19.02'!$BB$3))</f>
        <v>0</v>
      </c>
      <c r="B27" s="4">
        <f>IF(ISNUMBER(SEARCH("营",'19.02'!J27)),(-$Y27+50*IF('19.02'!$AK27="是",'19.02'!$BB$4,'19.02'!$BB$3)),(VLOOKUP('19.02'!J27,'19.02'!$AO$4:$AQ$55,2,FALSE))*IF('19.02'!$AK27="是",'19.02'!$BB$4,'19.02'!$BB$3))</f>
        <v>0</v>
      </c>
      <c r="C27" s="4">
        <f>IF(ISNUMBER(SEARCH("营",'19.02'!K27)),(-$Y27+50*IF('19.02'!$AK27="是",'19.02'!$BB$4,'19.02'!$BB$3)),(VLOOKUP('19.02'!K27,'19.02'!$AO$4:$AQ$55,2,FALSE))*IF('19.02'!$AK27="是",'19.02'!$BB$4,'19.02'!$BB$3))</f>
        <v>0</v>
      </c>
      <c r="D27" s="4">
        <f>IF(ISNUMBER(SEARCH("营",'19.02'!L27)),(-$Y27+50*IF('19.02'!$AK27="是",'19.02'!$BB$4,'19.02'!$BB$3)),(VLOOKUP('19.02'!L27,'19.02'!$AO$4:$AQ$55,2,FALSE))*IF('19.02'!$AK27="是",'19.02'!$BB$4,'19.02'!$BB$3))</f>
        <v>0</v>
      </c>
      <c r="E27" s="4">
        <f>IF(ISNUMBER(SEARCH("营",'19.02'!M27)),(-$Y27+50*IF('19.02'!$AK27="是",'19.02'!$BB$4,'19.02'!$BB$3)),(VLOOKUP('19.02'!M27,'19.02'!$AO$4:$AQ$55,2,FALSE))*IF('19.02'!$AK27="是",'19.02'!$BB$4,'19.02'!$BB$3))</f>
        <v>0</v>
      </c>
      <c r="F27" s="4">
        <f>IF(ISNUMBER(SEARCH("营",'19.02'!N27)),(-$Y27+50*IF('19.02'!$AK27="是",'19.02'!$BB$4,'19.02'!$BB$3)),(VLOOKUP('19.02'!N27,'19.02'!$AO$4:$AQ$55,2,FALSE))*IF('19.02'!$AK27="是",'19.02'!$BB$4,'19.02'!$BB$3))</f>
        <v>0</v>
      </c>
      <c r="G27" s="4">
        <f>IF(ISNUMBER(SEARCH("营",'19.02'!O27)),(-$Y27+50*IF('19.02'!$AK27="是",'19.02'!$BB$4,'19.02'!$BB$3)),(VLOOKUP('19.02'!O27,'19.02'!$AO$4:$AQ$55,2,FALSE))*IF('19.02'!$AK27="是",'19.02'!$BB$4,'19.02'!$BB$3))</f>
        <v>0</v>
      </c>
      <c r="H27" s="4">
        <f>IF(ISNUMBER(SEARCH("营",'19.02'!P27)),(-$Y27+50*IF('19.02'!$AK27="是",'19.02'!$BB$4,'19.02'!$BB$3)),(VLOOKUP('19.02'!P27,'19.02'!$AO$4:$AQ$55,2,FALSE))*IF('19.02'!$AK27="是",'19.02'!$BB$4,'19.02'!$BB$3))</f>
        <v>0</v>
      </c>
      <c r="I27" s="4">
        <f>IF(ISNUMBER(SEARCH("营",'19.02'!Q27)),(-$Y27+50*IF('19.02'!$AK27="是",'19.02'!$BB$4,'19.02'!$BB$3)),(VLOOKUP('19.02'!Q27,'19.02'!$AO$4:$AQ$55,2,FALSE))*IF('19.02'!$AK27="是",'19.02'!$BB$4,'19.02'!$BB$3))</f>
        <v>160</v>
      </c>
      <c r="J27" s="4">
        <f>IF(ISNUMBER(SEARCH("营",'19.02'!R27)),(-$Y27+50*IF('19.02'!$AK27="是",'19.02'!$BB$4,'19.02'!$BB$3)),(VLOOKUP('19.02'!R27,'19.02'!$AO$4:$AQ$55,2,FALSE))*IF('19.02'!$AK27="是",'19.02'!$BB$4,'19.02'!$BB$3))</f>
        <v>160</v>
      </c>
      <c r="K27" s="4">
        <f>IF(ISNUMBER(SEARCH("营",'19.02'!S27)),(-$Y27+50*IF('19.02'!$AK27="是",'19.02'!$BB$4,'19.02'!$BB$3)),(VLOOKUP('19.02'!S27,'19.02'!$AO$4:$AQ$55,2,FALSE))*IF('19.02'!$AK27="是",'19.02'!$BB$4,'19.02'!$BB$3))</f>
        <v>160</v>
      </c>
      <c r="L27" s="4">
        <f>IF(ISNUMBER(SEARCH("营",'19.02'!T27)),(-$Y27+50*IF('19.02'!$AK27="是",'19.02'!$BB$4,'19.02'!$BB$3)),(VLOOKUP('19.02'!T27,'19.02'!$AO$4:$AQ$55,2,FALSE))*IF('19.02'!$AK27="是",'19.02'!$BB$4,'19.02'!$BB$3))</f>
        <v>160</v>
      </c>
      <c r="M27" s="4">
        <f>IF(ISNUMBER(SEARCH("营",'19.02'!U27)),(-$Y27+50*IF('19.02'!$AK27="是",'19.02'!$BB$4,'19.02'!$BB$3)),(VLOOKUP('19.02'!U27,'19.02'!$AO$4:$AQ$55,2,FALSE))*IF('19.02'!$AK27="是",'19.02'!$BB$4,'19.02'!$BB$3))</f>
        <v>160</v>
      </c>
      <c r="N27" s="4">
        <f>IF(ISNUMBER(SEARCH("营",'19.02'!V27)),(-$Y27+50*IF('19.02'!$AK27="是",'19.02'!$BB$4,'19.02'!$BB$3)),(VLOOKUP('19.02'!V27,'19.02'!$AO$4:$AQ$55,2,FALSE))*IF('19.02'!$AK27="是",'19.02'!$BB$4,'19.02'!$BB$3))</f>
        <v>160</v>
      </c>
      <c r="O27" s="4">
        <f>IF(ISNUMBER(SEARCH("营",'19.02'!W27)),(-$Y27+50*IF('19.02'!$AK27="是",'19.02'!$BB$4,'19.02'!$BB$3)),(VLOOKUP('19.02'!W27,'19.02'!$AO$4:$AQ$55,2,FALSE))*IF('19.02'!$AK27="是",'19.02'!$BB$4,'19.02'!$BB$3))</f>
        <v>160</v>
      </c>
      <c r="P27" s="4">
        <f>IF(ISNUMBER(SEARCH("营",'19.02'!X27)),(-$Y27+50*IF('19.02'!$AK27="是",'19.02'!$BB$4,'19.02'!$BB$3)),(VLOOKUP('19.02'!X27,'19.02'!$AO$4:$AQ$55,2,FALSE))*IF('19.02'!$AK27="是",'19.02'!$BB$4,'19.02'!$BB$3))</f>
        <v>152</v>
      </c>
      <c r="Q27" s="4">
        <f>IF(ISNUMBER(SEARCH("营",'19.02'!Y27)),(-$Y27+50*IF('19.02'!$AK27="是",'19.02'!$BB$4,'19.02'!$BB$3)),(VLOOKUP('19.02'!Y27,'19.02'!$AO$4:$AQ$55,2,FALSE))*IF('19.02'!$AK27="是",'19.02'!$BB$4,'19.02'!$BB$3))</f>
        <v>0</v>
      </c>
      <c r="R27" s="4">
        <f>IF(ISNUMBER(SEARCH("营",'19.02'!Z27)),(-$Y27+50*IF('19.02'!$AK27="是",'19.02'!$BB$4,'19.02'!$BB$3)),(VLOOKUP('19.02'!Z27,'19.02'!$AO$4:$AQ$55,2,FALSE))*IF('19.02'!$AK27="是",'19.02'!$BB$4,'19.02'!$BB$3))</f>
        <v>0</v>
      </c>
      <c r="S27" s="4">
        <f>IF(ISNUMBER(SEARCH("营",'19.02'!AA27)),(-$Y27+50*IF('19.02'!$AK27="是",'19.02'!$BB$4,'19.02'!$BB$3)),(VLOOKUP('19.02'!AA27,'19.02'!$AO$4:$AQ$55,2,FALSE))*IF('19.02'!$AK27="是",'19.02'!$BB$4,'19.02'!$BB$3))</f>
        <v>0</v>
      </c>
      <c r="T27" s="4">
        <f>IF(ISNUMBER(SEARCH("营",'19.02'!AB27)),(-$Y27+50*IF('19.02'!$AK27="是",'19.02'!$BB$4,'19.02'!$BB$3)),(VLOOKUP('19.02'!AB27,'19.02'!$AO$4:$AQ$55,2,FALSE))*IF('19.02'!$AK27="是",'19.02'!$BB$4,'19.02'!$BB$3))</f>
        <v>0</v>
      </c>
      <c r="U27" s="4">
        <f>IF(ISNUMBER(SEARCH("营",'19.02'!AC27)),(-$Y27+50*IF('19.02'!$AK27="是",'19.02'!$BB$4,'19.02'!$BB$3)),(VLOOKUP('19.02'!AC27,'19.02'!$AO$4:$AQ$55,2,FALSE))*IF('19.02'!$AK27="是",'19.02'!$BB$4,'19.02'!$BB$3))</f>
        <v>0</v>
      </c>
      <c r="V27" s="4">
        <f>IF(ISNUMBER(SEARCH("营",'19.02'!AD27)),(-$Y27+50*IF('19.02'!$AK27="是",'19.02'!$BB$4,'19.02'!$BB$3)),(VLOOKUP('19.02'!AD27,'19.02'!$AO$4:$AQ$55,2,FALSE))*IF('19.02'!$AK27="是",'19.02'!$BB$4,'19.02'!$BB$3))</f>
        <v>0</v>
      </c>
      <c r="W27" s="4">
        <f>IF(ISNUMBER(SEARCH("营",'19.02'!AE27)),(-$Y27+50*IF('19.02'!$AK27="是",'19.02'!$BB$4,'19.02'!$BB$3)),(VLOOKUP('19.02'!AE27,'19.02'!$AO$4:$AQ$55,2,FALSE))*IF('19.02'!$AK27="是",'19.02'!$BB$4,'19.02'!$BB$3))</f>
        <v>0</v>
      </c>
      <c r="X27" s="4">
        <f>IF(ISNUMBER(SEARCH("营",'19.02'!AF27)),(-$Y27+50*IF('19.02'!$AK27="是",'19.02'!$BB$4,'19.02'!$BB$3)),(VLOOKUP('19.02'!AF27,'19.02'!$AO$4:$AQ$55,2,FALSE))*IF('19.02'!$AK27="是",'19.02'!$BB$4,'19.02'!$BB$3))</f>
        <v>0</v>
      </c>
      <c r="Y27" s="76">
        <v>200</v>
      </c>
      <c r="Z27" s="85">
        <v>45753</v>
      </c>
    </row>
    <row r="28" spans="1:26">
      <c r="A28" s="4">
        <f>IF(ISNUMBER(SEARCH("营",'19.02'!I28)),(-$Y28+50*IF('19.02'!$AK28="是",'19.02'!$BB$4,'19.02'!$BB$3)),(VLOOKUP('19.02'!I28,'19.02'!$AO$4:$AQ$55,2,FALSE))*IF('19.02'!$AK28="是",'19.02'!$BB$4,'19.02'!$BB$3))</f>
        <v>0</v>
      </c>
      <c r="B28" s="4">
        <f>IF(ISNUMBER(SEARCH("营",'19.02'!J28)),(-$Y28+50*IF('19.02'!$AK28="是",'19.02'!$BB$4,'19.02'!$BB$3)),(VLOOKUP('19.02'!J28,'19.02'!$AO$4:$AQ$55,2,FALSE))*IF('19.02'!$AK28="是",'19.02'!$BB$4,'19.02'!$BB$3))</f>
        <v>0</v>
      </c>
      <c r="C28" s="4">
        <f>IF(ISNUMBER(SEARCH("营",'19.02'!K28)),(-$Y28+50*IF('19.02'!$AK28="是",'19.02'!$BB$4,'19.02'!$BB$3)),(VLOOKUP('19.02'!K28,'19.02'!$AO$4:$AQ$55,2,FALSE))*IF('19.02'!$AK28="是",'19.02'!$BB$4,'19.02'!$BB$3))</f>
        <v>0</v>
      </c>
      <c r="D28" s="4">
        <f>IF(ISNUMBER(SEARCH("营",'19.02'!L28)),(-$Y28+50*IF('19.02'!$AK28="是",'19.02'!$BB$4,'19.02'!$BB$3)),(VLOOKUP('19.02'!L28,'19.02'!$AO$4:$AQ$55,2,FALSE))*IF('19.02'!$AK28="是",'19.02'!$BB$4,'19.02'!$BB$3))</f>
        <v>0</v>
      </c>
      <c r="E28" s="4">
        <f>IF(ISNUMBER(SEARCH("营",'19.02'!M28)),(-$Y28+50*IF('19.02'!$AK28="是",'19.02'!$BB$4,'19.02'!$BB$3)),(VLOOKUP('19.02'!M28,'19.02'!$AO$4:$AQ$55,2,FALSE))*IF('19.02'!$AK28="是",'19.02'!$BB$4,'19.02'!$BB$3))</f>
        <v>0</v>
      </c>
      <c r="F28" s="4">
        <f>IF(ISNUMBER(SEARCH("营",'19.02'!N28)),(-$Y28+50*IF('19.02'!$AK28="是",'19.02'!$BB$4,'19.02'!$BB$3)),(VLOOKUP('19.02'!N28,'19.02'!$AO$4:$AQ$55,2,FALSE))*IF('19.02'!$AK28="是",'19.02'!$BB$4,'19.02'!$BB$3))</f>
        <v>0</v>
      </c>
      <c r="G28" s="4">
        <f>IF(ISNUMBER(SEARCH("营",'19.02'!O28)),(-$Y28+50*IF('19.02'!$AK28="是",'19.02'!$BB$4,'19.02'!$BB$3)),(VLOOKUP('19.02'!O28,'19.02'!$AO$4:$AQ$55,2,FALSE))*IF('19.02'!$AK28="是",'19.02'!$BB$4,'19.02'!$BB$3))</f>
        <v>0</v>
      </c>
      <c r="H28" s="4">
        <f>IF(ISNUMBER(SEARCH("营",'19.02'!P28)),(-$Y28+50*IF('19.02'!$AK28="是",'19.02'!$BB$4,'19.02'!$BB$3)),(VLOOKUP('19.02'!P28,'19.02'!$AO$4:$AQ$55,2,FALSE))*IF('19.02'!$AK28="是",'19.02'!$BB$4,'19.02'!$BB$3))</f>
        <v>0</v>
      </c>
      <c r="I28" s="4">
        <f>IF(ISNUMBER(SEARCH("营",'19.02'!Q28)),(-$Y28+50*IF('19.02'!$AK28="是",'19.02'!$BB$4,'19.02'!$BB$3)),(VLOOKUP('19.02'!Q28,'19.02'!$AO$4:$AQ$55,2,FALSE))*IF('19.02'!$AK28="是",'19.02'!$BB$4,'19.02'!$BB$3))</f>
        <v>152</v>
      </c>
      <c r="J28" s="4">
        <f>IF(ISNUMBER(SEARCH("营",'19.02'!R28)),(-$Y28+50*IF('19.02'!$AK28="是",'19.02'!$BB$4,'19.02'!$BB$3)),(VLOOKUP('19.02'!R28,'19.02'!$AO$4:$AQ$55,2,FALSE))*IF('19.02'!$AK28="是",'19.02'!$BB$4,'19.02'!$BB$3))</f>
        <v>152</v>
      </c>
      <c r="K28" s="4">
        <f>IF(ISNUMBER(SEARCH("营",'19.02'!S28)),(-$Y28+50*IF('19.02'!$AK28="是",'19.02'!$BB$4,'19.02'!$BB$3)),(VLOOKUP('19.02'!S28,'19.02'!$AO$4:$AQ$55,2,FALSE))*IF('19.02'!$AK28="是",'19.02'!$BB$4,'19.02'!$BB$3))</f>
        <v>-160</v>
      </c>
      <c r="L28" s="4">
        <f>IF(ISNUMBER(SEARCH("营",'19.02'!T28)),(-$Y28+50*IF('19.02'!$AK28="是",'19.02'!$BB$4,'19.02'!$BB$3)),(VLOOKUP('19.02'!T28,'19.02'!$AO$4:$AQ$55,2,FALSE))*IF('19.02'!$AK28="是",'19.02'!$BB$4,'19.02'!$BB$3))</f>
        <v>152</v>
      </c>
      <c r="M28" s="4">
        <f>IF(ISNUMBER(SEARCH("营",'19.02'!U28)),(-$Y28+50*IF('19.02'!$AK28="是",'19.02'!$BB$4,'19.02'!$BB$3)),(VLOOKUP('19.02'!U28,'19.02'!$AO$4:$AQ$55,2,FALSE))*IF('19.02'!$AK28="是",'19.02'!$BB$4,'19.02'!$BB$3))</f>
        <v>136</v>
      </c>
      <c r="N28" s="4">
        <f>IF(ISNUMBER(SEARCH("营",'19.02'!V28)),(-$Y28+50*IF('19.02'!$AK28="是",'19.02'!$BB$4,'19.02'!$BB$3)),(VLOOKUP('19.02'!V28,'19.02'!$AO$4:$AQ$55,2,FALSE))*IF('19.02'!$AK28="是",'19.02'!$BB$4,'19.02'!$BB$3))</f>
        <v>136</v>
      </c>
      <c r="O28" s="4">
        <f>IF(ISNUMBER(SEARCH("营",'19.02'!W28)),(-$Y28+50*IF('19.02'!$AK28="是",'19.02'!$BB$4,'19.02'!$BB$3)),(VLOOKUP('19.02'!W28,'19.02'!$AO$4:$AQ$55,2,FALSE))*IF('19.02'!$AK28="是",'19.02'!$BB$4,'19.02'!$BB$3))</f>
        <v>136</v>
      </c>
      <c r="P28" s="4">
        <f>IF(ISNUMBER(SEARCH("营",'19.02'!X28)),(-$Y28+50*IF('19.02'!$AK28="是",'19.02'!$BB$4,'19.02'!$BB$3)),(VLOOKUP('19.02'!X28,'19.02'!$AO$4:$AQ$55,2,FALSE))*IF('19.02'!$AK28="是",'19.02'!$BB$4,'19.02'!$BB$3))</f>
        <v>160</v>
      </c>
      <c r="Q28" s="4">
        <f>IF(ISNUMBER(SEARCH("营",'19.02'!Y28)),(-$Y28+50*IF('19.02'!$AK28="是",'19.02'!$BB$4,'19.02'!$BB$3)),(VLOOKUP('19.02'!Y28,'19.02'!$AO$4:$AQ$55,2,FALSE))*IF('19.02'!$AK28="是",'19.02'!$BB$4,'19.02'!$BB$3))</f>
        <v>0</v>
      </c>
      <c r="R28" s="4">
        <f>IF(ISNUMBER(SEARCH("营",'19.02'!Z28)),(-$Y28+50*IF('19.02'!$AK28="是",'19.02'!$BB$4,'19.02'!$BB$3)),(VLOOKUP('19.02'!Z28,'19.02'!$AO$4:$AQ$55,2,FALSE))*IF('19.02'!$AK28="是",'19.02'!$BB$4,'19.02'!$BB$3))</f>
        <v>0</v>
      </c>
      <c r="S28" s="4">
        <f>IF(ISNUMBER(SEARCH("营",'19.02'!AA28)),(-$Y28+50*IF('19.02'!$AK28="是",'19.02'!$BB$4,'19.02'!$BB$3)),(VLOOKUP('19.02'!AA28,'19.02'!$AO$4:$AQ$55,2,FALSE))*IF('19.02'!$AK28="是",'19.02'!$BB$4,'19.02'!$BB$3))</f>
        <v>0</v>
      </c>
      <c r="T28" s="4">
        <f>IF(ISNUMBER(SEARCH("营",'19.02'!AB28)),(-$Y28+50*IF('19.02'!$AK28="是",'19.02'!$BB$4,'19.02'!$BB$3)),(VLOOKUP('19.02'!AB28,'19.02'!$AO$4:$AQ$55,2,FALSE))*IF('19.02'!$AK28="是",'19.02'!$BB$4,'19.02'!$BB$3))</f>
        <v>0</v>
      </c>
      <c r="U28" s="4">
        <f>IF(ISNUMBER(SEARCH("营",'19.02'!AC28)),(-$Y28+50*IF('19.02'!$AK28="是",'19.02'!$BB$4,'19.02'!$BB$3)),(VLOOKUP('19.02'!AC28,'19.02'!$AO$4:$AQ$55,2,FALSE))*IF('19.02'!$AK28="是",'19.02'!$BB$4,'19.02'!$BB$3))</f>
        <v>0</v>
      </c>
      <c r="V28" s="4">
        <f>IF(ISNUMBER(SEARCH("营",'19.02'!AD28)),(-$Y28+50*IF('19.02'!$AK28="是",'19.02'!$BB$4,'19.02'!$BB$3)),(VLOOKUP('19.02'!AD28,'19.02'!$AO$4:$AQ$55,2,FALSE))*IF('19.02'!$AK28="是",'19.02'!$BB$4,'19.02'!$BB$3))</f>
        <v>0</v>
      </c>
      <c r="W28" s="4">
        <f>IF(ISNUMBER(SEARCH("营",'19.02'!AE28)),(-$Y28+50*IF('19.02'!$AK28="是",'19.02'!$BB$4,'19.02'!$BB$3)),(VLOOKUP('19.02'!AE28,'19.02'!$AO$4:$AQ$55,2,FALSE))*IF('19.02'!$AK28="是",'19.02'!$BB$4,'19.02'!$BB$3))</f>
        <v>0</v>
      </c>
      <c r="X28" s="4">
        <f>IF(ISNUMBER(SEARCH("营",'19.02'!AF28)),(-$Y28+50*IF('19.02'!$AK28="是",'19.02'!$BB$4,'19.02'!$BB$3)),(VLOOKUP('19.02'!AF28,'19.02'!$AO$4:$AQ$55,2,FALSE))*IF('19.02'!$AK28="是",'19.02'!$BB$4,'19.02'!$BB$3))</f>
        <v>0</v>
      </c>
      <c r="Y28" s="76">
        <v>200</v>
      </c>
      <c r="Z28" s="85">
        <v>45754</v>
      </c>
    </row>
    <row r="29" spans="1:26">
      <c r="A29" s="4">
        <f>IF(ISNUMBER(SEARCH("营",'19.02'!I29)),(-$Y29+50*IF('19.02'!$AK29="是",'19.02'!$BB$4,'19.02'!$BB$3)),(VLOOKUP('19.02'!I29,'19.02'!$AO$4:$AQ$55,2,FALSE))*IF('19.02'!$AK29="是",'19.02'!$BB$4,'19.02'!$BB$3))</f>
        <v>0</v>
      </c>
      <c r="B29" s="4">
        <f>IF(ISNUMBER(SEARCH("营",'19.02'!J29)),(-$Y29+50*IF('19.02'!$AK29="是",'19.02'!$BB$4,'19.02'!$BB$3)),(VLOOKUP('19.02'!J29,'19.02'!$AO$4:$AQ$55,2,FALSE))*IF('19.02'!$AK29="是",'19.02'!$BB$4,'19.02'!$BB$3))</f>
        <v>0</v>
      </c>
      <c r="C29" s="4">
        <f>IF(ISNUMBER(SEARCH("营",'19.02'!K29)),(-$Y29+50*IF('19.02'!$AK29="是",'19.02'!$BB$4,'19.02'!$BB$3)),(VLOOKUP('19.02'!K29,'19.02'!$AO$4:$AQ$55,2,FALSE))*IF('19.02'!$AK29="是",'19.02'!$BB$4,'19.02'!$BB$3))</f>
        <v>0</v>
      </c>
      <c r="D29" s="4">
        <f>IF(ISNUMBER(SEARCH("营",'19.02'!L29)),(-$Y29+50*IF('19.02'!$AK29="是",'19.02'!$BB$4,'19.02'!$BB$3)),(VLOOKUP('19.02'!L29,'19.02'!$AO$4:$AQ$55,2,FALSE))*IF('19.02'!$AK29="是",'19.02'!$BB$4,'19.02'!$BB$3))</f>
        <v>0</v>
      </c>
      <c r="E29" s="4">
        <f>IF(ISNUMBER(SEARCH("营",'19.02'!M29)),(-$Y29+50*IF('19.02'!$AK29="是",'19.02'!$BB$4,'19.02'!$BB$3)),(VLOOKUP('19.02'!M29,'19.02'!$AO$4:$AQ$55,2,FALSE))*IF('19.02'!$AK29="是",'19.02'!$BB$4,'19.02'!$BB$3))</f>
        <v>0</v>
      </c>
      <c r="F29" s="4">
        <f>IF(ISNUMBER(SEARCH("营",'19.02'!N29)),(-$Y29+50*IF('19.02'!$AK29="是",'19.02'!$BB$4,'19.02'!$BB$3)),(VLOOKUP('19.02'!N29,'19.02'!$AO$4:$AQ$55,2,FALSE))*IF('19.02'!$AK29="是",'19.02'!$BB$4,'19.02'!$BB$3))</f>
        <v>0</v>
      </c>
      <c r="G29" s="4">
        <f>IF(ISNUMBER(SEARCH("营",'19.02'!O29)),(-$Y29+50*IF('19.02'!$AK29="是",'19.02'!$BB$4,'19.02'!$BB$3)),(VLOOKUP('19.02'!O29,'19.02'!$AO$4:$AQ$55,2,FALSE))*IF('19.02'!$AK29="是",'19.02'!$BB$4,'19.02'!$BB$3))</f>
        <v>0</v>
      </c>
      <c r="H29" s="4">
        <f>IF(ISNUMBER(SEARCH("营",'19.02'!P29)),(-$Y29+50*IF('19.02'!$AK29="是",'19.02'!$BB$4,'19.02'!$BB$3)),(VLOOKUP('19.02'!P29,'19.02'!$AO$4:$AQ$55,2,FALSE))*IF('19.02'!$AK29="是",'19.02'!$BB$4,'19.02'!$BB$3))</f>
        <v>0</v>
      </c>
      <c r="I29" s="4">
        <f>IF(ISNUMBER(SEARCH("营",'19.02'!Q29)),(-$Y29+50*IF('19.02'!$AK29="是",'19.02'!$BB$4,'19.02'!$BB$3)),(VLOOKUP('19.02'!Q29,'19.02'!$AO$4:$AQ$55,2,FALSE))*IF('19.02'!$AK29="是",'19.02'!$BB$4,'19.02'!$BB$3))</f>
        <v>160</v>
      </c>
      <c r="J29" s="4">
        <f>IF(ISNUMBER(SEARCH("营",'19.02'!R29)),(-$Y29+50*IF('19.02'!$AK29="是",'19.02'!$BB$4,'19.02'!$BB$3)),(VLOOKUP('19.02'!R29,'19.02'!$AO$4:$AQ$55,2,FALSE))*IF('19.02'!$AK29="是",'19.02'!$BB$4,'19.02'!$BB$3))</f>
        <v>160</v>
      </c>
      <c r="K29" s="4">
        <f>IF(ISNUMBER(SEARCH("营",'19.02'!S29)),(-$Y29+50*IF('19.02'!$AK29="是",'19.02'!$BB$4,'19.02'!$BB$3)),(VLOOKUP('19.02'!S29,'19.02'!$AO$4:$AQ$55,2,FALSE))*IF('19.02'!$AK29="是",'19.02'!$BB$4,'19.02'!$BB$3))</f>
        <v>160</v>
      </c>
      <c r="L29" s="4">
        <f>IF(ISNUMBER(SEARCH("营",'19.02'!T29)),(-$Y29+50*IF('19.02'!$AK29="是",'19.02'!$BB$4,'19.02'!$BB$3)),(VLOOKUP('19.02'!T29,'19.02'!$AO$4:$AQ$55,2,FALSE))*IF('19.02'!$AK29="是",'19.02'!$BB$4,'19.02'!$BB$3))</f>
        <v>160</v>
      </c>
      <c r="M29" s="4">
        <f>IF(ISNUMBER(SEARCH("营",'19.02'!U29)),(-$Y29+50*IF('19.02'!$AK29="是",'19.02'!$BB$4,'19.02'!$BB$3)),(VLOOKUP('19.02'!U29,'19.02'!$AO$4:$AQ$55,2,FALSE))*IF('19.02'!$AK29="是",'19.02'!$BB$4,'19.02'!$BB$3))</f>
        <v>160</v>
      </c>
      <c r="N29" s="4">
        <f>IF(ISNUMBER(SEARCH("营",'19.02'!V29)),(-$Y29+50*IF('19.02'!$AK29="是",'19.02'!$BB$4,'19.02'!$BB$3)),(VLOOKUP('19.02'!V29,'19.02'!$AO$4:$AQ$55,2,FALSE))*IF('19.02'!$AK29="是",'19.02'!$BB$4,'19.02'!$BB$3))</f>
        <v>160</v>
      </c>
      <c r="O29" s="4">
        <f>IF(ISNUMBER(SEARCH("营",'19.02'!W29)),(-$Y29+50*IF('19.02'!$AK29="是",'19.02'!$BB$4,'19.02'!$BB$3)),(VLOOKUP('19.02'!W29,'19.02'!$AO$4:$AQ$55,2,FALSE))*IF('19.02'!$AK29="是",'19.02'!$BB$4,'19.02'!$BB$3))</f>
        <v>160</v>
      </c>
      <c r="P29" s="4">
        <f>IF(ISNUMBER(SEARCH("营",'19.02'!X29)),(-$Y29+50*IF('19.02'!$AK29="是",'19.02'!$BB$4,'19.02'!$BB$3)),(VLOOKUP('19.02'!X29,'19.02'!$AO$4:$AQ$55,2,FALSE))*IF('19.02'!$AK29="是",'19.02'!$BB$4,'19.02'!$BB$3))</f>
        <v>0</v>
      </c>
      <c r="Q29" s="4">
        <f>IF(ISNUMBER(SEARCH("营",'19.02'!Y29)),(-$Y29+50*IF('19.02'!$AK29="是",'19.02'!$BB$4,'19.02'!$BB$3)),(VLOOKUP('19.02'!Y29,'19.02'!$AO$4:$AQ$55,2,FALSE))*IF('19.02'!$AK29="是",'19.02'!$BB$4,'19.02'!$BB$3))</f>
        <v>0</v>
      </c>
      <c r="R29" s="4">
        <f>IF(ISNUMBER(SEARCH("营",'19.02'!Z29)),(-$Y29+50*IF('19.02'!$AK29="是",'19.02'!$BB$4,'19.02'!$BB$3)),(VLOOKUP('19.02'!Z29,'19.02'!$AO$4:$AQ$55,2,FALSE))*IF('19.02'!$AK29="是",'19.02'!$BB$4,'19.02'!$BB$3))</f>
        <v>0</v>
      </c>
      <c r="S29" s="4">
        <f>IF(ISNUMBER(SEARCH("营",'19.02'!AA29)),(-$Y29+50*IF('19.02'!$AK29="是",'19.02'!$BB$4,'19.02'!$BB$3)),(VLOOKUP('19.02'!AA29,'19.02'!$AO$4:$AQ$55,2,FALSE))*IF('19.02'!$AK29="是",'19.02'!$BB$4,'19.02'!$BB$3))</f>
        <v>0</v>
      </c>
      <c r="T29" s="4">
        <f>IF(ISNUMBER(SEARCH("营",'19.02'!AB29)),(-$Y29+50*IF('19.02'!$AK29="是",'19.02'!$BB$4,'19.02'!$BB$3)),(VLOOKUP('19.02'!AB29,'19.02'!$AO$4:$AQ$55,2,FALSE))*IF('19.02'!$AK29="是",'19.02'!$BB$4,'19.02'!$BB$3))</f>
        <v>0</v>
      </c>
      <c r="U29" s="4">
        <f>IF(ISNUMBER(SEARCH("营",'19.02'!AC29)),(-$Y29+50*IF('19.02'!$AK29="是",'19.02'!$BB$4,'19.02'!$BB$3)),(VLOOKUP('19.02'!AC29,'19.02'!$AO$4:$AQ$55,2,FALSE))*IF('19.02'!$AK29="是",'19.02'!$BB$4,'19.02'!$BB$3))</f>
        <v>0</v>
      </c>
      <c r="V29" s="4">
        <f>IF(ISNUMBER(SEARCH("营",'19.02'!AD29)),(-$Y29+50*IF('19.02'!$AK29="是",'19.02'!$BB$4,'19.02'!$BB$3)),(VLOOKUP('19.02'!AD29,'19.02'!$AO$4:$AQ$55,2,FALSE))*IF('19.02'!$AK29="是",'19.02'!$BB$4,'19.02'!$BB$3))</f>
        <v>0</v>
      </c>
      <c r="W29" s="4">
        <f>IF(ISNUMBER(SEARCH("营",'19.02'!AE29)),(-$Y29+50*IF('19.02'!$AK29="是",'19.02'!$BB$4,'19.02'!$BB$3)),(VLOOKUP('19.02'!AE29,'19.02'!$AO$4:$AQ$55,2,FALSE))*IF('19.02'!$AK29="是",'19.02'!$BB$4,'19.02'!$BB$3))</f>
        <v>0</v>
      </c>
      <c r="X29" s="4">
        <f>IF(ISNUMBER(SEARCH("营",'19.02'!AF29)),(-$Y29+50*IF('19.02'!$AK29="是",'19.02'!$BB$4,'19.02'!$BB$3)),(VLOOKUP('19.02'!AF29,'19.02'!$AO$4:$AQ$55,2,FALSE))*IF('19.02'!$AK29="是",'19.02'!$BB$4,'19.02'!$BB$3))</f>
        <v>0</v>
      </c>
      <c r="Y29" s="76">
        <v>200</v>
      </c>
      <c r="Z29" s="85">
        <v>45755</v>
      </c>
    </row>
    <row r="30" spans="1:26">
      <c r="A30" s="4">
        <f>IF(ISNUMBER(SEARCH("营",'19.02'!I30)),(-$Y30+50*IF('19.02'!$AK30="是",'19.02'!$BB$4,'19.02'!$BB$3)),(VLOOKUP('19.02'!I30,'19.02'!$AO$4:$AQ$55,2,FALSE))*IF('19.02'!$AK30="是",'19.02'!$BB$4,'19.02'!$BB$3))</f>
        <v>0</v>
      </c>
      <c r="B30" s="4">
        <f>IF(ISNUMBER(SEARCH("营",'19.02'!J30)),(-$Y30+50*IF('19.02'!$AK30="是",'19.02'!$BB$4,'19.02'!$BB$3)),(VLOOKUP('19.02'!J30,'19.02'!$AO$4:$AQ$55,2,FALSE))*IF('19.02'!$AK30="是",'19.02'!$BB$4,'19.02'!$BB$3))</f>
        <v>0</v>
      </c>
      <c r="C30" s="4">
        <f>IF(ISNUMBER(SEARCH("营",'19.02'!K30)),(-$Y30+50*IF('19.02'!$AK30="是",'19.02'!$BB$4,'19.02'!$BB$3)),(VLOOKUP('19.02'!K30,'19.02'!$AO$4:$AQ$55,2,FALSE))*IF('19.02'!$AK30="是",'19.02'!$BB$4,'19.02'!$BB$3))</f>
        <v>0</v>
      </c>
      <c r="D30" s="4">
        <f>IF(ISNUMBER(SEARCH("营",'19.02'!L30)),(-$Y30+50*IF('19.02'!$AK30="是",'19.02'!$BB$4,'19.02'!$BB$3)),(VLOOKUP('19.02'!L30,'19.02'!$AO$4:$AQ$55,2,FALSE))*IF('19.02'!$AK30="是",'19.02'!$BB$4,'19.02'!$BB$3))</f>
        <v>0</v>
      </c>
      <c r="E30" s="4">
        <f>IF(ISNUMBER(SEARCH("营",'19.02'!M30)),(-$Y30+50*IF('19.02'!$AK30="是",'19.02'!$BB$4,'19.02'!$BB$3)),(VLOOKUP('19.02'!M30,'19.02'!$AO$4:$AQ$55,2,FALSE))*IF('19.02'!$AK30="是",'19.02'!$BB$4,'19.02'!$BB$3))</f>
        <v>0</v>
      </c>
      <c r="F30" s="4">
        <f>IF(ISNUMBER(SEARCH("营",'19.02'!N30)),(-$Y30+50*IF('19.02'!$AK30="是",'19.02'!$BB$4,'19.02'!$BB$3)),(VLOOKUP('19.02'!N30,'19.02'!$AO$4:$AQ$55,2,FALSE))*IF('19.02'!$AK30="是",'19.02'!$BB$4,'19.02'!$BB$3))</f>
        <v>0</v>
      </c>
      <c r="G30" s="4">
        <f>IF(ISNUMBER(SEARCH("营",'19.02'!O30)),(-$Y30+50*IF('19.02'!$AK30="是",'19.02'!$BB$4,'19.02'!$BB$3)),(VLOOKUP('19.02'!O30,'19.02'!$AO$4:$AQ$55,2,FALSE))*IF('19.02'!$AK30="是",'19.02'!$BB$4,'19.02'!$BB$3))</f>
        <v>0</v>
      </c>
      <c r="H30" s="4">
        <f>IF(ISNUMBER(SEARCH("营",'19.02'!P30)),(-$Y30+50*IF('19.02'!$AK30="是",'19.02'!$BB$4,'19.02'!$BB$3)),(VLOOKUP('19.02'!P30,'19.02'!$AO$4:$AQ$55,2,FALSE))*IF('19.02'!$AK30="是",'19.02'!$BB$4,'19.02'!$BB$3))</f>
        <v>0</v>
      </c>
      <c r="I30" s="4">
        <f>IF(ISNUMBER(SEARCH("营",'19.02'!Q30)),(-$Y30+50*IF('19.02'!$AK30="是",'19.02'!$BB$4,'19.02'!$BB$3)),(VLOOKUP('19.02'!Q30,'19.02'!$AO$4:$AQ$55,2,FALSE))*IF('19.02'!$AK30="是",'19.02'!$BB$4,'19.02'!$BB$3))</f>
        <v>160</v>
      </c>
      <c r="J30" s="4">
        <f>IF(ISNUMBER(SEARCH("营",'19.02'!R30)),(-$Y30+50*IF('19.02'!$AK30="是",'19.02'!$BB$4,'19.02'!$BB$3)),(VLOOKUP('19.02'!R30,'19.02'!$AO$4:$AQ$55,2,FALSE))*IF('19.02'!$AK30="是",'19.02'!$BB$4,'19.02'!$BB$3))</f>
        <v>160</v>
      </c>
      <c r="K30" s="4">
        <f>IF(ISNUMBER(SEARCH("营",'19.02'!S30)),(-$Y30+50*IF('19.02'!$AK30="是",'19.02'!$BB$4,'19.02'!$BB$3)),(VLOOKUP('19.02'!S30,'19.02'!$AO$4:$AQ$55,2,FALSE))*IF('19.02'!$AK30="是",'19.02'!$BB$4,'19.02'!$BB$3))</f>
        <v>160</v>
      </c>
      <c r="L30" s="4">
        <f>IF(ISNUMBER(SEARCH("营",'19.02'!T30)),(-$Y30+50*IF('19.02'!$AK30="是",'19.02'!$BB$4,'19.02'!$BB$3)),(VLOOKUP('19.02'!T30,'19.02'!$AO$4:$AQ$55,2,FALSE))*IF('19.02'!$AK30="是",'19.02'!$BB$4,'19.02'!$BB$3))</f>
        <v>160</v>
      </c>
      <c r="M30" s="4">
        <f>IF(ISNUMBER(SEARCH("营",'19.02'!U30)),(-$Y30+50*IF('19.02'!$AK30="是",'19.02'!$BB$4,'19.02'!$BB$3)),(VLOOKUP('19.02'!U30,'19.02'!$AO$4:$AQ$55,2,FALSE))*IF('19.02'!$AK30="是",'19.02'!$BB$4,'19.02'!$BB$3))</f>
        <v>160</v>
      </c>
      <c r="N30" s="4">
        <f>IF(ISNUMBER(SEARCH("营",'19.02'!V30)),(-$Y30+50*IF('19.02'!$AK30="是",'19.02'!$BB$4,'19.02'!$BB$3)),(VLOOKUP('19.02'!V30,'19.02'!$AO$4:$AQ$55,2,FALSE))*IF('19.02'!$AK30="是",'19.02'!$BB$4,'19.02'!$BB$3))</f>
        <v>160</v>
      </c>
      <c r="O30" s="4">
        <f>IF(ISNUMBER(SEARCH("营",'19.02'!W30)),(-$Y30+50*IF('19.02'!$AK30="是",'19.02'!$BB$4,'19.02'!$BB$3)),(VLOOKUP('19.02'!W30,'19.02'!$AO$4:$AQ$55,2,FALSE))*IF('19.02'!$AK30="是",'19.02'!$BB$4,'19.02'!$BB$3))</f>
        <v>0</v>
      </c>
      <c r="P30" s="4">
        <f>IF(ISNUMBER(SEARCH("营",'19.02'!X30)),(-$Y30+50*IF('19.02'!$AK30="是",'19.02'!$BB$4,'19.02'!$BB$3)),(VLOOKUP('19.02'!X30,'19.02'!$AO$4:$AQ$55,2,FALSE))*IF('19.02'!$AK30="是",'19.02'!$BB$4,'19.02'!$BB$3))</f>
        <v>0</v>
      </c>
      <c r="Q30" s="4">
        <f>IF(ISNUMBER(SEARCH("营",'19.02'!Y30)),(-$Y30+50*IF('19.02'!$AK30="是",'19.02'!$BB$4,'19.02'!$BB$3)),(VLOOKUP('19.02'!Y30,'19.02'!$AO$4:$AQ$55,2,FALSE))*IF('19.02'!$AK30="是",'19.02'!$BB$4,'19.02'!$BB$3))</f>
        <v>0</v>
      </c>
      <c r="R30" s="4">
        <f>IF(ISNUMBER(SEARCH("营",'19.02'!Z30)),(-$Y30+50*IF('19.02'!$AK30="是",'19.02'!$BB$4,'19.02'!$BB$3)),(VLOOKUP('19.02'!Z30,'19.02'!$AO$4:$AQ$55,2,FALSE))*IF('19.02'!$AK30="是",'19.02'!$BB$4,'19.02'!$BB$3))</f>
        <v>0</v>
      </c>
      <c r="S30" s="4">
        <f>IF(ISNUMBER(SEARCH("营",'19.02'!AA30)),(-$Y30+50*IF('19.02'!$AK30="是",'19.02'!$BB$4,'19.02'!$BB$3)),(VLOOKUP('19.02'!AA30,'19.02'!$AO$4:$AQ$55,2,FALSE))*IF('19.02'!$AK30="是",'19.02'!$BB$4,'19.02'!$BB$3))</f>
        <v>0</v>
      </c>
      <c r="T30" s="4">
        <f>IF(ISNUMBER(SEARCH("营",'19.02'!AB30)),(-$Y30+50*IF('19.02'!$AK30="是",'19.02'!$BB$4,'19.02'!$BB$3)),(VLOOKUP('19.02'!AB30,'19.02'!$AO$4:$AQ$55,2,FALSE))*IF('19.02'!$AK30="是",'19.02'!$BB$4,'19.02'!$BB$3))</f>
        <v>0</v>
      </c>
      <c r="U30" s="4">
        <f>IF(ISNUMBER(SEARCH("营",'19.02'!AC30)),(-$Y30+50*IF('19.02'!$AK30="是",'19.02'!$BB$4,'19.02'!$BB$3)),(VLOOKUP('19.02'!AC30,'19.02'!$AO$4:$AQ$55,2,FALSE))*IF('19.02'!$AK30="是",'19.02'!$BB$4,'19.02'!$BB$3))</f>
        <v>0</v>
      </c>
      <c r="V30" s="4">
        <f>IF(ISNUMBER(SEARCH("营",'19.02'!AD30)),(-$Y30+50*IF('19.02'!$AK30="是",'19.02'!$BB$4,'19.02'!$BB$3)),(VLOOKUP('19.02'!AD30,'19.02'!$AO$4:$AQ$55,2,FALSE))*IF('19.02'!$AK30="是",'19.02'!$BB$4,'19.02'!$BB$3))</f>
        <v>0</v>
      </c>
      <c r="W30" s="4">
        <f>IF(ISNUMBER(SEARCH("营",'19.02'!AE30)),(-$Y30+50*IF('19.02'!$AK30="是",'19.02'!$BB$4,'19.02'!$BB$3)),(VLOOKUP('19.02'!AE30,'19.02'!$AO$4:$AQ$55,2,FALSE))*IF('19.02'!$AK30="是",'19.02'!$BB$4,'19.02'!$BB$3))</f>
        <v>0</v>
      </c>
      <c r="X30" s="4">
        <f>IF(ISNUMBER(SEARCH("营",'19.02'!AF30)),(-$Y30+50*IF('19.02'!$AK30="是",'19.02'!$BB$4,'19.02'!$BB$3)),(VLOOKUP('19.02'!AF30,'19.02'!$AO$4:$AQ$55,2,FALSE))*IF('19.02'!$AK30="是",'19.02'!$BB$4,'19.02'!$BB$3))</f>
        <v>0</v>
      </c>
      <c r="Y30" s="76">
        <v>200</v>
      </c>
      <c r="Z30" s="85">
        <v>45756</v>
      </c>
    </row>
    <row r="31" spans="1:26">
      <c r="A31" s="4">
        <f>IF(ISNUMBER(SEARCH("营",'19.02'!I31)),(-$Y31+50*IF('19.02'!$AK31="是",'19.02'!$BB$4,'19.02'!$BB$3)),(VLOOKUP('19.02'!I31,'19.02'!$AO$4:$AQ$55,2,FALSE))*IF('19.02'!$AK31="是",'19.02'!$BB$4,'19.02'!$BB$3))</f>
        <v>0</v>
      </c>
      <c r="B31" s="4">
        <f>IF(ISNUMBER(SEARCH("营",'19.02'!J31)),(-$Y31+50*IF('19.02'!$AK31="是",'19.02'!$BB$4,'19.02'!$BB$3)),(VLOOKUP('19.02'!J31,'19.02'!$AO$4:$AQ$55,2,FALSE))*IF('19.02'!$AK31="是",'19.02'!$BB$4,'19.02'!$BB$3))</f>
        <v>0</v>
      </c>
      <c r="C31" s="4">
        <f>IF(ISNUMBER(SEARCH("营",'19.02'!K31)),(-$Y31+50*IF('19.02'!$AK31="是",'19.02'!$BB$4,'19.02'!$BB$3)),(VLOOKUP('19.02'!K31,'19.02'!$AO$4:$AQ$55,2,FALSE))*IF('19.02'!$AK31="是",'19.02'!$BB$4,'19.02'!$BB$3))</f>
        <v>0</v>
      </c>
      <c r="D31" s="4">
        <f>IF(ISNUMBER(SEARCH("营",'19.02'!L31)),(-$Y31+50*IF('19.02'!$AK31="是",'19.02'!$BB$4,'19.02'!$BB$3)),(VLOOKUP('19.02'!L31,'19.02'!$AO$4:$AQ$55,2,FALSE))*IF('19.02'!$AK31="是",'19.02'!$BB$4,'19.02'!$BB$3))</f>
        <v>0</v>
      </c>
      <c r="E31" s="4">
        <f>IF(ISNUMBER(SEARCH("营",'19.02'!M31)),(-$Y31+50*IF('19.02'!$AK31="是",'19.02'!$BB$4,'19.02'!$BB$3)),(VLOOKUP('19.02'!M31,'19.02'!$AO$4:$AQ$55,2,FALSE))*IF('19.02'!$AK31="是",'19.02'!$BB$4,'19.02'!$BB$3))</f>
        <v>0</v>
      </c>
      <c r="F31" s="4">
        <f>IF(ISNUMBER(SEARCH("营",'19.02'!N31)),(-$Y31+50*IF('19.02'!$AK31="是",'19.02'!$BB$4,'19.02'!$BB$3)),(VLOOKUP('19.02'!N31,'19.02'!$AO$4:$AQ$55,2,FALSE))*IF('19.02'!$AK31="是",'19.02'!$BB$4,'19.02'!$BB$3))</f>
        <v>0</v>
      </c>
      <c r="G31" s="4">
        <f>IF(ISNUMBER(SEARCH("营",'19.02'!O31)),(-$Y31+50*IF('19.02'!$AK31="是",'19.02'!$BB$4,'19.02'!$BB$3)),(VLOOKUP('19.02'!O31,'19.02'!$AO$4:$AQ$55,2,FALSE))*IF('19.02'!$AK31="是",'19.02'!$BB$4,'19.02'!$BB$3))</f>
        <v>0</v>
      </c>
      <c r="H31" s="4">
        <f>IF(ISNUMBER(SEARCH("营",'19.02'!P31)),(-$Y31+50*IF('19.02'!$AK31="是",'19.02'!$BB$4,'19.02'!$BB$3)),(VLOOKUP('19.02'!P31,'19.02'!$AO$4:$AQ$55,2,FALSE))*IF('19.02'!$AK31="是",'19.02'!$BB$4,'19.02'!$BB$3))</f>
        <v>0</v>
      </c>
      <c r="I31" s="4">
        <f>IF(ISNUMBER(SEARCH("营",'19.02'!Q31)),(-$Y31+50*IF('19.02'!$AK31="是",'19.02'!$BB$4,'19.02'!$BB$3)),(VLOOKUP('19.02'!Q31,'19.02'!$AO$4:$AQ$55,2,FALSE))*IF('19.02'!$AK31="是",'19.02'!$BB$4,'19.02'!$BB$3))</f>
        <v>160</v>
      </c>
      <c r="J31" s="4">
        <f>IF(ISNUMBER(SEARCH("营",'19.02'!R31)),(-$Y31+50*IF('19.02'!$AK31="是",'19.02'!$BB$4,'19.02'!$BB$3)),(VLOOKUP('19.02'!R31,'19.02'!$AO$4:$AQ$55,2,FALSE))*IF('19.02'!$AK31="是",'19.02'!$BB$4,'19.02'!$BB$3))</f>
        <v>160</v>
      </c>
      <c r="K31" s="4">
        <f>IF(ISNUMBER(SEARCH("营",'19.02'!S31)),(-$Y31+50*IF('19.02'!$AK31="是",'19.02'!$BB$4,'19.02'!$BB$3)),(VLOOKUP('19.02'!S31,'19.02'!$AO$4:$AQ$55,2,FALSE))*IF('19.02'!$AK31="是",'19.02'!$BB$4,'19.02'!$BB$3))</f>
        <v>160</v>
      </c>
      <c r="L31" s="4">
        <f>IF(ISNUMBER(SEARCH("营",'19.02'!T31)),(-$Y31+50*IF('19.02'!$AK31="是",'19.02'!$BB$4,'19.02'!$BB$3)),(VLOOKUP('19.02'!T31,'19.02'!$AO$4:$AQ$55,2,FALSE))*IF('19.02'!$AK31="是",'19.02'!$BB$4,'19.02'!$BB$3))</f>
        <v>160</v>
      </c>
      <c r="M31" s="4">
        <f>IF(ISNUMBER(SEARCH("营",'19.02'!U31)),(-$Y31+50*IF('19.02'!$AK31="是",'19.02'!$BB$4,'19.02'!$BB$3)),(VLOOKUP('19.02'!U31,'19.02'!$AO$4:$AQ$55,2,FALSE))*IF('19.02'!$AK31="是",'19.02'!$BB$4,'19.02'!$BB$3))</f>
        <v>160</v>
      </c>
      <c r="N31" s="4">
        <f>IF(ISNUMBER(SEARCH("营",'19.02'!V31)),(-$Y31+50*IF('19.02'!$AK31="是",'19.02'!$BB$4,'19.02'!$BB$3)),(VLOOKUP('19.02'!V31,'19.02'!$AO$4:$AQ$55,2,FALSE))*IF('19.02'!$AK31="是",'19.02'!$BB$4,'19.02'!$BB$3))</f>
        <v>-160</v>
      </c>
      <c r="O31" s="4">
        <f>IF(ISNUMBER(SEARCH("营",'19.02'!W31)),(-$Y31+50*IF('19.02'!$AK31="是",'19.02'!$BB$4,'19.02'!$BB$3)),(VLOOKUP('19.02'!W31,'19.02'!$AO$4:$AQ$55,2,FALSE))*IF('19.02'!$AK31="是",'19.02'!$BB$4,'19.02'!$BB$3))</f>
        <v>160</v>
      </c>
      <c r="P31" s="4">
        <f>IF(ISNUMBER(SEARCH("营",'19.02'!X31)),(-$Y31+50*IF('19.02'!$AK31="是",'19.02'!$BB$4,'19.02'!$BB$3)),(VLOOKUP('19.02'!X31,'19.02'!$AO$4:$AQ$55,2,FALSE))*IF('19.02'!$AK31="是",'19.02'!$BB$4,'19.02'!$BB$3))</f>
        <v>160</v>
      </c>
      <c r="Q31" s="4">
        <f>IF(ISNUMBER(SEARCH("营",'19.02'!Y31)),(-$Y31+50*IF('19.02'!$AK31="是",'19.02'!$BB$4,'19.02'!$BB$3)),(VLOOKUP('19.02'!Y31,'19.02'!$AO$4:$AQ$55,2,FALSE))*IF('19.02'!$AK31="是",'19.02'!$BB$4,'19.02'!$BB$3))</f>
        <v>0</v>
      </c>
      <c r="R31" s="4">
        <f>IF(ISNUMBER(SEARCH("营",'19.02'!Z31)),(-$Y31+50*IF('19.02'!$AK31="是",'19.02'!$BB$4,'19.02'!$BB$3)),(VLOOKUP('19.02'!Z31,'19.02'!$AO$4:$AQ$55,2,FALSE))*IF('19.02'!$AK31="是",'19.02'!$BB$4,'19.02'!$BB$3))</f>
        <v>0</v>
      </c>
      <c r="S31" s="4">
        <f>IF(ISNUMBER(SEARCH("营",'19.02'!AA31)),(-$Y31+50*IF('19.02'!$AK31="是",'19.02'!$BB$4,'19.02'!$BB$3)),(VLOOKUP('19.02'!AA31,'19.02'!$AO$4:$AQ$55,2,FALSE))*IF('19.02'!$AK31="是",'19.02'!$BB$4,'19.02'!$BB$3))</f>
        <v>0</v>
      </c>
      <c r="T31" s="4">
        <f>IF(ISNUMBER(SEARCH("营",'19.02'!AB31)),(-$Y31+50*IF('19.02'!$AK31="是",'19.02'!$BB$4,'19.02'!$BB$3)),(VLOOKUP('19.02'!AB31,'19.02'!$AO$4:$AQ$55,2,FALSE))*IF('19.02'!$AK31="是",'19.02'!$BB$4,'19.02'!$BB$3))</f>
        <v>0</v>
      </c>
      <c r="U31" s="4">
        <f>IF(ISNUMBER(SEARCH("营",'19.02'!AC31)),(-$Y31+50*IF('19.02'!$AK31="是",'19.02'!$BB$4,'19.02'!$BB$3)),(VLOOKUP('19.02'!AC31,'19.02'!$AO$4:$AQ$55,2,FALSE))*IF('19.02'!$AK31="是",'19.02'!$BB$4,'19.02'!$BB$3))</f>
        <v>0</v>
      </c>
      <c r="V31" s="4">
        <f>IF(ISNUMBER(SEARCH("营",'19.02'!AD31)),(-$Y31+50*IF('19.02'!$AK31="是",'19.02'!$BB$4,'19.02'!$BB$3)),(VLOOKUP('19.02'!AD31,'19.02'!$AO$4:$AQ$55,2,FALSE))*IF('19.02'!$AK31="是",'19.02'!$BB$4,'19.02'!$BB$3))</f>
        <v>0</v>
      </c>
      <c r="W31" s="4">
        <f>IF(ISNUMBER(SEARCH("营",'19.02'!AE31)),(-$Y31+50*IF('19.02'!$AK31="是",'19.02'!$BB$4,'19.02'!$BB$3)),(VLOOKUP('19.02'!AE31,'19.02'!$AO$4:$AQ$55,2,FALSE))*IF('19.02'!$AK31="是",'19.02'!$BB$4,'19.02'!$BB$3))</f>
        <v>0</v>
      </c>
      <c r="X31" s="4">
        <f>IF(ISNUMBER(SEARCH("营",'19.02'!AF31)),(-$Y31+50*IF('19.02'!$AK31="是",'19.02'!$BB$4,'19.02'!$BB$3)),(VLOOKUP('19.02'!AF31,'19.02'!$AO$4:$AQ$55,2,FALSE))*IF('19.02'!$AK31="是",'19.02'!$BB$4,'19.02'!$BB$3))</f>
        <v>0</v>
      </c>
      <c r="Y31" s="76">
        <v>200</v>
      </c>
      <c r="Z31" s="85">
        <v>45757</v>
      </c>
    </row>
    <row r="32" spans="1:26">
      <c r="A32" s="4">
        <f>IF(ISNUMBER(SEARCH("营",'19.02'!I32)),(-$Y32+50*IF('19.02'!$AK32="是",'19.02'!$BB$4,'19.02'!$BB$3)),(VLOOKUP('19.02'!I32,'19.02'!$AO$4:$AQ$55,2,FALSE))*IF('19.02'!$AK32="是",'19.02'!$BB$4,'19.02'!$BB$3))</f>
        <v>0</v>
      </c>
      <c r="B32" s="4">
        <f>IF(ISNUMBER(SEARCH("营",'19.02'!J32)),(-$Y32+50*IF('19.02'!$AK32="是",'19.02'!$BB$4,'19.02'!$BB$3)),(VLOOKUP('19.02'!J32,'19.02'!$AO$4:$AQ$55,2,FALSE))*IF('19.02'!$AK32="是",'19.02'!$BB$4,'19.02'!$BB$3))</f>
        <v>0</v>
      </c>
      <c r="C32" s="4">
        <f>IF(ISNUMBER(SEARCH("营",'19.02'!K32)),(-$Y32+50*IF('19.02'!$AK32="是",'19.02'!$BB$4,'19.02'!$BB$3)),(VLOOKUP('19.02'!K32,'19.02'!$AO$4:$AQ$55,2,FALSE))*IF('19.02'!$AK32="是",'19.02'!$BB$4,'19.02'!$BB$3))</f>
        <v>0</v>
      </c>
      <c r="D32" s="4">
        <f>IF(ISNUMBER(SEARCH("营",'19.02'!L32)),(-$Y32+50*IF('19.02'!$AK32="是",'19.02'!$BB$4,'19.02'!$BB$3)),(VLOOKUP('19.02'!L32,'19.02'!$AO$4:$AQ$55,2,FALSE))*IF('19.02'!$AK32="是",'19.02'!$BB$4,'19.02'!$BB$3))</f>
        <v>0</v>
      </c>
      <c r="E32" s="4">
        <f>IF(ISNUMBER(SEARCH("营",'19.02'!M32)),(-$Y32+50*IF('19.02'!$AK32="是",'19.02'!$BB$4,'19.02'!$BB$3)),(VLOOKUP('19.02'!M32,'19.02'!$AO$4:$AQ$55,2,FALSE))*IF('19.02'!$AK32="是",'19.02'!$BB$4,'19.02'!$BB$3))</f>
        <v>0</v>
      </c>
      <c r="F32" s="4">
        <f>IF(ISNUMBER(SEARCH("营",'19.02'!N32)),(-$Y32+50*IF('19.02'!$AK32="是",'19.02'!$BB$4,'19.02'!$BB$3)),(VLOOKUP('19.02'!N32,'19.02'!$AO$4:$AQ$55,2,FALSE))*IF('19.02'!$AK32="是",'19.02'!$BB$4,'19.02'!$BB$3))</f>
        <v>0</v>
      </c>
      <c r="G32" s="4">
        <f>IF(ISNUMBER(SEARCH("营",'19.02'!O32)),(-$Y32+50*IF('19.02'!$AK32="是",'19.02'!$BB$4,'19.02'!$BB$3)),(VLOOKUP('19.02'!O32,'19.02'!$AO$4:$AQ$55,2,FALSE))*IF('19.02'!$AK32="是",'19.02'!$BB$4,'19.02'!$BB$3))</f>
        <v>0</v>
      </c>
      <c r="H32" s="4">
        <f>IF(ISNUMBER(SEARCH("营",'19.02'!P32)),(-$Y32+50*IF('19.02'!$AK32="是",'19.02'!$BB$4,'19.02'!$BB$3)),(VLOOKUP('19.02'!P32,'19.02'!$AO$4:$AQ$55,2,FALSE))*IF('19.02'!$AK32="是",'19.02'!$BB$4,'19.02'!$BB$3))</f>
        <v>0</v>
      </c>
      <c r="I32" s="4">
        <f>IF(ISNUMBER(SEARCH("营",'19.02'!Q32)),(-$Y32+50*IF('19.02'!$AK32="是",'19.02'!$BB$4,'19.02'!$BB$3)),(VLOOKUP('19.02'!Q32,'19.02'!$AO$4:$AQ$55,2,FALSE))*IF('19.02'!$AK32="是",'19.02'!$BB$4,'19.02'!$BB$3))</f>
        <v>160</v>
      </c>
      <c r="J32" s="4">
        <f>IF(ISNUMBER(SEARCH("营",'19.02'!R32)),(-$Y32+50*IF('19.02'!$AK32="是",'19.02'!$BB$4,'19.02'!$BB$3)),(VLOOKUP('19.02'!R32,'19.02'!$AO$4:$AQ$55,2,FALSE))*IF('19.02'!$AK32="是",'19.02'!$BB$4,'19.02'!$BB$3))</f>
        <v>160</v>
      </c>
      <c r="K32" s="4">
        <f>IF(ISNUMBER(SEARCH("营",'19.02'!S32)),(-$Y32+50*IF('19.02'!$AK32="是",'19.02'!$BB$4,'19.02'!$BB$3)),(VLOOKUP('19.02'!S32,'19.02'!$AO$4:$AQ$55,2,FALSE))*IF('19.02'!$AK32="是",'19.02'!$BB$4,'19.02'!$BB$3))</f>
        <v>160</v>
      </c>
      <c r="L32" s="4">
        <f>IF(ISNUMBER(SEARCH("营",'19.02'!T32)),(-$Y32+50*IF('19.02'!$AK32="是",'19.02'!$BB$4,'19.02'!$BB$3)),(VLOOKUP('19.02'!T32,'19.02'!$AO$4:$AQ$55,2,FALSE))*IF('19.02'!$AK32="是",'19.02'!$BB$4,'19.02'!$BB$3))</f>
        <v>160</v>
      </c>
      <c r="M32" s="4">
        <f>IF(ISNUMBER(SEARCH("营",'19.02'!U32)),(-$Y32+50*IF('19.02'!$AK32="是",'19.02'!$BB$4,'19.02'!$BB$3)),(VLOOKUP('19.02'!U32,'19.02'!$AO$4:$AQ$55,2,FALSE))*IF('19.02'!$AK32="是",'19.02'!$BB$4,'19.02'!$BB$3))</f>
        <v>200</v>
      </c>
      <c r="N32" s="4">
        <f>IF(ISNUMBER(SEARCH("营",'19.02'!V32)),(-$Y32+50*IF('19.02'!$AK32="是",'19.02'!$BB$4,'19.02'!$BB$3)),(VLOOKUP('19.02'!V32,'19.02'!$AO$4:$AQ$55,2,FALSE))*IF('19.02'!$AK32="是",'19.02'!$BB$4,'19.02'!$BB$3))</f>
        <v>0</v>
      </c>
      <c r="O32" s="4">
        <f>IF(ISNUMBER(SEARCH("营",'19.02'!W32)),(-$Y32+50*IF('19.02'!$AK32="是",'19.02'!$BB$4,'19.02'!$BB$3)),(VLOOKUP('19.02'!W32,'19.02'!$AO$4:$AQ$55,2,FALSE))*IF('19.02'!$AK32="是",'19.02'!$BB$4,'19.02'!$BB$3))</f>
        <v>0</v>
      </c>
      <c r="P32" s="4">
        <f>IF(ISNUMBER(SEARCH("营",'19.02'!X32)),(-$Y32+50*IF('19.02'!$AK32="是",'19.02'!$BB$4,'19.02'!$BB$3)),(VLOOKUP('19.02'!X32,'19.02'!$AO$4:$AQ$55,2,FALSE))*IF('19.02'!$AK32="是",'19.02'!$BB$4,'19.02'!$BB$3))</f>
        <v>0</v>
      </c>
      <c r="Q32" s="4">
        <f>IF(ISNUMBER(SEARCH("营",'19.02'!Y32)),(-$Y32+50*IF('19.02'!$AK32="是",'19.02'!$BB$4,'19.02'!$BB$3)),(VLOOKUP('19.02'!Y32,'19.02'!$AO$4:$AQ$55,2,FALSE))*IF('19.02'!$AK32="是",'19.02'!$BB$4,'19.02'!$BB$3))</f>
        <v>0</v>
      </c>
      <c r="R32" s="4">
        <f>IF(ISNUMBER(SEARCH("营",'19.02'!Z32)),(-$Y32+50*IF('19.02'!$AK32="是",'19.02'!$BB$4,'19.02'!$BB$3)),(VLOOKUP('19.02'!Z32,'19.02'!$AO$4:$AQ$55,2,FALSE))*IF('19.02'!$AK32="是",'19.02'!$BB$4,'19.02'!$BB$3))</f>
        <v>0</v>
      </c>
      <c r="S32" s="4">
        <f>IF(ISNUMBER(SEARCH("营",'19.02'!AA32)),(-$Y32+50*IF('19.02'!$AK32="是",'19.02'!$BB$4,'19.02'!$BB$3)),(VLOOKUP('19.02'!AA32,'19.02'!$AO$4:$AQ$55,2,FALSE))*IF('19.02'!$AK32="是",'19.02'!$BB$4,'19.02'!$BB$3))</f>
        <v>0</v>
      </c>
      <c r="T32" s="4">
        <f>IF(ISNUMBER(SEARCH("营",'19.02'!AB32)),(-$Y32+50*IF('19.02'!$AK32="是",'19.02'!$BB$4,'19.02'!$BB$3)),(VLOOKUP('19.02'!AB32,'19.02'!$AO$4:$AQ$55,2,FALSE))*IF('19.02'!$AK32="是",'19.02'!$BB$4,'19.02'!$BB$3))</f>
        <v>0</v>
      </c>
      <c r="U32" s="4">
        <f>IF(ISNUMBER(SEARCH("营",'19.02'!AC32)),(-$Y32+50*IF('19.02'!$AK32="是",'19.02'!$BB$4,'19.02'!$BB$3)),(VLOOKUP('19.02'!AC32,'19.02'!$AO$4:$AQ$55,2,FALSE))*IF('19.02'!$AK32="是",'19.02'!$BB$4,'19.02'!$BB$3))</f>
        <v>0</v>
      </c>
      <c r="V32" s="4">
        <f>IF(ISNUMBER(SEARCH("营",'19.02'!AD32)),(-$Y32+50*IF('19.02'!$AK32="是",'19.02'!$BB$4,'19.02'!$BB$3)),(VLOOKUP('19.02'!AD32,'19.02'!$AO$4:$AQ$55,2,FALSE))*IF('19.02'!$AK32="是",'19.02'!$BB$4,'19.02'!$BB$3))</f>
        <v>0</v>
      </c>
      <c r="W32" s="4">
        <f>IF(ISNUMBER(SEARCH("营",'19.02'!AE32)),(-$Y32+50*IF('19.02'!$AK32="是",'19.02'!$BB$4,'19.02'!$BB$3)),(VLOOKUP('19.02'!AE32,'19.02'!$AO$4:$AQ$55,2,FALSE))*IF('19.02'!$AK32="是",'19.02'!$BB$4,'19.02'!$BB$3))</f>
        <v>0</v>
      </c>
      <c r="X32" s="4">
        <f>IF(ISNUMBER(SEARCH("营",'19.02'!AF32)),(-$Y32+50*IF('19.02'!$AK32="是",'19.02'!$BB$4,'19.02'!$BB$3)),(VLOOKUP('19.02'!AF32,'19.02'!$AO$4:$AQ$55,2,FALSE))*IF('19.02'!$AK32="是",'19.02'!$BB$4,'19.02'!$BB$3))</f>
        <v>0</v>
      </c>
      <c r="Y32" s="76">
        <v>200</v>
      </c>
      <c r="Z32" s="85">
        <v>45758</v>
      </c>
    </row>
    <row r="33" spans="1:26">
      <c r="A33" s="4">
        <f>IF(ISNUMBER(SEARCH("营",'19.02'!I33)),(-$Y33+50*IF('19.02'!$AK33="是",'19.02'!$BB$4,'19.02'!$BB$3)),(VLOOKUP('19.02'!I33,'19.02'!$AO$4:$AQ$55,2,FALSE))*IF('19.02'!$AK33="是",'19.02'!$BB$4,'19.02'!$BB$3))</f>
        <v>0</v>
      </c>
      <c r="B33" s="4">
        <f>IF(ISNUMBER(SEARCH("营",'19.02'!J33)),(-$Y33+50*IF('19.02'!$AK33="是",'19.02'!$BB$4,'19.02'!$BB$3)),(VLOOKUP('19.02'!J33,'19.02'!$AO$4:$AQ$55,2,FALSE))*IF('19.02'!$AK33="是",'19.02'!$BB$4,'19.02'!$BB$3))</f>
        <v>0</v>
      </c>
      <c r="C33" s="4">
        <f>IF(ISNUMBER(SEARCH("营",'19.02'!K33)),(-$Y33+50*IF('19.02'!$AK33="是",'19.02'!$BB$4,'19.02'!$BB$3)),(VLOOKUP('19.02'!K33,'19.02'!$AO$4:$AQ$55,2,FALSE))*IF('19.02'!$AK33="是",'19.02'!$BB$4,'19.02'!$BB$3))</f>
        <v>0</v>
      </c>
      <c r="D33" s="4">
        <f>IF(ISNUMBER(SEARCH("营",'19.02'!L33)),(-$Y33+50*IF('19.02'!$AK33="是",'19.02'!$BB$4,'19.02'!$BB$3)),(VLOOKUP('19.02'!L33,'19.02'!$AO$4:$AQ$55,2,FALSE))*IF('19.02'!$AK33="是",'19.02'!$BB$4,'19.02'!$BB$3))</f>
        <v>0</v>
      </c>
      <c r="E33" s="4">
        <f>IF(ISNUMBER(SEARCH("营",'19.02'!M33)),(-$Y33+50*IF('19.02'!$AK33="是",'19.02'!$BB$4,'19.02'!$BB$3)),(VLOOKUP('19.02'!M33,'19.02'!$AO$4:$AQ$55,2,FALSE))*IF('19.02'!$AK33="是",'19.02'!$BB$4,'19.02'!$BB$3))</f>
        <v>0</v>
      </c>
      <c r="F33" s="4">
        <f>IF(ISNUMBER(SEARCH("营",'19.02'!N33)),(-$Y33+50*IF('19.02'!$AK33="是",'19.02'!$BB$4,'19.02'!$BB$3)),(VLOOKUP('19.02'!N33,'19.02'!$AO$4:$AQ$55,2,FALSE))*IF('19.02'!$AK33="是",'19.02'!$BB$4,'19.02'!$BB$3))</f>
        <v>0</v>
      </c>
      <c r="G33" s="4">
        <f>IF(ISNUMBER(SEARCH("营",'19.02'!O33)),(-$Y33+50*IF('19.02'!$AK33="是",'19.02'!$BB$4,'19.02'!$BB$3)),(VLOOKUP('19.02'!O33,'19.02'!$AO$4:$AQ$55,2,FALSE))*IF('19.02'!$AK33="是",'19.02'!$BB$4,'19.02'!$BB$3))</f>
        <v>0</v>
      </c>
      <c r="H33" s="4">
        <f>IF(ISNUMBER(SEARCH("营",'19.02'!P33)),(-$Y33+50*IF('19.02'!$AK33="是",'19.02'!$BB$4,'19.02'!$BB$3)),(VLOOKUP('19.02'!P33,'19.02'!$AO$4:$AQ$55,2,FALSE))*IF('19.02'!$AK33="是",'19.02'!$BB$4,'19.02'!$BB$3))</f>
        <v>0</v>
      </c>
      <c r="I33" s="4">
        <f>IF(ISNUMBER(SEARCH("营",'19.02'!Q33)),(-$Y33+50*IF('19.02'!$AK33="是",'19.02'!$BB$4,'19.02'!$BB$3)),(VLOOKUP('19.02'!Q33,'19.02'!$AO$4:$AQ$55,2,FALSE))*IF('19.02'!$AK33="是",'19.02'!$BB$4,'19.02'!$BB$3))</f>
        <v>0</v>
      </c>
      <c r="J33" s="4">
        <f>IF(ISNUMBER(SEARCH("营",'19.02'!R33)),(-$Y33+50*IF('19.02'!$AK33="是",'19.02'!$BB$4,'19.02'!$BB$3)),(VLOOKUP('19.02'!R33,'19.02'!$AO$4:$AQ$55,2,FALSE))*IF('19.02'!$AK33="是",'19.02'!$BB$4,'19.02'!$BB$3))</f>
        <v>0</v>
      </c>
      <c r="K33" s="4">
        <f>IF(ISNUMBER(SEARCH("营",'19.02'!S33)),(-$Y33+50*IF('19.02'!$AK33="是",'19.02'!$BB$4,'19.02'!$BB$3)),(VLOOKUP('19.02'!S33,'19.02'!$AO$4:$AQ$55,2,FALSE))*IF('19.02'!$AK33="是",'19.02'!$BB$4,'19.02'!$BB$3))</f>
        <v>0</v>
      </c>
      <c r="L33" s="4">
        <f>IF(ISNUMBER(SEARCH("营",'19.02'!T33)),(-$Y33+50*IF('19.02'!$AK33="是",'19.02'!$BB$4,'19.02'!$BB$3)),(VLOOKUP('19.02'!T33,'19.02'!$AO$4:$AQ$55,2,FALSE))*IF('19.02'!$AK33="是",'19.02'!$BB$4,'19.02'!$BB$3))</f>
        <v>0</v>
      </c>
      <c r="M33" s="4">
        <f>IF(ISNUMBER(SEARCH("营",'19.02'!U33)),(-$Y33+50*IF('19.02'!$AK33="是",'19.02'!$BB$4,'19.02'!$BB$3)),(VLOOKUP('19.02'!U33,'19.02'!$AO$4:$AQ$55,2,FALSE))*IF('19.02'!$AK33="是",'19.02'!$BB$4,'19.02'!$BB$3))</f>
        <v>0</v>
      </c>
      <c r="N33" s="4">
        <f>IF(ISNUMBER(SEARCH("营",'19.02'!V33)),(-$Y33+50*IF('19.02'!$AK33="是",'19.02'!$BB$4,'19.02'!$BB$3)),(VLOOKUP('19.02'!V33,'19.02'!$AO$4:$AQ$55,2,FALSE))*IF('19.02'!$AK33="是",'19.02'!$BB$4,'19.02'!$BB$3))</f>
        <v>0</v>
      </c>
      <c r="O33" s="4">
        <f>IF(ISNUMBER(SEARCH("营",'19.02'!W33)),(-$Y33+50*IF('19.02'!$AK33="是",'19.02'!$BB$4,'19.02'!$BB$3)),(VLOOKUP('19.02'!W33,'19.02'!$AO$4:$AQ$55,2,FALSE))*IF('19.02'!$AK33="是",'19.02'!$BB$4,'19.02'!$BB$3))</f>
        <v>0</v>
      </c>
      <c r="P33" s="4">
        <f>IF(ISNUMBER(SEARCH("营",'19.02'!X33)),(-$Y33+50*IF('19.02'!$AK33="是",'19.02'!$BB$4,'19.02'!$BB$3)),(VLOOKUP('19.02'!X33,'19.02'!$AO$4:$AQ$55,2,FALSE))*IF('19.02'!$AK33="是",'19.02'!$BB$4,'19.02'!$BB$3))</f>
        <v>0</v>
      </c>
      <c r="Q33" s="4">
        <f>IF(ISNUMBER(SEARCH("营",'19.02'!Y33)),(-$Y33+50*IF('19.02'!$AK33="是",'19.02'!$BB$4,'19.02'!$BB$3)),(VLOOKUP('19.02'!Y33,'19.02'!$AO$4:$AQ$55,2,FALSE))*IF('19.02'!$AK33="是",'19.02'!$BB$4,'19.02'!$BB$3))</f>
        <v>144</v>
      </c>
      <c r="R33" s="4">
        <f>IF(ISNUMBER(SEARCH("营",'19.02'!Z33)),(-$Y33+50*IF('19.02'!$AK33="是",'19.02'!$BB$4,'19.02'!$BB$3)),(VLOOKUP('19.02'!Z33,'19.02'!$AO$4:$AQ$55,2,FALSE))*IF('19.02'!$AK33="是",'19.02'!$BB$4,'19.02'!$BB$3))</f>
        <v>144</v>
      </c>
      <c r="S33" s="4">
        <f>IF(ISNUMBER(SEARCH("营",'19.02'!AA33)),(-$Y33+50*IF('19.02'!$AK33="是",'19.02'!$BB$4,'19.02'!$BB$3)),(VLOOKUP('19.02'!AA33,'19.02'!$AO$4:$AQ$55,2,FALSE))*IF('19.02'!$AK33="是",'19.02'!$BB$4,'19.02'!$BB$3))</f>
        <v>144</v>
      </c>
      <c r="T33" s="4">
        <f>IF(ISNUMBER(SEARCH("营",'19.02'!AB33)),(-$Y33+50*IF('19.02'!$AK33="是",'19.02'!$BB$4,'19.02'!$BB$3)),(VLOOKUP('19.02'!AB33,'19.02'!$AO$4:$AQ$55,2,FALSE))*IF('19.02'!$AK33="是",'19.02'!$BB$4,'19.02'!$BB$3))</f>
        <v>144</v>
      </c>
      <c r="U33" s="4">
        <f>IF(ISNUMBER(SEARCH("营",'19.02'!AC33)),(-$Y33+50*IF('19.02'!$AK33="是",'19.02'!$BB$4,'19.02'!$BB$3)),(VLOOKUP('19.02'!AC33,'19.02'!$AO$4:$AQ$55,2,FALSE))*IF('19.02'!$AK33="是",'19.02'!$BB$4,'19.02'!$BB$3))</f>
        <v>144</v>
      </c>
      <c r="V33" s="4">
        <f>IF(ISNUMBER(SEARCH("营",'19.02'!AD33)),(-$Y33+50*IF('19.02'!$AK33="是",'19.02'!$BB$4,'19.02'!$BB$3)),(VLOOKUP('19.02'!AD33,'19.02'!$AO$4:$AQ$55,2,FALSE))*IF('19.02'!$AK33="是",'19.02'!$BB$4,'19.02'!$BB$3))</f>
        <v>144</v>
      </c>
      <c r="W33" s="4">
        <f>IF(ISNUMBER(SEARCH("营",'19.02'!AE33)),(-$Y33+50*IF('19.02'!$AK33="是",'19.02'!$BB$4,'19.02'!$BB$3)),(VLOOKUP('19.02'!AE33,'19.02'!$AO$4:$AQ$55,2,FALSE))*IF('19.02'!$AK33="是",'19.02'!$BB$4,'19.02'!$BB$3))</f>
        <v>0</v>
      </c>
      <c r="X33" s="4">
        <f>IF(ISNUMBER(SEARCH("营",'19.02'!AF33)),(-$Y33+50*IF('19.02'!$AK33="是",'19.02'!$BB$4,'19.02'!$BB$3)),(VLOOKUP('19.02'!AF33,'19.02'!$AO$4:$AQ$55,2,FALSE))*IF('19.02'!$AK33="是",'19.02'!$BB$4,'19.02'!$BB$3))</f>
        <v>0</v>
      </c>
      <c r="Y33" s="76">
        <v>200</v>
      </c>
      <c r="Z33" s="85">
        <v>45759</v>
      </c>
    </row>
    <row r="34" spans="1:26">
      <c r="A34" s="4">
        <f>IF(ISNUMBER(SEARCH("营",'19.02'!I34)),(-$Y34+50*IF('19.02'!$AK34="是",'19.02'!$BB$4,'19.02'!$BB$3)),(VLOOKUP('19.02'!I34,'19.02'!$AO$4:$AQ$55,2,FALSE))*IF('19.02'!$AK34="是",'19.02'!$BB$4,'19.02'!$BB$3))</f>
        <v>0</v>
      </c>
      <c r="B34" s="4">
        <f>IF(ISNUMBER(SEARCH("营",'19.02'!J34)),(-$Y34+50*IF('19.02'!$AK34="是",'19.02'!$BB$4,'19.02'!$BB$3)),(VLOOKUP('19.02'!J34,'19.02'!$AO$4:$AQ$55,2,FALSE))*IF('19.02'!$AK34="是",'19.02'!$BB$4,'19.02'!$BB$3))</f>
        <v>0</v>
      </c>
      <c r="C34" s="4">
        <f>IF(ISNUMBER(SEARCH("营",'19.02'!K34)),(-$Y34+50*IF('19.02'!$AK34="是",'19.02'!$BB$4,'19.02'!$BB$3)),(VLOOKUP('19.02'!K34,'19.02'!$AO$4:$AQ$55,2,FALSE))*IF('19.02'!$AK34="是",'19.02'!$BB$4,'19.02'!$BB$3))</f>
        <v>0</v>
      </c>
      <c r="D34" s="4">
        <f>IF(ISNUMBER(SEARCH("营",'19.02'!L34)),(-$Y34+50*IF('19.02'!$AK34="是",'19.02'!$BB$4,'19.02'!$BB$3)),(VLOOKUP('19.02'!L34,'19.02'!$AO$4:$AQ$55,2,FALSE))*IF('19.02'!$AK34="是",'19.02'!$BB$4,'19.02'!$BB$3))</f>
        <v>0</v>
      </c>
      <c r="E34" s="4">
        <f>IF(ISNUMBER(SEARCH("营",'19.02'!M34)),(-$Y34+50*IF('19.02'!$AK34="是",'19.02'!$BB$4,'19.02'!$BB$3)),(VLOOKUP('19.02'!M34,'19.02'!$AO$4:$AQ$55,2,FALSE))*IF('19.02'!$AK34="是",'19.02'!$BB$4,'19.02'!$BB$3))</f>
        <v>0</v>
      </c>
      <c r="F34" s="4">
        <f>IF(ISNUMBER(SEARCH("营",'19.02'!N34)),(-$Y34+50*IF('19.02'!$AK34="是",'19.02'!$BB$4,'19.02'!$BB$3)),(VLOOKUP('19.02'!N34,'19.02'!$AO$4:$AQ$55,2,FALSE))*IF('19.02'!$AK34="是",'19.02'!$BB$4,'19.02'!$BB$3))</f>
        <v>0</v>
      </c>
      <c r="G34" s="4">
        <f>IF(ISNUMBER(SEARCH("营",'19.02'!O34)),(-$Y34+50*IF('19.02'!$AK34="是",'19.02'!$BB$4,'19.02'!$BB$3)),(VLOOKUP('19.02'!O34,'19.02'!$AO$4:$AQ$55,2,FALSE))*IF('19.02'!$AK34="是",'19.02'!$BB$4,'19.02'!$BB$3))</f>
        <v>0</v>
      </c>
      <c r="H34" s="4">
        <f>IF(ISNUMBER(SEARCH("营",'19.02'!P34)),(-$Y34+50*IF('19.02'!$AK34="是",'19.02'!$BB$4,'19.02'!$BB$3)),(VLOOKUP('19.02'!P34,'19.02'!$AO$4:$AQ$55,2,FALSE))*IF('19.02'!$AK34="是",'19.02'!$BB$4,'19.02'!$BB$3))</f>
        <v>0</v>
      </c>
      <c r="I34" s="4">
        <f>IF(ISNUMBER(SEARCH("营",'19.02'!Q34)),(-$Y34+50*IF('19.02'!$AK34="是",'19.02'!$BB$4,'19.02'!$BB$3)),(VLOOKUP('19.02'!Q34,'19.02'!$AO$4:$AQ$55,2,FALSE))*IF('19.02'!$AK34="是",'19.02'!$BB$4,'19.02'!$BB$3))</f>
        <v>0</v>
      </c>
      <c r="J34" s="4">
        <f>IF(ISNUMBER(SEARCH("营",'19.02'!R34)),(-$Y34+50*IF('19.02'!$AK34="是",'19.02'!$BB$4,'19.02'!$BB$3)),(VLOOKUP('19.02'!R34,'19.02'!$AO$4:$AQ$55,2,FALSE))*IF('19.02'!$AK34="是",'19.02'!$BB$4,'19.02'!$BB$3))</f>
        <v>0</v>
      </c>
      <c r="K34" s="4">
        <f>IF(ISNUMBER(SEARCH("营",'19.02'!S34)),(-$Y34+50*IF('19.02'!$AK34="是",'19.02'!$BB$4,'19.02'!$BB$3)),(VLOOKUP('19.02'!S34,'19.02'!$AO$4:$AQ$55,2,FALSE))*IF('19.02'!$AK34="是",'19.02'!$BB$4,'19.02'!$BB$3))</f>
        <v>0</v>
      </c>
      <c r="L34" s="4">
        <f>IF(ISNUMBER(SEARCH("营",'19.02'!T34)),(-$Y34+50*IF('19.02'!$AK34="是",'19.02'!$BB$4,'19.02'!$BB$3)),(VLOOKUP('19.02'!T34,'19.02'!$AO$4:$AQ$55,2,FALSE))*IF('19.02'!$AK34="是",'19.02'!$BB$4,'19.02'!$BB$3))</f>
        <v>0</v>
      </c>
      <c r="M34" s="4">
        <f>IF(ISNUMBER(SEARCH("营",'19.02'!U34)),(-$Y34+50*IF('19.02'!$AK34="是",'19.02'!$BB$4,'19.02'!$BB$3)),(VLOOKUP('19.02'!U34,'19.02'!$AO$4:$AQ$55,2,FALSE))*IF('19.02'!$AK34="是",'19.02'!$BB$4,'19.02'!$BB$3))</f>
        <v>0</v>
      </c>
      <c r="N34" s="4">
        <f>IF(ISNUMBER(SEARCH("营",'19.02'!V34)),(-$Y34+50*IF('19.02'!$AK34="是",'19.02'!$BB$4,'19.02'!$BB$3)),(VLOOKUP('19.02'!V34,'19.02'!$AO$4:$AQ$55,2,FALSE))*IF('19.02'!$AK34="是",'19.02'!$BB$4,'19.02'!$BB$3))</f>
        <v>0</v>
      </c>
      <c r="O34" s="4">
        <f>IF(ISNUMBER(SEARCH("营",'19.02'!W34)),(-$Y34+50*IF('19.02'!$AK34="是",'19.02'!$BB$4,'19.02'!$BB$3)),(VLOOKUP('19.02'!W34,'19.02'!$AO$4:$AQ$55,2,FALSE))*IF('19.02'!$AK34="是",'19.02'!$BB$4,'19.02'!$BB$3))</f>
        <v>0</v>
      </c>
      <c r="P34" s="4">
        <f>IF(ISNUMBER(SEARCH("营",'19.02'!X34)),(-$Y34+50*IF('19.02'!$AK34="是",'19.02'!$BB$4,'19.02'!$BB$3)),(VLOOKUP('19.02'!X34,'19.02'!$AO$4:$AQ$55,2,FALSE))*IF('19.02'!$AK34="是",'19.02'!$BB$4,'19.02'!$BB$3))</f>
        <v>0</v>
      </c>
      <c r="Q34" s="4">
        <f>IF(ISNUMBER(SEARCH("营",'19.02'!Y34)),(-$Y34+50*IF('19.02'!$AK34="是",'19.02'!$BB$4,'19.02'!$BB$3)),(VLOOKUP('19.02'!Y34,'19.02'!$AO$4:$AQ$55,2,FALSE))*IF('19.02'!$AK34="是",'19.02'!$BB$4,'19.02'!$BB$3))</f>
        <v>144</v>
      </c>
      <c r="R34" s="4">
        <f>IF(ISNUMBER(SEARCH("营",'19.02'!Z34)),(-$Y34+50*IF('19.02'!$AK34="是",'19.02'!$BB$4,'19.02'!$BB$3)),(VLOOKUP('19.02'!Z34,'19.02'!$AO$4:$AQ$55,2,FALSE))*IF('19.02'!$AK34="是",'19.02'!$BB$4,'19.02'!$BB$3))</f>
        <v>144</v>
      </c>
      <c r="S34" s="4">
        <f>IF(ISNUMBER(SEARCH("营",'19.02'!AA34)),(-$Y34+50*IF('19.02'!$AK34="是",'19.02'!$BB$4,'19.02'!$BB$3)),(VLOOKUP('19.02'!AA34,'19.02'!$AO$4:$AQ$55,2,FALSE))*IF('19.02'!$AK34="是",'19.02'!$BB$4,'19.02'!$BB$3))</f>
        <v>144</v>
      </c>
      <c r="T34" s="4">
        <f>IF(ISNUMBER(SEARCH("营",'19.02'!AB34)),(-$Y34+50*IF('19.02'!$AK34="是",'19.02'!$BB$4,'19.02'!$BB$3)),(VLOOKUP('19.02'!AB34,'19.02'!$AO$4:$AQ$55,2,FALSE))*IF('19.02'!$AK34="是",'19.02'!$BB$4,'19.02'!$BB$3))</f>
        <v>144</v>
      </c>
      <c r="U34" s="4">
        <f>IF(ISNUMBER(SEARCH("营",'19.02'!AC34)),(-$Y34+50*IF('19.02'!$AK34="是",'19.02'!$BB$4,'19.02'!$BB$3)),(VLOOKUP('19.02'!AC34,'19.02'!$AO$4:$AQ$55,2,FALSE))*IF('19.02'!$AK34="是",'19.02'!$BB$4,'19.02'!$BB$3))</f>
        <v>144</v>
      </c>
      <c r="V34" s="4">
        <f>IF(ISNUMBER(SEARCH("营",'19.02'!AD34)),(-$Y34+50*IF('19.02'!$AK34="是",'19.02'!$BB$4,'19.02'!$BB$3)),(VLOOKUP('19.02'!AD34,'19.02'!$AO$4:$AQ$55,2,FALSE))*IF('19.02'!$AK34="是",'19.02'!$BB$4,'19.02'!$BB$3))</f>
        <v>144</v>
      </c>
      <c r="W34" s="4">
        <f>IF(ISNUMBER(SEARCH("营",'19.02'!AE34)),(-$Y34+50*IF('19.02'!$AK34="是",'19.02'!$BB$4,'19.02'!$BB$3)),(VLOOKUP('19.02'!AE34,'19.02'!$AO$4:$AQ$55,2,FALSE))*IF('19.02'!$AK34="是",'19.02'!$BB$4,'19.02'!$BB$3))</f>
        <v>0</v>
      </c>
      <c r="X34" s="4">
        <f>IF(ISNUMBER(SEARCH("营",'19.02'!AF34)),(-$Y34+50*IF('19.02'!$AK34="是",'19.02'!$BB$4,'19.02'!$BB$3)),(VLOOKUP('19.02'!AF34,'19.02'!$AO$4:$AQ$55,2,FALSE))*IF('19.02'!$AK34="是",'19.02'!$BB$4,'19.02'!$BB$3))</f>
        <v>0</v>
      </c>
      <c r="Y34" s="76">
        <v>200</v>
      </c>
      <c r="Z34" s="85">
        <v>45760</v>
      </c>
    </row>
    <row r="35" spans="1:26">
      <c r="A35" s="4">
        <f>IF(ISNUMBER(SEARCH("营",'19.02'!I35)),(-$Y35+50*IF('19.02'!$AK35="是",'19.02'!$BB$4,'19.02'!$BB$3)),(VLOOKUP('19.02'!I35,'19.02'!$AO$4:$AQ$55,2,FALSE))*IF('19.02'!$AK35="是",'19.02'!$BB$4,'19.02'!$BB$3))</f>
        <v>0</v>
      </c>
      <c r="B35" s="4">
        <f>IF(ISNUMBER(SEARCH("营",'19.02'!J35)),(-$Y35+50*IF('19.02'!$AK35="是",'19.02'!$BB$4,'19.02'!$BB$3)),(VLOOKUP('19.02'!J35,'19.02'!$AO$4:$AQ$55,2,FALSE))*IF('19.02'!$AK35="是",'19.02'!$BB$4,'19.02'!$BB$3))</f>
        <v>0</v>
      </c>
      <c r="C35" s="4">
        <f>IF(ISNUMBER(SEARCH("营",'19.02'!K35)),(-$Y35+50*IF('19.02'!$AK35="是",'19.02'!$BB$4,'19.02'!$BB$3)),(VLOOKUP('19.02'!K35,'19.02'!$AO$4:$AQ$55,2,FALSE))*IF('19.02'!$AK35="是",'19.02'!$BB$4,'19.02'!$BB$3))</f>
        <v>0</v>
      </c>
      <c r="D35" s="4">
        <f>IF(ISNUMBER(SEARCH("营",'19.02'!L35)),(-$Y35+50*IF('19.02'!$AK35="是",'19.02'!$BB$4,'19.02'!$BB$3)),(VLOOKUP('19.02'!L35,'19.02'!$AO$4:$AQ$55,2,FALSE))*IF('19.02'!$AK35="是",'19.02'!$BB$4,'19.02'!$BB$3))</f>
        <v>0</v>
      </c>
      <c r="E35" s="4">
        <f>IF(ISNUMBER(SEARCH("营",'19.02'!M35)),(-$Y35+50*IF('19.02'!$AK35="是",'19.02'!$BB$4,'19.02'!$BB$3)),(VLOOKUP('19.02'!M35,'19.02'!$AO$4:$AQ$55,2,FALSE))*IF('19.02'!$AK35="是",'19.02'!$BB$4,'19.02'!$BB$3))</f>
        <v>0</v>
      </c>
      <c r="F35" s="4">
        <f>IF(ISNUMBER(SEARCH("营",'19.02'!N35)),(-$Y35+50*IF('19.02'!$AK35="是",'19.02'!$BB$4,'19.02'!$BB$3)),(VLOOKUP('19.02'!N35,'19.02'!$AO$4:$AQ$55,2,FALSE))*IF('19.02'!$AK35="是",'19.02'!$BB$4,'19.02'!$BB$3))</f>
        <v>0</v>
      </c>
      <c r="G35" s="4">
        <f>IF(ISNUMBER(SEARCH("营",'19.02'!O35)),(-$Y35+50*IF('19.02'!$AK35="是",'19.02'!$BB$4,'19.02'!$BB$3)),(VLOOKUP('19.02'!O35,'19.02'!$AO$4:$AQ$55,2,FALSE))*IF('19.02'!$AK35="是",'19.02'!$BB$4,'19.02'!$BB$3))</f>
        <v>0</v>
      </c>
      <c r="H35" s="4">
        <f>IF(ISNUMBER(SEARCH("营",'19.02'!P35)),(-$Y35+50*IF('19.02'!$AK35="是",'19.02'!$BB$4,'19.02'!$BB$3)),(VLOOKUP('19.02'!P35,'19.02'!$AO$4:$AQ$55,2,FALSE))*IF('19.02'!$AK35="是",'19.02'!$BB$4,'19.02'!$BB$3))</f>
        <v>0</v>
      </c>
      <c r="I35" s="4">
        <f>IF(ISNUMBER(SEARCH("营",'19.02'!Q35)),(-$Y35+50*IF('19.02'!$AK35="是",'19.02'!$BB$4,'19.02'!$BB$3)),(VLOOKUP('19.02'!Q35,'19.02'!$AO$4:$AQ$55,2,FALSE))*IF('19.02'!$AK35="是",'19.02'!$BB$4,'19.02'!$BB$3))</f>
        <v>0</v>
      </c>
      <c r="J35" s="4">
        <f>IF(ISNUMBER(SEARCH("营",'19.02'!R35)),(-$Y35+50*IF('19.02'!$AK35="是",'19.02'!$BB$4,'19.02'!$BB$3)),(VLOOKUP('19.02'!R35,'19.02'!$AO$4:$AQ$55,2,FALSE))*IF('19.02'!$AK35="是",'19.02'!$BB$4,'19.02'!$BB$3))</f>
        <v>0</v>
      </c>
      <c r="K35" s="4">
        <f>IF(ISNUMBER(SEARCH("营",'19.02'!S35)),(-$Y35+50*IF('19.02'!$AK35="是",'19.02'!$BB$4,'19.02'!$BB$3)),(VLOOKUP('19.02'!S35,'19.02'!$AO$4:$AQ$55,2,FALSE))*IF('19.02'!$AK35="是",'19.02'!$BB$4,'19.02'!$BB$3))</f>
        <v>0</v>
      </c>
      <c r="L35" s="4">
        <f>IF(ISNUMBER(SEARCH("营",'19.02'!T35)),(-$Y35+50*IF('19.02'!$AK35="是",'19.02'!$BB$4,'19.02'!$BB$3)),(VLOOKUP('19.02'!T35,'19.02'!$AO$4:$AQ$55,2,FALSE))*IF('19.02'!$AK35="是",'19.02'!$BB$4,'19.02'!$BB$3))</f>
        <v>0</v>
      </c>
      <c r="M35" s="4">
        <f>IF(ISNUMBER(SEARCH("营",'19.02'!U35)),(-$Y35+50*IF('19.02'!$AK35="是",'19.02'!$BB$4,'19.02'!$BB$3)),(VLOOKUP('19.02'!U35,'19.02'!$AO$4:$AQ$55,2,FALSE))*IF('19.02'!$AK35="是",'19.02'!$BB$4,'19.02'!$BB$3))</f>
        <v>0</v>
      </c>
      <c r="N35" s="4">
        <f>IF(ISNUMBER(SEARCH("营",'19.02'!V35)),(-$Y35+50*IF('19.02'!$AK35="是",'19.02'!$BB$4,'19.02'!$BB$3)),(VLOOKUP('19.02'!V35,'19.02'!$AO$4:$AQ$55,2,FALSE))*IF('19.02'!$AK35="是",'19.02'!$BB$4,'19.02'!$BB$3))</f>
        <v>0</v>
      </c>
      <c r="O35" s="4">
        <f>IF(ISNUMBER(SEARCH("营",'19.02'!W35)),(-$Y35+50*IF('19.02'!$AK35="是",'19.02'!$BB$4,'19.02'!$BB$3)),(VLOOKUP('19.02'!W35,'19.02'!$AO$4:$AQ$55,2,FALSE))*IF('19.02'!$AK35="是",'19.02'!$BB$4,'19.02'!$BB$3))</f>
        <v>0</v>
      </c>
      <c r="P35" s="4">
        <f>IF(ISNUMBER(SEARCH("营",'19.02'!X35)),(-$Y35+50*IF('19.02'!$AK35="是",'19.02'!$BB$4,'19.02'!$BB$3)),(VLOOKUP('19.02'!X35,'19.02'!$AO$4:$AQ$55,2,FALSE))*IF('19.02'!$AK35="是",'19.02'!$BB$4,'19.02'!$BB$3))</f>
        <v>0</v>
      </c>
      <c r="Q35" s="4">
        <f>IF(ISNUMBER(SEARCH("营",'19.02'!Y35)),(-$Y35+50*IF('19.02'!$AK35="是",'19.02'!$BB$4,'19.02'!$BB$3)),(VLOOKUP('19.02'!Y35,'19.02'!$AO$4:$AQ$55,2,FALSE))*IF('19.02'!$AK35="是",'19.02'!$BB$4,'19.02'!$BB$3))</f>
        <v>144</v>
      </c>
      <c r="R35" s="4">
        <f>IF(ISNUMBER(SEARCH("营",'19.02'!Z35)),(-$Y35+50*IF('19.02'!$AK35="是",'19.02'!$BB$4,'19.02'!$BB$3)),(VLOOKUP('19.02'!Z35,'19.02'!$AO$4:$AQ$55,2,FALSE))*IF('19.02'!$AK35="是",'19.02'!$BB$4,'19.02'!$BB$3))</f>
        <v>144</v>
      </c>
      <c r="S35" s="4">
        <f>IF(ISNUMBER(SEARCH("营",'19.02'!AA35)),(-$Y35+50*IF('19.02'!$AK35="是",'19.02'!$BB$4,'19.02'!$BB$3)),(VLOOKUP('19.02'!AA35,'19.02'!$AO$4:$AQ$55,2,FALSE))*IF('19.02'!$AK35="是",'19.02'!$BB$4,'19.02'!$BB$3))</f>
        <v>144</v>
      </c>
      <c r="T35" s="4">
        <f>IF(ISNUMBER(SEARCH("营",'19.02'!AB35)),(-$Y35+50*IF('19.02'!$AK35="是",'19.02'!$BB$4,'19.02'!$BB$3)),(VLOOKUP('19.02'!AB35,'19.02'!$AO$4:$AQ$55,2,FALSE))*IF('19.02'!$AK35="是",'19.02'!$BB$4,'19.02'!$BB$3))</f>
        <v>144</v>
      </c>
      <c r="U35" s="4">
        <f>IF(ISNUMBER(SEARCH("营",'19.02'!AC35)),(-$Y35+50*IF('19.02'!$AK35="是",'19.02'!$BB$4,'19.02'!$BB$3)),(VLOOKUP('19.02'!AC35,'19.02'!$AO$4:$AQ$55,2,FALSE))*IF('19.02'!$AK35="是",'19.02'!$BB$4,'19.02'!$BB$3))</f>
        <v>144</v>
      </c>
      <c r="V35" s="4">
        <f>IF(ISNUMBER(SEARCH("营",'19.02'!AD35)),(-$Y35+50*IF('19.02'!$AK35="是",'19.02'!$BB$4,'19.02'!$BB$3)),(VLOOKUP('19.02'!AD35,'19.02'!$AO$4:$AQ$55,2,FALSE))*IF('19.02'!$AK35="是",'19.02'!$BB$4,'19.02'!$BB$3))</f>
        <v>144</v>
      </c>
      <c r="W35" s="4">
        <f>IF(ISNUMBER(SEARCH("营",'19.02'!AE35)),(-$Y35+50*IF('19.02'!$AK35="是",'19.02'!$BB$4,'19.02'!$BB$3)),(VLOOKUP('19.02'!AE35,'19.02'!$AO$4:$AQ$55,2,FALSE))*IF('19.02'!$AK35="是",'19.02'!$BB$4,'19.02'!$BB$3))</f>
        <v>-160</v>
      </c>
      <c r="X35" s="4">
        <f>IF(ISNUMBER(SEARCH("营",'19.02'!AF35)),(-$Y35+50*IF('19.02'!$AK35="是",'19.02'!$BB$4,'19.02'!$BB$3)),(VLOOKUP('19.02'!AF35,'19.02'!$AO$4:$AQ$55,2,FALSE))*IF('19.02'!$AK35="是",'19.02'!$BB$4,'19.02'!$BB$3))</f>
        <v>0</v>
      </c>
      <c r="Y35" s="76">
        <v>200</v>
      </c>
      <c r="Z35" s="85">
        <v>45761</v>
      </c>
    </row>
    <row r="36" spans="1:26">
      <c r="A36" s="4">
        <f>IF(ISNUMBER(SEARCH("营",'19.02'!I36)),(-$Y36+50*IF('19.02'!$AK36="是",'19.02'!$BB$4,'19.02'!$BB$3)),(VLOOKUP('19.02'!I36,'19.02'!$AO$4:$AQ$55,2,FALSE))*IF('19.02'!$AK36="是",'19.02'!$BB$4,'19.02'!$BB$3))</f>
        <v>0</v>
      </c>
      <c r="B36" s="4">
        <f>IF(ISNUMBER(SEARCH("营",'19.02'!J36)),(-$Y36+50*IF('19.02'!$AK36="是",'19.02'!$BB$4,'19.02'!$BB$3)),(VLOOKUP('19.02'!J36,'19.02'!$AO$4:$AQ$55,2,FALSE))*IF('19.02'!$AK36="是",'19.02'!$BB$4,'19.02'!$BB$3))</f>
        <v>0</v>
      </c>
      <c r="C36" s="4">
        <f>IF(ISNUMBER(SEARCH("营",'19.02'!K36)),(-$Y36+50*IF('19.02'!$AK36="是",'19.02'!$BB$4,'19.02'!$BB$3)),(VLOOKUP('19.02'!K36,'19.02'!$AO$4:$AQ$55,2,FALSE))*IF('19.02'!$AK36="是",'19.02'!$BB$4,'19.02'!$BB$3))</f>
        <v>0</v>
      </c>
      <c r="D36" s="4">
        <f>IF(ISNUMBER(SEARCH("营",'19.02'!L36)),(-$Y36+50*IF('19.02'!$AK36="是",'19.02'!$BB$4,'19.02'!$BB$3)),(VLOOKUP('19.02'!L36,'19.02'!$AO$4:$AQ$55,2,FALSE))*IF('19.02'!$AK36="是",'19.02'!$BB$4,'19.02'!$BB$3))</f>
        <v>0</v>
      </c>
      <c r="E36" s="4">
        <f>IF(ISNUMBER(SEARCH("营",'19.02'!M36)),(-$Y36+50*IF('19.02'!$AK36="是",'19.02'!$BB$4,'19.02'!$BB$3)),(VLOOKUP('19.02'!M36,'19.02'!$AO$4:$AQ$55,2,FALSE))*IF('19.02'!$AK36="是",'19.02'!$BB$4,'19.02'!$BB$3))</f>
        <v>0</v>
      </c>
      <c r="F36" s="4">
        <f>IF(ISNUMBER(SEARCH("营",'19.02'!N36)),(-$Y36+50*IF('19.02'!$AK36="是",'19.02'!$BB$4,'19.02'!$BB$3)),(VLOOKUP('19.02'!N36,'19.02'!$AO$4:$AQ$55,2,FALSE))*IF('19.02'!$AK36="是",'19.02'!$BB$4,'19.02'!$BB$3))</f>
        <v>0</v>
      </c>
      <c r="G36" s="4">
        <f>IF(ISNUMBER(SEARCH("营",'19.02'!O36)),(-$Y36+50*IF('19.02'!$AK36="是",'19.02'!$BB$4,'19.02'!$BB$3)),(VLOOKUP('19.02'!O36,'19.02'!$AO$4:$AQ$55,2,FALSE))*IF('19.02'!$AK36="是",'19.02'!$BB$4,'19.02'!$BB$3))</f>
        <v>0</v>
      </c>
      <c r="H36" s="4">
        <f>IF(ISNUMBER(SEARCH("营",'19.02'!P36)),(-$Y36+50*IF('19.02'!$AK36="是",'19.02'!$BB$4,'19.02'!$BB$3)),(VLOOKUP('19.02'!P36,'19.02'!$AO$4:$AQ$55,2,FALSE))*IF('19.02'!$AK36="是",'19.02'!$BB$4,'19.02'!$BB$3))</f>
        <v>0</v>
      </c>
      <c r="I36" s="4">
        <f>IF(ISNUMBER(SEARCH("营",'19.02'!Q36)),(-$Y36+50*IF('19.02'!$AK36="是",'19.02'!$BB$4,'19.02'!$BB$3)),(VLOOKUP('19.02'!Q36,'19.02'!$AO$4:$AQ$55,2,FALSE))*IF('19.02'!$AK36="是",'19.02'!$BB$4,'19.02'!$BB$3))</f>
        <v>0</v>
      </c>
      <c r="J36" s="4">
        <f>IF(ISNUMBER(SEARCH("营",'19.02'!R36)),(-$Y36+50*IF('19.02'!$AK36="是",'19.02'!$BB$4,'19.02'!$BB$3)),(VLOOKUP('19.02'!R36,'19.02'!$AO$4:$AQ$55,2,FALSE))*IF('19.02'!$AK36="是",'19.02'!$BB$4,'19.02'!$BB$3))</f>
        <v>0</v>
      </c>
      <c r="K36" s="4">
        <f>IF(ISNUMBER(SEARCH("营",'19.02'!S36)),(-$Y36+50*IF('19.02'!$AK36="是",'19.02'!$BB$4,'19.02'!$BB$3)),(VLOOKUP('19.02'!S36,'19.02'!$AO$4:$AQ$55,2,FALSE))*IF('19.02'!$AK36="是",'19.02'!$BB$4,'19.02'!$BB$3))</f>
        <v>0</v>
      </c>
      <c r="L36" s="4">
        <f>IF(ISNUMBER(SEARCH("营",'19.02'!T36)),(-$Y36+50*IF('19.02'!$AK36="是",'19.02'!$BB$4,'19.02'!$BB$3)),(VLOOKUP('19.02'!T36,'19.02'!$AO$4:$AQ$55,2,FALSE))*IF('19.02'!$AK36="是",'19.02'!$BB$4,'19.02'!$BB$3))</f>
        <v>0</v>
      </c>
      <c r="M36" s="4">
        <f>IF(ISNUMBER(SEARCH("营",'19.02'!U36)),(-$Y36+50*IF('19.02'!$AK36="是",'19.02'!$BB$4,'19.02'!$BB$3)),(VLOOKUP('19.02'!U36,'19.02'!$AO$4:$AQ$55,2,FALSE))*IF('19.02'!$AK36="是",'19.02'!$BB$4,'19.02'!$BB$3))</f>
        <v>0</v>
      </c>
      <c r="N36" s="4">
        <f>IF(ISNUMBER(SEARCH("营",'19.02'!V36)),(-$Y36+50*IF('19.02'!$AK36="是",'19.02'!$BB$4,'19.02'!$BB$3)),(VLOOKUP('19.02'!V36,'19.02'!$AO$4:$AQ$55,2,FALSE))*IF('19.02'!$AK36="是",'19.02'!$BB$4,'19.02'!$BB$3))</f>
        <v>0</v>
      </c>
      <c r="O36" s="4">
        <f>IF(ISNUMBER(SEARCH("营",'19.02'!W36)),(-$Y36+50*IF('19.02'!$AK36="是",'19.02'!$BB$4,'19.02'!$BB$3)),(VLOOKUP('19.02'!W36,'19.02'!$AO$4:$AQ$55,2,FALSE))*IF('19.02'!$AK36="是",'19.02'!$BB$4,'19.02'!$BB$3))</f>
        <v>0</v>
      </c>
      <c r="P36" s="4">
        <f>IF(ISNUMBER(SEARCH("营",'19.02'!X36)),(-$Y36+50*IF('19.02'!$AK36="是",'19.02'!$BB$4,'19.02'!$BB$3)),(VLOOKUP('19.02'!X36,'19.02'!$AO$4:$AQ$55,2,FALSE))*IF('19.02'!$AK36="是",'19.02'!$BB$4,'19.02'!$BB$3))</f>
        <v>0</v>
      </c>
      <c r="Q36" s="4">
        <f>IF(ISNUMBER(SEARCH("营",'19.02'!Y36)),(-$Y36+50*IF('19.02'!$AK36="是",'19.02'!$BB$4,'19.02'!$BB$3)),(VLOOKUP('19.02'!Y36,'19.02'!$AO$4:$AQ$55,2,FALSE))*IF('19.02'!$AK36="是",'19.02'!$BB$4,'19.02'!$BB$3))</f>
        <v>0</v>
      </c>
      <c r="R36" s="4">
        <f>IF(ISNUMBER(SEARCH("营",'19.02'!Z36)),(-$Y36+50*IF('19.02'!$AK36="是",'19.02'!$BB$4,'19.02'!$BB$3)),(VLOOKUP('19.02'!Z36,'19.02'!$AO$4:$AQ$55,2,FALSE))*IF('19.02'!$AK36="是",'19.02'!$BB$4,'19.02'!$BB$3))</f>
        <v>0</v>
      </c>
      <c r="S36" s="4">
        <f>IF(ISNUMBER(SEARCH("营",'19.02'!AA36)),(-$Y36+50*IF('19.02'!$AK36="是",'19.02'!$BB$4,'19.02'!$BB$3)),(VLOOKUP('19.02'!AA36,'19.02'!$AO$4:$AQ$55,2,FALSE))*IF('19.02'!$AK36="是",'19.02'!$BB$4,'19.02'!$BB$3))</f>
        <v>0</v>
      </c>
      <c r="T36" s="4">
        <f>IF(ISNUMBER(SEARCH("营",'19.02'!AB36)),(-$Y36+50*IF('19.02'!$AK36="是",'19.02'!$BB$4,'19.02'!$BB$3)),(VLOOKUP('19.02'!AB36,'19.02'!$AO$4:$AQ$55,2,FALSE))*IF('19.02'!$AK36="是",'19.02'!$BB$4,'19.02'!$BB$3))</f>
        <v>0</v>
      </c>
      <c r="U36" s="4">
        <f>IF(ISNUMBER(SEARCH("营",'19.02'!AC36)),(-$Y36+50*IF('19.02'!$AK36="是",'19.02'!$BB$4,'19.02'!$BB$3)),(VLOOKUP('19.02'!AC36,'19.02'!$AO$4:$AQ$55,2,FALSE))*IF('19.02'!$AK36="是",'19.02'!$BB$4,'19.02'!$BB$3))</f>
        <v>0</v>
      </c>
      <c r="V36" s="4">
        <f>IF(ISNUMBER(SEARCH("营",'19.02'!AD36)),(-$Y36+50*IF('19.02'!$AK36="是",'19.02'!$BB$4,'19.02'!$BB$3)),(VLOOKUP('19.02'!AD36,'19.02'!$AO$4:$AQ$55,2,FALSE))*IF('19.02'!$AK36="是",'19.02'!$BB$4,'19.02'!$BB$3))</f>
        <v>0</v>
      </c>
      <c r="W36" s="4">
        <f>IF(ISNUMBER(SEARCH("营",'19.02'!AE36)),(-$Y36+50*IF('19.02'!$AK36="是",'19.02'!$BB$4,'19.02'!$BB$3)),(VLOOKUP('19.02'!AE36,'19.02'!$AO$4:$AQ$55,2,FALSE))*IF('19.02'!$AK36="是",'19.02'!$BB$4,'19.02'!$BB$3))</f>
        <v>0</v>
      </c>
      <c r="X36" s="4">
        <f>IF(ISNUMBER(SEARCH("营",'19.02'!AF36)),(-$Y36+50*IF('19.02'!$AK36="是",'19.02'!$BB$4,'19.02'!$BB$3)),(VLOOKUP('19.02'!AF36,'19.02'!$AO$4:$AQ$55,2,FALSE))*IF('19.02'!$AK36="是",'19.02'!$BB$4,'19.02'!$BB$3))</f>
        <v>0</v>
      </c>
      <c r="Y36" s="76">
        <v>200</v>
      </c>
      <c r="Z36" s="85">
        <v>45762</v>
      </c>
    </row>
    <row r="37" spans="1:26">
      <c r="A37" s="4">
        <f>IF(ISNUMBER(SEARCH("营",'19.02'!I37)),(-$Y37+50*IF('19.02'!$AK37="是",'19.02'!$BB$4,'19.02'!$BB$3)),(VLOOKUP('19.02'!I37,'19.02'!$AO$4:$AQ$55,2,FALSE))*IF('19.02'!$AK37="是",'19.02'!$BB$4,'19.02'!$BB$3))</f>
        <v>0</v>
      </c>
      <c r="B37" s="4">
        <f>IF(ISNUMBER(SEARCH("营",'19.02'!J37)),(-$Y37+50*IF('19.02'!$AK37="是",'19.02'!$BB$4,'19.02'!$BB$3)),(VLOOKUP('19.02'!J37,'19.02'!$AO$4:$AQ$55,2,FALSE))*IF('19.02'!$AK37="是",'19.02'!$BB$4,'19.02'!$BB$3))</f>
        <v>0</v>
      </c>
      <c r="C37" s="4">
        <f>IF(ISNUMBER(SEARCH("营",'19.02'!K37)),(-$Y37+50*IF('19.02'!$AK37="是",'19.02'!$BB$4,'19.02'!$BB$3)),(VLOOKUP('19.02'!K37,'19.02'!$AO$4:$AQ$55,2,FALSE))*IF('19.02'!$AK37="是",'19.02'!$BB$4,'19.02'!$BB$3))</f>
        <v>0</v>
      </c>
      <c r="D37" s="4">
        <f>IF(ISNUMBER(SEARCH("营",'19.02'!L37)),(-$Y37+50*IF('19.02'!$AK37="是",'19.02'!$BB$4,'19.02'!$BB$3)),(VLOOKUP('19.02'!L37,'19.02'!$AO$4:$AQ$55,2,FALSE))*IF('19.02'!$AK37="是",'19.02'!$BB$4,'19.02'!$BB$3))</f>
        <v>0</v>
      </c>
      <c r="E37" s="4">
        <f>IF(ISNUMBER(SEARCH("营",'19.02'!M37)),(-$Y37+50*IF('19.02'!$AK37="是",'19.02'!$BB$4,'19.02'!$BB$3)),(VLOOKUP('19.02'!M37,'19.02'!$AO$4:$AQ$55,2,FALSE))*IF('19.02'!$AK37="是",'19.02'!$BB$4,'19.02'!$BB$3))</f>
        <v>0</v>
      </c>
      <c r="F37" s="4">
        <f>IF(ISNUMBER(SEARCH("营",'19.02'!N37)),(-$Y37+50*IF('19.02'!$AK37="是",'19.02'!$BB$4,'19.02'!$BB$3)),(VLOOKUP('19.02'!N37,'19.02'!$AO$4:$AQ$55,2,FALSE))*IF('19.02'!$AK37="是",'19.02'!$BB$4,'19.02'!$BB$3))</f>
        <v>0</v>
      </c>
      <c r="G37" s="4">
        <f>IF(ISNUMBER(SEARCH("营",'19.02'!O37)),(-$Y37+50*IF('19.02'!$AK37="是",'19.02'!$BB$4,'19.02'!$BB$3)),(VLOOKUP('19.02'!O37,'19.02'!$AO$4:$AQ$55,2,FALSE))*IF('19.02'!$AK37="是",'19.02'!$BB$4,'19.02'!$BB$3))</f>
        <v>0</v>
      </c>
      <c r="H37" s="4">
        <f>IF(ISNUMBER(SEARCH("营",'19.02'!P37)),(-$Y37+50*IF('19.02'!$AK37="是",'19.02'!$BB$4,'19.02'!$BB$3)),(VLOOKUP('19.02'!P37,'19.02'!$AO$4:$AQ$55,2,FALSE))*IF('19.02'!$AK37="是",'19.02'!$BB$4,'19.02'!$BB$3))</f>
        <v>0</v>
      </c>
      <c r="I37" s="4">
        <f>IF(ISNUMBER(SEARCH("营",'19.02'!Q37)),(-$Y37+50*IF('19.02'!$AK37="是",'19.02'!$BB$4,'19.02'!$BB$3)),(VLOOKUP('19.02'!Q37,'19.02'!$AO$4:$AQ$55,2,FALSE))*IF('19.02'!$AK37="是",'19.02'!$BB$4,'19.02'!$BB$3))</f>
        <v>0</v>
      </c>
      <c r="J37" s="4">
        <f>IF(ISNUMBER(SEARCH("营",'19.02'!R37)),(-$Y37+50*IF('19.02'!$AK37="是",'19.02'!$BB$4,'19.02'!$BB$3)),(VLOOKUP('19.02'!R37,'19.02'!$AO$4:$AQ$55,2,FALSE))*IF('19.02'!$AK37="是",'19.02'!$BB$4,'19.02'!$BB$3))</f>
        <v>0</v>
      </c>
      <c r="K37" s="4">
        <f>IF(ISNUMBER(SEARCH("营",'19.02'!S37)),(-$Y37+50*IF('19.02'!$AK37="是",'19.02'!$BB$4,'19.02'!$BB$3)),(VLOOKUP('19.02'!S37,'19.02'!$AO$4:$AQ$55,2,FALSE))*IF('19.02'!$AK37="是",'19.02'!$BB$4,'19.02'!$BB$3))</f>
        <v>0</v>
      </c>
      <c r="L37" s="4">
        <f>IF(ISNUMBER(SEARCH("营",'19.02'!T37)),(-$Y37+50*IF('19.02'!$AK37="是",'19.02'!$BB$4,'19.02'!$BB$3)),(VLOOKUP('19.02'!T37,'19.02'!$AO$4:$AQ$55,2,FALSE))*IF('19.02'!$AK37="是",'19.02'!$BB$4,'19.02'!$BB$3))</f>
        <v>0</v>
      </c>
      <c r="M37" s="4">
        <f>IF(ISNUMBER(SEARCH("营",'19.02'!U37)),(-$Y37+50*IF('19.02'!$AK37="是",'19.02'!$BB$4,'19.02'!$BB$3)),(VLOOKUP('19.02'!U37,'19.02'!$AO$4:$AQ$55,2,FALSE))*IF('19.02'!$AK37="是",'19.02'!$BB$4,'19.02'!$BB$3))</f>
        <v>0</v>
      </c>
      <c r="N37" s="4">
        <f>IF(ISNUMBER(SEARCH("营",'19.02'!V37)),(-$Y37+50*IF('19.02'!$AK37="是",'19.02'!$BB$4,'19.02'!$BB$3)),(VLOOKUP('19.02'!V37,'19.02'!$AO$4:$AQ$55,2,FALSE))*IF('19.02'!$AK37="是",'19.02'!$BB$4,'19.02'!$BB$3))</f>
        <v>0</v>
      </c>
      <c r="O37" s="4">
        <f>IF(ISNUMBER(SEARCH("营",'19.02'!W37)),(-$Y37+50*IF('19.02'!$AK37="是",'19.02'!$BB$4,'19.02'!$BB$3)),(VLOOKUP('19.02'!W37,'19.02'!$AO$4:$AQ$55,2,FALSE))*IF('19.02'!$AK37="是",'19.02'!$BB$4,'19.02'!$BB$3))</f>
        <v>0</v>
      </c>
      <c r="P37" s="4">
        <f>IF(ISNUMBER(SEARCH("营",'19.02'!X37)),(-$Y37+50*IF('19.02'!$AK37="是",'19.02'!$BB$4,'19.02'!$BB$3)),(VLOOKUP('19.02'!X37,'19.02'!$AO$4:$AQ$55,2,FALSE))*IF('19.02'!$AK37="是",'19.02'!$BB$4,'19.02'!$BB$3))</f>
        <v>0</v>
      </c>
      <c r="Q37" s="4">
        <f>IF(ISNUMBER(SEARCH("营",'19.02'!Y37)),(-$Y37+50*IF('19.02'!$AK37="是",'19.02'!$BB$4,'19.02'!$BB$3)),(VLOOKUP('19.02'!Y37,'19.02'!$AO$4:$AQ$55,2,FALSE))*IF('19.02'!$AK37="是",'19.02'!$BB$4,'19.02'!$BB$3))</f>
        <v>0</v>
      </c>
      <c r="R37" s="4">
        <f>IF(ISNUMBER(SEARCH("营",'19.02'!Z37)),(-$Y37+50*IF('19.02'!$AK37="是",'19.02'!$BB$4,'19.02'!$BB$3)),(VLOOKUP('19.02'!Z37,'19.02'!$AO$4:$AQ$55,2,FALSE))*IF('19.02'!$AK37="是",'19.02'!$BB$4,'19.02'!$BB$3))</f>
        <v>0</v>
      </c>
      <c r="S37" s="4">
        <f>IF(ISNUMBER(SEARCH("营",'19.02'!AA37)),(-$Y37+50*IF('19.02'!$AK37="是",'19.02'!$BB$4,'19.02'!$BB$3)),(VLOOKUP('19.02'!AA37,'19.02'!$AO$4:$AQ$55,2,FALSE))*IF('19.02'!$AK37="是",'19.02'!$BB$4,'19.02'!$BB$3))</f>
        <v>0</v>
      </c>
      <c r="T37" s="4">
        <f>IF(ISNUMBER(SEARCH("营",'19.02'!AB37)),(-$Y37+50*IF('19.02'!$AK37="是",'19.02'!$BB$4,'19.02'!$BB$3)),(VLOOKUP('19.02'!AB37,'19.02'!$AO$4:$AQ$55,2,FALSE))*IF('19.02'!$AK37="是",'19.02'!$BB$4,'19.02'!$BB$3))</f>
        <v>0</v>
      </c>
      <c r="U37" s="4">
        <f>IF(ISNUMBER(SEARCH("营",'19.02'!AC37)),(-$Y37+50*IF('19.02'!$AK37="是",'19.02'!$BB$4,'19.02'!$BB$3)),(VLOOKUP('19.02'!AC37,'19.02'!$AO$4:$AQ$55,2,FALSE))*IF('19.02'!$AK37="是",'19.02'!$BB$4,'19.02'!$BB$3))</f>
        <v>0</v>
      </c>
      <c r="V37" s="4">
        <f>IF(ISNUMBER(SEARCH("营",'19.02'!AD37)),(-$Y37+50*IF('19.02'!$AK37="是",'19.02'!$BB$4,'19.02'!$BB$3)),(VLOOKUP('19.02'!AD37,'19.02'!$AO$4:$AQ$55,2,FALSE))*IF('19.02'!$AK37="是",'19.02'!$BB$4,'19.02'!$BB$3))</f>
        <v>0</v>
      </c>
      <c r="W37" s="4">
        <f>IF(ISNUMBER(SEARCH("营",'19.02'!AE37)),(-$Y37+50*IF('19.02'!$AK37="是",'19.02'!$BB$4,'19.02'!$BB$3)),(VLOOKUP('19.02'!AE37,'19.02'!$AO$4:$AQ$55,2,FALSE))*IF('19.02'!$AK37="是",'19.02'!$BB$4,'19.02'!$BB$3))</f>
        <v>0</v>
      </c>
      <c r="X37" s="4">
        <f>IF(ISNUMBER(SEARCH("营",'19.02'!AF37)),(-$Y37+50*IF('19.02'!$AK37="是",'19.02'!$BB$4,'19.02'!$BB$3)),(VLOOKUP('19.02'!AF37,'19.02'!$AO$4:$AQ$55,2,FALSE))*IF('19.02'!$AK37="是",'19.02'!$BB$4,'19.02'!$BB$3))</f>
        <v>0</v>
      </c>
      <c r="Y37" s="76">
        <v>200</v>
      </c>
      <c r="Z37" s="85">
        <v>45763</v>
      </c>
    </row>
    <row r="38" spans="1:26">
      <c r="A38" s="4">
        <f>IF(ISNUMBER(SEARCH("营",'19.02'!I38)),(-$Y38+50*IF('19.02'!$AK38="是",'19.02'!$BB$4,'19.02'!$BB$3)),(VLOOKUP('19.02'!I38,'19.02'!$AO$4:$AQ$55,2,FALSE))*IF('19.02'!$AK38="是",'19.02'!$BB$4,'19.02'!$BB$3))</f>
        <v>0</v>
      </c>
      <c r="B38" s="4">
        <f>IF(ISNUMBER(SEARCH("营",'19.02'!J38)),(-$Y38+50*IF('19.02'!$AK38="是",'19.02'!$BB$4,'19.02'!$BB$3)),(VLOOKUP('19.02'!J38,'19.02'!$AO$4:$AQ$55,2,FALSE))*IF('19.02'!$AK38="是",'19.02'!$BB$4,'19.02'!$BB$3))</f>
        <v>0</v>
      </c>
      <c r="C38" s="4">
        <f>IF(ISNUMBER(SEARCH("营",'19.02'!K38)),(-$Y38+50*IF('19.02'!$AK38="是",'19.02'!$BB$4,'19.02'!$BB$3)),(VLOOKUP('19.02'!K38,'19.02'!$AO$4:$AQ$55,2,FALSE))*IF('19.02'!$AK38="是",'19.02'!$BB$4,'19.02'!$BB$3))</f>
        <v>0</v>
      </c>
      <c r="D38" s="4">
        <f>IF(ISNUMBER(SEARCH("营",'19.02'!L38)),(-$Y38+50*IF('19.02'!$AK38="是",'19.02'!$BB$4,'19.02'!$BB$3)),(VLOOKUP('19.02'!L38,'19.02'!$AO$4:$AQ$55,2,FALSE))*IF('19.02'!$AK38="是",'19.02'!$BB$4,'19.02'!$BB$3))</f>
        <v>0</v>
      </c>
      <c r="E38" s="4">
        <f>IF(ISNUMBER(SEARCH("营",'19.02'!M38)),(-$Y38+50*IF('19.02'!$AK38="是",'19.02'!$BB$4,'19.02'!$BB$3)),(VLOOKUP('19.02'!M38,'19.02'!$AO$4:$AQ$55,2,FALSE))*IF('19.02'!$AK38="是",'19.02'!$BB$4,'19.02'!$BB$3))</f>
        <v>0</v>
      </c>
      <c r="F38" s="4">
        <f>IF(ISNUMBER(SEARCH("营",'19.02'!N38)),(-$Y38+50*IF('19.02'!$AK38="是",'19.02'!$BB$4,'19.02'!$BB$3)),(VLOOKUP('19.02'!N38,'19.02'!$AO$4:$AQ$55,2,FALSE))*IF('19.02'!$AK38="是",'19.02'!$BB$4,'19.02'!$BB$3))</f>
        <v>0</v>
      </c>
      <c r="G38" s="4">
        <f>IF(ISNUMBER(SEARCH("营",'19.02'!O38)),(-$Y38+50*IF('19.02'!$AK38="是",'19.02'!$BB$4,'19.02'!$BB$3)),(VLOOKUP('19.02'!O38,'19.02'!$AO$4:$AQ$55,2,FALSE))*IF('19.02'!$AK38="是",'19.02'!$BB$4,'19.02'!$BB$3))</f>
        <v>0</v>
      </c>
      <c r="H38" s="4">
        <f>IF(ISNUMBER(SEARCH("营",'19.02'!P38)),(-$Y38+50*IF('19.02'!$AK38="是",'19.02'!$BB$4,'19.02'!$BB$3)),(VLOOKUP('19.02'!P38,'19.02'!$AO$4:$AQ$55,2,FALSE))*IF('19.02'!$AK38="是",'19.02'!$BB$4,'19.02'!$BB$3))</f>
        <v>0</v>
      </c>
      <c r="I38" s="4">
        <f>IF(ISNUMBER(SEARCH("营",'19.02'!Q38)),(-$Y38+50*IF('19.02'!$AK38="是",'19.02'!$BB$4,'19.02'!$BB$3)),(VLOOKUP('19.02'!Q38,'19.02'!$AO$4:$AQ$55,2,FALSE))*IF('19.02'!$AK38="是",'19.02'!$BB$4,'19.02'!$BB$3))</f>
        <v>0</v>
      </c>
      <c r="J38" s="4">
        <f>IF(ISNUMBER(SEARCH("营",'19.02'!R38)),(-$Y38+50*IF('19.02'!$AK38="是",'19.02'!$BB$4,'19.02'!$BB$3)),(VLOOKUP('19.02'!R38,'19.02'!$AO$4:$AQ$55,2,FALSE))*IF('19.02'!$AK38="是",'19.02'!$BB$4,'19.02'!$BB$3))</f>
        <v>0</v>
      </c>
      <c r="K38" s="4">
        <f>IF(ISNUMBER(SEARCH("营",'19.02'!S38)),(-$Y38+50*IF('19.02'!$AK38="是",'19.02'!$BB$4,'19.02'!$BB$3)),(VLOOKUP('19.02'!S38,'19.02'!$AO$4:$AQ$55,2,FALSE))*IF('19.02'!$AK38="是",'19.02'!$BB$4,'19.02'!$BB$3))</f>
        <v>0</v>
      </c>
      <c r="L38" s="4">
        <f>IF(ISNUMBER(SEARCH("营",'19.02'!T38)),(-$Y38+50*IF('19.02'!$AK38="是",'19.02'!$BB$4,'19.02'!$BB$3)),(VLOOKUP('19.02'!T38,'19.02'!$AO$4:$AQ$55,2,FALSE))*IF('19.02'!$AK38="是",'19.02'!$BB$4,'19.02'!$BB$3))</f>
        <v>0</v>
      </c>
      <c r="M38" s="4">
        <f>IF(ISNUMBER(SEARCH("营",'19.02'!U38)),(-$Y38+50*IF('19.02'!$AK38="是",'19.02'!$BB$4,'19.02'!$BB$3)),(VLOOKUP('19.02'!U38,'19.02'!$AO$4:$AQ$55,2,FALSE))*IF('19.02'!$AK38="是",'19.02'!$BB$4,'19.02'!$BB$3))</f>
        <v>0</v>
      </c>
      <c r="N38" s="4">
        <f>IF(ISNUMBER(SEARCH("营",'19.02'!V38)),(-$Y38+50*IF('19.02'!$AK38="是",'19.02'!$BB$4,'19.02'!$BB$3)),(VLOOKUP('19.02'!V38,'19.02'!$AO$4:$AQ$55,2,FALSE))*IF('19.02'!$AK38="是",'19.02'!$BB$4,'19.02'!$BB$3))</f>
        <v>0</v>
      </c>
      <c r="O38" s="4">
        <f>IF(ISNUMBER(SEARCH("营",'19.02'!W38)),(-$Y38+50*IF('19.02'!$AK38="是",'19.02'!$BB$4,'19.02'!$BB$3)),(VLOOKUP('19.02'!W38,'19.02'!$AO$4:$AQ$55,2,FALSE))*IF('19.02'!$AK38="是",'19.02'!$BB$4,'19.02'!$BB$3))</f>
        <v>0</v>
      </c>
      <c r="P38" s="4">
        <f>IF(ISNUMBER(SEARCH("营",'19.02'!X38)),(-$Y38+50*IF('19.02'!$AK38="是",'19.02'!$BB$4,'19.02'!$BB$3)),(VLOOKUP('19.02'!X38,'19.02'!$AO$4:$AQ$55,2,FALSE))*IF('19.02'!$AK38="是",'19.02'!$BB$4,'19.02'!$BB$3))</f>
        <v>0</v>
      </c>
      <c r="Q38" s="4">
        <f>IF(ISNUMBER(SEARCH("营",'19.02'!Y38)),(-$Y38+50*IF('19.02'!$AK38="是",'19.02'!$BB$4,'19.02'!$BB$3)),(VLOOKUP('19.02'!Y38,'19.02'!$AO$4:$AQ$55,2,FALSE))*IF('19.02'!$AK38="是",'19.02'!$BB$4,'19.02'!$BB$3))</f>
        <v>0</v>
      </c>
      <c r="R38" s="4">
        <f>IF(ISNUMBER(SEARCH("营",'19.02'!Z38)),(-$Y38+50*IF('19.02'!$AK38="是",'19.02'!$BB$4,'19.02'!$BB$3)),(VLOOKUP('19.02'!Z38,'19.02'!$AO$4:$AQ$55,2,FALSE))*IF('19.02'!$AK38="是",'19.02'!$BB$4,'19.02'!$BB$3))</f>
        <v>0</v>
      </c>
      <c r="S38" s="4">
        <f>IF(ISNUMBER(SEARCH("营",'19.02'!AA38)),(-$Y38+50*IF('19.02'!$AK38="是",'19.02'!$BB$4,'19.02'!$BB$3)),(VLOOKUP('19.02'!AA38,'19.02'!$AO$4:$AQ$55,2,FALSE))*IF('19.02'!$AK38="是",'19.02'!$BB$4,'19.02'!$BB$3))</f>
        <v>0</v>
      </c>
      <c r="T38" s="4">
        <f>IF(ISNUMBER(SEARCH("营",'19.02'!AB38)),(-$Y38+50*IF('19.02'!$AK38="是",'19.02'!$BB$4,'19.02'!$BB$3)),(VLOOKUP('19.02'!AB38,'19.02'!$AO$4:$AQ$55,2,FALSE))*IF('19.02'!$AK38="是",'19.02'!$BB$4,'19.02'!$BB$3))</f>
        <v>0</v>
      </c>
      <c r="U38" s="4">
        <f>IF(ISNUMBER(SEARCH("营",'19.02'!AC38)),(-$Y38+50*IF('19.02'!$AK38="是",'19.02'!$BB$4,'19.02'!$BB$3)),(VLOOKUP('19.02'!AC38,'19.02'!$AO$4:$AQ$55,2,FALSE))*IF('19.02'!$AK38="是",'19.02'!$BB$4,'19.02'!$BB$3))</f>
        <v>0</v>
      </c>
      <c r="V38" s="4">
        <f>IF(ISNUMBER(SEARCH("营",'19.02'!AD38)),(-$Y38+50*IF('19.02'!$AK38="是",'19.02'!$BB$4,'19.02'!$BB$3)),(VLOOKUP('19.02'!AD38,'19.02'!$AO$4:$AQ$55,2,FALSE))*IF('19.02'!$AK38="是",'19.02'!$BB$4,'19.02'!$BB$3))</f>
        <v>0</v>
      </c>
      <c r="W38" s="4">
        <f>IF(ISNUMBER(SEARCH("营",'19.02'!AE38)),(-$Y38+50*IF('19.02'!$AK38="是",'19.02'!$BB$4,'19.02'!$BB$3)),(VLOOKUP('19.02'!AE38,'19.02'!$AO$4:$AQ$55,2,FALSE))*IF('19.02'!$AK38="是",'19.02'!$BB$4,'19.02'!$BB$3))</f>
        <v>0</v>
      </c>
      <c r="X38" s="4">
        <f>IF(ISNUMBER(SEARCH("营",'19.02'!AF38)),(-$Y38+50*IF('19.02'!$AK38="是",'19.02'!$BB$4,'19.02'!$BB$3)),(VLOOKUP('19.02'!AF38,'19.02'!$AO$4:$AQ$55,2,FALSE))*IF('19.02'!$AK38="是",'19.02'!$BB$4,'19.02'!$BB$3))</f>
        <v>0</v>
      </c>
      <c r="Y38" s="76">
        <v>200</v>
      </c>
      <c r="Z38" s="85">
        <v>45764</v>
      </c>
    </row>
    <row r="39" spans="1:26">
      <c r="A39" s="4">
        <f>IF(ISNUMBER(SEARCH("营",'19.02'!I39)),(-$Y39+50*IF('19.02'!$AK39="是",'19.02'!$BB$4,'19.02'!$BB$3)),(VLOOKUP('19.02'!I39,'19.02'!$AO$4:$AQ$55,2,FALSE))*IF('19.02'!$AK39="是",'19.02'!$BB$4,'19.02'!$BB$3))</f>
        <v>0</v>
      </c>
      <c r="B39" s="4">
        <f>IF(ISNUMBER(SEARCH("营",'19.02'!J39)),(-$Y39+50*IF('19.02'!$AK39="是",'19.02'!$BB$4,'19.02'!$BB$3)),(VLOOKUP('19.02'!J39,'19.02'!$AO$4:$AQ$55,2,FALSE))*IF('19.02'!$AK39="是",'19.02'!$BB$4,'19.02'!$BB$3))</f>
        <v>0</v>
      </c>
      <c r="C39" s="4">
        <f>IF(ISNUMBER(SEARCH("营",'19.02'!K39)),(-$Y39+50*IF('19.02'!$AK39="是",'19.02'!$BB$4,'19.02'!$BB$3)),(VLOOKUP('19.02'!K39,'19.02'!$AO$4:$AQ$55,2,FALSE))*IF('19.02'!$AK39="是",'19.02'!$BB$4,'19.02'!$BB$3))</f>
        <v>0</v>
      </c>
      <c r="D39" s="4">
        <f>IF(ISNUMBER(SEARCH("营",'19.02'!L39)),(-$Y39+50*IF('19.02'!$AK39="是",'19.02'!$BB$4,'19.02'!$BB$3)),(VLOOKUP('19.02'!L39,'19.02'!$AO$4:$AQ$55,2,FALSE))*IF('19.02'!$AK39="是",'19.02'!$BB$4,'19.02'!$BB$3))</f>
        <v>0</v>
      </c>
      <c r="E39" s="4">
        <f>IF(ISNUMBER(SEARCH("营",'19.02'!M39)),(-$Y39+50*IF('19.02'!$AK39="是",'19.02'!$BB$4,'19.02'!$BB$3)),(VLOOKUP('19.02'!M39,'19.02'!$AO$4:$AQ$55,2,FALSE))*IF('19.02'!$AK39="是",'19.02'!$BB$4,'19.02'!$BB$3))</f>
        <v>0</v>
      </c>
      <c r="F39" s="4">
        <f>IF(ISNUMBER(SEARCH("营",'19.02'!N39)),(-$Y39+50*IF('19.02'!$AK39="是",'19.02'!$BB$4,'19.02'!$BB$3)),(VLOOKUP('19.02'!N39,'19.02'!$AO$4:$AQ$55,2,FALSE))*IF('19.02'!$AK39="是",'19.02'!$BB$4,'19.02'!$BB$3))</f>
        <v>0</v>
      </c>
      <c r="G39" s="4">
        <f>IF(ISNUMBER(SEARCH("营",'19.02'!O39)),(-$Y39+50*IF('19.02'!$AK39="是",'19.02'!$BB$4,'19.02'!$BB$3)),(VLOOKUP('19.02'!O39,'19.02'!$AO$4:$AQ$55,2,FALSE))*IF('19.02'!$AK39="是",'19.02'!$BB$4,'19.02'!$BB$3))</f>
        <v>0</v>
      </c>
      <c r="H39" s="4">
        <f>IF(ISNUMBER(SEARCH("营",'19.02'!P39)),(-$Y39+50*IF('19.02'!$AK39="是",'19.02'!$BB$4,'19.02'!$BB$3)),(VLOOKUP('19.02'!P39,'19.02'!$AO$4:$AQ$55,2,FALSE))*IF('19.02'!$AK39="是",'19.02'!$BB$4,'19.02'!$BB$3))</f>
        <v>0</v>
      </c>
      <c r="I39" s="4">
        <f>IF(ISNUMBER(SEARCH("营",'19.02'!Q39)),(-$Y39+50*IF('19.02'!$AK39="是",'19.02'!$BB$4,'19.02'!$BB$3)),(VLOOKUP('19.02'!Q39,'19.02'!$AO$4:$AQ$55,2,FALSE))*IF('19.02'!$AK39="是",'19.02'!$BB$4,'19.02'!$BB$3))</f>
        <v>0</v>
      </c>
      <c r="J39" s="4">
        <f>IF(ISNUMBER(SEARCH("营",'19.02'!R39)),(-$Y39+50*IF('19.02'!$AK39="是",'19.02'!$BB$4,'19.02'!$BB$3)),(VLOOKUP('19.02'!R39,'19.02'!$AO$4:$AQ$55,2,FALSE))*IF('19.02'!$AK39="是",'19.02'!$BB$4,'19.02'!$BB$3))</f>
        <v>0</v>
      </c>
      <c r="K39" s="4">
        <f>IF(ISNUMBER(SEARCH("营",'19.02'!S39)),(-$Y39+50*IF('19.02'!$AK39="是",'19.02'!$BB$4,'19.02'!$BB$3)),(VLOOKUP('19.02'!S39,'19.02'!$AO$4:$AQ$55,2,FALSE))*IF('19.02'!$AK39="是",'19.02'!$BB$4,'19.02'!$BB$3))</f>
        <v>0</v>
      </c>
      <c r="L39" s="4">
        <f>IF(ISNUMBER(SEARCH("营",'19.02'!T39)),(-$Y39+50*IF('19.02'!$AK39="是",'19.02'!$BB$4,'19.02'!$BB$3)),(VLOOKUP('19.02'!T39,'19.02'!$AO$4:$AQ$55,2,FALSE))*IF('19.02'!$AK39="是",'19.02'!$BB$4,'19.02'!$BB$3))</f>
        <v>0</v>
      </c>
      <c r="M39" s="4">
        <f>IF(ISNUMBER(SEARCH("营",'19.02'!U39)),(-$Y39+50*IF('19.02'!$AK39="是",'19.02'!$BB$4,'19.02'!$BB$3)),(VLOOKUP('19.02'!U39,'19.02'!$AO$4:$AQ$55,2,FALSE))*IF('19.02'!$AK39="是",'19.02'!$BB$4,'19.02'!$BB$3))</f>
        <v>0</v>
      </c>
      <c r="N39" s="4">
        <f>IF(ISNUMBER(SEARCH("营",'19.02'!V39)),(-$Y39+50*IF('19.02'!$AK39="是",'19.02'!$BB$4,'19.02'!$BB$3)),(VLOOKUP('19.02'!V39,'19.02'!$AO$4:$AQ$55,2,FALSE))*IF('19.02'!$AK39="是",'19.02'!$BB$4,'19.02'!$BB$3))</f>
        <v>0</v>
      </c>
      <c r="O39" s="4">
        <f>IF(ISNUMBER(SEARCH("营",'19.02'!W39)),(-$Y39+50*IF('19.02'!$AK39="是",'19.02'!$BB$4,'19.02'!$BB$3)),(VLOOKUP('19.02'!W39,'19.02'!$AO$4:$AQ$55,2,FALSE))*IF('19.02'!$AK39="是",'19.02'!$BB$4,'19.02'!$BB$3))</f>
        <v>0</v>
      </c>
      <c r="P39" s="4">
        <f>IF(ISNUMBER(SEARCH("营",'19.02'!X39)),(-$Y39+50*IF('19.02'!$AK39="是",'19.02'!$BB$4,'19.02'!$BB$3)),(VLOOKUP('19.02'!X39,'19.02'!$AO$4:$AQ$55,2,FALSE))*IF('19.02'!$AK39="是",'19.02'!$BB$4,'19.02'!$BB$3))</f>
        <v>0</v>
      </c>
      <c r="Q39" s="4">
        <f>IF(ISNUMBER(SEARCH("营",'19.02'!Y39)),(-$Y39+50*IF('19.02'!$AK39="是",'19.02'!$BB$4,'19.02'!$BB$3)),(VLOOKUP('19.02'!Y39,'19.02'!$AO$4:$AQ$55,2,FALSE))*IF('19.02'!$AK39="是",'19.02'!$BB$4,'19.02'!$BB$3))</f>
        <v>0</v>
      </c>
      <c r="R39" s="4">
        <f>IF(ISNUMBER(SEARCH("营",'19.02'!Z39)),(-$Y39+50*IF('19.02'!$AK39="是",'19.02'!$BB$4,'19.02'!$BB$3)),(VLOOKUP('19.02'!Z39,'19.02'!$AO$4:$AQ$55,2,FALSE))*IF('19.02'!$AK39="是",'19.02'!$BB$4,'19.02'!$BB$3))</f>
        <v>0</v>
      </c>
      <c r="S39" s="4">
        <f>IF(ISNUMBER(SEARCH("营",'19.02'!AA39)),(-$Y39+50*IF('19.02'!$AK39="是",'19.02'!$BB$4,'19.02'!$BB$3)),(VLOOKUP('19.02'!AA39,'19.02'!$AO$4:$AQ$55,2,FALSE))*IF('19.02'!$AK39="是",'19.02'!$BB$4,'19.02'!$BB$3))</f>
        <v>0</v>
      </c>
      <c r="T39" s="4">
        <f>IF(ISNUMBER(SEARCH("营",'19.02'!AB39)),(-$Y39+50*IF('19.02'!$AK39="是",'19.02'!$BB$4,'19.02'!$BB$3)),(VLOOKUP('19.02'!AB39,'19.02'!$AO$4:$AQ$55,2,FALSE))*IF('19.02'!$AK39="是",'19.02'!$BB$4,'19.02'!$BB$3))</f>
        <v>0</v>
      </c>
      <c r="U39" s="4">
        <f>IF(ISNUMBER(SEARCH("营",'19.02'!AC39)),(-$Y39+50*IF('19.02'!$AK39="是",'19.02'!$BB$4,'19.02'!$BB$3)),(VLOOKUP('19.02'!AC39,'19.02'!$AO$4:$AQ$55,2,FALSE))*IF('19.02'!$AK39="是",'19.02'!$BB$4,'19.02'!$BB$3))</f>
        <v>0</v>
      </c>
      <c r="V39" s="4">
        <f>IF(ISNUMBER(SEARCH("营",'19.02'!AD39)),(-$Y39+50*IF('19.02'!$AK39="是",'19.02'!$BB$4,'19.02'!$BB$3)),(VLOOKUP('19.02'!AD39,'19.02'!$AO$4:$AQ$55,2,FALSE))*IF('19.02'!$AK39="是",'19.02'!$BB$4,'19.02'!$BB$3))</f>
        <v>0</v>
      </c>
      <c r="W39" s="4">
        <f>IF(ISNUMBER(SEARCH("营",'19.02'!AE39)),(-$Y39+50*IF('19.02'!$AK39="是",'19.02'!$BB$4,'19.02'!$BB$3)),(VLOOKUP('19.02'!AE39,'19.02'!$AO$4:$AQ$55,2,FALSE))*IF('19.02'!$AK39="是",'19.02'!$BB$4,'19.02'!$BB$3))</f>
        <v>0</v>
      </c>
      <c r="X39" s="4">
        <f>IF(ISNUMBER(SEARCH("营",'19.02'!AF39)),(-$Y39+50*IF('19.02'!$AK39="是",'19.02'!$BB$4,'19.02'!$BB$3)),(VLOOKUP('19.02'!AF39,'19.02'!$AO$4:$AQ$55,2,FALSE))*IF('19.02'!$AK39="是",'19.02'!$BB$4,'19.02'!$BB$3))</f>
        <v>0</v>
      </c>
      <c r="Y39" s="77">
        <v>150</v>
      </c>
      <c r="Z39" s="94">
        <v>45765</v>
      </c>
    </row>
    <row r="40" spans="1:26">
      <c r="A40" s="4">
        <f>IF(ISNUMBER(SEARCH("营",'19.02'!I40)),(-$Y40+50*IF('19.02'!$AK40="是",'19.02'!$BB$4,'19.02'!$BB$3)),(VLOOKUP('19.02'!I40,'19.02'!$AO$4:$AQ$55,2,FALSE))*IF('19.02'!$AK40="是",'19.02'!$BB$4,'19.02'!$BB$3))</f>
        <v>0</v>
      </c>
      <c r="B40" s="4">
        <f>IF(ISNUMBER(SEARCH("营",'19.02'!J40)),(-$Y40+50*IF('19.02'!$AK40="是",'19.02'!$BB$4,'19.02'!$BB$3)),(VLOOKUP('19.02'!J40,'19.02'!$AO$4:$AQ$55,2,FALSE))*IF('19.02'!$AK40="是",'19.02'!$BB$4,'19.02'!$BB$3))</f>
        <v>0</v>
      </c>
      <c r="C40" s="4">
        <f>IF(ISNUMBER(SEARCH("营",'19.02'!K40)),(-$Y40+50*IF('19.02'!$AK40="是",'19.02'!$BB$4,'19.02'!$BB$3)),(VLOOKUP('19.02'!K40,'19.02'!$AO$4:$AQ$55,2,FALSE))*IF('19.02'!$AK40="是",'19.02'!$BB$4,'19.02'!$BB$3))</f>
        <v>0</v>
      </c>
      <c r="D40" s="4">
        <f>IF(ISNUMBER(SEARCH("营",'19.02'!L40)),(-$Y40+50*IF('19.02'!$AK40="是",'19.02'!$BB$4,'19.02'!$BB$3)),(VLOOKUP('19.02'!L40,'19.02'!$AO$4:$AQ$55,2,FALSE))*IF('19.02'!$AK40="是",'19.02'!$BB$4,'19.02'!$BB$3))</f>
        <v>0</v>
      </c>
      <c r="E40" s="4">
        <f>IF(ISNUMBER(SEARCH("营",'19.02'!M40)),(-$Y40+50*IF('19.02'!$AK40="是",'19.02'!$BB$4,'19.02'!$BB$3)),(VLOOKUP('19.02'!M40,'19.02'!$AO$4:$AQ$55,2,FALSE))*IF('19.02'!$AK40="是",'19.02'!$BB$4,'19.02'!$BB$3))</f>
        <v>0</v>
      </c>
      <c r="F40" s="4">
        <f>IF(ISNUMBER(SEARCH("营",'19.02'!N40)),(-$Y40+50*IF('19.02'!$AK40="是",'19.02'!$BB$4,'19.02'!$BB$3)),(VLOOKUP('19.02'!N40,'19.02'!$AO$4:$AQ$55,2,FALSE))*IF('19.02'!$AK40="是",'19.02'!$BB$4,'19.02'!$BB$3))</f>
        <v>0</v>
      </c>
      <c r="G40" s="4">
        <f>IF(ISNUMBER(SEARCH("营",'19.02'!O40)),(-$Y40+50*IF('19.02'!$AK40="是",'19.02'!$BB$4,'19.02'!$BB$3)),(VLOOKUP('19.02'!O40,'19.02'!$AO$4:$AQ$55,2,FALSE))*IF('19.02'!$AK40="是",'19.02'!$BB$4,'19.02'!$BB$3))</f>
        <v>0</v>
      </c>
      <c r="H40" s="4">
        <f>IF(ISNUMBER(SEARCH("营",'19.02'!P40)),(-$Y40+50*IF('19.02'!$AK40="是",'19.02'!$BB$4,'19.02'!$BB$3)),(VLOOKUP('19.02'!P40,'19.02'!$AO$4:$AQ$55,2,FALSE))*IF('19.02'!$AK40="是",'19.02'!$BB$4,'19.02'!$BB$3))</f>
        <v>0</v>
      </c>
      <c r="I40" s="4">
        <f>IF(ISNUMBER(SEARCH("营",'19.02'!Q40)),(-$Y40+50*IF('19.02'!$AK40="是",'19.02'!$BB$4,'19.02'!$BB$3)),(VLOOKUP('19.02'!Q40,'19.02'!$AO$4:$AQ$55,2,FALSE))*IF('19.02'!$AK40="是",'19.02'!$BB$4,'19.02'!$BB$3))</f>
        <v>0</v>
      </c>
      <c r="J40" s="4">
        <f>IF(ISNUMBER(SEARCH("营",'19.02'!R40)),(-$Y40+50*IF('19.02'!$AK40="是",'19.02'!$BB$4,'19.02'!$BB$3)),(VLOOKUP('19.02'!R40,'19.02'!$AO$4:$AQ$55,2,FALSE))*IF('19.02'!$AK40="是",'19.02'!$BB$4,'19.02'!$BB$3))</f>
        <v>0</v>
      </c>
      <c r="K40" s="4">
        <f>IF(ISNUMBER(SEARCH("营",'19.02'!S40)),(-$Y40+50*IF('19.02'!$AK40="是",'19.02'!$BB$4,'19.02'!$BB$3)),(VLOOKUP('19.02'!S40,'19.02'!$AO$4:$AQ$55,2,FALSE))*IF('19.02'!$AK40="是",'19.02'!$BB$4,'19.02'!$BB$3))</f>
        <v>0</v>
      </c>
      <c r="L40" s="4">
        <f>IF(ISNUMBER(SEARCH("营",'19.02'!T40)),(-$Y40+50*IF('19.02'!$AK40="是",'19.02'!$BB$4,'19.02'!$BB$3)),(VLOOKUP('19.02'!T40,'19.02'!$AO$4:$AQ$55,2,FALSE))*IF('19.02'!$AK40="是",'19.02'!$BB$4,'19.02'!$BB$3))</f>
        <v>0</v>
      </c>
      <c r="M40" s="4">
        <f>IF(ISNUMBER(SEARCH("营",'19.02'!U40)),(-$Y40+50*IF('19.02'!$AK40="是",'19.02'!$BB$4,'19.02'!$BB$3)),(VLOOKUP('19.02'!U40,'19.02'!$AO$4:$AQ$55,2,FALSE))*IF('19.02'!$AK40="是",'19.02'!$BB$4,'19.02'!$BB$3))</f>
        <v>0</v>
      </c>
      <c r="N40" s="4">
        <f>IF(ISNUMBER(SEARCH("营",'19.02'!V40)),(-$Y40+50*IF('19.02'!$AK40="是",'19.02'!$BB$4,'19.02'!$BB$3)),(VLOOKUP('19.02'!V40,'19.02'!$AO$4:$AQ$55,2,FALSE))*IF('19.02'!$AK40="是",'19.02'!$BB$4,'19.02'!$BB$3))</f>
        <v>0</v>
      </c>
      <c r="O40" s="4">
        <f>IF(ISNUMBER(SEARCH("营",'19.02'!W40)),(-$Y40+50*IF('19.02'!$AK40="是",'19.02'!$BB$4,'19.02'!$BB$3)),(VLOOKUP('19.02'!W40,'19.02'!$AO$4:$AQ$55,2,FALSE))*IF('19.02'!$AK40="是",'19.02'!$BB$4,'19.02'!$BB$3))</f>
        <v>0</v>
      </c>
      <c r="P40" s="4">
        <f>IF(ISNUMBER(SEARCH("营",'19.02'!X40)),(-$Y40+50*IF('19.02'!$AK40="是",'19.02'!$BB$4,'19.02'!$BB$3)),(VLOOKUP('19.02'!X40,'19.02'!$AO$4:$AQ$55,2,FALSE))*IF('19.02'!$AK40="是",'19.02'!$BB$4,'19.02'!$BB$3))</f>
        <v>0</v>
      </c>
      <c r="Q40" s="4">
        <f>IF(ISNUMBER(SEARCH("营",'19.02'!Y40)),(-$Y40+50*IF('19.02'!$AK40="是",'19.02'!$BB$4,'19.02'!$BB$3)),(VLOOKUP('19.02'!Y40,'19.02'!$AO$4:$AQ$55,2,FALSE))*IF('19.02'!$AK40="是",'19.02'!$BB$4,'19.02'!$BB$3))</f>
        <v>0</v>
      </c>
      <c r="R40" s="4">
        <f>IF(ISNUMBER(SEARCH("营",'19.02'!Z40)),(-$Y40+50*IF('19.02'!$AK40="是",'19.02'!$BB$4,'19.02'!$BB$3)),(VLOOKUP('19.02'!Z40,'19.02'!$AO$4:$AQ$55,2,FALSE))*IF('19.02'!$AK40="是",'19.02'!$BB$4,'19.02'!$BB$3))</f>
        <v>0</v>
      </c>
      <c r="S40" s="4">
        <f>IF(ISNUMBER(SEARCH("营",'19.02'!AA40)),(-$Y40+50*IF('19.02'!$AK40="是",'19.02'!$BB$4,'19.02'!$BB$3)),(VLOOKUP('19.02'!AA40,'19.02'!$AO$4:$AQ$55,2,FALSE))*IF('19.02'!$AK40="是",'19.02'!$BB$4,'19.02'!$BB$3))</f>
        <v>0</v>
      </c>
      <c r="T40" s="4">
        <f>IF(ISNUMBER(SEARCH("营",'19.02'!AB40)),(-$Y40+50*IF('19.02'!$AK40="是",'19.02'!$BB$4,'19.02'!$BB$3)),(VLOOKUP('19.02'!AB40,'19.02'!$AO$4:$AQ$55,2,FALSE))*IF('19.02'!$AK40="是",'19.02'!$BB$4,'19.02'!$BB$3))</f>
        <v>0</v>
      </c>
      <c r="U40" s="4">
        <f>IF(ISNUMBER(SEARCH("营",'19.02'!AC40)),(-$Y40+50*IF('19.02'!$AK40="是",'19.02'!$BB$4,'19.02'!$BB$3)),(VLOOKUP('19.02'!AC40,'19.02'!$AO$4:$AQ$55,2,FALSE))*IF('19.02'!$AK40="是",'19.02'!$BB$4,'19.02'!$BB$3))</f>
        <v>0</v>
      </c>
      <c r="V40" s="4">
        <f>IF(ISNUMBER(SEARCH("营",'19.02'!AD40)),(-$Y40+50*IF('19.02'!$AK40="是",'19.02'!$BB$4,'19.02'!$BB$3)),(VLOOKUP('19.02'!AD40,'19.02'!$AO$4:$AQ$55,2,FALSE))*IF('19.02'!$AK40="是",'19.02'!$BB$4,'19.02'!$BB$3))</f>
        <v>0</v>
      </c>
      <c r="W40" s="4">
        <f>IF(ISNUMBER(SEARCH("营",'19.02'!AE40)),(-$Y40+50*IF('19.02'!$AK40="是",'19.02'!$BB$4,'19.02'!$BB$3)),(VLOOKUP('19.02'!AE40,'19.02'!$AO$4:$AQ$55,2,FALSE))*IF('19.02'!$AK40="是",'19.02'!$BB$4,'19.02'!$BB$3))</f>
        <v>0</v>
      </c>
      <c r="X40" s="4">
        <f>IF(ISNUMBER(SEARCH("营",'19.02'!AF40)),(-$Y40+50*IF('19.02'!$AK40="是",'19.02'!$BB$4,'19.02'!$BB$3)),(VLOOKUP('19.02'!AF40,'19.02'!$AO$4:$AQ$55,2,FALSE))*IF('19.02'!$AK40="是",'19.02'!$BB$4,'19.02'!$BB$3))</f>
        <v>0</v>
      </c>
      <c r="Y40" s="77">
        <v>150</v>
      </c>
      <c r="Z40" s="94">
        <v>45766</v>
      </c>
    </row>
    <row r="41" spans="1:26">
      <c r="A41" s="4">
        <f>IF(ISNUMBER(SEARCH("营",'19.02'!I41)),(-$Y41+50*IF('19.02'!$AK41="是",'19.02'!$BB$4,'19.02'!$BB$3)),(VLOOKUP('19.02'!I41,'19.02'!$AO$4:$AQ$55,2,FALSE))*IF('19.02'!$AK41="是",'19.02'!$BB$4,'19.02'!$BB$3))</f>
        <v>0</v>
      </c>
      <c r="B41" s="4">
        <f>IF(ISNUMBER(SEARCH("营",'19.02'!J41)),(-$Y41+50*IF('19.02'!$AK41="是",'19.02'!$BB$4,'19.02'!$BB$3)),(VLOOKUP('19.02'!J41,'19.02'!$AO$4:$AQ$55,2,FALSE))*IF('19.02'!$AK41="是",'19.02'!$BB$4,'19.02'!$BB$3))</f>
        <v>0</v>
      </c>
      <c r="C41" s="4">
        <f>IF(ISNUMBER(SEARCH("营",'19.02'!K41)),(-$Y41+50*IF('19.02'!$AK41="是",'19.02'!$BB$4,'19.02'!$BB$3)),(VLOOKUP('19.02'!K41,'19.02'!$AO$4:$AQ$55,2,FALSE))*IF('19.02'!$AK41="是",'19.02'!$BB$4,'19.02'!$BB$3))</f>
        <v>0</v>
      </c>
      <c r="D41" s="4">
        <f>IF(ISNUMBER(SEARCH("营",'19.02'!L41)),(-$Y41+50*IF('19.02'!$AK41="是",'19.02'!$BB$4,'19.02'!$BB$3)),(VLOOKUP('19.02'!L41,'19.02'!$AO$4:$AQ$55,2,FALSE))*IF('19.02'!$AK41="是",'19.02'!$BB$4,'19.02'!$BB$3))</f>
        <v>0</v>
      </c>
      <c r="E41" s="4">
        <f>IF(ISNUMBER(SEARCH("营",'19.02'!M41)),(-$Y41+50*IF('19.02'!$AK41="是",'19.02'!$BB$4,'19.02'!$BB$3)),(VLOOKUP('19.02'!M41,'19.02'!$AO$4:$AQ$55,2,FALSE))*IF('19.02'!$AK41="是",'19.02'!$BB$4,'19.02'!$BB$3))</f>
        <v>0</v>
      </c>
      <c r="F41" s="4">
        <f>IF(ISNUMBER(SEARCH("营",'19.02'!N41)),(-$Y41+50*IF('19.02'!$AK41="是",'19.02'!$BB$4,'19.02'!$BB$3)),(VLOOKUP('19.02'!N41,'19.02'!$AO$4:$AQ$55,2,FALSE))*IF('19.02'!$AK41="是",'19.02'!$BB$4,'19.02'!$BB$3))</f>
        <v>0</v>
      </c>
      <c r="G41" s="4">
        <f>IF(ISNUMBER(SEARCH("营",'19.02'!O41)),(-$Y41+50*IF('19.02'!$AK41="是",'19.02'!$BB$4,'19.02'!$BB$3)),(VLOOKUP('19.02'!O41,'19.02'!$AO$4:$AQ$55,2,FALSE))*IF('19.02'!$AK41="是",'19.02'!$BB$4,'19.02'!$BB$3))</f>
        <v>0</v>
      </c>
      <c r="H41" s="4">
        <f>IF(ISNUMBER(SEARCH("营",'19.02'!P41)),(-$Y41+50*IF('19.02'!$AK41="是",'19.02'!$BB$4,'19.02'!$BB$3)),(VLOOKUP('19.02'!P41,'19.02'!$AO$4:$AQ$55,2,FALSE))*IF('19.02'!$AK41="是",'19.02'!$BB$4,'19.02'!$BB$3))</f>
        <v>0</v>
      </c>
      <c r="I41" s="4">
        <f>IF(ISNUMBER(SEARCH("营",'19.02'!Q41)),(-$Y41+50*IF('19.02'!$AK41="是",'19.02'!$BB$4,'19.02'!$BB$3)),(VLOOKUP('19.02'!Q41,'19.02'!$AO$4:$AQ$55,2,FALSE))*IF('19.02'!$AK41="是",'19.02'!$BB$4,'19.02'!$BB$3))</f>
        <v>0</v>
      </c>
      <c r="J41" s="4">
        <f>IF(ISNUMBER(SEARCH("营",'19.02'!R41)),(-$Y41+50*IF('19.02'!$AK41="是",'19.02'!$BB$4,'19.02'!$BB$3)),(VLOOKUP('19.02'!R41,'19.02'!$AO$4:$AQ$55,2,FALSE))*IF('19.02'!$AK41="是",'19.02'!$BB$4,'19.02'!$BB$3))</f>
        <v>0</v>
      </c>
      <c r="K41" s="4">
        <f>IF(ISNUMBER(SEARCH("营",'19.02'!S41)),(-$Y41+50*IF('19.02'!$AK41="是",'19.02'!$BB$4,'19.02'!$BB$3)),(VLOOKUP('19.02'!S41,'19.02'!$AO$4:$AQ$55,2,FALSE))*IF('19.02'!$AK41="是",'19.02'!$BB$4,'19.02'!$BB$3))</f>
        <v>0</v>
      </c>
      <c r="L41" s="4">
        <f>IF(ISNUMBER(SEARCH("营",'19.02'!T41)),(-$Y41+50*IF('19.02'!$AK41="是",'19.02'!$BB$4,'19.02'!$BB$3)),(VLOOKUP('19.02'!T41,'19.02'!$AO$4:$AQ$55,2,FALSE))*IF('19.02'!$AK41="是",'19.02'!$BB$4,'19.02'!$BB$3))</f>
        <v>0</v>
      </c>
      <c r="M41" s="4">
        <f>IF(ISNUMBER(SEARCH("营",'19.02'!U41)),(-$Y41+50*IF('19.02'!$AK41="是",'19.02'!$BB$4,'19.02'!$BB$3)),(VLOOKUP('19.02'!U41,'19.02'!$AO$4:$AQ$55,2,FALSE))*IF('19.02'!$AK41="是",'19.02'!$BB$4,'19.02'!$BB$3))</f>
        <v>0</v>
      </c>
      <c r="N41" s="4">
        <f>IF(ISNUMBER(SEARCH("营",'19.02'!V41)),(-$Y41+50*IF('19.02'!$AK41="是",'19.02'!$BB$4,'19.02'!$BB$3)),(VLOOKUP('19.02'!V41,'19.02'!$AO$4:$AQ$55,2,FALSE))*IF('19.02'!$AK41="是",'19.02'!$BB$4,'19.02'!$BB$3))</f>
        <v>0</v>
      </c>
      <c r="O41" s="4">
        <f>IF(ISNUMBER(SEARCH("营",'19.02'!W41)),(-$Y41+50*IF('19.02'!$AK41="是",'19.02'!$BB$4,'19.02'!$BB$3)),(VLOOKUP('19.02'!W41,'19.02'!$AO$4:$AQ$55,2,FALSE))*IF('19.02'!$AK41="是",'19.02'!$BB$4,'19.02'!$BB$3))</f>
        <v>0</v>
      </c>
      <c r="P41" s="4">
        <f>IF(ISNUMBER(SEARCH("营",'19.02'!X41)),(-$Y41+50*IF('19.02'!$AK41="是",'19.02'!$BB$4,'19.02'!$BB$3)),(VLOOKUP('19.02'!X41,'19.02'!$AO$4:$AQ$55,2,FALSE))*IF('19.02'!$AK41="是",'19.02'!$BB$4,'19.02'!$BB$3))</f>
        <v>0</v>
      </c>
      <c r="Q41" s="4">
        <f>IF(ISNUMBER(SEARCH("营",'19.02'!Y41)),(-$Y41+50*IF('19.02'!$AK41="是",'19.02'!$BB$4,'19.02'!$BB$3)),(VLOOKUP('19.02'!Y41,'19.02'!$AO$4:$AQ$55,2,FALSE))*IF('19.02'!$AK41="是",'19.02'!$BB$4,'19.02'!$BB$3))</f>
        <v>0</v>
      </c>
      <c r="R41" s="4">
        <f>IF(ISNUMBER(SEARCH("营",'19.02'!Z41)),(-$Y41+50*IF('19.02'!$AK41="是",'19.02'!$BB$4,'19.02'!$BB$3)),(VLOOKUP('19.02'!Z41,'19.02'!$AO$4:$AQ$55,2,FALSE))*IF('19.02'!$AK41="是",'19.02'!$BB$4,'19.02'!$BB$3))</f>
        <v>0</v>
      </c>
      <c r="S41" s="4">
        <f>IF(ISNUMBER(SEARCH("营",'19.02'!AA41)),(-$Y41+50*IF('19.02'!$AK41="是",'19.02'!$BB$4,'19.02'!$BB$3)),(VLOOKUP('19.02'!AA41,'19.02'!$AO$4:$AQ$55,2,FALSE))*IF('19.02'!$AK41="是",'19.02'!$BB$4,'19.02'!$BB$3))</f>
        <v>0</v>
      </c>
      <c r="T41" s="4">
        <f>IF(ISNUMBER(SEARCH("营",'19.02'!AB41)),(-$Y41+50*IF('19.02'!$AK41="是",'19.02'!$BB$4,'19.02'!$BB$3)),(VLOOKUP('19.02'!AB41,'19.02'!$AO$4:$AQ$55,2,FALSE))*IF('19.02'!$AK41="是",'19.02'!$BB$4,'19.02'!$BB$3))</f>
        <v>0</v>
      </c>
      <c r="U41" s="4">
        <f>IF(ISNUMBER(SEARCH("营",'19.02'!AC41)),(-$Y41+50*IF('19.02'!$AK41="是",'19.02'!$BB$4,'19.02'!$BB$3)),(VLOOKUP('19.02'!AC41,'19.02'!$AO$4:$AQ$55,2,FALSE))*IF('19.02'!$AK41="是",'19.02'!$BB$4,'19.02'!$BB$3))</f>
        <v>0</v>
      </c>
      <c r="V41" s="4">
        <f>IF(ISNUMBER(SEARCH("营",'19.02'!AD41)),(-$Y41+50*IF('19.02'!$AK41="是",'19.02'!$BB$4,'19.02'!$BB$3)),(VLOOKUP('19.02'!AD41,'19.02'!$AO$4:$AQ$55,2,FALSE))*IF('19.02'!$AK41="是",'19.02'!$BB$4,'19.02'!$BB$3))</f>
        <v>0</v>
      </c>
      <c r="W41" s="4">
        <f>IF(ISNUMBER(SEARCH("营",'19.02'!AE41)),(-$Y41+50*IF('19.02'!$AK41="是",'19.02'!$BB$4,'19.02'!$BB$3)),(VLOOKUP('19.02'!AE41,'19.02'!$AO$4:$AQ$55,2,FALSE))*IF('19.02'!$AK41="是",'19.02'!$BB$4,'19.02'!$BB$3))</f>
        <v>0</v>
      </c>
      <c r="X41" s="4">
        <f>IF(ISNUMBER(SEARCH("营",'19.02'!AF41)),(-$Y41+50*IF('19.02'!$AK41="是",'19.02'!$BB$4,'19.02'!$BB$3)),(VLOOKUP('19.02'!AF41,'19.02'!$AO$4:$AQ$55,2,FALSE))*IF('19.02'!$AK41="是",'19.02'!$BB$4,'19.02'!$BB$3))</f>
        <v>0</v>
      </c>
      <c r="Y41" s="77">
        <v>150</v>
      </c>
      <c r="Z41" s="94">
        <v>45767</v>
      </c>
    </row>
    <row r="42" spans="1:26">
      <c r="A42" s="4">
        <f>IF(ISNUMBER(SEARCH("营",'19.02'!I42)),(-$Y42+50*IF('19.02'!$AK42="是",'19.02'!$BB$4,'19.02'!$BB$3)),(VLOOKUP('19.02'!I42,'19.02'!$AO$4:$AQ$55,2,FALSE))*IF('19.02'!$AK42="是",'19.02'!$BB$4,'19.02'!$BB$3))</f>
        <v>0</v>
      </c>
      <c r="B42" s="4">
        <f>IF(ISNUMBER(SEARCH("营",'19.02'!J42)),(-$Y42+50*IF('19.02'!$AK42="是",'19.02'!$BB$4,'19.02'!$BB$3)),(VLOOKUP('19.02'!J42,'19.02'!$AO$4:$AQ$55,2,FALSE))*IF('19.02'!$AK42="是",'19.02'!$BB$4,'19.02'!$BB$3))</f>
        <v>0</v>
      </c>
      <c r="C42" s="4">
        <f>IF(ISNUMBER(SEARCH("营",'19.02'!K42)),(-$Y42+50*IF('19.02'!$AK42="是",'19.02'!$BB$4,'19.02'!$BB$3)),(VLOOKUP('19.02'!K42,'19.02'!$AO$4:$AQ$55,2,FALSE))*IF('19.02'!$AK42="是",'19.02'!$BB$4,'19.02'!$BB$3))</f>
        <v>0</v>
      </c>
      <c r="D42" s="4">
        <f>IF(ISNUMBER(SEARCH("营",'19.02'!L42)),(-$Y42+50*IF('19.02'!$AK42="是",'19.02'!$BB$4,'19.02'!$BB$3)),(VLOOKUP('19.02'!L42,'19.02'!$AO$4:$AQ$55,2,FALSE))*IF('19.02'!$AK42="是",'19.02'!$BB$4,'19.02'!$BB$3))</f>
        <v>0</v>
      </c>
      <c r="E42" s="4">
        <f>IF(ISNUMBER(SEARCH("营",'19.02'!M42)),(-$Y42+50*IF('19.02'!$AK42="是",'19.02'!$BB$4,'19.02'!$BB$3)),(VLOOKUP('19.02'!M42,'19.02'!$AO$4:$AQ$55,2,FALSE))*IF('19.02'!$AK42="是",'19.02'!$BB$4,'19.02'!$BB$3))</f>
        <v>0</v>
      </c>
      <c r="F42" s="4">
        <f>IF(ISNUMBER(SEARCH("营",'19.02'!N42)),(-$Y42+50*IF('19.02'!$AK42="是",'19.02'!$BB$4,'19.02'!$BB$3)),(VLOOKUP('19.02'!N42,'19.02'!$AO$4:$AQ$55,2,FALSE))*IF('19.02'!$AK42="是",'19.02'!$BB$4,'19.02'!$BB$3))</f>
        <v>0</v>
      </c>
      <c r="G42" s="4">
        <f>IF(ISNUMBER(SEARCH("营",'19.02'!O42)),(-$Y42+50*IF('19.02'!$AK42="是",'19.02'!$BB$4,'19.02'!$BB$3)),(VLOOKUP('19.02'!O42,'19.02'!$AO$4:$AQ$55,2,FALSE))*IF('19.02'!$AK42="是",'19.02'!$BB$4,'19.02'!$BB$3))</f>
        <v>0</v>
      </c>
      <c r="H42" s="4">
        <f>IF(ISNUMBER(SEARCH("营",'19.02'!P42)),(-$Y42+50*IF('19.02'!$AK42="是",'19.02'!$BB$4,'19.02'!$BB$3)),(VLOOKUP('19.02'!P42,'19.02'!$AO$4:$AQ$55,2,FALSE))*IF('19.02'!$AK42="是",'19.02'!$BB$4,'19.02'!$BB$3))</f>
        <v>0</v>
      </c>
      <c r="I42" s="4">
        <f>IF(ISNUMBER(SEARCH("营",'19.02'!Q42)),(-$Y42+50*IF('19.02'!$AK42="是",'19.02'!$BB$4,'19.02'!$BB$3)),(VLOOKUP('19.02'!Q42,'19.02'!$AO$4:$AQ$55,2,FALSE))*IF('19.02'!$AK42="是",'19.02'!$BB$4,'19.02'!$BB$3))</f>
        <v>0</v>
      </c>
      <c r="J42" s="4">
        <f>IF(ISNUMBER(SEARCH("营",'19.02'!R42)),(-$Y42+50*IF('19.02'!$AK42="是",'19.02'!$BB$4,'19.02'!$BB$3)),(VLOOKUP('19.02'!R42,'19.02'!$AO$4:$AQ$55,2,FALSE))*IF('19.02'!$AK42="是",'19.02'!$BB$4,'19.02'!$BB$3))</f>
        <v>0</v>
      </c>
      <c r="K42" s="4">
        <f>IF(ISNUMBER(SEARCH("营",'19.02'!S42)),(-$Y42+50*IF('19.02'!$AK42="是",'19.02'!$BB$4,'19.02'!$BB$3)),(VLOOKUP('19.02'!S42,'19.02'!$AO$4:$AQ$55,2,FALSE))*IF('19.02'!$AK42="是",'19.02'!$BB$4,'19.02'!$BB$3))</f>
        <v>0</v>
      </c>
      <c r="L42" s="4">
        <f>IF(ISNUMBER(SEARCH("营",'19.02'!T42)),(-$Y42+50*IF('19.02'!$AK42="是",'19.02'!$BB$4,'19.02'!$BB$3)),(VLOOKUP('19.02'!T42,'19.02'!$AO$4:$AQ$55,2,FALSE))*IF('19.02'!$AK42="是",'19.02'!$BB$4,'19.02'!$BB$3))</f>
        <v>0</v>
      </c>
      <c r="M42" s="4">
        <f>IF(ISNUMBER(SEARCH("营",'19.02'!U42)),(-$Y42+50*IF('19.02'!$AK42="是",'19.02'!$BB$4,'19.02'!$BB$3)),(VLOOKUP('19.02'!U42,'19.02'!$AO$4:$AQ$55,2,FALSE))*IF('19.02'!$AK42="是",'19.02'!$BB$4,'19.02'!$BB$3))</f>
        <v>0</v>
      </c>
      <c r="N42" s="4">
        <f>IF(ISNUMBER(SEARCH("营",'19.02'!V42)),(-$Y42+50*IF('19.02'!$AK42="是",'19.02'!$BB$4,'19.02'!$BB$3)),(VLOOKUP('19.02'!V42,'19.02'!$AO$4:$AQ$55,2,FALSE))*IF('19.02'!$AK42="是",'19.02'!$BB$4,'19.02'!$BB$3))</f>
        <v>0</v>
      </c>
      <c r="O42" s="4">
        <f>IF(ISNUMBER(SEARCH("营",'19.02'!W42)),(-$Y42+50*IF('19.02'!$AK42="是",'19.02'!$BB$4,'19.02'!$BB$3)),(VLOOKUP('19.02'!W42,'19.02'!$AO$4:$AQ$55,2,FALSE))*IF('19.02'!$AK42="是",'19.02'!$BB$4,'19.02'!$BB$3))</f>
        <v>0</v>
      </c>
      <c r="P42" s="4">
        <f>IF(ISNUMBER(SEARCH("营",'19.02'!X42)),(-$Y42+50*IF('19.02'!$AK42="是",'19.02'!$BB$4,'19.02'!$BB$3)),(VLOOKUP('19.02'!X42,'19.02'!$AO$4:$AQ$55,2,FALSE))*IF('19.02'!$AK42="是",'19.02'!$BB$4,'19.02'!$BB$3))</f>
        <v>0</v>
      </c>
      <c r="Q42" s="4">
        <f>IF(ISNUMBER(SEARCH("营",'19.02'!Y42)),(-$Y42+50*IF('19.02'!$AK42="是",'19.02'!$BB$4,'19.02'!$BB$3)),(VLOOKUP('19.02'!Y42,'19.02'!$AO$4:$AQ$55,2,FALSE))*IF('19.02'!$AK42="是",'19.02'!$BB$4,'19.02'!$BB$3))</f>
        <v>0</v>
      </c>
      <c r="R42" s="4">
        <f>IF(ISNUMBER(SEARCH("营",'19.02'!Z42)),(-$Y42+50*IF('19.02'!$AK42="是",'19.02'!$BB$4,'19.02'!$BB$3)),(VLOOKUP('19.02'!Z42,'19.02'!$AO$4:$AQ$55,2,FALSE))*IF('19.02'!$AK42="是",'19.02'!$BB$4,'19.02'!$BB$3))</f>
        <v>0</v>
      </c>
      <c r="S42" s="4">
        <f>IF(ISNUMBER(SEARCH("营",'19.02'!AA42)),(-$Y42+50*IF('19.02'!$AK42="是",'19.02'!$BB$4,'19.02'!$BB$3)),(VLOOKUP('19.02'!AA42,'19.02'!$AO$4:$AQ$55,2,FALSE))*IF('19.02'!$AK42="是",'19.02'!$BB$4,'19.02'!$BB$3))</f>
        <v>0</v>
      </c>
      <c r="T42" s="4">
        <f>IF(ISNUMBER(SEARCH("营",'19.02'!AB42)),(-$Y42+50*IF('19.02'!$AK42="是",'19.02'!$BB$4,'19.02'!$BB$3)),(VLOOKUP('19.02'!AB42,'19.02'!$AO$4:$AQ$55,2,FALSE))*IF('19.02'!$AK42="是",'19.02'!$BB$4,'19.02'!$BB$3))</f>
        <v>0</v>
      </c>
      <c r="U42" s="4">
        <f>IF(ISNUMBER(SEARCH("营",'19.02'!AC42)),(-$Y42+50*IF('19.02'!$AK42="是",'19.02'!$BB$4,'19.02'!$BB$3)),(VLOOKUP('19.02'!AC42,'19.02'!$AO$4:$AQ$55,2,FALSE))*IF('19.02'!$AK42="是",'19.02'!$BB$4,'19.02'!$BB$3))</f>
        <v>0</v>
      </c>
      <c r="V42" s="4">
        <f>IF(ISNUMBER(SEARCH("营",'19.02'!AD42)),(-$Y42+50*IF('19.02'!$AK42="是",'19.02'!$BB$4,'19.02'!$BB$3)),(VLOOKUP('19.02'!AD42,'19.02'!$AO$4:$AQ$55,2,FALSE))*IF('19.02'!$AK42="是",'19.02'!$BB$4,'19.02'!$BB$3))</f>
        <v>0</v>
      </c>
      <c r="W42" s="4">
        <f>IF(ISNUMBER(SEARCH("营",'19.02'!AE42)),(-$Y42+50*IF('19.02'!$AK42="是",'19.02'!$BB$4,'19.02'!$BB$3)),(VLOOKUP('19.02'!AE42,'19.02'!$AO$4:$AQ$55,2,FALSE))*IF('19.02'!$AK42="是",'19.02'!$BB$4,'19.02'!$BB$3))</f>
        <v>0</v>
      </c>
      <c r="X42" s="4">
        <f>IF(ISNUMBER(SEARCH("营",'19.02'!AF42)),(-$Y42+50*IF('19.02'!$AK42="是",'19.02'!$BB$4,'19.02'!$BB$3)),(VLOOKUP('19.02'!AF42,'19.02'!$AO$4:$AQ$55,2,FALSE))*IF('19.02'!$AK42="是",'19.02'!$BB$4,'19.02'!$BB$3))</f>
        <v>0</v>
      </c>
      <c r="Y42" s="77">
        <v>150</v>
      </c>
      <c r="Z42" s="94">
        <v>45768</v>
      </c>
    </row>
    <row r="43" spans="1:26">
      <c r="A43" s="4">
        <f>IF(ISNUMBER(SEARCH("营",'19.02'!I43)),(-$Y43+50*IF('19.02'!$AK43="是",'19.02'!$BB$4,'19.02'!$BB$3)),(VLOOKUP('19.02'!I43,'19.02'!$AO$4:$AQ$55,2,FALSE))*IF('19.02'!$AK43="是",'19.02'!$BB$4,'19.02'!$BB$3))</f>
        <v>0</v>
      </c>
      <c r="B43" s="4">
        <f>IF(ISNUMBER(SEARCH("营",'19.02'!J43)),(-$Y43+50*IF('19.02'!$AK43="是",'19.02'!$BB$4,'19.02'!$BB$3)),(VLOOKUP('19.02'!J43,'19.02'!$AO$4:$AQ$55,2,FALSE))*IF('19.02'!$AK43="是",'19.02'!$BB$4,'19.02'!$BB$3))</f>
        <v>0</v>
      </c>
      <c r="C43" s="4">
        <f>IF(ISNUMBER(SEARCH("营",'19.02'!K43)),(-$Y43+50*IF('19.02'!$AK43="是",'19.02'!$BB$4,'19.02'!$BB$3)),(VLOOKUP('19.02'!K43,'19.02'!$AO$4:$AQ$55,2,FALSE))*IF('19.02'!$AK43="是",'19.02'!$BB$4,'19.02'!$BB$3))</f>
        <v>0</v>
      </c>
      <c r="D43" s="4">
        <f>IF(ISNUMBER(SEARCH("营",'19.02'!L43)),(-$Y43+50*IF('19.02'!$AK43="是",'19.02'!$BB$4,'19.02'!$BB$3)),(VLOOKUP('19.02'!L43,'19.02'!$AO$4:$AQ$55,2,FALSE))*IF('19.02'!$AK43="是",'19.02'!$BB$4,'19.02'!$BB$3))</f>
        <v>0</v>
      </c>
      <c r="E43" s="4">
        <f>IF(ISNUMBER(SEARCH("营",'19.02'!M43)),(-$Y43+50*IF('19.02'!$AK43="是",'19.02'!$BB$4,'19.02'!$BB$3)),(VLOOKUP('19.02'!M43,'19.02'!$AO$4:$AQ$55,2,FALSE))*IF('19.02'!$AK43="是",'19.02'!$BB$4,'19.02'!$BB$3))</f>
        <v>0</v>
      </c>
      <c r="F43" s="4">
        <f>IF(ISNUMBER(SEARCH("营",'19.02'!N43)),(-$Y43+50*IF('19.02'!$AK43="是",'19.02'!$BB$4,'19.02'!$BB$3)),(VLOOKUP('19.02'!N43,'19.02'!$AO$4:$AQ$55,2,FALSE))*IF('19.02'!$AK43="是",'19.02'!$BB$4,'19.02'!$BB$3))</f>
        <v>0</v>
      </c>
      <c r="G43" s="4">
        <f>IF(ISNUMBER(SEARCH("营",'19.02'!O43)),(-$Y43+50*IF('19.02'!$AK43="是",'19.02'!$BB$4,'19.02'!$BB$3)),(VLOOKUP('19.02'!O43,'19.02'!$AO$4:$AQ$55,2,FALSE))*IF('19.02'!$AK43="是",'19.02'!$BB$4,'19.02'!$BB$3))</f>
        <v>0</v>
      </c>
      <c r="H43" s="4">
        <f>IF(ISNUMBER(SEARCH("营",'19.02'!P43)),(-$Y43+50*IF('19.02'!$AK43="是",'19.02'!$BB$4,'19.02'!$BB$3)),(VLOOKUP('19.02'!P43,'19.02'!$AO$4:$AQ$55,2,FALSE))*IF('19.02'!$AK43="是",'19.02'!$BB$4,'19.02'!$BB$3))</f>
        <v>0</v>
      </c>
      <c r="I43" s="4">
        <f>IF(ISNUMBER(SEARCH("营",'19.02'!Q43)),(-$Y43+50*IF('19.02'!$AK43="是",'19.02'!$BB$4,'19.02'!$BB$3)),(VLOOKUP('19.02'!Q43,'19.02'!$AO$4:$AQ$55,2,FALSE))*IF('19.02'!$AK43="是",'19.02'!$BB$4,'19.02'!$BB$3))</f>
        <v>0</v>
      </c>
      <c r="J43" s="4">
        <f>IF(ISNUMBER(SEARCH("营",'19.02'!R43)),(-$Y43+50*IF('19.02'!$AK43="是",'19.02'!$BB$4,'19.02'!$BB$3)),(VLOOKUP('19.02'!R43,'19.02'!$AO$4:$AQ$55,2,FALSE))*IF('19.02'!$AK43="是",'19.02'!$BB$4,'19.02'!$BB$3))</f>
        <v>0</v>
      </c>
      <c r="K43" s="4">
        <f>IF(ISNUMBER(SEARCH("营",'19.02'!S43)),(-$Y43+50*IF('19.02'!$AK43="是",'19.02'!$BB$4,'19.02'!$BB$3)),(VLOOKUP('19.02'!S43,'19.02'!$AO$4:$AQ$55,2,FALSE))*IF('19.02'!$AK43="是",'19.02'!$BB$4,'19.02'!$BB$3))</f>
        <v>0</v>
      </c>
      <c r="L43" s="4">
        <f>IF(ISNUMBER(SEARCH("营",'19.02'!T43)),(-$Y43+50*IF('19.02'!$AK43="是",'19.02'!$BB$4,'19.02'!$BB$3)),(VLOOKUP('19.02'!T43,'19.02'!$AO$4:$AQ$55,2,FALSE))*IF('19.02'!$AK43="是",'19.02'!$BB$4,'19.02'!$BB$3))</f>
        <v>0</v>
      </c>
      <c r="M43" s="4">
        <f>IF(ISNUMBER(SEARCH("营",'19.02'!U43)),(-$Y43+50*IF('19.02'!$AK43="是",'19.02'!$BB$4,'19.02'!$BB$3)),(VLOOKUP('19.02'!U43,'19.02'!$AO$4:$AQ$55,2,FALSE))*IF('19.02'!$AK43="是",'19.02'!$BB$4,'19.02'!$BB$3))</f>
        <v>0</v>
      </c>
      <c r="N43" s="4">
        <f>IF(ISNUMBER(SEARCH("营",'19.02'!V43)),(-$Y43+50*IF('19.02'!$AK43="是",'19.02'!$BB$4,'19.02'!$BB$3)),(VLOOKUP('19.02'!V43,'19.02'!$AO$4:$AQ$55,2,FALSE))*IF('19.02'!$AK43="是",'19.02'!$BB$4,'19.02'!$BB$3))</f>
        <v>0</v>
      </c>
      <c r="O43" s="4">
        <f>IF(ISNUMBER(SEARCH("营",'19.02'!W43)),(-$Y43+50*IF('19.02'!$AK43="是",'19.02'!$BB$4,'19.02'!$BB$3)),(VLOOKUP('19.02'!W43,'19.02'!$AO$4:$AQ$55,2,FALSE))*IF('19.02'!$AK43="是",'19.02'!$BB$4,'19.02'!$BB$3))</f>
        <v>0</v>
      </c>
      <c r="P43" s="4">
        <f>IF(ISNUMBER(SEARCH("营",'19.02'!X43)),(-$Y43+50*IF('19.02'!$AK43="是",'19.02'!$BB$4,'19.02'!$BB$3)),(VLOOKUP('19.02'!X43,'19.02'!$AO$4:$AQ$55,2,FALSE))*IF('19.02'!$AK43="是",'19.02'!$BB$4,'19.02'!$BB$3))</f>
        <v>0</v>
      </c>
      <c r="Q43" s="4">
        <f>IF(ISNUMBER(SEARCH("营",'19.02'!Y43)),(-$Y43+50*IF('19.02'!$AK43="是",'19.02'!$BB$4,'19.02'!$BB$3)),(VLOOKUP('19.02'!Y43,'19.02'!$AO$4:$AQ$55,2,FALSE))*IF('19.02'!$AK43="是",'19.02'!$BB$4,'19.02'!$BB$3))</f>
        <v>0</v>
      </c>
      <c r="R43" s="4">
        <f>IF(ISNUMBER(SEARCH("营",'19.02'!Z43)),(-$Y43+50*IF('19.02'!$AK43="是",'19.02'!$BB$4,'19.02'!$BB$3)),(VLOOKUP('19.02'!Z43,'19.02'!$AO$4:$AQ$55,2,FALSE))*IF('19.02'!$AK43="是",'19.02'!$BB$4,'19.02'!$BB$3))</f>
        <v>0</v>
      </c>
      <c r="S43" s="4">
        <f>IF(ISNUMBER(SEARCH("营",'19.02'!AA43)),(-$Y43+50*IF('19.02'!$AK43="是",'19.02'!$BB$4,'19.02'!$BB$3)),(VLOOKUP('19.02'!AA43,'19.02'!$AO$4:$AQ$55,2,FALSE))*IF('19.02'!$AK43="是",'19.02'!$BB$4,'19.02'!$BB$3))</f>
        <v>0</v>
      </c>
      <c r="T43" s="4">
        <f>IF(ISNUMBER(SEARCH("营",'19.02'!AB43)),(-$Y43+50*IF('19.02'!$AK43="是",'19.02'!$BB$4,'19.02'!$BB$3)),(VLOOKUP('19.02'!AB43,'19.02'!$AO$4:$AQ$55,2,FALSE))*IF('19.02'!$AK43="是",'19.02'!$BB$4,'19.02'!$BB$3))</f>
        <v>0</v>
      </c>
      <c r="U43" s="4">
        <f>IF(ISNUMBER(SEARCH("营",'19.02'!AC43)),(-$Y43+50*IF('19.02'!$AK43="是",'19.02'!$BB$4,'19.02'!$BB$3)),(VLOOKUP('19.02'!AC43,'19.02'!$AO$4:$AQ$55,2,FALSE))*IF('19.02'!$AK43="是",'19.02'!$BB$4,'19.02'!$BB$3))</f>
        <v>0</v>
      </c>
      <c r="V43" s="4">
        <f>IF(ISNUMBER(SEARCH("营",'19.02'!AD43)),(-$Y43+50*IF('19.02'!$AK43="是",'19.02'!$BB$4,'19.02'!$BB$3)),(VLOOKUP('19.02'!AD43,'19.02'!$AO$4:$AQ$55,2,FALSE))*IF('19.02'!$AK43="是",'19.02'!$BB$4,'19.02'!$BB$3))</f>
        <v>0</v>
      </c>
      <c r="W43" s="4">
        <f>IF(ISNUMBER(SEARCH("营",'19.02'!AE43)),(-$Y43+50*IF('19.02'!$AK43="是",'19.02'!$BB$4,'19.02'!$BB$3)),(VLOOKUP('19.02'!AE43,'19.02'!$AO$4:$AQ$55,2,FALSE))*IF('19.02'!$AK43="是",'19.02'!$BB$4,'19.02'!$BB$3))</f>
        <v>0</v>
      </c>
      <c r="X43" s="4">
        <f>IF(ISNUMBER(SEARCH("营",'19.02'!AF43)),(-$Y43+50*IF('19.02'!$AK43="是",'19.02'!$BB$4,'19.02'!$BB$3)),(VLOOKUP('19.02'!AF43,'19.02'!$AO$4:$AQ$55,2,FALSE))*IF('19.02'!$AK43="是",'19.02'!$BB$4,'19.02'!$BB$3))</f>
        <v>0</v>
      </c>
      <c r="Y43" s="77">
        <v>150</v>
      </c>
      <c r="Z43" s="94">
        <v>45769</v>
      </c>
    </row>
    <row r="44" spans="1:26">
      <c r="A44" s="4">
        <f>IF(ISNUMBER(SEARCH("营",'19.02'!I44)),(-$Y44+50*IF('19.02'!$AK44="是",'19.02'!$BB$4,'19.02'!$BB$3)),(VLOOKUP('19.02'!I44,'19.02'!$AO$4:$AQ$55,2,FALSE))*IF('19.02'!$AK44="是",'19.02'!$BB$4,'19.02'!$BB$3))</f>
        <v>0</v>
      </c>
      <c r="B44" s="4">
        <f>IF(ISNUMBER(SEARCH("营",'19.02'!J44)),(-$Y44+50*IF('19.02'!$AK44="是",'19.02'!$BB$4,'19.02'!$BB$3)),(VLOOKUP('19.02'!J44,'19.02'!$AO$4:$AQ$55,2,FALSE))*IF('19.02'!$AK44="是",'19.02'!$BB$4,'19.02'!$BB$3))</f>
        <v>0</v>
      </c>
      <c r="C44" s="4">
        <f>IF(ISNUMBER(SEARCH("营",'19.02'!K44)),(-$Y44+50*IF('19.02'!$AK44="是",'19.02'!$BB$4,'19.02'!$BB$3)),(VLOOKUP('19.02'!K44,'19.02'!$AO$4:$AQ$55,2,FALSE))*IF('19.02'!$AK44="是",'19.02'!$BB$4,'19.02'!$BB$3))</f>
        <v>0</v>
      </c>
      <c r="D44" s="4">
        <f>IF(ISNUMBER(SEARCH("营",'19.02'!L44)),(-$Y44+50*IF('19.02'!$AK44="是",'19.02'!$BB$4,'19.02'!$BB$3)),(VLOOKUP('19.02'!L44,'19.02'!$AO$4:$AQ$55,2,FALSE))*IF('19.02'!$AK44="是",'19.02'!$BB$4,'19.02'!$BB$3))</f>
        <v>0</v>
      </c>
      <c r="E44" s="4">
        <f>IF(ISNUMBER(SEARCH("营",'19.02'!M44)),(-$Y44+50*IF('19.02'!$AK44="是",'19.02'!$BB$4,'19.02'!$BB$3)),(VLOOKUP('19.02'!M44,'19.02'!$AO$4:$AQ$55,2,FALSE))*IF('19.02'!$AK44="是",'19.02'!$BB$4,'19.02'!$BB$3))</f>
        <v>0</v>
      </c>
      <c r="F44" s="4">
        <f>IF(ISNUMBER(SEARCH("营",'19.02'!N44)),(-$Y44+50*IF('19.02'!$AK44="是",'19.02'!$BB$4,'19.02'!$BB$3)),(VLOOKUP('19.02'!N44,'19.02'!$AO$4:$AQ$55,2,FALSE))*IF('19.02'!$AK44="是",'19.02'!$BB$4,'19.02'!$BB$3))</f>
        <v>0</v>
      </c>
      <c r="G44" s="4">
        <f>IF(ISNUMBER(SEARCH("营",'19.02'!O44)),(-$Y44+50*IF('19.02'!$AK44="是",'19.02'!$BB$4,'19.02'!$BB$3)),(VLOOKUP('19.02'!O44,'19.02'!$AO$4:$AQ$55,2,FALSE))*IF('19.02'!$AK44="是",'19.02'!$BB$4,'19.02'!$BB$3))</f>
        <v>0</v>
      </c>
      <c r="H44" s="4">
        <f>IF(ISNUMBER(SEARCH("营",'19.02'!P44)),(-$Y44+50*IF('19.02'!$AK44="是",'19.02'!$BB$4,'19.02'!$BB$3)),(VLOOKUP('19.02'!P44,'19.02'!$AO$4:$AQ$55,2,FALSE))*IF('19.02'!$AK44="是",'19.02'!$BB$4,'19.02'!$BB$3))</f>
        <v>0</v>
      </c>
      <c r="I44" s="4">
        <f>IF(ISNUMBER(SEARCH("营",'19.02'!Q44)),(-$Y44+50*IF('19.02'!$AK44="是",'19.02'!$BB$4,'19.02'!$BB$3)),(VLOOKUP('19.02'!Q44,'19.02'!$AO$4:$AQ$55,2,FALSE))*IF('19.02'!$AK44="是",'19.02'!$BB$4,'19.02'!$BB$3))</f>
        <v>0</v>
      </c>
      <c r="J44" s="4">
        <f>IF(ISNUMBER(SEARCH("营",'19.02'!R44)),(-$Y44+50*IF('19.02'!$AK44="是",'19.02'!$BB$4,'19.02'!$BB$3)),(VLOOKUP('19.02'!R44,'19.02'!$AO$4:$AQ$55,2,FALSE))*IF('19.02'!$AK44="是",'19.02'!$BB$4,'19.02'!$BB$3))</f>
        <v>0</v>
      </c>
      <c r="K44" s="4">
        <f>IF(ISNUMBER(SEARCH("营",'19.02'!S44)),(-$Y44+50*IF('19.02'!$AK44="是",'19.02'!$BB$4,'19.02'!$BB$3)),(VLOOKUP('19.02'!S44,'19.02'!$AO$4:$AQ$55,2,FALSE))*IF('19.02'!$AK44="是",'19.02'!$BB$4,'19.02'!$BB$3))</f>
        <v>0</v>
      </c>
      <c r="L44" s="4">
        <f>IF(ISNUMBER(SEARCH("营",'19.02'!T44)),(-$Y44+50*IF('19.02'!$AK44="是",'19.02'!$BB$4,'19.02'!$BB$3)),(VLOOKUP('19.02'!T44,'19.02'!$AO$4:$AQ$55,2,FALSE))*IF('19.02'!$AK44="是",'19.02'!$BB$4,'19.02'!$BB$3))</f>
        <v>0</v>
      </c>
      <c r="M44" s="4">
        <f>IF(ISNUMBER(SEARCH("营",'19.02'!U44)),(-$Y44+50*IF('19.02'!$AK44="是",'19.02'!$BB$4,'19.02'!$BB$3)),(VLOOKUP('19.02'!U44,'19.02'!$AO$4:$AQ$55,2,FALSE))*IF('19.02'!$AK44="是",'19.02'!$BB$4,'19.02'!$BB$3))</f>
        <v>0</v>
      </c>
      <c r="N44" s="4">
        <f>IF(ISNUMBER(SEARCH("营",'19.02'!V44)),(-$Y44+50*IF('19.02'!$AK44="是",'19.02'!$BB$4,'19.02'!$BB$3)),(VLOOKUP('19.02'!V44,'19.02'!$AO$4:$AQ$55,2,FALSE))*IF('19.02'!$AK44="是",'19.02'!$BB$4,'19.02'!$BB$3))</f>
        <v>0</v>
      </c>
      <c r="O44" s="4">
        <f>IF(ISNUMBER(SEARCH("营",'19.02'!W44)),(-$Y44+50*IF('19.02'!$AK44="是",'19.02'!$BB$4,'19.02'!$BB$3)),(VLOOKUP('19.02'!W44,'19.02'!$AO$4:$AQ$55,2,FALSE))*IF('19.02'!$AK44="是",'19.02'!$BB$4,'19.02'!$BB$3))</f>
        <v>0</v>
      </c>
      <c r="P44" s="4">
        <f>IF(ISNUMBER(SEARCH("营",'19.02'!X44)),(-$Y44+50*IF('19.02'!$AK44="是",'19.02'!$BB$4,'19.02'!$BB$3)),(VLOOKUP('19.02'!X44,'19.02'!$AO$4:$AQ$55,2,FALSE))*IF('19.02'!$AK44="是",'19.02'!$BB$4,'19.02'!$BB$3))</f>
        <v>0</v>
      </c>
      <c r="Q44" s="4">
        <f>IF(ISNUMBER(SEARCH("营",'19.02'!Y44)),(-$Y44+50*IF('19.02'!$AK44="是",'19.02'!$BB$4,'19.02'!$BB$3)),(VLOOKUP('19.02'!Y44,'19.02'!$AO$4:$AQ$55,2,FALSE))*IF('19.02'!$AK44="是",'19.02'!$BB$4,'19.02'!$BB$3))</f>
        <v>0</v>
      </c>
      <c r="R44" s="4">
        <f>IF(ISNUMBER(SEARCH("营",'19.02'!Z44)),(-$Y44+50*IF('19.02'!$AK44="是",'19.02'!$BB$4,'19.02'!$BB$3)),(VLOOKUP('19.02'!Z44,'19.02'!$AO$4:$AQ$55,2,FALSE))*IF('19.02'!$AK44="是",'19.02'!$BB$4,'19.02'!$BB$3))</f>
        <v>0</v>
      </c>
      <c r="S44" s="4">
        <f>IF(ISNUMBER(SEARCH("营",'19.02'!AA44)),(-$Y44+50*IF('19.02'!$AK44="是",'19.02'!$BB$4,'19.02'!$BB$3)),(VLOOKUP('19.02'!AA44,'19.02'!$AO$4:$AQ$55,2,FALSE))*IF('19.02'!$AK44="是",'19.02'!$BB$4,'19.02'!$BB$3))</f>
        <v>0</v>
      </c>
      <c r="T44" s="4">
        <f>IF(ISNUMBER(SEARCH("营",'19.02'!AB44)),(-$Y44+50*IF('19.02'!$AK44="是",'19.02'!$BB$4,'19.02'!$BB$3)),(VLOOKUP('19.02'!AB44,'19.02'!$AO$4:$AQ$55,2,FALSE))*IF('19.02'!$AK44="是",'19.02'!$BB$4,'19.02'!$BB$3))</f>
        <v>0</v>
      </c>
      <c r="U44" s="4">
        <f>IF(ISNUMBER(SEARCH("营",'19.02'!AC44)),(-$Y44+50*IF('19.02'!$AK44="是",'19.02'!$BB$4,'19.02'!$BB$3)),(VLOOKUP('19.02'!AC44,'19.02'!$AO$4:$AQ$55,2,FALSE))*IF('19.02'!$AK44="是",'19.02'!$BB$4,'19.02'!$BB$3))</f>
        <v>0</v>
      </c>
      <c r="V44" s="4">
        <f>IF(ISNUMBER(SEARCH("营",'19.02'!AD44)),(-$Y44+50*IF('19.02'!$AK44="是",'19.02'!$BB$4,'19.02'!$BB$3)),(VLOOKUP('19.02'!AD44,'19.02'!$AO$4:$AQ$55,2,FALSE))*IF('19.02'!$AK44="是",'19.02'!$BB$4,'19.02'!$BB$3))</f>
        <v>0</v>
      </c>
      <c r="W44" s="4">
        <f>IF(ISNUMBER(SEARCH("营",'19.02'!AE44)),(-$Y44+50*IF('19.02'!$AK44="是",'19.02'!$BB$4,'19.02'!$BB$3)),(VLOOKUP('19.02'!AE44,'19.02'!$AO$4:$AQ$55,2,FALSE))*IF('19.02'!$AK44="是",'19.02'!$BB$4,'19.02'!$BB$3))</f>
        <v>0</v>
      </c>
      <c r="X44" s="4">
        <f>IF(ISNUMBER(SEARCH("营",'19.02'!AF44)),(-$Y44+50*IF('19.02'!$AK44="是",'19.02'!$BB$4,'19.02'!$BB$3)),(VLOOKUP('19.02'!AF44,'19.02'!$AO$4:$AQ$55,2,FALSE))*IF('19.02'!$AK44="是",'19.02'!$BB$4,'19.02'!$BB$3))</f>
        <v>0</v>
      </c>
      <c r="Y44" s="77">
        <v>150</v>
      </c>
      <c r="Z44" s="94">
        <v>45770</v>
      </c>
    </row>
    <row r="45" spans="1:26">
      <c r="A45" s="4">
        <f>IF(ISNUMBER(SEARCH("营",'19.02'!I45)),(-$Y45+50*IF('19.02'!$AK45="是",'19.02'!$BB$4,'19.02'!$BB$3)),(VLOOKUP('19.02'!I45,'19.02'!$AO$4:$AQ$55,2,FALSE))*IF('19.02'!$AK45="是",'19.02'!$BB$4,'19.02'!$BB$3))</f>
        <v>0</v>
      </c>
      <c r="B45" s="4">
        <f>IF(ISNUMBER(SEARCH("营",'19.02'!J45)),(-$Y45+50*IF('19.02'!$AK45="是",'19.02'!$BB$4,'19.02'!$BB$3)),(VLOOKUP('19.02'!J45,'19.02'!$AO$4:$AQ$55,2,FALSE))*IF('19.02'!$AK45="是",'19.02'!$BB$4,'19.02'!$BB$3))</f>
        <v>0</v>
      </c>
      <c r="C45" s="4">
        <f>IF(ISNUMBER(SEARCH("营",'19.02'!K45)),(-$Y45+50*IF('19.02'!$AK45="是",'19.02'!$BB$4,'19.02'!$BB$3)),(VLOOKUP('19.02'!K45,'19.02'!$AO$4:$AQ$55,2,FALSE))*IF('19.02'!$AK45="是",'19.02'!$BB$4,'19.02'!$BB$3))</f>
        <v>0</v>
      </c>
      <c r="D45" s="4">
        <f>IF(ISNUMBER(SEARCH("营",'19.02'!L45)),(-$Y45+50*IF('19.02'!$AK45="是",'19.02'!$BB$4,'19.02'!$BB$3)),(VLOOKUP('19.02'!L45,'19.02'!$AO$4:$AQ$55,2,FALSE))*IF('19.02'!$AK45="是",'19.02'!$BB$4,'19.02'!$BB$3))</f>
        <v>0</v>
      </c>
      <c r="E45" s="4">
        <f>IF(ISNUMBER(SEARCH("营",'19.02'!M45)),(-$Y45+50*IF('19.02'!$AK45="是",'19.02'!$BB$4,'19.02'!$BB$3)),(VLOOKUP('19.02'!M45,'19.02'!$AO$4:$AQ$55,2,FALSE))*IF('19.02'!$AK45="是",'19.02'!$BB$4,'19.02'!$BB$3))</f>
        <v>0</v>
      </c>
      <c r="F45" s="4">
        <f>IF(ISNUMBER(SEARCH("营",'19.02'!N45)),(-$Y45+50*IF('19.02'!$AK45="是",'19.02'!$BB$4,'19.02'!$BB$3)),(VLOOKUP('19.02'!N45,'19.02'!$AO$4:$AQ$55,2,FALSE))*IF('19.02'!$AK45="是",'19.02'!$BB$4,'19.02'!$BB$3))</f>
        <v>0</v>
      </c>
      <c r="G45" s="4">
        <f>IF(ISNUMBER(SEARCH("营",'19.02'!O45)),(-$Y45+50*IF('19.02'!$AK45="是",'19.02'!$BB$4,'19.02'!$BB$3)),(VLOOKUP('19.02'!O45,'19.02'!$AO$4:$AQ$55,2,FALSE))*IF('19.02'!$AK45="是",'19.02'!$BB$4,'19.02'!$BB$3))</f>
        <v>0</v>
      </c>
      <c r="H45" s="4">
        <f>IF(ISNUMBER(SEARCH("营",'19.02'!P45)),(-$Y45+50*IF('19.02'!$AK45="是",'19.02'!$BB$4,'19.02'!$BB$3)),(VLOOKUP('19.02'!P45,'19.02'!$AO$4:$AQ$55,2,FALSE))*IF('19.02'!$AK45="是",'19.02'!$BB$4,'19.02'!$BB$3))</f>
        <v>0</v>
      </c>
      <c r="I45" s="4">
        <f>IF(ISNUMBER(SEARCH("营",'19.02'!Q45)),(-$Y45+50*IF('19.02'!$AK45="是",'19.02'!$BB$4,'19.02'!$BB$3)),(VLOOKUP('19.02'!Q45,'19.02'!$AO$4:$AQ$55,2,FALSE))*IF('19.02'!$AK45="是",'19.02'!$BB$4,'19.02'!$BB$3))</f>
        <v>0</v>
      </c>
      <c r="J45" s="4">
        <f>IF(ISNUMBER(SEARCH("营",'19.02'!R45)),(-$Y45+50*IF('19.02'!$AK45="是",'19.02'!$BB$4,'19.02'!$BB$3)),(VLOOKUP('19.02'!R45,'19.02'!$AO$4:$AQ$55,2,FALSE))*IF('19.02'!$AK45="是",'19.02'!$BB$4,'19.02'!$BB$3))</f>
        <v>0</v>
      </c>
      <c r="K45" s="4">
        <f>IF(ISNUMBER(SEARCH("营",'19.02'!S45)),(-$Y45+50*IF('19.02'!$AK45="是",'19.02'!$BB$4,'19.02'!$BB$3)),(VLOOKUP('19.02'!S45,'19.02'!$AO$4:$AQ$55,2,FALSE))*IF('19.02'!$AK45="是",'19.02'!$BB$4,'19.02'!$BB$3))</f>
        <v>0</v>
      </c>
      <c r="L45" s="4">
        <f>IF(ISNUMBER(SEARCH("营",'19.02'!T45)),(-$Y45+50*IF('19.02'!$AK45="是",'19.02'!$BB$4,'19.02'!$BB$3)),(VLOOKUP('19.02'!T45,'19.02'!$AO$4:$AQ$55,2,FALSE))*IF('19.02'!$AK45="是",'19.02'!$BB$4,'19.02'!$BB$3))</f>
        <v>0</v>
      </c>
      <c r="M45" s="4">
        <f>IF(ISNUMBER(SEARCH("营",'19.02'!U45)),(-$Y45+50*IF('19.02'!$AK45="是",'19.02'!$BB$4,'19.02'!$BB$3)),(VLOOKUP('19.02'!U45,'19.02'!$AO$4:$AQ$55,2,FALSE))*IF('19.02'!$AK45="是",'19.02'!$BB$4,'19.02'!$BB$3))</f>
        <v>0</v>
      </c>
      <c r="N45" s="4">
        <f>IF(ISNUMBER(SEARCH("营",'19.02'!V45)),(-$Y45+50*IF('19.02'!$AK45="是",'19.02'!$BB$4,'19.02'!$BB$3)),(VLOOKUP('19.02'!V45,'19.02'!$AO$4:$AQ$55,2,FALSE))*IF('19.02'!$AK45="是",'19.02'!$BB$4,'19.02'!$BB$3))</f>
        <v>0</v>
      </c>
      <c r="O45" s="4">
        <f>IF(ISNUMBER(SEARCH("营",'19.02'!W45)),(-$Y45+50*IF('19.02'!$AK45="是",'19.02'!$BB$4,'19.02'!$BB$3)),(VLOOKUP('19.02'!W45,'19.02'!$AO$4:$AQ$55,2,FALSE))*IF('19.02'!$AK45="是",'19.02'!$BB$4,'19.02'!$BB$3))</f>
        <v>0</v>
      </c>
      <c r="P45" s="4">
        <f>IF(ISNUMBER(SEARCH("营",'19.02'!X45)),(-$Y45+50*IF('19.02'!$AK45="是",'19.02'!$BB$4,'19.02'!$BB$3)),(VLOOKUP('19.02'!X45,'19.02'!$AO$4:$AQ$55,2,FALSE))*IF('19.02'!$AK45="是",'19.02'!$BB$4,'19.02'!$BB$3))</f>
        <v>0</v>
      </c>
      <c r="Q45" s="4">
        <f>IF(ISNUMBER(SEARCH("营",'19.02'!Y45)),(-$Y45+50*IF('19.02'!$AK45="是",'19.02'!$BB$4,'19.02'!$BB$3)),(VLOOKUP('19.02'!Y45,'19.02'!$AO$4:$AQ$55,2,FALSE))*IF('19.02'!$AK45="是",'19.02'!$BB$4,'19.02'!$BB$3))</f>
        <v>0</v>
      </c>
      <c r="R45" s="4">
        <f>IF(ISNUMBER(SEARCH("营",'19.02'!Z45)),(-$Y45+50*IF('19.02'!$AK45="是",'19.02'!$BB$4,'19.02'!$BB$3)),(VLOOKUP('19.02'!Z45,'19.02'!$AO$4:$AQ$55,2,FALSE))*IF('19.02'!$AK45="是",'19.02'!$BB$4,'19.02'!$BB$3))</f>
        <v>0</v>
      </c>
      <c r="S45" s="4">
        <f>IF(ISNUMBER(SEARCH("营",'19.02'!AA45)),(-$Y45+50*IF('19.02'!$AK45="是",'19.02'!$BB$4,'19.02'!$BB$3)),(VLOOKUP('19.02'!AA45,'19.02'!$AO$4:$AQ$55,2,FALSE))*IF('19.02'!$AK45="是",'19.02'!$BB$4,'19.02'!$BB$3))</f>
        <v>0</v>
      </c>
      <c r="T45" s="4">
        <f>IF(ISNUMBER(SEARCH("营",'19.02'!AB45)),(-$Y45+50*IF('19.02'!$AK45="是",'19.02'!$BB$4,'19.02'!$BB$3)),(VLOOKUP('19.02'!AB45,'19.02'!$AO$4:$AQ$55,2,FALSE))*IF('19.02'!$AK45="是",'19.02'!$BB$4,'19.02'!$BB$3))</f>
        <v>0</v>
      </c>
      <c r="U45" s="4">
        <f>IF(ISNUMBER(SEARCH("营",'19.02'!AC45)),(-$Y45+50*IF('19.02'!$AK45="是",'19.02'!$BB$4,'19.02'!$BB$3)),(VLOOKUP('19.02'!AC45,'19.02'!$AO$4:$AQ$55,2,FALSE))*IF('19.02'!$AK45="是",'19.02'!$BB$4,'19.02'!$BB$3))</f>
        <v>0</v>
      </c>
      <c r="V45" s="4">
        <f>IF(ISNUMBER(SEARCH("营",'19.02'!AD45)),(-$Y45+50*IF('19.02'!$AK45="是",'19.02'!$BB$4,'19.02'!$BB$3)),(VLOOKUP('19.02'!AD45,'19.02'!$AO$4:$AQ$55,2,FALSE))*IF('19.02'!$AK45="是",'19.02'!$BB$4,'19.02'!$BB$3))</f>
        <v>0</v>
      </c>
      <c r="W45" s="4">
        <f>IF(ISNUMBER(SEARCH("营",'19.02'!AE45)),(-$Y45+50*IF('19.02'!$AK45="是",'19.02'!$BB$4,'19.02'!$BB$3)),(VLOOKUP('19.02'!AE45,'19.02'!$AO$4:$AQ$55,2,FALSE))*IF('19.02'!$AK45="是",'19.02'!$BB$4,'19.02'!$BB$3))</f>
        <v>0</v>
      </c>
      <c r="X45" s="4">
        <f>IF(ISNUMBER(SEARCH("营",'19.02'!AF45)),(-$Y45+50*IF('19.02'!$AK45="是",'19.02'!$BB$4,'19.02'!$BB$3)),(VLOOKUP('19.02'!AF45,'19.02'!$AO$4:$AQ$55,2,FALSE))*IF('19.02'!$AK45="是",'19.02'!$BB$4,'19.02'!$BB$3))</f>
        <v>0</v>
      </c>
      <c r="Y45" s="77">
        <v>150</v>
      </c>
      <c r="Z45" s="94">
        <v>45771</v>
      </c>
    </row>
    <row r="46" spans="1:26">
      <c r="A46" s="4">
        <f>IF(ISNUMBER(SEARCH("营",'19.02'!I46)),(-$Y46+50*IF('19.02'!$AK46="是",'19.02'!$BB$4,'19.02'!$BB$3)),(VLOOKUP('19.02'!I46,'19.02'!$AO$4:$AQ$55,2,FALSE))*IF('19.02'!$AK46="是",'19.02'!$BB$4,'19.02'!$BB$3))</f>
        <v>0</v>
      </c>
      <c r="B46" s="4">
        <f>IF(ISNUMBER(SEARCH("营",'19.02'!J46)),(-$Y46+50*IF('19.02'!$AK46="是",'19.02'!$BB$4,'19.02'!$BB$3)),(VLOOKUP('19.02'!J46,'19.02'!$AO$4:$AQ$55,2,FALSE))*IF('19.02'!$AK46="是",'19.02'!$BB$4,'19.02'!$BB$3))</f>
        <v>0</v>
      </c>
      <c r="C46" s="4">
        <f>IF(ISNUMBER(SEARCH("营",'19.02'!K46)),(-$Y46+50*IF('19.02'!$AK46="是",'19.02'!$BB$4,'19.02'!$BB$3)),(VLOOKUP('19.02'!K46,'19.02'!$AO$4:$AQ$55,2,FALSE))*IF('19.02'!$AK46="是",'19.02'!$BB$4,'19.02'!$BB$3))</f>
        <v>0</v>
      </c>
      <c r="D46" s="4">
        <f>IF(ISNUMBER(SEARCH("营",'19.02'!L46)),(-$Y46+50*IF('19.02'!$AK46="是",'19.02'!$BB$4,'19.02'!$BB$3)),(VLOOKUP('19.02'!L46,'19.02'!$AO$4:$AQ$55,2,FALSE))*IF('19.02'!$AK46="是",'19.02'!$BB$4,'19.02'!$BB$3))</f>
        <v>0</v>
      </c>
      <c r="E46" s="4">
        <f>IF(ISNUMBER(SEARCH("营",'19.02'!M46)),(-$Y46+50*IF('19.02'!$AK46="是",'19.02'!$BB$4,'19.02'!$BB$3)),(VLOOKUP('19.02'!M46,'19.02'!$AO$4:$AQ$55,2,FALSE))*IF('19.02'!$AK46="是",'19.02'!$BB$4,'19.02'!$BB$3))</f>
        <v>0</v>
      </c>
      <c r="F46" s="4">
        <f>IF(ISNUMBER(SEARCH("营",'19.02'!N46)),(-$Y46+50*IF('19.02'!$AK46="是",'19.02'!$BB$4,'19.02'!$BB$3)),(VLOOKUP('19.02'!N46,'19.02'!$AO$4:$AQ$55,2,FALSE))*IF('19.02'!$AK46="是",'19.02'!$BB$4,'19.02'!$BB$3))</f>
        <v>0</v>
      </c>
      <c r="G46" s="4">
        <f>IF(ISNUMBER(SEARCH("营",'19.02'!O46)),(-$Y46+50*IF('19.02'!$AK46="是",'19.02'!$BB$4,'19.02'!$BB$3)),(VLOOKUP('19.02'!O46,'19.02'!$AO$4:$AQ$55,2,FALSE))*IF('19.02'!$AK46="是",'19.02'!$BB$4,'19.02'!$BB$3))</f>
        <v>0</v>
      </c>
      <c r="H46" s="4">
        <f>IF(ISNUMBER(SEARCH("营",'19.02'!P46)),(-$Y46+50*IF('19.02'!$AK46="是",'19.02'!$BB$4,'19.02'!$BB$3)),(VLOOKUP('19.02'!P46,'19.02'!$AO$4:$AQ$55,2,FALSE))*IF('19.02'!$AK46="是",'19.02'!$BB$4,'19.02'!$BB$3))</f>
        <v>0</v>
      </c>
      <c r="I46" s="4">
        <f>IF(ISNUMBER(SEARCH("营",'19.02'!Q46)),(-$Y46+50*IF('19.02'!$AK46="是",'19.02'!$BB$4,'19.02'!$BB$3)),(VLOOKUP('19.02'!Q46,'19.02'!$AO$4:$AQ$55,2,FALSE))*IF('19.02'!$AK46="是",'19.02'!$BB$4,'19.02'!$BB$3))</f>
        <v>0</v>
      </c>
      <c r="J46" s="4">
        <f>IF(ISNUMBER(SEARCH("营",'19.02'!R46)),(-$Y46+50*IF('19.02'!$AK46="是",'19.02'!$BB$4,'19.02'!$BB$3)),(VLOOKUP('19.02'!R46,'19.02'!$AO$4:$AQ$55,2,FALSE))*IF('19.02'!$AK46="是",'19.02'!$BB$4,'19.02'!$BB$3))</f>
        <v>0</v>
      </c>
      <c r="K46" s="4">
        <f>IF(ISNUMBER(SEARCH("营",'19.02'!S46)),(-$Y46+50*IF('19.02'!$AK46="是",'19.02'!$BB$4,'19.02'!$BB$3)),(VLOOKUP('19.02'!S46,'19.02'!$AO$4:$AQ$55,2,FALSE))*IF('19.02'!$AK46="是",'19.02'!$BB$4,'19.02'!$BB$3))</f>
        <v>0</v>
      </c>
      <c r="L46" s="4">
        <f>IF(ISNUMBER(SEARCH("营",'19.02'!T46)),(-$Y46+50*IF('19.02'!$AK46="是",'19.02'!$BB$4,'19.02'!$BB$3)),(VLOOKUP('19.02'!T46,'19.02'!$AO$4:$AQ$55,2,FALSE))*IF('19.02'!$AK46="是",'19.02'!$BB$4,'19.02'!$BB$3))</f>
        <v>0</v>
      </c>
      <c r="M46" s="4">
        <f>IF(ISNUMBER(SEARCH("营",'19.02'!U46)),(-$Y46+50*IF('19.02'!$AK46="是",'19.02'!$BB$4,'19.02'!$BB$3)),(VLOOKUP('19.02'!U46,'19.02'!$AO$4:$AQ$55,2,FALSE))*IF('19.02'!$AK46="是",'19.02'!$BB$4,'19.02'!$BB$3))</f>
        <v>0</v>
      </c>
      <c r="N46" s="4">
        <f>IF(ISNUMBER(SEARCH("营",'19.02'!V46)),(-$Y46+50*IF('19.02'!$AK46="是",'19.02'!$BB$4,'19.02'!$BB$3)),(VLOOKUP('19.02'!V46,'19.02'!$AO$4:$AQ$55,2,FALSE))*IF('19.02'!$AK46="是",'19.02'!$BB$4,'19.02'!$BB$3))</f>
        <v>0</v>
      </c>
      <c r="O46" s="4">
        <f>IF(ISNUMBER(SEARCH("营",'19.02'!W46)),(-$Y46+50*IF('19.02'!$AK46="是",'19.02'!$BB$4,'19.02'!$BB$3)),(VLOOKUP('19.02'!W46,'19.02'!$AO$4:$AQ$55,2,FALSE))*IF('19.02'!$AK46="是",'19.02'!$BB$4,'19.02'!$BB$3))</f>
        <v>0</v>
      </c>
      <c r="P46" s="4">
        <f>IF(ISNUMBER(SEARCH("营",'19.02'!X46)),(-$Y46+50*IF('19.02'!$AK46="是",'19.02'!$BB$4,'19.02'!$BB$3)),(VLOOKUP('19.02'!X46,'19.02'!$AO$4:$AQ$55,2,FALSE))*IF('19.02'!$AK46="是",'19.02'!$BB$4,'19.02'!$BB$3))</f>
        <v>0</v>
      </c>
      <c r="Q46" s="4">
        <f>IF(ISNUMBER(SEARCH("营",'19.02'!Y46)),(-$Y46+50*IF('19.02'!$AK46="是",'19.02'!$BB$4,'19.02'!$BB$3)),(VLOOKUP('19.02'!Y46,'19.02'!$AO$4:$AQ$55,2,FALSE))*IF('19.02'!$AK46="是",'19.02'!$BB$4,'19.02'!$BB$3))</f>
        <v>0</v>
      </c>
      <c r="R46" s="4">
        <f>IF(ISNUMBER(SEARCH("营",'19.02'!Z46)),(-$Y46+50*IF('19.02'!$AK46="是",'19.02'!$BB$4,'19.02'!$BB$3)),(VLOOKUP('19.02'!Z46,'19.02'!$AO$4:$AQ$55,2,FALSE))*IF('19.02'!$AK46="是",'19.02'!$BB$4,'19.02'!$BB$3))</f>
        <v>0</v>
      </c>
      <c r="S46" s="4">
        <f>IF(ISNUMBER(SEARCH("营",'19.02'!AA46)),(-$Y46+50*IF('19.02'!$AK46="是",'19.02'!$BB$4,'19.02'!$BB$3)),(VLOOKUP('19.02'!AA46,'19.02'!$AO$4:$AQ$55,2,FALSE))*IF('19.02'!$AK46="是",'19.02'!$BB$4,'19.02'!$BB$3))</f>
        <v>0</v>
      </c>
      <c r="T46" s="4">
        <f>IF(ISNUMBER(SEARCH("营",'19.02'!AB46)),(-$Y46+50*IF('19.02'!$AK46="是",'19.02'!$BB$4,'19.02'!$BB$3)),(VLOOKUP('19.02'!AB46,'19.02'!$AO$4:$AQ$55,2,FALSE))*IF('19.02'!$AK46="是",'19.02'!$BB$4,'19.02'!$BB$3))</f>
        <v>0</v>
      </c>
      <c r="U46" s="4">
        <f>IF(ISNUMBER(SEARCH("营",'19.02'!AC46)),(-$Y46+50*IF('19.02'!$AK46="是",'19.02'!$BB$4,'19.02'!$BB$3)),(VLOOKUP('19.02'!AC46,'19.02'!$AO$4:$AQ$55,2,FALSE))*IF('19.02'!$AK46="是",'19.02'!$BB$4,'19.02'!$BB$3))</f>
        <v>0</v>
      </c>
      <c r="V46" s="4">
        <f>IF(ISNUMBER(SEARCH("营",'19.02'!AD46)),(-$Y46+50*IF('19.02'!$AK46="是",'19.02'!$BB$4,'19.02'!$BB$3)),(VLOOKUP('19.02'!AD46,'19.02'!$AO$4:$AQ$55,2,FALSE))*IF('19.02'!$AK46="是",'19.02'!$BB$4,'19.02'!$BB$3))</f>
        <v>0</v>
      </c>
      <c r="W46" s="4">
        <f>IF(ISNUMBER(SEARCH("营",'19.02'!AE46)),(-$Y46+50*IF('19.02'!$AK46="是",'19.02'!$BB$4,'19.02'!$BB$3)),(VLOOKUP('19.02'!AE46,'19.02'!$AO$4:$AQ$55,2,FALSE))*IF('19.02'!$AK46="是",'19.02'!$BB$4,'19.02'!$BB$3))</f>
        <v>0</v>
      </c>
      <c r="X46" s="4">
        <f>IF(ISNUMBER(SEARCH("营",'19.02'!AF46)),(-$Y46+50*IF('19.02'!$AK46="是",'19.02'!$BB$4,'19.02'!$BB$3)),(VLOOKUP('19.02'!AF46,'19.02'!$AO$4:$AQ$55,2,FALSE))*IF('19.02'!$AK46="是",'19.02'!$BB$4,'19.02'!$BB$3))</f>
        <v>0</v>
      </c>
      <c r="Y46" s="77">
        <v>150</v>
      </c>
      <c r="Z46" s="94">
        <v>45772</v>
      </c>
    </row>
    <row r="47" spans="1:26">
      <c r="A47" s="4">
        <f>IF(ISNUMBER(SEARCH("营",'19.02'!I47)),(-$Y47+50*IF('19.02'!$AK47="是",'19.02'!$BB$4,'19.02'!$BB$3)),(VLOOKUP('19.02'!I47,'19.02'!$AO$4:$AQ$55,2,FALSE))*IF('19.02'!$AK47="是",'19.02'!$BB$4,'19.02'!$BB$3))</f>
        <v>0</v>
      </c>
      <c r="B47" s="4">
        <f>IF(ISNUMBER(SEARCH("营",'19.02'!J47)),(-$Y47+50*IF('19.02'!$AK47="是",'19.02'!$BB$4,'19.02'!$BB$3)),(VLOOKUP('19.02'!J47,'19.02'!$AO$4:$AQ$55,2,FALSE))*IF('19.02'!$AK47="是",'19.02'!$BB$4,'19.02'!$BB$3))</f>
        <v>0</v>
      </c>
      <c r="C47" s="4">
        <f>IF(ISNUMBER(SEARCH("营",'19.02'!K47)),(-$Y47+50*IF('19.02'!$AK47="是",'19.02'!$BB$4,'19.02'!$BB$3)),(VLOOKUP('19.02'!K47,'19.02'!$AO$4:$AQ$55,2,FALSE))*IF('19.02'!$AK47="是",'19.02'!$BB$4,'19.02'!$BB$3))</f>
        <v>0</v>
      </c>
      <c r="D47" s="4">
        <f>IF(ISNUMBER(SEARCH("营",'19.02'!L47)),(-$Y47+50*IF('19.02'!$AK47="是",'19.02'!$BB$4,'19.02'!$BB$3)),(VLOOKUP('19.02'!L47,'19.02'!$AO$4:$AQ$55,2,FALSE))*IF('19.02'!$AK47="是",'19.02'!$BB$4,'19.02'!$BB$3))</f>
        <v>0</v>
      </c>
      <c r="E47" s="4">
        <f>IF(ISNUMBER(SEARCH("营",'19.02'!M47)),(-$Y47+50*IF('19.02'!$AK47="是",'19.02'!$BB$4,'19.02'!$BB$3)),(VLOOKUP('19.02'!M47,'19.02'!$AO$4:$AQ$55,2,FALSE))*IF('19.02'!$AK47="是",'19.02'!$BB$4,'19.02'!$BB$3))</f>
        <v>0</v>
      </c>
      <c r="F47" s="4">
        <f>IF(ISNUMBER(SEARCH("营",'19.02'!N47)),(-$Y47+50*IF('19.02'!$AK47="是",'19.02'!$BB$4,'19.02'!$BB$3)),(VLOOKUP('19.02'!N47,'19.02'!$AO$4:$AQ$55,2,FALSE))*IF('19.02'!$AK47="是",'19.02'!$BB$4,'19.02'!$BB$3))</f>
        <v>0</v>
      </c>
      <c r="G47" s="4">
        <f>IF(ISNUMBER(SEARCH("营",'19.02'!O47)),(-$Y47+50*IF('19.02'!$AK47="是",'19.02'!$BB$4,'19.02'!$BB$3)),(VLOOKUP('19.02'!O47,'19.02'!$AO$4:$AQ$55,2,FALSE))*IF('19.02'!$AK47="是",'19.02'!$BB$4,'19.02'!$BB$3))</f>
        <v>0</v>
      </c>
      <c r="H47" s="4">
        <f>IF(ISNUMBER(SEARCH("营",'19.02'!P47)),(-$Y47+50*IF('19.02'!$AK47="是",'19.02'!$BB$4,'19.02'!$BB$3)),(VLOOKUP('19.02'!P47,'19.02'!$AO$4:$AQ$55,2,FALSE))*IF('19.02'!$AK47="是",'19.02'!$BB$4,'19.02'!$BB$3))</f>
        <v>0</v>
      </c>
      <c r="I47" s="4">
        <f>IF(ISNUMBER(SEARCH("营",'19.02'!Q47)),(-$Y47+50*IF('19.02'!$AK47="是",'19.02'!$BB$4,'19.02'!$BB$3)),(VLOOKUP('19.02'!Q47,'19.02'!$AO$4:$AQ$55,2,FALSE))*IF('19.02'!$AK47="是",'19.02'!$BB$4,'19.02'!$BB$3))</f>
        <v>0</v>
      </c>
      <c r="J47" s="4">
        <f>IF(ISNUMBER(SEARCH("营",'19.02'!R47)),(-$Y47+50*IF('19.02'!$AK47="是",'19.02'!$BB$4,'19.02'!$BB$3)),(VLOOKUP('19.02'!R47,'19.02'!$AO$4:$AQ$55,2,FALSE))*IF('19.02'!$AK47="是",'19.02'!$BB$4,'19.02'!$BB$3))</f>
        <v>0</v>
      </c>
      <c r="K47" s="4">
        <f>IF(ISNUMBER(SEARCH("营",'19.02'!S47)),(-$Y47+50*IF('19.02'!$AK47="是",'19.02'!$BB$4,'19.02'!$BB$3)),(VLOOKUP('19.02'!S47,'19.02'!$AO$4:$AQ$55,2,FALSE))*IF('19.02'!$AK47="是",'19.02'!$BB$4,'19.02'!$BB$3))</f>
        <v>0</v>
      </c>
      <c r="L47" s="4">
        <f>IF(ISNUMBER(SEARCH("营",'19.02'!T47)),(-$Y47+50*IF('19.02'!$AK47="是",'19.02'!$BB$4,'19.02'!$BB$3)),(VLOOKUP('19.02'!T47,'19.02'!$AO$4:$AQ$55,2,FALSE))*IF('19.02'!$AK47="是",'19.02'!$BB$4,'19.02'!$BB$3))</f>
        <v>0</v>
      </c>
      <c r="M47" s="4">
        <f>IF(ISNUMBER(SEARCH("营",'19.02'!U47)),(-$Y47+50*IF('19.02'!$AK47="是",'19.02'!$BB$4,'19.02'!$BB$3)),(VLOOKUP('19.02'!U47,'19.02'!$AO$4:$AQ$55,2,FALSE))*IF('19.02'!$AK47="是",'19.02'!$BB$4,'19.02'!$BB$3))</f>
        <v>0</v>
      </c>
      <c r="N47" s="4">
        <f>IF(ISNUMBER(SEARCH("营",'19.02'!V47)),(-$Y47+50*IF('19.02'!$AK47="是",'19.02'!$BB$4,'19.02'!$BB$3)),(VLOOKUP('19.02'!V47,'19.02'!$AO$4:$AQ$55,2,FALSE))*IF('19.02'!$AK47="是",'19.02'!$BB$4,'19.02'!$BB$3))</f>
        <v>0</v>
      </c>
      <c r="O47" s="4">
        <f>IF(ISNUMBER(SEARCH("营",'19.02'!W47)),(-$Y47+50*IF('19.02'!$AK47="是",'19.02'!$BB$4,'19.02'!$BB$3)),(VLOOKUP('19.02'!W47,'19.02'!$AO$4:$AQ$55,2,FALSE))*IF('19.02'!$AK47="是",'19.02'!$BB$4,'19.02'!$BB$3))</f>
        <v>0</v>
      </c>
      <c r="P47" s="4">
        <f>IF(ISNUMBER(SEARCH("营",'19.02'!X47)),(-$Y47+50*IF('19.02'!$AK47="是",'19.02'!$BB$4,'19.02'!$BB$3)),(VLOOKUP('19.02'!X47,'19.02'!$AO$4:$AQ$55,2,FALSE))*IF('19.02'!$AK47="是",'19.02'!$BB$4,'19.02'!$BB$3))</f>
        <v>0</v>
      </c>
      <c r="Q47" s="4">
        <f>IF(ISNUMBER(SEARCH("营",'19.02'!Y47)),(-$Y47+50*IF('19.02'!$AK47="是",'19.02'!$BB$4,'19.02'!$BB$3)),(VLOOKUP('19.02'!Y47,'19.02'!$AO$4:$AQ$55,2,FALSE))*IF('19.02'!$AK47="是",'19.02'!$BB$4,'19.02'!$BB$3))</f>
        <v>0</v>
      </c>
      <c r="R47" s="4">
        <f>IF(ISNUMBER(SEARCH("营",'19.02'!Z47)),(-$Y47+50*IF('19.02'!$AK47="是",'19.02'!$BB$4,'19.02'!$BB$3)),(VLOOKUP('19.02'!Z47,'19.02'!$AO$4:$AQ$55,2,FALSE))*IF('19.02'!$AK47="是",'19.02'!$BB$4,'19.02'!$BB$3))</f>
        <v>0</v>
      </c>
      <c r="S47" s="4">
        <f>IF(ISNUMBER(SEARCH("营",'19.02'!AA47)),(-$Y47+50*IF('19.02'!$AK47="是",'19.02'!$BB$4,'19.02'!$BB$3)),(VLOOKUP('19.02'!AA47,'19.02'!$AO$4:$AQ$55,2,FALSE))*IF('19.02'!$AK47="是",'19.02'!$BB$4,'19.02'!$BB$3))</f>
        <v>0</v>
      </c>
      <c r="T47" s="4">
        <f>IF(ISNUMBER(SEARCH("营",'19.02'!AB47)),(-$Y47+50*IF('19.02'!$AK47="是",'19.02'!$BB$4,'19.02'!$BB$3)),(VLOOKUP('19.02'!AB47,'19.02'!$AO$4:$AQ$55,2,FALSE))*IF('19.02'!$AK47="是",'19.02'!$BB$4,'19.02'!$BB$3))</f>
        <v>0</v>
      </c>
      <c r="U47" s="4">
        <f>IF(ISNUMBER(SEARCH("营",'19.02'!AC47)),(-$Y47+50*IF('19.02'!$AK47="是",'19.02'!$BB$4,'19.02'!$BB$3)),(VLOOKUP('19.02'!AC47,'19.02'!$AO$4:$AQ$55,2,FALSE))*IF('19.02'!$AK47="是",'19.02'!$BB$4,'19.02'!$BB$3))</f>
        <v>0</v>
      </c>
      <c r="V47" s="4">
        <f>IF(ISNUMBER(SEARCH("营",'19.02'!AD47)),(-$Y47+50*IF('19.02'!$AK47="是",'19.02'!$BB$4,'19.02'!$BB$3)),(VLOOKUP('19.02'!AD47,'19.02'!$AO$4:$AQ$55,2,FALSE))*IF('19.02'!$AK47="是",'19.02'!$BB$4,'19.02'!$BB$3))</f>
        <v>0</v>
      </c>
      <c r="W47" s="4">
        <f>IF(ISNUMBER(SEARCH("营",'19.02'!AE47)),(-$Y47+50*IF('19.02'!$AK47="是",'19.02'!$BB$4,'19.02'!$BB$3)),(VLOOKUP('19.02'!AE47,'19.02'!$AO$4:$AQ$55,2,FALSE))*IF('19.02'!$AK47="是",'19.02'!$BB$4,'19.02'!$BB$3))</f>
        <v>0</v>
      </c>
      <c r="X47" s="4">
        <f>IF(ISNUMBER(SEARCH("营",'19.02'!AF47)),(-$Y47+50*IF('19.02'!$AK47="是",'19.02'!$BB$4,'19.02'!$BB$3)),(VLOOKUP('19.02'!AF47,'19.02'!$AO$4:$AQ$55,2,FALSE))*IF('19.02'!$AK47="是",'19.02'!$BB$4,'19.02'!$BB$3))</f>
        <v>0</v>
      </c>
      <c r="Y47" s="77">
        <v>150</v>
      </c>
      <c r="Z47" s="94">
        <v>45773</v>
      </c>
    </row>
    <row r="48" spans="1:26">
      <c r="A48" s="4">
        <f>IF(ISNUMBER(SEARCH("营",'19.02'!I48)),(-$Y48+50*IF('19.02'!$AK48="是",'19.02'!$BB$4,'19.02'!$BB$3)),(VLOOKUP('19.02'!I48,'19.02'!$AO$4:$AQ$55,2,FALSE))*IF('19.02'!$AK48="是",'19.02'!$BB$4,'19.02'!$BB$3))</f>
        <v>0</v>
      </c>
      <c r="B48" s="4">
        <f>IF(ISNUMBER(SEARCH("营",'19.02'!J48)),(-$Y48+50*IF('19.02'!$AK48="是",'19.02'!$BB$4,'19.02'!$BB$3)),(VLOOKUP('19.02'!J48,'19.02'!$AO$4:$AQ$55,2,FALSE))*IF('19.02'!$AK48="是",'19.02'!$BB$4,'19.02'!$BB$3))</f>
        <v>0</v>
      </c>
      <c r="C48" s="4">
        <f>IF(ISNUMBER(SEARCH("营",'19.02'!K48)),(-$Y48+50*IF('19.02'!$AK48="是",'19.02'!$BB$4,'19.02'!$BB$3)),(VLOOKUP('19.02'!K48,'19.02'!$AO$4:$AQ$55,2,FALSE))*IF('19.02'!$AK48="是",'19.02'!$BB$4,'19.02'!$BB$3))</f>
        <v>0</v>
      </c>
      <c r="D48" s="4">
        <f>IF(ISNUMBER(SEARCH("营",'19.02'!L48)),(-$Y48+50*IF('19.02'!$AK48="是",'19.02'!$BB$4,'19.02'!$BB$3)),(VLOOKUP('19.02'!L48,'19.02'!$AO$4:$AQ$55,2,FALSE))*IF('19.02'!$AK48="是",'19.02'!$BB$4,'19.02'!$BB$3))</f>
        <v>0</v>
      </c>
      <c r="E48" s="4">
        <f>IF(ISNUMBER(SEARCH("营",'19.02'!M48)),(-$Y48+50*IF('19.02'!$AK48="是",'19.02'!$BB$4,'19.02'!$BB$3)),(VLOOKUP('19.02'!M48,'19.02'!$AO$4:$AQ$55,2,FALSE))*IF('19.02'!$AK48="是",'19.02'!$BB$4,'19.02'!$BB$3))</f>
        <v>0</v>
      </c>
      <c r="F48" s="4">
        <f>IF(ISNUMBER(SEARCH("营",'19.02'!N48)),(-$Y48+50*IF('19.02'!$AK48="是",'19.02'!$BB$4,'19.02'!$BB$3)),(VLOOKUP('19.02'!N48,'19.02'!$AO$4:$AQ$55,2,FALSE))*IF('19.02'!$AK48="是",'19.02'!$BB$4,'19.02'!$BB$3))</f>
        <v>0</v>
      </c>
      <c r="G48" s="4">
        <f>IF(ISNUMBER(SEARCH("营",'19.02'!O48)),(-$Y48+50*IF('19.02'!$AK48="是",'19.02'!$BB$4,'19.02'!$BB$3)),(VLOOKUP('19.02'!O48,'19.02'!$AO$4:$AQ$55,2,FALSE))*IF('19.02'!$AK48="是",'19.02'!$BB$4,'19.02'!$BB$3))</f>
        <v>0</v>
      </c>
      <c r="H48" s="4">
        <f>IF(ISNUMBER(SEARCH("营",'19.02'!P48)),(-$Y48+50*IF('19.02'!$AK48="是",'19.02'!$BB$4,'19.02'!$BB$3)),(VLOOKUP('19.02'!P48,'19.02'!$AO$4:$AQ$55,2,FALSE))*IF('19.02'!$AK48="是",'19.02'!$BB$4,'19.02'!$BB$3))</f>
        <v>0</v>
      </c>
      <c r="I48" s="4">
        <f>IF(ISNUMBER(SEARCH("营",'19.02'!Q48)),(-$Y48+50*IF('19.02'!$AK48="是",'19.02'!$BB$4,'19.02'!$BB$3)),(VLOOKUP('19.02'!Q48,'19.02'!$AO$4:$AQ$55,2,FALSE))*IF('19.02'!$AK48="是",'19.02'!$BB$4,'19.02'!$BB$3))</f>
        <v>0</v>
      </c>
      <c r="J48" s="4">
        <f>IF(ISNUMBER(SEARCH("营",'19.02'!R48)),(-$Y48+50*IF('19.02'!$AK48="是",'19.02'!$BB$4,'19.02'!$BB$3)),(VLOOKUP('19.02'!R48,'19.02'!$AO$4:$AQ$55,2,FALSE))*IF('19.02'!$AK48="是",'19.02'!$BB$4,'19.02'!$BB$3))</f>
        <v>0</v>
      </c>
      <c r="K48" s="4">
        <f>IF(ISNUMBER(SEARCH("营",'19.02'!S48)),(-$Y48+50*IF('19.02'!$AK48="是",'19.02'!$BB$4,'19.02'!$BB$3)),(VLOOKUP('19.02'!S48,'19.02'!$AO$4:$AQ$55,2,FALSE))*IF('19.02'!$AK48="是",'19.02'!$BB$4,'19.02'!$BB$3))</f>
        <v>0</v>
      </c>
      <c r="L48" s="4">
        <f>IF(ISNUMBER(SEARCH("营",'19.02'!T48)),(-$Y48+50*IF('19.02'!$AK48="是",'19.02'!$BB$4,'19.02'!$BB$3)),(VLOOKUP('19.02'!T48,'19.02'!$AO$4:$AQ$55,2,FALSE))*IF('19.02'!$AK48="是",'19.02'!$BB$4,'19.02'!$BB$3))</f>
        <v>0</v>
      </c>
      <c r="M48" s="4">
        <f>IF(ISNUMBER(SEARCH("营",'19.02'!U48)),(-$Y48+50*IF('19.02'!$AK48="是",'19.02'!$BB$4,'19.02'!$BB$3)),(VLOOKUP('19.02'!U48,'19.02'!$AO$4:$AQ$55,2,FALSE))*IF('19.02'!$AK48="是",'19.02'!$BB$4,'19.02'!$BB$3))</f>
        <v>0</v>
      </c>
      <c r="N48" s="4">
        <f>IF(ISNUMBER(SEARCH("营",'19.02'!V48)),(-$Y48+50*IF('19.02'!$AK48="是",'19.02'!$BB$4,'19.02'!$BB$3)),(VLOOKUP('19.02'!V48,'19.02'!$AO$4:$AQ$55,2,FALSE))*IF('19.02'!$AK48="是",'19.02'!$BB$4,'19.02'!$BB$3))</f>
        <v>0</v>
      </c>
      <c r="O48" s="4">
        <f>IF(ISNUMBER(SEARCH("营",'19.02'!W48)),(-$Y48+50*IF('19.02'!$AK48="是",'19.02'!$BB$4,'19.02'!$BB$3)),(VLOOKUP('19.02'!W48,'19.02'!$AO$4:$AQ$55,2,FALSE))*IF('19.02'!$AK48="是",'19.02'!$BB$4,'19.02'!$BB$3))</f>
        <v>0</v>
      </c>
      <c r="P48" s="4">
        <f>IF(ISNUMBER(SEARCH("营",'19.02'!X48)),(-$Y48+50*IF('19.02'!$AK48="是",'19.02'!$BB$4,'19.02'!$BB$3)),(VLOOKUP('19.02'!X48,'19.02'!$AO$4:$AQ$55,2,FALSE))*IF('19.02'!$AK48="是",'19.02'!$BB$4,'19.02'!$BB$3))</f>
        <v>0</v>
      </c>
      <c r="Q48" s="4">
        <f>IF(ISNUMBER(SEARCH("营",'19.02'!Y48)),(-$Y48+50*IF('19.02'!$AK48="是",'19.02'!$BB$4,'19.02'!$BB$3)),(VLOOKUP('19.02'!Y48,'19.02'!$AO$4:$AQ$55,2,FALSE))*IF('19.02'!$AK48="是",'19.02'!$BB$4,'19.02'!$BB$3))</f>
        <v>0</v>
      </c>
      <c r="R48" s="4">
        <f>IF(ISNUMBER(SEARCH("营",'19.02'!Z48)),(-$Y48+50*IF('19.02'!$AK48="是",'19.02'!$BB$4,'19.02'!$BB$3)),(VLOOKUP('19.02'!Z48,'19.02'!$AO$4:$AQ$55,2,FALSE))*IF('19.02'!$AK48="是",'19.02'!$BB$4,'19.02'!$BB$3))</f>
        <v>0</v>
      </c>
      <c r="S48" s="4">
        <f>IF(ISNUMBER(SEARCH("营",'19.02'!AA48)),(-$Y48+50*IF('19.02'!$AK48="是",'19.02'!$BB$4,'19.02'!$BB$3)),(VLOOKUP('19.02'!AA48,'19.02'!$AO$4:$AQ$55,2,FALSE))*IF('19.02'!$AK48="是",'19.02'!$BB$4,'19.02'!$BB$3))</f>
        <v>0</v>
      </c>
      <c r="T48" s="4">
        <f>IF(ISNUMBER(SEARCH("营",'19.02'!AB48)),(-$Y48+50*IF('19.02'!$AK48="是",'19.02'!$BB$4,'19.02'!$BB$3)),(VLOOKUP('19.02'!AB48,'19.02'!$AO$4:$AQ$55,2,FALSE))*IF('19.02'!$AK48="是",'19.02'!$BB$4,'19.02'!$BB$3))</f>
        <v>0</v>
      </c>
      <c r="U48" s="4">
        <f>IF(ISNUMBER(SEARCH("营",'19.02'!AC48)),(-$Y48+50*IF('19.02'!$AK48="是",'19.02'!$BB$4,'19.02'!$BB$3)),(VLOOKUP('19.02'!AC48,'19.02'!$AO$4:$AQ$55,2,FALSE))*IF('19.02'!$AK48="是",'19.02'!$BB$4,'19.02'!$BB$3))</f>
        <v>0</v>
      </c>
      <c r="V48" s="4">
        <f>IF(ISNUMBER(SEARCH("营",'19.02'!AD48)),(-$Y48+50*IF('19.02'!$AK48="是",'19.02'!$BB$4,'19.02'!$BB$3)),(VLOOKUP('19.02'!AD48,'19.02'!$AO$4:$AQ$55,2,FALSE))*IF('19.02'!$AK48="是",'19.02'!$BB$4,'19.02'!$BB$3))</f>
        <v>0</v>
      </c>
      <c r="W48" s="4">
        <f>IF(ISNUMBER(SEARCH("营",'19.02'!AE48)),(-$Y48+50*IF('19.02'!$AK48="是",'19.02'!$BB$4,'19.02'!$BB$3)),(VLOOKUP('19.02'!AE48,'19.02'!$AO$4:$AQ$55,2,FALSE))*IF('19.02'!$AK48="是",'19.02'!$BB$4,'19.02'!$BB$3))</f>
        <v>0</v>
      </c>
      <c r="X48" s="4">
        <f>IF(ISNUMBER(SEARCH("营",'19.02'!AF48)),(-$Y48+50*IF('19.02'!$AK48="是",'19.02'!$BB$4,'19.02'!$BB$3)),(VLOOKUP('19.02'!AF48,'19.02'!$AO$4:$AQ$55,2,FALSE))*IF('19.02'!$AK48="是",'19.02'!$BB$4,'19.02'!$BB$3))</f>
        <v>0</v>
      </c>
      <c r="Y48" s="77">
        <v>150</v>
      </c>
      <c r="Z48" s="94">
        <v>45774</v>
      </c>
    </row>
    <row r="49" spans="1:26">
      <c r="A49" s="4">
        <f>IF(ISNUMBER(SEARCH("营",'19.02'!I49)),(-$Y49+50*IF('19.02'!$AK49="是",'19.02'!$BB$4,'19.02'!$BB$3)),(VLOOKUP('19.02'!I49,'19.02'!$AO$4:$AQ$55,2,FALSE))*IF('19.02'!$AK49="是",'19.02'!$BB$4,'19.02'!$BB$3))</f>
        <v>0</v>
      </c>
      <c r="B49" s="4">
        <f>IF(ISNUMBER(SEARCH("营",'19.02'!J49)),(-$Y49+50*IF('19.02'!$AK49="是",'19.02'!$BB$4,'19.02'!$BB$3)),(VLOOKUP('19.02'!J49,'19.02'!$AO$4:$AQ$55,2,FALSE))*IF('19.02'!$AK49="是",'19.02'!$BB$4,'19.02'!$BB$3))</f>
        <v>0</v>
      </c>
      <c r="C49" s="4">
        <f>IF(ISNUMBER(SEARCH("营",'19.02'!K49)),(-$Y49+50*IF('19.02'!$AK49="是",'19.02'!$BB$4,'19.02'!$BB$3)),(VLOOKUP('19.02'!K49,'19.02'!$AO$4:$AQ$55,2,FALSE))*IF('19.02'!$AK49="是",'19.02'!$BB$4,'19.02'!$BB$3))</f>
        <v>0</v>
      </c>
      <c r="D49" s="4">
        <f>IF(ISNUMBER(SEARCH("营",'19.02'!L49)),(-$Y49+50*IF('19.02'!$AK49="是",'19.02'!$BB$4,'19.02'!$BB$3)),(VLOOKUP('19.02'!L49,'19.02'!$AO$4:$AQ$55,2,FALSE))*IF('19.02'!$AK49="是",'19.02'!$BB$4,'19.02'!$BB$3))</f>
        <v>0</v>
      </c>
      <c r="E49" s="4">
        <f>IF(ISNUMBER(SEARCH("营",'19.02'!M49)),(-$Y49+50*IF('19.02'!$AK49="是",'19.02'!$BB$4,'19.02'!$BB$3)),(VLOOKUP('19.02'!M49,'19.02'!$AO$4:$AQ$55,2,FALSE))*IF('19.02'!$AK49="是",'19.02'!$BB$4,'19.02'!$BB$3))</f>
        <v>0</v>
      </c>
      <c r="F49" s="4">
        <f>IF(ISNUMBER(SEARCH("营",'19.02'!N49)),(-$Y49+50*IF('19.02'!$AK49="是",'19.02'!$BB$4,'19.02'!$BB$3)),(VLOOKUP('19.02'!N49,'19.02'!$AO$4:$AQ$55,2,FALSE))*IF('19.02'!$AK49="是",'19.02'!$BB$4,'19.02'!$BB$3))</f>
        <v>0</v>
      </c>
      <c r="G49" s="4">
        <f>IF(ISNUMBER(SEARCH("营",'19.02'!O49)),(-$Y49+50*IF('19.02'!$AK49="是",'19.02'!$BB$4,'19.02'!$BB$3)),(VLOOKUP('19.02'!O49,'19.02'!$AO$4:$AQ$55,2,FALSE))*IF('19.02'!$AK49="是",'19.02'!$BB$4,'19.02'!$BB$3))</f>
        <v>0</v>
      </c>
      <c r="H49" s="4">
        <f>IF(ISNUMBER(SEARCH("营",'19.02'!P49)),(-$Y49+50*IF('19.02'!$AK49="是",'19.02'!$BB$4,'19.02'!$BB$3)),(VLOOKUP('19.02'!P49,'19.02'!$AO$4:$AQ$55,2,FALSE))*IF('19.02'!$AK49="是",'19.02'!$BB$4,'19.02'!$BB$3))</f>
        <v>0</v>
      </c>
      <c r="I49" s="4">
        <f>IF(ISNUMBER(SEARCH("营",'19.02'!Q49)),(-$Y49+50*IF('19.02'!$AK49="是",'19.02'!$BB$4,'19.02'!$BB$3)),(VLOOKUP('19.02'!Q49,'19.02'!$AO$4:$AQ$55,2,FALSE))*IF('19.02'!$AK49="是",'19.02'!$BB$4,'19.02'!$BB$3))</f>
        <v>0</v>
      </c>
      <c r="J49" s="4">
        <f>IF(ISNUMBER(SEARCH("营",'19.02'!R49)),(-$Y49+50*IF('19.02'!$AK49="是",'19.02'!$BB$4,'19.02'!$BB$3)),(VLOOKUP('19.02'!R49,'19.02'!$AO$4:$AQ$55,2,FALSE))*IF('19.02'!$AK49="是",'19.02'!$BB$4,'19.02'!$BB$3))</f>
        <v>0</v>
      </c>
      <c r="K49" s="4">
        <f>IF(ISNUMBER(SEARCH("营",'19.02'!S49)),(-$Y49+50*IF('19.02'!$AK49="是",'19.02'!$BB$4,'19.02'!$BB$3)),(VLOOKUP('19.02'!S49,'19.02'!$AO$4:$AQ$55,2,FALSE))*IF('19.02'!$AK49="是",'19.02'!$BB$4,'19.02'!$BB$3))</f>
        <v>0</v>
      </c>
      <c r="L49" s="4">
        <f>IF(ISNUMBER(SEARCH("营",'19.02'!T49)),(-$Y49+50*IF('19.02'!$AK49="是",'19.02'!$BB$4,'19.02'!$BB$3)),(VLOOKUP('19.02'!T49,'19.02'!$AO$4:$AQ$55,2,FALSE))*IF('19.02'!$AK49="是",'19.02'!$BB$4,'19.02'!$BB$3))</f>
        <v>0</v>
      </c>
      <c r="M49" s="4">
        <f>IF(ISNUMBER(SEARCH("营",'19.02'!U49)),(-$Y49+50*IF('19.02'!$AK49="是",'19.02'!$BB$4,'19.02'!$BB$3)),(VLOOKUP('19.02'!U49,'19.02'!$AO$4:$AQ$55,2,FALSE))*IF('19.02'!$AK49="是",'19.02'!$BB$4,'19.02'!$BB$3))</f>
        <v>0</v>
      </c>
      <c r="N49" s="4">
        <f>IF(ISNUMBER(SEARCH("营",'19.02'!V49)),(-$Y49+50*IF('19.02'!$AK49="是",'19.02'!$BB$4,'19.02'!$BB$3)),(VLOOKUP('19.02'!V49,'19.02'!$AO$4:$AQ$55,2,FALSE))*IF('19.02'!$AK49="是",'19.02'!$BB$4,'19.02'!$BB$3))</f>
        <v>0</v>
      </c>
      <c r="O49" s="4">
        <f>IF(ISNUMBER(SEARCH("营",'19.02'!W49)),(-$Y49+50*IF('19.02'!$AK49="是",'19.02'!$BB$4,'19.02'!$BB$3)),(VLOOKUP('19.02'!W49,'19.02'!$AO$4:$AQ$55,2,FALSE))*IF('19.02'!$AK49="是",'19.02'!$BB$4,'19.02'!$BB$3))</f>
        <v>0</v>
      </c>
      <c r="P49" s="4">
        <f>IF(ISNUMBER(SEARCH("营",'19.02'!X49)),(-$Y49+50*IF('19.02'!$AK49="是",'19.02'!$BB$4,'19.02'!$BB$3)),(VLOOKUP('19.02'!X49,'19.02'!$AO$4:$AQ$55,2,FALSE))*IF('19.02'!$AK49="是",'19.02'!$BB$4,'19.02'!$BB$3))</f>
        <v>0</v>
      </c>
      <c r="Q49" s="4">
        <f>IF(ISNUMBER(SEARCH("营",'19.02'!Y49)),(-$Y49+50*IF('19.02'!$AK49="是",'19.02'!$BB$4,'19.02'!$BB$3)),(VLOOKUP('19.02'!Y49,'19.02'!$AO$4:$AQ$55,2,FALSE))*IF('19.02'!$AK49="是",'19.02'!$BB$4,'19.02'!$BB$3))</f>
        <v>0</v>
      </c>
      <c r="R49" s="4">
        <f>IF(ISNUMBER(SEARCH("营",'19.02'!Z49)),(-$Y49+50*IF('19.02'!$AK49="是",'19.02'!$BB$4,'19.02'!$BB$3)),(VLOOKUP('19.02'!Z49,'19.02'!$AO$4:$AQ$55,2,FALSE))*IF('19.02'!$AK49="是",'19.02'!$BB$4,'19.02'!$BB$3))</f>
        <v>0</v>
      </c>
      <c r="S49" s="4">
        <f>IF(ISNUMBER(SEARCH("营",'19.02'!AA49)),(-$Y49+50*IF('19.02'!$AK49="是",'19.02'!$BB$4,'19.02'!$BB$3)),(VLOOKUP('19.02'!AA49,'19.02'!$AO$4:$AQ$55,2,FALSE))*IF('19.02'!$AK49="是",'19.02'!$BB$4,'19.02'!$BB$3))</f>
        <v>0</v>
      </c>
      <c r="T49" s="4">
        <f>IF(ISNUMBER(SEARCH("营",'19.02'!AB49)),(-$Y49+50*IF('19.02'!$AK49="是",'19.02'!$BB$4,'19.02'!$BB$3)),(VLOOKUP('19.02'!AB49,'19.02'!$AO$4:$AQ$55,2,FALSE))*IF('19.02'!$AK49="是",'19.02'!$BB$4,'19.02'!$BB$3))</f>
        <v>0</v>
      </c>
      <c r="U49" s="4">
        <f>IF(ISNUMBER(SEARCH("营",'19.02'!AC49)),(-$Y49+50*IF('19.02'!$AK49="是",'19.02'!$BB$4,'19.02'!$BB$3)),(VLOOKUP('19.02'!AC49,'19.02'!$AO$4:$AQ$55,2,FALSE))*IF('19.02'!$AK49="是",'19.02'!$BB$4,'19.02'!$BB$3))</f>
        <v>0</v>
      </c>
      <c r="V49" s="4">
        <f>IF(ISNUMBER(SEARCH("营",'19.02'!AD49)),(-$Y49+50*IF('19.02'!$AK49="是",'19.02'!$BB$4,'19.02'!$BB$3)),(VLOOKUP('19.02'!AD49,'19.02'!$AO$4:$AQ$55,2,FALSE))*IF('19.02'!$AK49="是",'19.02'!$BB$4,'19.02'!$BB$3))</f>
        <v>0</v>
      </c>
      <c r="W49" s="4">
        <f>IF(ISNUMBER(SEARCH("营",'19.02'!AE49)),(-$Y49+50*IF('19.02'!$AK49="是",'19.02'!$BB$4,'19.02'!$BB$3)),(VLOOKUP('19.02'!AE49,'19.02'!$AO$4:$AQ$55,2,FALSE))*IF('19.02'!$AK49="是",'19.02'!$BB$4,'19.02'!$BB$3))</f>
        <v>0</v>
      </c>
      <c r="X49" s="4">
        <f>IF(ISNUMBER(SEARCH("营",'19.02'!AF49)),(-$Y49+50*IF('19.02'!$AK49="是",'19.02'!$BB$4,'19.02'!$BB$3)),(VLOOKUP('19.02'!AF49,'19.02'!$AO$4:$AQ$55,2,FALSE))*IF('19.02'!$AK49="是",'19.02'!$BB$4,'19.02'!$BB$3))</f>
        <v>0</v>
      </c>
      <c r="Y49" s="77">
        <v>150</v>
      </c>
      <c r="Z49" s="94">
        <v>45775</v>
      </c>
    </row>
    <row r="50" spans="1:26">
      <c r="A50" s="4">
        <f>IF(ISNUMBER(SEARCH("营",'19.02'!I50)),(-$Y50+50*IF('19.02'!$AK50="是",'19.02'!$BB$4,'19.02'!$BB$3)),(VLOOKUP('19.02'!I50,'19.02'!$AO$4:$AQ$55,2,FALSE))*IF('19.02'!$AK50="是",'19.02'!$BB$4,'19.02'!$BB$3))</f>
        <v>0</v>
      </c>
      <c r="B50" s="4">
        <f>IF(ISNUMBER(SEARCH("营",'19.02'!J50)),(-$Y50+50*IF('19.02'!$AK50="是",'19.02'!$BB$4,'19.02'!$BB$3)),(VLOOKUP('19.02'!J50,'19.02'!$AO$4:$AQ$55,2,FALSE))*IF('19.02'!$AK50="是",'19.02'!$BB$4,'19.02'!$BB$3))</f>
        <v>0</v>
      </c>
      <c r="C50" s="4">
        <f>IF(ISNUMBER(SEARCH("营",'19.02'!K50)),(-$Y50+50*IF('19.02'!$AK50="是",'19.02'!$BB$4,'19.02'!$BB$3)),(VLOOKUP('19.02'!K50,'19.02'!$AO$4:$AQ$55,2,FALSE))*IF('19.02'!$AK50="是",'19.02'!$BB$4,'19.02'!$BB$3))</f>
        <v>0</v>
      </c>
      <c r="D50" s="4">
        <f>IF(ISNUMBER(SEARCH("营",'19.02'!L50)),(-$Y50+50*IF('19.02'!$AK50="是",'19.02'!$BB$4,'19.02'!$BB$3)),(VLOOKUP('19.02'!L50,'19.02'!$AO$4:$AQ$55,2,FALSE))*IF('19.02'!$AK50="是",'19.02'!$BB$4,'19.02'!$BB$3))</f>
        <v>0</v>
      </c>
      <c r="E50" s="4">
        <f>IF(ISNUMBER(SEARCH("营",'19.02'!M50)),(-$Y50+50*IF('19.02'!$AK50="是",'19.02'!$BB$4,'19.02'!$BB$3)),(VLOOKUP('19.02'!M50,'19.02'!$AO$4:$AQ$55,2,FALSE))*IF('19.02'!$AK50="是",'19.02'!$BB$4,'19.02'!$BB$3))</f>
        <v>0</v>
      </c>
      <c r="F50" s="4">
        <f>IF(ISNUMBER(SEARCH("营",'19.02'!N50)),(-$Y50+50*IF('19.02'!$AK50="是",'19.02'!$BB$4,'19.02'!$BB$3)),(VLOOKUP('19.02'!N50,'19.02'!$AO$4:$AQ$55,2,FALSE))*IF('19.02'!$AK50="是",'19.02'!$BB$4,'19.02'!$BB$3))</f>
        <v>0</v>
      </c>
      <c r="G50" s="4">
        <f>IF(ISNUMBER(SEARCH("营",'19.02'!O50)),(-$Y50+50*IF('19.02'!$AK50="是",'19.02'!$BB$4,'19.02'!$BB$3)),(VLOOKUP('19.02'!O50,'19.02'!$AO$4:$AQ$55,2,FALSE))*IF('19.02'!$AK50="是",'19.02'!$BB$4,'19.02'!$BB$3))</f>
        <v>0</v>
      </c>
      <c r="H50" s="4">
        <f>IF(ISNUMBER(SEARCH("营",'19.02'!P50)),(-$Y50+50*IF('19.02'!$AK50="是",'19.02'!$BB$4,'19.02'!$BB$3)),(VLOOKUP('19.02'!P50,'19.02'!$AO$4:$AQ$55,2,FALSE))*IF('19.02'!$AK50="是",'19.02'!$BB$4,'19.02'!$BB$3))</f>
        <v>0</v>
      </c>
      <c r="I50" s="4">
        <f>IF(ISNUMBER(SEARCH("营",'19.02'!Q50)),(-$Y50+50*IF('19.02'!$AK50="是",'19.02'!$BB$4,'19.02'!$BB$3)),(VLOOKUP('19.02'!Q50,'19.02'!$AO$4:$AQ$55,2,FALSE))*IF('19.02'!$AK50="是",'19.02'!$BB$4,'19.02'!$BB$3))</f>
        <v>0</v>
      </c>
      <c r="J50" s="4">
        <f>IF(ISNUMBER(SEARCH("营",'19.02'!R50)),(-$Y50+50*IF('19.02'!$AK50="是",'19.02'!$BB$4,'19.02'!$BB$3)),(VLOOKUP('19.02'!R50,'19.02'!$AO$4:$AQ$55,2,FALSE))*IF('19.02'!$AK50="是",'19.02'!$BB$4,'19.02'!$BB$3))</f>
        <v>0</v>
      </c>
      <c r="K50" s="4">
        <f>IF(ISNUMBER(SEARCH("营",'19.02'!S50)),(-$Y50+50*IF('19.02'!$AK50="是",'19.02'!$BB$4,'19.02'!$BB$3)),(VLOOKUP('19.02'!S50,'19.02'!$AO$4:$AQ$55,2,FALSE))*IF('19.02'!$AK50="是",'19.02'!$BB$4,'19.02'!$BB$3))</f>
        <v>0</v>
      </c>
      <c r="L50" s="4">
        <f>IF(ISNUMBER(SEARCH("营",'19.02'!T50)),(-$Y50+50*IF('19.02'!$AK50="是",'19.02'!$BB$4,'19.02'!$BB$3)),(VLOOKUP('19.02'!T50,'19.02'!$AO$4:$AQ$55,2,FALSE))*IF('19.02'!$AK50="是",'19.02'!$BB$4,'19.02'!$BB$3))</f>
        <v>0</v>
      </c>
      <c r="M50" s="4">
        <f>IF(ISNUMBER(SEARCH("营",'19.02'!U50)),(-$Y50+50*IF('19.02'!$AK50="是",'19.02'!$BB$4,'19.02'!$BB$3)),(VLOOKUP('19.02'!U50,'19.02'!$AO$4:$AQ$55,2,FALSE))*IF('19.02'!$AK50="是",'19.02'!$BB$4,'19.02'!$BB$3))</f>
        <v>0</v>
      </c>
      <c r="N50" s="4">
        <f>IF(ISNUMBER(SEARCH("营",'19.02'!V50)),(-$Y50+50*IF('19.02'!$AK50="是",'19.02'!$BB$4,'19.02'!$BB$3)),(VLOOKUP('19.02'!V50,'19.02'!$AO$4:$AQ$55,2,FALSE))*IF('19.02'!$AK50="是",'19.02'!$BB$4,'19.02'!$BB$3))</f>
        <v>0</v>
      </c>
      <c r="O50" s="4">
        <f>IF(ISNUMBER(SEARCH("营",'19.02'!W50)),(-$Y50+50*IF('19.02'!$AK50="是",'19.02'!$BB$4,'19.02'!$BB$3)),(VLOOKUP('19.02'!W50,'19.02'!$AO$4:$AQ$55,2,FALSE))*IF('19.02'!$AK50="是",'19.02'!$BB$4,'19.02'!$BB$3))</f>
        <v>0</v>
      </c>
      <c r="P50" s="4">
        <f>IF(ISNUMBER(SEARCH("营",'19.02'!X50)),(-$Y50+50*IF('19.02'!$AK50="是",'19.02'!$BB$4,'19.02'!$BB$3)),(VLOOKUP('19.02'!X50,'19.02'!$AO$4:$AQ$55,2,FALSE))*IF('19.02'!$AK50="是",'19.02'!$BB$4,'19.02'!$BB$3))</f>
        <v>0</v>
      </c>
      <c r="Q50" s="4">
        <f>IF(ISNUMBER(SEARCH("营",'19.02'!Y50)),(-$Y50+50*IF('19.02'!$AK50="是",'19.02'!$BB$4,'19.02'!$BB$3)),(VLOOKUP('19.02'!Y50,'19.02'!$AO$4:$AQ$55,2,FALSE))*IF('19.02'!$AK50="是",'19.02'!$BB$4,'19.02'!$BB$3))</f>
        <v>0</v>
      </c>
      <c r="R50" s="4">
        <f>IF(ISNUMBER(SEARCH("营",'19.02'!Z50)),(-$Y50+50*IF('19.02'!$AK50="是",'19.02'!$BB$4,'19.02'!$BB$3)),(VLOOKUP('19.02'!Z50,'19.02'!$AO$4:$AQ$55,2,FALSE))*IF('19.02'!$AK50="是",'19.02'!$BB$4,'19.02'!$BB$3))</f>
        <v>0</v>
      </c>
      <c r="S50" s="4">
        <f>IF(ISNUMBER(SEARCH("营",'19.02'!AA50)),(-$Y50+50*IF('19.02'!$AK50="是",'19.02'!$BB$4,'19.02'!$BB$3)),(VLOOKUP('19.02'!AA50,'19.02'!$AO$4:$AQ$55,2,FALSE))*IF('19.02'!$AK50="是",'19.02'!$BB$4,'19.02'!$BB$3))</f>
        <v>0</v>
      </c>
      <c r="T50" s="4">
        <f>IF(ISNUMBER(SEARCH("营",'19.02'!AB50)),(-$Y50+50*IF('19.02'!$AK50="是",'19.02'!$BB$4,'19.02'!$BB$3)),(VLOOKUP('19.02'!AB50,'19.02'!$AO$4:$AQ$55,2,FALSE))*IF('19.02'!$AK50="是",'19.02'!$BB$4,'19.02'!$BB$3))</f>
        <v>0</v>
      </c>
      <c r="U50" s="4">
        <f>IF(ISNUMBER(SEARCH("营",'19.02'!AC50)),(-$Y50+50*IF('19.02'!$AK50="是",'19.02'!$BB$4,'19.02'!$BB$3)),(VLOOKUP('19.02'!AC50,'19.02'!$AO$4:$AQ$55,2,FALSE))*IF('19.02'!$AK50="是",'19.02'!$BB$4,'19.02'!$BB$3))</f>
        <v>0</v>
      </c>
      <c r="V50" s="4">
        <f>IF(ISNUMBER(SEARCH("营",'19.02'!AD50)),(-$Y50+50*IF('19.02'!$AK50="是",'19.02'!$BB$4,'19.02'!$BB$3)),(VLOOKUP('19.02'!AD50,'19.02'!$AO$4:$AQ$55,2,FALSE))*IF('19.02'!$AK50="是",'19.02'!$BB$4,'19.02'!$BB$3))</f>
        <v>0</v>
      </c>
      <c r="W50" s="4">
        <f>IF(ISNUMBER(SEARCH("营",'19.02'!AE50)),(-$Y50+50*IF('19.02'!$AK50="是",'19.02'!$BB$4,'19.02'!$BB$3)),(VLOOKUP('19.02'!AE50,'19.02'!$AO$4:$AQ$55,2,FALSE))*IF('19.02'!$AK50="是",'19.02'!$BB$4,'19.02'!$BB$3))</f>
        <v>0</v>
      </c>
      <c r="X50" s="4">
        <f>IF(ISNUMBER(SEARCH("营",'19.02'!AF50)),(-$Y50+50*IF('19.02'!$AK50="是",'19.02'!$BB$4,'19.02'!$BB$3)),(VLOOKUP('19.02'!AF50,'19.02'!$AO$4:$AQ$55,2,FALSE))*IF('19.02'!$AK50="是",'19.02'!$BB$4,'19.02'!$BB$3))</f>
        <v>0</v>
      </c>
      <c r="Y50" s="77">
        <v>150</v>
      </c>
      <c r="Z50" s="94">
        <v>45776</v>
      </c>
    </row>
    <row r="51" spans="1:26">
      <c r="A51" s="4">
        <f>IF(ISNUMBER(SEARCH("营",'19.02'!I51)),(-$Y51+50*IF('19.02'!$AK51="是",'19.02'!$BB$4,'19.02'!$BB$3)),(VLOOKUP('19.02'!I51,'19.02'!$AO$4:$AQ$55,2,FALSE))*IF('19.02'!$AK51="是",'19.02'!$BB$4,'19.02'!$BB$3))</f>
        <v>0</v>
      </c>
      <c r="B51" s="4">
        <f>IF(ISNUMBER(SEARCH("营",'19.02'!J51)),(-$Y51+50*IF('19.02'!$AK51="是",'19.02'!$BB$4,'19.02'!$BB$3)),(VLOOKUP('19.02'!J51,'19.02'!$AO$4:$AQ$55,2,FALSE))*IF('19.02'!$AK51="是",'19.02'!$BB$4,'19.02'!$BB$3))</f>
        <v>0</v>
      </c>
      <c r="C51" s="4">
        <f>IF(ISNUMBER(SEARCH("营",'19.02'!K51)),(-$Y51+50*IF('19.02'!$AK51="是",'19.02'!$BB$4,'19.02'!$BB$3)),(VLOOKUP('19.02'!K51,'19.02'!$AO$4:$AQ$55,2,FALSE))*IF('19.02'!$AK51="是",'19.02'!$BB$4,'19.02'!$BB$3))</f>
        <v>0</v>
      </c>
      <c r="D51" s="4">
        <f>IF(ISNUMBER(SEARCH("营",'19.02'!L51)),(-$Y51+50*IF('19.02'!$AK51="是",'19.02'!$BB$4,'19.02'!$BB$3)),(VLOOKUP('19.02'!L51,'19.02'!$AO$4:$AQ$55,2,FALSE))*IF('19.02'!$AK51="是",'19.02'!$BB$4,'19.02'!$BB$3))</f>
        <v>0</v>
      </c>
      <c r="E51" s="4">
        <f>IF(ISNUMBER(SEARCH("营",'19.02'!M51)),(-$Y51+50*IF('19.02'!$AK51="是",'19.02'!$BB$4,'19.02'!$BB$3)),(VLOOKUP('19.02'!M51,'19.02'!$AO$4:$AQ$55,2,FALSE))*IF('19.02'!$AK51="是",'19.02'!$BB$4,'19.02'!$BB$3))</f>
        <v>0</v>
      </c>
      <c r="F51" s="4">
        <f>IF(ISNUMBER(SEARCH("营",'19.02'!N51)),(-$Y51+50*IF('19.02'!$AK51="是",'19.02'!$BB$4,'19.02'!$BB$3)),(VLOOKUP('19.02'!N51,'19.02'!$AO$4:$AQ$55,2,FALSE))*IF('19.02'!$AK51="是",'19.02'!$BB$4,'19.02'!$BB$3))</f>
        <v>0</v>
      </c>
      <c r="G51" s="4">
        <f>IF(ISNUMBER(SEARCH("营",'19.02'!O51)),(-$Y51+50*IF('19.02'!$AK51="是",'19.02'!$BB$4,'19.02'!$BB$3)),(VLOOKUP('19.02'!O51,'19.02'!$AO$4:$AQ$55,2,FALSE))*IF('19.02'!$AK51="是",'19.02'!$BB$4,'19.02'!$BB$3))</f>
        <v>0</v>
      </c>
      <c r="H51" s="4">
        <f>IF(ISNUMBER(SEARCH("营",'19.02'!P51)),(-$Y51+50*IF('19.02'!$AK51="是",'19.02'!$BB$4,'19.02'!$BB$3)),(VLOOKUP('19.02'!P51,'19.02'!$AO$4:$AQ$55,2,FALSE))*IF('19.02'!$AK51="是",'19.02'!$BB$4,'19.02'!$BB$3))</f>
        <v>0</v>
      </c>
      <c r="I51" s="4">
        <f>IF(ISNUMBER(SEARCH("营",'19.02'!Q51)),(-$Y51+50*IF('19.02'!$AK51="是",'19.02'!$BB$4,'19.02'!$BB$3)),(VLOOKUP('19.02'!Q51,'19.02'!$AO$4:$AQ$55,2,FALSE))*IF('19.02'!$AK51="是",'19.02'!$BB$4,'19.02'!$BB$3))</f>
        <v>0</v>
      </c>
      <c r="J51" s="4">
        <f>IF(ISNUMBER(SEARCH("营",'19.02'!R51)),(-$Y51+50*IF('19.02'!$AK51="是",'19.02'!$BB$4,'19.02'!$BB$3)),(VLOOKUP('19.02'!R51,'19.02'!$AO$4:$AQ$55,2,FALSE))*IF('19.02'!$AK51="是",'19.02'!$BB$4,'19.02'!$BB$3))</f>
        <v>0</v>
      </c>
      <c r="K51" s="4">
        <f>IF(ISNUMBER(SEARCH("营",'19.02'!S51)),(-$Y51+50*IF('19.02'!$AK51="是",'19.02'!$BB$4,'19.02'!$BB$3)),(VLOOKUP('19.02'!S51,'19.02'!$AO$4:$AQ$55,2,FALSE))*IF('19.02'!$AK51="是",'19.02'!$BB$4,'19.02'!$BB$3))</f>
        <v>0</v>
      </c>
      <c r="L51" s="4">
        <f>IF(ISNUMBER(SEARCH("营",'19.02'!T51)),(-$Y51+50*IF('19.02'!$AK51="是",'19.02'!$BB$4,'19.02'!$BB$3)),(VLOOKUP('19.02'!T51,'19.02'!$AO$4:$AQ$55,2,FALSE))*IF('19.02'!$AK51="是",'19.02'!$BB$4,'19.02'!$BB$3))</f>
        <v>0</v>
      </c>
      <c r="M51" s="4">
        <f>IF(ISNUMBER(SEARCH("营",'19.02'!U51)),(-$Y51+50*IF('19.02'!$AK51="是",'19.02'!$BB$4,'19.02'!$BB$3)),(VLOOKUP('19.02'!U51,'19.02'!$AO$4:$AQ$55,2,FALSE))*IF('19.02'!$AK51="是",'19.02'!$BB$4,'19.02'!$BB$3))</f>
        <v>0</v>
      </c>
      <c r="N51" s="4">
        <f>IF(ISNUMBER(SEARCH("营",'19.02'!V51)),(-$Y51+50*IF('19.02'!$AK51="是",'19.02'!$BB$4,'19.02'!$BB$3)),(VLOOKUP('19.02'!V51,'19.02'!$AO$4:$AQ$55,2,FALSE))*IF('19.02'!$AK51="是",'19.02'!$BB$4,'19.02'!$BB$3))</f>
        <v>0</v>
      </c>
      <c r="O51" s="4">
        <f>IF(ISNUMBER(SEARCH("营",'19.02'!W51)),(-$Y51+50*IF('19.02'!$AK51="是",'19.02'!$BB$4,'19.02'!$BB$3)),(VLOOKUP('19.02'!W51,'19.02'!$AO$4:$AQ$55,2,FALSE))*IF('19.02'!$AK51="是",'19.02'!$BB$4,'19.02'!$BB$3))</f>
        <v>0</v>
      </c>
      <c r="P51" s="4">
        <f>IF(ISNUMBER(SEARCH("营",'19.02'!X51)),(-$Y51+50*IF('19.02'!$AK51="是",'19.02'!$BB$4,'19.02'!$BB$3)),(VLOOKUP('19.02'!X51,'19.02'!$AO$4:$AQ$55,2,FALSE))*IF('19.02'!$AK51="是",'19.02'!$BB$4,'19.02'!$BB$3))</f>
        <v>0</v>
      </c>
      <c r="Q51" s="4">
        <f>IF(ISNUMBER(SEARCH("营",'19.02'!Y51)),(-$Y51+50*IF('19.02'!$AK51="是",'19.02'!$BB$4,'19.02'!$BB$3)),(VLOOKUP('19.02'!Y51,'19.02'!$AO$4:$AQ$55,2,FALSE))*IF('19.02'!$AK51="是",'19.02'!$BB$4,'19.02'!$BB$3))</f>
        <v>0</v>
      </c>
      <c r="R51" s="4">
        <f>IF(ISNUMBER(SEARCH("营",'19.02'!Z51)),(-$Y51+50*IF('19.02'!$AK51="是",'19.02'!$BB$4,'19.02'!$BB$3)),(VLOOKUP('19.02'!Z51,'19.02'!$AO$4:$AQ$55,2,FALSE))*IF('19.02'!$AK51="是",'19.02'!$BB$4,'19.02'!$BB$3))</f>
        <v>0</v>
      </c>
      <c r="S51" s="4">
        <f>IF(ISNUMBER(SEARCH("营",'19.02'!AA51)),(-$Y51+50*IF('19.02'!$AK51="是",'19.02'!$BB$4,'19.02'!$BB$3)),(VLOOKUP('19.02'!AA51,'19.02'!$AO$4:$AQ$55,2,FALSE))*IF('19.02'!$AK51="是",'19.02'!$BB$4,'19.02'!$BB$3))</f>
        <v>0</v>
      </c>
      <c r="T51" s="4">
        <f>IF(ISNUMBER(SEARCH("营",'19.02'!AB51)),(-$Y51+50*IF('19.02'!$AK51="是",'19.02'!$BB$4,'19.02'!$BB$3)),(VLOOKUP('19.02'!AB51,'19.02'!$AO$4:$AQ$55,2,FALSE))*IF('19.02'!$AK51="是",'19.02'!$BB$4,'19.02'!$BB$3))</f>
        <v>0</v>
      </c>
      <c r="U51" s="4">
        <f>IF(ISNUMBER(SEARCH("营",'19.02'!AC51)),(-$Y51+50*IF('19.02'!$AK51="是",'19.02'!$BB$4,'19.02'!$BB$3)),(VLOOKUP('19.02'!AC51,'19.02'!$AO$4:$AQ$55,2,FALSE))*IF('19.02'!$AK51="是",'19.02'!$BB$4,'19.02'!$BB$3))</f>
        <v>0</v>
      </c>
      <c r="V51" s="4">
        <f>IF(ISNUMBER(SEARCH("营",'19.02'!AD51)),(-$Y51+50*IF('19.02'!$AK51="是",'19.02'!$BB$4,'19.02'!$BB$3)),(VLOOKUP('19.02'!AD51,'19.02'!$AO$4:$AQ$55,2,FALSE))*IF('19.02'!$AK51="是",'19.02'!$BB$4,'19.02'!$BB$3))</f>
        <v>0</v>
      </c>
      <c r="W51" s="4">
        <f>IF(ISNUMBER(SEARCH("营",'19.02'!AE51)),(-$Y51+50*IF('19.02'!$AK51="是",'19.02'!$BB$4,'19.02'!$BB$3)),(VLOOKUP('19.02'!AE51,'19.02'!$AO$4:$AQ$55,2,FALSE))*IF('19.02'!$AK51="是",'19.02'!$BB$4,'19.02'!$BB$3))</f>
        <v>0</v>
      </c>
      <c r="X51" s="4">
        <f>IF(ISNUMBER(SEARCH("营",'19.02'!AF51)),(-$Y51+50*IF('19.02'!$AK51="是",'19.02'!$BB$4,'19.02'!$BB$3)),(VLOOKUP('19.02'!AF51,'19.02'!$AO$4:$AQ$55,2,FALSE))*IF('19.02'!$AK51="是",'19.02'!$BB$4,'19.02'!$BB$3))</f>
        <v>0</v>
      </c>
      <c r="Y51" s="77">
        <v>150</v>
      </c>
      <c r="Z51" s="94">
        <v>45777</v>
      </c>
    </row>
    <row r="52" spans="1:26">
      <c r="A52" s="4">
        <f>IF(ISNUMBER(SEARCH("营",'19.02'!I52)),(-$Y52+50*IF('19.02'!$AK52="是",'19.02'!$BB$4,'19.02'!$BB$3)),(VLOOKUP('19.02'!I52,'19.02'!$AO$4:$AQ$55,2,FALSE))*IF('19.02'!$AK52="是",'19.02'!$BB$4,'19.02'!$BB$3))</f>
        <v>0</v>
      </c>
      <c r="B52" s="4">
        <f>IF(ISNUMBER(SEARCH("营",'19.02'!J52)),(-$Y52+50*IF('19.02'!$AK52="是",'19.02'!$BB$4,'19.02'!$BB$3)),(VLOOKUP('19.02'!J52,'19.02'!$AO$4:$AQ$55,2,FALSE))*IF('19.02'!$AK52="是",'19.02'!$BB$4,'19.02'!$BB$3))</f>
        <v>0</v>
      </c>
      <c r="C52" s="4">
        <f>IF(ISNUMBER(SEARCH("营",'19.02'!K52)),(-$Y52+50*IF('19.02'!$AK52="是",'19.02'!$BB$4,'19.02'!$BB$3)),(VLOOKUP('19.02'!K52,'19.02'!$AO$4:$AQ$55,2,FALSE))*IF('19.02'!$AK52="是",'19.02'!$BB$4,'19.02'!$BB$3))</f>
        <v>0</v>
      </c>
      <c r="D52" s="4">
        <f>IF(ISNUMBER(SEARCH("营",'19.02'!L52)),(-$Y52+50*IF('19.02'!$AK52="是",'19.02'!$BB$4,'19.02'!$BB$3)),(VLOOKUP('19.02'!L52,'19.02'!$AO$4:$AQ$55,2,FALSE))*IF('19.02'!$AK52="是",'19.02'!$BB$4,'19.02'!$BB$3))</f>
        <v>0</v>
      </c>
      <c r="E52" s="4">
        <f>IF(ISNUMBER(SEARCH("营",'19.02'!M52)),(-$Y52+50*IF('19.02'!$AK52="是",'19.02'!$BB$4,'19.02'!$BB$3)),(VLOOKUP('19.02'!M52,'19.02'!$AO$4:$AQ$55,2,FALSE))*IF('19.02'!$AK52="是",'19.02'!$BB$4,'19.02'!$BB$3))</f>
        <v>0</v>
      </c>
      <c r="F52" s="4">
        <f>IF(ISNUMBER(SEARCH("营",'19.02'!N52)),(-$Y52+50*IF('19.02'!$AK52="是",'19.02'!$BB$4,'19.02'!$BB$3)),(VLOOKUP('19.02'!N52,'19.02'!$AO$4:$AQ$55,2,FALSE))*IF('19.02'!$AK52="是",'19.02'!$BB$4,'19.02'!$BB$3))</f>
        <v>0</v>
      </c>
      <c r="G52" s="4">
        <f>IF(ISNUMBER(SEARCH("营",'19.02'!O52)),(-$Y52+50*IF('19.02'!$AK52="是",'19.02'!$BB$4,'19.02'!$BB$3)),(VLOOKUP('19.02'!O52,'19.02'!$AO$4:$AQ$55,2,FALSE))*IF('19.02'!$AK52="是",'19.02'!$BB$4,'19.02'!$BB$3))</f>
        <v>0</v>
      </c>
      <c r="H52" s="4">
        <f>IF(ISNUMBER(SEARCH("营",'19.02'!P52)),(-$Y52+50*IF('19.02'!$AK52="是",'19.02'!$BB$4,'19.02'!$BB$3)),(VLOOKUP('19.02'!P52,'19.02'!$AO$4:$AQ$55,2,FALSE))*IF('19.02'!$AK52="是",'19.02'!$BB$4,'19.02'!$BB$3))</f>
        <v>0</v>
      </c>
      <c r="I52" s="4">
        <f>IF(ISNUMBER(SEARCH("营",'19.02'!Q52)),(-$Y52+50*IF('19.02'!$AK52="是",'19.02'!$BB$4,'19.02'!$BB$3)),(VLOOKUP('19.02'!Q52,'19.02'!$AO$4:$AQ$55,2,FALSE))*IF('19.02'!$AK52="是",'19.02'!$BB$4,'19.02'!$BB$3))</f>
        <v>0</v>
      </c>
      <c r="J52" s="4">
        <f>IF(ISNUMBER(SEARCH("营",'19.02'!R52)),(-$Y52+50*IF('19.02'!$AK52="是",'19.02'!$BB$4,'19.02'!$BB$3)),(VLOOKUP('19.02'!R52,'19.02'!$AO$4:$AQ$55,2,FALSE))*IF('19.02'!$AK52="是",'19.02'!$BB$4,'19.02'!$BB$3))</f>
        <v>0</v>
      </c>
      <c r="K52" s="4">
        <f>IF(ISNUMBER(SEARCH("营",'19.02'!S52)),(-$Y52+50*IF('19.02'!$AK52="是",'19.02'!$BB$4,'19.02'!$BB$3)),(VLOOKUP('19.02'!S52,'19.02'!$AO$4:$AQ$55,2,FALSE))*IF('19.02'!$AK52="是",'19.02'!$BB$4,'19.02'!$BB$3))</f>
        <v>0</v>
      </c>
      <c r="L52" s="4">
        <f>IF(ISNUMBER(SEARCH("营",'19.02'!T52)),(-$Y52+50*IF('19.02'!$AK52="是",'19.02'!$BB$4,'19.02'!$BB$3)),(VLOOKUP('19.02'!T52,'19.02'!$AO$4:$AQ$55,2,FALSE))*IF('19.02'!$AK52="是",'19.02'!$BB$4,'19.02'!$BB$3))</f>
        <v>0</v>
      </c>
      <c r="M52" s="4">
        <f>IF(ISNUMBER(SEARCH("营",'19.02'!U52)),(-$Y52+50*IF('19.02'!$AK52="是",'19.02'!$BB$4,'19.02'!$BB$3)),(VLOOKUP('19.02'!U52,'19.02'!$AO$4:$AQ$55,2,FALSE))*IF('19.02'!$AK52="是",'19.02'!$BB$4,'19.02'!$BB$3))</f>
        <v>0</v>
      </c>
      <c r="N52" s="4">
        <f>IF(ISNUMBER(SEARCH("营",'19.02'!V52)),(-$Y52+50*IF('19.02'!$AK52="是",'19.02'!$BB$4,'19.02'!$BB$3)),(VLOOKUP('19.02'!V52,'19.02'!$AO$4:$AQ$55,2,FALSE))*IF('19.02'!$AK52="是",'19.02'!$BB$4,'19.02'!$BB$3))</f>
        <v>0</v>
      </c>
      <c r="O52" s="4">
        <f>IF(ISNUMBER(SEARCH("营",'19.02'!W52)),(-$Y52+50*IF('19.02'!$AK52="是",'19.02'!$BB$4,'19.02'!$BB$3)),(VLOOKUP('19.02'!W52,'19.02'!$AO$4:$AQ$55,2,FALSE))*IF('19.02'!$AK52="是",'19.02'!$BB$4,'19.02'!$BB$3))</f>
        <v>0</v>
      </c>
      <c r="P52" s="4">
        <f>IF(ISNUMBER(SEARCH("营",'19.02'!X52)),(-$Y52+50*IF('19.02'!$AK52="是",'19.02'!$BB$4,'19.02'!$BB$3)),(VLOOKUP('19.02'!X52,'19.02'!$AO$4:$AQ$55,2,FALSE))*IF('19.02'!$AK52="是",'19.02'!$BB$4,'19.02'!$BB$3))</f>
        <v>0</v>
      </c>
      <c r="Q52" s="4">
        <f>IF(ISNUMBER(SEARCH("营",'19.02'!Y52)),(-$Y52+50*IF('19.02'!$AK52="是",'19.02'!$BB$4,'19.02'!$BB$3)),(VLOOKUP('19.02'!Y52,'19.02'!$AO$4:$AQ$55,2,FALSE))*IF('19.02'!$AK52="是",'19.02'!$BB$4,'19.02'!$BB$3))</f>
        <v>0</v>
      </c>
      <c r="R52" s="4">
        <f>IF(ISNUMBER(SEARCH("营",'19.02'!Z52)),(-$Y52+50*IF('19.02'!$AK52="是",'19.02'!$BB$4,'19.02'!$BB$3)),(VLOOKUP('19.02'!Z52,'19.02'!$AO$4:$AQ$55,2,FALSE))*IF('19.02'!$AK52="是",'19.02'!$BB$4,'19.02'!$BB$3))</f>
        <v>0</v>
      </c>
      <c r="S52" s="4">
        <f>IF(ISNUMBER(SEARCH("营",'19.02'!AA52)),(-$Y52+50*IF('19.02'!$AK52="是",'19.02'!$BB$4,'19.02'!$BB$3)),(VLOOKUP('19.02'!AA52,'19.02'!$AO$4:$AQ$55,2,FALSE))*IF('19.02'!$AK52="是",'19.02'!$BB$4,'19.02'!$BB$3))</f>
        <v>0</v>
      </c>
      <c r="T52" s="4">
        <f>IF(ISNUMBER(SEARCH("营",'19.02'!AB52)),(-$Y52+50*IF('19.02'!$AK52="是",'19.02'!$BB$4,'19.02'!$BB$3)),(VLOOKUP('19.02'!AB52,'19.02'!$AO$4:$AQ$55,2,FALSE))*IF('19.02'!$AK52="是",'19.02'!$BB$4,'19.02'!$BB$3))</f>
        <v>0</v>
      </c>
      <c r="U52" s="4">
        <f>IF(ISNUMBER(SEARCH("营",'19.02'!AC52)),(-$Y52+50*IF('19.02'!$AK52="是",'19.02'!$BB$4,'19.02'!$BB$3)),(VLOOKUP('19.02'!AC52,'19.02'!$AO$4:$AQ$55,2,FALSE))*IF('19.02'!$AK52="是",'19.02'!$BB$4,'19.02'!$BB$3))</f>
        <v>0</v>
      </c>
      <c r="V52" s="4">
        <f>IF(ISNUMBER(SEARCH("营",'19.02'!AD52)),(-$Y52+50*IF('19.02'!$AK52="是",'19.02'!$BB$4,'19.02'!$BB$3)),(VLOOKUP('19.02'!AD52,'19.02'!$AO$4:$AQ$55,2,FALSE))*IF('19.02'!$AK52="是",'19.02'!$BB$4,'19.02'!$BB$3))</f>
        <v>0</v>
      </c>
      <c r="W52" s="4">
        <f>IF(ISNUMBER(SEARCH("营",'19.02'!AE52)),(-$Y52+50*IF('19.02'!$AK52="是",'19.02'!$BB$4,'19.02'!$BB$3)),(VLOOKUP('19.02'!AE52,'19.02'!$AO$4:$AQ$55,2,FALSE))*IF('19.02'!$AK52="是",'19.02'!$BB$4,'19.02'!$BB$3))</f>
        <v>0</v>
      </c>
      <c r="X52" s="4">
        <f>IF(ISNUMBER(SEARCH("营",'19.02'!AF52)),(-$Y52+50*IF('19.02'!$AK52="是",'19.02'!$BB$4,'19.02'!$BB$3)),(VLOOKUP('19.02'!AF52,'19.02'!$AO$4:$AQ$55,2,FALSE))*IF('19.02'!$AK52="是",'19.02'!$BB$4,'19.02'!$BB$3))</f>
        <v>0</v>
      </c>
      <c r="Y52" s="77">
        <v>150</v>
      </c>
      <c r="Z52" s="94">
        <v>45778</v>
      </c>
    </row>
    <row r="53" spans="1:26">
      <c r="A53" s="4">
        <f>IF(ISNUMBER(SEARCH("营",'19.02'!I53)),(-$Y53+50*IF('19.02'!$AK53="是",'19.02'!$BB$4,'19.02'!$BB$3)),(VLOOKUP('19.02'!I53,'19.02'!$AO$4:$AQ$55,2,FALSE))*IF('19.02'!$AK53="是",'19.02'!$BB$4,'19.02'!$BB$3))</f>
        <v>0</v>
      </c>
      <c r="B53" s="4">
        <f>IF(ISNUMBER(SEARCH("营",'19.02'!J53)),(-$Y53+50*IF('19.02'!$AK53="是",'19.02'!$BB$4,'19.02'!$BB$3)),(VLOOKUP('19.02'!J53,'19.02'!$AO$4:$AQ$55,2,FALSE))*IF('19.02'!$AK53="是",'19.02'!$BB$4,'19.02'!$BB$3))</f>
        <v>0</v>
      </c>
      <c r="C53" s="4">
        <f>IF(ISNUMBER(SEARCH("营",'19.02'!K53)),(-$Y53+50*IF('19.02'!$AK53="是",'19.02'!$BB$4,'19.02'!$BB$3)),(VLOOKUP('19.02'!K53,'19.02'!$AO$4:$AQ$55,2,FALSE))*IF('19.02'!$AK53="是",'19.02'!$BB$4,'19.02'!$BB$3))</f>
        <v>0</v>
      </c>
      <c r="D53" s="4">
        <f>IF(ISNUMBER(SEARCH("营",'19.02'!L53)),(-$Y53+50*IF('19.02'!$AK53="是",'19.02'!$BB$4,'19.02'!$BB$3)),(VLOOKUP('19.02'!L53,'19.02'!$AO$4:$AQ$55,2,FALSE))*IF('19.02'!$AK53="是",'19.02'!$BB$4,'19.02'!$BB$3))</f>
        <v>0</v>
      </c>
      <c r="E53" s="4">
        <f>IF(ISNUMBER(SEARCH("营",'19.02'!M53)),(-$Y53+50*IF('19.02'!$AK53="是",'19.02'!$BB$4,'19.02'!$BB$3)),(VLOOKUP('19.02'!M53,'19.02'!$AO$4:$AQ$55,2,FALSE))*IF('19.02'!$AK53="是",'19.02'!$BB$4,'19.02'!$BB$3))</f>
        <v>0</v>
      </c>
      <c r="F53" s="4">
        <f>IF(ISNUMBER(SEARCH("营",'19.02'!N53)),(-$Y53+50*IF('19.02'!$AK53="是",'19.02'!$BB$4,'19.02'!$BB$3)),(VLOOKUP('19.02'!N53,'19.02'!$AO$4:$AQ$55,2,FALSE))*IF('19.02'!$AK53="是",'19.02'!$BB$4,'19.02'!$BB$3))</f>
        <v>0</v>
      </c>
      <c r="G53" s="4">
        <f>IF(ISNUMBER(SEARCH("营",'19.02'!O53)),(-$Y53+50*IF('19.02'!$AK53="是",'19.02'!$BB$4,'19.02'!$BB$3)),(VLOOKUP('19.02'!O53,'19.02'!$AO$4:$AQ$55,2,FALSE))*IF('19.02'!$AK53="是",'19.02'!$BB$4,'19.02'!$BB$3))</f>
        <v>0</v>
      </c>
      <c r="H53" s="4">
        <f>IF(ISNUMBER(SEARCH("营",'19.02'!P53)),(-$Y53+50*IF('19.02'!$AK53="是",'19.02'!$BB$4,'19.02'!$BB$3)),(VLOOKUP('19.02'!P53,'19.02'!$AO$4:$AQ$55,2,FALSE))*IF('19.02'!$AK53="是",'19.02'!$BB$4,'19.02'!$BB$3))</f>
        <v>0</v>
      </c>
      <c r="I53" s="4">
        <f>IF(ISNUMBER(SEARCH("营",'19.02'!Q53)),(-$Y53+50*IF('19.02'!$AK53="是",'19.02'!$BB$4,'19.02'!$BB$3)),(VLOOKUP('19.02'!Q53,'19.02'!$AO$4:$AQ$55,2,FALSE))*IF('19.02'!$AK53="是",'19.02'!$BB$4,'19.02'!$BB$3))</f>
        <v>0</v>
      </c>
      <c r="J53" s="4">
        <f>IF(ISNUMBER(SEARCH("营",'19.02'!R53)),(-$Y53+50*IF('19.02'!$AK53="是",'19.02'!$BB$4,'19.02'!$BB$3)),(VLOOKUP('19.02'!R53,'19.02'!$AO$4:$AQ$55,2,FALSE))*IF('19.02'!$AK53="是",'19.02'!$BB$4,'19.02'!$BB$3))</f>
        <v>0</v>
      </c>
      <c r="K53" s="4">
        <f>IF(ISNUMBER(SEARCH("营",'19.02'!S53)),(-$Y53+50*IF('19.02'!$AK53="是",'19.02'!$BB$4,'19.02'!$BB$3)),(VLOOKUP('19.02'!S53,'19.02'!$AO$4:$AQ$55,2,FALSE))*IF('19.02'!$AK53="是",'19.02'!$BB$4,'19.02'!$BB$3))</f>
        <v>0</v>
      </c>
      <c r="L53" s="4">
        <f>IF(ISNUMBER(SEARCH("营",'19.02'!T53)),(-$Y53+50*IF('19.02'!$AK53="是",'19.02'!$BB$4,'19.02'!$BB$3)),(VLOOKUP('19.02'!T53,'19.02'!$AO$4:$AQ$55,2,FALSE))*IF('19.02'!$AK53="是",'19.02'!$BB$4,'19.02'!$BB$3))</f>
        <v>0</v>
      </c>
      <c r="M53" s="4">
        <f>IF(ISNUMBER(SEARCH("营",'19.02'!U53)),(-$Y53+50*IF('19.02'!$AK53="是",'19.02'!$BB$4,'19.02'!$BB$3)),(VLOOKUP('19.02'!U53,'19.02'!$AO$4:$AQ$55,2,FALSE))*IF('19.02'!$AK53="是",'19.02'!$BB$4,'19.02'!$BB$3))</f>
        <v>0</v>
      </c>
      <c r="N53" s="4">
        <f>IF(ISNUMBER(SEARCH("营",'19.02'!V53)),(-$Y53+50*IF('19.02'!$AK53="是",'19.02'!$BB$4,'19.02'!$BB$3)),(VLOOKUP('19.02'!V53,'19.02'!$AO$4:$AQ$55,2,FALSE))*IF('19.02'!$AK53="是",'19.02'!$BB$4,'19.02'!$BB$3))</f>
        <v>0</v>
      </c>
      <c r="O53" s="4">
        <f>IF(ISNUMBER(SEARCH("营",'19.02'!W53)),(-$Y53+50*IF('19.02'!$AK53="是",'19.02'!$BB$4,'19.02'!$BB$3)),(VLOOKUP('19.02'!W53,'19.02'!$AO$4:$AQ$55,2,FALSE))*IF('19.02'!$AK53="是",'19.02'!$BB$4,'19.02'!$BB$3))</f>
        <v>0</v>
      </c>
      <c r="P53" s="4">
        <f>IF(ISNUMBER(SEARCH("营",'19.02'!X53)),(-$Y53+50*IF('19.02'!$AK53="是",'19.02'!$BB$4,'19.02'!$BB$3)),(VLOOKUP('19.02'!X53,'19.02'!$AO$4:$AQ$55,2,FALSE))*IF('19.02'!$AK53="是",'19.02'!$BB$4,'19.02'!$BB$3))</f>
        <v>0</v>
      </c>
      <c r="Q53" s="4">
        <f>IF(ISNUMBER(SEARCH("营",'19.02'!Y53)),(-$Y53+50*IF('19.02'!$AK53="是",'19.02'!$BB$4,'19.02'!$BB$3)),(VLOOKUP('19.02'!Y53,'19.02'!$AO$4:$AQ$55,2,FALSE))*IF('19.02'!$AK53="是",'19.02'!$BB$4,'19.02'!$BB$3))</f>
        <v>0</v>
      </c>
      <c r="R53" s="4">
        <f>IF(ISNUMBER(SEARCH("营",'19.02'!Z53)),(-$Y53+50*IF('19.02'!$AK53="是",'19.02'!$BB$4,'19.02'!$BB$3)),(VLOOKUP('19.02'!Z53,'19.02'!$AO$4:$AQ$55,2,FALSE))*IF('19.02'!$AK53="是",'19.02'!$BB$4,'19.02'!$BB$3))</f>
        <v>0</v>
      </c>
      <c r="S53" s="4">
        <f>IF(ISNUMBER(SEARCH("营",'19.02'!AA53)),(-$Y53+50*IF('19.02'!$AK53="是",'19.02'!$BB$4,'19.02'!$BB$3)),(VLOOKUP('19.02'!AA53,'19.02'!$AO$4:$AQ$55,2,FALSE))*IF('19.02'!$AK53="是",'19.02'!$BB$4,'19.02'!$BB$3))</f>
        <v>0</v>
      </c>
      <c r="T53" s="4">
        <f>IF(ISNUMBER(SEARCH("营",'19.02'!AB53)),(-$Y53+50*IF('19.02'!$AK53="是",'19.02'!$BB$4,'19.02'!$BB$3)),(VLOOKUP('19.02'!AB53,'19.02'!$AO$4:$AQ$55,2,FALSE))*IF('19.02'!$AK53="是",'19.02'!$BB$4,'19.02'!$BB$3))</f>
        <v>0</v>
      </c>
      <c r="U53" s="4">
        <f>IF(ISNUMBER(SEARCH("营",'19.02'!AC53)),(-$Y53+50*IF('19.02'!$AK53="是",'19.02'!$BB$4,'19.02'!$BB$3)),(VLOOKUP('19.02'!AC53,'19.02'!$AO$4:$AQ$55,2,FALSE))*IF('19.02'!$AK53="是",'19.02'!$BB$4,'19.02'!$BB$3))</f>
        <v>0</v>
      </c>
      <c r="V53" s="4">
        <f>IF(ISNUMBER(SEARCH("营",'19.02'!AD53)),(-$Y53+50*IF('19.02'!$AK53="是",'19.02'!$BB$4,'19.02'!$BB$3)),(VLOOKUP('19.02'!AD53,'19.02'!$AO$4:$AQ$55,2,FALSE))*IF('19.02'!$AK53="是",'19.02'!$BB$4,'19.02'!$BB$3))</f>
        <v>0</v>
      </c>
      <c r="W53" s="4">
        <f>IF(ISNUMBER(SEARCH("营",'19.02'!AE53)),(-$Y53+50*IF('19.02'!$AK53="是",'19.02'!$BB$4,'19.02'!$BB$3)),(VLOOKUP('19.02'!AE53,'19.02'!$AO$4:$AQ$55,2,FALSE))*IF('19.02'!$AK53="是",'19.02'!$BB$4,'19.02'!$BB$3))</f>
        <v>0</v>
      </c>
      <c r="X53" s="4">
        <f>IF(ISNUMBER(SEARCH("营",'19.02'!AF53)),(-$Y53+50*IF('19.02'!$AK53="是",'19.02'!$BB$4,'19.02'!$BB$3)),(VLOOKUP('19.02'!AF53,'19.02'!$AO$4:$AQ$55,2,FALSE))*IF('19.02'!$AK53="是",'19.02'!$BB$4,'19.02'!$BB$3))</f>
        <v>0</v>
      </c>
      <c r="Y53" s="77">
        <v>150</v>
      </c>
      <c r="Z53" s="94">
        <v>45779</v>
      </c>
    </row>
    <row r="54" spans="1:26">
      <c r="A54" s="4">
        <f>IF(ISNUMBER(SEARCH("营",'19.02'!I54)),(-$Y54+50*IF('19.02'!$AK54="是",'19.02'!$BB$4,'19.02'!$BB$3)),(VLOOKUP('19.02'!I54,'19.02'!$AO$4:$AQ$55,2,FALSE))*IF('19.02'!$AK54="是",'19.02'!$BB$4,'19.02'!$BB$3))</f>
        <v>0</v>
      </c>
      <c r="B54" s="4">
        <f>IF(ISNUMBER(SEARCH("营",'19.02'!J54)),(-$Y54+50*IF('19.02'!$AK54="是",'19.02'!$BB$4,'19.02'!$BB$3)),(VLOOKUP('19.02'!J54,'19.02'!$AO$4:$AQ$55,2,FALSE))*IF('19.02'!$AK54="是",'19.02'!$BB$4,'19.02'!$BB$3))</f>
        <v>0</v>
      </c>
      <c r="C54" s="4">
        <f>IF(ISNUMBER(SEARCH("营",'19.02'!K54)),(-$Y54+50*IF('19.02'!$AK54="是",'19.02'!$BB$4,'19.02'!$BB$3)),(VLOOKUP('19.02'!K54,'19.02'!$AO$4:$AQ$55,2,FALSE))*IF('19.02'!$AK54="是",'19.02'!$BB$4,'19.02'!$BB$3))</f>
        <v>0</v>
      </c>
      <c r="D54" s="4">
        <f>IF(ISNUMBER(SEARCH("营",'19.02'!L54)),(-$Y54+50*IF('19.02'!$AK54="是",'19.02'!$BB$4,'19.02'!$BB$3)),(VLOOKUP('19.02'!L54,'19.02'!$AO$4:$AQ$55,2,FALSE))*IF('19.02'!$AK54="是",'19.02'!$BB$4,'19.02'!$BB$3))</f>
        <v>0</v>
      </c>
      <c r="E54" s="4">
        <f>IF(ISNUMBER(SEARCH("营",'19.02'!M54)),(-$Y54+50*IF('19.02'!$AK54="是",'19.02'!$BB$4,'19.02'!$BB$3)),(VLOOKUP('19.02'!M54,'19.02'!$AO$4:$AQ$55,2,FALSE))*IF('19.02'!$AK54="是",'19.02'!$BB$4,'19.02'!$BB$3))</f>
        <v>0</v>
      </c>
      <c r="F54" s="4">
        <f>IF(ISNUMBER(SEARCH("营",'19.02'!N54)),(-$Y54+50*IF('19.02'!$AK54="是",'19.02'!$BB$4,'19.02'!$BB$3)),(VLOOKUP('19.02'!N54,'19.02'!$AO$4:$AQ$55,2,FALSE))*IF('19.02'!$AK54="是",'19.02'!$BB$4,'19.02'!$BB$3))</f>
        <v>0</v>
      </c>
      <c r="G54" s="4">
        <f>IF(ISNUMBER(SEARCH("营",'19.02'!O54)),(-$Y54+50*IF('19.02'!$AK54="是",'19.02'!$BB$4,'19.02'!$BB$3)),(VLOOKUP('19.02'!O54,'19.02'!$AO$4:$AQ$55,2,FALSE))*IF('19.02'!$AK54="是",'19.02'!$BB$4,'19.02'!$BB$3))</f>
        <v>0</v>
      </c>
      <c r="H54" s="4">
        <f>IF(ISNUMBER(SEARCH("营",'19.02'!P54)),(-$Y54+50*IF('19.02'!$AK54="是",'19.02'!$BB$4,'19.02'!$BB$3)),(VLOOKUP('19.02'!P54,'19.02'!$AO$4:$AQ$55,2,FALSE))*IF('19.02'!$AK54="是",'19.02'!$BB$4,'19.02'!$BB$3))</f>
        <v>0</v>
      </c>
      <c r="I54" s="4">
        <f>IF(ISNUMBER(SEARCH("营",'19.02'!Q54)),(-$Y54+50*IF('19.02'!$AK54="是",'19.02'!$BB$4,'19.02'!$BB$3)),(VLOOKUP('19.02'!Q54,'19.02'!$AO$4:$AQ$55,2,FALSE))*IF('19.02'!$AK54="是",'19.02'!$BB$4,'19.02'!$BB$3))</f>
        <v>0</v>
      </c>
      <c r="J54" s="4">
        <f>IF(ISNUMBER(SEARCH("营",'19.02'!R54)),(-$Y54+50*IF('19.02'!$AK54="是",'19.02'!$BB$4,'19.02'!$BB$3)),(VLOOKUP('19.02'!R54,'19.02'!$AO$4:$AQ$55,2,FALSE))*IF('19.02'!$AK54="是",'19.02'!$BB$4,'19.02'!$BB$3))</f>
        <v>0</v>
      </c>
      <c r="K54" s="4">
        <f>IF(ISNUMBER(SEARCH("营",'19.02'!S54)),(-$Y54+50*IF('19.02'!$AK54="是",'19.02'!$BB$4,'19.02'!$BB$3)),(VLOOKUP('19.02'!S54,'19.02'!$AO$4:$AQ$55,2,FALSE))*IF('19.02'!$AK54="是",'19.02'!$BB$4,'19.02'!$BB$3))</f>
        <v>0</v>
      </c>
      <c r="L54" s="4">
        <f>IF(ISNUMBER(SEARCH("营",'19.02'!T54)),(-$Y54+50*IF('19.02'!$AK54="是",'19.02'!$BB$4,'19.02'!$BB$3)),(VLOOKUP('19.02'!T54,'19.02'!$AO$4:$AQ$55,2,FALSE))*IF('19.02'!$AK54="是",'19.02'!$BB$4,'19.02'!$BB$3))</f>
        <v>0</v>
      </c>
      <c r="M54" s="4">
        <f>IF(ISNUMBER(SEARCH("营",'19.02'!U54)),(-$Y54+50*IF('19.02'!$AK54="是",'19.02'!$BB$4,'19.02'!$BB$3)),(VLOOKUP('19.02'!U54,'19.02'!$AO$4:$AQ$55,2,FALSE))*IF('19.02'!$AK54="是",'19.02'!$BB$4,'19.02'!$BB$3))</f>
        <v>0</v>
      </c>
      <c r="N54" s="4">
        <f>IF(ISNUMBER(SEARCH("营",'19.02'!V54)),(-$Y54+50*IF('19.02'!$AK54="是",'19.02'!$BB$4,'19.02'!$BB$3)),(VLOOKUP('19.02'!V54,'19.02'!$AO$4:$AQ$55,2,FALSE))*IF('19.02'!$AK54="是",'19.02'!$BB$4,'19.02'!$BB$3))</f>
        <v>0</v>
      </c>
      <c r="O54" s="4">
        <f>IF(ISNUMBER(SEARCH("营",'19.02'!W54)),(-$Y54+50*IF('19.02'!$AK54="是",'19.02'!$BB$4,'19.02'!$BB$3)),(VLOOKUP('19.02'!W54,'19.02'!$AO$4:$AQ$55,2,FALSE))*IF('19.02'!$AK54="是",'19.02'!$BB$4,'19.02'!$BB$3))</f>
        <v>0</v>
      </c>
      <c r="P54" s="4">
        <f>IF(ISNUMBER(SEARCH("营",'19.02'!X54)),(-$Y54+50*IF('19.02'!$AK54="是",'19.02'!$BB$4,'19.02'!$BB$3)),(VLOOKUP('19.02'!X54,'19.02'!$AO$4:$AQ$55,2,FALSE))*IF('19.02'!$AK54="是",'19.02'!$BB$4,'19.02'!$BB$3))</f>
        <v>0</v>
      </c>
      <c r="Q54" s="4">
        <f>IF(ISNUMBER(SEARCH("营",'19.02'!Y54)),(-$Y54+50*IF('19.02'!$AK54="是",'19.02'!$BB$4,'19.02'!$BB$3)),(VLOOKUP('19.02'!Y54,'19.02'!$AO$4:$AQ$55,2,FALSE))*IF('19.02'!$AK54="是",'19.02'!$BB$4,'19.02'!$BB$3))</f>
        <v>0</v>
      </c>
      <c r="R54" s="4">
        <f>IF(ISNUMBER(SEARCH("营",'19.02'!Z54)),(-$Y54+50*IF('19.02'!$AK54="是",'19.02'!$BB$4,'19.02'!$BB$3)),(VLOOKUP('19.02'!Z54,'19.02'!$AO$4:$AQ$55,2,FALSE))*IF('19.02'!$AK54="是",'19.02'!$BB$4,'19.02'!$BB$3))</f>
        <v>0</v>
      </c>
      <c r="S54" s="4">
        <f>IF(ISNUMBER(SEARCH("营",'19.02'!AA54)),(-$Y54+50*IF('19.02'!$AK54="是",'19.02'!$BB$4,'19.02'!$BB$3)),(VLOOKUP('19.02'!AA54,'19.02'!$AO$4:$AQ$55,2,FALSE))*IF('19.02'!$AK54="是",'19.02'!$BB$4,'19.02'!$BB$3))</f>
        <v>0</v>
      </c>
      <c r="T54" s="4">
        <f>IF(ISNUMBER(SEARCH("营",'19.02'!AB54)),(-$Y54+50*IF('19.02'!$AK54="是",'19.02'!$BB$4,'19.02'!$BB$3)),(VLOOKUP('19.02'!AB54,'19.02'!$AO$4:$AQ$55,2,FALSE))*IF('19.02'!$AK54="是",'19.02'!$BB$4,'19.02'!$BB$3))</f>
        <v>0</v>
      </c>
      <c r="U54" s="4">
        <f>IF(ISNUMBER(SEARCH("营",'19.02'!AC54)),(-$Y54+50*IF('19.02'!$AK54="是",'19.02'!$BB$4,'19.02'!$BB$3)),(VLOOKUP('19.02'!AC54,'19.02'!$AO$4:$AQ$55,2,FALSE))*IF('19.02'!$AK54="是",'19.02'!$BB$4,'19.02'!$BB$3))</f>
        <v>0</v>
      </c>
      <c r="V54" s="4">
        <f>IF(ISNUMBER(SEARCH("营",'19.02'!AD54)),(-$Y54+50*IF('19.02'!$AK54="是",'19.02'!$BB$4,'19.02'!$BB$3)),(VLOOKUP('19.02'!AD54,'19.02'!$AO$4:$AQ$55,2,FALSE))*IF('19.02'!$AK54="是",'19.02'!$BB$4,'19.02'!$BB$3))</f>
        <v>0</v>
      </c>
      <c r="W54" s="4">
        <f>IF(ISNUMBER(SEARCH("营",'19.02'!AE54)),(-$Y54+50*IF('19.02'!$AK54="是",'19.02'!$BB$4,'19.02'!$BB$3)),(VLOOKUP('19.02'!AE54,'19.02'!$AO$4:$AQ$55,2,FALSE))*IF('19.02'!$AK54="是",'19.02'!$BB$4,'19.02'!$BB$3))</f>
        <v>0</v>
      </c>
      <c r="X54" s="4">
        <f>IF(ISNUMBER(SEARCH("营",'19.02'!AF54)),(-$Y54+50*IF('19.02'!$AK54="是",'19.02'!$BB$4,'19.02'!$BB$3)),(VLOOKUP('19.02'!AF54,'19.02'!$AO$4:$AQ$55,2,FALSE))*IF('19.02'!$AK54="是",'19.02'!$BB$4,'19.02'!$BB$3))</f>
        <v>0</v>
      </c>
      <c r="Y54" s="76">
        <v>100</v>
      </c>
      <c r="Z54" s="85">
        <v>45780</v>
      </c>
    </row>
    <row r="55" spans="1:26">
      <c r="A55" s="4">
        <f>IF(ISNUMBER(SEARCH("营",'19.02'!I55)),(-$Y55+50*IF('19.02'!$AK55="是",'19.02'!$BB$4,'19.02'!$BB$3)),(VLOOKUP('19.02'!I55,'19.02'!$AO$4:$AQ$55,2,FALSE))*IF('19.02'!$AK55="是",'19.02'!$BB$4,'19.02'!$BB$3))</f>
        <v>0</v>
      </c>
      <c r="B55" s="4">
        <f>IF(ISNUMBER(SEARCH("营",'19.02'!J55)),(-$Y55+50*IF('19.02'!$AK55="是",'19.02'!$BB$4,'19.02'!$BB$3)),(VLOOKUP('19.02'!J55,'19.02'!$AO$4:$AQ$55,2,FALSE))*IF('19.02'!$AK55="是",'19.02'!$BB$4,'19.02'!$BB$3))</f>
        <v>0</v>
      </c>
      <c r="C55" s="4">
        <f>IF(ISNUMBER(SEARCH("营",'19.02'!K55)),(-$Y55+50*IF('19.02'!$AK55="是",'19.02'!$BB$4,'19.02'!$BB$3)),(VLOOKUP('19.02'!K55,'19.02'!$AO$4:$AQ$55,2,FALSE))*IF('19.02'!$AK55="是",'19.02'!$BB$4,'19.02'!$BB$3))</f>
        <v>0</v>
      </c>
      <c r="D55" s="4">
        <f>IF(ISNUMBER(SEARCH("营",'19.02'!L55)),(-$Y55+50*IF('19.02'!$AK55="是",'19.02'!$BB$4,'19.02'!$BB$3)),(VLOOKUP('19.02'!L55,'19.02'!$AO$4:$AQ$55,2,FALSE))*IF('19.02'!$AK55="是",'19.02'!$BB$4,'19.02'!$BB$3))</f>
        <v>0</v>
      </c>
      <c r="E55" s="4">
        <f>IF(ISNUMBER(SEARCH("营",'19.02'!M55)),(-$Y55+50*IF('19.02'!$AK55="是",'19.02'!$BB$4,'19.02'!$BB$3)),(VLOOKUP('19.02'!M55,'19.02'!$AO$4:$AQ$55,2,FALSE))*IF('19.02'!$AK55="是",'19.02'!$BB$4,'19.02'!$BB$3))</f>
        <v>0</v>
      </c>
      <c r="F55" s="4">
        <f>IF(ISNUMBER(SEARCH("营",'19.02'!N55)),(-$Y55+50*IF('19.02'!$AK55="是",'19.02'!$BB$4,'19.02'!$BB$3)),(VLOOKUP('19.02'!N55,'19.02'!$AO$4:$AQ$55,2,FALSE))*IF('19.02'!$AK55="是",'19.02'!$BB$4,'19.02'!$BB$3))</f>
        <v>0</v>
      </c>
      <c r="G55" s="4">
        <f>IF(ISNUMBER(SEARCH("营",'19.02'!O55)),(-$Y55+50*IF('19.02'!$AK55="是",'19.02'!$BB$4,'19.02'!$BB$3)),(VLOOKUP('19.02'!O55,'19.02'!$AO$4:$AQ$55,2,FALSE))*IF('19.02'!$AK55="是",'19.02'!$BB$4,'19.02'!$BB$3))</f>
        <v>0</v>
      </c>
      <c r="H55" s="4">
        <f>IF(ISNUMBER(SEARCH("营",'19.02'!P55)),(-$Y55+50*IF('19.02'!$AK55="是",'19.02'!$BB$4,'19.02'!$BB$3)),(VLOOKUP('19.02'!P55,'19.02'!$AO$4:$AQ$55,2,FALSE))*IF('19.02'!$AK55="是",'19.02'!$BB$4,'19.02'!$BB$3))</f>
        <v>0</v>
      </c>
      <c r="I55" s="4">
        <f>IF(ISNUMBER(SEARCH("营",'19.02'!Q55)),(-$Y55+50*IF('19.02'!$AK55="是",'19.02'!$BB$4,'19.02'!$BB$3)),(VLOOKUP('19.02'!Q55,'19.02'!$AO$4:$AQ$55,2,FALSE))*IF('19.02'!$AK55="是",'19.02'!$BB$4,'19.02'!$BB$3))</f>
        <v>0</v>
      </c>
      <c r="J55" s="4">
        <f>IF(ISNUMBER(SEARCH("营",'19.02'!R55)),(-$Y55+50*IF('19.02'!$AK55="是",'19.02'!$BB$4,'19.02'!$BB$3)),(VLOOKUP('19.02'!R55,'19.02'!$AO$4:$AQ$55,2,FALSE))*IF('19.02'!$AK55="是",'19.02'!$BB$4,'19.02'!$BB$3))</f>
        <v>0</v>
      </c>
      <c r="K55" s="4">
        <f>IF(ISNUMBER(SEARCH("营",'19.02'!S55)),(-$Y55+50*IF('19.02'!$AK55="是",'19.02'!$BB$4,'19.02'!$BB$3)),(VLOOKUP('19.02'!S55,'19.02'!$AO$4:$AQ$55,2,FALSE))*IF('19.02'!$AK55="是",'19.02'!$BB$4,'19.02'!$BB$3))</f>
        <v>0</v>
      </c>
      <c r="L55" s="4">
        <f>IF(ISNUMBER(SEARCH("营",'19.02'!T55)),(-$Y55+50*IF('19.02'!$AK55="是",'19.02'!$BB$4,'19.02'!$BB$3)),(VLOOKUP('19.02'!T55,'19.02'!$AO$4:$AQ$55,2,FALSE))*IF('19.02'!$AK55="是",'19.02'!$BB$4,'19.02'!$BB$3))</f>
        <v>0</v>
      </c>
      <c r="M55" s="4">
        <f>IF(ISNUMBER(SEARCH("营",'19.02'!U55)),(-$Y55+50*IF('19.02'!$AK55="是",'19.02'!$BB$4,'19.02'!$BB$3)),(VLOOKUP('19.02'!U55,'19.02'!$AO$4:$AQ$55,2,FALSE))*IF('19.02'!$AK55="是",'19.02'!$BB$4,'19.02'!$BB$3))</f>
        <v>0</v>
      </c>
      <c r="N55" s="4">
        <f>IF(ISNUMBER(SEARCH("营",'19.02'!V55)),(-$Y55+50*IF('19.02'!$AK55="是",'19.02'!$BB$4,'19.02'!$BB$3)),(VLOOKUP('19.02'!V55,'19.02'!$AO$4:$AQ$55,2,FALSE))*IF('19.02'!$AK55="是",'19.02'!$BB$4,'19.02'!$BB$3))</f>
        <v>0</v>
      </c>
      <c r="O55" s="4">
        <f>IF(ISNUMBER(SEARCH("营",'19.02'!W55)),(-$Y55+50*IF('19.02'!$AK55="是",'19.02'!$BB$4,'19.02'!$BB$3)),(VLOOKUP('19.02'!W55,'19.02'!$AO$4:$AQ$55,2,FALSE))*IF('19.02'!$AK55="是",'19.02'!$BB$4,'19.02'!$BB$3))</f>
        <v>0</v>
      </c>
      <c r="P55" s="4">
        <f>IF(ISNUMBER(SEARCH("营",'19.02'!X55)),(-$Y55+50*IF('19.02'!$AK55="是",'19.02'!$BB$4,'19.02'!$BB$3)),(VLOOKUP('19.02'!X55,'19.02'!$AO$4:$AQ$55,2,FALSE))*IF('19.02'!$AK55="是",'19.02'!$BB$4,'19.02'!$BB$3))</f>
        <v>0</v>
      </c>
      <c r="Q55" s="4">
        <f>IF(ISNUMBER(SEARCH("营",'19.02'!Y55)),(-$Y55+50*IF('19.02'!$AK55="是",'19.02'!$BB$4,'19.02'!$BB$3)),(VLOOKUP('19.02'!Y55,'19.02'!$AO$4:$AQ$55,2,FALSE))*IF('19.02'!$AK55="是",'19.02'!$BB$4,'19.02'!$BB$3))</f>
        <v>0</v>
      </c>
      <c r="R55" s="4">
        <f>IF(ISNUMBER(SEARCH("营",'19.02'!Z55)),(-$Y55+50*IF('19.02'!$AK55="是",'19.02'!$BB$4,'19.02'!$BB$3)),(VLOOKUP('19.02'!Z55,'19.02'!$AO$4:$AQ$55,2,FALSE))*IF('19.02'!$AK55="是",'19.02'!$BB$4,'19.02'!$BB$3))</f>
        <v>0</v>
      </c>
      <c r="S55" s="4">
        <f>IF(ISNUMBER(SEARCH("营",'19.02'!AA55)),(-$Y55+50*IF('19.02'!$AK55="是",'19.02'!$BB$4,'19.02'!$BB$3)),(VLOOKUP('19.02'!AA55,'19.02'!$AO$4:$AQ$55,2,FALSE))*IF('19.02'!$AK55="是",'19.02'!$BB$4,'19.02'!$BB$3))</f>
        <v>0</v>
      </c>
      <c r="T55" s="4">
        <f>IF(ISNUMBER(SEARCH("营",'19.02'!AB55)),(-$Y55+50*IF('19.02'!$AK55="是",'19.02'!$BB$4,'19.02'!$BB$3)),(VLOOKUP('19.02'!AB55,'19.02'!$AO$4:$AQ$55,2,FALSE))*IF('19.02'!$AK55="是",'19.02'!$BB$4,'19.02'!$BB$3))</f>
        <v>0</v>
      </c>
      <c r="U55" s="4">
        <f>IF(ISNUMBER(SEARCH("营",'19.02'!AC55)),(-$Y55+50*IF('19.02'!$AK55="是",'19.02'!$BB$4,'19.02'!$BB$3)),(VLOOKUP('19.02'!AC55,'19.02'!$AO$4:$AQ$55,2,FALSE))*IF('19.02'!$AK55="是",'19.02'!$BB$4,'19.02'!$BB$3))</f>
        <v>0</v>
      </c>
      <c r="V55" s="4">
        <f>IF(ISNUMBER(SEARCH("营",'19.02'!AD55)),(-$Y55+50*IF('19.02'!$AK55="是",'19.02'!$BB$4,'19.02'!$BB$3)),(VLOOKUP('19.02'!AD55,'19.02'!$AO$4:$AQ$55,2,FALSE))*IF('19.02'!$AK55="是",'19.02'!$BB$4,'19.02'!$BB$3))</f>
        <v>0</v>
      </c>
      <c r="W55" s="4">
        <f>IF(ISNUMBER(SEARCH("营",'19.02'!AE55)),(-$Y55+50*IF('19.02'!$AK55="是",'19.02'!$BB$4,'19.02'!$BB$3)),(VLOOKUP('19.02'!AE55,'19.02'!$AO$4:$AQ$55,2,FALSE))*IF('19.02'!$AK55="是",'19.02'!$BB$4,'19.02'!$BB$3))</f>
        <v>0</v>
      </c>
      <c r="X55" s="4">
        <f>IF(ISNUMBER(SEARCH("营",'19.02'!AF55)),(-$Y55+50*IF('19.02'!$AK55="是",'19.02'!$BB$4,'19.02'!$BB$3)),(VLOOKUP('19.02'!AF55,'19.02'!$AO$4:$AQ$55,2,FALSE))*IF('19.02'!$AK55="是",'19.02'!$BB$4,'19.02'!$BB$3))</f>
        <v>0</v>
      </c>
      <c r="Y55" s="76">
        <v>100</v>
      </c>
      <c r="Z55" s="85">
        <v>45781</v>
      </c>
    </row>
    <row r="56" spans="1:26">
      <c r="A56" s="4">
        <f>IF(ISNUMBER(SEARCH("营",'19.02'!I56)),(-$Y56+50*IF('19.02'!$AK56="是",'19.02'!$BB$4,'19.02'!$BB$3)),(VLOOKUP('19.02'!I56,'19.02'!$AO$4:$AQ$55,2,FALSE))*IF('19.02'!$AK56="是",'19.02'!$BB$4,'19.02'!$BB$3))</f>
        <v>0</v>
      </c>
      <c r="B56" s="4">
        <f>IF(ISNUMBER(SEARCH("营",'19.02'!J56)),(-$Y56+50*IF('19.02'!$AK56="是",'19.02'!$BB$4,'19.02'!$BB$3)),(VLOOKUP('19.02'!J56,'19.02'!$AO$4:$AQ$55,2,FALSE))*IF('19.02'!$AK56="是",'19.02'!$BB$4,'19.02'!$BB$3))</f>
        <v>0</v>
      </c>
      <c r="C56" s="4">
        <f>IF(ISNUMBER(SEARCH("营",'19.02'!K56)),(-$Y56+50*IF('19.02'!$AK56="是",'19.02'!$BB$4,'19.02'!$BB$3)),(VLOOKUP('19.02'!K56,'19.02'!$AO$4:$AQ$55,2,FALSE))*IF('19.02'!$AK56="是",'19.02'!$BB$4,'19.02'!$BB$3))</f>
        <v>0</v>
      </c>
      <c r="D56" s="4">
        <f>IF(ISNUMBER(SEARCH("营",'19.02'!L56)),(-$Y56+50*IF('19.02'!$AK56="是",'19.02'!$BB$4,'19.02'!$BB$3)),(VLOOKUP('19.02'!L56,'19.02'!$AO$4:$AQ$55,2,FALSE))*IF('19.02'!$AK56="是",'19.02'!$BB$4,'19.02'!$BB$3))</f>
        <v>0</v>
      </c>
      <c r="E56" s="4">
        <f>IF(ISNUMBER(SEARCH("营",'19.02'!M56)),(-$Y56+50*IF('19.02'!$AK56="是",'19.02'!$BB$4,'19.02'!$BB$3)),(VLOOKUP('19.02'!M56,'19.02'!$AO$4:$AQ$55,2,FALSE))*IF('19.02'!$AK56="是",'19.02'!$BB$4,'19.02'!$BB$3))</f>
        <v>0</v>
      </c>
      <c r="F56" s="4">
        <f>IF(ISNUMBER(SEARCH("营",'19.02'!N56)),(-$Y56+50*IF('19.02'!$AK56="是",'19.02'!$BB$4,'19.02'!$BB$3)),(VLOOKUP('19.02'!N56,'19.02'!$AO$4:$AQ$55,2,FALSE))*IF('19.02'!$AK56="是",'19.02'!$BB$4,'19.02'!$BB$3))</f>
        <v>0</v>
      </c>
      <c r="G56" s="4">
        <f>IF(ISNUMBER(SEARCH("营",'19.02'!O56)),(-$Y56+50*IF('19.02'!$AK56="是",'19.02'!$BB$4,'19.02'!$BB$3)),(VLOOKUP('19.02'!O56,'19.02'!$AO$4:$AQ$55,2,FALSE))*IF('19.02'!$AK56="是",'19.02'!$BB$4,'19.02'!$BB$3))</f>
        <v>0</v>
      </c>
      <c r="H56" s="4">
        <f>IF(ISNUMBER(SEARCH("营",'19.02'!P56)),(-$Y56+50*IF('19.02'!$AK56="是",'19.02'!$BB$4,'19.02'!$BB$3)),(VLOOKUP('19.02'!P56,'19.02'!$AO$4:$AQ$55,2,FALSE))*IF('19.02'!$AK56="是",'19.02'!$BB$4,'19.02'!$BB$3))</f>
        <v>0</v>
      </c>
      <c r="I56" s="4">
        <f>IF(ISNUMBER(SEARCH("营",'19.02'!Q56)),(-$Y56+50*IF('19.02'!$AK56="是",'19.02'!$BB$4,'19.02'!$BB$3)),(VLOOKUP('19.02'!Q56,'19.02'!$AO$4:$AQ$55,2,FALSE))*IF('19.02'!$AK56="是",'19.02'!$BB$4,'19.02'!$BB$3))</f>
        <v>0</v>
      </c>
      <c r="J56" s="4">
        <f>IF(ISNUMBER(SEARCH("营",'19.02'!R56)),(-$Y56+50*IF('19.02'!$AK56="是",'19.02'!$BB$4,'19.02'!$BB$3)),(VLOOKUP('19.02'!R56,'19.02'!$AO$4:$AQ$55,2,FALSE))*IF('19.02'!$AK56="是",'19.02'!$BB$4,'19.02'!$BB$3))</f>
        <v>0</v>
      </c>
      <c r="K56" s="4">
        <f>IF(ISNUMBER(SEARCH("营",'19.02'!S56)),(-$Y56+50*IF('19.02'!$AK56="是",'19.02'!$BB$4,'19.02'!$BB$3)),(VLOOKUP('19.02'!S56,'19.02'!$AO$4:$AQ$55,2,FALSE))*IF('19.02'!$AK56="是",'19.02'!$BB$4,'19.02'!$BB$3))</f>
        <v>0</v>
      </c>
      <c r="L56" s="4">
        <f>IF(ISNUMBER(SEARCH("营",'19.02'!T56)),(-$Y56+50*IF('19.02'!$AK56="是",'19.02'!$BB$4,'19.02'!$BB$3)),(VLOOKUP('19.02'!T56,'19.02'!$AO$4:$AQ$55,2,FALSE))*IF('19.02'!$AK56="是",'19.02'!$BB$4,'19.02'!$BB$3))</f>
        <v>0</v>
      </c>
      <c r="M56" s="4">
        <f>IF(ISNUMBER(SEARCH("营",'19.02'!U56)),(-$Y56+50*IF('19.02'!$AK56="是",'19.02'!$BB$4,'19.02'!$BB$3)),(VLOOKUP('19.02'!U56,'19.02'!$AO$4:$AQ$55,2,FALSE))*IF('19.02'!$AK56="是",'19.02'!$BB$4,'19.02'!$BB$3))</f>
        <v>0</v>
      </c>
      <c r="N56" s="4">
        <f>IF(ISNUMBER(SEARCH("营",'19.02'!V56)),(-$Y56+50*IF('19.02'!$AK56="是",'19.02'!$BB$4,'19.02'!$BB$3)),(VLOOKUP('19.02'!V56,'19.02'!$AO$4:$AQ$55,2,FALSE))*IF('19.02'!$AK56="是",'19.02'!$BB$4,'19.02'!$BB$3))</f>
        <v>0</v>
      </c>
      <c r="O56" s="4">
        <f>IF(ISNUMBER(SEARCH("营",'19.02'!W56)),(-$Y56+50*IF('19.02'!$AK56="是",'19.02'!$BB$4,'19.02'!$BB$3)),(VLOOKUP('19.02'!W56,'19.02'!$AO$4:$AQ$55,2,FALSE))*IF('19.02'!$AK56="是",'19.02'!$BB$4,'19.02'!$BB$3))</f>
        <v>0</v>
      </c>
      <c r="P56" s="4">
        <f>IF(ISNUMBER(SEARCH("营",'19.02'!X56)),(-$Y56+50*IF('19.02'!$AK56="是",'19.02'!$BB$4,'19.02'!$BB$3)),(VLOOKUP('19.02'!X56,'19.02'!$AO$4:$AQ$55,2,FALSE))*IF('19.02'!$AK56="是",'19.02'!$BB$4,'19.02'!$BB$3))</f>
        <v>0</v>
      </c>
      <c r="Q56" s="4">
        <f>IF(ISNUMBER(SEARCH("营",'19.02'!Y56)),(-$Y56+50*IF('19.02'!$AK56="是",'19.02'!$BB$4,'19.02'!$BB$3)),(VLOOKUP('19.02'!Y56,'19.02'!$AO$4:$AQ$55,2,FALSE))*IF('19.02'!$AK56="是",'19.02'!$BB$4,'19.02'!$BB$3))</f>
        <v>0</v>
      </c>
      <c r="R56" s="4">
        <f>IF(ISNUMBER(SEARCH("营",'19.02'!Z56)),(-$Y56+50*IF('19.02'!$AK56="是",'19.02'!$BB$4,'19.02'!$BB$3)),(VLOOKUP('19.02'!Z56,'19.02'!$AO$4:$AQ$55,2,FALSE))*IF('19.02'!$AK56="是",'19.02'!$BB$4,'19.02'!$BB$3))</f>
        <v>0</v>
      </c>
      <c r="S56" s="4">
        <f>IF(ISNUMBER(SEARCH("营",'19.02'!AA56)),(-$Y56+50*IF('19.02'!$AK56="是",'19.02'!$BB$4,'19.02'!$BB$3)),(VLOOKUP('19.02'!AA56,'19.02'!$AO$4:$AQ$55,2,FALSE))*IF('19.02'!$AK56="是",'19.02'!$BB$4,'19.02'!$BB$3))</f>
        <v>0</v>
      </c>
      <c r="T56" s="4">
        <f>IF(ISNUMBER(SEARCH("营",'19.02'!AB56)),(-$Y56+50*IF('19.02'!$AK56="是",'19.02'!$BB$4,'19.02'!$BB$3)),(VLOOKUP('19.02'!AB56,'19.02'!$AO$4:$AQ$55,2,FALSE))*IF('19.02'!$AK56="是",'19.02'!$BB$4,'19.02'!$BB$3))</f>
        <v>0</v>
      </c>
      <c r="U56" s="4">
        <f>IF(ISNUMBER(SEARCH("营",'19.02'!AC56)),(-$Y56+50*IF('19.02'!$AK56="是",'19.02'!$BB$4,'19.02'!$BB$3)),(VLOOKUP('19.02'!AC56,'19.02'!$AO$4:$AQ$55,2,FALSE))*IF('19.02'!$AK56="是",'19.02'!$BB$4,'19.02'!$BB$3))</f>
        <v>0</v>
      </c>
      <c r="V56" s="4">
        <f>IF(ISNUMBER(SEARCH("营",'19.02'!AD56)),(-$Y56+50*IF('19.02'!$AK56="是",'19.02'!$BB$4,'19.02'!$BB$3)),(VLOOKUP('19.02'!AD56,'19.02'!$AO$4:$AQ$55,2,FALSE))*IF('19.02'!$AK56="是",'19.02'!$BB$4,'19.02'!$BB$3))</f>
        <v>0</v>
      </c>
      <c r="W56" s="4">
        <f>IF(ISNUMBER(SEARCH("营",'19.02'!AE56)),(-$Y56+50*IF('19.02'!$AK56="是",'19.02'!$BB$4,'19.02'!$BB$3)),(VLOOKUP('19.02'!AE56,'19.02'!$AO$4:$AQ$55,2,FALSE))*IF('19.02'!$AK56="是",'19.02'!$BB$4,'19.02'!$BB$3))</f>
        <v>0</v>
      </c>
      <c r="X56" s="4">
        <f>IF(ISNUMBER(SEARCH("营",'19.02'!AF56)),(-$Y56+50*IF('19.02'!$AK56="是",'19.02'!$BB$4,'19.02'!$BB$3)),(VLOOKUP('19.02'!AF56,'19.02'!$AO$4:$AQ$55,2,FALSE))*IF('19.02'!$AK56="是",'19.02'!$BB$4,'19.02'!$BB$3))</f>
        <v>0</v>
      </c>
      <c r="Y56" s="76">
        <v>100</v>
      </c>
      <c r="Z56" s="85">
        <v>45782</v>
      </c>
    </row>
    <row r="57" spans="1:26">
      <c r="A57" s="4">
        <f>IF(ISNUMBER(SEARCH("营",'19.02'!I57)),(-$Y57+50*IF('19.02'!$AK57="是",'19.02'!$BB$4,'19.02'!$BB$3)),(VLOOKUP('19.02'!I57,'19.02'!$AO$4:$AQ$55,2,FALSE))*IF('19.02'!$AK57="是",'19.02'!$BB$4,'19.02'!$BB$3))</f>
        <v>0</v>
      </c>
      <c r="B57" s="4">
        <f>IF(ISNUMBER(SEARCH("营",'19.02'!J57)),(-$Y57+50*IF('19.02'!$AK57="是",'19.02'!$BB$4,'19.02'!$BB$3)),(VLOOKUP('19.02'!J57,'19.02'!$AO$4:$AQ$55,2,FALSE))*IF('19.02'!$AK57="是",'19.02'!$BB$4,'19.02'!$BB$3))</f>
        <v>0</v>
      </c>
      <c r="C57" s="4">
        <f>IF(ISNUMBER(SEARCH("营",'19.02'!K57)),(-$Y57+50*IF('19.02'!$AK57="是",'19.02'!$BB$4,'19.02'!$BB$3)),(VLOOKUP('19.02'!K57,'19.02'!$AO$4:$AQ$55,2,FALSE))*IF('19.02'!$AK57="是",'19.02'!$BB$4,'19.02'!$BB$3))</f>
        <v>0</v>
      </c>
      <c r="D57" s="4">
        <f>IF(ISNUMBER(SEARCH("营",'19.02'!L57)),(-$Y57+50*IF('19.02'!$AK57="是",'19.02'!$BB$4,'19.02'!$BB$3)),(VLOOKUP('19.02'!L57,'19.02'!$AO$4:$AQ$55,2,FALSE))*IF('19.02'!$AK57="是",'19.02'!$BB$4,'19.02'!$BB$3))</f>
        <v>0</v>
      </c>
      <c r="E57" s="4">
        <f>IF(ISNUMBER(SEARCH("营",'19.02'!M57)),(-$Y57+50*IF('19.02'!$AK57="是",'19.02'!$BB$4,'19.02'!$BB$3)),(VLOOKUP('19.02'!M57,'19.02'!$AO$4:$AQ$55,2,FALSE))*IF('19.02'!$AK57="是",'19.02'!$BB$4,'19.02'!$BB$3))</f>
        <v>0</v>
      </c>
      <c r="F57" s="4">
        <f>IF(ISNUMBER(SEARCH("营",'19.02'!N57)),(-$Y57+50*IF('19.02'!$AK57="是",'19.02'!$BB$4,'19.02'!$BB$3)),(VLOOKUP('19.02'!N57,'19.02'!$AO$4:$AQ$55,2,FALSE))*IF('19.02'!$AK57="是",'19.02'!$BB$4,'19.02'!$BB$3))</f>
        <v>0</v>
      </c>
      <c r="G57" s="4">
        <f>IF(ISNUMBER(SEARCH("营",'19.02'!O57)),(-$Y57+50*IF('19.02'!$AK57="是",'19.02'!$BB$4,'19.02'!$BB$3)),(VLOOKUP('19.02'!O57,'19.02'!$AO$4:$AQ$55,2,FALSE))*IF('19.02'!$AK57="是",'19.02'!$BB$4,'19.02'!$BB$3))</f>
        <v>0</v>
      </c>
      <c r="H57" s="4">
        <f>IF(ISNUMBER(SEARCH("营",'19.02'!P57)),(-$Y57+50*IF('19.02'!$AK57="是",'19.02'!$BB$4,'19.02'!$BB$3)),(VLOOKUP('19.02'!P57,'19.02'!$AO$4:$AQ$55,2,FALSE))*IF('19.02'!$AK57="是",'19.02'!$BB$4,'19.02'!$BB$3))</f>
        <v>0</v>
      </c>
      <c r="I57" s="4">
        <f>IF(ISNUMBER(SEARCH("营",'19.02'!Q57)),(-$Y57+50*IF('19.02'!$AK57="是",'19.02'!$BB$4,'19.02'!$BB$3)),(VLOOKUP('19.02'!Q57,'19.02'!$AO$4:$AQ$55,2,FALSE))*IF('19.02'!$AK57="是",'19.02'!$BB$4,'19.02'!$BB$3))</f>
        <v>0</v>
      </c>
      <c r="J57" s="4">
        <f>IF(ISNUMBER(SEARCH("营",'19.02'!R57)),(-$Y57+50*IF('19.02'!$AK57="是",'19.02'!$BB$4,'19.02'!$BB$3)),(VLOOKUP('19.02'!R57,'19.02'!$AO$4:$AQ$55,2,FALSE))*IF('19.02'!$AK57="是",'19.02'!$BB$4,'19.02'!$BB$3))</f>
        <v>0</v>
      </c>
      <c r="K57" s="4">
        <f>IF(ISNUMBER(SEARCH("营",'19.02'!S57)),(-$Y57+50*IF('19.02'!$AK57="是",'19.02'!$BB$4,'19.02'!$BB$3)),(VLOOKUP('19.02'!S57,'19.02'!$AO$4:$AQ$55,2,FALSE))*IF('19.02'!$AK57="是",'19.02'!$BB$4,'19.02'!$BB$3))</f>
        <v>0</v>
      </c>
      <c r="L57" s="4">
        <f>IF(ISNUMBER(SEARCH("营",'19.02'!T57)),(-$Y57+50*IF('19.02'!$AK57="是",'19.02'!$BB$4,'19.02'!$BB$3)),(VLOOKUP('19.02'!T57,'19.02'!$AO$4:$AQ$55,2,FALSE))*IF('19.02'!$AK57="是",'19.02'!$BB$4,'19.02'!$BB$3))</f>
        <v>0</v>
      </c>
      <c r="M57" s="4">
        <f>IF(ISNUMBER(SEARCH("营",'19.02'!U57)),(-$Y57+50*IF('19.02'!$AK57="是",'19.02'!$BB$4,'19.02'!$BB$3)),(VLOOKUP('19.02'!U57,'19.02'!$AO$4:$AQ$55,2,FALSE))*IF('19.02'!$AK57="是",'19.02'!$BB$4,'19.02'!$BB$3))</f>
        <v>0</v>
      </c>
      <c r="N57" s="4">
        <f>IF(ISNUMBER(SEARCH("营",'19.02'!V57)),(-$Y57+50*IF('19.02'!$AK57="是",'19.02'!$BB$4,'19.02'!$BB$3)),(VLOOKUP('19.02'!V57,'19.02'!$AO$4:$AQ$55,2,FALSE))*IF('19.02'!$AK57="是",'19.02'!$BB$4,'19.02'!$BB$3))</f>
        <v>0</v>
      </c>
      <c r="O57" s="4">
        <f>IF(ISNUMBER(SEARCH("营",'19.02'!W57)),(-$Y57+50*IF('19.02'!$AK57="是",'19.02'!$BB$4,'19.02'!$BB$3)),(VLOOKUP('19.02'!W57,'19.02'!$AO$4:$AQ$55,2,FALSE))*IF('19.02'!$AK57="是",'19.02'!$BB$4,'19.02'!$BB$3))</f>
        <v>0</v>
      </c>
      <c r="P57" s="4">
        <f>IF(ISNUMBER(SEARCH("营",'19.02'!X57)),(-$Y57+50*IF('19.02'!$AK57="是",'19.02'!$BB$4,'19.02'!$BB$3)),(VLOOKUP('19.02'!X57,'19.02'!$AO$4:$AQ$55,2,FALSE))*IF('19.02'!$AK57="是",'19.02'!$BB$4,'19.02'!$BB$3))</f>
        <v>0</v>
      </c>
      <c r="Q57" s="4">
        <f>IF(ISNUMBER(SEARCH("营",'19.02'!Y57)),(-$Y57+50*IF('19.02'!$AK57="是",'19.02'!$BB$4,'19.02'!$BB$3)),(VLOOKUP('19.02'!Y57,'19.02'!$AO$4:$AQ$55,2,FALSE))*IF('19.02'!$AK57="是",'19.02'!$BB$4,'19.02'!$BB$3))</f>
        <v>0</v>
      </c>
      <c r="R57" s="4">
        <f>IF(ISNUMBER(SEARCH("营",'19.02'!Z57)),(-$Y57+50*IF('19.02'!$AK57="是",'19.02'!$BB$4,'19.02'!$BB$3)),(VLOOKUP('19.02'!Z57,'19.02'!$AO$4:$AQ$55,2,FALSE))*IF('19.02'!$AK57="是",'19.02'!$BB$4,'19.02'!$BB$3))</f>
        <v>0</v>
      </c>
      <c r="S57" s="4">
        <f>IF(ISNUMBER(SEARCH("营",'19.02'!AA57)),(-$Y57+50*IF('19.02'!$AK57="是",'19.02'!$BB$4,'19.02'!$BB$3)),(VLOOKUP('19.02'!AA57,'19.02'!$AO$4:$AQ$55,2,FALSE))*IF('19.02'!$AK57="是",'19.02'!$BB$4,'19.02'!$BB$3))</f>
        <v>0</v>
      </c>
      <c r="T57" s="4">
        <f>IF(ISNUMBER(SEARCH("营",'19.02'!AB57)),(-$Y57+50*IF('19.02'!$AK57="是",'19.02'!$BB$4,'19.02'!$BB$3)),(VLOOKUP('19.02'!AB57,'19.02'!$AO$4:$AQ$55,2,FALSE))*IF('19.02'!$AK57="是",'19.02'!$BB$4,'19.02'!$BB$3))</f>
        <v>0</v>
      </c>
      <c r="U57" s="4">
        <f>IF(ISNUMBER(SEARCH("营",'19.02'!AC57)),(-$Y57+50*IF('19.02'!$AK57="是",'19.02'!$BB$4,'19.02'!$BB$3)),(VLOOKUP('19.02'!AC57,'19.02'!$AO$4:$AQ$55,2,FALSE))*IF('19.02'!$AK57="是",'19.02'!$BB$4,'19.02'!$BB$3))</f>
        <v>0</v>
      </c>
      <c r="V57" s="4">
        <f>IF(ISNUMBER(SEARCH("营",'19.02'!AD57)),(-$Y57+50*IF('19.02'!$AK57="是",'19.02'!$BB$4,'19.02'!$BB$3)),(VLOOKUP('19.02'!AD57,'19.02'!$AO$4:$AQ$55,2,FALSE))*IF('19.02'!$AK57="是",'19.02'!$BB$4,'19.02'!$BB$3))</f>
        <v>0</v>
      </c>
      <c r="W57" s="4">
        <f>IF(ISNUMBER(SEARCH("营",'19.02'!AE57)),(-$Y57+50*IF('19.02'!$AK57="是",'19.02'!$BB$4,'19.02'!$BB$3)),(VLOOKUP('19.02'!AE57,'19.02'!$AO$4:$AQ$55,2,FALSE))*IF('19.02'!$AK57="是",'19.02'!$BB$4,'19.02'!$BB$3))</f>
        <v>0</v>
      </c>
      <c r="X57" s="4">
        <f>IF(ISNUMBER(SEARCH("营",'19.02'!AF57)),(-$Y57+50*IF('19.02'!$AK57="是",'19.02'!$BB$4,'19.02'!$BB$3)),(VLOOKUP('19.02'!AF57,'19.02'!$AO$4:$AQ$55,2,FALSE))*IF('19.02'!$AK57="是",'19.02'!$BB$4,'19.02'!$BB$3))</f>
        <v>0</v>
      </c>
      <c r="Y57" s="76">
        <v>100</v>
      </c>
      <c r="Z57" s="85">
        <v>45783</v>
      </c>
    </row>
    <row r="58" spans="1:26">
      <c r="A58" s="4">
        <f>IF(ISNUMBER(SEARCH("营",'19.02'!I58)),(-$Y58+50*IF('19.02'!$AK58="是",'19.02'!$BB$4,'19.02'!$BB$3)),(VLOOKUP('19.02'!I58,'19.02'!$AO$4:$AQ$55,2,FALSE))*IF('19.02'!$AK58="是",'19.02'!$BB$4,'19.02'!$BB$3))</f>
        <v>0</v>
      </c>
      <c r="B58" s="4">
        <f>IF(ISNUMBER(SEARCH("营",'19.02'!J58)),(-$Y58+50*IF('19.02'!$AK58="是",'19.02'!$BB$4,'19.02'!$BB$3)),(VLOOKUP('19.02'!J58,'19.02'!$AO$4:$AQ$55,2,FALSE))*IF('19.02'!$AK58="是",'19.02'!$BB$4,'19.02'!$BB$3))</f>
        <v>0</v>
      </c>
      <c r="C58" s="4">
        <f>IF(ISNUMBER(SEARCH("营",'19.02'!K58)),(-$Y58+50*IF('19.02'!$AK58="是",'19.02'!$BB$4,'19.02'!$BB$3)),(VLOOKUP('19.02'!K58,'19.02'!$AO$4:$AQ$55,2,FALSE))*IF('19.02'!$AK58="是",'19.02'!$BB$4,'19.02'!$BB$3))</f>
        <v>0</v>
      </c>
      <c r="D58" s="4">
        <f>IF(ISNUMBER(SEARCH("营",'19.02'!L58)),(-$Y58+50*IF('19.02'!$AK58="是",'19.02'!$BB$4,'19.02'!$BB$3)),(VLOOKUP('19.02'!L58,'19.02'!$AO$4:$AQ$55,2,FALSE))*IF('19.02'!$AK58="是",'19.02'!$BB$4,'19.02'!$BB$3))</f>
        <v>0</v>
      </c>
      <c r="E58" s="4">
        <f>IF(ISNUMBER(SEARCH("营",'19.02'!M58)),(-$Y58+50*IF('19.02'!$AK58="是",'19.02'!$BB$4,'19.02'!$BB$3)),(VLOOKUP('19.02'!M58,'19.02'!$AO$4:$AQ$55,2,FALSE))*IF('19.02'!$AK58="是",'19.02'!$BB$4,'19.02'!$BB$3))</f>
        <v>0</v>
      </c>
      <c r="F58" s="4">
        <f>IF(ISNUMBER(SEARCH("营",'19.02'!N58)),(-$Y58+50*IF('19.02'!$AK58="是",'19.02'!$BB$4,'19.02'!$BB$3)),(VLOOKUP('19.02'!N58,'19.02'!$AO$4:$AQ$55,2,FALSE))*IF('19.02'!$AK58="是",'19.02'!$BB$4,'19.02'!$BB$3))</f>
        <v>0</v>
      </c>
      <c r="G58" s="4">
        <f>IF(ISNUMBER(SEARCH("营",'19.02'!O58)),(-$Y58+50*IF('19.02'!$AK58="是",'19.02'!$BB$4,'19.02'!$BB$3)),(VLOOKUP('19.02'!O58,'19.02'!$AO$4:$AQ$55,2,FALSE))*IF('19.02'!$AK58="是",'19.02'!$BB$4,'19.02'!$BB$3))</f>
        <v>0</v>
      </c>
      <c r="H58" s="4">
        <f>IF(ISNUMBER(SEARCH("营",'19.02'!P58)),(-$Y58+50*IF('19.02'!$AK58="是",'19.02'!$BB$4,'19.02'!$BB$3)),(VLOOKUP('19.02'!P58,'19.02'!$AO$4:$AQ$55,2,FALSE))*IF('19.02'!$AK58="是",'19.02'!$BB$4,'19.02'!$BB$3))</f>
        <v>0</v>
      </c>
      <c r="I58" s="4">
        <f>IF(ISNUMBER(SEARCH("营",'19.02'!Q58)),(-$Y58+50*IF('19.02'!$AK58="是",'19.02'!$BB$4,'19.02'!$BB$3)),(VLOOKUP('19.02'!Q58,'19.02'!$AO$4:$AQ$55,2,FALSE))*IF('19.02'!$AK58="是",'19.02'!$BB$4,'19.02'!$BB$3))</f>
        <v>0</v>
      </c>
      <c r="J58" s="4">
        <f>IF(ISNUMBER(SEARCH("营",'19.02'!R58)),(-$Y58+50*IF('19.02'!$AK58="是",'19.02'!$BB$4,'19.02'!$BB$3)),(VLOOKUP('19.02'!R58,'19.02'!$AO$4:$AQ$55,2,FALSE))*IF('19.02'!$AK58="是",'19.02'!$BB$4,'19.02'!$BB$3))</f>
        <v>0</v>
      </c>
      <c r="K58" s="4">
        <f>IF(ISNUMBER(SEARCH("营",'19.02'!S58)),(-$Y58+50*IF('19.02'!$AK58="是",'19.02'!$BB$4,'19.02'!$BB$3)),(VLOOKUP('19.02'!S58,'19.02'!$AO$4:$AQ$55,2,FALSE))*IF('19.02'!$AK58="是",'19.02'!$BB$4,'19.02'!$BB$3))</f>
        <v>0</v>
      </c>
      <c r="L58" s="4">
        <f>IF(ISNUMBER(SEARCH("营",'19.02'!T58)),(-$Y58+50*IF('19.02'!$AK58="是",'19.02'!$BB$4,'19.02'!$BB$3)),(VLOOKUP('19.02'!T58,'19.02'!$AO$4:$AQ$55,2,FALSE))*IF('19.02'!$AK58="是",'19.02'!$BB$4,'19.02'!$BB$3))</f>
        <v>0</v>
      </c>
      <c r="M58" s="4">
        <f>IF(ISNUMBER(SEARCH("营",'19.02'!U58)),(-$Y58+50*IF('19.02'!$AK58="是",'19.02'!$BB$4,'19.02'!$BB$3)),(VLOOKUP('19.02'!U58,'19.02'!$AO$4:$AQ$55,2,FALSE))*IF('19.02'!$AK58="是",'19.02'!$BB$4,'19.02'!$BB$3))</f>
        <v>0</v>
      </c>
      <c r="N58" s="4">
        <f>IF(ISNUMBER(SEARCH("营",'19.02'!V58)),(-$Y58+50*IF('19.02'!$AK58="是",'19.02'!$BB$4,'19.02'!$BB$3)),(VLOOKUP('19.02'!V58,'19.02'!$AO$4:$AQ$55,2,FALSE))*IF('19.02'!$AK58="是",'19.02'!$BB$4,'19.02'!$BB$3))</f>
        <v>0</v>
      </c>
      <c r="O58" s="4">
        <f>IF(ISNUMBER(SEARCH("营",'19.02'!W58)),(-$Y58+50*IF('19.02'!$AK58="是",'19.02'!$BB$4,'19.02'!$BB$3)),(VLOOKUP('19.02'!W58,'19.02'!$AO$4:$AQ$55,2,FALSE))*IF('19.02'!$AK58="是",'19.02'!$BB$4,'19.02'!$BB$3))</f>
        <v>0</v>
      </c>
      <c r="P58" s="4">
        <f>IF(ISNUMBER(SEARCH("营",'19.02'!X58)),(-$Y58+50*IF('19.02'!$AK58="是",'19.02'!$BB$4,'19.02'!$BB$3)),(VLOOKUP('19.02'!X58,'19.02'!$AO$4:$AQ$55,2,FALSE))*IF('19.02'!$AK58="是",'19.02'!$BB$4,'19.02'!$BB$3))</f>
        <v>0</v>
      </c>
      <c r="Q58" s="4">
        <f>IF(ISNUMBER(SEARCH("营",'19.02'!Y58)),(-$Y58+50*IF('19.02'!$AK58="是",'19.02'!$BB$4,'19.02'!$BB$3)),(VLOOKUP('19.02'!Y58,'19.02'!$AO$4:$AQ$55,2,FALSE))*IF('19.02'!$AK58="是",'19.02'!$BB$4,'19.02'!$BB$3))</f>
        <v>0</v>
      </c>
      <c r="R58" s="4">
        <f>IF(ISNUMBER(SEARCH("营",'19.02'!Z58)),(-$Y58+50*IF('19.02'!$AK58="是",'19.02'!$BB$4,'19.02'!$BB$3)),(VLOOKUP('19.02'!Z58,'19.02'!$AO$4:$AQ$55,2,FALSE))*IF('19.02'!$AK58="是",'19.02'!$BB$4,'19.02'!$BB$3))</f>
        <v>0</v>
      </c>
      <c r="S58" s="4">
        <f>IF(ISNUMBER(SEARCH("营",'19.02'!AA58)),(-$Y58+50*IF('19.02'!$AK58="是",'19.02'!$BB$4,'19.02'!$BB$3)),(VLOOKUP('19.02'!AA58,'19.02'!$AO$4:$AQ$55,2,FALSE))*IF('19.02'!$AK58="是",'19.02'!$BB$4,'19.02'!$BB$3))</f>
        <v>0</v>
      </c>
      <c r="T58" s="4">
        <f>IF(ISNUMBER(SEARCH("营",'19.02'!AB58)),(-$Y58+50*IF('19.02'!$AK58="是",'19.02'!$BB$4,'19.02'!$BB$3)),(VLOOKUP('19.02'!AB58,'19.02'!$AO$4:$AQ$55,2,FALSE))*IF('19.02'!$AK58="是",'19.02'!$BB$4,'19.02'!$BB$3))</f>
        <v>0</v>
      </c>
      <c r="U58" s="4">
        <f>IF(ISNUMBER(SEARCH("营",'19.02'!AC58)),(-$Y58+50*IF('19.02'!$AK58="是",'19.02'!$BB$4,'19.02'!$BB$3)),(VLOOKUP('19.02'!AC58,'19.02'!$AO$4:$AQ$55,2,FALSE))*IF('19.02'!$AK58="是",'19.02'!$BB$4,'19.02'!$BB$3))</f>
        <v>0</v>
      </c>
      <c r="V58" s="4">
        <f>IF(ISNUMBER(SEARCH("营",'19.02'!AD58)),(-$Y58+50*IF('19.02'!$AK58="是",'19.02'!$BB$4,'19.02'!$BB$3)),(VLOOKUP('19.02'!AD58,'19.02'!$AO$4:$AQ$55,2,FALSE))*IF('19.02'!$AK58="是",'19.02'!$BB$4,'19.02'!$BB$3))</f>
        <v>0</v>
      </c>
      <c r="W58" s="4">
        <f>IF(ISNUMBER(SEARCH("营",'19.02'!AE58)),(-$Y58+50*IF('19.02'!$AK58="是",'19.02'!$BB$4,'19.02'!$BB$3)),(VLOOKUP('19.02'!AE58,'19.02'!$AO$4:$AQ$55,2,FALSE))*IF('19.02'!$AK58="是",'19.02'!$BB$4,'19.02'!$BB$3))</f>
        <v>0</v>
      </c>
      <c r="X58" s="4">
        <f>IF(ISNUMBER(SEARCH("营",'19.02'!AF58)),(-$Y58+50*IF('19.02'!$AK58="是",'19.02'!$BB$4,'19.02'!$BB$3)),(VLOOKUP('19.02'!AF58,'19.02'!$AO$4:$AQ$55,2,FALSE))*IF('19.02'!$AK58="是",'19.02'!$BB$4,'19.02'!$BB$3))</f>
        <v>0</v>
      </c>
      <c r="Y58" s="76">
        <v>100</v>
      </c>
      <c r="Z58" s="85">
        <v>45784</v>
      </c>
    </row>
    <row r="59" spans="1:26">
      <c r="A59" s="4">
        <f>IF(ISNUMBER(SEARCH("营",'19.02'!I59)),(-$Y59+50*IF('19.02'!$AK59="是",'19.02'!$BB$4,'19.02'!$BB$3)),(VLOOKUP('19.02'!I59,'19.02'!$AO$4:$AQ$55,2,FALSE))*IF('19.02'!$AK59="是",'19.02'!$BB$4,'19.02'!$BB$3))</f>
        <v>0</v>
      </c>
      <c r="B59" s="4">
        <f>IF(ISNUMBER(SEARCH("营",'19.02'!J59)),(-$Y59+50*IF('19.02'!$AK59="是",'19.02'!$BB$4,'19.02'!$BB$3)),(VLOOKUP('19.02'!J59,'19.02'!$AO$4:$AQ$55,2,FALSE))*IF('19.02'!$AK59="是",'19.02'!$BB$4,'19.02'!$BB$3))</f>
        <v>0</v>
      </c>
      <c r="C59" s="4">
        <f>IF(ISNUMBER(SEARCH("营",'19.02'!K59)),(-$Y59+50*IF('19.02'!$AK59="是",'19.02'!$BB$4,'19.02'!$BB$3)),(VLOOKUP('19.02'!K59,'19.02'!$AO$4:$AQ$55,2,FALSE))*IF('19.02'!$AK59="是",'19.02'!$BB$4,'19.02'!$BB$3))</f>
        <v>0</v>
      </c>
      <c r="D59" s="4">
        <f>IF(ISNUMBER(SEARCH("营",'19.02'!L59)),(-$Y59+50*IF('19.02'!$AK59="是",'19.02'!$BB$4,'19.02'!$BB$3)),(VLOOKUP('19.02'!L59,'19.02'!$AO$4:$AQ$55,2,FALSE))*IF('19.02'!$AK59="是",'19.02'!$BB$4,'19.02'!$BB$3))</f>
        <v>0</v>
      </c>
      <c r="E59" s="4">
        <f>IF(ISNUMBER(SEARCH("营",'19.02'!M59)),(-$Y59+50*IF('19.02'!$AK59="是",'19.02'!$BB$4,'19.02'!$BB$3)),(VLOOKUP('19.02'!M59,'19.02'!$AO$4:$AQ$55,2,FALSE))*IF('19.02'!$AK59="是",'19.02'!$BB$4,'19.02'!$BB$3))</f>
        <v>0</v>
      </c>
      <c r="F59" s="4">
        <f>IF(ISNUMBER(SEARCH("营",'19.02'!N59)),(-$Y59+50*IF('19.02'!$AK59="是",'19.02'!$BB$4,'19.02'!$BB$3)),(VLOOKUP('19.02'!N59,'19.02'!$AO$4:$AQ$55,2,FALSE))*IF('19.02'!$AK59="是",'19.02'!$BB$4,'19.02'!$BB$3))</f>
        <v>0</v>
      </c>
      <c r="G59" s="4">
        <f>IF(ISNUMBER(SEARCH("营",'19.02'!O59)),(-$Y59+50*IF('19.02'!$AK59="是",'19.02'!$BB$4,'19.02'!$BB$3)),(VLOOKUP('19.02'!O59,'19.02'!$AO$4:$AQ$55,2,FALSE))*IF('19.02'!$AK59="是",'19.02'!$BB$4,'19.02'!$BB$3))</f>
        <v>0</v>
      </c>
      <c r="H59" s="4">
        <f>IF(ISNUMBER(SEARCH("营",'19.02'!P59)),(-$Y59+50*IF('19.02'!$AK59="是",'19.02'!$BB$4,'19.02'!$BB$3)),(VLOOKUP('19.02'!P59,'19.02'!$AO$4:$AQ$55,2,FALSE))*IF('19.02'!$AK59="是",'19.02'!$BB$4,'19.02'!$BB$3))</f>
        <v>0</v>
      </c>
      <c r="I59" s="4">
        <f>IF(ISNUMBER(SEARCH("营",'19.02'!Q59)),(-$Y59+50*IF('19.02'!$AK59="是",'19.02'!$BB$4,'19.02'!$BB$3)),(VLOOKUP('19.02'!Q59,'19.02'!$AO$4:$AQ$55,2,FALSE))*IF('19.02'!$AK59="是",'19.02'!$BB$4,'19.02'!$BB$3))</f>
        <v>0</v>
      </c>
      <c r="J59" s="4">
        <f>IF(ISNUMBER(SEARCH("营",'19.02'!R59)),(-$Y59+50*IF('19.02'!$AK59="是",'19.02'!$BB$4,'19.02'!$BB$3)),(VLOOKUP('19.02'!R59,'19.02'!$AO$4:$AQ$55,2,FALSE))*IF('19.02'!$AK59="是",'19.02'!$BB$4,'19.02'!$BB$3))</f>
        <v>0</v>
      </c>
      <c r="K59" s="4">
        <f>IF(ISNUMBER(SEARCH("营",'19.02'!S59)),(-$Y59+50*IF('19.02'!$AK59="是",'19.02'!$BB$4,'19.02'!$BB$3)),(VLOOKUP('19.02'!S59,'19.02'!$AO$4:$AQ$55,2,FALSE))*IF('19.02'!$AK59="是",'19.02'!$BB$4,'19.02'!$BB$3))</f>
        <v>0</v>
      </c>
      <c r="L59" s="4">
        <f>IF(ISNUMBER(SEARCH("营",'19.02'!T59)),(-$Y59+50*IF('19.02'!$AK59="是",'19.02'!$BB$4,'19.02'!$BB$3)),(VLOOKUP('19.02'!T59,'19.02'!$AO$4:$AQ$55,2,FALSE))*IF('19.02'!$AK59="是",'19.02'!$BB$4,'19.02'!$BB$3))</f>
        <v>0</v>
      </c>
      <c r="M59" s="4">
        <f>IF(ISNUMBER(SEARCH("营",'19.02'!U59)),(-$Y59+50*IF('19.02'!$AK59="是",'19.02'!$BB$4,'19.02'!$BB$3)),(VLOOKUP('19.02'!U59,'19.02'!$AO$4:$AQ$55,2,FALSE))*IF('19.02'!$AK59="是",'19.02'!$BB$4,'19.02'!$BB$3))</f>
        <v>0</v>
      </c>
      <c r="N59" s="4">
        <f>IF(ISNUMBER(SEARCH("营",'19.02'!V59)),(-$Y59+50*IF('19.02'!$AK59="是",'19.02'!$BB$4,'19.02'!$BB$3)),(VLOOKUP('19.02'!V59,'19.02'!$AO$4:$AQ$55,2,FALSE))*IF('19.02'!$AK59="是",'19.02'!$BB$4,'19.02'!$BB$3))</f>
        <v>0</v>
      </c>
      <c r="O59" s="4">
        <f>IF(ISNUMBER(SEARCH("营",'19.02'!W59)),(-$Y59+50*IF('19.02'!$AK59="是",'19.02'!$BB$4,'19.02'!$BB$3)),(VLOOKUP('19.02'!W59,'19.02'!$AO$4:$AQ$55,2,FALSE))*IF('19.02'!$AK59="是",'19.02'!$BB$4,'19.02'!$BB$3))</f>
        <v>0</v>
      </c>
      <c r="P59" s="4">
        <f>IF(ISNUMBER(SEARCH("营",'19.02'!X59)),(-$Y59+50*IF('19.02'!$AK59="是",'19.02'!$BB$4,'19.02'!$BB$3)),(VLOOKUP('19.02'!X59,'19.02'!$AO$4:$AQ$55,2,FALSE))*IF('19.02'!$AK59="是",'19.02'!$BB$4,'19.02'!$BB$3))</f>
        <v>0</v>
      </c>
      <c r="Q59" s="4">
        <f>IF(ISNUMBER(SEARCH("营",'19.02'!Y59)),(-$Y59+50*IF('19.02'!$AK59="是",'19.02'!$BB$4,'19.02'!$BB$3)),(VLOOKUP('19.02'!Y59,'19.02'!$AO$4:$AQ$55,2,FALSE))*IF('19.02'!$AK59="是",'19.02'!$BB$4,'19.02'!$BB$3))</f>
        <v>0</v>
      </c>
      <c r="R59" s="4">
        <f>IF(ISNUMBER(SEARCH("营",'19.02'!Z59)),(-$Y59+50*IF('19.02'!$AK59="是",'19.02'!$BB$4,'19.02'!$BB$3)),(VLOOKUP('19.02'!Z59,'19.02'!$AO$4:$AQ$55,2,FALSE))*IF('19.02'!$AK59="是",'19.02'!$BB$4,'19.02'!$BB$3))</f>
        <v>0</v>
      </c>
      <c r="S59" s="4">
        <f>IF(ISNUMBER(SEARCH("营",'19.02'!AA59)),(-$Y59+50*IF('19.02'!$AK59="是",'19.02'!$BB$4,'19.02'!$BB$3)),(VLOOKUP('19.02'!AA59,'19.02'!$AO$4:$AQ$55,2,FALSE))*IF('19.02'!$AK59="是",'19.02'!$BB$4,'19.02'!$BB$3))</f>
        <v>0</v>
      </c>
      <c r="T59" s="4">
        <f>IF(ISNUMBER(SEARCH("营",'19.02'!AB59)),(-$Y59+50*IF('19.02'!$AK59="是",'19.02'!$BB$4,'19.02'!$BB$3)),(VLOOKUP('19.02'!AB59,'19.02'!$AO$4:$AQ$55,2,FALSE))*IF('19.02'!$AK59="是",'19.02'!$BB$4,'19.02'!$BB$3))</f>
        <v>0</v>
      </c>
      <c r="U59" s="4">
        <f>IF(ISNUMBER(SEARCH("营",'19.02'!AC59)),(-$Y59+50*IF('19.02'!$AK59="是",'19.02'!$BB$4,'19.02'!$BB$3)),(VLOOKUP('19.02'!AC59,'19.02'!$AO$4:$AQ$55,2,FALSE))*IF('19.02'!$AK59="是",'19.02'!$BB$4,'19.02'!$BB$3))</f>
        <v>0</v>
      </c>
      <c r="V59" s="4">
        <f>IF(ISNUMBER(SEARCH("营",'19.02'!AD59)),(-$Y59+50*IF('19.02'!$AK59="是",'19.02'!$BB$4,'19.02'!$BB$3)),(VLOOKUP('19.02'!AD59,'19.02'!$AO$4:$AQ$55,2,FALSE))*IF('19.02'!$AK59="是",'19.02'!$BB$4,'19.02'!$BB$3))</f>
        <v>0</v>
      </c>
      <c r="W59" s="4">
        <f>IF(ISNUMBER(SEARCH("营",'19.02'!AE59)),(-$Y59+50*IF('19.02'!$AK59="是",'19.02'!$BB$4,'19.02'!$BB$3)),(VLOOKUP('19.02'!AE59,'19.02'!$AO$4:$AQ$55,2,FALSE))*IF('19.02'!$AK59="是",'19.02'!$BB$4,'19.02'!$BB$3))</f>
        <v>0</v>
      </c>
      <c r="X59" s="4">
        <f>IF(ISNUMBER(SEARCH("营",'19.02'!AF59)),(-$Y59+50*IF('19.02'!$AK59="是",'19.02'!$BB$4,'19.02'!$BB$3)),(VLOOKUP('19.02'!AF59,'19.02'!$AO$4:$AQ$55,2,FALSE))*IF('19.02'!$AK59="是",'19.02'!$BB$4,'19.02'!$BB$3))</f>
        <v>0</v>
      </c>
      <c r="Y59" s="76">
        <v>100</v>
      </c>
      <c r="Z59" s="85">
        <v>45785</v>
      </c>
    </row>
    <row r="60" spans="1:26">
      <c r="A60" s="4">
        <f>IF(ISNUMBER(SEARCH("营",'19.02'!I60)),(-$Y60+50*IF('19.02'!$AK60="是",'19.02'!$BB$4,'19.02'!$BB$3)),(VLOOKUP('19.02'!I60,'19.02'!$AO$4:$AQ$55,2,FALSE))*IF('19.02'!$AK60="是",'19.02'!$BB$4,'19.02'!$BB$3))</f>
        <v>0</v>
      </c>
      <c r="B60" s="4">
        <f>IF(ISNUMBER(SEARCH("营",'19.02'!J60)),(-$Y60+50*IF('19.02'!$AK60="是",'19.02'!$BB$4,'19.02'!$BB$3)),(VLOOKUP('19.02'!J60,'19.02'!$AO$4:$AQ$55,2,FALSE))*IF('19.02'!$AK60="是",'19.02'!$BB$4,'19.02'!$BB$3))</f>
        <v>0</v>
      </c>
      <c r="C60" s="4">
        <f>IF(ISNUMBER(SEARCH("营",'19.02'!K60)),(-$Y60+50*IF('19.02'!$AK60="是",'19.02'!$BB$4,'19.02'!$BB$3)),(VLOOKUP('19.02'!K60,'19.02'!$AO$4:$AQ$55,2,FALSE))*IF('19.02'!$AK60="是",'19.02'!$BB$4,'19.02'!$BB$3))</f>
        <v>0</v>
      </c>
      <c r="D60" s="4">
        <f>IF(ISNUMBER(SEARCH("营",'19.02'!L60)),(-$Y60+50*IF('19.02'!$AK60="是",'19.02'!$BB$4,'19.02'!$BB$3)),(VLOOKUP('19.02'!L60,'19.02'!$AO$4:$AQ$55,2,FALSE))*IF('19.02'!$AK60="是",'19.02'!$BB$4,'19.02'!$BB$3))</f>
        <v>0</v>
      </c>
      <c r="E60" s="4">
        <f>IF(ISNUMBER(SEARCH("营",'19.02'!M60)),(-$Y60+50*IF('19.02'!$AK60="是",'19.02'!$BB$4,'19.02'!$BB$3)),(VLOOKUP('19.02'!M60,'19.02'!$AO$4:$AQ$55,2,FALSE))*IF('19.02'!$AK60="是",'19.02'!$BB$4,'19.02'!$BB$3))</f>
        <v>0</v>
      </c>
      <c r="F60" s="4">
        <f>IF(ISNUMBER(SEARCH("营",'19.02'!N60)),(-$Y60+50*IF('19.02'!$AK60="是",'19.02'!$BB$4,'19.02'!$BB$3)),(VLOOKUP('19.02'!N60,'19.02'!$AO$4:$AQ$55,2,FALSE))*IF('19.02'!$AK60="是",'19.02'!$BB$4,'19.02'!$BB$3))</f>
        <v>0</v>
      </c>
      <c r="G60" s="4">
        <f>IF(ISNUMBER(SEARCH("营",'19.02'!O60)),(-$Y60+50*IF('19.02'!$AK60="是",'19.02'!$BB$4,'19.02'!$BB$3)),(VLOOKUP('19.02'!O60,'19.02'!$AO$4:$AQ$55,2,FALSE))*IF('19.02'!$AK60="是",'19.02'!$BB$4,'19.02'!$BB$3))</f>
        <v>0</v>
      </c>
      <c r="H60" s="4">
        <f>IF(ISNUMBER(SEARCH("营",'19.02'!P60)),(-$Y60+50*IF('19.02'!$AK60="是",'19.02'!$BB$4,'19.02'!$BB$3)),(VLOOKUP('19.02'!P60,'19.02'!$AO$4:$AQ$55,2,FALSE))*IF('19.02'!$AK60="是",'19.02'!$BB$4,'19.02'!$BB$3))</f>
        <v>0</v>
      </c>
      <c r="I60" s="4">
        <f>IF(ISNUMBER(SEARCH("营",'19.02'!Q60)),(-$Y60+50*IF('19.02'!$AK60="是",'19.02'!$BB$4,'19.02'!$BB$3)),(VLOOKUP('19.02'!Q60,'19.02'!$AO$4:$AQ$55,2,FALSE))*IF('19.02'!$AK60="是",'19.02'!$BB$4,'19.02'!$BB$3))</f>
        <v>0</v>
      </c>
      <c r="J60" s="4">
        <f>IF(ISNUMBER(SEARCH("营",'19.02'!R60)),(-$Y60+50*IF('19.02'!$AK60="是",'19.02'!$BB$4,'19.02'!$BB$3)),(VLOOKUP('19.02'!R60,'19.02'!$AO$4:$AQ$55,2,FALSE))*IF('19.02'!$AK60="是",'19.02'!$BB$4,'19.02'!$BB$3))</f>
        <v>0</v>
      </c>
      <c r="K60" s="4">
        <f>IF(ISNUMBER(SEARCH("营",'19.02'!S60)),(-$Y60+50*IF('19.02'!$AK60="是",'19.02'!$BB$4,'19.02'!$BB$3)),(VLOOKUP('19.02'!S60,'19.02'!$AO$4:$AQ$55,2,FALSE))*IF('19.02'!$AK60="是",'19.02'!$BB$4,'19.02'!$BB$3))</f>
        <v>0</v>
      </c>
      <c r="L60" s="4">
        <f>IF(ISNUMBER(SEARCH("营",'19.02'!T60)),(-$Y60+50*IF('19.02'!$AK60="是",'19.02'!$BB$4,'19.02'!$BB$3)),(VLOOKUP('19.02'!T60,'19.02'!$AO$4:$AQ$55,2,FALSE))*IF('19.02'!$AK60="是",'19.02'!$BB$4,'19.02'!$BB$3))</f>
        <v>0</v>
      </c>
      <c r="M60" s="4">
        <f>IF(ISNUMBER(SEARCH("营",'19.02'!U60)),(-$Y60+50*IF('19.02'!$AK60="是",'19.02'!$BB$4,'19.02'!$BB$3)),(VLOOKUP('19.02'!U60,'19.02'!$AO$4:$AQ$55,2,FALSE))*IF('19.02'!$AK60="是",'19.02'!$BB$4,'19.02'!$BB$3))</f>
        <v>0</v>
      </c>
      <c r="N60" s="4">
        <f>IF(ISNUMBER(SEARCH("营",'19.02'!V60)),(-$Y60+50*IF('19.02'!$AK60="是",'19.02'!$BB$4,'19.02'!$BB$3)),(VLOOKUP('19.02'!V60,'19.02'!$AO$4:$AQ$55,2,FALSE))*IF('19.02'!$AK60="是",'19.02'!$BB$4,'19.02'!$BB$3))</f>
        <v>0</v>
      </c>
      <c r="O60" s="4">
        <f>IF(ISNUMBER(SEARCH("营",'19.02'!W60)),(-$Y60+50*IF('19.02'!$AK60="是",'19.02'!$BB$4,'19.02'!$BB$3)),(VLOOKUP('19.02'!W60,'19.02'!$AO$4:$AQ$55,2,FALSE))*IF('19.02'!$AK60="是",'19.02'!$BB$4,'19.02'!$BB$3))</f>
        <v>0</v>
      </c>
      <c r="P60" s="4">
        <f>IF(ISNUMBER(SEARCH("营",'19.02'!X60)),(-$Y60+50*IF('19.02'!$AK60="是",'19.02'!$BB$4,'19.02'!$BB$3)),(VLOOKUP('19.02'!X60,'19.02'!$AO$4:$AQ$55,2,FALSE))*IF('19.02'!$AK60="是",'19.02'!$BB$4,'19.02'!$BB$3))</f>
        <v>0</v>
      </c>
      <c r="Q60" s="4">
        <f>IF(ISNUMBER(SEARCH("营",'19.02'!Y60)),(-$Y60+50*IF('19.02'!$AK60="是",'19.02'!$BB$4,'19.02'!$BB$3)),(VLOOKUP('19.02'!Y60,'19.02'!$AO$4:$AQ$55,2,FALSE))*IF('19.02'!$AK60="是",'19.02'!$BB$4,'19.02'!$BB$3))</f>
        <v>0</v>
      </c>
      <c r="R60" s="4">
        <f>IF(ISNUMBER(SEARCH("营",'19.02'!Z60)),(-$Y60+50*IF('19.02'!$AK60="是",'19.02'!$BB$4,'19.02'!$BB$3)),(VLOOKUP('19.02'!Z60,'19.02'!$AO$4:$AQ$55,2,FALSE))*IF('19.02'!$AK60="是",'19.02'!$BB$4,'19.02'!$BB$3))</f>
        <v>0</v>
      </c>
      <c r="S60" s="4">
        <f>IF(ISNUMBER(SEARCH("营",'19.02'!AA60)),(-$Y60+50*IF('19.02'!$AK60="是",'19.02'!$BB$4,'19.02'!$BB$3)),(VLOOKUP('19.02'!AA60,'19.02'!$AO$4:$AQ$55,2,FALSE))*IF('19.02'!$AK60="是",'19.02'!$BB$4,'19.02'!$BB$3))</f>
        <v>0</v>
      </c>
      <c r="T60" s="4">
        <f>IF(ISNUMBER(SEARCH("营",'19.02'!AB60)),(-$Y60+50*IF('19.02'!$AK60="是",'19.02'!$BB$4,'19.02'!$BB$3)),(VLOOKUP('19.02'!AB60,'19.02'!$AO$4:$AQ$55,2,FALSE))*IF('19.02'!$AK60="是",'19.02'!$BB$4,'19.02'!$BB$3))</f>
        <v>0</v>
      </c>
      <c r="U60" s="4">
        <f>IF(ISNUMBER(SEARCH("营",'19.02'!AC60)),(-$Y60+50*IF('19.02'!$AK60="是",'19.02'!$BB$4,'19.02'!$BB$3)),(VLOOKUP('19.02'!AC60,'19.02'!$AO$4:$AQ$55,2,FALSE))*IF('19.02'!$AK60="是",'19.02'!$BB$4,'19.02'!$BB$3))</f>
        <v>0</v>
      </c>
      <c r="V60" s="4">
        <f>IF(ISNUMBER(SEARCH("营",'19.02'!AD60)),(-$Y60+50*IF('19.02'!$AK60="是",'19.02'!$BB$4,'19.02'!$BB$3)),(VLOOKUP('19.02'!AD60,'19.02'!$AO$4:$AQ$55,2,FALSE))*IF('19.02'!$AK60="是",'19.02'!$BB$4,'19.02'!$BB$3))</f>
        <v>0</v>
      </c>
      <c r="W60" s="4">
        <f>IF(ISNUMBER(SEARCH("营",'19.02'!AE60)),(-$Y60+50*IF('19.02'!$AK60="是",'19.02'!$BB$4,'19.02'!$BB$3)),(VLOOKUP('19.02'!AE60,'19.02'!$AO$4:$AQ$55,2,FALSE))*IF('19.02'!$AK60="是",'19.02'!$BB$4,'19.02'!$BB$3))</f>
        <v>0</v>
      </c>
      <c r="X60" s="4">
        <f>IF(ISNUMBER(SEARCH("营",'19.02'!AF60)),(-$Y60+50*IF('19.02'!$AK60="是",'19.02'!$BB$4,'19.02'!$BB$3)),(VLOOKUP('19.02'!AF60,'19.02'!$AO$4:$AQ$55,2,FALSE))*IF('19.02'!$AK60="是",'19.02'!$BB$4,'19.02'!$BB$3))</f>
        <v>0</v>
      </c>
      <c r="Y60" s="76">
        <v>100</v>
      </c>
      <c r="Z60" s="85">
        <v>45786</v>
      </c>
    </row>
    <row r="61" spans="1:26">
      <c r="A61" s="4">
        <f>IF(ISNUMBER(SEARCH("营",'19.02'!I61)),(-$Y61+50*IF('19.02'!$AK61="是",'19.02'!$BB$4,'19.02'!$BB$3)),(VLOOKUP('19.02'!I61,'19.02'!$AO$4:$AQ$55,2,FALSE))*IF('19.02'!$AK61="是",'19.02'!$BB$4,'19.02'!$BB$3))</f>
        <v>0</v>
      </c>
      <c r="B61" s="4">
        <f>IF(ISNUMBER(SEARCH("营",'19.02'!J61)),(-$Y61+50*IF('19.02'!$AK61="是",'19.02'!$BB$4,'19.02'!$BB$3)),(VLOOKUP('19.02'!J61,'19.02'!$AO$4:$AQ$55,2,FALSE))*IF('19.02'!$AK61="是",'19.02'!$BB$4,'19.02'!$BB$3))</f>
        <v>0</v>
      </c>
      <c r="C61" s="4">
        <f>IF(ISNUMBER(SEARCH("营",'19.02'!K61)),(-$Y61+50*IF('19.02'!$AK61="是",'19.02'!$BB$4,'19.02'!$BB$3)),(VLOOKUP('19.02'!K61,'19.02'!$AO$4:$AQ$55,2,FALSE))*IF('19.02'!$AK61="是",'19.02'!$BB$4,'19.02'!$BB$3))</f>
        <v>0</v>
      </c>
      <c r="D61" s="4">
        <f>IF(ISNUMBER(SEARCH("营",'19.02'!L61)),(-$Y61+50*IF('19.02'!$AK61="是",'19.02'!$BB$4,'19.02'!$BB$3)),(VLOOKUP('19.02'!L61,'19.02'!$AO$4:$AQ$55,2,FALSE))*IF('19.02'!$AK61="是",'19.02'!$BB$4,'19.02'!$BB$3))</f>
        <v>0</v>
      </c>
      <c r="E61" s="4">
        <f>IF(ISNUMBER(SEARCH("营",'19.02'!M61)),(-$Y61+50*IF('19.02'!$AK61="是",'19.02'!$BB$4,'19.02'!$BB$3)),(VLOOKUP('19.02'!M61,'19.02'!$AO$4:$AQ$55,2,FALSE))*IF('19.02'!$AK61="是",'19.02'!$BB$4,'19.02'!$BB$3))</f>
        <v>0</v>
      </c>
      <c r="F61" s="4">
        <f>IF(ISNUMBER(SEARCH("营",'19.02'!N61)),(-$Y61+50*IF('19.02'!$AK61="是",'19.02'!$BB$4,'19.02'!$BB$3)),(VLOOKUP('19.02'!N61,'19.02'!$AO$4:$AQ$55,2,FALSE))*IF('19.02'!$AK61="是",'19.02'!$BB$4,'19.02'!$BB$3))</f>
        <v>0</v>
      </c>
      <c r="G61" s="4">
        <f>IF(ISNUMBER(SEARCH("营",'19.02'!O61)),(-$Y61+50*IF('19.02'!$AK61="是",'19.02'!$BB$4,'19.02'!$BB$3)),(VLOOKUP('19.02'!O61,'19.02'!$AO$4:$AQ$55,2,FALSE))*IF('19.02'!$AK61="是",'19.02'!$BB$4,'19.02'!$BB$3))</f>
        <v>0</v>
      </c>
      <c r="H61" s="4">
        <f>IF(ISNUMBER(SEARCH("营",'19.02'!P61)),(-$Y61+50*IF('19.02'!$AK61="是",'19.02'!$BB$4,'19.02'!$BB$3)),(VLOOKUP('19.02'!P61,'19.02'!$AO$4:$AQ$55,2,FALSE))*IF('19.02'!$AK61="是",'19.02'!$BB$4,'19.02'!$BB$3))</f>
        <v>0</v>
      </c>
      <c r="I61" s="4">
        <f>IF(ISNUMBER(SEARCH("营",'19.02'!Q61)),(-$Y61+50*IF('19.02'!$AK61="是",'19.02'!$BB$4,'19.02'!$BB$3)),(VLOOKUP('19.02'!Q61,'19.02'!$AO$4:$AQ$55,2,FALSE))*IF('19.02'!$AK61="是",'19.02'!$BB$4,'19.02'!$BB$3))</f>
        <v>0</v>
      </c>
      <c r="J61" s="4">
        <f>IF(ISNUMBER(SEARCH("营",'19.02'!R61)),(-$Y61+50*IF('19.02'!$AK61="是",'19.02'!$BB$4,'19.02'!$BB$3)),(VLOOKUP('19.02'!R61,'19.02'!$AO$4:$AQ$55,2,FALSE))*IF('19.02'!$AK61="是",'19.02'!$BB$4,'19.02'!$BB$3))</f>
        <v>0</v>
      </c>
      <c r="K61" s="4">
        <f>IF(ISNUMBER(SEARCH("营",'19.02'!S61)),(-$Y61+50*IF('19.02'!$AK61="是",'19.02'!$BB$4,'19.02'!$BB$3)),(VLOOKUP('19.02'!S61,'19.02'!$AO$4:$AQ$55,2,FALSE))*IF('19.02'!$AK61="是",'19.02'!$BB$4,'19.02'!$BB$3))</f>
        <v>0</v>
      </c>
      <c r="L61" s="4">
        <f>IF(ISNUMBER(SEARCH("营",'19.02'!T61)),(-$Y61+50*IF('19.02'!$AK61="是",'19.02'!$BB$4,'19.02'!$BB$3)),(VLOOKUP('19.02'!T61,'19.02'!$AO$4:$AQ$55,2,FALSE))*IF('19.02'!$AK61="是",'19.02'!$BB$4,'19.02'!$BB$3))</f>
        <v>0</v>
      </c>
      <c r="M61" s="4">
        <f>IF(ISNUMBER(SEARCH("营",'19.02'!U61)),(-$Y61+50*IF('19.02'!$AK61="是",'19.02'!$BB$4,'19.02'!$BB$3)),(VLOOKUP('19.02'!U61,'19.02'!$AO$4:$AQ$55,2,FALSE))*IF('19.02'!$AK61="是",'19.02'!$BB$4,'19.02'!$BB$3))</f>
        <v>0</v>
      </c>
      <c r="N61" s="4">
        <f>IF(ISNUMBER(SEARCH("营",'19.02'!V61)),(-$Y61+50*IF('19.02'!$AK61="是",'19.02'!$BB$4,'19.02'!$BB$3)),(VLOOKUP('19.02'!V61,'19.02'!$AO$4:$AQ$55,2,FALSE))*IF('19.02'!$AK61="是",'19.02'!$BB$4,'19.02'!$BB$3))</f>
        <v>0</v>
      </c>
      <c r="O61" s="4">
        <f>IF(ISNUMBER(SEARCH("营",'19.02'!W61)),(-$Y61+50*IF('19.02'!$AK61="是",'19.02'!$BB$4,'19.02'!$BB$3)),(VLOOKUP('19.02'!W61,'19.02'!$AO$4:$AQ$55,2,FALSE))*IF('19.02'!$AK61="是",'19.02'!$BB$4,'19.02'!$BB$3))</f>
        <v>0</v>
      </c>
      <c r="P61" s="4">
        <f>IF(ISNUMBER(SEARCH("营",'19.02'!X61)),(-$Y61+50*IF('19.02'!$AK61="是",'19.02'!$BB$4,'19.02'!$BB$3)),(VLOOKUP('19.02'!X61,'19.02'!$AO$4:$AQ$55,2,FALSE))*IF('19.02'!$AK61="是",'19.02'!$BB$4,'19.02'!$BB$3))</f>
        <v>0</v>
      </c>
      <c r="Q61" s="4">
        <f>IF(ISNUMBER(SEARCH("营",'19.02'!Y61)),(-$Y61+50*IF('19.02'!$AK61="是",'19.02'!$BB$4,'19.02'!$BB$3)),(VLOOKUP('19.02'!Y61,'19.02'!$AO$4:$AQ$55,2,FALSE))*IF('19.02'!$AK61="是",'19.02'!$BB$4,'19.02'!$BB$3))</f>
        <v>0</v>
      </c>
      <c r="R61" s="4">
        <f>IF(ISNUMBER(SEARCH("营",'19.02'!Z61)),(-$Y61+50*IF('19.02'!$AK61="是",'19.02'!$BB$4,'19.02'!$BB$3)),(VLOOKUP('19.02'!Z61,'19.02'!$AO$4:$AQ$55,2,FALSE))*IF('19.02'!$AK61="是",'19.02'!$BB$4,'19.02'!$BB$3))</f>
        <v>0</v>
      </c>
      <c r="S61" s="4">
        <f>IF(ISNUMBER(SEARCH("营",'19.02'!AA61)),(-$Y61+50*IF('19.02'!$AK61="是",'19.02'!$BB$4,'19.02'!$BB$3)),(VLOOKUP('19.02'!AA61,'19.02'!$AO$4:$AQ$55,2,FALSE))*IF('19.02'!$AK61="是",'19.02'!$BB$4,'19.02'!$BB$3))</f>
        <v>0</v>
      </c>
      <c r="T61" s="4">
        <f>IF(ISNUMBER(SEARCH("营",'19.02'!AB61)),(-$Y61+50*IF('19.02'!$AK61="是",'19.02'!$BB$4,'19.02'!$BB$3)),(VLOOKUP('19.02'!AB61,'19.02'!$AO$4:$AQ$55,2,FALSE))*IF('19.02'!$AK61="是",'19.02'!$BB$4,'19.02'!$BB$3))</f>
        <v>0</v>
      </c>
      <c r="U61" s="4">
        <f>IF(ISNUMBER(SEARCH("营",'19.02'!AC61)),(-$Y61+50*IF('19.02'!$AK61="是",'19.02'!$BB$4,'19.02'!$BB$3)),(VLOOKUP('19.02'!AC61,'19.02'!$AO$4:$AQ$55,2,FALSE))*IF('19.02'!$AK61="是",'19.02'!$BB$4,'19.02'!$BB$3))</f>
        <v>0</v>
      </c>
      <c r="V61" s="4">
        <f>IF(ISNUMBER(SEARCH("营",'19.02'!AD61)),(-$Y61+50*IF('19.02'!$AK61="是",'19.02'!$BB$4,'19.02'!$BB$3)),(VLOOKUP('19.02'!AD61,'19.02'!$AO$4:$AQ$55,2,FALSE))*IF('19.02'!$AK61="是",'19.02'!$BB$4,'19.02'!$BB$3))</f>
        <v>0</v>
      </c>
      <c r="W61" s="4">
        <f>IF(ISNUMBER(SEARCH("营",'19.02'!AE61)),(-$Y61+50*IF('19.02'!$AK61="是",'19.02'!$BB$4,'19.02'!$BB$3)),(VLOOKUP('19.02'!AE61,'19.02'!$AO$4:$AQ$55,2,FALSE))*IF('19.02'!$AK61="是",'19.02'!$BB$4,'19.02'!$BB$3))</f>
        <v>0</v>
      </c>
      <c r="X61" s="4">
        <f>IF(ISNUMBER(SEARCH("营",'19.02'!AF61)),(-$Y61+50*IF('19.02'!$AK61="是",'19.02'!$BB$4,'19.02'!$BB$3)),(VLOOKUP('19.02'!AF61,'19.02'!$AO$4:$AQ$55,2,FALSE))*IF('19.02'!$AK61="是",'19.02'!$BB$4,'19.02'!$BB$3))</f>
        <v>0</v>
      </c>
      <c r="Y61" s="76">
        <v>100</v>
      </c>
      <c r="Z61" s="85">
        <v>45787</v>
      </c>
    </row>
    <row r="62" spans="1:26">
      <c r="A62" s="4">
        <f>IF(ISNUMBER(SEARCH("营",'19.02'!I62)),(-$Y62+50*IF('19.02'!$AK62="是",'19.02'!$BB$4,'19.02'!$BB$3)),(VLOOKUP('19.02'!I62,'19.02'!$AO$4:$AQ$55,2,FALSE))*IF('19.02'!$AK62="是",'19.02'!$BB$4,'19.02'!$BB$3))</f>
        <v>0</v>
      </c>
      <c r="B62" s="4">
        <f>IF(ISNUMBER(SEARCH("营",'19.02'!J62)),(-$Y62+50*IF('19.02'!$AK62="是",'19.02'!$BB$4,'19.02'!$BB$3)),(VLOOKUP('19.02'!J62,'19.02'!$AO$4:$AQ$55,2,FALSE))*IF('19.02'!$AK62="是",'19.02'!$BB$4,'19.02'!$BB$3))</f>
        <v>0</v>
      </c>
      <c r="C62" s="4">
        <f>IF(ISNUMBER(SEARCH("营",'19.02'!K62)),(-$Y62+50*IF('19.02'!$AK62="是",'19.02'!$BB$4,'19.02'!$BB$3)),(VLOOKUP('19.02'!K62,'19.02'!$AO$4:$AQ$55,2,FALSE))*IF('19.02'!$AK62="是",'19.02'!$BB$4,'19.02'!$BB$3))</f>
        <v>0</v>
      </c>
      <c r="D62" s="4">
        <f>IF(ISNUMBER(SEARCH("营",'19.02'!L62)),(-$Y62+50*IF('19.02'!$AK62="是",'19.02'!$BB$4,'19.02'!$BB$3)),(VLOOKUP('19.02'!L62,'19.02'!$AO$4:$AQ$55,2,FALSE))*IF('19.02'!$AK62="是",'19.02'!$BB$4,'19.02'!$BB$3))</f>
        <v>0</v>
      </c>
      <c r="E62" s="4">
        <f>IF(ISNUMBER(SEARCH("营",'19.02'!M62)),(-$Y62+50*IF('19.02'!$AK62="是",'19.02'!$BB$4,'19.02'!$BB$3)),(VLOOKUP('19.02'!M62,'19.02'!$AO$4:$AQ$55,2,FALSE))*IF('19.02'!$AK62="是",'19.02'!$BB$4,'19.02'!$BB$3))</f>
        <v>0</v>
      </c>
      <c r="F62" s="4">
        <f>IF(ISNUMBER(SEARCH("营",'19.02'!N62)),(-$Y62+50*IF('19.02'!$AK62="是",'19.02'!$BB$4,'19.02'!$BB$3)),(VLOOKUP('19.02'!N62,'19.02'!$AO$4:$AQ$55,2,FALSE))*IF('19.02'!$AK62="是",'19.02'!$BB$4,'19.02'!$BB$3))</f>
        <v>0</v>
      </c>
      <c r="G62" s="4">
        <f>IF(ISNUMBER(SEARCH("营",'19.02'!O62)),(-$Y62+50*IF('19.02'!$AK62="是",'19.02'!$BB$4,'19.02'!$BB$3)),(VLOOKUP('19.02'!O62,'19.02'!$AO$4:$AQ$55,2,FALSE))*IF('19.02'!$AK62="是",'19.02'!$BB$4,'19.02'!$BB$3))</f>
        <v>0</v>
      </c>
      <c r="H62" s="4">
        <f>IF(ISNUMBER(SEARCH("营",'19.02'!P62)),(-$Y62+50*IF('19.02'!$AK62="是",'19.02'!$BB$4,'19.02'!$BB$3)),(VLOOKUP('19.02'!P62,'19.02'!$AO$4:$AQ$55,2,FALSE))*IF('19.02'!$AK62="是",'19.02'!$BB$4,'19.02'!$BB$3))</f>
        <v>0</v>
      </c>
      <c r="I62" s="4">
        <f>IF(ISNUMBER(SEARCH("营",'19.02'!Q62)),(-$Y62+50*IF('19.02'!$AK62="是",'19.02'!$BB$4,'19.02'!$BB$3)),(VLOOKUP('19.02'!Q62,'19.02'!$AO$4:$AQ$55,2,FALSE))*IF('19.02'!$AK62="是",'19.02'!$BB$4,'19.02'!$BB$3))</f>
        <v>0</v>
      </c>
      <c r="J62" s="4">
        <f>IF(ISNUMBER(SEARCH("营",'19.02'!R62)),(-$Y62+50*IF('19.02'!$AK62="是",'19.02'!$BB$4,'19.02'!$BB$3)),(VLOOKUP('19.02'!R62,'19.02'!$AO$4:$AQ$55,2,FALSE))*IF('19.02'!$AK62="是",'19.02'!$BB$4,'19.02'!$BB$3))</f>
        <v>0</v>
      </c>
      <c r="K62" s="4">
        <f>IF(ISNUMBER(SEARCH("营",'19.02'!S62)),(-$Y62+50*IF('19.02'!$AK62="是",'19.02'!$BB$4,'19.02'!$BB$3)),(VLOOKUP('19.02'!S62,'19.02'!$AO$4:$AQ$55,2,FALSE))*IF('19.02'!$AK62="是",'19.02'!$BB$4,'19.02'!$BB$3))</f>
        <v>0</v>
      </c>
      <c r="L62" s="4">
        <f>IF(ISNUMBER(SEARCH("营",'19.02'!T62)),(-$Y62+50*IF('19.02'!$AK62="是",'19.02'!$BB$4,'19.02'!$BB$3)),(VLOOKUP('19.02'!T62,'19.02'!$AO$4:$AQ$55,2,FALSE))*IF('19.02'!$AK62="是",'19.02'!$BB$4,'19.02'!$BB$3))</f>
        <v>0</v>
      </c>
      <c r="M62" s="4">
        <f>IF(ISNUMBER(SEARCH("营",'19.02'!U62)),(-$Y62+50*IF('19.02'!$AK62="是",'19.02'!$BB$4,'19.02'!$BB$3)),(VLOOKUP('19.02'!U62,'19.02'!$AO$4:$AQ$55,2,FALSE))*IF('19.02'!$AK62="是",'19.02'!$BB$4,'19.02'!$BB$3))</f>
        <v>0</v>
      </c>
      <c r="N62" s="4">
        <f>IF(ISNUMBER(SEARCH("营",'19.02'!V62)),(-$Y62+50*IF('19.02'!$AK62="是",'19.02'!$BB$4,'19.02'!$BB$3)),(VLOOKUP('19.02'!V62,'19.02'!$AO$4:$AQ$55,2,FALSE))*IF('19.02'!$AK62="是",'19.02'!$BB$4,'19.02'!$BB$3))</f>
        <v>0</v>
      </c>
      <c r="O62" s="4">
        <f>IF(ISNUMBER(SEARCH("营",'19.02'!W62)),(-$Y62+50*IF('19.02'!$AK62="是",'19.02'!$BB$4,'19.02'!$BB$3)),(VLOOKUP('19.02'!W62,'19.02'!$AO$4:$AQ$55,2,FALSE))*IF('19.02'!$AK62="是",'19.02'!$BB$4,'19.02'!$BB$3))</f>
        <v>0</v>
      </c>
      <c r="P62" s="4">
        <f>IF(ISNUMBER(SEARCH("营",'19.02'!X62)),(-$Y62+50*IF('19.02'!$AK62="是",'19.02'!$BB$4,'19.02'!$BB$3)),(VLOOKUP('19.02'!X62,'19.02'!$AO$4:$AQ$55,2,FALSE))*IF('19.02'!$AK62="是",'19.02'!$BB$4,'19.02'!$BB$3))</f>
        <v>0</v>
      </c>
      <c r="Q62" s="4">
        <f>IF(ISNUMBER(SEARCH("营",'19.02'!Y62)),(-$Y62+50*IF('19.02'!$AK62="是",'19.02'!$BB$4,'19.02'!$BB$3)),(VLOOKUP('19.02'!Y62,'19.02'!$AO$4:$AQ$55,2,FALSE))*IF('19.02'!$AK62="是",'19.02'!$BB$4,'19.02'!$BB$3))</f>
        <v>0</v>
      </c>
      <c r="R62" s="4">
        <f>IF(ISNUMBER(SEARCH("营",'19.02'!Z62)),(-$Y62+50*IF('19.02'!$AK62="是",'19.02'!$BB$4,'19.02'!$BB$3)),(VLOOKUP('19.02'!Z62,'19.02'!$AO$4:$AQ$55,2,FALSE))*IF('19.02'!$AK62="是",'19.02'!$BB$4,'19.02'!$BB$3))</f>
        <v>0</v>
      </c>
      <c r="S62" s="4">
        <f>IF(ISNUMBER(SEARCH("营",'19.02'!AA62)),(-$Y62+50*IF('19.02'!$AK62="是",'19.02'!$BB$4,'19.02'!$BB$3)),(VLOOKUP('19.02'!AA62,'19.02'!$AO$4:$AQ$55,2,FALSE))*IF('19.02'!$AK62="是",'19.02'!$BB$4,'19.02'!$BB$3))</f>
        <v>0</v>
      </c>
      <c r="T62" s="4">
        <f>IF(ISNUMBER(SEARCH("营",'19.02'!AB62)),(-$Y62+50*IF('19.02'!$AK62="是",'19.02'!$BB$4,'19.02'!$BB$3)),(VLOOKUP('19.02'!AB62,'19.02'!$AO$4:$AQ$55,2,FALSE))*IF('19.02'!$AK62="是",'19.02'!$BB$4,'19.02'!$BB$3))</f>
        <v>0</v>
      </c>
      <c r="U62" s="4">
        <f>IF(ISNUMBER(SEARCH("营",'19.02'!AC62)),(-$Y62+50*IF('19.02'!$AK62="是",'19.02'!$BB$4,'19.02'!$BB$3)),(VLOOKUP('19.02'!AC62,'19.02'!$AO$4:$AQ$55,2,FALSE))*IF('19.02'!$AK62="是",'19.02'!$BB$4,'19.02'!$BB$3))</f>
        <v>0</v>
      </c>
      <c r="V62" s="4">
        <f>IF(ISNUMBER(SEARCH("营",'19.02'!AD62)),(-$Y62+50*IF('19.02'!$AK62="是",'19.02'!$BB$4,'19.02'!$BB$3)),(VLOOKUP('19.02'!AD62,'19.02'!$AO$4:$AQ$55,2,FALSE))*IF('19.02'!$AK62="是",'19.02'!$BB$4,'19.02'!$BB$3))</f>
        <v>0</v>
      </c>
      <c r="W62" s="4">
        <f>IF(ISNUMBER(SEARCH("营",'19.02'!AE62)),(-$Y62+50*IF('19.02'!$AK62="是",'19.02'!$BB$4,'19.02'!$BB$3)),(VLOOKUP('19.02'!AE62,'19.02'!$AO$4:$AQ$55,2,FALSE))*IF('19.02'!$AK62="是",'19.02'!$BB$4,'19.02'!$BB$3))</f>
        <v>0</v>
      </c>
      <c r="X62" s="4">
        <f>IF(ISNUMBER(SEARCH("营",'19.02'!AF62)),(-$Y62+50*IF('19.02'!$AK62="是",'19.02'!$BB$4,'19.02'!$BB$3)),(VLOOKUP('19.02'!AF62,'19.02'!$AO$4:$AQ$55,2,FALSE))*IF('19.02'!$AK62="是",'19.02'!$BB$4,'19.02'!$BB$3))</f>
        <v>0</v>
      </c>
      <c r="Y62" s="76">
        <v>100</v>
      </c>
      <c r="Z62" s="85">
        <v>45788</v>
      </c>
    </row>
    <row r="63" spans="1:26">
      <c r="A63" s="4">
        <f>IF(ISNUMBER(SEARCH("营",'19.02'!I63)),(-$Y63+50*IF('19.02'!$AK63="是",'19.02'!$BB$4,'19.02'!$BB$3)),(VLOOKUP('19.02'!I63,'19.02'!$AO$4:$AQ$55,2,FALSE))*IF('19.02'!$AK63="是",'19.02'!$BB$4,'19.02'!$BB$3))</f>
        <v>0</v>
      </c>
      <c r="B63" s="4">
        <f>IF(ISNUMBER(SEARCH("营",'19.02'!J63)),(-$Y63+50*IF('19.02'!$AK63="是",'19.02'!$BB$4,'19.02'!$BB$3)),(VLOOKUP('19.02'!J63,'19.02'!$AO$4:$AQ$55,2,FALSE))*IF('19.02'!$AK63="是",'19.02'!$BB$4,'19.02'!$BB$3))</f>
        <v>0</v>
      </c>
      <c r="C63" s="4">
        <f>IF(ISNUMBER(SEARCH("营",'19.02'!K63)),(-$Y63+50*IF('19.02'!$AK63="是",'19.02'!$BB$4,'19.02'!$BB$3)),(VLOOKUP('19.02'!K63,'19.02'!$AO$4:$AQ$55,2,FALSE))*IF('19.02'!$AK63="是",'19.02'!$BB$4,'19.02'!$BB$3))</f>
        <v>0</v>
      </c>
      <c r="D63" s="4">
        <f>IF(ISNUMBER(SEARCH("营",'19.02'!L63)),(-$Y63+50*IF('19.02'!$AK63="是",'19.02'!$BB$4,'19.02'!$BB$3)),(VLOOKUP('19.02'!L63,'19.02'!$AO$4:$AQ$55,2,FALSE))*IF('19.02'!$AK63="是",'19.02'!$BB$4,'19.02'!$BB$3))</f>
        <v>0</v>
      </c>
      <c r="E63" s="4">
        <f>IF(ISNUMBER(SEARCH("营",'19.02'!M63)),(-$Y63+50*IF('19.02'!$AK63="是",'19.02'!$BB$4,'19.02'!$BB$3)),(VLOOKUP('19.02'!M63,'19.02'!$AO$4:$AQ$55,2,FALSE))*IF('19.02'!$AK63="是",'19.02'!$BB$4,'19.02'!$BB$3))</f>
        <v>0</v>
      </c>
      <c r="F63" s="4">
        <f>IF(ISNUMBER(SEARCH("营",'19.02'!N63)),(-$Y63+50*IF('19.02'!$AK63="是",'19.02'!$BB$4,'19.02'!$BB$3)),(VLOOKUP('19.02'!N63,'19.02'!$AO$4:$AQ$55,2,FALSE))*IF('19.02'!$AK63="是",'19.02'!$BB$4,'19.02'!$BB$3))</f>
        <v>0</v>
      </c>
      <c r="G63" s="4">
        <f>IF(ISNUMBER(SEARCH("营",'19.02'!O63)),(-$Y63+50*IF('19.02'!$AK63="是",'19.02'!$BB$4,'19.02'!$BB$3)),(VLOOKUP('19.02'!O63,'19.02'!$AO$4:$AQ$55,2,FALSE))*IF('19.02'!$AK63="是",'19.02'!$BB$4,'19.02'!$BB$3))</f>
        <v>0</v>
      </c>
      <c r="H63" s="4">
        <f>IF(ISNUMBER(SEARCH("营",'19.02'!P63)),(-$Y63+50*IF('19.02'!$AK63="是",'19.02'!$BB$4,'19.02'!$BB$3)),(VLOOKUP('19.02'!P63,'19.02'!$AO$4:$AQ$55,2,FALSE))*IF('19.02'!$AK63="是",'19.02'!$BB$4,'19.02'!$BB$3))</f>
        <v>0</v>
      </c>
      <c r="I63" s="4">
        <f>IF(ISNUMBER(SEARCH("营",'19.02'!Q63)),(-$Y63+50*IF('19.02'!$AK63="是",'19.02'!$BB$4,'19.02'!$BB$3)),(VLOOKUP('19.02'!Q63,'19.02'!$AO$4:$AQ$55,2,FALSE))*IF('19.02'!$AK63="是",'19.02'!$BB$4,'19.02'!$BB$3))</f>
        <v>0</v>
      </c>
      <c r="J63" s="4">
        <f>IF(ISNUMBER(SEARCH("营",'19.02'!R63)),(-$Y63+50*IF('19.02'!$AK63="是",'19.02'!$BB$4,'19.02'!$BB$3)),(VLOOKUP('19.02'!R63,'19.02'!$AO$4:$AQ$55,2,FALSE))*IF('19.02'!$AK63="是",'19.02'!$BB$4,'19.02'!$BB$3))</f>
        <v>0</v>
      </c>
      <c r="K63" s="4">
        <f>IF(ISNUMBER(SEARCH("营",'19.02'!S63)),(-$Y63+50*IF('19.02'!$AK63="是",'19.02'!$BB$4,'19.02'!$BB$3)),(VLOOKUP('19.02'!S63,'19.02'!$AO$4:$AQ$55,2,FALSE))*IF('19.02'!$AK63="是",'19.02'!$BB$4,'19.02'!$BB$3))</f>
        <v>0</v>
      </c>
      <c r="L63" s="4">
        <f>IF(ISNUMBER(SEARCH("营",'19.02'!T63)),(-$Y63+50*IF('19.02'!$AK63="是",'19.02'!$BB$4,'19.02'!$BB$3)),(VLOOKUP('19.02'!T63,'19.02'!$AO$4:$AQ$55,2,FALSE))*IF('19.02'!$AK63="是",'19.02'!$BB$4,'19.02'!$BB$3))</f>
        <v>0</v>
      </c>
      <c r="M63" s="4">
        <f>IF(ISNUMBER(SEARCH("营",'19.02'!U63)),(-$Y63+50*IF('19.02'!$AK63="是",'19.02'!$BB$4,'19.02'!$BB$3)),(VLOOKUP('19.02'!U63,'19.02'!$AO$4:$AQ$55,2,FALSE))*IF('19.02'!$AK63="是",'19.02'!$BB$4,'19.02'!$BB$3))</f>
        <v>0</v>
      </c>
      <c r="N63" s="4">
        <f>IF(ISNUMBER(SEARCH("营",'19.02'!V63)),(-$Y63+50*IF('19.02'!$AK63="是",'19.02'!$BB$4,'19.02'!$BB$3)),(VLOOKUP('19.02'!V63,'19.02'!$AO$4:$AQ$55,2,FALSE))*IF('19.02'!$AK63="是",'19.02'!$BB$4,'19.02'!$BB$3))</f>
        <v>0</v>
      </c>
      <c r="O63" s="4">
        <f>IF(ISNUMBER(SEARCH("营",'19.02'!W63)),(-$Y63+50*IF('19.02'!$AK63="是",'19.02'!$BB$4,'19.02'!$BB$3)),(VLOOKUP('19.02'!W63,'19.02'!$AO$4:$AQ$55,2,FALSE))*IF('19.02'!$AK63="是",'19.02'!$BB$4,'19.02'!$BB$3))</f>
        <v>0</v>
      </c>
      <c r="P63" s="4">
        <f>IF(ISNUMBER(SEARCH("营",'19.02'!X63)),(-$Y63+50*IF('19.02'!$AK63="是",'19.02'!$BB$4,'19.02'!$BB$3)),(VLOOKUP('19.02'!X63,'19.02'!$AO$4:$AQ$55,2,FALSE))*IF('19.02'!$AK63="是",'19.02'!$BB$4,'19.02'!$BB$3))</f>
        <v>0</v>
      </c>
      <c r="Q63" s="4">
        <f>IF(ISNUMBER(SEARCH("营",'19.02'!Y63)),(-$Y63+50*IF('19.02'!$AK63="是",'19.02'!$BB$4,'19.02'!$BB$3)),(VLOOKUP('19.02'!Y63,'19.02'!$AO$4:$AQ$55,2,FALSE))*IF('19.02'!$AK63="是",'19.02'!$BB$4,'19.02'!$BB$3))</f>
        <v>0</v>
      </c>
      <c r="R63" s="4">
        <f>IF(ISNUMBER(SEARCH("营",'19.02'!Z63)),(-$Y63+50*IF('19.02'!$AK63="是",'19.02'!$BB$4,'19.02'!$BB$3)),(VLOOKUP('19.02'!Z63,'19.02'!$AO$4:$AQ$55,2,FALSE))*IF('19.02'!$AK63="是",'19.02'!$BB$4,'19.02'!$BB$3))</f>
        <v>0</v>
      </c>
      <c r="S63" s="4">
        <f>IF(ISNUMBER(SEARCH("营",'19.02'!AA63)),(-$Y63+50*IF('19.02'!$AK63="是",'19.02'!$BB$4,'19.02'!$BB$3)),(VLOOKUP('19.02'!AA63,'19.02'!$AO$4:$AQ$55,2,FALSE))*IF('19.02'!$AK63="是",'19.02'!$BB$4,'19.02'!$BB$3))</f>
        <v>0</v>
      </c>
      <c r="T63" s="4">
        <f>IF(ISNUMBER(SEARCH("营",'19.02'!AB63)),(-$Y63+50*IF('19.02'!$AK63="是",'19.02'!$BB$4,'19.02'!$BB$3)),(VLOOKUP('19.02'!AB63,'19.02'!$AO$4:$AQ$55,2,FALSE))*IF('19.02'!$AK63="是",'19.02'!$BB$4,'19.02'!$BB$3))</f>
        <v>0</v>
      </c>
      <c r="U63" s="4">
        <f>IF(ISNUMBER(SEARCH("营",'19.02'!AC63)),(-$Y63+50*IF('19.02'!$AK63="是",'19.02'!$BB$4,'19.02'!$BB$3)),(VLOOKUP('19.02'!AC63,'19.02'!$AO$4:$AQ$55,2,FALSE))*IF('19.02'!$AK63="是",'19.02'!$BB$4,'19.02'!$BB$3))</f>
        <v>0</v>
      </c>
      <c r="V63" s="4">
        <f>IF(ISNUMBER(SEARCH("营",'19.02'!AD63)),(-$Y63+50*IF('19.02'!$AK63="是",'19.02'!$BB$4,'19.02'!$BB$3)),(VLOOKUP('19.02'!AD63,'19.02'!$AO$4:$AQ$55,2,FALSE))*IF('19.02'!$AK63="是",'19.02'!$BB$4,'19.02'!$BB$3))</f>
        <v>0</v>
      </c>
      <c r="W63" s="4">
        <f>IF(ISNUMBER(SEARCH("营",'19.02'!AE63)),(-$Y63+50*IF('19.02'!$AK63="是",'19.02'!$BB$4,'19.02'!$BB$3)),(VLOOKUP('19.02'!AE63,'19.02'!$AO$4:$AQ$55,2,FALSE))*IF('19.02'!$AK63="是",'19.02'!$BB$4,'19.02'!$BB$3))</f>
        <v>0</v>
      </c>
      <c r="X63" s="4">
        <f>IF(ISNUMBER(SEARCH("营",'19.02'!AF63)),(-$Y63+50*IF('19.02'!$AK63="是",'19.02'!$BB$4,'19.02'!$BB$3)),(VLOOKUP('19.02'!AF63,'19.02'!$AO$4:$AQ$55,2,FALSE))*IF('19.02'!$AK63="是",'19.02'!$BB$4,'19.02'!$BB$3))</f>
        <v>0</v>
      </c>
      <c r="Y63" s="76">
        <v>100</v>
      </c>
      <c r="Z63" s="85">
        <v>45789</v>
      </c>
    </row>
    <row r="64" spans="1:26">
      <c r="A64" s="4">
        <f>IF(ISNUMBER(SEARCH("营",'19.02'!I64)),(-$Y64+50*IF('19.02'!$AK64="是",'19.02'!$BB$4,'19.02'!$BB$3)),(VLOOKUP('19.02'!I64,'19.02'!$AO$4:$AQ$55,2,FALSE))*IF('19.02'!$AK64="是",'19.02'!$BB$4,'19.02'!$BB$3))</f>
        <v>0</v>
      </c>
      <c r="B64" s="4">
        <f>IF(ISNUMBER(SEARCH("营",'19.02'!J64)),(-$Y64+50*IF('19.02'!$AK64="是",'19.02'!$BB$4,'19.02'!$BB$3)),(VLOOKUP('19.02'!J64,'19.02'!$AO$4:$AQ$55,2,FALSE))*IF('19.02'!$AK64="是",'19.02'!$BB$4,'19.02'!$BB$3))</f>
        <v>0</v>
      </c>
      <c r="C64" s="4">
        <f>IF(ISNUMBER(SEARCH("营",'19.02'!K64)),(-$Y64+50*IF('19.02'!$AK64="是",'19.02'!$BB$4,'19.02'!$BB$3)),(VLOOKUP('19.02'!K64,'19.02'!$AO$4:$AQ$55,2,FALSE))*IF('19.02'!$AK64="是",'19.02'!$BB$4,'19.02'!$BB$3))</f>
        <v>0</v>
      </c>
      <c r="D64" s="4">
        <f>IF(ISNUMBER(SEARCH("营",'19.02'!L64)),(-$Y64+50*IF('19.02'!$AK64="是",'19.02'!$BB$4,'19.02'!$BB$3)),(VLOOKUP('19.02'!L64,'19.02'!$AO$4:$AQ$55,2,FALSE))*IF('19.02'!$AK64="是",'19.02'!$BB$4,'19.02'!$BB$3))</f>
        <v>0</v>
      </c>
      <c r="E64" s="4">
        <f>IF(ISNUMBER(SEARCH("营",'19.02'!M64)),(-$Y64+50*IF('19.02'!$AK64="是",'19.02'!$BB$4,'19.02'!$BB$3)),(VLOOKUP('19.02'!M64,'19.02'!$AO$4:$AQ$55,2,FALSE))*IF('19.02'!$AK64="是",'19.02'!$BB$4,'19.02'!$BB$3))</f>
        <v>0</v>
      </c>
      <c r="F64" s="4">
        <f>IF(ISNUMBER(SEARCH("营",'19.02'!N64)),(-$Y64+50*IF('19.02'!$AK64="是",'19.02'!$BB$4,'19.02'!$BB$3)),(VLOOKUP('19.02'!N64,'19.02'!$AO$4:$AQ$55,2,FALSE))*IF('19.02'!$AK64="是",'19.02'!$BB$4,'19.02'!$BB$3))</f>
        <v>0</v>
      </c>
      <c r="G64" s="4">
        <f>IF(ISNUMBER(SEARCH("营",'19.02'!O64)),(-$Y64+50*IF('19.02'!$AK64="是",'19.02'!$BB$4,'19.02'!$BB$3)),(VLOOKUP('19.02'!O64,'19.02'!$AO$4:$AQ$55,2,FALSE))*IF('19.02'!$AK64="是",'19.02'!$BB$4,'19.02'!$BB$3))</f>
        <v>0</v>
      </c>
      <c r="H64" s="4">
        <f>IF(ISNUMBER(SEARCH("营",'19.02'!P64)),(-$Y64+50*IF('19.02'!$AK64="是",'19.02'!$BB$4,'19.02'!$BB$3)),(VLOOKUP('19.02'!P64,'19.02'!$AO$4:$AQ$55,2,FALSE))*IF('19.02'!$AK64="是",'19.02'!$BB$4,'19.02'!$BB$3))</f>
        <v>0</v>
      </c>
      <c r="I64" s="4">
        <f>IF(ISNUMBER(SEARCH("营",'19.02'!Q64)),(-$Y64+50*IF('19.02'!$AK64="是",'19.02'!$BB$4,'19.02'!$BB$3)),(VLOOKUP('19.02'!Q64,'19.02'!$AO$4:$AQ$55,2,FALSE))*IF('19.02'!$AK64="是",'19.02'!$BB$4,'19.02'!$BB$3))</f>
        <v>0</v>
      </c>
      <c r="J64" s="4">
        <f>IF(ISNUMBER(SEARCH("营",'19.02'!R64)),(-$Y64+50*IF('19.02'!$AK64="是",'19.02'!$BB$4,'19.02'!$BB$3)),(VLOOKUP('19.02'!R64,'19.02'!$AO$4:$AQ$55,2,FALSE))*IF('19.02'!$AK64="是",'19.02'!$BB$4,'19.02'!$BB$3))</f>
        <v>0</v>
      </c>
      <c r="K64" s="4">
        <f>IF(ISNUMBER(SEARCH("营",'19.02'!S64)),(-$Y64+50*IF('19.02'!$AK64="是",'19.02'!$BB$4,'19.02'!$BB$3)),(VLOOKUP('19.02'!S64,'19.02'!$AO$4:$AQ$55,2,FALSE))*IF('19.02'!$AK64="是",'19.02'!$BB$4,'19.02'!$BB$3))</f>
        <v>0</v>
      </c>
      <c r="L64" s="4">
        <f>IF(ISNUMBER(SEARCH("营",'19.02'!T64)),(-$Y64+50*IF('19.02'!$AK64="是",'19.02'!$BB$4,'19.02'!$BB$3)),(VLOOKUP('19.02'!T64,'19.02'!$AO$4:$AQ$55,2,FALSE))*IF('19.02'!$AK64="是",'19.02'!$BB$4,'19.02'!$BB$3))</f>
        <v>0</v>
      </c>
      <c r="M64" s="4">
        <f>IF(ISNUMBER(SEARCH("营",'19.02'!U64)),(-$Y64+50*IF('19.02'!$AK64="是",'19.02'!$BB$4,'19.02'!$BB$3)),(VLOOKUP('19.02'!U64,'19.02'!$AO$4:$AQ$55,2,FALSE))*IF('19.02'!$AK64="是",'19.02'!$BB$4,'19.02'!$BB$3))</f>
        <v>0</v>
      </c>
      <c r="N64" s="4">
        <f>IF(ISNUMBER(SEARCH("营",'19.02'!V64)),(-$Y64+50*IF('19.02'!$AK64="是",'19.02'!$BB$4,'19.02'!$BB$3)),(VLOOKUP('19.02'!V64,'19.02'!$AO$4:$AQ$55,2,FALSE))*IF('19.02'!$AK64="是",'19.02'!$BB$4,'19.02'!$BB$3))</f>
        <v>0</v>
      </c>
      <c r="O64" s="4">
        <f>IF(ISNUMBER(SEARCH("营",'19.02'!W64)),(-$Y64+50*IF('19.02'!$AK64="是",'19.02'!$BB$4,'19.02'!$BB$3)),(VLOOKUP('19.02'!W64,'19.02'!$AO$4:$AQ$55,2,FALSE))*IF('19.02'!$AK64="是",'19.02'!$BB$4,'19.02'!$BB$3))</f>
        <v>0</v>
      </c>
      <c r="P64" s="4">
        <f>IF(ISNUMBER(SEARCH("营",'19.02'!X64)),(-$Y64+50*IF('19.02'!$AK64="是",'19.02'!$BB$4,'19.02'!$BB$3)),(VLOOKUP('19.02'!X64,'19.02'!$AO$4:$AQ$55,2,FALSE))*IF('19.02'!$AK64="是",'19.02'!$BB$4,'19.02'!$BB$3))</f>
        <v>0</v>
      </c>
      <c r="Q64" s="4">
        <f>IF(ISNUMBER(SEARCH("营",'19.02'!Y64)),(-$Y64+50*IF('19.02'!$AK64="是",'19.02'!$BB$4,'19.02'!$BB$3)),(VLOOKUP('19.02'!Y64,'19.02'!$AO$4:$AQ$55,2,FALSE))*IF('19.02'!$AK64="是",'19.02'!$BB$4,'19.02'!$BB$3))</f>
        <v>0</v>
      </c>
      <c r="R64" s="4">
        <f>IF(ISNUMBER(SEARCH("营",'19.02'!Z64)),(-$Y64+50*IF('19.02'!$AK64="是",'19.02'!$BB$4,'19.02'!$BB$3)),(VLOOKUP('19.02'!Z64,'19.02'!$AO$4:$AQ$55,2,FALSE))*IF('19.02'!$AK64="是",'19.02'!$BB$4,'19.02'!$BB$3))</f>
        <v>0</v>
      </c>
      <c r="S64" s="4">
        <f>IF(ISNUMBER(SEARCH("营",'19.02'!AA64)),(-$Y64+50*IF('19.02'!$AK64="是",'19.02'!$BB$4,'19.02'!$BB$3)),(VLOOKUP('19.02'!AA64,'19.02'!$AO$4:$AQ$55,2,FALSE))*IF('19.02'!$AK64="是",'19.02'!$BB$4,'19.02'!$BB$3))</f>
        <v>0</v>
      </c>
      <c r="T64" s="4">
        <f>IF(ISNUMBER(SEARCH("营",'19.02'!AB64)),(-$Y64+50*IF('19.02'!$AK64="是",'19.02'!$BB$4,'19.02'!$BB$3)),(VLOOKUP('19.02'!AB64,'19.02'!$AO$4:$AQ$55,2,FALSE))*IF('19.02'!$AK64="是",'19.02'!$BB$4,'19.02'!$BB$3))</f>
        <v>0</v>
      </c>
      <c r="U64" s="4">
        <f>IF(ISNUMBER(SEARCH("营",'19.02'!AC64)),(-$Y64+50*IF('19.02'!$AK64="是",'19.02'!$BB$4,'19.02'!$BB$3)),(VLOOKUP('19.02'!AC64,'19.02'!$AO$4:$AQ$55,2,FALSE))*IF('19.02'!$AK64="是",'19.02'!$BB$4,'19.02'!$BB$3))</f>
        <v>0</v>
      </c>
      <c r="V64" s="4">
        <f>IF(ISNUMBER(SEARCH("营",'19.02'!AD64)),(-$Y64+50*IF('19.02'!$AK64="是",'19.02'!$BB$4,'19.02'!$BB$3)),(VLOOKUP('19.02'!AD64,'19.02'!$AO$4:$AQ$55,2,FALSE))*IF('19.02'!$AK64="是",'19.02'!$BB$4,'19.02'!$BB$3))</f>
        <v>0</v>
      </c>
      <c r="W64" s="4">
        <f>IF(ISNUMBER(SEARCH("营",'19.02'!AE64)),(-$Y64+50*IF('19.02'!$AK64="是",'19.02'!$BB$4,'19.02'!$BB$3)),(VLOOKUP('19.02'!AE64,'19.02'!$AO$4:$AQ$55,2,FALSE))*IF('19.02'!$AK64="是",'19.02'!$BB$4,'19.02'!$BB$3))</f>
        <v>0</v>
      </c>
      <c r="X64" s="4">
        <f>IF(ISNUMBER(SEARCH("营",'19.02'!AF64)),(-$Y64+50*IF('19.02'!$AK64="是",'19.02'!$BB$4,'19.02'!$BB$3)),(VLOOKUP('19.02'!AF64,'19.02'!$AO$4:$AQ$55,2,FALSE))*IF('19.02'!$AK64="是",'19.02'!$BB$4,'19.02'!$BB$3))</f>
        <v>0</v>
      </c>
      <c r="Y64" s="76">
        <v>100</v>
      </c>
      <c r="Z64" s="85">
        <v>45790</v>
      </c>
    </row>
    <row r="65" spans="1:26">
      <c r="A65" s="4">
        <f>IF(ISNUMBER(SEARCH("营",'19.02'!I65)),(-$Y65+50*IF('19.02'!$AK65="是",'19.02'!$BB$4,'19.02'!$BB$3)),(VLOOKUP('19.02'!I65,'19.02'!$AO$4:$AQ$55,2,FALSE))*IF('19.02'!$AK65="是",'19.02'!$BB$4,'19.02'!$BB$3))</f>
        <v>0</v>
      </c>
      <c r="B65" s="4">
        <f>IF(ISNUMBER(SEARCH("营",'19.02'!J65)),(-$Y65+50*IF('19.02'!$AK65="是",'19.02'!$BB$4,'19.02'!$BB$3)),(VLOOKUP('19.02'!J65,'19.02'!$AO$4:$AQ$55,2,FALSE))*IF('19.02'!$AK65="是",'19.02'!$BB$4,'19.02'!$BB$3))</f>
        <v>0</v>
      </c>
      <c r="C65" s="4">
        <f>IF(ISNUMBER(SEARCH("营",'19.02'!K65)),(-$Y65+50*IF('19.02'!$AK65="是",'19.02'!$BB$4,'19.02'!$BB$3)),(VLOOKUP('19.02'!K65,'19.02'!$AO$4:$AQ$55,2,FALSE))*IF('19.02'!$AK65="是",'19.02'!$BB$4,'19.02'!$BB$3))</f>
        <v>0</v>
      </c>
      <c r="D65" s="4">
        <f>IF(ISNUMBER(SEARCH("营",'19.02'!L65)),(-$Y65+50*IF('19.02'!$AK65="是",'19.02'!$BB$4,'19.02'!$BB$3)),(VLOOKUP('19.02'!L65,'19.02'!$AO$4:$AQ$55,2,FALSE))*IF('19.02'!$AK65="是",'19.02'!$BB$4,'19.02'!$BB$3))</f>
        <v>0</v>
      </c>
      <c r="E65" s="4">
        <f>IF(ISNUMBER(SEARCH("营",'19.02'!M65)),(-$Y65+50*IF('19.02'!$AK65="是",'19.02'!$BB$4,'19.02'!$BB$3)),(VLOOKUP('19.02'!M65,'19.02'!$AO$4:$AQ$55,2,FALSE))*IF('19.02'!$AK65="是",'19.02'!$BB$4,'19.02'!$BB$3))</f>
        <v>0</v>
      </c>
      <c r="F65" s="4">
        <f>IF(ISNUMBER(SEARCH("营",'19.02'!N65)),(-$Y65+50*IF('19.02'!$AK65="是",'19.02'!$BB$4,'19.02'!$BB$3)),(VLOOKUP('19.02'!N65,'19.02'!$AO$4:$AQ$55,2,FALSE))*IF('19.02'!$AK65="是",'19.02'!$BB$4,'19.02'!$BB$3))</f>
        <v>0</v>
      </c>
      <c r="G65" s="4">
        <f>IF(ISNUMBER(SEARCH("营",'19.02'!O65)),(-$Y65+50*IF('19.02'!$AK65="是",'19.02'!$BB$4,'19.02'!$BB$3)),(VLOOKUP('19.02'!O65,'19.02'!$AO$4:$AQ$55,2,FALSE))*IF('19.02'!$AK65="是",'19.02'!$BB$4,'19.02'!$BB$3))</f>
        <v>0</v>
      </c>
      <c r="H65" s="4">
        <f>IF(ISNUMBER(SEARCH("营",'19.02'!P65)),(-$Y65+50*IF('19.02'!$AK65="是",'19.02'!$BB$4,'19.02'!$BB$3)),(VLOOKUP('19.02'!P65,'19.02'!$AO$4:$AQ$55,2,FALSE))*IF('19.02'!$AK65="是",'19.02'!$BB$4,'19.02'!$BB$3))</f>
        <v>0</v>
      </c>
      <c r="I65" s="4">
        <f>IF(ISNUMBER(SEARCH("营",'19.02'!Q65)),(-$Y65+50*IF('19.02'!$AK65="是",'19.02'!$BB$4,'19.02'!$BB$3)),(VLOOKUP('19.02'!Q65,'19.02'!$AO$4:$AQ$55,2,FALSE))*IF('19.02'!$AK65="是",'19.02'!$BB$4,'19.02'!$BB$3))</f>
        <v>0</v>
      </c>
      <c r="J65" s="4">
        <f>IF(ISNUMBER(SEARCH("营",'19.02'!R65)),(-$Y65+50*IF('19.02'!$AK65="是",'19.02'!$BB$4,'19.02'!$BB$3)),(VLOOKUP('19.02'!R65,'19.02'!$AO$4:$AQ$55,2,FALSE))*IF('19.02'!$AK65="是",'19.02'!$BB$4,'19.02'!$BB$3))</f>
        <v>0</v>
      </c>
      <c r="K65" s="4">
        <f>IF(ISNUMBER(SEARCH("营",'19.02'!S65)),(-$Y65+50*IF('19.02'!$AK65="是",'19.02'!$BB$4,'19.02'!$BB$3)),(VLOOKUP('19.02'!S65,'19.02'!$AO$4:$AQ$55,2,FALSE))*IF('19.02'!$AK65="是",'19.02'!$BB$4,'19.02'!$BB$3))</f>
        <v>0</v>
      </c>
      <c r="L65" s="4">
        <f>IF(ISNUMBER(SEARCH("营",'19.02'!T65)),(-$Y65+50*IF('19.02'!$AK65="是",'19.02'!$BB$4,'19.02'!$BB$3)),(VLOOKUP('19.02'!T65,'19.02'!$AO$4:$AQ$55,2,FALSE))*IF('19.02'!$AK65="是",'19.02'!$BB$4,'19.02'!$BB$3))</f>
        <v>0</v>
      </c>
      <c r="M65" s="4">
        <f>IF(ISNUMBER(SEARCH("营",'19.02'!U65)),(-$Y65+50*IF('19.02'!$AK65="是",'19.02'!$BB$4,'19.02'!$BB$3)),(VLOOKUP('19.02'!U65,'19.02'!$AO$4:$AQ$55,2,FALSE))*IF('19.02'!$AK65="是",'19.02'!$BB$4,'19.02'!$BB$3))</f>
        <v>0</v>
      </c>
      <c r="N65" s="4">
        <f>IF(ISNUMBER(SEARCH("营",'19.02'!V65)),(-$Y65+50*IF('19.02'!$AK65="是",'19.02'!$BB$4,'19.02'!$BB$3)),(VLOOKUP('19.02'!V65,'19.02'!$AO$4:$AQ$55,2,FALSE))*IF('19.02'!$AK65="是",'19.02'!$BB$4,'19.02'!$BB$3))</f>
        <v>0</v>
      </c>
      <c r="O65" s="4">
        <f>IF(ISNUMBER(SEARCH("营",'19.02'!W65)),(-$Y65+50*IF('19.02'!$AK65="是",'19.02'!$BB$4,'19.02'!$BB$3)),(VLOOKUP('19.02'!W65,'19.02'!$AO$4:$AQ$55,2,FALSE))*IF('19.02'!$AK65="是",'19.02'!$BB$4,'19.02'!$BB$3))</f>
        <v>0</v>
      </c>
      <c r="P65" s="4">
        <f>IF(ISNUMBER(SEARCH("营",'19.02'!X65)),(-$Y65+50*IF('19.02'!$AK65="是",'19.02'!$BB$4,'19.02'!$BB$3)),(VLOOKUP('19.02'!X65,'19.02'!$AO$4:$AQ$55,2,FALSE))*IF('19.02'!$AK65="是",'19.02'!$BB$4,'19.02'!$BB$3))</f>
        <v>0</v>
      </c>
      <c r="Q65" s="4">
        <f>IF(ISNUMBER(SEARCH("营",'19.02'!Y65)),(-$Y65+50*IF('19.02'!$AK65="是",'19.02'!$BB$4,'19.02'!$BB$3)),(VLOOKUP('19.02'!Y65,'19.02'!$AO$4:$AQ$55,2,FALSE))*IF('19.02'!$AK65="是",'19.02'!$BB$4,'19.02'!$BB$3))</f>
        <v>0</v>
      </c>
      <c r="R65" s="4">
        <f>IF(ISNUMBER(SEARCH("营",'19.02'!Z65)),(-$Y65+50*IF('19.02'!$AK65="是",'19.02'!$BB$4,'19.02'!$BB$3)),(VLOOKUP('19.02'!Z65,'19.02'!$AO$4:$AQ$55,2,FALSE))*IF('19.02'!$AK65="是",'19.02'!$BB$4,'19.02'!$BB$3))</f>
        <v>0</v>
      </c>
      <c r="S65" s="4">
        <f>IF(ISNUMBER(SEARCH("营",'19.02'!AA65)),(-$Y65+50*IF('19.02'!$AK65="是",'19.02'!$BB$4,'19.02'!$BB$3)),(VLOOKUP('19.02'!AA65,'19.02'!$AO$4:$AQ$55,2,FALSE))*IF('19.02'!$AK65="是",'19.02'!$BB$4,'19.02'!$BB$3))</f>
        <v>0</v>
      </c>
      <c r="T65" s="4">
        <f>IF(ISNUMBER(SEARCH("营",'19.02'!AB65)),(-$Y65+50*IF('19.02'!$AK65="是",'19.02'!$BB$4,'19.02'!$BB$3)),(VLOOKUP('19.02'!AB65,'19.02'!$AO$4:$AQ$55,2,FALSE))*IF('19.02'!$AK65="是",'19.02'!$BB$4,'19.02'!$BB$3))</f>
        <v>0</v>
      </c>
      <c r="U65" s="4">
        <f>IF(ISNUMBER(SEARCH("营",'19.02'!AC65)),(-$Y65+50*IF('19.02'!$AK65="是",'19.02'!$BB$4,'19.02'!$BB$3)),(VLOOKUP('19.02'!AC65,'19.02'!$AO$4:$AQ$55,2,FALSE))*IF('19.02'!$AK65="是",'19.02'!$BB$4,'19.02'!$BB$3))</f>
        <v>0</v>
      </c>
      <c r="V65" s="4">
        <f>IF(ISNUMBER(SEARCH("营",'19.02'!AD65)),(-$Y65+50*IF('19.02'!$AK65="是",'19.02'!$BB$4,'19.02'!$BB$3)),(VLOOKUP('19.02'!AD65,'19.02'!$AO$4:$AQ$55,2,FALSE))*IF('19.02'!$AK65="是",'19.02'!$BB$4,'19.02'!$BB$3))</f>
        <v>0</v>
      </c>
      <c r="W65" s="4">
        <f>IF(ISNUMBER(SEARCH("营",'19.02'!AE65)),(-$Y65+50*IF('19.02'!$AK65="是",'19.02'!$BB$4,'19.02'!$BB$3)),(VLOOKUP('19.02'!AE65,'19.02'!$AO$4:$AQ$55,2,FALSE))*IF('19.02'!$AK65="是",'19.02'!$BB$4,'19.02'!$BB$3))</f>
        <v>0</v>
      </c>
      <c r="X65" s="4">
        <f>IF(ISNUMBER(SEARCH("营",'19.02'!AF65)),(-$Y65+50*IF('19.02'!$AK65="是",'19.02'!$BB$4,'19.02'!$BB$3)),(VLOOKUP('19.02'!AF65,'19.02'!$AO$4:$AQ$55,2,FALSE))*IF('19.02'!$AK65="是",'19.02'!$BB$4,'19.02'!$BB$3))</f>
        <v>0</v>
      </c>
      <c r="Y65" s="76">
        <v>100</v>
      </c>
      <c r="Z65" s="85">
        <v>45791</v>
      </c>
    </row>
    <row r="66" spans="1:26">
      <c r="A66" s="4">
        <f>IF(ISNUMBER(SEARCH("营",'19.02'!I66)),(-$Y66+50*IF('19.02'!$AK66="是",'19.02'!$BB$4,'19.02'!$BB$3)),(VLOOKUP('19.02'!I66,'19.02'!$AO$4:$AQ$55,2,FALSE))*IF('19.02'!$AK66="是",'19.02'!$BB$4,'19.02'!$BB$3))</f>
        <v>0</v>
      </c>
      <c r="B66" s="4">
        <f>IF(ISNUMBER(SEARCH("营",'19.02'!J66)),(-$Y66+50*IF('19.02'!$AK66="是",'19.02'!$BB$4,'19.02'!$BB$3)),(VLOOKUP('19.02'!J66,'19.02'!$AO$4:$AQ$55,2,FALSE))*IF('19.02'!$AK66="是",'19.02'!$BB$4,'19.02'!$BB$3))</f>
        <v>0</v>
      </c>
      <c r="C66" s="4">
        <f>IF(ISNUMBER(SEARCH("营",'19.02'!K66)),(-$Y66+50*IF('19.02'!$AK66="是",'19.02'!$BB$4,'19.02'!$BB$3)),(VLOOKUP('19.02'!K66,'19.02'!$AO$4:$AQ$55,2,FALSE))*IF('19.02'!$AK66="是",'19.02'!$BB$4,'19.02'!$BB$3))</f>
        <v>0</v>
      </c>
      <c r="D66" s="4">
        <f>IF(ISNUMBER(SEARCH("营",'19.02'!L66)),(-$Y66+50*IF('19.02'!$AK66="是",'19.02'!$BB$4,'19.02'!$BB$3)),(VLOOKUP('19.02'!L66,'19.02'!$AO$4:$AQ$55,2,FALSE))*IF('19.02'!$AK66="是",'19.02'!$BB$4,'19.02'!$BB$3))</f>
        <v>0</v>
      </c>
      <c r="E66" s="4">
        <f>IF(ISNUMBER(SEARCH("营",'19.02'!M66)),(-$Y66+50*IF('19.02'!$AK66="是",'19.02'!$BB$4,'19.02'!$BB$3)),(VLOOKUP('19.02'!M66,'19.02'!$AO$4:$AQ$55,2,FALSE))*IF('19.02'!$AK66="是",'19.02'!$BB$4,'19.02'!$BB$3))</f>
        <v>0</v>
      </c>
      <c r="F66" s="4">
        <f>IF(ISNUMBER(SEARCH("营",'19.02'!N66)),(-$Y66+50*IF('19.02'!$AK66="是",'19.02'!$BB$4,'19.02'!$BB$3)),(VLOOKUP('19.02'!N66,'19.02'!$AO$4:$AQ$55,2,FALSE))*IF('19.02'!$AK66="是",'19.02'!$BB$4,'19.02'!$BB$3))</f>
        <v>0</v>
      </c>
      <c r="G66" s="4">
        <f>IF(ISNUMBER(SEARCH("营",'19.02'!O66)),(-$Y66+50*IF('19.02'!$AK66="是",'19.02'!$BB$4,'19.02'!$BB$3)),(VLOOKUP('19.02'!O66,'19.02'!$AO$4:$AQ$55,2,FALSE))*IF('19.02'!$AK66="是",'19.02'!$BB$4,'19.02'!$BB$3))</f>
        <v>0</v>
      </c>
      <c r="H66" s="4">
        <f>IF(ISNUMBER(SEARCH("营",'19.02'!P66)),(-$Y66+50*IF('19.02'!$AK66="是",'19.02'!$BB$4,'19.02'!$BB$3)),(VLOOKUP('19.02'!P66,'19.02'!$AO$4:$AQ$55,2,FALSE))*IF('19.02'!$AK66="是",'19.02'!$BB$4,'19.02'!$BB$3))</f>
        <v>0</v>
      </c>
      <c r="I66" s="4">
        <f>IF(ISNUMBER(SEARCH("营",'19.02'!Q66)),(-$Y66+50*IF('19.02'!$AK66="是",'19.02'!$BB$4,'19.02'!$BB$3)),(VLOOKUP('19.02'!Q66,'19.02'!$AO$4:$AQ$55,2,FALSE))*IF('19.02'!$AK66="是",'19.02'!$BB$4,'19.02'!$BB$3))</f>
        <v>0</v>
      </c>
      <c r="J66" s="4">
        <f>IF(ISNUMBER(SEARCH("营",'19.02'!R66)),(-$Y66+50*IF('19.02'!$AK66="是",'19.02'!$BB$4,'19.02'!$BB$3)),(VLOOKUP('19.02'!R66,'19.02'!$AO$4:$AQ$55,2,FALSE))*IF('19.02'!$AK66="是",'19.02'!$BB$4,'19.02'!$BB$3))</f>
        <v>0</v>
      </c>
      <c r="K66" s="4">
        <f>IF(ISNUMBER(SEARCH("营",'19.02'!S66)),(-$Y66+50*IF('19.02'!$AK66="是",'19.02'!$BB$4,'19.02'!$BB$3)),(VLOOKUP('19.02'!S66,'19.02'!$AO$4:$AQ$55,2,FALSE))*IF('19.02'!$AK66="是",'19.02'!$BB$4,'19.02'!$BB$3))</f>
        <v>0</v>
      </c>
      <c r="L66" s="4">
        <f>IF(ISNUMBER(SEARCH("营",'19.02'!T66)),(-$Y66+50*IF('19.02'!$AK66="是",'19.02'!$BB$4,'19.02'!$BB$3)),(VLOOKUP('19.02'!T66,'19.02'!$AO$4:$AQ$55,2,FALSE))*IF('19.02'!$AK66="是",'19.02'!$BB$4,'19.02'!$BB$3))</f>
        <v>0</v>
      </c>
      <c r="M66" s="4">
        <f>IF(ISNUMBER(SEARCH("营",'19.02'!U66)),(-$Y66+50*IF('19.02'!$AK66="是",'19.02'!$BB$4,'19.02'!$BB$3)),(VLOOKUP('19.02'!U66,'19.02'!$AO$4:$AQ$55,2,FALSE))*IF('19.02'!$AK66="是",'19.02'!$BB$4,'19.02'!$BB$3))</f>
        <v>0</v>
      </c>
      <c r="N66" s="4">
        <f>IF(ISNUMBER(SEARCH("营",'19.02'!V66)),(-$Y66+50*IF('19.02'!$AK66="是",'19.02'!$BB$4,'19.02'!$BB$3)),(VLOOKUP('19.02'!V66,'19.02'!$AO$4:$AQ$55,2,FALSE))*IF('19.02'!$AK66="是",'19.02'!$BB$4,'19.02'!$BB$3))</f>
        <v>0</v>
      </c>
      <c r="O66" s="4">
        <f>IF(ISNUMBER(SEARCH("营",'19.02'!W66)),(-$Y66+50*IF('19.02'!$AK66="是",'19.02'!$BB$4,'19.02'!$BB$3)),(VLOOKUP('19.02'!W66,'19.02'!$AO$4:$AQ$55,2,FALSE))*IF('19.02'!$AK66="是",'19.02'!$BB$4,'19.02'!$BB$3))</f>
        <v>0</v>
      </c>
      <c r="P66" s="4">
        <f>IF(ISNUMBER(SEARCH("营",'19.02'!X66)),(-$Y66+50*IF('19.02'!$AK66="是",'19.02'!$BB$4,'19.02'!$BB$3)),(VLOOKUP('19.02'!X66,'19.02'!$AO$4:$AQ$55,2,FALSE))*IF('19.02'!$AK66="是",'19.02'!$BB$4,'19.02'!$BB$3))</f>
        <v>0</v>
      </c>
      <c r="Q66" s="4">
        <f>IF(ISNUMBER(SEARCH("营",'19.02'!Y66)),(-$Y66+50*IF('19.02'!$AK66="是",'19.02'!$BB$4,'19.02'!$BB$3)),(VLOOKUP('19.02'!Y66,'19.02'!$AO$4:$AQ$55,2,FALSE))*IF('19.02'!$AK66="是",'19.02'!$BB$4,'19.02'!$BB$3))</f>
        <v>0</v>
      </c>
      <c r="R66" s="4">
        <f>IF(ISNUMBER(SEARCH("营",'19.02'!Z66)),(-$Y66+50*IF('19.02'!$AK66="是",'19.02'!$BB$4,'19.02'!$BB$3)),(VLOOKUP('19.02'!Z66,'19.02'!$AO$4:$AQ$55,2,FALSE))*IF('19.02'!$AK66="是",'19.02'!$BB$4,'19.02'!$BB$3))</f>
        <v>0</v>
      </c>
      <c r="S66" s="4">
        <f>IF(ISNUMBER(SEARCH("营",'19.02'!AA66)),(-$Y66+50*IF('19.02'!$AK66="是",'19.02'!$BB$4,'19.02'!$BB$3)),(VLOOKUP('19.02'!AA66,'19.02'!$AO$4:$AQ$55,2,FALSE))*IF('19.02'!$AK66="是",'19.02'!$BB$4,'19.02'!$BB$3))</f>
        <v>0</v>
      </c>
      <c r="T66" s="4">
        <f>IF(ISNUMBER(SEARCH("营",'19.02'!AB66)),(-$Y66+50*IF('19.02'!$AK66="是",'19.02'!$BB$4,'19.02'!$BB$3)),(VLOOKUP('19.02'!AB66,'19.02'!$AO$4:$AQ$55,2,FALSE))*IF('19.02'!$AK66="是",'19.02'!$BB$4,'19.02'!$BB$3))</f>
        <v>0</v>
      </c>
      <c r="U66" s="4">
        <f>IF(ISNUMBER(SEARCH("营",'19.02'!AC66)),(-$Y66+50*IF('19.02'!$AK66="是",'19.02'!$BB$4,'19.02'!$BB$3)),(VLOOKUP('19.02'!AC66,'19.02'!$AO$4:$AQ$55,2,FALSE))*IF('19.02'!$AK66="是",'19.02'!$BB$4,'19.02'!$BB$3))</f>
        <v>0</v>
      </c>
      <c r="V66" s="4">
        <f>IF(ISNUMBER(SEARCH("营",'19.02'!AD66)),(-$Y66+50*IF('19.02'!$AK66="是",'19.02'!$BB$4,'19.02'!$BB$3)),(VLOOKUP('19.02'!AD66,'19.02'!$AO$4:$AQ$55,2,FALSE))*IF('19.02'!$AK66="是",'19.02'!$BB$4,'19.02'!$BB$3))</f>
        <v>0</v>
      </c>
      <c r="W66" s="4">
        <f>IF(ISNUMBER(SEARCH("营",'19.02'!AE66)),(-$Y66+50*IF('19.02'!$AK66="是",'19.02'!$BB$4,'19.02'!$BB$3)),(VLOOKUP('19.02'!AE66,'19.02'!$AO$4:$AQ$55,2,FALSE))*IF('19.02'!$AK66="是",'19.02'!$BB$4,'19.02'!$BB$3))</f>
        <v>0</v>
      </c>
      <c r="X66" s="4">
        <f>IF(ISNUMBER(SEARCH("营",'19.02'!AF66)),(-$Y66+50*IF('19.02'!$AK66="是",'19.02'!$BB$4,'19.02'!$BB$3)),(VLOOKUP('19.02'!AF66,'19.02'!$AO$4:$AQ$55,2,FALSE))*IF('19.02'!$AK66="是",'19.02'!$BB$4,'19.02'!$BB$3))</f>
        <v>0</v>
      </c>
      <c r="Y66" s="76">
        <v>100</v>
      </c>
      <c r="Z66" s="85">
        <v>45792</v>
      </c>
    </row>
    <row r="67" spans="1:26">
      <c r="A67" s="4">
        <f>IF(ISNUMBER(SEARCH("营",'19.02'!I67)),(-$Y67+50*IF('19.02'!$AK67="是",'19.02'!$BB$4,'19.02'!$BB$3)),(VLOOKUP('19.02'!I67,'19.02'!$AO$4:$AQ$55,2,FALSE))*IF('19.02'!$AK67="是",'19.02'!$BB$4,'19.02'!$BB$3))</f>
        <v>0</v>
      </c>
      <c r="B67" s="4">
        <f>IF(ISNUMBER(SEARCH("营",'19.02'!J67)),(-$Y67+50*IF('19.02'!$AK67="是",'19.02'!$BB$4,'19.02'!$BB$3)),(VLOOKUP('19.02'!J67,'19.02'!$AO$4:$AQ$55,2,FALSE))*IF('19.02'!$AK67="是",'19.02'!$BB$4,'19.02'!$BB$3))</f>
        <v>0</v>
      </c>
      <c r="C67" s="4">
        <f>IF(ISNUMBER(SEARCH("营",'19.02'!K67)),(-$Y67+50*IF('19.02'!$AK67="是",'19.02'!$BB$4,'19.02'!$BB$3)),(VLOOKUP('19.02'!K67,'19.02'!$AO$4:$AQ$55,2,FALSE))*IF('19.02'!$AK67="是",'19.02'!$BB$4,'19.02'!$BB$3))</f>
        <v>0</v>
      </c>
      <c r="D67" s="4">
        <f>IF(ISNUMBER(SEARCH("营",'19.02'!L67)),(-$Y67+50*IF('19.02'!$AK67="是",'19.02'!$BB$4,'19.02'!$BB$3)),(VLOOKUP('19.02'!L67,'19.02'!$AO$4:$AQ$55,2,FALSE))*IF('19.02'!$AK67="是",'19.02'!$BB$4,'19.02'!$BB$3))</f>
        <v>0</v>
      </c>
      <c r="E67" s="4">
        <f>IF(ISNUMBER(SEARCH("营",'19.02'!M67)),(-$Y67+50*IF('19.02'!$AK67="是",'19.02'!$BB$4,'19.02'!$BB$3)),(VLOOKUP('19.02'!M67,'19.02'!$AO$4:$AQ$55,2,FALSE))*IF('19.02'!$AK67="是",'19.02'!$BB$4,'19.02'!$BB$3))</f>
        <v>0</v>
      </c>
      <c r="F67" s="4">
        <f>IF(ISNUMBER(SEARCH("营",'19.02'!N67)),(-$Y67+50*IF('19.02'!$AK67="是",'19.02'!$BB$4,'19.02'!$BB$3)),(VLOOKUP('19.02'!N67,'19.02'!$AO$4:$AQ$55,2,FALSE))*IF('19.02'!$AK67="是",'19.02'!$BB$4,'19.02'!$BB$3))</f>
        <v>0</v>
      </c>
      <c r="G67" s="4">
        <f>IF(ISNUMBER(SEARCH("营",'19.02'!O67)),(-$Y67+50*IF('19.02'!$AK67="是",'19.02'!$BB$4,'19.02'!$BB$3)),(VLOOKUP('19.02'!O67,'19.02'!$AO$4:$AQ$55,2,FALSE))*IF('19.02'!$AK67="是",'19.02'!$BB$4,'19.02'!$BB$3))</f>
        <v>0</v>
      </c>
      <c r="H67" s="4">
        <f>IF(ISNUMBER(SEARCH("营",'19.02'!P67)),(-$Y67+50*IF('19.02'!$AK67="是",'19.02'!$BB$4,'19.02'!$BB$3)),(VLOOKUP('19.02'!P67,'19.02'!$AO$4:$AQ$55,2,FALSE))*IF('19.02'!$AK67="是",'19.02'!$BB$4,'19.02'!$BB$3))</f>
        <v>0</v>
      </c>
      <c r="I67" s="4">
        <f>IF(ISNUMBER(SEARCH("营",'19.02'!Q67)),(-$Y67+50*IF('19.02'!$AK67="是",'19.02'!$BB$4,'19.02'!$BB$3)),(VLOOKUP('19.02'!Q67,'19.02'!$AO$4:$AQ$55,2,FALSE))*IF('19.02'!$AK67="是",'19.02'!$BB$4,'19.02'!$BB$3))</f>
        <v>0</v>
      </c>
      <c r="J67" s="4">
        <f>IF(ISNUMBER(SEARCH("营",'19.02'!R67)),(-$Y67+50*IF('19.02'!$AK67="是",'19.02'!$BB$4,'19.02'!$BB$3)),(VLOOKUP('19.02'!R67,'19.02'!$AO$4:$AQ$55,2,FALSE))*IF('19.02'!$AK67="是",'19.02'!$BB$4,'19.02'!$BB$3))</f>
        <v>0</v>
      </c>
      <c r="K67" s="4">
        <f>IF(ISNUMBER(SEARCH("营",'19.02'!S67)),(-$Y67+50*IF('19.02'!$AK67="是",'19.02'!$BB$4,'19.02'!$BB$3)),(VLOOKUP('19.02'!S67,'19.02'!$AO$4:$AQ$55,2,FALSE))*IF('19.02'!$AK67="是",'19.02'!$BB$4,'19.02'!$BB$3))</f>
        <v>0</v>
      </c>
      <c r="L67" s="4">
        <f>IF(ISNUMBER(SEARCH("营",'19.02'!T67)),(-$Y67+50*IF('19.02'!$AK67="是",'19.02'!$BB$4,'19.02'!$BB$3)),(VLOOKUP('19.02'!T67,'19.02'!$AO$4:$AQ$55,2,FALSE))*IF('19.02'!$AK67="是",'19.02'!$BB$4,'19.02'!$BB$3))</f>
        <v>0</v>
      </c>
      <c r="M67" s="4">
        <f>IF(ISNUMBER(SEARCH("营",'19.02'!U67)),(-$Y67+50*IF('19.02'!$AK67="是",'19.02'!$BB$4,'19.02'!$BB$3)),(VLOOKUP('19.02'!U67,'19.02'!$AO$4:$AQ$55,2,FALSE))*IF('19.02'!$AK67="是",'19.02'!$BB$4,'19.02'!$BB$3))</f>
        <v>0</v>
      </c>
      <c r="N67" s="4">
        <f>IF(ISNUMBER(SEARCH("营",'19.02'!V67)),(-$Y67+50*IF('19.02'!$AK67="是",'19.02'!$BB$4,'19.02'!$BB$3)),(VLOOKUP('19.02'!V67,'19.02'!$AO$4:$AQ$55,2,FALSE))*IF('19.02'!$AK67="是",'19.02'!$BB$4,'19.02'!$BB$3))</f>
        <v>0</v>
      </c>
      <c r="O67" s="4">
        <f>IF(ISNUMBER(SEARCH("营",'19.02'!W67)),(-$Y67+50*IF('19.02'!$AK67="是",'19.02'!$BB$4,'19.02'!$BB$3)),(VLOOKUP('19.02'!W67,'19.02'!$AO$4:$AQ$55,2,FALSE))*IF('19.02'!$AK67="是",'19.02'!$BB$4,'19.02'!$BB$3))</f>
        <v>0</v>
      </c>
      <c r="P67" s="4">
        <f>IF(ISNUMBER(SEARCH("营",'19.02'!X67)),(-$Y67+50*IF('19.02'!$AK67="是",'19.02'!$BB$4,'19.02'!$BB$3)),(VLOOKUP('19.02'!X67,'19.02'!$AO$4:$AQ$55,2,FALSE))*IF('19.02'!$AK67="是",'19.02'!$BB$4,'19.02'!$BB$3))</f>
        <v>0</v>
      </c>
      <c r="Q67" s="4">
        <f>IF(ISNUMBER(SEARCH("营",'19.02'!Y67)),(-$Y67+50*IF('19.02'!$AK67="是",'19.02'!$BB$4,'19.02'!$BB$3)),(VLOOKUP('19.02'!Y67,'19.02'!$AO$4:$AQ$55,2,FALSE))*IF('19.02'!$AK67="是",'19.02'!$BB$4,'19.02'!$BB$3))</f>
        <v>0</v>
      </c>
      <c r="R67" s="4">
        <f>IF(ISNUMBER(SEARCH("营",'19.02'!Z67)),(-$Y67+50*IF('19.02'!$AK67="是",'19.02'!$BB$4,'19.02'!$BB$3)),(VLOOKUP('19.02'!Z67,'19.02'!$AO$4:$AQ$55,2,FALSE))*IF('19.02'!$AK67="是",'19.02'!$BB$4,'19.02'!$BB$3))</f>
        <v>0</v>
      </c>
      <c r="S67" s="4">
        <f>IF(ISNUMBER(SEARCH("营",'19.02'!AA67)),(-$Y67+50*IF('19.02'!$AK67="是",'19.02'!$BB$4,'19.02'!$BB$3)),(VLOOKUP('19.02'!AA67,'19.02'!$AO$4:$AQ$55,2,FALSE))*IF('19.02'!$AK67="是",'19.02'!$BB$4,'19.02'!$BB$3))</f>
        <v>0</v>
      </c>
      <c r="T67" s="4">
        <f>IF(ISNUMBER(SEARCH("营",'19.02'!AB67)),(-$Y67+50*IF('19.02'!$AK67="是",'19.02'!$BB$4,'19.02'!$BB$3)),(VLOOKUP('19.02'!AB67,'19.02'!$AO$4:$AQ$55,2,FALSE))*IF('19.02'!$AK67="是",'19.02'!$BB$4,'19.02'!$BB$3))</f>
        <v>0</v>
      </c>
      <c r="U67" s="4">
        <f>IF(ISNUMBER(SEARCH("营",'19.02'!AC67)),(-$Y67+50*IF('19.02'!$AK67="是",'19.02'!$BB$4,'19.02'!$BB$3)),(VLOOKUP('19.02'!AC67,'19.02'!$AO$4:$AQ$55,2,FALSE))*IF('19.02'!$AK67="是",'19.02'!$BB$4,'19.02'!$BB$3))</f>
        <v>0</v>
      </c>
      <c r="V67" s="4">
        <f>IF(ISNUMBER(SEARCH("营",'19.02'!AD67)),(-$Y67+50*IF('19.02'!$AK67="是",'19.02'!$BB$4,'19.02'!$BB$3)),(VLOOKUP('19.02'!AD67,'19.02'!$AO$4:$AQ$55,2,FALSE))*IF('19.02'!$AK67="是",'19.02'!$BB$4,'19.02'!$BB$3))</f>
        <v>0</v>
      </c>
      <c r="W67" s="4">
        <f>IF(ISNUMBER(SEARCH("营",'19.02'!AE67)),(-$Y67+50*IF('19.02'!$AK67="是",'19.02'!$BB$4,'19.02'!$BB$3)),(VLOOKUP('19.02'!AE67,'19.02'!$AO$4:$AQ$55,2,FALSE))*IF('19.02'!$AK67="是",'19.02'!$BB$4,'19.02'!$BB$3))</f>
        <v>0</v>
      </c>
      <c r="X67" s="4">
        <f>IF(ISNUMBER(SEARCH("营",'19.02'!AF67)),(-$Y67+50*IF('19.02'!$AK67="是",'19.02'!$BB$4,'19.02'!$BB$3)),(VLOOKUP('19.02'!AF67,'19.02'!$AO$4:$AQ$55,2,FALSE))*IF('19.02'!$AK67="是",'19.02'!$BB$4,'19.02'!$BB$3))</f>
        <v>0</v>
      </c>
      <c r="Y67" s="76">
        <v>100</v>
      </c>
      <c r="Z67" s="85">
        <v>45793</v>
      </c>
    </row>
    <row r="68" spans="1:26">
      <c r="A68" s="4">
        <f>IF(ISNUMBER(SEARCH("营",'19.02'!I68)),(-$Y68+50*IF('19.02'!$AK68="是",'19.02'!$BB$4,'19.02'!$BB$3)),(VLOOKUP('19.02'!I68,'19.02'!$AO$4:$AQ$55,2,FALSE))*IF('19.02'!$AK68="是",'19.02'!$BB$4,'19.02'!$BB$3))</f>
        <v>0</v>
      </c>
      <c r="B68" s="4">
        <f>IF(ISNUMBER(SEARCH("营",'19.02'!J68)),(-$Y68+50*IF('19.02'!$AK68="是",'19.02'!$BB$4,'19.02'!$BB$3)),(VLOOKUP('19.02'!J68,'19.02'!$AO$4:$AQ$55,2,FALSE))*IF('19.02'!$AK68="是",'19.02'!$BB$4,'19.02'!$BB$3))</f>
        <v>0</v>
      </c>
      <c r="C68" s="4">
        <f>IF(ISNUMBER(SEARCH("营",'19.02'!K68)),(-$Y68+50*IF('19.02'!$AK68="是",'19.02'!$BB$4,'19.02'!$BB$3)),(VLOOKUP('19.02'!K68,'19.02'!$AO$4:$AQ$55,2,FALSE))*IF('19.02'!$AK68="是",'19.02'!$BB$4,'19.02'!$BB$3))</f>
        <v>0</v>
      </c>
      <c r="D68" s="4">
        <f>IF(ISNUMBER(SEARCH("营",'19.02'!L68)),(-$Y68+50*IF('19.02'!$AK68="是",'19.02'!$BB$4,'19.02'!$BB$3)),(VLOOKUP('19.02'!L68,'19.02'!$AO$4:$AQ$55,2,FALSE))*IF('19.02'!$AK68="是",'19.02'!$BB$4,'19.02'!$BB$3))</f>
        <v>0</v>
      </c>
      <c r="E68" s="4">
        <f>IF(ISNUMBER(SEARCH("营",'19.02'!M68)),(-$Y68+50*IF('19.02'!$AK68="是",'19.02'!$BB$4,'19.02'!$BB$3)),(VLOOKUP('19.02'!M68,'19.02'!$AO$4:$AQ$55,2,FALSE))*IF('19.02'!$AK68="是",'19.02'!$BB$4,'19.02'!$BB$3))</f>
        <v>0</v>
      </c>
      <c r="F68" s="4">
        <f>IF(ISNUMBER(SEARCH("营",'19.02'!N68)),(-$Y68+50*IF('19.02'!$AK68="是",'19.02'!$BB$4,'19.02'!$BB$3)),(VLOOKUP('19.02'!N68,'19.02'!$AO$4:$AQ$55,2,FALSE))*IF('19.02'!$AK68="是",'19.02'!$BB$4,'19.02'!$BB$3))</f>
        <v>0</v>
      </c>
      <c r="G68" s="4">
        <f>IF(ISNUMBER(SEARCH("营",'19.02'!O68)),(-$Y68+50*IF('19.02'!$AK68="是",'19.02'!$BB$4,'19.02'!$BB$3)),(VLOOKUP('19.02'!O68,'19.02'!$AO$4:$AQ$55,2,FALSE))*IF('19.02'!$AK68="是",'19.02'!$BB$4,'19.02'!$BB$3))</f>
        <v>0</v>
      </c>
      <c r="H68" s="4">
        <f>IF(ISNUMBER(SEARCH("营",'19.02'!P68)),(-$Y68+50*IF('19.02'!$AK68="是",'19.02'!$BB$4,'19.02'!$BB$3)),(VLOOKUP('19.02'!P68,'19.02'!$AO$4:$AQ$55,2,FALSE))*IF('19.02'!$AK68="是",'19.02'!$BB$4,'19.02'!$BB$3))</f>
        <v>0</v>
      </c>
      <c r="I68" s="4">
        <f>IF(ISNUMBER(SEARCH("营",'19.02'!Q68)),(-$Y68+50*IF('19.02'!$AK68="是",'19.02'!$BB$4,'19.02'!$BB$3)),(VLOOKUP('19.02'!Q68,'19.02'!$AO$4:$AQ$55,2,FALSE))*IF('19.02'!$AK68="是",'19.02'!$BB$4,'19.02'!$BB$3))</f>
        <v>0</v>
      </c>
      <c r="J68" s="4">
        <f>IF(ISNUMBER(SEARCH("营",'19.02'!R68)),(-$Y68+50*IF('19.02'!$AK68="是",'19.02'!$BB$4,'19.02'!$BB$3)),(VLOOKUP('19.02'!R68,'19.02'!$AO$4:$AQ$55,2,FALSE))*IF('19.02'!$AK68="是",'19.02'!$BB$4,'19.02'!$BB$3))</f>
        <v>0</v>
      </c>
      <c r="K68" s="4">
        <f>IF(ISNUMBER(SEARCH("营",'19.02'!S68)),(-$Y68+50*IF('19.02'!$AK68="是",'19.02'!$BB$4,'19.02'!$BB$3)),(VLOOKUP('19.02'!S68,'19.02'!$AO$4:$AQ$55,2,FALSE))*IF('19.02'!$AK68="是",'19.02'!$BB$4,'19.02'!$BB$3))</f>
        <v>0</v>
      </c>
      <c r="L68" s="4">
        <f>IF(ISNUMBER(SEARCH("营",'19.02'!T68)),(-$Y68+50*IF('19.02'!$AK68="是",'19.02'!$BB$4,'19.02'!$BB$3)),(VLOOKUP('19.02'!T68,'19.02'!$AO$4:$AQ$55,2,FALSE))*IF('19.02'!$AK68="是",'19.02'!$BB$4,'19.02'!$BB$3))</f>
        <v>0</v>
      </c>
      <c r="M68" s="4">
        <f>IF(ISNUMBER(SEARCH("营",'19.02'!U68)),(-$Y68+50*IF('19.02'!$AK68="是",'19.02'!$BB$4,'19.02'!$BB$3)),(VLOOKUP('19.02'!U68,'19.02'!$AO$4:$AQ$55,2,FALSE))*IF('19.02'!$AK68="是",'19.02'!$BB$4,'19.02'!$BB$3))</f>
        <v>0</v>
      </c>
      <c r="N68" s="4">
        <f>IF(ISNUMBER(SEARCH("营",'19.02'!V68)),(-$Y68+50*IF('19.02'!$AK68="是",'19.02'!$BB$4,'19.02'!$BB$3)),(VLOOKUP('19.02'!V68,'19.02'!$AO$4:$AQ$55,2,FALSE))*IF('19.02'!$AK68="是",'19.02'!$BB$4,'19.02'!$BB$3))</f>
        <v>0</v>
      </c>
      <c r="O68" s="4">
        <f>IF(ISNUMBER(SEARCH("营",'19.02'!W68)),(-$Y68+50*IF('19.02'!$AK68="是",'19.02'!$BB$4,'19.02'!$BB$3)),(VLOOKUP('19.02'!W68,'19.02'!$AO$4:$AQ$55,2,FALSE))*IF('19.02'!$AK68="是",'19.02'!$BB$4,'19.02'!$BB$3))</f>
        <v>0</v>
      </c>
      <c r="P68" s="4">
        <f>IF(ISNUMBER(SEARCH("营",'19.02'!X68)),(-$Y68+50*IF('19.02'!$AK68="是",'19.02'!$BB$4,'19.02'!$BB$3)),(VLOOKUP('19.02'!X68,'19.02'!$AO$4:$AQ$55,2,FALSE))*IF('19.02'!$AK68="是",'19.02'!$BB$4,'19.02'!$BB$3))</f>
        <v>0</v>
      </c>
      <c r="Q68" s="4">
        <f>IF(ISNUMBER(SEARCH("营",'19.02'!Y68)),(-$Y68+50*IF('19.02'!$AK68="是",'19.02'!$BB$4,'19.02'!$BB$3)),(VLOOKUP('19.02'!Y68,'19.02'!$AO$4:$AQ$55,2,FALSE))*IF('19.02'!$AK68="是",'19.02'!$BB$4,'19.02'!$BB$3))</f>
        <v>0</v>
      </c>
      <c r="R68" s="4">
        <f>IF(ISNUMBER(SEARCH("营",'19.02'!Z68)),(-$Y68+50*IF('19.02'!$AK68="是",'19.02'!$BB$4,'19.02'!$BB$3)),(VLOOKUP('19.02'!Z68,'19.02'!$AO$4:$AQ$55,2,FALSE))*IF('19.02'!$AK68="是",'19.02'!$BB$4,'19.02'!$BB$3))</f>
        <v>0</v>
      </c>
      <c r="S68" s="4">
        <f>IF(ISNUMBER(SEARCH("营",'19.02'!AA68)),(-$Y68+50*IF('19.02'!$AK68="是",'19.02'!$BB$4,'19.02'!$BB$3)),(VLOOKUP('19.02'!AA68,'19.02'!$AO$4:$AQ$55,2,FALSE))*IF('19.02'!$AK68="是",'19.02'!$BB$4,'19.02'!$BB$3))</f>
        <v>0</v>
      </c>
      <c r="T68" s="4">
        <f>IF(ISNUMBER(SEARCH("营",'19.02'!AB68)),(-$Y68+50*IF('19.02'!$AK68="是",'19.02'!$BB$4,'19.02'!$BB$3)),(VLOOKUP('19.02'!AB68,'19.02'!$AO$4:$AQ$55,2,FALSE))*IF('19.02'!$AK68="是",'19.02'!$BB$4,'19.02'!$BB$3))</f>
        <v>0</v>
      </c>
      <c r="U68" s="4">
        <f>IF(ISNUMBER(SEARCH("营",'19.02'!AC68)),(-$Y68+50*IF('19.02'!$AK68="是",'19.02'!$BB$4,'19.02'!$BB$3)),(VLOOKUP('19.02'!AC68,'19.02'!$AO$4:$AQ$55,2,FALSE))*IF('19.02'!$AK68="是",'19.02'!$BB$4,'19.02'!$BB$3))</f>
        <v>0</v>
      </c>
      <c r="V68" s="4">
        <f>IF(ISNUMBER(SEARCH("营",'19.02'!AD68)),(-$Y68+50*IF('19.02'!$AK68="是",'19.02'!$BB$4,'19.02'!$BB$3)),(VLOOKUP('19.02'!AD68,'19.02'!$AO$4:$AQ$55,2,FALSE))*IF('19.02'!$AK68="是",'19.02'!$BB$4,'19.02'!$BB$3))</f>
        <v>0</v>
      </c>
      <c r="W68" s="4">
        <f>IF(ISNUMBER(SEARCH("营",'19.02'!AE68)),(-$Y68+50*IF('19.02'!$AK68="是",'19.02'!$BB$4,'19.02'!$BB$3)),(VLOOKUP('19.02'!AE68,'19.02'!$AO$4:$AQ$55,2,FALSE))*IF('19.02'!$AK68="是",'19.02'!$BB$4,'19.02'!$BB$3))</f>
        <v>0</v>
      </c>
      <c r="X68" s="4">
        <f>IF(ISNUMBER(SEARCH("营",'19.02'!AF68)),(-$Y68+50*IF('19.02'!$AK68="是",'19.02'!$BB$4,'19.02'!$BB$3)),(VLOOKUP('19.02'!AF68,'19.02'!$AO$4:$AQ$55,2,FALSE))*IF('19.02'!$AK68="是",'19.02'!$BB$4,'19.02'!$BB$3))</f>
        <v>0</v>
      </c>
      <c r="Y68" s="76">
        <v>100</v>
      </c>
      <c r="Z68" s="85">
        <v>45794</v>
      </c>
    </row>
    <row r="69" spans="1:26">
      <c r="A69" s="4">
        <f>IF(ISNUMBER(SEARCH("营",'19.02'!I69)),(-$Y69+50*IF('19.02'!$AK69="是",'19.02'!$BB$4,'19.02'!$BB$3)),(VLOOKUP('19.02'!I69,'19.02'!$AO$4:$AQ$55,2,FALSE))*IF('19.02'!$AK69="是",'19.02'!$BB$4,'19.02'!$BB$3))</f>
        <v>0</v>
      </c>
      <c r="B69" s="4">
        <f>IF(ISNUMBER(SEARCH("营",'19.02'!J69)),(-$Y69+50*IF('19.02'!$AK69="是",'19.02'!$BB$4,'19.02'!$BB$3)),(VLOOKUP('19.02'!J69,'19.02'!$AO$4:$AQ$55,2,FALSE))*IF('19.02'!$AK69="是",'19.02'!$BB$4,'19.02'!$BB$3))</f>
        <v>0</v>
      </c>
      <c r="C69" s="4">
        <f>IF(ISNUMBER(SEARCH("营",'19.02'!K69)),(-$Y69+50*IF('19.02'!$AK69="是",'19.02'!$BB$4,'19.02'!$BB$3)),(VLOOKUP('19.02'!K69,'19.02'!$AO$4:$AQ$55,2,FALSE))*IF('19.02'!$AK69="是",'19.02'!$BB$4,'19.02'!$BB$3))</f>
        <v>0</v>
      </c>
      <c r="D69" s="4">
        <f>IF(ISNUMBER(SEARCH("营",'19.02'!L69)),(-$Y69+50*IF('19.02'!$AK69="是",'19.02'!$BB$4,'19.02'!$BB$3)),(VLOOKUP('19.02'!L69,'19.02'!$AO$4:$AQ$55,2,FALSE))*IF('19.02'!$AK69="是",'19.02'!$BB$4,'19.02'!$BB$3))</f>
        <v>0</v>
      </c>
      <c r="E69" s="4">
        <f>IF(ISNUMBER(SEARCH("营",'19.02'!M69)),(-$Y69+50*IF('19.02'!$AK69="是",'19.02'!$BB$4,'19.02'!$BB$3)),(VLOOKUP('19.02'!M69,'19.02'!$AO$4:$AQ$55,2,FALSE))*IF('19.02'!$AK69="是",'19.02'!$BB$4,'19.02'!$BB$3))</f>
        <v>0</v>
      </c>
      <c r="F69" s="4">
        <f>IF(ISNUMBER(SEARCH("营",'19.02'!N69)),(-$Y69+50*IF('19.02'!$AK69="是",'19.02'!$BB$4,'19.02'!$BB$3)),(VLOOKUP('19.02'!N69,'19.02'!$AO$4:$AQ$55,2,FALSE))*IF('19.02'!$AK69="是",'19.02'!$BB$4,'19.02'!$BB$3))</f>
        <v>0</v>
      </c>
      <c r="G69" s="4">
        <f>IF(ISNUMBER(SEARCH("营",'19.02'!O69)),(-$Y69+50*IF('19.02'!$AK69="是",'19.02'!$BB$4,'19.02'!$BB$3)),(VLOOKUP('19.02'!O69,'19.02'!$AO$4:$AQ$55,2,FALSE))*IF('19.02'!$AK69="是",'19.02'!$BB$4,'19.02'!$BB$3))</f>
        <v>0</v>
      </c>
      <c r="H69" s="4">
        <f>IF(ISNUMBER(SEARCH("营",'19.02'!P69)),(-$Y69+50*IF('19.02'!$AK69="是",'19.02'!$BB$4,'19.02'!$BB$3)),(VLOOKUP('19.02'!P69,'19.02'!$AO$4:$AQ$55,2,FALSE))*IF('19.02'!$AK69="是",'19.02'!$BB$4,'19.02'!$BB$3))</f>
        <v>0</v>
      </c>
      <c r="I69" s="4">
        <f>IF(ISNUMBER(SEARCH("营",'19.02'!Q69)),(-$Y69+50*IF('19.02'!$AK69="是",'19.02'!$BB$4,'19.02'!$BB$3)),(VLOOKUP('19.02'!Q69,'19.02'!$AO$4:$AQ$55,2,FALSE))*IF('19.02'!$AK69="是",'19.02'!$BB$4,'19.02'!$BB$3))</f>
        <v>0</v>
      </c>
      <c r="J69" s="4">
        <f>IF(ISNUMBER(SEARCH("营",'19.02'!R69)),(-$Y69+50*IF('19.02'!$AK69="是",'19.02'!$BB$4,'19.02'!$BB$3)),(VLOOKUP('19.02'!R69,'19.02'!$AO$4:$AQ$55,2,FALSE))*IF('19.02'!$AK69="是",'19.02'!$BB$4,'19.02'!$BB$3))</f>
        <v>0</v>
      </c>
      <c r="K69" s="4">
        <f>IF(ISNUMBER(SEARCH("营",'19.02'!S69)),(-$Y69+50*IF('19.02'!$AK69="是",'19.02'!$BB$4,'19.02'!$BB$3)),(VLOOKUP('19.02'!S69,'19.02'!$AO$4:$AQ$55,2,FALSE))*IF('19.02'!$AK69="是",'19.02'!$BB$4,'19.02'!$BB$3))</f>
        <v>0</v>
      </c>
      <c r="L69" s="4">
        <f>IF(ISNUMBER(SEARCH("营",'19.02'!T69)),(-$Y69+50*IF('19.02'!$AK69="是",'19.02'!$BB$4,'19.02'!$BB$3)),(VLOOKUP('19.02'!T69,'19.02'!$AO$4:$AQ$55,2,FALSE))*IF('19.02'!$AK69="是",'19.02'!$BB$4,'19.02'!$BB$3))</f>
        <v>0</v>
      </c>
      <c r="M69" s="4">
        <f>IF(ISNUMBER(SEARCH("营",'19.02'!U69)),(-$Y69+50*IF('19.02'!$AK69="是",'19.02'!$BB$4,'19.02'!$BB$3)),(VLOOKUP('19.02'!U69,'19.02'!$AO$4:$AQ$55,2,FALSE))*IF('19.02'!$AK69="是",'19.02'!$BB$4,'19.02'!$BB$3))</f>
        <v>0</v>
      </c>
      <c r="N69" s="4">
        <f>IF(ISNUMBER(SEARCH("营",'19.02'!V69)),(-$Y69+50*IF('19.02'!$AK69="是",'19.02'!$BB$4,'19.02'!$BB$3)),(VLOOKUP('19.02'!V69,'19.02'!$AO$4:$AQ$55,2,FALSE))*IF('19.02'!$AK69="是",'19.02'!$BB$4,'19.02'!$BB$3))</f>
        <v>0</v>
      </c>
      <c r="O69" s="4">
        <f>IF(ISNUMBER(SEARCH("营",'19.02'!W69)),(-$Y69+50*IF('19.02'!$AK69="是",'19.02'!$BB$4,'19.02'!$BB$3)),(VLOOKUP('19.02'!W69,'19.02'!$AO$4:$AQ$55,2,FALSE))*IF('19.02'!$AK69="是",'19.02'!$BB$4,'19.02'!$BB$3))</f>
        <v>0</v>
      </c>
      <c r="P69" s="4">
        <f>IF(ISNUMBER(SEARCH("营",'19.02'!X69)),(-$Y69+50*IF('19.02'!$AK69="是",'19.02'!$BB$4,'19.02'!$BB$3)),(VLOOKUP('19.02'!X69,'19.02'!$AO$4:$AQ$55,2,FALSE))*IF('19.02'!$AK69="是",'19.02'!$BB$4,'19.02'!$BB$3))</f>
        <v>0</v>
      </c>
      <c r="Q69" s="4">
        <f>IF(ISNUMBER(SEARCH("营",'19.02'!Y69)),(-$Y69+50*IF('19.02'!$AK69="是",'19.02'!$BB$4,'19.02'!$BB$3)),(VLOOKUP('19.02'!Y69,'19.02'!$AO$4:$AQ$55,2,FALSE))*IF('19.02'!$AK69="是",'19.02'!$BB$4,'19.02'!$BB$3))</f>
        <v>0</v>
      </c>
      <c r="R69" s="4">
        <f>IF(ISNUMBER(SEARCH("营",'19.02'!Z69)),(-$Y69+50*IF('19.02'!$AK69="是",'19.02'!$BB$4,'19.02'!$BB$3)),(VLOOKUP('19.02'!Z69,'19.02'!$AO$4:$AQ$55,2,FALSE))*IF('19.02'!$AK69="是",'19.02'!$BB$4,'19.02'!$BB$3))</f>
        <v>0</v>
      </c>
      <c r="S69" s="4">
        <f>IF(ISNUMBER(SEARCH("营",'19.02'!AA69)),(-$Y69+50*IF('19.02'!$AK69="是",'19.02'!$BB$4,'19.02'!$BB$3)),(VLOOKUP('19.02'!AA69,'19.02'!$AO$4:$AQ$55,2,FALSE))*IF('19.02'!$AK69="是",'19.02'!$BB$4,'19.02'!$BB$3))</f>
        <v>0</v>
      </c>
      <c r="T69" s="4">
        <f>IF(ISNUMBER(SEARCH("营",'19.02'!AB69)),(-$Y69+50*IF('19.02'!$AK69="是",'19.02'!$BB$4,'19.02'!$BB$3)),(VLOOKUP('19.02'!AB69,'19.02'!$AO$4:$AQ$55,2,FALSE))*IF('19.02'!$AK69="是",'19.02'!$BB$4,'19.02'!$BB$3))</f>
        <v>0</v>
      </c>
      <c r="U69" s="4">
        <f>IF(ISNUMBER(SEARCH("营",'19.02'!AC69)),(-$Y69+50*IF('19.02'!$AK69="是",'19.02'!$BB$4,'19.02'!$BB$3)),(VLOOKUP('19.02'!AC69,'19.02'!$AO$4:$AQ$55,2,FALSE))*IF('19.02'!$AK69="是",'19.02'!$BB$4,'19.02'!$BB$3))</f>
        <v>0</v>
      </c>
      <c r="V69" s="4">
        <f>IF(ISNUMBER(SEARCH("营",'19.02'!AD69)),(-$Y69+50*IF('19.02'!$AK69="是",'19.02'!$BB$4,'19.02'!$BB$3)),(VLOOKUP('19.02'!AD69,'19.02'!$AO$4:$AQ$55,2,FALSE))*IF('19.02'!$AK69="是",'19.02'!$BB$4,'19.02'!$BB$3))</f>
        <v>0</v>
      </c>
      <c r="W69" s="4">
        <f>IF(ISNUMBER(SEARCH("营",'19.02'!AE69)),(-$Y69+50*IF('19.02'!$AK69="是",'19.02'!$BB$4,'19.02'!$BB$3)),(VLOOKUP('19.02'!AE69,'19.02'!$AO$4:$AQ$55,2,FALSE))*IF('19.02'!$AK69="是",'19.02'!$BB$4,'19.02'!$BB$3))</f>
        <v>0</v>
      </c>
      <c r="X69" s="4">
        <f>IF(ISNUMBER(SEARCH("营",'19.02'!AF69)),(-$Y69+50*IF('19.02'!$AK69="是",'19.02'!$BB$4,'19.02'!$BB$3)),(VLOOKUP('19.02'!AF69,'19.02'!$AO$4:$AQ$55,2,FALSE))*IF('19.02'!$AK69="是",'19.02'!$BB$4,'19.02'!$BB$3))</f>
        <v>0</v>
      </c>
      <c r="Y69" s="76">
        <v>100</v>
      </c>
      <c r="Z69" s="85">
        <v>45795</v>
      </c>
    </row>
    <row r="70" spans="1:26">
      <c r="A70" s="4">
        <f>IF(ISNUMBER(SEARCH("营",'19.02'!I70)),(-$Y70+50*IF('19.02'!$AK70="是",'19.02'!$BB$4,'19.02'!$BB$3)),(VLOOKUP('19.02'!I70,'19.02'!$AO$4:$AQ$55,2,FALSE))*IF('19.02'!$AK70="是",'19.02'!$BB$4,'19.02'!$BB$3))</f>
        <v>0</v>
      </c>
      <c r="B70" s="4">
        <f>IF(ISNUMBER(SEARCH("营",'19.02'!J70)),(-$Y70+50*IF('19.02'!$AK70="是",'19.02'!$BB$4,'19.02'!$BB$3)),(VLOOKUP('19.02'!J70,'19.02'!$AO$4:$AQ$55,2,FALSE))*IF('19.02'!$AK70="是",'19.02'!$BB$4,'19.02'!$BB$3))</f>
        <v>0</v>
      </c>
      <c r="C70" s="4">
        <f>IF(ISNUMBER(SEARCH("营",'19.02'!K70)),(-$Y70+50*IF('19.02'!$AK70="是",'19.02'!$BB$4,'19.02'!$BB$3)),(VLOOKUP('19.02'!K70,'19.02'!$AO$4:$AQ$55,2,FALSE))*IF('19.02'!$AK70="是",'19.02'!$BB$4,'19.02'!$BB$3))</f>
        <v>0</v>
      </c>
      <c r="D70" s="4">
        <f>IF(ISNUMBER(SEARCH("营",'19.02'!L70)),(-$Y70+50*IF('19.02'!$AK70="是",'19.02'!$BB$4,'19.02'!$BB$3)),(VLOOKUP('19.02'!L70,'19.02'!$AO$4:$AQ$55,2,FALSE))*IF('19.02'!$AK70="是",'19.02'!$BB$4,'19.02'!$BB$3))</f>
        <v>0</v>
      </c>
      <c r="E70" s="4">
        <f>IF(ISNUMBER(SEARCH("营",'19.02'!M70)),(-$Y70+50*IF('19.02'!$AK70="是",'19.02'!$BB$4,'19.02'!$BB$3)),(VLOOKUP('19.02'!M70,'19.02'!$AO$4:$AQ$55,2,FALSE))*IF('19.02'!$AK70="是",'19.02'!$BB$4,'19.02'!$BB$3))</f>
        <v>0</v>
      </c>
      <c r="F70" s="4">
        <f>IF(ISNUMBER(SEARCH("营",'19.02'!N70)),(-$Y70+50*IF('19.02'!$AK70="是",'19.02'!$BB$4,'19.02'!$BB$3)),(VLOOKUP('19.02'!N70,'19.02'!$AO$4:$AQ$55,2,FALSE))*IF('19.02'!$AK70="是",'19.02'!$BB$4,'19.02'!$BB$3))</f>
        <v>0</v>
      </c>
      <c r="G70" s="4">
        <f>IF(ISNUMBER(SEARCH("营",'19.02'!O70)),(-$Y70+50*IF('19.02'!$AK70="是",'19.02'!$BB$4,'19.02'!$BB$3)),(VLOOKUP('19.02'!O70,'19.02'!$AO$4:$AQ$55,2,FALSE))*IF('19.02'!$AK70="是",'19.02'!$BB$4,'19.02'!$BB$3))</f>
        <v>0</v>
      </c>
      <c r="H70" s="4">
        <f>IF(ISNUMBER(SEARCH("营",'19.02'!P70)),(-$Y70+50*IF('19.02'!$AK70="是",'19.02'!$BB$4,'19.02'!$BB$3)),(VLOOKUP('19.02'!P70,'19.02'!$AO$4:$AQ$55,2,FALSE))*IF('19.02'!$AK70="是",'19.02'!$BB$4,'19.02'!$BB$3))</f>
        <v>0</v>
      </c>
      <c r="I70" s="4">
        <f>IF(ISNUMBER(SEARCH("营",'19.02'!Q70)),(-$Y70+50*IF('19.02'!$AK70="是",'19.02'!$BB$4,'19.02'!$BB$3)),(VLOOKUP('19.02'!Q70,'19.02'!$AO$4:$AQ$55,2,FALSE))*IF('19.02'!$AK70="是",'19.02'!$BB$4,'19.02'!$BB$3))</f>
        <v>0</v>
      </c>
      <c r="J70" s="4">
        <f>IF(ISNUMBER(SEARCH("营",'19.02'!R70)),(-$Y70+50*IF('19.02'!$AK70="是",'19.02'!$BB$4,'19.02'!$BB$3)),(VLOOKUP('19.02'!R70,'19.02'!$AO$4:$AQ$55,2,FALSE))*IF('19.02'!$AK70="是",'19.02'!$BB$4,'19.02'!$BB$3))</f>
        <v>0</v>
      </c>
      <c r="K70" s="4">
        <f>IF(ISNUMBER(SEARCH("营",'19.02'!S70)),(-$Y70+50*IF('19.02'!$AK70="是",'19.02'!$BB$4,'19.02'!$BB$3)),(VLOOKUP('19.02'!S70,'19.02'!$AO$4:$AQ$55,2,FALSE))*IF('19.02'!$AK70="是",'19.02'!$BB$4,'19.02'!$BB$3))</f>
        <v>0</v>
      </c>
      <c r="L70" s="4">
        <f>IF(ISNUMBER(SEARCH("营",'19.02'!T70)),(-$Y70+50*IF('19.02'!$AK70="是",'19.02'!$BB$4,'19.02'!$BB$3)),(VLOOKUP('19.02'!T70,'19.02'!$AO$4:$AQ$55,2,FALSE))*IF('19.02'!$AK70="是",'19.02'!$BB$4,'19.02'!$BB$3))</f>
        <v>0</v>
      </c>
      <c r="M70" s="4">
        <f>IF(ISNUMBER(SEARCH("营",'19.02'!U70)),(-$Y70+50*IF('19.02'!$AK70="是",'19.02'!$BB$4,'19.02'!$BB$3)),(VLOOKUP('19.02'!U70,'19.02'!$AO$4:$AQ$55,2,FALSE))*IF('19.02'!$AK70="是",'19.02'!$BB$4,'19.02'!$BB$3))</f>
        <v>0</v>
      </c>
      <c r="N70" s="4">
        <f>IF(ISNUMBER(SEARCH("营",'19.02'!V70)),(-$Y70+50*IF('19.02'!$AK70="是",'19.02'!$BB$4,'19.02'!$BB$3)),(VLOOKUP('19.02'!V70,'19.02'!$AO$4:$AQ$55,2,FALSE))*IF('19.02'!$AK70="是",'19.02'!$BB$4,'19.02'!$BB$3))</f>
        <v>0</v>
      </c>
      <c r="O70" s="4">
        <f>IF(ISNUMBER(SEARCH("营",'19.02'!W70)),(-$Y70+50*IF('19.02'!$AK70="是",'19.02'!$BB$4,'19.02'!$BB$3)),(VLOOKUP('19.02'!W70,'19.02'!$AO$4:$AQ$55,2,FALSE))*IF('19.02'!$AK70="是",'19.02'!$BB$4,'19.02'!$BB$3))</f>
        <v>0</v>
      </c>
      <c r="P70" s="4">
        <f>IF(ISNUMBER(SEARCH("营",'19.02'!X70)),(-$Y70+50*IF('19.02'!$AK70="是",'19.02'!$BB$4,'19.02'!$BB$3)),(VLOOKUP('19.02'!X70,'19.02'!$AO$4:$AQ$55,2,FALSE))*IF('19.02'!$AK70="是",'19.02'!$BB$4,'19.02'!$BB$3))</f>
        <v>0</v>
      </c>
      <c r="Q70" s="4">
        <f>IF(ISNUMBER(SEARCH("营",'19.02'!Y70)),(-$Y70+50*IF('19.02'!$AK70="是",'19.02'!$BB$4,'19.02'!$BB$3)),(VLOOKUP('19.02'!Y70,'19.02'!$AO$4:$AQ$55,2,FALSE))*IF('19.02'!$AK70="是",'19.02'!$BB$4,'19.02'!$BB$3))</f>
        <v>0</v>
      </c>
      <c r="R70" s="4">
        <f>IF(ISNUMBER(SEARCH("营",'19.02'!Z70)),(-$Y70+50*IF('19.02'!$AK70="是",'19.02'!$BB$4,'19.02'!$BB$3)),(VLOOKUP('19.02'!Z70,'19.02'!$AO$4:$AQ$55,2,FALSE))*IF('19.02'!$AK70="是",'19.02'!$BB$4,'19.02'!$BB$3))</f>
        <v>0</v>
      </c>
      <c r="S70" s="4">
        <f>IF(ISNUMBER(SEARCH("营",'19.02'!AA70)),(-$Y70+50*IF('19.02'!$AK70="是",'19.02'!$BB$4,'19.02'!$BB$3)),(VLOOKUP('19.02'!AA70,'19.02'!$AO$4:$AQ$55,2,FALSE))*IF('19.02'!$AK70="是",'19.02'!$BB$4,'19.02'!$BB$3))</f>
        <v>0</v>
      </c>
      <c r="T70" s="4">
        <f>IF(ISNUMBER(SEARCH("营",'19.02'!AB70)),(-$Y70+50*IF('19.02'!$AK70="是",'19.02'!$BB$4,'19.02'!$BB$3)),(VLOOKUP('19.02'!AB70,'19.02'!$AO$4:$AQ$55,2,FALSE))*IF('19.02'!$AK70="是",'19.02'!$BB$4,'19.02'!$BB$3))</f>
        <v>0</v>
      </c>
      <c r="U70" s="4">
        <f>IF(ISNUMBER(SEARCH("营",'19.02'!AC70)),(-$Y70+50*IF('19.02'!$AK70="是",'19.02'!$BB$4,'19.02'!$BB$3)),(VLOOKUP('19.02'!AC70,'19.02'!$AO$4:$AQ$55,2,FALSE))*IF('19.02'!$AK70="是",'19.02'!$BB$4,'19.02'!$BB$3))</f>
        <v>0</v>
      </c>
      <c r="V70" s="4">
        <f>IF(ISNUMBER(SEARCH("营",'19.02'!AD70)),(-$Y70+50*IF('19.02'!$AK70="是",'19.02'!$BB$4,'19.02'!$BB$3)),(VLOOKUP('19.02'!AD70,'19.02'!$AO$4:$AQ$55,2,FALSE))*IF('19.02'!$AK70="是",'19.02'!$BB$4,'19.02'!$BB$3))</f>
        <v>0</v>
      </c>
      <c r="W70" s="4">
        <f>IF(ISNUMBER(SEARCH("营",'19.02'!AE70)),(-$Y70+50*IF('19.02'!$AK70="是",'19.02'!$BB$4,'19.02'!$BB$3)),(VLOOKUP('19.02'!AE70,'19.02'!$AO$4:$AQ$55,2,FALSE))*IF('19.02'!$AK70="是",'19.02'!$BB$4,'19.02'!$BB$3))</f>
        <v>0</v>
      </c>
      <c r="X70" s="4">
        <f>IF(ISNUMBER(SEARCH("营",'19.02'!AF70)),(-$Y70+50*IF('19.02'!$AK70="是",'19.02'!$BB$4,'19.02'!$BB$3)),(VLOOKUP('19.02'!AF70,'19.02'!$AO$4:$AQ$55,2,FALSE))*IF('19.02'!$AK70="是",'19.02'!$BB$4,'19.02'!$BB$3))</f>
        <v>0</v>
      </c>
      <c r="Y70" s="76">
        <v>100</v>
      </c>
      <c r="Z70" s="85">
        <v>45796</v>
      </c>
    </row>
    <row r="71" spans="1:26">
      <c r="A71" s="4">
        <f>IF(ISNUMBER(SEARCH("营",'19.02'!I71)),(-$Y71+50*IF('19.02'!$AK71="是",'19.02'!$BB$4,'19.02'!$BB$3)),(VLOOKUP('19.02'!I71,'19.02'!$AO$4:$AQ$55,2,FALSE))*IF('19.02'!$AK71="是",'19.02'!$BB$4,'19.02'!$BB$3))</f>
        <v>0</v>
      </c>
      <c r="B71" s="4">
        <f>IF(ISNUMBER(SEARCH("营",'19.02'!J71)),(-$Y71+50*IF('19.02'!$AK71="是",'19.02'!$BB$4,'19.02'!$BB$3)),(VLOOKUP('19.02'!J71,'19.02'!$AO$4:$AQ$55,2,FALSE))*IF('19.02'!$AK71="是",'19.02'!$BB$4,'19.02'!$BB$3))</f>
        <v>0</v>
      </c>
      <c r="C71" s="4">
        <f>IF(ISNUMBER(SEARCH("营",'19.02'!K71)),(-$Y71+50*IF('19.02'!$AK71="是",'19.02'!$BB$4,'19.02'!$BB$3)),(VLOOKUP('19.02'!K71,'19.02'!$AO$4:$AQ$55,2,FALSE))*IF('19.02'!$AK71="是",'19.02'!$BB$4,'19.02'!$BB$3))</f>
        <v>0</v>
      </c>
      <c r="D71" s="4">
        <f>IF(ISNUMBER(SEARCH("营",'19.02'!L71)),(-$Y71+50*IF('19.02'!$AK71="是",'19.02'!$BB$4,'19.02'!$BB$3)),(VLOOKUP('19.02'!L71,'19.02'!$AO$4:$AQ$55,2,FALSE))*IF('19.02'!$AK71="是",'19.02'!$BB$4,'19.02'!$BB$3))</f>
        <v>0</v>
      </c>
      <c r="E71" s="4">
        <f>IF(ISNUMBER(SEARCH("营",'19.02'!M71)),(-$Y71+50*IF('19.02'!$AK71="是",'19.02'!$BB$4,'19.02'!$BB$3)),(VLOOKUP('19.02'!M71,'19.02'!$AO$4:$AQ$55,2,FALSE))*IF('19.02'!$AK71="是",'19.02'!$BB$4,'19.02'!$BB$3))</f>
        <v>0</v>
      </c>
      <c r="F71" s="4">
        <f>IF(ISNUMBER(SEARCH("营",'19.02'!N71)),(-$Y71+50*IF('19.02'!$AK71="是",'19.02'!$BB$4,'19.02'!$BB$3)),(VLOOKUP('19.02'!N71,'19.02'!$AO$4:$AQ$55,2,FALSE))*IF('19.02'!$AK71="是",'19.02'!$BB$4,'19.02'!$BB$3))</f>
        <v>0</v>
      </c>
      <c r="G71" s="4">
        <f>IF(ISNUMBER(SEARCH("营",'19.02'!O71)),(-$Y71+50*IF('19.02'!$AK71="是",'19.02'!$BB$4,'19.02'!$BB$3)),(VLOOKUP('19.02'!O71,'19.02'!$AO$4:$AQ$55,2,FALSE))*IF('19.02'!$AK71="是",'19.02'!$BB$4,'19.02'!$BB$3))</f>
        <v>0</v>
      </c>
      <c r="H71" s="4">
        <f>IF(ISNUMBER(SEARCH("营",'19.02'!P71)),(-$Y71+50*IF('19.02'!$AK71="是",'19.02'!$BB$4,'19.02'!$BB$3)),(VLOOKUP('19.02'!P71,'19.02'!$AO$4:$AQ$55,2,FALSE))*IF('19.02'!$AK71="是",'19.02'!$BB$4,'19.02'!$BB$3))</f>
        <v>0</v>
      </c>
      <c r="I71" s="4">
        <f>IF(ISNUMBER(SEARCH("营",'19.02'!Q71)),(-$Y71+50*IF('19.02'!$AK71="是",'19.02'!$BB$4,'19.02'!$BB$3)),(VLOOKUP('19.02'!Q71,'19.02'!$AO$4:$AQ$55,2,FALSE))*IF('19.02'!$AK71="是",'19.02'!$BB$4,'19.02'!$BB$3))</f>
        <v>0</v>
      </c>
      <c r="J71" s="4">
        <f>IF(ISNUMBER(SEARCH("营",'19.02'!R71)),(-$Y71+50*IF('19.02'!$AK71="是",'19.02'!$BB$4,'19.02'!$BB$3)),(VLOOKUP('19.02'!R71,'19.02'!$AO$4:$AQ$55,2,FALSE))*IF('19.02'!$AK71="是",'19.02'!$BB$4,'19.02'!$BB$3))</f>
        <v>0</v>
      </c>
      <c r="K71" s="4">
        <f>IF(ISNUMBER(SEARCH("营",'19.02'!S71)),(-$Y71+50*IF('19.02'!$AK71="是",'19.02'!$BB$4,'19.02'!$BB$3)),(VLOOKUP('19.02'!S71,'19.02'!$AO$4:$AQ$55,2,FALSE))*IF('19.02'!$AK71="是",'19.02'!$BB$4,'19.02'!$BB$3))</f>
        <v>0</v>
      </c>
      <c r="L71" s="4">
        <f>IF(ISNUMBER(SEARCH("营",'19.02'!T71)),(-$Y71+50*IF('19.02'!$AK71="是",'19.02'!$BB$4,'19.02'!$BB$3)),(VLOOKUP('19.02'!T71,'19.02'!$AO$4:$AQ$55,2,FALSE))*IF('19.02'!$AK71="是",'19.02'!$BB$4,'19.02'!$BB$3))</f>
        <v>0</v>
      </c>
      <c r="M71" s="4">
        <f>IF(ISNUMBER(SEARCH("营",'19.02'!U71)),(-$Y71+50*IF('19.02'!$AK71="是",'19.02'!$BB$4,'19.02'!$BB$3)),(VLOOKUP('19.02'!U71,'19.02'!$AO$4:$AQ$55,2,FALSE))*IF('19.02'!$AK71="是",'19.02'!$BB$4,'19.02'!$BB$3))</f>
        <v>0</v>
      </c>
      <c r="N71" s="4">
        <f>IF(ISNUMBER(SEARCH("营",'19.02'!V71)),(-$Y71+50*IF('19.02'!$AK71="是",'19.02'!$BB$4,'19.02'!$BB$3)),(VLOOKUP('19.02'!V71,'19.02'!$AO$4:$AQ$55,2,FALSE))*IF('19.02'!$AK71="是",'19.02'!$BB$4,'19.02'!$BB$3))</f>
        <v>0</v>
      </c>
      <c r="O71" s="4">
        <f>IF(ISNUMBER(SEARCH("营",'19.02'!W71)),(-$Y71+50*IF('19.02'!$AK71="是",'19.02'!$BB$4,'19.02'!$BB$3)),(VLOOKUP('19.02'!W71,'19.02'!$AO$4:$AQ$55,2,FALSE))*IF('19.02'!$AK71="是",'19.02'!$BB$4,'19.02'!$BB$3))</f>
        <v>0</v>
      </c>
      <c r="P71" s="4">
        <f>IF(ISNUMBER(SEARCH("营",'19.02'!X71)),(-$Y71+50*IF('19.02'!$AK71="是",'19.02'!$BB$4,'19.02'!$BB$3)),(VLOOKUP('19.02'!X71,'19.02'!$AO$4:$AQ$55,2,FALSE))*IF('19.02'!$AK71="是",'19.02'!$BB$4,'19.02'!$BB$3))</f>
        <v>0</v>
      </c>
      <c r="Q71" s="4">
        <f>IF(ISNUMBER(SEARCH("营",'19.02'!Y71)),(-$Y71+50*IF('19.02'!$AK71="是",'19.02'!$BB$4,'19.02'!$BB$3)),(VLOOKUP('19.02'!Y71,'19.02'!$AO$4:$AQ$55,2,FALSE))*IF('19.02'!$AK71="是",'19.02'!$BB$4,'19.02'!$BB$3))</f>
        <v>0</v>
      </c>
      <c r="R71" s="4">
        <f>IF(ISNUMBER(SEARCH("营",'19.02'!Z71)),(-$Y71+50*IF('19.02'!$AK71="是",'19.02'!$BB$4,'19.02'!$BB$3)),(VLOOKUP('19.02'!Z71,'19.02'!$AO$4:$AQ$55,2,FALSE))*IF('19.02'!$AK71="是",'19.02'!$BB$4,'19.02'!$BB$3))</f>
        <v>0</v>
      </c>
      <c r="S71" s="4">
        <f>IF(ISNUMBER(SEARCH("营",'19.02'!AA71)),(-$Y71+50*IF('19.02'!$AK71="是",'19.02'!$BB$4,'19.02'!$BB$3)),(VLOOKUP('19.02'!AA71,'19.02'!$AO$4:$AQ$55,2,FALSE))*IF('19.02'!$AK71="是",'19.02'!$BB$4,'19.02'!$BB$3))</f>
        <v>0</v>
      </c>
      <c r="T71" s="4">
        <f>IF(ISNUMBER(SEARCH("营",'19.02'!AB71)),(-$Y71+50*IF('19.02'!$AK71="是",'19.02'!$BB$4,'19.02'!$BB$3)),(VLOOKUP('19.02'!AB71,'19.02'!$AO$4:$AQ$55,2,FALSE))*IF('19.02'!$AK71="是",'19.02'!$BB$4,'19.02'!$BB$3))</f>
        <v>0</v>
      </c>
      <c r="U71" s="4">
        <f>IF(ISNUMBER(SEARCH("营",'19.02'!AC71)),(-$Y71+50*IF('19.02'!$AK71="是",'19.02'!$BB$4,'19.02'!$BB$3)),(VLOOKUP('19.02'!AC71,'19.02'!$AO$4:$AQ$55,2,FALSE))*IF('19.02'!$AK71="是",'19.02'!$BB$4,'19.02'!$BB$3))</f>
        <v>0</v>
      </c>
      <c r="V71" s="4">
        <f>IF(ISNUMBER(SEARCH("营",'19.02'!AD71)),(-$Y71+50*IF('19.02'!$AK71="是",'19.02'!$BB$4,'19.02'!$BB$3)),(VLOOKUP('19.02'!AD71,'19.02'!$AO$4:$AQ$55,2,FALSE))*IF('19.02'!$AK71="是",'19.02'!$BB$4,'19.02'!$BB$3))</f>
        <v>0</v>
      </c>
      <c r="W71" s="4">
        <f>IF(ISNUMBER(SEARCH("营",'19.02'!AE71)),(-$Y71+50*IF('19.02'!$AK71="是",'19.02'!$BB$4,'19.02'!$BB$3)),(VLOOKUP('19.02'!AE71,'19.02'!$AO$4:$AQ$55,2,FALSE))*IF('19.02'!$AK71="是",'19.02'!$BB$4,'19.02'!$BB$3))</f>
        <v>0</v>
      </c>
      <c r="X71" s="4">
        <f>IF(ISNUMBER(SEARCH("营",'19.02'!AF71)),(-$Y71+50*IF('19.02'!$AK71="是",'19.02'!$BB$4,'19.02'!$BB$3)),(VLOOKUP('19.02'!AF71,'19.02'!$AO$4:$AQ$55,2,FALSE))*IF('19.02'!$AK71="是",'19.02'!$BB$4,'19.02'!$BB$3))</f>
        <v>0</v>
      </c>
      <c r="Y71" s="76">
        <v>100</v>
      </c>
      <c r="Z71" s="85">
        <v>45797</v>
      </c>
    </row>
    <row r="72" spans="1:26">
      <c r="A72" s="4">
        <f>IF(ISNUMBER(SEARCH("营",'19.02'!I72)),(-$Y72+50*IF('19.02'!$AK72="是",'19.02'!$BB$4,'19.02'!$BB$3)),(VLOOKUP('19.02'!I72,'19.02'!$AO$4:$AQ$55,2,FALSE))*IF('19.02'!$AK72="是",'19.02'!$BB$4,'19.02'!$BB$3))</f>
        <v>0</v>
      </c>
      <c r="B72" s="4">
        <f>IF(ISNUMBER(SEARCH("营",'19.02'!J72)),(-$Y72+50*IF('19.02'!$AK72="是",'19.02'!$BB$4,'19.02'!$BB$3)),(VLOOKUP('19.02'!J72,'19.02'!$AO$4:$AQ$55,2,FALSE))*IF('19.02'!$AK72="是",'19.02'!$BB$4,'19.02'!$BB$3))</f>
        <v>0</v>
      </c>
      <c r="C72" s="4">
        <f>IF(ISNUMBER(SEARCH("营",'19.02'!K72)),(-$Y72+50*IF('19.02'!$AK72="是",'19.02'!$BB$4,'19.02'!$BB$3)),(VLOOKUP('19.02'!K72,'19.02'!$AO$4:$AQ$55,2,FALSE))*IF('19.02'!$AK72="是",'19.02'!$BB$4,'19.02'!$BB$3))</f>
        <v>0</v>
      </c>
      <c r="D72" s="4">
        <f>IF(ISNUMBER(SEARCH("营",'19.02'!L72)),(-$Y72+50*IF('19.02'!$AK72="是",'19.02'!$BB$4,'19.02'!$BB$3)),(VLOOKUP('19.02'!L72,'19.02'!$AO$4:$AQ$55,2,FALSE))*IF('19.02'!$AK72="是",'19.02'!$BB$4,'19.02'!$BB$3))</f>
        <v>0</v>
      </c>
      <c r="E72" s="4">
        <f>IF(ISNUMBER(SEARCH("营",'19.02'!M72)),(-$Y72+50*IF('19.02'!$AK72="是",'19.02'!$BB$4,'19.02'!$BB$3)),(VLOOKUP('19.02'!M72,'19.02'!$AO$4:$AQ$55,2,FALSE))*IF('19.02'!$AK72="是",'19.02'!$BB$4,'19.02'!$BB$3))</f>
        <v>0</v>
      </c>
      <c r="F72" s="4">
        <f>IF(ISNUMBER(SEARCH("营",'19.02'!N72)),(-$Y72+50*IF('19.02'!$AK72="是",'19.02'!$BB$4,'19.02'!$BB$3)),(VLOOKUP('19.02'!N72,'19.02'!$AO$4:$AQ$55,2,FALSE))*IF('19.02'!$AK72="是",'19.02'!$BB$4,'19.02'!$BB$3))</f>
        <v>0</v>
      </c>
      <c r="G72" s="4">
        <f>IF(ISNUMBER(SEARCH("营",'19.02'!O72)),(-$Y72+50*IF('19.02'!$AK72="是",'19.02'!$BB$4,'19.02'!$BB$3)),(VLOOKUP('19.02'!O72,'19.02'!$AO$4:$AQ$55,2,FALSE))*IF('19.02'!$AK72="是",'19.02'!$BB$4,'19.02'!$BB$3))</f>
        <v>0</v>
      </c>
      <c r="H72" s="4">
        <f>IF(ISNUMBER(SEARCH("营",'19.02'!P72)),(-$Y72+50*IF('19.02'!$AK72="是",'19.02'!$BB$4,'19.02'!$BB$3)),(VLOOKUP('19.02'!P72,'19.02'!$AO$4:$AQ$55,2,FALSE))*IF('19.02'!$AK72="是",'19.02'!$BB$4,'19.02'!$BB$3))</f>
        <v>0</v>
      </c>
      <c r="I72" s="4">
        <f>IF(ISNUMBER(SEARCH("营",'19.02'!Q72)),(-$Y72+50*IF('19.02'!$AK72="是",'19.02'!$BB$4,'19.02'!$BB$3)),(VLOOKUP('19.02'!Q72,'19.02'!$AO$4:$AQ$55,2,FALSE))*IF('19.02'!$AK72="是",'19.02'!$BB$4,'19.02'!$BB$3))</f>
        <v>0</v>
      </c>
      <c r="J72" s="4">
        <f>IF(ISNUMBER(SEARCH("营",'19.02'!R72)),(-$Y72+50*IF('19.02'!$AK72="是",'19.02'!$BB$4,'19.02'!$BB$3)),(VLOOKUP('19.02'!R72,'19.02'!$AO$4:$AQ$55,2,FALSE))*IF('19.02'!$AK72="是",'19.02'!$BB$4,'19.02'!$BB$3))</f>
        <v>0</v>
      </c>
      <c r="K72" s="4">
        <f>IF(ISNUMBER(SEARCH("营",'19.02'!S72)),(-$Y72+50*IF('19.02'!$AK72="是",'19.02'!$BB$4,'19.02'!$BB$3)),(VLOOKUP('19.02'!S72,'19.02'!$AO$4:$AQ$55,2,FALSE))*IF('19.02'!$AK72="是",'19.02'!$BB$4,'19.02'!$BB$3))</f>
        <v>0</v>
      </c>
      <c r="L72" s="4">
        <f>IF(ISNUMBER(SEARCH("营",'19.02'!T72)),(-$Y72+50*IF('19.02'!$AK72="是",'19.02'!$BB$4,'19.02'!$BB$3)),(VLOOKUP('19.02'!T72,'19.02'!$AO$4:$AQ$55,2,FALSE))*IF('19.02'!$AK72="是",'19.02'!$BB$4,'19.02'!$BB$3))</f>
        <v>0</v>
      </c>
      <c r="M72" s="4">
        <f>IF(ISNUMBER(SEARCH("营",'19.02'!U72)),(-$Y72+50*IF('19.02'!$AK72="是",'19.02'!$BB$4,'19.02'!$BB$3)),(VLOOKUP('19.02'!U72,'19.02'!$AO$4:$AQ$55,2,FALSE))*IF('19.02'!$AK72="是",'19.02'!$BB$4,'19.02'!$BB$3))</f>
        <v>0</v>
      </c>
      <c r="N72" s="4">
        <f>IF(ISNUMBER(SEARCH("营",'19.02'!V72)),(-$Y72+50*IF('19.02'!$AK72="是",'19.02'!$BB$4,'19.02'!$BB$3)),(VLOOKUP('19.02'!V72,'19.02'!$AO$4:$AQ$55,2,FALSE))*IF('19.02'!$AK72="是",'19.02'!$BB$4,'19.02'!$BB$3))</f>
        <v>0</v>
      </c>
      <c r="O72" s="4">
        <f>IF(ISNUMBER(SEARCH("营",'19.02'!W72)),(-$Y72+50*IF('19.02'!$AK72="是",'19.02'!$BB$4,'19.02'!$BB$3)),(VLOOKUP('19.02'!W72,'19.02'!$AO$4:$AQ$55,2,FALSE))*IF('19.02'!$AK72="是",'19.02'!$BB$4,'19.02'!$BB$3))</f>
        <v>0</v>
      </c>
      <c r="P72" s="4">
        <f>IF(ISNUMBER(SEARCH("营",'19.02'!X72)),(-$Y72+50*IF('19.02'!$AK72="是",'19.02'!$BB$4,'19.02'!$BB$3)),(VLOOKUP('19.02'!X72,'19.02'!$AO$4:$AQ$55,2,FALSE))*IF('19.02'!$AK72="是",'19.02'!$BB$4,'19.02'!$BB$3))</f>
        <v>0</v>
      </c>
      <c r="Q72" s="4">
        <f>IF(ISNUMBER(SEARCH("营",'19.02'!Y72)),(-$Y72+50*IF('19.02'!$AK72="是",'19.02'!$BB$4,'19.02'!$BB$3)),(VLOOKUP('19.02'!Y72,'19.02'!$AO$4:$AQ$55,2,FALSE))*IF('19.02'!$AK72="是",'19.02'!$BB$4,'19.02'!$BB$3))</f>
        <v>0</v>
      </c>
      <c r="R72" s="4">
        <f>IF(ISNUMBER(SEARCH("营",'19.02'!Z72)),(-$Y72+50*IF('19.02'!$AK72="是",'19.02'!$BB$4,'19.02'!$BB$3)),(VLOOKUP('19.02'!Z72,'19.02'!$AO$4:$AQ$55,2,FALSE))*IF('19.02'!$AK72="是",'19.02'!$BB$4,'19.02'!$BB$3))</f>
        <v>0</v>
      </c>
      <c r="S72" s="4">
        <f>IF(ISNUMBER(SEARCH("营",'19.02'!AA72)),(-$Y72+50*IF('19.02'!$AK72="是",'19.02'!$BB$4,'19.02'!$BB$3)),(VLOOKUP('19.02'!AA72,'19.02'!$AO$4:$AQ$55,2,FALSE))*IF('19.02'!$AK72="是",'19.02'!$BB$4,'19.02'!$BB$3))</f>
        <v>0</v>
      </c>
      <c r="T72" s="4">
        <f>IF(ISNUMBER(SEARCH("营",'19.02'!AB72)),(-$Y72+50*IF('19.02'!$AK72="是",'19.02'!$BB$4,'19.02'!$BB$3)),(VLOOKUP('19.02'!AB72,'19.02'!$AO$4:$AQ$55,2,FALSE))*IF('19.02'!$AK72="是",'19.02'!$BB$4,'19.02'!$BB$3))</f>
        <v>0</v>
      </c>
      <c r="U72" s="4">
        <f>IF(ISNUMBER(SEARCH("营",'19.02'!AC72)),(-$Y72+50*IF('19.02'!$AK72="是",'19.02'!$BB$4,'19.02'!$BB$3)),(VLOOKUP('19.02'!AC72,'19.02'!$AO$4:$AQ$55,2,FALSE))*IF('19.02'!$AK72="是",'19.02'!$BB$4,'19.02'!$BB$3))</f>
        <v>0</v>
      </c>
      <c r="V72" s="4">
        <f>IF(ISNUMBER(SEARCH("营",'19.02'!AD72)),(-$Y72+50*IF('19.02'!$AK72="是",'19.02'!$BB$4,'19.02'!$BB$3)),(VLOOKUP('19.02'!AD72,'19.02'!$AO$4:$AQ$55,2,FALSE))*IF('19.02'!$AK72="是",'19.02'!$BB$4,'19.02'!$BB$3))</f>
        <v>0</v>
      </c>
      <c r="W72" s="4">
        <f>IF(ISNUMBER(SEARCH("营",'19.02'!AE72)),(-$Y72+50*IF('19.02'!$AK72="是",'19.02'!$BB$4,'19.02'!$BB$3)),(VLOOKUP('19.02'!AE72,'19.02'!$AO$4:$AQ$55,2,FALSE))*IF('19.02'!$AK72="是",'19.02'!$BB$4,'19.02'!$BB$3))</f>
        <v>0</v>
      </c>
      <c r="X72" s="4">
        <f>IF(ISNUMBER(SEARCH("营",'19.02'!AF72)),(-$Y72+50*IF('19.02'!$AK72="是",'19.02'!$BB$4,'19.02'!$BB$3)),(VLOOKUP('19.02'!AF72,'19.02'!$AO$4:$AQ$55,2,FALSE))*IF('19.02'!$AK72="是",'19.02'!$BB$4,'19.02'!$BB$3))</f>
        <v>0</v>
      </c>
      <c r="Y72" s="76">
        <v>100</v>
      </c>
      <c r="Z72" s="85">
        <v>45798</v>
      </c>
    </row>
    <row r="73" spans="1:26">
      <c r="A73" s="4">
        <f>IF(ISNUMBER(SEARCH("营",'19.02'!I73)),(-$Y73+50*IF('19.02'!$AK73="是",'19.02'!$BB$4,'19.02'!$BB$3)),(VLOOKUP('19.02'!I73,'19.02'!$AO$4:$AQ$55,2,FALSE))*IF('19.02'!$AK73="是",'19.02'!$BB$4,'19.02'!$BB$3))</f>
        <v>0</v>
      </c>
      <c r="B73" s="4">
        <f>IF(ISNUMBER(SEARCH("营",'19.02'!J73)),(-$Y73+50*IF('19.02'!$AK73="是",'19.02'!$BB$4,'19.02'!$BB$3)),(VLOOKUP('19.02'!J73,'19.02'!$AO$4:$AQ$55,2,FALSE))*IF('19.02'!$AK73="是",'19.02'!$BB$4,'19.02'!$BB$3))</f>
        <v>0</v>
      </c>
      <c r="C73" s="4">
        <f>IF(ISNUMBER(SEARCH("营",'19.02'!K73)),(-$Y73+50*IF('19.02'!$AK73="是",'19.02'!$BB$4,'19.02'!$BB$3)),(VLOOKUP('19.02'!K73,'19.02'!$AO$4:$AQ$55,2,FALSE))*IF('19.02'!$AK73="是",'19.02'!$BB$4,'19.02'!$BB$3))</f>
        <v>0</v>
      </c>
      <c r="D73" s="4">
        <f>IF(ISNUMBER(SEARCH("营",'19.02'!L73)),(-$Y73+50*IF('19.02'!$AK73="是",'19.02'!$BB$4,'19.02'!$BB$3)),(VLOOKUP('19.02'!L73,'19.02'!$AO$4:$AQ$55,2,FALSE))*IF('19.02'!$AK73="是",'19.02'!$BB$4,'19.02'!$BB$3))</f>
        <v>0</v>
      </c>
      <c r="E73" s="4">
        <f>IF(ISNUMBER(SEARCH("营",'19.02'!M73)),(-$Y73+50*IF('19.02'!$AK73="是",'19.02'!$BB$4,'19.02'!$BB$3)),(VLOOKUP('19.02'!M73,'19.02'!$AO$4:$AQ$55,2,FALSE))*IF('19.02'!$AK73="是",'19.02'!$BB$4,'19.02'!$BB$3))</f>
        <v>0</v>
      </c>
      <c r="F73" s="4">
        <f>IF(ISNUMBER(SEARCH("营",'19.02'!N73)),(-$Y73+50*IF('19.02'!$AK73="是",'19.02'!$BB$4,'19.02'!$BB$3)),(VLOOKUP('19.02'!N73,'19.02'!$AO$4:$AQ$55,2,FALSE))*IF('19.02'!$AK73="是",'19.02'!$BB$4,'19.02'!$BB$3))</f>
        <v>0</v>
      </c>
      <c r="G73" s="4">
        <f>IF(ISNUMBER(SEARCH("营",'19.02'!O73)),(-$Y73+50*IF('19.02'!$AK73="是",'19.02'!$BB$4,'19.02'!$BB$3)),(VLOOKUP('19.02'!O73,'19.02'!$AO$4:$AQ$55,2,FALSE))*IF('19.02'!$AK73="是",'19.02'!$BB$4,'19.02'!$BB$3))</f>
        <v>0</v>
      </c>
      <c r="H73" s="4">
        <f>IF(ISNUMBER(SEARCH("营",'19.02'!P73)),(-$Y73+50*IF('19.02'!$AK73="是",'19.02'!$BB$4,'19.02'!$BB$3)),(VLOOKUP('19.02'!P73,'19.02'!$AO$4:$AQ$55,2,FALSE))*IF('19.02'!$AK73="是",'19.02'!$BB$4,'19.02'!$BB$3))</f>
        <v>0</v>
      </c>
      <c r="I73" s="4">
        <f>IF(ISNUMBER(SEARCH("营",'19.02'!Q73)),(-$Y73+50*IF('19.02'!$AK73="是",'19.02'!$BB$4,'19.02'!$BB$3)),(VLOOKUP('19.02'!Q73,'19.02'!$AO$4:$AQ$55,2,FALSE))*IF('19.02'!$AK73="是",'19.02'!$BB$4,'19.02'!$BB$3))</f>
        <v>0</v>
      </c>
      <c r="J73" s="4">
        <f>IF(ISNUMBER(SEARCH("营",'19.02'!R73)),(-$Y73+50*IF('19.02'!$AK73="是",'19.02'!$BB$4,'19.02'!$BB$3)),(VLOOKUP('19.02'!R73,'19.02'!$AO$4:$AQ$55,2,FALSE))*IF('19.02'!$AK73="是",'19.02'!$BB$4,'19.02'!$BB$3))</f>
        <v>0</v>
      </c>
      <c r="K73" s="4">
        <f>IF(ISNUMBER(SEARCH("营",'19.02'!S73)),(-$Y73+50*IF('19.02'!$AK73="是",'19.02'!$BB$4,'19.02'!$BB$3)),(VLOOKUP('19.02'!S73,'19.02'!$AO$4:$AQ$55,2,FALSE))*IF('19.02'!$AK73="是",'19.02'!$BB$4,'19.02'!$BB$3))</f>
        <v>0</v>
      </c>
      <c r="L73" s="4">
        <f>IF(ISNUMBER(SEARCH("营",'19.02'!T73)),(-$Y73+50*IF('19.02'!$AK73="是",'19.02'!$BB$4,'19.02'!$BB$3)),(VLOOKUP('19.02'!T73,'19.02'!$AO$4:$AQ$55,2,FALSE))*IF('19.02'!$AK73="是",'19.02'!$BB$4,'19.02'!$BB$3))</f>
        <v>0</v>
      </c>
      <c r="M73" s="4">
        <f>IF(ISNUMBER(SEARCH("营",'19.02'!U73)),(-$Y73+50*IF('19.02'!$AK73="是",'19.02'!$BB$4,'19.02'!$BB$3)),(VLOOKUP('19.02'!U73,'19.02'!$AO$4:$AQ$55,2,FALSE))*IF('19.02'!$AK73="是",'19.02'!$BB$4,'19.02'!$BB$3))</f>
        <v>0</v>
      </c>
      <c r="N73" s="4">
        <f>IF(ISNUMBER(SEARCH("营",'19.02'!V73)),(-$Y73+50*IF('19.02'!$AK73="是",'19.02'!$BB$4,'19.02'!$BB$3)),(VLOOKUP('19.02'!V73,'19.02'!$AO$4:$AQ$55,2,FALSE))*IF('19.02'!$AK73="是",'19.02'!$BB$4,'19.02'!$BB$3))</f>
        <v>0</v>
      </c>
      <c r="O73" s="4">
        <f>IF(ISNUMBER(SEARCH("营",'19.02'!W73)),(-$Y73+50*IF('19.02'!$AK73="是",'19.02'!$BB$4,'19.02'!$BB$3)),(VLOOKUP('19.02'!W73,'19.02'!$AO$4:$AQ$55,2,FALSE))*IF('19.02'!$AK73="是",'19.02'!$BB$4,'19.02'!$BB$3))</f>
        <v>0</v>
      </c>
      <c r="P73" s="4">
        <f>IF(ISNUMBER(SEARCH("营",'19.02'!X73)),(-$Y73+50*IF('19.02'!$AK73="是",'19.02'!$BB$4,'19.02'!$BB$3)),(VLOOKUP('19.02'!X73,'19.02'!$AO$4:$AQ$55,2,FALSE))*IF('19.02'!$AK73="是",'19.02'!$BB$4,'19.02'!$BB$3))</f>
        <v>0</v>
      </c>
      <c r="Q73" s="4">
        <f>IF(ISNUMBER(SEARCH("营",'19.02'!Y73)),(-$Y73+50*IF('19.02'!$AK73="是",'19.02'!$BB$4,'19.02'!$BB$3)),(VLOOKUP('19.02'!Y73,'19.02'!$AO$4:$AQ$55,2,FALSE))*IF('19.02'!$AK73="是",'19.02'!$BB$4,'19.02'!$BB$3))</f>
        <v>0</v>
      </c>
      <c r="R73" s="4">
        <f>IF(ISNUMBER(SEARCH("营",'19.02'!Z73)),(-$Y73+50*IF('19.02'!$AK73="是",'19.02'!$BB$4,'19.02'!$BB$3)),(VLOOKUP('19.02'!Z73,'19.02'!$AO$4:$AQ$55,2,FALSE))*IF('19.02'!$AK73="是",'19.02'!$BB$4,'19.02'!$BB$3))</f>
        <v>0</v>
      </c>
      <c r="S73" s="4">
        <f>IF(ISNUMBER(SEARCH("营",'19.02'!AA73)),(-$Y73+50*IF('19.02'!$AK73="是",'19.02'!$BB$4,'19.02'!$BB$3)),(VLOOKUP('19.02'!AA73,'19.02'!$AO$4:$AQ$55,2,FALSE))*IF('19.02'!$AK73="是",'19.02'!$BB$4,'19.02'!$BB$3))</f>
        <v>0</v>
      </c>
      <c r="T73" s="4">
        <f>IF(ISNUMBER(SEARCH("营",'19.02'!AB73)),(-$Y73+50*IF('19.02'!$AK73="是",'19.02'!$BB$4,'19.02'!$BB$3)),(VLOOKUP('19.02'!AB73,'19.02'!$AO$4:$AQ$55,2,FALSE))*IF('19.02'!$AK73="是",'19.02'!$BB$4,'19.02'!$BB$3))</f>
        <v>0</v>
      </c>
      <c r="U73" s="4">
        <f>IF(ISNUMBER(SEARCH("营",'19.02'!AC73)),(-$Y73+50*IF('19.02'!$AK73="是",'19.02'!$BB$4,'19.02'!$BB$3)),(VLOOKUP('19.02'!AC73,'19.02'!$AO$4:$AQ$55,2,FALSE))*IF('19.02'!$AK73="是",'19.02'!$BB$4,'19.02'!$BB$3))</f>
        <v>0</v>
      </c>
      <c r="V73" s="4">
        <f>IF(ISNUMBER(SEARCH("营",'19.02'!AD73)),(-$Y73+50*IF('19.02'!$AK73="是",'19.02'!$BB$4,'19.02'!$BB$3)),(VLOOKUP('19.02'!AD73,'19.02'!$AO$4:$AQ$55,2,FALSE))*IF('19.02'!$AK73="是",'19.02'!$BB$4,'19.02'!$BB$3))</f>
        <v>0</v>
      </c>
      <c r="W73" s="4">
        <f>IF(ISNUMBER(SEARCH("营",'19.02'!AE73)),(-$Y73+50*IF('19.02'!$AK73="是",'19.02'!$BB$4,'19.02'!$BB$3)),(VLOOKUP('19.02'!AE73,'19.02'!$AO$4:$AQ$55,2,FALSE))*IF('19.02'!$AK73="是",'19.02'!$BB$4,'19.02'!$BB$3))</f>
        <v>0</v>
      </c>
      <c r="X73" s="4">
        <f>IF(ISNUMBER(SEARCH("营",'19.02'!AF73)),(-$Y73+50*IF('19.02'!$AK73="是",'19.02'!$BB$4,'19.02'!$BB$3)),(VLOOKUP('19.02'!AF73,'19.02'!$AO$4:$AQ$55,2,FALSE))*IF('19.02'!$AK73="是",'19.02'!$BB$4,'19.02'!$BB$3))</f>
        <v>0</v>
      </c>
      <c r="Y73" s="76">
        <v>100</v>
      </c>
      <c r="Z73" s="85">
        <v>45799</v>
      </c>
    </row>
    <row r="74" spans="1:26">
      <c r="A74" s="4">
        <f>IF(ISNUMBER(SEARCH("营",'19.02'!I74)),(-$Y74+50*IF('19.02'!$AK74="是",'19.02'!$BB$4,'19.02'!$BB$3)),(VLOOKUP('19.02'!I74,'19.02'!$AO$4:$AQ$55,2,FALSE))*IF('19.02'!$AK74="是",'19.02'!$BB$4,'19.02'!$BB$3))</f>
        <v>0</v>
      </c>
      <c r="B74" s="4">
        <f>IF(ISNUMBER(SEARCH("营",'19.02'!J74)),(-$Y74+50*IF('19.02'!$AK74="是",'19.02'!$BB$4,'19.02'!$BB$3)),(VLOOKUP('19.02'!J74,'19.02'!$AO$4:$AQ$55,2,FALSE))*IF('19.02'!$AK74="是",'19.02'!$BB$4,'19.02'!$BB$3))</f>
        <v>0</v>
      </c>
      <c r="C74" s="4">
        <f>IF(ISNUMBER(SEARCH("营",'19.02'!K74)),(-$Y74+50*IF('19.02'!$AK74="是",'19.02'!$BB$4,'19.02'!$BB$3)),(VLOOKUP('19.02'!K74,'19.02'!$AO$4:$AQ$55,2,FALSE))*IF('19.02'!$AK74="是",'19.02'!$BB$4,'19.02'!$BB$3))</f>
        <v>0</v>
      </c>
      <c r="D74" s="4">
        <f>IF(ISNUMBER(SEARCH("营",'19.02'!L74)),(-$Y74+50*IF('19.02'!$AK74="是",'19.02'!$BB$4,'19.02'!$BB$3)),(VLOOKUP('19.02'!L74,'19.02'!$AO$4:$AQ$55,2,FALSE))*IF('19.02'!$AK74="是",'19.02'!$BB$4,'19.02'!$BB$3))</f>
        <v>0</v>
      </c>
      <c r="E74" s="4">
        <f>IF(ISNUMBER(SEARCH("营",'19.02'!M74)),(-$Y74+50*IF('19.02'!$AK74="是",'19.02'!$BB$4,'19.02'!$BB$3)),(VLOOKUP('19.02'!M74,'19.02'!$AO$4:$AQ$55,2,FALSE))*IF('19.02'!$AK74="是",'19.02'!$BB$4,'19.02'!$BB$3))</f>
        <v>0</v>
      </c>
      <c r="F74" s="4">
        <f>IF(ISNUMBER(SEARCH("营",'19.02'!N74)),(-$Y74+50*IF('19.02'!$AK74="是",'19.02'!$BB$4,'19.02'!$BB$3)),(VLOOKUP('19.02'!N74,'19.02'!$AO$4:$AQ$55,2,FALSE))*IF('19.02'!$AK74="是",'19.02'!$BB$4,'19.02'!$BB$3))</f>
        <v>0</v>
      </c>
      <c r="G74" s="4">
        <f>IF(ISNUMBER(SEARCH("营",'19.02'!O74)),(-$Y74+50*IF('19.02'!$AK74="是",'19.02'!$BB$4,'19.02'!$BB$3)),(VLOOKUP('19.02'!O74,'19.02'!$AO$4:$AQ$55,2,FALSE))*IF('19.02'!$AK74="是",'19.02'!$BB$4,'19.02'!$BB$3))</f>
        <v>0</v>
      </c>
      <c r="H74" s="4">
        <f>IF(ISNUMBER(SEARCH("营",'19.02'!P74)),(-$Y74+50*IF('19.02'!$AK74="是",'19.02'!$BB$4,'19.02'!$BB$3)),(VLOOKUP('19.02'!P74,'19.02'!$AO$4:$AQ$55,2,FALSE))*IF('19.02'!$AK74="是",'19.02'!$BB$4,'19.02'!$BB$3))</f>
        <v>0</v>
      </c>
      <c r="I74" s="4">
        <f>IF(ISNUMBER(SEARCH("营",'19.02'!Q74)),(-$Y74+50*IF('19.02'!$AK74="是",'19.02'!$BB$4,'19.02'!$BB$3)),(VLOOKUP('19.02'!Q74,'19.02'!$AO$4:$AQ$55,2,FALSE))*IF('19.02'!$AK74="是",'19.02'!$BB$4,'19.02'!$BB$3))</f>
        <v>0</v>
      </c>
      <c r="J74" s="4">
        <f>IF(ISNUMBER(SEARCH("营",'19.02'!R74)),(-$Y74+50*IF('19.02'!$AK74="是",'19.02'!$BB$4,'19.02'!$BB$3)),(VLOOKUP('19.02'!R74,'19.02'!$AO$4:$AQ$55,2,FALSE))*IF('19.02'!$AK74="是",'19.02'!$BB$4,'19.02'!$BB$3))</f>
        <v>0</v>
      </c>
      <c r="K74" s="4">
        <f>IF(ISNUMBER(SEARCH("营",'19.02'!S74)),(-$Y74+50*IF('19.02'!$AK74="是",'19.02'!$BB$4,'19.02'!$BB$3)),(VLOOKUP('19.02'!S74,'19.02'!$AO$4:$AQ$55,2,FALSE))*IF('19.02'!$AK74="是",'19.02'!$BB$4,'19.02'!$BB$3))</f>
        <v>0</v>
      </c>
      <c r="L74" s="4">
        <f>IF(ISNUMBER(SEARCH("营",'19.02'!T74)),(-$Y74+50*IF('19.02'!$AK74="是",'19.02'!$BB$4,'19.02'!$BB$3)),(VLOOKUP('19.02'!T74,'19.02'!$AO$4:$AQ$55,2,FALSE))*IF('19.02'!$AK74="是",'19.02'!$BB$4,'19.02'!$BB$3))</f>
        <v>0</v>
      </c>
      <c r="M74" s="4">
        <f>IF(ISNUMBER(SEARCH("营",'19.02'!U74)),(-$Y74+50*IF('19.02'!$AK74="是",'19.02'!$BB$4,'19.02'!$BB$3)),(VLOOKUP('19.02'!U74,'19.02'!$AO$4:$AQ$55,2,FALSE))*IF('19.02'!$AK74="是",'19.02'!$BB$4,'19.02'!$BB$3))</f>
        <v>0</v>
      </c>
      <c r="N74" s="4">
        <f>IF(ISNUMBER(SEARCH("营",'19.02'!V74)),(-$Y74+50*IF('19.02'!$AK74="是",'19.02'!$BB$4,'19.02'!$BB$3)),(VLOOKUP('19.02'!V74,'19.02'!$AO$4:$AQ$55,2,FALSE))*IF('19.02'!$AK74="是",'19.02'!$BB$4,'19.02'!$BB$3))</f>
        <v>0</v>
      </c>
      <c r="O74" s="4">
        <f>IF(ISNUMBER(SEARCH("营",'19.02'!W74)),(-$Y74+50*IF('19.02'!$AK74="是",'19.02'!$BB$4,'19.02'!$BB$3)),(VLOOKUP('19.02'!W74,'19.02'!$AO$4:$AQ$55,2,FALSE))*IF('19.02'!$AK74="是",'19.02'!$BB$4,'19.02'!$BB$3))</f>
        <v>0</v>
      </c>
      <c r="P74" s="4">
        <f>IF(ISNUMBER(SEARCH("营",'19.02'!X74)),(-$Y74+50*IF('19.02'!$AK74="是",'19.02'!$BB$4,'19.02'!$BB$3)),(VLOOKUP('19.02'!X74,'19.02'!$AO$4:$AQ$55,2,FALSE))*IF('19.02'!$AK74="是",'19.02'!$BB$4,'19.02'!$BB$3))</f>
        <v>0</v>
      </c>
      <c r="Q74" s="4">
        <f>IF(ISNUMBER(SEARCH("营",'19.02'!Y74)),(-$Y74+50*IF('19.02'!$AK74="是",'19.02'!$BB$4,'19.02'!$BB$3)),(VLOOKUP('19.02'!Y74,'19.02'!$AO$4:$AQ$55,2,FALSE))*IF('19.02'!$AK74="是",'19.02'!$BB$4,'19.02'!$BB$3))</f>
        <v>0</v>
      </c>
      <c r="R74" s="4">
        <f>IF(ISNUMBER(SEARCH("营",'19.02'!Z74)),(-$Y74+50*IF('19.02'!$AK74="是",'19.02'!$BB$4,'19.02'!$BB$3)),(VLOOKUP('19.02'!Z74,'19.02'!$AO$4:$AQ$55,2,FALSE))*IF('19.02'!$AK74="是",'19.02'!$BB$4,'19.02'!$BB$3))</f>
        <v>0</v>
      </c>
      <c r="S74" s="4">
        <f>IF(ISNUMBER(SEARCH("营",'19.02'!AA74)),(-$Y74+50*IF('19.02'!$AK74="是",'19.02'!$BB$4,'19.02'!$BB$3)),(VLOOKUP('19.02'!AA74,'19.02'!$AO$4:$AQ$55,2,FALSE))*IF('19.02'!$AK74="是",'19.02'!$BB$4,'19.02'!$BB$3))</f>
        <v>0</v>
      </c>
      <c r="T74" s="4">
        <f>IF(ISNUMBER(SEARCH("营",'19.02'!AB74)),(-$Y74+50*IF('19.02'!$AK74="是",'19.02'!$BB$4,'19.02'!$BB$3)),(VLOOKUP('19.02'!AB74,'19.02'!$AO$4:$AQ$55,2,FALSE))*IF('19.02'!$AK74="是",'19.02'!$BB$4,'19.02'!$BB$3))</f>
        <v>0</v>
      </c>
      <c r="U74" s="4">
        <f>IF(ISNUMBER(SEARCH("营",'19.02'!AC74)),(-$Y74+50*IF('19.02'!$AK74="是",'19.02'!$BB$4,'19.02'!$BB$3)),(VLOOKUP('19.02'!AC74,'19.02'!$AO$4:$AQ$55,2,FALSE))*IF('19.02'!$AK74="是",'19.02'!$BB$4,'19.02'!$BB$3))</f>
        <v>0</v>
      </c>
      <c r="V74" s="4">
        <f>IF(ISNUMBER(SEARCH("营",'19.02'!AD74)),(-$Y74+50*IF('19.02'!$AK74="是",'19.02'!$BB$4,'19.02'!$BB$3)),(VLOOKUP('19.02'!AD74,'19.02'!$AO$4:$AQ$55,2,FALSE))*IF('19.02'!$AK74="是",'19.02'!$BB$4,'19.02'!$BB$3))</f>
        <v>0</v>
      </c>
      <c r="W74" s="4">
        <f>IF(ISNUMBER(SEARCH("营",'19.02'!AE74)),(-$Y74+50*IF('19.02'!$AK74="是",'19.02'!$BB$4,'19.02'!$BB$3)),(VLOOKUP('19.02'!AE74,'19.02'!$AO$4:$AQ$55,2,FALSE))*IF('19.02'!$AK74="是",'19.02'!$BB$4,'19.02'!$BB$3))</f>
        <v>0</v>
      </c>
      <c r="X74" s="4">
        <f>IF(ISNUMBER(SEARCH("营",'19.02'!AF74)),(-$Y74+50*IF('19.02'!$AK74="是",'19.02'!$BB$4,'19.02'!$BB$3)),(VLOOKUP('19.02'!AF74,'19.02'!$AO$4:$AQ$55,2,FALSE))*IF('19.02'!$AK74="是",'19.02'!$BB$4,'19.02'!$BB$3))</f>
        <v>0</v>
      </c>
      <c r="Y74" s="76">
        <v>100</v>
      </c>
      <c r="Z74" s="85">
        <v>45800</v>
      </c>
    </row>
    <row r="75" spans="1:26">
      <c r="A75" s="4">
        <f>IF(ISNUMBER(SEARCH("营",'19.02'!I75)),(-$Y75+50*IF('19.02'!$AK75="是",'19.02'!$BB$4,'19.02'!$BB$3)),(VLOOKUP('19.02'!I75,'19.02'!$AO$4:$AQ$55,2,FALSE))*IF('19.02'!$AK75="是",'19.02'!$BB$4,'19.02'!$BB$3))</f>
        <v>0</v>
      </c>
      <c r="B75" s="4">
        <f>IF(ISNUMBER(SEARCH("营",'19.02'!J75)),(-$Y75+50*IF('19.02'!$AK75="是",'19.02'!$BB$4,'19.02'!$BB$3)),(VLOOKUP('19.02'!J75,'19.02'!$AO$4:$AQ$55,2,FALSE))*IF('19.02'!$AK75="是",'19.02'!$BB$4,'19.02'!$BB$3))</f>
        <v>0</v>
      </c>
      <c r="C75" s="4">
        <f>IF(ISNUMBER(SEARCH("营",'19.02'!K75)),(-$Y75+50*IF('19.02'!$AK75="是",'19.02'!$BB$4,'19.02'!$BB$3)),(VLOOKUP('19.02'!K75,'19.02'!$AO$4:$AQ$55,2,FALSE))*IF('19.02'!$AK75="是",'19.02'!$BB$4,'19.02'!$BB$3))</f>
        <v>0</v>
      </c>
      <c r="D75" s="4">
        <f>IF(ISNUMBER(SEARCH("营",'19.02'!L75)),(-$Y75+50*IF('19.02'!$AK75="是",'19.02'!$BB$4,'19.02'!$BB$3)),(VLOOKUP('19.02'!L75,'19.02'!$AO$4:$AQ$55,2,FALSE))*IF('19.02'!$AK75="是",'19.02'!$BB$4,'19.02'!$BB$3))</f>
        <v>0</v>
      </c>
      <c r="E75" s="4">
        <f>IF(ISNUMBER(SEARCH("营",'19.02'!M75)),(-$Y75+50*IF('19.02'!$AK75="是",'19.02'!$BB$4,'19.02'!$BB$3)),(VLOOKUP('19.02'!M75,'19.02'!$AO$4:$AQ$55,2,FALSE))*IF('19.02'!$AK75="是",'19.02'!$BB$4,'19.02'!$BB$3))</f>
        <v>0</v>
      </c>
      <c r="F75" s="4">
        <f>IF(ISNUMBER(SEARCH("营",'19.02'!N75)),(-$Y75+50*IF('19.02'!$AK75="是",'19.02'!$BB$4,'19.02'!$BB$3)),(VLOOKUP('19.02'!N75,'19.02'!$AO$4:$AQ$55,2,FALSE))*IF('19.02'!$AK75="是",'19.02'!$BB$4,'19.02'!$BB$3))</f>
        <v>0</v>
      </c>
      <c r="G75" s="4">
        <f>IF(ISNUMBER(SEARCH("营",'19.02'!O75)),(-$Y75+50*IF('19.02'!$AK75="是",'19.02'!$BB$4,'19.02'!$BB$3)),(VLOOKUP('19.02'!O75,'19.02'!$AO$4:$AQ$55,2,FALSE))*IF('19.02'!$AK75="是",'19.02'!$BB$4,'19.02'!$BB$3))</f>
        <v>0</v>
      </c>
      <c r="H75" s="4">
        <f>IF(ISNUMBER(SEARCH("营",'19.02'!P75)),(-$Y75+50*IF('19.02'!$AK75="是",'19.02'!$BB$4,'19.02'!$BB$3)),(VLOOKUP('19.02'!P75,'19.02'!$AO$4:$AQ$55,2,FALSE))*IF('19.02'!$AK75="是",'19.02'!$BB$4,'19.02'!$BB$3))</f>
        <v>0</v>
      </c>
      <c r="I75" s="4">
        <f>IF(ISNUMBER(SEARCH("营",'19.02'!Q75)),(-$Y75+50*IF('19.02'!$AK75="是",'19.02'!$BB$4,'19.02'!$BB$3)),(VLOOKUP('19.02'!Q75,'19.02'!$AO$4:$AQ$55,2,FALSE))*IF('19.02'!$AK75="是",'19.02'!$BB$4,'19.02'!$BB$3))</f>
        <v>0</v>
      </c>
      <c r="J75" s="4">
        <f>IF(ISNUMBER(SEARCH("营",'19.02'!R75)),(-$Y75+50*IF('19.02'!$AK75="是",'19.02'!$BB$4,'19.02'!$BB$3)),(VLOOKUP('19.02'!R75,'19.02'!$AO$4:$AQ$55,2,FALSE))*IF('19.02'!$AK75="是",'19.02'!$BB$4,'19.02'!$BB$3))</f>
        <v>0</v>
      </c>
      <c r="K75" s="4">
        <f>IF(ISNUMBER(SEARCH("营",'19.02'!S75)),(-$Y75+50*IF('19.02'!$AK75="是",'19.02'!$BB$4,'19.02'!$BB$3)),(VLOOKUP('19.02'!S75,'19.02'!$AO$4:$AQ$55,2,FALSE))*IF('19.02'!$AK75="是",'19.02'!$BB$4,'19.02'!$BB$3))</f>
        <v>0</v>
      </c>
      <c r="L75" s="4">
        <f>IF(ISNUMBER(SEARCH("营",'19.02'!T75)),(-$Y75+50*IF('19.02'!$AK75="是",'19.02'!$BB$4,'19.02'!$BB$3)),(VLOOKUP('19.02'!T75,'19.02'!$AO$4:$AQ$55,2,FALSE))*IF('19.02'!$AK75="是",'19.02'!$BB$4,'19.02'!$BB$3))</f>
        <v>0</v>
      </c>
      <c r="M75" s="4">
        <f>IF(ISNUMBER(SEARCH("营",'19.02'!U75)),(-$Y75+50*IF('19.02'!$AK75="是",'19.02'!$BB$4,'19.02'!$BB$3)),(VLOOKUP('19.02'!U75,'19.02'!$AO$4:$AQ$55,2,FALSE))*IF('19.02'!$AK75="是",'19.02'!$BB$4,'19.02'!$BB$3))</f>
        <v>0</v>
      </c>
      <c r="N75" s="4">
        <f>IF(ISNUMBER(SEARCH("营",'19.02'!V75)),(-$Y75+50*IF('19.02'!$AK75="是",'19.02'!$BB$4,'19.02'!$BB$3)),(VLOOKUP('19.02'!V75,'19.02'!$AO$4:$AQ$55,2,FALSE))*IF('19.02'!$AK75="是",'19.02'!$BB$4,'19.02'!$BB$3))</f>
        <v>0</v>
      </c>
      <c r="O75" s="4">
        <f>IF(ISNUMBER(SEARCH("营",'19.02'!W75)),(-$Y75+50*IF('19.02'!$AK75="是",'19.02'!$BB$4,'19.02'!$BB$3)),(VLOOKUP('19.02'!W75,'19.02'!$AO$4:$AQ$55,2,FALSE))*IF('19.02'!$AK75="是",'19.02'!$BB$4,'19.02'!$BB$3))</f>
        <v>0</v>
      </c>
      <c r="P75" s="4">
        <f>IF(ISNUMBER(SEARCH("营",'19.02'!X75)),(-$Y75+50*IF('19.02'!$AK75="是",'19.02'!$BB$4,'19.02'!$BB$3)),(VLOOKUP('19.02'!X75,'19.02'!$AO$4:$AQ$55,2,FALSE))*IF('19.02'!$AK75="是",'19.02'!$BB$4,'19.02'!$BB$3))</f>
        <v>0</v>
      </c>
      <c r="Q75" s="4">
        <f>IF(ISNUMBER(SEARCH("营",'19.02'!Y75)),(-$Y75+50*IF('19.02'!$AK75="是",'19.02'!$BB$4,'19.02'!$BB$3)),(VLOOKUP('19.02'!Y75,'19.02'!$AO$4:$AQ$55,2,FALSE))*IF('19.02'!$AK75="是",'19.02'!$BB$4,'19.02'!$BB$3))</f>
        <v>0</v>
      </c>
      <c r="R75" s="4">
        <f>IF(ISNUMBER(SEARCH("营",'19.02'!Z75)),(-$Y75+50*IF('19.02'!$AK75="是",'19.02'!$BB$4,'19.02'!$BB$3)),(VLOOKUP('19.02'!Z75,'19.02'!$AO$4:$AQ$55,2,FALSE))*IF('19.02'!$AK75="是",'19.02'!$BB$4,'19.02'!$BB$3))</f>
        <v>0</v>
      </c>
      <c r="S75" s="4">
        <f>IF(ISNUMBER(SEARCH("营",'19.02'!AA75)),(-$Y75+50*IF('19.02'!$AK75="是",'19.02'!$BB$4,'19.02'!$BB$3)),(VLOOKUP('19.02'!AA75,'19.02'!$AO$4:$AQ$55,2,FALSE))*IF('19.02'!$AK75="是",'19.02'!$BB$4,'19.02'!$BB$3))</f>
        <v>0</v>
      </c>
      <c r="T75" s="4">
        <f>IF(ISNUMBER(SEARCH("营",'19.02'!AB75)),(-$Y75+50*IF('19.02'!$AK75="是",'19.02'!$BB$4,'19.02'!$BB$3)),(VLOOKUP('19.02'!AB75,'19.02'!$AO$4:$AQ$55,2,FALSE))*IF('19.02'!$AK75="是",'19.02'!$BB$4,'19.02'!$BB$3))</f>
        <v>0</v>
      </c>
      <c r="U75" s="4">
        <f>IF(ISNUMBER(SEARCH("营",'19.02'!AC75)),(-$Y75+50*IF('19.02'!$AK75="是",'19.02'!$BB$4,'19.02'!$BB$3)),(VLOOKUP('19.02'!AC75,'19.02'!$AO$4:$AQ$55,2,FALSE))*IF('19.02'!$AK75="是",'19.02'!$BB$4,'19.02'!$BB$3))</f>
        <v>0</v>
      </c>
      <c r="V75" s="4">
        <f>IF(ISNUMBER(SEARCH("营",'19.02'!AD75)),(-$Y75+50*IF('19.02'!$AK75="是",'19.02'!$BB$4,'19.02'!$BB$3)),(VLOOKUP('19.02'!AD75,'19.02'!$AO$4:$AQ$55,2,FALSE))*IF('19.02'!$AK75="是",'19.02'!$BB$4,'19.02'!$BB$3))</f>
        <v>0</v>
      </c>
      <c r="W75" s="4">
        <f>IF(ISNUMBER(SEARCH("营",'19.02'!AE75)),(-$Y75+50*IF('19.02'!$AK75="是",'19.02'!$BB$4,'19.02'!$BB$3)),(VLOOKUP('19.02'!AE75,'19.02'!$AO$4:$AQ$55,2,FALSE))*IF('19.02'!$AK75="是",'19.02'!$BB$4,'19.02'!$BB$3))</f>
        <v>0</v>
      </c>
      <c r="X75" s="4">
        <f>IF(ISNUMBER(SEARCH("营",'19.02'!AF75)),(-$Y75+50*IF('19.02'!$AK75="是",'19.02'!$BB$4,'19.02'!$BB$3)),(VLOOKUP('19.02'!AF75,'19.02'!$AO$4:$AQ$55,2,FALSE))*IF('19.02'!$AK75="是",'19.02'!$BB$4,'19.02'!$BB$3))</f>
        <v>0</v>
      </c>
      <c r="Y75" s="76">
        <v>100</v>
      </c>
      <c r="Z75" s="85">
        <v>45801</v>
      </c>
    </row>
    <row r="76" spans="1:26">
      <c r="A76" s="4">
        <f>IF(ISNUMBER(SEARCH("营",'19.02'!I76)),(-$Y76+50*IF('19.02'!$AK76="是",'19.02'!$BB$4,'19.02'!$BB$3)),(VLOOKUP('19.02'!I76,'19.02'!$AO$4:$AQ$55,2,FALSE))*IF('19.02'!$AK76="是",'19.02'!$BB$4,'19.02'!$BB$3))</f>
        <v>0</v>
      </c>
      <c r="B76" s="4">
        <f>IF(ISNUMBER(SEARCH("营",'19.02'!J76)),(-$Y76+50*IF('19.02'!$AK76="是",'19.02'!$BB$4,'19.02'!$BB$3)),(VLOOKUP('19.02'!J76,'19.02'!$AO$4:$AQ$55,2,FALSE))*IF('19.02'!$AK76="是",'19.02'!$BB$4,'19.02'!$BB$3))</f>
        <v>0</v>
      </c>
      <c r="C76" s="4">
        <f>IF(ISNUMBER(SEARCH("营",'19.02'!K76)),(-$Y76+50*IF('19.02'!$AK76="是",'19.02'!$BB$4,'19.02'!$BB$3)),(VLOOKUP('19.02'!K76,'19.02'!$AO$4:$AQ$55,2,FALSE))*IF('19.02'!$AK76="是",'19.02'!$BB$4,'19.02'!$BB$3))</f>
        <v>0</v>
      </c>
      <c r="D76" s="4">
        <f>IF(ISNUMBER(SEARCH("营",'19.02'!L76)),(-$Y76+50*IF('19.02'!$AK76="是",'19.02'!$BB$4,'19.02'!$BB$3)),(VLOOKUP('19.02'!L76,'19.02'!$AO$4:$AQ$55,2,FALSE))*IF('19.02'!$AK76="是",'19.02'!$BB$4,'19.02'!$BB$3))</f>
        <v>0</v>
      </c>
      <c r="E76" s="4">
        <f>IF(ISNUMBER(SEARCH("营",'19.02'!M76)),(-$Y76+50*IF('19.02'!$AK76="是",'19.02'!$BB$4,'19.02'!$BB$3)),(VLOOKUP('19.02'!M76,'19.02'!$AO$4:$AQ$55,2,FALSE))*IF('19.02'!$AK76="是",'19.02'!$BB$4,'19.02'!$BB$3))</f>
        <v>0</v>
      </c>
      <c r="F76" s="4">
        <f>IF(ISNUMBER(SEARCH("营",'19.02'!N76)),(-$Y76+50*IF('19.02'!$AK76="是",'19.02'!$BB$4,'19.02'!$BB$3)),(VLOOKUP('19.02'!N76,'19.02'!$AO$4:$AQ$55,2,FALSE))*IF('19.02'!$AK76="是",'19.02'!$BB$4,'19.02'!$BB$3))</f>
        <v>0</v>
      </c>
      <c r="G76" s="4">
        <f>IF(ISNUMBER(SEARCH("营",'19.02'!O76)),(-$Y76+50*IF('19.02'!$AK76="是",'19.02'!$BB$4,'19.02'!$BB$3)),(VLOOKUP('19.02'!O76,'19.02'!$AO$4:$AQ$55,2,FALSE))*IF('19.02'!$AK76="是",'19.02'!$BB$4,'19.02'!$BB$3))</f>
        <v>0</v>
      </c>
      <c r="H76" s="4">
        <f>IF(ISNUMBER(SEARCH("营",'19.02'!P76)),(-$Y76+50*IF('19.02'!$AK76="是",'19.02'!$BB$4,'19.02'!$BB$3)),(VLOOKUP('19.02'!P76,'19.02'!$AO$4:$AQ$55,2,FALSE))*IF('19.02'!$AK76="是",'19.02'!$BB$4,'19.02'!$BB$3))</f>
        <v>0</v>
      </c>
      <c r="I76" s="4">
        <f>IF(ISNUMBER(SEARCH("营",'19.02'!Q76)),(-$Y76+50*IF('19.02'!$AK76="是",'19.02'!$BB$4,'19.02'!$BB$3)),(VLOOKUP('19.02'!Q76,'19.02'!$AO$4:$AQ$55,2,FALSE))*IF('19.02'!$AK76="是",'19.02'!$BB$4,'19.02'!$BB$3))</f>
        <v>0</v>
      </c>
      <c r="J76" s="4">
        <f>IF(ISNUMBER(SEARCH("营",'19.02'!R76)),(-$Y76+50*IF('19.02'!$AK76="是",'19.02'!$BB$4,'19.02'!$BB$3)),(VLOOKUP('19.02'!R76,'19.02'!$AO$4:$AQ$55,2,FALSE))*IF('19.02'!$AK76="是",'19.02'!$BB$4,'19.02'!$BB$3))</f>
        <v>0</v>
      </c>
      <c r="K76" s="4">
        <f>IF(ISNUMBER(SEARCH("营",'19.02'!S76)),(-$Y76+50*IF('19.02'!$AK76="是",'19.02'!$BB$4,'19.02'!$BB$3)),(VLOOKUP('19.02'!S76,'19.02'!$AO$4:$AQ$55,2,FALSE))*IF('19.02'!$AK76="是",'19.02'!$BB$4,'19.02'!$BB$3))</f>
        <v>0</v>
      </c>
      <c r="L76" s="4">
        <f>IF(ISNUMBER(SEARCH("营",'19.02'!T76)),(-$Y76+50*IF('19.02'!$AK76="是",'19.02'!$BB$4,'19.02'!$BB$3)),(VLOOKUP('19.02'!T76,'19.02'!$AO$4:$AQ$55,2,FALSE))*IF('19.02'!$AK76="是",'19.02'!$BB$4,'19.02'!$BB$3))</f>
        <v>0</v>
      </c>
      <c r="M76" s="4">
        <f>IF(ISNUMBER(SEARCH("营",'19.02'!U76)),(-$Y76+50*IF('19.02'!$AK76="是",'19.02'!$BB$4,'19.02'!$BB$3)),(VLOOKUP('19.02'!U76,'19.02'!$AO$4:$AQ$55,2,FALSE))*IF('19.02'!$AK76="是",'19.02'!$BB$4,'19.02'!$BB$3))</f>
        <v>0</v>
      </c>
      <c r="N76" s="4">
        <f>IF(ISNUMBER(SEARCH("营",'19.02'!V76)),(-$Y76+50*IF('19.02'!$AK76="是",'19.02'!$BB$4,'19.02'!$BB$3)),(VLOOKUP('19.02'!V76,'19.02'!$AO$4:$AQ$55,2,FALSE))*IF('19.02'!$AK76="是",'19.02'!$BB$4,'19.02'!$BB$3))</f>
        <v>0</v>
      </c>
      <c r="O76" s="4">
        <f>IF(ISNUMBER(SEARCH("营",'19.02'!W76)),(-$Y76+50*IF('19.02'!$AK76="是",'19.02'!$BB$4,'19.02'!$BB$3)),(VLOOKUP('19.02'!W76,'19.02'!$AO$4:$AQ$55,2,FALSE))*IF('19.02'!$AK76="是",'19.02'!$BB$4,'19.02'!$BB$3))</f>
        <v>0</v>
      </c>
      <c r="P76" s="4">
        <f>IF(ISNUMBER(SEARCH("营",'19.02'!X76)),(-$Y76+50*IF('19.02'!$AK76="是",'19.02'!$BB$4,'19.02'!$BB$3)),(VLOOKUP('19.02'!X76,'19.02'!$AO$4:$AQ$55,2,FALSE))*IF('19.02'!$AK76="是",'19.02'!$BB$4,'19.02'!$BB$3))</f>
        <v>0</v>
      </c>
      <c r="Q76" s="4">
        <f>IF(ISNUMBER(SEARCH("营",'19.02'!Y76)),(-$Y76+50*IF('19.02'!$AK76="是",'19.02'!$BB$4,'19.02'!$BB$3)),(VLOOKUP('19.02'!Y76,'19.02'!$AO$4:$AQ$55,2,FALSE))*IF('19.02'!$AK76="是",'19.02'!$BB$4,'19.02'!$BB$3))</f>
        <v>0</v>
      </c>
      <c r="R76" s="4">
        <f>IF(ISNUMBER(SEARCH("营",'19.02'!Z76)),(-$Y76+50*IF('19.02'!$AK76="是",'19.02'!$BB$4,'19.02'!$BB$3)),(VLOOKUP('19.02'!Z76,'19.02'!$AO$4:$AQ$55,2,FALSE))*IF('19.02'!$AK76="是",'19.02'!$BB$4,'19.02'!$BB$3))</f>
        <v>0</v>
      </c>
      <c r="S76" s="4">
        <f>IF(ISNUMBER(SEARCH("营",'19.02'!AA76)),(-$Y76+50*IF('19.02'!$AK76="是",'19.02'!$BB$4,'19.02'!$BB$3)),(VLOOKUP('19.02'!AA76,'19.02'!$AO$4:$AQ$55,2,FALSE))*IF('19.02'!$AK76="是",'19.02'!$BB$4,'19.02'!$BB$3))</f>
        <v>0</v>
      </c>
      <c r="T76" s="4">
        <f>IF(ISNUMBER(SEARCH("营",'19.02'!AB76)),(-$Y76+50*IF('19.02'!$AK76="是",'19.02'!$BB$4,'19.02'!$BB$3)),(VLOOKUP('19.02'!AB76,'19.02'!$AO$4:$AQ$55,2,FALSE))*IF('19.02'!$AK76="是",'19.02'!$BB$4,'19.02'!$BB$3))</f>
        <v>0</v>
      </c>
      <c r="U76" s="4">
        <f>IF(ISNUMBER(SEARCH("营",'19.02'!AC76)),(-$Y76+50*IF('19.02'!$AK76="是",'19.02'!$BB$4,'19.02'!$BB$3)),(VLOOKUP('19.02'!AC76,'19.02'!$AO$4:$AQ$55,2,FALSE))*IF('19.02'!$AK76="是",'19.02'!$BB$4,'19.02'!$BB$3))</f>
        <v>0</v>
      </c>
      <c r="V76" s="4">
        <f>IF(ISNUMBER(SEARCH("营",'19.02'!AD76)),(-$Y76+50*IF('19.02'!$AK76="是",'19.02'!$BB$4,'19.02'!$BB$3)),(VLOOKUP('19.02'!AD76,'19.02'!$AO$4:$AQ$55,2,FALSE))*IF('19.02'!$AK76="是",'19.02'!$BB$4,'19.02'!$BB$3))</f>
        <v>0</v>
      </c>
      <c r="W76" s="4">
        <f>IF(ISNUMBER(SEARCH("营",'19.02'!AE76)),(-$Y76+50*IF('19.02'!$AK76="是",'19.02'!$BB$4,'19.02'!$BB$3)),(VLOOKUP('19.02'!AE76,'19.02'!$AO$4:$AQ$55,2,FALSE))*IF('19.02'!$AK76="是",'19.02'!$BB$4,'19.02'!$BB$3))</f>
        <v>0</v>
      </c>
      <c r="X76" s="4">
        <f>IF(ISNUMBER(SEARCH("营",'19.02'!AF76)),(-$Y76+50*IF('19.02'!$AK76="是",'19.02'!$BB$4,'19.02'!$BB$3)),(VLOOKUP('19.02'!AF76,'19.02'!$AO$4:$AQ$55,2,FALSE))*IF('19.02'!$AK76="是",'19.02'!$BB$4,'19.02'!$BB$3))</f>
        <v>0</v>
      </c>
      <c r="Y76" s="76">
        <v>100</v>
      </c>
      <c r="Z76" s="85">
        <v>45802</v>
      </c>
    </row>
    <row r="77" spans="1:26">
      <c r="A77" s="4">
        <f>IF(ISNUMBER(SEARCH("营",'19.02'!I77)),(-$Y77+50*IF('19.02'!$AK77="是",'19.02'!$BB$4,'19.02'!$BB$3)),(VLOOKUP('19.02'!I77,'19.02'!$AO$4:$AQ$55,2,FALSE))*IF('19.02'!$AK77="是",'19.02'!$BB$4,'19.02'!$BB$3))</f>
        <v>0</v>
      </c>
      <c r="B77" s="4">
        <f>IF(ISNUMBER(SEARCH("营",'19.02'!J77)),(-$Y77+50*IF('19.02'!$AK77="是",'19.02'!$BB$4,'19.02'!$BB$3)),(VLOOKUP('19.02'!J77,'19.02'!$AO$4:$AQ$55,2,FALSE))*IF('19.02'!$AK77="是",'19.02'!$BB$4,'19.02'!$BB$3))</f>
        <v>0</v>
      </c>
      <c r="C77" s="4">
        <f>IF(ISNUMBER(SEARCH("营",'19.02'!K77)),(-$Y77+50*IF('19.02'!$AK77="是",'19.02'!$BB$4,'19.02'!$BB$3)),(VLOOKUP('19.02'!K77,'19.02'!$AO$4:$AQ$55,2,FALSE))*IF('19.02'!$AK77="是",'19.02'!$BB$4,'19.02'!$BB$3))</f>
        <v>0</v>
      </c>
      <c r="D77" s="4">
        <f>IF(ISNUMBER(SEARCH("营",'19.02'!L77)),(-$Y77+50*IF('19.02'!$AK77="是",'19.02'!$BB$4,'19.02'!$BB$3)),(VLOOKUP('19.02'!L77,'19.02'!$AO$4:$AQ$55,2,FALSE))*IF('19.02'!$AK77="是",'19.02'!$BB$4,'19.02'!$BB$3))</f>
        <v>0</v>
      </c>
      <c r="E77" s="4">
        <f>IF(ISNUMBER(SEARCH("营",'19.02'!M77)),(-$Y77+50*IF('19.02'!$AK77="是",'19.02'!$BB$4,'19.02'!$BB$3)),(VLOOKUP('19.02'!M77,'19.02'!$AO$4:$AQ$55,2,FALSE))*IF('19.02'!$AK77="是",'19.02'!$BB$4,'19.02'!$BB$3))</f>
        <v>0</v>
      </c>
      <c r="F77" s="4">
        <f>IF(ISNUMBER(SEARCH("营",'19.02'!N77)),(-$Y77+50*IF('19.02'!$AK77="是",'19.02'!$BB$4,'19.02'!$BB$3)),(VLOOKUP('19.02'!N77,'19.02'!$AO$4:$AQ$55,2,FALSE))*IF('19.02'!$AK77="是",'19.02'!$BB$4,'19.02'!$BB$3))</f>
        <v>0</v>
      </c>
      <c r="G77" s="4">
        <f>IF(ISNUMBER(SEARCH("营",'19.02'!O77)),(-$Y77+50*IF('19.02'!$AK77="是",'19.02'!$BB$4,'19.02'!$BB$3)),(VLOOKUP('19.02'!O77,'19.02'!$AO$4:$AQ$55,2,FALSE))*IF('19.02'!$AK77="是",'19.02'!$BB$4,'19.02'!$BB$3))</f>
        <v>0</v>
      </c>
      <c r="H77" s="4">
        <f>IF(ISNUMBER(SEARCH("营",'19.02'!P77)),(-$Y77+50*IF('19.02'!$AK77="是",'19.02'!$BB$4,'19.02'!$BB$3)),(VLOOKUP('19.02'!P77,'19.02'!$AO$4:$AQ$55,2,FALSE))*IF('19.02'!$AK77="是",'19.02'!$BB$4,'19.02'!$BB$3))</f>
        <v>0</v>
      </c>
      <c r="I77" s="4">
        <f>IF(ISNUMBER(SEARCH("营",'19.02'!Q77)),(-$Y77+50*IF('19.02'!$AK77="是",'19.02'!$BB$4,'19.02'!$BB$3)),(VLOOKUP('19.02'!Q77,'19.02'!$AO$4:$AQ$55,2,FALSE))*IF('19.02'!$AK77="是",'19.02'!$BB$4,'19.02'!$BB$3))</f>
        <v>0</v>
      </c>
      <c r="J77" s="4">
        <f>IF(ISNUMBER(SEARCH("营",'19.02'!R77)),(-$Y77+50*IF('19.02'!$AK77="是",'19.02'!$BB$4,'19.02'!$BB$3)),(VLOOKUP('19.02'!R77,'19.02'!$AO$4:$AQ$55,2,FALSE))*IF('19.02'!$AK77="是",'19.02'!$BB$4,'19.02'!$BB$3))</f>
        <v>0</v>
      </c>
      <c r="K77" s="4">
        <f>IF(ISNUMBER(SEARCH("营",'19.02'!S77)),(-$Y77+50*IF('19.02'!$AK77="是",'19.02'!$BB$4,'19.02'!$BB$3)),(VLOOKUP('19.02'!S77,'19.02'!$AO$4:$AQ$55,2,FALSE))*IF('19.02'!$AK77="是",'19.02'!$BB$4,'19.02'!$BB$3))</f>
        <v>0</v>
      </c>
      <c r="L77" s="4">
        <f>IF(ISNUMBER(SEARCH("营",'19.02'!T77)),(-$Y77+50*IF('19.02'!$AK77="是",'19.02'!$BB$4,'19.02'!$BB$3)),(VLOOKUP('19.02'!T77,'19.02'!$AO$4:$AQ$55,2,FALSE))*IF('19.02'!$AK77="是",'19.02'!$BB$4,'19.02'!$BB$3))</f>
        <v>0</v>
      </c>
      <c r="M77" s="4">
        <f>IF(ISNUMBER(SEARCH("营",'19.02'!U77)),(-$Y77+50*IF('19.02'!$AK77="是",'19.02'!$BB$4,'19.02'!$BB$3)),(VLOOKUP('19.02'!U77,'19.02'!$AO$4:$AQ$55,2,FALSE))*IF('19.02'!$AK77="是",'19.02'!$BB$4,'19.02'!$BB$3))</f>
        <v>0</v>
      </c>
      <c r="N77" s="4">
        <f>IF(ISNUMBER(SEARCH("营",'19.02'!V77)),(-$Y77+50*IF('19.02'!$AK77="是",'19.02'!$BB$4,'19.02'!$BB$3)),(VLOOKUP('19.02'!V77,'19.02'!$AO$4:$AQ$55,2,FALSE))*IF('19.02'!$AK77="是",'19.02'!$BB$4,'19.02'!$BB$3))</f>
        <v>0</v>
      </c>
      <c r="O77" s="4">
        <f>IF(ISNUMBER(SEARCH("营",'19.02'!W77)),(-$Y77+50*IF('19.02'!$AK77="是",'19.02'!$BB$4,'19.02'!$BB$3)),(VLOOKUP('19.02'!W77,'19.02'!$AO$4:$AQ$55,2,FALSE))*IF('19.02'!$AK77="是",'19.02'!$BB$4,'19.02'!$BB$3))</f>
        <v>0</v>
      </c>
      <c r="P77" s="4">
        <f>IF(ISNUMBER(SEARCH("营",'19.02'!X77)),(-$Y77+50*IF('19.02'!$AK77="是",'19.02'!$BB$4,'19.02'!$BB$3)),(VLOOKUP('19.02'!X77,'19.02'!$AO$4:$AQ$55,2,FALSE))*IF('19.02'!$AK77="是",'19.02'!$BB$4,'19.02'!$BB$3))</f>
        <v>0</v>
      </c>
      <c r="Q77" s="4">
        <f>IF(ISNUMBER(SEARCH("营",'19.02'!Y77)),(-$Y77+50*IF('19.02'!$AK77="是",'19.02'!$BB$4,'19.02'!$BB$3)),(VLOOKUP('19.02'!Y77,'19.02'!$AO$4:$AQ$55,2,FALSE))*IF('19.02'!$AK77="是",'19.02'!$BB$4,'19.02'!$BB$3))</f>
        <v>0</v>
      </c>
      <c r="R77" s="4">
        <f>IF(ISNUMBER(SEARCH("营",'19.02'!Z77)),(-$Y77+50*IF('19.02'!$AK77="是",'19.02'!$BB$4,'19.02'!$BB$3)),(VLOOKUP('19.02'!Z77,'19.02'!$AO$4:$AQ$55,2,FALSE))*IF('19.02'!$AK77="是",'19.02'!$BB$4,'19.02'!$BB$3))</f>
        <v>0</v>
      </c>
      <c r="S77" s="4">
        <f>IF(ISNUMBER(SEARCH("营",'19.02'!AA77)),(-$Y77+50*IF('19.02'!$AK77="是",'19.02'!$BB$4,'19.02'!$BB$3)),(VLOOKUP('19.02'!AA77,'19.02'!$AO$4:$AQ$55,2,FALSE))*IF('19.02'!$AK77="是",'19.02'!$BB$4,'19.02'!$BB$3))</f>
        <v>0</v>
      </c>
      <c r="T77" s="4">
        <f>IF(ISNUMBER(SEARCH("营",'19.02'!AB77)),(-$Y77+50*IF('19.02'!$AK77="是",'19.02'!$BB$4,'19.02'!$BB$3)),(VLOOKUP('19.02'!AB77,'19.02'!$AO$4:$AQ$55,2,FALSE))*IF('19.02'!$AK77="是",'19.02'!$BB$4,'19.02'!$BB$3))</f>
        <v>0</v>
      </c>
      <c r="U77" s="4">
        <f>IF(ISNUMBER(SEARCH("营",'19.02'!AC77)),(-$Y77+50*IF('19.02'!$AK77="是",'19.02'!$BB$4,'19.02'!$BB$3)),(VLOOKUP('19.02'!AC77,'19.02'!$AO$4:$AQ$55,2,FALSE))*IF('19.02'!$AK77="是",'19.02'!$BB$4,'19.02'!$BB$3))</f>
        <v>0</v>
      </c>
      <c r="V77" s="4">
        <f>IF(ISNUMBER(SEARCH("营",'19.02'!AD77)),(-$Y77+50*IF('19.02'!$AK77="是",'19.02'!$BB$4,'19.02'!$BB$3)),(VLOOKUP('19.02'!AD77,'19.02'!$AO$4:$AQ$55,2,FALSE))*IF('19.02'!$AK77="是",'19.02'!$BB$4,'19.02'!$BB$3))</f>
        <v>0</v>
      </c>
      <c r="W77" s="4">
        <f>IF(ISNUMBER(SEARCH("营",'19.02'!AE77)),(-$Y77+50*IF('19.02'!$AK77="是",'19.02'!$BB$4,'19.02'!$BB$3)),(VLOOKUP('19.02'!AE77,'19.02'!$AO$4:$AQ$55,2,FALSE))*IF('19.02'!$AK77="是",'19.02'!$BB$4,'19.02'!$BB$3))</f>
        <v>0</v>
      </c>
      <c r="X77" s="4">
        <f>IF(ISNUMBER(SEARCH("营",'19.02'!AF77)),(-$Y77+50*IF('19.02'!$AK77="是",'19.02'!$BB$4,'19.02'!$BB$3)),(VLOOKUP('19.02'!AF77,'19.02'!$AO$4:$AQ$55,2,FALSE))*IF('19.02'!$AK77="是",'19.02'!$BB$4,'19.02'!$BB$3))</f>
        <v>0</v>
      </c>
      <c r="Y77" s="76">
        <v>100</v>
      </c>
      <c r="Z77" s="85">
        <v>45803</v>
      </c>
    </row>
    <row r="78" spans="1:26">
      <c r="A78" s="4">
        <f>IF(ISNUMBER(SEARCH("营",'19.02'!I78)),(-$Y78+50*IF('19.02'!$AK78="是",'19.02'!$BB$4,'19.02'!$BB$3)),(VLOOKUP('19.02'!I78,'19.02'!$AO$4:$AQ$55,2,FALSE))*IF('19.02'!$AK78="是",'19.02'!$BB$4,'19.02'!$BB$3))</f>
        <v>0</v>
      </c>
      <c r="B78" s="4">
        <f>IF(ISNUMBER(SEARCH("营",'19.02'!J78)),(-$Y78+50*IF('19.02'!$AK78="是",'19.02'!$BB$4,'19.02'!$BB$3)),(VLOOKUP('19.02'!J78,'19.02'!$AO$4:$AQ$55,2,FALSE))*IF('19.02'!$AK78="是",'19.02'!$BB$4,'19.02'!$BB$3))</f>
        <v>0</v>
      </c>
      <c r="C78" s="4">
        <f>IF(ISNUMBER(SEARCH("营",'19.02'!K78)),(-$Y78+50*IF('19.02'!$AK78="是",'19.02'!$BB$4,'19.02'!$BB$3)),(VLOOKUP('19.02'!K78,'19.02'!$AO$4:$AQ$55,2,FALSE))*IF('19.02'!$AK78="是",'19.02'!$BB$4,'19.02'!$BB$3))</f>
        <v>0</v>
      </c>
      <c r="D78" s="4">
        <f>IF(ISNUMBER(SEARCH("营",'19.02'!L78)),(-$Y78+50*IF('19.02'!$AK78="是",'19.02'!$BB$4,'19.02'!$BB$3)),(VLOOKUP('19.02'!L78,'19.02'!$AO$4:$AQ$55,2,FALSE))*IF('19.02'!$AK78="是",'19.02'!$BB$4,'19.02'!$BB$3))</f>
        <v>0</v>
      </c>
      <c r="E78" s="4">
        <f>IF(ISNUMBER(SEARCH("营",'19.02'!M78)),(-$Y78+50*IF('19.02'!$AK78="是",'19.02'!$BB$4,'19.02'!$BB$3)),(VLOOKUP('19.02'!M78,'19.02'!$AO$4:$AQ$55,2,FALSE))*IF('19.02'!$AK78="是",'19.02'!$BB$4,'19.02'!$BB$3))</f>
        <v>0</v>
      </c>
      <c r="F78" s="4">
        <f>IF(ISNUMBER(SEARCH("营",'19.02'!N78)),(-$Y78+50*IF('19.02'!$AK78="是",'19.02'!$BB$4,'19.02'!$BB$3)),(VLOOKUP('19.02'!N78,'19.02'!$AO$4:$AQ$55,2,FALSE))*IF('19.02'!$AK78="是",'19.02'!$BB$4,'19.02'!$BB$3))</f>
        <v>0</v>
      </c>
      <c r="G78" s="4">
        <f>IF(ISNUMBER(SEARCH("营",'19.02'!O78)),(-$Y78+50*IF('19.02'!$AK78="是",'19.02'!$BB$4,'19.02'!$BB$3)),(VLOOKUP('19.02'!O78,'19.02'!$AO$4:$AQ$55,2,FALSE))*IF('19.02'!$AK78="是",'19.02'!$BB$4,'19.02'!$BB$3))</f>
        <v>0</v>
      </c>
      <c r="H78" s="4">
        <f>IF(ISNUMBER(SEARCH("营",'19.02'!P78)),(-$Y78+50*IF('19.02'!$AK78="是",'19.02'!$BB$4,'19.02'!$BB$3)),(VLOOKUP('19.02'!P78,'19.02'!$AO$4:$AQ$55,2,FALSE))*IF('19.02'!$AK78="是",'19.02'!$BB$4,'19.02'!$BB$3))</f>
        <v>0</v>
      </c>
      <c r="I78" s="4">
        <f>IF(ISNUMBER(SEARCH("营",'19.02'!Q78)),(-$Y78+50*IF('19.02'!$AK78="是",'19.02'!$BB$4,'19.02'!$BB$3)),(VLOOKUP('19.02'!Q78,'19.02'!$AO$4:$AQ$55,2,FALSE))*IF('19.02'!$AK78="是",'19.02'!$BB$4,'19.02'!$BB$3))</f>
        <v>0</v>
      </c>
      <c r="J78" s="4">
        <f>IF(ISNUMBER(SEARCH("营",'19.02'!R78)),(-$Y78+50*IF('19.02'!$AK78="是",'19.02'!$BB$4,'19.02'!$BB$3)),(VLOOKUP('19.02'!R78,'19.02'!$AO$4:$AQ$55,2,FALSE))*IF('19.02'!$AK78="是",'19.02'!$BB$4,'19.02'!$BB$3))</f>
        <v>0</v>
      </c>
      <c r="K78" s="4">
        <f>IF(ISNUMBER(SEARCH("营",'19.02'!S78)),(-$Y78+50*IF('19.02'!$AK78="是",'19.02'!$BB$4,'19.02'!$BB$3)),(VLOOKUP('19.02'!S78,'19.02'!$AO$4:$AQ$55,2,FALSE))*IF('19.02'!$AK78="是",'19.02'!$BB$4,'19.02'!$BB$3))</f>
        <v>0</v>
      </c>
      <c r="L78" s="4">
        <f>IF(ISNUMBER(SEARCH("营",'19.02'!T78)),(-$Y78+50*IF('19.02'!$AK78="是",'19.02'!$BB$4,'19.02'!$BB$3)),(VLOOKUP('19.02'!T78,'19.02'!$AO$4:$AQ$55,2,FALSE))*IF('19.02'!$AK78="是",'19.02'!$BB$4,'19.02'!$BB$3))</f>
        <v>0</v>
      </c>
      <c r="M78" s="4">
        <f>IF(ISNUMBER(SEARCH("营",'19.02'!U78)),(-$Y78+50*IF('19.02'!$AK78="是",'19.02'!$BB$4,'19.02'!$BB$3)),(VLOOKUP('19.02'!U78,'19.02'!$AO$4:$AQ$55,2,FALSE))*IF('19.02'!$AK78="是",'19.02'!$BB$4,'19.02'!$BB$3))</f>
        <v>0</v>
      </c>
      <c r="N78" s="4">
        <f>IF(ISNUMBER(SEARCH("营",'19.02'!V78)),(-$Y78+50*IF('19.02'!$AK78="是",'19.02'!$BB$4,'19.02'!$BB$3)),(VLOOKUP('19.02'!V78,'19.02'!$AO$4:$AQ$55,2,FALSE))*IF('19.02'!$AK78="是",'19.02'!$BB$4,'19.02'!$BB$3))</f>
        <v>0</v>
      </c>
      <c r="O78" s="4">
        <f>IF(ISNUMBER(SEARCH("营",'19.02'!W78)),(-$Y78+50*IF('19.02'!$AK78="是",'19.02'!$BB$4,'19.02'!$BB$3)),(VLOOKUP('19.02'!W78,'19.02'!$AO$4:$AQ$55,2,FALSE))*IF('19.02'!$AK78="是",'19.02'!$BB$4,'19.02'!$BB$3))</f>
        <v>0</v>
      </c>
      <c r="P78" s="4">
        <f>IF(ISNUMBER(SEARCH("营",'19.02'!X78)),(-$Y78+50*IF('19.02'!$AK78="是",'19.02'!$BB$4,'19.02'!$BB$3)),(VLOOKUP('19.02'!X78,'19.02'!$AO$4:$AQ$55,2,FALSE))*IF('19.02'!$AK78="是",'19.02'!$BB$4,'19.02'!$BB$3))</f>
        <v>0</v>
      </c>
      <c r="Q78" s="4">
        <f>IF(ISNUMBER(SEARCH("营",'19.02'!Y78)),(-$Y78+50*IF('19.02'!$AK78="是",'19.02'!$BB$4,'19.02'!$BB$3)),(VLOOKUP('19.02'!Y78,'19.02'!$AO$4:$AQ$55,2,FALSE))*IF('19.02'!$AK78="是",'19.02'!$BB$4,'19.02'!$BB$3))</f>
        <v>0</v>
      </c>
      <c r="R78" s="4">
        <f>IF(ISNUMBER(SEARCH("营",'19.02'!Z78)),(-$Y78+50*IF('19.02'!$AK78="是",'19.02'!$BB$4,'19.02'!$BB$3)),(VLOOKUP('19.02'!Z78,'19.02'!$AO$4:$AQ$55,2,FALSE))*IF('19.02'!$AK78="是",'19.02'!$BB$4,'19.02'!$BB$3))</f>
        <v>0</v>
      </c>
      <c r="S78" s="4">
        <f>IF(ISNUMBER(SEARCH("营",'19.02'!AA78)),(-$Y78+50*IF('19.02'!$AK78="是",'19.02'!$BB$4,'19.02'!$BB$3)),(VLOOKUP('19.02'!AA78,'19.02'!$AO$4:$AQ$55,2,FALSE))*IF('19.02'!$AK78="是",'19.02'!$BB$4,'19.02'!$BB$3))</f>
        <v>0</v>
      </c>
      <c r="T78" s="4">
        <f>IF(ISNUMBER(SEARCH("营",'19.02'!AB78)),(-$Y78+50*IF('19.02'!$AK78="是",'19.02'!$BB$4,'19.02'!$BB$3)),(VLOOKUP('19.02'!AB78,'19.02'!$AO$4:$AQ$55,2,FALSE))*IF('19.02'!$AK78="是",'19.02'!$BB$4,'19.02'!$BB$3))</f>
        <v>0</v>
      </c>
      <c r="U78" s="4">
        <f>IF(ISNUMBER(SEARCH("营",'19.02'!AC78)),(-$Y78+50*IF('19.02'!$AK78="是",'19.02'!$BB$4,'19.02'!$BB$3)),(VLOOKUP('19.02'!AC78,'19.02'!$AO$4:$AQ$55,2,FALSE))*IF('19.02'!$AK78="是",'19.02'!$BB$4,'19.02'!$BB$3))</f>
        <v>0</v>
      </c>
      <c r="V78" s="4">
        <f>IF(ISNUMBER(SEARCH("营",'19.02'!AD78)),(-$Y78+50*IF('19.02'!$AK78="是",'19.02'!$BB$4,'19.02'!$BB$3)),(VLOOKUP('19.02'!AD78,'19.02'!$AO$4:$AQ$55,2,FALSE))*IF('19.02'!$AK78="是",'19.02'!$BB$4,'19.02'!$BB$3))</f>
        <v>0</v>
      </c>
      <c r="W78" s="4">
        <f>IF(ISNUMBER(SEARCH("营",'19.02'!AE78)),(-$Y78+50*IF('19.02'!$AK78="是",'19.02'!$BB$4,'19.02'!$BB$3)),(VLOOKUP('19.02'!AE78,'19.02'!$AO$4:$AQ$55,2,FALSE))*IF('19.02'!$AK78="是",'19.02'!$BB$4,'19.02'!$BB$3))</f>
        <v>0</v>
      </c>
      <c r="X78" s="4">
        <f>IF(ISNUMBER(SEARCH("营",'19.02'!AF78)),(-$Y78+50*IF('19.02'!$AK78="是",'19.02'!$BB$4,'19.02'!$BB$3)),(VLOOKUP('19.02'!AF78,'19.02'!$AO$4:$AQ$55,2,FALSE))*IF('19.02'!$AK78="是",'19.02'!$BB$4,'19.02'!$BB$3))</f>
        <v>0</v>
      </c>
      <c r="Y78" s="76">
        <v>100</v>
      </c>
      <c r="Z78" s="85">
        <v>45804</v>
      </c>
    </row>
    <row r="79" spans="1:26">
      <c r="A79" s="4">
        <f>IF(ISNUMBER(SEARCH("营",'19.02'!I79)),(-$Y79+50*IF('19.02'!$AK79="是",'19.02'!$BB$4,'19.02'!$BB$3)),(VLOOKUP('19.02'!I79,'19.02'!$AO$4:$AQ$55,2,FALSE))*IF('19.02'!$AK79="是",'19.02'!$BB$4,'19.02'!$BB$3))</f>
        <v>0</v>
      </c>
      <c r="B79" s="4">
        <f>IF(ISNUMBER(SEARCH("营",'19.02'!J79)),(-$Y79+50*IF('19.02'!$AK79="是",'19.02'!$BB$4,'19.02'!$BB$3)),(VLOOKUP('19.02'!J79,'19.02'!$AO$4:$AQ$55,2,FALSE))*IF('19.02'!$AK79="是",'19.02'!$BB$4,'19.02'!$BB$3))</f>
        <v>0</v>
      </c>
      <c r="C79" s="4">
        <f>IF(ISNUMBER(SEARCH("营",'19.02'!K79)),(-$Y79+50*IF('19.02'!$AK79="是",'19.02'!$BB$4,'19.02'!$BB$3)),(VLOOKUP('19.02'!K79,'19.02'!$AO$4:$AQ$55,2,FALSE))*IF('19.02'!$AK79="是",'19.02'!$BB$4,'19.02'!$BB$3))</f>
        <v>0</v>
      </c>
      <c r="D79" s="4">
        <f>IF(ISNUMBER(SEARCH("营",'19.02'!L79)),(-$Y79+50*IF('19.02'!$AK79="是",'19.02'!$BB$4,'19.02'!$BB$3)),(VLOOKUP('19.02'!L79,'19.02'!$AO$4:$AQ$55,2,FALSE))*IF('19.02'!$AK79="是",'19.02'!$BB$4,'19.02'!$BB$3))</f>
        <v>0</v>
      </c>
      <c r="E79" s="4">
        <f>IF(ISNUMBER(SEARCH("营",'19.02'!M79)),(-$Y79+50*IF('19.02'!$AK79="是",'19.02'!$BB$4,'19.02'!$BB$3)),(VLOOKUP('19.02'!M79,'19.02'!$AO$4:$AQ$55,2,FALSE))*IF('19.02'!$AK79="是",'19.02'!$BB$4,'19.02'!$BB$3))</f>
        <v>0</v>
      </c>
      <c r="F79" s="4">
        <f>IF(ISNUMBER(SEARCH("营",'19.02'!N79)),(-$Y79+50*IF('19.02'!$AK79="是",'19.02'!$BB$4,'19.02'!$BB$3)),(VLOOKUP('19.02'!N79,'19.02'!$AO$4:$AQ$55,2,FALSE))*IF('19.02'!$AK79="是",'19.02'!$BB$4,'19.02'!$BB$3))</f>
        <v>0</v>
      </c>
      <c r="G79" s="4">
        <f>IF(ISNUMBER(SEARCH("营",'19.02'!O79)),(-$Y79+50*IF('19.02'!$AK79="是",'19.02'!$BB$4,'19.02'!$BB$3)),(VLOOKUP('19.02'!O79,'19.02'!$AO$4:$AQ$55,2,FALSE))*IF('19.02'!$AK79="是",'19.02'!$BB$4,'19.02'!$BB$3))</f>
        <v>0</v>
      </c>
      <c r="H79" s="4">
        <f>IF(ISNUMBER(SEARCH("营",'19.02'!P79)),(-$Y79+50*IF('19.02'!$AK79="是",'19.02'!$BB$4,'19.02'!$BB$3)),(VLOOKUP('19.02'!P79,'19.02'!$AO$4:$AQ$55,2,FALSE))*IF('19.02'!$AK79="是",'19.02'!$BB$4,'19.02'!$BB$3))</f>
        <v>0</v>
      </c>
      <c r="I79" s="4">
        <f>IF(ISNUMBER(SEARCH("营",'19.02'!Q79)),(-$Y79+50*IF('19.02'!$AK79="是",'19.02'!$BB$4,'19.02'!$BB$3)),(VLOOKUP('19.02'!Q79,'19.02'!$AO$4:$AQ$55,2,FALSE))*IF('19.02'!$AK79="是",'19.02'!$BB$4,'19.02'!$BB$3))</f>
        <v>0</v>
      </c>
      <c r="J79" s="4">
        <f>IF(ISNUMBER(SEARCH("营",'19.02'!R79)),(-$Y79+50*IF('19.02'!$AK79="是",'19.02'!$BB$4,'19.02'!$BB$3)),(VLOOKUP('19.02'!R79,'19.02'!$AO$4:$AQ$55,2,FALSE))*IF('19.02'!$AK79="是",'19.02'!$BB$4,'19.02'!$BB$3))</f>
        <v>0</v>
      </c>
      <c r="K79" s="4">
        <f>IF(ISNUMBER(SEARCH("营",'19.02'!S79)),(-$Y79+50*IF('19.02'!$AK79="是",'19.02'!$BB$4,'19.02'!$BB$3)),(VLOOKUP('19.02'!S79,'19.02'!$AO$4:$AQ$55,2,FALSE))*IF('19.02'!$AK79="是",'19.02'!$BB$4,'19.02'!$BB$3))</f>
        <v>0</v>
      </c>
      <c r="L79" s="4">
        <f>IF(ISNUMBER(SEARCH("营",'19.02'!T79)),(-$Y79+50*IF('19.02'!$AK79="是",'19.02'!$BB$4,'19.02'!$BB$3)),(VLOOKUP('19.02'!T79,'19.02'!$AO$4:$AQ$55,2,FALSE))*IF('19.02'!$AK79="是",'19.02'!$BB$4,'19.02'!$BB$3))</f>
        <v>0</v>
      </c>
      <c r="M79" s="4">
        <f>IF(ISNUMBER(SEARCH("营",'19.02'!U79)),(-$Y79+50*IF('19.02'!$AK79="是",'19.02'!$BB$4,'19.02'!$BB$3)),(VLOOKUP('19.02'!U79,'19.02'!$AO$4:$AQ$55,2,FALSE))*IF('19.02'!$AK79="是",'19.02'!$BB$4,'19.02'!$BB$3))</f>
        <v>0</v>
      </c>
      <c r="N79" s="4">
        <f>IF(ISNUMBER(SEARCH("营",'19.02'!V79)),(-$Y79+50*IF('19.02'!$AK79="是",'19.02'!$BB$4,'19.02'!$BB$3)),(VLOOKUP('19.02'!V79,'19.02'!$AO$4:$AQ$55,2,FALSE))*IF('19.02'!$AK79="是",'19.02'!$BB$4,'19.02'!$BB$3))</f>
        <v>0</v>
      </c>
      <c r="O79" s="4">
        <f>IF(ISNUMBER(SEARCH("营",'19.02'!W79)),(-$Y79+50*IF('19.02'!$AK79="是",'19.02'!$BB$4,'19.02'!$BB$3)),(VLOOKUP('19.02'!W79,'19.02'!$AO$4:$AQ$55,2,FALSE))*IF('19.02'!$AK79="是",'19.02'!$BB$4,'19.02'!$BB$3))</f>
        <v>0</v>
      </c>
      <c r="P79" s="4">
        <f>IF(ISNUMBER(SEARCH("营",'19.02'!X79)),(-$Y79+50*IF('19.02'!$AK79="是",'19.02'!$BB$4,'19.02'!$BB$3)),(VLOOKUP('19.02'!X79,'19.02'!$AO$4:$AQ$55,2,FALSE))*IF('19.02'!$AK79="是",'19.02'!$BB$4,'19.02'!$BB$3))</f>
        <v>0</v>
      </c>
      <c r="Q79" s="4">
        <f>IF(ISNUMBER(SEARCH("营",'19.02'!Y79)),(-$Y79+50*IF('19.02'!$AK79="是",'19.02'!$BB$4,'19.02'!$BB$3)),(VLOOKUP('19.02'!Y79,'19.02'!$AO$4:$AQ$55,2,FALSE))*IF('19.02'!$AK79="是",'19.02'!$BB$4,'19.02'!$BB$3))</f>
        <v>0</v>
      </c>
      <c r="R79" s="4">
        <f>IF(ISNUMBER(SEARCH("营",'19.02'!Z79)),(-$Y79+50*IF('19.02'!$AK79="是",'19.02'!$BB$4,'19.02'!$BB$3)),(VLOOKUP('19.02'!Z79,'19.02'!$AO$4:$AQ$55,2,FALSE))*IF('19.02'!$AK79="是",'19.02'!$BB$4,'19.02'!$BB$3))</f>
        <v>0</v>
      </c>
      <c r="S79" s="4">
        <f>IF(ISNUMBER(SEARCH("营",'19.02'!AA79)),(-$Y79+50*IF('19.02'!$AK79="是",'19.02'!$BB$4,'19.02'!$BB$3)),(VLOOKUP('19.02'!AA79,'19.02'!$AO$4:$AQ$55,2,FALSE))*IF('19.02'!$AK79="是",'19.02'!$BB$4,'19.02'!$BB$3))</f>
        <v>0</v>
      </c>
      <c r="T79" s="4">
        <f>IF(ISNUMBER(SEARCH("营",'19.02'!AB79)),(-$Y79+50*IF('19.02'!$AK79="是",'19.02'!$BB$4,'19.02'!$BB$3)),(VLOOKUP('19.02'!AB79,'19.02'!$AO$4:$AQ$55,2,FALSE))*IF('19.02'!$AK79="是",'19.02'!$BB$4,'19.02'!$BB$3))</f>
        <v>0</v>
      </c>
      <c r="U79" s="4">
        <f>IF(ISNUMBER(SEARCH("营",'19.02'!AC79)),(-$Y79+50*IF('19.02'!$AK79="是",'19.02'!$BB$4,'19.02'!$BB$3)),(VLOOKUP('19.02'!AC79,'19.02'!$AO$4:$AQ$55,2,FALSE))*IF('19.02'!$AK79="是",'19.02'!$BB$4,'19.02'!$BB$3))</f>
        <v>0</v>
      </c>
      <c r="V79" s="4">
        <f>IF(ISNUMBER(SEARCH("营",'19.02'!AD79)),(-$Y79+50*IF('19.02'!$AK79="是",'19.02'!$BB$4,'19.02'!$BB$3)),(VLOOKUP('19.02'!AD79,'19.02'!$AO$4:$AQ$55,2,FALSE))*IF('19.02'!$AK79="是",'19.02'!$BB$4,'19.02'!$BB$3))</f>
        <v>0</v>
      </c>
      <c r="W79" s="4">
        <f>IF(ISNUMBER(SEARCH("营",'19.02'!AE79)),(-$Y79+50*IF('19.02'!$AK79="是",'19.02'!$BB$4,'19.02'!$BB$3)),(VLOOKUP('19.02'!AE79,'19.02'!$AO$4:$AQ$55,2,FALSE))*IF('19.02'!$AK79="是",'19.02'!$BB$4,'19.02'!$BB$3))</f>
        <v>0</v>
      </c>
      <c r="X79" s="4">
        <f>IF(ISNUMBER(SEARCH("营",'19.02'!AF79)),(-$Y79+50*IF('19.02'!$AK79="是",'19.02'!$BB$4,'19.02'!$BB$3)),(VLOOKUP('19.02'!AF79,'19.02'!$AO$4:$AQ$55,2,FALSE))*IF('19.02'!$AK79="是",'19.02'!$BB$4,'19.02'!$BB$3))</f>
        <v>0</v>
      </c>
      <c r="Y79" s="76">
        <v>100</v>
      </c>
      <c r="Z79" s="85">
        <v>45805</v>
      </c>
    </row>
    <row r="80" spans="1:26">
      <c r="A80" s="4">
        <f>IF(ISNUMBER(SEARCH("营",'19.02'!I80)),(-$Y80+50*IF('19.02'!$AK80="是",'19.02'!$BB$4,'19.02'!$BB$3)),(VLOOKUP('19.02'!I80,'19.02'!$AO$4:$AQ$55,2,FALSE))*IF('19.02'!$AK80="是",'19.02'!$BB$4,'19.02'!$BB$3))</f>
        <v>0</v>
      </c>
      <c r="B80" s="4">
        <f>IF(ISNUMBER(SEARCH("营",'19.02'!J80)),(-$Y80+50*IF('19.02'!$AK80="是",'19.02'!$BB$4,'19.02'!$BB$3)),(VLOOKUP('19.02'!J80,'19.02'!$AO$4:$AQ$55,2,FALSE))*IF('19.02'!$AK80="是",'19.02'!$BB$4,'19.02'!$BB$3))</f>
        <v>0</v>
      </c>
      <c r="C80" s="4">
        <f>IF(ISNUMBER(SEARCH("营",'19.02'!K80)),(-$Y80+50*IF('19.02'!$AK80="是",'19.02'!$BB$4,'19.02'!$BB$3)),(VLOOKUP('19.02'!K80,'19.02'!$AO$4:$AQ$55,2,FALSE))*IF('19.02'!$AK80="是",'19.02'!$BB$4,'19.02'!$BB$3))</f>
        <v>0</v>
      </c>
      <c r="D80" s="4">
        <f>IF(ISNUMBER(SEARCH("营",'19.02'!L80)),(-$Y80+50*IF('19.02'!$AK80="是",'19.02'!$BB$4,'19.02'!$BB$3)),(VLOOKUP('19.02'!L80,'19.02'!$AO$4:$AQ$55,2,FALSE))*IF('19.02'!$AK80="是",'19.02'!$BB$4,'19.02'!$BB$3))</f>
        <v>0</v>
      </c>
      <c r="E80" s="4">
        <f>IF(ISNUMBER(SEARCH("营",'19.02'!M80)),(-$Y80+50*IF('19.02'!$AK80="是",'19.02'!$BB$4,'19.02'!$BB$3)),(VLOOKUP('19.02'!M80,'19.02'!$AO$4:$AQ$55,2,FALSE))*IF('19.02'!$AK80="是",'19.02'!$BB$4,'19.02'!$BB$3))</f>
        <v>0</v>
      </c>
      <c r="F80" s="4">
        <f>IF(ISNUMBER(SEARCH("营",'19.02'!N80)),(-$Y80+50*IF('19.02'!$AK80="是",'19.02'!$BB$4,'19.02'!$BB$3)),(VLOOKUP('19.02'!N80,'19.02'!$AO$4:$AQ$55,2,FALSE))*IF('19.02'!$AK80="是",'19.02'!$BB$4,'19.02'!$BB$3))</f>
        <v>0</v>
      </c>
      <c r="G80" s="4">
        <f>IF(ISNUMBER(SEARCH("营",'19.02'!O80)),(-$Y80+50*IF('19.02'!$AK80="是",'19.02'!$BB$4,'19.02'!$BB$3)),(VLOOKUP('19.02'!O80,'19.02'!$AO$4:$AQ$55,2,FALSE))*IF('19.02'!$AK80="是",'19.02'!$BB$4,'19.02'!$BB$3))</f>
        <v>0</v>
      </c>
      <c r="H80" s="4">
        <f>IF(ISNUMBER(SEARCH("营",'19.02'!P80)),(-$Y80+50*IF('19.02'!$AK80="是",'19.02'!$BB$4,'19.02'!$BB$3)),(VLOOKUP('19.02'!P80,'19.02'!$AO$4:$AQ$55,2,FALSE))*IF('19.02'!$AK80="是",'19.02'!$BB$4,'19.02'!$BB$3))</f>
        <v>0</v>
      </c>
      <c r="I80" s="4">
        <f>IF(ISNUMBER(SEARCH("营",'19.02'!Q80)),(-$Y80+50*IF('19.02'!$AK80="是",'19.02'!$BB$4,'19.02'!$BB$3)),(VLOOKUP('19.02'!Q80,'19.02'!$AO$4:$AQ$55,2,FALSE))*IF('19.02'!$AK80="是",'19.02'!$BB$4,'19.02'!$BB$3))</f>
        <v>0</v>
      </c>
      <c r="J80" s="4">
        <f>IF(ISNUMBER(SEARCH("营",'19.02'!R80)),(-$Y80+50*IF('19.02'!$AK80="是",'19.02'!$BB$4,'19.02'!$BB$3)),(VLOOKUP('19.02'!R80,'19.02'!$AO$4:$AQ$55,2,FALSE))*IF('19.02'!$AK80="是",'19.02'!$BB$4,'19.02'!$BB$3))</f>
        <v>0</v>
      </c>
      <c r="K80" s="4">
        <f>IF(ISNUMBER(SEARCH("营",'19.02'!S80)),(-$Y80+50*IF('19.02'!$AK80="是",'19.02'!$BB$4,'19.02'!$BB$3)),(VLOOKUP('19.02'!S80,'19.02'!$AO$4:$AQ$55,2,FALSE))*IF('19.02'!$AK80="是",'19.02'!$BB$4,'19.02'!$BB$3))</f>
        <v>0</v>
      </c>
      <c r="L80" s="4">
        <f>IF(ISNUMBER(SEARCH("营",'19.02'!T80)),(-$Y80+50*IF('19.02'!$AK80="是",'19.02'!$BB$4,'19.02'!$BB$3)),(VLOOKUP('19.02'!T80,'19.02'!$AO$4:$AQ$55,2,FALSE))*IF('19.02'!$AK80="是",'19.02'!$BB$4,'19.02'!$BB$3))</f>
        <v>0</v>
      </c>
      <c r="M80" s="4">
        <f>IF(ISNUMBER(SEARCH("营",'19.02'!U80)),(-$Y80+50*IF('19.02'!$AK80="是",'19.02'!$BB$4,'19.02'!$BB$3)),(VLOOKUP('19.02'!U80,'19.02'!$AO$4:$AQ$55,2,FALSE))*IF('19.02'!$AK80="是",'19.02'!$BB$4,'19.02'!$BB$3))</f>
        <v>0</v>
      </c>
      <c r="N80" s="4">
        <f>IF(ISNUMBER(SEARCH("营",'19.02'!V80)),(-$Y80+50*IF('19.02'!$AK80="是",'19.02'!$BB$4,'19.02'!$BB$3)),(VLOOKUP('19.02'!V80,'19.02'!$AO$4:$AQ$55,2,FALSE))*IF('19.02'!$AK80="是",'19.02'!$BB$4,'19.02'!$BB$3))</f>
        <v>0</v>
      </c>
      <c r="O80" s="4">
        <f>IF(ISNUMBER(SEARCH("营",'19.02'!W80)),(-$Y80+50*IF('19.02'!$AK80="是",'19.02'!$BB$4,'19.02'!$BB$3)),(VLOOKUP('19.02'!W80,'19.02'!$AO$4:$AQ$55,2,FALSE))*IF('19.02'!$AK80="是",'19.02'!$BB$4,'19.02'!$BB$3))</f>
        <v>0</v>
      </c>
      <c r="P80" s="4">
        <f>IF(ISNUMBER(SEARCH("营",'19.02'!X80)),(-$Y80+50*IF('19.02'!$AK80="是",'19.02'!$BB$4,'19.02'!$BB$3)),(VLOOKUP('19.02'!X80,'19.02'!$AO$4:$AQ$55,2,FALSE))*IF('19.02'!$AK80="是",'19.02'!$BB$4,'19.02'!$BB$3))</f>
        <v>0</v>
      </c>
      <c r="Q80" s="4">
        <f>IF(ISNUMBER(SEARCH("营",'19.02'!Y80)),(-$Y80+50*IF('19.02'!$AK80="是",'19.02'!$BB$4,'19.02'!$BB$3)),(VLOOKUP('19.02'!Y80,'19.02'!$AO$4:$AQ$55,2,FALSE))*IF('19.02'!$AK80="是",'19.02'!$BB$4,'19.02'!$BB$3))</f>
        <v>0</v>
      </c>
      <c r="R80" s="4">
        <f>IF(ISNUMBER(SEARCH("营",'19.02'!Z80)),(-$Y80+50*IF('19.02'!$AK80="是",'19.02'!$BB$4,'19.02'!$BB$3)),(VLOOKUP('19.02'!Z80,'19.02'!$AO$4:$AQ$55,2,FALSE))*IF('19.02'!$AK80="是",'19.02'!$BB$4,'19.02'!$BB$3))</f>
        <v>0</v>
      </c>
      <c r="S80" s="4">
        <f>IF(ISNUMBER(SEARCH("营",'19.02'!AA80)),(-$Y80+50*IF('19.02'!$AK80="是",'19.02'!$BB$4,'19.02'!$BB$3)),(VLOOKUP('19.02'!AA80,'19.02'!$AO$4:$AQ$55,2,FALSE))*IF('19.02'!$AK80="是",'19.02'!$BB$4,'19.02'!$BB$3))</f>
        <v>0</v>
      </c>
      <c r="T80" s="4">
        <f>IF(ISNUMBER(SEARCH("营",'19.02'!AB80)),(-$Y80+50*IF('19.02'!$AK80="是",'19.02'!$BB$4,'19.02'!$BB$3)),(VLOOKUP('19.02'!AB80,'19.02'!$AO$4:$AQ$55,2,FALSE))*IF('19.02'!$AK80="是",'19.02'!$BB$4,'19.02'!$BB$3))</f>
        <v>0</v>
      </c>
      <c r="U80" s="4">
        <f>IF(ISNUMBER(SEARCH("营",'19.02'!AC80)),(-$Y80+50*IF('19.02'!$AK80="是",'19.02'!$BB$4,'19.02'!$BB$3)),(VLOOKUP('19.02'!AC80,'19.02'!$AO$4:$AQ$55,2,FALSE))*IF('19.02'!$AK80="是",'19.02'!$BB$4,'19.02'!$BB$3))</f>
        <v>0</v>
      </c>
      <c r="V80" s="4">
        <f>IF(ISNUMBER(SEARCH("营",'19.02'!AD80)),(-$Y80+50*IF('19.02'!$AK80="是",'19.02'!$BB$4,'19.02'!$BB$3)),(VLOOKUP('19.02'!AD80,'19.02'!$AO$4:$AQ$55,2,FALSE))*IF('19.02'!$AK80="是",'19.02'!$BB$4,'19.02'!$BB$3))</f>
        <v>0</v>
      </c>
      <c r="W80" s="4">
        <f>IF(ISNUMBER(SEARCH("营",'19.02'!AE80)),(-$Y80+50*IF('19.02'!$AK80="是",'19.02'!$BB$4,'19.02'!$BB$3)),(VLOOKUP('19.02'!AE80,'19.02'!$AO$4:$AQ$55,2,FALSE))*IF('19.02'!$AK80="是",'19.02'!$BB$4,'19.02'!$BB$3))</f>
        <v>0</v>
      </c>
      <c r="X80" s="4">
        <f>IF(ISNUMBER(SEARCH("营",'19.02'!AF80)),(-$Y80+50*IF('19.02'!$AK80="是",'19.02'!$BB$4,'19.02'!$BB$3)),(VLOOKUP('19.02'!AF80,'19.02'!$AO$4:$AQ$55,2,FALSE))*IF('19.02'!$AK80="是",'19.02'!$BB$4,'19.02'!$BB$3))</f>
        <v>0</v>
      </c>
      <c r="Y80" s="76">
        <v>100</v>
      </c>
      <c r="Z80" s="85">
        <v>45806</v>
      </c>
    </row>
    <row r="81" spans="1:26">
      <c r="A81" s="4">
        <f>IF(ISNUMBER(SEARCH("营",'19.02'!I81)),(-$Y81+50*IF('19.02'!$AK81="是",'19.02'!$BB$4,'19.02'!$BB$3)),(VLOOKUP('19.02'!I81,'19.02'!$AO$4:$AQ$55,2,FALSE))*IF('19.02'!$AK81="是",'19.02'!$BB$4,'19.02'!$BB$3))</f>
        <v>0</v>
      </c>
      <c r="B81" s="4">
        <f>IF(ISNUMBER(SEARCH("营",'19.02'!J81)),(-$Y81+50*IF('19.02'!$AK81="是",'19.02'!$BB$4,'19.02'!$BB$3)),(VLOOKUP('19.02'!J81,'19.02'!$AO$4:$AQ$55,2,FALSE))*IF('19.02'!$AK81="是",'19.02'!$BB$4,'19.02'!$BB$3))</f>
        <v>0</v>
      </c>
      <c r="C81" s="4">
        <f>IF(ISNUMBER(SEARCH("营",'19.02'!K81)),(-$Y81+50*IF('19.02'!$AK81="是",'19.02'!$BB$4,'19.02'!$BB$3)),(VLOOKUP('19.02'!K81,'19.02'!$AO$4:$AQ$55,2,FALSE))*IF('19.02'!$AK81="是",'19.02'!$BB$4,'19.02'!$BB$3))</f>
        <v>0</v>
      </c>
      <c r="D81" s="4">
        <f>IF(ISNUMBER(SEARCH("营",'19.02'!L81)),(-$Y81+50*IF('19.02'!$AK81="是",'19.02'!$BB$4,'19.02'!$BB$3)),(VLOOKUP('19.02'!L81,'19.02'!$AO$4:$AQ$55,2,FALSE))*IF('19.02'!$AK81="是",'19.02'!$BB$4,'19.02'!$BB$3))</f>
        <v>0</v>
      </c>
      <c r="E81" s="4">
        <f>IF(ISNUMBER(SEARCH("营",'19.02'!M81)),(-$Y81+50*IF('19.02'!$AK81="是",'19.02'!$BB$4,'19.02'!$BB$3)),(VLOOKUP('19.02'!M81,'19.02'!$AO$4:$AQ$55,2,FALSE))*IF('19.02'!$AK81="是",'19.02'!$BB$4,'19.02'!$BB$3))</f>
        <v>0</v>
      </c>
      <c r="F81" s="4">
        <f>IF(ISNUMBER(SEARCH("营",'19.02'!N81)),(-$Y81+50*IF('19.02'!$AK81="是",'19.02'!$BB$4,'19.02'!$BB$3)),(VLOOKUP('19.02'!N81,'19.02'!$AO$4:$AQ$55,2,FALSE))*IF('19.02'!$AK81="是",'19.02'!$BB$4,'19.02'!$BB$3))</f>
        <v>0</v>
      </c>
      <c r="G81" s="4">
        <f>IF(ISNUMBER(SEARCH("营",'19.02'!O81)),(-$Y81+50*IF('19.02'!$AK81="是",'19.02'!$BB$4,'19.02'!$BB$3)),(VLOOKUP('19.02'!O81,'19.02'!$AO$4:$AQ$55,2,FALSE))*IF('19.02'!$AK81="是",'19.02'!$BB$4,'19.02'!$BB$3))</f>
        <v>0</v>
      </c>
      <c r="H81" s="4">
        <f>IF(ISNUMBER(SEARCH("营",'19.02'!P81)),(-$Y81+50*IF('19.02'!$AK81="是",'19.02'!$BB$4,'19.02'!$BB$3)),(VLOOKUP('19.02'!P81,'19.02'!$AO$4:$AQ$55,2,FALSE))*IF('19.02'!$AK81="是",'19.02'!$BB$4,'19.02'!$BB$3))</f>
        <v>0</v>
      </c>
      <c r="I81" s="4">
        <f>IF(ISNUMBER(SEARCH("营",'19.02'!Q81)),(-$Y81+50*IF('19.02'!$AK81="是",'19.02'!$BB$4,'19.02'!$BB$3)),(VLOOKUP('19.02'!Q81,'19.02'!$AO$4:$AQ$55,2,FALSE))*IF('19.02'!$AK81="是",'19.02'!$BB$4,'19.02'!$BB$3))</f>
        <v>0</v>
      </c>
      <c r="J81" s="4">
        <f>IF(ISNUMBER(SEARCH("营",'19.02'!R81)),(-$Y81+50*IF('19.02'!$AK81="是",'19.02'!$BB$4,'19.02'!$BB$3)),(VLOOKUP('19.02'!R81,'19.02'!$AO$4:$AQ$55,2,FALSE))*IF('19.02'!$AK81="是",'19.02'!$BB$4,'19.02'!$BB$3))</f>
        <v>0</v>
      </c>
      <c r="K81" s="4">
        <f>IF(ISNUMBER(SEARCH("营",'19.02'!S81)),(-$Y81+50*IF('19.02'!$AK81="是",'19.02'!$BB$4,'19.02'!$BB$3)),(VLOOKUP('19.02'!S81,'19.02'!$AO$4:$AQ$55,2,FALSE))*IF('19.02'!$AK81="是",'19.02'!$BB$4,'19.02'!$BB$3))</f>
        <v>0</v>
      </c>
      <c r="L81" s="4">
        <f>IF(ISNUMBER(SEARCH("营",'19.02'!T81)),(-$Y81+50*IF('19.02'!$AK81="是",'19.02'!$BB$4,'19.02'!$BB$3)),(VLOOKUP('19.02'!T81,'19.02'!$AO$4:$AQ$55,2,FALSE))*IF('19.02'!$AK81="是",'19.02'!$BB$4,'19.02'!$BB$3))</f>
        <v>0</v>
      </c>
      <c r="M81" s="4">
        <f>IF(ISNUMBER(SEARCH("营",'19.02'!U81)),(-$Y81+50*IF('19.02'!$AK81="是",'19.02'!$BB$4,'19.02'!$BB$3)),(VLOOKUP('19.02'!U81,'19.02'!$AO$4:$AQ$55,2,FALSE))*IF('19.02'!$AK81="是",'19.02'!$BB$4,'19.02'!$BB$3))</f>
        <v>0</v>
      </c>
      <c r="N81" s="4">
        <f>IF(ISNUMBER(SEARCH("营",'19.02'!V81)),(-$Y81+50*IF('19.02'!$AK81="是",'19.02'!$BB$4,'19.02'!$BB$3)),(VLOOKUP('19.02'!V81,'19.02'!$AO$4:$AQ$55,2,FALSE))*IF('19.02'!$AK81="是",'19.02'!$BB$4,'19.02'!$BB$3))</f>
        <v>0</v>
      </c>
      <c r="O81" s="4">
        <f>IF(ISNUMBER(SEARCH("营",'19.02'!W81)),(-$Y81+50*IF('19.02'!$AK81="是",'19.02'!$BB$4,'19.02'!$BB$3)),(VLOOKUP('19.02'!W81,'19.02'!$AO$4:$AQ$55,2,FALSE))*IF('19.02'!$AK81="是",'19.02'!$BB$4,'19.02'!$BB$3))</f>
        <v>0</v>
      </c>
      <c r="P81" s="4">
        <f>IF(ISNUMBER(SEARCH("营",'19.02'!X81)),(-$Y81+50*IF('19.02'!$AK81="是",'19.02'!$BB$4,'19.02'!$BB$3)),(VLOOKUP('19.02'!X81,'19.02'!$AO$4:$AQ$55,2,FALSE))*IF('19.02'!$AK81="是",'19.02'!$BB$4,'19.02'!$BB$3))</f>
        <v>0</v>
      </c>
      <c r="Q81" s="4">
        <f>IF(ISNUMBER(SEARCH("营",'19.02'!Y81)),(-$Y81+50*IF('19.02'!$AK81="是",'19.02'!$BB$4,'19.02'!$BB$3)),(VLOOKUP('19.02'!Y81,'19.02'!$AO$4:$AQ$55,2,FALSE))*IF('19.02'!$AK81="是",'19.02'!$BB$4,'19.02'!$BB$3))</f>
        <v>0</v>
      </c>
      <c r="R81" s="4">
        <f>IF(ISNUMBER(SEARCH("营",'19.02'!Z81)),(-$Y81+50*IF('19.02'!$AK81="是",'19.02'!$BB$4,'19.02'!$BB$3)),(VLOOKUP('19.02'!Z81,'19.02'!$AO$4:$AQ$55,2,FALSE))*IF('19.02'!$AK81="是",'19.02'!$BB$4,'19.02'!$BB$3))</f>
        <v>0</v>
      </c>
      <c r="S81" s="4">
        <f>IF(ISNUMBER(SEARCH("营",'19.02'!AA81)),(-$Y81+50*IF('19.02'!$AK81="是",'19.02'!$BB$4,'19.02'!$BB$3)),(VLOOKUP('19.02'!AA81,'19.02'!$AO$4:$AQ$55,2,FALSE))*IF('19.02'!$AK81="是",'19.02'!$BB$4,'19.02'!$BB$3))</f>
        <v>0</v>
      </c>
      <c r="T81" s="4">
        <f>IF(ISNUMBER(SEARCH("营",'19.02'!AB81)),(-$Y81+50*IF('19.02'!$AK81="是",'19.02'!$BB$4,'19.02'!$BB$3)),(VLOOKUP('19.02'!AB81,'19.02'!$AO$4:$AQ$55,2,FALSE))*IF('19.02'!$AK81="是",'19.02'!$BB$4,'19.02'!$BB$3))</f>
        <v>0</v>
      </c>
      <c r="U81" s="4">
        <f>IF(ISNUMBER(SEARCH("营",'19.02'!AC81)),(-$Y81+50*IF('19.02'!$AK81="是",'19.02'!$BB$4,'19.02'!$BB$3)),(VLOOKUP('19.02'!AC81,'19.02'!$AO$4:$AQ$55,2,FALSE))*IF('19.02'!$AK81="是",'19.02'!$BB$4,'19.02'!$BB$3))</f>
        <v>0</v>
      </c>
      <c r="V81" s="4">
        <f>IF(ISNUMBER(SEARCH("营",'19.02'!AD81)),(-$Y81+50*IF('19.02'!$AK81="是",'19.02'!$BB$4,'19.02'!$BB$3)),(VLOOKUP('19.02'!AD81,'19.02'!$AO$4:$AQ$55,2,FALSE))*IF('19.02'!$AK81="是",'19.02'!$BB$4,'19.02'!$BB$3))</f>
        <v>0</v>
      </c>
      <c r="W81" s="4">
        <f>IF(ISNUMBER(SEARCH("营",'19.02'!AE81)),(-$Y81+50*IF('19.02'!$AK81="是",'19.02'!$BB$4,'19.02'!$BB$3)),(VLOOKUP('19.02'!AE81,'19.02'!$AO$4:$AQ$55,2,FALSE))*IF('19.02'!$AK81="是",'19.02'!$BB$4,'19.02'!$BB$3))</f>
        <v>0</v>
      </c>
      <c r="X81" s="4">
        <f>IF(ISNUMBER(SEARCH("营",'19.02'!AF81)),(-$Y81+50*IF('19.02'!$AK81="是",'19.02'!$BB$4,'19.02'!$BB$3)),(VLOOKUP('19.02'!AF81,'19.02'!$AO$4:$AQ$55,2,FALSE))*IF('19.02'!$AK81="是",'19.02'!$BB$4,'19.02'!$BB$3))</f>
        <v>0</v>
      </c>
      <c r="Y81" s="76">
        <v>100</v>
      </c>
      <c r="Z81" s="85">
        <v>45807</v>
      </c>
    </row>
    <row r="82" spans="1:26">
      <c r="A82" s="4">
        <f>IF(ISNUMBER(SEARCH("营",'19.02'!I82)),(-$Y82+50*IF('19.02'!$AK82="是",'19.02'!$BB$4,'19.02'!$BB$3)),(VLOOKUP('19.02'!I82,'19.02'!$AO$4:$AQ$55,2,FALSE))*IF('19.02'!$AK82="是",'19.02'!$BB$4,'19.02'!$BB$3))</f>
        <v>0</v>
      </c>
      <c r="B82" s="4">
        <f>IF(ISNUMBER(SEARCH("营",'19.02'!J82)),(-$Y82+50*IF('19.02'!$AK82="是",'19.02'!$BB$4,'19.02'!$BB$3)),(VLOOKUP('19.02'!J82,'19.02'!$AO$4:$AQ$55,2,FALSE))*IF('19.02'!$AK82="是",'19.02'!$BB$4,'19.02'!$BB$3))</f>
        <v>0</v>
      </c>
      <c r="C82" s="4">
        <f>IF(ISNUMBER(SEARCH("营",'19.02'!K82)),(-$Y82+50*IF('19.02'!$AK82="是",'19.02'!$BB$4,'19.02'!$BB$3)),(VLOOKUP('19.02'!K82,'19.02'!$AO$4:$AQ$55,2,FALSE))*IF('19.02'!$AK82="是",'19.02'!$BB$4,'19.02'!$BB$3))</f>
        <v>0</v>
      </c>
      <c r="D82" s="4">
        <f>IF(ISNUMBER(SEARCH("营",'19.02'!L82)),(-$Y82+50*IF('19.02'!$AK82="是",'19.02'!$BB$4,'19.02'!$BB$3)),(VLOOKUP('19.02'!L82,'19.02'!$AO$4:$AQ$55,2,FALSE))*IF('19.02'!$AK82="是",'19.02'!$BB$4,'19.02'!$BB$3))</f>
        <v>0</v>
      </c>
      <c r="E82" s="4">
        <f>IF(ISNUMBER(SEARCH("营",'19.02'!M82)),(-$Y82+50*IF('19.02'!$AK82="是",'19.02'!$BB$4,'19.02'!$BB$3)),(VLOOKUP('19.02'!M82,'19.02'!$AO$4:$AQ$55,2,FALSE))*IF('19.02'!$AK82="是",'19.02'!$BB$4,'19.02'!$BB$3))</f>
        <v>0</v>
      </c>
      <c r="F82" s="4">
        <f>IF(ISNUMBER(SEARCH("营",'19.02'!N82)),(-$Y82+50*IF('19.02'!$AK82="是",'19.02'!$BB$4,'19.02'!$BB$3)),(VLOOKUP('19.02'!N82,'19.02'!$AO$4:$AQ$55,2,FALSE))*IF('19.02'!$AK82="是",'19.02'!$BB$4,'19.02'!$BB$3))</f>
        <v>0</v>
      </c>
      <c r="G82" s="4">
        <f>IF(ISNUMBER(SEARCH("营",'19.02'!O82)),(-$Y82+50*IF('19.02'!$AK82="是",'19.02'!$BB$4,'19.02'!$BB$3)),(VLOOKUP('19.02'!O82,'19.02'!$AO$4:$AQ$55,2,FALSE))*IF('19.02'!$AK82="是",'19.02'!$BB$4,'19.02'!$BB$3))</f>
        <v>0</v>
      </c>
      <c r="H82" s="4">
        <f>IF(ISNUMBER(SEARCH("营",'19.02'!P82)),(-$Y82+50*IF('19.02'!$AK82="是",'19.02'!$BB$4,'19.02'!$BB$3)),(VLOOKUP('19.02'!P82,'19.02'!$AO$4:$AQ$55,2,FALSE))*IF('19.02'!$AK82="是",'19.02'!$BB$4,'19.02'!$BB$3))</f>
        <v>0</v>
      </c>
      <c r="I82" s="4">
        <f>IF(ISNUMBER(SEARCH("营",'19.02'!Q82)),(-$Y82+50*IF('19.02'!$AK82="是",'19.02'!$BB$4,'19.02'!$BB$3)),(VLOOKUP('19.02'!Q82,'19.02'!$AO$4:$AQ$55,2,FALSE))*IF('19.02'!$AK82="是",'19.02'!$BB$4,'19.02'!$BB$3))</f>
        <v>0</v>
      </c>
      <c r="J82" s="4">
        <f>IF(ISNUMBER(SEARCH("营",'19.02'!R82)),(-$Y82+50*IF('19.02'!$AK82="是",'19.02'!$BB$4,'19.02'!$BB$3)),(VLOOKUP('19.02'!R82,'19.02'!$AO$4:$AQ$55,2,FALSE))*IF('19.02'!$AK82="是",'19.02'!$BB$4,'19.02'!$BB$3))</f>
        <v>0</v>
      </c>
      <c r="K82" s="4">
        <f>IF(ISNUMBER(SEARCH("营",'19.02'!S82)),(-$Y82+50*IF('19.02'!$AK82="是",'19.02'!$BB$4,'19.02'!$BB$3)),(VLOOKUP('19.02'!S82,'19.02'!$AO$4:$AQ$55,2,FALSE))*IF('19.02'!$AK82="是",'19.02'!$BB$4,'19.02'!$BB$3))</f>
        <v>0</v>
      </c>
      <c r="L82" s="4">
        <f>IF(ISNUMBER(SEARCH("营",'19.02'!T82)),(-$Y82+50*IF('19.02'!$AK82="是",'19.02'!$BB$4,'19.02'!$BB$3)),(VLOOKUP('19.02'!T82,'19.02'!$AO$4:$AQ$55,2,FALSE))*IF('19.02'!$AK82="是",'19.02'!$BB$4,'19.02'!$BB$3))</f>
        <v>0</v>
      </c>
      <c r="M82" s="4">
        <f>IF(ISNUMBER(SEARCH("营",'19.02'!U82)),(-$Y82+50*IF('19.02'!$AK82="是",'19.02'!$BB$4,'19.02'!$BB$3)),(VLOOKUP('19.02'!U82,'19.02'!$AO$4:$AQ$55,2,FALSE))*IF('19.02'!$AK82="是",'19.02'!$BB$4,'19.02'!$BB$3))</f>
        <v>0</v>
      </c>
      <c r="N82" s="4">
        <f>IF(ISNUMBER(SEARCH("营",'19.02'!V82)),(-$Y82+50*IF('19.02'!$AK82="是",'19.02'!$BB$4,'19.02'!$BB$3)),(VLOOKUP('19.02'!V82,'19.02'!$AO$4:$AQ$55,2,FALSE))*IF('19.02'!$AK82="是",'19.02'!$BB$4,'19.02'!$BB$3))</f>
        <v>0</v>
      </c>
      <c r="O82" s="4">
        <f>IF(ISNUMBER(SEARCH("营",'19.02'!W82)),(-$Y82+50*IF('19.02'!$AK82="是",'19.02'!$BB$4,'19.02'!$BB$3)),(VLOOKUP('19.02'!W82,'19.02'!$AO$4:$AQ$55,2,FALSE))*IF('19.02'!$AK82="是",'19.02'!$BB$4,'19.02'!$BB$3))</f>
        <v>0</v>
      </c>
      <c r="P82" s="4">
        <f>IF(ISNUMBER(SEARCH("营",'19.02'!X82)),(-$Y82+50*IF('19.02'!$AK82="是",'19.02'!$BB$4,'19.02'!$BB$3)),(VLOOKUP('19.02'!X82,'19.02'!$AO$4:$AQ$55,2,FALSE))*IF('19.02'!$AK82="是",'19.02'!$BB$4,'19.02'!$BB$3))</f>
        <v>0</v>
      </c>
      <c r="Q82" s="4">
        <f>IF(ISNUMBER(SEARCH("营",'19.02'!Y82)),(-$Y82+50*IF('19.02'!$AK82="是",'19.02'!$BB$4,'19.02'!$BB$3)),(VLOOKUP('19.02'!Y82,'19.02'!$AO$4:$AQ$55,2,FALSE))*IF('19.02'!$AK82="是",'19.02'!$BB$4,'19.02'!$BB$3))</f>
        <v>0</v>
      </c>
      <c r="R82" s="4">
        <f>IF(ISNUMBER(SEARCH("营",'19.02'!Z82)),(-$Y82+50*IF('19.02'!$AK82="是",'19.02'!$BB$4,'19.02'!$BB$3)),(VLOOKUP('19.02'!Z82,'19.02'!$AO$4:$AQ$55,2,FALSE))*IF('19.02'!$AK82="是",'19.02'!$BB$4,'19.02'!$BB$3))</f>
        <v>0</v>
      </c>
      <c r="S82" s="4">
        <f>IF(ISNUMBER(SEARCH("营",'19.02'!AA82)),(-$Y82+50*IF('19.02'!$AK82="是",'19.02'!$BB$4,'19.02'!$BB$3)),(VLOOKUP('19.02'!AA82,'19.02'!$AO$4:$AQ$55,2,FALSE))*IF('19.02'!$AK82="是",'19.02'!$BB$4,'19.02'!$BB$3))</f>
        <v>0</v>
      </c>
      <c r="T82" s="4">
        <f>IF(ISNUMBER(SEARCH("营",'19.02'!AB82)),(-$Y82+50*IF('19.02'!$AK82="是",'19.02'!$BB$4,'19.02'!$BB$3)),(VLOOKUP('19.02'!AB82,'19.02'!$AO$4:$AQ$55,2,FALSE))*IF('19.02'!$AK82="是",'19.02'!$BB$4,'19.02'!$BB$3))</f>
        <v>0</v>
      </c>
      <c r="U82" s="4">
        <f>IF(ISNUMBER(SEARCH("营",'19.02'!AC82)),(-$Y82+50*IF('19.02'!$AK82="是",'19.02'!$BB$4,'19.02'!$BB$3)),(VLOOKUP('19.02'!AC82,'19.02'!$AO$4:$AQ$55,2,FALSE))*IF('19.02'!$AK82="是",'19.02'!$BB$4,'19.02'!$BB$3))</f>
        <v>0</v>
      </c>
      <c r="V82" s="4">
        <f>IF(ISNUMBER(SEARCH("营",'19.02'!AD82)),(-$Y82+50*IF('19.02'!$AK82="是",'19.02'!$BB$4,'19.02'!$BB$3)),(VLOOKUP('19.02'!AD82,'19.02'!$AO$4:$AQ$55,2,FALSE))*IF('19.02'!$AK82="是",'19.02'!$BB$4,'19.02'!$BB$3))</f>
        <v>0</v>
      </c>
      <c r="W82" s="4">
        <f>IF(ISNUMBER(SEARCH("营",'19.02'!AE82)),(-$Y82+50*IF('19.02'!$AK82="是",'19.02'!$BB$4,'19.02'!$BB$3)),(VLOOKUP('19.02'!AE82,'19.02'!$AO$4:$AQ$55,2,FALSE))*IF('19.02'!$AK82="是",'19.02'!$BB$4,'19.02'!$BB$3))</f>
        <v>0</v>
      </c>
      <c r="X82" s="4">
        <f>IF(ISNUMBER(SEARCH("营",'19.02'!AF82)),(-$Y82+50*IF('19.02'!$AK82="是",'19.02'!$BB$4,'19.02'!$BB$3)),(VLOOKUP('19.02'!AF82,'19.02'!$AO$4:$AQ$55,2,FALSE))*IF('19.02'!$AK82="是",'19.02'!$BB$4,'19.02'!$BB$3))</f>
        <v>0</v>
      </c>
      <c r="Y82" s="76">
        <v>100</v>
      </c>
      <c r="Z82" s="85">
        <v>45808</v>
      </c>
    </row>
    <row r="83" spans="1:26">
      <c r="A83" s="4">
        <f>IF(ISNUMBER(SEARCH("营",'19.02'!I83)),(-$Y83+50*IF('19.02'!$AK83="是",'19.02'!$BB$4,'19.02'!$BB$3)),(VLOOKUP('19.02'!I83,'19.02'!$AO$4:$AQ$55,2,FALSE))*IF('19.02'!$AK83="是",'19.02'!$BB$4,'19.02'!$BB$3))</f>
        <v>0</v>
      </c>
      <c r="B83" s="4">
        <f>IF(ISNUMBER(SEARCH("营",'19.02'!J83)),(-$Y83+50*IF('19.02'!$AK83="是",'19.02'!$BB$4,'19.02'!$BB$3)),(VLOOKUP('19.02'!J83,'19.02'!$AO$4:$AQ$55,2,FALSE))*IF('19.02'!$AK83="是",'19.02'!$BB$4,'19.02'!$BB$3))</f>
        <v>0</v>
      </c>
      <c r="C83" s="4">
        <f>IF(ISNUMBER(SEARCH("营",'19.02'!K83)),(-$Y83+50*IF('19.02'!$AK83="是",'19.02'!$BB$4,'19.02'!$BB$3)),(VLOOKUP('19.02'!K83,'19.02'!$AO$4:$AQ$55,2,FALSE))*IF('19.02'!$AK83="是",'19.02'!$BB$4,'19.02'!$BB$3))</f>
        <v>0</v>
      </c>
      <c r="D83" s="4">
        <f>IF(ISNUMBER(SEARCH("营",'19.02'!L83)),(-$Y83+50*IF('19.02'!$AK83="是",'19.02'!$BB$4,'19.02'!$BB$3)),(VLOOKUP('19.02'!L83,'19.02'!$AO$4:$AQ$55,2,FALSE))*IF('19.02'!$AK83="是",'19.02'!$BB$4,'19.02'!$BB$3))</f>
        <v>0</v>
      </c>
      <c r="E83" s="4">
        <f>IF(ISNUMBER(SEARCH("营",'19.02'!M83)),(-$Y83+50*IF('19.02'!$AK83="是",'19.02'!$BB$4,'19.02'!$BB$3)),(VLOOKUP('19.02'!M83,'19.02'!$AO$4:$AQ$55,2,FALSE))*IF('19.02'!$AK83="是",'19.02'!$BB$4,'19.02'!$BB$3))</f>
        <v>0</v>
      </c>
      <c r="F83" s="4">
        <f>IF(ISNUMBER(SEARCH("营",'19.02'!N83)),(-$Y83+50*IF('19.02'!$AK83="是",'19.02'!$BB$4,'19.02'!$BB$3)),(VLOOKUP('19.02'!N83,'19.02'!$AO$4:$AQ$55,2,FALSE))*IF('19.02'!$AK83="是",'19.02'!$BB$4,'19.02'!$BB$3))</f>
        <v>0</v>
      </c>
      <c r="G83" s="4">
        <f>IF(ISNUMBER(SEARCH("营",'19.02'!O83)),(-$Y83+50*IF('19.02'!$AK83="是",'19.02'!$BB$4,'19.02'!$BB$3)),(VLOOKUP('19.02'!O83,'19.02'!$AO$4:$AQ$55,2,FALSE))*IF('19.02'!$AK83="是",'19.02'!$BB$4,'19.02'!$BB$3))</f>
        <v>0</v>
      </c>
      <c r="H83" s="4">
        <f>IF(ISNUMBER(SEARCH("营",'19.02'!P83)),(-$Y83+50*IF('19.02'!$AK83="是",'19.02'!$BB$4,'19.02'!$BB$3)),(VLOOKUP('19.02'!P83,'19.02'!$AO$4:$AQ$55,2,FALSE))*IF('19.02'!$AK83="是",'19.02'!$BB$4,'19.02'!$BB$3))</f>
        <v>0</v>
      </c>
      <c r="I83" s="4">
        <f>IF(ISNUMBER(SEARCH("营",'19.02'!Q83)),(-$Y83+50*IF('19.02'!$AK83="是",'19.02'!$BB$4,'19.02'!$BB$3)),(VLOOKUP('19.02'!Q83,'19.02'!$AO$4:$AQ$55,2,FALSE))*IF('19.02'!$AK83="是",'19.02'!$BB$4,'19.02'!$BB$3))</f>
        <v>0</v>
      </c>
      <c r="J83" s="4">
        <f>IF(ISNUMBER(SEARCH("营",'19.02'!R83)),(-$Y83+50*IF('19.02'!$AK83="是",'19.02'!$BB$4,'19.02'!$BB$3)),(VLOOKUP('19.02'!R83,'19.02'!$AO$4:$AQ$55,2,FALSE))*IF('19.02'!$AK83="是",'19.02'!$BB$4,'19.02'!$BB$3))</f>
        <v>0</v>
      </c>
      <c r="K83" s="4">
        <f>IF(ISNUMBER(SEARCH("营",'19.02'!S83)),(-$Y83+50*IF('19.02'!$AK83="是",'19.02'!$BB$4,'19.02'!$BB$3)),(VLOOKUP('19.02'!S83,'19.02'!$AO$4:$AQ$55,2,FALSE))*IF('19.02'!$AK83="是",'19.02'!$BB$4,'19.02'!$BB$3))</f>
        <v>0</v>
      </c>
      <c r="L83" s="4">
        <f>IF(ISNUMBER(SEARCH("营",'19.02'!T83)),(-$Y83+50*IF('19.02'!$AK83="是",'19.02'!$BB$4,'19.02'!$BB$3)),(VLOOKUP('19.02'!T83,'19.02'!$AO$4:$AQ$55,2,FALSE))*IF('19.02'!$AK83="是",'19.02'!$BB$4,'19.02'!$BB$3))</f>
        <v>0</v>
      </c>
      <c r="M83" s="4">
        <f>IF(ISNUMBER(SEARCH("营",'19.02'!U83)),(-$Y83+50*IF('19.02'!$AK83="是",'19.02'!$BB$4,'19.02'!$BB$3)),(VLOOKUP('19.02'!U83,'19.02'!$AO$4:$AQ$55,2,FALSE))*IF('19.02'!$AK83="是",'19.02'!$BB$4,'19.02'!$BB$3))</f>
        <v>0</v>
      </c>
      <c r="N83" s="4">
        <f>IF(ISNUMBER(SEARCH("营",'19.02'!V83)),(-$Y83+50*IF('19.02'!$AK83="是",'19.02'!$BB$4,'19.02'!$BB$3)),(VLOOKUP('19.02'!V83,'19.02'!$AO$4:$AQ$55,2,FALSE))*IF('19.02'!$AK83="是",'19.02'!$BB$4,'19.02'!$BB$3))</f>
        <v>0</v>
      </c>
      <c r="O83" s="4">
        <f>IF(ISNUMBER(SEARCH("营",'19.02'!W83)),(-$Y83+50*IF('19.02'!$AK83="是",'19.02'!$BB$4,'19.02'!$BB$3)),(VLOOKUP('19.02'!W83,'19.02'!$AO$4:$AQ$55,2,FALSE))*IF('19.02'!$AK83="是",'19.02'!$BB$4,'19.02'!$BB$3))</f>
        <v>0</v>
      </c>
      <c r="P83" s="4">
        <f>IF(ISNUMBER(SEARCH("营",'19.02'!X83)),(-$Y83+50*IF('19.02'!$AK83="是",'19.02'!$BB$4,'19.02'!$BB$3)),(VLOOKUP('19.02'!X83,'19.02'!$AO$4:$AQ$55,2,FALSE))*IF('19.02'!$AK83="是",'19.02'!$BB$4,'19.02'!$BB$3))</f>
        <v>0</v>
      </c>
      <c r="Q83" s="4">
        <f>IF(ISNUMBER(SEARCH("营",'19.02'!Y83)),(-$Y83+50*IF('19.02'!$AK83="是",'19.02'!$BB$4,'19.02'!$BB$3)),(VLOOKUP('19.02'!Y83,'19.02'!$AO$4:$AQ$55,2,FALSE))*IF('19.02'!$AK83="是",'19.02'!$BB$4,'19.02'!$BB$3))</f>
        <v>0</v>
      </c>
      <c r="R83" s="4">
        <f>IF(ISNUMBER(SEARCH("营",'19.02'!Z83)),(-$Y83+50*IF('19.02'!$AK83="是",'19.02'!$BB$4,'19.02'!$BB$3)),(VLOOKUP('19.02'!Z83,'19.02'!$AO$4:$AQ$55,2,FALSE))*IF('19.02'!$AK83="是",'19.02'!$BB$4,'19.02'!$BB$3))</f>
        <v>0</v>
      </c>
      <c r="S83" s="4">
        <f>IF(ISNUMBER(SEARCH("营",'19.02'!AA83)),(-$Y83+50*IF('19.02'!$AK83="是",'19.02'!$BB$4,'19.02'!$BB$3)),(VLOOKUP('19.02'!AA83,'19.02'!$AO$4:$AQ$55,2,FALSE))*IF('19.02'!$AK83="是",'19.02'!$BB$4,'19.02'!$BB$3))</f>
        <v>0</v>
      </c>
      <c r="T83" s="4">
        <f>IF(ISNUMBER(SEARCH("营",'19.02'!AB83)),(-$Y83+50*IF('19.02'!$AK83="是",'19.02'!$BB$4,'19.02'!$BB$3)),(VLOOKUP('19.02'!AB83,'19.02'!$AO$4:$AQ$55,2,FALSE))*IF('19.02'!$AK83="是",'19.02'!$BB$4,'19.02'!$BB$3))</f>
        <v>0</v>
      </c>
      <c r="U83" s="4">
        <f>IF(ISNUMBER(SEARCH("营",'19.02'!AC83)),(-$Y83+50*IF('19.02'!$AK83="是",'19.02'!$BB$4,'19.02'!$BB$3)),(VLOOKUP('19.02'!AC83,'19.02'!$AO$4:$AQ$55,2,FALSE))*IF('19.02'!$AK83="是",'19.02'!$BB$4,'19.02'!$BB$3))</f>
        <v>0</v>
      </c>
      <c r="V83" s="4">
        <f>IF(ISNUMBER(SEARCH("营",'19.02'!AD83)),(-$Y83+50*IF('19.02'!$AK83="是",'19.02'!$BB$4,'19.02'!$BB$3)),(VLOOKUP('19.02'!AD83,'19.02'!$AO$4:$AQ$55,2,FALSE))*IF('19.02'!$AK83="是",'19.02'!$BB$4,'19.02'!$BB$3))</f>
        <v>0</v>
      </c>
      <c r="W83" s="4">
        <f>IF(ISNUMBER(SEARCH("营",'19.02'!AE83)),(-$Y83+50*IF('19.02'!$AK83="是",'19.02'!$BB$4,'19.02'!$BB$3)),(VLOOKUP('19.02'!AE83,'19.02'!$AO$4:$AQ$55,2,FALSE))*IF('19.02'!$AK83="是",'19.02'!$BB$4,'19.02'!$BB$3))</f>
        <v>0</v>
      </c>
      <c r="X83" s="4">
        <f>IF(ISNUMBER(SEARCH("营",'19.02'!AF83)),(-$Y83+50*IF('19.02'!$AK83="是",'19.02'!$BB$4,'19.02'!$BB$3)),(VLOOKUP('19.02'!AF83,'19.02'!$AO$4:$AQ$55,2,FALSE))*IF('19.02'!$AK83="是",'19.02'!$BB$4,'19.02'!$BB$3))</f>
        <v>0</v>
      </c>
      <c r="Y83" s="76">
        <v>100</v>
      </c>
      <c r="Z83" s="85">
        <v>45809</v>
      </c>
    </row>
    <row r="84" spans="1:26">
      <c r="A84" s="4">
        <f>IF(ISNUMBER(SEARCH("营",'19.02'!I84)),(-$Y84+50*IF('19.02'!$AK84="是",'19.02'!$BB$4,'19.02'!$BB$3)),(VLOOKUP('19.02'!I84,'19.02'!$AO$4:$AQ$55,2,FALSE))*IF('19.02'!$AK84="是",'19.02'!$BB$4,'19.02'!$BB$3))</f>
        <v>0</v>
      </c>
      <c r="B84" s="4">
        <f>IF(ISNUMBER(SEARCH("营",'19.02'!J84)),(-$Y84+50*IF('19.02'!$AK84="是",'19.02'!$BB$4,'19.02'!$BB$3)),(VLOOKUP('19.02'!J84,'19.02'!$AO$4:$AQ$55,2,FALSE))*IF('19.02'!$AK84="是",'19.02'!$BB$4,'19.02'!$BB$3))</f>
        <v>0</v>
      </c>
      <c r="C84" s="4">
        <f>IF(ISNUMBER(SEARCH("营",'19.02'!K84)),(-$Y84+50*IF('19.02'!$AK84="是",'19.02'!$BB$4,'19.02'!$BB$3)),(VLOOKUP('19.02'!K84,'19.02'!$AO$4:$AQ$55,2,FALSE))*IF('19.02'!$AK84="是",'19.02'!$BB$4,'19.02'!$BB$3))</f>
        <v>0</v>
      </c>
      <c r="D84" s="4">
        <f>IF(ISNUMBER(SEARCH("营",'19.02'!L84)),(-$Y84+50*IF('19.02'!$AK84="是",'19.02'!$BB$4,'19.02'!$BB$3)),(VLOOKUP('19.02'!L84,'19.02'!$AO$4:$AQ$55,2,FALSE))*IF('19.02'!$AK84="是",'19.02'!$BB$4,'19.02'!$BB$3))</f>
        <v>0</v>
      </c>
      <c r="E84" s="4">
        <f>IF(ISNUMBER(SEARCH("营",'19.02'!M84)),(-$Y84+50*IF('19.02'!$AK84="是",'19.02'!$BB$4,'19.02'!$BB$3)),(VLOOKUP('19.02'!M84,'19.02'!$AO$4:$AQ$55,2,FALSE))*IF('19.02'!$AK84="是",'19.02'!$BB$4,'19.02'!$BB$3))</f>
        <v>0</v>
      </c>
      <c r="F84" s="4">
        <f>IF(ISNUMBER(SEARCH("营",'19.02'!N84)),(-$Y84+50*IF('19.02'!$AK84="是",'19.02'!$BB$4,'19.02'!$BB$3)),(VLOOKUP('19.02'!N84,'19.02'!$AO$4:$AQ$55,2,FALSE))*IF('19.02'!$AK84="是",'19.02'!$BB$4,'19.02'!$BB$3))</f>
        <v>0</v>
      </c>
      <c r="G84" s="4">
        <f>IF(ISNUMBER(SEARCH("营",'19.02'!O84)),(-$Y84+50*IF('19.02'!$AK84="是",'19.02'!$BB$4,'19.02'!$BB$3)),(VLOOKUP('19.02'!O84,'19.02'!$AO$4:$AQ$55,2,FALSE))*IF('19.02'!$AK84="是",'19.02'!$BB$4,'19.02'!$BB$3))</f>
        <v>0</v>
      </c>
      <c r="H84" s="4">
        <f>IF(ISNUMBER(SEARCH("营",'19.02'!P84)),(-$Y84+50*IF('19.02'!$AK84="是",'19.02'!$BB$4,'19.02'!$BB$3)),(VLOOKUP('19.02'!P84,'19.02'!$AO$4:$AQ$55,2,FALSE))*IF('19.02'!$AK84="是",'19.02'!$BB$4,'19.02'!$BB$3))</f>
        <v>0</v>
      </c>
      <c r="I84" s="4">
        <f>IF(ISNUMBER(SEARCH("营",'19.02'!Q84)),(-$Y84+50*IF('19.02'!$AK84="是",'19.02'!$BB$4,'19.02'!$BB$3)),(VLOOKUP('19.02'!Q84,'19.02'!$AO$4:$AQ$55,2,FALSE))*IF('19.02'!$AK84="是",'19.02'!$BB$4,'19.02'!$BB$3))</f>
        <v>0</v>
      </c>
      <c r="J84" s="4">
        <f>IF(ISNUMBER(SEARCH("营",'19.02'!R84)),(-$Y84+50*IF('19.02'!$AK84="是",'19.02'!$BB$4,'19.02'!$BB$3)),(VLOOKUP('19.02'!R84,'19.02'!$AO$4:$AQ$55,2,FALSE))*IF('19.02'!$AK84="是",'19.02'!$BB$4,'19.02'!$BB$3))</f>
        <v>0</v>
      </c>
      <c r="K84" s="4">
        <f>IF(ISNUMBER(SEARCH("营",'19.02'!S84)),(-$Y84+50*IF('19.02'!$AK84="是",'19.02'!$BB$4,'19.02'!$BB$3)),(VLOOKUP('19.02'!S84,'19.02'!$AO$4:$AQ$55,2,FALSE))*IF('19.02'!$AK84="是",'19.02'!$BB$4,'19.02'!$BB$3))</f>
        <v>0</v>
      </c>
      <c r="L84" s="4">
        <f>IF(ISNUMBER(SEARCH("营",'19.02'!T84)),(-$Y84+50*IF('19.02'!$AK84="是",'19.02'!$BB$4,'19.02'!$BB$3)),(VLOOKUP('19.02'!T84,'19.02'!$AO$4:$AQ$55,2,FALSE))*IF('19.02'!$AK84="是",'19.02'!$BB$4,'19.02'!$BB$3))</f>
        <v>0</v>
      </c>
      <c r="M84" s="4">
        <f>IF(ISNUMBER(SEARCH("营",'19.02'!U84)),(-$Y84+50*IF('19.02'!$AK84="是",'19.02'!$BB$4,'19.02'!$BB$3)),(VLOOKUP('19.02'!U84,'19.02'!$AO$4:$AQ$55,2,FALSE))*IF('19.02'!$AK84="是",'19.02'!$BB$4,'19.02'!$BB$3))</f>
        <v>0</v>
      </c>
      <c r="N84" s="4">
        <f>IF(ISNUMBER(SEARCH("营",'19.02'!V84)),(-$Y84+50*IF('19.02'!$AK84="是",'19.02'!$BB$4,'19.02'!$BB$3)),(VLOOKUP('19.02'!V84,'19.02'!$AO$4:$AQ$55,2,FALSE))*IF('19.02'!$AK84="是",'19.02'!$BB$4,'19.02'!$BB$3))</f>
        <v>0</v>
      </c>
      <c r="O84" s="4">
        <f>IF(ISNUMBER(SEARCH("营",'19.02'!W84)),(-$Y84+50*IF('19.02'!$AK84="是",'19.02'!$BB$4,'19.02'!$BB$3)),(VLOOKUP('19.02'!W84,'19.02'!$AO$4:$AQ$55,2,FALSE))*IF('19.02'!$AK84="是",'19.02'!$BB$4,'19.02'!$BB$3))</f>
        <v>0</v>
      </c>
      <c r="P84" s="4">
        <f>IF(ISNUMBER(SEARCH("营",'19.02'!X84)),(-$Y84+50*IF('19.02'!$AK84="是",'19.02'!$BB$4,'19.02'!$BB$3)),(VLOOKUP('19.02'!X84,'19.02'!$AO$4:$AQ$55,2,FALSE))*IF('19.02'!$AK84="是",'19.02'!$BB$4,'19.02'!$BB$3))</f>
        <v>0</v>
      </c>
      <c r="Q84" s="4">
        <f>IF(ISNUMBER(SEARCH("营",'19.02'!Y84)),(-$Y84+50*IF('19.02'!$AK84="是",'19.02'!$BB$4,'19.02'!$BB$3)),(VLOOKUP('19.02'!Y84,'19.02'!$AO$4:$AQ$55,2,FALSE))*IF('19.02'!$AK84="是",'19.02'!$BB$4,'19.02'!$BB$3))</f>
        <v>0</v>
      </c>
      <c r="R84" s="4">
        <f>IF(ISNUMBER(SEARCH("营",'19.02'!Z84)),(-$Y84+50*IF('19.02'!$AK84="是",'19.02'!$BB$4,'19.02'!$BB$3)),(VLOOKUP('19.02'!Z84,'19.02'!$AO$4:$AQ$55,2,FALSE))*IF('19.02'!$AK84="是",'19.02'!$BB$4,'19.02'!$BB$3))</f>
        <v>0</v>
      </c>
      <c r="S84" s="4">
        <f>IF(ISNUMBER(SEARCH("营",'19.02'!AA84)),(-$Y84+50*IF('19.02'!$AK84="是",'19.02'!$BB$4,'19.02'!$BB$3)),(VLOOKUP('19.02'!AA84,'19.02'!$AO$4:$AQ$55,2,FALSE))*IF('19.02'!$AK84="是",'19.02'!$BB$4,'19.02'!$BB$3))</f>
        <v>0</v>
      </c>
      <c r="T84" s="4">
        <f>IF(ISNUMBER(SEARCH("营",'19.02'!AB84)),(-$Y84+50*IF('19.02'!$AK84="是",'19.02'!$BB$4,'19.02'!$BB$3)),(VLOOKUP('19.02'!AB84,'19.02'!$AO$4:$AQ$55,2,FALSE))*IF('19.02'!$AK84="是",'19.02'!$BB$4,'19.02'!$BB$3))</f>
        <v>0</v>
      </c>
      <c r="U84" s="4">
        <f>IF(ISNUMBER(SEARCH("营",'19.02'!AC84)),(-$Y84+50*IF('19.02'!$AK84="是",'19.02'!$BB$4,'19.02'!$BB$3)),(VLOOKUP('19.02'!AC84,'19.02'!$AO$4:$AQ$55,2,FALSE))*IF('19.02'!$AK84="是",'19.02'!$BB$4,'19.02'!$BB$3))</f>
        <v>0</v>
      </c>
      <c r="V84" s="4">
        <f>IF(ISNUMBER(SEARCH("营",'19.02'!AD84)),(-$Y84+50*IF('19.02'!$AK84="是",'19.02'!$BB$4,'19.02'!$BB$3)),(VLOOKUP('19.02'!AD84,'19.02'!$AO$4:$AQ$55,2,FALSE))*IF('19.02'!$AK84="是",'19.02'!$BB$4,'19.02'!$BB$3))</f>
        <v>0</v>
      </c>
      <c r="W84" s="4">
        <f>IF(ISNUMBER(SEARCH("营",'19.02'!AE84)),(-$Y84+50*IF('19.02'!$AK84="是",'19.02'!$BB$4,'19.02'!$BB$3)),(VLOOKUP('19.02'!AE84,'19.02'!$AO$4:$AQ$55,2,FALSE))*IF('19.02'!$AK84="是",'19.02'!$BB$4,'19.02'!$BB$3))</f>
        <v>0</v>
      </c>
      <c r="X84" s="4">
        <f>IF(ISNUMBER(SEARCH("营",'19.02'!AF84)),(-$Y84+50*IF('19.02'!$AK84="是",'19.02'!$BB$4,'19.02'!$BB$3)),(VLOOKUP('19.02'!AF84,'19.02'!$AO$4:$AQ$55,2,FALSE))*IF('19.02'!$AK84="是",'19.02'!$BB$4,'19.02'!$BB$3))</f>
        <v>0</v>
      </c>
      <c r="Y84" s="76">
        <v>100</v>
      </c>
      <c r="Z84" s="85">
        <v>45810</v>
      </c>
    </row>
    <row r="85" spans="1:26">
      <c r="A85" s="4">
        <f>IF(ISNUMBER(SEARCH("营",'19.02'!I85)),(-$Y85+50*IF('19.02'!$AK85="是",'19.02'!$BB$4,'19.02'!$BB$3)),(VLOOKUP('19.02'!I85,'19.02'!$AO$4:$AQ$55,2,FALSE))*IF('19.02'!$AK85="是",'19.02'!$BB$4,'19.02'!$BB$3))</f>
        <v>0</v>
      </c>
      <c r="B85" s="4">
        <f>IF(ISNUMBER(SEARCH("营",'19.02'!J85)),(-$Y85+50*IF('19.02'!$AK85="是",'19.02'!$BB$4,'19.02'!$BB$3)),(VLOOKUP('19.02'!J85,'19.02'!$AO$4:$AQ$55,2,FALSE))*IF('19.02'!$AK85="是",'19.02'!$BB$4,'19.02'!$BB$3))</f>
        <v>0</v>
      </c>
      <c r="C85" s="4">
        <f>IF(ISNUMBER(SEARCH("营",'19.02'!K85)),(-$Y85+50*IF('19.02'!$AK85="是",'19.02'!$BB$4,'19.02'!$BB$3)),(VLOOKUP('19.02'!K85,'19.02'!$AO$4:$AQ$55,2,FALSE))*IF('19.02'!$AK85="是",'19.02'!$BB$4,'19.02'!$BB$3))</f>
        <v>0</v>
      </c>
      <c r="D85" s="4">
        <f>IF(ISNUMBER(SEARCH("营",'19.02'!L85)),(-$Y85+50*IF('19.02'!$AK85="是",'19.02'!$BB$4,'19.02'!$BB$3)),(VLOOKUP('19.02'!L85,'19.02'!$AO$4:$AQ$55,2,FALSE))*IF('19.02'!$AK85="是",'19.02'!$BB$4,'19.02'!$BB$3))</f>
        <v>0</v>
      </c>
      <c r="E85" s="4">
        <f>IF(ISNUMBER(SEARCH("营",'19.02'!M85)),(-$Y85+50*IF('19.02'!$AK85="是",'19.02'!$BB$4,'19.02'!$BB$3)),(VLOOKUP('19.02'!M85,'19.02'!$AO$4:$AQ$55,2,FALSE))*IF('19.02'!$AK85="是",'19.02'!$BB$4,'19.02'!$BB$3))</f>
        <v>0</v>
      </c>
      <c r="F85" s="4">
        <f>IF(ISNUMBER(SEARCH("营",'19.02'!N85)),(-$Y85+50*IF('19.02'!$AK85="是",'19.02'!$BB$4,'19.02'!$BB$3)),(VLOOKUP('19.02'!N85,'19.02'!$AO$4:$AQ$55,2,FALSE))*IF('19.02'!$AK85="是",'19.02'!$BB$4,'19.02'!$BB$3))</f>
        <v>0</v>
      </c>
      <c r="G85" s="4">
        <f>IF(ISNUMBER(SEARCH("营",'19.02'!O85)),(-$Y85+50*IF('19.02'!$AK85="是",'19.02'!$BB$4,'19.02'!$BB$3)),(VLOOKUP('19.02'!O85,'19.02'!$AO$4:$AQ$55,2,FALSE))*IF('19.02'!$AK85="是",'19.02'!$BB$4,'19.02'!$BB$3))</f>
        <v>0</v>
      </c>
      <c r="H85" s="4">
        <f>IF(ISNUMBER(SEARCH("营",'19.02'!P85)),(-$Y85+50*IF('19.02'!$AK85="是",'19.02'!$BB$4,'19.02'!$BB$3)),(VLOOKUP('19.02'!P85,'19.02'!$AO$4:$AQ$55,2,FALSE))*IF('19.02'!$AK85="是",'19.02'!$BB$4,'19.02'!$BB$3))</f>
        <v>0</v>
      </c>
      <c r="I85" s="4">
        <f>IF(ISNUMBER(SEARCH("营",'19.02'!Q85)),(-$Y85+50*IF('19.02'!$AK85="是",'19.02'!$BB$4,'19.02'!$BB$3)),(VLOOKUP('19.02'!Q85,'19.02'!$AO$4:$AQ$55,2,FALSE))*IF('19.02'!$AK85="是",'19.02'!$BB$4,'19.02'!$BB$3))</f>
        <v>0</v>
      </c>
      <c r="J85" s="4">
        <f>IF(ISNUMBER(SEARCH("营",'19.02'!R85)),(-$Y85+50*IF('19.02'!$AK85="是",'19.02'!$BB$4,'19.02'!$BB$3)),(VLOOKUP('19.02'!R85,'19.02'!$AO$4:$AQ$55,2,FALSE))*IF('19.02'!$AK85="是",'19.02'!$BB$4,'19.02'!$BB$3))</f>
        <v>0</v>
      </c>
      <c r="K85" s="4">
        <f>IF(ISNUMBER(SEARCH("营",'19.02'!S85)),(-$Y85+50*IF('19.02'!$AK85="是",'19.02'!$BB$4,'19.02'!$BB$3)),(VLOOKUP('19.02'!S85,'19.02'!$AO$4:$AQ$55,2,FALSE))*IF('19.02'!$AK85="是",'19.02'!$BB$4,'19.02'!$BB$3))</f>
        <v>0</v>
      </c>
      <c r="L85" s="4">
        <f>IF(ISNUMBER(SEARCH("营",'19.02'!T85)),(-$Y85+50*IF('19.02'!$AK85="是",'19.02'!$BB$4,'19.02'!$BB$3)),(VLOOKUP('19.02'!T85,'19.02'!$AO$4:$AQ$55,2,FALSE))*IF('19.02'!$AK85="是",'19.02'!$BB$4,'19.02'!$BB$3))</f>
        <v>0</v>
      </c>
      <c r="M85" s="4">
        <f>IF(ISNUMBER(SEARCH("营",'19.02'!U85)),(-$Y85+50*IF('19.02'!$AK85="是",'19.02'!$BB$4,'19.02'!$BB$3)),(VLOOKUP('19.02'!U85,'19.02'!$AO$4:$AQ$55,2,FALSE))*IF('19.02'!$AK85="是",'19.02'!$BB$4,'19.02'!$BB$3))</f>
        <v>0</v>
      </c>
      <c r="N85" s="4">
        <f>IF(ISNUMBER(SEARCH("营",'19.02'!V85)),(-$Y85+50*IF('19.02'!$AK85="是",'19.02'!$BB$4,'19.02'!$BB$3)),(VLOOKUP('19.02'!V85,'19.02'!$AO$4:$AQ$55,2,FALSE))*IF('19.02'!$AK85="是",'19.02'!$BB$4,'19.02'!$BB$3))</f>
        <v>0</v>
      </c>
      <c r="O85" s="4">
        <f>IF(ISNUMBER(SEARCH("营",'19.02'!W85)),(-$Y85+50*IF('19.02'!$AK85="是",'19.02'!$BB$4,'19.02'!$BB$3)),(VLOOKUP('19.02'!W85,'19.02'!$AO$4:$AQ$55,2,FALSE))*IF('19.02'!$AK85="是",'19.02'!$BB$4,'19.02'!$BB$3))</f>
        <v>0</v>
      </c>
      <c r="P85" s="4">
        <f>IF(ISNUMBER(SEARCH("营",'19.02'!X85)),(-$Y85+50*IF('19.02'!$AK85="是",'19.02'!$BB$4,'19.02'!$BB$3)),(VLOOKUP('19.02'!X85,'19.02'!$AO$4:$AQ$55,2,FALSE))*IF('19.02'!$AK85="是",'19.02'!$BB$4,'19.02'!$BB$3))</f>
        <v>0</v>
      </c>
      <c r="Q85" s="4">
        <f>IF(ISNUMBER(SEARCH("营",'19.02'!Y85)),(-$Y85+50*IF('19.02'!$AK85="是",'19.02'!$BB$4,'19.02'!$BB$3)),(VLOOKUP('19.02'!Y85,'19.02'!$AO$4:$AQ$55,2,FALSE))*IF('19.02'!$AK85="是",'19.02'!$BB$4,'19.02'!$BB$3))</f>
        <v>0</v>
      </c>
      <c r="R85" s="4">
        <f>IF(ISNUMBER(SEARCH("营",'19.02'!Z85)),(-$Y85+50*IF('19.02'!$AK85="是",'19.02'!$BB$4,'19.02'!$BB$3)),(VLOOKUP('19.02'!Z85,'19.02'!$AO$4:$AQ$55,2,FALSE))*IF('19.02'!$AK85="是",'19.02'!$BB$4,'19.02'!$BB$3))</f>
        <v>0</v>
      </c>
      <c r="S85" s="4">
        <f>IF(ISNUMBER(SEARCH("营",'19.02'!AA85)),(-$Y85+50*IF('19.02'!$AK85="是",'19.02'!$BB$4,'19.02'!$BB$3)),(VLOOKUP('19.02'!AA85,'19.02'!$AO$4:$AQ$55,2,FALSE))*IF('19.02'!$AK85="是",'19.02'!$BB$4,'19.02'!$BB$3))</f>
        <v>0</v>
      </c>
      <c r="T85" s="4">
        <f>IF(ISNUMBER(SEARCH("营",'19.02'!AB85)),(-$Y85+50*IF('19.02'!$AK85="是",'19.02'!$BB$4,'19.02'!$BB$3)),(VLOOKUP('19.02'!AB85,'19.02'!$AO$4:$AQ$55,2,FALSE))*IF('19.02'!$AK85="是",'19.02'!$BB$4,'19.02'!$BB$3))</f>
        <v>0</v>
      </c>
      <c r="U85" s="4">
        <f>IF(ISNUMBER(SEARCH("营",'19.02'!AC85)),(-$Y85+50*IF('19.02'!$AK85="是",'19.02'!$BB$4,'19.02'!$BB$3)),(VLOOKUP('19.02'!AC85,'19.02'!$AO$4:$AQ$55,2,FALSE))*IF('19.02'!$AK85="是",'19.02'!$BB$4,'19.02'!$BB$3))</f>
        <v>0</v>
      </c>
      <c r="V85" s="4">
        <f>IF(ISNUMBER(SEARCH("营",'19.02'!AD85)),(-$Y85+50*IF('19.02'!$AK85="是",'19.02'!$BB$4,'19.02'!$BB$3)),(VLOOKUP('19.02'!AD85,'19.02'!$AO$4:$AQ$55,2,FALSE))*IF('19.02'!$AK85="是",'19.02'!$BB$4,'19.02'!$BB$3))</f>
        <v>0</v>
      </c>
      <c r="W85" s="4">
        <f>IF(ISNUMBER(SEARCH("营",'19.02'!AE85)),(-$Y85+50*IF('19.02'!$AK85="是",'19.02'!$BB$4,'19.02'!$BB$3)),(VLOOKUP('19.02'!AE85,'19.02'!$AO$4:$AQ$55,2,FALSE))*IF('19.02'!$AK85="是",'19.02'!$BB$4,'19.02'!$BB$3))</f>
        <v>0</v>
      </c>
      <c r="X85" s="4">
        <f>IF(ISNUMBER(SEARCH("营",'19.02'!AF85)),(-$Y85+50*IF('19.02'!$AK85="是",'19.02'!$BB$4,'19.02'!$BB$3)),(VLOOKUP('19.02'!AF85,'19.02'!$AO$4:$AQ$55,2,FALSE))*IF('19.02'!$AK85="是",'19.02'!$BB$4,'19.02'!$BB$3))</f>
        <v>0</v>
      </c>
      <c r="Y85" s="76">
        <v>100</v>
      </c>
      <c r="Z85" s="85">
        <v>45811</v>
      </c>
    </row>
    <row r="86" spans="1:26">
      <c r="A86" s="4">
        <f>IF(ISNUMBER(SEARCH("营",'19.02'!I86)),(-$Y86+50*IF('19.02'!$AK86="是",'19.02'!$BB$4,'19.02'!$BB$3)),(VLOOKUP('19.02'!I86,'19.02'!$AO$4:$AQ$55,2,FALSE))*IF('19.02'!$AK86="是",'19.02'!$BB$4,'19.02'!$BB$3))</f>
        <v>0</v>
      </c>
      <c r="B86" s="4">
        <f>IF(ISNUMBER(SEARCH("营",'19.02'!J86)),(-$Y86+50*IF('19.02'!$AK86="是",'19.02'!$BB$4,'19.02'!$BB$3)),(VLOOKUP('19.02'!J86,'19.02'!$AO$4:$AQ$55,2,FALSE))*IF('19.02'!$AK86="是",'19.02'!$BB$4,'19.02'!$BB$3))</f>
        <v>0</v>
      </c>
      <c r="C86" s="4">
        <f>IF(ISNUMBER(SEARCH("营",'19.02'!K86)),(-$Y86+50*IF('19.02'!$AK86="是",'19.02'!$BB$4,'19.02'!$BB$3)),(VLOOKUP('19.02'!K86,'19.02'!$AO$4:$AQ$55,2,FALSE))*IF('19.02'!$AK86="是",'19.02'!$BB$4,'19.02'!$BB$3))</f>
        <v>0</v>
      </c>
      <c r="D86" s="4">
        <f>IF(ISNUMBER(SEARCH("营",'19.02'!L86)),(-$Y86+50*IF('19.02'!$AK86="是",'19.02'!$BB$4,'19.02'!$BB$3)),(VLOOKUP('19.02'!L86,'19.02'!$AO$4:$AQ$55,2,FALSE))*IF('19.02'!$AK86="是",'19.02'!$BB$4,'19.02'!$BB$3))</f>
        <v>0</v>
      </c>
      <c r="E86" s="4">
        <f>IF(ISNUMBER(SEARCH("营",'19.02'!M86)),(-$Y86+50*IF('19.02'!$AK86="是",'19.02'!$BB$4,'19.02'!$BB$3)),(VLOOKUP('19.02'!M86,'19.02'!$AO$4:$AQ$55,2,FALSE))*IF('19.02'!$AK86="是",'19.02'!$BB$4,'19.02'!$BB$3))</f>
        <v>0</v>
      </c>
      <c r="F86" s="4">
        <f>IF(ISNUMBER(SEARCH("营",'19.02'!N86)),(-$Y86+50*IF('19.02'!$AK86="是",'19.02'!$BB$4,'19.02'!$BB$3)),(VLOOKUP('19.02'!N86,'19.02'!$AO$4:$AQ$55,2,FALSE))*IF('19.02'!$AK86="是",'19.02'!$BB$4,'19.02'!$BB$3))</f>
        <v>0</v>
      </c>
      <c r="G86" s="4">
        <f>IF(ISNUMBER(SEARCH("营",'19.02'!O86)),(-$Y86+50*IF('19.02'!$AK86="是",'19.02'!$BB$4,'19.02'!$BB$3)),(VLOOKUP('19.02'!O86,'19.02'!$AO$4:$AQ$55,2,FALSE))*IF('19.02'!$AK86="是",'19.02'!$BB$4,'19.02'!$BB$3))</f>
        <v>0</v>
      </c>
      <c r="H86" s="4">
        <f>IF(ISNUMBER(SEARCH("营",'19.02'!P86)),(-$Y86+50*IF('19.02'!$AK86="是",'19.02'!$BB$4,'19.02'!$BB$3)),(VLOOKUP('19.02'!P86,'19.02'!$AO$4:$AQ$55,2,FALSE))*IF('19.02'!$AK86="是",'19.02'!$BB$4,'19.02'!$BB$3))</f>
        <v>0</v>
      </c>
      <c r="I86" s="4">
        <f>IF(ISNUMBER(SEARCH("营",'19.02'!Q86)),(-$Y86+50*IF('19.02'!$AK86="是",'19.02'!$BB$4,'19.02'!$BB$3)),(VLOOKUP('19.02'!Q86,'19.02'!$AO$4:$AQ$55,2,FALSE))*IF('19.02'!$AK86="是",'19.02'!$BB$4,'19.02'!$BB$3))</f>
        <v>0</v>
      </c>
      <c r="J86" s="4">
        <f>IF(ISNUMBER(SEARCH("营",'19.02'!R86)),(-$Y86+50*IF('19.02'!$AK86="是",'19.02'!$BB$4,'19.02'!$BB$3)),(VLOOKUP('19.02'!R86,'19.02'!$AO$4:$AQ$55,2,FALSE))*IF('19.02'!$AK86="是",'19.02'!$BB$4,'19.02'!$BB$3))</f>
        <v>0</v>
      </c>
      <c r="K86" s="4">
        <f>IF(ISNUMBER(SEARCH("营",'19.02'!S86)),(-$Y86+50*IF('19.02'!$AK86="是",'19.02'!$BB$4,'19.02'!$BB$3)),(VLOOKUP('19.02'!S86,'19.02'!$AO$4:$AQ$55,2,FALSE))*IF('19.02'!$AK86="是",'19.02'!$BB$4,'19.02'!$BB$3))</f>
        <v>0</v>
      </c>
      <c r="L86" s="4">
        <f>IF(ISNUMBER(SEARCH("营",'19.02'!T86)),(-$Y86+50*IF('19.02'!$AK86="是",'19.02'!$BB$4,'19.02'!$BB$3)),(VLOOKUP('19.02'!T86,'19.02'!$AO$4:$AQ$55,2,FALSE))*IF('19.02'!$AK86="是",'19.02'!$BB$4,'19.02'!$BB$3))</f>
        <v>0</v>
      </c>
      <c r="M86" s="4">
        <f>IF(ISNUMBER(SEARCH("营",'19.02'!U86)),(-$Y86+50*IF('19.02'!$AK86="是",'19.02'!$BB$4,'19.02'!$BB$3)),(VLOOKUP('19.02'!U86,'19.02'!$AO$4:$AQ$55,2,FALSE))*IF('19.02'!$AK86="是",'19.02'!$BB$4,'19.02'!$BB$3))</f>
        <v>0</v>
      </c>
      <c r="N86" s="4">
        <f>IF(ISNUMBER(SEARCH("营",'19.02'!V86)),(-$Y86+50*IF('19.02'!$AK86="是",'19.02'!$BB$4,'19.02'!$BB$3)),(VLOOKUP('19.02'!V86,'19.02'!$AO$4:$AQ$55,2,FALSE))*IF('19.02'!$AK86="是",'19.02'!$BB$4,'19.02'!$BB$3))</f>
        <v>0</v>
      </c>
      <c r="O86" s="4">
        <f>IF(ISNUMBER(SEARCH("营",'19.02'!W86)),(-$Y86+50*IF('19.02'!$AK86="是",'19.02'!$BB$4,'19.02'!$BB$3)),(VLOOKUP('19.02'!W86,'19.02'!$AO$4:$AQ$55,2,FALSE))*IF('19.02'!$AK86="是",'19.02'!$BB$4,'19.02'!$BB$3))</f>
        <v>0</v>
      </c>
      <c r="P86" s="4">
        <f>IF(ISNUMBER(SEARCH("营",'19.02'!X86)),(-$Y86+50*IF('19.02'!$AK86="是",'19.02'!$BB$4,'19.02'!$BB$3)),(VLOOKUP('19.02'!X86,'19.02'!$AO$4:$AQ$55,2,FALSE))*IF('19.02'!$AK86="是",'19.02'!$BB$4,'19.02'!$BB$3))</f>
        <v>0</v>
      </c>
      <c r="Q86" s="4">
        <f>IF(ISNUMBER(SEARCH("营",'19.02'!Y86)),(-$Y86+50*IF('19.02'!$AK86="是",'19.02'!$BB$4,'19.02'!$BB$3)),(VLOOKUP('19.02'!Y86,'19.02'!$AO$4:$AQ$55,2,FALSE))*IF('19.02'!$AK86="是",'19.02'!$BB$4,'19.02'!$BB$3))</f>
        <v>0</v>
      </c>
      <c r="R86" s="4">
        <f>IF(ISNUMBER(SEARCH("营",'19.02'!Z86)),(-$Y86+50*IF('19.02'!$AK86="是",'19.02'!$BB$4,'19.02'!$BB$3)),(VLOOKUP('19.02'!Z86,'19.02'!$AO$4:$AQ$55,2,FALSE))*IF('19.02'!$AK86="是",'19.02'!$BB$4,'19.02'!$BB$3))</f>
        <v>0</v>
      </c>
      <c r="S86" s="4">
        <f>IF(ISNUMBER(SEARCH("营",'19.02'!AA86)),(-$Y86+50*IF('19.02'!$AK86="是",'19.02'!$BB$4,'19.02'!$BB$3)),(VLOOKUP('19.02'!AA86,'19.02'!$AO$4:$AQ$55,2,FALSE))*IF('19.02'!$AK86="是",'19.02'!$BB$4,'19.02'!$BB$3))</f>
        <v>0</v>
      </c>
      <c r="T86" s="4">
        <f>IF(ISNUMBER(SEARCH("营",'19.02'!AB86)),(-$Y86+50*IF('19.02'!$AK86="是",'19.02'!$BB$4,'19.02'!$BB$3)),(VLOOKUP('19.02'!AB86,'19.02'!$AO$4:$AQ$55,2,FALSE))*IF('19.02'!$AK86="是",'19.02'!$BB$4,'19.02'!$BB$3))</f>
        <v>0</v>
      </c>
      <c r="U86" s="4">
        <f>IF(ISNUMBER(SEARCH("营",'19.02'!AC86)),(-$Y86+50*IF('19.02'!$AK86="是",'19.02'!$BB$4,'19.02'!$BB$3)),(VLOOKUP('19.02'!AC86,'19.02'!$AO$4:$AQ$55,2,FALSE))*IF('19.02'!$AK86="是",'19.02'!$BB$4,'19.02'!$BB$3))</f>
        <v>0</v>
      </c>
      <c r="V86" s="4">
        <f>IF(ISNUMBER(SEARCH("营",'19.02'!AD86)),(-$Y86+50*IF('19.02'!$AK86="是",'19.02'!$BB$4,'19.02'!$BB$3)),(VLOOKUP('19.02'!AD86,'19.02'!$AO$4:$AQ$55,2,FALSE))*IF('19.02'!$AK86="是",'19.02'!$BB$4,'19.02'!$BB$3))</f>
        <v>0</v>
      </c>
      <c r="W86" s="4">
        <f>IF(ISNUMBER(SEARCH("营",'19.02'!AE86)),(-$Y86+50*IF('19.02'!$AK86="是",'19.02'!$BB$4,'19.02'!$BB$3)),(VLOOKUP('19.02'!AE86,'19.02'!$AO$4:$AQ$55,2,FALSE))*IF('19.02'!$AK86="是",'19.02'!$BB$4,'19.02'!$BB$3))</f>
        <v>0</v>
      </c>
      <c r="X86" s="4">
        <f>IF(ISNUMBER(SEARCH("营",'19.02'!AF86)),(-$Y86+50*IF('19.02'!$AK86="是",'19.02'!$BB$4,'19.02'!$BB$3)),(VLOOKUP('19.02'!AF86,'19.02'!$AO$4:$AQ$55,2,FALSE))*IF('19.02'!$AK86="是",'19.02'!$BB$4,'19.02'!$BB$3))</f>
        <v>0</v>
      </c>
      <c r="Y86" s="76">
        <v>100</v>
      </c>
      <c r="Z86" s="85">
        <v>45812</v>
      </c>
    </row>
    <row r="87" spans="1:26">
      <c r="A87" s="4">
        <f>IF(ISNUMBER(SEARCH("营",'19.02'!I87)),(-$Y87+50*IF('19.02'!$AK87="是",'19.02'!$BB$4,'19.02'!$BB$3)),(VLOOKUP('19.02'!I87,'19.02'!$AO$4:$AQ$55,2,FALSE))*IF('19.02'!$AK87="是",'19.02'!$BB$4,'19.02'!$BB$3))</f>
        <v>0</v>
      </c>
      <c r="B87" s="4">
        <f>IF(ISNUMBER(SEARCH("营",'19.02'!J87)),(-$Y87+50*IF('19.02'!$AK87="是",'19.02'!$BB$4,'19.02'!$BB$3)),(VLOOKUP('19.02'!J87,'19.02'!$AO$4:$AQ$55,2,FALSE))*IF('19.02'!$AK87="是",'19.02'!$BB$4,'19.02'!$BB$3))</f>
        <v>0</v>
      </c>
      <c r="C87" s="4">
        <f>IF(ISNUMBER(SEARCH("营",'19.02'!K87)),(-$Y87+50*IF('19.02'!$AK87="是",'19.02'!$BB$4,'19.02'!$BB$3)),(VLOOKUP('19.02'!K87,'19.02'!$AO$4:$AQ$55,2,FALSE))*IF('19.02'!$AK87="是",'19.02'!$BB$4,'19.02'!$BB$3))</f>
        <v>0</v>
      </c>
      <c r="D87" s="4">
        <f>IF(ISNUMBER(SEARCH("营",'19.02'!L87)),(-$Y87+50*IF('19.02'!$AK87="是",'19.02'!$BB$4,'19.02'!$BB$3)),(VLOOKUP('19.02'!L87,'19.02'!$AO$4:$AQ$55,2,FALSE))*IF('19.02'!$AK87="是",'19.02'!$BB$4,'19.02'!$BB$3))</f>
        <v>0</v>
      </c>
      <c r="E87" s="4">
        <f>IF(ISNUMBER(SEARCH("营",'19.02'!M87)),(-$Y87+50*IF('19.02'!$AK87="是",'19.02'!$BB$4,'19.02'!$BB$3)),(VLOOKUP('19.02'!M87,'19.02'!$AO$4:$AQ$55,2,FALSE))*IF('19.02'!$AK87="是",'19.02'!$BB$4,'19.02'!$BB$3))</f>
        <v>0</v>
      </c>
      <c r="F87" s="4">
        <f>IF(ISNUMBER(SEARCH("营",'19.02'!N87)),(-$Y87+50*IF('19.02'!$AK87="是",'19.02'!$BB$4,'19.02'!$BB$3)),(VLOOKUP('19.02'!N87,'19.02'!$AO$4:$AQ$55,2,FALSE))*IF('19.02'!$AK87="是",'19.02'!$BB$4,'19.02'!$BB$3))</f>
        <v>0</v>
      </c>
      <c r="G87" s="4">
        <f>IF(ISNUMBER(SEARCH("营",'19.02'!O87)),(-$Y87+50*IF('19.02'!$AK87="是",'19.02'!$BB$4,'19.02'!$BB$3)),(VLOOKUP('19.02'!O87,'19.02'!$AO$4:$AQ$55,2,FALSE))*IF('19.02'!$AK87="是",'19.02'!$BB$4,'19.02'!$BB$3))</f>
        <v>0</v>
      </c>
      <c r="H87" s="4">
        <f>IF(ISNUMBER(SEARCH("营",'19.02'!P87)),(-$Y87+50*IF('19.02'!$AK87="是",'19.02'!$BB$4,'19.02'!$BB$3)),(VLOOKUP('19.02'!P87,'19.02'!$AO$4:$AQ$55,2,FALSE))*IF('19.02'!$AK87="是",'19.02'!$BB$4,'19.02'!$BB$3))</f>
        <v>0</v>
      </c>
      <c r="I87" s="4">
        <f>IF(ISNUMBER(SEARCH("营",'19.02'!Q87)),(-$Y87+50*IF('19.02'!$AK87="是",'19.02'!$BB$4,'19.02'!$BB$3)),(VLOOKUP('19.02'!Q87,'19.02'!$AO$4:$AQ$55,2,FALSE))*IF('19.02'!$AK87="是",'19.02'!$BB$4,'19.02'!$BB$3))</f>
        <v>0</v>
      </c>
      <c r="J87" s="4">
        <f>IF(ISNUMBER(SEARCH("营",'19.02'!R87)),(-$Y87+50*IF('19.02'!$AK87="是",'19.02'!$BB$4,'19.02'!$BB$3)),(VLOOKUP('19.02'!R87,'19.02'!$AO$4:$AQ$55,2,FALSE))*IF('19.02'!$AK87="是",'19.02'!$BB$4,'19.02'!$BB$3))</f>
        <v>0</v>
      </c>
      <c r="K87" s="4">
        <f>IF(ISNUMBER(SEARCH("营",'19.02'!S87)),(-$Y87+50*IF('19.02'!$AK87="是",'19.02'!$BB$4,'19.02'!$BB$3)),(VLOOKUP('19.02'!S87,'19.02'!$AO$4:$AQ$55,2,FALSE))*IF('19.02'!$AK87="是",'19.02'!$BB$4,'19.02'!$BB$3))</f>
        <v>0</v>
      </c>
      <c r="L87" s="4">
        <f>IF(ISNUMBER(SEARCH("营",'19.02'!T87)),(-$Y87+50*IF('19.02'!$AK87="是",'19.02'!$BB$4,'19.02'!$BB$3)),(VLOOKUP('19.02'!T87,'19.02'!$AO$4:$AQ$55,2,FALSE))*IF('19.02'!$AK87="是",'19.02'!$BB$4,'19.02'!$BB$3))</f>
        <v>0</v>
      </c>
      <c r="M87" s="4">
        <f>IF(ISNUMBER(SEARCH("营",'19.02'!U87)),(-$Y87+50*IF('19.02'!$AK87="是",'19.02'!$BB$4,'19.02'!$BB$3)),(VLOOKUP('19.02'!U87,'19.02'!$AO$4:$AQ$55,2,FALSE))*IF('19.02'!$AK87="是",'19.02'!$BB$4,'19.02'!$BB$3))</f>
        <v>0</v>
      </c>
      <c r="N87" s="4">
        <f>IF(ISNUMBER(SEARCH("营",'19.02'!V87)),(-$Y87+50*IF('19.02'!$AK87="是",'19.02'!$BB$4,'19.02'!$BB$3)),(VLOOKUP('19.02'!V87,'19.02'!$AO$4:$AQ$55,2,FALSE))*IF('19.02'!$AK87="是",'19.02'!$BB$4,'19.02'!$BB$3))</f>
        <v>0</v>
      </c>
      <c r="O87" s="4">
        <f>IF(ISNUMBER(SEARCH("营",'19.02'!W87)),(-$Y87+50*IF('19.02'!$AK87="是",'19.02'!$BB$4,'19.02'!$BB$3)),(VLOOKUP('19.02'!W87,'19.02'!$AO$4:$AQ$55,2,FALSE))*IF('19.02'!$AK87="是",'19.02'!$BB$4,'19.02'!$BB$3))</f>
        <v>0</v>
      </c>
      <c r="P87" s="4">
        <f>IF(ISNUMBER(SEARCH("营",'19.02'!X87)),(-$Y87+50*IF('19.02'!$AK87="是",'19.02'!$BB$4,'19.02'!$BB$3)),(VLOOKUP('19.02'!X87,'19.02'!$AO$4:$AQ$55,2,FALSE))*IF('19.02'!$AK87="是",'19.02'!$BB$4,'19.02'!$BB$3))</f>
        <v>0</v>
      </c>
      <c r="Q87" s="4">
        <f>IF(ISNUMBER(SEARCH("营",'19.02'!Y87)),(-$Y87+50*IF('19.02'!$AK87="是",'19.02'!$BB$4,'19.02'!$BB$3)),(VLOOKUP('19.02'!Y87,'19.02'!$AO$4:$AQ$55,2,FALSE))*IF('19.02'!$AK87="是",'19.02'!$BB$4,'19.02'!$BB$3))</f>
        <v>0</v>
      </c>
      <c r="R87" s="4">
        <f>IF(ISNUMBER(SEARCH("营",'19.02'!Z87)),(-$Y87+50*IF('19.02'!$AK87="是",'19.02'!$BB$4,'19.02'!$BB$3)),(VLOOKUP('19.02'!Z87,'19.02'!$AO$4:$AQ$55,2,FALSE))*IF('19.02'!$AK87="是",'19.02'!$BB$4,'19.02'!$BB$3))</f>
        <v>0</v>
      </c>
      <c r="S87" s="4">
        <f>IF(ISNUMBER(SEARCH("营",'19.02'!AA87)),(-$Y87+50*IF('19.02'!$AK87="是",'19.02'!$BB$4,'19.02'!$BB$3)),(VLOOKUP('19.02'!AA87,'19.02'!$AO$4:$AQ$55,2,FALSE))*IF('19.02'!$AK87="是",'19.02'!$BB$4,'19.02'!$BB$3))</f>
        <v>0</v>
      </c>
      <c r="T87" s="4">
        <f>IF(ISNUMBER(SEARCH("营",'19.02'!AB87)),(-$Y87+50*IF('19.02'!$AK87="是",'19.02'!$BB$4,'19.02'!$BB$3)),(VLOOKUP('19.02'!AB87,'19.02'!$AO$4:$AQ$55,2,FALSE))*IF('19.02'!$AK87="是",'19.02'!$BB$4,'19.02'!$BB$3))</f>
        <v>0</v>
      </c>
      <c r="U87" s="4">
        <f>IF(ISNUMBER(SEARCH("营",'19.02'!AC87)),(-$Y87+50*IF('19.02'!$AK87="是",'19.02'!$BB$4,'19.02'!$BB$3)),(VLOOKUP('19.02'!AC87,'19.02'!$AO$4:$AQ$55,2,FALSE))*IF('19.02'!$AK87="是",'19.02'!$BB$4,'19.02'!$BB$3))</f>
        <v>0</v>
      </c>
      <c r="V87" s="4">
        <f>IF(ISNUMBER(SEARCH("营",'19.02'!AD87)),(-$Y87+50*IF('19.02'!$AK87="是",'19.02'!$BB$4,'19.02'!$BB$3)),(VLOOKUP('19.02'!AD87,'19.02'!$AO$4:$AQ$55,2,FALSE))*IF('19.02'!$AK87="是",'19.02'!$BB$4,'19.02'!$BB$3))</f>
        <v>0</v>
      </c>
      <c r="W87" s="4">
        <f>IF(ISNUMBER(SEARCH("营",'19.02'!AE87)),(-$Y87+50*IF('19.02'!$AK87="是",'19.02'!$BB$4,'19.02'!$BB$3)),(VLOOKUP('19.02'!AE87,'19.02'!$AO$4:$AQ$55,2,FALSE))*IF('19.02'!$AK87="是",'19.02'!$BB$4,'19.02'!$BB$3))</f>
        <v>0</v>
      </c>
      <c r="X87" s="4">
        <f>IF(ISNUMBER(SEARCH("营",'19.02'!AF87)),(-$Y87+50*IF('19.02'!$AK87="是",'19.02'!$BB$4,'19.02'!$BB$3)),(VLOOKUP('19.02'!AF87,'19.02'!$AO$4:$AQ$55,2,FALSE))*IF('19.02'!$AK87="是",'19.02'!$BB$4,'19.02'!$BB$3))</f>
        <v>0</v>
      </c>
      <c r="Y87" s="76">
        <v>100</v>
      </c>
      <c r="Z87" s="85">
        <v>45813</v>
      </c>
    </row>
    <row r="88" spans="1:26">
      <c r="A88" s="4">
        <f>IF(ISNUMBER(SEARCH("营",'19.02'!I88)),(-$Y88+50*IF('19.02'!$AK88="是",'19.02'!$BB$4,'19.02'!$BB$3)),(VLOOKUP('19.02'!I88,'19.02'!$AO$4:$AQ$55,2,FALSE))*IF('19.02'!$AK88="是",'19.02'!$BB$4,'19.02'!$BB$3))</f>
        <v>0</v>
      </c>
      <c r="B88" s="4">
        <f>IF(ISNUMBER(SEARCH("营",'19.02'!J88)),(-$Y88+50*IF('19.02'!$AK88="是",'19.02'!$BB$4,'19.02'!$BB$3)),(VLOOKUP('19.02'!J88,'19.02'!$AO$4:$AQ$55,2,FALSE))*IF('19.02'!$AK88="是",'19.02'!$BB$4,'19.02'!$BB$3))</f>
        <v>0</v>
      </c>
      <c r="C88" s="4">
        <f>IF(ISNUMBER(SEARCH("营",'19.02'!K88)),(-$Y88+50*IF('19.02'!$AK88="是",'19.02'!$BB$4,'19.02'!$BB$3)),(VLOOKUP('19.02'!K88,'19.02'!$AO$4:$AQ$55,2,FALSE))*IF('19.02'!$AK88="是",'19.02'!$BB$4,'19.02'!$BB$3))</f>
        <v>0</v>
      </c>
      <c r="D88" s="4">
        <f>IF(ISNUMBER(SEARCH("营",'19.02'!L88)),(-$Y88+50*IF('19.02'!$AK88="是",'19.02'!$BB$4,'19.02'!$BB$3)),(VLOOKUP('19.02'!L88,'19.02'!$AO$4:$AQ$55,2,FALSE))*IF('19.02'!$AK88="是",'19.02'!$BB$4,'19.02'!$BB$3))</f>
        <v>0</v>
      </c>
      <c r="E88" s="4">
        <f>IF(ISNUMBER(SEARCH("营",'19.02'!M88)),(-$Y88+50*IF('19.02'!$AK88="是",'19.02'!$BB$4,'19.02'!$BB$3)),(VLOOKUP('19.02'!M88,'19.02'!$AO$4:$AQ$55,2,FALSE))*IF('19.02'!$AK88="是",'19.02'!$BB$4,'19.02'!$BB$3))</f>
        <v>0</v>
      </c>
      <c r="F88" s="4">
        <f>IF(ISNUMBER(SEARCH("营",'19.02'!N88)),(-$Y88+50*IF('19.02'!$AK88="是",'19.02'!$BB$4,'19.02'!$BB$3)),(VLOOKUP('19.02'!N88,'19.02'!$AO$4:$AQ$55,2,FALSE))*IF('19.02'!$AK88="是",'19.02'!$BB$4,'19.02'!$BB$3))</f>
        <v>0</v>
      </c>
      <c r="G88" s="4">
        <f>IF(ISNUMBER(SEARCH("营",'19.02'!O88)),(-$Y88+50*IF('19.02'!$AK88="是",'19.02'!$BB$4,'19.02'!$BB$3)),(VLOOKUP('19.02'!O88,'19.02'!$AO$4:$AQ$55,2,FALSE))*IF('19.02'!$AK88="是",'19.02'!$BB$4,'19.02'!$BB$3))</f>
        <v>0</v>
      </c>
      <c r="H88" s="4">
        <f>IF(ISNUMBER(SEARCH("营",'19.02'!P88)),(-$Y88+50*IF('19.02'!$AK88="是",'19.02'!$BB$4,'19.02'!$BB$3)),(VLOOKUP('19.02'!P88,'19.02'!$AO$4:$AQ$55,2,FALSE))*IF('19.02'!$AK88="是",'19.02'!$BB$4,'19.02'!$BB$3))</f>
        <v>0</v>
      </c>
      <c r="I88" s="4">
        <f>IF(ISNUMBER(SEARCH("营",'19.02'!Q88)),(-$Y88+50*IF('19.02'!$AK88="是",'19.02'!$BB$4,'19.02'!$BB$3)),(VLOOKUP('19.02'!Q88,'19.02'!$AO$4:$AQ$55,2,FALSE))*IF('19.02'!$AK88="是",'19.02'!$BB$4,'19.02'!$BB$3))</f>
        <v>0</v>
      </c>
      <c r="J88" s="4">
        <f>IF(ISNUMBER(SEARCH("营",'19.02'!R88)),(-$Y88+50*IF('19.02'!$AK88="是",'19.02'!$BB$4,'19.02'!$BB$3)),(VLOOKUP('19.02'!R88,'19.02'!$AO$4:$AQ$55,2,FALSE))*IF('19.02'!$AK88="是",'19.02'!$BB$4,'19.02'!$BB$3))</f>
        <v>0</v>
      </c>
      <c r="K88" s="4">
        <f>IF(ISNUMBER(SEARCH("营",'19.02'!S88)),(-$Y88+50*IF('19.02'!$AK88="是",'19.02'!$BB$4,'19.02'!$BB$3)),(VLOOKUP('19.02'!S88,'19.02'!$AO$4:$AQ$55,2,FALSE))*IF('19.02'!$AK88="是",'19.02'!$BB$4,'19.02'!$BB$3))</f>
        <v>0</v>
      </c>
      <c r="L88" s="4">
        <f>IF(ISNUMBER(SEARCH("营",'19.02'!T88)),(-$Y88+50*IF('19.02'!$AK88="是",'19.02'!$BB$4,'19.02'!$BB$3)),(VLOOKUP('19.02'!T88,'19.02'!$AO$4:$AQ$55,2,FALSE))*IF('19.02'!$AK88="是",'19.02'!$BB$4,'19.02'!$BB$3))</f>
        <v>0</v>
      </c>
      <c r="M88" s="4">
        <f>IF(ISNUMBER(SEARCH("营",'19.02'!U88)),(-$Y88+50*IF('19.02'!$AK88="是",'19.02'!$BB$4,'19.02'!$BB$3)),(VLOOKUP('19.02'!U88,'19.02'!$AO$4:$AQ$55,2,FALSE))*IF('19.02'!$AK88="是",'19.02'!$BB$4,'19.02'!$BB$3))</f>
        <v>0</v>
      </c>
      <c r="N88" s="4">
        <f>IF(ISNUMBER(SEARCH("营",'19.02'!V88)),(-$Y88+50*IF('19.02'!$AK88="是",'19.02'!$BB$4,'19.02'!$BB$3)),(VLOOKUP('19.02'!V88,'19.02'!$AO$4:$AQ$55,2,FALSE))*IF('19.02'!$AK88="是",'19.02'!$BB$4,'19.02'!$BB$3))</f>
        <v>0</v>
      </c>
      <c r="O88" s="4">
        <f>IF(ISNUMBER(SEARCH("营",'19.02'!W88)),(-$Y88+50*IF('19.02'!$AK88="是",'19.02'!$BB$4,'19.02'!$BB$3)),(VLOOKUP('19.02'!W88,'19.02'!$AO$4:$AQ$55,2,FALSE))*IF('19.02'!$AK88="是",'19.02'!$BB$4,'19.02'!$BB$3))</f>
        <v>0</v>
      </c>
      <c r="P88" s="4">
        <f>IF(ISNUMBER(SEARCH("营",'19.02'!X88)),(-$Y88+50*IF('19.02'!$AK88="是",'19.02'!$BB$4,'19.02'!$BB$3)),(VLOOKUP('19.02'!X88,'19.02'!$AO$4:$AQ$55,2,FALSE))*IF('19.02'!$AK88="是",'19.02'!$BB$4,'19.02'!$BB$3))</f>
        <v>0</v>
      </c>
      <c r="Q88" s="4">
        <f>IF(ISNUMBER(SEARCH("营",'19.02'!Y88)),(-$Y88+50*IF('19.02'!$AK88="是",'19.02'!$BB$4,'19.02'!$BB$3)),(VLOOKUP('19.02'!Y88,'19.02'!$AO$4:$AQ$55,2,FALSE))*IF('19.02'!$AK88="是",'19.02'!$BB$4,'19.02'!$BB$3))</f>
        <v>0</v>
      </c>
      <c r="R88" s="4">
        <f>IF(ISNUMBER(SEARCH("营",'19.02'!Z88)),(-$Y88+50*IF('19.02'!$AK88="是",'19.02'!$BB$4,'19.02'!$BB$3)),(VLOOKUP('19.02'!Z88,'19.02'!$AO$4:$AQ$55,2,FALSE))*IF('19.02'!$AK88="是",'19.02'!$BB$4,'19.02'!$BB$3))</f>
        <v>0</v>
      </c>
      <c r="S88" s="4">
        <f>IF(ISNUMBER(SEARCH("营",'19.02'!AA88)),(-$Y88+50*IF('19.02'!$AK88="是",'19.02'!$BB$4,'19.02'!$BB$3)),(VLOOKUP('19.02'!AA88,'19.02'!$AO$4:$AQ$55,2,FALSE))*IF('19.02'!$AK88="是",'19.02'!$BB$4,'19.02'!$BB$3))</f>
        <v>0</v>
      </c>
      <c r="T88" s="4">
        <f>IF(ISNUMBER(SEARCH("营",'19.02'!AB88)),(-$Y88+50*IF('19.02'!$AK88="是",'19.02'!$BB$4,'19.02'!$BB$3)),(VLOOKUP('19.02'!AB88,'19.02'!$AO$4:$AQ$55,2,FALSE))*IF('19.02'!$AK88="是",'19.02'!$BB$4,'19.02'!$BB$3))</f>
        <v>0</v>
      </c>
      <c r="U88" s="4">
        <f>IF(ISNUMBER(SEARCH("营",'19.02'!AC88)),(-$Y88+50*IF('19.02'!$AK88="是",'19.02'!$BB$4,'19.02'!$BB$3)),(VLOOKUP('19.02'!AC88,'19.02'!$AO$4:$AQ$55,2,FALSE))*IF('19.02'!$AK88="是",'19.02'!$BB$4,'19.02'!$BB$3))</f>
        <v>0</v>
      </c>
      <c r="V88" s="4">
        <f>IF(ISNUMBER(SEARCH("营",'19.02'!AD88)),(-$Y88+50*IF('19.02'!$AK88="是",'19.02'!$BB$4,'19.02'!$BB$3)),(VLOOKUP('19.02'!AD88,'19.02'!$AO$4:$AQ$55,2,FALSE))*IF('19.02'!$AK88="是",'19.02'!$BB$4,'19.02'!$BB$3))</f>
        <v>0</v>
      </c>
      <c r="W88" s="4">
        <f>IF(ISNUMBER(SEARCH("营",'19.02'!AE88)),(-$Y88+50*IF('19.02'!$AK88="是",'19.02'!$BB$4,'19.02'!$BB$3)),(VLOOKUP('19.02'!AE88,'19.02'!$AO$4:$AQ$55,2,FALSE))*IF('19.02'!$AK88="是",'19.02'!$BB$4,'19.02'!$BB$3))</f>
        <v>0</v>
      </c>
      <c r="X88" s="4">
        <f>IF(ISNUMBER(SEARCH("营",'19.02'!AF88)),(-$Y88+50*IF('19.02'!$AK88="是",'19.02'!$BB$4,'19.02'!$BB$3)),(VLOOKUP('19.02'!AF88,'19.02'!$AO$4:$AQ$55,2,FALSE))*IF('19.02'!$AK88="是",'19.02'!$BB$4,'19.02'!$BB$3))</f>
        <v>0</v>
      </c>
      <c r="Y88" s="76">
        <v>100</v>
      </c>
      <c r="Z88" s="85">
        <v>45814</v>
      </c>
    </row>
    <row r="89" spans="1:26">
      <c r="A89" s="4">
        <f>IF(ISNUMBER(SEARCH("营",'19.02'!I89)),(-$Y89+50*IF('19.02'!$AK89="是",'19.02'!$BB$4,'19.02'!$BB$3)),(VLOOKUP('19.02'!I89,'19.02'!$AO$4:$AQ$55,2,FALSE))*IF('19.02'!$AK89="是",'19.02'!$BB$4,'19.02'!$BB$3))</f>
        <v>0</v>
      </c>
      <c r="B89" s="4">
        <f>IF(ISNUMBER(SEARCH("营",'19.02'!J89)),(-$Y89+50*IF('19.02'!$AK89="是",'19.02'!$BB$4,'19.02'!$BB$3)),(VLOOKUP('19.02'!J89,'19.02'!$AO$4:$AQ$55,2,FALSE))*IF('19.02'!$AK89="是",'19.02'!$BB$4,'19.02'!$BB$3))</f>
        <v>0</v>
      </c>
      <c r="C89" s="4">
        <f>IF(ISNUMBER(SEARCH("营",'19.02'!K89)),(-$Y89+50*IF('19.02'!$AK89="是",'19.02'!$BB$4,'19.02'!$BB$3)),(VLOOKUP('19.02'!K89,'19.02'!$AO$4:$AQ$55,2,FALSE))*IF('19.02'!$AK89="是",'19.02'!$BB$4,'19.02'!$BB$3))</f>
        <v>0</v>
      </c>
      <c r="D89" s="4">
        <f>IF(ISNUMBER(SEARCH("营",'19.02'!L89)),(-$Y89+50*IF('19.02'!$AK89="是",'19.02'!$BB$4,'19.02'!$BB$3)),(VLOOKUP('19.02'!L89,'19.02'!$AO$4:$AQ$55,2,FALSE))*IF('19.02'!$AK89="是",'19.02'!$BB$4,'19.02'!$BB$3))</f>
        <v>0</v>
      </c>
      <c r="E89" s="4">
        <f>IF(ISNUMBER(SEARCH("营",'19.02'!M89)),(-$Y89+50*IF('19.02'!$AK89="是",'19.02'!$BB$4,'19.02'!$BB$3)),(VLOOKUP('19.02'!M89,'19.02'!$AO$4:$AQ$55,2,FALSE))*IF('19.02'!$AK89="是",'19.02'!$BB$4,'19.02'!$BB$3))</f>
        <v>0</v>
      </c>
      <c r="F89" s="4">
        <f>IF(ISNUMBER(SEARCH("营",'19.02'!N89)),(-$Y89+50*IF('19.02'!$AK89="是",'19.02'!$BB$4,'19.02'!$BB$3)),(VLOOKUP('19.02'!N89,'19.02'!$AO$4:$AQ$55,2,FALSE))*IF('19.02'!$AK89="是",'19.02'!$BB$4,'19.02'!$BB$3))</f>
        <v>0</v>
      </c>
      <c r="G89" s="4">
        <f>IF(ISNUMBER(SEARCH("营",'19.02'!O89)),(-$Y89+50*IF('19.02'!$AK89="是",'19.02'!$BB$4,'19.02'!$BB$3)),(VLOOKUP('19.02'!O89,'19.02'!$AO$4:$AQ$55,2,FALSE))*IF('19.02'!$AK89="是",'19.02'!$BB$4,'19.02'!$BB$3))</f>
        <v>0</v>
      </c>
      <c r="H89" s="4">
        <f>IF(ISNUMBER(SEARCH("营",'19.02'!P89)),(-$Y89+50*IF('19.02'!$AK89="是",'19.02'!$BB$4,'19.02'!$BB$3)),(VLOOKUP('19.02'!P89,'19.02'!$AO$4:$AQ$55,2,FALSE))*IF('19.02'!$AK89="是",'19.02'!$BB$4,'19.02'!$BB$3))</f>
        <v>0</v>
      </c>
      <c r="I89" s="4">
        <f>IF(ISNUMBER(SEARCH("营",'19.02'!Q89)),(-$Y89+50*IF('19.02'!$AK89="是",'19.02'!$BB$4,'19.02'!$BB$3)),(VLOOKUP('19.02'!Q89,'19.02'!$AO$4:$AQ$55,2,FALSE))*IF('19.02'!$AK89="是",'19.02'!$BB$4,'19.02'!$BB$3))</f>
        <v>0</v>
      </c>
      <c r="J89" s="4">
        <f>IF(ISNUMBER(SEARCH("营",'19.02'!R89)),(-$Y89+50*IF('19.02'!$AK89="是",'19.02'!$BB$4,'19.02'!$BB$3)),(VLOOKUP('19.02'!R89,'19.02'!$AO$4:$AQ$55,2,FALSE))*IF('19.02'!$AK89="是",'19.02'!$BB$4,'19.02'!$BB$3))</f>
        <v>0</v>
      </c>
      <c r="K89" s="4">
        <f>IF(ISNUMBER(SEARCH("营",'19.02'!S89)),(-$Y89+50*IF('19.02'!$AK89="是",'19.02'!$BB$4,'19.02'!$BB$3)),(VLOOKUP('19.02'!S89,'19.02'!$AO$4:$AQ$55,2,FALSE))*IF('19.02'!$AK89="是",'19.02'!$BB$4,'19.02'!$BB$3))</f>
        <v>0</v>
      </c>
      <c r="L89" s="4">
        <f>IF(ISNUMBER(SEARCH("营",'19.02'!T89)),(-$Y89+50*IF('19.02'!$AK89="是",'19.02'!$BB$4,'19.02'!$BB$3)),(VLOOKUP('19.02'!T89,'19.02'!$AO$4:$AQ$55,2,FALSE))*IF('19.02'!$AK89="是",'19.02'!$BB$4,'19.02'!$BB$3))</f>
        <v>0</v>
      </c>
      <c r="M89" s="4">
        <f>IF(ISNUMBER(SEARCH("营",'19.02'!U89)),(-$Y89+50*IF('19.02'!$AK89="是",'19.02'!$BB$4,'19.02'!$BB$3)),(VLOOKUP('19.02'!U89,'19.02'!$AO$4:$AQ$55,2,FALSE))*IF('19.02'!$AK89="是",'19.02'!$BB$4,'19.02'!$BB$3))</f>
        <v>0</v>
      </c>
      <c r="N89" s="4">
        <f>IF(ISNUMBER(SEARCH("营",'19.02'!V89)),(-$Y89+50*IF('19.02'!$AK89="是",'19.02'!$BB$4,'19.02'!$BB$3)),(VLOOKUP('19.02'!V89,'19.02'!$AO$4:$AQ$55,2,FALSE))*IF('19.02'!$AK89="是",'19.02'!$BB$4,'19.02'!$BB$3))</f>
        <v>0</v>
      </c>
      <c r="O89" s="4">
        <f>IF(ISNUMBER(SEARCH("营",'19.02'!W89)),(-$Y89+50*IF('19.02'!$AK89="是",'19.02'!$BB$4,'19.02'!$BB$3)),(VLOOKUP('19.02'!W89,'19.02'!$AO$4:$AQ$55,2,FALSE))*IF('19.02'!$AK89="是",'19.02'!$BB$4,'19.02'!$BB$3))</f>
        <v>0</v>
      </c>
      <c r="P89" s="4">
        <f>IF(ISNUMBER(SEARCH("营",'19.02'!X89)),(-$Y89+50*IF('19.02'!$AK89="是",'19.02'!$BB$4,'19.02'!$BB$3)),(VLOOKUP('19.02'!X89,'19.02'!$AO$4:$AQ$55,2,FALSE))*IF('19.02'!$AK89="是",'19.02'!$BB$4,'19.02'!$BB$3))</f>
        <v>0</v>
      </c>
      <c r="Q89" s="4">
        <f>IF(ISNUMBER(SEARCH("营",'19.02'!Y89)),(-$Y89+50*IF('19.02'!$AK89="是",'19.02'!$BB$4,'19.02'!$BB$3)),(VLOOKUP('19.02'!Y89,'19.02'!$AO$4:$AQ$55,2,FALSE))*IF('19.02'!$AK89="是",'19.02'!$BB$4,'19.02'!$BB$3))</f>
        <v>0</v>
      </c>
      <c r="R89" s="4">
        <f>IF(ISNUMBER(SEARCH("营",'19.02'!Z89)),(-$Y89+50*IF('19.02'!$AK89="是",'19.02'!$BB$4,'19.02'!$BB$3)),(VLOOKUP('19.02'!Z89,'19.02'!$AO$4:$AQ$55,2,FALSE))*IF('19.02'!$AK89="是",'19.02'!$BB$4,'19.02'!$BB$3))</f>
        <v>0</v>
      </c>
      <c r="S89" s="4">
        <f>IF(ISNUMBER(SEARCH("营",'19.02'!AA89)),(-$Y89+50*IF('19.02'!$AK89="是",'19.02'!$BB$4,'19.02'!$BB$3)),(VLOOKUP('19.02'!AA89,'19.02'!$AO$4:$AQ$55,2,FALSE))*IF('19.02'!$AK89="是",'19.02'!$BB$4,'19.02'!$BB$3))</f>
        <v>0</v>
      </c>
      <c r="T89" s="4">
        <f>IF(ISNUMBER(SEARCH("营",'19.02'!AB89)),(-$Y89+50*IF('19.02'!$AK89="是",'19.02'!$BB$4,'19.02'!$BB$3)),(VLOOKUP('19.02'!AB89,'19.02'!$AO$4:$AQ$55,2,FALSE))*IF('19.02'!$AK89="是",'19.02'!$BB$4,'19.02'!$BB$3))</f>
        <v>0</v>
      </c>
      <c r="U89" s="4">
        <f>IF(ISNUMBER(SEARCH("营",'19.02'!AC89)),(-$Y89+50*IF('19.02'!$AK89="是",'19.02'!$BB$4,'19.02'!$BB$3)),(VLOOKUP('19.02'!AC89,'19.02'!$AO$4:$AQ$55,2,FALSE))*IF('19.02'!$AK89="是",'19.02'!$BB$4,'19.02'!$BB$3))</f>
        <v>0</v>
      </c>
      <c r="V89" s="4">
        <f>IF(ISNUMBER(SEARCH("营",'19.02'!AD89)),(-$Y89+50*IF('19.02'!$AK89="是",'19.02'!$BB$4,'19.02'!$BB$3)),(VLOOKUP('19.02'!AD89,'19.02'!$AO$4:$AQ$55,2,FALSE))*IF('19.02'!$AK89="是",'19.02'!$BB$4,'19.02'!$BB$3))</f>
        <v>0</v>
      </c>
      <c r="W89" s="4">
        <f>IF(ISNUMBER(SEARCH("营",'19.02'!AE89)),(-$Y89+50*IF('19.02'!$AK89="是",'19.02'!$BB$4,'19.02'!$BB$3)),(VLOOKUP('19.02'!AE89,'19.02'!$AO$4:$AQ$55,2,FALSE))*IF('19.02'!$AK89="是",'19.02'!$BB$4,'19.02'!$BB$3))</f>
        <v>0</v>
      </c>
      <c r="X89" s="4">
        <f>IF(ISNUMBER(SEARCH("营",'19.02'!AF89)),(-$Y89+50*IF('19.02'!$AK89="是",'19.02'!$BB$4,'19.02'!$BB$3)),(VLOOKUP('19.02'!AF89,'19.02'!$AO$4:$AQ$55,2,FALSE))*IF('19.02'!$AK89="是",'19.02'!$BB$4,'19.02'!$BB$3))</f>
        <v>0</v>
      </c>
      <c r="Y89" s="76">
        <v>100</v>
      </c>
      <c r="Z89" s="85">
        <v>45815</v>
      </c>
    </row>
    <row r="90" spans="1:26">
      <c r="A90" s="4">
        <f>IF(ISNUMBER(SEARCH("营",'19.02'!I90)),(-$Y90+50*IF('19.02'!$AK90="是",'19.02'!$BB$4,'19.02'!$BB$3)),(VLOOKUP('19.02'!I90,'19.02'!$AO$4:$AQ$55,2,FALSE))*IF('19.02'!$AK90="是",'19.02'!$BB$4,'19.02'!$BB$3))</f>
        <v>0</v>
      </c>
      <c r="B90" s="4">
        <f>IF(ISNUMBER(SEARCH("营",'19.02'!J90)),(-$Y90+50*IF('19.02'!$AK90="是",'19.02'!$BB$4,'19.02'!$BB$3)),(VLOOKUP('19.02'!J90,'19.02'!$AO$4:$AQ$55,2,FALSE))*IF('19.02'!$AK90="是",'19.02'!$BB$4,'19.02'!$BB$3))</f>
        <v>0</v>
      </c>
      <c r="C90" s="4">
        <f>IF(ISNUMBER(SEARCH("营",'19.02'!K90)),(-$Y90+50*IF('19.02'!$AK90="是",'19.02'!$BB$4,'19.02'!$BB$3)),(VLOOKUP('19.02'!K90,'19.02'!$AO$4:$AQ$55,2,FALSE))*IF('19.02'!$AK90="是",'19.02'!$BB$4,'19.02'!$BB$3))</f>
        <v>0</v>
      </c>
      <c r="D90" s="4">
        <f>IF(ISNUMBER(SEARCH("营",'19.02'!L90)),(-$Y90+50*IF('19.02'!$AK90="是",'19.02'!$BB$4,'19.02'!$BB$3)),(VLOOKUP('19.02'!L90,'19.02'!$AO$4:$AQ$55,2,FALSE))*IF('19.02'!$AK90="是",'19.02'!$BB$4,'19.02'!$BB$3))</f>
        <v>0</v>
      </c>
      <c r="E90" s="4">
        <f>IF(ISNUMBER(SEARCH("营",'19.02'!M90)),(-$Y90+50*IF('19.02'!$AK90="是",'19.02'!$BB$4,'19.02'!$BB$3)),(VLOOKUP('19.02'!M90,'19.02'!$AO$4:$AQ$55,2,FALSE))*IF('19.02'!$AK90="是",'19.02'!$BB$4,'19.02'!$BB$3))</f>
        <v>0</v>
      </c>
      <c r="F90" s="4">
        <f>IF(ISNUMBER(SEARCH("营",'19.02'!N90)),(-$Y90+50*IF('19.02'!$AK90="是",'19.02'!$BB$4,'19.02'!$BB$3)),(VLOOKUP('19.02'!N90,'19.02'!$AO$4:$AQ$55,2,FALSE))*IF('19.02'!$AK90="是",'19.02'!$BB$4,'19.02'!$BB$3))</f>
        <v>0</v>
      </c>
      <c r="G90" s="4">
        <f>IF(ISNUMBER(SEARCH("营",'19.02'!O90)),(-$Y90+50*IF('19.02'!$AK90="是",'19.02'!$BB$4,'19.02'!$BB$3)),(VLOOKUP('19.02'!O90,'19.02'!$AO$4:$AQ$55,2,FALSE))*IF('19.02'!$AK90="是",'19.02'!$BB$4,'19.02'!$BB$3))</f>
        <v>0</v>
      </c>
      <c r="H90" s="4">
        <f>IF(ISNUMBER(SEARCH("营",'19.02'!P90)),(-$Y90+50*IF('19.02'!$AK90="是",'19.02'!$BB$4,'19.02'!$BB$3)),(VLOOKUP('19.02'!P90,'19.02'!$AO$4:$AQ$55,2,FALSE))*IF('19.02'!$AK90="是",'19.02'!$BB$4,'19.02'!$BB$3))</f>
        <v>0</v>
      </c>
      <c r="I90" s="4">
        <f>IF(ISNUMBER(SEARCH("营",'19.02'!Q90)),(-$Y90+50*IF('19.02'!$AK90="是",'19.02'!$BB$4,'19.02'!$BB$3)),(VLOOKUP('19.02'!Q90,'19.02'!$AO$4:$AQ$55,2,FALSE))*IF('19.02'!$AK90="是",'19.02'!$BB$4,'19.02'!$BB$3))</f>
        <v>0</v>
      </c>
      <c r="J90" s="4">
        <f>IF(ISNUMBER(SEARCH("营",'19.02'!R90)),(-$Y90+50*IF('19.02'!$AK90="是",'19.02'!$BB$4,'19.02'!$BB$3)),(VLOOKUP('19.02'!R90,'19.02'!$AO$4:$AQ$55,2,FALSE))*IF('19.02'!$AK90="是",'19.02'!$BB$4,'19.02'!$BB$3))</f>
        <v>0</v>
      </c>
      <c r="K90" s="4">
        <f>IF(ISNUMBER(SEARCH("营",'19.02'!S90)),(-$Y90+50*IF('19.02'!$AK90="是",'19.02'!$BB$4,'19.02'!$BB$3)),(VLOOKUP('19.02'!S90,'19.02'!$AO$4:$AQ$55,2,FALSE))*IF('19.02'!$AK90="是",'19.02'!$BB$4,'19.02'!$BB$3))</f>
        <v>0</v>
      </c>
      <c r="L90" s="4">
        <f>IF(ISNUMBER(SEARCH("营",'19.02'!T90)),(-$Y90+50*IF('19.02'!$AK90="是",'19.02'!$BB$4,'19.02'!$BB$3)),(VLOOKUP('19.02'!T90,'19.02'!$AO$4:$AQ$55,2,FALSE))*IF('19.02'!$AK90="是",'19.02'!$BB$4,'19.02'!$BB$3))</f>
        <v>0</v>
      </c>
      <c r="M90" s="4">
        <f>IF(ISNUMBER(SEARCH("营",'19.02'!U90)),(-$Y90+50*IF('19.02'!$AK90="是",'19.02'!$BB$4,'19.02'!$BB$3)),(VLOOKUP('19.02'!U90,'19.02'!$AO$4:$AQ$55,2,FALSE))*IF('19.02'!$AK90="是",'19.02'!$BB$4,'19.02'!$BB$3))</f>
        <v>0</v>
      </c>
      <c r="N90" s="4">
        <f>IF(ISNUMBER(SEARCH("营",'19.02'!V90)),(-$Y90+50*IF('19.02'!$AK90="是",'19.02'!$BB$4,'19.02'!$BB$3)),(VLOOKUP('19.02'!V90,'19.02'!$AO$4:$AQ$55,2,FALSE))*IF('19.02'!$AK90="是",'19.02'!$BB$4,'19.02'!$BB$3))</f>
        <v>0</v>
      </c>
      <c r="O90" s="4">
        <f>IF(ISNUMBER(SEARCH("营",'19.02'!W90)),(-$Y90+50*IF('19.02'!$AK90="是",'19.02'!$BB$4,'19.02'!$BB$3)),(VLOOKUP('19.02'!W90,'19.02'!$AO$4:$AQ$55,2,FALSE))*IF('19.02'!$AK90="是",'19.02'!$BB$4,'19.02'!$BB$3))</f>
        <v>0</v>
      </c>
      <c r="P90" s="4">
        <f>IF(ISNUMBER(SEARCH("营",'19.02'!X90)),(-$Y90+50*IF('19.02'!$AK90="是",'19.02'!$BB$4,'19.02'!$BB$3)),(VLOOKUP('19.02'!X90,'19.02'!$AO$4:$AQ$55,2,FALSE))*IF('19.02'!$AK90="是",'19.02'!$BB$4,'19.02'!$BB$3))</f>
        <v>0</v>
      </c>
      <c r="Q90" s="4">
        <f>IF(ISNUMBER(SEARCH("营",'19.02'!Y90)),(-$Y90+50*IF('19.02'!$AK90="是",'19.02'!$BB$4,'19.02'!$BB$3)),(VLOOKUP('19.02'!Y90,'19.02'!$AO$4:$AQ$55,2,FALSE))*IF('19.02'!$AK90="是",'19.02'!$BB$4,'19.02'!$BB$3))</f>
        <v>0</v>
      </c>
      <c r="R90" s="4">
        <f>IF(ISNUMBER(SEARCH("营",'19.02'!Z90)),(-$Y90+50*IF('19.02'!$AK90="是",'19.02'!$BB$4,'19.02'!$BB$3)),(VLOOKUP('19.02'!Z90,'19.02'!$AO$4:$AQ$55,2,FALSE))*IF('19.02'!$AK90="是",'19.02'!$BB$4,'19.02'!$BB$3))</f>
        <v>0</v>
      </c>
      <c r="S90" s="4">
        <f>IF(ISNUMBER(SEARCH("营",'19.02'!AA90)),(-$Y90+50*IF('19.02'!$AK90="是",'19.02'!$BB$4,'19.02'!$BB$3)),(VLOOKUP('19.02'!AA90,'19.02'!$AO$4:$AQ$55,2,FALSE))*IF('19.02'!$AK90="是",'19.02'!$BB$4,'19.02'!$BB$3))</f>
        <v>0</v>
      </c>
      <c r="T90" s="4">
        <f>IF(ISNUMBER(SEARCH("营",'19.02'!AB90)),(-$Y90+50*IF('19.02'!$AK90="是",'19.02'!$BB$4,'19.02'!$BB$3)),(VLOOKUP('19.02'!AB90,'19.02'!$AO$4:$AQ$55,2,FALSE))*IF('19.02'!$AK90="是",'19.02'!$BB$4,'19.02'!$BB$3))</f>
        <v>0</v>
      </c>
      <c r="U90" s="4">
        <f>IF(ISNUMBER(SEARCH("营",'19.02'!AC90)),(-$Y90+50*IF('19.02'!$AK90="是",'19.02'!$BB$4,'19.02'!$BB$3)),(VLOOKUP('19.02'!AC90,'19.02'!$AO$4:$AQ$55,2,FALSE))*IF('19.02'!$AK90="是",'19.02'!$BB$4,'19.02'!$BB$3))</f>
        <v>0</v>
      </c>
      <c r="V90" s="4">
        <f>IF(ISNUMBER(SEARCH("营",'19.02'!AD90)),(-$Y90+50*IF('19.02'!$AK90="是",'19.02'!$BB$4,'19.02'!$BB$3)),(VLOOKUP('19.02'!AD90,'19.02'!$AO$4:$AQ$55,2,FALSE))*IF('19.02'!$AK90="是",'19.02'!$BB$4,'19.02'!$BB$3))</f>
        <v>0</v>
      </c>
      <c r="W90" s="4">
        <f>IF(ISNUMBER(SEARCH("营",'19.02'!AE90)),(-$Y90+50*IF('19.02'!$AK90="是",'19.02'!$BB$4,'19.02'!$BB$3)),(VLOOKUP('19.02'!AE90,'19.02'!$AO$4:$AQ$55,2,FALSE))*IF('19.02'!$AK90="是",'19.02'!$BB$4,'19.02'!$BB$3))</f>
        <v>0</v>
      </c>
      <c r="X90" s="4">
        <f>IF(ISNUMBER(SEARCH("营",'19.02'!AF90)),(-$Y90+50*IF('19.02'!$AK90="是",'19.02'!$BB$4,'19.02'!$BB$3)),(VLOOKUP('19.02'!AF90,'19.02'!$AO$4:$AQ$55,2,FALSE))*IF('19.02'!$AK90="是",'19.02'!$BB$4,'19.02'!$BB$3))</f>
        <v>0</v>
      </c>
      <c r="Y90" s="76">
        <v>100</v>
      </c>
      <c r="Z90" s="85">
        <v>45816</v>
      </c>
    </row>
    <row r="91" spans="1:26">
      <c r="A91" s="4">
        <f>IF(ISNUMBER(SEARCH("营",'19.02'!I91)),(-$Y91+50*IF('19.02'!$AK91="是",'19.02'!$BB$4,'19.02'!$BB$3)),(VLOOKUP('19.02'!I91,'19.02'!$AO$4:$AQ$55,2,FALSE))*IF('19.02'!$AK91="是",'19.02'!$BB$4,'19.02'!$BB$3))</f>
        <v>0</v>
      </c>
      <c r="B91" s="4">
        <f>IF(ISNUMBER(SEARCH("营",'19.02'!J91)),(-$Y91+50*IF('19.02'!$AK91="是",'19.02'!$BB$4,'19.02'!$BB$3)),(VLOOKUP('19.02'!J91,'19.02'!$AO$4:$AQ$55,2,FALSE))*IF('19.02'!$AK91="是",'19.02'!$BB$4,'19.02'!$BB$3))</f>
        <v>0</v>
      </c>
      <c r="C91" s="4">
        <f>IF(ISNUMBER(SEARCH("营",'19.02'!K91)),(-$Y91+50*IF('19.02'!$AK91="是",'19.02'!$BB$4,'19.02'!$BB$3)),(VLOOKUP('19.02'!K91,'19.02'!$AO$4:$AQ$55,2,FALSE))*IF('19.02'!$AK91="是",'19.02'!$BB$4,'19.02'!$BB$3))</f>
        <v>0</v>
      </c>
      <c r="D91" s="4">
        <f>IF(ISNUMBER(SEARCH("营",'19.02'!L91)),(-$Y91+50*IF('19.02'!$AK91="是",'19.02'!$BB$4,'19.02'!$BB$3)),(VLOOKUP('19.02'!L91,'19.02'!$AO$4:$AQ$55,2,FALSE))*IF('19.02'!$AK91="是",'19.02'!$BB$4,'19.02'!$BB$3))</f>
        <v>0</v>
      </c>
      <c r="E91" s="4">
        <f>IF(ISNUMBER(SEARCH("营",'19.02'!M91)),(-$Y91+50*IF('19.02'!$AK91="是",'19.02'!$BB$4,'19.02'!$BB$3)),(VLOOKUP('19.02'!M91,'19.02'!$AO$4:$AQ$55,2,FALSE))*IF('19.02'!$AK91="是",'19.02'!$BB$4,'19.02'!$BB$3))</f>
        <v>0</v>
      </c>
      <c r="F91" s="4">
        <f>IF(ISNUMBER(SEARCH("营",'19.02'!N91)),(-$Y91+50*IF('19.02'!$AK91="是",'19.02'!$BB$4,'19.02'!$BB$3)),(VLOOKUP('19.02'!N91,'19.02'!$AO$4:$AQ$55,2,FALSE))*IF('19.02'!$AK91="是",'19.02'!$BB$4,'19.02'!$BB$3))</f>
        <v>0</v>
      </c>
      <c r="G91" s="4">
        <f>IF(ISNUMBER(SEARCH("营",'19.02'!O91)),(-$Y91+50*IF('19.02'!$AK91="是",'19.02'!$BB$4,'19.02'!$BB$3)),(VLOOKUP('19.02'!O91,'19.02'!$AO$4:$AQ$55,2,FALSE))*IF('19.02'!$AK91="是",'19.02'!$BB$4,'19.02'!$BB$3))</f>
        <v>0</v>
      </c>
      <c r="H91" s="4">
        <f>IF(ISNUMBER(SEARCH("营",'19.02'!P91)),(-$Y91+50*IF('19.02'!$AK91="是",'19.02'!$BB$4,'19.02'!$BB$3)),(VLOOKUP('19.02'!P91,'19.02'!$AO$4:$AQ$55,2,FALSE))*IF('19.02'!$AK91="是",'19.02'!$BB$4,'19.02'!$BB$3))</f>
        <v>0</v>
      </c>
      <c r="I91" s="4">
        <f>IF(ISNUMBER(SEARCH("营",'19.02'!Q91)),(-$Y91+50*IF('19.02'!$AK91="是",'19.02'!$BB$4,'19.02'!$BB$3)),(VLOOKUP('19.02'!Q91,'19.02'!$AO$4:$AQ$55,2,FALSE))*IF('19.02'!$AK91="是",'19.02'!$BB$4,'19.02'!$BB$3))</f>
        <v>0</v>
      </c>
      <c r="J91" s="4">
        <f>IF(ISNUMBER(SEARCH("营",'19.02'!R91)),(-$Y91+50*IF('19.02'!$AK91="是",'19.02'!$BB$4,'19.02'!$BB$3)),(VLOOKUP('19.02'!R91,'19.02'!$AO$4:$AQ$55,2,FALSE))*IF('19.02'!$AK91="是",'19.02'!$BB$4,'19.02'!$BB$3))</f>
        <v>0</v>
      </c>
      <c r="K91" s="4">
        <f>IF(ISNUMBER(SEARCH("营",'19.02'!S91)),(-$Y91+50*IF('19.02'!$AK91="是",'19.02'!$BB$4,'19.02'!$BB$3)),(VLOOKUP('19.02'!S91,'19.02'!$AO$4:$AQ$55,2,FALSE))*IF('19.02'!$AK91="是",'19.02'!$BB$4,'19.02'!$BB$3))</f>
        <v>0</v>
      </c>
      <c r="L91" s="4">
        <f>IF(ISNUMBER(SEARCH("营",'19.02'!T91)),(-$Y91+50*IF('19.02'!$AK91="是",'19.02'!$BB$4,'19.02'!$BB$3)),(VLOOKUP('19.02'!T91,'19.02'!$AO$4:$AQ$55,2,FALSE))*IF('19.02'!$AK91="是",'19.02'!$BB$4,'19.02'!$BB$3))</f>
        <v>0</v>
      </c>
      <c r="M91" s="4">
        <f>IF(ISNUMBER(SEARCH("营",'19.02'!U91)),(-$Y91+50*IF('19.02'!$AK91="是",'19.02'!$BB$4,'19.02'!$BB$3)),(VLOOKUP('19.02'!U91,'19.02'!$AO$4:$AQ$55,2,FALSE))*IF('19.02'!$AK91="是",'19.02'!$BB$4,'19.02'!$BB$3))</f>
        <v>0</v>
      </c>
      <c r="N91" s="4">
        <f>IF(ISNUMBER(SEARCH("营",'19.02'!V91)),(-$Y91+50*IF('19.02'!$AK91="是",'19.02'!$BB$4,'19.02'!$BB$3)),(VLOOKUP('19.02'!V91,'19.02'!$AO$4:$AQ$55,2,FALSE))*IF('19.02'!$AK91="是",'19.02'!$BB$4,'19.02'!$BB$3))</f>
        <v>0</v>
      </c>
      <c r="O91" s="4">
        <f>IF(ISNUMBER(SEARCH("营",'19.02'!W91)),(-$Y91+50*IF('19.02'!$AK91="是",'19.02'!$BB$4,'19.02'!$BB$3)),(VLOOKUP('19.02'!W91,'19.02'!$AO$4:$AQ$55,2,FALSE))*IF('19.02'!$AK91="是",'19.02'!$BB$4,'19.02'!$BB$3))</f>
        <v>0</v>
      </c>
      <c r="P91" s="4">
        <f>IF(ISNUMBER(SEARCH("营",'19.02'!X91)),(-$Y91+50*IF('19.02'!$AK91="是",'19.02'!$BB$4,'19.02'!$BB$3)),(VLOOKUP('19.02'!X91,'19.02'!$AO$4:$AQ$55,2,FALSE))*IF('19.02'!$AK91="是",'19.02'!$BB$4,'19.02'!$BB$3))</f>
        <v>0</v>
      </c>
      <c r="Q91" s="4">
        <f>IF(ISNUMBER(SEARCH("营",'19.02'!Y91)),(-$Y91+50*IF('19.02'!$AK91="是",'19.02'!$BB$4,'19.02'!$BB$3)),(VLOOKUP('19.02'!Y91,'19.02'!$AO$4:$AQ$55,2,FALSE))*IF('19.02'!$AK91="是",'19.02'!$BB$4,'19.02'!$BB$3))</f>
        <v>0</v>
      </c>
      <c r="R91" s="4">
        <f>IF(ISNUMBER(SEARCH("营",'19.02'!Z91)),(-$Y91+50*IF('19.02'!$AK91="是",'19.02'!$BB$4,'19.02'!$BB$3)),(VLOOKUP('19.02'!Z91,'19.02'!$AO$4:$AQ$55,2,FALSE))*IF('19.02'!$AK91="是",'19.02'!$BB$4,'19.02'!$BB$3))</f>
        <v>0</v>
      </c>
      <c r="S91" s="4">
        <f>IF(ISNUMBER(SEARCH("营",'19.02'!AA91)),(-$Y91+50*IF('19.02'!$AK91="是",'19.02'!$BB$4,'19.02'!$BB$3)),(VLOOKUP('19.02'!AA91,'19.02'!$AO$4:$AQ$55,2,FALSE))*IF('19.02'!$AK91="是",'19.02'!$BB$4,'19.02'!$BB$3))</f>
        <v>0</v>
      </c>
      <c r="T91" s="4">
        <f>IF(ISNUMBER(SEARCH("营",'19.02'!AB91)),(-$Y91+50*IF('19.02'!$AK91="是",'19.02'!$BB$4,'19.02'!$BB$3)),(VLOOKUP('19.02'!AB91,'19.02'!$AO$4:$AQ$55,2,FALSE))*IF('19.02'!$AK91="是",'19.02'!$BB$4,'19.02'!$BB$3))</f>
        <v>0</v>
      </c>
      <c r="U91" s="4">
        <f>IF(ISNUMBER(SEARCH("营",'19.02'!AC91)),(-$Y91+50*IF('19.02'!$AK91="是",'19.02'!$BB$4,'19.02'!$BB$3)),(VLOOKUP('19.02'!AC91,'19.02'!$AO$4:$AQ$55,2,FALSE))*IF('19.02'!$AK91="是",'19.02'!$BB$4,'19.02'!$BB$3))</f>
        <v>0</v>
      </c>
      <c r="V91" s="4">
        <f>IF(ISNUMBER(SEARCH("营",'19.02'!AD91)),(-$Y91+50*IF('19.02'!$AK91="是",'19.02'!$BB$4,'19.02'!$BB$3)),(VLOOKUP('19.02'!AD91,'19.02'!$AO$4:$AQ$55,2,FALSE))*IF('19.02'!$AK91="是",'19.02'!$BB$4,'19.02'!$BB$3))</f>
        <v>0</v>
      </c>
      <c r="W91" s="4">
        <f>IF(ISNUMBER(SEARCH("营",'19.02'!AE91)),(-$Y91+50*IF('19.02'!$AK91="是",'19.02'!$BB$4,'19.02'!$BB$3)),(VLOOKUP('19.02'!AE91,'19.02'!$AO$4:$AQ$55,2,FALSE))*IF('19.02'!$AK91="是",'19.02'!$BB$4,'19.02'!$BB$3))</f>
        <v>0</v>
      </c>
      <c r="X91" s="4">
        <f>IF(ISNUMBER(SEARCH("营",'19.02'!AF91)),(-$Y91+50*IF('19.02'!$AK91="是",'19.02'!$BB$4,'19.02'!$BB$3)),(VLOOKUP('19.02'!AF91,'19.02'!$AO$4:$AQ$55,2,FALSE))*IF('19.02'!$AK91="是",'19.02'!$BB$4,'19.02'!$BB$3))</f>
        <v>0</v>
      </c>
      <c r="Y91" s="76">
        <v>100</v>
      </c>
      <c r="Z91" s="85">
        <v>45817</v>
      </c>
    </row>
    <row r="92" spans="1:26">
      <c r="A92" s="4">
        <f>IF(ISNUMBER(SEARCH("营",'19.02'!I92)),(-$Y92+50*IF('19.02'!$AK92="是",'19.02'!$BB$4,'19.02'!$BB$3)),(VLOOKUP('19.02'!I92,'19.02'!$AO$4:$AQ$55,2,FALSE))*IF('19.02'!$AK92="是",'19.02'!$BB$4,'19.02'!$BB$3))</f>
        <v>0</v>
      </c>
      <c r="B92" s="4">
        <f>IF(ISNUMBER(SEARCH("营",'19.02'!J92)),(-$Y92+50*IF('19.02'!$AK92="是",'19.02'!$BB$4,'19.02'!$BB$3)),(VLOOKUP('19.02'!J92,'19.02'!$AO$4:$AQ$55,2,FALSE))*IF('19.02'!$AK92="是",'19.02'!$BB$4,'19.02'!$BB$3))</f>
        <v>0</v>
      </c>
      <c r="C92" s="4">
        <f>IF(ISNUMBER(SEARCH("营",'19.02'!K92)),(-$Y92+50*IF('19.02'!$AK92="是",'19.02'!$BB$4,'19.02'!$BB$3)),(VLOOKUP('19.02'!K92,'19.02'!$AO$4:$AQ$55,2,FALSE))*IF('19.02'!$AK92="是",'19.02'!$BB$4,'19.02'!$BB$3))</f>
        <v>0</v>
      </c>
      <c r="D92" s="4">
        <f>IF(ISNUMBER(SEARCH("营",'19.02'!L92)),(-$Y92+50*IF('19.02'!$AK92="是",'19.02'!$BB$4,'19.02'!$BB$3)),(VLOOKUP('19.02'!L92,'19.02'!$AO$4:$AQ$55,2,FALSE))*IF('19.02'!$AK92="是",'19.02'!$BB$4,'19.02'!$BB$3))</f>
        <v>0</v>
      </c>
      <c r="E92" s="4">
        <f>IF(ISNUMBER(SEARCH("营",'19.02'!M92)),(-$Y92+50*IF('19.02'!$AK92="是",'19.02'!$BB$4,'19.02'!$BB$3)),(VLOOKUP('19.02'!M92,'19.02'!$AO$4:$AQ$55,2,FALSE))*IF('19.02'!$AK92="是",'19.02'!$BB$4,'19.02'!$BB$3))</f>
        <v>0</v>
      </c>
      <c r="F92" s="4">
        <f>IF(ISNUMBER(SEARCH("营",'19.02'!N92)),(-$Y92+50*IF('19.02'!$AK92="是",'19.02'!$BB$4,'19.02'!$BB$3)),(VLOOKUP('19.02'!N92,'19.02'!$AO$4:$AQ$55,2,FALSE))*IF('19.02'!$AK92="是",'19.02'!$BB$4,'19.02'!$BB$3))</f>
        <v>0</v>
      </c>
      <c r="G92" s="4">
        <f>IF(ISNUMBER(SEARCH("营",'19.02'!O92)),(-$Y92+50*IF('19.02'!$AK92="是",'19.02'!$BB$4,'19.02'!$BB$3)),(VLOOKUP('19.02'!O92,'19.02'!$AO$4:$AQ$55,2,FALSE))*IF('19.02'!$AK92="是",'19.02'!$BB$4,'19.02'!$BB$3))</f>
        <v>0</v>
      </c>
      <c r="H92" s="4">
        <f>IF(ISNUMBER(SEARCH("营",'19.02'!P92)),(-$Y92+50*IF('19.02'!$AK92="是",'19.02'!$BB$4,'19.02'!$BB$3)),(VLOOKUP('19.02'!P92,'19.02'!$AO$4:$AQ$55,2,FALSE))*IF('19.02'!$AK92="是",'19.02'!$BB$4,'19.02'!$BB$3))</f>
        <v>0</v>
      </c>
      <c r="I92" s="4">
        <f>IF(ISNUMBER(SEARCH("营",'19.02'!Q92)),(-$Y92+50*IF('19.02'!$AK92="是",'19.02'!$BB$4,'19.02'!$BB$3)),(VLOOKUP('19.02'!Q92,'19.02'!$AO$4:$AQ$55,2,FALSE))*IF('19.02'!$AK92="是",'19.02'!$BB$4,'19.02'!$BB$3))</f>
        <v>0</v>
      </c>
      <c r="J92" s="4">
        <f>IF(ISNUMBER(SEARCH("营",'19.02'!R92)),(-$Y92+50*IF('19.02'!$AK92="是",'19.02'!$BB$4,'19.02'!$BB$3)),(VLOOKUP('19.02'!R92,'19.02'!$AO$4:$AQ$55,2,FALSE))*IF('19.02'!$AK92="是",'19.02'!$BB$4,'19.02'!$BB$3))</f>
        <v>0</v>
      </c>
      <c r="K92" s="4">
        <f>IF(ISNUMBER(SEARCH("营",'19.02'!S92)),(-$Y92+50*IF('19.02'!$AK92="是",'19.02'!$BB$4,'19.02'!$BB$3)),(VLOOKUP('19.02'!S92,'19.02'!$AO$4:$AQ$55,2,FALSE))*IF('19.02'!$AK92="是",'19.02'!$BB$4,'19.02'!$BB$3))</f>
        <v>0</v>
      </c>
      <c r="L92" s="4">
        <f>IF(ISNUMBER(SEARCH("营",'19.02'!T92)),(-$Y92+50*IF('19.02'!$AK92="是",'19.02'!$BB$4,'19.02'!$BB$3)),(VLOOKUP('19.02'!T92,'19.02'!$AO$4:$AQ$55,2,FALSE))*IF('19.02'!$AK92="是",'19.02'!$BB$4,'19.02'!$BB$3))</f>
        <v>0</v>
      </c>
      <c r="M92" s="4">
        <f>IF(ISNUMBER(SEARCH("营",'19.02'!U92)),(-$Y92+50*IF('19.02'!$AK92="是",'19.02'!$BB$4,'19.02'!$BB$3)),(VLOOKUP('19.02'!U92,'19.02'!$AO$4:$AQ$55,2,FALSE))*IF('19.02'!$AK92="是",'19.02'!$BB$4,'19.02'!$BB$3))</f>
        <v>0</v>
      </c>
      <c r="N92" s="4">
        <f>IF(ISNUMBER(SEARCH("营",'19.02'!V92)),(-$Y92+50*IF('19.02'!$AK92="是",'19.02'!$BB$4,'19.02'!$BB$3)),(VLOOKUP('19.02'!V92,'19.02'!$AO$4:$AQ$55,2,FALSE))*IF('19.02'!$AK92="是",'19.02'!$BB$4,'19.02'!$BB$3))</f>
        <v>0</v>
      </c>
      <c r="O92" s="4">
        <f>IF(ISNUMBER(SEARCH("营",'19.02'!W92)),(-$Y92+50*IF('19.02'!$AK92="是",'19.02'!$BB$4,'19.02'!$BB$3)),(VLOOKUP('19.02'!W92,'19.02'!$AO$4:$AQ$55,2,FALSE))*IF('19.02'!$AK92="是",'19.02'!$BB$4,'19.02'!$BB$3))</f>
        <v>0</v>
      </c>
      <c r="P92" s="4">
        <f>IF(ISNUMBER(SEARCH("营",'19.02'!X92)),(-$Y92+50*IF('19.02'!$AK92="是",'19.02'!$BB$4,'19.02'!$BB$3)),(VLOOKUP('19.02'!X92,'19.02'!$AO$4:$AQ$55,2,FALSE))*IF('19.02'!$AK92="是",'19.02'!$BB$4,'19.02'!$BB$3))</f>
        <v>0</v>
      </c>
      <c r="Q92" s="4">
        <f>IF(ISNUMBER(SEARCH("营",'19.02'!Y92)),(-$Y92+50*IF('19.02'!$AK92="是",'19.02'!$BB$4,'19.02'!$BB$3)),(VLOOKUP('19.02'!Y92,'19.02'!$AO$4:$AQ$55,2,FALSE))*IF('19.02'!$AK92="是",'19.02'!$BB$4,'19.02'!$BB$3))</f>
        <v>0</v>
      </c>
      <c r="R92" s="4">
        <f>IF(ISNUMBER(SEARCH("营",'19.02'!Z92)),(-$Y92+50*IF('19.02'!$AK92="是",'19.02'!$BB$4,'19.02'!$BB$3)),(VLOOKUP('19.02'!Z92,'19.02'!$AO$4:$AQ$55,2,FALSE))*IF('19.02'!$AK92="是",'19.02'!$BB$4,'19.02'!$BB$3))</f>
        <v>0</v>
      </c>
      <c r="S92" s="4">
        <f>IF(ISNUMBER(SEARCH("营",'19.02'!AA92)),(-$Y92+50*IF('19.02'!$AK92="是",'19.02'!$BB$4,'19.02'!$BB$3)),(VLOOKUP('19.02'!AA92,'19.02'!$AO$4:$AQ$55,2,FALSE))*IF('19.02'!$AK92="是",'19.02'!$BB$4,'19.02'!$BB$3))</f>
        <v>0</v>
      </c>
      <c r="T92" s="4">
        <f>IF(ISNUMBER(SEARCH("营",'19.02'!AB92)),(-$Y92+50*IF('19.02'!$AK92="是",'19.02'!$BB$4,'19.02'!$BB$3)),(VLOOKUP('19.02'!AB92,'19.02'!$AO$4:$AQ$55,2,FALSE))*IF('19.02'!$AK92="是",'19.02'!$BB$4,'19.02'!$BB$3))</f>
        <v>0</v>
      </c>
      <c r="U92" s="4">
        <f>IF(ISNUMBER(SEARCH("营",'19.02'!AC92)),(-$Y92+50*IF('19.02'!$AK92="是",'19.02'!$BB$4,'19.02'!$BB$3)),(VLOOKUP('19.02'!AC92,'19.02'!$AO$4:$AQ$55,2,FALSE))*IF('19.02'!$AK92="是",'19.02'!$BB$4,'19.02'!$BB$3))</f>
        <v>0</v>
      </c>
      <c r="V92" s="4">
        <f>IF(ISNUMBER(SEARCH("营",'19.02'!AD92)),(-$Y92+50*IF('19.02'!$AK92="是",'19.02'!$BB$4,'19.02'!$BB$3)),(VLOOKUP('19.02'!AD92,'19.02'!$AO$4:$AQ$55,2,FALSE))*IF('19.02'!$AK92="是",'19.02'!$BB$4,'19.02'!$BB$3))</f>
        <v>0</v>
      </c>
      <c r="W92" s="4">
        <f>IF(ISNUMBER(SEARCH("营",'19.02'!AE92)),(-$Y92+50*IF('19.02'!$AK92="是",'19.02'!$BB$4,'19.02'!$BB$3)),(VLOOKUP('19.02'!AE92,'19.02'!$AO$4:$AQ$55,2,FALSE))*IF('19.02'!$AK92="是",'19.02'!$BB$4,'19.02'!$BB$3))</f>
        <v>0</v>
      </c>
      <c r="X92" s="4">
        <f>IF(ISNUMBER(SEARCH("营",'19.02'!AF92)),(-$Y92+50*IF('19.02'!$AK92="是",'19.02'!$BB$4,'19.02'!$BB$3)),(VLOOKUP('19.02'!AF92,'19.02'!$AO$4:$AQ$55,2,FALSE))*IF('19.02'!$AK92="是",'19.02'!$BB$4,'19.02'!$BB$3))</f>
        <v>0</v>
      </c>
      <c r="Y92" s="76">
        <v>100</v>
      </c>
      <c r="Z92" s="85">
        <v>45818</v>
      </c>
    </row>
    <row r="93" spans="1:26">
      <c r="A93" s="4">
        <f>IF(ISNUMBER(SEARCH("营",'19.02'!I93)),(-$Y93+50*IF('19.02'!$AK93="是",'19.02'!$BB$4,'19.02'!$BB$3)),(VLOOKUP('19.02'!I93,'19.02'!$AO$4:$AQ$55,2,FALSE))*IF('19.02'!$AK93="是",'19.02'!$BB$4,'19.02'!$BB$3))</f>
        <v>0</v>
      </c>
      <c r="B93" s="4">
        <f>IF(ISNUMBER(SEARCH("营",'19.02'!J93)),(-$Y93+50*IF('19.02'!$AK93="是",'19.02'!$BB$4,'19.02'!$BB$3)),(VLOOKUP('19.02'!J93,'19.02'!$AO$4:$AQ$55,2,FALSE))*IF('19.02'!$AK93="是",'19.02'!$BB$4,'19.02'!$BB$3))</f>
        <v>0</v>
      </c>
      <c r="C93" s="4">
        <f>IF(ISNUMBER(SEARCH("营",'19.02'!K93)),(-$Y93+50*IF('19.02'!$AK93="是",'19.02'!$BB$4,'19.02'!$BB$3)),(VLOOKUP('19.02'!K93,'19.02'!$AO$4:$AQ$55,2,FALSE))*IF('19.02'!$AK93="是",'19.02'!$BB$4,'19.02'!$BB$3))</f>
        <v>0</v>
      </c>
      <c r="D93" s="4">
        <f>IF(ISNUMBER(SEARCH("营",'19.02'!L93)),(-$Y93+50*IF('19.02'!$AK93="是",'19.02'!$BB$4,'19.02'!$BB$3)),(VLOOKUP('19.02'!L93,'19.02'!$AO$4:$AQ$55,2,FALSE))*IF('19.02'!$AK93="是",'19.02'!$BB$4,'19.02'!$BB$3))</f>
        <v>0</v>
      </c>
      <c r="E93" s="4">
        <f>IF(ISNUMBER(SEARCH("营",'19.02'!M93)),(-$Y93+50*IF('19.02'!$AK93="是",'19.02'!$BB$4,'19.02'!$BB$3)),(VLOOKUP('19.02'!M93,'19.02'!$AO$4:$AQ$55,2,FALSE))*IF('19.02'!$AK93="是",'19.02'!$BB$4,'19.02'!$BB$3))</f>
        <v>0</v>
      </c>
      <c r="F93" s="4">
        <f>IF(ISNUMBER(SEARCH("营",'19.02'!N93)),(-$Y93+50*IF('19.02'!$AK93="是",'19.02'!$BB$4,'19.02'!$BB$3)),(VLOOKUP('19.02'!N93,'19.02'!$AO$4:$AQ$55,2,FALSE))*IF('19.02'!$AK93="是",'19.02'!$BB$4,'19.02'!$BB$3))</f>
        <v>0</v>
      </c>
      <c r="G93" s="4">
        <f>IF(ISNUMBER(SEARCH("营",'19.02'!O93)),(-$Y93+50*IF('19.02'!$AK93="是",'19.02'!$BB$4,'19.02'!$BB$3)),(VLOOKUP('19.02'!O93,'19.02'!$AO$4:$AQ$55,2,FALSE))*IF('19.02'!$AK93="是",'19.02'!$BB$4,'19.02'!$BB$3))</f>
        <v>0</v>
      </c>
      <c r="H93" s="4">
        <f>IF(ISNUMBER(SEARCH("营",'19.02'!P93)),(-$Y93+50*IF('19.02'!$AK93="是",'19.02'!$BB$4,'19.02'!$BB$3)),(VLOOKUP('19.02'!P93,'19.02'!$AO$4:$AQ$55,2,FALSE))*IF('19.02'!$AK93="是",'19.02'!$BB$4,'19.02'!$BB$3))</f>
        <v>0</v>
      </c>
      <c r="I93" s="4">
        <f>IF(ISNUMBER(SEARCH("营",'19.02'!Q93)),(-$Y93+50*IF('19.02'!$AK93="是",'19.02'!$BB$4,'19.02'!$BB$3)),(VLOOKUP('19.02'!Q93,'19.02'!$AO$4:$AQ$55,2,FALSE))*IF('19.02'!$AK93="是",'19.02'!$BB$4,'19.02'!$BB$3))</f>
        <v>0</v>
      </c>
      <c r="J93" s="4">
        <f>IF(ISNUMBER(SEARCH("营",'19.02'!R93)),(-$Y93+50*IF('19.02'!$AK93="是",'19.02'!$BB$4,'19.02'!$BB$3)),(VLOOKUP('19.02'!R93,'19.02'!$AO$4:$AQ$55,2,FALSE))*IF('19.02'!$AK93="是",'19.02'!$BB$4,'19.02'!$BB$3))</f>
        <v>0</v>
      </c>
      <c r="K93" s="4">
        <f>IF(ISNUMBER(SEARCH("营",'19.02'!S93)),(-$Y93+50*IF('19.02'!$AK93="是",'19.02'!$BB$4,'19.02'!$BB$3)),(VLOOKUP('19.02'!S93,'19.02'!$AO$4:$AQ$55,2,FALSE))*IF('19.02'!$AK93="是",'19.02'!$BB$4,'19.02'!$BB$3))</f>
        <v>0</v>
      </c>
      <c r="L93" s="4">
        <f>IF(ISNUMBER(SEARCH("营",'19.02'!T93)),(-$Y93+50*IF('19.02'!$AK93="是",'19.02'!$BB$4,'19.02'!$BB$3)),(VLOOKUP('19.02'!T93,'19.02'!$AO$4:$AQ$55,2,FALSE))*IF('19.02'!$AK93="是",'19.02'!$BB$4,'19.02'!$BB$3))</f>
        <v>0</v>
      </c>
      <c r="M93" s="4">
        <f>IF(ISNUMBER(SEARCH("营",'19.02'!U93)),(-$Y93+50*IF('19.02'!$AK93="是",'19.02'!$BB$4,'19.02'!$BB$3)),(VLOOKUP('19.02'!U93,'19.02'!$AO$4:$AQ$55,2,FALSE))*IF('19.02'!$AK93="是",'19.02'!$BB$4,'19.02'!$BB$3))</f>
        <v>0</v>
      </c>
      <c r="N93" s="4">
        <f>IF(ISNUMBER(SEARCH("营",'19.02'!V93)),(-$Y93+50*IF('19.02'!$AK93="是",'19.02'!$BB$4,'19.02'!$BB$3)),(VLOOKUP('19.02'!V93,'19.02'!$AO$4:$AQ$55,2,FALSE))*IF('19.02'!$AK93="是",'19.02'!$BB$4,'19.02'!$BB$3))</f>
        <v>0</v>
      </c>
      <c r="O93" s="4">
        <f>IF(ISNUMBER(SEARCH("营",'19.02'!W93)),(-$Y93+50*IF('19.02'!$AK93="是",'19.02'!$BB$4,'19.02'!$BB$3)),(VLOOKUP('19.02'!W93,'19.02'!$AO$4:$AQ$55,2,FALSE))*IF('19.02'!$AK93="是",'19.02'!$BB$4,'19.02'!$BB$3))</f>
        <v>0</v>
      </c>
      <c r="P93" s="4">
        <f>IF(ISNUMBER(SEARCH("营",'19.02'!X93)),(-$Y93+50*IF('19.02'!$AK93="是",'19.02'!$BB$4,'19.02'!$BB$3)),(VLOOKUP('19.02'!X93,'19.02'!$AO$4:$AQ$55,2,FALSE))*IF('19.02'!$AK93="是",'19.02'!$BB$4,'19.02'!$BB$3))</f>
        <v>0</v>
      </c>
      <c r="Q93" s="4">
        <f>IF(ISNUMBER(SEARCH("营",'19.02'!Y93)),(-$Y93+50*IF('19.02'!$AK93="是",'19.02'!$BB$4,'19.02'!$BB$3)),(VLOOKUP('19.02'!Y93,'19.02'!$AO$4:$AQ$55,2,FALSE))*IF('19.02'!$AK93="是",'19.02'!$BB$4,'19.02'!$BB$3))</f>
        <v>0</v>
      </c>
      <c r="R93" s="4">
        <f>IF(ISNUMBER(SEARCH("营",'19.02'!Z93)),(-$Y93+50*IF('19.02'!$AK93="是",'19.02'!$BB$4,'19.02'!$BB$3)),(VLOOKUP('19.02'!Z93,'19.02'!$AO$4:$AQ$55,2,FALSE))*IF('19.02'!$AK93="是",'19.02'!$BB$4,'19.02'!$BB$3))</f>
        <v>0</v>
      </c>
      <c r="S93" s="4">
        <f>IF(ISNUMBER(SEARCH("营",'19.02'!AA93)),(-$Y93+50*IF('19.02'!$AK93="是",'19.02'!$BB$4,'19.02'!$BB$3)),(VLOOKUP('19.02'!AA93,'19.02'!$AO$4:$AQ$55,2,FALSE))*IF('19.02'!$AK93="是",'19.02'!$BB$4,'19.02'!$BB$3))</f>
        <v>0</v>
      </c>
      <c r="T93" s="4">
        <f>IF(ISNUMBER(SEARCH("营",'19.02'!AB93)),(-$Y93+50*IF('19.02'!$AK93="是",'19.02'!$BB$4,'19.02'!$BB$3)),(VLOOKUP('19.02'!AB93,'19.02'!$AO$4:$AQ$55,2,FALSE))*IF('19.02'!$AK93="是",'19.02'!$BB$4,'19.02'!$BB$3))</f>
        <v>0</v>
      </c>
      <c r="U93" s="4">
        <f>IF(ISNUMBER(SEARCH("营",'19.02'!AC93)),(-$Y93+50*IF('19.02'!$AK93="是",'19.02'!$BB$4,'19.02'!$BB$3)),(VLOOKUP('19.02'!AC93,'19.02'!$AO$4:$AQ$55,2,FALSE))*IF('19.02'!$AK93="是",'19.02'!$BB$4,'19.02'!$BB$3))</f>
        <v>0</v>
      </c>
      <c r="V93" s="4">
        <f>IF(ISNUMBER(SEARCH("营",'19.02'!AD93)),(-$Y93+50*IF('19.02'!$AK93="是",'19.02'!$BB$4,'19.02'!$BB$3)),(VLOOKUP('19.02'!AD93,'19.02'!$AO$4:$AQ$55,2,FALSE))*IF('19.02'!$AK93="是",'19.02'!$BB$4,'19.02'!$BB$3))</f>
        <v>0</v>
      </c>
      <c r="W93" s="4">
        <f>IF(ISNUMBER(SEARCH("营",'19.02'!AE93)),(-$Y93+50*IF('19.02'!$AK93="是",'19.02'!$BB$4,'19.02'!$BB$3)),(VLOOKUP('19.02'!AE93,'19.02'!$AO$4:$AQ$55,2,FALSE))*IF('19.02'!$AK93="是",'19.02'!$BB$4,'19.02'!$BB$3))</f>
        <v>0</v>
      </c>
      <c r="X93" s="4">
        <f>IF(ISNUMBER(SEARCH("营",'19.02'!AF93)),(-$Y93+50*IF('19.02'!$AK93="是",'19.02'!$BB$4,'19.02'!$BB$3)),(VLOOKUP('19.02'!AF93,'19.02'!$AO$4:$AQ$55,2,FALSE))*IF('19.02'!$AK93="是",'19.02'!$BB$4,'19.02'!$BB$3))</f>
        <v>0</v>
      </c>
      <c r="Y93" s="76">
        <v>100</v>
      </c>
      <c r="Z93" s="85">
        <v>45819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9" t="s">
        <v>58</v>
      </c>
      <c r="B2" s="140"/>
      <c r="C2" s="1" t="s">
        <v>3</v>
      </c>
      <c r="D2" s="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6" t="s">
        <v>3</v>
      </c>
      <c r="L2" s="6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9">
        <f>COUNTIF(Q4:X94,"&lt;&gt;空")</f>
        <v>728</v>
      </c>
      <c r="U2" s="137" t="s">
        <v>4</v>
      </c>
      <c r="V2" s="137"/>
      <c r="W2" s="137"/>
      <c r="X2" s="13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(VLOOKUP('19.02'!I4,'19.02'!$AO$4:$AQ$55,3,FALSE))</f>
        <v>35</v>
      </c>
      <c r="B4" s="4">
        <f>(VLOOKUP('19.02'!J4,'19.02'!$AO$4:$AQ$55,3,FALSE))</f>
        <v>35</v>
      </c>
      <c r="C4" s="4">
        <f>(VLOOKUP('19.02'!K4,'19.02'!$AO$4:$AQ$55,3,FALSE))</f>
        <v>35</v>
      </c>
      <c r="D4" s="4">
        <f>(VLOOKUP('19.02'!L4,'19.02'!$AO$4:$AQ$55,3,FALSE))</f>
        <v>35</v>
      </c>
      <c r="E4" s="4">
        <f>(VLOOKUP('19.02'!M4,'19.02'!$AO$4:$AQ$55,3,FALSE))</f>
        <v>35</v>
      </c>
      <c r="F4" s="4">
        <f>(VLOOKUP('19.02'!N4,'19.02'!$AO$4:$AQ$55,3,FALSE))</f>
        <v>35</v>
      </c>
      <c r="G4" s="5">
        <f>(VLOOKUP('19.02'!O4,'19.02'!$AO$4:$AQ$55,3,FALSE))</f>
        <v>0</v>
      </c>
      <c r="H4" s="5">
        <f>(VLOOKUP('19.02'!P4,'19.02'!$AO$4:$AQ$55,3,FALSE))</f>
        <v>0</v>
      </c>
      <c r="I4" s="4">
        <f>(VLOOKUP('19.02'!Q4,'19.02'!$AO$4:$AQ$55,3,FALSE))</f>
        <v>35</v>
      </c>
      <c r="J4" s="4">
        <f>(VLOOKUP('19.02'!R4,'19.02'!$AO$4:$AQ$55,3,FALSE))</f>
        <v>35</v>
      </c>
      <c r="K4" s="4">
        <f>(VLOOKUP('19.02'!S4,'19.02'!$AO$4:$AQ$55,3,FALSE))</f>
        <v>35</v>
      </c>
      <c r="L4" s="4">
        <f>(VLOOKUP('19.02'!T4,'19.02'!$AO$4:$AQ$55,3,FALSE))</f>
        <v>35</v>
      </c>
      <c r="M4" s="4">
        <f>(VLOOKUP('19.02'!U4,'19.02'!$AO$4:$AQ$55,3,FALSE))</f>
        <v>35</v>
      </c>
      <c r="N4" s="4">
        <f>(VLOOKUP('19.02'!V4,'19.02'!$AO$4:$AQ$55,3,FALSE))</f>
        <v>35</v>
      </c>
      <c r="O4" s="5">
        <f>(VLOOKUP('19.02'!W4,'19.02'!$AO$4:$AQ$55,3,FALSE))</f>
        <v>0</v>
      </c>
      <c r="P4" s="5">
        <f>(VLOOKUP('19.02'!X4,'19.02'!$AO$4:$AQ$55,3,FALSE))</f>
        <v>0</v>
      </c>
      <c r="Q4" s="4">
        <f>(VLOOKUP('19.02'!Y4,'19.02'!$AO$4:$AQ$55,3,FALSE))</f>
        <v>30</v>
      </c>
      <c r="R4" s="4">
        <f>(VLOOKUP('19.02'!Z4,'19.02'!$AO$4:$AQ$55,3,FALSE))</f>
        <v>35</v>
      </c>
      <c r="S4" s="4">
        <f>(VLOOKUP('19.02'!AA4,'19.02'!$AO$4:$AQ$55,3,FALSE))</f>
        <v>35</v>
      </c>
      <c r="T4" s="4">
        <f>(VLOOKUP('19.02'!AB4,'19.02'!$AO$4:$AQ$55,3,FALSE))</f>
        <v>35</v>
      </c>
      <c r="U4" s="4">
        <f>(VLOOKUP('19.02'!AC4,'19.02'!$AO$4:$AQ$55,3,FALSE))</f>
        <v>35</v>
      </c>
      <c r="V4" s="4">
        <f>(VLOOKUP('19.02'!AD4,'19.02'!$AO$4:$AQ$55,3,FALSE))</f>
        <v>35</v>
      </c>
      <c r="W4" s="5">
        <f>(VLOOKUP('19.02'!AE4,'19.02'!$AO$4:$AQ$55,3,FALSE))</f>
        <v>0</v>
      </c>
      <c r="X4" s="5">
        <f>(VLOOKUP('19.02'!AF4,'19.02'!$AO$4:$AQ$55,3,FALSE))</f>
        <v>0</v>
      </c>
    </row>
    <row r="5" spans="1:24">
      <c r="A5" s="4">
        <f>(VLOOKUP('19.02'!I5,'19.02'!$AO$4:$AQ$55,3,FALSE))</f>
        <v>0</v>
      </c>
      <c r="B5" s="4">
        <f>(VLOOKUP('19.02'!J5,'19.02'!$AO$4:$AQ$55,3,FALSE))</f>
        <v>0</v>
      </c>
      <c r="C5" s="4">
        <f>(VLOOKUP('19.02'!K5,'19.02'!$AO$4:$AQ$55,3,FALSE))</f>
        <v>0</v>
      </c>
      <c r="D5" s="4">
        <f>(VLOOKUP('19.02'!L5,'19.02'!$AO$4:$AQ$55,3,FALSE))</f>
        <v>0</v>
      </c>
      <c r="E5" s="4">
        <f>(VLOOKUP('19.02'!M5,'19.02'!$AO$4:$AQ$55,3,FALSE))</f>
        <v>0</v>
      </c>
      <c r="F5" s="4">
        <f>(VLOOKUP('19.02'!N5,'19.02'!$AO$4:$AQ$55,3,FALSE))</f>
        <v>0</v>
      </c>
      <c r="G5" s="5">
        <f>(VLOOKUP('19.02'!O5,'19.02'!$AO$4:$AQ$55,3,FALSE))</f>
        <v>0</v>
      </c>
      <c r="H5" s="5">
        <f>(VLOOKUP('19.02'!P5,'19.02'!$AO$4:$AQ$55,3,FALSE))</f>
        <v>0</v>
      </c>
      <c r="I5" s="4">
        <f>(VLOOKUP('19.02'!Q5,'19.02'!$AO$4:$AQ$55,3,FALSE))</f>
        <v>40</v>
      </c>
      <c r="J5" s="4">
        <f>(VLOOKUP('19.02'!R5,'19.02'!$AO$4:$AQ$55,3,FALSE))</f>
        <v>40</v>
      </c>
      <c r="K5" s="4">
        <f>(VLOOKUP('19.02'!S5,'19.02'!$AO$4:$AQ$55,3,FALSE))</f>
        <v>40</v>
      </c>
      <c r="L5" s="4">
        <f>(VLOOKUP('19.02'!T5,'19.02'!$AO$4:$AQ$55,3,FALSE))</f>
        <v>30</v>
      </c>
      <c r="M5" s="4">
        <f>(VLOOKUP('19.02'!U5,'19.02'!$AO$4:$AQ$55,3,FALSE))</f>
        <v>40</v>
      </c>
      <c r="N5" s="4">
        <f>(VLOOKUP('19.02'!V5,'19.02'!$AO$4:$AQ$55,3,FALSE))</f>
        <v>40</v>
      </c>
      <c r="O5" s="5">
        <f>(VLOOKUP('19.02'!W5,'19.02'!$AO$4:$AQ$55,3,FALSE))</f>
        <v>0</v>
      </c>
      <c r="P5" s="5">
        <f>(VLOOKUP('19.02'!X5,'19.02'!$AO$4:$AQ$55,3,FALSE))</f>
        <v>0</v>
      </c>
      <c r="Q5" s="4">
        <f>(VLOOKUP('19.02'!Y5,'19.02'!$AO$4:$AQ$55,3,FALSE))</f>
        <v>35</v>
      </c>
      <c r="R5" s="4">
        <f>(VLOOKUP('19.02'!Z5,'19.02'!$AO$4:$AQ$55,3,FALSE))</f>
        <v>35</v>
      </c>
      <c r="S5" s="4">
        <f>(VLOOKUP('19.02'!AA5,'19.02'!$AO$4:$AQ$55,3,FALSE))</f>
        <v>35</v>
      </c>
      <c r="T5" s="4">
        <f>(VLOOKUP('19.02'!AB5,'19.02'!$AO$4:$AQ$55,3,FALSE))</f>
        <v>35</v>
      </c>
      <c r="U5" s="4">
        <f>(VLOOKUP('19.02'!AC5,'19.02'!$AO$4:$AQ$55,3,FALSE))</f>
        <v>40</v>
      </c>
      <c r="V5" s="4">
        <f>(VLOOKUP('19.02'!AD5,'19.02'!$AO$4:$AQ$55,3,FALSE))</f>
        <v>40</v>
      </c>
      <c r="W5" s="5">
        <f>(VLOOKUP('19.02'!AE5,'19.02'!$AO$4:$AQ$55,3,FALSE))</f>
        <v>0</v>
      </c>
      <c r="X5" s="5">
        <f>(VLOOKUP('19.02'!AF5,'19.02'!$AO$4:$AQ$55,3,FALSE))</f>
        <v>0</v>
      </c>
    </row>
    <row r="6" spans="1:24">
      <c r="A6" s="4">
        <f>(VLOOKUP('19.02'!I6,'19.02'!$AO$4:$AQ$55,3,FALSE))</f>
        <v>0</v>
      </c>
      <c r="B6" s="4">
        <f>(VLOOKUP('19.02'!J6,'19.02'!$AO$4:$AQ$55,3,FALSE))</f>
        <v>0</v>
      </c>
      <c r="C6" s="4">
        <f>(VLOOKUP('19.02'!K6,'19.02'!$AO$4:$AQ$55,3,FALSE))</f>
        <v>0</v>
      </c>
      <c r="D6" s="4">
        <f>(VLOOKUP('19.02'!L6,'19.02'!$AO$4:$AQ$55,3,FALSE))</f>
        <v>0</v>
      </c>
      <c r="E6" s="4">
        <f>(VLOOKUP('19.02'!M6,'19.02'!$AO$4:$AQ$55,3,FALSE))</f>
        <v>0</v>
      </c>
      <c r="F6" s="4">
        <f>(VLOOKUP('19.02'!N6,'19.02'!$AO$4:$AQ$55,3,FALSE))</f>
        <v>0</v>
      </c>
      <c r="G6" s="5">
        <f>(VLOOKUP('19.02'!O6,'19.02'!$AO$4:$AQ$55,3,FALSE))</f>
        <v>0</v>
      </c>
      <c r="H6" s="5">
        <f>(VLOOKUP('19.02'!P6,'19.02'!$AO$4:$AQ$55,3,FALSE))</f>
        <v>0</v>
      </c>
      <c r="I6" s="4">
        <f>(VLOOKUP('19.02'!Q6,'19.02'!$AO$4:$AQ$55,3,FALSE))</f>
        <v>40</v>
      </c>
      <c r="J6" s="4">
        <f>(VLOOKUP('19.02'!R6,'19.02'!$AO$4:$AQ$55,3,FALSE))</f>
        <v>40</v>
      </c>
      <c r="K6" s="4">
        <f>(VLOOKUP('19.02'!S6,'19.02'!$AO$4:$AQ$55,3,FALSE))</f>
        <v>40</v>
      </c>
      <c r="L6" s="4">
        <f>(VLOOKUP('19.02'!T6,'19.02'!$AO$4:$AQ$55,3,FALSE))</f>
        <v>40</v>
      </c>
      <c r="M6" s="4">
        <f>(VLOOKUP('19.02'!U6,'19.02'!$AO$4:$AQ$55,3,FALSE))</f>
        <v>40</v>
      </c>
      <c r="N6" s="4">
        <f>(VLOOKUP('19.02'!V6,'19.02'!$AO$4:$AQ$55,3,FALSE))</f>
        <v>40</v>
      </c>
      <c r="O6" s="5">
        <f>(VLOOKUP('19.02'!W6,'19.02'!$AO$4:$AQ$55,3,FALSE))</f>
        <v>0</v>
      </c>
      <c r="P6" s="5">
        <f>(VLOOKUP('19.02'!X6,'19.02'!$AO$4:$AQ$55,3,FALSE))</f>
        <v>0</v>
      </c>
      <c r="Q6" s="4">
        <f>(VLOOKUP('19.02'!Y6,'19.02'!$AO$4:$AQ$55,3,FALSE))</f>
        <v>40</v>
      </c>
      <c r="R6" s="4">
        <f>(VLOOKUP('19.02'!Z6,'19.02'!$AO$4:$AQ$55,3,FALSE))</f>
        <v>40</v>
      </c>
      <c r="S6" s="4">
        <f>(VLOOKUP('19.02'!AA6,'19.02'!$AO$4:$AQ$55,3,FALSE))</f>
        <v>40</v>
      </c>
      <c r="T6" s="4">
        <f>(VLOOKUP('19.02'!AB6,'19.02'!$AO$4:$AQ$55,3,FALSE))</f>
        <v>40</v>
      </c>
      <c r="U6" s="4">
        <f>(VLOOKUP('19.02'!AC6,'19.02'!$AO$4:$AQ$55,3,FALSE))</f>
        <v>40</v>
      </c>
      <c r="V6" s="4">
        <f>(VLOOKUP('19.02'!AD6,'19.02'!$AO$4:$AQ$55,3,FALSE))</f>
        <v>40</v>
      </c>
      <c r="W6" s="5">
        <f>(VLOOKUP('19.02'!AE6,'19.02'!$AO$4:$AQ$55,3,FALSE))</f>
        <v>0</v>
      </c>
      <c r="X6" s="5">
        <f>(VLOOKUP('19.02'!AF6,'19.02'!$AO$4:$AQ$55,3,FALSE))</f>
        <v>0</v>
      </c>
    </row>
    <row r="7" spans="1:24">
      <c r="A7" s="4">
        <f>(VLOOKUP('19.02'!I7,'19.02'!$AO$4:$AQ$55,3,FALSE))</f>
        <v>0</v>
      </c>
      <c r="B7" s="4">
        <f>(VLOOKUP('19.02'!J7,'19.02'!$AO$4:$AQ$55,3,FALSE))</f>
        <v>0</v>
      </c>
      <c r="C7" s="4">
        <f>(VLOOKUP('19.02'!K7,'19.02'!$AO$4:$AQ$55,3,FALSE))</f>
        <v>0</v>
      </c>
      <c r="D7" s="4">
        <f>(VLOOKUP('19.02'!L7,'19.02'!$AO$4:$AQ$55,3,FALSE))</f>
        <v>0</v>
      </c>
      <c r="E7" s="4">
        <f>(VLOOKUP('19.02'!M7,'19.02'!$AO$4:$AQ$55,3,FALSE))</f>
        <v>0</v>
      </c>
      <c r="F7" s="4">
        <f>(VLOOKUP('19.02'!N7,'19.02'!$AO$4:$AQ$55,3,FALSE))</f>
        <v>0</v>
      </c>
      <c r="G7" s="5">
        <f>(VLOOKUP('19.02'!O7,'19.02'!$AO$4:$AQ$55,3,FALSE))</f>
        <v>0</v>
      </c>
      <c r="H7" s="5">
        <f>(VLOOKUP('19.02'!P7,'19.02'!$AO$4:$AQ$55,3,FALSE))</f>
        <v>0</v>
      </c>
      <c r="I7" s="4">
        <f>(VLOOKUP('19.02'!Q7,'19.02'!$AO$4:$AQ$55,3,FALSE))</f>
        <v>40</v>
      </c>
      <c r="J7" s="4">
        <f>(VLOOKUP('19.02'!R7,'19.02'!$AO$4:$AQ$55,3,FALSE))</f>
        <v>520</v>
      </c>
      <c r="K7" s="4">
        <f>(VLOOKUP('19.02'!S7,'19.02'!$AO$4:$AQ$55,3,FALSE))</f>
        <v>40</v>
      </c>
      <c r="L7" s="4">
        <f>(VLOOKUP('19.02'!T7,'19.02'!$AO$4:$AQ$55,3,FALSE))</f>
        <v>40</v>
      </c>
      <c r="M7" s="4">
        <f>(VLOOKUP('19.02'!U7,'19.02'!$AO$4:$AQ$55,3,FALSE))</f>
        <v>0</v>
      </c>
      <c r="N7" s="4">
        <f>(VLOOKUP('19.02'!V7,'19.02'!$AO$4:$AQ$55,3,FALSE))</f>
        <v>40</v>
      </c>
      <c r="O7" s="5">
        <f>(VLOOKUP('19.02'!W7,'19.02'!$AO$4:$AQ$55,3,FALSE))</f>
        <v>50</v>
      </c>
      <c r="P7" s="5">
        <f>(VLOOKUP('19.02'!X7,'19.02'!$AO$4:$AQ$55,3,FALSE))</f>
        <v>50</v>
      </c>
      <c r="Q7" s="4">
        <f>(VLOOKUP('19.02'!Y7,'19.02'!$AO$4:$AQ$55,3,FALSE))</f>
        <v>35</v>
      </c>
      <c r="R7" s="4">
        <f>(VLOOKUP('19.02'!Z7,'19.02'!$AO$4:$AQ$55,3,FALSE))</f>
        <v>40</v>
      </c>
      <c r="S7" s="4">
        <f>(VLOOKUP('19.02'!AA7,'19.02'!$AO$4:$AQ$55,3,FALSE))</f>
        <v>40</v>
      </c>
      <c r="T7" s="4">
        <f>(VLOOKUP('19.02'!AB7,'19.02'!$AO$4:$AQ$55,3,FALSE))</f>
        <v>30</v>
      </c>
      <c r="U7" s="4">
        <f>(VLOOKUP('19.02'!AC7,'19.02'!$AO$4:$AQ$55,3,FALSE))</f>
        <v>40</v>
      </c>
      <c r="V7" s="4">
        <f>(VLOOKUP('19.02'!AD7,'19.02'!$AO$4:$AQ$55,3,FALSE))</f>
        <v>35</v>
      </c>
      <c r="W7" s="5">
        <f>(VLOOKUP('19.02'!AE7,'19.02'!$AO$4:$AQ$55,3,FALSE))</f>
        <v>0</v>
      </c>
      <c r="X7" s="5">
        <f>(VLOOKUP('19.02'!AF7,'19.02'!$AO$4:$AQ$55,3,FALSE))</f>
        <v>0</v>
      </c>
    </row>
    <row r="8" spans="1:24">
      <c r="A8" s="4">
        <f>(VLOOKUP('19.02'!I8,'19.02'!$AO$4:$AQ$55,3,FALSE))</f>
        <v>0</v>
      </c>
      <c r="B8" s="4">
        <f>(VLOOKUP('19.02'!J8,'19.02'!$AO$4:$AQ$55,3,FALSE))</f>
        <v>0</v>
      </c>
      <c r="C8" s="4">
        <f>(VLOOKUP('19.02'!K8,'19.02'!$AO$4:$AQ$55,3,FALSE))</f>
        <v>0</v>
      </c>
      <c r="D8" s="4">
        <f>(VLOOKUP('19.02'!L8,'19.02'!$AO$4:$AQ$55,3,FALSE))</f>
        <v>0</v>
      </c>
      <c r="E8" s="4">
        <f>(VLOOKUP('19.02'!M8,'19.02'!$AO$4:$AQ$55,3,FALSE))</f>
        <v>0</v>
      </c>
      <c r="F8" s="4">
        <f>(VLOOKUP('19.02'!N8,'19.02'!$AO$4:$AQ$55,3,FALSE))</f>
        <v>0</v>
      </c>
      <c r="G8" s="5">
        <f>(VLOOKUP('19.02'!O8,'19.02'!$AO$4:$AQ$55,3,FALSE))</f>
        <v>0</v>
      </c>
      <c r="H8" s="5">
        <f>(VLOOKUP('19.02'!P8,'19.02'!$AO$4:$AQ$55,3,FALSE))</f>
        <v>0</v>
      </c>
      <c r="I8" s="4">
        <f>(VLOOKUP('19.02'!Q8,'19.02'!$AO$4:$AQ$55,3,FALSE))</f>
        <v>50</v>
      </c>
      <c r="J8" s="4">
        <f>(VLOOKUP('19.02'!R8,'19.02'!$AO$4:$AQ$55,3,FALSE))</f>
        <v>0</v>
      </c>
      <c r="K8" s="4">
        <f>(VLOOKUP('19.02'!S8,'19.02'!$AO$4:$AQ$55,3,FALSE))</f>
        <v>50</v>
      </c>
      <c r="L8" s="4">
        <f>(VLOOKUP('19.02'!T8,'19.02'!$AO$4:$AQ$55,3,FALSE))</f>
        <v>45</v>
      </c>
      <c r="M8" s="4">
        <f>(VLOOKUP('19.02'!U8,'19.02'!$AO$4:$AQ$55,3,FALSE))</f>
        <v>45</v>
      </c>
      <c r="N8" s="4">
        <f>(VLOOKUP('19.02'!V8,'19.02'!$AO$4:$AQ$55,3,FALSE))</f>
        <v>300</v>
      </c>
      <c r="O8" s="5">
        <f>(VLOOKUP('19.02'!W8,'19.02'!$AO$4:$AQ$55,3,FALSE))</f>
        <v>45</v>
      </c>
      <c r="P8" s="5">
        <f>(VLOOKUP('19.02'!X8,'19.02'!$AO$4:$AQ$55,3,FALSE))</f>
        <v>45</v>
      </c>
      <c r="Q8" s="4">
        <f>(VLOOKUP('19.02'!Y8,'19.02'!$AO$4:$AQ$55,3,FALSE))</f>
        <v>45</v>
      </c>
      <c r="R8" s="4">
        <f>(VLOOKUP('19.02'!Z8,'19.02'!$AO$4:$AQ$55,3,FALSE))</f>
        <v>45</v>
      </c>
      <c r="S8" s="4">
        <f>(VLOOKUP('19.02'!AA8,'19.02'!$AO$4:$AQ$55,3,FALSE))</f>
        <v>45</v>
      </c>
      <c r="T8" s="4">
        <f>(VLOOKUP('19.02'!AB8,'19.02'!$AO$4:$AQ$55,3,FALSE))</f>
        <v>45</v>
      </c>
      <c r="U8" s="4">
        <f>(VLOOKUP('19.02'!AC8,'19.02'!$AO$4:$AQ$55,3,FALSE))</f>
        <v>45</v>
      </c>
      <c r="V8" s="4">
        <f>(VLOOKUP('19.02'!AD8,'19.02'!$AO$4:$AQ$55,3,FALSE))</f>
        <v>45</v>
      </c>
      <c r="W8" s="5">
        <f>(VLOOKUP('19.02'!AE8,'19.02'!$AO$4:$AQ$55,3,FALSE))</f>
        <v>0</v>
      </c>
      <c r="X8" s="5">
        <f>(VLOOKUP('19.02'!AF8,'19.02'!$AO$4:$AQ$55,3,FALSE))</f>
        <v>0</v>
      </c>
    </row>
    <row r="9" spans="1:24">
      <c r="A9" s="4">
        <f>(VLOOKUP('19.02'!I9,'19.02'!$AO$4:$AQ$55,3,FALSE))</f>
        <v>0</v>
      </c>
      <c r="B9" s="4">
        <f>(VLOOKUP('19.02'!J9,'19.02'!$AO$4:$AQ$55,3,FALSE))</f>
        <v>0</v>
      </c>
      <c r="C9" s="4">
        <f>(VLOOKUP('19.02'!K9,'19.02'!$AO$4:$AQ$55,3,FALSE))</f>
        <v>0</v>
      </c>
      <c r="D9" s="4">
        <f>(VLOOKUP('19.02'!L9,'19.02'!$AO$4:$AQ$55,3,FALSE))</f>
        <v>0</v>
      </c>
      <c r="E9" s="4">
        <f>(VLOOKUP('19.02'!M9,'19.02'!$AO$4:$AQ$55,3,FALSE))</f>
        <v>0</v>
      </c>
      <c r="F9" s="4">
        <f>(VLOOKUP('19.02'!N9,'19.02'!$AO$4:$AQ$55,3,FALSE))</f>
        <v>0</v>
      </c>
      <c r="G9" s="5">
        <f>(VLOOKUP('19.02'!O9,'19.02'!$AO$4:$AQ$55,3,FALSE))</f>
        <v>0</v>
      </c>
      <c r="H9" s="5">
        <f>(VLOOKUP('19.02'!P9,'19.02'!$AO$4:$AQ$55,3,FALSE))</f>
        <v>0</v>
      </c>
      <c r="I9" s="4">
        <f>(VLOOKUP('19.02'!Q9,'19.02'!$AO$4:$AQ$55,3,FALSE))</f>
        <v>45</v>
      </c>
      <c r="J9" s="4">
        <f>(VLOOKUP('19.02'!R9,'19.02'!$AO$4:$AQ$55,3,FALSE))</f>
        <v>45</v>
      </c>
      <c r="K9" s="4">
        <f>(VLOOKUP('19.02'!S9,'19.02'!$AO$4:$AQ$55,3,FALSE))</f>
        <v>0</v>
      </c>
      <c r="L9" s="4">
        <f>(VLOOKUP('19.02'!T9,'19.02'!$AO$4:$AQ$55,3,FALSE))</f>
        <v>45</v>
      </c>
      <c r="M9" s="4">
        <f>(VLOOKUP('19.02'!U9,'19.02'!$AO$4:$AQ$55,3,FALSE))</f>
        <v>45</v>
      </c>
      <c r="N9" s="4">
        <f>(VLOOKUP('19.02'!V9,'19.02'!$AO$4:$AQ$55,3,FALSE))</f>
        <v>45</v>
      </c>
      <c r="O9" s="5">
        <f>(VLOOKUP('19.02'!W9,'19.02'!$AO$4:$AQ$55,3,FALSE))</f>
        <v>45</v>
      </c>
      <c r="P9" s="5">
        <f>(VLOOKUP('19.02'!X9,'19.02'!$AO$4:$AQ$55,3,FALSE))</f>
        <v>30</v>
      </c>
      <c r="Q9" s="4">
        <f>(VLOOKUP('19.02'!Y9,'19.02'!$AO$4:$AQ$55,3,FALSE))</f>
        <v>35</v>
      </c>
      <c r="R9" s="4">
        <f>(VLOOKUP('19.02'!Z9,'19.02'!$AO$4:$AQ$55,3,FALSE))</f>
        <v>45</v>
      </c>
      <c r="S9" s="4">
        <f>(VLOOKUP('19.02'!AA9,'19.02'!$AO$4:$AQ$55,3,FALSE))</f>
        <v>30</v>
      </c>
      <c r="T9" s="4">
        <f>(VLOOKUP('19.02'!AB9,'19.02'!$AO$4:$AQ$55,3,FALSE))</f>
        <v>45</v>
      </c>
      <c r="U9" s="4">
        <f>(VLOOKUP('19.02'!AC9,'19.02'!$AO$4:$AQ$55,3,FALSE))</f>
        <v>45</v>
      </c>
      <c r="V9" s="4">
        <f>(VLOOKUP('19.02'!AD9,'19.02'!$AO$4:$AQ$55,3,FALSE))</f>
        <v>45</v>
      </c>
      <c r="W9" s="5">
        <f>(VLOOKUP('19.02'!AE9,'19.02'!$AO$4:$AQ$55,3,FALSE))</f>
        <v>0</v>
      </c>
      <c r="X9" s="5">
        <f>(VLOOKUP('19.02'!AF9,'19.02'!$AO$4:$AQ$55,3,FALSE))</f>
        <v>0</v>
      </c>
    </row>
    <row r="10" spans="1:24">
      <c r="A10" s="4">
        <f>(VLOOKUP('19.02'!I10,'19.02'!$AO$4:$AQ$55,3,FALSE))</f>
        <v>0</v>
      </c>
      <c r="B10" s="4">
        <f>(VLOOKUP('19.02'!J10,'19.02'!$AO$4:$AQ$55,3,FALSE))</f>
        <v>0</v>
      </c>
      <c r="C10" s="4">
        <f>(VLOOKUP('19.02'!K10,'19.02'!$AO$4:$AQ$55,3,FALSE))</f>
        <v>0</v>
      </c>
      <c r="D10" s="4">
        <f>(VLOOKUP('19.02'!L10,'19.02'!$AO$4:$AQ$55,3,FALSE))</f>
        <v>0</v>
      </c>
      <c r="E10" s="4">
        <f>(VLOOKUP('19.02'!M10,'19.02'!$AO$4:$AQ$55,3,FALSE))</f>
        <v>0</v>
      </c>
      <c r="F10" s="4">
        <f>(VLOOKUP('19.02'!N10,'19.02'!$AO$4:$AQ$55,3,FALSE))</f>
        <v>0</v>
      </c>
      <c r="G10" s="5">
        <f>(VLOOKUP('19.02'!O10,'19.02'!$AO$4:$AQ$55,3,FALSE))</f>
        <v>0</v>
      </c>
      <c r="H10" s="5">
        <f>(VLOOKUP('19.02'!P10,'19.02'!$AO$4:$AQ$55,3,FALSE))</f>
        <v>0</v>
      </c>
      <c r="I10" s="4">
        <f>(VLOOKUP('19.02'!Q10,'19.02'!$AO$4:$AQ$55,3,FALSE))</f>
        <v>45</v>
      </c>
      <c r="J10" s="4">
        <f>(VLOOKUP('19.02'!R10,'19.02'!$AO$4:$AQ$55,3,FALSE))</f>
        <v>45</v>
      </c>
      <c r="K10" s="4">
        <f>(VLOOKUP('19.02'!S10,'19.02'!$AO$4:$AQ$55,3,FALSE))</f>
        <v>45</v>
      </c>
      <c r="L10" s="4">
        <f>(VLOOKUP('19.02'!T10,'19.02'!$AO$4:$AQ$55,3,FALSE))</f>
        <v>45</v>
      </c>
      <c r="M10" s="4">
        <f>(VLOOKUP('19.02'!U10,'19.02'!$AO$4:$AQ$55,3,FALSE))</f>
        <v>45</v>
      </c>
      <c r="N10" s="4">
        <f>(VLOOKUP('19.02'!V10,'19.02'!$AO$4:$AQ$55,3,FALSE))</f>
        <v>45</v>
      </c>
      <c r="O10" s="5">
        <f>(VLOOKUP('19.02'!W10,'19.02'!$AO$4:$AQ$55,3,FALSE))</f>
        <v>30</v>
      </c>
      <c r="P10" s="5">
        <f>(VLOOKUP('19.02'!X10,'19.02'!$AO$4:$AQ$55,3,FALSE))</f>
        <v>0</v>
      </c>
      <c r="Q10" s="4">
        <f>(VLOOKUP('19.02'!Y10,'19.02'!$AO$4:$AQ$55,3,FALSE))</f>
        <v>45</v>
      </c>
      <c r="R10" s="4">
        <f>(VLOOKUP('19.02'!Z10,'19.02'!$AO$4:$AQ$55,3,FALSE))</f>
        <v>45</v>
      </c>
      <c r="S10" s="4">
        <f>(VLOOKUP('19.02'!AA10,'19.02'!$AO$4:$AQ$55,3,FALSE))</f>
        <v>45</v>
      </c>
      <c r="T10" s="4">
        <f>(VLOOKUP('19.02'!AB10,'19.02'!$AO$4:$AQ$55,3,FALSE))</f>
        <v>45</v>
      </c>
      <c r="U10" s="4">
        <f>(VLOOKUP('19.02'!AC10,'19.02'!$AO$4:$AQ$55,3,FALSE))</f>
        <v>45</v>
      </c>
      <c r="V10" s="4">
        <f>(VLOOKUP('19.02'!AD10,'19.02'!$AO$4:$AQ$55,3,FALSE))</f>
        <v>45</v>
      </c>
      <c r="W10" s="5">
        <f>(VLOOKUP('19.02'!AE10,'19.02'!$AO$4:$AQ$55,3,FALSE))</f>
        <v>0</v>
      </c>
      <c r="X10" s="5">
        <f>(VLOOKUP('19.02'!AF10,'19.02'!$AO$4:$AQ$55,3,FALSE))</f>
        <v>0</v>
      </c>
    </row>
    <row r="11" spans="1:24">
      <c r="A11" s="4">
        <f>(VLOOKUP('19.02'!I11,'19.02'!$AO$4:$AQ$55,3,FALSE))</f>
        <v>0</v>
      </c>
      <c r="B11" s="4">
        <f>(VLOOKUP('19.02'!J11,'19.02'!$AO$4:$AQ$55,3,FALSE))</f>
        <v>0</v>
      </c>
      <c r="C11" s="4">
        <f>(VLOOKUP('19.02'!K11,'19.02'!$AO$4:$AQ$55,3,FALSE))</f>
        <v>0</v>
      </c>
      <c r="D11" s="4">
        <f>(VLOOKUP('19.02'!L11,'19.02'!$AO$4:$AQ$55,3,FALSE))</f>
        <v>0</v>
      </c>
      <c r="E11" s="4">
        <f>(VLOOKUP('19.02'!M11,'19.02'!$AO$4:$AQ$55,3,FALSE))</f>
        <v>0</v>
      </c>
      <c r="F11" s="4">
        <f>(VLOOKUP('19.02'!N11,'19.02'!$AO$4:$AQ$55,3,FALSE))</f>
        <v>0</v>
      </c>
      <c r="G11" s="5">
        <f>(VLOOKUP('19.02'!O11,'19.02'!$AO$4:$AQ$55,3,FALSE))</f>
        <v>0</v>
      </c>
      <c r="H11" s="5">
        <f>(VLOOKUP('19.02'!P11,'19.02'!$AO$4:$AQ$55,3,FALSE))</f>
        <v>0</v>
      </c>
      <c r="I11" s="4">
        <f>(VLOOKUP('19.02'!Q11,'19.02'!$AO$4:$AQ$55,3,FALSE))</f>
        <v>45</v>
      </c>
      <c r="J11" s="4">
        <f>(VLOOKUP('19.02'!R11,'19.02'!$AO$4:$AQ$55,3,FALSE))</f>
        <v>45</v>
      </c>
      <c r="K11" s="4">
        <f>(VLOOKUP('19.02'!S11,'19.02'!$AO$4:$AQ$55,3,FALSE))</f>
        <v>45</v>
      </c>
      <c r="L11" s="4">
        <f>(VLOOKUP('19.02'!T11,'19.02'!$AO$4:$AQ$55,3,FALSE))</f>
        <v>0</v>
      </c>
      <c r="M11" s="4">
        <f>(VLOOKUP('19.02'!U11,'19.02'!$AO$4:$AQ$55,3,FALSE))</f>
        <v>45</v>
      </c>
      <c r="N11" s="4">
        <f>(VLOOKUP('19.02'!V11,'19.02'!$AO$4:$AQ$55,3,FALSE))</f>
        <v>45</v>
      </c>
      <c r="O11" s="5">
        <f>(VLOOKUP('19.02'!W11,'19.02'!$AO$4:$AQ$55,3,FALSE))</f>
        <v>45</v>
      </c>
      <c r="P11" s="5">
        <f>(VLOOKUP('19.02'!X11,'19.02'!$AO$4:$AQ$55,3,FALSE))</f>
        <v>45</v>
      </c>
      <c r="Q11" s="4">
        <f>(VLOOKUP('19.02'!Y11,'19.02'!$AO$4:$AQ$55,3,FALSE))</f>
        <v>45</v>
      </c>
      <c r="R11" s="4">
        <f>(VLOOKUP('19.02'!Z11,'19.02'!$AO$4:$AQ$55,3,FALSE))</f>
        <v>45</v>
      </c>
      <c r="S11" s="4">
        <f>(VLOOKUP('19.02'!AA11,'19.02'!$AO$4:$AQ$55,3,FALSE))</f>
        <v>45</v>
      </c>
      <c r="T11" s="4">
        <f>(VLOOKUP('19.02'!AB11,'19.02'!$AO$4:$AQ$55,3,FALSE))</f>
        <v>45</v>
      </c>
      <c r="U11" s="4">
        <f>(VLOOKUP('19.02'!AC11,'19.02'!$AO$4:$AQ$55,3,FALSE))</f>
        <v>45</v>
      </c>
      <c r="V11" s="4">
        <f>(VLOOKUP('19.02'!AD11,'19.02'!$AO$4:$AQ$55,3,FALSE))</f>
        <v>50</v>
      </c>
      <c r="W11" s="5">
        <f>(VLOOKUP('19.02'!AE11,'19.02'!$AO$4:$AQ$55,3,FALSE))</f>
        <v>0</v>
      </c>
      <c r="X11" s="5">
        <f>(VLOOKUP('19.02'!AF11,'19.02'!$AO$4:$AQ$55,3,FALSE))</f>
        <v>0</v>
      </c>
    </row>
    <row r="12" spans="1:24">
      <c r="A12" s="4">
        <f>(VLOOKUP('19.02'!I12,'19.02'!$AO$4:$AQ$55,3,FALSE))</f>
        <v>0</v>
      </c>
      <c r="B12" s="4">
        <f>(VLOOKUP('19.02'!J12,'19.02'!$AO$4:$AQ$55,3,FALSE))</f>
        <v>0</v>
      </c>
      <c r="C12" s="4">
        <f>(VLOOKUP('19.02'!K12,'19.02'!$AO$4:$AQ$55,3,FALSE))</f>
        <v>0</v>
      </c>
      <c r="D12" s="4">
        <f>(VLOOKUP('19.02'!L12,'19.02'!$AO$4:$AQ$55,3,FALSE))</f>
        <v>0</v>
      </c>
      <c r="E12" s="4">
        <f>(VLOOKUP('19.02'!M12,'19.02'!$AO$4:$AQ$55,3,FALSE))</f>
        <v>0</v>
      </c>
      <c r="F12" s="4">
        <f>(VLOOKUP('19.02'!N12,'19.02'!$AO$4:$AQ$55,3,FALSE))</f>
        <v>0</v>
      </c>
      <c r="G12" s="5">
        <f>(VLOOKUP('19.02'!O12,'19.02'!$AO$4:$AQ$55,3,FALSE))</f>
        <v>0</v>
      </c>
      <c r="H12" s="5">
        <f>(VLOOKUP('19.02'!P12,'19.02'!$AO$4:$AQ$55,3,FALSE))</f>
        <v>0</v>
      </c>
      <c r="I12" s="4">
        <f>(VLOOKUP('19.02'!Q12,'19.02'!$AO$4:$AQ$55,3,FALSE))</f>
        <v>45</v>
      </c>
      <c r="J12" s="4">
        <f>(VLOOKUP('19.02'!R12,'19.02'!$AO$4:$AQ$55,3,FALSE))</f>
        <v>45</v>
      </c>
      <c r="K12" s="4">
        <f>(VLOOKUP('19.02'!S12,'19.02'!$AO$4:$AQ$55,3,FALSE))</f>
        <v>30</v>
      </c>
      <c r="L12" s="4">
        <f>(VLOOKUP('19.02'!T12,'19.02'!$AO$4:$AQ$55,3,FALSE))</f>
        <v>45</v>
      </c>
      <c r="M12" s="4">
        <f>(VLOOKUP('19.02'!U12,'19.02'!$AO$4:$AQ$55,3,FALSE))</f>
        <v>45</v>
      </c>
      <c r="N12" s="4">
        <f>(VLOOKUP('19.02'!V12,'19.02'!$AO$4:$AQ$55,3,FALSE))</f>
        <v>45</v>
      </c>
      <c r="O12" s="5">
        <f>(VLOOKUP('19.02'!W12,'19.02'!$AO$4:$AQ$55,3,FALSE))</f>
        <v>0</v>
      </c>
      <c r="P12" s="5">
        <f>(VLOOKUP('19.02'!X12,'19.02'!$AO$4:$AQ$55,3,FALSE))</f>
        <v>0</v>
      </c>
      <c r="Q12" s="4">
        <f>(VLOOKUP('19.02'!Y12,'19.02'!$AO$4:$AQ$55,3,FALSE))</f>
        <v>50</v>
      </c>
      <c r="R12" s="4">
        <f>(VLOOKUP('19.02'!Z12,'19.02'!$AO$4:$AQ$55,3,FALSE))</f>
        <v>50</v>
      </c>
      <c r="S12" s="4">
        <f>(VLOOKUP('19.02'!AA12,'19.02'!$AO$4:$AQ$55,3,FALSE))</f>
        <v>50</v>
      </c>
      <c r="T12" s="4">
        <f>(VLOOKUP('19.02'!AB12,'19.02'!$AO$4:$AQ$55,3,FALSE))</f>
        <v>45</v>
      </c>
      <c r="U12" s="4">
        <f>(VLOOKUP('19.02'!AC12,'19.02'!$AO$4:$AQ$55,3,FALSE))</f>
        <v>45</v>
      </c>
      <c r="V12" s="4">
        <f>(VLOOKUP('19.02'!AD12,'19.02'!$AO$4:$AQ$55,3,FALSE))</f>
        <v>45</v>
      </c>
      <c r="W12" s="5">
        <f>(VLOOKUP('19.02'!AE12,'19.02'!$AO$4:$AQ$55,3,FALSE))</f>
        <v>0</v>
      </c>
      <c r="X12" s="5">
        <f>(VLOOKUP('19.02'!AF12,'19.02'!$AO$4:$AQ$55,3,FALSE))</f>
        <v>0</v>
      </c>
    </row>
    <row r="13" spans="1:24">
      <c r="A13" s="4">
        <f>(VLOOKUP('19.02'!I13,'19.02'!$AO$4:$AQ$55,3,FALSE))</f>
        <v>0</v>
      </c>
      <c r="B13" s="4">
        <f>(VLOOKUP('19.02'!J13,'19.02'!$AO$4:$AQ$55,3,FALSE))</f>
        <v>0</v>
      </c>
      <c r="C13" s="4">
        <f>(VLOOKUP('19.02'!K13,'19.02'!$AO$4:$AQ$55,3,FALSE))</f>
        <v>0</v>
      </c>
      <c r="D13" s="4">
        <f>(VLOOKUP('19.02'!L13,'19.02'!$AO$4:$AQ$55,3,FALSE))</f>
        <v>0</v>
      </c>
      <c r="E13" s="4">
        <f>(VLOOKUP('19.02'!M13,'19.02'!$AO$4:$AQ$55,3,FALSE))</f>
        <v>0</v>
      </c>
      <c r="F13" s="4">
        <f>(VLOOKUP('19.02'!N13,'19.02'!$AO$4:$AQ$55,3,FALSE))</f>
        <v>0</v>
      </c>
      <c r="G13" s="5">
        <f>(VLOOKUP('19.02'!O13,'19.02'!$AO$4:$AQ$55,3,FALSE))</f>
        <v>0</v>
      </c>
      <c r="H13" s="5">
        <f>(VLOOKUP('19.02'!P13,'19.02'!$AO$4:$AQ$55,3,FALSE))</f>
        <v>0</v>
      </c>
      <c r="I13" s="4">
        <f>(VLOOKUP('19.02'!Q13,'19.02'!$AO$4:$AQ$55,3,FALSE))</f>
        <v>45</v>
      </c>
      <c r="J13" s="4">
        <f>(VLOOKUP('19.02'!R13,'19.02'!$AO$4:$AQ$55,3,FALSE))</f>
        <v>45</v>
      </c>
      <c r="K13" s="4">
        <f>(VLOOKUP('19.02'!S13,'19.02'!$AO$4:$AQ$55,3,FALSE))</f>
        <v>45</v>
      </c>
      <c r="L13" s="4">
        <f>(VLOOKUP('19.02'!T13,'19.02'!$AO$4:$AQ$55,3,FALSE))</f>
        <v>45</v>
      </c>
      <c r="M13" s="4">
        <f>(VLOOKUP('19.02'!U13,'19.02'!$AO$4:$AQ$55,3,FALSE))</f>
        <v>45</v>
      </c>
      <c r="N13" s="4">
        <f>(VLOOKUP('19.02'!V13,'19.02'!$AO$4:$AQ$55,3,FALSE))</f>
        <v>45</v>
      </c>
      <c r="O13" s="5">
        <f>(VLOOKUP('19.02'!W13,'19.02'!$AO$4:$AQ$55,3,FALSE))</f>
        <v>0</v>
      </c>
      <c r="P13" s="5">
        <f>(VLOOKUP('19.02'!X13,'19.02'!$AO$4:$AQ$55,3,FALSE))</f>
        <v>0</v>
      </c>
      <c r="Q13" s="4">
        <f>(VLOOKUP('19.02'!Y13,'19.02'!$AO$4:$AQ$55,3,FALSE))</f>
        <v>45</v>
      </c>
      <c r="R13" s="4">
        <f>(VLOOKUP('19.02'!Z13,'19.02'!$AO$4:$AQ$55,3,FALSE))</f>
        <v>50</v>
      </c>
      <c r="S13" s="4">
        <f>(VLOOKUP('19.02'!AA13,'19.02'!$AO$4:$AQ$55,3,FALSE))</f>
        <v>50</v>
      </c>
      <c r="T13" s="4">
        <f>(VLOOKUP('19.02'!AB13,'19.02'!$AO$4:$AQ$55,3,FALSE))</f>
        <v>50</v>
      </c>
      <c r="U13" s="4">
        <f>(VLOOKUP('19.02'!AC13,'19.02'!$AO$4:$AQ$55,3,FALSE))</f>
        <v>50</v>
      </c>
      <c r="V13" s="4">
        <f>(VLOOKUP('19.02'!AD13,'19.02'!$AO$4:$AQ$55,3,FALSE))</f>
        <v>50</v>
      </c>
      <c r="W13" s="5">
        <f>(VLOOKUP('19.02'!AE13,'19.02'!$AO$4:$AQ$55,3,FALSE))</f>
        <v>0</v>
      </c>
      <c r="X13" s="5">
        <f>(VLOOKUP('19.02'!AF13,'19.02'!$AO$4:$AQ$55,3,FALSE))</f>
        <v>0</v>
      </c>
    </row>
    <row r="14" spans="1:24">
      <c r="A14" s="4">
        <f>(VLOOKUP('19.02'!I14,'19.02'!$AO$4:$AQ$55,3,FALSE))</f>
        <v>0</v>
      </c>
      <c r="B14" s="4">
        <f>(VLOOKUP('19.02'!J14,'19.02'!$AO$4:$AQ$55,3,FALSE))</f>
        <v>0</v>
      </c>
      <c r="C14" s="4">
        <f>(VLOOKUP('19.02'!K14,'19.02'!$AO$4:$AQ$55,3,FALSE))</f>
        <v>0</v>
      </c>
      <c r="D14" s="4">
        <f>(VLOOKUP('19.02'!L14,'19.02'!$AO$4:$AQ$55,3,FALSE))</f>
        <v>0</v>
      </c>
      <c r="E14" s="4">
        <f>(VLOOKUP('19.02'!M14,'19.02'!$AO$4:$AQ$55,3,FALSE))</f>
        <v>0</v>
      </c>
      <c r="F14" s="4">
        <f>(VLOOKUP('19.02'!N14,'19.02'!$AO$4:$AQ$55,3,FALSE))</f>
        <v>0</v>
      </c>
      <c r="G14" s="5">
        <f>(VLOOKUP('19.02'!O14,'19.02'!$AO$4:$AQ$55,3,FALSE))</f>
        <v>0</v>
      </c>
      <c r="H14" s="5">
        <f>(VLOOKUP('19.02'!P14,'19.02'!$AO$4:$AQ$55,3,FALSE))</f>
        <v>0</v>
      </c>
      <c r="I14" s="4">
        <f>(VLOOKUP('19.02'!Q14,'19.02'!$AO$4:$AQ$55,3,FALSE))</f>
        <v>45</v>
      </c>
      <c r="J14" s="4">
        <f>(VLOOKUP('19.02'!R14,'19.02'!$AO$4:$AQ$55,3,FALSE))</f>
        <v>45</v>
      </c>
      <c r="K14" s="4">
        <f>(VLOOKUP('19.02'!S14,'19.02'!$AO$4:$AQ$55,3,FALSE))</f>
        <v>45</v>
      </c>
      <c r="L14" s="4">
        <f>(VLOOKUP('19.02'!T14,'19.02'!$AO$4:$AQ$55,3,FALSE))</f>
        <v>45</v>
      </c>
      <c r="M14" s="4">
        <f>(VLOOKUP('19.02'!U14,'19.02'!$AO$4:$AQ$55,3,FALSE))</f>
        <v>45</v>
      </c>
      <c r="N14" s="4">
        <f>(VLOOKUP('19.02'!V14,'19.02'!$AO$4:$AQ$55,3,FALSE))</f>
        <v>45</v>
      </c>
      <c r="O14" s="5">
        <f>(VLOOKUP('19.02'!W14,'19.02'!$AO$4:$AQ$55,3,FALSE))</f>
        <v>0</v>
      </c>
      <c r="P14" s="5">
        <f>(VLOOKUP('19.02'!X14,'19.02'!$AO$4:$AQ$55,3,FALSE))</f>
        <v>0</v>
      </c>
      <c r="Q14" s="4">
        <f>(VLOOKUP('19.02'!Y14,'19.02'!$AO$4:$AQ$55,3,FALSE))</f>
        <v>50</v>
      </c>
      <c r="R14" s="4">
        <f>(VLOOKUP('19.02'!Z14,'19.02'!$AO$4:$AQ$55,3,FALSE))</f>
        <v>50</v>
      </c>
      <c r="S14" s="4">
        <f>(VLOOKUP('19.02'!AA14,'19.02'!$AO$4:$AQ$55,3,FALSE))</f>
        <v>50</v>
      </c>
      <c r="T14" s="4">
        <f>(VLOOKUP('19.02'!AB14,'19.02'!$AO$4:$AQ$55,3,FALSE))</f>
        <v>45</v>
      </c>
      <c r="U14" s="4">
        <f>(VLOOKUP('19.02'!AC14,'19.02'!$AO$4:$AQ$55,3,FALSE))</f>
        <v>45</v>
      </c>
      <c r="V14" s="4">
        <f>(VLOOKUP('19.02'!AD14,'19.02'!$AO$4:$AQ$55,3,FALSE))</f>
        <v>45</v>
      </c>
      <c r="W14" s="5">
        <f>(VLOOKUP('19.02'!AE14,'19.02'!$AO$4:$AQ$55,3,FALSE))</f>
        <v>0</v>
      </c>
      <c r="X14" s="5">
        <f>(VLOOKUP('19.02'!AF14,'19.02'!$AO$4:$AQ$55,3,FALSE))</f>
        <v>0</v>
      </c>
    </row>
    <row r="15" spans="1:24">
      <c r="A15" s="4">
        <f>(VLOOKUP('19.02'!I15,'19.02'!$AO$4:$AQ$55,3,FALSE))</f>
        <v>0</v>
      </c>
      <c r="B15" s="4">
        <f>(VLOOKUP('19.02'!J15,'19.02'!$AO$4:$AQ$55,3,FALSE))</f>
        <v>0</v>
      </c>
      <c r="C15" s="4">
        <f>(VLOOKUP('19.02'!K15,'19.02'!$AO$4:$AQ$55,3,FALSE))</f>
        <v>0</v>
      </c>
      <c r="D15" s="4">
        <f>(VLOOKUP('19.02'!L15,'19.02'!$AO$4:$AQ$55,3,FALSE))</f>
        <v>0</v>
      </c>
      <c r="E15" s="4">
        <f>(VLOOKUP('19.02'!M15,'19.02'!$AO$4:$AQ$55,3,FALSE))</f>
        <v>0</v>
      </c>
      <c r="F15" s="4">
        <f>(VLOOKUP('19.02'!N15,'19.02'!$AO$4:$AQ$55,3,FALSE))</f>
        <v>0</v>
      </c>
      <c r="G15" s="5">
        <f>(VLOOKUP('19.02'!O15,'19.02'!$AO$4:$AQ$55,3,FALSE))</f>
        <v>0</v>
      </c>
      <c r="H15" s="5">
        <f>(VLOOKUP('19.02'!P15,'19.02'!$AO$4:$AQ$55,3,FALSE))</f>
        <v>0</v>
      </c>
      <c r="I15" s="4">
        <f>(VLOOKUP('19.02'!Q15,'19.02'!$AO$4:$AQ$55,3,FALSE))</f>
        <v>45</v>
      </c>
      <c r="J15" s="4">
        <f>(VLOOKUP('19.02'!R15,'19.02'!$AO$4:$AQ$55,3,FALSE))</f>
        <v>45</v>
      </c>
      <c r="K15" s="4">
        <f>(VLOOKUP('19.02'!S15,'19.02'!$AO$4:$AQ$55,3,FALSE))</f>
        <v>45</v>
      </c>
      <c r="L15" s="4">
        <f>(VLOOKUP('19.02'!T15,'19.02'!$AO$4:$AQ$55,3,FALSE))</f>
        <v>55</v>
      </c>
      <c r="M15" s="4">
        <f>(VLOOKUP('19.02'!U15,'19.02'!$AO$4:$AQ$55,3,FALSE))</f>
        <v>55</v>
      </c>
      <c r="N15" s="4">
        <f>(VLOOKUP('19.02'!V15,'19.02'!$AO$4:$AQ$55,3,FALSE))</f>
        <v>55</v>
      </c>
      <c r="O15" s="5">
        <f>(VLOOKUP('19.02'!W15,'19.02'!$AO$4:$AQ$55,3,FALSE))</f>
        <v>0</v>
      </c>
      <c r="P15" s="5">
        <f>(VLOOKUP('19.02'!X15,'19.02'!$AO$4:$AQ$55,3,FALSE))</f>
        <v>0</v>
      </c>
      <c r="Q15" s="4">
        <f>(VLOOKUP('19.02'!Y15,'19.02'!$AO$4:$AQ$55,3,FALSE))</f>
        <v>30</v>
      </c>
      <c r="R15" s="4">
        <f>(VLOOKUP('19.02'!Z15,'19.02'!$AO$4:$AQ$55,3,FALSE))</f>
        <v>45</v>
      </c>
      <c r="S15" s="4">
        <f>(VLOOKUP('19.02'!AA15,'19.02'!$AO$4:$AQ$55,3,FALSE))</f>
        <v>45</v>
      </c>
      <c r="T15" s="4">
        <f>(VLOOKUP('19.02'!AB15,'19.02'!$AO$4:$AQ$55,3,FALSE))</f>
        <v>45</v>
      </c>
      <c r="U15" s="4">
        <f>(VLOOKUP('19.02'!AC15,'19.02'!$AO$4:$AQ$55,3,FALSE))</f>
        <v>300</v>
      </c>
      <c r="V15" s="4">
        <f>(VLOOKUP('19.02'!AD15,'19.02'!$AO$4:$AQ$55,3,FALSE))</f>
        <v>0</v>
      </c>
      <c r="W15" s="5">
        <f>(VLOOKUP('19.02'!AE15,'19.02'!$AO$4:$AQ$55,3,FALSE))</f>
        <v>0</v>
      </c>
      <c r="X15" s="5">
        <f>(VLOOKUP('19.02'!AF15,'19.02'!$AO$4:$AQ$55,3,FALSE))</f>
        <v>0</v>
      </c>
    </row>
    <row r="16" spans="1:24">
      <c r="A16" s="4">
        <f>(VLOOKUP('19.02'!I16,'19.02'!$AO$4:$AQ$55,3,FALSE))</f>
        <v>0</v>
      </c>
      <c r="B16" s="4">
        <f>(VLOOKUP('19.02'!J16,'19.02'!$AO$4:$AQ$55,3,FALSE))</f>
        <v>0</v>
      </c>
      <c r="C16" s="4">
        <f>(VLOOKUP('19.02'!K16,'19.02'!$AO$4:$AQ$55,3,FALSE))</f>
        <v>0</v>
      </c>
      <c r="D16" s="4">
        <f>(VLOOKUP('19.02'!L16,'19.02'!$AO$4:$AQ$55,3,FALSE))</f>
        <v>0</v>
      </c>
      <c r="E16" s="4">
        <f>(VLOOKUP('19.02'!M16,'19.02'!$AO$4:$AQ$55,3,FALSE))</f>
        <v>0</v>
      </c>
      <c r="F16" s="4">
        <f>(VLOOKUP('19.02'!N16,'19.02'!$AO$4:$AQ$55,3,FALSE))</f>
        <v>0</v>
      </c>
      <c r="G16" s="5">
        <f>(VLOOKUP('19.02'!O16,'19.02'!$AO$4:$AQ$55,3,FALSE))</f>
        <v>0</v>
      </c>
      <c r="H16" s="5">
        <f>(VLOOKUP('19.02'!P16,'19.02'!$AO$4:$AQ$55,3,FALSE))</f>
        <v>0</v>
      </c>
      <c r="I16" s="4">
        <f>(VLOOKUP('19.02'!Q16,'19.02'!$AO$4:$AQ$55,3,FALSE))</f>
        <v>55</v>
      </c>
      <c r="J16" s="4">
        <f>(VLOOKUP('19.02'!R16,'19.02'!$AO$4:$AQ$55,3,FALSE))</f>
        <v>45</v>
      </c>
      <c r="K16" s="4">
        <f>(VLOOKUP('19.02'!S16,'19.02'!$AO$4:$AQ$55,3,FALSE))</f>
        <v>45</v>
      </c>
      <c r="L16" s="4">
        <f>(VLOOKUP('19.02'!T16,'19.02'!$AO$4:$AQ$55,3,FALSE))</f>
        <v>45</v>
      </c>
      <c r="M16" s="4">
        <f>(VLOOKUP('19.02'!U16,'19.02'!$AO$4:$AQ$55,3,FALSE))</f>
        <v>45</v>
      </c>
      <c r="N16" s="4">
        <f>(VLOOKUP('19.02'!V16,'19.02'!$AO$4:$AQ$55,3,FALSE))</f>
        <v>45</v>
      </c>
      <c r="O16" s="5">
        <f>(VLOOKUP('19.02'!W16,'19.02'!$AO$4:$AQ$55,3,FALSE))</f>
        <v>0</v>
      </c>
      <c r="P16" s="5">
        <f>(VLOOKUP('19.02'!X16,'19.02'!$AO$4:$AQ$55,3,FALSE))</f>
        <v>0</v>
      </c>
      <c r="Q16" s="4">
        <f>(VLOOKUP('19.02'!Y16,'19.02'!$AO$4:$AQ$55,3,FALSE))</f>
        <v>0</v>
      </c>
      <c r="R16" s="4">
        <f>(VLOOKUP('19.02'!Z16,'19.02'!$AO$4:$AQ$55,3,FALSE))</f>
        <v>0</v>
      </c>
      <c r="S16" s="4">
        <f>(VLOOKUP('19.02'!AA16,'19.02'!$AO$4:$AQ$55,3,FALSE))</f>
        <v>0</v>
      </c>
      <c r="T16" s="4">
        <f>(VLOOKUP('19.02'!AB16,'19.02'!$AO$4:$AQ$55,3,FALSE))</f>
        <v>0</v>
      </c>
      <c r="U16" s="4">
        <f>(VLOOKUP('19.02'!AC16,'19.02'!$AO$4:$AQ$55,3,FALSE))</f>
        <v>0</v>
      </c>
      <c r="V16" s="4">
        <f>(VLOOKUP('19.02'!AD16,'19.02'!$AO$4:$AQ$55,3,FALSE))</f>
        <v>0</v>
      </c>
      <c r="W16" s="5">
        <f>(VLOOKUP('19.02'!AE16,'19.02'!$AO$4:$AQ$55,3,FALSE))</f>
        <v>0</v>
      </c>
      <c r="X16" s="5">
        <f>(VLOOKUP('19.02'!AF16,'19.02'!$AO$4:$AQ$55,3,FALSE))</f>
        <v>0</v>
      </c>
    </row>
    <row r="17" spans="1:24">
      <c r="A17" s="4">
        <f>(VLOOKUP('19.02'!I17,'19.02'!$AO$4:$AQ$55,3,FALSE))</f>
        <v>0</v>
      </c>
      <c r="B17" s="4">
        <f>(VLOOKUP('19.02'!J17,'19.02'!$AO$4:$AQ$55,3,FALSE))</f>
        <v>0</v>
      </c>
      <c r="C17" s="4">
        <f>(VLOOKUP('19.02'!K17,'19.02'!$AO$4:$AQ$55,3,FALSE))</f>
        <v>0</v>
      </c>
      <c r="D17" s="4">
        <f>(VLOOKUP('19.02'!L17,'19.02'!$AO$4:$AQ$55,3,FALSE))</f>
        <v>0</v>
      </c>
      <c r="E17" s="4">
        <f>(VLOOKUP('19.02'!M17,'19.02'!$AO$4:$AQ$55,3,FALSE))</f>
        <v>0</v>
      </c>
      <c r="F17" s="4">
        <f>(VLOOKUP('19.02'!N17,'19.02'!$AO$4:$AQ$55,3,FALSE))</f>
        <v>0</v>
      </c>
      <c r="G17" s="5">
        <f>(VLOOKUP('19.02'!O17,'19.02'!$AO$4:$AQ$55,3,FALSE))</f>
        <v>0</v>
      </c>
      <c r="H17" s="5">
        <f>(VLOOKUP('19.02'!P17,'19.02'!$AO$4:$AQ$55,3,FALSE))</f>
        <v>0</v>
      </c>
      <c r="I17" s="4">
        <f>(VLOOKUP('19.02'!Q17,'19.02'!$AO$4:$AQ$55,3,FALSE))</f>
        <v>300</v>
      </c>
      <c r="J17" s="4">
        <f>(VLOOKUP('19.02'!R17,'19.02'!$AO$4:$AQ$55,3,FALSE))</f>
        <v>45</v>
      </c>
      <c r="K17" s="4">
        <f>(VLOOKUP('19.02'!S17,'19.02'!$AO$4:$AQ$55,3,FALSE))</f>
        <v>45</v>
      </c>
      <c r="L17" s="4">
        <f>(VLOOKUP('19.02'!T17,'19.02'!$AO$4:$AQ$55,3,FALSE))</f>
        <v>45</v>
      </c>
      <c r="M17" s="4">
        <f>(VLOOKUP('19.02'!U17,'19.02'!$AO$4:$AQ$55,3,FALSE))</f>
        <v>45</v>
      </c>
      <c r="N17" s="4">
        <f>(VLOOKUP('19.02'!V17,'19.02'!$AO$4:$AQ$55,3,FALSE))</f>
        <v>55</v>
      </c>
      <c r="O17" s="5">
        <f>(VLOOKUP('19.02'!W17,'19.02'!$AO$4:$AQ$55,3,FALSE))</f>
        <v>0</v>
      </c>
      <c r="P17" s="5">
        <f>(VLOOKUP('19.02'!X17,'19.02'!$AO$4:$AQ$55,3,FALSE))</f>
        <v>0</v>
      </c>
      <c r="Q17" s="4">
        <f>(VLOOKUP('19.02'!Y17,'19.02'!$AO$4:$AQ$55,3,FALSE))</f>
        <v>45</v>
      </c>
      <c r="R17" s="4">
        <f>(VLOOKUP('19.02'!Z17,'19.02'!$AO$4:$AQ$55,3,FALSE))</f>
        <v>45</v>
      </c>
      <c r="S17" s="4">
        <f>(VLOOKUP('19.02'!AA17,'19.02'!$AO$4:$AQ$55,3,FALSE))</f>
        <v>45</v>
      </c>
      <c r="T17" s="4">
        <f>(VLOOKUP('19.02'!AB17,'19.02'!$AO$4:$AQ$55,3,FALSE))</f>
        <v>55</v>
      </c>
      <c r="U17" s="4">
        <f>(VLOOKUP('19.02'!AC17,'19.02'!$AO$4:$AQ$55,3,FALSE))</f>
        <v>45</v>
      </c>
      <c r="V17" s="4">
        <f>(VLOOKUP('19.02'!AD17,'19.02'!$AO$4:$AQ$55,3,FALSE))</f>
        <v>45</v>
      </c>
      <c r="W17" s="5">
        <f>(VLOOKUP('19.02'!AE17,'19.02'!$AO$4:$AQ$55,3,FALSE))</f>
        <v>0</v>
      </c>
      <c r="X17" s="5">
        <f>(VLOOKUP('19.02'!AF17,'19.02'!$AO$4:$AQ$55,3,FALSE))</f>
        <v>45</v>
      </c>
    </row>
    <row r="18" spans="1:24">
      <c r="A18" s="4">
        <f>(VLOOKUP('19.02'!I18,'19.02'!$AO$4:$AQ$55,3,FALSE))</f>
        <v>0</v>
      </c>
      <c r="B18" s="4">
        <f>(VLOOKUP('19.02'!J18,'19.02'!$AO$4:$AQ$55,3,FALSE))</f>
        <v>0</v>
      </c>
      <c r="C18" s="4">
        <f>(VLOOKUP('19.02'!K18,'19.02'!$AO$4:$AQ$55,3,FALSE))</f>
        <v>0</v>
      </c>
      <c r="D18" s="4">
        <f>(VLOOKUP('19.02'!L18,'19.02'!$AO$4:$AQ$55,3,FALSE))</f>
        <v>0</v>
      </c>
      <c r="E18" s="4">
        <f>(VLOOKUP('19.02'!M18,'19.02'!$AO$4:$AQ$55,3,FALSE))</f>
        <v>0</v>
      </c>
      <c r="F18" s="4">
        <f>(VLOOKUP('19.02'!N18,'19.02'!$AO$4:$AQ$55,3,FALSE))</f>
        <v>0</v>
      </c>
      <c r="G18" s="5">
        <f>(VLOOKUP('19.02'!O18,'19.02'!$AO$4:$AQ$55,3,FALSE))</f>
        <v>0</v>
      </c>
      <c r="H18" s="5">
        <f>(VLOOKUP('19.02'!P18,'19.02'!$AO$4:$AQ$55,3,FALSE))</f>
        <v>0</v>
      </c>
      <c r="I18" s="4">
        <f>(VLOOKUP('19.02'!Q18,'19.02'!$AO$4:$AQ$55,3,FALSE))</f>
        <v>55</v>
      </c>
      <c r="J18" s="4">
        <f>(VLOOKUP('19.02'!R18,'19.02'!$AO$4:$AQ$55,3,FALSE))</f>
        <v>55</v>
      </c>
      <c r="K18" s="4">
        <f>(VLOOKUP('19.02'!S18,'19.02'!$AO$4:$AQ$55,3,FALSE))</f>
        <v>55</v>
      </c>
      <c r="L18" s="4">
        <f>(VLOOKUP('19.02'!T18,'19.02'!$AO$4:$AQ$55,3,FALSE))</f>
        <v>55</v>
      </c>
      <c r="M18" s="4">
        <f>(VLOOKUP('19.02'!U18,'19.02'!$AO$4:$AQ$55,3,FALSE))</f>
        <v>45</v>
      </c>
      <c r="N18" s="4">
        <f>(VLOOKUP('19.02'!V18,'19.02'!$AO$4:$AQ$55,3,FALSE))</f>
        <v>45</v>
      </c>
      <c r="O18" s="5">
        <f>(VLOOKUP('19.02'!W18,'19.02'!$AO$4:$AQ$55,3,FALSE))</f>
        <v>0</v>
      </c>
      <c r="P18" s="5">
        <f>(VLOOKUP('19.02'!X18,'19.02'!$AO$4:$AQ$55,3,FALSE))</f>
        <v>0</v>
      </c>
      <c r="Q18" s="4">
        <f>(VLOOKUP('19.02'!Y18,'19.02'!$AO$4:$AQ$55,3,FALSE))</f>
        <v>45</v>
      </c>
      <c r="R18" s="4">
        <f>(VLOOKUP('19.02'!Z18,'19.02'!$AO$4:$AQ$55,3,FALSE))</f>
        <v>30</v>
      </c>
      <c r="S18" s="4">
        <f>(VLOOKUP('19.02'!AA18,'19.02'!$AO$4:$AQ$55,3,FALSE))</f>
        <v>45</v>
      </c>
      <c r="T18" s="4">
        <f>(VLOOKUP('19.02'!AB18,'19.02'!$AO$4:$AQ$55,3,FALSE))</f>
        <v>45</v>
      </c>
      <c r="U18" s="4">
        <f>(VLOOKUP('19.02'!AC18,'19.02'!$AO$4:$AQ$55,3,FALSE))</f>
        <v>45</v>
      </c>
      <c r="V18" s="4">
        <f>(VLOOKUP('19.02'!AD18,'19.02'!$AO$4:$AQ$55,3,FALSE))</f>
        <v>50</v>
      </c>
      <c r="W18" s="5">
        <f>(VLOOKUP('19.02'!AE18,'19.02'!$AO$4:$AQ$55,3,FALSE))</f>
        <v>50</v>
      </c>
      <c r="X18" s="5">
        <f>(VLOOKUP('19.02'!AF18,'19.02'!$AO$4:$AQ$55,3,FALSE))</f>
        <v>50</v>
      </c>
    </row>
    <row r="19" spans="1:24">
      <c r="A19" s="4">
        <f>(VLOOKUP('19.02'!I19,'19.02'!$AO$4:$AQ$55,3,FALSE))</f>
        <v>0</v>
      </c>
      <c r="B19" s="4">
        <f>(VLOOKUP('19.02'!J19,'19.02'!$AO$4:$AQ$55,3,FALSE))</f>
        <v>0</v>
      </c>
      <c r="C19" s="4">
        <f>(VLOOKUP('19.02'!K19,'19.02'!$AO$4:$AQ$55,3,FALSE))</f>
        <v>0</v>
      </c>
      <c r="D19" s="4">
        <f>(VLOOKUP('19.02'!L19,'19.02'!$AO$4:$AQ$55,3,FALSE))</f>
        <v>0</v>
      </c>
      <c r="E19" s="4">
        <f>(VLOOKUP('19.02'!M19,'19.02'!$AO$4:$AQ$55,3,FALSE))</f>
        <v>0</v>
      </c>
      <c r="F19" s="4">
        <f>(VLOOKUP('19.02'!N19,'19.02'!$AO$4:$AQ$55,3,FALSE))</f>
        <v>0</v>
      </c>
      <c r="G19" s="5">
        <f>(VLOOKUP('19.02'!O19,'19.02'!$AO$4:$AQ$55,3,FALSE))</f>
        <v>0</v>
      </c>
      <c r="H19" s="5">
        <f>(VLOOKUP('19.02'!P19,'19.02'!$AO$4:$AQ$55,3,FALSE))</f>
        <v>0</v>
      </c>
      <c r="I19" s="4">
        <f>(VLOOKUP('19.02'!Q19,'19.02'!$AO$4:$AQ$55,3,FALSE))</f>
        <v>55</v>
      </c>
      <c r="J19" s="4">
        <f>(VLOOKUP('19.02'!R19,'19.02'!$AO$4:$AQ$55,3,FALSE))</f>
        <v>55</v>
      </c>
      <c r="K19" s="4">
        <f>(VLOOKUP('19.02'!S19,'19.02'!$AO$4:$AQ$55,3,FALSE))</f>
        <v>55</v>
      </c>
      <c r="L19" s="4">
        <f>(VLOOKUP('19.02'!T19,'19.02'!$AO$4:$AQ$55,3,FALSE))</f>
        <v>55</v>
      </c>
      <c r="M19" s="4">
        <f>(VLOOKUP('19.02'!U19,'19.02'!$AO$4:$AQ$55,3,FALSE))</f>
        <v>55</v>
      </c>
      <c r="N19" s="4">
        <f>(VLOOKUP('19.02'!V19,'19.02'!$AO$4:$AQ$55,3,FALSE))</f>
        <v>55</v>
      </c>
      <c r="O19" s="5">
        <f>(VLOOKUP('19.02'!W19,'19.02'!$AO$4:$AQ$55,3,FALSE))</f>
        <v>0</v>
      </c>
      <c r="P19" s="5">
        <f>(VLOOKUP('19.02'!X19,'19.02'!$AO$4:$AQ$55,3,FALSE))</f>
        <v>55</v>
      </c>
      <c r="Q19" s="4">
        <f>(VLOOKUP('19.02'!Y19,'19.02'!$AO$4:$AQ$55,3,FALSE))</f>
        <v>0</v>
      </c>
      <c r="R19" s="4">
        <f>(VLOOKUP('19.02'!Z19,'19.02'!$AO$4:$AQ$55,3,FALSE))</f>
        <v>50</v>
      </c>
      <c r="S19" s="4">
        <f>(VLOOKUP('19.02'!AA19,'19.02'!$AO$4:$AQ$55,3,FALSE))</f>
        <v>35</v>
      </c>
      <c r="T19" s="4">
        <f>(VLOOKUP('19.02'!AB19,'19.02'!$AO$4:$AQ$55,3,FALSE))</f>
        <v>50</v>
      </c>
      <c r="U19" s="4">
        <f>(VLOOKUP('19.02'!AC19,'19.02'!$AO$4:$AQ$55,3,FALSE))</f>
        <v>50</v>
      </c>
      <c r="V19" s="4">
        <f>(VLOOKUP('19.02'!AD19,'19.02'!$AO$4:$AQ$55,3,FALSE))</f>
        <v>30</v>
      </c>
      <c r="W19" s="5">
        <f>(VLOOKUP('19.02'!AE19,'19.02'!$AO$4:$AQ$55,3,FALSE))</f>
        <v>55</v>
      </c>
      <c r="X19" s="5">
        <f>(VLOOKUP('19.02'!AF19,'19.02'!$AO$4:$AQ$55,3,FALSE))</f>
        <v>55</v>
      </c>
    </row>
    <row r="20" spans="1:24">
      <c r="A20" s="4">
        <f>(VLOOKUP('19.02'!I20,'19.02'!$AO$4:$AQ$55,3,FALSE))</f>
        <v>0</v>
      </c>
      <c r="B20" s="4">
        <f>(VLOOKUP('19.02'!J20,'19.02'!$AO$4:$AQ$55,3,FALSE))</f>
        <v>0</v>
      </c>
      <c r="C20" s="4">
        <f>(VLOOKUP('19.02'!K20,'19.02'!$AO$4:$AQ$55,3,FALSE))</f>
        <v>0</v>
      </c>
      <c r="D20" s="4">
        <f>(VLOOKUP('19.02'!L20,'19.02'!$AO$4:$AQ$55,3,FALSE))</f>
        <v>0</v>
      </c>
      <c r="E20" s="4">
        <f>(VLOOKUP('19.02'!M20,'19.02'!$AO$4:$AQ$55,3,FALSE))</f>
        <v>0</v>
      </c>
      <c r="F20" s="4">
        <f>(VLOOKUP('19.02'!N20,'19.02'!$AO$4:$AQ$55,3,FALSE))</f>
        <v>0</v>
      </c>
      <c r="G20" s="5">
        <f>(VLOOKUP('19.02'!O20,'19.02'!$AO$4:$AQ$55,3,FALSE))</f>
        <v>0</v>
      </c>
      <c r="H20" s="5">
        <f>(VLOOKUP('19.02'!P20,'19.02'!$AO$4:$AQ$55,3,FALSE))</f>
        <v>0</v>
      </c>
      <c r="I20" s="4">
        <f>(VLOOKUP('19.02'!Q20,'19.02'!$AO$4:$AQ$55,3,FALSE))</f>
        <v>55</v>
      </c>
      <c r="J20" s="4">
        <f>(VLOOKUP('19.02'!R20,'19.02'!$AO$4:$AQ$55,3,FALSE))</f>
        <v>55</v>
      </c>
      <c r="K20" s="4">
        <f>(VLOOKUP('19.02'!S20,'19.02'!$AO$4:$AQ$55,3,FALSE))</f>
        <v>55</v>
      </c>
      <c r="L20" s="4">
        <f>(VLOOKUP('19.02'!T20,'19.02'!$AO$4:$AQ$55,3,FALSE))</f>
        <v>55</v>
      </c>
      <c r="M20" s="4">
        <f>(VLOOKUP('19.02'!U20,'19.02'!$AO$4:$AQ$55,3,FALSE))</f>
        <v>55</v>
      </c>
      <c r="N20" s="4">
        <f>(VLOOKUP('19.02'!V20,'19.02'!$AO$4:$AQ$55,3,FALSE))</f>
        <v>55</v>
      </c>
      <c r="O20" s="5">
        <f>(VLOOKUP('19.02'!W20,'19.02'!$AO$4:$AQ$55,3,FALSE))</f>
        <v>0</v>
      </c>
      <c r="P20" s="5">
        <f>(VLOOKUP('19.02'!X20,'19.02'!$AO$4:$AQ$55,3,FALSE))</f>
        <v>0</v>
      </c>
      <c r="Q20" s="4">
        <f>(VLOOKUP('19.02'!Y20,'19.02'!$AO$4:$AQ$55,3,FALSE))</f>
        <v>55</v>
      </c>
      <c r="R20" s="4">
        <f>(VLOOKUP('19.02'!Z20,'19.02'!$AO$4:$AQ$55,3,FALSE))</f>
        <v>55</v>
      </c>
      <c r="S20" s="4">
        <f>(VLOOKUP('19.02'!AA20,'19.02'!$AO$4:$AQ$55,3,FALSE))</f>
        <v>55</v>
      </c>
      <c r="T20" s="4">
        <f>(VLOOKUP('19.02'!AB20,'19.02'!$AO$4:$AQ$55,3,FALSE))</f>
        <v>55</v>
      </c>
      <c r="U20" s="4">
        <f>(VLOOKUP('19.02'!AC20,'19.02'!$AO$4:$AQ$55,3,FALSE))</f>
        <v>55</v>
      </c>
      <c r="V20" s="4">
        <f>(VLOOKUP('19.02'!AD20,'19.02'!$AO$4:$AQ$55,3,FALSE))</f>
        <v>55</v>
      </c>
      <c r="W20" s="5">
        <f>(VLOOKUP('19.02'!AE20,'19.02'!$AO$4:$AQ$55,3,FALSE))</f>
        <v>55</v>
      </c>
      <c r="X20" s="5">
        <f>(VLOOKUP('19.02'!AF20,'19.02'!$AO$4:$AQ$55,3,FALSE))</f>
        <v>55</v>
      </c>
    </row>
    <row r="21" spans="1:24">
      <c r="A21" s="4">
        <f>(VLOOKUP('19.02'!I21,'19.02'!$AO$4:$AQ$55,3,FALSE))</f>
        <v>0</v>
      </c>
      <c r="B21" s="4">
        <f>(VLOOKUP('19.02'!J21,'19.02'!$AO$4:$AQ$55,3,FALSE))</f>
        <v>0</v>
      </c>
      <c r="C21" s="4">
        <f>(VLOOKUP('19.02'!K21,'19.02'!$AO$4:$AQ$55,3,FALSE))</f>
        <v>0</v>
      </c>
      <c r="D21" s="4">
        <f>(VLOOKUP('19.02'!L21,'19.02'!$AO$4:$AQ$55,3,FALSE))</f>
        <v>0</v>
      </c>
      <c r="E21" s="4">
        <f>(VLOOKUP('19.02'!M21,'19.02'!$AO$4:$AQ$55,3,FALSE))</f>
        <v>0</v>
      </c>
      <c r="F21" s="4">
        <f>(VLOOKUP('19.02'!N21,'19.02'!$AO$4:$AQ$55,3,FALSE))</f>
        <v>0</v>
      </c>
      <c r="G21" s="5">
        <f>(VLOOKUP('19.02'!O21,'19.02'!$AO$4:$AQ$55,3,FALSE))</f>
        <v>0</v>
      </c>
      <c r="H21" s="5">
        <f>(VLOOKUP('19.02'!P21,'19.02'!$AO$4:$AQ$55,3,FALSE))</f>
        <v>0</v>
      </c>
      <c r="I21" s="4">
        <f>(VLOOKUP('19.02'!Q21,'19.02'!$AO$4:$AQ$55,3,FALSE))</f>
        <v>60</v>
      </c>
      <c r="J21" s="4">
        <f>(VLOOKUP('19.02'!R21,'19.02'!$AO$4:$AQ$55,3,FALSE))</f>
        <v>60</v>
      </c>
      <c r="K21" s="4">
        <f>(VLOOKUP('19.02'!S21,'19.02'!$AO$4:$AQ$55,3,FALSE))</f>
        <v>60</v>
      </c>
      <c r="L21" s="4">
        <f>(VLOOKUP('19.02'!T21,'19.02'!$AO$4:$AQ$55,3,FALSE))</f>
        <v>60</v>
      </c>
      <c r="M21" s="4">
        <f>(VLOOKUP('19.02'!U21,'19.02'!$AO$4:$AQ$55,3,FALSE))</f>
        <v>60</v>
      </c>
      <c r="N21" s="4">
        <f>(VLOOKUP('19.02'!V21,'19.02'!$AO$4:$AQ$55,3,FALSE))</f>
        <v>0</v>
      </c>
      <c r="O21" s="5">
        <f>(VLOOKUP('19.02'!W21,'19.02'!$AO$4:$AQ$55,3,FALSE))</f>
        <v>60</v>
      </c>
      <c r="P21" s="5">
        <f>(VLOOKUP('19.02'!X21,'19.02'!$AO$4:$AQ$55,3,FALSE))</f>
        <v>60</v>
      </c>
      <c r="Q21" s="4">
        <f>(VLOOKUP('19.02'!Y21,'19.02'!$AO$4:$AQ$55,3,FALSE))</f>
        <v>55</v>
      </c>
      <c r="R21" s="4">
        <f>(VLOOKUP('19.02'!Z21,'19.02'!$AO$4:$AQ$55,3,FALSE))</f>
        <v>55</v>
      </c>
      <c r="S21" s="4">
        <f>(VLOOKUP('19.02'!AA21,'19.02'!$AO$4:$AQ$55,3,FALSE))</f>
        <v>55</v>
      </c>
      <c r="T21" s="4">
        <f>(VLOOKUP('19.02'!AB21,'19.02'!$AO$4:$AQ$55,3,FALSE))</f>
        <v>55</v>
      </c>
      <c r="U21" s="4">
        <f>(VLOOKUP('19.02'!AC21,'19.02'!$AO$4:$AQ$55,3,FALSE))</f>
        <v>55</v>
      </c>
      <c r="V21" s="4">
        <f>(VLOOKUP('19.02'!AD21,'19.02'!$AO$4:$AQ$55,3,FALSE))</f>
        <v>0</v>
      </c>
      <c r="W21" s="5">
        <f>(VLOOKUP('19.02'!AE21,'19.02'!$AO$4:$AQ$55,3,FALSE))</f>
        <v>0</v>
      </c>
      <c r="X21" s="5">
        <f>(VLOOKUP('19.02'!AF21,'19.02'!$AO$4:$AQ$55,3,FALSE))</f>
        <v>0</v>
      </c>
    </row>
    <row r="22" spans="1:24">
      <c r="A22" s="4">
        <f>(VLOOKUP('19.02'!I22,'19.02'!$AO$4:$AQ$55,3,FALSE))</f>
        <v>0</v>
      </c>
      <c r="B22" s="4">
        <f>(VLOOKUP('19.02'!J22,'19.02'!$AO$4:$AQ$55,3,FALSE))</f>
        <v>0</v>
      </c>
      <c r="C22" s="4">
        <f>(VLOOKUP('19.02'!K22,'19.02'!$AO$4:$AQ$55,3,FALSE))</f>
        <v>0</v>
      </c>
      <c r="D22" s="4">
        <f>(VLOOKUP('19.02'!L22,'19.02'!$AO$4:$AQ$55,3,FALSE))</f>
        <v>0</v>
      </c>
      <c r="E22" s="4">
        <f>(VLOOKUP('19.02'!M22,'19.02'!$AO$4:$AQ$55,3,FALSE))</f>
        <v>0</v>
      </c>
      <c r="F22" s="4">
        <f>(VLOOKUP('19.02'!N22,'19.02'!$AO$4:$AQ$55,3,FALSE))</f>
        <v>0</v>
      </c>
      <c r="G22" s="5">
        <f>(VLOOKUP('19.02'!O22,'19.02'!$AO$4:$AQ$55,3,FALSE))</f>
        <v>0</v>
      </c>
      <c r="H22" s="5">
        <f>(VLOOKUP('19.02'!P22,'19.02'!$AO$4:$AQ$55,3,FALSE))</f>
        <v>0</v>
      </c>
      <c r="I22" s="4">
        <f>(VLOOKUP('19.02'!Q22,'19.02'!$AO$4:$AQ$55,3,FALSE))</f>
        <v>60</v>
      </c>
      <c r="J22" s="4">
        <f>(VLOOKUP('19.02'!R22,'19.02'!$AO$4:$AQ$55,3,FALSE))</f>
        <v>60</v>
      </c>
      <c r="K22" s="4">
        <f>(VLOOKUP('19.02'!S22,'19.02'!$AO$4:$AQ$55,3,FALSE))</f>
        <v>60</v>
      </c>
      <c r="L22" s="4">
        <f>(VLOOKUP('19.02'!T22,'19.02'!$AO$4:$AQ$55,3,FALSE))</f>
        <v>60</v>
      </c>
      <c r="M22" s="4">
        <f>(VLOOKUP('19.02'!U22,'19.02'!$AO$4:$AQ$55,3,FALSE))</f>
        <v>60</v>
      </c>
      <c r="N22" s="4">
        <f>(VLOOKUP('19.02'!V22,'19.02'!$AO$4:$AQ$55,3,FALSE))</f>
        <v>60</v>
      </c>
      <c r="O22" s="5">
        <f>(VLOOKUP('19.02'!W22,'19.02'!$AO$4:$AQ$55,3,FALSE))</f>
        <v>0</v>
      </c>
      <c r="P22" s="5">
        <f>(VLOOKUP('19.02'!X22,'19.02'!$AO$4:$AQ$55,3,FALSE))</f>
        <v>0</v>
      </c>
      <c r="Q22" s="4">
        <f>(VLOOKUP('19.02'!Y22,'19.02'!$AO$4:$AQ$55,3,FALSE))</f>
        <v>55</v>
      </c>
      <c r="R22" s="4">
        <f>(VLOOKUP('19.02'!Z22,'19.02'!$AO$4:$AQ$55,3,FALSE))</f>
        <v>55</v>
      </c>
      <c r="S22" s="4">
        <f>(VLOOKUP('19.02'!AA22,'19.02'!$AO$4:$AQ$55,3,FALSE))</f>
        <v>55</v>
      </c>
      <c r="T22" s="4">
        <f>(VLOOKUP('19.02'!AB22,'19.02'!$AO$4:$AQ$55,3,FALSE))</f>
        <v>50</v>
      </c>
      <c r="U22" s="4">
        <f>(VLOOKUP('19.02'!AC22,'19.02'!$AO$4:$AQ$55,3,FALSE))</f>
        <v>50</v>
      </c>
      <c r="V22" s="4">
        <f>(VLOOKUP('19.02'!AD22,'19.02'!$AO$4:$AQ$55,3,FALSE))</f>
        <v>0</v>
      </c>
      <c r="W22" s="5">
        <f>(VLOOKUP('19.02'!AE22,'19.02'!$AO$4:$AQ$55,3,FALSE))</f>
        <v>0</v>
      </c>
      <c r="X22" s="5">
        <f>(VLOOKUP('19.02'!AF22,'19.02'!$AO$4:$AQ$55,3,FALSE))</f>
        <v>0</v>
      </c>
    </row>
    <row r="23" spans="1:24">
      <c r="A23" s="4">
        <f>(VLOOKUP('19.02'!I23,'19.02'!$AO$4:$AQ$55,3,FALSE))</f>
        <v>0</v>
      </c>
      <c r="B23" s="4">
        <f>(VLOOKUP('19.02'!J23,'19.02'!$AO$4:$AQ$55,3,FALSE))</f>
        <v>0</v>
      </c>
      <c r="C23" s="4">
        <f>(VLOOKUP('19.02'!K23,'19.02'!$AO$4:$AQ$55,3,FALSE))</f>
        <v>0</v>
      </c>
      <c r="D23" s="4">
        <f>(VLOOKUP('19.02'!L23,'19.02'!$AO$4:$AQ$55,3,FALSE))</f>
        <v>0</v>
      </c>
      <c r="E23" s="4">
        <f>(VLOOKUP('19.02'!M23,'19.02'!$AO$4:$AQ$55,3,FALSE))</f>
        <v>0</v>
      </c>
      <c r="F23" s="4">
        <f>(VLOOKUP('19.02'!N23,'19.02'!$AO$4:$AQ$55,3,FALSE))</f>
        <v>0</v>
      </c>
      <c r="G23" s="5">
        <f>(VLOOKUP('19.02'!O23,'19.02'!$AO$4:$AQ$55,3,FALSE))</f>
        <v>0</v>
      </c>
      <c r="H23" s="5">
        <f>(VLOOKUP('19.02'!P23,'19.02'!$AO$4:$AQ$55,3,FALSE))</f>
        <v>0</v>
      </c>
      <c r="I23" s="4">
        <f>(VLOOKUP('19.02'!Q23,'19.02'!$AO$4:$AQ$55,3,FALSE))</f>
        <v>60</v>
      </c>
      <c r="J23" s="4">
        <f>(VLOOKUP('19.02'!R23,'19.02'!$AO$4:$AQ$55,3,FALSE))</f>
        <v>60</v>
      </c>
      <c r="K23" s="4">
        <f>(VLOOKUP('19.02'!S23,'19.02'!$AO$4:$AQ$55,3,FALSE))</f>
        <v>60</v>
      </c>
      <c r="L23" s="4">
        <f>(VLOOKUP('19.02'!T23,'19.02'!$AO$4:$AQ$55,3,FALSE))</f>
        <v>60</v>
      </c>
      <c r="M23" s="4">
        <f>(VLOOKUP('19.02'!U23,'19.02'!$AO$4:$AQ$55,3,FALSE))</f>
        <v>0</v>
      </c>
      <c r="N23" s="4">
        <f>(VLOOKUP('19.02'!V23,'19.02'!$AO$4:$AQ$55,3,FALSE))</f>
        <v>0</v>
      </c>
      <c r="O23" s="5">
        <f>(VLOOKUP('19.02'!W23,'19.02'!$AO$4:$AQ$55,3,FALSE))</f>
        <v>0</v>
      </c>
      <c r="P23" s="5">
        <f>(VLOOKUP('19.02'!X23,'19.02'!$AO$4:$AQ$55,3,FALSE))</f>
        <v>0</v>
      </c>
      <c r="Q23" s="4">
        <f>(VLOOKUP('19.02'!Y23,'19.02'!$AO$4:$AQ$55,3,FALSE))</f>
        <v>500</v>
      </c>
      <c r="R23" s="4">
        <f>(VLOOKUP('19.02'!Z23,'19.02'!$AO$4:$AQ$55,3,FALSE))</f>
        <v>30</v>
      </c>
      <c r="S23" s="4">
        <f>(VLOOKUP('19.02'!AA23,'19.02'!$AO$4:$AQ$55,3,FALSE))</f>
        <v>50</v>
      </c>
      <c r="T23" s="4">
        <f>(VLOOKUP('19.02'!AB23,'19.02'!$AO$4:$AQ$55,3,FALSE))</f>
        <v>55</v>
      </c>
      <c r="U23" s="4">
        <f>(VLOOKUP('19.02'!AC23,'19.02'!$AO$4:$AQ$55,3,FALSE))</f>
        <v>55</v>
      </c>
      <c r="V23" s="4">
        <f>(VLOOKUP('19.02'!AD23,'19.02'!$AO$4:$AQ$55,3,FALSE))</f>
        <v>0</v>
      </c>
      <c r="W23" s="5">
        <f>(VLOOKUP('19.02'!AE23,'19.02'!$AO$4:$AQ$55,3,FALSE))</f>
        <v>0</v>
      </c>
      <c r="X23" s="5">
        <f>(VLOOKUP('19.02'!AF23,'19.02'!$AO$4:$AQ$55,3,FALSE))</f>
        <v>0</v>
      </c>
    </row>
    <row r="24" spans="1:24">
      <c r="A24" s="4">
        <f>(VLOOKUP('19.02'!I24,'19.02'!$AO$4:$AQ$55,3,FALSE))</f>
        <v>0</v>
      </c>
      <c r="B24" s="4">
        <f>(VLOOKUP('19.02'!J24,'19.02'!$AO$4:$AQ$55,3,FALSE))</f>
        <v>0</v>
      </c>
      <c r="C24" s="4">
        <f>(VLOOKUP('19.02'!K24,'19.02'!$AO$4:$AQ$55,3,FALSE))</f>
        <v>0</v>
      </c>
      <c r="D24" s="4">
        <f>(VLOOKUP('19.02'!L24,'19.02'!$AO$4:$AQ$55,3,FALSE))</f>
        <v>0</v>
      </c>
      <c r="E24" s="4">
        <f>(VLOOKUP('19.02'!M24,'19.02'!$AO$4:$AQ$55,3,FALSE))</f>
        <v>0</v>
      </c>
      <c r="F24" s="4">
        <f>(VLOOKUP('19.02'!N24,'19.02'!$AO$4:$AQ$55,3,FALSE))</f>
        <v>0</v>
      </c>
      <c r="G24" s="5">
        <f>(VLOOKUP('19.02'!O24,'19.02'!$AO$4:$AQ$55,3,FALSE))</f>
        <v>0</v>
      </c>
      <c r="H24" s="5">
        <f>(VLOOKUP('19.02'!P24,'19.02'!$AO$4:$AQ$55,3,FALSE))</f>
        <v>0</v>
      </c>
      <c r="I24" s="4">
        <f>(VLOOKUP('19.02'!Q24,'19.02'!$AO$4:$AQ$55,3,FALSE))</f>
        <v>0</v>
      </c>
      <c r="J24" s="4">
        <f>(VLOOKUP('19.02'!R24,'19.02'!$AO$4:$AQ$55,3,FALSE))</f>
        <v>0</v>
      </c>
      <c r="K24" s="4">
        <f>(VLOOKUP('19.02'!S24,'19.02'!$AO$4:$AQ$55,3,FALSE))</f>
        <v>0</v>
      </c>
      <c r="L24" s="4">
        <f>(VLOOKUP('19.02'!T24,'19.02'!$AO$4:$AQ$55,3,FALSE))</f>
        <v>0</v>
      </c>
      <c r="M24" s="4">
        <f>(VLOOKUP('19.02'!U24,'19.02'!$AO$4:$AQ$55,3,FALSE))</f>
        <v>0</v>
      </c>
      <c r="N24" s="4">
        <f>(VLOOKUP('19.02'!V24,'19.02'!$AO$4:$AQ$55,3,FALSE))</f>
        <v>0</v>
      </c>
      <c r="O24" s="5">
        <f>(VLOOKUP('19.02'!W24,'19.02'!$AO$4:$AQ$55,3,FALSE))</f>
        <v>0</v>
      </c>
      <c r="P24" s="5">
        <f>(VLOOKUP('19.02'!X24,'19.02'!$AO$4:$AQ$55,3,FALSE))</f>
        <v>0</v>
      </c>
      <c r="Q24" s="4">
        <f>(VLOOKUP('19.02'!Y24,'19.02'!$AO$4:$AQ$55,3,FALSE))</f>
        <v>0</v>
      </c>
      <c r="R24" s="4">
        <f>(VLOOKUP('19.02'!Z24,'19.02'!$AO$4:$AQ$55,3,FALSE))</f>
        <v>0</v>
      </c>
      <c r="S24" s="4">
        <f>(VLOOKUP('19.02'!AA24,'19.02'!$AO$4:$AQ$55,3,FALSE))</f>
        <v>0</v>
      </c>
      <c r="T24" s="4">
        <f>(VLOOKUP('19.02'!AB24,'19.02'!$AO$4:$AQ$55,3,FALSE))</f>
        <v>0</v>
      </c>
      <c r="U24" s="4">
        <f>(VLOOKUP('19.02'!AC24,'19.02'!$AO$4:$AQ$55,3,FALSE))</f>
        <v>0</v>
      </c>
      <c r="V24" s="4">
        <f>(VLOOKUP('19.02'!AD24,'19.02'!$AO$4:$AQ$55,3,FALSE))</f>
        <v>0</v>
      </c>
      <c r="W24" s="5">
        <f>(VLOOKUP('19.02'!AE24,'19.02'!$AO$4:$AQ$55,3,FALSE))</f>
        <v>0</v>
      </c>
      <c r="X24" s="5">
        <f>(VLOOKUP('19.02'!AF24,'19.02'!$AO$4:$AQ$55,3,FALSE))</f>
        <v>0</v>
      </c>
    </row>
    <row r="25" spans="1:24">
      <c r="A25" s="4">
        <f>(VLOOKUP('19.02'!I25,'19.02'!$AO$4:$AQ$55,3,FALSE))</f>
        <v>0</v>
      </c>
      <c r="B25" s="4">
        <f>(VLOOKUP('19.02'!J25,'19.02'!$AO$4:$AQ$55,3,FALSE))</f>
        <v>0</v>
      </c>
      <c r="C25" s="4">
        <f>(VLOOKUP('19.02'!K25,'19.02'!$AO$4:$AQ$55,3,FALSE))</f>
        <v>0</v>
      </c>
      <c r="D25" s="4">
        <f>(VLOOKUP('19.02'!L25,'19.02'!$AO$4:$AQ$55,3,FALSE))</f>
        <v>0</v>
      </c>
      <c r="E25" s="4">
        <f>(VLOOKUP('19.02'!M25,'19.02'!$AO$4:$AQ$55,3,FALSE))</f>
        <v>0</v>
      </c>
      <c r="F25" s="4">
        <f>(VLOOKUP('19.02'!N25,'19.02'!$AO$4:$AQ$55,3,FALSE))</f>
        <v>0</v>
      </c>
      <c r="G25" s="5">
        <f>(VLOOKUP('19.02'!O25,'19.02'!$AO$4:$AQ$55,3,FALSE))</f>
        <v>0</v>
      </c>
      <c r="H25" s="5">
        <f>(VLOOKUP('19.02'!P25,'19.02'!$AO$4:$AQ$55,3,FALSE))</f>
        <v>0</v>
      </c>
      <c r="I25" s="4">
        <f>(VLOOKUP('19.02'!Q25,'19.02'!$AO$4:$AQ$55,3,FALSE))</f>
        <v>60</v>
      </c>
      <c r="J25" s="4">
        <f>(VLOOKUP('19.02'!R25,'19.02'!$AO$4:$AQ$55,3,FALSE))</f>
        <v>60</v>
      </c>
      <c r="K25" s="4">
        <f>(VLOOKUP('19.02'!S25,'19.02'!$AO$4:$AQ$55,3,FALSE))</f>
        <v>1000</v>
      </c>
      <c r="L25" s="4">
        <f>(VLOOKUP('19.02'!T25,'19.02'!$AO$4:$AQ$55,3,FALSE))</f>
        <v>60</v>
      </c>
      <c r="M25" s="4">
        <f>(VLOOKUP('19.02'!U25,'19.02'!$AO$4:$AQ$55,3,FALSE))</f>
        <v>60</v>
      </c>
      <c r="N25" s="4">
        <f>(VLOOKUP('19.02'!V25,'19.02'!$AO$4:$AQ$55,3,FALSE))</f>
        <v>0</v>
      </c>
      <c r="O25" s="5">
        <f>(VLOOKUP('19.02'!W25,'19.02'!$AO$4:$AQ$55,3,FALSE))</f>
        <v>0</v>
      </c>
      <c r="P25" s="5">
        <f>(VLOOKUP('19.02'!X25,'19.02'!$AO$4:$AQ$55,3,FALSE))</f>
        <v>0</v>
      </c>
      <c r="Q25" s="4">
        <f>(VLOOKUP('19.02'!Y25,'19.02'!$AO$4:$AQ$55,3,FALSE))</f>
        <v>0</v>
      </c>
      <c r="R25" s="4">
        <f>(VLOOKUP('19.02'!Z25,'19.02'!$AO$4:$AQ$55,3,FALSE))</f>
        <v>0</v>
      </c>
      <c r="S25" s="4">
        <f>(VLOOKUP('19.02'!AA25,'19.02'!$AO$4:$AQ$55,3,FALSE))</f>
        <v>0</v>
      </c>
      <c r="T25" s="4">
        <f>(VLOOKUP('19.02'!AB25,'19.02'!$AO$4:$AQ$55,3,FALSE))</f>
        <v>0</v>
      </c>
      <c r="U25" s="4">
        <f>(VLOOKUP('19.02'!AC25,'19.02'!$AO$4:$AQ$55,3,FALSE))</f>
        <v>0</v>
      </c>
      <c r="V25" s="4">
        <f>(VLOOKUP('19.02'!AD25,'19.02'!$AO$4:$AQ$55,3,FALSE))</f>
        <v>0</v>
      </c>
      <c r="W25" s="5">
        <f>(VLOOKUP('19.02'!AE25,'19.02'!$AO$4:$AQ$55,3,FALSE))</f>
        <v>0</v>
      </c>
      <c r="X25" s="5">
        <f>(VLOOKUP('19.02'!AF25,'19.02'!$AO$4:$AQ$55,3,FALSE))</f>
        <v>0</v>
      </c>
    </row>
    <row r="26" spans="1:24">
      <c r="A26" s="4">
        <f>(VLOOKUP('19.02'!I26,'19.02'!$AO$4:$AQ$55,3,FALSE))</f>
        <v>0</v>
      </c>
      <c r="B26" s="4">
        <f>(VLOOKUP('19.02'!J26,'19.02'!$AO$4:$AQ$55,3,FALSE))</f>
        <v>0</v>
      </c>
      <c r="C26" s="4">
        <f>(VLOOKUP('19.02'!K26,'19.02'!$AO$4:$AQ$55,3,FALSE))</f>
        <v>0</v>
      </c>
      <c r="D26" s="4">
        <f>(VLOOKUP('19.02'!L26,'19.02'!$AO$4:$AQ$55,3,FALSE))</f>
        <v>0</v>
      </c>
      <c r="E26" s="4">
        <f>(VLOOKUP('19.02'!M26,'19.02'!$AO$4:$AQ$55,3,FALSE))</f>
        <v>0</v>
      </c>
      <c r="F26" s="4">
        <f>(VLOOKUP('19.02'!N26,'19.02'!$AO$4:$AQ$55,3,FALSE))</f>
        <v>0</v>
      </c>
      <c r="G26" s="5">
        <f>(VLOOKUP('19.02'!O26,'19.02'!$AO$4:$AQ$55,3,FALSE))</f>
        <v>0</v>
      </c>
      <c r="H26" s="5">
        <f>(VLOOKUP('19.02'!P26,'19.02'!$AO$4:$AQ$55,3,FALSE))</f>
        <v>0</v>
      </c>
      <c r="I26" s="4">
        <f>(VLOOKUP('19.02'!Q26,'19.02'!$AO$4:$AQ$55,3,FALSE))</f>
        <v>60</v>
      </c>
      <c r="J26" s="4">
        <f>(VLOOKUP('19.02'!R26,'19.02'!$AO$4:$AQ$55,3,FALSE))</f>
        <v>60</v>
      </c>
      <c r="K26" s="4">
        <f>(VLOOKUP('19.02'!S26,'19.02'!$AO$4:$AQ$55,3,FALSE))</f>
        <v>60</v>
      </c>
      <c r="L26" s="4">
        <f>(VLOOKUP('19.02'!T26,'19.02'!$AO$4:$AQ$55,3,FALSE))</f>
        <v>60</v>
      </c>
      <c r="M26" s="4">
        <f>(VLOOKUP('19.02'!U26,'19.02'!$AO$4:$AQ$55,3,FALSE))</f>
        <v>60</v>
      </c>
      <c r="N26" s="4">
        <f>(VLOOKUP('19.02'!V26,'19.02'!$AO$4:$AQ$55,3,FALSE))</f>
        <v>0</v>
      </c>
      <c r="O26" s="5">
        <f>(VLOOKUP('19.02'!W26,'19.02'!$AO$4:$AQ$55,3,FALSE))</f>
        <v>0</v>
      </c>
      <c r="P26" s="5">
        <f>(VLOOKUP('19.02'!X26,'19.02'!$AO$4:$AQ$55,3,FALSE))</f>
        <v>0</v>
      </c>
      <c r="Q26" s="4">
        <f>(VLOOKUP('19.02'!Y26,'19.02'!$AO$4:$AQ$55,3,FALSE))</f>
        <v>0</v>
      </c>
      <c r="R26" s="4">
        <f>(VLOOKUP('19.02'!Z26,'19.02'!$AO$4:$AQ$55,3,FALSE))</f>
        <v>0</v>
      </c>
      <c r="S26" s="4">
        <f>(VLOOKUP('19.02'!AA26,'19.02'!$AO$4:$AQ$55,3,FALSE))</f>
        <v>0</v>
      </c>
      <c r="T26" s="4">
        <f>(VLOOKUP('19.02'!AB26,'19.02'!$AO$4:$AQ$55,3,FALSE))</f>
        <v>0</v>
      </c>
      <c r="U26" s="4">
        <f>(VLOOKUP('19.02'!AC26,'19.02'!$AO$4:$AQ$55,3,FALSE))</f>
        <v>0</v>
      </c>
      <c r="V26" s="4">
        <f>(VLOOKUP('19.02'!AD26,'19.02'!$AO$4:$AQ$55,3,FALSE))</f>
        <v>0</v>
      </c>
      <c r="W26" s="5">
        <f>(VLOOKUP('19.02'!AE26,'19.02'!$AO$4:$AQ$55,3,FALSE))</f>
        <v>0</v>
      </c>
      <c r="X26" s="5">
        <f>(VLOOKUP('19.02'!AF26,'19.02'!$AO$4:$AQ$55,3,FALSE))</f>
        <v>0</v>
      </c>
    </row>
    <row r="27" spans="1:24">
      <c r="A27" s="4">
        <f>(VLOOKUP('19.02'!I27,'19.02'!$AO$4:$AQ$55,3,FALSE))</f>
        <v>0</v>
      </c>
      <c r="B27" s="4">
        <f>(VLOOKUP('19.02'!J27,'19.02'!$AO$4:$AQ$55,3,FALSE))</f>
        <v>0</v>
      </c>
      <c r="C27" s="4">
        <f>(VLOOKUP('19.02'!K27,'19.02'!$AO$4:$AQ$55,3,FALSE))</f>
        <v>0</v>
      </c>
      <c r="D27" s="4">
        <f>(VLOOKUP('19.02'!L27,'19.02'!$AO$4:$AQ$55,3,FALSE))</f>
        <v>0</v>
      </c>
      <c r="E27" s="4">
        <f>(VLOOKUP('19.02'!M27,'19.02'!$AO$4:$AQ$55,3,FALSE))</f>
        <v>0</v>
      </c>
      <c r="F27" s="4">
        <f>(VLOOKUP('19.02'!N27,'19.02'!$AO$4:$AQ$55,3,FALSE))</f>
        <v>0</v>
      </c>
      <c r="G27" s="5">
        <f>(VLOOKUP('19.02'!O27,'19.02'!$AO$4:$AQ$55,3,FALSE))</f>
        <v>0</v>
      </c>
      <c r="H27" s="5">
        <f>(VLOOKUP('19.02'!P27,'19.02'!$AO$4:$AQ$55,3,FALSE))</f>
        <v>0</v>
      </c>
      <c r="I27" s="4">
        <f>(VLOOKUP('19.02'!Q27,'19.02'!$AO$4:$AQ$55,3,FALSE))</f>
        <v>60</v>
      </c>
      <c r="J27" s="4">
        <f>(VLOOKUP('19.02'!R27,'19.02'!$AO$4:$AQ$55,3,FALSE))</f>
        <v>60</v>
      </c>
      <c r="K27" s="4">
        <f>(VLOOKUP('19.02'!S27,'19.02'!$AO$4:$AQ$55,3,FALSE))</f>
        <v>60</v>
      </c>
      <c r="L27" s="4">
        <f>(VLOOKUP('19.02'!T27,'19.02'!$AO$4:$AQ$55,3,FALSE))</f>
        <v>60</v>
      </c>
      <c r="M27" s="4">
        <f>(VLOOKUP('19.02'!U27,'19.02'!$AO$4:$AQ$55,3,FALSE))</f>
        <v>60</v>
      </c>
      <c r="N27" s="4">
        <f>(VLOOKUP('19.02'!V27,'19.02'!$AO$4:$AQ$55,3,FALSE))</f>
        <v>60</v>
      </c>
      <c r="O27" s="5">
        <f>(VLOOKUP('19.02'!W27,'19.02'!$AO$4:$AQ$55,3,FALSE))</f>
        <v>60</v>
      </c>
      <c r="P27" s="5">
        <f>(VLOOKUP('19.02'!X27,'19.02'!$AO$4:$AQ$55,3,FALSE))</f>
        <v>55</v>
      </c>
      <c r="Q27" s="4">
        <f>(VLOOKUP('19.02'!Y27,'19.02'!$AO$4:$AQ$55,3,FALSE))</f>
        <v>0</v>
      </c>
      <c r="R27" s="4">
        <f>(VLOOKUP('19.02'!Z27,'19.02'!$AO$4:$AQ$55,3,FALSE))</f>
        <v>0</v>
      </c>
      <c r="S27" s="4">
        <f>(VLOOKUP('19.02'!AA27,'19.02'!$AO$4:$AQ$55,3,FALSE))</f>
        <v>0</v>
      </c>
      <c r="T27" s="4">
        <f>(VLOOKUP('19.02'!AB27,'19.02'!$AO$4:$AQ$55,3,FALSE))</f>
        <v>0</v>
      </c>
      <c r="U27" s="4">
        <f>(VLOOKUP('19.02'!AC27,'19.02'!$AO$4:$AQ$55,3,FALSE))</f>
        <v>0</v>
      </c>
      <c r="V27" s="4">
        <f>(VLOOKUP('19.02'!AD27,'19.02'!$AO$4:$AQ$55,3,FALSE))</f>
        <v>0</v>
      </c>
      <c r="W27" s="5">
        <f>(VLOOKUP('19.02'!AE27,'19.02'!$AO$4:$AQ$55,3,FALSE))</f>
        <v>0</v>
      </c>
      <c r="X27" s="5">
        <f>(VLOOKUP('19.02'!AF27,'19.02'!$AO$4:$AQ$55,3,FALSE))</f>
        <v>0</v>
      </c>
    </row>
    <row r="28" spans="1:24">
      <c r="A28" s="4">
        <f>(VLOOKUP('19.02'!I28,'19.02'!$AO$4:$AQ$55,3,FALSE))</f>
        <v>0</v>
      </c>
      <c r="B28" s="4">
        <f>(VLOOKUP('19.02'!J28,'19.02'!$AO$4:$AQ$55,3,FALSE))</f>
        <v>0</v>
      </c>
      <c r="C28" s="4">
        <f>(VLOOKUP('19.02'!K28,'19.02'!$AO$4:$AQ$55,3,FALSE))</f>
        <v>0</v>
      </c>
      <c r="D28" s="4">
        <f>(VLOOKUP('19.02'!L28,'19.02'!$AO$4:$AQ$55,3,FALSE))</f>
        <v>0</v>
      </c>
      <c r="E28" s="4">
        <f>(VLOOKUP('19.02'!M28,'19.02'!$AO$4:$AQ$55,3,FALSE))</f>
        <v>0</v>
      </c>
      <c r="F28" s="4">
        <f>(VLOOKUP('19.02'!N28,'19.02'!$AO$4:$AQ$55,3,FALSE))</f>
        <v>0</v>
      </c>
      <c r="G28" s="5">
        <f>(VLOOKUP('19.02'!O28,'19.02'!$AO$4:$AQ$55,3,FALSE))</f>
        <v>0</v>
      </c>
      <c r="H28" s="5">
        <f>(VLOOKUP('19.02'!P28,'19.02'!$AO$4:$AQ$55,3,FALSE))</f>
        <v>0</v>
      </c>
      <c r="I28" s="4">
        <f>(VLOOKUP('19.02'!Q28,'19.02'!$AO$4:$AQ$55,3,FALSE))</f>
        <v>55</v>
      </c>
      <c r="J28" s="4">
        <f>(VLOOKUP('19.02'!R28,'19.02'!$AO$4:$AQ$55,3,FALSE))</f>
        <v>55</v>
      </c>
      <c r="K28" s="4">
        <f>(VLOOKUP('19.02'!S28,'19.02'!$AO$4:$AQ$55,3,FALSE))</f>
        <v>0</v>
      </c>
      <c r="L28" s="4">
        <f>(VLOOKUP('19.02'!T28,'19.02'!$AO$4:$AQ$55,3,FALSE))</f>
        <v>55</v>
      </c>
      <c r="M28" s="4">
        <f>(VLOOKUP('19.02'!U28,'19.02'!$AO$4:$AQ$55,3,FALSE))</f>
        <v>45</v>
      </c>
      <c r="N28" s="4">
        <f>(VLOOKUP('19.02'!V28,'19.02'!$AO$4:$AQ$55,3,FALSE))</f>
        <v>45</v>
      </c>
      <c r="O28" s="5">
        <f>(VLOOKUP('19.02'!W28,'19.02'!$AO$4:$AQ$55,3,FALSE))</f>
        <v>45</v>
      </c>
      <c r="P28" s="5">
        <f>(VLOOKUP('19.02'!X28,'19.02'!$AO$4:$AQ$55,3,FALSE))</f>
        <v>60</v>
      </c>
      <c r="Q28" s="4">
        <f>(VLOOKUP('19.02'!Y28,'19.02'!$AO$4:$AQ$55,3,FALSE))</f>
        <v>0</v>
      </c>
      <c r="R28" s="4">
        <f>(VLOOKUP('19.02'!Z28,'19.02'!$AO$4:$AQ$55,3,FALSE))</f>
        <v>0</v>
      </c>
      <c r="S28" s="4">
        <f>(VLOOKUP('19.02'!AA28,'19.02'!$AO$4:$AQ$55,3,FALSE))</f>
        <v>0</v>
      </c>
      <c r="T28" s="4">
        <f>(VLOOKUP('19.02'!AB28,'19.02'!$AO$4:$AQ$55,3,FALSE))</f>
        <v>0</v>
      </c>
      <c r="U28" s="4">
        <f>(VLOOKUP('19.02'!AC28,'19.02'!$AO$4:$AQ$55,3,FALSE))</f>
        <v>0</v>
      </c>
      <c r="V28" s="4">
        <f>(VLOOKUP('19.02'!AD28,'19.02'!$AO$4:$AQ$55,3,FALSE))</f>
        <v>0</v>
      </c>
      <c r="W28" s="5">
        <f>(VLOOKUP('19.02'!AE28,'19.02'!$AO$4:$AQ$55,3,FALSE))</f>
        <v>0</v>
      </c>
      <c r="X28" s="5">
        <f>(VLOOKUP('19.02'!AF28,'19.02'!$AO$4:$AQ$55,3,FALSE))</f>
        <v>0</v>
      </c>
    </row>
    <row r="29" spans="1:24">
      <c r="A29" s="4">
        <f>(VLOOKUP('19.02'!I29,'19.02'!$AO$4:$AQ$55,3,FALSE))</f>
        <v>0</v>
      </c>
      <c r="B29" s="4">
        <f>(VLOOKUP('19.02'!J29,'19.02'!$AO$4:$AQ$55,3,FALSE))</f>
        <v>0</v>
      </c>
      <c r="C29" s="4">
        <f>(VLOOKUP('19.02'!K29,'19.02'!$AO$4:$AQ$55,3,FALSE))</f>
        <v>0</v>
      </c>
      <c r="D29" s="4">
        <f>(VLOOKUP('19.02'!L29,'19.02'!$AO$4:$AQ$55,3,FALSE))</f>
        <v>0</v>
      </c>
      <c r="E29" s="4">
        <f>(VLOOKUP('19.02'!M29,'19.02'!$AO$4:$AQ$55,3,FALSE))</f>
        <v>0</v>
      </c>
      <c r="F29" s="4">
        <f>(VLOOKUP('19.02'!N29,'19.02'!$AO$4:$AQ$55,3,FALSE))</f>
        <v>0</v>
      </c>
      <c r="G29" s="5">
        <f>(VLOOKUP('19.02'!O29,'19.02'!$AO$4:$AQ$55,3,FALSE))</f>
        <v>0</v>
      </c>
      <c r="H29" s="5">
        <f>(VLOOKUP('19.02'!P29,'19.02'!$AO$4:$AQ$55,3,FALSE))</f>
        <v>0</v>
      </c>
      <c r="I29" s="4">
        <f>(VLOOKUP('19.02'!Q29,'19.02'!$AO$4:$AQ$55,3,FALSE))</f>
        <v>60</v>
      </c>
      <c r="J29" s="4">
        <f>(VLOOKUP('19.02'!R29,'19.02'!$AO$4:$AQ$55,3,FALSE))</f>
        <v>60</v>
      </c>
      <c r="K29" s="4">
        <f>(VLOOKUP('19.02'!S29,'19.02'!$AO$4:$AQ$55,3,FALSE))</f>
        <v>60</v>
      </c>
      <c r="L29" s="4">
        <f>(VLOOKUP('19.02'!T29,'19.02'!$AO$4:$AQ$55,3,FALSE))</f>
        <v>60</v>
      </c>
      <c r="M29" s="4">
        <f>(VLOOKUP('19.02'!U29,'19.02'!$AO$4:$AQ$55,3,FALSE))</f>
        <v>60</v>
      </c>
      <c r="N29" s="4">
        <f>(VLOOKUP('19.02'!V29,'19.02'!$AO$4:$AQ$55,3,FALSE))</f>
        <v>60</v>
      </c>
      <c r="O29" s="5">
        <f>(VLOOKUP('19.02'!W29,'19.02'!$AO$4:$AQ$55,3,FALSE))</f>
        <v>60</v>
      </c>
      <c r="P29" s="5">
        <f>(VLOOKUP('19.02'!X29,'19.02'!$AO$4:$AQ$55,3,FALSE))</f>
        <v>0</v>
      </c>
      <c r="Q29" s="4">
        <f>(VLOOKUP('19.02'!Y29,'19.02'!$AO$4:$AQ$55,3,FALSE))</f>
        <v>0</v>
      </c>
      <c r="R29" s="4">
        <f>(VLOOKUP('19.02'!Z29,'19.02'!$AO$4:$AQ$55,3,FALSE))</f>
        <v>0</v>
      </c>
      <c r="S29" s="4">
        <f>(VLOOKUP('19.02'!AA29,'19.02'!$AO$4:$AQ$55,3,FALSE))</f>
        <v>0</v>
      </c>
      <c r="T29" s="4">
        <f>(VLOOKUP('19.02'!AB29,'19.02'!$AO$4:$AQ$55,3,FALSE))</f>
        <v>0</v>
      </c>
      <c r="U29" s="4">
        <f>(VLOOKUP('19.02'!AC29,'19.02'!$AO$4:$AQ$55,3,FALSE))</f>
        <v>0</v>
      </c>
      <c r="V29" s="4">
        <f>(VLOOKUP('19.02'!AD29,'19.02'!$AO$4:$AQ$55,3,FALSE))</f>
        <v>0</v>
      </c>
      <c r="W29" s="5">
        <f>(VLOOKUP('19.02'!AE29,'19.02'!$AO$4:$AQ$55,3,FALSE))</f>
        <v>0</v>
      </c>
      <c r="X29" s="5">
        <f>(VLOOKUP('19.02'!AF29,'19.02'!$AO$4:$AQ$55,3,FALSE))</f>
        <v>0</v>
      </c>
    </row>
    <row r="30" spans="1:24">
      <c r="A30" s="4">
        <f>(VLOOKUP('19.02'!I30,'19.02'!$AO$4:$AQ$55,3,FALSE))</f>
        <v>0</v>
      </c>
      <c r="B30" s="4">
        <f>(VLOOKUP('19.02'!J30,'19.02'!$AO$4:$AQ$55,3,FALSE))</f>
        <v>0</v>
      </c>
      <c r="C30" s="4">
        <f>(VLOOKUP('19.02'!K30,'19.02'!$AO$4:$AQ$55,3,FALSE))</f>
        <v>0</v>
      </c>
      <c r="D30" s="4">
        <f>(VLOOKUP('19.02'!L30,'19.02'!$AO$4:$AQ$55,3,FALSE))</f>
        <v>0</v>
      </c>
      <c r="E30" s="4">
        <f>(VLOOKUP('19.02'!M30,'19.02'!$AO$4:$AQ$55,3,FALSE))</f>
        <v>0</v>
      </c>
      <c r="F30" s="4">
        <f>(VLOOKUP('19.02'!N30,'19.02'!$AO$4:$AQ$55,3,FALSE))</f>
        <v>0</v>
      </c>
      <c r="G30" s="5">
        <f>(VLOOKUP('19.02'!O30,'19.02'!$AO$4:$AQ$55,3,FALSE))</f>
        <v>0</v>
      </c>
      <c r="H30" s="5">
        <f>(VLOOKUP('19.02'!P30,'19.02'!$AO$4:$AQ$55,3,FALSE))</f>
        <v>0</v>
      </c>
      <c r="I30" s="4">
        <f>(VLOOKUP('19.02'!Q30,'19.02'!$AO$4:$AQ$55,3,FALSE))</f>
        <v>60</v>
      </c>
      <c r="J30" s="4">
        <f>(VLOOKUP('19.02'!R30,'19.02'!$AO$4:$AQ$55,3,FALSE))</f>
        <v>60</v>
      </c>
      <c r="K30" s="4">
        <f>(VLOOKUP('19.02'!S30,'19.02'!$AO$4:$AQ$55,3,FALSE))</f>
        <v>60</v>
      </c>
      <c r="L30" s="4">
        <f>(VLOOKUP('19.02'!T30,'19.02'!$AO$4:$AQ$55,3,FALSE))</f>
        <v>60</v>
      </c>
      <c r="M30" s="4">
        <f>(VLOOKUP('19.02'!U30,'19.02'!$AO$4:$AQ$55,3,FALSE))</f>
        <v>60</v>
      </c>
      <c r="N30" s="4">
        <f>(VLOOKUP('19.02'!V30,'19.02'!$AO$4:$AQ$55,3,FALSE))</f>
        <v>60</v>
      </c>
      <c r="O30" s="5">
        <f>(VLOOKUP('19.02'!W30,'19.02'!$AO$4:$AQ$55,3,FALSE))</f>
        <v>0</v>
      </c>
      <c r="P30" s="5">
        <f>(VLOOKUP('19.02'!X30,'19.02'!$AO$4:$AQ$55,3,FALSE))</f>
        <v>0</v>
      </c>
      <c r="Q30" s="4">
        <f>(VLOOKUP('19.02'!Y30,'19.02'!$AO$4:$AQ$55,3,FALSE))</f>
        <v>0</v>
      </c>
      <c r="R30" s="4">
        <f>(VLOOKUP('19.02'!Z30,'19.02'!$AO$4:$AQ$55,3,FALSE))</f>
        <v>0</v>
      </c>
      <c r="S30" s="4">
        <f>(VLOOKUP('19.02'!AA30,'19.02'!$AO$4:$AQ$55,3,FALSE))</f>
        <v>0</v>
      </c>
      <c r="T30" s="4">
        <f>(VLOOKUP('19.02'!AB30,'19.02'!$AO$4:$AQ$55,3,FALSE))</f>
        <v>0</v>
      </c>
      <c r="U30" s="4">
        <f>(VLOOKUP('19.02'!AC30,'19.02'!$AO$4:$AQ$55,3,FALSE))</f>
        <v>0</v>
      </c>
      <c r="V30" s="4">
        <f>(VLOOKUP('19.02'!AD30,'19.02'!$AO$4:$AQ$55,3,FALSE))</f>
        <v>0</v>
      </c>
      <c r="W30" s="5">
        <f>(VLOOKUP('19.02'!AE30,'19.02'!$AO$4:$AQ$55,3,FALSE))</f>
        <v>0</v>
      </c>
      <c r="X30" s="5">
        <f>(VLOOKUP('19.02'!AF30,'19.02'!$AO$4:$AQ$55,3,FALSE))</f>
        <v>0</v>
      </c>
    </row>
    <row r="31" spans="1:24">
      <c r="A31" s="4">
        <f>(VLOOKUP('19.02'!I31,'19.02'!$AO$4:$AQ$55,3,FALSE))</f>
        <v>0</v>
      </c>
      <c r="B31" s="4">
        <f>(VLOOKUP('19.02'!J31,'19.02'!$AO$4:$AQ$55,3,FALSE))</f>
        <v>0</v>
      </c>
      <c r="C31" s="4">
        <f>(VLOOKUP('19.02'!K31,'19.02'!$AO$4:$AQ$55,3,FALSE))</f>
        <v>0</v>
      </c>
      <c r="D31" s="4">
        <f>(VLOOKUP('19.02'!L31,'19.02'!$AO$4:$AQ$55,3,FALSE))</f>
        <v>0</v>
      </c>
      <c r="E31" s="4">
        <f>(VLOOKUP('19.02'!M31,'19.02'!$AO$4:$AQ$55,3,FALSE))</f>
        <v>0</v>
      </c>
      <c r="F31" s="4">
        <f>(VLOOKUP('19.02'!N31,'19.02'!$AO$4:$AQ$55,3,FALSE))</f>
        <v>0</v>
      </c>
      <c r="G31" s="5">
        <f>(VLOOKUP('19.02'!O31,'19.02'!$AO$4:$AQ$55,3,FALSE))</f>
        <v>0</v>
      </c>
      <c r="H31" s="5">
        <f>(VLOOKUP('19.02'!P31,'19.02'!$AO$4:$AQ$55,3,FALSE))</f>
        <v>0</v>
      </c>
      <c r="I31" s="4">
        <f>(VLOOKUP('19.02'!Q31,'19.02'!$AO$4:$AQ$55,3,FALSE))</f>
        <v>60</v>
      </c>
      <c r="J31" s="4">
        <f>(VLOOKUP('19.02'!R31,'19.02'!$AO$4:$AQ$55,3,FALSE))</f>
        <v>60</v>
      </c>
      <c r="K31" s="4">
        <f>(VLOOKUP('19.02'!S31,'19.02'!$AO$4:$AQ$55,3,FALSE))</f>
        <v>60</v>
      </c>
      <c r="L31" s="4">
        <f>(VLOOKUP('19.02'!T31,'19.02'!$AO$4:$AQ$55,3,FALSE))</f>
        <v>60</v>
      </c>
      <c r="M31" s="4">
        <f>(VLOOKUP('19.02'!U31,'19.02'!$AO$4:$AQ$55,3,FALSE))</f>
        <v>60</v>
      </c>
      <c r="N31" s="4">
        <f>(VLOOKUP('19.02'!V31,'19.02'!$AO$4:$AQ$55,3,FALSE))</f>
        <v>0</v>
      </c>
      <c r="O31" s="5">
        <f>(VLOOKUP('19.02'!W31,'19.02'!$AO$4:$AQ$55,3,FALSE))</f>
        <v>60</v>
      </c>
      <c r="P31" s="5">
        <f>(VLOOKUP('19.02'!X31,'19.02'!$AO$4:$AQ$55,3,FALSE))</f>
        <v>60</v>
      </c>
      <c r="Q31" s="4">
        <f>(VLOOKUP('19.02'!Y31,'19.02'!$AO$4:$AQ$55,3,FALSE))</f>
        <v>0</v>
      </c>
      <c r="R31" s="4">
        <f>(VLOOKUP('19.02'!Z31,'19.02'!$AO$4:$AQ$55,3,FALSE))</f>
        <v>0</v>
      </c>
      <c r="S31" s="4">
        <f>(VLOOKUP('19.02'!AA31,'19.02'!$AO$4:$AQ$55,3,FALSE))</f>
        <v>0</v>
      </c>
      <c r="T31" s="4">
        <f>(VLOOKUP('19.02'!AB31,'19.02'!$AO$4:$AQ$55,3,FALSE))</f>
        <v>0</v>
      </c>
      <c r="U31" s="4">
        <f>(VLOOKUP('19.02'!AC31,'19.02'!$AO$4:$AQ$55,3,FALSE))</f>
        <v>0</v>
      </c>
      <c r="V31" s="4">
        <f>(VLOOKUP('19.02'!AD31,'19.02'!$AO$4:$AQ$55,3,FALSE))</f>
        <v>0</v>
      </c>
      <c r="W31" s="5">
        <f>(VLOOKUP('19.02'!AE31,'19.02'!$AO$4:$AQ$55,3,FALSE))</f>
        <v>0</v>
      </c>
      <c r="X31" s="5">
        <f>(VLOOKUP('19.02'!AF31,'19.02'!$AO$4:$AQ$55,3,FALSE))</f>
        <v>0</v>
      </c>
    </row>
    <row r="32" spans="1:24">
      <c r="A32" s="4">
        <f>(VLOOKUP('19.02'!I32,'19.02'!$AO$4:$AQ$55,3,FALSE))</f>
        <v>0</v>
      </c>
      <c r="B32" s="4">
        <f>(VLOOKUP('19.02'!J32,'19.02'!$AO$4:$AQ$55,3,FALSE))</f>
        <v>0</v>
      </c>
      <c r="C32" s="4">
        <f>(VLOOKUP('19.02'!K32,'19.02'!$AO$4:$AQ$55,3,FALSE))</f>
        <v>0</v>
      </c>
      <c r="D32" s="4">
        <f>(VLOOKUP('19.02'!L32,'19.02'!$AO$4:$AQ$55,3,FALSE))</f>
        <v>0</v>
      </c>
      <c r="E32" s="4">
        <f>(VLOOKUP('19.02'!M32,'19.02'!$AO$4:$AQ$55,3,FALSE))</f>
        <v>0</v>
      </c>
      <c r="F32" s="4">
        <f>(VLOOKUP('19.02'!N32,'19.02'!$AO$4:$AQ$55,3,FALSE))</f>
        <v>0</v>
      </c>
      <c r="G32" s="5">
        <f>(VLOOKUP('19.02'!O32,'19.02'!$AO$4:$AQ$55,3,FALSE))</f>
        <v>0</v>
      </c>
      <c r="H32" s="5">
        <f>(VLOOKUP('19.02'!P32,'19.02'!$AO$4:$AQ$55,3,FALSE))</f>
        <v>0</v>
      </c>
      <c r="I32" s="4">
        <f>(VLOOKUP('19.02'!Q32,'19.02'!$AO$4:$AQ$55,3,FALSE))</f>
        <v>60</v>
      </c>
      <c r="J32" s="4">
        <f>(VLOOKUP('19.02'!R32,'19.02'!$AO$4:$AQ$55,3,FALSE))</f>
        <v>60</v>
      </c>
      <c r="K32" s="4">
        <f>(VLOOKUP('19.02'!S32,'19.02'!$AO$4:$AQ$55,3,FALSE))</f>
        <v>60</v>
      </c>
      <c r="L32" s="4">
        <f>(VLOOKUP('19.02'!T32,'19.02'!$AO$4:$AQ$55,3,FALSE))</f>
        <v>60</v>
      </c>
      <c r="M32" s="4">
        <f>(VLOOKUP('19.02'!U32,'19.02'!$AO$4:$AQ$55,3,FALSE))</f>
        <v>1000</v>
      </c>
      <c r="N32" s="4">
        <f>(VLOOKUP('19.02'!V32,'19.02'!$AO$4:$AQ$55,3,FALSE))</f>
        <v>0</v>
      </c>
      <c r="O32" s="5">
        <f>(VLOOKUP('19.02'!W32,'19.02'!$AO$4:$AQ$55,3,FALSE))</f>
        <v>0</v>
      </c>
      <c r="P32" s="5">
        <f>(VLOOKUP('19.02'!X32,'19.02'!$AO$4:$AQ$55,3,FALSE))</f>
        <v>0</v>
      </c>
      <c r="Q32" s="4">
        <f>(VLOOKUP('19.02'!Y32,'19.02'!$AO$4:$AQ$55,3,FALSE))</f>
        <v>0</v>
      </c>
      <c r="R32" s="4">
        <f>(VLOOKUP('19.02'!Z32,'19.02'!$AO$4:$AQ$55,3,FALSE))</f>
        <v>0</v>
      </c>
      <c r="S32" s="4">
        <f>(VLOOKUP('19.02'!AA32,'19.02'!$AO$4:$AQ$55,3,FALSE))</f>
        <v>0</v>
      </c>
      <c r="T32" s="4">
        <f>(VLOOKUP('19.02'!AB32,'19.02'!$AO$4:$AQ$55,3,FALSE))</f>
        <v>0</v>
      </c>
      <c r="U32" s="4">
        <f>(VLOOKUP('19.02'!AC32,'19.02'!$AO$4:$AQ$55,3,FALSE))</f>
        <v>0</v>
      </c>
      <c r="V32" s="4">
        <f>(VLOOKUP('19.02'!AD32,'19.02'!$AO$4:$AQ$55,3,FALSE))</f>
        <v>0</v>
      </c>
      <c r="W32" s="5">
        <f>(VLOOKUP('19.02'!AE32,'19.02'!$AO$4:$AQ$55,3,FALSE))</f>
        <v>0</v>
      </c>
      <c r="X32" s="5">
        <f>(VLOOKUP('19.02'!AF32,'19.02'!$AO$4:$AQ$55,3,FALSE))</f>
        <v>0</v>
      </c>
    </row>
    <row r="33" spans="1:24">
      <c r="A33" s="4">
        <f>(VLOOKUP('19.02'!I33,'19.02'!$AO$4:$AQ$55,3,FALSE))</f>
        <v>0</v>
      </c>
      <c r="B33" s="4">
        <f>(VLOOKUP('19.02'!J33,'19.02'!$AO$4:$AQ$55,3,FALSE))</f>
        <v>0</v>
      </c>
      <c r="C33" s="4">
        <f>(VLOOKUP('19.02'!K33,'19.02'!$AO$4:$AQ$55,3,FALSE))</f>
        <v>0</v>
      </c>
      <c r="D33" s="4">
        <f>(VLOOKUP('19.02'!L33,'19.02'!$AO$4:$AQ$55,3,FALSE))</f>
        <v>0</v>
      </c>
      <c r="E33" s="4">
        <f>(VLOOKUP('19.02'!M33,'19.02'!$AO$4:$AQ$55,3,FALSE))</f>
        <v>0</v>
      </c>
      <c r="F33" s="4">
        <f>(VLOOKUP('19.02'!N33,'19.02'!$AO$4:$AQ$55,3,FALSE))</f>
        <v>0</v>
      </c>
      <c r="G33" s="5">
        <f>(VLOOKUP('19.02'!O33,'19.02'!$AO$4:$AQ$55,3,FALSE))</f>
        <v>0</v>
      </c>
      <c r="H33" s="5">
        <f>(VLOOKUP('19.02'!P33,'19.02'!$AO$4:$AQ$55,3,FALSE))</f>
        <v>0</v>
      </c>
      <c r="I33" s="4">
        <f>(VLOOKUP('19.02'!Q33,'19.02'!$AO$4:$AQ$55,3,FALSE))</f>
        <v>0</v>
      </c>
      <c r="J33" s="4">
        <f>(VLOOKUP('19.02'!R33,'19.02'!$AO$4:$AQ$55,3,FALSE))</f>
        <v>0</v>
      </c>
      <c r="K33" s="4">
        <f>(VLOOKUP('19.02'!S33,'19.02'!$AO$4:$AQ$55,3,FALSE))</f>
        <v>0</v>
      </c>
      <c r="L33" s="4">
        <f>(VLOOKUP('19.02'!T33,'19.02'!$AO$4:$AQ$55,3,FALSE))</f>
        <v>0</v>
      </c>
      <c r="M33" s="4">
        <f>(VLOOKUP('19.02'!U33,'19.02'!$AO$4:$AQ$55,3,FALSE))</f>
        <v>0</v>
      </c>
      <c r="N33" s="4">
        <f>(VLOOKUP('19.02'!V33,'19.02'!$AO$4:$AQ$55,3,FALSE))</f>
        <v>0</v>
      </c>
      <c r="O33" s="5">
        <f>(VLOOKUP('19.02'!W33,'19.02'!$AO$4:$AQ$55,3,FALSE))</f>
        <v>0</v>
      </c>
      <c r="P33" s="5">
        <f>(VLOOKUP('19.02'!X33,'19.02'!$AO$4:$AQ$55,3,FALSE))</f>
        <v>0</v>
      </c>
      <c r="Q33" s="4">
        <f>(VLOOKUP('19.02'!Y33,'19.02'!$AO$4:$AQ$55,3,FALSE))</f>
        <v>50</v>
      </c>
      <c r="R33" s="4">
        <f>(VLOOKUP('19.02'!Z33,'19.02'!$AO$4:$AQ$55,3,FALSE))</f>
        <v>50</v>
      </c>
      <c r="S33" s="4">
        <f>(VLOOKUP('19.02'!AA33,'19.02'!$AO$4:$AQ$55,3,FALSE))</f>
        <v>50</v>
      </c>
      <c r="T33" s="4">
        <f>(VLOOKUP('19.02'!AB33,'19.02'!$AO$4:$AQ$55,3,FALSE))</f>
        <v>50</v>
      </c>
      <c r="U33" s="4">
        <f>(VLOOKUP('19.02'!AC33,'19.02'!$AO$4:$AQ$55,3,FALSE))</f>
        <v>50</v>
      </c>
      <c r="V33" s="4">
        <f>(VLOOKUP('19.02'!AD33,'19.02'!$AO$4:$AQ$55,3,FALSE))</f>
        <v>50</v>
      </c>
      <c r="W33" s="5">
        <f>(VLOOKUP('19.02'!AE33,'19.02'!$AO$4:$AQ$55,3,FALSE))</f>
        <v>0</v>
      </c>
      <c r="X33" s="5">
        <f>(VLOOKUP('19.02'!AF33,'19.02'!$AO$4:$AQ$55,3,FALSE))</f>
        <v>0</v>
      </c>
    </row>
    <row r="34" spans="1:24">
      <c r="A34" s="4">
        <f>(VLOOKUP('19.02'!I34,'19.02'!$AO$4:$AQ$55,3,FALSE))</f>
        <v>0</v>
      </c>
      <c r="B34" s="4">
        <f>(VLOOKUP('19.02'!J34,'19.02'!$AO$4:$AQ$55,3,FALSE))</f>
        <v>0</v>
      </c>
      <c r="C34" s="4">
        <f>(VLOOKUP('19.02'!K34,'19.02'!$AO$4:$AQ$55,3,FALSE))</f>
        <v>0</v>
      </c>
      <c r="D34" s="4">
        <f>(VLOOKUP('19.02'!L34,'19.02'!$AO$4:$AQ$55,3,FALSE))</f>
        <v>0</v>
      </c>
      <c r="E34" s="4">
        <f>(VLOOKUP('19.02'!M34,'19.02'!$AO$4:$AQ$55,3,FALSE))</f>
        <v>0</v>
      </c>
      <c r="F34" s="4">
        <f>(VLOOKUP('19.02'!N34,'19.02'!$AO$4:$AQ$55,3,FALSE))</f>
        <v>0</v>
      </c>
      <c r="G34" s="5">
        <f>(VLOOKUP('19.02'!O34,'19.02'!$AO$4:$AQ$55,3,FALSE))</f>
        <v>0</v>
      </c>
      <c r="H34" s="5">
        <f>(VLOOKUP('19.02'!P34,'19.02'!$AO$4:$AQ$55,3,FALSE))</f>
        <v>0</v>
      </c>
      <c r="I34" s="4">
        <f>(VLOOKUP('19.02'!Q34,'19.02'!$AO$4:$AQ$55,3,FALSE))</f>
        <v>0</v>
      </c>
      <c r="J34" s="4">
        <f>(VLOOKUP('19.02'!R34,'19.02'!$AO$4:$AQ$55,3,FALSE))</f>
        <v>0</v>
      </c>
      <c r="K34" s="4">
        <f>(VLOOKUP('19.02'!S34,'19.02'!$AO$4:$AQ$55,3,FALSE))</f>
        <v>0</v>
      </c>
      <c r="L34" s="4">
        <f>(VLOOKUP('19.02'!T34,'19.02'!$AO$4:$AQ$55,3,FALSE))</f>
        <v>0</v>
      </c>
      <c r="M34" s="4">
        <f>(VLOOKUP('19.02'!U34,'19.02'!$AO$4:$AQ$55,3,FALSE))</f>
        <v>0</v>
      </c>
      <c r="N34" s="4">
        <f>(VLOOKUP('19.02'!V34,'19.02'!$AO$4:$AQ$55,3,FALSE))</f>
        <v>0</v>
      </c>
      <c r="O34" s="5">
        <f>(VLOOKUP('19.02'!W34,'19.02'!$AO$4:$AQ$55,3,FALSE))</f>
        <v>0</v>
      </c>
      <c r="P34" s="5">
        <f>(VLOOKUP('19.02'!X34,'19.02'!$AO$4:$AQ$55,3,FALSE))</f>
        <v>0</v>
      </c>
      <c r="Q34" s="4">
        <f>(VLOOKUP('19.02'!Y34,'19.02'!$AO$4:$AQ$55,3,FALSE))</f>
        <v>50</v>
      </c>
      <c r="R34" s="4">
        <f>(VLOOKUP('19.02'!Z34,'19.02'!$AO$4:$AQ$55,3,FALSE))</f>
        <v>50</v>
      </c>
      <c r="S34" s="4">
        <f>(VLOOKUP('19.02'!AA34,'19.02'!$AO$4:$AQ$55,3,FALSE))</f>
        <v>50</v>
      </c>
      <c r="T34" s="4">
        <f>(VLOOKUP('19.02'!AB34,'19.02'!$AO$4:$AQ$55,3,FALSE))</f>
        <v>50</v>
      </c>
      <c r="U34" s="4">
        <f>(VLOOKUP('19.02'!AC34,'19.02'!$AO$4:$AQ$55,3,FALSE))</f>
        <v>50</v>
      </c>
      <c r="V34" s="4">
        <f>(VLOOKUP('19.02'!AD34,'19.02'!$AO$4:$AQ$55,3,FALSE))</f>
        <v>50</v>
      </c>
      <c r="W34" s="5">
        <f>(VLOOKUP('19.02'!AE34,'19.02'!$AO$4:$AQ$55,3,FALSE))</f>
        <v>0</v>
      </c>
      <c r="X34" s="5">
        <f>(VLOOKUP('19.02'!AF34,'19.02'!$AO$4:$AQ$55,3,FALSE))</f>
        <v>0</v>
      </c>
    </row>
    <row r="35" spans="1:24">
      <c r="A35" s="4">
        <f>(VLOOKUP('19.02'!I35,'19.02'!$AO$4:$AQ$55,3,FALSE))</f>
        <v>0</v>
      </c>
      <c r="B35" s="4">
        <f>(VLOOKUP('19.02'!J35,'19.02'!$AO$4:$AQ$55,3,FALSE))</f>
        <v>0</v>
      </c>
      <c r="C35" s="4">
        <f>(VLOOKUP('19.02'!K35,'19.02'!$AO$4:$AQ$55,3,FALSE))</f>
        <v>0</v>
      </c>
      <c r="D35" s="4">
        <f>(VLOOKUP('19.02'!L35,'19.02'!$AO$4:$AQ$55,3,FALSE))</f>
        <v>0</v>
      </c>
      <c r="E35" s="4">
        <f>(VLOOKUP('19.02'!M35,'19.02'!$AO$4:$AQ$55,3,FALSE))</f>
        <v>0</v>
      </c>
      <c r="F35" s="4">
        <f>(VLOOKUP('19.02'!N35,'19.02'!$AO$4:$AQ$55,3,FALSE))</f>
        <v>0</v>
      </c>
      <c r="G35" s="5">
        <f>(VLOOKUP('19.02'!O35,'19.02'!$AO$4:$AQ$55,3,FALSE))</f>
        <v>0</v>
      </c>
      <c r="H35" s="5">
        <f>(VLOOKUP('19.02'!P35,'19.02'!$AO$4:$AQ$55,3,FALSE))</f>
        <v>0</v>
      </c>
      <c r="I35" s="4">
        <f>(VLOOKUP('19.02'!Q35,'19.02'!$AO$4:$AQ$55,3,FALSE))</f>
        <v>0</v>
      </c>
      <c r="J35" s="4">
        <f>(VLOOKUP('19.02'!R35,'19.02'!$AO$4:$AQ$55,3,FALSE))</f>
        <v>0</v>
      </c>
      <c r="K35" s="4">
        <f>(VLOOKUP('19.02'!S35,'19.02'!$AO$4:$AQ$55,3,FALSE))</f>
        <v>0</v>
      </c>
      <c r="L35" s="4">
        <f>(VLOOKUP('19.02'!T35,'19.02'!$AO$4:$AQ$55,3,FALSE))</f>
        <v>0</v>
      </c>
      <c r="M35" s="4">
        <f>(VLOOKUP('19.02'!U35,'19.02'!$AO$4:$AQ$55,3,FALSE))</f>
        <v>0</v>
      </c>
      <c r="N35" s="4">
        <f>(VLOOKUP('19.02'!V35,'19.02'!$AO$4:$AQ$55,3,FALSE))</f>
        <v>0</v>
      </c>
      <c r="O35" s="5">
        <f>(VLOOKUP('19.02'!W35,'19.02'!$AO$4:$AQ$55,3,FALSE))</f>
        <v>0</v>
      </c>
      <c r="P35" s="5">
        <f>(VLOOKUP('19.02'!X35,'19.02'!$AO$4:$AQ$55,3,FALSE))</f>
        <v>0</v>
      </c>
      <c r="Q35" s="4">
        <f>(VLOOKUP('19.02'!Y35,'19.02'!$AO$4:$AQ$55,3,FALSE))</f>
        <v>50</v>
      </c>
      <c r="R35" s="4">
        <f>(VLOOKUP('19.02'!Z35,'19.02'!$AO$4:$AQ$55,3,FALSE))</f>
        <v>50</v>
      </c>
      <c r="S35" s="4">
        <f>(VLOOKUP('19.02'!AA35,'19.02'!$AO$4:$AQ$55,3,FALSE))</f>
        <v>50</v>
      </c>
      <c r="T35" s="4">
        <f>(VLOOKUP('19.02'!AB35,'19.02'!$AO$4:$AQ$55,3,FALSE))</f>
        <v>50</v>
      </c>
      <c r="U35" s="4">
        <f>(VLOOKUP('19.02'!AC35,'19.02'!$AO$4:$AQ$55,3,FALSE))</f>
        <v>50</v>
      </c>
      <c r="V35" s="4">
        <f>(VLOOKUP('19.02'!AD35,'19.02'!$AO$4:$AQ$55,3,FALSE))</f>
        <v>50</v>
      </c>
      <c r="W35" s="5">
        <f>(VLOOKUP('19.02'!AE35,'19.02'!$AO$4:$AQ$55,3,FALSE))</f>
        <v>0</v>
      </c>
      <c r="X35" s="5">
        <f>(VLOOKUP('19.02'!AF35,'19.02'!$AO$4:$AQ$55,3,FALSE))</f>
        <v>0</v>
      </c>
    </row>
    <row r="36" spans="1:24">
      <c r="A36" s="4">
        <f>(VLOOKUP('19.02'!I36,'19.02'!$AO$4:$AQ$55,3,FALSE))</f>
        <v>0</v>
      </c>
      <c r="B36" s="4">
        <f>(VLOOKUP('19.02'!J36,'19.02'!$AO$4:$AQ$55,3,FALSE))</f>
        <v>0</v>
      </c>
      <c r="C36" s="4">
        <f>(VLOOKUP('19.02'!K36,'19.02'!$AO$4:$AQ$55,3,FALSE))</f>
        <v>0</v>
      </c>
      <c r="D36" s="4">
        <f>(VLOOKUP('19.02'!L36,'19.02'!$AO$4:$AQ$55,3,FALSE))</f>
        <v>0</v>
      </c>
      <c r="E36" s="4">
        <f>(VLOOKUP('19.02'!M36,'19.02'!$AO$4:$AQ$55,3,FALSE))</f>
        <v>0</v>
      </c>
      <c r="F36" s="4">
        <f>(VLOOKUP('19.02'!N36,'19.02'!$AO$4:$AQ$55,3,FALSE))</f>
        <v>0</v>
      </c>
      <c r="G36" s="5">
        <f>(VLOOKUP('19.02'!O36,'19.02'!$AO$4:$AQ$55,3,FALSE))</f>
        <v>0</v>
      </c>
      <c r="H36" s="5">
        <f>(VLOOKUP('19.02'!P36,'19.02'!$AO$4:$AQ$55,3,FALSE))</f>
        <v>0</v>
      </c>
      <c r="I36" s="4">
        <f>(VLOOKUP('19.02'!Q36,'19.02'!$AO$4:$AQ$55,3,FALSE))</f>
        <v>0</v>
      </c>
      <c r="J36" s="4">
        <f>(VLOOKUP('19.02'!R36,'19.02'!$AO$4:$AQ$55,3,FALSE))</f>
        <v>0</v>
      </c>
      <c r="K36" s="4">
        <f>(VLOOKUP('19.02'!S36,'19.02'!$AO$4:$AQ$55,3,FALSE))</f>
        <v>0</v>
      </c>
      <c r="L36" s="4">
        <f>(VLOOKUP('19.02'!T36,'19.02'!$AO$4:$AQ$55,3,FALSE))</f>
        <v>0</v>
      </c>
      <c r="M36" s="4">
        <f>(VLOOKUP('19.02'!U36,'19.02'!$AO$4:$AQ$55,3,FALSE))</f>
        <v>0</v>
      </c>
      <c r="N36" s="4">
        <f>(VLOOKUP('19.02'!V36,'19.02'!$AO$4:$AQ$55,3,FALSE))</f>
        <v>0</v>
      </c>
      <c r="O36" s="5">
        <f>(VLOOKUP('19.02'!W36,'19.02'!$AO$4:$AQ$55,3,FALSE))</f>
        <v>0</v>
      </c>
      <c r="P36" s="5">
        <f>(VLOOKUP('19.02'!X36,'19.02'!$AO$4:$AQ$55,3,FALSE))</f>
        <v>0</v>
      </c>
      <c r="Q36" s="4">
        <f>(VLOOKUP('19.02'!Y36,'19.02'!$AO$4:$AQ$55,3,FALSE))</f>
        <v>0</v>
      </c>
      <c r="R36" s="4">
        <f>(VLOOKUP('19.02'!Z36,'19.02'!$AO$4:$AQ$55,3,FALSE))</f>
        <v>0</v>
      </c>
      <c r="S36" s="4">
        <f>(VLOOKUP('19.02'!AA36,'19.02'!$AO$4:$AQ$55,3,FALSE))</f>
        <v>0</v>
      </c>
      <c r="T36" s="4">
        <f>(VLOOKUP('19.02'!AB36,'19.02'!$AO$4:$AQ$55,3,FALSE))</f>
        <v>0</v>
      </c>
      <c r="U36" s="4">
        <f>(VLOOKUP('19.02'!AC36,'19.02'!$AO$4:$AQ$55,3,FALSE))</f>
        <v>0</v>
      </c>
      <c r="V36" s="4">
        <f>(VLOOKUP('19.02'!AD36,'19.02'!$AO$4:$AQ$55,3,FALSE))</f>
        <v>0</v>
      </c>
      <c r="W36" s="5">
        <f>(VLOOKUP('19.02'!AE36,'19.02'!$AO$4:$AQ$55,3,FALSE))</f>
        <v>0</v>
      </c>
      <c r="X36" s="5">
        <f>(VLOOKUP('19.02'!AF36,'19.02'!$AO$4:$AQ$55,3,FALSE))</f>
        <v>0</v>
      </c>
    </row>
    <row r="37" spans="1:24">
      <c r="A37" s="4">
        <f>(VLOOKUP('19.02'!I37,'19.02'!$AO$4:$AQ$55,3,FALSE))</f>
        <v>0</v>
      </c>
      <c r="B37" s="4">
        <f>(VLOOKUP('19.02'!J37,'19.02'!$AO$4:$AQ$55,3,FALSE))</f>
        <v>0</v>
      </c>
      <c r="C37" s="4">
        <f>(VLOOKUP('19.02'!K37,'19.02'!$AO$4:$AQ$55,3,FALSE))</f>
        <v>0</v>
      </c>
      <c r="D37" s="4">
        <f>(VLOOKUP('19.02'!L37,'19.02'!$AO$4:$AQ$55,3,FALSE))</f>
        <v>0</v>
      </c>
      <c r="E37" s="4">
        <f>(VLOOKUP('19.02'!M37,'19.02'!$AO$4:$AQ$55,3,FALSE))</f>
        <v>0</v>
      </c>
      <c r="F37" s="4">
        <f>(VLOOKUP('19.02'!N37,'19.02'!$AO$4:$AQ$55,3,FALSE))</f>
        <v>0</v>
      </c>
      <c r="G37" s="5">
        <f>(VLOOKUP('19.02'!O37,'19.02'!$AO$4:$AQ$55,3,FALSE))</f>
        <v>0</v>
      </c>
      <c r="H37" s="5">
        <f>(VLOOKUP('19.02'!P37,'19.02'!$AO$4:$AQ$55,3,FALSE))</f>
        <v>0</v>
      </c>
      <c r="I37" s="4">
        <f>(VLOOKUP('19.02'!Q37,'19.02'!$AO$4:$AQ$55,3,FALSE))</f>
        <v>0</v>
      </c>
      <c r="J37" s="4">
        <f>(VLOOKUP('19.02'!R37,'19.02'!$AO$4:$AQ$55,3,FALSE))</f>
        <v>0</v>
      </c>
      <c r="K37" s="4">
        <f>(VLOOKUP('19.02'!S37,'19.02'!$AO$4:$AQ$55,3,FALSE))</f>
        <v>0</v>
      </c>
      <c r="L37" s="4">
        <f>(VLOOKUP('19.02'!T37,'19.02'!$AO$4:$AQ$55,3,FALSE))</f>
        <v>0</v>
      </c>
      <c r="M37" s="4">
        <f>(VLOOKUP('19.02'!U37,'19.02'!$AO$4:$AQ$55,3,FALSE))</f>
        <v>0</v>
      </c>
      <c r="N37" s="4">
        <f>(VLOOKUP('19.02'!V37,'19.02'!$AO$4:$AQ$55,3,FALSE))</f>
        <v>0</v>
      </c>
      <c r="O37" s="5">
        <f>(VLOOKUP('19.02'!W37,'19.02'!$AO$4:$AQ$55,3,FALSE))</f>
        <v>0</v>
      </c>
      <c r="P37" s="5">
        <f>(VLOOKUP('19.02'!X37,'19.02'!$AO$4:$AQ$55,3,FALSE))</f>
        <v>0</v>
      </c>
      <c r="Q37" s="4">
        <f>(VLOOKUP('19.02'!Y37,'19.02'!$AO$4:$AQ$55,3,FALSE))</f>
        <v>0</v>
      </c>
      <c r="R37" s="4">
        <f>(VLOOKUP('19.02'!Z37,'19.02'!$AO$4:$AQ$55,3,FALSE))</f>
        <v>0</v>
      </c>
      <c r="S37" s="4">
        <f>(VLOOKUP('19.02'!AA37,'19.02'!$AO$4:$AQ$55,3,FALSE))</f>
        <v>0</v>
      </c>
      <c r="T37" s="4">
        <f>(VLOOKUP('19.02'!AB37,'19.02'!$AO$4:$AQ$55,3,FALSE))</f>
        <v>0</v>
      </c>
      <c r="U37" s="4">
        <f>(VLOOKUP('19.02'!AC37,'19.02'!$AO$4:$AQ$55,3,FALSE))</f>
        <v>0</v>
      </c>
      <c r="V37" s="4">
        <f>(VLOOKUP('19.02'!AD37,'19.02'!$AO$4:$AQ$55,3,FALSE))</f>
        <v>0</v>
      </c>
      <c r="W37" s="5">
        <f>(VLOOKUP('19.02'!AE37,'19.02'!$AO$4:$AQ$55,3,FALSE))</f>
        <v>0</v>
      </c>
      <c r="X37" s="5">
        <f>(VLOOKUP('19.02'!AF37,'19.02'!$AO$4:$AQ$55,3,FALSE))</f>
        <v>0</v>
      </c>
    </row>
    <row r="38" spans="1:24">
      <c r="A38" s="4">
        <f>(VLOOKUP('19.02'!I38,'19.02'!$AO$4:$AQ$55,3,FALSE))</f>
        <v>0</v>
      </c>
      <c r="B38" s="4">
        <f>(VLOOKUP('19.02'!J38,'19.02'!$AO$4:$AQ$55,3,FALSE))</f>
        <v>0</v>
      </c>
      <c r="C38" s="4">
        <f>(VLOOKUP('19.02'!K38,'19.02'!$AO$4:$AQ$55,3,FALSE))</f>
        <v>0</v>
      </c>
      <c r="D38" s="4">
        <f>(VLOOKUP('19.02'!L38,'19.02'!$AO$4:$AQ$55,3,FALSE))</f>
        <v>0</v>
      </c>
      <c r="E38" s="4">
        <f>(VLOOKUP('19.02'!M38,'19.02'!$AO$4:$AQ$55,3,FALSE))</f>
        <v>0</v>
      </c>
      <c r="F38" s="4">
        <f>(VLOOKUP('19.02'!N38,'19.02'!$AO$4:$AQ$55,3,FALSE))</f>
        <v>0</v>
      </c>
      <c r="G38" s="5">
        <f>(VLOOKUP('19.02'!O38,'19.02'!$AO$4:$AQ$55,3,FALSE))</f>
        <v>0</v>
      </c>
      <c r="H38" s="5">
        <f>(VLOOKUP('19.02'!P38,'19.02'!$AO$4:$AQ$55,3,FALSE))</f>
        <v>0</v>
      </c>
      <c r="I38" s="4">
        <f>(VLOOKUP('19.02'!Q38,'19.02'!$AO$4:$AQ$55,3,FALSE))</f>
        <v>0</v>
      </c>
      <c r="J38" s="4">
        <f>(VLOOKUP('19.02'!R38,'19.02'!$AO$4:$AQ$55,3,FALSE))</f>
        <v>0</v>
      </c>
      <c r="K38" s="4">
        <f>(VLOOKUP('19.02'!S38,'19.02'!$AO$4:$AQ$55,3,FALSE))</f>
        <v>0</v>
      </c>
      <c r="L38" s="4">
        <f>(VLOOKUP('19.02'!T38,'19.02'!$AO$4:$AQ$55,3,FALSE))</f>
        <v>0</v>
      </c>
      <c r="M38" s="4">
        <f>(VLOOKUP('19.02'!U38,'19.02'!$AO$4:$AQ$55,3,FALSE))</f>
        <v>0</v>
      </c>
      <c r="N38" s="4">
        <f>(VLOOKUP('19.02'!V38,'19.02'!$AO$4:$AQ$55,3,FALSE))</f>
        <v>0</v>
      </c>
      <c r="O38" s="5">
        <f>(VLOOKUP('19.02'!W38,'19.02'!$AO$4:$AQ$55,3,FALSE))</f>
        <v>0</v>
      </c>
      <c r="P38" s="5">
        <f>(VLOOKUP('19.02'!X38,'19.02'!$AO$4:$AQ$55,3,FALSE))</f>
        <v>0</v>
      </c>
      <c r="Q38" s="4">
        <f>(VLOOKUP('19.02'!Y38,'19.02'!$AO$4:$AQ$55,3,FALSE))</f>
        <v>0</v>
      </c>
      <c r="R38" s="4">
        <f>(VLOOKUP('19.02'!Z38,'19.02'!$AO$4:$AQ$55,3,FALSE))</f>
        <v>0</v>
      </c>
      <c r="S38" s="4">
        <f>(VLOOKUP('19.02'!AA38,'19.02'!$AO$4:$AQ$55,3,FALSE))</f>
        <v>0</v>
      </c>
      <c r="T38" s="4">
        <f>(VLOOKUP('19.02'!AB38,'19.02'!$AO$4:$AQ$55,3,FALSE))</f>
        <v>0</v>
      </c>
      <c r="U38" s="4">
        <f>(VLOOKUP('19.02'!AC38,'19.02'!$AO$4:$AQ$55,3,FALSE))</f>
        <v>0</v>
      </c>
      <c r="V38" s="4">
        <f>(VLOOKUP('19.02'!AD38,'19.02'!$AO$4:$AQ$55,3,FALSE))</f>
        <v>0</v>
      </c>
      <c r="W38" s="5">
        <f>(VLOOKUP('19.02'!AE38,'19.02'!$AO$4:$AQ$55,3,FALSE))</f>
        <v>0</v>
      </c>
      <c r="X38" s="5">
        <f>(VLOOKUP('19.02'!AF38,'19.02'!$AO$4:$AQ$55,3,FALSE))</f>
        <v>0</v>
      </c>
    </row>
    <row r="39" spans="1:24">
      <c r="A39" s="4">
        <f>(VLOOKUP('19.02'!I39,'19.02'!$AO$4:$AQ$55,3,FALSE))</f>
        <v>0</v>
      </c>
      <c r="B39" s="4">
        <f>(VLOOKUP('19.02'!J39,'19.02'!$AO$4:$AQ$55,3,FALSE))</f>
        <v>0</v>
      </c>
      <c r="C39" s="4">
        <f>(VLOOKUP('19.02'!K39,'19.02'!$AO$4:$AQ$55,3,FALSE))</f>
        <v>0</v>
      </c>
      <c r="D39" s="4">
        <f>(VLOOKUP('19.02'!L39,'19.02'!$AO$4:$AQ$55,3,FALSE))</f>
        <v>0</v>
      </c>
      <c r="E39" s="4">
        <f>(VLOOKUP('19.02'!M39,'19.02'!$AO$4:$AQ$55,3,FALSE))</f>
        <v>0</v>
      </c>
      <c r="F39" s="4">
        <f>(VLOOKUP('19.02'!N39,'19.02'!$AO$4:$AQ$55,3,FALSE))</f>
        <v>0</v>
      </c>
      <c r="G39" s="5">
        <f>(VLOOKUP('19.02'!O39,'19.02'!$AO$4:$AQ$55,3,FALSE))</f>
        <v>0</v>
      </c>
      <c r="H39" s="5">
        <f>(VLOOKUP('19.02'!P39,'19.02'!$AO$4:$AQ$55,3,FALSE))</f>
        <v>0</v>
      </c>
      <c r="I39" s="4">
        <f>(VLOOKUP('19.02'!Q39,'19.02'!$AO$4:$AQ$55,3,FALSE))</f>
        <v>0</v>
      </c>
      <c r="J39" s="4">
        <f>(VLOOKUP('19.02'!R39,'19.02'!$AO$4:$AQ$55,3,FALSE))</f>
        <v>0</v>
      </c>
      <c r="K39" s="4">
        <f>(VLOOKUP('19.02'!S39,'19.02'!$AO$4:$AQ$55,3,FALSE))</f>
        <v>0</v>
      </c>
      <c r="L39" s="4">
        <f>(VLOOKUP('19.02'!T39,'19.02'!$AO$4:$AQ$55,3,FALSE))</f>
        <v>0</v>
      </c>
      <c r="M39" s="4">
        <f>(VLOOKUP('19.02'!U39,'19.02'!$AO$4:$AQ$55,3,FALSE))</f>
        <v>0</v>
      </c>
      <c r="N39" s="4">
        <f>(VLOOKUP('19.02'!V39,'19.02'!$AO$4:$AQ$55,3,FALSE))</f>
        <v>0</v>
      </c>
      <c r="O39" s="5">
        <f>(VLOOKUP('19.02'!W39,'19.02'!$AO$4:$AQ$55,3,FALSE))</f>
        <v>0</v>
      </c>
      <c r="P39" s="5">
        <f>(VLOOKUP('19.02'!X39,'19.02'!$AO$4:$AQ$55,3,FALSE))</f>
        <v>0</v>
      </c>
      <c r="Q39" s="4">
        <f>(VLOOKUP('19.02'!Y39,'19.02'!$AO$4:$AQ$55,3,FALSE))</f>
        <v>0</v>
      </c>
      <c r="R39" s="4">
        <f>(VLOOKUP('19.02'!Z39,'19.02'!$AO$4:$AQ$55,3,FALSE))</f>
        <v>0</v>
      </c>
      <c r="S39" s="4">
        <f>(VLOOKUP('19.02'!AA39,'19.02'!$AO$4:$AQ$55,3,FALSE))</f>
        <v>0</v>
      </c>
      <c r="T39" s="4">
        <f>(VLOOKUP('19.02'!AB39,'19.02'!$AO$4:$AQ$55,3,FALSE))</f>
        <v>0</v>
      </c>
      <c r="U39" s="4">
        <f>(VLOOKUP('19.02'!AC39,'19.02'!$AO$4:$AQ$55,3,FALSE))</f>
        <v>0</v>
      </c>
      <c r="V39" s="4">
        <f>(VLOOKUP('19.02'!AD39,'19.02'!$AO$4:$AQ$55,3,FALSE))</f>
        <v>0</v>
      </c>
      <c r="W39" s="5">
        <f>(VLOOKUP('19.02'!AE39,'19.02'!$AO$4:$AQ$55,3,FALSE))</f>
        <v>0</v>
      </c>
      <c r="X39" s="5">
        <f>(VLOOKUP('19.02'!AF39,'19.02'!$AO$4:$AQ$55,3,FALSE))</f>
        <v>0</v>
      </c>
    </row>
    <row r="40" spans="1:24">
      <c r="A40" s="4">
        <f>(VLOOKUP('19.02'!I40,'19.02'!$AO$4:$AQ$55,3,FALSE))</f>
        <v>0</v>
      </c>
      <c r="B40" s="4">
        <f>(VLOOKUP('19.02'!J40,'19.02'!$AO$4:$AQ$55,3,FALSE))</f>
        <v>0</v>
      </c>
      <c r="C40" s="4">
        <f>(VLOOKUP('19.02'!K40,'19.02'!$AO$4:$AQ$55,3,FALSE))</f>
        <v>0</v>
      </c>
      <c r="D40" s="4">
        <f>(VLOOKUP('19.02'!L40,'19.02'!$AO$4:$AQ$55,3,FALSE))</f>
        <v>0</v>
      </c>
      <c r="E40" s="4">
        <f>(VLOOKUP('19.02'!M40,'19.02'!$AO$4:$AQ$55,3,FALSE))</f>
        <v>0</v>
      </c>
      <c r="F40" s="4">
        <f>(VLOOKUP('19.02'!N40,'19.02'!$AO$4:$AQ$55,3,FALSE))</f>
        <v>0</v>
      </c>
      <c r="G40" s="5">
        <f>(VLOOKUP('19.02'!O40,'19.02'!$AO$4:$AQ$55,3,FALSE))</f>
        <v>0</v>
      </c>
      <c r="H40" s="5">
        <f>(VLOOKUP('19.02'!P40,'19.02'!$AO$4:$AQ$55,3,FALSE))</f>
        <v>0</v>
      </c>
      <c r="I40" s="4">
        <f>(VLOOKUP('19.02'!Q40,'19.02'!$AO$4:$AQ$55,3,FALSE))</f>
        <v>0</v>
      </c>
      <c r="J40" s="4">
        <f>(VLOOKUP('19.02'!R40,'19.02'!$AO$4:$AQ$55,3,FALSE))</f>
        <v>0</v>
      </c>
      <c r="K40" s="4">
        <f>(VLOOKUP('19.02'!S40,'19.02'!$AO$4:$AQ$55,3,FALSE))</f>
        <v>0</v>
      </c>
      <c r="L40" s="4">
        <f>(VLOOKUP('19.02'!T40,'19.02'!$AO$4:$AQ$55,3,FALSE))</f>
        <v>0</v>
      </c>
      <c r="M40" s="4">
        <f>(VLOOKUP('19.02'!U40,'19.02'!$AO$4:$AQ$55,3,FALSE))</f>
        <v>0</v>
      </c>
      <c r="N40" s="4">
        <f>(VLOOKUP('19.02'!V40,'19.02'!$AO$4:$AQ$55,3,FALSE))</f>
        <v>0</v>
      </c>
      <c r="O40" s="5">
        <f>(VLOOKUP('19.02'!W40,'19.02'!$AO$4:$AQ$55,3,FALSE))</f>
        <v>0</v>
      </c>
      <c r="P40" s="5">
        <f>(VLOOKUP('19.02'!X40,'19.02'!$AO$4:$AQ$55,3,FALSE))</f>
        <v>0</v>
      </c>
      <c r="Q40" s="4">
        <f>(VLOOKUP('19.02'!Y40,'19.02'!$AO$4:$AQ$55,3,FALSE))</f>
        <v>0</v>
      </c>
      <c r="R40" s="4">
        <f>(VLOOKUP('19.02'!Z40,'19.02'!$AO$4:$AQ$55,3,FALSE))</f>
        <v>0</v>
      </c>
      <c r="S40" s="4">
        <f>(VLOOKUP('19.02'!AA40,'19.02'!$AO$4:$AQ$55,3,FALSE))</f>
        <v>0</v>
      </c>
      <c r="T40" s="4">
        <f>(VLOOKUP('19.02'!AB40,'19.02'!$AO$4:$AQ$55,3,FALSE))</f>
        <v>0</v>
      </c>
      <c r="U40" s="4">
        <f>(VLOOKUP('19.02'!AC40,'19.02'!$AO$4:$AQ$55,3,FALSE))</f>
        <v>0</v>
      </c>
      <c r="V40" s="4">
        <f>(VLOOKUP('19.02'!AD40,'19.02'!$AO$4:$AQ$55,3,FALSE))</f>
        <v>0</v>
      </c>
      <c r="W40" s="5">
        <f>(VLOOKUP('19.02'!AE40,'19.02'!$AO$4:$AQ$55,3,FALSE))</f>
        <v>0</v>
      </c>
      <c r="X40" s="5">
        <f>(VLOOKUP('19.02'!AF40,'19.02'!$AO$4:$AQ$55,3,FALSE))</f>
        <v>0</v>
      </c>
    </row>
    <row r="41" spans="1:24">
      <c r="A41" s="4">
        <f>(VLOOKUP('19.02'!I41,'19.02'!$AO$4:$AQ$55,3,FALSE))</f>
        <v>0</v>
      </c>
      <c r="B41" s="4">
        <f>(VLOOKUP('19.02'!J41,'19.02'!$AO$4:$AQ$55,3,FALSE))</f>
        <v>0</v>
      </c>
      <c r="C41" s="4">
        <f>(VLOOKUP('19.02'!K41,'19.02'!$AO$4:$AQ$55,3,FALSE))</f>
        <v>0</v>
      </c>
      <c r="D41" s="4">
        <f>(VLOOKUP('19.02'!L41,'19.02'!$AO$4:$AQ$55,3,FALSE))</f>
        <v>0</v>
      </c>
      <c r="E41" s="4">
        <f>(VLOOKUP('19.02'!M41,'19.02'!$AO$4:$AQ$55,3,FALSE))</f>
        <v>0</v>
      </c>
      <c r="F41" s="4">
        <f>(VLOOKUP('19.02'!N41,'19.02'!$AO$4:$AQ$55,3,FALSE))</f>
        <v>0</v>
      </c>
      <c r="G41" s="5">
        <f>(VLOOKUP('19.02'!O41,'19.02'!$AO$4:$AQ$55,3,FALSE))</f>
        <v>0</v>
      </c>
      <c r="H41" s="5">
        <f>(VLOOKUP('19.02'!P41,'19.02'!$AO$4:$AQ$55,3,FALSE))</f>
        <v>0</v>
      </c>
      <c r="I41" s="4">
        <f>(VLOOKUP('19.02'!Q41,'19.02'!$AO$4:$AQ$55,3,FALSE))</f>
        <v>0</v>
      </c>
      <c r="J41" s="4">
        <f>(VLOOKUP('19.02'!R41,'19.02'!$AO$4:$AQ$55,3,FALSE))</f>
        <v>0</v>
      </c>
      <c r="K41" s="4">
        <f>(VLOOKUP('19.02'!S41,'19.02'!$AO$4:$AQ$55,3,FALSE))</f>
        <v>0</v>
      </c>
      <c r="L41" s="4">
        <f>(VLOOKUP('19.02'!T41,'19.02'!$AO$4:$AQ$55,3,FALSE))</f>
        <v>0</v>
      </c>
      <c r="M41" s="4">
        <f>(VLOOKUP('19.02'!U41,'19.02'!$AO$4:$AQ$55,3,FALSE))</f>
        <v>0</v>
      </c>
      <c r="N41" s="4">
        <f>(VLOOKUP('19.02'!V41,'19.02'!$AO$4:$AQ$55,3,FALSE))</f>
        <v>0</v>
      </c>
      <c r="O41" s="5">
        <f>(VLOOKUP('19.02'!W41,'19.02'!$AO$4:$AQ$55,3,FALSE))</f>
        <v>0</v>
      </c>
      <c r="P41" s="5">
        <f>(VLOOKUP('19.02'!X41,'19.02'!$AO$4:$AQ$55,3,FALSE))</f>
        <v>0</v>
      </c>
      <c r="Q41" s="4">
        <f>(VLOOKUP('19.02'!Y41,'19.02'!$AO$4:$AQ$55,3,FALSE))</f>
        <v>0</v>
      </c>
      <c r="R41" s="4">
        <f>(VLOOKUP('19.02'!Z41,'19.02'!$AO$4:$AQ$55,3,FALSE))</f>
        <v>0</v>
      </c>
      <c r="S41" s="4">
        <f>(VLOOKUP('19.02'!AA41,'19.02'!$AO$4:$AQ$55,3,FALSE))</f>
        <v>0</v>
      </c>
      <c r="T41" s="4">
        <f>(VLOOKUP('19.02'!AB41,'19.02'!$AO$4:$AQ$55,3,FALSE))</f>
        <v>0</v>
      </c>
      <c r="U41" s="4">
        <f>(VLOOKUP('19.02'!AC41,'19.02'!$AO$4:$AQ$55,3,FALSE))</f>
        <v>0</v>
      </c>
      <c r="V41" s="4">
        <f>(VLOOKUP('19.02'!AD41,'19.02'!$AO$4:$AQ$55,3,FALSE))</f>
        <v>0</v>
      </c>
      <c r="W41" s="5">
        <f>(VLOOKUP('19.02'!AE41,'19.02'!$AO$4:$AQ$55,3,FALSE))</f>
        <v>0</v>
      </c>
      <c r="X41" s="5">
        <f>(VLOOKUP('19.02'!AF41,'19.02'!$AO$4:$AQ$55,3,FALSE))</f>
        <v>0</v>
      </c>
    </row>
    <row r="42" spans="1:24">
      <c r="A42" s="4">
        <f>(VLOOKUP('19.02'!I42,'19.02'!$AO$4:$AQ$55,3,FALSE))</f>
        <v>0</v>
      </c>
      <c r="B42" s="4">
        <f>(VLOOKUP('19.02'!J42,'19.02'!$AO$4:$AQ$55,3,FALSE))</f>
        <v>0</v>
      </c>
      <c r="C42" s="4">
        <f>(VLOOKUP('19.02'!K42,'19.02'!$AO$4:$AQ$55,3,FALSE))</f>
        <v>0</v>
      </c>
      <c r="D42" s="4">
        <f>(VLOOKUP('19.02'!L42,'19.02'!$AO$4:$AQ$55,3,FALSE))</f>
        <v>0</v>
      </c>
      <c r="E42" s="4">
        <f>(VLOOKUP('19.02'!M42,'19.02'!$AO$4:$AQ$55,3,FALSE))</f>
        <v>0</v>
      </c>
      <c r="F42" s="4">
        <f>(VLOOKUP('19.02'!N42,'19.02'!$AO$4:$AQ$55,3,FALSE))</f>
        <v>0</v>
      </c>
      <c r="G42" s="5">
        <f>(VLOOKUP('19.02'!O42,'19.02'!$AO$4:$AQ$55,3,FALSE))</f>
        <v>0</v>
      </c>
      <c r="H42" s="5">
        <f>(VLOOKUP('19.02'!P42,'19.02'!$AO$4:$AQ$55,3,FALSE))</f>
        <v>0</v>
      </c>
      <c r="I42" s="4">
        <f>(VLOOKUP('19.02'!Q42,'19.02'!$AO$4:$AQ$55,3,FALSE))</f>
        <v>0</v>
      </c>
      <c r="J42" s="4">
        <f>(VLOOKUP('19.02'!R42,'19.02'!$AO$4:$AQ$55,3,FALSE))</f>
        <v>0</v>
      </c>
      <c r="K42" s="4">
        <f>(VLOOKUP('19.02'!S42,'19.02'!$AO$4:$AQ$55,3,FALSE))</f>
        <v>0</v>
      </c>
      <c r="L42" s="4">
        <f>(VLOOKUP('19.02'!T42,'19.02'!$AO$4:$AQ$55,3,FALSE))</f>
        <v>0</v>
      </c>
      <c r="M42" s="4">
        <f>(VLOOKUP('19.02'!U42,'19.02'!$AO$4:$AQ$55,3,FALSE))</f>
        <v>0</v>
      </c>
      <c r="N42" s="4">
        <f>(VLOOKUP('19.02'!V42,'19.02'!$AO$4:$AQ$55,3,FALSE))</f>
        <v>0</v>
      </c>
      <c r="O42" s="5">
        <f>(VLOOKUP('19.02'!W42,'19.02'!$AO$4:$AQ$55,3,FALSE))</f>
        <v>0</v>
      </c>
      <c r="P42" s="5">
        <f>(VLOOKUP('19.02'!X42,'19.02'!$AO$4:$AQ$55,3,FALSE))</f>
        <v>0</v>
      </c>
      <c r="Q42" s="4">
        <f>(VLOOKUP('19.02'!Y42,'19.02'!$AO$4:$AQ$55,3,FALSE))</f>
        <v>0</v>
      </c>
      <c r="R42" s="4">
        <f>(VLOOKUP('19.02'!Z42,'19.02'!$AO$4:$AQ$55,3,FALSE))</f>
        <v>0</v>
      </c>
      <c r="S42" s="4">
        <f>(VLOOKUP('19.02'!AA42,'19.02'!$AO$4:$AQ$55,3,FALSE))</f>
        <v>0</v>
      </c>
      <c r="T42" s="4">
        <f>(VLOOKUP('19.02'!AB42,'19.02'!$AO$4:$AQ$55,3,FALSE))</f>
        <v>0</v>
      </c>
      <c r="U42" s="4">
        <f>(VLOOKUP('19.02'!AC42,'19.02'!$AO$4:$AQ$55,3,FALSE))</f>
        <v>0</v>
      </c>
      <c r="V42" s="4">
        <f>(VLOOKUP('19.02'!AD42,'19.02'!$AO$4:$AQ$55,3,FALSE))</f>
        <v>0</v>
      </c>
      <c r="W42" s="5">
        <f>(VLOOKUP('19.02'!AE42,'19.02'!$AO$4:$AQ$55,3,FALSE))</f>
        <v>0</v>
      </c>
      <c r="X42" s="5">
        <f>(VLOOKUP('19.02'!AF42,'19.02'!$AO$4:$AQ$55,3,FALSE))</f>
        <v>0</v>
      </c>
    </row>
    <row r="43" spans="1:24">
      <c r="A43" s="4">
        <f>(VLOOKUP('19.02'!I43,'19.02'!$AO$4:$AQ$55,3,FALSE))</f>
        <v>0</v>
      </c>
      <c r="B43" s="4">
        <f>(VLOOKUP('19.02'!J43,'19.02'!$AO$4:$AQ$55,3,FALSE))</f>
        <v>0</v>
      </c>
      <c r="C43" s="4">
        <f>(VLOOKUP('19.02'!K43,'19.02'!$AO$4:$AQ$55,3,FALSE))</f>
        <v>0</v>
      </c>
      <c r="D43" s="4">
        <f>(VLOOKUP('19.02'!L43,'19.02'!$AO$4:$AQ$55,3,FALSE))</f>
        <v>0</v>
      </c>
      <c r="E43" s="4">
        <f>(VLOOKUP('19.02'!M43,'19.02'!$AO$4:$AQ$55,3,FALSE))</f>
        <v>0</v>
      </c>
      <c r="F43" s="4">
        <f>(VLOOKUP('19.02'!N43,'19.02'!$AO$4:$AQ$55,3,FALSE))</f>
        <v>0</v>
      </c>
      <c r="G43" s="5">
        <f>(VLOOKUP('19.02'!O43,'19.02'!$AO$4:$AQ$55,3,FALSE))</f>
        <v>0</v>
      </c>
      <c r="H43" s="5">
        <f>(VLOOKUP('19.02'!P43,'19.02'!$AO$4:$AQ$55,3,FALSE))</f>
        <v>0</v>
      </c>
      <c r="I43" s="4">
        <f>(VLOOKUP('19.02'!Q43,'19.02'!$AO$4:$AQ$55,3,FALSE))</f>
        <v>0</v>
      </c>
      <c r="J43" s="4">
        <f>(VLOOKUP('19.02'!R43,'19.02'!$AO$4:$AQ$55,3,FALSE))</f>
        <v>0</v>
      </c>
      <c r="K43" s="4">
        <f>(VLOOKUP('19.02'!S43,'19.02'!$AO$4:$AQ$55,3,FALSE))</f>
        <v>0</v>
      </c>
      <c r="L43" s="4">
        <f>(VLOOKUP('19.02'!T43,'19.02'!$AO$4:$AQ$55,3,FALSE))</f>
        <v>0</v>
      </c>
      <c r="M43" s="4">
        <f>(VLOOKUP('19.02'!U43,'19.02'!$AO$4:$AQ$55,3,FALSE))</f>
        <v>0</v>
      </c>
      <c r="N43" s="4">
        <f>(VLOOKUP('19.02'!V43,'19.02'!$AO$4:$AQ$55,3,FALSE))</f>
        <v>0</v>
      </c>
      <c r="O43" s="5">
        <f>(VLOOKUP('19.02'!W43,'19.02'!$AO$4:$AQ$55,3,FALSE))</f>
        <v>0</v>
      </c>
      <c r="P43" s="5">
        <f>(VLOOKUP('19.02'!X43,'19.02'!$AO$4:$AQ$55,3,FALSE))</f>
        <v>0</v>
      </c>
      <c r="Q43" s="4">
        <f>(VLOOKUP('19.02'!Y43,'19.02'!$AO$4:$AQ$55,3,FALSE))</f>
        <v>0</v>
      </c>
      <c r="R43" s="4">
        <f>(VLOOKUP('19.02'!Z43,'19.02'!$AO$4:$AQ$55,3,FALSE))</f>
        <v>0</v>
      </c>
      <c r="S43" s="4">
        <f>(VLOOKUP('19.02'!AA43,'19.02'!$AO$4:$AQ$55,3,FALSE))</f>
        <v>0</v>
      </c>
      <c r="T43" s="4">
        <f>(VLOOKUP('19.02'!AB43,'19.02'!$AO$4:$AQ$55,3,FALSE))</f>
        <v>0</v>
      </c>
      <c r="U43" s="4">
        <f>(VLOOKUP('19.02'!AC43,'19.02'!$AO$4:$AQ$55,3,FALSE))</f>
        <v>0</v>
      </c>
      <c r="V43" s="4">
        <f>(VLOOKUP('19.02'!AD43,'19.02'!$AO$4:$AQ$55,3,FALSE))</f>
        <v>0</v>
      </c>
      <c r="W43" s="5">
        <f>(VLOOKUP('19.02'!AE43,'19.02'!$AO$4:$AQ$55,3,FALSE))</f>
        <v>0</v>
      </c>
      <c r="X43" s="5">
        <f>(VLOOKUP('19.02'!AF43,'19.02'!$AO$4:$AQ$55,3,FALSE))</f>
        <v>0</v>
      </c>
    </row>
    <row r="44" spans="1:24">
      <c r="A44" s="4">
        <f>(VLOOKUP('19.02'!I44,'19.02'!$AO$4:$AQ$55,3,FALSE))</f>
        <v>0</v>
      </c>
      <c r="B44" s="4">
        <f>(VLOOKUP('19.02'!J44,'19.02'!$AO$4:$AQ$55,3,FALSE))</f>
        <v>0</v>
      </c>
      <c r="C44" s="4">
        <f>(VLOOKUP('19.02'!K44,'19.02'!$AO$4:$AQ$55,3,FALSE))</f>
        <v>0</v>
      </c>
      <c r="D44" s="4">
        <f>(VLOOKUP('19.02'!L44,'19.02'!$AO$4:$AQ$55,3,FALSE))</f>
        <v>0</v>
      </c>
      <c r="E44" s="4">
        <f>(VLOOKUP('19.02'!M44,'19.02'!$AO$4:$AQ$55,3,FALSE))</f>
        <v>0</v>
      </c>
      <c r="F44" s="4">
        <f>(VLOOKUP('19.02'!N44,'19.02'!$AO$4:$AQ$55,3,FALSE))</f>
        <v>0</v>
      </c>
      <c r="G44" s="5">
        <f>(VLOOKUP('19.02'!O44,'19.02'!$AO$4:$AQ$55,3,FALSE))</f>
        <v>0</v>
      </c>
      <c r="H44" s="5">
        <f>(VLOOKUP('19.02'!P44,'19.02'!$AO$4:$AQ$55,3,FALSE))</f>
        <v>0</v>
      </c>
      <c r="I44" s="4">
        <f>(VLOOKUP('19.02'!Q44,'19.02'!$AO$4:$AQ$55,3,FALSE))</f>
        <v>0</v>
      </c>
      <c r="J44" s="4">
        <f>(VLOOKUP('19.02'!R44,'19.02'!$AO$4:$AQ$55,3,FALSE))</f>
        <v>0</v>
      </c>
      <c r="K44" s="4">
        <f>(VLOOKUP('19.02'!S44,'19.02'!$AO$4:$AQ$55,3,FALSE))</f>
        <v>0</v>
      </c>
      <c r="L44" s="4">
        <f>(VLOOKUP('19.02'!T44,'19.02'!$AO$4:$AQ$55,3,FALSE))</f>
        <v>0</v>
      </c>
      <c r="M44" s="4">
        <f>(VLOOKUP('19.02'!U44,'19.02'!$AO$4:$AQ$55,3,FALSE))</f>
        <v>0</v>
      </c>
      <c r="N44" s="4">
        <f>(VLOOKUP('19.02'!V44,'19.02'!$AO$4:$AQ$55,3,FALSE))</f>
        <v>0</v>
      </c>
      <c r="O44" s="5">
        <f>(VLOOKUP('19.02'!W44,'19.02'!$AO$4:$AQ$55,3,FALSE))</f>
        <v>0</v>
      </c>
      <c r="P44" s="5">
        <f>(VLOOKUP('19.02'!X44,'19.02'!$AO$4:$AQ$55,3,FALSE))</f>
        <v>0</v>
      </c>
      <c r="Q44" s="4">
        <f>(VLOOKUP('19.02'!Y44,'19.02'!$AO$4:$AQ$55,3,FALSE))</f>
        <v>0</v>
      </c>
      <c r="R44" s="4">
        <f>(VLOOKUP('19.02'!Z44,'19.02'!$AO$4:$AQ$55,3,FALSE))</f>
        <v>0</v>
      </c>
      <c r="S44" s="4">
        <f>(VLOOKUP('19.02'!AA44,'19.02'!$AO$4:$AQ$55,3,FALSE))</f>
        <v>0</v>
      </c>
      <c r="T44" s="4">
        <f>(VLOOKUP('19.02'!AB44,'19.02'!$AO$4:$AQ$55,3,FALSE))</f>
        <v>0</v>
      </c>
      <c r="U44" s="4">
        <f>(VLOOKUP('19.02'!AC44,'19.02'!$AO$4:$AQ$55,3,FALSE))</f>
        <v>0</v>
      </c>
      <c r="V44" s="4">
        <f>(VLOOKUP('19.02'!AD44,'19.02'!$AO$4:$AQ$55,3,FALSE))</f>
        <v>0</v>
      </c>
      <c r="W44" s="5">
        <f>(VLOOKUP('19.02'!AE44,'19.02'!$AO$4:$AQ$55,3,FALSE))</f>
        <v>0</v>
      </c>
      <c r="X44" s="5">
        <f>(VLOOKUP('19.02'!AF44,'19.02'!$AO$4:$AQ$55,3,FALSE))</f>
        <v>0</v>
      </c>
    </row>
    <row r="45" spans="1:24">
      <c r="A45" s="4">
        <f>(VLOOKUP('19.02'!I45,'19.02'!$AO$4:$AQ$55,3,FALSE))</f>
        <v>0</v>
      </c>
      <c r="B45" s="4">
        <f>(VLOOKUP('19.02'!J45,'19.02'!$AO$4:$AQ$55,3,FALSE))</f>
        <v>0</v>
      </c>
      <c r="C45" s="4">
        <f>(VLOOKUP('19.02'!K45,'19.02'!$AO$4:$AQ$55,3,FALSE))</f>
        <v>0</v>
      </c>
      <c r="D45" s="4">
        <f>(VLOOKUP('19.02'!L45,'19.02'!$AO$4:$AQ$55,3,FALSE))</f>
        <v>0</v>
      </c>
      <c r="E45" s="4">
        <f>(VLOOKUP('19.02'!M45,'19.02'!$AO$4:$AQ$55,3,FALSE))</f>
        <v>0</v>
      </c>
      <c r="F45" s="4">
        <f>(VLOOKUP('19.02'!N45,'19.02'!$AO$4:$AQ$55,3,FALSE))</f>
        <v>0</v>
      </c>
      <c r="G45" s="5">
        <f>(VLOOKUP('19.02'!O45,'19.02'!$AO$4:$AQ$55,3,FALSE))</f>
        <v>0</v>
      </c>
      <c r="H45" s="5">
        <f>(VLOOKUP('19.02'!P45,'19.02'!$AO$4:$AQ$55,3,FALSE))</f>
        <v>0</v>
      </c>
      <c r="I45" s="4">
        <f>(VLOOKUP('19.02'!Q45,'19.02'!$AO$4:$AQ$55,3,FALSE))</f>
        <v>0</v>
      </c>
      <c r="J45" s="4">
        <f>(VLOOKUP('19.02'!R45,'19.02'!$AO$4:$AQ$55,3,FALSE))</f>
        <v>0</v>
      </c>
      <c r="K45" s="4">
        <f>(VLOOKUP('19.02'!S45,'19.02'!$AO$4:$AQ$55,3,FALSE))</f>
        <v>0</v>
      </c>
      <c r="L45" s="4">
        <f>(VLOOKUP('19.02'!T45,'19.02'!$AO$4:$AQ$55,3,FALSE))</f>
        <v>0</v>
      </c>
      <c r="M45" s="4">
        <f>(VLOOKUP('19.02'!U45,'19.02'!$AO$4:$AQ$55,3,FALSE))</f>
        <v>0</v>
      </c>
      <c r="N45" s="4">
        <f>(VLOOKUP('19.02'!V45,'19.02'!$AO$4:$AQ$55,3,FALSE))</f>
        <v>0</v>
      </c>
      <c r="O45" s="5">
        <f>(VLOOKUP('19.02'!W45,'19.02'!$AO$4:$AQ$55,3,FALSE))</f>
        <v>0</v>
      </c>
      <c r="P45" s="5">
        <f>(VLOOKUP('19.02'!X45,'19.02'!$AO$4:$AQ$55,3,FALSE))</f>
        <v>0</v>
      </c>
      <c r="Q45" s="4">
        <f>(VLOOKUP('19.02'!Y45,'19.02'!$AO$4:$AQ$55,3,FALSE))</f>
        <v>0</v>
      </c>
      <c r="R45" s="4">
        <f>(VLOOKUP('19.02'!Z45,'19.02'!$AO$4:$AQ$55,3,FALSE))</f>
        <v>0</v>
      </c>
      <c r="S45" s="4">
        <f>(VLOOKUP('19.02'!AA45,'19.02'!$AO$4:$AQ$55,3,FALSE))</f>
        <v>0</v>
      </c>
      <c r="T45" s="4">
        <f>(VLOOKUP('19.02'!AB45,'19.02'!$AO$4:$AQ$55,3,FALSE))</f>
        <v>0</v>
      </c>
      <c r="U45" s="4">
        <f>(VLOOKUP('19.02'!AC45,'19.02'!$AO$4:$AQ$55,3,FALSE))</f>
        <v>0</v>
      </c>
      <c r="V45" s="4">
        <f>(VLOOKUP('19.02'!AD45,'19.02'!$AO$4:$AQ$55,3,FALSE))</f>
        <v>0</v>
      </c>
      <c r="W45" s="5">
        <f>(VLOOKUP('19.02'!AE45,'19.02'!$AO$4:$AQ$55,3,FALSE))</f>
        <v>0</v>
      </c>
      <c r="X45" s="5">
        <f>(VLOOKUP('19.02'!AF45,'19.02'!$AO$4:$AQ$55,3,FALSE))</f>
        <v>0</v>
      </c>
    </row>
    <row r="46" spans="1:24">
      <c r="A46" s="4">
        <f>(VLOOKUP('19.02'!I46,'19.02'!$AO$4:$AQ$55,3,FALSE))</f>
        <v>0</v>
      </c>
      <c r="B46" s="4">
        <f>(VLOOKUP('19.02'!J46,'19.02'!$AO$4:$AQ$55,3,FALSE))</f>
        <v>0</v>
      </c>
      <c r="C46" s="4">
        <f>(VLOOKUP('19.02'!K46,'19.02'!$AO$4:$AQ$55,3,FALSE))</f>
        <v>0</v>
      </c>
      <c r="D46" s="4">
        <f>(VLOOKUP('19.02'!L46,'19.02'!$AO$4:$AQ$55,3,FALSE))</f>
        <v>0</v>
      </c>
      <c r="E46" s="4">
        <f>(VLOOKUP('19.02'!M46,'19.02'!$AO$4:$AQ$55,3,FALSE))</f>
        <v>0</v>
      </c>
      <c r="F46" s="4">
        <f>(VLOOKUP('19.02'!N46,'19.02'!$AO$4:$AQ$55,3,FALSE))</f>
        <v>0</v>
      </c>
      <c r="G46" s="5">
        <f>(VLOOKUP('19.02'!O46,'19.02'!$AO$4:$AQ$55,3,FALSE))</f>
        <v>0</v>
      </c>
      <c r="H46" s="5">
        <f>(VLOOKUP('19.02'!P46,'19.02'!$AO$4:$AQ$55,3,FALSE))</f>
        <v>0</v>
      </c>
      <c r="I46" s="4">
        <f>(VLOOKUP('19.02'!Q46,'19.02'!$AO$4:$AQ$55,3,FALSE))</f>
        <v>0</v>
      </c>
      <c r="J46" s="4">
        <f>(VLOOKUP('19.02'!R46,'19.02'!$AO$4:$AQ$55,3,FALSE))</f>
        <v>0</v>
      </c>
      <c r="K46" s="4">
        <f>(VLOOKUP('19.02'!S46,'19.02'!$AO$4:$AQ$55,3,FALSE))</f>
        <v>0</v>
      </c>
      <c r="L46" s="4">
        <f>(VLOOKUP('19.02'!T46,'19.02'!$AO$4:$AQ$55,3,FALSE))</f>
        <v>0</v>
      </c>
      <c r="M46" s="4">
        <f>(VLOOKUP('19.02'!U46,'19.02'!$AO$4:$AQ$55,3,FALSE))</f>
        <v>0</v>
      </c>
      <c r="N46" s="4">
        <f>(VLOOKUP('19.02'!V46,'19.02'!$AO$4:$AQ$55,3,FALSE))</f>
        <v>0</v>
      </c>
      <c r="O46" s="5">
        <f>(VLOOKUP('19.02'!W46,'19.02'!$AO$4:$AQ$55,3,FALSE))</f>
        <v>0</v>
      </c>
      <c r="P46" s="5">
        <f>(VLOOKUP('19.02'!X46,'19.02'!$AO$4:$AQ$55,3,FALSE))</f>
        <v>0</v>
      </c>
      <c r="Q46" s="4">
        <f>(VLOOKUP('19.02'!Y46,'19.02'!$AO$4:$AQ$55,3,FALSE))</f>
        <v>0</v>
      </c>
      <c r="R46" s="4">
        <f>(VLOOKUP('19.02'!Z46,'19.02'!$AO$4:$AQ$55,3,FALSE))</f>
        <v>0</v>
      </c>
      <c r="S46" s="4">
        <f>(VLOOKUP('19.02'!AA46,'19.02'!$AO$4:$AQ$55,3,FALSE))</f>
        <v>0</v>
      </c>
      <c r="T46" s="4">
        <f>(VLOOKUP('19.02'!AB46,'19.02'!$AO$4:$AQ$55,3,FALSE))</f>
        <v>0</v>
      </c>
      <c r="U46" s="4">
        <f>(VLOOKUP('19.02'!AC46,'19.02'!$AO$4:$AQ$55,3,FALSE))</f>
        <v>0</v>
      </c>
      <c r="V46" s="4">
        <f>(VLOOKUP('19.02'!AD46,'19.02'!$AO$4:$AQ$55,3,FALSE))</f>
        <v>0</v>
      </c>
      <c r="W46" s="5">
        <f>(VLOOKUP('19.02'!AE46,'19.02'!$AO$4:$AQ$55,3,FALSE))</f>
        <v>0</v>
      </c>
      <c r="X46" s="5">
        <f>(VLOOKUP('19.02'!AF46,'19.02'!$AO$4:$AQ$55,3,FALSE))</f>
        <v>0</v>
      </c>
    </row>
    <row r="47" spans="1:24">
      <c r="A47" s="4">
        <f>(VLOOKUP('19.02'!I47,'19.02'!$AO$4:$AQ$55,3,FALSE))</f>
        <v>0</v>
      </c>
      <c r="B47" s="4">
        <f>(VLOOKUP('19.02'!J47,'19.02'!$AO$4:$AQ$55,3,FALSE))</f>
        <v>0</v>
      </c>
      <c r="C47" s="4">
        <f>(VLOOKUP('19.02'!K47,'19.02'!$AO$4:$AQ$55,3,FALSE))</f>
        <v>0</v>
      </c>
      <c r="D47" s="4">
        <f>(VLOOKUP('19.02'!L47,'19.02'!$AO$4:$AQ$55,3,FALSE))</f>
        <v>0</v>
      </c>
      <c r="E47" s="4">
        <f>(VLOOKUP('19.02'!M47,'19.02'!$AO$4:$AQ$55,3,FALSE))</f>
        <v>0</v>
      </c>
      <c r="F47" s="4">
        <f>(VLOOKUP('19.02'!N47,'19.02'!$AO$4:$AQ$55,3,FALSE))</f>
        <v>0</v>
      </c>
      <c r="G47" s="5">
        <f>(VLOOKUP('19.02'!O47,'19.02'!$AO$4:$AQ$55,3,FALSE))</f>
        <v>0</v>
      </c>
      <c r="H47" s="5">
        <f>(VLOOKUP('19.02'!P47,'19.02'!$AO$4:$AQ$55,3,FALSE))</f>
        <v>0</v>
      </c>
      <c r="I47" s="4">
        <f>(VLOOKUP('19.02'!Q47,'19.02'!$AO$4:$AQ$55,3,FALSE))</f>
        <v>0</v>
      </c>
      <c r="J47" s="4">
        <f>(VLOOKUP('19.02'!R47,'19.02'!$AO$4:$AQ$55,3,FALSE))</f>
        <v>0</v>
      </c>
      <c r="K47" s="4">
        <f>(VLOOKUP('19.02'!S47,'19.02'!$AO$4:$AQ$55,3,FALSE))</f>
        <v>0</v>
      </c>
      <c r="L47" s="4">
        <f>(VLOOKUP('19.02'!T47,'19.02'!$AO$4:$AQ$55,3,FALSE))</f>
        <v>0</v>
      </c>
      <c r="M47" s="4">
        <f>(VLOOKUP('19.02'!U47,'19.02'!$AO$4:$AQ$55,3,FALSE))</f>
        <v>0</v>
      </c>
      <c r="N47" s="4">
        <f>(VLOOKUP('19.02'!V47,'19.02'!$AO$4:$AQ$55,3,FALSE))</f>
        <v>0</v>
      </c>
      <c r="O47" s="5">
        <f>(VLOOKUP('19.02'!W47,'19.02'!$AO$4:$AQ$55,3,FALSE))</f>
        <v>0</v>
      </c>
      <c r="P47" s="5">
        <f>(VLOOKUP('19.02'!X47,'19.02'!$AO$4:$AQ$55,3,FALSE))</f>
        <v>0</v>
      </c>
      <c r="Q47" s="4">
        <f>(VLOOKUP('19.02'!Y47,'19.02'!$AO$4:$AQ$55,3,FALSE))</f>
        <v>0</v>
      </c>
      <c r="R47" s="4">
        <f>(VLOOKUP('19.02'!Z47,'19.02'!$AO$4:$AQ$55,3,FALSE))</f>
        <v>0</v>
      </c>
      <c r="S47" s="4">
        <f>(VLOOKUP('19.02'!AA47,'19.02'!$AO$4:$AQ$55,3,FALSE))</f>
        <v>0</v>
      </c>
      <c r="T47" s="4">
        <f>(VLOOKUP('19.02'!AB47,'19.02'!$AO$4:$AQ$55,3,FALSE))</f>
        <v>0</v>
      </c>
      <c r="U47" s="4">
        <f>(VLOOKUP('19.02'!AC47,'19.02'!$AO$4:$AQ$55,3,FALSE))</f>
        <v>0</v>
      </c>
      <c r="V47" s="4">
        <f>(VLOOKUP('19.02'!AD47,'19.02'!$AO$4:$AQ$55,3,FALSE))</f>
        <v>0</v>
      </c>
      <c r="W47" s="5">
        <f>(VLOOKUP('19.02'!AE47,'19.02'!$AO$4:$AQ$55,3,FALSE))</f>
        <v>0</v>
      </c>
      <c r="X47" s="5">
        <f>(VLOOKUP('19.02'!AF47,'19.02'!$AO$4:$AQ$55,3,FALSE))</f>
        <v>0</v>
      </c>
    </row>
    <row r="48" spans="1:24">
      <c r="A48" s="4">
        <f>(VLOOKUP('19.02'!I48,'19.02'!$AO$4:$AQ$55,3,FALSE))</f>
        <v>0</v>
      </c>
      <c r="B48" s="4">
        <f>(VLOOKUP('19.02'!J48,'19.02'!$AO$4:$AQ$55,3,FALSE))</f>
        <v>0</v>
      </c>
      <c r="C48" s="4">
        <f>(VLOOKUP('19.02'!K48,'19.02'!$AO$4:$AQ$55,3,FALSE))</f>
        <v>0</v>
      </c>
      <c r="D48" s="4">
        <f>(VLOOKUP('19.02'!L48,'19.02'!$AO$4:$AQ$55,3,FALSE))</f>
        <v>0</v>
      </c>
      <c r="E48" s="4">
        <f>(VLOOKUP('19.02'!M48,'19.02'!$AO$4:$AQ$55,3,FALSE))</f>
        <v>0</v>
      </c>
      <c r="F48" s="4">
        <f>(VLOOKUP('19.02'!N48,'19.02'!$AO$4:$AQ$55,3,FALSE))</f>
        <v>0</v>
      </c>
      <c r="G48" s="5">
        <f>(VLOOKUP('19.02'!O48,'19.02'!$AO$4:$AQ$55,3,FALSE))</f>
        <v>0</v>
      </c>
      <c r="H48" s="5">
        <f>(VLOOKUP('19.02'!P48,'19.02'!$AO$4:$AQ$55,3,FALSE))</f>
        <v>0</v>
      </c>
      <c r="I48" s="4">
        <f>(VLOOKUP('19.02'!Q48,'19.02'!$AO$4:$AQ$55,3,FALSE))</f>
        <v>0</v>
      </c>
      <c r="J48" s="4">
        <f>(VLOOKUP('19.02'!R48,'19.02'!$AO$4:$AQ$55,3,FALSE))</f>
        <v>0</v>
      </c>
      <c r="K48" s="4">
        <f>(VLOOKUP('19.02'!S48,'19.02'!$AO$4:$AQ$55,3,FALSE))</f>
        <v>0</v>
      </c>
      <c r="L48" s="4">
        <f>(VLOOKUP('19.02'!T48,'19.02'!$AO$4:$AQ$55,3,FALSE))</f>
        <v>0</v>
      </c>
      <c r="M48" s="4">
        <f>(VLOOKUP('19.02'!U48,'19.02'!$AO$4:$AQ$55,3,FALSE))</f>
        <v>0</v>
      </c>
      <c r="N48" s="4">
        <f>(VLOOKUP('19.02'!V48,'19.02'!$AO$4:$AQ$55,3,FALSE))</f>
        <v>0</v>
      </c>
      <c r="O48" s="5">
        <f>(VLOOKUP('19.02'!W48,'19.02'!$AO$4:$AQ$55,3,FALSE))</f>
        <v>0</v>
      </c>
      <c r="P48" s="5">
        <f>(VLOOKUP('19.02'!X48,'19.02'!$AO$4:$AQ$55,3,FALSE))</f>
        <v>0</v>
      </c>
      <c r="Q48" s="4">
        <f>(VLOOKUP('19.02'!Y48,'19.02'!$AO$4:$AQ$55,3,FALSE))</f>
        <v>0</v>
      </c>
      <c r="R48" s="4">
        <f>(VLOOKUP('19.02'!Z48,'19.02'!$AO$4:$AQ$55,3,FALSE))</f>
        <v>0</v>
      </c>
      <c r="S48" s="4">
        <f>(VLOOKUP('19.02'!AA48,'19.02'!$AO$4:$AQ$55,3,FALSE))</f>
        <v>0</v>
      </c>
      <c r="T48" s="4">
        <f>(VLOOKUP('19.02'!AB48,'19.02'!$AO$4:$AQ$55,3,FALSE))</f>
        <v>0</v>
      </c>
      <c r="U48" s="4">
        <f>(VLOOKUP('19.02'!AC48,'19.02'!$AO$4:$AQ$55,3,FALSE))</f>
        <v>0</v>
      </c>
      <c r="V48" s="4">
        <f>(VLOOKUP('19.02'!AD48,'19.02'!$AO$4:$AQ$55,3,FALSE))</f>
        <v>0</v>
      </c>
      <c r="W48" s="5">
        <f>(VLOOKUP('19.02'!AE48,'19.02'!$AO$4:$AQ$55,3,FALSE))</f>
        <v>0</v>
      </c>
      <c r="X48" s="5">
        <f>(VLOOKUP('19.02'!AF48,'19.02'!$AO$4:$AQ$55,3,FALSE))</f>
        <v>0</v>
      </c>
    </row>
    <row r="49" spans="1:24">
      <c r="A49" s="4">
        <f>(VLOOKUP('19.02'!I49,'19.02'!$AO$4:$AQ$55,3,FALSE))</f>
        <v>0</v>
      </c>
      <c r="B49" s="4">
        <f>(VLOOKUP('19.02'!J49,'19.02'!$AO$4:$AQ$55,3,FALSE))</f>
        <v>0</v>
      </c>
      <c r="C49" s="4">
        <f>(VLOOKUP('19.02'!K49,'19.02'!$AO$4:$AQ$55,3,FALSE))</f>
        <v>0</v>
      </c>
      <c r="D49" s="4">
        <f>(VLOOKUP('19.02'!L49,'19.02'!$AO$4:$AQ$55,3,FALSE))</f>
        <v>0</v>
      </c>
      <c r="E49" s="4">
        <f>(VLOOKUP('19.02'!M49,'19.02'!$AO$4:$AQ$55,3,FALSE))</f>
        <v>0</v>
      </c>
      <c r="F49" s="4">
        <f>(VLOOKUP('19.02'!N49,'19.02'!$AO$4:$AQ$55,3,FALSE))</f>
        <v>0</v>
      </c>
      <c r="G49" s="5">
        <f>(VLOOKUP('19.02'!O49,'19.02'!$AO$4:$AQ$55,3,FALSE))</f>
        <v>0</v>
      </c>
      <c r="H49" s="5">
        <f>(VLOOKUP('19.02'!P49,'19.02'!$AO$4:$AQ$55,3,FALSE))</f>
        <v>0</v>
      </c>
      <c r="I49" s="4">
        <f>(VLOOKUP('19.02'!Q49,'19.02'!$AO$4:$AQ$55,3,FALSE))</f>
        <v>0</v>
      </c>
      <c r="J49" s="4">
        <f>(VLOOKUP('19.02'!R49,'19.02'!$AO$4:$AQ$55,3,FALSE))</f>
        <v>0</v>
      </c>
      <c r="K49" s="4">
        <f>(VLOOKUP('19.02'!S49,'19.02'!$AO$4:$AQ$55,3,FALSE))</f>
        <v>0</v>
      </c>
      <c r="L49" s="4">
        <f>(VLOOKUP('19.02'!T49,'19.02'!$AO$4:$AQ$55,3,FALSE))</f>
        <v>0</v>
      </c>
      <c r="M49" s="4">
        <f>(VLOOKUP('19.02'!U49,'19.02'!$AO$4:$AQ$55,3,FALSE))</f>
        <v>0</v>
      </c>
      <c r="N49" s="4">
        <f>(VLOOKUP('19.02'!V49,'19.02'!$AO$4:$AQ$55,3,FALSE))</f>
        <v>0</v>
      </c>
      <c r="O49" s="5">
        <f>(VLOOKUP('19.02'!W49,'19.02'!$AO$4:$AQ$55,3,FALSE))</f>
        <v>0</v>
      </c>
      <c r="P49" s="5">
        <f>(VLOOKUP('19.02'!X49,'19.02'!$AO$4:$AQ$55,3,FALSE))</f>
        <v>0</v>
      </c>
      <c r="Q49" s="4">
        <f>(VLOOKUP('19.02'!Y49,'19.02'!$AO$4:$AQ$55,3,FALSE))</f>
        <v>0</v>
      </c>
      <c r="R49" s="4">
        <f>(VLOOKUP('19.02'!Z49,'19.02'!$AO$4:$AQ$55,3,FALSE))</f>
        <v>0</v>
      </c>
      <c r="S49" s="4">
        <f>(VLOOKUP('19.02'!AA49,'19.02'!$AO$4:$AQ$55,3,FALSE))</f>
        <v>0</v>
      </c>
      <c r="T49" s="4">
        <f>(VLOOKUP('19.02'!AB49,'19.02'!$AO$4:$AQ$55,3,FALSE))</f>
        <v>0</v>
      </c>
      <c r="U49" s="4">
        <f>(VLOOKUP('19.02'!AC49,'19.02'!$AO$4:$AQ$55,3,FALSE))</f>
        <v>0</v>
      </c>
      <c r="V49" s="4">
        <f>(VLOOKUP('19.02'!AD49,'19.02'!$AO$4:$AQ$55,3,FALSE))</f>
        <v>0</v>
      </c>
      <c r="W49" s="5">
        <f>(VLOOKUP('19.02'!AE49,'19.02'!$AO$4:$AQ$55,3,FALSE))</f>
        <v>0</v>
      </c>
      <c r="X49" s="5">
        <f>(VLOOKUP('19.02'!AF49,'19.02'!$AO$4:$AQ$55,3,FALSE))</f>
        <v>0</v>
      </c>
    </row>
    <row r="50" spans="1:24">
      <c r="A50" s="4">
        <f>(VLOOKUP('19.02'!I50,'19.02'!$AO$4:$AQ$55,3,FALSE))</f>
        <v>0</v>
      </c>
      <c r="B50" s="4">
        <f>(VLOOKUP('19.02'!J50,'19.02'!$AO$4:$AQ$55,3,FALSE))</f>
        <v>0</v>
      </c>
      <c r="C50" s="4">
        <f>(VLOOKUP('19.02'!K50,'19.02'!$AO$4:$AQ$55,3,FALSE))</f>
        <v>0</v>
      </c>
      <c r="D50" s="4">
        <f>(VLOOKUP('19.02'!L50,'19.02'!$AO$4:$AQ$55,3,FALSE))</f>
        <v>0</v>
      </c>
      <c r="E50" s="4">
        <f>(VLOOKUP('19.02'!M50,'19.02'!$AO$4:$AQ$55,3,FALSE))</f>
        <v>0</v>
      </c>
      <c r="F50" s="4">
        <f>(VLOOKUP('19.02'!N50,'19.02'!$AO$4:$AQ$55,3,FALSE))</f>
        <v>0</v>
      </c>
      <c r="G50" s="5">
        <f>(VLOOKUP('19.02'!O50,'19.02'!$AO$4:$AQ$55,3,FALSE))</f>
        <v>0</v>
      </c>
      <c r="H50" s="5">
        <f>(VLOOKUP('19.02'!P50,'19.02'!$AO$4:$AQ$55,3,FALSE))</f>
        <v>0</v>
      </c>
      <c r="I50" s="4">
        <f>(VLOOKUP('19.02'!Q50,'19.02'!$AO$4:$AQ$55,3,FALSE))</f>
        <v>0</v>
      </c>
      <c r="J50" s="4">
        <f>(VLOOKUP('19.02'!R50,'19.02'!$AO$4:$AQ$55,3,FALSE))</f>
        <v>0</v>
      </c>
      <c r="K50" s="4">
        <f>(VLOOKUP('19.02'!S50,'19.02'!$AO$4:$AQ$55,3,FALSE))</f>
        <v>0</v>
      </c>
      <c r="L50" s="4">
        <f>(VLOOKUP('19.02'!T50,'19.02'!$AO$4:$AQ$55,3,FALSE))</f>
        <v>0</v>
      </c>
      <c r="M50" s="4">
        <f>(VLOOKUP('19.02'!U50,'19.02'!$AO$4:$AQ$55,3,FALSE))</f>
        <v>0</v>
      </c>
      <c r="N50" s="4">
        <f>(VLOOKUP('19.02'!V50,'19.02'!$AO$4:$AQ$55,3,FALSE))</f>
        <v>0</v>
      </c>
      <c r="O50" s="5">
        <f>(VLOOKUP('19.02'!W50,'19.02'!$AO$4:$AQ$55,3,FALSE))</f>
        <v>0</v>
      </c>
      <c r="P50" s="5">
        <f>(VLOOKUP('19.02'!X50,'19.02'!$AO$4:$AQ$55,3,FALSE))</f>
        <v>0</v>
      </c>
      <c r="Q50" s="4">
        <f>(VLOOKUP('19.02'!Y50,'19.02'!$AO$4:$AQ$55,3,FALSE))</f>
        <v>0</v>
      </c>
      <c r="R50" s="4">
        <f>(VLOOKUP('19.02'!Z50,'19.02'!$AO$4:$AQ$55,3,FALSE))</f>
        <v>0</v>
      </c>
      <c r="S50" s="4">
        <f>(VLOOKUP('19.02'!AA50,'19.02'!$AO$4:$AQ$55,3,FALSE))</f>
        <v>0</v>
      </c>
      <c r="T50" s="4">
        <f>(VLOOKUP('19.02'!AB50,'19.02'!$AO$4:$AQ$55,3,FALSE))</f>
        <v>0</v>
      </c>
      <c r="U50" s="4">
        <f>(VLOOKUP('19.02'!AC50,'19.02'!$AO$4:$AQ$55,3,FALSE))</f>
        <v>0</v>
      </c>
      <c r="V50" s="4">
        <f>(VLOOKUP('19.02'!AD50,'19.02'!$AO$4:$AQ$55,3,FALSE))</f>
        <v>0</v>
      </c>
      <c r="W50" s="5">
        <f>(VLOOKUP('19.02'!AE50,'19.02'!$AO$4:$AQ$55,3,FALSE))</f>
        <v>0</v>
      </c>
      <c r="X50" s="5">
        <f>(VLOOKUP('19.02'!AF50,'19.02'!$AO$4:$AQ$55,3,FALSE))</f>
        <v>0</v>
      </c>
    </row>
    <row r="51" spans="1:24">
      <c r="A51" s="4">
        <f>(VLOOKUP('19.02'!I51,'19.02'!$AO$4:$AQ$55,3,FALSE))</f>
        <v>0</v>
      </c>
      <c r="B51" s="4">
        <f>(VLOOKUP('19.02'!J51,'19.02'!$AO$4:$AQ$55,3,FALSE))</f>
        <v>0</v>
      </c>
      <c r="C51" s="4">
        <f>(VLOOKUP('19.02'!K51,'19.02'!$AO$4:$AQ$55,3,FALSE))</f>
        <v>0</v>
      </c>
      <c r="D51" s="4">
        <f>(VLOOKUP('19.02'!L51,'19.02'!$AO$4:$AQ$55,3,FALSE))</f>
        <v>0</v>
      </c>
      <c r="E51" s="4">
        <f>(VLOOKUP('19.02'!M51,'19.02'!$AO$4:$AQ$55,3,FALSE))</f>
        <v>0</v>
      </c>
      <c r="F51" s="4">
        <f>(VLOOKUP('19.02'!N51,'19.02'!$AO$4:$AQ$55,3,FALSE))</f>
        <v>0</v>
      </c>
      <c r="G51" s="5">
        <f>(VLOOKUP('19.02'!O51,'19.02'!$AO$4:$AQ$55,3,FALSE))</f>
        <v>0</v>
      </c>
      <c r="H51" s="5">
        <f>(VLOOKUP('19.02'!P51,'19.02'!$AO$4:$AQ$55,3,FALSE))</f>
        <v>0</v>
      </c>
      <c r="I51" s="4">
        <f>(VLOOKUP('19.02'!Q51,'19.02'!$AO$4:$AQ$55,3,FALSE))</f>
        <v>0</v>
      </c>
      <c r="J51" s="4">
        <f>(VLOOKUP('19.02'!R51,'19.02'!$AO$4:$AQ$55,3,FALSE))</f>
        <v>0</v>
      </c>
      <c r="K51" s="4">
        <f>(VLOOKUP('19.02'!S51,'19.02'!$AO$4:$AQ$55,3,FALSE))</f>
        <v>0</v>
      </c>
      <c r="L51" s="4">
        <f>(VLOOKUP('19.02'!T51,'19.02'!$AO$4:$AQ$55,3,FALSE))</f>
        <v>0</v>
      </c>
      <c r="M51" s="4">
        <f>(VLOOKUP('19.02'!U51,'19.02'!$AO$4:$AQ$55,3,FALSE))</f>
        <v>0</v>
      </c>
      <c r="N51" s="4">
        <f>(VLOOKUP('19.02'!V51,'19.02'!$AO$4:$AQ$55,3,FALSE))</f>
        <v>0</v>
      </c>
      <c r="O51" s="5">
        <f>(VLOOKUP('19.02'!W51,'19.02'!$AO$4:$AQ$55,3,FALSE))</f>
        <v>0</v>
      </c>
      <c r="P51" s="5">
        <f>(VLOOKUP('19.02'!X51,'19.02'!$AO$4:$AQ$55,3,FALSE))</f>
        <v>0</v>
      </c>
      <c r="Q51" s="4">
        <f>(VLOOKUP('19.02'!Y51,'19.02'!$AO$4:$AQ$55,3,FALSE))</f>
        <v>0</v>
      </c>
      <c r="R51" s="4">
        <f>(VLOOKUP('19.02'!Z51,'19.02'!$AO$4:$AQ$55,3,FALSE))</f>
        <v>0</v>
      </c>
      <c r="S51" s="4">
        <f>(VLOOKUP('19.02'!AA51,'19.02'!$AO$4:$AQ$55,3,FALSE))</f>
        <v>0</v>
      </c>
      <c r="T51" s="4">
        <f>(VLOOKUP('19.02'!AB51,'19.02'!$AO$4:$AQ$55,3,FALSE))</f>
        <v>0</v>
      </c>
      <c r="U51" s="4">
        <f>(VLOOKUP('19.02'!AC51,'19.02'!$AO$4:$AQ$55,3,FALSE))</f>
        <v>0</v>
      </c>
      <c r="V51" s="4">
        <f>(VLOOKUP('19.02'!AD51,'19.02'!$AO$4:$AQ$55,3,FALSE))</f>
        <v>0</v>
      </c>
      <c r="W51" s="5">
        <f>(VLOOKUP('19.02'!AE51,'19.02'!$AO$4:$AQ$55,3,FALSE))</f>
        <v>0</v>
      </c>
      <c r="X51" s="5">
        <f>(VLOOKUP('19.02'!AF51,'19.02'!$AO$4:$AQ$55,3,FALSE))</f>
        <v>0</v>
      </c>
    </row>
    <row r="52" spans="1:24">
      <c r="A52" s="4">
        <f>(VLOOKUP('19.02'!I52,'19.02'!$AO$4:$AQ$55,3,FALSE))</f>
        <v>0</v>
      </c>
      <c r="B52" s="4">
        <f>(VLOOKUP('19.02'!J52,'19.02'!$AO$4:$AQ$55,3,FALSE))</f>
        <v>0</v>
      </c>
      <c r="C52" s="4">
        <f>(VLOOKUP('19.02'!K52,'19.02'!$AO$4:$AQ$55,3,FALSE))</f>
        <v>0</v>
      </c>
      <c r="D52" s="4">
        <f>(VLOOKUP('19.02'!L52,'19.02'!$AO$4:$AQ$55,3,FALSE))</f>
        <v>0</v>
      </c>
      <c r="E52" s="4">
        <f>(VLOOKUP('19.02'!M52,'19.02'!$AO$4:$AQ$55,3,FALSE))</f>
        <v>0</v>
      </c>
      <c r="F52" s="4">
        <f>(VLOOKUP('19.02'!N52,'19.02'!$AO$4:$AQ$55,3,FALSE))</f>
        <v>0</v>
      </c>
      <c r="G52" s="5">
        <f>(VLOOKUP('19.02'!O52,'19.02'!$AO$4:$AQ$55,3,FALSE))</f>
        <v>0</v>
      </c>
      <c r="H52" s="5">
        <f>(VLOOKUP('19.02'!P52,'19.02'!$AO$4:$AQ$55,3,FALSE))</f>
        <v>0</v>
      </c>
      <c r="I52" s="4">
        <f>(VLOOKUP('19.02'!Q52,'19.02'!$AO$4:$AQ$55,3,FALSE))</f>
        <v>0</v>
      </c>
      <c r="J52" s="4">
        <f>(VLOOKUP('19.02'!R52,'19.02'!$AO$4:$AQ$55,3,FALSE))</f>
        <v>0</v>
      </c>
      <c r="K52" s="4">
        <f>(VLOOKUP('19.02'!S52,'19.02'!$AO$4:$AQ$55,3,FALSE))</f>
        <v>0</v>
      </c>
      <c r="L52" s="4">
        <f>(VLOOKUP('19.02'!T52,'19.02'!$AO$4:$AQ$55,3,FALSE))</f>
        <v>0</v>
      </c>
      <c r="M52" s="4">
        <f>(VLOOKUP('19.02'!U52,'19.02'!$AO$4:$AQ$55,3,FALSE))</f>
        <v>0</v>
      </c>
      <c r="N52" s="4">
        <f>(VLOOKUP('19.02'!V52,'19.02'!$AO$4:$AQ$55,3,FALSE))</f>
        <v>0</v>
      </c>
      <c r="O52" s="5">
        <f>(VLOOKUP('19.02'!W52,'19.02'!$AO$4:$AQ$55,3,FALSE))</f>
        <v>0</v>
      </c>
      <c r="P52" s="5">
        <f>(VLOOKUP('19.02'!X52,'19.02'!$AO$4:$AQ$55,3,FALSE))</f>
        <v>0</v>
      </c>
      <c r="Q52" s="4">
        <f>(VLOOKUP('19.02'!Y52,'19.02'!$AO$4:$AQ$55,3,FALSE))</f>
        <v>0</v>
      </c>
      <c r="R52" s="4">
        <f>(VLOOKUP('19.02'!Z52,'19.02'!$AO$4:$AQ$55,3,FALSE))</f>
        <v>0</v>
      </c>
      <c r="S52" s="4">
        <f>(VLOOKUP('19.02'!AA52,'19.02'!$AO$4:$AQ$55,3,FALSE))</f>
        <v>0</v>
      </c>
      <c r="T52" s="4">
        <f>(VLOOKUP('19.02'!AB52,'19.02'!$AO$4:$AQ$55,3,FALSE))</f>
        <v>0</v>
      </c>
      <c r="U52" s="4">
        <f>(VLOOKUP('19.02'!AC52,'19.02'!$AO$4:$AQ$55,3,FALSE))</f>
        <v>0</v>
      </c>
      <c r="V52" s="4">
        <f>(VLOOKUP('19.02'!AD52,'19.02'!$AO$4:$AQ$55,3,FALSE))</f>
        <v>0</v>
      </c>
      <c r="W52" s="5">
        <f>(VLOOKUP('19.02'!AE52,'19.02'!$AO$4:$AQ$55,3,FALSE))</f>
        <v>0</v>
      </c>
      <c r="X52" s="5">
        <f>(VLOOKUP('19.02'!AF52,'19.02'!$AO$4:$AQ$55,3,FALSE))</f>
        <v>0</v>
      </c>
    </row>
    <row r="53" spans="1:24">
      <c r="A53" s="4">
        <f>(VLOOKUP('19.02'!I53,'19.02'!$AO$4:$AQ$55,3,FALSE))</f>
        <v>0</v>
      </c>
      <c r="B53" s="4">
        <f>(VLOOKUP('19.02'!J53,'19.02'!$AO$4:$AQ$55,3,FALSE))</f>
        <v>0</v>
      </c>
      <c r="C53" s="4">
        <f>(VLOOKUP('19.02'!K53,'19.02'!$AO$4:$AQ$55,3,FALSE))</f>
        <v>0</v>
      </c>
      <c r="D53" s="4">
        <f>(VLOOKUP('19.02'!L53,'19.02'!$AO$4:$AQ$55,3,FALSE))</f>
        <v>0</v>
      </c>
      <c r="E53" s="4">
        <f>(VLOOKUP('19.02'!M53,'19.02'!$AO$4:$AQ$55,3,FALSE))</f>
        <v>0</v>
      </c>
      <c r="F53" s="4">
        <f>(VLOOKUP('19.02'!N53,'19.02'!$AO$4:$AQ$55,3,FALSE))</f>
        <v>0</v>
      </c>
      <c r="G53" s="5">
        <f>(VLOOKUP('19.02'!O53,'19.02'!$AO$4:$AQ$55,3,FALSE))</f>
        <v>0</v>
      </c>
      <c r="H53" s="5">
        <f>(VLOOKUP('19.02'!P53,'19.02'!$AO$4:$AQ$55,3,FALSE))</f>
        <v>0</v>
      </c>
      <c r="I53" s="4">
        <f>(VLOOKUP('19.02'!Q53,'19.02'!$AO$4:$AQ$55,3,FALSE))</f>
        <v>0</v>
      </c>
      <c r="J53" s="4">
        <f>(VLOOKUP('19.02'!R53,'19.02'!$AO$4:$AQ$55,3,FALSE))</f>
        <v>0</v>
      </c>
      <c r="K53" s="4">
        <f>(VLOOKUP('19.02'!S53,'19.02'!$AO$4:$AQ$55,3,FALSE))</f>
        <v>0</v>
      </c>
      <c r="L53" s="4">
        <f>(VLOOKUP('19.02'!T53,'19.02'!$AO$4:$AQ$55,3,FALSE))</f>
        <v>0</v>
      </c>
      <c r="M53" s="4">
        <f>(VLOOKUP('19.02'!U53,'19.02'!$AO$4:$AQ$55,3,FALSE))</f>
        <v>0</v>
      </c>
      <c r="N53" s="4">
        <f>(VLOOKUP('19.02'!V53,'19.02'!$AO$4:$AQ$55,3,FALSE))</f>
        <v>0</v>
      </c>
      <c r="O53" s="5">
        <f>(VLOOKUP('19.02'!W53,'19.02'!$AO$4:$AQ$55,3,FALSE))</f>
        <v>0</v>
      </c>
      <c r="P53" s="5">
        <f>(VLOOKUP('19.02'!X53,'19.02'!$AO$4:$AQ$55,3,FALSE))</f>
        <v>0</v>
      </c>
      <c r="Q53" s="4">
        <f>(VLOOKUP('19.02'!Y53,'19.02'!$AO$4:$AQ$55,3,FALSE))</f>
        <v>0</v>
      </c>
      <c r="R53" s="4">
        <f>(VLOOKUP('19.02'!Z53,'19.02'!$AO$4:$AQ$55,3,FALSE))</f>
        <v>0</v>
      </c>
      <c r="S53" s="4">
        <f>(VLOOKUP('19.02'!AA53,'19.02'!$AO$4:$AQ$55,3,FALSE))</f>
        <v>0</v>
      </c>
      <c r="T53" s="4">
        <f>(VLOOKUP('19.02'!AB53,'19.02'!$AO$4:$AQ$55,3,FALSE))</f>
        <v>0</v>
      </c>
      <c r="U53" s="4">
        <f>(VLOOKUP('19.02'!AC53,'19.02'!$AO$4:$AQ$55,3,FALSE))</f>
        <v>0</v>
      </c>
      <c r="V53" s="4">
        <f>(VLOOKUP('19.02'!AD53,'19.02'!$AO$4:$AQ$55,3,FALSE))</f>
        <v>0</v>
      </c>
      <c r="W53" s="5">
        <f>(VLOOKUP('19.02'!AE53,'19.02'!$AO$4:$AQ$55,3,FALSE))</f>
        <v>0</v>
      </c>
      <c r="X53" s="5">
        <f>(VLOOKUP('19.02'!AF53,'19.02'!$AO$4:$AQ$55,3,FALSE))</f>
        <v>0</v>
      </c>
    </row>
    <row r="54" spans="1:24">
      <c r="A54" s="4">
        <f>(VLOOKUP('19.02'!I54,'19.02'!$AO$4:$AQ$55,3,FALSE))</f>
        <v>0</v>
      </c>
      <c r="B54" s="4">
        <f>(VLOOKUP('19.02'!J54,'19.02'!$AO$4:$AQ$55,3,FALSE))</f>
        <v>0</v>
      </c>
      <c r="C54" s="4">
        <f>(VLOOKUP('19.02'!K54,'19.02'!$AO$4:$AQ$55,3,FALSE))</f>
        <v>0</v>
      </c>
      <c r="D54" s="4">
        <f>(VLOOKUP('19.02'!L54,'19.02'!$AO$4:$AQ$55,3,FALSE))</f>
        <v>0</v>
      </c>
      <c r="E54" s="4">
        <f>(VLOOKUP('19.02'!M54,'19.02'!$AO$4:$AQ$55,3,FALSE))</f>
        <v>0</v>
      </c>
      <c r="F54" s="4">
        <f>(VLOOKUP('19.02'!N54,'19.02'!$AO$4:$AQ$55,3,FALSE))</f>
        <v>0</v>
      </c>
      <c r="G54" s="5">
        <f>(VLOOKUP('19.02'!O54,'19.02'!$AO$4:$AQ$55,3,FALSE))</f>
        <v>0</v>
      </c>
      <c r="H54" s="5">
        <f>(VLOOKUP('19.02'!P54,'19.02'!$AO$4:$AQ$55,3,FALSE))</f>
        <v>0</v>
      </c>
      <c r="I54" s="4">
        <f>(VLOOKUP('19.02'!Q54,'19.02'!$AO$4:$AQ$55,3,FALSE))</f>
        <v>0</v>
      </c>
      <c r="J54" s="4">
        <f>(VLOOKUP('19.02'!R54,'19.02'!$AO$4:$AQ$55,3,FALSE))</f>
        <v>0</v>
      </c>
      <c r="K54" s="4">
        <f>(VLOOKUP('19.02'!S54,'19.02'!$AO$4:$AQ$55,3,FALSE))</f>
        <v>0</v>
      </c>
      <c r="L54" s="4">
        <f>(VLOOKUP('19.02'!T54,'19.02'!$AO$4:$AQ$55,3,FALSE))</f>
        <v>0</v>
      </c>
      <c r="M54" s="4">
        <f>(VLOOKUP('19.02'!U54,'19.02'!$AO$4:$AQ$55,3,FALSE))</f>
        <v>0</v>
      </c>
      <c r="N54" s="4">
        <f>(VLOOKUP('19.02'!V54,'19.02'!$AO$4:$AQ$55,3,FALSE))</f>
        <v>0</v>
      </c>
      <c r="O54" s="5">
        <f>(VLOOKUP('19.02'!W54,'19.02'!$AO$4:$AQ$55,3,FALSE))</f>
        <v>0</v>
      </c>
      <c r="P54" s="5">
        <f>(VLOOKUP('19.02'!X54,'19.02'!$AO$4:$AQ$55,3,FALSE))</f>
        <v>0</v>
      </c>
      <c r="Q54" s="4">
        <f>(VLOOKUP('19.02'!Y54,'19.02'!$AO$4:$AQ$55,3,FALSE))</f>
        <v>0</v>
      </c>
      <c r="R54" s="4">
        <f>(VLOOKUP('19.02'!Z54,'19.02'!$AO$4:$AQ$55,3,FALSE))</f>
        <v>0</v>
      </c>
      <c r="S54" s="4">
        <f>(VLOOKUP('19.02'!AA54,'19.02'!$AO$4:$AQ$55,3,FALSE))</f>
        <v>0</v>
      </c>
      <c r="T54" s="4">
        <f>(VLOOKUP('19.02'!AB54,'19.02'!$AO$4:$AQ$55,3,FALSE))</f>
        <v>0</v>
      </c>
      <c r="U54" s="4">
        <f>(VLOOKUP('19.02'!AC54,'19.02'!$AO$4:$AQ$55,3,FALSE))</f>
        <v>0</v>
      </c>
      <c r="V54" s="4">
        <f>(VLOOKUP('19.02'!AD54,'19.02'!$AO$4:$AQ$55,3,FALSE))</f>
        <v>0</v>
      </c>
      <c r="W54" s="5">
        <f>(VLOOKUP('19.02'!AE54,'19.02'!$AO$4:$AQ$55,3,FALSE))</f>
        <v>0</v>
      </c>
      <c r="X54" s="5">
        <f>(VLOOKUP('19.02'!AF54,'19.02'!$AO$4:$AQ$55,3,FALSE))</f>
        <v>0</v>
      </c>
    </row>
    <row r="55" spans="1:24">
      <c r="A55" s="4">
        <f>(VLOOKUP('19.02'!I55,'19.02'!$AO$4:$AQ$55,3,FALSE))</f>
        <v>0</v>
      </c>
      <c r="B55" s="4">
        <f>(VLOOKUP('19.02'!J55,'19.02'!$AO$4:$AQ$55,3,FALSE))</f>
        <v>0</v>
      </c>
      <c r="C55" s="4">
        <f>(VLOOKUP('19.02'!K55,'19.02'!$AO$4:$AQ$55,3,FALSE))</f>
        <v>0</v>
      </c>
      <c r="D55" s="4">
        <f>(VLOOKUP('19.02'!L55,'19.02'!$AO$4:$AQ$55,3,FALSE))</f>
        <v>0</v>
      </c>
      <c r="E55" s="4">
        <f>(VLOOKUP('19.02'!M55,'19.02'!$AO$4:$AQ$55,3,FALSE))</f>
        <v>0</v>
      </c>
      <c r="F55" s="4">
        <f>(VLOOKUP('19.02'!N55,'19.02'!$AO$4:$AQ$55,3,FALSE))</f>
        <v>0</v>
      </c>
      <c r="G55" s="5">
        <f>(VLOOKUP('19.02'!O55,'19.02'!$AO$4:$AQ$55,3,FALSE))</f>
        <v>0</v>
      </c>
      <c r="H55" s="5">
        <f>(VLOOKUP('19.02'!P55,'19.02'!$AO$4:$AQ$55,3,FALSE))</f>
        <v>0</v>
      </c>
      <c r="I55" s="4">
        <f>(VLOOKUP('19.02'!Q55,'19.02'!$AO$4:$AQ$55,3,FALSE))</f>
        <v>0</v>
      </c>
      <c r="J55" s="4">
        <f>(VLOOKUP('19.02'!R55,'19.02'!$AO$4:$AQ$55,3,FALSE))</f>
        <v>0</v>
      </c>
      <c r="K55" s="4">
        <f>(VLOOKUP('19.02'!S55,'19.02'!$AO$4:$AQ$55,3,FALSE))</f>
        <v>0</v>
      </c>
      <c r="L55" s="4">
        <f>(VLOOKUP('19.02'!T55,'19.02'!$AO$4:$AQ$55,3,FALSE))</f>
        <v>0</v>
      </c>
      <c r="M55" s="4">
        <f>(VLOOKUP('19.02'!U55,'19.02'!$AO$4:$AQ$55,3,FALSE))</f>
        <v>0</v>
      </c>
      <c r="N55" s="4">
        <f>(VLOOKUP('19.02'!V55,'19.02'!$AO$4:$AQ$55,3,FALSE))</f>
        <v>0</v>
      </c>
      <c r="O55" s="5">
        <f>(VLOOKUP('19.02'!W55,'19.02'!$AO$4:$AQ$55,3,FALSE))</f>
        <v>0</v>
      </c>
      <c r="P55" s="5">
        <f>(VLOOKUP('19.02'!X55,'19.02'!$AO$4:$AQ$55,3,FALSE))</f>
        <v>0</v>
      </c>
      <c r="Q55" s="4">
        <f>(VLOOKUP('19.02'!Y55,'19.02'!$AO$4:$AQ$55,3,FALSE))</f>
        <v>0</v>
      </c>
      <c r="R55" s="4">
        <f>(VLOOKUP('19.02'!Z55,'19.02'!$AO$4:$AQ$55,3,FALSE))</f>
        <v>0</v>
      </c>
      <c r="S55" s="4">
        <f>(VLOOKUP('19.02'!AA55,'19.02'!$AO$4:$AQ$55,3,FALSE))</f>
        <v>0</v>
      </c>
      <c r="T55" s="4">
        <f>(VLOOKUP('19.02'!AB55,'19.02'!$AO$4:$AQ$55,3,FALSE))</f>
        <v>0</v>
      </c>
      <c r="U55" s="4">
        <f>(VLOOKUP('19.02'!AC55,'19.02'!$AO$4:$AQ$55,3,FALSE))</f>
        <v>0</v>
      </c>
      <c r="V55" s="4">
        <f>(VLOOKUP('19.02'!AD55,'19.02'!$AO$4:$AQ$55,3,FALSE))</f>
        <v>0</v>
      </c>
      <c r="W55" s="5">
        <f>(VLOOKUP('19.02'!AE55,'19.02'!$AO$4:$AQ$55,3,FALSE))</f>
        <v>0</v>
      </c>
      <c r="X55" s="5">
        <f>(VLOOKUP('19.02'!AF55,'19.02'!$AO$4:$AQ$55,3,FALSE))</f>
        <v>0</v>
      </c>
    </row>
    <row r="56" spans="1:24">
      <c r="A56" s="4">
        <f>(VLOOKUP('19.02'!I56,'19.02'!$AO$4:$AQ$55,3,FALSE))</f>
        <v>0</v>
      </c>
      <c r="B56" s="4">
        <f>(VLOOKUP('19.02'!J56,'19.02'!$AO$4:$AQ$55,3,FALSE))</f>
        <v>0</v>
      </c>
      <c r="C56" s="4">
        <f>(VLOOKUP('19.02'!K56,'19.02'!$AO$4:$AQ$55,3,FALSE))</f>
        <v>0</v>
      </c>
      <c r="D56" s="4">
        <f>(VLOOKUP('19.02'!L56,'19.02'!$AO$4:$AQ$55,3,FALSE))</f>
        <v>0</v>
      </c>
      <c r="E56" s="4">
        <f>(VLOOKUP('19.02'!M56,'19.02'!$AO$4:$AQ$55,3,FALSE))</f>
        <v>0</v>
      </c>
      <c r="F56" s="4">
        <f>(VLOOKUP('19.02'!N56,'19.02'!$AO$4:$AQ$55,3,FALSE))</f>
        <v>0</v>
      </c>
      <c r="G56" s="5">
        <f>(VLOOKUP('19.02'!O56,'19.02'!$AO$4:$AQ$55,3,FALSE))</f>
        <v>0</v>
      </c>
      <c r="H56" s="5">
        <f>(VLOOKUP('19.02'!P56,'19.02'!$AO$4:$AQ$55,3,FALSE))</f>
        <v>0</v>
      </c>
      <c r="I56" s="4">
        <f>(VLOOKUP('19.02'!Q56,'19.02'!$AO$4:$AQ$55,3,FALSE))</f>
        <v>0</v>
      </c>
      <c r="J56" s="4">
        <f>(VLOOKUP('19.02'!R56,'19.02'!$AO$4:$AQ$55,3,FALSE))</f>
        <v>0</v>
      </c>
      <c r="K56" s="4">
        <f>(VLOOKUP('19.02'!S56,'19.02'!$AO$4:$AQ$55,3,FALSE))</f>
        <v>0</v>
      </c>
      <c r="L56" s="4">
        <f>(VLOOKUP('19.02'!T56,'19.02'!$AO$4:$AQ$55,3,FALSE))</f>
        <v>0</v>
      </c>
      <c r="M56" s="4">
        <f>(VLOOKUP('19.02'!U56,'19.02'!$AO$4:$AQ$55,3,FALSE))</f>
        <v>0</v>
      </c>
      <c r="N56" s="4">
        <f>(VLOOKUP('19.02'!V56,'19.02'!$AO$4:$AQ$55,3,FALSE))</f>
        <v>0</v>
      </c>
      <c r="O56" s="5">
        <f>(VLOOKUP('19.02'!W56,'19.02'!$AO$4:$AQ$55,3,FALSE))</f>
        <v>0</v>
      </c>
      <c r="P56" s="5">
        <f>(VLOOKUP('19.02'!X56,'19.02'!$AO$4:$AQ$55,3,FALSE))</f>
        <v>0</v>
      </c>
      <c r="Q56" s="4">
        <f>(VLOOKUP('19.02'!Y56,'19.02'!$AO$4:$AQ$55,3,FALSE))</f>
        <v>0</v>
      </c>
      <c r="R56" s="4">
        <f>(VLOOKUP('19.02'!Z56,'19.02'!$AO$4:$AQ$55,3,FALSE))</f>
        <v>0</v>
      </c>
      <c r="S56" s="4">
        <f>(VLOOKUP('19.02'!AA56,'19.02'!$AO$4:$AQ$55,3,FALSE))</f>
        <v>0</v>
      </c>
      <c r="T56" s="4">
        <f>(VLOOKUP('19.02'!AB56,'19.02'!$AO$4:$AQ$55,3,FALSE))</f>
        <v>0</v>
      </c>
      <c r="U56" s="4">
        <f>(VLOOKUP('19.02'!AC56,'19.02'!$AO$4:$AQ$55,3,FALSE))</f>
        <v>0</v>
      </c>
      <c r="V56" s="4">
        <f>(VLOOKUP('19.02'!AD56,'19.02'!$AO$4:$AQ$55,3,FALSE))</f>
        <v>0</v>
      </c>
      <c r="W56" s="5">
        <f>(VLOOKUP('19.02'!AE56,'19.02'!$AO$4:$AQ$55,3,FALSE))</f>
        <v>0</v>
      </c>
      <c r="X56" s="5">
        <f>(VLOOKUP('19.02'!AF56,'19.02'!$AO$4:$AQ$55,3,FALSE))</f>
        <v>0</v>
      </c>
    </row>
    <row r="57" spans="1:24">
      <c r="A57" s="4">
        <f>(VLOOKUP('19.02'!I57,'19.02'!$AO$4:$AQ$55,3,FALSE))</f>
        <v>0</v>
      </c>
      <c r="B57" s="4">
        <f>(VLOOKUP('19.02'!J57,'19.02'!$AO$4:$AQ$55,3,FALSE))</f>
        <v>0</v>
      </c>
      <c r="C57" s="4">
        <f>(VLOOKUP('19.02'!K57,'19.02'!$AO$4:$AQ$55,3,FALSE))</f>
        <v>0</v>
      </c>
      <c r="D57" s="4">
        <f>(VLOOKUP('19.02'!L57,'19.02'!$AO$4:$AQ$55,3,FALSE))</f>
        <v>0</v>
      </c>
      <c r="E57" s="4">
        <f>(VLOOKUP('19.02'!M57,'19.02'!$AO$4:$AQ$55,3,FALSE))</f>
        <v>0</v>
      </c>
      <c r="F57" s="4">
        <f>(VLOOKUP('19.02'!N57,'19.02'!$AO$4:$AQ$55,3,FALSE))</f>
        <v>0</v>
      </c>
      <c r="G57" s="5">
        <f>(VLOOKUP('19.02'!O57,'19.02'!$AO$4:$AQ$55,3,FALSE))</f>
        <v>0</v>
      </c>
      <c r="H57" s="5">
        <f>(VLOOKUP('19.02'!P57,'19.02'!$AO$4:$AQ$55,3,FALSE))</f>
        <v>0</v>
      </c>
      <c r="I57" s="4">
        <f>(VLOOKUP('19.02'!Q57,'19.02'!$AO$4:$AQ$55,3,FALSE))</f>
        <v>0</v>
      </c>
      <c r="J57" s="4">
        <f>(VLOOKUP('19.02'!R57,'19.02'!$AO$4:$AQ$55,3,FALSE))</f>
        <v>0</v>
      </c>
      <c r="K57" s="4">
        <f>(VLOOKUP('19.02'!S57,'19.02'!$AO$4:$AQ$55,3,FALSE))</f>
        <v>0</v>
      </c>
      <c r="L57" s="4">
        <f>(VLOOKUP('19.02'!T57,'19.02'!$AO$4:$AQ$55,3,FALSE))</f>
        <v>0</v>
      </c>
      <c r="M57" s="4">
        <f>(VLOOKUP('19.02'!U57,'19.02'!$AO$4:$AQ$55,3,FALSE))</f>
        <v>0</v>
      </c>
      <c r="N57" s="4">
        <f>(VLOOKUP('19.02'!V57,'19.02'!$AO$4:$AQ$55,3,FALSE))</f>
        <v>0</v>
      </c>
      <c r="O57" s="5">
        <f>(VLOOKUP('19.02'!W57,'19.02'!$AO$4:$AQ$55,3,FALSE))</f>
        <v>0</v>
      </c>
      <c r="P57" s="5">
        <f>(VLOOKUP('19.02'!X57,'19.02'!$AO$4:$AQ$55,3,FALSE))</f>
        <v>0</v>
      </c>
      <c r="Q57" s="4">
        <f>(VLOOKUP('19.02'!Y57,'19.02'!$AO$4:$AQ$55,3,FALSE))</f>
        <v>0</v>
      </c>
      <c r="R57" s="4">
        <f>(VLOOKUP('19.02'!Z57,'19.02'!$AO$4:$AQ$55,3,FALSE))</f>
        <v>0</v>
      </c>
      <c r="S57" s="4">
        <f>(VLOOKUP('19.02'!AA57,'19.02'!$AO$4:$AQ$55,3,FALSE))</f>
        <v>0</v>
      </c>
      <c r="T57" s="4">
        <f>(VLOOKUP('19.02'!AB57,'19.02'!$AO$4:$AQ$55,3,FALSE))</f>
        <v>0</v>
      </c>
      <c r="U57" s="4">
        <f>(VLOOKUP('19.02'!AC57,'19.02'!$AO$4:$AQ$55,3,FALSE))</f>
        <v>0</v>
      </c>
      <c r="V57" s="4">
        <f>(VLOOKUP('19.02'!AD57,'19.02'!$AO$4:$AQ$55,3,FALSE))</f>
        <v>0</v>
      </c>
      <c r="W57" s="5">
        <f>(VLOOKUP('19.02'!AE57,'19.02'!$AO$4:$AQ$55,3,FALSE))</f>
        <v>0</v>
      </c>
      <c r="X57" s="5">
        <f>(VLOOKUP('19.02'!AF57,'19.02'!$AO$4:$AQ$55,3,FALSE))</f>
        <v>0</v>
      </c>
    </row>
    <row r="58" spans="1:24">
      <c r="A58" s="4">
        <f>(VLOOKUP('19.02'!I58,'19.02'!$AO$4:$AQ$55,3,FALSE))</f>
        <v>0</v>
      </c>
      <c r="B58" s="4">
        <f>(VLOOKUP('19.02'!J58,'19.02'!$AO$4:$AQ$55,3,FALSE))</f>
        <v>0</v>
      </c>
      <c r="C58" s="4">
        <f>(VLOOKUP('19.02'!K58,'19.02'!$AO$4:$AQ$55,3,FALSE))</f>
        <v>0</v>
      </c>
      <c r="D58" s="4">
        <f>(VLOOKUP('19.02'!L58,'19.02'!$AO$4:$AQ$55,3,FALSE))</f>
        <v>0</v>
      </c>
      <c r="E58" s="4">
        <f>(VLOOKUP('19.02'!M58,'19.02'!$AO$4:$AQ$55,3,FALSE))</f>
        <v>0</v>
      </c>
      <c r="F58" s="4">
        <f>(VLOOKUP('19.02'!N58,'19.02'!$AO$4:$AQ$55,3,FALSE))</f>
        <v>0</v>
      </c>
      <c r="G58" s="5">
        <f>(VLOOKUP('19.02'!O58,'19.02'!$AO$4:$AQ$55,3,FALSE))</f>
        <v>0</v>
      </c>
      <c r="H58" s="5">
        <f>(VLOOKUP('19.02'!P58,'19.02'!$AO$4:$AQ$55,3,FALSE))</f>
        <v>0</v>
      </c>
      <c r="I58" s="4">
        <f>(VLOOKUP('19.02'!Q58,'19.02'!$AO$4:$AQ$55,3,FALSE))</f>
        <v>0</v>
      </c>
      <c r="J58" s="4">
        <f>(VLOOKUP('19.02'!R58,'19.02'!$AO$4:$AQ$55,3,FALSE))</f>
        <v>0</v>
      </c>
      <c r="K58" s="4">
        <f>(VLOOKUP('19.02'!S58,'19.02'!$AO$4:$AQ$55,3,FALSE))</f>
        <v>0</v>
      </c>
      <c r="L58" s="4">
        <f>(VLOOKUP('19.02'!T58,'19.02'!$AO$4:$AQ$55,3,FALSE))</f>
        <v>0</v>
      </c>
      <c r="M58" s="4">
        <f>(VLOOKUP('19.02'!U58,'19.02'!$AO$4:$AQ$55,3,FALSE))</f>
        <v>0</v>
      </c>
      <c r="N58" s="4">
        <f>(VLOOKUP('19.02'!V58,'19.02'!$AO$4:$AQ$55,3,FALSE))</f>
        <v>0</v>
      </c>
      <c r="O58" s="5">
        <f>(VLOOKUP('19.02'!W58,'19.02'!$AO$4:$AQ$55,3,FALSE))</f>
        <v>0</v>
      </c>
      <c r="P58" s="5">
        <f>(VLOOKUP('19.02'!X58,'19.02'!$AO$4:$AQ$55,3,FALSE))</f>
        <v>0</v>
      </c>
      <c r="Q58" s="4">
        <f>(VLOOKUP('19.02'!Y58,'19.02'!$AO$4:$AQ$55,3,FALSE))</f>
        <v>0</v>
      </c>
      <c r="R58" s="4">
        <f>(VLOOKUP('19.02'!Z58,'19.02'!$AO$4:$AQ$55,3,FALSE))</f>
        <v>0</v>
      </c>
      <c r="S58" s="4">
        <f>(VLOOKUP('19.02'!AA58,'19.02'!$AO$4:$AQ$55,3,FALSE))</f>
        <v>0</v>
      </c>
      <c r="T58" s="4">
        <f>(VLOOKUP('19.02'!AB58,'19.02'!$AO$4:$AQ$55,3,FALSE))</f>
        <v>0</v>
      </c>
      <c r="U58" s="4">
        <f>(VLOOKUP('19.02'!AC58,'19.02'!$AO$4:$AQ$55,3,FALSE))</f>
        <v>0</v>
      </c>
      <c r="V58" s="4">
        <f>(VLOOKUP('19.02'!AD58,'19.02'!$AO$4:$AQ$55,3,FALSE))</f>
        <v>0</v>
      </c>
      <c r="W58" s="5">
        <f>(VLOOKUP('19.02'!AE58,'19.02'!$AO$4:$AQ$55,3,FALSE))</f>
        <v>0</v>
      </c>
      <c r="X58" s="5">
        <f>(VLOOKUP('19.02'!AF58,'19.02'!$AO$4:$AQ$55,3,FALSE))</f>
        <v>0</v>
      </c>
    </row>
    <row r="59" spans="1:24">
      <c r="A59" s="4">
        <f>(VLOOKUP('19.02'!I59,'19.02'!$AO$4:$AQ$55,3,FALSE))</f>
        <v>0</v>
      </c>
      <c r="B59" s="4">
        <f>(VLOOKUP('19.02'!J59,'19.02'!$AO$4:$AQ$55,3,FALSE))</f>
        <v>0</v>
      </c>
      <c r="C59" s="4">
        <f>(VLOOKUP('19.02'!K59,'19.02'!$AO$4:$AQ$55,3,FALSE))</f>
        <v>0</v>
      </c>
      <c r="D59" s="4">
        <f>(VLOOKUP('19.02'!L59,'19.02'!$AO$4:$AQ$55,3,FALSE))</f>
        <v>0</v>
      </c>
      <c r="E59" s="4">
        <f>(VLOOKUP('19.02'!M59,'19.02'!$AO$4:$AQ$55,3,FALSE))</f>
        <v>0</v>
      </c>
      <c r="F59" s="4">
        <f>(VLOOKUP('19.02'!N59,'19.02'!$AO$4:$AQ$55,3,FALSE))</f>
        <v>0</v>
      </c>
      <c r="G59" s="5">
        <f>(VLOOKUP('19.02'!O59,'19.02'!$AO$4:$AQ$55,3,FALSE))</f>
        <v>0</v>
      </c>
      <c r="H59" s="5">
        <f>(VLOOKUP('19.02'!P59,'19.02'!$AO$4:$AQ$55,3,FALSE))</f>
        <v>0</v>
      </c>
      <c r="I59" s="4">
        <f>(VLOOKUP('19.02'!Q59,'19.02'!$AO$4:$AQ$55,3,FALSE))</f>
        <v>0</v>
      </c>
      <c r="J59" s="4">
        <f>(VLOOKUP('19.02'!R59,'19.02'!$AO$4:$AQ$55,3,FALSE))</f>
        <v>0</v>
      </c>
      <c r="K59" s="4">
        <f>(VLOOKUP('19.02'!S59,'19.02'!$AO$4:$AQ$55,3,FALSE))</f>
        <v>0</v>
      </c>
      <c r="L59" s="4">
        <f>(VLOOKUP('19.02'!T59,'19.02'!$AO$4:$AQ$55,3,FALSE))</f>
        <v>0</v>
      </c>
      <c r="M59" s="4">
        <f>(VLOOKUP('19.02'!U59,'19.02'!$AO$4:$AQ$55,3,FALSE))</f>
        <v>0</v>
      </c>
      <c r="N59" s="4">
        <f>(VLOOKUP('19.02'!V59,'19.02'!$AO$4:$AQ$55,3,FALSE))</f>
        <v>0</v>
      </c>
      <c r="O59" s="5">
        <f>(VLOOKUP('19.02'!W59,'19.02'!$AO$4:$AQ$55,3,FALSE))</f>
        <v>0</v>
      </c>
      <c r="P59" s="5">
        <f>(VLOOKUP('19.02'!X59,'19.02'!$AO$4:$AQ$55,3,FALSE))</f>
        <v>0</v>
      </c>
      <c r="Q59" s="4">
        <f>(VLOOKUP('19.02'!Y59,'19.02'!$AO$4:$AQ$55,3,FALSE))</f>
        <v>0</v>
      </c>
      <c r="R59" s="4">
        <f>(VLOOKUP('19.02'!Z59,'19.02'!$AO$4:$AQ$55,3,FALSE))</f>
        <v>0</v>
      </c>
      <c r="S59" s="4">
        <f>(VLOOKUP('19.02'!AA59,'19.02'!$AO$4:$AQ$55,3,FALSE))</f>
        <v>0</v>
      </c>
      <c r="T59" s="4">
        <f>(VLOOKUP('19.02'!AB59,'19.02'!$AO$4:$AQ$55,3,FALSE))</f>
        <v>0</v>
      </c>
      <c r="U59" s="4">
        <f>(VLOOKUP('19.02'!AC59,'19.02'!$AO$4:$AQ$55,3,FALSE))</f>
        <v>0</v>
      </c>
      <c r="V59" s="4">
        <f>(VLOOKUP('19.02'!AD59,'19.02'!$AO$4:$AQ$55,3,FALSE))</f>
        <v>0</v>
      </c>
      <c r="W59" s="5">
        <f>(VLOOKUP('19.02'!AE59,'19.02'!$AO$4:$AQ$55,3,FALSE))</f>
        <v>0</v>
      </c>
      <c r="X59" s="5">
        <f>(VLOOKUP('19.02'!AF59,'19.02'!$AO$4:$AQ$55,3,FALSE))</f>
        <v>0</v>
      </c>
    </row>
    <row r="60" spans="1:24">
      <c r="A60" s="4">
        <f>(VLOOKUP('19.02'!I60,'19.02'!$AO$4:$AQ$55,3,FALSE))</f>
        <v>0</v>
      </c>
      <c r="B60" s="4">
        <f>(VLOOKUP('19.02'!J60,'19.02'!$AO$4:$AQ$55,3,FALSE))</f>
        <v>0</v>
      </c>
      <c r="C60" s="4">
        <f>(VLOOKUP('19.02'!K60,'19.02'!$AO$4:$AQ$55,3,FALSE))</f>
        <v>0</v>
      </c>
      <c r="D60" s="4">
        <f>(VLOOKUP('19.02'!L60,'19.02'!$AO$4:$AQ$55,3,FALSE))</f>
        <v>0</v>
      </c>
      <c r="E60" s="4">
        <f>(VLOOKUP('19.02'!M60,'19.02'!$AO$4:$AQ$55,3,FALSE))</f>
        <v>0</v>
      </c>
      <c r="F60" s="4">
        <f>(VLOOKUP('19.02'!N60,'19.02'!$AO$4:$AQ$55,3,FALSE))</f>
        <v>0</v>
      </c>
      <c r="G60" s="5">
        <f>(VLOOKUP('19.02'!O60,'19.02'!$AO$4:$AQ$55,3,FALSE))</f>
        <v>0</v>
      </c>
      <c r="H60" s="5">
        <f>(VLOOKUP('19.02'!P60,'19.02'!$AO$4:$AQ$55,3,FALSE))</f>
        <v>0</v>
      </c>
      <c r="I60" s="4">
        <f>(VLOOKUP('19.02'!Q60,'19.02'!$AO$4:$AQ$55,3,FALSE))</f>
        <v>0</v>
      </c>
      <c r="J60" s="4">
        <f>(VLOOKUP('19.02'!R60,'19.02'!$AO$4:$AQ$55,3,FALSE))</f>
        <v>0</v>
      </c>
      <c r="K60" s="4">
        <f>(VLOOKUP('19.02'!S60,'19.02'!$AO$4:$AQ$55,3,FALSE))</f>
        <v>0</v>
      </c>
      <c r="L60" s="4">
        <f>(VLOOKUP('19.02'!T60,'19.02'!$AO$4:$AQ$55,3,FALSE))</f>
        <v>0</v>
      </c>
      <c r="M60" s="4">
        <f>(VLOOKUP('19.02'!U60,'19.02'!$AO$4:$AQ$55,3,FALSE))</f>
        <v>0</v>
      </c>
      <c r="N60" s="4">
        <f>(VLOOKUP('19.02'!V60,'19.02'!$AO$4:$AQ$55,3,FALSE))</f>
        <v>0</v>
      </c>
      <c r="O60" s="5">
        <f>(VLOOKUP('19.02'!W60,'19.02'!$AO$4:$AQ$55,3,FALSE))</f>
        <v>0</v>
      </c>
      <c r="P60" s="5">
        <f>(VLOOKUP('19.02'!X60,'19.02'!$AO$4:$AQ$55,3,FALSE))</f>
        <v>0</v>
      </c>
      <c r="Q60" s="4">
        <f>(VLOOKUP('19.02'!Y60,'19.02'!$AO$4:$AQ$55,3,FALSE))</f>
        <v>0</v>
      </c>
      <c r="R60" s="4">
        <f>(VLOOKUP('19.02'!Z60,'19.02'!$AO$4:$AQ$55,3,FALSE))</f>
        <v>0</v>
      </c>
      <c r="S60" s="4">
        <f>(VLOOKUP('19.02'!AA60,'19.02'!$AO$4:$AQ$55,3,FALSE))</f>
        <v>0</v>
      </c>
      <c r="T60" s="4">
        <f>(VLOOKUP('19.02'!AB60,'19.02'!$AO$4:$AQ$55,3,FALSE))</f>
        <v>0</v>
      </c>
      <c r="U60" s="4">
        <f>(VLOOKUP('19.02'!AC60,'19.02'!$AO$4:$AQ$55,3,FALSE))</f>
        <v>0</v>
      </c>
      <c r="V60" s="4">
        <f>(VLOOKUP('19.02'!AD60,'19.02'!$AO$4:$AQ$55,3,FALSE))</f>
        <v>0</v>
      </c>
      <c r="W60" s="5">
        <f>(VLOOKUP('19.02'!AE60,'19.02'!$AO$4:$AQ$55,3,FALSE))</f>
        <v>0</v>
      </c>
      <c r="X60" s="5">
        <f>(VLOOKUP('19.02'!AF60,'19.02'!$AO$4:$AQ$55,3,FALSE))</f>
        <v>0</v>
      </c>
    </row>
    <row r="61" spans="1:24">
      <c r="A61" s="4">
        <f>(VLOOKUP('19.02'!I61,'19.02'!$AO$4:$AQ$55,3,FALSE))</f>
        <v>0</v>
      </c>
      <c r="B61" s="4">
        <f>(VLOOKUP('19.02'!J61,'19.02'!$AO$4:$AQ$55,3,FALSE))</f>
        <v>0</v>
      </c>
      <c r="C61" s="4">
        <f>(VLOOKUP('19.02'!K61,'19.02'!$AO$4:$AQ$55,3,FALSE))</f>
        <v>0</v>
      </c>
      <c r="D61" s="4">
        <f>(VLOOKUP('19.02'!L61,'19.02'!$AO$4:$AQ$55,3,FALSE))</f>
        <v>0</v>
      </c>
      <c r="E61" s="4">
        <f>(VLOOKUP('19.02'!M61,'19.02'!$AO$4:$AQ$55,3,FALSE))</f>
        <v>0</v>
      </c>
      <c r="F61" s="4">
        <f>(VLOOKUP('19.02'!N61,'19.02'!$AO$4:$AQ$55,3,FALSE))</f>
        <v>0</v>
      </c>
      <c r="G61" s="5">
        <f>(VLOOKUP('19.02'!O61,'19.02'!$AO$4:$AQ$55,3,FALSE))</f>
        <v>0</v>
      </c>
      <c r="H61" s="5">
        <f>(VLOOKUP('19.02'!P61,'19.02'!$AO$4:$AQ$55,3,FALSE))</f>
        <v>0</v>
      </c>
      <c r="I61" s="4">
        <f>(VLOOKUP('19.02'!Q61,'19.02'!$AO$4:$AQ$55,3,FALSE))</f>
        <v>0</v>
      </c>
      <c r="J61" s="4">
        <f>(VLOOKUP('19.02'!R61,'19.02'!$AO$4:$AQ$55,3,FALSE))</f>
        <v>0</v>
      </c>
      <c r="K61" s="4">
        <f>(VLOOKUP('19.02'!S61,'19.02'!$AO$4:$AQ$55,3,FALSE))</f>
        <v>0</v>
      </c>
      <c r="L61" s="4">
        <f>(VLOOKUP('19.02'!T61,'19.02'!$AO$4:$AQ$55,3,FALSE))</f>
        <v>0</v>
      </c>
      <c r="M61" s="4">
        <f>(VLOOKUP('19.02'!U61,'19.02'!$AO$4:$AQ$55,3,FALSE))</f>
        <v>0</v>
      </c>
      <c r="N61" s="4">
        <f>(VLOOKUP('19.02'!V61,'19.02'!$AO$4:$AQ$55,3,FALSE))</f>
        <v>0</v>
      </c>
      <c r="O61" s="5">
        <f>(VLOOKUP('19.02'!W61,'19.02'!$AO$4:$AQ$55,3,FALSE))</f>
        <v>0</v>
      </c>
      <c r="P61" s="5">
        <f>(VLOOKUP('19.02'!X61,'19.02'!$AO$4:$AQ$55,3,FALSE))</f>
        <v>0</v>
      </c>
      <c r="Q61" s="4">
        <f>(VLOOKUP('19.02'!Y61,'19.02'!$AO$4:$AQ$55,3,FALSE))</f>
        <v>0</v>
      </c>
      <c r="R61" s="4">
        <f>(VLOOKUP('19.02'!Z61,'19.02'!$AO$4:$AQ$55,3,FALSE))</f>
        <v>0</v>
      </c>
      <c r="S61" s="4">
        <f>(VLOOKUP('19.02'!AA61,'19.02'!$AO$4:$AQ$55,3,FALSE))</f>
        <v>0</v>
      </c>
      <c r="T61" s="4">
        <f>(VLOOKUP('19.02'!AB61,'19.02'!$AO$4:$AQ$55,3,FALSE))</f>
        <v>0</v>
      </c>
      <c r="U61" s="4">
        <f>(VLOOKUP('19.02'!AC61,'19.02'!$AO$4:$AQ$55,3,FALSE))</f>
        <v>0</v>
      </c>
      <c r="V61" s="4">
        <f>(VLOOKUP('19.02'!AD61,'19.02'!$AO$4:$AQ$55,3,FALSE))</f>
        <v>0</v>
      </c>
      <c r="W61" s="5">
        <f>(VLOOKUP('19.02'!AE61,'19.02'!$AO$4:$AQ$55,3,FALSE))</f>
        <v>0</v>
      </c>
      <c r="X61" s="5">
        <f>(VLOOKUP('19.02'!AF61,'19.02'!$AO$4:$AQ$55,3,FALSE))</f>
        <v>0</v>
      </c>
    </row>
    <row r="62" spans="1:24">
      <c r="A62" s="4">
        <f>(VLOOKUP('19.02'!I62,'19.02'!$AO$4:$AQ$55,3,FALSE))</f>
        <v>0</v>
      </c>
      <c r="B62" s="4">
        <f>(VLOOKUP('19.02'!J62,'19.02'!$AO$4:$AQ$55,3,FALSE))</f>
        <v>0</v>
      </c>
      <c r="C62" s="4">
        <f>(VLOOKUP('19.02'!K62,'19.02'!$AO$4:$AQ$55,3,FALSE))</f>
        <v>0</v>
      </c>
      <c r="D62" s="4">
        <f>(VLOOKUP('19.02'!L62,'19.02'!$AO$4:$AQ$55,3,FALSE))</f>
        <v>0</v>
      </c>
      <c r="E62" s="4">
        <f>(VLOOKUP('19.02'!M62,'19.02'!$AO$4:$AQ$55,3,FALSE))</f>
        <v>0</v>
      </c>
      <c r="F62" s="4">
        <f>(VLOOKUP('19.02'!N62,'19.02'!$AO$4:$AQ$55,3,FALSE))</f>
        <v>0</v>
      </c>
      <c r="G62" s="5">
        <f>(VLOOKUP('19.02'!O62,'19.02'!$AO$4:$AQ$55,3,FALSE))</f>
        <v>0</v>
      </c>
      <c r="H62" s="5">
        <f>(VLOOKUP('19.02'!P62,'19.02'!$AO$4:$AQ$55,3,FALSE))</f>
        <v>0</v>
      </c>
      <c r="I62" s="4">
        <f>(VLOOKUP('19.02'!Q62,'19.02'!$AO$4:$AQ$55,3,FALSE))</f>
        <v>0</v>
      </c>
      <c r="J62" s="4">
        <f>(VLOOKUP('19.02'!R62,'19.02'!$AO$4:$AQ$55,3,FALSE))</f>
        <v>0</v>
      </c>
      <c r="K62" s="4">
        <f>(VLOOKUP('19.02'!S62,'19.02'!$AO$4:$AQ$55,3,FALSE))</f>
        <v>0</v>
      </c>
      <c r="L62" s="4">
        <f>(VLOOKUP('19.02'!T62,'19.02'!$AO$4:$AQ$55,3,FALSE))</f>
        <v>0</v>
      </c>
      <c r="M62" s="4">
        <f>(VLOOKUP('19.02'!U62,'19.02'!$AO$4:$AQ$55,3,FALSE))</f>
        <v>0</v>
      </c>
      <c r="N62" s="4">
        <f>(VLOOKUP('19.02'!V62,'19.02'!$AO$4:$AQ$55,3,FALSE))</f>
        <v>0</v>
      </c>
      <c r="O62" s="5">
        <f>(VLOOKUP('19.02'!W62,'19.02'!$AO$4:$AQ$55,3,FALSE))</f>
        <v>0</v>
      </c>
      <c r="P62" s="5">
        <f>(VLOOKUP('19.02'!X62,'19.02'!$AO$4:$AQ$55,3,FALSE))</f>
        <v>0</v>
      </c>
      <c r="Q62" s="4">
        <f>(VLOOKUP('19.02'!Y62,'19.02'!$AO$4:$AQ$55,3,FALSE))</f>
        <v>0</v>
      </c>
      <c r="R62" s="4">
        <f>(VLOOKUP('19.02'!Z62,'19.02'!$AO$4:$AQ$55,3,FALSE))</f>
        <v>0</v>
      </c>
      <c r="S62" s="4">
        <f>(VLOOKUP('19.02'!AA62,'19.02'!$AO$4:$AQ$55,3,FALSE))</f>
        <v>0</v>
      </c>
      <c r="T62" s="4">
        <f>(VLOOKUP('19.02'!AB62,'19.02'!$AO$4:$AQ$55,3,FALSE))</f>
        <v>0</v>
      </c>
      <c r="U62" s="4">
        <f>(VLOOKUP('19.02'!AC62,'19.02'!$AO$4:$AQ$55,3,FALSE))</f>
        <v>0</v>
      </c>
      <c r="V62" s="4">
        <f>(VLOOKUP('19.02'!AD62,'19.02'!$AO$4:$AQ$55,3,FALSE))</f>
        <v>0</v>
      </c>
      <c r="W62" s="5">
        <f>(VLOOKUP('19.02'!AE62,'19.02'!$AO$4:$AQ$55,3,FALSE))</f>
        <v>0</v>
      </c>
      <c r="X62" s="5">
        <f>(VLOOKUP('19.02'!AF62,'19.02'!$AO$4:$AQ$55,3,FALSE))</f>
        <v>0</v>
      </c>
    </row>
    <row r="63" spans="1:24">
      <c r="A63" s="4">
        <f>(VLOOKUP('19.02'!I63,'19.02'!$AO$4:$AQ$55,3,FALSE))</f>
        <v>0</v>
      </c>
      <c r="B63" s="4">
        <f>(VLOOKUP('19.02'!J63,'19.02'!$AO$4:$AQ$55,3,FALSE))</f>
        <v>0</v>
      </c>
      <c r="C63" s="4">
        <f>(VLOOKUP('19.02'!K63,'19.02'!$AO$4:$AQ$55,3,FALSE))</f>
        <v>0</v>
      </c>
      <c r="D63" s="4">
        <f>(VLOOKUP('19.02'!L63,'19.02'!$AO$4:$AQ$55,3,FALSE))</f>
        <v>0</v>
      </c>
      <c r="E63" s="4">
        <f>(VLOOKUP('19.02'!M63,'19.02'!$AO$4:$AQ$55,3,FALSE))</f>
        <v>0</v>
      </c>
      <c r="F63" s="4">
        <f>(VLOOKUP('19.02'!N63,'19.02'!$AO$4:$AQ$55,3,FALSE))</f>
        <v>0</v>
      </c>
      <c r="G63" s="5">
        <f>(VLOOKUP('19.02'!O63,'19.02'!$AO$4:$AQ$55,3,FALSE))</f>
        <v>0</v>
      </c>
      <c r="H63" s="5">
        <f>(VLOOKUP('19.02'!P63,'19.02'!$AO$4:$AQ$55,3,FALSE))</f>
        <v>0</v>
      </c>
      <c r="I63" s="4">
        <f>(VLOOKUP('19.02'!Q63,'19.02'!$AO$4:$AQ$55,3,FALSE))</f>
        <v>0</v>
      </c>
      <c r="J63" s="4">
        <f>(VLOOKUP('19.02'!R63,'19.02'!$AO$4:$AQ$55,3,FALSE))</f>
        <v>0</v>
      </c>
      <c r="K63" s="4">
        <f>(VLOOKUP('19.02'!S63,'19.02'!$AO$4:$AQ$55,3,FALSE))</f>
        <v>0</v>
      </c>
      <c r="L63" s="4">
        <f>(VLOOKUP('19.02'!T63,'19.02'!$AO$4:$AQ$55,3,FALSE))</f>
        <v>0</v>
      </c>
      <c r="M63" s="4">
        <f>(VLOOKUP('19.02'!U63,'19.02'!$AO$4:$AQ$55,3,FALSE))</f>
        <v>0</v>
      </c>
      <c r="N63" s="4">
        <f>(VLOOKUP('19.02'!V63,'19.02'!$AO$4:$AQ$55,3,FALSE))</f>
        <v>0</v>
      </c>
      <c r="O63" s="5">
        <f>(VLOOKUP('19.02'!W63,'19.02'!$AO$4:$AQ$55,3,FALSE))</f>
        <v>0</v>
      </c>
      <c r="P63" s="5">
        <f>(VLOOKUP('19.02'!X63,'19.02'!$AO$4:$AQ$55,3,FALSE))</f>
        <v>0</v>
      </c>
      <c r="Q63" s="4">
        <f>(VLOOKUP('19.02'!Y63,'19.02'!$AO$4:$AQ$55,3,FALSE))</f>
        <v>0</v>
      </c>
      <c r="R63" s="4">
        <f>(VLOOKUP('19.02'!Z63,'19.02'!$AO$4:$AQ$55,3,FALSE))</f>
        <v>0</v>
      </c>
      <c r="S63" s="4">
        <f>(VLOOKUP('19.02'!AA63,'19.02'!$AO$4:$AQ$55,3,FALSE))</f>
        <v>0</v>
      </c>
      <c r="T63" s="4">
        <f>(VLOOKUP('19.02'!AB63,'19.02'!$AO$4:$AQ$55,3,FALSE))</f>
        <v>0</v>
      </c>
      <c r="U63" s="4">
        <f>(VLOOKUP('19.02'!AC63,'19.02'!$AO$4:$AQ$55,3,FALSE))</f>
        <v>0</v>
      </c>
      <c r="V63" s="4">
        <f>(VLOOKUP('19.02'!AD63,'19.02'!$AO$4:$AQ$55,3,FALSE))</f>
        <v>0</v>
      </c>
      <c r="W63" s="5">
        <f>(VLOOKUP('19.02'!AE63,'19.02'!$AO$4:$AQ$55,3,FALSE))</f>
        <v>0</v>
      </c>
      <c r="X63" s="5">
        <f>(VLOOKUP('19.02'!AF63,'19.02'!$AO$4:$AQ$55,3,FALSE))</f>
        <v>0</v>
      </c>
    </row>
    <row r="64" spans="1:24">
      <c r="A64" s="4">
        <f>(VLOOKUP('19.02'!I64,'19.02'!$AO$4:$AQ$55,3,FALSE))</f>
        <v>0</v>
      </c>
      <c r="B64" s="4">
        <f>(VLOOKUP('19.02'!J64,'19.02'!$AO$4:$AQ$55,3,FALSE))</f>
        <v>0</v>
      </c>
      <c r="C64" s="4">
        <f>(VLOOKUP('19.02'!K64,'19.02'!$AO$4:$AQ$55,3,FALSE))</f>
        <v>0</v>
      </c>
      <c r="D64" s="4">
        <f>(VLOOKUP('19.02'!L64,'19.02'!$AO$4:$AQ$55,3,FALSE))</f>
        <v>0</v>
      </c>
      <c r="E64" s="4">
        <f>(VLOOKUP('19.02'!M64,'19.02'!$AO$4:$AQ$55,3,FALSE))</f>
        <v>0</v>
      </c>
      <c r="F64" s="4">
        <f>(VLOOKUP('19.02'!N64,'19.02'!$AO$4:$AQ$55,3,FALSE))</f>
        <v>0</v>
      </c>
      <c r="G64" s="5">
        <f>(VLOOKUP('19.02'!O64,'19.02'!$AO$4:$AQ$55,3,FALSE))</f>
        <v>0</v>
      </c>
      <c r="H64" s="5">
        <f>(VLOOKUP('19.02'!P64,'19.02'!$AO$4:$AQ$55,3,FALSE))</f>
        <v>0</v>
      </c>
      <c r="I64" s="4">
        <f>(VLOOKUP('19.02'!Q64,'19.02'!$AO$4:$AQ$55,3,FALSE))</f>
        <v>0</v>
      </c>
      <c r="J64" s="4">
        <f>(VLOOKUP('19.02'!R64,'19.02'!$AO$4:$AQ$55,3,FALSE))</f>
        <v>0</v>
      </c>
      <c r="K64" s="4">
        <f>(VLOOKUP('19.02'!S64,'19.02'!$AO$4:$AQ$55,3,FALSE))</f>
        <v>0</v>
      </c>
      <c r="L64" s="4">
        <f>(VLOOKUP('19.02'!T64,'19.02'!$AO$4:$AQ$55,3,FALSE))</f>
        <v>0</v>
      </c>
      <c r="M64" s="4">
        <f>(VLOOKUP('19.02'!U64,'19.02'!$AO$4:$AQ$55,3,FALSE))</f>
        <v>0</v>
      </c>
      <c r="N64" s="4">
        <f>(VLOOKUP('19.02'!V64,'19.02'!$AO$4:$AQ$55,3,FALSE))</f>
        <v>0</v>
      </c>
      <c r="O64" s="5">
        <f>(VLOOKUP('19.02'!W64,'19.02'!$AO$4:$AQ$55,3,FALSE))</f>
        <v>0</v>
      </c>
      <c r="P64" s="5">
        <f>(VLOOKUP('19.02'!X64,'19.02'!$AO$4:$AQ$55,3,FALSE))</f>
        <v>0</v>
      </c>
      <c r="Q64" s="4">
        <f>(VLOOKUP('19.02'!Y64,'19.02'!$AO$4:$AQ$55,3,FALSE))</f>
        <v>0</v>
      </c>
      <c r="R64" s="4">
        <f>(VLOOKUP('19.02'!Z64,'19.02'!$AO$4:$AQ$55,3,FALSE))</f>
        <v>0</v>
      </c>
      <c r="S64" s="4">
        <f>(VLOOKUP('19.02'!AA64,'19.02'!$AO$4:$AQ$55,3,FALSE))</f>
        <v>0</v>
      </c>
      <c r="T64" s="4">
        <f>(VLOOKUP('19.02'!AB64,'19.02'!$AO$4:$AQ$55,3,FALSE))</f>
        <v>0</v>
      </c>
      <c r="U64" s="4">
        <f>(VLOOKUP('19.02'!AC64,'19.02'!$AO$4:$AQ$55,3,FALSE))</f>
        <v>0</v>
      </c>
      <c r="V64" s="4">
        <f>(VLOOKUP('19.02'!AD64,'19.02'!$AO$4:$AQ$55,3,FALSE))</f>
        <v>0</v>
      </c>
      <c r="W64" s="5">
        <f>(VLOOKUP('19.02'!AE64,'19.02'!$AO$4:$AQ$55,3,FALSE))</f>
        <v>0</v>
      </c>
      <c r="X64" s="5">
        <f>(VLOOKUP('19.02'!AF64,'19.02'!$AO$4:$AQ$55,3,FALSE))</f>
        <v>0</v>
      </c>
    </row>
    <row r="65" spans="1:24">
      <c r="A65" s="4">
        <f>(VLOOKUP('19.02'!I65,'19.02'!$AO$4:$AQ$55,3,FALSE))</f>
        <v>0</v>
      </c>
      <c r="B65" s="4">
        <f>(VLOOKUP('19.02'!J65,'19.02'!$AO$4:$AQ$55,3,FALSE))</f>
        <v>0</v>
      </c>
      <c r="C65" s="4">
        <f>(VLOOKUP('19.02'!K65,'19.02'!$AO$4:$AQ$55,3,FALSE))</f>
        <v>0</v>
      </c>
      <c r="D65" s="4">
        <f>(VLOOKUP('19.02'!L65,'19.02'!$AO$4:$AQ$55,3,FALSE))</f>
        <v>0</v>
      </c>
      <c r="E65" s="4">
        <f>(VLOOKUP('19.02'!M65,'19.02'!$AO$4:$AQ$55,3,FALSE))</f>
        <v>0</v>
      </c>
      <c r="F65" s="4">
        <f>(VLOOKUP('19.02'!N65,'19.02'!$AO$4:$AQ$55,3,FALSE))</f>
        <v>0</v>
      </c>
      <c r="G65" s="5">
        <f>(VLOOKUP('19.02'!O65,'19.02'!$AO$4:$AQ$55,3,FALSE))</f>
        <v>0</v>
      </c>
      <c r="H65" s="5">
        <f>(VLOOKUP('19.02'!P65,'19.02'!$AO$4:$AQ$55,3,FALSE))</f>
        <v>0</v>
      </c>
      <c r="I65" s="4">
        <f>(VLOOKUP('19.02'!Q65,'19.02'!$AO$4:$AQ$55,3,FALSE))</f>
        <v>0</v>
      </c>
      <c r="J65" s="4">
        <f>(VLOOKUP('19.02'!R65,'19.02'!$AO$4:$AQ$55,3,FALSE))</f>
        <v>0</v>
      </c>
      <c r="K65" s="4">
        <f>(VLOOKUP('19.02'!S65,'19.02'!$AO$4:$AQ$55,3,FALSE))</f>
        <v>0</v>
      </c>
      <c r="L65" s="4">
        <f>(VLOOKUP('19.02'!T65,'19.02'!$AO$4:$AQ$55,3,FALSE))</f>
        <v>0</v>
      </c>
      <c r="M65" s="4">
        <f>(VLOOKUP('19.02'!U65,'19.02'!$AO$4:$AQ$55,3,FALSE))</f>
        <v>0</v>
      </c>
      <c r="N65" s="4">
        <f>(VLOOKUP('19.02'!V65,'19.02'!$AO$4:$AQ$55,3,FALSE))</f>
        <v>0</v>
      </c>
      <c r="O65" s="5">
        <f>(VLOOKUP('19.02'!W65,'19.02'!$AO$4:$AQ$55,3,FALSE))</f>
        <v>0</v>
      </c>
      <c r="P65" s="5">
        <f>(VLOOKUP('19.02'!X65,'19.02'!$AO$4:$AQ$55,3,FALSE))</f>
        <v>0</v>
      </c>
      <c r="Q65" s="4">
        <f>(VLOOKUP('19.02'!Y65,'19.02'!$AO$4:$AQ$55,3,FALSE))</f>
        <v>0</v>
      </c>
      <c r="R65" s="4">
        <f>(VLOOKUP('19.02'!Z65,'19.02'!$AO$4:$AQ$55,3,FALSE))</f>
        <v>0</v>
      </c>
      <c r="S65" s="4">
        <f>(VLOOKUP('19.02'!AA65,'19.02'!$AO$4:$AQ$55,3,FALSE))</f>
        <v>0</v>
      </c>
      <c r="T65" s="4">
        <f>(VLOOKUP('19.02'!AB65,'19.02'!$AO$4:$AQ$55,3,FALSE))</f>
        <v>0</v>
      </c>
      <c r="U65" s="4">
        <f>(VLOOKUP('19.02'!AC65,'19.02'!$AO$4:$AQ$55,3,FALSE))</f>
        <v>0</v>
      </c>
      <c r="V65" s="4">
        <f>(VLOOKUP('19.02'!AD65,'19.02'!$AO$4:$AQ$55,3,FALSE))</f>
        <v>0</v>
      </c>
      <c r="W65" s="5">
        <f>(VLOOKUP('19.02'!AE65,'19.02'!$AO$4:$AQ$55,3,FALSE))</f>
        <v>0</v>
      </c>
      <c r="X65" s="5">
        <f>(VLOOKUP('19.02'!AF65,'19.02'!$AO$4:$AQ$55,3,FALSE))</f>
        <v>0</v>
      </c>
    </row>
    <row r="66" spans="1:24">
      <c r="A66" s="4">
        <f>(VLOOKUP('19.02'!I66,'19.02'!$AO$4:$AQ$55,3,FALSE))</f>
        <v>0</v>
      </c>
      <c r="B66" s="4">
        <f>(VLOOKUP('19.02'!J66,'19.02'!$AO$4:$AQ$55,3,FALSE))</f>
        <v>0</v>
      </c>
      <c r="C66" s="4">
        <f>(VLOOKUP('19.02'!K66,'19.02'!$AO$4:$AQ$55,3,FALSE))</f>
        <v>0</v>
      </c>
      <c r="D66" s="4">
        <f>(VLOOKUP('19.02'!L66,'19.02'!$AO$4:$AQ$55,3,FALSE))</f>
        <v>0</v>
      </c>
      <c r="E66" s="4">
        <f>(VLOOKUP('19.02'!M66,'19.02'!$AO$4:$AQ$55,3,FALSE))</f>
        <v>0</v>
      </c>
      <c r="F66" s="4">
        <f>(VLOOKUP('19.02'!N66,'19.02'!$AO$4:$AQ$55,3,FALSE))</f>
        <v>0</v>
      </c>
      <c r="G66" s="5">
        <f>(VLOOKUP('19.02'!O66,'19.02'!$AO$4:$AQ$55,3,FALSE))</f>
        <v>0</v>
      </c>
      <c r="H66" s="5">
        <f>(VLOOKUP('19.02'!P66,'19.02'!$AO$4:$AQ$55,3,FALSE))</f>
        <v>0</v>
      </c>
      <c r="I66" s="4">
        <f>(VLOOKUP('19.02'!Q66,'19.02'!$AO$4:$AQ$55,3,FALSE))</f>
        <v>0</v>
      </c>
      <c r="J66" s="4">
        <f>(VLOOKUP('19.02'!R66,'19.02'!$AO$4:$AQ$55,3,FALSE))</f>
        <v>0</v>
      </c>
      <c r="K66" s="4">
        <f>(VLOOKUP('19.02'!S66,'19.02'!$AO$4:$AQ$55,3,FALSE))</f>
        <v>0</v>
      </c>
      <c r="L66" s="4">
        <f>(VLOOKUP('19.02'!T66,'19.02'!$AO$4:$AQ$55,3,FALSE))</f>
        <v>0</v>
      </c>
      <c r="M66" s="4">
        <f>(VLOOKUP('19.02'!U66,'19.02'!$AO$4:$AQ$55,3,FALSE))</f>
        <v>0</v>
      </c>
      <c r="N66" s="4">
        <f>(VLOOKUP('19.02'!V66,'19.02'!$AO$4:$AQ$55,3,FALSE))</f>
        <v>0</v>
      </c>
      <c r="O66" s="5">
        <f>(VLOOKUP('19.02'!W66,'19.02'!$AO$4:$AQ$55,3,FALSE))</f>
        <v>0</v>
      </c>
      <c r="P66" s="5">
        <f>(VLOOKUP('19.02'!X66,'19.02'!$AO$4:$AQ$55,3,FALSE))</f>
        <v>0</v>
      </c>
      <c r="Q66" s="4">
        <f>(VLOOKUP('19.02'!Y66,'19.02'!$AO$4:$AQ$55,3,FALSE))</f>
        <v>0</v>
      </c>
      <c r="R66" s="4">
        <f>(VLOOKUP('19.02'!Z66,'19.02'!$AO$4:$AQ$55,3,FALSE))</f>
        <v>0</v>
      </c>
      <c r="S66" s="4">
        <f>(VLOOKUP('19.02'!AA66,'19.02'!$AO$4:$AQ$55,3,FALSE))</f>
        <v>0</v>
      </c>
      <c r="T66" s="4">
        <f>(VLOOKUP('19.02'!AB66,'19.02'!$AO$4:$AQ$55,3,FALSE))</f>
        <v>0</v>
      </c>
      <c r="U66" s="4">
        <f>(VLOOKUP('19.02'!AC66,'19.02'!$AO$4:$AQ$55,3,FALSE))</f>
        <v>0</v>
      </c>
      <c r="V66" s="4">
        <f>(VLOOKUP('19.02'!AD66,'19.02'!$AO$4:$AQ$55,3,FALSE))</f>
        <v>0</v>
      </c>
      <c r="W66" s="5">
        <f>(VLOOKUP('19.02'!AE66,'19.02'!$AO$4:$AQ$55,3,FALSE))</f>
        <v>0</v>
      </c>
      <c r="X66" s="5">
        <f>(VLOOKUP('19.02'!AF66,'19.02'!$AO$4:$AQ$55,3,FALSE))</f>
        <v>0</v>
      </c>
    </row>
    <row r="67" spans="1:24">
      <c r="A67" s="4">
        <f>(VLOOKUP('19.02'!I67,'19.02'!$AO$4:$AQ$55,3,FALSE))</f>
        <v>0</v>
      </c>
      <c r="B67" s="4">
        <f>(VLOOKUP('19.02'!J67,'19.02'!$AO$4:$AQ$55,3,FALSE))</f>
        <v>0</v>
      </c>
      <c r="C67" s="4">
        <f>(VLOOKUP('19.02'!K67,'19.02'!$AO$4:$AQ$55,3,FALSE))</f>
        <v>0</v>
      </c>
      <c r="D67" s="4">
        <f>(VLOOKUP('19.02'!L67,'19.02'!$AO$4:$AQ$55,3,FALSE))</f>
        <v>0</v>
      </c>
      <c r="E67" s="4">
        <f>(VLOOKUP('19.02'!M67,'19.02'!$AO$4:$AQ$55,3,FALSE))</f>
        <v>0</v>
      </c>
      <c r="F67" s="4">
        <f>(VLOOKUP('19.02'!N67,'19.02'!$AO$4:$AQ$55,3,FALSE))</f>
        <v>0</v>
      </c>
      <c r="G67" s="5">
        <f>(VLOOKUP('19.02'!O67,'19.02'!$AO$4:$AQ$55,3,FALSE))</f>
        <v>0</v>
      </c>
      <c r="H67" s="5">
        <f>(VLOOKUP('19.02'!P67,'19.02'!$AO$4:$AQ$55,3,FALSE))</f>
        <v>0</v>
      </c>
      <c r="I67" s="4">
        <f>(VLOOKUP('19.02'!Q67,'19.02'!$AO$4:$AQ$55,3,FALSE))</f>
        <v>0</v>
      </c>
      <c r="J67" s="4">
        <f>(VLOOKUP('19.02'!R67,'19.02'!$AO$4:$AQ$55,3,FALSE))</f>
        <v>0</v>
      </c>
      <c r="K67" s="4">
        <f>(VLOOKUP('19.02'!S67,'19.02'!$AO$4:$AQ$55,3,FALSE))</f>
        <v>0</v>
      </c>
      <c r="L67" s="4">
        <f>(VLOOKUP('19.02'!T67,'19.02'!$AO$4:$AQ$55,3,FALSE))</f>
        <v>0</v>
      </c>
      <c r="M67" s="4">
        <f>(VLOOKUP('19.02'!U67,'19.02'!$AO$4:$AQ$55,3,FALSE))</f>
        <v>0</v>
      </c>
      <c r="N67" s="4">
        <f>(VLOOKUP('19.02'!V67,'19.02'!$AO$4:$AQ$55,3,FALSE))</f>
        <v>0</v>
      </c>
      <c r="O67" s="5">
        <f>(VLOOKUP('19.02'!W67,'19.02'!$AO$4:$AQ$55,3,FALSE))</f>
        <v>0</v>
      </c>
      <c r="P67" s="5">
        <f>(VLOOKUP('19.02'!X67,'19.02'!$AO$4:$AQ$55,3,FALSE))</f>
        <v>0</v>
      </c>
      <c r="Q67" s="4">
        <f>(VLOOKUP('19.02'!Y67,'19.02'!$AO$4:$AQ$55,3,FALSE))</f>
        <v>0</v>
      </c>
      <c r="R67" s="4">
        <f>(VLOOKUP('19.02'!Z67,'19.02'!$AO$4:$AQ$55,3,FALSE))</f>
        <v>0</v>
      </c>
      <c r="S67" s="4">
        <f>(VLOOKUP('19.02'!AA67,'19.02'!$AO$4:$AQ$55,3,FALSE))</f>
        <v>0</v>
      </c>
      <c r="T67" s="4">
        <f>(VLOOKUP('19.02'!AB67,'19.02'!$AO$4:$AQ$55,3,FALSE))</f>
        <v>0</v>
      </c>
      <c r="U67" s="4">
        <f>(VLOOKUP('19.02'!AC67,'19.02'!$AO$4:$AQ$55,3,FALSE))</f>
        <v>0</v>
      </c>
      <c r="V67" s="4">
        <f>(VLOOKUP('19.02'!AD67,'19.02'!$AO$4:$AQ$55,3,FALSE))</f>
        <v>0</v>
      </c>
      <c r="W67" s="5">
        <f>(VLOOKUP('19.02'!AE67,'19.02'!$AO$4:$AQ$55,3,FALSE))</f>
        <v>0</v>
      </c>
      <c r="X67" s="5">
        <f>(VLOOKUP('19.02'!AF67,'19.02'!$AO$4:$AQ$55,3,FALSE))</f>
        <v>0</v>
      </c>
    </row>
    <row r="68" spans="1:24">
      <c r="A68" s="4">
        <f>(VLOOKUP('19.02'!I68,'19.02'!$AO$4:$AQ$55,3,FALSE))</f>
        <v>0</v>
      </c>
      <c r="B68" s="4">
        <f>(VLOOKUP('19.02'!J68,'19.02'!$AO$4:$AQ$55,3,FALSE))</f>
        <v>0</v>
      </c>
      <c r="C68" s="4">
        <f>(VLOOKUP('19.02'!K68,'19.02'!$AO$4:$AQ$55,3,FALSE))</f>
        <v>0</v>
      </c>
      <c r="D68" s="4">
        <f>(VLOOKUP('19.02'!L68,'19.02'!$AO$4:$AQ$55,3,FALSE))</f>
        <v>0</v>
      </c>
      <c r="E68" s="4">
        <f>(VLOOKUP('19.02'!M68,'19.02'!$AO$4:$AQ$55,3,FALSE))</f>
        <v>0</v>
      </c>
      <c r="F68" s="4">
        <f>(VLOOKUP('19.02'!N68,'19.02'!$AO$4:$AQ$55,3,FALSE))</f>
        <v>0</v>
      </c>
      <c r="G68" s="5">
        <f>(VLOOKUP('19.02'!O68,'19.02'!$AO$4:$AQ$55,3,FALSE))</f>
        <v>0</v>
      </c>
      <c r="H68" s="5">
        <f>(VLOOKUP('19.02'!P68,'19.02'!$AO$4:$AQ$55,3,FALSE))</f>
        <v>0</v>
      </c>
      <c r="I68" s="4">
        <f>(VLOOKUP('19.02'!Q68,'19.02'!$AO$4:$AQ$55,3,FALSE))</f>
        <v>0</v>
      </c>
      <c r="J68" s="4">
        <f>(VLOOKUP('19.02'!R68,'19.02'!$AO$4:$AQ$55,3,FALSE))</f>
        <v>0</v>
      </c>
      <c r="K68" s="4">
        <f>(VLOOKUP('19.02'!S68,'19.02'!$AO$4:$AQ$55,3,FALSE))</f>
        <v>0</v>
      </c>
      <c r="L68" s="4">
        <f>(VLOOKUP('19.02'!T68,'19.02'!$AO$4:$AQ$55,3,FALSE))</f>
        <v>0</v>
      </c>
      <c r="M68" s="4">
        <f>(VLOOKUP('19.02'!U68,'19.02'!$AO$4:$AQ$55,3,FALSE))</f>
        <v>0</v>
      </c>
      <c r="N68" s="4">
        <f>(VLOOKUP('19.02'!V68,'19.02'!$AO$4:$AQ$55,3,FALSE))</f>
        <v>0</v>
      </c>
      <c r="O68" s="5">
        <f>(VLOOKUP('19.02'!W68,'19.02'!$AO$4:$AQ$55,3,FALSE))</f>
        <v>0</v>
      </c>
      <c r="P68" s="5">
        <f>(VLOOKUP('19.02'!X68,'19.02'!$AO$4:$AQ$55,3,FALSE))</f>
        <v>0</v>
      </c>
      <c r="Q68" s="4">
        <f>(VLOOKUP('19.02'!Y68,'19.02'!$AO$4:$AQ$55,3,FALSE))</f>
        <v>0</v>
      </c>
      <c r="R68" s="4">
        <f>(VLOOKUP('19.02'!Z68,'19.02'!$AO$4:$AQ$55,3,FALSE))</f>
        <v>0</v>
      </c>
      <c r="S68" s="4">
        <f>(VLOOKUP('19.02'!AA68,'19.02'!$AO$4:$AQ$55,3,FALSE))</f>
        <v>0</v>
      </c>
      <c r="T68" s="4">
        <f>(VLOOKUP('19.02'!AB68,'19.02'!$AO$4:$AQ$55,3,FALSE))</f>
        <v>0</v>
      </c>
      <c r="U68" s="4">
        <f>(VLOOKUP('19.02'!AC68,'19.02'!$AO$4:$AQ$55,3,FALSE))</f>
        <v>0</v>
      </c>
      <c r="V68" s="4">
        <f>(VLOOKUP('19.02'!AD68,'19.02'!$AO$4:$AQ$55,3,FALSE))</f>
        <v>0</v>
      </c>
      <c r="W68" s="5">
        <f>(VLOOKUP('19.02'!AE68,'19.02'!$AO$4:$AQ$55,3,FALSE))</f>
        <v>0</v>
      </c>
      <c r="X68" s="5">
        <f>(VLOOKUP('19.02'!AF68,'19.02'!$AO$4:$AQ$55,3,FALSE))</f>
        <v>0</v>
      </c>
    </row>
    <row r="69" spans="1:24">
      <c r="A69" s="4">
        <f>(VLOOKUP('19.02'!I69,'19.02'!$AO$4:$AQ$55,3,FALSE))</f>
        <v>0</v>
      </c>
      <c r="B69" s="4">
        <f>(VLOOKUP('19.02'!J69,'19.02'!$AO$4:$AQ$55,3,FALSE))</f>
        <v>0</v>
      </c>
      <c r="C69" s="4">
        <f>(VLOOKUP('19.02'!K69,'19.02'!$AO$4:$AQ$55,3,FALSE))</f>
        <v>0</v>
      </c>
      <c r="D69" s="4">
        <f>(VLOOKUP('19.02'!L69,'19.02'!$AO$4:$AQ$55,3,FALSE))</f>
        <v>0</v>
      </c>
      <c r="E69" s="4">
        <f>(VLOOKUP('19.02'!M69,'19.02'!$AO$4:$AQ$55,3,FALSE))</f>
        <v>0</v>
      </c>
      <c r="F69" s="4">
        <f>(VLOOKUP('19.02'!N69,'19.02'!$AO$4:$AQ$55,3,FALSE))</f>
        <v>0</v>
      </c>
      <c r="G69" s="5">
        <f>(VLOOKUP('19.02'!O69,'19.02'!$AO$4:$AQ$55,3,FALSE))</f>
        <v>0</v>
      </c>
      <c r="H69" s="5">
        <f>(VLOOKUP('19.02'!P69,'19.02'!$AO$4:$AQ$55,3,FALSE))</f>
        <v>0</v>
      </c>
      <c r="I69" s="4">
        <f>(VLOOKUP('19.02'!Q69,'19.02'!$AO$4:$AQ$55,3,FALSE))</f>
        <v>0</v>
      </c>
      <c r="J69" s="4">
        <f>(VLOOKUP('19.02'!R69,'19.02'!$AO$4:$AQ$55,3,FALSE))</f>
        <v>0</v>
      </c>
      <c r="K69" s="4">
        <f>(VLOOKUP('19.02'!S69,'19.02'!$AO$4:$AQ$55,3,FALSE))</f>
        <v>0</v>
      </c>
      <c r="L69" s="4">
        <f>(VLOOKUP('19.02'!T69,'19.02'!$AO$4:$AQ$55,3,FALSE))</f>
        <v>0</v>
      </c>
      <c r="M69" s="4">
        <f>(VLOOKUP('19.02'!U69,'19.02'!$AO$4:$AQ$55,3,FALSE))</f>
        <v>0</v>
      </c>
      <c r="N69" s="4">
        <f>(VLOOKUP('19.02'!V69,'19.02'!$AO$4:$AQ$55,3,FALSE))</f>
        <v>0</v>
      </c>
      <c r="O69" s="5">
        <f>(VLOOKUP('19.02'!W69,'19.02'!$AO$4:$AQ$55,3,FALSE))</f>
        <v>0</v>
      </c>
      <c r="P69" s="5">
        <f>(VLOOKUP('19.02'!X69,'19.02'!$AO$4:$AQ$55,3,FALSE))</f>
        <v>0</v>
      </c>
      <c r="Q69" s="4">
        <f>(VLOOKUP('19.02'!Y69,'19.02'!$AO$4:$AQ$55,3,FALSE))</f>
        <v>0</v>
      </c>
      <c r="R69" s="4">
        <f>(VLOOKUP('19.02'!Z69,'19.02'!$AO$4:$AQ$55,3,FALSE))</f>
        <v>0</v>
      </c>
      <c r="S69" s="4">
        <f>(VLOOKUP('19.02'!AA69,'19.02'!$AO$4:$AQ$55,3,FALSE))</f>
        <v>0</v>
      </c>
      <c r="T69" s="4">
        <f>(VLOOKUP('19.02'!AB69,'19.02'!$AO$4:$AQ$55,3,FALSE))</f>
        <v>0</v>
      </c>
      <c r="U69" s="4">
        <f>(VLOOKUP('19.02'!AC69,'19.02'!$AO$4:$AQ$55,3,FALSE))</f>
        <v>0</v>
      </c>
      <c r="V69" s="4">
        <f>(VLOOKUP('19.02'!AD69,'19.02'!$AO$4:$AQ$55,3,FALSE))</f>
        <v>0</v>
      </c>
      <c r="W69" s="5">
        <f>(VLOOKUP('19.02'!AE69,'19.02'!$AO$4:$AQ$55,3,FALSE))</f>
        <v>0</v>
      </c>
      <c r="X69" s="5">
        <f>(VLOOKUP('19.02'!AF69,'19.02'!$AO$4:$AQ$55,3,FALSE))</f>
        <v>0</v>
      </c>
    </row>
    <row r="70" spans="1:24">
      <c r="A70" s="4">
        <f>(VLOOKUP('19.02'!I70,'19.02'!$AO$4:$AQ$55,3,FALSE))</f>
        <v>0</v>
      </c>
      <c r="B70" s="4">
        <f>(VLOOKUP('19.02'!J70,'19.02'!$AO$4:$AQ$55,3,FALSE))</f>
        <v>0</v>
      </c>
      <c r="C70" s="4">
        <f>(VLOOKUP('19.02'!K70,'19.02'!$AO$4:$AQ$55,3,FALSE))</f>
        <v>0</v>
      </c>
      <c r="D70" s="4">
        <f>(VLOOKUP('19.02'!L70,'19.02'!$AO$4:$AQ$55,3,FALSE))</f>
        <v>0</v>
      </c>
      <c r="E70" s="4">
        <f>(VLOOKUP('19.02'!M70,'19.02'!$AO$4:$AQ$55,3,FALSE))</f>
        <v>0</v>
      </c>
      <c r="F70" s="4">
        <f>(VLOOKUP('19.02'!N70,'19.02'!$AO$4:$AQ$55,3,FALSE))</f>
        <v>0</v>
      </c>
      <c r="G70" s="5">
        <f>(VLOOKUP('19.02'!O70,'19.02'!$AO$4:$AQ$55,3,FALSE))</f>
        <v>0</v>
      </c>
      <c r="H70" s="5">
        <f>(VLOOKUP('19.02'!P70,'19.02'!$AO$4:$AQ$55,3,FALSE))</f>
        <v>0</v>
      </c>
      <c r="I70" s="4">
        <f>(VLOOKUP('19.02'!Q70,'19.02'!$AO$4:$AQ$55,3,FALSE))</f>
        <v>0</v>
      </c>
      <c r="J70" s="4">
        <f>(VLOOKUP('19.02'!R70,'19.02'!$AO$4:$AQ$55,3,FALSE))</f>
        <v>0</v>
      </c>
      <c r="K70" s="4">
        <f>(VLOOKUP('19.02'!S70,'19.02'!$AO$4:$AQ$55,3,FALSE))</f>
        <v>0</v>
      </c>
      <c r="L70" s="4">
        <f>(VLOOKUP('19.02'!T70,'19.02'!$AO$4:$AQ$55,3,FALSE))</f>
        <v>0</v>
      </c>
      <c r="M70" s="4">
        <f>(VLOOKUP('19.02'!U70,'19.02'!$AO$4:$AQ$55,3,FALSE))</f>
        <v>0</v>
      </c>
      <c r="N70" s="4">
        <f>(VLOOKUP('19.02'!V70,'19.02'!$AO$4:$AQ$55,3,FALSE))</f>
        <v>0</v>
      </c>
      <c r="O70" s="5">
        <f>(VLOOKUP('19.02'!W70,'19.02'!$AO$4:$AQ$55,3,FALSE))</f>
        <v>0</v>
      </c>
      <c r="P70" s="5">
        <f>(VLOOKUP('19.02'!X70,'19.02'!$AO$4:$AQ$55,3,FALSE))</f>
        <v>0</v>
      </c>
      <c r="Q70" s="4">
        <f>(VLOOKUP('19.02'!Y70,'19.02'!$AO$4:$AQ$55,3,FALSE))</f>
        <v>0</v>
      </c>
      <c r="R70" s="4">
        <f>(VLOOKUP('19.02'!Z70,'19.02'!$AO$4:$AQ$55,3,FALSE))</f>
        <v>0</v>
      </c>
      <c r="S70" s="4">
        <f>(VLOOKUP('19.02'!AA70,'19.02'!$AO$4:$AQ$55,3,FALSE))</f>
        <v>0</v>
      </c>
      <c r="T70" s="4">
        <f>(VLOOKUP('19.02'!AB70,'19.02'!$AO$4:$AQ$55,3,FALSE))</f>
        <v>0</v>
      </c>
      <c r="U70" s="4">
        <f>(VLOOKUP('19.02'!AC70,'19.02'!$AO$4:$AQ$55,3,FALSE))</f>
        <v>0</v>
      </c>
      <c r="V70" s="4">
        <f>(VLOOKUP('19.02'!AD70,'19.02'!$AO$4:$AQ$55,3,FALSE))</f>
        <v>0</v>
      </c>
      <c r="W70" s="5">
        <f>(VLOOKUP('19.02'!AE70,'19.02'!$AO$4:$AQ$55,3,FALSE))</f>
        <v>0</v>
      </c>
      <c r="X70" s="5">
        <f>(VLOOKUP('19.02'!AF70,'19.02'!$AO$4:$AQ$55,3,FALSE))</f>
        <v>0</v>
      </c>
    </row>
    <row r="71" spans="1:24">
      <c r="A71" s="4">
        <f>(VLOOKUP('19.02'!I71,'19.02'!$AO$4:$AQ$55,3,FALSE))</f>
        <v>0</v>
      </c>
      <c r="B71" s="4">
        <f>(VLOOKUP('19.02'!J71,'19.02'!$AO$4:$AQ$55,3,FALSE))</f>
        <v>0</v>
      </c>
      <c r="C71" s="4">
        <f>(VLOOKUP('19.02'!K71,'19.02'!$AO$4:$AQ$55,3,FALSE))</f>
        <v>0</v>
      </c>
      <c r="D71" s="4">
        <f>(VLOOKUP('19.02'!L71,'19.02'!$AO$4:$AQ$55,3,FALSE))</f>
        <v>0</v>
      </c>
      <c r="E71" s="4">
        <f>(VLOOKUP('19.02'!M71,'19.02'!$AO$4:$AQ$55,3,FALSE))</f>
        <v>0</v>
      </c>
      <c r="F71" s="4">
        <f>(VLOOKUP('19.02'!N71,'19.02'!$AO$4:$AQ$55,3,FALSE))</f>
        <v>0</v>
      </c>
      <c r="G71" s="5">
        <f>(VLOOKUP('19.02'!O71,'19.02'!$AO$4:$AQ$55,3,FALSE))</f>
        <v>0</v>
      </c>
      <c r="H71" s="5">
        <f>(VLOOKUP('19.02'!P71,'19.02'!$AO$4:$AQ$55,3,FALSE))</f>
        <v>0</v>
      </c>
      <c r="I71" s="4">
        <f>(VLOOKUP('19.02'!Q71,'19.02'!$AO$4:$AQ$55,3,FALSE))</f>
        <v>0</v>
      </c>
      <c r="J71" s="4">
        <f>(VLOOKUP('19.02'!R71,'19.02'!$AO$4:$AQ$55,3,FALSE))</f>
        <v>0</v>
      </c>
      <c r="K71" s="4">
        <f>(VLOOKUP('19.02'!S71,'19.02'!$AO$4:$AQ$55,3,FALSE))</f>
        <v>0</v>
      </c>
      <c r="L71" s="4">
        <f>(VLOOKUP('19.02'!T71,'19.02'!$AO$4:$AQ$55,3,FALSE))</f>
        <v>0</v>
      </c>
      <c r="M71" s="4">
        <f>(VLOOKUP('19.02'!U71,'19.02'!$AO$4:$AQ$55,3,FALSE))</f>
        <v>0</v>
      </c>
      <c r="N71" s="4">
        <f>(VLOOKUP('19.02'!V71,'19.02'!$AO$4:$AQ$55,3,FALSE))</f>
        <v>0</v>
      </c>
      <c r="O71" s="5">
        <f>(VLOOKUP('19.02'!W71,'19.02'!$AO$4:$AQ$55,3,FALSE))</f>
        <v>0</v>
      </c>
      <c r="P71" s="5">
        <f>(VLOOKUP('19.02'!X71,'19.02'!$AO$4:$AQ$55,3,FALSE))</f>
        <v>0</v>
      </c>
      <c r="Q71" s="4">
        <f>(VLOOKUP('19.02'!Y71,'19.02'!$AO$4:$AQ$55,3,FALSE))</f>
        <v>0</v>
      </c>
      <c r="R71" s="4">
        <f>(VLOOKUP('19.02'!Z71,'19.02'!$AO$4:$AQ$55,3,FALSE))</f>
        <v>0</v>
      </c>
      <c r="S71" s="4">
        <f>(VLOOKUP('19.02'!AA71,'19.02'!$AO$4:$AQ$55,3,FALSE))</f>
        <v>0</v>
      </c>
      <c r="T71" s="4">
        <f>(VLOOKUP('19.02'!AB71,'19.02'!$AO$4:$AQ$55,3,FALSE))</f>
        <v>0</v>
      </c>
      <c r="U71" s="4">
        <f>(VLOOKUP('19.02'!AC71,'19.02'!$AO$4:$AQ$55,3,FALSE))</f>
        <v>0</v>
      </c>
      <c r="V71" s="4">
        <f>(VLOOKUP('19.02'!AD71,'19.02'!$AO$4:$AQ$55,3,FALSE))</f>
        <v>0</v>
      </c>
      <c r="W71" s="5">
        <f>(VLOOKUP('19.02'!AE71,'19.02'!$AO$4:$AQ$55,3,FALSE))</f>
        <v>0</v>
      </c>
      <c r="X71" s="5">
        <f>(VLOOKUP('19.02'!AF71,'19.02'!$AO$4:$AQ$55,3,FALSE))</f>
        <v>0</v>
      </c>
    </row>
    <row r="72" spans="1:24">
      <c r="A72" s="4">
        <f>(VLOOKUP('19.02'!I72,'19.02'!$AO$4:$AQ$55,3,FALSE))</f>
        <v>0</v>
      </c>
      <c r="B72" s="4">
        <f>(VLOOKUP('19.02'!J72,'19.02'!$AO$4:$AQ$55,3,FALSE))</f>
        <v>0</v>
      </c>
      <c r="C72" s="4">
        <f>(VLOOKUP('19.02'!K72,'19.02'!$AO$4:$AQ$55,3,FALSE))</f>
        <v>0</v>
      </c>
      <c r="D72" s="4">
        <f>(VLOOKUP('19.02'!L72,'19.02'!$AO$4:$AQ$55,3,FALSE))</f>
        <v>0</v>
      </c>
      <c r="E72" s="4">
        <f>(VLOOKUP('19.02'!M72,'19.02'!$AO$4:$AQ$55,3,FALSE))</f>
        <v>0</v>
      </c>
      <c r="F72" s="4">
        <f>(VLOOKUP('19.02'!N72,'19.02'!$AO$4:$AQ$55,3,FALSE))</f>
        <v>0</v>
      </c>
      <c r="G72" s="5">
        <f>(VLOOKUP('19.02'!O72,'19.02'!$AO$4:$AQ$55,3,FALSE))</f>
        <v>0</v>
      </c>
      <c r="H72" s="5">
        <f>(VLOOKUP('19.02'!P72,'19.02'!$AO$4:$AQ$55,3,FALSE))</f>
        <v>0</v>
      </c>
      <c r="I72" s="4">
        <f>(VLOOKUP('19.02'!Q72,'19.02'!$AO$4:$AQ$55,3,FALSE))</f>
        <v>0</v>
      </c>
      <c r="J72" s="4">
        <f>(VLOOKUP('19.02'!R72,'19.02'!$AO$4:$AQ$55,3,FALSE))</f>
        <v>0</v>
      </c>
      <c r="K72" s="4">
        <f>(VLOOKUP('19.02'!S72,'19.02'!$AO$4:$AQ$55,3,FALSE))</f>
        <v>0</v>
      </c>
      <c r="L72" s="4">
        <f>(VLOOKUP('19.02'!T72,'19.02'!$AO$4:$AQ$55,3,FALSE))</f>
        <v>0</v>
      </c>
      <c r="M72" s="4">
        <f>(VLOOKUP('19.02'!U72,'19.02'!$AO$4:$AQ$55,3,FALSE))</f>
        <v>0</v>
      </c>
      <c r="N72" s="4">
        <f>(VLOOKUP('19.02'!V72,'19.02'!$AO$4:$AQ$55,3,FALSE))</f>
        <v>0</v>
      </c>
      <c r="O72" s="5">
        <f>(VLOOKUP('19.02'!W72,'19.02'!$AO$4:$AQ$55,3,FALSE))</f>
        <v>0</v>
      </c>
      <c r="P72" s="5">
        <f>(VLOOKUP('19.02'!X72,'19.02'!$AO$4:$AQ$55,3,FALSE))</f>
        <v>0</v>
      </c>
      <c r="Q72" s="4">
        <f>(VLOOKUP('19.02'!Y72,'19.02'!$AO$4:$AQ$55,3,FALSE))</f>
        <v>0</v>
      </c>
      <c r="R72" s="4">
        <f>(VLOOKUP('19.02'!Z72,'19.02'!$AO$4:$AQ$55,3,FALSE))</f>
        <v>0</v>
      </c>
      <c r="S72" s="4">
        <f>(VLOOKUP('19.02'!AA72,'19.02'!$AO$4:$AQ$55,3,FALSE))</f>
        <v>0</v>
      </c>
      <c r="T72" s="4">
        <f>(VLOOKUP('19.02'!AB72,'19.02'!$AO$4:$AQ$55,3,FALSE))</f>
        <v>0</v>
      </c>
      <c r="U72" s="4">
        <f>(VLOOKUP('19.02'!AC72,'19.02'!$AO$4:$AQ$55,3,FALSE))</f>
        <v>0</v>
      </c>
      <c r="V72" s="4">
        <f>(VLOOKUP('19.02'!AD72,'19.02'!$AO$4:$AQ$55,3,FALSE))</f>
        <v>0</v>
      </c>
      <c r="W72" s="5">
        <f>(VLOOKUP('19.02'!AE72,'19.02'!$AO$4:$AQ$55,3,FALSE))</f>
        <v>0</v>
      </c>
      <c r="X72" s="5">
        <f>(VLOOKUP('19.02'!AF72,'19.02'!$AO$4:$AQ$55,3,FALSE))</f>
        <v>0</v>
      </c>
    </row>
    <row r="73" spans="1:24">
      <c r="A73" s="4">
        <f>(VLOOKUP('19.02'!I73,'19.02'!$AO$4:$AQ$55,3,FALSE))</f>
        <v>0</v>
      </c>
      <c r="B73" s="4">
        <f>(VLOOKUP('19.02'!J73,'19.02'!$AO$4:$AQ$55,3,FALSE))</f>
        <v>0</v>
      </c>
      <c r="C73" s="4">
        <f>(VLOOKUP('19.02'!K73,'19.02'!$AO$4:$AQ$55,3,FALSE))</f>
        <v>0</v>
      </c>
      <c r="D73" s="4">
        <f>(VLOOKUP('19.02'!L73,'19.02'!$AO$4:$AQ$55,3,FALSE))</f>
        <v>0</v>
      </c>
      <c r="E73" s="4">
        <f>(VLOOKUP('19.02'!M73,'19.02'!$AO$4:$AQ$55,3,FALSE))</f>
        <v>0</v>
      </c>
      <c r="F73" s="4">
        <f>(VLOOKUP('19.02'!N73,'19.02'!$AO$4:$AQ$55,3,FALSE))</f>
        <v>0</v>
      </c>
      <c r="G73" s="5">
        <f>(VLOOKUP('19.02'!O73,'19.02'!$AO$4:$AQ$55,3,FALSE))</f>
        <v>0</v>
      </c>
      <c r="H73" s="5">
        <f>(VLOOKUP('19.02'!P73,'19.02'!$AO$4:$AQ$55,3,FALSE))</f>
        <v>0</v>
      </c>
      <c r="I73" s="4">
        <f>(VLOOKUP('19.02'!Q73,'19.02'!$AO$4:$AQ$55,3,FALSE))</f>
        <v>0</v>
      </c>
      <c r="J73" s="4">
        <f>(VLOOKUP('19.02'!R73,'19.02'!$AO$4:$AQ$55,3,FALSE))</f>
        <v>0</v>
      </c>
      <c r="K73" s="4">
        <f>(VLOOKUP('19.02'!S73,'19.02'!$AO$4:$AQ$55,3,FALSE))</f>
        <v>0</v>
      </c>
      <c r="L73" s="4">
        <f>(VLOOKUP('19.02'!T73,'19.02'!$AO$4:$AQ$55,3,FALSE))</f>
        <v>0</v>
      </c>
      <c r="M73" s="4">
        <f>(VLOOKUP('19.02'!U73,'19.02'!$AO$4:$AQ$55,3,FALSE))</f>
        <v>0</v>
      </c>
      <c r="N73" s="4">
        <f>(VLOOKUP('19.02'!V73,'19.02'!$AO$4:$AQ$55,3,FALSE))</f>
        <v>0</v>
      </c>
      <c r="O73" s="5">
        <f>(VLOOKUP('19.02'!W73,'19.02'!$AO$4:$AQ$55,3,FALSE))</f>
        <v>0</v>
      </c>
      <c r="P73" s="5">
        <f>(VLOOKUP('19.02'!X73,'19.02'!$AO$4:$AQ$55,3,FALSE))</f>
        <v>0</v>
      </c>
      <c r="Q73" s="4">
        <f>(VLOOKUP('19.02'!Y73,'19.02'!$AO$4:$AQ$55,3,FALSE))</f>
        <v>0</v>
      </c>
      <c r="R73" s="4">
        <f>(VLOOKUP('19.02'!Z73,'19.02'!$AO$4:$AQ$55,3,FALSE))</f>
        <v>0</v>
      </c>
      <c r="S73" s="4">
        <f>(VLOOKUP('19.02'!AA73,'19.02'!$AO$4:$AQ$55,3,FALSE))</f>
        <v>0</v>
      </c>
      <c r="T73" s="4">
        <f>(VLOOKUP('19.02'!AB73,'19.02'!$AO$4:$AQ$55,3,FALSE))</f>
        <v>0</v>
      </c>
      <c r="U73" s="4">
        <f>(VLOOKUP('19.02'!AC73,'19.02'!$AO$4:$AQ$55,3,FALSE))</f>
        <v>0</v>
      </c>
      <c r="V73" s="4">
        <f>(VLOOKUP('19.02'!AD73,'19.02'!$AO$4:$AQ$55,3,FALSE))</f>
        <v>0</v>
      </c>
      <c r="W73" s="5">
        <f>(VLOOKUP('19.02'!AE73,'19.02'!$AO$4:$AQ$55,3,FALSE))</f>
        <v>0</v>
      </c>
      <c r="X73" s="5">
        <f>(VLOOKUP('19.02'!AF73,'19.02'!$AO$4:$AQ$55,3,FALSE))</f>
        <v>0</v>
      </c>
    </row>
    <row r="74" spans="1:24">
      <c r="A74" s="4">
        <f>(VLOOKUP('19.02'!I74,'19.02'!$AO$4:$AQ$55,3,FALSE))</f>
        <v>0</v>
      </c>
      <c r="B74" s="4">
        <f>(VLOOKUP('19.02'!J74,'19.02'!$AO$4:$AQ$55,3,FALSE))</f>
        <v>0</v>
      </c>
      <c r="C74" s="4">
        <f>(VLOOKUP('19.02'!K74,'19.02'!$AO$4:$AQ$55,3,FALSE))</f>
        <v>0</v>
      </c>
      <c r="D74" s="4">
        <f>(VLOOKUP('19.02'!L74,'19.02'!$AO$4:$AQ$55,3,FALSE))</f>
        <v>0</v>
      </c>
      <c r="E74" s="4">
        <f>(VLOOKUP('19.02'!M74,'19.02'!$AO$4:$AQ$55,3,FALSE))</f>
        <v>0</v>
      </c>
      <c r="F74" s="4">
        <f>(VLOOKUP('19.02'!N74,'19.02'!$AO$4:$AQ$55,3,FALSE))</f>
        <v>0</v>
      </c>
      <c r="G74" s="5">
        <f>(VLOOKUP('19.02'!O74,'19.02'!$AO$4:$AQ$55,3,FALSE))</f>
        <v>0</v>
      </c>
      <c r="H74" s="5">
        <f>(VLOOKUP('19.02'!P74,'19.02'!$AO$4:$AQ$55,3,FALSE))</f>
        <v>0</v>
      </c>
      <c r="I74" s="4">
        <f>(VLOOKUP('19.02'!Q74,'19.02'!$AO$4:$AQ$55,3,FALSE))</f>
        <v>0</v>
      </c>
      <c r="J74" s="4">
        <f>(VLOOKUP('19.02'!R74,'19.02'!$AO$4:$AQ$55,3,FALSE))</f>
        <v>0</v>
      </c>
      <c r="K74" s="4">
        <f>(VLOOKUP('19.02'!S74,'19.02'!$AO$4:$AQ$55,3,FALSE))</f>
        <v>0</v>
      </c>
      <c r="L74" s="4">
        <f>(VLOOKUP('19.02'!T74,'19.02'!$AO$4:$AQ$55,3,FALSE))</f>
        <v>0</v>
      </c>
      <c r="M74" s="4">
        <f>(VLOOKUP('19.02'!U74,'19.02'!$AO$4:$AQ$55,3,FALSE))</f>
        <v>0</v>
      </c>
      <c r="N74" s="4">
        <f>(VLOOKUP('19.02'!V74,'19.02'!$AO$4:$AQ$55,3,FALSE))</f>
        <v>0</v>
      </c>
      <c r="O74" s="5">
        <f>(VLOOKUP('19.02'!W74,'19.02'!$AO$4:$AQ$55,3,FALSE))</f>
        <v>0</v>
      </c>
      <c r="P74" s="5">
        <f>(VLOOKUP('19.02'!X74,'19.02'!$AO$4:$AQ$55,3,FALSE))</f>
        <v>0</v>
      </c>
      <c r="Q74" s="4">
        <f>(VLOOKUP('19.02'!Y74,'19.02'!$AO$4:$AQ$55,3,FALSE))</f>
        <v>0</v>
      </c>
      <c r="R74" s="4">
        <f>(VLOOKUP('19.02'!Z74,'19.02'!$AO$4:$AQ$55,3,FALSE))</f>
        <v>0</v>
      </c>
      <c r="S74" s="4">
        <f>(VLOOKUP('19.02'!AA74,'19.02'!$AO$4:$AQ$55,3,FALSE))</f>
        <v>0</v>
      </c>
      <c r="T74" s="4">
        <f>(VLOOKUP('19.02'!AB74,'19.02'!$AO$4:$AQ$55,3,FALSE))</f>
        <v>0</v>
      </c>
      <c r="U74" s="4">
        <f>(VLOOKUP('19.02'!AC74,'19.02'!$AO$4:$AQ$55,3,FALSE))</f>
        <v>0</v>
      </c>
      <c r="V74" s="4">
        <f>(VLOOKUP('19.02'!AD74,'19.02'!$AO$4:$AQ$55,3,FALSE))</f>
        <v>0</v>
      </c>
      <c r="W74" s="5">
        <f>(VLOOKUP('19.02'!AE74,'19.02'!$AO$4:$AQ$55,3,FALSE))</f>
        <v>0</v>
      </c>
      <c r="X74" s="5">
        <f>(VLOOKUP('19.02'!AF74,'19.02'!$AO$4:$AQ$55,3,FALSE))</f>
        <v>0</v>
      </c>
    </row>
    <row r="75" spans="1:24">
      <c r="A75" s="4">
        <f>(VLOOKUP('19.02'!I75,'19.02'!$AO$4:$AQ$55,3,FALSE))</f>
        <v>0</v>
      </c>
      <c r="B75" s="4">
        <f>(VLOOKUP('19.02'!J75,'19.02'!$AO$4:$AQ$55,3,FALSE))</f>
        <v>0</v>
      </c>
      <c r="C75" s="4">
        <f>(VLOOKUP('19.02'!K75,'19.02'!$AO$4:$AQ$55,3,FALSE))</f>
        <v>0</v>
      </c>
      <c r="D75" s="4">
        <f>(VLOOKUP('19.02'!L75,'19.02'!$AO$4:$AQ$55,3,FALSE))</f>
        <v>0</v>
      </c>
      <c r="E75" s="4">
        <f>(VLOOKUP('19.02'!M75,'19.02'!$AO$4:$AQ$55,3,FALSE))</f>
        <v>0</v>
      </c>
      <c r="F75" s="4">
        <f>(VLOOKUP('19.02'!N75,'19.02'!$AO$4:$AQ$55,3,FALSE))</f>
        <v>0</v>
      </c>
      <c r="G75" s="5">
        <f>(VLOOKUP('19.02'!O75,'19.02'!$AO$4:$AQ$55,3,FALSE))</f>
        <v>0</v>
      </c>
      <c r="H75" s="5">
        <f>(VLOOKUP('19.02'!P75,'19.02'!$AO$4:$AQ$55,3,FALSE))</f>
        <v>0</v>
      </c>
      <c r="I75" s="4">
        <f>(VLOOKUP('19.02'!Q75,'19.02'!$AO$4:$AQ$55,3,FALSE))</f>
        <v>0</v>
      </c>
      <c r="J75" s="4">
        <f>(VLOOKUP('19.02'!R75,'19.02'!$AO$4:$AQ$55,3,FALSE))</f>
        <v>0</v>
      </c>
      <c r="K75" s="4">
        <f>(VLOOKUP('19.02'!S75,'19.02'!$AO$4:$AQ$55,3,FALSE))</f>
        <v>0</v>
      </c>
      <c r="L75" s="4">
        <f>(VLOOKUP('19.02'!T75,'19.02'!$AO$4:$AQ$55,3,FALSE))</f>
        <v>0</v>
      </c>
      <c r="M75" s="4">
        <f>(VLOOKUP('19.02'!U75,'19.02'!$AO$4:$AQ$55,3,FALSE))</f>
        <v>0</v>
      </c>
      <c r="N75" s="4">
        <f>(VLOOKUP('19.02'!V75,'19.02'!$AO$4:$AQ$55,3,FALSE))</f>
        <v>0</v>
      </c>
      <c r="O75" s="5">
        <f>(VLOOKUP('19.02'!W75,'19.02'!$AO$4:$AQ$55,3,FALSE))</f>
        <v>0</v>
      </c>
      <c r="P75" s="5">
        <f>(VLOOKUP('19.02'!X75,'19.02'!$AO$4:$AQ$55,3,FALSE))</f>
        <v>0</v>
      </c>
      <c r="Q75" s="4">
        <f>(VLOOKUP('19.02'!Y75,'19.02'!$AO$4:$AQ$55,3,FALSE))</f>
        <v>0</v>
      </c>
      <c r="R75" s="4">
        <f>(VLOOKUP('19.02'!Z75,'19.02'!$AO$4:$AQ$55,3,FALSE))</f>
        <v>0</v>
      </c>
      <c r="S75" s="4">
        <f>(VLOOKUP('19.02'!AA75,'19.02'!$AO$4:$AQ$55,3,FALSE))</f>
        <v>0</v>
      </c>
      <c r="T75" s="4">
        <f>(VLOOKUP('19.02'!AB75,'19.02'!$AO$4:$AQ$55,3,FALSE))</f>
        <v>0</v>
      </c>
      <c r="U75" s="4">
        <f>(VLOOKUP('19.02'!AC75,'19.02'!$AO$4:$AQ$55,3,FALSE))</f>
        <v>0</v>
      </c>
      <c r="V75" s="4">
        <f>(VLOOKUP('19.02'!AD75,'19.02'!$AO$4:$AQ$55,3,FALSE))</f>
        <v>0</v>
      </c>
      <c r="W75" s="5">
        <f>(VLOOKUP('19.02'!AE75,'19.02'!$AO$4:$AQ$55,3,FALSE))</f>
        <v>0</v>
      </c>
      <c r="X75" s="5">
        <f>(VLOOKUP('19.02'!AF75,'19.02'!$AO$4:$AQ$55,3,FALSE))</f>
        <v>0</v>
      </c>
    </row>
    <row r="76" spans="1:24">
      <c r="A76" s="4">
        <f>(VLOOKUP('19.02'!I76,'19.02'!$AO$4:$AQ$55,3,FALSE))</f>
        <v>0</v>
      </c>
      <c r="B76" s="4">
        <f>(VLOOKUP('19.02'!J76,'19.02'!$AO$4:$AQ$55,3,FALSE))</f>
        <v>0</v>
      </c>
      <c r="C76" s="4">
        <f>(VLOOKUP('19.02'!K76,'19.02'!$AO$4:$AQ$55,3,FALSE))</f>
        <v>0</v>
      </c>
      <c r="D76" s="4">
        <f>(VLOOKUP('19.02'!L76,'19.02'!$AO$4:$AQ$55,3,FALSE))</f>
        <v>0</v>
      </c>
      <c r="E76" s="4">
        <f>(VLOOKUP('19.02'!M76,'19.02'!$AO$4:$AQ$55,3,FALSE))</f>
        <v>0</v>
      </c>
      <c r="F76" s="4">
        <f>(VLOOKUP('19.02'!N76,'19.02'!$AO$4:$AQ$55,3,FALSE))</f>
        <v>0</v>
      </c>
      <c r="G76" s="5">
        <f>(VLOOKUP('19.02'!O76,'19.02'!$AO$4:$AQ$55,3,FALSE))</f>
        <v>0</v>
      </c>
      <c r="H76" s="5">
        <f>(VLOOKUP('19.02'!P76,'19.02'!$AO$4:$AQ$55,3,FALSE))</f>
        <v>0</v>
      </c>
      <c r="I76" s="4">
        <f>(VLOOKUP('19.02'!Q76,'19.02'!$AO$4:$AQ$55,3,FALSE))</f>
        <v>0</v>
      </c>
      <c r="J76" s="4">
        <f>(VLOOKUP('19.02'!R76,'19.02'!$AO$4:$AQ$55,3,FALSE))</f>
        <v>0</v>
      </c>
      <c r="K76" s="4">
        <f>(VLOOKUP('19.02'!S76,'19.02'!$AO$4:$AQ$55,3,FALSE))</f>
        <v>0</v>
      </c>
      <c r="L76" s="4">
        <f>(VLOOKUP('19.02'!T76,'19.02'!$AO$4:$AQ$55,3,FALSE))</f>
        <v>0</v>
      </c>
      <c r="M76" s="4">
        <f>(VLOOKUP('19.02'!U76,'19.02'!$AO$4:$AQ$55,3,FALSE))</f>
        <v>0</v>
      </c>
      <c r="N76" s="4">
        <f>(VLOOKUP('19.02'!V76,'19.02'!$AO$4:$AQ$55,3,FALSE))</f>
        <v>0</v>
      </c>
      <c r="O76" s="5">
        <f>(VLOOKUP('19.02'!W76,'19.02'!$AO$4:$AQ$55,3,FALSE))</f>
        <v>0</v>
      </c>
      <c r="P76" s="5">
        <f>(VLOOKUP('19.02'!X76,'19.02'!$AO$4:$AQ$55,3,FALSE))</f>
        <v>0</v>
      </c>
      <c r="Q76" s="4">
        <f>(VLOOKUP('19.02'!Y76,'19.02'!$AO$4:$AQ$55,3,FALSE))</f>
        <v>0</v>
      </c>
      <c r="R76" s="4">
        <f>(VLOOKUP('19.02'!Z76,'19.02'!$AO$4:$AQ$55,3,FALSE))</f>
        <v>0</v>
      </c>
      <c r="S76" s="4">
        <f>(VLOOKUP('19.02'!AA76,'19.02'!$AO$4:$AQ$55,3,FALSE))</f>
        <v>0</v>
      </c>
      <c r="T76" s="4">
        <f>(VLOOKUP('19.02'!AB76,'19.02'!$AO$4:$AQ$55,3,FALSE))</f>
        <v>0</v>
      </c>
      <c r="U76" s="4">
        <f>(VLOOKUP('19.02'!AC76,'19.02'!$AO$4:$AQ$55,3,FALSE))</f>
        <v>0</v>
      </c>
      <c r="V76" s="4">
        <f>(VLOOKUP('19.02'!AD76,'19.02'!$AO$4:$AQ$55,3,FALSE))</f>
        <v>0</v>
      </c>
      <c r="W76" s="5">
        <f>(VLOOKUP('19.02'!AE76,'19.02'!$AO$4:$AQ$55,3,FALSE))</f>
        <v>0</v>
      </c>
      <c r="X76" s="5">
        <f>(VLOOKUP('19.02'!AF76,'19.02'!$AO$4:$AQ$55,3,FALSE))</f>
        <v>0</v>
      </c>
    </row>
    <row r="77" spans="1:24">
      <c r="A77" s="4">
        <f>(VLOOKUP('19.02'!I77,'19.02'!$AO$4:$AQ$55,3,FALSE))</f>
        <v>0</v>
      </c>
      <c r="B77" s="4">
        <f>(VLOOKUP('19.02'!J77,'19.02'!$AO$4:$AQ$55,3,FALSE))</f>
        <v>0</v>
      </c>
      <c r="C77" s="4">
        <f>(VLOOKUP('19.02'!K77,'19.02'!$AO$4:$AQ$55,3,FALSE))</f>
        <v>0</v>
      </c>
      <c r="D77" s="4">
        <f>(VLOOKUP('19.02'!L77,'19.02'!$AO$4:$AQ$55,3,FALSE))</f>
        <v>0</v>
      </c>
      <c r="E77" s="4">
        <f>(VLOOKUP('19.02'!M77,'19.02'!$AO$4:$AQ$55,3,FALSE))</f>
        <v>0</v>
      </c>
      <c r="F77" s="4">
        <f>(VLOOKUP('19.02'!N77,'19.02'!$AO$4:$AQ$55,3,FALSE))</f>
        <v>0</v>
      </c>
      <c r="G77" s="5">
        <f>(VLOOKUP('19.02'!O77,'19.02'!$AO$4:$AQ$55,3,FALSE))</f>
        <v>0</v>
      </c>
      <c r="H77" s="5">
        <f>(VLOOKUP('19.02'!P77,'19.02'!$AO$4:$AQ$55,3,FALSE))</f>
        <v>0</v>
      </c>
      <c r="I77" s="4">
        <f>(VLOOKUP('19.02'!Q77,'19.02'!$AO$4:$AQ$55,3,FALSE))</f>
        <v>0</v>
      </c>
      <c r="J77" s="4">
        <f>(VLOOKUP('19.02'!R77,'19.02'!$AO$4:$AQ$55,3,FALSE))</f>
        <v>0</v>
      </c>
      <c r="K77" s="4">
        <f>(VLOOKUP('19.02'!S77,'19.02'!$AO$4:$AQ$55,3,FALSE))</f>
        <v>0</v>
      </c>
      <c r="L77" s="4">
        <f>(VLOOKUP('19.02'!T77,'19.02'!$AO$4:$AQ$55,3,FALSE))</f>
        <v>0</v>
      </c>
      <c r="M77" s="4">
        <f>(VLOOKUP('19.02'!U77,'19.02'!$AO$4:$AQ$55,3,FALSE))</f>
        <v>0</v>
      </c>
      <c r="N77" s="4">
        <f>(VLOOKUP('19.02'!V77,'19.02'!$AO$4:$AQ$55,3,FALSE))</f>
        <v>0</v>
      </c>
      <c r="O77" s="5">
        <f>(VLOOKUP('19.02'!W77,'19.02'!$AO$4:$AQ$55,3,FALSE))</f>
        <v>0</v>
      </c>
      <c r="P77" s="5">
        <f>(VLOOKUP('19.02'!X77,'19.02'!$AO$4:$AQ$55,3,FALSE))</f>
        <v>0</v>
      </c>
      <c r="Q77" s="4">
        <f>(VLOOKUP('19.02'!Y77,'19.02'!$AO$4:$AQ$55,3,FALSE))</f>
        <v>0</v>
      </c>
      <c r="R77" s="4">
        <f>(VLOOKUP('19.02'!Z77,'19.02'!$AO$4:$AQ$55,3,FALSE))</f>
        <v>0</v>
      </c>
      <c r="S77" s="4">
        <f>(VLOOKUP('19.02'!AA77,'19.02'!$AO$4:$AQ$55,3,FALSE))</f>
        <v>0</v>
      </c>
      <c r="T77" s="4">
        <f>(VLOOKUP('19.02'!AB77,'19.02'!$AO$4:$AQ$55,3,FALSE))</f>
        <v>0</v>
      </c>
      <c r="U77" s="4">
        <f>(VLOOKUP('19.02'!AC77,'19.02'!$AO$4:$AQ$55,3,FALSE))</f>
        <v>0</v>
      </c>
      <c r="V77" s="4">
        <f>(VLOOKUP('19.02'!AD77,'19.02'!$AO$4:$AQ$55,3,FALSE))</f>
        <v>0</v>
      </c>
      <c r="W77" s="5">
        <f>(VLOOKUP('19.02'!AE77,'19.02'!$AO$4:$AQ$55,3,FALSE))</f>
        <v>0</v>
      </c>
      <c r="X77" s="5">
        <f>(VLOOKUP('19.02'!AF77,'19.02'!$AO$4:$AQ$55,3,FALSE))</f>
        <v>0</v>
      </c>
    </row>
    <row r="78" spans="1:24">
      <c r="A78" s="4">
        <f>(VLOOKUP('19.02'!I78,'19.02'!$AO$4:$AQ$55,3,FALSE))</f>
        <v>0</v>
      </c>
      <c r="B78" s="4">
        <f>(VLOOKUP('19.02'!J78,'19.02'!$AO$4:$AQ$55,3,FALSE))</f>
        <v>0</v>
      </c>
      <c r="C78" s="4">
        <f>(VLOOKUP('19.02'!K78,'19.02'!$AO$4:$AQ$55,3,FALSE))</f>
        <v>0</v>
      </c>
      <c r="D78" s="4">
        <f>(VLOOKUP('19.02'!L78,'19.02'!$AO$4:$AQ$55,3,FALSE))</f>
        <v>0</v>
      </c>
      <c r="E78" s="4">
        <f>(VLOOKUP('19.02'!M78,'19.02'!$AO$4:$AQ$55,3,FALSE))</f>
        <v>0</v>
      </c>
      <c r="F78" s="4">
        <f>(VLOOKUP('19.02'!N78,'19.02'!$AO$4:$AQ$55,3,FALSE))</f>
        <v>0</v>
      </c>
      <c r="G78" s="5">
        <f>(VLOOKUP('19.02'!O78,'19.02'!$AO$4:$AQ$55,3,FALSE))</f>
        <v>0</v>
      </c>
      <c r="H78" s="5">
        <f>(VLOOKUP('19.02'!P78,'19.02'!$AO$4:$AQ$55,3,FALSE))</f>
        <v>0</v>
      </c>
      <c r="I78" s="4">
        <f>(VLOOKUP('19.02'!Q78,'19.02'!$AO$4:$AQ$55,3,FALSE))</f>
        <v>0</v>
      </c>
      <c r="J78" s="4">
        <f>(VLOOKUP('19.02'!R78,'19.02'!$AO$4:$AQ$55,3,FALSE))</f>
        <v>0</v>
      </c>
      <c r="K78" s="4">
        <f>(VLOOKUP('19.02'!S78,'19.02'!$AO$4:$AQ$55,3,FALSE))</f>
        <v>0</v>
      </c>
      <c r="L78" s="4">
        <f>(VLOOKUP('19.02'!T78,'19.02'!$AO$4:$AQ$55,3,FALSE))</f>
        <v>0</v>
      </c>
      <c r="M78" s="4">
        <f>(VLOOKUP('19.02'!U78,'19.02'!$AO$4:$AQ$55,3,FALSE))</f>
        <v>0</v>
      </c>
      <c r="N78" s="4">
        <f>(VLOOKUP('19.02'!V78,'19.02'!$AO$4:$AQ$55,3,FALSE))</f>
        <v>0</v>
      </c>
      <c r="O78" s="5">
        <f>(VLOOKUP('19.02'!W78,'19.02'!$AO$4:$AQ$55,3,FALSE))</f>
        <v>0</v>
      </c>
      <c r="P78" s="5">
        <f>(VLOOKUP('19.02'!X78,'19.02'!$AO$4:$AQ$55,3,FALSE))</f>
        <v>0</v>
      </c>
      <c r="Q78" s="4">
        <f>(VLOOKUP('19.02'!Y78,'19.02'!$AO$4:$AQ$55,3,FALSE))</f>
        <v>0</v>
      </c>
      <c r="R78" s="4">
        <f>(VLOOKUP('19.02'!Z78,'19.02'!$AO$4:$AQ$55,3,FALSE))</f>
        <v>0</v>
      </c>
      <c r="S78" s="4">
        <f>(VLOOKUP('19.02'!AA78,'19.02'!$AO$4:$AQ$55,3,FALSE))</f>
        <v>0</v>
      </c>
      <c r="T78" s="4">
        <f>(VLOOKUP('19.02'!AB78,'19.02'!$AO$4:$AQ$55,3,FALSE))</f>
        <v>0</v>
      </c>
      <c r="U78" s="4">
        <f>(VLOOKUP('19.02'!AC78,'19.02'!$AO$4:$AQ$55,3,FALSE))</f>
        <v>0</v>
      </c>
      <c r="V78" s="4">
        <f>(VLOOKUP('19.02'!AD78,'19.02'!$AO$4:$AQ$55,3,FALSE))</f>
        <v>0</v>
      </c>
      <c r="W78" s="5">
        <f>(VLOOKUP('19.02'!AE78,'19.02'!$AO$4:$AQ$55,3,FALSE))</f>
        <v>0</v>
      </c>
      <c r="X78" s="5">
        <f>(VLOOKUP('19.02'!AF78,'19.02'!$AO$4:$AQ$55,3,FALSE))</f>
        <v>0</v>
      </c>
    </row>
    <row r="79" spans="1:24">
      <c r="A79" s="4">
        <f>(VLOOKUP('19.02'!I79,'19.02'!$AO$4:$AQ$55,3,FALSE))</f>
        <v>0</v>
      </c>
      <c r="B79" s="4">
        <f>(VLOOKUP('19.02'!J79,'19.02'!$AO$4:$AQ$55,3,FALSE))</f>
        <v>0</v>
      </c>
      <c r="C79" s="4">
        <f>(VLOOKUP('19.02'!K79,'19.02'!$AO$4:$AQ$55,3,FALSE))</f>
        <v>0</v>
      </c>
      <c r="D79" s="4">
        <f>(VLOOKUP('19.02'!L79,'19.02'!$AO$4:$AQ$55,3,FALSE))</f>
        <v>0</v>
      </c>
      <c r="E79" s="4">
        <f>(VLOOKUP('19.02'!M79,'19.02'!$AO$4:$AQ$55,3,FALSE))</f>
        <v>0</v>
      </c>
      <c r="F79" s="4">
        <f>(VLOOKUP('19.02'!N79,'19.02'!$AO$4:$AQ$55,3,FALSE))</f>
        <v>0</v>
      </c>
      <c r="G79" s="5">
        <f>(VLOOKUP('19.02'!O79,'19.02'!$AO$4:$AQ$55,3,FALSE))</f>
        <v>0</v>
      </c>
      <c r="H79" s="5">
        <f>(VLOOKUP('19.02'!P79,'19.02'!$AO$4:$AQ$55,3,FALSE))</f>
        <v>0</v>
      </c>
      <c r="I79" s="4">
        <f>(VLOOKUP('19.02'!Q79,'19.02'!$AO$4:$AQ$55,3,FALSE))</f>
        <v>0</v>
      </c>
      <c r="J79" s="4">
        <f>(VLOOKUP('19.02'!R79,'19.02'!$AO$4:$AQ$55,3,FALSE))</f>
        <v>0</v>
      </c>
      <c r="K79" s="4">
        <f>(VLOOKUP('19.02'!S79,'19.02'!$AO$4:$AQ$55,3,FALSE))</f>
        <v>0</v>
      </c>
      <c r="L79" s="4">
        <f>(VLOOKUP('19.02'!T79,'19.02'!$AO$4:$AQ$55,3,FALSE))</f>
        <v>0</v>
      </c>
      <c r="M79" s="4">
        <f>(VLOOKUP('19.02'!U79,'19.02'!$AO$4:$AQ$55,3,FALSE))</f>
        <v>0</v>
      </c>
      <c r="N79" s="4">
        <f>(VLOOKUP('19.02'!V79,'19.02'!$AO$4:$AQ$55,3,FALSE))</f>
        <v>0</v>
      </c>
      <c r="O79" s="5">
        <f>(VLOOKUP('19.02'!W79,'19.02'!$AO$4:$AQ$55,3,FALSE))</f>
        <v>0</v>
      </c>
      <c r="P79" s="5">
        <f>(VLOOKUP('19.02'!X79,'19.02'!$AO$4:$AQ$55,3,FALSE))</f>
        <v>0</v>
      </c>
      <c r="Q79" s="4">
        <f>(VLOOKUP('19.02'!Y79,'19.02'!$AO$4:$AQ$55,3,FALSE))</f>
        <v>0</v>
      </c>
      <c r="R79" s="4">
        <f>(VLOOKUP('19.02'!Z79,'19.02'!$AO$4:$AQ$55,3,FALSE))</f>
        <v>0</v>
      </c>
      <c r="S79" s="4">
        <f>(VLOOKUP('19.02'!AA79,'19.02'!$AO$4:$AQ$55,3,FALSE))</f>
        <v>0</v>
      </c>
      <c r="T79" s="4">
        <f>(VLOOKUP('19.02'!AB79,'19.02'!$AO$4:$AQ$55,3,FALSE))</f>
        <v>0</v>
      </c>
      <c r="U79" s="4">
        <f>(VLOOKUP('19.02'!AC79,'19.02'!$AO$4:$AQ$55,3,FALSE))</f>
        <v>0</v>
      </c>
      <c r="V79" s="4">
        <f>(VLOOKUP('19.02'!AD79,'19.02'!$AO$4:$AQ$55,3,FALSE))</f>
        <v>0</v>
      </c>
      <c r="W79" s="5">
        <f>(VLOOKUP('19.02'!AE79,'19.02'!$AO$4:$AQ$55,3,FALSE))</f>
        <v>0</v>
      </c>
      <c r="X79" s="5">
        <f>(VLOOKUP('19.02'!AF79,'19.02'!$AO$4:$AQ$55,3,FALSE))</f>
        <v>0</v>
      </c>
    </row>
    <row r="80" spans="1:24">
      <c r="A80" s="4">
        <f>(VLOOKUP('19.02'!I80,'19.02'!$AO$4:$AQ$55,3,FALSE))</f>
        <v>0</v>
      </c>
      <c r="B80" s="4">
        <f>(VLOOKUP('19.02'!J80,'19.02'!$AO$4:$AQ$55,3,FALSE))</f>
        <v>0</v>
      </c>
      <c r="C80" s="4">
        <f>(VLOOKUP('19.02'!K80,'19.02'!$AO$4:$AQ$55,3,FALSE))</f>
        <v>0</v>
      </c>
      <c r="D80" s="4">
        <f>(VLOOKUP('19.02'!L80,'19.02'!$AO$4:$AQ$55,3,FALSE))</f>
        <v>0</v>
      </c>
      <c r="E80" s="4">
        <f>(VLOOKUP('19.02'!M80,'19.02'!$AO$4:$AQ$55,3,FALSE))</f>
        <v>0</v>
      </c>
      <c r="F80" s="4">
        <f>(VLOOKUP('19.02'!N80,'19.02'!$AO$4:$AQ$55,3,FALSE))</f>
        <v>0</v>
      </c>
      <c r="G80" s="5">
        <f>(VLOOKUP('19.02'!O80,'19.02'!$AO$4:$AQ$55,3,FALSE))</f>
        <v>0</v>
      </c>
      <c r="H80" s="5">
        <f>(VLOOKUP('19.02'!P80,'19.02'!$AO$4:$AQ$55,3,FALSE))</f>
        <v>0</v>
      </c>
      <c r="I80" s="4">
        <f>(VLOOKUP('19.02'!Q80,'19.02'!$AO$4:$AQ$55,3,FALSE))</f>
        <v>0</v>
      </c>
      <c r="J80" s="4">
        <f>(VLOOKUP('19.02'!R80,'19.02'!$AO$4:$AQ$55,3,FALSE))</f>
        <v>0</v>
      </c>
      <c r="K80" s="4">
        <f>(VLOOKUP('19.02'!S80,'19.02'!$AO$4:$AQ$55,3,FALSE))</f>
        <v>0</v>
      </c>
      <c r="L80" s="4">
        <f>(VLOOKUP('19.02'!T80,'19.02'!$AO$4:$AQ$55,3,FALSE))</f>
        <v>0</v>
      </c>
      <c r="M80" s="4">
        <f>(VLOOKUP('19.02'!U80,'19.02'!$AO$4:$AQ$55,3,FALSE))</f>
        <v>0</v>
      </c>
      <c r="N80" s="4">
        <f>(VLOOKUP('19.02'!V80,'19.02'!$AO$4:$AQ$55,3,FALSE))</f>
        <v>0</v>
      </c>
      <c r="O80" s="5">
        <f>(VLOOKUP('19.02'!W80,'19.02'!$AO$4:$AQ$55,3,FALSE))</f>
        <v>0</v>
      </c>
      <c r="P80" s="5">
        <f>(VLOOKUP('19.02'!X80,'19.02'!$AO$4:$AQ$55,3,FALSE))</f>
        <v>0</v>
      </c>
      <c r="Q80" s="4">
        <f>(VLOOKUP('19.02'!Y80,'19.02'!$AO$4:$AQ$55,3,FALSE))</f>
        <v>0</v>
      </c>
      <c r="R80" s="4">
        <f>(VLOOKUP('19.02'!Z80,'19.02'!$AO$4:$AQ$55,3,FALSE))</f>
        <v>0</v>
      </c>
      <c r="S80" s="4">
        <f>(VLOOKUP('19.02'!AA80,'19.02'!$AO$4:$AQ$55,3,FALSE))</f>
        <v>0</v>
      </c>
      <c r="T80" s="4">
        <f>(VLOOKUP('19.02'!AB80,'19.02'!$AO$4:$AQ$55,3,FALSE))</f>
        <v>0</v>
      </c>
      <c r="U80" s="4">
        <f>(VLOOKUP('19.02'!AC80,'19.02'!$AO$4:$AQ$55,3,FALSE))</f>
        <v>0</v>
      </c>
      <c r="V80" s="4">
        <f>(VLOOKUP('19.02'!AD80,'19.02'!$AO$4:$AQ$55,3,FALSE))</f>
        <v>0</v>
      </c>
      <c r="W80" s="5">
        <f>(VLOOKUP('19.02'!AE80,'19.02'!$AO$4:$AQ$55,3,FALSE))</f>
        <v>0</v>
      </c>
      <c r="X80" s="5">
        <f>(VLOOKUP('19.02'!AF80,'19.02'!$AO$4:$AQ$55,3,FALSE))</f>
        <v>0</v>
      </c>
    </row>
    <row r="81" spans="1:24">
      <c r="A81" s="4">
        <f>(VLOOKUP('19.02'!I81,'19.02'!$AO$4:$AQ$55,3,FALSE))</f>
        <v>0</v>
      </c>
      <c r="B81" s="4">
        <f>(VLOOKUP('19.02'!J81,'19.02'!$AO$4:$AQ$55,3,FALSE))</f>
        <v>0</v>
      </c>
      <c r="C81" s="4">
        <f>(VLOOKUP('19.02'!K81,'19.02'!$AO$4:$AQ$55,3,FALSE))</f>
        <v>0</v>
      </c>
      <c r="D81" s="4">
        <f>(VLOOKUP('19.02'!L81,'19.02'!$AO$4:$AQ$55,3,FALSE))</f>
        <v>0</v>
      </c>
      <c r="E81" s="4">
        <f>(VLOOKUP('19.02'!M81,'19.02'!$AO$4:$AQ$55,3,FALSE))</f>
        <v>0</v>
      </c>
      <c r="F81" s="4">
        <f>(VLOOKUP('19.02'!N81,'19.02'!$AO$4:$AQ$55,3,FALSE))</f>
        <v>0</v>
      </c>
      <c r="G81" s="5">
        <f>(VLOOKUP('19.02'!O81,'19.02'!$AO$4:$AQ$55,3,FALSE))</f>
        <v>0</v>
      </c>
      <c r="H81" s="5">
        <f>(VLOOKUP('19.02'!P81,'19.02'!$AO$4:$AQ$55,3,FALSE))</f>
        <v>0</v>
      </c>
      <c r="I81" s="4">
        <f>(VLOOKUP('19.02'!Q81,'19.02'!$AO$4:$AQ$55,3,FALSE))</f>
        <v>0</v>
      </c>
      <c r="J81" s="4">
        <f>(VLOOKUP('19.02'!R81,'19.02'!$AO$4:$AQ$55,3,FALSE))</f>
        <v>0</v>
      </c>
      <c r="K81" s="4">
        <f>(VLOOKUP('19.02'!S81,'19.02'!$AO$4:$AQ$55,3,FALSE))</f>
        <v>0</v>
      </c>
      <c r="L81" s="4">
        <f>(VLOOKUP('19.02'!T81,'19.02'!$AO$4:$AQ$55,3,FALSE))</f>
        <v>0</v>
      </c>
      <c r="M81" s="4">
        <f>(VLOOKUP('19.02'!U81,'19.02'!$AO$4:$AQ$55,3,FALSE))</f>
        <v>0</v>
      </c>
      <c r="N81" s="4">
        <f>(VLOOKUP('19.02'!V81,'19.02'!$AO$4:$AQ$55,3,FALSE))</f>
        <v>0</v>
      </c>
      <c r="O81" s="5">
        <f>(VLOOKUP('19.02'!W81,'19.02'!$AO$4:$AQ$55,3,FALSE))</f>
        <v>0</v>
      </c>
      <c r="P81" s="5">
        <f>(VLOOKUP('19.02'!X81,'19.02'!$AO$4:$AQ$55,3,FALSE))</f>
        <v>0</v>
      </c>
      <c r="Q81" s="4">
        <f>(VLOOKUP('19.02'!Y81,'19.02'!$AO$4:$AQ$55,3,FALSE))</f>
        <v>0</v>
      </c>
      <c r="R81" s="4">
        <f>(VLOOKUP('19.02'!Z81,'19.02'!$AO$4:$AQ$55,3,FALSE))</f>
        <v>0</v>
      </c>
      <c r="S81" s="4">
        <f>(VLOOKUP('19.02'!AA81,'19.02'!$AO$4:$AQ$55,3,FALSE))</f>
        <v>0</v>
      </c>
      <c r="T81" s="4">
        <f>(VLOOKUP('19.02'!AB81,'19.02'!$AO$4:$AQ$55,3,FALSE))</f>
        <v>0</v>
      </c>
      <c r="U81" s="4">
        <f>(VLOOKUP('19.02'!AC81,'19.02'!$AO$4:$AQ$55,3,FALSE))</f>
        <v>0</v>
      </c>
      <c r="V81" s="4">
        <f>(VLOOKUP('19.02'!AD81,'19.02'!$AO$4:$AQ$55,3,FALSE))</f>
        <v>0</v>
      </c>
      <c r="W81" s="5">
        <f>(VLOOKUP('19.02'!AE81,'19.02'!$AO$4:$AQ$55,3,FALSE))</f>
        <v>0</v>
      </c>
      <c r="X81" s="5">
        <f>(VLOOKUP('19.02'!AF81,'19.02'!$AO$4:$AQ$55,3,FALSE))</f>
        <v>0</v>
      </c>
    </row>
    <row r="82" spans="1:24">
      <c r="A82" s="4">
        <f>(VLOOKUP('19.02'!I82,'19.02'!$AO$4:$AQ$55,3,FALSE))</f>
        <v>0</v>
      </c>
      <c r="B82" s="4">
        <f>(VLOOKUP('19.02'!J82,'19.02'!$AO$4:$AQ$55,3,FALSE))</f>
        <v>0</v>
      </c>
      <c r="C82" s="4">
        <f>(VLOOKUP('19.02'!K82,'19.02'!$AO$4:$AQ$55,3,FALSE))</f>
        <v>0</v>
      </c>
      <c r="D82" s="4">
        <f>(VLOOKUP('19.02'!L82,'19.02'!$AO$4:$AQ$55,3,FALSE))</f>
        <v>0</v>
      </c>
      <c r="E82" s="4">
        <f>(VLOOKUP('19.02'!M82,'19.02'!$AO$4:$AQ$55,3,FALSE))</f>
        <v>0</v>
      </c>
      <c r="F82" s="4">
        <f>(VLOOKUP('19.02'!N82,'19.02'!$AO$4:$AQ$55,3,FALSE))</f>
        <v>0</v>
      </c>
      <c r="G82" s="5">
        <f>(VLOOKUP('19.02'!O82,'19.02'!$AO$4:$AQ$55,3,FALSE))</f>
        <v>0</v>
      </c>
      <c r="H82" s="5">
        <f>(VLOOKUP('19.02'!P82,'19.02'!$AO$4:$AQ$55,3,FALSE))</f>
        <v>0</v>
      </c>
      <c r="I82" s="4">
        <f>(VLOOKUP('19.02'!Q82,'19.02'!$AO$4:$AQ$55,3,FALSE))</f>
        <v>0</v>
      </c>
      <c r="J82" s="4">
        <f>(VLOOKUP('19.02'!R82,'19.02'!$AO$4:$AQ$55,3,FALSE))</f>
        <v>0</v>
      </c>
      <c r="K82" s="4">
        <f>(VLOOKUP('19.02'!S82,'19.02'!$AO$4:$AQ$55,3,FALSE))</f>
        <v>0</v>
      </c>
      <c r="L82" s="4">
        <f>(VLOOKUP('19.02'!T82,'19.02'!$AO$4:$AQ$55,3,FALSE))</f>
        <v>0</v>
      </c>
      <c r="M82" s="4">
        <f>(VLOOKUP('19.02'!U82,'19.02'!$AO$4:$AQ$55,3,FALSE))</f>
        <v>0</v>
      </c>
      <c r="N82" s="4">
        <f>(VLOOKUP('19.02'!V82,'19.02'!$AO$4:$AQ$55,3,FALSE))</f>
        <v>0</v>
      </c>
      <c r="O82" s="5">
        <f>(VLOOKUP('19.02'!W82,'19.02'!$AO$4:$AQ$55,3,FALSE))</f>
        <v>0</v>
      </c>
      <c r="P82" s="5">
        <f>(VLOOKUP('19.02'!X82,'19.02'!$AO$4:$AQ$55,3,FALSE))</f>
        <v>0</v>
      </c>
      <c r="Q82" s="4">
        <f>(VLOOKUP('19.02'!Y82,'19.02'!$AO$4:$AQ$55,3,FALSE))</f>
        <v>0</v>
      </c>
      <c r="R82" s="4">
        <f>(VLOOKUP('19.02'!Z82,'19.02'!$AO$4:$AQ$55,3,FALSE))</f>
        <v>0</v>
      </c>
      <c r="S82" s="4">
        <f>(VLOOKUP('19.02'!AA82,'19.02'!$AO$4:$AQ$55,3,FALSE))</f>
        <v>0</v>
      </c>
      <c r="T82" s="4">
        <f>(VLOOKUP('19.02'!AB82,'19.02'!$AO$4:$AQ$55,3,FALSE))</f>
        <v>0</v>
      </c>
      <c r="U82" s="4">
        <f>(VLOOKUP('19.02'!AC82,'19.02'!$AO$4:$AQ$55,3,FALSE))</f>
        <v>0</v>
      </c>
      <c r="V82" s="4">
        <f>(VLOOKUP('19.02'!AD82,'19.02'!$AO$4:$AQ$55,3,FALSE))</f>
        <v>0</v>
      </c>
      <c r="W82" s="5">
        <f>(VLOOKUP('19.02'!AE82,'19.02'!$AO$4:$AQ$55,3,FALSE))</f>
        <v>0</v>
      </c>
      <c r="X82" s="5">
        <f>(VLOOKUP('19.02'!AF82,'19.02'!$AO$4:$AQ$55,3,FALSE))</f>
        <v>0</v>
      </c>
    </row>
    <row r="83" spans="1:24">
      <c r="A83" s="4">
        <f>(VLOOKUP('19.02'!I83,'19.02'!$AO$4:$AQ$55,3,FALSE))</f>
        <v>0</v>
      </c>
      <c r="B83" s="4">
        <f>(VLOOKUP('19.02'!J83,'19.02'!$AO$4:$AQ$55,3,FALSE))</f>
        <v>0</v>
      </c>
      <c r="C83" s="4">
        <f>(VLOOKUP('19.02'!K83,'19.02'!$AO$4:$AQ$55,3,FALSE))</f>
        <v>0</v>
      </c>
      <c r="D83" s="4">
        <f>(VLOOKUP('19.02'!L83,'19.02'!$AO$4:$AQ$55,3,FALSE))</f>
        <v>0</v>
      </c>
      <c r="E83" s="4">
        <f>(VLOOKUP('19.02'!M83,'19.02'!$AO$4:$AQ$55,3,FALSE))</f>
        <v>0</v>
      </c>
      <c r="F83" s="4">
        <f>(VLOOKUP('19.02'!N83,'19.02'!$AO$4:$AQ$55,3,FALSE))</f>
        <v>0</v>
      </c>
      <c r="G83" s="5">
        <f>(VLOOKUP('19.02'!O83,'19.02'!$AO$4:$AQ$55,3,FALSE))</f>
        <v>0</v>
      </c>
      <c r="H83" s="5">
        <f>(VLOOKUP('19.02'!P83,'19.02'!$AO$4:$AQ$55,3,FALSE))</f>
        <v>0</v>
      </c>
      <c r="I83" s="4">
        <f>(VLOOKUP('19.02'!Q83,'19.02'!$AO$4:$AQ$55,3,FALSE))</f>
        <v>0</v>
      </c>
      <c r="J83" s="4">
        <f>(VLOOKUP('19.02'!R83,'19.02'!$AO$4:$AQ$55,3,FALSE))</f>
        <v>0</v>
      </c>
      <c r="K83" s="4">
        <f>(VLOOKUP('19.02'!S83,'19.02'!$AO$4:$AQ$55,3,FALSE))</f>
        <v>0</v>
      </c>
      <c r="L83" s="4">
        <f>(VLOOKUP('19.02'!T83,'19.02'!$AO$4:$AQ$55,3,FALSE))</f>
        <v>0</v>
      </c>
      <c r="M83" s="4">
        <f>(VLOOKUP('19.02'!U83,'19.02'!$AO$4:$AQ$55,3,FALSE))</f>
        <v>0</v>
      </c>
      <c r="N83" s="4">
        <f>(VLOOKUP('19.02'!V83,'19.02'!$AO$4:$AQ$55,3,FALSE))</f>
        <v>0</v>
      </c>
      <c r="O83" s="5">
        <f>(VLOOKUP('19.02'!W83,'19.02'!$AO$4:$AQ$55,3,FALSE))</f>
        <v>0</v>
      </c>
      <c r="P83" s="5">
        <f>(VLOOKUP('19.02'!X83,'19.02'!$AO$4:$AQ$55,3,FALSE))</f>
        <v>0</v>
      </c>
      <c r="Q83" s="4">
        <f>(VLOOKUP('19.02'!Y83,'19.02'!$AO$4:$AQ$55,3,FALSE))</f>
        <v>0</v>
      </c>
      <c r="R83" s="4">
        <f>(VLOOKUP('19.02'!Z83,'19.02'!$AO$4:$AQ$55,3,FALSE))</f>
        <v>0</v>
      </c>
      <c r="S83" s="4">
        <f>(VLOOKUP('19.02'!AA83,'19.02'!$AO$4:$AQ$55,3,FALSE))</f>
        <v>0</v>
      </c>
      <c r="T83" s="4">
        <f>(VLOOKUP('19.02'!AB83,'19.02'!$AO$4:$AQ$55,3,FALSE))</f>
        <v>0</v>
      </c>
      <c r="U83" s="4">
        <f>(VLOOKUP('19.02'!AC83,'19.02'!$AO$4:$AQ$55,3,FALSE))</f>
        <v>0</v>
      </c>
      <c r="V83" s="4">
        <f>(VLOOKUP('19.02'!AD83,'19.02'!$AO$4:$AQ$55,3,FALSE))</f>
        <v>0</v>
      </c>
      <c r="W83" s="5">
        <f>(VLOOKUP('19.02'!AE83,'19.02'!$AO$4:$AQ$55,3,FALSE))</f>
        <v>0</v>
      </c>
      <c r="X83" s="5">
        <f>(VLOOKUP('19.02'!AF83,'19.02'!$AO$4:$AQ$55,3,FALSE))</f>
        <v>0</v>
      </c>
    </row>
    <row r="84" spans="1:24">
      <c r="A84" s="4">
        <f>(VLOOKUP('19.02'!I84,'19.02'!$AO$4:$AQ$55,3,FALSE))</f>
        <v>0</v>
      </c>
      <c r="B84" s="4">
        <f>(VLOOKUP('19.02'!J84,'19.02'!$AO$4:$AQ$55,3,FALSE))</f>
        <v>0</v>
      </c>
      <c r="C84" s="4">
        <f>(VLOOKUP('19.02'!K84,'19.02'!$AO$4:$AQ$55,3,FALSE))</f>
        <v>0</v>
      </c>
      <c r="D84" s="4">
        <f>(VLOOKUP('19.02'!L84,'19.02'!$AO$4:$AQ$55,3,FALSE))</f>
        <v>0</v>
      </c>
      <c r="E84" s="4">
        <f>(VLOOKUP('19.02'!M84,'19.02'!$AO$4:$AQ$55,3,FALSE))</f>
        <v>0</v>
      </c>
      <c r="F84" s="4">
        <f>(VLOOKUP('19.02'!N84,'19.02'!$AO$4:$AQ$55,3,FALSE))</f>
        <v>0</v>
      </c>
      <c r="G84" s="5">
        <f>(VLOOKUP('19.02'!O84,'19.02'!$AO$4:$AQ$55,3,FALSE))</f>
        <v>0</v>
      </c>
      <c r="H84" s="5">
        <f>(VLOOKUP('19.02'!P84,'19.02'!$AO$4:$AQ$55,3,FALSE))</f>
        <v>0</v>
      </c>
      <c r="I84" s="4">
        <f>(VLOOKUP('19.02'!Q84,'19.02'!$AO$4:$AQ$55,3,FALSE))</f>
        <v>0</v>
      </c>
      <c r="J84" s="4">
        <f>(VLOOKUP('19.02'!R84,'19.02'!$AO$4:$AQ$55,3,FALSE))</f>
        <v>0</v>
      </c>
      <c r="K84" s="4">
        <f>(VLOOKUP('19.02'!S84,'19.02'!$AO$4:$AQ$55,3,FALSE))</f>
        <v>0</v>
      </c>
      <c r="L84" s="4">
        <f>(VLOOKUP('19.02'!T84,'19.02'!$AO$4:$AQ$55,3,FALSE))</f>
        <v>0</v>
      </c>
      <c r="M84" s="4">
        <f>(VLOOKUP('19.02'!U84,'19.02'!$AO$4:$AQ$55,3,FALSE))</f>
        <v>0</v>
      </c>
      <c r="N84" s="4">
        <f>(VLOOKUP('19.02'!V84,'19.02'!$AO$4:$AQ$55,3,FALSE))</f>
        <v>0</v>
      </c>
      <c r="O84" s="5">
        <f>(VLOOKUP('19.02'!W84,'19.02'!$AO$4:$AQ$55,3,FALSE))</f>
        <v>0</v>
      </c>
      <c r="P84" s="5">
        <f>(VLOOKUP('19.02'!X84,'19.02'!$AO$4:$AQ$55,3,FALSE))</f>
        <v>0</v>
      </c>
      <c r="Q84" s="4">
        <f>(VLOOKUP('19.02'!Y84,'19.02'!$AO$4:$AQ$55,3,FALSE))</f>
        <v>0</v>
      </c>
      <c r="R84" s="4">
        <f>(VLOOKUP('19.02'!Z84,'19.02'!$AO$4:$AQ$55,3,FALSE))</f>
        <v>0</v>
      </c>
      <c r="S84" s="4">
        <f>(VLOOKUP('19.02'!AA84,'19.02'!$AO$4:$AQ$55,3,FALSE))</f>
        <v>0</v>
      </c>
      <c r="T84" s="4">
        <f>(VLOOKUP('19.02'!AB84,'19.02'!$AO$4:$AQ$55,3,FALSE))</f>
        <v>0</v>
      </c>
      <c r="U84" s="4">
        <f>(VLOOKUP('19.02'!AC84,'19.02'!$AO$4:$AQ$55,3,FALSE))</f>
        <v>0</v>
      </c>
      <c r="V84" s="4">
        <f>(VLOOKUP('19.02'!AD84,'19.02'!$AO$4:$AQ$55,3,FALSE))</f>
        <v>0</v>
      </c>
      <c r="W84" s="5">
        <f>(VLOOKUP('19.02'!AE84,'19.02'!$AO$4:$AQ$55,3,FALSE))</f>
        <v>0</v>
      </c>
      <c r="X84" s="5">
        <f>(VLOOKUP('19.02'!AF84,'19.02'!$AO$4:$AQ$55,3,FALSE))</f>
        <v>0</v>
      </c>
    </row>
    <row r="85" spans="1:24">
      <c r="A85" s="4">
        <f>(VLOOKUP('19.02'!I85,'19.02'!$AO$4:$AQ$55,3,FALSE))</f>
        <v>0</v>
      </c>
      <c r="B85" s="4">
        <f>(VLOOKUP('19.02'!J85,'19.02'!$AO$4:$AQ$55,3,FALSE))</f>
        <v>0</v>
      </c>
      <c r="C85" s="4">
        <f>(VLOOKUP('19.02'!K85,'19.02'!$AO$4:$AQ$55,3,FALSE))</f>
        <v>0</v>
      </c>
      <c r="D85" s="4">
        <f>(VLOOKUP('19.02'!L85,'19.02'!$AO$4:$AQ$55,3,FALSE))</f>
        <v>0</v>
      </c>
      <c r="E85" s="4">
        <f>(VLOOKUP('19.02'!M85,'19.02'!$AO$4:$AQ$55,3,FALSE))</f>
        <v>0</v>
      </c>
      <c r="F85" s="4">
        <f>(VLOOKUP('19.02'!N85,'19.02'!$AO$4:$AQ$55,3,FALSE))</f>
        <v>0</v>
      </c>
      <c r="G85" s="5">
        <f>(VLOOKUP('19.02'!O85,'19.02'!$AO$4:$AQ$55,3,FALSE))</f>
        <v>0</v>
      </c>
      <c r="H85" s="5">
        <f>(VLOOKUP('19.02'!P85,'19.02'!$AO$4:$AQ$55,3,FALSE))</f>
        <v>0</v>
      </c>
      <c r="I85" s="4">
        <f>(VLOOKUP('19.02'!Q85,'19.02'!$AO$4:$AQ$55,3,FALSE))</f>
        <v>0</v>
      </c>
      <c r="J85" s="4">
        <f>(VLOOKUP('19.02'!R85,'19.02'!$AO$4:$AQ$55,3,FALSE))</f>
        <v>0</v>
      </c>
      <c r="K85" s="4">
        <f>(VLOOKUP('19.02'!S85,'19.02'!$AO$4:$AQ$55,3,FALSE))</f>
        <v>0</v>
      </c>
      <c r="L85" s="4">
        <f>(VLOOKUP('19.02'!T85,'19.02'!$AO$4:$AQ$55,3,FALSE))</f>
        <v>0</v>
      </c>
      <c r="M85" s="4">
        <f>(VLOOKUP('19.02'!U85,'19.02'!$AO$4:$AQ$55,3,FALSE))</f>
        <v>0</v>
      </c>
      <c r="N85" s="4">
        <f>(VLOOKUP('19.02'!V85,'19.02'!$AO$4:$AQ$55,3,FALSE))</f>
        <v>0</v>
      </c>
      <c r="O85" s="5">
        <f>(VLOOKUP('19.02'!W85,'19.02'!$AO$4:$AQ$55,3,FALSE))</f>
        <v>0</v>
      </c>
      <c r="P85" s="5">
        <f>(VLOOKUP('19.02'!X85,'19.02'!$AO$4:$AQ$55,3,FALSE))</f>
        <v>0</v>
      </c>
      <c r="Q85" s="4">
        <f>(VLOOKUP('19.02'!Y85,'19.02'!$AO$4:$AQ$55,3,FALSE))</f>
        <v>0</v>
      </c>
      <c r="R85" s="4">
        <f>(VLOOKUP('19.02'!Z85,'19.02'!$AO$4:$AQ$55,3,FALSE))</f>
        <v>0</v>
      </c>
      <c r="S85" s="4">
        <f>(VLOOKUP('19.02'!AA85,'19.02'!$AO$4:$AQ$55,3,FALSE))</f>
        <v>0</v>
      </c>
      <c r="T85" s="4">
        <f>(VLOOKUP('19.02'!AB85,'19.02'!$AO$4:$AQ$55,3,FALSE))</f>
        <v>0</v>
      </c>
      <c r="U85" s="4">
        <f>(VLOOKUP('19.02'!AC85,'19.02'!$AO$4:$AQ$55,3,FALSE))</f>
        <v>0</v>
      </c>
      <c r="V85" s="4">
        <f>(VLOOKUP('19.02'!AD85,'19.02'!$AO$4:$AQ$55,3,FALSE))</f>
        <v>0</v>
      </c>
      <c r="W85" s="5">
        <f>(VLOOKUP('19.02'!AE85,'19.02'!$AO$4:$AQ$55,3,FALSE))</f>
        <v>0</v>
      </c>
      <c r="X85" s="5">
        <f>(VLOOKUP('19.02'!AF85,'19.02'!$AO$4:$AQ$55,3,FALSE))</f>
        <v>0</v>
      </c>
    </row>
    <row r="86" spans="1:24">
      <c r="A86" s="4">
        <f>(VLOOKUP('19.02'!I86,'19.02'!$AO$4:$AQ$55,3,FALSE))</f>
        <v>0</v>
      </c>
      <c r="B86" s="4">
        <f>(VLOOKUP('19.02'!J86,'19.02'!$AO$4:$AQ$55,3,FALSE))</f>
        <v>0</v>
      </c>
      <c r="C86" s="4">
        <f>(VLOOKUP('19.02'!K86,'19.02'!$AO$4:$AQ$55,3,FALSE))</f>
        <v>0</v>
      </c>
      <c r="D86" s="4">
        <f>(VLOOKUP('19.02'!L86,'19.02'!$AO$4:$AQ$55,3,FALSE))</f>
        <v>0</v>
      </c>
      <c r="E86" s="4">
        <f>(VLOOKUP('19.02'!M86,'19.02'!$AO$4:$AQ$55,3,FALSE))</f>
        <v>0</v>
      </c>
      <c r="F86" s="4">
        <f>(VLOOKUP('19.02'!N86,'19.02'!$AO$4:$AQ$55,3,FALSE))</f>
        <v>0</v>
      </c>
      <c r="G86" s="5">
        <f>(VLOOKUP('19.02'!O86,'19.02'!$AO$4:$AQ$55,3,FALSE))</f>
        <v>0</v>
      </c>
      <c r="H86" s="5">
        <f>(VLOOKUP('19.02'!P86,'19.02'!$AO$4:$AQ$55,3,FALSE))</f>
        <v>0</v>
      </c>
      <c r="I86" s="4">
        <f>(VLOOKUP('19.02'!Q86,'19.02'!$AO$4:$AQ$55,3,FALSE))</f>
        <v>0</v>
      </c>
      <c r="J86" s="4">
        <f>(VLOOKUP('19.02'!R86,'19.02'!$AO$4:$AQ$55,3,FALSE))</f>
        <v>0</v>
      </c>
      <c r="K86" s="4">
        <f>(VLOOKUP('19.02'!S86,'19.02'!$AO$4:$AQ$55,3,FALSE))</f>
        <v>0</v>
      </c>
      <c r="L86" s="4">
        <f>(VLOOKUP('19.02'!T86,'19.02'!$AO$4:$AQ$55,3,FALSE))</f>
        <v>0</v>
      </c>
      <c r="M86" s="4">
        <f>(VLOOKUP('19.02'!U86,'19.02'!$AO$4:$AQ$55,3,FALSE))</f>
        <v>0</v>
      </c>
      <c r="N86" s="4">
        <f>(VLOOKUP('19.02'!V86,'19.02'!$AO$4:$AQ$55,3,FALSE))</f>
        <v>0</v>
      </c>
      <c r="O86" s="5">
        <f>(VLOOKUP('19.02'!W86,'19.02'!$AO$4:$AQ$55,3,FALSE))</f>
        <v>0</v>
      </c>
      <c r="P86" s="5">
        <f>(VLOOKUP('19.02'!X86,'19.02'!$AO$4:$AQ$55,3,FALSE))</f>
        <v>0</v>
      </c>
      <c r="Q86" s="4">
        <f>(VLOOKUP('19.02'!Y86,'19.02'!$AO$4:$AQ$55,3,FALSE))</f>
        <v>0</v>
      </c>
      <c r="R86" s="4">
        <f>(VLOOKUP('19.02'!Z86,'19.02'!$AO$4:$AQ$55,3,FALSE))</f>
        <v>0</v>
      </c>
      <c r="S86" s="4">
        <f>(VLOOKUP('19.02'!AA86,'19.02'!$AO$4:$AQ$55,3,FALSE))</f>
        <v>0</v>
      </c>
      <c r="T86" s="4">
        <f>(VLOOKUP('19.02'!AB86,'19.02'!$AO$4:$AQ$55,3,FALSE))</f>
        <v>0</v>
      </c>
      <c r="U86" s="4">
        <f>(VLOOKUP('19.02'!AC86,'19.02'!$AO$4:$AQ$55,3,FALSE))</f>
        <v>0</v>
      </c>
      <c r="V86" s="4">
        <f>(VLOOKUP('19.02'!AD86,'19.02'!$AO$4:$AQ$55,3,FALSE))</f>
        <v>0</v>
      </c>
      <c r="W86" s="5">
        <f>(VLOOKUP('19.02'!AE86,'19.02'!$AO$4:$AQ$55,3,FALSE))</f>
        <v>0</v>
      </c>
      <c r="X86" s="5">
        <f>(VLOOKUP('19.02'!AF86,'19.02'!$AO$4:$AQ$55,3,FALSE))</f>
        <v>0</v>
      </c>
    </row>
    <row r="87" spans="1:24">
      <c r="A87" s="4">
        <f>(VLOOKUP('19.02'!I87,'19.02'!$AO$4:$AQ$55,3,FALSE))</f>
        <v>0</v>
      </c>
      <c r="B87" s="4">
        <f>(VLOOKUP('19.02'!J87,'19.02'!$AO$4:$AQ$55,3,FALSE))</f>
        <v>0</v>
      </c>
      <c r="C87" s="4">
        <f>(VLOOKUP('19.02'!K87,'19.02'!$AO$4:$AQ$55,3,FALSE))</f>
        <v>0</v>
      </c>
      <c r="D87" s="4">
        <f>(VLOOKUP('19.02'!L87,'19.02'!$AO$4:$AQ$55,3,FALSE))</f>
        <v>0</v>
      </c>
      <c r="E87" s="4">
        <f>(VLOOKUP('19.02'!M87,'19.02'!$AO$4:$AQ$55,3,FALSE))</f>
        <v>0</v>
      </c>
      <c r="F87" s="4">
        <f>(VLOOKUP('19.02'!N87,'19.02'!$AO$4:$AQ$55,3,FALSE))</f>
        <v>0</v>
      </c>
      <c r="G87" s="5">
        <f>(VLOOKUP('19.02'!O87,'19.02'!$AO$4:$AQ$55,3,FALSE))</f>
        <v>0</v>
      </c>
      <c r="H87" s="5">
        <f>(VLOOKUP('19.02'!P87,'19.02'!$AO$4:$AQ$55,3,FALSE))</f>
        <v>0</v>
      </c>
      <c r="I87" s="4">
        <f>(VLOOKUP('19.02'!Q87,'19.02'!$AO$4:$AQ$55,3,FALSE))</f>
        <v>0</v>
      </c>
      <c r="J87" s="4">
        <f>(VLOOKUP('19.02'!R87,'19.02'!$AO$4:$AQ$55,3,FALSE))</f>
        <v>0</v>
      </c>
      <c r="K87" s="4">
        <f>(VLOOKUP('19.02'!S87,'19.02'!$AO$4:$AQ$55,3,FALSE))</f>
        <v>0</v>
      </c>
      <c r="L87" s="4">
        <f>(VLOOKUP('19.02'!T87,'19.02'!$AO$4:$AQ$55,3,FALSE))</f>
        <v>0</v>
      </c>
      <c r="M87" s="4">
        <f>(VLOOKUP('19.02'!U87,'19.02'!$AO$4:$AQ$55,3,FALSE))</f>
        <v>0</v>
      </c>
      <c r="N87" s="4">
        <f>(VLOOKUP('19.02'!V87,'19.02'!$AO$4:$AQ$55,3,FALSE))</f>
        <v>0</v>
      </c>
      <c r="O87" s="5">
        <f>(VLOOKUP('19.02'!W87,'19.02'!$AO$4:$AQ$55,3,FALSE))</f>
        <v>0</v>
      </c>
      <c r="P87" s="5">
        <f>(VLOOKUP('19.02'!X87,'19.02'!$AO$4:$AQ$55,3,FALSE))</f>
        <v>0</v>
      </c>
      <c r="Q87" s="4">
        <f>(VLOOKUP('19.02'!Y87,'19.02'!$AO$4:$AQ$55,3,FALSE))</f>
        <v>0</v>
      </c>
      <c r="R87" s="4">
        <f>(VLOOKUP('19.02'!Z87,'19.02'!$AO$4:$AQ$55,3,FALSE))</f>
        <v>0</v>
      </c>
      <c r="S87" s="4">
        <f>(VLOOKUP('19.02'!AA87,'19.02'!$AO$4:$AQ$55,3,FALSE))</f>
        <v>0</v>
      </c>
      <c r="T87" s="4">
        <f>(VLOOKUP('19.02'!AB87,'19.02'!$AO$4:$AQ$55,3,FALSE))</f>
        <v>0</v>
      </c>
      <c r="U87" s="4">
        <f>(VLOOKUP('19.02'!AC87,'19.02'!$AO$4:$AQ$55,3,FALSE))</f>
        <v>0</v>
      </c>
      <c r="V87" s="4">
        <f>(VLOOKUP('19.02'!AD87,'19.02'!$AO$4:$AQ$55,3,FALSE))</f>
        <v>0</v>
      </c>
      <c r="W87" s="5">
        <f>(VLOOKUP('19.02'!AE87,'19.02'!$AO$4:$AQ$55,3,FALSE))</f>
        <v>0</v>
      </c>
      <c r="X87" s="5">
        <f>(VLOOKUP('19.02'!AF87,'19.02'!$AO$4:$AQ$55,3,FALSE))</f>
        <v>0</v>
      </c>
    </row>
    <row r="88" spans="1:24">
      <c r="A88" s="4">
        <f>(VLOOKUP('19.02'!I88,'19.02'!$AO$4:$AQ$55,3,FALSE))</f>
        <v>0</v>
      </c>
      <c r="B88" s="4">
        <f>(VLOOKUP('19.02'!J88,'19.02'!$AO$4:$AQ$55,3,FALSE))</f>
        <v>0</v>
      </c>
      <c r="C88" s="4">
        <f>(VLOOKUP('19.02'!K88,'19.02'!$AO$4:$AQ$55,3,FALSE))</f>
        <v>0</v>
      </c>
      <c r="D88" s="4">
        <f>(VLOOKUP('19.02'!L88,'19.02'!$AO$4:$AQ$55,3,FALSE))</f>
        <v>0</v>
      </c>
      <c r="E88" s="4">
        <f>(VLOOKUP('19.02'!M88,'19.02'!$AO$4:$AQ$55,3,FALSE))</f>
        <v>0</v>
      </c>
      <c r="F88" s="4">
        <f>(VLOOKUP('19.02'!N88,'19.02'!$AO$4:$AQ$55,3,FALSE))</f>
        <v>0</v>
      </c>
      <c r="G88" s="5">
        <f>(VLOOKUP('19.02'!O88,'19.02'!$AO$4:$AQ$55,3,FALSE))</f>
        <v>0</v>
      </c>
      <c r="H88" s="5">
        <f>(VLOOKUP('19.02'!P88,'19.02'!$AO$4:$AQ$55,3,FALSE))</f>
        <v>0</v>
      </c>
      <c r="I88" s="4">
        <f>(VLOOKUP('19.02'!Q88,'19.02'!$AO$4:$AQ$55,3,FALSE))</f>
        <v>0</v>
      </c>
      <c r="J88" s="4">
        <f>(VLOOKUP('19.02'!R88,'19.02'!$AO$4:$AQ$55,3,FALSE))</f>
        <v>0</v>
      </c>
      <c r="K88" s="4">
        <f>(VLOOKUP('19.02'!S88,'19.02'!$AO$4:$AQ$55,3,FALSE))</f>
        <v>0</v>
      </c>
      <c r="L88" s="4">
        <f>(VLOOKUP('19.02'!T88,'19.02'!$AO$4:$AQ$55,3,FALSE))</f>
        <v>0</v>
      </c>
      <c r="M88" s="4">
        <f>(VLOOKUP('19.02'!U88,'19.02'!$AO$4:$AQ$55,3,FALSE))</f>
        <v>0</v>
      </c>
      <c r="N88" s="4">
        <f>(VLOOKUP('19.02'!V88,'19.02'!$AO$4:$AQ$55,3,FALSE))</f>
        <v>0</v>
      </c>
      <c r="O88" s="5">
        <f>(VLOOKUP('19.02'!W88,'19.02'!$AO$4:$AQ$55,3,FALSE))</f>
        <v>0</v>
      </c>
      <c r="P88" s="5">
        <f>(VLOOKUP('19.02'!X88,'19.02'!$AO$4:$AQ$55,3,FALSE))</f>
        <v>0</v>
      </c>
      <c r="Q88" s="4">
        <f>(VLOOKUP('19.02'!Y88,'19.02'!$AO$4:$AQ$55,3,FALSE))</f>
        <v>0</v>
      </c>
      <c r="R88" s="4">
        <f>(VLOOKUP('19.02'!Z88,'19.02'!$AO$4:$AQ$55,3,FALSE))</f>
        <v>0</v>
      </c>
      <c r="S88" s="4">
        <f>(VLOOKUP('19.02'!AA88,'19.02'!$AO$4:$AQ$55,3,FALSE))</f>
        <v>0</v>
      </c>
      <c r="T88" s="4">
        <f>(VLOOKUP('19.02'!AB88,'19.02'!$AO$4:$AQ$55,3,FALSE))</f>
        <v>0</v>
      </c>
      <c r="U88" s="4">
        <f>(VLOOKUP('19.02'!AC88,'19.02'!$AO$4:$AQ$55,3,FALSE))</f>
        <v>0</v>
      </c>
      <c r="V88" s="4">
        <f>(VLOOKUP('19.02'!AD88,'19.02'!$AO$4:$AQ$55,3,FALSE))</f>
        <v>0</v>
      </c>
      <c r="W88" s="5">
        <f>(VLOOKUP('19.02'!AE88,'19.02'!$AO$4:$AQ$55,3,FALSE))</f>
        <v>0</v>
      </c>
      <c r="X88" s="5">
        <f>(VLOOKUP('19.02'!AF88,'19.02'!$AO$4:$AQ$55,3,FALSE))</f>
        <v>0</v>
      </c>
    </row>
    <row r="89" spans="1:24">
      <c r="A89" s="4">
        <f>(VLOOKUP('19.02'!I89,'19.02'!$AO$4:$AQ$55,3,FALSE))</f>
        <v>0</v>
      </c>
      <c r="B89" s="4">
        <f>(VLOOKUP('19.02'!J89,'19.02'!$AO$4:$AQ$55,3,FALSE))</f>
        <v>0</v>
      </c>
      <c r="C89" s="4">
        <f>(VLOOKUP('19.02'!K89,'19.02'!$AO$4:$AQ$55,3,FALSE))</f>
        <v>0</v>
      </c>
      <c r="D89" s="4">
        <f>(VLOOKUP('19.02'!L89,'19.02'!$AO$4:$AQ$55,3,FALSE))</f>
        <v>0</v>
      </c>
      <c r="E89" s="4">
        <f>(VLOOKUP('19.02'!M89,'19.02'!$AO$4:$AQ$55,3,FALSE))</f>
        <v>0</v>
      </c>
      <c r="F89" s="4">
        <f>(VLOOKUP('19.02'!N89,'19.02'!$AO$4:$AQ$55,3,FALSE))</f>
        <v>0</v>
      </c>
      <c r="G89" s="5">
        <f>(VLOOKUP('19.02'!O89,'19.02'!$AO$4:$AQ$55,3,FALSE))</f>
        <v>0</v>
      </c>
      <c r="H89" s="5">
        <f>(VLOOKUP('19.02'!P89,'19.02'!$AO$4:$AQ$55,3,FALSE))</f>
        <v>0</v>
      </c>
      <c r="I89" s="4">
        <f>(VLOOKUP('19.02'!Q89,'19.02'!$AO$4:$AQ$55,3,FALSE))</f>
        <v>0</v>
      </c>
      <c r="J89" s="4">
        <f>(VLOOKUP('19.02'!R89,'19.02'!$AO$4:$AQ$55,3,FALSE))</f>
        <v>0</v>
      </c>
      <c r="K89" s="4">
        <f>(VLOOKUP('19.02'!S89,'19.02'!$AO$4:$AQ$55,3,FALSE))</f>
        <v>0</v>
      </c>
      <c r="L89" s="4">
        <f>(VLOOKUP('19.02'!T89,'19.02'!$AO$4:$AQ$55,3,FALSE))</f>
        <v>0</v>
      </c>
      <c r="M89" s="4">
        <f>(VLOOKUP('19.02'!U89,'19.02'!$AO$4:$AQ$55,3,FALSE))</f>
        <v>0</v>
      </c>
      <c r="N89" s="4">
        <f>(VLOOKUP('19.02'!V89,'19.02'!$AO$4:$AQ$55,3,FALSE))</f>
        <v>0</v>
      </c>
      <c r="O89" s="5">
        <f>(VLOOKUP('19.02'!W89,'19.02'!$AO$4:$AQ$55,3,FALSE))</f>
        <v>0</v>
      </c>
      <c r="P89" s="5">
        <f>(VLOOKUP('19.02'!X89,'19.02'!$AO$4:$AQ$55,3,FALSE))</f>
        <v>0</v>
      </c>
      <c r="Q89" s="4">
        <f>(VLOOKUP('19.02'!Y89,'19.02'!$AO$4:$AQ$55,3,FALSE))</f>
        <v>0</v>
      </c>
      <c r="R89" s="4">
        <f>(VLOOKUP('19.02'!Z89,'19.02'!$AO$4:$AQ$55,3,FALSE))</f>
        <v>0</v>
      </c>
      <c r="S89" s="4">
        <f>(VLOOKUP('19.02'!AA89,'19.02'!$AO$4:$AQ$55,3,FALSE))</f>
        <v>0</v>
      </c>
      <c r="T89" s="4">
        <f>(VLOOKUP('19.02'!AB89,'19.02'!$AO$4:$AQ$55,3,FALSE))</f>
        <v>0</v>
      </c>
      <c r="U89" s="4">
        <f>(VLOOKUP('19.02'!AC89,'19.02'!$AO$4:$AQ$55,3,FALSE))</f>
        <v>0</v>
      </c>
      <c r="V89" s="4">
        <f>(VLOOKUP('19.02'!AD89,'19.02'!$AO$4:$AQ$55,3,FALSE))</f>
        <v>0</v>
      </c>
      <c r="W89" s="5">
        <f>(VLOOKUP('19.02'!AE89,'19.02'!$AO$4:$AQ$55,3,FALSE))</f>
        <v>0</v>
      </c>
      <c r="X89" s="5">
        <f>(VLOOKUP('19.02'!AF89,'19.02'!$AO$4:$AQ$55,3,FALSE))</f>
        <v>0</v>
      </c>
    </row>
    <row r="90" spans="1:24">
      <c r="A90" s="4">
        <f>(VLOOKUP('19.02'!I90,'19.02'!$AO$4:$AQ$55,3,FALSE))</f>
        <v>0</v>
      </c>
      <c r="B90" s="4">
        <f>(VLOOKUP('19.02'!J90,'19.02'!$AO$4:$AQ$55,3,FALSE))</f>
        <v>0</v>
      </c>
      <c r="C90" s="4">
        <f>(VLOOKUP('19.02'!K90,'19.02'!$AO$4:$AQ$55,3,FALSE))</f>
        <v>0</v>
      </c>
      <c r="D90" s="4">
        <f>(VLOOKUP('19.02'!L90,'19.02'!$AO$4:$AQ$55,3,FALSE))</f>
        <v>0</v>
      </c>
      <c r="E90" s="4">
        <f>(VLOOKUP('19.02'!M90,'19.02'!$AO$4:$AQ$55,3,FALSE))</f>
        <v>0</v>
      </c>
      <c r="F90" s="4">
        <f>(VLOOKUP('19.02'!N90,'19.02'!$AO$4:$AQ$55,3,FALSE))</f>
        <v>0</v>
      </c>
      <c r="G90" s="5">
        <f>(VLOOKUP('19.02'!O90,'19.02'!$AO$4:$AQ$55,3,FALSE))</f>
        <v>0</v>
      </c>
      <c r="H90" s="5">
        <f>(VLOOKUP('19.02'!P90,'19.02'!$AO$4:$AQ$55,3,FALSE))</f>
        <v>0</v>
      </c>
      <c r="I90" s="4">
        <f>(VLOOKUP('19.02'!Q90,'19.02'!$AO$4:$AQ$55,3,FALSE))</f>
        <v>0</v>
      </c>
      <c r="J90" s="4">
        <f>(VLOOKUP('19.02'!R90,'19.02'!$AO$4:$AQ$55,3,FALSE))</f>
        <v>0</v>
      </c>
      <c r="K90" s="4">
        <f>(VLOOKUP('19.02'!S90,'19.02'!$AO$4:$AQ$55,3,FALSE))</f>
        <v>0</v>
      </c>
      <c r="L90" s="4">
        <f>(VLOOKUP('19.02'!T90,'19.02'!$AO$4:$AQ$55,3,FALSE))</f>
        <v>0</v>
      </c>
      <c r="M90" s="4">
        <f>(VLOOKUP('19.02'!U90,'19.02'!$AO$4:$AQ$55,3,FALSE))</f>
        <v>0</v>
      </c>
      <c r="N90" s="4">
        <f>(VLOOKUP('19.02'!V90,'19.02'!$AO$4:$AQ$55,3,FALSE))</f>
        <v>0</v>
      </c>
      <c r="O90" s="5">
        <f>(VLOOKUP('19.02'!W90,'19.02'!$AO$4:$AQ$55,3,FALSE))</f>
        <v>0</v>
      </c>
      <c r="P90" s="5">
        <f>(VLOOKUP('19.02'!X90,'19.02'!$AO$4:$AQ$55,3,FALSE))</f>
        <v>0</v>
      </c>
      <c r="Q90" s="4">
        <f>(VLOOKUP('19.02'!Y90,'19.02'!$AO$4:$AQ$55,3,FALSE))</f>
        <v>0</v>
      </c>
      <c r="R90" s="4">
        <f>(VLOOKUP('19.02'!Z90,'19.02'!$AO$4:$AQ$55,3,FALSE))</f>
        <v>0</v>
      </c>
      <c r="S90" s="4">
        <f>(VLOOKUP('19.02'!AA90,'19.02'!$AO$4:$AQ$55,3,FALSE))</f>
        <v>0</v>
      </c>
      <c r="T90" s="4">
        <f>(VLOOKUP('19.02'!AB90,'19.02'!$AO$4:$AQ$55,3,FALSE))</f>
        <v>0</v>
      </c>
      <c r="U90" s="4">
        <f>(VLOOKUP('19.02'!AC90,'19.02'!$AO$4:$AQ$55,3,FALSE))</f>
        <v>0</v>
      </c>
      <c r="V90" s="4">
        <f>(VLOOKUP('19.02'!AD90,'19.02'!$AO$4:$AQ$55,3,FALSE))</f>
        <v>0</v>
      </c>
      <c r="W90" s="5">
        <f>(VLOOKUP('19.02'!AE90,'19.02'!$AO$4:$AQ$55,3,FALSE))</f>
        <v>0</v>
      </c>
      <c r="X90" s="5">
        <f>(VLOOKUP('19.02'!AF90,'19.02'!$AO$4:$AQ$55,3,FALSE))</f>
        <v>0</v>
      </c>
    </row>
    <row r="91" spans="1:24">
      <c r="A91" s="4">
        <f>(VLOOKUP('19.02'!I91,'19.02'!$AO$4:$AQ$55,3,FALSE))</f>
        <v>0</v>
      </c>
      <c r="B91" s="4">
        <f>(VLOOKUP('19.02'!J91,'19.02'!$AO$4:$AQ$55,3,FALSE))</f>
        <v>0</v>
      </c>
      <c r="C91" s="4">
        <f>(VLOOKUP('19.02'!K91,'19.02'!$AO$4:$AQ$55,3,FALSE))</f>
        <v>0</v>
      </c>
      <c r="D91" s="4">
        <f>(VLOOKUP('19.02'!L91,'19.02'!$AO$4:$AQ$55,3,FALSE))</f>
        <v>0</v>
      </c>
      <c r="E91" s="4">
        <f>(VLOOKUP('19.02'!M91,'19.02'!$AO$4:$AQ$55,3,FALSE))</f>
        <v>0</v>
      </c>
      <c r="F91" s="4">
        <f>(VLOOKUP('19.02'!N91,'19.02'!$AO$4:$AQ$55,3,FALSE))</f>
        <v>0</v>
      </c>
      <c r="G91" s="5">
        <f>(VLOOKUP('19.02'!O91,'19.02'!$AO$4:$AQ$55,3,FALSE))</f>
        <v>0</v>
      </c>
      <c r="H91" s="5">
        <f>(VLOOKUP('19.02'!P91,'19.02'!$AO$4:$AQ$55,3,FALSE))</f>
        <v>0</v>
      </c>
      <c r="I91" s="4">
        <f>(VLOOKUP('19.02'!Q91,'19.02'!$AO$4:$AQ$55,3,FALSE))</f>
        <v>0</v>
      </c>
      <c r="J91" s="4">
        <f>(VLOOKUP('19.02'!R91,'19.02'!$AO$4:$AQ$55,3,FALSE))</f>
        <v>0</v>
      </c>
      <c r="K91" s="4">
        <f>(VLOOKUP('19.02'!S91,'19.02'!$AO$4:$AQ$55,3,FALSE))</f>
        <v>0</v>
      </c>
      <c r="L91" s="4">
        <f>(VLOOKUP('19.02'!T91,'19.02'!$AO$4:$AQ$55,3,FALSE))</f>
        <v>0</v>
      </c>
      <c r="M91" s="4">
        <f>(VLOOKUP('19.02'!U91,'19.02'!$AO$4:$AQ$55,3,FALSE))</f>
        <v>0</v>
      </c>
      <c r="N91" s="4">
        <f>(VLOOKUP('19.02'!V91,'19.02'!$AO$4:$AQ$55,3,FALSE))</f>
        <v>0</v>
      </c>
      <c r="O91" s="5">
        <f>(VLOOKUP('19.02'!W91,'19.02'!$AO$4:$AQ$55,3,FALSE))</f>
        <v>0</v>
      </c>
      <c r="P91" s="5">
        <f>(VLOOKUP('19.02'!X91,'19.02'!$AO$4:$AQ$55,3,FALSE))</f>
        <v>0</v>
      </c>
      <c r="Q91" s="4">
        <f>(VLOOKUP('19.02'!Y91,'19.02'!$AO$4:$AQ$55,3,FALSE))</f>
        <v>0</v>
      </c>
      <c r="R91" s="4">
        <f>(VLOOKUP('19.02'!Z91,'19.02'!$AO$4:$AQ$55,3,FALSE))</f>
        <v>0</v>
      </c>
      <c r="S91" s="4">
        <f>(VLOOKUP('19.02'!AA91,'19.02'!$AO$4:$AQ$55,3,FALSE))</f>
        <v>0</v>
      </c>
      <c r="T91" s="4">
        <f>(VLOOKUP('19.02'!AB91,'19.02'!$AO$4:$AQ$55,3,FALSE))</f>
        <v>0</v>
      </c>
      <c r="U91" s="4">
        <f>(VLOOKUP('19.02'!AC91,'19.02'!$AO$4:$AQ$55,3,FALSE))</f>
        <v>0</v>
      </c>
      <c r="V91" s="4">
        <f>(VLOOKUP('19.02'!AD91,'19.02'!$AO$4:$AQ$55,3,FALSE))</f>
        <v>0</v>
      </c>
      <c r="W91" s="5">
        <f>(VLOOKUP('19.02'!AE91,'19.02'!$AO$4:$AQ$55,3,FALSE))</f>
        <v>0</v>
      </c>
      <c r="X91" s="5">
        <f>(VLOOKUP('19.02'!AF91,'19.02'!$AO$4:$AQ$55,3,FALSE))</f>
        <v>0</v>
      </c>
    </row>
    <row r="92" spans="1:24">
      <c r="A92" s="4">
        <f>(VLOOKUP('19.02'!I92,'19.02'!$AO$4:$AQ$55,3,FALSE))</f>
        <v>0</v>
      </c>
      <c r="B92" s="4">
        <f>(VLOOKUP('19.02'!J92,'19.02'!$AO$4:$AQ$55,3,FALSE))</f>
        <v>0</v>
      </c>
      <c r="C92" s="4">
        <f>(VLOOKUP('19.02'!K92,'19.02'!$AO$4:$AQ$55,3,FALSE))</f>
        <v>0</v>
      </c>
      <c r="D92" s="4">
        <f>(VLOOKUP('19.02'!L92,'19.02'!$AO$4:$AQ$55,3,FALSE))</f>
        <v>0</v>
      </c>
      <c r="E92" s="4">
        <f>(VLOOKUP('19.02'!M92,'19.02'!$AO$4:$AQ$55,3,FALSE))</f>
        <v>0</v>
      </c>
      <c r="F92" s="4">
        <f>(VLOOKUP('19.02'!N92,'19.02'!$AO$4:$AQ$55,3,FALSE))</f>
        <v>0</v>
      </c>
      <c r="G92" s="5">
        <f>(VLOOKUP('19.02'!O92,'19.02'!$AO$4:$AQ$55,3,FALSE))</f>
        <v>0</v>
      </c>
      <c r="H92" s="5">
        <f>(VLOOKUP('19.02'!P92,'19.02'!$AO$4:$AQ$55,3,FALSE))</f>
        <v>0</v>
      </c>
      <c r="I92" s="4">
        <f>(VLOOKUP('19.02'!Q92,'19.02'!$AO$4:$AQ$55,3,FALSE))</f>
        <v>0</v>
      </c>
      <c r="J92" s="4">
        <f>(VLOOKUP('19.02'!R92,'19.02'!$AO$4:$AQ$55,3,FALSE))</f>
        <v>0</v>
      </c>
      <c r="K92" s="4">
        <f>(VLOOKUP('19.02'!S92,'19.02'!$AO$4:$AQ$55,3,FALSE))</f>
        <v>0</v>
      </c>
      <c r="L92" s="4">
        <f>(VLOOKUP('19.02'!T92,'19.02'!$AO$4:$AQ$55,3,FALSE))</f>
        <v>0</v>
      </c>
      <c r="M92" s="4">
        <f>(VLOOKUP('19.02'!U92,'19.02'!$AO$4:$AQ$55,3,FALSE))</f>
        <v>0</v>
      </c>
      <c r="N92" s="4">
        <f>(VLOOKUP('19.02'!V92,'19.02'!$AO$4:$AQ$55,3,FALSE))</f>
        <v>0</v>
      </c>
      <c r="O92" s="5">
        <f>(VLOOKUP('19.02'!W92,'19.02'!$AO$4:$AQ$55,3,FALSE))</f>
        <v>0</v>
      </c>
      <c r="P92" s="5">
        <f>(VLOOKUP('19.02'!X92,'19.02'!$AO$4:$AQ$55,3,FALSE))</f>
        <v>0</v>
      </c>
      <c r="Q92" s="4">
        <f>(VLOOKUP('19.02'!Y92,'19.02'!$AO$4:$AQ$55,3,FALSE))</f>
        <v>0</v>
      </c>
      <c r="R92" s="4">
        <f>(VLOOKUP('19.02'!Z92,'19.02'!$AO$4:$AQ$55,3,FALSE))</f>
        <v>0</v>
      </c>
      <c r="S92" s="4">
        <f>(VLOOKUP('19.02'!AA92,'19.02'!$AO$4:$AQ$55,3,FALSE))</f>
        <v>0</v>
      </c>
      <c r="T92" s="4">
        <f>(VLOOKUP('19.02'!AB92,'19.02'!$AO$4:$AQ$55,3,FALSE))</f>
        <v>0</v>
      </c>
      <c r="U92" s="4">
        <f>(VLOOKUP('19.02'!AC92,'19.02'!$AO$4:$AQ$55,3,FALSE))</f>
        <v>0</v>
      </c>
      <c r="V92" s="4">
        <f>(VLOOKUP('19.02'!AD92,'19.02'!$AO$4:$AQ$55,3,FALSE))</f>
        <v>0</v>
      </c>
      <c r="W92" s="5">
        <f>(VLOOKUP('19.02'!AE92,'19.02'!$AO$4:$AQ$55,3,FALSE))</f>
        <v>0</v>
      </c>
      <c r="X92" s="5">
        <f>(VLOOKUP('19.02'!AF92,'19.02'!$AO$4:$AQ$55,3,FALSE))</f>
        <v>0</v>
      </c>
    </row>
    <row r="93" spans="1:24">
      <c r="A93" s="4">
        <f>(VLOOKUP('19.02'!I93,'19.02'!$AO$4:$AQ$55,3,FALSE))</f>
        <v>0</v>
      </c>
      <c r="B93" s="4">
        <f>(VLOOKUP('19.02'!J93,'19.02'!$AO$4:$AQ$55,3,FALSE))</f>
        <v>0</v>
      </c>
      <c r="C93" s="4">
        <f>(VLOOKUP('19.02'!K93,'19.02'!$AO$4:$AQ$55,3,FALSE))</f>
        <v>0</v>
      </c>
      <c r="D93" s="4">
        <f>(VLOOKUP('19.02'!L93,'19.02'!$AO$4:$AQ$55,3,FALSE))</f>
        <v>0</v>
      </c>
      <c r="E93" s="4">
        <f>(VLOOKUP('19.02'!M93,'19.02'!$AO$4:$AQ$55,3,FALSE))</f>
        <v>0</v>
      </c>
      <c r="F93" s="4">
        <f>(VLOOKUP('19.02'!N93,'19.02'!$AO$4:$AQ$55,3,FALSE))</f>
        <v>0</v>
      </c>
      <c r="G93" s="5">
        <f>(VLOOKUP('19.02'!O93,'19.02'!$AO$4:$AQ$55,3,FALSE))</f>
        <v>0</v>
      </c>
      <c r="H93" s="5">
        <f>(VLOOKUP('19.02'!P93,'19.02'!$AO$4:$AQ$55,3,FALSE))</f>
        <v>0</v>
      </c>
      <c r="I93" s="4">
        <f>(VLOOKUP('19.02'!Q93,'19.02'!$AO$4:$AQ$55,3,FALSE))</f>
        <v>0</v>
      </c>
      <c r="J93" s="4">
        <f>(VLOOKUP('19.02'!R93,'19.02'!$AO$4:$AQ$55,3,FALSE))</f>
        <v>0</v>
      </c>
      <c r="K93" s="4">
        <f>(VLOOKUP('19.02'!S93,'19.02'!$AO$4:$AQ$55,3,FALSE))</f>
        <v>0</v>
      </c>
      <c r="L93" s="4">
        <f>(VLOOKUP('19.02'!T93,'19.02'!$AO$4:$AQ$55,3,FALSE))</f>
        <v>0</v>
      </c>
      <c r="M93" s="4">
        <f>(VLOOKUP('19.02'!U93,'19.02'!$AO$4:$AQ$55,3,FALSE))</f>
        <v>0</v>
      </c>
      <c r="N93" s="4">
        <f>(VLOOKUP('19.02'!V93,'19.02'!$AO$4:$AQ$55,3,FALSE))</f>
        <v>0</v>
      </c>
      <c r="O93" s="5">
        <f>(VLOOKUP('19.02'!W93,'19.02'!$AO$4:$AQ$55,3,FALSE))</f>
        <v>0</v>
      </c>
      <c r="P93" s="5">
        <f>(VLOOKUP('19.02'!X93,'19.02'!$AO$4:$AQ$55,3,FALSE))</f>
        <v>0</v>
      </c>
      <c r="Q93" s="4">
        <f>(VLOOKUP('19.02'!Y93,'19.02'!$AO$4:$AQ$55,3,FALSE))</f>
        <v>0</v>
      </c>
      <c r="R93" s="4">
        <f>(VLOOKUP('19.02'!Z93,'19.02'!$AO$4:$AQ$55,3,FALSE))</f>
        <v>0</v>
      </c>
      <c r="S93" s="4">
        <f>(VLOOKUP('19.02'!AA93,'19.02'!$AO$4:$AQ$55,3,FALSE))</f>
        <v>0</v>
      </c>
      <c r="T93" s="4">
        <f>(VLOOKUP('19.02'!AB93,'19.02'!$AO$4:$AQ$55,3,FALSE))</f>
        <v>0</v>
      </c>
      <c r="U93" s="4">
        <f>(VLOOKUP('19.02'!AC93,'19.02'!$AO$4:$AQ$55,3,FALSE))</f>
        <v>0</v>
      </c>
      <c r="V93" s="4">
        <f>(VLOOKUP('19.02'!AD93,'19.02'!$AO$4:$AQ$55,3,FALSE))</f>
        <v>0</v>
      </c>
      <c r="W93" s="5">
        <f>(VLOOKUP('19.02'!AE93,'19.02'!$AO$4:$AQ$55,3,FALSE))</f>
        <v>0</v>
      </c>
      <c r="X93" s="5">
        <f>(VLOOKUP('19.02'!AF93,'19.02'!$AO$4:$AQ$55,3,FALSE))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20" sqref="E20"/>
    </sheetView>
  </sheetViews>
  <sheetFormatPr defaultColWidth="9" defaultRowHeight="14.4"/>
  <sheetData>
    <row r="1" spans="1:24" ht="15" thickBot="1"/>
    <row r="2" spans="1:24">
      <c r="A2" s="139" t="s">
        <v>58</v>
      </c>
      <c r="B2" s="140"/>
      <c r="C2" s="41" t="s">
        <v>3</v>
      </c>
      <c r="D2" s="4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42" t="s">
        <v>3</v>
      </c>
      <c r="L2" s="42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43">
        <f>COUNTIF(Q4:X94,"&lt;&gt;空")</f>
        <v>728</v>
      </c>
      <c r="U2" s="137" t="s">
        <v>4</v>
      </c>
      <c r="V2" s="137"/>
      <c r="W2" s="137"/>
      <c r="X2" s="13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(VLOOKUP('19.02'!I4,'19.02'!$AO$4:$AR$55,4,FALSE))</f>
        <v>44.222109392472248</v>
      </c>
      <c r="B4" s="4">
        <f>(VLOOKUP('19.02'!J4,'19.02'!$AO$4:$AR$55,4,FALSE))</f>
        <v>44.222109392472248</v>
      </c>
      <c r="C4" s="4">
        <f>(VLOOKUP('19.02'!K4,'19.02'!$AO$4:$AR$55,4,FALSE))</f>
        <v>44.222109392472248</v>
      </c>
      <c r="D4" s="4">
        <f>(VLOOKUP('19.02'!L4,'19.02'!$AO$4:$AR$55,4,FALSE))</f>
        <v>44.222109392472248</v>
      </c>
      <c r="E4" s="4">
        <f>(VLOOKUP('19.02'!M4,'19.02'!$AO$4:$AR$55,4,FALSE))</f>
        <v>44.222109392472248</v>
      </c>
      <c r="F4" s="4">
        <f>(VLOOKUP('19.02'!N4,'19.02'!$AO$4:$AR$55,4,FALSE))</f>
        <v>44.222109392472248</v>
      </c>
      <c r="G4" s="4">
        <f>(VLOOKUP('19.02'!O4,'19.02'!$AO$4:$AR$55,4,FALSE))</f>
        <v>0</v>
      </c>
      <c r="H4" s="4">
        <f>(VLOOKUP('19.02'!P4,'19.02'!$AO$4:$AR$55,4,FALSE))</f>
        <v>0</v>
      </c>
      <c r="I4" s="4">
        <f>(VLOOKUP('19.02'!Q4,'19.02'!$AO$4:$AR$55,4,FALSE))</f>
        <v>44.222109392472248</v>
      </c>
      <c r="J4" s="4">
        <f>(VLOOKUP('19.02'!R4,'19.02'!$AO$4:$AR$55,4,FALSE))</f>
        <v>44.222109392472248</v>
      </c>
      <c r="K4" s="4">
        <f>(VLOOKUP('19.02'!S4,'19.02'!$AO$4:$AR$55,4,FALSE))</f>
        <v>44.222109392472248</v>
      </c>
      <c r="L4" s="4">
        <f>(VLOOKUP('19.02'!T4,'19.02'!$AO$4:$AR$55,4,FALSE))</f>
        <v>44.222109392472248</v>
      </c>
      <c r="M4" s="4">
        <f>(VLOOKUP('19.02'!U4,'19.02'!$AO$4:$AR$55,4,FALSE))</f>
        <v>44.222109392472248</v>
      </c>
      <c r="N4" s="4">
        <f>(VLOOKUP('19.02'!V4,'19.02'!$AO$4:$AR$55,4,FALSE))</f>
        <v>44.222109392472248</v>
      </c>
      <c r="O4" s="4">
        <f>(VLOOKUP('19.02'!W4,'19.02'!$AO$4:$AR$55,4,FALSE))</f>
        <v>0</v>
      </c>
      <c r="P4" s="4">
        <f>(VLOOKUP('19.02'!X4,'19.02'!$AO$4:$AR$55,4,FALSE))</f>
        <v>0</v>
      </c>
      <c r="Q4" s="4">
        <f>(VLOOKUP('19.02'!Y4,'19.02'!$AO$4:$AR$55,4,FALSE))</f>
        <v>10</v>
      </c>
      <c r="R4" s="4">
        <f>(VLOOKUP('19.02'!Z4,'19.02'!$AO$4:$AR$55,4,FALSE))</f>
        <v>44.222109392472248</v>
      </c>
      <c r="S4" s="4">
        <f>(VLOOKUP('19.02'!AA4,'19.02'!$AO$4:$AR$55,4,FALSE))</f>
        <v>44.222109392472248</v>
      </c>
      <c r="T4" s="4">
        <f>(VLOOKUP('19.02'!AB4,'19.02'!$AO$4:$AR$55,4,FALSE))</f>
        <v>44.222109392472248</v>
      </c>
      <c r="U4" s="4">
        <f>(VLOOKUP('19.02'!AC4,'19.02'!$AO$4:$AR$55,4,FALSE))</f>
        <v>44.222109392472248</v>
      </c>
      <c r="V4" s="4">
        <f>(VLOOKUP('19.02'!AD4,'19.02'!$AO$4:$AR$55,4,FALSE))</f>
        <v>44.222109392472248</v>
      </c>
      <c r="W4" s="4">
        <f>(VLOOKUP('19.02'!AE4,'19.02'!$AO$4:$AR$55,4,FALSE))</f>
        <v>0</v>
      </c>
      <c r="X4" s="4">
        <f>(VLOOKUP('19.02'!AF4,'19.02'!$AO$4:$AR$55,4,FALSE))</f>
        <v>0</v>
      </c>
    </row>
    <row r="5" spans="1:24">
      <c r="A5" s="4">
        <f>(VLOOKUP('19.02'!I5,'19.02'!$AO$4:$AR$55,4,FALSE))</f>
        <v>0</v>
      </c>
      <c r="B5" s="4">
        <f>(VLOOKUP('19.02'!J5,'19.02'!$AO$4:$AR$55,4,FALSE))</f>
        <v>0</v>
      </c>
      <c r="C5" s="4">
        <f>(VLOOKUP('19.02'!K5,'19.02'!$AO$4:$AR$55,4,FALSE))</f>
        <v>0</v>
      </c>
      <c r="D5" s="4">
        <f>(VLOOKUP('19.02'!L5,'19.02'!$AO$4:$AR$55,4,FALSE))</f>
        <v>0</v>
      </c>
      <c r="E5" s="4">
        <f>(VLOOKUP('19.02'!M5,'19.02'!$AO$4:$AR$55,4,FALSE))</f>
        <v>0</v>
      </c>
      <c r="F5" s="4">
        <f>(VLOOKUP('19.02'!N5,'19.02'!$AO$4:$AR$55,4,FALSE))</f>
        <v>0</v>
      </c>
      <c r="G5" s="4">
        <f>(VLOOKUP('19.02'!O5,'19.02'!$AO$4:$AR$55,4,FALSE))</f>
        <v>0</v>
      </c>
      <c r="H5" s="4">
        <f>(VLOOKUP('19.02'!P5,'19.02'!$AO$4:$AR$55,4,FALSE))</f>
        <v>0</v>
      </c>
      <c r="I5" s="4">
        <f>(VLOOKUP('19.02'!Q5,'19.02'!$AO$4:$AR$55,4,FALSE))</f>
        <v>39.110982162825422</v>
      </c>
      <c r="J5" s="4">
        <f>(VLOOKUP('19.02'!R5,'19.02'!$AO$4:$AR$55,4,FALSE))</f>
        <v>39.110982162825422</v>
      </c>
      <c r="K5" s="4">
        <f>(VLOOKUP('19.02'!S5,'19.02'!$AO$4:$AR$55,4,FALSE))</f>
        <v>39.110982162825422</v>
      </c>
      <c r="L5" s="4">
        <f>(VLOOKUP('19.02'!T5,'19.02'!$AO$4:$AR$55,4,FALSE))</f>
        <v>10</v>
      </c>
      <c r="M5" s="4">
        <f>(VLOOKUP('19.02'!U5,'19.02'!$AO$4:$AR$55,4,FALSE))</f>
        <v>39.110982162825422</v>
      </c>
      <c r="N5" s="4">
        <f>(VLOOKUP('19.02'!V5,'19.02'!$AO$4:$AR$55,4,FALSE))</f>
        <v>39.110982162825422</v>
      </c>
      <c r="O5" s="4">
        <f>(VLOOKUP('19.02'!W5,'19.02'!$AO$4:$AR$55,4,FALSE))</f>
        <v>0</v>
      </c>
      <c r="P5" s="4">
        <f>(VLOOKUP('19.02'!X5,'19.02'!$AO$4:$AR$55,4,FALSE))</f>
        <v>0</v>
      </c>
      <c r="Q5" s="4">
        <f>(VLOOKUP('19.02'!Y5,'19.02'!$AO$4:$AR$55,4,FALSE))</f>
        <v>44.222109392472248</v>
      </c>
      <c r="R5" s="4">
        <f>(VLOOKUP('19.02'!Z5,'19.02'!$AO$4:$AR$55,4,FALSE))</f>
        <v>44.222109392472248</v>
      </c>
      <c r="S5" s="4">
        <f>(VLOOKUP('19.02'!AA5,'19.02'!$AO$4:$AR$55,4,FALSE))</f>
        <v>44.222109392472248</v>
      </c>
      <c r="T5" s="4">
        <f>(VLOOKUP('19.02'!AB5,'19.02'!$AO$4:$AR$55,4,FALSE))</f>
        <v>44.222109392472248</v>
      </c>
      <c r="U5" s="4">
        <f>(VLOOKUP('19.02'!AC5,'19.02'!$AO$4:$AR$55,4,FALSE))</f>
        <v>39.110982162825422</v>
      </c>
      <c r="V5" s="4">
        <f>(VLOOKUP('19.02'!AD5,'19.02'!$AO$4:$AR$55,4,FALSE))</f>
        <v>39.110982162825422</v>
      </c>
      <c r="W5" s="4">
        <f>(VLOOKUP('19.02'!AE5,'19.02'!$AO$4:$AR$55,4,FALSE))</f>
        <v>0</v>
      </c>
      <c r="X5" s="4">
        <f>(VLOOKUP('19.02'!AF5,'19.02'!$AO$4:$AR$55,4,FALSE))</f>
        <v>0</v>
      </c>
    </row>
    <row r="6" spans="1:24">
      <c r="A6" s="4">
        <f>(VLOOKUP('19.02'!I6,'19.02'!$AO$4:$AR$55,4,FALSE))</f>
        <v>0</v>
      </c>
      <c r="B6" s="4">
        <f>(VLOOKUP('19.02'!J6,'19.02'!$AO$4:$AR$55,4,FALSE))</f>
        <v>0</v>
      </c>
      <c r="C6" s="4">
        <f>(VLOOKUP('19.02'!K6,'19.02'!$AO$4:$AR$55,4,FALSE))</f>
        <v>0</v>
      </c>
      <c r="D6" s="4">
        <f>(VLOOKUP('19.02'!L6,'19.02'!$AO$4:$AR$55,4,FALSE))</f>
        <v>0</v>
      </c>
      <c r="E6" s="4">
        <f>(VLOOKUP('19.02'!M6,'19.02'!$AO$4:$AR$55,4,FALSE))</f>
        <v>0</v>
      </c>
      <c r="F6" s="4">
        <f>(VLOOKUP('19.02'!N6,'19.02'!$AO$4:$AR$55,4,FALSE))</f>
        <v>0</v>
      </c>
      <c r="G6" s="4">
        <f>(VLOOKUP('19.02'!O6,'19.02'!$AO$4:$AR$55,4,FALSE))</f>
        <v>0</v>
      </c>
      <c r="H6" s="4">
        <f>(VLOOKUP('19.02'!P6,'19.02'!$AO$4:$AR$55,4,FALSE))</f>
        <v>0</v>
      </c>
      <c r="I6" s="4">
        <f>(VLOOKUP('19.02'!Q6,'19.02'!$AO$4:$AR$55,4,FALSE))</f>
        <v>39.110982162825422</v>
      </c>
      <c r="J6" s="4">
        <f>(VLOOKUP('19.02'!R6,'19.02'!$AO$4:$AR$55,4,FALSE))</f>
        <v>39.110982162825422</v>
      </c>
      <c r="K6" s="4">
        <f>(VLOOKUP('19.02'!S6,'19.02'!$AO$4:$AR$55,4,FALSE))</f>
        <v>39.110982162825422</v>
      </c>
      <c r="L6" s="4">
        <f>(VLOOKUP('19.02'!T6,'19.02'!$AO$4:$AR$55,4,FALSE))</f>
        <v>39.110982162825422</v>
      </c>
      <c r="M6" s="4">
        <f>(VLOOKUP('19.02'!U6,'19.02'!$AO$4:$AR$55,4,FALSE))</f>
        <v>39.110982162825422</v>
      </c>
      <c r="N6" s="4">
        <f>(VLOOKUP('19.02'!V6,'19.02'!$AO$4:$AR$55,4,FALSE))</f>
        <v>39.110982162825422</v>
      </c>
      <c r="O6" s="4">
        <f>(VLOOKUP('19.02'!W6,'19.02'!$AO$4:$AR$55,4,FALSE))</f>
        <v>0</v>
      </c>
      <c r="P6" s="4">
        <f>(VLOOKUP('19.02'!X6,'19.02'!$AO$4:$AR$55,4,FALSE))</f>
        <v>0</v>
      </c>
      <c r="Q6" s="4">
        <f>(VLOOKUP('19.02'!Y6,'19.02'!$AO$4:$AR$55,4,FALSE))</f>
        <v>39.110982162825422</v>
      </c>
      <c r="R6" s="4">
        <f>(VLOOKUP('19.02'!Z6,'19.02'!$AO$4:$AR$55,4,FALSE))</f>
        <v>39.110982162825422</v>
      </c>
      <c r="S6" s="4">
        <f>(VLOOKUP('19.02'!AA6,'19.02'!$AO$4:$AR$55,4,FALSE))</f>
        <v>39.110982162825422</v>
      </c>
      <c r="T6" s="4">
        <f>(VLOOKUP('19.02'!AB6,'19.02'!$AO$4:$AR$55,4,FALSE))</f>
        <v>39.110982162825422</v>
      </c>
      <c r="U6" s="4">
        <f>(VLOOKUP('19.02'!AC6,'19.02'!$AO$4:$AR$55,4,FALSE))</f>
        <v>39.110982162825422</v>
      </c>
      <c r="V6" s="4">
        <f>(VLOOKUP('19.02'!AD6,'19.02'!$AO$4:$AR$55,4,FALSE))</f>
        <v>39.110982162825422</v>
      </c>
      <c r="W6" s="4">
        <f>(VLOOKUP('19.02'!AE6,'19.02'!$AO$4:$AR$55,4,FALSE))</f>
        <v>0</v>
      </c>
      <c r="X6" s="4">
        <f>(VLOOKUP('19.02'!AF6,'19.02'!$AO$4:$AR$55,4,FALSE))</f>
        <v>0</v>
      </c>
    </row>
    <row r="7" spans="1:24">
      <c r="A7" s="4">
        <f>(VLOOKUP('19.02'!I7,'19.02'!$AO$4:$AR$55,4,FALSE))</f>
        <v>0</v>
      </c>
      <c r="B7" s="4">
        <f>(VLOOKUP('19.02'!J7,'19.02'!$AO$4:$AR$55,4,FALSE))</f>
        <v>0</v>
      </c>
      <c r="C7" s="4">
        <f>(VLOOKUP('19.02'!K7,'19.02'!$AO$4:$AR$55,4,FALSE))</f>
        <v>0</v>
      </c>
      <c r="D7" s="4">
        <f>(VLOOKUP('19.02'!L7,'19.02'!$AO$4:$AR$55,4,FALSE))</f>
        <v>0</v>
      </c>
      <c r="E7" s="4">
        <f>(VLOOKUP('19.02'!M7,'19.02'!$AO$4:$AR$55,4,FALSE))</f>
        <v>0</v>
      </c>
      <c r="F7" s="4">
        <f>(VLOOKUP('19.02'!N7,'19.02'!$AO$4:$AR$55,4,FALSE))</f>
        <v>0</v>
      </c>
      <c r="G7" s="4">
        <f>(VLOOKUP('19.02'!O7,'19.02'!$AO$4:$AR$55,4,FALSE))</f>
        <v>0</v>
      </c>
      <c r="H7" s="4">
        <f>(VLOOKUP('19.02'!P7,'19.02'!$AO$4:$AR$55,4,FALSE))</f>
        <v>0</v>
      </c>
      <c r="I7" s="4">
        <f>(VLOOKUP('19.02'!Q7,'19.02'!$AO$4:$AR$55,4,FALSE))</f>
        <v>39.110982162825422</v>
      </c>
      <c r="J7" s="4">
        <f>(VLOOKUP('19.02'!R7,'19.02'!$AO$4:$AR$55,4,FALSE))</f>
        <v>0</v>
      </c>
      <c r="K7" s="4">
        <f>(VLOOKUP('19.02'!S7,'19.02'!$AO$4:$AR$55,4,FALSE))</f>
        <v>39.110982162825422</v>
      </c>
      <c r="L7" s="4">
        <f>(VLOOKUP('19.02'!T7,'19.02'!$AO$4:$AR$55,4,FALSE))</f>
        <v>39.110982162825422</v>
      </c>
      <c r="M7" s="4">
        <f>(VLOOKUP('19.02'!U7,'19.02'!$AO$4:$AR$55,4,FALSE))</f>
        <v>10</v>
      </c>
      <c r="N7" s="4">
        <f>(VLOOKUP('19.02'!V7,'19.02'!$AO$4:$AR$55,4,FALSE))</f>
        <v>39.110982162825422</v>
      </c>
      <c r="O7" s="4">
        <f>(VLOOKUP('19.02'!W7,'19.02'!$AO$4:$AR$55,4,FALSE))</f>
        <v>36</v>
      </c>
      <c r="P7" s="4">
        <f>(VLOOKUP('19.02'!X7,'19.02'!$AO$4:$AR$55,4,FALSE))</f>
        <v>36</v>
      </c>
      <c r="Q7" s="4">
        <f>(VLOOKUP('19.02'!Y7,'19.02'!$AO$4:$AR$55,4,FALSE))</f>
        <v>44.222109392472248</v>
      </c>
      <c r="R7" s="4">
        <f>(VLOOKUP('19.02'!Z7,'19.02'!$AO$4:$AR$55,4,FALSE))</f>
        <v>39.110982162825422</v>
      </c>
      <c r="S7" s="4">
        <f>(VLOOKUP('19.02'!AA7,'19.02'!$AO$4:$AR$55,4,FALSE))</f>
        <v>39.110982162825422</v>
      </c>
      <c r="T7" s="4">
        <f>(VLOOKUP('19.02'!AB7,'19.02'!$AO$4:$AR$55,4,FALSE))</f>
        <v>10</v>
      </c>
      <c r="U7" s="4">
        <f>(VLOOKUP('19.02'!AC7,'19.02'!$AO$4:$AR$55,4,FALSE))</f>
        <v>39.110982162825422</v>
      </c>
      <c r="V7" s="4">
        <f>(VLOOKUP('19.02'!AD7,'19.02'!$AO$4:$AR$55,4,FALSE))</f>
        <v>44.222109392472248</v>
      </c>
      <c r="W7" s="4">
        <f>(VLOOKUP('19.02'!AE7,'19.02'!$AO$4:$AR$55,4,FALSE))</f>
        <v>0</v>
      </c>
      <c r="X7" s="4">
        <f>(VLOOKUP('19.02'!AF7,'19.02'!$AO$4:$AR$55,4,FALSE))</f>
        <v>0</v>
      </c>
    </row>
    <row r="8" spans="1:24">
      <c r="A8" s="4">
        <f>(VLOOKUP('19.02'!I8,'19.02'!$AO$4:$AR$55,4,FALSE))</f>
        <v>0</v>
      </c>
      <c r="B8" s="4">
        <f>(VLOOKUP('19.02'!J8,'19.02'!$AO$4:$AR$55,4,FALSE))</f>
        <v>0</v>
      </c>
      <c r="C8" s="4">
        <f>(VLOOKUP('19.02'!K8,'19.02'!$AO$4:$AR$55,4,FALSE))</f>
        <v>0</v>
      </c>
      <c r="D8" s="4">
        <f>(VLOOKUP('19.02'!L8,'19.02'!$AO$4:$AR$55,4,FALSE))</f>
        <v>0</v>
      </c>
      <c r="E8" s="4">
        <f>(VLOOKUP('19.02'!M8,'19.02'!$AO$4:$AR$55,4,FALSE))</f>
        <v>0</v>
      </c>
      <c r="F8" s="4">
        <f>(VLOOKUP('19.02'!N8,'19.02'!$AO$4:$AR$55,4,FALSE))</f>
        <v>0</v>
      </c>
      <c r="G8" s="4">
        <f>(VLOOKUP('19.02'!O8,'19.02'!$AO$4:$AR$55,4,FALSE))</f>
        <v>0</v>
      </c>
      <c r="H8" s="4">
        <f>(VLOOKUP('19.02'!P8,'19.02'!$AO$4:$AR$55,4,FALSE))</f>
        <v>0</v>
      </c>
      <c r="I8" s="4">
        <f>(VLOOKUP('19.02'!Q8,'19.02'!$AO$4:$AR$55,4,FALSE))</f>
        <v>36</v>
      </c>
      <c r="J8" s="4">
        <f>(VLOOKUP('19.02'!R8,'19.02'!$AO$4:$AR$55,4,FALSE))</f>
        <v>10</v>
      </c>
      <c r="K8" s="4">
        <f>(VLOOKUP('19.02'!S8,'19.02'!$AO$4:$AR$55,4,FALSE))</f>
        <v>36</v>
      </c>
      <c r="L8" s="4">
        <f>(VLOOKUP('19.02'!T8,'19.02'!$AO$4:$AR$55,4,FALSE))</f>
        <v>34</v>
      </c>
      <c r="M8" s="4">
        <f>(VLOOKUP('19.02'!U8,'19.02'!$AO$4:$AR$55,4,FALSE))</f>
        <v>34</v>
      </c>
      <c r="N8" s="4">
        <f>(VLOOKUP('19.02'!V8,'19.02'!$AO$4:$AR$55,4,FALSE))</f>
        <v>0</v>
      </c>
      <c r="O8" s="4">
        <f>(VLOOKUP('19.02'!W8,'19.02'!$AO$4:$AR$55,4,FALSE))</f>
        <v>34</v>
      </c>
      <c r="P8" s="4">
        <f>(VLOOKUP('19.02'!X8,'19.02'!$AO$4:$AR$55,4,FALSE))</f>
        <v>34</v>
      </c>
      <c r="Q8" s="4">
        <f>(VLOOKUP('19.02'!Y8,'19.02'!$AO$4:$AR$55,4,FALSE))</f>
        <v>34</v>
      </c>
      <c r="R8" s="4">
        <f>(VLOOKUP('19.02'!Z8,'19.02'!$AO$4:$AR$55,4,FALSE))</f>
        <v>34</v>
      </c>
      <c r="S8" s="4">
        <f>(VLOOKUP('19.02'!AA8,'19.02'!$AO$4:$AR$55,4,FALSE))</f>
        <v>34</v>
      </c>
      <c r="T8" s="4">
        <f>(VLOOKUP('19.02'!AB8,'19.02'!$AO$4:$AR$55,4,FALSE))</f>
        <v>0</v>
      </c>
      <c r="U8" s="4">
        <f>(VLOOKUP('19.02'!AC8,'19.02'!$AO$4:$AR$55,4,FALSE))</f>
        <v>34</v>
      </c>
      <c r="V8" s="4">
        <f>(VLOOKUP('19.02'!AD8,'19.02'!$AO$4:$AR$55,4,FALSE))</f>
        <v>34</v>
      </c>
      <c r="W8" s="4">
        <f>(VLOOKUP('19.02'!AE8,'19.02'!$AO$4:$AR$55,4,FALSE))</f>
        <v>0</v>
      </c>
      <c r="X8" s="4">
        <f>(VLOOKUP('19.02'!AF8,'19.02'!$AO$4:$AR$55,4,FALSE))</f>
        <v>0</v>
      </c>
    </row>
    <row r="9" spans="1:24">
      <c r="A9" s="4">
        <f>(VLOOKUP('19.02'!I9,'19.02'!$AO$4:$AR$55,4,FALSE))</f>
        <v>0</v>
      </c>
      <c r="B9" s="4">
        <f>(VLOOKUP('19.02'!J9,'19.02'!$AO$4:$AR$55,4,FALSE))</f>
        <v>0</v>
      </c>
      <c r="C9" s="4">
        <f>(VLOOKUP('19.02'!K9,'19.02'!$AO$4:$AR$55,4,FALSE))</f>
        <v>0</v>
      </c>
      <c r="D9" s="4">
        <f>(VLOOKUP('19.02'!L9,'19.02'!$AO$4:$AR$55,4,FALSE))</f>
        <v>0</v>
      </c>
      <c r="E9" s="4">
        <f>(VLOOKUP('19.02'!M9,'19.02'!$AO$4:$AR$55,4,FALSE))</f>
        <v>0</v>
      </c>
      <c r="F9" s="4">
        <f>(VLOOKUP('19.02'!N9,'19.02'!$AO$4:$AR$55,4,FALSE))</f>
        <v>0</v>
      </c>
      <c r="G9" s="4">
        <f>(VLOOKUP('19.02'!O9,'19.02'!$AO$4:$AR$55,4,FALSE))</f>
        <v>0</v>
      </c>
      <c r="H9" s="4">
        <f>(VLOOKUP('19.02'!P9,'19.02'!$AO$4:$AR$55,4,FALSE))</f>
        <v>0</v>
      </c>
      <c r="I9" s="4">
        <f>(VLOOKUP('19.02'!Q9,'19.02'!$AO$4:$AR$55,4,FALSE))</f>
        <v>34</v>
      </c>
      <c r="J9" s="4">
        <f>(VLOOKUP('19.02'!R9,'19.02'!$AO$4:$AR$55,4,FALSE))</f>
        <v>34</v>
      </c>
      <c r="K9" s="4">
        <f>(VLOOKUP('19.02'!S9,'19.02'!$AO$4:$AR$55,4,FALSE))</f>
        <v>10</v>
      </c>
      <c r="L9" s="4">
        <f>(VLOOKUP('19.02'!T9,'19.02'!$AO$4:$AR$55,4,FALSE))</f>
        <v>34</v>
      </c>
      <c r="M9" s="4">
        <f>(VLOOKUP('19.02'!U9,'19.02'!$AO$4:$AR$55,4,FALSE))</f>
        <v>34</v>
      </c>
      <c r="N9" s="4">
        <f>(VLOOKUP('19.02'!V9,'19.02'!$AO$4:$AR$55,4,FALSE))</f>
        <v>34</v>
      </c>
      <c r="O9" s="4">
        <f>(VLOOKUP('19.02'!W9,'19.02'!$AO$4:$AR$55,4,FALSE))</f>
        <v>34</v>
      </c>
      <c r="P9" s="4">
        <f>(VLOOKUP('19.02'!X9,'19.02'!$AO$4:$AR$55,4,FALSE))</f>
        <v>10</v>
      </c>
      <c r="Q9" s="4">
        <f>(VLOOKUP('19.02'!Y9,'19.02'!$AO$4:$AR$55,4,FALSE))</f>
        <v>44.222109392472248</v>
      </c>
      <c r="R9" s="4">
        <f>(VLOOKUP('19.02'!Z9,'19.02'!$AO$4:$AR$55,4,FALSE))</f>
        <v>34</v>
      </c>
      <c r="S9" s="4">
        <f>(VLOOKUP('19.02'!AA9,'19.02'!$AO$4:$AR$55,4,FALSE))</f>
        <v>10</v>
      </c>
      <c r="T9" s="4">
        <f>(VLOOKUP('19.02'!AB9,'19.02'!$AO$4:$AR$55,4,FALSE))</f>
        <v>34</v>
      </c>
      <c r="U9" s="4">
        <f>(VLOOKUP('19.02'!AC9,'19.02'!$AO$4:$AR$55,4,FALSE))</f>
        <v>13.999854933178597</v>
      </c>
      <c r="V9" s="4">
        <f>(VLOOKUP('19.02'!AD9,'19.02'!$AO$4:$AR$55,4,FALSE))</f>
        <v>34</v>
      </c>
      <c r="W9" s="4">
        <f>(VLOOKUP('19.02'!AE9,'19.02'!$AO$4:$AR$55,4,FALSE))</f>
        <v>0</v>
      </c>
      <c r="X9" s="4">
        <f>(VLOOKUP('19.02'!AF9,'19.02'!$AO$4:$AR$55,4,FALSE))</f>
        <v>0</v>
      </c>
    </row>
    <row r="10" spans="1:24">
      <c r="A10" s="4">
        <f>(VLOOKUP('19.02'!I10,'19.02'!$AO$4:$AR$55,4,FALSE))</f>
        <v>0</v>
      </c>
      <c r="B10" s="4">
        <f>(VLOOKUP('19.02'!J10,'19.02'!$AO$4:$AR$55,4,FALSE))</f>
        <v>0</v>
      </c>
      <c r="C10" s="4">
        <f>(VLOOKUP('19.02'!K10,'19.02'!$AO$4:$AR$55,4,FALSE))</f>
        <v>0</v>
      </c>
      <c r="D10" s="4">
        <f>(VLOOKUP('19.02'!L10,'19.02'!$AO$4:$AR$55,4,FALSE))</f>
        <v>0</v>
      </c>
      <c r="E10" s="4">
        <f>(VLOOKUP('19.02'!M10,'19.02'!$AO$4:$AR$55,4,FALSE))</f>
        <v>0</v>
      </c>
      <c r="F10" s="4">
        <f>(VLOOKUP('19.02'!N10,'19.02'!$AO$4:$AR$55,4,FALSE))</f>
        <v>0</v>
      </c>
      <c r="G10" s="4">
        <f>(VLOOKUP('19.02'!O10,'19.02'!$AO$4:$AR$55,4,FALSE))</f>
        <v>0</v>
      </c>
      <c r="H10" s="4">
        <f>(VLOOKUP('19.02'!P10,'19.02'!$AO$4:$AR$55,4,FALSE))</f>
        <v>0</v>
      </c>
      <c r="I10" s="4">
        <f>(VLOOKUP('19.02'!Q10,'19.02'!$AO$4:$AR$55,4,FALSE))</f>
        <v>34</v>
      </c>
      <c r="J10" s="4">
        <f>(VLOOKUP('19.02'!R10,'19.02'!$AO$4:$AR$55,4,FALSE))</f>
        <v>34</v>
      </c>
      <c r="K10" s="4">
        <f>(VLOOKUP('19.02'!S10,'19.02'!$AO$4:$AR$55,4,FALSE))</f>
        <v>13.999854933178597</v>
      </c>
      <c r="L10" s="4">
        <f>(VLOOKUP('19.02'!T10,'19.02'!$AO$4:$AR$55,4,FALSE))</f>
        <v>34</v>
      </c>
      <c r="M10" s="4">
        <f>(VLOOKUP('19.02'!U10,'19.02'!$AO$4:$AR$55,4,FALSE))</f>
        <v>34</v>
      </c>
      <c r="N10" s="4">
        <f>(VLOOKUP('19.02'!V10,'19.02'!$AO$4:$AR$55,4,FALSE))</f>
        <v>34</v>
      </c>
      <c r="O10" s="4">
        <f>(VLOOKUP('19.02'!W10,'19.02'!$AO$4:$AR$55,4,FALSE))</f>
        <v>10</v>
      </c>
      <c r="P10" s="4">
        <f>(VLOOKUP('19.02'!X10,'19.02'!$AO$4:$AR$55,4,FALSE))</f>
        <v>0</v>
      </c>
      <c r="Q10" s="4">
        <f>(VLOOKUP('19.02'!Y10,'19.02'!$AO$4:$AR$55,4,FALSE))</f>
        <v>34</v>
      </c>
      <c r="R10" s="4">
        <f>(VLOOKUP('19.02'!Z10,'19.02'!$AO$4:$AR$55,4,FALSE))</f>
        <v>0</v>
      </c>
      <c r="S10" s="4">
        <f>(VLOOKUP('19.02'!AA10,'19.02'!$AO$4:$AR$55,4,FALSE))</f>
        <v>34</v>
      </c>
      <c r="T10" s="4">
        <f>(VLOOKUP('19.02'!AB10,'19.02'!$AO$4:$AR$55,4,FALSE))</f>
        <v>34</v>
      </c>
      <c r="U10" s="4">
        <f>(VLOOKUP('19.02'!AC10,'19.02'!$AO$4:$AR$55,4,FALSE))</f>
        <v>34</v>
      </c>
      <c r="V10" s="4">
        <f>(VLOOKUP('19.02'!AD10,'19.02'!$AO$4:$AR$55,4,FALSE))</f>
        <v>34</v>
      </c>
      <c r="W10" s="4">
        <f>(VLOOKUP('19.02'!AE10,'19.02'!$AO$4:$AR$55,4,FALSE))</f>
        <v>0</v>
      </c>
      <c r="X10" s="4">
        <f>(VLOOKUP('19.02'!AF10,'19.02'!$AO$4:$AR$55,4,FALSE))</f>
        <v>0</v>
      </c>
    </row>
    <row r="11" spans="1:24">
      <c r="A11" s="4">
        <f>(VLOOKUP('19.02'!I11,'19.02'!$AO$4:$AR$55,4,FALSE))</f>
        <v>0</v>
      </c>
      <c r="B11" s="4">
        <f>(VLOOKUP('19.02'!J11,'19.02'!$AO$4:$AR$55,4,FALSE))</f>
        <v>0</v>
      </c>
      <c r="C11" s="4">
        <f>(VLOOKUP('19.02'!K11,'19.02'!$AO$4:$AR$55,4,FALSE))</f>
        <v>0</v>
      </c>
      <c r="D11" s="4">
        <f>(VLOOKUP('19.02'!L11,'19.02'!$AO$4:$AR$55,4,FALSE))</f>
        <v>0</v>
      </c>
      <c r="E11" s="4">
        <f>(VLOOKUP('19.02'!M11,'19.02'!$AO$4:$AR$55,4,FALSE))</f>
        <v>0</v>
      </c>
      <c r="F11" s="4">
        <f>(VLOOKUP('19.02'!N11,'19.02'!$AO$4:$AR$55,4,FALSE))</f>
        <v>0</v>
      </c>
      <c r="G11" s="4">
        <f>(VLOOKUP('19.02'!O11,'19.02'!$AO$4:$AR$55,4,FALSE))</f>
        <v>0</v>
      </c>
      <c r="H11" s="4">
        <f>(VLOOKUP('19.02'!P11,'19.02'!$AO$4:$AR$55,4,FALSE))</f>
        <v>0</v>
      </c>
      <c r="I11" s="4">
        <f>(VLOOKUP('19.02'!Q11,'19.02'!$AO$4:$AR$55,4,FALSE))</f>
        <v>34</v>
      </c>
      <c r="J11" s="4">
        <f>(VLOOKUP('19.02'!R11,'19.02'!$AO$4:$AR$55,4,FALSE))</f>
        <v>34</v>
      </c>
      <c r="K11" s="4">
        <f>(VLOOKUP('19.02'!S11,'19.02'!$AO$4:$AR$55,4,FALSE))</f>
        <v>34</v>
      </c>
      <c r="L11" s="4">
        <f>(VLOOKUP('19.02'!T11,'19.02'!$AO$4:$AR$55,4,FALSE))</f>
        <v>10</v>
      </c>
      <c r="M11" s="4">
        <f>(VLOOKUP('19.02'!U11,'19.02'!$AO$4:$AR$55,4,FALSE))</f>
        <v>34</v>
      </c>
      <c r="N11" s="4">
        <f>(VLOOKUP('19.02'!V11,'19.02'!$AO$4:$AR$55,4,FALSE))</f>
        <v>34</v>
      </c>
      <c r="O11" s="4">
        <f>(VLOOKUP('19.02'!W11,'19.02'!$AO$4:$AR$55,4,FALSE))</f>
        <v>34</v>
      </c>
      <c r="P11" s="4">
        <f>(VLOOKUP('19.02'!X11,'19.02'!$AO$4:$AR$55,4,FALSE))</f>
        <v>34</v>
      </c>
      <c r="Q11" s="4">
        <f>(VLOOKUP('19.02'!Y11,'19.02'!$AO$4:$AR$55,4,FALSE))</f>
        <v>34</v>
      </c>
      <c r="R11" s="4">
        <f>(VLOOKUP('19.02'!Z11,'19.02'!$AO$4:$AR$55,4,FALSE))</f>
        <v>34</v>
      </c>
      <c r="S11" s="4">
        <f>(VLOOKUP('19.02'!AA11,'19.02'!$AO$4:$AR$55,4,FALSE))</f>
        <v>34</v>
      </c>
      <c r="T11" s="4">
        <f>(VLOOKUP('19.02'!AB11,'19.02'!$AO$4:$AR$55,4,FALSE))</f>
        <v>13.999854933178597</v>
      </c>
      <c r="U11" s="4">
        <f>(VLOOKUP('19.02'!AC11,'19.02'!$AO$4:$AR$55,4,FALSE))</f>
        <v>34</v>
      </c>
      <c r="V11" s="4">
        <f>(VLOOKUP('19.02'!AD11,'19.02'!$AO$4:$AR$55,4,FALSE))</f>
        <v>36</v>
      </c>
      <c r="W11" s="4">
        <f>(VLOOKUP('19.02'!AE11,'19.02'!$AO$4:$AR$55,4,FALSE))</f>
        <v>0</v>
      </c>
      <c r="X11" s="4">
        <f>(VLOOKUP('19.02'!AF11,'19.02'!$AO$4:$AR$55,4,FALSE))</f>
        <v>0</v>
      </c>
    </row>
    <row r="12" spans="1:24">
      <c r="A12" s="4">
        <f>(VLOOKUP('19.02'!I12,'19.02'!$AO$4:$AR$55,4,FALSE))</f>
        <v>0</v>
      </c>
      <c r="B12" s="4">
        <f>(VLOOKUP('19.02'!J12,'19.02'!$AO$4:$AR$55,4,FALSE))</f>
        <v>0</v>
      </c>
      <c r="C12" s="4">
        <f>(VLOOKUP('19.02'!K12,'19.02'!$AO$4:$AR$55,4,FALSE))</f>
        <v>0</v>
      </c>
      <c r="D12" s="4">
        <f>(VLOOKUP('19.02'!L12,'19.02'!$AO$4:$AR$55,4,FALSE))</f>
        <v>0</v>
      </c>
      <c r="E12" s="4">
        <f>(VLOOKUP('19.02'!M12,'19.02'!$AO$4:$AR$55,4,FALSE))</f>
        <v>0</v>
      </c>
      <c r="F12" s="4">
        <f>(VLOOKUP('19.02'!N12,'19.02'!$AO$4:$AR$55,4,FALSE))</f>
        <v>0</v>
      </c>
      <c r="G12" s="4">
        <f>(VLOOKUP('19.02'!O12,'19.02'!$AO$4:$AR$55,4,FALSE))</f>
        <v>0</v>
      </c>
      <c r="H12" s="4">
        <f>(VLOOKUP('19.02'!P12,'19.02'!$AO$4:$AR$55,4,FALSE))</f>
        <v>0</v>
      </c>
      <c r="I12" s="4">
        <f>(VLOOKUP('19.02'!Q12,'19.02'!$AO$4:$AR$55,4,FALSE))</f>
        <v>0</v>
      </c>
      <c r="J12" s="4">
        <f>(VLOOKUP('19.02'!R12,'19.02'!$AO$4:$AR$55,4,FALSE))</f>
        <v>34</v>
      </c>
      <c r="K12" s="4">
        <f>(VLOOKUP('19.02'!S12,'19.02'!$AO$4:$AR$55,4,FALSE))</f>
        <v>10</v>
      </c>
      <c r="L12" s="4">
        <f>(VLOOKUP('19.02'!T12,'19.02'!$AO$4:$AR$55,4,FALSE))</f>
        <v>34</v>
      </c>
      <c r="M12" s="4">
        <f>(VLOOKUP('19.02'!U12,'19.02'!$AO$4:$AR$55,4,FALSE))</f>
        <v>34</v>
      </c>
      <c r="N12" s="4">
        <f>(VLOOKUP('19.02'!V12,'19.02'!$AO$4:$AR$55,4,FALSE))</f>
        <v>34</v>
      </c>
      <c r="O12" s="4">
        <f>(VLOOKUP('19.02'!W12,'19.02'!$AO$4:$AR$55,4,FALSE))</f>
        <v>0</v>
      </c>
      <c r="P12" s="4">
        <f>(VLOOKUP('19.02'!X12,'19.02'!$AO$4:$AR$55,4,FALSE))</f>
        <v>0</v>
      </c>
      <c r="Q12" s="4">
        <f>(VLOOKUP('19.02'!Y12,'19.02'!$AO$4:$AR$55,4,FALSE))</f>
        <v>36</v>
      </c>
      <c r="R12" s="4">
        <f>(VLOOKUP('19.02'!Z12,'19.02'!$AO$4:$AR$55,4,FALSE))</f>
        <v>36</v>
      </c>
      <c r="S12" s="4">
        <f>(VLOOKUP('19.02'!AA12,'19.02'!$AO$4:$AR$55,4,FALSE))</f>
        <v>36</v>
      </c>
      <c r="T12" s="4">
        <f>(VLOOKUP('19.02'!AB12,'19.02'!$AO$4:$AR$55,4,FALSE))</f>
        <v>34</v>
      </c>
      <c r="U12" s="4">
        <f>(VLOOKUP('19.02'!AC12,'19.02'!$AO$4:$AR$55,4,FALSE))</f>
        <v>34</v>
      </c>
      <c r="V12" s="4">
        <f>(VLOOKUP('19.02'!AD12,'19.02'!$AO$4:$AR$55,4,FALSE))</f>
        <v>0</v>
      </c>
      <c r="W12" s="4">
        <f>(VLOOKUP('19.02'!AE12,'19.02'!$AO$4:$AR$55,4,FALSE))</f>
        <v>0</v>
      </c>
      <c r="X12" s="4">
        <f>(VLOOKUP('19.02'!AF12,'19.02'!$AO$4:$AR$55,4,FALSE))</f>
        <v>0</v>
      </c>
    </row>
    <row r="13" spans="1:24">
      <c r="A13" s="4">
        <f>(VLOOKUP('19.02'!I13,'19.02'!$AO$4:$AR$55,4,FALSE))</f>
        <v>0</v>
      </c>
      <c r="B13" s="4">
        <f>(VLOOKUP('19.02'!J13,'19.02'!$AO$4:$AR$55,4,FALSE))</f>
        <v>0</v>
      </c>
      <c r="C13" s="4">
        <f>(VLOOKUP('19.02'!K13,'19.02'!$AO$4:$AR$55,4,FALSE))</f>
        <v>0</v>
      </c>
      <c r="D13" s="4">
        <f>(VLOOKUP('19.02'!L13,'19.02'!$AO$4:$AR$55,4,FALSE))</f>
        <v>0</v>
      </c>
      <c r="E13" s="4">
        <f>(VLOOKUP('19.02'!M13,'19.02'!$AO$4:$AR$55,4,FALSE))</f>
        <v>0</v>
      </c>
      <c r="F13" s="4">
        <f>(VLOOKUP('19.02'!N13,'19.02'!$AO$4:$AR$55,4,FALSE))</f>
        <v>0</v>
      </c>
      <c r="G13" s="4">
        <f>(VLOOKUP('19.02'!O13,'19.02'!$AO$4:$AR$55,4,FALSE))</f>
        <v>0</v>
      </c>
      <c r="H13" s="4">
        <f>(VLOOKUP('19.02'!P13,'19.02'!$AO$4:$AR$55,4,FALSE))</f>
        <v>0</v>
      </c>
      <c r="I13" s="4">
        <f>(VLOOKUP('19.02'!Q13,'19.02'!$AO$4:$AR$55,4,FALSE))</f>
        <v>34</v>
      </c>
      <c r="J13" s="4">
        <f>(VLOOKUP('19.02'!R13,'19.02'!$AO$4:$AR$55,4,FALSE))</f>
        <v>34</v>
      </c>
      <c r="K13" s="4">
        <f>(VLOOKUP('19.02'!S13,'19.02'!$AO$4:$AR$55,4,FALSE))</f>
        <v>34</v>
      </c>
      <c r="L13" s="4">
        <f>(VLOOKUP('19.02'!T13,'19.02'!$AO$4:$AR$55,4,FALSE))</f>
        <v>34</v>
      </c>
      <c r="M13" s="4">
        <f>(VLOOKUP('19.02'!U13,'19.02'!$AO$4:$AR$55,4,FALSE))</f>
        <v>34</v>
      </c>
      <c r="N13" s="4">
        <f>(VLOOKUP('19.02'!V13,'19.02'!$AO$4:$AR$55,4,FALSE))</f>
        <v>34</v>
      </c>
      <c r="O13" s="4">
        <f>(VLOOKUP('19.02'!W13,'19.02'!$AO$4:$AR$55,4,FALSE))</f>
        <v>0</v>
      </c>
      <c r="P13" s="4">
        <f>(VLOOKUP('19.02'!X13,'19.02'!$AO$4:$AR$55,4,FALSE))</f>
        <v>0</v>
      </c>
      <c r="Q13" s="4">
        <f>(VLOOKUP('19.02'!Y13,'19.02'!$AO$4:$AR$55,4,FALSE))</f>
        <v>34</v>
      </c>
      <c r="R13" s="4">
        <f>(VLOOKUP('19.02'!Z13,'19.02'!$AO$4:$AR$55,4,FALSE))</f>
        <v>36</v>
      </c>
      <c r="S13" s="4">
        <f>(VLOOKUP('19.02'!AA13,'19.02'!$AO$4:$AR$55,4,FALSE))</f>
        <v>36</v>
      </c>
      <c r="T13" s="4">
        <f>(VLOOKUP('19.02'!AB13,'19.02'!$AO$4:$AR$55,4,FALSE))</f>
        <v>36</v>
      </c>
      <c r="U13" s="4">
        <f>(VLOOKUP('19.02'!AC13,'19.02'!$AO$4:$AR$55,4,FALSE))</f>
        <v>36</v>
      </c>
      <c r="V13" s="4">
        <f>(VLOOKUP('19.02'!AD13,'19.02'!$AO$4:$AR$55,4,FALSE))</f>
        <v>36</v>
      </c>
      <c r="W13" s="4">
        <f>(VLOOKUP('19.02'!AE13,'19.02'!$AO$4:$AR$55,4,FALSE))</f>
        <v>0</v>
      </c>
      <c r="X13" s="4">
        <f>(VLOOKUP('19.02'!AF13,'19.02'!$AO$4:$AR$55,4,FALSE))</f>
        <v>0</v>
      </c>
    </row>
    <row r="14" spans="1:24">
      <c r="A14" s="4">
        <f>(VLOOKUP('19.02'!I14,'19.02'!$AO$4:$AR$55,4,FALSE))</f>
        <v>0</v>
      </c>
      <c r="B14" s="4">
        <f>(VLOOKUP('19.02'!J14,'19.02'!$AO$4:$AR$55,4,FALSE))</f>
        <v>0</v>
      </c>
      <c r="C14" s="4">
        <f>(VLOOKUP('19.02'!K14,'19.02'!$AO$4:$AR$55,4,FALSE))</f>
        <v>0</v>
      </c>
      <c r="D14" s="4">
        <f>(VLOOKUP('19.02'!L14,'19.02'!$AO$4:$AR$55,4,FALSE))</f>
        <v>0</v>
      </c>
      <c r="E14" s="4">
        <f>(VLOOKUP('19.02'!M14,'19.02'!$AO$4:$AR$55,4,FALSE))</f>
        <v>0</v>
      </c>
      <c r="F14" s="4">
        <f>(VLOOKUP('19.02'!N14,'19.02'!$AO$4:$AR$55,4,FALSE))</f>
        <v>0</v>
      </c>
      <c r="G14" s="4">
        <f>(VLOOKUP('19.02'!O14,'19.02'!$AO$4:$AR$55,4,FALSE))</f>
        <v>0</v>
      </c>
      <c r="H14" s="4">
        <f>(VLOOKUP('19.02'!P14,'19.02'!$AO$4:$AR$55,4,FALSE))</f>
        <v>0</v>
      </c>
      <c r="I14" s="4">
        <f>(VLOOKUP('19.02'!Q14,'19.02'!$AO$4:$AR$55,4,FALSE))</f>
        <v>34</v>
      </c>
      <c r="J14" s="4">
        <f>(VLOOKUP('19.02'!R14,'19.02'!$AO$4:$AR$55,4,FALSE))</f>
        <v>0</v>
      </c>
      <c r="K14" s="4">
        <f>(VLOOKUP('19.02'!S14,'19.02'!$AO$4:$AR$55,4,FALSE))</f>
        <v>34</v>
      </c>
      <c r="L14" s="4">
        <f>(VLOOKUP('19.02'!T14,'19.02'!$AO$4:$AR$55,4,FALSE))</f>
        <v>34</v>
      </c>
      <c r="M14" s="4">
        <f>(VLOOKUP('19.02'!U14,'19.02'!$AO$4:$AR$55,4,FALSE))</f>
        <v>34</v>
      </c>
      <c r="N14" s="4">
        <f>(VLOOKUP('19.02'!V14,'19.02'!$AO$4:$AR$55,4,FALSE))</f>
        <v>34</v>
      </c>
      <c r="O14" s="4">
        <f>(VLOOKUP('19.02'!W14,'19.02'!$AO$4:$AR$55,4,FALSE))</f>
        <v>0</v>
      </c>
      <c r="P14" s="4">
        <f>(VLOOKUP('19.02'!X14,'19.02'!$AO$4:$AR$55,4,FALSE))</f>
        <v>0</v>
      </c>
      <c r="Q14" s="4">
        <f>(VLOOKUP('19.02'!Y14,'19.02'!$AO$4:$AR$55,4,FALSE))</f>
        <v>36</v>
      </c>
      <c r="R14" s="4">
        <f>(VLOOKUP('19.02'!Z14,'19.02'!$AO$4:$AR$55,4,FALSE))</f>
        <v>36</v>
      </c>
      <c r="S14" s="4">
        <f>(VLOOKUP('19.02'!AA14,'19.02'!$AO$4:$AR$55,4,FALSE))</f>
        <v>36</v>
      </c>
      <c r="T14" s="4">
        <f>(VLOOKUP('19.02'!AB14,'19.02'!$AO$4:$AR$55,4,FALSE))</f>
        <v>34</v>
      </c>
      <c r="U14" s="4">
        <f>(VLOOKUP('19.02'!AC14,'19.02'!$AO$4:$AR$55,4,FALSE))</f>
        <v>13.999854933178597</v>
      </c>
      <c r="V14" s="4">
        <f>(VLOOKUP('19.02'!AD14,'19.02'!$AO$4:$AR$55,4,FALSE))</f>
        <v>34</v>
      </c>
      <c r="W14" s="4">
        <f>(VLOOKUP('19.02'!AE14,'19.02'!$AO$4:$AR$55,4,FALSE))</f>
        <v>0</v>
      </c>
      <c r="X14" s="4">
        <f>(VLOOKUP('19.02'!AF14,'19.02'!$AO$4:$AR$55,4,FALSE))</f>
        <v>0</v>
      </c>
    </row>
    <row r="15" spans="1:24">
      <c r="A15" s="4">
        <f>(VLOOKUP('19.02'!I15,'19.02'!$AO$4:$AR$55,4,FALSE))</f>
        <v>0</v>
      </c>
      <c r="B15" s="4">
        <f>(VLOOKUP('19.02'!J15,'19.02'!$AO$4:$AR$55,4,FALSE))</f>
        <v>0</v>
      </c>
      <c r="C15" s="4">
        <f>(VLOOKUP('19.02'!K15,'19.02'!$AO$4:$AR$55,4,FALSE))</f>
        <v>0</v>
      </c>
      <c r="D15" s="4">
        <f>(VLOOKUP('19.02'!L15,'19.02'!$AO$4:$AR$55,4,FALSE))</f>
        <v>0</v>
      </c>
      <c r="E15" s="4">
        <f>(VLOOKUP('19.02'!M15,'19.02'!$AO$4:$AR$55,4,FALSE))</f>
        <v>0</v>
      </c>
      <c r="F15" s="4">
        <f>(VLOOKUP('19.02'!N15,'19.02'!$AO$4:$AR$55,4,FALSE))</f>
        <v>0</v>
      </c>
      <c r="G15" s="4">
        <f>(VLOOKUP('19.02'!O15,'19.02'!$AO$4:$AR$55,4,FALSE))</f>
        <v>0</v>
      </c>
      <c r="H15" s="4">
        <f>(VLOOKUP('19.02'!P15,'19.02'!$AO$4:$AR$55,4,FALSE))</f>
        <v>0</v>
      </c>
      <c r="I15" s="4">
        <f>(VLOOKUP('19.02'!Q15,'19.02'!$AO$4:$AR$55,4,FALSE))</f>
        <v>34</v>
      </c>
      <c r="J15" s="4">
        <f>(VLOOKUP('19.02'!R15,'19.02'!$AO$4:$AR$55,4,FALSE))</f>
        <v>34</v>
      </c>
      <c r="K15" s="4">
        <f>(VLOOKUP('19.02'!S15,'19.02'!$AO$4:$AR$55,4,FALSE))</f>
        <v>34</v>
      </c>
      <c r="L15" s="4">
        <f>(VLOOKUP('19.02'!T15,'19.02'!$AO$4:$AR$55,4,FALSE))</f>
        <v>38</v>
      </c>
      <c r="M15" s="4">
        <f>(VLOOKUP('19.02'!U15,'19.02'!$AO$4:$AR$55,4,FALSE))</f>
        <v>38</v>
      </c>
      <c r="N15" s="4">
        <f>(VLOOKUP('19.02'!V15,'19.02'!$AO$4:$AR$55,4,FALSE))</f>
        <v>38</v>
      </c>
      <c r="O15" s="4">
        <f>(VLOOKUP('19.02'!W15,'19.02'!$AO$4:$AR$55,4,FALSE))</f>
        <v>0</v>
      </c>
      <c r="P15" s="4">
        <f>(VLOOKUP('19.02'!X15,'19.02'!$AO$4:$AR$55,4,FALSE))</f>
        <v>0</v>
      </c>
      <c r="Q15" s="4">
        <f>(VLOOKUP('19.02'!Y15,'19.02'!$AO$4:$AR$55,4,FALSE))</f>
        <v>10</v>
      </c>
      <c r="R15" s="4">
        <f>(VLOOKUP('19.02'!Z15,'19.02'!$AO$4:$AR$55,4,FALSE))</f>
        <v>34</v>
      </c>
      <c r="S15" s="4">
        <f>(VLOOKUP('19.02'!AA15,'19.02'!$AO$4:$AR$55,4,FALSE))</f>
        <v>34</v>
      </c>
      <c r="T15" s="4">
        <f>(VLOOKUP('19.02'!AB15,'19.02'!$AO$4:$AR$55,4,FALSE))</f>
        <v>34</v>
      </c>
      <c r="U15" s="4">
        <f>(VLOOKUP('19.02'!AC15,'19.02'!$AO$4:$AR$55,4,FALSE))</f>
        <v>0</v>
      </c>
      <c r="V15" s="4">
        <f>(VLOOKUP('19.02'!AD15,'19.02'!$AO$4:$AR$55,4,FALSE))</f>
        <v>0</v>
      </c>
      <c r="W15" s="4">
        <f>(VLOOKUP('19.02'!AE15,'19.02'!$AO$4:$AR$55,4,FALSE))</f>
        <v>0</v>
      </c>
      <c r="X15" s="4">
        <f>(VLOOKUP('19.02'!AF15,'19.02'!$AO$4:$AR$55,4,FALSE))</f>
        <v>0</v>
      </c>
    </row>
    <row r="16" spans="1:24">
      <c r="A16" s="4">
        <f>(VLOOKUP('19.02'!I16,'19.02'!$AO$4:$AR$55,4,FALSE))</f>
        <v>0</v>
      </c>
      <c r="B16" s="4">
        <f>(VLOOKUP('19.02'!J16,'19.02'!$AO$4:$AR$55,4,FALSE))</f>
        <v>0</v>
      </c>
      <c r="C16" s="4">
        <f>(VLOOKUP('19.02'!K16,'19.02'!$AO$4:$AR$55,4,FALSE))</f>
        <v>0</v>
      </c>
      <c r="D16" s="4">
        <f>(VLOOKUP('19.02'!L16,'19.02'!$AO$4:$AR$55,4,FALSE))</f>
        <v>0</v>
      </c>
      <c r="E16" s="4">
        <f>(VLOOKUP('19.02'!M16,'19.02'!$AO$4:$AR$55,4,FALSE))</f>
        <v>0</v>
      </c>
      <c r="F16" s="4">
        <f>(VLOOKUP('19.02'!N16,'19.02'!$AO$4:$AR$55,4,FALSE))</f>
        <v>0</v>
      </c>
      <c r="G16" s="4">
        <f>(VLOOKUP('19.02'!O16,'19.02'!$AO$4:$AR$55,4,FALSE))</f>
        <v>0</v>
      </c>
      <c r="H16" s="4">
        <f>(VLOOKUP('19.02'!P16,'19.02'!$AO$4:$AR$55,4,FALSE))</f>
        <v>0</v>
      </c>
      <c r="I16" s="4">
        <f>(VLOOKUP('19.02'!Q16,'19.02'!$AO$4:$AR$55,4,FALSE))</f>
        <v>38</v>
      </c>
      <c r="J16" s="4">
        <f>(VLOOKUP('19.02'!R16,'19.02'!$AO$4:$AR$55,4,FALSE))</f>
        <v>34</v>
      </c>
      <c r="K16" s="4">
        <f>(VLOOKUP('19.02'!S16,'19.02'!$AO$4:$AR$55,4,FALSE))</f>
        <v>34</v>
      </c>
      <c r="L16" s="4">
        <f>(VLOOKUP('19.02'!T16,'19.02'!$AO$4:$AR$55,4,FALSE))</f>
        <v>34</v>
      </c>
      <c r="M16" s="4">
        <f>(VLOOKUP('19.02'!U16,'19.02'!$AO$4:$AR$55,4,FALSE))</f>
        <v>34</v>
      </c>
      <c r="N16" s="4">
        <f>(VLOOKUP('19.02'!V16,'19.02'!$AO$4:$AR$55,4,FALSE))</f>
        <v>34</v>
      </c>
      <c r="O16" s="4">
        <f>(VLOOKUP('19.02'!W16,'19.02'!$AO$4:$AR$55,4,FALSE))</f>
        <v>0</v>
      </c>
      <c r="P16" s="4">
        <f>(VLOOKUP('19.02'!X16,'19.02'!$AO$4:$AR$55,4,FALSE))</f>
        <v>0</v>
      </c>
      <c r="Q16" s="4">
        <f>(VLOOKUP('19.02'!Y16,'19.02'!$AO$4:$AR$55,4,FALSE))</f>
        <v>0</v>
      </c>
      <c r="R16" s="4">
        <f>(VLOOKUP('19.02'!Z16,'19.02'!$AO$4:$AR$55,4,FALSE))</f>
        <v>0</v>
      </c>
      <c r="S16" s="4">
        <f>(VLOOKUP('19.02'!AA16,'19.02'!$AO$4:$AR$55,4,FALSE))</f>
        <v>0</v>
      </c>
      <c r="T16" s="4">
        <f>(VLOOKUP('19.02'!AB16,'19.02'!$AO$4:$AR$55,4,FALSE))</f>
        <v>0</v>
      </c>
      <c r="U16" s="4">
        <f>(VLOOKUP('19.02'!AC16,'19.02'!$AO$4:$AR$55,4,FALSE))</f>
        <v>0</v>
      </c>
      <c r="V16" s="4">
        <f>(VLOOKUP('19.02'!AD16,'19.02'!$AO$4:$AR$55,4,FALSE))</f>
        <v>0</v>
      </c>
      <c r="W16" s="4">
        <f>(VLOOKUP('19.02'!AE16,'19.02'!$AO$4:$AR$55,4,FALSE))</f>
        <v>0</v>
      </c>
      <c r="X16" s="4">
        <f>(VLOOKUP('19.02'!AF16,'19.02'!$AO$4:$AR$55,4,FALSE))</f>
        <v>0</v>
      </c>
    </row>
    <row r="17" spans="1:24">
      <c r="A17" s="4">
        <f>(VLOOKUP('19.02'!I17,'19.02'!$AO$4:$AR$55,4,FALSE))</f>
        <v>0</v>
      </c>
      <c r="B17" s="4">
        <f>(VLOOKUP('19.02'!J17,'19.02'!$AO$4:$AR$55,4,FALSE))</f>
        <v>0</v>
      </c>
      <c r="C17" s="4">
        <f>(VLOOKUP('19.02'!K17,'19.02'!$AO$4:$AR$55,4,FALSE))</f>
        <v>0</v>
      </c>
      <c r="D17" s="4">
        <f>(VLOOKUP('19.02'!L17,'19.02'!$AO$4:$AR$55,4,FALSE))</f>
        <v>0</v>
      </c>
      <c r="E17" s="4">
        <f>(VLOOKUP('19.02'!M17,'19.02'!$AO$4:$AR$55,4,FALSE))</f>
        <v>0</v>
      </c>
      <c r="F17" s="4">
        <f>(VLOOKUP('19.02'!N17,'19.02'!$AO$4:$AR$55,4,FALSE))</f>
        <v>0</v>
      </c>
      <c r="G17" s="4">
        <f>(VLOOKUP('19.02'!O17,'19.02'!$AO$4:$AR$55,4,FALSE))</f>
        <v>0</v>
      </c>
      <c r="H17" s="4">
        <f>(VLOOKUP('19.02'!P17,'19.02'!$AO$4:$AR$55,4,FALSE))</f>
        <v>0</v>
      </c>
      <c r="I17" s="4">
        <f>(VLOOKUP('19.02'!Q17,'19.02'!$AO$4:$AR$55,4,FALSE))</f>
        <v>0</v>
      </c>
      <c r="J17" s="4">
        <f>(VLOOKUP('19.02'!R17,'19.02'!$AO$4:$AR$55,4,FALSE))</f>
        <v>34</v>
      </c>
      <c r="K17" s="4">
        <f>(VLOOKUP('19.02'!S17,'19.02'!$AO$4:$AR$55,4,FALSE))</f>
        <v>34</v>
      </c>
      <c r="L17" s="4">
        <f>(VLOOKUP('19.02'!T17,'19.02'!$AO$4:$AR$55,4,FALSE))</f>
        <v>34</v>
      </c>
      <c r="M17" s="4">
        <f>(VLOOKUP('19.02'!U17,'19.02'!$AO$4:$AR$55,4,FALSE))</f>
        <v>34</v>
      </c>
      <c r="N17" s="4">
        <f>(VLOOKUP('19.02'!V17,'19.02'!$AO$4:$AR$55,4,FALSE))</f>
        <v>38</v>
      </c>
      <c r="O17" s="4">
        <f>(VLOOKUP('19.02'!W17,'19.02'!$AO$4:$AR$55,4,FALSE))</f>
        <v>0</v>
      </c>
      <c r="P17" s="4">
        <f>(VLOOKUP('19.02'!X17,'19.02'!$AO$4:$AR$55,4,FALSE))</f>
        <v>0</v>
      </c>
      <c r="Q17" s="4">
        <f>(VLOOKUP('19.02'!Y17,'19.02'!$AO$4:$AR$55,4,FALSE))</f>
        <v>34</v>
      </c>
      <c r="R17" s="4">
        <f>(VLOOKUP('19.02'!Z17,'19.02'!$AO$4:$AR$55,4,FALSE))</f>
        <v>34</v>
      </c>
      <c r="S17" s="4">
        <f>(VLOOKUP('19.02'!AA17,'19.02'!$AO$4:$AR$55,4,FALSE))</f>
        <v>34</v>
      </c>
      <c r="T17" s="4">
        <f>(VLOOKUP('19.02'!AB17,'19.02'!$AO$4:$AR$55,4,FALSE))</f>
        <v>38</v>
      </c>
      <c r="U17" s="4">
        <f>(VLOOKUP('19.02'!AC17,'19.02'!$AO$4:$AR$55,4,FALSE))</f>
        <v>34</v>
      </c>
      <c r="V17" s="4">
        <f>(VLOOKUP('19.02'!AD17,'19.02'!$AO$4:$AR$55,4,FALSE))</f>
        <v>34</v>
      </c>
      <c r="W17" s="4">
        <f>(VLOOKUP('19.02'!AE17,'19.02'!$AO$4:$AR$55,4,FALSE))</f>
        <v>10</v>
      </c>
      <c r="X17" s="4">
        <f>(VLOOKUP('19.02'!AF17,'19.02'!$AO$4:$AR$55,4,FALSE))</f>
        <v>34</v>
      </c>
    </row>
    <row r="18" spans="1:24">
      <c r="A18" s="4">
        <f>(VLOOKUP('19.02'!I18,'19.02'!$AO$4:$AR$55,4,FALSE))</f>
        <v>0</v>
      </c>
      <c r="B18" s="4">
        <f>(VLOOKUP('19.02'!J18,'19.02'!$AO$4:$AR$55,4,FALSE))</f>
        <v>0</v>
      </c>
      <c r="C18" s="4">
        <f>(VLOOKUP('19.02'!K18,'19.02'!$AO$4:$AR$55,4,FALSE))</f>
        <v>0</v>
      </c>
      <c r="D18" s="4">
        <f>(VLOOKUP('19.02'!L18,'19.02'!$AO$4:$AR$55,4,FALSE))</f>
        <v>0</v>
      </c>
      <c r="E18" s="4">
        <f>(VLOOKUP('19.02'!M18,'19.02'!$AO$4:$AR$55,4,FALSE))</f>
        <v>0</v>
      </c>
      <c r="F18" s="4">
        <f>(VLOOKUP('19.02'!N18,'19.02'!$AO$4:$AR$55,4,FALSE))</f>
        <v>0</v>
      </c>
      <c r="G18" s="4">
        <f>(VLOOKUP('19.02'!O18,'19.02'!$AO$4:$AR$55,4,FALSE))</f>
        <v>0</v>
      </c>
      <c r="H18" s="4">
        <f>(VLOOKUP('19.02'!P18,'19.02'!$AO$4:$AR$55,4,FALSE))</f>
        <v>0</v>
      </c>
      <c r="I18" s="4">
        <f>(VLOOKUP('19.02'!Q18,'19.02'!$AO$4:$AR$55,4,FALSE))</f>
        <v>38</v>
      </c>
      <c r="J18" s="4">
        <f>(VLOOKUP('19.02'!R18,'19.02'!$AO$4:$AR$55,4,FALSE))</f>
        <v>38</v>
      </c>
      <c r="K18" s="4">
        <f>(VLOOKUP('19.02'!S18,'19.02'!$AO$4:$AR$55,4,FALSE))</f>
        <v>38</v>
      </c>
      <c r="L18" s="4">
        <f>(VLOOKUP('19.02'!T18,'19.02'!$AO$4:$AR$55,4,FALSE))</f>
        <v>38</v>
      </c>
      <c r="M18" s="4">
        <f>(VLOOKUP('19.02'!U18,'19.02'!$AO$4:$AR$55,4,FALSE))</f>
        <v>34</v>
      </c>
      <c r="N18" s="4">
        <f>(VLOOKUP('19.02'!V18,'19.02'!$AO$4:$AR$55,4,FALSE))</f>
        <v>34</v>
      </c>
      <c r="O18" s="4">
        <f>(VLOOKUP('19.02'!W18,'19.02'!$AO$4:$AR$55,4,FALSE))</f>
        <v>0</v>
      </c>
      <c r="P18" s="4">
        <f>(VLOOKUP('19.02'!X18,'19.02'!$AO$4:$AR$55,4,FALSE))</f>
        <v>0</v>
      </c>
      <c r="Q18" s="4">
        <f>(VLOOKUP('19.02'!Y18,'19.02'!$AO$4:$AR$55,4,FALSE))</f>
        <v>34</v>
      </c>
      <c r="R18" s="4">
        <f>(VLOOKUP('19.02'!Z18,'19.02'!$AO$4:$AR$55,4,FALSE))</f>
        <v>10</v>
      </c>
      <c r="S18" s="4">
        <f>(VLOOKUP('19.02'!AA18,'19.02'!$AO$4:$AR$55,4,FALSE))</f>
        <v>34</v>
      </c>
      <c r="T18" s="4">
        <f>(VLOOKUP('19.02'!AB18,'19.02'!$AO$4:$AR$55,4,FALSE))</f>
        <v>34</v>
      </c>
      <c r="U18" s="4">
        <f>(VLOOKUP('19.02'!AC18,'19.02'!$AO$4:$AR$55,4,FALSE))</f>
        <v>34</v>
      </c>
      <c r="V18" s="4">
        <f>(VLOOKUP('19.02'!AD18,'19.02'!$AO$4:$AR$55,4,FALSE))</f>
        <v>36</v>
      </c>
      <c r="W18" s="4">
        <f>(VLOOKUP('19.02'!AE18,'19.02'!$AO$4:$AR$55,4,FALSE))</f>
        <v>36</v>
      </c>
      <c r="X18" s="4">
        <f>(VLOOKUP('19.02'!AF18,'19.02'!$AO$4:$AR$55,4,FALSE))</f>
        <v>36</v>
      </c>
    </row>
    <row r="19" spans="1:24">
      <c r="A19" s="4">
        <f>(VLOOKUP('19.02'!I19,'19.02'!$AO$4:$AR$55,4,FALSE))</f>
        <v>0</v>
      </c>
      <c r="B19" s="4">
        <f>(VLOOKUP('19.02'!J19,'19.02'!$AO$4:$AR$55,4,FALSE))</f>
        <v>0</v>
      </c>
      <c r="C19" s="4">
        <f>(VLOOKUP('19.02'!K19,'19.02'!$AO$4:$AR$55,4,FALSE))</f>
        <v>0</v>
      </c>
      <c r="D19" s="4">
        <f>(VLOOKUP('19.02'!L19,'19.02'!$AO$4:$AR$55,4,FALSE))</f>
        <v>0</v>
      </c>
      <c r="E19" s="4">
        <f>(VLOOKUP('19.02'!M19,'19.02'!$AO$4:$AR$55,4,FALSE))</f>
        <v>0</v>
      </c>
      <c r="F19" s="4">
        <f>(VLOOKUP('19.02'!N19,'19.02'!$AO$4:$AR$55,4,FALSE))</f>
        <v>0</v>
      </c>
      <c r="G19" s="4">
        <f>(VLOOKUP('19.02'!O19,'19.02'!$AO$4:$AR$55,4,FALSE))</f>
        <v>0</v>
      </c>
      <c r="H19" s="4">
        <f>(VLOOKUP('19.02'!P19,'19.02'!$AO$4:$AR$55,4,FALSE))</f>
        <v>0</v>
      </c>
      <c r="I19" s="4">
        <f>(VLOOKUP('19.02'!Q19,'19.02'!$AO$4:$AR$55,4,FALSE))</f>
        <v>38</v>
      </c>
      <c r="J19" s="4">
        <f>(VLOOKUP('19.02'!R19,'19.02'!$AO$4:$AR$55,4,FALSE))</f>
        <v>38</v>
      </c>
      <c r="K19" s="4">
        <f>(VLOOKUP('19.02'!S19,'19.02'!$AO$4:$AR$55,4,FALSE))</f>
        <v>38</v>
      </c>
      <c r="L19" s="4">
        <f>(VLOOKUP('19.02'!T19,'19.02'!$AO$4:$AR$55,4,FALSE))</f>
        <v>38</v>
      </c>
      <c r="M19" s="4">
        <f>(VLOOKUP('19.02'!U19,'19.02'!$AO$4:$AR$55,4,FALSE))</f>
        <v>38</v>
      </c>
      <c r="N19" s="4">
        <f>(VLOOKUP('19.02'!V19,'19.02'!$AO$4:$AR$55,4,FALSE))</f>
        <v>38</v>
      </c>
      <c r="O19" s="4">
        <f>(VLOOKUP('19.02'!W19,'19.02'!$AO$4:$AR$55,4,FALSE))</f>
        <v>10</v>
      </c>
      <c r="P19" s="4">
        <f>(VLOOKUP('19.02'!X19,'19.02'!$AO$4:$AR$55,4,FALSE))</f>
        <v>38</v>
      </c>
      <c r="Q19" s="4">
        <f>(VLOOKUP('19.02'!Y19,'19.02'!$AO$4:$AR$55,4,FALSE))</f>
        <v>10</v>
      </c>
      <c r="R19" s="4">
        <f>(VLOOKUP('19.02'!Z19,'19.02'!$AO$4:$AR$55,4,FALSE))</f>
        <v>36</v>
      </c>
      <c r="S19" s="4">
        <f>(VLOOKUP('19.02'!AA19,'19.02'!$AO$4:$AR$55,4,FALSE))</f>
        <v>44.222109392472248</v>
      </c>
      <c r="T19" s="4">
        <f>(VLOOKUP('19.02'!AB19,'19.02'!$AO$4:$AR$55,4,FALSE))</f>
        <v>36</v>
      </c>
      <c r="U19" s="4">
        <f>(VLOOKUP('19.02'!AC19,'19.02'!$AO$4:$AR$55,4,FALSE))</f>
        <v>36</v>
      </c>
      <c r="V19" s="4">
        <f>(VLOOKUP('19.02'!AD19,'19.02'!$AO$4:$AR$55,4,FALSE))</f>
        <v>10</v>
      </c>
      <c r="W19" s="4">
        <f>(VLOOKUP('19.02'!AE19,'19.02'!$AO$4:$AR$55,4,FALSE))</f>
        <v>38</v>
      </c>
      <c r="X19" s="4">
        <f>(VLOOKUP('19.02'!AF19,'19.02'!$AO$4:$AR$55,4,FALSE))</f>
        <v>38</v>
      </c>
    </row>
    <row r="20" spans="1:24">
      <c r="A20" s="4">
        <f>(VLOOKUP('19.02'!I20,'19.02'!$AO$4:$AR$55,4,FALSE))</f>
        <v>0</v>
      </c>
      <c r="B20" s="4">
        <f>(VLOOKUP('19.02'!J20,'19.02'!$AO$4:$AR$55,4,FALSE))</f>
        <v>0</v>
      </c>
      <c r="C20" s="4">
        <f>(VLOOKUP('19.02'!K20,'19.02'!$AO$4:$AR$55,4,FALSE))</f>
        <v>0</v>
      </c>
      <c r="D20" s="4">
        <f>(VLOOKUP('19.02'!L20,'19.02'!$AO$4:$AR$55,4,FALSE))</f>
        <v>0</v>
      </c>
      <c r="E20" s="4">
        <f>(VLOOKUP('19.02'!M20,'19.02'!$AO$4:$AR$55,4,FALSE))</f>
        <v>0</v>
      </c>
      <c r="F20" s="4">
        <f>(VLOOKUP('19.02'!N20,'19.02'!$AO$4:$AR$55,4,FALSE))</f>
        <v>0</v>
      </c>
      <c r="G20" s="4">
        <f>(VLOOKUP('19.02'!O20,'19.02'!$AO$4:$AR$55,4,FALSE))</f>
        <v>0</v>
      </c>
      <c r="H20" s="4">
        <f>(VLOOKUP('19.02'!P20,'19.02'!$AO$4:$AR$55,4,FALSE))</f>
        <v>0</v>
      </c>
      <c r="I20" s="4">
        <f>(VLOOKUP('19.02'!Q20,'19.02'!$AO$4:$AR$55,4,FALSE))</f>
        <v>38</v>
      </c>
      <c r="J20" s="4">
        <f>(VLOOKUP('19.02'!R20,'19.02'!$AO$4:$AR$55,4,FALSE))</f>
        <v>38</v>
      </c>
      <c r="K20" s="4">
        <f>(VLOOKUP('19.02'!S20,'19.02'!$AO$4:$AR$55,4,FALSE))</f>
        <v>38</v>
      </c>
      <c r="L20" s="4">
        <f>(VLOOKUP('19.02'!T20,'19.02'!$AO$4:$AR$55,4,FALSE))</f>
        <v>38</v>
      </c>
      <c r="M20" s="4">
        <f>(VLOOKUP('19.02'!U20,'19.02'!$AO$4:$AR$55,4,FALSE))</f>
        <v>38</v>
      </c>
      <c r="N20" s="4">
        <f>(VLOOKUP('19.02'!V20,'19.02'!$AO$4:$AR$55,4,FALSE))</f>
        <v>38</v>
      </c>
      <c r="O20" s="4">
        <f>(VLOOKUP('19.02'!W20,'19.02'!$AO$4:$AR$55,4,FALSE))</f>
        <v>0</v>
      </c>
      <c r="P20" s="4">
        <f>(VLOOKUP('19.02'!X20,'19.02'!$AO$4:$AR$55,4,FALSE))</f>
        <v>0</v>
      </c>
      <c r="Q20" s="4">
        <f>(VLOOKUP('19.02'!Y20,'19.02'!$AO$4:$AR$55,4,FALSE))</f>
        <v>38</v>
      </c>
      <c r="R20" s="4">
        <f>(VLOOKUP('19.02'!Z20,'19.02'!$AO$4:$AR$55,4,FALSE))</f>
        <v>38</v>
      </c>
      <c r="S20" s="4">
        <f>(VLOOKUP('19.02'!AA20,'19.02'!$AO$4:$AR$55,4,FALSE))</f>
        <v>38</v>
      </c>
      <c r="T20" s="4">
        <f>(VLOOKUP('19.02'!AB20,'19.02'!$AO$4:$AR$55,4,FALSE))</f>
        <v>38</v>
      </c>
      <c r="U20" s="4">
        <f>(VLOOKUP('19.02'!AC20,'19.02'!$AO$4:$AR$55,4,FALSE))</f>
        <v>38</v>
      </c>
      <c r="V20" s="4">
        <f>(VLOOKUP('19.02'!AD20,'19.02'!$AO$4:$AR$55,4,FALSE))</f>
        <v>38</v>
      </c>
      <c r="W20" s="4">
        <f>(VLOOKUP('19.02'!AE20,'19.02'!$AO$4:$AR$55,4,FALSE))</f>
        <v>38</v>
      </c>
      <c r="X20" s="4">
        <f>(VLOOKUP('19.02'!AF20,'19.02'!$AO$4:$AR$55,4,FALSE))</f>
        <v>38</v>
      </c>
    </row>
    <row r="21" spans="1:24">
      <c r="A21" s="4">
        <f>(VLOOKUP('19.02'!I21,'19.02'!$AO$4:$AR$55,4,FALSE))</f>
        <v>0</v>
      </c>
      <c r="B21" s="4">
        <f>(VLOOKUP('19.02'!J21,'19.02'!$AO$4:$AR$55,4,FALSE))</f>
        <v>0</v>
      </c>
      <c r="C21" s="4">
        <f>(VLOOKUP('19.02'!K21,'19.02'!$AO$4:$AR$55,4,FALSE))</f>
        <v>0</v>
      </c>
      <c r="D21" s="4">
        <f>(VLOOKUP('19.02'!L21,'19.02'!$AO$4:$AR$55,4,FALSE))</f>
        <v>0</v>
      </c>
      <c r="E21" s="4">
        <f>(VLOOKUP('19.02'!M21,'19.02'!$AO$4:$AR$55,4,FALSE))</f>
        <v>0</v>
      </c>
      <c r="F21" s="4">
        <f>(VLOOKUP('19.02'!N21,'19.02'!$AO$4:$AR$55,4,FALSE))</f>
        <v>0</v>
      </c>
      <c r="G21" s="4">
        <f>(VLOOKUP('19.02'!O21,'19.02'!$AO$4:$AR$55,4,FALSE))</f>
        <v>0</v>
      </c>
      <c r="H21" s="4">
        <f>(VLOOKUP('19.02'!P21,'19.02'!$AO$4:$AR$55,4,FALSE))</f>
        <v>0</v>
      </c>
      <c r="I21" s="4">
        <f>(VLOOKUP('19.02'!Q21,'19.02'!$AO$4:$AR$55,4,FALSE))</f>
        <v>0</v>
      </c>
      <c r="J21" s="4">
        <f>(VLOOKUP('19.02'!R21,'19.02'!$AO$4:$AR$55,4,FALSE))</f>
        <v>0</v>
      </c>
      <c r="K21" s="4">
        <f>(VLOOKUP('19.02'!S21,'19.02'!$AO$4:$AR$55,4,FALSE))</f>
        <v>0</v>
      </c>
      <c r="L21" s="4">
        <f>(VLOOKUP('19.02'!T21,'19.02'!$AO$4:$AR$55,4,FALSE))</f>
        <v>0</v>
      </c>
      <c r="M21" s="4">
        <f>(VLOOKUP('19.02'!U21,'19.02'!$AO$4:$AR$55,4,FALSE))</f>
        <v>0</v>
      </c>
      <c r="N21" s="4">
        <f>(VLOOKUP('19.02'!V21,'19.02'!$AO$4:$AR$55,4,FALSE))</f>
        <v>10</v>
      </c>
      <c r="O21" s="4">
        <f>(VLOOKUP('19.02'!W21,'19.02'!$AO$4:$AR$55,4,FALSE))</f>
        <v>0</v>
      </c>
      <c r="P21" s="4">
        <f>(VLOOKUP('19.02'!X21,'19.02'!$AO$4:$AR$55,4,FALSE))</f>
        <v>0</v>
      </c>
      <c r="Q21" s="4">
        <f>(VLOOKUP('19.02'!Y21,'19.02'!$AO$4:$AR$55,4,FALSE))</f>
        <v>38</v>
      </c>
      <c r="R21" s="4">
        <f>(VLOOKUP('19.02'!Z21,'19.02'!$AO$4:$AR$55,4,FALSE))</f>
        <v>38</v>
      </c>
      <c r="S21" s="4">
        <f>(VLOOKUP('19.02'!AA21,'19.02'!$AO$4:$AR$55,4,FALSE))</f>
        <v>38</v>
      </c>
      <c r="T21" s="4">
        <f>(VLOOKUP('19.02'!AB21,'19.02'!$AO$4:$AR$55,4,FALSE))</f>
        <v>38</v>
      </c>
      <c r="U21" s="4">
        <f>(VLOOKUP('19.02'!AC21,'19.02'!$AO$4:$AR$55,4,FALSE))</f>
        <v>38</v>
      </c>
      <c r="V21" s="4">
        <f>(VLOOKUP('19.02'!AD21,'19.02'!$AO$4:$AR$55,4,FALSE))</f>
        <v>0</v>
      </c>
      <c r="W21" s="4">
        <f>(VLOOKUP('19.02'!AE21,'19.02'!$AO$4:$AR$55,4,FALSE))</f>
        <v>0</v>
      </c>
      <c r="X21" s="4">
        <f>(VLOOKUP('19.02'!AF21,'19.02'!$AO$4:$AR$55,4,FALSE))</f>
        <v>0</v>
      </c>
    </row>
    <row r="22" spans="1:24">
      <c r="A22" s="4">
        <f>(VLOOKUP('19.02'!I22,'19.02'!$AO$4:$AR$55,4,FALSE))</f>
        <v>0</v>
      </c>
      <c r="B22" s="4">
        <f>(VLOOKUP('19.02'!J22,'19.02'!$AO$4:$AR$55,4,FALSE))</f>
        <v>0</v>
      </c>
      <c r="C22" s="4">
        <f>(VLOOKUP('19.02'!K22,'19.02'!$AO$4:$AR$55,4,FALSE))</f>
        <v>0</v>
      </c>
      <c r="D22" s="4">
        <f>(VLOOKUP('19.02'!L22,'19.02'!$AO$4:$AR$55,4,FALSE))</f>
        <v>0</v>
      </c>
      <c r="E22" s="4">
        <f>(VLOOKUP('19.02'!M22,'19.02'!$AO$4:$AR$55,4,FALSE))</f>
        <v>0</v>
      </c>
      <c r="F22" s="4">
        <f>(VLOOKUP('19.02'!N22,'19.02'!$AO$4:$AR$55,4,FALSE))</f>
        <v>0</v>
      </c>
      <c r="G22" s="4">
        <f>(VLOOKUP('19.02'!O22,'19.02'!$AO$4:$AR$55,4,FALSE))</f>
        <v>0</v>
      </c>
      <c r="H22" s="4">
        <f>(VLOOKUP('19.02'!P22,'19.02'!$AO$4:$AR$55,4,FALSE))</f>
        <v>0</v>
      </c>
      <c r="I22" s="4">
        <f>(VLOOKUP('19.02'!Q22,'19.02'!$AO$4:$AR$55,4,FALSE))</f>
        <v>0</v>
      </c>
      <c r="J22" s="4">
        <f>(VLOOKUP('19.02'!R22,'19.02'!$AO$4:$AR$55,4,FALSE))</f>
        <v>0</v>
      </c>
      <c r="K22" s="4">
        <f>(VLOOKUP('19.02'!S22,'19.02'!$AO$4:$AR$55,4,FALSE))</f>
        <v>0</v>
      </c>
      <c r="L22" s="4">
        <f>(VLOOKUP('19.02'!T22,'19.02'!$AO$4:$AR$55,4,FALSE))</f>
        <v>0</v>
      </c>
      <c r="M22" s="4">
        <f>(VLOOKUP('19.02'!U22,'19.02'!$AO$4:$AR$55,4,FALSE))</f>
        <v>0</v>
      </c>
      <c r="N22" s="4">
        <f>(VLOOKUP('19.02'!V22,'19.02'!$AO$4:$AR$55,4,FALSE))</f>
        <v>0</v>
      </c>
      <c r="O22" s="4">
        <f>(VLOOKUP('19.02'!W22,'19.02'!$AO$4:$AR$55,4,FALSE))</f>
        <v>0</v>
      </c>
      <c r="P22" s="4">
        <f>(VLOOKUP('19.02'!X22,'19.02'!$AO$4:$AR$55,4,FALSE))</f>
        <v>0</v>
      </c>
      <c r="Q22" s="4">
        <f>(VLOOKUP('19.02'!Y22,'19.02'!$AO$4:$AR$55,4,FALSE))</f>
        <v>38</v>
      </c>
      <c r="R22" s="4">
        <f>(VLOOKUP('19.02'!Z22,'19.02'!$AO$4:$AR$55,4,FALSE))</f>
        <v>38</v>
      </c>
      <c r="S22" s="4">
        <f>(VLOOKUP('19.02'!AA22,'19.02'!$AO$4:$AR$55,4,FALSE))</f>
        <v>38</v>
      </c>
      <c r="T22" s="4">
        <f>(VLOOKUP('19.02'!AB22,'19.02'!$AO$4:$AR$55,4,FALSE))</f>
        <v>36</v>
      </c>
      <c r="U22" s="4">
        <f>(VLOOKUP('19.02'!AC22,'19.02'!$AO$4:$AR$55,4,FALSE))</f>
        <v>36</v>
      </c>
      <c r="V22" s="4">
        <f>(VLOOKUP('19.02'!AD22,'19.02'!$AO$4:$AR$55,4,FALSE))</f>
        <v>0</v>
      </c>
      <c r="W22" s="4">
        <f>(VLOOKUP('19.02'!AE22,'19.02'!$AO$4:$AR$55,4,FALSE))</f>
        <v>0</v>
      </c>
      <c r="X22" s="4">
        <f>(VLOOKUP('19.02'!AF22,'19.02'!$AO$4:$AR$55,4,FALSE))</f>
        <v>0</v>
      </c>
    </row>
    <row r="23" spans="1:24">
      <c r="A23" s="4">
        <f>(VLOOKUP('19.02'!I23,'19.02'!$AO$4:$AR$55,4,FALSE))</f>
        <v>0</v>
      </c>
      <c r="B23" s="4">
        <f>(VLOOKUP('19.02'!J23,'19.02'!$AO$4:$AR$55,4,FALSE))</f>
        <v>0</v>
      </c>
      <c r="C23" s="4">
        <f>(VLOOKUP('19.02'!K23,'19.02'!$AO$4:$AR$55,4,FALSE))</f>
        <v>0</v>
      </c>
      <c r="D23" s="4">
        <f>(VLOOKUP('19.02'!L23,'19.02'!$AO$4:$AR$55,4,FALSE))</f>
        <v>0</v>
      </c>
      <c r="E23" s="4">
        <f>(VLOOKUP('19.02'!M23,'19.02'!$AO$4:$AR$55,4,FALSE))</f>
        <v>0</v>
      </c>
      <c r="F23" s="4">
        <f>(VLOOKUP('19.02'!N23,'19.02'!$AO$4:$AR$55,4,FALSE))</f>
        <v>0</v>
      </c>
      <c r="G23" s="4">
        <f>(VLOOKUP('19.02'!O23,'19.02'!$AO$4:$AR$55,4,FALSE))</f>
        <v>0</v>
      </c>
      <c r="H23" s="4">
        <f>(VLOOKUP('19.02'!P23,'19.02'!$AO$4:$AR$55,4,FALSE))</f>
        <v>0</v>
      </c>
      <c r="I23" s="4">
        <f>(VLOOKUP('19.02'!Q23,'19.02'!$AO$4:$AR$55,4,FALSE))</f>
        <v>0</v>
      </c>
      <c r="J23" s="4">
        <f>(VLOOKUP('19.02'!R23,'19.02'!$AO$4:$AR$55,4,FALSE))</f>
        <v>0</v>
      </c>
      <c r="K23" s="4">
        <f>(VLOOKUP('19.02'!S23,'19.02'!$AO$4:$AR$55,4,FALSE))</f>
        <v>0</v>
      </c>
      <c r="L23" s="4">
        <f>(VLOOKUP('19.02'!T23,'19.02'!$AO$4:$AR$55,4,FALSE))</f>
        <v>0</v>
      </c>
      <c r="M23" s="4">
        <f>(VLOOKUP('19.02'!U23,'19.02'!$AO$4:$AR$55,4,FALSE))</f>
        <v>10</v>
      </c>
      <c r="N23" s="4">
        <f>(VLOOKUP('19.02'!V23,'19.02'!$AO$4:$AR$55,4,FALSE))</f>
        <v>0</v>
      </c>
      <c r="O23" s="4">
        <f>(VLOOKUP('19.02'!W23,'19.02'!$AO$4:$AR$55,4,FALSE))</f>
        <v>0</v>
      </c>
      <c r="P23" s="4">
        <f>(VLOOKUP('19.02'!X23,'19.02'!$AO$4:$AR$55,4,FALSE))</f>
        <v>0</v>
      </c>
      <c r="Q23" s="4">
        <f>(VLOOKUP('19.02'!Y23,'19.02'!$AO$4:$AR$55,4,FALSE))</f>
        <v>0</v>
      </c>
      <c r="R23" s="4">
        <f>(VLOOKUP('19.02'!Z23,'19.02'!$AO$4:$AR$55,4,FALSE))</f>
        <v>10</v>
      </c>
      <c r="S23" s="4">
        <f>(VLOOKUP('19.02'!AA23,'19.02'!$AO$4:$AR$55,4,FALSE))</f>
        <v>36</v>
      </c>
      <c r="T23" s="4">
        <f>(VLOOKUP('19.02'!AB23,'19.02'!$AO$4:$AR$55,4,FALSE))</f>
        <v>38</v>
      </c>
      <c r="U23" s="4">
        <f>(VLOOKUP('19.02'!AC23,'19.02'!$AO$4:$AR$55,4,FALSE))</f>
        <v>38</v>
      </c>
      <c r="V23" s="4">
        <f>(VLOOKUP('19.02'!AD23,'19.02'!$AO$4:$AR$55,4,FALSE))</f>
        <v>10</v>
      </c>
      <c r="W23" s="4">
        <f>(VLOOKUP('19.02'!AE23,'19.02'!$AO$4:$AR$55,4,FALSE))</f>
        <v>0</v>
      </c>
      <c r="X23" s="4">
        <f>(VLOOKUP('19.02'!AF23,'19.02'!$AO$4:$AR$55,4,FALSE))</f>
        <v>0</v>
      </c>
    </row>
    <row r="24" spans="1:24">
      <c r="A24" s="4">
        <f>(VLOOKUP('19.02'!I24,'19.02'!$AO$4:$AR$55,4,FALSE))</f>
        <v>0</v>
      </c>
      <c r="B24" s="4">
        <f>(VLOOKUP('19.02'!J24,'19.02'!$AO$4:$AR$55,4,FALSE))</f>
        <v>0</v>
      </c>
      <c r="C24" s="4">
        <f>(VLOOKUP('19.02'!K24,'19.02'!$AO$4:$AR$55,4,FALSE))</f>
        <v>0</v>
      </c>
      <c r="D24" s="4">
        <f>(VLOOKUP('19.02'!L24,'19.02'!$AO$4:$AR$55,4,FALSE))</f>
        <v>0</v>
      </c>
      <c r="E24" s="4">
        <f>(VLOOKUP('19.02'!M24,'19.02'!$AO$4:$AR$55,4,FALSE))</f>
        <v>0</v>
      </c>
      <c r="F24" s="4">
        <f>(VLOOKUP('19.02'!N24,'19.02'!$AO$4:$AR$55,4,FALSE))</f>
        <v>0</v>
      </c>
      <c r="G24" s="4">
        <f>(VLOOKUP('19.02'!O24,'19.02'!$AO$4:$AR$55,4,FALSE))</f>
        <v>0</v>
      </c>
      <c r="H24" s="4">
        <f>(VLOOKUP('19.02'!P24,'19.02'!$AO$4:$AR$55,4,FALSE))</f>
        <v>0</v>
      </c>
      <c r="I24" s="4">
        <f>(VLOOKUP('19.02'!Q24,'19.02'!$AO$4:$AR$55,4,FALSE))</f>
        <v>0</v>
      </c>
      <c r="J24" s="4">
        <f>(VLOOKUP('19.02'!R24,'19.02'!$AO$4:$AR$55,4,FALSE))</f>
        <v>0</v>
      </c>
      <c r="K24" s="4">
        <f>(VLOOKUP('19.02'!S24,'19.02'!$AO$4:$AR$55,4,FALSE))</f>
        <v>0</v>
      </c>
      <c r="L24" s="4">
        <f>(VLOOKUP('19.02'!T24,'19.02'!$AO$4:$AR$55,4,FALSE))</f>
        <v>0</v>
      </c>
      <c r="M24" s="4">
        <f>(VLOOKUP('19.02'!U24,'19.02'!$AO$4:$AR$55,4,FALSE))</f>
        <v>0</v>
      </c>
      <c r="N24" s="4">
        <f>(VLOOKUP('19.02'!V24,'19.02'!$AO$4:$AR$55,4,FALSE))</f>
        <v>0</v>
      </c>
      <c r="O24" s="4">
        <f>(VLOOKUP('19.02'!W24,'19.02'!$AO$4:$AR$55,4,FALSE))</f>
        <v>0</v>
      </c>
      <c r="P24" s="4">
        <f>(VLOOKUP('19.02'!X24,'19.02'!$AO$4:$AR$55,4,FALSE))</f>
        <v>0</v>
      </c>
      <c r="Q24" s="4">
        <f>(VLOOKUP('19.02'!Y24,'19.02'!$AO$4:$AR$55,4,FALSE))</f>
        <v>0</v>
      </c>
      <c r="R24" s="4">
        <f>(VLOOKUP('19.02'!Z24,'19.02'!$AO$4:$AR$55,4,FALSE))</f>
        <v>0</v>
      </c>
      <c r="S24" s="4">
        <f>(VLOOKUP('19.02'!AA24,'19.02'!$AO$4:$AR$55,4,FALSE))</f>
        <v>0</v>
      </c>
      <c r="T24" s="4">
        <f>(VLOOKUP('19.02'!AB24,'19.02'!$AO$4:$AR$55,4,FALSE))</f>
        <v>0</v>
      </c>
      <c r="U24" s="4">
        <f>(VLOOKUP('19.02'!AC24,'19.02'!$AO$4:$AR$55,4,FALSE))</f>
        <v>0</v>
      </c>
      <c r="V24" s="4">
        <f>(VLOOKUP('19.02'!AD24,'19.02'!$AO$4:$AR$55,4,FALSE))</f>
        <v>0</v>
      </c>
      <c r="W24" s="4">
        <f>(VLOOKUP('19.02'!AE24,'19.02'!$AO$4:$AR$55,4,FALSE))</f>
        <v>0</v>
      </c>
      <c r="X24" s="4">
        <f>(VLOOKUP('19.02'!AF24,'19.02'!$AO$4:$AR$55,4,FALSE))</f>
        <v>0</v>
      </c>
    </row>
    <row r="25" spans="1:24">
      <c r="A25" s="4">
        <f>(VLOOKUP('19.02'!I25,'19.02'!$AO$4:$AR$55,4,FALSE))</f>
        <v>0</v>
      </c>
      <c r="B25" s="4">
        <f>(VLOOKUP('19.02'!J25,'19.02'!$AO$4:$AR$55,4,FALSE))</f>
        <v>0</v>
      </c>
      <c r="C25" s="4">
        <f>(VLOOKUP('19.02'!K25,'19.02'!$AO$4:$AR$55,4,FALSE))</f>
        <v>0</v>
      </c>
      <c r="D25" s="4">
        <f>(VLOOKUP('19.02'!L25,'19.02'!$AO$4:$AR$55,4,FALSE))</f>
        <v>0</v>
      </c>
      <c r="E25" s="4">
        <f>(VLOOKUP('19.02'!M25,'19.02'!$AO$4:$AR$55,4,FALSE))</f>
        <v>0</v>
      </c>
      <c r="F25" s="4">
        <f>(VLOOKUP('19.02'!N25,'19.02'!$AO$4:$AR$55,4,FALSE))</f>
        <v>0</v>
      </c>
      <c r="G25" s="4">
        <f>(VLOOKUP('19.02'!O25,'19.02'!$AO$4:$AR$55,4,FALSE))</f>
        <v>0</v>
      </c>
      <c r="H25" s="4">
        <f>(VLOOKUP('19.02'!P25,'19.02'!$AO$4:$AR$55,4,FALSE))</f>
        <v>0</v>
      </c>
      <c r="I25" s="4">
        <f>(VLOOKUP('19.02'!Q25,'19.02'!$AO$4:$AR$55,4,FALSE))</f>
        <v>0</v>
      </c>
      <c r="J25" s="4">
        <f>(VLOOKUP('19.02'!R25,'19.02'!$AO$4:$AR$55,4,FALSE))</f>
        <v>0</v>
      </c>
      <c r="K25" s="4">
        <f>(VLOOKUP('19.02'!S25,'19.02'!$AO$4:$AR$55,4,FALSE))</f>
        <v>0</v>
      </c>
      <c r="L25" s="4">
        <f>(VLOOKUP('19.02'!T25,'19.02'!$AO$4:$AR$55,4,FALSE))</f>
        <v>0</v>
      </c>
      <c r="M25" s="4">
        <f>(VLOOKUP('19.02'!U25,'19.02'!$AO$4:$AR$55,4,FALSE))</f>
        <v>0</v>
      </c>
      <c r="N25" s="4">
        <f>(VLOOKUP('19.02'!V25,'19.02'!$AO$4:$AR$55,4,FALSE))</f>
        <v>0</v>
      </c>
      <c r="O25" s="4">
        <f>(VLOOKUP('19.02'!W25,'19.02'!$AO$4:$AR$55,4,FALSE))</f>
        <v>0</v>
      </c>
      <c r="P25" s="4">
        <f>(VLOOKUP('19.02'!X25,'19.02'!$AO$4:$AR$55,4,FALSE))</f>
        <v>0</v>
      </c>
      <c r="Q25" s="4">
        <f>(VLOOKUP('19.02'!Y25,'19.02'!$AO$4:$AR$55,4,FALSE))</f>
        <v>0</v>
      </c>
      <c r="R25" s="4">
        <f>(VLOOKUP('19.02'!Z25,'19.02'!$AO$4:$AR$55,4,FALSE))</f>
        <v>0</v>
      </c>
      <c r="S25" s="4">
        <f>(VLOOKUP('19.02'!AA25,'19.02'!$AO$4:$AR$55,4,FALSE))</f>
        <v>0</v>
      </c>
      <c r="T25" s="4">
        <f>(VLOOKUP('19.02'!AB25,'19.02'!$AO$4:$AR$55,4,FALSE))</f>
        <v>0</v>
      </c>
      <c r="U25" s="4">
        <f>(VLOOKUP('19.02'!AC25,'19.02'!$AO$4:$AR$55,4,FALSE))</f>
        <v>0</v>
      </c>
      <c r="V25" s="4">
        <f>(VLOOKUP('19.02'!AD25,'19.02'!$AO$4:$AR$55,4,FALSE))</f>
        <v>0</v>
      </c>
      <c r="W25" s="4">
        <f>(VLOOKUP('19.02'!AE25,'19.02'!$AO$4:$AR$55,4,FALSE))</f>
        <v>0</v>
      </c>
      <c r="X25" s="4">
        <f>(VLOOKUP('19.02'!AF25,'19.02'!$AO$4:$AR$55,4,FALSE))</f>
        <v>0</v>
      </c>
    </row>
    <row r="26" spans="1:24">
      <c r="A26" s="4">
        <f>(VLOOKUP('19.02'!I26,'19.02'!$AO$4:$AR$55,4,FALSE))</f>
        <v>0</v>
      </c>
      <c r="B26" s="4">
        <f>(VLOOKUP('19.02'!J26,'19.02'!$AO$4:$AR$55,4,FALSE))</f>
        <v>0</v>
      </c>
      <c r="C26" s="4">
        <f>(VLOOKUP('19.02'!K26,'19.02'!$AO$4:$AR$55,4,FALSE))</f>
        <v>0</v>
      </c>
      <c r="D26" s="4">
        <f>(VLOOKUP('19.02'!L26,'19.02'!$AO$4:$AR$55,4,FALSE))</f>
        <v>0</v>
      </c>
      <c r="E26" s="4">
        <f>(VLOOKUP('19.02'!M26,'19.02'!$AO$4:$AR$55,4,FALSE))</f>
        <v>0</v>
      </c>
      <c r="F26" s="4">
        <f>(VLOOKUP('19.02'!N26,'19.02'!$AO$4:$AR$55,4,FALSE))</f>
        <v>0</v>
      </c>
      <c r="G26" s="4">
        <f>(VLOOKUP('19.02'!O26,'19.02'!$AO$4:$AR$55,4,FALSE))</f>
        <v>0</v>
      </c>
      <c r="H26" s="4">
        <f>(VLOOKUP('19.02'!P26,'19.02'!$AO$4:$AR$55,4,FALSE))</f>
        <v>0</v>
      </c>
      <c r="I26" s="4">
        <f>(VLOOKUP('19.02'!Q26,'19.02'!$AO$4:$AR$55,4,FALSE))</f>
        <v>0</v>
      </c>
      <c r="J26" s="4">
        <f>(VLOOKUP('19.02'!R26,'19.02'!$AO$4:$AR$55,4,FALSE))</f>
        <v>0</v>
      </c>
      <c r="K26" s="4">
        <f>(VLOOKUP('19.02'!S26,'19.02'!$AO$4:$AR$55,4,FALSE))</f>
        <v>0</v>
      </c>
      <c r="L26" s="4">
        <f>(VLOOKUP('19.02'!T26,'19.02'!$AO$4:$AR$55,4,FALSE))</f>
        <v>0</v>
      </c>
      <c r="M26" s="4">
        <f>(VLOOKUP('19.02'!U26,'19.02'!$AO$4:$AR$55,4,FALSE))</f>
        <v>0</v>
      </c>
      <c r="N26" s="4">
        <f>(VLOOKUP('19.02'!V26,'19.02'!$AO$4:$AR$55,4,FALSE))</f>
        <v>0</v>
      </c>
      <c r="O26" s="4">
        <f>(VLOOKUP('19.02'!W26,'19.02'!$AO$4:$AR$55,4,FALSE))</f>
        <v>0</v>
      </c>
      <c r="P26" s="4">
        <f>(VLOOKUP('19.02'!X26,'19.02'!$AO$4:$AR$55,4,FALSE))</f>
        <v>0</v>
      </c>
      <c r="Q26" s="4">
        <f>(VLOOKUP('19.02'!Y26,'19.02'!$AO$4:$AR$55,4,FALSE))</f>
        <v>0</v>
      </c>
      <c r="R26" s="4">
        <f>(VLOOKUP('19.02'!Z26,'19.02'!$AO$4:$AR$55,4,FALSE))</f>
        <v>0</v>
      </c>
      <c r="S26" s="4">
        <f>(VLOOKUP('19.02'!AA26,'19.02'!$AO$4:$AR$55,4,FALSE))</f>
        <v>0</v>
      </c>
      <c r="T26" s="4">
        <f>(VLOOKUP('19.02'!AB26,'19.02'!$AO$4:$AR$55,4,FALSE))</f>
        <v>0</v>
      </c>
      <c r="U26" s="4">
        <f>(VLOOKUP('19.02'!AC26,'19.02'!$AO$4:$AR$55,4,FALSE))</f>
        <v>0</v>
      </c>
      <c r="V26" s="4">
        <f>(VLOOKUP('19.02'!AD26,'19.02'!$AO$4:$AR$55,4,FALSE))</f>
        <v>0</v>
      </c>
      <c r="W26" s="4">
        <f>(VLOOKUP('19.02'!AE26,'19.02'!$AO$4:$AR$55,4,FALSE))</f>
        <v>0</v>
      </c>
      <c r="X26" s="4">
        <f>(VLOOKUP('19.02'!AF26,'19.02'!$AO$4:$AR$55,4,FALSE))</f>
        <v>0</v>
      </c>
    </row>
    <row r="27" spans="1:24">
      <c r="A27" s="4">
        <f>(VLOOKUP('19.02'!I27,'19.02'!$AO$4:$AR$55,4,FALSE))</f>
        <v>0</v>
      </c>
      <c r="B27" s="4">
        <f>(VLOOKUP('19.02'!J27,'19.02'!$AO$4:$AR$55,4,FALSE))</f>
        <v>0</v>
      </c>
      <c r="C27" s="4">
        <f>(VLOOKUP('19.02'!K27,'19.02'!$AO$4:$AR$55,4,FALSE))</f>
        <v>0</v>
      </c>
      <c r="D27" s="4">
        <f>(VLOOKUP('19.02'!L27,'19.02'!$AO$4:$AR$55,4,FALSE))</f>
        <v>0</v>
      </c>
      <c r="E27" s="4">
        <f>(VLOOKUP('19.02'!M27,'19.02'!$AO$4:$AR$55,4,FALSE))</f>
        <v>0</v>
      </c>
      <c r="F27" s="4">
        <f>(VLOOKUP('19.02'!N27,'19.02'!$AO$4:$AR$55,4,FALSE))</f>
        <v>0</v>
      </c>
      <c r="G27" s="4">
        <f>(VLOOKUP('19.02'!O27,'19.02'!$AO$4:$AR$55,4,FALSE))</f>
        <v>0</v>
      </c>
      <c r="H27" s="4">
        <f>(VLOOKUP('19.02'!P27,'19.02'!$AO$4:$AR$55,4,FALSE))</f>
        <v>0</v>
      </c>
      <c r="I27" s="4">
        <f>(VLOOKUP('19.02'!Q27,'19.02'!$AO$4:$AR$55,4,FALSE))</f>
        <v>0</v>
      </c>
      <c r="J27" s="4">
        <f>(VLOOKUP('19.02'!R27,'19.02'!$AO$4:$AR$55,4,FALSE))</f>
        <v>0</v>
      </c>
      <c r="K27" s="4">
        <f>(VLOOKUP('19.02'!S27,'19.02'!$AO$4:$AR$55,4,FALSE))</f>
        <v>0</v>
      </c>
      <c r="L27" s="4">
        <f>(VLOOKUP('19.02'!T27,'19.02'!$AO$4:$AR$55,4,FALSE))</f>
        <v>0</v>
      </c>
      <c r="M27" s="4">
        <f>(VLOOKUP('19.02'!U27,'19.02'!$AO$4:$AR$55,4,FALSE))</f>
        <v>0</v>
      </c>
      <c r="N27" s="4">
        <f>(VLOOKUP('19.02'!V27,'19.02'!$AO$4:$AR$55,4,FALSE))</f>
        <v>0</v>
      </c>
      <c r="O27" s="4">
        <f>(VLOOKUP('19.02'!W27,'19.02'!$AO$4:$AR$55,4,FALSE))</f>
        <v>0</v>
      </c>
      <c r="P27" s="4">
        <f>(VLOOKUP('19.02'!X27,'19.02'!$AO$4:$AR$55,4,FALSE))</f>
        <v>38</v>
      </c>
      <c r="Q27" s="4">
        <f>(VLOOKUP('19.02'!Y27,'19.02'!$AO$4:$AR$55,4,FALSE))</f>
        <v>0</v>
      </c>
      <c r="R27" s="4">
        <f>(VLOOKUP('19.02'!Z27,'19.02'!$AO$4:$AR$55,4,FALSE))</f>
        <v>0</v>
      </c>
      <c r="S27" s="4">
        <f>(VLOOKUP('19.02'!AA27,'19.02'!$AO$4:$AR$55,4,FALSE))</f>
        <v>0</v>
      </c>
      <c r="T27" s="4">
        <f>(VLOOKUP('19.02'!AB27,'19.02'!$AO$4:$AR$55,4,FALSE))</f>
        <v>0</v>
      </c>
      <c r="U27" s="4">
        <f>(VLOOKUP('19.02'!AC27,'19.02'!$AO$4:$AR$55,4,FALSE))</f>
        <v>0</v>
      </c>
      <c r="V27" s="4">
        <f>(VLOOKUP('19.02'!AD27,'19.02'!$AO$4:$AR$55,4,FALSE))</f>
        <v>0</v>
      </c>
      <c r="W27" s="4">
        <f>(VLOOKUP('19.02'!AE27,'19.02'!$AO$4:$AR$55,4,FALSE))</f>
        <v>0</v>
      </c>
      <c r="X27" s="4">
        <f>(VLOOKUP('19.02'!AF27,'19.02'!$AO$4:$AR$55,4,FALSE))</f>
        <v>0</v>
      </c>
    </row>
    <row r="28" spans="1:24">
      <c r="A28" s="4">
        <f>(VLOOKUP('19.02'!I28,'19.02'!$AO$4:$AR$55,4,FALSE))</f>
        <v>0</v>
      </c>
      <c r="B28" s="4">
        <f>(VLOOKUP('19.02'!J28,'19.02'!$AO$4:$AR$55,4,FALSE))</f>
        <v>0</v>
      </c>
      <c r="C28" s="4">
        <f>(VLOOKUP('19.02'!K28,'19.02'!$AO$4:$AR$55,4,FALSE))</f>
        <v>0</v>
      </c>
      <c r="D28" s="4">
        <f>(VLOOKUP('19.02'!L28,'19.02'!$AO$4:$AR$55,4,FALSE))</f>
        <v>0</v>
      </c>
      <c r="E28" s="4">
        <f>(VLOOKUP('19.02'!M28,'19.02'!$AO$4:$AR$55,4,FALSE))</f>
        <v>0</v>
      </c>
      <c r="F28" s="4">
        <f>(VLOOKUP('19.02'!N28,'19.02'!$AO$4:$AR$55,4,FALSE))</f>
        <v>0</v>
      </c>
      <c r="G28" s="4">
        <f>(VLOOKUP('19.02'!O28,'19.02'!$AO$4:$AR$55,4,FALSE))</f>
        <v>0</v>
      </c>
      <c r="H28" s="4">
        <f>(VLOOKUP('19.02'!P28,'19.02'!$AO$4:$AR$55,4,FALSE))</f>
        <v>0</v>
      </c>
      <c r="I28" s="4">
        <f>(VLOOKUP('19.02'!Q28,'19.02'!$AO$4:$AR$55,4,FALSE))</f>
        <v>38</v>
      </c>
      <c r="J28" s="4">
        <f>(VLOOKUP('19.02'!R28,'19.02'!$AO$4:$AR$55,4,FALSE))</f>
        <v>38</v>
      </c>
      <c r="K28" s="4">
        <f>(VLOOKUP('19.02'!S28,'19.02'!$AO$4:$AR$55,4,FALSE))</f>
        <v>10</v>
      </c>
      <c r="L28" s="4">
        <f>(VLOOKUP('19.02'!T28,'19.02'!$AO$4:$AR$55,4,FALSE))</f>
        <v>38</v>
      </c>
      <c r="M28" s="4">
        <f>(VLOOKUP('19.02'!U28,'19.02'!$AO$4:$AR$55,4,FALSE))</f>
        <v>34</v>
      </c>
      <c r="N28" s="4">
        <f>(VLOOKUP('19.02'!V28,'19.02'!$AO$4:$AR$55,4,FALSE))</f>
        <v>34</v>
      </c>
      <c r="O28" s="4">
        <f>(VLOOKUP('19.02'!W28,'19.02'!$AO$4:$AR$55,4,FALSE))</f>
        <v>34</v>
      </c>
      <c r="P28" s="4">
        <f>(VLOOKUP('19.02'!X28,'19.02'!$AO$4:$AR$55,4,FALSE))</f>
        <v>0</v>
      </c>
      <c r="Q28" s="4">
        <f>(VLOOKUP('19.02'!Y28,'19.02'!$AO$4:$AR$55,4,FALSE))</f>
        <v>0</v>
      </c>
      <c r="R28" s="4">
        <f>(VLOOKUP('19.02'!Z28,'19.02'!$AO$4:$AR$55,4,FALSE))</f>
        <v>0</v>
      </c>
      <c r="S28" s="4">
        <f>(VLOOKUP('19.02'!AA28,'19.02'!$AO$4:$AR$55,4,FALSE))</f>
        <v>0</v>
      </c>
      <c r="T28" s="4">
        <f>(VLOOKUP('19.02'!AB28,'19.02'!$AO$4:$AR$55,4,FALSE))</f>
        <v>0</v>
      </c>
      <c r="U28" s="4">
        <f>(VLOOKUP('19.02'!AC28,'19.02'!$AO$4:$AR$55,4,FALSE))</f>
        <v>0</v>
      </c>
      <c r="V28" s="4">
        <f>(VLOOKUP('19.02'!AD28,'19.02'!$AO$4:$AR$55,4,FALSE))</f>
        <v>0</v>
      </c>
      <c r="W28" s="4">
        <f>(VLOOKUP('19.02'!AE28,'19.02'!$AO$4:$AR$55,4,FALSE))</f>
        <v>0</v>
      </c>
      <c r="X28" s="4">
        <f>(VLOOKUP('19.02'!AF28,'19.02'!$AO$4:$AR$55,4,FALSE))</f>
        <v>0</v>
      </c>
    </row>
    <row r="29" spans="1:24">
      <c r="A29" s="4">
        <f>(VLOOKUP('19.02'!I29,'19.02'!$AO$4:$AR$55,4,FALSE))</f>
        <v>0</v>
      </c>
      <c r="B29" s="4">
        <f>(VLOOKUP('19.02'!J29,'19.02'!$AO$4:$AR$55,4,FALSE))</f>
        <v>0</v>
      </c>
      <c r="C29" s="4">
        <f>(VLOOKUP('19.02'!K29,'19.02'!$AO$4:$AR$55,4,FALSE))</f>
        <v>0</v>
      </c>
      <c r="D29" s="4">
        <f>(VLOOKUP('19.02'!L29,'19.02'!$AO$4:$AR$55,4,FALSE))</f>
        <v>0</v>
      </c>
      <c r="E29" s="4">
        <f>(VLOOKUP('19.02'!M29,'19.02'!$AO$4:$AR$55,4,FALSE))</f>
        <v>0</v>
      </c>
      <c r="F29" s="4">
        <f>(VLOOKUP('19.02'!N29,'19.02'!$AO$4:$AR$55,4,FALSE))</f>
        <v>0</v>
      </c>
      <c r="G29" s="4">
        <f>(VLOOKUP('19.02'!O29,'19.02'!$AO$4:$AR$55,4,FALSE))</f>
        <v>0</v>
      </c>
      <c r="H29" s="4">
        <f>(VLOOKUP('19.02'!P29,'19.02'!$AO$4:$AR$55,4,FALSE))</f>
        <v>0</v>
      </c>
      <c r="I29" s="4">
        <f>(VLOOKUP('19.02'!Q29,'19.02'!$AO$4:$AR$55,4,FALSE))</f>
        <v>0</v>
      </c>
      <c r="J29" s="4">
        <f>(VLOOKUP('19.02'!R29,'19.02'!$AO$4:$AR$55,4,FALSE))</f>
        <v>0</v>
      </c>
      <c r="K29" s="4">
        <f>(VLOOKUP('19.02'!S29,'19.02'!$AO$4:$AR$55,4,FALSE))</f>
        <v>0</v>
      </c>
      <c r="L29" s="4">
        <f>(VLOOKUP('19.02'!T29,'19.02'!$AO$4:$AR$55,4,FALSE))</f>
        <v>0</v>
      </c>
      <c r="M29" s="4">
        <f>(VLOOKUP('19.02'!U29,'19.02'!$AO$4:$AR$55,4,FALSE))</f>
        <v>0</v>
      </c>
      <c r="N29" s="4">
        <f>(VLOOKUP('19.02'!V29,'19.02'!$AO$4:$AR$55,4,FALSE))</f>
        <v>0</v>
      </c>
      <c r="O29" s="4">
        <f>(VLOOKUP('19.02'!W29,'19.02'!$AO$4:$AR$55,4,FALSE))</f>
        <v>0</v>
      </c>
      <c r="P29" s="4">
        <f>(VLOOKUP('19.02'!X29,'19.02'!$AO$4:$AR$55,4,FALSE))</f>
        <v>0</v>
      </c>
      <c r="Q29" s="4">
        <f>(VLOOKUP('19.02'!Y29,'19.02'!$AO$4:$AR$55,4,FALSE))</f>
        <v>0</v>
      </c>
      <c r="R29" s="4">
        <f>(VLOOKUP('19.02'!Z29,'19.02'!$AO$4:$AR$55,4,FALSE))</f>
        <v>0</v>
      </c>
      <c r="S29" s="4">
        <f>(VLOOKUP('19.02'!AA29,'19.02'!$AO$4:$AR$55,4,FALSE))</f>
        <v>0</v>
      </c>
      <c r="T29" s="4">
        <f>(VLOOKUP('19.02'!AB29,'19.02'!$AO$4:$AR$55,4,FALSE))</f>
        <v>0</v>
      </c>
      <c r="U29" s="4">
        <f>(VLOOKUP('19.02'!AC29,'19.02'!$AO$4:$AR$55,4,FALSE))</f>
        <v>0</v>
      </c>
      <c r="V29" s="4">
        <f>(VLOOKUP('19.02'!AD29,'19.02'!$AO$4:$AR$55,4,FALSE))</f>
        <v>0</v>
      </c>
      <c r="W29" s="4">
        <f>(VLOOKUP('19.02'!AE29,'19.02'!$AO$4:$AR$55,4,FALSE))</f>
        <v>0</v>
      </c>
      <c r="X29" s="4">
        <f>(VLOOKUP('19.02'!AF29,'19.02'!$AO$4:$AR$55,4,FALSE))</f>
        <v>0</v>
      </c>
    </row>
    <row r="30" spans="1:24">
      <c r="A30" s="4">
        <f>(VLOOKUP('19.02'!I30,'19.02'!$AO$4:$AR$55,4,FALSE))</f>
        <v>0</v>
      </c>
      <c r="B30" s="4">
        <f>(VLOOKUP('19.02'!J30,'19.02'!$AO$4:$AR$55,4,FALSE))</f>
        <v>0</v>
      </c>
      <c r="C30" s="4">
        <f>(VLOOKUP('19.02'!K30,'19.02'!$AO$4:$AR$55,4,FALSE))</f>
        <v>0</v>
      </c>
      <c r="D30" s="4">
        <f>(VLOOKUP('19.02'!L30,'19.02'!$AO$4:$AR$55,4,FALSE))</f>
        <v>0</v>
      </c>
      <c r="E30" s="4">
        <f>(VLOOKUP('19.02'!M30,'19.02'!$AO$4:$AR$55,4,FALSE))</f>
        <v>0</v>
      </c>
      <c r="F30" s="4">
        <f>(VLOOKUP('19.02'!N30,'19.02'!$AO$4:$AR$55,4,FALSE))</f>
        <v>0</v>
      </c>
      <c r="G30" s="4">
        <f>(VLOOKUP('19.02'!O30,'19.02'!$AO$4:$AR$55,4,FALSE))</f>
        <v>0</v>
      </c>
      <c r="H30" s="4">
        <f>(VLOOKUP('19.02'!P30,'19.02'!$AO$4:$AR$55,4,FALSE))</f>
        <v>0</v>
      </c>
      <c r="I30" s="4">
        <f>(VLOOKUP('19.02'!Q30,'19.02'!$AO$4:$AR$55,4,FALSE))</f>
        <v>0</v>
      </c>
      <c r="J30" s="4">
        <f>(VLOOKUP('19.02'!R30,'19.02'!$AO$4:$AR$55,4,FALSE))</f>
        <v>0</v>
      </c>
      <c r="K30" s="4">
        <f>(VLOOKUP('19.02'!S30,'19.02'!$AO$4:$AR$55,4,FALSE))</f>
        <v>0</v>
      </c>
      <c r="L30" s="4">
        <f>(VLOOKUP('19.02'!T30,'19.02'!$AO$4:$AR$55,4,FALSE))</f>
        <v>0</v>
      </c>
      <c r="M30" s="4">
        <f>(VLOOKUP('19.02'!U30,'19.02'!$AO$4:$AR$55,4,FALSE))</f>
        <v>0</v>
      </c>
      <c r="N30" s="4">
        <f>(VLOOKUP('19.02'!V30,'19.02'!$AO$4:$AR$55,4,FALSE))</f>
        <v>0</v>
      </c>
      <c r="O30" s="4">
        <f>(VLOOKUP('19.02'!W30,'19.02'!$AO$4:$AR$55,4,FALSE))</f>
        <v>0</v>
      </c>
      <c r="P30" s="4">
        <f>(VLOOKUP('19.02'!X30,'19.02'!$AO$4:$AR$55,4,FALSE))</f>
        <v>0</v>
      </c>
      <c r="Q30" s="4">
        <f>(VLOOKUP('19.02'!Y30,'19.02'!$AO$4:$AR$55,4,FALSE))</f>
        <v>0</v>
      </c>
      <c r="R30" s="4">
        <f>(VLOOKUP('19.02'!Z30,'19.02'!$AO$4:$AR$55,4,FALSE))</f>
        <v>0</v>
      </c>
      <c r="S30" s="4">
        <f>(VLOOKUP('19.02'!AA30,'19.02'!$AO$4:$AR$55,4,FALSE))</f>
        <v>0</v>
      </c>
      <c r="T30" s="4">
        <f>(VLOOKUP('19.02'!AB30,'19.02'!$AO$4:$AR$55,4,FALSE))</f>
        <v>0</v>
      </c>
      <c r="U30" s="4">
        <f>(VLOOKUP('19.02'!AC30,'19.02'!$AO$4:$AR$55,4,FALSE))</f>
        <v>0</v>
      </c>
      <c r="V30" s="4">
        <f>(VLOOKUP('19.02'!AD30,'19.02'!$AO$4:$AR$55,4,FALSE))</f>
        <v>0</v>
      </c>
      <c r="W30" s="4">
        <f>(VLOOKUP('19.02'!AE30,'19.02'!$AO$4:$AR$55,4,FALSE))</f>
        <v>0</v>
      </c>
      <c r="X30" s="4">
        <f>(VLOOKUP('19.02'!AF30,'19.02'!$AO$4:$AR$55,4,FALSE))</f>
        <v>0</v>
      </c>
    </row>
    <row r="31" spans="1:24">
      <c r="A31" s="4">
        <f>(VLOOKUP('19.02'!I31,'19.02'!$AO$4:$AR$55,4,FALSE))</f>
        <v>0</v>
      </c>
      <c r="B31" s="4">
        <f>(VLOOKUP('19.02'!J31,'19.02'!$AO$4:$AR$55,4,FALSE))</f>
        <v>0</v>
      </c>
      <c r="C31" s="4">
        <f>(VLOOKUP('19.02'!K31,'19.02'!$AO$4:$AR$55,4,FALSE))</f>
        <v>0</v>
      </c>
      <c r="D31" s="4">
        <f>(VLOOKUP('19.02'!L31,'19.02'!$AO$4:$AR$55,4,FALSE))</f>
        <v>0</v>
      </c>
      <c r="E31" s="4">
        <f>(VLOOKUP('19.02'!M31,'19.02'!$AO$4:$AR$55,4,FALSE))</f>
        <v>0</v>
      </c>
      <c r="F31" s="4">
        <f>(VLOOKUP('19.02'!N31,'19.02'!$AO$4:$AR$55,4,FALSE))</f>
        <v>0</v>
      </c>
      <c r="G31" s="4">
        <f>(VLOOKUP('19.02'!O31,'19.02'!$AO$4:$AR$55,4,FALSE))</f>
        <v>0</v>
      </c>
      <c r="H31" s="4">
        <f>(VLOOKUP('19.02'!P31,'19.02'!$AO$4:$AR$55,4,FALSE))</f>
        <v>0</v>
      </c>
      <c r="I31" s="4">
        <f>(VLOOKUP('19.02'!Q31,'19.02'!$AO$4:$AR$55,4,FALSE))</f>
        <v>0</v>
      </c>
      <c r="J31" s="4">
        <f>(VLOOKUP('19.02'!R31,'19.02'!$AO$4:$AR$55,4,FALSE))</f>
        <v>0</v>
      </c>
      <c r="K31" s="4">
        <f>(VLOOKUP('19.02'!S31,'19.02'!$AO$4:$AR$55,4,FALSE))</f>
        <v>0</v>
      </c>
      <c r="L31" s="4">
        <f>(VLOOKUP('19.02'!T31,'19.02'!$AO$4:$AR$55,4,FALSE))</f>
        <v>0</v>
      </c>
      <c r="M31" s="4">
        <f>(VLOOKUP('19.02'!U31,'19.02'!$AO$4:$AR$55,4,FALSE))</f>
        <v>0</v>
      </c>
      <c r="N31" s="4">
        <f>(VLOOKUP('19.02'!V31,'19.02'!$AO$4:$AR$55,4,FALSE))</f>
        <v>10</v>
      </c>
      <c r="O31" s="4">
        <f>(VLOOKUP('19.02'!W31,'19.02'!$AO$4:$AR$55,4,FALSE))</f>
        <v>0</v>
      </c>
      <c r="P31" s="4">
        <f>(VLOOKUP('19.02'!X31,'19.02'!$AO$4:$AR$55,4,FALSE))</f>
        <v>0</v>
      </c>
      <c r="Q31" s="4">
        <f>(VLOOKUP('19.02'!Y31,'19.02'!$AO$4:$AR$55,4,FALSE))</f>
        <v>0</v>
      </c>
      <c r="R31" s="4">
        <f>(VLOOKUP('19.02'!Z31,'19.02'!$AO$4:$AR$55,4,FALSE))</f>
        <v>0</v>
      </c>
      <c r="S31" s="4">
        <f>(VLOOKUP('19.02'!AA31,'19.02'!$AO$4:$AR$55,4,FALSE))</f>
        <v>0</v>
      </c>
      <c r="T31" s="4">
        <f>(VLOOKUP('19.02'!AB31,'19.02'!$AO$4:$AR$55,4,FALSE))</f>
        <v>0</v>
      </c>
      <c r="U31" s="4">
        <f>(VLOOKUP('19.02'!AC31,'19.02'!$AO$4:$AR$55,4,FALSE))</f>
        <v>0</v>
      </c>
      <c r="V31" s="4">
        <f>(VLOOKUP('19.02'!AD31,'19.02'!$AO$4:$AR$55,4,FALSE))</f>
        <v>0</v>
      </c>
      <c r="W31" s="4">
        <f>(VLOOKUP('19.02'!AE31,'19.02'!$AO$4:$AR$55,4,FALSE))</f>
        <v>0</v>
      </c>
      <c r="X31" s="4">
        <f>(VLOOKUP('19.02'!AF31,'19.02'!$AO$4:$AR$55,4,FALSE))</f>
        <v>0</v>
      </c>
    </row>
    <row r="32" spans="1:24">
      <c r="A32" s="4">
        <f>(VLOOKUP('19.02'!I32,'19.02'!$AO$4:$AR$55,4,FALSE))</f>
        <v>0</v>
      </c>
      <c r="B32" s="4">
        <f>(VLOOKUP('19.02'!J32,'19.02'!$AO$4:$AR$55,4,FALSE))</f>
        <v>0</v>
      </c>
      <c r="C32" s="4">
        <f>(VLOOKUP('19.02'!K32,'19.02'!$AO$4:$AR$55,4,FALSE))</f>
        <v>0</v>
      </c>
      <c r="D32" s="4">
        <f>(VLOOKUP('19.02'!L32,'19.02'!$AO$4:$AR$55,4,FALSE))</f>
        <v>0</v>
      </c>
      <c r="E32" s="4">
        <f>(VLOOKUP('19.02'!M32,'19.02'!$AO$4:$AR$55,4,FALSE))</f>
        <v>0</v>
      </c>
      <c r="F32" s="4">
        <f>(VLOOKUP('19.02'!N32,'19.02'!$AO$4:$AR$55,4,FALSE))</f>
        <v>0</v>
      </c>
      <c r="G32" s="4">
        <f>(VLOOKUP('19.02'!O32,'19.02'!$AO$4:$AR$55,4,FALSE))</f>
        <v>0</v>
      </c>
      <c r="H32" s="4">
        <f>(VLOOKUP('19.02'!P32,'19.02'!$AO$4:$AR$55,4,FALSE))</f>
        <v>0</v>
      </c>
      <c r="I32" s="4">
        <f>(VLOOKUP('19.02'!Q32,'19.02'!$AO$4:$AR$55,4,FALSE))</f>
        <v>0</v>
      </c>
      <c r="J32" s="4">
        <f>(VLOOKUP('19.02'!R32,'19.02'!$AO$4:$AR$55,4,FALSE))</f>
        <v>0</v>
      </c>
      <c r="K32" s="4">
        <f>(VLOOKUP('19.02'!S32,'19.02'!$AO$4:$AR$55,4,FALSE))</f>
        <v>0</v>
      </c>
      <c r="L32" s="4">
        <f>(VLOOKUP('19.02'!T32,'19.02'!$AO$4:$AR$55,4,FALSE))</f>
        <v>0</v>
      </c>
      <c r="M32" s="4">
        <f>(VLOOKUP('19.02'!U32,'19.02'!$AO$4:$AR$55,4,FALSE))</f>
        <v>0</v>
      </c>
      <c r="N32" s="4">
        <f>(VLOOKUP('19.02'!V32,'19.02'!$AO$4:$AR$55,4,FALSE))</f>
        <v>0</v>
      </c>
      <c r="O32" s="4">
        <f>(VLOOKUP('19.02'!W32,'19.02'!$AO$4:$AR$55,4,FALSE))</f>
        <v>0</v>
      </c>
      <c r="P32" s="4">
        <f>(VLOOKUP('19.02'!X32,'19.02'!$AO$4:$AR$55,4,FALSE))</f>
        <v>0</v>
      </c>
      <c r="Q32" s="4">
        <f>(VLOOKUP('19.02'!Y32,'19.02'!$AO$4:$AR$55,4,FALSE))</f>
        <v>0</v>
      </c>
      <c r="R32" s="4">
        <f>(VLOOKUP('19.02'!Z32,'19.02'!$AO$4:$AR$55,4,FALSE))</f>
        <v>0</v>
      </c>
      <c r="S32" s="4">
        <f>(VLOOKUP('19.02'!AA32,'19.02'!$AO$4:$AR$55,4,FALSE))</f>
        <v>0</v>
      </c>
      <c r="T32" s="4">
        <f>(VLOOKUP('19.02'!AB32,'19.02'!$AO$4:$AR$55,4,FALSE))</f>
        <v>0</v>
      </c>
      <c r="U32" s="4">
        <f>(VLOOKUP('19.02'!AC32,'19.02'!$AO$4:$AR$55,4,FALSE))</f>
        <v>0</v>
      </c>
      <c r="V32" s="4">
        <f>(VLOOKUP('19.02'!AD32,'19.02'!$AO$4:$AR$55,4,FALSE))</f>
        <v>0</v>
      </c>
      <c r="W32" s="4">
        <f>(VLOOKUP('19.02'!AE32,'19.02'!$AO$4:$AR$55,4,FALSE))</f>
        <v>0</v>
      </c>
      <c r="X32" s="4">
        <f>(VLOOKUP('19.02'!AF32,'19.02'!$AO$4:$AR$55,4,FALSE))</f>
        <v>0</v>
      </c>
    </row>
    <row r="33" spans="1:24">
      <c r="A33" s="4">
        <f>(VLOOKUP('19.02'!I33,'19.02'!$AO$4:$AR$55,4,FALSE))</f>
        <v>0</v>
      </c>
      <c r="B33" s="4">
        <f>(VLOOKUP('19.02'!J33,'19.02'!$AO$4:$AR$55,4,FALSE))</f>
        <v>0</v>
      </c>
      <c r="C33" s="4">
        <f>(VLOOKUP('19.02'!K33,'19.02'!$AO$4:$AR$55,4,FALSE))</f>
        <v>0</v>
      </c>
      <c r="D33" s="4">
        <f>(VLOOKUP('19.02'!L33,'19.02'!$AO$4:$AR$55,4,FALSE))</f>
        <v>0</v>
      </c>
      <c r="E33" s="4">
        <f>(VLOOKUP('19.02'!M33,'19.02'!$AO$4:$AR$55,4,FALSE))</f>
        <v>0</v>
      </c>
      <c r="F33" s="4">
        <f>(VLOOKUP('19.02'!N33,'19.02'!$AO$4:$AR$55,4,FALSE))</f>
        <v>0</v>
      </c>
      <c r="G33" s="4">
        <f>(VLOOKUP('19.02'!O33,'19.02'!$AO$4:$AR$55,4,FALSE))</f>
        <v>0</v>
      </c>
      <c r="H33" s="4">
        <f>(VLOOKUP('19.02'!P33,'19.02'!$AO$4:$AR$55,4,FALSE))</f>
        <v>0</v>
      </c>
      <c r="I33" s="4">
        <f>(VLOOKUP('19.02'!Q33,'19.02'!$AO$4:$AR$55,4,FALSE))</f>
        <v>0</v>
      </c>
      <c r="J33" s="4">
        <f>(VLOOKUP('19.02'!R33,'19.02'!$AO$4:$AR$55,4,FALSE))</f>
        <v>0</v>
      </c>
      <c r="K33" s="4">
        <f>(VLOOKUP('19.02'!S33,'19.02'!$AO$4:$AR$55,4,FALSE))</f>
        <v>0</v>
      </c>
      <c r="L33" s="4">
        <f>(VLOOKUP('19.02'!T33,'19.02'!$AO$4:$AR$55,4,FALSE))</f>
        <v>0</v>
      </c>
      <c r="M33" s="4">
        <f>(VLOOKUP('19.02'!U33,'19.02'!$AO$4:$AR$55,4,FALSE))</f>
        <v>0</v>
      </c>
      <c r="N33" s="4">
        <f>(VLOOKUP('19.02'!V33,'19.02'!$AO$4:$AR$55,4,FALSE))</f>
        <v>0</v>
      </c>
      <c r="O33" s="4">
        <f>(VLOOKUP('19.02'!W33,'19.02'!$AO$4:$AR$55,4,FALSE))</f>
        <v>0</v>
      </c>
      <c r="P33" s="4">
        <f>(VLOOKUP('19.02'!X33,'19.02'!$AO$4:$AR$55,4,FALSE))</f>
        <v>0</v>
      </c>
      <c r="Q33" s="4">
        <f>(VLOOKUP('19.02'!Y33,'19.02'!$AO$4:$AR$55,4,FALSE))</f>
        <v>36</v>
      </c>
      <c r="R33" s="4">
        <f>(VLOOKUP('19.02'!Z33,'19.02'!$AO$4:$AR$55,4,FALSE))</f>
        <v>36</v>
      </c>
      <c r="S33" s="4">
        <f>(VLOOKUP('19.02'!AA33,'19.02'!$AO$4:$AR$55,4,FALSE))</f>
        <v>36</v>
      </c>
      <c r="T33" s="4">
        <f>(VLOOKUP('19.02'!AB33,'19.02'!$AO$4:$AR$55,4,FALSE))</f>
        <v>36</v>
      </c>
      <c r="U33" s="4">
        <f>(VLOOKUP('19.02'!AC33,'19.02'!$AO$4:$AR$55,4,FALSE))</f>
        <v>36</v>
      </c>
      <c r="V33" s="4">
        <f>(VLOOKUP('19.02'!AD33,'19.02'!$AO$4:$AR$55,4,FALSE))</f>
        <v>36</v>
      </c>
      <c r="W33" s="4">
        <f>(VLOOKUP('19.02'!AE33,'19.02'!$AO$4:$AR$55,4,FALSE))</f>
        <v>0</v>
      </c>
      <c r="X33" s="4">
        <f>(VLOOKUP('19.02'!AF33,'19.02'!$AO$4:$AR$55,4,FALSE))</f>
        <v>0</v>
      </c>
    </row>
    <row r="34" spans="1:24">
      <c r="A34" s="4">
        <f>(VLOOKUP('19.02'!I34,'19.02'!$AO$4:$AR$55,4,FALSE))</f>
        <v>0</v>
      </c>
      <c r="B34" s="4">
        <f>(VLOOKUP('19.02'!J34,'19.02'!$AO$4:$AR$55,4,FALSE))</f>
        <v>0</v>
      </c>
      <c r="C34" s="4">
        <f>(VLOOKUP('19.02'!K34,'19.02'!$AO$4:$AR$55,4,FALSE))</f>
        <v>0</v>
      </c>
      <c r="D34" s="4">
        <f>(VLOOKUP('19.02'!L34,'19.02'!$AO$4:$AR$55,4,FALSE))</f>
        <v>0</v>
      </c>
      <c r="E34" s="4">
        <f>(VLOOKUP('19.02'!M34,'19.02'!$AO$4:$AR$55,4,FALSE))</f>
        <v>0</v>
      </c>
      <c r="F34" s="4">
        <f>(VLOOKUP('19.02'!N34,'19.02'!$AO$4:$AR$55,4,FALSE))</f>
        <v>0</v>
      </c>
      <c r="G34" s="4">
        <f>(VLOOKUP('19.02'!O34,'19.02'!$AO$4:$AR$55,4,FALSE))</f>
        <v>0</v>
      </c>
      <c r="H34" s="4">
        <f>(VLOOKUP('19.02'!P34,'19.02'!$AO$4:$AR$55,4,FALSE))</f>
        <v>0</v>
      </c>
      <c r="I34" s="4">
        <f>(VLOOKUP('19.02'!Q34,'19.02'!$AO$4:$AR$55,4,FALSE))</f>
        <v>0</v>
      </c>
      <c r="J34" s="4">
        <f>(VLOOKUP('19.02'!R34,'19.02'!$AO$4:$AR$55,4,FALSE))</f>
        <v>0</v>
      </c>
      <c r="K34" s="4">
        <f>(VLOOKUP('19.02'!S34,'19.02'!$AO$4:$AR$55,4,FALSE))</f>
        <v>0</v>
      </c>
      <c r="L34" s="4">
        <f>(VLOOKUP('19.02'!T34,'19.02'!$AO$4:$AR$55,4,FALSE))</f>
        <v>0</v>
      </c>
      <c r="M34" s="4">
        <f>(VLOOKUP('19.02'!U34,'19.02'!$AO$4:$AR$55,4,FALSE))</f>
        <v>0</v>
      </c>
      <c r="N34" s="4">
        <f>(VLOOKUP('19.02'!V34,'19.02'!$AO$4:$AR$55,4,FALSE))</f>
        <v>0</v>
      </c>
      <c r="O34" s="4">
        <f>(VLOOKUP('19.02'!W34,'19.02'!$AO$4:$AR$55,4,FALSE))</f>
        <v>0</v>
      </c>
      <c r="P34" s="4">
        <f>(VLOOKUP('19.02'!X34,'19.02'!$AO$4:$AR$55,4,FALSE))</f>
        <v>0</v>
      </c>
      <c r="Q34" s="4">
        <f>(VLOOKUP('19.02'!Y34,'19.02'!$AO$4:$AR$55,4,FALSE))</f>
        <v>36</v>
      </c>
      <c r="R34" s="4">
        <f>(VLOOKUP('19.02'!Z34,'19.02'!$AO$4:$AR$55,4,FALSE))</f>
        <v>36</v>
      </c>
      <c r="S34" s="4">
        <f>(VLOOKUP('19.02'!AA34,'19.02'!$AO$4:$AR$55,4,FALSE))</f>
        <v>36</v>
      </c>
      <c r="T34" s="4">
        <f>(VLOOKUP('19.02'!AB34,'19.02'!$AO$4:$AR$55,4,FALSE))</f>
        <v>36</v>
      </c>
      <c r="U34" s="4">
        <f>(VLOOKUP('19.02'!AC34,'19.02'!$AO$4:$AR$55,4,FALSE))</f>
        <v>36</v>
      </c>
      <c r="V34" s="4">
        <f>(VLOOKUP('19.02'!AD34,'19.02'!$AO$4:$AR$55,4,FALSE))</f>
        <v>36</v>
      </c>
      <c r="W34" s="4">
        <f>(VLOOKUP('19.02'!AE34,'19.02'!$AO$4:$AR$55,4,FALSE))</f>
        <v>0</v>
      </c>
      <c r="X34" s="4">
        <f>(VLOOKUP('19.02'!AF34,'19.02'!$AO$4:$AR$55,4,FALSE))</f>
        <v>0</v>
      </c>
    </row>
    <row r="35" spans="1:24">
      <c r="A35" s="4">
        <f>(VLOOKUP('19.02'!I35,'19.02'!$AO$4:$AR$55,4,FALSE))</f>
        <v>0</v>
      </c>
      <c r="B35" s="4">
        <f>(VLOOKUP('19.02'!J35,'19.02'!$AO$4:$AR$55,4,FALSE))</f>
        <v>0</v>
      </c>
      <c r="C35" s="4">
        <f>(VLOOKUP('19.02'!K35,'19.02'!$AO$4:$AR$55,4,FALSE))</f>
        <v>0</v>
      </c>
      <c r="D35" s="4">
        <f>(VLOOKUP('19.02'!L35,'19.02'!$AO$4:$AR$55,4,FALSE))</f>
        <v>0</v>
      </c>
      <c r="E35" s="4">
        <f>(VLOOKUP('19.02'!M35,'19.02'!$AO$4:$AR$55,4,FALSE))</f>
        <v>0</v>
      </c>
      <c r="F35" s="4">
        <f>(VLOOKUP('19.02'!N35,'19.02'!$AO$4:$AR$55,4,FALSE))</f>
        <v>0</v>
      </c>
      <c r="G35" s="4">
        <f>(VLOOKUP('19.02'!O35,'19.02'!$AO$4:$AR$55,4,FALSE))</f>
        <v>0</v>
      </c>
      <c r="H35" s="4">
        <f>(VLOOKUP('19.02'!P35,'19.02'!$AO$4:$AR$55,4,FALSE))</f>
        <v>0</v>
      </c>
      <c r="I35" s="4">
        <f>(VLOOKUP('19.02'!Q35,'19.02'!$AO$4:$AR$55,4,FALSE))</f>
        <v>0</v>
      </c>
      <c r="J35" s="4">
        <f>(VLOOKUP('19.02'!R35,'19.02'!$AO$4:$AR$55,4,FALSE))</f>
        <v>0</v>
      </c>
      <c r="K35" s="4">
        <f>(VLOOKUP('19.02'!S35,'19.02'!$AO$4:$AR$55,4,FALSE))</f>
        <v>0</v>
      </c>
      <c r="L35" s="4">
        <f>(VLOOKUP('19.02'!T35,'19.02'!$AO$4:$AR$55,4,FALSE))</f>
        <v>0</v>
      </c>
      <c r="M35" s="4">
        <f>(VLOOKUP('19.02'!U35,'19.02'!$AO$4:$AR$55,4,FALSE))</f>
        <v>0</v>
      </c>
      <c r="N35" s="4">
        <f>(VLOOKUP('19.02'!V35,'19.02'!$AO$4:$AR$55,4,FALSE))</f>
        <v>0</v>
      </c>
      <c r="O35" s="4">
        <f>(VLOOKUP('19.02'!W35,'19.02'!$AO$4:$AR$55,4,FALSE))</f>
        <v>0</v>
      </c>
      <c r="P35" s="4">
        <f>(VLOOKUP('19.02'!X35,'19.02'!$AO$4:$AR$55,4,FALSE))</f>
        <v>0</v>
      </c>
      <c r="Q35" s="4">
        <f>(VLOOKUP('19.02'!Y35,'19.02'!$AO$4:$AR$55,4,FALSE))</f>
        <v>36</v>
      </c>
      <c r="R35" s="4">
        <f>(VLOOKUP('19.02'!Z35,'19.02'!$AO$4:$AR$55,4,FALSE))</f>
        <v>36</v>
      </c>
      <c r="S35" s="4">
        <f>(VLOOKUP('19.02'!AA35,'19.02'!$AO$4:$AR$55,4,FALSE))</f>
        <v>36</v>
      </c>
      <c r="T35" s="4">
        <f>(VLOOKUP('19.02'!AB35,'19.02'!$AO$4:$AR$55,4,FALSE))</f>
        <v>36</v>
      </c>
      <c r="U35" s="4">
        <f>(VLOOKUP('19.02'!AC35,'19.02'!$AO$4:$AR$55,4,FALSE))</f>
        <v>36</v>
      </c>
      <c r="V35" s="4">
        <f>(VLOOKUP('19.02'!AD35,'19.02'!$AO$4:$AR$55,4,FALSE))</f>
        <v>36</v>
      </c>
      <c r="W35" s="4">
        <f>(VLOOKUP('19.02'!AE35,'19.02'!$AO$4:$AR$55,4,FALSE))</f>
        <v>10</v>
      </c>
      <c r="X35" s="4">
        <f>(VLOOKUP('19.02'!AF35,'19.02'!$AO$4:$AR$55,4,FALSE))</f>
        <v>0</v>
      </c>
    </row>
    <row r="36" spans="1:24">
      <c r="A36" s="4">
        <f>(VLOOKUP('19.02'!I36,'19.02'!$AO$4:$AR$55,4,FALSE))</f>
        <v>0</v>
      </c>
      <c r="B36" s="4">
        <f>(VLOOKUP('19.02'!J36,'19.02'!$AO$4:$AR$55,4,FALSE))</f>
        <v>0</v>
      </c>
      <c r="C36" s="4">
        <f>(VLOOKUP('19.02'!K36,'19.02'!$AO$4:$AR$55,4,FALSE))</f>
        <v>0</v>
      </c>
      <c r="D36" s="4">
        <f>(VLOOKUP('19.02'!L36,'19.02'!$AO$4:$AR$55,4,FALSE))</f>
        <v>0</v>
      </c>
      <c r="E36" s="4">
        <f>(VLOOKUP('19.02'!M36,'19.02'!$AO$4:$AR$55,4,FALSE))</f>
        <v>0</v>
      </c>
      <c r="F36" s="4">
        <f>(VLOOKUP('19.02'!N36,'19.02'!$AO$4:$AR$55,4,FALSE))</f>
        <v>0</v>
      </c>
      <c r="G36" s="4">
        <f>(VLOOKUP('19.02'!O36,'19.02'!$AO$4:$AR$55,4,FALSE))</f>
        <v>0</v>
      </c>
      <c r="H36" s="4">
        <f>(VLOOKUP('19.02'!P36,'19.02'!$AO$4:$AR$55,4,FALSE))</f>
        <v>0</v>
      </c>
      <c r="I36" s="4">
        <f>(VLOOKUP('19.02'!Q36,'19.02'!$AO$4:$AR$55,4,FALSE))</f>
        <v>0</v>
      </c>
      <c r="J36" s="4">
        <f>(VLOOKUP('19.02'!R36,'19.02'!$AO$4:$AR$55,4,FALSE))</f>
        <v>0</v>
      </c>
      <c r="K36" s="4">
        <f>(VLOOKUP('19.02'!S36,'19.02'!$AO$4:$AR$55,4,FALSE))</f>
        <v>0</v>
      </c>
      <c r="L36" s="4">
        <f>(VLOOKUP('19.02'!T36,'19.02'!$AO$4:$AR$55,4,FALSE))</f>
        <v>0</v>
      </c>
      <c r="M36" s="4">
        <f>(VLOOKUP('19.02'!U36,'19.02'!$AO$4:$AR$55,4,FALSE))</f>
        <v>0</v>
      </c>
      <c r="N36" s="4">
        <f>(VLOOKUP('19.02'!V36,'19.02'!$AO$4:$AR$55,4,FALSE))</f>
        <v>0</v>
      </c>
      <c r="O36" s="4">
        <f>(VLOOKUP('19.02'!W36,'19.02'!$AO$4:$AR$55,4,FALSE))</f>
        <v>0</v>
      </c>
      <c r="P36" s="4">
        <f>(VLOOKUP('19.02'!X36,'19.02'!$AO$4:$AR$55,4,FALSE))</f>
        <v>0</v>
      </c>
      <c r="Q36" s="4">
        <f>(VLOOKUP('19.02'!Y36,'19.02'!$AO$4:$AR$55,4,FALSE))</f>
        <v>0</v>
      </c>
      <c r="R36" s="4">
        <f>(VLOOKUP('19.02'!Z36,'19.02'!$AO$4:$AR$55,4,FALSE))</f>
        <v>0</v>
      </c>
      <c r="S36" s="4">
        <f>(VLOOKUP('19.02'!AA36,'19.02'!$AO$4:$AR$55,4,FALSE))</f>
        <v>0</v>
      </c>
      <c r="T36" s="4">
        <f>(VLOOKUP('19.02'!AB36,'19.02'!$AO$4:$AR$55,4,FALSE))</f>
        <v>0</v>
      </c>
      <c r="U36" s="4">
        <f>(VLOOKUP('19.02'!AC36,'19.02'!$AO$4:$AR$55,4,FALSE))</f>
        <v>0</v>
      </c>
      <c r="V36" s="4">
        <f>(VLOOKUP('19.02'!AD36,'19.02'!$AO$4:$AR$55,4,FALSE))</f>
        <v>0</v>
      </c>
      <c r="W36" s="4">
        <f>(VLOOKUP('19.02'!AE36,'19.02'!$AO$4:$AR$55,4,FALSE))</f>
        <v>0</v>
      </c>
      <c r="X36" s="4">
        <f>(VLOOKUP('19.02'!AF36,'19.02'!$AO$4:$AR$55,4,FALSE))</f>
        <v>0</v>
      </c>
    </row>
    <row r="37" spans="1:24">
      <c r="A37" s="4">
        <f>(VLOOKUP('19.02'!I37,'19.02'!$AO$4:$AR$55,4,FALSE))</f>
        <v>0</v>
      </c>
      <c r="B37" s="4">
        <f>(VLOOKUP('19.02'!J37,'19.02'!$AO$4:$AR$55,4,FALSE))</f>
        <v>0</v>
      </c>
      <c r="C37" s="4">
        <f>(VLOOKUP('19.02'!K37,'19.02'!$AO$4:$AR$55,4,FALSE))</f>
        <v>0</v>
      </c>
      <c r="D37" s="4">
        <f>(VLOOKUP('19.02'!L37,'19.02'!$AO$4:$AR$55,4,FALSE))</f>
        <v>0</v>
      </c>
      <c r="E37" s="4">
        <f>(VLOOKUP('19.02'!M37,'19.02'!$AO$4:$AR$55,4,FALSE))</f>
        <v>0</v>
      </c>
      <c r="F37" s="4">
        <f>(VLOOKUP('19.02'!N37,'19.02'!$AO$4:$AR$55,4,FALSE))</f>
        <v>0</v>
      </c>
      <c r="G37" s="4">
        <f>(VLOOKUP('19.02'!O37,'19.02'!$AO$4:$AR$55,4,FALSE))</f>
        <v>0</v>
      </c>
      <c r="H37" s="4">
        <f>(VLOOKUP('19.02'!P37,'19.02'!$AO$4:$AR$55,4,FALSE))</f>
        <v>0</v>
      </c>
      <c r="I37" s="4">
        <f>(VLOOKUP('19.02'!Q37,'19.02'!$AO$4:$AR$55,4,FALSE))</f>
        <v>0</v>
      </c>
      <c r="J37" s="4">
        <f>(VLOOKUP('19.02'!R37,'19.02'!$AO$4:$AR$55,4,FALSE))</f>
        <v>0</v>
      </c>
      <c r="K37" s="4">
        <f>(VLOOKUP('19.02'!S37,'19.02'!$AO$4:$AR$55,4,FALSE))</f>
        <v>0</v>
      </c>
      <c r="L37" s="4">
        <f>(VLOOKUP('19.02'!T37,'19.02'!$AO$4:$AR$55,4,FALSE))</f>
        <v>0</v>
      </c>
      <c r="M37" s="4">
        <f>(VLOOKUP('19.02'!U37,'19.02'!$AO$4:$AR$55,4,FALSE))</f>
        <v>0</v>
      </c>
      <c r="N37" s="4">
        <f>(VLOOKUP('19.02'!V37,'19.02'!$AO$4:$AR$55,4,FALSE))</f>
        <v>0</v>
      </c>
      <c r="O37" s="4">
        <f>(VLOOKUP('19.02'!W37,'19.02'!$AO$4:$AR$55,4,FALSE))</f>
        <v>0</v>
      </c>
      <c r="P37" s="4">
        <f>(VLOOKUP('19.02'!X37,'19.02'!$AO$4:$AR$55,4,FALSE))</f>
        <v>0</v>
      </c>
      <c r="Q37" s="4">
        <f>(VLOOKUP('19.02'!Y37,'19.02'!$AO$4:$AR$55,4,FALSE))</f>
        <v>0</v>
      </c>
      <c r="R37" s="4">
        <f>(VLOOKUP('19.02'!Z37,'19.02'!$AO$4:$AR$55,4,FALSE))</f>
        <v>0</v>
      </c>
      <c r="S37" s="4">
        <f>(VLOOKUP('19.02'!AA37,'19.02'!$AO$4:$AR$55,4,FALSE))</f>
        <v>0</v>
      </c>
      <c r="T37" s="4">
        <f>(VLOOKUP('19.02'!AB37,'19.02'!$AO$4:$AR$55,4,FALSE))</f>
        <v>0</v>
      </c>
      <c r="U37" s="4">
        <f>(VLOOKUP('19.02'!AC37,'19.02'!$AO$4:$AR$55,4,FALSE))</f>
        <v>0</v>
      </c>
      <c r="V37" s="4">
        <f>(VLOOKUP('19.02'!AD37,'19.02'!$AO$4:$AR$55,4,FALSE))</f>
        <v>0</v>
      </c>
      <c r="W37" s="4">
        <f>(VLOOKUP('19.02'!AE37,'19.02'!$AO$4:$AR$55,4,FALSE))</f>
        <v>0</v>
      </c>
      <c r="X37" s="4">
        <f>(VLOOKUP('19.02'!AF37,'19.02'!$AO$4:$AR$55,4,FALSE))</f>
        <v>0</v>
      </c>
    </row>
    <row r="38" spans="1:24">
      <c r="A38" s="4">
        <f>(VLOOKUP('19.02'!I38,'19.02'!$AO$4:$AR$55,4,FALSE))</f>
        <v>0</v>
      </c>
      <c r="B38" s="4">
        <f>(VLOOKUP('19.02'!J38,'19.02'!$AO$4:$AR$55,4,FALSE))</f>
        <v>0</v>
      </c>
      <c r="C38" s="4">
        <f>(VLOOKUP('19.02'!K38,'19.02'!$AO$4:$AR$55,4,FALSE))</f>
        <v>0</v>
      </c>
      <c r="D38" s="4">
        <f>(VLOOKUP('19.02'!L38,'19.02'!$AO$4:$AR$55,4,FALSE))</f>
        <v>0</v>
      </c>
      <c r="E38" s="4">
        <f>(VLOOKUP('19.02'!M38,'19.02'!$AO$4:$AR$55,4,FALSE))</f>
        <v>0</v>
      </c>
      <c r="F38" s="4">
        <f>(VLOOKUP('19.02'!N38,'19.02'!$AO$4:$AR$55,4,FALSE))</f>
        <v>0</v>
      </c>
      <c r="G38" s="4">
        <f>(VLOOKUP('19.02'!O38,'19.02'!$AO$4:$AR$55,4,FALSE))</f>
        <v>0</v>
      </c>
      <c r="H38" s="4">
        <f>(VLOOKUP('19.02'!P38,'19.02'!$AO$4:$AR$55,4,FALSE))</f>
        <v>0</v>
      </c>
      <c r="I38" s="4">
        <f>(VLOOKUP('19.02'!Q38,'19.02'!$AO$4:$AR$55,4,FALSE))</f>
        <v>0</v>
      </c>
      <c r="J38" s="4">
        <f>(VLOOKUP('19.02'!R38,'19.02'!$AO$4:$AR$55,4,FALSE))</f>
        <v>0</v>
      </c>
      <c r="K38" s="4">
        <f>(VLOOKUP('19.02'!S38,'19.02'!$AO$4:$AR$55,4,FALSE))</f>
        <v>0</v>
      </c>
      <c r="L38" s="4">
        <f>(VLOOKUP('19.02'!T38,'19.02'!$AO$4:$AR$55,4,FALSE))</f>
        <v>0</v>
      </c>
      <c r="M38" s="4">
        <f>(VLOOKUP('19.02'!U38,'19.02'!$AO$4:$AR$55,4,FALSE))</f>
        <v>0</v>
      </c>
      <c r="N38" s="4">
        <f>(VLOOKUP('19.02'!V38,'19.02'!$AO$4:$AR$55,4,FALSE))</f>
        <v>0</v>
      </c>
      <c r="O38" s="4">
        <f>(VLOOKUP('19.02'!W38,'19.02'!$AO$4:$AR$55,4,FALSE))</f>
        <v>0</v>
      </c>
      <c r="P38" s="4">
        <f>(VLOOKUP('19.02'!X38,'19.02'!$AO$4:$AR$55,4,FALSE))</f>
        <v>0</v>
      </c>
      <c r="Q38" s="4">
        <f>(VLOOKUP('19.02'!Y38,'19.02'!$AO$4:$AR$55,4,FALSE))</f>
        <v>0</v>
      </c>
      <c r="R38" s="4">
        <f>(VLOOKUP('19.02'!Z38,'19.02'!$AO$4:$AR$55,4,FALSE))</f>
        <v>0</v>
      </c>
      <c r="S38" s="4">
        <f>(VLOOKUP('19.02'!AA38,'19.02'!$AO$4:$AR$55,4,FALSE))</f>
        <v>0</v>
      </c>
      <c r="T38" s="4">
        <f>(VLOOKUP('19.02'!AB38,'19.02'!$AO$4:$AR$55,4,FALSE))</f>
        <v>0</v>
      </c>
      <c r="U38" s="4">
        <f>(VLOOKUP('19.02'!AC38,'19.02'!$AO$4:$AR$55,4,FALSE))</f>
        <v>0</v>
      </c>
      <c r="V38" s="4">
        <f>(VLOOKUP('19.02'!AD38,'19.02'!$AO$4:$AR$55,4,FALSE))</f>
        <v>0</v>
      </c>
      <c r="W38" s="4">
        <f>(VLOOKUP('19.02'!AE38,'19.02'!$AO$4:$AR$55,4,FALSE))</f>
        <v>0</v>
      </c>
      <c r="X38" s="4">
        <f>(VLOOKUP('19.02'!AF38,'19.02'!$AO$4:$AR$55,4,FALSE))</f>
        <v>0</v>
      </c>
    </row>
    <row r="39" spans="1:24">
      <c r="A39" s="4">
        <f>(VLOOKUP('19.02'!I39,'19.02'!$AO$4:$AR$55,4,FALSE))</f>
        <v>0</v>
      </c>
      <c r="B39" s="4">
        <f>(VLOOKUP('19.02'!J39,'19.02'!$AO$4:$AR$55,4,FALSE))</f>
        <v>0</v>
      </c>
      <c r="C39" s="4">
        <f>(VLOOKUP('19.02'!K39,'19.02'!$AO$4:$AR$55,4,FALSE))</f>
        <v>0</v>
      </c>
      <c r="D39" s="4">
        <f>(VLOOKUP('19.02'!L39,'19.02'!$AO$4:$AR$55,4,FALSE))</f>
        <v>0</v>
      </c>
      <c r="E39" s="4">
        <f>(VLOOKUP('19.02'!M39,'19.02'!$AO$4:$AR$55,4,FALSE))</f>
        <v>0</v>
      </c>
      <c r="F39" s="4">
        <f>(VLOOKUP('19.02'!N39,'19.02'!$AO$4:$AR$55,4,FALSE))</f>
        <v>0</v>
      </c>
      <c r="G39" s="4">
        <f>(VLOOKUP('19.02'!O39,'19.02'!$AO$4:$AR$55,4,FALSE))</f>
        <v>0</v>
      </c>
      <c r="H39" s="4">
        <f>(VLOOKUP('19.02'!P39,'19.02'!$AO$4:$AR$55,4,FALSE))</f>
        <v>0</v>
      </c>
      <c r="I39" s="4">
        <f>(VLOOKUP('19.02'!Q39,'19.02'!$AO$4:$AR$55,4,FALSE))</f>
        <v>0</v>
      </c>
      <c r="J39" s="4">
        <f>(VLOOKUP('19.02'!R39,'19.02'!$AO$4:$AR$55,4,FALSE))</f>
        <v>0</v>
      </c>
      <c r="K39" s="4">
        <f>(VLOOKUP('19.02'!S39,'19.02'!$AO$4:$AR$55,4,FALSE))</f>
        <v>0</v>
      </c>
      <c r="L39" s="4">
        <f>(VLOOKUP('19.02'!T39,'19.02'!$AO$4:$AR$55,4,FALSE))</f>
        <v>0</v>
      </c>
      <c r="M39" s="4">
        <f>(VLOOKUP('19.02'!U39,'19.02'!$AO$4:$AR$55,4,FALSE))</f>
        <v>0</v>
      </c>
      <c r="N39" s="4">
        <f>(VLOOKUP('19.02'!V39,'19.02'!$AO$4:$AR$55,4,FALSE))</f>
        <v>0</v>
      </c>
      <c r="O39" s="4">
        <f>(VLOOKUP('19.02'!W39,'19.02'!$AO$4:$AR$55,4,FALSE))</f>
        <v>0</v>
      </c>
      <c r="P39" s="4">
        <f>(VLOOKUP('19.02'!X39,'19.02'!$AO$4:$AR$55,4,FALSE))</f>
        <v>0</v>
      </c>
      <c r="Q39" s="4">
        <f>(VLOOKUP('19.02'!Y39,'19.02'!$AO$4:$AR$55,4,FALSE))</f>
        <v>0</v>
      </c>
      <c r="R39" s="4">
        <f>(VLOOKUP('19.02'!Z39,'19.02'!$AO$4:$AR$55,4,FALSE))</f>
        <v>0</v>
      </c>
      <c r="S39" s="4">
        <f>(VLOOKUP('19.02'!AA39,'19.02'!$AO$4:$AR$55,4,FALSE))</f>
        <v>0</v>
      </c>
      <c r="T39" s="4">
        <f>(VLOOKUP('19.02'!AB39,'19.02'!$AO$4:$AR$55,4,FALSE))</f>
        <v>0</v>
      </c>
      <c r="U39" s="4">
        <f>(VLOOKUP('19.02'!AC39,'19.02'!$AO$4:$AR$55,4,FALSE))</f>
        <v>0</v>
      </c>
      <c r="V39" s="4">
        <f>(VLOOKUP('19.02'!AD39,'19.02'!$AO$4:$AR$55,4,FALSE))</f>
        <v>0</v>
      </c>
      <c r="W39" s="4">
        <f>(VLOOKUP('19.02'!AE39,'19.02'!$AO$4:$AR$55,4,FALSE))</f>
        <v>0</v>
      </c>
      <c r="X39" s="4">
        <f>(VLOOKUP('19.02'!AF39,'19.02'!$AO$4:$AR$55,4,FALSE))</f>
        <v>0</v>
      </c>
    </row>
    <row r="40" spans="1:24">
      <c r="A40" s="4">
        <f>(VLOOKUP('19.02'!I40,'19.02'!$AO$4:$AR$55,4,FALSE))</f>
        <v>0</v>
      </c>
      <c r="B40" s="4">
        <f>(VLOOKUP('19.02'!J40,'19.02'!$AO$4:$AR$55,4,FALSE))</f>
        <v>0</v>
      </c>
      <c r="C40" s="4">
        <f>(VLOOKUP('19.02'!K40,'19.02'!$AO$4:$AR$55,4,FALSE))</f>
        <v>0</v>
      </c>
      <c r="D40" s="4">
        <f>(VLOOKUP('19.02'!L40,'19.02'!$AO$4:$AR$55,4,FALSE))</f>
        <v>0</v>
      </c>
      <c r="E40" s="4">
        <f>(VLOOKUP('19.02'!M40,'19.02'!$AO$4:$AR$55,4,FALSE))</f>
        <v>0</v>
      </c>
      <c r="F40" s="4">
        <f>(VLOOKUP('19.02'!N40,'19.02'!$AO$4:$AR$55,4,FALSE))</f>
        <v>0</v>
      </c>
      <c r="G40" s="4">
        <f>(VLOOKUP('19.02'!O40,'19.02'!$AO$4:$AR$55,4,FALSE))</f>
        <v>0</v>
      </c>
      <c r="H40" s="4">
        <f>(VLOOKUP('19.02'!P40,'19.02'!$AO$4:$AR$55,4,FALSE))</f>
        <v>0</v>
      </c>
      <c r="I40" s="4">
        <f>(VLOOKUP('19.02'!Q40,'19.02'!$AO$4:$AR$55,4,FALSE))</f>
        <v>0</v>
      </c>
      <c r="J40" s="4">
        <f>(VLOOKUP('19.02'!R40,'19.02'!$AO$4:$AR$55,4,FALSE))</f>
        <v>0</v>
      </c>
      <c r="K40" s="4">
        <f>(VLOOKUP('19.02'!S40,'19.02'!$AO$4:$AR$55,4,FALSE))</f>
        <v>0</v>
      </c>
      <c r="L40" s="4">
        <f>(VLOOKUP('19.02'!T40,'19.02'!$AO$4:$AR$55,4,FALSE))</f>
        <v>0</v>
      </c>
      <c r="M40" s="4">
        <f>(VLOOKUP('19.02'!U40,'19.02'!$AO$4:$AR$55,4,FALSE))</f>
        <v>0</v>
      </c>
      <c r="N40" s="4">
        <f>(VLOOKUP('19.02'!V40,'19.02'!$AO$4:$AR$55,4,FALSE))</f>
        <v>0</v>
      </c>
      <c r="O40" s="4">
        <f>(VLOOKUP('19.02'!W40,'19.02'!$AO$4:$AR$55,4,FALSE))</f>
        <v>0</v>
      </c>
      <c r="P40" s="4">
        <f>(VLOOKUP('19.02'!X40,'19.02'!$AO$4:$AR$55,4,FALSE))</f>
        <v>0</v>
      </c>
      <c r="Q40" s="4">
        <f>(VLOOKUP('19.02'!Y40,'19.02'!$AO$4:$AR$55,4,FALSE))</f>
        <v>0</v>
      </c>
      <c r="R40" s="4">
        <f>(VLOOKUP('19.02'!Z40,'19.02'!$AO$4:$AR$55,4,FALSE))</f>
        <v>0</v>
      </c>
      <c r="S40" s="4">
        <f>(VLOOKUP('19.02'!AA40,'19.02'!$AO$4:$AR$55,4,FALSE))</f>
        <v>0</v>
      </c>
      <c r="T40" s="4">
        <f>(VLOOKUP('19.02'!AB40,'19.02'!$AO$4:$AR$55,4,FALSE))</f>
        <v>0</v>
      </c>
      <c r="U40" s="4">
        <f>(VLOOKUP('19.02'!AC40,'19.02'!$AO$4:$AR$55,4,FALSE))</f>
        <v>0</v>
      </c>
      <c r="V40" s="4">
        <f>(VLOOKUP('19.02'!AD40,'19.02'!$AO$4:$AR$55,4,FALSE))</f>
        <v>0</v>
      </c>
      <c r="W40" s="4">
        <f>(VLOOKUP('19.02'!AE40,'19.02'!$AO$4:$AR$55,4,FALSE))</f>
        <v>0</v>
      </c>
      <c r="X40" s="4">
        <f>(VLOOKUP('19.02'!AF40,'19.02'!$AO$4:$AR$55,4,FALSE))</f>
        <v>0</v>
      </c>
    </row>
    <row r="41" spans="1:24">
      <c r="A41" s="4">
        <f>(VLOOKUP('19.02'!I41,'19.02'!$AO$4:$AR$55,4,FALSE))</f>
        <v>0</v>
      </c>
      <c r="B41" s="4">
        <f>(VLOOKUP('19.02'!J41,'19.02'!$AO$4:$AR$55,4,FALSE))</f>
        <v>0</v>
      </c>
      <c r="C41" s="4">
        <f>(VLOOKUP('19.02'!K41,'19.02'!$AO$4:$AR$55,4,FALSE))</f>
        <v>0</v>
      </c>
      <c r="D41" s="4">
        <f>(VLOOKUP('19.02'!L41,'19.02'!$AO$4:$AR$55,4,FALSE))</f>
        <v>0</v>
      </c>
      <c r="E41" s="4">
        <f>(VLOOKUP('19.02'!M41,'19.02'!$AO$4:$AR$55,4,FALSE))</f>
        <v>0</v>
      </c>
      <c r="F41" s="4">
        <f>(VLOOKUP('19.02'!N41,'19.02'!$AO$4:$AR$55,4,FALSE))</f>
        <v>0</v>
      </c>
      <c r="G41" s="4">
        <f>(VLOOKUP('19.02'!O41,'19.02'!$AO$4:$AR$55,4,FALSE))</f>
        <v>0</v>
      </c>
      <c r="H41" s="4">
        <f>(VLOOKUP('19.02'!P41,'19.02'!$AO$4:$AR$55,4,FALSE))</f>
        <v>0</v>
      </c>
      <c r="I41" s="4">
        <f>(VLOOKUP('19.02'!Q41,'19.02'!$AO$4:$AR$55,4,FALSE))</f>
        <v>0</v>
      </c>
      <c r="J41" s="4">
        <f>(VLOOKUP('19.02'!R41,'19.02'!$AO$4:$AR$55,4,FALSE))</f>
        <v>0</v>
      </c>
      <c r="K41" s="4">
        <f>(VLOOKUP('19.02'!S41,'19.02'!$AO$4:$AR$55,4,FALSE))</f>
        <v>0</v>
      </c>
      <c r="L41" s="4">
        <f>(VLOOKUP('19.02'!T41,'19.02'!$AO$4:$AR$55,4,FALSE))</f>
        <v>0</v>
      </c>
      <c r="M41" s="4">
        <f>(VLOOKUP('19.02'!U41,'19.02'!$AO$4:$AR$55,4,FALSE))</f>
        <v>0</v>
      </c>
      <c r="N41" s="4">
        <f>(VLOOKUP('19.02'!V41,'19.02'!$AO$4:$AR$55,4,FALSE))</f>
        <v>0</v>
      </c>
      <c r="O41" s="4">
        <f>(VLOOKUP('19.02'!W41,'19.02'!$AO$4:$AR$55,4,FALSE))</f>
        <v>0</v>
      </c>
      <c r="P41" s="4">
        <f>(VLOOKUP('19.02'!X41,'19.02'!$AO$4:$AR$55,4,FALSE))</f>
        <v>0</v>
      </c>
      <c r="Q41" s="4">
        <f>(VLOOKUP('19.02'!Y41,'19.02'!$AO$4:$AR$55,4,FALSE))</f>
        <v>0</v>
      </c>
      <c r="R41" s="4">
        <f>(VLOOKUP('19.02'!Z41,'19.02'!$AO$4:$AR$55,4,FALSE))</f>
        <v>0</v>
      </c>
      <c r="S41" s="4">
        <f>(VLOOKUP('19.02'!AA41,'19.02'!$AO$4:$AR$55,4,FALSE))</f>
        <v>0</v>
      </c>
      <c r="T41" s="4">
        <f>(VLOOKUP('19.02'!AB41,'19.02'!$AO$4:$AR$55,4,FALSE))</f>
        <v>0</v>
      </c>
      <c r="U41" s="4">
        <f>(VLOOKUP('19.02'!AC41,'19.02'!$AO$4:$AR$55,4,FALSE))</f>
        <v>0</v>
      </c>
      <c r="V41" s="4">
        <f>(VLOOKUP('19.02'!AD41,'19.02'!$AO$4:$AR$55,4,FALSE))</f>
        <v>0</v>
      </c>
      <c r="W41" s="4">
        <f>(VLOOKUP('19.02'!AE41,'19.02'!$AO$4:$AR$55,4,FALSE))</f>
        <v>0</v>
      </c>
      <c r="X41" s="4">
        <f>(VLOOKUP('19.02'!AF41,'19.02'!$AO$4:$AR$55,4,FALSE))</f>
        <v>0</v>
      </c>
    </row>
    <row r="42" spans="1:24">
      <c r="A42" s="4">
        <f>(VLOOKUP('19.02'!I42,'19.02'!$AO$4:$AR$55,4,FALSE))</f>
        <v>0</v>
      </c>
      <c r="B42" s="4">
        <f>(VLOOKUP('19.02'!J42,'19.02'!$AO$4:$AR$55,4,FALSE))</f>
        <v>0</v>
      </c>
      <c r="C42" s="4">
        <f>(VLOOKUP('19.02'!K42,'19.02'!$AO$4:$AR$55,4,FALSE))</f>
        <v>0</v>
      </c>
      <c r="D42" s="4">
        <f>(VLOOKUP('19.02'!L42,'19.02'!$AO$4:$AR$55,4,FALSE))</f>
        <v>0</v>
      </c>
      <c r="E42" s="4">
        <f>(VLOOKUP('19.02'!M42,'19.02'!$AO$4:$AR$55,4,FALSE))</f>
        <v>0</v>
      </c>
      <c r="F42" s="4">
        <f>(VLOOKUP('19.02'!N42,'19.02'!$AO$4:$AR$55,4,FALSE))</f>
        <v>0</v>
      </c>
      <c r="G42" s="4">
        <f>(VLOOKUP('19.02'!O42,'19.02'!$AO$4:$AR$55,4,FALSE))</f>
        <v>0</v>
      </c>
      <c r="H42" s="4">
        <f>(VLOOKUP('19.02'!P42,'19.02'!$AO$4:$AR$55,4,FALSE))</f>
        <v>0</v>
      </c>
      <c r="I42" s="4">
        <f>(VLOOKUP('19.02'!Q42,'19.02'!$AO$4:$AR$55,4,FALSE))</f>
        <v>0</v>
      </c>
      <c r="J42" s="4">
        <f>(VLOOKUP('19.02'!R42,'19.02'!$AO$4:$AR$55,4,FALSE))</f>
        <v>0</v>
      </c>
      <c r="K42" s="4">
        <f>(VLOOKUP('19.02'!S42,'19.02'!$AO$4:$AR$55,4,FALSE))</f>
        <v>0</v>
      </c>
      <c r="L42" s="4">
        <f>(VLOOKUP('19.02'!T42,'19.02'!$AO$4:$AR$55,4,FALSE))</f>
        <v>0</v>
      </c>
      <c r="M42" s="4">
        <f>(VLOOKUP('19.02'!U42,'19.02'!$AO$4:$AR$55,4,FALSE))</f>
        <v>0</v>
      </c>
      <c r="N42" s="4">
        <f>(VLOOKUP('19.02'!V42,'19.02'!$AO$4:$AR$55,4,FALSE))</f>
        <v>0</v>
      </c>
      <c r="O42" s="4">
        <f>(VLOOKUP('19.02'!W42,'19.02'!$AO$4:$AR$55,4,FALSE))</f>
        <v>0</v>
      </c>
      <c r="P42" s="4">
        <f>(VLOOKUP('19.02'!X42,'19.02'!$AO$4:$AR$55,4,FALSE))</f>
        <v>0</v>
      </c>
      <c r="Q42" s="4">
        <f>(VLOOKUP('19.02'!Y42,'19.02'!$AO$4:$AR$55,4,FALSE))</f>
        <v>0</v>
      </c>
      <c r="R42" s="4">
        <f>(VLOOKUP('19.02'!Z42,'19.02'!$AO$4:$AR$55,4,FALSE))</f>
        <v>0</v>
      </c>
      <c r="S42" s="4">
        <f>(VLOOKUP('19.02'!AA42,'19.02'!$AO$4:$AR$55,4,FALSE))</f>
        <v>0</v>
      </c>
      <c r="T42" s="4">
        <f>(VLOOKUP('19.02'!AB42,'19.02'!$AO$4:$AR$55,4,FALSE))</f>
        <v>0</v>
      </c>
      <c r="U42" s="4">
        <f>(VLOOKUP('19.02'!AC42,'19.02'!$AO$4:$AR$55,4,FALSE))</f>
        <v>0</v>
      </c>
      <c r="V42" s="4">
        <f>(VLOOKUP('19.02'!AD42,'19.02'!$AO$4:$AR$55,4,FALSE))</f>
        <v>0</v>
      </c>
      <c r="W42" s="4">
        <f>(VLOOKUP('19.02'!AE42,'19.02'!$AO$4:$AR$55,4,FALSE))</f>
        <v>0</v>
      </c>
      <c r="X42" s="4">
        <f>(VLOOKUP('19.02'!AF42,'19.02'!$AO$4:$AR$55,4,FALSE))</f>
        <v>0</v>
      </c>
    </row>
    <row r="43" spans="1:24">
      <c r="A43" s="4">
        <f>(VLOOKUP('19.02'!I43,'19.02'!$AO$4:$AR$55,4,FALSE))</f>
        <v>0</v>
      </c>
      <c r="B43" s="4">
        <f>(VLOOKUP('19.02'!J43,'19.02'!$AO$4:$AR$55,4,FALSE))</f>
        <v>0</v>
      </c>
      <c r="C43" s="4">
        <f>(VLOOKUP('19.02'!K43,'19.02'!$AO$4:$AR$55,4,FALSE))</f>
        <v>0</v>
      </c>
      <c r="D43" s="4">
        <f>(VLOOKUP('19.02'!L43,'19.02'!$AO$4:$AR$55,4,FALSE))</f>
        <v>0</v>
      </c>
      <c r="E43" s="4">
        <f>(VLOOKUP('19.02'!M43,'19.02'!$AO$4:$AR$55,4,FALSE))</f>
        <v>0</v>
      </c>
      <c r="F43" s="4">
        <f>(VLOOKUP('19.02'!N43,'19.02'!$AO$4:$AR$55,4,FALSE))</f>
        <v>0</v>
      </c>
      <c r="G43" s="4">
        <f>(VLOOKUP('19.02'!O43,'19.02'!$AO$4:$AR$55,4,FALSE))</f>
        <v>0</v>
      </c>
      <c r="H43" s="4">
        <f>(VLOOKUP('19.02'!P43,'19.02'!$AO$4:$AR$55,4,FALSE))</f>
        <v>0</v>
      </c>
      <c r="I43" s="4">
        <f>(VLOOKUP('19.02'!Q43,'19.02'!$AO$4:$AR$55,4,FALSE))</f>
        <v>0</v>
      </c>
      <c r="J43" s="4">
        <f>(VLOOKUP('19.02'!R43,'19.02'!$AO$4:$AR$55,4,FALSE))</f>
        <v>0</v>
      </c>
      <c r="K43" s="4">
        <f>(VLOOKUP('19.02'!S43,'19.02'!$AO$4:$AR$55,4,FALSE))</f>
        <v>0</v>
      </c>
      <c r="L43" s="4">
        <f>(VLOOKUP('19.02'!T43,'19.02'!$AO$4:$AR$55,4,FALSE))</f>
        <v>0</v>
      </c>
      <c r="M43" s="4">
        <f>(VLOOKUP('19.02'!U43,'19.02'!$AO$4:$AR$55,4,FALSE))</f>
        <v>0</v>
      </c>
      <c r="N43" s="4">
        <f>(VLOOKUP('19.02'!V43,'19.02'!$AO$4:$AR$55,4,FALSE))</f>
        <v>0</v>
      </c>
      <c r="O43" s="4">
        <f>(VLOOKUP('19.02'!W43,'19.02'!$AO$4:$AR$55,4,FALSE))</f>
        <v>0</v>
      </c>
      <c r="P43" s="4">
        <f>(VLOOKUP('19.02'!X43,'19.02'!$AO$4:$AR$55,4,FALSE))</f>
        <v>0</v>
      </c>
      <c r="Q43" s="4">
        <f>(VLOOKUP('19.02'!Y43,'19.02'!$AO$4:$AR$55,4,FALSE))</f>
        <v>0</v>
      </c>
      <c r="R43" s="4">
        <f>(VLOOKUP('19.02'!Z43,'19.02'!$AO$4:$AR$55,4,FALSE))</f>
        <v>0</v>
      </c>
      <c r="S43" s="4">
        <f>(VLOOKUP('19.02'!AA43,'19.02'!$AO$4:$AR$55,4,FALSE))</f>
        <v>0</v>
      </c>
      <c r="T43" s="4">
        <f>(VLOOKUP('19.02'!AB43,'19.02'!$AO$4:$AR$55,4,FALSE))</f>
        <v>0</v>
      </c>
      <c r="U43" s="4">
        <f>(VLOOKUP('19.02'!AC43,'19.02'!$AO$4:$AR$55,4,FALSE))</f>
        <v>0</v>
      </c>
      <c r="V43" s="4">
        <f>(VLOOKUP('19.02'!AD43,'19.02'!$AO$4:$AR$55,4,FALSE))</f>
        <v>0</v>
      </c>
      <c r="W43" s="4">
        <f>(VLOOKUP('19.02'!AE43,'19.02'!$AO$4:$AR$55,4,FALSE))</f>
        <v>0</v>
      </c>
      <c r="X43" s="4">
        <f>(VLOOKUP('19.02'!AF43,'19.02'!$AO$4:$AR$55,4,FALSE))</f>
        <v>0</v>
      </c>
    </row>
    <row r="44" spans="1:24">
      <c r="A44" s="4">
        <f>(VLOOKUP('19.02'!I44,'19.02'!$AO$4:$AR$55,4,FALSE))</f>
        <v>0</v>
      </c>
      <c r="B44" s="4">
        <f>(VLOOKUP('19.02'!J44,'19.02'!$AO$4:$AR$55,4,FALSE))</f>
        <v>0</v>
      </c>
      <c r="C44" s="4">
        <f>(VLOOKUP('19.02'!K44,'19.02'!$AO$4:$AR$55,4,FALSE))</f>
        <v>0</v>
      </c>
      <c r="D44" s="4">
        <f>(VLOOKUP('19.02'!L44,'19.02'!$AO$4:$AR$55,4,FALSE))</f>
        <v>0</v>
      </c>
      <c r="E44" s="4">
        <f>(VLOOKUP('19.02'!M44,'19.02'!$AO$4:$AR$55,4,FALSE))</f>
        <v>0</v>
      </c>
      <c r="F44" s="4">
        <f>(VLOOKUP('19.02'!N44,'19.02'!$AO$4:$AR$55,4,FALSE))</f>
        <v>0</v>
      </c>
      <c r="G44" s="4">
        <f>(VLOOKUP('19.02'!O44,'19.02'!$AO$4:$AR$55,4,FALSE))</f>
        <v>0</v>
      </c>
      <c r="H44" s="4">
        <f>(VLOOKUP('19.02'!P44,'19.02'!$AO$4:$AR$55,4,FALSE))</f>
        <v>0</v>
      </c>
      <c r="I44" s="4">
        <f>(VLOOKUP('19.02'!Q44,'19.02'!$AO$4:$AR$55,4,FALSE))</f>
        <v>0</v>
      </c>
      <c r="J44" s="4">
        <f>(VLOOKUP('19.02'!R44,'19.02'!$AO$4:$AR$55,4,FALSE))</f>
        <v>0</v>
      </c>
      <c r="K44" s="4">
        <f>(VLOOKUP('19.02'!S44,'19.02'!$AO$4:$AR$55,4,FALSE))</f>
        <v>0</v>
      </c>
      <c r="L44" s="4">
        <f>(VLOOKUP('19.02'!T44,'19.02'!$AO$4:$AR$55,4,FALSE))</f>
        <v>0</v>
      </c>
      <c r="M44" s="4">
        <f>(VLOOKUP('19.02'!U44,'19.02'!$AO$4:$AR$55,4,FALSE))</f>
        <v>0</v>
      </c>
      <c r="N44" s="4">
        <f>(VLOOKUP('19.02'!V44,'19.02'!$AO$4:$AR$55,4,FALSE))</f>
        <v>0</v>
      </c>
      <c r="O44" s="4">
        <f>(VLOOKUP('19.02'!W44,'19.02'!$AO$4:$AR$55,4,FALSE))</f>
        <v>0</v>
      </c>
      <c r="P44" s="4">
        <f>(VLOOKUP('19.02'!X44,'19.02'!$AO$4:$AR$55,4,FALSE))</f>
        <v>0</v>
      </c>
      <c r="Q44" s="4">
        <f>(VLOOKUP('19.02'!Y44,'19.02'!$AO$4:$AR$55,4,FALSE))</f>
        <v>0</v>
      </c>
      <c r="R44" s="4">
        <f>(VLOOKUP('19.02'!Z44,'19.02'!$AO$4:$AR$55,4,FALSE))</f>
        <v>0</v>
      </c>
      <c r="S44" s="4">
        <f>(VLOOKUP('19.02'!AA44,'19.02'!$AO$4:$AR$55,4,FALSE))</f>
        <v>0</v>
      </c>
      <c r="T44" s="4">
        <f>(VLOOKUP('19.02'!AB44,'19.02'!$AO$4:$AR$55,4,FALSE))</f>
        <v>0</v>
      </c>
      <c r="U44" s="4">
        <f>(VLOOKUP('19.02'!AC44,'19.02'!$AO$4:$AR$55,4,FALSE))</f>
        <v>0</v>
      </c>
      <c r="V44" s="4">
        <f>(VLOOKUP('19.02'!AD44,'19.02'!$AO$4:$AR$55,4,FALSE))</f>
        <v>0</v>
      </c>
      <c r="W44" s="4">
        <f>(VLOOKUP('19.02'!AE44,'19.02'!$AO$4:$AR$55,4,FALSE))</f>
        <v>0</v>
      </c>
      <c r="X44" s="4">
        <f>(VLOOKUP('19.02'!AF44,'19.02'!$AO$4:$AR$55,4,FALSE))</f>
        <v>0</v>
      </c>
    </row>
    <row r="45" spans="1:24">
      <c r="A45" s="4">
        <f>(VLOOKUP('19.02'!I45,'19.02'!$AO$4:$AR$55,4,FALSE))</f>
        <v>0</v>
      </c>
      <c r="B45" s="4">
        <f>(VLOOKUP('19.02'!J45,'19.02'!$AO$4:$AR$55,4,FALSE))</f>
        <v>0</v>
      </c>
      <c r="C45" s="4">
        <f>(VLOOKUP('19.02'!K45,'19.02'!$AO$4:$AR$55,4,FALSE))</f>
        <v>0</v>
      </c>
      <c r="D45" s="4">
        <f>(VLOOKUP('19.02'!L45,'19.02'!$AO$4:$AR$55,4,FALSE))</f>
        <v>0</v>
      </c>
      <c r="E45" s="4">
        <f>(VLOOKUP('19.02'!M45,'19.02'!$AO$4:$AR$55,4,FALSE))</f>
        <v>0</v>
      </c>
      <c r="F45" s="4">
        <f>(VLOOKUP('19.02'!N45,'19.02'!$AO$4:$AR$55,4,FALSE))</f>
        <v>0</v>
      </c>
      <c r="G45" s="4">
        <f>(VLOOKUP('19.02'!O45,'19.02'!$AO$4:$AR$55,4,FALSE))</f>
        <v>0</v>
      </c>
      <c r="H45" s="4">
        <f>(VLOOKUP('19.02'!P45,'19.02'!$AO$4:$AR$55,4,FALSE))</f>
        <v>0</v>
      </c>
      <c r="I45" s="4">
        <f>(VLOOKUP('19.02'!Q45,'19.02'!$AO$4:$AR$55,4,FALSE))</f>
        <v>0</v>
      </c>
      <c r="J45" s="4">
        <f>(VLOOKUP('19.02'!R45,'19.02'!$AO$4:$AR$55,4,FALSE))</f>
        <v>0</v>
      </c>
      <c r="K45" s="4">
        <f>(VLOOKUP('19.02'!S45,'19.02'!$AO$4:$AR$55,4,FALSE))</f>
        <v>0</v>
      </c>
      <c r="L45" s="4">
        <f>(VLOOKUP('19.02'!T45,'19.02'!$AO$4:$AR$55,4,FALSE))</f>
        <v>0</v>
      </c>
      <c r="M45" s="4">
        <f>(VLOOKUP('19.02'!U45,'19.02'!$AO$4:$AR$55,4,FALSE))</f>
        <v>0</v>
      </c>
      <c r="N45" s="4">
        <f>(VLOOKUP('19.02'!V45,'19.02'!$AO$4:$AR$55,4,FALSE))</f>
        <v>0</v>
      </c>
      <c r="O45" s="4">
        <f>(VLOOKUP('19.02'!W45,'19.02'!$AO$4:$AR$55,4,FALSE))</f>
        <v>0</v>
      </c>
      <c r="P45" s="4">
        <f>(VLOOKUP('19.02'!X45,'19.02'!$AO$4:$AR$55,4,FALSE))</f>
        <v>0</v>
      </c>
      <c r="Q45" s="4">
        <f>(VLOOKUP('19.02'!Y45,'19.02'!$AO$4:$AR$55,4,FALSE))</f>
        <v>0</v>
      </c>
      <c r="R45" s="4">
        <f>(VLOOKUP('19.02'!Z45,'19.02'!$AO$4:$AR$55,4,FALSE))</f>
        <v>0</v>
      </c>
      <c r="S45" s="4">
        <f>(VLOOKUP('19.02'!AA45,'19.02'!$AO$4:$AR$55,4,FALSE))</f>
        <v>0</v>
      </c>
      <c r="T45" s="4">
        <f>(VLOOKUP('19.02'!AB45,'19.02'!$AO$4:$AR$55,4,FALSE))</f>
        <v>0</v>
      </c>
      <c r="U45" s="4">
        <f>(VLOOKUP('19.02'!AC45,'19.02'!$AO$4:$AR$55,4,FALSE))</f>
        <v>0</v>
      </c>
      <c r="V45" s="4">
        <f>(VLOOKUP('19.02'!AD45,'19.02'!$AO$4:$AR$55,4,FALSE))</f>
        <v>0</v>
      </c>
      <c r="W45" s="4">
        <f>(VLOOKUP('19.02'!AE45,'19.02'!$AO$4:$AR$55,4,FALSE))</f>
        <v>0</v>
      </c>
      <c r="X45" s="4">
        <f>(VLOOKUP('19.02'!AF45,'19.02'!$AO$4:$AR$55,4,FALSE))</f>
        <v>0</v>
      </c>
    </row>
    <row r="46" spans="1:24">
      <c r="A46" s="4">
        <f>(VLOOKUP('19.02'!I46,'19.02'!$AO$4:$AR$55,4,FALSE))</f>
        <v>0</v>
      </c>
      <c r="B46" s="4">
        <f>(VLOOKUP('19.02'!J46,'19.02'!$AO$4:$AR$55,4,FALSE))</f>
        <v>0</v>
      </c>
      <c r="C46" s="4">
        <f>(VLOOKUP('19.02'!K46,'19.02'!$AO$4:$AR$55,4,FALSE))</f>
        <v>0</v>
      </c>
      <c r="D46" s="4">
        <f>(VLOOKUP('19.02'!L46,'19.02'!$AO$4:$AR$55,4,FALSE))</f>
        <v>0</v>
      </c>
      <c r="E46" s="4">
        <f>(VLOOKUP('19.02'!M46,'19.02'!$AO$4:$AR$55,4,FALSE))</f>
        <v>0</v>
      </c>
      <c r="F46" s="4">
        <f>(VLOOKUP('19.02'!N46,'19.02'!$AO$4:$AR$55,4,FALSE))</f>
        <v>0</v>
      </c>
      <c r="G46" s="4">
        <f>(VLOOKUP('19.02'!O46,'19.02'!$AO$4:$AR$55,4,FALSE))</f>
        <v>0</v>
      </c>
      <c r="H46" s="4">
        <f>(VLOOKUP('19.02'!P46,'19.02'!$AO$4:$AR$55,4,FALSE))</f>
        <v>0</v>
      </c>
      <c r="I46" s="4">
        <f>(VLOOKUP('19.02'!Q46,'19.02'!$AO$4:$AR$55,4,FALSE))</f>
        <v>0</v>
      </c>
      <c r="J46" s="4">
        <f>(VLOOKUP('19.02'!R46,'19.02'!$AO$4:$AR$55,4,FALSE))</f>
        <v>0</v>
      </c>
      <c r="K46" s="4">
        <f>(VLOOKUP('19.02'!S46,'19.02'!$AO$4:$AR$55,4,FALSE))</f>
        <v>0</v>
      </c>
      <c r="L46" s="4">
        <f>(VLOOKUP('19.02'!T46,'19.02'!$AO$4:$AR$55,4,FALSE))</f>
        <v>0</v>
      </c>
      <c r="M46" s="4">
        <f>(VLOOKUP('19.02'!U46,'19.02'!$AO$4:$AR$55,4,FALSE))</f>
        <v>0</v>
      </c>
      <c r="N46" s="4">
        <f>(VLOOKUP('19.02'!V46,'19.02'!$AO$4:$AR$55,4,FALSE))</f>
        <v>0</v>
      </c>
      <c r="O46" s="4">
        <f>(VLOOKUP('19.02'!W46,'19.02'!$AO$4:$AR$55,4,FALSE))</f>
        <v>0</v>
      </c>
      <c r="P46" s="4">
        <f>(VLOOKUP('19.02'!X46,'19.02'!$AO$4:$AR$55,4,FALSE))</f>
        <v>0</v>
      </c>
      <c r="Q46" s="4">
        <f>(VLOOKUP('19.02'!Y46,'19.02'!$AO$4:$AR$55,4,FALSE))</f>
        <v>0</v>
      </c>
      <c r="R46" s="4">
        <f>(VLOOKUP('19.02'!Z46,'19.02'!$AO$4:$AR$55,4,FALSE))</f>
        <v>0</v>
      </c>
      <c r="S46" s="4">
        <f>(VLOOKUP('19.02'!AA46,'19.02'!$AO$4:$AR$55,4,FALSE))</f>
        <v>0</v>
      </c>
      <c r="T46" s="4">
        <f>(VLOOKUP('19.02'!AB46,'19.02'!$AO$4:$AR$55,4,FALSE))</f>
        <v>0</v>
      </c>
      <c r="U46" s="4">
        <f>(VLOOKUP('19.02'!AC46,'19.02'!$AO$4:$AR$55,4,FALSE))</f>
        <v>0</v>
      </c>
      <c r="V46" s="4">
        <f>(VLOOKUP('19.02'!AD46,'19.02'!$AO$4:$AR$55,4,FALSE))</f>
        <v>0</v>
      </c>
      <c r="W46" s="4">
        <f>(VLOOKUP('19.02'!AE46,'19.02'!$AO$4:$AR$55,4,FALSE))</f>
        <v>0</v>
      </c>
      <c r="X46" s="4">
        <f>(VLOOKUP('19.02'!AF46,'19.02'!$AO$4:$AR$55,4,FALSE))</f>
        <v>0</v>
      </c>
    </row>
    <row r="47" spans="1:24">
      <c r="A47" s="4">
        <f>(VLOOKUP('19.02'!I47,'19.02'!$AO$4:$AR$55,4,FALSE))</f>
        <v>0</v>
      </c>
      <c r="B47" s="4">
        <f>(VLOOKUP('19.02'!J47,'19.02'!$AO$4:$AR$55,4,FALSE))</f>
        <v>0</v>
      </c>
      <c r="C47" s="4">
        <f>(VLOOKUP('19.02'!K47,'19.02'!$AO$4:$AR$55,4,FALSE))</f>
        <v>0</v>
      </c>
      <c r="D47" s="4">
        <f>(VLOOKUP('19.02'!L47,'19.02'!$AO$4:$AR$55,4,FALSE))</f>
        <v>0</v>
      </c>
      <c r="E47" s="4">
        <f>(VLOOKUP('19.02'!M47,'19.02'!$AO$4:$AR$55,4,FALSE))</f>
        <v>0</v>
      </c>
      <c r="F47" s="4">
        <f>(VLOOKUP('19.02'!N47,'19.02'!$AO$4:$AR$55,4,FALSE))</f>
        <v>0</v>
      </c>
      <c r="G47" s="4">
        <f>(VLOOKUP('19.02'!O47,'19.02'!$AO$4:$AR$55,4,FALSE))</f>
        <v>0</v>
      </c>
      <c r="H47" s="4">
        <f>(VLOOKUP('19.02'!P47,'19.02'!$AO$4:$AR$55,4,FALSE))</f>
        <v>0</v>
      </c>
      <c r="I47" s="4">
        <f>(VLOOKUP('19.02'!Q47,'19.02'!$AO$4:$AR$55,4,FALSE))</f>
        <v>0</v>
      </c>
      <c r="J47" s="4">
        <f>(VLOOKUP('19.02'!R47,'19.02'!$AO$4:$AR$55,4,FALSE))</f>
        <v>0</v>
      </c>
      <c r="K47" s="4">
        <f>(VLOOKUP('19.02'!S47,'19.02'!$AO$4:$AR$55,4,FALSE))</f>
        <v>0</v>
      </c>
      <c r="L47" s="4">
        <f>(VLOOKUP('19.02'!T47,'19.02'!$AO$4:$AR$55,4,FALSE))</f>
        <v>0</v>
      </c>
      <c r="M47" s="4">
        <f>(VLOOKUP('19.02'!U47,'19.02'!$AO$4:$AR$55,4,FALSE))</f>
        <v>0</v>
      </c>
      <c r="N47" s="4">
        <f>(VLOOKUP('19.02'!V47,'19.02'!$AO$4:$AR$55,4,FALSE))</f>
        <v>0</v>
      </c>
      <c r="O47" s="4">
        <f>(VLOOKUP('19.02'!W47,'19.02'!$AO$4:$AR$55,4,FALSE))</f>
        <v>0</v>
      </c>
      <c r="P47" s="4">
        <f>(VLOOKUP('19.02'!X47,'19.02'!$AO$4:$AR$55,4,FALSE))</f>
        <v>0</v>
      </c>
      <c r="Q47" s="4">
        <f>(VLOOKUP('19.02'!Y47,'19.02'!$AO$4:$AR$55,4,FALSE))</f>
        <v>0</v>
      </c>
      <c r="R47" s="4">
        <f>(VLOOKUP('19.02'!Z47,'19.02'!$AO$4:$AR$55,4,FALSE))</f>
        <v>0</v>
      </c>
      <c r="S47" s="4">
        <f>(VLOOKUP('19.02'!AA47,'19.02'!$AO$4:$AR$55,4,FALSE))</f>
        <v>0</v>
      </c>
      <c r="T47" s="4">
        <f>(VLOOKUP('19.02'!AB47,'19.02'!$AO$4:$AR$55,4,FALSE))</f>
        <v>0</v>
      </c>
      <c r="U47" s="4">
        <f>(VLOOKUP('19.02'!AC47,'19.02'!$AO$4:$AR$55,4,FALSE))</f>
        <v>0</v>
      </c>
      <c r="V47" s="4">
        <f>(VLOOKUP('19.02'!AD47,'19.02'!$AO$4:$AR$55,4,FALSE))</f>
        <v>0</v>
      </c>
      <c r="W47" s="4">
        <f>(VLOOKUP('19.02'!AE47,'19.02'!$AO$4:$AR$55,4,FALSE))</f>
        <v>0</v>
      </c>
      <c r="X47" s="4">
        <f>(VLOOKUP('19.02'!AF47,'19.02'!$AO$4:$AR$55,4,FALSE))</f>
        <v>0</v>
      </c>
    </row>
    <row r="48" spans="1:24">
      <c r="A48" s="4">
        <f>(VLOOKUP('19.02'!I48,'19.02'!$AO$4:$AR$55,4,FALSE))</f>
        <v>0</v>
      </c>
      <c r="B48" s="4">
        <f>(VLOOKUP('19.02'!J48,'19.02'!$AO$4:$AR$55,4,FALSE))</f>
        <v>0</v>
      </c>
      <c r="C48" s="4">
        <f>(VLOOKUP('19.02'!K48,'19.02'!$AO$4:$AR$55,4,FALSE))</f>
        <v>0</v>
      </c>
      <c r="D48" s="4">
        <f>(VLOOKUP('19.02'!L48,'19.02'!$AO$4:$AR$55,4,FALSE))</f>
        <v>0</v>
      </c>
      <c r="E48" s="4">
        <f>(VLOOKUP('19.02'!M48,'19.02'!$AO$4:$AR$55,4,FALSE))</f>
        <v>0</v>
      </c>
      <c r="F48" s="4">
        <f>(VLOOKUP('19.02'!N48,'19.02'!$AO$4:$AR$55,4,FALSE))</f>
        <v>0</v>
      </c>
      <c r="G48" s="4">
        <f>(VLOOKUP('19.02'!O48,'19.02'!$AO$4:$AR$55,4,FALSE))</f>
        <v>0</v>
      </c>
      <c r="H48" s="4">
        <f>(VLOOKUP('19.02'!P48,'19.02'!$AO$4:$AR$55,4,FALSE))</f>
        <v>0</v>
      </c>
      <c r="I48" s="4">
        <f>(VLOOKUP('19.02'!Q48,'19.02'!$AO$4:$AR$55,4,FALSE))</f>
        <v>0</v>
      </c>
      <c r="J48" s="4">
        <f>(VLOOKUP('19.02'!R48,'19.02'!$AO$4:$AR$55,4,FALSE))</f>
        <v>0</v>
      </c>
      <c r="K48" s="4">
        <f>(VLOOKUP('19.02'!S48,'19.02'!$AO$4:$AR$55,4,FALSE))</f>
        <v>0</v>
      </c>
      <c r="L48" s="4">
        <f>(VLOOKUP('19.02'!T48,'19.02'!$AO$4:$AR$55,4,FALSE))</f>
        <v>0</v>
      </c>
      <c r="M48" s="4">
        <f>(VLOOKUP('19.02'!U48,'19.02'!$AO$4:$AR$55,4,FALSE))</f>
        <v>0</v>
      </c>
      <c r="N48" s="4">
        <f>(VLOOKUP('19.02'!V48,'19.02'!$AO$4:$AR$55,4,FALSE))</f>
        <v>0</v>
      </c>
      <c r="O48" s="4">
        <f>(VLOOKUP('19.02'!W48,'19.02'!$AO$4:$AR$55,4,FALSE))</f>
        <v>0</v>
      </c>
      <c r="P48" s="4">
        <f>(VLOOKUP('19.02'!X48,'19.02'!$AO$4:$AR$55,4,FALSE))</f>
        <v>0</v>
      </c>
      <c r="Q48" s="4">
        <f>(VLOOKUP('19.02'!Y48,'19.02'!$AO$4:$AR$55,4,FALSE))</f>
        <v>0</v>
      </c>
      <c r="R48" s="4">
        <f>(VLOOKUP('19.02'!Z48,'19.02'!$AO$4:$AR$55,4,FALSE))</f>
        <v>0</v>
      </c>
      <c r="S48" s="4">
        <f>(VLOOKUP('19.02'!AA48,'19.02'!$AO$4:$AR$55,4,FALSE))</f>
        <v>0</v>
      </c>
      <c r="T48" s="4">
        <f>(VLOOKUP('19.02'!AB48,'19.02'!$AO$4:$AR$55,4,FALSE))</f>
        <v>0</v>
      </c>
      <c r="U48" s="4">
        <f>(VLOOKUP('19.02'!AC48,'19.02'!$AO$4:$AR$55,4,FALSE))</f>
        <v>0</v>
      </c>
      <c r="V48" s="4">
        <f>(VLOOKUP('19.02'!AD48,'19.02'!$AO$4:$AR$55,4,FALSE))</f>
        <v>0</v>
      </c>
      <c r="W48" s="4">
        <f>(VLOOKUP('19.02'!AE48,'19.02'!$AO$4:$AR$55,4,FALSE))</f>
        <v>0</v>
      </c>
      <c r="X48" s="4">
        <f>(VLOOKUP('19.02'!AF48,'19.02'!$AO$4:$AR$55,4,FALSE))</f>
        <v>0</v>
      </c>
    </row>
    <row r="49" spans="1:24">
      <c r="A49" s="4">
        <f>(VLOOKUP('19.02'!I49,'19.02'!$AO$4:$AR$55,4,FALSE))</f>
        <v>0</v>
      </c>
      <c r="B49" s="4">
        <f>(VLOOKUP('19.02'!J49,'19.02'!$AO$4:$AR$55,4,FALSE))</f>
        <v>0</v>
      </c>
      <c r="C49" s="4">
        <f>(VLOOKUP('19.02'!K49,'19.02'!$AO$4:$AR$55,4,FALSE))</f>
        <v>0</v>
      </c>
      <c r="D49" s="4">
        <f>(VLOOKUP('19.02'!L49,'19.02'!$AO$4:$AR$55,4,FALSE))</f>
        <v>0</v>
      </c>
      <c r="E49" s="4">
        <f>(VLOOKUP('19.02'!M49,'19.02'!$AO$4:$AR$55,4,FALSE))</f>
        <v>0</v>
      </c>
      <c r="F49" s="4">
        <f>(VLOOKUP('19.02'!N49,'19.02'!$AO$4:$AR$55,4,FALSE))</f>
        <v>0</v>
      </c>
      <c r="G49" s="4">
        <f>(VLOOKUP('19.02'!O49,'19.02'!$AO$4:$AR$55,4,FALSE))</f>
        <v>0</v>
      </c>
      <c r="H49" s="4">
        <f>(VLOOKUP('19.02'!P49,'19.02'!$AO$4:$AR$55,4,FALSE))</f>
        <v>0</v>
      </c>
      <c r="I49" s="4">
        <f>(VLOOKUP('19.02'!Q49,'19.02'!$AO$4:$AR$55,4,FALSE))</f>
        <v>0</v>
      </c>
      <c r="J49" s="4">
        <f>(VLOOKUP('19.02'!R49,'19.02'!$AO$4:$AR$55,4,FALSE))</f>
        <v>0</v>
      </c>
      <c r="K49" s="4">
        <f>(VLOOKUP('19.02'!S49,'19.02'!$AO$4:$AR$55,4,FALSE))</f>
        <v>0</v>
      </c>
      <c r="L49" s="4">
        <f>(VLOOKUP('19.02'!T49,'19.02'!$AO$4:$AR$55,4,FALSE))</f>
        <v>0</v>
      </c>
      <c r="M49" s="4">
        <f>(VLOOKUP('19.02'!U49,'19.02'!$AO$4:$AR$55,4,FALSE))</f>
        <v>0</v>
      </c>
      <c r="N49" s="4">
        <f>(VLOOKUP('19.02'!V49,'19.02'!$AO$4:$AR$55,4,FALSE))</f>
        <v>0</v>
      </c>
      <c r="O49" s="4">
        <f>(VLOOKUP('19.02'!W49,'19.02'!$AO$4:$AR$55,4,FALSE))</f>
        <v>0</v>
      </c>
      <c r="P49" s="4">
        <f>(VLOOKUP('19.02'!X49,'19.02'!$AO$4:$AR$55,4,FALSE))</f>
        <v>0</v>
      </c>
      <c r="Q49" s="4">
        <f>(VLOOKUP('19.02'!Y49,'19.02'!$AO$4:$AR$55,4,FALSE))</f>
        <v>0</v>
      </c>
      <c r="R49" s="4">
        <f>(VLOOKUP('19.02'!Z49,'19.02'!$AO$4:$AR$55,4,FALSE))</f>
        <v>0</v>
      </c>
      <c r="S49" s="4">
        <f>(VLOOKUP('19.02'!AA49,'19.02'!$AO$4:$AR$55,4,FALSE))</f>
        <v>0</v>
      </c>
      <c r="T49" s="4">
        <f>(VLOOKUP('19.02'!AB49,'19.02'!$AO$4:$AR$55,4,FALSE))</f>
        <v>0</v>
      </c>
      <c r="U49" s="4">
        <f>(VLOOKUP('19.02'!AC49,'19.02'!$AO$4:$AR$55,4,FALSE))</f>
        <v>0</v>
      </c>
      <c r="V49" s="4">
        <f>(VLOOKUP('19.02'!AD49,'19.02'!$AO$4:$AR$55,4,FALSE))</f>
        <v>0</v>
      </c>
      <c r="W49" s="4">
        <f>(VLOOKUP('19.02'!AE49,'19.02'!$AO$4:$AR$55,4,FALSE))</f>
        <v>0</v>
      </c>
      <c r="X49" s="4">
        <f>(VLOOKUP('19.02'!AF49,'19.02'!$AO$4:$AR$55,4,FALSE))</f>
        <v>0</v>
      </c>
    </row>
    <row r="50" spans="1:24">
      <c r="A50" s="4">
        <f>(VLOOKUP('19.02'!I50,'19.02'!$AO$4:$AR$55,4,FALSE))</f>
        <v>0</v>
      </c>
      <c r="B50" s="4">
        <f>(VLOOKUP('19.02'!J50,'19.02'!$AO$4:$AR$55,4,FALSE))</f>
        <v>0</v>
      </c>
      <c r="C50" s="4">
        <f>(VLOOKUP('19.02'!K50,'19.02'!$AO$4:$AR$55,4,FALSE))</f>
        <v>0</v>
      </c>
      <c r="D50" s="4">
        <f>(VLOOKUP('19.02'!L50,'19.02'!$AO$4:$AR$55,4,FALSE))</f>
        <v>0</v>
      </c>
      <c r="E50" s="4">
        <f>(VLOOKUP('19.02'!M50,'19.02'!$AO$4:$AR$55,4,FALSE))</f>
        <v>0</v>
      </c>
      <c r="F50" s="4">
        <f>(VLOOKUP('19.02'!N50,'19.02'!$AO$4:$AR$55,4,FALSE))</f>
        <v>0</v>
      </c>
      <c r="G50" s="4">
        <f>(VLOOKUP('19.02'!O50,'19.02'!$AO$4:$AR$55,4,FALSE))</f>
        <v>0</v>
      </c>
      <c r="H50" s="4">
        <f>(VLOOKUP('19.02'!P50,'19.02'!$AO$4:$AR$55,4,FALSE))</f>
        <v>0</v>
      </c>
      <c r="I50" s="4">
        <f>(VLOOKUP('19.02'!Q50,'19.02'!$AO$4:$AR$55,4,FALSE))</f>
        <v>0</v>
      </c>
      <c r="J50" s="4">
        <f>(VLOOKUP('19.02'!R50,'19.02'!$AO$4:$AR$55,4,FALSE))</f>
        <v>0</v>
      </c>
      <c r="K50" s="4">
        <f>(VLOOKUP('19.02'!S50,'19.02'!$AO$4:$AR$55,4,FALSE))</f>
        <v>0</v>
      </c>
      <c r="L50" s="4">
        <f>(VLOOKUP('19.02'!T50,'19.02'!$AO$4:$AR$55,4,FALSE))</f>
        <v>0</v>
      </c>
      <c r="M50" s="4">
        <f>(VLOOKUP('19.02'!U50,'19.02'!$AO$4:$AR$55,4,FALSE))</f>
        <v>0</v>
      </c>
      <c r="N50" s="4">
        <f>(VLOOKUP('19.02'!V50,'19.02'!$AO$4:$AR$55,4,FALSE))</f>
        <v>0</v>
      </c>
      <c r="O50" s="4">
        <f>(VLOOKUP('19.02'!W50,'19.02'!$AO$4:$AR$55,4,FALSE))</f>
        <v>0</v>
      </c>
      <c r="P50" s="4">
        <f>(VLOOKUP('19.02'!X50,'19.02'!$AO$4:$AR$55,4,FALSE))</f>
        <v>0</v>
      </c>
      <c r="Q50" s="4">
        <f>(VLOOKUP('19.02'!Y50,'19.02'!$AO$4:$AR$55,4,FALSE))</f>
        <v>0</v>
      </c>
      <c r="R50" s="4">
        <f>(VLOOKUP('19.02'!Z50,'19.02'!$AO$4:$AR$55,4,FALSE))</f>
        <v>0</v>
      </c>
      <c r="S50" s="4">
        <f>(VLOOKUP('19.02'!AA50,'19.02'!$AO$4:$AR$55,4,FALSE))</f>
        <v>0</v>
      </c>
      <c r="T50" s="4">
        <f>(VLOOKUP('19.02'!AB50,'19.02'!$AO$4:$AR$55,4,FALSE))</f>
        <v>0</v>
      </c>
      <c r="U50" s="4">
        <f>(VLOOKUP('19.02'!AC50,'19.02'!$AO$4:$AR$55,4,FALSE))</f>
        <v>0</v>
      </c>
      <c r="V50" s="4">
        <f>(VLOOKUP('19.02'!AD50,'19.02'!$AO$4:$AR$55,4,FALSE))</f>
        <v>0</v>
      </c>
      <c r="W50" s="4">
        <f>(VLOOKUP('19.02'!AE50,'19.02'!$AO$4:$AR$55,4,FALSE))</f>
        <v>0</v>
      </c>
      <c r="X50" s="4">
        <f>(VLOOKUP('19.02'!AF50,'19.02'!$AO$4:$AR$55,4,FALSE))</f>
        <v>0</v>
      </c>
    </row>
    <row r="51" spans="1:24">
      <c r="A51" s="4">
        <f>(VLOOKUP('19.02'!I51,'19.02'!$AO$4:$AR$55,4,FALSE))</f>
        <v>0</v>
      </c>
      <c r="B51" s="4">
        <f>(VLOOKUP('19.02'!J51,'19.02'!$AO$4:$AR$55,4,FALSE))</f>
        <v>0</v>
      </c>
      <c r="C51" s="4">
        <f>(VLOOKUP('19.02'!K51,'19.02'!$AO$4:$AR$55,4,FALSE))</f>
        <v>0</v>
      </c>
      <c r="D51" s="4">
        <f>(VLOOKUP('19.02'!L51,'19.02'!$AO$4:$AR$55,4,FALSE))</f>
        <v>0</v>
      </c>
      <c r="E51" s="4">
        <f>(VLOOKUP('19.02'!M51,'19.02'!$AO$4:$AR$55,4,FALSE))</f>
        <v>0</v>
      </c>
      <c r="F51" s="4">
        <f>(VLOOKUP('19.02'!N51,'19.02'!$AO$4:$AR$55,4,FALSE))</f>
        <v>0</v>
      </c>
      <c r="G51" s="4">
        <f>(VLOOKUP('19.02'!O51,'19.02'!$AO$4:$AR$55,4,FALSE))</f>
        <v>0</v>
      </c>
      <c r="H51" s="4">
        <f>(VLOOKUP('19.02'!P51,'19.02'!$AO$4:$AR$55,4,FALSE))</f>
        <v>0</v>
      </c>
      <c r="I51" s="4">
        <f>(VLOOKUP('19.02'!Q51,'19.02'!$AO$4:$AR$55,4,FALSE))</f>
        <v>0</v>
      </c>
      <c r="J51" s="4">
        <f>(VLOOKUP('19.02'!R51,'19.02'!$AO$4:$AR$55,4,FALSE))</f>
        <v>0</v>
      </c>
      <c r="K51" s="4">
        <f>(VLOOKUP('19.02'!S51,'19.02'!$AO$4:$AR$55,4,FALSE))</f>
        <v>0</v>
      </c>
      <c r="L51" s="4">
        <f>(VLOOKUP('19.02'!T51,'19.02'!$AO$4:$AR$55,4,FALSE))</f>
        <v>0</v>
      </c>
      <c r="M51" s="4">
        <f>(VLOOKUP('19.02'!U51,'19.02'!$AO$4:$AR$55,4,FALSE))</f>
        <v>0</v>
      </c>
      <c r="N51" s="4">
        <f>(VLOOKUP('19.02'!V51,'19.02'!$AO$4:$AR$55,4,FALSE))</f>
        <v>0</v>
      </c>
      <c r="O51" s="4">
        <f>(VLOOKUP('19.02'!W51,'19.02'!$AO$4:$AR$55,4,FALSE))</f>
        <v>0</v>
      </c>
      <c r="P51" s="4">
        <f>(VLOOKUP('19.02'!X51,'19.02'!$AO$4:$AR$55,4,FALSE))</f>
        <v>0</v>
      </c>
      <c r="Q51" s="4">
        <f>(VLOOKUP('19.02'!Y51,'19.02'!$AO$4:$AR$55,4,FALSE))</f>
        <v>0</v>
      </c>
      <c r="R51" s="4">
        <f>(VLOOKUP('19.02'!Z51,'19.02'!$AO$4:$AR$55,4,FALSE))</f>
        <v>0</v>
      </c>
      <c r="S51" s="4">
        <f>(VLOOKUP('19.02'!AA51,'19.02'!$AO$4:$AR$55,4,FALSE))</f>
        <v>0</v>
      </c>
      <c r="T51" s="4">
        <f>(VLOOKUP('19.02'!AB51,'19.02'!$AO$4:$AR$55,4,FALSE))</f>
        <v>0</v>
      </c>
      <c r="U51" s="4">
        <f>(VLOOKUP('19.02'!AC51,'19.02'!$AO$4:$AR$55,4,FALSE))</f>
        <v>0</v>
      </c>
      <c r="V51" s="4">
        <f>(VLOOKUP('19.02'!AD51,'19.02'!$AO$4:$AR$55,4,FALSE))</f>
        <v>0</v>
      </c>
      <c r="W51" s="4">
        <f>(VLOOKUP('19.02'!AE51,'19.02'!$AO$4:$AR$55,4,FALSE))</f>
        <v>0</v>
      </c>
      <c r="X51" s="4">
        <f>(VLOOKUP('19.02'!AF51,'19.02'!$AO$4:$AR$55,4,FALSE))</f>
        <v>0</v>
      </c>
    </row>
    <row r="52" spans="1:24">
      <c r="A52" s="4">
        <f>(VLOOKUP('19.02'!I52,'19.02'!$AO$4:$AR$55,4,FALSE))</f>
        <v>0</v>
      </c>
      <c r="B52" s="4">
        <f>(VLOOKUP('19.02'!J52,'19.02'!$AO$4:$AR$55,4,FALSE))</f>
        <v>0</v>
      </c>
      <c r="C52" s="4">
        <f>(VLOOKUP('19.02'!K52,'19.02'!$AO$4:$AR$55,4,FALSE))</f>
        <v>0</v>
      </c>
      <c r="D52" s="4">
        <f>(VLOOKUP('19.02'!L52,'19.02'!$AO$4:$AR$55,4,FALSE))</f>
        <v>0</v>
      </c>
      <c r="E52" s="4">
        <f>(VLOOKUP('19.02'!M52,'19.02'!$AO$4:$AR$55,4,FALSE))</f>
        <v>0</v>
      </c>
      <c r="F52" s="4">
        <f>(VLOOKUP('19.02'!N52,'19.02'!$AO$4:$AR$55,4,FALSE))</f>
        <v>0</v>
      </c>
      <c r="G52" s="4">
        <f>(VLOOKUP('19.02'!O52,'19.02'!$AO$4:$AR$55,4,FALSE))</f>
        <v>0</v>
      </c>
      <c r="H52" s="4">
        <f>(VLOOKUP('19.02'!P52,'19.02'!$AO$4:$AR$55,4,FALSE))</f>
        <v>0</v>
      </c>
      <c r="I52" s="4">
        <f>(VLOOKUP('19.02'!Q52,'19.02'!$AO$4:$AR$55,4,FALSE))</f>
        <v>0</v>
      </c>
      <c r="J52" s="4">
        <f>(VLOOKUP('19.02'!R52,'19.02'!$AO$4:$AR$55,4,FALSE))</f>
        <v>0</v>
      </c>
      <c r="K52" s="4">
        <f>(VLOOKUP('19.02'!S52,'19.02'!$AO$4:$AR$55,4,FALSE))</f>
        <v>0</v>
      </c>
      <c r="L52" s="4">
        <f>(VLOOKUP('19.02'!T52,'19.02'!$AO$4:$AR$55,4,FALSE))</f>
        <v>0</v>
      </c>
      <c r="M52" s="4">
        <f>(VLOOKUP('19.02'!U52,'19.02'!$AO$4:$AR$55,4,FALSE))</f>
        <v>0</v>
      </c>
      <c r="N52" s="4">
        <f>(VLOOKUP('19.02'!V52,'19.02'!$AO$4:$AR$55,4,FALSE))</f>
        <v>0</v>
      </c>
      <c r="O52" s="4">
        <f>(VLOOKUP('19.02'!W52,'19.02'!$AO$4:$AR$55,4,FALSE))</f>
        <v>0</v>
      </c>
      <c r="P52" s="4">
        <f>(VLOOKUP('19.02'!X52,'19.02'!$AO$4:$AR$55,4,FALSE))</f>
        <v>0</v>
      </c>
      <c r="Q52" s="4">
        <f>(VLOOKUP('19.02'!Y52,'19.02'!$AO$4:$AR$55,4,FALSE))</f>
        <v>0</v>
      </c>
      <c r="R52" s="4">
        <f>(VLOOKUP('19.02'!Z52,'19.02'!$AO$4:$AR$55,4,FALSE))</f>
        <v>0</v>
      </c>
      <c r="S52" s="4">
        <f>(VLOOKUP('19.02'!AA52,'19.02'!$AO$4:$AR$55,4,FALSE))</f>
        <v>0</v>
      </c>
      <c r="T52" s="4">
        <f>(VLOOKUP('19.02'!AB52,'19.02'!$AO$4:$AR$55,4,FALSE))</f>
        <v>0</v>
      </c>
      <c r="U52" s="4">
        <f>(VLOOKUP('19.02'!AC52,'19.02'!$AO$4:$AR$55,4,FALSE))</f>
        <v>0</v>
      </c>
      <c r="V52" s="4">
        <f>(VLOOKUP('19.02'!AD52,'19.02'!$AO$4:$AR$55,4,FALSE))</f>
        <v>0</v>
      </c>
      <c r="W52" s="4">
        <f>(VLOOKUP('19.02'!AE52,'19.02'!$AO$4:$AR$55,4,FALSE))</f>
        <v>0</v>
      </c>
      <c r="X52" s="4">
        <f>(VLOOKUP('19.02'!AF52,'19.02'!$AO$4:$AR$55,4,FALSE))</f>
        <v>0</v>
      </c>
    </row>
    <row r="53" spans="1:24">
      <c r="A53" s="4">
        <f>(VLOOKUP('19.02'!I53,'19.02'!$AO$4:$AR$55,4,FALSE))</f>
        <v>0</v>
      </c>
      <c r="B53" s="4">
        <f>(VLOOKUP('19.02'!J53,'19.02'!$AO$4:$AR$55,4,FALSE))</f>
        <v>0</v>
      </c>
      <c r="C53" s="4">
        <f>(VLOOKUP('19.02'!K53,'19.02'!$AO$4:$AR$55,4,FALSE))</f>
        <v>0</v>
      </c>
      <c r="D53" s="4">
        <f>(VLOOKUP('19.02'!L53,'19.02'!$AO$4:$AR$55,4,FALSE))</f>
        <v>0</v>
      </c>
      <c r="E53" s="4">
        <f>(VLOOKUP('19.02'!M53,'19.02'!$AO$4:$AR$55,4,FALSE))</f>
        <v>0</v>
      </c>
      <c r="F53" s="4">
        <f>(VLOOKUP('19.02'!N53,'19.02'!$AO$4:$AR$55,4,FALSE))</f>
        <v>0</v>
      </c>
      <c r="G53" s="4">
        <f>(VLOOKUP('19.02'!O53,'19.02'!$AO$4:$AR$55,4,FALSE))</f>
        <v>0</v>
      </c>
      <c r="H53" s="4">
        <f>(VLOOKUP('19.02'!P53,'19.02'!$AO$4:$AR$55,4,FALSE))</f>
        <v>0</v>
      </c>
      <c r="I53" s="4">
        <f>(VLOOKUP('19.02'!Q53,'19.02'!$AO$4:$AR$55,4,FALSE))</f>
        <v>0</v>
      </c>
      <c r="J53" s="4">
        <f>(VLOOKUP('19.02'!R53,'19.02'!$AO$4:$AR$55,4,FALSE))</f>
        <v>0</v>
      </c>
      <c r="K53" s="4">
        <f>(VLOOKUP('19.02'!S53,'19.02'!$AO$4:$AR$55,4,FALSE))</f>
        <v>0</v>
      </c>
      <c r="L53" s="4">
        <f>(VLOOKUP('19.02'!T53,'19.02'!$AO$4:$AR$55,4,FALSE))</f>
        <v>0</v>
      </c>
      <c r="M53" s="4">
        <f>(VLOOKUP('19.02'!U53,'19.02'!$AO$4:$AR$55,4,FALSE))</f>
        <v>0</v>
      </c>
      <c r="N53" s="4">
        <f>(VLOOKUP('19.02'!V53,'19.02'!$AO$4:$AR$55,4,FALSE))</f>
        <v>0</v>
      </c>
      <c r="O53" s="4">
        <f>(VLOOKUP('19.02'!W53,'19.02'!$AO$4:$AR$55,4,FALSE))</f>
        <v>0</v>
      </c>
      <c r="P53" s="4">
        <f>(VLOOKUP('19.02'!X53,'19.02'!$AO$4:$AR$55,4,FALSE))</f>
        <v>0</v>
      </c>
      <c r="Q53" s="4">
        <f>(VLOOKUP('19.02'!Y53,'19.02'!$AO$4:$AR$55,4,FALSE))</f>
        <v>0</v>
      </c>
      <c r="R53" s="4">
        <f>(VLOOKUP('19.02'!Z53,'19.02'!$AO$4:$AR$55,4,FALSE))</f>
        <v>0</v>
      </c>
      <c r="S53" s="4">
        <f>(VLOOKUP('19.02'!AA53,'19.02'!$AO$4:$AR$55,4,FALSE))</f>
        <v>0</v>
      </c>
      <c r="T53" s="4">
        <f>(VLOOKUP('19.02'!AB53,'19.02'!$AO$4:$AR$55,4,FALSE))</f>
        <v>0</v>
      </c>
      <c r="U53" s="4">
        <f>(VLOOKUP('19.02'!AC53,'19.02'!$AO$4:$AR$55,4,FALSE))</f>
        <v>0</v>
      </c>
      <c r="V53" s="4">
        <f>(VLOOKUP('19.02'!AD53,'19.02'!$AO$4:$AR$55,4,FALSE))</f>
        <v>0</v>
      </c>
      <c r="W53" s="4">
        <f>(VLOOKUP('19.02'!AE53,'19.02'!$AO$4:$AR$55,4,FALSE))</f>
        <v>0</v>
      </c>
      <c r="X53" s="4">
        <f>(VLOOKUP('19.02'!AF53,'19.02'!$AO$4:$AR$55,4,FALSE))</f>
        <v>0</v>
      </c>
    </row>
    <row r="54" spans="1:24">
      <c r="A54" s="4">
        <f>(VLOOKUP('19.02'!I54,'19.02'!$AO$4:$AR$55,4,FALSE))</f>
        <v>0</v>
      </c>
      <c r="B54" s="4">
        <f>(VLOOKUP('19.02'!J54,'19.02'!$AO$4:$AR$55,4,FALSE))</f>
        <v>0</v>
      </c>
      <c r="C54" s="4">
        <f>(VLOOKUP('19.02'!K54,'19.02'!$AO$4:$AR$55,4,FALSE))</f>
        <v>0</v>
      </c>
      <c r="D54" s="4">
        <f>(VLOOKUP('19.02'!L54,'19.02'!$AO$4:$AR$55,4,FALSE))</f>
        <v>0</v>
      </c>
      <c r="E54" s="4">
        <f>(VLOOKUP('19.02'!M54,'19.02'!$AO$4:$AR$55,4,FALSE))</f>
        <v>0</v>
      </c>
      <c r="F54" s="4">
        <f>(VLOOKUP('19.02'!N54,'19.02'!$AO$4:$AR$55,4,FALSE))</f>
        <v>0</v>
      </c>
      <c r="G54" s="4">
        <f>(VLOOKUP('19.02'!O54,'19.02'!$AO$4:$AR$55,4,FALSE))</f>
        <v>0</v>
      </c>
      <c r="H54" s="4">
        <f>(VLOOKUP('19.02'!P54,'19.02'!$AO$4:$AR$55,4,FALSE))</f>
        <v>0</v>
      </c>
      <c r="I54" s="4">
        <f>(VLOOKUP('19.02'!Q54,'19.02'!$AO$4:$AR$55,4,FALSE))</f>
        <v>0</v>
      </c>
      <c r="J54" s="4">
        <f>(VLOOKUP('19.02'!R54,'19.02'!$AO$4:$AR$55,4,FALSE))</f>
        <v>0</v>
      </c>
      <c r="K54" s="4">
        <f>(VLOOKUP('19.02'!S54,'19.02'!$AO$4:$AR$55,4,FALSE))</f>
        <v>0</v>
      </c>
      <c r="L54" s="4">
        <f>(VLOOKUP('19.02'!T54,'19.02'!$AO$4:$AR$55,4,FALSE))</f>
        <v>0</v>
      </c>
      <c r="M54" s="4">
        <f>(VLOOKUP('19.02'!U54,'19.02'!$AO$4:$AR$55,4,FALSE))</f>
        <v>0</v>
      </c>
      <c r="N54" s="4">
        <f>(VLOOKUP('19.02'!V54,'19.02'!$AO$4:$AR$55,4,FALSE))</f>
        <v>0</v>
      </c>
      <c r="O54" s="4">
        <f>(VLOOKUP('19.02'!W54,'19.02'!$AO$4:$AR$55,4,FALSE))</f>
        <v>0</v>
      </c>
      <c r="P54" s="4">
        <f>(VLOOKUP('19.02'!X54,'19.02'!$AO$4:$AR$55,4,FALSE))</f>
        <v>0</v>
      </c>
      <c r="Q54" s="4">
        <f>(VLOOKUP('19.02'!Y54,'19.02'!$AO$4:$AR$55,4,FALSE))</f>
        <v>0</v>
      </c>
      <c r="R54" s="4">
        <f>(VLOOKUP('19.02'!Z54,'19.02'!$AO$4:$AR$55,4,FALSE))</f>
        <v>0</v>
      </c>
      <c r="S54" s="4">
        <f>(VLOOKUP('19.02'!AA54,'19.02'!$AO$4:$AR$55,4,FALSE))</f>
        <v>0</v>
      </c>
      <c r="T54" s="4">
        <f>(VLOOKUP('19.02'!AB54,'19.02'!$AO$4:$AR$55,4,FALSE))</f>
        <v>0</v>
      </c>
      <c r="U54" s="4">
        <f>(VLOOKUP('19.02'!AC54,'19.02'!$AO$4:$AR$55,4,FALSE))</f>
        <v>0</v>
      </c>
      <c r="V54" s="4">
        <f>(VLOOKUP('19.02'!AD54,'19.02'!$AO$4:$AR$55,4,FALSE))</f>
        <v>0</v>
      </c>
      <c r="W54" s="4">
        <f>(VLOOKUP('19.02'!AE54,'19.02'!$AO$4:$AR$55,4,FALSE))</f>
        <v>0</v>
      </c>
      <c r="X54" s="4">
        <f>(VLOOKUP('19.02'!AF54,'19.02'!$AO$4:$AR$55,4,FALSE))</f>
        <v>0</v>
      </c>
    </row>
    <row r="55" spans="1:24">
      <c r="A55" s="4">
        <f>(VLOOKUP('19.02'!I55,'19.02'!$AO$4:$AR$55,4,FALSE))</f>
        <v>0</v>
      </c>
      <c r="B55" s="4">
        <f>(VLOOKUP('19.02'!J55,'19.02'!$AO$4:$AR$55,4,FALSE))</f>
        <v>0</v>
      </c>
      <c r="C55" s="4">
        <f>(VLOOKUP('19.02'!K55,'19.02'!$AO$4:$AR$55,4,FALSE))</f>
        <v>0</v>
      </c>
      <c r="D55" s="4">
        <f>(VLOOKUP('19.02'!L55,'19.02'!$AO$4:$AR$55,4,FALSE))</f>
        <v>0</v>
      </c>
      <c r="E55" s="4">
        <f>(VLOOKUP('19.02'!M55,'19.02'!$AO$4:$AR$55,4,FALSE))</f>
        <v>0</v>
      </c>
      <c r="F55" s="4">
        <f>(VLOOKUP('19.02'!N55,'19.02'!$AO$4:$AR$55,4,FALSE))</f>
        <v>0</v>
      </c>
      <c r="G55" s="4">
        <f>(VLOOKUP('19.02'!O55,'19.02'!$AO$4:$AR$55,4,FALSE))</f>
        <v>0</v>
      </c>
      <c r="H55" s="4">
        <f>(VLOOKUP('19.02'!P55,'19.02'!$AO$4:$AR$55,4,FALSE))</f>
        <v>0</v>
      </c>
      <c r="I55" s="4">
        <f>(VLOOKUP('19.02'!Q55,'19.02'!$AO$4:$AR$55,4,FALSE))</f>
        <v>0</v>
      </c>
      <c r="J55" s="4">
        <f>(VLOOKUP('19.02'!R55,'19.02'!$AO$4:$AR$55,4,FALSE))</f>
        <v>0</v>
      </c>
      <c r="K55" s="4">
        <f>(VLOOKUP('19.02'!S55,'19.02'!$AO$4:$AR$55,4,FALSE))</f>
        <v>0</v>
      </c>
      <c r="L55" s="4">
        <f>(VLOOKUP('19.02'!T55,'19.02'!$AO$4:$AR$55,4,FALSE))</f>
        <v>0</v>
      </c>
      <c r="M55" s="4">
        <f>(VLOOKUP('19.02'!U55,'19.02'!$AO$4:$AR$55,4,FALSE))</f>
        <v>0</v>
      </c>
      <c r="N55" s="4">
        <f>(VLOOKUP('19.02'!V55,'19.02'!$AO$4:$AR$55,4,FALSE))</f>
        <v>0</v>
      </c>
      <c r="O55" s="4">
        <f>(VLOOKUP('19.02'!W55,'19.02'!$AO$4:$AR$55,4,FALSE))</f>
        <v>0</v>
      </c>
      <c r="P55" s="4">
        <f>(VLOOKUP('19.02'!X55,'19.02'!$AO$4:$AR$55,4,FALSE))</f>
        <v>0</v>
      </c>
      <c r="Q55" s="4">
        <f>(VLOOKUP('19.02'!Y55,'19.02'!$AO$4:$AR$55,4,FALSE))</f>
        <v>0</v>
      </c>
      <c r="R55" s="4">
        <f>(VLOOKUP('19.02'!Z55,'19.02'!$AO$4:$AR$55,4,FALSE))</f>
        <v>0</v>
      </c>
      <c r="S55" s="4">
        <f>(VLOOKUP('19.02'!AA55,'19.02'!$AO$4:$AR$55,4,FALSE))</f>
        <v>0</v>
      </c>
      <c r="T55" s="4">
        <f>(VLOOKUP('19.02'!AB55,'19.02'!$AO$4:$AR$55,4,FALSE))</f>
        <v>0</v>
      </c>
      <c r="U55" s="4">
        <f>(VLOOKUP('19.02'!AC55,'19.02'!$AO$4:$AR$55,4,FALSE))</f>
        <v>0</v>
      </c>
      <c r="V55" s="4">
        <f>(VLOOKUP('19.02'!AD55,'19.02'!$AO$4:$AR$55,4,FALSE))</f>
        <v>0</v>
      </c>
      <c r="W55" s="4">
        <f>(VLOOKUP('19.02'!AE55,'19.02'!$AO$4:$AR$55,4,FALSE))</f>
        <v>0</v>
      </c>
      <c r="X55" s="4">
        <f>(VLOOKUP('19.02'!AF55,'19.02'!$AO$4:$AR$55,4,FALSE))</f>
        <v>0</v>
      </c>
    </row>
    <row r="56" spans="1:24">
      <c r="A56" s="4">
        <f>(VLOOKUP('19.02'!I56,'19.02'!$AO$4:$AR$55,4,FALSE))</f>
        <v>0</v>
      </c>
      <c r="B56" s="4">
        <f>(VLOOKUP('19.02'!J56,'19.02'!$AO$4:$AR$55,4,FALSE))</f>
        <v>0</v>
      </c>
      <c r="C56" s="4">
        <f>(VLOOKUP('19.02'!K56,'19.02'!$AO$4:$AR$55,4,FALSE))</f>
        <v>0</v>
      </c>
      <c r="D56" s="4">
        <f>(VLOOKUP('19.02'!L56,'19.02'!$AO$4:$AR$55,4,FALSE))</f>
        <v>0</v>
      </c>
      <c r="E56" s="4">
        <f>(VLOOKUP('19.02'!M56,'19.02'!$AO$4:$AR$55,4,FALSE))</f>
        <v>0</v>
      </c>
      <c r="F56" s="4">
        <f>(VLOOKUP('19.02'!N56,'19.02'!$AO$4:$AR$55,4,FALSE))</f>
        <v>0</v>
      </c>
      <c r="G56" s="4">
        <f>(VLOOKUP('19.02'!O56,'19.02'!$AO$4:$AR$55,4,FALSE))</f>
        <v>0</v>
      </c>
      <c r="H56" s="4">
        <f>(VLOOKUP('19.02'!P56,'19.02'!$AO$4:$AR$55,4,FALSE))</f>
        <v>0</v>
      </c>
      <c r="I56" s="4">
        <f>(VLOOKUP('19.02'!Q56,'19.02'!$AO$4:$AR$55,4,FALSE))</f>
        <v>0</v>
      </c>
      <c r="J56" s="4">
        <f>(VLOOKUP('19.02'!R56,'19.02'!$AO$4:$AR$55,4,FALSE))</f>
        <v>0</v>
      </c>
      <c r="K56" s="4">
        <f>(VLOOKUP('19.02'!S56,'19.02'!$AO$4:$AR$55,4,FALSE))</f>
        <v>0</v>
      </c>
      <c r="L56" s="4">
        <f>(VLOOKUP('19.02'!T56,'19.02'!$AO$4:$AR$55,4,FALSE))</f>
        <v>0</v>
      </c>
      <c r="M56" s="4">
        <f>(VLOOKUP('19.02'!U56,'19.02'!$AO$4:$AR$55,4,FALSE))</f>
        <v>0</v>
      </c>
      <c r="N56" s="4">
        <f>(VLOOKUP('19.02'!V56,'19.02'!$AO$4:$AR$55,4,FALSE))</f>
        <v>0</v>
      </c>
      <c r="O56" s="4">
        <f>(VLOOKUP('19.02'!W56,'19.02'!$AO$4:$AR$55,4,FALSE))</f>
        <v>0</v>
      </c>
      <c r="P56" s="4">
        <f>(VLOOKUP('19.02'!X56,'19.02'!$AO$4:$AR$55,4,FALSE))</f>
        <v>0</v>
      </c>
      <c r="Q56" s="4">
        <f>(VLOOKUP('19.02'!Y56,'19.02'!$AO$4:$AR$55,4,FALSE))</f>
        <v>0</v>
      </c>
      <c r="R56" s="4">
        <f>(VLOOKUP('19.02'!Z56,'19.02'!$AO$4:$AR$55,4,FALSE))</f>
        <v>0</v>
      </c>
      <c r="S56" s="4">
        <f>(VLOOKUP('19.02'!AA56,'19.02'!$AO$4:$AR$55,4,FALSE))</f>
        <v>0</v>
      </c>
      <c r="T56" s="4">
        <f>(VLOOKUP('19.02'!AB56,'19.02'!$AO$4:$AR$55,4,FALSE))</f>
        <v>0</v>
      </c>
      <c r="U56" s="4">
        <f>(VLOOKUP('19.02'!AC56,'19.02'!$AO$4:$AR$55,4,FALSE))</f>
        <v>0</v>
      </c>
      <c r="V56" s="4">
        <f>(VLOOKUP('19.02'!AD56,'19.02'!$AO$4:$AR$55,4,FALSE))</f>
        <v>0</v>
      </c>
      <c r="W56" s="4">
        <f>(VLOOKUP('19.02'!AE56,'19.02'!$AO$4:$AR$55,4,FALSE))</f>
        <v>0</v>
      </c>
      <c r="X56" s="4">
        <f>(VLOOKUP('19.02'!AF56,'19.02'!$AO$4:$AR$55,4,FALSE))</f>
        <v>0</v>
      </c>
    </row>
    <row r="57" spans="1:24">
      <c r="A57" s="4">
        <f>(VLOOKUP('19.02'!I57,'19.02'!$AO$4:$AR$55,4,FALSE))</f>
        <v>0</v>
      </c>
      <c r="B57" s="4">
        <f>(VLOOKUP('19.02'!J57,'19.02'!$AO$4:$AR$55,4,FALSE))</f>
        <v>0</v>
      </c>
      <c r="C57" s="4">
        <f>(VLOOKUP('19.02'!K57,'19.02'!$AO$4:$AR$55,4,FALSE))</f>
        <v>0</v>
      </c>
      <c r="D57" s="4">
        <f>(VLOOKUP('19.02'!L57,'19.02'!$AO$4:$AR$55,4,FALSE))</f>
        <v>0</v>
      </c>
      <c r="E57" s="4">
        <f>(VLOOKUP('19.02'!M57,'19.02'!$AO$4:$AR$55,4,FALSE))</f>
        <v>0</v>
      </c>
      <c r="F57" s="4">
        <f>(VLOOKUP('19.02'!N57,'19.02'!$AO$4:$AR$55,4,FALSE))</f>
        <v>0</v>
      </c>
      <c r="G57" s="4">
        <f>(VLOOKUP('19.02'!O57,'19.02'!$AO$4:$AR$55,4,FALSE))</f>
        <v>0</v>
      </c>
      <c r="H57" s="4">
        <f>(VLOOKUP('19.02'!P57,'19.02'!$AO$4:$AR$55,4,FALSE))</f>
        <v>0</v>
      </c>
      <c r="I57" s="4">
        <f>(VLOOKUP('19.02'!Q57,'19.02'!$AO$4:$AR$55,4,FALSE))</f>
        <v>0</v>
      </c>
      <c r="J57" s="4">
        <f>(VLOOKUP('19.02'!R57,'19.02'!$AO$4:$AR$55,4,FALSE))</f>
        <v>0</v>
      </c>
      <c r="K57" s="4">
        <f>(VLOOKUP('19.02'!S57,'19.02'!$AO$4:$AR$55,4,FALSE))</f>
        <v>0</v>
      </c>
      <c r="L57" s="4">
        <f>(VLOOKUP('19.02'!T57,'19.02'!$AO$4:$AR$55,4,FALSE))</f>
        <v>0</v>
      </c>
      <c r="M57" s="4">
        <f>(VLOOKUP('19.02'!U57,'19.02'!$AO$4:$AR$55,4,FALSE))</f>
        <v>0</v>
      </c>
      <c r="N57" s="4">
        <f>(VLOOKUP('19.02'!V57,'19.02'!$AO$4:$AR$55,4,FALSE))</f>
        <v>0</v>
      </c>
      <c r="O57" s="4">
        <f>(VLOOKUP('19.02'!W57,'19.02'!$AO$4:$AR$55,4,FALSE))</f>
        <v>0</v>
      </c>
      <c r="P57" s="4">
        <f>(VLOOKUP('19.02'!X57,'19.02'!$AO$4:$AR$55,4,FALSE))</f>
        <v>0</v>
      </c>
      <c r="Q57" s="4">
        <f>(VLOOKUP('19.02'!Y57,'19.02'!$AO$4:$AR$55,4,FALSE))</f>
        <v>0</v>
      </c>
      <c r="R57" s="4">
        <f>(VLOOKUP('19.02'!Z57,'19.02'!$AO$4:$AR$55,4,FALSE))</f>
        <v>0</v>
      </c>
      <c r="S57" s="4">
        <f>(VLOOKUP('19.02'!AA57,'19.02'!$AO$4:$AR$55,4,FALSE))</f>
        <v>0</v>
      </c>
      <c r="T57" s="4">
        <f>(VLOOKUP('19.02'!AB57,'19.02'!$AO$4:$AR$55,4,FALSE))</f>
        <v>0</v>
      </c>
      <c r="U57" s="4">
        <f>(VLOOKUP('19.02'!AC57,'19.02'!$AO$4:$AR$55,4,FALSE))</f>
        <v>0</v>
      </c>
      <c r="V57" s="4">
        <f>(VLOOKUP('19.02'!AD57,'19.02'!$AO$4:$AR$55,4,FALSE))</f>
        <v>0</v>
      </c>
      <c r="W57" s="4">
        <f>(VLOOKUP('19.02'!AE57,'19.02'!$AO$4:$AR$55,4,FALSE))</f>
        <v>0</v>
      </c>
      <c r="X57" s="4">
        <f>(VLOOKUP('19.02'!AF57,'19.02'!$AO$4:$AR$55,4,FALSE))</f>
        <v>0</v>
      </c>
    </row>
    <row r="58" spans="1:24">
      <c r="A58" s="4">
        <f>(VLOOKUP('19.02'!I58,'19.02'!$AO$4:$AR$55,4,FALSE))</f>
        <v>0</v>
      </c>
      <c r="B58" s="4">
        <f>(VLOOKUP('19.02'!J58,'19.02'!$AO$4:$AR$55,4,FALSE))</f>
        <v>0</v>
      </c>
      <c r="C58" s="4">
        <f>(VLOOKUP('19.02'!K58,'19.02'!$AO$4:$AR$55,4,FALSE))</f>
        <v>0</v>
      </c>
      <c r="D58" s="4">
        <f>(VLOOKUP('19.02'!L58,'19.02'!$AO$4:$AR$55,4,FALSE))</f>
        <v>0</v>
      </c>
      <c r="E58" s="4">
        <f>(VLOOKUP('19.02'!M58,'19.02'!$AO$4:$AR$55,4,FALSE))</f>
        <v>0</v>
      </c>
      <c r="F58" s="4">
        <f>(VLOOKUP('19.02'!N58,'19.02'!$AO$4:$AR$55,4,FALSE))</f>
        <v>0</v>
      </c>
      <c r="G58" s="4">
        <f>(VLOOKUP('19.02'!O58,'19.02'!$AO$4:$AR$55,4,FALSE))</f>
        <v>0</v>
      </c>
      <c r="H58" s="4">
        <f>(VLOOKUP('19.02'!P58,'19.02'!$AO$4:$AR$55,4,FALSE))</f>
        <v>0</v>
      </c>
      <c r="I58" s="4">
        <f>(VLOOKUP('19.02'!Q58,'19.02'!$AO$4:$AR$55,4,FALSE))</f>
        <v>0</v>
      </c>
      <c r="J58" s="4">
        <f>(VLOOKUP('19.02'!R58,'19.02'!$AO$4:$AR$55,4,FALSE))</f>
        <v>0</v>
      </c>
      <c r="K58" s="4">
        <f>(VLOOKUP('19.02'!S58,'19.02'!$AO$4:$AR$55,4,FALSE))</f>
        <v>0</v>
      </c>
      <c r="L58" s="4">
        <f>(VLOOKUP('19.02'!T58,'19.02'!$AO$4:$AR$55,4,FALSE))</f>
        <v>0</v>
      </c>
      <c r="M58" s="4">
        <f>(VLOOKUP('19.02'!U58,'19.02'!$AO$4:$AR$55,4,FALSE))</f>
        <v>0</v>
      </c>
      <c r="N58" s="4">
        <f>(VLOOKUP('19.02'!V58,'19.02'!$AO$4:$AR$55,4,FALSE))</f>
        <v>0</v>
      </c>
      <c r="O58" s="4">
        <f>(VLOOKUP('19.02'!W58,'19.02'!$AO$4:$AR$55,4,FALSE))</f>
        <v>0</v>
      </c>
      <c r="P58" s="4">
        <f>(VLOOKUP('19.02'!X58,'19.02'!$AO$4:$AR$55,4,FALSE))</f>
        <v>0</v>
      </c>
      <c r="Q58" s="4">
        <f>(VLOOKUP('19.02'!Y58,'19.02'!$AO$4:$AR$55,4,FALSE))</f>
        <v>0</v>
      </c>
      <c r="R58" s="4">
        <f>(VLOOKUP('19.02'!Z58,'19.02'!$AO$4:$AR$55,4,FALSE))</f>
        <v>0</v>
      </c>
      <c r="S58" s="4">
        <f>(VLOOKUP('19.02'!AA58,'19.02'!$AO$4:$AR$55,4,FALSE))</f>
        <v>0</v>
      </c>
      <c r="T58" s="4">
        <f>(VLOOKUP('19.02'!AB58,'19.02'!$AO$4:$AR$55,4,FALSE))</f>
        <v>0</v>
      </c>
      <c r="U58" s="4">
        <f>(VLOOKUP('19.02'!AC58,'19.02'!$AO$4:$AR$55,4,FALSE))</f>
        <v>0</v>
      </c>
      <c r="V58" s="4">
        <f>(VLOOKUP('19.02'!AD58,'19.02'!$AO$4:$AR$55,4,FALSE))</f>
        <v>0</v>
      </c>
      <c r="W58" s="4">
        <f>(VLOOKUP('19.02'!AE58,'19.02'!$AO$4:$AR$55,4,FALSE))</f>
        <v>0</v>
      </c>
      <c r="X58" s="4">
        <f>(VLOOKUP('19.02'!AF58,'19.02'!$AO$4:$AR$55,4,FALSE))</f>
        <v>0</v>
      </c>
    </row>
    <row r="59" spans="1:24">
      <c r="A59" s="4">
        <f>(VLOOKUP('19.02'!I59,'19.02'!$AO$4:$AR$55,4,FALSE))</f>
        <v>0</v>
      </c>
      <c r="B59" s="4">
        <f>(VLOOKUP('19.02'!J59,'19.02'!$AO$4:$AR$55,4,FALSE))</f>
        <v>0</v>
      </c>
      <c r="C59" s="4">
        <f>(VLOOKUP('19.02'!K59,'19.02'!$AO$4:$AR$55,4,FALSE))</f>
        <v>0</v>
      </c>
      <c r="D59" s="4">
        <f>(VLOOKUP('19.02'!L59,'19.02'!$AO$4:$AR$55,4,FALSE))</f>
        <v>0</v>
      </c>
      <c r="E59" s="4">
        <f>(VLOOKUP('19.02'!M59,'19.02'!$AO$4:$AR$55,4,FALSE))</f>
        <v>0</v>
      </c>
      <c r="F59" s="4">
        <f>(VLOOKUP('19.02'!N59,'19.02'!$AO$4:$AR$55,4,FALSE))</f>
        <v>0</v>
      </c>
      <c r="G59" s="4">
        <f>(VLOOKUP('19.02'!O59,'19.02'!$AO$4:$AR$55,4,FALSE))</f>
        <v>0</v>
      </c>
      <c r="H59" s="4">
        <f>(VLOOKUP('19.02'!P59,'19.02'!$AO$4:$AR$55,4,FALSE))</f>
        <v>0</v>
      </c>
      <c r="I59" s="4">
        <f>(VLOOKUP('19.02'!Q59,'19.02'!$AO$4:$AR$55,4,FALSE))</f>
        <v>0</v>
      </c>
      <c r="J59" s="4">
        <f>(VLOOKUP('19.02'!R59,'19.02'!$AO$4:$AR$55,4,FALSE))</f>
        <v>0</v>
      </c>
      <c r="K59" s="4">
        <f>(VLOOKUP('19.02'!S59,'19.02'!$AO$4:$AR$55,4,FALSE))</f>
        <v>0</v>
      </c>
      <c r="L59" s="4">
        <f>(VLOOKUP('19.02'!T59,'19.02'!$AO$4:$AR$55,4,FALSE))</f>
        <v>0</v>
      </c>
      <c r="M59" s="4">
        <f>(VLOOKUP('19.02'!U59,'19.02'!$AO$4:$AR$55,4,FALSE))</f>
        <v>0</v>
      </c>
      <c r="N59" s="4">
        <f>(VLOOKUP('19.02'!V59,'19.02'!$AO$4:$AR$55,4,FALSE))</f>
        <v>0</v>
      </c>
      <c r="O59" s="4">
        <f>(VLOOKUP('19.02'!W59,'19.02'!$AO$4:$AR$55,4,FALSE))</f>
        <v>0</v>
      </c>
      <c r="P59" s="4">
        <f>(VLOOKUP('19.02'!X59,'19.02'!$AO$4:$AR$55,4,FALSE))</f>
        <v>0</v>
      </c>
      <c r="Q59" s="4">
        <f>(VLOOKUP('19.02'!Y59,'19.02'!$AO$4:$AR$55,4,FALSE))</f>
        <v>0</v>
      </c>
      <c r="R59" s="4">
        <f>(VLOOKUP('19.02'!Z59,'19.02'!$AO$4:$AR$55,4,FALSE))</f>
        <v>0</v>
      </c>
      <c r="S59" s="4">
        <f>(VLOOKUP('19.02'!AA59,'19.02'!$AO$4:$AR$55,4,FALSE))</f>
        <v>0</v>
      </c>
      <c r="T59" s="4">
        <f>(VLOOKUP('19.02'!AB59,'19.02'!$AO$4:$AR$55,4,FALSE))</f>
        <v>0</v>
      </c>
      <c r="U59" s="4">
        <f>(VLOOKUP('19.02'!AC59,'19.02'!$AO$4:$AR$55,4,FALSE))</f>
        <v>0</v>
      </c>
      <c r="V59" s="4">
        <f>(VLOOKUP('19.02'!AD59,'19.02'!$AO$4:$AR$55,4,FALSE))</f>
        <v>0</v>
      </c>
      <c r="W59" s="4">
        <f>(VLOOKUP('19.02'!AE59,'19.02'!$AO$4:$AR$55,4,FALSE))</f>
        <v>0</v>
      </c>
      <c r="X59" s="4">
        <f>(VLOOKUP('19.02'!AF59,'19.02'!$AO$4:$AR$55,4,FALSE))</f>
        <v>0</v>
      </c>
    </row>
    <row r="60" spans="1:24">
      <c r="A60" s="4">
        <f>(VLOOKUP('19.02'!I60,'19.02'!$AO$4:$AR$55,4,FALSE))</f>
        <v>0</v>
      </c>
      <c r="B60" s="4">
        <f>(VLOOKUP('19.02'!J60,'19.02'!$AO$4:$AR$55,4,FALSE))</f>
        <v>0</v>
      </c>
      <c r="C60" s="4">
        <f>(VLOOKUP('19.02'!K60,'19.02'!$AO$4:$AR$55,4,FALSE))</f>
        <v>0</v>
      </c>
      <c r="D60" s="4">
        <f>(VLOOKUP('19.02'!L60,'19.02'!$AO$4:$AR$55,4,FALSE))</f>
        <v>0</v>
      </c>
      <c r="E60" s="4">
        <f>(VLOOKUP('19.02'!M60,'19.02'!$AO$4:$AR$55,4,FALSE))</f>
        <v>0</v>
      </c>
      <c r="F60" s="4">
        <f>(VLOOKUP('19.02'!N60,'19.02'!$AO$4:$AR$55,4,FALSE))</f>
        <v>0</v>
      </c>
      <c r="G60" s="4">
        <f>(VLOOKUP('19.02'!O60,'19.02'!$AO$4:$AR$55,4,FALSE))</f>
        <v>0</v>
      </c>
      <c r="H60" s="4">
        <f>(VLOOKUP('19.02'!P60,'19.02'!$AO$4:$AR$55,4,FALSE))</f>
        <v>0</v>
      </c>
      <c r="I60" s="4">
        <f>(VLOOKUP('19.02'!Q60,'19.02'!$AO$4:$AR$55,4,FALSE))</f>
        <v>0</v>
      </c>
      <c r="J60" s="4">
        <f>(VLOOKUP('19.02'!R60,'19.02'!$AO$4:$AR$55,4,FALSE))</f>
        <v>0</v>
      </c>
      <c r="K60" s="4">
        <f>(VLOOKUP('19.02'!S60,'19.02'!$AO$4:$AR$55,4,FALSE))</f>
        <v>0</v>
      </c>
      <c r="L60" s="4">
        <f>(VLOOKUP('19.02'!T60,'19.02'!$AO$4:$AR$55,4,FALSE))</f>
        <v>0</v>
      </c>
      <c r="M60" s="4">
        <f>(VLOOKUP('19.02'!U60,'19.02'!$AO$4:$AR$55,4,FALSE))</f>
        <v>0</v>
      </c>
      <c r="N60" s="4">
        <f>(VLOOKUP('19.02'!V60,'19.02'!$AO$4:$AR$55,4,FALSE))</f>
        <v>0</v>
      </c>
      <c r="O60" s="4">
        <f>(VLOOKUP('19.02'!W60,'19.02'!$AO$4:$AR$55,4,FALSE))</f>
        <v>0</v>
      </c>
      <c r="P60" s="4">
        <f>(VLOOKUP('19.02'!X60,'19.02'!$AO$4:$AR$55,4,FALSE))</f>
        <v>0</v>
      </c>
      <c r="Q60" s="4">
        <f>(VLOOKUP('19.02'!Y60,'19.02'!$AO$4:$AR$55,4,FALSE))</f>
        <v>0</v>
      </c>
      <c r="R60" s="4">
        <f>(VLOOKUP('19.02'!Z60,'19.02'!$AO$4:$AR$55,4,FALSE))</f>
        <v>0</v>
      </c>
      <c r="S60" s="4">
        <f>(VLOOKUP('19.02'!AA60,'19.02'!$AO$4:$AR$55,4,FALSE))</f>
        <v>0</v>
      </c>
      <c r="T60" s="4">
        <f>(VLOOKUP('19.02'!AB60,'19.02'!$AO$4:$AR$55,4,FALSE))</f>
        <v>0</v>
      </c>
      <c r="U60" s="4">
        <f>(VLOOKUP('19.02'!AC60,'19.02'!$AO$4:$AR$55,4,FALSE))</f>
        <v>0</v>
      </c>
      <c r="V60" s="4">
        <f>(VLOOKUP('19.02'!AD60,'19.02'!$AO$4:$AR$55,4,FALSE))</f>
        <v>0</v>
      </c>
      <c r="W60" s="4">
        <f>(VLOOKUP('19.02'!AE60,'19.02'!$AO$4:$AR$55,4,FALSE))</f>
        <v>0</v>
      </c>
      <c r="X60" s="4">
        <f>(VLOOKUP('19.02'!AF60,'19.02'!$AO$4:$AR$55,4,FALSE))</f>
        <v>0</v>
      </c>
    </row>
    <row r="61" spans="1:24">
      <c r="A61" s="4">
        <f>(VLOOKUP('19.02'!I61,'19.02'!$AO$4:$AR$55,4,FALSE))</f>
        <v>0</v>
      </c>
      <c r="B61" s="4">
        <f>(VLOOKUP('19.02'!J61,'19.02'!$AO$4:$AR$55,4,FALSE))</f>
        <v>0</v>
      </c>
      <c r="C61" s="4">
        <f>(VLOOKUP('19.02'!K61,'19.02'!$AO$4:$AR$55,4,FALSE))</f>
        <v>0</v>
      </c>
      <c r="D61" s="4">
        <f>(VLOOKUP('19.02'!L61,'19.02'!$AO$4:$AR$55,4,FALSE))</f>
        <v>0</v>
      </c>
      <c r="E61" s="4">
        <f>(VLOOKUP('19.02'!M61,'19.02'!$AO$4:$AR$55,4,FALSE))</f>
        <v>0</v>
      </c>
      <c r="F61" s="4">
        <f>(VLOOKUP('19.02'!N61,'19.02'!$AO$4:$AR$55,4,FALSE))</f>
        <v>0</v>
      </c>
      <c r="G61" s="4">
        <f>(VLOOKUP('19.02'!O61,'19.02'!$AO$4:$AR$55,4,FALSE))</f>
        <v>0</v>
      </c>
      <c r="H61" s="4">
        <f>(VLOOKUP('19.02'!P61,'19.02'!$AO$4:$AR$55,4,FALSE))</f>
        <v>0</v>
      </c>
      <c r="I61" s="4">
        <f>(VLOOKUP('19.02'!Q61,'19.02'!$AO$4:$AR$55,4,FALSE))</f>
        <v>0</v>
      </c>
      <c r="J61" s="4">
        <f>(VLOOKUP('19.02'!R61,'19.02'!$AO$4:$AR$55,4,FALSE))</f>
        <v>0</v>
      </c>
      <c r="K61" s="4">
        <f>(VLOOKUP('19.02'!S61,'19.02'!$AO$4:$AR$55,4,FALSE))</f>
        <v>0</v>
      </c>
      <c r="L61" s="4">
        <f>(VLOOKUP('19.02'!T61,'19.02'!$AO$4:$AR$55,4,FALSE))</f>
        <v>0</v>
      </c>
      <c r="M61" s="4">
        <f>(VLOOKUP('19.02'!U61,'19.02'!$AO$4:$AR$55,4,FALSE))</f>
        <v>0</v>
      </c>
      <c r="N61" s="4">
        <f>(VLOOKUP('19.02'!V61,'19.02'!$AO$4:$AR$55,4,FALSE))</f>
        <v>0</v>
      </c>
      <c r="O61" s="4">
        <f>(VLOOKUP('19.02'!W61,'19.02'!$AO$4:$AR$55,4,FALSE))</f>
        <v>0</v>
      </c>
      <c r="P61" s="4">
        <f>(VLOOKUP('19.02'!X61,'19.02'!$AO$4:$AR$55,4,FALSE))</f>
        <v>0</v>
      </c>
      <c r="Q61" s="4">
        <f>(VLOOKUP('19.02'!Y61,'19.02'!$AO$4:$AR$55,4,FALSE))</f>
        <v>0</v>
      </c>
      <c r="R61" s="4">
        <f>(VLOOKUP('19.02'!Z61,'19.02'!$AO$4:$AR$55,4,FALSE))</f>
        <v>0</v>
      </c>
      <c r="S61" s="4">
        <f>(VLOOKUP('19.02'!AA61,'19.02'!$AO$4:$AR$55,4,FALSE))</f>
        <v>0</v>
      </c>
      <c r="T61" s="4">
        <f>(VLOOKUP('19.02'!AB61,'19.02'!$AO$4:$AR$55,4,FALSE))</f>
        <v>0</v>
      </c>
      <c r="U61" s="4">
        <f>(VLOOKUP('19.02'!AC61,'19.02'!$AO$4:$AR$55,4,FALSE))</f>
        <v>0</v>
      </c>
      <c r="V61" s="4">
        <f>(VLOOKUP('19.02'!AD61,'19.02'!$AO$4:$AR$55,4,FALSE))</f>
        <v>0</v>
      </c>
      <c r="W61" s="4">
        <f>(VLOOKUP('19.02'!AE61,'19.02'!$AO$4:$AR$55,4,FALSE))</f>
        <v>0</v>
      </c>
      <c r="X61" s="4">
        <f>(VLOOKUP('19.02'!AF61,'19.02'!$AO$4:$AR$55,4,FALSE))</f>
        <v>0</v>
      </c>
    </row>
    <row r="62" spans="1:24">
      <c r="A62" s="4">
        <f>(VLOOKUP('19.02'!I62,'19.02'!$AO$4:$AR$55,4,FALSE))</f>
        <v>0</v>
      </c>
      <c r="B62" s="4">
        <f>(VLOOKUP('19.02'!J62,'19.02'!$AO$4:$AR$55,4,FALSE))</f>
        <v>0</v>
      </c>
      <c r="C62" s="4">
        <f>(VLOOKUP('19.02'!K62,'19.02'!$AO$4:$AR$55,4,FALSE))</f>
        <v>0</v>
      </c>
      <c r="D62" s="4">
        <f>(VLOOKUP('19.02'!L62,'19.02'!$AO$4:$AR$55,4,FALSE))</f>
        <v>0</v>
      </c>
      <c r="E62" s="4">
        <f>(VLOOKUP('19.02'!M62,'19.02'!$AO$4:$AR$55,4,FALSE))</f>
        <v>0</v>
      </c>
      <c r="F62" s="4">
        <f>(VLOOKUP('19.02'!N62,'19.02'!$AO$4:$AR$55,4,FALSE))</f>
        <v>0</v>
      </c>
      <c r="G62" s="4">
        <f>(VLOOKUP('19.02'!O62,'19.02'!$AO$4:$AR$55,4,FALSE))</f>
        <v>0</v>
      </c>
      <c r="H62" s="4">
        <f>(VLOOKUP('19.02'!P62,'19.02'!$AO$4:$AR$55,4,FALSE))</f>
        <v>0</v>
      </c>
      <c r="I62" s="4">
        <f>(VLOOKUP('19.02'!Q62,'19.02'!$AO$4:$AR$55,4,FALSE))</f>
        <v>0</v>
      </c>
      <c r="J62" s="4">
        <f>(VLOOKUP('19.02'!R62,'19.02'!$AO$4:$AR$55,4,FALSE))</f>
        <v>0</v>
      </c>
      <c r="K62" s="4">
        <f>(VLOOKUP('19.02'!S62,'19.02'!$AO$4:$AR$55,4,FALSE))</f>
        <v>0</v>
      </c>
      <c r="L62" s="4">
        <f>(VLOOKUP('19.02'!T62,'19.02'!$AO$4:$AR$55,4,FALSE))</f>
        <v>0</v>
      </c>
      <c r="M62" s="4">
        <f>(VLOOKUP('19.02'!U62,'19.02'!$AO$4:$AR$55,4,FALSE))</f>
        <v>0</v>
      </c>
      <c r="N62" s="4">
        <f>(VLOOKUP('19.02'!V62,'19.02'!$AO$4:$AR$55,4,FALSE))</f>
        <v>0</v>
      </c>
      <c r="O62" s="4">
        <f>(VLOOKUP('19.02'!W62,'19.02'!$AO$4:$AR$55,4,FALSE))</f>
        <v>0</v>
      </c>
      <c r="P62" s="4">
        <f>(VLOOKUP('19.02'!X62,'19.02'!$AO$4:$AR$55,4,FALSE))</f>
        <v>0</v>
      </c>
      <c r="Q62" s="4">
        <f>(VLOOKUP('19.02'!Y62,'19.02'!$AO$4:$AR$55,4,FALSE))</f>
        <v>0</v>
      </c>
      <c r="R62" s="4">
        <f>(VLOOKUP('19.02'!Z62,'19.02'!$AO$4:$AR$55,4,FALSE))</f>
        <v>0</v>
      </c>
      <c r="S62" s="4">
        <f>(VLOOKUP('19.02'!AA62,'19.02'!$AO$4:$AR$55,4,FALSE))</f>
        <v>0</v>
      </c>
      <c r="T62" s="4">
        <f>(VLOOKUP('19.02'!AB62,'19.02'!$AO$4:$AR$55,4,FALSE))</f>
        <v>0</v>
      </c>
      <c r="U62" s="4">
        <f>(VLOOKUP('19.02'!AC62,'19.02'!$AO$4:$AR$55,4,FALSE))</f>
        <v>0</v>
      </c>
      <c r="V62" s="4">
        <f>(VLOOKUP('19.02'!AD62,'19.02'!$AO$4:$AR$55,4,FALSE))</f>
        <v>0</v>
      </c>
      <c r="W62" s="4">
        <f>(VLOOKUP('19.02'!AE62,'19.02'!$AO$4:$AR$55,4,FALSE))</f>
        <v>0</v>
      </c>
      <c r="X62" s="4">
        <f>(VLOOKUP('19.02'!AF62,'19.02'!$AO$4:$AR$55,4,FALSE))</f>
        <v>0</v>
      </c>
    </row>
    <row r="63" spans="1:24">
      <c r="A63" s="4">
        <f>(VLOOKUP('19.02'!I63,'19.02'!$AO$4:$AR$55,4,FALSE))</f>
        <v>0</v>
      </c>
      <c r="B63" s="4">
        <f>(VLOOKUP('19.02'!J63,'19.02'!$AO$4:$AR$55,4,FALSE))</f>
        <v>0</v>
      </c>
      <c r="C63" s="4">
        <f>(VLOOKUP('19.02'!K63,'19.02'!$AO$4:$AR$55,4,FALSE))</f>
        <v>0</v>
      </c>
      <c r="D63" s="4">
        <f>(VLOOKUP('19.02'!L63,'19.02'!$AO$4:$AR$55,4,FALSE))</f>
        <v>0</v>
      </c>
      <c r="E63" s="4">
        <f>(VLOOKUP('19.02'!M63,'19.02'!$AO$4:$AR$55,4,FALSE))</f>
        <v>0</v>
      </c>
      <c r="F63" s="4">
        <f>(VLOOKUP('19.02'!N63,'19.02'!$AO$4:$AR$55,4,FALSE))</f>
        <v>0</v>
      </c>
      <c r="G63" s="4">
        <f>(VLOOKUP('19.02'!O63,'19.02'!$AO$4:$AR$55,4,FALSE))</f>
        <v>0</v>
      </c>
      <c r="H63" s="4">
        <f>(VLOOKUP('19.02'!P63,'19.02'!$AO$4:$AR$55,4,FALSE))</f>
        <v>0</v>
      </c>
      <c r="I63" s="4">
        <f>(VLOOKUP('19.02'!Q63,'19.02'!$AO$4:$AR$55,4,FALSE))</f>
        <v>0</v>
      </c>
      <c r="J63" s="4">
        <f>(VLOOKUP('19.02'!R63,'19.02'!$AO$4:$AR$55,4,FALSE))</f>
        <v>0</v>
      </c>
      <c r="K63" s="4">
        <f>(VLOOKUP('19.02'!S63,'19.02'!$AO$4:$AR$55,4,FALSE))</f>
        <v>0</v>
      </c>
      <c r="L63" s="4">
        <f>(VLOOKUP('19.02'!T63,'19.02'!$AO$4:$AR$55,4,FALSE))</f>
        <v>0</v>
      </c>
      <c r="M63" s="4">
        <f>(VLOOKUP('19.02'!U63,'19.02'!$AO$4:$AR$55,4,FALSE))</f>
        <v>0</v>
      </c>
      <c r="N63" s="4">
        <f>(VLOOKUP('19.02'!V63,'19.02'!$AO$4:$AR$55,4,FALSE))</f>
        <v>0</v>
      </c>
      <c r="O63" s="4">
        <f>(VLOOKUP('19.02'!W63,'19.02'!$AO$4:$AR$55,4,FALSE))</f>
        <v>0</v>
      </c>
      <c r="P63" s="4">
        <f>(VLOOKUP('19.02'!X63,'19.02'!$AO$4:$AR$55,4,FALSE))</f>
        <v>0</v>
      </c>
      <c r="Q63" s="4">
        <f>(VLOOKUP('19.02'!Y63,'19.02'!$AO$4:$AR$55,4,FALSE))</f>
        <v>0</v>
      </c>
      <c r="R63" s="4">
        <f>(VLOOKUP('19.02'!Z63,'19.02'!$AO$4:$AR$55,4,FALSE))</f>
        <v>0</v>
      </c>
      <c r="S63" s="4">
        <f>(VLOOKUP('19.02'!AA63,'19.02'!$AO$4:$AR$55,4,FALSE))</f>
        <v>0</v>
      </c>
      <c r="T63" s="4">
        <f>(VLOOKUP('19.02'!AB63,'19.02'!$AO$4:$AR$55,4,FALSE))</f>
        <v>0</v>
      </c>
      <c r="U63" s="4">
        <f>(VLOOKUP('19.02'!AC63,'19.02'!$AO$4:$AR$55,4,FALSE))</f>
        <v>0</v>
      </c>
      <c r="V63" s="4">
        <f>(VLOOKUP('19.02'!AD63,'19.02'!$AO$4:$AR$55,4,FALSE))</f>
        <v>0</v>
      </c>
      <c r="W63" s="4">
        <f>(VLOOKUP('19.02'!AE63,'19.02'!$AO$4:$AR$55,4,FALSE))</f>
        <v>0</v>
      </c>
      <c r="X63" s="4">
        <f>(VLOOKUP('19.02'!AF63,'19.02'!$AO$4:$AR$55,4,FALSE))</f>
        <v>0</v>
      </c>
    </row>
    <row r="64" spans="1:24">
      <c r="A64" s="4">
        <f>(VLOOKUP('19.02'!I64,'19.02'!$AO$4:$AR$55,4,FALSE))</f>
        <v>0</v>
      </c>
      <c r="B64" s="4">
        <f>(VLOOKUP('19.02'!J64,'19.02'!$AO$4:$AR$55,4,FALSE))</f>
        <v>0</v>
      </c>
      <c r="C64" s="4">
        <f>(VLOOKUP('19.02'!K64,'19.02'!$AO$4:$AR$55,4,FALSE))</f>
        <v>0</v>
      </c>
      <c r="D64" s="4">
        <f>(VLOOKUP('19.02'!L64,'19.02'!$AO$4:$AR$55,4,FALSE))</f>
        <v>0</v>
      </c>
      <c r="E64" s="4">
        <f>(VLOOKUP('19.02'!M64,'19.02'!$AO$4:$AR$55,4,FALSE))</f>
        <v>0</v>
      </c>
      <c r="F64" s="4">
        <f>(VLOOKUP('19.02'!N64,'19.02'!$AO$4:$AR$55,4,FALSE))</f>
        <v>0</v>
      </c>
      <c r="G64" s="4">
        <f>(VLOOKUP('19.02'!O64,'19.02'!$AO$4:$AR$55,4,FALSE))</f>
        <v>0</v>
      </c>
      <c r="H64" s="4">
        <f>(VLOOKUP('19.02'!P64,'19.02'!$AO$4:$AR$55,4,FALSE))</f>
        <v>0</v>
      </c>
      <c r="I64" s="4">
        <f>(VLOOKUP('19.02'!Q64,'19.02'!$AO$4:$AR$55,4,FALSE))</f>
        <v>0</v>
      </c>
      <c r="J64" s="4">
        <f>(VLOOKUP('19.02'!R64,'19.02'!$AO$4:$AR$55,4,FALSE))</f>
        <v>0</v>
      </c>
      <c r="K64" s="4">
        <f>(VLOOKUP('19.02'!S64,'19.02'!$AO$4:$AR$55,4,FALSE))</f>
        <v>0</v>
      </c>
      <c r="L64" s="4">
        <f>(VLOOKUP('19.02'!T64,'19.02'!$AO$4:$AR$55,4,FALSE))</f>
        <v>0</v>
      </c>
      <c r="M64" s="4">
        <f>(VLOOKUP('19.02'!U64,'19.02'!$AO$4:$AR$55,4,FALSE))</f>
        <v>0</v>
      </c>
      <c r="N64" s="4">
        <f>(VLOOKUP('19.02'!V64,'19.02'!$AO$4:$AR$55,4,FALSE))</f>
        <v>0</v>
      </c>
      <c r="O64" s="4">
        <f>(VLOOKUP('19.02'!W64,'19.02'!$AO$4:$AR$55,4,FALSE))</f>
        <v>0</v>
      </c>
      <c r="P64" s="4">
        <f>(VLOOKUP('19.02'!X64,'19.02'!$AO$4:$AR$55,4,FALSE))</f>
        <v>0</v>
      </c>
      <c r="Q64" s="4">
        <f>(VLOOKUP('19.02'!Y64,'19.02'!$AO$4:$AR$55,4,FALSE))</f>
        <v>0</v>
      </c>
      <c r="R64" s="4">
        <f>(VLOOKUP('19.02'!Z64,'19.02'!$AO$4:$AR$55,4,FALSE))</f>
        <v>0</v>
      </c>
      <c r="S64" s="4">
        <f>(VLOOKUP('19.02'!AA64,'19.02'!$AO$4:$AR$55,4,FALSE))</f>
        <v>0</v>
      </c>
      <c r="T64" s="4">
        <f>(VLOOKUP('19.02'!AB64,'19.02'!$AO$4:$AR$55,4,FALSE))</f>
        <v>0</v>
      </c>
      <c r="U64" s="4">
        <f>(VLOOKUP('19.02'!AC64,'19.02'!$AO$4:$AR$55,4,FALSE))</f>
        <v>0</v>
      </c>
      <c r="V64" s="4">
        <f>(VLOOKUP('19.02'!AD64,'19.02'!$AO$4:$AR$55,4,FALSE))</f>
        <v>0</v>
      </c>
      <c r="W64" s="4">
        <f>(VLOOKUP('19.02'!AE64,'19.02'!$AO$4:$AR$55,4,FALSE))</f>
        <v>0</v>
      </c>
      <c r="X64" s="4">
        <f>(VLOOKUP('19.02'!AF64,'19.02'!$AO$4:$AR$55,4,FALSE))</f>
        <v>0</v>
      </c>
    </row>
    <row r="65" spans="1:24">
      <c r="A65" s="4">
        <f>(VLOOKUP('19.02'!I65,'19.02'!$AO$4:$AR$55,4,FALSE))</f>
        <v>0</v>
      </c>
      <c r="B65" s="4">
        <f>(VLOOKUP('19.02'!J65,'19.02'!$AO$4:$AR$55,4,FALSE))</f>
        <v>0</v>
      </c>
      <c r="C65" s="4">
        <f>(VLOOKUP('19.02'!K65,'19.02'!$AO$4:$AR$55,4,FALSE))</f>
        <v>0</v>
      </c>
      <c r="D65" s="4">
        <f>(VLOOKUP('19.02'!L65,'19.02'!$AO$4:$AR$55,4,FALSE))</f>
        <v>0</v>
      </c>
      <c r="E65" s="4">
        <f>(VLOOKUP('19.02'!M65,'19.02'!$AO$4:$AR$55,4,FALSE))</f>
        <v>0</v>
      </c>
      <c r="F65" s="4">
        <f>(VLOOKUP('19.02'!N65,'19.02'!$AO$4:$AR$55,4,FALSE))</f>
        <v>0</v>
      </c>
      <c r="G65" s="4">
        <f>(VLOOKUP('19.02'!O65,'19.02'!$AO$4:$AR$55,4,FALSE))</f>
        <v>0</v>
      </c>
      <c r="H65" s="4">
        <f>(VLOOKUP('19.02'!P65,'19.02'!$AO$4:$AR$55,4,FALSE))</f>
        <v>0</v>
      </c>
      <c r="I65" s="4">
        <f>(VLOOKUP('19.02'!Q65,'19.02'!$AO$4:$AR$55,4,FALSE))</f>
        <v>0</v>
      </c>
      <c r="J65" s="4">
        <f>(VLOOKUP('19.02'!R65,'19.02'!$AO$4:$AR$55,4,FALSE))</f>
        <v>0</v>
      </c>
      <c r="K65" s="4">
        <f>(VLOOKUP('19.02'!S65,'19.02'!$AO$4:$AR$55,4,FALSE))</f>
        <v>0</v>
      </c>
      <c r="L65" s="4">
        <f>(VLOOKUP('19.02'!T65,'19.02'!$AO$4:$AR$55,4,FALSE))</f>
        <v>0</v>
      </c>
      <c r="M65" s="4">
        <f>(VLOOKUP('19.02'!U65,'19.02'!$AO$4:$AR$55,4,FALSE))</f>
        <v>0</v>
      </c>
      <c r="N65" s="4">
        <f>(VLOOKUP('19.02'!V65,'19.02'!$AO$4:$AR$55,4,FALSE))</f>
        <v>0</v>
      </c>
      <c r="O65" s="4">
        <f>(VLOOKUP('19.02'!W65,'19.02'!$AO$4:$AR$55,4,FALSE))</f>
        <v>0</v>
      </c>
      <c r="P65" s="4">
        <f>(VLOOKUP('19.02'!X65,'19.02'!$AO$4:$AR$55,4,FALSE))</f>
        <v>0</v>
      </c>
      <c r="Q65" s="4">
        <f>(VLOOKUP('19.02'!Y65,'19.02'!$AO$4:$AR$55,4,FALSE))</f>
        <v>0</v>
      </c>
      <c r="R65" s="4">
        <f>(VLOOKUP('19.02'!Z65,'19.02'!$AO$4:$AR$55,4,FALSE))</f>
        <v>0</v>
      </c>
      <c r="S65" s="4">
        <f>(VLOOKUP('19.02'!AA65,'19.02'!$AO$4:$AR$55,4,FALSE))</f>
        <v>0</v>
      </c>
      <c r="T65" s="4">
        <f>(VLOOKUP('19.02'!AB65,'19.02'!$AO$4:$AR$55,4,FALSE))</f>
        <v>0</v>
      </c>
      <c r="U65" s="4">
        <f>(VLOOKUP('19.02'!AC65,'19.02'!$AO$4:$AR$55,4,FALSE))</f>
        <v>0</v>
      </c>
      <c r="V65" s="4">
        <f>(VLOOKUP('19.02'!AD65,'19.02'!$AO$4:$AR$55,4,FALSE))</f>
        <v>0</v>
      </c>
      <c r="W65" s="4">
        <f>(VLOOKUP('19.02'!AE65,'19.02'!$AO$4:$AR$55,4,FALSE))</f>
        <v>0</v>
      </c>
      <c r="X65" s="4">
        <f>(VLOOKUP('19.02'!AF65,'19.02'!$AO$4:$AR$55,4,FALSE))</f>
        <v>0</v>
      </c>
    </row>
    <row r="66" spans="1:24">
      <c r="A66" s="4">
        <f>(VLOOKUP('19.02'!I66,'19.02'!$AO$4:$AR$55,4,FALSE))</f>
        <v>0</v>
      </c>
      <c r="B66" s="4">
        <f>(VLOOKUP('19.02'!J66,'19.02'!$AO$4:$AR$55,4,FALSE))</f>
        <v>0</v>
      </c>
      <c r="C66" s="4">
        <f>(VLOOKUP('19.02'!K66,'19.02'!$AO$4:$AR$55,4,FALSE))</f>
        <v>0</v>
      </c>
      <c r="D66" s="4">
        <f>(VLOOKUP('19.02'!L66,'19.02'!$AO$4:$AR$55,4,FALSE))</f>
        <v>0</v>
      </c>
      <c r="E66" s="4">
        <f>(VLOOKUP('19.02'!M66,'19.02'!$AO$4:$AR$55,4,FALSE))</f>
        <v>0</v>
      </c>
      <c r="F66" s="4">
        <f>(VLOOKUP('19.02'!N66,'19.02'!$AO$4:$AR$55,4,FALSE))</f>
        <v>0</v>
      </c>
      <c r="G66" s="4">
        <f>(VLOOKUP('19.02'!O66,'19.02'!$AO$4:$AR$55,4,FALSE))</f>
        <v>0</v>
      </c>
      <c r="H66" s="4">
        <f>(VLOOKUP('19.02'!P66,'19.02'!$AO$4:$AR$55,4,FALSE))</f>
        <v>0</v>
      </c>
      <c r="I66" s="4">
        <f>(VLOOKUP('19.02'!Q66,'19.02'!$AO$4:$AR$55,4,FALSE))</f>
        <v>0</v>
      </c>
      <c r="J66" s="4">
        <f>(VLOOKUP('19.02'!R66,'19.02'!$AO$4:$AR$55,4,FALSE))</f>
        <v>0</v>
      </c>
      <c r="K66" s="4">
        <f>(VLOOKUP('19.02'!S66,'19.02'!$AO$4:$AR$55,4,FALSE))</f>
        <v>0</v>
      </c>
      <c r="L66" s="4">
        <f>(VLOOKUP('19.02'!T66,'19.02'!$AO$4:$AR$55,4,FALSE))</f>
        <v>0</v>
      </c>
      <c r="M66" s="4">
        <f>(VLOOKUP('19.02'!U66,'19.02'!$AO$4:$AR$55,4,FALSE))</f>
        <v>0</v>
      </c>
      <c r="N66" s="4">
        <f>(VLOOKUP('19.02'!V66,'19.02'!$AO$4:$AR$55,4,FALSE))</f>
        <v>0</v>
      </c>
      <c r="O66" s="4">
        <f>(VLOOKUP('19.02'!W66,'19.02'!$AO$4:$AR$55,4,FALSE))</f>
        <v>0</v>
      </c>
      <c r="P66" s="4">
        <f>(VLOOKUP('19.02'!X66,'19.02'!$AO$4:$AR$55,4,FALSE))</f>
        <v>0</v>
      </c>
      <c r="Q66" s="4">
        <f>(VLOOKUP('19.02'!Y66,'19.02'!$AO$4:$AR$55,4,FALSE))</f>
        <v>0</v>
      </c>
      <c r="R66" s="4">
        <f>(VLOOKUP('19.02'!Z66,'19.02'!$AO$4:$AR$55,4,FALSE))</f>
        <v>0</v>
      </c>
      <c r="S66" s="4">
        <f>(VLOOKUP('19.02'!AA66,'19.02'!$AO$4:$AR$55,4,FALSE))</f>
        <v>0</v>
      </c>
      <c r="T66" s="4">
        <f>(VLOOKUP('19.02'!AB66,'19.02'!$AO$4:$AR$55,4,FALSE))</f>
        <v>0</v>
      </c>
      <c r="U66" s="4">
        <f>(VLOOKUP('19.02'!AC66,'19.02'!$AO$4:$AR$55,4,FALSE))</f>
        <v>0</v>
      </c>
      <c r="V66" s="4">
        <f>(VLOOKUP('19.02'!AD66,'19.02'!$AO$4:$AR$55,4,FALSE))</f>
        <v>0</v>
      </c>
      <c r="W66" s="4">
        <f>(VLOOKUP('19.02'!AE66,'19.02'!$AO$4:$AR$55,4,FALSE))</f>
        <v>0</v>
      </c>
      <c r="X66" s="4">
        <f>(VLOOKUP('19.02'!AF66,'19.02'!$AO$4:$AR$55,4,FALSE))</f>
        <v>0</v>
      </c>
    </row>
    <row r="67" spans="1:24">
      <c r="A67" s="4">
        <f>(VLOOKUP('19.02'!I67,'19.02'!$AO$4:$AR$55,4,FALSE))</f>
        <v>0</v>
      </c>
      <c r="B67" s="4">
        <f>(VLOOKUP('19.02'!J67,'19.02'!$AO$4:$AR$55,4,FALSE))</f>
        <v>0</v>
      </c>
      <c r="C67" s="4">
        <f>(VLOOKUP('19.02'!K67,'19.02'!$AO$4:$AR$55,4,FALSE))</f>
        <v>0</v>
      </c>
      <c r="D67" s="4">
        <f>(VLOOKUP('19.02'!L67,'19.02'!$AO$4:$AR$55,4,FALSE))</f>
        <v>0</v>
      </c>
      <c r="E67" s="4">
        <f>(VLOOKUP('19.02'!M67,'19.02'!$AO$4:$AR$55,4,FALSE))</f>
        <v>0</v>
      </c>
      <c r="F67" s="4">
        <f>(VLOOKUP('19.02'!N67,'19.02'!$AO$4:$AR$55,4,FALSE))</f>
        <v>0</v>
      </c>
      <c r="G67" s="4">
        <f>(VLOOKUP('19.02'!O67,'19.02'!$AO$4:$AR$55,4,FALSE))</f>
        <v>0</v>
      </c>
      <c r="H67" s="4">
        <f>(VLOOKUP('19.02'!P67,'19.02'!$AO$4:$AR$55,4,FALSE))</f>
        <v>0</v>
      </c>
      <c r="I67" s="4">
        <f>(VLOOKUP('19.02'!Q67,'19.02'!$AO$4:$AR$55,4,FALSE))</f>
        <v>0</v>
      </c>
      <c r="J67" s="4">
        <f>(VLOOKUP('19.02'!R67,'19.02'!$AO$4:$AR$55,4,FALSE))</f>
        <v>0</v>
      </c>
      <c r="K67" s="4">
        <f>(VLOOKUP('19.02'!S67,'19.02'!$AO$4:$AR$55,4,FALSE))</f>
        <v>0</v>
      </c>
      <c r="L67" s="4">
        <f>(VLOOKUP('19.02'!T67,'19.02'!$AO$4:$AR$55,4,FALSE))</f>
        <v>0</v>
      </c>
      <c r="M67" s="4">
        <f>(VLOOKUP('19.02'!U67,'19.02'!$AO$4:$AR$55,4,FALSE))</f>
        <v>0</v>
      </c>
      <c r="N67" s="4">
        <f>(VLOOKUP('19.02'!V67,'19.02'!$AO$4:$AR$55,4,FALSE))</f>
        <v>0</v>
      </c>
      <c r="O67" s="4">
        <f>(VLOOKUP('19.02'!W67,'19.02'!$AO$4:$AR$55,4,FALSE))</f>
        <v>0</v>
      </c>
      <c r="P67" s="4">
        <f>(VLOOKUP('19.02'!X67,'19.02'!$AO$4:$AR$55,4,FALSE))</f>
        <v>0</v>
      </c>
      <c r="Q67" s="4">
        <f>(VLOOKUP('19.02'!Y67,'19.02'!$AO$4:$AR$55,4,FALSE))</f>
        <v>0</v>
      </c>
      <c r="R67" s="4">
        <f>(VLOOKUP('19.02'!Z67,'19.02'!$AO$4:$AR$55,4,FALSE))</f>
        <v>0</v>
      </c>
      <c r="S67" s="4">
        <f>(VLOOKUP('19.02'!AA67,'19.02'!$AO$4:$AR$55,4,FALSE))</f>
        <v>0</v>
      </c>
      <c r="T67" s="4">
        <f>(VLOOKUP('19.02'!AB67,'19.02'!$AO$4:$AR$55,4,FALSE))</f>
        <v>0</v>
      </c>
      <c r="U67" s="4">
        <f>(VLOOKUP('19.02'!AC67,'19.02'!$AO$4:$AR$55,4,FALSE))</f>
        <v>0</v>
      </c>
      <c r="V67" s="4">
        <f>(VLOOKUP('19.02'!AD67,'19.02'!$AO$4:$AR$55,4,FALSE))</f>
        <v>0</v>
      </c>
      <c r="W67" s="4">
        <f>(VLOOKUP('19.02'!AE67,'19.02'!$AO$4:$AR$55,4,FALSE))</f>
        <v>0</v>
      </c>
      <c r="X67" s="4">
        <f>(VLOOKUP('19.02'!AF67,'19.02'!$AO$4:$AR$55,4,FALSE))</f>
        <v>0</v>
      </c>
    </row>
    <row r="68" spans="1:24">
      <c r="A68" s="4">
        <f>(VLOOKUP('19.02'!I68,'19.02'!$AO$4:$AR$55,4,FALSE))</f>
        <v>0</v>
      </c>
      <c r="B68" s="4">
        <f>(VLOOKUP('19.02'!J68,'19.02'!$AO$4:$AR$55,4,FALSE))</f>
        <v>0</v>
      </c>
      <c r="C68" s="4">
        <f>(VLOOKUP('19.02'!K68,'19.02'!$AO$4:$AR$55,4,FALSE))</f>
        <v>0</v>
      </c>
      <c r="D68" s="4">
        <f>(VLOOKUP('19.02'!L68,'19.02'!$AO$4:$AR$55,4,FALSE))</f>
        <v>0</v>
      </c>
      <c r="E68" s="4">
        <f>(VLOOKUP('19.02'!M68,'19.02'!$AO$4:$AR$55,4,FALSE))</f>
        <v>0</v>
      </c>
      <c r="F68" s="4">
        <f>(VLOOKUP('19.02'!N68,'19.02'!$AO$4:$AR$55,4,FALSE))</f>
        <v>0</v>
      </c>
      <c r="G68" s="4">
        <f>(VLOOKUP('19.02'!O68,'19.02'!$AO$4:$AR$55,4,FALSE))</f>
        <v>0</v>
      </c>
      <c r="H68" s="4">
        <f>(VLOOKUP('19.02'!P68,'19.02'!$AO$4:$AR$55,4,FALSE))</f>
        <v>0</v>
      </c>
      <c r="I68" s="4">
        <f>(VLOOKUP('19.02'!Q68,'19.02'!$AO$4:$AR$55,4,FALSE))</f>
        <v>0</v>
      </c>
      <c r="J68" s="4">
        <f>(VLOOKUP('19.02'!R68,'19.02'!$AO$4:$AR$55,4,FALSE))</f>
        <v>0</v>
      </c>
      <c r="K68" s="4">
        <f>(VLOOKUP('19.02'!S68,'19.02'!$AO$4:$AR$55,4,FALSE))</f>
        <v>0</v>
      </c>
      <c r="L68" s="4">
        <f>(VLOOKUP('19.02'!T68,'19.02'!$AO$4:$AR$55,4,FALSE))</f>
        <v>0</v>
      </c>
      <c r="M68" s="4">
        <f>(VLOOKUP('19.02'!U68,'19.02'!$AO$4:$AR$55,4,FALSE))</f>
        <v>0</v>
      </c>
      <c r="N68" s="4">
        <f>(VLOOKUP('19.02'!V68,'19.02'!$AO$4:$AR$55,4,FALSE))</f>
        <v>0</v>
      </c>
      <c r="O68" s="4">
        <f>(VLOOKUP('19.02'!W68,'19.02'!$AO$4:$AR$55,4,FALSE))</f>
        <v>0</v>
      </c>
      <c r="P68" s="4">
        <f>(VLOOKUP('19.02'!X68,'19.02'!$AO$4:$AR$55,4,FALSE))</f>
        <v>0</v>
      </c>
      <c r="Q68" s="4">
        <f>(VLOOKUP('19.02'!Y68,'19.02'!$AO$4:$AR$55,4,FALSE))</f>
        <v>0</v>
      </c>
      <c r="R68" s="4">
        <f>(VLOOKUP('19.02'!Z68,'19.02'!$AO$4:$AR$55,4,FALSE))</f>
        <v>0</v>
      </c>
      <c r="S68" s="4">
        <f>(VLOOKUP('19.02'!AA68,'19.02'!$AO$4:$AR$55,4,FALSE))</f>
        <v>0</v>
      </c>
      <c r="T68" s="4">
        <f>(VLOOKUP('19.02'!AB68,'19.02'!$AO$4:$AR$55,4,FALSE))</f>
        <v>0</v>
      </c>
      <c r="U68" s="4">
        <f>(VLOOKUP('19.02'!AC68,'19.02'!$AO$4:$AR$55,4,FALSE))</f>
        <v>0</v>
      </c>
      <c r="V68" s="4">
        <f>(VLOOKUP('19.02'!AD68,'19.02'!$AO$4:$AR$55,4,FALSE))</f>
        <v>0</v>
      </c>
      <c r="W68" s="4">
        <f>(VLOOKUP('19.02'!AE68,'19.02'!$AO$4:$AR$55,4,FALSE))</f>
        <v>0</v>
      </c>
      <c r="X68" s="4">
        <f>(VLOOKUP('19.02'!AF68,'19.02'!$AO$4:$AR$55,4,FALSE))</f>
        <v>0</v>
      </c>
    </row>
    <row r="69" spans="1:24">
      <c r="A69" s="4">
        <f>(VLOOKUP('19.02'!I69,'19.02'!$AO$4:$AR$55,4,FALSE))</f>
        <v>0</v>
      </c>
      <c r="B69" s="4">
        <f>(VLOOKUP('19.02'!J69,'19.02'!$AO$4:$AR$55,4,FALSE))</f>
        <v>0</v>
      </c>
      <c r="C69" s="4">
        <f>(VLOOKUP('19.02'!K69,'19.02'!$AO$4:$AR$55,4,FALSE))</f>
        <v>0</v>
      </c>
      <c r="D69" s="4">
        <f>(VLOOKUP('19.02'!L69,'19.02'!$AO$4:$AR$55,4,FALSE))</f>
        <v>0</v>
      </c>
      <c r="E69" s="4">
        <f>(VLOOKUP('19.02'!M69,'19.02'!$AO$4:$AR$55,4,FALSE))</f>
        <v>0</v>
      </c>
      <c r="F69" s="4">
        <f>(VLOOKUP('19.02'!N69,'19.02'!$AO$4:$AR$55,4,FALSE))</f>
        <v>0</v>
      </c>
      <c r="G69" s="4">
        <f>(VLOOKUP('19.02'!O69,'19.02'!$AO$4:$AR$55,4,FALSE))</f>
        <v>0</v>
      </c>
      <c r="H69" s="4">
        <f>(VLOOKUP('19.02'!P69,'19.02'!$AO$4:$AR$55,4,FALSE))</f>
        <v>0</v>
      </c>
      <c r="I69" s="4">
        <f>(VLOOKUP('19.02'!Q69,'19.02'!$AO$4:$AR$55,4,FALSE))</f>
        <v>0</v>
      </c>
      <c r="J69" s="4">
        <f>(VLOOKUP('19.02'!R69,'19.02'!$AO$4:$AR$55,4,FALSE))</f>
        <v>0</v>
      </c>
      <c r="K69" s="4">
        <f>(VLOOKUP('19.02'!S69,'19.02'!$AO$4:$AR$55,4,FALSE))</f>
        <v>0</v>
      </c>
      <c r="L69" s="4">
        <f>(VLOOKUP('19.02'!T69,'19.02'!$AO$4:$AR$55,4,FALSE))</f>
        <v>0</v>
      </c>
      <c r="M69" s="4">
        <f>(VLOOKUP('19.02'!U69,'19.02'!$AO$4:$AR$55,4,FALSE))</f>
        <v>0</v>
      </c>
      <c r="N69" s="4">
        <f>(VLOOKUP('19.02'!V69,'19.02'!$AO$4:$AR$55,4,FALSE))</f>
        <v>0</v>
      </c>
      <c r="O69" s="4">
        <f>(VLOOKUP('19.02'!W69,'19.02'!$AO$4:$AR$55,4,FALSE))</f>
        <v>0</v>
      </c>
      <c r="P69" s="4">
        <f>(VLOOKUP('19.02'!X69,'19.02'!$AO$4:$AR$55,4,FALSE))</f>
        <v>0</v>
      </c>
      <c r="Q69" s="4">
        <f>(VLOOKUP('19.02'!Y69,'19.02'!$AO$4:$AR$55,4,FALSE))</f>
        <v>0</v>
      </c>
      <c r="R69" s="4">
        <f>(VLOOKUP('19.02'!Z69,'19.02'!$AO$4:$AR$55,4,FALSE))</f>
        <v>0</v>
      </c>
      <c r="S69" s="4">
        <f>(VLOOKUP('19.02'!AA69,'19.02'!$AO$4:$AR$55,4,FALSE))</f>
        <v>0</v>
      </c>
      <c r="T69" s="4">
        <f>(VLOOKUP('19.02'!AB69,'19.02'!$AO$4:$AR$55,4,FALSE))</f>
        <v>0</v>
      </c>
      <c r="U69" s="4">
        <f>(VLOOKUP('19.02'!AC69,'19.02'!$AO$4:$AR$55,4,FALSE))</f>
        <v>0</v>
      </c>
      <c r="V69" s="4">
        <f>(VLOOKUP('19.02'!AD69,'19.02'!$AO$4:$AR$55,4,FALSE))</f>
        <v>0</v>
      </c>
      <c r="W69" s="4">
        <f>(VLOOKUP('19.02'!AE69,'19.02'!$AO$4:$AR$55,4,FALSE))</f>
        <v>0</v>
      </c>
      <c r="X69" s="4">
        <f>(VLOOKUP('19.02'!AF69,'19.02'!$AO$4:$AR$55,4,FALSE))</f>
        <v>0</v>
      </c>
    </row>
    <row r="70" spans="1:24">
      <c r="A70" s="4">
        <f>(VLOOKUP('19.02'!I70,'19.02'!$AO$4:$AR$55,4,FALSE))</f>
        <v>0</v>
      </c>
      <c r="B70" s="4">
        <f>(VLOOKUP('19.02'!J70,'19.02'!$AO$4:$AR$55,4,FALSE))</f>
        <v>0</v>
      </c>
      <c r="C70" s="4">
        <f>(VLOOKUP('19.02'!K70,'19.02'!$AO$4:$AR$55,4,FALSE))</f>
        <v>0</v>
      </c>
      <c r="D70" s="4">
        <f>(VLOOKUP('19.02'!L70,'19.02'!$AO$4:$AR$55,4,FALSE))</f>
        <v>0</v>
      </c>
      <c r="E70" s="4">
        <f>(VLOOKUP('19.02'!M70,'19.02'!$AO$4:$AR$55,4,FALSE))</f>
        <v>0</v>
      </c>
      <c r="F70" s="4">
        <f>(VLOOKUP('19.02'!N70,'19.02'!$AO$4:$AR$55,4,FALSE))</f>
        <v>0</v>
      </c>
      <c r="G70" s="4">
        <f>(VLOOKUP('19.02'!O70,'19.02'!$AO$4:$AR$55,4,FALSE))</f>
        <v>0</v>
      </c>
      <c r="H70" s="4">
        <f>(VLOOKUP('19.02'!P70,'19.02'!$AO$4:$AR$55,4,FALSE))</f>
        <v>0</v>
      </c>
      <c r="I70" s="4">
        <f>(VLOOKUP('19.02'!Q70,'19.02'!$AO$4:$AR$55,4,FALSE))</f>
        <v>0</v>
      </c>
      <c r="J70" s="4">
        <f>(VLOOKUP('19.02'!R70,'19.02'!$AO$4:$AR$55,4,FALSE))</f>
        <v>0</v>
      </c>
      <c r="K70" s="4">
        <f>(VLOOKUP('19.02'!S70,'19.02'!$AO$4:$AR$55,4,FALSE))</f>
        <v>0</v>
      </c>
      <c r="L70" s="4">
        <f>(VLOOKUP('19.02'!T70,'19.02'!$AO$4:$AR$55,4,FALSE))</f>
        <v>0</v>
      </c>
      <c r="M70" s="4">
        <f>(VLOOKUP('19.02'!U70,'19.02'!$AO$4:$AR$55,4,FALSE))</f>
        <v>0</v>
      </c>
      <c r="N70" s="4">
        <f>(VLOOKUP('19.02'!V70,'19.02'!$AO$4:$AR$55,4,FALSE))</f>
        <v>0</v>
      </c>
      <c r="O70" s="4">
        <f>(VLOOKUP('19.02'!W70,'19.02'!$AO$4:$AR$55,4,FALSE))</f>
        <v>0</v>
      </c>
      <c r="P70" s="4">
        <f>(VLOOKUP('19.02'!X70,'19.02'!$AO$4:$AR$55,4,FALSE))</f>
        <v>0</v>
      </c>
      <c r="Q70" s="4">
        <f>(VLOOKUP('19.02'!Y70,'19.02'!$AO$4:$AR$55,4,FALSE))</f>
        <v>0</v>
      </c>
      <c r="R70" s="4">
        <f>(VLOOKUP('19.02'!Z70,'19.02'!$AO$4:$AR$55,4,FALSE))</f>
        <v>0</v>
      </c>
      <c r="S70" s="4">
        <f>(VLOOKUP('19.02'!AA70,'19.02'!$AO$4:$AR$55,4,FALSE))</f>
        <v>0</v>
      </c>
      <c r="T70" s="4">
        <f>(VLOOKUP('19.02'!AB70,'19.02'!$AO$4:$AR$55,4,FALSE))</f>
        <v>0</v>
      </c>
      <c r="U70" s="4">
        <f>(VLOOKUP('19.02'!AC70,'19.02'!$AO$4:$AR$55,4,FALSE))</f>
        <v>0</v>
      </c>
      <c r="V70" s="4">
        <f>(VLOOKUP('19.02'!AD70,'19.02'!$AO$4:$AR$55,4,FALSE))</f>
        <v>0</v>
      </c>
      <c r="W70" s="4">
        <f>(VLOOKUP('19.02'!AE70,'19.02'!$AO$4:$AR$55,4,FALSE))</f>
        <v>0</v>
      </c>
      <c r="X70" s="4">
        <f>(VLOOKUP('19.02'!AF70,'19.02'!$AO$4:$AR$55,4,FALSE))</f>
        <v>0</v>
      </c>
    </row>
    <row r="71" spans="1:24">
      <c r="A71" s="4">
        <f>(VLOOKUP('19.02'!I71,'19.02'!$AO$4:$AR$55,4,FALSE))</f>
        <v>0</v>
      </c>
      <c r="B71" s="4">
        <f>(VLOOKUP('19.02'!J71,'19.02'!$AO$4:$AR$55,4,FALSE))</f>
        <v>0</v>
      </c>
      <c r="C71" s="4">
        <f>(VLOOKUP('19.02'!K71,'19.02'!$AO$4:$AR$55,4,FALSE))</f>
        <v>0</v>
      </c>
      <c r="D71" s="4">
        <f>(VLOOKUP('19.02'!L71,'19.02'!$AO$4:$AR$55,4,FALSE))</f>
        <v>0</v>
      </c>
      <c r="E71" s="4">
        <f>(VLOOKUP('19.02'!M71,'19.02'!$AO$4:$AR$55,4,FALSE))</f>
        <v>0</v>
      </c>
      <c r="F71" s="4">
        <f>(VLOOKUP('19.02'!N71,'19.02'!$AO$4:$AR$55,4,FALSE))</f>
        <v>0</v>
      </c>
      <c r="G71" s="4">
        <f>(VLOOKUP('19.02'!O71,'19.02'!$AO$4:$AR$55,4,FALSE))</f>
        <v>0</v>
      </c>
      <c r="H71" s="4">
        <f>(VLOOKUP('19.02'!P71,'19.02'!$AO$4:$AR$55,4,FALSE))</f>
        <v>0</v>
      </c>
      <c r="I71" s="4">
        <f>(VLOOKUP('19.02'!Q71,'19.02'!$AO$4:$AR$55,4,FALSE))</f>
        <v>0</v>
      </c>
      <c r="J71" s="4">
        <f>(VLOOKUP('19.02'!R71,'19.02'!$AO$4:$AR$55,4,FALSE))</f>
        <v>0</v>
      </c>
      <c r="K71" s="4">
        <f>(VLOOKUP('19.02'!S71,'19.02'!$AO$4:$AR$55,4,FALSE))</f>
        <v>0</v>
      </c>
      <c r="L71" s="4">
        <f>(VLOOKUP('19.02'!T71,'19.02'!$AO$4:$AR$55,4,FALSE))</f>
        <v>0</v>
      </c>
      <c r="M71" s="4">
        <f>(VLOOKUP('19.02'!U71,'19.02'!$AO$4:$AR$55,4,FALSE))</f>
        <v>0</v>
      </c>
      <c r="N71" s="4">
        <f>(VLOOKUP('19.02'!V71,'19.02'!$AO$4:$AR$55,4,FALSE))</f>
        <v>0</v>
      </c>
      <c r="O71" s="4">
        <f>(VLOOKUP('19.02'!W71,'19.02'!$AO$4:$AR$55,4,FALSE))</f>
        <v>0</v>
      </c>
      <c r="P71" s="4">
        <f>(VLOOKUP('19.02'!X71,'19.02'!$AO$4:$AR$55,4,FALSE))</f>
        <v>0</v>
      </c>
      <c r="Q71" s="4">
        <f>(VLOOKUP('19.02'!Y71,'19.02'!$AO$4:$AR$55,4,FALSE))</f>
        <v>0</v>
      </c>
      <c r="R71" s="4">
        <f>(VLOOKUP('19.02'!Z71,'19.02'!$AO$4:$AR$55,4,FALSE))</f>
        <v>0</v>
      </c>
      <c r="S71" s="4">
        <f>(VLOOKUP('19.02'!AA71,'19.02'!$AO$4:$AR$55,4,FALSE))</f>
        <v>0</v>
      </c>
      <c r="T71" s="4">
        <f>(VLOOKUP('19.02'!AB71,'19.02'!$AO$4:$AR$55,4,FALSE))</f>
        <v>0</v>
      </c>
      <c r="U71" s="4">
        <f>(VLOOKUP('19.02'!AC71,'19.02'!$AO$4:$AR$55,4,FALSE))</f>
        <v>0</v>
      </c>
      <c r="V71" s="4">
        <f>(VLOOKUP('19.02'!AD71,'19.02'!$AO$4:$AR$55,4,FALSE))</f>
        <v>0</v>
      </c>
      <c r="W71" s="4">
        <f>(VLOOKUP('19.02'!AE71,'19.02'!$AO$4:$AR$55,4,FALSE))</f>
        <v>0</v>
      </c>
      <c r="X71" s="4">
        <f>(VLOOKUP('19.02'!AF71,'19.02'!$AO$4:$AR$55,4,FALSE))</f>
        <v>0</v>
      </c>
    </row>
    <row r="72" spans="1:24">
      <c r="A72" s="4">
        <f>(VLOOKUP('19.02'!I72,'19.02'!$AO$4:$AR$55,4,FALSE))</f>
        <v>0</v>
      </c>
      <c r="B72" s="4">
        <f>(VLOOKUP('19.02'!J72,'19.02'!$AO$4:$AR$55,4,FALSE))</f>
        <v>0</v>
      </c>
      <c r="C72" s="4">
        <f>(VLOOKUP('19.02'!K72,'19.02'!$AO$4:$AR$55,4,FALSE))</f>
        <v>0</v>
      </c>
      <c r="D72" s="4">
        <f>(VLOOKUP('19.02'!L72,'19.02'!$AO$4:$AR$55,4,FALSE))</f>
        <v>0</v>
      </c>
      <c r="E72" s="4">
        <f>(VLOOKUP('19.02'!M72,'19.02'!$AO$4:$AR$55,4,FALSE))</f>
        <v>0</v>
      </c>
      <c r="F72" s="4">
        <f>(VLOOKUP('19.02'!N72,'19.02'!$AO$4:$AR$55,4,FALSE))</f>
        <v>0</v>
      </c>
      <c r="G72" s="4">
        <f>(VLOOKUP('19.02'!O72,'19.02'!$AO$4:$AR$55,4,FALSE))</f>
        <v>0</v>
      </c>
      <c r="H72" s="4">
        <f>(VLOOKUP('19.02'!P72,'19.02'!$AO$4:$AR$55,4,FALSE))</f>
        <v>0</v>
      </c>
      <c r="I72" s="4">
        <f>(VLOOKUP('19.02'!Q72,'19.02'!$AO$4:$AR$55,4,FALSE))</f>
        <v>0</v>
      </c>
      <c r="J72" s="4">
        <f>(VLOOKUP('19.02'!R72,'19.02'!$AO$4:$AR$55,4,FALSE))</f>
        <v>0</v>
      </c>
      <c r="K72" s="4">
        <f>(VLOOKUP('19.02'!S72,'19.02'!$AO$4:$AR$55,4,FALSE))</f>
        <v>0</v>
      </c>
      <c r="L72" s="4">
        <f>(VLOOKUP('19.02'!T72,'19.02'!$AO$4:$AR$55,4,FALSE))</f>
        <v>0</v>
      </c>
      <c r="M72" s="4">
        <f>(VLOOKUP('19.02'!U72,'19.02'!$AO$4:$AR$55,4,FALSE))</f>
        <v>0</v>
      </c>
      <c r="N72" s="4">
        <f>(VLOOKUP('19.02'!V72,'19.02'!$AO$4:$AR$55,4,FALSE))</f>
        <v>0</v>
      </c>
      <c r="O72" s="4">
        <f>(VLOOKUP('19.02'!W72,'19.02'!$AO$4:$AR$55,4,FALSE))</f>
        <v>0</v>
      </c>
      <c r="P72" s="4">
        <f>(VLOOKUP('19.02'!X72,'19.02'!$AO$4:$AR$55,4,FALSE))</f>
        <v>0</v>
      </c>
      <c r="Q72" s="4">
        <f>(VLOOKUP('19.02'!Y72,'19.02'!$AO$4:$AR$55,4,FALSE))</f>
        <v>0</v>
      </c>
      <c r="R72" s="4">
        <f>(VLOOKUP('19.02'!Z72,'19.02'!$AO$4:$AR$55,4,FALSE))</f>
        <v>0</v>
      </c>
      <c r="S72" s="4">
        <f>(VLOOKUP('19.02'!AA72,'19.02'!$AO$4:$AR$55,4,FALSE))</f>
        <v>0</v>
      </c>
      <c r="T72" s="4">
        <f>(VLOOKUP('19.02'!AB72,'19.02'!$AO$4:$AR$55,4,FALSE))</f>
        <v>0</v>
      </c>
      <c r="U72" s="4">
        <f>(VLOOKUP('19.02'!AC72,'19.02'!$AO$4:$AR$55,4,FALSE))</f>
        <v>0</v>
      </c>
      <c r="V72" s="4">
        <f>(VLOOKUP('19.02'!AD72,'19.02'!$AO$4:$AR$55,4,FALSE))</f>
        <v>0</v>
      </c>
      <c r="W72" s="4">
        <f>(VLOOKUP('19.02'!AE72,'19.02'!$AO$4:$AR$55,4,FALSE))</f>
        <v>0</v>
      </c>
      <c r="X72" s="4">
        <f>(VLOOKUP('19.02'!AF72,'19.02'!$AO$4:$AR$55,4,FALSE))</f>
        <v>0</v>
      </c>
    </row>
    <row r="73" spans="1:24">
      <c r="A73" s="4">
        <f>(VLOOKUP('19.02'!I73,'19.02'!$AO$4:$AR$55,4,FALSE))</f>
        <v>0</v>
      </c>
      <c r="B73" s="4">
        <f>(VLOOKUP('19.02'!J73,'19.02'!$AO$4:$AR$55,4,FALSE))</f>
        <v>0</v>
      </c>
      <c r="C73" s="4">
        <f>(VLOOKUP('19.02'!K73,'19.02'!$AO$4:$AR$55,4,FALSE))</f>
        <v>0</v>
      </c>
      <c r="D73" s="4">
        <f>(VLOOKUP('19.02'!L73,'19.02'!$AO$4:$AR$55,4,FALSE))</f>
        <v>0</v>
      </c>
      <c r="E73" s="4">
        <f>(VLOOKUP('19.02'!M73,'19.02'!$AO$4:$AR$55,4,FALSE))</f>
        <v>0</v>
      </c>
      <c r="F73" s="4">
        <f>(VLOOKUP('19.02'!N73,'19.02'!$AO$4:$AR$55,4,FALSE))</f>
        <v>0</v>
      </c>
      <c r="G73" s="4">
        <f>(VLOOKUP('19.02'!O73,'19.02'!$AO$4:$AR$55,4,FALSE))</f>
        <v>0</v>
      </c>
      <c r="H73" s="4">
        <f>(VLOOKUP('19.02'!P73,'19.02'!$AO$4:$AR$55,4,FALSE))</f>
        <v>0</v>
      </c>
      <c r="I73" s="4">
        <f>(VLOOKUP('19.02'!Q73,'19.02'!$AO$4:$AR$55,4,FALSE))</f>
        <v>0</v>
      </c>
      <c r="J73" s="4">
        <f>(VLOOKUP('19.02'!R73,'19.02'!$AO$4:$AR$55,4,FALSE))</f>
        <v>0</v>
      </c>
      <c r="K73" s="4">
        <f>(VLOOKUP('19.02'!S73,'19.02'!$AO$4:$AR$55,4,FALSE))</f>
        <v>0</v>
      </c>
      <c r="L73" s="4">
        <f>(VLOOKUP('19.02'!T73,'19.02'!$AO$4:$AR$55,4,FALSE))</f>
        <v>0</v>
      </c>
      <c r="M73" s="4">
        <f>(VLOOKUP('19.02'!U73,'19.02'!$AO$4:$AR$55,4,FALSE))</f>
        <v>0</v>
      </c>
      <c r="N73" s="4">
        <f>(VLOOKUP('19.02'!V73,'19.02'!$AO$4:$AR$55,4,FALSE))</f>
        <v>0</v>
      </c>
      <c r="O73" s="4">
        <f>(VLOOKUP('19.02'!W73,'19.02'!$AO$4:$AR$55,4,FALSE))</f>
        <v>0</v>
      </c>
      <c r="P73" s="4">
        <f>(VLOOKUP('19.02'!X73,'19.02'!$AO$4:$AR$55,4,FALSE))</f>
        <v>0</v>
      </c>
      <c r="Q73" s="4">
        <f>(VLOOKUP('19.02'!Y73,'19.02'!$AO$4:$AR$55,4,FALSE))</f>
        <v>0</v>
      </c>
      <c r="R73" s="4">
        <f>(VLOOKUP('19.02'!Z73,'19.02'!$AO$4:$AR$55,4,FALSE))</f>
        <v>0</v>
      </c>
      <c r="S73" s="4">
        <f>(VLOOKUP('19.02'!AA73,'19.02'!$AO$4:$AR$55,4,FALSE))</f>
        <v>0</v>
      </c>
      <c r="T73" s="4">
        <f>(VLOOKUP('19.02'!AB73,'19.02'!$AO$4:$AR$55,4,FALSE))</f>
        <v>0</v>
      </c>
      <c r="U73" s="4">
        <f>(VLOOKUP('19.02'!AC73,'19.02'!$AO$4:$AR$55,4,FALSE))</f>
        <v>0</v>
      </c>
      <c r="V73" s="4">
        <f>(VLOOKUP('19.02'!AD73,'19.02'!$AO$4:$AR$55,4,FALSE))</f>
        <v>0</v>
      </c>
      <c r="W73" s="4">
        <f>(VLOOKUP('19.02'!AE73,'19.02'!$AO$4:$AR$55,4,FALSE))</f>
        <v>0</v>
      </c>
      <c r="X73" s="4">
        <f>(VLOOKUP('19.02'!AF73,'19.02'!$AO$4:$AR$55,4,FALSE))</f>
        <v>0</v>
      </c>
    </row>
    <row r="74" spans="1:24">
      <c r="A74" s="4">
        <f>(VLOOKUP('19.02'!I74,'19.02'!$AO$4:$AR$55,4,FALSE))</f>
        <v>0</v>
      </c>
      <c r="B74" s="4">
        <f>(VLOOKUP('19.02'!J74,'19.02'!$AO$4:$AR$55,4,FALSE))</f>
        <v>0</v>
      </c>
      <c r="C74" s="4">
        <f>(VLOOKUP('19.02'!K74,'19.02'!$AO$4:$AR$55,4,FALSE))</f>
        <v>0</v>
      </c>
      <c r="D74" s="4">
        <f>(VLOOKUP('19.02'!L74,'19.02'!$AO$4:$AR$55,4,FALSE))</f>
        <v>0</v>
      </c>
      <c r="E74" s="4">
        <f>(VLOOKUP('19.02'!M74,'19.02'!$AO$4:$AR$55,4,FALSE))</f>
        <v>0</v>
      </c>
      <c r="F74" s="4">
        <f>(VLOOKUP('19.02'!N74,'19.02'!$AO$4:$AR$55,4,FALSE))</f>
        <v>0</v>
      </c>
      <c r="G74" s="4">
        <f>(VLOOKUP('19.02'!O74,'19.02'!$AO$4:$AR$55,4,FALSE))</f>
        <v>0</v>
      </c>
      <c r="H74" s="4">
        <f>(VLOOKUP('19.02'!P74,'19.02'!$AO$4:$AR$55,4,FALSE))</f>
        <v>0</v>
      </c>
      <c r="I74" s="4">
        <f>(VLOOKUP('19.02'!Q74,'19.02'!$AO$4:$AR$55,4,FALSE))</f>
        <v>0</v>
      </c>
      <c r="J74" s="4">
        <f>(VLOOKUP('19.02'!R74,'19.02'!$AO$4:$AR$55,4,FALSE))</f>
        <v>0</v>
      </c>
      <c r="K74" s="4">
        <f>(VLOOKUP('19.02'!S74,'19.02'!$AO$4:$AR$55,4,FALSE))</f>
        <v>0</v>
      </c>
      <c r="L74" s="4">
        <f>(VLOOKUP('19.02'!T74,'19.02'!$AO$4:$AR$55,4,FALSE))</f>
        <v>0</v>
      </c>
      <c r="M74" s="4">
        <f>(VLOOKUP('19.02'!U74,'19.02'!$AO$4:$AR$55,4,FALSE))</f>
        <v>0</v>
      </c>
      <c r="N74" s="4">
        <f>(VLOOKUP('19.02'!V74,'19.02'!$AO$4:$AR$55,4,FALSE))</f>
        <v>0</v>
      </c>
      <c r="O74" s="4">
        <f>(VLOOKUP('19.02'!W74,'19.02'!$AO$4:$AR$55,4,FALSE))</f>
        <v>0</v>
      </c>
      <c r="P74" s="4">
        <f>(VLOOKUP('19.02'!X74,'19.02'!$AO$4:$AR$55,4,FALSE))</f>
        <v>0</v>
      </c>
      <c r="Q74" s="4">
        <f>(VLOOKUP('19.02'!Y74,'19.02'!$AO$4:$AR$55,4,FALSE))</f>
        <v>0</v>
      </c>
      <c r="R74" s="4">
        <f>(VLOOKUP('19.02'!Z74,'19.02'!$AO$4:$AR$55,4,FALSE))</f>
        <v>0</v>
      </c>
      <c r="S74" s="4">
        <f>(VLOOKUP('19.02'!AA74,'19.02'!$AO$4:$AR$55,4,FALSE))</f>
        <v>0</v>
      </c>
      <c r="T74" s="4">
        <f>(VLOOKUP('19.02'!AB74,'19.02'!$AO$4:$AR$55,4,FALSE))</f>
        <v>0</v>
      </c>
      <c r="U74" s="4">
        <f>(VLOOKUP('19.02'!AC74,'19.02'!$AO$4:$AR$55,4,FALSE))</f>
        <v>0</v>
      </c>
      <c r="V74" s="4">
        <f>(VLOOKUP('19.02'!AD74,'19.02'!$AO$4:$AR$55,4,FALSE))</f>
        <v>0</v>
      </c>
      <c r="W74" s="4">
        <f>(VLOOKUP('19.02'!AE74,'19.02'!$AO$4:$AR$55,4,FALSE))</f>
        <v>0</v>
      </c>
      <c r="X74" s="4">
        <f>(VLOOKUP('19.02'!AF74,'19.02'!$AO$4:$AR$55,4,FALSE))</f>
        <v>0</v>
      </c>
    </row>
    <row r="75" spans="1:24">
      <c r="A75" s="4">
        <f>(VLOOKUP('19.02'!I75,'19.02'!$AO$4:$AR$55,4,FALSE))</f>
        <v>0</v>
      </c>
      <c r="B75" s="4">
        <f>(VLOOKUP('19.02'!J75,'19.02'!$AO$4:$AR$55,4,FALSE))</f>
        <v>0</v>
      </c>
      <c r="C75" s="4">
        <f>(VLOOKUP('19.02'!K75,'19.02'!$AO$4:$AR$55,4,FALSE))</f>
        <v>0</v>
      </c>
      <c r="D75" s="4">
        <f>(VLOOKUP('19.02'!L75,'19.02'!$AO$4:$AR$55,4,FALSE))</f>
        <v>0</v>
      </c>
      <c r="E75" s="4">
        <f>(VLOOKUP('19.02'!M75,'19.02'!$AO$4:$AR$55,4,FALSE))</f>
        <v>0</v>
      </c>
      <c r="F75" s="4">
        <f>(VLOOKUP('19.02'!N75,'19.02'!$AO$4:$AR$55,4,FALSE))</f>
        <v>0</v>
      </c>
      <c r="G75" s="4">
        <f>(VLOOKUP('19.02'!O75,'19.02'!$AO$4:$AR$55,4,FALSE))</f>
        <v>0</v>
      </c>
      <c r="H75" s="4">
        <f>(VLOOKUP('19.02'!P75,'19.02'!$AO$4:$AR$55,4,FALSE))</f>
        <v>0</v>
      </c>
      <c r="I75" s="4">
        <f>(VLOOKUP('19.02'!Q75,'19.02'!$AO$4:$AR$55,4,FALSE))</f>
        <v>0</v>
      </c>
      <c r="J75" s="4">
        <f>(VLOOKUP('19.02'!R75,'19.02'!$AO$4:$AR$55,4,FALSE))</f>
        <v>0</v>
      </c>
      <c r="K75" s="4">
        <f>(VLOOKUP('19.02'!S75,'19.02'!$AO$4:$AR$55,4,FALSE))</f>
        <v>0</v>
      </c>
      <c r="L75" s="4">
        <f>(VLOOKUP('19.02'!T75,'19.02'!$AO$4:$AR$55,4,FALSE))</f>
        <v>0</v>
      </c>
      <c r="M75" s="4">
        <f>(VLOOKUP('19.02'!U75,'19.02'!$AO$4:$AR$55,4,FALSE))</f>
        <v>0</v>
      </c>
      <c r="N75" s="4">
        <f>(VLOOKUP('19.02'!V75,'19.02'!$AO$4:$AR$55,4,FALSE))</f>
        <v>0</v>
      </c>
      <c r="O75" s="4">
        <f>(VLOOKUP('19.02'!W75,'19.02'!$AO$4:$AR$55,4,FALSE))</f>
        <v>0</v>
      </c>
      <c r="P75" s="4">
        <f>(VLOOKUP('19.02'!X75,'19.02'!$AO$4:$AR$55,4,FALSE))</f>
        <v>0</v>
      </c>
      <c r="Q75" s="4">
        <f>(VLOOKUP('19.02'!Y75,'19.02'!$AO$4:$AR$55,4,FALSE))</f>
        <v>0</v>
      </c>
      <c r="R75" s="4">
        <f>(VLOOKUP('19.02'!Z75,'19.02'!$AO$4:$AR$55,4,FALSE))</f>
        <v>0</v>
      </c>
      <c r="S75" s="4">
        <f>(VLOOKUP('19.02'!AA75,'19.02'!$AO$4:$AR$55,4,FALSE))</f>
        <v>0</v>
      </c>
      <c r="T75" s="4">
        <f>(VLOOKUP('19.02'!AB75,'19.02'!$AO$4:$AR$55,4,FALSE))</f>
        <v>0</v>
      </c>
      <c r="U75" s="4">
        <f>(VLOOKUP('19.02'!AC75,'19.02'!$AO$4:$AR$55,4,FALSE))</f>
        <v>0</v>
      </c>
      <c r="V75" s="4">
        <f>(VLOOKUP('19.02'!AD75,'19.02'!$AO$4:$AR$55,4,FALSE))</f>
        <v>0</v>
      </c>
      <c r="W75" s="4">
        <f>(VLOOKUP('19.02'!AE75,'19.02'!$AO$4:$AR$55,4,FALSE))</f>
        <v>0</v>
      </c>
      <c r="X75" s="4">
        <f>(VLOOKUP('19.02'!AF75,'19.02'!$AO$4:$AR$55,4,FALSE))</f>
        <v>0</v>
      </c>
    </row>
    <row r="76" spans="1:24">
      <c r="A76" s="4">
        <f>(VLOOKUP('19.02'!I76,'19.02'!$AO$4:$AR$55,4,FALSE))</f>
        <v>0</v>
      </c>
      <c r="B76" s="4">
        <f>(VLOOKUP('19.02'!J76,'19.02'!$AO$4:$AR$55,4,FALSE))</f>
        <v>0</v>
      </c>
      <c r="C76" s="4">
        <f>(VLOOKUP('19.02'!K76,'19.02'!$AO$4:$AR$55,4,FALSE))</f>
        <v>0</v>
      </c>
      <c r="D76" s="4">
        <f>(VLOOKUP('19.02'!L76,'19.02'!$AO$4:$AR$55,4,FALSE))</f>
        <v>0</v>
      </c>
      <c r="E76" s="4">
        <f>(VLOOKUP('19.02'!M76,'19.02'!$AO$4:$AR$55,4,FALSE))</f>
        <v>0</v>
      </c>
      <c r="F76" s="4">
        <f>(VLOOKUP('19.02'!N76,'19.02'!$AO$4:$AR$55,4,FALSE))</f>
        <v>0</v>
      </c>
      <c r="G76" s="4">
        <f>(VLOOKUP('19.02'!O76,'19.02'!$AO$4:$AR$55,4,FALSE))</f>
        <v>0</v>
      </c>
      <c r="H76" s="4">
        <f>(VLOOKUP('19.02'!P76,'19.02'!$AO$4:$AR$55,4,FALSE))</f>
        <v>0</v>
      </c>
      <c r="I76" s="4">
        <f>(VLOOKUP('19.02'!Q76,'19.02'!$AO$4:$AR$55,4,FALSE))</f>
        <v>0</v>
      </c>
      <c r="J76" s="4">
        <f>(VLOOKUP('19.02'!R76,'19.02'!$AO$4:$AR$55,4,FALSE))</f>
        <v>0</v>
      </c>
      <c r="K76" s="4">
        <f>(VLOOKUP('19.02'!S76,'19.02'!$AO$4:$AR$55,4,FALSE))</f>
        <v>0</v>
      </c>
      <c r="L76" s="4">
        <f>(VLOOKUP('19.02'!T76,'19.02'!$AO$4:$AR$55,4,FALSE))</f>
        <v>0</v>
      </c>
      <c r="M76" s="4">
        <f>(VLOOKUP('19.02'!U76,'19.02'!$AO$4:$AR$55,4,FALSE))</f>
        <v>0</v>
      </c>
      <c r="N76" s="4">
        <f>(VLOOKUP('19.02'!V76,'19.02'!$AO$4:$AR$55,4,FALSE))</f>
        <v>0</v>
      </c>
      <c r="O76" s="4">
        <f>(VLOOKUP('19.02'!W76,'19.02'!$AO$4:$AR$55,4,FALSE))</f>
        <v>0</v>
      </c>
      <c r="P76" s="4">
        <f>(VLOOKUP('19.02'!X76,'19.02'!$AO$4:$AR$55,4,FALSE))</f>
        <v>0</v>
      </c>
      <c r="Q76" s="4">
        <f>(VLOOKUP('19.02'!Y76,'19.02'!$AO$4:$AR$55,4,FALSE))</f>
        <v>0</v>
      </c>
      <c r="R76" s="4">
        <f>(VLOOKUP('19.02'!Z76,'19.02'!$AO$4:$AR$55,4,FALSE))</f>
        <v>0</v>
      </c>
      <c r="S76" s="4">
        <f>(VLOOKUP('19.02'!AA76,'19.02'!$AO$4:$AR$55,4,FALSE))</f>
        <v>0</v>
      </c>
      <c r="T76" s="4">
        <f>(VLOOKUP('19.02'!AB76,'19.02'!$AO$4:$AR$55,4,FALSE))</f>
        <v>0</v>
      </c>
      <c r="U76" s="4">
        <f>(VLOOKUP('19.02'!AC76,'19.02'!$AO$4:$AR$55,4,FALSE))</f>
        <v>0</v>
      </c>
      <c r="V76" s="4">
        <f>(VLOOKUP('19.02'!AD76,'19.02'!$AO$4:$AR$55,4,FALSE))</f>
        <v>0</v>
      </c>
      <c r="W76" s="4">
        <f>(VLOOKUP('19.02'!AE76,'19.02'!$AO$4:$AR$55,4,FALSE))</f>
        <v>0</v>
      </c>
      <c r="X76" s="4">
        <f>(VLOOKUP('19.02'!AF76,'19.02'!$AO$4:$AR$55,4,FALSE))</f>
        <v>0</v>
      </c>
    </row>
    <row r="77" spans="1:24">
      <c r="A77" s="4">
        <f>(VLOOKUP('19.02'!I77,'19.02'!$AO$4:$AR$55,4,FALSE))</f>
        <v>0</v>
      </c>
      <c r="B77" s="4">
        <f>(VLOOKUP('19.02'!J77,'19.02'!$AO$4:$AR$55,4,FALSE))</f>
        <v>0</v>
      </c>
      <c r="C77" s="4">
        <f>(VLOOKUP('19.02'!K77,'19.02'!$AO$4:$AR$55,4,FALSE))</f>
        <v>0</v>
      </c>
      <c r="D77" s="4">
        <f>(VLOOKUP('19.02'!L77,'19.02'!$AO$4:$AR$55,4,FALSE))</f>
        <v>0</v>
      </c>
      <c r="E77" s="4">
        <f>(VLOOKUP('19.02'!M77,'19.02'!$AO$4:$AR$55,4,FALSE))</f>
        <v>0</v>
      </c>
      <c r="F77" s="4">
        <f>(VLOOKUP('19.02'!N77,'19.02'!$AO$4:$AR$55,4,FALSE))</f>
        <v>0</v>
      </c>
      <c r="G77" s="4">
        <f>(VLOOKUP('19.02'!O77,'19.02'!$AO$4:$AR$55,4,FALSE))</f>
        <v>0</v>
      </c>
      <c r="H77" s="4">
        <f>(VLOOKUP('19.02'!P77,'19.02'!$AO$4:$AR$55,4,FALSE))</f>
        <v>0</v>
      </c>
      <c r="I77" s="4">
        <f>(VLOOKUP('19.02'!Q77,'19.02'!$AO$4:$AR$55,4,FALSE))</f>
        <v>0</v>
      </c>
      <c r="J77" s="4">
        <f>(VLOOKUP('19.02'!R77,'19.02'!$AO$4:$AR$55,4,FALSE))</f>
        <v>0</v>
      </c>
      <c r="K77" s="4">
        <f>(VLOOKUP('19.02'!S77,'19.02'!$AO$4:$AR$55,4,FALSE))</f>
        <v>0</v>
      </c>
      <c r="L77" s="4">
        <f>(VLOOKUP('19.02'!T77,'19.02'!$AO$4:$AR$55,4,FALSE))</f>
        <v>0</v>
      </c>
      <c r="M77" s="4">
        <f>(VLOOKUP('19.02'!U77,'19.02'!$AO$4:$AR$55,4,FALSE))</f>
        <v>0</v>
      </c>
      <c r="N77" s="4">
        <f>(VLOOKUP('19.02'!V77,'19.02'!$AO$4:$AR$55,4,FALSE))</f>
        <v>0</v>
      </c>
      <c r="O77" s="4">
        <f>(VLOOKUP('19.02'!W77,'19.02'!$AO$4:$AR$55,4,FALSE))</f>
        <v>0</v>
      </c>
      <c r="P77" s="4">
        <f>(VLOOKUP('19.02'!X77,'19.02'!$AO$4:$AR$55,4,FALSE))</f>
        <v>0</v>
      </c>
      <c r="Q77" s="4">
        <f>(VLOOKUP('19.02'!Y77,'19.02'!$AO$4:$AR$55,4,FALSE))</f>
        <v>0</v>
      </c>
      <c r="R77" s="4">
        <f>(VLOOKUP('19.02'!Z77,'19.02'!$AO$4:$AR$55,4,FALSE))</f>
        <v>0</v>
      </c>
      <c r="S77" s="4">
        <f>(VLOOKUP('19.02'!AA77,'19.02'!$AO$4:$AR$55,4,FALSE))</f>
        <v>0</v>
      </c>
      <c r="T77" s="4">
        <f>(VLOOKUP('19.02'!AB77,'19.02'!$AO$4:$AR$55,4,FALSE))</f>
        <v>0</v>
      </c>
      <c r="U77" s="4">
        <f>(VLOOKUP('19.02'!AC77,'19.02'!$AO$4:$AR$55,4,FALSE))</f>
        <v>0</v>
      </c>
      <c r="V77" s="4">
        <f>(VLOOKUP('19.02'!AD77,'19.02'!$AO$4:$AR$55,4,FALSE))</f>
        <v>0</v>
      </c>
      <c r="W77" s="4">
        <f>(VLOOKUP('19.02'!AE77,'19.02'!$AO$4:$AR$55,4,FALSE))</f>
        <v>0</v>
      </c>
      <c r="X77" s="4">
        <f>(VLOOKUP('19.02'!AF77,'19.02'!$AO$4:$AR$55,4,FALSE))</f>
        <v>0</v>
      </c>
    </row>
    <row r="78" spans="1:24">
      <c r="A78" s="4">
        <f>(VLOOKUP('19.02'!I78,'19.02'!$AO$4:$AR$55,4,FALSE))</f>
        <v>0</v>
      </c>
      <c r="B78" s="4">
        <f>(VLOOKUP('19.02'!J78,'19.02'!$AO$4:$AR$55,4,FALSE))</f>
        <v>0</v>
      </c>
      <c r="C78" s="4">
        <f>(VLOOKUP('19.02'!K78,'19.02'!$AO$4:$AR$55,4,FALSE))</f>
        <v>0</v>
      </c>
      <c r="D78" s="4">
        <f>(VLOOKUP('19.02'!L78,'19.02'!$AO$4:$AR$55,4,FALSE))</f>
        <v>0</v>
      </c>
      <c r="E78" s="4">
        <f>(VLOOKUP('19.02'!M78,'19.02'!$AO$4:$AR$55,4,FALSE))</f>
        <v>0</v>
      </c>
      <c r="F78" s="4">
        <f>(VLOOKUP('19.02'!N78,'19.02'!$AO$4:$AR$55,4,FALSE))</f>
        <v>0</v>
      </c>
      <c r="G78" s="4">
        <f>(VLOOKUP('19.02'!O78,'19.02'!$AO$4:$AR$55,4,FALSE))</f>
        <v>0</v>
      </c>
      <c r="H78" s="4">
        <f>(VLOOKUP('19.02'!P78,'19.02'!$AO$4:$AR$55,4,FALSE))</f>
        <v>0</v>
      </c>
      <c r="I78" s="4">
        <f>(VLOOKUP('19.02'!Q78,'19.02'!$AO$4:$AR$55,4,FALSE))</f>
        <v>0</v>
      </c>
      <c r="J78" s="4">
        <f>(VLOOKUP('19.02'!R78,'19.02'!$AO$4:$AR$55,4,FALSE))</f>
        <v>0</v>
      </c>
      <c r="K78" s="4">
        <f>(VLOOKUP('19.02'!S78,'19.02'!$AO$4:$AR$55,4,FALSE))</f>
        <v>0</v>
      </c>
      <c r="L78" s="4">
        <f>(VLOOKUP('19.02'!T78,'19.02'!$AO$4:$AR$55,4,FALSE))</f>
        <v>0</v>
      </c>
      <c r="M78" s="4">
        <f>(VLOOKUP('19.02'!U78,'19.02'!$AO$4:$AR$55,4,FALSE))</f>
        <v>0</v>
      </c>
      <c r="N78" s="4">
        <f>(VLOOKUP('19.02'!V78,'19.02'!$AO$4:$AR$55,4,FALSE))</f>
        <v>0</v>
      </c>
      <c r="O78" s="4">
        <f>(VLOOKUP('19.02'!W78,'19.02'!$AO$4:$AR$55,4,FALSE))</f>
        <v>0</v>
      </c>
      <c r="P78" s="4">
        <f>(VLOOKUP('19.02'!X78,'19.02'!$AO$4:$AR$55,4,FALSE))</f>
        <v>0</v>
      </c>
      <c r="Q78" s="4">
        <f>(VLOOKUP('19.02'!Y78,'19.02'!$AO$4:$AR$55,4,FALSE))</f>
        <v>0</v>
      </c>
      <c r="R78" s="4">
        <f>(VLOOKUP('19.02'!Z78,'19.02'!$AO$4:$AR$55,4,FALSE))</f>
        <v>0</v>
      </c>
      <c r="S78" s="4">
        <f>(VLOOKUP('19.02'!AA78,'19.02'!$AO$4:$AR$55,4,FALSE))</f>
        <v>0</v>
      </c>
      <c r="T78" s="4">
        <f>(VLOOKUP('19.02'!AB78,'19.02'!$AO$4:$AR$55,4,FALSE))</f>
        <v>0</v>
      </c>
      <c r="U78" s="4">
        <f>(VLOOKUP('19.02'!AC78,'19.02'!$AO$4:$AR$55,4,FALSE))</f>
        <v>0</v>
      </c>
      <c r="V78" s="4">
        <f>(VLOOKUP('19.02'!AD78,'19.02'!$AO$4:$AR$55,4,FALSE))</f>
        <v>0</v>
      </c>
      <c r="W78" s="4">
        <f>(VLOOKUP('19.02'!AE78,'19.02'!$AO$4:$AR$55,4,FALSE))</f>
        <v>0</v>
      </c>
      <c r="X78" s="4">
        <f>(VLOOKUP('19.02'!AF78,'19.02'!$AO$4:$AR$55,4,FALSE))</f>
        <v>0</v>
      </c>
    </row>
    <row r="79" spans="1:24">
      <c r="A79" s="4">
        <f>(VLOOKUP('19.02'!I79,'19.02'!$AO$4:$AR$55,4,FALSE))</f>
        <v>0</v>
      </c>
      <c r="B79" s="4">
        <f>(VLOOKUP('19.02'!J79,'19.02'!$AO$4:$AR$55,4,FALSE))</f>
        <v>0</v>
      </c>
      <c r="C79" s="4">
        <f>(VLOOKUP('19.02'!K79,'19.02'!$AO$4:$AR$55,4,FALSE))</f>
        <v>0</v>
      </c>
      <c r="D79" s="4">
        <f>(VLOOKUP('19.02'!L79,'19.02'!$AO$4:$AR$55,4,FALSE))</f>
        <v>0</v>
      </c>
      <c r="E79" s="4">
        <f>(VLOOKUP('19.02'!M79,'19.02'!$AO$4:$AR$55,4,FALSE))</f>
        <v>0</v>
      </c>
      <c r="F79" s="4">
        <f>(VLOOKUP('19.02'!N79,'19.02'!$AO$4:$AR$55,4,FALSE))</f>
        <v>0</v>
      </c>
      <c r="G79" s="4">
        <f>(VLOOKUP('19.02'!O79,'19.02'!$AO$4:$AR$55,4,FALSE))</f>
        <v>0</v>
      </c>
      <c r="H79" s="4">
        <f>(VLOOKUP('19.02'!P79,'19.02'!$AO$4:$AR$55,4,FALSE))</f>
        <v>0</v>
      </c>
      <c r="I79" s="4">
        <f>(VLOOKUP('19.02'!Q79,'19.02'!$AO$4:$AR$55,4,FALSE))</f>
        <v>0</v>
      </c>
      <c r="J79" s="4">
        <f>(VLOOKUP('19.02'!R79,'19.02'!$AO$4:$AR$55,4,FALSE))</f>
        <v>0</v>
      </c>
      <c r="K79" s="4">
        <f>(VLOOKUP('19.02'!S79,'19.02'!$AO$4:$AR$55,4,FALSE))</f>
        <v>0</v>
      </c>
      <c r="L79" s="4">
        <f>(VLOOKUP('19.02'!T79,'19.02'!$AO$4:$AR$55,4,FALSE))</f>
        <v>0</v>
      </c>
      <c r="M79" s="4">
        <f>(VLOOKUP('19.02'!U79,'19.02'!$AO$4:$AR$55,4,FALSE))</f>
        <v>0</v>
      </c>
      <c r="N79" s="4">
        <f>(VLOOKUP('19.02'!V79,'19.02'!$AO$4:$AR$55,4,FALSE))</f>
        <v>0</v>
      </c>
      <c r="O79" s="4">
        <f>(VLOOKUP('19.02'!W79,'19.02'!$AO$4:$AR$55,4,FALSE))</f>
        <v>0</v>
      </c>
      <c r="P79" s="4">
        <f>(VLOOKUP('19.02'!X79,'19.02'!$AO$4:$AR$55,4,FALSE))</f>
        <v>0</v>
      </c>
      <c r="Q79" s="4">
        <f>(VLOOKUP('19.02'!Y79,'19.02'!$AO$4:$AR$55,4,FALSE))</f>
        <v>0</v>
      </c>
      <c r="R79" s="4">
        <f>(VLOOKUP('19.02'!Z79,'19.02'!$AO$4:$AR$55,4,FALSE))</f>
        <v>0</v>
      </c>
      <c r="S79" s="4">
        <f>(VLOOKUP('19.02'!AA79,'19.02'!$AO$4:$AR$55,4,FALSE))</f>
        <v>0</v>
      </c>
      <c r="T79" s="4">
        <f>(VLOOKUP('19.02'!AB79,'19.02'!$AO$4:$AR$55,4,FALSE))</f>
        <v>0</v>
      </c>
      <c r="U79" s="4">
        <f>(VLOOKUP('19.02'!AC79,'19.02'!$AO$4:$AR$55,4,FALSE))</f>
        <v>0</v>
      </c>
      <c r="V79" s="4">
        <f>(VLOOKUP('19.02'!AD79,'19.02'!$AO$4:$AR$55,4,FALSE))</f>
        <v>0</v>
      </c>
      <c r="W79" s="4">
        <f>(VLOOKUP('19.02'!AE79,'19.02'!$AO$4:$AR$55,4,FALSE))</f>
        <v>0</v>
      </c>
      <c r="X79" s="4">
        <f>(VLOOKUP('19.02'!AF79,'19.02'!$AO$4:$AR$55,4,FALSE))</f>
        <v>0</v>
      </c>
    </row>
    <row r="80" spans="1:24">
      <c r="A80" s="4">
        <f>(VLOOKUP('19.02'!I80,'19.02'!$AO$4:$AR$55,4,FALSE))</f>
        <v>0</v>
      </c>
      <c r="B80" s="4">
        <f>(VLOOKUP('19.02'!J80,'19.02'!$AO$4:$AR$55,4,FALSE))</f>
        <v>0</v>
      </c>
      <c r="C80" s="4">
        <f>(VLOOKUP('19.02'!K80,'19.02'!$AO$4:$AR$55,4,FALSE))</f>
        <v>0</v>
      </c>
      <c r="D80" s="4">
        <f>(VLOOKUP('19.02'!L80,'19.02'!$AO$4:$AR$55,4,FALSE))</f>
        <v>0</v>
      </c>
      <c r="E80" s="4">
        <f>(VLOOKUP('19.02'!M80,'19.02'!$AO$4:$AR$55,4,FALSE))</f>
        <v>0</v>
      </c>
      <c r="F80" s="4">
        <f>(VLOOKUP('19.02'!N80,'19.02'!$AO$4:$AR$55,4,FALSE))</f>
        <v>0</v>
      </c>
      <c r="G80" s="4">
        <f>(VLOOKUP('19.02'!O80,'19.02'!$AO$4:$AR$55,4,FALSE))</f>
        <v>0</v>
      </c>
      <c r="H80" s="4">
        <f>(VLOOKUP('19.02'!P80,'19.02'!$AO$4:$AR$55,4,FALSE))</f>
        <v>0</v>
      </c>
      <c r="I80" s="4">
        <f>(VLOOKUP('19.02'!Q80,'19.02'!$AO$4:$AR$55,4,FALSE))</f>
        <v>0</v>
      </c>
      <c r="J80" s="4">
        <f>(VLOOKUP('19.02'!R80,'19.02'!$AO$4:$AR$55,4,FALSE))</f>
        <v>0</v>
      </c>
      <c r="K80" s="4">
        <f>(VLOOKUP('19.02'!S80,'19.02'!$AO$4:$AR$55,4,FALSE))</f>
        <v>0</v>
      </c>
      <c r="L80" s="4">
        <f>(VLOOKUP('19.02'!T80,'19.02'!$AO$4:$AR$55,4,FALSE))</f>
        <v>0</v>
      </c>
      <c r="M80" s="4">
        <f>(VLOOKUP('19.02'!U80,'19.02'!$AO$4:$AR$55,4,FALSE))</f>
        <v>0</v>
      </c>
      <c r="N80" s="4">
        <f>(VLOOKUP('19.02'!V80,'19.02'!$AO$4:$AR$55,4,FALSE))</f>
        <v>0</v>
      </c>
      <c r="O80" s="4">
        <f>(VLOOKUP('19.02'!W80,'19.02'!$AO$4:$AR$55,4,FALSE))</f>
        <v>0</v>
      </c>
      <c r="P80" s="4">
        <f>(VLOOKUP('19.02'!X80,'19.02'!$AO$4:$AR$55,4,FALSE))</f>
        <v>0</v>
      </c>
      <c r="Q80" s="4">
        <f>(VLOOKUP('19.02'!Y80,'19.02'!$AO$4:$AR$55,4,FALSE))</f>
        <v>0</v>
      </c>
      <c r="R80" s="4">
        <f>(VLOOKUP('19.02'!Z80,'19.02'!$AO$4:$AR$55,4,FALSE))</f>
        <v>0</v>
      </c>
      <c r="S80" s="4">
        <f>(VLOOKUP('19.02'!AA80,'19.02'!$AO$4:$AR$55,4,FALSE))</f>
        <v>0</v>
      </c>
      <c r="T80" s="4">
        <f>(VLOOKUP('19.02'!AB80,'19.02'!$AO$4:$AR$55,4,FALSE))</f>
        <v>0</v>
      </c>
      <c r="U80" s="4">
        <f>(VLOOKUP('19.02'!AC80,'19.02'!$AO$4:$AR$55,4,FALSE))</f>
        <v>0</v>
      </c>
      <c r="V80" s="4">
        <f>(VLOOKUP('19.02'!AD80,'19.02'!$AO$4:$AR$55,4,FALSE))</f>
        <v>0</v>
      </c>
      <c r="W80" s="4">
        <f>(VLOOKUP('19.02'!AE80,'19.02'!$AO$4:$AR$55,4,FALSE))</f>
        <v>0</v>
      </c>
      <c r="X80" s="4">
        <f>(VLOOKUP('19.02'!AF80,'19.02'!$AO$4:$AR$55,4,FALSE))</f>
        <v>0</v>
      </c>
    </row>
    <row r="81" spans="1:24">
      <c r="A81" s="4">
        <f>(VLOOKUP('19.02'!I81,'19.02'!$AO$4:$AR$55,4,FALSE))</f>
        <v>0</v>
      </c>
      <c r="B81" s="4">
        <f>(VLOOKUP('19.02'!J81,'19.02'!$AO$4:$AR$55,4,FALSE))</f>
        <v>0</v>
      </c>
      <c r="C81" s="4">
        <f>(VLOOKUP('19.02'!K81,'19.02'!$AO$4:$AR$55,4,FALSE))</f>
        <v>0</v>
      </c>
      <c r="D81" s="4">
        <f>(VLOOKUP('19.02'!L81,'19.02'!$AO$4:$AR$55,4,FALSE))</f>
        <v>0</v>
      </c>
      <c r="E81" s="4">
        <f>(VLOOKUP('19.02'!M81,'19.02'!$AO$4:$AR$55,4,FALSE))</f>
        <v>0</v>
      </c>
      <c r="F81" s="4">
        <f>(VLOOKUP('19.02'!N81,'19.02'!$AO$4:$AR$55,4,FALSE))</f>
        <v>0</v>
      </c>
      <c r="G81" s="4">
        <f>(VLOOKUP('19.02'!O81,'19.02'!$AO$4:$AR$55,4,FALSE))</f>
        <v>0</v>
      </c>
      <c r="H81" s="4">
        <f>(VLOOKUP('19.02'!P81,'19.02'!$AO$4:$AR$55,4,FALSE))</f>
        <v>0</v>
      </c>
      <c r="I81" s="4">
        <f>(VLOOKUP('19.02'!Q81,'19.02'!$AO$4:$AR$55,4,FALSE))</f>
        <v>0</v>
      </c>
      <c r="J81" s="4">
        <f>(VLOOKUP('19.02'!R81,'19.02'!$AO$4:$AR$55,4,FALSE))</f>
        <v>0</v>
      </c>
      <c r="K81" s="4">
        <f>(VLOOKUP('19.02'!S81,'19.02'!$AO$4:$AR$55,4,FALSE))</f>
        <v>0</v>
      </c>
      <c r="L81" s="4">
        <f>(VLOOKUP('19.02'!T81,'19.02'!$AO$4:$AR$55,4,FALSE))</f>
        <v>0</v>
      </c>
      <c r="M81" s="4">
        <f>(VLOOKUP('19.02'!U81,'19.02'!$AO$4:$AR$55,4,FALSE))</f>
        <v>0</v>
      </c>
      <c r="N81" s="4">
        <f>(VLOOKUP('19.02'!V81,'19.02'!$AO$4:$AR$55,4,FALSE))</f>
        <v>0</v>
      </c>
      <c r="O81" s="4">
        <f>(VLOOKUP('19.02'!W81,'19.02'!$AO$4:$AR$55,4,FALSE))</f>
        <v>0</v>
      </c>
      <c r="P81" s="4">
        <f>(VLOOKUP('19.02'!X81,'19.02'!$AO$4:$AR$55,4,FALSE))</f>
        <v>0</v>
      </c>
      <c r="Q81" s="4">
        <f>(VLOOKUP('19.02'!Y81,'19.02'!$AO$4:$AR$55,4,FALSE))</f>
        <v>0</v>
      </c>
      <c r="R81" s="4">
        <f>(VLOOKUP('19.02'!Z81,'19.02'!$AO$4:$AR$55,4,FALSE))</f>
        <v>0</v>
      </c>
      <c r="S81" s="4">
        <f>(VLOOKUP('19.02'!AA81,'19.02'!$AO$4:$AR$55,4,FALSE))</f>
        <v>0</v>
      </c>
      <c r="T81" s="4">
        <f>(VLOOKUP('19.02'!AB81,'19.02'!$AO$4:$AR$55,4,FALSE))</f>
        <v>0</v>
      </c>
      <c r="U81" s="4">
        <f>(VLOOKUP('19.02'!AC81,'19.02'!$AO$4:$AR$55,4,FALSE))</f>
        <v>0</v>
      </c>
      <c r="V81" s="4">
        <f>(VLOOKUP('19.02'!AD81,'19.02'!$AO$4:$AR$55,4,FALSE))</f>
        <v>0</v>
      </c>
      <c r="W81" s="4">
        <f>(VLOOKUP('19.02'!AE81,'19.02'!$AO$4:$AR$55,4,FALSE))</f>
        <v>0</v>
      </c>
      <c r="X81" s="4">
        <f>(VLOOKUP('19.02'!AF81,'19.02'!$AO$4:$AR$55,4,FALSE))</f>
        <v>0</v>
      </c>
    </row>
    <row r="82" spans="1:24">
      <c r="A82" s="4">
        <f>(VLOOKUP('19.02'!I82,'19.02'!$AO$4:$AR$55,4,FALSE))</f>
        <v>0</v>
      </c>
      <c r="B82" s="4">
        <f>(VLOOKUP('19.02'!J82,'19.02'!$AO$4:$AR$55,4,FALSE))</f>
        <v>0</v>
      </c>
      <c r="C82" s="4">
        <f>(VLOOKUP('19.02'!K82,'19.02'!$AO$4:$AR$55,4,FALSE))</f>
        <v>0</v>
      </c>
      <c r="D82" s="4">
        <f>(VLOOKUP('19.02'!L82,'19.02'!$AO$4:$AR$55,4,FALSE))</f>
        <v>0</v>
      </c>
      <c r="E82" s="4">
        <f>(VLOOKUP('19.02'!M82,'19.02'!$AO$4:$AR$55,4,FALSE))</f>
        <v>0</v>
      </c>
      <c r="F82" s="4">
        <f>(VLOOKUP('19.02'!N82,'19.02'!$AO$4:$AR$55,4,FALSE))</f>
        <v>0</v>
      </c>
      <c r="G82" s="4">
        <f>(VLOOKUP('19.02'!O82,'19.02'!$AO$4:$AR$55,4,FALSE))</f>
        <v>0</v>
      </c>
      <c r="H82" s="4">
        <f>(VLOOKUP('19.02'!P82,'19.02'!$AO$4:$AR$55,4,FALSE))</f>
        <v>0</v>
      </c>
      <c r="I82" s="4">
        <f>(VLOOKUP('19.02'!Q82,'19.02'!$AO$4:$AR$55,4,FALSE))</f>
        <v>0</v>
      </c>
      <c r="J82" s="4">
        <f>(VLOOKUP('19.02'!R82,'19.02'!$AO$4:$AR$55,4,FALSE))</f>
        <v>0</v>
      </c>
      <c r="K82" s="4">
        <f>(VLOOKUP('19.02'!S82,'19.02'!$AO$4:$AR$55,4,FALSE))</f>
        <v>0</v>
      </c>
      <c r="L82" s="4">
        <f>(VLOOKUP('19.02'!T82,'19.02'!$AO$4:$AR$55,4,FALSE))</f>
        <v>0</v>
      </c>
      <c r="M82" s="4">
        <f>(VLOOKUP('19.02'!U82,'19.02'!$AO$4:$AR$55,4,FALSE))</f>
        <v>0</v>
      </c>
      <c r="N82" s="4">
        <f>(VLOOKUP('19.02'!V82,'19.02'!$AO$4:$AR$55,4,FALSE))</f>
        <v>0</v>
      </c>
      <c r="O82" s="4">
        <f>(VLOOKUP('19.02'!W82,'19.02'!$AO$4:$AR$55,4,FALSE))</f>
        <v>0</v>
      </c>
      <c r="P82" s="4">
        <f>(VLOOKUP('19.02'!X82,'19.02'!$AO$4:$AR$55,4,FALSE))</f>
        <v>0</v>
      </c>
      <c r="Q82" s="4">
        <f>(VLOOKUP('19.02'!Y82,'19.02'!$AO$4:$AR$55,4,FALSE))</f>
        <v>0</v>
      </c>
      <c r="R82" s="4">
        <f>(VLOOKUP('19.02'!Z82,'19.02'!$AO$4:$AR$55,4,FALSE))</f>
        <v>0</v>
      </c>
      <c r="S82" s="4">
        <f>(VLOOKUP('19.02'!AA82,'19.02'!$AO$4:$AR$55,4,FALSE))</f>
        <v>0</v>
      </c>
      <c r="T82" s="4">
        <f>(VLOOKUP('19.02'!AB82,'19.02'!$AO$4:$AR$55,4,FALSE))</f>
        <v>0</v>
      </c>
      <c r="U82" s="4">
        <f>(VLOOKUP('19.02'!AC82,'19.02'!$AO$4:$AR$55,4,FALSE))</f>
        <v>0</v>
      </c>
      <c r="V82" s="4">
        <f>(VLOOKUP('19.02'!AD82,'19.02'!$AO$4:$AR$55,4,FALSE))</f>
        <v>0</v>
      </c>
      <c r="W82" s="4">
        <f>(VLOOKUP('19.02'!AE82,'19.02'!$AO$4:$AR$55,4,FALSE))</f>
        <v>0</v>
      </c>
      <c r="X82" s="4">
        <f>(VLOOKUP('19.02'!AF82,'19.02'!$AO$4:$AR$55,4,FALSE))</f>
        <v>0</v>
      </c>
    </row>
    <row r="83" spans="1:24">
      <c r="A83" s="4">
        <f>(VLOOKUP('19.02'!I83,'19.02'!$AO$4:$AR$55,4,FALSE))</f>
        <v>0</v>
      </c>
      <c r="B83" s="4">
        <f>(VLOOKUP('19.02'!J83,'19.02'!$AO$4:$AR$55,4,FALSE))</f>
        <v>0</v>
      </c>
      <c r="C83" s="4">
        <f>(VLOOKUP('19.02'!K83,'19.02'!$AO$4:$AR$55,4,FALSE))</f>
        <v>0</v>
      </c>
      <c r="D83" s="4">
        <f>(VLOOKUP('19.02'!L83,'19.02'!$AO$4:$AR$55,4,FALSE))</f>
        <v>0</v>
      </c>
      <c r="E83" s="4">
        <f>(VLOOKUP('19.02'!M83,'19.02'!$AO$4:$AR$55,4,FALSE))</f>
        <v>0</v>
      </c>
      <c r="F83" s="4">
        <f>(VLOOKUP('19.02'!N83,'19.02'!$AO$4:$AR$55,4,FALSE))</f>
        <v>0</v>
      </c>
      <c r="G83" s="4">
        <f>(VLOOKUP('19.02'!O83,'19.02'!$AO$4:$AR$55,4,FALSE))</f>
        <v>0</v>
      </c>
      <c r="H83" s="4">
        <f>(VLOOKUP('19.02'!P83,'19.02'!$AO$4:$AR$55,4,FALSE))</f>
        <v>0</v>
      </c>
      <c r="I83" s="4">
        <f>(VLOOKUP('19.02'!Q83,'19.02'!$AO$4:$AR$55,4,FALSE))</f>
        <v>0</v>
      </c>
      <c r="J83" s="4">
        <f>(VLOOKUP('19.02'!R83,'19.02'!$AO$4:$AR$55,4,FALSE))</f>
        <v>0</v>
      </c>
      <c r="K83" s="4">
        <f>(VLOOKUP('19.02'!S83,'19.02'!$AO$4:$AR$55,4,FALSE))</f>
        <v>0</v>
      </c>
      <c r="L83" s="4">
        <f>(VLOOKUP('19.02'!T83,'19.02'!$AO$4:$AR$55,4,FALSE))</f>
        <v>0</v>
      </c>
      <c r="M83" s="4">
        <f>(VLOOKUP('19.02'!U83,'19.02'!$AO$4:$AR$55,4,FALSE))</f>
        <v>0</v>
      </c>
      <c r="N83" s="4">
        <f>(VLOOKUP('19.02'!V83,'19.02'!$AO$4:$AR$55,4,FALSE))</f>
        <v>0</v>
      </c>
      <c r="O83" s="4">
        <f>(VLOOKUP('19.02'!W83,'19.02'!$AO$4:$AR$55,4,FALSE))</f>
        <v>0</v>
      </c>
      <c r="P83" s="4">
        <f>(VLOOKUP('19.02'!X83,'19.02'!$AO$4:$AR$55,4,FALSE))</f>
        <v>0</v>
      </c>
      <c r="Q83" s="4">
        <f>(VLOOKUP('19.02'!Y83,'19.02'!$AO$4:$AR$55,4,FALSE))</f>
        <v>0</v>
      </c>
      <c r="R83" s="4">
        <f>(VLOOKUP('19.02'!Z83,'19.02'!$AO$4:$AR$55,4,FALSE))</f>
        <v>0</v>
      </c>
      <c r="S83" s="4">
        <f>(VLOOKUP('19.02'!AA83,'19.02'!$AO$4:$AR$55,4,FALSE))</f>
        <v>0</v>
      </c>
      <c r="T83" s="4">
        <f>(VLOOKUP('19.02'!AB83,'19.02'!$AO$4:$AR$55,4,FALSE))</f>
        <v>0</v>
      </c>
      <c r="U83" s="4">
        <f>(VLOOKUP('19.02'!AC83,'19.02'!$AO$4:$AR$55,4,FALSE))</f>
        <v>0</v>
      </c>
      <c r="V83" s="4">
        <f>(VLOOKUP('19.02'!AD83,'19.02'!$AO$4:$AR$55,4,FALSE))</f>
        <v>0</v>
      </c>
      <c r="W83" s="4">
        <f>(VLOOKUP('19.02'!AE83,'19.02'!$AO$4:$AR$55,4,FALSE))</f>
        <v>0</v>
      </c>
      <c r="X83" s="4">
        <f>(VLOOKUP('19.02'!AF83,'19.02'!$AO$4:$AR$55,4,FALSE))</f>
        <v>0</v>
      </c>
    </row>
    <row r="84" spans="1:24">
      <c r="A84" s="4">
        <f>(VLOOKUP('19.02'!I84,'19.02'!$AO$4:$AR$55,4,FALSE))</f>
        <v>0</v>
      </c>
      <c r="B84" s="4">
        <f>(VLOOKUP('19.02'!J84,'19.02'!$AO$4:$AR$55,4,FALSE))</f>
        <v>0</v>
      </c>
      <c r="C84" s="4">
        <f>(VLOOKUP('19.02'!K84,'19.02'!$AO$4:$AR$55,4,FALSE))</f>
        <v>0</v>
      </c>
      <c r="D84" s="4">
        <f>(VLOOKUP('19.02'!L84,'19.02'!$AO$4:$AR$55,4,FALSE))</f>
        <v>0</v>
      </c>
      <c r="E84" s="4">
        <f>(VLOOKUP('19.02'!M84,'19.02'!$AO$4:$AR$55,4,FALSE))</f>
        <v>0</v>
      </c>
      <c r="F84" s="4">
        <f>(VLOOKUP('19.02'!N84,'19.02'!$AO$4:$AR$55,4,FALSE))</f>
        <v>0</v>
      </c>
      <c r="G84" s="4">
        <f>(VLOOKUP('19.02'!O84,'19.02'!$AO$4:$AR$55,4,FALSE))</f>
        <v>0</v>
      </c>
      <c r="H84" s="4">
        <f>(VLOOKUP('19.02'!P84,'19.02'!$AO$4:$AR$55,4,FALSE))</f>
        <v>0</v>
      </c>
      <c r="I84" s="4">
        <f>(VLOOKUP('19.02'!Q84,'19.02'!$AO$4:$AR$55,4,FALSE))</f>
        <v>0</v>
      </c>
      <c r="J84" s="4">
        <f>(VLOOKUP('19.02'!R84,'19.02'!$AO$4:$AR$55,4,FALSE))</f>
        <v>0</v>
      </c>
      <c r="K84" s="4">
        <f>(VLOOKUP('19.02'!S84,'19.02'!$AO$4:$AR$55,4,FALSE))</f>
        <v>0</v>
      </c>
      <c r="L84" s="4">
        <f>(VLOOKUP('19.02'!T84,'19.02'!$AO$4:$AR$55,4,FALSE))</f>
        <v>0</v>
      </c>
      <c r="M84" s="4">
        <f>(VLOOKUP('19.02'!U84,'19.02'!$AO$4:$AR$55,4,FALSE))</f>
        <v>0</v>
      </c>
      <c r="N84" s="4">
        <f>(VLOOKUP('19.02'!V84,'19.02'!$AO$4:$AR$55,4,FALSE))</f>
        <v>0</v>
      </c>
      <c r="O84" s="4">
        <f>(VLOOKUP('19.02'!W84,'19.02'!$AO$4:$AR$55,4,FALSE))</f>
        <v>0</v>
      </c>
      <c r="P84" s="4">
        <f>(VLOOKUP('19.02'!X84,'19.02'!$AO$4:$AR$55,4,FALSE))</f>
        <v>0</v>
      </c>
      <c r="Q84" s="4">
        <f>(VLOOKUP('19.02'!Y84,'19.02'!$AO$4:$AR$55,4,FALSE))</f>
        <v>0</v>
      </c>
      <c r="R84" s="4">
        <f>(VLOOKUP('19.02'!Z84,'19.02'!$AO$4:$AR$55,4,FALSE))</f>
        <v>0</v>
      </c>
      <c r="S84" s="4">
        <f>(VLOOKUP('19.02'!AA84,'19.02'!$AO$4:$AR$55,4,FALSE))</f>
        <v>0</v>
      </c>
      <c r="T84" s="4">
        <f>(VLOOKUP('19.02'!AB84,'19.02'!$AO$4:$AR$55,4,FALSE))</f>
        <v>0</v>
      </c>
      <c r="U84" s="4">
        <f>(VLOOKUP('19.02'!AC84,'19.02'!$AO$4:$AR$55,4,FALSE))</f>
        <v>0</v>
      </c>
      <c r="V84" s="4">
        <f>(VLOOKUP('19.02'!AD84,'19.02'!$AO$4:$AR$55,4,FALSE))</f>
        <v>0</v>
      </c>
      <c r="W84" s="4">
        <f>(VLOOKUP('19.02'!AE84,'19.02'!$AO$4:$AR$55,4,FALSE))</f>
        <v>0</v>
      </c>
      <c r="X84" s="4">
        <f>(VLOOKUP('19.02'!AF84,'19.02'!$AO$4:$AR$55,4,FALSE))</f>
        <v>0</v>
      </c>
    </row>
    <row r="85" spans="1:24">
      <c r="A85" s="4">
        <f>(VLOOKUP('19.02'!I85,'19.02'!$AO$4:$AR$55,4,FALSE))</f>
        <v>0</v>
      </c>
      <c r="B85" s="4">
        <f>(VLOOKUP('19.02'!J85,'19.02'!$AO$4:$AR$55,4,FALSE))</f>
        <v>0</v>
      </c>
      <c r="C85" s="4">
        <f>(VLOOKUP('19.02'!K85,'19.02'!$AO$4:$AR$55,4,FALSE))</f>
        <v>0</v>
      </c>
      <c r="D85" s="4">
        <f>(VLOOKUP('19.02'!L85,'19.02'!$AO$4:$AR$55,4,FALSE))</f>
        <v>0</v>
      </c>
      <c r="E85" s="4">
        <f>(VLOOKUP('19.02'!M85,'19.02'!$AO$4:$AR$55,4,FALSE))</f>
        <v>0</v>
      </c>
      <c r="F85" s="4">
        <f>(VLOOKUP('19.02'!N85,'19.02'!$AO$4:$AR$55,4,FALSE))</f>
        <v>0</v>
      </c>
      <c r="G85" s="4">
        <f>(VLOOKUP('19.02'!O85,'19.02'!$AO$4:$AR$55,4,FALSE))</f>
        <v>0</v>
      </c>
      <c r="H85" s="4">
        <f>(VLOOKUP('19.02'!P85,'19.02'!$AO$4:$AR$55,4,FALSE))</f>
        <v>0</v>
      </c>
      <c r="I85" s="4">
        <f>(VLOOKUP('19.02'!Q85,'19.02'!$AO$4:$AR$55,4,FALSE))</f>
        <v>0</v>
      </c>
      <c r="J85" s="4">
        <f>(VLOOKUP('19.02'!R85,'19.02'!$AO$4:$AR$55,4,FALSE))</f>
        <v>0</v>
      </c>
      <c r="K85" s="4">
        <f>(VLOOKUP('19.02'!S85,'19.02'!$AO$4:$AR$55,4,FALSE))</f>
        <v>0</v>
      </c>
      <c r="L85" s="4">
        <f>(VLOOKUP('19.02'!T85,'19.02'!$AO$4:$AR$55,4,FALSE))</f>
        <v>0</v>
      </c>
      <c r="M85" s="4">
        <f>(VLOOKUP('19.02'!U85,'19.02'!$AO$4:$AR$55,4,FALSE))</f>
        <v>0</v>
      </c>
      <c r="N85" s="4">
        <f>(VLOOKUP('19.02'!V85,'19.02'!$AO$4:$AR$55,4,FALSE))</f>
        <v>0</v>
      </c>
      <c r="O85" s="4">
        <f>(VLOOKUP('19.02'!W85,'19.02'!$AO$4:$AR$55,4,FALSE))</f>
        <v>0</v>
      </c>
      <c r="P85" s="4">
        <f>(VLOOKUP('19.02'!X85,'19.02'!$AO$4:$AR$55,4,FALSE))</f>
        <v>0</v>
      </c>
      <c r="Q85" s="4">
        <f>(VLOOKUP('19.02'!Y85,'19.02'!$AO$4:$AR$55,4,FALSE))</f>
        <v>0</v>
      </c>
      <c r="R85" s="4">
        <f>(VLOOKUP('19.02'!Z85,'19.02'!$AO$4:$AR$55,4,FALSE))</f>
        <v>0</v>
      </c>
      <c r="S85" s="4">
        <f>(VLOOKUP('19.02'!AA85,'19.02'!$AO$4:$AR$55,4,FALSE))</f>
        <v>0</v>
      </c>
      <c r="T85" s="4">
        <f>(VLOOKUP('19.02'!AB85,'19.02'!$AO$4:$AR$55,4,FALSE))</f>
        <v>0</v>
      </c>
      <c r="U85" s="4">
        <f>(VLOOKUP('19.02'!AC85,'19.02'!$AO$4:$AR$55,4,FALSE))</f>
        <v>0</v>
      </c>
      <c r="V85" s="4">
        <f>(VLOOKUP('19.02'!AD85,'19.02'!$AO$4:$AR$55,4,FALSE))</f>
        <v>0</v>
      </c>
      <c r="W85" s="4">
        <f>(VLOOKUP('19.02'!AE85,'19.02'!$AO$4:$AR$55,4,FALSE))</f>
        <v>0</v>
      </c>
      <c r="X85" s="4">
        <f>(VLOOKUP('19.02'!AF85,'19.02'!$AO$4:$AR$55,4,FALSE))</f>
        <v>0</v>
      </c>
    </row>
    <row r="86" spans="1:24">
      <c r="A86" s="4">
        <f>(VLOOKUP('19.02'!I86,'19.02'!$AO$4:$AR$55,4,FALSE))</f>
        <v>0</v>
      </c>
      <c r="B86" s="4">
        <f>(VLOOKUP('19.02'!J86,'19.02'!$AO$4:$AR$55,4,FALSE))</f>
        <v>0</v>
      </c>
      <c r="C86" s="4">
        <f>(VLOOKUP('19.02'!K86,'19.02'!$AO$4:$AR$55,4,FALSE))</f>
        <v>0</v>
      </c>
      <c r="D86" s="4">
        <f>(VLOOKUP('19.02'!L86,'19.02'!$AO$4:$AR$55,4,FALSE))</f>
        <v>0</v>
      </c>
      <c r="E86" s="4">
        <f>(VLOOKUP('19.02'!M86,'19.02'!$AO$4:$AR$55,4,FALSE))</f>
        <v>0</v>
      </c>
      <c r="F86" s="4">
        <f>(VLOOKUP('19.02'!N86,'19.02'!$AO$4:$AR$55,4,FALSE))</f>
        <v>0</v>
      </c>
      <c r="G86" s="4">
        <f>(VLOOKUP('19.02'!O86,'19.02'!$AO$4:$AR$55,4,FALSE))</f>
        <v>0</v>
      </c>
      <c r="H86" s="4">
        <f>(VLOOKUP('19.02'!P86,'19.02'!$AO$4:$AR$55,4,FALSE))</f>
        <v>0</v>
      </c>
      <c r="I86" s="4">
        <f>(VLOOKUP('19.02'!Q86,'19.02'!$AO$4:$AR$55,4,FALSE))</f>
        <v>0</v>
      </c>
      <c r="J86" s="4">
        <f>(VLOOKUP('19.02'!R86,'19.02'!$AO$4:$AR$55,4,FALSE))</f>
        <v>0</v>
      </c>
      <c r="K86" s="4">
        <f>(VLOOKUP('19.02'!S86,'19.02'!$AO$4:$AR$55,4,FALSE))</f>
        <v>0</v>
      </c>
      <c r="L86" s="4">
        <f>(VLOOKUP('19.02'!T86,'19.02'!$AO$4:$AR$55,4,FALSE))</f>
        <v>0</v>
      </c>
      <c r="M86" s="4">
        <f>(VLOOKUP('19.02'!U86,'19.02'!$AO$4:$AR$55,4,FALSE))</f>
        <v>0</v>
      </c>
      <c r="N86" s="4">
        <f>(VLOOKUP('19.02'!V86,'19.02'!$AO$4:$AR$55,4,FALSE))</f>
        <v>0</v>
      </c>
      <c r="O86" s="4">
        <f>(VLOOKUP('19.02'!W86,'19.02'!$AO$4:$AR$55,4,FALSE))</f>
        <v>0</v>
      </c>
      <c r="P86" s="4">
        <f>(VLOOKUP('19.02'!X86,'19.02'!$AO$4:$AR$55,4,FALSE))</f>
        <v>0</v>
      </c>
      <c r="Q86" s="4">
        <f>(VLOOKUP('19.02'!Y86,'19.02'!$AO$4:$AR$55,4,FALSE))</f>
        <v>0</v>
      </c>
      <c r="R86" s="4">
        <f>(VLOOKUP('19.02'!Z86,'19.02'!$AO$4:$AR$55,4,FALSE))</f>
        <v>0</v>
      </c>
      <c r="S86" s="4">
        <f>(VLOOKUP('19.02'!AA86,'19.02'!$AO$4:$AR$55,4,FALSE))</f>
        <v>0</v>
      </c>
      <c r="T86" s="4">
        <f>(VLOOKUP('19.02'!AB86,'19.02'!$AO$4:$AR$55,4,FALSE))</f>
        <v>0</v>
      </c>
      <c r="U86" s="4">
        <f>(VLOOKUP('19.02'!AC86,'19.02'!$AO$4:$AR$55,4,FALSE))</f>
        <v>0</v>
      </c>
      <c r="V86" s="4">
        <f>(VLOOKUP('19.02'!AD86,'19.02'!$AO$4:$AR$55,4,FALSE))</f>
        <v>0</v>
      </c>
      <c r="W86" s="4">
        <f>(VLOOKUP('19.02'!AE86,'19.02'!$AO$4:$AR$55,4,FALSE))</f>
        <v>0</v>
      </c>
      <c r="X86" s="4">
        <f>(VLOOKUP('19.02'!AF86,'19.02'!$AO$4:$AR$55,4,FALSE))</f>
        <v>0</v>
      </c>
    </row>
    <row r="87" spans="1:24">
      <c r="A87" s="4">
        <f>(VLOOKUP('19.02'!I87,'19.02'!$AO$4:$AR$55,4,FALSE))</f>
        <v>0</v>
      </c>
      <c r="B87" s="4">
        <f>(VLOOKUP('19.02'!J87,'19.02'!$AO$4:$AR$55,4,FALSE))</f>
        <v>0</v>
      </c>
      <c r="C87" s="4">
        <f>(VLOOKUP('19.02'!K87,'19.02'!$AO$4:$AR$55,4,FALSE))</f>
        <v>0</v>
      </c>
      <c r="D87" s="4">
        <f>(VLOOKUP('19.02'!L87,'19.02'!$AO$4:$AR$55,4,FALSE))</f>
        <v>0</v>
      </c>
      <c r="E87" s="4">
        <f>(VLOOKUP('19.02'!M87,'19.02'!$AO$4:$AR$55,4,FALSE))</f>
        <v>0</v>
      </c>
      <c r="F87" s="4">
        <f>(VLOOKUP('19.02'!N87,'19.02'!$AO$4:$AR$55,4,FALSE))</f>
        <v>0</v>
      </c>
      <c r="G87" s="4">
        <f>(VLOOKUP('19.02'!O87,'19.02'!$AO$4:$AR$55,4,FALSE))</f>
        <v>0</v>
      </c>
      <c r="H87" s="4">
        <f>(VLOOKUP('19.02'!P87,'19.02'!$AO$4:$AR$55,4,FALSE))</f>
        <v>0</v>
      </c>
      <c r="I87" s="4">
        <f>(VLOOKUP('19.02'!Q87,'19.02'!$AO$4:$AR$55,4,FALSE))</f>
        <v>0</v>
      </c>
      <c r="J87" s="4">
        <f>(VLOOKUP('19.02'!R87,'19.02'!$AO$4:$AR$55,4,FALSE))</f>
        <v>0</v>
      </c>
      <c r="K87" s="4">
        <f>(VLOOKUP('19.02'!S87,'19.02'!$AO$4:$AR$55,4,FALSE))</f>
        <v>0</v>
      </c>
      <c r="L87" s="4">
        <f>(VLOOKUP('19.02'!T87,'19.02'!$AO$4:$AR$55,4,FALSE))</f>
        <v>0</v>
      </c>
      <c r="M87" s="4">
        <f>(VLOOKUP('19.02'!U87,'19.02'!$AO$4:$AR$55,4,FALSE))</f>
        <v>0</v>
      </c>
      <c r="N87" s="4">
        <f>(VLOOKUP('19.02'!V87,'19.02'!$AO$4:$AR$55,4,FALSE))</f>
        <v>0</v>
      </c>
      <c r="O87" s="4">
        <f>(VLOOKUP('19.02'!W87,'19.02'!$AO$4:$AR$55,4,FALSE))</f>
        <v>0</v>
      </c>
      <c r="P87" s="4">
        <f>(VLOOKUP('19.02'!X87,'19.02'!$AO$4:$AR$55,4,FALSE))</f>
        <v>0</v>
      </c>
      <c r="Q87" s="4">
        <f>(VLOOKUP('19.02'!Y87,'19.02'!$AO$4:$AR$55,4,FALSE))</f>
        <v>0</v>
      </c>
      <c r="R87" s="4">
        <f>(VLOOKUP('19.02'!Z87,'19.02'!$AO$4:$AR$55,4,FALSE))</f>
        <v>0</v>
      </c>
      <c r="S87" s="4">
        <f>(VLOOKUP('19.02'!AA87,'19.02'!$AO$4:$AR$55,4,FALSE))</f>
        <v>0</v>
      </c>
      <c r="T87" s="4">
        <f>(VLOOKUP('19.02'!AB87,'19.02'!$AO$4:$AR$55,4,FALSE))</f>
        <v>0</v>
      </c>
      <c r="U87" s="4">
        <f>(VLOOKUP('19.02'!AC87,'19.02'!$AO$4:$AR$55,4,FALSE))</f>
        <v>0</v>
      </c>
      <c r="V87" s="4">
        <f>(VLOOKUP('19.02'!AD87,'19.02'!$AO$4:$AR$55,4,FALSE))</f>
        <v>0</v>
      </c>
      <c r="W87" s="4">
        <f>(VLOOKUP('19.02'!AE87,'19.02'!$AO$4:$AR$55,4,FALSE))</f>
        <v>0</v>
      </c>
      <c r="X87" s="4">
        <f>(VLOOKUP('19.02'!AF87,'19.02'!$AO$4:$AR$55,4,FALSE))</f>
        <v>0</v>
      </c>
    </row>
    <row r="88" spans="1:24">
      <c r="A88" s="4">
        <f>(VLOOKUP('19.02'!I88,'19.02'!$AO$4:$AR$55,4,FALSE))</f>
        <v>0</v>
      </c>
      <c r="B88" s="4">
        <f>(VLOOKUP('19.02'!J88,'19.02'!$AO$4:$AR$55,4,FALSE))</f>
        <v>0</v>
      </c>
      <c r="C88" s="4">
        <f>(VLOOKUP('19.02'!K88,'19.02'!$AO$4:$AR$55,4,FALSE))</f>
        <v>0</v>
      </c>
      <c r="D88" s="4">
        <f>(VLOOKUP('19.02'!L88,'19.02'!$AO$4:$AR$55,4,FALSE))</f>
        <v>0</v>
      </c>
      <c r="E88" s="4">
        <f>(VLOOKUP('19.02'!M88,'19.02'!$AO$4:$AR$55,4,FALSE))</f>
        <v>0</v>
      </c>
      <c r="F88" s="4">
        <f>(VLOOKUP('19.02'!N88,'19.02'!$AO$4:$AR$55,4,FALSE))</f>
        <v>0</v>
      </c>
      <c r="G88" s="4">
        <f>(VLOOKUP('19.02'!O88,'19.02'!$AO$4:$AR$55,4,FALSE))</f>
        <v>0</v>
      </c>
      <c r="H88" s="4">
        <f>(VLOOKUP('19.02'!P88,'19.02'!$AO$4:$AR$55,4,FALSE))</f>
        <v>0</v>
      </c>
      <c r="I88" s="4">
        <f>(VLOOKUP('19.02'!Q88,'19.02'!$AO$4:$AR$55,4,FALSE))</f>
        <v>0</v>
      </c>
      <c r="J88" s="4">
        <f>(VLOOKUP('19.02'!R88,'19.02'!$AO$4:$AR$55,4,FALSE))</f>
        <v>0</v>
      </c>
      <c r="K88" s="4">
        <f>(VLOOKUP('19.02'!S88,'19.02'!$AO$4:$AR$55,4,FALSE))</f>
        <v>0</v>
      </c>
      <c r="L88" s="4">
        <f>(VLOOKUP('19.02'!T88,'19.02'!$AO$4:$AR$55,4,FALSE))</f>
        <v>0</v>
      </c>
      <c r="M88" s="4">
        <f>(VLOOKUP('19.02'!U88,'19.02'!$AO$4:$AR$55,4,FALSE))</f>
        <v>0</v>
      </c>
      <c r="N88" s="4">
        <f>(VLOOKUP('19.02'!V88,'19.02'!$AO$4:$AR$55,4,FALSE))</f>
        <v>0</v>
      </c>
      <c r="O88" s="4">
        <f>(VLOOKUP('19.02'!W88,'19.02'!$AO$4:$AR$55,4,FALSE))</f>
        <v>0</v>
      </c>
      <c r="P88" s="4">
        <f>(VLOOKUP('19.02'!X88,'19.02'!$AO$4:$AR$55,4,FALSE))</f>
        <v>0</v>
      </c>
      <c r="Q88" s="4">
        <f>(VLOOKUP('19.02'!Y88,'19.02'!$AO$4:$AR$55,4,FALSE))</f>
        <v>0</v>
      </c>
      <c r="R88" s="4">
        <f>(VLOOKUP('19.02'!Z88,'19.02'!$AO$4:$AR$55,4,FALSE))</f>
        <v>0</v>
      </c>
      <c r="S88" s="4">
        <f>(VLOOKUP('19.02'!AA88,'19.02'!$AO$4:$AR$55,4,FALSE))</f>
        <v>0</v>
      </c>
      <c r="T88" s="4">
        <f>(VLOOKUP('19.02'!AB88,'19.02'!$AO$4:$AR$55,4,FALSE))</f>
        <v>0</v>
      </c>
      <c r="U88" s="4">
        <f>(VLOOKUP('19.02'!AC88,'19.02'!$AO$4:$AR$55,4,FALSE))</f>
        <v>0</v>
      </c>
      <c r="V88" s="4">
        <f>(VLOOKUP('19.02'!AD88,'19.02'!$AO$4:$AR$55,4,FALSE))</f>
        <v>0</v>
      </c>
      <c r="W88" s="4">
        <f>(VLOOKUP('19.02'!AE88,'19.02'!$AO$4:$AR$55,4,FALSE))</f>
        <v>0</v>
      </c>
      <c r="X88" s="4">
        <f>(VLOOKUP('19.02'!AF88,'19.02'!$AO$4:$AR$55,4,FALSE))</f>
        <v>0</v>
      </c>
    </row>
    <row r="89" spans="1:24">
      <c r="A89" s="4">
        <f>(VLOOKUP('19.02'!I89,'19.02'!$AO$4:$AR$55,4,FALSE))</f>
        <v>0</v>
      </c>
      <c r="B89" s="4">
        <f>(VLOOKUP('19.02'!J89,'19.02'!$AO$4:$AR$55,4,FALSE))</f>
        <v>0</v>
      </c>
      <c r="C89" s="4">
        <f>(VLOOKUP('19.02'!K89,'19.02'!$AO$4:$AR$55,4,FALSE))</f>
        <v>0</v>
      </c>
      <c r="D89" s="4">
        <f>(VLOOKUP('19.02'!L89,'19.02'!$AO$4:$AR$55,4,FALSE))</f>
        <v>0</v>
      </c>
      <c r="E89" s="4">
        <f>(VLOOKUP('19.02'!M89,'19.02'!$AO$4:$AR$55,4,FALSE))</f>
        <v>0</v>
      </c>
      <c r="F89" s="4">
        <f>(VLOOKUP('19.02'!N89,'19.02'!$AO$4:$AR$55,4,FALSE))</f>
        <v>0</v>
      </c>
      <c r="G89" s="4">
        <f>(VLOOKUP('19.02'!O89,'19.02'!$AO$4:$AR$55,4,FALSE))</f>
        <v>0</v>
      </c>
      <c r="H89" s="4">
        <f>(VLOOKUP('19.02'!P89,'19.02'!$AO$4:$AR$55,4,FALSE))</f>
        <v>0</v>
      </c>
      <c r="I89" s="4">
        <f>(VLOOKUP('19.02'!Q89,'19.02'!$AO$4:$AR$55,4,FALSE))</f>
        <v>0</v>
      </c>
      <c r="J89" s="4">
        <f>(VLOOKUP('19.02'!R89,'19.02'!$AO$4:$AR$55,4,FALSE))</f>
        <v>0</v>
      </c>
      <c r="K89" s="4">
        <f>(VLOOKUP('19.02'!S89,'19.02'!$AO$4:$AR$55,4,FALSE))</f>
        <v>0</v>
      </c>
      <c r="L89" s="4">
        <f>(VLOOKUP('19.02'!T89,'19.02'!$AO$4:$AR$55,4,FALSE))</f>
        <v>0</v>
      </c>
      <c r="M89" s="4">
        <f>(VLOOKUP('19.02'!U89,'19.02'!$AO$4:$AR$55,4,FALSE))</f>
        <v>0</v>
      </c>
      <c r="N89" s="4">
        <f>(VLOOKUP('19.02'!V89,'19.02'!$AO$4:$AR$55,4,FALSE))</f>
        <v>0</v>
      </c>
      <c r="O89" s="4">
        <f>(VLOOKUP('19.02'!W89,'19.02'!$AO$4:$AR$55,4,FALSE))</f>
        <v>0</v>
      </c>
      <c r="P89" s="4">
        <f>(VLOOKUP('19.02'!X89,'19.02'!$AO$4:$AR$55,4,FALSE))</f>
        <v>0</v>
      </c>
      <c r="Q89" s="4">
        <f>(VLOOKUP('19.02'!Y89,'19.02'!$AO$4:$AR$55,4,FALSE))</f>
        <v>0</v>
      </c>
      <c r="R89" s="4">
        <f>(VLOOKUP('19.02'!Z89,'19.02'!$AO$4:$AR$55,4,FALSE))</f>
        <v>0</v>
      </c>
      <c r="S89" s="4">
        <f>(VLOOKUP('19.02'!AA89,'19.02'!$AO$4:$AR$55,4,FALSE))</f>
        <v>0</v>
      </c>
      <c r="T89" s="4">
        <f>(VLOOKUP('19.02'!AB89,'19.02'!$AO$4:$AR$55,4,FALSE))</f>
        <v>0</v>
      </c>
      <c r="U89" s="4">
        <f>(VLOOKUP('19.02'!AC89,'19.02'!$AO$4:$AR$55,4,FALSE))</f>
        <v>0</v>
      </c>
      <c r="V89" s="4">
        <f>(VLOOKUP('19.02'!AD89,'19.02'!$AO$4:$AR$55,4,FALSE))</f>
        <v>0</v>
      </c>
      <c r="W89" s="4">
        <f>(VLOOKUP('19.02'!AE89,'19.02'!$AO$4:$AR$55,4,FALSE))</f>
        <v>0</v>
      </c>
      <c r="X89" s="4">
        <f>(VLOOKUP('19.02'!AF89,'19.02'!$AO$4:$AR$55,4,FALSE))</f>
        <v>0</v>
      </c>
    </row>
    <row r="90" spans="1:24">
      <c r="A90" s="4">
        <f>(VLOOKUP('19.02'!I90,'19.02'!$AO$4:$AR$55,4,FALSE))</f>
        <v>0</v>
      </c>
      <c r="B90" s="4">
        <f>(VLOOKUP('19.02'!J90,'19.02'!$AO$4:$AR$55,4,FALSE))</f>
        <v>0</v>
      </c>
      <c r="C90" s="4">
        <f>(VLOOKUP('19.02'!K90,'19.02'!$AO$4:$AR$55,4,FALSE))</f>
        <v>0</v>
      </c>
      <c r="D90" s="4">
        <f>(VLOOKUP('19.02'!L90,'19.02'!$AO$4:$AR$55,4,FALSE))</f>
        <v>0</v>
      </c>
      <c r="E90" s="4">
        <f>(VLOOKUP('19.02'!M90,'19.02'!$AO$4:$AR$55,4,FALSE))</f>
        <v>0</v>
      </c>
      <c r="F90" s="4">
        <f>(VLOOKUP('19.02'!N90,'19.02'!$AO$4:$AR$55,4,FALSE))</f>
        <v>0</v>
      </c>
      <c r="G90" s="4">
        <f>(VLOOKUP('19.02'!O90,'19.02'!$AO$4:$AR$55,4,FALSE))</f>
        <v>0</v>
      </c>
      <c r="H90" s="4">
        <f>(VLOOKUP('19.02'!P90,'19.02'!$AO$4:$AR$55,4,FALSE))</f>
        <v>0</v>
      </c>
      <c r="I90" s="4">
        <f>(VLOOKUP('19.02'!Q90,'19.02'!$AO$4:$AR$55,4,FALSE))</f>
        <v>0</v>
      </c>
      <c r="J90" s="4">
        <f>(VLOOKUP('19.02'!R90,'19.02'!$AO$4:$AR$55,4,FALSE))</f>
        <v>0</v>
      </c>
      <c r="K90" s="4">
        <f>(VLOOKUP('19.02'!S90,'19.02'!$AO$4:$AR$55,4,FALSE))</f>
        <v>0</v>
      </c>
      <c r="L90" s="4">
        <f>(VLOOKUP('19.02'!T90,'19.02'!$AO$4:$AR$55,4,FALSE))</f>
        <v>0</v>
      </c>
      <c r="M90" s="4">
        <f>(VLOOKUP('19.02'!U90,'19.02'!$AO$4:$AR$55,4,FALSE))</f>
        <v>0</v>
      </c>
      <c r="N90" s="4">
        <f>(VLOOKUP('19.02'!V90,'19.02'!$AO$4:$AR$55,4,FALSE))</f>
        <v>0</v>
      </c>
      <c r="O90" s="4">
        <f>(VLOOKUP('19.02'!W90,'19.02'!$AO$4:$AR$55,4,FALSE))</f>
        <v>0</v>
      </c>
      <c r="P90" s="4">
        <f>(VLOOKUP('19.02'!X90,'19.02'!$AO$4:$AR$55,4,FALSE))</f>
        <v>0</v>
      </c>
      <c r="Q90" s="4">
        <f>(VLOOKUP('19.02'!Y90,'19.02'!$AO$4:$AR$55,4,FALSE))</f>
        <v>0</v>
      </c>
      <c r="R90" s="4">
        <f>(VLOOKUP('19.02'!Z90,'19.02'!$AO$4:$AR$55,4,FALSE))</f>
        <v>0</v>
      </c>
      <c r="S90" s="4">
        <f>(VLOOKUP('19.02'!AA90,'19.02'!$AO$4:$AR$55,4,FALSE))</f>
        <v>0</v>
      </c>
      <c r="T90" s="4">
        <f>(VLOOKUP('19.02'!AB90,'19.02'!$AO$4:$AR$55,4,FALSE))</f>
        <v>0</v>
      </c>
      <c r="U90" s="4">
        <f>(VLOOKUP('19.02'!AC90,'19.02'!$AO$4:$AR$55,4,FALSE))</f>
        <v>0</v>
      </c>
      <c r="V90" s="4">
        <f>(VLOOKUP('19.02'!AD90,'19.02'!$AO$4:$AR$55,4,FALSE))</f>
        <v>0</v>
      </c>
      <c r="W90" s="4">
        <f>(VLOOKUP('19.02'!AE90,'19.02'!$AO$4:$AR$55,4,FALSE))</f>
        <v>0</v>
      </c>
      <c r="X90" s="4">
        <f>(VLOOKUP('19.02'!AF90,'19.02'!$AO$4:$AR$55,4,FALSE))</f>
        <v>0</v>
      </c>
    </row>
    <row r="91" spans="1:24">
      <c r="A91" s="4">
        <f>(VLOOKUP('19.02'!I91,'19.02'!$AO$4:$AR$55,4,FALSE))</f>
        <v>0</v>
      </c>
      <c r="B91" s="4">
        <f>(VLOOKUP('19.02'!J91,'19.02'!$AO$4:$AR$55,4,FALSE))</f>
        <v>0</v>
      </c>
      <c r="C91" s="4">
        <f>(VLOOKUP('19.02'!K91,'19.02'!$AO$4:$AR$55,4,FALSE))</f>
        <v>0</v>
      </c>
      <c r="D91" s="4">
        <f>(VLOOKUP('19.02'!L91,'19.02'!$AO$4:$AR$55,4,FALSE))</f>
        <v>0</v>
      </c>
      <c r="E91" s="4">
        <f>(VLOOKUP('19.02'!M91,'19.02'!$AO$4:$AR$55,4,FALSE))</f>
        <v>0</v>
      </c>
      <c r="F91" s="4">
        <f>(VLOOKUP('19.02'!N91,'19.02'!$AO$4:$AR$55,4,FALSE))</f>
        <v>0</v>
      </c>
      <c r="G91" s="4">
        <f>(VLOOKUP('19.02'!O91,'19.02'!$AO$4:$AR$55,4,FALSE))</f>
        <v>0</v>
      </c>
      <c r="H91" s="4">
        <f>(VLOOKUP('19.02'!P91,'19.02'!$AO$4:$AR$55,4,FALSE))</f>
        <v>0</v>
      </c>
      <c r="I91" s="4">
        <f>(VLOOKUP('19.02'!Q91,'19.02'!$AO$4:$AR$55,4,FALSE))</f>
        <v>0</v>
      </c>
      <c r="J91" s="4">
        <f>(VLOOKUP('19.02'!R91,'19.02'!$AO$4:$AR$55,4,FALSE))</f>
        <v>0</v>
      </c>
      <c r="K91" s="4">
        <f>(VLOOKUP('19.02'!S91,'19.02'!$AO$4:$AR$55,4,FALSE))</f>
        <v>0</v>
      </c>
      <c r="L91" s="4">
        <f>(VLOOKUP('19.02'!T91,'19.02'!$AO$4:$AR$55,4,FALSE))</f>
        <v>0</v>
      </c>
      <c r="M91" s="4">
        <f>(VLOOKUP('19.02'!U91,'19.02'!$AO$4:$AR$55,4,FALSE))</f>
        <v>0</v>
      </c>
      <c r="N91" s="4">
        <f>(VLOOKUP('19.02'!V91,'19.02'!$AO$4:$AR$55,4,FALSE))</f>
        <v>0</v>
      </c>
      <c r="O91" s="4">
        <f>(VLOOKUP('19.02'!W91,'19.02'!$AO$4:$AR$55,4,FALSE))</f>
        <v>0</v>
      </c>
      <c r="P91" s="4">
        <f>(VLOOKUP('19.02'!X91,'19.02'!$AO$4:$AR$55,4,FALSE))</f>
        <v>0</v>
      </c>
      <c r="Q91" s="4">
        <f>(VLOOKUP('19.02'!Y91,'19.02'!$AO$4:$AR$55,4,FALSE))</f>
        <v>0</v>
      </c>
      <c r="R91" s="4">
        <f>(VLOOKUP('19.02'!Z91,'19.02'!$AO$4:$AR$55,4,FALSE))</f>
        <v>0</v>
      </c>
      <c r="S91" s="4">
        <f>(VLOOKUP('19.02'!AA91,'19.02'!$AO$4:$AR$55,4,FALSE))</f>
        <v>0</v>
      </c>
      <c r="T91" s="4">
        <f>(VLOOKUP('19.02'!AB91,'19.02'!$AO$4:$AR$55,4,FALSE))</f>
        <v>0</v>
      </c>
      <c r="U91" s="4">
        <f>(VLOOKUP('19.02'!AC91,'19.02'!$AO$4:$AR$55,4,FALSE))</f>
        <v>0</v>
      </c>
      <c r="V91" s="4">
        <f>(VLOOKUP('19.02'!AD91,'19.02'!$AO$4:$AR$55,4,FALSE))</f>
        <v>0</v>
      </c>
      <c r="W91" s="4">
        <f>(VLOOKUP('19.02'!AE91,'19.02'!$AO$4:$AR$55,4,FALSE))</f>
        <v>0</v>
      </c>
      <c r="X91" s="4">
        <f>(VLOOKUP('19.02'!AF91,'19.02'!$AO$4:$AR$55,4,FALSE))</f>
        <v>0</v>
      </c>
    </row>
    <row r="92" spans="1:24">
      <c r="A92" s="4">
        <f>(VLOOKUP('19.02'!I92,'19.02'!$AO$4:$AR$55,4,FALSE))</f>
        <v>0</v>
      </c>
      <c r="B92" s="4">
        <f>(VLOOKUP('19.02'!J92,'19.02'!$AO$4:$AR$55,4,FALSE))</f>
        <v>0</v>
      </c>
      <c r="C92" s="4">
        <f>(VLOOKUP('19.02'!K92,'19.02'!$AO$4:$AR$55,4,FALSE))</f>
        <v>0</v>
      </c>
      <c r="D92" s="4">
        <f>(VLOOKUP('19.02'!L92,'19.02'!$AO$4:$AR$55,4,FALSE))</f>
        <v>0</v>
      </c>
      <c r="E92" s="4">
        <f>(VLOOKUP('19.02'!M92,'19.02'!$AO$4:$AR$55,4,FALSE))</f>
        <v>0</v>
      </c>
      <c r="F92" s="4">
        <f>(VLOOKUP('19.02'!N92,'19.02'!$AO$4:$AR$55,4,FALSE))</f>
        <v>0</v>
      </c>
      <c r="G92" s="4">
        <f>(VLOOKUP('19.02'!O92,'19.02'!$AO$4:$AR$55,4,FALSE))</f>
        <v>0</v>
      </c>
      <c r="H92" s="4">
        <f>(VLOOKUP('19.02'!P92,'19.02'!$AO$4:$AR$55,4,FALSE))</f>
        <v>0</v>
      </c>
      <c r="I92" s="4">
        <f>(VLOOKUP('19.02'!Q92,'19.02'!$AO$4:$AR$55,4,FALSE))</f>
        <v>0</v>
      </c>
      <c r="J92" s="4">
        <f>(VLOOKUP('19.02'!R92,'19.02'!$AO$4:$AR$55,4,FALSE))</f>
        <v>0</v>
      </c>
      <c r="K92" s="4">
        <f>(VLOOKUP('19.02'!S92,'19.02'!$AO$4:$AR$55,4,FALSE))</f>
        <v>0</v>
      </c>
      <c r="L92" s="4">
        <f>(VLOOKUP('19.02'!T92,'19.02'!$AO$4:$AR$55,4,FALSE))</f>
        <v>0</v>
      </c>
      <c r="M92" s="4">
        <f>(VLOOKUP('19.02'!U92,'19.02'!$AO$4:$AR$55,4,FALSE))</f>
        <v>0</v>
      </c>
      <c r="N92" s="4">
        <f>(VLOOKUP('19.02'!V92,'19.02'!$AO$4:$AR$55,4,FALSE))</f>
        <v>0</v>
      </c>
      <c r="O92" s="4">
        <f>(VLOOKUP('19.02'!W92,'19.02'!$AO$4:$AR$55,4,FALSE))</f>
        <v>0</v>
      </c>
      <c r="P92" s="4">
        <f>(VLOOKUP('19.02'!X92,'19.02'!$AO$4:$AR$55,4,FALSE))</f>
        <v>0</v>
      </c>
      <c r="Q92" s="4">
        <f>(VLOOKUP('19.02'!Y92,'19.02'!$AO$4:$AR$55,4,FALSE))</f>
        <v>0</v>
      </c>
      <c r="R92" s="4">
        <f>(VLOOKUP('19.02'!Z92,'19.02'!$AO$4:$AR$55,4,FALSE))</f>
        <v>0</v>
      </c>
      <c r="S92" s="4">
        <f>(VLOOKUP('19.02'!AA92,'19.02'!$AO$4:$AR$55,4,FALSE))</f>
        <v>0</v>
      </c>
      <c r="T92" s="4">
        <f>(VLOOKUP('19.02'!AB92,'19.02'!$AO$4:$AR$55,4,FALSE))</f>
        <v>0</v>
      </c>
      <c r="U92" s="4">
        <f>(VLOOKUP('19.02'!AC92,'19.02'!$AO$4:$AR$55,4,FALSE))</f>
        <v>0</v>
      </c>
      <c r="V92" s="4">
        <f>(VLOOKUP('19.02'!AD92,'19.02'!$AO$4:$AR$55,4,FALSE))</f>
        <v>0</v>
      </c>
      <c r="W92" s="4">
        <f>(VLOOKUP('19.02'!AE92,'19.02'!$AO$4:$AR$55,4,FALSE))</f>
        <v>0</v>
      </c>
      <c r="X92" s="4">
        <f>(VLOOKUP('19.02'!AF92,'19.02'!$AO$4:$AR$55,4,FALSE))</f>
        <v>0</v>
      </c>
    </row>
    <row r="93" spans="1:24">
      <c r="A93" s="4">
        <f>(VLOOKUP('19.02'!I93,'19.02'!$AO$4:$AR$55,4,FALSE))</f>
        <v>0</v>
      </c>
      <c r="B93" s="4">
        <f>(VLOOKUP('19.02'!J93,'19.02'!$AO$4:$AR$55,4,FALSE))</f>
        <v>0</v>
      </c>
      <c r="C93" s="4">
        <f>(VLOOKUP('19.02'!K93,'19.02'!$AO$4:$AR$55,4,FALSE))</f>
        <v>0</v>
      </c>
      <c r="D93" s="4">
        <f>(VLOOKUP('19.02'!L93,'19.02'!$AO$4:$AR$55,4,FALSE))</f>
        <v>0</v>
      </c>
      <c r="E93" s="4">
        <f>(VLOOKUP('19.02'!M93,'19.02'!$AO$4:$AR$55,4,FALSE))</f>
        <v>0</v>
      </c>
      <c r="F93" s="4">
        <f>(VLOOKUP('19.02'!N93,'19.02'!$AO$4:$AR$55,4,FALSE))</f>
        <v>0</v>
      </c>
      <c r="G93" s="4">
        <f>(VLOOKUP('19.02'!O93,'19.02'!$AO$4:$AR$55,4,FALSE))</f>
        <v>0</v>
      </c>
      <c r="H93" s="4">
        <f>(VLOOKUP('19.02'!P93,'19.02'!$AO$4:$AR$55,4,FALSE))</f>
        <v>0</v>
      </c>
      <c r="I93" s="4">
        <f>(VLOOKUP('19.02'!Q93,'19.02'!$AO$4:$AR$55,4,FALSE))</f>
        <v>0</v>
      </c>
      <c r="J93" s="4">
        <f>(VLOOKUP('19.02'!R93,'19.02'!$AO$4:$AR$55,4,FALSE))</f>
        <v>0</v>
      </c>
      <c r="K93" s="4">
        <f>(VLOOKUP('19.02'!S93,'19.02'!$AO$4:$AR$55,4,FALSE))</f>
        <v>0</v>
      </c>
      <c r="L93" s="4">
        <f>(VLOOKUP('19.02'!T93,'19.02'!$AO$4:$AR$55,4,FALSE))</f>
        <v>0</v>
      </c>
      <c r="M93" s="4">
        <f>(VLOOKUP('19.02'!U93,'19.02'!$AO$4:$AR$55,4,FALSE))</f>
        <v>0</v>
      </c>
      <c r="N93" s="4">
        <f>(VLOOKUP('19.02'!V93,'19.02'!$AO$4:$AR$55,4,FALSE))</f>
        <v>0</v>
      </c>
      <c r="O93" s="4">
        <f>(VLOOKUP('19.02'!W93,'19.02'!$AO$4:$AR$55,4,FALSE))</f>
        <v>0</v>
      </c>
      <c r="P93" s="4">
        <f>(VLOOKUP('19.02'!X93,'19.02'!$AO$4:$AR$55,4,FALSE))</f>
        <v>0</v>
      </c>
      <c r="Q93" s="4">
        <f>(VLOOKUP('19.02'!Y93,'19.02'!$AO$4:$AR$55,4,FALSE))</f>
        <v>0</v>
      </c>
      <c r="R93" s="4">
        <f>(VLOOKUP('19.02'!Z93,'19.02'!$AO$4:$AR$55,4,FALSE))</f>
        <v>0</v>
      </c>
      <c r="S93" s="4">
        <f>(VLOOKUP('19.02'!AA93,'19.02'!$AO$4:$AR$55,4,FALSE))</f>
        <v>0</v>
      </c>
      <c r="T93" s="4">
        <f>(VLOOKUP('19.02'!AB93,'19.02'!$AO$4:$AR$55,4,FALSE))</f>
        <v>0</v>
      </c>
      <c r="U93" s="4">
        <f>(VLOOKUP('19.02'!AC93,'19.02'!$AO$4:$AR$55,4,FALSE))</f>
        <v>0</v>
      </c>
      <c r="V93" s="4">
        <f>(VLOOKUP('19.02'!AD93,'19.02'!$AO$4:$AR$55,4,FALSE))</f>
        <v>0</v>
      </c>
      <c r="W93" s="4">
        <f>(VLOOKUP('19.02'!AE93,'19.02'!$AO$4:$AR$55,4,FALSE))</f>
        <v>0</v>
      </c>
      <c r="X93" s="4">
        <f>(VLOOKUP('19.02'!AF93,'19.02'!$AO$4:$AR$55,4,FALSE))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19.02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2025-03-14T14:58:16Z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