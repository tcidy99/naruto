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tility\naruto\远征S19\test\"/>
    </mc:Choice>
  </mc:AlternateContent>
  <xr:revisionPtr revIDLastSave="0" documentId="13_ncr:1_{9B33160F-08E0-4C2C-92D2-D6A616AA3489}" xr6:coauthVersionLast="47" xr6:coauthVersionMax="47" xr10:uidLastSave="{00000000-0000-0000-0000-000000000000}"/>
  <bookViews>
    <workbookView xWindow="28680" yWindow="-1050" windowWidth="29040" windowHeight="17520" xr2:uid="{00000000-000D-0000-FFFF-FFFF00000000}"/>
  </bookViews>
  <sheets>
    <sheet name="19.07" sheetId="12" r:id="rId1"/>
    <sheet name="粮草" sheetId="14" state="hidden" r:id="rId2"/>
    <sheet name="经验" sheetId="15" state="hidden" r:id="rId3"/>
    <sheet name="亏损" sheetId="17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93" i="17" l="1"/>
  <c r="W93" i="17"/>
  <c r="V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B93" i="17"/>
  <c r="A93" i="17"/>
  <c r="X92" i="17"/>
  <c r="W92" i="17"/>
  <c r="V92" i="17"/>
  <c r="U92" i="17"/>
  <c r="T92" i="17"/>
  <c r="S92" i="17"/>
  <c r="R92" i="17"/>
  <c r="Q92" i="17"/>
  <c r="P92" i="17"/>
  <c r="O92" i="17"/>
  <c r="N92" i="17"/>
  <c r="M92" i="17"/>
  <c r="L92" i="17"/>
  <c r="K92" i="17"/>
  <c r="J92" i="17"/>
  <c r="I92" i="17"/>
  <c r="H92" i="17"/>
  <c r="G92" i="17"/>
  <c r="F92" i="17"/>
  <c r="E92" i="17"/>
  <c r="D92" i="17"/>
  <c r="C92" i="17"/>
  <c r="B92" i="17"/>
  <c r="A92" i="17"/>
  <c r="X91" i="17"/>
  <c r="W91" i="17"/>
  <c r="V91" i="17"/>
  <c r="U91" i="17"/>
  <c r="T91" i="17"/>
  <c r="S91" i="17"/>
  <c r="R91" i="17"/>
  <c r="Q91" i="17"/>
  <c r="P91" i="17"/>
  <c r="O91" i="17"/>
  <c r="N91" i="17"/>
  <c r="M91" i="17"/>
  <c r="L91" i="17"/>
  <c r="K91" i="17"/>
  <c r="J91" i="17"/>
  <c r="I91" i="17"/>
  <c r="H91" i="17"/>
  <c r="G91" i="17"/>
  <c r="F91" i="17"/>
  <c r="E91" i="17"/>
  <c r="D91" i="17"/>
  <c r="C91" i="17"/>
  <c r="B91" i="17"/>
  <c r="A91" i="17"/>
  <c r="X90" i="17"/>
  <c r="W90" i="17"/>
  <c r="V90" i="17"/>
  <c r="U90" i="17"/>
  <c r="T90" i="17"/>
  <c r="S90" i="17"/>
  <c r="R90" i="17"/>
  <c r="Q90" i="17"/>
  <c r="P90" i="17"/>
  <c r="O90" i="17"/>
  <c r="N90" i="17"/>
  <c r="M90" i="17"/>
  <c r="L90" i="17"/>
  <c r="K90" i="17"/>
  <c r="J90" i="17"/>
  <c r="I90" i="17"/>
  <c r="H90" i="17"/>
  <c r="G90" i="17"/>
  <c r="F90" i="17"/>
  <c r="E90" i="17"/>
  <c r="D90" i="17"/>
  <c r="C90" i="17"/>
  <c r="B90" i="17"/>
  <c r="A90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B89" i="17"/>
  <c r="A89" i="17"/>
  <c r="X88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B88" i="17"/>
  <c r="A88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B87" i="17"/>
  <c r="A87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B86" i="17"/>
  <c r="A86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A85" i="17"/>
  <c r="X84" i="17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B84" i="17"/>
  <c r="A84" i="17"/>
  <c r="X83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B83" i="17"/>
  <c r="A83" i="17"/>
  <c r="X82" i="17"/>
  <c r="W82" i="17"/>
  <c r="V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B82" i="17"/>
  <c r="A82" i="17"/>
  <c r="X81" i="17"/>
  <c r="W81" i="17"/>
  <c r="V81" i="17"/>
  <c r="U81" i="17"/>
  <c r="T81" i="17"/>
  <c r="S81" i="17"/>
  <c r="R81" i="17"/>
  <c r="Q81" i="17"/>
  <c r="P81" i="17"/>
  <c r="O81" i="17"/>
  <c r="N81" i="17"/>
  <c r="M81" i="17"/>
  <c r="L81" i="17"/>
  <c r="K81" i="17"/>
  <c r="J81" i="17"/>
  <c r="I81" i="17"/>
  <c r="H81" i="17"/>
  <c r="G81" i="17"/>
  <c r="F81" i="17"/>
  <c r="E81" i="17"/>
  <c r="D81" i="17"/>
  <c r="C81" i="17"/>
  <c r="B81" i="17"/>
  <c r="A81" i="17"/>
  <c r="X80" i="17"/>
  <c r="W80" i="17"/>
  <c r="V80" i="17"/>
  <c r="U80" i="17"/>
  <c r="T80" i="17"/>
  <c r="S80" i="17"/>
  <c r="R80" i="17"/>
  <c r="Q80" i="17"/>
  <c r="P80" i="17"/>
  <c r="O80" i="17"/>
  <c r="N80" i="17"/>
  <c r="M80" i="17"/>
  <c r="L80" i="17"/>
  <c r="K80" i="17"/>
  <c r="J80" i="17"/>
  <c r="I80" i="17"/>
  <c r="H80" i="17"/>
  <c r="G80" i="17"/>
  <c r="F80" i="17"/>
  <c r="E80" i="17"/>
  <c r="D80" i="17"/>
  <c r="C80" i="17"/>
  <c r="B80" i="17"/>
  <c r="A80" i="17"/>
  <c r="X79" i="17"/>
  <c r="W79" i="17"/>
  <c r="V79" i="17"/>
  <c r="U79" i="17"/>
  <c r="T79" i="17"/>
  <c r="S79" i="17"/>
  <c r="R79" i="17"/>
  <c r="Q79" i="17"/>
  <c r="P79" i="17"/>
  <c r="O79" i="17"/>
  <c r="N79" i="17"/>
  <c r="M79" i="17"/>
  <c r="L79" i="17"/>
  <c r="K79" i="17"/>
  <c r="J79" i="17"/>
  <c r="I79" i="17"/>
  <c r="H79" i="17"/>
  <c r="G79" i="17"/>
  <c r="F79" i="17"/>
  <c r="E79" i="17"/>
  <c r="D79" i="17"/>
  <c r="C79" i="17"/>
  <c r="B79" i="17"/>
  <c r="A79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A78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A77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A76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B75" i="17"/>
  <c r="A75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B74" i="17"/>
  <c r="A74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B73" i="17"/>
  <c r="A73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A72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A71" i="17"/>
  <c r="X70" i="17"/>
  <c r="W70" i="17"/>
  <c r="V70" i="17"/>
  <c r="U70" i="17"/>
  <c r="T70" i="17"/>
  <c r="S70" i="17"/>
  <c r="R70" i="17"/>
  <c r="Q70" i="17"/>
  <c r="P70" i="17"/>
  <c r="O70" i="17"/>
  <c r="N70" i="17"/>
  <c r="M70" i="17"/>
  <c r="L70" i="17"/>
  <c r="K70" i="17"/>
  <c r="J70" i="17"/>
  <c r="I70" i="17"/>
  <c r="H70" i="17"/>
  <c r="G70" i="17"/>
  <c r="F70" i="17"/>
  <c r="E70" i="17"/>
  <c r="D70" i="17"/>
  <c r="C70" i="17"/>
  <c r="B70" i="17"/>
  <c r="A70" i="17"/>
  <c r="X69" i="17"/>
  <c r="W69" i="17"/>
  <c r="V69" i="17"/>
  <c r="U69" i="17"/>
  <c r="T69" i="17"/>
  <c r="S69" i="17"/>
  <c r="R69" i="17"/>
  <c r="Q69" i="17"/>
  <c r="P69" i="17"/>
  <c r="O69" i="17"/>
  <c r="N69" i="17"/>
  <c r="M69" i="17"/>
  <c r="L69" i="17"/>
  <c r="K69" i="17"/>
  <c r="J69" i="17"/>
  <c r="I69" i="17"/>
  <c r="H69" i="17"/>
  <c r="G69" i="17"/>
  <c r="F69" i="17"/>
  <c r="E69" i="17"/>
  <c r="D69" i="17"/>
  <c r="C69" i="17"/>
  <c r="B69" i="17"/>
  <c r="A69" i="17"/>
  <c r="X68" i="17"/>
  <c r="W68" i="17"/>
  <c r="V68" i="17"/>
  <c r="U68" i="17"/>
  <c r="T68" i="17"/>
  <c r="S68" i="17"/>
  <c r="R68" i="17"/>
  <c r="Q68" i="17"/>
  <c r="P68" i="17"/>
  <c r="O68" i="17"/>
  <c r="N68" i="17"/>
  <c r="M68" i="17"/>
  <c r="L68" i="17"/>
  <c r="K68" i="17"/>
  <c r="J68" i="17"/>
  <c r="I68" i="17"/>
  <c r="H68" i="17"/>
  <c r="G68" i="17"/>
  <c r="F68" i="17"/>
  <c r="E68" i="17"/>
  <c r="D68" i="17"/>
  <c r="C68" i="17"/>
  <c r="B68" i="17"/>
  <c r="A68" i="17"/>
  <c r="X67" i="17"/>
  <c r="W67" i="17"/>
  <c r="V67" i="17"/>
  <c r="U67" i="17"/>
  <c r="T67" i="17"/>
  <c r="S67" i="17"/>
  <c r="R67" i="17"/>
  <c r="Q67" i="17"/>
  <c r="P67" i="17"/>
  <c r="O67" i="17"/>
  <c r="N67" i="17"/>
  <c r="M67" i="17"/>
  <c r="L67" i="17"/>
  <c r="K67" i="17"/>
  <c r="J67" i="17"/>
  <c r="I67" i="17"/>
  <c r="H67" i="17"/>
  <c r="G67" i="17"/>
  <c r="F67" i="17"/>
  <c r="E67" i="17"/>
  <c r="D67" i="17"/>
  <c r="C67" i="17"/>
  <c r="B67" i="17"/>
  <c r="A67" i="17"/>
  <c r="X66" i="17"/>
  <c r="W66" i="17"/>
  <c r="V66" i="17"/>
  <c r="U66" i="17"/>
  <c r="T66" i="17"/>
  <c r="S66" i="17"/>
  <c r="R66" i="17"/>
  <c r="Q66" i="17"/>
  <c r="P66" i="17"/>
  <c r="O66" i="17"/>
  <c r="N66" i="17"/>
  <c r="M66" i="17"/>
  <c r="L66" i="17"/>
  <c r="K66" i="17"/>
  <c r="J66" i="17"/>
  <c r="I66" i="17"/>
  <c r="H66" i="17"/>
  <c r="G66" i="17"/>
  <c r="F66" i="17"/>
  <c r="E66" i="17"/>
  <c r="D66" i="17"/>
  <c r="C66" i="17"/>
  <c r="B66" i="17"/>
  <c r="A66" i="17"/>
  <c r="X65" i="17"/>
  <c r="W65" i="17"/>
  <c r="V65" i="17"/>
  <c r="U65" i="17"/>
  <c r="T65" i="17"/>
  <c r="S65" i="17"/>
  <c r="R65" i="17"/>
  <c r="Q65" i="17"/>
  <c r="P65" i="17"/>
  <c r="O65" i="17"/>
  <c r="N65" i="17"/>
  <c r="M65" i="17"/>
  <c r="L65" i="17"/>
  <c r="K65" i="17"/>
  <c r="J65" i="17"/>
  <c r="I65" i="17"/>
  <c r="H65" i="17"/>
  <c r="G65" i="17"/>
  <c r="F65" i="17"/>
  <c r="E65" i="17"/>
  <c r="D65" i="17"/>
  <c r="C65" i="17"/>
  <c r="B65" i="17"/>
  <c r="A65" i="17"/>
  <c r="X64" i="17"/>
  <c r="W64" i="17"/>
  <c r="V64" i="17"/>
  <c r="U64" i="17"/>
  <c r="T64" i="17"/>
  <c r="S64" i="17"/>
  <c r="R64" i="17"/>
  <c r="Q64" i="17"/>
  <c r="P64" i="17"/>
  <c r="O64" i="17"/>
  <c r="N64" i="17"/>
  <c r="M64" i="17"/>
  <c r="L64" i="17"/>
  <c r="K64" i="17"/>
  <c r="J64" i="17"/>
  <c r="I64" i="17"/>
  <c r="H64" i="17"/>
  <c r="G64" i="17"/>
  <c r="F64" i="17"/>
  <c r="E64" i="17"/>
  <c r="D64" i="17"/>
  <c r="C64" i="17"/>
  <c r="B64" i="17"/>
  <c r="A64" i="17"/>
  <c r="X63" i="17"/>
  <c r="W63" i="17"/>
  <c r="V63" i="17"/>
  <c r="U63" i="17"/>
  <c r="T63" i="17"/>
  <c r="S63" i="17"/>
  <c r="R63" i="17"/>
  <c r="Q63" i="17"/>
  <c r="P63" i="17"/>
  <c r="O63" i="17"/>
  <c r="N63" i="17"/>
  <c r="M63" i="17"/>
  <c r="L63" i="17"/>
  <c r="K63" i="17"/>
  <c r="J63" i="17"/>
  <c r="I63" i="17"/>
  <c r="H63" i="17"/>
  <c r="G63" i="17"/>
  <c r="F63" i="17"/>
  <c r="E63" i="17"/>
  <c r="D63" i="17"/>
  <c r="C63" i="17"/>
  <c r="B63" i="17"/>
  <c r="A63" i="17"/>
  <c r="X62" i="17"/>
  <c r="W62" i="17"/>
  <c r="V62" i="17"/>
  <c r="U62" i="17"/>
  <c r="T62" i="17"/>
  <c r="S62" i="17"/>
  <c r="R62" i="17"/>
  <c r="Q62" i="17"/>
  <c r="P62" i="17"/>
  <c r="O62" i="17"/>
  <c r="N62" i="17"/>
  <c r="M62" i="17"/>
  <c r="L62" i="17"/>
  <c r="K62" i="17"/>
  <c r="J62" i="17"/>
  <c r="I62" i="17"/>
  <c r="H62" i="17"/>
  <c r="G62" i="17"/>
  <c r="F62" i="17"/>
  <c r="E62" i="17"/>
  <c r="D62" i="17"/>
  <c r="C62" i="17"/>
  <c r="B62" i="17"/>
  <c r="A62" i="17"/>
  <c r="X61" i="17"/>
  <c r="W61" i="17"/>
  <c r="V61" i="17"/>
  <c r="U61" i="17"/>
  <c r="T61" i="17"/>
  <c r="S61" i="17"/>
  <c r="R61" i="17"/>
  <c r="Q61" i="17"/>
  <c r="P61" i="17"/>
  <c r="O61" i="17"/>
  <c r="N61" i="17"/>
  <c r="M61" i="17"/>
  <c r="L61" i="17"/>
  <c r="K61" i="17"/>
  <c r="J61" i="17"/>
  <c r="I61" i="17"/>
  <c r="H61" i="17"/>
  <c r="G61" i="17"/>
  <c r="F61" i="17"/>
  <c r="E61" i="17"/>
  <c r="D61" i="17"/>
  <c r="C61" i="17"/>
  <c r="B61" i="17"/>
  <c r="A61" i="17"/>
  <c r="X60" i="17"/>
  <c r="W60" i="17"/>
  <c r="V60" i="17"/>
  <c r="U60" i="17"/>
  <c r="T60" i="17"/>
  <c r="S60" i="17"/>
  <c r="R60" i="17"/>
  <c r="Q60" i="17"/>
  <c r="P60" i="17"/>
  <c r="O60" i="17"/>
  <c r="N60" i="17"/>
  <c r="M60" i="17"/>
  <c r="L60" i="17"/>
  <c r="K60" i="17"/>
  <c r="J60" i="17"/>
  <c r="I60" i="17"/>
  <c r="H60" i="17"/>
  <c r="G60" i="17"/>
  <c r="F60" i="17"/>
  <c r="E60" i="17"/>
  <c r="D60" i="17"/>
  <c r="C60" i="17"/>
  <c r="B60" i="17"/>
  <c r="A60" i="17"/>
  <c r="X59" i="17"/>
  <c r="W59" i="17"/>
  <c r="V59" i="17"/>
  <c r="U59" i="17"/>
  <c r="T59" i="17"/>
  <c r="S59" i="17"/>
  <c r="R59" i="17"/>
  <c r="Q59" i="17"/>
  <c r="P59" i="17"/>
  <c r="O59" i="17"/>
  <c r="N59" i="17"/>
  <c r="M59" i="17"/>
  <c r="L59" i="17"/>
  <c r="K59" i="17"/>
  <c r="J59" i="17"/>
  <c r="I59" i="17"/>
  <c r="H59" i="17"/>
  <c r="G59" i="17"/>
  <c r="F59" i="17"/>
  <c r="E59" i="17"/>
  <c r="D59" i="17"/>
  <c r="C59" i="17"/>
  <c r="B59" i="17"/>
  <c r="A59" i="17"/>
  <c r="X58" i="17"/>
  <c r="W58" i="17"/>
  <c r="V58" i="17"/>
  <c r="U58" i="17"/>
  <c r="T58" i="17"/>
  <c r="S58" i="17"/>
  <c r="R58" i="17"/>
  <c r="Q58" i="17"/>
  <c r="P58" i="17"/>
  <c r="O58" i="17"/>
  <c r="N58" i="17"/>
  <c r="M58" i="17"/>
  <c r="L58" i="17"/>
  <c r="K58" i="17"/>
  <c r="J58" i="17"/>
  <c r="I58" i="17"/>
  <c r="H58" i="17"/>
  <c r="G58" i="17"/>
  <c r="F58" i="17"/>
  <c r="E58" i="17"/>
  <c r="D58" i="17"/>
  <c r="C58" i="17"/>
  <c r="B58" i="17"/>
  <c r="A58" i="17"/>
  <c r="X57" i="17"/>
  <c r="W57" i="17"/>
  <c r="V57" i="17"/>
  <c r="U57" i="17"/>
  <c r="T57" i="17"/>
  <c r="S57" i="17"/>
  <c r="R57" i="17"/>
  <c r="Q57" i="17"/>
  <c r="P57" i="17"/>
  <c r="O57" i="17"/>
  <c r="N57" i="17"/>
  <c r="M57" i="17"/>
  <c r="L57" i="17"/>
  <c r="K57" i="17"/>
  <c r="J57" i="17"/>
  <c r="I57" i="17"/>
  <c r="H57" i="17"/>
  <c r="G57" i="17"/>
  <c r="F57" i="17"/>
  <c r="E57" i="17"/>
  <c r="D57" i="17"/>
  <c r="C57" i="17"/>
  <c r="B57" i="17"/>
  <c r="A57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A56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B55" i="17"/>
  <c r="A55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A54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A53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A52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A51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A50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B49" i="17"/>
  <c r="A49" i="17"/>
  <c r="X48" i="17"/>
  <c r="W48" i="17"/>
  <c r="V48" i="17"/>
  <c r="U48" i="17"/>
  <c r="T48" i="17"/>
  <c r="S48" i="17"/>
  <c r="R48" i="17"/>
  <c r="Q48" i="17"/>
  <c r="P48" i="17"/>
  <c r="O48" i="17"/>
  <c r="N48" i="17"/>
  <c r="M48" i="17"/>
  <c r="L48" i="17"/>
  <c r="K48" i="17"/>
  <c r="J48" i="17"/>
  <c r="I48" i="17"/>
  <c r="H48" i="17"/>
  <c r="G48" i="17"/>
  <c r="F48" i="17"/>
  <c r="E48" i="17"/>
  <c r="D48" i="17"/>
  <c r="C48" i="17"/>
  <c r="B48" i="17"/>
  <c r="A48" i="17"/>
  <c r="X47" i="17"/>
  <c r="W47" i="17"/>
  <c r="V47" i="17"/>
  <c r="U47" i="17"/>
  <c r="T47" i="17"/>
  <c r="S47" i="17"/>
  <c r="R47" i="17"/>
  <c r="Q47" i="17"/>
  <c r="P47" i="17"/>
  <c r="O47" i="17"/>
  <c r="N47" i="17"/>
  <c r="M47" i="17"/>
  <c r="L47" i="17"/>
  <c r="K47" i="17"/>
  <c r="J47" i="17"/>
  <c r="I47" i="17"/>
  <c r="H47" i="17"/>
  <c r="G47" i="17"/>
  <c r="F47" i="17"/>
  <c r="E47" i="17"/>
  <c r="D47" i="17"/>
  <c r="C47" i="17"/>
  <c r="B47" i="17"/>
  <c r="A47" i="17"/>
  <c r="X46" i="17"/>
  <c r="W46" i="17"/>
  <c r="V46" i="17"/>
  <c r="U46" i="17"/>
  <c r="T46" i="17"/>
  <c r="S46" i="17"/>
  <c r="R46" i="17"/>
  <c r="Q46" i="17"/>
  <c r="P46" i="17"/>
  <c r="O46" i="17"/>
  <c r="N46" i="17"/>
  <c r="M46" i="17"/>
  <c r="L46" i="17"/>
  <c r="K46" i="17"/>
  <c r="J46" i="17"/>
  <c r="I46" i="17"/>
  <c r="H46" i="17"/>
  <c r="G46" i="17"/>
  <c r="F46" i="17"/>
  <c r="E46" i="17"/>
  <c r="D46" i="17"/>
  <c r="C46" i="17"/>
  <c r="B46" i="17"/>
  <c r="A46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A45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A44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A43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A42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A41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A40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A39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A38" i="17"/>
  <c r="X37" i="17"/>
  <c r="W37" i="17"/>
  <c r="V37" i="17"/>
  <c r="U37" i="17"/>
  <c r="T37" i="17"/>
  <c r="S37" i="17"/>
  <c r="R37" i="17"/>
  <c r="Q37" i="17"/>
  <c r="P37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B37" i="17"/>
  <c r="A37" i="17"/>
  <c r="X36" i="17"/>
  <c r="W36" i="17"/>
  <c r="V36" i="17"/>
  <c r="U36" i="17"/>
  <c r="T36" i="17"/>
  <c r="S36" i="17"/>
  <c r="R36" i="17"/>
  <c r="Q36" i="17"/>
  <c r="P36" i="17"/>
  <c r="O36" i="17"/>
  <c r="N36" i="17"/>
  <c r="M36" i="17"/>
  <c r="L36" i="17"/>
  <c r="K36" i="17"/>
  <c r="J36" i="17"/>
  <c r="I36" i="17"/>
  <c r="H36" i="17"/>
  <c r="G36" i="17"/>
  <c r="F36" i="17"/>
  <c r="E36" i="17"/>
  <c r="D36" i="17"/>
  <c r="C36" i="17"/>
  <c r="B36" i="17"/>
  <c r="A36" i="17"/>
  <c r="X35" i="17"/>
  <c r="W35" i="17"/>
  <c r="V35" i="17"/>
  <c r="U35" i="17"/>
  <c r="T35" i="17"/>
  <c r="S35" i="17"/>
  <c r="R35" i="17"/>
  <c r="Q35" i="17"/>
  <c r="P35" i="17"/>
  <c r="O35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B35" i="17"/>
  <c r="A35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A34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A33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A32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A31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A30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A29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A28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A27" i="17"/>
  <c r="X26" i="17"/>
  <c r="W26" i="17"/>
  <c r="V26" i="17"/>
  <c r="U26" i="17"/>
  <c r="T26" i="17"/>
  <c r="S26" i="17"/>
  <c r="R26" i="17"/>
  <c r="Q26" i="17"/>
  <c r="P26" i="17"/>
  <c r="O26" i="17"/>
  <c r="N26" i="17"/>
  <c r="M26" i="17"/>
  <c r="L26" i="17"/>
  <c r="K26" i="17"/>
  <c r="J26" i="17"/>
  <c r="I26" i="17"/>
  <c r="H26" i="17"/>
  <c r="G26" i="17"/>
  <c r="F26" i="17"/>
  <c r="E26" i="17"/>
  <c r="D26" i="17"/>
  <c r="C26" i="17"/>
  <c r="B26" i="17"/>
  <c r="A26" i="17"/>
  <c r="X25" i="17"/>
  <c r="W25" i="17"/>
  <c r="V25" i="17"/>
  <c r="U25" i="17"/>
  <c r="T25" i="17"/>
  <c r="S25" i="17"/>
  <c r="R25" i="17"/>
  <c r="Q25" i="17"/>
  <c r="P25" i="17"/>
  <c r="O25" i="17"/>
  <c r="N25" i="17"/>
  <c r="M25" i="17"/>
  <c r="L25" i="17"/>
  <c r="K25" i="17"/>
  <c r="J25" i="17"/>
  <c r="I25" i="17"/>
  <c r="H25" i="17"/>
  <c r="G25" i="17"/>
  <c r="F25" i="17"/>
  <c r="E25" i="17"/>
  <c r="D25" i="17"/>
  <c r="C25" i="17"/>
  <c r="B25" i="17"/>
  <c r="A25" i="17"/>
  <c r="X24" i="17"/>
  <c r="W24" i="17"/>
  <c r="V24" i="17"/>
  <c r="U24" i="17"/>
  <c r="T24" i="17"/>
  <c r="S24" i="17"/>
  <c r="R24" i="17"/>
  <c r="Q24" i="17"/>
  <c r="P24" i="17"/>
  <c r="O24" i="17"/>
  <c r="N24" i="17"/>
  <c r="M24" i="17"/>
  <c r="L24" i="17"/>
  <c r="K24" i="17"/>
  <c r="J24" i="17"/>
  <c r="I24" i="17"/>
  <c r="H24" i="17"/>
  <c r="G24" i="17"/>
  <c r="F24" i="17"/>
  <c r="E24" i="17"/>
  <c r="D24" i="17"/>
  <c r="C24" i="17"/>
  <c r="B24" i="17"/>
  <c r="A24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A23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A22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A21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A20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A19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A18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A17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A16" i="17"/>
  <c r="X15" i="17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G15" i="17"/>
  <c r="F15" i="17"/>
  <c r="E15" i="17"/>
  <c r="D15" i="17"/>
  <c r="C15" i="17"/>
  <c r="B15" i="17"/>
  <c r="A15" i="17"/>
  <c r="X14" i="17"/>
  <c r="W14" i="17"/>
  <c r="V14" i="17"/>
  <c r="U14" i="17"/>
  <c r="T14" i="17"/>
  <c r="S14" i="17"/>
  <c r="R14" i="17"/>
  <c r="Q14" i="17"/>
  <c r="P14" i="17"/>
  <c r="O14" i="17"/>
  <c r="N14" i="17"/>
  <c r="M14" i="17"/>
  <c r="L14" i="17"/>
  <c r="K14" i="17"/>
  <c r="J14" i="17"/>
  <c r="I14" i="17"/>
  <c r="H14" i="17"/>
  <c r="G14" i="17"/>
  <c r="F14" i="17"/>
  <c r="E14" i="17"/>
  <c r="D14" i="17"/>
  <c r="C14" i="17"/>
  <c r="B14" i="17"/>
  <c r="A14" i="17"/>
  <c r="X13" i="17"/>
  <c r="W13" i="17"/>
  <c r="V13" i="17"/>
  <c r="U13" i="17"/>
  <c r="T13" i="17"/>
  <c r="S13" i="17"/>
  <c r="R13" i="17"/>
  <c r="Q13" i="17"/>
  <c r="P13" i="17"/>
  <c r="O13" i="17"/>
  <c r="N13" i="17"/>
  <c r="M13" i="17"/>
  <c r="L13" i="17"/>
  <c r="K13" i="17"/>
  <c r="J13" i="17"/>
  <c r="I13" i="17"/>
  <c r="H13" i="17"/>
  <c r="G13" i="17"/>
  <c r="F13" i="17"/>
  <c r="E13" i="17"/>
  <c r="D13" i="17"/>
  <c r="C13" i="17"/>
  <c r="B13" i="17"/>
  <c r="A13" i="17"/>
  <c r="X12" i="17"/>
  <c r="W12" i="17"/>
  <c r="V12" i="17"/>
  <c r="U12" i="17"/>
  <c r="T12" i="17"/>
  <c r="S12" i="17"/>
  <c r="R12" i="17"/>
  <c r="Q12" i="17"/>
  <c r="P12" i="17"/>
  <c r="O12" i="17"/>
  <c r="N12" i="17"/>
  <c r="M12" i="17"/>
  <c r="L12" i="17"/>
  <c r="K12" i="17"/>
  <c r="J12" i="17"/>
  <c r="I12" i="17"/>
  <c r="H12" i="17"/>
  <c r="G12" i="17"/>
  <c r="F12" i="17"/>
  <c r="E12" i="17"/>
  <c r="D12" i="17"/>
  <c r="C12" i="17"/>
  <c r="B12" i="17"/>
  <c r="A12" i="17"/>
  <c r="X11" i="17"/>
  <c r="W11" i="17"/>
  <c r="V11" i="17"/>
  <c r="U11" i="17"/>
  <c r="T11" i="17"/>
  <c r="S11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C11" i="17"/>
  <c r="B11" i="17"/>
  <c r="A11" i="17"/>
  <c r="X10" i="17"/>
  <c r="W10" i="17"/>
  <c r="V10" i="17"/>
  <c r="U10" i="17"/>
  <c r="T10" i="17"/>
  <c r="S10" i="17"/>
  <c r="R10" i="17"/>
  <c r="Q10" i="17"/>
  <c r="P10" i="17"/>
  <c r="O10" i="17"/>
  <c r="N10" i="17"/>
  <c r="M10" i="17"/>
  <c r="L10" i="17"/>
  <c r="K10" i="17"/>
  <c r="J10" i="17"/>
  <c r="I10" i="17"/>
  <c r="H10" i="17"/>
  <c r="G10" i="17"/>
  <c r="F10" i="17"/>
  <c r="E10" i="17"/>
  <c r="D10" i="17"/>
  <c r="C10" i="17"/>
  <c r="B10" i="17"/>
  <c r="A10" i="17"/>
  <c r="X9" i="17"/>
  <c r="W9" i="17"/>
  <c r="V9" i="17"/>
  <c r="U9" i="17"/>
  <c r="T9" i="17"/>
  <c r="S9" i="17"/>
  <c r="R9" i="17"/>
  <c r="Q9" i="17"/>
  <c r="P9" i="17"/>
  <c r="O9" i="17"/>
  <c r="N9" i="17"/>
  <c r="M9" i="17"/>
  <c r="L9" i="17"/>
  <c r="K9" i="17"/>
  <c r="J9" i="17"/>
  <c r="I9" i="17"/>
  <c r="H9" i="17"/>
  <c r="G9" i="17"/>
  <c r="F9" i="17"/>
  <c r="E9" i="17"/>
  <c r="D9" i="17"/>
  <c r="C9" i="17"/>
  <c r="B9" i="17"/>
  <c r="A9" i="17"/>
  <c r="X8" i="17"/>
  <c r="W8" i="17"/>
  <c r="V8" i="17"/>
  <c r="U8" i="17"/>
  <c r="T8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F8" i="17"/>
  <c r="E8" i="17"/>
  <c r="D8" i="17"/>
  <c r="C8" i="17"/>
  <c r="B8" i="17"/>
  <c r="A8" i="17"/>
  <c r="X7" i="17"/>
  <c r="W7" i="17"/>
  <c r="V7" i="17"/>
  <c r="U7" i="17"/>
  <c r="T7" i="17"/>
  <c r="S7" i="17"/>
  <c r="R7" i="17"/>
  <c r="Q7" i="17"/>
  <c r="P7" i="17"/>
  <c r="O7" i="17"/>
  <c r="N7" i="17"/>
  <c r="M7" i="17"/>
  <c r="L7" i="17"/>
  <c r="K7" i="17"/>
  <c r="J7" i="17"/>
  <c r="I7" i="17"/>
  <c r="H7" i="17"/>
  <c r="G7" i="17"/>
  <c r="F7" i="17"/>
  <c r="E7" i="17"/>
  <c r="D7" i="17"/>
  <c r="C7" i="17"/>
  <c r="B7" i="17"/>
  <c r="A7" i="17"/>
  <c r="X6" i="17"/>
  <c r="W6" i="17"/>
  <c r="V6" i="17"/>
  <c r="U6" i="17"/>
  <c r="T6" i="17"/>
  <c r="S6" i="17"/>
  <c r="R6" i="17"/>
  <c r="Q6" i="17"/>
  <c r="P6" i="17"/>
  <c r="O6" i="17"/>
  <c r="N6" i="17"/>
  <c r="M6" i="17"/>
  <c r="L6" i="17"/>
  <c r="K6" i="17"/>
  <c r="J6" i="17"/>
  <c r="I6" i="17"/>
  <c r="H6" i="17"/>
  <c r="G6" i="17"/>
  <c r="F6" i="17"/>
  <c r="E6" i="17"/>
  <c r="D6" i="17"/>
  <c r="C6" i="17"/>
  <c r="B6" i="17"/>
  <c r="A6" i="17"/>
  <c r="X5" i="17"/>
  <c r="W5" i="17"/>
  <c r="V5" i="17"/>
  <c r="U5" i="17"/>
  <c r="T5" i="17"/>
  <c r="S5" i="17"/>
  <c r="R5" i="17"/>
  <c r="Q5" i="17"/>
  <c r="P5" i="17"/>
  <c r="O5" i="17"/>
  <c r="N5" i="17"/>
  <c r="M5" i="17"/>
  <c r="L5" i="17"/>
  <c r="K5" i="17"/>
  <c r="J5" i="17"/>
  <c r="I5" i="17"/>
  <c r="H5" i="17"/>
  <c r="G5" i="17"/>
  <c r="F5" i="17"/>
  <c r="E5" i="17"/>
  <c r="D5" i="17"/>
  <c r="C5" i="17"/>
  <c r="B5" i="17"/>
  <c r="A5" i="17"/>
  <c r="X4" i="17"/>
  <c r="W4" i="17"/>
  <c r="V4" i="17"/>
  <c r="U4" i="17"/>
  <c r="T4" i="17"/>
  <c r="S4" i="17"/>
  <c r="R4" i="17"/>
  <c r="Q4" i="17"/>
  <c r="P4" i="17"/>
  <c r="O4" i="17"/>
  <c r="N4" i="17"/>
  <c r="M4" i="17"/>
  <c r="L4" i="17"/>
  <c r="K4" i="17"/>
  <c r="J4" i="17"/>
  <c r="I4" i="17"/>
  <c r="H4" i="17"/>
  <c r="G4" i="17"/>
  <c r="F4" i="17"/>
  <c r="E4" i="17"/>
  <c r="D4" i="17"/>
  <c r="C4" i="17"/>
  <c r="B4" i="17"/>
  <c r="A4" i="17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F93" i="12" s="1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F92" i="12" s="1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F90" i="12" s="1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F89" i="12" s="1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F88" i="12" s="1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F87" i="12" s="1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F86" i="12" s="1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F85" i="12" s="1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F84" i="12" s="1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F83" i="12" s="1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F82" i="12" s="1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F81" i="12" s="1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F79" i="12" s="1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F78" i="12" s="1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F77" i="12" s="1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F76" i="12" s="1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F75" i="12" s="1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F73" i="12" s="1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F72" i="12" s="1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F71" i="12" s="1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F70" i="12" s="1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F69" i="12" s="1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F68" i="12" s="1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F67" i="12" s="1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F65" i="12" s="1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F64" i="12" s="1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F63" i="12" s="1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F62" i="12" s="1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F61" i="12" s="1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F60" i="12" s="1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F59" i="12" s="1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F57" i="12" s="1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F56" i="12" s="1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F55" i="12" s="1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F54" i="12" s="1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F52" i="12" s="1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F51" i="12" s="1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F50" i="12" s="1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F49" i="12" s="1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F48" i="12" s="1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F47" i="12" s="1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F46" i="12" s="1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F45" i="12" s="1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F43" i="12" s="1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F42" i="12" s="1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F41" i="12" s="1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F40" i="12" s="1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F39" i="12" s="1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F38" i="12" s="1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F37" i="12" s="1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F36" i="12" s="1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F35" i="12" s="1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F34" i="12" s="1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F33" i="12" s="1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F32" i="12" s="1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F31" i="12" s="1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F30" i="12" s="1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F29" i="12" s="1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F28" i="12" s="1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F27" i="12" s="1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F22" i="12" s="1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F21" i="12" s="1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F20" i="12" s="1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F19" i="12" s="1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F18" i="12" s="1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F17" i="12" s="1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F16" i="12" s="1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F15" i="12" s="1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F14" i="12" s="1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F13" i="12" s="1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F12" i="12" s="1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F11" i="12" s="1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F10" i="12" s="1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F9" i="12" s="1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F8" i="12" s="1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F7" i="12" s="1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F6" i="12" s="1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F5" i="12" s="1"/>
  <c r="A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B93" i="14"/>
  <c r="A93" i="14"/>
  <c r="X92" i="14"/>
  <c r="W92" i="14"/>
  <c r="V92" i="14"/>
  <c r="U92" i="14"/>
  <c r="T92" i="14"/>
  <c r="S92" i="14"/>
  <c r="R92" i="14"/>
  <c r="Q92" i="14"/>
  <c r="P92" i="14"/>
  <c r="O92" i="14"/>
  <c r="N92" i="14"/>
  <c r="M92" i="14"/>
  <c r="L92" i="14"/>
  <c r="K92" i="14"/>
  <c r="J92" i="14"/>
  <c r="I92" i="14"/>
  <c r="H92" i="14"/>
  <c r="G92" i="14"/>
  <c r="F92" i="14"/>
  <c r="E92" i="14"/>
  <c r="D92" i="14"/>
  <c r="C92" i="14"/>
  <c r="B92" i="14"/>
  <c r="D92" i="12" s="1"/>
  <c r="A92" i="14"/>
  <c r="X91" i="14"/>
  <c r="W91" i="14"/>
  <c r="V91" i="14"/>
  <c r="U91" i="14"/>
  <c r="T91" i="14"/>
  <c r="S91" i="14"/>
  <c r="R91" i="14"/>
  <c r="Q91" i="14"/>
  <c r="P91" i="14"/>
  <c r="O91" i="14"/>
  <c r="N91" i="14"/>
  <c r="M91" i="14"/>
  <c r="L91" i="14"/>
  <c r="K91" i="14"/>
  <c r="J91" i="14"/>
  <c r="I91" i="14"/>
  <c r="H91" i="14"/>
  <c r="G91" i="14"/>
  <c r="F91" i="14"/>
  <c r="E91" i="14"/>
  <c r="D91" i="14"/>
  <c r="C91" i="14"/>
  <c r="B91" i="14"/>
  <c r="A91" i="14"/>
  <c r="X90" i="14"/>
  <c r="W90" i="14"/>
  <c r="V90" i="14"/>
  <c r="U90" i="14"/>
  <c r="T90" i="14"/>
  <c r="S90" i="14"/>
  <c r="R90" i="14"/>
  <c r="Q90" i="14"/>
  <c r="P90" i="14"/>
  <c r="O90" i="14"/>
  <c r="N90" i="14"/>
  <c r="M90" i="14"/>
  <c r="L90" i="14"/>
  <c r="K90" i="14"/>
  <c r="J90" i="14"/>
  <c r="I90" i="14"/>
  <c r="H90" i="14"/>
  <c r="G90" i="14"/>
  <c r="F90" i="14"/>
  <c r="E90" i="14"/>
  <c r="D90" i="14"/>
  <c r="C90" i="14"/>
  <c r="B90" i="14"/>
  <c r="A90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B89" i="14"/>
  <c r="D89" i="12" s="1"/>
  <c r="A89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B88" i="14"/>
  <c r="A88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A87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D86" i="12" s="1"/>
  <c r="A86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A85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A84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83" i="14"/>
  <c r="A83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B82" i="14"/>
  <c r="A82" i="14"/>
  <c r="X81" i="14"/>
  <c r="W81" i="14"/>
  <c r="V81" i="14"/>
  <c r="U81" i="14"/>
  <c r="T81" i="14"/>
  <c r="S81" i="14"/>
  <c r="R81" i="14"/>
  <c r="Q81" i="14"/>
  <c r="P81" i="14"/>
  <c r="O81" i="14"/>
  <c r="N81" i="14"/>
  <c r="M81" i="14"/>
  <c r="L81" i="14"/>
  <c r="K81" i="14"/>
  <c r="J81" i="14"/>
  <c r="I81" i="14"/>
  <c r="H81" i="14"/>
  <c r="G81" i="14"/>
  <c r="F81" i="14"/>
  <c r="E81" i="14"/>
  <c r="D81" i="14"/>
  <c r="C81" i="14"/>
  <c r="B81" i="14"/>
  <c r="A81" i="14"/>
  <c r="X80" i="14"/>
  <c r="W80" i="14"/>
  <c r="V80" i="14"/>
  <c r="U80" i="14"/>
  <c r="T80" i="14"/>
  <c r="S80" i="14"/>
  <c r="R80" i="14"/>
  <c r="Q80" i="14"/>
  <c r="P80" i="14"/>
  <c r="O80" i="14"/>
  <c r="N80" i="14"/>
  <c r="M80" i="14"/>
  <c r="L80" i="14"/>
  <c r="K80" i="14"/>
  <c r="J80" i="14"/>
  <c r="I80" i="14"/>
  <c r="H80" i="14"/>
  <c r="G80" i="14"/>
  <c r="F80" i="14"/>
  <c r="E80" i="14"/>
  <c r="D80" i="14"/>
  <c r="C80" i="14"/>
  <c r="B80" i="14"/>
  <c r="D80" i="12" s="1"/>
  <c r="A80" i="14"/>
  <c r="X79" i="14"/>
  <c r="W79" i="14"/>
  <c r="V79" i="14"/>
  <c r="U79" i="14"/>
  <c r="T79" i="14"/>
  <c r="S79" i="14"/>
  <c r="R79" i="14"/>
  <c r="Q79" i="14"/>
  <c r="P79" i="14"/>
  <c r="O79" i="14"/>
  <c r="N79" i="14"/>
  <c r="M79" i="14"/>
  <c r="L79" i="14"/>
  <c r="K79" i="14"/>
  <c r="J79" i="14"/>
  <c r="I79" i="14"/>
  <c r="H79" i="14"/>
  <c r="G79" i="14"/>
  <c r="F79" i="14"/>
  <c r="E79" i="14"/>
  <c r="D79" i="14"/>
  <c r="C79" i="14"/>
  <c r="B79" i="14"/>
  <c r="A79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A78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D77" i="12" s="1"/>
  <c r="A77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A76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75" i="14"/>
  <c r="A75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74" i="14"/>
  <c r="D74" i="12" s="1"/>
  <c r="A74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B73" i="14"/>
  <c r="A73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A72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71" i="14"/>
  <c r="D71" i="12" s="1"/>
  <c r="A71" i="14"/>
  <c r="X70" i="14"/>
  <c r="W70" i="14"/>
  <c r="V70" i="14"/>
  <c r="U70" i="14"/>
  <c r="T70" i="14"/>
  <c r="S70" i="14"/>
  <c r="R70" i="14"/>
  <c r="Q70" i="14"/>
  <c r="P70" i="14"/>
  <c r="O70" i="14"/>
  <c r="N70" i="14"/>
  <c r="M70" i="14"/>
  <c r="L70" i="14"/>
  <c r="K70" i="14"/>
  <c r="J70" i="14"/>
  <c r="I70" i="14"/>
  <c r="H70" i="14"/>
  <c r="G70" i="14"/>
  <c r="F70" i="14"/>
  <c r="E70" i="14"/>
  <c r="D70" i="14"/>
  <c r="C70" i="14"/>
  <c r="B70" i="14"/>
  <c r="A70" i="14"/>
  <c r="X69" i="14"/>
  <c r="W69" i="14"/>
  <c r="V69" i="14"/>
  <c r="U69" i="14"/>
  <c r="T69" i="14"/>
  <c r="S69" i="14"/>
  <c r="R69" i="14"/>
  <c r="Q69" i="14"/>
  <c r="P69" i="14"/>
  <c r="O69" i="14"/>
  <c r="N69" i="14"/>
  <c r="M69" i="14"/>
  <c r="L69" i="14"/>
  <c r="K69" i="14"/>
  <c r="J69" i="14"/>
  <c r="I69" i="14"/>
  <c r="H69" i="14"/>
  <c r="G69" i="14"/>
  <c r="F69" i="14"/>
  <c r="E69" i="14"/>
  <c r="D69" i="14"/>
  <c r="C69" i="14"/>
  <c r="B69" i="14"/>
  <c r="A69" i="14"/>
  <c r="X68" i="14"/>
  <c r="W68" i="14"/>
  <c r="V68" i="14"/>
  <c r="U68" i="14"/>
  <c r="T68" i="14"/>
  <c r="S68" i="14"/>
  <c r="R68" i="14"/>
  <c r="Q68" i="14"/>
  <c r="P68" i="14"/>
  <c r="O68" i="14"/>
  <c r="N68" i="14"/>
  <c r="M68" i="14"/>
  <c r="L68" i="14"/>
  <c r="K68" i="14"/>
  <c r="J68" i="14"/>
  <c r="I68" i="14"/>
  <c r="H68" i="14"/>
  <c r="G68" i="14"/>
  <c r="F68" i="14"/>
  <c r="E68" i="14"/>
  <c r="D68" i="14"/>
  <c r="C68" i="14"/>
  <c r="B68" i="14"/>
  <c r="D68" i="12" s="1"/>
  <c r="A68" i="14"/>
  <c r="X67" i="14"/>
  <c r="W67" i="14"/>
  <c r="V67" i="14"/>
  <c r="U67" i="14"/>
  <c r="T67" i="14"/>
  <c r="S67" i="14"/>
  <c r="R67" i="14"/>
  <c r="Q67" i="14"/>
  <c r="P67" i="14"/>
  <c r="O67" i="14"/>
  <c r="N67" i="14"/>
  <c r="M67" i="14"/>
  <c r="L67" i="14"/>
  <c r="K67" i="14"/>
  <c r="J67" i="14"/>
  <c r="I67" i="14"/>
  <c r="H67" i="14"/>
  <c r="G67" i="14"/>
  <c r="F67" i="14"/>
  <c r="E67" i="14"/>
  <c r="D67" i="14"/>
  <c r="C67" i="14"/>
  <c r="B67" i="14"/>
  <c r="A67" i="14"/>
  <c r="X66" i="14"/>
  <c r="W66" i="14"/>
  <c r="V66" i="14"/>
  <c r="U66" i="14"/>
  <c r="T66" i="14"/>
  <c r="S66" i="14"/>
  <c r="R66" i="14"/>
  <c r="Q66" i="14"/>
  <c r="P66" i="14"/>
  <c r="O66" i="14"/>
  <c r="N66" i="14"/>
  <c r="M66" i="14"/>
  <c r="L66" i="14"/>
  <c r="K66" i="14"/>
  <c r="J66" i="14"/>
  <c r="I66" i="14"/>
  <c r="H66" i="14"/>
  <c r="G66" i="14"/>
  <c r="F66" i="14"/>
  <c r="E66" i="14"/>
  <c r="D66" i="14"/>
  <c r="C66" i="14"/>
  <c r="B66" i="14"/>
  <c r="A66" i="14"/>
  <c r="X65" i="14"/>
  <c r="W65" i="14"/>
  <c r="V65" i="14"/>
  <c r="U65" i="14"/>
  <c r="T65" i="14"/>
  <c r="S65" i="14"/>
  <c r="R65" i="14"/>
  <c r="Q65" i="14"/>
  <c r="P65" i="14"/>
  <c r="O65" i="14"/>
  <c r="N65" i="14"/>
  <c r="M65" i="14"/>
  <c r="L65" i="14"/>
  <c r="K65" i="14"/>
  <c r="J65" i="14"/>
  <c r="I65" i="14"/>
  <c r="H65" i="14"/>
  <c r="G65" i="14"/>
  <c r="F65" i="14"/>
  <c r="E65" i="14"/>
  <c r="D65" i="14"/>
  <c r="C65" i="14"/>
  <c r="B65" i="14"/>
  <c r="D65" i="12" s="1"/>
  <c r="A65" i="14"/>
  <c r="X64" i="14"/>
  <c r="W64" i="14"/>
  <c r="V64" i="14"/>
  <c r="U64" i="14"/>
  <c r="T64" i="14"/>
  <c r="S64" i="14"/>
  <c r="R64" i="14"/>
  <c r="Q64" i="14"/>
  <c r="P64" i="14"/>
  <c r="O64" i="14"/>
  <c r="N64" i="14"/>
  <c r="M64" i="14"/>
  <c r="L64" i="14"/>
  <c r="K64" i="14"/>
  <c r="J64" i="14"/>
  <c r="I64" i="14"/>
  <c r="H64" i="14"/>
  <c r="G64" i="14"/>
  <c r="F64" i="14"/>
  <c r="E64" i="14"/>
  <c r="D64" i="14"/>
  <c r="C64" i="14"/>
  <c r="B64" i="14"/>
  <c r="A64" i="14"/>
  <c r="X63" i="14"/>
  <c r="W63" i="14"/>
  <c r="V63" i="14"/>
  <c r="U63" i="14"/>
  <c r="T63" i="14"/>
  <c r="S63" i="14"/>
  <c r="R63" i="14"/>
  <c r="Q63" i="14"/>
  <c r="P63" i="14"/>
  <c r="O63" i="14"/>
  <c r="N63" i="14"/>
  <c r="M63" i="14"/>
  <c r="L63" i="14"/>
  <c r="K63" i="14"/>
  <c r="J63" i="14"/>
  <c r="I63" i="14"/>
  <c r="H63" i="14"/>
  <c r="G63" i="14"/>
  <c r="F63" i="14"/>
  <c r="E63" i="14"/>
  <c r="D63" i="14"/>
  <c r="C63" i="14"/>
  <c r="B63" i="14"/>
  <c r="A63" i="14"/>
  <c r="X62" i="14"/>
  <c r="W62" i="14"/>
  <c r="V62" i="14"/>
  <c r="U62" i="14"/>
  <c r="T62" i="14"/>
  <c r="S62" i="14"/>
  <c r="R62" i="14"/>
  <c r="Q62" i="14"/>
  <c r="P62" i="14"/>
  <c r="O62" i="14"/>
  <c r="N62" i="14"/>
  <c r="M62" i="14"/>
  <c r="L62" i="14"/>
  <c r="K62" i="14"/>
  <c r="J62" i="14"/>
  <c r="I62" i="14"/>
  <c r="H62" i="14"/>
  <c r="G62" i="14"/>
  <c r="F62" i="14"/>
  <c r="E62" i="14"/>
  <c r="D62" i="14"/>
  <c r="C62" i="14"/>
  <c r="B62" i="14"/>
  <c r="D62" i="12" s="1"/>
  <c r="A62" i="14"/>
  <c r="X61" i="14"/>
  <c r="W61" i="14"/>
  <c r="V61" i="14"/>
  <c r="U61" i="14"/>
  <c r="T61" i="14"/>
  <c r="S61" i="14"/>
  <c r="R61" i="14"/>
  <c r="Q61" i="14"/>
  <c r="P61" i="14"/>
  <c r="O61" i="14"/>
  <c r="N61" i="14"/>
  <c r="M61" i="14"/>
  <c r="L61" i="14"/>
  <c r="K61" i="14"/>
  <c r="J61" i="14"/>
  <c r="I61" i="14"/>
  <c r="H61" i="14"/>
  <c r="G61" i="14"/>
  <c r="F61" i="14"/>
  <c r="E61" i="14"/>
  <c r="D61" i="14"/>
  <c r="C61" i="14"/>
  <c r="B61" i="14"/>
  <c r="A61" i="14"/>
  <c r="X60" i="14"/>
  <c r="W60" i="14"/>
  <c r="V60" i="14"/>
  <c r="U60" i="14"/>
  <c r="T60" i="14"/>
  <c r="S60" i="14"/>
  <c r="R60" i="14"/>
  <c r="Q60" i="14"/>
  <c r="P60" i="14"/>
  <c r="O60" i="14"/>
  <c r="N60" i="14"/>
  <c r="M60" i="14"/>
  <c r="L60" i="14"/>
  <c r="K60" i="14"/>
  <c r="J60" i="14"/>
  <c r="I60" i="14"/>
  <c r="H60" i="14"/>
  <c r="G60" i="14"/>
  <c r="F60" i="14"/>
  <c r="E60" i="14"/>
  <c r="D60" i="14"/>
  <c r="C60" i="14"/>
  <c r="B60" i="14"/>
  <c r="A60" i="14"/>
  <c r="X59" i="14"/>
  <c r="W59" i="14"/>
  <c r="V59" i="14"/>
  <c r="U59" i="14"/>
  <c r="T59" i="14"/>
  <c r="S59" i="14"/>
  <c r="R59" i="14"/>
  <c r="Q59" i="14"/>
  <c r="P59" i="14"/>
  <c r="O59" i="14"/>
  <c r="N59" i="14"/>
  <c r="M59" i="14"/>
  <c r="L59" i="14"/>
  <c r="K59" i="14"/>
  <c r="J59" i="14"/>
  <c r="I59" i="14"/>
  <c r="H59" i="14"/>
  <c r="G59" i="14"/>
  <c r="F59" i="14"/>
  <c r="E59" i="14"/>
  <c r="D59" i="14"/>
  <c r="C59" i="14"/>
  <c r="B59" i="14"/>
  <c r="D59" i="12" s="1"/>
  <c r="A59" i="14"/>
  <c r="X58" i="14"/>
  <c r="W58" i="14"/>
  <c r="V58" i="14"/>
  <c r="U58" i="14"/>
  <c r="T58" i="14"/>
  <c r="S58" i="14"/>
  <c r="R58" i="14"/>
  <c r="Q58" i="14"/>
  <c r="P58" i="14"/>
  <c r="O58" i="14"/>
  <c r="N58" i="14"/>
  <c r="M58" i="14"/>
  <c r="L58" i="14"/>
  <c r="K58" i="14"/>
  <c r="J58" i="14"/>
  <c r="I58" i="14"/>
  <c r="H58" i="14"/>
  <c r="G58" i="14"/>
  <c r="F58" i="14"/>
  <c r="E58" i="14"/>
  <c r="D58" i="14"/>
  <c r="C58" i="14"/>
  <c r="B58" i="14"/>
  <c r="A58" i="14"/>
  <c r="X57" i="14"/>
  <c r="W57" i="14"/>
  <c r="V57" i="14"/>
  <c r="U57" i="14"/>
  <c r="T57" i="14"/>
  <c r="S57" i="14"/>
  <c r="R57" i="14"/>
  <c r="Q57" i="14"/>
  <c r="P57" i="14"/>
  <c r="O57" i="14"/>
  <c r="N57" i="14"/>
  <c r="M57" i="14"/>
  <c r="L57" i="14"/>
  <c r="K57" i="14"/>
  <c r="J57" i="14"/>
  <c r="I57" i="14"/>
  <c r="H57" i="14"/>
  <c r="G57" i="14"/>
  <c r="F57" i="14"/>
  <c r="E57" i="14"/>
  <c r="D57" i="14"/>
  <c r="C57" i="14"/>
  <c r="B57" i="14"/>
  <c r="A57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D56" i="12" s="1"/>
  <c r="A56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A55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A54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A53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A52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A51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A50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A49" i="14"/>
  <c r="X48" i="14"/>
  <c r="W48" i="14"/>
  <c r="V48" i="14"/>
  <c r="U48" i="14"/>
  <c r="T48" i="14"/>
  <c r="S48" i="14"/>
  <c r="R48" i="14"/>
  <c r="Q48" i="14"/>
  <c r="P48" i="14"/>
  <c r="O48" i="14"/>
  <c r="N48" i="14"/>
  <c r="M48" i="14"/>
  <c r="L48" i="14"/>
  <c r="K48" i="14"/>
  <c r="J48" i="14"/>
  <c r="I48" i="14"/>
  <c r="H48" i="14"/>
  <c r="G48" i="14"/>
  <c r="F48" i="14"/>
  <c r="E48" i="14"/>
  <c r="D48" i="14"/>
  <c r="C48" i="14"/>
  <c r="B48" i="14"/>
  <c r="D48" i="12" s="1"/>
  <c r="A48" i="14"/>
  <c r="X47" i="14"/>
  <c r="W47" i="14"/>
  <c r="V47" i="14"/>
  <c r="U47" i="14"/>
  <c r="T47" i="14"/>
  <c r="S47" i="14"/>
  <c r="R47" i="14"/>
  <c r="Q47" i="14"/>
  <c r="P47" i="14"/>
  <c r="O47" i="14"/>
  <c r="N47" i="14"/>
  <c r="M47" i="14"/>
  <c r="L47" i="14"/>
  <c r="K47" i="14"/>
  <c r="J47" i="14"/>
  <c r="I47" i="14"/>
  <c r="H47" i="14"/>
  <c r="G47" i="14"/>
  <c r="F47" i="14"/>
  <c r="E47" i="14"/>
  <c r="D47" i="14"/>
  <c r="C47" i="14"/>
  <c r="B47" i="14"/>
  <c r="A47" i="14"/>
  <c r="X46" i="14"/>
  <c r="W46" i="14"/>
  <c r="V46" i="14"/>
  <c r="U46" i="14"/>
  <c r="T46" i="14"/>
  <c r="S46" i="14"/>
  <c r="R46" i="14"/>
  <c r="Q46" i="14"/>
  <c r="P46" i="14"/>
  <c r="O46" i="14"/>
  <c r="N46" i="14"/>
  <c r="M46" i="14"/>
  <c r="L46" i="14"/>
  <c r="K46" i="14"/>
  <c r="J46" i="14"/>
  <c r="I46" i="14"/>
  <c r="H46" i="14"/>
  <c r="G46" i="14"/>
  <c r="F46" i="14"/>
  <c r="E46" i="14"/>
  <c r="D46" i="14"/>
  <c r="C46" i="14"/>
  <c r="B46" i="14"/>
  <c r="A46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A45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A44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A43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A42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A41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A40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A39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A38" i="14"/>
  <c r="X37" i="14"/>
  <c r="W37" i="14"/>
  <c r="V37" i="14"/>
  <c r="U37" i="14"/>
  <c r="T37" i="14"/>
  <c r="S37" i="14"/>
  <c r="R37" i="14"/>
  <c r="Q37" i="14"/>
  <c r="P37" i="14"/>
  <c r="O37" i="14"/>
  <c r="N37" i="14"/>
  <c r="M37" i="14"/>
  <c r="L37" i="14"/>
  <c r="K37" i="14"/>
  <c r="J37" i="14"/>
  <c r="I37" i="14"/>
  <c r="H37" i="14"/>
  <c r="G37" i="14"/>
  <c r="F37" i="14"/>
  <c r="E37" i="14"/>
  <c r="D37" i="14"/>
  <c r="C37" i="14"/>
  <c r="B37" i="14"/>
  <c r="A37" i="14"/>
  <c r="X36" i="14"/>
  <c r="W36" i="14"/>
  <c r="V36" i="14"/>
  <c r="U36" i="14"/>
  <c r="T36" i="14"/>
  <c r="S36" i="14"/>
  <c r="R36" i="14"/>
  <c r="Q36" i="14"/>
  <c r="P36" i="14"/>
  <c r="O36" i="14"/>
  <c r="N36" i="14"/>
  <c r="M36" i="14"/>
  <c r="L36" i="14"/>
  <c r="K36" i="14"/>
  <c r="J36" i="14"/>
  <c r="I36" i="14"/>
  <c r="H36" i="14"/>
  <c r="G36" i="14"/>
  <c r="F36" i="14"/>
  <c r="E36" i="14"/>
  <c r="D36" i="14"/>
  <c r="C36" i="14"/>
  <c r="B36" i="14"/>
  <c r="A36" i="14"/>
  <c r="X35" i="14"/>
  <c r="W35" i="14"/>
  <c r="V35" i="14"/>
  <c r="U35" i="14"/>
  <c r="T35" i="14"/>
  <c r="S35" i="14"/>
  <c r="R35" i="14"/>
  <c r="Q35" i="14"/>
  <c r="P35" i="14"/>
  <c r="O35" i="14"/>
  <c r="N35" i="14"/>
  <c r="M35" i="14"/>
  <c r="L35" i="14"/>
  <c r="K35" i="14"/>
  <c r="J35" i="14"/>
  <c r="I35" i="14"/>
  <c r="H35" i="14"/>
  <c r="G35" i="14"/>
  <c r="F35" i="14"/>
  <c r="E35" i="14"/>
  <c r="D35" i="14"/>
  <c r="C35" i="14"/>
  <c r="B35" i="14"/>
  <c r="A35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A34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A33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A32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A31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A30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A29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A28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A27" i="14"/>
  <c r="X26" i="14"/>
  <c r="W26" i="14"/>
  <c r="V26" i="14"/>
  <c r="U26" i="14"/>
  <c r="T26" i="14"/>
  <c r="S26" i="14"/>
  <c r="R26" i="14"/>
  <c r="Q26" i="14"/>
  <c r="P26" i="14"/>
  <c r="O26" i="14"/>
  <c r="N26" i="14"/>
  <c r="M26" i="14"/>
  <c r="L26" i="14"/>
  <c r="K26" i="14"/>
  <c r="J26" i="14"/>
  <c r="I26" i="14"/>
  <c r="H26" i="14"/>
  <c r="G26" i="14"/>
  <c r="F26" i="14"/>
  <c r="E26" i="14"/>
  <c r="D26" i="14"/>
  <c r="C26" i="14"/>
  <c r="B26" i="14"/>
  <c r="A26" i="14"/>
  <c r="X25" i="14"/>
  <c r="W25" i="14"/>
  <c r="V25" i="14"/>
  <c r="U25" i="14"/>
  <c r="T25" i="14"/>
  <c r="S25" i="14"/>
  <c r="R25" i="14"/>
  <c r="Q25" i="14"/>
  <c r="P25" i="14"/>
  <c r="O25" i="14"/>
  <c r="N25" i="14"/>
  <c r="M25" i="14"/>
  <c r="L25" i="14"/>
  <c r="K25" i="14"/>
  <c r="J25" i="14"/>
  <c r="I25" i="14"/>
  <c r="H25" i="14"/>
  <c r="G25" i="14"/>
  <c r="F25" i="14"/>
  <c r="E25" i="14"/>
  <c r="D25" i="14"/>
  <c r="C25" i="14"/>
  <c r="B25" i="14"/>
  <c r="A25" i="14"/>
  <c r="X24" i="14"/>
  <c r="W24" i="14"/>
  <c r="V24" i="14"/>
  <c r="U24" i="14"/>
  <c r="T24" i="14"/>
  <c r="S24" i="14"/>
  <c r="R24" i="14"/>
  <c r="Q24" i="14"/>
  <c r="P24" i="14"/>
  <c r="O24" i="14"/>
  <c r="N24" i="14"/>
  <c r="M24" i="14"/>
  <c r="L24" i="14"/>
  <c r="K24" i="14"/>
  <c r="J24" i="14"/>
  <c r="I24" i="14"/>
  <c r="H24" i="14"/>
  <c r="G24" i="14"/>
  <c r="F24" i="14"/>
  <c r="E24" i="14"/>
  <c r="D24" i="14"/>
  <c r="C24" i="14"/>
  <c r="B24" i="14"/>
  <c r="A24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A23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A22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A21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A20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19" i="14"/>
  <c r="X18" i="14"/>
  <c r="W18" i="14"/>
  <c r="V18" i="14"/>
  <c r="U18" i="14"/>
  <c r="T18" i="14"/>
  <c r="S18" i="14"/>
  <c r="R18" i="14"/>
  <c r="Q18" i="14"/>
  <c r="P18" i="14"/>
  <c r="O18" i="14"/>
  <c r="N18" i="14"/>
  <c r="M18" i="14"/>
  <c r="L18" i="14"/>
  <c r="K18" i="14"/>
  <c r="J18" i="14"/>
  <c r="I18" i="14"/>
  <c r="H18" i="14"/>
  <c r="G18" i="14"/>
  <c r="F18" i="14"/>
  <c r="E18" i="14"/>
  <c r="D18" i="14"/>
  <c r="C18" i="14"/>
  <c r="B18" i="14"/>
  <c r="A18" i="14"/>
  <c r="X17" i="14"/>
  <c r="W17" i="14"/>
  <c r="V17" i="14"/>
  <c r="U17" i="14"/>
  <c r="T17" i="14"/>
  <c r="S17" i="14"/>
  <c r="R17" i="14"/>
  <c r="Q17" i="14"/>
  <c r="P17" i="14"/>
  <c r="O17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B17" i="14"/>
  <c r="A17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B16" i="14"/>
  <c r="A16" i="14"/>
  <c r="X15" i="14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G15" i="14"/>
  <c r="F15" i="14"/>
  <c r="E15" i="14"/>
  <c r="D15" i="14"/>
  <c r="C15" i="14"/>
  <c r="B15" i="14"/>
  <c r="A15" i="14"/>
  <c r="X14" i="14"/>
  <c r="W14" i="14"/>
  <c r="V14" i="14"/>
  <c r="U14" i="14"/>
  <c r="T14" i="14"/>
  <c r="S14" i="14"/>
  <c r="R14" i="14"/>
  <c r="Q14" i="14"/>
  <c r="P14" i="14"/>
  <c r="O14" i="14"/>
  <c r="N14" i="14"/>
  <c r="M14" i="14"/>
  <c r="L14" i="14"/>
  <c r="K14" i="14"/>
  <c r="J14" i="14"/>
  <c r="I14" i="14"/>
  <c r="H14" i="14"/>
  <c r="G14" i="14"/>
  <c r="F14" i="14"/>
  <c r="E14" i="14"/>
  <c r="D14" i="14"/>
  <c r="C14" i="14"/>
  <c r="B14" i="14"/>
  <c r="A14" i="14"/>
  <c r="X13" i="14"/>
  <c r="W13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H13" i="14"/>
  <c r="G13" i="14"/>
  <c r="F13" i="14"/>
  <c r="E13" i="14"/>
  <c r="D13" i="14"/>
  <c r="C13" i="14"/>
  <c r="B13" i="14"/>
  <c r="A13" i="14"/>
  <c r="X12" i="14"/>
  <c r="W12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I12" i="14"/>
  <c r="H12" i="14"/>
  <c r="G12" i="14"/>
  <c r="F12" i="14"/>
  <c r="E12" i="14"/>
  <c r="D12" i="14"/>
  <c r="C12" i="14"/>
  <c r="B12" i="14"/>
  <c r="A12" i="14"/>
  <c r="X11" i="14"/>
  <c r="W11" i="14"/>
  <c r="V11" i="14"/>
  <c r="U11" i="14"/>
  <c r="T11" i="14"/>
  <c r="S11" i="14"/>
  <c r="R11" i="14"/>
  <c r="Q11" i="14"/>
  <c r="P11" i="14"/>
  <c r="O11" i="14"/>
  <c r="N11" i="14"/>
  <c r="M11" i="14"/>
  <c r="L11" i="14"/>
  <c r="K11" i="14"/>
  <c r="J11" i="14"/>
  <c r="I11" i="14"/>
  <c r="H11" i="14"/>
  <c r="G11" i="14"/>
  <c r="F11" i="14"/>
  <c r="E11" i="14"/>
  <c r="D11" i="14"/>
  <c r="C11" i="14"/>
  <c r="B11" i="14"/>
  <c r="A11" i="14"/>
  <c r="X10" i="14"/>
  <c r="W10" i="14"/>
  <c r="V10" i="14"/>
  <c r="U10" i="14"/>
  <c r="T10" i="14"/>
  <c r="S10" i="14"/>
  <c r="R10" i="14"/>
  <c r="Q10" i="14"/>
  <c r="P10" i="14"/>
  <c r="O10" i="14"/>
  <c r="N10" i="14"/>
  <c r="M10" i="14"/>
  <c r="L10" i="14"/>
  <c r="K10" i="14"/>
  <c r="J10" i="14"/>
  <c r="I10" i="14"/>
  <c r="H10" i="14"/>
  <c r="G10" i="14"/>
  <c r="F10" i="14"/>
  <c r="E10" i="14"/>
  <c r="D10" i="14"/>
  <c r="C10" i="14"/>
  <c r="B10" i="14"/>
  <c r="A10" i="14"/>
  <c r="X9" i="14"/>
  <c r="W9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C9" i="14"/>
  <c r="B9" i="14"/>
  <c r="A9" i="14"/>
  <c r="X8" i="14"/>
  <c r="W8" i="14"/>
  <c r="V8" i="14"/>
  <c r="U8" i="14"/>
  <c r="T8" i="14"/>
  <c r="S8" i="14"/>
  <c r="R8" i="14"/>
  <c r="Q8" i="14"/>
  <c r="P8" i="14"/>
  <c r="O8" i="14"/>
  <c r="N8" i="14"/>
  <c r="M8" i="14"/>
  <c r="L8" i="14"/>
  <c r="K8" i="14"/>
  <c r="J8" i="14"/>
  <c r="I8" i="14"/>
  <c r="H8" i="14"/>
  <c r="G8" i="14"/>
  <c r="F8" i="14"/>
  <c r="E8" i="14"/>
  <c r="D8" i="14"/>
  <c r="C8" i="14"/>
  <c r="B8" i="14"/>
  <c r="A8" i="14"/>
  <c r="X7" i="14"/>
  <c r="W7" i="14"/>
  <c r="V7" i="14"/>
  <c r="U7" i="14"/>
  <c r="T7" i="14"/>
  <c r="S7" i="14"/>
  <c r="R7" i="14"/>
  <c r="Q7" i="14"/>
  <c r="P7" i="14"/>
  <c r="O7" i="14"/>
  <c r="N7" i="14"/>
  <c r="M7" i="14"/>
  <c r="L7" i="14"/>
  <c r="K7" i="14"/>
  <c r="J7" i="14"/>
  <c r="I7" i="14"/>
  <c r="H7" i="14"/>
  <c r="G7" i="14"/>
  <c r="F7" i="14"/>
  <c r="E7" i="14"/>
  <c r="D7" i="14"/>
  <c r="C7" i="14"/>
  <c r="B7" i="14"/>
  <c r="A7" i="14"/>
  <c r="X6" i="14"/>
  <c r="W6" i="14"/>
  <c r="V6" i="14"/>
  <c r="U6" i="14"/>
  <c r="T6" i="14"/>
  <c r="S6" i="14"/>
  <c r="R6" i="14"/>
  <c r="Q6" i="14"/>
  <c r="P6" i="14"/>
  <c r="O6" i="14"/>
  <c r="N6" i="14"/>
  <c r="M6" i="14"/>
  <c r="L6" i="14"/>
  <c r="K6" i="14"/>
  <c r="J6" i="14"/>
  <c r="I6" i="14"/>
  <c r="H6" i="14"/>
  <c r="G6" i="14"/>
  <c r="F6" i="14"/>
  <c r="E6" i="14"/>
  <c r="D6" i="14"/>
  <c r="C6" i="14"/>
  <c r="B6" i="14"/>
  <c r="D6" i="12" s="1"/>
  <c r="A6" i="14"/>
  <c r="X5" i="14"/>
  <c r="W5" i="14"/>
  <c r="V5" i="14"/>
  <c r="U5" i="14"/>
  <c r="T5" i="14"/>
  <c r="S5" i="14"/>
  <c r="R5" i="14"/>
  <c r="Q5" i="14"/>
  <c r="P5" i="14"/>
  <c r="O5" i="14"/>
  <c r="N5" i="14"/>
  <c r="M5" i="14"/>
  <c r="L5" i="14"/>
  <c r="K5" i="14"/>
  <c r="J5" i="14"/>
  <c r="I5" i="14"/>
  <c r="H5" i="14"/>
  <c r="G5" i="14"/>
  <c r="F5" i="14"/>
  <c r="E5" i="14"/>
  <c r="D5" i="14"/>
  <c r="C5" i="14"/>
  <c r="B5" i="14"/>
  <c r="A5" i="14"/>
  <c r="X4" i="14"/>
  <c r="W4" i="14"/>
  <c r="V4" i="14"/>
  <c r="U4" i="14"/>
  <c r="T4" i="14"/>
  <c r="S4" i="14"/>
  <c r="R4" i="14"/>
  <c r="Q4" i="14"/>
  <c r="P4" i="14"/>
  <c r="O4" i="14"/>
  <c r="N4" i="14"/>
  <c r="M4" i="14"/>
  <c r="L4" i="14"/>
  <c r="K4" i="14"/>
  <c r="J4" i="14"/>
  <c r="I4" i="14"/>
  <c r="H4" i="14"/>
  <c r="G4" i="14"/>
  <c r="F4" i="14"/>
  <c r="E4" i="14"/>
  <c r="D4" i="14"/>
  <c r="C4" i="14"/>
  <c r="B4" i="14"/>
  <c r="A4" i="14"/>
  <c r="AN93" i="12"/>
  <c r="AG93" i="12"/>
  <c r="AN92" i="12"/>
  <c r="AG92" i="12"/>
  <c r="AN91" i="12"/>
  <c r="AG91" i="12"/>
  <c r="AN90" i="12"/>
  <c r="AG90" i="12"/>
  <c r="AN89" i="12"/>
  <c r="AG89" i="12"/>
  <c r="AN88" i="12"/>
  <c r="AG88" i="12"/>
  <c r="AN87" i="12"/>
  <c r="AG87" i="12"/>
  <c r="AN86" i="12"/>
  <c r="AG86" i="12"/>
  <c r="AN85" i="12"/>
  <c r="AG85" i="12"/>
  <c r="AN84" i="12"/>
  <c r="AG84" i="12"/>
  <c r="AN83" i="12"/>
  <c r="AG83" i="12"/>
  <c r="AN82" i="12"/>
  <c r="AG82" i="12"/>
  <c r="AN81" i="12"/>
  <c r="AG81" i="12"/>
  <c r="AN80" i="12"/>
  <c r="AG80" i="12"/>
  <c r="AN79" i="12"/>
  <c r="AG79" i="12"/>
  <c r="AN78" i="12"/>
  <c r="AG78" i="12"/>
  <c r="AN77" i="12"/>
  <c r="AG77" i="12"/>
  <c r="AN76" i="12"/>
  <c r="AG76" i="12"/>
  <c r="AN75" i="12"/>
  <c r="AG75" i="12"/>
  <c r="AN74" i="12"/>
  <c r="AG74" i="12"/>
  <c r="AN73" i="12"/>
  <c r="AG73" i="12"/>
  <c r="AN72" i="12"/>
  <c r="AG72" i="12"/>
  <c r="AN71" i="12"/>
  <c r="AG71" i="12"/>
  <c r="AN70" i="12"/>
  <c r="AG70" i="12"/>
  <c r="AN69" i="12"/>
  <c r="AG69" i="12"/>
  <c r="AN68" i="12"/>
  <c r="AG68" i="12"/>
  <c r="AN67" i="12"/>
  <c r="AG67" i="12"/>
  <c r="AN66" i="12"/>
  <c r="AG66" i="12"/>
  <c r="AN65" i="12"/>
  <c r="AG65" i="12"/>
  <c r="AN64" i="12"/>
  <c r="AG64" i="12"/>
  <c r="AN63" i="12"/>
  <c r="AG63" i="12"/>
  <c r="AN62" i="12"/>
  <c r="AG62" i="12"/>
  <c r="AN61" i="12"/>
  <c r="AG61" i="12"/>
  <c r="AN60" i="12"/>
  <c r="AG60" i="12"/>
  <c r="AN59" i="12"/>
  <c r="AG59" i="12"/>
  <c r="AN58" i="12"/>
  <c r="AG58" i="12"/>
  <c r="AN57" i="12"/>
  <c r="AG57" i="12"/>
  <c r="AN56" i="12"/>
  <c r="AG56" i="12"/>
  <c r="AN55" i="12"/>
  <c r="AG55" i="12"/>
  <c r="AS54" i="12"/>
  <c r="AR54" i="12"/>
  <c r="AQ54" i="12"/>
  <c r="AN54" i="12"/>
  <c r="AG54" i="12"/>
  <c r="AS53" i="12"/>
  <c r="AR53" i="12"/>
  <c r="AQ53" i="12"/>
  <c r="AN53" i="12"/>
  <c r="AG53" i="12"/>
  <c r="AS52" i="12"/>
  <c r="AR52" i="12"/>
  <c r="AQ52" i="12"/>
  <c r="AN52" i="12"/>
  <c r="AG52" i="12"/>
  <c r="AS51" i="12"/>
  <c r="AR51" i="12"/>
  <c r="AQ51" i="12"/>
  <c r="AN51" i="12"/>
  <c r="AG51" i="12"/>
  <c r="BA50" i="12"/>
  <c r="AX50" i="12"/>
  <c r="AS50" i="12"/>
  <c r="AR50" i="12"/>
  <c r="AQ50" i="12"/>
  <c r="AN50" i="12"/>
  <c r="AG50" i="12"/>
  <c r="AN49" i="12"/>
  <c r="AG49" i="12"/>
  <c r="AN48" i="12"/>
  <c r="AG48" i="12"/>
  <c r="AN47" i="12"/>
  <c r="AG47" i="12"/>
  <c r="AN46" i="12"/>
  <c r="AG46" i="12"/>
  <c r="AN45" i="12"/>
  <c r="AG45" i="12"/>
  <c r="AN44" i="12"/>
  <c r="AG44" i="12"/>
  <c r="AN43" i="12"/>
  <c r="AG43" i="12"/>
  <c r="AN42" i="12"/>
  <c r="AG42" i="12"/>
  <c r="AN41" i="12"/>
  <c r="AG41" i="12"/>
  <c r="AN40" i="12"/>
  <c r="AG40" i="12"/>
  <c r="AN39" i="12"/>
  <c r="AG39" i="12"/>
  <c r="AN38" i="12"/>
  <c r="AG38" i="12"/>
  <c r="AN37" i="12"/>
  <c r="AG37" i="12"/>
  <c r="AN36" i="12"/>
  <c r="AG36" i="12"/>
  <c r="AN35" i="12"/>
  <c r="AG35" i="12"/>
  <c r="AN34" i="12"/>
  <c r="AG34" i="12"/>
  <c r="AN33" i="12"/>
  <c r="AG33" i="12"/>
  <c r="AN32" i="12"/>
  <c r="AG32" i="12"/>
  <c r="AN31" i="12"/>
  <c r="AG31" i="12"/>
  <c r="AN30" i="12"/>
  <c r="AL30" i="12"/>
  <c r="AL31" i="12" s="1"/>
  <c r="AL32" i="12" s="1"/>
  <c r="AL33" i="12" s="1"/>
  <c r="AL34" i="12" s="1"/>
  <c r="AL35" i="12" s="1"/>
  <c r="AL36" i="12" s="1"/>
  <c r="AL37" i="12" s="1"/>
  <c r="AL38" i="12" s="1"/>
  <c r="AL39" i="12" s="1"/>
  <c r="AL40" i="12" s="1"/>
  <c r="AL41" i="12" s="1"/>
  <c r="AL42" i="12" s="1"/>
  <c r="AL43" i="12" s="1"/>
  <c r="AL44" i="12" s="1"/>
  <c r="AL45" i="12" s="1"/>
  <c r="AL46" i="12" s="1"/>
  <c r="AL47" i="12" s="1"/>
  <c r="AL48" i="12" s="1"/>
  <c r="AL49" i="12" s="1"/>
  <c r="AL50" i="12" s="1"/>
  <c r="AL51" i="12" s="1"/>
  <c r="AL52" i="12" s="1"/>
  <c r="AL53" i="12" s="1"/>
  <c r="AL54" i="12" s="1"/>
  <c r="AL55" i="12" s="1"/>
  <c r="AL56" i="12" s="1"/>
  <c r="AL57" i="12" s="1"/>
  <c r="AL58" i="12" s="1"/>
  <c r="AL59" i="12" s="1"/>
  <c r="AL60" i="12" s="1"/>
  <c r="AL61" i="12" s="1"/>
  <c r="AL62" i="12" s="1"/>
  <c r="AL63" i="12" s="1"/>
  <c r="AL64" i="12" s="1"/>
  <c r="AL65" i="12" s="1"/>
  <c r="AL66" i="12" s="1"/>
  <c r="AL67" i="12" s="1"/>
  <c r="AL68" i="12" s="1"/>
  <c r="AL69" i="12" s="1"/>
  <c r="AL70" i="12" s="1"/>
  <c r="AL71" i="12" s="1"/>
  <c r="AL72" i="12" s="1"/>
  <c r="AL73" i="12" s="1"/>
  <c r="AL74" i="12" s="1"/>
  <c r="AL75" i="12" s="1"/>
  <c r="AL76" i="12" s="1"/>
  <c r="AL77" i="12" s="1"/>
  <c r="AL78" i="12" s="1"/>
  <c r="AL79" i="12" s="1"/>
  <c r="AL80" i="12" s="1"/>
  <c r="AL81" i="12" s="1"/>
  <c r="AL82" i="12" s="1"/>
  <c r="AL83" i="12" s="1"/>
  <c r="AL84" i="12" s="1"/>
  <c r="AL85" i="12" s="1"/>
  <c r="AL86" i="12" s="1"/>
  <c r="AL87" i="12" s="1"/>
  <c r="AL88" i="12" s="1"/>
  <c r="AL89" i="12" s="1"/>
  <c r="AL90" i="12" s="1"/>
  <c r="AL91" i="12" s="1"/>
  <c r="AL92" i="12" s="1"/>
  <c r="AL93" i="12" s="1"/>
  <c r="AG30" i="12"/>
  <c r="BD29" i="12"/>
  <c r="AZ29" i="12"/>
  <c r="AX29" i="12"/>
  <c r="AU29" i="12"/>
  <c r="AT29" i="12"/>
  <c r="AS29" i="12"/>
  <c r="AN29" i="12"/>
  <c r="AL29" i="12"/>
  <c r="AG29" i="12"/>
  <c r="BD28" i="12"/>
  <c r="AZ28" i="12"/>
  <c r="AY28" i="12"/>
  <c r="AX28" i="12"/>
  <c r="AU28" i="12"/>
  <c r="AT28" i="12"/>
  <c r="AV28" i="12" s="1"/>
  <c r="AS28" i="12"/>
  <c r="AN28" i="12"/>
  <c r="AL28" i="12"/>
  <c r="AG28" i="12"/>
  <c r="BD27" i="12"/>
  <c r="AZ27" i="12"/>
  <c r="AY27" i="12"/>
  <c r="AX27" i="12"/>
  <c r="AN27" i="12"/>
  <c r="AL27" i="12"/>
  <c r="AG27" i="12"/>
  <c r="BD26" i="12"/>
  <c r="AZ26" i="12"/>
  <c r="AU26" i="12"/>
  <c r="AT26" i="12"/>
  <c r="AV26" i="12" s="1"/>
  <c r="AS26" i="12"/>
  <c r="AX26" i="12" s="1"/>
  <c r="AN26" i="12"/>
  <c r="AL26" i="12"/>
  <c r="AG26" i="12"/>
  <c r="BD25" i="12"/>
  <c r="AZ25" i="12"/>
  <c r="AU25" i="12"/>
  <c r="AT25" i="12"/>
  <c r="AS25" i="12"/>
  <c r="AX25" i="12" s="1"/>
  <c r="AN25" i="12"/>
  <c r="AL25" i="12"/>
  <c r="AG25" i="12"/>
  <c r="BD24" i="12"/>
  <c r="AZ24" i="12"/>
  <c r="AY24" i="12"/>
  <c r="AU24" i="12"/>
  <c r="AT24" i="12"/>
  <c r="AS24" i="12"/>
  <c r="AX24" i="12" s="1"/>
  <c r="AN24" i="12"/>
  <c r="AL24" i="12"/>
  <c r="AG24" i="12"/>
  <c r="BD23" i="12"/>
  <c r="AZ23" i="12"/>
  <c r="AU23" i="12"/>
  <c r="AT23" i="12"/>
  <c r="AS23" i="12"/>
  <c r="AX23" i="12" s="1"/>
  <c r="AN23" i="12"/>
  <c r="AM23" i="12"/>
  <c r="AM24" i="12" s="1"/>
  <c r="AM25" i="12" s="1"/>
  <c r="AM26" i="12" s="1"/>
  <c r="AM27" i="12" s="1"/>
  <c r="AM28" i="12" s="1"/>
  <c r="AM29" i="12" s="1"/>
  <c r="AM30" i="12" s="1"/>
  <c r="AM31" i="12" s="1"/>
  <c r="AM32" i="12" s="1"/>
  <c r="AM33" i="12" s="1"/>
  <c r="AM34" i="12" s="1"/>
  <c r="AM35" i="12" s="1"/>
  <c r="AM36" i="12" s="1"/>
  <c r="AM37" i="12" s="1"/>
  <c r="AM38" i="12" s="1"/>
  <c r="AM39" i="12" s="1"/>
  <c r="AM40" i="12" s="1"/>
  <c r="AM41" i="12" s="1"/>
  <c r="AM42" i="12" s="1"/>
  <c r="AM43" i="12" s="1"/>
  <c r="AM44" i="12" s="1"/>
  <c r="AM45" i="12" s="1"/>
  <c r="AM46" i="12" s="1"/>
  <c r="AM47" i="12" s="1"/>
  <c r="AM48" i="12" s="1"/>
  <c r="AM49" i="12" s="1"/>
  <c r="AM50" i="12" s="1"/>
  <c r="AM51" i="12" s="1"/>
  <c r="AM52" i="12" s="1"/>
  <c r="AM53" i="12" s="1"/>
  <c r="AM54" i="12" s="1"/>
  <c r="AM55" i="12" s="1"/>
  <c r="AM56" i="12" s="1"/>
  <c r="AM57" i="12" s="1"/>
  <c r="AM58" i="12" s="1"/>
  <c r="AM59" i="12" s="1"/>
  <c r="AM60" i="12" s="1"/>
  <c r="AM61" i="12" s="1"/>
  <c r="AM62" i="12" s="1"/>
  <c r="AM63" i="12" s="1"/>
  <c r="AM64" i="12" s="1"/>
  <c r="AM65" i="12" s="1"/>
  <c r="AM66" i="12" s="1"/>
  <c r="AM67" i="12" s="1"/>
  <c r="AM68" i="12" s="1"/>
  <c r="AM69" i="12" s="1"/>
  <c r="AM70" i="12" s="1"/>
  <c r="AM71" i="12" s="1"/>
  <c r="AM72" i="12" s="1"/>
  <c r="AM73" i="12" s="1"/>
  <c r="AM74" i="12" s="1"/>
  <c r="AM75" i="12" s="1"/>
  <c r="AM76" i="12" s="1"/>
  <c r="AM77" i="12" s="1"/>
  <c r="AM78" i="12" s="1"/>
  <c r="AM79" i="12" s="1"/>
  <c r="AM80" i="12" s="1"/>
  <c r="AM81" i="12" s="1"/>
  <c r="AM82" i="12" s="1"/>
  <c r="AM83" i="12" s="1"/>
  <c r="AM84" i="12" s="1"/>
  <c r="AM85" i="12" s="1"/>
  <c r="AM86" i="12" s="1"/>
  <c r="AM87" i="12" s="1"/>
  <c r="AM88" i="12" s="1"/>
  <c r="AM89" i="12" s="1"/>
  <c r="AM90" i="12" s="1"/>
  <c r="AM91" i="12" s="1"/>
  <c r="AM92" i="12" s="1"/>
  <c r="AM93" i="12" s="1"/>
  <c r="AL23" i="12"/>
  <c r="AG23" i="12"/>
  <c r="BD22" i="12"/>
  <c r="AZ22" i="12"/>
  <c r="AU22" i="12"/>
  <c r="AT22" i="12"/>
  <c r="AS22" i="12"/>
  <c r="AX22" i="12" s="1"/>
  <c r="AN22" i="12"/>
  <c r="AM22" i="12"/>
  <c r="AL22" i="12"/>
  <c r="AG22" i="12"/>
  <c r="BD21" i="12"/>
  <c r="AZ21" i="12"/>
  <c r="AY21" i="12"/>
  <c r="AU21" i="12"/>
  <c r="AT21" i="12"/>
  <c r="AS21" i="12"/>
  <c r="AX21" i="12" s="1"/>
  <c r="AN21" i="12"/>
  <c r="AM21" i="12"/>
  <c r="AL21" i="12"/>
  <c r="AG21" i="12"/>
  <c r="BD20" i="12"/>
  <c r="AZ20" i="12"/>
  <c r="AU20" i="12"/>
  <c r="AT20" i="12"/>
  <c r="AS20" i="12"/>
  <c r="AX20" i="12" s="1"/>
  <c r="AN20" i="12"/>
  <c r="AM20" i="12"/>
  <c r="AL20" i="12"/>
  <c r="AG20" i="12"/>
  <c r="BD19" i="12"/>
  <c r="AZ19" i="12"/>
  <c r="AU19" i="12"/>
  <c r="AT19" i="12"/>
  <c r="AS19" i="12"/>
  <c r="AX19" i="12" s="1"/>
  <c r="AN19" i="12"/>
  <c r="AM19" i="12"/>
  <c r="AL19" i="12"/>
  <c r="AG19" i="12"/>
  <c r="BD18" i="12"/>
  <c r="AZ18" i="12"/>
  <c r="AU18" i="12"/>
  <c r="AT18" i="12"/>
  <c r="AS18" i="12"/>
  <c r="AX18" i="12" s="1"/>
  <c r="AN18" i="12"/>
  <c r="AM18" i="12"/>
  <c r="AL18" i="12"/>
  <c r="AG18" i="12"/>
  <c r="BD17" i="12"/>
  <c r="AZ17" i="12"/>
  <c r="AY17" i="12"/>
  <c r="AU17" i="12"/>
  <c r="AT17" i="12"/>
  <c r="AS17" i="12"/>
  <c r="AX17" i="12" s="1"/>
  <c r="AN17" i="12"/>
  <c r="AM17" i="12"/>
  <c r="AL17" i="12"/>
  <c r="AG17" i="12"/>
  <c r="BD16" i="12"/>
  <c r="AZ16" i="12"/>
  <c r="AU16" i="12"/>
  <c r="AT16" i="12"/>
  <c r="AS16" i="12"/>
  <c r="AX16" i="12" s="1"/>
  <c r="AN16" i="12"/>
  <c r="AM16" i="12"/>
  <c r="AL16" i="12"/>
  <c r="AG16" i="12"/>
  <c r="BD15" i="12"/>
  <c r="AZ15" i="12"/>
  <c r="AU15" i="12"/>
  <c r="AT15" i="12"/>
  <c r="AS15" i="12"/>
  <c r="AX15" i="12" s="1"/>
  <c r="AN15" i="12"/>
  <c r="AM15" i="12"/>
  <c r="AL15" i="12"/>
  <c r="AG15" i="12"/>
  <c r="BD14" i="12"/>
  <c r="AZ14" i="12"/>
  <c r="AX14" i="12"/>
  <c r="AU14" i="12"/>
  <c r="AT14" i="12"/>
  <c r="AV14" i="12" s="1"/>
  <c r="AQ41" i="12" s="1"/>
  <c r="AS14" i="12"/>
  <c r="AN14" i="12"/>
  <c r="AM14" i="12"/>
  <c r="AL14" i="12"/>
  <c r="AG14" i="12"/>
  <c r="BD13" i="12"/>
  <c r="AZ13" i="12"/>
  <c r="AX13" i="12"/>
  <c r="AU13" i="12"/>
  <c r="AT13" i="12"/>
  <c r="AS13" i="12"/>
  <c r="AN13" i="12"/>
  <c r="AM13" i="12"/>
  <c r="AL13" i="12"/>
  <c r="AG13" i="12"/>
  <c r="BD12" i="12"/>
  <c r="AZ12" i="12"/>
  <c r="AU12" i="12"/>
  <c r="AT12" i="12"/>
  <c r="AV12" i="12" s="1"/>
  <c r="AQ39" i="12" s="1"/>
  <c r="AR39" i="12" s="1"/>
  <c r="AS12" i="12"/>
  <c r="AX12" i="12" s="1"/>
  <c r="AN12" i="12"/>
  <c r="AM12" i="12"/>
  <c r="AL12" i="12"/>
  <c r="AG12" i="12"/>
  <c r="BD11" i="12"/>
  <c r="AZ11" i="12"/>
  <c r="AY11" i="12"/>
  <c r="AU11" i="12"/>
  <c r="AT11" i="12"/>
  <c r="AS11" i="12"/>
  <c r="AX11" i="12" s="1"/>
  <c r="AN11" i="12"/>
  <c r="AM11" i="12"/>
  <c r="AL11" i="12"/>
  <c r="AG11" i="12"/>
  <c r="BD10" i="12"/>
  <c r="AZ10" i="12"/>
  <c r="AU10" i="12"/>
  <c r="AT10" i="12"/>
  <c r="AS10" i="12"/>
  <c r="AX10" i="12" s="1"/>
  <c r="AN10" i="12"/>
  <c r="AM10" i="12"/>
  <c r="AL10" i="12"/>
  <c r="AG10" i="12"/>
  <c r="BD9" i="12"/>
  <c r="AZ9" i="12"/>
  <c r="AY9" i="12"/>
  <c r="AU9" i="12"/>
  <c r="AT9" i="12"/>
  <c r="AS9" i="12"/>
  <c r="AX9" i="12" s="1"/>
  <c r="AN9" i="12"/>
  <c r="AM9" i="12"/>
  <c r="AL9" i="12"/>
  <c r="AG9" i="12"/>
  <c r="BD8" i="12"/>
  <c r="AZ8" i="12"/>
  <c r="AY8" i="12"/>
  <c r="AU8" i="12"/>
  <c r="AT8" i="12"/>
  <c r="AV8" i="12" s="1"/>
  <c r="AQ35" i="12" s="1"/>
  <c r="AR35" i="12" s="1"/>
  <c r="AS8" i="12"/>
  <c r="AX8" i="12" s="1"/>
  <c r="AN8" i="12"/>
  <c r="AM8" i="12"/>
  <c r="AL8" i="12"/>
  <c r="AG8" i="12"/>
  <c r="BD7" i="12"/>
  <c r="AZ7" i="12"/>
  <c r="AX7" i="12"/>
  <c r="AU7" i="12"/>
  <c r="AT7" i="12"/>
  <c r="AS7" i="12"/>
  <c r="AN7" i="12"/>
  <c r="AM7" i="12"/>
  <c r="AL7" i="12"/>
  <c r="AG7" i="12"/>
  <c r="BD6" i="12"/>
  <c r="AZ6" i="12"/>
  <c r="AU6" i="12"/>
  <c r="AT6" i="12"/>
  <c r="AS6" i="12"/>
  <c r="AX6" i="12" s="1"/>
  <c r="AN6" i="12"/>
  <c r="AM6" i="12"/>
  <c r="AL6" i="12"/>
  <c r="AG6" i="12"/>
  <c r="BD5" i="12"/>
  <c r="AZ5" i="12"/>
  <c r="AU5" i="12"/>
  <c r="AT5" i="12"/>
  <c r="AS5" i="12"/>
  <c r="AX5" i="12" s="1"/>
  <c r="AN5" i="12"/>
  <c r="AM5" i="12"/>
  <c r="AL5" i="12"/>
  <c r="AG5" i="12"/>
  <c r="BD4" i="12"/>
  <c r="AZ4" i="12"/>
  <c r="AU4" i="12"/>
  <c r="AT4" i="12"/>
  <c r="AS4" i="12"/>
  <c r="AX4" i="12" s="1"/>
  <c r="AN4" i="12"/>
  <c r="AM4" i="12"/>
  <c r="AL4" i="12"/>
  <c r="AG4" i="12"/>
  <c r="AJ2" i="12"/>
  <c r="AI2" i="12"/>
  <c r="AH2" i="12"/>
  <c r="AG2" i="12"/>
  <c r="AB2" i="12"/>
  <c r="T2" i="12"/>
  <c r="L2" i="12"/>
  <c r="A1" i="12"/>
  <c r="F24" i="12" l="1"/>
  <c r="F23" i="12"/>
  <c r="AV6" i="12"/>
  <c r="AQ33" i="12" s="1"/>
  <c r="AR33" i="12" s="1"/>
  <c r="AV5" i="12"/>
  <c r="AV11" i="12"/>
  <c r="AQ38" i="12" s="1"/>
  <c r="AV18" i="12"/>
  <c r="AV24" i="12"/>
  <c r="D83" i="12"/>
  <c r="F26" i="12"/>
  <c r="AV17" i="12"/>
  <c r="AQ37" i="12" s="1"/>
  <c r="AV9" i="12"/>
  <c r="AQ36" i="12" s="1"/>
  <c r="AV23" i="12"/>
  <c r="AQ43" i="12" s="1"/>
  <c r="T2" i="17"/>
  <c r="F74" i="12"/>
  <c r="F58" i="12"/>
  <c r="AV15" i="12"/>
  <c r="AQ42" i="12" s="1"/>
  <c r="AS42" i="12" s="1"/>
  <c r="AV21" i="12"/>
  <c r="AV20" i="12"/>
  <c r="F66" i="12"/>
  <c r="D2" i="17"/>
  <c r="L2" i="17"/>
  <c r="D4" i="12"/>
  <c r="E4" i="12" s="1"/>
  <c r="D7" i="12"/>
  <c r="D9" i="12"/>
  <c r="D10" i="12"/>
  <c r="D12" i="12"/>
  <c r="D13" i="12"/>
  <c r="D15" i="12"/>
  <c r="D16" i="12"/>
  <c r="D18" i="12"/>
  <c r="D19" i="12"/>
  <c r="D21" i="12"/>
  <c r="D22" i="12"/>
  <c r="D24" i="12"/>
  <c r="D25" i="12"/>
  <c r="D27" i="12"/>
  <c r="D28" i="12"/>
  <c r="D29" i="12"/>
  <c r="D31" i="12"/>
  <c r="D32" i="12"/>
  <c r="D37" i="12"/>
  <c r="D40" i="12"/>
  <c r="D41" i="12"/>
  <c r="AY23" i="12"/>
  <c r="T2" i="14"/>
  <c r="D49" i="12"/>
  <c r="D51" i="12"/>
  <c r="D57" i="12"/>
  <c r="D60" i="12"/>
  <c r="D63" i="12"/>
  <c r="D66" i="12"/>
  <c r="D69" i="12"/>
  <c r="D72" i="12"/>
  <c r="D75" i="12"/>
  <c r="D78" i="12"/>
  <c r="D81" i="12"/>
  <c r="D84" i="12"/>
  <c r="D87" i="12"/>
  <c r="D88" i="12"/>
  <c r="D90" i="12"/>
  <c r="D91" i="12"/>
  <c r="D93" i="12"/>
  <c r="T2" i="15"/>
  <c r="F53" i="12"/>
  <c r="AY14" i="12"/>
  <c r="AY20" i="12"/>
  <c r="AS35" i="12"/>
  <c r="AY5" i="12"/>
  <c r="AY26" i="12"/>
  <c r="F91" i="12"/>
  <c r="AS33" i="12"/>
  <c r="AS37" i="12"/>
  <c r="AR37" i="12"/>
  <c r="AS36" i="12"/>
  <c r="AR36" i="12"/>
  <c r="AY6" i="12"/>
  <c r="AR42" i="12"/>
  <c r="AY16" i="12"/>
  <c r="AV16" i="12"/>
  <c r="AS43" i="12"/>
  <c r="AR43" i="12"/>
  <c r="AY25" i="12"/>
  <c r="AV25" i="12"/>
  <c r="F25" i="12"/>
  <c r="D38" i="12"/>
  <c r="D39" i="12"/>
  <c r="D44" i="12"/>
  <c r="AY19" i="12"/>
  <c r="AV19" i="12"/>
  <c r="AY15" i="12"/>
  <c r="AY13" i="12"/>
  <c r="AV13" i="12"/>
  <c r="AQ40" i="12" s="1"/>
  <c r="AY12" i="12"/>
  <c r="AY18" i="12"/>
  <c r="F44" i="12"/>
  <c r="L2" i="14"/>
  <c r="F4" i="12"/>
  <c r="AY22" i="12"/>
  <c r="AV22" i="12"/>
  <c r="AQ45" i="12" s="1"/>
  <c r="AY4" i="12"/>
  <c r="AV4" i="12"/>
  <c r="AY29" i="12"/>
  <c r="AV29" i="12"/>
  <c r="AQ44" i="12" s="1"/>
  <c r="AS39" i="12"/>
  <c r="F80" i="12"/>
  <c r="AY7" i="12"/>
  <c r="AV7" i="12"/>
  <c r="AQ34" i="12" s="1"/>
  <c r="AY10" i="12"/>
  <c r="AV10" i="12"/>
  <c r="AS41" i="12"/>
  <c r="AR41" i="12"/>
  <c r="D2" i="14"/>
  <c r="D5" i="12"/>
  <c r="D8" i="12"/>
  <c r="D11" i="12"/>
  <c r="D14" i="12"/>
  <c r="D17" i="12"/>
  <c r="D20" i="12"/>
  <c r="D23" i="12"/>
  <c r="D26" i="12"/>
  <c r="D30" i="12"/>
  <c r="D33" i="12"/>
  <c r="D34" i="12"/>
  <c r="D35" i="12"/>
  <c r="D36" i="12"/>
  <c r="D42" i="12"/>
  <c r="D43" i="12"/>
  <c r="D45" i="12"/>
  <c r="D46" i="12"/>
  <c r="D47" i="12"/>
  <c r="D50" i="12"/>
  <c r="D52" i="12"/>
  <c r="D53" i="12"/>
  <c r="D54" i="12"/>
  <c r="D55" i="12"/>
  <c r="D58" i="12"/>
  <c r="D61" i="12"/>
  <c r="D64" i="12"/>
  <c r="D67" i="12"/>
  <c r="D70" i="12"/>
  <c r="D73" i="12"/>
  <c r="D76" i="12"/>
  <c r="D79" i="12"/>
  <c r="D82" i="12"/>
  <c r="D85" i="12"/>
  <c r="D2" i="15"/>
  <c r="L2" i="15"/>
  <c r="E87" i="12" l="1"/>
  <c r="AS38" i="12"/>
  <c r="AR38" i="12"/>
  <c r="E29" i="12"/>
  <c r="E74" i="12"/>
  <c r="E17" i="12"/>
  <c r="E56" i="12"/>
  <c r="E39" i="12"/>
  <c r="E13" i="12"/>
  <c r="E91" i="12"/>
  <c r="E51" i="12"/>
  <c r="E90" i="12"/>
  <c r="E54" i="12"/>
  <c r="E38" i="12"/>
  <c r="E20" i="12"/>
  <c r="E62" i="12"/>
  <c r="E10" i="12"/>
  <c r="E37" i="12"/>
  <c r="E7" i="12"/>
  <c r="E60" i="12"/>
  <c r="E23" i="12"/>
  <c r="E18" i="12"/>
  <c r="E31" i="12"/>
  <c r="E9" i="12"/>
  <c r="E16" i="12"/>
  <c r="AS34" i="12"/>
  <c r="AR34" i="12"/>
  <c r="E59" i="12"/>
  <c r="E57" i="12"/>
  <c r="E41" i="12"/>
  <c r="E65" i="12"/>
  <c r="E48" i="12"/>
  <c r="E19" i="12"/>
  <c r="E63" i="12"/>
  <c r="E26" i="12"/>
  <c r="AS40" i="12"/>
  <c r="AR40" i="12"/>
  <c r="E11" i="12"/>
  <c r="E15" i="12"/>
  <c r="E68" i="12"/>
  <c r="E22" i="12"/>
  <c r="E58" i="12"/>
  <c r="E35" i="12"/>
  <c r="E66" i="12"/>
  <c r="E30" i="12"/>
  <c r="C2" i="12"/>
  <c r="E93" i="12"/>
  <c r="AS44" i="12"/>
  <c r="AR44" i="12"/>
  <c r="E28" i="12"/>
  <c r="E27" i="12"/>
  <c r="E71" i="12"/>
  <c r="E25" i="12"/>
  <c r="E64" i="12"/>
  <c r="E47" i="12"/>
  <c r="E69" i="12"/>
  <c r="E45" i="12"/>
  <c r="E67" i="12"/>
  <c r="E34" i="12"/>
  <c r="E72" i="12"/>
  <c r="E50" i="12"/>
  <c r="E21" i="12"/>
  <c r="AV2" i="12"/>
  <c r="E12" i="12"/>
  <c r="E24" i="12"/>
  <c r="E77" i="12"/>
  <c r="E36" i="12"/>
  <c r="E73" i="12"/>
  <c r="E46" i="12"/>
  <c r="E75" i="12"/>
  <c r="E43" i="12"/>
  <c r="AZ2" i="12"/>
  <c r="E14" i="12"/>
  <c r="E49" i="12"/>
  <c r="E80" i="12"/>
  <c r="E55" i="12"/>
  <c r="E76" i="12"/>
  <c r="E53" i="12"/>
  <c r="E78" i="12"/>
  <c r="E89" i="12"/>
  <c r="AS45" i="12"/>
  <c r="AR45" i="12"/>
  <c r="E8" i="12"/>
  <c r="E32" i="12"/>
  <c r="E83" i="12"/>
  <c r="E61" i="12"/>
  <c r="E82" i="12"/>
  <c r="E33" i="12"/>
  <c r="E81" i="12"/>
  <c r="AQ46" i="12"/>
  <c r="E86" i="12"/>
  <c r="E52" i="12"/>
  <c r="E5" i="12"/>
  <c r="E42" i="12"/>
  <c r="E70" i="12"/>
  <c r="E85" i="12"/>
  <c r="E84" i="12"/>
  <c r="G52" i="12"/>
  <c r="G50" i="12"/>
  <c r="G45" i="12"/>
  <c r="G33" i="12"/>
  <c r="G30" i="12"/>
  <c r="G26" i="12"/>
  <c r="G23" i="12"/>
  <c r="G20" i="12"/>
  <c r="G17" i="12"/>
  <c r="G14" i="12"/>
  <c r="G11" i="12"/>
  <c r="G8" i="12"/>
  <c r="G5" i="12"/>
  <c r="G54" i="12"/>
  <c r="G35" i="12"/>
  <c r="G53" i="12"/>
  <c r="G46" i="12"/>
  <c r="G34" i="12"/>
  <c r="G47" i="12"/>
  <c r="G91" i="12"/>
  <c r="G88" i="12"/>
  <c r="G85" i="12"/>
  <c r="G82" i="12"/>
  <c r="G79" i="12"/>
  <c r="G76" i="12"/>
  <c r="G73" i="12"/>
  <c r="G70" i="12"/>
  <c r="G67" i="12"/>
  <c r="G64" i="12"/>
  <c r="G61" i="12"/>
  <c r="G58" i="12"/>
  <c r="G55" i="12"/>
  <c r="G36" i="12"/>
  <c r="G48" i="12"/>
  <c r="G37" i="12"/>
  <c r="G31" i="12"/>
  <c r="G29" i="12"/>
  <c r="G25" i="12"/>
  <c r="G22" i="12"/>
  <c r="G19" i="12"/>
  <c r="G16" i="12"/>
  <c r="G13" i="12"/>
  <c r="G10" i="12"/>
  <c r="G7" i="12"/>
  <c r="G4" i="12"/>
  <c r="G38" i="12"/>
  <c r="G39" i="12"/>
  <c r="F2" i="12"/>
  <c r="G49" i="12"/>
  <c r="G41" i="12"/>
  <c r="G32" i="12"/>
  <c r="G28" i="12"/>
  <c r="G27" i="12"/>
  <c r="G24" i="12"/>
  <c r="G21" i="12"/>
  <c r="G18" i="12"/>
  <c r="G15" i="12"/>
  <c r="G12" i="12"/>
  <c r="G9" i="12"/>
  <c r="G6" i="12"/>
  <c r="G42" i="12"/>
  <c r="G44" i="12"/>
  <c r="G86" i="12"/>
  <c r="G59" i="12"/>
  <c r="G51" i="12"/>
  <c r="G89" i="12"/>
  <c r="G74" i="12"/>
  <c r="G65" i="12"/>
  <c r="G93" i="12"/>
  <c r="G90" i="12"/>
  <c r="G87" i="12"/>
  <c r="G84" i="12"/>
  <c r="G81" i="12"/>
  <c r="G78" i="12"/>
  <c r="G75" i="12"/>
  <c r="G72" i="12"/>
  <c r="G69" i="12"/>
  <c r="G66" i="12"/>
  <c r="G63" i="12"/>
  <c r="G60" i="12"/>
  <c r="G57" i="12"/>
  <c r="G80" i="12"/>
  <c r="G62" i="12"/>
  <c r="G40" i="12"/>
  <c r="G83" i="12"/>
  <c r="G43" i="12"/>
  <c r="G92" i="12"/>
  <c r="G77" i="12"/>
  <c r="G71" i="12"/>
  <c r="G68" i="12"/>
  <c r="G56" i="12"/>
  <c r="E6" i="12"/>
  <c r="E40" i="12"/>
  <c r="E92" i="12"/>
  <c r="E79" i="12"/>
  <c r="E88" i="12"/>
  <c r="E44" i="12"/>
  <c r="AS46" i="12" l="1"/>
  <c r="AS47" i="12" s="1"/>
  <c r="AR46" i="12"/>
  <c r="E95" i="12"/>
  <c r="AR47" i="12"/>
  <c r="AX2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Cortana</author>
  </authors>
  <commentList>
    <comment ref="AJ7" authorId="0" shapeId="0" xr:uid="{00000000-0006-0000-0000-000001000000}">
      <text>
        <r>
          <rPr>
            <b/>
            <sz val="9"/>
            <rFont val="宋体"/>
            <charset val="134"/>
          </rPr>
          <t>Cortana:</t>
        </r>
        <r>
          <rPr>
            <sz val="9"/>
            <rFont val="宋体"/>
            <charset val="134"/>
          </rPr>
          <t xml:space="preserve">
飞雷神  -5
传送     5</t>
        </r>
      </text>
    </comment>
  </commentList>
</comments>
</file>

<file path=xl/sharedStrings.xml><?xml version="1.0" encoding="utf-8"?>
<sst xmlns="http://schemas.openxmlformats.org/spreadsheetml/2006/main" count="2377" uniqueCount="81">
  <si>
    <t>工作区</t>
  </si>
  <si>
    <t>八卦前亏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</si>
  <si>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</si>
  <si>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</si>
  <si>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</si>
  <si>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</si>
  <si>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</si>
  <si>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</si>
  <si>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</si>
  <si>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</si>
  <si>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总地块</t>
  </si>
  <si>
    <t>剩余粮草</t>
  </si>
  <si>
    <t>总经验</t>
  </si>
  <si>
    <t>粮草系数</t>
  </si>
  <si>
    <t>日期</t>
  </si>
  <si>
    <t>获得粮草</t>
  </si>
  <si>
    <t>粮草调整</t>
  </si>
  <si>
    <t>消耗粮草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</si>
  <si>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</si>
  <si>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</si>
  <si>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</si>
  <si>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</si>
  <si>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</si>
  <si>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</si>
  <si>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</si>
  <si>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1队剩步</t>
  </si>
  <si>
    <t>2队剩步</t>
  </si>
  <si>
    <t>3队剩步</t>
  </si>
  <si>
    <t>地块</t>
  </si>
  <si>
    <t>粮草</t>
  </si>
  <si>
    <t>经验</t>
  </si>
  <si>
    <t>八卦前亏损</t>
  </si>
  <si>
    <t>一队地块</t>
  </si>
  <si>
    <t>二队地块</t>
  </si>
  <si>
    <t>三队地块</t>
  </si>
  <si>
    <t>一队经验</t>
  </si>
  <si>
    <t>二队经验</t>
  </si>
  <si>
    <t>三队经验</t>
  </si>
  <si>
    <t>八卦前</t>
  </si>
  <si>
    <t>1级</t>
  </si>
  <si>
    <t>商人</t>
  </si>
  <si>
    <t>空</t>
  </si>
  <si>
    <t>5级</t>
  </si>
  <si>
    <t>否</t>
  </si>
  <si>
    <t>八卦后</t>
  </si>
  <si>
    <t>2级</t>
  </si>
  <si>
    <t>3级</t>
  </si>
  <si>
    <t>Note：开完八卦当天可能需要手动计算粮草</t>
  </si>
  <si>
    <t>历练</t>
  </si>
  <si>
    <t>营地</t>
  </si>
  <si>
    <t>4级</t>
  </si>
  <si>
    <t>3级卦</t>
  </si>
  <si>
    <t>大卦</t>
  </si>
  <si>
    <t>塔3</t>
  </si>
  <si>
    <t>6级</t>
  </si>
  <si>
    <t>塔1</t>
  </si>
  <si>
    <t>塔2</t>
  </si>
  <si>
    <t>塔4</t>
  </si>
  <si>
    <t>塔5</t>
  </si>
  <si>
    <t>塔6</t>
  </si>
  <si>
    <t>是</t>
  </si>
  <si>
    <t>遗迹</t>
  </si>
  <si>
    <t>大boss</t>
  </si>
  <si>
    <t>巨卦</t>
  </si>
  <si>
    <t>中boss</t>
  </si>
  <si>
    <t>4级卦</t>
  </si>
  <si>
    <t>山中</t>
  </si>
  <si>
    <t>秋道</t>
  </si>
  <si>
    <t>作废</t>
  </si>
  <si>
    <t>地块统计</t>
  </si>
  <si>
    <t>应占领</t>
  </si>
  <si>
    <t>缺少</t>
  </si>
  <si>
    <t>分数</t>
  </si>
  <si>
    <t>总</t>
  </si>
  <si>
    <t>最终</t>
  </si>
  <si>
    <t>净获得</t>
  </si>
  <si>
    <t>阶段</t>
  </si>
  <si>
    <t>奖励粮草</t>
  </si>
  <si>
    <t>帐篷个数</t>
  </si>
  <si>
    <t>负粮草</t>
  </si>
  <si>
    <t>队伍一 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</si>
</sst>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18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 tint="4.9989318521683403E-2"/>
      <name val="Calibri"/>
      <charset val="134"/>
      <scheme val="minor"/>
    </font>
    <font>
      <sz val="11"/>
      <name val="Calibri"/>
      <charset val="134"/>
      <scheme val="minor"/>
    </font>
    <font>
      <sz val="11"/>
      <color theme="0" tint="-0.499984740745262"/>
      <name val="Calibri"/>
      <charset val="134"/>
      <scheme val="minor"/>
    </font>
    <font>
      <b/>
      <sz val="12"/>
      <color rgb="FFC00000"/>
      <name val="Calibri"/>
      <charset val="134"/>
      <scheme val="minor"/>
    </font>
    <font>
      <sz val="11"/>
      <color rgb="FFC00000"/>
      <name val="Calibri"/>
      <charset val="134"/>
      <scheme val="minor"/>
    </font>
    <font>
      <sz val="11"/>
      <color theme="4" tint="-0.249977111117893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color rgb="FFC00000"/>
      <name val="Calibri"/>
      <charset val="134"/>
      <scheme val="minor"/>
    </font>
    <font>
      <b/>
      <sz val="11"/>
      <color rgb="FFFFFF00"/>
      <name val="Calibri"/>
      <charset val="134"/>
      <scheme val="minor"/>
    </font>
    <font>
      <b/>
      <sz val="11"/>
      <color theme="0" tint="-0.34998626667073579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9"/>
      <name val="宋体"/>
      <charset val="134"/>
    </font>
    <font>
      <sz val="9"/>
      <name val="宋体"/>
      <charset val="134"/>
    </font>
    <font>
      <sz val="9"/>
      <name val="Calibri"/>
      <family val="3"/>
      <charset val="134"/>
      <scheme val="minor"/>
    </font>
  </fonts>
  <fills count="32">
    <fill>
      <patternFill patternType="none"/>
    </fill>
    <fill>
      <patternFill patternType="gray125"/>
    </fill>
    <fill>
      <patternFill patternType="solid">
        <fgColor theme="5" tint="0.39988402966399123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0691854609822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7" tint="0.79989013336588644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lightGrid">
        <fgColor theme="4" tint="-0.2499465926084170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darkGray">
        <fgColor theme="9" tint="0.39988402966399123"/>
        <bgColor indexed="65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66FF"/>
        <bgColor indexed="64"/>
      </patternFill>
    </fill>
    <fill>
      <patternFill patternType="gray0625">
        <bgColor theme="8" tint="0.79992065187536243"/>
      </patternFill>
    </fill>
    <fill>
      <patternFill patternType="solid">
        <fgColor theme="4" tint="0.39991454817346722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89013336588644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lightDown">
        <fgColor rgb="FFFF0000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4" fillId="0" borderId="0"/>
  </cellStyleXfs>
  <cellXfs count="132">
    <xf numFmtId="0" fontId="0" fillId="0" borderId="0" xfId="0"/>
    <xf numFmtId="0" fontId="1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/>
    <xf numFmtId="0" fontId="2" fillId="0" borderId="0" xfId="0" applyFont="1"/>
    <xf numFmtId="0" fontId="1" fillId="3" borderId="2" xfId="0" applyFont="1" applyFill="1" applyBorder="1" applyAlignment="1">
      <alignment horizontal="center"/>
    </xf>
    <xf numFmtId="0" fontId="0" fillId="3" borderId="4" xfId="0" applyFill="1" applyBorder="1"/>
    <xf numFmtId="0" fontId="0" fillId="3" borderId="0" xfId="0" applyFill="1"/>
    <xf numFmtId="0" fontId="1" fillId="4" borderId="2" xfId="0" applyFont="1" applyFill="1" applyBorder="1" applyAlignment="1">
      <alignment horizontal="center"/>
    </xf>
    <xf numFmtId="0" fontId="1" fillId="4" borderId="2" xfId="0" applyFont="1" applyFill="1" applyBorder="1"/>
    <xf numFmtId="0" fontId="0" fillId="4" borderId="4" xfId="0" applyFill="1" applyBorder="1"/>
    <xf numFmtId="0" fontId="0" fillId="4" borderId="0" xfId="0" applyFill="1"/>
    <xf numFmtId="0" fontId="0" fillId="4" borderId="5" xfId="0" applyFill="1" applyBorder="1"/>
    <xf numFmtId="0" fontId="2" fillId="5" borderId="0" xfId="0" applyFont="1" applyFill="1"/>
    <xf numFmtId="0" fontId="3" fillId="6" borderId="0" xfId="0" applyFont="1" applyFill="1"/>
    <xf numFmtId="14" fontId="0" fillId="7" borderId="0" xfId="0" applyNumberFormat="1" applyFill="1"/>
    <xf numFmtId="0" fontId="3" fillId="8" borderId="0" xfId="1" applyFont="1" applyFill="1"/>
    <xf numFmtId="14" fontId="0" fillId="9" borderId="0" xfId="0" applyNumberFormat="1" applyFill="1"/>
    <xf numFmtId="0" fontId="3" fillId="6" borderId="0" xfId="1" applyFont="1" applyFill="1"/>
    <xf numFmtId="0" fontId="4" fillId="0" borderId="0" xfId="0" applyFont="1"/>
    <xf numFmtId="10" fontId="0" fillId="10" borderId="0" xfId="0" applyNumberFormat="1" applyFill="1"/>
    <xf numFmtId="164" fontId="0" fillId="10" borderId="0" xfId="0" applyNumberFormat="1" applyFill="1"/>
    <xf numFmtId="0" fontId="0" fillId="5" borderId="0" xfId="0" applyFill="1" applyAlignment="1">
      <alignment horizontal="center" vertical="center" wrapText="1"/>
    </xf>
    <xf numFmtId="0" fontId="0" fillId="5" borderId="0" xfId="0" applyFill="1" applyAlignment="1">
      <alignment wrapText="1"/>
    </xf>
    <xf numFmtId="0" fontId="0" fillId="12" borderId="0" xfId="0" applyFill="1" applyAlignment="1">
      <alignment wrapText="1"/>
    </xf>
    <xf numFmtId="0" fontId="0" fillId="11" borderId="12" xfId="0" applyFill="1" applyBorder="1" applyAlignment="1">
      <alignment wrapText="1"/>
    </xf>
    <xf numFmtId="0" fontId="0" fillId="5" borderId="0" xfId="0" applyFill="1"/>
    <xf numFmtId="0" fontId="0" fillId="12" borderId="0" xfId="0" applyFill="1"/>
    <xf numFmtId="0" fontId="6" fillId="5" borderId="0" xfId="0" applyFont="1" applyFill="1"/>
    <xf numFmtId="0" fontId="7" fillId="5" borderId="0" xfId="0" applyFont="1" applyFill="1"/>
    <xf numFmtId="0" fontId="0" fillId="13" borderId="0" xfId="0" applyFill="1"/>
    <xf numFmtId="0" fontId="1" fillId="9" borderId="2" xfId="0" applyFont="1" applyFill="1" applyBorder="1" applyAlignment="1">
      <alignment horizontal="center"/>
    </xf>
    <xf numFmtId="0" fontId="0" fillId="9" borderId="4" xfId="0" applyFill="1" applyBorder="1"/>
    <xf numFmtId="0" fontId="0" fillId="9" borderId="0" xfId="0" applyFill="1"/>
    <xf numFmtId="0" fontId="0" fillId="15" borderId="13" xfId="0" applyFill="1" applyBorder="1" applyAlignment="1">
      <alignment vertical="top"/>
    </xf>
    <xf numFmtId="0" fontId="1" fillId="16" borderId="13" xfId="0" applyFont="1" applyFill="1" applyBorder="1"/>
    <xf numFmtId="0" fontId="0" fillId="17" borderId="5" xfId="0" applyFill="1" applyBorder="1"/>
    <xf numFmtId="0" fontId="1" fillId="18" borderId="13" xfId="0" applyFont="1" applyFill="1" applyBorder="1"/>
    <xf numFmtId="0" fontId="0" fillId="9" borderId="13" xfId="0" applyFill="1" applyBorder="1" applyAlignment="1">
      <alignment vertical="top"/>
    </xf>
    <xf numFmtId="0" fontId="9" fillId="9" borderId="13" xfId="0" applyFont="1" applyFill="1" applyBorder="1" applyAlignment="1">
      <alignment vertical="top"/>
    </xf>
    <xf numFmtId="0" fontId="1" fillId="19" borderId="2" xfId="0" applyFont="1" applyFill="1" applyBorder="1" applyAlignment="1">
      <alignment horizontal="center"/>
    </xf>
    <xf numFmtId="0" fontId="0" fillId="19" borderId="4" xfId="0" applyFill="1" applyBorder="1"/>
    <xf numFmtId="0" fontId="0" fillId="19" borderId="0" xfId="0" applyFill="1"/>
    <xf numFmtId="0" fontId="0" fillId="20" borderId="13" xfId="0" applyFill="1" applyBorder="1" applyAlignment="1">
      <alignment vertical="top"/>
    </xf>
    <xf numFmtId="0" fontId="0" fillId="7" borderId="13" xfId="0" applyFill="1" applyBorder="1" applyAlignment="1">
      <alignment vertical="top"/>
    </xf>
    <xf numFmtId="0" fontId="1" fillId="21" borderId="13" xfId="0" applyFont="1" applyFill="1" applyBorder="1"/>
    <xf numFmtId="0" fontId="0" fillId="22" borderId="13" xfId="0" applyFill="1" applyBorder="1" applyAlignment="1">
      <alignment vertical="top"/>
    </xf>
    <xf numFmtId="0" fontId="1" fillId="13" borderId="13" xfId="0" applyFont="1" applyFill="1" applyBorder="1"/>
    <xf numFmtId="0" fontId="9" fillId="7" borderId="13" xfId="0" applyFont="1" applyFill="1" applyBorder="1" applyAlignment="1">
      <alignment vertical="top"/>
    </xf>
    <xf numFmtId="0" fontId="0" fillId="10" borderId="13" xfId="0" applyFill="1" applyBorder="1" applyAlignment="1">
      <alignment vertical="top"/>
    </xf>
    <xf numFmtId="0" fontId="1" fillId="23" borderId="13" xfId="0" applyFont="1" applyFill="1" applyBorder="1"/>
    <xf numFmtId="0" fontId="10" fillId="10" borderId="13" xfId="0" applyFont="1" applyFill="1" applyBorder="1" applyAlignment="1">
      <alignment vertical="top"/>
    </xf>
    <xf numFmtId="0" fontId="11" fillId="20" borderId="13" xfId="0" applyFont="1" applyFill="1" applyBorder="1" applyAlignment="1">
      <alignment vertical="top"/>
    </xf>
    <xf numFmtId="0" fontId="1" fillId="24" borderId="2" xfId="0" applyFont="1" applyFill="1" applyBorder="1" applyAlignment="1">
      <alignment horizontal="center"/>
    </xf>
    <xf numFmtId="0" fontId="1" fillId="24" borderId="2" xfId="0" applyFont="1" applyFill="1" applyBorder="1"/>
    <xf numFmtId="0" fontId="0" fillId="24" borderId="4" xfId="0" applyFill="1" applyBorder="1"/>
    <xf numFmtId="0" fontId="0" fillId="24" borderId="0" xfId="0" applyFill="1"/>
    <xf numFmtId="0" fontId="0" fillId="24" borderId="5" xfId="0" applyFill="1" applyBorder="1"/>
    <xf numFmtId="0" fontId="1" fillId="25" borderId="13" xfId="0" applyFont="1" applyFill="1" applyBorder="1"/>
    <xf numFmtId="0" fontId="0" fillId="14" borderId="0" xfId="0" applyFill="1" applyAlignment="1">
      <alignment horizontal="center" vertical="center"/>
    </xf>
    <xf numFmtId="0" fontId="1" fillId="7" borderId="14" xfId="0" applyFont="1" applyFill="1" applyBorder="1" applyAlignment="1">
      <alignment horizontal="center" wrapText="1"/>
    </xf>
    <xf numFmtId="0" fontId="1" fillId="26" borderId="14" xfId="0" applyFont="1" applyFill="1" applyBorder="1" applyAlignment="1">
      <alignment horizontal="center" wrapText="1"/>
    </xf>
    <xf numFmtId="0" fontId="1" fillId="7" borderId="14" xfId="0" applyFont="1" applyFill="1" applyBorder="1" applyAlignment="1">
      <alignment wrapText="1"/>
    </xf>
    <xf numFmtId="0" fontId="1" fillId="9" borderId="15" xfId="0" applyFont="1" applyFill="1" applyBorder="1" applyAlignment="1">
      <alignment wrapText="1"/>
    </xf>
    <xf numFmtId="0" fontId="1" fillId="7" borderId="15" xfId="0" applyFont="1" applyFill="1" applyBorder="1" applyAlignment="1">
      <alignment wrapText="1"/>
    </xf>
    <xf numFmtId="0" fontId="1" fillId="24" borderId="15" xfId="0" applyFont="1" applyFill="1" applyBorder="1" applyAlignment="1">
      <alignment wrapText="1"/>
    </xf>
    <xf numFmtId="0" fontId="1" fillId="9" borderId="0" xfId="0" applyFont="1" applyFill="1" applyAlignment="1">
      <alignment wrapText="1"/>
    </xf>
    <xf numFmtId="0" fontId="1" fillId="7" borderId="0" xfId="0" applyFont="1" applyFill="1" applyAlignment="1">
      <alignment wrapText="1"/>
    </xf>
    <xf numFmtId="0" fontId="1" fillId="24" borderId="0" xfId="0" applyFont="1" applyFill="1" applyAlignment="1">
      <alignment wrapText="1"/>
    </xf>
    <xf numFmtId="0" fontId="1" fillId="27" borderId="15" xfId="0" applyFont="1" applyFill="1" applyBorder="1" applyAlignment="1">
      <alignment horizontal="center"/>
    </xf>
    <xf numFmtId="0" fontId="0" fillId="13" borderId="15" xfId="0" applyFill="1" applyBorder="1"/>
    <xf numFmtId="0" fontId="10" fillId="28" borderId="0" xfId="0" applyFont="1" applyFill="1" applyAlignment="1">
      <alignment horizontal="center"/>
    </xf>
    <xf numFmtId="0" fontId="10" fillId="29" borderId="0" xfId="0" applyFont="1" applyFill="1" applyAlignment="1">
      <alignment horizontal="center"/>
    </xf>
    <xf numFmtId="0" fontId="10" fillId="30" borderId="0" xfId="0" applyFont="1" applyFill="1" applyAlignment="1">
      <alignment horizontal="center"/>
    </xf>
    <xf numFmtId="0" fontId="1" fillId="27" borderId="15" xfId="1" applyFont="1" applyFill="1" applyBorder="1" applyAlignment="1">
      <alignment horizontal="center"/>
    </xf>
    <xf numFmtId="0" fontId="14" fillId="0" borderId="15" xfId="1" applyBorder="1"/>
    <xf numFmtId="0" fontId="0" fillId="0" borderId="0" xfId="0" applyAlignment="1">
      <alignment horizontal="center" wrapText="1"/>
    </xf>
    <xf numFmtId="0" fontId="0" fillId="0" borderId="13" xfId="0" applyBorder="1"/>
    <xf numFmtId="0" fontId="0" fillId="2" borderId="13" xfId="0" applyFill="1" applyBorder="1"/>
    <xf numFmtId="0" fontId="0" fillId="3" borderId="13" xfId="0" applyFill="1" applyBorder="1"/>
    <xf numFmtId="0" fontId="0" fillId="4" borderId="13" xfId="0" applyFill="1" applyBorder="1"/>
    <xf numFmtId="0" fontId="0" fillId="15" borderId="13" xfId="0" applyFill="1" applyBorder="1"/>
    <xf numFmtId="0" fontId="3" fillId="0" borderId="13" xfId="0" applyFont="1" applyBorder="1"/>
    <xf numFmtId="0" fontId="3" fillId="24" borderId="13" xfId="0" applyFont="1" applyFill="1" applyBorder="1"/>
    <xf numFmtId="0" fontId="0" fillId="24" borderId="13" xfId="0" applyFill="1" applyBorder="1"/>
    <xf numFmtId="0" fontId="9" fillId="15" borderId="13" xfId="0" applyFont="1" applyFill="1" applyBorder="1" applyAlignment="1">
      <alignment vertical="top"/>
    </xf>
    <xf numFmtId="0" fontId="9" fillId="22" borderId="13" xfId="0" applyFont="1" applyFill="1" applyBorder="1" applyAlignment="1">
      <alignment vertical="top"/>
    </xf>
    <xf numFmtId="0" fontId="1" fillId="31" borderId="13" xfId="0" applyFont="1" applyFill="1" applyBorder="1"/>
    <xf numFmtId="0" fontId="1" fillId="0" borderId="13" xfId="0" applyFont="1" applyBorder="1"/>
    <xf numFmtId="0" fontId="12" fillId="4" borderId="13" xfId="0" applyFont="1" applyFill="1" applyBorder="1"/>
    <xf numFmtId="0" fontId="0" fillId="0" borderId="17" xfId="0" applyBorder="1"/>
    <xf numFmtId="0" fontId="0" fillId="13" borderId="1" xfId="0" applyFill="1" applyBorder="1"/>
    <xf numFmtId="0" fontId="0" fillId="13" borderId="3" xfId="0" applyFill="1" applyBorder="1"/>
    <xf numFmtId="0" fontId="0" fillId="13" borderId="5" xfId="0" applyFill="1" applyBorder="1"/>
    <xf numFmtId="0" fontId="3" fillId="0" borderId="0" xfId="0" applyFont="1"/>
    <xf numFmtId="0" fontId="4" fillId="13" borderId="10" xfId="0" applyFont="1" applyFill="1" applyBorder="1"/>
    <xf numFmtId="0" fontId="4" fillId="13" borderId="11" xfId="0" applyFont="1" applyFill="1" applyBorder="1"/>
    <xf numFmtId="0" fontId="13" fillId="0" borderId="0" xfId="0" applyFont="1"/>
    <xf numFmtId="0" fontId="0" fillId="0" borderId="0" xfId="0" applyAlignment="1">
      <alignment horizontal="center"/>
    </xf>
    <xf numFmtId="0" fontId="0" fillId="13" borderId="14" xfId="0" applyFill="1" applyBorder="1" applyAlignment="1">
      <alignment horizontal="center" wrapText="1"/>
    </xf>
    <xf numFmtId="0" fontId="0" fillId="13" borderId="15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8" fillId="14" borderId="6" xfId="0" applyFont="1" applyFill="1" applyBorder="1" applyAlignment="1">
      <alignment horizontal="center" vertical="center"/>
    </xf>
    <xf numFmtId="0" fontId="0" fillId="14" borderId="7" xfId="0" applyFill="1" applyBorder="1" applyAlignment="1">
      <alignment horizontal="center" vertical="center"/>
    </xf>
    <xf numFmtId="0" fontId="0" fillId="14" borderId="8" xfId="0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0" fontId="5" fillId="11" borderId="10" xfId="0" applyFont="1" applyFill="1" applyBorder="1" applyAlignment="1">
      <alignment horizontal="center" vertical="center"/>
    </xf>
    <xf numFmtId="0" fontId="5" fillId="11" borderId="1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0" fontId="1" fillId="19" borderId="1" xfId="0" applyFont="1" applyFill="1" applyBorder="1" applyAlignment="1">
      <alignment horizontal="center"/>
    </xf>
    <xf numFmtId="0" fontId="1" fillId="19" borderId="2" xfId="0" applyFont="1" applyFill="1" applyBorder="1" applyAlignment="1">
      <alignment horizontal="center"/>
    </xf>
    <xf numFmtId="0" fontId="1" fillId="19" borderId="3" xfId="0" applyFont="1" applyFill="1" applyBorder="1" applyAlignment="1">
      <alignment horizontal="center"/>
    </xf>
    <xf numFmtId="0" fontId="1" fillId="24" borderId="1" xfId="0" applyFont="1" applyFill="1" applyBorder="1" applyAlignment="1">
      <alignment horizontal="center"/>
    </xf>
    <xf numFmtId="0" fontId="1" fillId="24" borderId="2" xfId="0" applyFont="1" applyFill="1" applyBorder="1" applyAlignment="1">
      <alignment horizontal="center"/>
    </xf>
    <xf numFmtId="0" fontId="1" fillId="24" borderId="3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colors>
    <mruColors>
      <color rgb="FF99FFCC"/>
      <color rgb="FFFFCCFF"/>
      <color rgb="FFFFF243"/>
      <color rgb="FFFFCC00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95"/>
  <sheetViews>
    <sheetView tabSelected="1" topLeftCell="F1" workbookViewId="0">
      <pane ySplit="3" topLeftCell="A13" activePane="bottomLeft" state="frozen"/>
      <selection pane="bottomLeft" activeCell="AQ36" sqref="AQ36"/>
    </sheetView>
  </sheetViews>
  <sheetFormatPr defaultColWidth="9" defaultRowHeight="15"/>
  <cols>
    <col min="1" max="1" width="11.85546875" customWidth="1"/>
    <col min="2" max="2" width="8.42578125" customWidth="1"/>
    <col min="3" max="3" width="6.42578125" customWidth="1"/>
    <col min="4" max="4" width="5.5703125" customWidth="1"/>
    <col min="5" max="5" width="6.42578125" customWidth="1"/>
    <col min="6" max="6" width="5.5703125" customWidth="1"/>
    <col min="7" max="7" width="6.42578125" customWidth="1"/>
    <col min="8" max="8" width="5.42578125" customWidth="1"/>
    <col min="9" max="32" width="4.5703125" customWidth="1"/>
    <col min="33" max="37" width="5.140625" customWidth="1"/>
    <col min="38" max="40" width="5.42578125" customWidth="1"/>
  </cols>
  <sheetData>
    <row r="1" spans="1:57" ht="28.15" customHeight="1">
      <c r="A1" s="104">
        <f ca="1">(_xlfn.DAYS(TODAY(),A4)+2)/((_xlfn.DAYS(A93,A4))+1)</f>
        <v>6.6666666666666666E-2</v>
      </c>
      <c r="B1" s="105"/>
      <c r="C1" s="105"/>
      <c r="D1" s="105"/>
      <c r="E1" s="105"/>
      <c r="F1" s="105"/>
      <c r="G1" s="105"/>
      <c r="H1" s="106"/>
      <c r="I1" s="107" t="s">
        <v>0</v>
      </c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9"/>
      <c r="AH1" s="59"/>
      <c r="AI1" s="59"/>
      <c r="AJ1" s="59"/>
      <c r="AO1" s="102"/>
      <c r="AP1" s="102"/>
      <c r="AQ1" s="102"/>
      <c r="AR1" s="76"/>
    </row>
    <row r="2" spans="1:57" ht="16.149999999999999" customHeight="1">
      <c r="A2">
        <v>19.010000000000002</v>
      </c>
      <c r="B2" s="20" t="s">
        <v>1</v>
      </c>
      <c r="C2" s="21">
        <f>SUM(D4:D15)</f>
        <v>24570</v>
      </c>
      <c r="D2" s="110" t="s">
        <v>2</v>
      </c>
      <c r="E2" s="111"/>
      <c r="F2" s="112">
        <f>SUM(F4:F93)+SUM(H4:H93)</f>
        <v>30360</v>
      </c>
      <c r="G2" s="112"/>
      <c r="H2" s="113"/>
      <c r="I2" s="114" t="s">
        <v>3</v>
      </c>
      <c r="J2" s="115"/>
      <c r="K2" s="31" t="s">
        <v>4</v>
      </c>
      <c r="L2" s="31">
        <f>COUNTIF(I4:P93,"&lt;&gt;空")</f>
        <v>41</v>
      </c>
      <c r="M2" s="115" t="s">
        <v>5</v>
      </c>
      <c r="N2" s="115"/>
      <c r="O2" s="115"/>
      <c r="P2" s="116"/>
      <c r="Q2" s="117" t="s">
        <v>6</v>
      </c>
      <c r="R2" s="118"/>
      <c r="S2" s="40" t="s">
        <v>4</v>
      </c>
      <c r="T2" s="40">
        <f>COUNTIF(Q4:X93,"&lt;&gt;空")</f>
        <v>216</v>
      </c>
      <c r="U2" s="118" t="s">
        <v>5</v>
      </c>
      <c r="V2" s="118"/>
      <c r="W2" s="118"/>
      <c r="X2" s="119"/>
      <c r="Y2" s="120" t="s">
        <v>7</v>
      </c>
      <c r="Z2" s="121"/>
      <c r="AA2" s="54" t="s">
        <v>8</v>
      </c>
      <c r="AB2" s="53">
        <f>COUNTIF(Y4:AF93,"&lt;&gt;空")</f>
        <v>186</v>
      </c>
      <c r="AC2" s="121" t="s">
        <v>5</v>
      </c>
      <c r="AD2" s="121"/>
      <c r="AE2" s="121"/>
      <c r="AF2" s="122"/>
      <c r="AG2" s="60">
        <f>SUM(AG4:AG93)</f>
        <v>53</v>
      </c>
      <c r="AH2" s="60">
        <f>SUM(AH4:AH93)</f>
        <v>4</v>
      </c>
      <c r="AI2" s="60">
        <f>SUM(AI4:AI93)</f>
        <v>27</v>
      </c>
      <c r="AJ2" s="61">
        <f>SUM(AJ4:AJ93)</f>
        <v>22</v>
      </c>
      <c r="AK2" s="99" t="s">
        <v>9</v>
      </c>
      <c r="AO2" s="103"/>
      <c r="AP2" s="103"/>
      <c r="AQ2" s="103"/>
      <c r="AR2" s="76"/>
      <c r="AU2" t="s">
        <v>10</v>
      </c>
      <c r="AV2">
        <f>SUM(AV4:AV29)</f>
        <v>443</v>
      </c>
      <c r="AW2" t="s">
        <v>11</v>
      </c>
      <c r="AX2">
        <f>AR47</f>
        <v>176</v>
      </c>
      <c r="AY2" t="s">
        <v>12</v>
      </c>
      <c r="AZ2">
        <f>SUM(AX4:AZ29)+7000</f>
        <v>30360</v>
      </c>
      <c r="BA2" s="91"/>
      <c r="BB2" s="92" t="s">
        <v>13</v>
      </c>
    </row>
    <row r="3" spans="1:57" ht="31.5" customHeight="1">
      <c r="A3" s="22" t="s">
        <v>14</v>
      </c>
      <c r="B3" s="23" t="s">
        <v>15</v>
      </c>
      <c r="C3" s="24" t="s">
        <v>16</v>
      </c>
      <c r="D3" s="23" t="s">
        <v>17</v>
      </c>
      <c r="E3" s="23" t="s">
        <v>11</v>
      </c>
      <c r="F3" s="25" t="s">
        <v>18</v>
      </c>
      <c r="G3" s="25" t="s">
        <v>19</v>
      </c>
      <c r="H3" s="25" t="s">
        <v>20</v>
      </c>
      <c r="I3" s="32">
        <v>1</v>
      </c>
      <c r="J3" s="33">
        <v>2</v>
      </c>
      <c r="K3" s="33">
        <v>3</v>
      </c>
      <c r="L3" s="33">
        <v>4</v>
      </c>
      <c r="M3" s="33">
        <v>5</v>
      </c>
      <c r="N3" s="33">
        <v>6</v>
      </c>
      <c r="O3" s="33">
        <v>7</v>
      </c>
      <c r="P3" s="33">
        <v>8</v>
      </c>
      <c r="Q3" s="41">
        <v>1</v>
      </c>
      <c r="R3" s="42">
        <v>2</v>
      </c>
      <c r="S3" s="42">
        <v>3</v>
      </c>
      <c r="T3" s="42">
        <v>4</v>
      </c>
      <c r="U3" s="42">
        <v>5</v>
      </c>
      <c r="V3" s="42">
        <v>6</v>
      </c>
      <c r="W3" s="42">
        <v>7</v>
      </c>
      <c r="X3" s="42">
        <v>8</v>
      </c>
      <c r="Y3" s="55">
        <v>1</v>
      </c>
      <c r="Z3" s="56">
        <v>2</v>
      </c>
      <c r="AA3" s="56">
        <v>3</v>
      </c>
      <c r="AB3" s="56">
        <v>4</v>
      </c>
      <c r="AC3" s="56">
        <v>5</v>
      </c>
      <c r="AD3" s="56">
        <v>6</v>
      </c>
      <c r="AE3" s="56">
        <v>7</v>
      </c>
      <c r="AF3" s="57">
        <v>8</v>
      </c>
      <c r="AG3" s="62" t="s">
        <v>21</v>
      </c>
      <c r="AH3" s="63" t="s">
        <v>22</v>
      </c>
      <c r="AI3" s="64" t="s">
        <v>23</v>
      </c>
      <c r="AJ3" s="65" t="s">
        <v>24</v>
      </c>
      <c r="AK3" s="100"/>
      <c r="AL3" s="66" t="s">
        <v>25</v>
      </c>
      <c r="AM3" s="67" t="s">
        <v>26</v>
      </c>
      <c r="AN3" s="68" t="s">
        <v>27</v>
      </c>
      <c r="AO3" s="77" t="s">
        <v>28</v>
      </c>
      <c r="AP3" s="77" t="s">
        <v>29</v>
      </c>
      <c r="AQ3" s="77" t="s">
        <v>30</v>
      </c>
      <c r="AR3" s="77" t="s">
        <v>31</v>
      </c>
      <c r="AS3" s="78" t="s">
        <v>32</v>
      </c>
      <c r="AT3" s="79" t="s">
        <v>33</v>
      </c>
      <c r="AU3" s="80" t="s">
        <v>34</v>
      </c>
      <c r="AV3" s="81" t="s">
        <v>10</v>
      </c>
      <c r="AW3" s="81"/>
      <c r="AX3" s="78" t="s">
        <v>35</v>
      </c>
      <c r="AY3" s="79" t="s">
        <v>36</v>
      </c>
      <c r="AZ3" s="80" t="s">
        <v>37</v>
      </c>
      <c r="BA3" s="30" t="s">
        <v>38</v>
      </c>
      <c r="BB3" s="93">
        <v>1</v>
      </c>
    </row>
    <row r="4" spans="1:57" s="19" customFormat="1">
      <c r="A4" s="15">
        <v>45730</v>
      </c>
      <c r="B4" s="26">
        <v>800</v>
      </c>
      <c r="C4" s="27">
        <v>4800</v>
      </c>
      <c r="D4" s="26">
        <f>(SUM(粮草!A4:X4)+AG4*10*IF(AK4="是",$BB$4,$BB$3))</f>
        <v>2130</v>
      </c>
      <c r="E4" s="28">
        <f>SUM($B$4:B4)+SUM($C$4:C4)-SUM($D$4:D4)</f>
        <v>3470</v>
      </c>
      <c r="F4" s="29">
        <f>SUM(经验!A4:X4)</f>
        <v>555</v>
      </c>
      <c r="G4" s="26">
        <f>SUM($F$4:F4)+SUM($H$4:H4)</f>
        <v>1055</v>
      </c>
      <c r="H4" s="26">
        <v>500</v>
      </c>
      <c r="I4" s="34" t="s">
        <v>39</v>
      </c>
      <c r="J4" s="34" t="s">
        <v>39</v>
      </c>
      <c r="K4" s="34" t="s">
        <v>39</v>
      </c>
      <c r="L4" s="34" t="s">
        <v>39</v>
      </c>
      <c r="M4" s="34" t="s">
        <v>39</v>
      </c>
      <c r="N4" s="35" t="s">
        <v>40</v>
      </c>
      <c r="O4" s="36" t="s">
        <v>41</v>
      </c>
      <c r="P4" s="36" t="s">
        <v>41</v>
      </c>
      <c r="Q4" s="34" t="s">
        <v>39</v>
      </c>
      <c r="R4" s="34" t="s">
        <v>39</v>
      </c>
      <c r="S4" s="34" t="s">
        <v>39</v>
      </c>
      <c r="T4" s="34" t="s">
        <v>39</v>
      </c>
      <c r="U4" s="34" t="s">
        <v>39</v>
      </c>
      <c r="V4" s="35" t="s">
        <v>40</v>
      </c>
      <c r="W4" s="43" t="s">
        <v>42</v>
      </c>
      <c r="X4" s="43" t="s">
        <v>42</v>
      </c>
      <c r="Y4" t="s">
        <v>41</v>
      </c>
      <c r="Z4" t="s">
        <v>41</v>
      </c>
      <c r="AA4" t="s">
        <v>41</v>
      </c>
      <c r="AB4" t="s">
        <v>41</v>
      </c>
      <c r="AC4" t="s">
        <v>41</v>
      </c>
      <c r="AD4" t="s">
        <v>41</v>
      </c>
      <c r="AE4" s="36" t="s">
        <v>41</v>
      </c>
      <c r="AF4" s="34" t="s">
        <v>39</v>
      </c>
      <c r="AG4" s="69">
        <f>AH4+AI4+AJ4</f>
        <v>0</v>
      </c>
      <c r="AH4" s="69"/>
      <c r="AI4" s="69"/>
      <c r="AJ4" s="69"/>
      <c r="AK4" s="70" t="s">
        <v>43</v>
      </c>
      <c r="AL4" s="71">
        <f>6-COUNTIF(I4:P4,"&lt;&gt;空")</f>
        <v>0</v>
      </c>
      <c r="AM4" s="72">
        <f>6-COUNTIF(Q4:X4,"&lt;&gt;空")</f>
        <v>-2</v>
      </c>
      <c r="AN4" s="73">
        <f>6-COUNTIF(Y4:AF4,"&lt;&gt;空")</f>
        <v>5</v>
      </c>
      <c r="AO4" s="34" t="s">
        <v>39</v>
      </c>
      <c r="AP4" s="77">
        <v>150</v>
      </c>
      <c r="AQ4" s="77">
        <v>35</v>
      </c>
      <c r="AR4" s="82">
        <v>44.222109392472198</v>
      </c>
      <c r="AS4" s="82">
        <f t="shared" ref="AS4:AS26" si="0">COUNTIF($I$4:$P$93,AO4)</f>
        <v>13</v>
      </c>
      <c r="AT4" s="82">
        <f t="shared" ref="AT4:AT26" si="1">COUNTIF($Q$4:$X$93,AO4)</f>
        <v>6</v>
      </c>
      <c r="AU4" s="82">
        <f t="shared" ref="AU4:AU26" si="2">COUNTIF($Y$4:$AF$93,AO4)</f>
        <v>13</v>
      </c>
      <c r="AV4" s="83">
        <f>AS4+AT4+AU4</f>
        <v>32</v>
      </c>
      <c r="AW4" s="94">
        <v>30</v>
      </c>
      <c r="AX4" s="94">
        <f t="shared" ref="AX4:AX29" si="3">AS4*$AQ4</f>
        <v>455</v>
      </c>
      <c r="AY4" s="94">
        <f t="shared" ref="AY4:AZ19" si="4">AT4*$AQ4</f>
        <v>210</v>
      </c>
      <c r="AZ4" s="94">
        <f t="shared" si="4"/>
        <v>455</v>
      </c>
      <c r="BA4" s="95" t="s">
        <v>44</v>
      </c>
      <c r="BB4" s="96">
        <v>0.8</v>
      </c>
      <c r="BD4" s="94">
        <f t="shared" ref="BD4:BD29" si="5">AP4*0.8</f>
        <v>120</v>
      </c>
    </row>
    <row r="5" spans="1:57" s="19" customFormat="1">
      <c r="A5" s="15">
        <v>45731</v>
      </c>
      <c r="B5" s="26">
        <v>1600</v>
      </c>
      <c r="C5" s="30">
        <v>1250</v>
      </c>
      <c r="D5" s="26">
        <f>(SUM(粮草!A5:X5)+AG5*10*IF(AK5="是",$BB$4,$BB$3))</f>
        <v>2240</v>
      </c>
      <c r="E5" s="28">
        <f>SUM($B$4:B5)+SUM($C$4:C5)-SUM($D$4:D5)</f>
        <v>4080</v>
      </c>
      <c r="F5" s="29">
        <f>SUM(经验!A5:X5)</f>
        <v>560</v>
      </c>
      <c r="G5" s="26">
        <f>SUM($F$4:F5)+SUM($H$4:H5)</f>
        <v>1615</v>
      </c>
      <c r="H5" s="26">
        <v>0</v>
      </c>
      <c r="I5" t="s">
        <v>41</v>
      </c>
      <c r="J5" t="s">
        <v>41</v>
      </c>
      <c r="K5" t="s">
        <v>41</v>
      </c>
      <c r="L5" t="s">
        <v>41</v>
      </c>
      <c r="M5" t="s">
        <v>41</v>
      </c>
      <c r="N5" t="s">
        <v>41</v>
      </c>
      <c r="O5" s="36" t="s">
        <v>41</v>
      </c>
      <c r="P5" s="36" t="s">
        <v>41</v>
      </c>
      <c r="Q5" t="s">
        <v>41</v>
      </c>
      <c r="R5" s="38" t="s">
        <v>45</v>
      </c>
      <c r="S5" s="38" t="s">
        <v>45</v>
      </c>
      <c r="T5" s="35" t="s">
        <v>40</v>
      </c>
      <c r="U5" s="38" t="s">
        <v>45</v>
      </c>
      <c r="V5" s="38" t="s">
        <v>45</v>
      </c>
      <c r="W5" s="44" t="s">
        <v>46</v>
      </c>
      <c r="X5" s="44" t="s">
        <v>46</v>
      </c>
      <c r="Y5" s="34" t="s">
        <v>39</v>
      </c>
      <c r="Z5" s="34" t="s">
        <v>39</v>
      </c>
      <c r="AA5" s="34" t="s">
        <v>39</v>
      </c>
      <c r="AB5" s="34" t="s">
        <v>39</v>
      </c>
      <c r="AC5" s="34" t="s">
        <v>39</v>
      </c>
      <c r="AD5" s="34" t="s">
        <v>39</v>
      </c>
      <c r="AE5" s="34" t="s">
        <v>39</v>
      </c>
      <c r="AF5" s="34" t="s">
        <v>39</v>
      </c>
      <c r="AG5" s="69">
        <f t="shared" ref="AG5:AG68" si="6">AH5+AI5+AJ5</f>
        <v>1</v>
      </c>
      <c r="AH5" s="69"/>
      <c r="AI5" s="69">
        <v>1</v>
      </c>
      <c r="AJ5" s="69"/>
      <c r="AK5" s="70" t="s">
        <v>43</v>
      </c>
      <c r="AL5" s="71">
        <f t="shared" ref="AL5:AL36" si="7">MIN(AL4+6,18)-COUNTIF(I5:P5,"&lt;&gt;空")+COUNTIF(I5:P5,"历练")+COUNTIF(I5:P5,"营地")*2</f>
        <v>6</v>
      </c>
      <c r="AM5" s="72">
        <f t="shared" ref="AM5:AM36" si="8">MIN(AM4+6,18)-COUNTIF(Q5:X5,"&lt;&gt;空")+COUNTIF(Q5:X5,"历练")+COUNTIF(Q5:X5,"营地")*2</f>
        <v>-3</v>
      </c>
      <c r="AN5" s="73">
        <f t="shared" ref="AN5:AN36" si="9">MIN(AN4+6,18)-COUNTIF(Y5:AF5,"&lt;&gt;空")+COUNTIF(Y5:AF5,"历练")+COUNTIF(Y5:AF5,"营地")*2</f>
        <v>3</v>
      </c>
      <c r="AO5" s="38" t="s">
        <v>45</v>
      </c>
      <c r="AP5" s="77">
        <v>160</v>
      </c>
      <c r="AQ5" s="77">
        <v>40</v>
      </c>
      <c r="AR5" s="82">
        <v>39.110982162825401</v>
      </c>
      <c r="AS5" s="82">
        <f t="shared" si="0"/>
        <v>16</v>
      </c>
      <c r="AT5" s="82">
        <f t="shared" si="1"/>
        <v>14</v>
      </c>
      <c r="AU5" s="82">
        <f t="shared" si="2"/>
        <v>26</v>
      </c>
      <c r="AV5" s="83">
        <f t="shared" ref="AV5:AV26" si="10">AS5+AT5+AU5</f>
        <v>56</v>
      </c>
      <c r="AW5" s="94">
        <v>54</v>
      </c>
      <c r="AX5" s="94">
        <f t="shared" si="3"/>
        <v>640</v>
      </c>
      <c r="AY5" s="94">
        <f t="shared" si="4"/>
        <v>560</v>
      </c>
      <c r="AZ5" s="94">
        <f t="shared" si="4"/>
        <v>1040</v>
      </c>
      <c r="BA5" s="101" t="s">
        <v>47</v>
      </c>
      <c r="BB5" s="101"/>
      <c r="BD5" s="94">
        <f t="shared" si="5"/>
        <v>128</v>
      </c>
    </row>
    <row r="6" spans="1:57" s="19" customFormat="1">
      <c r="A6" s="15">
        <v>45732</v>
      </c>
      <c r="B6" s="26">
        <v>1600</v>
      </c>
      <c r="C6" s="27"/>
      <c r="D6" s="26">
        <f>(SUM(粮草!A6:X6)+AG6*10*IF(AK6="是",$BB$4,$BB$3))</f>
        <v>2570</v>
      </c>
      <c r="E6" s="28">
        <f>SUM($B$4:B6)+SUM($C$4:C6)-SUM($D$4:D6)</f>
        <v>3110</v>
      </c>
      <c r="F6" s="29">
        <f>SUM(经验!A6:X6)</f>
        <v>645</v>
      </c>
      <c r="G6" s="26">
        <f>SUM($F$4:F6)+SUM($H$4:H6)</f>
        <v>2260</v>
      </c>
      <c r="H6" s="26">
        <v>0</v>
      </c>
      <c r="I6" t="s">
        <v>41</v>
      </c>
      <c r="J6" t="s">
        <v>41</v>
      </c>
      <c r="K6" t="s">
        <v>41</v>
      </c>
      <c r="L6" t="s">
        <v>41</v>
      </c>
      <c r="M6" t="s">
        <v>41</v>
      </c>
      <c r="N6" t="s">
        <v>41</v>
      </c>
      <c r="O6" s="36" t="s">
        <v>41</v>
      </c>
      <c r="P6" s="36" t="s">
        <v>41</v>
      </c>
      <c r="Q6" s="38" t="s">
        <v>45</v>
      </c>
      <c r="R6" s="38" t="s">
        <v>45</v>
      </c>
      <c r="S6" s="38" t="s">
        <v>45</v>
      </c>
      <c r="T6" s="38" t="s">
        <v>45</v>
      </c>
      <c r="U6" s="38" t="s">
        <v>45</v>
      </c>
      <c r="V6" s="38" t="s">
        <v>45</v>
      </c>
      <c r="W6" s="44" t="s">
        <v>46</v>
      </c>
      <c r="X6" s="44" t="s">
        <v>46</v>
      </c>
      <c r="Y6" s="38" t="s">
        <v>45</v>
      </c>
      <c r="Z6" s="38" t="s">
        <v>45</v>
      </c>
      <c r="AA6" s="38" t="s">
        <v>45</v>
      </c>
      <c r="AB6" s="38" t="s">
        <v>45</v>
      </c>
      <c r="AC6" s="38" t="s">
        <v>45</v>
      </c>
      <c r="AD6" s="34" t="s">
        <v>39</v>
      </c>
      <c r="AE6" s="38" t="s">
        <v>45</v>
      </c>
      <c r="AF6" s="38" t="s">
        <v>45</v>
      </c>
      <c r="AG6" s="69">
        <f t="shared" si="6"/>
        <v>0</v>
      </c>
      <c r="AH6" s="69"/>
      <c r="AI6" s="69"/>
      <c r="AJ6" s="69"/>
      <c r="AK6" s="70" t="s">
        <v>43</v>
      </c>
      <c r="AL6" s="71">
        <f t="shared" si="7"/>
        <v>12</v>
      </c>
      <c r="AM6" s="72">
        <f t="shared" si="8"/>
        <v>-5</v>
      </c>
      <c r="AN6" s="73">
        <f t="shared" si="9"/>
        <v>1</v>
      </c>
      <c r="AO6" s="44" t="s">
        <v>46</v>
      </c>
      <c r="AP6" s="77">
        <v>170</v>
      </c>
      <c r="AQ6" s="77">
        <v>45</v>
      </c>
      <c r="AR6" s="82">
        <v>34</v>
      </c>
      <c r="AS6" s="82">
        <f t="shared" si="0"/>
        <v>0</v>
      </c>
      <c r="AT6" s="82">
        <f t="shared" si="1"/>
        <v>49</v>
      </c>
      <c r="AU6" s="82">
        <f t="shared" si="2"/>
        <v>43</v>
      </c>
      <c r="AV6" s="83">
        <f t="shared" si="10"/>
        <v>92</v>
      </c>
      <c r="AW6" s="94">
        <v>180</v>
      </c>
      <c r="AX6" s="94">
        <f t="shared" si="3"/>
        <v>0</v>
      </c>
      <c r="AY6" s="94">
        <f t="shared" si="4"/>
        <v>2205</v>
      </c>
      <c r="AZ6" s="94">
        <f t="shared" si="4"/>
        <v>1935</v>
      </c>
      <c r="BA6" s="102"/>
      <c r="BB6" s="102"/>
      <c r="BD6" s="94">
        <f t="shared" si="5"/>
        <v>136</v>
      </c>
    </row>
    <row r="7" spans="1:57">
      <c r="A7" s="15">
        <v>45733</v>
      </c>
      <c r="B7">
        <v>1600</v>
      </c>
      <c r="D7" s="26">
        <f>(SUM(粮草!A7:X7)+AG7*10*IF(AK7="是",$BB$4,$BB$3))</f>
        <v>1680</v>
      </c>
      <c r="E7" s="28">
        <f>SUM($B$4:B7)+SUM($C$4:C7)-SUM($D$4:D7)</f>
        <v>3030</v>
      </c>
      <c r="F7" s="29">
        <f>SUM(经验!A7:X7)</f>
        <v>995</v>
      </c>
      <c r="G7" s="26">
        <f>SUM($F$4:F7)+SUM($H$4:H7)</f>
        <v>3455</v>
      </c>
      <c r="H7">
        <v>200</v>
      </c>
      <c r="I7" t="s">
        <v>41</v>
      </c>
      <c r="J7" t="s">
        <v>41</v>
      </c>
      <c r="K7" t="s">
        <v>41</v>
      </c>
      <c r="L7" t="s">
        <v>41</v>
      </c>
      <c r="M7" t="s">
        <v>41</v>
      </c>
      <c r="N7" t="s">
        <v>41</v>
      </c>
      <c r="O7" s="36" t="s">
        <v>41</v>
      </c>
      <c r="P7" s="36" t="s">
        <v>41</v>
      </c>
      <c r="Q7" s="38" t="s">
        <v>45</v>
      </c>
      <c r="R7" s="45" t="s">
        <v>48</v>
      </c>
      <c r="S7" s="38" t="s">
        <v>45</v>
      </c>
      <c r="T7" s="38" t="s">
        <v>45</v>
      </c>
      <c r="U7" s="37" t="s">
        <v>49</v>
      </c>
      <c r="V7" s="38" t="s">
        <v>45</v>
      </c>
      <c r="W7" s="44" t="s">
        <v>46</v>
      </c>
      <c r="X7" t="s">
        <v>41</v>
      </c>
      <c r="Y7" s="38" t="s">
        <v>45</v>
      </c>
      <c r="Z7" s="38" t="s">
        <v>45</v>
      </c>
      <c r="AA7" s="38" t="s">
        <v>45</v>
      </c>
      <c r="AB7" s="35" t="s">
        <v>40</v>
      </c>
      <c r="AC7" s="38" t="s">
        <v>45</v>
      </c>
      <c r="AD7" s="34" t="s">
        <v>39</v>
      </c>
      <c r="AE7" s="44" t="s">
        <v>46</v>
      </c>
      <c r="AF7" s="36" t="s">
        <v>41</v>
      </c>
      <c r="AG7" s="69">
        <f t="shared" si="6"/>
        <v>6</v>
      </c>
      <c r="AH7" s="69"/>
      <c r="AI7" s="69">
        <v>6</v>
      </c>
      <c r="AJ7" s="69"/>
      <c r="AK7" s="70" t="s">
        <v>43</v>
      </c>
      <c r="AL7" s="71">
        <f t="shared" si="7"/>
        <v>18</v>
      </c>
      <c r="AM7" s="72">
        <f t="shared" si="8"/>
        <v>-3</v>
      </c>
      <c r="AN7" s="73">
        <f t="shared" si="9"/>
        <v>0</v>
      </c>
      <c r="AO7" s="46" t="s">
        <v>50</v>
      </c>
      <c r="AP7" s="77">
        <v>180</v>
      </c>
      <c r="AQ7" s="77">
        <v>50</v>
      </c>
      <c r="AR7" s="77">
        <v>36</v>
      </c>
      <c r="AS7" s="77">
        <f t="shared" si="0"/>
        <v>0</v>
      </c>
      <c r="AT7" s="77">
        <f t="shared" si="1"/>
        <v>24</v>
      </c>
      <c r="AU7" s="77">
        <f t="shared" si="2"/>
        <v>43</v>
      </c>
      <c r="AV7" s="84">
        <f t="shared" si="10"/>
        <v>67</v>
      </c>
      <c r="AW7">
        <v>104</v>
      </c>
      <c r="AX7">
        <f t="shared" si="3"/>
        <v>0</v>
      </c>
      <c r="AY7">
        <f t="shared" si="4"/>
        <v>1200</v>
      </c>
      <c r="AZ7">
        <f t="shared" si="4"/>
        <v>2150</v>
      </c>
      <c r="BA7" s="102"/>
      <c r="BB7" s="102"/>
      <c r="BD7">
        <f t="shared" si="5"/>
        <v>144</v>
      </c>
      <c r="BE7" s="19"/>
    </row>
    <row r="8" spans="1:57">
      <c r="A8" s="15">
        <v>45734</v>
      </c>
      <c r="B8">
        <v>1600</v>
      </c>
      <c r="D8" s="26">
        <f>(SUM(粮草!A8:X8)+AG8*10*IF(AK8="是",$BB$4,$BB$3))</f>
        <v>1540</v>
      </c>
      <c r="E8" s="28">
        <f>SUM($B$4:B8)+SUM($C$4:C8)-SUM($D$4:D8)</f>
        <v>3090</v>
      </c>
      <c r="F8" s="29">
        <f>SUM(经验!A8:X8)</f>
        <v>460</v>
      </c>
      <c r="G8" s="26">
        <f>SUM($F$4:F8)+SUM($H$4:H8)</f>
        <v>4015</v>
      </c>
      <c r="H8">
        <v>100</v>
      </c>
      <c r="I8" t="s">
        <v>41</v>
      </c>
      <c r="J8" t="s">
        <v>41</v>
      </c>
      <c r="K8" t="s">
        <v>41</v>
      </c>
      <c r="L8" t="s">
        <v>41</v>
      </c>
      <c r="M8" t="s">
        <v>41</v>
      </c>
      <c r="N8" t="s">
        <v>41</v>
      </c>
      <c r="O8" s="36" t="s">
        <v>41</v>
      </c>
      <c r="P8" s="36" t="s">
        <v>41</v>
      </c>
      <c r="Q8" s="46" t="s">
        <v>50</v>
      </c>
      <c r="R8" s="46" t="s">
        <v>50</v>
      </c>
      <c r="S8" s="46" t="s">
        <v>50</v>
      </c>
      <c r="T8" s="37" t="s">
        <v>49</v>
      </c>
      <c r="U8" s="46" t="s">
        <v>50</v>
      </c>
      <c r="V8" t="s">
        <v>41</v>
      </c>
      <c r="W8" s="36" t="s">
        <v>41</v>
      </c>
      <c r="X8" s="36" t="s">
        <v>41</v>
      </c>
      <c r="Y8" s="44" t="s">
        <v>46</v>
      </c>
      <c r="Z8" s="44" t="s">
        <v>46</v>
      </c>
      <c r="AA8" s="47" t="s">
        <v>51</v>
      </c>
      <c r="AB8" s="44" t="s">
        <v>46</v>
      </c>
      <c r="AC8" s="44" t="s">
        <v>46</v>
      </c>
      <c r="AD8" s="34" t="s">
        <v>39</v>
      </c>
      <c r="AE8" s="36" t="s">
        <v>41</v>
      </c>
      <c r="AF8" s="36" t="s">
        <v>41</v>
      </c>
      <c r="AG8" s="69">
        <f t="shared" si="6"/>
        <v>7</v>
      </c>
      <c r="AH8" s="69"/>
      <c r="AI8" s="69">
        <v>5</v>
      </c>
      <c r="AJ8" s="69">
        <v>2</v>
      </c>
      <c r="AK8" s="70" t="s">
        <v>43</v>
      </c>
      <c r="AL8" s="71">
        <f t="shared" si="7"/>
        <v>18</v>
      </c>
      <c r="AM8" s="72">
        <f t="shared" si="8"/>
        <v>0</v>
      </c>
      <c r="AN8" s="73">
        <f t="shared" si="9"/>
        <v>0</v>
      </c>
      <c r="AO8" s="43" t="s">
        <v>42</v>
      </c>
      <c r="AP8" s="77">
        <v>190</v>
      </c>
      <c r="AQ8" s="77">
        <v>55</v>
      </c>
      <c r="AR8" s="77">
        <v>38</v>
      </c>
      <c r="AS8" s="77">
        <f t="shared" si="0"/>
        <v>0</v>
      </c>
      <c r="AT8" s="77">
        <f t="shared" si="1"/>
        <v>58</v>
      </c>
      <c r="AU8" s="77">
        <f t="shared" si="2"/>
        <v>16</v>
      </c>
      <c r="AV8" s="84">
        <f t="shared" si="10"/>
        <v>74</v>
      </c>
      <c r="AW8">
        <v>31</v>
      </c>
      <c r="AX8">
        <f t="shared" si="3"/>
        <v>0</v>
      </c>
      <c r="AY8">
        <f t="shared" si="4"/>
        <v>3190</v>
      </c>
      <c r="AZ8">
        <f t="shared" si="4"/>
        <v>880</v>
      </c>
      <c r="BA8" s="102"/>
      <c r="BB8" s="102"/>
      <c r="BD8">
        <f t="shared" si="5"/>
        <v>152</v>
      </c>
      <c r="BE8" s="19"/>
    </row>
    <row r="9" spans="1:57">
      <c r="A9" s="15">
        <v>45735</v>
      </c>
      <c r="B9">
        <v>1600</v>
      </c>
      <c r="D9" s="26">
        <f>(SUM(粮草!A9:X9)+AG9*10*IF(AK9="是",$BB$4,$BB$3))</f>
        <v>1900</v>
      </c>
      <c r="E9" s="28">
        <f>SUM($B$4:B9)+SUM($C$4:C9)-SUM($D$4:D9)</f>
        <v>2790</v>
      </c>
      <c r="F9" s="29">
        <f>SUM(经验!A9:X9)</f>
        <v>825</v>
      </c>
      <c r="G9" s="26">
        <f>SUM($F$4:F9)+SUM($H$4:H9)</f>
        <v>5040</v>
      </c>
      <c r="H9">
        <v>200</v>
      </c>
      <c r="I9" t="s">
        <v>41</v>
      </c>
      <c r="J9" t="s">
        <v>41</v>
      </c>
      <c r="K9" t="s">
        <v>41</v>
      </c>
      <c r="L9" t="s">
        <v>41</v>
      </c>
      <c r="M9" t="s">
        <v>41</v>
      </c>
      <c r="N9" t="s">
        <v>41</v>
      </c>
      <c r="O9" s="36" t="s">
        <v>41</v>
      </c>
      <c r="P9" s="36" t="s">
        <v>41</v>
      </c>
      <c r="Q9" s="44" t="s">
        <v>46</v>
      </c>
      <c r="R9" s="44" t="s">
        <v>46</v>
      </c>
      <c r="S9" s="47" t="s">
        <v>52</v>
      </c>
      <c r="T9" s="44" t="s">
        <v>46</v>
      </c>
      <c r="U9" s="44" t="s">
        <v>46</v>
      </c>
      <c r="V9" s="44" t="s">
        <v>46</v>
      </c>
      <c r="W9" s="44" t="s">
        <v>46</v>
      </c>
      <c r="X9" s="37" t="s">
        <v>49</v>
      </c>
      <c r="Y9" s="44" t="s">
        <v>46</v>
      </c>
      <c r="Z9" s="35" t="s">
        <v>40</v>
      </c>
      <c r="AA9" s="44" t="s">
        <v>46</v>
      </c>
      <c r="AB9" s="48" t="s">
        <v>53</v>
      </c>
      <c r="AC9" s="44" t="s">
        <v>46</v>
      </c>
      <c r="AD9" s="44" t="s">
        <v>46</v>
      </c>
      <c r="AE9" s="36" t="s">
        <v>41</v>
      </c>
      <c r="AF9" s="36" t="s">
        <v>41</v>
      </c>
      <c r="AG9" s="69">
        <f t="shared" si="6"/>
        <v>0</v>
      </c>
      <c r="AH9" s="69"/>
      <c r="AI9" s="69"/>
      <c r="AJ9" s="69"/>
      <c r="AK9" s="70" t="s">
        <v>43</v>
      </c>
      <c r="AL9" s="71">
        <f t="shared" si="7"/>
        <v>18</v>
      </c>
      <c r="AM9" s="72">
        <f t="shared" si="8"/>
        <v>0</v>
      </c>
      <c r="AN9" s="73">
        <f t="shared" si="9"/>
        <v>0</v>
      </c>
      <c r="AO9" s="49" t="s">
        <v>54</v>
      </c>
      <c r="AP9" s="77">
        <v>200</v>
      </c>
      <c r="AQ9" s="77">
        <v>60</v>
      </c>
      <c r="AR9" s="77"/>
      <c r="AS9" s="77">
        <f t="shared" si="0"/>
        <v>0</v>
      </c>
      <c r="AT9" s="77">
        <f t="shared" si="1"/>
        <v>41</v>
      </c>
      <c r="AU9" s="77">
        <f t="shared" si="2"/>
        <v>18</v>
      </c>
      <c r="AV9" s="84">
        <f t="shared" si="10"/>
        <v>59</v>
      </c>
      <c r="AW9">
        <v>98</v>
      </c>
      <c r="AX9">
        <f t="shared" si="3"/>
        <v>0</v>
      </c>
      <c r="AY9">
        <f t="shared" si="4"/>
        <v>2460</v>
      </c>
      <c r="AZ9">
        <f t="shared" si="4"/>
        <v>1080</v>
      </c>
      <c r="BD9">
        <f t="shared" si="5"/>
        <v>160</v>
      </c>
      <c r="BE9" s="19"/>
    </row>
    <row r="10" spans="1:57">
      <c r="A10" s="15">
        <v>45736</v>
      </c>
      <c r="B10">
        <v>1600</v>
      </c>
      <c r="D10" s="26">
        <f>(SUM(粮草!A10:X10)+AG10*10*IF(AK10="是",$BB$4,$BB$3))</f>
        <v>2250</v>
      </c>
      <c r="E10" s="28">
        <f>SUM($B$4:B10)+SUM($C$4:C10)-SUM($D$4:D10)</f>
        <v>2140</v>
      </c>
      <c r="F10" s="29">
        <f>SUM(经验!A10:X10)</f>
        <v>615</v>
      </c>
      <c r="G10" s="26">
        <f>SUM($F$4:F10)+SUM($H$4:H10)</f>
        <v>5655</v>
      </c>
      <c r="H10">
        <v>0</v>
      </c>
      <c r="I10" t="s">
        <v>41</v>
      </c>
      <c r="J10" t="s">
        <v>41</v>
      </c>
      <c r="K10" t="s">
        <v>41</v>
      </c>
      <c r="L10" t="s">
        <v>41</v>
      </c>
      <c r="M10" t="s">
        <v>41</v>
      </c>
      <c r="N10" t="s">
        <v>41</v>
      </c>
      <c r="O10" s="36" t="s">
        <v>41</v>
      </c>
      <c r="P10" s="36" t="s">
        <v>41</v>
      </c>
      <c r="Q10" s="44" t="s">
        <v>46</v>
      </c>
      <c r="R10" s="44" t="s">
        <v>46</v>
      </c>
      <c r="S10" s="44" t="s">
        <v>46</v>
      </c>
      <c r="T10" s="44" t="s">
        <v>46</v>
      </c>
      <c r="U10" s="35" t="s">
        <v>40</v>
      </c>
      <c r="V10" s="44" t="s">
        <v>46</v>
      </c>
      <c r="W10" s="44" t="s">
        <v>46</v>
      </c>
      <c r="X10" s="48" t="s">
        <v>53</v>
      </c>
      <c r="Y10" s="47" t="s">
        <v>51</v>
      </c>
      <c r="Z10" s="44" t="s">
        <v>46</v>
      </c>
      <c r="AA10" s="44" t="s">
        <v>46</v>
      </c>
      <c r="AB10" s="44" t="s">
        <v>46</v>
      </c>
      <c r="AC10" s="44" t="s">
        <v>46</v>
      </c>
      <c r="AD10" s="44" t="s">
        <v>46</v>
      </c>
      <c r="AE10" s="36" t="s">
        <v>41</v>
      </c>
      <c r="AF10" s="36" t="s">
        <v>41</v>
      </c>
      <c r="AG10" s="69">
        <f t="shared" si="6"/>
        <v>1</v>
      </c>
      <c r="AH10" s="69"/>
      <c r="AI10" s="69"/>
      <c r="AJ10" s="69">
        <v>1</v>
      </c>
      <c r="AK10" s="70" t="s">
        <v>43</v>
      </c>
      <c r="AL10" s="71">
        <f t="shared" si="7"/>
        <v>18</v>
      </c>
      <c r="AM10" s="72">
        <f t="shared" si="8"/>
        <v>-2</v>
      </c>
      <c r="AN10" s="73">
        <f t="shared" si="9"/>
        <v>0</v>
      </c>
      <c r="AO10" s="85" t="s">
        <v>55</v>
      </c>
      <c r="AP10" s="77">
        <v>150</v>
      </c>
      <c r="AQ10" s="77">
        <v>35</v>
      </c>
      <c r="AR10" s="77">
        <v>44.222109392472198</v>
      </c>
      <c r="AS10" s="77">
        <f t="shared" si="0"/>
        <v>0</v>
      </c>
      <c r="AT10" s="77">
        <f t="shared" si="1"/>
        <v>0</v>
      </c>
      <c r="AU10" s="77">
        <f t="shared" si="2"/>
        <v>0</v>
      </c>
      <c r="AV10" s="84">
        <f t="shared" si="10"/>
        <v>0</v>
      </c>
      <c r="AW10">
        <v>0</v>
      </c>
      <c r="AX10">
        <f t="shared" si="3"/>
        <v>0</v>
      </c>
      <c r="AY10">
        <f t="shared" si="4"/>
        <v>0</v>
      </c>
      <c r="AZ10">
        <f t="shared" si="4"/>
        <v>0</v>
      </c>
      <c r="BD10">
        <f t="shared" si="5"/>
        <v>120</v>
      </c>
      <c r="BE10" s="19"/>
    </row>
    <row r="11" spans="1:57">
      <c r="A11" s="15">
        <v>45737</v>
      </c>
      <c r="B11">
        <v>1600</v>
      </c>
      <c r="D11" s="26">
        <f>(SUM(粮草!A11:X11)+AG11*10*IF(AK11="是",$BB$4,$BB$3))</f>
        <v>1840</v>
      </c>
      <c r="E11" s="28">
        <f>SUM($B$4:B11)+SUM($C$4:C11)-SUM($D$4:D11)</f>
        <v>1900</v>
      </c>
      <c r="F11" s="29">
        <f>SUM(经验!A11:X11)</f>
        <v>580</v>
      </c>
      <c r="G11" s="26">
        <f>SUM($F$4:F11)+SUM($H$4:H11)</f>
        <v>6235</v>
      </c>
      <c r="H11">
        <v>0</v>
      </c>
      <c r="I11" t="s">
        <v>41</v>
      </c>
      <c r="J11" t="s">
        <v>41</v>
      </c>
      <c r="K11" t="s">
        <v>41</v>
      </c>
      <c r="L11" t="s">
        <v>41</v>
      </c>
      <c r="M11" t="s">
        <v>41</v>
      </c>
      <c r="N11" t="s">
        <v>41</v>
      </c>
      <c r="O11" s="36" t="s">
        <v>41</v>
      </c>
      <c r="P11" s="36" t="s">
        <v>41</v>
      </c>
      <c r="Q11" s="44" t="s">
        <v>46</v>
      </c>
      <c r="R11" s="44" t="s">
        <v>46</v>
      </c>
      <c r="S11" s="44" t="s">
        <v>46</v>
      </c>
      <c r="T11" s="35" t="s">
        <v>40</v>
      </c>
      <c r="U11" s="44" t="s">
        <v>46</v>
      </c>
      <c r="V11" s="44" t="s">
        <v>46</v>
      </c>
      <c r="W11" s="44" t="s">
        <v>46</v>
      </c>
      <c r="X11" s="37" t="s">
        <v>49</v>
      </c>
      <c r="Y11" s="44" t="s">
        <v>46</v>
      </c>
      <c r="Z11" s="44" t="s">
        <v>46</v>
      </c>
      <c r="AA11" s="48" t="s">
        <v>53</v>
      </c>
      <c r="AB11" s="44" t="s">
        <v>46</v>
      </c>
      <c r="AC11" s="46" t="s">
        <v>50</v>
      </c>
      <c r="AD11" s="46" t="s">
        <v>50</v>
      </c>
      <c r="AE11" s="36" t="s">
        <v>41</v>
      </c>
      <c r="AF11" s="36" t="s">
        <v>41</v>
      </c>
      <c r="AG11" s="69">
        <f t="shared" si="6"/>
        <v>0</v>
      </c>
      <c r="AH11" s="69"/>
      <c r="AI11" s="69"/>
      <c r="AJ11" s="69"/>
      <c r="AK11" s="70" t="s">
        <v>43</v>
      </c>
      <c r="AL11" s="71">
        <f t="shared" si="7"/>
        <v>18</v>
      </c>
      <c r="AM11" s="72">
        <f t="shared" si="8"/>
        <v>-2</v>
      </c>
      <c r="AN11" s="73">
        <f t="shared" si="9"/>
        <v>0</v>
      </c>
      <c r="AO11" s="39" t="s">
        <v>56</v>
      </c>
      <c r="AP11" s="77">
        <v>150</v>
      </c>
      <c r="AQ11" s="77">
        <v>40</v>
      </c>
      <c r="AR11" s="77">
        <v>29.110982162825401</v>
      </c>
      <c r="AS11" s="77">
        <f t="shared" si="0"/>
        <v>2</v>
      </c>
      <c r="AT11" s="77">
        <f t="shared" si="1"/>
        <v>0</v>
      </c>
      <c r="AU11" s="77">
        <f t="shared" si="2"/>
        <v>2</v>
      </c>
      <c r="AV11" s="84">
        <f t="shared" si="10"/>
        <v>4</v>
      </c>
      <c r="AW11">
        <v>2</v>
      </c>
      <c r="AX11">
        <f t="shared" si="3"/>
        <v>80</v>
      </c>
      <c r="AY11">
        <f t="shared" si="4"/>
        <v>0</v>
      </c>
      <c r="AZ11">
        <f t="shared" si="4"/>
        <v>80</v>
      </c>
      <c r="BD11">
        <f t="shared" si="5"/>
        <v>120</v>
      </c>
      <c r="BE11" s="19"/>
    </row>
    <row r="12" spans="1:57">
      <c r="A12" s="15">
        <v>45738</v>
      </c>
      <c r="B12">
        <v>1600</v>
      </c>
      <c r="D12" s="26">
        <f>(SUM(粮草!A12:X12)+AG12*10*IF(AK12="是",$BB$4,$BB$3))</f>
        <v>2340</v>
      </c>
      <c r="E12" s="28">
        <f>SUM($B$4:B12)+SUM($C$4:C12)-SUM($D$4:D12)</f>
        <v>1160</v>
      </c>
      <c r="F12" s="29">
        <f>SUM(经验!A12:X12)</f>
        <v>630</v>
      </c>
      <c r="G12" s="26">
        <f>SUM($F$4:F12)+SUM($H$4:H12)</f>
        <v>6865</v>
      </c>
      <c r="H12">
        <v>0</v>
      </c>
      <c r="I12" t="s">
        <v>41</v>
      </c>
      <c r="J12" t="s">
        <v>41</v>
      </c>
      <c r="K12" t="s">
        <v>41</v>
      </c>
      <c r="L12" t="s">
        <v>41</v>
      </c>
      <c r="M12" t="s">
        <v>41</v>
      </c>
      <c r="N12" t="s">
        <v>41</v>
      </c>
      <c r="O12" s="36" t="s">
        <v>41</v>
      </c>
      <c r="P12" s="36" t="s">
        <v>41</v>
      </c>
      <c r="Q12" s="44" t="s">
        <v>46</v>
      </c>
      <c r="R12" s="44" t="s">
        <v>46</v>
      </c>
      <c r="S12" s="44" t="s">
        <v>46</v>
      </c>
      <c r="T12" s="44" t="s">
        <v>46</v>
      </c>
      <c r="U12" s="44" t="s">
        <v>46</v>
      </c>
      <c r="V12" s="47" t="s">
        <v>51</v>
      </c>
      <c r="W12" s="35" t="s">
        <v>40</v>
      </c>
      <c r="X12" s="44" t="s">
        <v>46</v>
      </c>
      <c r="Y12" s="46" t="s">
        <v>50</v>
      </c>
      <c r="Z12" s="46" t="s">
        <v>50</v>
      </c>
      <c r="AA12" s="44" t="s">
        <v>46</v>
      </c>
      <c r="AB12" s="44" t="s">
        <v>46</v>
      </c>
      <c r="AC12" s="47" t="s">
        <v>51</v>
      </c>
      <c r="AD12" s="46" t="s">
        <v>50</v>
      </c>
      <c r="AE12" s="36" t="s">
        <v>41</v>
      </c>
      <c r="AF12" s="36" t="s">
        <v>41</v>
      </c>
      <c r="AG12" s="69">
        <f t="shared" si="6"/>
        <v>5</v>
      </c>
      <c r="AH12" s="69"/>
      <c r="AI12" s="69">
        <v>2</v>
      </c>
      <c r="AJ12" s="69">
        <v>3</v>
      </c>
      <c r="AK12" s="70" t="s">
        <v>43</v>
      </c>
      <c r="AL12" s="71">
        <f t="shared" si="7"/>
        <v>18</v>
      </c>
      <c r="AM12" s="72">
        <f t="shared" si="8"/>
        <v>-4</v>
      </c>
      <c r="AN12" s="73">
        <f t="shared" si="9"/>
        <v>0</v>
      </c>
      <c r="AO12" s="48" t="s">
        <v>53</v>
      </c>
      <c r="AP12" s="77">
        <v>150</v>
      </c>
      <c r="AQ12" s="77">
        <v>45</v>
      </c>
      <c r="AR12" s="77">
        <v>13.9998549331786</v>
      </c>
      <c r="AS12" s="77">
        <f t="shared" si="0"/>
        <v>0</v>
      </c>
      <c r="AT12" s="77">
        <f t="shared" si="1"/>
        <v>1</v>
      </c>
      <c r="AU12" s="77">
        <f t="shared" si="2"/>
        <v>3</v>
      </c>
      <c r="AV12" s="84">
        <f t="shared" si="10"/>
        <v>4</v>
      </c>
      <c r="AW12">
        <v>5</v>
      </c>
      <c r="AX12">
        <f t="shared" si="3"/>
        <v>0</v>
      </c>
      <c r="AY12">
        <f t="shared" si="4"/>
        <v>45</v>
      </c>
      <c r="AZ12">
        <f t="shared" si="4"/>
        <v>135</v>
      </c>
      <c r="BD12">
        <f t="shared" si="5"/>
        <v>120</v>
      </c>
      <c r="BE12" s="19"/>
    </row>
    <row r="13" spans="1:57">
      <c r="A13" s="15">
        <v>45739</v>
      </c>
      <c r="B13">
        <v>1600</v>
      </c>
      <c r="D13" s="26">
        <f>(SUM(粮草!A13:X13)+AG13*10*IF(AK13="是",$BB$4,$BB$3))</f>
        <v>2270</v>
      </c>
      <c r="E13" s="28">
        <f>SUM($B$4:B13)+SUM($C$4:C13)-SUM($D$4:D13)</f>
        <v>490</v>
      </c>
      <c r="F13" s="29">
        <f>SUM(经验!A13:X13)</f>
        <v>615</v>
      </c>
      <c r="G13" s="26">
        <f>SUM($F$4:F13)+SUM($H$4:H13)</f>
        <v>7480</v>
      </c>
      <c r="H13">
        <v>0</v>
      </c>
      <c r="I13" t="s">
        <v>41</v>
      </c>
      <c r="J13" t="s">
        <v>41</v>
      </c>
      <c r="K13" t="s">
        <v>41</v>
      </c>
      <c r="L13" t="s">
        <v>41</v>
      </c>
      <c r="M13" t="s">
        <v>41</v>
      </c>
      <c r="N13" t="s">
        <v>41</v>
      </c>
      <c r="O13" s="36" t="s">
        <v>41</v>
      </c>
      <c r="P13" s="36" t="s">
        <v>41</v>
      </c>
      <c r="Q13" s="44" t="s">
        <v>46</v>
      </c>
      <c r="R13" s="44" t="s">
        <v>46</v>
      </c>
      <c r="S13" s="44" t="s">
        <v>46</v>
      </c>
      <c r="T13" s="44" t="s">
        <v>46</v>
      </c>
      <c r="U13" s="44" t="s">
        <v>46</v>
      </c>
      <c r="V13" s="44" t="s">
        <v>46</v>
      </c>
      <c r="W13" s="44" t="s">
        <v>46</v>
      </c>
      <c r="X13" s="36" t="s">
        <v>41</v>
      </c>
      <c r="Y13" s="46" t="s">
        <v>50</v>
      </c>
      <c r="Z13" s="46" t="s">
        <v>50</v>
      </c>
      <c r="AA13" s="46" t="s">
        <v>50</v>
      </c>
      <c r="AB13" s="46" t="s">
        <v>50</v>
      </c>
      <c r="AC13" s="46" t="s">
        <v>50</v>
      </c>
      <c r="AD13" s="46" t="s">
        <v>50</v>
      </c>
      <c r="AE13" s="36" t="s">
        <v>41</v>
      </c>
      <c r="AF13" s="36" t="s">
        <v>41</v>
      </c>
      <c r="AG13" s="69">
        <f t="shared" si="6"/>
        <v>0</v>
      </c>
      <c r="AH13" s="74"/>
      <c r="AI13" s="74"/>
      <c r="AJ13" s="74"/>
      <c r="AK13" s="70" t="s">
        <v>43</v>
      </c>
      <c r="AL13" s="71">
        <f t="shared" si="7"/>
        <v>18</v>
      </c>
      <c r="AM13" s="72">
        <f t="shared" si="8"/>
        <v>-5</v>
      </c>
      <c r="AN13" s="73">
        <f t="shared" si="9"/>
        <v>0</v>
      </c>
      <c r="AO13" s="86" t="s">
        <v>57</v>
      </c>
      <c r="AP13" s="77">
        <v>150</v>
      </c>
      <c r="AQ13" s="77">
        <v>50</v>
      </c>
      <c r="AR13" s="77"/>
      <c r="AS13" s="77">
        <f t="shared" si="0"/>
        <v>0</v>
      </c>
      <c r="AT13" s="77">
        <f t="shared" si="1"/>
        <v>0</v>
      </c>
      <c r="AU13" s="77">
        <f t="shared" si="2"/>
        <v>0</v>
      </c>
      <c r="AV13" s="84">
        <f t="shared" si="10"/>
        <v>0</v>
      </c>
      <c r="AW13">
        <v>1</v>
      </c>
      <c r="AX13">
        <f t="shared" si="3"/>
        <v>0</v>
      </c>
      <c r="AY13">
        <f t="shared" si="4"/>
        <v>0</v>
      </c>
      <c r="AZ13">
        <f t="shared" si="4"/>
        <v>0</v>
      </c>
      <c r="BD13">
        <f t="shared" si="5"/>
        <v>120</v>
      </c>
      <c r="BE13" s="19"/>
    </row>
    <row r="14" spans="1:57">
      <c r="A14" s="17">
        <v>45740</v>
      </c>
      <c r="B14" s="26">
        <v>1600</v>
      </c>
      <c r="C14" s="27"/>
      <c r="D14" s="26">
        <f>(SUM(粮草!A14:X14)+AG14*10*IF(AK14="是",$BB$4,$BB$3))</f>
        <v>1910</v>
      </c>
      <c r="E14" s="28">
        <f>SUM($B$4:B14)+SUM($C$4:C14)-SUM($D$4:D14)</f>
        <v>180</v>
      </c>
      <c r="F14" s="29">
        <f>SUM(经验!A14:X14)</f>
        <v>530</v>
      </c>
      <c r="G14" s="26">
        <f>SUM($F$4:F14)+SUM($H$4:H14)</f>
        <v>8310</v>
      </c>
      <c r="H14" s="26">
        <v>300</v>
      </c>
      <c r="I14" t="s">
        <v>41</v>
      </c>
      <c r="J14" t="s">
        <v>41</v>
      </c>
      <c r="K14" t="s">
        <v>41</v>
      </c>
      <c r="L14" t="s">
        <v>41</v>
      </c>
      <c r="M14" t="s">
        <v>41</v>
      </c>
      <c r="N14" t="s">
        <v>41</v>
      </c>
      <c r="O14" s="36" t="s">
        <v>41</v>
      </c>
      <c r="P14" s="36" t="s">
        <v>41</v>
      </c>
      <c r="Q14" s="44" t="s">
        <v>46</v>
      </c>
      <c r="R14" s="44" t="s">
        <v>46</v>
      </c>
      <c r="S14" s="47" t="s">
        <v>51</v>
      </c>
      <c r="T14" s="44" t="s">
        <v>46</v>
      </c>
      <c r="U14" s="44" t="s">
        <v>46</v>
      </c>
      <c r="V14" s="44" t="s">
        <v>46</v>
      </c>
      <c r="W14" s="36" t="s">
        <v>41</v>
      </c>
      <c r="X14" s="36" t="s">
        <v>41</v>
      </c>
      <c r="Y14" s="46" t="s">
        <v>50</v>
      </c>
      <c r="Z14" s="44" t="s">
        <v>46</v>
      </c>
      <c r="AA14" s="48" t="s">
        <v>53</v>
      </c>
      <c r="AB14" s="44" t="s">
        <v>46</v>
      </c>
      <c r="AC14" s="35" t="s">
        <v>40</v>
      </c>
      <c r="AD14" s="44" t="s">
        <v>46</v>
      </c>
      <c r="AE14" s="36" t="s">
        <v>41</v>
      </c>
      <c r="AF14" s="36" t="s">
        <v>41</v>
      </c>
      <c r="AG14" s="69">
        <f t="shared" si="6"/>
        <v>0</v>
      </c>
      <c r="AH14" s="74"/>
      <c r="AI14" s="74"/>
      <c r="AJ14" s="74"/>
      <c r="AK14" s="70" t="s">
        <v>43</v>
      </c>
      <c r="AL14" s="71">
        <f t="shared" si="7"/>
        <v>18</v>
      </c>
      <c r="AM14" s="72">
        <f t="shared" si="8"/>
        <v>-5</v>
      </c>
      <c r="AN14" s="73">
        <f t="shared" si="9"/>
        <v>0</v>
      </c>
      <c r="AO14" s="52" t="s">
        <v>58</v>
      </c>
      <c r="AP14" s="77">
        <v>150</v>
      </c>
      <c r="AQ14" s="77">
        <v>55</v>
      </c>
      <c r="AR14" s="77"/>
      <c r="AS14" s="77">
        <f t="shared" si="0"/>
        <v>0</v>
      </c>
      <c r="AT14" s="77">
        <f t="shared" si="1"/>
        <v>1</v>
      </c>
      <c r="AU14" s="77">
        <f t="shared" si="2"/>
        <v>0</v>
      </c>
      <c r="AV14" s="84">
        <f t="shared" si="10"/>
        <v>1</v>
      </c>
      <c r="AW14">
        <v>0</v>
      </c>
      <c r="AX14">
        <f t="shared" si="3"/>
        <v>0</v>
      </c>
      <c r="AY14">
        <f t="shared" si="4"/>
        <v>55</v>
      </c>
      <c r="AZ14">
        <f t="shared" si="4"/>
        <v>0</v>
      </c>
      <c r="BD14">
        <f t="shared" si="5"/>
        <v>120</v>
      </c>
      <c r="BE14" s="19"/>
    </row>
    <row r="15" spans="1:57">
      <c r="A15" s="17">
        <v>45741</v>
      </c>
      <c r="B15" s="26">
        <v>1600</v>
      </c>
      <c r="C15" s="27"/>
      <c r="D15" s="26">
        <f>(SUM(粮草!A15:X15)+AG15*10*IF(AK15="是",$BB$4,$BB$3))</f>
        <v>1900</v>
      </c>
      <c r="E15" s="28">
        <f>SUM($B$4:B15)+SUM($C$4:C15)-SUM($D$4:D15)</f>
        <v>-120</v>
      </c>
      <c r="F15" s="29">
        <f>SUM(经验!A15:X15)</f>
        <v>980</v>
      </c>
      <c r="G15" s="26">
        <f>SUM($F$4:F15)+SUM($H$4:H15)</f>
        <v>9490</v>
      </c>
      <c r="H15" s="26">
        <v>200</v>
      </c>
      <c r="I15" t="s">
        <v>41</v>
      </c>
      <c r="J15" t="s">
        <v>41</v>
      </c>
      <c r="K15" t="s">
        <v>41</v>
      </c>
      <c r="L15" t="s">
        <v>41</v>
      </c>
      <c r="M15" t="s">
        <v>41</v>
      </c>
      <c r="N15" t="s">
        <v>41</v>
      </c>
      <c r="O15" s="36" t="s">
        <v>41</v>
      </c>
      <c r="P15" s="36" t="s">
        <v>41</v>
      </c>
      <c r="Q15" s="44" t="s">
        <v>46</v>
      </c>
      <c r="R15" s="44" t="s">
        <v>46</v>
      </c>
      <c r="S15" s="44" t="s">
        <v>46</v>
      </c>
      <c r="T15" s="44" t="s">
        <v>46</v>
      </c>
      <c r="U15" s="43" t="s">
        <v>42</v>
      </c>
      <c r="V15" s="43" t="s">
        <v>42</v>
      </c>
      <c r="W15" s="47" t="s">
        <v>52</v>
      </c>
      <c r="X15" s="36" t="s">
        <v>41</v>
      </c>
      <c r="Y15" s="44" t="s">
        <v>46</v>
      </c>
      <c r="Z15" s="44" t="s">
        <v>46</v>
      </c>
      <c r="AA15" s="47" t="s">
        <v>52</v>
      </c>
      <c r="AB15" t="s">
        <v>41</v>
      </c>
      <c r="AC15" t="s">
        <v>41</v>
      </c>
      <c r="AD15" t="s">
        <v>41</v>
      </c>
      <c r="AE15" s="36" t="s">
        <v>41</v>
      </c>
      <c r="AF15" s="36" t="s">
        <v>41</v>
      </c>
      <c r="AG15" s="69">
        <f t="shared" si="6"/>
        <v>0</v>
      </c>
      <c r="AH15" s="74"/>
      <c r="AI15" s="74"/>
      <c r="AJ15" s="74"/>
      <c r="AK15" s="70" t="s">
        <v>43</v>
      </c>
      <c r="AL15" s="71">
        <f t="shared" si="7"/>
        <v>18</v>
      </c>
      <c r="AM15" s="72">
        <f t="shared" si="8"/>
        <v>-6</v>
      </c>
      <c r="AN15" s="73">
        <f t="shared" si="9"/>
        <v>3</v>
      </c>
      <c r="AO15" s="51" t="s">
        <v>59</v>
      </c>
      <c r="AP15" s="77">
        <v>150</v>
      </c>
      <c r="AQ15" s="77">
        <v>60</v>
      </c>
      <c r="AR15" s="77"/>
      <c r="AS15" s="77">
        <f t="shared" si="0"/>
        <v>0</v>
      </c>
      <c r="AT15" s="77">
        <f t="shared" si="1"/>
        <v>1</v>
      </c>
      <c r="AU15" s="77">
        <f t="shared" si="2"/>
        <v>0</v>
      </c>
      <c r="AV15" s="84">
        <f t="shared" si="10"/>
        <v>1</v>
      </c>
      <c r="AW15">
        <v>0</v>
      </c>
      <c r="AX15">
        <f t="shared" si="3"/>
        <v>0</v>
      </c>
      <c r="AY15">
        <f t="shared" si="4"/>
        <v>60</v>
      </c>
      <c r="AZ15">
        <f t="shared" si="4"/>
        <v>0</v>
      </c>
      <c r="BD15">
        <f t="shared" si="5"/>
        <v>120</v>
      </c>
      <c r="BE15" s="19"/>
    </row>
    <row r="16" spans="1:57">
      <c r="A16" s="17">
        <v>45742</v>
      </c>
      <c r="B16" s="26">
        <v>1600</v>
      </c>
      <c r="C16" s="27"/>
      <c r="D16" s="26">
        <f>(SUM(粮草!A16:X16)+AG16*10*IF(AK16="是",$BB$4,$BB$3))</f>
        <v>1462</v>
      </c>
      <c r="E16" s="28">
        <f>SUM($B$4:B16)+SUM($C$4:C16)-SUM($D$4:D16)</f>
        <v>18</v>
      </c>
      <c r="F16" s="29">
        <f>SUM(经验!A16:X16)</f>
        <v>560</v>
      </c>
      <c r="G16" s="26">
        <f>SUM($F$4:F16)+SUM($H$4:H16)</f>
        <v>10050</v>
      </c>
      <c r="H16" s="26">
        <v>0</v>
      </c>
      <c r="I16" t="s">
        <v>41</v>
      </c>
      <c r="J16" t="s">
        <v>41</v>
      </c>
      <c r="K16" t="s">
        <v>41</v>
      </c>
      <c r="L16" t="s">
        <v>41</v>
      </c>
      <c r="M16" t="s">
        <v>41</v>
      </c>
      <c r="N16" t="s">
        <v>41</v>
      </c>
      <c r="O16" s="36" t="s">
        <v>41</v>
      </c>
      <c r="P16" s="36" t="s">
        <v>41</v>
      </c>
      <c r="Q16" s="44" t="s">
        <v>46</v>
      </c>
      <c r="R16" s="44" t="s">
        <v>46</v>
      </c>
      <c r="S16" s="44" t="s">
        <v>46</v>
      </c>
      <c r="T16" s="44" t="s">
        <v>46</v>
      </c>
      <c r="U16" s="43" t="s">
        <v>42</v>
      </c>
      <c r="V16" s="43" t="s">
        <v>42</v>
      </c>
      <c r="W16" t="s">
        <v>41</v>
      </c>
      <c r="X16" t="s">
        <v>41</v>
      </c>
      <c r="Y16" s="44" t="s">
        <v>46</v>
      </c>
      <c r="Z16" s="44" t="s">
        <v>46</v>
      </c>
      <c r="AA16" s="44" t="s">
        <v>46</v>
      </c>
      <c r="AB16" s="44" t="s">
        <v>46</v>
      </c>
      <c r="AC16" s="44" t="s">
        <v>46</v>
      </c>
      <c r="AD16" s="44" t="s">
        <v>46</v>
      </c>
      <c r="AE16" s="37" t="s">
        <v>49</v>
      </c>
      <c r="AF16" s="36" t="s">
        <v>41</v>
      </c>
      <c r="AG16" s="69">
        <f t="shared" si="6"/>
        <v>1</v>
      </c>
      <c r="AH16" s="74"/>
      <c r="AI16" s="74">
        <v>1</v>
      </c>
      <c r="AJ16" s="74"/>
      <c r="AK16" s="75" t="s">
        <v>60</v>
      </c>
      <c r="AL16" s="71">
        <f t="shared" si="7"/>
        <v>18</v>
      </c>
      <c r="AM16" s="72">
        <f t="shared" si="8"/>
        <v>-6</v>
      </c>
      <c r="AN16" s="73">
        <f t="shared" si="9"/>
        <v>4</v>
      </c>
      <c r="AO16" s="87" t="s">
        <v>61</v>
      </c>
      <c r="AP16" s="77">
        <v>150</v>
      </c>
      <c r="AQ16" s="77">
        <v>35</v>
      </c>
      <c r="AR16" s="77">
        <v>44.222109392472198</v>
      </c>
      <c r="AS16" s="77">
        <f t="shared" si="0"/>
        <v>0</v>
      </c>
      <c r="AT16" s="77">
        <f t="shared" si="1"/>
        <v>0</v>
      </c>
      <c r="AU16" s="77">
        <f t="shared" si="2"/>
        <v>0</v>
      </c>
      <c r="AV16" s="84">
        <f t="shared" si="10"/>
        <v>0</v>
      </c>
      <c r="AW16">
        <v>0</v>
      </c>
      <c r="AX16">
        <f t="shared" si="3"/>
        <v>0</v>
      </c>
      <c r="AY16">
        <f t="shared" si="4"/>
        <v>0</v>
      </c>
      <c r="AZ16">
        <f t="shared" si="4"/>
        <v>0</v>
      </c>
      <c r="BD16">
        <f t="shared" si="5"/>
        <v>120</v>
      </c>
      <c r="BE16" s="19"/>
    </row>
    <row r="17" spans="1:57">
      <c r="A17" s="17">
        <v>45743</v>
      </c>
      <c r="B17" s="26">
        <v>1600</v>
      </c>
      <c r="C17" s="27"/>
      <c r="D17" s="26">
        <f>(SUM(粮草!A17:X17)+AG17*10*IF(AK17="是",$BB$4,$BB$3))</f>
        <v>544</v>
      </c>
      <c r="E17" s="28">
        <f>SUM($B$4:B17)+SUM($C$4:C17)-SUM($D$4:D17)</f>
        <v>1074</v>
      </c>
      <c r="F17" s="29">
        <f>SUM(经验!A17:X17)</f>
        <v>180</v>
      </c>
      <c r="G17" s="26">
        <f>SUM($F$4:F17)+SUM($H$4:H17)</f>
        <v>10230</v>
      </c>
      <c r="H17" s="26">
        <v>0</v>
      </c>
      <c r="I17" t="s">
        <v>41</v>
      </c>
      <c r="J17" t="s">
        <v>41</v>
      </c>
      <c r="K17" t="s">
        <v>41</v>
      </c>
      <c r="L17" t="s">
        <v>41</v>
      </c>
      <c r="M17" t="s">
        <v>41</v>
      </c>
      <c r="N17" t="s">
        <v>41</v>
      </c>
      <c r="O17" s="36" t="s">
        <v>41</v>
      </c>
      <c r="P17" s="36" t="s">
        <v>41</v>
      </c>
      <c r="Q17" t="s">
        <v>41</v>
      </c>
      <c r="R17" t="s">
        <v>41</v>
      </c>
      <c r="S17" t="s">
        <v>41</v>
      </c>
      <c r="T17" t="s">
        <v>41</v>
      </c>
      <c r="U17" t="s">
        <v>41</v>
      </c>
      <c r="V17" t="s">
        <v>41</v>
      </c>
      <c r="W17" s="36" t="s">
        <v>41</v>
      </c>
      <c r="X17" s="36" t="s">
        <v>41</v>
      </c>
      <c r="Y17" s="44" t="s">
        <v>46</v>
      </c>
      <c r="Z17" s="44" t="s">
        <v>46</v>
      </c>
      <c r="AA17" s="44" t="s">
        <v>46</v>
      </c>
      <c r="AB17" s="44" t="s">
        <v>46</v>
      </c>
      <c r="AC17" t="s">
        <v>41</v>
      </c>
      <c r="AD17" t="s">
        <v>41</v>
      </c>
      <c r="AE17" s="36" t="s">
        <v>41</v>
      </c>
      <c r="AF17" s="36" t="s">
        <v>41</v>
      </c>
      <c r="AG17" s="69">
        <f t="shared" si="6"/>
        <v>0</v>
      </c>
      <c r="AH17" s="74"/>
      <c r="AI17" s="74"/>
      <c r="AJ17" s="74"/>
      <c r="AK17" s="75" t="s">
        <v>60</v>
      </c>
      <c r="AL17" s="71">
        <f t="shared" si="7"/>
        <v>18</v>
      </c>
      <c r="AM17" s="72">
        <f t="shared" si="8"/>
        <v>0</v>
      </c>
      <c r="AN17" s="73">
        <f t="shared" si="9"/>
        <v>6</v>
      </c>
      <c r="AO17" s="35" t="s">
        <v>40</v>
      </c>
      <c r="AP17" s="77">
        <v>50</v>
      </c>
      <c r="AQ17" s="77">
        <v>30</v>
      </c>
      <c r="AR17" s="77">
        <v>10</v>
      </c>
      <c r="AS17" s="77">
        <f t="shared" si="0"/>
        <v>9</v>
      </c>
      <c r="AT17" s="77">
        <f t="shared" si="1"/>
        <v>5</v>
      </c>
      <c r="AU17" s="77">
        <f t="shared" si="2"/>
        <v>12</v>
      </c>
      <c r="AV17" s="84">
        <f t="shared" si="10"/>
        <v>26</v>
      </c>
      <c r="AW17">
        <v>34</v>
      </c>
      <c r="AX17">
        <f t="shared" si="3"/>
        <v>270</v>
      </c>
      <c r="AY17">
        <f t="shared" si="4"/>
        <v>150</v>
      </c>
      <c r="AZ17">
        <f t="shared" si="4"/>
        <v>360</v>
      </c>
      <c r="BD17">
        <f t="shared" si="5"/>
        <v>40</v>
      </c>
      <c r="BE17" s="19"/>
    </row>
    <row r="18" spans="1:57">
      <c r="A18" s="17">
        <v>45744</v>
      </c>
      <c r="B18" s="26">
        <v>1600</v>
      </c>
      <c r="C18" s="27"/>
      <c r="D18" s="26">
        <f>(SUM(粮草!A18:X18)+AG18*10*IF(AK18="是",$BB$4,$BB$3))</f>
        <v>1678</v>
      </c>
      <c r="E18" s="28">
        <f>SUM($B$4:B18)+SUM($C$4:C18)-SUM($D$4:D18)</f>
        <v>996</v>
      </c>
      <c r="F18" s="29">
        <f>SUM(经验!A18:X18)</f>
        <v>640</v>
      </c>
      <c r="G18" s="26">
        <f>SUM($F$4:F18)+SUM($H$4:H18)</f>
        <v>10870</v>
      </c>
      <c r="H18" s="26">
        <v>0</v>
      </c>
      <c r="I18" t="s">
        <v>41</v>
      </c>
      <c r="J18" t="s">
        <v>41</v>
      </c>
      <c r="K18" t="s">
        <v>41</v>
      </c>
      <c r="L18" t="s">
        <v>41</v>
      </c>
      <c r="M18" t="s">
        <v>41</v>
      </c>
      <c r="N18" t="s">
        <v>41</v>
      </c>
      <c r="O18" s="36" t="s">
        <v>41</v>
      </c>
      <c r="P18" s="36" t="s">
        <v>41</v>
      </c>
      <c r="Q18" s="43" t="s">
        <v>42</v>
      </c>
      <c r="R18" s="34" t="s">
        <v>39</v>
      </c>
      <c r="S18" s="43" t="s">
        <v>42</v>
      </c>
      <c r="T18" s="43" t="s">
        <v>42</v>
      </c>
      <c r="U18" s="43" t="s">
        <v>42</v>
      </c>
      <c r="V18" s="43" t="s">
        <v>42</v>
      </c>
      <c r="W18" s="36" t="s">
        <v>41</v>
      </c>
      <c r="X18" s="36" t="s">
        <v>41</v>
      </c>
      <c r="Y18" s="44" t="s">
        <v>46</v>
      </c>
      <c r="Z18" s="46" t="s">
        <v>50</v>
      </c>
      <c r="AA18" s="46" t="s">
        <v>50</v>
      </c>
      <c r="AB18" s="46" t="s">
        <v>50</v>
      </c>
      <c r="AC18" s="37" t="s">
        <v>49</v>
      </c>
      <c r="AD18" s="46" t="s">
        <v>50</v>
      </c>
      <c r="AE18" s="34" t="s">
        <v>39</v>
      </c>
      <c r="AF18" s="46" t="s">
        <v>50</v>
      </c>
      <c r="AG18" s="69">
        <f t="shared" si="6"/>
        <v>4</v>
      </c>
      <c r="AH18" s="74"/>
      <c r="AI18" s="74">
        <v>4</v>
      </c>
      <c r="AJ18" s="74"/>
      <c r="AK18" s="75" t="s">
        <v>60</v>
      </c>
      <c r="AL18" s="71">
        <f t="shared" si="7"/>
        <v>18</v>
      </c>
      <c r="AM18" s="72">
        <f t="shared" si="8"/>
        <v>0</v>
      </c>
      <c r="AN18" s="73">
        <f t="shared" si="9"/>
        <v>6</v>
      </c>
      <c r="AO18" s="37" t="s">
        <v>49</v>
      </c>
      <c r="AP18" s="77">
        <v>-150</v>
      </c>
      <c r="AQ18" s="77">
        <v>0</v>
      </c>
      <c r="AR18" s="77">
        <v>10</v>
      </c>
      <c r="AS18" s="77">
        <f t="shared" si="0"/>
        <v>1</v>
      </c>
      <c r="AT18" s="77">
        <f t="shared" si="1"/>
        <v>9</v>
      </c>
      <c r="AU18" s="77">
        <f t="shared" si="2"/>
        <v>5</v>
      </c>
      <c r="AV18" s="84">
        <f t="shared" si="10"/>
        <v>15</v>
      </c>
      <c r="AW18">
        <v>15</v>
      </c>
      <c r="AX18">
        <f t="shared" si="3"/>
        <v>0</v>
      </c>
      <c r="AY18">
        <f t="shared" si="4"/>
        <v>0</v>
      </c>
      <c r="AZ18">
        <f t="shared" si="4"/>
        <v>0</v>
      </c>
      <c r="BD18">
        <f t="shared" si="5"/>
        <v>-120</v>
      </c>
      <c r="BE18" s="19"/>
    </row>
    <row r="19" spans="1:57">
      <c r="A19" s="17">
        <v>45745</v>
      </c>
      <c r="B19" s="26">
        <v>1600</v>
      </c>
      <c r="C19" s="27"/>
      <c r="D19" s="26">
        <f>(SUM(粮草!A19:X19)+AG19*10*IF(AK19="是",$BB$4,$BB$3))</f>
        <v>1806</v>
      </c>
      <c r="E19" s="28">
        <f>SUM($B$4:B19)+SUM($C$4:C19)-SUM($D$4:D19)</f>
        <v>790</v>
      </c>
      <c r="F19" s="29">
        <f>SUM(经验!A19:X19)</f>
        <v>740</v>
      </c>
      <c r="G19" s="26">
        <f>SUM($F$4:F19)+SUM($H$4:H19)</f>
        <v>11610</v>
      </c>
      <c r="H19" s="26">
        <v>0</v>
      </c>
      <c r="I19" t="s">
        <v>41</v>
      </c>
      <c r="J19" t="s">
        <v>41</v>
      </c>
      <c r="K19" t="s">
        <v>41</v>
      </c>
      <c r="L19" t="s">
        <v>41</v>
      </c>
      <c r="M19" t="s">
        <v>41</v>
      </c>
      <c r="N19" t="s">
        <v>41</v>
      </c>
      <c r="O19" s="36" t="s">
        <v>41</v>
      </c>
      <c r="P19" s="36" t="s">
        <v>41</v>
      </c>
      <c r="Q19" s="43" t="s">
        <v>42</v>
      </c>
      <c r="R19" s="43" t="s">
        <v>42</v>
      </c>
      <c r="S19" s="37" t="s">
        <v>49</v>
      </c>
      <c r="T19" s="43" t="s">
        <v>42</v>
      </c>
      <c r="U19" s="43" t="s">
        <v>42</v>
      </c>
      <c r="V19" s="43" t="s">
        <v>42</v>
      </c>
      <c r="W19" s="43" t="s">
        <v>42</v>
      </c>
      <c r="X19" s="36" t="s">
        <v>41</v>
      </c>
      <c r="Y19" s="46" t="s">
        <v>50</v>
      </c>
      <c r="Z19" s="35" t="s">
        <v>40</v>
      </c>
      <c r="AA19" s="43" t="s">
        <v>42</v>
      </c>
      <c r="AB19" s="43" t="s">
        <v>42</v>
      </c>
      <c r="AC19" s="43" t="s">
        <v>42</v>
      </c>
      <c r="AD19" s="43" t="s">
        <v>42</v>
      </c>
      <c r="AE19" s="43" t="s">
        <v>42</v>
      </c>
      <c r="AF19" s="43" t="s">
        <v>42</v>
      </c>
      <c r="AG19" s="69">
        <f t="shared" si="6"/>
        <v>1</v>
      </c>
      <c r="AH19" s="74"/>
      <c r="AI19" s="74">
        <v>1</v>
      </c>
      <c r="AJ19" s="74"/>
      <c r="AK19" s="75" t="s">
        <v>60</v>
      </c>
      <c r="AL19" s="71">
        <f t="shared" si="7"/>
        <v>18</v>
      </c>
      <c r="AM19" s="72">
        <f t="shared" si="8"/>
        <v>1</v>
      </c>
      <c r="AN19" s="73">
        <f t="shared" si="9"/>
        <v>4</v>
      </c>
      <c r="AO19" s="47" t="s">
        <v>52</v>
      </c>
      <c r="AP19" s="77">
        <v>250</v>
      </c>
      <c r="AQ19" s="77">
        <v>300</v>
      </c>
      <c r="AR19" s="77"/>
      <c r="AS19" s="77">
        <f t="shared" si="0"/>
        <v>0</v>
      </c>
      <c r="AT19" s="77">
        <f t="shared" si="1"/>
        <v>2</v>
      </c>
      <c r="AU19" s="77">
        <f t="shared" si="2"/>
        <v>1</v>
      </c>
      <c r="AV19" s="84">
        <f t="shared" si="10"/>
        <v>3</v>
      </c>
      <c r="AW19">
        <v>3</v>
      </c>
      <c r="AX19">
        <f t="shared" si="3"/>
        <v>0</v>
      </c>
      <c r="AY19">
        <f t="shared" si="4"/>
        <v>600</v>
      </c>
      <c r="AZ19">
        <f t="shared" si="4"/>
        <v>300</v>
      </c>
      <c r="BD19">
        <f t="shared" si="5"/>
        <v>200</v>
      </c>
      <c r="BE19" s="19"/>
    </row>
    <row r="20" spans="1:57">
      <c r="A20" s="17">
        <v>45746</v>
      </c>
      <c r="B20" s="26">
        <v>1600</v>
      </c>
      <c r="C20" s="27"/>
      <c r="D20" s="26">
        <f>(SUM(粮草!A20:X20)+AG20*10*IF(AK20="是",$BB$4,$BB$3))</f>
        <v>2824</v>
      </c>
      <c r="E20" s="28">
        <f>SUM($B$4:B20)+SUM($C$4:C20)-SUM($D$4:D20)</f>
        <v>-434</v>
      </c>
      <c r="F20" s="29">
        <f>SUM(经验!A20:X20)</f>
        <v>1015</v>
      </c>
      <c r="G20" s="26">
        <f>SUM($F$4:F20)+SUM($H$4:H20)</f>
        <v>12625</v>
      </c>
      <c r="H20" s="26">
        <v>0</v>
      </c>
      <c r="I20" s="34" t="s">
        <v>39</v>
      </c>
      <c r="J20" s="35" t="s">
        <v>40</v>
      </c>
      <c r="K20" s="34" t="s">
        <v>39</v>
      </c>
      <c r="L20" s="34" t="s">
        <v>39</v>
      </c>
      <c r="M20" s="34" t="s">
        <v>39</v>
      </c>
      <c r="N20" s="34" t="s">
        <v>39</v>
      </c>
      <c r="O20" s="36" t="s">
        <v>41</v>
      </c>
      <c r="P20" s="36" t="s">
        <v>41</v>
      </c>
      <c r="Q20" s="43" t="s">
        <v>42</v>
      </c>
      <c r="R20" s="43" t="s">
        <v>42</v>
      </c>
      <c r="S20" s="43" t="s">
        <v>42</v>
      </c>
      <c r="T20" s="49" t="s">
        <v>54</v>
      </c>
      <c r="U20" s="49" t="s">
        <v>54</v>
      </c>
      <c r="V20" s="49" t="s">
        <v>54</v>
      </c>
      <c r="W20" s="49" t="s">
        <v>54</v>
      </c>
      <c r="X20" t="s">
        <v>41</v>
      </c>
      <c r="Y20" s="43" t="s">
        <v>42</v>
      </c>
      <c r="Z20" s="43" t="s">
        <v>42</v>
      </c>
      <c r="AA20" s="46" t="s">
        <v>50</v>
      </c>
      <c r="AB20" s="46" t="s">
        <v>50</v>
      </c>
      <c r="AC20" s="35" t="s">
        <v>40</v>
      </c>
      <c r="AD20" s="43" t="s">
        <v>42</v>
      </c>
      <c r="AE20" s="43" t="s">
        <v>42</v>
      </c>
      <c r="AF20" s="43" t="s">
        <v>42</v>
      </c>
      <c r="AG20" s="69">
        <f t="shared" si="6"/>
        <v>0</v>
      </c>
      <c r="AH20" s="74"/>
      <c r="AI20" s="74"/>
      <c r="AJ20" s="74"/>
      <c r="AK20" s="75" t="s">
        <v>60</v>
      </c>
      <c r="AL20" s="71">
        <f t="shared" si="7"/>
        <v>12</v>
      </c>
      <c r="AM20" s="72">
        <f t="shared" si="8"/>
        <v>0</v>
      </c>
      <c r="AN20" s="73">
        <f t="shared" si="9"/>
        <v>2</v>
      </c>
      <c r="AO20" s="47" t="s">
        <v>51</v>
      </c>
      <c r="AP20" s="77">
        <v>170</v>
      </c>
      <c r="AQ20" s="77">
        <v>45</v>
      </c>
      <c r="AR20" s="77"/>
      <c r="AS20" s="77">
        <f t="shared" si="0"/>
        <v>0</v>
      </c>
      <c r="AT20" s="77">
        <f t="shared" si="1"/>
        <v>2</v>
      </c>
      <c r="AU20" s="77">
        <f t="shared" si="2"/>
        <v>3</v>
      </c>
      <c r="AV20" s="84">
        <f t="shared" si="10"/>
        <v>5</v>
      </c>
      <c r="AW20">
        <v>5</v>
      </c>
      <c r="AX20">
        <f t="shared" si="3"/>
        <v>0</v>
      </c>
      <c r="AY20">
        <f t="shared" ref="AY20:AY29" si="11">AT20*$AQ20</f>
        <v>90</v>
      </c>
      <c r="AZ20">
        <f t="shared" ref="AZ20:AZ29" si="12">AU20*$AQ20</f>
        <v>135</v>
      </c>
      <c r="BD20">
        <f t="shared" si="5"/>
        <v>136</v>
      </c>
      <c r="BE20" s="19"/>
    </row>
    <row r="21" spans="1:57">
      <c r="A21" s="17">
        <v>45747</v>
      </c>
      <c r="B21">
        <v>1600</v>
      </c>
      <c r="D21" s="26">
        <f>(SUM(粮草!A21:X21)+AG21*10*IF(AK21="是",$BB$4,$BB$3))</f>
        <v>1948</v>
      </c>
      <c r="E21" s="28">
        <f>SUM($B$4:B21)+SUM($C$4:C21)-SUM($D$4:D21)</f>
        <v>-782</v>
      </c>
      <c r="F21" s="29">
        <f>SUM(经验!A21:X21)</f>
        <v>1810</v>
      </c>
      <c r="G21" s="26">
        <f>SUM($F$4:F21)+SUM($H$4:H21)</f>
        <v>14635</v>
      </c>
      <c r="H21">
        <v>200</v>
      </c>
      <c r="I21" s="35" t="s">
        <v>40</v>
      </c>
      <c r="J21" s="34" t="s">
        <v>39</v>
      </c>
      <c r="K21" s="34" t="s">
        <v>39</v>
      </c>
      <c r="L21" s="35" t="s">
        <v>40</v>
      </c>
      <c r="M21" s="34" t="s">
        <v>39</v>
      </c>
      <c r="N21" s="37" t="s">
        <v>49</v>
      </c>
      <c r="O21" s="36" t="s">
        <v>41</v>
      </c>
      <c r="P21" s="36" t="s">
        <v>41</v>
      </c>
      <c r="Q21" s="37" t="s">
        <v>49</v>
      </c>
      <c r="R21" s="49" t="s">
        <v>54</v>
      </c>
      <c r="S21" s="49" t="s">
        <v>54</v>
      </c>
      <c r="T21" s="49" t="s">
        <v>54</v>
      </c>
      <c r="U21" s="49" t="s">
        <v>54</v>
      </c>
      <c r="V21" s="49" t="s">
        <v>54</v>
      </c>
      <c r="W21" s="50" t="s">
        <v>62</v>
      </c>
      <c r="X21" t="s">
        <v>41</v>
      </c>
      <c r="Y21" s="35" t="s">
        <v>40</v>
      </c>
      <c r="Z21" s="43" t="s">
        <v>42</v>
      </c>
      <c r="AA21" s="43" t="s">
        <v>42</v>
      </c>
      <c r="AB21" s="43" t="s">
        <v>42</v>
      </c>
      <c r="AC21" s="46" t="s">
        <v>50</v>
      </c>
      <c r="AD21" s="46" t="s">
        <v>50</v>
      </c>
      <c r="AE21" s="46" t="s">
        <v>50</v>
      </c>
      <c r="AF21" s="36" t="s">
        <v>41</v>
      </c>
      <c r="AG21" s="69">
        <f t="shared" si="6"/>
        <v>0</v>
      </c>
      <c r="AH21" s="74"/>
      <c r="AI21" s="74"/>
      <c r="AJ21" s="74"/>
      <c r="AK21" s="75" t="s">
        <v>60</v>
      </c>
      <c r="AL21" s="71">
        <f t="shared" si="7"/>
        <v>14</v>
      </c>
      <c r="AM21" s="72">
        <f t="shared" si="8"/>
        <v>1</v>
      </c>
      <c r="AN21" s="73">
        <f t="shared" si="9"/>
        <v>1</v>
      </c>
      <c r="AO21" s="88" t="s">
        <v>63</v>
      </c>
      <c r="AP21" s="77">
        <v>250</v>
      </c>
      <c r="AQ21" s="77">
        <v>400</v>
      </c>
      <c r="AR21" s="77"/>
      <c r="AS21" s="77">
        <f t="shared" si="0"/>
        <v>0</v>
      </c>
      <c r="AT21" s="77">
        <f t="shared" si="1"/>
        <v>0</v>
      </c>
      <c r="AU21" s="77">
        <f t="shared" si="2"/>
        <v>0</v>
      </c>
      <c r="AV21" s="84">
        <f t="shared" si="10"/>
        <v>0</v>
      </c>
      <c r="AW21">
        <v>0</v>
      </c>
      <c r="AX21">
        <f t="shared" si="3"/>
        <v>0</v>
      </c>
      <c r="AY21">
        <f t="shared" si="11"/>
        <v>0</v>
      </c>
      <c r="AZ21">
        <f t="shared" si="12"/>
        <v>0</v>
      </c>
      <c r="BD21">
        <f t="shared" si="5"/>
        <v>200</v>
      </c>
      <c r="BE21" s="19"/>
    </row>
    <row r="22" spans="1:57">
      <c r="A22" s="17">
        <v>45748</v>
      </c>
      <c r="B22">
        <v>1600</v>
      </c>
      <c r="D22" s="26">
        <f>(SUM(粮草!A22:X22)+AG22*10*IF(AK22="是",$BB$4,$BB$3))</f>
        <v>1590</v>
      </c>
      <c r="E22" s="28">
        <f>SUM($B$4:B22)+SUM($C$4:C22)-SUM($D$4:D22)</f>
        <v>-772</v>
      </c>
      <c r="F22" s="29">
        <f>SUM(经验!A22:X22)</f>
        <v>1100</v>
      </c>
      <c r="G22" s="26">
        <f>SUM($F$4:F22)+SUM($H$4:H22)</f>
        <v>15835</v>
      </c>
      <c r="H22">
        <v>100</v>
      </c>
      <c r="I22" t="s">
        <v>41</v>
      </c>
      <c r="J22" t="s">
        <v>41</v>
      </c>
      <c r="K22" t="s">
        <v>41</v>
      </c>
      <c r="L22" t="s">
        <v>41</v>
      </c>
      <c r="M22" t="s">
        <v>41</v>
      </c>
      <c r="N22" t="s">
        <v>41</v>
      </c>
      <c r="O22" s="36" t="s">
        <v>41</v>
      </c>
      <c r="P22" s="36" t="s">
        <v>41</v>
      </c>
      <c r="Q22" s="49" t="s">
        <v>54</v>
      </c>
      <c r="R22" s="49" t="s">
        <v>54</v>
      </c>
      <c r="S22" s="49" t="s">
        <v>54</v>
      </c>
      <c r="T22" s="49" t="s">
        <v>54</v>
      </c>
      <c r="U22" s="49" t="s">
        <v>54</v>
      </c>
      <c r="V22" s="49" t="s">
        <v>54</v>
      </c>
      <c r="W22" s="36" t="s">
        <v>41</v>
      </c>
      <c r="X22" s="36" t="s">
        <v>41</v>
      </c>
      <c r="Y22" s="58" t="s">
        <v>64</v>
      </c>
      <c r="Z22" s="35" t="s">
        <v>40</v>
      </c>
      <c r="AA22" s="46" t="s">
        <v>50</v>
      </c>
      <c r="AB22" s="46" t="s">
        <v>50</v>
      </c>
      <c r="AC22" s="43" t="s">
        <v>42</v>
      </c>
      <c r="AD22" s="43" t="s">
        <v>42</v>
      </c>
      <c r="AE22" s="37" t="s">
        <v>49</v>
      </c>
      <c r="AF22" s="36" t="s">
        <v>41</v>
      </c>
      <c r="AG22" s="69">
        <f t="shared" si="6"/>
        <v>1</v>
      </c>
      <c r="AH22" s="74"/>
      <c r="AI22" s="74"/>
      <c r="AJ22" s="74">
        <v>1</v>
      </c>
      <c r="AK22" s="75" t="s">
        <v>60</v>
      </c>
      <c r="AL22" s="71">
        <f t="shared" si="7"/>
        <v>18</v>
      </c>
      <c r="AM22" s="72">
        <f t="shared" si="8"/>
        <v>1</v>
      </c>
      <c r="AN22" s="73">
        <f t="shared" si="9"/>
        <v>2</v>
      </c>
      <c r="AO22" s="50" t="s">
        <v>62</v>
      </c>
      <c r="AP22" s="77">
        <v>250</v>
      </c>
      <c r="AQ22" s="77">
        <v>1000</v>
      </c>
      <c r="AR22" s="77"/>
      <c r="AS22" s="77">
        <f t="shared" si="0"/>
        <v>0</v>
      </c>
      <c r="AT22" s="77">
        <f t="shared" si="1"/>
        <v>1</v>
      </c>
      <c r="AU22" s="77">
        <f t="shared" si="2"/>
        <v>0</v>
      </c>
      <c r="AV22" s="84">
        <f t="shared" si="10"/>
        <v>1</v>
      </c>
      <c r="AW22">
        <v>1</v>
      </c>
      <c r="AX22">
        <f t="shared" si="3"/>
        <v>0</v>
      </c>
      <c r="AY22">
        <f t="shared" si="11"/>
        <v>1000</v>
      </c>
      <c r="AZ22">
        <f t="shared" si="12"/>
        <v>0</v>
      </c>
      <c r="BD22">
        <f t="shared" si="5"/>
        <v>200</v>
      </c>
      <c r="BE22" s="19"/>
    </row>
    <row r="23" spans="1:57">
      <c r="A23" s="17">
        <v>45749</v>
      </c>
      <c r="B23">
        <v>1600</v>
      </c>
      <c r="C23">
        <v>40</v>
      </c>
      <c r="D23" s="26">
        <f>(SUM(粮草!A23:X23)+AG23*10*IF(AK23="是",$BB$4,$BB$3))</f>
        <v>596</v>
      </c>
      <c r="E23" s="28">
        <f>SUM($B$4:B23)+SUM($C$4:C23)-SUM($D$4:D23)</f>
        <v>272</v>
      </c>
      <c r="F23" s="29">
        <f>SUM(经验!A23:X23)</f>
        <v>325</v>
      </c>
      <c r="G23" s="26">
        <f>SUM($F$4:F23)+SUM($H$4:H23)</f>
        <v>16360</v>
      </c>
      <c r="H23">
        <v>200</v>
      </c>
      <c r="I23" t="s">
        <v>41</v>
      </c>
      <c r="J23" t="s">
        <v>41</v>
      </c>
      <c r="K23" t="s">
        <v>41</v>
      </c>
      <c r="L23" t="s">
        <v>41</v>
      </c>
      <c r="M23" t="s">
        <v>41</v>
      </c>
      <c r="N23" t="s">
        <v>41</v>
      </c>
      <c r="O23" s="36" t="s">
        <v>41</v>
      </c>
      <c r="P23" s="36" t="s">
        <v>41</v>
      </c>
      <c r="Q23" s="49" t="s">
        <v>54</v>
      </c>
      <c r="R23" s="49" t="s">
        <v>54</v>
      </c>
      <c r="S23" s="37" t="s">
        <v>49</v>
      </c>
      <c r="T23" t="s">
        <v>41</v>
      </c>
      <c r="U23" t="s">
        <v>41</v>
      </c>
      <c r="V23" t="s">
        <v>41</v>
      </c>
      <c r="W23" t="s">
        <v>41</v>
      </c>
      <c r="X23" s="36" t="s">
        <v>41</v>
      </c>
      <c r="Y23" s="44" t="s">
        <v>46</v>
      </c>
      <c r="Z23" s="38" t="s">
        <v>45</v>
      </c>
      <c r="AA23" s="38" t="s">
        <v>45</v>
      </c>
      <c r="AB23" s="38" t="s">
        <v>45</v>
      </c>
      <c r="AC23" s="38" t="s">
        <v>45</v>
      </c>
      <c r="AD23" s="37" t="s">
        <v>49</v>
      </c>
      <c r="AE23" t="s">
        <v>41</v>
      </c>
      <c r="AF23" s="36" t="s">
        <v>41</v>
      </c>
      <c r="AG23" s="69">
        <f t="shared" si="6"/>
        <v>6</v>
      </c>
      <c r="AH23" s="74"/>
      <c r="AI23" s="74"/>
      <c r="AJ23" s="74">
        <v>6</v>
      </c>
      <c r="AK23" s="75" t="s">
        <v>60</v>
      </c>
      <c r="AL23" s="71">
        <f t="shared" si="7"/>
        <v>18</v>
      </c>
      <c r="AM23" s="72">
        <f t="shared" si="8"/>
        <v>6</v>
      </c>
      <c r="AN23" s="73">
        <f t="shared" si="9"/>
        <v>4</v>
      </c>
      <c r="AO23" s="58" t="s">
        <v>64</v>
      </c>
      <c r="AP23" s="77">
        <v>250</v>
      </c>
      <c r="AQ23" s="77">
        <v>500</v>
      </c>
      <c r="AR23" s="77"/>
      <c r="AS23" s="77">
        <f t="shared" si="0"/>
        <v>0</v>
      </c>
      <c r="AT23" s="77">
        <f t="shared" si="1"/>
        <v>0</v>
      </c>
      <c r="AU23" s="77">
        <f t="shared" si="2"/>
        <v>1</v>
      </c>
      <c r="AV23" s="84">
        <f t="shared" si="10"/>
        <v>1</v>
      </c>
      <c r="AW23">
        <v>0</v>
      </c>
      <c r="AX23">
        <f t="shared" si="3"/>
        <v>0</v>
      </c>
      <c r="AY23">
        <f t="shared" si="11"/>
        <v>0</v>
      </c>
      <c r="AZ23">
        <f t="shared" si="12"/>
        <v>500</v>
      </c>
      <c r="BD23">
        <f t="shared" si="5"/>
        <v>200</v>
      </c>
      <c r="BE23" s="19"/>
    </row>
    <row r="24" spans="1:57">
      <c r="A24" s="15">
        <v>45750</v>
      </c>
      <c r="B24">
        <v>1600</v>
      </c>
      <c r="D24" s="26">
        <f>(SUM(粮草!A24:X24)+AG24*10*IF(AK24="是",$BB$4,$BB$3))</f>
        <v>2384</v>
      </c>
      <c r="E24" s="28">
        <f>SUM($B$4:B24)+SUM($C$4:C24)-SUM($D$4:D24)</f>
        <v>-512</v>
      </c>
      <c r="F24" s="29">
        <f>SUM(经验!A24:X24)</f>
        <v>870</v>
      </c>
      <c r="G24" s="26">
        <f>SUM($F$4:F24)+SUM($H$4:H24)</f>
        <v>17230</v>
      </c>
      <c r="H24">
        <v>0</v>
      </c>
      <c r="I24" s="38" t="s">
        <v>45</v>
      </c>
      <c r="J24" s="38" t="s">
        <v>45</v>
      </c>
      <c r="K24" s="35" t="s">
        <v>40</v>
      </c>
      <c r="L24" s="38" t="s">
        <v>45</v>
      </c>
      <c r="M24" s="38" t="s">
        <v>45</v>
      </c>
      <c r="N24" s="38" t="s">
        <v>45</v>
      </c>
      <c r="O24" s="36" t="s">
        <v>41</v>
      </c>
      <c r="P24" s="36" t="s">
        <v>41</v>
      </c>
      <c r="Q24" s="49" t="s">
        <v>54</v>
      </c>
      <c r="R24" s="49" t="s">
        <v>54</v>
      </c>
      <c r="S24" s="49" t="s">
        <v>54</v>
      </c>
      <c r="T24" s="49" t="s">
        <v>54</v>
      </c>
      <c r="U24" s="49" t="s">
        <v>54</v>
      </c>
      <c r="V24" s="49" t="s">
        <v>54</v>
      </c>
      <c r="W24" s="36" t="s">
        <v>41</v>
      </c>
      <c r="X24" s="36" t="s">
        <v>41</v>
      </c>
      <c r="Y24" s="35" t="s">
        <v>40</v>
      </c>
      <c r="Z24" s="44" t="s">
        <v>46</v>
      </c>
      <c r="AA24" s="35" t="s">
        <v>40</v>
      </c>
      <c r="AB24" s="44" t="s">
        <v>46</v>
      </c>
      <c r="AC24" s="44" t="s">
        <v>46</v>
      </c>
      <c r="AD24" s="44" t="s">
        <v>46</v>
      </c>
      <c r="AE24" s="39" t="s">
        <v>56</v>
      </c>
      <c r="AF24" s="36" t="s">
        <v>41</v>
      </c>
      <c r="AG24" s="69">
        <f t="shared" si="6"/>
        <v>0</v>
      </c>
      <c r="AH24" s="74"/>
      <c r="AI24" s="74"/>
      <c r="AJ24" s="74"/>
      <c r="AK24" s="75" t="s">
        <v>60</v>
      </c>
      <c r="AL24" s="71">
        <f t="shared" si="7"/>
        <v>12</v>
      </c>
      <c r="AM24" s="72">
        <f t="shared" si="8"/>
        <v>6</v>
      </c>
      <c r="AN24" s="73">
        <f t="shared" si="9"/>
        <v>3</v>
      </c>
      <c r="AO24" s="88" t="s">
        <v>65</v>
      </c>
      <c r="AP24" s="77">
        <v>180</v>
      </c>
      <c r="AQ24" s="77">
        <v>50</v>
      </c>
      <c r="AR24" s="77">
        <v>39.110982162825401</v>
      </c>
      <c r="AS24" s="77">
        <f t="shared" si="0"/>
        <v>0</v>
      </c>
      <c r="AT24" s="77">
        <f t="shared" si="1"/>
        <v>0</v>
      </c>
      <c r="AU24" s="77">
        <f t="shared" si="2"/>
        <v>0</v>
      </c>
      <c r="AV24" s="84">
        <f t="shared" si="10"/>
        <v>0</v>
      </c>
      <c r="AW24">
        <v>0</v>
      </c>
      <c r="AX24">
        <f t="shared" si="3"/>
        <v>0</v>
      </c>
      <c r="AY24">
        <f t="shared" si="11"/>
        <v>0</v>
      </c>
      <c r="AZ24">
        <f t="shared" si="12"/>
        <v>0</v>
      </c>
      <c r="BD24">
        <f t="shared" si="5"/>
        <v>144</v>
      </c>
      <c r="BE24" s="19"/>
    </row>
    <row r="25" spans="1:57">
      <c r="A25" s="15">
        <v>45751</v>
      </c>
      <c r="B25">
        <v>1600</v>
      </c>
      <c r="D25" s="26">
        <f>(SUM(粮草!A25:X25)+AG25*10*IF(AK25="是",$BB$4,$BB$3))</f>
        <v>1608</v>
      </c>
      <c r="E25" s="28">
        <f>SUM($B$4:B25)+SUM($C$4:C25)-SUM($D$4:D25)</f>
        <v>-520</v>
      </c>
      <c r="F25" s="29">
        <f>SUM(经验!A25:X25)</f>
        <v>560</v>
      </c>
      <c r="G25" s="26">
        <f>SUM($F$4:F25)+SUM($H$4:H25)</f>
        <v>17790</v>
      </c>
      <c r="H25">
        <v>0</v>
      </c>
      <c r="I25" s="38" t="s">
        <v>45</v>
      </c>
      <c r="J25" s="35" t="s">
        <v>40</v>
      </c>
      <c r="K25" s="38" t="s">
        <v>45</v>
      </c>
      <c r="L25" s="39" t="s">
        <v>56</v>
      </c>
      <c r="M25" s="38" t="s">
        <v>45</v>
      </c>
      <c r="N25" s="38" t="s">
        <v>45</v>
      </c>
      <c r="O25" s="36" t="s">
        <v>41</v>
      </c>
      <c r="P25" s="36" t="s">
        <v>41</v>
      </c>
      <c r="Q25" s="51" t="s">
        <v>59</v>
      </c>
      <c r="R25" t="s">
        <v>41</v>
      </c>
      <c r="S25" t="s">
        <v>41</v>
      </c>
      <c r="T25" t="s">
        <v>41</v>
      </c>
      <c r="U25" t="s">
        <v>41</v>
      </c>
      <c r="V25" t="s">
        <v>41</v>
      </c>
      <c r="W25" s="36" t="s">
        <v>41</v>
      </c>
      <c r="X25" s="36" t="s">
        <v>41</v>
      </c>
      <c r="Y25" s="38" t="s">
        <v>45</v>
      </c>
      <c r="Z25" s="38" t="s">
        <v>45</v>
      </c>
      <c r="AA25" s="38" t="s">
        <v>45</v>
      </c>
      <c r="AB25" s="38" t="s">
        <v>45</v>
      </c>
      <c r="AC25" s="38" t="s">
        <v>45</v>
      </c>
      <c r="AD25" s="38" t="s">
        <v>45</v>
      </c>
      <c r="AE25" s="35" t="s">
        <v>40</v>
      </c>
      <c r="AF25" s="36" t="s">
        <v>41</v>
      </c>
      <c r="AG25" s="69">
        <f t="shared" si="6"/>
        <v>1</v>
      </c>
      <c r="AH25" s="74"/>
      <c r="AI25" s="74">
        <v>1</v>
      </c>
      <c r="AJ25" s="74"/>
      <c r="AK25" s="75" t="s">
        <v>60</v>
      </c>
      <c r="AL25" s="71">
        <f t="shared" si="7"/>
        <v>12</v>
      </c>
      <c r="AM25" s="72">
        <f t="shared" si="8"/>
        <v>11</v>
      </c>
      <c r="AN25" s="73">
        <f t="shared" si="9"/>
        <v>2</v>
      </c>
      <c r="AO25" s="89" t="s">
        <v>66</v>
      </c>
      <c r="AP25" s="77">
        <v>160</v>
      </c>
      <c r="AQ25" s="77">
        <v>40</v>
      </c>
      <c r="AR25" s="77">
        <v>39.110982162825401</v>
      </c>
      <c r="AS25" s="77">
        <f t="shared" si="0"/>
        <v>0</v>
      </c>
      <c r="AT25" s="77">
        <f t="shared" si="1"/>
        <v>0</v>
      </c>
      <c r="AU25" s="77">
        <f t="shared" si="2"/>
        <v>0</v>
      </c>
      <c r="AV25" s="84">
        <f t="shared" si="10"/>
        <v>0</v>
      </c>
      <c r="AW25">
        <v>0</v>
      </c>
      <c r="AX25">
        <f t="shared" si="3"/>
        <v>0</v>
      </c>
      <c r="AY25">
        <f t="shared" si="11"/>
        <v>0</v>
      </c>
      <c r="AZ25">
        <f t="shared" si="12"/>
        <v>0</v>
      </c>
      <c r="BD25">
        <f t="shared" si="5"/>
        <v>128</v>
      </c>
      <c r="BE25" s="19"/>
    </row>
    <row r="26" spans="1:57">
      <c r="A26" s="15">
        <v>45752</v>
      </c>
      <c r="B26">
        <v>1600</v>
      </c>
      <c r="D26" s="26">
        <f>(SUM(粮草!A26:X26)+AG26*10*IF(AK26="是",$BB$4,$BB$3))</f>
        <v>2376</v>
      </c>
      <c r="E26" s="28">
        <f>SUM($B$4:B26)+SUM($C$4:C26)-SUM($D$4:D26)</f>
        <v>-1296</v>
      </c>
      <c r="F26" s="29">
        <f>SUM(经验!A26:X26)</f>
        <v>860</v>
      </c>
      <c r="G26" s="26">
        <f>SUM($F$4:F26)+SUM($H$4:H26)</f>
        <v>18650</v>
      </c>
      <c r="H26">
        <v>0</v>
      </c>
      <c r="I26" s="35" t="s">
        <v>40</v>
      </c>
      <c r="J26" s="38" t="s">
        <v>45</v>
      </c>
      <c r="K26" s="38" t="s">
        <v>45</v>
      </c>
      <c r="L26" s="38" t="s">
        <v>45</v>
      </c>
      <c r="M26" s="35" t="s">
        <v>40</v>
      </c>
      <c r="N26" s="38" t="s">
        <v>45</v>
      </c>
      <c r="O26" s="36" t="s">
        <v>41</v>
      </c>
      <c r="P26" s="36" t="s">
        <v>41</v>
      </c>
      <c r="Q26" s="49" t="s">
        <v>54</v>
      </c>
      <c r="R26" s="49" t="s">
        <v>54</v>
      </c>
      <c r="S26" s="49" t="s">
        <v>54</v>
      </c>
      <c r="T26" s="49" t="s">
        <v>54</v>
      </c>
      <c r="U26" s="49" t="s">
        <v>54</v>
      </c>
      <c r="V26" s="49" t="s">
        <v>54</v>
      </c>
      <c r="W26" s="36" t="s">
        <v>41</v>
      </c>
      <c r="X26" s="36" t="s">
        <v>41</v>
      </c>
      <c r="Y26" s="38" t="s">
        <v>45</v>
      </c>
      <c r="Z26" s="39" t="s">
        <v>56</v>
      </c>
      <c r="AA26" s="46" t="s">
        <v>50</v>
      </c>
      <c r="AB26" s="46" t="s">
        <v>50</v>
      </c>
      <c r="AC26" s="46" t="s">
        <v>50</v>
      </c>
      <c r="AD26" s="46" t="s">
        <v>50</v>
      </c>
      <c r="AE26" s="36" t="s">
        <v>41</v>
      </c>
      <c r="AF26" s="36" t="s">
        <v>41</v>
      </c>
      <c r="AG26" s="69">
        <f t="shared" si="6"/>
        <v>0</v>
      </c>
      <c r="AH26" s="74"/>
      <c r="AI26" s="74"/>
      <c r="AJ26" s="74"/>
      <c r="AK26" s="75" t="s">
        <v>60</v>
      </c>
      <c r="AL26" s="71">
        <f t="shared" si="7"/>
        <v>12</v>
      </c>
      <c r="AM26" s="72">
        <f t="shared" si="8"/>
        <v>11</v>
      </c>
      <c r="AN26" s="73">
        <f t="shared" si="9"/>
        <v>2</v>
      </c>
      <c r="AO26" s="89" t="s">
        <v>67</v>
      </c>
      <c r="AP26" s="77">
        <v>150</v>
      </c>
      <c r="AQ26" s="77">
        <v>35</v>
      </c>
      <c r="AR26" s="77">
        <v>44.222109392472198</v>
      </c>
      <c r="AS26" s="77">
        <f t="shared" si="0"/>
        <v>0</v>
      </c>
      <c r="AT26" s="77">
        <f t="shared" si="1"/>
        <v>0</v>
      </c>
      <c r="AU26" s="77">
        <f t="shared" si="2"/>
        <v>0</v>
      </c>
      <c r="AV26" s="84">
        <f t="shared" si="10"/>
        <v>0</v>
      </c>
      <c r="AW26">
        <v>0</v>
      </c>
      <c r="AX26">
        <f t="shared" si="3"/>
        <v>0</v>
      </c>
      <c r="AY26">
        <f t="shared" si="11"/>
        <v>0</v>
      </c>
      <c r="AZ26">
        <f t="shared" si="12"/>
        <v>0</v>
      </c>
      <c r="BD26">
        <f t="shared" si="5"/>
        <v>120</v>
      </c>
      <c r="BE26" s="19"/>
    </row>
    <row r="27" spans="1:57">
      <c r="A27" s="15">
        <v>45753</v>
      </c>
      <c r="B27">
        <v>1600</v>
      </c>
      <c r="D27" s="26">
        <f>(SUM(粮草!A27:X27)+AG27*10*IF(AK27="是",$BB$4,$BB$3))</f>
        <v>2512</v>
      </c>
      <c r="E27" s="28">
        <f>SUM($B$4:B27)+SUM($C$4:C27)-SUM($D$4:D27)</f>
        <v>-2208</v>
      </c>
      <c r="F27" s="29">
        <f>SUM(经验!A27:X27)</f>
        <v>900</v>
      </c>
      <c r="G27" s="26">
        <f>SUM($F$4:F27)+SUM($H$4:H27)</f>
        <v>19550</v>
      </c>
      <c r="H27">
        <v>0</v>
      </c>
      <c r="I27" s="38" t="s">
        <v>45</v>
      </c>
      <c r="J27" s="39" t="s">
        <v>56</v>
      </c>
      <c r="K27" s="38" t="s">
        <v>45</v>
      </c>
      <c r="L27" s="38" t="s">
        <v>45</v>
      </c>
      <c r="M27" s="35" t="s">
        <v>40</v>
      </c>
      <c r="N27" t="s">
        <v>41</v>
      </c>
      <c r="O27" s="36" t="s">
        <v>41</v>
      </c>
      <c r="P27" s="36" t="s">
        <v>41</v>
      </c>
      <c r="Q27" s="49" t="s">
        <v>54</v>
      </c>
      <c r="R27" s="49" t="s">
        <v>54</v>
      </c>
      <c r="S27" s="49" t="s">
        <v>54</v>
      </c>
      <c r="T27" s="49" t="s">
        <v>54</v>
      </c>
      <c r="U27" s="49" t="s">
        <v>54</v>
      </c>
      <c r="V27" s="49" t="s">
        <v>54</v>
      </c>
      <c r="W27" s="36" t="s">
        <v>41</v>
      </c>
      <c r="X27" s="36" t="s">
        <v>41</v>
      </c>
      <c r="Y27" s="46" t="s">
        <v>50</v>
      </c>
      <c r="Z27" s="46" t="s">
        <v>50</v>
      </c>
      <c r="AA27" s="46" t="s">
        <v>50</v>
      </c>
      <c r="AB27" s="46" t="s">
        <v>50</v>
      </c>
      <c r="AC27" s="46" t="s">
        <v>50</v>
      </c>
      <c r="AD27" s="46" t="s">
        <v>50</v>
      </c>
      <c r="AE27" s="46" t="s">
        <v>50</v>
      </c>
      <c r="AF27" s="36" t="s">
        <v>41</v>
      </c>
      <c r="AG27" s="69">
        <f t="shared" si="6"/>
        <v>0</v>
      </c>
      <c r="AH27" s="74"/>
      <c r="AI27" s="74"/>
      <c r="AJ27" s="74"/>
      <c r="AK27" s="75" t="s">
        <v>60</v>
      </c>
      <c r="AL27" s="71">
        <f t="shared" si="7"/>
        <v>13</v>
      </c>
      <c r="AM27" s="72">
        <f t="shared" si="8"/>
        <v>11</v>
      </c>
      <c r="AN27" s="73">
        <f t="shared" si="9"/>
        <v>1</v>
      </c>
      <c r="AO27" s="88" t="s">
        <v>41</v>
      </c>
      <c r="AP27" s="77">
        <v>0</v>
      </c>
      <c r="AQ27" s="77">
        <v>0</v>
      </c>
      <c r="AR27" s="77">
        <v>0</v>
      </c>
      <c r="AS27" s="77"/>
      <c r="AT27" s="77"/>
      <c r="AU27" s="77"/>
      <c r="AV27" s="84"/>
      <c r="AX27">
        <f t="shared" si="3"/>
        <v>0</v>
      </c>
      <c r="AY27">
        <f t="shared" si="11"/>
        <v>0</v>
      </c>
      <c r="AZ27">
        <f t="shared" si="12"/>
        <v>0</v>
      </c>
      <c r="BD27">
        <f t="shared" si="5"/>
        <v>0</v>
      </c>
      <c r="BE27" s="19"/>
    </row>
    <row r="28" spans="1:57">
      <c r="A28" s="15">
        <v>45754</v>
      </c>
      <c r="B28" s="26">
        <v>1600</v>
      </c>
      <c r="C28" s="27"/>
      <c r="D28" s="26">
        <f>(SUM(粮草!A28:X28)+AG28*10*IF(AK28="是",$BB$4,$BB$3))</f>
        <v>1984</v>
      </c>
      <c r="E28" s="28">
        <f>SUM($B$4:B28)+SUM($C$4:C28)-SUM($D$4:D28)</f>
        <v>-2592</v>
      </c>
      <c r="F28" s="29">
        <f>SUM(经验!A28:X28)</f>
        <v>710</v>
      </c>
      <c r="G28" s="26">
        <f>SUM($F$4:F28)+SUM($H$4:H28)</f>
        <v>20460</v>
      </c>
      <c r="H28" s="26">
        <v>200</v>
      </c>
      <c r="I28" t="s">
        <v>41</v>
      </c>
      <c r="J28" t="s">
        <v>41</v>
      </c>
      <c r="K28" t="s">
        <v>41</v>
      </c>
      <c r="L28" t="s">
        <v>41</v>
      </c>
      <c r="M28" t="s">
        <v>41</v>
      </c>
      <c r="N28" t="s">
        <v>41</v>
      </c>
      <c r="O28" s="36" t="s">
        <v>41</v>
      </c>
      <c r="P28" s="36" t="s">
        <v>41</v>
      </c>
      <c r="Q28" s="49" t="s">
        <v>54</v>
      </c>
      <c r="R28" s="49" t="s">
        <v>54</v>
      </c>
      <c r="S28" s="49" t="s">
        <v>54</v>
      </c>
      <c r="T28" s="49" t="s">
        <v>54</v>
      </c>
      <c r="U28" s="49" t="s">
        <v>54</v>
      </c>
      <c r="V28" s="49" t="s">
        <v>54</v>
      </c>
      <c r="W28" s="36" t="s">
        <v>41</v>
      </c>
      <c r="X28" s="36" t="s">
        <v>41</v>
      </c>
      <c r="Y28" s="46" t="s">
        <v>50</v>
      </c>
      <c r="Z28" s="46" t="s">
        <v>50</v>
      </c>
      <c r="AA28" s="46" t="s">
        <v>50</v>
      </c>
      <c r="AB28" s="46" t="s">
        <v>50</v>
      </c>
      <c r="AC28" s="46" t="s">
        <v>50</v>
      </c>
      <c r="AD28" s="46" t="s">
        <v>50</v>
      </c>
      <c r="AE28" s="46" t="s">
        <v>50</v>
      </c>
      <c r="AF28" s="36" t="s">
        <v>41</v>
      </c>
      <c r="AG28" s="69">
        <f t="shared" si="6"/>
        <v>2</v>
      </c>
      <c r="AH28" s="74"/>
      <c r="AI28" s="74"/>
      <c r="AJ28" s="74">
        <v>2</v>
      </c>
      <c r="AK28" s="75" t="s">
        <v>60</v>
      </c>
      <c r="AL28" s="71">
        <f t="shared" si="7"/>
        <v>18</v>
      </c>
      <c r="AM28" s="72">
        <f t="shared" si="8"/>
        <v>11</v>
      </c>
      <c r="AN28" s="73">
        <f t="shared" si="9"/>
        <v>0</v>
      </c>
      <c r="AO28" s="88" t="s">
        <v>68</v>
      </c>
      <c r="AP28" s="77">
        <v>0</v>
      </c>
      <c r="AQ28" s="77">
        <v>0</v>
      </c>
      <c r="AR28" s="77"/>
      <c r="AS28" s="77">
        <f>COUNTIF($I$4:$P$93,AO28)</f>
        <v>0</v>
      </c>
      <c r="AT28" s="77">
        <f>COUNTIF($Q$4:$X$93,AO28)</f>
        <v>0</v>
      </c>
      <c r="AU28" s="77">
        <f>COUNTIF($Y$4:$AF$93,AO28)</f>
        <v>0</v>
      </c>
      <c r="AV28" s="84">
        <f>AS28+AT28+AU28</f>
        <v>0</v>
      </c>
      <c r="AW28">
        <v>0</v>
      </c>
      <c r="AX28">
        <f t="shared" si="3"/>
        <v>0</v>
      </c>
      <c r="AY28">
        <f t="shared" si="11"/>
        <v>0</v>
      </c>
      <c r="AZ28">
        <f t="shared" si="12"/>
        <v>0</v>
      </c>
      <c r="BD28">
        <f t="shared" si="5"/>
        <v>0</v>
      </c>
      <c r="BE28" s="19"/>
    </row>
    <row r="29" spans="1:57">
      <c r="A29" s="15">
        <v>45755</v>
      </c>
      <c r="B29" s="26">
        <v>1600</v>
      </c>
      <c r="C29" s="27"/>
      <c r="D29" s="26">
        <f>(SUM(粮草!A29:X29)+AG29*10*IF(AK29="是",$BB$4,$BB$3))</f>
        <v>1488</v>
      </c>
      <c r="E29" s="28">
        <f>SUM($B$4:B29)+SUM($C$4:C29)-SUM($D$4:D29)</f>
        <v>-2480</v>
      </c>
      <c r="F29" s="29">
        <f>SUM(经验!A29:X29)</f>
        <v>590</v>
      </c>
      <c r="G29" s="26">
        <f>SUM($F$4:F29)+SUM($H$4:H29)</f>
        <v>21150</v>
      </c>
      <c r="H29" s="26">
        <v>100</v>
      </c>
      <c r="I29" t="s">
        <v>41</v>
      </c>
      <c r="J29" t="s">
        <v>41</v>
      </c>
      <c r="K29" t="s">
        <v>41</v>
      </c>
      <c r="L29" t="s">
        <v>41</v>
      </c>
      <c r="M29" t="s">
        <v>41</v>
      </c>
      <c r="N29" t="s">
        <v>41</v>
      </c>
      <c r="O29" s="36" t="s">
        <v>41</v>
      </c>
      <c r="P29" s="36" t="s">
        <v>41</v>
      </c>
      <c r="Q29" t="s">
        <v>41</v>
      </c>
      <c r="R29" t="s">
        <v>41</v>
      </c>
      <c r="S29" s="43" t="s">
        <v>42</v>
      </c>
      <c r="T29" s="43" t="s">
        <v>42</v>
      </c>
      <c r="U29" s="43" t="s">
        <v>42</v>
      </c>
      <c r="V29" s="37" t="s">
        <v>49</v>
      </c>
      <c r="W29" s="43" t="s">
        <v>42</v>
      </c>
      <c r="X29" s="43" t="s">
        <v>42</v>
      </c>
      <c r="Y29" s="44" t="s">
        <v>46</v>
      </c>
      <c r="Z29" s="44" t="s">
        <v>46</v>
      </c>
      <c r="AA29" s="44" t="s">
        <v>46</v>
      </c>
      <c r="AB29" s="49" t="s">
        <v>54</v>
      </c>
      <c r="AC29" s="49" t="s">
        <v>54</v>
      </c>
      <c r="AD29" s="49" t="s">
        <v>54</v>
      </c>
      <c r="AE29" s="36" t="s">
        <v>41</v>
      </c>
      <c r="AF29" s="36" t="s">
        <v>41</v>
      </c>
      <c r="AG29" s="69">
        <f t="shared" si="6"/>
        <v>0</v>
      </c>
      <c r="AH29" s="74"/>
      <c r="AI29" s="74"/>
      <c r="AJ29" s="74"/>
      <c r="AK29" s="75" t="s">
        <v>60</v>
      </c>
      <c r="AL29" s="71">
        <f t="shared" si="7"/>
        <v>18</v>
      </c>
      <c r="AM29" s="72">
        <f t="shared" si="8"/>
        <v>13</v>
      </c>
      <c r="AN29" s="73">
        <f t="shared" si="9"/>
        <v>0</v>
      </c>
      <c r="AO29" s="45" t="s">
        <v>48</v>
      </c>
      <c r="AP29" s="77">
        <v>50</v>
      </c>
      <c r="AQ29" s="77">
        <v>520</v>
      </c>
      <c r="AR29" s="77"/>
      <c r="AS29" s="77">
        <f>COUNTIF($I$4:$P$93,AO29)</f>
        <v>0</v>
      </c>
      <c r="AT29" s="77">
        <f>COUNTIF($Q$4:$X$93,AO29)</f>
        <v>2</v>
      </c>
      <c r="AU29" s="77">
        <f>COUNTIF($Y$4:$AF$93,AO29)</f>
        <v>0</v>
      </c>
      <c r="AV29" s="84">
        <f>AS29+AT29+AU29</f>
        <v>2</v>
      </c>
      <c r="AW29">
        <v>1</v>
      </c>
      <c r="AX29">
        <f t="shared" si="3"/>
        <v>0</v>
      </c>
      <c r="AY29">
        <f t="shared" si="11"/>
        <v>1040</v>
      </c>
      <c r="AZ29">
        <f t="shared" si="12"/>
        <v>0</v>
      </c>
      <c r="BD29">
        <f t="shared" si="5"/>
        <v>40</v>
      </c>
      <c r="BE29" s="19"/>
    </row>
    <row r="30" spans="1:57">
      <c r="A30" s="15">
        <v>45756</v>
      </c>
      <c r="B30" s="26">
        <v>1600</v>
      </c>
      <c r="C30" s="27"/>
      <c r="D30" s="26">
        <f>(SUM(粮草!A30:X30)+AG30*10*IF(AK30="是",$BB$4,$BB$3))</f>
        <v>2064</v>
      </c>
      <c r="E30" s="28">
        <f>SUM($B$4:B30)+SUM($C$4:C30)-SUM($D$4:D30)</f>
        <v>-2944</v>
      </c>
      <c r="F30" s="29">
        <f>SUM(经验!A30:X30)</f>
        <v>1265</v>
      </c>
      <c r="G30" s="26">
        <f>SUM($F$4:F30)+SUM($H$4:H30)</f>
        <v>22615</v>
      </c>
      <c r="H30" s="26">
        <v>200</v>
      </c>
      <c r="I30" t="s">
        <v>41</v>
      </c>
      <c r="J30" t="s">
        <v>41</v>
      </c>
      <c r="K30" t="s">
        <v>41</v>
      </c>
      <c r="L30" t="s">
        <v>41</v>
      </c>
      <c r="M30" t="s">
        <v>41</v>
      </c>
      <c r="N30" t="s">
        <v>41</v>
      </c>
      <c r="O30" s="36" t="s">
        <v>41</v>
      </c>
      <c r="P30" s="36" t="s">
        <v>41</v>
      </c>
      <c r="Q30" s="45" t="s">
        <v>48</v>
      </c>
      <c r="R30" s="43" t="s">
        <v>42</v>
      </c>
      <c r="S30" s="43" t="s">
        <v>42</v>
      </c>
      <c r="T30" s="43" t="s">
        <v>42</v>
      </c>
      <c r="U30" s="43" t="s">
        <v>42</v>
      </c>
      <c r="V30" s="43" t="s">
        <v>42</v>
      </c>
      <c r="W30" s="43" t="s">
        <v>42</v>
      </c>
      <c r="X30" s="43" t="s">
        <v>42</v>
      </c>
      <c r="Y30" s="49" t="s">
        <v>54</v>
      </c>
      <c r="Z30" s="49" t="s">
        <v>54</v>
      </c>
      <c r="AA30" s="49" t="s">
        <v>54</v>
      </c>
      <c r="AB30" s="49" t="s">
        <v>54</v>
      </c>
      <c r="AC30" s="49" t="s">
        <v>54</v>
      </c>
      <c r="AD30" s="49" t="s">
        <v>54</v>
      </c>
      <c r="AE30" s="36" t="s">
        <v>41</v>
      </c>
      <c r="AF30" s="36" t="s">
        <v>41</v>
      </c>
      <c r="AG30" s="69">
        <f t="shared" si="6"/>
        <v>0</v>
      </c>
      <c r="AH30" s="74"/>
      <c r="AI30" s="74"/>
      <c r="AJ30" s="74"/>
      <c r="AK30" s="75" t="s">
        <v>60</v>
      </c>
      <c r="AL30" s="71">
        <f t="shared" si="7"/>
        <v>18</v>
      </c>
      <c r="AM30" s="72">
        <f t="shared" si="8"/>
        <v>11</v>
      </c>
      <c r="AN30" s="73">
        <f t="shared" si="9"/>
        <v>0</v>
      </c>
      <c r="AO30" s="77"/>
      <c r="AP30" s="77"/>
      <c r="AQ30" s="77"/>
      <c r="BE30" s="19"/>
    </row>
    <row r="31" spans="1:57">
      <c r="A31" s="15">
        <v>45757</v>
      </c>
      <c r="B31" s="26">
        <v>1600</v>
      </c>
      <c r="C31" s="27"/>
      <c r="D31" s="26">
        <f>(SUM(粮草!A31:X31)+AG31*10*IF(AK31="是",$BB$4,$BB$3))</f>
        <v>2144</v>
      </c>
      <c r="E31" s="28">
        <f>SUM($B$4:B31)+SUM($C$4:C31)-SUM($D$4:D31)</f>
        <v>-3488</v>
      </c>
      <c r="F31" s="29">
        <f>SUM(经验!A31:X31)</f>
        <v>800</v>
      </c>
      <c r="G31" s="26">
        <f>SUM($F$4:F31)+SUM($H$4:H31)</f>
        <v>23415</v>
      </c>
      <c r="H31" s="26">
        <v>0</v>
      </c>
      <c r="I31" t="s">
        <v>41</v>
      </c>
      <c r="J31" t="s">
        <v>41</v>
      </c>
      <c r="K31" t="s">
        <v>41</v>
      </c>
      <c r="L31" t="s">
        <v>41</v>
      </c>
      <c r="M31" t="s">
        <v>41</v>
      </c>
      <c r="N31" t="s">
        <v>41</v>
      </c>
      <c r="O31" s="36" t="s">
        <v>41</v>
      </c>
      <c r="P31" s="36" t="s">
        <v>41</v>
      </c>
      <c r="Q31" s="43" t="s">
        <v>42</v>
      </c>
      <c r="R31" s="43" t="s">
        <v>42</v>
      </c>
      <c r="S31" s="43" t="s">
        <v>42</v>
      </c>
      <c r="T31" s="43" t="s">
        <v>42</v>
      </c>
      <c r="U31" s="43" t="s">
        <v>42</v>
      </c>
      <c r="V31" s="52" t="s">
        <v>58</v>
      </c>
      <c r="W31" s="43" t="s">
        <v>42</v>
      </c>
      <c r="X31" s="43" t="s">
        <v>42</v>
      </c>
      <c r="Y31" s="49" t="s">
        <v>54</v>
      </c>
      <c r="Z31" s="49" t="s">
        <v>54</v>
      </c>
      <c r="AA31" s="49" t="s">
        <v>54</v>
      </c>
      <c r="AB31" s="49" t="s">
        <v>54</v>
      </c>
      <c r="AC31" s="49" t="s">
        <v>54</v>
      </c>
      <c r="AD31" s="49" t="s">
        <v>54</v>
      </c>
      <c r="AE31" s="36" t="s">
        <v>41</v>
      </c>
      <c r="AF31" s="36" t="s">
        <v>41</v>
      </c>
      <c r="AG31" s="69">
        <f t="shared" si="6"/>
        <v>0</v>
      </c>
      <c r="AH31" s="74"/>
      <c r="AI31" s="74"/>
      <c r="AJ31" s="74"/>
      <c r="AK31" s="75" t="s">
        <v>60</v>
      </c>
      <c r="AL31" s="71">
        <f t="shared" si="7"/>
        <v>18</v>
      </c>
      <c r="AM31" s="72">
        <f t="shared" si="8"/>
        <v>9</v>
      </c>
      <c r="AN31" s="73">
        <f t="shared" si="9"/>
        <v>0</v>
      </c>
      <c r="AO31" s="77"/>
      <c r="AP31" s="77"/>
      <c r="AQ31" s="77"/>
      <c r="BE31" s="19"/>
    </row>
    <row r="32" spans="1:57">
      <c r="A32" s="15">
        <v>45758</v>
      </c>
      <c r="B32" s="26">
        <v>1600</v>
      </c>
      <c r="C32" s="27"/>
      <c r="D32" s="26">
        <f>(SUM(粮草!A32:X32)+AG32*10*IF(AK32="是",$BB$4,$BB$3))</f>
        <v>1536</v>
      </c>
      <c r="E32" s="28">
        <f>SUM($B$4:B32)+SUM($C$4:C32)-SUM($D$4:D32)</f>
        <v>-3424</v>
      </c>
      <c r="F32" s="29">
        <f>SUM(经验!A32:X32)</f>
        <v>620</v>
      </c>
      <c r="G32" s="26">
        <f>SUM($F$4:F32)+SUM($H$4:H32)</f>
        <v>24035</v>
      </c>
      <c r="H32" s="26">
        <v>0</v>
      </c>
      <c r="I32" t="s">
        <v>41</v>
      </c>
      <c r="J32" t="s">
        <v>41</v>
      </c>
      <c r="K32" t="s">
        <v>41</v>
      </c>
      <c r="L32" t="s">
        <v>41</v>
      </c>
      <c r="M32" t="s">
        <v>41</v>
      </c>
      <c r="N32" t="s">
        <v>41</v>
      </c>
      <c r="O32" s="36" t="s">
        <v>41</v>
      </c>
      <c r="P32" s="36" t="s">
        <v>41</v>
      </c>
      <c r="Q32" s="43" t="s">
        <v>42</v>
      </c>
      <c r="R32" s="43" t="s">
        <v>42</v>
      </c>
      <c r="S32" s="43" t="s">
        <v>42</v>
      </c>
      <c r="T32" s="43" t="s">
        <v>42</v>
      </c>
      <c r="U32" s="43" t="s">
        <v>42</v>
      </c>
      <c r="V32" s="43" t="s">
        <v>42</v>
      </c>
      <c r="W32" s="43" t="s">
        <v>42</v>
      </c>
      <c r="X32" s="43" t="s">
        <v>42</v>
      </c>
      <c r="Y32" s="49" t="s">
        <v>54</v>
      </c>
      <c r="Z32" s="49" t="s">
        <v>54</v>
      </c>
      <c r="AA32" s="49" t="s">
        <v>54</v>
      </c>
      <c r="AB32" s="37" t="s">
        <v>49</v>
      </c>
      <c r="AC32" t="s">
        <v>41</v>
      </c>
      <c r="AD32" t="s">
        <v>41</v>
      </c>
      <c r="AE32" s="36" t="s">
        <v>41</v>
      </c>
      <c r="AF32" s="36" t="s">
        <v>41</v>
      </c>
      <c r="AG32" s="69">
        <f t="shared" si="6"/>
        <v>0</v>
      </c>
      <c r="AH32" s="74"/>
      <c r="AI32" s="74"/>
      <c r="AJ32" s="74"/>
      <c r="AK32" s="75" t="s">
        <v>60</v>
      </c>
      <c r="AL32" s="71">
        <f t="shared" si="7"/>
        <v>18</v>
      </c>
      <c r="AM32" s="72">
        <f t="shared" si="8"/>
        <v>7</v>
      </c>
      <c r="AN32" s="73">
        <f t="shared" si="9"/>
        <v>4</v>
      </c>
      <c r="AO32" s="77" t="s">
        <v>69</v>
      </c>
      <c r="AP32" s="77" t="s">
        <v>70</v>
      </c>
      <c r="AQ32" s="77" t="s">
        <v>71</v>
      </c>
      <c r="AR32" t="s">
        <v>29</v>
      </c>
      <c r="AS32" t="s">
        <v>72</v>
      </c>
      <c r="BE32" s="19"/>
    </row>
    <row r="33" spans="1:57">
      <c r="A33" s="15">
        <v>45759</v>
      </c>
      <c r="B33" s="26">
        <v>1600</v>
      </c>
      <c r="C33" s="27"/>
      <c r="D33" s="26">
        <f>(SUM(粮草!A33:X33)+AG33*10*IF(AK33="是",$BB$4,$BB$3))</f>
        <v>912</v>
      </c>
      <c r="E33" s="28">
        <f>SUM($B$4:B33)+SUM($C$4:C33)-SUM($D$4:D33)</f>
        <v>-2736</v>
      </c>
      <c r="F33" s="29">
        <f>SUM(经验!A33:X33)</f>
        <v>330</v>
      </c>
      <c r="G33" s="26">
        <f>SUM($F$4:F33)+SUM($H$4:H33)</f>
        <v>24365</v>
      </c>
      <c r="H33" s="26">
        <v>0</v>
      </c>
      <c r="I33" t="s">
        <v>41</v>
      </c>
      <c r="J33" t="s">
        <v>41</v>
      </c>
      <c r="K33" t="s">
        <v>41</v>
      </c>
      <c r="L33" t="s">
        <v>41</v>
      </c>
      <c r="M33" t="s">
        <v>41</v>
      </c>
      <c r="N33" t="s">
        <v>41</v>
      </c>
      <c r="O33" s="36" t="s">
        <v>41</v>
      </c>
      <c r="P33" s="36" t="s">
        <v>41</v>
      </c>
      <c r="Q33" s="43" t="s">
        <v>42</v>
      </c>
      <c r="R33" s="43" t="s">
        <v>42</v>
      </c>
      <c r="S33" s="43" t="s">
        <v>42</v>
      </c>
      <c r="T33" s="43" t="s">
        <v>42</v>
      </c>
      <c r="U33" s="43" t="s">
        <v>42</v>
      </c>
      <c r="V33" s="43" t="s">
        <v>42</v>
      </c>
      <c r="W33" s="36" t="s">
        <v>41</v>
      </c>
      <c r="X33" s="36" t="s">
        <v>41</v>
      </c>
      <c r="Y33" t="s">
        <v>41</v>
      </c>
      <c r="Z33" t="s">
        <v>41</v>
      </c>
      <c r="AA33" t="s">
        <v>41</v>
      </c>
      <c r="AB33" t="s">
        <v>41</v>
      </c>
      <c r="AC33" t="s">
        <v>41</v>
      </c>
      <c r="AD33" t="s">
        <v>41</v>
      </c>
      <c r="AE33" s="36" t="s">
        <v>41</v>
      </c>
      <c r="AF33" s="36" t="s">
        <v>41</v>
      </c>
      <c r="AG33" s="69">
        <f t="shared" si="6"/>
        <v>0</v>
      </c>
      <c r="AH33" s="74"/>
      <c r="AI33" s="74"/>
      <c r="AJ33" s="74"/>
      <c r="AK33" s="75" t="s">
        <v>60</v>
      </c>
      <c r="AL33" s="71">
        <f t="shared" si="7"/>
        <v>18</v>
      </c>
      <c r="AM33" s="72">
        <f t="shared" si="8"/>
        <v>7</v>
      </c>
      <c r="AN33" s="73">
        <f t="shared" si="9"/>
        <v>10</v>
      </c>
      <c r="AO33" s="44" t="s">
        <v>46</v>
      </c>
      <c r="AP33" s="77">
        <v>177</v>
      </c>
      <c r="AQ33" s="77">
        <f>AP33-AV6</f>
        <v>85</v>
      </c>
      <c r="AR33">
        <f>AQ33*AP6*0.8</f>
        <v>11560</v>
      </c>
      <c r="AS33">
        <f>AQ33*AQ6</f>
        <v>3825</v>
      </c>
      <c r="BE33" s="19"/>
    </row>
    <row r="34" spans="1:57">
      <c r="A34" s="15">
        <v>45760</v>
      </c>
      <c r="B34" s="26">
        <v>1600</v>
      </c>
      <c r="C34" s="27"/>
      <c r="D34" s="26">
        <f>(SUM(粮草!A34:X34)+AG34*10*IF(AK34="是",$BB$4,$BB$3))</f>
        <v>904</v>
      </c>
      <c r="E34" s="28">
        <f>SUM($B$4:B34)+SUM($C$4:C34)-SUM($D$4:D34)</f>
        <v>-2040</v>
      </c>
      <c r="F34" s="29">
        <f>SUM(经验!A34:X34)</f>
        <v>325</v>
      </c>
      <c r="G34" s="26">
        <f>SUM($F$4:F34)+SUM($H$4:H34)</f>
        <v>24690</v>
      </c>
      <c r="H34" s="26">
        <v>0</v>
      </c>
      <c r="I34" t="s">
        <v>41</v>
      </c>
      <c r="J34" t="s">
        <v>41</v>
      </c>
      <c r="K34" t="s">
        <v>41</v>
      </c>
      <c r="L34" t="s">
        <v>41</v>
      </c>
      <c r="M34" t="s">
        <v>41</v>
      </c>
      <c r="N34" t="s">
        <v>41</v>
      </c>
      <c r="O34" s="36" t="s">
        <v>41</v>
      </c>
      <c r="P34" s="36" t="s">
        <v>41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6" t="s">
        <v>50</v>
      </c>
      <c r="W34" s="36" t="s">
        <v>41</v>
      </c>
      <c r="X34" s="36" t="s">
        <v>41</v>
      </c>
      <c r="Y34" t="s">
        <v>41</v>
      </c>
      <c r="Z34" t="s">
        <v>41</v>
      </c>
      <c r="AA34" t="s">
        <v>41</v>
      </c>
      <c r="AB34" t="s">
        <v>41</v>
      </c>
      <c r="AC34" t="s">
        <v>41</v>
      </c>
      <c r="AD34" t="s">
        <v>41</v>
      </c>
      <c r="AE34" s="36" t="s">
        <v>41</v>
      </c>
      <c r="AF34" s="36" t="s">
        <v>41</v>
      </c>
      <c r="AG34" s="69">
        <f t="shared" si="6"/>
        <v>0</v>
      </c>
      <c r="AH34" s="74"/>
      <c r="AI34" s="74"/>
      <c r="AJ34" s="74"/>
      <c r="AK34" s="75" t="s">
        <v>60</v>
      </c>
      <c r="AL34" s="71">
        <f t="shared" si="7"/>
        <v>18</v>
      </c>
      <c r="AM34" s="72">
        <f t="shared" si="8"/>
        <v>7</v>
      </c>
      <c r="AN34" s="73">
        <f t="shared" si="9"/>
        <v>16</v>
      </c>
      <c r="AO34" s="46" t="s">
        <v>50</v>
      </c>
      <c r="AP34" s="77">
        <v>275</v>
      </c>
      <c r="AQ34" s="77">
        <f>AP34-AV7</f>
        <v>208</v>
      </c>
      <c r="AR34">
        <f>AQ34*AP7*0.8</f>
        <v>29952</v>
      </c>
      <c r="AS34">
        <f>AQ34*AQ7</f>
        <v>10400</v>
      </c>
      <c r="BE34" s="19"/>
    </row>
    <row r="35" spans="1:57">
      <c r="A35" s="15">
        <v>45761</v>
      </c>
      <c r="B35">
        <v>1600</v>
      </c>
      <c r="D35" s="26">
        <f>(SUM(粮草!A35:X35)+AG35*10*IF(AK35="是",$BB$4,$BB$3))</f>
        <v>864</v>
      </c>
      <c r="E35" s="28">
        <f>SUM($B$4:B35)+SUM($C$4:C35)-SUM($D$4:D35)</f>
        <v>-1304</v>
      </c>
      <c r="F35" s="29">
        <f>SUM(经验!A35:X35)</f>
        <v>300</v>
      </c>
      <c r="G35" s="26">
        <f>SUM($F$4:F35)+SUM($H$4:H35)</f>
        <v>25190</v>
      </c>
      <c r="H35">
        <v>200</v>
      </c>
      <c r="I35" t="s">
        <v>41</v>
      </c>
      <c r="J35" t="s">
        <v>41</v>
      </c>
      <c r="K35" t="s">
        <v>41</v>
      </c>
      <c r="L35" t="s">
        <v>41</v>
      </c>
      <c r="M35" t="s">
        <v>41</v>
      </c>
      <c r="N35" t="s">
        <v>41</v>
      </c>
      <c r="O35" s="36" t="s">
        <v>41</v>
      </c>
      <c r="P35" s="36" t="s">
        <v>41</v>
      </c>
      <c r="Q35" s="46" t="s">
        <v>50</v>
      </c>
      <c r="R35" s="46" t="s">
        <v>50</v>
      </c>
      <c r="S35" s="46" t="s">
        <v>50</v>
      </c>
      <c r="T35" s="46" t="s">
        <v>50</v>
      </c>
      <c r="U35" s="46" t="s">
        <v>50</v>
      </c>
      <c r="V35" s="46" t="s">
        <v>50</v>
      </c>
      <c r="W35" s="36" t="s">
        <v>41</v>
      </c>
      <c r="X35" s="36" t="s">
        <v>41</v>
      </c>
      <c r="Y35" t="s">
        <v>41</v>
      </c>
      <c r="Z35" t="s">
        <v>41</v>
      </c>
      <c r="AA35" t="s">
        <v>41</v>
      </c>
      <c r="AB35" t="s">
        <v>41</v>
      </c>
      <c r="AC35" t="s">
        <v>41</v>
      </c>
      <c r="AD35" t="s">
        <v>41</v>
      </c>
      <c r="AE35" s="36" t="s">
        <v>41</v>
      </c>
      <c r="AF35" s="36" t="s">
        <v>41</v>
      </c>
      <c r="AG35" s="69">
        <f t="shared" si="6"/>
        <v>0</v>
      </c>
      <c r="AH35" s="74"/>
      <c r="AI35" s="74"/>
      <c r="AJ35" s="74"/>
      <c r="AK35" s="75" t="s">
        <v>60</v>
      </c>
      <c r="AL35" s="71">
        <f t="shared" si="7"/>
        <v>18</v>
      </c>
      <c r="AM35" s="72">
        <f t="shared" si="8"/>
        <v>7</v>
      </c>
      <c r="AN35" s="73">
        <f t="shared" si="9"/>
        <v>18</v>
      </c>
      <c r="AO35" s="43" t="s">
        <v>42</v>
      </c>
      <c r="AP35" s="77">
        <v>233</v>
      </c>
      <c r="AQ35" s="77">
        <f>AP35-AV8</f>
        <v>159</v>
      </c>
      <c r="AR35">
        <f>AQ35*AP8*0.8</f>
        <v>24168</v>
      </c>
      <c r="AS35">
        <f t="shared" ref="AS35:AS42" si="13">AQ35*AQ8</f>
        <v>8745</v>
      </c>
      <c r="BE35" s="19"/>
    </row>
    <row r="36" spans="1:57">
      <c r="A36" s="15">
        <v>45762</v>
      </c>
      <c r="B36">
        <v>1600</v>
      </c>
      <c r="D36" s="26">
        <f>(SUM(粮草!A36:X36)+AG36*10*IF(AK36="是",$BB$4,$BB$3))</f>
        <v>864</v>
      </c>
      <c r="E36" s="28">
        <f>SUM($B$4:B36)+SUM($C$4:C36)-SUM($D$4:D36)</f>
        <v>-568</v>
      </c>
      <c r="F36" s="29">
        <f>SUM(经验!A36:X36)</f>
        <v>300</v>
      </c>
      <c r="G36" s="26">
        <f>SUM($F$4:F36)+SUM($H$4:H36)</f>
        <v>25590</v>
      </c>
      <c r="H36">
        <v>100</v>
      </c>
      <c r="I36" t="s">
        <v>41</v>
      </c>
      <c r="J36" t="s">
        <v>41</v>
      </c>
      <c r="K36" t="s">
        <v>41</v>
      </c>
      <c r="L36" t="s">
        <v>41</v>
      </c>
      <c r="M36" t="s">
        <v>41</v>
      </c>
      <c r="N36" t="s">
        <v>41</v>
      </c>
      <c r="O36" s="36" t="s">
        <v>41</v>
      </c>
      <c r="P36" s="36" t="s">
        <v>41</v>
      </c>
      <c r="Q36" s="46" t="s">
        <v>50</v>
      </c>
      <c r="R36" s="46" t="s">
        <v>50</v>
      </c>
      <c r="S36" s="46" t="s">
        <v>50</v>
      </c>
      <c r="T36" s="46" t="s">
        <v>50</v>
      </c>
      <c r="U36" s="46" t="s">
        <v>50</v>
      </c>
      <c r="V36" s="46" t="s">
        <v>50</v>
      </c>
      <c r="W36" s="36" t="s">
        <v>41</v>
      </c>
      <c r="X36" s="36" t="s">
        <v>41</v>
      </c>
      <c r="Y36" t="s">
        <v>41</v>
      </c>
      <c r="Z36" t="s">
        <v>41</v>
      </c>
      <c r="AA36" t="s">
        <v>41</v>
      </c>
      <c r="AB36" t="s">
        <v>41</v>
      </c>
      <c r="AC36" t="s">
        <v>41</v>
      </c>
      <c r="AD36" t="s">
        <v>41</v>
      </c>
      <c r="AE36" s="36" t="s">
        <v>41</v>
      </c>
      <c r="AF36" s="36" t="s">
        <v>41</v>
      </c>
      <c r="AG36" s="69">
        <f t="shared" si="6"/>
        <v>0</v>
      </c>
      <c r="AH36" s="74"/>
      <c r="AI36" s="74"/>
      <c r="AJ36" s="74"/>
      <c r="AK36" s="75" t="s">
        <v>60</v>
      </c>
      <c r="AL36" s="71">
        <f t="shared" si="7"/>
        <v>18</v>
      </c>
      <c r="AM36" s="72">
        <f t="shared" si="8"/>
        <v>7</v>
      </c>
      <c r="AN36" s="73">
        <f t="shared" si="9"/>
        <v>18</v>
      </c>
      <c r="AO36" s="49" t="s">
        <v>54</v>
      </c>
      <c r="AP36" s="77">
        <v>193</v>
      </c>
      <c r="AQ36" s="77">
        <f>AP36-AV9</f>
        <v>134</v>
      </c>
      <c r="AR36">
        <f>AQ36*AP9*0.8</f>
        <v>21440</v>
      </c>
      <c r="AS36">
        <f t="shared" si="13"/>
        <v>8040</v>
      </c>
      <c r="BE36" s="19"/>
    </row>
    <row r="37" spans="1:57">
      <c r="A37" s="15">
        <v>45763</v>
      </c>
      <c r="B37">
        <v>1600</v>
      </c>
      <c r="D37" s="26">
        <f>(SUM(粮草!A37:X37)+AG37*10*IF(AK37="是",$BB$4,$BB$3))</f>
        <v>864</v>
      </c>
      <c r="E37" s="28">
        <f>SUM($B$4:B37)+SUM($C$4:C37)-SUM($D$4:D37)</f>
        <v>168</v>
      </c>
      <c r="F37" s="29">
        <f>SUM(经验!A37:X37)</f>
        <v>300</v>
      </c>
      <c r="G37" s="26">
        <f>SUM($F$4:F37)+SUM($H$4:H37)</f>
        <v>26090</v>
      </c>
      <c r="H37">
        <v>200</v>
      </c>
      <c r="I37" t="s">
        <v>41</v>
      </c>
      <c r="J37" t="s">
        <v>41</v>
      </c>
      <c r="K37" t="s">
        <v>41</v>
      </c>
      <c r="L37" t="s">
        <v>41</v>
      </c>
      <c r="M37" t="s">
        <v>41</v>
      </c>
      <c r="N37" t="s">
        <v>41</v>
      </c>
      <c r="O37" s="36" t="s">
        <v>41</v>
      </c>
      <c r="P37" s="36" t="s">
        <v>41</v>
      </c>
      <c r="Q37" s="46" t="s">
        <v>50</v>
      </c>
      <c r="R37" s="46" t="s">
        <v>50</v>
      </c>
      <c r="S37" s="46" t="s">
        <v>50</v>
      </c>
      <c r="T37" s="46" t="s">
        <v>50</v>
      </c>
      <c r="U37" s="46" t="s">
        <v>50</v>
      </c>
      <c r="V37" s="46" t="s">
        <v>50</v>
      </c>
      <c r="W37" s="36" t="s">
        <v>41</v>
      </c>
      <c r="X37" s="36" t="s">
        <v>41</v>
      </c>
      <c r="Y37" t="s">
        <v>41</v>
      </c>
      <c r="Z37" t="s">
        <v>41</v>
      </c>
      <c r="AA37" t="s">
        <v>41</v>
      </c>
      <c r="AB37" t="s">
        <v>41</v>
      </c>
      <c r="AC37" t="s">
        <v>41</v>
      </c>
      <c r="AD37" t="s">
        <v>41</v>
      </c>
      <c r="AE37" s="36" t="s">
        <v>41</v>
      </c>
      <c r="AF37" s="36" t="s">
        <v>41</v>
      </c>
      <c r="AG37" s="69">
        <f t="shared" si="6"/>
        <v>0</v>
      </c>
      <c r="AH37" s="74"/>
      <c r="AI37" s="74"/>
      <c r="AJ37" s="74"/>
      <c r="AK37" s="75" t="s">
        <v>60</v>
      </c>
      <c r="AL37" s="71">
        <f t="shared" ref="AL37:AL68" si="14">MIN(AL36+6,18)-COUNTIF(I37:P37,"&lt;&gt;空")+COUNTIF(I37:P37,"历练")+COUNTIF(I37:P37,"营地")*2</f>
        <v>18</v>
      </c>
      <c r="AM37" s="72">
        <f t="shared" ref="AM37:AM68" si="15">MIN(AM36+6,18)-COUNTIF(Q37:X37,"&lt;&gt;空")+COUNTIF(Q37:X37,"历练")+COUNTIF(Q37:X37,"营地")*2</f>
        <v>7</v>
      </c>
      <c r="AN37" s="73">
        <f t="shared" ref="AN37:AN68" si="16">MIN(AN36+6,18)-COUNTIF(Y37:AF37,"&lt;&gt;空")+COUNTIF(Y37:AF37,"历练")+COUNTIF(Y37:AF37,"营地")*2</f>
        <v>18</v>
      </c>
      <c r="AO37" s="35" t="s">
        <v>40</v>
      </c>
      <c r="AP37" s="77">
        <v>39</v>
      </c>
      <c r="AQ37" s="77">
        <f>AP37-AV17</f>
        <v>13</v>
      </c>
      <c r="AR37">
        <f>AQ37*AP17*0.8</f>
        <v>520</v>
      </c>
      <c r="AS37">
        <f>AQ37*AQ17</f>
        <v>390</v>
      </c>
      <c r="BE37" s="19"/>
    </row>
    <row r="38" spans="1:57">
      <c r="A38" s="15">
        <v>45764</v>
      </c>
      <c r="B38">
        <v>1600</v>
      </c>
      <c r="D38" s="26">
        <f>(SUM(粮草!A38:X38)+AG38*10*IF(AK38="是",$BB$4,$BB$3))</f>
        <v>-16</v>
      </c>
      <c r="E38" s="28">
        <f>SUM($B$4:B38)+SUM($C$4:C38)-SUM($D$4:D38)</f>
        <v>1784</v>
      </c>
      <c r="F38" s="29">
        <f>SUM(经验!A38:X38)</f>
        <v>50</v>
      </c>
      <c r="G38" s="26">
        <f>SUM($F$4:F38)+SUM($H$4:H38)</f>
        <v>26140</v>
      </c>
      <c r="H38">
        <v>0</v>
      </c>
      <c r="I38" t="s">
        <v>41</v>
      </c>
      <c r="J38" t="s">
        <v>41</v>
      </c>
      <c r="K38" t="s">
        <v>41</v>
      </c>
      <c r="L38" t="s">
        <v>41</v>
      </c>
      <c r="M38" t="s">
        <v>41</v>
      </c>
      <c r="N38" t="s">
        <v>41</v>
      </c>
      <c r="O38" s="36" t="s">
        <v>41</v>
      </c>
      <c r="P38" s="36" t="s">
        <v>41</v>
      </c>
      <c r="Q38" s="46" t="s">
        <v>50</v>
      </c>
      <c r="R38" s="37" t="s">
        <v>49</v>
      </c>
      <c r="S38" t="s">
        <v>41</v>
      </c>
      <c r="T38" t="s">
        <v>41</v>
      </c>
      <c r="U38" t="s">
        <v>41</v>
      </c>
      <c r="V38" t="s">
        <v>41</v>
      </c>
      <c r="W38" s="36" t="s">
        <v>41</v>
      </c>
      <c r="X38" s="36" t="s">
        <v>41</v>
      </c>
      <c r="Y38" t="s">
        <v>41</v>
      </c>
      <c r="Z38" t="s">
        <v>41</v>
      </c>
      <c r="AA38" t="s">
        <v>41</v>
      </c>
      <c r="AB38" t="s">
        <v>41</v>
      </c>
      <c r="AC38" t="s">
        <v>41</v>
      </c>
      <c r="AD38" t="s">
        <v>41</v>
      </c>
      <c r="AE38" s="36" t="s">
        <v>41</v>
      </c>
      <c r="AF38" s="36" t="s">
        <v>41</v>
      </c>
      <c r="AG38" s="69">
        <f t="shared" si="6"/>
        <v>0</v>
      </c>
      <c r="AH38" s="74"/>
      <c r="AI38" s="74"/>
      <c r="AJ38" s="74"/>
      <c r="AK38" s="75" t="s">
        <v>60</v>
      </c>
      <c r="AL38" s="71">
        <f t="shared" si="14"/>
        <v>18</v>
      </c>
      <c r="AM38" s="72">
        <f t="shared" si="15"/>
        <v>13</v>
      </c>
      <c r="AN38" s="73">
        <f t="shared" si="16"/>
        <v>18</v>
      </c>
      <c r="AO38" s="39" t="s">
        <v>56</v>
      </c>
      <c r="AP38" s="77">
        <v>4</v>
      </c>
      <c r="AQ38" s="77">
        <f>AP38-AV11</f>
        <v>0</v>
      </c>
      <c r="AR38">
        <f>AQ38*AP11*0.8</f>
        <v>0</v>
      </c>
      <c r="AS38">
        <f>AQ38*AQ11</f>
        <v>0</v>
      </c>
      <c r="BE38" s="19"/>
    </row>
    <row r="39" spans="1:57">
      <c r="A39" s="17">
        <v>45765</v>
      </c>
      <c r="B39">
        <v>1600</v>
      </c>
      <c r="D39" s="26">
        <f>(SUM(粮草!A39:X39)+AG39*10*IF(AK39="是",$BB$4,$BB$3))</f>
        <v>0</v>
      </c>
      <c r="E39" s="28">
        <f>SUM($B$4:B39)+SUM($C$4:C39)-SUM($D$4:D39)</f>
        <v>3384</v>
      </c>
      <c r="F39" s="29">
        <f>SUM(经验!A39:X39)</f>
        <v>0</v>
      </c>
      <c r="G39" s="26">
        <f>SUM($F$4:F39)+SUM($H$4:H39)</f>
        <v>26140</v>
      </c>
      <c r="H39">
        <v>0</v>
      </c>
      <c r="I39" t="s">
        <v>41</v>
      </c>
      <c r="J39" t="s">
        <v>41</v>
      </c>
      <c r="K39" t="s">
        <v>41</v>
      </c>
      <c r="L39" t="s">
        <v>41</v>
      </c>
      <c r="M39" t="s">
        <v>41</v>
      </c>
      <c r="N39" t="s">
        <v>41</v>
      </c>
      <c r="O39" s="36" t="s">
        <v>41</v>
      </c>
      <c r="P39" s="36" t="s">
        <v>41</v>
      </c>
      <c r="Q39" t="s">
        <v>41</v>
      </c>
      <c r="R39" t="s">
        <v>41</v>
      </c>
      <c r="S39" t="s">
        <v>41</v>
      </c>
      <c r="T39" t="s">
        <v>41</v>
      </c>
      <c r="U39" t="s">
        <v>41</v>
      </c>
      <c r="V39" t="s">
        <v>41</v>
      </c>
      <c r="W39" s="36" t="s">
        <v>41</v>
      </c>
      <c r="X39" s="36" t="s">
        <v>41</v>
      </c>
      <c r="Y39" t="s">
        <v>41</v>
      </c>
      <c r="Z39" t="s">
        <v>41</v>
      </c>
      <c r="AA39" t="s">
        <v>41</v>
      </c>
      <c r="AB39" t="s">
        <v>41</v>
      </c>
      <c r="AC39" t="s">
        <v>41</v>
      </c>
      <c r="AD39" t="s">
        <v>41</v>
      </c>
      <c r="AE39" s="36" t="s">
        <v>41</v>
      </c>
      <c r="AF39" s="36" t="s">
        <v>41</v>
      </c>
      <c r="AG39" s="69">
        <f t="shared" si="6"/>
        <v>0</v>
      </c>
      <c r="AH39" s="74"/>
      <c r="AI39" s="74"/>
      <c r="AJ39" s="74"/>
      <c r="AK39" s="75" t="s">
        <v>60</v>
      </c>
      <c r="AL39" s="71">
        <f t="shared" si="14"/>
        <v>18</v>
      </c>
      <c r="AM39" s="72">
        <f t="shared" si="15"/>
        <v>18</v>
      </c>
      <c r="AN39" s="73">
        <f t="shared" si="16"/>
        <v>18</v>
      </c>
      <c r="AO39" s="48" t="s">
        <v>53</v>
      </c>
      <c r="AP39" s="90">
        <v>6</v>
      </c>
      <c r="AQ39" s="77">
        <f>AP39-AV12</f>
        <v>2</v>
      </c>
      <c r="AR39">
        <f>AQ39*AP12*0.8</f>
        <v>240</v>
      </c>
      <c r="AS39">
        <f t="shared" si="13"/>
        <v>90</v>
      </c>
      <c r="BE39" s="19"/>
    </row>
    <row r="40" spans="1:57">
      <c r="A40" s="17">
        <v>45766</v>
      </c>
      <c r="B40">
        <v>1600</v>
      </c>
      <c r="D40" s="26">
        <f>(SUM(粮草!A40:X40)+AG40*10*IF(AK40="是",$BB$4,$BB$3))</f>
        <v>592</v>
      </c>
      <c r="E40" s="28">
        <f>SUM($B$4:B40)+SUM($C$4:C40)-SUM($D$4:D40)</f>
        <v>4392</v>
      </c>
      <c r="F40" s="29">
        <f>SUM(经验!A40:X40)</f>
        <v>220</v>
      </c>
      <c r="G40" s="26">
        <f>SUM($F$4:F40)+SUM($H$4:H40)</f>
        <v>26360</v>
      </c>
      <c r="H40">
        <v>0</v>
      </c>
      <c r="I40" t="s">
        <v>41</v>
      </c>
      <c r="J40" t="s">
        <v>41</v>
      </c>
      <c r="K40" t="s">
        <v>41</v>
      </c>
      <c r="L40" t="s">
        <v>41</v>
      </c>
      <c r="M40" t="s">
        <v>41</v>
      </c>
      <c r="N40" t="s">
        <v>41</v>
      </c>
      <c r="O40" s="36" t="s">
        <v>41</v>
      </c>
      <c r="P40" s="36" t="s">
        <v>41</v>
      </c>
      <c r="Q40" t="s">
        <v>41</v>
      </c>
      <c r="R40" t="s">
        <v>41</v>
      </c>
      <c r="S40" t="s">
        <v>41</v>
      </c>
      <c r="T40" t="s">
        <v>41</v>
      </c>
      <c r="U40" t="s">
        <v>41</v>
      </c>
      <c r="V40" t="s">
        <v>41</v>
      </c>
      <c r="W40" s="36" t="s">
        <v>41</v>
      </c>
      <c r="X40" s="36" t="s">
        <v>41</v>
      </c>
      <c r="Y40" s="38" t="s">
        <v>45</v>
      </c>
      <c r="Z40" s="38" t="s">
        <v>45</v>
      </c>
      <c r="AA40" s="35" t="s">
        <v>40</v>
      </c>
      <c r="AB40" s="38" t="s">
        <v>45</v>
      </c>
      <c r="AC40" s="38" t="s">
        <v>45</v>
      </c>
      <c r="AD40" s="35" t="s">
        <v>40</v>
      </c>
      <c r="AE40" s="36" t="s">
        <v>41</v>
      </c>
      <c r="AF40" s="36" t="s">
        <v>41</v>
      </c>
      <c r="AG40" s="69">
        <f t="shared" si="6"/>
        <v>0</v>
      </c>
      <c r="AH40" s="74"/>
      <c r="AI40" s="74"/>
      <c r="AJ40" s="74"/>
      <c r="AK40" s="75" t="s">
        <v>60</v>
      </c>
      <c r="AL40" s="71">
        <f t="shared" si="14"/>
        <v>18</v>
      </c>
      <c r="AM40" s="72">
        <f t="shared" si="15"/>
        <v>18</v>
      </c>
      <c r="AN40" s="73">
        <f t="shared" si="16"/>
        <v>12</v>
      </c>
      <c r="AO40" s="86" t="s">
        <v>57</v>
      </c>
      <c r="AP40" s="90">
        <v>3</v>
      </c>
      <c r="AQ40" s="77">
        <f>AP40-AV13</f>
        <v>3</v>
      </c>
      <c r="AR40">
        <f>AQ40*AP13*0.8</f>
        <v>360</v>
      </c>
      <c r="AS40">
        <f t="shared" si="13"/>
        <v>150</v>
      </c>
      <c r="BE40" s="19"/>
    </row>
    <row r="41" spans="1:57">
      <c r="A41" s="17">
        <v>45767</v>
      </c>
      <c r="B41">
        <v>1600</v>
      </c>
      <c r="D41" s="26">
        <f>(SUM(粮草!A41:X41)+AG41*10*IF(AK41="是",$BB$4,$BB$3))</f>
        <v>0</v>
      </c>
      <c r="E41" s="28">
        <f>SUM($B$4:B41)+SUM($C$4:C41)-SUM($D$4:D41)</f>
        <v>5992</v>
      </c>
      <c r="F41" s="29">
        <f>SUM(经验!A41:X41)</f>
        <v>0</v>
      </c>
      <c r="G41" s="26">
        <f>SUM($F$4:F41)+SUM($H$4:H41)</f>
        <v>26360</v>
      </c>
      <c r="H41">
        <v>0</v>
      </c>
      <c r="I41" t="s">
        <v>41</v>
      </c>
      <c r="J41" t="s">
        <v>41</v>
      </c>
      <c r="K41" t="s">
        <v>41</v>
      </c>
      <c r="L41" t="s">
        <v>41</v>
      </c>
      <c r="M41" t="s">
        <v>41</v>
      </c>
      <c r="N41" t="s">
        <v>41</v>
      </c>
      <c r="O41" s="36" t="s">
        <v>41</v>
      </c>
      <c r="P41" s="36" t="s">
        <v>41</v>
      </c>
      <c r="Q41" t="s">
        <v>41</v>
      </c>
      <c r="R41" t="s">
        <v>41</v>
      </c>
      <c r="S41" t="s">
        <v>41</v>
      </c>
      <c r="T41" t="s">
        <v>41</v>
      </c>
      <c r="U41" t="s">
        <v>41</v>
      </c>
      <c r="V41" t="s">
        <v>41</v>
      </c>
      <c r="W41" s="36" t="s">
        <v>41</v>
      </c>
      <c r="X41" s="36" t="s">
        <v>41</v>
      </c>
      <c r="Y41" t="s">
        <v>41</v>
      </c>
      <c r="Z41" t="s">
        <v>41</v>
      </c>
      <c r="AA41" t="s">
        <v>41</v>
      </c>
      <c r="AB41" t="s">
        <v>41</v>
      </c>
      <c r="AC41" t="s">
        <v>41</v>
      </c>
      <c r="AD41" t="s">
        <v>41</v>
      </c>
      <c r="AE41" s="36" t="s">
        <v>41</v>
      </c>
      <c r="AF41" s="36" t="s">
        <v>41</v>
      </c>
      <c r="AG41" s="69">
        <f t="shared" si="6"/>
        <v>0</v>
      </c>
      <c r="AH41" s="74"/>
      <c r="AI41" s="74"/>
      <c r="AJ41" s="74"/>
      <c r="AK41" s="75" t="s">
        <v>60</v>
      </c>
      <c r="AL41" s="71">
        <f t="shared" si="14"/>
        <v>18</v>
      </c>
      <c r="AM41" s="72">
        <f t="shared" si="15"/>
        <v>18</v>
      </c>
      <c r="AN41" s="73">
        <f t="shared" si="16"/>
        <v>18</v>
      </c>
      <c r="AO41" s="52" t="s">
        <v>58</v>
      </c>
      <c r="AP41" s="90">
        <v>3</v>
      </c>
      <c r="AQ41" s="77">
        <f>AP41-AV14</f>
        <v>2</v>
      </c>
      <c r="AR41">
        <f>AQ41*AP14*0.8</f>
        <v>240</v>
      </c>
      <c r="AS41">
        <f t="shared" si="13"/>
        <v>110</v>
      </c>
      <c r="BE41" s="19"/>
    </row>
    <row r="42" spans="1:57">
      <c r="A42" s="17">
        <v>45768</v>
      </c>
      <c r="B42" s="26">
        <v>1600</v>
      </c>
      <c r="C42" s="27"/>
      <c r="D42" s="26">
        <f>(SUM(粮草!A42:X42)+AG42*10*IF(AK42="是",$BB$4,$BB$3))</f>
        <v>0</v>
      </c>
      <c r="E42" s="28">
        <f>SUM($B$4:B42)+SUM($C$4:C42)-SUM($D$4:D42)</f>
        <v>7592</v>
      </c>
      <c r="F42" s="29">
        <f>SUM(经验!A42:X42)</f>
        <v>0</v>
      </c>
      <c r="G42" s="26">
        <f>SUM($F$4:F42)+SUM($H$4:H42)</f>
        <v>26660</v>
      </c>
      <c r="H42" s="26">
        <v>300</v>
      </c>
      <c r="I42" t="s">
        <v>41</v>
      </c>
      <c r="J42" t="s">
        <v>41</v>
      </c>
      <c r="K42" t="s">
        <v>41</v>
      </c>
      <c r="L42" t="s">
        <v>41</v>
      </c>
      <c r="M42" t="s">
        <v>41</v>
      </c>
      <c r="N42" t="s">
        <v>41</v>
      </c>
      <c r="O42" s="36" t="s">
        <v>41</v>
      </c>
      <c r="P42" s="36" t="s">
        <v>41</v>
      </c>
      <c r="Q42" t="s">
        <v>41</v>
      </c>
      <c r="R42" t="s">
        <v>41</v>
      </c>
      <c r="S42" t="s">
        <v>41</v>
      </c>
      <c r="T42" t="s">
        <v>41</v>
      </c>
      <c r="U42" t="s">
        <v>41</v>
      </c>
      <c r="V42" t="s">
        <v>41</v>
      </c>
      <c r="W42" s="36" t="s">
        <v>41</v>
      </c>
      <c r="X42" s="36" t="s">
        <v>41</v>
      </c>
      <c r="Y42" t="s">
        <v>41</v>
      </c>
      <c r="Z42" t="s">
        <v>41</v>
      </c>
      <c r="AA42" t="s">
        <v>41</v>
      </c>
      <c r="AB42" t="s">
        <v>41</v>
      </c>
      <c r="AC42" t="s">
        <v>41</v>
      </c>
      <c r="AD42" t="s">
        <v>41</v>
      </c>
      <c r="AE42" s="36" t="s">
        <v>41</v>
      </c>
      <c r="AF42" s="36" t="s">
        <v>41</v>
      </c>
      <c r="AG42" s="69">
        <f t="shared" si="6"/>
        <v>0</v>
      </c>
      <c r="AH42" s="74"/>
      <c r="AI42" s="74"/>
      <c r="AJ42" s="74"/>
      <c r="AK42" s="75" t="s">
        <v>60</v>
      </c>
      <c r="AL42" s="71">
        <f t="shared" si="14"/>
        <v>18</v>
      </c>
      <c r="AM42" s="72">
        <f t="shared" si="15"/>
        <v>18</v>
      </c>
      <c r="AN42" s="73">
        <f t="shared" si="16"/>
        <v>18</v>
      </c>
      <c r="AO42" s="51" t="s">
        <v>59</v>
      </c>
      <c r="AP42" s="90">
        <v>1</v>
      </c>
      <c r="AQ42" s="77">
        <f>AP42-AV15</f>
        <v>0</v>
      </c>
      <c r="AR42">
        <f>AQ42*AP15*0.8</f>
        <v>0</v>
      </c>
      <c r="AS42">
        <f t="shared" si="13"/>
        <v>0</v>
      </c>
      <c r="BE42" s="19"/>
    </row>
    <row r="43" spans="1:57">
      <c r="A43" s="17">
        <v>45769</v>
      </c>
      <c r="B43" s="26">
        <v>1600</v>
      </c>
      <c r="C43" s="27"/>
      <c r="D43" s="26">
        <f>(SUM(粮草!A43:X43)+AG43*10*IF(AK43="是",$BB$4,$BB$3))</f>
        <v>0</v>
      </c>
      <c r="E43" s="28">
        <f>SUM($B$4:B43)+SUM($C$4:C43)-SUM($D$4:D43)</f>
        <v>9192</v>
      </c>
      <c r="F43" s="29">
        <f>SUM(经验!A43:X43)</f>
        <v>0</v>
      </c>
      <c r="G43" s="26">
        <f>SUM($F$4:F43)+SUM($H$4:H43)</f>
        <v>26660</v>
      </c>
      <c r="H43" s="26">
        <v>0</v>
      </c>
      <c r="I43" t="s">
        <v>41</v>
      </c>
      <c r="J43" t="s">
        <v>41</v>
      </c>
      <c r="K43" t="s">
        <v>41</v>
      </c>
      <c r="L43" t="s">
        <v>41</v>
      </c>
      <c r="M43" t="s">
        <v>41</v>
      </c>
      <c r="N43" t="s">
        <v>41</v>
      </c>
      <c r="O43" s="36" t="s">
        <v>41</v>
      </c>
      <c r="P43" s="36" t="s">
        <v>41</v>
      </c>
      <c r="Q43" t="s">
        <v>41</v>
      </c>
      <c r="R43" t="s">
        <v>41</v>
      </c>
      <c r="S43" t="s">
        <v>41</v>
      </c>
      <c r="T43" t="s">
        <v>41</v>
      </c>
      <c r="U43" t="s">
        <v>41</v>
      </c>
      <c r="V43" t="s">
        <v>41</v>
      </c>
      <c r="W43" s="36" t="s">
        <v>41</v>
      </c>
      <c r="X43" s="36" t="s">
        <v>41</v>
      </c>
      <c r="Y43" t="s">
        <v>41</v>
      </c>
      <c r="Z43" t="s">
        <v>41</v>
      </c>
      <c r="AA43" t="s">
        <v>41</v>
      </c>
      <c r="AB43" t="s">
        <v>41</v>
      </c>
      <c r="AC43" t="s">
        <v>41</v>
      </c>
      <c r="AD43" t="s">
        <v>41</v>
      </c>
      <c r="AE43" s="36" t="s">
        <v>41</v>
      </c>
      <c r="AF43" s="36" t="s">
        <v>41</v>
      </c>
      <c r="AG43" s="69">
        <f t="shared" si="6"/>
        <v>0</v>
      </c>
      <c r="AH43" s="74"/>
      <c r="AI43" s="74"/>
      <c r="AJ43" s="74"/>
      <c r="AK43" s="75" t="s">
        <v>60</v>
      </c>
      <c r="AL43" s="71">
        <f t="shared" si="14"/>
        <v>18</v>
      </c>
      <c r="AM43" s="72">
        <f t="shared" si="15"/>
        <v>18</v>
      </c>
      <c r="AN43" s="73">
        <f t="shared" si="16"/>
        <v>18</v>
      </c>
      <c r="AO43" s="58" t="s">
        <v>64</v>
      </c>
      <c r="AP43" s="90">
        <v>2</v>
      </c>
      <c r="AQ43" s="90">
        <f>AP43-AV23</f>
        <v>1</v>
      </c>
      <c r="AR43">
        <f>AQ43*AP23*0.8</f>
        <v>200</v>
      </c>
      <c r="AS43">
        <f>AQ43*AQ23</f>
        <v>500</v>
      </c>
      <c r="BE43" s="19"/>
    </row>
    <row r="44" spans="1:57">
      <c r="A44" s="17">
        <v>45770</v>
      </c>
      <c r="B44" s="26">
        <v>1600</v>
      </c>
      <c r="C44" s="27"/>
      <c r="D44" s="26">
        <f>(SUM(粮草!A44:X44)+AG44*10*IF(AK44="是",$BB$4,$BB$3))</f>
        <v>0</v>
      </c>
      <c r="E44" s="28">
        <f>SUM($B$4:B44)+SUM($C$4:C44)-SUM($D$4:D44)</f>
        <v>10792</v>
      </c>
      <c r="F44" s="29">
        <f>SUM(经验!A44:X44)</f>
        <v>0</v>
      </c>
      <c r="G44" s="26">
        <f>SUM($F$4:F44)+SUM($H$4:H44)</f>
        <v>26860</v>
      </c>
      <c r="H44" s="26">
        <v>200</v>
      </c>
      <c r="I44" t="s">
        <v>41</v>
      </c>
      <c r="J44" t="s">
        <v>41</v>
      </c>
      <c r="K44" t="s">
        <v>41</v>
      </c>
      <c r="L44" t="s">
        <v>41</v>
      </c>
      <c r="M44" t="s">
        <v>41</v>
      </c>
      <c r="N44" t="s">
        <v>41</v>
      </c>
      <c r="O44" s="36" t="s">
        <v>41</v>
      </c>
      <c r="P44" s="36" t="s">
        <v>41</v>
      </c>
      <c r="Q44" t="s">
        <v>41</v>
      </c>
      <c r="R44" t="s">
        <v>41</v>
      </c>
      <c r="S44" t="s">
        <v>41</v>
      </c>
      <c r="T44" t="s">
        <v>41</v>
      </c>
      <c r="U44" t="s">
        <v>41</v>
      </c>
      <c r="V44" t="s">
        <v>41</v>
      </c>
      <c r="W44" s="36" t="s">
        <v>41</v>
      </c>
      <c r="X44" s="36" t="s">
        <v>41</v>
      </c>
      <c r="Y44" t="s">
        <v>41</v>
      </c>
      <c r="Z44" t="s">
        <v>41</v>
      </c>
      <c r="AA44" t="s">
        <v>41</v>
      </c>
      <c r="AB44" t="s">
        <v>41</v>
      </c>
      <c r="AC44" t="s">
        <v>41</v>
      </c>
      <c r="AD44" t="s">
        <v>41</v>
      </c>
      <c r="AE44" s="36" t="s">
        <v>41</v>
      </c>
      <c r="AF44" s="36" t="s">
        <v>41</v>
      </c>
      <c r="AG44" s="69">
        <f t="shared" si="6"/>
        <v>0</v>
      </c>
      <c r="AH44" s="74"/>
      <c r="AI44" s="74"/>
      <c r="AJ44" s="74"/>
      <c r="AK44" s="75" t="s">
        <v>60</v>
      </c>
      <c r="AL44" s="71">
        <f t="shared" si="14"/>
        <v>18</v>
      </c>
      <c r="AM44" s="72">
        <f t="shared" si="15"/>
        <v>18</v>
      </c>
      <c r="AN44" s="73">
        <f t="shared" si="16"/>
        <v>18</v>
      </c>
      <c r="AO44" s="45" t="s">
        <v>48</v>
      </c>
      <c r="AP44" s="90">
        <v>3</v>
      </c>
      <c r="AQ44">
        <f>AP44-AV29</f>
        <v>1</v>
      </c>
      <c r="AR44">
        <f>AQ44*AP29*0.8</f>
        <v>40</v>
      </c>
      <c r="AS44">
        <f>AQ44*AQ29</f>
        <v>520</v>
      </c>
      <c r="BE44" s="19"/>
    </row>
    <row r="45" spans="1:57">
      <c r="A45" s="17">
        <v>45771</v>
      </c>
      <c r="B45" s="26">
        <v>1600</v>
      </c>
      <c r="C45" s="27"/>
      <c r="D45" s="26">
        <f>(SUM(粮草!A45:X45)+AG45*10*IF(AK45="是",$BB$4,$BB$3))</f>
        <v>0</v>
      </c>
      <c r="E45" s="28">
        <f>SUM($B$4:B45)+SUM($C$4:C45)-SUM($D$4:D45)</f>
        <v>12392</v>
      </c>
      <c r="F45" s="29">
        <f>SUM(经验!A45:X45)</f>
        <v>0</v>
      </c>
      <c r="G45" s="26">
        <f>SUM($F$4:F45)+SUM($H$4:H45)</f>
        <v>26860</v>
      </c>
      <c r="H45" s="26">
        <v>0</v>
      </c>
      <c r="I45" t="s">
        <v>41</v>
      </c>
      <c r="J45" t="s">
        <v>41</v>
      </c>
      <c r="K45" t="s">
        <v>41</v>
      </c>
      <c r="L45" t="s">
        <v>41</v>
      </c>
      <c r="M45" t="s">
        <v>41</v>
      </c>
      <c r="N45" t="s">
        <v>41</v>
      </c>
      <c r="O45" s="36" t="s">
        <v>41</v>
      </c>
      <c r="P45" s="36" t="s">
        <v>41</v>
      </c>
      <c r="Q45" t="s">
        <v>41</v>
      </c>
      <c r="R45" t="s">
        <v>41</v>
      </c>
      <c r="S45" t="s">
        <v>41</v>
      </c>
      <c r="T45" t="s">
        <v>41</v>
      </c>
      <c r="U45" t="s">
        <v>41</v>
      </c>
      <c r="V45" t="s">
        <v>41</v>
      </c>
      <c r="W45" s="36" t="s">
        <v>41</v>
      </c>
      <c r="X45" s="36" t="s">
        <v>41</v>
      </c>
      <c r="Y45" t="s">
        <v>41</v>
      </c>
      <c r="Z45" t="s">
        <v>41</v>
      </c>
      <c r="AA45" t="s">
        <v>41</v>
      </c>
      <c r="AB45" t="s">
        <v>41</v>
      </c>
      <c r="AC45" t="s">
        <v>41</v>
      </c>
      <c r="AD45" t="s">
        <v>41</v>
      </c>
      <c r="AE45" s="36" t="s">
        <v>41</v>
      </c>
      <c r="AF45" s="36" t="s">
        <v>41</v>
      </c>
      <c r="AG45" s="69">
        <f t="shared" si="6"/>
        <v>0</v>
      </c>
      <c r="AH45" s="74"/>
      <c r="AI45" s="74"/>
      <c r="AJ45" s="74"/>
      <c r="AK45" s="75" t="s">
        <v>60</v>
      </c>
      <c r="AL45" s="71">
        <f t="shared" si="14"/>
        <v>18</v>
      </c>
      <c r="AM45" s="72">
        <f t="shared" si="15"/>
        <v>18</v>
      </c>
      <c r="AN45" s="73">
        <f t="shared" si="16"/>
        <v>18</v>
      </c>
      <c r="AO45" s="50" t="s">
        <v>62</v>
      </c>
      <c r="AP45" s="90">
        <v>2</v>
      </c>
      <c r="AQ45">
        <f>AP45-AV22</f>
        <v>1</v>
      </c>
      <c r="AR45">
        <f>AQ45*AP22*0.8</f>
        <v>200</v>
      </c>
      <c r="AS45">
        <f>AQ45*AQ22</f>
        <v>1000</v>
      </c>
      <c r="BE45" s="19"/>
    </row>
    <row r="46" spans="1:57">
      <c r="A46" s="17">
        <v>45772</v>
      </c>
      <c r="B46" s="26">
        <v>1600</v>
      </c>
      <c r="C46" s="27"/>
      <c r="D46" s="26">
        <f>(SUM(粮草!A46:X46)+AG46*10*IF(AK46="是",$BB$4,$BB$3))</f>
        <v>0</v>
      </c>
      <c r="E46" s="28">
        <f>SUM($B$4:B46)+SUM($C$4:C46)-SUM($D$4:D46)</f>
        <v>13992</v>
      </c>
      <c r="F46" s="29">
        <f>SUM(经验!A46:X46)</f>
        <v>0</v>
      </c>
      <c r="G46" s="26">
        <f>SUM($F$4:F46)+SUM($H$4:H46)</f>
        <v>26860</v>
      </c>
      <c r="H46" s="26">
        <v>0</v>
      </c>
      <c r="I46" t="s">
        <v>41</v>
      </c>
      <c r="J46" t="s">
        <v>41</v>
      </c>
      <c r="K46" t="s">
        <v>41</v>
      </c>
      <c r="L46" t="s">
        <v>41</v>
      </c>
      <c r="M46" t="s">
        <v>41</v>
      </c>
      <c r="N46" t="s">
        <v>41</v>
      </c>
      <c r="O46" s="36" t="s">
        <v>41</v>
      </c>
      <c r="P46" s="36" t="s">
        <v>41</v>
      </c>
      <c r="Q46" t="s">
        <v>41</v>
      </c>
      <c r="R46" t="s">
        <v>41</v>
      </c>
      <c r="S46" t="s">
        <v>41</v>
      </c>
      <c r="T46" t="s">
        <v>41</v>
      </c>
      <c r="U46" t="s">
        <v>41</v>
      </c>
      <c r="V46" t="s">
        <v>41</v>
      </c>
      <c r="W46" s="36" t="s">
        <v>41</v>
      </c>
      <c r="X46" s="36" t="s">
        <v>41</v>
      </c>
      <c r="Y46" t="s">
        <v>41</v>
      </c>
      <c r="Z46" t="s">
        <v>41</v>
      </c>
      <c r="AA46" t="s">
        <v>41</v>
      </c>
      <c r="AB46" t="s">
        <v>41</v>
      </c>
      <c r="AC46" t="s">
        <v>41</v>
      </c>
      <c r="AD46" t="s">
        <v>41</v>
      </c>
      <c r="AE46" s="36" t="s">
        <v>41</v>
      </c>
      <c r="AF46" s="36" t="s">
        <v>41</v>
      </c>
      <c r="AG46" s="69">
        <f t="shared" si="6"/>
        <v>0</v>
      </c>
      <c r="AH46" s="74"/>
      <c r="AI46" s="74"/>
      <c r="AJ46" s="74"/>
      <c r="AK46" s="75" t="s">
        <v>60</v>
      </c>
      <c r="AL46" s="71">
        <f t="shared" si="14"/>
        <v>18</v>
      </c>
      <c r="AM46" s="72">
        <f t="shared" si="15"/>
        <v>18</v>
      </c>
      <c r="AN46" s="73">
        <f t="shared" si="16"/>
        <v>18</v>
      </c>
      <c r="AO46" t="s">
        <v>73</v>
      </c>
      <c r="AQ46">
        <f>SUM(AQ33:AQ43)</f>
        <v>607</v>
      </c>
      <c r="AR46">
        <f>SUM(AR33:AR45)</f>
        <v>88920</v>
      </c>
      <c r="AS46">
        <f>SUM(AS33:AS45)</f>
        <v>33770</v>
      </c>
      <c r="BE46" s="19"/>
    </row>
    <row r="47" spans="1:57">
      <c r="A47" s="17">
        <v>45773</v>
      </c>
      <c r="B47" s="26">
        <v>1600</v>
      </c>
      <c r="C47" s="27"/>
      <c r="D47" s="26">
        <f>(SUM(粮草!A47:X47)+AG47*10*IF(AK47="是",$BB$4,$BB$3))</f>
        <v>0</v>
      </c>
      <c r="E47" s="28">
        <f>SUM($B$4:B47)+SUM($C$4:C47)-SUM($D$4:D47)</f>
        <v>15592</v>
      </c>
      <c r="F47" s="29">
        <f>SUM(经验!A47:X47)</f>
        <v>0</v>
      </c>
      <c r="G47" s="26">
        <f>SUM($F$4:F47)+SUM($H$4:H47)</f>
        <v>26860</v>
      </c>
      <c r="H47" s="26">
        <v>0</v>
      </c>
      <c r="I47" t="s">
        <v>41</v>
      </c>
      <c r="J47" t="s">
        <v>41</v>
      </c>
      <c r="K47" t="s">
        <v>41</v>
      </c>
      <c r="L47" t="s">
        <v>41</v>
      </c>
      <c r="M47" t="s">
        <v>41</v>
      </c>
      <c r="N47" t="s">
        <v>41</v>
      </c>
      <c r="O47" s="36" t="s">
        <v>41</v>
      </c>
      <c r="P47" s="36" t="s">
        <v>41</v>
      </c>
      <c r="Q47" t="s">
        <v>41</v>
      </c>
      <c r="R47" t="s">
        <v>41</v>
      </c>
      <c r="S47" t="s">
        <v>41</v>
      </c>
      <c r="T47" t="s">
        <v>41</v>
      </c>
      <c r="U47" t="s">
        <v>41</v>
      </c>
      <c r="V47" t="s">
        <v>41</v>
      </c>
      <c r="W47" s="36" t="s">
        <v>41</v>
      </c>
      <c r="X47" s="36" t="s">
        <v>41</v>
      </c>
      <c r="Y47" t="s">
        <v>41</v>
      </c>
      <c r="Z47" t="s">
        <v>41</v>
      </c>
      <c r="AA47" t="s">
        <v>41</v>
      </c>
      <c r="AB47" t="s">
        <v>41</v>
      </c>
      <c r="AC47" t="s">
        <v>41</v>
      </c>
      <c r="AD47" t="s">
        <v>41</v>
      </c>
      <c r="AE47" s="36" t="s">
        <v>41</v>
      </c>
      <c r="AF47" s="36" t="s">
        <v>41</v>
      </c>
      <c r="AG47" s="69">
        <f t="shared" si="6"/>
        <v>0</v>
      </c>
      <c r="AH47" s="74"/>
      <c r="AI47" s="74"/>
      <c r="AJ47" s="74"/>
      <c r="AK47" s="75" t="s">
        <v>60</v>
      </c>
      <c r="AL47" s="71">
        <f t="shared" si="14"/>
        <v>18</v>
      </c>
      <c r="AM47" s="72">
        <f t="shared" si="15"/>
        <v>18</v>
      </c>
      <c r="AN47" s="73">
        <f t="shared" si="16"/>
        <v>18</v>
      </c>
      <c r="AQ47" s="56" t="s">
        <v>74</v>
      </c>
      <c r="AR47" s="56">
        <f>E93-AR46</f>
        <v>176</v>
      </c>
      <c r="AS47" s="56">
        <f>AS46+G93</f>
        <v>64130</v>
      </c>
      <c r="BE47" s="19"/>
    </row>
    <row r="48" spans="1:57">
      <c r="A48" s="17">
        <v>45774</v>
      </c>
      <c r="B48" s="26">
        <v>1600</v>
      </c>
      <c r="C48" s="27"/>
      <c r="D48" s="26">
        <f>(SUM(粮草!A48:X48)+AG48*10*IF(AK48="是",$BB$4,$BB$3))</f>
        <v>0</v>
      </c>
      <c r="E48" s="28">
        <f>SUM($B$4:B48)+SUM($C$4:C48)-SUM($D$4:D48)</f>
        <v>17192</v>
      </c>
      <c r="F48" s="29">
        <f>SUM(经验!A48:X48)</f>
        <v>0</v>
      </c>
      <c r="G48" s="26">
        <f>SUM($F$4:F48)+SUM($H$4:H48)</f>
        <v>26860</v>
      </c>
      <c r="H48" s="26">
        <v>0</v>
      </c>
      <c r="I48" t="s">
        <v>41</v>
      </c>
      <c r="J48" t="s">
        <v>41</v>
      </c>
      <c r="K48" t="s">
        <v>41</v>
      </c>
      <c r="L48" t="s">
        <v>41</v>
      </c>
      <c r="M48" t="s">
        <v>41</v>
      </c>
      <c r="N48" t="s">
        <v>41</v>
      </c>
      <c r="O48" s="36" t="s">
        <v>41</v>
      </c>
      <c r="P48" s="36" t="s">
        <v>41</v>
      </c>
      <c r="Q48" t="s">
        <v>41</v>
      </c>
      <c r="R48" t="s">
        <v>41</v>
      </c>
      <c r="S48" t="s">
        <v>41</v>
      </c>
      <c r="T48" t="s">
        <v>41</v>
      </c>
      <c r="U48" t="s">
        <v>41</v>
      </c>
      <c r="V48" t="s">
        <v>41</v>
      </c>
      <c r="W48" s="36" t="s">
        <v>41</v>
      </c>
      <c r="X48" s="36" t="s">
        <v>41</v>
      </c>
      <c r="Y48" t="s">
        <v>41</v>
      </c>
      <c r="Z48" t="s">
        <v>41</v>
      </c>
      <c r="AA48" t="s">
        <v>41</v>
      </c>
      <c r="AB48" t="s">
        <v>41</v>
      </c>
      <c r="AC48" t="s">
        <v>41</v>
      </c>
      <c r="AD48" t="s">
        <v>41</v>
      </c>
      <c r="AE48" s="36" t="s">
        <v>41</v>
      </c>
      <c r="AF48" s="36" t="s">
        <v>41</v>
      </c>
      <c r="AG48" s="69">
        <f t="shared" si="6"/>
        <v>0</v>
      </c>
      <c r="AH48" s="74"/>
      <c r="AI48" s="74"/>
      <c r="AJ48" s="74"/>
      <c r="AK48" s="75" t="s">
        <v>60</v>
      </c>
      <c r="AL48" s="71">
        <f t="shared" si="14"/>
        <v>18</v>
      </c>
      <c r="AM48" s="72">
        <f t="shared" si="15"/>
        <v>18</v>
      </c>
      <c r="AN48" s="73">
        <f t="shared" si="16"/>
        <v>18</v>
      </c>
      <c r="AQ48" s="98" t="s">
        <v>75</v>
      </c>
      <c r="AR48" s="98"/>
      <c r="BE48" s="19"/>
    </row>
    <row r="49" spans="1:57">
      <c r="A49" s="17">
        <v>45775</v>
      </c>
      <c r="B49">
        <v>1600</v>
      </c>
      <c r="D49" s="26">
        <f>(SUM(粮草!A49:X49)+AG49*10*IF(AK49="是",$BB$4,$BB$3))</f>
        <v>0</v>
      </c>
      <c r="E49" s="28">
        <f>SUM($B$4:B49)+SUM($C$4:C49)-SUM($D$4:D49)</f>
        <v>18792</v>
      </c>
      <c r="F49" s="29">
        <f>SUM(经验!A49:X49)</f>
        <v>0</v>
      </c>
      <c r="G49" s="26">
        <f>SUM($F$4:F49)+SUM($H$4:H49)</f>
        <v>27060</v>
      </c>
      <c r="H49">
        <v>200</v>
      </c>
      <c r="I49" t="s">
        <v>41</v>
      </c>
      <c r="J49" t="s">
        <v>41</v>
      </c>
      <c r="K49" t="s">
        <v>41</v>
      </c>
      <c r="L49" t="s">
        <v>41</v>
      </c>
      <c r="M49" t="s">
        <v>41</v>
      </c>
      <c r="N49" t="s">
        <v>41</v>
      </c>
      <c r="O49" s="36" t="s">
        <v>41</v>
      </c>
      <c r="P49" s="36" t="s">
        <v>41</v>
      </c>
      <c r="Q49" t="s">
        <v>41</v>
      </c>
      <c r="R49" t="s">
        <v>41</v>
      </c>
      <c r="S49" t="s">
        <v>41</v>
      </c>
      <c r="T49" t="s">
        <v>41</v>
      </c>
      <c r="U49" t="s">
        <v>41</v>
      </c>
      <c r="V49" t="s">
        <v>41</v>
      </c>
      <c r="W49" s="36" t="s">
        <v>41</v>
      </c>
      <c r="X49" s="36" t="s">
        <v>41</v>
      </c>
      <c r="Y49" t="s">
        <v>41</v>
      </c>
      <c r="Z49" t="s">
        <v>41</v>
      </c>
      <c r="AA49" t="s">
        <v>41</v>
      </c>
      <c r="AB49" t="s">
        <v>41</v>
      </c>
      <c r="AC49" t="s">
        <v>41</v>
      </c>
      <c r="AD49" t="s">
        <v>41</v>
      </c>
      <c r="AE49" s="36" t="s">
        <v>41</v>
      </c>
      <c r="AF49" s="36" t="s">
        <v>41</v>
      </c>
      <c r="AG49" s="69">
        <f t="shared" si="6"/>
        <v>0</v>
      </c>
      <c r="AH49" s="74"/>
      <c r="AI49" s="74"/>
      <c r="AJ49" s="74"/>
      <c r="AK49" s="75" t="s">
        <v>60</v>
      </c>
      <c r="AL49" s="71">
        <f t="shared" si="14"/>
        <v>18</v>
      </c>
      <c r="AM49" s="72">
        <f t="shared" si="15"/>
        <v>18</v>
      </c>
      <c r="AN49" s="73">
        <f t="shared" si="16"/>
        <v>18</v>
      </c>
      <c r="AO49" t="s">
        <v>76</v>
      </c>
      <c r="AP49" t="s">
        <v>77</v>
      </c>
      <c r="AQ49" t="s">
        <v>38</v>
      </c>
      <c r="AR49" t="s">
        <v>44</v>
      </c>
      <c r="AS49" t="s">
        <v>78</v>
      </c>
      <c r="BE49" s="19"/>
    </row>
    <row r="50" spans="1:57">
      <c r="A50" s="17">
        <v>45776</v>
      </c>
      <c r="B50">
        <v>1600</v>
      </c>
      <c r="D50" s="26">
        <f>(SUM(粮草!A50:X50)+AG50*10*IF(AK50="是",$BB$4,$BB$3))</f>
        <v>0</v>
      </c>
      <c r="E50" s="28">
        <f>SUM($B$4:B50)+SUM($C$4:C50)-SUM($D$4:D50)</f>
        <v>20392</v>
      </c>
      <c r="F50" s="29">
        <f>SUM(经验!A50:X50)</f>
        <v>0</v>
      </c>
      <c r="G50" s="26">
        <f>SUM($F$4:F50)+SUM($H$4:H50)</f>
        <v>27160</v>
      </c>
      <c r="H50">
        <v>100</v>
      </c>
      <c r="I50" t="s">
        <v>41</v>
      </c>
      <c r="J50" t="s">
        <v>41</v>
      </c>
      <c r="K50" t="s">
        <v>41</v>
      </c>
      <c r="L50" t="s">
        <v>41</v>
      </c>
      <c r="M50" t="s">
        <v>41</v>
      </c>
      <c r="N50" t="s">
        <v>41</v>
      </c>
      <c r="O50" s="36" t="s">
        <v>41</v>
      </c>
      <c r="P50" s="36" t="s">
        <v>41</v>
      </c>
      <c r="Q50" t="s">
        <v>41</v>
      </c>
      <c r="R50" t="s">
        <v>41</v>
      </c>
      <c r="S50" t="s">
        <v>41</v>
      </c>
      <c r="T50" t="s">
        <v>41</v>
      </c>
      <c r="U50" t="s">
        <v>41</v>
      </c>
      <c r="V50" t="s">
        <v>41</v>
      </c>
      <c r="W50" s="36" t="s">
        <v>41</v>
      </c>
      <c r="X50" s="36" t="s">
        <v>41</v>
      </c>
      <c r="Y50" t="s">
        <v>41</v>
      </c>
      <c r="Z50" t="s">
        <v>41</v>
      </c>
      <c r="AA50" t="s">
        <v>41</v>
      </c>
      <c r="AB50" t="s">
        <v>41</v>
      </c>
      <c r="AC50" t="s">
        <v>41</v>
      </c>
      <c r="AD50" t="s">
        <v>41</v>
      </c>
      <c r="AE50" s="36" t="s">
        <v>41</v>
      </c>
      <c r="AF50" s="36" t="s">
        <v>41</v>
      </c>
      <c r="AG50" s="69">
        <f t="shared" si="6"/>
        <v>0</v>
      </c>
      <c r="AH50" s="74"/>
      <c r="AI50" s="74"/>
      <c r="AJ50" s="74"/>
      <c r="AK50" s="75" t="s">
        <v>60</v>
      </c>
      <c r="AL50" s="71">
        <f t="shared" si="14"/>
        <v>18</v>
      </c>
      <c r="AM50" s="72">
        <f t="shared" si="15"/>
        <v>18</v>
      </c>
      <c r="AN50" s="73">
        <f t="shared" si="16"/>
        <v>18</v>
      </c>
      <c r="AO50">
        <v>1</v>
      </c>
      <c r="AP50">
        <v>300</v>
      </c>
      <c r="AQ50">
        <f>AP50-50</f>
        <v>250</v>
      </c>
      <c r="AR50">
        <f>AP50-40</f>
        <v>260</v>
      </c>
      <c r="AS50" s="30">
        <f>COUNTIF(I4:AF13,$AO$18)</f>
        <v>4</v>
      </c>
      <c r="AV50">
        <v>9</v>
      </c>
      <c r="AW50">
        <v>260</v>
      </c>
      <c r="AX50">
        <f>AV50*AW50</f>
        <v>2340</v>
      </c>
      <c r="AY50">
        <v>10</v>
      </c>
      <c r="AZ50">
        <v>210</v>
      </c>
      <c r="BA50">
        <f>AZ50*AY50</f>
        <v>2100</v>
      </c>
      <c r="BE50" s="19"/>
    </row>
    <row r="51" spans="1:57">
      <c r="A51" s="17">
        <v>45777</v>
      </c>
      <c r="B51">
        <v>1600</v>
      </c>
      <c r="D51" s="26">
        <f>(SUM(粮草!A51:X51)+AG51*10*IF(AK51="是",$BB$4,$BB$3))</f>
        <v>0</v>
      </c>
      <c r="E51" s="28">
        <f>SUM($B$4:B51)+SUM($C$4:C51)-SUM($D$4:D51)</f>
        <v>21992</v>
      </c>
      <c r="F51" s="29">
        <f>SUM(经验!A51:X51)</f>
        <v>0</v>
      </c>
      <c r="G51" s="26">
        <f>SUM($F$4:F51)+SUM($H$4:H51)</f>
        <v>27360</v>
      </c>
      <c r="H51">
        <v>200</v>
      </c>
      <c r="I51" t="s">
        <v>41</v>
      </c>
      <c r="J51" t="s">
        <v>41</v>
      </c>
      <c r="K51" t="s">
        <v>41</v>
      </c>
      <c r="L51" t="s">
        <v>41</v>
      </c>
      <c r="M51" t="s">
        <v>41</v>
      </c>
      <c r="N51" t="s">
        <v>41</v>
      </c>
      <c r="O51" s="36" t="s">
        <v>41</v>
      </c>
      <c r="P51" s="36" t="s">
        <v>41</v>
      </c>
      <c r="Q51" t="s">
        <v>41</v>
      </c>
      <c r="R51" t="s">
        <v>41</v>
      </c>
      <c r="S51" t="s">
        <v>41</v>
      </c>
      <c r="T51" t="s">
        <v>41</v>
      </c>
      <c r="U51" t="s">
        <v>41</v>
      </c>
      <c r="V51" t="s">
        <v>41</v>
      </c>
      <c r="W51" s="36" t="s">
        <v>41</v>
      </c>
      <c r="X51" s="36" t="s">
        <v>41</v>
      </c>
      <c r="Y51" t="s">
        <v>41</v>
      </c>
      <c r="Z51" t="s">
        <v>41</v>
      </c>
      <c r="AA51" t="s">
        <v>41</v>
      </c>
      <c r="AB51" t="s">
        <v>41</v>
      </c>
      <c r="AC51" t="s">
        <v>41</v>
      </c>
      <c r="AD51" t="s">
        <v>41</v>
      </c>
      <c r="AE51" s="36" t="s">
        <v>41</v>
      </c>
      <c r="AF51" s="36" t="s">
        <v>41</v>
      </c>
      <c r="AG51" s="69">
        <f t="shared" si="6"/>
        <v>0</v>
      </c>
      <c r="AH51" s="74"/>
      <c r="AI51" s="74"/>
      <c r="AJ51" s="74"/>
      <c r="AK51" s="75" t="s">
        <v>60</v>
      </c>
      <c r="AL51" s="71">
        <f t="shared" si="14"/>
        <v>18</v>
      </c>
      <c r="AM51" s="72">
        <f t="shared" si="15"/>
        <v>18</v>
      </c>
      <c r="AN51" s="73">
        <f t="shared" si="16"/>
        <v>18</v>
      </c>
      <c r="AO51">
        <v>2</v>
      </c>
      <c r="AP51">
        <v>250</v>
      </c>
      <c r="AQ51">
        <f>AP51-50</f>
        <v>200</v>
      </c>
      <c r="AR51">
        <f>AP51-40</f>
        <v>210</v>
      </c>
      <c r="AS51" s="30">
        <f>COUNTIF(I14:AF23,$AO$18)</f>
        <v>8</v>
      </c>
      <c r="AV51">
        <v>1</v>
      </c>
      <c r="AW51">
        <v>160</v>
      </c>
      <c r="BE51" s="19"/>
    </row>
    <row r="52" spans="1:57">
      <c r="A52" s="17">
        <v>45778</v>
      </c>
      <c r="B52">
        <v>1600</v>
      </c>
      <c r="D52" s="26">
        <f>(SUM(粮草!A52:X52)+AG52*10*IF(AK52="是",$BB$4,$BB$3))</f>
        <v>0</v>
      </c>
      <c r="E52" s="28">
        <f>SUM($B$4:B52)+SUM($C$4:C52)-SUM($D$4:D52)</f>
        <v>23592</v>
      </c>
      <c r="F52" s="29">
        <f>SUM(经验!A52:X52)</f>
        <v>0</v>
      </c>
      <c r="G52" s="26">
        <f>SUM($F$4:F52)+SUM($H$4:H52)</f>
        <v>27360</v>
      </c>
      <c r="H52">
        <v>0</v>
      </c>
      <c r="I52" t="s">
        <v>41</v>
      </c>
      <c r="J52" t="s">
        <v>41</v>
      </c>
      <c r="K52" t="s">
        <v>41</v>
      </c>
      <c r="L52" t="s">
        <v>41</v>
      </c>
      <c r="M52" t="s">
        <v>41</v>
      </c>
      <c r="N52" t="s">
        <v>41</v>
      </c>
      <c r="O52" s="36" t="s">
        <v>41</v>
      </c>
      <c r="P52" s="36" t="s">
        <v>41</v>
      </c>
      <c r="Q52" t="s">
        <v>41</v>
      </c>
      <c r="R52" t="s">
        <v>41</v>
      </c>
      <c r="S52" t="s">
        <v>41</v>
      </c>
      <c r="T52" t="s">
        <v>41</v>
      </c>
      <c r="U52" t="s">
        <v>41</v>
      </c>
      <c r="V52" t="s">
        <v>41</v>
      </c>
      <c r="W52" s="36" t="s">
        <v>41</v>
      </c>
      <c r="X52" s="36" t="s">
        <v>41</v>
      </c>
      <c r="Y52" t="s">
        <v>41</v>
      </c>
      <c r="Z52" t="s">
        <v>41</v>
      </c>
      <c r="AA52" t="s">
        <v>41</v>
      </c>
      <c r="AB52" t="s">
        <v>41</v>
      </c>
      <c r="AC52" t="s">
        <v>41</v>
      </c>
      <c r="AD52" t="s">
        <v>41</v>
      </c>
      <c r="AE52" s="36" t="s">
        <v>41</v>
      </c>
      <c r="AF52" s="36" t="s">
        <v>41</v>
      </c>
      <c r="AG52" s="69">
        <f t="shared" si="6"/>
        <v>0</v>
      </c>
      <c r="AH52" s="74"/>
      <c r="AI52" s="74"/>
      <c r="AJ52" s="74"/>
      <c r="AK52" s="75" t="s">
        <v>60</v>
      </c>
      <c r="AL52" s="71">
        <f t="shared" si="14"/>
        <v>18</v>
      </c>
      <c r="AM52" s="72">
        <f t="shared" si="15"/>
        <v>18</v>
      </c>
      <c r="AN52" s="73">
        <f t="shared" si="16"/>
        <v>18</v>
      </c>
      <c r="AO52">
        <v>3</v>
      </c>
      <c r="AP52">
        <v>200</v>
      </c>
      <c r="AQ52">
        <f>AP52-50</f>
        <v>150</v>
      </c>
      <c r="AR52">
        <f>AP52-40</f>
        <v>160</v>
      </c>
      <c r="AS52" s="30">
        <f>COUNTIF(I24:AF38,$AO$18)</f>
        <v>3</v>
      </c>
      <c r="BE52" s="19"/>
    </row>
    <row r="53" spans="1:57">
      <c r="A53" s="17">
        <v>45779</v>
      </c>
      <c r="B53">
        <v>1600</v>
      </c>
      <c r="D53" s="26">
        <f>(SUM(粮草!A53:X53)+AG53*10*IF(AK53="是",$BB$4,$BB$3))</f>
        <v>0</v>
      </c>
      <c r="E53" s="28">
        <f>SUM($B$4:B53)+SUM($C$4:C53)-SUM($D$4:D53)</f>
        <v>25192</v>
      </c>
      <c r="F53" s="29">
        <f>SUM(经验!A53:X53)</f>
        <v>0</v>
      </c>
      <c r="G53" s="26">
        <f>SUM($F$4:F53)+SUM($H$4:H53)</f>
        <v>27360</v>
      </c>
      <c r="H53">
        <v>0</v>
      </c>
      <c r="I53" t="s">
        <v>41</v>
      </c>
      <c r="J53" t="s">
        <v>41</v>
      </c>
      <c r="K53" t="s">
        <v>41</v>
      </c>
      <c r="L53" t="s">
        <v>41</v>
      </c>
      <c r="M53" t="s">
        <v>41</v>
      </c>
      <c r="N53" t="s">
        <v>41</v>
      </c>
      <c r="O53" s="36" t="s">
        <v>41</v>
      </c>
      <c r="P53" s="36" t="s">
        <v>41</v>
      </c>
      <c r="Q53" t="s">
        <v>41</v>
      </c>
      <c r="R53" t="s">
        <v>41</v>
      </c>
      <c r="S53" t="s">
        <v>41</v>
      </c>
      <c r="T53" t="s">
        <v>41</v>
      </c>
      <c r="U53" t="s">
        <v>41</v>
      </c>
      <c r="V53" t="s">
        <v>41</v>
      </c>
      <c r="W53" s="36" t="s">
        <v>41</v>
      </c>
      <c r="X53" s="36" t="s">
        <v>41</v>
      </c>
      <c r="Y53" t="s">
        <v>41</v>
      </c>
      <c r="Z53" t="s">
        <v>41</v>
      </c>
      <c r="AA53" t="s">
        <v>41</v>
      </c>
      <c r="AB53" t="s">
        <v>41</v>
      </c>
      <c r="AC53" t="s">
        <v>41</v>
      </c>
      <c r="AD53" t="s">
        <v>41</v>
      </c>
      <c r="AE53" s="36" t="s">
        <v>41</v>
      </c>
      <c r="AF53" s="36" t="s">
        <v>41</v>
      </c>
      <c r="AG53" s="69">
        <f t="shared" si="6"/>
        <v>0</v>
      </c>
      <c r="AH53" s="74"/>
      <c r="AI53" s="74"/>
      <c r="AJ53" s="74"/>
      <c r="AK53" s="75" t="s">
        <v>60</v>
      </c>
      <c r="AL53" s="71">
        <f t="shared" si="14"/>
        <v>18</v>
      </c>
      <c r="AM53" s="72">
        <f t="shared" si="15"/>
        <v>18</v>
      </c>
      <c r="AN53" s="73">
        <f t="shared" si="16"/>
        <v>18</v>
      </c>
      <c r="AO53">
        <v>4</v>
      </c>
      <c r="AP53">
        <v>150</v>
      </c>
      <c r="AQ53">
        <f>AP53-50</f>
        <v>100</v>
      </c>
      <c r="AR53">
        <f>AP53-40</f>
        <v>110</v>
      </c>
      <c r="AS53" s="30">
        <f>COUNTIF(I39:AF59,$AO$18)</f>
        <v>0</v>
      </c>
      <c r="BE53" s="19"/>
    </row>
    <row r="54" spans="1:57">
      <c r="A54" s="15">
        <v>45780</v>
      </c>
      <c r="B54">
        <v>1600</v>
      </c>
      <c r="D54" s="26">
        <f>(SUM(粮草!A54:X54)+AG54*10*IF(AK54="是",$BB$4,$BB$3))</f>
        <v>0</v>
      </c>
      <c r="E54" s="28">
        <f>SUM($B$4:B54)+SUM($C$4:C54)-SUM($D$4:D54)</f>
        <v>26792</v>
      </c>
      <c r="F54" s="29">
        <f>SUM(经验!A54:X54)</f>
        <v>0</v>
      </c>
      <c r="G54" s="26">
        <f>SUM($F$4:F54)+SUM($H$4:H54)</f>
        <v>27360</v>
      </c>
      <c r="H54">
        <v>0</v>
      </c>
      <c r="I54" t="s">
        <v>41</v>
      </c>
      <c r="J54" t="s">
        <v>41</v>
      </c>
      <c r="K54" t="s">
        <v>41</v>
      </c>
      <c r="L54" t="s">
        <v>41</v>
      </c>
      <c r="M54" t="s">
        <v>41</v>
      </c>
      <c r="N54" t="s">
        <v>41</v>
      </c>
      <c r="O54" s="36" t="s">
        <v>41</v>
      </c>
      <c r="P54" s="36" t="s">
        <v>41</v>
      </c>
      <c r="Q54" t="s">
        <v>41</v>
      </c>
      <c r="R54" t="s">
        <v>41</v>
      </c>
      <c r="S54" t="s">
        <v>41</v>
      </c>
      <c r="T54" t="s">
        <v>41</v>
      </c>
      <c r="U54" t="s">
        <v>41</v>
      </c>
      <c r="V54" t="s">
        <v>41</v>
      </c>
      <c r="W54" s="36" t="s">
        <v>41</v>
      </c>
      <c r="X54" s="36" t="s">
        <v>41</v>
      </c>
      <c r="Y54" t="s">
        <v>41</v>
      </c>
      <c r="Z54" t="s">
        <v>41</v>
      </c>
      <c r="AA54" t="s">
        <v>41</v>
      </c>
      <c r="AB54" t="s">
        <v>41</v>
      </c>
      <c r="AC54" t="s">
        <v>41</v>
      </c>
      <c r="AD54" t="s">
        <v>41</v>
      </c>
      <c r="AE54" s="36" t="s">
        <v>41</v>
      </c>
      <c r="AF54" s="36" t="s">
        <v>41</v>
      </c>
      <c r="AG54" s="69">
        <f t="shared" si="6"/>
        <v>0</v>
      </c>
      <c r="AH54" s="74"/>
      <c r="AI54" s="74"/>
      <c r="AJ54" s="74"/>
      <c r="AK54" s="75" t="s">
        <v>60</v>
      </c>
      <c r="AL54" s="71">
        <f t="shared" si="14"/>
        <v>18</v>
      </c>
      <c r="AM54" s="72">
        <f t="shared" si="15"/>
        <v>18</v>
      </c>
      <c r="AN54" s="73">
        <f t="shared" si="16"/>
        <v>18</v>
      </c>
      <c r="AO54">
        <v>5</v>
      </c>
      <c r="AP54">
        <v>100</v>
      </c>
      <c r="AQ54">
        <f>AP54-50</f>
        <v>50</v>
      </c>
      <c r="AR54">
        <f>AP54-40</f>
        <v>60</v>
      </c>
      <c r="AS54" s="30">
        <f>COUNTIF(I60:AF93,$AO$18)</f>
        <v>0</v>
      </c>
      <c r="BE54" s="19"/>
    </row>
    <row r="55" spans="1:57">
      <c r="A55" s="15">
        <v>45781</v>
      </c>
      <c r="B55">
        <v>1600</v>
      </c>
      <c r="D55" s="26">
        <f>(SUM(粮草!A55:X55)+AG55*10*IF(AK55="是",$BB$4,$BB$3))</f>
        <v>0</v>
      </c>
      <c r="E55" s="28">
        <f>SUM($B$4:B55)+SUM($C$4:C55)-SUM($D$4:D55)</f>
        <v>28392</v>
      </c>
      <c r="F55" s="29">
        <f>SUM(经验!A55:X55)</f>
        <v>0</v>
      </c>
      <c r="G55" s="26">
        <f>SUM($F$4:F55)+SUM($H$4:H55)</f>
        <v>27360</v>
      </c>
      <c r="H55">
        <v>0</v>
      </c>
      <c r="I55" t="s">
        <v>41</v>
      </c>
      <c r="J55" t="s">
        <v>41</v>
      </c>
      <c r="K55" t="s">
        <v>41</v>
      </c>
      <c r="L55" t="s">
        <v>41</v>
      </c>
      <c r="M55" t="s">
        <v>41</v>
      </c>
      <c r="N55" t="s">
        <v>41</v>
      </c>
      <c r="O55" s="36" t="s">
        <v>41</v>
      </c>
      <c r="P55" s="36" t="s">
        <v>41</v>
      </c>
      <c r="Q55" t="s">
        <v>41</v>
      </c>
      <c r="R55" t="s">
        <v>41</v>
      </c>
      <c r="S55" t="s">
        <v>41</v>
      </c>
      <c r="T55" t="s">
        <v>41</v>
      </c>
      <c r="U55" t="s">
        <v>41</v>
      </c>
      <c r="V55" t="s">
        <v>41</v>
      </c>
      <c r="W55" s="36" t="s">
        <v>41</v>
      </c>
      <c r="X55" s="36" t="s">
        <v>41</v>
      </c>
      <c r="Y55" t="s">
        <v>41</v>
      </c>
      <c r="Z55" t="s">
        <v>41</v>
      </c>
      <c r="AA55" t="s">
        <v>41</v>
      </c>
      <c r="AB55" t="s">
        <v>41</v>
      </c>
      <c r="AC55" t="s">
        <v>41</v>
      </c>
      <c r="AD55" t="s">
        <v>41</v>
      </c>
      <c r="AE55" s="36" t="s">
        <v>41</v>
      </c>
      <c r="AF55" s="36" t="s">
        <v>41</v>
      </c>
      <c r="AG55" s="69">
        <f t="shared" si="6"/>
        <v>0</v>
      </c>
      <c r="AH55" s="74"/>
      <c r="AI55" s="74"/>
      <c r="AJ55" s="74"/>
      <c r="AK55" s="75" t="s">
        <v>60</v>
      </c>
      <c r="AL55" s="71">
        <f t="shared" si="14"/>
        <v>18</v>
      </c>
      <c r="AM55" s="72">
        <f t="shared" si="15"/>
        <v>18</v>
      </c>
      <c r="AN55" s="73">
        <f t="shared" si="16"/>
        <v>18</v>
      </c>
      <c r="BE55" s="19"/>
    </row>
    <row r="56" spans="1:57">
      <c r="A56" s="15">
        <v>45782</v>
      </c>
      <c r="B56" s="26">
        <v>1600</v>
      </c>
      <c r="C56" s="27"/>
      <c r="D56" s="26">
        <f>(SUM(粮草!A56:X56)+AG56*10*IF(AK56="是",$BB$4,$BB$3))</f>
        <v>0</v>
      </c>
      <c r="E56" s="28">
        <f>SUM($B$4:B56)+SUM($C$4:C56)-SUM($D$4:D56)</f>
        <v>29992</v>
      </c>
      <c r="F56" s="29">
        <f>SUM(经验!A56:X56)</f>
        <v>0</v>
      </c>
      <c r="G56" s="26">
        <f>SUM($F$4:F56)+SUM($H$4:H56)</f>
        <v>27660</v>
      </c>
      <c r="H56" s="26">
        <v>300</v>
      </c>
      <c r="I56" t="s">
        <v>41</v>
      </c>
      <c r="J56" t="s">
        <v>41</v>
      </c>
      <c r="K56" t="s">
        <v>41</v>
      </c>
      <c r="L56" t="s">
        <v>41</v>
      </c>
      <c r="M56" t="s">
        <v>41</v>
      </c>
      <c r="N56" t="s">
        <v>41</v>
      </c>
      <c r="O56" s="36" t="s">
        <v>41</v>
      </c>
      <c r="P56" s="36" t="s">
        <v>41</v>
      </c>
      <c r="Q56" t="s">
        <v>41</v>
      </c>
      <c r="R56" t="s">
        <v>41</v>
      </c>
      <c r="S56" t="s">
        <v>41</v>
      </c>
      <c r="T56" t="s">
        <v>41</v>
      </c>
      <c r="U56" t="s">
        <v>41</v>
      </c>
      <c r="V56" t="s">
        <v>41</v>
      </c>
      <c r="W56" s="36" t="s">
        <v>41</v>
      </c>
      <c r="X56" s="36" t="s">
        <v>41</v>
      </c>
      <c r="Y56" t="s">
        <v>41</v>
      </c>
      <c r="Z56" t="s">
        <v>41</v>
      </c>
      <c r="AA56" t="s">
        <v>41</v>
      </c>
      <c r="AB56" t="s">
        <v>41</v>
      </c>
      <c r="AC56" t="s">
        <v>41</v>
      </c>
      <c r="AD56" t="s">
        <v>41</v>
      </c>
      <c r="AE56" s="36" t="s">
        <v>41</v>
      </c>
      <c r="AF56" s="36" t="s">
        <v>41</v>
      </c>
      <c r="AG56" s="69">
        <f t="shared" si="6"/>
        <v>0</v>
      </c>
      <c r="AH56" s="74"/>
      <c r="AI56" s="74"/>
      <c r="AJ56" s="74"/>
      <c r="AK56" s="75" t="s">
        <v>60</v>
      </c>
      <c r="AL56" s="71">
        <f t="shared" si="14"/>
        <v>18</v>
      </c>
      <c r="AM56" s="72">
        <f t="shared" si="15"/>
        <v>18</v>
      </c>
      <c r="AN56" s="73">
        <f t="shared" si="16"/>
        <v>18</v>
      </c>
      <c r="BE56" s="19"/>
    </row>
    <row r="57" spans="1:57">
      <c r="A57" s="15">
        <v>45783</v>
      </c>
      <c r="B57" s="26">
        <v>1600</v>
      </c>
      <c r="C57" s="27"/>
      <c r="D57" s="26">
        <f>(SUM(粮草!A57:X57)+AG57*10*IF(AK57="是",$BB$4,$BB$3))</f>
        <v>0</v>
      </c>
      <c r="E57" s="28">
        <f>SUM($B$4:B57)+SUM($C$4:C57)-SUM($D$4:D57)</f>
        <v>31592</v>
      </c>
      <c r="F57" s="29">
        <f>SUM(经验!A57:X57)</f>
        <v>0</v>
      </c>
      <c r="G57" s="26">
        <f>SUM($F$4:F57)+SUM($H$4:H57)</f>
        <v>27660</v>
      </c>
      <c r="H57" s="26">
        <v>0</v>
      </c>
      <c r="I57" t="s">
        <v>41</v>
      </c>
      <c r="J57" t="s">
        <v>41</v>
      </c>
      <c r="K57" t="s">
        <v>41</v>
      </c>
      <c r="L57" t="s">
        <v>41</v>
      </c>
      <c r="M57" t="s">
        <v>41</v>
      </c>
      <c r="N57" t="s">
        <v>41</v>
      </c>
      <c r="O57" s="36" t="s">
        <v>41</v>
      </c>
      <c r="P57" s="36" t="s">
        <v>41</v>
      </c>
      <c r="Q57" t="s">
        <v>41</v>
      </c>
      <c r="R57" t="s">
        <v>41</v>
      </c>
      <c r="S57" t="s">
        <v>41</v>
      </c>
      <c r="T57" t="s">
        <v>41</v>
      </c>
      <c r="U57" t="s">
        <v>41</v>
      </c>
      <c r="V57" t="s">
        <v>41</v>
      </c>
      <c r="W57" s="36" t="s">
        <v>41</v>
      </c>
      <c r="X57" s="36" t="s">
        <v>41</v>
      </c>
      <c r="Y57" t="s">
        <v>41</v>
      </c>
      <c r="Z57" t="s">
        <v>41</v>
      </c>
      <c r="AA57" t="s">
        <v>41</v>
      </c>
      <c r="AB57" t="s">
        <v>41</v>
      </c>
      <c r="AC57" t="s">
        <v>41</v>
      </c>
      <c r="AD57" t="s">
        <v>41</v>
      </c>
      <c r="AE57" s="36" t="s">
        <v>41</v>
      </c>
      <c r="AF57" s="36" t="s">
        <v>41</v>
      </c>
      <c r="AG57" s="69">
        <f t="shared" si="6"/>
        <v>0</v>
      </c>
      <c r="AH57" s="74"/>
      <c r="AI57" s="74"/>
      <c r="AJ57" s="74"/>
      <c r="AK57" s="75" t="s">
        <v>60</v>
      </c>
      <c r="AL57" s="71">
        <f t="shared" si="14"/>
        <v>18</v>
      </c>
      <c r="AM57" s="72">
        <f t="shared" si="15"/>
        <v>18</v>
      </c>
      <c r="AN57" s="73">
        <f t="shared" si="16"/>
        <v>18</v>
      </c>
      <c r="BE57" s="19"/>
    </row>
    <row r="58" spans="1:57">
      <c r="A58" s="15">
        <v>45784</v>
      </c>
      <c r="B58" s="26">
        <v>1600</v>
      </c>
      <c r="C58" s="27"/>
      <c r="D58" s="26">
        <f>(SUM(粮草!A58:X58)+AG58*10*IF(AK58="是",$BB$4,$BB$3))</f>
        <v>0</v>
      </c>
      <c r="E58" s="28">
        <f>SUM($B$4:B58)+SUM($C$4:C58)-SUM($D$4:D58)</f>
        <v>33192</v>
      </c>
      <c r="F58" s="29">
        <f>SUM(经验!A58:X58)</f>
        <v>0</v>
      </c>
      <c r="G58" s="26">
        <f>SUM($F$4:F58)+SUM($H$4:H58)</f>
        <v>27860</v>
      </c>
      <c r="H58" s="26">
        <v>200</v>
      </c>
      <c r="I58" t="s">
        <v>41</v>
      </c>
      <c r="J58" t="s">
        <v>41</v>
      </c>
      <c r="K58" t="s">
        <v>41</v>
      </c>
      <c r="L58" t="s">
        <v>41</v>
      </c>
      <c r="M58" t="s">
        <v>41</v>
      </c>
      <c r="N58" t="s">
        <v>41</v>
      </c>
      <c r="O58" s="36" t="s">
        <v>41</v>
      </c>
      <c r="P58" s="36" t="s">
        <v>41</v>
      </c>
      <c r="Q58" t="s">
        <v>41</v>
      </c>
      <c r="R58" t="s">
        <v>41</v>
      </c>
      <c r="S58" t="s">
        <v>41</v>
      </c>
      <c r="T58" t="s">
        <v>41</v>
      </c>
      <c r="U58" t="s">
        <v>41</v>
      </c>
      <c r="V58" t="s">
        <v>41</v>
      </c>
      <c r="W58" s="36" t="s">
        <v>41</v>
      </c>
      <c r="X58" s="36" t="s">
        <v>41</v>
      </c>
      <c r="Y58" t="s">
        <v>41</v>
      </c>
      <c r="Z58" t="s">
        <v>41</v>
      </c>
      <c r="AA58" t="s">
        <v>41</v>
      </c>
      <c r="AB58" t="s">
        <v>41</v>
      </c>
      <c r="AC58" t="s">
        <v>41</v>
      </c>
      <c r="AD58" t="s">
        <v>41</v>
      </c>
      <c r="AE58" s="36" t="s">
        <v>41</v>
      </c>
      <c r="AF58" s="36" t="s">
        <v>41</v>
      </c>
      <c r="AG58" s="69">
        <f t="shared" si="6"/>
        <v>0</v>
      </c>
      <c r="AH58" s="74"/>
      <c r="AI58" s="74"/>
      <c r="AJ58" s="74"/>
      <c r="AK58" s="75" t="s">
        <v>60</v>
      </c>
      <c r="AL58" s="71">
        <f t="shared" si="14"/>
        <v>18</v>
      </c>
      <c r="AM58" s="72">
        <f t="shared" si="15"/>
        <v>18</v>
      </c>
      <c r="AN58" s="73">
        <f t="shared" si="16"/>
        <v>18</v>
      </c>
      <c r="BE58" s="19"/>
    </row>
    <row r="59" spans="1:57">
      <c r="A59" s="15">
        <v>45785</v>
      </c>
      <c r="B59" s="26">
        <v>1600</v>
      </c>
      <c r="C59" s="27"/>
      <c r="D59" s="26">
        <f>(SUM(粮草!A59:X59)+AG59*10*IF(AK59="是",$BB$4,$BB$3))</f>
        <v>0</v>
      </c>
      <c r="E59" s="28">
        <f>SUM($B$4:B59)+SUM($C$4:C59)-SUM($D$4:D59)</f>
        <v>34792</v>
      </c>
      <c r="F59" s="29">
        <f>SUM(经验!A59:X59)</f>
        <v>0</v>
      </c>
      <c r="G59" s="26">
        <f>SUM($F$4:F59)+SUM($H$4:H59)</f>
        <v>27860</v>
      </c>
      <c r="H59" s="26">
        <v>0</v>
      </c>
      <c r="I59" t="s">
        <v>41</v>
      </c>
      <c r="J59" t="s">
        <v>41</v>
      </c>
      <c r="K59" t="s">
        <v>41</v>
      </c>
      <c r="L59" t="s">
        <v>41</v>
      </c>
      <c r="M59" t="s">
        <v>41</v>
      </c>
      <c r="N59" t="s">
        <v>41</v>
      </c>
      <c r="O59" s="36" t="s">
        <v>41</v>
      </c>
      <c r="P59" s="36" t="s">
        <v>41</v>
      </c>
      <c r="Q59" t="s">
        <v>41</v>
      </c>
      <c r="R59" t="s">
        <v>41</v>
      </c>
      <c r="S59" t="s">
        <v>41</v>
      </c>
      <c r="T59" t="s">
        <v>41</v>
      </c>
      <c r="U59" t="s">
        <v>41</v>
      </c>
      <c r="V59" t="s">
        <v>41</v>
      </c>
      <c r="W59" s="36" t="s">
        <v>41</v>
      </c>
      <c r="X59" s="36" t="s">
        <v>41</v>
      </c>
      <c r="Y59" t="s">
        <v>41</v>
      </c>
      <c r="Z59" t="s">
        <v>41</v>
      </c>
      <c r="AA59" t="s">
        <v>41</v>
      </c>
      <c r="AB59" t="s">
        <v>41</v>
      </c>
      <c r="AC59" t="s">
        <v>41</v>
      </c>
      <c r="AD59" t="s">
        <v>41</v>
      </c>
      <c r="AE59" s="36" t="s">
        <v>41</v>
      </c>
      <c r="AF59" s="36" t="s">
        <v>41</v>
      </c>
      <c r="AG59" s="69">
        <f t="shared" si="6"/>
        <v>0</v>
      </c>
      <c r="AH59" s="74"/>
      <c r="AI59" s="74"/>
      <c r="AJ59" s="74"/>
      <c r="AK59" s="75" t="s">
        <v>60</v>
      </c>
      <c r="AL59" s="71">
        <f t="shared" si="14"/>
        <v>18</v>
      </c>
      <c r="AM59" s="72">
        <f t="shared" si="15"/>
        <v>18</v>
      </c>
      <c r="AN59" s="73">
        <f t="shared" si="16"/>
        <v>18</v>
      </c>
      <c r="BE59" s="19"/>
    </row>
    <row r="60" spans="1:57">
      <c r="A60" s="15">
        <v>45786</v>
      </c>
      <c r="B60" s="26">
        <v>1600</v>
      </c>
      <c r="C60" s="27"/>
      <c r="D60" s="26">
        <f>(SUM(粮草!A60:X60)+AG60*10*IF(AK60="是",$BB$4,$BB$3))</f>
        <v>0</v>
      </c>
      <c r="E60" s="28">
        <f>SUM($B$4:B60)+SUM($C$4:C60)-SUM($D$4:D60)</f>
        <v>36392</v>
      </c>
      <c r="F60" s="29">
        <f>SUM(经验!A60:X60)</f>
        <v>0</v>
      </c>
      <c r="G60" s="26">
        <f>SUM($F$4:F60)+SUM($H$4:H60)</f>
        <v>27860</v>
      </c>
      <c r="H60" s="26">
        <v>0</v>
      </c>
      <c r="I60" t="s">
        <v>41</v>
      </c>
      <c r="J60" t="s">
        <v>41</v>
      </c>
      <c r="K60" t="s">
        <v>41</v>
      </c>
      <c r="L60" t="s">
        <v>41</v>
      </c>
      <c r="M60" t="s">
        <v>41</v>
      </c>
      <c r="N60" t="s">
        <v>41</v>
      </c>
      <c r="O60" s="36" t="s">
        <v>41</v>
      </c>
      <c r="P60" s="36" t="s">
        <v>41</v>
      </c>
      <c r="Q60" t="s">
        <v>41</v>
      </c>
      <c r="R60" t="s">
        <v>41</v>
      </c>
      <c r="S60" t="s">
        <v>41</v>
      </c>
      <c r="T60" t="s">
        <v>41</v>
      </c>
      <c r="U60" t="s">
        <v>41</v>
      </c>
      <c r="V60" t="s">
        <v>41</v>
      </c>
      <c r="W60" s="36" t="s">
        <v>41</v>
      </c>
      <c r="X60" s="36" t="s">
        <v>41</v>
      </c>
      <c r="Y60" t="s">
        <v>41</v>
      </c>
      <c r="Z60" t="s">
        <v>41</v>
      </c>
      <c r="AA60" t="s">
        <v>41</v>
      </c>
      <c r="AB60" t="s">
        <v>41</v>
      </c>
      <c r="AC60" t="s">
        <v>41</v>
      </c>
      <c r="AD60" t="s">
        <v>41</v>
      </c>
      <c r="AE60" s="36" t="s">
        <v>41</v>
      </c>
      <c r="AF60" s="36" t="s">
        <v>41</v>
      </c>
      <c r="AG60" s="69">
        <f t="shared" si="6"/>
        <v>0</v>
      </c>
      <c r="AH60" s="74"/>
      <c r="AI60" s="74"/>
      <c r="AJ60" s="74"/>
      <c r="AK60" s="75" t="s">
        <v>60</v>
      </c>
      <c r="AL60" s="71">
        <f t="shared" si="14"/>
        <v>18</v>
      </c>
      <c r="AM60" s="72">
        <f t="shared" si="15"/>
        <v>18</v>
      </c>
      <c r="AN60" s="73">
        <f t="shared" si="16"/>
        <v>18</v>
      </c>
      <c r="BE60" s="19"/>
    </row>
    <row r="61" spans="1:57">
      <c r="A61" s="15">
        <v>45787</v>
      </c>
      <c r="B61" s="26">
        <v>1600</v>
      </c>
      <c r="C61" s="27"/>
      <c r="D61" s="26">
        <f>(SUM(粮草!A61:X61)+AG61*10*IF(AK61="是",$BB$4,$BB$3))</f>
        <v>0</v>
      </c>
      <c r="E61" s="28">
        <f>SUM($B$4:B61)+SUM($C$4:C61)-SUM($D$4:D61)</f>
        <v>37992</v>
      </c>
      <c r="F61" s="29">
        <f>SUM(经验!A61:X61)</f>
        <v>0</v>
      </c>
      <c r="G61" s="26">
        <f>SUM($F$4:F61)+SUM($H$4:H61)</f>
        <v>27860</v>
      </c>
      <c r="H61" s="26">
        <v>0</v>
      </c>
      <c r="I61" t="s">
        <v>41</v>
      </c>
      <c r="J61" t="s">
        <v>41</v>
      </c>
      <c r="K61" t="s">
        <v>41</v>
      </c>
      <c r="L61" t="s">
        <v>41</v>
      </c>
      <c r="M61" t="s">
        <v>41</v>
      </c>
      <c r="N61" t="s">
        <v>41</v>
      </c>
      <c r="O61" s="36" t="s">
        <v>41</v>
      </c>
      <c r="P61" s="36" t="s">
        <v>41</v>
      </c>
      <c r="Q61" t="s">
        <v>41</v>
      </c>
      <c r="R61" t="s">
        <v>41</v>
      </c>
      <c r="S61" t="s">
        <v>41</v>
      </c>
      <c r="T61" t="s">
        <v>41</v>
      </c>
      <c r="U61" t="s">
        <v>41</v>
      </c>
      <c r="V61" t="s">
        <v>41</v>
      </c>
      <c r="W61" s="36" t="s">
        <v>41</v>
      </c>
      <c r="X61" s="36" t="s">
        <v>41</v>
      </c>
      <c r="Y61" t="s">
        <v>41</v>
      </c>
      <c r="Z61" t="s">
        <v>41</v>
      </c>
      <c r="AA61" t="s">
        <v>41</v>
      </c>
      <c r="AB61" t="s">
        <v>41</v>
      </c>
      <c r="AC61" t="s">
        <v>41</v>
      </c>
      <c r="AD61" t="s">
        <v>41</v>
      </c>
      <c r="AE61" s="36" t="s">
        <v>41</v>
      </c>
      <c r="AF61" s="36" t="s">
        <v>41</v>
      </c>
      <c r="AG61" s="69">
        <f t="shared" si="6"/>
        <v>0</v>
      </c>
      <c r="AH61" s="74"/>
      <c r="AI61" s="74"/>
      <c r="AJ61" s="74"/>
      <c r="AK61" s="75" t="s">
        <v>60</v>
      </c>
      <c r="AL61" s="71">
        <f t="shared" si="14"/>
        <v>18</v>
      </c>
      <c r="AM61" s="72">
        <f t="shared" si="15"/>
        <v>18</v>
      </c>
      <c r="AN61" s="73">
        <f t="shared" si="16"/>
        <v>18</v>
      </c>
      <c r="BE61" s="19"/>
    </row>
    <row r="62" spans="1:57">
      <c r="A62" s="15">
        <v>45788</v>
      </c>
      <c r="B62" s="26">
        <v>1600</v>
      </c>
      <c r="C62" s="27"/>
      <c r="D62" s="26">
        <f>(SUM(粮草!A62:X62)+AG62*10*IF(AK62="是",$BB$4,$BB$3))</f>
        <v>0</v>
      </c>
      <c r="E62" s="28">
        <f>SUM($B$4:B62)+SUM($C$4:C62)-SUM($D$4:D62)</f>
        <v>39592</v>
      </c>
      <c r="F62" s="29">
        <f>SUM(经验!A62:X62)</f>
        <v>0</v>
      </c>
      <c r="G62" s="26">
        <f>SUM($F$4:F62)+SUM($H$4:H62)</f>
        <v>27860</v>
      </c>
      <c r="H62" s="26">
        <v>0</v>
      </c>
      <c r="I62" t="s">
        <v>41</v>
      </c>
      <c r="J62" t="s">
        <v>41</v>
      </c>
      <c r="K62" t="s">
        <v>41</v>
      </c>
      <c r="L62" t="s">
        <v>41</v>
      </c>
      <c r="M62" t="s">
        <v>41</v>
      </c>
      <c r="N62" t="s">
        <v>41</v>
      </c>
      <c r="O62" s="36" t="s">
        <v>41</v>
      </c>
      <c r="P62" s="36" t="s">
        <v>41</v>
      </c>
      <c r="Q62" t="s">
        <v>41</v>
      </c>
      <c r="R62" t="s">
        <v>41</v>
      </c>
      <c r="S62" t="s">
        <v>41</v>
      </c>
      <c r="T62" t="s">
        <v>41</v>
      </c>
      <c r="U62" t="s">
        <v>41</v>
      </c>
      <c r="V62" t="s">
        <v>41</v>
      </c>
      <c r="W62" s="36" t="s">
        <v>41</v>
      </c>
      <c r="X62" s="36" t="s">
        <v>41</v>
      </c>
      <c r="Y62" t="s">
        <v>41</v>
      </c>
      <c r="Z62" t="s">
        <v>41</v>
      </c>
      <c r="AA62" t="s">
        <v>41</v>
      </c>
      <c r="AB62" t="s">
        <v>41</v>
      </c>
      <c r="AC62" t="s">
        <v>41</v>
      </c>
      <c r="AD62" t="s">
        <v>41</v>
      </c>
      <c r="AE62" s="36" t="s">
        <v>41</v>
      </c>
      <c r="AF62" s="36" t="s">
        <v>41</v>
      </c>
      <c r="AG62" s="69">
        <f t="shared" si="6"/>
        <v>0</v>
      </c>
      <c r="AH62" s="74"/>
      <c r="AI62" s="74"/>
      <c r="AJ62" s="74"/>
      <c r="AK62" s="75" t="s">
        <v>60</v>
      </c>
      <c r="AL62" s="71">
        <f t="shared" si="14"/>
        <v>18</v>
      </c>
      <c r="AM62" s="72">
        <f t="shared" si="15"/>
        <v>18</v>
      </c>
      <c r="AN62" s="73">
        <f t="shared" si="16"/>
        <v>18</v>
      </c>
      <c r="BE62" s="19"/>
    </row>
    <row r="63" spans="1:57">
      <c r="A63" s="15">
        <v>45789</v>
      </c>
      <c r="B63">
        <v>1600</v>
      </c>
      <c r="D63" s="26">
        <f>(SUM(粮草!A63:X63)+AG63*10*IF(AK63="是",$BB$4,$BB$3))</f>
        <v>0</v>
      </c>
      <c r="E63" s="28">
        <f>SUM($B$4:B63)+SUM($C$4:C63)-SUM($D$4:D63)</f>
        <v>41192</v>
      </c>
      <c r="F63" s="29">
        <f>SUM(经验!A63:X63)</f>
        <v>0</v>
      </c>
      <c r="G63" s="26">
        <f>SUM($F$4:F63)+SUM($H$4:H63)</f>
        <v>28160</v>
      </c>
      <c r="H63">
        <v>300</v>
      </c>
      <c r="I63" t="s">
        <v>41</v>
      </c>
      <c r="J63" t="s">
        <v>41</v>
      </c>
      <c r="K63" t="s">
        <v>41</v>
      </c>
      <c r="L63" t="s">
        <v>41</v>
      </c>
      <c r="M63" t="s">
        <v>41</v>
      </c>
      <c r="N63" t="s">
        <v>41</v>
      </c>
      <c r="O63" s="36" t="s">
        <v>41</v>
      </c>
      <c r="P63" s="36" t="s">
        <v>41</v>
      </c>
      <c r="Q63" t="s">
        <v>41</v>
      </c>
      <c r="R63" t="s">
        <v>41</v>
      </c>
      <c r="S63" t="s">
        <v>41</v>
      </c>
      <c r="T63" t="s">
        <v>41</v>
      </c>
      <c r="U63" t="s">
        <v>41</v>
      </c>
      <c r="V63" t="s">
        <v>41</v>
      </c>
      <c r="W63" s="36" t="s">
        <v>41</v>
      </c>
      <c r="X63" s="36" t="s">
        <v>41</v>
      </c>
      <c r="Y63" t="s">
        <v>41</v>
      </c>
      <c r="Z63" t="s">
        <v>41</v>
      </c>
      <c r="AA63" t="s">
        <v>41</v>
      </c>
      <c r="AB63" t="s">
        <v>41</v>
      </c>
      <c r="AC63" t="s">
        <v>41</v>
      </c>
      <c r="AD63" t="s">
        <v>41</v>
      </c>
      <c r="AE63" s="36" t="s">
        <v>41</v>
      </c>
      <c r="AF63" s="36" t="s">
        <v>41</v>
      </c>
      <c r="AG63" s="69">
        <f t="shared" si="6"/>
        <v>0</v>
      </c>
      <c r="AH63" s="74"/>
      <c r="AI63" s="74"/>
      <c r="AJ63" s="74"/>
      <c r="AK63" s="75" t="s">
        <v>60</v>
      </c>
      <c r="AL63" s="71">
        <f t="shared" si="14"/>
        <v>18</v>
      </c>
      <c r="AM63" s="72">
        <f t="shared" si="15"/>
        <v>18</v>
      </c>
      <c r="AN63" s="73">
        <f t="shared" si="16"/>
        <v>18</v>
      </c>
      <c r="BE63" s="19"/>
    </row>
    <row r="64" spans="1:57">
      <c r="A64" s="15">
        <v>45790</v>
      </c>
      <c r="B64">
        <v>1600</v>
      </c>
      <c r="D64" s="26">
        <f>(SUM(粮草!A64:X64)+AG64*10*IF(AK64="是",$BB$4,$BB$3))</f>
        <v>0</v>
      </c>
      <c r="E64" s="28">
        <f>SUM($B$4:B64)+SUM($C$4:C64)-SUM($D$4:D64)</f>
        <v>42792</v>
      </c>
      <c r="F64" s="29">
        <f>SUM(经验!A64:X64)</f>
        <v>0</v>
      </c>
      <c r="G64" s="26">
        <f>SUM($F$4:F64)+SUM($H$4:H64)</f>
        <v>28160</v>
      </c>
      <c r="H64">
        <v>0</v>
      </c>
      <c r="I64" t="s">
        <v>41</v>
      </c>
      <c r="J64" t="s">
        <v>41</v>
      </c>
      <c r="K64" t="s">
        <v>41</v>
      </c>
      <c r="L64" t="s">
        <v>41</v>
      </c>
      <c r="M64" t="s">
        <v>41</v>
      </c>
      <c r="N64" t="s">
        <v>41</v>
      </c>
      <c r="O64" s="36" t="s">
        <v>41</v>
      </c>
      <c r="P64" s="36" t="s">
        <v>41</v>
      </c>
      <c r="Q64" t="s">
        <v>41</v>
      </c>
      <c r="R64" t="s">
        <v>41</v>
      </c>
      <c r="S64" t="s">
        <v>41</v>
      </c>
      <c r="T64" t="s">
        <v>41</v>
      </c>
      <c r="U64" t="s">
        <v>41</v>
      </c>
      <c r="V64" t="s">
        <v>41</v>
      </c>
      <c r="W64" s="36" t="s">
        <v>41</v>
      </c>
      <c r="X64" s="36" t="s">
        <v>41</v>
      </c>
      <c r="Y64" t="s">
        <v>41</v>
      </c>
      <c r="Z64" t="s">
        <v>41</v>
      </c>
      <c r="AA64" t="s">
        <v>41</v>
      </c>
      <c r="AB64" t="s">
        <v>41</v>
      </c>
      <c r="AC64" t="s">
        <v>41</v>
      </c>
      <c r="AD64" t="s">
        <v>41</v>
      </c>
      <c r="AE64" s="36" t="s">
        <v>41</v>
      </c>
      <c r="AF64" s="36" t="s">
        <v>41</v>
      </c>
      <c r="AG64" s="69">
        <f t="shared" si="6"/>
        <v>0</v>
      </c>
      <c r="AH64" s="74"/>
      <c r="AI64" s="74"/>
      <c r="AJ64" s="74"/>
      <c r="AK64" s="75" t="s">
        <v>60</v>
      </c>
      <c r="AL64" s="71">
        <f t="shared" si="14"/>
        <v>18</v>
      </c>
      <c r="AM64" s="72">
        <f t="shared" si="15"/>
        <v>18</v>
      </c>
      <c r="AN64" s="73">
        <f t="shared" si="16"/>
        <v>18</v>
      </c>
      <c r="BE64" s="19"/>
    </row>
    <row r="65" spans="1:57">
      <c r="A65" s="15">
        <v>45791</v>
      </c>
      <c r="B65">
        <v>1600</v>
      </c>
      <c r="D65" s="26">
        <f>(SUM(粮草!A65:X65)+AG65*10*IF(AK65="是",$BB$4,$BB$3))</f>
        <v>0</v>
      </c>
      <c r="E65" s="28">
        <f>SUM($B$4:B65)+SUM($C$4:C65)-SUM($D$4:D65)</f>
        <v>44392</v>
      </c>
      <c r="F65" s="29">
        <f>SUM(经验!A65:X65)</f>
        <v>0</v>
      </c>
      <c r="G65" s="26">
        <f>SUM($F$4:F65)+SUM($H$4:H65)</f>
        <v>28360</v>
      </c>
      <c r="H65">
        <v>200</v>
      </c>
      <c r="I65" t="s">
        <v>41</v>
      </c>
      <c r="J65" t="s">
        <v>41</v>
      </c>
      <c r="K65" t="s">
        <v>41</v>
      </c>
      <c r="L65" t="s">
        <v>41</v>
      </c>
      <c r="M65" t="s">
        <v>41</v>
      </c>
      <c r="N65" t="s">
        <v>41</v>
      </c>
      <c r="O65" s="36" t="s">
        <v>41</v>
      </c>
      <c r="P65" s="36" t="s">
        <v>41</v>
      </c>
      <c r="Q65" t="s">
        <v>41</v>
      </c>
      <c r="R65" t="s">
        <v>41</v>
      </c>
      <c r="S65" t="s">
        <v>41</v>
      </c>
      <c r="T65" t="s">
        <v>41</v>
      </c>
      <c r="U65" t="s">
        <v>41</v>
      </c>
      <c r="V65" t="s">
        <v>41</v>
      </c>
      <c r="W65" s="36" t="s">
        <v>41</v>
      </c>
      <c r="X65" s="36" t="s">
        <v>41</v>
      </c>
      <c r="Y65" t="s">
        <v>41</v>
      </c>
      <c r="Z65" t="s">
        <v>41</v>
      </c>
      <c r="AA65" t="s">
        <v>41</v>
      </c>
      <c r="AB65" t="s">
        <v>41</v>
      </c>
      <c r="AC65" t="s">
        <v>41</v>
      </c>
      <c r="AD65" t="s">
        <v>41</v>
      </c>
      <c r="AE65" s="36" t="s">
        <v>41</v>
      </c>
      <c r="AF65" s="36" t="s">
        <v>41</v>
      </c>
      <c r="AG65" s="69">
        <f t="shared" si="6"/>
        <v>0</v>
      </c>
      <c r="AH65" s="74"/>
      <c r="AI65" s="74"/>
      <c r="AJ65" s="74"/>
      <c r="AK65" s="75" t="s">
        <v>60</v>
      </c>
      <c r="AL65" s="71">
        <f t="shared" si="14"/>
        <v>18</v>
      </c>
      <c r="AM65" s="72">
        <f t="shared" si="15"/>
        <v>18</v>
      </c>
      <c r="AN65" s="73">
        <f t="shared" si="16"/>
        <v>18</v>
      </c>
      <c r="BE65" s="19"/>
    </row>
    <row r="66" spans="1:57">
      <c r="A66" s="15">
        <v>45792</v>
      </c>
      <c r="B66">
        <v>1600</v>
      </c>
      <c r="D66" s="26">
        <f>(SUM(粮草!A66:X66)+AG66*10*IF(AK66="是",$BB$4,$BB$3))</f>
        <v>0</v>
      </c>
      <c r="E66" s="28">
        <f>SUM($B$4:B66)+SUM($C$4:C66)-SUM($D$4:D66)</f>
        <v>45992</v>
      </c>
      <c r="F66" s="29">
        <f>SUM(经验!A66:X66)</f>
        <v>0</v>
      </c>
      <c r="G66" s="26">
        <f>SUM($F$4:F66)+SUM($H$4:H66)</f>
        <v>28360</v>
      </c>
      <c r="H66">
        <v>0</v>
      </c>
      <c r="I66" t="s">
        <v>41</v>
      </c>
      <c r="J66" t="s">
        <v>41</v>
      </c>
      <c r="K66" t="s">
        <v>41</v>
      </c>
      <c r="L66" t="s">
        <v>41</v>
      </c>
      <c r="M66" t="s">
        <v>41</v>
      </c>
      <c r="N66" t="s">
        <v>41</v>
      </c>
      <c r="O66" s="36" t="s">
        <v>41</v>
      </c>
      <c r="P66" s="36" t="s">
        <v>41</v>
      </c>
      <c r="Q66" t="s">
        <v>41</v>
      </c>
      <c r="R66" t="s">
        <v>41</v>
      </c>
      <c r="S66" t="s">
        <v>41</v>
      </c>
      <c r="T66" t="s">
        <v>41</v>
      </c>
      <c r="U66" t="s">
        <v>41</v>
      </c>
      <c r="V66" t="s">
        <v>41</v>
      </c>
      <c r="W66" s="36" t="s">
        <v>41</v>
      </c>
      <c r="X66" s="36" t="s">
        <v>41</v>
      </c>
      <c r="Y66" t="s">
        <v>41</v>
      </c>
      <c r="Z66" t="s">
        <v>41</v>
      </c>
      <c r="AA66" t="s">
        <v>41</v>
      </c>
      <c r="AB66" t="s">
        <v>41</v>
      </c>
      <c r="AC66" t="s">
        <v>41</v>
      </c>
      <c r="AD66" t="s">
        <v>41</v>
      </c>
      <c r="AE66" s="36" t="s">
        <v>41</v>
      </c>
      <c r="AF66" s="36" t="s">
        <v>41</v>
      </c>
      <c r="AG66" s="69">
        <f t="shared" si="6"/>
        <v>0</v>
      </c>
      <c r="AH66" s="74"/>
      <c r="AI66" s="74"/>
      <c r="AJ66" s="74"/>
      <c r="AK66" s="75" t="s">
        <v>60</v>
      </c>
      <c r="AL66" s="71">
        <f t="shared" si="14"/>
        <v>18</v>
      </c>
      <c r="AM66" s="72">
        <f t="shared" si="15"/>
        <v>18</v>
      </c>
      <c r="AN66" s="73">
        <f t="shared" si="16"/>
        <v>18</v>
      </c>
      <c r="BE66" s="19"/>
    </row>
    <row r="67" spans="1:57">
      <c r="A67" s="15">
        <v>45793</v>
      </c>
      <c r="B67">
        <v>1600</v>
      </c>
      <c r="D67" s="26">
        <f>(SUM(粮草!A67:X67)+AG67*10*IF(AK67="是",$BB$4,$BB$3))</f>
        <v>0</v>
      </c>
      <c r="E67" s="28">
        <f>SUM($B$4:B67)+SUM($C$4:C67)-SUM($D$4:D67)</f>
        <v>47592</v>
      </c>
      <c r="F67" s="29">
        <f>SUM(经验!A67:X67)</f>
        <v>0</v>
      </c>
      <c r="G67" s="26">
        <f>SUM($F$4:F67)+SUM($H$4:H67)</f>
        <v>28360</v>
      </c>
      <c r="H67">
        <v>0</v>
      </c>
      <c r="I67" t="s">
        <v>41</v>
      </c>
      <c r="J67" t="s">
        <v>41</v>
      </c>
      <c r="K67" t="s">
        <v>41</v>
      </c>
      <c r="L67" t="s">
        <v>41</v>
      </c>
      <c r="M67" t="s">
        <v>41</v>
      </c>
      <c r="N67" t="s">
        <v>41</v>
      </c>
      <c r="O67" s="36" t="s">
        <v>41</v>
      </c>
      <c r="P67" s="36" t="s">
        <v>41</v>
      </c>
      <c r="Q67" t="s">
        <v>41</v>
      </c>
      <c r="R67" t="s">
        <v>41</v>
      </c>
      <c r="S67" t="s">
        <v>41</v>
      </c>
      <c r="T67" t="s">
        <v>41</v>
      </c>
      <c r="U67" t="s">
        <v>41</v>
      </c>
      <c r="V67" t="s">
        <v>41</v>
      </c>
      <c r="W67" s="36" t="s">
        <v>41</v>
      </c>
      <c r="X67" s="36" t="s">
        <v>41</v>
      </c>
      <c r="Y67" t="s">
        <v>41</v>
      </c>
      <c r="Z67" t="s">
        <v>41</v>
      </c>
      <c r="AA67" t="s">
        <v>41</v>
      </c>
      <c r="AB67" t="s">
        <v>41</v>
      </c>
      <c r="AC67" t="s">
        <v>41</v>
      </c>
      <c r="AD67" t="s">
        <v>41</v>
      </c>
      <c r="AE67" s="36" t="s">
        <v>41</v>
      </c>
      <c r="AF67" s="36" t="s">
        <v>41</v>
      </c>
      <c r="AG67" s="69">
        <f t="shared" si="6"/>
        <v>0</v>
      </c>
      <c r="AH67" s="74"/>
      <c r="AI67" s="74"/>
      <c r="AJ67" s="74"/>
      <c r="AK67" s="75" t="s">
        <v>60</v>
      </c>
      <c r="AL67" s="71">
        <f t="shared" si="14"/>
        <v>18</v>
      </c>
      <c r="AM67" s="72">
        <f t="shared" si="15"/>
        <v>18</v>
      </c>
      <c r="AN67" s="73">
        <f t="shared" si="16"/>
        <v>18</v>
      </c>
      <c r="BE67" s="19"/>
    </row>
    <row r="68" spans="1:57">
      <c r="A68" s="15">
        <v>45794</v>
      </c>
      <c r="B68">
        <v>1600</v>
      </c>
      <c r="D68" s="26">
        <f>(SUM(粮草!A68:X68)+AG68*10*IF(AK68="是",$BB$4,$BB$3))</f>
        <v>0</v>
      </c>
      <c r="E68" s="28">
        <f>SUM($B$4:B68)+SUM($C$4:C68)-SUM($D$4:D68)</f>
        <v>49192</v>
      </c>
      <c r="F68" s="29">
        <f>SUM(经验!A68:X68)</f>
        <v>0</v>
      </c>
      <c r="G68" s="26">
        <f>SUM($F$4:F68)+SUM($H$4:H68)</f>
        <v>28360</v>
      </c>
      <c r="H68">
        <v>0</v>
      </c>
      <c r="I68" t="s">
        <v>41</v>
      </c>
      <c r="J68" t="s">
        <v>41</v>
      </c>
      <c r="K68" t="s">
        <v>41</v>
      </c>
      <c r="L68" t="s">
        <v>41</v>
      </c>
      <c r="M68" t="s">
        <v>41</v>
      </c>
      <c r="N68" t="s">
        <v>41</v>
      </c>
      <c r="O68" s="36" t="s">
        <v>41</v>
      </c>
      <c r="P68" s="36" t="s">
        <v>41</v>
      </c>
      <c r="Q68" t="s">
        <v>41</v>
      </c>
      <c r="R68" t="s">
        <v>41</v>
      </c>
      <c r="S68" t="s">
        <v>41</v>
      </c>
      <c r="T68" t="s">
        <v>41</v>
      </c>
      <c r="U68" t="s">
        <v>41</v>
      </c>
      <c r="V68" t="s">
        <v>41</v>
      </c>
      <c r="W68" s="36" t="s">
        <v>41</v>
      </c>
      <c r="X68" s="36" t="s">
        <v>41</v>
      </c>
      <c r="Y68" t="s">
        <v>41</v>
      </c>
      <c r="Z68" t="s">
        <v>41</v>
      </c>
      <c r="AA68" t="s">
        <v>41</v>
      </c>
      <c r="AB68" t="s">
        <v>41</v>
      </c>
      <c r="AC68" t="s">
        <v>41</v>
      </c>
      <c r="AD68" t="s">
        <v>41</v>
      </c>
      <c r="AE68" s="36" t="s">
        <v>41</v>
      </c>
      <c r="AF68" s="36" t="s">
        <v>41</v>
      </c>
      <c r="AG68" s="69">
        <f t="shared" si="6"/>
        <v>0</v>
      </c>
      <c r="AH68" s="74"/>
      <c r="AI68" s="74"/>
      <c r="AJ68" s="74"/>
      <c r="AK68" s="75" t="s">
        <v>60</v>
      </c>
      <c r="AL68" s="71">
        <f t="shared" si="14"/>
        <v>18</v>
      </c>
      <c r="AM68" s="72">
        <f t="shared" si="15"/>
        <v>18</v>
      </c>
      <c r="AN68" s="73">
        <f t="shared" si="16"/>
        <v>18</v>
      </c>
      <c r="BE68" s="19"/>
    </row>
    <row r="69" spans="1:57">
      <c r="A69" s="15">
        <v>45795</v>
      </c>
      <c r="B69">
        <v>1600</v>
      </c>
      <c r="D69" s="26">
        <f>(SUM(粮草!A69:X69)+AG69*10*IF(AK69="是",$BB$4,$BB$3))</f>
        <v>0</v>
      </c>
      <c r="E69" s="28">
        <f>SUM($B$4:B69)+SUM($C$4:C69)-SUM($D$4:D69)</f>
        <v>50792</v>
      </c>
      <c r="F69" s="29">
        <f>SUM(经验!A69:X69)</f>
        <v>0</v>
      </c>
      <c r="G69" s="26">
        <f>SUM($F$4:F69)+SUM($H$4:H69)</f>
        <v>28360</v>
      </c>
      <c r="H69">
        <v>0</v>
      </c>
      <c r="I69" t="s">
        <v>41</v>
      </c>
      <c r="J69" t="s">
        <v>41</v>
      </c>
      <c r="K69" t="s">
        <v>41</v>
      </c>
      <c r="L69" t="s">
        <v>41</v>
      </c>
      <c r="M69" t="s">
        <v>41</v>
      </c>
      <c r="N69" t="s">
        <v>41</v>
      </c>
      <c r="O69" s="36" t="s">
        <v>41</v>
      </c>
      <c r="P69" s="36" t="s">
        <v>41</v>
      </c>
      <c r="Q69" t="s">
        <v>41</v>
      </c>
      <c r="R69" t="s">
        <v>41</v>
      </c>
      <c r="S69" t="s">
        <v>41</v>
      </c>
      <c r="T69" t="s">
        <v>41</v>
      </c>
      <c r="U69" t="s">
        <v>41</v>
      </c>
      <c r="V69" t="s">
        <v>41</v>
      </c>
      <c r="W69" s="36" t="s">
        <v>41</v>
      </c>
      <c r="X69" s="36" t="s">
        <v>41</v>
      </c>
      <c r="Y69" t="s">
        <v>41</v>
      </c>
      <c r="Z69" t="s">
        <v>41</v>
      </c>
      <c r="AA69" t="s">
        <v>41</v>
      </c>
      <c r="AB69" t="s">
        <v>41</v>
      </c>
      <c r="AC69" t="s">
        <v>41</v>
      </c>
      <c r="AD69" t="s">
        <v>41</v>
      </c>
      <c r="AE69" s="36" t="s">
        <v>41</v>
      </c>
      <c r="AF69" s="36" t="s">
        <v>41</v>
      </c>
      <c r="AG69" s="69">
        <f t="shared" ref="AG69:AG93" si="17">AH69+AI69+AJ69</f>
        <v>0</v>
      </c>
      <c r="AH69" s="74"/>
      <c r="AI69" s="74"/>
      <c r="AJ69" s="74"/>
      <c r="AK69" s="75" t="s">
        <v>60</v>
      </c>
      <c r="AL69" s="71">
        <f t="shared" ref="AL69:AL93" si="18">MIN(AL68+6,18)-COUNTIF(I69:P69,"&lt;&gt;空")+COUNTIF(I69:P69,"历练")+COUNTIF(I69:P69,"营地")*2</f>
        <v>18</v>
      </c>
      <c r="AM69" s="72">
        <f t="shared" ref="AM69:AM93" si="19">MIN(AM68+6,18)-COUNTIF(Q69:X69,"&lt;&gt;空")+COUNTIF(Q69:X69,"历练")+COUNTIF(Q69:X69,"营地")*2</f>
        <v>18</v>
      </c>
      <c r="AN69" s="73">
        <f t="shared" ref="AN69:AN93" si="20">MIN(AN68+6,18)-COUNTIF(Y69:AF69,"&lt;&gt;空")+COUNTIF(Y69:AF69,"历练")+COUNTIF(Y69:AF69,"营地")*2</f>
        <v>18</v>
      </c>
      <c r="BE69" s="19"/>
    </row>
    <row r="70" spans="1:57">
      <c r="A70" s="15">
        <v>45796</v>
      </c>
      <c r="B70" s="26">
        <v>1600</v>
      </c>
      <c r="C70" s="27"/>
      <c r="D70" s="26">
        <f>(SUM(粮草!A70:X70)+AG70*10*IF(AK70="是",$BB$4,$BB$3))</f>
        <v>0</v>
      </c>
      <c r="E70" s="28">
        <f>SUM($B$4:B70)+SUM($C$4:C70)-SUM($D$4:D70)</f>
        <v>52392</v>
      </c>
      <c r="F70" s="29">
        <f>SUM(经验!A70:X70)</f>
        <v>0</v>
      </c>
      <c r="G70" s="26">
        <f>SUM($F$4:F70)+SUM($H$4:H70)</f>
        <v>28660</v>
      </c>
      <c r="H70" s="26">
        <v>300</v>
      </c>
      <c r="I70" t="s">
        <v>41</v>
      </c>
      <c r="J70" t="s">
        <v>41</v>
      </c>
      <c r="K70" t="s">
        <v>41</v>
      </c>
      <c r="L70" t="s">
        <v>41</v>
      </c>
      <c r="M70" t="s">
        <v>41</v>
      </c>
      <c r="N70" t="s">
        <v>41</v>
      </c>
      <c r="O70" s="36" t="s">
        <v>41</v>
      </c>
      <c r="P70" s="36" t="s">
        <v>41</v>
      </c>
      <c r="Q70" t="s">
        <v>41</v>
      </c>
      <c r="R70" t="s">
        <v>41</v>
      </c>
      <c r="S70" t="s">
        <v>41</v>
      </c>
      <c r="T70" t="s">
        <v>41</v>
      </c>
      <c r="U70" t="s">
        <v>41</v>
      </c>
      <c r="V70" t="s">
        <v>41</v>
      </c>
      <c r="W70" s="36" t="s">
        <v>41</v>
      </c>
      <c r="X70" s="36" t="s">
        <v>41</v>
      </c>
      <c r="Y70" t="s">
        <v>41</v>
      </c>
      <c r="Z70" t="s">
        <v>41</v>
      </c>
      <c r="AA70" t="s">
        <v>41</v>
      </c>
      <c r="AB70" t="s">
        <v>41</v>
      </c>
      <c r="AC70" t="s">
        <v>41</v>
      </c>
      <c r="AD70" t="s">
        <v>41</v>
      </c>
      <c r="AE70" s="36" t="s">
        <v>41</v>
      </c>
      <c r="AF70" s="36" t="s">
        <v>41</v>
      </c>
      <c r="AG70" s="69">
        <f t="shared" si="17"/>
        <v>0</v>
      </c>
      <c r="AH70" s="74"/>
      <c r="AI70" s="74"/>
      <c r="AJ70" s="74"/>
      <c r="AK70" s="75" t="s">
        <v>60</v>
      </c>
      <c r="AL70" s="71">
        <f t="shared" si="18"/>
        <v>18</v>
      </c>
      <c r="AM70" s="72">
        <f t="shared" si="19"/>
        <v>18</v>
      </c>
      <c r="AN70" s="73">
        <f t="shared" si="20"/>
        <v>18</v>
      </c>
      <c r="BE70" s="19"/>
    </row>
    <row r="71" spans="1:57">
      <c r="A71" s="15">
        <v>45797</v>
      </c>
      <c r="B71" s="26">
        <v>1600</v>
      </c>
      <c r="C71" s="27"/>
      <c r="D71" s="26">
        <f>(SUM(粮草!A71:X71)+AG71*10*IF(AK71="是",$BB$4,$BB$3))</f>
        <v>0</v>
      </c>
      <c r="E71" s="28">
        <f>SUM($B$4:B71)+SUM($C$4:C71)-SUM($D$4:D71)</f>
        <v>53992</v>
      </c>
      <c r="F71" s="29">
        <f>SUM(经验!A71:X71)</f>
        <v>0</v>
      </c>
      <c r="G71" s="26">
        <f>SUM($F$4:F71)+SUM($H$4:H71)</f>
        <v>28660</v>
      </c>
      <c r="H71" s="26">
        <v>0</v>
      </c>
      <c r="I71" t="s">
        <v>41</v>
      </c>
      <c r="J71" t="s">
        <v>41</v>
      </c>
      <c r="K71" t="s">
        <v>41</v>
      </c>
      <c r="L71" t="s">
        <v>41</v>
      </c>
      <c r="M71" t="s">
        <v>41</v>
      </c>
      <c r="N71" t="s">
        <v>41</v>
      </c>
      <c r="O71" s="36" t="s">
        <v>41</v>
      </c>
      <c r="P71" s="36" t="s">
        <v>41</v>
      </c>
      <c r="Q71" t="s">
        <v>41</v>
      </c>
      <c r="R71" t="s">
        <v>41</v>
      </c>
      <c r="S71" t="s">
        <v>41</v>
      </c>
      <c r="T71" t="s">
        <v>41</v>
      </c>
      <c r="U71" t="s">
        <v>41</v>
      </c>
      <c r="V71" t="s">
        <v>41</v>
      </c>
      <c r="W71" s="36" t="s">
        <v>41</v>
      </c>
      <c r="X71" s="36" t="s">
        <v>41</v>
      </c>
      <c r="Y71" t="s">
        <v>41</v>
      </c>
      <c r="Z71" t="s">
        <v>41</v>
      </c>
      <c r="AA71" t="s">
        <v>41</v>
      </c>
      <c r="AB71" t="s">
        <v>41</v>
      </c>
      <c r="AC71" t="s">
        <v>41</v>
      </c>
      <c r="AD71" t="s">
        <v>41</v>
      </c>
      <c r="AE71" s="36" t="s">
        <v>41</v>
      </c>
      <c r="AF71" s="36" t="s">
        <v>41</v>
      </c>
      <c r="AG71" s="69">
        <f t="shared" si="17"/>
        <v>0</v>
      </c>
      <c r="AH71" s="74"/>
      <c r="AI71" s="74"/>
      <c r="AJ71" s="74"/>
      <c r="AK71" s="75" t="s">
        <v>60</v>
      </c>
      <c r="AL71" s="71">
        <f t="shared" si="18"/>
        <v>18</v>
      </c>
      <c r="AM71" s="72">
        <f t="shared" si="19"/>
        <v>18</v>
      </c>
      <c r="AN71" s="73">
        <f t="shared" si="20"/>
        <v>18</v>
      </c>
      <c r="BE71" s="19"/>
    </row>
    <row r="72" spans="1:57">
      <c r="A72" s="15">
        <v>45798</v>
      </c>
      <c r="B72" s="26">
        <v>1600</v>
      </c>
      <c r="C72" s="27"/>
      <c r="D72" s="26">
        <f>(SUM(粮草!A72:X72)+AG72*10*IF(AK72="是",$BB$4,$BB$3))</f>
        <v>0</v>
      </c>
      <c r="E72" s="28">
        <f>SUM($B$4:B72)+SUM($C$4:C72)-SUM($D$4:D72)</f>
        <v>55592</v>
      </c>
      <c r="F72" s="29">
        <f>SUM(经验!A72:X72)</f>
        <v>0</v>
      </c>
      <c r="G72" s="26">
        <f>SUM($F$4:F72)+SUM($H$4:H72)</f>
        <v>28860</v>
      </c>
      <c r="H72" s="26">
        <v>200</v>
      </c>
      <c r="I72" t="s">
        <v>41</v>
      </c>
      <c r="J72" t="s">
        <v>41</v>
      </c>
      <c r="K72" t="s">
        <v>41</v>
      </c>
      <c r="L72" t="s">
        <v>41</v>
      </c>
      <c r="M72" t="s">
        <v>41</v>
      </c>
      <c r="N72" t="s">
        <v>41</v>
      </c>
      <c r="O72" s="36" t="s">
        <v>41</v>
      </c>
      <c r="P72" s="36" t="s">
        <v>41</v>
      </c>
      <c r="Q72" t="s">
        <v>41</v>
      </c>
      <c r="R72" t="s">
        <v>41</v>
      </c>
      <c r="S72" t="s">
        <v>41</v>
      </c>
      <c r="T72" t="s">
        <v>41</v>
      </c>
      <c r="U72" t="s">
        <v>41</v>
      </c>
      <c r="V72" t="s">
        <v>41</v>
      </c>
      <c r="W72" s="36" t="s">
        <v>41</v>
      </c>
      <c r="X72" s="36" t="s">
        <v>41</v>
      </c>
      <c r="Y72" t="s">
        <v>41</v>
      </c>
      <c r="Z72" t="s">
        <v>41</v>
      </c>
      <c r="AA72" t="s">
        <v>41</v>
      </c>
      <c r="AB72" t="s">
        <v>41</v>
      </c>
      <c r="AC72" t="s">
        <v>41</v>
      </c>
      <c r="AD72" t="s">
        <v>41</v>
      </c>
      <c r="AE72" s="36" t="s">
        <v>41</v>
      </c>
      <c r="AF72" s="36" t="s">
        <v>41</v>
      </c>
      <c r="AG72" s="69">
        <f t="shared" si="17"/>
        <v>0</v>
      </c>
      <c r="AH72" s="74"/>
      <c r="AI72" s="74"/>
      <c r="AJ72" s="74"/>
      <c r="AK72" s="75" t="s">
        <v>60</v>
      </c>
      <c r="AL72" s="71">
        <f t="shared" si="18"/>
        <v>18</v>
      </c>
      <c r="AM72" s="72">
        <f t="shared" si="19"/>
        <v>18</v>
      </c>
      <c r="AN72" s="73">
        <f t="shared" si="20"/>
        <v>18</v>
      </c>
      <c r="BE72" s="19"/>
    </row>
    <row r="73" spans="1:57">
      <c r="A73" s="15">
        <v>45799</v>
      </c>
      <c r="B73" s="26">
        <v>1600</v>
      </c>
      <c r="C73" s="27"/>
      <c r="D73" s="26">
        <f>(SUM(粮草!A73:X73)+AG73*10*IF(AK73="是",$BB$4,$BB$3))</f>
        <v>0</v>
      </c>
      <c r="E73" s="28">
        <f>SUM($B$4:B73)+SUM($C$4:C73)-SUM($D$4:D73)</f>
        <v>57192</v>
      </c>
      <c r="F73" s="29">
        <f>SUM(经验!A73:X73)</f>
        <v>0</v>
      </c>
      <c r="G73" s="26">
        <f>SUM($F$4:F73)+SUM($H$4:H73)</f>
        <v>28860</v>
      </c>
      <c r="H73" s="26">
        <v>0</v>
      </c>
      <c r="I73" t="s">
        <v>41</v>
      </c>
      <c r="J73" t="s">
        <v>41</v>
      </c>
      <c r="K73" t="s">
        <v>41</v>
      </c>
      <c r="L73" t="s">
        <v>41</v>
      </c>
      <c r="M73" t="s">
        <v>41</v>
      </c>
      <c r="N73" t="s">
        <v>41</v>
      </c>
      <c r="O73" s="36" t="s">
        <v>41</v>
      </c>
      <c r="P73" s="36" t="s">
        <v>41</v>
      </c>
      <c r="Q73" t="s">
        <v>41</v>
      </c>
      <c r="R73" t="s">
        <v>41</v>
      </c>
      <c r="S73" t="s">
        <v>41</v>
      </c>
      <c r="T73" t="s">
        <v>41</v>
      </c>
      <c r="U73" t="s">
        <v>41</v>
      </c>
      <c r="V73" t="s">
        <v>41</v>
      </c>
      <c r="W73" s="36" t="s">
        <v>41</v>
      </c>
      <c r="X73" s="36" t="s">
        <v>41</v>
      </c>
      <c r="Y73" t="s">
        <v>41</v>
      </c>
      <c r="Z73" t="s">
        <v>41</v>
      </c>
      <c r="AA73" t="s">
        <v>41</v>
      </c>
      <c r="AB73" t="s">
        <v>41</v>
      </c>
      <c r="AC73" t="s">
        <v>41</v>
      </c>
      <c r="AD73" t="s">
        <v>41</v>
      </c>
      <c r="AE73" s="36" t="s">
        <v>41</v>
      </c>
      <c r="AF73" s="36" t="s">
        <v>41</v>
      </c>
      <c r="AG73" s="69">
        <f t="shared" si="17"/>
        <v>0</v>
      </c>
      <c r="AH73" s="74"/>
      <c r="AI73" s="74"/>
      <c r="AJ73" s="74"/>
      <c r="AK73" s="75" t="s">
        <v>60</v>
      </c>
      <c r="AL73" s="71">
        <f t="shared" si="18"/>
        <v>18</v>
      </c>
      <c r="AM73" s="72">
        <f t="shared" si="19"/>
        <v>18</v>
      </c>
      <c r="AN73" s="73">
        <f t="shared" si="20"/>
        <v>18</v>
      </c>
      <c r="BE73" s="19"/>
    </row>
    <row r="74" spans="1:57">
      <c r="A74" s="15">
        <v>45800</v>
      </c>
      <c r="B74" s="26">
        <v>1600</v>
      </c>
      <c r="C74" s="27"/>
      <c r="D74" s="26">
        <f>(SUM(粮草!A74:X74)+AG74*10*IF(AK74="是",$BB$4,$BB$3))</f>
        <v>0</v>
      </c>
      <c r="E74" s="28">
        <f>SUM($B$4:B74)+SUM($C$4:C74)-SUM($D$4:D74)</f>
        <v>58792</v>
      </c>
      <c r="F74" s="29">
        <f>SUM(经验!A74:X74)</f>
        <v>0</v>
      </c>
      <c r="G74" s="26">
        <f>SUM($F$4:F74)+SUM($H$4:H74)</f>
        <v>28860</v>
      </c>
      <c r="H74" s="26">
        <v>0</v>
      </c>
      <c r="I74" t="s">
        <v>41</v>
      </c>
      <c r="J74" t="s">
        <v>41</v>
      </c>
      <c r="K74" t="s">
        <v>41</v>
      </c>
      <c r="L74" t="s">
        <v>41</v>
      </c>
      <c r="M74" t="s">
        <v>41</v>
      </c>
      <c r="N74" t="s">
        <v>41</v>
      </c>
      <c r="O74" s="36" t="s">
        <v>41</v>
      </c>
      <c r="P74" s="36" t="s">
        <v>41</v>
      </c>
      <c r="Q74" t="s">
        <v>41</v>
      </c>
      <c r="R74" t="s">
        <v>41</v>
      </c>
      <c r="S74" t="s">
        <v>41</v>
      </c>
      <c r="T74" t="s">
        <v>41</v>
      </c>
      <c r="U74" t="s">
        <v>41</v>
      </c>
      <c r="V74" t="s">
        <v>41</v>
      </c>
      <c r="W74" s="36" t="s">
        <v>41</v>
      </c>
      <c r="X74" s="36" t="s">
        <v>41</v>
      </c>
      <c r="Y74" t="s">
        <v>41</v>
      </c>
      <c r="Z74" t="s">
        <v>41</v>
      </c>
      <c r="AA74" t="s">
        <v>41</v>
      </c>
      <c r="AB74" t="s">
        <v>41</v>
      </c>
      <c r="AC74" t="s">
        <v>41</v>
      </c>
      <c r="AD74" t="s">
        <v>41</v>
      </c>
      <c r="AE74" s="36" t="s">
        <v>41</v>
      </c>
      <c r="AF74" s="36" t="s">
        <v>41</v>
      </c>
      <c r="AG74" s="69">
        <f t="shared" si="17"/>
        <v>0</v>
      </c>
      <c r="AH74" s="74"/>
      <c r="AI74" s="74"/>
      <c r="AJ74" s="74"/>
      <c r="AK74" s="75" t="s">
        <v>60</v>
      </c>
      <c r="AL74" s="71">
        <f t="shared" si="18"/>
        <v>18</v>
      </c>
      <c r="AM74" s="72">
        <f t="shared" si="19"/>
        <v>18</v>
      </c>
      <c r="AN74" s="73">
        <f t="shared" si="20"/>
        <v>18</v>
      </c>
      <c r="BE74" s="19"/>
    </row>
    <row r="75" spans="1:57">
      <c r="A75" s="15">
        <v>45801</v>
      </c>
      <c r="B75" s="26">
        <v>1600</v>
      </c>
      <c r="C75" s="27"/>
      <c r="D75" s="26">
        <f>(SUM(粮草!A75:X75)+AG75*10*IF(AK75="是",$BB$4,$BB$3))</f>
        <v>0</v>
      </c>
      <c r="E75" s="28">
        <f>SUM($B$4:B75)+SUM($C$4:C75)-SUM($D$4:D75)</f>
        <v>60392</v>
      </c>
      <c r="F75" s="29">
        <f>SUM(经验!A75:X75)</f>
        <v>0</v>
      </c>
      <c r="G75" s="26">
        <f>SUM($F$4:F75)+SUM($H$4:H75)</f>
        <v>28860</v>
      </c>
      <c r="H75" s="26">
        <v>0</v>
      </c>
      <c r="I75" t="s">
        <v>41</v>
      </c>
      <c r="J75" t="s">
        <v>41</v>
      </c>
      <c r="K75" t="s">
        <v>41</v>
      </c>
      <c r="L75" t="s">
        <v>41</v>
      </c>
      <c r="M75" t="s">
        <v>41</v>
      </c>
      <c r="N75" t="s">
        <v>41</v>
      </c>
      <c r="O75" s="36" t="s">
        <v>41</v>
      </c>
      <c r="P75" s="36" t="s">
        <v>41</v>
      </c>
      <c r="Q75" t="s">
        <v>41</v>
      </c>
      <c r="R75" t="s">
        <v>41</v>
      </c>
      <c r="S75" t="s">
        <v>41</v>
      </c>
      <c r="T75" t="s">
        <v>41</v>
      </c>
      <c r="U75" t="s">
        <v>41</v>
      </c>
      <c r="V75" t="s">
        <v>41</v>
      </c>
      <c r="W75" s="36" t="s">
        <v>41</v>
      </c>
      <c r="X75" s="36" t="s">
        <v>41</v>
      </c>
      <c r="Y75" t="s">
        <v>41</v>
      </c>
      <c r="Z75" t="s">
        <v>41</v>
      </c>
      <c r="AA75" t="s">
        <v>41</v>
      </c>
      <c r="AB75" t="s">
        <v>41</v>
      </c>
      <c r="AC75" t="s">
        <v>41</v>
      </c>
      <c r="AD75" t="s">
        <v>41</v>
      </c>
      <c r="AE75" s="36" t="s">
        <v>41</v>
      </c>
      <c r="AF75" s="36" t="s">
        <v>41</v>
      </c>
      <c r="AG75" s="69">
        <f t="shared" si="17"/>
        <v>0</v>
      </c>
      <c r="AH75" s="74"/>
      <c r="AI75" s="74"/>
      <c r="AJ75" s="74"/>
      <c r="AK75" s="75" t="s">
        <v>60</v>
      </c>
      <c r="AL75" s="71">
        <f t="shared" si="18"/>
        <v>18</v>
      </c>
      <c r="AM75" s="72">
        <f t="shared" si="19"/>
        <v>18</v>
      </c>
      <c r="AN75" s="73">
        <f t="shared" si="20"/>
        <v>18</v>
      </c>
      <c r="BE75" s="19"/>
    </row>
    <row r="76" spans="1:57">
      <c r="A76" s="15">
        <v>45802</v>
      </c>
      <c r="B76" s="26">
        <v>1600</v>
      </c>
      <c r="C76" s="27"/>
      <c r="D76" s="26">
        <f>(SUM(粮草!A76:X76)+AG76*10*IF(AK76="是",$BB$4,$BB$3))</f>
        <v>0</v>
      </c>
      <c r="E76" s="28">
        <f>SUM($B$4:B76)+SUM($C$4:C76)-SUM($D$4:D76)</f>
        <v>61992</v>
      </c>
      <c r="F76" s="29">
        <f>SUM(经验!A76:X76)</f>
        <v>0</v>
      </c>
      <c r="G76" s="26">
        <f>SUM($F$4:F76)+SUM($H$4:H76)</f>
        <v>28860</v>
      </c>
      <c r="H76" s="26">
        <v>0</v>
      </c>
      <c r="I76" t="s">
        <v>41</v>
      </c>
      <c r="J76" t="s">
        <v>41</v>
      </c>
      <c r="K76" t="s">
        <v>41</v>
      </c>
      <c r="L76" t="s">
        <v>41</v>
      </c>
      <c r="M76" t="s">
        <v>41</v>
      </c>
      <c r="N76" t="s">
        <v>41</v>
      </c>
      <c r="O76" s="36" t="s">
        <v>41</v>
      </c>
      <c r="P76" s="36" t="s">
        <v>41</v>
      </c>
      <c r="Q76" t="s">
        <v>41</v>
      </c>
      <c r="R76" t="s">
        <v>41</v>
      </c>
      <c r="S76" t="s">
        <v>41</v>
      </c>
      <c r="T76" t="s">
        <v>41</v>
      </c>
      <c r="U76" t="s">
        <v>41</v>
      </c>
      <c r="V76" t="s">
        <v>41</v>
      </c>
      <c r="W76" s="36" t="s">
        <v>41</v>
      </c>
      <c r="X76" s="36" t="s">
        <v>41</v>
      </c>
      <c r="Y76" t="s">
        <v>41</v>
      </c>
      <c r="Z76" t="s">
        <v>41</v>
      </c>
      <c r="AA76" t="s">
        <v>41</v>
      </c>
      <c r="AB76" t="s">
        <v>41</v>
      </c>
      <c r="AC76" t="s">
        <v>41</v>
      </c>
      <c r="AD76" t="s">
        <v>41</v>
      </c>
      <c r="AE76" s="36" t="s">
        <v>41</v>
      </c>
      <c r="AF76" s="36" t="s">
        <v>41</v>
      </c>
      <c r="AG76" s="69">
        <f t="shared" si="17"/>
        <v>0</v>
      </c>
      <c r="AH76" s="74"/>
      <c r="AI76" s="74"/>
      <c r="AJ76" s="74"/>
      <c r="AK76" s="75" t="s">
        <v>60</v>
      </c>
      <c r="AL76" s="71">
        <f t="shared" si="18"/>
        <v>18</v>
      </c>
      <c r="AM76" s="72">
        <f t="shared" si="19"/>
        <v>18</v>
      </c>
      <c r="AN76" s="73">
        <f t="shared" si="20"/>
        <v>18</v>
      </c>
      <c r="BE76" s="19"/>
    </row>
    <row r="77" spans="1:57">
      <c r="A77" s="15">
        <v>45803</v>
      </c>
      <c r="B77">
        <v>1600</v>
      </c>
      <c r="D77" s="26">
        <f>(SUM(粮草!A77:X77)+AG77*10*IF(AK77="是",$BB$4,$BB$3))</f>
        <v>0</v>
      </c>
      <c r="E77" s="28">
        <f>SUM($B$4:B77)+SUM($C$4:C77)-SUM($D$4:D77)</f>
        <v>63592</v>
      </c>
      <c r="F77" s="29">
        <f>SUM(经验!A77:X77)</f>
        <v>0</v>
      </c>
      <c r="G77" s="26">
        <f>SUM($F$4:F77)+SUM($H$4:H77)</f>
        <v>29160</v>
      </c>
      <c r="H77">
        <v>300</v>
      </c>
      <c r="I77" t="s">
        <v>41</v>
      </c>
      <c r="J77" t="s">
        <v>41</v>
      </c>
      <c r="K77" t="s">
        <v>41</v>
      </c>
      <c r="L77" t="s">
        <v>41</v>
      </c>
      <c r="M77" t="s">
        <v>41</v>
      </c>
      <c r="N77" t="s">
        <v>41</v>
      </c>
      <c r="O77" s="36" t="s">
        <v>41</v>
      </c>
      <c r="P77" s="36" t="s">
        <v>41</v>
      </c>
      <c r="Q77" t="s">
        <v>41</v>
      </c>
      <c r="R77" t="s">
        <v>41</v>
      </c>
      <c r="S77" t="s">
        <v>41</v>
      </c>
      <c r="T77" t="s">
        <v>41</v>
      </c>
      <c r="U77" t="s">
        <v>41</v>
      </c>
      <c r="V77" t="s">
        <v>41</v>
      </c>
      <c r="W77" s="36" t="s">
        <v>41</v>
      </c>
      <c r="X77" s="36" t="s">
        <v>41</v>
      </c>
      <c r="Y77" t="s">
        <v>41</v>
      </c>
      <c r="Z77" t="s">
        <v>41</v>
      </c>
      <c r="AA77" t="s">
        <v>41</v>
      </c>
      <c r="AB77" t="s">
        <v>41</v>
      </c>
      <c r="AC77" t="s">
        <v>41</v>
      </c>
      <c r="AD77" t="s">
        <v>41</v>
      </c>
      <c r="AE77" s="36" t="s">
        <v>41</v>
      </c>
      <c r="AF77" s="36" t="s">
        <v>41</v>
      </c>
      <c r="AG77" s="69">
        <f t="shared" si="17"/>
        <v>0</v>
      </c>
      <c r="AH77" s="74"/>
      <c r="AI77" s="74"/>
      <c r="AJ77" s="74"/>
      <c r="AK77" s="75" t="s">
        <v>60</v>
      </c>
      <c r="AL77" s="71">
        <f t="shared" si="18"/>
        <v>18</v>
      </c>
      <c r="AM77" s="72">
        <f t="shared" si="19"/>
        <v>18</v>
      </c>
      <c r="AN77" s="73">
        <f t="shared" si="20"/>
        <v>18</v>
      </c>
      <c r="BE77" s="19"/>
    </row>
    <row r="78" spans="1:57">
      <c r="A78" s="15">
        <v>45804</v>
      </c>
      <c r="B78">
        <v>1600</v>
      </c>
      <c r="D78" s="26">
        <f>(SUM(粮草!A78:X78)+AG78*10*IF(AK78="是",$BB$4,$BB$3))</f>
        <v>0</v>
      </c>
      <c r="E78" s="28">
        <f>SUM($B$4:B78)+SUM($C$4:C78)-SUM($D$4:D78)</f>
        <v>65192</v>
      </c>
      <c r="F78" s="29">
        <f>SUM(经验!A78:X78)</f>
        <v>0</v>
      </c>
      <c r="G78" s="26">
        <f>SUM($F$4:F78)+SUM($H$4:H78)</f>
        <v>29160</v>
      </c>
      <c r="H78">
        <v>0</v>
      </c>
      <c r="I78" t="s">
        <v>41</v>
      </c>
      <c r="J78" t="s">
        <v>41</v>
      </c>
      <c r="K78" t="s">
        <v>41</v>
      </c>
      <c r="L78" t="s">
        <v>41</v>
      </c>
      <c r="M78" t="s">
        <v>41</v>
      </c>
      <c r="N78" t="s">
        <v>41</v>
      </c>
      <c r="O78" s="36" t="s">
        <v>41</v>
      </c>
      <c r="P78" s="36" t="s">
        <v>41</v>
      </c>
      <c r="Q78" t="s">
        <v>41</v>
      </c>
      <c r="R78" t="s">
        <v>41</v>
      </c>
      <c r="S78" t="s">
        <v>41</v>
      </c>
      <c r="T78" t="s">
        <v>41</v>
      </c>
      <c r="U78" t="s">
        <v>41</v>
      </c>
      <c r="V78" t="s">
        <v>41</v>
      </c>
      <c r="W78" s="36" t="s">
        <v>41</v>
      </c>
      <c r="X78" s="36" t="s">
        <v>41</v>
      </c>
      <c r="Y78" t="s">
        <v>41</v>
      </c>
      <c r="Z78" t="s">
        <v>41</v>
      </c>
      <c r="AA78" t="s">
        <v>41</v>
      </c>
      <c r="AB78" t="s">
        <v>41</v>
      </c>
      <c r="AC78" t="s">
        <v>41</v>
      </c>
      <c r="AD78" t="s">
        <v>41</v>
      </c>
      <c r="AE78" s="36" t="s">
        <v>41</v>
      </c>
      <c r="AF78" s="36" t="s">
        <v>41</v>
      </c>
      <c r="AG78" s="69">
        <f t="shared" si="17"/>
        <v>0</v>
      </c>
      <c r="AH78" s="74"/>
      <c r="AI78" s="74"/>
      <c r="AJ78" s="74"/>
      <c r="AK78" s="75" t="s">
        <v>60</v>
      </c>
      <c r="AL78" s="71">
        <f t="shared" si="18"/>
        <v>18</v>
      </c>
      <c r="AM78" s="72">
        <f t="shared" si="19"/>
        <v>18</v>
      </c>
      <c r="AN78" s="73">
        <f t="shared" si="20"/>
        <v>18</v>
      </c>
      <c r="BE78" s="19"/>
    </row>
    <row r="79" spans="1:57">
      <c r="A79" s="15">
        <v>45805</v>
      </c>
      <c r="B79">
        <v>1600</v>
      </c>
      <c r="D79" s="26">
        <f>(SUM(粮草!A79:X79)+AG79*10*IF(AK79="是",$BB$4,$BB$3))</f>
        <v>0</v>
      </c>
      <c r="E79" s="28">
        <f>SUM($B$4:B79)+SUM($C$4:C79)-SUM($D$4:D79)</f>
        <v>66792</v>
      </c>
      <c r="F79" s="29">
        <f>SUM(经验!A79:X79)</f>
        <v>0</v>
      </c>
      <c r="G79" s="26">
        <f>SUM($F$4:F79)+SUM($H$4:H79)</f>
        <v>29360</v>
      </c>
      <c r="H79">
        <v>200</v>
      </c>
      <c r="I79" t="s">
        <v>41</v>
      </c>
      <c r="J79" t="s">
        <v>41</v>
      </c>
      <c r="K79" t="s">
        <v>41</v>
      </c>
      <c r="L79" t="s">
        <v>41</v>
      </c>
      <c r="M79" t="s">
        <v>41</v>
      </c>
      <c r="N79" t="s">
        <v>41</v>
      </c>
      <c r="O79" s="36" t="s">
        <v>41</v>
      </c>
      <c r="P79" s="36" t="s">
        <v>41</v>
      </c>
      <c r="Q79" t="s">
        <v>41</v>
      </c>
      <c r="R79" t="s">
        <v>41</v>
      </c>
      <c r="S79" t="s">
        <v>41</v>
      </c>
      <c r="T79" t="s">
        <v>41</v>
      </c>
      <c r="U79" t="s">
        <v>41</v>
      </c>
      <c r="V79" t="s">
        <v>41</v>
      </c>
      <c r="W79" s="36" t="s">
        <v>41</v>
      </c>
      <c r="X79" s="36" t="s">
        <v>41</v>
      </c>
      <c r="Y79" t="s">
        <v>41</v>
      </c>
      <c r="Z79" t="s">
        <v>41</v>
      </c>
      <c r="AA79" t="s">
        <v>41</v>
      </c>
      <c r="AB79" t="s">
        <v>41</v>
      </c>
      <c r="AC79" t="s">
        <v>41</v>
      </c>
      <c r="AD79" t="s">
        <v>41</v>
      </c>
      <c r="AE79" s="36" t="s">
        <v>41</v>
      </c>
      <c r="AF79" s="36" t="s">
        <v>41</v>
      </c>
      <c r="AG79" s="69">
        <f t="shared" si="17"/>
        <v>0</v>
      </c>
      <c r="AH79" s="74"/>
      <c r="AI79" s="74"/>
      <c r="AJ79" s="74"/>
      <c r="AK79" s="75" t="s">
        <v>60</v>
      </c>
      <c r="AL79" s="71">
        <f t="shared" si="18"/>
        <v>18</v>
      </c>
      <c r="AM79" s="72">
        <f t="shared" si="19"/>
        <v>18</v>
      </c>
      <c r="AN79" s="73">
        <f t="shared" si="20"/>
        <v>18</v>
      </c>
      <c r="BE79" s="19"/>
    </row>
    <row r="80" spans="1:57">
      <c r="A80" s="15">
        <v>45806</v>
      </c>
      <c r="B80">
        <v>1600</v>
      </c>
      <c r="D80" s="26">
        <f>(SUM(粮草!A80:X80)+AG80*10*IF(AK80="是",$BB$4,$BB$3))</f>
        <v>0</v>
      </c>
      <c r="E80" s="28">
        <f>SUM($B$4:B80)+SUM($C$4:C80)-SUM($D$4:D80)</f>
        <v>68392</v>
      </c>
      <c r="F80" s="29">
        <f>SUM(经验!A80:X80)</f>
        <v>0</v>
      </c>
      <c r="G80" s="26">
        <f>SUM($F$4:F80)+SUM($H$4:H80)</f>
        <v>29360</v>
      </c>
      <c r="H80">
        <v>0</v>
      </c>
      <c r="I80" t="s">
        <v>41</v>
      </c>
      <c r="J80" t="s">
        <v>41</v>
      </c>
      <c r="K80" t="s">
        <v>41</v>
      </c>
      <c r="L80" t="s">
        <v>41</v>
      </c>
      <c r="M80" t="s">
        <v>41</v>
      </c>
      <c r="N80" t="s">
        <v>41</v>
      </c>
      <c r="O80" s="36" t="s">
        <v>41</v>
      </c>
      <c r="P80" s="36" t="s">
        <v>41</v>
      </c>
      <c r="Q80" t="s">
        <v>41</v>
      </c>
      <c r="R80" t="s">
        <v>41</v>
      </c>
      <c r="S80" t="s">
        <v>41</v>
      </c>
      <c r="T80" t="s">
        <v>41</v>
      </c>
      <c r="U80" t="s">
        <v>41</v>
      </c>
      <c r="V80" t="s">
        <v>41</v>
      </c>
      <c r="W80" s="36" t="s">
        <v>41</v>
      </c>
      <c r="X80" s="36" t="s">
        <v>41</v>
      </c>
      <c r="Y80" t="s">
        <v>41</v>
      </c>
      <c r="Z80" t="s">
        <v>41</v>
      </c>
      <c r="AA80" t="s">
        <v>41</v>
      </c>
      <c r="AB80" t="s">
        <v>41</v>
      </c>
      <c r="AC80" t="s">
        <v>41</v>
      </c>
      <c r="AD80" t="s">
        <v>41</v>
      </c>
      <c r="AE80" s="36" t="s">
        <v>41</v>
      </c>
      <c r="AF80" s="36" t="s">
        <v>41</v>
      </c>
      <c r="AG80" s="69">
        <f t="shared" si="17"/>
        <v>0</v>
      </c>
      <c r="AH80" s="74"/>
      <c r="AI80" s="74"/>
      <c r="AJ80" s="74"/>
      <c r="AK80" s="75" t="s">
        <v>60</v>
      </c>
      <c r="AL80" s="71">
        <f t="shared" si="18"/>
        <v>18</v>
      </c>
      <c r="AM80" s="72">
        <f t="shared" si="19"/>
        <v>18</v>
      </c>
      <c r="AN80" s="73">
        <f t="shared" si="20"/>
        <v>18</v>
      </c>
      <c r="BE80" s="19"/>
    </row>
    <row r="81" spans="1:57">
      <c r="A81" s="15">
        <v>45807</v>
      </c>
      <c r="B81">
        <v>1600</v>
      </c>
      <c r="D81" s="26">
        <f>(SUM(粮草!A81:X81)+AG81*10*IF(AK81="是",$BB$4,$BB$3))</f>
        <v>0</v>
      </c>
      <c r="E81" s="28">
        <f>SUM($B$4:B81)+SUM($C$4:C81)-SUM($D$4:D81)</f>
        <v>69992</v>
      </c>
      <c r="F81" s="29">
        <f>SUM(经验!A81:X81)</f>
        <v>0</v>
      </c>
      <c r="G81" s="26">
        <f>SUM($F$4:F81)+SUM($H$4:H81)</f>
        <v>29360</v>
      </c>
      <c r="H81">
        <v>0</v>
      </c>
      <c r="I81" t="s">
        <v>41</v>
      </c>
      <c r="J81" t="s">
        <v>41</v>
      </c>
      <c r="K81" t="s">
        <v>41</v>
      </c>
      <c r="L81" t="s">
        <v>41</v>
      </c>
      <c r="M81" t="s">
        <v>41</v>
      </c>
      <c r="N81" t="s">
        <v>41</v>
      </c>
      <c r="O81" s="36" t="s">
        <v>41</v>
      </c>
      <c r="P81" s="36" t="s">
        <v>41</v>
      </c>
      <c r="Q81" t="s">
        <v>41</v>
      </c>
      <c r="R81" t="s">
        <v>41</v>
      </c>
      <c r="S81" t="s">
        <v>41</v>
      </c>
      <c r="T81" t="s">
        <v>41</v>
      </c>
      <c r="U81" t="s">
        <v>41</v>
      </c>
      <c r="V81" t="s">
        <v>41</v>
      </c>
      <c r="W81" s="36" t="s">
        <v>41</v>
      </c>
      <c r="X81" s="36" t="s">
        <v>41</v>
      </c>
      <c r="Y81" t="s">
        <v>41</v>
      </c>
      <c r="Z81" t="s">
        <v>41</v>
      </c>
      <c r="AA81" t="s">
        <v>41</v>
      </c>
      <c r="AB81" t="s">
        <v>41</v>
      </c>
      <c r="AC81" t="s">
        <v>41</v>
      </c>
      <c r="AD81" t="s">
        <v>41</v>
      </c>
      <c r="AE81" s="36" t="s">
        <v>41</v>
      </c>
      <c r="AF81" s="36" t="s">
        <v>41</v>
      </c>
      <c r="AG81" s="69">
        <f t="shared" si="17"/>
        <v>0</v>
      </c>
      <c r="AH81" s="74"/>
      <c r="AI81" s="74"/>
      <c r="AJ81" s="74"/>
      <c r="AK81" s="75" t="s">
        <v>60</v>
      </c>
      <c r="AL81" s="71">
        <f t="shared" si="18"/>
        <v>18</v>
      </c>
      <c r="AM81" s="72">
        <f t="shared" si="19"/>
        <v>18</v>
      </c>
      <c r="AN81" s="73">
        <f t="shared" si="20"/>
        <v>18</v>
      </c>
      <c r="BE81" s="19"/>
    </row>
    <row r="82" spans="1:57">
      <c r="A82" s="15">
        <v>45808</v>
      </c>
      <c r="B82">
        <v>1600</v>
      </c>
      <c r="D82" s="26">
        <f>(SUM(粮草!A82:X82)+AG82*10*IF(AK82="是",$BB$4,$BB$3))</f>
        <v>0</v>
      </c>
      <c r="E82" s="28">
        <f>SUM($B$4:B82)+SUM($C$4:C82)-SUM($D$4:D82)</f>
        <v>71592</v>
      </c>
      <c r="F82" s="29">
        <f>SUM(经验!A82:X82)</f>
        <v>0</v>
      </c>
      <c r="G82" s="26">
        <f>SUM($F$4:F82)+SUM($H$4:H82)</f>
        <v>29360</v>
      </c>
      <c r="H82">
        <v>0</v>
      </c>
      <c r="I82" t="s">
        <v>41</v>
      </c>
      <c r="J82" t="s">
        <v>41</v>
      </c>
      <c r="K82" t="s">
        <v>41</v>
      </c>
      <c r="L82" t="s">
        <v>41</v>
      </c>
      <c r="M82" t="s">
        <v>41</v>
      </c>
      <c r="N82" t="s">
        <v>41</v>
      </c>
      <c r="O82" s="36" t="s">
        <v>41</v>
      </c>
      <c r="P82" s="36" t="s">
        <v>41</v>
      </c>
      <c r="Q82" t="s">
        <v>41</v>
      </c>
      <c r="R82" t="s">
        <v>41</v>
      </c>
      <c r="S82" t="s">
        <v>41</v>
      </c>
      <c r="T82" t="s">
        <v>41</v>
      </c>
      <c r="U82" t="s">
        <v>41</v>
      </c>
      <c r="V82" t="s">
        <v>41</v>
      </c>
      <c r="W82" s="36" t="s">
        <v>41</v>
      </c>
      <c r="X82" s="36" t="s">
        <v>41</v>
      </c>
      <c r="Y82" t="s">
        <v>41</v>
      </c>
      <c r="Z82" t="s">
        <v>41</v>
      </c>
      <c r="AA82" t="s">
        <v>41</v>
      </c>
      <c r="AB82" t="s">
        <v>41</v>
      </c>
      <c r="AC82" t="s">
        <v>41</v>
      </c>
      <c r="AD82" t="s">
        <v>41</v>
      </c>
      <c r="AE82" s="36" t="s">
        <v>41</v>
      </c>
      <c r="AF82" s="36" t="s">
        <v>41</v>
      </c>
      <c r="AG82" s="69">
        <f t="shared" si="17"/>
        <v>0</v>
      </c>
      <c r="AH82" s="74"/>
      <c r="AI82" s="74"/>
      <c r="AJ82" s="74"/>
      <c r="AK82" s="75" t="s">
        <v>60</v>
      </c>
      <c r="AL82" s="71">
        <f t="shared" si="18"/>
        <v>18</v>
      </c>
      <c r="AM82" s="72">
        <f t="shared" si="19"/>
        <v>18</v>
      </c>
      <c r="AN82" s="73">
        <f t="shared" si="20"/>
        <v>18</v>
      </c>
      <c r="BE82" s="19"/>
    </row>
    <row r="83" spans="1:57">
      <c r="A83" s="15">
        <v>45809</v>
      </c>
      <c r="B83">
        <v>1600</v>
      </c>
      <c r="D83" s="26">
        <f>(SUM(粮草!A83:X83)+AG83*10*IF(AK83="是",$BB$4,$BB$3))</f>
        <v>0</v>
      </c>
      <c r="E83" s="28">
        <f>SUM($B$4:B83)+SUM($C$4:C83)-SUM($D$4:D83)</f>
        <v>73192</v>
      </c>
      <c r="F83" s="29">
        <f>SUM(经验!A83:X83)</f>
        <v>0</v>
      </c>
      <c r="G83" s="26">
        <f>SUM($F$4:F83)+SUM($H$4:H83)</f>
        <v>29360</v>
      </c>
      <c r="H83">
        <v>0</v>
      </c>
      <c r="I83" t="s">
        <v>41</v>
      </c>
      <c r="J83" t="s">
        <v>41</v>
      </c>
      <c r="K83" t="s">
        <v>41</v>
      </c>
      <c r="L83" t="s">
        <v>41</v>
      </c>
      <c r="M83" t="s">
        <v>41</v>
      </c>
      <c r="N83" t="s">
        <v>41</v>
      </c>
      <c r="O83" s="36" t="s">
        <v>41</v>
      </c>
      <c r="P83" s="36" t="s">
        <v>41</v>
      </c>
      <c r="Q83" t="s">
        <v>41</v>
      </c>
      <c r="R83" t="s">
        <v>41</v>
      </c>
      <c r="S83" t="s">
        <v>41</v>
      </c>
      <c r="T83" t="s">
        <v>41</v>
      </c>
      <c r="U83" t="s">
        <v>41</v>
      </c>
      <c r="V83" t="s">
        <v>41</v>
      </c>
      <c r="W83" s="36" t="s">
        <v>41</v>
      </c>
      <c r="X83" s="36" t="s">
        <v>41</v>
      </c>
      <c r="Y83" t="s">
        <v>41</v>
      </c>
      <c r="Z83" t="s">
        <v>41</v>
      </c>
      <c r="AA83" t="s">
        <v>41</v>
      </c>
      <c r="AB83" t="s">
        <v>41</v>
      </c>
      <c r="AC83" t="s">
        <v>41</v>
      </c>
      <c r="AD83" t="s">
        <v>41</v>
      </c>
      <c r="AE83" s="36" t="s">
        <v>41</v>
      </c>
      <c r="AF83" s="36" t="s">
        <v>41</v>
      </c>
      <c r="AG83" s="69">
        <f t="shared" si="17"/>
        <v>0</v>
      </c>
      <c r="AH83" s="74"/>
      <c r="AI83" s="74"/>
      <c r="AJ83" s="74"/>
      <c r="AK83" s="75" t="s">
        <v>60</v>
      </c>
      <c r="AL83" s="71">
        <f t="shared" si="18"/>
        <v>18</v>
      </c>
      <c r="AM83" s="72">
        <f t="shared" si="19"/>
        <v>18</v>
      </c>
      <c r="AN83" s="73">
        <f t="shared" si="20"/>
        <v>18</v>
      </c>
      <c r="BE83" s="19"/>
    </row>
    <row r="84" spans="1:57">
      <c r="A84" s="15">
        <v>45810</v>
      </c>
      <c r="B84" s="26">
        <v>1600</v>
      </c>
      <c r="C84" s="27"/>
      <c r="D84" s="26">
        <f>(SUM(粮草!A84:X84)+AG84*10*IF(AK84="是",$BB$4,$BB$3))</f>
        <v>0</v>
      </c>
      <c r="E84" s="28">
        <f>SUM($B$4:B84)+SUM($C$4:C84)-SUM($D$4:D84)</f>
        <v>74792</v>
      </c>
      <c r="F84" s="29">
        <f>SUM(经验!A84:X84)</f>
        <v>0</v>
      </c>
      <c r="G84" s="26">
        <f>SUM($F$4:F84)+SUM($H$4:H84)</f>
        <v>29560</v>
      </c>
      <c r="H84" s="26">
        <v>200</v>
      </c>
      <c r="I84" t="s">
        <v>41</v>
      </c>
      <c r="J84" t="s">
        <v>41</v>
      </c>
      <c r="K84" t="s">
        <v>41</v>
      </c>
      <c r="L84" t="s">
        <v>41</v>
      </c>
      <c r="M84" t="s">
        <v>41</v>
      </c>
      <c r="N84" t="s">
        <v>41</v>
      </c>
      <c r="O84" s="36" t="s">
        <v>41</v>
      </c>
      <c r="P84" s="36" t="s">
        <v>41</v>
      </c>
      <c r="Q84" t="s">
        <v>41</v>
      </c>
      <c r="R84" t="s">
        <v>41</v>
      </c>
      <c r="S84" t="s">
        <v>41</v>
      </c>
      <c r="T84" t="s">
        <v>41</v>
      </c>
      <c r="U84" t="s">
        <v>41</v>
      </c>
      <c r="V84" t="s">
        <v>41</v>
      </c>
      <c r="W84" s="36" t="s">
        <v>41</v>
      </c>
      <c r="X84" s="36" t="s">
        <v>41</v>
      </c>
      <c r="Y84" t="s">
        <v>41</v>
      </c>
      <c r="Z84" t="s">
        <v>41</v>
      </c>
      <c r="AA84" t="s">
        <v>41</v>
      </c>
      <c r="AB84" t="s">
        <v>41</v>
      </c>
      <c r="AC84" t="s">
        <v>41</v>
      </c>
      <c r="AD84" t="s">
        <v>41</v>
      </c>
      <c r="AE84" s="36" t="s">
        <v>41</v>
      </c>
      <c r="AF84" s="36" t="s">
        <v>41</v>
      </c>
      <c r="AG84" s="69">
        <f t="shared" si="17"/>
        <v>0</v>
      </c>
      <c r="AH84" s="74"/>
      <c r="AI84" s="74"/>
      <c r="AJ84" s="74"/>
      <c r="AK84" s="75" t="s">
        <v>60</v>
      </c>
      <c r="AL84" s="71">
        <f t="shared" si="18"/>
        <v>18</v>
      </c>
      <c r="AM84" s="72">
        <f t="shared" si="19"/>
        <v>18</v>
      </c>
      <c r="AN84" s="73">
        <f t="shared" si="20"/>
        <v>18</v>
      </c>
      <c r="BE84" s="19"/>
    </row>
    <row r="85" spans="1:57">
      <c r="A85" s="15">
        <v>45811</v>
      </c>
      <c r="B85" s="26">
        <v>1600</v>
      </c>
      <c r="C85" s="27"/>
      <c r="D85" s="26">
        <f>(SUM(粮草!A85:X85)+AG85*10*IF(AK85="是",$BB$4,$BB$3))</f>
        <v>0</v>
      </c>
      <c r="E85" s="28">
        <f>SUM($B$4:B85)+SUM($C$4:C85)-SUM($D$4:D85)</f>
        <v>76392</v>
      </c>
      <c r="F85" s="29">
        <f>SUM(经验!A85:X85)</f>
        <v>0</v>
      </c>
      <c r="G85" s="26">
        <f>SUM($F$4:F85)+SUM($H$4:H85)</f>
        <v>29560</v>
      </c>
      <c r="H85" s="26">
        <v>0</v>
      </c>
      <c r="I85" t="s">
        <v>41</v>
      </c>
      <c r="J85" t="s">
        <v>41</v>
      </c>
      <c r="K85" t="s">
        <v>41</v>
      </c>
      <c r="L85" t="s">
        <v>41</v>
      </c>
      <c r="M85" t="s">
        <v>41</v>
      </c>
      <c r="N85" t="s">
        <v>41</v>
      </c>
      <c r="O85" s="36" t="s">
        <v>41</v>
      </c>
      <c r="P85" s="36" t="s">
        <v>41</v>
      </c>
      <c r="Q85" t="s">
        <v>41</v>
      </c>
      <c r="R85" t="s">
        <v>41</v>
      </c>
      <c r="S85" t="s">
        <v>41</v>
      </c>
      <c r="T85" t="s">
        <v>41</v>
      </c>
      <c r="U85" t="s">
        <v>41</v>
      </c>
      <c r="V85" t="s">
        <v>41</v>
      </c>
      <c r="W85" s="36" t="s">
        <v>41</v>
      </c>
      <c r="X85" s="36" t="s">
        <v>41</v>
      </c>
      <c r="Y85" t="s">
        <v>41</v>
      </c>
      <c r="Z85" t="s">
        <v>41</v>
      </c>
      <c r="AA85" t="s">
        <v>41</v>
      </c>
      <c r="AB85" t="s">
        <v>41</v>
      </c>
      <c r="AC85" t="s">
        <v>41</v>
      </c>
      <c r="AD85" t="s">
        <v>41</v>
      </c>
      <c r="AE85" s="36" t="s">
        <v>41</v>
      </c>
      <c r="AF85" s="36" t="s">
        <v>41</v>
      </c>
      <c r="AG85" s="69">
        <f t="shared" si="17"/>
        <v>0</v>
      </c>
      <c r="AH85" s="74"/>
      <c r="AI85" s="74"/>
      <c r="AJ85" s="74"/>
      <c r="AK85" s="75" t="s">
        <v>60</v>
      </c>
      <c r="AL85" s="71">
        <f t="shared" si="18"/>
        <v>18</v>
      </c>
      <c r="AM85" s="72">
        <f t="shared" si="19"/>
        <v>18</v>
      </c>
      <c r="AN85" s="73">
        <f t="shared" si="20"/>
        <v>18</v>
      </c>
      <c r="BE85" s="19"/>
    </row>
    <row r="86" spans="1:57">
      <c r="A86" s="15">
        <v>45812</v>
      </c>
      <c r="B86" s="26">
        <v>1600</v>
      </c>
      <c r="C86" s="27"/>
      <c r="D86" s="26">
        <f>(SUM(粮草!A86:X86)+AG86*10*IF(AK86="是",$BB$4,$BB$3))</f>
        <v>0</v>
      </c>
      <c r="E86" s="28">
        <f>SUM($B$4:B86)+SUM($C$4:C86)-SUM($D$4:D86)</f>
        <v>77992</v>
      </c>
      <c r="F86" s="29">
        <f>SUM(经验!A86:X86)</f>
        <v>0</v>
      </c>
      <c r="G86" s="26">
        <f>SUM($F$4:F86)+SUM($H$4:H86)</f>
        <v>29860</v>
      </c>
      <c r="H86" s="26">
        <v>300</v>
      </c>
      <c r="I86" t="s">
        <v>41</v>
      </c>
      <c r="J86" t="s">
        <v>41</v>
      </c>
      <c r="K86" t="s">
        <v>41</v>
      </c>
      <c r="L86" t="s">
        <v>41</v>
      </c>
      <c r="M86" t="s">
        <v>41</v>
      </c>
      <c r="N86" t="s">
        <v>41</v>
      </c>
      <c r="O86" s="36" t="s">
        <v>41</v>
      </c>
      <c r="P86" s="36" t="s">
        <v>41</v>
      </c>
      <c r="Q86" t="s">
        <v>41</v>
      </c>
      <c r="R86" t="s">
        <v>41</v>
      </c>
      <c r="S86" t="s">
        <v>41</v>
      </c>
      <c r="T86" t="s">
        <v>41</v>
      </c>
      <c r="U86" t="s">
        <v>41</v>
      </c>
      <c r="V86" t="s">
        <v>41</v>
      </c>
      <c r="W86" s="36" t="s">
        <v>41</v>
      </c>
      <c r="X86" s="36" t="s">
        <v>41</v>
      </c>
      <c r="Y86" t="s">
        <v>41</v>
      </c>
      <c r="Z86" t="s">
        <v>41</v>
      </c>
      <c r="AA86" t="s">
        <v>41</v>
      </c>
      <c r="AB86" t="s">
        <v>41</v>
      </c>
      <c r="AC86" t="s">
        <v>41</v>
      </c>
      <c r="AD86" t="s">
        <v>41</v>
      </c>
      <c r="AE86" s="36" t="s">
        <v>41</v>
      </c>
      <c r="AF86" s="36" t="s">
        <v>41</v>
      </c>
      <c r="AG86" s="69">
        <f t="shared" si="17"/>
        <v>0</v>
      </c>
      <c r="AH86" s="74"/>
      <c r="AI86" s="74"/>
      <c r="AJ86" s="74"/>
      <c r="AK86" s="75" t="s">
        <v>60</v>
      </c>
      <c r="AL86" s="71">
        <f t="shared" si="18"/>
        <v>18</v>
      </c>
      <c r="AM86" s="72">
        <f t="shared" si="19"/>
        <v>18</v>
      </c>
      <c r="AN86" s="73">
        <f t="shared" si="20"/>
        <v>18</v>
      </c>
      <c r="BE86" s="19"/>
    </row>
    <row r="87" spans="1:57">
      <c r="A87" s="15">
        <v>45813</v>
      </c>
      <c r="B87" s="26">
        <v>1600</v>
      </c>
      <c r="C87" s="27"/>
      <c r="D87" s="26">
        <f>(SUM(粮草!A87:X87)+AG87*10*IF(AK87="是",$BB$4,$BB$3))</f>
        <v>0</v>
      </c>
      <c r="E87" s="28">
        <f>SUM($B$4:B87)+SUM($C$4:C87)-SUM($D$4:D87)</f>
        <v>79592</v>
      </c>
      <c r="F87" s="29">
        <f>SUM(经验!A87:X87)</f>
        <v>0</v>
      </c>
      <c r="G87" s="26">
        <f>SUM($F$4:F87)+SUM($H$4:H87)</f>
        <v>29860</v>
      </c>
      <c r="H87" s="26">
        <v>0</v>
      </c>
      <c r="I87" t="s">
        <v>41</v>
      </c>
      <c r="J87" t="s">
        <v>41</v>
      </c>
      <c r="K87" t="s">
        <v>41</v>
      </c>
      <c r="L87" t="s">
        <v>41</v>
      </c>
      <c r="M87" t="s">
        <v>41</v>
      </c>
      <c r="N87" t="s">
        <v>41</v>
      </c>
      <c r="O87" s="36" t="s">
        <v>41</v>
      </c>
      <c r="P87" s="36" t="s">
        <v>41</v>
      </c>
      <c r="Q87" t="s">
        <v>41</v>
      </c>
      <c r="R87" t="s">
        <v>41</v>
      </c>
      <c r="S87" t="s">
        <v>41</v>
      </c>
      <c r="T87" t="s">
        <v>41</v>
      </c>
      <c r="U87" t="s">
        <v>41</v>
      </c>
      <c r="V87" t="s">
        <v>41</v>
      </c>
      <c r="W87" s="36" t="s">
        <v>41</v>
      </c>
      <c r="X87" s="36" t="s">
        <v>41</v>
      </c>
      <c r="Y87" t="s">
        <v>41</v>
      </c>
      <c r="Z87" t="s">
        <v>41</v>
      </c>
      <c r="AA87" t="s">
        <v>41</v>
      </c>
      <c r="AB87" t="s">
        <v>41</v>
      </c>
      <c r="AC87" t="s">
        <v>41</v>
      </c>
      <c r="AD87" t="s">
        <v>41</v>
      </c>
      <c r="AE87" s="36" t="s">
        <v>41</v>
      </c>
      <c r="AF87" s="36" t="s">
        <v>41</v>
      </c>
      <c r="AG87" s="69">
        <f t="shared" si="17"/>
        <v>0</v>
      </c>
      <c r="AH87" s="74"/>
      <c r="AI87" s="74"/>
      <c r="AJ87" s="74"/>
      <c r="AK87" s="75" t="s">
        <v>60</v>
      </c>
      <c r="AL87" s="71">
        <f t="shared" si="18"/>
        <v>18</v>
      </c>
      <c r="AM87" s="72">
        <f t="shared" si="19"/>
        <v>18</v>
      </c>
      <c r="AN87" s="73">
        <f t="shared" si="20"/>
        <v>18</v>
      </c>
      <c r="BE87" s="19"/>
    </row>
    <row r="88" spans="1:57">
      <c r="A88" s="15">
        <v>45814</v>
      </c>
      <c r="B88" s="26">
        <v>1600</v>
      </c>
      <c r="C88" s="27"/>
      <c r="D88" s="26">
        <f>(SUM(粮草!A88:X88)+AG88*10*IF(AK88="是",$BB$4,$BB$3))</f>
        <v>0</v>
      </c>
      <c r="E88" s="28">
        <f>SUM($B$4:B88)+SUM($C$4:C88)-SUM($D$4:D88)</f>
        <v>81192</v>
      </c>
      <c r="F88" s="29">
        <f>SUM(经验!A88:X88)</f>
        <v>0</v>
      </c>
      <c r="G88" s="26">
        <f>SUM($F$4:F88)+SUM($H$4:H88)</f>
        <v>29860</v>
      </c>
      <c r="H88" s="26">
        <v>0</v>
      </c>
      <c r="I88" t="s">
        <v>41</v>
      </c>
      <c r="J88" t="s">
        <v>41</v>
      </c>
      <c r="K88" t="s">
        <v>41</v>
      </c>
      <c r="L88" t="s">
        <v>41</v>
      </c>
      <c r="M88" t="s">
        <v>41</v>
      </c>
      <c r="N88" t="s">
        <v>41</v>
      </c>
      <c r="O88" s="36" t="s">
        <v>41</v>
      </c>
      <c r="P88" s="36" t="s">
        <v>41</v>
      </c>
      <c r="Q88" t="s">
        <v>41</v>
      </c>
      <c r="R88" t="s">
        <v>41</v>
      </c>
      <c r="S88" t="s">
        <v>41</v>
      </c>
      <c r="T88" t="s">
        <v>41</v>
      </c>
      <c r="U88" t="s">
        <v>41</v>
      </c>
      <c r="V88" t="s">
        <v>41</v>
      </c>
      <c r="W88" s="36" t="s">
        <v>41</v>
      </c>
      <c r="X88" s="36" t="s">
        <v>41</v>
      </c>
      <c r="Y88" t="s">
        <v>41</v>
      </c>
      <c r="Z88" t="s">
        <v>41</v>
      </c>
      <c r="AA88" t="s">
        <v>41</v>
      </c>
      <c r="AB88" t="s">
        <v>41</v>
      </c>
      <c r="AC88" t="s">
        <v>41</v>
      </c>
      <c r="AD88" t="s">
        <v>41</v>
      </c>
      <c r="AE88" s="36" t="s">
        <v>41</v>
      </c>
      <c r="AF88" s="36" t="s">
        <v>41</v>
      </c>
      <c r="AG88" s="69">
        <f t="shared" si="17"/>
        <v>0</v>
      </c>
      <c r="AH88" s="74"/>
      <c r="AI88" s="74"/>
      <c r="AJ88" s="74"/>
      <c r="AK88" s="75" t="s">
        <v>60</v>
      </c>
      <c r="AL88" s="71">
        <f t="shared" si="18"/>
        <v>18</v>
      </c>
      <c r="AM88" s="72">
        <f t="shared" si="19"/>
        <v>18</v>
      </c>
      <c r="AN88" s="73">
        <f t="shared" si="20"/>
        <v>18</v>
      </c>
      <c r="BE88" s="19"/>
    </row>
    <row r="89" spans="1:57">
      <c r="A89" s="15">
        <v>45815</v>
      </c>
      <c r="B89" s="26">
        <v>1600</v>
      </c>
      <c r="C89" s="27"/>
      <c r="D89" s="26">
        <f>(SUM(粮草!A89:X89)+AG89*10*IF(AK89="是",$BB$4,$BB$3))</f>
        <v>0</v>
      </c>
      <c r="E89" s="28">
        <f>SUM($B$4:B89)+SUM($C$4:C89)-SUM($D$4:D89)</f>
        <v>82792</v>
      </c>
      <c r="F89" s="29">
        <f>SUM(经验!A89:X89)</f>
        <v>0</v>
      </c>
      <c r="G89" s="26">
        <f>SUM($F$4:F89)+SUM($H$4:H89)</f>
        <v>29860</v>
      </c>
      <c r="H89" s="26">
        <v>0</v>
      </c>
      <c r="I89" t="s">
        <v>41</v>
      </c>
      <c r="J89" t="s">
        <v>41</v>
      </c>
      <c r="K89" t="s">
        <v>41</v>
      </c>
      <c r="L89" t="s">
        <v>41</v>
      </c>
      <c r="M89" t="s">
        <v>41</v>
      </c>
      <c r="N89" t="s">
        <v>41</v>
      </c>
      <c r="O89" s="36" t="s">
        <v>41</v>
      </c>
      <c r="P89" s="36" t="s">
        <v>41</v>
      </c>
      <c r="Q89" t="s">
        <v>41</v>
      </c>
      <c r="R89" t="s">
        <v>41</v>
      </c>
      <c r="S89" t="s">
        <v>41</v>
      </c>
      <c r="T89" t="s">
        <v>41</v>
      </c>
      <c r="U89" t="s">
        <v>41</v>
      </c>
      <c r="V89" t="s">
        <v>41</v>
      </c>
      <c r="W89" s="36" t="s">
        <v>41</v>
      </c>
      <c r="X89" s="36" t="s">
        <v>41</v>
      </c>
      <c r="Y89" t="s">
        <v>41</v>
      </c>
      <c r="Z89" t="s">
        <v>41</v>
      </c>
      <c r="AA89" t="s">
        <v>41</v>
      </c>
      <c r="AB89" t="s">
        <v>41</v>
      </c>
      <c r="AC89" t="s">
        <v>41</v>
      </c>
      <c r="AD89" t="s">
        <v>41</v>
      </c>
      <c r="AE89" s="36" t="s">
        <v>41</v>
      </c>
      <c r="AF89" s="36" t="s">
        <v>41</v>
      </c>
      <c r="AG89" s="69">
        <f t="shared" si="17"/>
        <v>0</v>
      </c>
      <c r="AH89" s="74"/>
      <c r="AI89" s="74"/>
      <c r="AJ89" s="74"/>
      <c r="AK89" s="75" t="s">
        <v>60</v>
      </c>
      <c r="AL89" s="71">
        <f t="shared" si="18"/>
        <v>18</v>
      </c>
      <c r="AM89" s="72">
        <f t="shared" si="19"/>
        <v>18</v>
      </c>
      <c r="AN89" s="73">
        <f t="shared" si="20"/>
        <v>18</v>
      </c>
      <c r="BE89" s="19"/>
    </row>
    <row r="90" spans="1:57">
      <c r="A90" s="15">
        <v>45816</v>
      </c>
      <c r="B90" s="26">
        <v>1600</v>
      </c>
      <c r="C90" s="27"/>
      <c r="D90" s="26">
        <f>(SUM(粮草!A90:X90)+AG90*10*IF(AK90="是",$BB$4,$BB$3))</f>
        <v>0</v>
      </c>
      <c r="E90" s="28">
        <f>SUM($B$4:B90)+SUM($C$4:C90)-SUM($D$4:D90)</f>
        <v>84392</v>
      </c>
      <c r="F90" s="29">
        <f>SUM(经验!A90:X90)</f>
        <v>0</v>
      </c>
      <c r="G90" s="26">
        <f>SUM($F$4:F90)+SUM($H$4:H90)</f>
        <v>29860</v>
      </c>
      <c r="H90" s="26">
        <v>0</v>
      </c>
      <c r="I90" t="s">
        <v>41</v>
      </c>
      <c r="J90" t="s">
        <v>41</v>
      </c>
      <c r="K90" t="s">
        <v>41</v>
      </c>
      <c r="L90" t="s">
        <v>41</v>
      </c>
      <c r="M90" t="s">
        <v>41</v>
      </c>
      <c r="N90" t="s">
        <v>41</v>
      </c>
      <c r="O90" s="36" t="s">
        <v>41</v>
      </c>
      <c r="P90" s="36" t="s">
        <v>41</v>
      </c>
      <c r="Q90" t="s">
        <v>41</v>
      </c>
      <c r="R90" t="s">
        <v>41</v>
      </c>
      <c r="S90" t="s">
        <v>41</v>
      </c>
      <c r="T90" t="s">
        <v>41</v>
      </c>
      <c r="U90" t="s">
        <v>41</v>
      </c>
      <c r="V90" t="s">
        <v>41</v>
      </c>
      <c r="W90" s="36" t="s">
        <v>41</v>
      </c>
      <c r="X90" s="36" t="s">
        <v>41</v>
      </c>
      <c r="Y90" t="s">
        <v>41</v>
      </c>
      <c r="Z90" t="s">
        <v>41</v>
      </c>
      <c r="AA90" t="s">
        <v>41</v>
      </c>
      <c r="AB90" t="s">
        <v>41</v>
      </c>
      <c r="AC90" t="s">
        <v>41</v>
      </c>
      <c r="AD90" t="s">
        <v>41</v>
      </c>
      <c r="AE90" s="36" t="s">
        <v>41</v>
      </c>
      <c r="AF90" s="36" t="s">
        <v>41</v>
      </c>
      <c r="AG90" s="69">
        <f t="shared" si="17"/>
        <v>0</v>
      </c>
      <c r="AH90" s="74"/>
      <c r="AI90" s="74"/>
      <c r="AJ90" s="74"/>
      <c r="AK90" s="75" t="s">
        <v>60</v>
      </c>
      <c r="AL90" s="71">
        <f t="shared" si="18"/>
        <v>18</v>
      </c>
      <c r="AM90" s="72">
        <f t="shared" si="19"/>
        <v>18</v>
      </c>
      <c r="AN90" s="73">
        <f t="shared" si="20"/>
        <v>18</v>
      </c>
      <c r="BE90" s="19"/>
    </row>
    <row r="91" spans="1:57">
      <c r="A91" s="15">
        <v>45817</v>
      </c>
      <c r="B91">
        <v>1600</v>
      </c>
      <c r="D91" s="26">
        <f>(SUM(粮草!A91:X91)+AG91*10*IF(AK91="是",$BB$4,$BB$3))</f>
        <v>0</v>
      </c>
      <c r="E91" s="28">
        <f>SUM($B$4:B91)+SUM($C$4:C91)-SUM($D$4:D91)</f>
        <v>85992</v>
      </c>
      <c r="F91" s="29">
        <f>SUM(经验!A91:X91)</f>
        <v>0</v>
      </c>
      <c r="G91" s="26">
        <f>SUM($F$4:F91)+SUM($H$4:H91)</f>
        <v>30060</v>
      </c>
      <c r="H91">
        <v>200</v>
      </c>
      <c r="I91" t="s">
        <v>41</v>
      </c>
      <c r="J91" t="s">
        <v>41</v>
      </c>
      <c r="K91" t="s">
        <v>41</v>
      </c>
      <c r="L91" t="s">
        <v>41</v>
      </c>
      <c r="M91" t="s">
        <v>41</v>
      </c>
      <c r="N91" t="s">
        <v>41</v>
      </c>
      <c r="O91" s="36" t="s">
        <v>41</v>
      </c>
      <c r="P91" s="36" t="s">
        <v>41</v>
      </c>
      <c r="Q91" t="s">
        <v>41</v>
      </c>
      <c r="R91" t="s">
        <v>41</v>
      </c>
      <c r="S91" t="s">
        <v>41</v>
      </c>
      <c r="T91" t="s">
        <v>41</v>
      </c>
      <c r="U91" t="s">
        <v>41</v>
      </c>
      <c r="V91" t="s">
        <v>41</v>
      </c>
      <c r="W91" s="36" t="s">
        <v>41</v>
      </c>
      <c r="X91" s="36" t="s">
        <v>41</v>
      </c>
      <c r="Y91" t="s">
        <v>41</v>
      </c>
      <c r="Z91" t="s">
        <v>41</v>
      </c>
      <c r="AA91" t="s">
        <v>41</v>
      </c>
      <c r="AB91" t="s">
        <v>41</v>
      </c>
      <c r="AC91" t="s">
        <v>41</v>
      </c>
      <c r="AD91" t="s">
        <v>41</v>
      </c>
      <c r="AE91" s="36" t="s">
        <v>41</v>
      </c>
      <c r="AF91" s="36" t="s">
        <v>41</v>
      </c>
      <c r="AG91" s="69">
        <f t="shared" si="17"/>
        <v>0</v>
      </c>
      <c r="AH91" s="74"/>
      <c r="AI91" s="74"/>
      <c r="AJ91" s="74"/>
      <c r="AK91" s="75" t="s">
        <v>60</v>
      </c>
      <c r="AL91" s="71">
        <f t="shared" si="18"/>
        <v>18</v>
      </c>
      <c r="AM91" s="72">
        <f t="shared" si="19"/>
        <v>18</v>
      </c>
      <c r="AN91" s="73">
        <f t="shared" si="20"/>
        <v>18</v>
      </c>
      <c r="BE91" s="19"/>
    </row>
    <row r="92" spans="1:57">
      <c r="A92" s="15">
        <v>45818</v>
      </c>
      <c r="B92">
        <v>1600</v>
      </c>
      <c r="D92" s="26">
        <f>(SUM(粮草!A92:X92)+AG92*10*IF(AK92="是",$BB$4,$BB$3))</f>
        <v>0</v>
      </c>
      <c r="E92" s="28">
        <f>SUM($B$4:B92)+SUM($C$4:C92)-SUM($D$4:D92)</f>
        <v>87592</v>
      </c>
      <c r="F92" s="29">
        <f>SUM(经验!A92:X92)</f>
        <v>0</v>
      </c>
      <c r="G92" s="26">
        <f>SUM($F$4:F92)+SUM($H$4:H92)</f>
        <v>30160</v>
      </c>
      <c r="H92">
        <v>100</v>
      </c>
      <c r="I92" t="s">
        <v>41</v>
      </c>
      <c r="J92" t="s">
        <v>41</v>
      </c>
      <c r="K92" t="s">
        <v>41</v>
      </c>
      <c r="L92" t="s">
        <v>41</v>
      </c>
      <c r="M92" t="s">
        <v>41</v>
      </c>
      <c r="N92" t="s">
        <v>41</v>
      </c>
      <c r="O92" s="36" t="s">
        <v>41</v>
      </c>
      <c r="P92" s="36" t="s">
        <v>41</v>
      </c>
      <c r="Q92" t="s">
        <v>41</v>
      </c>
      <c r="R92" t="s">
        <v>41</v>
      </c>
      <c r="S92" t="s">
        <v>41</v>
      </c>
      <c r="T92" t="s">
        <v>41</v>
      </c>
      <c r="U92" t="s">
        <v>41</v>
      </c>
      <c r="V92" t="s">
        <v>41</v>
      </c>
      <c r="W92" s="36" t="s">
        <v>41</v>
      </c>
      <c r="X92" s="36" t="s">
        <v>41</v>
      </c>
      <c r="Y92" t="s">
        <v>41</v>
      </c>
      <c r="Z92" t="s">
        <v>41</v>
      </c>
      <c r="AA92" t="s">
        <v>41</v>
      </c>
      <c r="AB92" t="s">
        <v>41</v>
      </c>
      <c r="AC92" t="s">
        <v>41</v>
      </c>
      <c r="AD92" t="s">
        <v>41</v>
      </c>
      <c r="AE92" s="36" t="s">
        <v>41</v>
      </c>
      <c r="AF92" s="36" t="s">
        <v>41</v>
      </c>
      <c r="AG92" s="69">
        <f t="shared" si="17"/>
        <v>0</v>
      </c>
      <c r="AH92" s="74"/>
      <c r="AI92" s="74"/>
      <c r="AJ92" s="74"/>
      <c r="AK92" s="75" t="s">
        <v>60</v>
      </c>
      <c r="AL92" s="71">
        <f t="shared" si="18"/>
        <v>18</v>
      </c>
      <c r="AM92" s="72">
        <f t="shared" si="19"/>
        <v>18</v>
      </c>
      <c r="AN92" s="73">
        <f t="shared" si="20"/>
        <v>18</v>
      </c>
      <c r="BE92" s="19"/>
    </row>
    <row r="93" spans="1:57">
      <c r="A93" s="15">
        <v>45819</v>
      </c>
      <c r="B93">
        <v>1600</v>
      </c>
      <c r="C93">
        <v>40</v>
      </c>
      <c r="D93" s="26">
        <f>(SUM(粮草!A93:X93)+AG93*10*IF(AK93="是",$BB$4,$BB$3))</f>
        <v>136</v>
      </c>
      <c r="E93" s="28">
        <f>SUM($B$4:B93)+SUM($C$4:C93)-SUM($D$4:D93)</f>
        <v>89096</v>
      </c>
      <c r="F93" s="29">
        <f>SUM(经验!A93:X93)</f>
        <v>0</v>
      </c>
      <c r="G93" s="26">
        <f>SUM($F$4:F93)+SUM($H$4:H93)</f>
        <v>30360</v>
      </c>
      <c r="H93">
        <v>200</v>
      </c>
      <c r="I93" t="s">
        <v>41</v>
      </c>
      <c r="J93" t="s">
        <v>41</v>
      </c>
      <c r="K93" t="s">
        <v>41</v>
      </c>
      <c r="L93" t="s">
        <v>41</v>
      </c>
      <c r="M93" t="s">
        <v>41</v>
      </c>
      <c r="N93" t="s">
        <v>41</v>
      </c>
      <c r="O93" s="36" t="s">
        <v>41</v>
      </c>
      <c r="P93" s="36" t="s">
        <v>41</v>
      </c>
      <c r="Q93" t="s">
        <v>41</v>
      </c>
      <c r="R93" t="s">
        <v>41</v>
      </c>
      <c r="S93" t="s">
        <v>41</v>
      </c>
      <c r="T93" t="s">
        <v>41</v>
      </c>
      <c r="U93" t="s">
        <v>41</v>
      </c>
      <c r="V93" t="s">
        <v>41</v>
      </c>
      <c r="W93" s="36" t="s">
        <v>41</v>
      </c>
      <c r="X93" s="36" t="s">
        <v>41</v>
      </c>
      <c r="Y93" t="s">
        <v>41</v>
      </c>
      <c r="Z93" t="s">
        <v>41</v>
      </c>
      <c r="AA93" t="s">
        <v>41</v>
      </c>
      <c r="AB93" t="s">
        <v>41</v>
      </c>
      <c r="AC93" t="s">
        <v>41</v>
      </c>
      <c r="AD93" t="s">
        <v>41</v>
      </c>
      <c r="AE93" s="36" t="s">
        <v>41</v>
      </c>
      <c r="AF93" s="36" t="s">
        <v>41</v>
      </c>
      <c r="AG93" s="69">
        <f t="shared" si="17"/>
        <v>17</v>
      </c>
      <c r="AH93" s="74">
        <v>4</v>
      </c>
      <c r="AI93" s="74">
        <v>6</v>
      </c>
      <c r="AJ93" s="74">
        <v>7</v>
      </c>
      <c r="AK93" s="75" t="s">
        <v>60</v>
      </c>
      <c r="AL93" s="71">
        <f t="shared" si="18"/>
        <v>18</v>
      </c>
      <c r="AM93" s="72">
        <f t="shared" si="19"/>
        <v>18</v>
      </c>
      <c r="AN93" s="73">
        <f t="shared" si="20"/>
        <v>18</v>
      </c>
      <c r="BE93" s="19"/>
    </row>
    <row r="95" spans="1:57">
      <c r="D95" t="s">
        <v>79</v>
      </c>
      <c r="E95" s="97">
        <f>COUNTIF(E4:E93,"&lt;0")</f>
        <v>17</v>
      </c>
    </row>
  </sheetData>
  <mergeCells count="14">
    <mergeCell ref="AQ48:AR48"/>
    <mergeCell ref="AK2:AK3"/>
    <mergeCell ref="BA5:BB8"/>
    <mergeCell ref="AO1:AQ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phoneticPr fontId="17" type="noConversion"/>
  <conditionalFormatting sqref="A1:H1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{53F8D2E3-B907-43FC-900C-388A27FD9700}</x14:id>
        </ext>
      </extLst>
    </cfRule>
  </conditionalFormatting>
  <pageMargins left="0.7" right="0.7" top="0.75" bottom="0.75" header="0.3" footer="0.3"/>
  <pageSetup orientation="portrait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3F8D2E3-B907-43FC-900C-388A27FD970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Z94"/>
  <sheetViews>
    <sheetView topLeftCell="A61" workbookViewId="0">
      <selection activeCell="AB54" sqref="AB54"/>
    </sheetView>
  </sheetViews>
  <sheetFormatPr defaultColWidth="9" defaultRowHeight="15"/>
  <cols>
    <col min="26" max="26" width="10.5703125" customWidth="1"/>
  </cols>
  <sheetData>
    <row r="2" spans="1:26">
      <c r="A2" s="125" t="s">
        <v>80</v>
      </c>
      <c r="B2" s="126"/>
      <c r="C2" s="1" t="s">
        <v>4</v>
      </c>
      <c r="D2" s="1">
        <f>COUNTIF(A4:H94,"&lt;&gt;空")</f>
        <v>728</v>
      </c>
      <c r="E2" s="126" t="s">
        <v>5</v>
      </c>
      <c r="F2" s="126"/>
      <c r="G2" s="126"/>
      <c r="H2" s="127"/>
      <c r="I2" s="128" t="s">
        <v>6</v>
      </c>
      <c r="J2" s="129"/>
      <c r="K2" s="5" t="s">
        <v>4</v>
      </c>
      <c r="L2" s="5">
        <f>COUNTIF(I4:P94,"&lt;&gt;空")</f>
        <v>728</v>
      </c>
      <c r="M2" s="129" t="s">
        <v>5</v>
      </c>
      <c r="N2" s="129"/>
      <c r="O2" s="129"/>
      <c r="P2" s="130"/>
      <c r="Q2" s="131" t="s">
        <v>7</v>
      </c>
      <c r="R2" s="123"/>
      <c r="S2" s="9" t="s">
        <v>8</v>
      </c>
      <c r="T2" s="8">
        <f>COUNTIF(Q4:X94,"&lt;&gt;空")</f>
        <v>728</v>
      </c>
      <c r="U2" s="123" t="s">
        <v>5</v>
      </c>
      <c r="V2" s="123"/>
      <c r="W2" s="123"/>
      <c r="X2" s="124"/>
      <c r="Y2" t="s">
        <v>16</v>
      </c>
    </row>
    <row r="3" spans="1:26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6">
        <v>1</v>
      </c>
      <c r="J3" s="7">
        <v>2</v>
      </c>
      <c r="K3" s="7">
        <v>3</v>
      </c>
      <c r="L3" s="7">
        <v>4</v>
      </c>
      <c r="M3" s="7">
        <v>5</v>
      </c>
      <c r="N3" s="7">
        <v>6</v>
      </c>
      <c r="O3" s="7">
        <v>7</v>
      </c>
      <c r="P3" s="7">
        <v>8</v>
      </c>
      <c r="Q3" s="10">
        <v>1</v>
      </c>
      <c r="R3" s="11">
        <v>2</v>
      </c>
      <c r="S3" s="11">
        <v>3</v>
      </c>
      <c r="T3" s="11">
        <v>4</v>
      </c>
      <c r="U3" s="11">
        <v>5</v>
      </c>
      <c r="V3" s="11">
        <v>6</v>
      </c>
      <c r="W3" s="11">
        <v>7</v>
      </c>
      <c r="X3" s="12">
        <v>8</v>
      </c>
    </row>
    <row r="4" spans="1:26">
      <c r="A4" s="4">
        <f>IF(ISNUMBER(SEARCH("营",'19.07'!I4)),(-$Y4+50*IF('19.07'!$AK4="是",'19.07'!$BB$4,'19.07'!$BB$3)),(VLOOKUP('19.07'!I4,'19.07'!$AO$4:$AQ$55,2,FALSE))*IF('19.07'!$AK4="是",'19.07'!$BB$4,'19.07'!$BB$3))</f>
        <v>150</v>
      </c>
      <c r="B4" s="4">
        <f>IF(ISNUMBER(SEARCH("营",'19.07'!J4)),(-$Y4+50*IF('19.07'!$AK4="是",'19.07'!$BB$4,'19.07'!$BB$3)),(VLOOKUP('19.07'!J4,'19.07'!$AO$4:$AQ$55,2,FALSE))*IF('19.07'!$AK4="是",'19.07'!$BB$4,'19.07'!$BB$3))</f>
        <v>150</v>
      </c>
      <c r="C4" s="4">
        <f>IF(ISNUMBER(SEARCH("营",'19.07'!K4)),(-$Y4+50*IF('19.07'!$AK4="是",'19.07'!$BB$4,'19.07'!$BB$3)),(VLOOKUP('19.07'!K4,'19.07'!$AO$4:$AQ$55,2,FALSE))*IF('19.07'!$AK4="是",'19.07'!$BB$4,'19.07'!$BB$3))</f>
        <v>150</v>
      </c>
      <c r="D4" s="4">
        <f>IF(ISNUMBER(SEARCH("营",'19.07'!L4)),(-$Y4+50*IF('19.07'!$AK4="是",'19.07'!$BB$4,'19.07'!$BB$3)),(VLOOKUP('19.07'!L4,'19.07'!$AO$4:$AQ$55,2,FALSE))*IF('19.07'!$AK4="是",'19.07'!$BB$4,'19.07'!$BB$3))</f>
        <v>150</v>
      </c>
      <c r="E4" s="4">
        <f>IF(ISNUMBER(SEARCH("营",'19.07'!M4)),(-$Y4+50*IF('19.07'!$AK4="是",'19.07'!$BB$4,'19.07'!$BB$3)),(VLOOKUP('19.07'!M4,'19.07'!$AO$4:$AQ$55,2,FALSE))*IF('19.07'!$AK4="是",'19.07'!$BB$4,'19.07'!$BB$3))</f>
        <v>150</v>
      </c>
      <c r="F4" s="4">
        <f>IF(ISNUMBER(SEARCH("营",'19.07'!N4)),(-$Y4+50*IF('19.07'!$AK4="是",'19.07'!$BB$4,'19.07'!$BB$3)),(VLOOKUP('19.07'!N4,'19.07'!$AO$4:$AQ$55,2,FALSE))*IF('19.07'!$AK4="是",'19.07'!$BB$4,'19.07'!$BB$3))</f>
        <v>50</v>
      </c>
      <c r="G4" s="4">
        <f>IF(ISNUMBER(SEARCH("营",'19.07'!O4)),(-$Y4+50*IF('19.07'!$AK4="是",'19.07'!$BB$4,'19.07'!$BB$3)),(VLOOKUP('19.07'!O4,'19.07'!$AO$4:$AQ$55,2,FALSE))*IF('19.07'!$AK4="是",'19.07'!$BB$4,'19.07'!$BB$3))</f>
        <v>0</v>
      </c>
      <c r="H4" s="4">
        <f>IF(ISNUMBER(SEARCH("营",'19.07'!P4)),(-$Y4+50*IF('19.07'!$AK4="是",'19.07'!$BB$4,'19.07'!$BB$3)),(VLOOKUP('19.07'!P4,'19.07'!$AO$4:$AQ$55,2,FALSE))*IF('19.07'!$AK4="是",'19.07'!$BB$4,'19.07'!$BB$3))</f>
        <v>0</v>
      </c>
      <c r="I4" s="4">
        <f>IF(ISNUMBER(SEARCH("营",'19.07'!Q4)),(-$Y4+50*IF('19.07'!$AK4="是",'19.07'!$BB$4,'19.07'!$BB$3)),(VLOOKUP('19.07'!Q4,'19.07'!$AO$4:$AQ$55,2,FALSE))*IF('19.07'!$AK4="是",'19.07'!$BB$4,'19.07'!$BB$3))</f>
        <v>150</v>
      </c>
      <c r="J4" s="4">
        <f>IF(ISNUMBER(SEARCH("营",'19.07'!R4)),(-$Y4+50*IF('19.07'!$AK4="是",'19.07'!$BB$4,'19.07'!$BB$3)),(VLOOKUP('19.07'!R4,'19.07'!$AO$4:$AQ$55,2,FALSE))*IF('19.07'!$AK4="是",'19.07'!$BB$4,'19.07'!$BB$3))</f>
        <v>150</v>
      </c>
      <c r="K4" s="4">
        <f>IF(ISNUMBER(SEARCH("营",'19.07'!S4)),(-$Y4+50*IF('19.07'!$AK4="是",'19.07'!$BB$4,'19.07'!$BB$3)),(VLOOKUP('19.07'!S4,'19.07'!$AO$4:$AQ$55,2,FALSE))*IF('19.07'!$AK4="是",'19.07'!$BB$4,'19.07'!$BB$3))</f>
        <v>150</v>
      </c>
      <c r="L4" s="4">
        <f>IF(ISNUMBER(SEARCH("营",'19.07'!T4)),(-$Y4+50*IF('19.07'!$AK4="是",'19.07'!$BB$4,'19.07'!$BB$3)),(VLOOKUP('19.07'!T4,'19.07'!$AO$4:$AQ$55,2,FALSE))*IF('19.07'!$AK4="是",'19.07'!$BB$4,'19.07'!$BB$3))</f>
        <v>150</v>
      </c>
      <c r="M4" s="4">
        <f>IF(ISNUMBER(SEARCH("营",'19.07'!U4)),(-$Y4+50*IF('19.07'!$AK4="是",'19.07'!$BB$4,'19.07'!$BB$3)),(VLOOKUP('19.07'!U4,'19.07'!$AO$4:$AQ$55,2,FALSE))*IF('19.07'!$AK4="是",'19.07'!$BB$4,'19.07'!$BB$3))</f>
        <v>150</v>
      </c>
      <c r="N4" s="4">
        <f>IF(ISNUMBER(SEARCH("营",'19.07'!V4)),(-$Y4+50*IF('19.07'!$AK4="是",'19.07'!$BB$4,'19.07'!$BB$3)),(VLOOKUP('19.07'!V4,'19.07'!$AO$4:$AQ$55,2,FALSE))*IF('19.07'!$AK4="是",'19.07'!$BB$4,'19.07'!$BB$3))</f>
        <v>50</v>
      </c>
      <c r="O4" s="4">
        <f>IF(ISNUMBER(SEARCH("营",'19.07'!W4)),(-$Y4+50*IF('19.07'!$AK4="是",'19.07'!$BB$4,'19.07'!$BB$3)),(VLOOKUP('19.07'!W4,'19.07'!$AO$4:$AQ$55,2,FALSE))*IF('19.07'!$AK4="是",'19.07'!$BB$4,'19.07'!$BB$3))</f>
        <v>190</v>
      </c>
      <c r="P4" s="4">
        <f>IF(ISNUMBER(SEARCH("营",'19.07'!X4)),(-$Y4+50*IF('19.07'!$AK4="是",'19.07'!$BB$4,'19.07'!$BB$3)),(VLOOKUP('19.07'!X4,'19.07'!$AO$4:$AQ$55,2,FALSE))*IF('19.07'!$AK4="是",'19.07'!$BB$4,'19.07'!$BB$3))</f>
        <v>190</v>
      </c>
      <c r="Q4" s="4">
        <f>IF(ISNUMBER(SEARCH("营",'19.07'!Y4)),(-$Y4+50*IF('19.07'!$AK4="是",'19.07'!$BB$4,'19.07'!$BB$3)),(VLOOKUP('19.07'!Y4,'19.07'!$AO$4:$AQ$55,2,FALSE))*IF('19.07'!$AK4="是",'19.07'!$BB$4,'19.07'!$BB$3))</f>
        <v>0</v>
      </c>
      <c r="R4" s="4">
        <f>IF(ISNUMBER(SEARCH("营",'19.07'!Z4)),(-$Y4+50*IF('19.07'!$AK4="是",'19.07'!$BB$4,'19.07'!$BB$3)),(VLOOKUP('19.07'!Z4,'19.07'!$AO$4:$AQ$55,2,FALSE))*IF('19.07'!$AK4="是",'19.07'!$BB$4,'19.07'!$BB$3))</f>
        <v>0</v>
      </c>
      <c r="S4" s="4">
        <f>IF(ISNUMBER(SEARCH("营",'19.07'!AA4)),(-$Y4+50*IF('19.07'!$AK4="是",'19.07'!$BB$4,'19.07'!$BB$3)),(VLOOKUP('19.07'!AA4,'19.07'!$AO$4:$AQ$55,2,FALSE))*IF('19.07'!$AK4="是",'19.07'!$BB$4,'19.07'!$BB$3))</f>
        <v>0</v>
      </c>
      <c r="T4" s="4">
        <f>IF(ISNUMBER(SEARCH("营",'19.07'!AB4)),(-$Y4+50*IF('19.07'!$AK4="是",'19.07'!$BB$4,'19.07'!$BB$3)),(VLOOKUP('19.07'!AB4,'19.07'!$AO$4:$AQ$55,2,FALSE))*IF('19.07'!$AK4="是",'19.07'!$BB$4,'19.07'!$BB$3))</f>
        <v>0</v>
      </c>
      <c r="U4" s="4">
        <f>IF(ISNUMBER(SEARCH("营",'19.07'!AC4)),(-$Y4+50*IF('19.07'!$AK4="是",'19.07'!$BB$4,'19.07'!$BB$3)),(VLOOKUP('19.07'!AC4,'19.07'!$AO$4:$AQ$55,2,FALSE))*IF('19.07'!$AK4="是",'19.07'!$BB$4,'19.07'!$BB$3))</f>
        <v>0</v>
      </c>
      <c r="V4" s="4">
        <f>IF(ISNUMBER(SEARCH("营",'19.07'!AD4)),(-$Y4+50*IF('19.07'!$AK4="是",'19.07'!$BB$4,'19.07'!$BB$3)),(VLOOKUP('19.07'!AD4,'19.07'!$AO$4:$AQ$55,2,FALSE))*IF('19.07'!$AK4="是",'19.07'!$BB$4,'19.07'!$BB$3))</f>
        <v>0</v>
      </c>
      <c r="W4" s="4">
        <f>IF(ISNUMBER(SEARCH("营",'19.07'!AE4)),(-$Y4+50*IF('19.07'!$AK4="是",'19.07'!$BB$4,'19.07'!$BB$3)),(VLOOKUP('19.07'!AE4,'19.07'!$AO$4:$AQ$55,2,FALSE))*IF('19.07'!$AK4="是",'19.07'!$BB$4,'19.07'!$BB$3))</f>
        <v>0</v>
      </c>
      <c r="X4" s="4">
        <f>IF(ISNUMBER(SEARCH("营",'19.07'!AF4)),(-$Y4+50*IF('19.07'!$AK4="是",'19.07'!$BB$4,'19.07'!$BB$3)),(VLOOKUP('19.07'!AF4,'19.07'!$AO$4:$AQ$55,2,FALSE))*IF('19.07'!$AK4="是",'19.07'!$BB$4,'19.07'!$BB$3))</f>
        <v>150</v>
      </c>
      <c r="Y4" s="14">
        <v>300</v>
      </c>
      <c r="Z4" s="15">
        <v>45730</v>
      </c>
    </row>
    <row r="5" spans="1:26">
      <c r="A5" s="4">
        <f>IF(ISNUMBER(SEARCH("营",'19.07'!I5)),(-$Y5+50*IF('19.07'!$AK5="是",'19.07'!$BB$4,'19.07'!$BB$3)),(VLOOKUP('19.07'!I5,'19.07'!$AO$4:$AQ$55,2,FALSE))*IF('19.07'!$AK5="是",'19.07'!$BB$4,'19.07'!$BB$3))</f>
        <v>0</v>
      </c>
      <c r="B5" s="4">
        <f>IF(ISNUMBER(SEARCH("营",'19.07'!J5)),(-$Y5+50*IF('19.07'!$AK5="是",'19.07'!$BB$4,'19.07'!$BB$3)),(VLOOKUP('19.07'!J5,'19.07'!$AO$4:$AQ$55,2,FALSE))*IF('19.07'!$AK5="是",'19.07'!$BB$4,'19.07'!$BB$3))</f>
        <v>0</v>
      </c>
      <c r="C5" s="4">
        <f>IF(ISNUMBER(SEARCH("营",'19.07'!K5)),(-$Y5+50*IF('19.07'!$AK5="是",'19.07'!$BB$4,'19.07'!$BB$3)),(VLOOKUP('19.07'!K5,'19.07'!$AO$4:$AQ$55,2,FALSE))*IF('19.07'!$AK5="是",'19.07'!$BB$4,'19.07'!$BB$3))</f>
        <v>0</v>
      </c>
      <c r="D5" s="4">
        <f>IF(ISNUMBER(SEARCH("营",'19.07'!L5)),(-$Y5+50*IF('19.07'!$AK5="是",'19.07'!$BB$4,'19.07'!$BB$3)),(VLOOKUP('19.07'!L5,'19.07'!$AO$4:$AQ$55,2,FALSE))*IF('19.07'!$AK5="是",'19.07'!$BB$4,'19.07'!$BB$3))</f>
        <v>0</v>
      </c>
      <c r="E5" s="4">
        <f>IF(ISNUMBER(SEARCH("营",'19.07'!M5)),(-$Y5+50*IF('19.07'!$AK5="是",'19.07'!$BB$4,'19.07'!$BB$3)),(VLOOKUP('19.07'!M5,'19.07'!$AO$4:$AQ$55,2,FALSE))*IF('19.07'!$AK5="是",'19.07'!$BB$4,'19.07'!$BB$3))</f>
        <v>0</v>
      </c>
      <c r="F5" s="4">
        <f>IF(ISNUMBER(SEARCH("营",'19.07'!N5)),(-$Y5+50*IF('19.07'!$AK5="是",'19.07'!$BB$4,'19.07'!$BB$3)),(VLOOKUP('19.07'!N5,'19.07'!$AO$4:$AQ$55,2,FALSE))*IF('19.07'!$AK5="是",'19.07'!$BB$4,'19.07'!$BB$3))</f>
        <v>0</v>
      </c>
      <c r="G5" s="4">
        <f>IF(ISNUMBER(SEARCH("营",'19.07'!O5)),(-$Y5+50*IF('19.07'!$AK5="是",'19.07'!$BB$4,'19.07'!$BB$3)),(VLOOKUP('19.07'!O5,'19.07'!$AO$4:$AQ$55,2,FALSE))*IF('19.07'!$AK5="是",'19.07'!$BB$4,'19.07'!$BB$3))</f>
        <v>0</v>
      </c>
      <c r="H5" s="4">
        <f>IF(ISNUMBER(SEARCH("营",'19.07'!P5)),(-$Y5+50*IF('19.07'!$AK5="是",'19.07'!$BB$4,'19.07'!$BB$3)),(VLOOKUP('19.07'!P5,'19.07'!$AO$4:$AQ$55,2,FALSE))*IF('19.07'!$AK5="是",'19.07'!$BB$4,'19.07'!$BB$3))</f>
        <v>0</v>
      </c>
      <c r="I5" s="4">
        <f>IF(ISNUMBER(SEARCH("营",'19.07'!Q5)),(-$Y5+50*IF('19.07'!$AK5="是",'19.07'!$BB$4,'19.07'!$BB$3)),(VLOOKUP('19.07'!Q5,'19.07'!$AO$4:$AQ$55,2,FALSE))*IF('19.07'!$AK5="是",'19.07'!$BB$4,'19.07'!$BB$3))</f>
        <v>0</v>
      </c>
      <c r="J5" s="4">
        <f>IF(ISNUMBER(SEARCH("营",'19.07'!R5)),(-$Y5+50*IF('19.07'!$AK5="是",'19.07'!$BB$4,'19.07'!$BB$3)),(VLOOKUP('19.07'!R5,'19.07'!$AO$4:$AQ$55,2,FALSE))*IF('19.07'!$AK5="是",'19.07'!$BB$4,'19.07'!$BB$3))</f>
        <v>160</v>
      </c>
      <c r="K5" s="4">
        <f>IF(ISNUMBER(SEARCH("营",'19.07'!S5)),(-$Y5+50*IF('19.07'!$AK5="是",'19.07'!$BB$4,'19.07'!$BB$3)),(VLOOKUP('19.07'!S5,'19.07'!$AO$4:$AQ$55,2,FALSE))*IF('19.07'!$AK5="是",'19.07'!$BB$4,'19.07'!$BB$3))</f>
        <v>160</v>
      </c>
      <c r="L5" s="4">
        <f>IF(ISNUMBER(SEARCH("营",'19.07'!T5)),(-$Y5+50*IF('19.07'!$AK5="是",'19.07'!$BB$4,'19.07'!$BB$3)),(VLOOKUP('19.07'!T5,'19.07'!$AO$4:$AQ$55,2,FALSE))*IF('19.07'!$AK5="是",'19.07'!$BB$4,'19.07'!$BB$3))</f>
        <v>50</v>
      </c>
      <c r="M5" s="4">
        <f>IF(ISNUMBER(SEARCH("营",'19.07'!U5)),(-$Y5+50*IF('19.07'!$AK5="是",'19.07'!$BB$4,'19.07'!$BB$3)),(VLOOKUP('19.07'!U5,'19.07'!$AO$4:$AQ$55,2,FALSE))*IF('19.07'!$AK5="是",'19.07'!$BB$4,'19.07'!$BB$3))</f>
        <v>160</v>
      </c>
      <c r="N5" s="4">
        <f>IF(ISNUMBER(SEARCH("营",'19.07'!V5)),(-$Y5+50*IF('19.07'!$AK5="是",'19.07'!$BB$4,'19.07'!$BB$3)),(VLOOKUP('19.07'!V5,'19.07'!$AO$4:$AQ$55,2,FALSE))*IF('19.07'!$AK5="是",'19.07'!$BB$4,'19.07'!$BB$3))</f>
        <v>160</v>
      </c>
      <c r="O5" s="4">
        <f>IF(ISNUMBER(SEARCH("营",'19.07'!W5)),(-$Y5+50*IF('19.07'!$AK5="是",'19.07'!$BB$4,'19.07'!$BB$3)),(VLOOKUP('19.07'!W5,'19.07'!$AO$4:$AQ$55,2,FALSE))*IF('19.07'!$AK5="是",'19.07'!$BB$4,'19.07'!$BB$3))</f>
        <v>170</v>
      </c>
      <c r="P5" s="4">
        <f>IF(ISNUMBER(SEARCH("营",'19.07'!X5)),(-$Y5+50*IF('19.07'!$AK5="是",'19.07'!$BB$4,'19.07'!$BB$3)),(VLOOKUP('19.07'!X5,'19.07'!$AO$4:$AQ$55,2,FALSE))*IF('19.07'!$AK5="是",'19.07'!$BB$4,'19.07'!$BB$3))</f>
        <v>170</v>
      </c>
      <c r="Q5" s="4">
        <f>IF(ISNUMBER(SEARCH("营",'19.07'!Y5)),(-$Y5+50*IF('19.07'!$AK5="是",'19.07'!$BB$4,'19.07'!$BB$3)),(VLOOKUP('19.07'!Y5,'19.07'!$AO$4:$AQ$55,2,FALSE))*IF('19.07'!$AK5="是",'19.07'!$BB$4,'19.07'!$BB$3))</f>
        <v>150</v>
      </c>
      <c r="R5" s="4">
        <f>IF(ISNUMBER(SEARCH("营",'19.07'!Z5)),(-$Y5+50*IF('19.07'!$AK5="是",'19.07'!$BB$4,'19.07'!$BB$3)),(VLOOKUP('19.07'!Z5,'19.07'!$AO$4:$AQ$55,2,FALSE))*IF('19.07'!$AK5="是",'19.07'!$BB$4,'19.07'!$BB$3))</f>
        <v>150</v>
      </c>
      <c r="S5" s="4">
        <f>IF(ISNUMBER(SEARCH("营",'19.07'!AA5)),(-$Y5+50*IF('19.07'!$AK5="是",'19.07'!$BB$4,'19.07'!$BB$3)),(VLOOKUP('19.07'!AA5,'19.07'!$AO$4:$AQ$55,2,FALSE))*IF('19.07'!$AK5="是",'19.07'!$BB$4,'19.07'!$BB$3))</f>
        <v>150</v>
      </c>
      <c r="T5" s="4">
        <f>IF(ISNUMBER(SEARCH("营",'19.07'!AB5)),(-$Y5+50*IF('19.07'!$AK5="是",'19.07'!$BB$4,'19.07'!$BB$3)),(VLOOKUP('19.07'!AB5,'19.07'!$AO$4:$AQ$55,2,FALSE))*IF('19.07'!$AK5="是",'19.07'!$BB$4,'19.07'!$BB$3))</f>
        <v>150</v>
      </c>
      <c r="U5" s="4">
        <f>IF(ISNUMBER(SEARCH("营",'19.07'!AC5)),(-$Y5+50*IF('19.07'!$AK5="是",'19.07'!$BB$4,'19.07'!$BB$3)),(VLOOKUP('19.07'!AC5,'19.07'!$AO$4:$AQ$55,2,FALSE))*IF('19.07'!$AK5="是",'19.07'!$BB$4,'19.07'!$BB$3))</f>
        <v>150</v>
      </c>
      <c r="V5" s="4">
        <f>IF(ISNUMBER(SEARCH("营",'19.07'!AD5)),(-$Y5+50*IF('19.07'!$AK5="是",'19.07'!$BB$4,'19.07'!$BB$3)),(VLOOKUP('19.07'!AD5,'19.07'!$AO$4:$AQ$55,2,FALSE))*IF('19.07'!$AK5="是",'19.07'!$BB$4,'19.07'!$BB$3))</f>
        <v>150</v>
      </c>
      <c r="W5" s="4">
        <f>IF(ISNUMBER(SEARCH("营",'19.07'!AE5)),(-$Y5+50*IF('19.07'!$AK5="是",'19.07'!$BB$4,'19.07'!$BB$3)),(VLOOKUP('19.07'!AE5,'19.07'!$AO$4:$AQ$55,2,FALSE))*IF('19.07'!$AK5="是",'19.07'!$BB$4,'19.07'!$BB$3))</f>
        <v>150</v>
      </c>
      <c r="X5" s="4">
        <f>IF(ISNUMBER(SEARCH("营",'19.07'!AF5)),(-$Y5+50*IF('19.07'!$AK5="是",'19.07'!$BB$4,'19.07'!$BB$3)),(VLOOKUP('19.07'!AF5,'19.07'!$AO$4:$AQ$55,2,FALSE))*IF('19.07'!$AK5="是",'19.07'!$BB$4,'19.07'!$BB$3))</f>
        <v>150</v>
      </c>
      <c r="Y5" s="14">
        <v>300</v>
      </c>
      <c r="Z5" s="15">
        <v>45731</v>
      </c>
    </row>
    <row r="6" spans="1:26">
      <c r="A6" s="4">
        <f>IF(ISNUMBER(SEARCH("营",'19.07'!I6)),(-$Y6+50*IF('19.07'!$AK6="是",'19.07'!$BB$4,'19.07'!$BB$3)),(VLOOKUP('19.07'!I6,'19.07'!$AO$4:$AQ$55,2,FALSE))*IF('19.07'!$AK6="是",'19.07'!$BB$4,'19.07'!$BB$3))</f>
        <v>0</v>
      </c>
      <c r="B6" s="4">
        <f>IF(ISNUMBER(SEARCH("营",'19.07'!J6)),(-$Y6+50*IF('19.07'!$AK6="是",'19.07'!$BB$4,'19.07'!$BB$3)),(VLOOKUP('19.07'!J6,'19.07'!$AO$4:$AQ$55,2,FALSE))*IF('19.07'!$AK6="是",'19.07'!$BB$4,'19.07'!$BB$3))</f>
        <v>0</v>
      </c>
      <c r="C6" s="4">
        <f>IF(ISNUMBER(SEARCH("营",'19.07'!K6)),(-$Y6+50*IF('19.07'!$AK6="是",'19.07'!$BB$4,'19.07'!$BB$3)),(VLOOKUP('19.07'!K6,'19.07'!$AO$4:$AQ$55,2,FALSE))*IF('19.07'!$AK6="是",'19.07'!$BB$4,'19.07'!$BB$3))</f>
        <v>0</v>
      </c>
      <c r="D6" s="4">
        <f>IF(ISNUMBER(SEARCH("营",'19.07'!L6)),(-$Y6+50*IF('19.07'!$AK6="是",'19.07'!$BB$4,'19.07'!$BB$3)),(VLOOKUP('19.07'!L6,'19.07'!$AO$4:$AQ$55,2,FALSE))*IF('19.07'!$AK6="是",'19.07'!$BB$4,'19.07'!$BB$3))</f>
        <v>0</v>
      </c>
      <c r="E6" s="4">
        <f>IF(ISNUMBER(SEARCH("营",'19.07'!M6)),(-$Y6+50*IF('19.07'!$AK6="是",'19.07'!$BB$4,'19.07'!$BB$3)),(VLOOKUP('19.07'!M6,'19.07'!$AO$4:$AQ$55,2,FALSE))*IF('19.07'!$AK6="是",'19.07'!$BB$4,'19.07'!$BB$3))</f>
        <v>0</v>
      </c>
      <c r="F6" s="4">
        <f>IF(ISNUMBER(SEARCH("营",'19.07'!N6)),(-$Y6+50*IF('19.07'!$AK6="是",'19.07'!$BB$4,'19.07'!$BB$3)),(VLOOKUP('19.07'!N6,'19.07'!$AO$4:$AQ$55,2,FALSE))*IF('19.07'!$AK6="是",'19.07'!$BB$4,'19.07'!$BB$3))</f>
        <v>0</v>
      </c>
      <c r="G6" s="4">
        <f>IF(ISNUMBER(SEARCH("营",'19.07'!O6)),(-$Y6+50*IF('19.07'!$AK6="是",'19.07'!$BB$4,'19.07'!$BB$3)),(VLOOKUP('19.07'!O6,'19.07'!$AO$4:$AQ$55,2,FALSE))*IF('19.07'!$AK6="是",'19.07'!$BB$4,'19.07'!$BB$3))</f>
        <v>0</v>
      </c>
      <c r="H6" s="4">
        <f>IF(ISNUMBER(SEARCH("营",'19.07'!P6)),(-$Y6+50*IF('19.07'!$AK6="是",'19.07'!$BB$4,'19.07'!$BB$3)),(VLOOKUP('19.07'!P6,'19.07'!$AO$4:$AQ$55,2,FALSE))*IF('19.07'!$AK6="是",'19.07'!$BB$4,'19.07'!$BB$3))</f>
        <v>0</v>
      </c>
      <c r="I6" s="4">
        <f>IF(ISNUMBER(SEARCH("营",'19.07'!Q6)),(-$Y6+50*IF('19.07'!$AK6="是",'19.07'!$BB$4,'19.07'!$BB$3)),(VLOOKUP('19.07'!Q6,'19.07'!$AO$4:$AQ$55,2,FALSE))*IF('19.07'!$AK6="是",'19.07'!$BB$4,'19.07'!$BB$3))</f>
        <v>160</v>
      </c>
      <c r="J6" s="4">
        <f>IF(ISNUMBER(SEARCH("营",'19.07'!R6)),(-$Y6+50*IF('19.07'!$AK6="是",'19.07'!$BB$4,'19.07'!$BB$3)),(VLOOKUP('19.07'!R6,'19.07'!$AO$4:$AQ$55,2,FALSE))*IF('19.07'!$AK6="是",'19.07'!$BB$4,'19.07'!$BB$3))</f>
        <v>160</v>
      </c>
      <c r="K6" s="4">
        <f>IF(ISNUMBER(SEARCH("营",'19.07'!S6)),(-$Y6+50*IF('19.07'!$AK6="是",'19.07'!$BB$4,'19.07'!$BB$3)),(VLOOKUP('19.07'!S6,'19.07'!$AO$4:$AQ$55,2,FALSE))*IF('19.07'!$AK6="是",'19.07'!$BB$4,'19.07'!$BB$3))</f>
        <v>160</v>
      </c>
      <c r="L6" s="4">
        <f>IF(ISNUMBER(SEARCH("营",'19.07'!T6)),(-$Y6+50*IF('19.07'!$AK6="是",'19.07'!$BB$4,'19.07'!$BB$3)),(VLOOKUP('19.07'!T6,'19.07'!$AO$4:$AQ$55,2,FALSE))*IF('19.07'!$AK6="是",'19.07'!$BB$4,'19.07'!$BB$3))</f>
        <v>160</v>
      </c>
      <c r="M6" s="4">
        <f>IF(ISNUMBER(SEARCH("营",'19.07'!U6)),(-$Y6+50*IF('19.07'!$AK6="是",'19.07'!$BB$4,'19.07'!$BB$3)),(VLOOKUP('19.07'!U6,'19.07'!$AO$4:$AQ$55,2,FALSE))*IF('19.07'!$AK6="是",'19.07'!$BB$4,'19.07'!$BB$3))</f>
        <v>160</v>
      </c>
      <c r="N6" s="4">
        <f>IF(ISNUMBER(SEARCH("营",'19.07'!V6)),(-$Y6+50*IF('19.07'!$AK6="是",'19.07'!$BB$4,'19.07'!$BB$3)),(VLOOKUP('19.07'!V6,'19.07'!$AO$4:$AQ$55,2,FALSE))*IF('19.07'!$AK6="是",'19.07'!$BB$4,'19.07'!$BB$3))</f>
        <v>160</v>
      </c>
      <c r="O6" s="4">
        <f>IF(ISNUMBER(SEARCH("营",'19.07'!W6)),(-$Y6+50*IF('19.07'!$AK6="是",'19.07'!$BB$4,'19.07'!$BB$3)),(VLOOKUP('19.07'!W6,'19.07'!$AO$4:$AQ$55,2,FALSE))*IF('19.07'!$AK6="是",'19.07'!$BB$4,'19.07'!$BB$3))</f>
        <v>170</v>
      </c>
      <c r="P6" s="4">
        <f>IF(ISNUMBER(SEARCH("营",'19.07'!X6)),(-$Y6+50*IF('19.07'!$AK6="是",'19.07'!$BB$4,'19.07'!$BB$3)),(VLOOKUP('19.07'!X6,'19.07'!$AO$4:$AQ$55,2,FALSE))*IF('19.07'!$AK6="是",'19.07'!$BB$4,'19.07'!$BB$3))</f>
        <v>170</v>
      </c>
      <c r="Q6" s="4">
        <f>IF(ISNUMBER(SEARCH("营",'19.07'!Y6)),(-$Y6+50*IF('19.07'!$AK6="是",'19.07'!$BB$4,'19.07'!$BB$3)),(VLOOKUP('19.07'!Y6,'19.07'!$AO$4:$AQ$55,2,FALSE))*IF('19.07'!$AK6="是",'19.07'!$BB$4,'19.07'!$BB$3))</f>
        <v>160</v>
      </c>
      <c r="R6" s="4">
        <f>IF(ISNUMBER(SEARCH("营",'19.07'!Z6)),(-$Y6+50*IF('19.07'!$AK6="是",'19.07'!$BB$4,'19.07'!$BB$3)),(VLOOKUP('19.07'!Z6,'19.07'!$AO$4:$AQ$55,2,FALSE))*IF('19.07'!$AK6="是",'19.07'!$BB$4,'19.07'!$BB$3))</f>
        <v>160</v>
      </c>
      <c r="S6" s="4">
        <f>IF(ISNUMBER(SEARCH("营",'19.07'!AA6)),(-$Y6+50*IF('19.07'!$AK6="是",'19.07'!$BB$4,'19.07'!$BB$3)),(VLOOKUP('19.07'!AA6,'19.07'!$AO$4:$AQ$55,2,FALSE))*IF('19.07'!$AK6="是",'19.07'!$BB$4,'19.07'!$BB$3))</f>
        <v>160</v>
      </c>
      <c r="T6" s="4">
        <f>IF(ISNUMBER(SEARCH("营",'19.07'!AB6)),(-$Y6+50*IF('19.07'!$AK6="是",'19.07'!$BB$4,'19.07'!$BB$3)),(VLOOKUP('19.07'!AB6,'19.07'!$AO$4:$AQ$55,2,FALSE))*IF('19.07'!$AK6="是",'19.07'!$BB$4,'19.07'!$BB$3))</f>
        <v>160</v>
      </c>
      <c r="U6" s="4">
        <f>IF(ISNUMBER(SEARCH("营",'19.07'!AC6)),(-$Y6+50*IF('19.07'!$AK6="是",'19.07'!$BB$4,'19.07'!$BB$3)),(VLOOKUP('19.07'!AC6,'19.07'!$AO$4:$AQ$55,2,FALSE))*IF('19.07'!$AK6="是",'19.07'!$BB$4,'19.07'!$BB$3))</f>
        <v>160</v>
      </c>
      <c r="V6" s="4">
        <f>IF(ISNUMBER(SEARCH("营",'19.07'!AD6)),(-$Y6+50*IF('19.07'!$AK6="是",'19.07'!$BB$4,'19.07'!$BB$3)),(VLOOKUP('19.07'!AD6,'19.07'!$AO$4:$AQ$55,2,FALSE))*IF('19.07'!$AK6="是",'19.07'!$BB$4,'19.07'!$BB$3))</f>
        <v>150</v>
      </c>
      <c r="W6" s="4">
        <f>IF(ISNUMBER(SEARCH("营",'19.07'!AE6)),(-$Y6+50*IF('19.07'!$AK6="是",'19.07'!$BB$4,'19.07'!$BB$3)),(VLOOKUP('19.07'!AE6,'19.07'!$AO$4:$AQ$55,2,FALSE))*IF('19.07'!$AK6="是",'19.07'!$BB$4,'19.07'!$BB$3))</f>
        <v>160</v>
      </c>
      <c r="X6" s="4">
        <f>IF(ISNUMBER(SEARCH("营",'19.07'!AF6)),(-$Y6+50*IF('19.07'!$AK6="是",'19.07'!$BB$4,'19.07'!$BB$3)),(VLOOKUP('19.07'!AF6,'19.07'!$AO$4:$AQ$55,2,FALSE))*IF('19.07'!$AK6="是",'19.07'!$BB$4,'19.07'!$BB$3))</f>
        <v>160</v>
      </c>
      <c r="Y6" s="14">
        <v>300</v>
      </c>
      <c r="Z6" s="15">
        <v>45732</v>
      </c>
    </row>
    <row r="7" spans="1:26">
      <c r="A7" s="4">
        <f>IF(ISNUMBER(SEARCH("营",'19.07'!I7)),(-$Y7+50*IF('19.07'!$AK7="是",'19.07'!$BB$4,'19.07'!$BB$3)),(VLOOKUP('19.07'!I7,'19.07'!$AO$4:$AQ$55,2,FALSE))*IF('19.07'!$AK7="是",'19.07'!$BB$4,'19.07'!$BB$3))</f>
        <v>0</v>
      </c>
      <c r="B7" s="4">
        <f>IF(ISNUMBER(SEARCH("营",'19.07'!J7)),(-$Y7+50*IF('19.07'!$AK7="是",'19.07'!$BB$4,'19.07'!$BB$3)),(VLOOKUP('19.07'!J7,'19.07'!$AO$4:$AQ$55,2,FALSE))*IF('19.07'!$AK7="是",'19.07'!$BB$4,'19.07'!$BB$3))</f>
        <v>0</v>
      </c>
      <c r="C7" s="4">
        <f>IF(ISNUMBER(SEARCH("营",'19.07'!K7)),(-$Y7+50*IF('19.07'!$AK7="是",'19.07'!$BB$4,'19.07'!$BB$3)),(VLOOKUP('19.07'!K7,'19.07'!$AO$4:$AQ$55,2,FALSE))*IF('19.07'!$AK7="是",'19.07'!$BB$4,'19.07'!$BB$3))</f>
        <v>0</v>
      </c>
      <c r="D7" s="4">
        <f>IF(ISNUMBER(SEARCH("营",'19.07'!L7)),(-$Y7+50*IF('19.07'!$AK7="是",'19.07'!$BB$4,'19.07'!$BB$3)),(VLOOKUP('19.07'!L7,'19.07'!$AO$4:$AQ$55,2,FALSE))*IF('19.07'!$AK7="是",'19.07'!$BB$4,'19.07'!$BB$3))</f>
        <v>0</v>
      </c>
      <c r="E7" s="4">
        <f>IF(ISNUMBER(SEARCH("营",'19.07'!M7)),(-$Y7+50*IF('19.07'!$AK7="是",'19.07'!$BB$4,'19.07'!$BB$3)),(VLOOKUP('19.07'!M7,'19.07'!$AO$4:$AQ$55,2,FALSE))*IF('19.07'!$AK7="是",'19.07'!$BB$4,'19.07'!$BB$3))</f>
        <v>0</v>
      </c>
      <c r="F7" s="4">
        <f>IF(ISNUMBER(SEARCH("营",'19.07'!N7)),(-$Y7+50*IF('19.07'!$AK7="是",'19.07'!$BB$4,'19.07'!$BB$3)),(VLOOKUP('19.07'!N7,'19.07'!$AO$4:$AQ$55,2,FALSE))*IF('19.07'!$AK7="是",'19.07'!$BB$4,'19.07'!$BB$3))</f>
        <v>0</v>
      </c>
      <c r="G7" s="4">
        <f>IF(ISNUMBER(SEARCH("营",'19.07'!O7)),(-$Y7+50*IF('19.07'!$AK7="是",'19.07'!$BB$4,'19.07'!$BB$3)),(VLOOKUP('19.07'!O7,'19.07'!$AO$4:$AQ$55,2,FALSE))*IF('19.07'!$AK7="是",'19.07'!$BB$4,'19.07'!$BB$3))</f>
        <v>0</v>
      </c>
      <c r="H7" s="4">
        <f>IF(ISNUMBER(SEARCH("营",'19.07'!P7)),(-$Y7+50*IF('19.07'!$AK7="是",'19.07'!$BB$4,'19.07'!$BB$3)),(VLOOKUP('19.07'!P7,'19.07'!$AO$4:$AQ$55,2,FALSE))*IF('19.07'!$AK7="是",'19.07'!$BB$4,'19.07'!$BB$3))</f>
        <v>0</v>
      </c>
      <c r="I7" s="4">
        <f>IF(ISNUMBER(SEARCH("营",'19.07'!Q7)),(-$Y7+50*IF('19.07'!$AK7="是",'19.07'!$BB$4,'19.07'!$BB$3)),(VLOOKUP('19.07'!Q7,'19.07'!$AO$4:$AQ$55,2,FALSE))*IF('19.07'!$AK7="是",'19.07'!$BB$4,'19.07'!$BB$3))</f>
        <v>160</v>
      </c>
      <c r="J7" s="4">
        <f>IF(ISNUMBER(SEARCH("营",'19.07'!R7)),(-$Y7+50*IF('19.07'!$AK7="是",'19.07'!$BB$4,'19.07'!$BB$3)),(VLOOKUP('19.07'!R7,'19.07'!$AO$4:$AQ$55,2,FALSE))*IF('19.07'!$AK7="是",'19.07'!$BB$4,'19.07'!$BB$3))</f>
        <v>50</v>
      </c>
      <c r="K7" s="4">
        <f>IF(ISNUMBER(SEARCH("营",'19.07'!S7)),(-$Y7+50*IF('19.07'!$AK7="是",'19.07'!$BB$4,'19.07'!$BB$3)),(VLOOKUP('19.07'!S7,'19.07'!$AO$4:$AQ$55,2,FALSE))*IF('19.07'!$AK7="是",'19.07'!$BB$4,'19.07'!$BB$3))</f>
        <v>160</v>
      </c>
      <c r="L7" s="4">
        <f>IF(ISNUMBER(SEARCH("营",'19.07'!T7)),(-$Y7+50*IF('19.07'!$AK7="是",'19.07'!$BB$4,'19.07'!$BB$3)),(VLOOKUP('19.07'!T7,'19.07'!$AO$4:$AQ$55,2,FALSE))*IF('19.07'!$AK7="是",'19.07'!$BB$4,'19.07'!$BB$3))</f>
        <v>160</v>
      </c>
      <c r="M7" s="4">
        <f>IF(ISNUMBER(SEARCH("营",'19.07'!U7)),(-$Y7+50*IF('19.07'!$AK7="是",'19.07'!$BB$4,'19.07'!$BB$3)),(VLOOKUP('19.07'!U7,'19.07'!$AO$4:$AQ$55,2,FALSE))*IF('19.07'!$AK7="是",'19.07'!$BB$4,'19.07'!$BB$3))</f>
        <v>-250</v>
      </c>
      <c r="N7" s="4">
        <f>IF(ISNUMBER(SEARCH("营",'19.07'!V7)),(-$Y7+50*IF('19.07'!$AK7="是",'19.07'!$BB$4,'19.07'!$BB$3)),(VLOOKUP('19.07'!V7,'19.07'!$AO$4:$AQ$55,2,FALSE))*IF('19.07'!$AK7="是",'19.07'!$BB$4,'19.07'!$BB$3))</f>
        <v>160</v>
      </c>
      <c r="O7" s="4">
        <f>IF(ISNUMBER(SEARCH("营",'19.07'!W7)),(-$Y7+50*IF('19.07'!$AK7="是",'19.07'!$BB$4,'19.07'!$BB$3)),(VLOOKUP('19.07'!W7,'19.07'!$AO$4:$AQ$55,2,FALSE))*IF('19.07'!$AK7="是",'19.07'!$BB$4,'19.07'!$BB$3))</f>
        <v>170</v>
      </c>
      <c r="P7" s="4">
        <f>IF(ISNUMBER(SEARCH("营",'19.07'!X7)),(-$Y7+50*IF('19.07'!$AK7="是",'19.07'!$BB$4,'19.07'!$BB$3)),(VLOOKUP('19.07'!X7,'19.07'!$AO$4:$AQ$55,2,FALSE))*IF('19.07'!$AK7="是",'19.07'!$BB$4,'19.07'!$BB$3))</f>
        <v>0</v>
      </c>
      <c r="Q7" s="4">
        <f>IF(ISNUMBER(SEARCH("营",'19.07'!Y7)),(-$Y7+50*IF('19.07'!$AK7="是",'19.07'!$BB$4,'19.07'!$BB$3)),(VLOOKUP('19.07'!Y7,'19.07'!$AO$4:$AQ$55,2,FALSE))*IF('19.07'!$AK7="是",'19.07'!$BB$4,'19.07'!$BB$3))</f>
        <v>160</v>
      </c>
      <c r="R7" s="4">
        <f>IF(ISNUMBER(SEARCH("营",'19.07'!Z7)),(-$Y7+50*IF('19.07'!$AK7="是",'19.07'!$BB$4,'19.07'!$BB$3)),(VLOOKUP('19.07'!Z7,'19.07'!$AO$4:$AQ$55,2,FALSE))*IF('19.07'!$AK7="是",'19.07'!$BB$4,'19.07'!$BB$3))</f>
        <v>160</v>
      </c>
      <c r="S7" s="4">
        <f>IF(ISNUMBER(SEARCH("营",'19.07'!AA7)),(-$Y7+50*IF('19.07'!$AK7="是",'19.07'!$BB$4,'19.07'!$BB$3)),(VLOOKUP('19.07'!AA7,'19.07'!$AO$4:$AQ$55,2,FALSE))*IF('19.07'!$AK7="是",'19.07'!$BB$4,'19.07'!$BB$3))</f>
        <v>160</v>
      </c>
      <c r="T7" s="4">
        <f>IF(ISNUMBER(SEARCH("营",'19.07'!AB7)),(-$Y7+50*IF('19.07'!$AK7="是",'19.07'!$BB$4,'19.07'!$BB$3)),(VLOOKUP('19.07'!AB7,'19.07'!$AO$4:$AQ$55,2,FALSE))*IF('19.07'!$AK7="是",'19.07'!$BB$4,'19.07'!$BB$3))</f>
        <v>50</v>
      </c>
      <c r="U7" s="4">
        <f>IF(ISNUMBER(SEARCH("营",'19.07'!AC7)),(-$Y7+50*IF('19.07'!$AK7="是",'19.07'!$BB$4,'19.07'!$BB$3)),(VLOOKUP('19.07'!AC7,'19.07'!$AO$4:$AQ$55,2,FALSE))*IF('19.07'!$AK7="是",'19.07'!$BB$4,'19.07'!$BB$3))</f>
        <v>160</v>
      </c>
      <c r="V7" s="4">
        <f>IF(ISNUMBER(SEARCH("营",'19.07'!AD7)),(-$Y7+50*IF('19.07'!$AK7="是",'19.07'!$BB$4,'19.07'!$BB$3)),(VLOOKUP('19.07'!AD7,'19.07'!$AO$4:$AQ$55,2,FALSE))*IF('19.07'!$AK7="是",'19.07'!$BB$4,'19.07'!$BB$3))</f>
        <v>150</v>
      </c>
      <c r="W7" s="4">
        <f>IF(ISNUMBER(SEARCH("营",'19.07'!AE7)),(-$Y7+50*IF('19.07'!$AK7="是",'19.07'!$BB$4,'19.07'!$BB$3)),(VLOOKUP('19.07'!AE7,'19.07'!$AO$4:$AQ$55,2,FALSE))*IF('19.07'!$AK7="是",'19.07'!$BB$4,'19.07'!$BB$3))</f>
        <v>170</v>
      </c>
      <c r="X7" s="4">
        <f>IF(ISNUMBER(SEARCH("营",'19.07'!AF7)),(-$Y7+50*IF('19.07'!$AK7="是",'19.07'!$BB$4,'19.07'!$BB$3)),(VLOOKUP('19.07'!AF7,'19.07'!$AO$4:$AQ$55,2,FALSE))*IF('19.07'!$AK7="是",'19.07'!$BB$4,'19.07'!$BB$3))</f>
        <v>0</v>
      </c>
      <c r="Y7" s="14">
        <v>300</v>
      </c>
      <c r="Z7" s="15">
        <v>45733</v>
      </c>
    </row>
    <row r="8" spans="1:26">
      <c r="A8" s="4">
        <f>IF(ISNUMBER(SEARCH("营",'19.07'!I8)),(-$Y8+50*IF('19.07'!$AK8="是",'19.07'!$BB$4,'19.07'!$BB$3)),(VLOOKUP('19.07'!I8,'19.07'!$AO$4:$AQ$55,2,FALSE))*IF('19.07'!$AK8="是",'19.07'!$BB$4,'19.07'!$BB$3))</f>
        <v>0</v>
      </c>
      <c r="B8" s="4">
        <f>IF(ISNUMBER(SEARCH("营",'19.07'!J8)),(-$Y8+50*IF('19.07'!$AK8="是",'19.07'!$BB$4,'19.07'!$BB$3)),(VLOOKUP('19.07'!J8,'19.07'!$AO$4:$AQ$55,2,FALSE))*IF('19.07'!$AK8="是",'19.07'!$BB$4,'19.07'!$BB$3))</f>
        <v>0</v>
      </c>
      <c r="C8" s="4">
        <f>IF(ISNUMBER(SEARCH("营",'19.07'!K8)),(-$Y8+50*IF('19.07'!$AK8="是",'19.07'!$BB$4,'19.07'!$BB$3)),(VLOOKUP('19.07'!K8,'19.07'!$AO$4:$AQ$55,2,FALSE))*IF('19.07'!$AK8="是",'19.07'!$BB$4,'19.07'!$BB$3))</f>
        <v>0</v>
      </c>
      <c r="D8" s="4">
        <f>IF(ISNUMBER(SEARCH("营",'19.07'!L8)),(-$Y8+50*IF('19.07'!$AK8="是",'19.07'!$BB$4,'19.07'!$BB$3)),(VLOOKUP('19.07'!L8,'19.07'!$AO$4:$AQ$55,2,FALSE))*IF('19.07'!$AK8="是",'19.07'!$BB$4,'19.07'!$BB$3))</f>
        <v>0</v>
      </c>
      <c r="E8" s="4">
        <f>IF(ISNUMBER(SEARCH("营",'19.07'!M8)),(-$Y8+50*IF('19.07'!$AK8="是",'19.07'!$BB$4,'19.07'!$BB$3)),(VLOOKUP('19.07'!M8,'19.07'!$AO$4:$AQ$55,2,FALSE))*IF('19.07'!$AK8="是",'19.07'!$BB$4,'19.07'!$BB$3))</f>
        <v>0</v>
      </c>
      <c r="F8" s="4">
        <f>IF(ISNUMBER(SEARCH("营",'19.07'!N8)),(-$Y8+50*IF('19.07'!$AK8="是",'19.07'!$BB$4,'19.07'!$BB$3)),(VLOOKUP('19.07'!N8,'19.07'!$AO$4:$AQ$55,2,FALSE))*IF('19.07'!$AK8="是",'19.07'!$BB$4,'19.07'!$BB$3))</f>
        <v>0</v>
      </c>
      <c r="G8" s="4">
        <f>IF(ISNUMBER(SEARCH("营",'19.07'!O8)),(-$Y8+50*IF('19.07'!$AK8="是",'19.07'!$BB$4,'19.07'!$BB$3)),(VLOOKUP('19.07'!O8,'19.07'!$AO$4:$AQ$55,2,FALSE))*IF('19.07'!$AK8="是",'19.07'!$BB$4,'19.07'!$BB$3))</f>
        <v>0</v>
      </c>
      <c r="H8" s="4">
        <f>IF(ISNUMBER(SEARCH("营",'19.07'!P8)),(-$Y8+50*IF('19.07'!$AK8="是",'19.07'!$BB$4,'19.07'!$BB$3)),(VLOOKUP('19.07'!P8,'19.07'!$AO$4:$AQ$55,2,FALSE))*IF('19.07'!$AK8="是",'19.07'!$BB$4,'19.07'!$BB$3))</f>
        <v>0</v>
      </c>
      <c r="I8" s="4">
        <f>IF(ISNUMBER(SEARCH("营",'19.07'!Q8)),(-$Y8+50*IF('19.07'!$AK8="是",'19.07'!$BB$4,'19.07'!$BB$3)),(VLOOKUP('19.07'!Q8,'19.07'!$AO$4:$AQ$55,2,FALSE))*IF('19.07'!$AK8="是",'19.07'!$BB$4,'19.07'!$BB$3))</f>
        <v>180</v>
      </c>
      <c r="J8" s="4">
        <f>IF(ISNUMBER(SEARCH("营",'19.07'!R8)),(-$Y8+50*IF('19.07'!$AK8="是",'19.07'!$BB$4,'19.07'!$BB$3)),(VLOOKUP('19.07'!R8,'19.07'!$AO$4:$AQ$55,2,FALSE))*IF('19.07'!$AK8="是",'19.07'!$BB$4,'19.07'!$BB$3))</f>
        <v>180</v>
      </c>
      <c r="K8" s="4">
        <f>IF(ISNUMBER(SEARCH("营",'19.07'!S8)),(-$Y8+50*IF('19.07'!$AK8="是",'19.07'!$BB$4,'19.07'!$BB$3)),(VLOOKUP('19.07'!S8,'19.07'!$AO$4:$AQ$55,2,FALSE))*IF('19.07'!$AK8="是",'19.07'!$BB$4,'19.07'!$BB$3))</f>
        <v>180</v>
      </c>
      <c r="L8" s="4">
        <f>IF(ISNUMBER(SEARCH("营",'19.07'!T8)),(-$Y8+50*IF('19.07'!$AK8="是",'19.07'!$BB$4,'19.07'!$BB$3)),(VLOOKUP('19.07'!T8,'19.07'!$AO$4:$AQ$55,2,FALSE))*IF('19.07'!$AK8="是",'19.07'!$BB$4,'19.07'!$BB$3))</f>
        <v>-250</v>
      </c>
      <c r="M8" s="4">
        <f>IF(ISNUMBER(SEARCH("营",'19.07'!U8)),(-$Y8+50*IF('19.07'!$AK8="是",'19.07'!$BB$4,'19.07'!$BB$3)),(VLOOKUP('19.07'!U8,'19.07'!$AO$4:$AQ$55,2,FALSE))*IF('19.07'!$AK8="是",'19.07'!$BB$4,'19.07'!$BB$3))</f>
        <v>180</v>
      </c>
      <c r="N8" s="4">
        <f>IF(ISNUMBER(SEARCH("营",'19.07'!V8)),(-$Y8+50*IF('19.07'!$AK8="是",'19.07'!$BB$4,'19.07'!$BB$3)),(VLOOKUP('19.07'!V8,'19.07'!$AO$4:$AQ$55,2,FALSE))*IF('19.07'!$AK8="是",'19.07'!$BB$4,'19.07'!$BB$3))</f>
        <v>0</v>
      </c>
      <c r="O8" s="4">
        <f>IF(ISNUMBER(SEARCH("营",'19.07'!W8)),(-$Y8+50*IF('19.07'!$AK8="是",'19.07'!$BB$4,'19.07'!$BB$3)),(VLOOKUP('19.07'!W8,'19.07'!$AO$4:$AQ$55,2,FALSE))*IF('19.07'!$AK8="是",'19.07'!$BB$4,'19.07'!$BB$3))</f>
        <v>0</v>
      </c>
      <c r="P8" s="4">
        <f>IF(ISNUMBER(SEARCH("营",'19.07'!X8)),(-$Y8+50*IF('19.07'!$AK8="是",'19.07'!$BB$4,'19.07'!$BB$3)),(VLOOKUP('19.07'!X8,'19.07'!$AO$4:$AQ$55,2,FALSE))*IF('19.07'!$AK8="是",'19.07'!$BB$4,'19.07'!$BB$3))</f>
        <v>0</v>
      </c>
      <c r="Q8" s="4">
        <f>IF(ISNUMBER(SEARCH("营",'19.07'!Y8)),(-$Y8+50*IF('19.07'!$AK8="是",'19.07'!$BB$4,'19.07'!$BB$3)),(VLOOKUP('19.07'!Y8,'19.07'!$AO$4:$AQ$55,2,FALSE))*IF('19.07'!$AK8="是",'19.07'!$BB$4,'19.07'!$BB$3))</f>
        <v>170</v>
      </c>
      <c r="R8" s="4">
        <f>IF(ISNUMBER(SEARCH("营",'19.07'!Z8)),(-$Y8+50*IF('19.07'!$AK8="是",'19.07'!$BB$4,'19.07'!$BB$3)),(VLOOKUP('19.07'!Z8,'19.07'!$AO$4:$AQ$55,2,FALSE))*IF('19.07'!$AK8="是",'19.07'!$BB$4,'19.07'!$BB$3))</f>
        <v>170</v>
      </c>
      <c r="S8" s="4">
        <f>IF(ISNUMBER(SEARCH("营",'19.07'!AA8)),(-$Y8+50*IF('19.07'!$AK8="是",'19.07'!$BB$4,'19.07'!$BB$3)),(VLOOKUP('19.07'!AA8,'19.07'!$AO$4:$AQ$55,2,FALSE))*IF('19.07'!$AK8="是",'19.07'!$BB$4,'19.07'!$BB$3))</f>
        <v>170</v>
      </c>
      <c r="T8" s="4">
        <f>IF(ISNUMBER(SEARCH("营",'19.07'!AB8)),(-$Y8+50*IF('19.07'!$AK8="是",'19.07'!$BB$4,'19.07'!$BB$3)),(VLOOKUP('19.07'!AB8,'19.07'!$AO$4:$AQ$55,2,FALSE))*IF('19.07'!$AK8="是",'19.07'!$BB$4,'19.07'!$BB$3))</f>
        <v>170</v>
      </c>
      <c r="U8" s="4">
        <f>IF(ISNUMBER(SEARCH("营",'19.07'!AC8)),(-$Y8+50*IF('19.07'!$AK8="是",'19.07'!$BB$4,'19.07'!$BB$3)),(VLOOKUP('19.07'!AC8,'19.07'!$AO$4:$AQ$55,2,FALSE))*IF('19.07'!$AK8="是",'19.07'!$BB$4,'19.07'!$BB$3))</f>
        <v>170</v>
      </c>
      <c r="V8" s="4">
        <f>IF(ISNUMBER(SEARCH("营",'19.07'!AD8)),(-$Y8+50*IF('19.07'!$AK8="是",'19.07'!$BB$4,'19.07'!$BB$3)),(VLOOKUP('19.07'!AD8,'19.07'!$AO$4:$AQ$55,2,FALSE))*IF('19.07'!$AK8="是",'19.07'!$BB$4,'19.07'!$BB$3))</f>
        <v>150</v>
      </c>
      <c r="W8" s="4">
        <f>IF(ISNUMBER(SEARCH("营",'19.07'!AE8)),(-$Y8+50*IF('19.07'!$AK8="是",'19.07'!$BB$4,'19.07'!$BB$3)),(VLOOKUP('19.07'!AE8,'19.07'!$AO$4:$AQ$55,2,FALSE))*IF('19.07'!$AK8="是",'19.07'!$BB$4,'19.07'!$BB$3))</f>
        <v>0</v>
      </c>
      <c r="X8" s="4">
        <f>IF(ISNUMBER(SEARCH("营",'19.07'!AF8)),(-$Y8+50*IF('19.07'!$AK8="是",'19.07'!$BB$4,'19.07'!$BB$3)),(VLOOKUP('19.07'!AF8,'19.07'!$AO$4:$AQ$55,2,FALSE))*IF('19.07'!$AK8="是",'19.07'!$BB$4,'19.07'!$BB$3))</f>
        <v>0</v>
      </c>
      <c r="Y8" s="14">
        <v>300</v>
      </c>
      <c r="Z8" s="15">
        <v>45734</v>
      </c>
    </row>
    <row r="9" spans="1:26">
      <c r="A9" s="4">
        <f>IF(ISNUMBER(SEARCH("营",'19.07'!I9)),(-$Y9+50*IF('19.07'!$AK9="是",'19.07'!$BB$4,'19.07'!$BB$3)),(VLOOKUP('19.07'!I9,'19.07'!$AO$4:$AQ$55,2,FALSE))*IF('19.07'!$AK9="是",'19.07'!$BB$4,'19.07'!$BB$3))</f>
        <v>0</v>
      </c>
      <c r="B9" s="4">
        <f>IF(ISNUMBER(SEARCH("营",'19.07'!J9)),(-$Y9+50*IF('19.07'!$AK9="是",'19.07'!$BB$4,'19.07'!$BB$3)),(VLOOKUP('19.07'!J9,'19.07'!$AO$4:$AQ$55,2,FALSE))*IF('19.07'!$AK9="是",'19.07'!$BB$4,'19.07'!$BB$3))</f>
        <v>0</v>
      </c>
      <c r="C9" s="4">
        <f>IF(ISNUMBER(SEARCH("营",'19.07'!K9)),(-$Y9+50*IF('19.07'!$AK9="是",'19.07'!$BB$4,'19.07'!$BB$3)),(VLOOKUP('19.07'!K9,'19.07'!$AO$4:$AQ$55,2,FALSE))*IF('19.07'!$AK9="是",'19.07'!$BB$4,'19.07'!$BB$3))</f>
        <v>0</v>
      </c>
      <c r="D9" s="4">
        <f>IF(ISNUMBER(SEARCH("营",'19.07'!L9)),(-$Y9+50*IF('19.07'!$AK9="是",'19.07'!$BB$4,'19.07'!$BB$3)),(VLOOKUP('19.07'!L9,'19.07'!$AO$4:$AQ$55,2,FALSE))*IF('19.07'!$AK9="是",'19.07'!$BB$4,'19.07'!$BB$3))</f>
        <v>0</v>
      </c>
      <c r="E9" s="4">
        <f>IF(ISNUMBER(SEARCH("营",'19.07'!M9)),(-$Y9+50*IF('19.07'!$AK9="是",'19.07'!$BB$4,'19.07'!$BB$3)),(VLOOKUP('19.07'!M9,'19.07'!$AO$4:$AQ$55,2,FALSE))*IF('19.07'!$AK9="是",'19.07'!$BB$4,'19.07'!$BB$3))</f>
        <v>0</v>
      </c>
      <c r="F9" s="4">
        <f>IF(ISNUMBER(SEARCH("营",'19.07'!N9)),(-$Y9+50*IF('19.07'!$AK9="是",'19.07'!$BB$4,'19.07'!$BB$3)),(VLOOKUP('19.07'!N9,'19.07'!$AO$4:$AQ$55,2,FALSE))*IF('19.07'!$AK9="是",'19.07'!$BB$4,'19.07'!$BB$3))</f>
        <v>0</v>
      </c>
      <c r="G9" s="4">
        <f>IF(ISNUMBER(SEARCH("营",'19.07'!O9)),(-$Y9+50*IF('19.07'!$AK9="是",'19.07'!$BB$4,'19.07'!$BB$3)),(VLOOKUP('19.07'!O9,'19.07'!$AO$4:$AQ$55,2,FALSE))*IF('19.07'!$AK9="是",'19.07'!$BB$4,'19.07'!$BB$3))</f>
        <v>0</v>
      </c>
      <c r="H9" s="4">
        <f>IF(ISNUMBER(SEARCH("营",'19.07'!P9)),(-$Y9+50*IF('19.07'!$AK9="是",'19.07'!$BB$4,'19.07'!$BB$3)),(VLOOKUP('19.07'!P9,'19.07'!$AO$4:$AQ$55,2,FALSE))*IF('19.07'!$AK9="是",'19.07'!$BB$4,'19.07'!$BB$3))</f>
        <v>0</v>
      </c>
      <c r="I9" s="4">
        <f>IF(ISNUMBER(SEARCH("营",'19.07'!Q9)),(-$Y9+50*IF('19.07'!$AK9="是",'19.07'!$BB$4,'19.07'!$BB$3)),(VLOOKUP('19.07'!Q9,'19.07'!$AO$4:$AQ$55,2,FALSE))*IF('19.07'!$AK9="是",'19.07'!$BB$4,'19.07'!$BB$3))</f>
        <v>170</v>
      </c>
      <c r="J9" s="4">
        <f>IF(ISNUMBER(SEARCH("营",'19.07'!R9)),(-$Y9+50*IF('19.07'!$AK9="是",'19.07'!$BB$4,'19.07'!$BB$3)),(VLOOKUP('19.07'!R9,'19.07'!$AO$4:$AQ$55,2,FALSE))*IF('19.07'!$AK9="是",'19.07'!$BB$4,'19.07'!$BB$3))</f>
        <v>170</v>
      </c>
      <c r="K9" s="4">
        <f>IF(ISNUMBER(SEARCH("营",'19.07'!S9)),(-$Y9+50*IF('19.07'!$AK9="是",'19.07'!$BB$4,'19.07'!$BB$3)),(VLOOKUP('19.07'!S9,'19.07'!$AO$4:$AQ$55,2,FALSE))*IF('19.07'!$AK9="是",'19.07'!$BB$4,'19.07'!$BB$3))</f>
        <v>250</v>
      </c>
      <c r="L9" s="4">
        <f>IF(ISNUMBER(SEARCH("营",'19.07'!T9)),(-$Y9+50*IF('19.07'!$AK9="是",'19.07'!$BB$4,'19.07'!$BB$3)),(VLOOKUP('19.07'!T9,'19.07'!$AO$4:$AQ$55,2,FALSE))*IF('19.07'!$AK9="是",'19.07'!$BB$4,'19.07'!$BB$3))</f>
        <v>170</v>
      </c>
      <c r="M9" s="4">
        <f>IF(ISNUMBER(SEARCH("营",'19.07'!U9)),(-$Y9+50*IF('19.07'!$AK9="是",'19.07'!$BB$4,'19.07'!$BB$3)),(VLOOKUP('19.07'!U9,'19.07'!$AO$4:$AQ$55,2,FALSE))*IF('19.07'!$AK9="是",'19.07'!$BB$4,'19.07'!$BB$3))</f>
        <v>170</v>
      </c>
      <c r="N9" s="4">
        <f>IF(ISNUMBER(SEARCH("营",'19.07'!V9)),(-$Y9+50*IF('19.07'!$AK9="是",'19.07'!$BB$4,'19.07'!$BB$3)),(VLOOKUP('19.07'!V9,'19.07'!$AO$4:$AQ$55,2,FALSE))*IF('19.07'!$AK9="是",'19.07'!$BB$4,'19.07'!$BB$3))</f>
        <v>170</v>
      </c>
      <c r="O9" s="4">
        <f>IF(ISNUMBER(SEARCH("营",'19.07'!W9)),(-$Y9+50*IF('19.07'!$AK9="是",'19.07'!$BB$4,'19.07'!$BB$3)),(VLOOKUP('19.07'!W9,'19.07'!$AO$4:$AQ$55,2,FALSE))*IF('19.07'!$AK9="是",'19.07'!$BB$4,'19.07'!$BB$3))</f>
        <v>170</v>
      </c>
      <c r="P9" s="4">
        <f>IF(ISNUMBER(SEARCH("营",'19.07'!X9)),(-$Y9+50*IF('19.07'!$AK9="是",'19.07'!$BB$4,'19.07'!$BB$3)),(VLOOKUP('19.07'!X9,'19.07'!$AO$4:$AQ$55,2,FALSE))*IF('19.07'!$AK9="是",'19.07'!$BB$4,'19.07'!$BB$3))</f>
        <v>-250</v>
      </c>
      <c r="Q9" s="4">
        <f>IF(ISNUMBER(SEARCH("营",'19.07'!Y9)),(-$Y9+50*IF('19.07'!$AK9="是",'19.07'!$BB$4,'19.07'!$BB$3)),(VLOOKUP('19.07'!Y9,'19.07'!$AO$4:$AQ$55,2,FALSE))*IF('19.07'!$AK9="是",'19.07'!$BB$4,'19.07'!$BB$3))</f>
        <v>170</v>
      </c>
      <c r="R9" s="4">
        <f>IF(ISNUMBER(SEARCH("营",'19.07'!Z9)),(-$Y9+50*IF('19.07'!$AK9="是",'19.07'!$BB$4,'19.07'!$BB$3)),(VLOOKUP('19.07'!Z9,'19.07'!$AO$4:$AQ$55,2,FALSE))*IF('19.07'!$AK9="是",'19.07'!$BB$4,'19.07'!$BB$3))</f>
        <v>50</v>
      </c>
      <c r="S9" s="4">
        <f>IF(ISNUMBER(SEARCH("营",'19.07'!AA9)),(-$Y9+50*IF('19.07'!$AK9="是",'19.07'!$BB$4,'19.07'!$BB$3)),(VLOOKUP('19.07'!AA9,'19.07'!$AO$4:$AQ$55,2,FALSE))*IF('19.07'!$AK9="是",'19.07'!$BB$4,'19.07'!$BB$3))</f>
        <v>170</v>
      </c>
      <c r="T9" s="4">
        <f>IF(ISNUMBER(SEARCH("营",'19.07'!AB9)),(-$Y9+50*IF('19.07'!$AK9="是",'19.07'!$BB$4,'19.07'!$BB$3)),(VLOOKUP('19.07'!AB9,'19.07'!$AO$4:$AQ$55,2,FALSE))*IF('19.07'!$AK9="是",'19.07'!$BB$4,'19.07'!$BB$3))</f>
        <v>150</v>
      </c>
      <c r="U9" s="4">
        <f>IF(ISNUMBER(SEARCH("营",'19.07'!AC9)),(-$Y9+50*IF('19.07'!$AK9="是",'19.07'!$BB$4,'19.07'!$BB$3)),(VLOOKUP('19.07'!AC9,'19.07'!$AO$4:$AQ$55,2,FALSE))*IF('19.07'!$AK9="是",'19.07'!$BB$4,'19.07'!$BB$3))</f>
        <v>170</v>
      </c>
      <c r="V9" s="4">
        <f>IF(ISNUMBER(SEARCH("营",'19.07'!AD9)),(-$Y9+50*IF('19.07'!$AK9="是",'19.07'!$BB$4,'19.07'!$BB$3)),(VLOOKUP('19.07'!AD9,'19.07'!$AO$4:$AQ$55,2,FALSE))*IF('19.07'!$AK9="是",'19.07'!$BB$4,'19.07'!$BB$3))</f>
        <v>170</v>
      </c>
      <c r="W9" s="4">
        <f>IF(ISNUMBER(SEARCH("营",'19.07'!AE9)),(-$Y9+50*IF('19.07'!$AK9="是",'19.07'!$BB$4,'19.07'!$BB$3)),(VLOOKUP('19.07'!AE9,'19.07'!$AO$4:$AQ$55,2,FALSE))*IF('19.07'!$AK9="是",'19.07'!$BB$4,'19.07'!$BB$3))</f>
        <v>0</v>
      </c>
      <c r="X9" s="4">
        <f>IF(ISNUMBER(SEARCH("营",'19.07'!AF9)),(-$Y9+50*IF('19.07'!$AK9="是",'19.07'!$BB$4,'19.07'!$BB$3)),(VLOOKUP('19.07'!AF9,'19.07'!$AO$4:$AQ$55,2,FALSE))*IF('19.07'!$AK9="是",'19.07'!$BB$4,'19.07'!$BB$3))</f>
        <v>0</v>
      </c>
      <c r="Y9" s="14">
        <v>300</v>
      </c>
      <c r="Z9" s="15">
        <v>45735</v>
      </c>
    </row>
    <row r="10" spans="1:26">
      <c r="A10" s="4">
        <f>IF(ISNUMBER(SEARCH("营",'19.07'!I10)),(-$Y10+50*IF('19.07'!$AK10="是",'19.07'!$BB$4,'19.07'!$BB$3)),(VLOOKUP('19.07'!I10,'19.07'!$AO$4:$AQ$55,2,FALSE))*IF('19.07'!$AK10="是",'19.07'!$BB$4,'19.07'!$BB$3))</f>
        <v>0</v>
      </c>
      <c r="B10" s="4">
        <f>IF(ISNUMBER(SEARCH("营",'19.07'!J10)),(-$Y10+50*IF('19.07'!$AK10="是",'19.07'!$BB$4,'19.07'!$BB$3)),(VLOOKUP('19.07'!J10,'19.07'!$AO$4:$AQ$55,2,FALSE))*IF('19.07'!$AK10="是",'19.07'!$BB$4,'19.07'!$BB$3))</f>
        <v>0</v>
      </c>
      <c r="C10" s="4">
        <f>IF(ISNUMBER(SEARCH("营",'19.07'!K10)),(-$Y10+50*IF('19.07'!$AK10="是",'19.07'!$BB$4,'19.07'!$BB$3)),(VLOOKUP('19.07'!K10,'19.07'!$AO$4:$AQ$55,2,FALSE))*IF('19.07'!$AK10="是",'19.07'!$BB$4,'19.07'!$BB$3))</f>
        <v>0</v>
      </c>
      <c r="D10" s="4">
        <f>IF(ISNUMBER(SEARCH("营",'19.07'!L10)),(-$Y10+50*IF('19.07'!$AK10="是",'19.07'!$BB$4,'19.07'!$BB$3)),(VLOOKUP('19.07'!L10,'19.07'!$AO$4:$AQ$55,2,FALSE))*IF('19.07'!$AK10="是",'19.07'!$BB$4,'19.07'!$BB$3))</f>
        <v>0</v>
      </c>
      <c r="E10" s="4">
        <f>IF(ISNUMBER(SEARCH("营",'19.07'!M10)),(-$Y10+50*IF('19.07'!$AK10="是",'19.07'!$BB$4,'19.07'!$BB$3)),(VLOOKUP('19.07'!M10,'19.07'!$AO$4:$AQ$55,2,FALSE))*IF('19.07'!$AK10="是",'19.07'!$BB$4,'19.07'!$BB$3))</f>
        <v>0</v>
      </c>
      <c r="F10" s="4">
        <f>IF(ISNUMBER(SEARCH("营",'19.07'!N10)),(-$Y10+50*IF('19.07'!$AK10="是",'19.07'!$BB$4,'19.07'!$BB$3)),(VLOOKUP('19.07'!N10,'19.07'!$AO$4:$AQ$55,2,FALSE))*IF('19.07'!$AK10="是",'19.07'!$BB$4,'19.07'!$BB$3))</f>
        <v>0</v>
      </c>
      <c r="G10" s="4">
        <f>IF(ISNUMBER(SEARCH("营",'19.07'!O10)),(-$Y10+50*IF('19.07'!$AK10="是",'19.07'!$BB$4,'19.07'!$BB$3)),(VLOOKUP('19.07'!O10,'19.07'!$AO$4:$AQ$55,2,FALSE))*IF('19.07'!$AK10="是",'19.07'!$BB$4,'19.07'!$BB$3))</f>
        <v>0</v>
      </c>
      <c r="H10" s="4">
        <f>IF(ISNUMBER(SEARCH("营",'19.07'!P10)),(-$Y10+50*IF('19.07'!$AK10="是",'19.07'!$BB$4,'19.07'!$BB$3)),(VLOOKUP('19.07'!P10,'19.07'!$AO$4:$AQ$55,2,FALSE))*IF('19.07'!$AK10="是",'19.07'!$BB$4,'19.07'!$BB$3))</f>
        <v>0</v>
      </c>
      <c r="I10" s="4">
        <f>IF(ISNUMBER(SEARCH("营",'19.07'!Q10)),(-$Y10+50*IF('19.07'!$AK10="是",'19.07'!$BB$4,'19.07'!$BB$3)),(VLOOKUP('19.07'!Q10,'19.07'!$AO$4:$AQ$55,2,FALSE))*IF('19.07'!$AK10="是",'19.07'!$BB$4,'19.07'!$BB$3))</f>
        <v>170</v>
      </c>
      <c r="J10" s="4">
        <f>IF(ISNUMBER(SEARCH("营",'19.07'!R10)),(-$Y10+50*IF('19.07'!$AK10="是",'19.07'!$BB$4,'19.07'!$BB$3)),(VLOOKUP('19.07'!R10,'19.07'!$AO$4:$AQ$55,2,FALSE))*IF('19.07'!$AK10="是",'19.07'!$BB$4,'19.07'!$BB$3))</f>
        <v>170</v>
      </c>
      <c r="K10" s="4">
        <f>IF(ISNUMBER(SEARCH("营",'19.07'!S10)),(-$Y10+50*IF('19.07'!$AK10="是",'19.07'!$BB$4,'19.07'!$BB$3)),(VLOOKUP('19.07'!S10,'19.07'!$AO$4:$AQ$55,2,FALSE))*IF('19.07'!$AK10="是",'19.07'!$BB$4,'19.07'!$BB$3))</f>
        <v>170</v>
      </c>
      <c r="L10" s="4">
        <f>IF(ISNUMBER(SEARCH("营",'19.07'!T10)),(-$Y10+50*IF('19.07'!$AK10="是",'19.07'!$BB$4,'19.07'!$BB$3)),(VLOOKUP('19.07'!T10,'19.07'!$AO$4:$AQ$55,2,FALSE))*IF('19.07'!$AK10="是",'19.07'!$BB$4,'19.07'!$BB$3))</f>
        <v>170</v>
      </c>
      <c r="M10" s="4">
        <f>IF(ISNUMBER(SEARCH("营",'19.07'!U10)),(-$Y10+50*IF('19.07'!$AK10="是",'19.07'!$BB$4,'19.07'!$BB$3)),(VLOOKUP('19.07'!U10,'19.07'!$AO$4:$AQ$55,2,FALSE))*IF('19.07'!$AK10="是",'19.07'!$BB$4,'19.07'!$BB$3))</f>
        <v>50</v>
      </c>
      <c r="N10" s="4">
        <f>IF(ISNUMBER(SEARCH("营",'19.07'!V10)),(-$Y10+50*IF('19.07'!$AK10="是",'19.07'!$BB$4,'19.07'!$BB$3)),(VLOOKUP('19.07'!V10,'19.07'!$AO$4:$AQ$55,2,FALSE))*IF('19.07'!$AK10="是",'19.07'!$BB$4,'19.07'!$BB$3))</f>
        <v>170</v>
      </c>
      <c r="O10" s="4">
        <f>IF(ISNUMBER(SEARCH("营",'19.07'!W10)),(-$Y10+50*IF('19.07'!$AK10="是",'19.07'!$BB$4,'19.07'!$BB$3)),(VLOOKUP('19.07'!W10,'19.07'!$AO$4:$AQ$55,2,FALSE))*IF('19.07'!$AK10="是",'19.07'!$BB$4,'19.07'!$BB$3))</f>
        <v>170</v>
      </c>
      <c r="P10" s="4">
        <f>IF(ISNUMBER(SEARCH("营",'19.07'!X10)),(-$Y10+50*IF('19.07'!$AK10="是",'19.07'!$BB$4,'19.07'!$BB$3)),(VLOOKUP('19.07'!X10,'19.07'!$AO$4:$AQ$55,2,FALSE))*IF('19.07'!$AK10="是",'19.07'!$BB$4,'19.07'!$BB$3))</f>
        <v>150</v>
      </c>
      <c r="Q10" s="4">
        <f>IF(ISNUMBER(SEARCH("营",'19.07'!Y10)),(-$Y10+50*IF('19.07'!$AK10="是",'19.07'!$BB$4,'19.07'!$BB$3)),(VLOOKUP('19.07'!Y10,'19.07'!$AO$4:$AQ$55,2,FALSE))*IF('19.07'!$AK10="是",'19.07'!$BB$4,'19.07'!$BB$3))</f>
        <v>170</v>
      </c>
      <c r="R10" s="4">
        <f>IF(ISNUMBER(SEARCH("营",'19.07'!Z10)),(-$Y10+50*IF('19.07'!$AK10="是",'19.07'!$BB$4,'19.07'!$BB$3)),(VLOOKUP('19.07'!Z10,'19.07'!$AO$4:$AQ$55,2,FALSE))*IF('19.07'!$AK10="是",'19.07'!$BB$4,'19.07'!$BB$3))</f>
        <v>170</v>
      </c>
      <c r="S10" s="4">
        <f>IF(ISNUMBER(SEARCH("营",'19.07'!AA10)),(-$Y10+50*IF('19.07'!$AK10="是",'19.07'!$BB$4,'19.07'!$BB$3)),(VLOOKUP('19.07'!AA10,'19.07'!$AO$4:$AQ$55,2,FALSE))*IF('19.07'!$AK10="是",'19.07'!$BB$4,'19.07'!$BB$3))</f>
        <v>170</v>
      </c>
      <c r="T10" s="4">
        <f>IF(ISNUMBER(SEARCH("营",'19.07'!AB10)),(-$Y10+50*IF('19.07'!$AK10="是",'19.07'!$BB$4,'19.07'!$BB$3)),(VLOOKUP('19.07'!AB10,'19.07'!$AO$4:$AQ$55,2,FALSE))*IF('19.07'!$AK10="是",'19.07'!$BB$4,'19.07'!$BB$3))</f>
        <v>170</v>
      </c>
      <c r="U10" s="4">
        <f>IF(ISNUMBER(SEARCH("营",'19.07'!AC10)),(-$Y10+50*IF('19.07'!$AK10="是",'19.07'!$BB$4,'19.07'!$BB$3)),(VLOOKUP('19.07'!AC10,'19.07'!$AO$4:$AQ$55,2,FALSE))*IF('19.07'!$AK10="是",'19.07'!$BB$4,'19.07'!$BB$3))</f>
        <v>170</v>
      </c>
      <c r="V10" s="4">
        <f>IF(ISNUMBER(SEARCH("营",'19.07'!AD10)),(-$Y10+50*IF('19.07'!$AK10="是",'19.07'!$BB$4,'19.07'!$BB$3)),(VLOOKUP('19.07'!AD10,'19.07'!$AO$4:$AQ$55,2,FALSE))*IF('19.07'!$AK10="是",'19.07'!$BB$4,'19.07'!$BB$3))</f>
        <v>170</v>
      </c>
      <c r="W10" s="4">
        <f>IF(ISNUMBER(SEARCH("营",'19.07'!AE10)),(-$Y10+50*IF('19.07'!$AK10="是",'19.07'!$BB$4,'19.07'!$BB$3)),(VLOOKUP('19.07'!AE10,'19.07'!$AO$4:$AQ$55,2,FALSE))*IF('19.07'!$AK10="是",'19.07'!$BB$4,'19.07'!$BB$3))</f>
        <v>0</v>
      </c>
      <c r="X10" s="4">
        <f>IF(ISNUMBER(SEARCH("营",'19.07'!AF10)),(-$Y10+50*IF('19.07'!$AK10="是",'19.07'!$BB$4,'19.07'!$BB$3)),(VLOOKUP('19.07'!AF10,'19.07'!$AO$4:$AQ$55,2,FALSE))*IF('19.07'!$AK10="是",'19.07'!$BB$4,'19.07'!$BB$3))</f>
        <v>0</v>
      </c>
      <c r="Y10" s="14">
        <v>300</v>
      </c>
      <c r="Z10" s="15">
        <v>45736</v>
      </c>
    </row>
    <row r="11" spans="1:26">
      <c r="A11" s="4">
        <f>IF(ISNUMBER(SEARCH("营",'19.07'!I11)),(-$Y11+50*IF('19.07'!$AK11="是",'19.07'!$BB$4,'19.07'!$BB$3)),(VLOOKUP('19.07'!I11,'19.07'!$AO$4:$AQ$55,2,FALSE))*IF('19.07'!$AK11="是",'19.07'!$BB$4,'19.07'!$BB$3))</f>
        <v>0</v>
      </c>
      <c r="B11" s="4">
        <f>IF(ISNUMBER(SEARCH("营",'19.07'!J11)),(-$Y11+50*IF('19.07'!$AK11="是",'19.07'!$BB$4,'19.07'!$BB$3)),(VLOOKUP('19.07'!J11,'19.07'!$AO$4:$AQ$55,2,FALSE))*IF('19.07'!$AK11="是",'19.07'!$BB$4,'19.07'!$BB$3))</f>
        <v>0</v>
      </c>
      <c r="C11" s="4">
        <f>IF(ISNUMBER(SEARCH("营",'19.07'!K11)),(-$Y11+50*IF('19.07'!$AK11="是",'19.07'!$BB$4,'19.07'!$BB$3)),(VLOOKUP('19.07'!K11,'19.07'!$AO$4:$AQ$55,2,FALSE))*IF('19.07'!$AK11="是",'19.07'!$BB$4,'19.07'!$BB$3))</f>
        <v>0</v>
      </c>
      <c r="D11" s="4">
        <f>IF(ISNUMBER(SEARCH("营",'19.07'!L11)),(-$Y11+50*IF('19.07'!$AK11="是",'19.07'!$BB$4,'19.07'!$BB$3)),(VLOOKUP('19.07'!L11,'19.07'!$AO$4:$AQ$55,2,FALSE))*IF('19.07'!$AK11="是",'19.07'!$BB$4,'19.07'!$BB$3))</f>
        <v>0</v>
      </c>
      <c r="E11" s="4">
        <f>IF(ISNUMBER(SEARCH("营",'19.07'!M11)),(-$Y11+50*IF('19.07'!$AK11="是",'19.07'!$BB$4,'19.07'!$BB$3)),(VLOOKUP('19.07'!M11,'19.07'!$AO$4:$AQ$55,2,FALSE))*IF('19.07'!$AK11="是",'19.07'!$BB$4,'19.07'!$BB$3))</f>
        <v>0</v>
      </c>
      <c r="F11" s="4">
        <f>IF(ISNUMBER(SEARCH("营",'19.07'!N11)),(-$Y11+50*IF('19.07'!$AK11="是",'19.07'!$BB$4,'19.07'!$BB$3)),(VLOOKUP('19.07'!N11,'19.07'!$AO$4:$AQ$55,2,FALSE))*IF('19.07'!$AK11="是",'19.07'!$BB$4,'19.07'!$BB$3))</f>
        <v>0</v>
      </c>
      <c r="G11" s="4">
        <f>IF(ISNUMBER(SEARCH("营",'19.07'!O11)),(-$Y11+50*IF('19.07'!$AK11="是",'19.07'!$BB$4,'19.07'!$BB$3)),(VLOOKUP('19.07'!O11,'19.07'!$AO$4:$AQ$55,2,FALSE))*IF('19.07'!$AK11="是",'19.07'!$BB$4,'19.07'!$BB$3))</f>
        <v>0</v>
      </c>
      <c r="H11" s="4">
        <f>IF(ISNUMBER(SEARCH("营",'19.07'!P11)),(-$Y11+50*IF('19.07'!$AK11="是",'19.07'!$BB$4,'19.07'!$BB$3)),(VLOOKUP('19.07'!P11,'19.07'!$AO$4:$AQ$55,2,FALSE))*IF('19.07'!$AK11="是",'19.07'!$BB$4,'19.07'!$BB$3))</f>
        <v>0</v>
      </c>
      <c r="I11" s="4">
        <f>IF(ISNUMBER(SEARCH("营",'19.07'!Q11)),(-$Y11+50*IF('19.07'!$AK11="是",'19.07'!$BB$4,'19.07'!$BB$3)),(VLOOKUP('19.07'!Q11,'19.07'!$AO$4:$AQ$55,2,FALSE))*IF('19.07'!$AK11="是",'19.07'!$BB$4,'19.07'!$BB$3))</f>
        <v>170</v>
      </c>
      <c r="J11" s="4">
        <f>IF(ISNUMBER(SEARCH("营",'19.07'!R11)),(-$Y11+50*IF('19.07'!$AK11="是",'19.07'!$BB$4,'19.07'!$BB$3)),(VLOOKUP('19.07'!R11,'19.07'!$AO$4:$AQ$55,2,FALSE))*IF('19.07'!$AK11="是",'19.07'!$BB$4,'19.07'!$BB$3))</f>
        <v>170</v>
      </c>
      <c r="K11" s="4">
        <f>IF(ISNUMBER(SEARCH("营",'19.07'!S11)),(-$Y11+50*IF('19.07'!$AK11="是",'19.07'!$BB$4,'19.07'!$BB$3)),(VLOOKUP('19.07'!S11,'19.07'!$AO$4:$AQ$55,2,FALSE))*IF('19.07'!$AK11="是",'19.07'!$BB$4,'19.07'!$BB$3))</f>
        <v>170</v>
      </c>
      <c r="L11" s="4">
        <f>IF(ISNUMBER(SEARCH("营",'19.07'!T11)),(-$Y11+50*IF('19.07'!$AK11="是",'19.07'!$BB$4,'19.07'!$BB$3)),(VLOOKUP('19.07'!T11,'19.07'!$AO$4:$AQ$55,2,FALSE))*IF('19.07'!$AK11="是",'19.07'!$BB$4,'19.07'!$BB$3))</f>
        <v>50</v>
      </c>
      <c r="M11" s="4">
        <f>IF(ISNUMBER(SEARCH("营",'19.07'!U11)),(-$Y11+50*IF('19.07'!$AK11="是",'19.07'!$BB$4,'19.07'!$BB$3)),(VLOOKUP('19.07'!U11,'19.07'!$AO$4:$AQ$55,2,FALSE))*IF('19.07'!$AK11="是",'19.07'!$BB$4,'19.07'!$BB$3))</f>
        <v>170</v>
      </c>
      <c r="N11" s="4">
        <f>IF(ISNUMBER(SEARCH("营",'19.07'!V11)),(-$Y11+50*IF('19.07'!$AK11="是",'19.07'!$BB$4,'19.07'!$BB$3)),(VLOOKUP('19.07'!V11,'19.07'!$AO$4:$AQ$55,2,FALSE))*IF('19.07'!$AK11="是",'19.07'!$BB$4,'19.07'!$BB$3))</f>
        <v>170</v>
      </c>
      <c r="O11" s="4">
        <f>IF(ISNUMBER(SEARCH("营",'19.07'!W11)),(-$Y11+50*IF('19.07'!$AK11="是",'19.07'!$BB$4,'19.07'!$BB$3)),(VLOOKUP('19.07'!W11,'19.07'!$AO$4:$AQ$55,2,FALSE))*IF('19.07'!$AK11="是",'19.07'!$BB$4,'19.07'!$BB$3))</f>
        <v>170</v>
      </c>
      <c r="P11" s="4">
        <f>IF(ISNUMBER(SEARCH("营",'19.07'!X11)),(-$Y11+50*IF('19.07'!$AK11="是",'19.07'!$BB$4,'19.07'!$BB$3)),(VLOOKUP('19.07'!X11,'19.07'!$AO$4:$AQ$55,2,FALSE))*IF('19.07'!$AK11="是",'19.07'!$BB$4,'19.07'!$BB$3))</f>
        <v>-250</v>
      </c>
      <c r="Q11" s="4">
        <f>IF(ISNUMBER(SEARCH("营",'19.07'!Y11)),(-$Y11+50*IF('19.07'!$AK11="是",'19.07'!$BB$4,'19.07'!$BB$3)),(VLOOKUP('19.07'!Y11,'19.07'!$AO$4:$AQ$55,2,FALSE))*IF('19.07'!$AK11="是",'19.07'!$BB$4,'19.07'!$BB$3))</f>
        <v>170</v>
      </c>
      <c r="R11" s="4">
        <f>IF(ISNUMBER(SEARCH("营",'19.07'!Z11)),(-$Y11+50*IF('19.07'!$AK11="是",'19.07'!$BB$4,'19.07'!$BB$3)),(VLOOKUP('19.07'!Z11,'19.07'!$AO$4:$AQ$55,2,FALSE))*IF('19.07'!$AK11="是",'19.07'!$BB$4,'19.07'!$BB$3))</f>
        <v>170</v>
      </c>
      <c r="S11" s="4">
        <f>IF(ISNUMBER(SEARCH("营",'19.07'!AA11)),(-$Y11+50*IF('19.07'!$AK11="是",'19.07'!$BB$4,'19.07'!$BB$3)),(VLOOKUP('19.07'!AA11,'19.07'!$AO$4:$AQ$55,2,FALSE))*IF('19.07'!$AK11="是",'19.07'!$BB$4,'19.07'!$BB$3))</f>
        <v>150</v>
      </c>
      <c r="T11" s="4">
        <f>IF(ISNUMBER(SEARCH("营",'19.07'!AB11)),(-$Y11+50*IF('19.07'!$AK11="是",'19.07'!$BB$4,'19.07'!$BB$3)),(VLOOKUP('19.07'!AB11,'19.07'!$AO$4:$AQ$55,2,FALSE))*IF('19.07'!$AK11="是",'19.07'!$BB$4,'19.07'!$BB$3))</f>
        <v>170</v>
      </c>
      <c r="U11" s="4">
        <f>IF(ISNUMBER(SEARCH("营",'19.07'!AC11)),(-$Y11+50*IF('19.07'!$AK11="是",'19.07'!$BB$4,'19.07'!$BB$3)),(VLOOKUP('19.07'!AC11,'19.07'!$AO$4:$AQ$55,2,FALSE))*IF('19.07'!$AK11="是",'19.07'!$BB$4,'19.07'!$BB$3))</f>
        <v>180</v>
      </c>
      <c r="V11" s="4">
        <f>IF(ISNUMBER(SEARCH("营",'19.07'!AD11)),(-$Y11+50*IF('19.07'!$AK11="是",'19.07'!$BB$4,'19.07'!$BB$3)),(VLOOKUP('19.07'!AD11,'19.07'!$AO$4:$AQ$55,2,FALSE))*IF('19.07'!$AK11="是",'19.07'!$BB$4,'19.07'!$BB$3))</f>
        <v>180</v>
      </c>
      <c r="W11" s="4">
        <f>IF(ISNUMBER(SEARCH("营",'19.07'!AE11)),(-$Y11+50*IF('19.07'!$AK11="是",'19.07'!$BB$4,'19.07'!$BB$3)),(VLOOKUP('19.07'!AE11,'19.07'!$AO$4:$AQ$55,2,FALSE))*IF('19.07'!$AK11="是",'19.07'!$BB$4,'19.07'!$BB$3))</f>
        <v>0</v>
      </c>
      <c r="X11" s="4">
        <f>IF(ISNUMBER(SEARCH("营",'19.07'!AF11)),(-$Y11+50*IF('19.07'!$AK11="是",'19.07'!$BB$4,'19.07'!$BB$3)),(VLOOKUP('19.07'!AF11,'19.07'!$AO$4:$AQ$55,2,FALSE))*IF('19.07'!$AK11="是",'19.07'!$BB$4,'19.07'!$BB$3))</f>
        <v>0</v>
      </c>
      <c r="Y11" s="14">
        <v>300</v>
      </c>
      <c r="Z11" s="15">
        <v>45737</v>
      </c>
    </row>
    <row r="12" spans="1:26">
      <c r="A12" s="4">
        <f>IF(ISNUMBER(SEARCH("营",'19.07'!I12)),(-$Y12+50*IF('19.07'!$AK12="是",'19.07'!$BB$4,'19.07'!$BB$3)),(VLOOKUP('19.07'!I12,'19.07'!$AO$4:$AQ$55,2,FALSE))*IF('19.07'!$AK12="是",'19.07'!$BB$4,'19.07'!$BB$3))</f>
        <v>0</v>
      </c>
      <c r="B12" s="4">
        <f>IF(ISNUMBER(SEARCH("营",'19.07'!J12)),(-$Y12+50*IF('19.07'!$AK12="是",'19.07'!$BB$4,'19.07'!$BB$3)),(VLOOKUP('19.07'!J12,'19.07'!$AO$4:$AQ$55,2,FALSE))*IF('19.07'!$AK12="是",'19.07'!$BB$4,'19.07'!$BB$3))</f>
        <v>0</v>
      </c>
      <c r="C12" s="4">
        <f>IF(ISNUMBER(SEARCH("营",'19.07'!K12)),(-$Y12+50*IF('19.07'!$AK12="是",'19.07'!$BB$4,'19.07'!$BB$3)),(VLOOKUP('19.07'!K12,'19.07'!$AO$4:$AQ$55,2,FALSE))*IF('19.07'!$AK12="是",'19.07'!$BB$4,'19.07'!$BB$3))</f>
        <v>0</v>
      </c>
      <c r="D12" s="4">
        <f>IF(ISNUMBER(SEARCH("营",'19.07'!L12)),(-$Y12+50*IF('19.07'!$AK12="是",'19.07'!$BB$4,'19.07'!$BB$3)),(VLOOKUP('19.07'!L12,'19.07'!$AO$4:$AQ$55,2,FALSE))*IF('19.07'!$AK12="是",'19.07'!$BB$4,'19.07'!$BB$3))</f>
        <v>0</v>
      </c>
      <c r="E12" s="4">
        <f>IF(ISNUMBER(SEARCH("营",'19.07'!M12)),(-$Y12+50*IF('19.07'!$AK12="是",'19.07'!$BB$4,'19.07'!$BB$3)),(VLOOKUP('19.07'!M12,'19.07'!$AO$4:$AQ$55,2,FALSE))*IF('19.07'!$AK12="是",'19.07'!$BB$4,'19.07'!$BB$3))</f>
        <v>0</v>
      </c>
      <c r="F12" s="4">
        <f>IF(ISNUMBER(SEARCH("营",'19.07'!N12)),(-$Y12+50*IF('19.07'!$AK12="是",'19.07'!$BB$4,'19.07'!$BB$3)),(VLOOKUP('19.07'!N12,'19.07'!$AO$4:$AQ$55,2,FALSE))*IF('19.07'!$AK12="是",'19.07'!$BB$4,'19.07'!$BB$3))</f>
        <v>0</v>
      </c>
      <c r="G12" s="4">
        <f>IF(ISNUMBER(SEARCH("营",'19.07'!O12)),(-$Y12+50*IF('19.07'!$AK12="是",'19.07'!$BB$4,'19.07'!$BB$3)),(VLOOKUP('19.07'!O12,'19.07'!$AO$4:$AQ$55,2,FALSE))*IF('19.07'!$AK12="是",'19.07'!$BB$4,'19.07'!$BB$3))</f>
        <v>0</v>
      </c>
      <c r="H12" s="4">
        <f>IF(ISNUMBER(SEARCH("营",'19.07'!P12)),(-$Y12+50*IF('19.07'!$AK12="是",'19.07'!$BB$4,'19.07'!$BB$3)),(VLOOKUP('19.07'!P12,'19.07'!$AO$4:$AQ$55,2,FALSE))*IF('19.07'!$AK12="是",'19.07'!$BB$4,'19.07'!$BB$3))</f>
        <v>0</v>
      </c>
      <c r="I12" s="4">
        <f>IF(ISNUMBER(SEARCH("营",'19.07'!Q12)),(-$Y12+50*IF('19.07'!$AK12="是",'19.07'!$BB$4,'19.07'!$BB$3)),(VLOOKUP('19.07'!Q12,'19.07'!$AO$4:$AQ$55,2,FALSE))*IF('19.07'!$AK12="是",'19.07'!$BB$4,'19.07'!$BB$3))</f>
        <v>170</v>
      </c>
      <c r="J12" s="4">
        <f>IF(ISNUMBER(SEARCH("营",'19.07'!R12)),(-$Y12+50*IF('19.07'!$AK12="是",'19.07'!$BB$4,'19.07'!$BB$3)),(VLOOKUP('19.07'!R12,'19.07'!$AO$4:$AQ$55,2,FALSE))*IF('19.07'!$AK12="是",'19.07'!$BB$4,'19.07'!$BB$3))</f>
        <v>170</v>
      </c>
      <c r="K12" s="4">
        <f>IF(ISNUMBER(SEARCH("营",'19.07'!S12)),(-$Y12+50*IF('19.07'!$AK12="是",'19.07'!$BB$4,'19.07'!$BB$3)),(VLOOKUP('19.07'!S12,'19.07'!$AO$4:$AQ$55,2,FALSE))*IF('19.07'!$AK12="是",'19.07'!$BB$4,'19.07'!$BB$3))</f>
        <v>170</v>
      </c>
      <c r="L12" s="4">
        <f>IF(ISNUMBER(SEARCH("营",'19.07'!T12)),(-$Y12+50*IF('19.07'!$AK12="是",'19.07'!$BB$4,'19.07'!$BB$3)),(VLOOKUP('19.07'!T12,'19.07'!$AO$4:$AQ$55,2,FALSE))*IF('19.07'!$AK12="是",'19.07'!$BB$4,'19.07'!$BB$3))</f>
        <v>170</v>
      </c>
      <c r="M12" s="4">
        <f>IF(ISNUMBER(SEARCH("营",'19.07'!U12)),(-$Y12+50*IF('19.07'!$AK12="是",'19.07'!$BB$4,'19.07'!$BB$3)),(VLOOKUP('19.07'!U12,'19.07'!$AO$4:$AQ$55,2,FALSE))*IF('19.07'!$AK12="是",'19.07'!$BB$4,'19.07'!$BB$3))</f>
        <v>170</v>
      </c>
      <c r="N12" s="4">
        <f>IF(ISNUMBER(SEARCH("营",'19.07'!V12)),(-$Y12+50*IF('19.07'!$AK12="是",'19.07'!$BB$4,'19.07'!$BB$3)),(VLOOKUP('19.07'!V12,'19.07'!$AO$4:$AQ$55,2,FALSE))*IF('19.07'!$AK12="是",'19.07'!$BB$4,'19.07'!$BB$3))</f>
        <v>170</v>
      </c>
      <c r="O12" s="4">
        <f>IF(ISNUMBER(SEARCH("营",'19.07'!W12)),(-$Y12+50*IF('19.07'!$AK12="是",'19.07'!$BB$4,'19.07'!$BB$3)),(VLOOKUP('19.07'!W12,'19.07'!$AO$4:$AQ$55,2,FALSE))*IF('19.07'!$AK12="是",'19.07'!$BB$4,'19.07'!$BB$3))</f>
        <v>50</v>
      </c>
      <c r="P12" s="4">
        <f>IF(ISNUMBER(SEARCH("营",'19.07'!X12)),(-$Y12+50*IF('19.07'!$AK12="是",'19.07'!$BB$4,'19.07'!$BB$3)),(VLOOKUP('19.07'!X12,'19.07'!$AO$4:$AQ$55,2,FALSE))*IF('19.07'!$AK12="是",'19.07'!$BB$4,'19.07'!$BB$3))</f>
        <v>170</v>
      </c>
      <c r="Q12" s="4">
        <f>IF(ISNUMBER(SEARCH("营",'19.07'!Y12)),(-$Y12+50*IF('19.07'!$AK12="是",'19.07'!$BB$4,'19.07'!$BB$3)),(VLOOKUP('19.07'!Y12,'19.07'!$AO$4:$AQ$55,2,FALSE))*IF('19.07'!$AK12="是",'19.07'!$BB$4,'19.07'!$BB$3))</f>
        <v>180</v>
      </c>
      <c r="R12" s="4">
        <f>IF(ISNUMBER(SEARCH("营",'19.07'!Z12)),(-$Y12+50*IF('19.07'!$AK12="是",'19.07'!$BB$4,'19.07'!$BB$3)),(VLOOKUP('19.07'!Z12,'19.07'!$AO$4:$AQ$55,2,FALSE))*IF('19.07'!$AK12="是",'19.07'!$BB$4,'19.07'!$BB$3))</f>
        <v>180</v>
      </c>
      <c r="S12" s="4">
        <f>IF(ISNUMBER(SEARCH("营",'19.07'!AA12)),(-$Y12+50*IF('19.07'!$AK12="是",'19.07'!$BB$4,'19.07'!$BB$3)),(VLOOKUP('19.07'!AA12,'19.07'!$AO$4:$AQ$55,2,FALSE))*IF('19.07'!$AK12="是",'19.07'!$BB$4,'19.07'!$BB$3))</f>
        <v>170</v>
      </c>
      <c r="T12" s="4">
        <f>IF(ISNUMBER(SEARCH("营",'19.07'!AB12)),(-$Y12+50*IF('19.07'!$AK12="是",'19.07'!$BB$4,'19.07'!$BB$3)),(VLOOKUP('19.07'!AB12,'19.07'!$AO$4:$AQ$55,2,FALSE))*IF('19.07'!$AK12="是",'19.07'!$BB$4,'19.07'!$BB$3))</f>
        <v>170</v>
      </c>
      <c r="U12" s="4">
        <f>IF(ISNUMBER(SEARCH("营",'19.07'!AC12)),(-$Y12+50*IF('19.07'!$AK12="是",'19.07'!$BB$4,'19.07'!$BB$3)),(VLOOKUP('19.07'!AC12,'19.07'!$AO$4:$AQ$55,2,FALSE))*IF('19.07'!$AK12="是",'19.07'!$BB$4,'19.07'!$BB$3))</f>
        <v>170</v>
      </c>
      <c r="V12" s="4">
        <f>IF(ISNUMBER(SEARCH("营",'19.07'!AD12)),(-$Y12+50*IF('19.07'!$AK12="是",'19.07'!$BB$4,'19.07'!$BB$3)),(VLOOKUP('19.07'!AD12,'19.07'!$AO$4:$AQ$55,2,FALSE))*IF('19.07'!$AK12="是",'19.07'!$BB$4,'19.07'!$BB$3))</f>
        <v>180</v>
      </c>
      <c r="W12" s="4">
        <f>IF(ISNUMBER(SEARCH("营",'19.07'!AE12)),(-$Y12+50*IF('19.07'!$AK12="是",'19.07'!$BB$4,'19.07'!$BB$3)),(VLOOKUP('19.07'!AE12,'19.07'!$AO$4:$AQ$55,2,FALSE))*IF('19.07'!$AK12="是",'19.07'!$BB$4,'19.07'!$BB$3))</f>
        <v>0</v>
      </c>
      <c r="X12" s="4">
        <f>IF(ISNUMBER(SEARCH("营",'19.07'!AF12)),(-$Y12+50*IF('19.07'!$AK12="是",'19.07'!$BB$4,'19.07'!$BB$3)),(VLOOKUP('19.07'!AF12,'19.07'!$AO$4:$AQ$55,2,FALSE))*IF('19.07'!$AK12="是",'19.07'!$BB$4,'19.07'!$BB$3))</f>
        <v>0</v>
      </c>
      <c r="Y12" s="14">
        <v>300</v>
      </c>
      <c r="Z12" s="15">
        <v>45738</v>
      </c>
    </row>
    <row r="13" spans="1:26">
      <c r="A13" s="4">
        <f>IF(ISNUMBER(SEARCH("营",'19.07'!I13)),(-$Y13+50*IF('19.07'!$AK13="是",'19.07'!$BB$4,'19.07'!$BB$3)),(VLOOKUP('19.07'!I13,'19.07'!$AO$4:$AQ$55,2,FALSE))*IF('19.07'!$AK13="是",'19.07'!$BB$4,'19.07'!$BB$3))</f>
        <v>0</v>
      </c>
      <c r="B13" s="4">
        <f>IF(ISNUMBER(SEARCH("营",'19.07'!J13)),(-$Y13+50*IF('19.07'!$AK13="是",'19.07'!$BB$4,'19.07'!$BB$3)),(VLOOKUP('19.07'!J13,'19.07'!$AO$4:$AQ$55,2,FALSE))*IF('19.07'!$AK13="是",'19.07'!$BB$4,'19.07'!$BB$3))</f>
        <v>0</v>
      </c>
      <c r="C13" s="4">
        <f>IF(ISNUMBER(SEARCH("营",'19.07'!K13)),(-$Y13+50*IF('19.07'!$AK13="是",'19.07'!$BB$4,'19.07'!$BB$3)),(VLOOKUP('19.07'!K13,'19.07'!$AO$4:$AQ$55,2,FALSE))*IF('19.07'!$AK13="是",'19.07'!$BB$4,'19.07'!$BB$3))</f>
        <v>0</v>
      </c>
      <c r="D13" s="4">
        <f>IF(ISNUMBER(SEARCH("营",'19.07'!L13)),(-$Y13+50*IF('19.07'!$AK13="是",'19.07'!$BB$4,'19.07'!$BB$3)),(VLOOKUP('19.07'!L13,'19.07'!$AO$4:$AQ$55,2,FALSE))*IF('19.07'!$AK13="是",'19.07'!$BB$4,'19.07'!$BB$3))</f>
        <v>0</v>
      </c>
      <c r="E13" s="4">
        <f>IF(ISNUMBER(SEARCH("营",'19.07'!M13)),(-$Y13+50*IF('19.07'!$AK13="是",'19.07'!$BB$4,'19.07'!$BB$3)),(VLOOKUP('19.07'!M13,'19.07'!$AO$4:$AQ$55,2,FALSE))*IF('19.07'!$AK13="是",'19.07'!$BB$4,'19.07'!$BB$3))</f>
        <v>0</v>
      </c>
      <c r="F13" s="4">
        <f>IF(ISNUMBER(SEARCH("营",'19.07'!N13)),(-$Y13+50*IF('19.07'!$AK13="是",'19.07'!$BB$4,'19.07'!$BB$3)),(VLOOKUP('19.07'!N13,'19.07'!$AO$4:$AQ$55,2,FALSE))*IF('19.07'!$AK13="是",'19.07'!$BB$4,'19.07'!$BB$3))</f>
        <v>0</v>
      </c>
      <c r="G13" s="4">
        <f>IF(ISNUMBER(SEARCH("营",'19.07'!O13)),(-$Y13+50*IF('19.07'!$AK13="是",'19.07'!$BB$4,'19.07'!$BB$3)),(VLOOKUP('19.07'!O13,'19.07'!$AO$4:$AQ$55,2,FALSE))*IF('19.07'!$AK13="是",'19.07'!$BB$4,'19.07'!$BB$3))</f>
        <v>0</v>
      </c>
      <c r="H13" s="4">
        <f>IF(ISNUMBER(SEARCH("营",'19.07'!P13)),(-$Y13+50*IF('19.07'!$AK13="是",'19.07'!$BB$4,'19.07'!$BB$3)),(VLOOKUP('19.07'!P13,'19.07'!$AO$4:$AQ$55,2,FALSE))*IF('19.07'!$AK13="是",'19.07'!$BB$4,'19.07'!$BB$3))</f>
        <v>0</v>
      </c>
      <c r="I13" s="4">
        <f>IF(ISNUMBER(SEARCH("营",'19.07'!Q13)),(-$Y13+50*IF('19.07'!$AK13="是",'19.07'!$BB$4,'19.07'!$BB$3)),(VLOOKUP('19.07'!Q13,'19.07'!$AO$4:$AQ$55,2,FALSE))*IF('19.07'!$AK13="是",'19.07'!$BB$4,'19.07'!$BB$3))</f>
        <v>170</v>
      </c>
      <c r="J13" s="4">
        <f>IF(ISNUMBER(SEARCH("营",'19.07'!R13)),(-$Y13+50*IF('19.07'!$AK13="是",'19.07'!$BB$4,'19.07'!$BB$3)),(VLOOKUP('19.07'!R13,'19.07'!$AO$4:$AQ$55,2,FALSE))*IF('19.07'!$AK13="是",'19.07'!$BB$4,'19.07'!$BB$3))</f>
        <v>170</v>
      </c>
      <c r="K13" s="4">
        <f>IF(ISNUMBER(SEARCH("营",'19.07'!S13)),(-$Y13+50*IF('19.07'!$AK13="是",'19.07'!$BB$4,'19.07'!$BB$3)),(VLOOKUP('19.07'!S13,'19.07'!$AO$4:$AQ$55,2,FALSE))*IF('19.07'!$AK13="是",'19.07'!$BB$4,'19.07'!$BB$3))</f>
        <v>170</v>
      </c>
      <c r="L13" s="4">
        <f>IF(ISNUMBER(SEARCH("营",'19.07'!T13)),(-$Y13+50*IF('19.07'!$AK13="是",'19.07'!$BB$4,'19.07'!$BB$3)),(VLOOKUP('19.07'!T13,'19.07'!$AO$4:$AQ$55,2,FALSE))*IF('19.07'!$AK13="是",'19.07'!$BB$4,'19.07'!$BB$3))</f>
        <v>170</v>
      </c>
      <c r="M13" s="4">
        <f>IF(ISNUMBER(SEARCH("营",'19.07'!U13)),(-$Y13+50*IF('19.07'!$AK13="是",'19.07'!$BB$4,'19.07'!$BB$3)),(VLOOKUP('19.07'!U13,'19.07'!$AO$4:$AQ$55,2,FALSE))*IF('19.07'!$AK13="是",'19.07'!$BB$4,'19.07'!$BB$3))</f>
        <v>170</v>
      </c>
      <c r="N13" s="4">
        <f>IF(ISNUMBER(SEARCH("营",'19.07'!V13)),(-$Y13+50*IF('19.07'!$AK13="是",'19.07'!$BB$4,'19.07'!$BB$3)),(VLOOKUP('19.07'!V13,'19.07'!$AO$4:$AQ$55,2,FALSE))*IF('19.07'!$AK13="是",'19.07'!$BB$4,'19.07'!$BB$3))</f>
        <v>170</v>
      </c>
      <c r="O13" s="4">
        <f>IF(ISNUMBER(SEARCH("营",'19.07'!W13)),(-$Y13+50*IF('19.07'!$AK13="是",'19.07'!$BB$4,'19.07'!$BB$3)),(VLOOKUP('19.07'!W13,'19.07'!$AO$4:$AQ$55,2,FALSE))*IF('19.07'!$AK13="是",'19.07'!$BB$4,'19.07'!$BB$3))</f>
        <v>170</v>
      </c>
      <c r="P13" s="4">
        <f>IF(ISNUMBER(SEARCH("营",'19.07'!X13)),(-$Y13+50*IF('19.07'!$AK13="是",'19.07'!$BB$4,'19.07'!$BB$3)),(VLOOKUP('19.07'!X13,'19.07'!$AO$4:$AQ$55,2,FALSE))*IF('19.07'!$AK13="是",'19.07'!$BB$4,'19.07'!$BB$3))</f>
        <v>0</v>
      </c>
      <c r="Q13" s="4">
        <f>IF(ISNUMBER(SEARCH("营",'19.07'!Y13)),(-$Y13+50*IF('19.07'!$AK13="是",'19.07'!$BB$4,'19.07'!$BB$3)),(VLOOKUP('19.07'!Y13,'19.07'!$AO$4:$AQ$55,2,FALSE))*IF('19.07'!$AK13="是",'19.07'!$BB$4,'19.07'!$BB$3))</f>
        <v>180</v>
      </c>
      <c r="R13" s="4">
        <f>IF(ISNUMBER(SEARCH("营",'19.07'!Z13)),(-$Y13+50*IF('19.07'!$AK13="是",'19.07'!$BB$4,'19.07'!$BB$3)),(VLOOKUP('19.07'!Z13,'19.07'!$AO$4:$AQ$55,2,FALSE))*IF('19.07'!$AK13="是",'19.07'!$BB$4,'19.07'!$BB$3))</f>
        <v>180</v>
      </c>
      <c r="S13" s="4">
        <f>IF(ISNUMBER(SEARCH("营",'19.07'!AA13)),(-$Y13+50*IF('19.07'!$AK13="是",'19.07'!$BB$4,'19.07'!$BB$3)),(VLOOKUP('19.07'!AA13,'19.07'!$AO$4:$AQ$55,2,FALSE))*IF('19.07'!$AK13="是",'19.07'!$BB$4,'19.07'!$BB$3))</f>
        <v>180</v>
      </c>
      <c r="T13" s="4">
        <f>IF(ISNUMBER(SEARCH("营",'19.07'!AB13)),(-$Y13+50*IF('19.07'!$AK13="是",'19.07'!$BB$4,'19.07'!$BB$3)),(VLOOKUP('19.07'!AB13,'19.07'!$AO$4:$AQ$55,2,FALSE))*IF('19.07'!$AK13="是",'19.07'!$BB$4,'19.07'!$BB$3))</f>
        <v>180</v>
      </c>
      <c r="U13" s="4">
        <f>IF(ISNUMBER(SEARCH("营",'19.07'!AC13)),(-$Y13+50*IF('19.07'!$AK13="是",'19.07'!$BB$4,'19.07'!$BB$3)),(VLOOKUP('19.07'!AC13,'19.07'!$AO$4:$AQ$55,2,FALSE))*IF('19.07'!$AK13="是",'19.07'!$BB$4,'19.07'!$BB$3))</f>
        <v>180</v>
      </c>
      <c r="V13" s="4">
        <f>IF(ISNUMBER(SEARCH("营",'19.07'!AD13)),(-$Y13+50*IF('19.07'!$AK13="是",'19.07'!$BB$4,'19.07'!$BB$3)),(VLOOKUP('19.07'!AD13,'19.07'!$AO$4:$AQ$55,2,FALSE))*IF('19.07'!$AK13="是",'19.07'!$BB$4,'19.07'!$BB$3))</f>
        <v>180</v>
      </c>
      <c r="W13" s="4">
        <f>IF(ISNUMBER(SEARCH("营",'19.07'!AE13)),(-$Y13+50*IF('19.07'!$AK13="是",'19.07'!$BB$4,'19.07'!$BB$3)),(VLOOKUP('19.07'!AE13,'19.07'!$AO$4:$AQ$55,2,FALSE))*IF('19.07'!$AK13="是",'19.07'!$BB$4,'19.07'!$BB$3))</f>
        <v>0</v>
      </c>
      <c r="X13" s="4">
        <f>IF(ISNUMBER(SEARCH("营",'19.07'!AF13)),(-$Y13+50*IF('19.07'!$AK13="是",'19.07'!$BB$4,'19.07'!$BB$3)),(VLOOKUP('19.07'!AF13,'19.07'!$AO$4:$AQ$55,2,FALSE))*IF('19.07'!$AK13="是",'19.07'!$BB$4,'19.07'!$BB$3))</f>
        <v>0</v>
      </c>
      <c r="Y13" s="14">
        <v>300</v>
      </c>
      <c r="Z13" s="15">
        <v>45739</v>
      </c>
    </row>
    <row r="14" spans="1:26">
      <c r="A14" s="4">
        <f>IF(ISNUMBER(SEARCH("营",'19.07'!I14)),(-$Y14+50*IF('19.07'!$AK14="是",'19.07'!$BB$4,'19.07'!$BB$3)),(VLOOKUP('19.07'!I14,'19.07'!$AO$4:$AQ$55,2,FALSE))*IF('19.07'!$AK14="是",'19.07'!$BB$4,'19.07'!$BB$3))</f>
        <v>0</v>
      </c>
      <c r="B14" s="4">
        <f>IF(ISNUMBER(SEARCH("营",'19.07'!J14)),(-$Y14+50*IF('19.07'!$AK14="是",'19.07'!$BB$4,'19.07'!$BB$3)),(VLOOKUP('19.07'!J14,'19.07'!$AO$4:$AQ$55,2,FALSE))*IF('19.07'!$AK14="是",'19.07'!$BB$4,'19.07'!$BB$3))</f>
        <v>0</v>
      </c>
      <c r="C14" s="4">
        <f>IF(ISNUMBER(SEARCH("营",'19.07'!K14)),(-$Y14+50*IF('19.07'!$AK14="是",'19.07'!$BB$4,'19.07'!$BB$3)),(VLOOKUP('19.07'!K14,'19.07'!$AO$4:$AQ$55,2,FALSE))*IF('19.07'!$AK14="是",'19.07'!$BB$4,'19.07'!$BB$3))</f>
        <v>0</v>
      </c>
      <c r="D14" s="4">
        <f>IF(ISNUMBER(SEARCH("营",'19.07'!L14)),(-$Y14+50*IF('19.07'!$AK14="是",'19.07'!$BB$4,'19.07'!$BB$3)),(VLOOKUP('19.07'!L14,'19.07'!$AO$4:$AQ$55,2,FALSE))*IF('19.07'!$AK14="是",'19.07'!$BB$4,'19.07'!$BB$3))</f>
        <v>0</v>
      </c>
      <c r="E14" s="4">
        <f>IF(ISNUMBER(SEARCH("营",'19.07'!M14)),(-$Y14+50*IF('19.07'!$AK14="是",'19.07'!$BB$4,'19.07'!$BB$3)),(VLOOKUP('19.07'!M14,'19.07'!$AO$4:$AQ$55,2,FALSE))*IF('19.07'!$AK14="是",'19.07'!$BB$4,'19.07'!$BB$3))</f>
        <v>0</v>
      </c>
      <c r="F14" s="4">
        <f>IF(ISNUMBER(SEARCH("营",'19.07'!N14)),(-$Y14+50*IF('19.07'!$AK14="是",'19.07'!$BB$4,'19.07'!$BB$3)),(VLOOKUP('19.07'!N14,'19.07'!$AO$4:$AQ$55,2,FALSE))*IF('19.07'!$AK14="是",'19.07'!$BB$4,'19.07'!$BB$3))</f>
        <v>0</v>
      </c>
      <c r="G14" s="4">
        <f>IF(ISNUMBER(SEARCH("营",'19.07'!O14)),(-$Y14+50*IF('19.07'!$AK14="是",'19.07'!$BB$4,'19.07'!$BB$3)),(VLOOKUP('19.07'!O14,'19.07'!$AO$4:$AQ$55,2,FALSE))*IF('19.07'!$AK14="是",'19.07'!$BB$4,'19.07'!$BB$3))</f>
        <v>0</v>
      </c>
      <c r="H14" s="4">
        <f>IF(ISNUMBER(SEARCH("营",'19.07'!P14)),(-$Y14+50*IF('19.07'!$AK14="是",'19.07'!$BB$4,'19.07'!$BB$3)),(VLOOKUP('19.07'!P14,'19.07'!$AO$4:$AQ$55,2,FALSE))*IF('19.07'!$AK14="是",'19.07'!$BB$4,'19.07'!$BB$3))</f>
        <v>0</v>
      </c>
      <c r="I14" s="4">
        <f>IF(ISNUMBER(SEARCH("营",'19.07'!Q14)),(-$Y14+50*IF('19.07'!$AK14="是",'19.07'!$BB$4,'19.07'!$BB$3)),(VLOOKUP('19.07'!Q14,'19.07'!$AO$4:$AQ$55,2,FALSE))*IF('19.07'!$AK14="是",'19.07'!$BB$4,'19.07'!$BB$3))</f>
        <v>170</v>
      </c>
      <c r="J14" s="4">
        <f>IF(ISNUMBER(SEARCH("营",'19.07'!R14)),(-$Y14+50*IF('19.07'!$AK14="是",'19.07'!$BB$4,'19.07'!$BB$3)),(VLOOKUP('19.07'!R14,'19.07'!$AO$4:$AQ$55,2,FALSE))*IF('19.07'!$AK14="是",'19.07'!$BB$4,'19.07'!$BB$3))</f>
        <v>170</v>
      </c>
      <c r="K14" s="4">
        <f>IF(ISNUMBER(SEARCH("营",'19.07'!S14)),(-$Y14+50*IF('19.07'!$AK14="是",'19.07'!$BB$4,'19.07'!$BB$3)),(VLOOKUP('19.07'!S14,'19.07'!$AO$4:$AQ$55,2,FALSE))*IF('19.07'!$AK14="是",'19.07'!$BB$4,'19.07'!$BB$3))</f>
        <v>170</v>
      </c>
      <c r="L14" s="4">
        <f>IF(ISNUMBER(SEARCH("营",'19.07'!T14)),(-$Y14+50*IF('19.07'!$AK14="是",'19.07'!$BB$4,'19.07'!$BB$3)),(VLOOKUP('19.07'!T14,'19.07'!$AO$4:$AQ$55,2,FALSE))*IF('19.07'!$AK14="是",'19.07'!$BB$4,'19.07'!$BB$3))</f>
        <v>170</v>
      </c>
      <c r="M14" s="4">
        <f>IF(ISNUMBER(SEARCH("营",'19.07'!U14)),(-$Y14+50*IF('19.07'!$AK14="是",'19.07'!$BB$4,'19.07'!$BB$3)),(VLOOKUP('19.07'!U14,'19.07'!$AO$4:$AQ$55,2,FALSE))*IF('19.07'!$AK14="是",'19.07'!$BB$4,'19.07'!$BB$3))</f>
        <v>170</v>
      </c>
      <c r="N14" s="4">
        <f>IF(ISNUMBER(SEARCH("营",'19.07'!V14)),(-$Y14+50*IF('19.07'!$AK14="是",'19.07'!$BB$4,'19.07'!$BB$3)),(VLOOKUP('19.07'!V14,'19.07'!$AO$4:$AQ$55,2,FALSE))*IF('19.07'!$AK14="是",'19.07'!$BB$4,'19.07'!$BB$3))</f>
        <v>170</v>
      </c>
      <c r="O14" s="4">
        <f>IF(ISNUMBER(SEARCH("营",'19.07'!W14)),(-$Y14+50*IF('19.07'!$AK14="是",'19.07'!$BB$4,'19.07'!$BB$3)),(VLOOKUP('19.07'!W14,'19.07'!$AO$4:$AQ$55,2,FALSE))*IF('19.07'!$AK14="是",'19.07'!$BB$4,'19.07'!$BB$3))</f>
        <v>0</v>
      </c>
      <c r="P14" s="4">
        <f>IF(ISNUMBER(SEARCH("营",'19.07'!X14)),(-$Y14+50*IF('19.07'!$AK14="是",'19.07'!$BB$4,'19.07'!$BB$3)),(VLOOKUP('19.07'!X14,'19.07'!$AO$4:$AQ$55,2,FALSE))*IF('19.07'!$AK14="是",'19.07'!$BB$4,'19.07'!$BB$3))</f>
        <v>0</v>
      </c>
      <c r="Q14" s="4">
        <f>IF(ISNUMBER(SEARCH("营",'19.07'!Y14)),(-$Y14+50*IF('19.07'!$AK14="是",'19.07'!$BB$4,'19.07'!$BB$3)),(VLOOKUP('19.07'!Y14,'19.07'!$AO$4:$AQ$55,2,FALSE))*IF('19.07'!$AK14="是",'19.07'!$BB$4,'19.07'!$BB$3))</f>
        <v>180</v>
      </c>
      <c r="R14" s="4">
        <f>IF(ISNUMBER(SEARCH("营",'19.07'!Z14)),(-$Y14+50*IF('19.07'!$AK14="是",'19.07'!$BB$4,'19.07'!$BB$3)),(VLOOKUP('19.07'!Z14,'19.07'!$AO$4:$AQ$55,2,FALSE))*IF('19.07'!$AK14="是",'19.07'!$BB$4,'19.07'!$BB$3))</f>
        <v>170</v>
      </c>
      <c r="S14" s="4">
        <f>IF(ISNUMBER(SEARCH("营",'19.07'!AA14)),(-$Y14+50*IF('19.07'!$AK14="是",'19.07'!$BB$4,'19.07'!$BB$3)),(VLOOKUP('19.07'!AA14,'19.07'!$AO$4:$AQ$55,2,FALSE))*IF('19.07'!$AK14="是",'19.07'!$BB$4,'19.07'!$BB$3))</f>
        <v>150</v>
      </c>
      <c r="T14" s="4">
        <f>IF(ISNUMBER(SEARCH("营",'19.07'!AB14)),(-$Y14+50*IF('19.07'!$AK14="是",'19.07'!$BB$4,'19.07'!$BB$3)),(VLOOKUP('19.07'!AB14,'19.07'!$AO$4:$AQ$55,2,FALSE))*IF('19.07'!$AK14="是",'19.07'!$BB$4,'19.07'!$BB$3))</f>
        <v>170</v>
      </c>
      <c r="U14" s="4">
        <f>IF(ISNUMBER(SEARCH("营",'19.07'!AC14)),(-$Y14+50*IF('19.07'!$AK14="是",'19.07'!$BB$4,'19.07'!$BB$3)),(VLOOKUP('19.07'!AC14,'19.07'!$AO$4:$AQ$55,2,FALSE))*IF('19.07'!$AK14="是",'19.07'!$BB$4,'19.07'!$BB$3))</f>
        <v>50</v>
      </c>
      <c r="V14" s="4">
        <f>IF(ISNUMBER(SEARCH("营",'19.07'!AD14)),(-$Y14+50*IF('19.07'!$AK14="是",'19.07'!$BB$4,'19.07'!$BB$3)),(VLOOKUP('19.07'!AD14,'19.07'!$AO$4:$AQ$55,2,FALSE))*IF('19.07'!$AK14="是",'19.07'!$BB$4,'19.07'!$BB$3))</f>
        <v>170</v>
      </c>
      <c r="W14" s="4">
        <f>IF(ISNUMBER(SEARCH("营",'19.07'!AE14)),(-$Y14+50*IF('19.07'!$AK14="是",'19.07'!$BB$4,'19.07'!$BB$3)),(VLOOKUP('19.07'!AE14,'19.07'!$AO$4:$AQ$55,2,FALSE))*IF('19.07'!$AK14="是",'19.07'!$BB$4,'19.07'!$BB$3))</f>
        <v>0</v>
      </c>
      <c r="X14" s="4">
        <f>IF(ISNUMBER(SEARCH("营",'19.07'!AF14)),(-$Y14+50*IF('19.07'!$AK14="是",'19.07'!$BB$4,'19.07'!$BB$3)),(VLOOKUP('19.07'!AF14,'19.07'!$AO$4:$AQ$55,2,FALSE))*IF('19.07'!$AK14="是",'19.07'!$BB$4,'19.07'!$BB$3))</f>
        <v>0</v>
      </c>
      <c r="Y14" s="16">
        <v>250</v>
      </c>
      <c r="Z14" s="17">
        <v>45740</v>
      </c>
    </row>
    <row r="15" spans="1:26">
      <c r="A15" s="4">
        <f>IF(ISNUMBER(SEARCH("营",'19.07'!I15)),(-$Y15+50*IF('19.07'!$AK15="是",'19.07'!$BB$4,'19.07'!$BB$3)),(VLOOKUP('19.07'!I15,'19.07'!$AO$4:$AQ$55,2,FALSE))*IF('19.07'!$AK15="是",'19.07'!$BB$4,'19.07'!$BB$3))</f>
        <v>0</v>
      </c>
      <c r="B15" s="4">
        <f>IF(ISNUMBER(SEARCH("营",'19.07'!J15)),(-$Y15+50*IF('19.07'!$AK15="是",'19.07'!$BB$4,'19.07'!$BB$3)),(VLOOKUP('19.07'!J15,'19.07'!$AO$4:$AQ$55,2,FALSE))*IF('19.07'!$AK15="是",'19.07'!$BB$4,'19.07'!$BB$3))</f>
        <v>0</v>
      </c>
      <c r="C15" s="4">
        <f>IF(ISNUMBER(SEARCH("营",'19.07'!K15)),(-$Y15+50*IF('19.07'!$AK15="是",'19.07'!$BB$4,'19.07'!$BB$3)),(VLOOKUP('19.07'!K15,'19.07'!$AO$4:$AQ$55,2,FALSE))*IF('19.07'!$AK15="是",'19.07'!$BB$4,'19.07'!$BB$3))</f>
        <v>0</v>
      </c>
      <c r="D15" s="4">
        <f>IF(ISNUMBER(SEARCH("营",'19.07'!L15)),(-$Y15+50*IF('19.07'!$AK15="是",'19.07'!$BB$4,'19.07'!$BB$3)),(VLOOKUP('19.07'!L15,'19.07'!$AO$4:$AQ$55,2,FALSE))*IF('19.07'!$AK15="是",'19.07'!$BB$4,'19.07'!$BB$3))</f>
        <v>0</v>
      </c>
      <c r="E15" s="4">
        <f>IF(ISNUMBER(SEARCH("营",'19.07'!M15)),(-$Y15+50*IF('19.07'!$AK15="是",'19.07'!$BB$4,'19.07'!$BB$3)),(VLOOKUP('19.07'!M15,'19.07'!$AO$4:$AQ$55,2,FALSE))*IF('19.07'!$AK15="是",'19.07'!$BB$4,'19.07'!$BB$3))</f>
        <v>0</v>
      </c>
      <c r="F15" s="4">
        <f>IF(ISNUMBER(SEARCH("营",'19.07'!N15)),(-$Y15+50*IF('19.07'!$AK15="是",'19.07'!$BB$4,'19.07'!$BB$3)),(VLOOKUP('19.07'!N15,'19.07'!$AO$4:$AQ$55,2,FALSE))*IF('19.07'!$AK15="是",'19.07'!$BB$4,'19.07'!$BB$3))</f>
        <v>0</v>
      </c>
      <c r="G15" s="4">
        <f>IF(ISNUMBER(SEARCH("营",'19.07'!O15)),(-$Y15+50*IF('19.07'!$AK15="是",'19.07'!$BB$4,'19.07'!$BB$3)),(VLOOKUP('19.07'!O15,'19.07'!$AO$4:$AQ$55,2,FALSE))*IF('19.07'!$AK15="是",'19.07'!$BB$4,'19.07'!$BB$3))</f>
        <v>0</v>
      </c>
      <c r="H15" s="4">
        <f>IF(ISNUMBER(SEARCH("营",'19.07'!P15)),(-$Y15+50*IF('19.07'!$AK15="是",'19.07'!$BB$4,'19.07'!$BB$3)),(VLOOKUP('19.07'!P15,'19.07'!$AO$4:$AQ$55,2,FALSE))*IF('19.07'!$AK15="是",'19.07'!$BB$4,'19.07'!$BB$3))</f>
        <v>0</v>
      </c>
      <c r="I15" s="4">
        <f>IF(ISNUMBER(SEARCH("营",'19.07'!Q15)),(-$Y15+50*IF('19.07'!$AK15="是",'19.07'!$BB$4,'19.07'!$BB$3)),(VLOOKUP('19.07'!Q15,'19.07'!$AO$4:$AQ$55,2,FALSE))*IF('19.07'!$AK15="是",'19.07'!$BB$4,'19.07'!$BB$3))</f>
        <v>170</v>
      </c>
      <c r="J15" s="4">
        <f>IF(ISNUMBER(SEARCH("营",'19.07'!R15)),(-$Y15+50*IF('19.07'!$AK15="是",'19.07'!$BB$4,'19.07'!$BB$3)),(VLOOKUP('19.07'!R15,'19.07'!$AO$4:$AQ$55,2,FALSE))*IF('19.07'!$AK15="是",'19.07'!$BB$4,'19.07'!$BB$3))</f>
        <v>170</v>
      </c>
      <c r="K15" s="4">
        <f>IF(ISNUMBER(SEARCH("营",'19.07'!S15)),(-$Y15+50*IF('19.07'!$AK15="是",'19.07'!$BB$4,'19.07'!$BB$3)),(VLOOKUP('19.07'!S15,'19.07'!$AO$4:$AQ$55,2,FALSE))*IF('19.07'!$AK15="是",'19.07'!$BB$4,'19.07'!$BB$3))</f>
        <v>170</v>
      </c>
      <c r="L15" s="4">
        <f>IF(ISNUMBER(SEARCH("营",'19.07'!T15)),(-$Y15+50*IF('19.07'!$AK15="是",'19.07'!$BB$4,'19.07'!$BB$3)),(VLOOKUP('19.07'!T15,'19.07'!$AO$4:$AQ$55,2,FALSE))*IF('19.07'!$AK15="是",'19.07'!$BB$4,'19.07'!$BB$3))</f>
        <v>170</v>
      </c>
      <c r="M15" s="4">
        <f>IF(ISNUMBER(SEARCH("营",'19.07'!U15)),(-$Y15+50*IF('19.07'!$AK15="是",'19.07'!$BB$4,'19.07'!$BB$3)),(VLOOKUP('19.07'!U15,'19.07'!$AO$4:$AQ$55,2,FALSE))*IF('19.07'!$AK15="是",'19.07'!$BB$4,'19.07'!$BB$3))</f>
        <v>190</v>
      </c>
      <c r="N15" s="4">
        <f>IF(ISNUMBER(SEARCH("营",'19.07'!V15)),(-$Y15+50*IF('19.07'!$AK15="是",'19.07'!$BB$4,'19.07'!$BB$3)),(VLOOKUP('19.07'!V15,'19.07'!$AO$4:$AQ$55,2,FALSE))*IF('19.07'!$AK15="是",'19.07'!$BB$4,'19.07'!$BB$3))</f>
        <v>190</v>
      </c>
      <c r="O15" s="4">
        <f>IF(ISNUMBER(SEARCH("营",'19.07'!W15)),(-$Y15+50*IF('19.07'!$AK15="是",'19.07'!$BB$4,'19.07'!$BB$3)),(VLOOKUP('19.07'!W15,'19.07'!$AO$4:$AQ$55,2,FALSE))*IF('19.07'!$AK15="是",'19.07'!$BB$4,'19.07'!$BB$3))</f>
        <v>250</v>
      </c>
      <c r="P15" s="4">
        <f>IF(ISNUMBER(SEARCH("营",'19.07'!X15)),(-$Y15+50*IF('19.07'!$AK15="是",'19.07'!$BB$4,'19.07'!$BB$3)),(VLOOKUP('19.07'!X15,'19.07'!$AO$4:$AQ$55,2,FALSE))*IF('19.07'!$AK15="是",'19.07'!$BB$4,'19.07'!$BB$3))</f>
        <v>0</v>
      </c>
      <c r="Q15" s="4">
        <f>IF(ISNUMBER(SEARCH("营",'19.07'!Y15)),(-$Y15+50*IF('19.07'!$AK15="是",'19.07'!$BB$4,'19.07'!$BB$3)),(VLOOKUP('19.07'!Y15,'19.07'!$AO$4:$AQ$55,2,FALSE))*IF('19.07'!$AK15="是",'19.07'!$BB$4,'19.07'!$BB$3))</f>
        <v>170</v>
      </c>
      <c r="R15" s="4">
        <f>IF(ISNUMBER(SEARCH("营",'19.07'!Z15)),(-$Y15+50*IF('19.07'!$AK15="是",'19.07'!$BB$4,'19.07'!$BB$3)),(VLOOKUP('19.07'!Z15,'19.07'!$AO$4:$AQ$55,2,FALSE))*IF('19.07'!$AK15="是",'19.07'!$BB$4,'19.07'!$BB$3))</f>
        <v>170</v>
      </c>
      <c r="S15" s="4">
        <f>IF(ISNUMBER(SEARCH("营",'19.07'!AA15)),(-$Y15+50*IF('19.07'!$AK15="是",'19.07'!$BB$4,'19.07'!$BB$3)),(VLOOKUP('19.07'!AA15,'19.07'!$AO$4:$AQ$55,2,FALSE))*IF('19.07'!$AK15="是",'19.07'!$BB$4,'19.07'!$BB$3))</f>
        <v>250</v>
      </c>
      <c r="T15" s="4">
        <f>IF(ISNUMBER(SEARCH("营",'19.07'!AB15)),(-$Y15+50*IF('19.07'!$AK15="是",'19.07'!$BB$4,'19.07'!$BB$3)),(VLOOKUP('19.07'!AB15,'19.07'!$AO$4:$AQ$55,2,FALSE))*IF('19.07'!$AK15="是",'19.07'!$BB$4,'19.07'!$BB$3))</f>
        <v>0</v>
      </c>
      <c r="U15" s="4">
        <f>IF(ISNUMBER(SEARCH("营",'19.07'!AC15)),(-$Y15+50*IF('19.07'!$AK15="是",'19.07'!$BB$4,'19.07'!$BB$3)),(VLOOKUP('19.07'!AC15,'19.07'!$AO$4:$AQ$55,2,FALSE))*IF('19.07'!$AK15="是",'19.07'!$BB$4,'19.07'!$BB$3))</f>
        <v>0</v>
      </c>
      <c r="V15" s="4">
        <f>IF(ISNUMBER(SEARCH("营",'19.07'!AD15)),(-$Y15+50*IF('19.07'!$AK15="是",'19.07'!$BB$4,'19.07'!$BB$3)),(VLOOKUP('19.07'!AD15,'19.07'!$AO$4:$AQ$55,2,FALSE))*IF('19.07'!$AK15="是",'19.07'!$BB$4,'19.07'!$BB$3))</f>
        <v>0</v>
      </c>
      <c r="W15" s="4">
        <f>IF(ISNUMBER(SEARCH("营",'19.07'!AE15)),(-$Y15+50*IF('19.07'!$AK15="是",'19.07'!$BB$4,'19.07'!$BB$3)),(VLOOKUP('19.07'!AE15,'19.07'!$AO$4:$AQ$55,2,FALSE))*IF('19.07'!$AK15="是",'19.07'!$BB$4,'19.07'!$BB$3))</f>
        <v>0</v>
      </c>
      <c r="X15" s="4">
        <f>IF(ISNUMBER(SEARCH("营",'19.07'!AF15)),(-$Y15+50*IF('19.07'!$AK15="是",'19.07'!$BB$4,'19.07'!$BB$3)),(VLOOKUP('19.07'!AF15,'19.07'!$AO$4:$AQ$55,2,FALSE))*IF('19.07'!$AK15="是",'19.07'!$BB$4,'19.07'!$BB$3))</f>
        <v>0</v>
      </c>
      <c r="Y15" s="16">
        <v>250</v>
      </c>
      <c r="Z15" s="17">
        <v>45741</v>
      </c>
    </row>
    <row r="16" spans="1:26">
      <c r="A16" s="4">
        <f>IF(ISNUMBER(SEARCH("营",'19.07'!I16)),(-$Y16+50*IF('19.07'!$AK16="是",'19.07'!$BB$4,'19.07'!$BB$3)),(VLOOKUP('19.07'!I16,'19.07'!$AO$4:$AQ$55,2,FALSE))*IF('19.07'!$AK16="是",'19.07'!$BB$4,'19.07'!$BB$3))</f>
        <v>0</v>
      </c>
      <c r="B16" s="4">
        <f>IF(ISNUMBER(SEARCH("营",'19.07'!J16)),(-$Y16+50*IF('19.07'!$AK16="是",'19.07'!$BB$4,'19.07'!$BB$3)),(VLOOKUP('19.07'!J16,'19.07'!$AO$4:$AQ$55,2,FALSE))*IF('19.07'!$AK16="是",'19.07'!$BB$4,'19.07'!$BB$3))</f>
        <v>0</v>
      </c>
      <c r="C16" s="4">
        <f>IF(ISNUMBER(SEARCH("营",'19.07'!K16)),(-$Y16+50*IF('19.07'!$AK16="是",'19.07'!$BB$4,'19.07'!$BB$3)),(VLOOKUP('19.07'!K16,'19.07'!$AO$4:$AQ$55,2,FALSE))*IF('19.07'!$AK16="是",'19.07'!$BB$4,'19.07'!$BB$3))</f>
        <v>0</v>
      </c>
      <c r="D16" s="4">
        <f>IF(ISNUMBER(SEARCH("营",'19.07'!L16)),(-$Y16+50*IF('19.07'!$AK16="是",'19.07'!$BB$4,'19.07'!$BB$3)),(VLOOKUP('19.07'!L16,'19.07'!$AO$4:$AQ$55,2,FALSE))*IF('19.07'!$AK16="是",'19.07'!$BB$4,'19.07'!$BB$3))</f>
        <v>0</v>
      </c>
      <c r="E16" s="4">
        <f>IF(ISNUMBER(SEARCH("营",'19.07'!M16)),(-$Y16+50*IF('19.07'!$AK16="是",'19.07'!$BB$4,'19.07'!$BB$3)),(VLOOKUP('19.07'!M16,'19.07'!$AO$4:$AQ$55,2,FALSE))*IF('19.07'!$AK16="是",'19.07'!$BB$4,'19.07'!$BB$3))</f>
        <v>0</v>
      </c>
      <c r="F16" s="4">
        <f>IF(ISNUMBER(SEARCH("营",'19.07'!N16)),(-$Y16+50*IF('19.07'!$AK16="是",'19.07'!$BB$4,'19.07'!$BB$3)),(VLOOKUP('19.07'!N16,'19.07'!$AO$4:$AQ$55,2,FALSE))*IF('19.07'!$AK16="是",'19.07'!$BB$4,'19.07'!$BB$3))</f>
        <v>0</v>
      </c>
      <c r="G16" s="4">
        <f>IF(ISNUMBER(SEARCH("营",'19.07'!O16)),(-$Y16+50*IF('19.07'!$AK16="是",'19.07'!$BB$4,'19.07'!$BB$3)),(VLOOKUP('19.07'!O16,'19.07'!$AO$4:$AQ$55,2,FALSE))*IF('19.07'!$AK16="是",'19.07'!$BB$4,'19.07'!$BB$3))</f>
        <v>0</v>
      </c>
      <c r="H16" s="4">
        <f>IF(ISNUMBER(SEARCH("营",'19.07'!P16)),(-$Y16+50*IF('19.07'!$AK16="是",'19.07'!$BB$4,'19.07'!$BB$3)),(VLOOKUP('19.07'!P16,'19.07'!$AO$4:$AQ$55,2,FALSE))*IF('19.07'!$AK16="是",'19.07'!$BB$4,'19.07'!$BB$3))</f>
        <v>0</v>
      </c>
      <c r="I16" s="4">
        <f>IF(ISNUMBER(SEARCH("营",'19.07'!Q16)),(-$Y16+50*IF('19.07'!$AK16="是",'19.07'!$BB$4,'19.07'!$BB$3)),(VLOOKUP('19.07'!Q16,'19.07'!$AO$4:$AQ$55,2,FALSE))*IF('19.07'!$AK16="是",'19.07'!$BB$4,'19.07'!$BB$3))</f>
        <v>136</v>
      </c>
      <c r="J16" s="4">
        <f>IF(ISNUMBER(SEARCH("营",'19.07'!R16)),(-$Y16+50*IF('19.07'!$AK16="是",'19.07'!$BB$4,'19.07'!$BB$3)),(VLOOKUP('19.07'!R16,'19.07'!$AO$4:$AQ$55,2,FALSE))*IF('19.07'!$AK16="是",'19.07'!$BB$4,'19.07'!$BB$3))</f>
        <v>136</v>
      </c>
      <c r="K16" s="4">
        <f>IF(ISNUMBER(SEARCH("营",'19.07'!S16)),(-$Y16+50*IF('19.07'!$AK16="是",'19.07'!$BB$4,'19.07'!$BB$3)),(VLOOKUP('19.07'!S16,'19.07'!$AO$4:$AQ$55,2,FALSE))*IF('19.07'!$AK16="是",'19.07'!$BB$4,'19.07'!$BB$3))</f>
        <v>136</v>
      </c>
      <c r="L16" s="4">
        <f>IF(ISNUMBER(SEARCH("营",'19.07'!T16)),(-$Y16+50*IF('19.07'!$AK16="是",'19.07'!$BB$4,'19.07'!$BB$3)),(VLOOKUP('19.07'!T16,'19.07'!$AO$4:$AQ$55,2,FALSE))*IF('19.07'!$AK16="是",'19.07'!$BB$4,'19.07'!$BB$3))</f>
        <v>136</v>
      </c>
      <c r="M16" s="4">
        <f>IF(ISNUMBER(SEARCH("营",'19.07'!U16)),(-$Y16+50*IF('19.07'!$AK16="是",'19.07'!$BB$4,'19.07'!$BB$3)),(VLOOKUP('19.07'!U16,'19.07'!$AO$4:$AQ$55,2,FALSE))*IF('19.07'!$AK16="是",'19.07'!$BB$4,'19.07'!$BB$3))</f>
        <v>152</v>
      </c>
      <c r="N16" s="4">
        <f>IF(ISNUMBER(SEARCH("营",'19.07'!V16)),(-$Y16+50*IF('19.07'!$AK16="是",'19.07'!$BB$4,'19.07'!$BB$3)),(VLOOKUP('19.07'!V16,'19.07'!$AO$4:$AQ$55,2,FALSE))*IF('19.07'!$AK16="是",'19.07'!$BB$4,'19.07'!$BB$3))</f>
        <v>152</v>
      </c>
      <c r="O16" s="4">
        <f>IF(ISNUMBER(SEARCH("营",'19.07'!W16)),(-$Y16+50*IF('19.07'!$AK16="是",'19.07'!$BB$4,'19.07'!$BB$3)),(VLOOKUP('19.07'!W16,'19.07'!$AO$4:$AQ$55,2,FALSE))*IF('19.07'!$AK16="是",'19.07'!$BB$4,'19.07'!$BB$3))</f>
        <v>0</v>
      </c>
      <c r="P16" s="4">
        <f>IF(ISNUMBER(SEARCH("营",'19.07'!X16)),(-$Y16+50*IF('19.07'!$AK16="是",'19.07'!$BB$4,'19.07'!$BB$3)),(VLOOKUP('19.07'!X16,'19.07'!$AO$4:$AQ$55,2,FALSE))*IF('19.07'!$AK16="是",'19.07'!$BB$4,'19.07'!$BB$3))</f>
        <v>0</v>
      </c>
      <c r="Q16" s="4">
        <f>IF(ISNUMBER(SEARCH("营",'19.07'!Y16)),(-$Y16+50*IF('19.07'!$AK16="是",'19.07'!$BB$4,'19.07'!$BB$3)),(VLOOKUP('19.07'!Y16,'19.07'!$AO$4:$AQ$55,2,FALSE))*IF('19.07'!$AK16="是",'19.07'!$BB$4,'19.07'!$BB$3))</f>
        <v>136</v>
      </c>
      <c r="R16" s="4">
        <f>IF(ISNUMBER(SEARCH("营",'19.07'!Z16)),(-$Y16+50*IF('19.07'!$AK16="是",'19.07'!$BB$4,'19.07'!$BB$3)),(VLOOKUP('19.07'!Z16,'19.07'!$AO$4:$AQ$55,2,FALSE))*IF('19.07'!$AK16="是",'19.07'!$BB$4,'19.07'!$BB$3))</f>
        <v>136</v>
      </c>
      <c r="S16" s="4">
        <f>IF(ISNUMBER(SEARCH("营",'19.07'!AA16)),(-$Y16+50*IF('19.07'!$AK16="是",'19.07'!$BB$4,'19.07'!$BB$3)),(VLOOKUP('19.07'!AA16,'19.07'!$AO$4:$AQ$55,2,FALSE))*IF('19.07'!$AK16="是",'19.07'!$BB$4,'19.07'!$BB$3))</f>
        <v>136</v>
      </c>
      <c r="T16" s="4">
        <f>IF(ISNUMBER(SEARCH("营",'19.07'!AB16)),(-$Y16+50*IF('19.07'!$AK16="是",'19.07'!$BB$4,'19.07'!$BB$3)),(VLOOKUP('19.07'!AB16,'19.07'!$AO$4:$AQ$55,2,FALSE))*IF('19.07'!$AK16="是",'19.07'!$BB$4,'19.07'!$BB$3))</f>
        <v>136</v>
      </c>
      <c r="U16" s="4">
        <f>IF(ISNUMBER(SEARCH("营",'19.07'!AC16)),(-$Y16+50*IF('19.07'!$AK16="是",'19.07'!$BB$4,'19.07'!$BB$3)),(VLOOKUP('19.07'!AC16,'19.07'!$AO$4:$AQ$55,2,FALSE))*IF('19.07'!$AK16="是",'19.07'!$BB$4,'19.07'!$BB$3))</f>
        <v>136</v>
      </c>
      <c r="V16" s="4">
        <f>IF(ISNUMBER(SEARCH("营",'19.07'!AD16)),(-$Y16+50*IF('19.07'!$AK16="是",'19.07'!$BB$4,'19.07'!$BB$3)),(VLOOKUP('19.07'!AD16,'19.07'!$AO$4:$AQ$55,2,FALSE))*IF('19.07'!$AK16="是",'19.07'!$BB$4,'19.07'!$BB$3))</f>
        <v>136</v>
      </c>
      <c r="W16" s="4">
        <f>IF(ISNUMBER(SEARCH("营",'19.07'!AE16)),(-$Y16+50*IF('19.07'!$AK16="是",'19.07'!$BB$4,'19.07'!$BB$3)),(VLOOKUP('19.07'!AE16,'19.07'!$AO$4:$AQ$55,2,FALSE))*IF('19.07'!$AK16="是",'19.07'!$BB$4,'19.07'!$BB$3))</f>
        <v>-210</v>
      </c>
      <c r="X16" s="4">
        <f>IF(ISNUMBER(SEARCH("营",'19.07'!AF16)),(-$Y16+50*IF('19.07'!$AK16="是",'19.07'!$BB$4,'19.07'!$BB$3)),(VLOOKUP('19.07'!AF16,'19.07'!$AO$4:$AQ$55,2,FALSE))*IF('19.07'!$AK16="是",'19.07'!$BB$4,'19.07'!$BB$3))</f>
        <v>0</v>
      </c>
      <c r="Y16" s="16">
        <v>250</v>
      </c>
      <c r="Z16" s="17">
        <v>45742</v>
      </c>
    </row>
    <row r="17" spans="1:26">
      <c r="A17" s="4">
        <f>IF(ISNUMBER(SEARCH("营",'19.07'!I17)),(-$Y17+50*IF('19.07'!$AK17="是",'19.07'!$BB$4,'19.07'!$BB$3)),(VLOOKUP('19.07'!I17,'19.07'!$AO$4:$AQ$55,2,FALSE))*IF('19.07'!$AK17="是",'19.07'!$BB$4,'19.07'!$BB$3))</f>
        <v>0</v>
      </c>
      <c r="B17" s="4">
        <f>IF(ISNUMBER(SEARCH("营",'19.07'!J17)),(-$Y17+50*IF('19.07'!$AK17="是",'19.07'!$BB$4,'19.07'!$BB$3)),(VLOOKUP('19.07'!J17,'19.07'!$AO$4:$AQ$55,2,FALSE))*IF('19.07'!$AK17="是",'19.07'!$BB$4,'19.07'!$BB$3))</f>
        <v>0</v>
      </c>
      <c r="C17" s="4">
        <f>IF(ISNUMBER(SEARCH("营",'19.07'!K17)),(-$Y17+50*IF('19.07'!$AK17="是",'19.07'!$BB$4,'19.07'!$BB$3)),(VLOOKUP('19.07'!K17,'19.07'!$AO$4:$AQ$55,2,FALSE))*IF('19.07'!$AK17="是",'19.07'!$BB$4,'19.07'!$BB$3))</f>
        <v>0</v>
      </c>
      <c r="D17" s="4">
        <f>IF(ISNUMBER(SEARCH("营",'19.07'!L17)),(-$Y17+50*IF('19.07'!$AK17="是",'19.07'!$BB$4,'19.07'!$BB$3)),(VLOOKUP('19.07'!L17,'19.07'!$AO$4:$AQ$55,2,FALSE))*IF('19.07'!$AK17="是",'19.07'!$BB$4,'19.07'!$BB$3))</f>
        <v>0</v>
      </c>
      <c r="E17" s="4">
        <f>IF(ISNUMBER(SEARCH("营",'19.07'!M17)),(-$Y17+50*IF('19.07'!$AK17="是",'19.07'!$BB$4,'19.07'!$BB$3)),(VLOOKUP('19.07'!M17,'19.07'!$AO$4:$AQ$55,2,FALSE))*IF('19.07'!$AK17="是",'19.07'!$BB$4,'19.07'!$BB$3))</f>
        <v>0</v>
      </c>
      <c r="F17" s="4">
        <f>IF(ISNUMBER(SEARCH("营",'19.07'!N17)),(-$Y17+50*IF('19.07'!$AK17="是",'19.07'!$BB$4,'19.07'!$BB$3)),(VLOOKUP('19.07'!N17,'19.07'!$AO$4:$AQ$55,2,FALSE))*IF('19.07'!$AK17="是",'19.07'!$BB$4,'19.07'!$BB$3))</f>
        <v>0</v>
      </c>
      <c r="G17" s="4">
        <f>IF(ISNUMBER(SEARCH("营",'19.07'!O17)),(-$Y17+50*IF('19.07'!$AK17="是",'19.07'!$BB$4,'19.07'!$BB$3)),(VLOOKUP('19.07'!O17,'19.07'!$AO$4:$AQ$55,2,FALSE))*IF('19.07'!$AK17="是",'19.07'!$BB$4,'19.07'!$BB$3))</f>
        <v>0</v>
      </c>
      <c r="H17" s="4">
        <f>IF(ISNUMBER(SEARCH("营",'19.07'!P17)),(-$Y17+50*IF('19.07'!$AK17="是",'19.07'!$BB$4,'19.07'!$BB$3)),(VLOOKUP('19.07'!P17,'19.07'!$AO$4:$AQ$55,2,FALSE))*IF('19.07'!$AK17="是",'19.07'!$BB$4,'19.07'!$BB$3))</f>
        <v>0</v>
      </c>
      <c r="I17" s="4">
        <f>IF(ISNUMBER(SEARCH("营",'19.07'!Q17)),(-$Y17+50*IF('19.07'!$AK17="是",'19.07'!$BB$4,'19.07'!$BB$3)),(VLOOKUP('19.07'!Q17,'19.07'!$AO$4:$AQ$55,2,FALSE))*IF('19.07'!$AK17="是",'19.07'!$BB$4,'19.07'!$BB$3))</f>
        <v>0</v>
      </c>
      <c r="J17" s="4">
        <f>IF(ISNUMBER(SEARCH("营",'19.07'!R17)),(-$Y17+50*IF('19.07'!$AK17="是",'19.07'!$BB$4,'19.07'!$BB$3)),(VLOOKUP('19.07'!R17,'19.07'!$AO$4:$AQ$55,2,FALSE))*IF('19.07'!$AK17="是",'19.07'!$BB$4,'19.07'!$BB$3))</f>
        <v>0</v>
      </c>
      <c r="K17" s="4">
        <f>IF(ISNUMBER(SEARCH("营",'19.07'!S17)),(-$Y17+50*IF('19.07'!$AK17="是",'19.07'!$BB$4,'19.07'!$BB$3)),(VLOOKUP('19.07'!S17,'19.07'!$AO$4:$AQ$55,2,FALSE))*IF('19.07'!$AK17="是",'19.07'!$BB$4,'19.07'!$BB$3))</f>
        <v>0</v>
      </c>
      <c r="L17" s="4">
        <f>IF(ISNUMBER(SEARCH("营",'19.07'!T17)),(-$Y17+50*IF('19.07'!$AK17="是",'19.07'!$BB$4,'19.07'!$BB$3)),(VLOOKUP('19.07'!T17,'19.07'!$AO$4:$AQ$55,2,FALSE))*IF('19.07'!$AK17="是",'19.07'!$BB$4,'19.07'!$BB$3))</f>
        <v>0</v>
      </c>
      <c r="M17" s="4">
        <f>IF(ISNUMBER(SEARCH("营",'19.07'!U17)),(-$Y17+50*IF('19.07'!$AK17="是",'19.07'!$BB$4,'19.07'!$BB$3)),(VLOOKUP('19.07'!U17,'19.07'!$AO$4:$AQ$55,2,FALSE))*IF('19.07'!$AK17="是",'19.07'!$BB$4,'19.07'!$BB$3))</f>
        <v>0</v>
      </c>
      <c r="N17" s="4">
        <f>IF(ISNUMBER(SEARCH("营",'19.07'!V17)),(-$Y17+50*IF('19.07'!$AK17="是",'19.07'!$BB$4,'19.07'!$BB$3)),(VLOOKUP('19.07'!V17,'19.07'!$AO$4:$AQ$55,2,FALSE))*IF('19.07'!$AK17="是",'19.07'!$BB$4,'19.07'!$BB$3))</f>
        <v>0</v>
      </c>
      <c r="O17" s="4">
        <f>IF(ISNUMBER(SEARCH("营",'19.07'!W17)),(-$Y17+50*IF('19.07'!$AK17="是",'19.07'!$BB$4,'19.07'!$BB$3)),(VLOOKUP('19.07'!W17,'19.07'!$AO$4:$AQ$55,2,FALSE))*IF('19.07'!$AK17="是",'19.07'!$BB$4,'19.07'!$BB$3))</f>
        <v>0</v>
      </c>
      <c r="P17" s="4">
        <f>IF(ISNUMBER(SEARCH("营",'19.07'!X17)),(-$Y17+50*IF('19.07'!$AK17="是",'19.07'!$BB$4,'19.07'!$BB$3)),(VLOOKUP('19.07'!X17,'19.07'!$AO$4:$AQ$55,2,FALSE))*IF('19.07'!$AK17="是",'19.07'!$BB$4,'19.07'!$BB$3))</f>
        <v>0</v>
      </c>
      <c r="Q17" s="4">
        <f>IF(ISNUMBER(SEARCH("营",'19.07'!Y17)),(-$Y17+50*IF('19.07'!$AK17="是",'19.07'!$BB$4,'19.07'!$BB$3)),(VLOOKUP('19.07'!Y17,'19.07'!$AO$4:$AQ$55,2,FALSE))*IF('19.07'!$AK17="是",'19.07'!$BB$4,'19.07'!$BB$3))</f>
        <v>136</v>
      </c>
      <c r="R17" s="4">
        <f>IF(ISNUMBER(SEARCH("营",'19.07'!Z17)),(-$Y17+50*IF('19.07'!$AK17="是",'19.07'!$BB$4,'19.07'!$BB$3)),(VLOOKUP('19.07'!Z17,'19.07'!$AO$4:$AQ$55,2,FALSE))*IF('19.07'!$AK17="是",'19.07'!$BB$4,'19.07'!$BB$3))</f>
        <v>136</v>
      </c>
      <c r="S17" s="4">
        <f>IF(ISNUMBER(SEARCH("营",'19.07'!AA17)),(-$Y17+50*IF('19.07'!$AK17="是",'19.07'!$BB$4,'19.07'!$BB$3)),(VLOOKUP('19.07'!AA17,'19.07'!$AO$4:$AQ$55,2,FALSE))*IF('19.07'!$AK17="是",'19.07'!$BB$4,'19.07'!$BB$3))</f>
        <v>136</v>
      </c>
      <c r="T17" s="4">
        <f>IF(ISNUMBER(SEARCH("营",'19.07'!AB17)),(-$Y17+50*IF('19.07'!$AK17="是",'19.07'!$BB$4,'19.07'!$BB$3)),(VLOOKUP('19.07'!AB17,'19.07'!$AO$4:$AQ$55,2,FALSE))*IF('19.07'!$AK17="是",'19.07'!$BB$4,'19.07'!$BB$3))</f>
        <v>136</v>
      </c>
      <c r="U17" s="4">
        <f>IF(ISNUMBER(SEARCH("营",'19.07'!AC17)),(-$Y17+50*IF('19.07'!$AK17="是",'19.07'!$BB$4,'19.07'!$BB$3)),(VLOOKUP('19.07'!AC17,'19.07'!$AO$4:$AQ$55,2,FALSE))*IF('19.07'!$AK17="是",'19.07'!$BB$4,'19.07'!$BB$3))</f>
        <v>0</v>
      </c>
      <c r="V17" s="4">
        <f>IF(ISNUMBER(SEARCH("营",'19.07'!AD17)),(-$Y17+50*IF('19.07'!$AK17="是",'19.07'!$BB$4,'19.07'!$BB$3)),(VLOOKUP('19.07'!AD17,'19.07'!$AO$4:$AQ$55,2,FALSE))*IF('19.07'!$AK17="是",'19.07'!$BB$4,'19.07'!$BB$3))</f>
        <v>0</v>
      </c>
      <c r="W17" s="4">
        <f>IF(ISNUMBER(SEARCH("营",'19.07'!AE17)),(-$Y17+50*IF('19.07'!$AK17="是",'19.07'!$BB$4,'19.07'!$BB$3)),(VLOOKUP('19.07'!AE17,'19.07'!$AO$4:$AQ$55,2,FALSE))*IF('19.07'!$AK17="是",'19.07'!$BB$4,'19.07'!$BB$3))</f>
        <v>0</v>
      </c>
      <c r="X17" s="4">
        <f>IF(ISNUMBER(SEARCH("营",'19.07'!AF17)),(-$Y17+50*IF('19.07'!$AK17="是",'19.07'!$BB$4,'19.07'!$BB$3)),(VLOOKUP('19.07'!AF17,'19.07'!$AO$4:$AQ$55,2,FALSE))*IF('19.07'!$AK17="是",'19.07'!$BB$4,'19.07'!$BB$3))</f>
        <v>0</v>
      </c>
      <c r="Y17" s="16">
        <v>250</v>
      </c>
      <c r="Z17" s="17">
        <v>45743</v>
      </c>
    </row>
    <row r="18" spans="1:26">
      <c r="A18" s="4">
        <f>IF(ISNUMBER(SEARCH("营",'19.07'!I18)),(-$Y18+50*IF('19.07'!$AK18="是",'19.07'!$BB$4,'19.07'!$BB$3)),(VLOOKUP('19.07'!I18,'19.07'!$AO$4:$AQ$55,2,FALSE))*IF('19.07'!$AK18="是",'19.07'!$BB$4,'19.07'!$BB$3))</f>
        <v>0</v>
      </c>
      <c r="B18" s="4">
        <f>IF(ISNUMBER(SEARCH("营",'19.07'!J18)),(-$Y18+50*IF('19.07'!$AK18="是",'19.07'!$BB$4,'19.07'!$BB$3)),(VLOOKUP('19.07'!J18,'19.07'!$AO$4:$AQ$55,2,FALSE))*IF('19.07'!$AK18="是",'19.07'!$BB$4,'19.07'!$BB$3))</f>
        <v>0</v>
      </c>
      <c r="C18" s="4">
        <f>IF(ISNUMBER(SEARCH("营",'19.07'!K18)),(-$Y18+50*IF('19.07'!$AK18="是",'19.07'!$BB$4,'19.07'!$BB$3)),(VLOOKUP('19.07'!K18,'19.07'!$AO$4:$AQ$55,2,FALSE))*IF('19.07'!$AK18="是",'19.07'!$BB$4,'19.07'!$BB$3))</f>
        <v>0</v>
      </c>
      <c r="D18" s="4">
        <f>IF(ISNUMBER(SEARCH("营",'19.07'!L18)),(-$Y18+50*IF('19.07'!$AK18="是",'19.07'!$BB$4,'19.07'!$BB$3)),(VLOOKUP('19.07'!L18,'19.07'!$AO$4:$AQ$55,2,FALSE))*IF('19.07'!$AK18="是",'19.07'!$BB$4,'19.07'!$BB$3))</f>
        <v>0</v>
      </c>
      <c r="E18" s="4">
        <f>IF(ISNUMBER(SEARCH("营",'19.07'!M18)),(-$Y18+50*IF('19.07'!$AK18="是",'19.07'!$BB$4,'19.07'!$BB$3)),(VLOOKUP('19.07'!M18,'19.07'!$AO$4:$AQ$55,2,FALSE))*IF('19.07'!$AK18="是",'19.07'!$BB$4,'19.07'!$BB$3))</f>
        <v>0</v>
      </c>
      <c r="F18" s="4">
        <f>IF(ISNUMBER(SEARCH("营",'19.07'!N18)),(-$Y18+50*IF('19.07'!$AK18="是",'19.07'!$BB$4,'19.07'!$BB$3)),(VLOOKUP('19.07'!N18,'19.07'!$AO$4:$AQ$55,2,FALSE))*IF('19.07'!$AK18="是",'19.07'!$BB$4,'19.07'!$BB$3))</f>
        <v>0</v>
      </c>
      <c r="G18" s="4">
        <f>IF(ISNUMBER(SEARCH("营",'19.07'!O18)),(-$Y18+50*IF('19.07'!$AK18="是",'19.07'!$BB$4,'19.07'!$BB$3)),(VLOOKUP('19.07'!O18,'19.07'!$AO$4:$AQ$55,2,FALSE))*IF('19.07'!$AK18="是",'19.07'!$BB$4,'19.07'!$BB$3))</f>
        <v>0</v>
      </c>
      <c r="H18" s="4">
        <f>IF(ISNUMBER(SEARCH("营",'19.07'!P18)),(-$Y18+50*IF('19.07'!$AK18="是",'19.07'!$BB$4,'19.07'!$BB$3)),(VLOOKUP('19.07'!P18,'19.07'!$AO$4:$AQ$55,2,FALSE))*IF('19.07'!$AK18="是",'19.07'!$BB$4,'19.07'!$BB$3))</f>
        <v>0</v>
      </c>
      <c r="I18" s="4">
        <f>IF(ISNUMBER(SEARCH("营",'19.07'!Q18)),(-$Y18+50*IF('19.07'!$AK18="是",'19.07'!$BB$4,'19.07'!$BB$3)),(VLOOKUP('19.07'!Q18,'19.07'!$AO$4:$AQ$55,2,FALSE))*IF('19.07'!$AK18="是",'19.07'!$BB$4,'19.07'!$BB$3))</f>
        <v>152</v>
      </c>
      <c r="J18" s="4">
        <f>IF(ISNUMBER(SEARCH("营",'19.07'!R18)),(-$Y18+50*IF('19.07'!$AK18="是",'19.07'!$BB$4,'19.07'!$BB$3)),(VLOOKUP('19.07'!R18,'19.07'!$AO$4:$AQ$55,2,FALSE))*IF('19.07'!$AK18="是",'19.07'!$BB$4,'19.07'!$BB$3))</f>
        <v>120</v>
      </c>
      <c r="K18" s="4">
        <f>IF(ISNUMBER(SEARCH("营",'19.07'!S18)),(-$Y18+50*IF('19.07'!$AK18="是",'19.07'!$BB$4,'19.07'!$BB$3)),(VLOOKUP('19.07'!S18,'19.07'!$AO$4:$AQ$55,2,FALSE))*IF('19.07'!$AK18="是",'19.07'!$BB$4,'19.07'!$BB$3))</f>
        <v>152</v>
      </c>
      <c r="L18" s="4">
        <f>IF(ISNUMBER(SEARCH("营",'19.07'!T18)),(-$Y18+50*IF('19.07'!$AK18="是",'19.07'!$BB$4,'19.07'!$BB$3)),(VLOOKUP('19.07'!T18,'19.07'!$AO$4:$AQ$55,2,FALSE))*IF('19.07'!$AK18="是",'19.07'!$BB$4,'19.07'!$BB$3))</f>
        <v>152</v>
      </c>
      <c r="M18" s="4">
        <f>IF(ISNUMBER(SEARCH("营",'19.07'!U18)),(-$Y18+50*IF('19.07'!$AK18="是",'19.07'!$BB$4,'19.07'!$BB$3)),(VLOOKUP('19.07'!U18,'19.07'!$AO$4:$AQ$55,2,FALSE))*IF('19.07'!$AK18="是",'19.07'!$BB$4,'19.07'!$BB$3))</f>
        <v>152</v>
      </c>
      <c r="N18" s="4">
        <f>IF(ISNUMBER(SEARCH("营",'19.07'!V18)),(-$Y18+50*IF('19.07'!$AK18="是",'19.07'!$BB$4,'19.07'!$BB$3)),(VLOOKUP('19.07'!V18,'19.07'!$AO$4:$AQ$55,2,FALSE))*IF('19.07'!$AK18="是",'19.07'!$BB$4,'19.07'!$BB$3))</f>
        <v>152</v>
      </c>
      <c r="O18" s="4">
        <f>IF(ISNUMBER(SEARCH("营",'19.07'!W18)),(-$Y18+50*IF('19.07'!$AK18="是",'19.07'!$BB$4,'19.07'!$BB$3)),(VLOOKUP('19.07'!W18,'19.07'!$AO$4:$AQ$55,2,FALSE))*IF('19.07'!$AK18="是",'19.07'!$BB$4,'19.07'!$BB$3))</f>
        <v>0</v>
      </c>
      <c r="P18" s="4">
        <f>IF(ISNUMBER(SEARCH("营",'19.07'!X18)),(-$Y18+50*IF('19.07'!$AK18="是",'19.07'!$BB$4,'19.07'!$BB$3)),(VLOOKUP('19.07'!X18,'19.07'!$AO$4:$AQ$55,2,FALSE))*IF('19.07'!$AK18="是",'19.07'!$BB$4,'19.07'!$BB$3))</f>
        <v>0</v>
      </c>
      <c r="Q18" s="4">
        <f>IF(ISNUMBER(SEARCH("营",'19.07'!Y18)),(-$Y18+50*IF('19.07'!$AK18="是",'19.07'!$BB$4,'19.07'!$BB$3)),(VLOOKUP('19.07'!Y18,'19.07'!$AO$4:$AQ$55,2,FALSE))*IF('19.07'!$AK18="是",'19.07'!$BB$4,'19.07'!$BB$3))</f>
        <v>136</v>
      </c>
      <c r="R18" s="4">
        <f>IF(ISNUMBER(SEARCH("营",'19.07'!Z18)),(-$Y18+50*IF('19.07'!$AK18="是",'19.07'!$BB$4,'19.07'!$BB$3)),(VLOOKUP('19.07'!Z18,'19.07'!$AO$4:$AQ$55,2,FALSE))*IF('19.07'!$AK18="是",'19.07'!$BB$4,'19.07'!$BB$3))</f>
        <v>144</v>
      </c>
      <c r="S18" s="4">
        <f>IF(ISNUMBER(SEARCH("营",'19.07'!AA18)),(-$Y18+50*IF('19.07'!$AK18="是",'19.07'!$BB$4,'19.07'!$BB$3)),(VLOOKUP('19.07'!AA18,'19.07'!$AO$4:$AQ$55,2,FALSE))*IF('19.07'!$AK18="是",'19.07'!$BB$4,'19.07'!$BB$3))</f>
        <v>144</v>
      </c>
      <c r="T18" s="4">
        <f>IF(ISNUMBER(SEARCH("营",'19.07'!AB18)),(-$Y18+50*IF('19.07'!$AK18="是",'19.07'!$BB$4,'19.07'!$BB$3)),(VLOOKUP('19.07'!AB18,'19.07'!$AO$4:$AQ$55,2,FALSE))*IF('19.07'!$AK18="是",'19.07'!$BB$4,'19.07'!$BB$3))</f>
        <v>144</v>
      </c>
      <c r="U18" s="4">
        <f>IF(ISNUMBER(SEARCH("营",'19.07'!AC18)),(-$Y18+50*IF('19.07'!$AK18="是",'19.07'!$BB$4,'19.07'!$BB$3)),(VLOOKUP('19.07'!AC18,'19.07'!$AO$4:$AQ$55,2,FALSE))*IF('19.07'!$AK18="是",'19.07'!$BB$4,'19.07'!$BB$3))</f>
        <v>-210</v>
      </c>
      <c r="V18" s="4">
        <f>IF(ISNUMBER(SEARCH("营",'19.07'!AD18)),(-$Y18+50*IF('19.07'!$AK18="是",'19.07'!$BB$4,'19.07'!$BB$3)),(VLOOKUP('19.07'!AD18,'19.07'!$AO$4:$AQ$55,2,FALSE))*IF('19.07'!$AK18="是",'19.07'!$BB$4,'19.07'!$BB$3))</f>
        <v>144</v>
      </c>
      <c r="W18" s="4">
        <f>IF(ISNUMBER(SEARCH("营",'19.07'!AE18)),(-$Y18+50*IF('19.07'!$AK18="是",'19.07'!$BB$4,'19.07'!$BB$3)),(VLOOKUP('19.07'!AE18,'19.07'!$AO$4:$AQ$55,2,FALSE))*IF('19.07'!$AK18="是",'19.07'!$BB$4,'19.07'!$BB$3))</f>
        <v>120</v>
      </c>
      <c r="X18" s="4">
        <f>IF(ISNUMBER(SEARCH("营",'19.07'!AF18)),(-$Y18+50*IF('19.07'!$AK18="是",'19.07'!$BB$4,'19.07'!$BB$3)),(VLOOKUP('19.07'!AF18,'19.07'!$AO$4:$AQ$55,2,FALSE))*IF('19.07'!$AK18="是",'19.07'!$BB$4,'19.07'!$BB$3))</f>
        <v>144</v>
      </c>
      <c r="Y18" s="16">
        <v>250</v>
      </c>
      <c r="Z18" s="17">
        <v>45744</v>
      </c>
    </row>
    <row r="19" spans="1:26">
      <c r="A19" s="4">
        <f>IF(ISNUMBER(SEARCH("营",'19.07'!I19)),(-$Y19+50*IF('19.07'!$AK19="是",'19.07'!$BB$4,'19.07'!$BB$3)),(VLOOKUP('19.07'!I19,'19.07'!$AO$4:$AQ$55,2,FALSE))*IF('19.07'!$AK19="是",'19.07'!$BB$4,'19.07'!$BB$3))</f>
        <v>0</v>
      </c>
      <c r="B19" s="4">
        <f>IF(ISNUMBER(SEARCH("营",'19.07'!J19)),(-$Y19+50*IF('19.07'!$AK19="是",'19.07'!$BB$4,'19.07'!$BB$3)),(VLOOKUP('19.07'!J19,'19.07'!$AO$4:$AQ$55,2,FALSE))*IF('19.07'!$AK19="是",'19.07'!$BB$4,'19.07'!$BB$3))</f>
        <v>0</v>
      </c>
      <c r="C19" s="4">
        <f>IF(ISNUMBER(SEARCH("营",'19.07'!K19)),(-$Y19+50*IF('19.07'!$AK19="是",'19.07'!$BB$4,'19.07'!$BB$3)),(VLOOKUP('19.07'!K19,'19.07'!$AO$4:$AQ$55,2,FALSE))*IF('19.07'!$AK19="是",'19.07'!$BB$4,'19.07'!$BB$3))</f>
        <v>0</v>
      </c>
      <c r="D19" s="4">
        <f>IF(ISNUMBER(SEARCH("营",'19.07'!L19)),(-$Y19+50*IF('19.07'!$AK19="是",'19.07'!$BB$4,'19.07'!$BB$3)),(VLOOKUP('19.07'!L19,'19.07'!$AO$4:$AQ$55,2,FALSE))*IF('19.07'!$AK19="是",'19.07'!$BB$4,'19.07'!$BB$3))</f>
        <v>0</v>
      </c>
      <c r="E19" s="4">
        <f>IF(ISNUMBER(SEARCH("营",'19.07'!M19)),(-$Y19+50*IF('19.07'!$AK19="是",'19.07'!$BB$4,'19.07'!$BB$3)),(VLOOKUP('19.07'!M19,'19.07'!$AO$4:$AQ$55,2,FALSE))*IF('19.07'!$AK19="是",'19.07'!$BB$4,'19.07'!$BB$3))</f>
        <v>0</v>
      </c>
      <c r="F19" s="4">
        <f>IF(ISNUMBER(SEARCH("营",'19.07'!N19)),(-$Y19+50*IF('19.07'!$AK19="是",'19.07'!$BB$4,'19.07'!$BB$3)),(VLOOKUP('19.07'!N19,'19.07'!$AO$4:$AQ$55,2,FALSE))*IF('19.07'!$AK19="是",'19.07'!$BB$4,'19.07'!$BB$3))</f>
        <v>0</v>
      </c>
      <c r="G19" s="4">
        <f>IF(ISNUMBER(SEARCH("营",'19.07'!O19)),(-$Y19+50*IF('19.07'!$AK19="是",'19.07'!$BB$4,'19.07'!$BB$3)),(VLOOKUP('19.07'!O19,'19.07'!$AO$4:$AQ$55,2,FALSE))*IF('19.07'!$AK19="是",'19.07'!$BB$4,'19.07'!$BB$3))</f>
        <v>0</v>
      </c>
      <c r="H19" s="4">
        <f>IF(ISNUMBER(SEARCH("营",'19.07'!P19)),(-$Y19+50*IF('19.07'!$AK19="是",'19.07'!$BB$4,'19.07'!$BB$3)),(VLOOKUP('19.07'!P19,'19.07'!$AO$4:$AQ$55,2,FALSE))*IF('19.07'!$AK19="是",'19.07'!$BB$4,'19.07'!$BB$3))</f>
        <v>0</v>
      </c>
      <c r="I19" s="4">
        <f>IF(ISNUMBER(SEARCH("营",'19.07'!Q19)),(-$Y19+50*IF('19.07'!$AK19="是",'19.07'!$BB$4,'19.07'!$BB$3)),(VLOOKUP('19.07'!Q19,'19.07'!$AO$4:$AQ$55,2,FALSE))*IF('19.07'!$AK19="是",'19.07'!$BB$4,'19.07'!$BB$3))</f>
        <v>152</v>
      </c>
      <c r="J19" s="4">
        <f>IF(ISNUMBER(SEARCH("营",'19.07'!R19)),(-$Y19+50*IF('19.07'!$AK19="是",'19.07'!$BB$4,'19.07'!$BB$3)),(VLOOKUP('19.07'!R19,'19.07'!$AO$4:$AQ$55,2,FALSE))*IF('19.07'!$AK19="是",'19.07'!$BB$4,'19.07'!$BB$3))</f>
        <v>152</v>
      </c>
      <c r="K19" s="4">
        <f>IF(ISNUMBER(SEARCH("营",'19.07'!S19)),(-$Y19+50*IF('19.07'!$AK19="是",'19.07'!$BB$4,'19.07'!$BB$3)),(VLOOKUP('19.07'!S19,'19.07'!$AO$4:$AQ$55,2,FALSE))*IF('19.07'!$AK19="是",'19.07'!$BB$4,'19.07'!$BB$3))</f>
        <v>-210</v>
      </c>
      <c r="L19" s="4">
        <f>IF(ISNUMBER(SEARCH("营",'19.07'!T19)),(-$Y19+50*IF('19.07'!$AK19="是",'19.07'!$BB$4,'19.07'!$BB$3)),(VLOOKUP('19.07'!T19,'19.07'!$AO$4:$AQ$55,2,FALSE))*IF('19.07'!$AK19="是",'19.07'!$BB$4,'19.07'!$BB$3))</f>
        <v>152</v>
      </c>
      <c r="M19" s="4">
        <f>IF(ISNUMBER(SEARCH("营",'19.07'!U19)),(-$Y19+50*IF('19.07'!$AK19="是",'19.07'!$BB$4,'19.07'!$BB$3)),(VLOOKUP('19.07'!U19,'19.07'!$AO$4:$AQ$55,2,FALSE))*IF('19.07'!$AK19="是",'19.07'!$BB$4,'19.07'!$BB$3))</f>
        <v>152</v>
      </c>
      <c r="N19" s="4">
        <f>IF(ISNUMBER(SEARCH("营",'19.07'!V19)),(-$Y19+50*IF('19.07'!$AK19="是",'19.07'!$BB$4,'19.07'!$BB$3)),(VLOOKUP('19.07'!V19,'19.07'!$AO$4:$AQ$55,2,FALSE))*IF('19.07'!$AK19="是",'19.07'!$BB$4,'19.07'!$BB$3))</f>
        <v>152</v>
      </c>
      <c r="O19" s="4">
        <f>IF(ISNUMBER(SEARCH("营",'19.07'!W19)),(-$Y19+50*IF('19.07'!$AK19="是",'19.07'!$BB$4,'19.07'!$BB$3)),(VLOOKUP('19.07'!W19,'19.07'!$AO$4:$AQ$55,2,FALSE))*IF('19.07'!$AK19="是",'19.07'!$BB$4,'19.07'!$BB$3))</f>
        <v>152</v>
      </c>
      <c r="P19" s="4">
        <f>IF(ISNUMBER(SEARCH("营",'19.07'!X19)),(-$Y19+50*IF('19.07'!$AK19="是",'19.07'!$BB$4,'19.07'!$BB$3)),(VLOOKUP('19.07'!X19,'19.07'!$AO$4:$AQ$55,2,FALSE))*IF('19.07'!$AK19="是",'19.07'!$BB$4,'19.07'!$BB$3))</f>
        <v>0</v>
      </c>
      <c r="Q19" s="4">
        <f>IF(ISNUMBER(SEARCH("营",'19.07'!Y19)),(-$Y19+50*IF('19.07'!$AK19="是",'19.07'!$BB$4,'19.07'!$BB$3)),(VLOOKUP('19.07'!Y19,'19.07'!$AO$4:$AQ$55,2,FALSE))*IF('19.07'!$AK19="是",'19.07'!$BB$4,'19.07'!$BB$3))</f>
        <v>144</v>
      </c>
      <c r="R19" s="4">
        <f>IF(ISNUMBER(SEARCH("营",'19.07'!Z19)),(-$Y19+50*IF('19.07'!$AK19="是",'19.07'!$BB$4,'19.07'!$BB$3)),(VLOOKUP('19.07'!Z19,'19.07'!$AO$4:$AQ$55,2,FALSE))*IF('19.07'!$AK19="是",'19.07'!$BB$4,'19.07'!$BB$3))</f>
        <v>40</v>
      </c>
      <c r="S19" s="4">
        <f>IF(ISNUMBER(SEARCH("营",'19.07'!AA19)),(-$Y19+50*IF('19.07'!$AK19="是",'19.07'!$BB$4,'19.07'!$BB$3)),(VLOOKUP('19.07'!AA19,'19.07'!$AO$4:$AQ$55,2,FALSE))*IF('19.07'!$AK19="是",'19.07'!$BB$4,'19.07'!$BB$3))</f>
        <v>152</v>
      </c>
      <c r="T19" s="4">
        <f>IF(ISNUMBER(SEARCH("营",'19.07'!AB19)),(-$Y19+50*IF('19.07'!$AK19="是",'19.07'!$BB$4,'19.07'!$BB$3)),(VLOOKUP('19.07'!AB19,'19.07'!$AO$4:$AQ$55,2,FALSE))*IF('19.07'!$AK19="是",'19.07'!$BB$4,'19.07'!$BB$3))</f>
        <v>152</v>
      </c>
      <c r="U19" s="4">
        <f>IF(ISNUMBER(SEARCH("营",'19.07'!AC19)),(-$Y19+50*IF('19.07'!$AK19="是",'19.07'!$BB$4,'19.07'!$BB$3)),(VLOOKUP('19.07'!AC19,'19.07'!$AO$4:$AQ$55,2,FALSE))*IF('19.07'!$AK19="是",'19.07'!$BB$4,'19.07'!$BB$3))</f>
        <v>152</v>
      </c>
      <c r="V19" s="4">
        <f>IF(ISNUMBER(SEARCH("营",'19.07'!AD19)),(-$Y19+50*IF('19.07'!$AK19="是",'19.07'!$BB$4,'19.07'!$BB$3)),(VLOOKUP('19.07'!AD19,'19.07'!$AO$4:$AQ$55,2,FALSE))*IF('19.07'!$AK19="是",'19.07'!$BB$4,'19.07'!$BB$3))</f>
        <v>152</v>
      </c>
      <c r="W19" s="4">
        <f>IF(ISNUMBER(SEARCH("营",'19.07'!AE19)),(-$Y19+50*IF('19.07'!$AK19="是",'19.07'!$BB$4,'19.07'!$BB$3)),(VLOOKUP('19.07'!AE19,'19.07'!$AO$4:$AQ$55,2,FALSE))*IF('19.07'!$AK19="是",'19.07'!$BB$4,'19.07'!$BB$3))</f>
        <v>152</v>
      </c>
      <c r="X19" s="4">
        <f>IF(ISNUMBER(SEARCH("营",'19.07'!AF19)),(-$Y19+50*IF('19.07'!$AK19="是",'19.07'!$BB$4,'19.07'!$BB$3)),(VLOOKUP('19.07'!AF19,'19.07'!$AO$4:$AQ$55,2,FALSE))*IF('19.07'!$AK19="是",'19.07'!$BB$4,'19.07'!$BB$3))</f>
        <v>152</v>
      </c>
      <c r="Y19" s="16">
        <v>250</v>
      </c>
      <c r="Z19" s="17">
        <v>45745</v>
      </c>
    </row>
    <row r="20" spans="1:26">
      <c r="A20" s="4">
        <f>IF(ISNUMBER(SEARCH("营",'19.07'!I20)),(-$Y20+50*IF('19.07'!$AK20="是",'19.07'!$BB$4,'19.07'!$BB$3)),(VLOOKUP('19.07'!I20,'19.07'!$AO$4:$AQ$55,2,FALSE))*IF('19.07'!$AK20="是",'19.07'!$BB$4,'19.07'!$BB$3))</f>
        <v>120</v>
      </c>
      <c r="B20" s="4">
        <f>IF(ISNUMBER(SEARCH("营",'19.07'!J20)),(-$Y20+50*IF('19.07'!$AK20="是",'19.07'!$BB$4,'19.07'!$BB$3)),(VLOOKUP('19.07'!J20,'19.07'!$AO$4:$AQ$55,2,FALSE))*IF('19.07'!$AK20="是",'19.07'!$BB$4,'19.07'!$BB$3))</f>
        <v>40</v>
      </c>
      <c r="C20" s="4">
        <f>IF(ISNUMBER(SEARCH("营",'19.07'!K20)),(-$Y20+50*IF('19.07'!$AK20="是",'19.07'!$BB$4,'19.07'!$BB$3)),(VLOOKUP('19.07'!K20,'19.07'!$AO$4:$AQ$55,2,FALSE))*IF('19.07'!$AK20="是",'19.07'!$BB$4,'19.07'!$BB$3))</f>
        <v>120</v>
      </c>
      <c r="D20" s="4">
        <f>IF(ISNUMBER(SEARCH("营",'19.07'!L20)),(-$Y20+50*IF('19.07'!$AK20="是",'19.07'!$BB$4,'19.07'!$BB$3)),(VLOOKUP('19.07'!L20,'19.07'!$AO$4:$AQ$55,2,FALSE))*IF('19.07'!$AK20="是",'19.07'!$BB$4,'19.07'!$BB$3))</f>
        <v>120</v>
      </c>
      <c r="E20" s="4">
        <f>IF(ISNUMBER(SEARCH("营",'19.07'!M20)),(-$Y20+50*IF('19.07'!$AK20="是",'19.07'!$BB$4,'19.07'!$BB$3)),(VLOOKUP('19.07'!M20,'19.07'!$AO$4:$AQ$55,2,FALSE))*IF('19.07'!$AK20="是",'19.07'!$BB$4,'19.07'!$BB$3))</f>
        <v>120</v>
      </c>
      <c r="F20" s="4">
        <f>IF(ISNUMBER(SEARCH("营",'19.07'!N20)),(-$Y20+50*IF('19.07'!$AK20="是",'19.07'!$BB$4,'19.07'!$BB$3)),(VLOOKUP('19.07'!N20,'19.07'!$AO$4:$AQ$55,2,FALSE))*IF('19.07'!$AK20="是",'19.07'!$BB$4,'19.07'!$BB$3))</f>
        <v>120</v>
      </c>
      <c r="G20" s="4">
        <f>IF(ISNUMBER(SEARCH("营",'19.07'!O20)),(-$Y20+50*IF('19.07'!$AK20="是",'19.07'!$BB$4,'19.07'!$BB$3)),(VLOOKUP('19.07'!O20,'19.07'!$AO$4:$AQ$55,2,FALSE))*IF('19.07'!$AK20="是",'19.07'!$BB$4,'19.07'!$BB$3))</f>
        <v>0</v>
      </c>
      <c r="H20" s="4">
        <f>IF(ISNUMBER(SEARCH("营",'19.07'!P20)),(-$Y20+50*IF('19.07'!$AK20="是",'19.07'!$BB$4,'19.07'!$BB$3)),(VLOOKUP('19.07'!P20,'19.07'!$AO$4:$AQ$55,2,FALSE))*IF('19.07'!$AK20="是",'19.07'!$BB$4,'19.07'!$BB$3))</f>
        <v>0</v>
      </c>
      <c r="I20" s="4">
        <f>IF(ISNUMBER(SEARCH("营",'19.07'!Q20)),(-$Y20+50*IF('19.07'!$AK20="是",'19.07'!$BB$4,'19.07'!$BB$3)),(VLOOKUP('19.07'!Q20,'19.07'!$AO$4:$AQ$55,2,FALSE))*IF('19.07'!$AK20="是",'19.07'!$BB$4,'19.07'!$BB$3))</f>
        <v>152</v>
      </c>
      <c r="J20" s="4">
        <f>IF(ISNUMBER(SEARCH("营",'19.07'!R20)),(-$Y20+50*IF('19.07'!$AK20="是",'19.07'!$BB$4,'19.07'!$BB$3)),(VLOOKUP('19.07'!R20,'19.07'!$AO$4:$AQ$55,2,FALSE))*IF('19.07'!$AK20="是",'19.07'!$BB$4,'19.07'!$BB$3))</f>
        <v>152</v>
      </c>
      <c r="K20" s="4">
        <f>IF(ISNUMBER(SEARCH("营",'19.07'!S20)),(-$Y20+50*IF('19.07'!$AK20="是",'19.07'!$BB$4,'19.07'!$BB$3)),(VLOOKUP('19.07'!S20,'19.07'!$AO$4:$AQ$55,2,FALSE))*IF('19.07'!$AK20="是",'19.07'!$BB$4,'19.07'!$BB$3))</f>
        <v>152</v>
      </c>
      <c r="L20" s="4">
        <f>IF(ISNUMBER(SEARCH("营",'19.07'!T20)),(-$Y20+50*IF('19.07'!$AK20="是",'19.07'!$BB$4,'19.07'!$BB$3)),(VLOOKUP('19.07'!T20,'19.07'!$AO$4:$AQ$55,2,FALSE))*IF('19.07'!$AK20="是",'19.07'!$BB$4,'19.07'!$BB$3))</f>
        <v>160</v>
      </c>
      <c r="M20" s="4">
        <f>IF(ISNUMBER(SEARCH("营",'19.07'!U20)),(-$Y20+50*IF('19.07'!$AK20="是",'19.07'!$BB$4,'19.07'!$BB$3)),(VLOOKUP('19.07'!U20,'19.07'!$AO$4:$AQ$55,2,FALSE))*IF('19.07'!$AK20="是",'19.07'!$BB$4,'19.07'!$BB$3))</f>
        <v>160</v>
      </c>
      <c r="N20" s="4">
        <f>IF(ISNUMBER(SEARCH("营",'19.07'!V20)),(-$Y20+50*IF('19.07'!$AK20="是",'19.07'!$BB$4,'19.07'!$BB$3)),(VLOOKUP('19.07'!V20,'19.07'!$AO$4:$AQ$55,2,FALSE))*IF('19.07'!$AK20="是",'19.07'!$BB$4,'19.07'!$BB$3))</f>
        <v>160</v>
      </c>
      <c r="O20" s="4">
        <f>IF(ISNUMBER(SEARCH("营",'19.07'!W20)),(-$Y20+50*IF('19.07'!$AK20="是",'19.07'!$BB$4,'19.07'!$BB$3)),(VLOOKUP('19.07'!W20,'19.07'!$AO$4:$AQ$55,2,FALSE))*IF('19.07'!$AK20="是",'19.07'!$BB$4,'19.07'!$BB$3))</f>
        <v>160</v>
      </c>
      <c r="P20" s="4">
        <f>IF(ISNUMBER(SEARCH("营",'19.07'!X20)),(-$Y20+50*IF('19.07'!$AK20="是",'19.07'!$BB$4,'19.07'!$BB$3)),(VLOOKUP('19.07'!X20,'19.07'!$AO$4:$AQ$55,2,FALSE))*IF('19.07'!$AK20="是",'19.07'!$BB$4,'19.07'!$BB$3))</f>
        <v>0</v>
      </c>
      <c r="Q20" s="4">
        <f>IF(ISNUMBER(SEARCH("营",'19.07'!Y20)),(-$Y20+50*IF('19.07'!$AK20="是",'19.07'!$BB$4,'19.07'!$BB$3)),(VLOOKUP('19.07'!Y20,'19.07'!$AO$4:$AQ$55,2,FALSE))*IF('19.07'!$AK20="是",'19.07'!$BB$4,'19.07'!$BB$3))</f>
        <v>152</v>
      </c>
      <c r="R20" s="4">
        <f>IF(ISNUMBER(SEARCH("营",'19.07'!Z20)),(-$Y20+50*IF('19.07'!$AK20="是",'19.07'!$BB$4,'19.07'!$BB$3)),(VLOOKUP('19.07'!Z20,'19.07'!$AO$4:$AQ$55,2,FALSE))*IF('19.07'!$AK20="是",'19.07'!$BB$4,'19.07'!$BB$3))</f>
        <v>152</v>
      </c>
      <c r="S20" s="4">
        <f>IF(ISNUMBER(SEARCH("营",'19.07'!AA20)),(-$Y20+50*IF('19.07'!$AK20="是",'19.07'!$BB$4,'19.07'!$BB$3)),(VLOOKUP('19.07'!AA20,'19.07'!$AO$4:$AQ$55,2,FALSE))*IF('19.07'!$AK20="是",'19.07'!$BB$4,'19.07'!$BB$3))</f>
        <v>144</v>
      </c>
      <c r="T20" s="4">
        <f>IF(ISNUMBER(SEARCH("营",'19.07'!AB20)),(-$Y20+50*IF('19.07'!$AK20="是",'19.07'!$BB$4,'19.07'!$BB$3)),(VLOOKUP('19.07'!AB20,'19.07'!$AO$4:$AQ$55,2,FALSE))*IF('19.07'!$AK20="是",'19.07'!$BB$4,'19.07'!$BB$3))</f>
        <v>144</v>
      </c>
      <c r="U20" s="4">
        <f>IF(ISNUMBER(SEARCH("营",'19.07'!AC20)),(-$Y20+50*IF('19.07'!$AK20="是",'19.07'!$BB$4,'19.07'!$BB$3)),(VLOOKUP('19.07'!AC20,'19.07'!$AO$4:$AQ$55,2,FALSE))*IF('19.07'!$AK20="是",'19.07'!$BB$4,'19.07'!$BB$3))</f>
        <v>40</v>
      </c>
      <c r="V20" s="4">
        <f>IF(ISNUMBER(SEARCH("营",'19.07'!AD20)),(-$Y20+50*IF('19.07'!$AK20="是",'19.07'!$BB$4,'19.07'!$BB$3)),(VLOOKUP('19.07'!AD20,'19.07'!$AO$4:$AQ$55,2,FALSE))*IF('19.07'!$AK20="是",'19.07'!$BB$4,'19.07'!$BB$3))</f>
        <v>152</v>
      </c>
      <c r="W20" s="4">
        <f>IF(ISNUMBER(SEARCH("营",'19.07'!AE20)),(-$Y20+50*IF('19.07'!$AK20="是",'19.07'!$BB$4,'19.07'!$BB$3)),(VLOOKUP('19.07'!AE20,'19.07'!$AO$4:$AQ$55,2,FALSE))*IF('19.07'!$AK20="是",'19.07'!$BB$4,'19.07'!$BB$3))</f>
        <v>152</v>
      </c>
      <c r="X20" s="4">
        <f>IF(ISNUMBER(SEARCH("营",'19.07'!AF20)),(-$Y20+50*IF('19.07'!$AK20="是",'19.07'!$BB$4,'19.07'!$BB$3)),(VLOOKUP('19.07'!AF20,'19.07'!$AO$4:$AQ$55,2,FALSE))*IF('19.07'!$AK20="是",'19.07'!$BB$4,'19.07'!$BB$3))</f>
        <v>152</v>
      </c>
      <c r="Y20" s="16">
        <v>250</v>
      </c>
      <c r="Z20" s="17">
        <v>45746</v>
      </c>
    </row>
    <row r="21" spans="1:26">
      <c r="A21" s="4">
        <f>IF(ISNUMBER(SEARCH("营",'19.07'!I21)),(-$Y21+50*IF('19.07'!$AK21="是",'19.07'!$BB$4,'19.07'!$BB$3)),(VLOOKUP('19.07'!I21,'19.07'!$AO$4:$AQ$55,2,FALSE))*IF('19.07'!$AK21="是",'19.07'!$BB$4,'19.07'!$BB$3))</f>
        <v>40</v>
      </c>
      <c r="B21" s="4">
        <f>IF(ISNUMBER(SEARCH("营",'19.07'!J21)),(-$Y21+50*IF('19.07'!$AK21="是",'19.07'!$BB$4,'19.07'!$BB$3)),(VLOOKUP('19.07'!J21,'19.07'!$AO$4:$AQ$55,2,FALSE))*IF('19.07'!$AK21="是",'19.07'!$BB$4,'19.07'!$BB$3))</f>
        <v>120</v>
      </c>
      <c r="C21" s="4">
        <f>IF(ISNUMBER(SEARCH("营",'19.07'!K21)),(-$Y21+50*IF('19.07'!$AK21="是",'19.07'!$BB$4,'19.07'!$BB$3)),(VLOOKUP('19.07'!K21,'19.07'!$AO$4:$AQ$55,2,FALSE))*IF('19.07'!$AK21="是",'19.07'!$BB$4,'19.07'!$BB$3))</f>
        <v>120</v>
      </c>
      <c r="D21" s="4">
        <f>IF(ISNUMBER(SEARCH("营",'19.07'!L21)),(-$Y21+50*IF('19.07'!$AK21="是",'19.07'!$BB$4,'19.07'!$BB$3)),(VLOOKUP('19.07'!L21,'19.07'!$AO$4:$AQ$55,2,FALSE))*IF('19.07'!$AK21="是",'19.07'!$BB$4,'19.07'!$BB$3))</f>
        <v>40</v>
      </c>
      <c r="E21" s="4">
        <f>IF(ISNUMBER(SEARCH("营",'19.07'!M21)),(-$Y21+50*IF('19.07'!$AK21="是",'19.07'!$BB$4,'19.07'!$BB$3)),(VLOOKUP('19.07'!M21,'19.07'!$AO$4:$AQ$55,2,FALSE))*IF('19.07'!$AK21="是",'19.07'!$BB$4,'19.07'!$BB$3))</f>
        <v>120</v>
      </c>
      <c r="F21" s="4">
        <f>IF(ISNUMBER(SEARCH("营",'19.07'!N21)),(-$Y21+50*IF('19.07'!$AK21="是",'19.07'!$BB$4,'19.07'!$BB$3)),(VLOOKUP('19.07'!N21,'19.07'!$AO$4:$AQ$55,2,FALSE))*IF('19.07'!$AK21="是",'19.07'!$BB$4,'19.07'!$BB$3))</f>
        <v>-210</v>
      </c>
      <c r="G21" s="4">
        <f>IF(ISNUMBER(SEARCH("营",'19.07'!O21)),(-$Y21+50*IF('19.07'!$AK21="是",'19.07'!$BB$4,'19.07'!$BB$3)),(VLOOKUP('19.07'!O21,'19.07'!$AO$4:$AQ$55,2,FALSE))*IF('19.07'!$AK21="是",'19.07'!$BB$4,'19.07'!$BB$3))</f>
        <v>0</v>
      </c>
      <c r="H21" s="4">
        <f>IF(ISNUMBER(SEARCH("营",'19.07'!P21)),(-$Y21+50*IF('19.07'!$AK21="是",'19.07'!$BB$4,'19.07'!$BB$3)),(VLOOKUP('19.07'!P21,'19.07'!$AO$4:$AQ$55,2,FALSE))*IF('19.07'!$AK21="是",'19.07'!$BB$4,'19.07'!$BB$3))</f>
        <v>0</v>
      </c>
      <c r="I21" s="4">
        <f>IF(ISNUMBER(SEARCH("营",'19.07'!Q21)),(-$Y21+50*IF('19.07'!$AK21="是",'19.07'!$BB$4,'19.07'!$BB$3)),(VLOOKUP('19.07'!Q21,'19.07'!$AO$4:$AQ$55,2,FALSE))*IF('19.07'!$AK21="是",'19.07'!$BB$4,'19.07'!$BB$3))</f>
        <v>-210</v>
      </c>
      <c r="J21" s="4">
        <f>IF(ISNUMBER(SEARCH("营",'19.07'!R21)),(-$Y21+50*IF('19.07'!$AK21="是",'19.07'!$BB$4,'19.07'!$BB$3)),(VLOOKUP('19.07'!R21,'19.07'!$AO$4:$AQ$55,2,FALSE))*IF('19.07'!$AK21="是",'19.07'!$BB$4,'19.07'!$BB$3))</f>
        <v>160</v>
      </c>
      <c r="K21" s="4">
        <f>IF(ISNUMBER(SEARCH("营",'19.07'!S21)),(-$Y21+50*IF('19.07'!$AK21="是",'19.07'!$BB$4,'19.07'!$BB$3)),(VLOOKUP('19.07'!S21,'19.07'!$AO$4:$AQ$55,2,FALSE))*IF('19.07'!$AK21="是",'19.07'!$BB$4,'19.07'!$BB$3))</f>
        <v>160</v>
      </c>
      <c r="L21" s="4">
        <f>IF(ISNUMBER(SEARCH("营",'19.07'!T21)),(-$Y21+50*IF('19.07'!$AK21="是",'19.07'!$BB$4,'19.07'!$BB$3)),(VLOOKUP('19.07'!T21,'19.07'!$AO$4:$AQ$55,2,FALSE))*IF('19.07'!$AK21="是",'19.07'!$BB$4,'19.07'!$BB$3))</f>
        <v>160</v>
      </c>
      <c r="M21" s="4">
        <f>IF(ISNUMBER(SEARCH("营",'19.07'!U21)),(-$Y21+50*IF('19.07'!$AK21="是",'19.07'!$BB$4,'19.07'!$BB$3)),(VLOOKUP('19.07'!U21,'19.07'!$AO$4:$AQ$55,2,FALSE))*IF('19.07'!$AK21="是",'19.07'!$BB$4,'19.07'!$BB$3))</f>
        <v>160</v>
      </c>
      <c r="N21" s="4">
        <f>IF(ISNUMBER(SEARCH("营",'19.07'!V21)),(-$Y21+50*IF('19.07'!$AK21="是",'19.07'!$BB$4,'19.07'!$BB$3)),(VLOOKUP('19.07'!V21,'19.07'!$AO$4:$AQ$55,2,FALSE))*IF('19.07'!$AK21="是",'19.07'!$BB$4,'19.07'!$BB$3))</f>
        <v>160</v>
      </c>
      <c r="O21" s="4">
        <f>IF(ISNUMBER(SEARCH("营",'19.07'!W21)),(-$Y21+50*IF('19.07'!$AK21="是",'19.07'!$BB$4,'19.07'!$BB$3)),(VLOOKUP('19.07'!W21,'19.07'!$AO$4:$AQ$55,2,FALSE))*IF('19.07'!$AK21="是",'19.07'!$BB$4,'19.07'!$BB$3))</f>
        <v>200</v>
      </c>
      <c r="P21" s="4">
        <f>IF(ISNUMBER(SEARCH("营",'19.07'!X21)),(-$Y21+50*IF('19.07'!$AK21="是",'19.07'!$BB$4,'19.07'!$BB$3)),(VLOOKUP('19.07'!X21,'19.07'!$AO$4:$AQ$55,2,FALSE))*IF('19.07'!$AK21="是",'19.07'!$BB$4,'19.07'!$BB$3))</f>
        <v>0</v>
      </c>
      <c r="Q21" s="4">
        <f>IF(ISNUMBER(SEARCH("营",'19.07'!Y21)),(-$Y21+50*IF('19.07'!$AK21="是",'19.07'!$BB$4,'19.07'!$BB$3)),(VLOOKUP('19.07'!Y21,'19.07'!$AO$4:$AQ$55,2,FALSE))*IF('19.07'!$AK21="是",'19.07'!$BB$4,'19.07'!$BB$3))</f>
        <v>40</v>
      </c>
      <c r="R21" s="4">
        <f>IF(ISNUMBER(SEARCH("营",'19.07'!Z21)),(-$Y21+50*IF('19.07'!$AK21="是",'19.07'!$BB$4,'19.07'!$BB$3)),(VLOOKUP('19.07'!Z21,'19.07'!$AO$4:$AQ$55,2,FALSE))*IF('19.07'!$AK21="是",'19.07'!$BB$4,'19.07'!$BB$3))</f>
        <v>152</v>
      </c>
      <c r="S21" s="4">
        <f>IF(ISNUMBER(SEARCH("营",'19.07'!AA21)),(-$Y21+50*IF('19.07'!$AK21="是",'19.07'!$BB$4,'19.07'!$BB$3)),(VLOOKUP('19.07'!AA21,'19.07'!$AO$4:$AQ$55,2,FALSE))*IF('19.07'!$AK21="是",'19.07'!$BB$4,'19.07'!$BB$3))</f>
        <v>152</v>
      </c>
      <c r="T21" s="4">
        <f>IF(ISNUMBER(SEARCH("营",'19.07'!AB21)),(-$Y21+50*IF('19.07'!$AK21="是",'19.07'!$BB$4,'19.07'!$BB$3)),(VLOOKUP('19.07'!AB21,'19.07'!$AO$4:$AQ$55,2,FALSE))*IF('19.07'!$AK21="是",'19.07'!$BB$4,'19.07'!$BB$3))</f>
        <v>152</v>
      </c>
      <c r="U21" s="4">
        <f>IF(ISNUMBER(SEARCH("营",'19.07'!AC21)),(-$Y21+50*IF('19.07'!$AK21="是",'19.07'!$BB$4,'19.07'!$BB$3)),(VLOOKUP('19.07'!AC21,'19.07'!$AO$4:$AQ$55,2,FALSE))*IF('19.07'!$AK21="是",'19.07'!$BB$4,'19.07'!$BB$3))</f>
        <v>144</v>
      </c>
      <c r="V21" s="4">
        <f>IF(ISNUMBER(SEARCH("营",'19.07'!AD21)),(-$Y21+50*IF('19.07'!$AK21="是",'19.07'!$BB$4,'19.07'!$BB$3)),(VLOOKUP('19.07'!AD21,'19.07'!$AO$4:$AQ$55,2,FALSE))*IF('19.07'!$AK21="是",'19.07'!$BB$4,'19.07'!$BB$3))</f>
        <v>144</v>
      </c>
      <c r="W21" s="4">
        <f>IF(ISNUMBER(SEARCH("营",'19.07'!AE21)),(-$Y21+50*IF('19.07'!$AK21="是",'19.07'!$BB$4,'19.07'!$BB$3)),(VLOOKUP('19.07'!AE21,'19.07'!$AO$4:$AQ$55,2,FALSE))*IF('19.07'!$AK21="是",'19.07'!$BB$4,'19.07'!$BB$3))</f>
        <v>144</v>
      </c>
      <c r="X21" s="4">
        <f>IF(ISNUMBER(SEARCH("营",'19.07'!AF21)),(-$Y21+50*IF('19.07'!$AK21="是",'19.07'!$BB$4,'19.07'!$BB$3)),(VLOOKUP('19.07'!AF21,'19.07'!$AO$4:$AQ$55,2,FALSE))*IF('19.07'!$AK21="是",'19.07'!$BB$4,'19.07'!$BB$3))</f>
        <v>0</v>
      </c>
      <c r="Y21" s="16">
        <v>250</v>
      </c>
      <c r="Z21" s="17">
        <v>45747</v>
      </c>
    </row>
    <row r="22" spans="1:26">
      <c r="A22" s="4">
        <f>IF(ISNUMBER(SEARCH("营",'19.07'!I22)),(-$Y22+50*IF('19.07'!$AK22="是",'19.07'!$BB$4,'19.07'!$BB$3)),(VLOOKUP('19.07'!I22,'19.07'!$AO$4:$AQ$55,2,FALSE))*IF('19.07'!$AK22="是",'19.07'!$BB$4,'19.07'!$BB$3))</f>
        <v>0</v>
      </c>
      <c r="B22" s="4">
        <f>IF(ISNUMBER(SEARCH("营",'19.07'!J22)),(-$Y22+50*IF('19.07'!$AK22="是",'19.07'!$BB$4,'19.07'!$BB$3)),(VLOOKUP('19.07'!J22,'19.07'!$AO$4:$AQ$55,2,FALSE))*IF('19.07'!$AK22="是",'19.07'!$BB$4,'19.07'!$BB$3))</f>
        <v>0</v>
      </c>
      <c r="C22" s="4">
        <f>IF(ISNUMBER(SEARCH("营",'19.07'!K22)),(-$Y22+50*IF('19.07'!$AK22="是",'19.07'!$BB$4,'19.07'!$BB$3)),(VLOOKUP('19.07'!K22,'19.07'!$AO$4:$AQ$55,2,FALSE))*IF('19.07'!$AK22="是",'19.07'!$BB$4,'19.07'!$BB$3))</f>
        <v>0</v>
      </c>
      <c r="D22" s="4">
        <f>IF(ISNUMBER(SEARCH("营",'19.07'!L22)),(-$Y22+50*IF('19.07'!$AK22="是",'19.07'!$BB$4,'19.07'!$BB$3)),(VLOOKUP('19.07'!L22,'19.07'!$AO$4:$AQ$55,2,FALSE))*IF('19.07'!$AK22="是",'19.07'!$BB$4,'19.07'!$BB$3))</f>
        <v>0</v>
      </c>
      <c r="E22" s="4">
        <f>IF(ISNUMBER(SEARCH("营",'19.07'!M22)),(-$Y22+50*IF('19.07'!$AK22="是",'19.07'!$BB$4,'19.07'!$BB$3)),(VLOOKUP('19.07'!M22,'19.07'!$AO$4:$AQ$55,2,FALSE))*IF('19.07'!$AK22="是",'19.07'!$BB$4,'19.07'!$BB$3))</f>
        <v>0</v>
      </c>
      <c r="F22" s="4">
        <f>IF(ISNUMBER(SEARCH("营",'19.07'!N22)),(-$Y22+50*IF('19.07'!$AK22="是",'19.07'!$BB$4,'19.07'!$BB$3)),(VLOOKUP('19.07'!N22,'19.07'!$AO$4:$AQ$55,2,FALSE))*IF('19.07'!$AK22="是",'19.07'!$BB$4,'19.07'!$BB$3))</f>
        <v>0</v>
      </c>
      <c r="G22" s="4">
        <f>IF(ISNUMBER(SEARCH("营",'19.07'!O22)),(-$Y22+50*IF('19.07'!$AK22="是",'19.07'!$BB$4,'19.07'!$BB$3)),(VLOOKUP('19.07'!O22,'19.07'!$AO$4:$AQ$55,2,FALSE))*IF('19.07'!$AK22="是",'19.07'!$BB$4,'19.07'!$BB$3))</f>
        <v>0</v>
      </c>
      <c r="H22" s="4">
        <f>IF(ISNUMBER(SEARCH("营",'19.07'!P22)),(-$Y22+50*IF('19.07'!$AK22="是",'19.07'!$BB$4,'19.07'!$BB$3)),(VLOOKUP('19.07'!P22,'19.07'!$AO$4:$AQ$55,2,FALSE))*IF('19.07'!$AK22="是",'19.07'!$BB$4,'19.07'!$BB$3))</f>
        <v>0</v>
      </c>
      <c r="I22" s="4">
        <f>IF(ISNUMBER(SEARCH("营",'19.07'!Q22)),(-$Y22+50*IF('19.07'!$AK22="是",'19.07'!$BB$4,'19.07'!$BB$3)),(VLOOKUP('19.07'!Q22,'19.07'!$AO$4:$AQ$55,2,FALSE))*IF('19.07'!$AK22="是",'19.07'!$BB$4,'19.07'!$BB$3))</f>
        <v>160</v>
      </c>
      <c r="J22" s="4">
        <f>IF(ISNUMBER(SEARCH("营",'19.07'!R22)),(-$Y22+50*IF('19.07'!$AK22="是",'19.07'!$BB$4,'19.07'!$BB$3)),(VLOOKUP('19.07'!R22,'19.07'!$AO$4:$AQ$55,2,FALSE))*IF('19.07'!$AK22="是",'19.07'!$BB$4,'19.07'!$BB$3))</f>
        <v>160</v>
      </c>
      <c r="K22" s="4">
        <f>IF(ISNUMBER(SEARCH("营",'19.07'!S22)),(-$Y22+50*IF('19.07'!$AK22="是",'19.07'!$BB$4,'19.07'!$BB$3)),(VLOOKUP('19.07'!S22,'19.07'!$AO$4:$AQ$55,2,FALSE))*IF('19.07'!$AK22="是",'19.07'!$BB$4,'19.07'!$BB$3))</f>
        <v>160</v>
      </c>
      <c r="L22" s="4">
        <f>IF(ISNUMBER(SEARCH("营",'19.07'!T22)),(-$Y22+50*IF('19.07'!$AK22="是",'19.07'!$BB$4,'19.07'!$BB$3)),(VLOOKUP('19.07'!T22,'19.07'!$AO$4:$AQ$55,2,FALSE))*IF('19.07'!$AK22="是",'19.07'!$BB$4,'19.07'!$BB$3))</f>
        <v>160</v>
      </c>
      <c r="M22" s="4">
        <f>IF(ISNUMBER(SEARCH("营",'19.07'!U22)),(-$Y22+50*IF('19.07'!$AK22="是",'19.07'!$BB$4,'19.07'!$BB$3)),(VLOOKUP('19.07'!U22,'19.07'!$AO$4:$AQ$55,2,FALSE))*IF('19.07'!$AK22="是",'19.07'!$BB$4,'19.07'!$BB$3))</f>
        <v>160</v>
      </c>
      <c r="N22" s="4">
        <f>IF(ISNUMBER(SEARCH("营",'19.07'!V22)),(-$Y22+50*IF('19.07'!$AK22="是",'19.07'!$BB$4,'19.07'!$BB$3)),(VLOOKUP('19.07'!V22,'19.07'!$AO$4:$AQ$55,2,FALSE))*IF('19.07'!$AK22="是",'19.07'!$BB$4,'19.07'!$BB$3))</f>
        <v>160</v>
      </c>
      <c r="O22" s="4">
        <f>IF(ISNUMBER(SEARCH("营",'19.07'!W22)),(-$Y22+50*IF('19.07'!$AK22="是",'19.07'!$BB$4,'19.07'!$BB$3)),(VLOOKUP('19.07'!W22,'19.07'!$AO$4:$AQ$55,2,FALSE))*IF('19.07'!$AK22="是",'19.07'!$BB$4,'19.07'!$BB$3))</f>
        <v>0</v>
      </c>
      <c r="P22" s="4">
        <f>IF(ISNUMBER(SEARCH("营",'19.07'!X22)),(-$Y22+50*IF('19.07'!$AK22="是",'19.07'!$BB$4,'19.07'!$BB$3)),(VLOOKUP('19.07'!X22,'19.07'!$AO$4:$AQ$55,2,FALSE))*IF('19.07'!$AK22="是",'19.07'!$BB$4,'19.07'!$BB$3))</f>
        <v>0</v>
      </c>
      <c r="Q22" s="4">
        <f>IF(ISNUMBER(SEARCH("营",'19.07'!Y22)),(-$Y22+50*IF('19.07'!$AK22="是",'19.07'!$BB$4,'19.07'!$BB$3)),(VLOOKUP('19.07'!Y22,'19.07'!$AO$4:$AQ$55,2,FALSE))*IF('19.07'!$AK22="是",'19.07'!$BB$4,'19.07'!$BB$3))</f>
        <v>200</v>
      </c>
      <c r="R22" s="4">
        <f>IF(ISNUMBER(SEARCH("营",'19.07'!Z22)),(-$Y22+50*IF('19.07'!$AK22="是",'19.07'!$BB$4,'19.07'!$BB$3)),(VLOOKUP('19.07'!Z22,'19.07'!$AO$4:$AQ$55,2,FALSE))*IF('19.07'!$AK22="是",'19.07'!$BB$4,'19.07'!$BB$3))</f>
        <v>40</v>
      </c>
      <c r="S22" s="4">
        <f>IF(ISNUMBER(SEARCH("营",'19.07'!AA22)),(-$Y22+50*IF('19.07'!$AK22="是",'19.07'!$BB$4,'19.07'!$BB$3)),(VLOOKUP('19.07'!AA22,'19.07'!$AO$4:$AQ$55,2,FALSE))*IF('19.07'!$AK22="是",'19.07'!$BB$4,'19.07'!$BB$3))</f>
        <v>144</v>
      </c>
      <c r="T22" s="4">
        <f>IF(ISNUMBER(SEARCH("营",'19.07'!AB22)),(-$Y22+50*IF('19.07'!$AK22="是",'19.07'!$BB$4,'19.07'!$BB$3)),(VLOOKUP('19.07'!AB22,'19.07'!$AO$4:$AQ$55,2,FALSE))*IF('19.07'!$AK22="是",'19.07'!$BB$4,'19.07'!$BB$3))</f>
        <v>144</v>
      </c>
      <c r="U22" s="4">
        <f>IF(ISNUMBER(SEARCH("营",'19.07'!AC22)),(-$Y22+50*IF('19.07'!$AK22="是",'19.07'!$BB$4,'19.07'!$BB$3)),(VLOOKUP('19.07'!AC22,'19.07'!$AO$4:$AQ$55,2,FALSE))*IF('19.07'!$AK22="是",'19.07'!$BB$4,'19.07'!$BB$3))</f>
        <v>152</v>
      </c>
      <c r="V22" s="4">
        <f>IF(ISNUMBER(SEARCH("营",'19.07'!AD22)),(-$Y22+50*IF('19.07'!$AK22="是",'19.07'!$BB$4,'19.07'!$BB$3)),(VLOOKUP('19.07'!AD22,'19.07'!$AO$4:$AQ$55,2,FALSE))*IF('19.07'!$AK22="是",'19.07'!$BB$4,'19.07'!$BB$3))</f>
        <v>152</v>
      </c>
      <c r="W22" s="4">
        <f>IF(ISNUMBER(SEARCH("营",'19.07'!AE22)),(-$Y22+50*IF('19.07'!$AK22="是",'19.07'!$BB$4,'19.07'!$BB$3)),(VLOOKUP('19.07'!AE22,'19.07'!$AO$4:$AQ$55,2,FALSE))*IF('19.07'!$AK22="是",'19.07'!$BB$4,'19.07'!$BB$3))</f>
        <v>-210</v>
      </c>
      <c r="X22" s="4">
        <f>IF(ISNUMBER(SEARCH("营",'19.07'!AF22)),(-$Y22+50*IF('19.07'!$AK22="是",'19.07'!$BB$4,'19.07'!$BB$3)),(VLOOKUP('19.07'!AF22,'19.07'!$AO$4:$AQ$55,2,FALSE))*IF('19.07'!$AK22="是",'19.07'!$BB$4,'19.07'!$BB$3))</f>
        <v>0</v>
      </c>
      <c r="Y22" s="16">
        <v>250</v>
      </c>
      <c r="Z22" s="17">
        <v>45748</v>
      </c>
    </row>
    <row r="23" spans="1:26">
      <c r="A23" s="4">
        <f>IF(ISNUMBER(SEARCH("营",'19.07'!I23)),(-$Y23+50*IF('19.07'!$AK23="是",'19.07'!$BB$4,'19.07'!$BB$3)),(VLOOKUP('19.07'!I23,'19.07'!$AO$4:$AQ$55,2,FALSE))*IF('19.07'!$AK23="是",'19.07'!$BB$4,'19.07'!$BB$3))</f>
        <v>0</v>
      </c>
      <c r="B23" s="4">
        <f>IF(ISNUMBER(SEARCH("营",'19.07'!J23)),(-$Y23+50*IF('19.07'!$AK23="是",'19.07'!$BB$4,'19.07'!$BB$3)),(VLOOKUP('19.07'!J23,'19.07'!$AO$4:$AQ$55,2,FALSE))*IF('19.07'!$AK23="是",'19.07'!$BB$4,'19.07'!$BB$3))</f>
        <v>0</v>
      </c>
      <c r="C23" s="4">
        <f>IF(ISNUMBER(SEARCH("营",'19.07'!K23)),(-$Y23+50*IF('19.07'!$AK23="是",'19.07'!$BB$4,'19.07'!$BB$3)),(VLOOKUP('19.07'!K23,'19.07'!$AO$4:$AQ$55,2,FALSE))*IF('19.07'!$AK23="是",'19.07'!$BB$4,'19.07'!$BB$3))</f>
        <v>0</v>
      </c>
      <c r="D23" s="4">
        <f>IF(ISNUMBER(SEARCH("营",'19.07'!L23)),(-$Y23+50*IF('19.07'!$AK23="是",'19.07'!$BB$4,'19.07'!$BB$3)),(VLOOKUP('19.07'!L23,'19.07'!$AO$4:$AQ$55,2,FALSE))*IF('19.07'!$AK23="是",'19.07'!$BB$4,'19.07'!$BB$3))</f>
        <v>0</v>
      </c>
      <c r="E23" s="4">
        <f>IF(ISNUMBER(SEARCH("营",'19.07'!M23)),(-$Y23+50*IF('19.07'!$AK23="是",'19.07'!$BB$4,'19.07'!$BB$3)),(VLOOKUP('19.07'!M23,'19.07'!$AO$4:$AQ$55,2,FALSE))*IF('19.07'!$AK23="是",'19.07'!$BB$4,'19.07'!$BB$3))</f>
        <v>0</v>
      </c>
      <c r="F23" s="4">
        <f>IF(ISNUMBER(SEARCH("营",'19.07'!N23)),(-$Y23+50*IF('19.07'!$AK23="是",'19.07'!$BB$4,'19.07'!$BB$3)),(VLOOKUP('19.07'!N23,'19.07'!$AO$4:$AQ$55,2,FALSE))*IF('19.07'!$AK23="是",'19.07'!$BB$4,'19.07'!$BB$3))</f>
        <v>0</v>
      </c>
      <c r="G23" s="4">
        <f>IF(ISNUMBER(SEARCH("营",'19.07'!O23)),(-$Y23+50*IF('19.07'!$AK23="是",'19.07'!$BB$4,'19.07'!$BB$3)),(VLOOKUP('19.07'!O23,'19.07'!$AO$4:$AQ$55,2,FALSE))*IF('19.07'!$AK23="是",'19.07'!$BB$4,'19.07'!$BB$3))</f>
        <v>0</v>
      </c>
      <c r="H23" s="4">
        <f>IF(ISNUMBER(SEARCH("营",'19.07'!P23)),(-$Y23+50*IF('19.07'!$AK23="是",'19.07'!$BB$4,'19.07'!$BB$3)),(VLOOKUP('19.07'!P23,'19.07'!$AO$4:$AQ$55,2,FALSE))*IF('19.07'!$AK23="是",'19.07'!$BB$4,'19.07'!$BB$3))</f>
        <v>0</v>
      </c>
      <c r="I23" s="4">
        <f>IF(ISNUMBER(SEARCH("营",'19.07'!Q23)),(-$Y23+50*IF('19.07'!$AK23="是",'19.07'!$BB$4,'19.07'!$BB$3)),(VLOOKUP('19.07'!Q23,'19.07'!$AO$4:$AQ$55,2,FALSE))*IF('19.07'!$AK23="是",'19.07'!$BB$4,'19.07'!$BB$3))</f>
        <v>160</v>
      </c>
      <c r="J23" s="4">
        <f>IF(ISNUMBER(SEARCH("营",'19.07'!R23)),(-$Y23+50*IF('19.07'!$AK23="是",'19.07'!$BB$4,'19.07'!$BB$3)),(VLOOKUP('19.07'!R23,'19.07'!$AO$4:$AQ$55,2,FALSE))*IF('19.07'!$AK23="是",'19.07'!$BB$4,'19.07'!$BB$3))</f>
        <v>160</v>
      </c>
      <c r="K23" s="4">
        <f>IF(ISNUMBER(SEARCH("营",'19.07'!S23)),(-$Y23+50*IF('19.07'!$AK23="是",'19.07'!$BB$4,'19.07'!$BB$3)),(VLOOKUP('19.07'!S23,'19.07'!$AO$4:$AQ$55,2,FALSE))*IF('19.07'!$AK23="是",'19.07'!$BB$4,'19.07'!$BB$3))</f>
        <v>-210</v>
      </c>
      <c r="L23" s="4">
        <f>IF(ISNUMBER(SEARCH("营",'19.07'!T23)),(-$Y23+50*IF('19.07'!$AK23="是",'19.07'!$BB$4,'19.07'!$BB$3)),(VLOOKUP('19.07'!T23,'19.07'!$AO$4:$AQ$55,2,FALSE))*IF('19.07'!$AK23="是",'19.07'!$BB$4,'19.07'!$BB$3))</f>
        <v>0</v>
      </c>
      <c r="M23" s="4">
        <f>IF(ISNUMBER(SEARCH("营",'19.07'!U23)),(-$Y23+50*IF('19.07'!$AK23="是",'19.07'!$BB$4,'19.07'!$BB$3)),(VLOOKUP('19.07'!U23,'19.07'!$AO$4:$AQ$55,2,FALSE))*IF('19.07'!$AK23="是",'19.07'!$BB$4,'19.07'!$BB$3))</f>
        <v>0</v>
      </c>
      <c r="N23" s="4">
        <f>IF(ISNUMBER(SEARCH("营",'19.07'!V23)),(-$Y23+50*IF('19.07'!$AK23="是",'19.07'!$BB$4,'19.07'!$BB$3)),(VLOOKUP('19.07'!V23,'19.07'!$AO$4:$AQ$55,2,FALSE))*IF('19.07'!$AK23="是",'19.07'!$BB$4,'19.07'!$BB$3))</f>
        <v>0</v>
      </c>
      <c r="O23" s="4">
        <f>IF(ISNUMBER(SEARCH("营",'19.07'!W23)),(-$Y23+50*IF('19.07'!$AK23="是",'19.07'!$BB$4,'19.07'!$BB$3)),(VLOOKUP('19.07'!W23,'19.07'!$AO$4:$AQ$55,2,FALSE))*IF('19.07'!$AK23="是",'19.07'!$BB$4,'19.07'!$BB$3))</f>
        <v>0</v>
      </c>
      <c r="P23" s="4">
        <f>IF(ISNUMBER(SEARCH("营",'19.07'!X23)),(-$Y23+50*IF('19.07'!$AK23="是",'19.07'!$BB$4,'19.07'!$BB$3)),(VLOOKUP('19.07'!X23,'19.07'!$AO$4:$AQ$55,2,FALSE))*IF('19.07'!$AK23="是",'19.07'!$BB$4,'19.07'!$BB$3))</f>
        <v>0</v>
      </c>
      <c r="Q23" s="4">
        <f>IF(ISNUMBER(SEARCH("营",'19.07'!Y23)),(-$Y23+50*IF('19.07'!$AK23="是",'19.07'!$BB$4,'19.07'!$BB$3)),(VLOOKUP('19.07'!Y23,'19.07'!$AO$4:$AQ$55,2,FALSE))*IF('19.07'!$AK23="是",'19.07'!$BB$4,'19.07'!$BB$3))</f>
        <v>136</v>
      </c>
      <c r="R23" s="4">
        <f>IF(ISNUMBER(SEARCH("营",'19.07'!Z23)),(-$Y23+50*IF('19.07'!$AK23="是",'19.07'!$BB$4,'19.07'!$BB$3)),(VLOOKUP('19.07'!Z23,'19.07'!$AO$4:$AQ$55,2,FALSE))*IF('19.07'!$AK23="是",'19.07'!$BB$4,'19.07'!$BB$3))</f>
        <v>128</v>
      </c>
      <c r="S23" s="4">
        <f>IF(ISNUMBER(SEARCH("营",'19.07'!AA23)),(-$Y23+50*IF('19.07'!$AK23="是",'19.07'!$BB$4,'19.07'!$BB$3)),(VLOOKUP('19.07'!AA23,'19.07'!$AO$4:$AQ$55,2,FALSE))*IF('19.07'!$AK23="是",'19.07'!$BB$4,'19.07'!$BB$3))</f>
        <v>128</v>
      </c>
      <c r="T23" s="4">
        <f>IF(ISNUMBER(SEARCH("营",'19.07'!AB23)),(-$Y23+50*IF('19.07'!$AK23="是",'19.07'!$BB$4,'19.07'!$BB$3)),(VLOOKUP('19.07'!AB23,'19.07'!$AO$4:$AQ$55,2,FALSE))*IF('19.07'!$AK23="是",'19.07'!$BB$4,'19.07'!$BB$3))</f>
        <v>128</v>
      </c>
      <c r="U23" s="4">
        <f>IF(ISNUMBER(SEARCH("营",'19.07'!AC23)),(-$Y23+50*IF('19.07'!$AK23="是",'19.07'!$BB$4,'19.07'!$BB$3)),(VLOOKUP('19.07'!AC23,'19.07'!$AO$4:$AQ$55,2,FALSE))*IF('19.07'!$AK23="是",'19.07'!$BB$4,'19.07'!$BB$3))</f>
        <v>128</v>
      </c>
      <c r="V23" s="4">
        <f>IF(ISNUMBER(SEARCH("营",'19.07'!AD23)),(-$Y23+50*IF('19.07'!$AK23="是",'19.07'!$BB$4,'19.07'!$BB$3)),(VLOOKUP('19.07'!AD23,'19.07'!$AO$4:$AQ$55,2,FALSE))*IF('19.07'!$AK23="是",'19.07'!$BB$4,'19.07'!$BB$3))</f>
        <v>-210</v>
      </c>
      <c r="W23" s="4">
        <f>IF(ISNUMBER(SEARCH("营",'19.07'!AE23)),(-$Y23+50*IF('19.07'!$AK23="是",'19.07'!$BB$4,'19.07'!$BB$3)),(VLOOKUP('19.07'!AE23,'19.07'!$AO$4:$AQ$55,2,FALSE))*IF('19.07'!$AK23="是",'19.07'!$BB$4,'19.07'!$BB$3))</f>
        <v>0</v>
      </c>
      <c r="X23" s="4">
        <f>IF(ISNUMBER(SEARCH("营",'19.07'!AF23)),(-$Y23+50*IF('19.07'!$AK23="是",'19.07'!$BB$4,'19.07'!$BB$3)),(VLOOKUP('19.07'!AF23,'19.07'!$AO$4:$AQ$55,2,FALSE))*IF('19.07'!$AK23="是",'19.07'!$BB$4,'19.07'!$BB$3))</f>
        <v>0</v>
      </c>
      <c r="Y23" s="16">
        <v>250</v>
      </c>
      <c r="Z23" s="17">
        <v>45749</v>
      </c>
    </row>
    <row r="24" spans="1:26">
      <c r="A24" s="4">
        <f>IF(ISNUMBER(SEARCH("营",'19.07'!I24)),(-$Y24+50*IF('19.07'!$AK24="是",'19.07'!$BB$4,'19.07'!$BB$3)),(VLOOKUP('19.07'!I24,'19.07'!$AO$4:$AQ$55,2,FALSE))*IF('19.07'!$AK24="是",'19.07'!$BB$4,'19.07'!$BB$3))</f>
        <v>128</v>
      </c>
      <c r="B24" s="4">
        <f>IF(ISNUMBER(SEARCH("营",'19.07'!J24)),(-$Y24+50*IF('19.07'!$AK24="是",'19.07'!$BB$4,'19.07'!$BB$3)),(VLOOKUP('19.07'!J24,'19.07'!$AO$4:$AQ$55,2,FALSE))*IF('19.07'!$AK24="是",'19.07'!$BB$4,'19.07'!$BB$3))</f>
        <v>128</v>
      </c>
      <c r="C24" s="4">
        <f>IF(ISNUMBER(SEARCH("营",'19.07'!K24)),(-$Y24+50*IF('19.07'!$AK24="是",'19.07'!$BB$4,'19.07'!$BB$3)),(VLOOKUP('19.07'!K24,'19.07'!$AO$4:$AQ$55,2,FALSE))*IF('19.07'!$AK24="是",'19.07'!$BB$4,'19.07'!$BB$3))</f>
        <v>40</v>
      </c>
      <c r="D24" s="4">
        <f>IF(ISNUMBER(SEARCH("营",'19.07'!L24)),(-$Y24+50*IF('19.07'!$AK24="是",'19.07'!$BB$4,'19.07'!$BB$3)),(VLOOKUP('19.07'!L24,'19.07'!$AO$4:$AQ$55,2,FALSE))*IF('19.07'!$AK24="是",'19.07'!$BB$4,'19.07'!$BB$3))</f>
        <v>128</v>
      </c>
      <c r="E24" s="4">
        <f>IF(ISNUMBER(SEARCH("营",'19.07'!M24)),(-$Y24+50*IF('19.07'!$AK24="是",'19.07'!$BB$4,'19.07'!$BB$3)),(VLOOKUP('19.07'!M24,'19.07'!$AO$4:$AQ$55,2,FALSE))*IF('19.07'!$AK24="是",'19.07'!$BB$4,'19.07'!$BB$3))</f>
        <v>128</v>
      </c>
      <c r="F24" s="4">
        <f>IF(ISNUMBER(SEARCH("营",'19.07'!N24)),(-$Y24+50*IF('19.07'!$AK24="是",'19.07'!$BB$4,'19.07'!$BB$3)),(VLOOKUP('19.07'!N24,'19.07'!$AO$4:$AQ$55,2,FALSE))*IF('19.07'!$AK24="是",'19.07'!$BB$4,'19.07'!$BB$3))</f>
        <v>128</v>
      </c>
      <c r="G24" s="4">
        <f>IF(ISNUMBER(SEARCH("营",'19.07'!O24)),(-$Y24+50*IF('19.07'!$AK24="是",'19.07'!$BB$4,'19.07'!$BB$3)),(VLOOKUP('19.07'!O24,'19.07'!$AO$4:$AQ$55,2,FALSE))*IF('19.07'!$AK24="是",'19.07'!$BB$4,'19.07'!$BB$3))</f>
        <v>0</v>
      </c>
      <c r="H24" s="4">
        <f>IF(ISNUMBER(SEARCH("营",'19.07'!P24)),(-$Y24+50*IF('19.07'!$AK24="是",'19.07'!$BB$4,'19.07'!$BB$3)),(VLOOKUP('19.07'!P24,'19.07'!$AO$4:$AQ$55,2,FALSE))*IF('19.07'!$AK24="是",'19.07'!$BB$4,'19.07'!$BB$3))</f>
        <v>0</v>
      </c>
      <c r="I24" s="4">
        <f>IF(ISNUMBER(SEARCH("营",'19.07'!Q24)),(-$Y24+50*IF('19.07'!$AK24="是",'19.07'!$BB$4,'19.07'!$BB$3)),(VLOOKUP('19.07'!Q24,'19.07'!$AO$4:$AQ$55,2,FALSE))*IF('19.07'!$AK24="是",'19.07'!$BB$4,'19.07'!$BB$3))</f>
        <v>160</v>
      </c>
      <c r="J24" s="4">
        <f>IF(ISNUMBER(SEARCH("营",'19.07'!R24)),(-$Y24+50*IF('19.07'!$AK24="是",'19.07'!$BB$4,'19.07'!$BB$3)),(VLOOKUP('19.07'!R24,'19.07'!$AO$4:$AQ$55,2,FALSE))*IF('19.07'!$AK24="是",'19.07'!$BB$4,'19.07'!$BB$3))</f>
        <v>160</v>
      </c>
      <c r="K24" s="4">
        <f>IF(ISNUMBER(SEARCH("营",'19.07'!S24)),(-$Y24+50*IF('19.07'!$AK24="是",'19.07'!$BB$4,'19.07'!$BB$3)),(VLOOKUP('19.07'!S24,'19.07'!$AO$4:$AQ$55,2,FALSE))*IF('19.07'!$AK24="是",'19.07'!$BB$4,'19.07'!$BB$3))</f>
        <v>160</v>
      </c>
      <c r="L24" s="4">
        <f>IF(ISNUMBER(SEARCH("营",'19.07'!T24)),(-$Y24+50*IF('19.07'!$AK24="是",'19.07'!$BB$4,'19.07'!$BB$3)),(VLOOKUP('19.07'!T24,'19.07'!$AO$4:$AQ$55,2,FALSE))*IF('19.07'!$AK24="是",'19.07'!$BB$4,'19.07'!$BB$3))</f>
        <v>160</v>
      </c>
      <c r="M24" s="4">
        <f>IF(ISNUMBER(SEARCH("营",'19.07'!U24)),(-$Y24+50*IF('19.07'!$AK24="是",'19.07'!$BB$4,'19.07'!$BB$3)),(VLOOKUP('19.07'!U24,'19.07'!$AO$4:$AQ$55,2,FALSE))*IF('19.07'!$AK24="是",'19.07'!$BB$4,'19.07'!$BB$3))</f>
        <v>160</v>
      </c>
      <c r="N24" s="4">
        <f>IF(ISNUMBER(SEARCH("营",'19.07'!V24)),(-$Y24+50*IF('19.07'!$AK24="是",'19.07'!$BB$4,'19.07'!$BB$3)),(VLOOKUP('19.07'!V24,'19.07'!$AO$4:$AQ$55,2,FALSE))*IF('19.07'!$AK24="是",'19.07'!$BB$4,'19.07'!$BB$3))</f>
        <v>160</v>
      </c>
      <c r="O24" s="4">
        <f>IF(ISNUMBER(SEARCH("营",'19.07'!W24)),(-$Y24+50*IF('19.07'!$AK24="是",'19.07'!$BB$4,'19.07'!$BB$3)),(VLOOKUP('19.07'!W24,'19.07'!$AO$4:$AQ$55,2,FALSE))*IF('19.07'!$AK24="是",'19.07'!$BB$4,'19.07'!$BB$3))</f>
        <v>0</v>
      </c>
      <c r="P24" s="4">
        <f>IF(ISNUMBER(SEARCH("营",'19.07'!X24)),(-$Y24+50*IF('19.07'!$AK24="是",'19.07'!$BB$4,'19.07'!$BB$3)),(VLOOKUP('19.07'!X24,'19.07'!$AO$4:$AQ$55,2,FALSE))*IF('19.07'!$AK24="是",'19.07'!$BB$4,'19.07'!$BB$3))</f>
        <v>0</v>
      </c>
      <c r="Q24" s="4">
        <f>IF(ISNUMBER(SEARCH("营",'19.07'!Y24)),(-$Y24+50*IF('19.07'!$AK24="是",'19.07'!$BB$4,'19.07'!$BB$3)),(VLOOKUP('19.07'!Y24,'19.07'!$AO$4:$AQ$55,2,FALSE))*IF('19.07'!$AK24="是",'19.07'!$BB$4,'19.07'!$BB$3))</f>
        <v>40</v>
      </c>
      <c r="R24" s="4">
        <f>IF(ISNUMBER(SEARCH("营",'19.07'!Z24)),(-$Y24+50*IF('19.07'!$AK24="是",'19.07'!$BB$4,'19.07'!$BB$3)),(VLOOKUP('19.07'!Z24,'19.07'!$AO$4:$AQ$55,2,FALSE))*IF('19.07'!$AK24="是",'19.07'!$BB$4,'19.07'!$BB$3))</f>
        <v>136</v>
      </c>
      <c r="S24" s="4">
        <f>IF(ISNUMBER(SEARCH("营",'19.07'!AA24)),(-$Y24+50*IF('19.07'!$AK24="是",'19.07'!$BB$4,'19.07'!$BB$3)),(VLOOKUP('19.07'!AA24,'19.07'!$AO$4:$AQ$55,2,FALSE))*IF('19.07'!$AK24="是",'19.07'!$BB$4,'19.07'!$BB$3))</f>
        <v>40</v>
      </c>
      <c r="T24" s="4">
        <f>IF(ISNUMBER(SEARCH("营",'19.07'!AB24)),(-$Y24+50*IF('19.07'!$AK24="是",'19.07'!$BB$4,'19.07'!$BB$3)),(VLOOKUP('19.07'!AB24,'19.07'!$AO$4:$AQ$55,2,FALSE))*IF('19.07'!$AK24="是",'19.07'!$BB$4,'19.07'!$BB$3))</f>
        <v>136</v>
      </c>
      <c r="U24" s="4">
        <f>IF(ISNUMBER(SEARCH("营",'19.07'!AC24)),(-$Y24+50*IF('19.07'!$AK24="是",'19.07'!$BB$4,'19.07'!$BB$3)),(VLOOKUP('19.07'!AC24,'19.07'!$AO$4:$AQ$55,2,FALSE))*IF('19.07'!$AK24="是",'19.07'!$BB$4,'19.07'!$BB$3))</f>
        <v>136</v>
      </c>
      <c r="V24" s="4">
        <f>IF(ISNUMBER(SEARCH("营",'19.07'!AD24)),(-$Y24+50*IF('19.07'!$AK24="是",'19.07'!$BB$4,'19.07'!$BB$3)),(VLOOKUP('19.07'!AD24,'19.07'!$AO$4:$AQ$55,2,FALSE))*IF('19.07'!$AK24="是",'19.07'!$BB$4,'19.07'!$BB$3))</f>
        <v>136</v>
      </c>
      <c r="W24" s="4">
        <f>IF(ISNUMBER(SEARCH("营",'19.07'!AE24)),(-$Y24+50*IF('19.07'!$AK24="是",'19.07'!$BB$4,'19.07'!$BB$3)),(VLOOKUP('19.07'!AE24,'19.07'!$AO$4:$AQ$55,2,FALSE))*IF('19.07'!$AK24="是",'19.07'!$BB$4,'19.07'!$BB$3))</f>
        <v>120</v>
      </c>
      <c r="X24" s="4">
        <f>IF(ISNUMBER(SEARCH("营",'19.07'!AF24)),(-$Y24+50*IF('19.07'!$AK24="是",'19.07'!$BB$4,'19.07'!$BB$3)),(VLOOKUP('19.07'!AF24,'19.07'!$AO$4:$AQ$55,2,FALSE))*IF('19.07'!$AK24="是",'19.07'!$BB$4,'19.07'!$BB$3))</f>
        <v>0</v>
      </c>
      <c r="Y24" s="18">
        <v>200</v>
      </c>
      <c r="Z24" s="15">
        <v>45750</v>
      </c>
    </row>
    <row r="25" spans="1:26">
      <c r="A25" s="4">
        <f>IF(ISNUMBER(SEARCH("营",'19.07'!I25)),(-$Y25+50*IF('19.07'!$AK25="是",'19.07'!$BB$4,'19.07'!$BB$3)),(VLOOKUP('19.07'!I25,'19.07'!$AO$4:$AQ$55,2,FALSE))*IF('19.07'!$AK25="是",'19.07'!$BB$4,'19.07'!$BB$3))</f>
        <v>128</v>
      </c>
      <c r="B25" s="4">
        <f>IF(ISNUMBER(SEARCH("营",'19.07'!J25)),(-$Y25+50*IF('19.07'!$AK25="是",'19.07'!$BB$4,'19.07'!$BB$3)),(VLOOKUP('19.07'!J25,'19.07'!$AO$4:$AQ$55,2,FALSE))*IF('19.07'!$AK25="是",'19.07'!$BB$4,'19.07'!$BB$3))</f>
        <v>40</v>
      </c>
      <c r="C25" s="4">
        <f>IF(ISNUMBER(SEARCH("营",'19.07'!K25)),(-$Y25+50*IF('19.07'!$AK25="是",'19.07'!$BB$4,'19.07'!$BB$3)),(VLOOKUP('19.07'!K25,'19.07'!$AO$4:$AQ$55,2,FALSE))*IF('19.07'!$AK25="是",'19.07'!$BB$4,'19.07'!$BB$3))</f>
        <v>128</v>
      </c>
      <c r="D25" s="4">
        <f>IF(ISNUMBER(SEARCH("营",'19.07'!L25)),(-$Y25+50*IF('19.07'!$AK25="是",'19.07'!$BB$4,'19.07'!$BB$3)),(VLOOKUP('19.07'!L25,'19.07'!$AO$4:$AQ$55,2,FALSE))*IF('19.07'!$AK25="是",'19.07'!$BB$4,'19.07'!$BB$3))</f>
        <v>120</v>
      </c>
      <c r="E25" s="4">
        <f>IF(ISNUMBER(SEARCH("营",'19.07'!M25)),(-$Y25+50*IF('19.07'!$AK25="是",'19.07'!$BB$4,'19.07'!$BB$3)),(VLOOKUP('19.07'!M25,'19.07'!$AO$4:$AQ$55,2,FALSE))*IF('19.07'!$AK25="是",'19.07'!$BB$4,'19.07'!$BB$3))</f>
        <v>128</v>
      </c>
      <c r="F25" s="4">
        <f>IF(ISNUMBER(SEARCH("营",'19.07'!N25)),(-$Y25+50*IF('19.07'!$AK25="是",'19.07'!$BB$4,'19.07'!$BB$3)),(VLOOKUP('19.07'!N25,'19.07'!$AO$4:$AQ$55,2,FALSE))*IF('19.07'!$AK25="是",'19.07'!$BB$4,'19.07'!$BB$3))</f>
        <v>128</v>
      </c>
      <c r="G25" s="4">
        <f>IF(ISNUMBER(SEARCH("营",'19.07'!O25)),(-$Y25+50*IF('19.07'!$AK25="是",'19.07'!$BB$4,'19.07'!$BB$3)),(VLOOKUP('19.07'!O25,'19.07'!$AO$4:$AQ$55,2,FALSE))*IF('19.07'!$AK25="是",'19.07'!$BB$4,'19.07'!$BB$3))</f>
        <v>0</v>
      </c>
      <c r="H25" s="4">
        <f>IF(ISNUMBER(SEARCH("营",'19.07'!P25)),(-$Y25+50*IF('19.07'!$AK25="是",'19.07'!$BB$4,'19.07'!$BB$3)),(VLOOKUP('19.07'!P25,'19.07'!$AO$4:$AQ$55,2,FALSE))*IF('19.07'!$AK25="是",'19.07'!$BB$4,'19.07'!$BB$3))</f>
        <v>0</v>
      </c>
      <c r="I25" s="4">
        <f>IF(ISNUMBER(SEARCH("营",'19.07'!Q25)),(-$Y25+50*IF('19.07'!$AK25="是",'19.07'!$BB$4,'19.07'!$BB$3)),(VLOOKUP('19.07'!Q25,'19.07'!$AO$4:$AQ$55,2,FALSE))*IF('19.07'!$AK25="是",'19.07'!$BB$4,'19.07'!$BB$3))</f>
        <v>120</v>
      </c>
      <c r="J25" s="4">
        <f>IF(ISNUMBER(SEARCH("营",'19.07'!R25)),(-$Y25+50*IF('19.07'!$AK25="是",'19.07'!$BB$4,'19.07'!$BB$3)),(VLOOKUP('19.07'!R25,'19.07'!$AO$4:$AQ$55,2,FALSE))*IF('19.07'!$AK25="是",'19.07'!$BB$4,'19.07'!$BB$3))</f>
        <v>0</v>
      </c>
      <c r="K25" s="4">
        <f>IF(ISNUMBER(SEARCH("营",'19.07'!S25)),(-$Y25+50*IF('19.07'!$AK25="是",'19.07'!$BB$4,'19.07'!$BB$3)),(VLOOKUP('19.07'!S25,'19.07'!$AO$4:$AQ$55,2,FALSE))*IF('19.07'!$AK25="是",'19.07'!$BB$4,'19.07'!$BB$3))</f>
        <v>0</v>
      </c>
      <c r="L25" s="4">
        <f>IF(ISNUMBER(SEARCH("营",'19.07'!T25)),(-$Y25+50*IF('19.07'!$AK25="是",'19.07'!$BB$4,'19.07'!$BB$3)),(VLOOKUP('19.07'!T25,'19.07'!$AO$4:$AQ$55,2,FALSE))*IF('19.07'!$AK25="是",'19.07'!$BB$4,'19.07'!$BB$3))</f>
        <v>0</v>
      </c>
      <c r="M25" s="4">
        <f>IF(ISNUMBER(SEARCH("营",'19.07'!U25)),(-$Y25+50*IF('19.07'!$AK25="是",'19.07'!$BB$4,'19.07'!$BB$3)),(VLOOKUP('19.07'!U25,'19.07'!$AO$4:$AQ$55,2,FALSE))*IF('19.07'!$AK25="是",'19.07'!$BB$4,'19.07'!$BB$3))</f>
        <v>0</v>
      </c>
      <c r="N25" s="4">
        <f>IF(ISNUMBER(SEARCH("营",'19.07'!V25)),(-$Y25+50*IF('19.07'!$AK25="是",'19.07'!$BB$4,'19.07'!$BB$3)),(VLOOKUP('19.07'!V25,'19.07'!$AO$4:$AQ$55,2,FALSE))*IF('19.07'!$AK25="是",'19.07'!$BB$4,'19.07'!$BB$3))</f>
        <v>0</v>
      </c>
      <c r="O25" s="4">
        <f>IF(ISNUMBER(SEARCH("营",'19.07'!W25)),(-$Y25+50*IF('19.07'!$AK25="是",'19.07'!$BB$4,'19.07'!$BB$3)),(VLOOKUP('19.07'!W25,'19.07'!$AO$4:$AQ$55,2,FALSE))*IF('19.07'!$AK25="是",'19.07'!$BB$4,'19.07'!$BB$3))</f>
        <v>0</v>
      </c>
      <c r="P25" s="4">
        <f>IF(ISNUMBER(SEARCH("营",'19.07'!X25)),(-$Y25+50*IF('19.07'!$AK25="是",'19.07'!$BB$4,'19.07'!$BB$3)),(VLOOKUP('19.07'!X25,'19.07'!$AO$4:$AQ$55,2,FALSE))*IF('19.07'!$AK25="是",'19.07'!$BB$4,'19.07'!$BB$3))</f>
        <v>0</v>
      </c>
      <c r="Q25" s="4">
        <f>IF(ISNUMBER(SEARCH("营",'19.07'!Y25)),(-$Y25+50*IF('19.07'!$AK25="是",'19.07'!$BB$4,'19.07'!$BB$3)),(VLOOKUP('19.07'!Y25,'19.07'!$AO$4:$AQ$55,2,FALSE))*IF('19.07'!$AK25="是",'19.07'!$BB$4,'19.07'!$BB$3))</f>
        <v>128</v>
      </c>
      <c r="R25" s="4">
        <f>IF(ISNUMBER(SEARCH("营",'19.07'!Z25)),(-$Y25+50*IF('19.07'!$AK25="是",'19.07'!$BB$4,'19.07'!$BB$3)),(VLOOKUP('19.07'!Z25,'19.07'!$AO$4:$AQ$55,2,FALSE))*IF('19.07'!$AK25="是",'19.07'!$BB$4,'19.07'!$BB$3))</f>
        <v>128</v>
      </c>
      <c r="S25" s="4">
        <f>IF(ISNUMBER(SEARCH("营",'19.07'!AA25)),(-$Y25+50*IF('19.07'!$AK25="是",'19.07'!$BB$4,'19.07'!$BB$3)),(VLOOKUP('19.07'!AA25,'19.07'!$AO$4:$AQ$55,2,FALSE))*IF('19.07'!$AK25="是",'19.07'!$BB$4,'19.07'!$BB$3))</f>
        <v>128</v>
      </c>
      <c r="T25" s="4">
        <f>IF(ISNUMBER(SEARCH("营",'19.07'!AB25)),(-$Y25+50*IF('19.07'!$AK25="是",'19.07'!$BB$4,'19.07'!$BB$3)),(VLOOKUP('19.07'!AB25,'19.07'!$AO$4:$AQ$55,2,FALSE))*IF('19.07'!$AK25="是",'19.07'!$BB$4,'19.07'!$BB$3))</f>
        <v>128</v>
      </c>
      <c r="U25" s="4">
        <f>IF(ISNUMBER(SEARCH("营",'19.07'!AC25)),(-$Y25+50*IF('19.07'!$AK25="是",'19.07'!$BB$4,'19.07'!$BB$3)),(VLOOKUP('19.07'!AC25,'19.07'!$AO$4:$AQ$55,2,FALSE))*IF('19.07'!$AK25="是",'19.07'!$BB$4,'19.07'!$BB$3))</f>
        <v>128</v>
      </c>
      <c r="V25" s="4">
        <f>IF(ISNUMBER(SEARCH("营",'19.07'!AD25)),(-$Y25+50*IF('19.07'!$AK25="是",'19.07'!$BB$4,'19.07'!$BB$3)),(VLOOKUP('19.07'!AD25,'19.07'!$AO$4:$AQ$55,2,FALSE))*IF('19.07'!$AK25="是",'19.07'!$BB$4,'19.07'!$BB$3))</f>
        <v>128</v>
      </c>
      <c r="W25" s="4">
        <f>IF(ISNUMBER(SEARCH("营",'19.07'!AE25)),(-$Y25+50*IF('19.07'!$AK25="是",'19.07'!$BB$4,'19.07'!$BB$3)),(VLOOKUP('19.07'!AE25,'19.07'!$AO$4:$AQ$55,2,FALSE))*IF('19.07'!$AK25="是",'19.07'!$BB$4,'19.07'!$BB$3))</f>
        <v>40</v>
      </c>
      <c r="X25" s="4">
        <f>IF(ISNUMBER(SEARCH("营",'19.07'!AF25)),(-$Y25+50*IF('19.07'!$AK25="是",'19.07'!$BB$4,'19.07'!$BB$3)),(VLOOKUP('19.07'!AF25,'19.07'!$AO$4:$AQ$55,2,FALSE))*IF('19.07'!$AK25="是",'19.07'!$BB$4,'19.07'!$BB$3))</f>
        <v>0</v>
      </c>
      <c r="Y25" s="18">
        <v>200</v>
      </c>
      <c r="Z25" s="15">
        <v>45751</v>
      </c>
    </row>
    <row r="26" spans="1:26">
      <c r="A26" s="4">
        <f>IF(ISNUMBER(SEARCH("营",'19.07'!I26)),(-$Y26+50*IF('19.07'!$AK26="是",'19.07'!$BB$4,'19.07'!$BB$3)),(VLOOKUP('19.07'!I26,'19.07'!$AO$4:$AQ$55,2,FALSE))*IF('19.07'!$AK26="是",'19.07'!$BB$4,'19.07'!$BB$3))</f>
        <v>40</v>
      </c>
      <c r="B26" s="4">
        <f>IF(ISNUMBER(SEARCH("营",'19.07'!J26)),(-$Y26+50*IF('19.07'!$AK26="是",'19.07'!$BB$4,'19.07'!$BB$3)),(VLOOKUP('19.07'!J26,'19.07'!$AO$4:$AQ$55,2,FALSE))*IF('19.07'!$AK26="是",'19.07'!$BB$4,'19.07'!$BB$3))</f>
        <v>128</v>
      </c>
      <c r="C26" s="4">
        <f>IF(ISNUMBER(SEARCH("营",'19.07'!K26)),(-$Y26+50*IF('19.07'!$AK26="是",'19.07'!$BB$4,'19.07'!$BB$3)),(VLOOKUP('19.07'!K26,'19.07'!$AO$4:$AQ$55,2,FALSE))*IF('19.07'!$AK26="是",'19.07'!$BB$4,'19.07'!$BB$3))</f>
        <v>128</v>
      </c>
      <c r="D26" s="4">
        <f>IF(ISNUMBER(SEARCH("营",'19.07'!L26)),(-$Y26+50*IF('19.07'!$AK26="是",'19.07'!$BB$4,'19.07'!$BB$3)),(VLOOKUP('19.07'!L26,'19.07'!$AO$4:$AQ$55,2,FALSE))*IF('19.07'!$AK26="是",'19.07'!$BB$4,'19.07'!$BB$3))</f>
        <v>128</v>
      </c>
      <c r="E26" s="4">
        <f>IF(ISNUMBER(SEARCH("营",'19.07'!M26)),(-$Y26+50*IF('19.07'!$AK26="是",'19.07'!$BB$4,'19.07'!$BB$3)),(VLOOKUP('19.07'!M26,'19.07'!$AO$4:$AQ$55,2,FALSE))*IF('19.07'!$AK26="是",'19.07'!$BB$4,'19.07'!$BB$3))</f>
        <v>40</v>
      </c>
      <c r="F26" s="4">
        <f>IF(ISNUMBER(SEARCH("营",'19.07'!N26)),(-$Y26+50*IF('19.07'!$AK26="是",'19.07'!$BB$4,'19.07'!$BB$3)),(VLOOKUP('19.07'!N26,'19.07'!$AO$4:$AQ$55,2,FALSE))*IF('19.07'!$AK26="是",'19.07'!$BB$4,'19.07'!$BB$3))</f>
        <v>128</v>
      </c>
      <c r="G26" s="4">
        <f>IF(ISNUMBER(SEARCH("营",'19.07'!O26)),(-$Y26+50*IF('19.07'!$AK26="是",'19.07'!$BB$4,'19.07'!$BB$3)),(VLOOKUP('19.07'!O26,'19.07'!$AO$4:$AQ$55,2,FALSE))*IF('19.07'!$AK26="是",'19.07'!$BB$4,'19.07'!$BB$3))</f>
        <v>0</v>
      </c>
      <c r="H26" s="4">
        <f>IF(ISNUMBER(SEARCH("营",'19.07'!P26)),(-$Y26+50*IF('19.07'!$AK26="是",'19.07'!$BB$4,'19.07'!$BB$3)),(VLOOKUP('19.07'!P26,'19.07'!$AO$4:$AQ$55,2,FALSE))*IF('19.07'!$AK26="是",'19.07'!$BB$4,'19.07'!$BB$3))</f>
        <v>0</v>
      </c>
      <c r="I26" s="4">
        <f>IF(ISNUMBER(SEARCH("营",'19.07'!Q26)),(-$Y26+50*IF('19.07'!$AK26="是",'19.07'!$BB$4,'19.07'!$BB$3)),(VLOOKUP('19.07'!Q26,'19.07'!$AO$4:$AQ$55,2,FALSE))*IF('19.07'!$AK26="是",'19.07'!$BB$4,'19.07'!$BB$3))</f>
        <v>160</v>
      </c>
      <c r="J26" s="4">
        <f>IF(ISNUMBER(SEARCH("营",'19.07'!R26)),(-$Y26+50*IF('19.07'!$AK26="是",'19.07'!$BB$4,'19.07'!$BB$3)),(VLOOKUP('19.07'!R26,'19.07'!$AO$4:$AQ$55,2,FALSE))*IF('19.07'!$AK26="是",'19.07'!$BB$4,'19.07'!$BB$3))</f>
        <v>160</v>
      </c>
      <c r="K26" s="4">
        <f>IF(ISNUMBER(SEARCH("营",'19.07'!S26)),(-$Y26+50*IF('19.07'!$AK26="是",'19.07'!$BB$4,'19.07'!$BB$3)),(VLOOKUP('19.07'!S26,'19.07'!$AO$4:$AQ$55,2,FALSE))*IF('19.07'!$AK26="是",'19.07'!$BB$4,'19.07'!$BB$3))</f>
        <v>160</v>
      </c>
      <c r="L26" s="4">
        <f>IF(ISNUMBER(SEARCH("营",'19.07'!T26)),(-$Y26+50*IF('19.07'!$AK26="是",'19.07'!$BB$4,'19.07'!$BB$3)),(VLOOKUP('19.07'!T26,'19.07'!$AO$4:$AQ$55,2,FALSE))*IF('19.07'!$AK26="是",'19.07'!$BB$4,'19.07'!$BB$3))</f>
        <v>160</v>
      </c>
      <c r="M26" s="4">
        <f>IF(ISNUMBER(SEARCH("营",'19.07'!U26)),(-$Y26+50*IF('19.07'!$AK26="是",'19.07'!$BB$4,'19.07'!$BB$3)),(VLOOKUP('19.07'!U26,'19.07'!$AO$4:$AQ$55,2,FALSE))*IF('19.07'!$AK26="是",'19.07'!$BB$4,'19.07'!$BB$3))</f>
        <v>160</v>
      </c>
      <c r="N26" s="4">
        <f>IF(ISNUMBER(SEARCH("营",'19.07'!V26)),(-$Y26+50*IF('19.07'!$AK26="是",'19.07'!$BB$4,'19.07'!$BB$3)),(VLOOKUP('19.07'!V26,'19.07'!$AO$4:$AQ$55,2,FALSE))*IF('19.07'!$AK26="是",'19.07'!$BB$4,'19.07'!$BB$3))</f>
        <v>160</v>
      </c>
      <c r="O26" s="4">
        <f>IF(ISNUMBER(SEARCH("营",'19.07'!W26)),(-$Y26+50*IF('19.07'!$AK26="是",'19.07'!$BB$4,'19.07'!$BB$3)),(VLOOKUP('19.07'!W26,'19.07'!$AO$4:$AQ$55,2,FALSE))*IF('19.07'!$AK26="是",'19.07'!$BB$4,'19.07'!$BB$3))</f>
        <v>0</v>
      </c>
      <c r="P26" s="4">
        <f>IF(ISNUMBER(SEARCH("营",'19.07'!X26)),(-$Y26+50*IF('19.07'!$AK26="是",'19.07'!$BB$4,'19.07'!$BB$3)),(VLOOKUP('19.07'!X26,'19.07'!$AO$4:$AQ$55,2,FALSE))*IF('19.07'!$AK26="是",'19.07'!$BB$4,'19.07'!$BB$3))</f>
        <v>0</v>
      </c>
      <c r="Q26" s="4">
        <f>IF(ISNUMBER(SEARCH("营",'19.07'!Y26)),(-$Y26+50*IF('19.07'!$AK26="是",'19.07'!$BB$4,'19.07'!$BB$3)),(VLOOKUP('19.07'!Y26,'19.07'!$AO$4:$AQ$55,2,FALSE))*IF('19.07'!$AK26="是",'19.07'!$BB$4,'19.07'!$BB$3))</f>
        <v>128</v>
      </c>
      <c r="R26" s="4">
        <f>IF(ISNUMBER(SEARCH("营",'19.07'!Z26)),(-$Y26+50*IF('19.07'!$AK26="是",'19.07'!$BB$4,'19.07'!$BB$3)),(VLOOKUP('19.07'!Z26,'19.07'!$AO$4:$AQ$55,2,FALSE))*IF('19.07'!$AK26="是",'19.07'!$BB$4,'19.07'!$BB$3))</f>
        <v>120</v>
      </c>
      <c r="S26" s="4">
        <f>IF(ISNUMBER(SEARCH("营",'19.07'!AA26)),(-$Y26+50*IF('19.07'!$AK26="是",'19.07'!$BB$4,'19.07'!$BB$3)),(VLOOKUP('19.07'!AA26,'19.07'!$AO$4:$AQ$55,2,FALSE))*IF('19.07'!$AK26="是",'19.07'!$BB$4,'19.07'!$BB$3))</f>
        <v>144</v>
      </c>
      <c r="T26" s="4">
        <f>IF(ISNUMBER(SEARCH("营",'19.07'!AB26)),(-$Y26+50*IF('19.07'!$AK26="是",'19.07'!$BB$4,'19.07'!$BB$3)),(VLOOKUP('19.07'!AB26,'19.07'!$AO$4:$AQ$55,2,FALSE))*IF('19.07'!$AK26="是",'19.07'!$BB$4,'19.07'!$BB$3))</f>
        <v>144</v>
      </c>
      <c r="U26" s="4">
        <f>IF(ISNUMBER(SEARCH("营",'19.07'!AC26)),(-$Y26+50*IF('19.07'!$AK26="是",'19.07'!$BB$4,'19.07'!$BB$3)),(VLOOKUP('19.07'!AC26,'19.07'!$AO$4:$AQ$55,2,FALSE))*IF('19.07'!$AK26="是",'19.07'!$BB$4,'19.07'!$BB$3))</f>
        <v>144</v>
      </c>
      <c r="V26" s="4">
        <f>IF(ISNUMBER(SEARCH("营",'19.07'!AD26)),(-$Y26+50*IF('19.07'!$AK26="是",'19.07'!$BB$4,'19.07'!$BB$3)),(VLOOKUP('19.07'!AD26,'19.07'!$AO$4:$AQ$55,2,FALSE))*IF('19.07'!$AK26="是",'19.07'!$BB$4,'19.07'!$BB$3))</f>
        <v>144</v>
      </c>
      <c r="W26" s="4">
        <f>IF(ISNUMBER(SEARCH("营",'19.07'!AE26)),(-$Y26+50*IF('19.07'!$AK26="是",'19.07'!$BB$4,'19.07'!$BB$3)),(VLOOKUP('19.07'!AE26,'19.07'!$AO$4:$AQ$55,2,FALSE))*IF('19.07'!$AK26="是",'19.07'!$BB$4,'19.07'!$BB$3))</f>
        <v>0</v>
      </c>
      <c r="X26" s="4">
        <f>IF(ISNUMBER(SEARCH("营",'19.07'!AF26)),(-$Y26+50*IF('19.07'!$AK26="是",'19.07'!$BB$4,'19.07'!$BB$3)),(VLOOKUP('19.07'!AF26,'19.07'!$AO$4:$AQ$55,2,FALSE))*IF('19.07'!$AK26="是",'19.07'!$BB$4,'19.07'!$BB$3))</f>
        <v>0</v>
      </c>
      <c r="Y26" s="18">
        <v>200</v>
      </c>
      <c r="Z26" s="15">
        <v>45752</v>
      </c>
    </row>
    <row r="27" spans="1:26">
      <c r="A27" s="4">
        <f>IF(ISNUMBER(SEARCH("营",'19.07'!I27)),(-$Y27+50*IF('19.07'!$AK27="是",'19.07'!$BB$4,'19.07'!$BB$3)),(VLOOKUP('19.07'!I27,'19.07'!$AO$4:$AQ$55,2,FALSE))*IF('19.07'!$AK27="是",'19.07'!$BB$4,'19.07'!$BB$3))</f>
        <v>128</v>
      </c>
      <c r="B27" s="4">
        <f>IF(ISNUMBER(SEARCH("营",'19.07'!J27)),(-$Y27+50*IF('19.07'!$AK27="是",'19.07'!$BB$4,'19.07'!$BB$3)),(VLOOKUP('19.07'!J27,'19.07'!$AO$4:$AQ$55,2,FALSE))*IF('19.07'!$AK27="是",'19.07'!$BB$4,'19.07'!$BB$3))</f>
        <v>120</v>
      </c>
      <c r="C27" s="4">
        <f>IF(ISNUMBER(SEARCH("营",'19.07'!K27)),(-$Y27+50*IF('19.07'!$AK27="是",'19.07'!$BB$4,'19.07'!$BB$3)),(VLOOKUP('19.07'!K27,'19.07'!$AO$4:$AQ$55,2,FALSE))*IF('19.07'!$AK27="是",'19.07'!$BB$4,'19.07'!$BB$3))</f>
        <v>128</v>
      </c>
      <c r="D27" s="4">
        <f>IF(ISNUMBER(SEARCH("营",'19.07'!L27)),(-$Y27+50*IF('19.07'!$AK27="是",'19.07'!$BB$4,'19.07'!$BB$3)),(VLOOKUP('19.07'!L27,'19.07'!$AO$4:$AQ$55,2,FALSE))*IF('19.07'!$AK27="是",'19.07'!$BB$4,'19.07'!$BB$3))</f>
        <v>128</v>
      </c>
      <c r="E27" s="4">
        <f>IF(ISNUMBER(SEARCH("营",'19.07'!M27)),(-$Y27+50*IF('19.07'!$AK27="是",'19.07'!$BB$4,'19.07'!$BB$3)),(VLOOKUP('19.07'!M27,'19.07'!$AO$4:$AQ$55,2,FALSE))*IF('19.07'!$AK27="是",'19.07'!$BB$4,'19.07'!$BB$3))</f>
        <v>40</v>
      </c>
      <c r="F27" s="4">
        <f>IF(ISNUMBER(SEARCH("营",'19.07'!N27)),(-$Y27+50*IF('19.07'!$AK27="是",'19.07'!$BB$4,'19.07'!$BB$3)),(VLOOKUP('19.07'!N27,'19.07'!$AO$4:$AQ$55,2,FALSE))*IF('19.07'!$AK27="是",'19.07'!$BB$4,'19.07'!$BB$3))</f>
        <v>0</v>
      </c>
      <c r="G27" s="4">
        <f>IF(ISNUMBER(SEARCH("营",'19.07'!O27)),(-$Y27+50*IF('19.07'!$AK27="是",'19.07'!$BB$4,'19.07'!$BB$3)),(VLOOKUP('19.07'!O27,'19.07'!$AO$4:$AQ$55,2,FALSE))*IF('19.07'!$AK27="是",'19.07'!$BB$4,'19.07'!$BB$3))</f>
        <v>0</v>
      </c>
      <c r="H27" s="4">
        <f>IF(ISNUMBER(SEARCH("营",'19.07'!P27)),(-$Y27+50*IF('19.07'!$AK27="是",'19.07'!$BB$4,'19.07'!$BB$3)),(VLOOKUP('19.07'!P27,'19.07'!$AO$4:$AQ$55,2,FALSE))*IF('19.07'!$AK27="是",'19.07'!$BB$4,'19.07'!$BB$3))</f>
        <v>0</v>
      </c>
      <c r="I27" s="4">
        <f>IF(ISNUMBER(SEARCH("营",'19.07'!Q27)),(-$Y27+50*IF('19.07'!$AK27="是",'19.07'!$BB$4,'19.07'!$BB$3)),(VLOOKUP('19.07'!Q27,'19.07'!$AO$4:$AQ$55,2,FALSE))*IF('19.07'!$AK27="是",'19.07'!$BB$4,'19.07'!$BB$3))</f>
        <v>160</v>
      </c>
      <c r="J27" s="4">
        <f>IF(ISNUMBER(SEARCH("营",'19.07'!R27)),(-$Y27+50*IF('19.07'!$AK27="是",'19.07'!$BB$4,'19.07'!$BB$3)),(VLOOKUP('19.07'!R27,'19.07'!$AO$4:$AQ$55,2,FALSE))*IF('19.07'!$AK27="是",'19.07'!$BB$4,'19.07'!$BB$3))</f>
        <v>160</v>
      </c>
      <c r="K27" s="4">
        <f>IF(ISNUMBER(SEARCH("营",'19.07'!S27)),(-$Y27+50*IF('19.07'!$AK27="是",'19.07'!$BB$4,'19.07'!$BB$3)),(VLOOKUP('19.07'!S27,'19.07'!$AO$4:$AQ$55,2,FALSE))*IF('19.07'!$AK27="是",'19.07'!$BB$4,'19.07'!$BB$3))</f>
        <v>160</v>
      </c>
      <c r="L27" s="4">
        <f>IF(ISNUMBER(SEARCH("营",'19.07'!T27)),(-$Y27+50*IF('19.07'!$AK27="是",'19.07'!$BB$4,'19.07'!$BB$3)),(VLOOKUP('19.07'!T27,'19.07'!$AO$4:$AQ$55,2,FALSE))*IF('19.07'!$AK27="是",'19.07'!$BB$4,'19.07'!$BB$3))</f>
        <v>160</v>
      </c>
      <c r="M27" s="4">
        <f>IF(ISNUMBER(SEARCH("营",'19.07'!U27)),(-$Y27+50*IF('19.07'!$AK27="是",'19.07'!$BB$4,'19.07'!$BB$3)),(VLOOKUP('19.07'!U27,'19.07'!$AO$4:$AQ$55,2,FALSE))*IF('19.07'!$AK27="是",'19.07'!$BB$4,'19.07'!$BB$3))</f>
        <v>160</v>
      </c>
      <c r="N27" s="4">
        <f>IF(ISNUMBER(SEARCH("营",'19.07'!V27)),(-$Y27+50*IF('19.07'!$AK27="是",'19.07'!$BB$4,'19.07'!$BB$3)),(VLOOKUP('19.07'!V27,'19.07'!$AO$4:$AQ$55,2,FALSE))*IF('19.07'!$AK27="是",'19.07'!$BB$4,'19.07'!$BB$3))</f>
        <v>160</v>
      </c>
      <c r="O27" s="4">
        <f>IF(ISNUMBER(SEARCH("营",'19.07'!W27)),(-$Y27+50*IF('19.07'!$AK27="是",'19.07'!$BB$4,'19.07'!$BB$3)),(VLOOKUP('19.07'!W27,'19.07'!$AO$4:$AQ$55,2,FALSE))*IF('19.07'!$AK27="是",'19.07'!$BB$4,'19.07'!$BB$3))</f>
        <v>0</v>
      </c>
      <c r="P27" s="4">
        <f>IF(ISNUMBER(SEARCH("营",'19.07'!X27)),(-$Y27+50*IF('19.07'!$AK27="是",'19.07'!$BB$4,'19.07'!$BB$3)),(VLOOKUP('19.07'!X27,'19.07'!$AO$4:$AQ$55,2,FALSE))*IF('19.07'!$AK27="是",'19.07'!$BB$4,'19.07'!$BB$3))</f>
        <v>0</v>
      </c>
      <c r="Q27" s="4">
        <f>IF(ISNUMBER(SEARCH("营",'19.07'!Y27)),(-$Y27+50*IF('19.07'!$AK27="是",'19.07'!$BB$4,'19.07'!$BB$3)),(VLOOKUP('19.07'!Y27,'19.07'!$AO$4:$AQ$55,2,FALSE))*IF('19.07'!$AK27="是",'19.07'!$BB$4,'19.07'!$BB$3))</f>
        <v>144</v>
      </c>
      <c r="R27" s="4">
        <f>IF(ISNUMBER(SEARCH("营",'19.07'!Z27)),(-$Y27+50*IF('19.07'!$AK27="是",'19.07'!$BB$4,'19.07'!$BB$3)),(VLOOKUP('19.07'!Z27,'19.07'!$AO$4:$AQ$55,2,FALSE))*IF('19.07'!$AK27="是",'19.07'!$BB$4,'19.07'!$BB$3))</f>
        <v>144</v>
      </c>
      <c r="S27" s="4">
        <f>IF(ISNUMBER(SEARCH("营",'19.07'!AA27)),(-$Y27+50*IF('19.07'!$AK27="是",'19.07'!$BB$4,'19.07'!$BB$3)),(VLOOKUP('19.07'!AA27,'19.07'!$AO$4:$AQ$55,2,FALSE))*IF('19.07'!$AK27="是",'19.07'!$BB$4,'19.07'!$BB$3))</f>
        <v>144</v>
      </c>
      <c r="T27" s="4">
        <f>IF(ISNUMBER(SEARCH("营",'19.07'!AB27)),(-$Y27+50*IF('19.07'!$AK27="是",'19.07'!$BB$4,'19.07'!$BB$3)),(VLOOKUP('19.07'!AB27,'19.07'!$AO$4:$AQ$55,2,FALSE))*IF('19.07'!$AK27="是",'19.07'!$BB$4,'19.07'!$BB$3))</f>
        <v>144</v>
      </c>
      <c r="U27" s="4">
        <f>IF(ISNUMBER(SEARCH("营",'19.07'!AC27)),(-$Y27+50*IF('19.07'!$AK27="是",'19.07'!$BB$4,'19.07'!$BB$3)),(VLOOKUP('19.07'!AC27,'19.07'!$AO$4:$AQ$55,2,FALSE))*IF('19.07'!$AK27="是",'19.07'!$BB$4,'19.07'!$BB$3))</f>
        <v>144</v>
      </c>
      <c r="V27" s="4">
        <f>IF(ISNUMBER(SEARCH("营",'19.07'!AD27)),(-$Y27+50*IF('19.07'!$AK27="是",'19.07'!$BB$4,'19.07'!$BB$3)),(VLOOKUP('19.07'!AD27,'19.07'!$AO$4:$AQ$55,2,FALSE))*IF('19.07'!$AK27="是",'19.07'!$BB$4,'19.07'!$BB$3))</f>
        <v>144</v>
      </c>
      <c r="W27" s="4">
        <f>IF(ISNUMBER(SEARCH("营",'19.07'!AE27)),(-$Y27+50*IF('19.07'!$AK27="是",'19.07'!$BB$4,'19.07'!$BB$3)),(VLOOKUP('19.07'!AE27,'19.07'!$AO$4:$AQ$55,2,FALSE))*IF('19.07'!$AK27="是",'19.07'!$BB$4,'19.07'!$BB$3))</f>
        <v>144</v>
      </c>
      <c r="X27" s="4">
        <f>IF(ISNUMBER(SEARCH("营",'19.07'!AF27)),(-$Y27+50*IF('19.07'!$AK27="是",'19.07'!$BB$4,'19.07'!$BB$3)),(VLOOKUP('19.07'!AF27,'19.07'!$AO$4:$AQ$55,2,FALSE))*IF('19.07'!$AK27="是",'19.07'!$BB$4,'19.07'!$BB$3))</f>
        <v>0</v>
      </c>
      <c r="Y27" s="18">
        <v>200</v>
      </c>
      <c r="Z27" s="15">
        <v>45753</v>
      </c>
    </row>
    <row r="28" spans="1:26">
      <c r="A28" s="4">
        <f>IF(ISNUMBER(SEARCH("营",'19.07'!I28)),(-$Y28+50*IF('19.07'!$AK28="是",'19.07'!$BB$4,'19.07'!$BB$3)),(VLOOKUP('19.07'!I28,'19.07'!$AO$4:$AQ$55,2,FALSE))*IF('19.07'!$AK28="是",'19.07'!$BB$4,'19.07'!$BB$3))</f>
        <v>0</v>
      </c>
      <c r="B28" s="4">
        <f>IF(ISNUMBER(SEARCH("营",'19.07'!J28)),(-$Y28+50*IF('19.07'!$AK28="是",'19.07'!$BB$4,'19.07'!$BB$3)),(VLOOKUP('19.07'!J28,'19.07'!$AO$4:$AQ$55,2,FALSE))*IF('19.07'!$AK28="是",'19.07'!$BB$4,'19.07'!$BB$3))</f>
        <v>0</v>
      </c>
      <c r="C28" s="4">
        <f>IF(ISNUMBER(SEARCH("营",'19.07'!K28)),(-$Y28+50*IF('19.07'!$AK28="是",'19.07'!$BB$4,'19.07'!$BB$3)),(VLOOKUP('19.07'!K28,'19.07'!$AO$4:$AQ$55,2,FALSE))*IF('19.07'!$AK28="是",'19.07'!$BB$4,'19.07'!$BB$3))</f>
        <v>0</v>
      </c>
      <c r="D28" s="4">
        <f>IF(ISNUMBER(SEARCH("营",'19.07'!L28)),(-$Y28+50*IF('19.07'!$AK28="是",'19.07'!$BB$4,'19.07'!$BB$3)),(VLOOKUP('19.07'!L28,'19.07'!$AO$4:$AQ$55,2,FALSE))*IF('19.07'!$AK28="是",'19.07'!$BB$4,'19.07'!$BB$3))</f>
        <v>0</v>
      </c>
      <c r="E28" s="4">
        <f>IF(ISNUMBER(SEARCH("营",'19.07'!M28)),(-$Y28+50*IF('19.07'!$AK28="是",'19.07'!$BB$4,'19.07'!$BB$3)),(VLOOKUP('19.07'!M28,'19.07'!$AO$4:$AQ$55,2,FALSE))*IF('19.07'!$AK28="是",'19.07'!$BB$4,'19.07'!$BB$3))</f>
        <v>0</v>
      </c>
      <c r="F28" s="4">
        <f>IF(ISNUMBER(SEARCH("营",'19.07'!N28)),(-$Y28+50*IF('19.07'!$AK28="是",'19.07'!$BB$4,'19.07'!$BB$3)),(VLOOKUP('19.07'!N28,'19.07'!$AO$4:$AQ$55,2,FALSE))*IF('19.07'!$AK28="是",'19.07'!$BB$4,'19.07'!$BB$3))</f>
        <v>0</v>
      </c>
      <c r="G28" s="4">
        <f>IF(ISNUMBER(SEARCH("营",'19.07'!O28)),(-$Y28+50*IF('19.07'!$AK28="是",'19.07'!$BB$4,'19.07'!$BB$3)),(VLOOKUP('19.07'!O28,'19.07'!$AO$4:$AQ$55,2,FALSE))*IF('19.07'!$AK28="是",'19.07'!$BB$4,'19.07'!$BB$3))</f>
        <v>0</v>
      </c>
      <c r="H28" s="4">
        <f>IF(ISNUMBER(SEARCH("营",'19.07'!P28)),(-$Y28+50*IF('19.07'!$AK28="是",'19.07'!$BB$4,'19.07'!$BB$3)),(VLOOKUP('19.07'!P28,'19.07'!$AO$4:$AQ$55,2,FALSE))*IF('19.07'!$AK28="是",'19.07'!$BB$4,'19.07'!$BB$3))</f>
        <v>0</v>
      </c>
      <c r="I28" s="4">
        <f>IF(ISNUMBER(SEARCH("营",'19.07'!Q28)),(-$Y28+50*IF('19.07'!$AK28="是",'19.07'!$BB$4,'19.07'!$BB$3)),(VLOOKUP('19.07'!Q28,'19.07'!$AO$4:$AQ$55,2,FALSE))*IF('19.07'!$AK28="是",'19.07'!$BB$4,'19.07'!$BB$3))</f>
        <v>160</v>
      </c>
      <c r="J28" s="4">
        <f>IF(ISNUMBER(SEARCH("营",'19.07'!R28)),(-$Y28+50*IF('19.07'!$AK28="是",'19.07'!$BB$4,'19.07'!$BB$3)),(VLOOKUP('19.07'!R28,'19.07'!$AO$4:$AQ$55,2,FALSE))*IF('19.07'!$AK28="是",'19.07'!$BB$4,'19.07'!$BB$3))</f>
        <v>160</v>
      </c>
      <c r="K28" s="4">
        <f>IF(ISNUMBER(SEARCH("营",'19.07'!S28)),(-$Y28+50*IF('19.07'!$AK28="是",'19.07'!$BB$4,'19.07'!$BB$3)),(VLOOKUP('19.07'!S28,'19.07'!$AO$4:$AQ$55,2,FALSE))*IF('19.07'!$AK28="是",'19.07'!$BB$4,'19.07'!$BB$3))</f>
        <v>160</v>
      </c>
      <c r="L28" s="4">
        <f>IF(ISNUMBER(SEARCH("营",'19.07'!T28)),(-$Y28+50*IF('19.07'!$AK28="是",'19.07'!$BB$4,'19.07'!$BB$3)),(VLOOKUP('19.07'!T28,'19.07'!$AO$4:$AQ$55,2,FALSE))*IF('19.07'!$AK28="是",'19.07'!$BB$4,'19.07'!$BB$3))</f>
        <v>160</v>
      </c>
      <c r="M28" s="4">
        <f>IF(ISNUMBER(SEARCH("营",'19.07'!U28)),(-$Y28+50*IF('19.07'!$AK28="是",'19.07'!$BB$4,'19.07'!$BB$3)),(VLOOKUP('19.07'!U28,'19.07'!$AO$4:$AQ$55,2,FALSE))*IF('19.07'!$AK28="是",'19.07'!$BB$4,'19.07'!$BB$3))</f>
        <v>160</v>
      </c>
      <c r="N28" s="4">
        <f>IF(ISNUMBER(SEARCH("营",'19.07'!V28)),(-$Y28+50*IF('19.07'!$AK28="是",'19.07'!$BB$4,'19.07'!$BB$3)),(VLOOKUP('19.07'!V28,'19.07'!$AO$4:$AQ$55,2,FALSE))*IF('19.07'!$AK28="是",'19.07'!$BB$4,'19.07'!$BB$3))</f>
        <v>160</v>
      </c>
      <c r="O28" s="4">
        <f>IF(ISNUMBER(SEARCH("营",'19.07'!W28)),(-$Y28+50*IF('19.07'!$AK28="是",'19.07'!$BB$4,'19.07'!$BB$3)),(VLOOKUP('19.07'!W28,'19.07'!$AO$4:$AQ$55,2,FALSE))*IF('19.07'!$AK28="是",'19.07'!$BB$4,'19.07'!$BB$3))</f>
        <v>0</v>
      </c>
      <c r="P28" s="4">
        <f>IF(ISNUMBER(SEARCH("营",'19.07'!X28)),(-$Y28+50*IF('19.07'!$AK28="是",'19.07'!$BB$4,'19.07'!$BB$3)),(VLOOKUP('19.07'!X28,'19.07'!$AO$4:$AQ$55,2,FALSE))*IF('19.07'!$AK28="是",'19.07'!$BB$4,'19.07'!$BB$3))</f>
        <v>0</v>
      </c>
      <c r="Q28" s="4">
        <f>IF(ISNUMBER(SEARCH("营",'19.07'!Y28)),(-$Y28+50*IF('19.07'!$AK28="是",'19.07'!$BB$4,'19.07'!$BB$3)),(VLOOKUP('19.07'!Y28,'19.07'!$AO$4:$AQ$55,2,FALSE))*IF('19.07'!$AK28="是",'19.07'!$BB$4,'19.07'!$BB$3))</f>
        <v>144</v>
      </c>
      <c r="R28" s="4">
        <f>IF(ISNUMBER(SEARCH("营",'19.07'!Z28)),(-$Y28+50*IF('19.07'!$AK28="是",'19.07'!$BB$4,'19.07'!$BB$3)),(VLOOKUP('19.07'!Z28,'19.07'!$AO$4:$AQ$55,2,FALSE))*IF('19.07'!$AK28="是",'19.07'!$BB$4,'19.07'!$BB$3))</f>
        <v>144</v>
      </c>
      <c r="S28" s="4">
        <f>IF(ISNUMBER(SEARCH("营",'19.07'!AA28)),(-$Y28+50*IF('19.07'!$AK28="是",'19.07'!$BB$4,'19.07'!$BB$3)),(VLOOKUP('19.07'!AA28,'19.07'!$AO$4:$AQ$55,2,FALSE))*IF('19.07'!$AK28="是",'19.07'!$BB$4,'19.07'!$BB$3))</f>
        <v>144</v>
      </c>
      <c r="T28" s="4">
        <f>IF(ISNUMBER(SEARCH("营",'19.07'!AB28)),(-$Y28+50*IF('19.07'!$AK28="是",'19.07'!$BB$4,'19.07'!$BB$3)),(VLOOKUP('19.07'!AB28,'19.07'!$AO$4:$AQ$55,2,FALSE))*IF('19.07'!$AK28="是",'19.07'!$BB$4,'19.07'!$BB$3))</f>
        <v>144</v>
      </c>
      <c r="U28" s="4">
        <f>IF(ISNUMBER(SEARCH("营",'19.07'!AC28)),(-$Y28+50*IF('19.07'!$AK28="是",'19.07'!$BB$4,'19.07'!$BB$3)),(VLOOKUP('19.07'!AC28,'19.07'!$AO$4:$AQ$55,2,FALSE))*IF('19.07'!$AK28="是",'19.07'!$BB$4,'19.07'!$BB$3))</f>
        <v>144</v>
      </c>
      <c r="V28" s="4">
        <f>IF(ISNUMBER(SEARCH("营",'19.07'!AD28)),(-$Y28+50*IF('19.07'!$AK28="是",'19.07'!$BB$4,'19.07'!$BB$3)),(VLOOKUP('19.07'!AD28,'19.07'!$AO$4:$AQ$55,2,FALSE))*IF('19.07'!$AK28="是",'19.07'!$BB$4,'19.07'!$BB$3))</f>
        <v>144</v>
      </c>
      <c r="W28" s="4">
        <f>IF(ISNUMBER(SEARCH("营",'19.07'!AE28)),(-$Y28+50*IF('19.07'!$AK28="是",'19.07'!$BB$4,'19.07'!$BB$3)),(VLOOKUP('19.07'!AE28,'19.07'!$AO$4:$AQ$55,2,FALSE))*IF('19.07'!$AK28="是",'19.07'!$BB$4,'19.07'!$BB$3))</f>
        <v>144</v>
      </c>
      <c r="X28" s="4">
        <f>IF(ISNUMBER(SEARCH("营",'19.07'!AF28)),(-$Y28+50*IF('19.07'!$AK28="是",'19.07'!$BB$4,'19.07'!$BB$3)),(VLOOKUP('19.07'!AF28,'19.07'!$AO$4:$AQ$55,2,FALSE))*IF('19.07'!$AK28="是",'19.07'!$BB$4,'19.07'!$BB$3))</f>
        <v>0</v>
      </c>
      <c r="Y28" s="18">
        <v>200</v>
      </c>
      <c r="Z28" s="15">
        <v>45754</v>
      </c>
    </row>
    <row r="29" spans="1:26">
      <c r="A29" s="4">
        <f>IF(ISNUMBER(SEARCH("营",'19.07'!I29)),(-$Y29+50*IF('19.07'!$AK29="是",'19.07'!$BB$4,'19.07'!$BB$3)),(VLOOKUP('19.07'!I29,'19.07'!$AO$4:$AQ$55,2,FALSE))*IF('19.07'!$AK29="是",'19.07'!$BB$4,'19.07'!$BB$3))</f>
        <v>0</v>
      </c>
      <c r="B29" s="4">
        <f>IF(ISNUMBER(SEARCH("营",'19.07'!J29)),(-$Y29+50*IF('19.07'!$AK29="是",'19.07'!$BB$4,'19.07'!$BB$3)),(VLOOKUP('19.07'!J29,'19.07'!$AO$4:$AQ$55,2,FALSE))*IF('19.07'!$AK29="是",'19.07'!$BB$4,'19.07'!$BB$3))</f>
        <v>0</v>
      </c>
      <c r="C29" s="4">
        <f>IF(ISNUMBER(SEARCH("营",'19.07'!K29)),(-$Y29+50*IF('19.07'!$AK29="是",'19.07'!$BB$4,'19.07'!$BB$3)),(VLOOKUP('19.07'!K29,'19.07'!$AO$4:$AQ$55,2,FALSE))*IF('19.07'!$AK29="是",'19.07'!$BB$4,'19.07'!$BB$3))</f>
        <v>0</v>
      </c>
      <c r="D29" s="4">
        <f>IF(ISNUMBER(SEARCH("营",'19.07'!L29)),(-$Y29+50*IF('19.07'!$AK29="是",'19.07'!$BB$4,'19.07'!$BB$3)),(VLOOKUP('19.07'!L29,'19.07'!$AO$4:$AQ$55,2,FALSE))*IF('19.07'!$AK29="是",'19.07'!$BB$4,'19.07'!$BB$3))</f>
        <v>0</v>
      </c>
      <c r="E29" s="4">
        <f>IF(ISNUMBER(SEARCH("营",'19.07'!M29)),(-$Y29+50*IF('19.07'!$AK29="是",'19.07'!$BB$4,'19.07'!$BB$3)),(VLOOKUP('19.07'!M29,'19.07'!$AO$4:$AQ$55,2,FALSE))*IF('19.07'!$AK29="是",'19.07'!$BB$4,'19.07'!$BB$3))</f>
        <v>0</v>
      </c>
      <c r="F29" s="4">
        <f>IF(ISNUMBER(SEARCH("营",'19.07'!N29)),(-$Y29+50*IF('19.07'!$AK29="是",'19.07'!$BB$4,'19.07'!$BB$3)),(VLOOKUP('19.07'!N29,'19.07'!$AO$4:$AQ$55,2,FALSE))*IF('19.07'!$AK29="是",'19.07'!$BB$4,'19.07'!$BB$3))</f>
        <v>0</v>
      </c>
      <c r="G29" s="4">
        <f>IF(ISNUMBER(SEARCH("营",'19.07'!O29)),(-$Y29+50*IF('19.07'!$AK29="是",'19.07'!$BB$4,'19.07'!$BB$3)),(VLOOKUP('19.07'!O29,'19.07'!$AO$4:$AQ$55,2,FALSE))*IF('19.07'!$AK29="是",'19.07'!$BB$4,'19.07'!$BB$3))</f>
        <v>0</v>
      </c>
      <c r="H29" s="4">
        <f>IF(ISNUMBER(SEARCH("营",'19.07'!P29)),(-$Y29+50*IF('19.07'!$AK29="是",'19.07'!$BB$4,'19.07'!$BB$3)),(VLOOKUP('19.07'!P29,'19.07'!$AO$4:$AQ$55,2,FALSE))*IF('19.07'!$AK29="是",'19.07'!$BB$4,'19.07'!$BB$3))</f>
        <v>0</v>
      </c>
      <c r="I29" s="4">
        <f>IF(ISNUMBER(SEARCH("营",'19.07'!Q29)),(-$Y29+50*IF('19.07'!$AK29="是",'19.07'!$BB$4,'19.07'!$BB$3)),(VLOOKUP('19.07'!Q29,'19.07'!$AO$4:$AQ$55,2,FALSE))*IF('19.07'!$AK29="是",'19.07'!$BB$4,'19.07'!$BB$3))</f>
        <v>0</v>
      </c>
      <c r="J29" s="4">
        <f>IF(ISNUMBER(SEARCH("营",'19.07'!R29)),(-$Y29+50*IF('19.07'!$AK29="是",'19.07'!$BB$4,'19.07'!$BB$3)),(VLOOKUP('19.07'!R29,'19.07'!$AO$4:$AQ$55,2,FALSE))*IF('19.07'!$AK29="是",'19.07'!$BB$4,'19.07'!$BB$3))</f>
        <v>0</v>
      </c>
      <c r="K29" s="4">
        <f>IF(ISNUMBER(SEARCH("营",'19.07'!S29)),(-$Y29+50*IF('19.07'!$AK29="是",'19.07'!$BB$4,'19.07'!$BB$3)),(VLOOKUP('19.07'!S29,'19.07'!$AO$4:$AQ$55,2,FALSE))*IF('19.07'!$AK29="是",'19.07'!$BB$4,'19.07'!$BB$3))</f>
        <v>152</v>
      </c>
      <c r="L29" s="4">
        <f>IF(ISNUMBER(SEARCH("营",'19.07'!T29)),(-$Y29+50*IF('19.07'!$AK29="是",'19.07'!$BB$4,'19.07'!$BB$3)),(VLOOKUP('19.07'!T29,'19.07'!$AO$4:$AQ$55,2,FALSE))*IF('19.07'!$AK29="是",'19.07'!$BB$4,'19.07'!$BB$3))</f>
        <v>152</v>
      </c>
      <c r="M29" s="4">
        <f>IF(ISNUMBER(SEARCH("营",'19.07'!U29)),(-$Y29+50*IF('19.07'!$AK29="是",'19.07'!$BB$4,'19.07'!$BB$3)),(VLOOKUP('19.07'!U29,'19.07'!$AO$4:$AQ$55,2,FALSE))*IF('19.07'!$AK29="是",'19.07'!$BB$4,'19.07'!$BB$3))</f>
        <v>152</v>
      </c>
      <c r="N29" s="4">
        <f>IF(ISNUMBER(SEARCH("营",'19.07'!V29)),(-$Y29+50*IF('19.07'!$AK29="是",'19.07'!$BB$4,'19.07'!$BB$3)),(VLOOKUP('19.07'!V29,'19.07'!$AO$4:$AQ$55,2,FALSE))*IF('19.07'!$AK29="是",'19.07'!$BB$4,'19.07'!$BB$3))</f>
        <v>-160</v>
      </c>
      <c r="O29" s="4">
        <f>IF(ISNUMBER(SEARCH("营",'19.07'!W29)),(-$Y29+50*IF('19.07'!$AK29="是",'19.07'!$BB$4,'19.07'!$BB$3)),(VLOOKUP('19.07'!W29,'19.07'!$AO$4:$AQ$55,2,FALSE))*IF('19.07'!$AK29="是",'19.07'!$BB$4,'19.07'!$BB$3))</f>
        <v>152</v>
      </c>
      <c r="P29" s="4">
        <f>IF(ISNUMBER(SEARCH("营",'19.07'!X29)),(-$Y29+50*IF('19.07'!$AK29="是",'19.07'!$BB$4,'19.07'!$BB$3)),(VLOOKUP('19.07'!X29,'19.07'!$AO$4:$AQ$55,2,FALSE))*IF('19.07'!$AK29="是",'19.07'!$BB$4,'19.07'!$BB$3))</f>
        <v>152</v>
      </c>
      <c r="Q29" s="4">
        <f>IF(ISNUMBER(SEARCH("营",'19.07'!Y29)),(-$Y29+50*IF('19.07'!$AK29="是",'19.07'!$BB$4,'19.07'!$BB$3)),(VLOOKUP('19.07'!Y29,'19.07'!$AO$4:$AQ$55,2,FALSE))*IF('19.07'!$AK29="是",'19.07'!$BB$4,'19.07'!$BB$3))</f>
        <v>136</v>
      </c>
      <c r="R29" s="4">
        <f>IF(ISNUMBER(SEARCH("营",'19.07'!Z29)),(-$Y29+50*IF('19.07'!$AK29="是",'19.07'!$BB$4,'19.07'!$BB$3)),(VLOOKUP('19.07'!Z29,'19.07'!$AO$4:$AQ$55,2,FALSE))*IF('19.07'!$AK29="是",'19.07'!$BB$4,'19.07'!$BB$3))</f>
        <v>136</v>
      </c>
      <c r="S29" s="4">
        <f>IF(ISNUMBER(SEARCH("营",'19.07'!AA29)),(-$Y29+50*IF('19.07'!$AK29="是",'19.07'!$BB$4,'19.07'!$BB$3)),(VLOOKUP('19.07'!AA29,'19.07'!$AO$4:$AQ$55,2,FALSE))*IF('19.07'!$AK29="是",'19.07'!$BB$4,'19.07'!$BB$3))</f>
        <v>136</v>
      </c>
      <c r="T29" s="4">
        <f>IF(ISNUMBER(SEARCH("营",'19.07'!AB29)),(-$Y29+50*IF('19.07'!$AK29="是",'19.07'!$BB$4,'19.07'!$BB$3)),(VLOOKUP('19.07'!AB29,'19.07'!$AO$4:$AQ$55,2,FALSE))*IF('19.07'!$AK29="是",'19.07'!$BB$4,'19.07'!$BB$3))</f>
        <v>160</v>
      </c>
      <c r="U29" s="4">
        <f>IF(ISNUMBER(SEARCH("营",'19.07'!AC29)),(-$Y29+50*IF('19.07'!$AK29="是",'19.07'!$BB$4,'19.07'!$BB$3)),(VLOOKUP('19.07'!AC29,'19.07'!$AO$4:$AQ$55,2,FALSE))*IF('19.07'!$AK29="是",'19.07'!$BB$4,'19.07'!$BB$3))</f>
        <v>160</v>
      </c>
      <c r="V29" s="4">
        <f>IF(ISNUMBER(SEARCH("营",'19.07'!AD29)),(-$Y29+50*IF('19.07'!$AK29="是",'19.07'!$BB$4,'19.07'!$BB$3)),(VLOOKUP('19.07'!AD29,'19.07'!$AO$4:$AQ$55,2,FALSE))*IF('19.07'!$AK29="是",'19.07'!$BB$4,'19.07'!$BB$3))</f>
        <v>160</v>
      </c>
      <c r="W29" s="4">
        <f>IF(ISNUMBER(SEARCH("营",'19.07'!AE29)),(-$Y29+50*IF('19.07'!$AK29="是",'19.07'!$BB$4,'19.07'!$BB$3)),(VLOOKUP('19.07'!AE29,'19.07'!$AO$4:$AQ$55,2,FALSE))*IF('19.07'!$AK29="是",'19.07'!$BB$4,'19.07'!$BB$3))</f>
        <v>0</v>
      </c>
      <c r="X29" s="4">
        <f>IF(ISNUMBER(SEARCH("营",'19.07'!AF29)),(-$Y29+50*IF('19.07'!$AK29="是",'19.07'!$BB$4,'19.07'!$BB$3)),(VLOOKUP('19.07'!AF29,'19.07'!$AO$4:$AQ$55,2,FALSE))*IF('19.07'!$AK29="是",'19.07'!$BB$4,'19.07'!$BB$3))</f>
        <v>0</v>
      </c>
      <c r="Y29" s="18">
        <v>200</v>
      </c>
      <c r="Z29" s="15">
        <v>45755</v>
      </c>
    </row>
    <row r="30" spans="1:26">
      <c r="A30" s="4">
        <f>IF(ISNUMBER(SEARCH("营",'19.07'!I30)),(-$Y30+50*IF('19.07'!$AK30="是",'19.07'!$BB$4,'19.07'!$BB$3)),(VLOOKUP('19.07'!I30,'19.07'!$AO$4:$AQ$55,2,FALSE))*IF('19.07'!$AK30="是",'19.07'!$BB$4,'19.07'!$BB$3))</f>
        <v>0</v>
      </c>
      <c r="B30" s="4">
        <f>IF(ISNUMBER(SEARCH("营",'19.07'!J30)),(-$Y30+50*IF('19.07'!$AK30="是",'19.07'!$BB$4,'19.07'!$BB$3)),(VLOOKUP('19.07'!J30,'19.07'!$AO$4:$AQ$55,2,FALSE))*IF('19.07'!$AK30="是",'19.07'!$BB$4,'19.07'!$BB$3))</f>
        <v>0</v>
      </c>
      <c r="C30" s="4">
        <f>IF(ISNUMBER(SEARCH("营",'19.07'!K30)),(-$Y30+50*IF('19.07'!$AK30="是",'19.07'!$BB$4,'19.07'!$BB$3)),(VLOOKUP('19.07'!K30,'19.07'!$AO$4:$AQ$55,2,FALSE))*IF('19.07'!$AK30="是",'19.07'!$BB$4,'19.07'!$BB$3))</f>
        <v>0</v>
      </c>
      <c r="D30" s="4">
        <f>IF(ISNUMBER(SEARCH("营",'19.07'!L30)),(-$Y30+50*IF('19.07'!$AK30="是",'19.07'!$BB$4,'19.07'!$BB$3)),(VLOOKUP('19.07'!L30,'19.07'!$AO$4:$AQ$55,2,FALSE))*IF('19.07'!$AK30="是",'19.07'!$BB$4,'19.07'!$BB$3))</f>
        <v>0</v>
      </c>
      <c r="E30" s="4">
        <f>IF(ISNUMBER(SEARCH("营",'19.07'!M30)),(-$Y30+50*IF('19.07'!$AK30="是",'19.07'!$BB$4,'19.07'!$BB$3)),(VLOOKUP('19.07'!M30,'19.07'!$AO$4:$AQ$55,2,FALSE))*IF('19.07'!$AK30="是",'19.07'!$BB$4,'19.07'!$BB$3))</f>
        <v>0</v>
      </c>
      <c r="F30" s="4">
        <f>IF(ISNUMBER(SEARCH("营",'19.07'!N30)),(-$Y30+50*IF('19.07'!$AK30="是",'19.07'!$BB$4,'19.07'!$BB$3)),(VLOOKUP('19.07'!N30,'19.07'!$AO$4:$AQ$55,2,FALSE))*IF('19.07'!$AK30="是",'19.07'!$BB$4,'19.07'!$BB$3))</f>
        <v>0</v>
      </c>
      <c r="G30" s="4">
        <f>IF(ISNUMBER(SEARCH("营",'19.07'!O30)),(-$Y30+50*IF('19.07'!$AK30="是",'19.07'!$BB$4,'19.07'!$BB$3)),(VLOOKUP('19.07'!O30,'19.07'!$AO$4:$AQ$55,2,FALSE))*IF('19.07'!$AK30="是",'19.07'!$BB$4,'19.07'!$BB$3))</f>
        <v>0</v>
      </c>
      <c r="H30" s="4">
        <f>IF(ISNUMBER(SEARCH("营",'19.07'!P30)),(-$Y30+50*IF('19.07'!$AK30="是",'19.07'!$BB$4,'19.07'!$BB$3)),(VLOOKUP('19.07'!P30,'19.07'!$AO$4:$AQ$55,2,FALSE))*IF('19.07'!$AK30="是",'19.07'!$BB$4,'19.07'!$BB$3))</f>
        <v>0</v>
      </c>
      <c r="I30" s="4">
        <f>IF(ISNUMBER(SEARCH("营",'19.07'!Q30)),(-$Y30+50*IF('19.07'!$AK30="是",'19.07'!$BB$4,'19.07'!$BB$3)),(VLOOKUP('19.07'!Q30,'19.07'!$AO$4:$AQ$55,2,FALSE))*IF('19.07'!$AK30="是",'19.07'!$BB$4,'19.07'!$BB$3))</f>
        <v>40</v>
      </c>
      <c r="J30" s="4">
        <f>IF(ISNUMBER(SEARCH("营",'19.07'!R30)),(-$Y30+50*IF('19.07'!$AK30="是",'19.07'!$BB$4,'19.07'!$BB$3)),(VLOOKUP('19.07'!R30,'19.07'!$AO$4:$AQ$55,2,FALSE))*IF('19.07'!$AK30="是",'19.07'!$BB$4,'19.07'!$BB$3))</f>
        <v>152</v>
      </c>
      <c r="K30" s="4">
        <f>IF(ISNUMBER(SEARCH("营",'19.07'!S30)),(-$Y30+50*IF('19.07'!$AK30="是",'19.07'!$BB$4,'19.07'!$BB$3)),(VLOOKUP('19.07'!S30,'19.07'!$AO$4:$AQ$55,2,FALSE))*IF('19.07'!$AK30="是",'19.07'!$BB$4,'19.07'!$BB$3))</f>
        <v>152</v>
      </c>
      <c r="L30" s="4">
        <f>IF(ISNUMBER(SEARCH("营",'19.07'!T30)),(-$Y30+50*IF('19.07'!$AK30="是",'19.07'!$BB$4,'19.07'!$BB$3)),(VLOOKUP('19.07'!T30,'19.07'!$AO$4:$AQ$55,2,FALSE))*IF('19.07'!$AK30="是",'19.07'!$BB$4,'19.07'!$BB$3))</f>
        <v>152</v>
      </c>
      <c r="M30" s="4">
        <f>IF(ISNUMBER(SEARCH("营",'19.07'!U30)),(-$Y30+50*IF('19.07'!$AK30="是",'19.07'!$BB$4,'19.07'!$BB$3)),(VLOOKUP('19.07'!U30,'19.07'!$AO$4:$AQ$55,2,FALSE))*IF('19.07'!$AK30="是",'19.07'!$BB$4,'19.07'!$BB$3))</f>
        <v>152</v>
      </c>
      <c r="N30" s="4">
        <f>IF(ISNUMBER(SEARCH("营",'19.07'!V30)),(-$Y30+50*IF('19.07'!$AK30="是",'19.07'!$BB$4,'19.07'!$BB$3)),(VLOOKUP('19.07'!V30,'19.07'!$AO$4:$AQ$55,2,FALSE))*IF('19.07'!$AK30="是",'19.07'!$BB$4,'19.07'!$BB$3))</f>
        <v>152</v>
      </c>
      <c r="O30" s="4">
        <f>IF(ISNUMBER(SEARCH("营",'19.07'!W30)),(-$Y30+50*IF('19.07'!$AK30="是",'19.07'!$BB$4,'19.07'!$BB$3)),(VLOOKUP('19.07'!W30,'19.07'!$AO$4:$AQ$55,2,FALSE))*IF('19.07'!$AK30="是",'19.07'!$BB$4,'19.07'!$BB$3))</f>
        <v>152</v>
      </c>
      <c r="P30" s="4">
        <f>IF(ISNUMBER(SEARCH("营",'19.07'!X30)),(-$Y30+50*IF('19.07'!$AK30="是",'19.07'!$BB$4,'19.07'!$BB$3)),(VLOOKUP('19.07'!X30,'19.07'!$AO$4:$AQ$55,2,FALSE))*IF('19.07'!$AK30="是",'19.07'!$BB$4,'19.07'!$BB$3))</f>
        <v>152</v>
      </c>
      <c r="Q30" s="4">
        <f>IF(ISNUMBER(SEARCH("营",'19.07'!Y30)),(-$Y30+50*IF('19.07'!$AK30="是",'19.07'!$BB$4,'19.07'!$BB$3)),(VLOOKUP('19.07'!Y30,'19.07'!$AO$4:$AQ$55,2,FALSE))*IF('19.07'!$AK30="是",'19.07'!$BB$4,'19.07'!$BB$3))</f>
        <v>160</v>
      </c>
      <c r="R30" s="4">
        <f>IF(ISNUMBER(SEARCH("营",'19.07'!Z30)),(-$Y30+50*IF('19.07'!$AK30="是",'19.07'!$BB$4,'19.07'!$BB$3)),(VLOOKUP('19.07'!Z30,'19.07'!$AO$4:$AQ$55,2,FALSE))*IF('19.07'!$AK30="是",'19.07'!$BB$4,'19.07'!$BB$3))</f>
        <v>160</v>
      </c>
      <c r="S30" s="4">
        <f>IF(ISNUMBER(SEARCH("营",'19.07'!AA30)),(-$Y30+50*IF('19.07'!$AK30="是",'19.07'!$BB$4,'19.07'!$BB$3)),(VLOOKUP('19.07'!AA30,'19.07'!$AO$4:$AQ$55,2,FALSE))*IF('19.07'!$AK30="是",'19.07'!$BB$4,'19.07'!$BB$3))</f>
        <v>160</v>
      </c>
      <c r="T30" s="4">
        <f>IF(ISNUMBER(SEARCH("营",'19.07'!AB30)),(-$Y30+50*IF('19.07'!$AK30="是",'19.07'!$BB$4,'19.07'!$BB$3)),(VLOOKUP('19.07'!AB30,'19.07'!$AO$4:$AQ$55,2,FALSE))*IF('19.07'!$AK30="是",'19.07'!$BB$4,'19.07'!$BB$3))</f>
        <v>160</v>
      </c>
      <c r="U30" s="4">
        <f>IF(ISNUMBER(SEARCH("营",'19.07'!AC30)),(-$Y30+50*IF('19.07'!$AK30="是",'19.07'!$BB$4,'19.07'!$BB$3)),(VLOOKUP('19.07'!AC30,'19.07'!$AO$4:$AQ$55,2,FALSE))*IF('19.07'!$AK30="是",'19.07'!$BB$4,'19.07'!$BB$3))</f>
        <v>160</v>
      </c>
      <c r="V30" s="4">
        <f>IF(ISNUMBER(SEARCH("营",'19.07'!AD30)),(-$Y30+50*IF('19.07'!$AK30="是",'19.07'!$BB$4,'19.07'!$BB$3)),(VLOOKUP('19.07'!AD30,'19.07'!$AO$4:$AQ$55,2,FALSE))*IF('19.07'!$AK30="是",'19.07'!$BB$4,'19.07'!$BB$3))</f>
        <v>160</v>
      </c>
      <c r="W30" s="4">
        <f>IF(ISNUMBER(SEARCH("营",'19.07'!AE30)),(-$Y30+50*IF('19.07'!$AK30="是",'19.07'!$BB$4,'19.07'!$BB$3)),(VLOOKUP('19.07'!AE30,'19.07'!$AO$4:$AQ$55,2,FALSE))*IF('19.07'!$AK30="是",'19.07'!$BB$4,'19.07'!$BB$3))</f>
        <v>0</v>
      </c>
      <c r="X30" s="4">
        <f>IF(ISNUMBER(SEARCH("营",'19.07'!AF30)),(-$Y30+50*IF('19.07'!$AK30="是",'19.07'!$BB$4,'19.07'!$BB$3)),(VLOOKUP('19.07'!AF30,'19.07'!$AO$4:$AQ$55,2,FALSE))*IF('19.07'!$AK30="是",'19.07'!$BB$4,'19.07'!$BB$3))</f>
        <v>0</v>
      </c>
      <c r="Y30" s="18">
        <v>200</v>
      </c>
      <c r="Z30" s="15">
        <v>45756</v>
      </c>
    </row>
    <row r="31" spans="1:26">
      <c r="A31" s="4">
        <f>IF(ISNUMBER(SEARCH("营",'19.07'!I31)),(-$Y31+50*IF('19.07'!$AK31="是",'19.07'!$BB$4,'19.07'!$BB$3)),(VLOOKUP('19.07'!I31,'19.07'!$AO$4:$AQ$55,2,FALSE))*IF('19.07'!$AK31="是",'19.07'!$BB$4,'19.07'!$BB$3))</f>
        <v>0</v>
      </c>
      <c r="B31" s="4">
        <f>IF(ISNUMBER(SEARCH("营",'19.07'!J31)),(-$Y31+50*IF('19.07'!$AK31="是",'19.07'!$BB$4,'19.07'!$BB$3)),(VLOOKUP('19.07'!J31,'19.07'!$AO$4:$AQ$55,2,FALSE))*IF('19.07'!$AK31="是",'19.07'!$BB$4,'19.07'!$BB$3))</f>
        <v>0</v>
      </c>
      <c r="C31" s="4">
        <f>IF(ISNUMBER(SEARCH("营",'19.07'!K31)),(-$Y31+50*IF('19.07'!$AK31="是",'19.07'!$BB$4,'19.07'!$BB$3)),(VLOOKUP('19.07'!K31,'19.07'!$AO$4:$AQ$55,2,FALSE))*IF('19.07'!$AK31="是",'19.07'!$BB$4,'19.07'!$BB$3))</f>
        <v>0</v>
      </c>
      <c r="D31" s="4">
        <f>IF(ISNUMBER(SEARCH("营",'19.07'!L31)),(-$Y31+50*IF('19.07'!$AK31="是",'19.07'!$BB$4,'19.07'!$BB$3)),(VLOOKUP('19.07'!L31,'19.07'!$AO$4:$AQ$55,2,FALSE))*IF('19.07'!$AK31="是",'19.07'!$BB$4,'19.07'!$BB$3))</f>
        <v>0</v>
      </c>
      <c r="E31" s="4">
        <f>IF(ISNUMBER(SEARCH("营",'19.07'!M31)),(-$Y31+50*IF('19.07'!$AK31="是",'19.07'!$BB$4,'19.07'!$BB$3)),(VLOOKUP('19.07'!M31,'19.07'!$AO$4:$AQ$55,2,FALSE))*IF('19.07'!$AK31="是",'19.07'!$BB$4,'19.07'!$BB$3))</f>
        <v>0</v>
      </c>
      <c r="F31" s="4">
        <f>IF(ISNUMBER(SEARCH("营",'19.07'!N31)),(-$Y31+50*IF('19.07'!$AK31="是",'19.07'!$BB$4,'19.07'!$BB$3)),(VLOOKUP('19.07'!N31,'19.07'!$AO$4:$AQ$55,2,FALSE))*IF('19.07'!$AK31="是",'19.07'!$BB$4,'19.07'!$BB$3))</f>
        <v>0</v>
      </c>
      <c r="G31" s="4">
        <f>IF(ISNUMBER(SEARCH("营",'19.07'!O31)),(-$Y31+50*IF('19.07'!$AK31="是",'19.07'!$BB$4,'19.07'!$BB$3)),(VLOOKUP('19.07'!O31,'19.07'!$AO$4:$AQ$55,2,FALSE))*IF('19.07'!$AK31="是",'19.07'!$BB$4,'19.07'!$BB$3))</f>
        <v>0</v>
      </c>
      <c r="H31" s="4">
        <f>IF(ISNUMBER(SEARCH("营",'19.07'!P31)),(-$Y31+50*IF('19.07'!$AK31="是",'19.07'!$BB$4,'19.07'!$BB$3)),(VLOOKUP('19.07'!P31,'19.07'!$AO$4:$AQ$55,2,FALSE))*IF('19.07'!$AK31="是",'19.07'!$BB$4,'19.07'!$BB$3))</f>
        <v>0</v>
      </c>
      <c r="I31" s="4">
        <f>IF(ISNUMBER(SEARCH("营",'19.07'!Q31)),(-$Y31+50*IF('19.07'!$AK31="是",'19.07'!$BB$4,'19.07'!$BB$3)),(VLOOKUP('19.07'!Q31,'19.07'!$AO$4:$AQ$55,2,FALSE))*IF('19.07'!$AK31="是",'19.07'!$BB$4,'19.07'!$BB$3))</f>
        <v>152</v>
      </c>
      <c r="J31" s="4">
        <f>IF(ISNUMBER(SEARCH("营",'19.07'!R31)),(-$Y31+50*IF('19.07'!$AK31="是",'19.07'!$BB$4,'19.07'!$BB$3)),(VLOOKUP('19.07'!R31,'19.07'!$AO$4:$AQ$55,2,FALSE))*IF('19.07'!$AK31="是",'19.07'!$BB$4,'19.07'!$BB$3))</f>
        <v>152</v>
      </c>
      <c r="K31" s="4">
        <f>IF(ISNUMBER(SEARCH("营",'19.07'!S31)),(-$Y31+50*IF('19.07'!$AK31="是",'19.07'!$BB$4,'19.07'!$BB$3)),(VLOOKUP('19.07'!S31,'19.07'!$AO$4:$AQ$55,2,FALSE))*IF('19.07'!$AK31="是",'19.07'!$BB$4,'19.07'!$BB$3))</f>
        <v>152</v>
      </c>
      <c r="L31" s="4">
        <f>IF(ISNUMBER(SEARCH("营",'19.07'!T31)),(-$Y31+50*IF('19.07'!$AK31="是",'19.07'!$BB$4,'19.07'!$BB$3)),(VLOOKUP('19.07'!T31,'19.07'!$AO$4:$AQ$55,2,FALSE))*IF('19.07'!$AK31="是",'19.07'!$BB$4,'19.07'!$BB$3))</f>
        <v>152</v>
      </c>
      <c r="M31" s="4">
        <f>IF(ISNUMBER(SEARCH("营",'19.07'!U31)),(-$Y31+50*IF('19.07'!$AK31="是",'19.07'!$BB$4,'19.07'!$BB$3)),(VLOOKUP('19.07'!U31,'19.07'!$AO$4:$AQ$55,2,FALSE))*IF('19.07'!$AK31="是",'19.07'!$BB$4,'19.07'!$BB$3))</f>
        <v>152</v>
      </c>
      <c r="N31" s="4">
        <f>IF(ISNUMBER(SEARCH("营",'19.07'!V31)),(-$Y31+50*IF('19.07'!$AK31="是",'19.07'!$BB$4,'19.07'!$BB$3)),(VLOOKUP('19.07'!V31,'19.07'!$AO$4:$AQ$55,2,FALSE))*IF('19.07'!$AK31="是",'19.07'!$BB$4,'19.07'!$BB$3))</f>
        <v>120</v>
      </c>
      <c r="O31" s="4">
        <f>IF(ISNUMBER(SEARCH("营",'19.07'!W31)),(-$Y31+50*IF('19.07'!$AK31="是",'19.07'!$BB$4,'19.07'!$BB$3)),(VLOOKUP('19.07'!W31,'19.07'!$AO$4:$AQ$55,2,FALSE))*IF('19.07'!$AK31="是",'19.07'!$BB$4,'19.07'!$BB$3))</f>
        <v>152</v>
      </c>
      <c r="P31" s="4">
        <f>IF(ISNUMBER(SEARCH("营",'19.07'!X31)),(-$Y31+50*IF('19.07'!$AK31="是",'19.07'!$BB$4,'19.07'!$BB$3)),(VLOOKUP('19.07'!X31,'19.07'!$AO$4:$AQ$55,2,FALSE))*IF('19.07'!$AK31="是",'19.07'!$BB$4,'19.07'!$BB$3))</f>
        <v>152</v>
      </c>
      <c r="Q31" s="4">
        <f>IF(ISNUMBER(SEARCH("营",'19.07'!Y31)),(-$Y31+50*IF('19.07'!$AK31="是",'19.07'!$BB$4,'19.07'!$BB$3)),(VLOOKUP('19.07'!Y31,'19.07'!$AO$4:$AQ$55,2,FALSE))*IF('19.07'!$AK31="是",'19.07'!$BB$4,'19.07'!$BB$3))</f>
        <v>160</v>
      </c>
      <c r="R31" s="4">
        <f>IF(ISNUMBER(SEARCH("营",'19.07'!Z31)),(-$Y31+50*IF('19.07'!$AK31="是",'19.07'!$BB$4,'19.07'!$BB$3)),(VLOOKUP('19.07'!Z31,'19.07'!$AO$4:$AQ$55,2,FALSE))*IF('19.07'!$AK31="是",'19.07'!$BB$4,'19.07'!$BB$3))</f>
        <v>160</v>
      </c>
      <c r="S31" s="4">
        <f>IF(ISNUMBER(SEARCH("营",'19.07'!AA31)),(-$Y31+50*IF('19.07'!$AK31="是",'19.07'!$BB$4,'19.07'!$BB$3)),(VLOOKUP('19.07'!AA31,'19.07'!$AO$4:$AQ$55,2,FALSE))*IF('19.07'!$AK31="是",'19.07'!$BB$4,'19.07'!$BB$3))</f>
        <v>160</v>
      </c>
      <c r="T31" s="4">
        <f>IF(ISNUMBER(SEARCH("营",'19.07'!AB31)),(-$Y31+50*IF('19.07'!$AK31="是",'19.07'!$BB$4,'19.07'!$BB$3)),(VLOOKUP('19.07'!AB31,'19.07'!$AO$4:$AQ$55,2,FALSE))*IF('19.07'!$AK31="是",'19.07'!$BB$4,'19.07'!$BB$3))</f>
        <v>160</v>
      </c>
      <c r="U31" s="4">
        <f>IF(ISNUMBER(SEARCH("营",'19.07'!AC31)),(-$Y31+50*IF('19.07'!$AK31="是",'19.07'!$BB$4,'19.07'!$BB$3)),(VLOOKUP('19.07'!AC31,'19.07'!$AO$4:$AQ$55,2,FALSE))*IF('19.07'!$AK31="是",'19.07'!$BB$4,'19.07'!$BB$3))</f>
        <v>160</v>
      </c>
      <c r="V31" s="4">
        <f>IF(ISNUMBER(SEARCH("营",'19.07'!AD31)),(-$Y31+50*IF('19.07'!$AK31="是",'19.07'!$BB$4,'19.07'!$BB$3)),(VLOOKUP('19.07'!AD31,'19.07'!$AO$4:$AQ$55,2,FALSE))*IF('19.07'!$AK31="是",'19.07'!$BB$4,'19.07'!$BB$3))</f>
        <v>160</v>
      </c>
      <c r="W31" s="4">
        <f>IF(ISNUMBER(SEARCH("营",'19.07'!AE31)),(-$Y31+50*IF('19.07'!$AK31="是",'19.07'!$BB$4,'19.07'!$BB$3)),(VLOOKUP('19.07'!AE31,'19.07'!$AO$4:$AQ$55,2,FALSE))*IF('19.07'!$AK31="是",'19.07'!$BB$4,'19.07'!$BB$3))</f>
        <v>0</v>
      </c>
      <c r="X31" s="4">
        <f>IF(ISNUMBER(SEARCH("营",'19.07'!AF31)),(-$Y31+50*IF('19.07'!$AK31="是",'19.07'!$BB$4,'19.07'!$BB$3)),(VLOOKUP('19.07'!AF31,'19.07'!$AO$4:$AQ$55,2,FALSE))*IF('19.07'!$AK31="是",'19.07'!$BB$4,'19.07'!$BB$3))</f>
        <v>0</v>
      </c>
      <c r="Y31" s="18">
        <v>200</v>
      </c>
      <c r="Z31" s="15">
        <v>45757</v>
      </c>
    </row>
    <row r="32" spans="1:26">
      <c r="A32" s="4">
        <f>IF(ISNUMBER(SEARCH("营",'19.07'!I32)),(-$Y32+50*IF('19.07'!$AK32="是",'19.07'!$BB$4,'19.07'!$BB$3)),(VLOOKUP('19.07'!I32,'19.07'!$AO$4:$AQ$55,2,FALSE))*IF('19.07'!$AK32="是",'19.07'!$BB$4,'19.07'!$BB$3))</f>
        <v>0</v>
      </c>
      <c r="B32" s="4">
        <f>IF(ISNUMBER(SEARCH("营",'19.07'!J32)),(-$Y32+50*IF('19.07'!$AK32="是",'19.07'!$BB$4,'19.07'!$BB$3)),(VLOOKUP('19.07'!J32,'19.07'!$AO$4:$AQ$55,2,FALSE))*IF('19.07'!$AK32="是",'19.07'!$BB$4,'19.07'!$BB$3))</f>
        <v>0</v>
      </c>
      <c r="C32" s="4">
        <f>IF(ISNUMBER(SEARCH("营",'19.07'!K32)),(-$Y32+50*IF('19.07'!$AK32="是",'19.07'!$BB$4,'19.07'!$BB$3)),(VLOOKUP('19.07'!K32,'19.07'!$AO$4:$AQ$55,2,FALSE))*IF('19.07'!$AK32="是",'19.07'!$BB$4,'19.07'!$BB$3))</f>
        <v>0</v>
      </c>
      <c r="D32" s="4">
        <f>IF(ISNUMBER(SEARCH("营",'19.07'!L32)),(-$Y32+50*IF('19.07'!$AK32="是",'19.07'!$BB$4,'19.07'!$BB$3)),(VLOOKUP('19.07'!L32,'19.07'!$AO$4:$AQ$55,2,FALSE))*IF('19.07'!$AK32="是",'19.07'!$BB$4,'19.07'!$BB$3))</f>
        <v>0</v>
      </c>
      <c r="E32" s="4">
        <f>IF(ISNUMBER(SEARCH("营",'19.07'!M32)),(-$Y32+50*IF('19.07'!$AK32="是",'19.07'!$BB$4,'19.07'!$BB$3)),(VLOOKUP('19.07'!M32,'19.07'!$AO$4:$AQ$55,2,FALSE))*IF('19.07'!$AK32="是",'19.07'!$BB$4,'19.07'!$BB$3))</f>
        <v>0</v>
      </c>
      <c r="F32" s="4">
        <f>IF(ISNUMBER(SEARCH("营",'19.07'!N32)),(-$Y32+50*IF('19.07'!$AK32="是",'19.07'!$BB$4,'19.07'!$BB$3)),(VLOOKUP('19.07'!N32,'19.07'!$AO$4:$AQ$55,2,FALSE))*IF('19.07'!$AK32="是",'19.07'!$BB$4,'19.07'!$BB$3))</f>
        <v>0</v>
      </c>
      <c r="G32" s="4">
        <f>IF(ISNUMBER(SEARCH("营",'19.07'!O32)),(-$Y32+50*IF('19.07'!$AK32="是",'19.07'!$BB$4,'19.07'!$BB$3)),(VLOOKUP('19.07'!O32,'19.07'!$AO$4:$AQ$55,2,FALSE))*IF('19.07'!$AK32="是",'19.07'!$BB$4,'19.07'!$BB$3))</f>
        <v>0</v>
      </c>
      <c r="H32" s="4">
        <f>IF(ISNUMBER(SEARCH("营",'19.07'!P32)),(-$Y32+50*IF('19.07'!$AK32="是",'19.07'!$BB$4,'19.07'!$BB$3)),(VLOOKUP('19.07'!P32,'19.07'!$AO$4:$AQ$55,2,FALSE))*IF('19.07'!$AK32="是",'19.07'!$BB$4,'19.07'!$BB$3))</f>
        <v>0</v>
      </c>
      <c r="I32" s="4">
        <f>IF(ISNUMBER(SEARCH("营",'19.07'!Q32)),(-$Y32+50*IF('19.07'!$AK32="是",'19.07'!$BB$4,'19.07'!$BB$3)),(VLOOKUP('19.07'!Q32,'19.07'!$AO$4:$AQ$55,2,FALSE))*IF('19.07'!$AK32="是",'19.07'!$BB$4,'19.07'!$BB$3))</f>
        <v>152</v>
      </c>
      <c r="J32" s="4">
        <f>IF(ISNUMBER(SEARCH("营",'19.07'!R32)),(-$Y32+50*IF('19.07'!$AK32="是",'19.07'!$BB$4,'19.07'!$BB$3)),(VLOOKUP('19.07'!R32,'19.07'!$AO$4:$AQ$55,2,FALSE))*IF('19.07'!$AK32="是",'19.07'!$BB$4,'19.07'!$BB$3))</f>
        <v>152</v>
      </c>
      <c r="K32" s="4">
        <f>IF(ISNUMBER(SEARCH("营",'19.07'!S32)),(-$Y32+50*IF('19.07'!$AK32="是",'19.07'!$BB$4,'19.07'!$BB$3)),(VLOOKUP('19.07'!S32,'19.07'!$AO$4:$AQ$55,2,FALSE))*IF('19.07'!$AK32="是",'19.07'!$BB$4,'19.07'!$BB$3))</f>
        <v>152</v>
      </c>
      <c r="L32" s="4">
        <f>IF(ISNUMBER(SEARCH("营",'19.07'!T32)),(-$Y32+50*IF('19.07'!$AK32="是",'19.07'!$BB$4,'19.07'!$BB$3)),(VLOOKUP('19.07'!T32,'19.07'!$AO$4:$AQ$55,2,FALSE))*IF('19.07'!$AK32="是",'19.07'!$BB$4,'19.07'!$BB$3))</f>
        <v>152</v>
      </c>
      <c r="M32" s="4">
        <f>IF(ISNUMBER(SEARCH("营",'19.07'!U32)),(-$Y32+50*IF('19.07'!$AK32="是",'19.07'!$BB$4,'19.07'!$BB$3)),(VLOOKUP('19.07'!U32,'19.07'!$AO$4:$AQ$55,2,FALSE))*IF('19.07'!$AK32="是",'19.07'!$BB$4,'19.07'!$BB$3))</f>
        <v>152</v>
      </c>
      <c r="N32" s="4">
        <f>IF(ISNUMBER(SEARCH("营",'19.07'!V32)),(-$Y32+50*IF('19.07'!$AK32="是",'19.07'!$BB$4,'19.07'!$BB$3)),(VLOOKUP('19.07'!V32,'19.07'!$AO$4:$AQ$55,2,FALSE))*IF('19.07'!$AK32="是",'19.07'!$BB$4,'19.07'!$BB$3))</f>
        <v>152</v>
      </c>
      <c r="O32" s="4">
        <f>IF(ISNUMBER(SEARCH("营",'19.07'!W32)),(-$Y32+50*IF('19.07'!$AK32="是",'19.07'!$BB$4,'19.07'!$BB$3)),(VLOOKUP('19.07'!W32,'19.07'!$AO$4:$AQ$55,2,FALSE))*IF('19.07'!$AK32="是",'19.07'!$BB$4,'19.07'!$BB$3))</f>
        <v>152</v>
      </c>
      <c r="P32" s="4">
        <f>IF(ISNUMBER(SEARCH("营",'19.07'!X32)),(-$Y32+50*IF('19.07'!$AK32="是",'19.07'!$BB$4,'19.07'!$BB$3)),(VLOOKUP('19.07'!X32,'19.07'!$AO$4:$AQ$55,2,FALSE))*IF('19.07'!$AK32="是",'19.07'!$BB$4,'19.07'!$BB$3))</f>
        <v>152</v>
      </c>
      <c r="Q32" s="4">
        <f>IF(ISNUMBER(SEARCH("营",'19.07'!Y32)),(-$Y32+50*IF('19.07'!$AK32="是",'19.07'!$BB$4,'19.07'!$BB$3)),(VLOOKUP('19.07'!Y32,'19.07'!$AO$4:$AQ$55,2,FALSE))*IF('19.07'!$AK32="是",'19.07'!$BB$4,'19.07'!$BB$3))</f>
        <v>160</v>
      </c>
      <c r="R32" s="4">
        <f>IF(ISNUMBER(SEARCH("营",'19.07'!Z32)),(-$Y32+50*IF('19.07'!$AK32="是",'19.07'!$BB$4,'19.07'!$BB$3)),(VLOOKUP('19.07'!Z32,'19.07'!$AO$4:$AQ$55,2,FALSE))*IF('19.07'!$AK32="是",'19.07'!$BB$4,'19.07'!$BB$3))</f>
        <v>160</v>
      </c>
      <c r="S32" s="4">
        <f>IF(ISNUMBER(SEARCH("营",'19.07'!AA32)),(-$Y32+50*IF('19.07'!$AK32="是",'19.07'!$BB$4,'19.07'!$BB$3)),(VLOOKUP('19.07'!AA32,'19.07'!$AO$4:$AQ$55,2,FALSE))*IF('19.07'!$AK32="是",'19.07'!$BB$4,'19.07'!$BB$3))</f>
        <v>160</v>
      </c>
      <c r="T32" s="4">
        <f>IF(ISNUMBER(SEARCH("营",'19.07'!AB32)),(-$Y32+50*IF('19.07'!$AK32="是",'19.07'!$BB$4,'19.07'!$BB$3)),(VLOOKUP('19.07'!AB32,'19.07'!$AO$4:$AQ$55,2,FALSE))*IF('19.07'!$AK32="是",'19.07'!$BB$4,'19.07'!$BB$3))</f>
        <v>-160</v>
      </c>
      <c r="U32" s="4">
        <f>IF(ISNUMBER(SEARCH("营",'19.07'!AC32)),(-$Y32+50*IF('19.07'!$AK32="是",'19.07'!$BB$4,'19.07'!$BB$3)),(VLOOKUP('19.07'!AC32,'19.07'!$AO$4:$AQ$55,2,FALSE))*IF('19.07'!$AK32="是",'19.07'!$BB$4,'19.07'!$BB$3))</f>
        <v>0</v>
      </c>
      <c r="V32" s="4">
        <f>IF(ISNUMBER(SEARCH("营",'19.07'!AD32)),(-$Y32+50*IF('19.07'!$AK32="是",'19.07'!$BB$4,'19.07'!$BB$3)),(VLOOKUP('19.07'!AD32,'19.07'!$AO$4:$AQ$55,2,FALSE))*IF('19.07'!$AK32="是",'19.07'!$BB$4,'19.07'!$BB$3))</f>
        <v>0</v>
      </c>
      <c r="W32" s="4">
        <f>IF(ISNUMBER(SEARCH("营",'19.07'!AE32)),(-$Y32+50*IF('19.07'!$AK32="是",'19.07'!$BB$4,'19.07'!$BB$3)),(VLOOKUP('19.07'!AE32,'19.07'!$AO$4:$AQ$55,2,FALSE))*IF('19.07'!$AK32="是",'19.07'!$BB$4,'19.07'!$BB$3))</f>
        <v>0</v>
      </c>
      <c r="X32" s="4">
        <f>IF(ISNUMBER(SEARCH("营",'19.07'!AF32)),(-$Y32+50*IF('19.07'!$AK32="是",'19.07'!$BB$4,'19.07'!$BB$3)),(VLOOKUP('19.07'!AF32,'19.07'!$AO$4:$AQ$55,2,FALSE))*IF('19.07'!$AK32="是",'19.07'!$BB$4,'19.07'!$BB$3))</f>
        <v>0</v>
      </c>
      <c r="Y32" s="18">
        <v>200</v>
      </c>
      <c r="Z32" s="15">
        <v>45758</v>
      </c>
    </row>
    <row r="33" spans="1:26">
      <c r="A33" s="4">
        <f>IF(ISNUMBER(SEARCH("营",'19.07'!I33)),(-$Y33+50*IF('19.07'!$AK33="是",'19.07'!$BB$4,'19.07'!$BB$3)),(VLOOKUP('19.07'!I33,'19.07'!$AO$4:$AQ$55,2,FALSE))*IF('19.07'!$AK33="是",'19.07'!$BB$4,'19.07'!$BB$3))</f>
        <v>0</v>
      </c>
      <c r="B33" s="4">
        <f>IF(ISNUMBER(SEARCH("营",'19.07'!J33)),(-$Y33+50*IF('19.07'!$AK33="是",'19.07'!$BB$4,'19.07'!$BB$3)),(VLOOKUP('19.07'!J33,'19.07'!$AO$4:$AQ$55,2,FALSE))*IF('19.07'!$AK33="是",'19.07'!$BB$4,'19.07'!$BB$3))</f>
        <v>0</v>
      </c>
      <c r="C33" s="4">
        <f>IF(ISNUMBER(SEARCH("营",'19.07'!K33)),(-$Y33+50*IF('19.07'!$AK33="是",'19.07'!$BB$4,'19.07'!$BB$3)),(VLOOKUP('19.07'!K33,'19.07'!$AO$4:$AQ$55,2,FALSE))*IF('19.07'!$AK33="是",'19.07'!$BB$4,'19.07'!$BB$3))</f>
        <v>0</v>
      </c>
      <c r="D33" s="4">
        <f>IF(ISNUMBER(SEARCH("营",'19.07'!L33)),(-$Y33+50*IF('19.07'!$AK33="是",'19.07'!$BB$4,'19.07'!$BB$3)),(VLOOKUP('19.07'!L33,'19.07'!$AO$4:$AQ$55,2,FALSE))*IF('19.07'!$AK33="是",'19.07'!$BB$4,'19.07'!$BB$3))</f>
        <v>0</v>
      </c>
      <c r="E33" s="4">
        <f>IF(ISNUMBER(SEARCH("营",'19.07'!M33)),(-$Y33+50*IF('19.07'!$AK33="是",'19.07'!$BB$4,'19.07'!$BB$3)),(VLOOKUP('19.07'!M33,'19.07'!$AO$4:$AQ$55,2,FALSE))*IF('19.07'!$AK33="是",'19.07'!$BB$4,'19.07'!$BB$3))</f>
        <v>0</v>
      </c>
      <c r="F33" s="4">
        <f>IF(ISNUMBER(SEARCH("营",'19.07'!N33)),(-$Y33+50*IF('19.07'!$AK33="是",'19.07'!$BB$4,'19.07'!$BB$3)),(VLOOKUP('19.07'!N33,'19.07'!$AO$4:$AQ$55,2,FALSE))*IF('19.07'!$AK33="是",'19.07'!$BB$4,'19.07'!$BB$3))</f>
        <v>0</v>
      </c>
      <c r="G33" s="4">
        <f>IF(ISNUMBER(SEARCH("营",'19.07'!O33)),(-$Y33+50*IF('19.07'!$AK33="是",'19.07'!$BB$4,'19.07'!$BB$3)),(VLOOKUP('19.07'!O33,'19.07'!$AO$4:$AQ$55,2,FALSE))*IF('19.07'!$AK33="是",'19.07'!$BB$4,'19.07'!$BB$3))</f>
        <v>0</v>
      </c>
      <c r="H33" s="4">
        <f>IF(ISNUMBER(SEARCH("营",'19.07'!P33)),(-$Y33+50*IF('19.07'!$AK33="是",'19.07'!$BB$4,'19.07'!$BB$3)),(VLOOKUP('19.07'!P33,'19.07'!$AO$4:$AQ$55,2,FALSE))*IF('19.07'!$AK33="是",'19.07'!$BB$4,'19.07'!$BB$3))</f>
        <v>0</v>
      </c>
      <c r="I33" s="4">
        <f>IF(ISNUMBER(SEARCH("营",'19.07'!Q33)),(-$Y33+50*IF('19.07'!$AK33="是",'19.07'!$BB$4,'19.07'!$BB$3)),(VLOOKUP('19.07'!Q33,'19.07'!$AO$4:$AQ$55,2,FALSE))*IF('19.07'!$AK33="是",'19.07'!$BB$4,'19.07'!$BB$3))</f>
        <v>152</v>
      </c>
      <c r="J33" s="4">
        <f>IF(ISNUMBER(SEARCH("营",'19.07'!R33)),(-$Y33+50*IF('19.07'!$AK33="是",'19.07'!$BB$4,'19.07'!$BB$3)),(VLOOKUP('19.07'!R33,'19.07'!$AO$4:$AQ$55,2,FALSE))*IF('19.07'!$AK33="是",'19.07'!$BB$4,'19.07'!$BB$3))</f>
        <v>152</v>
      </c>
      <c r="K33" s="4">
        <f>IF(ISNUMBER(SEARCH("营",'19.07'!S33)),(-$Y33+50*IF('19.07'!$AK33="是",'19.07'!$BB$4,'19.07'!$BB$3)),(VLOOKUP('19.07'!S33,'19.07'!$AO$4:$AQ$55,2,FALSE))*IF('19.07'!$AK33="是",'19.07'!$BB$4,'19.07'!$BB$3))</f>
        <v>152</v>
      </c>
      <c r="L33" s="4">
        <f>IF(ISNUMBER(SEARCH("营",'19.07'!T33)),(-$Y33+50*IF('19.07'!$AK33="是",'19.07'!$BB$4,'19.07'!$BB$3)),(VLOOKUP('19.07'!T33,'19.07'!$AO$4:$AQ$55,2,FALSE))*IF('19.07'!$AK33="是",'19.07'!$BB$4,'19.07'!$BB$3))</f>
        <v>152</v>
      </c>
      <c r="M33" s="4">
        <f>IF(ISNUMBER(SEARCH("营",'19.07'!U33)),(-$Y33+50*IF('19.07'!$AK33="是",'19.07'!$BB$4,'19.07'!$BB$3)),(VLOOKUP('19.07'!U33,'19.07'!$AO$4:$AQ$55,2,FALSE))*IF('19.07'!$AK33="是",'19.07'!$BB$4,'19.07'!$BB$3))</f>
        <v>152</v>
      </c>
      <c r="N33" s="4">
        <f>IF(ISNUMBER(SEARCH("营",'19.07'!V33)),(-$Y33+50*IF('19.07'!$AK33="是",'19.07'!$BB$4,'19.07'!$BB$3)),(VLOOKUP('19.07'!V33,'19.07'!$AO$4:$AQ$55,2,FALSE))*IF('19.07'!$AK33="是",'19.07'!$BB$4,'19.07'!$BB$3))</f>
        <v>152</v>
      </c>
      <c r="O33" s="4">
        <f>IF(ISNUMBER(SEARCH("营",'19.07'!W33)),(-$Y33+50*IF('19.07'!$AK33="是",'19.07'!$BB$4,'19.07'!$BB$3)),(VLOOKUP('19.07'!W33,'19.07'!$AO$4:$AQ$55,2,FALSE))*IF('19.07'!$AK33="是",'19.07'!$BB$4,'19.07'!$BB$3))</f>
        <v>0</v>
      </c>
      <c r="P33" s="4">
        <f>IF(ISNUMBER(SEARCH("营",'19.07'!X33)),(-$Y33+50*IF('19.07'!$AK33="是",'19.07'!$BB$4,'19.07'!$BB$3)),(VLOOKUP('19.07'!X33,'19.07'!$AO$4:$AQ$55,2,FALSE))*IF('19.07'!$AK33="是",'19.07'!$BB$4,'19.07'!$BB$3))</f>
        <v>0</v>
      </c>
      <c r="Q33" s="4">
        <f>IF(ISNUMBER(SEARCH("营",'19.07'!Y33)),(-$Y33+50*IF('19.07'!$AK33="是",'19.07'!$BB$4,'19.07'!$BB$3)),(VLOOKUP('19.07'!Y33,'19.07'!$AO$4:$AQ$55,2,FALSE))*IF('19.07'!$AK33="是",'19.07'!$BB$4,'19.07'!$BB$3))</f>
        <v>0</v>
      </c>
      <c r="R33" s="4">
        <f>IF(ISNUMBER(SEARCH("营",'19.07'!Z33)),(-$Y33+50*IF('19.07'!$AK33="是",'19.07'!$BB$4,'19.07'!$BB$3)),(VLOOKUP('19.07'!Z33,'19.07'!$AO$4:$AQ$55,2,FALSE))*IF('19.07'!$AK33="是",'19.07'!$BB$4,'19.07'!$BB$3))</f>
        <v>0</v>
      </c>
      <c r="S33" s="4">
        <f>IF(ISNUMBER(SEARCH("营",'19.07'!AA33)),(-$Y33+50*IF('19.07'!$AK33="是",'19.07'!$BB$4,'19.07'!$BB$3)),(VLOOKUP('19.07'!AA33,'19.07'!$AO$4:$AQ$55,2,FALSE))*IF('19.07'!$AK33="是",'19.07'!$BB$4,'19.07'!$BB$3))</f>
        <v>0</v>
      </c>
      <c r="T33" s="4">
        <f>IF(ISNUMBER(SEARCH("营",'19.07'!AB33)),(-$Y33+50*IF('19.07'!$AK33="是",'19.07'!$BB$4,'19.07'!$BB$3)),(VLOOKUP('19.07'!AB33,'19.07'!$AO$4:$AQ$55,2,FALSE))*IF('19.07'!$AK33="是",'19.07'!$BB$4,'19.07'!$BB$3))</f>
        <v>0</v>
      </c>
      <c r="U33" s="4">
        <f>IF(ISNUMBER(SEARCH("营",'19.07'!AC33)),(-$Y33+50*IF('19.07'!$AK33="是",'19.07'!$BB$4,'19.07'!$BB$3)),(VLOOKUP('19.07'!AC33,'19.07'!$AO$4:$AQ$55,2,FALSE))*IF('19.07'!$AK33="是",'19.07'!$BB$4,'19.07'!$BB$3))</f>
        <v>0</v>
      </c>
      <c r="V33" s="4">
        <f>IF(ISNUMBER(SEARCH("营",'19.07'!AD33)),(-$Y33+50*IF('19.07'!$AK33="是",'19.07'!$BB$4,'19.07'!$BB$3)),(VLOOKUP('19.07'!AD33,'19.07'!$AO$4:$AQ$55,2,FALSE))*IF('19.07'!$AK33="是",'19.07'!$BB$4,'19.07'!$BB$3))</f>
        <v>0</v>
      </c>
      <c r="W33" s="4">
        <f>IF(ISNUMBER(SEARCH("营",'19.07'!AE33)),(-$Y33+50*IF('19.07'!$AK33="是",'19.07'!$BB$4,'19.07'!$BB$3)),(VLOOKUP('19.07'!AE33,'19.07'!$AO$4:$AQ$55,2,FALSE))*IF('19.07'!$AK33="是",'19.07'!$BB$4,'19.07'!$BB$3))</f>
        <v>0</v>
      </c>
      <c r="X33" s="4">
        <f>IF(ISNUMBER(SEARCH("营",'19.07'!AF33)),(-$Y33+50*IF('19.07'!$AK33="是",'19.07'!$BB$4,'19.07'!$BB$3)),(VLOOKUP('19.07'!AF33,'19.07'!$AO$4:$AQ$55,2,FALSE))*IF('19.07'!$AK33="是",'19.07'!$BB$4,'19.07'!$BB$3))</f>
        <v>0</v>
      </c>
      <c r="Y33" s="18">
        <v>200</v>
      </c>
      <c r="Z33" s="15">
        <v>45759</v>
      </c>
    </row>
    <row r="34" spans="1:26">
      <c r="A34" s="4">
        <f>IF(ISNUMBER(SEARCH("营",'19.07'!I34)),(-$Y34+50*IF('19.07'!$AK34="是",'19.07'!$BB$4,'19.07'!$BB$3)),(VLOOKUP('19.07'!I34,'19.07'!$AO$4:$AQ$55,2,FALSE))*IF('19.07'!$AK34="是",'19.07'!$BB$4,'19.07'!$BB$3))</f>
        <v>0</v>
      </c>
      <c r="B34" s="4">
        <f>IF(ISNUMBER(SEARCH("营",'19.07'!J34)),(-$Y34+50*IF('19.07'!$AK34="是",'19.07'!$BB$4,'19.07'!$BB$3)),(VLOOKUP('19.07'!J34,'19.07'!$AO$4:$AQ$55,2,FALSE))*IF('19.07'!$AK34="是",'19.07'!$BB$4,'19.07'!$BB$3))</f>
        <v>0</v>
      </c>
      <c r="C34" s="4">
        <f>IF(ISNUMBER(SEARCH("营",'19.07'!K34)),(-$Y34+50*IF('19.07'!$AK34="是",'19.07'!$BB$4,'19.07'!$BB$3)),(VLOOKUP('19.07'!K34,'19.07'!$AO$4:$AQ$55,2,FALSE))*IF('19.07'!$AK34="是",'19.07'!$BB$4,'19.07'!$BB$3))</f>
        <v>0</v>
      </c>
      <c r="D34" s="4">
        <f>IF(ISNUMBER(SEARCH("营",'19.07'!L34)),(-$Y34+50*IF('19.07'!$AK34="是",'19.07'!$BB$4,'19.07'!$BB$3)),(VLOOKUP('19.07'!L34,'19.07'!$AO$4:$AQ$55,2,FALSE))*IF('19.07'!$AK34="是",'19.07'!$BB$4,'19.07'!$BB$3))</f>
        <v>0</v>
      </c>
      <c r="E34" s="4">
        <f>IF(ISNUMBER(SEARCH("营",'19.07'!M34)),(-$Y34+50*IF('19.07'!$AK34="是",'19.07'!$BB$4,'19.07'!$BB$3)),(VLOOKUP('19.07'!M34,'19.07'!$AO$4:$AQ$55,2,FALSE))*IF('19.07'!$AK34="是",'19.07'!$BB$4,'19.07'!$BB$3))</f>
        <v>0</v>
      </c>
      <c r="F34" s="4">
        <f>IF(ISNUMBER(SEARCH("营",'19.07'!N34)),(-$Y34+50*IF('19.07'!$AK34="是",'19.07'!$BB$4,'19.07'!$BB$3)),(VLOOKUP('19.07'!N34,'19.07'!$AO$4:$AQ$55,2,FALSE))*IF('19.07'!$AK34="是",'19.07'!$BB$4,'19.07'!$BB$3))</f>
        <v>0</v>
      </c>
      <c r="G34" s="4">
        <f>IF(ISNUMBER(SEARCH("营",'19.07'!O34)),(-$Y34+50*IF('19.07'!$AK34="是",'19.07'!$BB$4,'19.07'!$BB$3)),(VLOOKUP('19.07'!O34,'19.07'!$AO$4:$AQ$55,2,FALSE))*IF('19.07'!$AK34="是",'19.07'!$BB$4,'19.07'!$BB$3))</f>
        <v>0</v>
      </c>
      <c r="H34" s="4">
        <f>IF(ISNUMBER(SEARCH("营",'19.07'!P34)),(-$Y34+50*IF('19.07'!$AK34="是",'19.07'!$BB$4,'19.07'!$BB$3)),(VLOOKUP('19.07'!P34,'19.07'!$AO$4:$AQ$55,2,FALSE))*IF('19.07'!$AK34="是",'19.07'!$BB$4,'19.07'!$BB$3))</f>
        <v>0</v>
      </c>
      <c r="I34" s="4">
        <f>IF(ISNUMBER(SEARCH("营",'19.07'!Q34)),(-$Y34+50*IF('19.07'!$AK34="是",'19.07'!$BB$4,'19.07'!$BB$3)),(VLOOKUP('19.07'!Q34,'19.07'!$AO$4:$AQ$55,2,FALSE))*IF('19.07'!$AK34="是",'19.07'!$BB$4,'19.07'!$BB$3))</f>
        <v>152</v>
      </c>
      <c r="J34" s="4">
        <f>IF(ISNUMBER(SEARCH("营",'19.07'!R34)),(-$Y34+50*IF('19.07'!$AK34="是",'19.07'!$BB$4,'19.07'!$BB$3)),(VLOOKUP('19.07'!R34,'19.07'!$AO$4:$AQ$55,2,FALSE))*IF('19.07'!$AK34="是",'19.07'!$BB$4,'19.07'!$BB$3))</f>
        <v>152</v>
      </c>
      <c r="K34" s="4">
        <f>IF(ISNUMBER(SEARCH("营",'19.07'!S34)),(-$Y34+50*IF('19.07'!$AK34="是",'19.07'!$BB$4,'19.07'!$BB$3)),(VLOOKUP('19.07'!S34,'19.07'!$AO$4:$AQ$55,2,FALSE))*IF('19.07'!$AK34="是",'19.07'!$BB$4,'19.07'!$BB$3))</f>
        <v>152</v>
      </c>
      <c r="L34" s="4">
        <f>IF(ISNUMBER(SEARCH("营",'19.07'!T34)),(-$Y34+50*IF('19.07'!$AK34="是",'19.07'!$BB$4,'19.07'!$BB$3)),(VLOOKUP('19.07'!T34,'19.07'!$AO$4:$AQ$55,2,FALSE))*IF('19.07'!$AK34="是",'19.07'!$BB$4,'19.07'!$BB$3))</f>
        <v>152</v>
      </c>
      <c r="M34" s="4">
        <f>IF(ISNUMBER(SEARCH("营",'19.07'!U34)),(-$Y34+50*IF('19.07'!$AK34="是",'19.07'!$BB$4,'19.07'!$BB$3)),(VLOOKUP('19.07'!U34,'19.07'!$AO$4:$AQ$55,2,FALSE))*IF('19.07'!$AK34="是",'19.07'!$BB$4,'19.07'!$BB$3))</f>
        <v>152</v>
      </c>
      <c r="N34" s="4">
        <f>IF(ISNUMBER(SEARCH("营",'19.07'!V34)),(-$Y34+50*IF('19.07'!$AK34="是",'19.07'!$BB$4,'19.07'!$BB$3)),(VLOOKUP('19.07'!V34,'19.07'!$AO$4:$AQ$55,2,FALSE))*IF('19.07'!$AK34="是",'19.07'!$BB$4,'19.07'!$BB$3))</f>
        <v>144</v>
      </c>
      <c r="O34" s="4">
        <f>IF(ISNUMBER(SEARCH("营",'19.07'!W34)),(-$Y34+50*IF('19.07'!$AK34="是",'19.07'!$BB$4,'19.07'!$BB$3)),(VLOOKUP('19.07'!W34,'19.07'!$AO$4:$AQ$55,2,FALSE))*IF('19.07'!$AK34="是",'19.07'!$BB$4,'19.07'!$BB$3))</f>
        <v>0</v>
      </c>
      <c r="P34" s="4">
        <f>IF(ISNUMBER(SEARCH("营",'19.07'!X34)),(-$Y34+50*IF('19.07'!$AK34="是",'19.07'!$BB$4,'19.07'!$BB$3)),(VLOOKUP('19.07'!X34,'19.07'!$AO$4:$AQ$55,2,FALSE))*IF('19.07'!$AK34="是",'19.07'!$BB$4,'19.07'!$BB$3))</f>
        <v>0</v>
      </c>
      <c r="Q34" s="4">
        <f>IF(ISNUMBER(SEARCH("营",'19.07'!Y34)),(-$Y34+50*IF('19.07'!$AK34="是",'19.07'!$BB$4,'19.07'!$BB$3)),(VLOOKUP('19.07'!Y34,'19.07'!$AO$4:$AQ$55,2,FALSE))*IF('19.07'!$AK34="是",'19.07'!$BB$4,'19.07'!$BB$3))</f>
        <v>0</v>
      </c>
      <c r="R34" s="4">
        <f>IF(ISNUMBER(SEARCH("营",'19.07'!Z34)),(-$Y34+50*IF('19.07'!$AK34="是",'19.07'!$BB$4,'19.07'!$BB$3)),(VLOOKUP('19.07'!Z34,'19.07'!$AO$4:$AQ$55,2,FALSE))*IF('19.07'!$AK34="是",'19.07'!$BB$4,'19.07'!$BB$3))</f>
        <v>0</v>
      </c>
      <c r="S34" s="4">
        <f>IF(ISNUMBER(SEARCH("营",'19.07'!AA34)),(-$Y34+50*IF('19.07'!$AK34="是",'19.07'!$BB$4,'19.07'!$BB$3)),(VLOOKUP('19.07'!AA34,'19.07'!$AO$4:$AQ$55,2,FALSE))*IF('19.07'!$AK34="是",'19.07'!$BB$4,'19.07'!$BB$3))</f>
        <v>0</v>
      </c>
      <c r="T34" s="4">
        <f>IF(ISNUMBER(SEARCH("营",'19.07'!AB34)),(-$Y34+50*IF('19.07'!$AK34="是",'19.07'!$BB$4,'19.07'!$BB$3)),(VLOOKUP('19.07'!AB34,'19.07'!$AO$4:$AQ$55,2,FALSE))*IF('19.07'!$AK34="是",'19.07'!$BB$4,'19.07'!$BB$3))</f>
        <v>0</v>
      </c>
      <c r="U34" s="4">
        <f>IF(ISNUMBER(SEARCH("营",'19.07'!AC34)),(-$Y34+50*IF('19.07'!$AK34="是",'19.07'!$BB$4,'19.07'!$BB$3)),(VLOOKUP('19.07'!AC34,'19.07'!$AO$4:$AQ$55,2,FALSE))*IF('19.07'!$AK34="是",'19.07'!$BB$4,'19.07'!$BB$3))</f>
        <v>0</v>
      </c>
      <c r="V34" s="4">
        <f>IF(ISNUMBER(SEARCH("营",'19.07'!AD34)),(-$Y34+50*IF('19.07'!$AK34="是",'19.07'!$BB$4,'19.07'!$BB$3)),(VLOOKUP('19.07'!AD34,'19.07'!$AO$4:$AQ$55,2,FALSE))*IF('19.07'!$AK34="是",'19.07'!$BB$4,'19.07'!$BB$3))</f>
        <v>0</v>
      </c>
      <c r="W34" s="4">
        <f>IF(ISNUMBER(SEARCH("营",'19.07'!AE34)),(-$Y34+50*IF('19.07'!$AK34="是",'19.07'!$BB$4,'19.07'!$BB$3)),(VLOOKUP('19.07'!AE34,'19.07'!$AO$4:$AQ$55,2,FALSE))*IF('19.07'!$AK34="是",'19.07'!$BB$4,'19.07'!$BB$3))</f>
        <v>0</v>
      </c>
      <c r="X34" s="4">
        <f>IF(ISNUMBER(SEARCH("营",'19.07'!AF34)),(-$Y34+50*IF('19.07'!$AK34="是",'19.07'!$BB$4,'19.07'!$BB$3)),(VLOOKUP('19.07'!AF34,'19.07'!$AO$4:$AQ$55,2,FALSE))*IF('19.07'!$AK34="是",'19.07'!$BB$4,'19.07'!$BB$3))</f>
        <v>0</v>
      </c>
      <c r="Y34" s="18">
        <v>200</v>
      </c>
      <c r="Z34" s="15">
        <v>45760</v>
      </c>
    </row>
    <row r="35" spans="1:26">
      <c r="A35" s="4">
        <f>IF(ISNUMBER(SEARCH("营",'19.07'!I35)),(-$Y35+50*IF('19.07'!$AK35="是",'19.07'!$BB$4,'19.07'!$BB$3)),(VLOOKUP('19.07'!I35,'19.07'!$AO$4:$AQ$55,2,FALSE))*IF('19.07'!$AK35="是",'19.07'!$BB$4,'19.07'!$BB$3))</f>
        <v>0</v>
      </c>
      <c r="B35" s="4">
        <f>IF(ISNUMBER(SEARCH("营",'19.07'!J35)),(-$Y35+50*IF('19.07'!$AK35="是",'19.07'!$BB$4,'19.07'!$BB$3)),(VLOOKUP('19.07'!J35,'19.07'!$AO$4:$AQ$55,2,FALSE))*IF('19.07'!$AK35="是",'19.07'!$BB$4,'19.07'!$BB$3))</f>
        <v>0</v>
      </c>
      <c r="C35" s="4">
        <f>IF(ISNUMBER(SEARCH("营",'19.07'!K35)),(-$Y35+50*IF('19.07'!$AK35="是",'19.07'!$BB$4,'19.07'!$BB$3)),(VLOOKUP('19.07'!K35,'19.07'!$AO$4:$AQ$55,2,FALSE))*IF('19.07'!$AK35="是",'19.07'!$BB$4,'19.07'!$BB$3))</f>
        <v>0</v>
      </c>
      <c r="D35" s="4">
        <f>IF(ISNUMBER(SEARCH("营",'19.07'!L35)),(-$Y35+50*IF('19.07'!$AK35="是",'19.07'!$BB$4,'19.07'!$BB$3)),(VLOOKUP('19.07'!L35,'19.07'!$AO$4:$AQ$55,2,FALSE))*IF('19.07'!$AK35="是",'19.07'!$BB$4,'19.07'!$BB$3))</f>
        <v>0</v>
      </c>
      <c r="E35" s="4">
        <f>IF(ISNUMBER(SEARCH("营",'19.07'!M35)),(-$Y35+50*IF('19.07'!$AK35="是",'19.07'!$BB$4,'19.07'!$BB$3)),(VLOOKUP('19.07'!M35,'19.07'!$AO$4:$AQ$55,2,FALSE))*IF('19.07'!$AK35="是",'19.07'!$BB$4,'19.07'!$BB$3))</f>
        <v>0</v>
      </c>
      <c r="F35" s="4">
        <f>IF(ISNUMBER(SEARCH("营",'19.07'!N35)),(-$Y35+50*IF('19.07'!$AK35="是",'19.07'!$BB$4,'19.07'!$BB$3)),(VLOOKUP('19.07'!N35,'19.07'!$AO$4:$AQ$55,2,FALSE))*IF('19.07'!$AK35="是",'19.07'!$BB$4,'19.07'!$BB$3))</f>
        <v>0</v>
      </c>
      <c r="G35" s="4">
        <f>IF(ISNUMBER(SEARCH("营",'19.07'!O35)),(-$Y35+50*IF('19.07'!$AK35="是",'19.07'!$BB$4,'19.07'!$BB$3)),(VLOOKUP('19.07'!O35,'19.07'!$AO$4:$AQ$55,2,FALSE))*IF('19.07'!$AK35="是",'19.07'!$BB$4,'19.07'!$BB$3))</f>
        <v>0</v>
      </c>
      <c r="H35" s="4">
        <f>IF(ISNUMBER(SEARCH("营",'19.07'!P35)),(-$Y35+50*IF('19.07'!$AK35="是",'19.07'!$BB$4,'19.07'!$BB$3)),(VLOOKUP('19.07'!P35,'19.07'!$AO$4:$AQ$55,2,FALSE))*IF('19.07'!$AK35="是",'19.07'!$BB$4,'19.07'!$BB$3))</f>
        <v>0</v>
      </c>
      <c r="I35" s="4">
        <f>IF(ISNUMBER(SEARCH("营",'19.07'!Q35)),(-$Y35+50*IF('19.07'!$AK35="是",'19.07'!$BB$4,'19.07'!$BB$3)),(VLOOKUP('19.07'!Q35,'19.07'!$AO$4:$AQ$55,2,FALSE))*IF('19.07'!$AK35="是",'19.07'!$BB$4,'19.07'!$BB$3))</f>
        <v>144</v>
      </c>
      <c r="J35" s="4">
        <f>IF(ISNUMBER(SEARCH("营",'19.07'!R35)),(-$Y35+50*IF('19.07'!$AK35="是",'19.07'!$BB$4,'19.07'!$BB$3)),(VLOOKUP('19.07'!R35,'19.07'!$AO$4:$AQ$55,2,FALSE))*IF('19.07'!$AK35="是",'19.07'!$BB$4,'19.07'!$BB$3))</f>
        <v>144</v>
      </c>
      <c r="K35" s="4">
        <f>IF(ISNUMBER(SEARCH("营",'19.07'!S35)),(-$Y35+50*IF('19.07'!$AK35="是",'19.07'!$BB$4,'19.07'!$BB$3)),(VLOOKUP('19.07'!S35,'19.07'!$AO$4:$AQ$55,2,FALSE))*IF('19.07'!$AK35="是",'19.07'!$BB$4,'19.07'!$BB$3))</f>
        <v>144</v>
      </c>
      <c r="L35" s="4">
        <f>IF(ISNUMBER(SEARCH("营",'19.07'!T35)),(-$Y35+50*IF('19.07'!$AK35="是",'19.07'!$BB$4,'19.07'!$BB$3)),(VLOOKUP('19.07'!T35,'19.07'!$AO$4:$AQ$55,2,FALSE))*IF('19.07'!$AK35="是",'19.07'!$BB$4,'19.07'!$BB$3))</f>
        <v>144</v>
      </c>
      <c r="M35" s="4">
        <f>IF(ISNUMBER(SEARCH("营",'19.07'!U35)),(-$Y35+50*IF('19.07'!$AK35="是",'19.07'!$BB$4,'19.07'!$BB$3)),(VLOOKUP('19.07'!U35,'19.07'!$AO$4:$AQ$55,2,FALSE))*IF('19.07'!$AK35="是",'19.07'!$BB$4,'19.07'!$BB$3))</f>
        <v>144</v>
      </c>
      <c r="N35" s="4">
        <f>IF(ISNUMBER(SEARCH("营",'19.07'!V35)),(-$Y35+50*IF('19.07'!$AK35="是",'19.07'!$BB$4,'19.07'!$BB$3)),(VLOOKUP('19.07'!V35,'19.07'!$AO$4:$AQ$55,2,FALSE))*IF('19.07'!$AK35="是",'19.07'!$BB$4,'19.07'!$BB$3))</f>
        <v>144</v>
      </c>
      <c r="O35" s="4">
        <f>IF(ISNUMBER(SEARCH("营",'19.07'!W35)),(-$Y35+50*IF('19.07'!$AK35="是",'19.07'!$BB$4,'19.07'!$BB$3)),(VLOOKUP('19.07'!W35,'19.07'!$AO$4:$AQ$55,2,FALSE))*IF('19.07'!$AK35="是",'19.07'!$BB$4,'19.07'!$BB$3))</f>
        <v>0</v>
      </c>
      <c r="P35" s="4">
        <f>IF(ISNUMBER(SEARCH("营",'19.07'!X35)),(-$Y35+50*IF('19.07'!$AK35="是",'19.07'!$BB$4,'19.07'!$BB$3)),(VLOOKUP('19.07'!X35,'19.07'!$AO$4:$AQ$55,2,FALSE))*IF('19.07'!$AK35="是",'19.07'!$BB$4,'19.07'!$BB$3))</f>
        <v>0</v>
      </c>
      <c r="Q35" s="4">
        <f>IF(ISNUMBER(SEARCH("营",'19.07'!Y35)),(-$Y35+50*IF('19.07'!$AK35="是",'19.07'!$BB$4,'19.07'!$BB$3)),(VLOOKUP('19.07'!Y35,'19.07'!$AO$4:$AQ$55,2,FALSE))*IF('19.07'!$AK35="是",'19.07'!$BB$4,'19.07'!$BB$3))</f>
        <v>0</v>
      </c>
      <c r="R35" s="4">
        <f>IF(ISNUMBER(SEARCH("营",'19.07'!Z35)),(-$Y35+50*IF('19.07'!$AK35="是",'19.07'!$BB$4,'19.07'!$BB$3)),(VLOOKUP('19.07'!Z35,'19.07'!$AO$4:$AQ$55,2,FALSE))*IF('19.07'!$AK35="是",'19.07'!$BB$4,'19.07'!$BB$3))</f>
        <v>0</v>
      </c>
      <c r="S35" s="4">
        <f>IF(ISNUMBER(SEARCH("营",'19.07'!AA35)),(-$Y35+50*IF('19.07'!$AK35="是",'19.07'!$BB$4,'19.07'!$BB$3)),(VLOOKUP('19.07'!AA35,'19.07'!$AO$4:$AQ$55,2,FALSE))*IF('19.07'!$AK35="是",'19.07'!$BB$4,'19.07'!$BB$3))</f>
        <v>0</v>
      </c>
      <c r="T35" s="4">
        <f>IF(ISNUMBER(SEARCH("营",'19.07'!AB35)),(-$Y35+50*IF('19.07'!$AK35="是",'19.07'!$BB$4,'19.07'!$BB$3)),(VLOOKUP('19.07'!AB35,'19.07'!$AO$4:$AQ$55,2,FALSE))*IF('19.07'!$AK35="是",'19.07'!$BB$4,'19.07'!$BB$3))</f>
        <v>0</v>
      </c>
      <c r="U35" s="4">
        <f>IF(ISNUMBER(SEARCH("营",'19.07'!AC35)),(-$Y35+50*IF('19.07'!$AK35="是",'19.07'!$BB$4,'19.07'!$BB$3)),(VLOOKUP('19.07'!AC35,'19.07'!$AO$4:$AQ$55,2,FALSE))*IF('19.07'!$AK35="是",'19.07'!$BB$4,'19.07'!$BB$3))</f>
        <v>0</v>
      </c>
      <c r="V35" s="4">
        <f>IF(ISNUMBER(SEARCH("营",'19.07'!AD35)),(-$Y35+50*IF('19.07'!$AK35="是",'19.07'!$BB$4,'19.07'!$BB$3)),(VLOOKUP('19.07'!AD35,'19.07'!$AO$4:$AQ$55,2,FALSE))*IF('19.07'!$AK35="是",'19.07'!$BB$4,'19.07'!$BB$3))</f>
        <v>0</v>
      </c>
      <c r="W35" s="4">
        <f>IF(ISNUMBER(SEARCH("营",'19.07'!AE35)),(-$Y35+50*IF('19.07'!$AK35="是",'19.07'!$BB$4,'19.07'!$BB$3)),(VLOOKUP('19.07'!AE35,'19.07'!$AO$4:$AQ$55,2,FALSE))*IF('19.07'!$AK35="是",'19.07'!$BB$4,'19.07'!$BB$3))</f>
        <v>0</v>
      </c>
      <c r="X35" s="4">
        <f>IF(ISNUMBER(SEARCH("营",'19.07'!AF35)),(-$Y35+50*IF('19.07'!$AK35="是",'19.07'!$BB$4,'19.07'!$BB$3)),(VLOOKUP('19.07'!AF35,'19.07'!$AO$4:$AQ$55,2,FALSE))*IF('19.07'!$AK35="是",'19.07'!$BB$4,'19.07'!$BB$3))</f>
        <v>0</v>
      </c>
      <c r="Y35" s="18">
        <v>200</v>
      </c>
      <c r="Z35" s="15">
        <v>45761</v>
      </c>
    </row>
    <row r="36" spans="1:26">
      <c r="A36" s="4">
        <f>IF(ISNUMBER(SEARCH("营",'19.07'!I36)),(-$Y36+50*IF('19.07'!$AK36="是",'19.07'!$BB$4,'19.07'!$BB$3)),(VLOOKUP('19.07'!I36,'19.07'!$AO$4:$AQ$55,2,FALSE))*IF('19.07'!$AK36="是",'19.07'!$BB$4,'19.07'!$BB$3))</f>
        <v>0</v>
      </c>
      <c r="B36" s="4">
        <f>IF(ISNUMBER(SEARCH("营",'19.07'!J36)),(-$Y36+50*IF('19.07'!$AK36="是",'19.07'!$BB$4,'19.07'!$BB$3)),(VLOOKUP('19.07'!J36,'19.07'!$AO$4:$AQ$55,2,FALSE))*IF('19.07'!$AK36="是",'19.07'!$BB$4,'19.07'!$BB$3))</f>
        <v>0</v>
      </c>
      <c r="C36" s="4">
        <f>IF(ISNUMBER(SEARCH("营",'19.07'!K36)),(-$Y36+50*IF('19.07'!$AK36="是",'19.07'!$BB$4,'19.07'!$BB$3)),(VLOOKUP('19.07'!K36,'19.07'!$AO$4:$AQ$55,2,FALSE))*IF('19.07'!$AK36="是",'19.07'!$BB$4,'19.07'!$BB$3))</f>
        <v>0</v>
      </c>
      <c r="D36" s="4">
        <f>IF(ISNUMBER(SEARCH("营",'19.07'!L36)),(-$Y36+50*IF('19.07'!$AK36="是",'19.07'!$BB$4,'19.07'!$BB$3)),(VLOOKUP('19.07'!L36,'19.07'!$AO$4:$AQ$55,2,FALSE))*IF('19.07'!$AK36="是",'19.07'!$BB$4,'19.07'!$BB$3))</f>
        <v>0</v>
      </c>
      <c r="E36" s="4">
        <f>IF(ISNUMBER(SEARCH("营",'19.07'!M36)),(-$Y36+50*IF('19.07'!$AK36="是",'19.07'!$BB$4,'19.07'!$BB$3)),(VLOOKUP('19.07'!M36,'19.07'!$AO$4:$AQ$55,2,FALSE))*IF('19.07'!$AK36="是",'19.07'!$BB$4,'19.07'!$BB$3))</f>
        <v>0</v>
      </c>
      <c r="F36" s="4">
        <f>IF(ISNUMBER(SEARCH("营",'19.07'!N36)),(-$Y36+50*IF('19.07'!$AK36="是",'19.07'!$BB$4,'19.07'!$BB$3)),(VLOOKUP('19.07'!N36,'19.07'!$AO$4:$AQ$55,2,FALSE))*IF('19.07'!$AK36="是",'19.07'!$BB$4,'19.07'!$BB$3))</f>
        <v>0</v>
      </c>
      <c r="G36" s="4">
        <f>IF(ISNUMBER(SEARCH("营",'19.07'!O36)),(-$Y36+50*IF('19.07'!$AK36="是",'19.07'!$BB$4,'19.07'!$BB$3)),(VLOOKUP('19.07'!O36,'19.07'!$AO$4:$AQ$55,2,FALSE))*IF('19.07'!$AK36="是",'19.07'!$BB$4,'19.07'!$BB$3))</f>
        <v>0</v>
      </c>
      <c r="H36" s="4">
        <f>IF(ISNUMBER(SEARCH("营",'19.07'!P36)),(-$Y36+50*IF('19.07'!$AK36="是",'19.07'!$BB$4,'19.07'!$BB$3)),(VLOOKUP('19.07'!P36,'19.07'!$AO$4:$AQ$55,2,FALSE))*IF('19.07'!$AK36="是",'19.07'!$BB$4,'19.07'!$BB$3))</f>
        <v>0</v>
      </c>
      <c r="I36" s="4">
        <f>IF(ISNUMBER(SEARCH("营",'19.07'!Q36)),(-$Y36+50*IF('19.07'!$AK36="是",'19.07'!$BB$4,'19.07'!$BB$3)),(VLOOKUP('19.07'!Q36,'19.07'!$AO$4:$AQ$55,2,FALSE))*IF('19.07'!$AK36="是",'19.07'!$BB$4,'19.07'!$BB$3))</f>
        <v>144</v>
      </c>
      <c r="J36" s="4">
        <f>IF(ISNUMBER(SEARCH("营",'19.07'!R36)),(-$Y36+50*IF('19.07'!$AK36="是",'19.07'!$BB$4,'19.07'!$BB$3)),(VLOOKUP('19.07'!R36,'19.07'!$AO$4:$AQ$55,2,FALSE))*IF('19.07'!$AK36="是",'19.07'!$BB$4,'19.07'!$BB$3))</f>
        <v>144</v>
      </c>
      <c r="K36" s="4">
        <f>IF(ISNUMBER(SEARCH("营",'19.07'!S36)),(-$Y36+50*IF('19.07'!$AK36="是",'19.07'!$BB$4,'19.07'!$BB$3)),(VLOOKUP('19.07'!S36,'19.07'!$AO$4:$AQ$55,2,FALSE))*IF('19.07'!$AK36="是",'19.07'!$BB$4,'19.07'!$BB$3))</f>
        <v>144</v>
      </c>
      <c r="L36" s="4">
        <f>IF(ISNUMBER(SEARCH("营",'19.07'!T36)),(-$Y36+50*IF('19.07'!$AK36="是",'19.07'!$BB$4,'19.07'!$BB$3)),(VLOOKUP('19.07'!T36,'19.07'!$AO$4:$AQ$55,2,FALSE))*IF('19.07'!$AK36="是",'19.07'!$BB$4,'19.07'!$BB$3))</f>
        <v>144</v>
      </c>
      <c r="M36" s="4">
        <f>IF(ISNUMBER(SEARCH("营",'19.07'!U36)),(-$Y36+50*IF('19.07'!$AK36="是",'19.07'!$BB$4,'19.07'!$BB$3)),(VLOOKUP('19.07'!U36,'19.07'!$AO$4:$AQ$55,2,FALSE))*IF('19.07'!$AK36="是",'19.07'!$BB$4,'19.07'!$BB$3))</f>
        <v>144</v>
      </c>
      <c r="N36" s="4">
        <f>IF(ISNUMBER(SEARCH("营",'19.07'!V36)),(-$Y36+50*IF('19.07'!$AK36="是",'19.07'!$BB$4,'19.07'!$BB$3)),(VLOOKUP('19.07'!V36,'19.07'!$AO$4:$AQ$55,2,FALSE))*IF('19.07'!$AK36="是",'19.07'!$BB$4,'19.07'!$BB$3))</f>
        <v>144</v>
      </c>
      <c r="O36" s="4">
        <f>IF(ISNUMBER(SEARCH("营",'19.07'!W36)),(-$Y36+50*IF('19.07'!$AK36="是",'19.07'!$BB$4,'19.07'!$BB$3)),(VLOOKUP('19.07'!W36,'19.07'!$AO$4:$AQ$55,2,FALSE))*IF('19.07'!$AK36="是",'19.07'!$BB$4,'19.07'!$BB$3))</f>
        <v>0</v>
      </c>
      <c r="P36" s="4">
        <f>IF(ISNUMBER(SEARCH("营",'19.07'!X36)),(-$Y36+50*IF('19.07'!$AK36="是",'19.07'!$BB$4,'19.07'!$BB$3)),(VLOOKUP('19.07'!X36,'19.07'!$AO$4:$AQ$55,2,FALSE))*IF('19.07'!$AK36="是",'19.07'!$BB$4,'19.07'!$BB$3))</f>
        <v>0</v>
      </c>
      <c r="Q36" s="4">
        <f>IF(ISNUMBER(SEARCH("营",'19.07'!Y36)),(-$Y36+50*IF('19.07'!$AK36="是",'19.07'!$BB$4,'19.07'!$BB$3)),(VLOOKUP('19.07'!Y36,'19.07'!$AO$4:$AQ$55,2,FALSE))*IF('19.07'!$AK36="是",'19.07'!$BB$4,'19.07'!$BB$3))</f>
        <v>0</v>
      </c>
      <c r="R36" s="4">
        <f>IF(ISNUMBER(SEARCH("营",'19.07'!Z36)),(-$Y36+50*IF('19.07'!$AK36="是",'19.07'!$BB$4,'19.07'!$BB$3)),(VLOOKUP('19.07'!Z36,'19.07'!$AO$4:$AQ$55,2,FALSE))*IF('19.07'!$AK36="是",'19.07'!$BB$4,'19.07'!$BB$3))</f>
        <v>0</v>
      </c>
      <c r="S36" s="4">
        <f>IF(ISNUMBER(SEARCH("营",'19.07'!AA36)),(-$Y36+50*IF('19.07'!$AK36="是",'19.07'!$BB$4,'19.07'!$BB$3)),(VLOOKUP('19.07'!AA36,'19.07'!$AO$4:$AQ$55,2,FALSE))*IF('19.07'!$AK36="是",'19.07'!$BB$4,'19.07'!$BB$3))</f>
        <v>0</v>
      </c>
      <c r="T36" s="4">
        <f>IF(ISNUMBER(SEARCH("营",'19.07'!AB36)),(-$Y36+50*IF('19.07'!$AK36="是",'19.07'!$BB$4,'19.07'!$BB$3)),(VLOOKUP('19.07'!AB36,'19.07'!$AO$4:$AQ$55,2,FALSE))*IF('19.07'!$AK36="是",'19.07'!$BB$4,'19.07'!$BB$3))</f>
        <v>0</v>
      </c>
      <c r="U36" s="4">
        <f>IF(ISNUMBER(SEARCH("营",'19.07'!AC36)),(-$Y36+50*IF('19.07'!$AK36="是",'19.07'!$BB$4,'19.07'!$BB$3)),(VLOOKUP('19.07'!AC36,'19.07'!$AO$4:$AQ$55,2,FALSE))*IF('19.07'!$AK36="是",'19.07'!$BB$4,'19.07'!$BB$3))</f>
        <v>0</v>
      </c>
      <c r="V36" s="4">
        <f>IF(ISNUMBER(SEARCH("营",'19.07'!AD36)),(-$Y36+50*IF('19.07'!$AK36="是",'19.07'!$BB$4,'19.07'!$BB$3)),(VLOOKUP('19.07'!AD36,'19.07'!$AO$4:$AQ$55,2,FALSE))*IF('19.07'!$AK36="是",'19.07'!$BB$4,'19.07'!$BB$3))</f>
        <v>0</v>
      </c>
      <c r="W36" s="4">
        <f>IF(ISNUMBER(SEARCH("营",'19.07'!AE36)),(-$Y36+50*IF('19.07'!$AK36="是",'19.07'!$BB$4,'19.07'!$BB$3)),(VLOOKUP('19.07'!AE36,'19.07'!$AO$4:$AQ$55,2,FALSE))*IF('19.07'!$AK36="是",'19.07'!$BB$4,'19.07'!$BB$3))</f>
        <v>0</v>
      </c>
      <c r="X36" s="4">
        <f>IF(ISNUMBER(SEARCH("营",'19.07'!AF36)),(-$Y36+50*IF('19.07'!$AK36="是",'19.07'!$BB$4,'19.07'!$BB$3)),(VLOOKUP('19.07'!AF36,'19.07'!$AO$4:$AQ$55,2,FALSE))*IF('19.07'!$AK36="是",'19.07'!$BB$4,'19.07'!$BB$3))</f>
        <v>0</v>
      </c>
      <c r="Y36" s="18">
        <v>200</v>
      </c>
      <c r="Z36" s="15">
        <v>45762</v>
      </c>
    </row>
    <row r="37" spans="1:26">
      <c r="A37" s="4">
        <f>IF(ISNUMBER(SEARCH("营",'19.07'!I37)),(-$Y37+50*IF('19.07'!$AK37="是",'19.07'!$BB$4,'19.07'!$BB$3)),(VLOOKUP('19.07'!I37,'19.07'!$AO$4:$AQ$55,2,FALSE))*IF('19.07'!$AK37="是",'19.07'!$BB$4,'19.07'!$BB$3))</f>
        <v>0</v>
      </c>
      <c r="B37" s="4">
        <f>IF(ISNUMBER(SEARCH("营",'19.07'!J37)),(-$Y37+50*IF('19.07'!$AK37="是",'19.07'!$BB$4,'19.07'!$BB$3)),(VLOOKUP('19.07'!J37,'19.07'!$AO$4:$AQ$55,2,FALSE))*IF('19.07'!$AK37="是",'19.07'!$BB$4,'19.07'!$BB$3))</f>
        <v>0</v>
      </c>
      <c r="C37" s="4">
        <f>IF(ISNUMBER(SEARCH("营",'19.07'!K37)),(-$Y37+50*IF('19.07'!$AK37="是",'19.07'!$BB$4,'19.07'!$BB$3)),(VLOOKUP('19.07'!K37,'19.07'!$AO$4:$AQ$55,2,FALSE))*IF('19.07'!$AK37="是",'19.07'!$BB$4,'19.07'!$BB$3))</f>
        <v>0</v>
      </c>
      <c r="D37" s="4">
        <f>IF(ISNUMBER(SEARCH("营",'19.07'!L37)),(-$Y37+50*IF('19.07'!$AK37="是",'19.07'!$BB$4,'19.07'!$BB$3)),(VLOOKUP('19.07'!L37,'19.07'!$AO$4:$AQ$55,2,FALSE))*IF('19.07'!$AK37="是",'19.07'!$BB$4,'19.07'!$BB$3))</f>
        <v>0</v>
      </c>
      <c r="E37" s="4">
        <f>IF(ISNUMBER(SEARCH("营",'19.07'!M37)),(-$Y37+50*IF('19.07'!$AK37="是",'19.07'!$BB$4,'19.07'!$BB$3)),(VLOOKUP('19.07'!M37,'19.07'!$AO$4:$AQ$55,2,FALSE))*IF('19.07'!$AK37="是",'19.07'!$BB$4,'19.07'!$BB$3))</f>
        <v>0</v>
      </c>
      <c r="F37" s="4">
        <f>IF(ISNUMBER(SEARCH("营",'19.07'!N37)),(-$Y37+50*IF('19.07'!$AK37="是",'19.07'!$BB$4,'19.07'!$BB$3)),(VLOOKUP('19.07'!N37,'19.07'!$AO$4:$AQ$55,2,FALSE))*IF('19.07'!$AK37="是",'19.07'!$BB$4,'19.07'!$BB$3))</f>
        <v>0</v>
      </c>
      <c r="G37" s="4">
        <f>IF(ISNUMBER(SEARCH("营",'19.07'!O37)),(-$Y37+50*IF('19.07'!$AK37="是",'19.07'!$BB$4,'19.07'!$BB$3)),(VLOOKUP('19.07'!O37,'19.07'!$AO$4:$AQ$55,2,FALSE))*IF('19.07'!$AK37="是",'19.07'!$BB$4,'19.07'!$BB$3))</f>
        <v>0</v>
      </c>
      <c r="H37" s="4">
        <f>IF(ISNUMBER(SEARCH("营",'19.07'!P37)),(-$Y37+50*IF('19.07'!$AK37="是",'19.07'!$BB$4,'19.07'!$BB$3)),(VLOOKUP('19.07'!P37,'19.07'!$AO$4:$AQ$55,2,FALSE))*IF('19.07'!$AK37="是",'19.07'!$BB$4,'19.07'!$BB$3))</f>
        <v>0</v>
      </c>
      <c r="I37" s="4">
        <f>IF(ISNUMBER(SEARCH("营",'19.07'!Q37)),(-$Y37+50*IF('19.07'!$AK37="是",'19.07'!$BB$4,'19.07'!$BB$3)),(VLOOKUP('19.07'!Q37,'19.07'!$AO$4:$AQ$55,2,FALSE))*IF('19.07'!$AK37="是",'19.07'!$BB$4,'19.07'!$BB$3))</f>
        <v>144</v>
      </c>
      <c r="J37" s="4">
        <f>IF(ISNUMBER(SEARCH("营",'19.07'!R37)),(-$Y37+50*IF('19.07'!$AK37="是",'19.07'!$BB$4,'19.07'!$BB$3)),(VLOOKUP('19.07'!R37,'19.07'!$AO$4:$AQ$55,2,FALSE))*IF('19.07'!$AK37="是",'19.07'!$BB$4,'19.07'!$BB$3))</f>
        <v>144</v>
      </c>
      <c r="K37" s="4">
        <f>IF(ISNUMBER(SEARCH("营",'19.07'!S37)),(-$Y37+50*IF('19.07'!$AK37="是",'19.07'!$BB$4,'19.07'!$BB$3)),(VLOOKUP('19.07'!S37,'19.07'!$AO$4:$AQ$55,2,FALSE))*IF('19.07'!$AK37="是",'19.07'!$BB$4,'19.07'!$BB$3))</f>
        <v>144</v>
      </c>
      <c r="L37" s="4">
        <f>IF(ISNUMBER(SEARCH("营",'19.07'!T37)),(-$Y37+50*IF('19.07'!$AK37="是",'19.07'!$BB$4,'19.07'!$BB$3)),(VLOOKUP('19.07'!T37,'19.07'!$AO$4:$AQ$55,2,FALSE))*IF('19.07'!$AK37="是",'19.07'!$BB$4,'19.07'!$BB$3))</f>
        <v>144</v>
      </c>
      <c r="M37" s="4">
        <f>IF(ISNUMBER(SEARCH("营",'19.07'!U37)),(-$Y37+50*IF('19.07'!$AK37="是",'19.07'!$BB$4,'19.07'!$BB$3)),(VLOOKUP('19.07'!U37,'19.07'!$AO$4:$AQ$55,2,FALSE))*IF('19.07'!$AK37="是",'19.07'!$BB$4,'19.07'!$BB$3))</f>
        <v>144</v>
      </c>
      <c r="N37" s="4">
        <f>IF(ISNUMBER(SEARCH("营",'19.07'!V37)),(-$Y37+50*IF('19.07'!$AK37="是",'19.07'!$BB$4,'19.07'!$BB$3)),(VLOOKUP('19.07'!V37,'19.07'!$AO$4:$AQ$55,2,FALSE))*IF('19.07'!$AK37="是",'19.07'!$BB$4,'19.07'!$BB$3))</f>
        <v>144</v>
      </c>
      <c r="O37" s="4">
        <f>IF(ISNUMBER(SEARCH("营",'19.07'!W37)),(-$Y37+50*IF('19.07'!$AK37="是",'19.07'!$BB$4,'19.07'!$BB$3)),(VLOOKUP('19.07'!W37,'19.07'!$AO$4:$AQ$55,2,FALSE))*IF('19.07'!$AK37="是",'19.07'!$BB$4,'19.07'!$BB$3))</f>
        <v>0</v>
      </c>
      <c r="P37" s="4">
        <f>IF(ISNUMBER(SEARCH("营",'19.07'!X37)),(-$Y37+50*IF('19.07'!$AK37="是",'19.07'!$BB$4,'19.07'!$BB$3)),(VLOOKUP('19.07'!X37,'19.07'!$AO$4:$AQ$55,2,FALSE))*IF('19.07'!$AK37="是",'19.07'!$BB$4,'19.07'!$BB$3))</f>
        <v>0</v>
      </c>
      <c r="Q37" s="4">
        <f>IF(ISNUMBER(SEARCH("营",'19.07'!Y37)),(-$Y37+50*IF('19.07'!$AK37="是",'19.07'!$BB$4,'19.07'!$BB$3)),(VLOOKUP('19.07'!Y37,'19.07'!$AO$4:$AQ$55,2,FALSE))*IF('19.07'!$AK37="是",'19.07'!$BB$4,'19.07'!$BB$3))</f>
        <v>0</v>
      </c>
      <c r="R37" s="4">
        <f>IF(ISNUMBER(SEARCH("营",'19.07'!Z37)),(-$Y37+50*IF('19.07'!$AK37="是",'19.07'!$BB$4,'19.07'!$BB$3)),(VLOOKUP('19.07'!Z37,'19.07'!$AO$4:$AQ$55,2,FALSE))*IF('19.07'!$AK37="是",'19.07'!$BB$4,'19.07'!$BB$3))</f>
        <v>0</v>
      </c>
      <c r="S37" s="4">
        <f>IF(ISNUMBER(SEARCH("营",'19.07'!AA37)),(-$Y37+50*IF('19.07'!$AK37="是",'19.07'!$BB$4,'19.07'!$BB$3)),(VLOOKUP('19.07'!AA37,'19.07'!$AO$4:$AQ$55,2,FALSE))*IF('19.07'!$AK37="是",'19.07'!$BB$4,'19.07'!$BB$3))</f>
        <v>0</v>
      </c>
      <c r="T37" s="4">
        <f>IF(ISNUMBER(SEARCH("营",'19.07'!AB37)),(-$Y37+50*IF('19.07'!$AK37="是",'19.07'!$BB$4,'19.07'!$BB$3)),(VLOOKUP('19.07'!AB37,'19.07'!$AO$4:$AQ$55,2,FALSE))*IF('19.07'!$AK37="是",'19.07'!$BB$4,'19.07'!$BB$3))</f>
        <v>0</v>
      </c>
      <c r="U37" s="4">
        <f>IF(ISNUMBER(SEARCH("营",'19.07'!AC37)),(-$Y37+50*IF('19.07'!$AK37="是",'19.07'!$BB$4,'19.07'!$BB$3)),(VLOOKUP('19.07'!AC37,'19.07'!$AO$4:$AQ$55,2,FALSE))*IF('19.07'!$AK37="是",'19.07'!$BB$4,'19.07'!$BB$3))</f>
        <v>0</v>
      </c>
      <c r="V37" s="4">
        <f>IF(ISNUMBER(SEARCH("营",'19.07'!AD37)),(-$Y37+50*IF('19.07'!$AK37="是",'19.07'!$BB$4,'19.07'!$BB$3)),(VLOOKUP('19.07'!AD37,'19.07'!$AO$4:$AQ$55,2,FALSE))*IF('19.07'!$AK37="是",'19.07'!$BB$4,'19.07'!$BB$3))</f>
        <v>0</v>
      </c>
      <c r="W37" s="4">
        <f>IF(ISNUMBER(SEARCH("营",'19.07'!AE37)),(-$Y37+50*IF('19.07'!$AK37="是",'19.07'!$BB$4,'19.07'!$BB$3)),(VLOOKUP('19.07'!AE37,'19.07'!$AO$4:$AQ$55,2,FALSE))*IF('19.07'!$AK37="是",'19.07'!$BB$4,'19.07'!$BB$3))</f>
        <v>0</v>
      </c>
      <c r="X37" s="4">
        <f>IF(ISNUMBER(SEARCH("营",'19.07'!AF37)),(-$Y37+50*IF('19.07'!$AK37="是",'19.07'!$BB$4,'19.07'!$BB$3)),(VLOOKUP('19.07'!AF37,'19.07'!$AO$4:$AQ$55,2,FALSE))*IF('19.07'!$AK37="是",'19.07'!$BB$4,'19.07'!$BB$3))</f>
        <v>0</v>
      </c>
      <c r="Y37" s="18">
        <v>200</v>
      </c>
      <c r="Z37" s="15">
        <v>45763</v>
      </c>
    </row>
    <row r="38" spans="1:26">
      <c r="A38" s="4">
        <f>IF(ISNUMBER(SEARCH("营",'19.07'!I38)),(-$Y38+50*IF('19.07'!$AK38="是",'19.07'!$BB$4,'19.07'!$BB$3)),(VLOOKUP('19.07'!I38,'19.07'!$AO$4:$AQ$55,2,FALSE))*IF('19.07'!$AK38="是",'19.07'!$BB$4,'19.07'!$BB$3))</f>
        <v>0</v>
      </c>
      <c r="B38" s="4">
        <f>IF(ISNUMBER(SEARCH("营",'19.07'!J38)),(-$Y38+50*IF('19.07'!$AK38="是",'19.07'!$BB$4,'19.07'!$BB$3)),(VLOOKUP('19.07'!J38,'19.07'!$AO$4:$AQ$55,2,FALSE))*IF('19.07'!$AK38="是",'19.07'!$BB$4,'19.07'!$BB$3))</f>
        <v>0</v>
      </c>
      <c r="C38" s="4">
        <f>IF(ISNUMBER(SEARCH("营",'19.07'!K38)),(-$Y38+50*IF('19.07'!$AK38="是",'19.07'!$BB$4,'19.07'!$BB$3)),(VLOOKUP('19.07'!K38,'19.07'!$AO$4:$AQ$55,2,FALSE))*IF('19.07'!$AK38="是",'19.07'!$BB$4,'19.07'!$BB$3))</f>
        <v>0</v>
      </c>
      <c r="D38" s="4">
        <f>IF(ISNUMBER(SEARCH("营",'19.07'!L38)),(-$Y38+50*IF('19.07'!$AK38="是",'19.07'!$BB$4,'19.07'!$BB$3)),(VLOOKUP('19.07'!L38,'19.07'!$AO$4:$AQ$55,2,FALSE))*IF('19.07'!$AK38="是",'19.07'!$BB$4,'19.07'!$BB$3))</f>
        <v>0</v>
      </c>
      <c r="E38" s="4">
        <f>IF(ISNUMBER(SEARCH("营",'19.07'!M38)),(-$Y38+50*IF('19.07'!$AK38="是",'19.07'!$BB$4,'19.07'!$BB$3)),(VLOOKUP('19.07'!M38,'19.07'!$AO$4:$AQ$55,2,FALSE))*IF('19.07'!$AK38="是",'19.07'!$BB$4,'19.07'!$BB$3))</f>
        <v>0</v>
      </c>
      <c r="F38" s="4">
        <f>IF(ISNUMBER(SEARCH("营",'19.07'!N38)),(-$Y38+50*IF('19.07'!$AK38="是",'19.07'!$BB$4,'19.07'!$BB$3)),(VLOOKUP('19.07'!N38,'19.07'!$AO$4:$AQ$55,2,FALSE))*IF('19.07'!$AK38="是",'19.07'!$BB$4,'19.07'!$BB$3))</f>
        <v>0</v>
      </c>
      <c r="G38" s="4">
        <f>IF(ISNUMBER(SEARCH("营",'19.07'!O38)),(-$Y38+50*IF('19.07'!$AK38="是",'19.07'!$BB$4,'19.07'!$BB$3)),(VLOOKUP('19.07'!O38,'19.07'!$AO$4:$AQ$55,2,FALSE))*IF('19.07'!$AK38="是",'19.07'!$BB$4,'19.07'!$BB$3))</f>
        <v>0</v>
      </c>
      <c r="H38" s="4">
        <f>IF(ISNUMBER(SEARCH("营",'19.07'!P38)),(-$Y38+50*IF('19.07'!$AK38="是",'19.07'!$BB$4,'19.07'!$BB$3)),(VLOOKUP('19.07'!P38,'19.07'!$AO$4:$AQ$55,2,FALSE))*IF('19.07'!$AK38="是",'19.07'!$BB$4,'19.07'!$BB$3))</f>
        <v>0</v>
      </c>
      <c r="I38" s="4">
        <f>IF(ISNUMBER(SEARCH("营",'19.07'!Q38)),(-$Y38+50*IF('19.07'!$AK38="是",'19.07'!$BB$4,'19.07'!$BB$3)),(VLOOKUP('19.07'!Q38,'19.07'!$AO$4:$AQ$55,2,FALSE))*IF('19.07'!$AK38="是",'19.07'!$BB$4,'19.07'!$BB$3))</f>
        <v>144</v>
      </c>
      <c r="J38" s="4">
        <f>IF(ISNUMBER(SEARCH("营",'19.07'!R38)),(-$Y38+50*IF('19.07'!$AK38="是",'19.07'!$BB$4,'19.07'!$BB$3)),(VLOOKUP('19.07'!R38,'19.07'!$AO$4:$AQ$55,2,FALSE))*IF('19.07'!$AK38="是",'19.07'!$BB$4,'19.07'!$BB$3))</f>
        <v>-160</v>
      </c>
      <c r="K38" s="4">
        <f>IF(ISNUMBER(SEARCH("营",'19.07'!S38)),(-$Y38+50*IF('19.07'!$AK38="是",'19.07'!$BB$4,'19.07'!$BB$3)),(VLOOKUP('19.07'!S38,'19.07'!$AO$4:$AQ$55,2,FALSE))*IF('19.07'!$AK38="是",'19.07'!$BB$4,'19.07'!$BB$3))</f>
        <v>0</v>
      </c>
      <c r="L38" s="4">
        <f>IF(ISNUMBER(SEARCH("营",'19.07'!T38)),(-$Y38+50*IF('19.07'!$AK38="是",'19.07'!$BB$4,'19.07'!$BB$3)),(VLOOKUP('19.07'!T38,'19.07'!$AO$4:$AQ$55,2,FALSE))*IF('19.07'!$AK38="是",'19.07'!$BB$4,'19.07'!$BB$3))</f>
        <v>0</v>
      </c>
      <c r="M38" s="4">
        <f>IF(ISNUMBER(SEARCH("营",'19.07'!U38)),(-$Y38+50*IF('19.07'!$AK38="是",'19.07'!$BB$4,'19.07'!$BB$3)),(VLOOKUP('19.07'!U38,'19.07'!$AO$4:$AQ$55,2,FALSE))*IF('19.07'!$AK38="是",'19.07'!$BB$4,'19.07'!$BB$3))</f>
        <v>0</v>
      </c>
      <c r="N38" s="4">
        <f>IF(ISNUMBER(SEARCH("营",'19.07'!V38)),(-$Y38+50*IF('19.07'!$AK38="是",'19.07'!$BB$4,'19.07'!$BB$3)),(VLOOKUP('19.07'!V38,'19.07'!$AO$4:$AQ$55,2,FALSE))*IF('19.07'!$AK38="是",'19.07'!$BB$4,'19.07'!$BB$3))</f>
        <v>0</v>
      </c>
      <c r="O38" s="4">
        <f>IF(ISNUMBER(SEARCH("营",'19.07'!W38)),(-$Y38+50*IF('19.07'!$AK38="是",'19.07'!$BB$4,'19.07'!$BB$3)),(VLOOKUP('19.07'!W38,'19.07'!$AO$4:$AQ$55,2,FALSE))*IF('19.07'!$AK38="是",'19.07'!$BB$4,'19.07'!$BB$3))</f>
        <v>0</v>
      </c>
      <c r="P38" s="4">
        <f>IF(ISNUMBER(SEARCH("营",'19.07'!X38)),(-$Y38+50*IF('19.07'!$AK38="是",'19.07'!$BB$4,'19.07'!$BB$3)),(VLOOKUP('19.07'!X38,'19.07'!$AO$4:$AQ$55,2,FALSE))*IF('19.07'!$AK38="是",'19.07'!$BB$4,'19.07'!$BB$3))</f>
        <v>0</v>
      </c>
      <c r="Q38" s="4">
        <f>IF(ISNUMBER(SEARCH("营",'19.07'!Y38)),(-$Y38+50*IF('19.07'!$AK38="是",'19.07'!$BB$4,'19.07'!$BB$3)),(VLOOKUP('19.07'!Y38,'19.07'!$AO$4:$AQ$55,2,FALSE))*IF('19.07'!$AK38="是",'19.07'!$BB$4,'19.07'!$BB$3))</f>
        <v>0</v>
      </c>
      <c r="R38" s="4">
        <f>IF(ISNUMBER(SEARCH("营",'19.07'!Z38)),(-$Y38+50*IF('19.07'!$AK38="是",'19.07'!$BB$4,'19.07'!$BB$3)),(VLOOKUP('19.07'!Z38,'19.07'!$AO$4:$AQ$55,2,FALSE))*IF('19.07'!$AK38="是",'19.07'!$BB$4,'19.07'!$BB$3))</f>
        <v>0</v>
      </c>
      <c r="S38" s="4">
        <f>IF(ISNUMBER(SEARCH("营",'19.07'!AA38)),(-$Y38+50*IF('19.07'!$AK38="是",'19.07'!$BB$4,'19.07'!$BB$3)),(VLOOKUP('19.07'!AA38,'19.07'!$AO$4:$AQ$55,2,FALSE))*IF('19.07'!$AK38="是",'19.07'!$BB$4,'19.07'!$BB$3))</f>
        <v>0</v>
      </c>
      <c r="T38" s="4">
        <f>IF(ISNUMBER(SEARCH("营",'19.07'!AB38)),(-$Y38+50*IF('19.07'!$AK38="是",'19.07'!$BB$4,'19.07'!$BB$3)),(VLOOKUP('19.07'!AB38,'19.07'!$AO$4:$AQ$55,2,FALSE))*IF('19.07'!$AK38="是",'19.07'!$BB$4,'19.07'!$BB$3))</f>
        <v>0</v>
      </c>
      <c r="U38" s="4">
        <f>IF(ISNUMBER(SEARCH("营",'19.07'!AC38)),(-$Y38+50*IF('19.07'!$AK38="是",'19.07'!$BB$4,'19.07'!$BB$3)),(VLOOKUP('19.07'!AC38,'19.07'!$AO$4:$AQ$55,2,FALSE))*IF('19.07'!$AK38="是",'19.07'!$BB$4,'19.07'!$BB$3))</f>
        <v>0</v>
      </c>
      <c r="V38" s="4">
        <f>IF(ISNUMBER(SEARCH("营",'19.07'!AD38)),(-$Y38+50*IF('19.07'!$AK38="是",'19.07'!$BB$4,'19.07'!$BB$3)),(VLOOKUP('19.07'!AD38,'19.07'!$AO$4:$AQ$55,2,FALSE))*IF('19.07'!$AK38="是",'19.07'!$BB$4,'19.07'!$BB$3))</f>
        <v>0</v>
      </c>
      <c r="W38" s="4">
        <f>IF(ISNUMBER(SEARCH("营",'19.07'!AE38)),(-$Y38+50*IF('19.07'!$AK38="是",'19.07'!$BB$4,'19.07'!$BB$3)),(VLOOKUP('19.07'!AE38,'19.07'!$AO$4:$AQ$55,2,FALSE))*IF('19.07'!$AK38="是",'19.07'!$BB$4,'19.07'!$BB$3))</f>
        <v>0</v>
      </c>
      <c r="X38" s="4">
        <f>IF(ISNUMBER(SEARCH("营",'19.07'!AF38)),(-$Y38+50*IF('19.07'!$AK38="是",'19.07'!$BB$4,'19.07'!$BB$3)),(VLOOKUP('19.07'!AF38,'19.07'!$AO$4:$AQ$55,2,FALSE))*IF('19.07'!$AK38="是",'19.07'!$BB$4,'19.07'!$BB$3))</f>
        <v>0</v>
      </c>
      <c r="Y38" s="18">
        <v>200</v>
      </c>
      <c r="Z38" s="15">
        <v>45764</v>
      </c>
    </row>
    <row r="39" spans="1:26">
      <c r="A39" s="4">
        <f>IF(ISNUMBER(SEARCH("营",'19.07'!I39)),(-$Y39+50*IF('19.07'!$AK39="是",'19.07'!$BB$4,'19.07'!$BB$3)),(VLOOKUP('19.07'!I39,'19.07'!$AO$4:$AQ$55,2,FALSE))*IF('19.07'!$AK39="是",'19.07'!$BB$4,'19.07'!$BB$3))</f>
        <v>0</v>
      </c>
      <c r="B39" s="4">
        <f>IF(ISNUMBER(SEARCH("营",'19.07'!J39)),(-$Y39+50*IF('19.07'!$AK39="是",'19.07'!$BB$4,'19.07'!$BB$3)),(VLOOKUP('19.07'!J39,'19.07'!$AO$4:$AQ$55,2,FALSE))*IF('19.07'!$AK39="是",'19.07'!$BB$4,'19.07'!$BB$3))</f>
        <v>0</v>
      </c>
      <c r="C39" s="4">
        <f>IF(ISNUMBER(SEARCH("营",'19.07'!K39)),(-$Y39+50*IF('19.07'!$AK39="是",'19.07'!$BB$4,'19.07'!$BB$3)),(VLOOKUP('19.07'!K39,'19.07'!$AO$4:$AQ$55,2,FALSE))*IF('19.07'!$AK39="是",'19.07'!$BB$4,'19.07'!$BB$3))</f>
        <v>0</v>
      </c>
      <c r="D39" s="4">
        <f>IF(ISNUMBER(SEARCH("营",'19.07'!L39)),(-$Y39+50*IF('19.07'!$AK39="是",'19.07'!$BB$4,'19.07'!$BB$3)),(VLOOKUP('19.07'!L39,'19.07'!$AO$4:$AQ$55,2,FALSE))*IF('19.07'!$AK39="是",'19.07'!$BB$4,'19.07'!$BB$3))</f>
        <v>0</v>
      </c>
      <c r="E39" s="4">
        <f>IF(ISNUMBER(SEARCH("营",'19.07'!M39)),(-$Y39+50*IF('19.07'!$AK39="是",'19.07'!$BB$4,'19.07'!$BB$3)),(VLOOKUP('19.07'!M39,'19.07'!$AO$4:$AQ$55,2,FALSE))*IF('19.07'!$AK39="是",'19.07'!$BB$4,'19.07'!$BB$3))</f>
        <v>0</v>
      </c>
      <c r="F39" s="4">
        <f>IF(ISNUMBER(SEARCH("营",'19.07'!N39)),(-$Y39+50*IF('19.07'!$AK39="是",'19.07'!$BB$4,'19.07'!$BB$3)),(VLOOKUP('19.07'!N39,'19.07'!$AO$4:$AQ$55,2,FALSE))*IF('19.07'!$AK39="是",'19.07'!$BB$4,'19.07'!$BB$3))</f>
        <v>0</v>
      </c>
      <c r="G39" s="4">
        <f>IF(ISNUMBER(SEARCH("营",'19.07'!O39)),(-$Y39+50*IF('19.07'!$AK39="是",'19.07'!$BB$4,'19.07'!$BB$3)),(VLOOKUP('19.07'!O39,'19.07'!$AO$4:$AQ$55,2,FALSE))*IF('19.07'!$AK39="是",'19.07'!$BB$4,'19.07'!$BB$3))</f>
        <v>0</v>
      </c>
      <c r="H39" s="4">
        <f>IF(ISNUMBER(SEARCH("营",'19.07'!P39)),(-$Y39+50*IF('19.07'!$AK39="是",'19.07'!$BB$4,'19.07'!$BB$3)),(VLOOKUP('19.07'!P39,'19.07'!$AO$4:$AQ$55,2,FALSE))*IF('19.07'!$AK39="是",'19.07'!$BB$4,'19.07'!$BB$3))</f>
        <v>0</v>
      </c>
      <c r="I39" s="4">
        <f>IF(ISNUMBER(SEARCH("营",'19.07'!Q39)),(-$Y39+50*IF('19.07'!$AK39="是",'19.07'!$BB$4,'19.07'!$BB$3)),(VLOOKUP('19.07'!Q39,'19.07'!$AO$4:$AQ$55,2,FALSE))*IF('19.07'!$AK39="是",'19.07'!$BB$4,'19.07'!$BB$3))</f>
        <v>0</v>
      </c>
      <c r="J39" s="4">
        <f>IF(ISNUMBER(SEARCH("营",'19.07'!R39)),(-$Y39+50*IF('19.07'!$AK39="是",'19.07'!$BB$4,'19.07'!$BB$3)),(VLOOKUP('19.07'!R39,'19.07'!$AO$4:$AQ$55,2,FALSE))*IF('19.07'!$AK39="是",'19.07'!$BB$4,'19.07'!$BB$3))</f>
        <v>0</v>
      </c>
      <c r="K39" s="4">
        <f>IF(ISNUMBER(SEARCH("营",'19.07'!S39)),(-$Y39+50*IF('19.07'!$AK39="是",'19.07'!$BB$4,'19.07'!$BB$3)),(VLOOKUP('19.07'!S39,'19.07'!$AO$4:$AQ$55,2,FALSE))*IF('19.07'!$AK39="是",'19.07'!$BB$4,'19.07'!$BB$3))</f>
        <v>0</v>
      </c>
      <c r="L39" s="4">
        <f>IF(ISNUMBER(SEARCH("营",'19.07'!T39)),(-$Y39+50*IF('19.07'!$AK39="是",'19.07'!$BB$4,'19.07'!$BB$3)),(VLOOKUP('19.07'!T39,'19.07'!$AO$4:$AQ$55,2,FALSE))*IF('19.07'!$AK39="是",'19.07'!$BB$4,'19.07'!$BB$3))</f>
        <v>0</v>
      </c>
      <c r="M39" s="4">
        <f>IF(ISNUMBER(SEARCH("营",'19.07'!U39)),(-$Y39+50*IF('19.07'!$AK39="是",'19.07'!$BB$4,'19.07'!$BB$3)),(VLOOKUP('19.07'!U39,'19.07'!$AO$4:$AQ$55,2,FALSE))*IF('19.07'!$AK39="是",'19.07'!$BB$4,'19.07'!$BB$3))</f>
        <v>0</v>
      </c>
      <c r="N39" s="4">
        <f>IF(ISNUMBER(SEARCH("营",'19.07'!V39)),(-$Y39+50*IF('19.07'!$AK39="是",'19.07'!$BB$4,'19.07'!$BB$3)),(VLOOKUP('19.07'!V39,'19.07'!$AO$4:$AQ$55,2,FALSE))*IF('19.07'!$AK39="是",'19.07'!$BB$4,'19.07'!$BB$3))</f>
        <v>0</v>
      </c>
      <c r="O39" s="4">
        <f>IF(ISNUMBER(SEARCH("营",'19.07'!W39)),(-$Y39+50*IF('19.07'!$AK39="是",'19.07'!$BB$4,'19.07'!$BB$3)),(VLOOKUP('19.07'!W39,'19.07'!$AO$4:$AQ$55,2,FALSE))*IF('19.07'!$AK39="是",'19.07'!$BB$4,'19.07'!$BB$3))</f>
        <v>0</v>
      </c>
      <c r="P39" s="4">
        <f>IF(ISNUMBER(SEARCH("营",'19.07'!X39)),(-$Y39+50*IF('19.07'!$AK39="是",'19.07'!$BB$4,'19.07'!$BB$3)),(VLOOKUP('19.07'!X39,'19.07'!$AO$4:$AQ$55,2,FALSE))*IF('19.07'!$AK39="是",'19.07'!$BB$4,'19.07'!$BB$3))</f>
        <v>0</v>
      </c>
      <c r="Q39" s="4">
        <f>IF(ISNUMBER(SEARCH("营",'19.07'!Y39)),(-$Y39+50*IF('19.07'!$AK39="是",'19.07'!$BB$4,'19.07'!$BB$3)),(VLOOKUP('19.07'!Y39,'19.07'!$AO$4:$AQ$55,2,FALSE))*IF('19.07'!$AK39="是",'19.07'!$BB$4,'19.07'!$BB$3))</f>
        <v>0</v>
      </c>
      <c r="R39" s="4">
        <f>IF(ISNUMBER(SEARCH("营",'19.07'!Z39)),(-$Y39+50*IF('19.07'!$AK39="是",'19.07'!$BB$4,'19.07'!$BB$3)),(VLOOKUP('19.07'!Z39,'19.07'!$AO$4:$AQ$55,2,FALSE))*IF('19.07'!$AK39="是",'19.07'!$BB$4,'19.07'!$BB$3))</f>
        <v>0</v>
      </c>
      <c r="S39" s="4">
        <f>IF(ISNUMBER(SEARCH("营",'19.07'!AA39)),(-$Y39+50*IF('19.07'!$AK39="是",'19.07'!$BB$4,'19.07'!$BB$3)),(VLOOKUP('19.07'!AA39,'19.07'!$AO$4:$AQ$55,2,FALSE))*IF('19.07'!$AK39="是",'19.07'!$BB$4,'19.07'!$BB$3))</f>
        <v>0</v>
      </c>
      <c r="T39" s="4">
        <f>IF(ISNUMBER(SEARCH("营",'19.07'!AB39)),(-$Y39+50*IF('19.07'!$AK39="是",'19.07'!$BB$4,'19.07'!$BB$3)),(VLOOKUP('19.07'!AB39,'19.07'!$AO$4:$AQ$55,2,FALSE))*IF('19.07'!$AK39="是",'19.07'!$BB$4,'19.07'!$BB$3))</f>
        <v>0</v>
      </c>
      <c r="U39" s="4">
        <f>IF(ISNUMBER(SEARCH("营",'19.07'!AC39)),(-$Y39+50*IF('19.07'!$AK39="是",'19.07'!$BB$4,'19.07'!$BB$3)),(VLOOKUP('19.07'!AC39,'19.07'!$AO$4:$AQ$55,2,FALSE))*IF('19.07'!$AK39="是",'19.07'!$BB$4,'19.07'!$BB$3))</f>
        <v>0</v>
      </c>
      <c r="V39" s="4">
        <f>IF(ISNUMBER(SEARCH("营",'19.07'!AD39)),(-$Y39+50*IF('19.07'!$AK39="是",'19.07'!$BB$4,'19.07'!$BB$3)),(VLOOKUP('19.07'!AD39,'19.07'!$AO$4:$AQ$55,2,FALSE))*IF('19.07'!$AK39="是",'19.07'!$BB$4,'19.07'!$BB$3))</f>
        <v>0</v>
      </c>
      <c r="W39" s="4">
        <f>IF(ISNUMBER(SEARCH("营",'19.07'!AE39)),(-$Y39+50*IF('19.07'!$AK39="是",'19.07'!$BB$4,'19.07'!$BB$3)),(VLOOKUP('19.07'!AE39,'19.07'!$AO$4:$AQ$55,2,FALSE))*IF('19.07'!$AK39="是",'19.07'!$BB$4,'19.07'!$BB$3))</f>
        <v>0</v>
      </c>
      <c r="X39" s="4">
        <f>IF(ISNUMBER(SEARCH("营",'19.07'!AF39)),(-$Y39+50*IF('19.07'!$AK39="是",'19.07'!$BB$4,'19.07'!$BB$3)),(VLOOKUP('19.07'!AF39,'19.07'!$AO$4:$AQ$55,2,FALSE))*IF('19.07'!$AK39="是",'19.07'!$BB$4,'19.07'!$BB$3))</f>
        <v>0</v>
      </c>
      <c r="Y39" s="16">
        <v>150</v>
      </c>
      <c r="Z39" s="17">
        <v>45765</v>
      </c>
    </row>
    <row r="40" spans="1:26">
      <c r="A40" s="4">
        <f>IF(ISNUMBER(SEARCH("营",'19.07'!I40)),(-$Y40+50*IF('19.07'!$AK40="是",'19.07'!$BB$4,'19.07'!$BB$3)),(VLOOKUP('19.07'!I40,'19.07'!$AO$4:$AQ$55,2,FALSE))*IF('19.07'!$AK40="是",'19.07'!$BB$4,'19.07'!$BB$3))</f>
        <v>0</v>
      </c>
      <c r="B40" s="4">
        <f>IF(ISNUMBER(SEARCH("营",'19.07'!J40)),(-$Y40+50*IF('19.07'!$AK40="是",'19.07'!$BB$4,'19.07'!$BB$3)),(VLOOKUP('19.07'!J40,'19.07'!$AO$4:$AQ$55,2,FALSE))*IF('19.07'!$AK40="是",'19.07'!$BB$4,'19.07'!$BB$3))</f>
        <v>0</v>
      </c>
      <c r="C40" s="4">
        <f>IF(ISNUMBER(SEARCH("营",'19.07'!K40)),(-$Y40+50*IF('19.07'!$AK40="是",'19.07'!$BB$4,'19.07'!$BB$3)),(VLOOKUP('19.07'!K40,'19.07'!$AO$4:$AQ$55,2,FALSE))*IF('19.07'!$AK40="是",'19.07'!$BB$4,'19.07'!$BB$3))</f>
        <v>0</v>
      </c>
      <c r="D40" s="4">
        <f>IF(ISNUMBER(SEARCH("营",'19.07'!L40)),(-$Y40+50*IF('19.07'!$AK40="是",'19.07'!$BB$4,'19.07'!$BB$3)),(VLOOKUP('19.07'!L40,'19.07'!$AO$4:$AQ$55,2,FALSE))*IF('19.07'!$AK40="是",'19.07'!$BB$4,'19.07'!$BB$3))</f>
        <v>0</v>
      </c>
      <c r="E40" s="4">
        <f>IF(ISNUMBER(SEARCH("营",'19.07'!M40)),(-$Y40+50*IF('19.07'!$AK40="是",'19.07'!$BB$4,'19.07'!$BB$3)),(VLOOKUP('19.07'!M40,'19.07'!$AO$4:$AQ$55,2,FALSE))*IF('19.07'!$AK40="是",'19.07'!$BB$4,'19.07'!$BB$3))</f>
        <v>0</v>
      </c>
      <c r="F40" s="4">
        <f>IF(ISNUMBER(SEARCH("营",'19.07'!N40)),(-$Y40+50*IF('19.07'!$AK40="是",'19.07'!$BB$4,'19.07'!$BB$3)),(VLOOKUP('19.07'!N40,'19.07'!$AO$4:$AQ$55,2,FALSE))*IF('19.07'!$AK40="是",'19.07'!$BB$4,'19.07'!$BB$3))</f>
        <v>0</v>
      </c>
      <c r="G40" s="4">
        <f>IF(ISNUMBER(SEARCH("营",'19.07'!O40)),(-$Y40+50*IF('19.07'!$AK40="是",'19.07'!$BB$4,'19.07'!$BB$3)),(VLOOKUP('19.07'!O40,'19.07'!$AO$4:$AQ$55,2,FALSE))*IF('19.07'!$AK40="是",'19.07'!$BB$4,'19.07'!$BB$3))</f>
        <v>0</v>
      </c>
      <c r="H40" s="4">
        <f>IF(ISNUMBER(SEARCH("营",'19.07'!P40)),(-$Y40+50*IF('19.07'!$AK40="是",'19.07'!$BB$4,'19.07'!$BB$3)),(VLOOKUP('19.07'!P40,'19.07'!$AO$4:$AQ$55,2,FALSE))*IF('19.07'!$AK40="是",'19.07'!$BB$4,'19.07'!$BB$3))</f>
        <v>0</v>
      </c>
      <c r="I40" s="4">
        <f>IF(ISNUMBER(SEARCH("营",'19.07'!Q40)),(-$Y40+50*IF('19.07'!$AK40="是",'19.07'!$BB$4,'19.07'!$BB$3)),(VLOOKUP('19.07'!Q40,'19.07'!$AO$4:$AQ$55,2,FALSE))*IF('19.07'!$AK40="是",'19.07'!$BB$4,'19.07'!$BB$3))</f>
        <v>0</v>
      </c>
      <c r="J40" s="4">
        <f>IF(ISNUMBER(SEARCH("营",'19.07'!R40)),(-$Y40+50*IF('19.07'!$AK40="是",'19.07'!$BB$4,'19.07'!$BB$3)),(VLOOKUP('19.07'!R40,'19.07'!$AO$4:$AQ$55,2,FALSE))*IF('19.07'!$AK40="是",'19.07'!$BB$4,'19.07'!$BB$3))</f>
        <v>0</v>
      </c>
      <c r="K40" s="4">
        <f>IF(ISNUMBER(SEARCH("营",'19.07'!S40)),(-$Y40+50*IF('19.07'!$AK40="是",'19.07'!$BB$4,'19.07'!$BB$3)),(VLOOKUP('19.07'!S40,'19.07'!$AO$4:$AQ$55,2,FALSE))*IF('19.07'!$AK40="是",'19.07'!$BB$4,'19.07'!$BB$3))</f>
        <v>0</v>
      </c>
      <c r="L40" s="4">
        <f>IF(ISNUMBER(SEARCH("营",'19.07'!T40)),(-$Y40+50*IF('19.07'!$AK40="是",'19.07'!$BB$4,'19.07'!$BB$3)),(VLOOKUP('19.07'!T40,'19.07'!$AO$4:$AQ$55,2,FALSE))*IF('19.07'!$AK40="是",'19.07'!$BB$4,'19.07'!$BB$3))</f>
        <v>0</v>
      </c>
      <c r="M40" s="4">
        <f>IF(ISNUMBER(SEARCH("营",'19.07'!U40)),(-$Y40+50*IF('19.07'!$AK40="是",'19.07'!$BB$4,'19.07'!$BB$3)),(VLOOKUP('19.07'!U40,'19.07'!$AO$4:$AQ$55,2,FALSE))*IF('19.07'!$AK40="是",'19.07'!$BB$4,'19.07'!$BB$3))</f>
        <v>0</v>
      </c>
      <c r="N40" s="4">
        <f>IF(ISNUMBER(SEARCH("营",'19.07'!V40)),(-$Y40+50*IF('19.07'!$AK40="是",'19.07'!$BB$4,'19.07'!$BB$3)),(VLOOKUP('19.07'!V40,'19.07'!$AO$4:$AQ$55,2,FALSE))*IF('19.07'!$AK40="是",'19.07'!$BB$4,'19.07'!$BB$3))</f>
        <v>0</v>
      </c>
      <c r="O40" s="4">
        <f>IF(ISNUMBER(SEARCH("营",'19.07'!W40)),(-$Y40+50*IF('19.07'!$AK40="是",'19.07'!$BB$4,'19.07'!$BB$3)),(VLOOKUP('19.07'!W40,'19.07'!$AO$4:$AQ$55,2,FALSE))*IF('19.07'!$AK40="是",'19.07'!$BB$4,'19.07'!$BB$3))</f>
        <v>0</v>
      </c>
      <c r="P40" s="4">
        <f>IF(ISNUMBER(SEARCH("营",'19.07'!X40)),(-$Y40+50*IF('19.07'!$AK40="是",'19.07'!$BB$4,'19.07'!$BB$3)),(VLOOKUP('19.07'!X40,'19.07'!$AO$4:$AQ$55,2,FALSE))*IF('19.07'!$AK40="是",'19.07'!$BB$4,'19.07'!$BB$3))</f>
        <v>0</v>
      </c>
      <c r="Q40" s="4">
        <f>IF(ISNUMBER(SEARCH("营",'19.07'!Y40)),(-$Y40+50*IF('19.07'!$AK40="是",'19.07'!$BB$4,'19.07'!$BB$3)),(VLOOKUP('19.07'!Y40,'19.07'!$AO$4:$AQ$55,2,FALSE))*IF('19.07'!$AK40="是",'19.07'!$BB$4,'19.07'!$BB$3))</f>
        <v>128</v>
      </c>
      <c r="R40" s="4">
        <f>IF(ISNUMBER(SEARCH("营",'19.07'!Z40)),(-$Y40+50*IF('19.07'!$AK40="是",'19.07'!$BB$4,'19.07'!$BB$3)),(VLOOKUP('19.07'!Z40,'19.07'!$AO$4:$AQ$55,2,FALSE))*IF('19.07'!$AK40="是",'19.07'!$BB$4,'19.07'!$BB$3))</f>
        <v>128</v>
      </c>
      <c r="S40" s="4">
        <f>IF(ISNUMBER(SEARCH("营",'19.07'!AA40)),(-$Y40+50*IF('19.07'!$AK40="是",'19.07'!$BB$4,'19.07'!$BB$3)),(VLOOKUP('19.07'!AA40,'19.07'!$AO$4:$AQ$55,2,FALSE))*IF('19.07'!$AK40="是",'19.07'!$BB$4,'19.07'!$BB$3))</f>
        <v>40</v>
      </c>
      <c r="T40" s="4">
        <f>IF(ISNUMBER(SEARCH("营",'19.07'!AB40)),(-$Y40+50*IF('19.07'!$AK40="是",'19.07'!$BB$4,'19.07'!$BB$3)),(VLOOKUP('19.07'!AB40,'19.07'!$AO$4:$AQ$55,2,FALSE))*IF('19.07'!$AK40="是",'19.07'!$BB$4,'19.07'!$BB$3))</f>
        <v>128</v>
      </c>
      <c r="U40" s="4">
        <f>IF(ISNUMBER(SEARCH("营",'19.07'!AC40)),(-$Y40+50*IF('19.07'!$AK40="是",'19.07'!$BB$4,'19.07'!$BB$3)),(VLOOKUP('19.07'!AC40,'19.07'!$AO$4:$AQ$55,2,FALSE))*IF('19.07'!$AK40="是",'19.07'!$BB$4,'19.07'!$BB$3))</f>
        <v>128</v>
      </c>
      <c r="V40" s="4">
        <f>IF(ISNUMBER(SEARCH("营",'19.07'!AD40)),(-$Y40+50*IF('19.07'!$AK40="是",'19.07'!$BB$4,'19.07'!$BB$3)),(VLOOKUP('19.07'!AD40,'19.07'!$AO$4:$AQ$55,2,FALSE))*IF('19.07'!$AK40="是",'19.07'!$BB$4,'19.07'!$BB$3))</f>
        <v>40</v>
      </c>
      <c r="W40" s="4">
        <f>IF(ISNUMBER(SEARCH("营",'19.07'!AE40)),(-$Y40+50*IF('19.07'!$AK40="是",'19.07'!$BB$4,'19.07'!$BB$3)),(VLOOKUP('19.07'!AE40,'19.07'!$AO$4:$AQ$55,2,FALSE))*IF('19.07'!$AK40="是",'19.07'!$BB$4,'19.07'!$BB$3))</f>
        <v>0</v>
      </c>
      <c r="X40" s="4">
        <f>IF(ISNUMBER(SEARCH("营",'19.07'!AF40)),(-$Y40+50*IF('19.07'!$AK40="是",'19.07'!$BB$4,'19.07'!$BB$3)),(VLOOKUP('19.07'!AF40,'19.07'!$AO$4:$AQ$55,2,FALSE))*IF('19.07'!$AK40="是",'19.07'!$BB$4,'19.07'!$BB$3))</f>
        <v>0</v>
      </c>
      <c r="Y40" s="16">
        <v>150</v>
      </c>
      <c r="Z40" s="17">
        <v>45766</v>
      </c>
    </row>
    <row r="41" spans="1:26">
      <c r="A41" s="4">
        <f>IF(ISNUMBER(SEARCH("营",'19.07'!I41)),(-$Y41+50*IF('19.07'!$AK41="是",'19.07'!$BB$4,'19.07'!$BB$3)),(VLOOKUP('19.07'!I41,'19.07'!$AO$4:$AQ$55,2,FALSE))*IF('19.07'!$AK41="是",'19.07'!$BB$4,'19.07'!$BB$3))</f>
        <v>0</v>
      </c>
      <c r="B41" s="4">
        <f>IF(ISNUMBER(SEARCH("营",'19.07'!J41)),(-$Y41+50*IF('19.07'!$AK41="是",'19.07'!$BB$4,'19.07'!$BB$3)),(VLOOKUP('19.07'!J41,'19.07'!$AO$4:$AQ$55,2,FALSE))*IF('19.07'!$AK41="是",'19.07'!$BB$4,'19.07'!$BB$3))</f>
        <v>0</v>
      </c>
      <c r="C41" s="4">
        <f>IF(ISNUMBER(SEARCH("营",'19.07'!K41)),(-$Y41+50*IF('19.07'!$AK41="是",'19.07'!$BB$4,'19.07'!$BB$3)),(VLOOKUP('19.07'!K41,'19.07'!$AO$4:$AQ$55,2,FALSE))*IF('19.07'!$AK41="是",'19.07'!$BB$4,'19.07'!$BB$3))</f>
        <v>0</v>
      </c>
      <c r="D41" s="4">
        <f>IF(ISNUMBER(SEARCH("营",'19.07'!L41)),(-$Y41+50*IF('19.07'!$AK41="是",'19.07'!$BB$4,'19.07'!$BB$3)),(VLOOKUP('19.07'!L41,'19.07'!$AO$4:$AQ$55,2,FALSE))*IF('19.07'!$AK41="是",'19.07'!$BB$4,'19.07'!$BB$3))</f>
        <v>0</v>
      </c>
      <c r="E41" s="4">
        <f>IF(ISNUMBER(SEARCH("营",'19.07'!M41)),(-$Y41+50*IF('19.07'!$AK41="是",'19.07'!$BB$4,'19.07'!$BB$3)),(VLOOKUP('19.07'!M41,'19.07'!$AO$4:$AQ$55,2,FALSE))*IF('19.07'!$AK41="是",'19.07'!$BB$4,'19.07'!$BB$3))</f>
        <v>0</v>
      </c>
      <c r="F41" s="4">
        <f>IF(ISNUMBER(SEARCH("营",'19.07'!N41)),(-$Y41+50*IF('19.07'!$AK41="是",'19.07'!$BB$4,'19.07'!$BB$3)),(VLOOKUP('19.07'!N41,'19.07'!$AO$4:$AQ$55,2,FALSE))*IF('19.07'!$AK41="是",'19.07'!$BB$4,'19.07'!$BB$3))</f>
        <v>0</v>
      </c>
      <c r="G41" s="4">
        <f>IF(ISNUMBER(SEARCH("营",'19.07'!O41)),(-$Y41+50*IF('19.07'!$AK41="是",'19.07'!$BB$4,'19.07'!$BB$3)),(VLOOKUP('19.07'!O41,'19.07'!$AO$4:$AQ$55,2,FALSE))*IF('19.07'!$AK41="是",'19.07'!$BB$4,'19.07'!$BB$3))</f>
        <v>0</v>
      </c>
      <c r="H41" s="4">
        <f>IF(ISNUMBER(SEARCH("营",'19.07'!P41)),(-$Y41+50*IF('19.07'!$AK41="是",'19.07'!$BB$4,'19.07'!$BB$3)),(VLOOKUP('19.07'!P41,'19.07'!$AO$4:$AQ$55,2,FALSE))*IF('19.07'!$AK41="是",'19.07'!$BB$4,'19.07'!$BB$3))</f>
        <v>0</v>
      </c>
      <c r="I41" s="4">
        <f>IF(ISNUMBER(SEARCH("营",'19.07'!Q41)),(-$Y41+50*IF('19.07'!$AK41="是",'19.07'!$BB$4,'19.07'!$BB$3)),(VLOOKUP('19.07'!Q41,'19.07'!$AO$4:$AQ$55,2,FALSE))*IF('19.07'!$AK41="是",'19.07'!$BB$4,'19.07'!$BB$3))</f>
        <v>0</v>
      </c>
      <c r="J41" s="4">
        <f>IF(ISNUMBER(SEARCH("营",'19.07'!R41)),(-$Y41+50*IF('19.07'!$AK41="是",'19.07'!$BB$4,'19.07'!$BB$3)),(VLOOKUP('19.07'!R41,'19.07'!$AO$4:$AQ$55,2,FALSE))*IF('19.07'!$AK41="是",'19.07'!$BB$4,'19.07'!$BB$3))</f>
        <v>0</v>
      </c>
      <c r="K41" s="4">
        <f>IF(ISNUMBER(SEARCH("营",'19.07'!S41)),(-$Y41+50*IF('19.07'!$AK41="是",'19.07'!$BB$4,'19.07'!$BB$3)),(VLOOKUP('19.07'!S41,'19.07'!$AO$4:$AQ$55,2,FALSE))*IF('19.07'!$AK41="是",'19.07'!$BB$4,'19.07'!$BB$3))</f>
        <v>0</v>
      </c>
      <c r="L41" s="4">
        <f>IF(ISNUMBER(SEARCH("营",'19.07'!T41)),(-$Y41+50*IF('19.07'!$AK41="是",'19.07'!$BB$4,'19.07'!$BB$3)),(VLOOKUP('19.07'!T41,'19.07'!$AO$4:$AQ$55,2,FALSE))*IF('19.07'!$AK41="是",'19.07'!$BB$4,'19.07'!$BB$3))</f>
        <v>0</v>
      </c>
      <c r="M41" s="4">
        <f>IF(ISNUMBER(SEARCH("营",'19.07'!U41)),(-$Y41+50*IF('19.07'!$AK41="是",'19.07'!$BB$4,'19.07'!$BB$3)),(VLOOKUP('19.07'!U41,'19.07'!$AO$4:$AQ$55,2,FALSE))*IF('19.07'!$AK41="是",'19.07'!$BB$4,'19.07'!$BB$3))</f>
        <v>0</v>
      </c>
      <c r="N41" s="4">
        <f>IF(ISNUMBER(SEARCH("营",'19.07'!V41)),(-$Y41+50*IF('19.07'!$AK41="是",'19.07'!$BB$4,'19.07'!$BB$3)),(VLOOKUP('19.07'!V41,'19.07'!$AO$4:$AQ$55,2,FALSE))*IF('19.07'!$AK41="是",'19.07'!$BB$4,'19.07'!$BB$3))</f>
        <v>0</v>
      </c>
      <c r="O41" s="4">
        <f>IF(ISNUMBER(SEARCH("营",'19.07'!W41)),(-$Y41+50*IF('19.07'!$AK41="是",'19.07'!$BB$4,'19.07'!$BB$3)),(VLOOKUP('19.07'!W41,'19.07'!$AO$4:$AQ$55,2,FALSE))*IF('19.07'!$AK41="是",'19.07'!$BB$4,'19.07'!$BB$3))</f>
        <v>0</v>
      </c>
      <c r="P41" s="4">
        <f>IF(ISNUMBER(SEARCH("营",'19.07'!X41)),(-$Y41+50*IF('19.07'!$AK41="是",'19.07'!$BB$4,'19.07'!$BB$3)),(VLOOKUP('19.07'!X41,'19.07'!$AO$4:$AQ$55,2,FALSE))*IF('19.07'!$AK41="是",'19.07'!$BB$4,'19.07'!$BB$3))</f>
        <v>0</v>
      </c>
      <c r="Q41" s="4">
        <f>IF(ISNUMBER(SEARCH("营",'19.07'!Y41)),(-$Y41+50*IF('19.07'!$AK41="是",'19.07'!$BB$4,'19.07'!$BB$3)),(VLOOKUP('19.07'!Y41,'19.07'!$AO$4:$AQ$55,2,FALSE))*IF('19.07'!$AK41="是",'19.07'!$BB$4,'19.07'!$BB$3))</f>
        <v>0</v>
      </c>
      <c r="R41" s="4">
        <f>IF(ISNUMBER(SEARCH("营",'19.07'!Z41)),(-$Y41+50*IF('19.07'!$AK41="是",'19.07'!$BB$4,'19.07'!$BB$3)),(VLOOKUP('19.07'!Z41,'19.07'!$AO$4:$AQ$55,2,FALSE))*IF('19.07'!$AK41="是",'19.07'!$BB$4,'19.07'!$BB$3))</f>
        <v>0</v>
      </c>
      <c r="S41" s="4">
        <f>IF(ISNUMBER(SEARCH("营",'19.07'!AA41)),(-$Y41+50*IF('19.07'!$AK41="是",'19.07'!$BB$4,'19.07'!$BB$3)),(VLOOKUP('19.07'!AA41,'19.07'!$AO$4:$AQ$55,2,FALSE))*IF('19.07'!$AK41="是",'19.07'!$BB$4,'19.07'!$BB$3))</f>
        <v>0</v>
      </c>
      <c r="T41" s="4">
        <f>IF(ISNUMBER(SEARCH("营",'19.07'!AB41)),(-$Y41+50*IF('19.07'!$AK41="是",'19.07'!$BB$4,'19.07'!$BB$3)),(VLOOKUP('19.07'!AB41,'19.07'!$AO$4:$AQ$55,2,FALSE))*IF('19.07'!$AK41="是",'19.07'!$BB$4,'19.07'!$BB$3))</f>
        <v>0</v>
      </c>
      <c r="U41" s="4">
        <f>IF(ISNUMBER(SEARCH("营",'19.07'!AC41)),(-$Y41+50*IF('19.07'!$AK41="是",'19.07'!$BB$4,'19.07'!$BB$3)),(VLOOKUP('19.07'!AC41,'19.07'!$AO$4:$AQ$55,2,FALSE))*IF('19.07'!$AK41="是",'19.07'!$BB$4,'19.07'!$BB$3))</f>
        <v>0</v>
      </c>
      <c r="V41" s="4">
        <f>IF(ISNUMBER(SEARCH("营",'19.07'!AD41)),(-$Y41+50*IF('19.07'!$AK41="是",'19.07'!$BB$4,'19.07'!$BB$3)),(VLOOKUP('19.07'!AD41,'19.07'!$AO$4:$AQ$55,2,FALSE))*IF('19.07'!$AK41="是",'19.07'!$BB$4,'19.07'!$BB$3))</f>
        <v>0</v>
      </c>
      <c r="W41" s="4">
        <f>IF(ISNUMBER(SEARCH("营",'19.07'!AE41)),(-$Y41+50*IF('19.07'!$AK41="是",'19.07'!$BB$4,'19.07'!$BB$3)),(VLOOKUP('19.07'!AE41,'19.07'!$AO$4:$AQ$55,2,FALSE))*IF('19.07'!$AK41="是",'19.07'!$BB$4,'19.07'!$BB$3))</f>
        <v>0</v>
      </c>
      <c r="X41" s="4">
        <f>IF(ISNUMBER(SEARCH("营",'19.07'!AF41)),(-$Y41+50*IF('19.07'!$AK41="是",'19.07'!$BB$4,'19.07'!$BB$3)),(VLOOKUP('19.07'!AF41,'19.07'!$AO$4:$AQ$55,2,FALSE))*IF('19.07'!$AK41="是",'19.07'!$BB$4,'19.07'!$BB$3))</f>
        <v>0</v>
      </c>
      <c r="Y41" s="16">
        <v>150</v>
      </c>
      <c r="Z41" s="17">
        <v>45767</v>
      </c>
    </row>
    <row r="42" spans="1:26">
      <c r="A42" s="4">
        <f>IF(ISNUMBER(SEARCH("营",'19.07'!I42)),(-$Y42+50*IF('19.07'!$AK42="是",'19.07'!$BB$4,'19.07'!$BB$3)),(VLOOKUP('19.07'!I42,'19.07'!$AO$4:$AQ$55,2,FALSE))*IF('19.07'!$AK42="是",'19.07'!$BB$4,'19.07'!$BB$3))</f>
        <v>0</v>
      </c>
      <c r="B42" s="4">
        <f>IF(ISNUMBER(SEARCH("营",'19.07'!J42)),(-$Y42+50*IF('19.07'!$AK42="是",'19.07'!$BB$4,'19.07'!$BB$3)),(VLOOKUP('19.07'!J42,'19.07'!$AO$4:$AQ$55,2,FALSE))*IF('19.07'!$AK42="是",'19.07'!$BB$4,'19.07'!$BB$3))</f>
        <v>0</v>
      </c>
      <c r="C42" s="4">
        <f>IF(ISNUMBER(SEARCH("营",'19.07'!K42)),(-$Y42+50*IF('19.07'!$AK42="是",'19.07'!$BB$4,'19.07'!$BB$3)),(VLOOKUP('19.07'!K42,'19.07'!$AO$4:$AQ$55,2,FALSE))*IF('19.07'!$AK42="是",'19.07'!$BB$4,'19.07'!$BB$3))</f>
        <v>0</v>
      </c>
      <c r="D42" s="4">
        <f>IF(ISNUMBER(SEARCH("营",'19.07'!L42)),(-$Y42+50*IF('19.07'!$AK42="是",'19.07'!$BB$4,'19.07'!$BB$3)),(VLOOKUP('19.07'!L42,'19.07'!$AO$4:$AQ$55,2,FALSE))*IF('19.07'!$AK42="是",'19.07'!$BB$4,'19.07'!$BB$3))</f>
        <v>0</v>
      </c>
      <c r="E42" s="4">
        <f>IF(ISNUMBER(SEARCH("营",'19.07'!M42)),(-$Y42+50*IF('19.07'!$AK42="是",'19.07'!$BB$4,'19.07'!$BB$3)),(VLOOKUP('19.07'!M42,'19.07'!$AO$4:$AQ$55,2,FALSE))*IF('19.07'!$AK42="是",'19.07'!$BB$4,'19.07'!$BB$3))</f>
        <v>0</v>
      </c>
      <c r="F42" s="4">
        <f>IF(ISNUMBER(SEARCH("营",'19.07'!N42)),(-$Y42+50*IF('19.07'!$AK42="是",'19.07'!$BB$4,'19.07'!$BB$3)),(VLOOKUP('19.07'!N42,'19.07'!$AO$4:$AQ$55,2,FALSE))*IF('19.07'!$AK42="是",'19.07'!$BB$4,'19.07'!$BB$3))</f>
        <v>0</v>
      </c>
      <c r="G42" s="4">
        <f>IF(ISNUMBER(SEARCH("营",'19.07'!O42)),(-$Y42+50*IF('19.07'!$AK42="是",'19.07'!$BB$4,'19.07'!$BB$3)),(VLOOKUP('19.07'!O42,'19.07'!$AO$4:$AQ$55,2,FALSE))*IF('19.07'!$AK42="是",'19.07'!$BB$4,'19.07'!$BB$3))</f>
        <v>0</v>
      </c>
      <c r="H42" s="4">
        <f>IF(ISNUMBER(SEARCH("营",'19.07'!P42)),(-$Y42+50*IF('19.07'!$AK42="是",'19.07'!$BB$4,'19.07'!$BB$3)),(VLOOKUP('19.07'!P42,'19.07'!$AO$4:$AQ$55,2,FALSE))*IF('19.07'!$AK42="是",'19.07'!$BB$4,'19.07'!$BB$3))</f>
        <v>0</v>
      </c>
      <c r="I42" s="4">
        <f>IF(ISNUMBER(SEARCH("营",'19.07'!Q42)),(-$Y42+50*IF('19.07'!$AK42="是",'19.07'!$BB$4,'19.07'!$BB$3)),(VLOOKUP('19.07'!Q42,'19.07'!$AO$4:$AQ$55,2,FALSE))*IF('19.07'!$AK42="是",'19.07'!$BB$4,'19.07'!$BB$3))</f>
        <v>0</v>
      </c>
      <c r="J42" s="4">
        <f>IF(ISNUMBER(SEARCH("营",'19.07'!R42)),(-$Y42+50*IF('19.07'!$AK42="是",'19.07'!$BB$4,'19.07'!$BB$3)),(VLOOKUP('19.07'!R42,'19.07'!$AO$4:$AQ$55,2,FALSE))*IF('19.07'!$AK42="是",'19.07'!$BB$4,'19.07'!$BB$3))</f>
        <v>0</v>
      </c>
      <c r="K42" s="4">
        <f>IF(ISNUMBER(SEARCH("营",'19.07'!S42)),(-$Y42+50*IF('19.07'!$AK42="是",'19.07'!$BB$4,'19.07'!$BB$3)),(VLOOKUP('19.07'!S42,'19.07'!$AO$4:$AQ$55,2,FALSE))*IF('19.07'!$AK42="是",'19.07'!$BB$4,'19.07'!$BB$3))</f>
        <v>0</v>
      </c>
      <c r="L42" s="4">
        <f>IF(ISNUMBER(SEARCH("营",'19.07'!T42)),(-$Y42+50*IF('19.07'!$AK42="是",'19.07'!$BB$4,'19.07'!$BB$3)),(VLOOKUP('19.07'!T42,'19.07'!$AO$4:$AQ$55,2,FALSE))*IF('19.07'!$AK42="是",'19.07'!$BB$4,'19.07'!$BB$3))</f>
        <v>0</v>
      </c>
      <c r="M42" s="4">
        <f>IF(ISNUMBER(SEARCH("营",'19.07'!U42)),(-$Y42+50*IF('19.07'!$AK42="是",'19.07'!$BB$4,'19.07'!$BB$3)),(VLOOKUP('19.07'!U42,'19.07'!$AO$4:$AQ$55,2,FALSE))*IF('19.07'!$AK42="是",'19.07'!$BB$4,'19.07'!$BB$3))</f>
        <v>0</v>
      </c>
      <c r="N42" s="4">
        <f>IF(ISNUMBER(SEARCH("营",'19.07'!V42)),(-$Y42+50*IF('19.07'!$AK42="是",'19.07'!$BB$4,'19.07'!$BB$3)),(VLOOKUP('19.07'!V42,'19.07'!$AO$4:$AQ$55,2,FALSE))*IF('19.07'!$AK42="是",'19.07'!$BB$4,'19.07'!$BB$3))</f>
        <v>0</v>
      </c>
      <c r="O42" s="4">
        <f>IF(ISNUMBER(SEARCH("营",'19.07'!W42)),(-$Y42+50*IF('19.07'!$AK42="是",'19.07'!$BB$4,'19.07'!$BB$3)),(VLOOKUP('19.07'!W42,'19.07'!$AO$4:$AQ$55,2,FALSE))*IF('19.07'!$AK42="是",'19.07'!$BB$4,'19.07'!$BB$3))</f>
        <v>0</v>
      </c>
      <c r="P42" s="4">
        <f>IF(ISNUMBER(SEARCH("营",'19.07'!X42)),(-$Y42+50*IF('19.07'!$AK42="是",'19.07'!$BB$4,'19.07'!$BB$3)),(VLOOKUP('19.07'!X42,'19.07'!$AO$4:$AQ$55,2,FALSE))*IF('19.07'!$AK42="是",'19.07'!$BB$4,'19.07'!$BB$3))</f>
        <v>0</v>
      </c>
      <c r="Q42" s="4">
        <f>IF(ISNUMBER(SEARCH("营",'19.07'!Y42)),(-$Y42+50*IF('19.07'!$AK42="是",'19.07'!$BB$4,'19.07'!$BB$3)),(VLOOKUP('19.07'!Y42,'19.07'!$AO$4:$AQ$55,2,FALSE))*IF('19.07'!$AK42="是",'19.07'!$BB$4,'19.07'!$BB$3))</f>
        <v>0</v>
      </c>
      <c r="R42" s="4">
        <f>IF(ISNUMBER(SEARCH("营",'19.07'!Z42)),(-$Y42+50*IF('19.07'!$AK42="是",'19.07'!$BB$4,'19.07'!$BB$3)),(VLOOKUP('19.07'!Z42,'19.07'!$AO$4:$AQ$55,2,FALSE))*IF('19.07'!$AK42="是",'19.07'!$BB$4,'19.07'!$BB$3))</f>
        <v>0</v>
      </c>
      <c r="S42" s="4">
        <f>IF(ISNUMBER(SEARCH("营",'19.07'!AA42)),(-$Y42+50*IF('19.07'!$AK42="是",'19.07'!$BB$4,'19.07'!$BB$3)),(VLOOKUP('19.07'!AA42,'19.07'!$AO$4:$AQ$55,2,FALSE))*IF('19.07'!$AK42="是",'19.07'!$BB$4,'19.07'!$BB$3))</f>
        <v>0</v>
      </c>
      <c r="T42" s="4">
        <f>IF(ISNUMBER(SEARCH("营",'19.07'!AB42)),(-$Y42+50*IF('19.07'!$AK42="是",'19.07'!$BB$4,'19.07'!$BB$3)),(VLOOKUP('19.07'!AB42,'19.07'!$AO$4:$AQ$55,2,FALSE))*IF('19.07'!$AK42="是",'19.07'!$BB$4,'19.07'!$BB$3))</f>
        <v>0</v>
      </c>
      <c r="U42" s="4">
        <f>IF(ISNUMBER(SEARCH("营",'19.07'!AC42)),(-$Y42+50*IF('19.07'!$AK42="是",'19.07'!$BB$4,'19.07'!$BB$3)),(VLOOKUP('19.07'!AC42,'19.07'!$AO$4:$AQ$55,2,FALSE))*IF('19.07'!$AK42="是",'19.07'!$BB$4,'19.07'!$BB$3))</f>
        <v>0</v>
      </c>
      <c r="V42" s="4">
        <f>IF(ISNUMBER(SEARCH("营",'19.07'!AD42)),(-$Y42+50*IF('19.07'!$AK42="是",'19.07'!$BB$4,'19.07'!$BB$3)),(VLOOKUP('19.07'!AD42,'19.07'!$AO$4:$AQ$55,2,FALSE))*IF('19.07'!$AK42="是",'19.07'!$BB$4,'19.07'!$BB$3))</f>
        <v>0</v>
      </c>
      <c r="W42" s="4">
        <f>IF(ISNUMBER(SEARCH("营",'19.07'!AE42)),(-$Y42+50*IF('19.07'!$AK42="是",'19.07'!$BB$4,'19.07'!$BB$3)),(VLOOKUP('19.07'!AE42,'19.07'!$AO$4:$AQ$55,2,FALSE))*IF('19.07'!$AK42="是",'19.07'!$BB$4,'19.07'!$BB$3))</f>
        <v>0</v>
      </c>
      <c r="X42" s="4">
        <f>IF(ISNUMBER(SEARCH("营",'19.07'!AF42)),(-$Y42+50*IF('19.07'!$AK42="是",'19.07'!$BB$4,'19.07'!$BB$3)),(VLOOKUP('19.07'!AF42,'19.07'!$AO$4:$AQ$55,2,FALSE))*IF('19.07'!$AK42="是",'19.07'!$BB$4,'19.07'!$BB$3))</f>
        <v>0</v>
      </c>
      <c r="Y42" s="16">
        <v>150</v>
      </c>
      <c r="Z42" s="17">
        <v>45768</v>
      </c>
    </row>
    <row r="43" spans="1:26">
      <c r="A43" s="4">
        <f>IF(ISNUMBER(SEARCH("营",'19.07'!I43)),(-$Y43+50*IF('19.07'!$AK43="是",'19.07'!$BB$4,'19.07'!$BB$3)),(VLOOKUP('19.07'!I43,'19.07'!$AO$4:$AQ$55,2,FALSE))*IF('19.07'!$AK43="是",'19.07'!$BB$4,'19.07'!$BB$3))</f>
        <v>0</v>
      </c>
      <c r="B43" s="4">
        <f>IF(ISNUMBER(SEARCH("营",'19.07'!J43)),(-$Y43+50*IF('19.07'!$AK43="是",'19.07'!$BB$4,'19.07'!$BB$3)),(VLOOKUP('19.07'!J43,'19.07'!$AO$4:$AQ$55,2,FALSE))*IF('19.07'!$AK43="是",'19.07'!$BB$4,'19.07'!$BB$3))</f>
        <v>0</v>
      </c>
      <c r="C43" s="4">
        <f>IF(ISNUMBER(SEARCH("营",'19.07'!K43)),(-$Y43+50*IF('19.07'!$AK43="是",'19.07'!$BB$4,'19.07'!$BB$3)),(VLOOKUP('19.07'!K43,'19.07'!$AO$4:$AQ$55,2,FALSE))*IF('19.07'!$AK43="是",'19.07'!$BB$4,'19.07'!$BB$3))</f>
        <v>0</v>
      </c>
      <c r="D43" s="4">
        <f>IF(ISNUMBER(SEARCH("营",'19.07'!L43)),(-$Y43+50*IF('19.07'!$AK43="是",'19.07'!$BB$4,'19.07'!$BB$3)),(VLOOKUP('19.07'!L43,'19.07'!$AO$4:$AQ$55,2,FALSE))*IF('19.07'!$AK43="是",'19.07'!$BB$4,'19.07'!$BB$3))</f>
        <v>0</v>
      </c>
      <c r="E43" s="4">
        <f>IF(ISNUMBER(SEARCH("营",'19.07'!M43)),(-$Y43+50*IF('19.07'!$AK43="是",'19.07'!$BB$4,'19.07'!$BB$3)),(VLOOKUP('19.07'!M43,'19.07'!$AO$4:$AQ$55,2,FALSE))*IF('19.07'!$AK43="是",'19.07'!$BB$4,'19.07'!$BB$3))</f>
        <v>0</v>
      </c>
      <c r="F43" s="4">
        <f>IF(ISNUMBER(SEARCH("营",'19.07'!N43)),(-$Y43+50*IF('19.07'!$AK43="是",'19.07'!$BB$4,'19.07'!$BB$3)),(VLOOKUP('19.07'!N43,'19.07'!$AO$4:$AQ$55,2,FALSE))*IF('19.07'!$AK43="是",'19.07'!$BB$4,'19.07'!$BB$3))</f>
        <v>0</v>
      </c>
      <c r="G43" s="4">
        <f>IF(ISNUMBER(SEARCH("营",'19.07'!O43)),(-$Y43+50*IF('19.07'!$AK43="是",'19.07'!$BB$4,'19.07'!$BB$3)),(VLOOKUP('19.07'!O43,'19.07'!$AO$4:$AQ$55,2,FALSE))*IF('19.07'!$AK43="是",'19.07'!$BB$4,'19.07'!$BB$3))</f>
        <v>0</v>
      </c>
      <c r="H43" s="4">
        <f>IF(ISNUMBER(SEARCH("营",'19.07'!P43)),(-$Y43+50*IF('19.07'!$AK43="是",'19.07'!$BB$4,'19.07'!$BB$3)),(VLOOKUP('19.07'!P43,'19.07'!$AO$4:$AQ$55,2,FALSE))*IF('19.07'!$AK43="是",'19.07'!$BB$4,'19.07'!$BB$3))</f>
        <v>0</v>
      </c>
      <c r="I43" s="4">
        <f>IF(ISNUMBER(SEARCH("营",'19.07'!Q43)),(-$Y43+50*IF('19.07'!$AK43="是",'19.07'!$BB$4,'19.07'!$BB$3)),(VLOOKUP('19.07'!Q43,'19.07'!$AO$4:$AQ$55,2,FALSE))*IF('19.07'!$AK43="是",'19.07'!$BB$4,'19.07'!$BB$3))</f>
        <v>0</v>
      </c>
      <c r="J43" s="4">
        <f>IF(ISNUMBER(SEARCH("营",'19.07'!R43)),(-$Y43+50*IF('19.07'!$AK43="是",'19.07'!$BB$4,'19.07'!$BB$3)),(VLOOKUP('19.07'!R43,'19.07'!$AO$4:$AQ$55,2,FALSE))*IF('19.07'!$AK43="是",'19.07'!$BB$4,'19.07'!$BB$3))</f>
        <v>0</v>
      </c>
      <c r="K43" s="4">
        <f>IF(ISNUMBER(SEARCH("营",'19.07'!S43)),(-$Y43+50*IF('19.07'!$AK43="是",'19.07'!$BB$4,'19.07'!$BB$3)),(VLOOKUP('19.07'!S43,'19.07'!$AO$4:$AQ$55,2,FALSE))*IF('19.07'!$AK43="是",'19.07'!$BB$4,'19.07'!$BB$3))</f>
        <v>0</v>
      </c>
      <c r="L43" s="4">
        <f>IF(ISNUMBER(SEARCH("营",'19.07'!T43)),(-$Y43+50*IF('19.07'!$AK43="是",'19.07'!$BB$4,'19.07'!$BB$3)),(VLOOKUP('19.07'!T43,'19.07'!$AO$4:$AQ$55,2,FALSE))*IF('19.07'!$AK43="是",'19.07'!$BB$4,'19.07'!$BB$3))</f>
        <v>0</v>
      </c>
      <c r="M43" s="4">
        <f>IF(ISNUMBER(SEARCH("营",'19.07'!U43)),(-$Y43+50*IF('19.07'!$AK43="是",'19.07'!$BB$4,'19.07'!$BB$3)),(VLOOKUP('19.07'!U43,'19.07'!$AO$4:$AQ$55,2,FALSE))*IF('19.07'!$AK43="是",'19.07'!$BB$4,'19.07'!$BB$3))</f>
        <v>0</v>
      </c>
      <c r="N43" s="4">
        <f>IF(ISNUMBER(SEARCH("营",'19.07'!V43)),(-$Y43+50*IF('19.07'!$AK43="是",'19.07'!$BB$4,'19.07'!$BB$3)),(VLOOKUP('19.07'!V43,'19.07'!$AO$4:$AQ$55,2,FALSE))*IF('19.07'!$AK43="是",'19.07'!$BB$4,'19.07'!$BB$3))</f>
        <v>0</v>
      </c>
      <c r="O43" s="4">
        <f>IF(ISNUMBER(SEARCH("营",'19.07'!W43)),(-$Y43+50*IF('19.07'!$AK43="是",'19.07'!$BB$4,'19.07'!$BB$3)),(VLOOKUP('19.07'!W43,'19.07'!$AO$4:$AQ$55,2,FALSE))*IF('19.07'!$AK43="是",'19.07'!$BB$4,'19.07'!$BB$3))</f>
        <v>0</v>
      </c>
      <c r="P43" s="4">
        <f>IF(ISNUMBER(SEARCH("营",'19.07'!X43)),(-$Y43+50*IF('19.07'!$AK43="是",'19.07'!$BB$4,'19.07'!$BB$3)),(VLOOKUP('19.07'!X43,'19.07'!$AO$4:$AQ$55,2,FALSE))*IF('19.07'!$AK43="是",'19.07'!$BB$4,'19.07'!$BB$3))</f>
        <v>0</v>
      </c>
      <c r="Q43" s="4">
        <f>IF(ISNUMBER(SEARCH("营",'19.07'!Y43)),(-$Y43+50*IF('19.07'!$AK43="是",'19.07'!$BB$4,'19.07'!$BB$3)),(VLOOKUP('19.07'!Y43,'19.07'!$AO$4:$AQ$55,2,FALSE))*IF('19.07'!$AK43="是",'19.07'!$BB$4,'19.07'!$BB$3))</f>
        <v>0</v>
      </c>
      <c r="R43" s="4">
        <f>IF(ISNUMBER(SEARCH("营",'19.07'!Z43)),(-$Y43+50*IF('19.07'!$AK43="是",'19.07'!$BB$4,'19.07'!$BB$3)),(VLOOKUP('19.07'!Z43,'19.07'!$AO$4:$AQ$55,2,FALSE))*IF('19.07'!$AK43="是",'19.07'!$BB$4,'19.07'!$BB$3))</f>
        <v>0</v>
      </c>
      <c r="S43" s="4">
        <f>IF(ISNUMBER(SEARCH("营",'19.07'!AA43)),(-$Y43+50*IF('19.07'!$AK43="是",'19.07'!$BB$4,'19.07'!$BB$3)),(VLOOKUP('19.07'!AA43,'19.07'!$AO$4:$AQ$55,2,FALSE))*IF('19.07'!$AK43="是",'19.07'!$BB$4,'19.07'!$BB$3))</f>
        <v>0</v>
      </c>
      <c r="T43" s="4">
        <f>IF(ISNUMBER(SEARCH("营",'19.07'!AB43)),(-$Y43+50*IF('19.07'!$AK43="是",'19.07'!$BB$4,'19.07'!$BB$3)),(VLOOKUP('19.07'!AB43,'19.07'!$AO$4:$AQ$55,2,FALSE))*IF('19.07'!$AK43="是",'19.07'!$BB$4,'19.07'!$BB$3))</f>
        <v>0</v>
      </c>
      <c r="U43" s="4">
        <f>IF(ISNUMBER(SEARCH("营",'19.07'!AC43)),(-$Y43+50*IF('19.07'!$AK43="是",'19.07'!$BB$4,'19.07'!$BB$3)),(VLOOKUP('19.07'!AC43,'19.07'!$AO$4:$AQ$55,2,FALSE))*IF('19.07'!$AK43="是",'19.07'!$BB$4,'19.07'!$BB$3))</f>
        <v>0</v>
      </c>
      <c r="V43" s="4">
        <f>IF(ISNUMBER(SEARCH("营",'19.07'!AD43)),(-$Y43+50*IF('19.07'!$AK43="是",'19.07'!$BB$4,'19.07'!$BB$3)),(VLOOKUP('19.07'!AD43,'19.07'!$AO$4:$AQ$55,2,FALSE))*IF('19.07'!$AK43="是",'19.07'!$BB$4,'19.07'!$BB$3))</f>
        <v>0</v>
      </c>
      <c r="W43" s="4">
        <f>IF(ISNUMBER(SEARCH("营",'19.07'!AE43)),(-$Y43+50*IF('19.07'!$AK43="是",'19.07'!$BB$4,'19.07'!$BB$3)),(VLOOKUP('19.07'!AE43,'19.07'!$AO$4:$AQ$55,2,FALSE))*IF('19.07'!$AK43="是",'19.07'!$BB$4,'19.07'!$BB$3))</f>
        <v>0</v>
      </c>
      <c r="X43" s="4">
        <f>IF(ISNUMBER(SEARCH("营",'19.07'!AF43)),(-$Y43+50*IF('19.07'!$AK43="是",'19.07'!$BB$4,'19.07'!$BB$3)),(VLOOKUP('19.07'!AF43,'19.07'!$AO$4:$AQ$55,2,FALSE))*IF('19.07'!$AK43="是",'19.07'!$BB$4,'19.07'!$BB$3))</f>
        <v>0</v>
      </c>
      <c r="Y43" s="16">
        <v>150</v>
      </c>
      <c r="Z43" s="17">
        <v>45769</v>
      </c>
    </row>
    <row r="44" spans="1:26">
      <c r="A44" s="4">
        <f>IF(ISNUMBER(SEARCH("营",'19.07'!I44)),(-$Y44+50*IF('19.07'!$AK44="是",'19.07'!$BB$4,'19.07'!$BB$3)),(VLOOKUP('19.07'!I44,'19.07'!$AO$4:$AQ$55,2,FALSE))*IF('19.07'!$AK44="是",'19.07'!$BB$4,'19.07'!$BB$3))</f>
        <v>0</v>
      </c>
      <c r="B44" s="4">
        <f>IF(ISNUMBER(SEARCH("营",'19.07'!J44)),(-$Y44+50*IF('19.07'!$AK44="是",'19.07'!$BB$4,'19.07'!$BB$3)),(VLOOKUP('19.07'!J44,'19.07'!$AO$4:$AQ$55,2,FALSE))*IF('19.07'!$AK44="是",'19.07'!$BB$4,'19.07'!$BB$3))</f>
        <v>0</v>
      </c>
      <c r="C44" s="4">
        <f>IF(ISNUMBER(SEARCH("营",'19.07'!K44)),(-$Y44+50*IF('19.07'!$AK44="是",'19.07'!$BB$4,'19.07'!$BB$3)),(VLOOKUP('19.07'!K44,'19.07'!$AO$4:$AQ$55,2,FALSE))*IF('19.07'!$AK44="是",'19.07'!$BB$4,'19.07'!$BB$3))</f>
        <v>0</v>
      </c>
      <c r="D44" s="4">
        <f>IF(ISNUMBER(SEARCH("营",'19.07'!L44)),(-$Y44+50*IF('19.07'!$AK44="是",'19.07'!$BB$4,'19.07'!$BB$3)),(VLOOKUP('19.07'!L44,'19.07'!$AO$4:$AQ$55,2,FALSE))*IF('19.07'!$AK44="是",'19.07'!$BB$4,'19.07'!$BB$3))</f>
        <v>0</v>
      </c>
      <c r="E44" s="4">
        <f>IF(ISNUMBER(SEARCH("营",'19.07'!M44)),(-$Y44+50*IF('19.07'!$AK44="是",'19.07'!$BB$4,'19.07'!$BB$3)),(VLOOKUP('19.07'!M44,'19.07'!$AO$4:$AQ$55,2,FALSE))*IF('19.07'!$AK44="是",'19.07'!$BB$4,'19.07'!$BB$3))</f>
        <v>0</v>
      </c>
      <c r="F44" s="4">
        <f>IF(ISNUMBER(SEARCH("营",'19.07'!N44)),(-$Y44+50*IF('19.07'!$AK44="是",'19.07'!$BB$4,'19.07'!$BB$3)),(VLOOKUP('19.07'!N44,'19.07'!$AO$4:$AQ$55,2,FALSE))*IF('19.07'!$AK44="是",'19.07'!$BB$4,'19.07'!$BB$3))</f>
        <v>0</v>
      </c>
      <c r="G44" s="4">
        <f>IF(ISNUMBER(SEARCH("营",'19.07'!O44)),(-$Y44+50*IF('19.07'!$AK44="是",'19.07'!$BB$4,'19.07'!$BB$3)),(VLOOKUP('19.07'!O44,'19.07'!$AO$4:$AQ$55,2,FALSE))*IF('19.07'!$AK44="是",'19.07'!$BB$4,'19.07'!$BB$3))</f>
        <v>0</v>
      </c>
      <c r="H44" s="4">
        <f>IF(ISNUMBER(SEARCH("营",'19.07'!P44)),(-$Y44+50*IF('19.07'!$AK44="是",'19.07'!$BB$4,'19.07'!$BB$3)),(VLOOKUP('19.07'!P44,'19.07'!$AO$4:$AQ$55,2,FALSE))*IF('19.07'!$AK44="是",'19.07'!$BB$4,'19.07'!$BB$3))</f>
        <v>0</v>
      </c>
      <c r="I44" s="4">
        <f>IF(ISNUMBER(SEARCH("营",'19.07'!Q44)),(-$Y44+50*IF('19.07'!$AK44="是",'19.07'!$BB$4,'19.07'!$BB$3)),(VLOOKUP('19.07'!Q44,'19.07'!$AO$4:$AQ$55,2,FALSE))*IF('19.07'!$AK44="是",'19.07'!$BB$4,'19.07'!$BB$3))</f>
        <v>0</v>
      </c>
      <c r="J44" s="4">
        <f>IF(ISNUMBER(SEARCH("营",'19.07'!R44)),(-$Y44+50*IF('19.07'!$AK44="是",'19.07'!$BB$4,'19.07'!$BB$3)),(VLOOKUP('19.07'!R44,'19.07'!$AO$4:$AQ$55,2,FALSE))*IF('19.07'!$AK44="是",'19.07'!$BB$4,'19.07'!$BB$3))</f>
        <v>0</v>
      </c>
      <c r="K44" s="4">
        <f>IF(ISNUMBER(SEARCH("营",'19.07'!S44)),(-$Y44+50*IF('19.07'!$AK44="是",'19.07'!$BB$4,'19.07'!$BB$3)),(VLOOKUP('19.07'!S44,'19.07'!$AO$4:$AQ$55,2,FALSE))*IF('19.07'!$AK44="是",'19.07'!$BB$4,'19.07'!$BB$3))</f>
        <v>0</v>
      </c>
      <c r="L44" s="4">
        <f>IF(ISNUMBER(SEARCH("营",'19.07'!T44)),(-$Y44+50*IF('19.07'!$AK44="是",'19.07'!$BB$4,'19.07'!$BB$3)),(VLOOKUP('19.07'!T44,'19.07'!$AO$4:$AQ$55,2,FALSE))*IF('19.07'!$AK44="是",'19.07'!$BB$4,'19.07'!$BB$3))</f>
        <v>0</v>
      </c>
      <c r="M44" s="4">
        <f>IF(ISNUMBER(SEARCH("营",'19.07'!U44)),(-$Y44+50*IF('19.07'!$AK44="是",'19.07'!$BB$4,'19.07'!$BB$3)),(VLOOKUP('19.07'!U44,'19.07'!$AO$4:$AQ$55,2,FALSE))*IF('19.07'!$AK44="是",'19.07'!$BB$4,'19.07'!$BB$3))</f>
        <v>0</v>
      </c>
      <c r="N44" s="4">
        <f>IF(ISNUMBER(SEARCH("营",'19.07'!V44)),(-$Y44+50*IF('19.07'!$AK44="是",'19.07'!$BB$4,'19.07'!$BB$3)),(VLOOKUP('19.07'!V44,'19.07'!$AO$4:$AQ$55,2,FALSE))*IF('19.07'!$AK44="是",'19.07'!$BB$4,'19.07'!$BB$3))</f>
        <v>0</v>
      </c>
      <c r="O44" s="4">
        <f>IF(ISNUMBER(SEARCH("营",'19.07'!W44)),(-$Y44+50*IF('19.07'!$AK44="是",'19.07'!$BB$4,'19.07'!$BB$3)),(VLOOKUP('19.07'!W44,'19.07'!$AO$4:$AQ$55,2,FALSE))*IF('19.07'!$AK44="是",'19.07'!$BB$4,'19.07'!$BB$3))</f>
        <v>0</v>
      </c>
      <c r="P44" s="4">
        <f>IF(ISNUMBER(SEARCH("营",'19.07'!X44)),(-$Y44+50*IF('19.07'!$AK44="是",'19.07'!$BB$4,'19.07'!$BB$3)),(VLOOKUP('19.07'!X44,'19.07'!$AO$4:$AQ$55,2,FALSE))*IF('19.07'!$AK44="是",'19.07'!$BB$4,'19.07'!$BB$3))</f>
        <v>0</v>
      </c>
      <c r="Q44" s="4">
        <f>IF(ISNUMBER(SEARCH("营",'19.07'!Y44)),(-$Y44+50*IF('19.07'!$AK44="是",'19.07'!$BB$4,'19.07'!$BB$3)),(VLOOKUP('19.07'!Y44,'19.07'!$AO$4:$AQ$55,2,FALSE))*IF('19.07'!$AK44="是",'19.07'!$BB$4,'19.07'!$BB$3))</f>
        <v>0</v>
      </c>
      <c r="R44" s="4">
        <f>IF(ISNUMBER(SEARCH("营",'19.07'!Z44)),(-$Y44+50*IF('19.07'!$AK44="是",'19.07'!$BB$4,'19.07'!$BB$3)),(VLOOKUP('19.07'!Z44,'19.07'!$AO$4:$AQ$55,2,FALSE))*IF('19.07'!$AK44="是",'19.07'!$BB$4,'19.07'!$BB$3))</f>
        <v>0</v>
      </c>
      <c r="S44" s="4">
        <f>IF(ISNUMBER(SEARCH("营",'19.07'!AA44)),(-$Y44+50*IF('19.07'!$AK44="是",'19.07'!$BB$4,'19.07'!$BB$3)),(VLOOKUP('19.07'!AA44,'19.07'!$AO$4:$AQ$55,2,FALSE))*IF('19.07'!$AK44="是",'19.07'!$BB$4,'19.07'!$BB$3))</f>
        <v>0</v>
      </c>
      <c r="T44" s="4">
        <f>IF(ISNUMBER(SEARCH("营",'19.07'!AB44)),(-$Y44+50*IF('19.07'!$AK44="是",'19.07'!$BB$4,'19.07'!$BB$3)),(VLOOKUP('19.07'!AB44,'19.07'!$AO$4:$AQ$55,2,FALSE))*IF('19.07'!$AK44="是",'19.07'!$BB$4,'19.07'!$BB$3))</f>
        <v>0</v>
      </c>
      <c r="U44" s="4">
        <f>IF(ISNUMBER(SEARCH("营",'19.07'!AC44)),(-$Y44+50*IF('19.07'!$AK44="是",'19.07'!$BB$4,'19.07'!$BB$3)),(VLOOKUP('19.07'!AC44,'19.07'!$AO$4:$AQ$55,2,FALSE))*IF('19.07'!$AK44="是",'19.07'!$BB$4,'19.07'!$BB$3))</f>
        <v>0</v>
      </c>
      <c r="V44" s="4">
        <f>IF(ISNUMBER(SEARCH("营",'19.07'!AD44)),(-$Y44+50*IF('19.07'!$AK44="是",'19.07'!$BB$4,'19.07'!$BB$3)),(VLOOKUP('19.07'!AD44,'19.07'!$AO$4:$AQ$55,2,FALSE))*IF('19.07'!$AK44="是",'19.07'!$BB$4,'19.07'!$BB$3))</f>
        <v>0</v>
      </c>
      <c r="W44" s="4">
        <f>IF(ISNUMBER(SEARCH("营",'19.07'!AE44)),(-$Y44+50*IF('19.07'!$AK44="是",'19.07'!$BB$4,'19.07'!$BB$3)),(VLOOKUP('19.07'!AE44,'19.07'!$AO$4:$AQ$55,2,FALSE))*IF('19.07'!$AK44="是",'19.07'!$BB$4,'19.07'!$BB$3))</f>
        <v>0</v>
      </c>
      <c r="X44" s="4">
        <f>IF(ISNUMBER(SEARCH("营",'19.07'!AF44)),(-$Y44+50*IF('19.07'!$AK44="是",'19.07'!$BB$4,'19.07'!$BB$3)),(VLOOKUP('19.07'!AF44,'19.07'!$AO$4:$AQ$55,2,FALSE))*IF('19.07'!$AK44="是",'19.07'!$BB$4,'19.07'!$BB$3))</f>
        <v>0</v>
      </c>
      <c r="Y44" s="16">
        <v>150</v>
      </c>
      <c r="Z44" s="17">
        <v>45770</v>
      </c>
    </row>
    <row r="45" spans="1:26">
      <c r="A45" s="4">
        <f>IF(ISNUMBER(SEARCH("营",'19.07'!I45)),(-$Y45+50*IF('19.07'!$AK45="是",'19.07'!$BB$4,'19.07'!$BB$3)),(VLOOKUP('19.07'!I45,'19.07'!$AO$4:$AQ$55,2,FALSE))*IF('19.07'!$AK45="是",'19.07'!$BB$4,'19.07'!$BB$3))</f>
        <v>0</v>
      </c>
      <c r="B45" s="4">
        <f>IF(ISNUMBER(SEARCH("营",'19.07'!J45)),(-$Y45+50*IF('19.07'!$AK45="是",'19.07'!$BB$4,'19.07'!$BB$3)),(VLOOKUP('19.07'!J45,'19.07'!$AO$4:$AQ$55,2,FALSE))*IF('19.07'!$AK45="是",'19.07'!$BB$4,'19.07'!$BB$3))</f>
        <v>0</v>
      </c>
      <c r="C45" s="4">
        <f>IF(ISNUMBER(SEARCH("营",'19.07'!K45)),(-$Y45+50*IF('19.07'!$AK45="是",'19.07'!$BB$4,'19.07'!$BB$3)),(VLOOKUP('19.07'!K45,'19.07'!$AO$4:$AQ$55,2,FALSE))*IF('19.07'!$AK45="是",'19.07'!$BB$4,'19.07'!$BB$3))</f>
        <v>0</v>
      </c>
      <c r="D45" s="4">
        <f>IF(ISNUMBER(SEARCH("营",'19.07'!L45)),(-$Y45+50*IF('19.07'!$AK45="是",'19.07'!$BB$4,'19.07'!$BB$3)),(VLOOKUP('19.07'!L45,'19.07'!$AO$4:$AQ$55,2,FALSE))*IF('19.07'!$AK45="是",'19.07'!$BB$4,'19.07'!$BB$3))</f>
        <v>0</v>
      </c>
      <c r="E45" s="4">
        <f>IF(ISNUMBER(SEARCH("营",'19.07'!M45)),(-$Y45+50*IF('19.07'!$AK45="是",'19.07'!$BB$4,'19.07'!$BB$3)),(VLOOKUP('19.07'!M45,'19.07'!$AO$4:$AQ$55,2,FALSE))*IF('19.07'!$AK45="是",'19.07'!$BB$4,'19.07'!$BB$3))</f>
        <v>0</v>
      </c>
      <c r="F45" s="4">
        <f>IF(ISNUMBER(SEARCH("营",'19.07'!N45)),(-$Y45+50*IF('19.07'!$AK45="是",'19.07'!$BB$4,'19.07'!$BB$3)),(VLOOKUP('19.07'!N45,'19.07'!$AO$4:$AQ$55,2,FALSE))*IF('19.07'!$AK45="是",'19.07'!$BB$4,'19.07'!$BB$3))</f>
        <v>0</v>
      </c>
      <c r="G45" s="4">
        <f>IF(ISNUMBER(SEARCH("营",'19.07'!O45)),(-$Y45+50*IF('19.07'!$AK45="是",'19.07'!$BB$4,'19.07'!$BB$3)),(VLOOKUP('19.07'!O45,'19.07'!$AO$4:$AQ$55,2,FALSE))*IF('19.07'!$AK45="是",'19.07'!$BB$4,'19.07'!$BB$3))</f>
        <v>0</v>
      </c>
      <c r="H45" s="4">
        <f>IF(ISNUMBER(SEARCH("营",'19.07'!P45)),(-$Y45+50*IF('19.07'!$AK45="是",'19.07'!$BB$4,'19.07'!$BB$3)),(VLOOKUP('19.07'!P45,'19.07'!$AO$4:$AQ$55,2,FALSE))*IF('19.07'!$AK45="是",'19.07'!$BB$4,'19.07'!$BB$3))</f>
        <v>0</v>
      </c>
      <c r="I45" s="4">
        <f>IF(ISNUMBER(SEARCH("营",'19.07'!Q45)),(-$Y45+50*IF('19.07'!$AK45="是",'19.07'!$BB$4,'19.07'!$BB$3)),(VLOOKUP('19.07'!Q45,'19.07'!$AO$4:$AQ$55,2,FALSE))*IF('19.07'!$AK45="是",'19.07'!$BB$4,'19.07'!$BB$3))</f>
        <v>0</v>
      </c>
      <c r="J45" s="4">
        <f>IF(ISNUMBER(SEARCH("营",'19.07'!R45)),(-$Y45+50*IF('19.07'!$AK45="是",'19.07'!$BB$4,'19.07'!$BB$3)),(VLOOKUP('19.07'!R45,'19.07'!$AO$4:$AQ$55,2,FALSE))*IF('19.07'!$AK45="是",'19.07'!$BB$4,'19.07'!$BB$3))</f>
        <v>0</v>
      </c>
      <c r="K45" s="4">
        <f>IF(ISNUMBER(SEARCH("营",'19.07'!S45)),(-$Y45+50*IF('19.07'!$AK45="是",'19.07'!$BB$4,'19.07'!$BB$3)),(VLOOKUP('19.07'!S45,'19.07'!$AO$4:$AQ$55,2,FALSE))*IF('19.07'!$AK45="是",'19.07'!$BB$4,'19.07'!$BB$3))</f>
        <v>0</v>
      </c>
      <c r="L45" s="4">
        <f>IF(ISNUMBER(SEARCH("营",'19.07'!T45)),(-$Y45+50*IF('19.07'!$AK45="是",'19.07'!$BB$4,'19.07'!$BB$3)),(VLOOKUP('19.07'!T45,'19.07'!$AO$4:$AQ$55,2,FALSE))*IF('19.07'!$AK45="是",'19.07'!$BB$4,'19.07'!$BB$3))</f>
        <v>0</v>
      </c>
      <c r="M45" s="4">
        <f>IF(ISNUMBER(SEARCH("营",'19.07'!U45)),(-$Y45+50*IF('19.07'!$AK45="是",'19.07'!$BB$4,'19.07'!$BB$3)),(VLOOKUP('19.07'!U45,'19.07'!$AO$4:$AQ$55,2,FALSE))*IF('19.07'!$AK45="是",'19.07'!$BB$4,'19.07'!$BB$3))</f>
        <v>0</v>
      </c>
      <c r="N45" s="4">
        <f>IF(ISNUMBER(SEARCH("营",'19.07'!V45)),(-$Y45+50*IF('19.07'!$AK45="是",'19.07'!$BB$4,'19.07'!$BB$3)),(VLOOKUP('19.07'!V45,'19.07'!$AO$4:$AQ$55,2,FALSE))*IF('19.07'!$AK45="是",'19.07'!$BB$4,'19.07'!$BB$3))</f>
        <v>0</v>
      </c>
      <c r="O45" s="4">
        <f>IF(ISNUMBER(SEARCH("营",'19.07'!W45)),(-$Y45+50*IF('19.07'!$AK45="是",'19.07'!$BB$4,'19.07'!$BB$3)),(VLOOKUP('19.07'!W45,'19.07'!$AO$4:$AQ$55,2,FALSE))*IF('19.07'!$AK45="是",'19.07'!$BB$4,'19.07'!$BB$3))</f>
        <v>0</v>
      </c>
      <c r="P45" s="4">
        <f>IF(ISNUMBER(SEARCH("营",'19.07'!X45)),(-$Y45+50*IF('19.07'!$AK45="是",'19.07'!$BB$4,'19.07'!$BB$3)),(VLOOKUP('19.07'!X45,'19.07'!$AO$4:$AQ$55,2,FALSE))*IF('19.07'!$AK45="是",'19.07'!$BB$4,'19.07'!$BB$3))</f>
        <v>0</v>
      </c>
      <c r="Q45" s="4">
        <f>IF(ISNUMBER(SEARCH("营",'19.07'!Y45)),(-$Y45+50*IF('19.07'!$AK45="是",'19.07'!$BB$4,'19.07'!$BB$3)),(VLOOKUP('19.07'!Y45,'19.07'!$AO$4:$AQ$55,2,FALSE))*IF('19.07'!$AK45="是",'19.07'!$BB$4,'19.07'!$BB$3))</f>
        <v>0</v>
      </c>
      <c r="R45" s="4">
        <f>IF(ISNUMBER(SEARCH("营",'19.07'!Z45)),(-$Y45+50*IF('19.07'!$AK45="是",'19.07'!$BB$4,'19.07'!$BB$3)),(VLOOKUP('19.07'!Z45,'19.07'!$AO$4:$AQ$55,2,FALSE))*IF('19.07'!$AK45="是",'19.07'!$BB$4,'19.07'!$BB$3))</f>
        <v>0</v>
      </c>
      <c r="S45" s="4">
        <f>IF(ISNUMBER(SEARCH("营",'19.07'!AA45)),(-$Y45+50*IF('19.07'!$AK45="是",'19.07'!$BB$4,'19.07'!$BB$3)),(VLOOKUP('19.07'!AA45,'19.07'!$AO$4:$AQ$55,2,FALSE))*IF('19.07'!$AK45="是",'19.07'!$BB$4,'19.07'!$BB$3))</f>
        <v>0</v>
      </c>
      <c r="T45" s="4">
        <f>IF(ISNUMBER(SEARCH("营",'19.07'!AB45)),(-$Y45+50*IF('19.07'!$AK45="是",'19.07'!$BB$4,'19.07'!$BB$3)),(VLOOKUP('19.07'!AB45,'19.07'!$AO$4:$AQ$55,2,FALSE))*IF('19.07'!$AK45="是",'19.07'!$BB$4,'19.07'!$BB$3))</f>
        <v>0</v>
      </c>
      <c r="U45" s="4">
        <f>IF(ISNUMBER(SEARCH("营",'19.07'!AC45)),(-$Y45+50*IF('19.07'!$AK45="是",'19.07'!$BB$4,'19.07'!$BB$3)),(VLOOKUP('19.07'!AC45,'19.07'!$AO$4:$AQ$55,2,FALSE))*IF('19.07'!$AK45="是",'19.07'!$BB$4,'19.07'!$BB$3))</f>
        <v>0</v>
      </c>
      <c r="V45" s="4">
        <f>IF(ISNUMBER(SEARCH("营",'19.07'!AD45)),(-$Y45+50*IF('19.07'!$AK45="是",'19.07'!$BB$4,'19.07'!$BB$3)),(VLOOKUP('19.07'!AD45,'19.07'!$AO$4:$AQ$55,2,FALSE))*IF('19.07'!$AK45="是",'19.07'!$BB$4,'19.07'!$BB$3))</f>
        <v>0</v>
      </c>
      <c r="W45" s="4">
        <f>IF(ISNUMBER(SEARCH("营",'19.07'!AE45)),(-$Y45+50*IF('19.07'!$AK45="是",'19.07'!$BB$4,'19.07'!$BB$3)),(VLOOKUP('19.07'!AE45,'19.07'!$AO$4:$AQ$55,2,FALSE))*IF('19.07'!$AK45="是",'19.07'!$BB$4,'19.07'!$BB$3))</f>
        <v>0</v>
      </c>
      <c r="X45" s="4">
        <f>IF(ISNUMBER(SEARCH("营",'19.07'!AF45)),(-$Y45+50*IF('19.07'!$AK45="是",'19.07'!$BB$4,'19.07'!$BB$3)),(VLOOKUP('19.07'!AF45,'19.07'!$AO$4:$AQ$55,2,FALSE))*IF('19.07'!$AK45="是",'19.07'!$BB$4,'19.07'!$BB$3))</f>
        <v>0</v>
      </c>
      <c r="Y45" s="16">
        <v>150</v>
      </c>
      <c r="Z45" s="17">
        <v>45771</v>
      </c>
    </row>
    <row r="46" spans="1:26">
      <c r="A46" s="4">
        <f>IF(ISNUMBER(SEARCH("营",'19.07'!I46)),(-$Y46+50*IF('19.07'!$AK46="是",'19.07'!$BB$4,'19.07'!$BB$3)),(VLOOKUP('19.07'!I46,'19.07'!$AO$4:$AQ$55,2,FALSE))*IF('19.07'!$AK46="是",'19.07'!$BB$4,'19.07'!$BB$3))</f>
        <v>0</v>
      </c>
      <c r="B46" s="4">
        <f>IF(ISNUMBER(SEARCH("营",'19.07'!J46)),(-$Y46+50*IF('19.07'!$AK46="是",'19.07'!$BB$4,'19.07'!$BB$3)),(VLOOKUP('19.07'!J46,'19.07'!$AO$4:$AQ$55,2,FALSE))*IF('19.07'!$AK46="是",'19.07'!$BB$4,'19.07'!$BB$3))</f>
        <v>0</v>
      </c>
      <c r="C46" s="4">
        <f>IF(ISNUMBER(SEARCH("营",'19.07'!K46)),(-$Y46+50*IF('19.07'!$AK46="是",'19.07'!$BB$4,'19.07'!$BB$3)),(VLOOKUP('19.07'!K46,'19.07'!$AO$4:$AQ$55,2,FALSE))*IF('19.07'!$AK46="是",'19.07'!$BB$4,'19.07'!$BB$3))</f>
        <v>0</v>
      </c>
      <c r="D46" s="4">
        <f>IF(ISNUMBER(SEARCH("营",'19.07'!L46)),(-$Y46+50*IF('19.07'!$AK46="是",'19.07'!$BB$4,'19.07'!$BB$3)),(VLOOKUP('19.07'!L46,'19.07'!$AO$4:$AQ$55,2,FALSE))*IF('19.07'!$AK46="是",'19.07'!$BB$4,'19.07'!$BB$3))</f>
        <v>0</v>
      </c>
      <c r="E46" s="4">
        <f>IF(ISNUMBER(SEARCH("营",'19.07'!M46)),(-$Y46+50*IF('19.07'!$AK46="是",'19.07'!$BB$4,'19.07'!$BB$3)),(VLOOKUP('19.07'!M46,'19.07'!$AO$4:$AQ$55,2,FALSE))*IF('19.07'!$AK46="是",'19.07'!$BB$4,'19.07'!$BB$3))</f>
        <v>0</v>
      </c>
      <c r="F46" s="4">
        <f>IF(ISNUMBER(SEARCH("营",'19.07'!N46)),(-$Y46+50*IF('19.07'!$AK46="是",'19.07'!$BB$4,'19.07'!$BB$3)),(VLOOKUP('19.07'!N46,'19.07'!$AO$4:$AQ$55,2,FALSE))*IF('19.07'!$AK46="是",'19.07'!$BB$4,'19.07'!$BB$3))</f>
        <v>0</v>
      </c>
      <c r="G46" s="4">
        <f>IF(ISNUMBER(SEARCH("营",'19.07'!O46)),(-$Y46+50*IF('19.07'!$AK46="是",'19.07'!$BB$4,'19.07'!$BB$3)),(VLOOKUP('19.07'!O46,'19.07'!$AO$4:$AQ$55,2,FALSE))*IF('19.07'!$AK46="是",'19.07'!$BB$4,'19.07'!$BB$3))</f>
        <v>0</v>
      </c>
      <c r="H46" s="4">
        <f>IF(ISNUMBER(SEARCH("营",'19.07'!P46)),(-$Y46+50*IF('19.07'!$AK46="是",'19.07'!$BB$4,'19.07'!$BB$3)),(VLOOKUP('19.07'!P46,'19.07'!$AO$4:$AQ$55,2,FALSE))*IF('19.07'!$AK46="是",'19.07'!$BB$4,'19.07'!$BB$3))</f>
        <v>0</v>
      </c>
      <c r="I46" s="4">
        <f>IF(ISNUMBER(SEARCH("营",'19.07'!Q46)),(-$Y46+50*IF('19.07'!$AK46="是",'19.07'!$BB$4,'19.07'!$BB$3)),(VLOOKUP('19.07'!Q46,'19.07'!$AO$4:$AQ$55,2,FALSE))*IF('19.07'!$AK46="是",'19.07'!$BB$4,'19.07'!$BB$3))</f>
        <v>0</v>
      </c>
      <c r="J46" s="4">
        <f>IF(ISNUMBER(SEARCH("营",'19.07'!R46)),(-$Y46+50*IF('19.07'!$AK46="是",'19.07'!$BB$4,'19.07'!$BB$3)),(VLOOKUP('19.07'!R46,'19.07'!$AO$4:$AQ$55,2,FALSE))*IF('19.07'!$AK46="是",'19.07'!$BB$4,'19.07'!$BB$3))</f>
        <v>0</v>
      </c>
      <c r="K46" s="4">
        <f>IF(ISNUMBER(SEARCH("营",'19.07'!S46)),(-$Y46+50*IF('19.07'!$AK46="是",'19.07'!$BB$4,'19.07'!$BB$3)),(VLOOKUP('19.07'!S46,'19.07'!$AO$4:$AQ$55,2,FALSE))*IF('19.07'!$AK46="是",'19.07'!$BB$4,'19.07'!$BB$3))</f>
        <v>0</v>
      </c>
      <c r="L46" s="4">
        <f>IF(ISNUMBER(SEARCH("营",'19.07'!T46)),(-$Y46+50*IF('19.07'!$AK46="是",'19.07'!$BB$4,'19.07'!$BB$3)),(VLOOKUP('19.07'!T46,'19.07'!$AO$4:$AQ$55,2,FALSE))*IF('19.07'!$AK46="是",'19.07'!$BB$4,'19.07'!$BB$3))</f>
        <v>0</v>
      </c>
      <c r="M46" s="4">
        <f>IF(ISNUMBER(SEARCH("营",'19.07'!U46)),(-$Y46+50*IF('19.07'!$AK46="是",'19.07'!$BB$4,'19.07'!$BB$3)),(VLOOKUP('19.07'!U46,'19.07'!$AO$4:$AQ$55,2,FALSE))*IF('19.07'!$AK46="是",'19.07'!$BB$4,'19.07'!$BB$3))</f>
        <v>0</v>
      </c>
      <c r="N46" s="4">
        <f>IF(ISNUMBER(SEARCH("营",'19.07'!V46)),(-$Y46+50*IF('19.07'!$AK46="是",'19.07'!$BB$4,'19.07'!$BB$3)),(VLOOKUP('19.07'!V46,'19.07'!$AO$4:$AQ$55,2,FALSE))*IF('19.07'!$AK46="是",'19.07'!$BB$4,'19.07'!$BB$3))</f>
        <v>0</v>
      </c>
      <c r="O46" s="4">
        <f>IF(ISNUMBER(SEARCH("营",'19.07'!W46)),(-$Y46+50*IF('19.07'!$AK46="是",'19.07'!$BB$4,'19.07'!$BB$3)),(VLOOKUP('19.07'!W46,'19.07'!$AO$4:$AQ$55,2,FALSE))*IF('19.07'!$AK46="是",'19.07'!$BB$4,'19.07'!$BB$3))</f>
        <v>0</v>
      </c>
      <c r="P46" s="4">
        <f>IF(ISNUMBER(SEARCH("营",'19.07'!X46)),(-$Y46+50*IF('19.07'!$AK46="是",'19.07'!$BB$4,'19.07'!$BB$3)),(VLOOKUP('19.07'!X46,'19.07'!$AO$4:$AQ$55,2,FALSE))*IF('19.07'!$AK46="是",'19.07'!$BB$4,'19.07'!$BB$3))</f>
        <v>0</v>
      </c>
      <c r="Q46" s="4">
        <f>IF(ISNUMBER(SEARCH("营",'19.07'!Y46)),(-$Y46+50*IF('19.07'!$AK46="是",'19.07'!$BB$4,'19.07'!$BB$3)),(VLOOKUP('19.07'!Y46,'19.07'!$AO$4:$AQ$55,2,FALSE))*IF('19.07'!$AK46="是",'19.07'!$BB$4,'19.07'!$BB$3))</f>
        <v>0</v>
      </c>
      <c r="R46" s="4">
        <f>IF(ISNUMBER(SEARCH("营",'19.07'!Z46)),(-$Y46+50*IF('19.07'!$AK46="是",'19.07'!$BB$4,'19.07'!$BB$3)),(VLOOKUP('19.07'!Z46,'19.07'!$AO$4:$AQ$55,2,FALSE))*IF('19.07'!$AK46="是",'19.07'!$BB$4,'19.07'!$BB$3))</f>
        <v>0</v>
      </c>
      <c r="S46" s="4">
        <f>IF(ISNUMBER(SEARCH("营",'19.07'!AA46)),(-$Y46+50*IF('19.07'!$AK46="是",'19.07'!$BB$4,'19.07'!$BB$3)),(VLOOKUP('19.07'!AA46,'19.07'!$AO$4:$AQ$55,2,FALSE))*IF('19.07'!$AK46="是",'19.07'!$BB$4,'19.07'!$BB$3))</f>
        <v>0</v>
      </c>
      <c r="T46" s="4">
        <f>IF(ISNUMBER(SEARCH("营",'19.07'!AB46)),(-$Y46+50*IF('19.07'!$AK46="是",'19.07'!$BB$4,'19.07'!$BB$3)),(VLOOKUP('19.07'!AB46,'19.07'!$AO$4:$AQ$55,2,FALSE))*IF('19.07'!$AK46="是",'19.07'!$BB$4,'19.07'!$BB$3))</f>
        <v>0</v>
      </c>
      <c r="U46" s="4">
        <f>IF(ISNUMBER(SEARCH("营",'19.07'!AC46)),(-$Y46+50*IF('19.07'!$AK46="是",'19.07'!$BB$4,'19.07'!$BB$3)),(VLOOKUP('19.07'!AC46,'19.07'!$AO$4:$AQ$55,2,FALSE))*IF('19.07'!$AK46="是",'19.07'!$BB$4,'19.07'!$BB$3))</f>
        <v>0</v>
      </c>
      <c r="V46" s="4">
        <f>IF(ISNUMBER(SEARCH("营",'19.07'!AD46)),(-$Y46+50*IF('19.07'!$AK46="是",'19.07'!$BB$4,'19.07'!$BB$3)),(VLOOKUP('19.07'!AD46,'19.07'!$AO$4:$AQ$55,2,FALSE))*IF('19.07'!$AK46="是",'19.07'!$BB$4,'19.07'!$BB$3))</f>
        <v>0</v>
      </c>
      <c r="W46" s="4">
        <f>IF(ISNUMBER(SEARCH("营",'19.07'!AE46)),(-$Y46+50*IF('19.07'!$AK46="是",'19.07'!$BB$4,'19.07'!$BB$3)),(VLOOKUP('19.07'!AE46,'19.07'!$AO$4:$AQ$55,2,FALSE))*IF('19.07'!$AK46="是",'19.07'!$BB$4,'19.07'!$BB$3))</f>
        <v>0</v>
      </c>
      <c r="X46" s="4">
        <f>IF(ISNUMBER(SEARCH("营",'19.07'!AF46)),(-$Y46+50*IF('19.07'!$AK46="是",'19.07'!$BB$4,'19.07'!$BB$3)),(VLOOKUP('19.07'!AF46,'19.07'!$AO$4:$AQ$55,2,FALSE))*IF('19.07'!$AK46="是",'19.07'!$BB$4,'19.07'!$BB$3))</f>
        <v>0</v>
      </c>
      <c r="Y46" s="16">
        <v>150</v>
      </c>
      <c r="Z46" s="17">
        <v>45772</v>
      </c>
    </row>
    <row r="47" spans="1:26">
      <c r="A47" s="4">
        <f>IF(ISNUMBER(SEARCH("营",'19.07'!I47)),(-$Y47+50*IF('19.07'!$AK47="是",'19.07'!$BB$4,'19.07'!$BB$3)),(VLOOKUP('19.07'!I47,'19.07'!$AO$4:$AQ$55,2,FALSE))*IF('19.07'!$AK47="是",'19.07'!$BB$4,'19.07'!$BB$3))</f>
        <v>0</v>
      </c>
      <c r="B47" s="4">
        <f>IF(ISNUMBER(SEARCH("营",'19.07'!J47)),(-$Y47+50*IF('19.07'!$AK47="是",'19.07'!$BB$4,'19.07'!$BB$3)),(VLOOKUP('19.07'!J47,'19.07'!$AO$4:$AQ$55,2,FALSE))*IF('19.07'!$AK47="是",'19.07'!$BB$4,'19.07'!$BB$3))</f>
        <v>0</v>
      </c>
      <c r="C47" s="4">
        <f>IF(ISNUMBER(SEARCH("营",'19.07'!K47)),(-$Y47+50*IF('19.07'!$AK47="是",'19.07'!$BB$4,'19.07'!$BB$3)),(VLOOKUP('19.07'!K47,'19.07'!$AO$4:$AQ$55,2,FALSE))*IF('19.07'!$AK47="是",'19.07'!$BB$4,'19.07'!$BB$3))</f>
        <v>0</v>
      </c>
      <c r="D47" s="4">
        <f>IF(ISNUMBER(SEARCH("营",'19.07'!L47)),(-$Y47+50*IF('19.07'!$AK47="是",'19.07'!$BB$4,'19.07'!$BB$3)),(VLOOKUP('19.07'!L47,'19.07'!$AO$4:$AQ$55,2,FALSE))*IF('19.07'!$AK47="是",'19.07'!$BB$4,'19.07'!$BB$3))</f>
        <v>0</v>
      </c>
      <c r="E47" s="4">
        <f>IF(ISNUMBER(SEARCH("营",'19.07'!M47)),(-$Y47+50*IF('19.07'!$AK47="是",'19.07'!$BB$4,'19.07'!$BB$3)),(VLOOKUP('19.07'!M47,'19.07'!$AO$4:$AQ$55,2,FALSE))*IF('19.07'!$AK47="是",'19.07'!$BB$4,'19.07'!$BB$3))</f>
        <v>0</v>
      </c>
      <c r="F47" s="4">
        <f>IF(ISNUMBER(SEARCH("营",'19.07'!N47)),(-$Y47+50*IF('19.07'!$AK47="是",'19.07'!$BB$4,'19.07'!$BB$3)),(VLOOKUP('19.07'!N47,'19.07'!$AO$4:$AQ$55,2,FALSE))*IF('19.07'!$AK47="是",'19.07'!$BB$4,'19.07'!$BB$3))</f>
        <v>0</v>
      </c>
      <c r="G47" s="4">
        <f>IF(ISNUMBER(SEARCH("营",'19.07'!O47)),(-$Y47+50*IF('19.07'!$AK47="是",'19.07'!$BB$4,'19.07'!$BB$3)),(VLOOKUP('19.07'!O47,'19.07'!$AO$4:$AQ$55,2,FALSE))*IF('19.07'!$AK47="是",'19.07'!$BB$4,'19.07'!$BB$3))</f>
        <v>0</v>
      </c>
      <c r="H47" s="4">
        <f>IF(ISNUMBER(SEARCH("营",'19.07'!P47)),(-$Y47+50*IF('19.07'!$AK47="是",'19.07'!$BB$4,'19.07'!$BB$3)),(VLOOKUP('19.07'!P47,'19.07'!$AO$4:$AQ$55,2,FALSE))*IF('19.07'!$AK47="是",'19.07'!$BB$4,'19.07'!$BB$3))</f>
        <v>0</v>
      </c>
      <c r="I47" s="4">
        <f>IF(ISNUMBER(SEARCH("营",'19.07'!Q47)),(-$Y47+50*IF('19.07'!$AK47="是",'19.07'!$BB$4,'19.07'!$BB$3)),(VLOOKUP('19.07'!Q47,'19.07'!$AO$4:$AQ$55,2,FALSE))*IF('19.07'!$AK47="是",'19.07'!$BB$4,'19.07'!$BB$3))</f>
        <v>0</v>
      </c>
      <c r="J47" s="4">
        <f>IF(ISNUMBER(SEARCH("营",'19.07'!R47)),(-$Y47+50*IF('19.07'!$AK47="是",'19.07'!$BB$4,'19.07'!$BB$3)),(VLOOKUP('19.07'!R47,'19.07'!$AO$4:$AQ$55,2,FALSE))*IF('19.07'!$AK47="是",'19.07'!$BB$4,'19.07'!$BB$3))</f>
        <v>0</v>
      </c>
      <c r="K47" s="4">
        <f>IF(ISNUMBER(SEARCH("营",'19.07'!S47)),(-$Y47+50*IF('19.07'!$AK47="是",'19.07'!$BB$4,'19.07'!$BB$3)),(VLOOKUP('19.07'!S47,'19.07'!$AO$4:$AQ$55,2,FALSE))*IF('19.07'!$AK47="是",'19.07'!$BB$4,'19.07'!$BB$3))</f>
        <v>0</v>
      </c>
      <c r="L47" s="4">
        <f>IF(ISNUMBER(SEARCH("营",'19.07'!T47)),(-$Y47+50*IF('19.07'!$AK47="是",'19.07'!$BB$4,'19.07'!$BB$3)),(VLOOKUP('19.07'!T47,'19.07'!$AO$4:$AQ$55,2,FALSE))*IF('19.07'!$AK47="是",'19.07'!$BB$4,'19.07'!$BB$3))</f>
        <v>0</v>
      </c>
      <c r="M47" s="4">
        <f>IF(ISNUMBER(SEARCH("营",'19.07'!U47)),(-$Y47+50*IF('19.07'!$AK47="是",'19.07'!$BB$4,'19.07'!$BB$3)),(VLOOKUP('19.07'!U47,'19.07'!$AO$4:$AQ$55,2,FALSE))*IF('19.07'!$AK47="是",'19.07'!$BB$4,'19.07'!$BB$3))</f>
        <v>0</v>
      </c>
      <c r="N47" s="4">
        <f>IF(ISNUMBER(SEARCH("营",'19.07'!V47)),(-$Y47+50*IF('19.07'!$AK47="是",'19.07'!$BB$4,'19.07'!$BB$3)),(VLOOKUP('19.07'!V47,'19.07'!$AO$4:$AQ$55,2,FALSE))*IF('19.07'!$AK47="是",'19.07'!$BB$4,'19.07'!$BB$3))</f>
        <v>0</v>
      </c>
      <c r="O47" s="4">
        <f>IF(ISNUMBER(SEARCH("营",'19.07'!W47)),(-$Y47+50*IF('19.07'!$AK47="是",'19.07'!$BB$4,'19.07'!$BB$3)),(VLOOKUP('19.07'!W47,'19.07'!$AO$4:$AQ$55,2,FALSE))*IF('19.07'!$AK47="是",'19.07'!$BB$4,'19.07'!$BB$3))</f>
        <v>0</v>
      </c>
      <c r="P47" s="4">
        <f>IF(ISNUMBER(SEARCH("营",'19.07'!X47)),(-$Y47+50*IF('19.07'!$AK47="是",'19.07'!$BB$4,'19.07'!$BB$3)),(VLOOKUP('19.07'!X47,'19.07'!$AO$4:$AQ$55,2,FALSE))*IF('19.07'!$AK47="是",'19.07'!$BB$4,'19.07'!$BB$3))</f>
        <v>0</v>
      </c>
      <c r="Q47" s="4">
        <f>IF(ISNUMBER(SEARCH("营",'19.07'!Y47)),(-$Y47+50*IF('19.07'!$AK47="是",'19.07'!$BB$4,'19.07'!$BB$3)),(VLOOKUP('19.07'!Y47,'19.07'!$AO$4:$AQ$55,2,FALSE))*IF('19.07'!$AK47="是",'19.07'!$BB$4,'19.07'!$BB$3))</f>
        <v>0</v>
      </c>
      <c r="R47" s="4">
        <f>IF(ISNUMBER(SEARCH("营",'19.07'!Z47)),(-$Y47+50*IF('19.07'!$AK47="是",'19.07'!$BB$4,'19.07'!$BB$3)),(VLOOKUP('19.07'!Z47,'19.07'!$AO$4:$AQ$55,2,FALSE))*IF('19.07'!$AK47="是",'19.07'!$BB$4,'19.07'!$BB$3))</f>
        <v>0</v>
      </c>
      <c r="S47" s="4">
        <f>IF(ISNUMBER(SEARCH("营",'19.07'!AA47)),(-$Y47+50*IF('19.07'!$AK47="是",'19.07'!$BB$4,'19.07'!$BB$3)),(VLOOKUP('19.07'!AA47,'19.07'!$AO$4:$AQ$55,2,FALSE))*IF('19.07'!$AK47="是",'19.07'!$BB$4,'19.07'!$BB$3))</f>
        <v>0</v>
      </c>
      <c r="T47" s="4">
        <f>IF(ISNUMBER(SEARCH("营",'19.07'!AB47)),(-$Y47+50*IF('19.07'!$AK47="是",'19.07'!$BB$4,'19.07'!$BB$3)),(VLOOKUP('19.07'!AB47,'19.07'!$AO$4:$AQ$55,2,FALSE))*IF('19.07'!$AK47="是",'19.07'!$BB$4,'19.07'!$BB$3))</f>
        <v>0</v>
      </c>
      <c r="U47" s="4">
        <f>IF(ISNUMBER(SEARCH("营",'19.07'!AC47)),(-$Y47+50*IF('19.07'!$AK47="是",'19.07'!$BB$4,'19.07'!$BB$3)),(VLOOKUP('19.07'!AC47,'19.07'!$AO$4:$AQ$55,2,FALSE))*IF('19.07'!$AK47="是",'19.07'!$BB$4,'19.07'!$BB$3))</f>
        <v>0</v>
      </c>
      <c r="V47" s="4">
        <f>IF(ISNUMBER(SEARCH("营",'19.07'!AD47)),(-$Y47+50*IF('19.07'!$AK47="是",'19.07'!$BB$4,'19.07'!$BB$3)),(VLOOKUP('19.07'!AD47,'19.07'!$AO$4:$AQ$55,2,FALSE))*IF('19.07'!$AK47="是",'19.07'!$BB$4,'19.07'!$BB$3))</f>
        <v>0</v>
      </c>
      <c r="W47" s="4">
        <f>IF(ISNUMBER(SEARCH("营",'19.07'!AE47)),(-$Y47+50*IF('19.07'!$AK47="是",'19.07'!$BB$4,'19.07'!$BB$3)),(VLOOKUP('19.07'!AE47,'19.07'!$AO$4:$AQ$55,2,FALSE))*IF('19.07'!$AK47="是",'19.07'!$BB$4,'19.07'!$BB$3))</f>
        <v>0</v>
      </c>
      <c r="X47" s="4">
        <f>IF(ISNUMBER(SEARCH("营",'19.07'!AF47)),(-$Y47+50*IF('19.07'!$AK47="是",'19.07'!$BB$4,'19.07'!$BB$3)),(VLOOKUP('19.07'!AF47,'19.07'!$AO$4:$AQ$55,2,FALSE))*IF('19.07'!$AK47="是",'19.07'!$BB$4,'19.07'!$BB$3))</f>
        <v>0</v>
      </c>
      <c r="Y47" s="16">
        <v>150</v>
      </c>
      <c r="Z47" s="17">
        <v>45773</v>
      </c>
    </row>
    <row r="48" spans="1:26">
      <c r="A48" s="4">
        <f>IF(ISNUMBER(SEARCH("营",'19.07'!I48)),(-$Y48+50*IF('19.07'!$AK48="是",'19.07'!$BB$4,'19.07'!$BB$3)),(VLOOKUP('19.07'!I48,'19.07'!$AO$4:$AQ$55,2,FALSE))*IF('19.07'!$AK48="是",'19.07'!$BB$4,'19.07'!$BB$3))</f>
        <v>0</v>
      </c>
      <c r="B48" s="4">
        <f>IF(ISNUMBER(SEARCH("营",'19.07'!J48)),(-$Y48+50*IF('19.07'!$AK48="是",'19.07'!$BB$4,'19.07'!$BB$3)),(VLOOKUP('19.07'!J48,'19.07'!$AO$4:$AQ$55,2,FALSE))*IF('19.07'!$AK48="是",'19.07'!$BB$4,'19.07'!$BB$3))</f>
        <v>0</v>
      </c>
      <c r="C48" s="4">
        <f>IF(ISNUMBER(SEARCH("营",'19.07'!K48)),(-$Y48+50*IF('19.07'!$AK48="是",'19.07'!$BB$4,'19.07'!$BB$3)),(VLOOKUP('19.07'!K48,'19.07'!$AO$4:$AQ$55,2,FALSE))*IF('19.07'!$AK48="是",'19.07'!$BB$4,'19.07'!$BB$3))</f>
        <v>0</v>
      </c>
      <c r="D48" s="4">
        <f>IF(ISNUMBER(SEARCH("营",'19.07'!L48)),(-$Y48+50*IF('19.07'!$AK48="是",'19.07'!$BB$4,'19.07'!$BB$3)),(VLOOKUP('19.07'!L48,'19.07'!$AO$4:$AQ$55,2,FALSE))*IF('19.07'!$AK48="是",'19.07'!$BB$4,'19.07'!$BB$3))</f>
        <v>0</v>
      </c>
      <c r="E48" s="4">
        <f>IF(ISNUMBER(SEARCH("营",'19.07'!M48)),(-$Y48+50*IF('19.07'!$AK48="是",'19.07'!$BB$4,'19.07'!$BB$3)),(VLOOKUP('19.07'!M48,'19.07'!$AO$4:$AQ$55,2,FALSE))*IF('19.07'!$AK48="是",'19.07'!$BB$4,'19.07'!$BB$3))</f>
        <v>0</v>
      </c>
      <c r="F48" s="4">
        <f>IF(ISNUMBER(SEARCH("营",'19.07'!N48)),(-$Y48+50*IF('19.07'!$AK48="是",'19.07'!$BB$4,'19.07'!$BB$3)),(VLOOKUP('19.07'!N48,'19.07'!$AO$4:$AQ$55,2,FALSE))*IF('19.07'!$AK48="是",'19.07'!$BB$4,'19.07'!$BB$3))</f>
        <v>0</v>
      </c>
      <c r="G48" s="4">
        <f>IF(ISNUMBER(SEARCH("营",'19.07'!O48)),(-$Y48+50*IF('19.07'!$AK48="是",'19.07'!$BB$4,'19.07'!$BB$3)),(VLOOKUP('19.07'!O48,'19.07'!$AO$4:$AQ$55,2,FALSE))*IF('19.07'!$AK48="是",'19.07'!$BB$4,'19.07'!$BB$3))</f>
        <v>0</v>
      </c>
      <c r="H48" s="4">
        <f>IF(ISNUMBER(SEARCH("营",'19.07'!P48)),(-$Y48+50*IF('19.07'!$AK48="是",'19.07'!$BB$4,'19.07'!$BB$3)),(VLOOKUP('19.07'!P48,'19.07'!$AO$4:$AQ$55,2,FALSE))*IF('19.07'!$AK48="是",'19.07'!$BB$4,'19.07'!$BB$3))</f>
        <v>0</v>
      </c>
      <c r="I48" s="4">
        <f>IF(ISNUMBER(SEARCH("营",'19.07'!Q48)),(-$Y48+50*IF('19.07'!$AK48="是",'19.07'!$BB$4,'19.07'!$BB$3)),(VLOOKUP('19.07'!Q48,'19.07'!$AO$4:$AQ$55,2,FALSE))*IF('19.07'!$AK48="是",'19.07'!$BB$4,'19.07'!$BB$3))</f>
        <v>0</v>
      </c>
      <c r="J48" s="4">
        <f>IF(ISNUMBER(SEARCH("营",'19.07'!R48)),(-$Y48+50*IF('19.07'!$AK48="是",'19.07'!$BB$4,'19.07'!$BB$3)),(VLOOKUP('19.07'!R48,'19.07'!$AO$4:$AQ$55,2,FALSE))*IF('19.07'!$AK48="是",'19.07'!$BB$4,'19.07'!$BB$3))</f>
        <v>0</v>
      </c>
      <c r="K48" s="4">
        <f>IF(ISNUMBER(SEARCH("营",'19.07'!S48)),(-$Y48+50*IF('19.07'!$AK48="是",'19.07'!$BB$4,'19.07'!$BB$3)),(VLOOKUP('19.07'!S48,'19.07'!$AO$4:$AQ$55,2,FALSE))*IF('19.07'!$AK48="是",'19.07'!$BB$4,'19.07'!$BB$3))</f>
        <v>0</v>
      </c>
      <c r="L48" s="4">
        <f>IF(ISNUMBER(SEARCH("营",'19.07'!T48)),(-$Y48+50*IF('19.07'!$AK48="是",'19.07'!$BB$4,'19.07'!$BB$3)),(VLOOKUP('19.07'!T48,'19.07'!$AO$4:$AQ$55,2,FALSE))*IF('19.07'!$AK48="是",'19.07'!$BB$4,'19.07'!$BB$3))</f>
        <v>0</v>
      </c>
      <c r="M48" s="4">
        <f>IF(ISNUMBER(SEARCH("营",'19.07'!U48)),(-$Y48+50*IF('19.07'!$AK48="是",'19.07'!$BB$4,'19.07'!$BB$3)),(VLOOKUP('19.07'!U48,'19.07'!$AO$4:$AQ$55,2,FALSE))*IF('19.07'!$AK48="是",'19.07'!$BB$4,'19.07'!$BB$3))</f>
        <v>0</v>
      </c>
      <c r="N48" s="4">
        <f>IF(ISNUMBER(SEARCH("营",'19.07'!V48)),(-$Y48+50*IF('19.07'!$AK48="是",'19.07'!$BB$4,'19.07'!$BB$3)),(VLOOKUP('19.07'!V48,'19.07'!$AO$4:$AQ$55,2,FALSE))*IF('19.07'!$AK48="是",'19.07'!$BB$4,'19.07'!$BB$3))</f>
        <v>0</v>
      </c>
      <c r="O48" s="4">
        <f>IF(ISNUMBER(SEARCH("营",'19.07'!W48)),(-$Y48+50*IF('19.07'!$AK48="是",'19.07'!$BB$4,'19.07'!$BB$3)),(VLOOKUP('19.07'!W48,'19.07'!$AO$4:$AQ$55,2,FALSE))*IF('19.07'!$AK48="是",'19.07'!$BB$4,'19.07'!$BB$3))</f>
        <v>0</v>
      </c>
      <c r="P48" s="4">
        <f>IF(ISNUMBER(SEARCH("营",'19.07'!X48)),(-$Y48+50*IF('19.07'!$AK48="是",'19.07'!$BB$4,'19.07'!$BB$3)),(VLOOKUP('19.07'!X48,'19.07'!$AO$4:$AQ$55,2,FALSE))*IF('19.07'!$AK48="是",'19.07'!$BB$4,'19.07'!$BB$3))</f>
        <v>0</v>
      </c>
      <c r="Q48" s="4">
        <f>IF(ISNUMBER(SEARCH("营",'19.07'!Y48)),(-$Y48+50*IF('19.07'!$AK48="是",'19.07'!$BB$4,'19.07'!$BB$3)),(VLOOKUP('19.07'!Y48,'19.07'!$AO$4:$AQ$55,2,FALSE))*IF('19.07'!$AK48="是",'19.07'!$BB$4,'19.07'!$BB$3))</f>
        <v>0</v>
      </c>
      <c r="R48" s="4">
        <f>IF(ISNUMBER(SEARCH("营",'19.07'!Z48)),(-$Y48+50*IF('19.07'!$AK48="是",'19.07'!$BB$4,'19.07'!$BB$3)),(VLOOKUP('19.07'!Z48,'19.07'!$AO$4:$AQ$55,2,FALSE))*IF('19.07'!$AK48="是",'19.07'!$BB$4,'19.07'!$BB$3))</f>
        <v>0</v>
      </c>
      <c r="S48" s="4">
        <f>IF(ISNUMBER(SEARCH("营",'19.07'!AA48)),(-$Y48+50*IF('19.07'!$AK48="是",'19.07'!$BB$4,'19.07'!$BB$3)),(VLOOKUP('19.07'!AA48,'19.07'!$AO$4:$AQ$55,2,FALSE))*IF('19.07'!$AK48="是",'19.07'!$BB$4,'19.07'!$BB$3))</f>
        <v>0</v>
      </c>
      <c r="T48" s="4">
        <f>IF(ISNUMBER(SEARCH("营",'19.07'!AB48)),(-$Y48+50*IF('19.07'!$AK48="是",'19.07'!$BB$4,'19.07'!$BB$3)),(VLOOKUP('19.07'!AB48,'19.07'!$AO$4:$AQ$55,2,FALSE))*IF('19.07'!$AK48="是",'19.07'!$BB$4,'19.07'!$BB$3))</f>
        <v>0</v>
      </c>
      <c r="U48" s="4">
        <f>IF(ISNUMBER(SEARCH("营",'19.07'!AC48)),(-$Y48+50*IF('19.07'!$AK48="是",'19.07'!$BB$4,'19.07'!$BB$3)),(VLOOKUP('19.07'!AC48,'19.07'!$AO$4:$AQ$55,2,FALSE))*IF('19.07'!$AK48="是",'19.07'!$BB$4,'19.07'!$BB$3))</f>
        <v>0</v>
      </c>
      <c r="V48" s="4">
        <f>IF(ISNUMBER(SEARCH("营",'19.07'!AD48)),(-$Y48+50*IF('19.07'!$AK48="是",'19.07'!$BB$4,'19.07'!$BB$3)),(VLOOKUP('19.07'!AD48,'19.07'!$AO$4:$AQ$55,2,FALSE))*IF('19.07'!$AK48="是",'19.07'!$BB$4,'19.07'!$BB$3))</f>
        <v>0</v>
      </c>
      <c r="W48" s="4">
        <f>IF(ISNUMBER(SEARCH("营",'19.07'!AE48)),(-$Y48+50*IF('19.07'!$AK48="是",'19.07'!$BB$4,'19.07'!$BB$3)),(VLOOKUP('19.07'!AE48,'19.07'!$AO$4:$AQ$55,2,FALSE))*IF('19.07'!$AK48="是",'19.07'!$BB$4,'19.07'!$BB$3))</f>
        <v>0</v>
      </c>
      <c r="X48" s="4">
        <f>IF(ISNUMBER(SEARCH("营",'19.07'!AF48)),(-$Y48+50*IF('19.07'!$AK48="是",'19.07'!$BB$4,'19.07'!$BB$3)),(VLOOKUP('19.07'!AF48,'19.07'!$AO$4:$AQ$55,2,FALSE))*IF('19.07'!$AK48="是",'19.07'!$BB$4,'19.07'!$BB$3))</f>
        <v>0</v>
      </c>
      <c r="Y48" s="16">
        <v>150</v>
      </c>
      <c r="Z48" s="17">
        <v>45774</v>
      </c>
    </row>
    <row r="49" spans="1:26">
      <c r="A49" s="4">
        <f>IF(ISNUMBER(SEARCH("营",'19.07'!I49)),(-$Y49+50*IF('19.07'!$AK49="是",'19.07'!$BB$4,'19.07'!$BB$3)),(VLOOKUP('19.07'!I49,'19.07'!$AO$4:$AQ$55,2,FALSE))*IF('19.07'!$AK49="是",'19.07'!$BB$4,'19.07'!$BB$3))</f>
        <v>0</v>
      </c>
      <c r="B49" s="4">
        <f>IF(ISNUMBER(SEARCH("营",'19.07'!J49)),(-$Y49+50*IF('19.07'!$AK49="是",'19.07'!$BB$4,'19.07'!$BB$3)),(VLOOKUP('19.07'!J49,'19.07'!$AO$4:$AQ$55,2,FALSE))*IF('19.07'!$AK49="是",'19.07'!$BB$4,'19.07'!$BB$3))</f>
        <v>0</v>
      </c>
      <c r="C49" s="4">
        <f>IF(ISNUMBER(SEARCH("营",'19.07'!K49)),(-$Y49+50*IF('19.07'!$AK49="是",'19.07'!$BB$4,'19.07'!$BB$3)),(VLOOKUP('19.07'!K49,'19.07'!$AO$4:$AQ$55,2,FALSE))*IF('19.07'!$AK49="是",'19.07'!$BB$4,'19.07'!$BB$3))</f>
        <v>0</v>
      </c>
      <c r="D49" s="4">
        <f>IF(ISNUMBER(SEARCH("营",'19.07'!L49)),(-$Y49+50*IF('19.07'!$AK49="是",'19.07'!$BB$4,'19.07'!$BB$3)),(VLOOKUP('19.07'!L49,'19.07'!$AO$4:$AQ$55,2,FALSE))*IF('19.07'!$AK49="是",'19.07'!$BB$4,'19.07'!$BB$3))</f>
        <v>0</v>
      </c>
      <c r="E49" s="4">
        <f>IF(ISNUMBER(SEARCH("营",'19.07'!M49)),(-$Y49+50*IF('19.07'!$AK49="是",'19.07'!$BB$4,'19.07'!$BB$3)),(VLOOKUP('19.07'!M49,'19.07'!$AO$4:$AQ$55,2,FALSE))*IF('19.07'!$AK49="是",'19.07'!$BB$4,'19.07'!$BB$3))</f>
        <v>0</v>
      </c>
      <c r="F49" s="4">
        <f>IF(ISNUMBER(SEARCH("营",'19.07'!N49)),(-$Y49+50*IF('19.07'!$AK49="是",'19.07'!$BB$4,'19.07'!$BB$3)),(VLOOKUP('19.07'!N49,'19.07'!$AO$4:$AQ$55,2,FALSE))*IF('19.07'!$AK49="是",'19.07'!$BB$4,'19.07'!$BB$3))</f>
        <v>0</v>
      </c>
      <c r="G49" s="4">
        <f>IF(ISNUMBER(SEARCH("营",'19.07'!O49)),(-$Y49+50*IF('19.07'!$AK49="是",'19.07'!$BB$4,'19.07'!$BB$3)),(VLOOKUP('19.07'!O49,'19.07'!$AO$4:$AQ$55,2,FALSE))*IF('19.07'!$AK49="是",'19.07'!$BB$4,'19.07'!$BB$3))</f>
        <v>0</v>
      </c>
      <c r="H49" s="4">
        <f>IF(ISNUMBER(SEARCH("营",'19.07'!P49)),(-$Y49+50*IF('19.07'!$AK49="是",'19.07'!$BB$4,'19.07'!$BB$3)),(VLOOKUP('19.07'!P49,'19.07'!$AO$4:$AQ$55,2,FALSE))*IF('19.07'!$AK49="是",'19.07'!$BB$4,'19.07'!$BB$3))</f>
        <v>0</v>
      </c>
      <c r="I49" s="4">
        <f>IF(ISNUMBER(SEARCH("营",'19.07'!Q49)),(-$Y49+50*IF('19.07'!$AK49="是",'19.07'!$BB$4,'19.07'!$BB$3)),(VLOOKUP('19.07'!Q49,'19.07'!$AO$4:$AQ$55,2,FALSE))*IF('19.07'!$AK49="是",'19.07'!$BB$4,'19.07'!$BB$3))</f>
        <v>0</v>
      </c>
      <c r="J49" s="4">
        <f>IF(ISNUMBER(SEARCH("营",'19.07'!R49)),(-$Y49+50*IF('19.07'!$AK49="是",'19.07'!$BB$4,'19.07'!$BB$3)),(VLOOKUP('19.07'!R49,'19.07'!$AO$4:$AQ$55,2,FALSE))*IF('19.07'!$AK49="是",'19.07'!$BB$4,'19.07'!$BB$3))</f>
        <v>0</v>
      </c>
      <c r="K49" s="4">
        <f>IF(ISNUMBER(SEARCH("营",'19.07'!S49)),(-$Y49+50*IF('19.07'!$AK49="是",'19.07'!$BB$4,'19.07'!$BB$3)),(VLOOKUP('19.07'!S49,'19.07'!$AO$4:$AQ$55,2,FALSE))*IF('19.07'!$AK49="是",'19.07'!$BB$4,'19.07'!$BB$3))</f>
        <v>0</v>
      </c>
      <c r="L49" s="4">
        <f>IF(ISNUMBER(SEARCH("营",'19.07'!T49)),(-$Y49+50*IF('19.07'!$AK49="是",'19.07'!$BB$4,'19.07'!$BB$3)),(VLOOKUP('19.07'!T49,'19.07'!$AO$4:$AQ$55,2,FALSE))*IF('19.07'!$AK49="是",'19.07'!$BB$4,'19.07'!$BB$3))</f>
        <v>0</v>
      </c>
      <c r="M49" s="4">
        <f>IF(ISNUMBER(SEARCH("营",'19.07'!U49)),(-$Y49+50*IF('19.07'!$AK49="是",'19.07'!$BB$4,'19.07'!$BB$3)),(VLOOKUP('19.07'!U49,'19.07'!$AO$4:$AQ$55,2,FALSE))*IF('19.07'!$AK49="是",'19.07'!$BB$4,'19.07'!$BB$3))</f>
        <v>0</v>
      </c>
      <c r="N49" s="4">
        <f>IF(ISNUMBER(SEARCH("营",'19.07'!V49)),(-$Y49+50*IF('19.07'!$AK49="是",'19.07'!$BB$4,'19.07'!$BB$3)),(VLOOKUP('19.07'!V49,'19.07'!$AO$4:$AQ$55,2,FALSE))*IF('19.07'!$AK49="是",'19.07'!$BB$4,'19.07'!$BB$3))</f>
        <v>0</v>
      </c>
      <c r="O49" s="4">
        <f>IF(ISNUMBER(SEARCH("营",'19.07'!W49)),(-$Y49+50*IF('19.07'!$AK49="是",'19.07'!$BB$4,'19.07'!$BB$3)),(VLOOKUP('19.07'!W49,'19.07'!$AO$4:$AQ$55,2,FALSE))*IF('19.07'!$AK49="是",'19.07'!$BB$4,'19.07'!$BB$3))</f>
        <v>0</v>
      </c>
      <c r="P49" s="4">
        <f>IF(ISNUMBER(SEARCH("营",'19.07'!X49)),(-$Y49+50*IF('19.07'!$AK49="是",'19.07'!$BB$4,'19.07'!$BB$3)),(VLOOKUP('19.07'!X49,'19.07'!$AO$4:$AQ$55,2,FALSE))*IF('19.07'!$AK49="是",'19.07'!$BB$4,'19.07'!$BB$3))</f>
        <v>0</v>
      </c>
      <c r="Q49" s="4">
        <f>IF(ISNUMBER(SEARCH("营",'19.07'!Y49)),(-$Y49+50*IF('19.07'!$AK49="是",'19.07'!$BB$4,'19.07'!$BB$3)),(VLOOKUP('19.07'!Y49,'19.07'!$AO$4:$AQ$55,2,FALSE))*IF('19.07'!$AK49="是",'19.07'!$BB$4,'19.07'!$BB$3))</f>
        <v>0</v>
      </c>
      <c r="R49" s="4">
        <f>IF(ISNUMBER(SEARCH("营",'19.07'!Z49)),(-$Y49+50*IF('19.07'!$AK49="是",'19.07'!$BB$4,'19.07'!$BB$3)),(VLOOKUP('19.07'!Z49,'19.07'!$AO$4:$AQ$55,2,FALSE))*IF('19.07'!$AK49="是",'19.07'!$BB$4,'19.07'!$BB$3))</f>
        <v>0</v>
      </c>
      <c r="S49" s="4">
        <f>IF(ISNUMBER(SEARCH("营",'19.07'!AA49)),(-$Y49+50*IF('19.07'!$AK49="是",'19.07'!$BB$4,'19.07'!$BB$3)),(VLOOKUP('19.07'!AA49,'19.07'!$AO$4:$AQ$55,2,FALSE))*IF('19.07'!$AK49="是",'19.07'!$BB$4,'19.07'!$BB$3))</f>
        <v>0</v>
      </c>
      <c r="T49" s="4">
        <f>IF(ISNUMBER(SEARCH("营",'19.07'!AB49)),(-$Y49+50*IF('19.07'!$AK49="是",'19.07'!$BB$4,'19.07'!$BB$3)),(VLOOKUP('19.07'!AB49,'19.07'!$AO$4:$AQ$55,2,FALSE))*IF('19.07'!$AK49="是",'19.07'!$BB$4,'19.07'!$BB$3))</f>
        <v>0</v>
      </c>
      <c r="U49" s="4">
        <f>IF(ISNUMBER(SEARCH("营",'19.07'!AC49)),(-$Y49+50*IF('19.07'!$AK49="是",'19.07'!$BB$4,'19.07'!$BB$3)),(VLOOKUP('19.07'!AC49,'19.07'!$AO$4:$AQ$55,2,FALSE))*IF('19.07'!$AK49="是",'19.07'!$BB$4,'19.07'!$BB$3))</f>
        <v>0</v>
      </c>
      <c r="V49" s="4">
        <f>IF(ISNUMBER(SEARCH("营",'19.07'!AD49)),(-$Y49+50*IF('19.07'!$AK49="是",'19.07'!$BB$4,'19.07'!$BB$3)),(VLOOKUP('19.07'!AD49,'19.07'!$AO$4:$AQ$55,2,FALSE))*IF('19.07'!$AK49="是",'19.07'!$BB$4,'19.07'!$BB$3))</f>
        <v>0</v>
      </c>
      <c r="W49" s="4">
        <f>IF(ISNUMBER(SEARCH("营",'19.07'!AE49)),(-$Y49+50*IF('19.07'!$AK49="是",'19.07'!$BB$4,'19.07'!$BB$3)),(VLOOKUP('19.07'!AE49,'19.07'!$AO$4:$AQ$55,2,FALSE))*IF('19.07'!$AK49="是",'19.07'!$BB$4,'19.07'!$BB$3))</f>
        <v>0</v>
      </c>
      <c r="X49" s="4">
        <f>IF(ISNUMBER(SEARCH("营",'19.07'!AF49)),(-$Y49+50*IF('19.07'!$AK49="是",'19.07'!$BB$4,'19.07'!$BB$3)),(VLOOKUP('19.07'!AF49,'19.07'!$AO$4:$AQ$55,2,FALSE))*IF('19.07'!$AK49="是",'19.07'!$BB$4,'19.07'!$BB$3))</f>
        <v>0</v>
      </c>
      <c r="Y49" s="16">
        <v>150</v>
      </c>
      <c r="Z49" s="17">
        <v>45775</v>
      </c>
    </row>
    <row r="50" spans="1:26">
      <c r="A50" s="4">
        <f>IF(ISNUMBER(SEARCH("营",'19.07'!I50)),(-$Y50+50*IF('19.07'!$AK50="是",'19.07'!$BB$4,'19.07'!$BB$3)),(VLOOKUP('19.07'!I50,'19.07'!$AO$4:$AQ$55,2,FALSE))*IF('19.07'!$AK50="是",'19.07'!$BB$4,'19.07'!$BB$3))</f>
        <v>0</v>
      </c>
      <c r="B50" s="4">
        <f>IF(ISNUMBER(SEARCH("营",'19.07'!J50)),(-$Y50+50*IF('19.07'!$AK50="是",'19.07'!$BB$4,'19.07'!$BB$3)),(VLOOKUP('19.07'!J50,'19.07'!$AO$4:$AQ$55,2,FALSE))*IF('19.07'!$AK50="是",'19.07'!$BB$4,'19.07'!$BB$3))</f>
        <v>0</v>
      </c>
      <c r="C50" s="4">
        <f>IF(ISNUMBER(SEARCH("营",'19.07'!K50)),(-$Y50+50*IF('19.07'!$AK50="是",'19.07'!$BB$4,'19.07'!$BB$3)),(VLOOKUP('19.07'!K50,'19.07'!$AO$4:$AQ$55,2,FALSE))*IF('19.07'!$AK50="是",'19.07'!$BB$4,'19.07'!$BB$3))</f>
        <v>0</v>
      </c>
      <c r="D50" s="4">
        <f>IF(ISNUMBER(SEARCH("营",'19.07'!L50)),(-$Y50+50*IF('19.07'!$AK50="是",'19.07'!$BB$4,'19.07'!$BB$3)),(VLOOKUP('19.07'!L50,'19.07'!$AO$4:$AQ$55,2,FALSE))*IF('19.07'!$AK50="是",'19.07'!$BB$4,'19.07'!$BB$3))</f>
        <v>0</v>
      </c>
      <c r="E50" s="4">
        <f>IF(ISNUMBER(SEARCH("营",'19.07'!M50)),(-$Y50+50*IF('19.07'!$AK50="是",'19.07'!$BB$4,'19.07'!$BB$3)),(VLOOKUP('19.07'!M50,'19.07'!$AO$4:$AQ$55,2,FALSE))*IF('19.07'!$AK50="是",'19.07'!$BB$4,'19.07'!$BB$3))</f>
        <v>0</v>
      </c>
      <c r="F50" s="4">
        <f>IF(ISNUMBER(SEARCH("营",'19.07'!N50)),(-$Y50+50*IF('19.07'!$AK50="是",'19.07'!$BB$4,'19.07'!$BB$3)),(VLOOKUP('19.07'!N50,'19.07'!$AO$4:$AQ$55,2,FALSE))*IF('19.07'!$AK50="是",'19.07'!$BB$4,'19.07'!$BB$3))</f>
        <v>0</v>
      </c>
      <c r="G50" s="4">
        <f>IF(ISNUMBER(SEARCH("营",'19.07'!O50)),(-$Y50+50*IF('19.07'!$AK50="是",'19.07'!$BB$4,'19.07'!$BB$3)),(VLOOKUP('19.07'!O50,'19.07'!$AO$4:$AQ$55,2,FALSE))*IF('19.07'!$AK50="是",'19.07'!$BB$4,'19.07'!$BB$3))</f>
        <v>0</v>
      </c>
      <c r="H50" s="4">
        <f>IF(ISNUMBER(SEARCH("营",'19.07'!P50)),(-$Y50+50*IF('19.07'!$AK50="是",'19.07'!$BB$4,'19.07'!$BB$3)),(VLOOKUP('19.07'!P50,'19.07'!$AO$4:$AQ$55,2,FALSE))*IF('19.07'!$AK50="是",'19.07'!$BB$4,'19.07'!$BB$3))</f>
        <v>0</v>
      </c>
      <c r="I50" s="4">
        <f>IF(ISNUMBER(SEARCH("营",'19.07'!Q50)),(-$Y50+50*IF('19.07'!$AK50="是",'19.07'!$BB$4,'19.07'!$BB$3)),(VLOOKUP('19.07'!Q50,'19.07'!$AO$4:$AQ$55,2,FALSE))*IF('19.07'!$AK50="是",'19.07'!$BB$4,'19.07'!$BB$3))</f>
        <v>0</v>
      </c>
      <c r="J50" s="4">
        <f>IF(ISNUMBER(SEARCH("营",'19.07'!R50)),(-$Y50+50*IF('19.07'!$AK50="是",'19.07'!$BB$4,'19.07'!$BB$3)),(VLOOKUP('19.07'!R50,'19.07'!$AO$4:$AQ$55,2,FALSE))*IF('19.07'!$AK50="是",'19.07'!$BB$4,'19.07'!$BB$3))</f>
        <v>0</v>
      </c>
      <c r="K50" s="4">
        <f>IF(ISNUMBER(SEARCH("营",'19.07'!S50)),(-$Y50+50*IF('19.07'!$AK50="是",'19.07'!$BB$4,'19.07'!$BB$3)),(VLOOKUP('19.07'!S50,'19.07'!$AO$4:$AQ$55,2,FALSE))*IF('19.07'!$AK50="是",'19.07'!$BB$4,'19.07'!$BB$3))</f>
        <v>0</v>
      </c>
      <c r="L50" s="4">
        <f>IF(ISNUMBER(SEARCH("营",'19.07'!T50)),(-$Y50+50*IF('19.07'!$AK50="是",'19.07'!$BB$4,'19.07'!$BB$3)),(VLOOKUP('19.07'!T50,'19.07'!$AO$4:$AQ$55,2,FALSE))*IF('19.07'!$AK50="是",'19.07'!$BB$4,'19.07'!$BB$3))</f>
        <v>0</v>
      </c>
      <c r="M50" s="4">
        <f>IF(ISNUMBER(SEARCH("营",'19.07'!U50)),(-$Y50+50*IF('19.07'!$AK50="是",'19.07'!$BB$4,'19.07'!$BB$3)),(VLOOKUP('19.07'!U50,'19.07'!$AO$4:$AQ$55,2,FALSE))*IF('19.07'!$AK50="是",'19.07'!$BB$4,'19.07'!$BB$3))</f>
        <v>0</v>
      </c>
      <c r="N50" s="4">
        <f>IF(ISNUMBER(SEARCH("营",'19.07'!V50)),(-$Y50+50*IF('19.07'!$AK50="是",'19.07'!$BB$4,'19.07'!$BB$3)),(VLOOKUP('19.07'!V50,'19.07'!$AO$4:$AQ$55,2,FALSE))*IF('19.07'!$AK50="是",'19.07'!$BB$4,'19.07'!$BB$3))</f>
        <v>0</v>
      </c>
      <c r="O50" s="4">
        <f>IF(ISNUMBER(SEARCH("营",'19.07'!W50)),(-$Y50+50*IF('19.07'!$AK50="是",'19.07'!$BB$4,'19.07'!$BB$3)),(VLOOKUP('19.07'!W50,'19.07'!$AO$4:$AQ$55,2,FALSE))*IF('19.07'!$AK50="是",'19.07'!$BB$4,'19.07'!$BB$3))</f>
        <v>0</v>
      </c>
      <c r="P50" s="4">
        <f>IF(ISNUMBER(SEARCH("营",'19.07'!X50)),(-$Y50+50*IF('19.07'!$AK50="是",'19.07'!$BB$4,'19.07'!$BB$3)),(VLOOKUP('19.07'!X50,'19.07'!$AO$4:$AQ$55,2,FALSE))*IF('19.07'!$AK50="是",'19.07'!$BB$4,'19.07'!$BB$3))</f>
        <v>0</v>
      </c>
      <c r="Q50" s="4">
        <f>IF(ISNUMBER(SEARCH("营",'19.07'!Y50)),(-$Y50+50*IF('19.07'!$AK50="是",'19.07'!$BB$4,'19.07'!$BB$3)),(VLOOKUP('19.07'!Y50,'19.07'!$AO$4:$AQ$55,2,FALSE))*IF('19.07'!$AK50="是",'19.07'!$BB$4,'19.07'!$BB$3))</f>
        <v>0</v>
      </c>
      <c r="R50" s="4">
        <f>IF(ISNUMBER(SEARCH("营",'19.07'!Z50)),(-$Y50+50*IF('19.07'!$AK50="是",'19.07'!$BB$4,'19.07'!$BB$3)),(VLOOKUP('19.07'!Z50,'19.07'!$AO$4:$AQ$55,2,FALSE))*IF('19.07'!$AK50="是",'19.07'!$BB$4,'19.07'!$BB$3))</f>
        <v>0</v>
      </c>
      <c r="S50" s="4">
        <f>IF(ISNUMBER(SEARCH("营",'19.07'!AA50)),(-$Y50+50*IF('19.07'!$AK50="是",'19.07'!$BB$4,'19.07'!$BB$3)),(VLOOKUP('19.07'!AA50,'19.07'!$AO$4:$AQ$55,2,FALSE))*IF('19.07'!$AK50="是",'19.07'!$BB$4,'19.07'!$BB$3))</f>
        <v>0</v>
      </c>
      <c r="T50" s="4">
        <f>IF(ISNUMBER(SEARCH("营",'19.07'!AB50)),(-$Y50+50*IF('19.07'!$AK50="是",'19.07'!$BB$4,'19.07'!$BB$3)),(VLOOKUP('19.07'!AB50,'19.07'!$AO$4:$AQ$55,2,FALSE))*IF('19.07'!$AK50="是",'19.07'!$BB$4,'19.07'!$BB$3))</f>
        <v>0</v>
      </c>
      <c r="U50" s="4">
        <f>IF(ISNUMBER(SEARCH("营",'19.07'!AC50)),(-$Y50+50*IF('19.07'!$AK50="是",'19.07'!$BB$4,'19.07'!$BB$3)),(VLOOKUP('19.07'!AC50,'19.07'!$AO$4:$AQ$55,2,FALSE))*IF('19.07'!$AK50="是",'19.07'!$BB$4,'19.07'!$BB$3))</f>
        <v>0</v>
      </c>
      <c r="V50" s="4">
        <f>IF(ISNUMBER(SEARCH("营",'19.07'!AD50)),(-$Y50+50*IF('19.07'!$AK50="是",'19.07'!$BB$4,'19.07'!$BB$3)),(VLOOKUP('19.07'!AD50,'19.07'!$AO$4:$AQ$55,2,FALSE))*IF('19.07'!$AK50="是",'19.07'!$BB$4,'19.07'!$BB$3))</f>
        <v>0</v>
      </c>
      <c r="W50" s="4">
        <f>IF(ISNUMBER(SEARCH("营",'19.07'!AE50)),(-$Y50+50*IF('19.07'!$AK50="是",'19.07'!$BB$4,'19.07'!$BB$3)),(VLOOKUP('19.07'!AE50,'19.07'!$AO$4:$AQ$55,2,FALSE))*IF('19.07'!$AK50="是",'19.07'!$BB$4,'19.07'!$BB$3))</f>
        <v>0</v>
      </c>
      <c r="X50" s="4">
        <f>IF(ISNUMBER(SEARCH("营",'19.07'!AF50)),(-$Y50+50*IF('19.07'!$AK50="是",'19.07'!$BB$4,'19.07'!$BB$3)),(VLOOKUP('19.07'!AF50,'19.07'!$AO$4:$AQ$55,2,FALSE))*IF('19.07'!$AK50="是",'19.07'!$BB$4,'19.07'!$BB$3))</f>
        <v>0</v>
      </c>
      <c r="Y50" s="16">
        <v>150</v>
      </c>
      <c r="Z50" s="17">
        <v>45776</v>
      </c>
    </row>
    <row r="51" spans="1:26">
      <c r="A51" s="4">
        <f>IF(ISNUMBER(SEARCH("营",'19.07'!I51)),(-$Y51+50*IF('19.07'!$AK51="是",'19.07'!$BB$4,'19.07'!$BB$3)),(VLOOKUP('19.07'!I51,'19.07'!$AO$4:$AQ$55,2,FALSE))*IF('19.07'!$AK51="是",'19.07'!$BB$4,'19.07'!$BB$3))</f>
        <v>0</v>
      </c>
      <c r="B51" s="4">
        <f>IF(ISNUMBER(SEARCH("营",'19.07'!J51)),(-$Y51+50*IF('19.07'!$AK51="是",'19.07'!$BB$4,'19.07'!$BB$3)),(VLOOKUP('19.07'!J51,'19.07'!$AO$4:$AQ$55,2,FALSE))*IF('19.07'!$AK51="是",'19.07'!$BB$4,'19.07'!$BB$3))</f>
        <v>0</v>
      </c>
      <c r="C51" s="4">
        <f>IF(ISNUMBER(SEARCH("营",'19.07'!K51)),(-$Y51+50*IF('19.07'!$AK51="是",'19.07'!$BB$4,'19.07'!$BB$3)),(VLOOKUP('19.07'!K51,'19.07'!$AO$4:$AQ$55,2,FALSE))*IF('19.07'!$AK51="是",'19.07'!$BB$4,'19.07'!$BB$3))</f>
        <v>0</v>
      </c>
      <c r="D51" s="4">
        <f>IF(ISNUMBER(SEARCH("营",'19.07'!L51)),(-$Y51+50*IF('19.07'!$AK51="是",'19.07'!$BB$4,'19.07'!$BB$3)),(VLOOKUP('19.07'!L51,'19.07'!$AO$4:$AQ$55,2,FALSE))*IF('19.07'!$AK51="是",'19.07'!$BB$4,'19.07'!$BB$3))</f>
        <v>0</v>
      </c>
      <c r="E51" s="4">
        <f>IF(ISNUMBER(SEARCH("营",'19.07'!M51)),(-$Y51+50*IF('19.07'!$AK51="是",'19.07'!$BB$4,'19.07'!$BB$3)),(VLOOKUP('19.07'!M51,'19.07'!$AO$4:$AQ$55,2,FALSE))*IF('19.07'!$AK51="是",'19.07'!$BB$4,'19.07'!$BB$3))</f>
        <v>0</v>
      </c>
      <c r="F51" s="4">
        <f>IF(ISNUMBER(SEARCH("营",'19.07'!N51)),(-$Y51+50*IF('19.07'!$AK51="是",'19.07'!$BB$4,'19.07'!$BB$3)),(VLOOKUP('19.07'!N51,'19.07'!$AO$4:$AQ$55,2,FALSE))*IF('19.07'!$AK51="是",'19.07'!$BB$4,'19.07'!$BB$3))</f>
        <v>0</v>
      </c>
      <c r="G51" s="4">
        <f>IF(ISNUMBER(SEARCH("营",'19.07'!O51)),(-$Y51+50*IF('19.07'!$AK51="是",'19.07'!$BB$4,'19.07'!$BB$3)),(VLOOKUP('19.07'!O51,'19.07'!$AO$4:$AQ$55,2,FALSE))*IF('19.07'!$AK51="是",'19.07'!$BB$4,'19.07'!$BB$3))</f>
        <v>0</v>
      </c>
      <c r="H51" s="4">
        <f>IF(ISNUMBER(SEARCH("营",'19.07'!P51)),(-$Y51+50*IF('19.07'!$AK51="是",'19.07'!$BB$4,'19.07'!$BB$3)),(VLOOKUP('19.07'!P51,'19.07'!$AO$4:$AQ$55,2,FALSE))*IF('19.07'!$AK51="是",'19.07'!$BB$4,'19.07'!$BB$3))</f>
        <v>0</v>
      </c>
      <c r="I51" s="4">
        <f>IF(ISNUMBER(SEARCH("营",'19.07'!Q51)),(-$Y51+50*IF('19.07'!$AK51="是",'19.07'!$BB$4,'19.07'!$BB$3)),(VLOOKUP('19.07'!Q51,'19.07'!$AO$4:$AQ$55,2,FALSE))*IF('19.07'!$AK51="是",'19.07'!$BB$4,'19.07'!$BB$3))</f>
        <v>0</v>
      </c>
      <c r="J51" s="4">
        <f>IF(ISNUMBER(SEARCH("营",'19.07'!R51)),(-$Y51+50*IF('19.07'!$AK51="是",'19.07'!$BB$4,'19.07'!$BB$3)),(VLOOKUP('19.07'!R51,'19.07'!$AO$4:$AQ$55,2,FALSE))*IF('19.07'!$AK51="是",'19.07'!$BB$4,'19.07'!$BB$3))</f>
        <v>0</v>
      </c>
      <c r="K51" s="4">
        <f>IF(ISNUMBER(SEARCH("营",'19.07'!S51)),(-$Y51+50*IF('19.07'!$AK51="是",'19.07'!$BB$4,'19.07'!$BB$3)),(VLOOKUP('19.07'!S51,'19.07'!$AO$4:$AQ$55,2,FALSE))*IF('19.07'!$AK51="是",'19.07'!$BB$4,'19.07'!$BB$3))</f>
        <v>0</v>
      </c>
      <c r="L51" s="4">
        <f>IF(ISNUMBER(SEARCH("营",'19.07'!T51)),(-$Y51+50*IF('19.07'!$AK51="是",'19.07'!$BB$4,'19.07'!$BB$3)),(VLOOKUP('19.07'!T51,'19.07'!$AO$4:$AQ$55,2,FALSE))*IF('19.07'!$AK51="是",'19.07'!$BB$4,'19.07'!$BB$3))</f>
        <v>0</v>
      </c>
      <c r="M51" s="4">
        <f>IF(ISNUMBER(SEARCH("营",'19.07'!U51)),(-$Y51+50*IF('19.07'!$AK51="是",'19.07'!$BB$4,'19.07'!$BB$3)),(VLOOKUP('19.07'!U51,'19.07'!$AO$4:$AQ$55,2,FALSE))*IF('19.07'!$AK51="是",'19.07'!$BB$4,'19.07'!$BB$3))</f>
        <v>0</v>
      </c>
      <c r="N51" s="4">
        <f>IF(ISNUMBER(SEARCH("营",'19.07'!V51)),(-$Y51+50*IF('19.07'!$AK51="是",'19.07'!$BB$4,'19.07'!$BB$3)),(VLOOKUP('19.07'!V51,'19.07'!$AO$4:$AQ$55,2,FALSE))*IF('19.07'!$AK51="是",'19.07'!$BB$4,'19.07'!$BB$3))</f>
        <v>0</v>
      </c>
      <c r="O51" s="4">
        <f>IF(ISNUMBER(SEARCH("营",'19.07'!W51)),(-$Y51+50*IF('19.07'!$AK51="是",'19.07'!$BB$4,'19.07'!$BB$3)),(VLOOKUP('19.07'!W51,'19.07'!$AO$4:$AQ$55,2,FALSE))*IF('19.07'!$AK51="是",'19.07'!$BB$4,'19.07'!$BB$3))</f>
        <v>0</v>
      </c>
      <c r="P51" s="4">
        <f>IF(ISNUMBER(SEARCH("营",'19.07'!X51)),(-$Y51+50*IF('19.07'!$AK51="是",'19.07'!$BB$4,'19.07'!$BB$3)),(VLOOKUP('19.07'!X51,'19.07'!$AO$4:$AQ$55,2,FALSE))*IF('19.07'!$AK51="是",'19.07'!$BB$4,'19.07'!$BB$3))</f>
        <v>0</v>
      </c>
      <c r="Q51" s="4">
        <f>IF(ISNUMBER(SEARCH("营",'19.07'!Y51)),(-$Y51+50*IF('19.07'!$AK51="是",'19.07'!$BB$4,'19.07'!$BB$3)),(VLOOKUP('19.07'!Y51,'19.07'!$AO$4:$AQ$55,2,FALSE))*IF('19.07'!$AK51="是",'19.07'!$BB$4,'19.07'!$BB$3))</f>
        <v>0</v>
      </c>
      <c r="R51" s="4">
        <f>IF(ISNUMBER(SEARCH("营",'19.07'!Z51)),(-$Y51+50*IF('19.07'!$AK51="是",'19.07'!$BB$4,'19.07'!$BB$3)),(VLOOKUP('19.07'!Z51,'19.07'!$AO$4:$AQ$55,2,FALSE))*IF('19.07'!$AK51="是",'19.07'!$BB$4,'19.07'!$BB$3))</f>
        <v>0</v>
      </c>
      <c r="S51" s="4">
        <f>IF(ISNUMBER(SEARCH("营",'19.07'!AA51)),(-$Y51+50*IF('19.07'!$AK51="是",'19.07'!$BB$4,'19.07'!$BB$3)),(VLOOKUP('19.07'!AA51,'19.07'!$AO$4:$AQ$55,2,FALSE))*IF('19.07'!$AK51="是",'19.07'!$BB$4,'19.07'!$BB$3))</f>
        <v>0</v>
      </c>
      <c r="T51" s="4">
        <f>IF(ISNUMBER(SEARCH("营",'19.07'!AB51)),(-$Y51+50*IF('19.07'!$AK51="是",'19.07'!$BB$4,'19.07'!$BB$3)),(VLOOKUP('19.07'!AB51,'19.07'!$AO$4:$AQ$55,2,FALSE))*IF('19.07'!$AK51="是",'19.07'!$BB$4,'19.07'!$BB$3))</f>
        <v>0</v>
      </c>
      <c r="U51" s="4">
        <f>IF(ISNUMBER(SEARCH("营",'19.07'!AC51)),(-$Y51+50*IF('19.07'!$AK51="是",'19.07'!$BB$4,'19.07'!$BB$3)),(VLOOKUP('19.07'!AC51,'19.07'!$AO$4:$AQ$55,2,FALSE))*IF('19.07'!$AK51="是",'19.07'!$BB$4,'19.07'!$BB$3))</f>
        <v>0</v>
      </c>
      <c r="V51" s="4">
        <f>IF(ISNUMBER(SEARCH("营",'19.07'!AD51)),(-$Y51+50*IF('19.07'!$AK51="是",'19.07'!$BB$4,'19.07'!$BB$3)),(VLOOKUP('19.07'!AD51,'19.07'!$AO$4:$AQ$55,2,FALSE))*IF('19.07'!$AK51="是",'19.07'!$BB$4,'19.07'!$BB$3))</f>
        <v>0</v>
      </c>
      <c r="W51" s="4">
        <f>IF(ISNUMBER(SEARCH("营",'19.07'!AE51)),(-$Y51+50*IF('19.07'!$AK51="是",'19.07'!$BB$4,'19.07'!$BB$3)),(VLOOKUP('19.07'!AE51,'19.07'!$AO$4:$AQ$55,2,FALSE))*IF('19.07'!$AK51="是",'19.07'!$BB$4,'19.07'!$BB$3))</f>
        <v>0</v>
      </c>
      <c r="X51" s="4">
        <f>IF(ISNUMBER(SEARCH("营",'19.07'!AF51)),(-$Y51+50*IF('19.07'!$AK51="是",'19.07'!$BB$4,'19.07'!$BB$3)),(VLOOKUP('19.07'!AF51,'19.07'!$AO$4:$AQ$55,2,FALSE))*IF('19.07'!$AK51="是",'19.07'!$BB$4,'19.07'!$BB$3))</f>
        <v>0</v>
      </c>
      <c r="Y51" s="16">
        <v>150</v>
      </c>
      <c r="Z51" s="17">
        <v>45777</v>
      </c>
    </row>
    <row r="52" spans="1:26">
      <c r="A52" s="4">
        <f>IF(ISNUMBER(SEARCH("营",'19.07'!I52)),(-$Y52+50*IF('19.07'!$AK52="是",'19.07'!$BB$4,'19.07'!$BB$3)),(VLOOKUP('19.07'!I52,'19.07'!$AO$4:$AQ$55,2,FALSE))*IF('19.07'!$AK52="是",'19.07'!$BB$4,'19.07'!$BB$3))</f>
        <v>0</v>
      </c>
      <c r="B52" s="4">
        <f>IF(ISNUMBER(SEARCH("营",'19.07'!J52)),(-$Y52+50*IF('19.07'!$AK52="是",'19.07'!$BB$4,'19.07'!$BB$3)),(VLOOKUP('19.07'!J52,'19.07'!$AO$4:$AQ$55,2,FALSE))*IF('19.07'!$AK52="是",'19.07'!$BB$4,'19.07'!$BB$3))</f>
        <v>0</v>
      </c>
      <c r="C52" s="4">
        <f>IF(ISNUMBER(SEARCH("营",'19.07'!K52)),(-$Y52+50*IF('19.07'!$AK52="是",'19.07'!$BB$4,'19.07'!$BB$3)),(VLOOKUP('19.07'!K52,'19.07'!$AO$4:$AQ$55,2,FALSE))*IF('19.07'!$AK52="是",'19.07'!$BB$4,'19.07'!$BB$3))</f>
        <v>0</v>
      </c>
      <c r="D52" s="4">
        <f>IF(ISNUMBER(SEARCH("营",'19.07'!L52)),(-$Y52+50*IF('19.07'!$AK52="是",'19.07'!$BB$4,'19.07'!$BB$3)),(VLOOKUP('19.07'!L52,'19.07'!$AO$4:$AQ$55,2,FALSE))*IF('19.07'!$AK52="是",'19.07'!$BB$4,'19.07'!$BB$3))</f>
        <v>0</v>
      </c>
      <c r="E52" s="4">
        <f>IF(ISNUMBER(SEARCH("营",'19.07'!M52)),(-$Y52+50*IF('19.07'!$AK52="是",'19.07'!$BB$4,'19.07'!$BB$3)),(VLOOKUP('19.07'!M52,'19.07'!$AO$4:$AQ$55,2,FALSE))*IF('19.07'!$AK52="是",'19.07'!$BB$4,'19.07'!$BB$3))</f>
        <v>0</v>
      </c>
      <c r="F52" s="4">
        <f>IF(ISNUMBER(SEARCH("营",'19.07'!N52)),(-$Y52+50*IF('19.07'!$AK52="是",'19.07'!$BB$4,'19.07'!$BB$3)),(VLOOKUP('19.07'!N52,'19.07'!$AO$4:$AQ$55,2,FALSE))*IF('19.07'!$AK52="是",'19.07'!$BB$4,'19.07'!$BB$3))</f>
        <v>0</v>
      </c>
      <c r="G52" s="4">
        <f>IF(ISNUMBER(SEARCH("营",'19.07'!O52)),(-$Y52+50*IF('19.07'!$AK52="是",'19.07'!$BB$4,'19.07'!$BB$3)),(VLOOKUP('19.07'!O52,'19.07'!$AO$4:$AQ$55,2,FALSE))*IF('19.07'!$AK52="是",'19.07'!$BB$4,'19.07'!$BB$3))</f>
        <v>0</v>
      </c>
      <c r="H52" s="4">
        <f>IF(ISNUMBER(SEARCH("营",'19.07'!P52)),(-$Y52+50*IF('19.07'!$AK52="是",'19.07'!$BB$4,'19.07'!$BB$3)),(VLOOKUP('19.07'!P52,'19.07'!$AO$4:$AQ$55,2,FALSE))*IF('19.07'!$AK52="是",'19.07'!$BB$4,'19.07'!$BB$3))</f>
        <v>0</v>
      </c>
      <c r="I52" s="4">
        <f>IF(ISNUMBER(SEARCH("营",'19.07'!Q52)),(-$Y52+50*IF('19.07'!$AK52="是",'19.07'!$BB$4,'19.07'!$BB$3)),(VLOOKUP('19.07'!Q52,'19.07'!$AO$4:$AQ$55,2,FALSE))*IF('19.07'!$AK52="是",'19.07'!$BB$4,'19.07'!$BB$3))</f>
        <v>0</v>
      </c>
      <c r="J52" s="4">
        <f>IF(ISNUMBER(SEARCH("营",'19.07'!R52)),(-$Y52+50*IF('19.07'!$AK52="是",'19.07'!$BB$4,'19.07'!$BB$3)),(VLOOKUP('19.07'!R52,'19.07'!$AO$4:$AQ$55,2,FALSE))*IF('19.07'!$AK52="是",'19.07'!$BB$4,'19.07'!$BB$3))</f>
        <v>0</v>
      </c>
      <c r="K52" s="4">
        <f>IF(ISNUMBER(SEARCH("营",'19.07'!S52)),(-$Y52+50*IF('19.07'!$AK52="是",'19.07'!$BB$4,'19.07'!$BB$3)),(VLOOKUP('19.07'!S52,'19.07'!$AO$4:$AQ$55,2,FALSE))*IF('19.07'!$AK52="是",'19.07'!$BB$4,'19.07'!$BB$3))</f>
        <v>0</v>
      </c>
      <c r="L52" s="4">
        <f>IF(ISNUMBER(SEARCH("营",'19.07'!T52)),(-$Y52+50*IF('19.07'!$AK52="是",'19.07'!$BB$4,'19.07'!$BB$3)),(VLOOKUP('19.07'!T52,'19.07'!$AO$4:$AQ$55,2,FALSE))*IF('19.07'!$AK52="是",'19.07'!$BB$4,'19.07'!$BB$3))</f>
        <v>0</v>
      </c>
      <c r="M52" s="4">
        <f>IF(ISNUMBER(SEARCH("营",'19.07'!U52)),(-$Y52+50*IF('19.07'!$AK52="是",'19.07'!$BB$4,'19.07'!$BB$3)),(VLOOKUP('19.07'!U52,'19.07'!$AO$4:$AQ$55,2,FALSE))*IF('19.07'!$AK52="是",'19.07'!$BB$4,'19.07'!$BB$3))</f>
        <v>0</v>
      </c>
      <c r="N52" s="4">
        <f>IF(ISNUMBER(SEARCH("营",'19.07'!V52)),(-$Y52+50*IF('19.07'!$AK52="是",'19.07'!$BB$4,'19.07'!$BB$3)),(VLOOKUP('19.07'!V52,'19.07'!$AO$4:$AQ$55,2,FALSE))*IF('19.07'!$AK52="是",'19.07'!$BB$4,'19.07'!$BB$3))</f>
        <v>0</v>
      </c>
      <c r="O52" s="4">
        <f>IF(ISNUMBER(SEARCH("营",'19.07'!W52)),(-$Y52+50*IF('19.07'!$AK52="是",'19.07'!$BB$4,'19.07'!$BB$3)),(VLOOKUP('19.07'!W52,'19.07'!$AO$4:$AQ$55,2,FALSE))*IF('19.07'!$AK52="是",'19.07'!$BB$4,'19.07'!$BB$3))</f>
        <v>0</v>
      </c>
      <c r="P52" s="4">
        <f>IF(ISNUMBER(SEARCH("营",'19.07'!X52)),(-$Y52+50*IF('19.07'!$AK52="是",'19.07'!$BB$4,'19.07'!$BB$3)),(VLOOKUP('19.07'!X52,'19.07'!$AO$4:$AQ$55,2,FALSE))*IF('19.07'!$AK52="是",'19.07'!$BB$4,'19.07'!$BB$3))</f>
        <v>0</v>
      </c>
      <c r="Q52" s="4">
        <f>IF(ISNUMBER(SEARCH("营",'19.07'!Y52)),(-$Y52+50*IF('19.07'!$AK52="是",'19.07'!$BB$4,'19.07'!$BB$3)),(VLOOKUP('19.07'!Y52,'19.07'!$AO$4:$AQ$55,2,FALSE))*IF('19.07'!$AK52="是",'19.07'!$BB$4,'19.07'!$BB$3))</f>
        <v>0</v>
      </c>
      <c r="R52" s="4">
        <f>IF(ISNUMBER(SEARCH("营",'19.07'!Z52)),(-$Y52+50*IF('19.07'!$AK52="是",'19.07'!$BB$4,'19.07'!$BB$3)),(VLOOKUP('19.07'!Z52,'19.07'!$AO$4:$AQ$55,2,FALSE))*IF('19.07'!$AK52="是",'19.07'!$BB$4,'19.07'!$BB$3))</f>
        <v>0</v>
      </c>
      <c r="S52" s="4">
        <f>IF(ISNUMBER(SEARCH("营",'19.07'!AA52)),(-$Y52+50*IF('19.07'!$AK52="是",'19.07'!$BB$4,'19.07'!$BB$3)),(VLOOKUP('19.07'!AA52,'19.07'!$AO$4:$AQ$55,2,FALSE))*IF('19.07'!$AK52="是",'19.07'!$BB$4,'19.07'!$BB$3))</f>
        <v>0</v>
      </c>
      <c r="T52" s="4">
        <f>IF(ISNUMBER(SEARCH("营",'19.07'!AB52)),(-$Y52+50*IF('19.07'!$AK52="是",'19.07'!$BB$4,'19.07'!$BB$3)),(VLOOKUP('19.07'!AB52,'19.07'!$AO$4:$AQ$55,2,FALSE))*IF('19.07'!$AK52="是",'19.07'!$BB$4,'19.07'!$BB$3))</f>
        <v>0</v>
      </c>
      <c r="U52" s="4">
        <f>IF(ISNUMBER(SEARCH("营",'19.07'!AC52)),(-$Y52+50*IF('19.07'!$AK52="是",'19.07'!$BB$4,'19.07'!$BB$3)),(VLOOKUP('19.07'!AC52,'19.07'!$AO$4:$AQ$55,2,FALSE))*IF('19.07'!$AK52="是",'19.07'!$BB$4,'19.07'!$BB$3))</f>
        <v>0</v>
      </c>
      <c r="V52" s="4">
        <f>IF(ISNUMBER(SEARCH("营",'19.07'!AD52)),(-$Y52+50*IF('19.07'!$AK52="是",'19.07'!$BB$4,'19.07'!$BB$3)),(VLOOKUP('19.07'!AD52,'19.07'!$AO$4:$AQ$55,2,FALSE))*IF('19.07'!$AK52="是",'19.07'!$BB$4,'19.07'!$BB$3))</f>
        <v>0</v>
      </c>
      <c r="W52" s="4">
        <f>IF(ISNUMBER(SEARCH("营",'19.07'!AE52)),(-$Y52+50*IF('19.07'!$AK52="是",'19.07'!$BB$4,'19.07'!$BB$3)),(VLOOKUP('19.07'!AE52,'19.07'!$AO$4:$AQ$55,2,FALSE))*IF('19.07'!$AK52="是",'19.07'!$BB$4,'19.07'!$BB$3))</f>
        <v>0</v>
      </c>
      <c r="X52" s="4">
        <f>IF(ISNUMBER(SEARCH("营",'19.07'!AF52)),(-$Y52+50*IF('19.07'!$AK52="是",'19.07'!$BB$4,'19.07'!$BB$3)),(VLOOKUP('19.07'!AF52,'19.07'!$AO$4:$AQ$55,2,FALSE))*IF('19.07'!$AK52="是",'19.07'!$BB$4,'19.07'!$BB$3))</f>
        <v>0</v>
      </c>
      <c r="Y52" s="16">
        <v>150</v>
      </c>
      <c r="Z52" s="17">
        <v>45778</v>
      </c>
    </row>
    <row r="53" spans="1:26">
      <c r="A53" s="4">
        <f>IF(ISNUMBER(SEARCH("营",'19.07'!I53)),(-$Y53+50*IF('19.07'!$AK53="是",'19.07'!$BB$4,'19.07'!$BB$3)),(VLOOKUP('19.07'!I53,'19.07'!$AO$4:$AQ$55,2,FALSE))*IF('19.07'!$AK53="是",'19.07'!$BB$4,'19.07'!$BB$3))</f>
        <v>0</v>
      </c>
      <c r="B53" s="4">
        <f>IF(ISNUMBER(SEARCH("营",'19.07'!J53)),(-$Y53+50*IF('19.07'!$AK53="是",'19.07'!$BB$4,'19.07'!$BB$3)),(VLOOKUP('19.07'!J53,'19.07'!$AO$4:$AQ$55,2,FALSE))*IF('19.07'!$AK53="是",'19.07'!$BB$4,'19.07'!$BB$3))</f>
        <v>0</v>
      </c>
      <c r="C53" s="4">
        <f>IF(ISNUMBER(SEARCH("营",'19.07'!K53)),(-$Y53+50*IF('19.07'!$AK53="是",'19.07'!$BB$4,'19.07'!$BB$3)),(VLOOKUP('19.07'!K53,'19.07'!$AO$4:$AQ$55,2,FALSE))*IF('19.07'!$AK53="是",'19.07'!$BB$4,'19.07'!$BB$3))</f>
        <v>0</v>
      </c>
      <c r="D53" s="4">
        <f>IF(ISNUMBER(SEARCH("营",'19.07'!L53)),(-$Y53+50*IF('19.07'!$AK53="是",'19.07'!$BB$4,'19.07'!$BB$3)),(VLOOKUP('19.07'!L53,'19.07'!$AO$4:$AQ$55,2,FALSE))*IF('19.07'!$AK53="是",'19.07'!$BB$4,'19.07'!$BB$3))</f>
        <v>0</v>
      </c>
      <c r="E53" s="4">
        <f>IF(ISNUMBER(SEARCH("营",'19.07'!M53)),(-$Y53+50*IF('19.07'!$AK53="是",'19.07'!$BB$4,'19.07'!$BB$3)),(VLOOKUP('19.07'!M53,'19.07'!$AO$4:$AQ$55,2,FALSE))*IF('19.07'!$AK53="是",'19.07'!$BB$4,'19.07'!$BB$3))</f>
        <v>0</v>
      </c>
      <c r="F53" s="4">
        <f>IF(ISNUMBER(SEARCH("营",'19.07'!N53)),(-$Y53+50*IF('19.07'!$AK53="是",'19.07'!$BB$4,'19.07'!$BB$3)),(VLOOKUP('19.07'!N53,'19.07'!$AO$4:$AQ$55,2,FALSE))*IF('19.07'!$AK53="是",'19.07'!$BB$4,'19.07'!$BB$3))</f>
        <v>0</v>
      </c>
      <c r="G53" s="4">
        <f>IF(ISNUMBER(SEARCH("营",'19.07'!O53)),(-$Y53+50*IF('19.07'!$AK53="是",'19.07'!$BB$4,'19.07'!$BB$3)),(VLOOKUP('19.07'!O53,'19.07'!$AO$4:$AQ$55,2,FALSE))*IF('19.07'!$AK53="是",'19.07'!$BB$4,'19.07'!$BB$3))</f>
        <v>0</v>
      </c>
      <c r="H53" s="4">
        <f>IF(ISNUMBER(SEARCH("营",'19.07'!P53)),(-$Y53+50*IF('19.07'!$AK53="是",'19.07'!$BB$4,'19.07'!$BB$3)),(VLOOKUP('19.07'!P53,'19.07'!$AO$4:$AQ$55,2,FALSE))*IF('19.07'!$AK53="是",'19.07'!$BB$4,'19.07'!$BB$3))</f>
        <v>0</v>
      </c>
      <c r="I53" s="4">
        <f>IF(ISNUMBER(SEARCH("营",'19.07'!Q53)),(-$Y53+50*IF('19.07'!$AK53="是",'19.07'!$BB$4,'19.07'!$BB$3)),(VLOOKUP('19.07'!Q53,'19.07'!$AO$4:$AQ$55,2,FALSE))*IF('19.07'!$AK53="是",'19.07'!$BB$4,'19.07'!$BB$3))</f>
        <v>0</v>
      </c>
      <c r="J53" s="4">
        <f>IF(ISNUMBER(SEARCH("营",'19.07'!R53)),(-$Y53+50*IF('19.07'!$AK53="是",'19.07'!$BB$4,'19.07'!$BB$3)),(VLOOKUP('19.07'!R53,'19.07'!$AO$4:$AQ$55,2,FALSE))*IF('19.07'!$AK53="是",'19.07'!$BB$4,'19.07'!$BB$3))</f>
        <v>0</v>
      </c>
      <c r="K53" s="4">
        <f>IF(ISNUMBER(SEARCH("营",'19.07'!S53)),(-$Y53+50*IF('19.07'!$AK53="是",'19.07'!$BB$4,'19.07'!$BB$3)),(VLOOKUP('19.07'!S53,'19.07'!$AO$4:$AQ$55,2,FALSE))*IF('19.07'!$AK53="是",'19.07'!$BB$4,'19.07'!$BB$3))</f>
        <v>0</v>
      </c>
      <c r="L53" s="4">
        <f>IF(ISNUMBER(SEARCH("营",'19.07'!T53)),(-$Y53+50*IF('19.07'!$AK53="是",'19.07'!$BB$4,'19.07'!$BB$3)),(VLOOKUP('19.07'!T53,'19.07'!$AO$4:$AQ$55,2,FALSE))*IF('19.07'!$AK53="是",'19.07'!$BB$4,'19.07'!$BB$3))</f>
        <v>0</v>
      </c>
      <c r="M53" s="4">
        <f>IF(ISNUMBER(SEARCH("营",'19.07'!U53)),(-$Y53+50*IF('19.07'!$AK53="是",'19.07'!$BB$4,'19.07'!$BB$3)),(VLOOKUP('19.07'!U53,'19.07'!$AO$4:$AQ$55,2,FALSE))*IF('19.07'!$AK53="是",'19.07'!$BB$4,'19.07'!$BB$3))</f>
        <v>0</v>
      </c>
      <c r="N53" s="4">
        <f>IF(ISNUMBER(SEARCH("营",'19.07'!V53)),(-$Y53+50*IF('19.07'!$AK53="是",'19.07'!$BB$4,'19.07'!$BB$3)),(VLOOKUP('19.07'!V53,'19.07'!$AO$4:$AQ$55,2,FALSE))*IF('19.07'!$AK53="是",'19.07'!$BB$4,'19.07'!$BB$3))</f>
        <v>0</v>
      </c>
      <c r="O53" s="4">
        <f>IF(ISNUMBER(SEARCH("营",'19.07'!W53)),(-$Y53+50*IF('19.07'!$AK53="是",'19.07'!$BB$4,'19.07'!$BB$3)),(VLOOKUP('19.07'!W53,'19.07'!$AO$4:$AQ$55,2,FALSE))*IF('19.07'!$AK53="是",'19.07'!$BB$4,'19.07'!$BB$3))</f>
        <v>0</v>
      </c>
      <c r="P53" s="4">
        <f>IF(ISNUMBER(SEARCH("营",'19.07'!X53)),(-$Y53+50*IF('19.07'!$AK53="是",'19.07'!$BB$4,'19.07'!$BB$3)),(VLOOKUP('19.07'!X53,'19.07'!$AO$4:$AQ$55,2,FALSE))*IF('19.07'!$AK53="是",'19.07'!$BB$4,'19.07'!$BB$3))</f>
        <v>0</v>
      </c>
      <c r="Q53" s="4">
        <f>IF(ISNUMBER(SEARCH("营",'19.07'!Y53)),(-$Y53+50*IF('19.07'!$AK53="是",'19.07'!$BB$4,'19.07'!$BB$3)),(VLOOKUP('19.07'!Y53,'19.07'!$AO$4:$AQ$55,2,FALSE))*IF('19.07'!$AK53="是",'19.07'!$BB$4,'19.07'!$BB$3))</f>
        <v>0</v>
      </c>
      <c r="R53" s="4">
        <f>IF(ISNUMBER(SEARCH("营",'19.07'!Z53)),(-$Y53+50*IF('19.07'!$AK53="是",'19.07'!$BB$4,'19.07'!$BB$3)),(VLOOKUP('19.07'!Z53,'19.07'!$AO$4:$AQ$55,2,FALSE))*IF('19.07'!$AK53="是",'19.07'!$BB$4,'19.07'!$BB$3))</f>
        <v>0</v>
      </c>
      <c r="S53" s="4">
        <f>IF(ISNUMBER(SEARCH("营",'19.07'!AA53)),(-$Y53+50*IF('19.07'!$AK53="是",'19.07'!$BB$4,'19.07'!$BB$3)),(VLOOKUP('19.07'!AA53,'19.07'!$AO$4:$AQ$55,2,FALSE))*IF('19.07'!$AK53="是",'19.07'!$BB$4,'19.07'!$BB$3))</f>
        <v>0</v>
      </c>
      <c r="T53" s="4">
        <f>IF(ISNUMBER(SEARCH("营",'19.07'!AB53)),(-$Y53+50*IF('19.07'!$AK53="是",'19.07'!$BB$4,'19.07'!$BB$3)),(VLOOKUP('19.07'!AB53,'19.07'!$AO$4:$AQ$55,2,FALSE))*IF('19.07'!$AK53="是",'19.07'!$BB$4,'19.07'!$BB$3))</f>
        <v>0</v>
      </c>
      <c r="U53" s="4">
        <f>IF(ISNUMBER(SEARCH("营",'19.07'!AC53)),(-$Y53+50*IF('19.07'!$AK53="是",'19.07'!$BB$4,'19.07'!$BB$3)),(VLOOKUP('19.07'!AC53,'19.07'!$AO$4:$AQ$55,2,FALSE))*IF('19.07'!$AK53="是",'19.07'!$BB$4,'19.07'!$BB$3))</f>
        <v>0</v>
      </c>
      <c r="V53" s="4">
        <f>IF(ISNUMBER(SEARCH("营",'19.07'!AD53)),(-$Y53+50*IF('19.07'!$AK53="是",'19.07'!$BB$4,'19.07'!$BB$3)),(VLOOKUP('19.07'!AD53,'19.07'!$AO$4:$AQ$55,2,FALSE))*IF('19.07'!$AK53="是",'19.07'!$BB$4,'19.07'!$BB$3))</f>
        <v>0</v>
      </c>
      <c r="W53" s="4">
        <f>IF(ISNUMBER(SEARCH("营",'19.07'!AE53)),(-$Y53+50*IF('19.07'!$AK53="是",'19.07'!$BB$4,'19.07'!$BB$3)),(VLOOKUP('19.07'!AE53,'19.07'!$AO$4:$AQ$55,2,FALSE))*IF('19.07'!$AK53="是",'19.07'!$BB$4,'19.07'!$BB$3))</f>
        <v>0</v>
      </c>
      <c r="X53" s="4">
        <f>IF(ISNUMBER(SEARCH("营",'19.07'!AF53)),(-$Y53+50*IF('19.07'!$AK53="是",'19.07'!$BB$4,'19.07'!$BB$3)),(VLOOKUP('19.07'!AF53,'19.07'!$AO$4:$AQ$55,2,FALSE))*IF('19.07'!$AK53="是",'19.07'!$BB$4,'19.07'!$BB$3))</f>
        <v>0</v>
      </c>
      <c r="Y53" s="16">
        <v>150</v>
      </c>
      <c r="Z53" s="17">
        <v>45779</v>
      </c>
    </row>
    <row r="54" spans="1:26">
      <c r="A54" s="4">
        <f>IF(ISNUMBER(SEARCH("营",'19.07'!I54)),(-$Y54+50*IF('19.07'!$AK54="是",'19.07'!$BB$4,'19.07'!$BB$3)),(VLOOKUP('19.07'!I54,'19.07'!$AO$4:$AQ$55,2,FALSE))*IF('19.07'!$AK54="是",'19.07'!$BB$4,'19.07'!$BB$3))</f>
        <v>0</v>
      </c>
      <c r="B54" s="4">
        <f>IF(ISNUMBER(SEARCH("营",'19.07'!J54)),(-$Y54+50*IF('19.07'!$AK54="是",'19.07'!$BB$4,'19.07'!$BB$3)),(VLOOKUP('19.07'!J54,'19.07'!$AO$4:$AQ$55,2,FALSE))*IF('19.07'!$AK54="是",'19.07'!$BB$4,'19.07'!$BB$3))</f>
        <v>0</v>
      </c>
      <c r="C54" s="4">
        <f>IF(ISNUMBER(SEARCH("营",'19.07'!K54)),(-$Y54+50*IF('19.07'!$AK54="是",'19.07'!$BB$4,'19.07'!$BB$3)),(VLOOKUP('19.07'!K54,'19.07'!$AO$4:$AQ$55,2,FALSE))*IF('19.07'!$AK54="是",'19.07'!$BB$4,'19.07'!$BB$3))</f>
        <v>0</v>
      </c>
      <c r="D54" s="4">
        <f>IF(ISNUMBER(SEARCH("营",'19.07'!L54)),(-$Y54+50*IF('19.07'!$AK54="是",'19.07'!$BB$4,'19.07'!$BB$3)),(VLOOKUP('19.07'!L54,'19.07'!$AO$4:$AQ$55,2,FALSE))*IF('19.07'!$AK54="是",'19.07'!$BB$4,'19.07'!$BB$3))</f>
        <v>0</v>
      </c>
      <c r="E54" s="4">
        <f>IF(ISNUMBER(SEARCH("营",'19.07'!M54)),(-$Y54+50*IF('19.07'!$AK54="是",'19.07'!$BB$4,'19.07'!$BB$3)),(VLOOKUP('19.07'!M54,'19.07'!$AO$4:$AQ$55,2,FALSE))*IF('19.07'!$AK54="是",'19.07'!$BB$4,'19.07'!$BB$3))</f>
        <v>0</v>
      </c>
      <c r="F54" s="4">
        <f>IF(ISNUMBER(SEARCH("营",'19.07'!N54)),(-$Y54+50*IF('19.07'!$AK54="是",'19.07'!$BB$4,'19.07'!$BB$3)),(VLOOKUP('19.07'!N54,'19.07'!$AO$4:$AQ$55,2,FALSE))*IF('19.07'!$AK54="是",'19.07'!$BB$4,'19.07'!$BB$3))</f>
        <v>0</v>
      </c>
      <c r="G54" s="4">
        <f>IF(ISNUMBER(SEARCH("营",'19.07'!O54)),(-$Y54+50*IF('19.07'!$AK54="是",'19.07'!$BB$4,'19.07'!$BB$3)),(VLOOKUP('19.07'!O54,'19.07'!$AO$4:$AQ$55,2,FALSE))*IF('19.07'!$AK54="是",'19.07'!$BB$4,'19.07'!$BB$3))</f>
        <v>0</v>
      </c>
      <c r="H54" s="4">
        <f>IF(ISNUMBER(SEARCH("营",'19.07'!P54)),(-$Y54+50*IF('19.07'!$AK54="是",'19.07'!$BB$4,'19.07'!$BB$3)),(VLOOKUP('19.07'!P54,'19.07'!$AO$4:$AQ$55,2,FALSE))*IF('19.07'!$AK54="是",'19.07'!$BB$4,'19.07'!$BB$3))</f>
        <v>0</v>
      </c>
      <c r="I54" s="4">
        <f>IF(ISNUMBER(SEARCH("营",'19.07'!Q54)),(-$Y54+50*IF('19.07'!$AK54="是",'19.07'!$BB$4,'19.07'!$BB$3)),(VLOOKUP('19.07'!Q54,'19.07'!$AO$4:$AQ$55,2,FALSE))*IF('19.07'!$AK54="是",'19.07'!$BB$4,'19.07'!$BB$3))</f>
        <v>0</v>
      </c>
      <c r="J54" s="4">
        <f>IF(ISNUMBER(SEARCH("营",'19.07'!R54)),(-$Y54+50*IF('19.07'!$AK54="是",'19.07'!$BB$4,'19.07'!$BB$3)),(VLOOKUP('19.07'!R54,'19.07'!$AO$4:$AQ$55,2,FALSE))*IF('19.07'!$AK54="是",'19.07'!$BB$4,'19.07'!$BB$3))</f>
        <v>0</v>
      </c>
      <c r="K54" s="4">
        <f>IF(ISNUMBER(SEARCH("营",'19.07'!S54)),(-$Y54+50*IF('19.07'!$AK54="是",'19.07'!$BB$4,'19.07'!$BB$3)),(VLOOKUP('19.07'!S54,'19.07'!$AO$4:$AQ$55,2,FALSE))*IF('19.07'!$AK54="是",'19.07'!$BB$4,'19.07'!$BB$3))</f>
        <v>0</v>
      </c>
      <c r="L54" s="4">
        <f>IF(ISNUMBER(SEARCH("营",'19.07'!T54)),(-$Y54+50*IF('19.07'!$AK54="是",'19.07'!$BB$4,'19.07'!$BB$3)),(VLOOKUP('19.07'!T54,'19.07'!$AO$4:$AQ$55,2,FALSE))*IF('19.07'!$AK54="是",'19.07'!$BB$4,'19.07'!$BB$3))</f>
        <v>0</v>
      </c>
      <c r="M54" s="4">
        <f>IF(ISNUMBER(SEARCH("营",'19.07'!U54)),(-$Y54+50*IF('19.07'!$AK54="是",'19.07'!$BB$4,'19.07'!$BB$3)),(VLOOKUP('19.07'!U54,'19.07'!$AO$4:$AQ$55,2,FALSE))*IF('19.07'!$AK54="是",'19.07'!$BB$4,'19.07'!$BB$3))</f>
        <v>0</v>
      </c>
      <c r="N54" s="4">
        <f>IF(ISNUMBER(SEARCH("营",'19.07'!V54)),(-$Y54+50*IF('19.07'!$AK54="是",'19.07'!$BB$4,'19.07'!$BB$3)),(VLOOKUP('19.07'!V54,'19.07'!$AO$4:$AQ$55,2,FALSE))*IF('19.07'!$AK54="是",'19.07'!$BB$4,'19.07'!$BB$3))</f>
        <v>0</v>
      </c>
      <c r="O54" s="4">
        <f>IF(ISNUMBER(SEARCH("营",'19.07'!W54)),(-$Y54+50*IF('19.07'!$AK54="是",'19.07'!$BB$4,'19.07'!$BB$3)),(VLOOKUP('19.07'!W54,'19.07'!$AO$4:$AQ$55,2,FALSE))*IF('19.07'!$AK54="是",'19.07'!$BB$4,'19.07'!$BB$3))</f>
        <v>0</v>
      </c>
      <c r="P54" s="4">
        <f>IF(ISNUMBER(SEARCH("营",'19.07'!X54)),(-$Y54+50*IF('19.07'!$AK54="是",'19.07'!$BB$4,'19.07'!$BB$3)),(VLOOKUP('19.07'!X54,'19.07'!$AO$4:$AQ$55,2,FALSE))*IF('19.07'!$AK54="是",'19.07'!$BB$4,'19.07'!$BB$3))</f>
        <v>0</v>
      </c>
      <c r="Q54" s="4">
        <f>IF(ISNUMBER(SEARCH("营",'19.07'!Y54)),(-$Y54+50*IF('19.07'!$AK54="是",'19.07'!$BB$4,'19.07'!$BB$3)),(VLOOKUP('19.07'!Y54,'19.07'!$AO$4:$AQ$55,2,FALSE))*IF('19.07'!$AK54="是",'19.07'!$BB$4,'19.07'!$BB$3))</f>
        <v>0</v>
      </c>
      <c r="R54" s="4">
        <f>IF(ISNUMBER(SEARCH("营",'19.07'!Z54)),(-$Y54+50*IF('19.07'!$AK54="是",'19.07'!$BB$4,'19.07'!$BB$3)),(VLOOKUP('19.07'!Z54,'19.07'!$AO$4:$AQ$55,2,FALSE))*IF('19.07'!$AK54="是",'19.07'!$BB$4,'19.07'!$BB$3))</f>
        <v>0</v>
      </c>
      <c r="S54" s="4">
        <f>IF(ISNUMBER(SEARCH("营",'19.07'!AA54)),(-$Y54+50*IF('19.07'!$AK54="是",'19.07'!$BB$4,'19.07'!$BB$3)),(VLOOKUP('19.07'!AA54,'19.07'!$AO$4:$AQ$55,2,FALSE))*IF('19.07'!$AK54="是",'19.07'!$BB$4,'19.07'!$BB$3))</f>
        <v>0</v>
      </c>
      <c r="T54" s="4">
        <f>IF(ISNUMBER(SEARCH("营",'19.07'!AB54)),(-$Y54+50*IF('19.07'!$AK54="是",'19.07'!$BB$4,'19.07'!$BB$3)),(VLOOKUP('19.07'!AB54,'19.07'!$AO$4:$AQ$55,2,FALSE))*IF('19.07'!$AK54="是",'19.07'!$BB$4,'19.07'!$BB$3))</f>
        <v>0</v>
      </c>
      <c r="U54" s="4">
        <f>IF(ISNUMBER(SEARCH("营",'19.07'!AC54)),(-$Y54+50*IF('19.07'!$AK54="是",'19.07'!$BB$4,'19.07'!$BB$3)),(VLOOKUP('19.07'!AC54,'19.07'!$AO$4:$AQ$55,2,FALSE))*IF('19.07'!$AK54="是",'19.07'!$BB$4,'19.07'!$BB$3))</f>
        <v>0</v>
      </c>
      <c r="V54" s="4">
        <f>IF(ISNUMBER(SEARCH("营",'19.07'!AD54)),(-$Y54+50*IF('19.07'!$AK54="是",'19.07'!$BB$4,'19.07'!$BB$3)),(VLOOKUP('19.07'!AD54,'19.07'!$AO$4:$AQ$55,2,FALSE))*IF('19.07'!$AK54="是",'19.07'!$BB$4,'19.07'!$BB$3))</f>
        <v>0</v>
      </c>
      <c r="W54" s="4">
        <f>IF(ISNUMBER(SEARCH("营",'19.07'!AE54)),(-$Y54+50*IF('19.07'!$AK54="是",'19.07'!$BB$4,'19.07'!$BB$3)),(VLOOKUP('19.07'!AE54,'19.07'!$AO$4:$AQ$55,2,FALSE))*IF('19.07'!$AK54="是",'19.07'!$BB$4,'19.07'!$BB$3))</f>
        <v>0</v>
      </c>
      <c r="X54" s="4">
        <f>IF(ISNUMBER(SEARCH("营",'19.07'!AF54)),(-$Y54+50*IF('19.07'!$AK54="是",'19.07'!$BB$4,'19.07'!$BB$3)),(VLOOKUP('19.07'!AF54,'19.07'!$AO$4:$AQ$55,2,FALSE))*IF('19.07'!$AK54="是",'19.07'!$BB$4,'19.07'!$BB$3))</f>
        <v>0</v>
      </c>
      <c r="Y54" s="18">
        <v>100</v>
      </c>
      <c r="Z54" s="15">
        <v>45780</v>
      </c>
    </row>
    <row r="55" spans="1:26">
      <c r="A55" s="4">
        <f>IF(ISNUMBER(SEARCH("营",'19.07'!I55)),(-$Y55+50*IF('19.07'!$AK55="是",'19.07'!$BB$4,'19.07'!$BB$3)),(VLOOKUP('19.07'!I55,'19.07'!$AO$4:$AQ$55,2,FALSE))*IF('19.07'!$AK55="是",'19.07'!$BB$4,'19.07'!$BB$3))</f>
        <v>0</v>
      </c>
      <c r="B55" s="4">
        <f>IF(ISNUMBER(SEARCH("营",'19.07'!J55)),(-$Y55+50*IF('19.07'!$AK55="是",'19.07'!$BB$4,'19.07'!$BB$3)),(VLOOKUP('19.07'!J55,'19.07'!$AO$4:$AQ$55,2,FALSE))*IF('19.07'!$AK55="是",'19.07'!$BB$4,'19.07'!$BB$3))</f>
        <v>0</v>
      </c>
      <c r="C55" s="4">
        <f>IF(ISNUMBER(SEARCH("营",'19.07'!K55)),(-$Y55+50*IF('19.07'!$AK55="是",'19.07'!$BB$4,'19.07'!$BB$3)),(VLOOKUP('19.07'!K55,'19.07'!$AO$4:$AQ$55,2,FALSE))*IF('19.07'!$AK55="是",'19.07'!$BB$4,'19.07'!$BB$3))</f>
        <v>0</v>
      </c>
      <c r="D55" s="4">
        <f>IF(ISNUMBER(SEARCH("营",'19.07'!L55)),(-$Y55+50*IF('19.07'!$AK55="是",'19.07'!$BB$4,'19.07'!$BB$3)),(VLOOKUP('19.07'!L55,'19.07'!$AO$4:$AQ$55,2,FALSE))*IF('19.07'!$AK55="是",'19.07'!$BB$4,'19.07'!$BB$3))</f>
        <v>0</v>
      </c>
      <c r="E55" s="4">
        <f>IF(ISNUMBER(SEARCH("营",'19.07'!M55)),(-$Y55+50*IF('19.07'!$AK55="是",'19.07'!$BB$4,'19.07'!$BB$3)),(VLOOKUP('19.07'!M55,'19.07'!$AO$4:$AQ$55,2,FALSE))*IF('19.07'!$AK55="是",'19.07'!$BB$4,'19.07'!$BB$3))</f>
        <v>0</v>
      </c>
      <c r="F55" s="4">
        <f>IF(ISNUMBER(SEARCH("营",'19.07'!N55)),(-$Y55+50*IF('19.07'!$AK55="是",'19.07'!$BB$4,'19.07'!$BB$3)),(VLOOKUP('19.07'!N55,'19.07'!$AO$4:$AQ$55,2,FALSE))*IF('19.07'!$AK55="是",'19.07'!$BB$4,'19.07'!$BB$3))</f>
        <v>0</v>
      </c>
      <c r="G55" s="4">
        <f>IF(ISNUMBER(SEARCH("营",'19.07'!O55)),(-$Y55+50*IF('19.07'!$AK55="是",'19.07'!$BB$4,'19.07'!$BB$3)),(VLOOKUP('19.07'!O55,'19.07'!$AO$4:$AQ$55,2,FALSE))*IF('19.07'!$AK55="是",'19.07'!$BB$4,'19.07'!$BB$3))</f>
        <v>0</v>
      </c>
      <c r="H55" s="4">
        <f>IF(ISNUMBER(SEARCH("营",'19.07'!P55)),(-$Y55+50*IF('19.07'!$AK55="是",'19.07'!$BB$4,'19.07'!$BB$3)),(VLOOKUP('19.07'!P55,'19.07'!$AO$4:$AQ$55,2,FALSE))*IF('19.07'!$AK55="是",'19.07'!$BB$4,'19.07'!$BB$3))</f>
        <v>0</v>
      </c>
      <c r="I55" s="4">
        <f>IF(ISNUMBER(SEARCH("营",'19.07'!Q55)),(-$Y55+50*IF('19.07'!$AK55="是",'19.07'!$BB$4,'19.07'!$BB$3)),(VLOOKUP('19.07'!Q55,'19.07'!$AO$4:$AQ$55,2,FALSE))*IF('19.07'!$AK55="是",'19.07'!$BB$4,'19.07'!$BB$3))</f>
        <v>0</v>
      </c>
      <c r="J55" s="4">
        <f>IF(ISNUMBER(SEARCH("营",'19.07'!R55)),(-$Y55+50*IF('19.07'!$AK55="是",'19.07'!$BB$4,'19.07'!$BB$3)),(VLOOKUP('19.07'!R55,'19.07'!$AO$4:$AQ$55,2,FALSE))*IF('19.07'!$AK55="是",'19.07'!$BB$4,'19.07'!$BB$3))</f>
        <v>0</v>
      </c>
      <c r="K55" s="4">
        <f>IF(ISNUMBER(SEARCH("营",'19.07'!S55)),(-$Y55+50*IF('19.07'!$AK55="是",'19.07'!$BB$4,'19.07'!$BB$3)),(VLOOKUP('19.07'!S55,'19.07'!$AO$4:$AQ$55,2,FALSE))*IF('19.07'!$AK55="是",'19.07'!$BB$4,'19.07'!$BB$3))</f>
        <v>0</v>
      </c>
      <c r="L55" s="4">
        <f>IF(ISNUMBER(SEARCH("营",'19.07'!T55)),(-$Y55+50*IF('19.07'!$AK55="是",'19.07'!$BB$4,'19.07'!$BB$3)),(VLOOKUP('19.07'!T55,'19.07'!$AO$4:$AQ$55,2,FALSE))*IF('19.07'!$AK55="是",'19.07'!$BB$4,'19.07'!$BB$3))</f>
        <v>0</v>
      </c>
      <c r="M55" s="4">
        <f>IF(ISNUMBER(SEARCH("营",'19.07'!U55)),(-$Y55+50*IF('19.07'!$AK55="是",'19.07'!$BB$4,'19.07'!$BB$3)),(VLOOKUP('19.07'!U55,'19.07'!$AO$4:$AQ$55,2,FALSE))*IF('19.07'!$AK55="是",'19.07'!$BB$4,'19.07'!$BB$3))</f>
        <v>0</v>
      </c>
      <c r="N55" s="4">
        <f>IF(ISNUMBER(SEARCH("营",'19.07'!V55)),(-$Y55+50*IF('19.07'!$AK55="是",'19.07'!$BB$4,'19.07'!$BB$3)),(VLOOKUP('19.07'!V55,'19.07'!$AO$4:$AQ$55,2,FALSE))*IF('19.07'!$AK55="是",'19.07'!$BB$4,'19.07'!$BB$3))</f>
        <v>0</v>
      </c>
      <c r="O55" s="4">
        <f>IF(ISNUMBER(SEARCH("营",'19.07'!W55)),(-$Y55+50*IF('19.07'!$AK55="是",'19.07'!$BB$4,'19.07'!$BB$3)),(VLOOKUP('19.07'!W55,'19.07'!$AO$4:$AQ$55,2,FALSE))*IF('19.07'!$AK55="是",'19.07'!$BB$4,'19.07'!$BB$3))</f>
        <v>0</v>
      </c>
      <c r="P55" s="4">
        <f>IF(ISNUMBER(SEARCH("营",'19.07'!X55)),(-$Y55+50*IF('19.07'!$AK55="是",'19.07'!$BB$4,'19.07'!$BB$3)),(VLOOKUP('19.07'!X55,'19.07'!$AO$4:$AQ$55,2,FALSE))*IF('19.07'!$AK55="是",'19.07'!$BB$4,'19.07'!$BB$3))</f>
        <v>0</v>
      </c>
      <c r="Q55" s="4">
        <f>IF(ISNUMBER(SEARCH("营",'19.07'!Y55)),(-$Y55+50*IF('19.07'!$AK55="是",'19.07'!$BB$4,'19.07'!$BB$3)),(VLOOKUP('19.07'!Y55,'19.07'!$AO$4:$AQ$55,2,FALSE))*IF('19.07'!$AK55="是",'19.07'!$BB$4,'19.07'!$BB$3))</f>
        <v>0</v>
      </c>
      <c r="R55" s="4">
        <f>IF(ISNUMBER(SEARCH("营",'19.07'!Z55)),(-$Y55+50*IF('19.07'!$AK55="是",'19.07'!$BB$4,'19.07'!$BB$3)),(VLOOKUP('19.07'!Z55,'19.07'!$AO$4:$AQ$55,2,FALSE))*IF('19.07'!$AK55="是",'19.07'!$BB$4,'19.07'!$BB$3))</f>
        <v>0</v>
      </c>
      <c r="S55" s="4">
        <f>IF(ISNUMBER(SEARCH("营",'19.07'!AA55)),(-$Y55+50*IF('19.07'!$AK55="是",'19.07'!$BB$4,'19.07'!$BB$3)),(VLOOKUP('19.07'!AA55,'19.07'!$AO$4:$AQ$55,2,FALSE))*IF('19.07'!$AK55="是",'19.07'!$BB$4,'19.07'!$BB$3))</f>
        <v>0</v>
      </c>
      <c r="T55" s="4">
        <f>IF(ISNUMBER(SEARCH("营",'19.07'!AB55)),(-$Y55+50*IF('19.07'!$AK55="是",'19.07'!$BB$4,'19.07'!$BB$3)),(VLOOKUP('19.07'!AB55,'19.07'!$AO$4:$AQ$55,2,FALSE))*IF('19.07'!$AK55="是",'19.07'!$BB$4,'19.07'!$BB$3))</f>
        <v>0</v>
      </c>
      <c r="U55" s="4">
        <f>IF(ISNUMBER(SEARCH("营",'19.07'!AC55)),(-$Y55+50*IF('19.07'!$AK55="是",'19.07'!$BB$4,'19.07'!$BB$3)),(VLOOKUP('19.07'!AC55,'19.07'!$AO$4:$AQ$55,2,FALSE))*IF('19.07'!$AK55="是",'19.07'!$BB$4,'19.07'!$BB$3))</f>
        <v>0</v>
      </c>
      <c r="V55" s="4">
        <f>IF(ISNUMBER(SEARCH("营",'19.07'!AD55)),(-$Y55+50*IF('19.07'!$AK55="是",'19.07'!$BB$4,'19.07'!$BB$3)),(VLOOKUP('19.07'!AD55,'19.07'!$AO$4:$AQ$55,2,FALSE))*IF('19.07'!$AK55="是",'19.07'!$BB$4,'19.07'!$BB$3))</f>
        <v>0</v>
      </c>
      <c r="W55" s="4">
        <f>IF(ISNUMBER(SEARCH("营",'19.07'!AE55)),(-$Y55+50*IF('19.07'!$AK55="是",'19.07'!$BB$4,'19.07'!$BB$3)),(VLOOKUP('19.07'!AE55,'19.07'!$AO$4:$AQ$55,2,FALSE))*IF('19.07'!$AK55="是",'19.07'!$BB$4,'19.07'!$BB$3))</f>
        <v>0</v>
      </c>
      <c r="X55" s="4">
        <f>IF(ISNUMBER(SEARCH("营",'19.07'!AF55)),(-$Y55+50*IF('19.07'!$AK55="是",'19.07'!$BB$4,'19.07'!$BB$3)),(VLOOKUP('19.07'!AF55,'19.07'!$AO$4:$AQ$55,2,FALSE))*IF('19.07'!$AK55="是",'19.07'!$BB$4,'19.07'!$BB$3))</f>
        <v>0</v>
      </c>
      <c r="Y55" s="18">
        <v>100</v>
      </c>
      <c r="Z55" s="15">
        <v>45781</v>
      </c>
    </row>
    <row r="56" spans="1:26">
      <c r="A56" s="4">
        <f>IF(ISNUMBER(SEARCH("营",'19.07'!I56)),(-$Y56+50*IF('19.07'!$AK56="是",'19.07'!$BB$4,'19.07'!$BB$3)),(VLOOKUP('19.07'!I56,'19.07'!$AO$4:$AQ$55,2,FALSE))*IF('19.07'!$AK56="是",'19.07'!$BB$4,'19.07'!$BB$3))</f>
        <v>0</v>
      </c>
      <c r="B56" s="4">
        <f>IF(ISNUMBER(SEARCH("营",'19.07'!J56)),(-$Y56+50*IF('19.07'!$AK56="是",'19.07'!$BB$4,'19.07'!$BB$3)),(VLOOKUP('19.07'!J56,'19.07'!$AO$4:$AQ$55,2,FALSE))*IF('19.07'!$AK56="是",'19.07'!$BB$4,'19.07'!$BB$3))</f>
        <v>0</v>
      </c>
      <c r="C56" s="4">
        <f>IF(ISNUMBER(SEARCH("营",'19.07'!K56)),(-$Y56+50*IF('19.07'!$AK56="是",'19.07'!$BB$4,'19.07'!$BB$3)),(VLOOKUP('19.07'!K56,'19.07'!$AO$4:$AQ$55,2,FALSE))*IF('19.07'!$AK56="是",'19.07'!$BB$4,'19.07'!$BB$3))</f>
        <v>0</v>
      </c>
      <c r="D56" s="4">
        <f>IF(ISNUMBER(SEARCH("营",'19.07'!L56)),(-$Y56+50*IF('19.07'!$AK56="是",'19.07'!$BB$4,'19.07'!$BB$3)),(VLOOKUP('19.07'!L56,'19.07'!$AO$4:$AQ$55,2,FALSE))*IF('19.07'!$AK56="是",'19.07'!$BB$4,'19.07'!$BB$3))</f>
        <v>0</v>
      </c>
      <c r="E56" s="4">
        <f>IF(ISNUMBER(SEARCH("营",'19.07'!M56)),(-$Y56+50*IF('19.07'!$AK56="是",'19.07'!$BB$4,'19.07'!$BB$3)),(VLOOKUP('19.07'!M56,'19.07'!$AO$4:$AQ$55,2,FALSE))*IF('19.07'!$AK56="是",'19.07'!$BB$4,'19.07'!$BB$3))</f>
        <v>0</v>
      </c>
      <c r="F56" s="4">
        <f>IF(ISNUMBER(SEARCH("营",'19.07'!N56)),(-$Y56+50*IF('19.07'!$AK56="是",'19.07'!$BB$4,'19.07'!$BB$3)),(VLOOKUP('19.07'!N56,'19.07'!$AO$4:$AQ$55,2,FALSE))*IF('19.07'!$AK56="是",'19.07'!$BB$4,'19.07'!$BB$3))</f>
        <v>0</v>
      </c>
      <c r="G56" s="4">
        <f>IF(ISNUMBER(SEARCH("营",'19.07'!O56)),(-$Y56+50*IF('19.07'!$AK56="是",'19.07'!$BB$4,'19.07'!$BB$3)),(VLOOKUP('19.07'!O56,'19.07'!$AO$4:$AQ$55,2,FALSE))*IF('19.07'!$AK56="是",'19.07'!$BB$4,'19.07'!$BB$3))</f>
        <v>0</v>
      </c>
      <c r="H56" s="4">
        <f>IF(ISNUMBER(SEARCH("营",'19.07'!P56)),(-$Y56+50*IF('19.07'!$AK56="是",'19.07'!$BB$4,'19.07'!$BB$3)),(VLOOKUP('19.07'!P56,'19.07'!$AO$4:$AQ$55,2,FALSE))*IF('19.07'!$AK56="是",'19.07'!$BB$4,'19.07'!$BB$3))</f>
        <v>0</v>
      </c>
      <c r="I56" s="4">
        <f>IF(ISNUMBER(SEARCH("营",'19.07'!Q56)),(-$Y56+50*IF('19.07'!$AK56="是",'19.07'!$BB$4,'19.07'!$BB$3)),(VLOOKUP('19.07'!Q56,'19.07'!$AO$4:$AQ$55,2,FALSE))*IF('19.07'!$AK56="是",'19.07'!$BB$4,'19.07'!$BB$3))</f>
        <v>0</v>
      </c>
      <c r="J56" s="4">
        <f>IF(ISNUMBER(SEARCH("营",'19.07'!R56)),(-$Y56+50*IF('19.07'!$AK56="是",'19.07'!$BB$4,'19.07'!$BB$3)),(VLOOKUP('19.07'!R56,'19.07'!$AO$4:$AQ$55,2,FALSE))*IF('19.07'!$AK56="是",'19.07'!$BB$4,'19.07'!$BB$3))</f>
        <v>0</v>
      </c>
      <c r="K56" s="4">
        <f>IF(ISNUMBER(SEARCH("营",'19.07'!S56)),(-$Y56+50*IF('19.07'!$AK56="是",'19.07'!$BB$4,'19.07'!$BB$3)),(VLOOKUP('19.07'!S56,'19.07'!$AO$4:$AQ$55,2,FALSE))*IF('19.07'!$AK56="是",'19.07'!$BB$4,'19.07'!$BB$3))</f>
        <v>0</v>
      </c>
      <c r="L56" s="4">
        <f>IF(ISNUMBER(SEARCH("营",'19.07'!T56)),(-$Y56+50*IF('19.07'!$AK56="是",'19.07'!$BB$4,'19.07'!$BB$3)),(VLOOKUP('19.07'!T56,'19.07'!$AO$4:$AQ$55,2,FALSE))*IF('19.07'!$AK56="是",'19.07'!$BB$4,'19.07'!$BB$3))</f>
        <v>0</v>
      </c>
      <c r="M56" s="4">
        <f>IF(ISNUMBER(SEARCH("营",'19.07'!U56)),(-$Y56+50*IF('19.07'!$AK56="是",'19.07'!$BB$4,'19.07'!$BB$3)),(VLOOKUP('19.07'!U56,'19.07'!$AO$4:$AQ$55,2,FALSE))*IF('19.07'!$AK56="是",'19.07'!$BB$4,'19.07'!$BB$3))</f>
        <v>0</v>
      </c>
      <c r="N56" s="4">
        <f>IF(ISNUMBER(SEARCH("营",'19.07'!V56)),(-$Y56+50*IF('19.07'!$AK56="是",'19.07'!$BB$4,'19.07'!$BB$3)),(VLOOKUP('19.07'!V56,'19.07'!$AO$4:$AQ$55,2,FALSE))*IF('19.07'!$AK56="是",'19.07'!$BB$4,'19.07'!$BB$3))</f>
        <v>0</v>
      </c>
      <c r="O56" s="4">
        <f>IF(ISNUMBER(SEARCH("营",'19.07'!W56)),(-$Y56+50*IF('19.07'!$AK56="是",'19.07'!$BB$4,'19.07'!$BB$3)),(VLOOKUP('19.07'!W56,'19.07'!$AO$4:$AQ$55,2,FALSE))*IF('19.07'!$AK56="是",'19.07'!$BB$4,'19.07'!$BB$3))</f>
        <v>0</v>
      </c>
      <c r="P56" s="4">
        <f>IF(ISNUMBER(SEARCH("营",'19.07'!X56)),(-$Y56+50*IF('19.07'!$AK56="是",'19.07'!$BB$4,'19.07'!$BB$3)),(VLOOKUP('19.07'!X56,'19.07'!$AO$4:$AQ$55,2,FALSE))*IF('19.07'!$AK56="是",'19.07'!$BB$4,'19.07'!$BB$3))</f>
        <v>0</v>
      </c>
      <c r="Q56" s="4">
        <f>IF(ISNUMBER(SEARCH("营",'19.07'!Y56)),(-$Y56+50*IF('19.07'!$AK56="是",'19.07'!$BB$4,'19.07'!$BB$3)),(VLOOKUP('19.07'!Y56,'19.07'!$AO$4:$AQ$55,2,FALSE))*IF('19.07'!$AK56="是",'19.07'!$BB$4,'19.07'!$BB$3))</f>
        <v>0</v>
      </c>
      <c r="R56" s="4">
        <f>IF(ISNUMBER(SEARCH("营",'19.07'!Z56)),(-$Y56+50*IF('19.07'!$AK56="是",'19.07'!$BB$4,'19.07'!$BB$3)),(VLOOKUP('19.07'!Z56,'19.07'!$AO$4:$AQ$55,2,FALSE))*IF('19.07'!$AK56="是",'19.07'!$BB$4,'19.07'!$BB$3))</f>
        <v>0</v>
      </c>
      <c r="S56" s="4">
        <f>IF(ISNUMBER(SEARCH("营",'19.07'!AA56)),(-$Y56+50*IF('19.07'!$AK56="是",'19.07'!$BB$4,'19.07'!$BB$3)),(VLOOKUP('19.07'!AA56,'19.07'!$AO$4:$AQ$55,2,FALSE))*IF('19.07'!$AK56="是",'19.07'!$BB$4,'19.07'!$BB$3))</f>
        <v>0</v>
      </c>
      <c r="T56" s="4">
        <f>IF(ISNUMBER(SEARCH("营",'19.07'!AB56)),(-$Y56+50*IF('19.07'!$AK56="是",'19.07'!$BB$4,'19.07'!$BB$3)),(VLOOKUP('19.07'!AB56,'19.07'!$AO$4:$AQ$55,2,FALSE))*IF('19.07'!$AK56="是",'19.07'!$BB$4,'19.07'!$BB$3))</f>
        <v>0</v>
      </c>
      <c r="U56" s="4">
        <f>IF(ISNUMBER(SEARCH("营",'19.07'!AC56)),(-$Y56+50*IF('19.07'!$AK56="是",'19.07'!$BB$4,'19.07'!$BB$3)),(VLOOKUP('19.07'!AC56,'19.07'!$AO$4:$AQ$55,2,FALSE))*IF('19.07'!$AK56="是",'19.07'!$BB$4,'19.07'!$BB$3))</f>
        <v>0</v>
      </c>
      <c r="V56" s="4">
        <f>IF(ISNUMBER(SEARCH("营",'19.07'!AD56)),(-$Y56+50*IF('19.07'!$AK56="是",'19.07'!$BB$4,'19.07'!$BB$3)),(VLOOKUP('19.07'!AD56,'19.07'!$AO$4:$AQ$55,2,FALSE))*IF('19.07'!$AK56="是",'19.07'!$BB$4,'19.07'!$BB$3))</f>
        <v>0</v>
      </c>
      <c r="W56" s="4">
        <f>IF(ISNUMBER(SEARCH("营",'19.07'!AE56)),(-$Y56+50*IF('19.07'!$AK56="是",'19.07'!$BB$4,'19.07'!$BB$3)),(VLOOKUP('19.07'!AE56,'19.07'!$AO$4:$AQ$55,2,FALSE))*IF('19.07'!$AK56="是",'19.07'!$BB$4,'19.07'!$BB$3))</f>
        <v>0</v>
      </c>
      <c r="X56" s="4">
        <f>IF(ISNUMBER(SEARCH("营",'19.07'!AF56)),(-$Y56+50*IF('19.07'!$AK56="是",'19.07'!$BB$4,'19.07'!$BB$3)),(VLOOKUP('19.07'!AF56,'19.07'!$AO$4:$AQ$55,2,FALSE))*IF('19.07'!$AK56="是",'19.07'!$BB$4,'19.07'!$BB$3))</f>
        <v>0</v>
      </c>
      <c r="Y56" s="18">
        <v>100</v>
      </c>
      <c r="Z56" s="15">
        <v>45782</v>
      </c>
    </row>
    <row r="57" spans="1:26">
      <c r="A57" s="4">
        <f>IF(ISNUMBER(SEARCH("营",'19.07'!I57)),(-$Y57+50*IF('19.07'!$AK57="是",'19.07'!$BB$4,'19.07'!$BB$3)),(VLOOKUP('19.07'!I57,'19.07'!$AO$4:$AQ$55,2,FALSE))*IF('19.07'!$AK57="是",'19.07'!$BB$4,'19.07'!$BB$3))</f>
        <v>0</v>
      </c>
      <c r="B57" s="4">
        <f>IF(ISNUMBER(SEARCH("营",'19.07'!J57)),(-$Y57+50*IF('19.07'!$AK57="是",'19.07'!$BB$4,'19.07'!$BB$3)),(VLOOKUP('19.07'!J57,'19.07'!$AO$4:$AQ$55,2,FALSE))*IF('19.07'!$AK57="是",'19.07'!$BB$4,'19.07'!$BB$3))</f>
        <v>0</v>
      </c>
      <c r="C57" s="4">
        <f>IF(ISNUMBER(SEARCH("营",'19.07'!K57)),(-$Y57+50*IF('19.07'!$AK57="是",'19.07'!$BB$4,'19.07'!$BB$3)),(VLOOKUP('19.07'!K57,'19.07'!$AO$4:$AQ$55,2,FALSE))*IF('19.07'!$AK57="是",'19.07'!$BB$4,'19.07'!$BB$3))</f>
        <v>0</v>
      </c>
      <c r="D57" s="4">
        <f>IF(ISNUMBER(SEARCH("营",'19.07'!L57)),(-$Y57+50*IF('19.07'!$AK57="是",'19.07'!$BB$4,'19.07'!$BB$3)),(VLOOKUP('19.07'!L57,'19.07'!$AO$4:$AQ$55,2,FALSE))*IF('19.07'!$AK57="是",'19.07'!$BB$4,'19.07'!$BB$3))</f>
        <v>0</v>
      </c>
      <c r="E57" s="4">
        <f>IF(ISNUMBER(SEARCH("营",'19.07'!M57)),(-$Y57+50*IF('19.07'!$AK57="是",'19.07'!$BB$4,'19.07'!$BB$3)),(VLOOKUP('19.07'!M57,'19.07'!$AO$4:$AQ$55,2,FALSE))*IF('19.07'!$AK57="是",'19.07'!$BB$4,'19.07'!$BB$3))</f>
        <v>0</v>
      </c>
      <c r="F57" s="4">
        <f>IF(ISNUMBER(SEARCH("营",'19.07'!N57)),(-$Y57+50*IF('19.07'!$AK57="是",'19.07'!$BB$4,'19.07'!$BB$3)),(VLOOKUP('19.07'!N57,'19.07'!$AO$4:$AQ$55,2,FALSE))*IF('19.07'!$AK57="是",'19.07'!$BB$4,'19.07'!$BB$3))</f>
        <v>0</v>
      </c>
      <c r="G57" s="4">
        <f>IF(ISNUMBER(SEARCH("营",'19.07'!O57)),(-$Y57+50*IF('19.07'!$AK57="是",'19.07'!$BB$4,'19.07'!$BB$3)),(VLOOKUP('19.07'!O57,'19.07'!$AO$4:$AQ$55,2,FALSE))*IF('19.07'!$AK57="是",'19.07'!$BB$4,'19.07'!$BB$3))</f>
        <v>0</v>
      </c>
      <c r="H57" s="4">
        <f>IF(ISNUMBER(SEARCH("营",'19.07'!P57)),(-$Y57+50*IF('19.07'!$AK57="是",'19.07'!$BB$4,'19.07'!$BB$3)),(VLOOKUP('19.07'!P57,'19.07'!$AO$4:$AQ$55,2,FALSE))*IF('19.07'!$AK57="是",'19.07'!$BB$4,'19.07'!$BB$3))</f>
        <v>0</v>
      </c>
      <c r="I57" s="4">
        <f>IF(ISNUMBER(SEARCH("营",'19.07'!Q57)),(-$Y57+50*IF('19.07'!$AK57="是",'19.07'!$BB$4,'19.07'!$BB$3)),(VLOOKUP('19.07'!Q57,'19.07'!$AO$4:$AQ$55,2,FALSE))*IF('19.07'!$AK57="是",'19.07'!$BB$4,'19.07'!$BB$3))</f>
        <v>0</v>
      </c>
      <c r="J57" s="4">
        <f>IF(ISNUMBER(SEARCH("营",'19.07'!R57)),(-$Y57+50*IF('19.07'!$AK57="是",'19.07'!$BB$4,'19.07'!$BB$3)),(VLOOKUP('19.07'!R57,'19.07'!$AO$4:$AQ$55,2,FALSE))*IF('19.07'!$AK57="是",'19.07'!$BB$4,'19.07'!$BB$3))</f>
        <v>0</v>
      </c>
      <c r="K57" s="4">
        <f>IF(ISNUMBER(SEARCH("营",'19.07'!S57)),(-$Y57+50*IF('19.07'!$AK57="是",'19.07'!$BB$4,'19.07'!$BB$3)),(VLOOKUP('19.07'!S57,'19.07'!$AO$4:$AQ$55,2,FALSE))*IF('19.07'!$AK57="是",'19.07'!$BB$4,'19.07'!$BB$3))</f>
        <v>0</v>
      </c>
      <c r="L57" s="4">
        <f>IF(ISNUMBER(SEARCH("营",'19.07'!T57)),(-$Y57+50*IF('19.07'!$AK57="是",'19.07'!$BB$4,'19.07'!$BB$3)),(VLOOKUP('19.07'!T57,'19.07'!$AO$4:$AQ$55,2,FALSE))*IF('19.07'!$AK57="是",'19.07'!$BB$4,'19.07'!$BB$3))</f>
        <v>0</v>
      </c>
      <c r="M57" s="4">
        <f>IF(ISNUMBER(SEARCH("营",'19.07'!U57)),(-$Y57+50*IF('19.07'!$AK57="是",'19.07'!$BB$4,'19.07'!$BB$3)),(VLOOKUP('19.07'!U57,'19.07'!$AO$4:$AQ$55,2,FALSE))*IF('19.07'!$AK57="是",'19.07'!$BB$4,'19.07'!$BB$3))</f>
        <v>0</v>
      </c>
      <c r="N57" s="4">
        <f>IF(ISNUMBER(SEARCH("营",'19.07'!V57)),(-$Y57+50*IF('19.07'!$AK57="是",'19.07'!$BB$4,'19.07'!$BB$3)),(VLOOKUP('19.07'!V57,'19.07'!$AO$4:$AQ$55,2,FALSE))*IF('19.07'!$AK57="是",'19.07'!$BB$4,'19.07'!$BB$3))</f>
        <v>0</v>
      </c>
      <c r="O57" s="4">
        <f>IF(ISNUMBER(SEARCH("营",'19.07'!W57)),(-$Y57+50*IF('19.07'!$AK57="是",'19.07'!$BB$4,'19.07'!$BB$3)),(VLOOKUP('19.07'!W57,'19.07'!$AO$4:$AQ$55,2,FALSE))*IF('19.07'!$AK57="是",'19.07'!$BB$4,'19.07'!$BB$3))</f>
        <v>0</v>
      </c>
      <c r="P57" s="4">
        <f>IF(ISNUMBER(SEARCH("营",'19.07'!X57)),(-$Y57+50*IF('19.07'!$AK57="是",'19.07'!$BB$4,'19.07'!$BB$3)),(VLOOKUP('19.07'!X57,'19.07'!$AO$4:$AQ$55,2,FALSE))*IF('19.07'!$AK57="是",'19.07'!$BB$4,'19.07'!$BB$3))</f>
        <v>0</v>
      </c>
      <c r="Q57" s="4">
        <f>IF(ISNUMBER(SEARCH("营",'19.07'!Y57)),(-$Y57+50*IF('19.07'!$AK57="是",'19.07'!$BB$4,'19.07'!$BB$3)),(VLOOKUP('19.07'!Y57,'19.07'!$AO$4:$AQ$55,2,FALSE))*IF('19.07'!$AK57="是",'19.07'!$BB$4,'19.07'!$BB$3))</f>
        <v>0</v>
      </c>
      <c r="R57" s="4">
        <f>IF(ISNUMBER(SEARCH("营",'19.07'!Z57)),(-$Y57+50*IF('19.07'!$AK57="是",'19.07'!$BB$4,'19.07'!$BB$3)),(VLOOKUP('19.07'!Z57,'19.07'!$AO$4:$AQ$55,2,FALSE))*IF('19.07'!$AK57="是",'19.07'!$BB$4,'19.07'!$BB$3))</f>
        <v>0</v>
      </c>
      <c r="S57" s="4">
        <f>IF(ISNUMBER(SEARCH("营",'19.07'!AA57)),(-$Y57+50*IF('19.07'!$AK57="是",'19.07'!$BB$4,'19.07'!$BB$3)),(VLOOKUP('19.07'!AA57,'19.07'!$AO$4:$AQ$55,2,FALSE))*IF('19.07'!$AK57="是",'19.07'!$BB$4,'19.07'!$BB$3))</f>
        <v>0</v>
      </c>
      <c r="T57" s="4">
        <f>IF(ISNUMBER(SEARCH("营",'19.07'!AB57)),(-$Y57+50*IF('19.07'!$AK57="是",'19.07'!$BB$4,'19.07'!$BB$3)),(VLOOKUP('19.07'!AB57,'19.07'!$AO$4:$AQ$55,2,FALSE))*IF('19.07'!$AK57="是",'19.07'!$BB$4,'19.07'!$BB$3))</f>
        <v>0</v>
      </c>
      <c r="U57" s="4">
        <f>IF(ISNUMBER(SEARCH("营",'19.07'!AC57)),(-$Y57+50*IF('19.07'!$AK57="是",'19.07'!$BB$4,'19.07'!$BB$3)),(VLOOKUP('19.07'!AC57,'19.07'!$AO$4:$AQ$55,2,FALSE))*IF('19.07'!$AK57="是",'19.07'!$BB$4,'19.07'!$BB$3))</f>
        <v>0</v>
      </c>
      <c r="V57" s="4">
        <f>IF(ISNUMBER(SEARCH("营",'19.07'!AD57)),(-$Y57+50*IF('19.07'!$AK57="是",'19.07'!$BB$4,'19.07'!$BB$3)),(VLOOKUP('19.07'!AD57,'19.07'!$AO$4:$AQ$55,2,FALSE))*IF('19.07'!$AK57="是",'19.07'!$BB$4,'19.07'!$BB$3))</f>
        <v>0</v>
      </c>
      <c r="W57" s="4">
        <f>IF(ISNUMBER(SEARCH("营",'19.07'!AE57)),(-$Y57+50*IF('19.07'!$AK57="是",'19.07'!$BB$4,'19.07'!$BB$3)),(VLOOKUP('19.07'!AE57,'19.07'!$AO$4:$AQ$55,2,FALSE))*IF('19.07'!$AK57="是",'19.07'!$BB$4,'19.07'!$BB$3))</f>
        <v>0</v>
      </c>
      <c r="X57" s="4">
        <f>IF(ISNUMBER(SEARCH("营",'19.07'!AF57)),(-$Y57+50*IF('19.07'!$AK57="是",'19.07'!$BB$4,'19.07'!$BB$3)),(VLOOKUP('19.07'!AF57,'19.07'!$AO$4:$AQ$55,2,FALSE))*IF('19.07'!$AK57="是",'19.07'!$BB$4,'19.07'!$BB$3))</f>
        <v>0</v>
      </c>
      <c r="Y57" s="18">
        <v>100</v>
      </c>
      <c r="Z57" s="15">
        <v>45783</v>
      </c>
    </row>
    <row r="58" spans="1:26">
      <c r="A58" s="4">
        <f>IF(ISNUMBER(SEARCH("营",'19.07'!I58)),(-$Y58+50*IF('19.07'!$AK58="是",'19.07'!$BB$4,'19.07'!$BB$3)),(VLOOKUP('19.07'!I58,'19.07'!$AO$4:$AQ$55,2,FALSE))*IF('19.07'!$AK58="是",'19.07'!$BB$4,'19.07'!$BB$3))</f>
        <v>0</v>
      </c>
      <c r="B58" s="4">
        <f>IF(ISNUMBER(SEARCH("营",'19.07'!J58)),(-$Y58+50*IF('19.07'!$AK58="是",'19.07'!$BB$4,'19.07'!$BB$3)),(VLOOKUP('19.07'!J58,'19.07'!$AO$4:$AQ$55,2,FALSE))*IF('19.07'!$AK58="是",'19.07'!$BB$4,'19.07'!$BB$3))</f>
        <v>0</v>
      </c>
      <c r="C58" s="4">
        <f>IF(ISNUMBER(SEARCH("营",'19.07'!K58)),(-$Y58+50*IF('19.07'!$AK58="是",'19.07'!$BB$4,'19.07'!$BB$3)),(VLOOKUP('19.07'!K58,'19.07'!$AO$4:$AQ$55,2,FALSE))*IF('19.07'!$AK58="是",'19.07'!$BB$4,'19.07'!$BB$3))</f>
        <v>0</v>
      </c>
      <c r="D58" s="4">
        <f>IF(ISNUMBER(SEARCH("营",'19.07'!L58)),(-$Y58+50*IF('19.07'!$AK58="是",'19.07'!$BB$4,'19.07'!$BB$3)),(VLOOKUP('19.07'!L58,'19.07'!$AO$4:$AQ$55,2,FALSE))*IF('19.07'!$AK58="是",'19.07'!$BB$4,'19.07'!$BB$3))</f>
        <v>0</v>
      </c>
      <c r="E58" s="4">
        <f>IF(ISNUMBER(SEARCH("营",'19.07'!M58)),(-$Y58+50*IF('19.07'!$AK58="是",'19.07'!$BB$4,'19.07'!$BB$3)),(VLOOKUP('19.07'!M58,'19.07'!$AO$4:$AQ$55,2,FALSE))*IF('19.07'!$AK58="是",'19.07'!$BB$4,'19.07'!$BB$3))</f>
        <v>0</v>
      </c>
      <c r="F58" s="4">
        <f>IF(ISNUMBER(SEARCH("营",'19.07'!N58)),(-$Y58+50*IF('19.07'!$AK58="是",'19.07'!$BB$4,'19.07'!$BB$3)),(VLOOKUP('19.07'!N58,'19.07'!$AO$4:$AQ$55,2,FALSE))*IF('19.07'!$AK58="是",'19.07'!$BB$4,'19.07'!$BB$3))</f>
        <v>0</v>
      </c>
      <c r="G58" s="4">
        <f>IF(ISNUMBER(SEARCH("营",'19.07'!O58)),(-$Y58+50*IF('19.07'!$AK58="是",'19.07'!$BB$4,'19.07'!$BB$3)),(VLOOKUP('19.07'!O58,'19.07'!$AO$4:$AQ$55,2,FALSE))*IF('19.07'!$AK58="是",'19.07'!$BB$4,'19.07'!$BB$3))</f>
        <v>0</v>
      </c>
      <c r="H58" s="4">
        <f>IF(ISNUMBER(SEARCH("营",'19.07'!P58)),(-$Y58+50*IF('19.07'!$AK58="是",'19.07'!$BB$4,'19.07'!$BB$3)),(VLOOKUP('19.07'!P58,'19.07'!$AO$4:$AQ$55,2,FALSE))*IF('19.07'!$AK58="是",'19.07'!$BB$4,'19.07'!$BB$3))</f>
        <v>0</v>
      </c>
      <c r="I58" s="4">
        <f>IF(ISNUMBER(SEARCH("营",'19.07'!Q58)),(-$Y58+50*IF('19.07'!$AK58="是",'19.07'!$BB$4,'19.07'!$BB$3)),(VLOOKUP('19.07'!Q58,'19.07'!$AO$4:$AQ$55,2,FALSE))*IF('19.07'!$AK58="是",'19.07'!$BB$4,'19.07'!$BB$3))</f>
        <v>0</v>
      </c>
      <c r="J58" s="4">
        <f>IF(ISNUMBER(SEARCH("营",'19.07'!R58)),(-$Y58+50*IF('19.07'!$AK58="是",'19.07'!$BB$4,'19.07'!$BB$3)),(VLOOKUP('19.07'!R58,'19.07'!$AO$4:$AQ$55,2,FALSE))*IF('19.07'!$AK58="是",'19.07'!$BB$4,'19.07'!$BB$3))</f>
        <v>0</v>
      </c>
      <c r="K58" s="4">
        <f>IF(ISNUMBER(SEARCH("营",'19.07'!S58)),(-$Y58+50*IF('19.07'!$AK58="是",'19.07'!$BB$4,'19.07'!$BB$3)),(VLOOKUP('19.07'!S58,'19.07'!$AO$4:$AQ$55,2,FALSE))*IF('19.07'!$AK58="是",'19.07'!$BB$4,'19.07'!$BB$3))</f>
        <v>0</v>
      </c>
      <c r="L58" s="4">
        <f>IF(ISNUMBER(SEARCH("营",'19.07'!T58)),(-$Y58+50*IF('19.07'!$AK58="是",'19.07'!$BB$4,'19.07'!$BB$3)),(VLOOKUP('19.07'!T58,'19.07'!$AO$4:$AQ$55,2,FALSE))*IF('19.07'!$AK58="是",'19.07'!$BB$4,'19.07'!$BB$3))</f>
        <v>0</v>
      </c>
      <c r="M58" s="4">
        <f>IF(ISNUMBER(SEARCH("营",'19.07'!U58)),(-$Y58+50*IF('19.07'!$AK58="是",'19.07'!$BB$4,'19.07'!$BB$3)),(VLOOKUP('19.07'!U58,'19.07'!$AO$4:$AQ$55,2,FALSE))*IF('19.07'!$AK58="是",'19.07'!$BB$4,'19.07'!$BB$3))</f>
        <v>0</v>
      </c>
      <c r="N58" s="4">
        <f>IF(ISNUMBER(SEARCH("营",'19.07'!V58)),(-$Y58+50*IF('19.07'!$AK58="是",'19.07'!$BB$4,'19.07'!$BB$3)),(VLOOKUP('19.07'!V58,'19.07'!$AO$4:$AQ$55,2,FALSE))*IF('19.07'!$AK58="是",'19.07'!$BB$4,'19.07'!$BB$3))</f>
        <v>0</v>
      </c>
      <c r="O58" s="4">
        <f>IF(ISNUMBER(SEARCH("营",'19.07'!W58)),(-$Y58+50*IF('19.07'!$AK58="是",'19.07'!$BB$4,'19.07'!$BB$3)),(VLOOKUP('19.07'!W58,'19.07'!$AO$4:$AQ$55,2,FALSE))*IF('19.07'!$AK58="是",'19.07'!$BB$4,'19.07'!$BB$3))</f>
        <v>0</v>
      </c>
      <c r="P58" s="4">
        <f>IF(ISNUMBER(SEARCH("营",'19.07'!X58)),(-$Y58+50*IF('19.07'!$AK58="是",'19.07'!$BB$4,'19.07'!$BB$3)),(VLOOKUP('19.07'!X58,'19.07'!$AO$4:$AQ$55,2,FALSE))*IF('19.07'!$AK58="是",'19.07'!$BB$4,'19.07'!$BB$3))</f>
        <v>0</v>
      </c>
      <c r="Q58" s="4">
        <f>IF(ISNUMBER(SEARCH("营",'19.07'!Y58)),(-$Y58+50*IF('19.07'!$AK58="是",'19.07'!$BB$4,'19.07'!$BB$3)),(VLOOKUP('19.07'!Y58,'19.07'!$AO$4:$AQ$55,2,FALSE))*IF('19.07'!$AK58="是",'19.07'!$BB$4,'19.07'!$BB$3))</f>
        <v>0</v>
      </c>
      <c r="R58" s="4">
        <f>IF(ISNUMBER(SEARCH("营",'19.07'!Z58)),(-$Y58+50*IF('19.07'!$AK58="是",'19.07'!$BB$4,'19.07'!$BB$3)),(VLOOKUP('19.07'!Z58,'19.07'!$AO$4:$AQ$55,2,FALSE))*IF('19.07'!$AK58="是",'19.07'!$BB$4,'19.07'!$BB$3))</f>
        <v>0</v>
      </c>
      <c r="S58" s="4">
        <f>IF(ISNUMBER(SEARCH("营",'19.07'!AA58)),(-$Y58+50*IF('19.07'!$AK58="是",'19.07'!$BB$4,'19.07'!$BB$3)),(VLOOKUP('19.07'!AA58,'19.07'!$AO$4:$AQ$55,2,FALSE))*IF('19.07'!$AK58="是",'19.07'!$BB$4,'19.07'!$BB$3))</f>
        <v>0</v>
      </c>
      <c r="T58" s="4">
        <f>IF(ISNUMBER(SEARCH("营",'19.07'!AB58)),(-$Y58+50*IF('19.07'!$AK58="是",'19.07'!$BB$4,'19.07'!$BB$3)),(VLOOKUP('19.07'!AB58,'19.07'!$AO$4:$AQ$55,2,FALSE))*IF('19.07'!$AK58="是",'19.07'!$BB$4,'19.07'!$BB$3))</f>
        <v>0</v>
      </c>
      <c r="U58" s="4">
        <f>IF(ISNUMBER(SEARCH("营",'19.07'!AC58)),(-$Y58+50*IF('19.07'!$AK58="是",'19.07'!$BB$4,'19.07'!$BB$3)),(VLOOKUP('19.07'!AC58,'19.07'!$AO$4:$AQ$55,2,FALSE))*IF('19.07'!$AK58="是",'19.07'!$BB$4,'19.07'!$BB$3))</f>
        <v>0</v>
      </c>
      <c r="V58" s="4">
        <f>IF(ISNUMBER(SEARCH("营",'19.07'!AD58)),(-$Y58+50*IF('19.07'!$AK58="是",'19.07'!$BB$4,'19.07'!$BB$3)),(VLOOKUP('19.07'!AD58,'19.07'!$AO$4:$AQ$55,2,FALSE))*IF('19.07'!$AK58="是",'19.07'!$BB$4,'19.07'!$BB$3))</f>
        <v>0</v>
      </c>
      <c r="W58" s="4">
        <f>IF(ISNUMBER(SEARCH("营",'19.07'!AE58)),(-$Y58+50*IF('19.07'!$AK58="是",'19.07'!$BB$4,'19.07'!$BB$3)),(VLOOKUP('19.07'!AE58,'19.07'!$AO$4:$AQ$55,2,FALSE))*IF('19.07'!$AK58="是",'19.07'!$BB$4,'19.07'!$BB$3))</f>
        <v>0</v>
      </c>
      <c r="X58" s="4">
        <f>IF(ISNUMBER(SEARCH("营",'19.07'!AF58)),(-$Y58+50*IF('19.07'!$AK58="是",'19.07'!$BB$4,'19.07'!$BB$3)),(VLOOKUP('19.07'!AF58,'19.07'!$AO$4:$AQ$55,2,FALSE))*IF('19.07'!$AK58="是",'19.07'!$BB$4,'19.07'!$BB$3))</f>
        <v>0</v>
      </c>
      <c r="Y58" s="18">
        <v>100</v>
      </c>
      <c r="Z58" s="15">
        <v>45784</v>
      </c>
    </row>
    <row r="59" spans="1:26">
      <c r="A59" s="4">
        <f>IF(ISNUMBER(SEARCH("营",'19.07'!I59)),(-$Y59+50*IF('19.07'!$AK59="是",'19.07'!$BB$4,'19.07'!$BB$3)),(VLOOKUP('19.07'!I59,'19.07'!$AO$4:$AQ$55,2,FALSE))*IF('19.07'!$AK59="是",'19.07'!$BB$4,'19.07'!$BB$3))</f>
        <v>0</v>
      </c>
      <c r="B59" s="4">
        <f>IF(ISNUMBER(SEARCH("营",'19.07'!J59)),(-$Y59+50*IF('19.07'!$AK59="是",'19.07'!$BB$4,'19.07'!$BB$3)),(VLOOKUP('19.07'!J59,'19.07'!$AO$4:$AQ$55,2,FALSE))*IF('19.07'!$AK59="是",'19.07'!$BB$4,'19.07'!$BB$3))</f>
        <v>0</v>
      </c>
      <c r="C59" s="4">
        <f>IF(ISNUMBER(SEARCH("营",'19.07'!K59)),(-$Y59+50*IF('19.07'!$AK59="是",'19.07'!$BB$4,'19.07'!$BB$3)),(VLOOKUP('19.07'!K59,'19.07'!$AO$4:$AQ$55,2,FALSE))*IF('19.07'!$AK59="是",'19.07'!$BB$4,'19.07'!$BB$3))</f>
        <v>0</v>
      </c>
      <c r="D59" s="4">
        <f>IF(ISNUMBER(SEARCH("营",'19.07'!L59)),(-$Y59+50*IF('19.07'!$AK59="是",'19.07'!$BB$4,'19.07'!$BB$3)),(VLOOKUP('19.07'!L59,'19.07'!$AO$4:$AQ$55,2,FALSE))*IF('19.07'!$AK59="是",'19.07'!$BB$4,'19.07'!$BB$3))</f>
        <v>0</v>
      </c>
      <c r="E59" s="4">
        <f>IF(ISNUMBER(SEARCH("营",'19.07'!M59)),(-$Y59+50*IF('19.07'!$AK59="是",'19.07'!$BB$4,'19.07'!$BB$3)),(VLOOKUP('19.07'!M59,'19.07'!$AO$4:$AQ$55,2,FALSE))*IF('19.07'!$AK59="是",'19.07'!$BB$4,'19.07'!$BB$3))</f>
        <v>0</v>
      </c>
      <c r="F59" s="4">
        <f>IF(ISNUMBER(SEARCH("营",'19.07'!N59)),(-$Y59+50*IF('19.07'!$AK59="是",'19.07'!$BB$4,'19.07'!$BB$3)),(VLOOKUP('19.07'!N59,'19.07'!$AO$4:$AQ$55,2,FALSE))*IF('19.07'!$AK59="是",'19.07'!$BB$4,'19.07'!$BB$3))</f>
        <v>0</v>
      </c>
      <c r="G59" s="4">
        <f>IF(ISNUMBER(SEARCH("营",'19.07'!O59)),(-$Y59+50*IF('19.07'!$AK59="是",'19.07'!$BB$4,'19.07'!$BB$3)),(VLOOKUP('19.07'!O59,'19.07'!$AO$4:$AQ$55,2,FALSE))*IF('19.07'!$AK59="是",'19.07'!$BB$4,'19.07'!$BB$3))</f>
        <v>0</v>
      </c>
      <c r="H59" s="4">
        <f>IF(ISNUMBER(SEARCH("营",'19.07'!P59)),(-$Y59+50*IF('19.07'!$AK59="是",'19.07'!$BB$4,'19.07'!$BB$3)),(VLOOKUP('19.07'!P59,'19.07'!$AO$4:$AQ$55,2,FALSE))*IF('19.07'!$AK59="是",'19.07'!$BB$4,'19.07'!$BB$3))</f>
        <v>0</v>
      </c>
      <c r="I59" s="4">
        <f>IF(ISNUMBER(SEARCH("营",'19.07'!Q59)),(-$Y59+50*IF('19.07'!$AK59="是",'19.07'!$BB$4,'19.07'!$BB$3)),(VLOOKUP('19.07'!Q59,'19.07'!$AO$4:$AQ$55,2,FALSE))*IF('19.07'!$AK59="是",'19.07'!$BB$4,'19.07'!$BB$3))</f>
        <v>0</v>
      </c>
      <c r="J59" s="4">
        <f>IF(ISNUMBER(SEARCH("营",'19.07'!R59)),(-$Y59+50*IF('19.07'!$AK59="是",'19.07'!$BB$4,'19.07'!$BB$3)),(VLOOKUP('19.07'!R59,'19.07'!$AO$4:$AQ$55,2,FALSE))*IF('19.07'!$AK59="是",'19.07'!$BB$4,'19.07'!$BB$3))</f>
        <v>0</v>
      </c>
      <c r="K59" s="4">
        <f>IF(ISNUMBER(SEARCH("营",'19.07'!S59)),(-$Y59+50*IF('19.07'!$AK59="是",'19.07'!$BB$4,'19.07'!$BB$3)),(VLOOKUP('19.07'!S59,'19.07'!$AO$4:$AQ$55,2,FALSE))*IF('19.07'!$AK59="是",'19.07'!$BB$4,'19.07'!$BB$3))</f>
        <v>0</v>
      </c>
      <c r="L59" s="4">
        <f>IF(ISNUMBER(SEARCH("营",'19.07'!T59)),(-$Y59+50*IF('19.07'!$AK59="是",'19.07'!$BB$4,'19.07'!$BB$3)),(VLOOKUP('19.07'!T59,'19.07'!$AO$4:$AQ$55,2,FALSE))*IF('19.07'!$AK59="是",'19.07'!$BB$4,'19.07'!$BB$3))</f>
        <v>0</v>
      </c>
      <c r="M59" s="4">
        <f>IF(ISNUMBER(SEARCH("营",'19.07'!U59)),(-$Y59+50*IF('19.07'!$AK59="是",'19.07'!$BB$4,'19.07'!$BB$3)),(VLOOKUP('19.07'!U59,'19.07'!$AO$4:$AQ$55,2,FALSE))*IF('19.07'!$AK59="是",'19.07'!$BB$4,'19.07'!$BB$3))</f>
        <v>0</v>
      </c>
      <c r="N59" s="4">
        <f>IF(ISNUMBER(SEARCH("营",'19.07'!V59)),(-$Y59+50*IF('19.07'!$AK59="是",'19.07'!$BB$4,'19.07'!$BB$3)),(VLOOKUP('19.07'!V59,'19.07'!$AO$4:$AQ$55,2,FALSE))*IF('19.07'!$AK59="是",'19.07'!$BB$4,'19.07'!$BB$3))</f>
        <v>0</v>
      </c>
      <c r="O59" s="4">
        <f>IF(ISNUMBER(SEARCH("营",'19.07'!W59)),(-$Y59+50*IF('19.07'!$AK59="是",'19.07'!$BB$4,'19.07'!$BB$3)),(VLOOKUP('19.07'!W59,'19.07'!$AO$4:$AQ$55,2,FALSE))*IF('19.07'!$AK59="是",'19.07'!$BB$4,'19.07'!$BB$3))</f>
        <v>0</v>
      </c>
      <c r="P59" s="4">
        <f>IF(ISNUMBER(SEARCH("营",'19.07'!X59)),(-$Y59+50*IF('19.07'!$AK59="是",'19.07'!$BB$4,'19.07'!$BB$3)),(VLOOKUP('19.07'!X59,'19.07'!$AO$4:$AQ$55,2,FALSE))*IF('19.07'!$AK59="是",'19.07'!$BB$4,'19.07'!$BB$3))</f>
        <v>0</v>
      </c>
      <c r="Q59" s="4">
        <f>IF(ISNUMBER(SEARCH("营",'19.07'!Y59)),(-$Y59+50*IF('19.07'!$AK59="是",'19.07'!$BB$4,'19.07'!$BB$3)),(VLOOKUP('19.07'!Y59,'19.07'!$AO$4:$AQ$55,2,FALSE))*IF('19.07'!$AK59="是",'19.07'!$BB$4,'19.07'!$BB$3))</f>
        <v>0</v>
      </c>
      <c r="R59" s="4">
        <f>IF(ISNUMBER(SEARCH("营",'19.07'!Z59)),(-$Y59+50*IF('19.07'!$AK59="是",'19.07'!$BB$4,'19.07'!$BB$3)),(VLOOKUP('19.07'!Z59,'19.07'!$AO$4:$AQ$55,2,FALSE))*IF('19.07'!$AK59="是",'19.07'!$BB$4,'19.07'!$BB$3))</f>
        <v>0</v>
      </c>
      <c r="S59" s="4">
        <f>IF(ISNUMBER(SEARCH("营",'19.07'!AA59)),(-$Y59+50*IF('19.07'!$AK59="是",'19.07'!$BB$4,'19.07'!$BB$3)),(VLOOKUP('19.07'!AA59,'19.07'!$AO$4:$AQ$55,2,FALSE))*IF('19.07'!$AK59="是",'19.07'!$BB$4,'19.07'!$BB$3))</f>
        <v>0</v>
      </c>
      <c r="T59" s="4">
        <f>IF(ISNUMBER(SEARCH("营",'19.07'!AB59)),(-$Y59+50*IF('19.07'!$AK59="是",'19.07'!$BB$4,'19.07'!$BB$3)),(VLOOKUP('19.07'!AB59,'19.07'!$AO$4:$AQ$55,2,FALSE))*IF('19.07'!$AK59="是",'19.07'!$BB$4,'19.07'!$BB$3))</f>
        <v>0</v>
      </c>
      <c r="U59" s="4">
        <f>IF(ISNUMBER(SEARCH("营",'19.07'!AC59)),(-$Y59+50*IF('19.07'!$AK59="是",'19.07'!$BB$4,'19.07'!$BB$3)),(VLOOKUP('19.07'!AC59,'19.07'!$AO$4:$AQ$55,2,FALSE))*IF('19.07'!$AK59="是",'19.07'!$BB$4,'19.07'!$BB$3))</f>
        <v>0</v>
      </c>
      <c r="V59" s="4">
        <f>IF(ISNUMBER(SEARCH("营",'19.07'!AD59)),(-$Y59+50*IF('19.07'!$AK59="是",'19.07'!$BB$4,'19.07'!$BB$3)),(VLOOKUP('19.07'!AD59,'19.07'!$AO$4:$AQ$55,2,FALSE))*IF('19.07'!$AK59="是",'19.07'!$BB$4,'19.07'!$BB$3))</f>
        <v>0</v>
      </c>
      <c r="W59" s="4">
        <f>IF(ISNUMBER(SEARCH("营",'19.07'!AE59)),(-$Y59+50*IF('19.07'!$AK59="是",'19.07'!$BB$4,'19.07'!$BB$3)),(VLOOKUP('19.07'!AE59,'19.07'!$AO$4:$AQ$55,2,FALSE))*IF('19.07'!$AK59="是",'19.07'!$BB$4,'19.07'!$BB$3))</f>
        <v>0</v>
      </c>
      <c r="X59" s="4">
        <f>IF(ISNUMBER(SEARCH("营",'19.07'!AF59)),(-$Y59+50*IF('19.07'!$AK59="是",'19.07'!$BB$4,'19.07'!$BB$3)),(VLOOKUP('19.07'!AF59,'19.07'!$AO$4:$AQ$55,2,FALSE))*IF('19.07'!$AK59="是",'19.07'!$BB$4,'19.07'!$BB$3))</f>
        <v>0</v>
      </c>
      <c r="Y59" s="18">
        <v>100</v>
      </c>
      <c r="Z59" s="15">
        <v>45785</v>
      </c>
    </row>
    <row r="60" spans="1:26">
      <c r="A60" s="4">
        <f>IF(ISNUMBER(SEARCH("营",'19.07'!I60)),(-$Y60+50*IF('19.07'!$AK60="是",'19.07'!$BB$4,'19.07'!$BB$3)),(VLOOKUP('19.07'!I60,'19.07'!$AO$4:$AQ$55,2,FALSE))*IF('19.07'!$AK60="是",'19.07'!$BB$4,'19.07'!$BB$3))</f>
        <v>0</v>
      </c>
      <c r="B60" s="4">
        <f>IF(ISNUMBER(SEARCH("营",'19.07'!J60)),(-$Y60+50*IF('19.07'!$AK60="是",'19.07'!$BB$4,'19.07'!$BB$3)),(VLOOKUP('19.07'!J60,'19.07'!$AO$4:$AQ$55,2,FALSE))*IF('19.07'!$AK60="是",'19.07'!$BB$4,'19.07'!$BB$3))</f>
        <v>0</v>
      </c>
      <c r="C60" s="4">
        <f>IF(ISNUMBER(SEARCH("营",'19.07'!K60)),(-$Y60+50*IF('19.07'!$AK60="是",'19.07'!$BB$4,'19.07'!$BB$3)),(VLOOKUP('19.07'!K60,'19.07'!$AO$4:$AQ$55,2,FALSE))*IF('19.07'!$AK60="是",'19.07'!$BB$4,'19.07'!$BB$3))</f>
        <v>0</v>
      </c>
      <c r="D60" s="4">
        <f>IF(ISNUMBER(SEARCH("营",'19.07'!L60)),(-$Y60+50*IF('19.07'!$AK60="是",'19.07'!$BB$4,'19.07'!$BB$3)),(VLOOKUP('19.07'!L60,'19.07'!$AO$4:$AQ$55,2,FALSE))*IF('19.07'!$AK60="是",'19.07'!$BB$4,'19.07'!$BB$3))</f>
        <v>0</v>
      </c>
      <c r="E60" s="4">
        <f>IF(ISNUMBER(SEARCH("营",'19.07'!M60)),(-$Y60+50*IF('19.07'!$AK60="是",'19.07'!$BB$4,'19.07'!$BB$3)),(VLOOKUP('19.07'!M60,'19.07'!$AO$4:$AQ$55,2,FALSE))*IF('19.07'!$AK60="是",'19.07'!$BB$4,'19.07'!$BB$3))</f>
        <v>0</v>
      </c>
      <c r="F60" s="4">
        <f>IF(ISNUMBER(SEARCH("营",'19.07'!N60)),(-$Y60+50*IF('19.07'!$AK60="是",'19.07'!$BB$4,'19.07'!$BB$3)),(VLOOKUP('19.07'!N60,'19.07'!$AO$4:$AQ$55,2,FALSE))*IF('19.07'!$AK60="是",'19.07'!$BB$4,'19.07'!$BB$3))</f>
        <v>0</v>
      </c>
      <c r="G60" s="4">
        <f>IF(ISNUMBER(SEARCH("营",'19.07'!O60)),(-$Y60+50*IF('19.07'!$AK60="是",'19.07'!$BB$4,'19.07'!$BB$3)),(VLOOKUP('19.07'!O60,'19.07'!$AO$4:$AQ$55,2,FALSE))*IF('19.07'!$AK60="是",'19.07'!$BB$4,'19.07'!$BB$3))</f>
        <v>0</v>
      </c>
      <c r="H60" s="4">
        <f>IF(ISNUMBER(SEARCH("营",'19.07'!P60)),(-$Y60+50*IF('19.07'!$AK60="是",'19.07'!$BB$4,'19.07'!$BB$3)),(VLOOKUP('19.07'!P60,'19.07'!$AO$4:$AQ$55,2,FALSE))*IF('19.07'!$AK60="是",'19.07'!$BB$4,'19.07'!$BB$3))</f>
        <v>0</v>
      </c>
      <c r="I60" s="4">
        <f>IF(ISNUMBER(SEARCH("营",'19.07'!Q60)),(-$Y60+50*IF('19.07'!$AK60="是",'19.07'!$BB$4,'19.07'!$BB$3)),(VLOOKUP('19.07'!Q60,'19.07'!$AO$4:$AQ$55,2,FALSE))*IF('19.07'!$AK60="是",'19.07'!$BB$4,'19.07'!$BB$3))</f>
        <v>0</v>
      </c>
      <c r="J60" s="4">
        <f>IF(ISNUMBER(SEARCH("营",'19.07'!R60)),(-$Y60+50*IF('19.07'!$AK60="是",'19.07'!$BB$4,'19.07'!$BB$3)),(VLOOKUP('19.07'!R60,'19.07'!$AO$4:$AQ$55,2,FALSE))*IF('19.07'!$AK60="是",'19.07'!$BB$4,'19.07'!$BB$3))</f>
        <v>0</v>
      </c>
      <c r="K60" s="4">
        <f>IF(ISNUMBER(SEARCH("营",'19.07'!S60)),(-$Y60+50*IF('19.07'!$AK60="是",'19.07'!$BB$4,'19.07'!$BB$3)),(VLOOKUP('19.07'!S60,'19.07'!$AO$4:$AQ$55,2,FALSE))*IF('19.07'!$AK60="是",'19.07'!$BB$4,'19.07'!$BB$3))</f>
        <v>0</v>
      </c>
      <c r="L60" s="4">
        <f>IF(ISNUMBER(SEARCH("营",'19.07'!T60)),(-$Y60+50*IF('19.07'!$AK60="是",'19.07'!$BB$4,'19.07'!$BB$3)),(VLOOKUP('19.07'!T60,'19.07'!$AO$4:$AQ$55,2,FALSE))*IF('19.07'!$AK60="是",'19.07'!$BB$4,'19.07'!$BB$3))</f>
        <v>0</v>
      </c>
      <c r="M60" s="4">
        <f>IF(ISNUMBER(SEARCH("营",'19.07'!U60)),(-$Y60+50*IF('19.07'!$AK60="是",'19.07'!$BB$4,'19.07'!$BB$3)),(VLOOKUP('19.07'!U60,'19.07'!$AO$4:$AQ$55,2,FALSE))*IF('19.07'!$AK60="是",'19.07'!$BB$4,'19.07'!$BB$3))</f>
        <v>0</v>
      </c>
      <c r="N60" s="4">
        <f>IF(ISNUMBER(SEARCH("营",'19.07'!V60)),(-$Y60+50*IF('19.07'!$AK60="是",'19.07'!$BB$4,'19.07'!$BB$3)),(VLOOKUP('19.07'!V60,'19.07'!$AO$4:$AQ$55,2,FALSE))*IF('19.07'!$AK60="是",'19.07'!$BB$4,'19.07'!$BB$3))</f>
        <v>0</v>
      </c>
      <c r="O60" s="4">
        <f>IF(ISNUMBER(SEARCH("营",'19.07'!W60)),(-$Y60+50*IF('19.07'!$AK60="是",'19.07'!$BB$4,'19.07'!$BB$3)),(VLOOKUP('19.07'!W60,'19.07'!$AO$4:$AQ$55,2,FALSE))*IF('19.07'!$AK60="是",'19.07'!$BB$4,'19.07'!$BB$3))</f>
        <v>0</v>
      </c>
      <c r="P60" s="4">
        <f>IF(ISNUMBER(SEARCH("营",'19.07'!X60)),(-$Y60+50*IF('19.07'!$AK60="是",'19.07'!$BB$4,'19.07'!$BB$3)),(VLOOKUP('19.07'!X60,'19.07'!$AO$4:$AQ$55,2,FALSE))*IF('19.07'!$AK60="是",'19.07'!$BB$4,'19.07'!$BB$3))</f>
        <v>0</v>
      </c>
      <c r="Q60" s="4">
        <f>IF(ISNUMBER(SEARCH("营",'19.07'!Y60)),(-$Y60+50*IF('19.07'!$AK60="是",'19.07'!$BB$4,'19.07'!$BB$3)),(VLOOKUP('19.07'!Y60,'19.07'!$AO$4:$AQ$55,2,FALSE))*IF('19.07'!$AK60="是",'19.07'!$BB$4,'19.07'!$BB$3))</f>
        <v>0</v>
      </c>
      <c r="R60" s="4">
        <f>IF(ISNUMBER(SEARCH("营",'19.07'!Z60)),(-$Y60+50*IF('19.07'!$AK60="是",'19.07'!$BB$4,'19.07'!$BB$3)),(VLOOKUP('19.07'!Z60,'19.07'!$AO$4:$AQ$55,2,FALSE))*IF('19.07'!$AK60="是",'19.07'!$BB$4,'19.07'!$BB$3))</f>
        <v>0</v>
      </c>
      <c r="S60" s="4">
        <f>IF(ISNUMBER(SEARCH("营",'19.07'!AA60)),(-$Y60+50*IF('19.07'!$AK60="是",'19.07'!$BB$4,'19.07'!$BB$3)),(VLOOKUP('19.07'!AA60,'19.07'!$AO$4:$AQ$55,2,FALSE))*IF('19.07'!$AK60="是",'19.07'!$BB$4,'19.07'!$BB$3))</f>
        <v>0</v>
      </c>
      <c r="T60" s="4">
        <f>IF(ISNUMBER(SEARCH("营",'19.07'!AB60)),(-$Y60+50*IF('19.07'!$AK60="是",'19.07'!$BB$4,'19.07'!$BB$3)),(VLOOKUP('19.07'!AB60,'19.07'!$AO$4:$AQ$55,2,FALSE))*IF('19.07'!$AK60="是",'19.07'!$BB$4,'19.07'!$BB$3))</f>
        <v>0</v>
      </c>
      <c r="U60" s="4">
        <f>IF(ISNUMBER(SEARCH("营",'19.07'!AC60)),(-$Y60+50*IF('19.07'!$AK60="是",'19.07'!$BB$4,'19.07'!$BB$3)),(VLOOKUP('19.07'!AC60,'19.07'!$AO$4:$AQ$55,2,FALSE))*IF('19.07'!$AK60="是",'19.07'!$BB$4,'19.07'!$BB$3))</f>
        <v>0</v>
      </c>
      <c r="V60" s="4">
        <f>IF(ISNUMBER(SEARCH("营",'19.07'!AD60)),(-$Y60+50*IF('19.07'!$AK60="是",'19.07'!$BB$4,'19.07'!$BB$3)),(VLOOKUP('19.07'!AD60,'19.07'!$AO$4:$AQ$55,2,FALSE))*IF('19.07'!$AK60="是",'19.07'!$BB$4,'19.07'!$BB$3))</f>
        <v>0</v>
      </c>
      <c r="W60" s="4">
        <f>IF(ISNUMBER(SEARCH("营",'19.07'!AE60)),(-$Y60+50*IF('19.07'!$AK60="是",'19.07'!$BB$4,'19.07'!$BB$3)),(VLOOKUP('19.07'!AE60,'19.07'!$AO$4:$AQ$55,2,FALSE))*IF('19.07'!$AK60="是",'19.07'!$BB$4,'19.07'!$BB$3))</f>
        <v>0</v>
      </c>
      <c r="X60" s="4">
        <f>IF(ISNUMBER(SEARCH("营",'19.07'!AF60)),(-$Y60+50*IF('19.07'!$AK60="是",'19.07'!$BB$4,'19.07'!$BB$3)),(VLOOKUP('19.07'!AF60,'19.07'!$AO$4:$AQ$55,2,FALSE))*IF('19.07'!$AK60="是",'19.07'!$BB$4,'19.07'!$BB$3))</f>
        <v>0</v>
      </c>
      <c r="Y60" s="18">
        <v>100</v>
      </c>
      <c r="Z60" s="15">
        <v>45786</v>
      </c>
    </row>
    <row r="61" spans="1:26">
      <c r="A61" s="4">
        <f>IF(ISNUMBER(SEARCH("营",'19.07'!I61)),(-$Y61+50*IF('19.07'!$AK61="是",'19.07'!$BB$4,'19.07'!$BB$3)),(VLOOKUP('19.07'!I61,'19.07'!$AO$4:$AQ$55,2,FALSE))*IF('19.07'!$AK61="是",'19.07'!$BB$4,'19.07'!$BB$3))</f>
        <v>0</v>
      </c>
      <c r="B61" s="4">
        <f>IF(ISNUMBER(SEARCH("营",'19.07'!J61)),(-$Y61+50*IF('19.07'!$AK61="是",'19.07'!$BB$4,'19.07'!$BB$3)),(VLOOKUP('19.07'!J61,'19.07'!$AO$4:$AQ$55,2,FALSE))*IF('19.07'!$AK61="是",'19.07'!$BB$4,'19.07'!$BB$3))</f>
        <v>0</v>
      </c>
      <c r="C61" s="4">
        <f>IF(ISNUMBER(SEARCH("营",'19.07'!K61)),(-$Y61+50*IF('19.07'!$AK61="是",'19.07'!$BB$4,'19.07'!$BB$3)),(VLOOKUP('19.07'!K61,'19.07'!$AO$4:$AQ$55,2,FALSE))*IF('19.07'!$AK61="是",'19.07'!$BB$4,'19.07'!$BB$3))</f>
        <v>0</v>
      </c>
      <c r="D61" s="4">
        <f>IF(ISNUMBER(SEARCH("营",'19.07'!L61)),(-$Y61+50*IF('19.07'!$AK61="是",'19.07'!$BB$4,'19.07'!$BB$3)),(VLOOKUP('19.07'!L61,'19.07'!$AO$4:$AQ$55,2,FALSE))*IF('19.07'!$AK61="是",'19.07'!$BB$4,'19.07'!$BB$3))</f>
        <v>0</v>
      </c>
      <c r="E61" s="4">
        <f>IF(ISNUMBER(SEARCH("营",'19.07'!M61)),(-$Y61+50*IF('19.07'!$AK61="是",'19.07'!$BB$4,'19.07'!$BB$3)),(VLOOKUP('19.07'!M61,'19.07'!$AO$4:$AQ$55,2,FALSE))*IF('19.07'!$AK61="是",'19.07'!$BB$4,'19.07'!$BB$3))</f>
        <v>0</v>
      </c>
      <c r="F61" s="4">
        <f>IF(ISNUMBER(SEARCH("营",'19.07'!N61)),(-$Y61+50*IF('19.07'!$AK61="是",'19.07'!$BB$4,'19.07'!$BB$3)),(VLOOKUP('19.07'!N61,'19.07'!$AO$4:$AQ$55,2,FALSE))*IF('19.07'!$AK61="是",'19.07'!$BB$4,'19.07'!$BB$3))</f>
        <v>0</v>
      </c>
      <c r="G61" s="4">
        <f>IF(ISNUMBER(SEARCH("营",'19.07'!O61)),(-$Y61+50*IF('19.07'!$AK61="是",'19.07'!$BB$4,'19.07'!$BB$3)),(VLOOKUP('19.07'!O61,'19.07'!$AO$4:$AQ$55,2,FALSE))*IF('19.07'!$AK61="是",'19.07'!$BB$4,'19.07'!$BB$3))</f>
        <v>0</v>
      </c>
      <c r="H61" s="4">
        <f>IF(ISNUMBER(SEARCH("营",'19.07'!P61)),(-$Y61+50*IF('19.07'!$AK61="是",'19.07'!$BB$4,'19.07'!$BB$3)),(VLOOKUP('19.07'!P61,'19.07'!$AO$4:$AQ$55,2,FALSE))*IF('19.07'!$AK61="是",'19.07'!$BB$4,'19.07'!$BB$3))</f>
        <v>0</v>
      </c>
      <c r="I61" s="4">
        <f>IF(ISNUMBER(SEARCH("营",'19.07'!Q61)),(-$Y61+50*IF('19.07'!$AK61="是",'19.07'!$BB$4,'19.07'!$BB$3)),(VLOOKUP('19.07'!Q61,'19.07'!$AO$4:$AQ$55,2,FALSE))*IF('19.07'!$AK61="是",'19.07'!$BB$4,'19.07'!$BB$3))</f>
        <v>0</v>
      </c>
      <c r="J61" s="4">
        <f>IF(ISNUMBER(SEARCH("营",'19.07'!R61)),(-$Y61+50*IF('19.07'!$AK61="是",'19.07'!$BB$4,'19.07'!$BB$3)),(VLOOKUP('19.07'!R61,'19.07'!$AO$4:$AQ$55,2,FALSE))*IF('19.07'!$AK61="是",'19.07'!$BB$4,'19.07'!$BB$3))</f>
        <v>0</v>
      </c>
      <c r="K61" s="4">
        <f>IF(ISNUMBER(SEARCH("营",'19.07'!S61)),(-$Y61+50*IF('19.07'!$AK61="是",'19.07'!$BB$4,'19.07'!$BB$3)),(VLOOKUP('19.07'!S61,'19.07'!$AO$4:$AQ$55,2,FALSE))*IF('19.07'!$AK61="是",'19.07'!$BB$4,'19.07'!$BB$3))</f>
        <v>0</v>
      </c>
      <c r="L61" s="4">
        <f>IF(ISNUMBER(SEARCH("营",'19.07'!T61)),(-$Y61+50*IF('19.07'!$AK61="是",'19.07'!$BB$4,'19.07'!$BB$3)),(VLOOKUP('19.07'!T61,'19.07'!$AO$4:$AQ$55,2,FALSE))*IF('19.07'!$AK61="是",'19.07'!$BB$4,'19.07'!$BB$3))</f>
        <v>0</v>
      </c>
      <c r="M61" s="4">
        <f>IF(ISNUMBER(SEARCH("营",'19.07'!U61)),(-$Y61+50*IF('19.07'!$AK61="是",'19.07'!$BB$4,'19.07'!$BB$3)),(VLOOKUP('19.07'!U61,'19.07'!$AO$4:$AQ$55,2,FALSE))*IF('19.07'!$AK61="是",'19.07'!$BB$4,'19.07'!$BB$3))</f>
        <v>0</v>
      </c>
      <c r="N61" s="4">
        <f>IF(ISNUMBER(SEARCH("营",'19.07'!V61)),(-$Y61+50*IF('19.07'!$AK61="是",'19.07'!$BB$4,'19.07'!$BB$3)),(VLOOKUP('19.07'!V61,'19.07'!$AO$4:$AQ$55,2,FALSE))*IF('19.07'!$AK61="是",'19.07'!$BB$4,'19.07'!$BB$3))</f>
        <v>0</v>
      </c>
      <c r="O61" s="4">
        <f>IF(ISNUMBER(SEARCH("营",'19.07'!W61)),(-$Y61+50*IF('19.07'!$AK61="是",'19.07'!$BB$4,'19.07'!$BB$3)),(VLOOKUP('19.07'!W61,'19.07'!$AO$4:$AQ$55,2,FALSE))*IF('19.07'!$AK61="是",'19.07'!$BB$4,'19.07'!$BB$3))</f>
        <v>0</v>
      </c>
      <c r="P61" s="4">
        <f>IF(ISNUMBER(SEARCH("营",'19.07'!X61)),(-$Y61+50*IF('19.07'!$AK61="是",'19.07'!$BB$4,'19.07'!$BB$3)),(VLOOKUP('19.07'!X61,'19.07'!$AO$4:$AQ$55,2,FALSE))*IF('19.07'!$AK61="是",'19.07'!$BB$4,'19.07'!$BB$3))</f>
        <v>0</v>
      </c>
      <c r="Q61" s="4">
        <f>IF(ISNUMBER(SEARCH("营",'19.07'!Y61)),(-$Y61+50*IF('19.07'!$AK61="是",'19.07'!$BB$4,'19.07'!$BB$3)),(VLOOKUP('19.07'!Y61,'19.07'!$AO$4:$AQ$55,2,FALSE))*IF('19.07'!$AK61="是",'19.07'!$BB$4,'19.07'!$BB$3))</f>
        <v>0</v>
      </c>
      <c r="R61" s="4">
        <f>IF(ISNUMBER(SEARCH("营",'19.07'!Z61)),(-$Y61+50*IF('19.07'!$AK61="是",'19.07'!$BB$4,'19.07'!$BB$3)),(VLOOKUP('19.07'!Z61,'19.07'!$AO$4:$AQ$55,2,FALSE))*IF('19.07'!$AK61="是",'19.07'!$BB$4,'19.07'!$BB$3))</f>
        <v>0</v>
      </c>
      <c r="S61" s="4">
        <f>IF(ISNUMBER(SEARCH("营",'19.07'!AA61)),(-$Y61+50*IF('19.07'!$AK61="是",'19.07'!$BB$4,'19.07'!$BB$3)),(VLOOKUP('19.07'!AA61,'19.07'!$AO$4:$AQ$55,2,FALSE))*IF('19.07'!$AK61="是",'19.07'!$BB$4,'19.07'!$BB$3))</f>
        <v>0</v>
      </c>
      <c r="T61" s="4">
        <f>IF(ISNUMBER(SEARCH("营",'19.07'!AB61)),(-$Y61+50*IF('19.07'!$AK61="是",'19.07'!$BB$4,'19.07'!$BB$3)),(VLOOKUP('19.07'!AB61,'19.07'!$AO$4:$AQ$55,2,FALSE))*IF('19.07'!$AK61="是",'19.07'!$BB$4,'19.07'!$BB$3))</f>
        <v>0</v>
      </c>
      <c r="U61" s="4">
        <f>IF(ISNUMBER(SEARCH("营",'19.07'!AC61)),(-$Y61+50*IF('19.07'!$AK61="是",'19.07'!$BB$4,'19.07'!$BB$3)),(VLOOKUP('19.07'!AC61,'19.07'!$AO$4:$AQ$55,2,FALSE))*IF('19.07'!$AK61="是",'19.07'!$BB$4,'19.07'!$BB$3))</f>
        <v>0</v>
      </c>
      <c r="V61" s="4">
        <f>IF(ISNUMBER(SEARCH("营",'19.07'!AD61)),(-$Y61+50*IF('19.07'!$AK61="是",'19.07'!$BB$4,'19.07'!$BB$3)),(VLOOKUP('19.07'!AD61,'19.07'!$AO$4:$AQ$55,2,FALSE))*IF('19.07'!$AK61="是",'19.07'!$BB$4,'19.07'!$BB$3))</f>
        <v>0</v>
      </c>
      <c r="W61" s="4">
        <f>IF(ISNUMBER(SEARCH("营",'19.07'!AE61)),(-$Y61+50*IF('19.07'!$AK61="是",'19.07'!$BB$4,'19.07'!$BB$3)),(VLOOKUP('19.07'!AE61,'19.07'!$AO$4:$AQ$55,2,FALSE))*IF('19.07'!$AK61="是",'19.07'!$BB$4,'19.07'!$BB$3))</f>
        <v>0</v>
      </c>
      <c r="X61" s="4">
        <f>IF(ISNUMBER(SEARCH("营",'19.07'!AF61)),(-$Y61+50*IF('19.07'!$AK61="是",'19.07'!$BB$4,'19.07'!$BB$3)),(VLOOKUP('19.07'!AF61,'19.07'!$AO$4:$AQ$55,2,FALSE))*IF('19.07'!$AK61="是",'19.07'!$BB$4,'19.07'!$BB$3))</f>
        <v>0</v>
      </c>
      <c r="Y61" s="18">
        <v>100</v>
      </c>
      <c r="Z61" s="15">
        <v>45787</v>
      </c>
    </row>
    <row r="62" spans="1:26">
      <c r="A62" s="4">
        <f>IF(ISNUMBER(SEARCH("营",'19.07'!I62)),(-$Y62+50*IF('19.07'!$AK62="是",'19.07'!$BB$4,'19.07'!$BB$3)),(VLOOKUP('19.07'!I62,'19.07'!$AO$4:$AQ$55,2,FALSE))*IF('19.07'!$AK62="是",'19.07'!$BB$4,'19.07'!$BB$3))</f>
        <v>0</v>
      </c>
      <c r="B62" s="4">
        <f>IF(ISNUMBER(SEARCH("营",'19.07'!J62)),(-$Y62+50*IF('19.07'!$AK62="是",'19.07'!$BB$4,'19.07'!$BB$3)),(VLOOKUP('19.07'!J62,'19.07'!$AO$4:$AQ$55,2,FALSE))*IF('19.07'!$AK62="是",'19.07'!$BB$4,'19.07'!$BB$3))</f>
        <v>0</v>
      </c>
      <c r="C62" s="4">
        <f>IF(ISNUMBER(SEARCH("营",'19.07'!K62)),(-$Y62+50*IF('19.07'!$AK62="是",'19.07'!$BB$4,'19.07'!$BB$3)),(VLOOKUP('19.07'!K62,'19.07'!$AO$4:$AQ$55,2,FALSE))*IF('19.07'!$AK62="是",'19.07'!$BB$4,'19.07'!$BB$3))</f>
        <v>0</v>
      </c>
      <c r="D62" s="4">
        <f>IF(ISNUMBER(SEARCH("营",'19.07'!L62)),(-$Y62+50*IF('19.07'!$AK62="是",'19.07'!$BB$4,'19.07'!$BB$3)),(VLOOKUP('19.07'!L62,'19.07'!$AO$4:$AQ$55,2,FALSE))*IF('19.07'!$AK62="是",'19.07'!$BB$4,'19.07'!$BB$3))</f>
        <v>0</v>
      </c>
      <c r="E62" s="4">
        <f>IF(ISNUMBER(SEARCH("营",'19.07'!M62)),(-$Y62+50*IF('19.07'!$AK62="是",'19.07'!$BB$4,'19.07'!$BB$3)),(VLOOKUP('19.07'!M62,'19.07'!$AO$4:$AQ$55,2,FALSE))*IF('19.07'!$AK62="是",'19.07'!$BB$4,'19.07'!$BB$3))</f>
        <v>0</v>
      </c>
      <c r="F62" s="4">
        <f>IF(ISNUMBER(SEARCH("营",'19.07'!N62)),(-$Y62+50*IF('19.07'!$AK62="是",'19.07'!$BB$4,'19.07'!$BB$3)),(VLOOKUP('19.07'!N62,'19.07'!$AO$4:$AQ$55,2,FALSE))*IF('19.07'!$AK62="是",'19.07'!$BB$4,'19.07'!$BB$3))</f>
        <v>0</v>
      </c>
      <c r="G62" s="4">
        <f>IF(ISNUMBER(SEARCH("营",'19.07'!O62)),(-$Y62+50*IF('19.07'!$AK62="是",'19.07'!$BB$4,'19.07'!$BB$3)),(VLOOKUP('19.07'!O62,'19.07'!$AO$4:$AQ$55,2,FALSE))*IF('19.07'!$AK62="是",'19.07'!$BB$4,'19.07'!$BB$3))</f>
        <v>0</v>
      </c>
      <c r="H62" s="4">
        <f>IF(ISNUMBER(SEARCH("营",'19.07'!P62)),(-$Y62+50*IF('19.07'!$AK62="是",'19.07'!$BB$4,'19.07'!$BB$3)),(VLOOKUP('19.07'!P62,'19.07'!$AO$4:$AQ$55,2,FALSE))*IF('19.07'!$AK62="是",'19.07'!$BB$4,'19.07'!$BB$3))</f>
        <v>0</v>
      </c>
      <c r="I62" s="4">
        <f>IF(ISNUMBER(SEARCH("营",'19.07'!Q62)),(-$Y62+50*IF('19.07'!$AK62="是",'19.07'!$BB$4,'19.07'!$BB$3)),(VLOOKUP('19.07'!Q62,'19.07'!$AO$4:$AQ$55,2,FALSE))*IF('19.07'!$AK62="是",'19.07'!$BB$4,'19.07'!$BB$3))</f>
        <v>0</v>
      </c>
      <c r="J62" s="4">
        <f>IF(ISNUMBER(SEARCH("营",'19.07'!R62)),(-$Y62+50*IF('19.07'!$AK62="是",'19.07'!$BB$4,'19.07'!$BB$3)),(VLOOKUP('19.07'!R62,'19.07'!$AO$4:$AQ$55,2,FALSE))*IF('19.07'!$AK62="是",'19.07'!$BB$4,'19.07'!$BB$3))</f>
        <v>0</v>
      </c>
      <c r="K62" s="4">
        <f>IF(ISNUMBER(SEARCH("营",'19.07'!S62)),(-$Y62+50*IF('19.07'!$AK62="是",'19.07'!$BB$4,'19.07'!$BB$3)),(VLOOKUP('19.07'!S62,'19.07'!$AO$4:$AQ$55,2,FALSE))*IF('19.07'!$AK62="是",'19.07'!$BB$4,'19.07'!$BB$3))</f>
        <v>0</v>
      </c>
      <c r="L62" s="4">
        <f>IF(ISNUMBER(SEARCH("营",'19.07'!T62)),(-$Y62+50*IF('19.07'!$AK62="是",'19.07'!$BB$4,'19.07'!$BB$3)),(VLOOKUP('19.07'!T62,'19.07'!$AO$4:$AQ$55,2,FALSE))*IF('19.07'!$AK62="是",'19.07'!$BB$4,'19.07'!$BB$3))</f>
        <v>0</v>
      </c>
      <c r="M62" s="4">
        <f>IF(ISNUMBER(SEARCH("营",'19.07'!U62)),(-$Y62+50*IF('19.07'!$AK62="是",'19.07'!$BB$4,'19.07'!$BB$3)),(VLOOKUP('19.07'!U62,'19.07'!$AO$4:$AQ$55,2,FALSE))*IF('19.07'!$AK62="是",'19.07'!$BB$4,'19.07'!$BB$3))</f>
        <v>0</v>
      </c>
      <c r="N62" s="4">
        <f>IF(ISNUMBER(SEARCH("营",'19.07'!V62)),(-$Y62+50*IF('19.07'!$AK62="是",'19.07'!$BB$4,'19.07'!$BB$3)),(VLOOKUP('19.07'!V62,'19.07'!$AO$4:$AQ$55,2,FALSE))*IF('19.07'!$AK62="是",'19.07'!$BB$4,'19.07'!$BB$3))</f>
        <v>0</v>
      </c>
      <c r="O62" s="4">
        <f>IF(ISNUMBER(SEARCH("营",'19.07'!W62)),(-$Y62+50*IF('19.07'!$AK62="是",'19.07'!$BB$4,'19.07'!$BB$3)),(VLOOKUP('19.07'!W62,'19.07'!$AO$4:$AQ$55,2,FALSE))*IF('19.07'!$AK62="是",'19.07'!$BB$4,'19.07'!$BB$3))</f>
        <v>0</v>
      </c>
      <c r="P62" s="4">
        <f>IF(ISNUMBER(SEARCH("营",'19.07'!X62)),(-$Y62+50*IF('19.07'!$AK62="是",'19.07'!$BB$4,'19.07'!$BB$3)),(VLOOKUP('19.07'!X62,'19.07'!$AO$4:$AQ$55,2,FALSE))*IF('19.07'!$AK62="是",'19.07'!$BB$4,'19.07'!$BB$3))</f>
        <v>0</v>
      </c>
      <c r="Q62" s="4">
        <f>IF(ISNUMBER(SEARCH("营",'19.07'!Y62)),(-$Y62+50*IF('19.07'!$AK62="是",'19.07'!$BB$4,'19.07'!$BB$3)),(VLOOKUP('19.07'!Y62,'19.07'!$AO$4:$AQ$55,2,FALSE))*IF('19.07'!$AK62="是",'19.07'!$BB$4,'19.07'!$BB$3))</f>
        <v>0</v>
      </c>
      <c r="R62" s="4">
        <f>IF(ISNUMBER(SEARCH("营",'19.07'!Z62)),(-$Y62+50*IF('19.07'!$AK62="是",'19.07'!$BB$4,'19.07'!$BB$3)),(VLOOKUP('19.07'!Z62,'19.07'!$AO$4:$AQ$55,2,FALSE))*IF('19.07'!$AK62="是",'19.07'!$BB$4,'19.07'!$BB$3))</f>
        <v>0</v>
      </c>
      <c r="S62" s="4">
        <f>IF(ISNUMBER(SEARCH("营",'19.07'!AA62)),(-$Y62+50*IF('19.07'!$AK62="是",'19.07'!$BB$4,'19.07'!$BB$3)),(VLOOKUP('19.07'!AA62,'19.07'!$AO$4:$AQ$55,2,FALSE))*IF('19.07'!$AK62="是",'19.07'!$BB$4,'19.07'!$BB$3))</f>
        <v>0</v>
      </c>
      <c r="T62" s="4">
        <f>IF(ISNUMBER(SEARCH("营",'19.07'!AB62)),(-$Y62+50*IF('19.07'!$AK62="是",'19.07'!$BB$4,'19.07'!$BB$3)),(VLOOKUP('19.07'!AB62,'19.07'!$AO$4:$AQ$55,2,FALSE))*IF('19.07'!$AK62="是",'19.07'!$BB$4,'19.07'!$BB$3))</f>
        <v>0</v>
      </c>
      <c r="U62" s="4">
        <f>IF(ISNUMBER(SEARCH("营",'19.07'!AC62)),(-$Y62+50*IF('19.07'!$AK62="是",'19.07'!$BB$4,'19.07'!$BB$3)),(VLOOKUP('19.07'!AC62,'19.07'!$AO$4:$AQ$55,2,FALSE))*IF('19.07'!$AK62="是",'19.07'!$BB$4,'19.07'!$BB$3))</f>
        <v>0</v>
      </c>
      <c r="V62" s="4">
        <f>IF(ISNUMBER(SEARCH("营",'19.07'!AD62)),(-$Y62+50*IF('19.07'!$AK62="是",'19.07'!$BB$4,'19.07'!$BB$3)),(VLOOKUP('19.07'!AD62,'19.07'!$AO$4:$AQ$55,2,FALSE))*IF('19.07'!$AK62="是",'19.07'!$BB$4,'19.07'!$BB$3))</f>
        <v>0</v>
      </c>
      <c r="W62" s="4">
        <f>IF(ISNUMBER(SEARCH("营",'19.07'!AE62)),(-$Y62+50*IF('19.07'!$AK62="是",'19.07'!$BB$4,'19.07'!$BB$3)),(VLOOKUP('19.07'!AE62,'19.07'!$AO$4:$AQ$55,2,FALSE))*IF('19.07'!$AK62="是",'19.07'!$BB$4,'19.07'!$BB$3))</f>
        <v>0</v>
      </c>
      <c r="X62" s="4">
        <f>IF(ISNUMBER(SEARCH("营",'19.07'!AF62)),(-$Y62+50*IF('19.07'!$AK62="是",'19.07'!$BB$4,'19.07'!$BB$3)),(VLOOKUP('19.07'!AF62,'19.07'!$AO$4:$AQ$55,2,FALSE))*IF('19.07'!$AK62="是",'19.07'!$BB$4,'19.07'!$BB$3))</f>
        <v>0</v>
      </c>
      <c r="Y62" s="18">
        <v>100</v>
      </c>
      <c r="Z62" s="15">
        <v>45788</v>
      </c>
    </row>
    <row r="63" spans="1:26">
      <c r="A63" s="4">
        <f>IF(ISNUMBER(SEARCH("营",'19.07'!I63)),(-$Y63+50*IF('19.07'!$AK63="是",'19.07'!$BB$4,'19.07'!$BB$3)),(VLOOKUP('19.07'!I63,'19.07'!$AO$4:$AQ$55,2,FALSE))*IF('19.07'!$AK63="是",'19.07'!$BB$4,'19.07'!$BB$3))</f>
        <v>0</v>
      </c>
      <c r="B63" s="4">
        <f>IF(ISNUMBER(SEARCH("营",'19.07'!J63)),(-$Y63+50*IF('19.07'!$AK63="是",'19.07'!$BB$4,'19.07'!$BB$3)),(VLOOKUP('19.07'!J63,'19.07'!$AO$4:$AQ$55,2,FALSE))*IF('19.07'!$AK63="是",'19.07'!$BB$4,'19.07'!$BB$3))</f>
        <v>0</v>
      </c>
      <c r="C63" s="4">
        <f>IF(ISNUMBER(SEARCH("营",'19.07'!K63)),(-$Y63+50*IF('19.07'!$AK63="是",'19.07'!$BB$4,'19.07'!$BB$3)),(VLOOKUP('19.07'!K63,'19.07'!$AO$4:$AQ$55,2,FALSE))*IF('19.07'!$AK63="是",'19.07'!$BB$4,'19.07'!$BB$3))</f>
        <v>0</v>
      </c>
      <c r="D63" s="4">
        <f>IF(ISNUMBER(SEARCH("营",'19.07'!L63)),(-$Y63+50*IF('19.07'!$AK63="是",'19.07'!$BB$4,'19.07'!$BB$3)),(VLOOKUP('19.07'!L63,'19.07'!$AO$4:$AQ$55,2,FALSE))*IF('19.07'!$AK63="是",'19.07'!$BB$4,'19.07'!$BB$3))</f>
        <v>0</v>
      </c>
      <c r="E63" s="4">
        <f>IF(ISNUMBER(SEARCH("营",'19.07'!M63)),(-$Y63+50*IF('19.07'!$AK63="是",'19.07'!$BB$4,'19.07'!$BB$3)),(VLOOKUP('19.07'!M63,'19.07'!$AO$4:$AQ$55,2,FALSE))*IF('19.07'!$AK63="是",'19.07'!$BB$4,'19.07'!$BB$3))</f>
        <v>0</v>
      </c>
      <c r="F63" s="4">
        <f>IF(ISNUMBER(SEARCH("营",'19.07'!N63)),(-$Y63+50*IF('19.07'!$AK63="是",'19.07'!$BB$4,'19.07'!$BB$3)),(VLOOKUP('19.07'!N63,'19.07'!$AO$4:$AQ$55,2,FALSE))*IF('19.07'!$AK63="是",'19.07'!$BB$4,'19.07'!$BB$3))</f>
        <v>0</v>
      </c>
      <c r="G63" s="4">
        <f>IF(ISNUMBER(SEARCH("营",'19.07'!O63)),(-$Y63+50*IF('19.07'!$AK63="是",'19.07'!$BB$4,'19.07'!$BB$3)),(VLOOKUP('19.07'!O63,'19.07'!$AO$4:$AQ$55,2,FALSE))*IF('19.07'!$AK63="是",'19.07'!$BB$4,'19.07'!$BB$3))</f>
        <v>0</v>
      </c>
      <c r="H63" s="4">
        <f>IF(ISNUMBER(SEARCH("营",'19.07'!P63)),(-$Y63+50*IF('19.07'!$AK63="是",'19.07'!$BB$4,'19.07'!$BB$3)),(VLOOKUP('19.07'!P63,'19.07'!$AO$4:$AQ$55,2,FALSE))*IF('19.07'!$AK63="是",'19.07'!$BB$4,'19.07'!$BB$3))</f>
        <v>0</v>
      </c>
      <c r="I63" s="4">
        <f>IF(ISNUMBER(SEARCH("营",'19.07'!Q63)),(-$Y63+50*IF('19.07'!$AK63="是",'19.07'!$BB$4,'19.07'!$BB$3)),(VLOOKUP('19.07'!Q63,'19.07'!$AO$4:$AQ$55,2,FALSE))*IF('19.07'!$AK63="是",'19.07'!$BB$4,'19.07'!$BB$3))</f>
        <v>0</v>
      </c>
      <c r="J63" s="4">
        <f>IF(ISNUMBER(SEARCH("营",'19.07'!R63)),(-$Y63+50*IF('19.07'!$AK63="是",'19.07'!$BB$4,'19.07'!$BB$3)),(VLOOKUP('19.07'!R63,'19.07'!$AO$4:$AQ$55,2,FALSE))*IF('19.07'!$AK63="是",'19.07'!$BB$4,'19.07'!$BB$3))</f>
        <v>0</v>
      </c>
      <c r="K63" s="4">
        <f>IF(ISNUMBER(SEARCH("营",'19.07'!S63)),(-$Y63+50*IF('19.07'!$AK63="是",'19.07'!$BB$4,'19.07'!$BB$3)),(VLOOKUP('19.07'!S63,'19.07'!$AO$4:$AQ$55,2,FALSE))*IF('19.07'!$AK63="是",'19.07'!$BB$4,'19.07'!$BB$3))</f>
        <v>0</v>
      </c>
      <c r="L63" s="4">
        <f>IF(ISNUMBER(SEARCH("营",'19.07'!T63)),(-$Y63+50*IF('19.07'!$AK63="是",'19.07'!$BB$4,'19.07'!$BB$3)),(VLOOKUP('19.07'!T63,'19.07'!$AO$4:$AQ$55,2,FALSE))*IF('19.07'!$AK63="是",'19.07'!$BB$4,'19.07'!$BB$3))</f>
        <v>0</v>
      </c>
      <c r="M63" s="4">
        <f>IF(ISNUMBER(SEARCH("营",'19.07'!U63)),(-$Y63+50*IF('19.07'!$AK63="是",'19.07'!$BB$4,'19.07'!$BB$3)),(VLOOKUP('19.07'!U63,'19.07'!$AO$4:$AQ$55,2,FALSE))*IF('19.07'!$AK63="是",'19.07'!$BB$4,'19.07'!$BB$3))</f>
        <v>0</v>
      </c>
      <c r="N63" s="4">
        <f>IF(ISNUMBER(SEARCH("营",'19.07'!V63)),(-$Y63+50*IF('19.07'!$AK63="是",'19.07'!$BB$4,'19.07'!$BB$3)),(VLOOKUP('19.07'!V63,'19.07'!$AO$4:$AQ$55,2,FALSE))*IF('19.07'!$AK63="是",'19.07'!$BB$4,'19.07'!$BB$3))</f>
        <v>0</v>
      </c>
      <c r="O63" s="4">
        <f>IF(ISNUMBER(SEARCH("营",'19.07'!W63)),(-$Y63+50*IF('19.07'!$AK63="是",'19.07'!$BB$4,'19.07'!$BB$3)),(VLOOKUP('19.07'!W63,'19.07'!$AO$4:$AQ$55,2,FALSE))*IF('19.07'!$AK63="是",'19.07'!$BB$4,'19.07'!$BB$3))</f>
        <v>0</v>
      </c>
      <c r="P63" s="4">
        <f>IF(ISNUMBER(SEARCH("营",'19.07'!X63)),(-$Y63+50*IF('19.07'!$AK63="是",'19.07'!$BB$4,'19.07'!$BB$3)),(VLOOKUP('19.07'!X63,'19.07'!$AO$4:$AQ$55,2,FALSE))*IF('19.07'!$AK63="是",'19.07'!$BB$4,'19.07'!$BB$3))</f>
        <v>0</v>
      </c>
      <c r="Q63" s="4">
        <f>IF(ISNUMBER(SEARCH("营",'19.07'!Y63)),(-$Y63+50*IF('19.07'!$AK63="是",'19.07'!$BB$4,'19.07'!$BB$3)),(VLOOKUP('19.07'!Y63,'19.07'!$AO$4:$AQ$55,2,FALSE))*IF('19.07'!$AK63="是",'19.07'!$BB$4,'19.07'!$BB$3))</f>
        <v>0</v>
      </c>
      <c r="R63" s="4">
        <f>IF(ISNUMBER(SEARCH("营",'19.07'!Z63)),(-$Y63+50*IF('19.07'!$AK63="是",'19.07'!$BB$4,'19.07'!$BB$3)),(VLOOKUP('19.07'!Z63,'19.07'!$AO$4:$AQ$55,2,FALSE))*IF('19.07'!$AK63="是",'19.07'!$BB$4,'19.07'!$BB$3))</f>
        <v>0</v>
      </c>
      <c r="S63" s="4">
        <f>IF(ISNUMBER(SEARCH("营",'19.07'!AA63)),(-$Y63+50*IF('19.07'!$AK63="是",'19.07'!$BB$4,'19.07'!$BB$3)),(VLOOKUP('19.07'!AA63,'19.07'!$AO$4:$AQ$55,2,FALSE))*IF('19.07'!$AK63="是",'19.07'!$BB$4,'19.07'!$BB$3))</f>
        <v>0</v>
      </c>
      <c r="T63" s="4">
        <f>IF(ISNUMBER(SEARCH("营",'19.07'!AB63)),(-$Y63+50*IF('19.07'!$AK63="是",'19.07'!$BB$4,'19.07'!$BB$3)),(VLOOKUP('19.07'!AB63,'19.07'!$AO$4:$AQ$55,2,FALSE))*IF('19.07'!$AK63="是",'19.07'!$BB$4,'19.07'!$BB$3))</f>
        <v>0</v>
      </c>
      <c r="U63" s="4">
        <f>IF(ISNUMBER(SEARCH("营",'19.07'!AC63)),(-$Y63+50*IF('19.07'!$AK63="是",'19.07'!$BB$4,'19.07'!$BB$3)),(VLOOKUP('19.07'!AC63,'19.07'!$AO$4:$AQ$55,2,FALSE))*IF('19.07'!$AK63="是",'19.07'!$BB$4,'19.07'!$BB$3))</f>
        <v>0</v>
      </c>
      <c r="V63" s="4">
        <f>IF(ISNUMBER(SEARCH("营",'19.07'!AD63)),(-$Y63+50*IF('19.07'!$AK63="是",'19.07'!$BB$4,'19.07'!$BB$3)),(VLOOKUP('19.07'!AD63,'19.07'!$AO$4:$AQ$55,2,FALSE))*IF('19.07'!$AK63="是",'19.07'!$BB$4,'19.07'!$BB$3))</f>
        <v>0</v>
      </c>
      <c r="W63" s="4">
        <f>IF(ISNUMBER(SEARCH("营",'19.07'!AE63)),(-$Y63+50*IF('19.07'!$AK63="是",'19.07'!$BB$4,'19.07'!$BB$3)),(VLOOKUP('19.07'!AE63,'19.07'!$AO$4:$AQ$55,2,FALSE))*IF('19.07'!$AK63="是",'19.07'!$BB$4,'19.07'!$BB$3))</f>
        <v>0</v>
      </c>
      <c r="X63" s="4">
        <f>IF(ISNUMBER(SEARCH("营",'19.07'!AF63)),(-$Y63+50*IF('19.07'!$AK63="是",'19.07'!$BB$4,'19.07'!$BB$3)),(VLOOKUP('19.07'!AF63,'19.07'!$AO$4:$AQ$55,2,FALSE))*IF('19.07'!$AK63="是",'19.07'!$BB$4,'19.07'!$BB$3))</f>
        <v>0</v>
      </c>
      <c r="Y63" s="18">
        <v>100</v>
      </c>
      <c r="Z63" s="15">
        <v>45789</v>
      </c>
    </row>
    <row r="64" spans="1:26">
      <c r="A64" s="4">
        <f>IF(ISNUMBER(SEARCH("营",'19.07'!I64)),(-$Y64+50*IF('19.07'!$AK64="是",'19.07'!$BB$4,'19.07'!$BB$3)),(VLOOKUP('19.07'!I64,'19.07'!$AO$4:$AQ$55,2,FALSE))*IF('19.07'!$AK64="是",'19.07'!$BB$4,'19.07'!$BB$3))</f>
        <v>0</v>
      </c>
      <c r="B64" s="4">
        <f>IF(ISNUMBER(SEARCH("营",'19.07'!J64)),(-$Y64+50*IF('19.07'!$AK64="是",'19.07'!$BB$4,'19.07'!$BB$3)),(VLOOKUP('19.07'!J64,'19.07'!$AO$4:$AQ$55,2,FALSE))*IF('19.07'!$AK64="是",'19.07'!$BB$4,'19.07'!$BB$3))</f>
        <v>0</v>
      </c>
      <c r="C64" s="4">
        <f>IF(ISNUMBER(SEARCH("营",'19.07'!K64)),(-$Y64+50*IF('19.07'!$AK64="是",'19.07'!$BB$4,'19.07'!$BB$3)),(VLOOKUP('19.07'!K64,'19.07'!$AO$4:$AQ$55,2,FALSE))*IF('19.07'!$AK64="是",'19.07'!$BB$4,'19.07'!$BB$3))</f>
        <v>0</v>
      </c>
      <c r="D64" s="4">
        <f>IF(ISNUMBER(SEARCH("营",'19.07'!L64)),(-$Y64+50*IF('19.07'!$AK64="是",'19.07'!$BB$4,'19.07'!$BB$3)),(VLOOKUP('19.07'!L64,'19.07'!$AO$4:$AQ$55,2,FALSE))*IF('19.07'!$AK64="是",'19.07'!$BB$4,'19.07'!$BB$3))</f>
        <v>0</v>
      </c>
      <c r="E64" s="4">
        <f>IF(ISNUMBER(SEARCH("营",'19.07'!M64)),(-$Y64+50*IF('19.07'!$AK64="是",'19.07'!$BB$4,'19.07'!$BB$3)),(VLOOKUP('19.07'!M64,'19.07'!$AO$4:$AQ$55,2,FALSE))*IF('19.07'!$AK64="是",'19.07'!$BB$4,'19.07'!$BB$3))</f>
        <v>0</v>
      </c>
      <c r="F64" s="4">
        <f>IF(ISNUMBER(SEARCH("营",'19.07'!N64)),(-$Y64+50*IF('19.07'!$AK64="是",'19.07'!$BB$4,'19.07'!$BB$3)),(VLOOKUP('19.07'!N64,'19.07'!$AO$4:$AQ$55,2,FALSE))*IF('19.07'!$AK64="是",'19.07'!$BB$4,'19.07'!$BB$3))</f>
        <v>0</v>
      </c>
      <c r="G64" s="4">
        <f>IF(ISNUMBER(SEARCH("营",'19.07'!O64)),(-$Y64+50*IF('19.07'!$AK64="是",'19.07'!$BB$4,'19.07'!$BB$3)),(VLOOKUP('19.07'!O64,'19.07'!$AO$4:$AQ$55,2,FALSE))*IF('19.07'!$AK64="是",'19.07'!$BB$4,'19.07'!$BB$3))</f>
        <v>0</v>
      </c>
      <c r="H64" s="4">
        <f>IF(ISNUMBER(SEARCH("营",'19.07'!P64)),(-$Y64+50*IF('19.07'!$AK64="是",'19.07'!$BB$4,'19.07'!$BB$3)),(VLOOKUP('19.07'!P64,'19.07'!$AO$4:$AQ$55,2,FALSE))*IF('19.07'!$AK64="是",'19.07'!$BB$4,'19.07'!$BB$3))</f>
        <v>0</v>
      </c>
      <c r="I64" s="4">
        <f>IF(ISNUMBER(SEARCH("营",'19.07'!Q64)),(-$Y64+50*IF('19.07'!$AK64="是",'19.07'!$BB$4,'19.07'!$BB$3)),(VLOOKUP('19.07'!Q64,'19.07'!$AO$4:$AQ$55,2,FALSE))*IF('19.07'!$AK64="是",'19.07'!$BB$4,'19.07'!$BB$3))</f>
        <v>0</v>
      </c>
      <c r="J64" s="4">
        <f>IF(ISNUMBER(SEARCH("营",'19.07'!R64)),(-$Y64+50*IF('19.07'!$AK64="是",'19.07'!$BB$4,'19.07'!$BB$3)),(VLOOKUP('19.07'!R64,'19.07'!$AO$4:$AQ$55,2,FALSE))*IF('19.07'!$AK64="是",'19.07'!$BB$4,'19.07'!$BB$3))</f>
        <v>0</v>
      </c>
      <c r="K64" s="4">
        <f>IF(ISNUMBER(SEARCH("营",'19.07'!S64)),(-$Y64+50*IF('19.07'!$AK64="是",'19.07'!$BB$4,'19.07'!$BB$3)),(VLOOKUP('19.07'!S64,'19.07'!$AO$4:$AQ$55,2,FALSE))*IF('19.07'!$AK64="是",'19.07'!$BB$4,'19.07'!$BB$3))</f>
        <v>0</v>
      </c>
      <c r="L64" s="4">
        <f>IF(ISNUMBER(SEARCH("营",'19.07'!T64)),(-$Y64+50*IF('19.07'!$AK64="是",'19.07'!$BB$4,'19.07'!$BB$3)),(VLOOKUP('19.07'!T64,'19.07'!$AO$4:$AQ$55,2,FALSE))*IF('19.07'!$AK64="是",'19.07'!$BB$4,'19.07'!$BB$3))</f>
        <v>0</v>
      </c>
      <c r="M64" s="4">
        <f>IF(ISNUMBER(SEARCH("营",'19.07'!U64)),(-$Y64+50*IF('19.07'!$AK64="是",'19.07'!$BB$4,'19.07'!$BB$3)),(VLOOKUP('19.07'!U64,'19.07'!$AO$4:$AQ$55,2,FALSE))*IF('19.07'!$AK64="是",'19.07'!$BB$4,'19.07'!$BB$3))</f>
        <v>0</v>
      </c>
      <c r="N64" s="4">
        <f>IF(ISNUMBER(SEARCH("营",'19.07'!V64)),(-$Y64+50*IF('19.07'!$AK64="是",'19.07'!$BB$4,'19.07'!$BB$3)),(VLOOKUP('19.07'!V64,'19.07'!$AO$4:$AQ$55,2,FALSE))*IF('19.07'!$AK64="是",'19.07'!$BB$4,'19.07'!$BB$3))</f>
        <v>0</v>
      </c>
      <c r="O64" s="4">
        <f>IF(ISNUMBER(SEARCH("营",'19.07'!W64)),(-$Y64+50*IF('19.07'!$AK64="是",'19.07'!$BB$4,'19.07'!$BB$3)),(VLOOKUP('19.07'!W64,'19.07'!$AO$4:$AQ$55,2,FALSE))*IF('19.07'!$AK64="是",'19.07'!$BB$4,'19.07'!$BB$3))</f>
        <v>0</v>
      </c>
      <c r="P64" s="4">
        <f>IF(ISNUMBER(SEARCH("营",'19.07'!X64)),(-$Y64+50*IF('19.07'!$AK64="是",'19.07'!$BB$4,'19.07'!$BB$3)),(VLOOKUP('19.07'!X64,'19.07'!$AO$4:$AQ$55,2,FALSE))*IF('19.07'!$AK64="是",'19.07'!$BB$4,'19.07'!$BB$3))</f>
        <v>0</v>
      </c>
      <c r="Q64" s="4">
        <f>IF(ISNUMBER(SEARCH("营",'19.07'!Y64)),(-$Y64+50*IF('19.07'!$AK64="是",'19.07'!$BB$4,'19.07'!$BB$3)),(VLOOKUP('19.07'!Y64,'19.07'!$AO$4:$AQ$55,2,FALSE))*IF('19.07'!$AK64="是",'19.07'!$BB$4,'19.07'!$BB$3))</f>
        <v>0</v>
      </c>
      <c r="R64" s="4">
        <f>IF(ISNUMBER(SEARCH("营",'19.07'!Z64)),(-$Y64+50*IF('19.07'!$AK64="是",'19.07'!$BB$4,'19.07'!$BB$3)),(VLOOKUP('19.07'!Z64,'19.07'!$AO$4:$AQ$55,2,FALSE))*IF('19.07'!$AK64="是",'19.07'!$BB$4,'19.07'!$BB$3))</f>
        <v>0</v>
      </c>
      <c r="S64" s="4">
        <f>IF(ISNUMBER(SEARCH("营",'19.07'!AA64)),(-$Y64+50*IF('19.07'!$AK64="是",'19.07'!$BB$4,'19.07'!$BB$3)),(VLOOKUP('19.07'!AA64,'19.07'!$AO$4:$AQ$55,2,FALSE))*IF('19.07'!$AK64="是",'19.07'!$BB$4,'19.07'!$BB$3))</f>
        <v>0</v>
      </c>
      <c r="T64" s="4">
        <f>IF(ISNUMBER(SEARCH("营",'19.07'!AB64)),(-$Y64+50*IF('19.07'!$AK64="是",'19.07'!$BB$4,'19.07'!$BB$3)),(VLOOKUP('19.07'!AB64,'19.07'!$AO$4:$AQ$55,2,FALSE))*IF('19.07'!$AK64="是",'19.07'!$BB$4,'19.07'!$BB$3))</f>
        <v>0</v>
      </c>
      <c r="U64" s="4">
        <f>IF(ISNUMBER(SEARCH("营",'19.07'!AC64)),(-$Y64+50*IF('19.07'!$AK64="是",'19.07'!$BB$4,'19.07'!$BB$3)),(VLOOKUP('19.07'!AC64,'19.07'!$AO$4:$AQ$55,2,FALSE))*IF('19.07'!$AK64="是",'19.07'!$BB$4,'19.07'!$BB$3))</f>
        <v>0</v>
      </c>
      <c r="V64" s="4">
        <f>IF(ISNUMBER(SEARCH("营",'19.07'!AD64)),(-$Y64+50*IF('19.07'!$AK64="是",'19.07'!$BB$4,'19.07'!$BB$3)),(VLOOKUP('19.07'!AD64,'19.07'!$AO$4:$AQ$55,2,FALSE))*IF('19.07'!$AK64="是",'19.07'!$BB$4,'19.07'!$BB$3))</f>
        <v>0</v>
      </c>
      <c r="W64" s="4">
        <f>IF(ISNUMBER(SEARCH("营",'19.07'!AE64)),(-$Y64+50*IF('19.07'!$AK64="是",'19.07'!$BB$4,'19.07'!$BB$3)),(VLOOKUP('19.07'!AE64,'19.07'!$AO$4:$AQ$55,2,FALSE))*IF('19.07'!$AK64="是",'19.07'!$BB$4,'19.07'!$BB$3))</f>
        <v>0</v>
      </c>
      <c r="X64" s="4">
        <f>IF(ISNUMBER(SEARCH("营",'19.07'!AF64)),(-$Y64+50*IF('19.07'!$AK64="是",'19.07'!$BB$4,'19.07'!$BB$3)),(VLOOKUP('19.07'!AF64,'19.07'!$AO$4:$AQ$55,2,FALSE))*IF('19.07'!$AK64="是",'19.07'!$BB$4,'19.07'!$BB$3))</f>
        <v>0</v>
      </c>
      <c r="Y64" s="18">
        <v>100</v>
      </c>
      <c r="Z64" s="15">
        <v>45790</v>
      </c>
    </row>
    <row r="65" spans="1:26">
      <c r="A65" s="4">
        <f>IF(ISNUMBER(SEARCH("营",'19.07'!I65)),(-$Y65+50*IF('19.07'!$AK65="是",'19.07'!$BB$4,'19.07'!$BB$3)),(VLOOKUP('19.07'!I65,'19.07'!$AO$4:$AQ$55,2,FALSE))*IF('19.07'!$AK65="是",'19.07'!$BB$4,'19.07'!$BB$3))</f>
        <v>0</v>
      </c>
      <c r="B65" s="4">
        <f>IF(ISNUMBER(SEARCH("营",'19.07'!J65)),(-$Y65+50*IF('19.07'!$AK65="是",'19.07'!$BB$4,'19.07'!$BB$3)),(VLOOKUP('19.07'!J65,'19.07'!$AO$4:$AQ$55,2,FALSE))*IF('19.07'!$AK65="是",'19.07'!$BB$4,'19.07'!$BB$3))</f>
        <v>0</v>
      </c>
      <c r="C65" s="4">
        <f>IF(ISNUMBER(SEARCH("营",'19.07'!K65)),(-$Y65+50*IF('19.07'!$AK65="是",'19.07'!$BB$4,'19.07'!$BB$3)),(VLOOKUP('19.07'!K65,'19.07'!$AO$4:$AQ$55,2,FALSE))*IF('19.07'!$AK65="是",'19.07'!$BB$4,'19.07'!$BB$3))</f>
        <v>0</v>
      </c>
      <c r="D65" s="4">
        <f>IF(ISNUMBER(SEARCH("营",'19.07'!L65)),(-$Y65+50*IF('19.07'!$AK65="是",'19.07'!$BB$4,'19.07'!$BB$3)),(VLOOKUP('19.07'!L65,'19.07'!$AO$4:$AQ$55,2,FALSE))*IF('19.07'!$AK65="是",'19.07'!$BB$4,'19.07'!$BB$3))</f>
        <v>0</v>
      </c>
      <c r="E65" s="4">
        <f>IF(ISNUMBER(SEARCH("营",'19.07'!M65)),(-$Y65+50*IF('19.07'!$AK65="是",'19.07'!$BB$4,'19.07'!$BB$3)),(VLOOKUP('19.07'!M65,'19.07'!$AO$4:$AQ$55,2,FALSE))*IF('19.07'!$AK65="是",'19.07'!$BB$4,'19.07'!$BB$3))</f>
        <v>0</v>
      </c>
      <c r="F65" s="4">
        <f>IF(ISNUMBER(SEARCH("营",'19.07'!N65)),(-$Y65+50*IF('19.07'!$AK65="是",'19.07'!$BB$4,'19.07'!$BB$3)),(VLOOKUP('19.07'!N65,'19.07'!$AO$4:$AQ$55,2,FALSE))*IF('19.07'!$AK65="是",'19.07'!$BB$4,'19.07'!$BB$3))</f>
        <v>0</v>
      </c>
      <c r="G65" s="4">
        <f>IF(ISNUMBER(SEARCH("营",'19.07'!O65)),(-$Y65+50*IF('19.07'!$AK65="是",'19.07'!$BB$4,'19.07'!$BB$3)),(VLOOKUP('19.07'!O65,'19.07'!$AO$4:$AQ$55,2,FALSE))*IF('19.07'!$AK65="是",'19.07'!$BB$4,'19.07'!$BB$3))</f>
        <v>0</v>
      </c>
      <c r="H65" s="4">
        <f>IF(ISNUMBER(SEARCH("营",'19.07'!P65)),(-$Y65+50*IF('19.07'!$AK65="是",'19.07'!$BB$4,'19.07'!$BB$3)),(VLOOKUP('19.07'!P65,'19.07'!$AO$4:$AQ$55,2,FALSE))*IF('19.07'!$AK65="是",'19.07'!$BB$4,'19.07'!$BB$3))</f>
        <v>0</v>
      </c>
      <c r="I65" s="4">
        <f>IF(ISNUMBER(SEARCH("营",'19.07'!Q65)),(-$Y65+50*IF('19.07'!$AK65="是",'19.07'!$BB$4,'19.07'!$BB$3)),(VLOOKUP('19.07'!Q65,'19.07'!$AO$4:$AQ$55,2,FALSE))*IF('19.07'!$AK65="是",'19.07'!$BB$4,'19.07'!$BB$3))</f>
        <v>0</v>
      </c>
      <c r="J65" s="4">
        <f>IF(ISNUMBER(SEARCH("营",'19.07'!R65)),(-$Y65+50*IF('19.07'!$AK65="是",'19.07'!$BB$4,'19.07'!$BB$3)),(VLOOKUP('19.07'!R65,'19.07'!$AO$4:$AQ$55,2,FALSE))*IF('19.07'!$AK65="是",'19.07'!$BB$4,'19.07'!$BB$3))</f>
        <v>0</v>
      </c>
      <c r="K65" s="4">
        <f>IF(ISNUMBER(SEARCH("营",'19.07'!S65)),(-$Y65+50*IF('19.07'!$AK65="是",'19.07'!$BB$4,'19.07'!$BB$3)),(VLOOKUP('19.07'!S65,'19.07'!$AO$4:$AQ$55,2,FALSE))*IF('19.07'!$AK65="是",'19.07'!$BB$4,'19.07'!$BB$3))</f>
        <v>0</v>
      </c>
      <c r="L65" s="4">
        <f>IF(ISNUMBER(SEARCH("营",'19.07'!T65)),(-$Y65+50*IF('19.07'!$AK65="是",'19.07'!$BB$4,'19.07'!$BB$3)),(VLOOKUP('19.07'!T65,'19.07'!$AO$4:$AQ$55,2,FALSE))*IF('19.07'!$AK65="是",'19.07'!$BB$4,'19.07'!$BB$3))</f>
        <v>0</v>
      </c>
      <c r="M65" s="4">
        <f>IF(ISNUMBER(SEARCH("营",'19.07'!U65)),(-$Y65+50*IF('19.07'!$AK65="是",'19.07'!$BB$4,'19.07'!$BB$3)),(VLOOKUP('19.07'!U65,'19.07'!$AO$4:$AQ$55,2,FALSE))*IF('19.07'!$AK65="是",'19.07'!$BB$4,'19.07'!$BB$3))</f>
        <v>0</v>
      </c>
      <c r="N65" s="4">
        <f>IF(ISNUMBER(SEARCH("营",'19.07'!V65)),(-$Y65+50*IF('19.07'!$AK65="是",'19.07'!$BB$4,'19.07'!$BB$3)),(VLOOKUP('19.07'!V65,'19.07'!$AO$4:$AQ$55,2,FALSE))*IF('19.07'!$AK65="是",'19.07'!$BB$4,'19.07'!$BB$3))</f>
        <v>0</v>
      </c>
      <c r="O65" s="4">
        <f>IF(ISNUMBER(SEARCH("营",'19.07'!W65)),(-$Y65+50*IF('19.07'!$AK65="是",'19.07'!$BB$4,'19.07'!$BB$3)),(VLOOKUP('19.07'!W65,'19.07'!$AO$4:$AQ$55,2,FALSE))*IF('19.07'!$AK65="是",'19.07'!$BB$4,'19.07'!$BB$3))</f>
        <v>0</v>
      </c>
      <c r="P65" s="4">
        <f>IF(ISNUMBER(SEARCH("营",'19.07'!X65)),(-$Y65+50*IF('19.07'!$AK65="是",'19.07'!$BB$4,'19.07'!$BB$3)),(VLOOKUP('19.07'!X65,'19.07'!$AO$4:$AQ$55,2,FALSE))*IF('19.07'!$AK65="是",'19.07'!$BB$4,'19.07'!$BB$3))</f>
        <v>0</v>
      </c>
      <c r="Q65" s="4">
        <f>IF(ISNUMBER(SEARCH("营",'19.07'!Y65)),(-$Y65+50*IF('19.07'!$AK65="是",'19.07'!$BB$4,'19.07'!$BB$3)),(VLOOKUP('19.07'!Y65,'19.07'!$AO$4:$AQ$55,2,FALSE))*IF('19.07'!$AK65="是",'19.07'!$BB$4,'19.07'!$BB$3))</f>
        <v>0</v>
      </c>
      <c r="R65" s="4">
        <f>IF(ISNUMBER(SEARCH("营",'19.07'!Z65)),(-$Y65+50*IF('19.07'!$AK65="是",'19.07'!$BB$4,'19.07'!$BB$3)),(VLOOKUP('19.07'!Z65,'19.07'!$AO$4:$AQ$55,2,FALSE))*IF('19.07'!$AK65="是",'19.07'!$BB$4,'19.07'!$BB$3))</f>
        <v>0</v>
      </c>
      <c r="S65" s="4">
        <f>IF(ISNUMBER(SEARCH("营",'19.07'!AA65)),(-$Y65+50*IF('19.07'!$AK65="是",'19.07'!$BB$4,'19.07'!$BB$3)),(VLOOKUP('19.07'!AA65,'19.07'!$AO$4:$AQ$55,2,FALSE))*IF('19.07'!$AK65="是",'19.07'!$BB$4,'19.07'!$BB$3))</f>
        <v>0</v>
      </c>
      <c r="T65" s="4">
        <f>IF(ISNUMBER(SEARCH("营",'19.07'!AB65)),(-$Y65+50*IF('19.07'!$AK65="是",'19.07'!$BB$4,'19.07'!$BB$3)),(VLOOKUP('19.07'!AB65,'19.07'!$AO$4:$AQ$55,2,FALSE))*IF('19.07'!$AK65="是",'19.07'!$BB$4,'19.07'!$BB$3))</f>
        <v>0</v>
      </c>
      <c r="U65" s="4">
        <f>IF(ISNUMBER(SEARCH("营",'19.07'!AC65)),(-$Y65+50*IF('19.07'!$AK65="是",'19.07'!$BB$4,'19.07'!$BB$3)),(VLOOKUP('19.07'!AC65,'19.07'!$AO$4:$AQ$55,2,FALSE))*IF('19.07'!$AK65="是",'19.07'!$BB$4,'19.07'!$BB$3))</f>
        <v>0</v>
      </c>
      <c r="V65" s="4">
        <f>IF(ISNUMBER(SEARCH("营",'19.07'!AD65)),(-$Y65+50*IF('19.07'!$AK65="是",'19.07'!$BB$4,'19.07'!$BB$3)),(VLOOKUP('19.07'!AD65,'19.07'!$AO$4:$AQ$55,2,FALSE))*IF('19.07'!$AK65="是",'19.07'!$BB$4,'19.07'!$BB$3))</f>
        <v>0</v>
      </c>
      <c r="W65" s="4">
        <f>IF(ISNUMBER(SEARCH("营",'19.07'!AE65)),(-$Y65+50*IF('19.07'!$AK65="是",'19.07'!$BB$4,'19.07'!$BB$3)),(VLOOKUP('19.07'!AE65,'19.07'!$AO$4:$AQ$55,2,FALSE))*IF('19.07'!$AK65="是",'19.07'!$BB$4,'19.07'!$BB$3))</f>
        <v>0</v>
      </c>
      <c r="X65" s="4">
        <f>IF(ISNUMBER(SEARCH("营",'19.07'!AF65)),(-$Y65+50*IF('19.07'!$AK65="是",'19.07'!$BB$4,'19.07'!$BB$3)),(VLOOKUP('19.07'!AF65,'19.07'!$AO$4:$AQ$55,2,FALSE))*IF('19.07'!$AK65="是",'19.07'!$BB$4,'19.07'!$BB$3))</f>
        <v>0</v>
      </c>
      <c r="Y65" s="18">
        <v>100</v>
      </c>
      <c r="Z65" s="15">
        <v>45791</v>
      </c>
    </row>
    <row r="66" spans="1:26">
      <c r="A66" s="4">
        <f>IF(ISNUMBER(SEARCH("营",'19.07'!I66)),(-$Y66+50*IF('19.07'!$AK66="是",'19.07'!$BB$4,'19.07'!$BB$3)),(VLOOKUP('19.07'!I66,'19.07'!$AO$4:$AQ$55,2,FALSE))*IF('19.07'!$AK66="是",'19.07'!$BB$4,'19.07'!$BB$3))</f>
        <v>0</v>
      </c>
      <c r="B66" s="4">
        <f>IF(ISNUMBER(SEARCH("营",'19.07'!J66)),(-$Y66+50*IF('19.07'!$AK66="是",'19.07'!$BB$4,'19.07'!$BB$3)),(VLOOKUP('19.07'!J66,'19.07'!$AO$4:$AQ$55,2,FALSE))*IF('19.07'!$AK66="是",'19.07'!$BB$4,'19.07'!$BB$3))</f>
        <v>0</v>
      </c>
      <c r="C66" s="4">
        <f>IF(ISNUMBER(SEARCH("营",'19.07'!K66)),(-$Y66+50*IF('19.07'!$AK66="是",'19.07'!$BB$4,'19.07'!$BB$3)),(VLOOKUP('19.07'!K66,'19.07'!$AO$4:$AQ$55,2,FALSE))*IF('19.07'!$AK66="是",'19.07'!$BB$4,'19.07'!$BB$3))</f>
        <v>0</v>
      </c>
      <c r="D66" s="4">
        <f>IF(ISNUMBER(SEARCH("营",'19.07'!L66)),(-$Y66+50*IF('19.07'!$AK66="是",'19.07'!$BB$4,'19.07'!$BB$3)),(VLOOKUP('19.07'!L66,'19.07'!$AO$4:$AQ$55,2,FALSE))*IF('19.07'!$AK66="是",'19.07'!$BB$4,'19.07'!$BB$3))</f>
        <v>0</v>
      </c>
      <c r="E66" s="4">
        <f>IF(ISNUMBER(SEARCH("营",'19.07'!M66)),(-$Y66+50*IF('19.07'!$AK66="是",'19.07'!$BB$4,'19.07'!$BB$3)),(VLOOKUP('19.07'!M66,'19.07'!$AO$4:$AQ$55,2,FALSE))*IF('19.07'!$AK66="是",'19.07'!$BB$4,'19.07'!$BB$3))</f>
        <v>0</v>
      </c>
      <c r="F66" s="4">
        <f>IF(ISNUMBER(SEARCH("营",'19.07'!N66)),(-$Y66+50*IF('19.07'!$AK66="是",'19.07'!$BB$4,'19.07'!$BB$3)),(VLOOKUP('19.07'!N66,'19.07'!$AO$4:$AQ$55,2,FALSE))*IF('19.07'!$AK66="是",'19.07'!$BB$4,'19.07'!$BB$3))</f>
        <v>0</v>
      </c>
      <c r="G66" s="4">
        <f>IF(ISNUMBER(SEARCH("营",'19.07'!O66)),(-$Y66+50*IF('19.07'!$AK66="是",'19.07'!$BB$4,'19.07'!$BB$3)),(VLOOKUP('19.07'!O66,'19.07'!$AO$4:$AQ$55,2,FALSE))*IF('19.07'!$AK66="是",'19.07'!$BB$4,'19.07'!$BB$3))</f>
        <v>0</v>
      </c>
      <c r="H66" s="4">
        <f>IF(ISNUMBER(SEARCH("营",'19.07'!P66)),(-$Y66+50*IF('19.07'!$AK66="是",'19.07'!$BB$4,'19.07'!$BB$3)),(VLOOKUP('19.07'!P66,'19.07'!$AO$4:$AQ$55,2,FALSE))*IF('19.07'!$AK66="是",'19.07'!$BB$4,'19.07'!$BB$3))</f>
        <v>0</v>
      </c>
      <c r="I66" s="4">
        <f>IF(ISNUMBER(SEARCH("营",'19.07'!Q66)),(-$Y66+50*IF('19.07'!$AK66="是",'19.07'!$BB$4,'19.07'!$BB$3)),(VLOOKUP('19.07'!Q66,'19.07'!$AO$4:$AQ$55,2,FALSE))*IF('19.07'!$AK66="是",'19.07'!$BB$4,'19.07'!$BB$3))</f>
        <v>0</v>
      </c>
      <c r="J66" s="4">
        <f>IF(ISNUMBER(SEARCH("营",'19.07'!R66)),(-$Y66+50*IF('19.07'!$AK66="是",'19.07'!$BB$4,'19.07'!$BB$3)),(VLOOKUP('19.07'!R66,'19.07'!$AO$4:$AQ$55,2,FALSE))*IF('19.07'!$AK66="是",'19.07'!$BB$4,'19.07'!$BB$3))</f>
        <v>0</v>
      </c>
      <c r="K66" s="4">
        <f>IF(ISNUMBER(SEARCH("营",'19.07'!S66)),(-$Y66+50*IF('19.07'!$AK66="是",'19.07'!$BB$4,'19.07'!$BB$3)),(VLOOKUP('19.07'!S66,'19.07'!$AO$4:$AQ$55,2,FALSE))*IF('19.07'!$AK66="是",'19.07'!$BB$4,'19.07'!$BB$3))</f>
        <v>0</v>
      </c>
      <c r="L66" s="4">
        <f>IF(ISNUMBER(SEARCH("营",'19.07'!T66)),(-$Y66+50*IF('19.07'!$AK66="是",'19.07'!$BB$4,'19.07'!$BB$3)),(VLOOKUP('19.07'!T66,'19.07'!$AO$4:$AQ$55,2,FALSE))*IF('19.07'!$AK66="是",'19.07'!$BB$4,'19.07'!$BB$3))</f>
        <v>0</v>
      </c>
      <c r="M66" s="4">
        <f>IF(ISNUMBER(SEARCH("营",'19.07'!U66)),(-$Y66+50*IF('19.07'!$AK66="是",'19.07'!$BB$4,'19.07'!$BB$3)),(VLOOKUP('19.07'!U66,'19.07'!$AO$4:$AQ$55,2,FALSE))*IF('19.07'!$AK66="是",'19.07'!$BB$4,'19.07'!$BB$3))</f>
        <v>0</v>
      </c>
      <c r="N66" s="4">
        <f>IF(ISNUMBER(SEARCH("营",'19.07'!V66)),(-$Y66+50*IF('19.07'!$AK66="是",'19.07'!$BB$4,'19.07'!$BB$3)),(VLOOKUP('19.07'!V66,'19.07'!$AO$4:$AQ$55,2,FALSE))*IF('19.07'!$AK66="是",'19.07'!$BB$4,'19.07'!$BB$3))</f>
        <v>0</v>
      </c>
      <c r="O66" s="4">
        <f>IF(ISNUMBER(SEARCH("营",'19.07'!W66)),(-$Y66+50*IF('19.07'!$AK66="是",'19.07'!$BB$4,'19.07'!$BB$3)),(VLOOKUP('19.07'!W66,'19.07'!$AO$4:$AQ$55,2,FALSE))*IF('19.07'!$AK66="是",'19.07'!$BB$4,'19.07'!$BB$3))</f>
        <v>0</v>
      </c>
      <c r="P66" s="4">
        <f>IF(ISNUMBER(SEARCH("营",'19.07'!X66)),(-$Y66+50*IF('19.07'!$AK66="是",'19.07'!$BB$4,'19.07'!$BB$3)),(VLOOKUP('19.07'!X66,'19.07'!$AO$4:$AQ$55,2,FALSE))*IF('19.07'!$AK66="是",'19.07'!$BB$4,'19.07'!$BB$3))</f>
        <v>0</v>
      </c>
      <c r="Q66" s="4">
        <f>IF(ISNUMBER(SEARCH("营",'19.07'!Y66)),(-$Y66+50*IF('19.07'!$AK66="是",'19.07'!$BB$4,'19.07'!$BB$3)),(VLOOKUP('19.07'!Y66,'19.07'!$AO$4:$AQ$55,2,FALSE))*IF('19.07'!$AK66="是",'19.07'!$BB$4,'19.07'!$BB$3))</f>
        <v>0</v>
      </c>
      <c r="R66" s="4">
        <f>IF(ISNUMBER(SEARCH("营",'19.07'!Z66)),(-$Y66+50*IF('19.07'!$AK66="是",'19.07'!$BB$4,'19.07'!$BB$3)),(VLOOKUP('19.07'!Z66,'19.07'!$AO$4:$AQ$55,2,FALSE))*IF('19.07'!$AK66="是",'19.07'!$BB$4,'19.07'!$BB$3))</f>
        <v>0</v>
      </c>
      <c r="S66" s="4">
        <f>IF(ISNUMBER(SEARCH("营",'19.07'!AA66)),(-$Y66+50*IF('19.07'!$AK66="是",'19.07'!$BB$4,'19.07'!$BB$3)),(VLOOKUP('19.07'!AA66,'19.07'!$AO$4:$AQ$55,2,FALSE))*IF('19.07'!$AK66="是",'19.07'!$BB$4,'19.07'!$BB$3))</f>
        <v>0</v>
      </c>
      <c r="T66" s="4">
        <f>IF(ISNUMBER(SEARCH("营",'19.07'!AB66)),(-$Y66+50*IF('19.07'!$AK66="是",'19.07'!$BB$4,'19.07'!$BB$3)),(VLOOKUP('19.07'!AB66,'19.07'!$AO$4:$AQ$55,2,FALSE))*IF('19.07'!$AK66="是",'19.07'!$BB$4,'19.07'!$BB$3))</f>
        <v>0</v>
      </c>
      <c r="U66" s="4">
        <f>IF(ISNUMBER(SEARCH("营",'19.07'!AC66)),(-$Y66+50*IF('19.07'!$AK66="是",'19.07'!$BB$4,'19.07'!$BB$3)),(VLOOKUP('19.07'!AC66,'19.07'!$AO$4:$AQ$55,2,FALSE))*IF('19.07'!$AK66="是",'19.07'!$BB$4,'19.07'!$BB$3))</f>
        <v>0</v>
      </c>
      <c r="V66" s="4">
        <f>IF(ISNUMBER(SEARCH("营",'19.07'!AD66)),(-$Y66+50*IF('19.07'!$AK66="是",'19.07'!$BB$4,'19.07'!$BB$3)),(VLOOKUP('19.07'!AD66,'19.07'!$AO$4:$AQ$55,2,FALSE))*IF('19.07'!$AK66="是",'19.07'!$BB$4,'19.07'!$BB$3))</f>
        <v>0</v>
      </c>
      <c r="W66" s="4">
        <f>IF(ISNUMBER(SEARCH("营",'19.07'!AE66)),(-$Y66+50*IF('19.07'!$AK66="是",'19.07'!$BB$4,'19.07'!$BB$3)),(VLOOKUP('19.07'!AE66,'19.07'!$AO$4:$AQ$55,2,FALSE))*IF('19.07'!$AK66="是",'19.07'!$BB$4,'19.07'!$BB$3))</f>
        <v>0</v>
      </c>
      <c r="X66" s="4">
        <f>IF(ISNUMBER(SEARCH("营",'19.07'!AF66)),(-$Y66+50*IF('19.07'!$AK66="是",'19.07'!$BB$4,'19.07'!$BB$3)),(VLOOKUP('19.07'!AF66,'19.07'!$AO$4:$AQ$55,2,FALSE))*IF('19.07'!$AK66="是",'19.07'!$BB$4,'19.07'!$BB$3))</f>
        <v>0</v>
      </c>
      <c r="Y66" s="18">
        <v>100</v>
      </c>
      <c r="Z66" s="15">
        <v>45792</v>
      </c>
    </row>
    <row r="67" spans="1:26">
      <c r="A67" s="4">
        <f>IF(ISNUMBER(SEARCH("营",'19.07'!I67)),(-$Y67+50*IF('19.07'!$AK67="是",'19.07'!$BB$4,'19.07'!$BB$3)),(VLOOKUP('19.07'!I67,'19.07'!$AO$4:$AQ$55,2,FALSE))*IF('19.07'!$AK67="是",'19.07'!$BB$4,'19.07'!$BB$3))</f>
        <v>0</v>
      </c>
      <c r="B67" s="4">
        <f>IF(ISNUMBER(SEARCH("营",'19.07'!J67)),(-$Y67+50*IF('19.07'!$AK67="是",'19.07'!$BB$4,'19.07'!$BB$3)),(VLOOKUP('19.07'!J67,'19.07'!$AO$4:$AQ$55,2,FALSE))*IF('19.07'!$AK67="是",'19.07'!$BB$4,'19.07'!$BB$3))</f>
        <v>0</v>
      </c>
      <c r="C67" s="4">
        <f>IF(ISNUMBER(SEARCH("营",'19.07'!K67)),(-$Y67+50*IF('19.07'!$AK67="是",'19.07'!$BB$4,'19.07'!$BB$3)),(VLOOKUP('19.07'!K67,'19.07'!$AO$4:$AQ$55,2,FALSE))*IF('19.07'!$AK67="是",'19.07'!$BB$4,'19.07'!$BB$3))</f>
        <v>0</v>
      </c>
      <c r="D67" s="4">
        <f>IF(ISNUMBER(SEARCH("营",'19.07'!L67)),(-$Y67+50*IF('19.07'!$AK67="是",'19.07'!$BB$4,'19.07'!$BB$3)),(VLOOKUP('19.07'!L67,'19.07'!$AO$4:$AQ$55,2,FALSE))*IF('19.07'!$AK67="是",'19.07'!$BB$4,'19.07'!$BB$3))</f>
        <v>0</v>
      </c>
      <c r="E67" s="4">
        <f>IF(ISNUMBER(SEARCH("营",'19.07'!M67)),(-$Y67+50*IF('19.07'!$AK67="是",'19.07'!$BB$4,'19.07'!$BB$3)),(VLOOKUP('19.07'!M67,'19.07'!$AO$4:$AQ$55,2,FALSE))*IF('19.07'!$AK67="是",'19.07'!$BB$4,'19.07'!$BB$3))</f>
        <v>0</v>
      </c>
      <c r="F67" s="4">
        <f>IF(ISNUMBER(SEARCH("营",'19.07'!N67)),(-$Y67+50*IF('19.07'!$AK67="是",'19.07'!$BB$4,'19.07'!$BB$3)),(VLOOKUP('19.07'!N67,'19.07'!$AO$4:$AQ$55,2,FALSE))*IF('19.07'!$AK67="是",'19.07'!$BB$4,'19.07'!$BB$3))</f>
        <v>0</v>
      </c>
      <c r="G67" s="4">
        <f>IF(ISNUMBER(SEARCH("营",'19.07'!O67)),(-$Y67+50*IF('19.07'!$AK67="是",'19.07'!$BB$4,'19.07'!$BB$3)),(VLOOKUP('19.07'!O67,'19.07'!$AO$4:$AQ$55,2,FALSE))*IF('19.07'!$AK67="是",'19.07'!$BB$4,'19.07'!$BB$3))</f>
        <v>0</v>
      </c>
      <c r="H67" s="4">
        <f>IF(ISNUMBER(SEARCH("营",'19.07'!P67)),(-$Y67+50*IF('19.07'!$AK67="是",'19.07'!$BB$4,'19.07'!$BB$3)),(VLOOKUP('19.07'!P67,'19.07'!$AO$4:$AQ$55,2,FALSE))*IF('19.07'!$AK67="是",'19.07'!$BB$4,'19.07'!$BB$3))</f>
        <v>0</v>
      </c>
      <c r="I67" s="4">
        <f>IF(ISNUMBER(SEARCH("营",'19.07'!Q67)),(-$Y67+50*IF('19.07'!$AK67="是",'19.07'!$BB$4,'19.07'!$BB$3)),(VLOOKUP('19.07'!Q67,'19.07'!$AO$4:$AQ$55,2,FALSE))*IF('19.07'!$AK67="是",'19.07'!$BB$4,'19.07'!$BB$3))</f>
        <v>0</v>
      </c>
      <c r="J67" s="4">
        <f>IF(ISNUMBER(SEARCH("营",'19.07'!R67)),(-$Y67+50*IF('19.07'!$AK67="是",'19.07'!$BB$4,'19.07'!$BB$3)),(VLOOKUP('19.07'!R67,'19.07'!$AO$4:$AQ$55,2,FALSE))*IF('19.07'!$AK67="是",'19.07'!$BB$4,'19.07'!$BB$3))</f>
        <v>0</v>
      </c>
      <c r="K67" s="4">
        <f>IF(ISNUMBER(SEARCH("营",'19.07'!S67)),(-$Y67+50*IF('19.07'!$AK67="是",'19.07'!$BB$4,'19.07'!$BB$3)),(VLOOKUP('19.07'!S67,'19.07'!$AO$4:$AQ$55,2,FALSE))*IF('19.07'!$AK67="是",'19.07'!$BB$4,'19.07'!$BB$3))</f>
        <v>0</v>
      </c>
      <c r="L67" s="4">
        <f>IF(ISNUMBER(SEARCH("营",'19.07'!T67)),(-$Y67+50*IF('19.07'!$AK67="是",'19.07'!$BB$4,'19.07'!$BB$3)),(VLOOKUP('19.07'!T67,'19.07'!$AO$4:$AQ$55,2,FALSE))*IF('19.07'!$AK67="是",'19.07'!$BB$4,'19.07'!$BB$3))</f>
        <v>0</v>
      </c>
      <c r="M67" s="4">
        <f>IF(ISNUMBER(SEARCH("营",'19.07'!U67)),(-$Y67+50*IF('19.07'!$AK67="是",'19.07'!$BB$4,'19.07'!$BB$3)),(VLOOKUP('19.07'!U67,'19.07'!$AO$4:$AQ$55,2,FALSE))*IF('19.07'!$AK67="是",'19.07'!$BB$4,'19.07'!$BB$3))</f>
        <v>0</v>
      </c>
      <c r="N67" s="4">
        <f>IF(ISNUMBER(SEARCH("营",'19.07'!V67)),(-$Y67+50*IF('19.07'!$AK67="是",'19.07'!$BB$4,'19.07'!$BB$3)),(VLOOKUP('19.07'!V67,'19.07'!$AO$4:$AQ$55,2,FALSE))*IF('19.07'!$AK67="是",'19.07'!$BB$4,'19.07'!$BB$3))</f>
        <v>0</v>
      </c>
      <c r="O67" s="4">
        <f>IF(ISNUMBER(SEARCH("营",'19.07'!W67)),(-$Y67+50*IF('19.07'!$AK67="是",'19.07'!$BB$4,'19.07'!$BB$3)),(VLOOKUP('19.07'!W67,'19.07'!$AO$4:$AQ$55,2,FALSE))*IF('19.07'!$AK67="是",'19.07'!$BB$4,'19.07'!$BB$3))</f>
        <v>0</v>
      </c>
      <c r="P67" s="4">
        <f>IF(ISNUMBER(SEARCH("营",'19.07'!X67)),(-$Y67+50*IF('19.07'!$AK67="是",'19.07'!$BB$4,'19.07'!$BB$3)),(VLOOKUP('19.07'!X67,'19.07'!$AO$4:$AQ$55,2,FALSE))*IF('19.07'!$AK67="是",'19.07'!$BB$4,'19.07'!$BB$3))</f>
        <v>0</v>
      </c>
      <c r="Q67" s="4">
        <f>IF(ISNUMBER(SEARCH("营",'19.07'!Y67)),(-$Y67+50*IF('19.07'!$AK67="是",'19.07'!$BB$4,'19.07'!$BB$3)),(VLOOKUP('19.07'!Y67,'19.07'!$AO$4:$AQ$55,2,FALSE))*IF('19.07'!$AK67="是",'19.07'!$BB$4,'19.07'!$BB$3))</f>
        <v>0</v>
      </c>
      <c r="R67" s="4">
        <f>IF(ISNUMBER(SEARCH("营",'19.07'!Z67)),(-$Y67+50*IF('19.07'!$AK67="是",'19.07'!$BB$4,'19.07'!$BB$3)),(VLOOKUP('19.07'!Z67,'19.07'!$AO$4:$AQ$55,2,FALSE))*IF('19.07'!$AK67="是",'19.07'!$BB$4,'19.07'!$BB$3))</f>
        <v>0</v>
      </c>
      <c r="S67" s="4">
        <f>IF(ISNUMBER(SEARCH("营",'19.07'!AA67)),(-$Y67+50*IF('19.07'!$AK67="是",'19.07'!$BB$4,'19.07'!$BB$3)),(VLOOKUP('19.07'!AA67,'19.07'!$AO$4:$AQ$55,2,FALSE))*IF('19.07'!$AK67="是",'19.07'!$BB$4,'19.07'!$BB$3))</f>
        <v>0</v>
      </c>
      <c r="T67" s="4">
        <f>IF(ISNUMBER(SEARCH("营",'19.07'!AB67)),(-$Y67+50*IF('19.07'!$AK67="是",'19.07'!$BB$4,'19.07'!$BB$3)),(VLOOKUP('19.07'!AB67,'19.07'!$AO$4:$AQ$55,2,FALSE))*IF('19.07'!$AK67="是",'19.07'!$BB$4,'19.07'!$BB$3))</f>
        <v>0</v>
      </c>
      <c r="U67" s="4">
        <f>IF(ISNUMBER(SEARCH("营",'19.07'!AC67)),(-$Y67+50*IF('19.07'!$AK67="是",'19.07'!$BB$4,'19.07'!$BB$3)),(VLOOKUP('19.07'!AC67,'19.07'!$AO$4:$AQ$55,2,FALSE))*IF('19.07'!$AK67="是",'19.07'!$BB$4,'19.07'!$BB$3))</f>
        <v>0</v>
      </c>
      <c r="V67" s="4">
        <f>IF(ISNUMBER(SEARCH("营",'19.07'!AD67)),(-$Y67+50*IF('19.07'!$AK67="是",'19.07'!$BB$4,'19.07'!$BB$3)),(VLOOKUP('19.07'!AD67,'19.07'!$AO$4:$AQ$55,2,FALSE))*IF('19.07'!$AK67="是",'19.07'!$BB$4,'19.07'!$BB$3))</f>
        <v>0</v>
      </c>
      <c r="W67" s="4">
        <f>IF(ISNUMBER(SEARCH("营",'19.07'!AE67)),(-$Y67+50*IF('19.07'!$AK67="是",'19.07'!$BB$4,'19.07'!$BB$3)),(VLOOKUP('19.07'!AE67,'19.07'!$AO$4:$AQ$55,2,FALSE))*IF('19.07'!$AK67="是",'19.07'!$BB$4,'19.07'!$BB$3))</f>
        <v>0</v>
      </c>
      <c r="X67" s="4">
        <f>IF(ISNUMBER(SEARCH("营",'19.07'!AF67)),(-$Y67+50*IF('19.07'!$AK67="是",'19.07'!$BB$4,'19.07'!$BB$3)),(VLOOKUP('19.07'!AF67,'19.07'!$AO$4:$AQ$55,2,FALSE))*IF('19.07'!$AK67="是",'19.07'!$BB$4,'19.07'!$BB$3))</f>
        <v>0</v>
      </c>
      <c r="Y67" s="18">
        <v>100</v>
      </c>
      <c r="Z67" s="15">
        <v>45793</v>
      </c>
    </row>
    <row r="68" spans="1:26">
      <c r="A68" s="4">
        <f>IF(ISNUMBER(SEARCH("营",'19.07'!I68)),(-$Y68+50*IF('19.07'!$AK68="是",'19.07'!$BB$4,'19.07'!$BB$3)),(VLOOKUP('19.07'!I68,'19.07'!$AO$4:$AQ$55,2,FALSE))*IF('19.07'!$AK68="是",'19.07'!$BB$4,'19.07'!$BB$3))</f>
        <v>0</v>
      </c>
      <c r="B68" s="4">
        <f>IF(ISNUMBER(SEARCH("营",'19.07'!J68)),(-$Y68+50*IF('19.07'!$AK68="是",'19.07'!$BB$4,'19.07'!$BB$3)),(VLOOKUP('19.07'!J68,'19.07'!$AO$4:$AQ$55,2,FALSE))*IF('19.07'!$AK68="是",'19.07'!$BB$4,'19.07'!$BB$3))</f>
        <v>0</v>
      </c>
      <c r="C68" s="4">
        <f>IF(ISNUMBER(SEARCH("营",'19.07'!K68)),(-$Y68+50*IF('19.07'!$AK68="是",'19.07'!$BB$4,'19.07'!$BB$3)),(VLOOKUP('19.07'!K68,'19.07'!$AO$4:$AQ$55,2,FALSE))*IF('19.07'!$AK68="是",'19.07'!$BB$4,'19.07'!$BB$3))</f>
        <v>0</v>
      </c>
      <c r="D68" s="4">
        <f>IF(ISNUMBER(SEARCH("营",'19.07'!L68)),(-$Y68+50*IF('19.07'!$AK68="是",'19.07'!$BB$4,'19.07'!$BB$3)),(VLOOKUP('19.07'!L68,'19.07'!$AO$4:$AQ$55,2,FALSE))*IF('19.07'!$AK68="是",'19.07'!$BB$4,'19.07'!$BB$3))</f>
        <v>0</v>
      </c>
      <c r="E68" s="4">
        <f>IF(ISNUMBER(SEARCH("营",'19.07'!M68)),(-$Y68+50*IF('19.07'!$AK68="是",'19.07'!$BB$4,'19.07'!$BB$3)),(VLOOKUP('19.07'!M68,'19.07'!$AO$4:$AQ$55,2,FALSE))*IF('19.07'!$AK68="是",'19.07'!$BB$4,'19.07'!$BB$3))</f>
        <v>0</v>
      </c>
      <c r="F68" s="4">
        <f>IF(ISNUMBER(SEARCH("营",'19.07'!N68)),(-$Y68+50*IF('19.07'!$AK68="是",'19.07'!$BB$4,'19.07'!$BB$3)),(VLOOKUP('19.07'!N68,'19.07'!$AO$4:$AQ$55,2,FALSE))*IF('19.07'!$AK68="是",'19.07'!$BB$4,'19.07'!$BB$3))</f>
        <v>0</v>
      </c>
      <c r="G68" s="4">
        <f>IF(ISNUMBER(SEARCH("营",'19.07'!O68)),(-$Y68+50*IF('19.07'!$AK68="是",'19.07'!$BB$4,'19.07'!$BB$3)),(VLOOKUP('19.07'!O68,'19.07'!$AO$4:$AQ$55,2,FALSE))*IF('19.07'!$AK68="是",'19.07'!$BB$4,'19.07'!$BB$3))</f>
        <v>0</v>
      </c>
      <c r="H68" s="4">
        <f>IF(ISNUMBER(SEARCH("营",'19.07'!P68)),(-$Y68+50*IF('19.07'!$AK68="是",'19.07'!$BB$4,'19.07'!$BB$3)),(VLOOKUP('19.07'!P68,'19.07'!$AO$4:$AQ$55,2,FALSE))*IF('19.07'!$AK68="是",'19.07'!$BB$4,'19.07'!$BB$3))</f>
        <v>0</v>
      </c>
      <c r="I68" s="4">
        <f>IF(ISNUMBER(SEARCH("营",'19.07'!Q68)),(-$Y68+50*IF('19.07'!$AK68="是",'19.07'!$BB$4,'19.07'!$BB$3)),(VLOOKUP('19.07'!Q68,'19.07'!$AO$4:$AQ$55,2,FALSE))*IF('19.07'!$AK68="是",'19.07'!$BB$4,'19.07'!$BB$3))</f>
        <v>0</v>
      </c>
      <c r="J68" s="4">
        <f>IF(ISNUMBER(SEARCH("营",'19.07'!R68)),(-$Y68+50*IF('19.07'!$AK68="是",'19.07'!$BB$4,'19.07'!$BB$3)),(VLOOKUP('19.07'!R68,'19.07'!$AO$4:$AQ$55,2,FALSE))*IF('19.07'!$AK68="是",'19.07'!$BB$4,'19.07'!$BB$3))</f>
        <v>0</v>
      </c>
      <c r="K68" s="4">
        <f>IF(ISNUMBER(SEARCH("营",'19.07'!S68)),(-$Y68+50*IF('19.07'!$AK68="是",'19.07'!$BB$4,'19.07'!$BB$3)),(VLOOKUP('19.07'!S68,'19.07'!$AO$4:$AQ$55,2,FALSE))*IF('19.07'!$AK68="是",'19.07'!$BB$4,'19.07'!$BB$3))</f>
        <v>0</v>
      </c>
      <c r="L68" s="4">
        <f>IF(ISNUMBER(SEARCH("营",'19.07'!T68)),(-$Y68+50*IF('19.07'!$AK68="是",'19.07'!$BB$4,'19.07'!$BB$3)),(VLOOKUP('19.07'!T68,'19.07'!$AO$4:$AQ$55,2,FALSE))*IF('19.07'!$AK68="是",'19.07'!$BB$4,'19.07'!$BB$3))</f>
        <v>0</v>
      </c>
      <c r="M68" s="4">
        <f>IF(ISNUMBER(SEARCH("营",'19.07'!U68)),(-$Y68+50*IF('19.07'!$AK68="是",'19.07'!$BB$4,'19.07'!$BB$3)),(VLOOKUP('19.07'!U68,'19.07'!$AO$4:$AQ$55,2,FALSE))*IF('19.07'!$AK68="是",'19.07'!$BB$4,'19.07'!$BB$3))</f>
        <v>0</v>
      </c>
      <c r="N68" s="4">
        <f>IF(ISNUMBER(SEARCH("营",'19.07'!V68)),(-$Y68+50*IF('19.07'!$AK68="是",'19.07'!$BB$4,'19.07'!$BB$3)),(VLOOKUP('19.07'!V68,'19.07'!$AO$4:$AQ$55,2,FALSE))*IF('19.07'!$AK68="是",'19.07'!$BB$4,'19.07'!$BB$3))</f>
        <v>0</v>
      </c>
      <c r="O68" s="4">
        <f>IF(ISNUMBER(SEARCH("营",'19.07'!W68)),(-$Y68+50*IF('19.07'!$AK68="是",'19.07'!$BB$4,'19.07'!$BB$3)),(VLOOKUP('19.07'!W68,'19.07'!$AO$4:$AQ$55,2,FALSE))*IF('19.07'!$AK68="是",'19.07'!$BB$4,'19.07'!$BB$3))</f>
        <v>0</v>
      </c>
      <c r="P68" s="4">
        <f>IF(ISNUMBER(SEARCH("营",'19.07'!X68)),(-$Y68+50*IF('19.07'!$AK68="是",'19.07'!$BB$4,'19.07'!$BB$3)),(VLOOKUP('19.07'!X68,'19.07'!$AO$4:$AQ$55,2,FALSE))*IF('19.07'!$AK68="是",'19.07'!$BB$4,'19.07'!$BB$3))</f>
        <v>0</v>
      </c>
      <c r="Q68" s="4">
        <f>IF(ISNUMBER(SEARCH("营",'19.07'!Y68)),(-$Y68+50*IF('19.07'!$AK68="是",'19.07'!$BB$4,'19.07'!$BB$3)),(VLOOKUP('19.07'!Y68,'19.07'!$AO$4:$AQ$55,2,FALSE))*IF('19.07'!$AK68="是",'19.07'!$BB$4,'19.07'!$BB$3))</f>
        <v>0</v>
      </c>
      <c r="R68" s="4">
        <f>IF(ISNUMBER(SEARCH("营",'19.07'!Z68)),(-$Y68+50*IF('19.07'!$AK68="是",'19.07'!$BB$4,'19.07'!$BB$3)),(VLOOKUP('19.07'!Z68,'19.07'!$AO$4:$AQ$55,2,FALSE))*IF('19.07'!$AK68="是",'19.07'!$BB$4,'19.07'!$BB$3))</f>
        <v>0</v>
      </c>
      <c r="S68" s="4">
        <f>IF(ISNUMBER(SEARCH("营",'19.07'!AA68)),(-$Y68+50*IF('19.07'!$AK68="是",'19.07'!$BB$4,'19.07'!$BB$3)),(VLOOKUP('19.07'!AA68,'19.07'!$AO$4:$AQ$55,2,FALSE))*IF('19.07'!$AK68="是",'19.07'!$BB$4,'19.07'!$BB$3))</f>
        <v>0</v>
      </c>
      <c r="T68" s="4">
        <f>IF(ISNUMBER(SEARCH("营",'19.07'!AB68)),(-$Y68+50*IF('19.07'!$AK68="是",'19.07'!$BB$4,'19.07'!$BB$3)),(VLOOKUP('19.07'!AB68,'19.07'!$AO$4:$AQ$55,2,FALSE))*IF('19.07'!$AK68="是",'19.07'!$BB$4,'19.07'!$BB$3))</f>
        <v>0</v>
      </c>
      <c r="U68" s="4">
        <f>IF(ISNUMBER(SEARCH("营",'19.07'!AC68)),(-$Y68+50*IF('19.07'!$AK68="是",'19.07'!$BB$4,'19.07'!$BB$3)),(VLOOKUP('19.07'!AC68,'19.07'!$AO$4:$AQ$55,2,FALSE))*IF('19.07'!$AK68="是",'19.07'!$BB$4,'19.07'!$BB$3))</f>
        <v>0</v>
      </c>
      <c r="V68" s="4">
        <f>IF(ISNUMBER(SEARCH("营",'19.07'!AD68)),(-$Y68+50*IF('19.07'!$AK68="是",'19.07'!$BB$4,'19.07'!$BB$3)),(VLOOKUP('19.07'!AD68,'19.07'!$AO$4:$AQ$55,2,FALSE))*IF('19.07'!$AK68="是",'19.07'!$BB$4,'19.07'!$BB$3))</f>
        <v>0</v>
      </c>
      <c r="W68" s="4">
        <f>IF(ISNUMBER(SEARCH("营",'19.07'!AE68)),(-$Y68+50*IF('19.07'!$AK68="是",'19.07'!$BB$4,'19.07'!$BB$3)),(VLOOKUP('19.07'!AE68,'19.07'!$AO$4:$AQ$55,2,FALSE))*IF('19.07'!$AK68="是",'19.07'!$BB$4,'19.07'!$BB$3))</f>
        <v>0</v>
      </c>
      <c r="X68" s="4">
        <f>IF(ISNUMBER(SEARCH("营",'19.07'!AF68)),(-$Y68+50*IF('19.07'!$AK68="是",'19.07'!$BB$4,'19.07'!$BB$3)),(VLOOKUP('19.07'!AF68,'19.07'!$AO$4:$AQ$55,2,FALSE))*IF('19.07'!$AK68="是",'19.07'!$BB$4,'19.07'!$BB$3))</f>
        <v>0</v>
      </c>
      <c r="Y68" s="18">
        <v>100</v>
      </c>
      <c r="Z68" s="15">
        <v>45794</v>
      </c>
    </row>
    <row r="69" spans="1:26">
      <c r="A69" s="4">
        <f>IF(ISNUMBER(SEARCH("营",'19.07'!I69)),(-$Y69+50*IF('19.07'!$AK69="是",'19.07'!$BB$4,'19.07'!$BB$3)),(VLOOKUP('19.07'!I69,'19.07'!$AO$4:$AQ$55,2,FALSE))*IF('19.07'!$AK69="是",'19.07'!$BB$4,'19.07'!$BB$3))</f>
        <v>0</v>
      </c>
      <c r="B69" s="4">
        <f>IF(ISNUMBER(SEARCH("营",'19.07'!J69)),(-$Y69+50*IF('19.07'!$AK69="是",'19.07'!$BB$4,'19.07'!$BB$3)),(VLOOKUP('19.07'!J69,'19.07'!$AO$4:$AQ$55,2,FALSE))*IF('19.07'!$AK69="是",'19.07'!$BB$4,'19.07'!$BB$3))</f>
        <v>0</v>
      </c>
      <c r="C69" s="4">
        <f>IF(ISNUMBER(SEARCH("营",'19.07'!K69)),(-$Y69+50*IF('19.07'!$AK69="是",'19.07'!$BB$4,'19.07'!$BB$3)),(VLOOKUP('19.07'!K69,'19.07'!$AO$4:$AQ$55,2,FALSE))*IF('19.07'!$AK69="是",'19.07'!$BB$4,'19.07'!$BB$3))</f>
        <v>0</v>
      </c>
      <c r="D69" s="4">
        <f>IF(ISNUMBER(SEARCH("营",'19.07'!L69)),(-$Y69+50*IF('19.07'!$AK69="是",'19.07'!$BB$4,'19.07'!$BB$3)),(VLOOKUP('19.07'!L69,'19.07'!$AO$4:$AQ$55,2,FALSE))*IF('19.07'!$AK69="是",'19.07'!$BB$4,'19.07'!$BB$3))</f>
        <v>0</v>
      </c>
      <c r="E69" s="4">
        <f>IF(ISNUMBER(SEARCH("营",'19.07'!M69)),(-$Y69+50*IF('19.07'!$AK69="是",'19.07'!$BB$4,'19.07'!$BB$3)),(VLOOKUP('19.07'!M69,'19.07'!$AO$4:$AQ$55,2,FALSE))*IF('19.07'!$AK69="是",'19.07'!$BB$4,'19.07'!$BB$3))</f>
        <v>0</v>
      </c>
      <c r="F69" s="4">
        <f>IF(ISNUMBER(SEARCH("营",'19.07'!N69)),(-$Y69+50*IF('19.07'!$AK69="是",'19.07'!$BB$4,'19.07'!$BB$3)),(VLOOKUP('19.07'!N69,'19.07'!$AO$4:$AQ$55,2,FALSE))*IF('19.07'!$AK69="是",'19.07'!$BB$4,'19.07'!$BB$3))</f>
        <v>0</v>
      </c>
      <c r="G69" s="4">
        <f>IF(ISNUMBER(SEARCH("营",'19.07'!O69)),(-$Y69+50*IF('19.07'!$AK69="是",'19.07'!$BB$4,'19.07'!$BB$3)),(VLOOKUP('19.07'!O69,'19.07'!$AO$4:$AQ$55,2,FALSE))*IF('19.07'!$AK69="是",'19.07'!$BB$4,'19.07'!$BB$3))</f>
        <v>0</v>
      </c>
      <c r="H69" s="4">
        <f>IF(ISNUMBER(SEARCH("营",'19.07'!P69)),(-$Y69+50*IF('19.07'!$AK69="是",'19.07'!$BB$4,'19.07'!$BB$3)),(VLOOKUP('19.07'!P69,'19.07'!$AO$4:$AQ$55,2,FALSE))*IF('19.07'!$AK69="是",'19.07'!$BB$4,'19.07'!$BB$3))</f>
        <v>0</v>
      </c>
      <c r="I69" s="4">
        <f>IF(ISNUMBER(SEARCH("营",'19.07'!Q69)),(-$Y69+50*IF('19.07'!$AK69="是",'19.07'!$BB$4,'19.07'!$BB$3)),(VLOOKUP('19.07'!Q69,'19.07'!$AO$4:$AQ$55,2,FALSE))*IF('19.07'!$AK69="是",'19.07'!$BB$4,'19.07'!$BB$3))</f>
        <v>0</v>
      </c>
      <c r="J69" s="4">
        <f>IF(ISNUMBER(SEARCH("营",'19.07'!R69)),(-$Y69+50*IF('19.07'!$AK69="是",'19.07'!$BB$4,'19.07'!$BB$3)),(VLOOKUP('19.07'!R69,'19.07'!$AO$4:$AQ$55,2,FALSE))*IF('19.07'!$AK69="是",'19.07'!$BB$4,'19.07'!$BB$3))</f>
        <v>0</v>
      </c>
      <c r="K69" s="4">
        <f>IF(ISNUMBER(SEARCH("营",'19.07'!S69)),(-$Y69+50*IF('19.07'!$AK69="是",'19.07'!$BB$4,'19.07'!$BB$3)),(VLOOKUP('19.07'!S69,'19.07'!$AO$4:$AQ$55,2,FALSE))*IF('19.07'!$AK69="是",'19.07'!$BB$4,'19.07'!$BB$3))</f>
        <v>0</v>
      </c>
      <c r="L69" s="4">
        <f>IF(ISNUMBER(SEARCH("营",'19.07'!T69)),(-$Y69+50*IF('19.07'!$AK69="是",'19.07'!$BB$4,'19.07'!$BB$3)),(VLOOKUP('19.07'!T69,'19.07'!$AO$4:$AQ$55,2,FALSE))*IF('19.07'!$AK69="是",'19.07'!$BB$4,'19.07'!$BB$3))</f>
        <v>0</v>
      </c>
      <c r="M69" s="4">
        <f>IF(ISNUMBER(SEARCH("营",'19.07'!U69)),(-$Y69+50*IF('19.07'!$AK69="是",'19.07'!$BB$4,'19.07'!$BB$3)),(VLOOKUP('19.07'!U69,'19.07'!$AO$4:$AQ$55,2,FALSE))*IF('19.07'!$AK69="是",'19.07'!$BB$4,'19.07'!$BB$3))</f>
        <v>0</v>
      </c>
      <c r="N69" s="4">
        <f>IF(ISNUMBER(SEARCH("营",'19.07'!V69)),(-$Y69+50*IF('19.07'!$AK69="是",'19.07'!$BB$4,'19.07'!$BB$3)),(VLOOKUP('19.07'!V69,'19.07'!$AO$4:$AQ$55,2,FALSE))*IF('19.07'!$AK69="是",'19.07'!$BB$4,'19.07'!$BB$3))</f>
        <v>0</v>
      </c>
      <c r="O69" s="4">
        <f>IF(ISNUMBER(SEARCH("营",'19.07'!W69)),(-$Y69+50*IF('19.07'!$AK69="是",'19.07'!$BB$4,'19.07'!$BB$3)),(VLOOKUP('19.07'!W69,'19.07'!$AO$4:$AQ$55,2,FALSE))*IF('19.07'!$AK69="是",'19.07'!$BB$4,'19.07'!$BB$3))</f>
        <v>0</v>
      </c>
      <c r="P69" s="4">
        <f>IF(ISNUMBER(SEARCH("营",'19.07'!X69)),(-$Y69+50*IF('19.07'!$AK69="是",'19.07'!$BB$4,'19.07'!$BB$3)),(VLOOKUP('19.07'!X69,'19.07'!$AO$4:$AQ$55,2,FALSE))*IF('19.07'!$AK69="是",'19.07'!$BB$4,'19.07'!$BB$3))</f>
        <v>0</v>
      </c>
      <c r="Q69" s="4">
        <f>IF(ISNUMBER(SEARCH("营",'19.07'!Y69)),(-$Y69+50*IF('19.07'!$AK69="是",'19.07'!$BB$4,'19.07'!$BB$3)),(VLOOKUP('19.07'!Y69,'19.07'!$AO$4:$AQ$55,2,FALSE))*IF('19.07'!$AK69="是",'19.07'!$BB$4,'19.07'!$BB$3))</f>
        <v>0</v>
      </c>
      <c r="R69" s="4">
        <f>IF(ISNUMBER(SEARCH("营",'19.07'!Z69)),(-$Y69+50*IF('19.07'!$AK69="是",'19.07'!$BB$4,'19.07'!$BB$3)),(VLOOKUP('19.07'!Z69,'19.07'!$AO$4:$AQ$55,2,FALSE))*IF('19.07'!$AK69="是",'19.07'!$BB$4,'19.07'!$BB$3))</f>
        <v>0</v>
      </c>
      <c r="S69" s="4">
        <f>IF(ISNUMBER(SEARCH("营",'19.07'!AA69)),(-$Y69+50*IF('19.07'!$AK69="是",'19.07'!$BB$4,'19.07'!$BB$3)),(VLOOKUP('19.07'!AA69,'19.07'!$AO$4:$AQ$55,2,FALSE))*IF('19.07'!$AK69="是",'19.07'!$BB$4,'19.07'!$BB$3))</f>
        <v>0</v>
      </c>
      <c r="T69" s="4">
        <f>IF(ISNUMBER(SEARCH("营",'19.07'!AB69)),(-$Y69+50*IF('19.07'!$AK69="是",'19.07'!$BB$4,'19.07'!$BB$3)),(VLOOKUP('19.07'!AB69,'19.07'!$AO$4:$AQ$55,2,FALSE))*IF('19.07'!$AK69="是",'19.07'!$BB$4,'19.07'!$BB$3))</f>
        <v>0</v>
      </c>
      <c r="U69" s="4">
        <f>IF(ISNUMBER(SEARCH("营",'19.07'!AC69)),(-$Y69+50*IF('19.07'!$AK69="是",'19.07'!$BB$4,'19.07'!$BB$3)),(VLOOKUP('19.07'!AC69,'19.07'!$AO$4:$AQ$55,2,FALSE))*IF('19.07'!$AK69="是",'19.07'!$BB$4,'19.07'!$BB$3))</f>
        <v>0</v>
      </c>
      <c r="V69" s="4">
        <f>IF(ISNUMBER(SEARCH("营",'19.07'!AD69)),(-$Y69+50*IF('19.07'!$AK69="是",'19.07'!$BB$4,'19.07'!$BB$3)),(VLOOKUP('19.07'!AD69,'19.07'!$AO$4:$AQ$55,2,FALSE))*IF('19.07'!$AK69="是",'19.07'!$BB$4,'19.07'!$BB$3))</f>
        <v>0</v>
      </c>
      <c r="W69" s="4">
        <f>IF(ISNUMBER(SEARCH("营",'19.07'!AE69)),(-$Y69+50*IF('19.07'!$AK69="是",'19.07'!$BB$4,'19.07'!$BB$3)),(VLOOKUP('19.07'!AE69,'19.07'!$AO$4:$AQ$55,2,FALSE))*IF('19.07'!$AK69="是",'19.07'!$BB$4,'19.07'!$BB$3))</f>
        <v>0</v>
      </c>
      <c r="X69" s="4">
        <f>IF(ISNUMBER(SEARCH("营",'19.07'!AF69)),(-$Y69+50*IF('19.07'!$AK69="是",'19.07'!$BB$4,'19.07'!$BB$3)),(VLOOKUP('19.07'!AF69,'19.07'!$AO$4:$AQ$55,2,FALSE))*IF('19.07'!$AK69="是",'19.07'!$BB$4,'19.07'!$BB$3))</f>
        <v>0</v>
      </c>
      <c r="Y69" s="18">
        <v>100</v>
      </c>
      <c r="Z69" s="15">
        <v>45795</v>
      </c>
    </row>
    <row r="70" spans="1:26">
      <c r="A70" s="4">
        <f>IF(ISNUMBER(SEARCH("营",'19.07'!I70)),(-$Y70+50*IF('19.07'!$AK70="是",'19.07'!$BB$4,'19.07'!$BB$3)),(VLOOKUP('19.07'!I70,'19.07'!$AO$4:$AQ$55,2,FALSE))*IF('19.07'!$AK70="是",'19.07'!$BB$4,'19.07'!$BB$3))</f>
        <v>0</v>
      </c>
      <c r="B70" s="4">
        <f>IF(ISNUMBER(SEARCH("营",'19.07'!J70)),(-$Y70+50*IF('19.07'!$AK70="是",'19.07'!$BB$4,'19.07'!$BB$3)),(VLOOKUP('19.07'!J70,'19.07'!$AO$4:$AQ$55,2,FALSE))*IF('19.07'!$AK70="是",'19.07'!$BB$4,'19.07'!$BB$3))</f>
        <v>0</v>
      </c>
      <c r="C70" s="4">
        <f>IF(ISNUMBER(SEARCH("营",'19.07'!K70)),(-$Y70+50*IF('19.07'!$AK70="是",'19.07'!$BB$4,'19.07'!$BB$3)),(VLOOKUP('19.07'!K70,'19.07'!$AO$4:$AQ$55,2,FALSE))*IF('19.07'!$AK70="是",'19.07'!$BB$4,'19.07'!$BB$3))</f>
        <v>0</v>
      </c>
      <c r="D70" s="4">
        <f>IF(ISNUMBER(SEARCH("营",'19.07'!L70)),(-$Y70+50*IF('19.07'!$AK70="是",'19.07'!$BB$4,'19.07'!$BB$3)),(VLOOKUP('19.07'!L70,'19.07'!$AO$4:$AQ$55,2,FALSE))*IF('19.07'!$AK70="是",'19.07'!$BB$4,'19.07'!$BB$3))</f>
        <v>0</v>
      </c>
      <c r="E70" s="4">
        <f>IF(ISNUMBER(SEARCH("营",'19.07'!M70)),(-$Y70+50*IF('19.07'!$AK70="是",'19.07'!$BB$4,'19.07'!$BB$3)),(VLOOKUP('19.07'!M70,'19.07'!$AO$4:$AQ$55,2,FALSE))*IF('19.07'!$AK70="是",'19.07'!$BB$4,'19.07'!$BB$3))</f>
        <v>0</v>
      </c>
      <c r="F70" s="4">
        <f>IF(ISNUMBER(SEARCH("营",'19.07'!N70)),(-$Y70+50*IF('19.07'!$AK70="是",'19.07'!$BB$4,'19.07'!$BB$3)),(VLOOKUP('19.07'!N70,'19.07'!$AO$4:$AQ$55,2,FALSE))*IF('19.07'!$AK70="是",'19.07'!$BB$4,'19.07'!$BB$3))</f>
        <v>0</v>
      </c>
      <c r="G70" s="4">
        <f>IF(ISNUMBER(SEARCH("营",'19.07'!O70)),(-$Y70+50*IF('19.07'!$AK70="是",'19.07'!$BB$4,'19.07'!$BB$3)),(VLOOKUP('19.07'!O70,'19.07'!$AO$4:$AQ$55,2,FALSE))*IF('19.07'!$AK70="是",'19.07'!$BB$4,'19.07'!$BB$3))</f>
        <v>0</v>
      </c>
      <c r="H70" s="4">
        <f>IF(ISNUMBER(SEARCH("营",'19.07'!P70)),(-$Y70+50*IF('19.07'!$AK70="是",'19.07'!$BB$4,'19.07'!$BB$3)),(VLOOKUP('19.07'!P70,'19.07'!$AO$4:$AQ$55,2,FALSE))*IF('19.07'!$AK70="是",'19.07'!$BB$4,'19.07'!$BB$3))</f>
        <v>0</v>
      </c>
      <c r="I70" s="4">
        <f>IF(ISNUMBER(SEARCH("营",'19.07'!Q70)),(-$Y70+50*IF('19.07'!$AK70="是",'19.07'!$BB$4,'19.07'!$BB$3)),(VLOOKUP('19.07'!Q70,'19.07'!$AO$4:$AQ$55,2,FALSE))*IF('19.07'!$AK70="是",'19.07'!$BB$4,'19.07'!$BB$3))</f>
        <v>0</v>
      </c>
      <c r="J70" s="4">
        <f>IF(ISNUMBER(SEARCH("营",'19.07'!R70)),(-$Y70+50*IF('19.07'!$AK70="是",'19.07'!$BB$4,'19.07'!$BB$3)),(VLOOKUP('19.07'!R70,'19.07'!$AO$4:$AQ$55,2,FALSE))*IF('19.07'!$AK70="是",'19.07'!$BB$4,'19.07'!$BB$3))</f>
        <v>0</v>
      </c>
      <c r="K70" s="4">
        <f>IF(ISNUMBER(SEARCH("营",'19.07'!S70)),(-$Y70+50*IF('19.07'!$AK70="是",'19.07'!$BB$4,'19.07'!$BB$3)),(VLOOKUP('19.07'!S70,'19.07'!$AO$4:$AQ$55,2,FALSE))*IF('19.07'!$AK70="是",'19.07'!$BB$4,'19.07'!$BB$3))</f>
        <v>0</v>
      </c>
      <c r="L70" s="4">
        <f>IF(ISNUMBER(SEARCH("营",'19.07'!T70)),(-$Y70+50*IF('19.07'!$AK70="是",'19.07'!$BB$4,'19.07'!$BB$3)),(VLOOKUP('19.07'!T70,'19.07'!$AO$4:$AQ$55,2,FALSE))*IF('19.07'!$AK70="是",'19.07'!$BB$4,'19.07'!$BB$3))</f>
        <v>0</v>
      </c>
      <c r="M70" s="4">
        <f>IF(ISNUMBER(SEARCH("营",'19.07'!U70)),(-$Y70+50*IF('19.07'!$AK70="是",'19.07'!$BB$4,'19.07'!$BB$3)),(VLOOKUP('19.07'!U70,'19.07'!$AO$4:$AQ$55,2,FALSE))*IF('19.07'!$AK70="是",'19.07'!$BB$4,'19.07'!$BB$3))</f>
        <v>0</v>
      </c>
      <c r="N70" s="4">
        <f>IF(ISNUMBER(SEARCH("营",'19.07'!V70)),(-$Y70+50*IF('19.07'!$AK70="是",'19.07'!$BB$4,'19.07'!$BB$3)),(VLOOKUP('19.07'!V70,'19.07'!$AO$4:$AQ$55,2,FALSE))*IF('19.07'!$AK70="是",'19.07'!$BB$4,'19.07'!$BB$3))</f>
        <v>0</v>
      </c>
      <c r="O70" s="4">
        <f>IF(ISNUMBER(SEARCH("营",'19.07'!W70)),(-$Y70+50*IF('19.07'!$AK70="是",'19.07'!$BB$4,'19.07'!$BB$3)),(VLOOKUP('19.07'!W70,'19.07'!$AO$4:$AQ$55,2,FALSE))*IF('19.07'!$AK70="是",'19.07'!$BB$4,'19.07'!$BB$3))</f>
        <v>0</v>
      </c>
      <c r="P70" s="4">
        <f>IF(ISNUMBER(SEARCH("营",'19.07'!X70)),(-$Y70+50*IF('19.07'!$AK70="是",'19.07'!$BB$4,'19.07'!$BB$3)),(VLOOKUP('19.07'!X70,'19.07'!$AO$4:$AQ$55,2,FALSE))*IF('19.07'!$AK70="是",'19.07'!$BB$4,'19.07'!$BB$3))</f>
        <v>0</v>
      </c>
      <c r="Q70" s="4">
        <f>IF(ISNUMBER(SEARCH("营",'19.07'!Y70)),(-$Y70+50*IF('19.07'!$AK70="是",'19.07'!$BB$4,'19.07'!$BB$3)),(VLOOKUP('19.07'!Y70,'19.07'!$AO$4:$AQ$55,2,FALSE))*IF('19.07'!$AK70="是",'19.07'!$BB$4,'19.07'!$BB$3))</f>
        <v>0</v>
      </c>
      <c r="R70" s="4">
        <f>IF(ISNUMBER(SEARCH("营",'19.07'!Z70)),(-$Y70+50*IF('19.07'!$AK70="是",'19.07'!$BB$4,'19.07'!$BB$3)),(VLOOKUP('19.07'!Z70,'19.07'!$AO$4:$AQ$55,2,FALSE))*IF('19.07'!$AK70="是",'19.07'!$BB$4,'19.07'!$BB$3))</f>
        <v>0</v>
      </c>
      <c r="S70" s="4">
        <f>IF(ISNUMBER(SEARCH("营",'19.07'!AA70)),(-$Y70+50*IF('19.07'!$AK70="是",'19.07'!$BB$4,'19.07'!$BB$3)),(VLOOKUP('19.07'!AA70,'19.07'!$AO$4:$AQ$55,2,FALSE))*IF('19.07'!$AK70="是",'19.07'!$BB$4,'19.07'!$BB$3))</f>
        <v>0</v>
      </c>
      <c r="T70" s="4">
        <f>IF(ISNUMBER(SEARCH("营",'19.07'!AB70)),(-$Y70+50*IF('19.07'!$AK70="是",'19.07'!$BB$4,'19.07'!$BB$3)),(VLOOKUP('19.07'!AB70,'19.07'!$AO$4:$AQ$55,2,FALSE))*IF('19.07'!$AK70="是",'19.07'!$BB$4,'19.07'!$BB$3))</f>
        <v>0</v>
      </c>
      <c r="U70" s="4">
        <f>IF(ISNUMBER(SEARCH("营",'19.07'!AC70)),(-$Y70+50*IF('19.07'!$AK70="是",'19.07'!$BB$4,'19.07'!$BB$3)),(VLOOKUP('19.07'!AC70,'19.07'!$AO$4:$AQ$55,2,FALSE))*IF('19.07'!$AK70="是",'19.07'!$BB$4,'19.07'!$BB$3))</f>
        <v>0</v>
      </c>
      <c r="V70" s="4">
        <f>IF(ISNUMBER(SEARCH("营",'19.07'!AD70)),(-$Y70+50*IF('19.07'!$AK70="是",'19.07'!$BB$4,'19.07'!$BB$3)),(VLOOKUP('19.07'!AD70,'19.07'!$AO$4:$AQ$55,2,FALSE))*IF('19.07'!$AK70="是",'19.07'!$BB$4,'19.07'!$BB$3))</f>
        <v>0</v>
      </c>
      <c r="W70" s="4">
        <f>IF(ISNUMBER(SEARCH("营",'19.07'!AE70)),(-$Y70+50*IF('19.07'!$AK70="是",'19.07'!$BB$4,'19.07'!$BB$3)),(VLOOKUP('19.07'!AE70,'19.07'!$AO$4:$AQ$55,2,FALSE))*IF('19.07'!$AK70="是",'19.07'!$BB$4,'19.07'!$BB$3))</f>
        <v>0</v>
      </c>
      <c r="X70" s="4">
        <f>IF(ISNUMBER(SEARCH("营",'19.07'!AF70)),(-$Y70+50*IF('19.07'!$AK70="是",'19.07'!$BB$4,'19.07'!$BB$3)),(VLOOKUP('19.07'!AF70,'19.07'!$AO$4:$AQ$55,2,FALSE))*IF('19.07'!$AK70="是",'19.07'!$BB$4,'19.07'!$BB$3))</f>
        <v>0</v>
      </c>
      <c r="Y70" s="18">
        <v>100</v>
      </c>
      <c r="Z70" s="15">
        <v>45796</v>
      </c>
    </row>
    <row r="71" spans="1:26">
      <c r="A71" s="4">
        <f>IF(ISNUMBER(SEARCH("营",'19.07'!I71)),(-$Y71+50*IF('19.07'!$AK71="是",'19.07'!$BB$4,'19.07'!$BB$3)),(VLOOKUP('19.07'!I71,'19.07'!$AO$4:$AQ$55,2,FALSE))*IF('19.07'!$AK71="是",'19.07'!$BB$4,'19.07'!$BB$3))</f>
        <v>0</v>
      </c>
      <c r="B71" s="4">
        <f>IF(ISNUMBER(SEARCH("营",'19.07'!J71)),(-$Y71+50*IF('19.07'!$AK71="是",'19.07'!$BB$4,'19.07'!$BB$3)),(VLOOKUP('19.07'!J71,'19.07'!$AO$4:$AQ$55,2,FALSE))*IF('19.07'!$AK71="是",'19.07'!$BB$4,'19.07'!$BB$3))</f>
        <v>0</v>
      </c>
      <c r="C71" s="4">
        <f>IF(ISNUMBER(SEARCH("营",'19.07'!K71)),(-$Y71+50*IF('19.07'!$AK71="是",'19.07'!$BB$4,'19.07'!$BB$3)),(VLOOKUP('19.07'!K71,'19.07'!$AO$4:$AQ$55,2,FALSE))*IF('19.07'!$AK71="是",'19.07'!$BB$4,'19.07'!$BB$3))</f>
        <v>0</v>
      </c>
      <c r="D71" s="4">
        <f>IF(ISNUMBER(SEARCH("营",'19.07'!L71)),(-$Y71+50*IF('19.07'!$AK71="是",'19.07'!$BB$4,'19.07'!$BB$3)),(VLOOKUP('19.07'!L71,'19.07'!$AO$4:$AQ$55,2,FALSE))*IF('19.07'!$AK71="是",'19.07'!$BB$4,'19.07'!$BB$3))</f>
        <v>0</v>
      </c>
      <c r="E71" s="4">
        <f>IF(ISNUMBER(SEARCH("营",'19.07'!M71)),(-$Y71+50*IF('19.07'!$AK71="是",'19.07'!$BB$4,'19.07'!$BB$3)),(VLOOKUP('19.07'!M71,'19.07'!$AO$4:$AQ$55,2,FALSE))*IF('19.07'!$AK71="是",'19.07'!$BB$4,'19.07'!$BB$3))</f>
        <v>0</v>
      </c>
      <c r="F71" s="4">
        <f>IF(ISNUMBER(SEARCH("营",'19.07'!N71)),(-$Y71+50*IF('19.07'!$AK71="是",'19.07'!$BB$4,'19.07'!$BB$3)),(VLOOKUP('19.07'!N71,'19.07'!$AO$4:$AQ$55,2,FALSE))*IF('19.07'!$AK71="是",'19.07'!$BB$4,'19.07'!$BB$3))</f>
        <v>0</v>
      </c>
      <c r="G71" s="4">
        <f>IF(ISNUMBER(SEARCH("营",'19.07'!O71)),(-$Y71+50*IF('19.07'!$AK71="是",'19.07'!$BB$4,'19.07'!$BB$3)),(VLOOKUP('19.07'!O71,'19.07'!$AO$4:$AQ$55,2,FALSE))*IF('19.07'!$AK71="是",'19.07'!$BB$4,'19.07'!$BB$3))</f>
        <v>0</v>
      </c>
      <c r="H71" s="4">
        <f>IF(ISNUMBER(SEARCH("营",'19.07'!P71)),(-$Y71+50*IF('19.07'!$AK71="是",'19.07'!$BB$4,'19.07'!$BB$3)),(VLOOKUP('19.07'!P71,'19.07'!$AO$4:$AQ$55,2,FALSE))*IF('19.07'!$AK71="是",'19.07'!$BB$4,'19.07'!$BB$3))</f>
        <v>0</v>
      </c>
      <c r="I71" s="4">
        <f>IF(ISNUMBER(SEARCH("营",'19.07'!Q71)),(-$Y71+50*IF('19.07'!$AK71="是",'19.07'!$BB$4,'19.07'!$BB$3)),(VLOOKUP('19.07'!Q71,'19.07'!$AO$4:$AQ$55,2,FALSE))*IF('19.07'!$AK71="是",'19.07'!$BB$4,'19.07'!$BB$3))</f>
        <v>0</v>
      </c>
      <c r="J71" s="4">
        <f>IF(ISNUMBER(SEARCH("营",'19.07'!R71)),(-$Y71+50*IF('19.07'!$AK71="是",'19.07'!$BB$4,'19.07'!$BB$3)),(VLOOKUP('19.07'!R71,'19.07'!$AO$4:$AQ$55,2,FALSE))*IF('19.07'!$AK71="是",'19.07'!$BB$4,'19.07'!$BB$3))</f>
        <v>0</v>
      </c>
      <c r="K71" s="4">
        <f>IF(ISNUMBER(SEARCH("营",'19.07'!S71)),(-$Y71+50*IF('19.07'!$AK71="是",'19.07'!$BB$4,'19.07'!$BB$3)),(VLOOKUP('19.07'!S71,'19.07'!$AO$4:$AQ$55,2,FALSE))*IF('19.07'!$AK71="是",'19.07'!$BB$4,'19.07'!$BB$3))</f>
        <v>0</v>
      </c>
      <c r="L71" s="4">
        <f>IF(ISNUMBER(SEARCH("营",'19.07'!T71)),(-$Y71+50*IF('19.07'!$AK71="是",'19.07'!$BB$4,'19.07'!$BB$3)),(VLOOKUP('19.07'!T71,'19.07'!$AO$4:$AQ$55,2,FALSE))*IF('19.07'!$AK71="是",'19.07'!$BB$4,'19.07'!$BB$3))</f>
        <v>0</v>
      </c>
      <c r="M71" s="4">
        <f>IF(ISNUMBER(SEARCH("营",'19.07'!U71)),(-$Y71+50*IF('19.07'!$AK71="是",'19.07'!$BB$4,'19.07'!$BB$3)),(VLOOKUP('19.07'!U71,'19.07'!$AO$4:$AQ$55,2,FALSE))*IF('19.07'!$AK71="是",'19.07'!$BB$4,'19.07'!$BB$3))</f>
        <v>0</v>
      </c>
      <c r="N71" s="4">
        <f>IF(ISNUMBER(SEARCH("营",'19.07'!V71)),(-$Y71+50*IF('19.07'!$AK71="是",'19.07'!$BB$4,'19.07'!$BB$3)),(VLOOKUP('19.07'!V71,'19.07'!$AO$4:$AQ$55,2,FALSE))*IF('19.07'!$AK71="是",'19.07'!$BB$4,'19.07'!$BB$3))</f>
        <v>0</v>
      </c>
      <c r="O71" s="4">
        <f>IF(ISNUMBER(SEARCH("营",'19.07'!W71)),(-$Y71+50*IF('19.07'!$AK71="是",'19.07'!$BB$4,'19.07'!$BB$3)),(VLOOKUP('19.07'!W71,'19.07'!$AO$4:$AQ$55,2,FALSE))*IF('19.07'!$AK71="是",'19.07'!$BB$4,'19.07'!$BB$3))</f>
        <v>0</v>
      </c>
      <c r="P71" s="4">
        <f>IF(ISNUMBER(SEARCH("营",'19.07'!X71)),(-$Y71+50*IF('19.07'!$AK71="是",'19.07'!$BB$4,'19.07'!$BB$3)),(VLOOKUP('19.07'!X71,'19.07'!$AO$4:$AQ$55,2,FALSE))*IF('19.07'!$AK71="是",'19.07'!$BB$4,'19.07'!$BB$3))</f>
        <v>0</v>
      </c>
      <c r="Q71" s="4">
        <f>IF(ISNUMBER(SEARCH("营",'19.07'!Y71)),(-$Y71+50*IF('19.07'!$AK71="是",'19.07'!$BB$4,'19.07'!$BB$3)),(VLOOKUP('19.07'!Y71,'19.07'!$AO$4:$AQ$55,2,FALSE))*IF('19.07'!$AK71="是",'19.07'!$BB$4,'19.07'!$BB$3))</f>
        <v>0</v>
      </c>
      <c r="R71" s="4">
        <f>IF(ISNUMBER(SEARCH("营",'19.07'!Z71)),(-$Y71+50*IF('19.07'!$AK71="是",'19.07'!$BB$4,'19.07'!$BB$3)),(VLOOKUP('19.07'!Z71,'19.07'!$AO$4:$AQ$55,2,FALSE))*IF('19.07'!$AK71="是",'19.07'!$BB$4,'19.07'!$BB$3))</f>
        <v>0</v>
      </c>
      <c r="S71" s="4">
        <f>IF(ISNUMBER(SEARCH("营",'19.07'!AA71)),(-$Y71+50*IF('19.07'!$AK71="是",'19.07'!$BB$4,'19.07'!$BB$3)),(VLOOKUP('19.07'!AA71,'19.07'!$AO$4:$AQ$55,2,FALSE))*IF('19.07'!$AK71="是",'19.07'!$BB$4,'19.07'!$BB$3))</f>
        <v>0</v>
      </c>
      <c r="T71" s="4">
        <f>IF(ISNUMBER(SEARCH("营",'19.07'!AB71)),(-$Y71+50*IF('19.07'!$AK71="是",'19.07'!$BB$4,'19.07'!$BB$3)),(VLOOKUP('19.07'!AB71,'19.07'!$AO$4:$AQ$55,2,FALSE))*IF('19.07'!$AK71="是",'19.07'!$BB$4,'19.07'!$BB$3))</f>
        <v>0</v>
      </c>
      <c r="U71" s="4">
        <f>IF(ISNUMBER(SEARCH("营",'19.07'!AC71)),(-$Y71+50*IF('19.07'!$AK71="是",'19.07'!$BB$4,'19.07'!$BB$3)),(VLOOKUP('19.07'!AC71,'19.07'!$AO$4:$AQ$55,2,FALSE))*IF('19.07'!$AK71="是",'19.07'!$BB$4,'19.07'!$BB$3))</f>
        <v>0</v>
      </c>
      <c r="V71" s="4">
        <f>IF(ISNUMBER(SEARCH("营",'19.07'!AD71)),(-$Y71+50*IF('19.07'!$AK71="是",'19.07'!$BB$4,'19.07'!$BB$3)),(VLOOKUP('19.07'!AD71,'19.07'!$AO$4:$AQ$55,2,FALSE))*IF('19.07'!$AK71="是",'19.07'!$BB$4,'19.07'!$BB$3))</f>
        <v>0</v>
      </c>
      <c r="W71" s="4">
        <f>IF(ISNUMBER(SEARCH("营",'19.07'!AE71)),(-$Y71+50*IF('19.07'!$AK71="是",'19.07'!$BB$4,'19.07'!$BB$3)),(VLOOKUP('19.07'!AE71,'19.07'!$AO$4:$AQ$55,2,FALSE))*IF('19.07'!$AK71="是",'19.07'!$BB$4,'19.07'!$BB$3))</f>
        <v>0</v>
      </c>
      <c r="X71" s="4">
        <f>IF(ISNUMBER(SEARCH("营",'19.07'!AF71)),(-$Y71+50*IF('19.07'!$AK71="是",'19.07'!$BB$4,'19.07'!$BB$3)),(VLOOKUP('19.07'!AF71,'19.07'!$AO$4:$AQ$55,2,FALSE))*IF('19.07'!$AK71="是",'19.07'!$BB$4,'19.07'!$BB$3))</f>
        <v>0</v>
      </c>
      <c r="Y71" s="18">
        <v>100</v>
      </c>
      <c r="Z71" s="15">
        <v>45797</v>
      </c>
    </row>
    <row r="72" spans="1:26">
      <c r="A72" s="4">
        <f>IF(ISNUMBER(SEARCH("营",'19.07'!I72)),(-$Y72+50*IF('19.07'!$AK72="是",'19.07'!$BB$4,'19.07'!$BB$3)),(VLOOKUP('19.07'!I72,'19.07'!$AO$4:$AQ$55,2,FALSE))*IF('19.07'!$AK72="是",'19.07'!$BB$4,'19.07'!$BB$3))</f>
        <v>0</v>
      </c>
      <c r="B72" s="4">
        <f>IF(ISNUMBER(SEARCH("营",'19.07'!J72)),(-$Y72+50*IF('19.07'!$AK72="是",'19.07'!$BB$4,'19.07'!$BB$3)),(VLOOKUP('19.07'!J72,'19.07'!$AO$4:$AQ$55,2,FALSE))*IF('19.07'!$AK72="是",'19.07'!$BB$4,'19.07'!$BB$3))</f>
        <v>0</v>
      </c>
      <c r="C72" s="4">
        <f>IF(ISNUMBER(SEARCH("营",'19.07'!K72)),(-$Y72+50*IF('19.07'!$AK72="是",'19.07'!$BB$4,'19.07'!$BB$3)),(VLOOKUP('19.07'!K72,'19.07'!$AO$4:$AQ$55,2,FALSE))*IF('19.07'!$AK72="是",'19.07'!$BB$4,'19.07'!$BB$3))</f>
        <v>0</v>
      </c>
      <c r="D72" s="4">
        <f>IF(ISNUMBER(SEARCH("营",'19.07'!L72)),(-$Y72+50*IF('19.07'!$AK72="是",'19.07'!$BB$4,'19.07'!$BB$3)),(VLOOKUP('19.07'!L72,'19.07'!$AO$4:$AQ$55,2,FALSE))*IF('19.07'!$AK72="是",'19.07'!$BB$4,'19.07'!$BB$3))</f>
        <v>0</v>
      </c>
      <c r="E72" s="4">
        <f>IF(ISNUMBER(SEARCH("营",'19.07'!M72)),(-$Y72+50*IF('19.07'!$AK72="是",'19.07'!$BB$4,'19.07'!$BB$3)),(VLOOKUP('19.07'!M72,'19.07'!$AO$4:$AQ$55,2,FALSE))*IF('19.07'!$AK72="是",'19.07'!$BB$4,'19.07'!$BB$3))</f>
        <v>0</v>
      </c>
      <c r="F72" s="4">
        <f>IF(ISNUMBER(SEARCH("营",'19.07'!N72)),(-$Y72+50*IF('19.07'!$AK72="是",'19.07'!$BB$4,'19.07'!$BB$3)),(VLOOKUP('19.07'!N72,'19.07'!$AO$4:$AQ$55,2,FALSE))*IF('19.07'!$AK72="是",'19.07'!$BB$4,'19.07'!$BB$3))</f>
        <v>0</v>
      </c>
      <c r="G72" s="4">
        <f>IF(ISNUMBER(SEARCH("营",'19.07'!O72)),(-$Y72+50*IF('19.07'!$AK72="是",'19.07'!$BB$4,'19.07'!$BB$3)),(VLOOKUP('19.07'!O72,'19.07'!$AO$4:$AQ$55,2,FALSE))*IF('19.07'!$AK72="是",'19.07'!$BB$4,'19.07'!$BB$3))</f>
        <v>0</v>
      </c>
      <c r="H72" s="4">
        <f>IF(ISNUMBER(SEARCH("营",'19.07'!P72)),(-$Y72+50*IF('19.07'!$AK72="是",'19.07'!$BB$4,'19.07'!$BB$3)),(VLOOKUP('19.07'!P72,'19.07'!$AO$4:$AQ$55,2,FALSE))*IF('19.07'!$AK72="是",'19.07'!$BB$4,'19.07'!$BB$3))</f>
        <v>0</v>
      </c>
      <c r="I72" s="4">
        <f>IF(ISNUMBER(SEARCH("营",'19.07'!Q72)),(-$Y72+50*IF('19.07'!$AK72="是",'19.07'!$BB$4,'19.07'!$BB$3)),(VLOOKUP('19.07'!Q72,'19.07'!$AO$4:$AQ$55,2,FALSE))*IF('19.07'!$AK72="是",'19.07'!$BB$4,'19.07'!$BB$3))</f>
        <v>0</v>
      </c>
      <c r="J72" s="4">
        <f>IF(ISNUMBER(SEARCH("营",'19.07'!R72)),(-$Y72+50*IF('19.07'!$AK72="是",'19.07'!$BB$4,'19.07'!$BB$3)),(VLOOKUP('19.07'!R72,'19.07'!$AO$4:$AQ$55,2,FALSE))*IF('19.07'!$AK72="是",'19.07'!$BB$4,'19.07'!$BB$3))</f>
        <v>0</v>
      </c>
      <c r="K72" s="4">
        <f>IF(ISNUMBER(SEARCH("营",'19.07'!S72)),(-$Y72+50*IF('19.07'!$AK72="是",'19.07'!$BB$4,'19.07'!$BB$3)),(VLOOKUP('19.07'!S72,'19.07'!$AO$4:$AQ$55,2,FALSE))*IF('19.07'!$AK72="是",'19.07'!$BB$4,'19.07'!$BB$3))</f>
        <v>0</v>
      </c>
      <c r="L72" s="4">
        <f>IF(ISNUMBER(SEARCH("营",'19.07'!T72)),(-$Y72+50*IF('19.07'!$AK72="是",'19.07'!$BB$4,'19.07'!$BB$3)),(VLOOKUP('19.07'!T72,'19.07'!$AO$4:$AQ$55,2,FALSE))*IF('19.07'!$AK72="是",'19.07'!$BB$4,'19.07'!$BB$3))</f>
        <v>0</v>
      </c>
      <c r="M72" s="4">
        <f>IF(ISNUMBER(SEARCH("营",'19.07'!U72)),(-$Y72+50*IF('19.07'!$AK72="是",'19.07'!$BB$4,'19.07'!$BB$3)),(VLOOKUP('19.07'!U72,'19.07'!$AO$4:$AQ$55,2,FALSE))*IF('19.07'!$AK72="是",'19.07'!$BB$4,'19.07'!$BB$3))</f>
        <v>0</v>
      </c>
      <c r="N72" s="4">
        <f>IF(ISNUMBER(SEARCH("营",'19.07'!V72)),(-$Y72+50*IF('19.07'!$AK72="是",'19.07'!$BB$4,'19.07'!$BB$3)),(VLOOKUP('19.07'!V72,'19.07'!$AO$4:$AQ$55,2,FALSE))*IF('19.07'!$AK72="是",'19.07'!$BB$4,'19.07'!$BB$3))</f>
        <v>0</v>
      </c>
      <c r="O72" s="4">
        <f>IF(ISNUMBER(SEARCH("营",'19.07'!W72)),(-$Y72+50*IF('19.07'!$AK72="是",'19.07'!$BB$4,'19.07'!$BB$3)),(VLOOKUP('19.07'!W72,'19.07'!$AO$4:$AQ$55,2,FALSE))*IF('19.07'!$AK72="是",'19.07'!$BB$4,'19.07'!$BB$3))</f>
        <v>0</v>
      </c>
      <c r="P72" s="4">
        <f>IF(ISNUMBER(SEARCH("营",'19.07'!X72)),(-$Y72+50*IF('19.07'!$AK72="是",'19.07'!$BB$4,'19.07'!$BB$3)),(VLOOKUP('19.07'!X72,'19.07'!$AO$4:$AQ$55,2,FALSE))*IF('19.07'!$AK72="是",'19.07'!$BB$4,'19.07'!$BB$3))</f>
        <v>0</v>
      </c>
      <c r="Q72" s="4">
        <f>IF(ISNUMBER(SEARCH("营",'19.07'!Y72)),(-$Y72+50*IF('19.07'!$AK72="是",'19.07'!$BB$4,'19.07'!$BB$3)),(VLOOKUP('19.07'!Y72,'19.07'!$AO$4:$AQ$55,2,FALSE))*IF('19.07'!$AK72="是",'19.07'!$BB$4,'19.07'!$BB$3))</f>
        <v>0</v>
      </c>
      <c r="R72" s="4">
        <f>IF(ISNUMBER(SEARCH("营",'19.07'!Z72)),(-$Y72+50*IF('19.07'!$AK72="是",'19.07'!$BB$4,'19.07'!$BB$3)),(VLOOKUP('19.07'!Z72,'19.07'!$AO$4:$AQ$55,2,FALSE))*IF('19.07'!$AK72="是",'19.07'!$BB$4,'19.07'!$BB$3))</f>
        <v>0</v>
      </c>
      <c r="S72" s="4">
        <f>IF(ISNUMBER(SEARCH("营",'19.07'!AA72)),(-$Y72+50*IF('19.07'!$AK72="是",'19.07'!$BB$4,'19.07'!$BB$3)),(VLOOKUP('19.07'!AA72,'19.07'!$AO$4:$AQ$55,2,FALSE))*IF('19.07'!$AK72="是",'19.07'!$BB$4,'19.07'!$BB$3))</f>
        <v>0</v>
      </c>
      <c r="T72" s="4">
        <f>IF(ISNUMBER(SEARCH("营",'19.07'!AB72)),(-$Y72+50*IF('19.07'!$AK72="是",'19.07'!$BB$4,'19.07'!$BB$3)),(VLOOKUP('19.07'!AB72,'19.07'!$AO$4:$AQ$55,2,FALSE))*IF('19.07'!$AK72="是",'19.07'!$BB$4,'19.07'!$BB$3))</f>
        <v>0</v>
      </c>
      <c r="U72" s="4">
        <f>IF(ISNUMBER(SEARCH("营",'19.07'!AC72)),(-$Y72+50*IF('19.07'!$AK72="是",'19.07'!$BB$4,'19.07'!$BB$3)),(VLOOKUP('19.07'!AC72,'19.07'!$AO$4:$AQ$55,2,FALSE))*IF('19.07'!$AK72="是",'19.07'!$BB$4,'19.07'!$BB$3))</f>
        <v>0</v>
      </c>
      <c r="V72" s="4">
        <f>IF(ISNUMBER(SEARCH("营",'19.07'!AD72)),(-$Y72+50*IF('19.07'!$AK72="是",'19.07'!$BB$4,'19.07'!$BB$3)),(VLOOKUP('19.07'!AD72,'19.07'!$AO$4:$AQ$55,2,FALSE))*IF('19.07'!$AK72="是",'19.07'!$BB$4,'19.07'!$BB$3))</f>
        <v>0</v>
      </c>
      <c r="W72" s="4">
        <f>IF(ISNUMBER(SEARCH("营",'19.07'!AE72)),(-$Y72+50*IF('19.07'!$AK72="是",'19.07'!$BB$4,'19.07'!$BB$3)),(VLOOKUP('19.07'!AE72,'19.07'!$AO$4:$AQ$55,2,FALSE))*IF('19.07'!$AK72="是",'19.07'!$BB$4,'19.07'!$BB$3))</f>
        <v>0</v>
      </c>
      <c r="X72" s="4">
        <f>IF(ISNUMBER(SEARCH("营",'19.07'!AF72)),(-$Y72+50*IF('19.07'!$AK72="是",'19.07'!$BB$4,'19.07'!$BB$3)),(VLOOKUP('19.07'!AF72,'19.07'!$AO$4:$AQ$55,2,FALSE))*IF('19.07'!$AK72="是",'19.07'!$BB$4,'19.07'!$BB$3))</f>
        <v>0</v>
      </c>
      <c r="Y72" s="18">
        <v>100</v>
      </c>
      <c r="Z72" s="15">
        <v>45798</v>
      </c>
    </row>
    <row r="73" spans="1:26">
      <c r="A73" s="4">
        <f>IF(ISNUMBER(SEARCH("营",'19.07'!I73)),(-$Y73+50*IF('19.07'!$AK73="是",'19.07'!$BB$4,'19.07'!$BB$3)),(VLOOKUP('19.07'!I73,'19.07'!$AO$4:$AQ$55,2,FALSE))*IF('19.07'!$AK73="是",'19.07'!$BB$4,'19.07'!$BB$3))</f>
        <v>0</v>
      </c>
      <c r="B73" s="4">
        <f>IF(ISNUMBER(SEARCH("营",'19.07'!J73)),(-$Y73+50*IF('19.07'!$AK73="是",'19.07'!$BB$4,'19.07'!$BB$3)),(VLOOKUP('19.07'!J73,'19.07'!$AO$4:$AQ$55,2,FALSE))*IF('19.07'!$AK73="是",'19.07'!$BB$4,'19.07'!$BB$3))</f>
        <v>0</v>
      </c>
      <c r="C73" s="4">
        <f>IF(ISNUMBER(SEARCH("营",'19.07'!K73)),(-$Y73+50*IF('19.07'!$AK73="是",'19.07'!$BB$4,'19.07'!$BB$3)),(VLOOKUP('19.07'!K73,'19.07'!$AO$4:$AQ$55,2,FALSE))*IF('19.07'!$AK73="是",'19.07'!$BB$4,'19.07'!$BB$3))</f>
        <v>0</v>
      </c>
      <c r="D73" s="4">
        <f>IF(ISNUMBER(SEARCH("营",'19.07'!L73)),(-$Y73+50*IF('19.07'!$AK73="是",'19.07'!$BB$4,'19.07'!$BB$3)),(VLOOKUP('19.07'!L73,'19.07'!$AO$4:$AQ$55,2,FALSE))*IF('19.07'!$AK73="是",'19.07'!$BB$4,'19.07'!$BB$3))</f>
        <v>0</v>
      </c>
      <c r="E73" s="4">
        <f>IF(ISNUMBER(SEARCH("营",'19.07'!M73)),(-$Y73+50*IF('19.07'!$AK73="是",'19.07'!$BB$4,'19.07'!$BB$3)),(VLOOKUP('19.07'!M73,'19.07'!$AO$4:$AQ$55,2,FALSE))*IF('19.07'!$AK73="是",'19.07'!$BB$4,'19.07'!$BB$3))</f>
        <v>0</v>
      </c>
      <c r="F73" s="4">
        <f>IF(ISNUMBER(SEARCH("营",'19.07'!N73)),(-$Y73+50*IF('19.07'!$AK73="是",'19.07'!$BB$4,'19.07'!$BB$3)),(VLOOKUP('19.07'!N73,'19.07'!$AO$4:$AQ$55,2,FALSE))*IF('19.07'!$AK73="是",'19.07'!$BB$4,'19.07'!$BB$3))</f>
        <v>0</v>
      </c>
      <c r="G73" s="4">
        <f>IF(ISNUMBER(SEARCH("营",'19.07'!O73)),(-$Y73+50*IF('19.07'!$AK73="是",'19.07'!$BB$4,'19.07'!$BB$3)),(VLOOKUP('19.07'!O73,'19.07'!$AO$4:$AQ$55,2,FALSE))*IF('19.07'!$AK73="是",'19.07'!$BB$4,'19.07'!$BB$3))</f>
        <v>0</v>
      </c>
      <c r="H73" s="4">
        <f>IF(ISNUMBER(SEARCH("营",'19.07'!P73)),(-$Y73+50*IF('19.07'!$AK73="是",'19.07'!$BB$4,'19.07'!$BB$3)),(VLOOKUP('19.07'!P73,'19.07'!$AO$4:$AQ$55,2,FALSE))*IF('19.07'!$AK73="是",'19.07'!$BB$4,'19.07'!$BB$3))</f>
        <v>0</v>
      </c>
      <c r="I73" s="4">
        <f>IF(ISNUMBER(SEARCH("营",'19.07'!Q73)),(-$Y73+50*IF('19.07'!$AK73="是",'19.07'!$BB$4,'19.07'!$BB$3)),(VLOOKUP('19.07'!Q73,'19.07'!$AO$4:$AQ$55,2,FALSE))*IF('19.07'!$AK73="是",'19.07'!$BB$4,'19.07'!$BB$3))</f>
        <v>0</v>
      </c>
      <c r="J73" s="4">
        <f>IF(ISNUMBER(SEARCH("营",'19.07'!R73)),(-$Y73+50*IF('19.07'!$AK73="是",'19.07'!$BB$4,'19.07'!$BB$3)),(VLOOKUP('19.07'!R73,'19.07'!$AO$4:$AQ$55,2,FALSE))*IF('19.07'!$AK73="是",'19.07'!$BB$4,'19.07'!$BB$3))</f>
        <v>0</v>
      </c>
      <c r="K73" s="4">
        <f>IF(ISNUMBER(SEARCH("营",'19.07'!S73)),(-$Y73+50*IF('19.07'!$AK73="是",'19.07'!$BB$4,'19.07'!$BB$3)),(VLOOKUP('19.07'!S73,'19.07'!$AO$4:$AQ$55,2,FALSE))*IF('19.07'!$AK73="是",'19.07'!$BB$4,'19.07'!$BB$3))</f>
        <v>0</v>
      </c>
      <c r="L73" s="4">
        <f>IF(ISNUMBER(SEARCH("营",'19.07'!T73)),(-$Y73+50*IF('19.07'!$AK73="是",'19.07'!$BB$4,'19.07'!$BB$3)),(VLOOKUP('19.07'!T73,'19.07'!$AO$4:$AQ$55,2,FALSE))*IF('19.07'!$AK73="是",'19.07'!$BB$4,'19.07'!$BB$3))</f>
        <v>0</v>
      </c>
      <c r="M73" s="4">
        <f>IF(ISNUMBER(SEARCH("营",'19.07'!U73)),(-$Y73+50*IF('19.07'!$AK73="是",'19.07'!$BB$4,'19.07'!$BB$3)),(VLOOKUP('19.07'!U73,'19.07'!$AO$4:$AQ$55,2,FALSE))*IF('19.07'!$AK73="是",'19.07'!$BB$4,'19.07'!$BB$3))</f>
        <v>0</v>
      </c>
      <c r="N73" s="4">
        <f>IF(ISNUMBER(SEARCH("营",'19.07'!V73)),(-$Y73+50*IF('19.07'!$AK73="是",'19.07'!$BB$4,'19.07'!$BB$3)),(VLOOKUP('19.07'!V73,'19.07'!$AO$4:$AQ$55,2,FALSE))*IF('19.07'!$AK73="是",'19.07'!$BB$4,'19.07'!$BB$3))</f>
        <v>0</v>
      </c>
      <c r="O73" s="4">
        <f>IF(ISNUMBER(SEARCH("营",'19.07'!W73)),(-$Y73+50*IF('19.07'!$AK73="是",'19.07'!$BB$4,'19.07'!$BB$3)),(VLOOKUP('19.07'!W73,'19.07'!$AO$4:$AQ$55,2,FALSE))*IF('19.07'!$AK73="是",'19.07'!$BB$4,'19.07'!$BB$3))</f>
        <v>0</v>
      </c>
      <c r="P73" s="4">
        <f>IF(ISNUMBER(SEARCH("营",'19.07'!X73)),(-$Y73+50*IF('19.07'!$AK73="是",'19.07'!$BB$4,'19.07'!$BB$3)),(VLOOKUP('19.07'!X73,'19.07'!$AO$4:$AQ$55,2,FALSE))*IF('19.07'!$AK73="是",'19.07'!$BB$4,'19.07'!$BB$3))</f>
        <v>0</v>
      </c>
      <c r="Q73" s="4">
        <f>IF(ISNUMBER(SEARCH("营",'19.07'!Y73)),(-$Y73+50*IF('19.07'!$AK73="是",'19.07'!$BB$4,'19.07'!$BB$3)),(VLOOKUP('19.07'!Y73,'19.07'!$AO$4:$AQ$55,2,FALSE))*IF('19.07'!$AK73="是",'19.07'!$BB$4,'19.07'!$BB$3))</f>
        <v>0</v>
      </c>
      <c r="R73" s="4">
        <f>IF(ISNUMBER(SEARCH("营",'19.07'!Z73)),(-$Y73+50*IF('19.07'!$AK73="是",'19.07'!$BB$4,'19.07'!$BB$3)),(VLOOKUP('19.07'!Z73,'19.07'!$AO$4:$AQ$55,2,FALSE))*IF('19.07'!$AK73="是",'19.07'!$BB$4,'19.07'!$BB$3))</f>
        <v>0</v>
      </c>
      <c r="S73" s="4">
        <f>IF(ISNUMBER(SEARCH("营",'19.07'!AA73)),(-$Y73+50*IF('19.07'!$AK73="是",'19.07'!$BB$4,'19.07'!$BB$3)),(VLOOKUP('19.07'!AA73,'19.07'!$AO$4:$AQ$55,2,FALSE))*IF('19.07'!$AK73="是",'19.07'!$BB$4,'19.07'!$BB$3))</f>
        <v>0</v>
      </c>
      <c r="T73" s="4">
        <f>IF(ISNUMBER(SEARCH("营",'19.07'!AB73)),(-$Y73+50*IF('19.07'!$AK73="是",'19.07'!$BB$4,'19.07'!$BB$3)),(VLOOKUP('19.07'!AB73,'19.07'!$AO$4:$AQ$55,2,FALSE))*IF('19.07'!$AK73="是",'19.07'!$BB$4,'19.07'!$BB$3))</f>
        <v>0</v>
      </c>
      <c r="U73" s="4">
        <f>IF(ISNUMBER(SEARCH("营",'19.07'!AC73)),(-$Y73+50*IF('19.07'!$AK73="是",'19.07'!$BB$4,'19.07'!$BB$3)),(VLOOKUP('19.07'!AC73,'19.07'!$AO$4:$AQ$55,2,FALSE))*IF('19.07'!$AK73="是",'19.07'!$BB$4,'19.07'!$BB$3))</f>
        <v>0</v>
      </c>
      <c r="V73" s="4">
        <f>IF(ISNUMBER(SEARCH("营",'19.07'!AD73)),(-$Y73+50*IF('19.07'!$AK73="是",'19.07'!$BB$4,'19.07'!$BB$3)),(VLOOKUP('19.07'!AD73,'19.07'!$AO$4:$AQ$55,2,FALSE))*IF('19.07'!$AK73="是",'19.07'!$BB$4,'19.07'!$BB$3))</f>
        <v>0</v>
      </c>
      <c r="W73" s="4">
        <f>IF(ISNUMBER(SEARCH("营",'19.07'!AE73)),(-$Y73+50*IF('19.07'!$AK73="是",'19.07'!$BB$4,'19.07'!$BB$3)),(VLOOKUP('19.07'!AE73,'19.07'!$AO$4:$AQ$55,2,FALSE))*IF('19.07'!$AK73="是",'19.07'!$BB$4,'19.07'!$BB$3))</f>
        <v>0</v>
      </c>
      <c r="X73" s="4">
        <f>IF(ISNUMBER(SEARCH("营",'19.07'!AF73)),(-$Y73+50*IF('19.07'!$AK73="是",'19.07'!$BB$4,'19.07'!$BB$3)),(VLOOKUP('19.07'!AF73,'19.07'!$AO$4:$AQ$55,2,FALSE))*IF('19.07'!$AK73="是",'19.07'!$BB$4,'19.07'!$BB$3))</f>
        <v>0</v>
      </c>
      <c r="Y73" s="18">
        <v>100</v>
      </c>
      <c r="Z73" s="15">
        <v>45799</v>
      </c>
    </row>
    <row r="74" spans="1:26">
      <c r="A74" s="4">
        <f>IF(ISNUMBER(SEARCH("营",'19.07'!I74)),(-$Y74+50*IF('19.07'!$AK74="是",'19.07'!$BB$4,'19.07'!$BB$3)),(VLOOKUP('19.07'!I74,'19.07'!$AO$4:$AQ$55,2,FALSE))*IF('19.07'!$AK74="是",'19.07'!$BB$4,'19.07'!$BB$3))</f>
        <v>0</v>
      </c>
      <c r="B74" s="4">
        <f>IF(ISNUMBER(SEARCH("营",'19.07'!J74)),(-$Y74+50*IF('19.07'!$AK74="是",'19.07'!$BB$4,'19.07'!$BB$3)),(VLOOKUP('19.07'!J74,'19.07'!$AO$4:$AQ$55,2,FALSE))*IF('19.07'!$AK74="是",'19.07'!$BB$4,'19.07'!$BB$3))</f>
        <v>0</v>
      </c>
      <c r="C74" s="4">
        <f>IF(ISNUMBER(SEARCH("营",'19.07'!K74)),(-$Y74+50*IF('19.07'!$AK74="是",'19.07'!$BB$4,'19.07'!$BB$3)),(VLOOKUP('19.07'!K74,'19.07'!$AO$4:$AQ$55,2,FALSE))*IF('19.07'!$AK74="是",'19.07'!$BB$4,'19.07'!$BB$3))</f>
        <v>0</v>
      </c>
      <c r="D74" s="4">
        <f>IF(ISNUMBER(SEARCH("营",'19.07'!L74)),(-$Y74+50*IF('19.07'!$AK74="是",'19.07'!$BB$4,'19.07'!$BB$3)),(VLOOKUP('19.07'!L74,'19.07'!$AO$4:$AQ$55,2,FALSE))*IF('19.07'!$AK74="是",'19.07'!$BB$4,'19.07'!$BB$3))</f>
        <v>0</v>
      </c>
      <c r="E74" s="4">
        <f>IF(ISNUMBER(SEARCH("营",'19.07'!M74)),(-$Y74+50*IF('19.07'!$AK74="是",'19.07'!$BB$4,'19.07'!$BB$3)),(VLOOKUP('19.07'!M74,'19.07'!$AO$4:$AQ$55,2,FALSE))*IF('19.07'!$AK74="是",'19.07'!$BB$4,'19.07'!$BB$3))</f>
        <v>0</v>
      </c>
      <c r="F74" s="4">
        <f>IF(ISNUMBER(SEARCH("营",'19.07'!N74)),(-$Y74+50*IF('19.07'!$AK74="是",'19.07'!$BB$4,'19.07'!$BB$3)),(VLOOKUP('19.07'!N74,'19.07'!$AO$4:$AQ$55,2,FALSE))*IF('19.07'!$AK74="是",'19.07'!$BB$4,'19.07'!$BB$3))</f>
        <v>0</v>
      </c>
      <c r="G74" s="4">
        <f>IF(ISNUMBER(SEARCH("营",'19.07'!O74)),(-$Y74+50*IF('19.07'!$AK74="是",'19.07'!$BB$4,'19.07'!$BB$3)),(VLOOKUP('19.07'!O74,'19.07'!$AO$4:$AQ$55,2,FALSE))*IF('19.07'!$AK74="是",'19.07'!$BB$4,'19.07'!$BB$3))</f>
        <v>0</v>
      </c>
      <c r="H74" s="4">
        <f>IF(ISNUMBER(SEARCH("营",'19.07'!P74)),(-$Y74+50*IF('19.07'!$AK74="是",'19.07'!$BB$4,'19.07'!$BB$3)),(VLOOKUP('19.07'!P74,'19.07'!$AO$4:$AQ$55,2,FALSE))*IF('19.07'!$AK74="是",'19.07'!$BB$4,'19.07'!$BB$3))</f>
        <v>0</v>
      </c>
      <c r="I74" s="4">
        <f>IF(ISNUMBER(SEARCH("营",'19.07'!Q74)),(-$Y74+50*IF('19.07'!$AK74="是",'19.07'!$BB$4,'19.07'!$BB$3)),(VLOOKUP('19.07'!Q74,'19.07'!$AO$4:$AQ$55,2,FALSE))*IF('19.07'!$AK74="是",'19.07'!$BB$4,'19.07'!$BB$3))</f>
        <v>0</v>
      </c>
      <c r="J74" s="4">
        <f>IF(ISNUMBER(SEARCH("营",'19.07'!R74)),(-$Y74+50*IF('19.07'!$AK74="是",'19.07'!$BB$4,'19.07'!$BB$3)),(VLOOKUP('19.07'!R74,'19.07'!$AO$4:$AQ$55,2,FALSE))*IF('19.07'!$AK74="是",'19.07'!$BB$4,'19.07'!$BB$3))</f>
        <v>0</v>
      </c>
      <c r="K74" s="4">
        <f>IF(ISNUMBER(SEARCH("营",'19.07'!S74)),(-$Y74+50*IF('19.07'!$AK74="是",'19.07'!$BB$4,'19.07'!$BB$3)),(VLOOKUP('19.07'!S74,'19.07'!$AO$4:$AQ$55,2,FALSE))*IF('19.07'!$AK74="是",'19.07'!$BB$4,'19.07'!$BB$3))</f>
        <v>0</v>
      </c>
      <c r="L74" s="4">
        <f>IF(ISNUMBER(SEARCH("营",'19.07'!T74)),(-$Y74+50*IF('19.07'!$AK74="是",'19.07'!$BB$4,'19.07'!$BB$3)),(VLOOKUP('19.07'!T74,'19.07'!$AO$4:$AQ$55,2,FALSE))*IF('19.07'!$AK74="是",'19.07'!$BB$4,'19.07'!$BB$3))</f>
        <v>0</v>
      </c>
      <c r="M74" s="4">
        <f>IF(ISNUMBER(SEARCH("营",'19.07'!U74)),(-$Y74+50*IF('19.07'!$AK74="是",'19.07'!$BB$4,'19.07'!$BB$3)),(VLOOKUP('19.07'!U74,'19.07'!$AO$4:$AQ$55,2,FALSE))*IF('19.07'!$AK74="是",'19.07'!$BB$4,'19.07'!$BB$3))</f>
        <v>0</v>
      </c>
      <c r="N74" s="4">
        <f>IF(ISNUMBER(SEARCH("营",'19.07'!V74)),(-$Y74+50*IF('19.07'!$AK74="是",'19.07'!$BB$4,'19.07'!$BB$3)),(VLOOKUP('19.07'!V74,'19.07'!$AO$4:$AQ$55,2,FALSE))*IF('19.07'!$AK74="是",'19.07'!$BB$4,'19.07'!$BB$3))</f>
        <v>0</v>
      </c>
      <c r="O74" s="4">
        <f>IF(ISNUMBER(SEARCH("营",'19.07'!W74)),(-$Y74+50*IF('19.07'!$AK74="是",'19.07'!$BB$4,'19.07'!$BB$3)),(VLOOKUP('19.07'!W74,'19.07'!$AO$4:$AQ$55,2,FALSE))*IF('19.07'!$AK74="是",'19.07'!$BB$4,'19.07'!$BB$3))</f>
        <v>0</v>
      </c>
      <c r="P74" s="4">
        <f>IF(ISNUMBER(SEARCH("营",'19.07'!X74)),(-$Y74+50*IF('19.07'!$AK74="是",'19.07'!$BB$4,'19.07'!$BB$3)),(VLOOKUP('19.07'!X74,'19.07'!$AO$4:$AQ$55,2,FALSE))*IF('19.07'!$AK74="是",'19.07'!$BB$4,'19.07'!$BB$3))</f>
        <v>0</v>
      </c>
      <c r="Q74" s="4">
        <f>IF(ISNUMBER(SEARCH("营",'19.07'!Y74)),(-$Y74+50*IF('19.07'!$AK74="是",'19.07'!$BB$4,'19.07'!$BB$3)),(VLOOKUP('19.07'!Y74,'19.07'!$AO$4:$AQ$55,2,FALSE))*IF('19.07'!$AK74="是",'19.07'!$BB$4,'19.07'!$BB$3))</f>
        <v>0</v>
      </c>
      <c r="R74" s="4">
        <f>IF(ISNUMBER(SEARCH("营",'19.07'!Z74)),(-$Y74+50*IF('19.07'!$AK74="是",'19.07'!$BB$4,'19.07'!$BB$3)),(VLOOKUP('19.07'!Z74,'19.07'!$AO$4:$AQ$55,2,FALSE))*IF('19.07'!$AK74="是",'19.07'!$BB$4,'19.07'!$BB$3))</f>
        <v>0</v>
      </c>
      <c r="S74" s="4">
        <f>IF(ISNUMBER(SEARCH("营",'19.07'!AA74)),(-$Y74+50*IF('19.07'!$AK74="是",'19.07'!$BB$4,'19.07'!$BB$3)),(VLOOKUP('19.07'!AA74,'19.07'!$AO$4:$AQ$55,2,FALSE))*IF('19.07'!$AK74="是",'19.07'!$BB$4,'19.07'!$BB$3))</f>
        <v>0</v>
      </c>
      <c r="T74" s="4">
        <f>IF(ISNUMBER(SEARCH("营",'19.07'!AB74)),(-$Y74+50*IF('19.07'!$AK74="是",'19.07'!$BB$4,'19.07'!$BB$3)),(VLOOKUP('19.07'!AB74,'19.07'!$AO$4:$AQ$55,2,FALSE))*IF('19.07'!$AK74="是",'19.07'!$BB$4,'19.07'!$BB$3))</f>
        <v>0</v>
      </c>
      <c r="U74" s="4">
        <f>IF(ISNUMBER(SEARCH("营",'19.07'!AC74)),(-$Y74+50*IF('19.07'!$AK74="是",'19.07'!$BB$4,'19.07'!$BB$3)),(VLOOKUP('19.07'!AC74,'19.07'!$AO$4:$AQ$55,2,FALSE))*IF('19.07'!$AK74="是",'19.07'!$BB$4,'19.07'!$BB$3))</f>
        <v>0</v>
      </c>
      <c r="V74" s="4">
        <f>IF(ISNUMBER(SEARCH("营",'19.07'!AD74)),(-$Y74+50*IF('19.07'!$AK74="是",'19.07'!$BB$4,'19.07'!$BB$3)),(VLOOKUP('19.07'!AD74,'19.07'!$AO$4:$AQ$55,2,FALSE))*IF('19.07'!$AK74="是",'19.07'!$BB$4,'19.07'!$BB$3))</f>
        <v>0</v>
      </c>
      <c r="W74" s="4">
        <f>IF(ISNUMBER(SEARCH("营",'19.07'!AE74)),(-$Y74+50*IF('19.07'!$AK74="是",'19.07'!$BB$4,'19.07'!$BB$3)),(VLOOKUP('19.07'!AE74,'19.07'!$AO$4:$AQ$55,2,FALSE))*IF('19.07'!$AK74="是",'19.07'!$BB$4,'19.07'!$BB$3))</f>
        <v>0</v>
      </c>
      <c r="X74" s="4">
        <f>IF(ISNUMBER(SEARCH("营",'19.07'!AF74)),(-$Y74+50*IF('19.07'!$AK74="是",'19.07'!$BB$4,'19.07'!$BB$3)),(VLOOKUP('19.07'!AF74,'19.07'!$AO$4:$AQ$55,2,FALSE))*IF('19.07'!$AK74="是",'19.07'!$BB$4,'19.07'!$BB$3))</f>
        <v>0</v>
      </c>
      <c r="Y74" s="18">
        <v>100</v>
      </c>
      <c r="Z74" s="15">
        <v>45800</v>
      </c>
    </row>
    <row r="75" spans="1:26">
      <c r="A75" s="4">
        <f>IF(ISNUMBER(SEARCH("营",'19.07'!I75)),(-$Y75+50*IF('19.07'!$AK75="是",'19.07'!$BB$4,'19.07'!$BB$3)),(VLOOKUP('19.07'!I75,'19.07'!$AO$4:$AQ$55,2,FALSE))*IF('19.07'!$AK75="是",'19.07'!$BB$4,'19.07'!$BB$3))</f>
        <v>0</v>
      </c>
      <c r="B75" s="4">
        <f>IF(ISNUMBER(SEARCH("营",'19.07'!J75)),(-$Y75+50*IF('19.07'!$AK75="是",'19.07'!$BB$4,'19.07'!$BB$3)),(VLOOKUP('19.07'!J75,'19.07'!$AO$4:$AQ$55,2,FALSE))*IF('19.07'!$AK75="是",'19.07'!$BB$4,'19.07'!$BB$3))</f>
        <v>0</v>
      </c>
      <c r="C75" s="4">
        <f>IF(ISNUMBER(SEARCH("营",'19.07'!K75)),(-$Y75+50*IF('19.07'!$AK75="是",'19.07'!$BB$4,'19.07'!$BB$3)),(VLOOKUP('19.07'!K75,'19.07'!$AO$4:$AQ$55,2,FALSE))*IF('19.07'!$AK75="是",'19.07'!$BB$4,'19.07'!$BB$3))</f>
        <v>0</v>
      </c>
      <c r="D75" s="4">
        <f>IF(ISNUMBER(SEARCH("营",'19.07'!L75)),(-$Y75+50*IF('19.07'!$AK75="是",'19.07'!$BB$4,'19.07'!$BB$3)),(VLOOKUP('19.07'!L75,'19.07'!$AO$4:$AQ$55,2,FALSE))*IF('19.07'!$AK75="是",'19.07'!$BB$4,'19.07'!$BB$3))</f>
        <v>0</v>
      </c>
      <c r="E75" s="4">
        <f>IF(ISNUMBER(SEARCH("营",'19.07'!M75)),(-$Y75+50*IF('19.07'!$AK75="是",'19.07'!$BB$4,'19.07'!$BB$3)),(VLOOKUP('19.07'!M75,'19.07'!$AO$4:$AQ$55,2,FALSE))*IF('19.07'!$AK75="是",'19.07'!$BB$4,'19.07'!$BB$3))</f>
        <v>0</v>
      </c>
      <c r="F75" s="4">
        <f>IF(ISNUMBER(SEARCH("营",'19.07'!N75)),(-$Y75+50*IF('19.07'!$AK75="是",'19.07'!$BB$4,'19.07'!$BB$3)),(VLOOKUP('19.07'!N75,'19.07'!$AO$4:$AQ$55,2,FALSE))*IF('19.07'!$AK75="是",'19.07'!$BB$4,'19.07'!$BB$3))</f>
        <v>0</v>
      </c>
      <c r="G75" s="4">
        <f>IF(ISNUMBER(SEARCH("营",'19.07'!O75)),(-$Y75+50*IF('19.07'!$AK75="是",'19.07'!$BB$4,'19.07'!$BB$3)),(VLOOKUP('19.07'!O75,'19.07'!$AO$4:$AQ$55,2,FALSE))*IF('19.07'!$AK75="是",'19.07'!$BB$4,'19.07'!$BB$3))</f>
        <v>0</v>
      </c>
      <c r="H75" s="4">
        <f>IF(ISNUMBER(SEARCH("营",'19.07'!P75)),(-$Y75+50*IF('19.07'!$AK75="是",'19.07'!$BB$4,'19.07'!$BB$3)),(VLOOKUP('19.07'!P75,'19.07'!$AO$4:$AQ$55,2,FALSE))*IF('19.07'!$AK75="是",'19.07'!$BB$4,'19.07'!$BB$3))</f>
        <v>0</v>
      </c>
      <c r="I75" s="4">
        <f>IF(ISNUMBER(SEARCH("营",'19.07'!Q75)),(-$Y75+50*IF('19.07'!$AK75="是",'19.07'!$BB$4,'19.07'!$BB$3)),(VLOOKUP('19.07'!Q75,'19.07'!$AO$4:$AQ$55,2,FALSE))*IF('19.07'!$AK75="是",'19.07'!$BB$4,'19.07'!$BB$3))</f>
        <v>0</v>
      </c>
      <c r="J75" s="4">
        <f>IF(ISNUMBER(SEARCH("营",'19.07'!R75)),(-$Y75+50*IF('19.07'!$AK75="是",'19.07'!$BB$4,'19.07'!$BB$3)),(VLOOKUP('19.07'!R75,'19.07'!$AO$4:$AQ$55,2,FALSE))*IF('19.07'!$AK75="是",'19.07'!$BB$4,'19.07'!$BB$3))</f>
        <v>0</v>
      </c>
      <c r="K75" s="4">
        <f>IF(ISNUMBER(SEARCH("营",'19.07'!S75)),(-$Y75+50*IF('19.07'!$AK75="是",'19.07'!$BB$4,'19.07'!$BB$3)),(VLOOKUP('19.07'!S75,'19.07'!$AO$4:$AQ$55,2,FALSE))*IF('19.07'!$AK75="是",'19.07'!$BB$4,'19.07'!$BB$3))</f>
        <v>0</v>
      </c>
      <c r="L75" s="4">
        <f>IF(ISNUMBER(SEARCH("营",'19.07'!T75)),(-$Y75+50*IF('19.07'!$AK75="是",'19.07'!$BB$4,'19.07'!$BB$3)),(VLOOKUP('19.07'!T75,'19.07'!$AO$4:$AQ$55,2,FALSE))*IF('19.07'!$AK75="是",'19.07'!$BB$4,'19.07'!$BB$3))</f>
        <v>0</v>
      </c>
      <c r="M75" s="4">
        <f>IF(ISNUMBER(SEARCH("营",'19.07'!U75)),(-$Y75+50*IF('19.07'!$AK75="是",'19.07'!$BB$4,'19.07'!$BB$3)),(VLOOKUP('19.07'!U75,'19.07'!$AO$4:$AQ$55,2,FALSE))*IF('19.07'!$AK75="是",'19.07'!$BB$4,'19.07'!$BB$3))</f>
        <v>0</v>
      </c>
      <c r="N75" s="4">
        <f>IF(ISNUMBER(SEARCH("营",'19.07'!V75)),(-$Y75+50*IF('19.07'!$AK75="是",'19.07'!$BB$4,'19.07'!$BB$3)),(VLOOKUP('19.07'!V75,'19.07'!$AO$4:$AQ$55,2,FALSE))*IF('19.07'!$AK75="是",'19.07'!$BB$4,'19.07'!$BB$3))</f>
        <v>0</v>
      </c>
      <c r="O75" s="4">
        <f>IF(ISNUMBER(SEARCH("营",'19.07'!W75)),(-$Y75+50*IF('19.07'!$AK75="是",'19.07'!$BB$4,'19.07'!$BB$3)),(VLOOKUP('19.07'!W75,'19.07'!$AO$4:$AQ$55,2,FALSE))*IF('19.07'!$AK75="是",'19.07'!$BB$4,'19.07'!$BB$3))</f>
        <v>0</v>
      </c>
      <c r="P75" s="4">
        <f>IF(ISNUMBER(SEARCH("营",'19.07'!X75)),(-$Y75+50*IF('19.07'!$AK75="是",'19.07'!$BB$4,'19.07'!$BB$3)),(VLOOKUP('19.07'!X75,'19.07'!$AO$4:$AQ$55,2,FALSE))*IF('19.07'!$AK75="是",'19.07'!$BB$4,'19.07'!$BB$3))</f>
        <v>0</v>
      </c>
      <c r="Q75" s="4">
        <f>IF(ISNUMBER(SEARCH("营",'19.07'!Y75)),(-$Y75+50*IF('19.07'!$AK75="是",'19.07'!$BB$4,'19.07'!$BB$3)),(VLOOKUP('19.07'!Y75,'19.07'!$AO$4:$AQ$55,2,FALSE))*IF('19.07'!$AK75="是",'19.07'!$BB$4,'19.07'!$BB$3))</f>
        <v>0</v>
      </c>
      <c r="R75" s="4">
        <f>IF(ISNUMBER(SEARCH("营",'19.07'!Z75)),(-$Y75+50*IF('19.07'!$AK75="是",'19.07'!$BB$4,'19.07'!$BB$3)),(VLOOKUP('19.07'!Z75,'19.07'!$AO$4:$AQ$55,2,FALSE))*IF('19.07'!$AK75="是",'19.07'!$BB$4,'19.07'!$BB$3))</f>
        <v>0</v>
      </c>
      <c r="S75" s="4">
        <f>IF(ISNUMBER(SEARCH("营",'19.07'!AA75)),(-$Y75+50*IF('19.07'!$AK75="是",'19.07'!$BB$4,'19.07'!$BB$3)),(VLOOKUP('19.07'!AA75,'19.07'!$AO$4:$AQ$55,2,FALSE))*IF('19.07'!$AK75="是",'19.07'!$BB$4,'19.07'!$BB$3))</f>
        <v>0</v>
      </c>
      <c r="T75" s="4">
        <f>IF(ISNUMBER(SEARCH("营",'19.07'!AB75)),(-$Y75+50*IF('19.07'!$AK75="是",'19.07'!$BB$4,'19.07'!$BB$3)),(VLOOKUP('19.07'!AB75,'19.07'!$AO$4:$AQ$55,2,FALSE))*IF('19.07'!$AK75="是",'19.07'!$BB$4,'19.07'!$BB$3))</f>
        <v>0</v>
      </c>
      <c r="U75" s="4">
        <f>IF(ISNUMBER(SEARCH("营",'19.07'!AC75)),(-$Y75+50*IF('19.07'!$AK75="是",'19.07'!$BB$4,'19.07'!$BB$3)),(VLOOKUP('19.07'!AC75,'19.07'!$AO$4:$AQ$55,2,FALSE))*IF('19.07'!$AK75="是",'19.07'!$BB$4,'19.07'!$BB$3))</f>
        <v>0</v>
      </c>
      <c r="V75" s="4">
        <f>IF(ISNUMBER(SEARCH("营",'19.07'!AD75)),(-$Y75+50*IF('19.07'!$AK75="是",'19.07'!$BB$4,'19.07'!$BB$3)),(VLOOKUP('19.07'!AD75,'19.07'!$AO$4:$AQ$55,2,FALSE))*IF('19.07'!$AK75="是",'19.07'!$BB$4,'19.07'!$BB$3))</f>
        <v>0</v>
      </c>
      <c r="W75" s="4">
        <f>IF(ISNUMBER(SEARCH("营",'19.07'!AE75)),(-$Y75+50*IF('19.07'!$AK75="是",'19.07'!$BB$4,'19.07'!$BB$3)),(VLOOKUP('19.07'!AE75,'19.07'!$AO$4:$AQ$55,2,FALSE))*IF('19.07'!$AK75="是",'19.07'!$BB$4,'19.07'!$BB$3))</f>
        <v>0</v>
      </c>
      <c r="X75" s="4">
        <f>IF(ISNUMBER(SEARCH("营",'19.07'!AF75)),(-$Y75+50*IF('19.07'!$AK75="是",'19.07'!$BB$4,'19.07'!$BB$3)),(VLOOKUP('19.07'!AF75,'19.07'!$AO$4:$AQ$55,2,FALSE))*IF('19.07'!$AK75="是",'19.07'!$BB$4,'19.07'!$BB$3))</f>
        <v>0</v>
      </c>
      <c r="Y75" s="18">
        <v>100</v>
      </c>
      <c r="Z75" s="15">
        <v>45801</v>
      </c>
    </row>
    <row r="76" spans="1:26">
      <c r="A76" s="4">
        <f>IF(ISNUMBER(SEARCH("营",'19.07'!I76)),(-$Y76+50*IF('19.07'!$AK76="是",'19.07'!$BB$4,'19.07'!$BB$3)),(VLOOKUP('19.07'!I76,'19.07'!$AO$4:$AQ$55,2,FALSE))*IF('19.07'!$AK76="是",'19.07'!$BB$4,'19.07'!$BB$3))</f>
        <v>0</v>
      </c>
      <c r="B76" s="4">
        <f>IF(ISNUMBER(SEARCH("营",'19.07'!J76)),(-$Y76+50*IF('19.07'!$AK76="是",'19.07'!$BB$4,'19.07'!$BB$3)),(VLOOKUP('19.07'!J76,'19.07'!$AO$4:$AQ$55,2,FALSE))*IF('19.07'!$AK76="是",'19.07'!$BB$4,'19.07'!$BB$3))</f>
        <v>0</v>
      </c>
      <c r="C76" s="4">
        <f>IF(ISNUMBER(SEARCH("营",'19.07'!K76)),(-$Y76+50*IF('19.07'!$AK76="是",'19.07'!$BB$4,'19.07'!$BB$3)),(VLOOKUP('19.07'!K76,'19.07'!$AO$4:$AQ$55,2,FALSE))*IF('19.07'!$AK76="是",'19.07'!$BB$4,'19.07'!$BB$3))</f>
        <v>0</v>
      </c>
      <c r="D76" s="4">
        <f>IF(ISNUMBER(SEARCH("营",'19.07'!L76)),(-$Y76+50*IF('19.07'!$AK76="是",'19.07'!$BB$4,'19.07'!$BB$3)),(VLOOKUP('19.07'!L76,'19.07'!$AO$4:$AQ$55,2,FALSE))*IF('19.07'!$AK76="是",'19.07'!$BB$4,'19.07'!$BB$3))</f>
        <v>0</v>
      </c>
      <c r="E76" s="4">
        <f>IF(ISNUMBER(SEARCH("营",'19.07'!M76)),(-$Y76+50*IF('19.07'!$AK76="是",'19.07'!$BB$4,'19.07'!$BB$3)),(VLOOKUP('19.07'!M76,'19.07'!$AO$4:$AQ$55,2,FALSE))*IF('19.07'!$AK76="是",'19.07'!$BB$4,'19.07'!$BB$3))</f>
        <v>0</v>
      </c>
      <c r="F76" s="4">
        <f>IF(ISNUMBER(SEARCH("营",'19.07'!N76)),(-$Y76+50*IF('19.07'!$AK76="是",'19.07'!$BB$4,'19.07'!$BB$3)),(VLOOKUP('19.07'!N76,'19.07'!$AO$4:$AQ$55,2,FALSE))*IF('19.07'!$AK76="是",'19.07'!$BB$4,'19.07'!$BB$3))</f>
        <v>0</v>
      </c>
      <c r="G76" s="4">
        <f>IF(ISNUMBER(SEARCH("营",'19.07'!O76)),(-$Y76+50*IF('19.07'!$AK76="是",'19.07'!$BB$4,'19.07'!$BB$3)),(VLOOKUP('19.07'!O76,'19.07'!$AO$4:$AQ$55,2,FALSE))*IF('19.07'!$AK76="是",'19.07'!$BB$4,'19.07'!$BB$3))</f>
        <v>0</v>
      </c>
      <c r="H76" s="4">
        <f>IF(ISNUMBER(SEARCH("营",'19.07'!P76)),(-$Y76+50*IF('19.07'!$AK76="是",'19.07'!$BB$4,'19.07'!$BB$3)),(VLOOKUP('19.07'!P76,'19.07'!$AO$4:$AQ$55,2,FALSE))*IF('19.07'!$AK76="是",'19.07'!$BB$4,'19.07'!$BB$3))</f>
        <v>0</v>
      </c>
      <c r="I76" s="4">
        <f>IF(ISNUMBER(SEARCH("营",'19.07'!Q76)),(-$Y76+50*IF('19.07'!$AK76="是",'19.07'!$BB$4,'19.07'!$BB$3)),(VLOOKUP('19.07'!Q76,'19.07'!$AO$4:$AQ$55,2,FALSE))*IF('19.07'!$AK76="是",'19.07'!$BB$4,'19.07'!$BB$3))</f>
        <v>0</v>
      </c>
      <c r="J76" s="4">
        <f>IF(ISNUMBER(SEARCH("营",'19.07'!R76)),(-$Y76+50*IF('19.07'!$AK76="是",'19.07'!$BB$4,'19.07'!$BB$3)),(VLOOKUP('19.07'!R76,'19.07'!$AO$4:$AQ$55,2,FALSE))*IF('19.07'!$AK76="是",'19.07'!$BB$4,'19.07'!$BB$3))</f>
        <v>0</v>
      </c>
      <c r="K76" s="4">
        <f>IF(ISNUMBER(SEARCH("营",'19.07'!S76)),(-$Y76+50*IF('19.07'!$AK76="是",'19.07'!$BB$4,'19.07'!$BB$3)),(VLOOKUP('19.07'!S76,'19.07'!$AO$4:$AQ$55,2,FALSE))*IF('19.07'!$AK76="是",'19.07'!$BB$4,'19.07'!$BB$3))</f>
        <v>0</v>
      </c>
      <c r="L76" s="4">
        <f>IF(ISNUMBER(SEARCH("营",'19.07'!T76)),(-$Y76+50*IF('19.07'!$AK76="是",'19.07'!$BB$4,'19.07'!$BB$3)),(VLOOKUP('19.07'!T76,'19.07'!$AO$4:$AQ$55,2,FALSE))*IF('19.07'!$AK76="是",'19.07'!$BB$4,'19.07'!$BB$3))</f>
        <v>0</v>
      </c>
      <c r="M76" s="4">
        <f>IF(ISNUMBER(SEARCH("营",'19.07'!U76)),(-$Y76+50*IF('19.07'!$AK76="是",'19.07'!$BB$4,'19.07'!$BB$3)),(VLOOKUP('19.07'!U76,'19.07'!$AO$4:$AQ$55,2,FALSE))*IF('19.07'!$AK76="是",'19.07'!$BB$4,'19.07'!$BB$3))</f>
        <v>0</v>
      </c>
      <c r="N76" s="4">
        <f>IF(ISNUMBER(SEARCH("营",'19.07'!V76)),(-$Y76+50*IF('19.07'!$AK76="是",'19.07'!$BB$4,'19.07'!$BB$3)),(VLOOKUP('19.07'!V76,'19.07'!$AO$4:$AQ$55,2,FALSE))*IF('19.07'!$AK76="是",'19.07'!$BB$4,'19.07'!$BB$3))</f>
        <v>0</v>
      </c>
      <c r="O76" s="4">
        <f>IF(ISNUMBER(SEARCH("营",'19.07'!W76)),(-$Y76+50*IF('19.07'!$AK76="是",'19.07'!$BB$4,'19.07'!$BB$3)),(VLOOKUP('19.07'!W76,'19.07'!$AO$4:$AQ$55,2,FALSE))*IF('19.07'!$AK76="是",'19.07'!$BB$4,'19.07'!$BB$3))</f>
        <v>0</v>
      </c>
      <c r="P76" s="4">
        <f>IF(ISNUMBER(SEARCH("营",'19.07'!X76)),(-$Y76+50*IF('19.07'!$AK76="是",'19.07'!$BB$4,'19.07'!$BB$3)),(VLOOKUP('19.07'!X76,'19.07'!$AO$4:$AQ$55,2,FALSE))*IF('19.07'!$AK76="是",'19.07'!$BB$4,'19.07'!$BB$3))</f>
        <v>0</v>
      </c>
      <c r="Q76" s="4">
        <f>IF(ISNUMBER(SEARCH("营",'19.07'!Y76)),(-$Y76+50*IF('19.07'!$AK76="是",'19.07'!$BB$4,'19.07'!$BB$3)),(VLOOKUP('19.07'!Y76,'19.07'!$AO$4:$AQ$55,2,FALSE))*IF('19.07'!$AK76="是",'19.07'!$BB$4,'19.07'!$BB$3))</f>
        <v>0</v>
      </c>
      <c r="R76" s="4">
        <f>IF(ISNUMBER(SEARCH("营",'19.07'!Z76)),(-$Y76+50*IF('19.07'!$AK76="是",'19.07'!$BB$4,'19.07'!$BB$3)),(VLOOKUP('19.07'!Z76,'19.07'!$AO$4:$AQ$55,2,FALSE))*IF('19.07'!$AK76="是",'19.07'!$BB$4,'19.07'!$BB$3))</f>
        <v>0</v>
      </c>
      <c r="S76" s="4">
        <f>IF(ISNUMBER(SEARCH("营",'19.07'!AA76)),(-$Y76+50*IF('19.07'!$AK76="是",'19.07'!$BB$4,'19.07'!$BB$3)),(VLOOKUP('19.07'!AA76,'19.07'!$AO$4:$AQ$55,2,FALSE))*IF('19.07'!$AK76="是",'19.07'!$BB$4,'19.07'!$BB$3))</f>
        <v>0</v>
      </c>
      <c r="T76" s="4">
        <f>IF(ISNUMBER(SEARCH("营",'19.07'!AB76)),(-$Y76+50*IF('19.07'!$AK76="是",'19.07'!$BB$4,'19.07'!$BB$3)),(VLOOKUP('19.07'!AB76,'19.07'!$AO$4:$AQ$55,2,FALSE))*IF('19.07'!$AK76="是",'19.07'!$BB$4,'19.07'!$BB$3))</f>
        <v>0</v>
      </c>
      <c r="U76" s="4">
        <f>IF(ISNUMBER(SEARCH("营",'19.07'!AC76)),(-$Y76+50*IF('19.07'!$AK76="是",'19.07'!$BB$4,'19.07'!$BB$3)),(VLOOKUP('19.07'!AC76,'19.07'!$AO$4:$AQ$55,2,FALSE))*IF('19.07'!$AK76="是",'19.07'!$BB$4,'19.07'!$BB$3))</f>
        <v>0</v>
      </c>
      <c r="V76" s="4">
        <f>IF(ISNUMBER(SEARCH("营",'19.07'!AD76)),(-$Y76+50*IF('19.07'!$AK76="是",'19.07'!$BB$4,'19.07'!$BB$3)),(VLOOKUP('19.07'!AD76,'19.07'!$AO$4:$AQ$55,2,FALSE))*IF('19.07'!$AK76="是",'19.07'!$BB$4,'19.07'!$BB$3))</f>
        <v>0</v>
      </c>
      <c r="W76" s="4">
        <f>IF(ISNUMBER(SEARCH("营",'19.07'!AE76)),(-$Y76+50*IF('19.07'!$AK76="是",'19.07'!$BB$4,'19.07'!$BB$3)),(VLOOKUP('19.07'!AE76,'19.07'!$AO$4:$AQ$55,2,FALSE))*IF('19.07'!$AK76="是",'19.07'!$BB$4,'19.07'!$BB$3))</f>
        <v>0</v>
      </c>
      <c r="X76" s="4">
        <f>IF(ISNUMBER(SEARCH("营",'19.07'!AF76)),(-$Y76+50*IF('19.07'!$AK76="是",'19.07'!$BB$4,'19.07'!$BB$3)),(VLOOKUP('19.07'!AF76,'19.07'!$AO$4:$AQ$55,2,FALSE))*IF('19.07'!$AK76="是",'19.07'!$BB$4,'19.07'!$BB$3))</f>
        <v>0</v>
      </c>
      <c r="Y76" s="18">
        <v>100</v>
      </c>
      <c r="Z76" s="15">
        <v>45802</v>
      </c>
    </row>
    <row r="77" spans="1:26">
      <c r="A77" s="4">
        <f>IF(ISNUMBER(SEARCH("营",'19.07'!I77)),(-$Y77+50*IF('19.07'!$AK77="是",'19.07'!$BB$4,'19.07'!$BB$3)),(VLOOKUP('19.07'!I77,'19.07'!$AO$4:$AQ$55,2,FALSE))*IF('19.07'!$AK77="是",'19.07'!$BB$4,'19.07'!$BB$3))</f>
        <v>0</v>
      </c>
      <c r="B77" s="4">
        <f>IF(ISNUMBER(SEARCH("营",'19.07'!J77)),(-$Y77+50*IF('19.07'!$AK77="是",'19.07'!$BB$4,'19.07'!$BB$3)),(VLOOKUP('19.07'!J77,'19.07'!$AO$4:$AQ$55,2,FALSE))*IF('19.07'!$AK77="是",'19.07'!$BB$4,'19.07'!$BB$3))</f>
        <v>0</v>
      </c>
      <c r="C77" s="4">
        <f>IF(ISNUMBER(SEARCH("营",'19.07'!K77)),(-$Y77+50*IF('19.07'!$AK77="是",'19.07'!$BB$4,'19.07'!$BB$3)),(VLOOKUP('19.07'!K77,'19.07'!$AO$4:$AQ$55,2,FALSE))*IF('19.07'!$AK77="是",'19.07'!$BB$4,'19.07'!$BB$3))</f>
        <v>0</v>
      </c>
      <c r="D77" s="4">
        <f>IF(ISNUMBER(SEARCH("营",'19.07'!L77)),(-$Y77+50*IF('19.07'!$AK77="是",'19.07'!$BB$4,'19.07'!$BB$3)),(VLOOKUP('19.07'!L77,'19.07'!$AO$4:$AQ$55,2,FALSE))*IF('19.07'!$AK77="是",'19.07'!$BB$4,'19.07'!$BB$3))</f>
        <v>0</v>
      </c>
      <c r="E77" s="4">
        <f>IF(ISNUMBER(SEARCH("营",'19.07'!M77)),(-$Y77+50*IF('19.07'!$AK77="是",'19.07'!$BB$4,'19.07'!$BB$3)),(VLOOKUP('19.07'!M77,'19.07'!$AO$4:$AQ$55,2,FALSE))*IF('19.07'!$AK77="是",'19.07'!$BB$4,'19.07'!$BB$3))</f>
        <v>0</v>
      </c>
      <c r="F77" s="4">
        <f>IF(ISNUMBER(SEARCH("营",'19.07'!N77)),(-$Y77+50*IF('19.07'!$AK77="是",'19.07'!$BB$4,'19.07'!$BB$3)),(VLOOKUP('19.07'!N77,'19.07'!$AO$4:$AQ$55,2,FALSE))*IF('19.07'!$AK77="是",'19.07'!$BB$4,'19.07'!$BB$3))</f>
        <v>0</v>
      </c>
      <c r="G77" s="4">
        <f>IF(ISNUMBER(SEARCH("营",'19.07'!O77)),(-$Y77+50*IF('19.07'!$AK77="是",'19.07'!$BB$4,'19.07'!$BB$3)),(VLOOKUP('19.07'!O77,'19.07'!$AO$4:$AQ$55,2,FALSE))*IF('19.07'!$AK77="是",'19.07'!$BB$4,'19.07'!$BB$3))</f>
        <v>0</v>
      </c>
      <c r="H77" s="4">
        <f>IF(ISNUMBER(SEARCH("营",'19.07'!P77)),(-$Y77+50*IF('19.07'!$AK77="是",'19.07'!$BB$4,'19.07'!$BB$3)),(VLOOKUP('19.07'!P77,'19.07'!$AO$4:$AQ$55,2,FALSE))*IF('19.07'!$AK77="是",'19.07'!$BB$4,'19.07'!$BB$3))</f>
        <v>0</v>
      </c>
      <c r="I77" s="4">
        <f>IF(ISNUMBER(SEARCH("营",'19.07'!Q77)),(-$Y77+50*IF('19.07'!$AK77="是",'19.07'!$BB$4,'19.07'!$BB$3)),(VLOOKUP('19.07'!Q77,'19.07'!$AO$4:$AQ$55,2,FALSE))*IF('19.07'!$AK77="是",'19.07'!$BB$4,'19.07'!$BB$3))</f>
        <v>0</v>
      </c>
      <c r="J77" s="4">
        <f>IF(ISNUMBER(SEARCH("营",'19.07'!R77)),(-$Y77+50*IF('19.07'!$AK77="是",'19.07'!$BB$4,'19.07'!$BB$3)),(VLOOKUP('19.07'!R77,'19.07'!$AO$4:$AQ$55,2,FALSE))*IF('19.07'!$AK77="是",'19.07'!$BB$4,'19.07'!$BB$3))</f>
        <v>0</v>
      </c>
      <c r="K77" s="4">
        <f>IF(ISNUMBER(SEARCH("营",'19.07'!S77)),(-$Y77+50*IF('19.07'!$AK77="是",'19.07'!$BB$4,'19.07'!$BB$3)),(VLOOKUP('19.07'!S77,'19.07'!$AO$4:$AQ$55,2,FALSE))*IF('19.07'!$AK77="是",'19.07'!$BB$4,'19.07'!$BB$3))</f>
        <v>0</v>
      </c>
      <c r="L77" s="4">
        <f>IF(ISNUMBER(SEARCH("营",'19.07'!T77)),(-$Y77+50*IF('19.07'!$AK77="是",'19.07'!$BB$4,'19.07'!$BB$3)),(VLOOKUP('19.07'!T77,'19.07'!$AO$4:$AQ$55,2,FALSE))*IF('19.07'!$AK77="是",'19.07'!$BB$4,'19.07'!$BB$3))</f>
        <v>0</v>
      </c>
      <c r="M77" s="4">
        <f>IF(ISNUMBER(SEARCH("营",'19.07'!U77)),(-$Y77+50*IF('19.07'!$AK77="是",'19.07'!$BB$4,'19.07'!$BB$3)),(VLOOKUP('19.07'!U77,'19.07'!$AO$4:$AQ$55,2,FALSE))*IF('19.07'!$AK77="是",'19.07'!$BB$4,'19.07'!$BB$3))</f>
        <v>0</v>
      </c>
      <c r="N77" s="4">
        <f>IF(ISNUMBER(SEARCH("营",'19.07'!V77)),(-$Y77+50*IF('19.07'!$AK77="是",'19.07'!$BB$4,'19.07'!$BB$3)),(VLOOKUP('19.07'!V77,'19.07'!$AO$4:$AQ$55,2,FALSE))*IF('19.07'!$AK77="是",'19.07'!$BB$4,'19.07'!$BB$3))</f>
        <v>0</v>
      </c>
      <c r="O77" s="4">
        <f>IF(ISNUMBER(SEARCH("营",'19.07'!W77)),(-$Y77+50*IF('19.07'!$AK77="是",'19.07'!$BB$4,'19.07'!$BB$3)),(VLOOKUP('19.07'!W77,'19.07'!$AO$4:$AQ$55,2,FALSE))*IF('19.07'!$AK77="是",'19.07'!$BB$4,'19.07'!$BB$3))</f>
        <v>0</v>
      </c>
      <c r="P77" s="4">
        <f>IF(ISNUMBER(SEARCH("营",'19.07'!X77)),(-$Y77+50*IF('19.07'!$AK77="是",'19.07'!$BB$4,'19.07'!$BB$3)),(VLOOKUP('19.07'!X77,'19.07'!$AO$4:$AQ$55,2,FALSE))*IF('19.07'!$AK77="是",'19.07'!$BB$4,'19.07'!$BB$3))</f>
        <v>0</v>
      </c>
      <c r="Q77" s="4">
        <f>IF(ISNUMBER(SEARCH("营",'19.07'!Y77)),(-$Y77+50*IF('19.07'!$AK77="是",'19.07'!$BB$4,'19.07'!$BB$3)),(VLOOKUP('19.07'!Y77,'19.07'!$AO$4:$AQ$55,2,FALSE))*IF('19.07'!$AK77="是",'19.07'!$BB$4,'19.07'!$BB$3))</f>
        <v>0</v>
      </c>
      <c r="R77" s="4">
        <f>IF(ISNUMBER(SEARCH("营",'19.07'!Z77)),(-$Y77+50*IF('19.07'!$AK77="是",'19.07'!$BB$4,'19.07'!$BB$3)),(VLOOKUP('19.07'!Z77,'19.07'!$AO$4:$AQ$55,2,FALSE))*IF('19.07'!$AK77="是",'19.07'!$BB$4,'19.07'!$BB$3))</f>
        <v>0</v>
      </c>
      <c r="S77" s="4">
        <f>IF(ISNUMBER(SEARCH("营",'19.07'!AA77)),(-$Y77+50*IF('19.07'!$AK77="是",'19.07'!$BB$4,'19.07'!$BB$3)),(VLOOKUP('19.07'!AA77,'19.07'!$AO$4:$AQ$55,2,FALSE))*IF('19.07'!$AK77="是",'19.07'!$BB$4,'19.07'!$BB$3))</f>
        <v>0</v>
      </c>
      <c r="T77" s="4">
        <f>IF(ISNUMBER(SEARCH("营",'19.07'!AB77)),(-$Y77+50*IF('19.07'!$AK77="是",'19.07'!$BB$4,'19.07'!$BB$3)),(VLOOKUP('19.07'!AB77,'19.07'!$AO$4:$AQ$55,2,FALSE))*IF('19.07'!$AK77="是",'19.07'!$BB$4,'19.07'!$BB$3))</f>
        <v>0</v>
      </c>
      <c r="U77" s="4">
        <f>IF(ISNUMBER(SEARCH("营",'19.07'!AC77)),(-$Y77+50*IF('19.07'!$AK77="是",'19.07'!$BB$4,'19.07'!$BB$3)),(VLOOKUP('19.07'!AC77,'19.07'!$AO$4:$AQ$55,2,FALSE))*IF('19.07'!$AK77="是",'19.07'!$BB$4,'19.07'!$BB$3))</f>
        <v>0</v>
      </c>
      <c r="V77" s="4">
        <f>IF(ISNUMBER(SEARCH("营",'19.07'!AD77)),(-$Y77+50*IF('19.07'!$AK77="是",'19.07'!$BB$4,'19.07'!$BB$3)),(VLOOKUP('19.07'!AD77,'19.07'!$AO$4:$AQ$55,2,FALSE))*IF('19.07'!$AK77="是",'19.07'!$BB$4,'19.07'!$BB$3))</f>
        <v>0</v>
      </c>
      <c r="W77" s="4">
        <f>IF(ISNUMBER(SEARCH("营",'19.07'!AE77)),(-$Y77+50*IF('19.07'!$AK77="是",'19.07'!$BB$4,'19.07'!$BB$3)),(VLOOKUP('19.07'!AE77,'19.07'!$AO$4:$AQ$55,2,FALSE))*IF('19.07'!$AK77="是",'19.07'!$BB$4,'19.07'!$BB$3))</f>
        <v>0</v>
      </c>
      <c r="X77" s="4">
        <f>IF(ISNUMBER(SEARCH("营",'19.07'!AF77)),(-$Y77+50*IF('19.07'!$AK77="是",'19.07'!$BB$4,'19.07'!$BB$3)),(VLOOKUP('19.07'!AF77,'19.07'!$AO$4:$AQ$55,2,FALSE))*IF('19.07'!$AK77="是",'19.07'!$BB$4,'19.07'!$BB$3))</f>
        <v>0</v>
      </c>
      <c r="Y77" s="18">
        <v>100</v>
      </c>
      <c r="Z77" s="15">
        <v>45803</v>
      </c>
    </row>
    <row r="78" spans="1:26">
      <c r="A78" s="4">
        <f>IF(ISNUMBER(SEARCH("营",'19.07'!I78)),(-$Y78+50*IF('19.07'!$AK78="是",'19.07'!$BB$4,'19.07'!$BB$3)),(VLOOKUP('19.07'!I78,'19.07'!$AO$4:$AQ$55,2,FALSE))*IF('19.07'!$AK78="是",'19.07'!$BB$4,'19.07'!$BB$3))</f>
        <v>0</v>
      </c>
      <c r="B78" s="4">
        <f>IF(ISNUMBER(SEARCH("营",'19.07'!J78)),(-$Y78+50*IF('19.07'!$AK78="是",'19.07'!$BB$4,'19.07'!$BB$3)),(VLOOKUP('19.07'!J78,'19.07'!$AO$4:$AQ$55,2,FALSE))*IF('19.07'!$AK78="是",'19.07'!$BB$4,'19.07'!$BB$3))</f>
        <v>0</v>
      </c>
      <c r="C78" s="4">
        <f>IF(ISNUMBER(SEARCH("营",'19.07'!K78)),(-$Y78+50*IF('19.07'!$AK78="是",'19.07'!$BB$4,'19.07'!$BB$3)),(VLOOKUP('19.07'!K78,'19.07'!$AO$4:$AQ$55,2,FALSE))*IF('19.07'!$AK78="是",'19.07'!$BB$4,'19.07'!$BB$3))</f>
        <v>0</v>
      </c>
      <c r="D78" s="4">
        <f>IF(ISNUMBER(SEARCH("营",'19.07'!L78)),(-$Y78+50*IF('19.07'!$AK78="是",'19.07'!$BB$4,'19.07'!$BB$3)),(VLOOKUP('19.07'!L78,'19.07'!$AO$4:$AQ$55,2,FALSE))*IF('19.07'!$AK78="是",'19.07'!$BB$4,'19.07'!$BB$3))</f>
        <v>0</v>
      </c>
      <c r="E78" s="4">
        <f>IF(ISNUMBER(SEARCH("营",'19.07'!M78)),(-$Y78+50*IF('19.07'!$AK78="是",'19.07'!$BB$4,'19.07'!$BB$3)),(VLOOKUP('19.07'!M78,'19.07'!$AO$4:$AQ$55,2,FALSE))*IF('19.07'!$AK78="是",'19.07'!$BB$4,'19.07'!$BB$3))</f>
        <v>0</v>
      </c>
      <c r="F78" s="4">
        <f>IF(ISNUMBER(SEARCH("营",'19.07'!N78)),(-$Y78+50*IF('19.07'!$AK78="是",'19.07'!$BB$4,'19.07'!$BB$3)),(VLOOKUP('19.07'!N78,'19.07'!$AO$4:$AQ$55,2,FALSE))*IF('19.07'!$AK78="是",'19.07'!$BB$4,'19.07'!$BB$3))</f>
        <v>0</v>
      </c>
      <c r="G78" s="4">
        <f>IF(ISNUMBER(SEARCH("营",'19.07'!O78)),(-$Y78+50*IF('19.07'!$AK78="是",'19.07'!$BB$4,'19.07'!$BB$3)),(VLOOKUP('19.07'!O78,'19.07'!$AO$4:$AQ$55,2,FALSE))*IF('19.07'!$AK78="是",'19.07'!$BB$4,'19.07'!$BB$3))</f>
        <v>0</v>
      </c>
      <c r="H78" s="4">
        <f>IF(ISNUMBER(SEARCH("营",'19.07'!P78)),(-$Y78+50*IF('19.07'!$AK78="是",'19.07'!$BB$4,'19.07'!$BB$3)),(VLOOKUP('19.07'!P78,'19.07'!$AO$4:$AQ$55,2,FALSE))*IF('19.07'!$AK78="是",'19.07'!$BB$4,'19.07'!$BB$3))</f>
        <v>0</v>
      </c>
      <c r="I78" s="4">
        <f>IF(ISNUMBER(SEARCH("营",'19.07'!Q78)),(-$Y78+50*IF('19.07'!$AK78="是",'19.07'!$BB$4,'19.07'!$BB$3)),(VLOOKUP('19.07'!Q78,'19.07'!$AO$4:$AQ$55,2,FALSE))*IF('19.07'!$AK78="是",'19.07'!$BB$4,'19.07'!$BB$3))</f>
        <v>0</v>
      </c>
      <c r="J78" s="4">
        <f>IF(ISNUMBER(SEARCH("营",'19.07'!R78)),(-$Y78+50*IF('19.07'!$AK78="是",'19.07'!$BB$4,'19.07'!$BB$3)),(VLOOKUP('19.07'!R78,'19.07'!$AO$4:$AQ$55,2,FALSE))*IF('19.07'!$AK78="是",'19.07'!$BB$4,'19.07'!$BB$3))</f>
        <v>0</v>
      </c>
      <c r="K78" s="4">
        <f>IF(ISNUMBER(SEARCH("营",'19.07'!S78)),(-$Y78+50*IF('19.07'!$AK78="是",'19.07'!$BB$4,'19.07'!$BB$3)),(VLOOKUP('19.07'!S78,'19.07'!$AO$4:$AQ$55,2,FALSE))*IF('19.07'!$AK78="是",'19.07'!$BB$4,'19.07'!$BB$3))</f>
        <v>0</v>
      </c>
      <c r="L78" s="4">
        <f>IF(ISNUMBER(SEARCH("营",'19.07'!T78)),(-$Y78+50*IF('19.07'!$AK78="是",'19.07'!$BB$4,'19.07'!$BB$3)),(VLOOKUP('19.07'!T78,'19.07'!$AO$4:$AQ$55,2,FALSE))*IF('19.07'!$AK78="是",'19.07'!$BB$4,'19.07'!$BB$3))</f>
        <v>0</v>
      </c>
      <c r="M78" s="4">
        <f>IF(ISNUMBER(SEARCH("营",'19.07'!U78)),(-$Y78+50*IF('19.07'!$AK78="是",'19.07'!$BB$4,'19.07'!$BB$3)),(VLOOKUP('19.07'!U78,'19.07'!$AO$4:$AQ$55,2,FALSE))*IF('19.07'!$AK78="是",'19.07'!$BB$4,'19.07'!$BB$3))</f>
        <v>0</v>
      </c>
      <c r="N78" s="4">
        <f>IF(ISNUMBER(SEARCH("营",'19.07'!V78)),(-$Y78+50*IF('19.07'!$AK78="是",'19.07'!$BB$4,'19.07'!$BB$3)),(VLOOKUP('19.07'!V78,'19.07'!$AO$4:$AQ$55,2,FALSE))*IF('19.07'!$AK78="是",'19.07'!$BB$4,'19.07'!$BB$3))</f>
        <v>0</v>
      </c>
      <c r="O78" s="4">
        <f>IF(ISNUMBER(SEARCH("营",'19.07'!W78)),(-$Y78+50*IF('19.07'!$AK78="是",'19.07'!$BB$4,'19.07'!$BB$3)),(VLOOKUP('19.07'!W78,'19.07'!$AO$4:$AQ$55,2,FALSE))*IF('19.07'!$AK78="是",'19.07'!$BB$4,'19.07'!$BB$3))</f>
        <v>0</v>
      </c>
      <c r="P78" s="4">
        <f>IF(ISNUMBER(SEARCH("营",'19.07'!X78)),(-$Y78+50*IF('19.07'!$AK78="是",'19.07'!$BB$4,'19.07'!$BB$3)),(VLOOKUP('19.07'!X78,'19.07'!$AO$4:$AQ$55,2,FALSE))*IF('19.07'!$AK78="是",'19.07'!$BB$4,'19.07'!$BB$3))</f>
        <v>0</v>
      </c>
      <c r="Q78" s="4">
        <f>IF(ISNUMBER(SEARCH("营",'19.07'!Y78)),(-$Y78+50*IF('19.07'!$AK78="是",'19.07'!$BB$4,'19.07'!$BB$3)),(VLOOKUP('19.07'!Y78,'19.07'!$AO$4:$AQ$55,2,FALSE))*IF('19.07'!$AK78="是",'19.07'!$BB$4,'19.07'!$BB$3))</f>
        <v>0</v>
      </c>
      <c r="R78" s="4">
        <f>IF(ISNUMBER(SEARCH("营",'19.07'!Z78)),(-$Y78+50*IF('19.07'!$AK78="是",'19.07'!$BB$4,'19.07'!$BB$3)),(VLOOKUP('19.07'!Z78,'19.07'!$AO$4:$AQ$55,2,FALSE))*IF('19.07'!$AK78="是",'19.07'!$BB$4,'19.07'!$BB$3))</f>
        <v>0</v>
      </c>
      <c r="S78" s="4">
        <f>IF(ISNUMBER(SEARCH("营",'19.07'!AA78)),(-$Y78+50*IF('19.07'!$AK78="是",'19.07'!$BB$4,'19.07'!$BB$3)),(VLOOKUP('19.07'!AA78,'19.07'!$AO$4:$AQ$55,2,FALSE))*IF('19.07'!$AK78="是",'19.07'!$BB$4,'19.07'!$BB$3))</f>
        <v>0</v>
      </c>
      <c r="T78" s="4">
        <f>IF(ISNUMBER(SEARCH("营",'19.07'!AB78)),(-$Y78+50*IF('19.07'!$AK78="是",'19.07'!$BB$4,'19.07'!$BB$3)),(VLOOKUP('19.07'!AB78,'19.07'!$AO$4:$AQ$55,2,FALSE))*IF('19.07'!$AK78="是",'19.07'!$BB$4,'19.07'!$BB$3))</f>
        <v>0</v>
      </c>
      <c r="U78" s="4">
        <f>IF(ISNUMBER(SEARCH("营",'19.07'!AC78)),(-$Y78+50*IF('19.07'!$AK78="是",'19.07'!$BB$4,'19.07'!$BB$3)),(VLOOKUP('19.07'!AC78,'19.07'!$AO$4:$AQ$55,2,FALSE))*IF('19.07'!$AK78="是",'19.07'!$BB$4,'19.07'!$BB$3))</f>
        <v>0</v>
      </c>
      <c r="V78" s="4">
        <f>IF(ISNUMBER(SEARCH("营",'19.07'!AD78)),(-$Y78+50*IF('19.07'!$AK78="是",'19.07'!$BB$4,'19.07'!$BB$3)),(VLOOKUP('19.07'!AD78,'19.07'!$AO$4:$AQ$55,2,FALSE))*IF('19.07'!$AK78="是",'19.07'!$BB$4,'19.07'!$BB$3))</f>
        <v>0</v>
      </c>
      <c r="W78" s="4">
        <f>IF(ISNUMBER(SEARCH("营",'19.07'!AE78)),(-$Y78+50*IF('19.07'!$AK78="是",'19.07'!$BB$4,'19.07'!$BB$3)),(VLOOKUP('19.07'!AE78,'19.07'!$AO$4:$AQ$55,2,FALSE))*IF('19.07'!$AK78="是",'19.07'!$BB$4,'19.07'!$BB$3))</f>
        <v>0</v>
      </c>
      <c r="X78" s="4">
        <f>IF(ISNUMBER(SEARCH("营",'19.07'!AF78)),(-$Y78+50*IF('19.07'!$AK78="是",'19.07'!$BB$4,'19.07'!$BB$3)),(VLOOKUP('19.07'!AF78,'19.07'!$AO$4:$AQ$55,2,FALSE))*IF('19.07'!$AK78="是",'19.07'!$BB$4,'19.07'!$BB$3))</f>
        <v>0</v>
      </c>
      <c r="Y78" s="18">
        <v>100</v>
      </c>
      <c r="Z78" s="15">
        <v>45804</v>
      </c>
    </row>
    <row r="79" spans="1:26">
      <c r="A79" s="4">
        <f>IF(ISNUMBER(SEARCH("营",'19.07'!I79)),(-$Y79+50*IF('19.07'!$AK79="是",'19.07'!$BB$4,'19.07'!$BB$3)),(VLOOKUP('19.07'!I79,'19.07'!$AO$4:$AQ$55,2,FALSE))*IF('19.07'!$AK79="是",'19.07'!$BB$4,'19.07'!$BB$3))</f>
        <v>0</v>
      </c>
      <c r="B79" s="4">
        <f>IF(ISNUMBER(SEARCH("营",'19.07'!J79)),(-$Y79+50*IF('19.07'!$AK79="是",'19.07'!$BB$4,'19.07'!$BB$3)),(VLOOKUP('19.07'!J79,'19.07'!$AO$4:$AQ$55,2,FALSE))*IF('19.07'!$AK79="是",'19.07'!$BB$4,'19.07'!$BB$3))</f>
        <v>0</v>
      </c>
      <c r="C79" s="4">
        <f>IF(ISNUMBER(SEARCH("营",'19.07'!K79)),(-$Y79+50*IF('19.07'!$AK79="是",'19.07'!$BB$4,'19.07'!$BB$3)),(VLOOKUP('19.07'!K79,'19.07'!$AO$4:$AQ$55,2,FALSE))*IF('19.07'!$AK79="是",'19.07'!$BB$4,'19.07'!$BB$3))</f>
        <v>0</v>
      </c>
      <c r="D79" s="4">
        <f>IF(ISNUMBER(SEARCH("营",'19.07'!L79)),(-$Y79+50*IF('19.07'!$AK79="是",'19.07'!$BB$4,'19.07'!$BB$3)),(VLOOKUP('19.07'!L79,'19.07'!$AO$4:$AQ$55,2,FALSE))*IF('19.07'!$AK79="是",'19.07'!$BB$4,'19.07'!$BB$3))</f>
        <v>0</v>
      </c>
      <c r="E79" s="4">
        <f>IF(ISNUMBER(SEARCH("营",'19.07'!M79)),(-$Y79+50*IF('19.07'!$AK79="是",'19.07'!$BB$4,'19.07'!$BB$3)),(VLOOKUP('19.07'!M79,'19.07'!$AO$4:$AQ$55,2,FALSE))*IF('19.07'!$AK79="是",'19.07'!$BB$4,'19.07'!$BB$3))</f>
        <v>0</v>
      </c>
      <c r="F79" s="4">
        <f>IF(ISNUMBER(SEARCH("营",'19.07'!N79)),(-$Y79+50*IF('19.07'!$AK79="是",'19.07'!$BB$4,'19.07'!$BB$3)),(VLOOKUP('19.07'!N79,'19.07'!$AO$4:$AQ$55,2,FALSE))*IF('19.07'!$AK79="是",'19.07'!$BB$4,'19.07'!$BB$3))</f>
        <v>0</v>
      </c>
      <c r="G79" s="4">
        <f>IF(ISNUMBER(SEARCH("营",'19.07'!O79)),(-$Y79+50*IF('19.07'!$AK79="是",'19.07'!$BB$4,'19.07'!$BB$3)),(VLOOKUP('19.07'!O79,'19.07'!$AO$4:$AQ$55,2,FALSE))*IF('19.07'!$AK79="是",'19.07'!$BB$4,'19.07'!$BB$3))</f>
        <v>0</v>
      </c>
      <c r="H79" s="4">
        <f>IF(ISNUMBER(SEARCH("营",'19.07'!P79)),(-$Y79+50*IF('19.07'!$AK79="是",'19.07'!$BB$4,'19.07'!$BB$3)),(VLOOKUP('19.07'!P79,'19.07'!$AO$4:$AQ$55,2,FALSE))*IF('19.07'!$AK79="是",'19.07'!$BB$4,'19.07'!$BB$3))</f>
        <v>0</v>
      </c>
      <c r="I79" s="4">
        <f>IF(ISNUMBER(SEARCH("营",'19.07'!Q79)),(-$Y79+50*IF('19.07'!$AK79="是",'19.07'!$BB$4,'19.07'!$BB$3)),(VLOOKUP('19.07'!Q79,'19.07'!$AO$4:$AQ$55,2,FALSE))*IF('19.07'!$AK79="是",'19.07'!$BB$4,'19.07'!$BB$3))</f>
        <v>0</v>
      </c>
      <c r="J79" s="4">
        <f>IF(ISNUMBER(SEARCH("营",'19.07'!R79)),(-$Y79+50*IF('19.07'!$AK79="是",'19.07'!$BB$4,'19.07'!$BB$3)),(VLOOKUP('19.07'!R79,'19.07'!$AO$4:$AQ$55,2,FALSE))*IF('19.07'!$AK79="是",'19.07'!$BB$4,'19.07'!$BB$3))</f>
        <v>0</v>
      </c>
      <c r="K79" s="4">
        <f>IF(ISNUMBER(SEARCH("营",'19.07'!S79)),(-$Y79+50*IF('19.07'!$AK79="是",'19.07'!$BB$4,'19.07'!$BB$3)),(VLOOKUP('19.07'!S79,'19.07'!$AO$4:$AQ$55,2,FALSE))*IF('19.07'!$AK79="是",'19.07'!$BB$4,'19.07'!$BB$3))</f>
        <v>0</v>
      </c>
      <c r="L79" s="4">
        <f>IF(ISNUMBER(SEARCH("营",'19.07'!T79)),(-$Y79+50*IF('19.07'!$AK79="是",'19.07'!$BB$4,'19.07'!$BB$3)),(VLOOKUP('19.07'!T79,'19.07'!$AO$4:$AQ$55,2,FALSE))*IF('19.07'!$AK79="是",'19.07'!$BB$4,'19.07'!$BB$3))</f>
        <v>0</v>
      </c>
      <c r="M79" s="4">
        <f>IF(ISNUMBER(SEARCH("营",'19.07'!U79)),(-$Y79+50*IF('19.07'!$AK79="是",'19.07'!$BB$4,'19.07'!$BB$3)),(VLOOKUP('19.07'!U79,'19.07'!$AO$4:$AQ$55,2,FALSE))*IF('19.07'!$AK79="是",'19.07'!$BB$4,'19.07'!$BB$3))</f>
        <v>0</v>
      </c>
      <c r="N79" s="4">
        <f>IF(ISNUMBER(SEARCH("营",'19.07'!V79)),(-$Y79+50*IF('19.07'!$AK79="是",'19.07'!$BB$4,'19.07'!$BB$3)),(VLOOKUP('19.07'!V79,'19.07'!$AO$4:$AQ$55,2,FALSE))*IF('19.07'!$AK79="是",'19.07'!$BB$4,'19.07'!$BB$3))</f>
        <v>0</v>
      </c>
      <c r="O79" s="4">
        <f>IF(ISNUMBER(SEARCH("营",'19.07'!W79)),(-$Y79+50*IF('19.07'!$AK79="是",'19.07'!$BB$4,'19.07'!$BB$3)),(VLOOKUP('19.07'!W79,'19.07'!$AO$4:$AQ$55,2,FALSE))*IF('19.07'!$AK79="是",'19.07'!$BB$4,'19.07'!$BB$3))</f>
        <v>0</v>
      </c>
      <c r="P79" s="4">
        <f>IF(ISNUMBER(SEARCH("营",'19.07'!X79)),(-$Y79+50*IF('19.07'!$AK79="是",'19.07'!$BB$4,'19.07'!$BB$3)),(VLOOKUP('19.07'!X79,'19.07'!$AO$4:$AQ$55,2,FALSE))*IF('19.07'!$AK79="是",'19.07'!$BB$4,'19.07'!$BB$3))</f>
        <v>0</v>
      </c>
      <c r="Q79" s="4">
        <f>IF(ISNUMBER(SEARCH("营",'19.07'!Y79)),(-$Y79+50*IF('19.07'!$AK79="是",'19.07'!$BB$4,'19.07'!$BB$3)),(VLOOKUP('19.07'!Y79,'19.07'!$AO$4:$AQ$55,2,FALSE))*IF('19.07'!$AK79="是",'19.07'!$BB$4,'19.07'!$BB$3))</f>
        <v>0</v>
      </c>
      <c r="R79" s="4">
        <f>IF(ISNUMBER(SEARCH("营",'19.07'!Z79)),(-$Y79+50*IF('19.07'!$AK79="是",'19.07'!$BB$4,'19.07'!$BB$3)),(VLOOKUP('19.07'!Z79,'19.07'!$AO$4:$AQ$55,2,FALSE))*IF('19.07'!$AK79="是",'19.07'!$BB$4,'19.07'!$BB$3))</f>
        <v>0</v>
      </c>
      <c r="S79" s="4">
        <f>IF(ISNUMBER(SEARCH("营",'19.07'!AA79)),(-$Y79+50*IF('19.07'!$AK79="是",'19.07'!$BB$4,'19.07'!$BB$3)),(VLOOKUP('19.07'!AA79,'19.07'!$AO$4:$AQ$55,2,FALSE))*IF('19.07'!$AK79="是",'19.07'!$BB$4,'19.07'!$BB$3))</f>
        <v>0</v>
      </c>
      <c r="T79" s="4">
        <f>IF(ISNUMBER(SEARCH("营",'19.07'!AB79)),(-$Y79+50*IF('19.07'!$AK79="是",'19.07'!$BB$4,'19.07'!$BB$3)),(VLOOKUP('19.07'!AB79,'19.07'!$AO$4:$AQ$55,2,FALSE))*IF('19.07'!$AK79="是",'19.07'!$BB$4,'19.07'!$BB$3))</f>
        <v>0</v>
      </c>
      <c r="U79" s="4">
        <f>IF(ISNUMBER(SEARCH("营",'19.07'!AC79)),(-$Y79+50*IF('19.07'!$AK79="是",'19.07'!$BB$4,'19.07'!$BB$3)),(VLOOKUP('19.07'!AC79,'19.07'!$AO$4:$AQ$55,2,FALSE))*IF('19.07'!$AK79="是",'19.07'!$BB$4,'19.07'!$BB$3))</f>
        <v>0</v>
      </c>
      <c r="V79" s="4">
        <f>IF(ISNUMBER(SEARCH("营",'19.07'!AD79)),(-$Y79+50*IF('19.07'!$AK79="是",'19.07'!$BB$4,'19.07'!$BB$3)),(VLOOKUP('19.07'!AD79,'19.07'!$AO$4:$AQ$55,2,FALSE))*IF('19.07'!$AK79="是",'19.07'!$BB$4,'19.07'!$BB$3))</f>
        <v>0</v>
      </c>
      <c r="W79" s="4">
        <f>IF(ISNUMBER(SEARCH("营",'19.07'!AE79)),(-$Y79+50*IF('19.07'!$AK79="是",'19.07'!$BB$4,'19.07'!$BB$3)),(VLOOKUP('19.07'!AE79,'19.07'!$AO$4:$AQ$55,2,FALSE))*IF('19.07'!$AK79="是",'19.07'!$BB$4,'19.07'!$BB$3))</f>
        <v>0</v>
      </c>
      <c r="X79" s="4">
        <f>IF(ISNUMBER(SEARCH("营",'19.07'!AF79)),(-$Y79+50*IF('19.07'!$AK79="是",'19.07'!$BB$4,'19.07'!$BB$3)),(VLOOKUP('19.07'!AF79,'19.07'!$AO$4:$AQ$55,2,FALSE))*IF('19.07'!$AK79="是",'19.07'!$BB$4,'19.07'!$BB$3))</f>
        <v>0</v>
      </c>
      <c r="Y79" s="18">
        <v>100</v>
      </c>
      <c r="Z79" s="15">
        <v>45805</v>
      </c>
    </row>
    <row r="80" spans="1:26">
      <c r="A80" s="4">
        <f>IF(ISNUMBER(SEARCH("营",'19.07'!I80)),(-$Y80+50*IF('19.07'!$AK80="是",'19.07'!$BB$4,'19.07'!$BB$3)),(VLOOKUP('19.07'!I80,'19.07'!$AO$4:$AQ$55,2,FALSE))*IF('19.07'!$AK80="是",'19.07'!$BB$4,'19.07'!$BB$3))</f>
        <v>0</v>
      </c>
      <c r="B80" s="4">
        <f>IF(ISNUMBER(SEARCH("营",'19.07'!J80)),(-$Y80+50*IF('19.07'!$AK80="是",'19.07'!$BB$4,'19.07'!$BB$3)),(VLOOKUP('19.07'!J80,'19.07'!$AO$4:$AQ$55,2,FALSE))*IF('19.07'!$AK80="是",'19.07'!$BB$4,'19.07'!$BB$3))</f>
        <v>0</v>
      </c>
      <c r="C80" s="4">
        <f>IF(ISNUMBER(SEARCH("营",'19.07'!K80)),(-$Y80+50*IF('19.07'!$AK80="是",'19.07'!$BB$4,'19.07'!$BB$3)),(VLOOKUP('19.07'!K80,'19.07'!$AO$4:$AQ$55,2,FALSE))*IF('19.07'!$AK80="是",'19.07'!$BB$4,'19.07'!$BB$3))</f>
        <v>0</v>
      </c>
      <c r="D80" s="4">
        <f>IF(ISNUMBER(SEARCH("营",'19.07'!L80)),(-$Y80+50*IF('19.07'!$AK80="是",'19.07'!$BB$4,'19.07'!$BB$3)),(VLOOKUP('19.07'!L80,'19.07'!$AO$4:$AQ$55,2,FALSE))*IF('19.07'!$AK80="是",'19.07'!$BB$4,'19.07'!$BB$3))</f>
        <v>0</v>
      </c>
      <c r="E80" s="4">
        <f>IF(ISNUMBER(SEARCH("营",'19.07'!M80)),(-$Y80+50*IF('19.07'!$AK80="是",'19.07'!$BB$4,'19.07'!$BB$3)),(VLOOKUP('19.07'!M80,'19.07'!$AO$4:$AQ$55,2,FALSE))*IF('19.07'!$AK80="是",'19.07'!$BB$4,'19.07'!$BB$3))</f>
        <v>0</v>
      </c>
      <c r="F80" s="4">
        <f>IF(ISNUMBER(SEARCH("营",'19.07'!N80)),(-$Y80+50*IF('19.07'!$AK80="是",'19.07'!$BB$4,'19.07'!$BB$3)),(VLOOKUP('19.07'!N80,'19.07'!$AO$4:$AQ$55,2,FALSE))*IF('19.07'!$AK80="是",'19.07'!$BB$4,'19.07'!$BB$3))</f>
        <v>0</v>
      </c>
      <c r="G80" s="4">
        <f>IF(ISNUMBER(SEARCH("营",'19.07'!O80)),(-$Y80+50*IF('19.07'!$AK80="是",'19.07'!$BB$4,'19.07'!$BB$3)),(VLOOKUP('19.07'!O80,'19.07'!$AO$4:$AQ$55,2,FALSE))*IF('19.07'!$AK80="是",'19.07'!$BB$4,'19.07'!$BB$3))</f>
        <v>0</v>
      </c>
      <c r="H80" s="4">
        <f>IF(ISNUMBER(SEARCH("营",'19.07'!P80)),(-$Y80+50*IF('19.07'!$AK80="是",'19.07'!$BB$4,'19.07'!$BB$3)),(VLOOKUP('19.07'!P80,'19.07'!$AO$4:$AQ$55,2,FALSE))*IF('19.07'!$AK80="是",'19.07'!$BB$4,'19.07'!$BB$3))</f>
        <v>0</v>
      </c>
      <c r="I80" s="4">
        <f>IF(ISNUMBER(SEARCH("营",'19.07'!Q80)),(-$Y80+50*IF('19.07'!$AK80="是",'19.07'!$BB$4,'19.07'!$BB$3)),(VLOOKUP('19.07'!Q80,'19.07'!$AO$4:$AQ$55,2,FALSE))*IF('19.07'!$AK80="是",'19.07'!$BB$4,'19.07'!$BB$3))</f>
        <v>0</v>
      </c>
      <c r="J80" s="4">
        <f>IF(ISNUMBER(SEARCH("营",'19.07'!R80)),(-$Y80+50*IF('19.07'!$AK80="是",'19.07'!$BB$4,'19.07'!$BB$3)),(VLOOKUP('19.07'!R80,'19.07'!$AO$4:$AQ$55,2,FALSE))*IF('19.07'!$AK80="是",'19.07'!$BB$4,'19.07'!$BB$3))</f>
        <v>0</v>
      </c>
      <c r="K80" s="4">
        <f>IF(ISNUMBER(SEARCH("营",'19.07'!S80)),(-$Y80+50*IF('19.07'!$AK80="是",'19.07'!$BB$4,'19.07'!$BB$3)),(VLOOKUP('19.07'!S80,'19.07'!$AO$4:$AQ$55,2,FALSE))*IF('19.07'!$AK80="是",'19.07'!$BB$4,'19.07'!$BB$3))</f>
        <v>0</v>
      </c>
      <c r="L80" s="4">
        <f>IF(ISNUMBER(SEARCH("营",'19.07'!T80)),(-$Y80+50*IF('19.07'!$AK80="是",'19.07'!$BB$4,'19.07'!$BB$3)),(VLOOKUP('19.07'!T80,'19.07'!$AO$4:$AQ$55,2,FALSE))*IF('19.07'!$AK80="是",'19.07'!$BB$4,'19.07'!$BB$3))</f>
        <v>0</v>
      </c>
      <c r="M80" s="4">
        <f>IF(ISNUMBER(SEARCH("营",'19.07'!U80)),(-$Y80+50*IF('19.07'!$AK80="是",'19.07'!$BB$4,'19.07'!$BB$3)),(VLOOKUP('19.07'!U80,'19.07'!$AO$4:$AQ$55,2,FALSE))*IF('19.07'!$AK80="是",'19.07'!$BB$4,'19.07'!$BB$3))</f>
        <v>0</v>
      </c>
      <c r="N80" s="4">
        <f>IF(ISNUMBER(SEARCH("营",'19.07'!V80)),(-$Y80+50*IF('19.07'!$AK80="是",'19.07'!$BB$4,'19.07'!$BB$3)),(VLOOKUP('19.07'!V80,'19.07'!$AO$4:$AQ$55,2,FALSE))*IF('19.07'!$AK80="是",'19.07'!$BB$4,'19.07'!$BB$3))</f>
        <v>0</v>
      </c>
      <c r="O80" s="4">
        <f>IF(ISNUMBER(SEARCH("营",'19.07'!W80)),(-$Y80+50*IF('19.07'!$AK80="是",'19.07'!$BB$4,'19.07'!$BB$3)),(VLOOKUP('19.07'!W80,'19.07'!$AO$4:$AQ$55,2,FALSE))*IF('19.07'!$AK80="是",'19.07'!$BB$4,'19.07'!$BB$3))</f>
        <v>0</v>
      </c>
      <c r="P80" s="4">
        <f>IF(ISNUMBER(SEARCH("营",'19.07'!X80)),(-$Y80+50*IF('19.07'!$AK80="是",'19.07'!$BB$4,'19.07'!$BB$3)),(VLOOKUP('19.07'!X80,'19.07'!$AO$4:$AQ$55,2,FALSE))*IF('19.07'!$AK80="是",'19.07'!$BB$4,'19.07'!$BB$3))</f>
        <v>0</v>
      </c>
      <c r="Q80" s="4">
        <f>IF(ISNUMBER(SEARCH("营",'19.07'!Y80)),(-$Y80+50*IF('19.07'!$AK80="是",'19.07'!$BB$4,'19.07'!$BB$3)),(VLOOKUP('19.07'!Y80,'19.07'!$AO$4:$AQ$55,2,FALSE))*IF('19.07'!$AK80="是",'19.07'!$BB$4,'19.07'!$BB$3))</f>
        <v>0</v>
      </c>
      <c r="R80" s="4">
        <f>IF(ISNUMBER(SEARCH("营",'19.07'!Z80)),(-$Y80+50*IF('19.07'!$AK80="是",'19.07'!$BB$4,'19.07'!$BB$3)),(VLOOKUP('19.07'!Z80,'19.07'!$AO$4:$AQ$55,2,FALSE))*IF('19.07'!$AK80="是",'19.07'!$BB$4,'19.07'!$BB$3))</f>
        <v>0</v>
      </c>
      <c r="S80" s="4">
        <f>IF(ISNUMBER(SEARCH("营",'19.07'!AA80)),(-$Y80+50*IF('19.07'!$AK80="是",'19.07'!$BB$4,'19.07'!$BB$3)),(VLOOKUP('19.07'!AA80,'19.07'!$AO$4:$AQ$55,2,FALSE))*IF('19.07'!$AK80="是",'19.07'!$BB$4,'19.07'!$BB$3))</f>
        <v>0</v>
      </c>
      <c r="T80" s="4">
        <f>IF(ISNUMBER(SEARCH("营",'19.07'!AB80)),(-$Y80+50*IF('19.07'!$AK80="是",'19.07'!$BB$4,'19.07'!$BB$3)),(VLOOKUP('19.07'!AB80,'19.07'!$AO$4:$AQ$55,2,FALSE))*IF('19.07'!$AK80="是",'19.07'!$BB$4,'19.07'!$BB$3))</f>
        <v>0</v>
      </c>
      <c r="U80" s="4">
        <f>IF(ISNUMBER(SEARCH("营",'19.07'!AC80)),(-$Y80+50*IF('19.07'!$AK80="是",'19.07'!$BB$4,'19.07'!$BB$3)),(VLOOKUP('19.07'!AC80,'19.07'!$AO$4:$AQ$55,2,FALSE))*IF('19.07'!$AK80="是",'19.07'!$BB$4,'19.07'!$BB$3))</f>
        <v>0</v>
      </c>
      <c r="V80" s="4">
        <f>IF(ISNUMBER(SEARCH("营",'19.07'!AD80)),(-$Y80+50*IF('19.07'!$AK80="是",'19.07'!$BB$4,'19.07'!$BB$3)),(VLOOKUP('19.07'!AD80,'19.07'!$AO$4:$AQ$55,2,FALSE))*IF('19.07'!$AK80="是",'19.07'!$BB$4,'19.07'!$BB$3))</f>
        <v>0</v>
      </c>
      <c r="W80" s="4">
        <f>IF(ISNUMBER(SEARCH("营",'19.07'!AE80)),(-$Y80+50*IF('19.07'!$AK80="是",'19.07'!$BB$4,'19.07'!$BB$3)),(VLOOKUP('19.07'!AE80,'19.07'!$AO$4:$AQ$55,2,FALSE))*IF('19.07'!$AK80="是",'19.07'!$BB$4,'19.07'!$BB$3))</f>
        <v>0</v>
      </c>
      <c r="X80" s="4">
        <f>IF(ISNUMBER(SEARCH("营",'19.07'!AF80)),(-$Y80+50*IF('19.07'!$AK80="是",'19.07'!$BB$4,'19.07'!$BB$3)),(VLOOKUP('19.07'!AF80,'19.07'!$AO$4:$AQ$55,2,FALSE))*IF('19.07'!$AK80="是",'19.07'!$BB$4,'19.07'!$BB$3))</f>
        <v>0</v>
      </c>
      <c r="Y80" s="18">
        <v>100</v>
      </c>
      <c r="Z80" s="15">
        <v>45806</v>
      </c>
    </row>
    <row r="81" spans="1:26">
      <c r="A81" s="4">
        <f>IF(ISNUMBER(SEARCH("营",'19.07'!I81)),(-$Y81+50*IF('19.07'!$AK81="是",'19.07'!$BB$4,'19.07'!$BB$3)),(VLOOKUP('19.07'!I81,'19.07'!$AO$4:$AQ$55,2,FALSE))*IF('19.07'!$AK81="是",'19.07'!$BB$4,'19.07'!$BB$3))</f>
        <v>0</v>
      </c>
      <c r="B81" s="4">
        <f>IF(ISNUMBER(SEARCH("营",'19.07'!J81)),(-$Y81+50*IF('19.07'!$AK81="是",'19.07'!$BB$4,'19.07'!$BB$3)),(VLOOKUP('19.07'!J81,'19.07'!$AO$4:$AQ$55,2,FALSE))*IF('19.07'!$AK81="是",'19.07'!$BB$4,'19.07'!$BB$3))</f>
        <v>0</v>
      </c>
      <c r="C81" s="4">
        <f>IF(ISNUMBER(SEARCH("营",'19.07'!K81)),(-$Y81+50*IF('19.07'!$AK81="是",'19.07'!$BB$4,'19.07'!$BB$3)),(VLOOKUP('19.07'!K81,'19.07'!$AO$4:$AQ$55,2,FALSE))*IF('19.07'!$AK81="是",'19.07'!$BB$4,'19.07'!$BB$3))</f>
        <v>0</v>
      </c>
      <c r="D81" s="4">
        <f>IF(ISNUMBER(SEARCH("营",'19.07'!L81)),(-$Y81+50*IF('19.07'!$AK81="是",'19.07'!$BB$4,'19.07'!$BB$3)),(VLOOKUP('19.07'!L81,'19.07'!$AO$4:$AQ$55,2,FALSE))*IF('19.07'!$AK81="是",'19.07'!$BB$4,'19.07'!$BB$3))</f>
        <v>0</v>
      </c>
      <c r="E81" s="4">
        <f>IF(ISNUMBER(SEARCH("营",'19.07'!M81)),(-$Y81+50*IF('19.07'!$AK81="是",'19.07'!$BB$4,'19.07'!$BB$3)),(VLOOKUP('19.07'!M81,'19.07'!$AO$4:$AQ$55,2,FALSE))*IF('19.07'!$AK81="是",'19.07'!$BB$4,'19.07'!$BB$3))</f>
        <v>0</v>
      </c>
      <c r="F81" s="4">
        <f>IF(ISNUMBER(SEARCH("营",'19.07'!N81)),(-$Y81+50*IF('19.07'!$AK81="是",'19.07'!$BB$4,'19.07'!$BB$3)),(VLOOKUP('19.07'!N81,'19.07'!$AO$4:$AQ$55,2,FALSE))*IF('19.07'!$AK81="是",'19.07'!$BB$4,'19.07'!$BB$3))</f>
        <v>0</v>
      </c>
      <c r="G81" s="4">
        <f>IF(ISNUMBER(SEARCH("营",'19.07'!O81)),(-$Y81+50*IF('19.07'!$AK81="是",'19.07'!$BB$4,'19.07'!$BB$3)),(VLOOKUP('19.07'!O81,'19.07'!$AO$4:$AQ$55,2,FALSE))*IF('19.07'!$AK81="是",'19.07'!$BB$4,'19.07'!$BB$3))</f>
        <v>0</v>
      </c>
      <c r="H81" s="4">
        <f>IF(ISNUMBER(SEARCH("营",'19.07'!P81)),(-$Y81+50*IF('19.07'!$AK81="是",'19.07'!$BB$4,'19.07'!$BB$3)),(VLOOKUP('19.07'!P81,'19.07'!$AO$4:$AQ$55,2,FALSE))*IF('19.07'!$AK81="是",'19.07'!$BB$4,'19.07'!$BB$3))</f>
        <v>0</v>
      </c>
      <c r="I81" s="4">
        <f>IF(ISNUMBER(SEARCH("营",'19.07'!Q81)),(-$Y81+50*IF('19.07'!$AK81="是",'19.07'!$BB$4,'19.07'!$BB$3)),(VLOOKUP('19.07'!Q81,'19.07'!$AO$4:$AQ$55,2,FALSE))*IF('19.07'!$AK81="是",'19.07'!$BB$4,'19.07'!$BB$3))</f>
        <v>0</v>
      </c>
      <c r="J81" s="4">
        <f>IF(ISNUMBER(SEARCH("营",'19.07'!R81)),(-$Y81+50*IF('19.07'!$AK81="是",'19.07'!$BB$4,'19.07'!$BB$3)),(VLOOKUP('19.07'!R81,'19.07'!$AO$4:$AQ$55,2,FALSE))*IF('19.07'!$AK81="是",'19.07'!$BB$4,'19.07'!$BB$3))</f>
        <v>0</v>
      </c>
      <c r="K81" s="4">
        <f>IF(ISNUMBER(SEARCH("营",'19.07'!S81)),(-$Y81+50*IF('19.07'!$AK81="是",'19.07'!$BB$4,'19.07'!$BB$3)),(VLOOKUP('19.07'!S81,'19.07'!$AO$4:$AQ$55,2,FALSE))*IF('19.07'!$AK81="是",'19.07'!$BB$4,'19.07'!$BB$3))</f>
        <v>0</v>
      </c>
      <c r="L81" s="4">
        <f>IF(ISNUMBER(SEARCH("营",'19.07'!T81)),(-$Y81+50*IF('19.07'!$AK81="是",'19.07'!$BB$4,'19.07'!$BB$3)),(VLOOKUP('19.07'!T81,'19.07'!$AO$4:$AQ$55,2,FALSE))*IF('19.07'!$AK81="是",'19.07'!$BB$4,'19.07'!$BB$3))</f>
        <v>0</v>
      </c>
      <c r="M81" s="4">
        <f>IF(ISNUMBER(SEARCH("营",'19.07'!U81)),(-$Y81+50*IF('19.07'!$AK81="是",'19.07'!$BB$4,'19.07'!$BB$3)),(VLOOKUP('19.07'!U81,'19.07'!$AO$4:$AQ$55,2,FALSE))*IF('19.07'!$AK81="是",'19.07'!$BB$4,'19.07'!$BB$3))</f>
        <v>0</v>
      </c>
      <c r="N81" s="4">
        <f>IF(ISNUMBER(SEARCH("营",'19.07'!V81)),(-$Y81+50*IF('19.07'!$AK81="是",'19.07'!$BB$4,'19.07'!$BB$3)),(VLOOKUP('19.07'!V81,'19.07'!$AO$4:$AQ$55,2,FALSE))*IF('19.07'!$AK81="是",'19.07'!$BB$4,'19.07'!$BB$3))</f>
        <v>0</v>
      </c>
      <c r="O81" s="4">
        <f>IF(ISNUMBER(SEARCH("营",'19.07'!W81)),(-$Y81+50*IF('19.07'!$AK81="是",'19.07'!$BB$4,'19.07'!$BB$3)),(VLOOKUP('19.07'!W81,'19.07'!$AO$4:$AQ$55,2,FALSE))*IF('19.07'!$AK81="是",'19.07'!$BB$4,'19.07'!$BB$3))</f>
        <v>0</v>
      </c>
      <c r="P81" s="4">
        <f>IF(ISNUMBER(SEARCH("营",'19.07'!X81)),(-$Y81+50*IF('19.07'!$AK81="是",'19.07'!$BB$4,'19.07'!$BB$3)),(VLOOKUP('19.07'!X81,'19.07'!$AO$4:$AQ$55,2,FALSE))*IF('19.07'!$AK81="是",'19.07'!$BB$4,'19.07'!$BB$3))</f>
        <v>0</v>
      </c>
      <c r="Q81" s="4">
        <f>IF(ISNUMBER(SEARCH("营",'19.07'!Y81)),(-$Y81+50*IF('19.07'!$AK81="是",'19.07'!$BB$4,'19.07'!$BB$3)),(VLOOKUP('19.07'!Y81,'19.07'!$AO$4:$AQ$55,2,FALSE))*IF('19.07'!$AK81="是",'19.07'!$BB$4,'19.07'!$BB$3))</f>
        <v>0</v>
      </c>
      <c r="R81" s="4">
        <f>IF(ISNUMBER(SEARCH("营",'19.07'!Z81)),(-$Y81+50*IF('19.07'!$AK81="是",'19.07'!$BB$4,'19.07'!$BB$3)),(VLOOKUP('19.07'!Z81,'19.07'!$AO$4:$AQ$55,2,FALSE))*IF('19.07'!$AK81="是",'19.07'!$BB$4,'19.07'!$BB$3))</f>
        <v>0</v>
      </c>
      <c r="S81" s="4">
        <f>IF(ISNUMBER(SEARCH("营",'19.07'!AA81)),(-$Y81+50*IF('19.07'!$AK81="是",'19.07'!$BB$4,'19.07'!$BB$3)),(VLOOKUP('19.07'!AA81,'19.07'!$AO$4:$AQ$55,2,FALSE))*IF('19.07'!$AK81="是",'19.07'!$BB$4,'19.07'!$BB$3))</f>
        <v>0</v>
      </c>
      <c r="T81" s="4">
        <f>IF(ISNUMBER(SEARCH("营",'19.07'!AB81)),(-$Y81+50*IF('19.07'!$AK81="是",'19.07'!$BB$4,'19.07'!$BB$3)),(VLOOKUP('19.07'!AB81,'19.07'!$AO$4:$AQ$55,2,FALSE))*IF('19.07'!$AK81="是",'19.07'!$BB$4,'19.07'!$BB$3))</f>
        <v>0</v>
      </c>
      <c r="U81" s="4">
        <f>IF(ISNUMBER(SEARCH("营",'19.07'!AC81)),(-$Y81+50*IF('19.07'!$AK81="是",'19.07'!$BB$4,'19.07'!$BB$3)),(VLOOKUP('19.07'!AC81,'19.07'!$AO$4:$AQ$55,2,FALSE))*IF('19.07'!$AK81="是",'19.07'!$BB$4,'19.07'!$BB$3))</f>
        <v>0</v>
      </c>
      <c r="V81" s="4">
        <f>IF(ISNUMBER(SEARCH("营",'19.07'!AD81)),(-$Y81+50*IF('19.07'!$AK81="是",'19.07'!$BB$4,'19.07'!$BB$3)),(VLOOKUP('19.07'!AD81,'19.07'!$AO$4:$AQ$55,2,FALSE))*IF('19.07'!$AK81="是",'19.07'!$BB$4,'19.07'!$BB$3))</f>
        <v>0</v>
      </c>
      <c r="W81" s="4">
        <f>IF(ISNUMBER(SEARCH("营",'19.07'!AE81)),(-$Y81+50*IF('19.07'!$AK81="是",'19.07'!$BB$4,'19.07'!$BB$3)),(VLOOKUP('19.07'!AE81,'19.07'!$AO$4:$AQ$55,2,FALSE))*IF('19.07'!$AK81="是",'19.07'!$BB$4,'19.07'!$BB$3))</f>
        <v>0</v>
      </c>
      <c r="X81" s="4">
        <f>IF(ISNUMBER(SEARCH("营",'19.07'!AF81)),(-$Y81+50*IF('19.07'!$AK81="是",'19.07'!$BB$4,'19.07'!$BB$3)),(VLOOKUP('19.07'!AF81,'19.07'!$AO$4:$AQ$55,2,FALSE))*IF('19.07'!$AK81="是",'19.07'!$BB$4,'19.07'!$BB$3))</f>
        <v>0</v>
      </c>
      <c r="Y81" s="18">
        <v>100</v>
      </c>
      <c r="Z81" s="15">
        <v>45807</v>
      </c>
    </row>
    <row r="82" spans="1:26">
      <c r="A82" s="4">
        <f>IF(ISNUMBER(SEARCH("营",'19.07'!I82)),(-$Y82+50*IF('19.07'!$AK82="是",'19.07'!$BB$4,'19.07'!$BB$3)),(VLOOKUP('19.07'!I82,'19.07'!$AO$4:$AQ$55,2,FALSE))*IF('19.07'!$AK82="是",'19.07'!$BB$4,'19.07'!$BB$3))</f>
        <v>0</v>
      </c>
      <c r="B82" s="4">
        <f>IF(ISNUMBER(SEARCH("营",'19.07'!J82)),(-$Y82+50*IF('19.07'!$AK82="是",'19.07'!$BB$4,'19.07'!$BB$3)),(VLOOKUP('19.07'!J82,'19.07'!$AO$4:$AQ$55,2,FALSE))*IF('19.07'!$AK82="是",'19.07'!$BB$4,'19.07'!$BB$3))</f>
        <v>0</v>
      </c>
      <c r="C82" s="4">
        <f>IF(ISNUMBER(SEARCH("营",'19.07'!K82)),(-$Y82+50*IF('19.07'!$AK82="是",'19.07'!$BB$4,'19.07'!$BB$3)),(VLOOKUP('19.07'!K82,'19.07'!$AO$4:$AQ$55,2,FALSE))*IF('19.07'!$AK82="是",'19.07'!$BB$4,'19.07'!$BB$3))</f>
        <v>0</v>
      </c>
      <c r="D82" s="4">
        <f>IF(ISNUMBER(SEARCH("营",'19.07'!L82)),(-$Y82+50*IF('19.07'!$AK82="是",'19.07'!$BB$4,'19.07'!$BB$3)),(VLOOKUP('19.07'!L82,'19.07'!$AO$4:$AQ$55,2,FALSE))*IF('19.07'!$AK82="是",'19.07'!$BB$4,'19.07'!$BB$3))</f>
        <v>0</v>
      </c>
      <c r="E82" s="4">
        <f>IF(ISNUMBER(SEARCH("营",'19.07'!M82)),(-$Y82+50*IF('19.07'!$AK82="是",'19.07'!$BB$4,'19.07'!$BB$3)),(VLOOKUP('19.07'!M82,'19.07'!$AO$4:$AQ$55,2,FALSE))*IF('19.07'!$AK82="是",'19.07'!$BB$4,'19.07'!$BB$3))</f>
        <v>0</v>
      </c>
      <c r="F82" s="4">
        <f>IF(ISNUMBER(SEARCH("营",'19.07'!N82)),(-$Y82+50*IF('19.07'!$AK82="是",'19.07'!$BB$4,'19.07'!$BB$3)),(VLOOKUP('19.07'!N82,'19.07'!$AO$4:$AQ$55,2,FALSE))*IF('19.07'!$AK82="是",'19.07'!$BB$4,'19.07'!$BB$3))</f>
        <v>0</v>
      </c>
      <c r="G82" s="4">
        <f>IF(ISNUMBER(SEARCH("营",'19.07'!O82)),(-$Y82+50*IF('19.07'!$AK82="是",'19.07'!$BB$4,'19.07'!$BB$3)),(VLOOKUP('19.07'!O82,'19.07'!$AO$4:$AQ$55,2,FALSE))*IF('19.07'!$AK82="是",'19.07'!$BB$4,'19.07'!$BB$3))</f>
        <v>0</v>
      </c>
      <c r="H82" s="4">
        <f>IF(ISNUMBER(SEARCH("营",'19.07'!P82)),(-$Y82+50*IF('19.07'!$AK82="是",'19.07'!$BB$4,'19.07'!$BB$3)),(VLOOKUP('19.07'!P82,'19.07'!$AO$4:$AQ$55,2,FALSE))*IF('19.07'!$AK82="是",'19.07'!$BB$4,'19.07'!$BB$3))</f>
        <v>0</v>
      </c>
      <c r="I82" s="4">
        <f>IF(ISNUMBER(SEARCH("营",'19.07'!Q82)),(-$Y82+50*IF('19.07'!$AK82="是",'19.07'!$BB$4,'19.07'!$BB$3)),(VLOOKUP('19.07'!Q82,'19.07'!$AO$4:$AQ$55,2,FALSE))*IF('19.07'!$AK82="是",'19.07'!$BB$4,'19.07'!$BB$3))</f>
        <v>0</v>
      </c>
      <c r="J82" s="4">
        <f>IF(ISNUMBER(SEARCH("营",'19.07'!R82)),(-$Y82+50*IF('19.07'!$AK82="是",'19.07'!$BB$4,'19.07'!$BB$3)),(VLOOKUP('19.07'!R82,'19.07'!$AO$4:$AQ$55,2,FALSE))*IF('19.07'!$AK82="是",'19.07'!$BB$4,'19.07'!$BB$3))</f>
        <v>0</v>
      </c>
      <c r="K82" s="4">
        <f>IF(ISNUMBER(SEARCH("营",'19.07'!S82)),(-$Y82+50*IF('19.07'!$AK82="是",'19.07'!$BB$4,'19.07'!$BB$3)),(VLOOKUP('19.07'!S82,'19.07'!$AO$4:$AQ$55,2,FALSE))*IF('19.07'!$AK82="是",'19.07'!$BB$4,'19.07'!$BB$3))</f>
        <v>0</v>
      </c>
      <c r="L82" s="4">
        <f>IF(ISNUMBER(SEARCH("营",'19.07'!T82)),(-$Y82+50*IF('19.07'!$AK82="是",'19.07'!$BB$4,'19.07'!$BB$3)),(VLOOKUP('19.07'!T82,'19.07'!$AO$4:$AQ$55,2,FALSE))*IF('19.07'!$AK82="是",'19.07'!$BB$4,'19.07'!$BB$3))</f>
        <v>0</v>
      </c>
      <c r="M82" s="4">
        <f>IF(ISNUMBER(SEARCH("营",'19.07'!U82)),(-$Y82+50*IF('19.07'!$AK82="是",'19.07'!$BB$4,'19.07'!$BB$3)),(VLOOKUP('19.07'!U82,'19.07'!$AO$4:$AQ$55,2,FALSE))*IF('19.07'!$AK82="是",'19.07'!$BB$4,'19.07'!$BB$3))</f>
        <v>0</v>
      </c>
      <c r="N82" s="4">
        <f>IF(ISNUMBER(SEARCH("营",'19.07'!V82)),(-$Y82+50*IF('19.07'!$AK82="是",'19.07'!$BB$4,'19.07'!$BB$3)),(VLOOKUP('19.07'!V82,'19.07'!$AO$4:$AQ$55,2,FALSE))*IF('19.07'!$AK82="是",'19.07'!$BB$4,'19.07'!$BB$3))</f>
        <v>0</v>
      </c>
      <c r="O82" s="4">
        <f>IF(ISNUMBER(SEARCH("营",'19.07'!W82)),(-$Y82+50*IF('19.07'!$AK82="是",'19.07'!$BB$4,'19.07'!$BB$3)),(VLOOKUP('19.07'!W82,'19.07'!$AO$4:$AQ$55,2,FALSE))*IF('19.07'!$AK82="是",'19.07'!$BB$4,'19.07'!$BB$3))</f>
        <v>0</v>
      </c>
      <c r="P82" s="4">
        <f>IF(ISNUMBER(SEARCH("营",'19.07'!X82)),(-$Y82+50*IF('19.07'!$AK82="是",'19.07'!$BB$4,'19.07'!$BB$3)),(VLOOKUP('19.07'!X82,'19.07'!$AO$4:$AQ$55,2,FALSE))*IF('19.07'!$AK82="是",'19.07'!$BB$4,'19.07'!$BB$3))</f>
        <v>0</v>
      </c>
      <c r="Q82" s="4">
        <f>IF(ISNUMBER(SEARCH("营",'19.07'!Y82)),(-$Y82+50*IF('19.07'!$AK82="是",'19.07'!$BB$4,'19.07'!$BB$3)),(VLOOKUP('19.07'!Y82,'19.07'!$AO$4:$AQ$55,2,FALSE))*IF('19.07'!$AK82="是",'19.07'!$BB$4,'19.07'!$BB$3))</f>
        <v>0</v>
      </c>
      <c r="R82" s="4">
        <f>IF(ISNUMBER(SEARCH("营",'19.07'!Z82)),(-$Y82+50*IF('19.07'!$AK82="是",'19.07'!$BB$4,'19.07'!$BB$3)),(VLOOKUP('19.07'!Z82,'19.07'!$AO$4:$AQ$55,2,FALSE))*IF('19.07'!$AK82="是",'19.07'!$BB$4,'19.07'!$BB$3))</f>
        <v>0</v>
      </c>
      <c r="S82" s="4">
        <f>IF(ISNUMBER(SEARCH("营",'19.07'!AA82)),(-$Y82+50*IF('19.07'!$AK82="是",'19.07'!$BB$4,'19.07'!$BB$3)),(VLOOKUP('19.07'!AA82,'19.07'!$AO$4:$AQ$55,2,FALSE))*IF('19.07'!$AK82="是",'19.07'!$BB$4,'19.07'!$BB$3))</f>
        <v>0</v>
      </c>
      <c r="T82" s="4">
        <f>IF(ISNUMBER(SEARCH("营",'19.07'!AB82)),(-$Y82+50*IF('19.07'!$AK82="是",'19.07'!$BB$4,'19.07'!$BB$3)),(VLOOKUP('19.07'!AB82,'19.07'!$AO$4:$AQ$55,2,FALSE))*IF('19.07'!$AK82="是",'19.07'!$BB$4,'19.07'!$BB$3))</f>
        <v>0</v>
      </c>
      <c r="U82" s="4">
        <f>IF(ISNUMBER(SEARCH("营",'19.07'!AC82)),(-$Y82+50*IF('19.07'!$AK82="是",'19.07'!$BB$4,'19.07'!$BB$3)),(VLOOKUP('19.07'!AC82,'19.07'!$AO$4:$AQ$55,2,FALSE))*IF('19.07'!$AK82="是",'19.07'!$BB$4,'19.07'!$BB$3))</f>
        <v>0</v>
      </c>
      <c r="V82" s="4">
        <f>IF(ISNUMBER(SEARCH("营",'19.07'!AD82)),(-$Y82+50*IF('19.07'!$AK82="是",'19.07'!$BB$4,'19.07'!$BB$3)),(VLOOKUP('19.07'!AD82,'19.07'!$AO$4:$AQ$55,2,FALSE))*IF('19.07'!$AK82="是",'19.07'!$BB$4,'19.07'!$BB$3))</f>
        <v>0</v>
      </c>
      <c r="W82" s="4">
        <f>IF(ISNUMBER(SEARCH("营",'19.07'!AE82)),(-$Y82+50*IF('19.07'!$AK82="是",'19.07'!$BB$4,'19.07'!$BB$3)),(VLOOKUP('19.07'!AE82,'19.07'!$AO$4:$AQ$55,2,FALSE))*IF('19.07'!$AK82="是",'19.07'!$BB$4,'19.07'!$BB$3))</f>
        <v>0</v>
      </c>
      <c r="X82" s="4">
        <f>IF(ISNUMBER(SEARCH("营",'19.07'!AF82)),(-$Y82+50*IF('19.07'!$AK82="是",'19.07'!$BB$4,'19.07'!$BB$3)),(VLOOKUP('19.07'!AF82,'19.07'!$AO$4:$AQ$55,2,FALSE))*IF('19.07'!$AK82="是",'19.07'!$BB$4,'19.07'!$BB$3))</f>
        <v>0</v>
      </c>
      <c r="Y82" s="18">
        <v>100</v>
      </c>
      <c r="Z82" s="15">
        <v>45808</v>
      </c>
    </row>
    <row r="83" spans="1:26">
      <c r="A83" s="4">
        <f>IF(ISNUMBER(SEARCH("营",'19.07'!I83)),(-$Y83+50*IF('19.07'!$AK83="是",'19.07'!$BB$4,'19.07'!$BB$3)),(VLOOKUP('19.07'!I83,'19.07'!$AO$4:$AQ$55,2,FALSE))*IF('19.07'!$AK83="是",'19.07'!$BB$4,'19.07'!$BB$3))</f>
        <v>0</v>
      </c>
      <c r="B83" s="4">
        <f>IF(ISNUMBER(SEARCH("营",'19.07'!J83)),(-$Y83+50*IF('19.07'!$AK83="是",'19.07'!$BB$4,'19.07'!$BB$3)),(VLOOKUP('19.07'!J83,'19.07'!$AO$4:$AQ$55,2,FALSE))*IF('19.07'!$AK83="是",'19.07'!$BB$4,'19.07'!$BB$3))</f>
        <v>0</v>
      </c>
      <c r="C83" s="4">
        <f>IF(ISNUMBER(SEARCH("营",'19.07'!K83)),(-$Y83+50*IF('19.07'!$AK83="是",'19.07'!$BB$4,'19.07'!$BB$3)),(VLOOKUP('19.07'!K83,'19.07'!$AO$4:$AQ$55,2,FALSE))*IF('19.07'!$AK83="是",'19.07'!$BB$4,'19.07'!$BB$3))</f>
        <v>0</v>
      </c>
      <c r="D83" s="4">
        <f>IF(ISNUMBER(SEARCH("营",'19.07'!L83)),(-$Y83+50*IF('19.07'!$AK83="是",'19.07'!$BB$4,'19.07'!$BB$3)),(VLOOKUP('19.07'!L83,'19.07'!$AO$4:$AQ$55,2,FALSE))*IF('19.07'!$AK83="是",'19.07'!$BB$4,'19.07'!$BB$3))</f>
        <v>0</v>
      </c>
      <c r="E83" s="4">
        <f>IF(ISNUMBER(SEARCH("营",'19.07'!M83)),(-$Y83+50*IF('19.07'!$AK83="是",'19.07'!$BB$4,'19.07'!$BB$3)),(VLOOKUP('19.07'!M83,'19.07'!$AO$4:$AQ$55,2,FALSE))*IF('19.07'!$AK83="是",'19.07'!$BB$4,'19.07'!$BB$3))</f>
        <v>0</v>
      </c>
      <c r="F83" s="4">
        <f>IF(ISNUMBER(SEARCH("营",'19.07'!N83)),(-$Y83+50*IF('19.07'!$AK83="是",'19.07'!$BB$4,'19.07'!$BB$3)),(VLOOKUP('19.07'!N83,'19.07'!$AO$4:$AQ$55,2,FALSE))*IF('19.07'!$AK83="是",'19.07'!$BB$4,'19.07'!$BB$3))</f>
        <v>0</v>
      </c>
      <c r="G83" s="4">
        <f>IF(ISNUMBER(SEARCH("营",'19.07'!O83)),(-$Y83+50*IF('19.07'!$AK83="是",'19.07'!$BB$4,'19.07'!$BB$3)),(VLOOKUP('19.07'!O83,'19.07'!$AO$4:$AQ$55,2,FALSE))*IF('19.07'!$AK83="是",'19.07'!$BB$4,'19.07'!$BB$3))</f>
        <v>0</v>
      </c>
      <c r="H83" s="4">
        <f>IF(ISNUMBER(SEARCH("营",'19.07'!P83)),(-$Y83+50*IF('19.07'!$AK83="是",'19.07'!$BB$4,'19.07'!$BB$3)),(VLOOKUP('19.07'!P83,'19.07'!$AO$4:$AQ$55,2,FALSE))*IF('19.07'!$AK83="是",'19.07'!$BB$4,'19.07'!$BB$3))</f>
        <v>0</v>
      </c>
      <c r="I83" s="4">
        <f>IF(ISNUMBER(SEARCH("营",'19.07'!Q83)),(-$Y83+50*IF('19.07'!$AK83="是",'19.07'!$BB$4,'19.07'!$BB$3)),(VLOOKUP('19.07'!Q83,'19.07'!$AO$4:$AQ$55,2,FALSE))*IF('19.07'!$AK83="是",'19.07'!$BB$4,'19.07'!$BB$3))</f>
        <v>0</v>
      </c>
      <c r="J83" s="4">
        <f>IF(ISNUMBER(SEARCH("营",'19.07'!R83)),(-$Y83+50*IF('19.07'!$AK83="是",'19.07'!$BB$4,'19.07'!$BB$3)),(VLOOKUP('19.07'!R83,'19.07'!$AO$4:$AQ$55,2,FALSE))*IF('19.07'!$AK83="是",'19.07'!$BB$4,'19.07'!$BB$3))</f>
        <v>0</v>
      </c>
      <c r="K83" s="4">
        <f>IF(ISNUMBER(SEARCH("营",'19.07'!S83)),(-$Y83+50*IF('19.07'!$AK83="是",'19.07'!$BB$4,'19.07'!$BB$3)),(VLOOKUP('19.07'!S83,'19.07'!$AO$4:$AQ$55,2,FALSE))*IF('19.07'!$AK83="是",'19.07'!$BB$4,'19.07'!$BB$3))</f>
        <v>0</v>
      </c>
      <c r="L83" s="4">
        <f>IF(ISNUMBER(SEARCH("营",'19.07'!T83)),(-$Y83+50*IF('19.07'!$AK83="是",'19.07'!$BB$4,'19.07'!$BB$3)),(VLOOKUP('19.07'!T83,'19.07'!$AO$4:$AQ$55,2,FALSE))*IF('19.07'!$AK83="是",'19.07'!$BB$4,'19.07'!$BB$3))</f>
        <v>0</v>
      </c>
      <c r="M83" s="4">
        <f>IF(ISNUMBER(SEARCH("营",'19.07'!U83)),(-$Y83+50*IF('19.07'!$AK83="是",'19.07'!$BB$4,'19.07'!$BB$3)),(VLOOKUP('19.07'!U83,'19.07'!$AO$4:$AQ$55,2,FALSE))*IF('19.07'!$AK83="是",'19.07'!$BB$4,'19.07'!$BB$3))</f>
        <v>0</v>
      </c>
      <c r="N83" s="4">
        <f>IF(ISNUMBER(SEARCH("营",'19.07'!V83)),(-$Y83+50*IF('19.07'!$AK83="是",'19.07'!$BB$4,'19.07'!$BB$3)),(VLOOKUP('19.07'!V83,'19.07'!$AO$4:$AQ$55,2,FALSE))*IF('19.07'!$AK83="是",'19.07'!$BB$4,'19.07'!$BB$3))</f>
        <v>0</v>
      </c>
      <c r="O83" s="4">
        <f>IF(ISNUMBER(SEARCH("营",'19.07'!W83)),(-$Y83+50*IF('19.07'!$AK83="是",'19.07'!$BB$4,'19.07'!$BB$3)),(VLOOKUP('19.07'!W83,'19.07'!$AO$4:$AQ$55,2,FALSE))*IF('19.07'!$AK83="是",'19.07'!$BB$4,'19.07'!$BB$3))</f>
        <v>0</v>
      </c>
      <c r="P83" s="4">
        <f>IF(ISNUMBER(SEARCH("营",'19.07'!X83)),(-$Y83+50*IF('19.07'!$AK83="是",'19.07'!$BB$4,'19.07'!$BB$3)),(VLOOKUP('19.07'!X83,'19.07'!$AO$4:$AQ$55,2,FALSE))*IF('19.07'!$AK83="是",'19.07'!$BB$4,'19.07'!$BB$3))</f>
        <v>0</v>
      </c>
      <c r="Q83" s="4">
        <f>IF(ISNUMBER(SEARCH("营",'19.07'!Y83)),(-$Y83+50*IF('19.07'!$AK83="是",'19.07'!$BB$4,'19.07'!$BB$3)),(VLOOKUP('19.07'!Y83,'19.07'!$AO$4:$AQ$55,2,FALSE))*IF('19.07'!$AK83="是",'19.07'!$BB$4,'19.07'!$BB$3))</f>
        <v>0</v>
      </c>
      <c r="R83" s="4">
        <f>IF(ISNUMBER(SEARCH("营",'19.07'!Z83)),(-$Y83+50*IF('19.07'!$AK83="是",'19.07'!$BB$4,'19.07'!$BB$3)),(VLOOKUP('19.07'!Z83,'19.07'!$AO$4:$AQ$55,2,FALSE))*IF('19.07'!$AK83="是",'19.07'!$BB$4,'19.07'!$BB$3))</f>
        <v>0</v>
      </c>
      <c r="S83" s="4">
        <f>IF(ISNUMBER(SEARCH("营",'19.07'!AA83)),(-$Y83+50*IF('19.07'!$AK83="是",'19.07'!$BB$4,'19.07'!$BB$3)),(VLOOKUP('19.07'!AA83,'19.07'!$AO$4:$AQ$55,2,FALSE))*IF('19.07'!$AK83="是",'19.07'!$BB$4,'19.07'!$BB$3))</f>
        <v>0</v>
      </c>
      <c r="T83" s="4">
        <f>IF(ISNUMBER(SEARCH("营",'19.07'!AB83)),(-$Y83+50*IF('19.07'!$AK83="是",'19.07'!$BB$4,'19.07'!$BB$3)),(VLOOKUP('19.07'!AB83,'19.07'!$AO$4:$AQ$55,2,FALSE))*IF('19.07'!$AK83="是",'19.07'!$BB$4,'19.07'!$BB$3))</f>
        <v>0</v>
      </c>
      <c r="U83" s="4">
        <f>IF(ISNUMBER(SEARCH("营",'19.07'!AC83)),(-$Y83+50*IF('19.07'!$AK83="是",'19.07'!$BB$4,'19.07'!$BB$3)),(VLOOKUP('19.07'!AC83,'19.07'!$AO$4:$AQ$55,2,FALSE))*IF('19.07'!$AK83="是",'19.07'!$BB$4,'19.07'!$BB$3))</f>
        <v>0</v>
      </c>
      <c r="V83" s="4">
        <f>IF(ISNUMBER(SEARCH("营",'19.07'!AD83)),(-$Y83+50*IF('19.07'!$AK83="是",'19.07'!$BB$4,'19.07'!$BB$3)),(VLOOKUP('19.07'!AD83,'19.07'!$AO$4:$AQ$55,2,FALSE))*IF('19.07'!$AK83="是",'19.07'!$BB$4,'19.07'!$BB$3))</f>
        <v>0</v>
      </c>
      <c r="W83" s="4">
        <f>IF(ISNUMBER(SEARCH("营",'19.07'!AE83)),(-$Y83+50*IF('19.07'!$AK83="是",'19.07'!$BB$4,'19.07'!$BB$3)),(VLOOKUP('19.07'!AE83,'19.07'!$AO$4:$AQ$55,2,FALSE))*IF('19.07'!$AK83="是",'19.07'!$BB$4,'19.07'!$BB$3))</f>
        <v>0</v>
      </c>
      <c r="X83" s="4">
        <f>IF(ISNUMBER(SEARCH("营",'19.07'!AF83)),(-$Y83+50*IF('19.07'!$AK83="是",'19.07'!$BB$4,'19.07'!$BB$3)),(VLOOKUP('19.07'!AF83,'19.07'!$AO$4:$AQ$55,2,FALSE))*IF('19.07'!$AK83="是",'19.07'!$BB$4,'19.07'!$BB$3))</f>
        <v>0</v>
      </c>
      <c r="Y83" s="18">
        <v>100</v>
      </c>
      <c r="Z83" s="15">
        <v>45809</v>
      </c>
    </row>
    <row r="84" spans="1:26">
      <c r="A84" s="4">
        <f>IF(ISNUMBER(SEARCH("营",'19.07'!I84)),(-$Y84+50*IF('19.07'!$AK84="是",'19.07'!$BB$4,'19.07'!$BB$3)),(VLOOKUP('19.07'!I84,'19.07'!$AO$4:$AQ$55,2,FALSE))*IF('19.07'!$AK84="是",'19.07'!$BB$4,'19.07'!$BB$3))</f>
        <v>0</v>
      </c>
      <c r="B84" s="4">
        <f>IF(ISNUMBER(SEARCH("营",'19.07'!J84)),(-$Y84+50*IF('19.07'!$AK84="是",'19.07'!$BB$4,'19.07'!$BB$3)),(VLOOKUP('19.07'!J84,'19.07'!$AO$4:$AQ$55,2,FALSE))*IF('19.07'!$AK84="是",'19.07'!$BB$4,'19.07'!$BB$3))</f>
        <v>0</v>
      </c>
      <c r="C84" s="4">
        <f>IF(ISNUMBER(SEARCH("营",'19.07'!K84)),(-$Y84+50*IF('19.07'!$AK84="是",'19.07'!$BB$4,'19.07'!$BB$3)),(VLOOKUP('19.07'!K84,'19.07'!$AO$4:$AQ$55,2,FALSE))*IF('19.07'!$AK84="是",'19.07'!$BB$4,'19.07'!$BB$3))</f>
        <v>0</v>
      </c>
      <c r="D84" s="4">
        <f>IF(ISNUMBER(SEARCH("营",'19.07'!L84)),(-$Y84+50*IF('19.07'!$AK84="是",'19.07'!$BB$4,'19.07'!$BB$3)),(VLOOKUP('19.07'!L84,'19.07'!$AO$4:$AQ$55,2,FALSE))*IF('19.07'!$AK84="是",'19.07'!$BB$4,'19.07'!$BB$3))</f>
        <v>0</v>
      </c>
      <c r="E84" s="4">
        <f>IF(ISNUMBER(SEARCH("营",'19.07'!M84)),(-$Y84+50*IF('19.07'!$AK84="是",'19.07'!$BB$4,'19.07'!$BB$3)),(VLOOKUP('19.07'!M84,'19.07'!$AO$4:$AQ$55,2,FALSE))*IF('19.07'!$AK84="是",'19.07'!$BB$4,'19.07'!$BB$3))</f>
        <v>0</v>
      </c>
      <c r="F84" s="4">
        <f>IF(ISNUMBER(SEARCH("营",'19.07'!N84)),(-$Y84+50*IF('19.07'!$AK84="是",'19.07'!$BB$4,'19.07'!$BB$3)),(VLOOKUP('19.07'!N84,'19.07'!$AO$4:$AQ$55,2,FALSE))*IF('19.07'!$AK84="是",'19.07'!$BB$4,'19.07'!$BB$3))</f>
        <v>0</v>
      </c>
      <c r="G84" s="4">
        <f>IF(ISNUMBER(SEARCH("营",'19.07'!O84)),(-$Y84+50*IF('19.07'!$AK84="是",'19.07'!$BB$4,'19.07'!$BB$3)),(VLOOKUP('19.07'!O84,'19.07'!$AO$4:$AQ$55,2,FALSE))*IF('19.07'!$AK84="是",'19.07'!$BB$4,'19.07'!$BB$3))</f>
        <v>0</v>
      </c>
      <c r="H84" s="4">
        <f>IF(ISNUMBER(SEARCH("营",'19.07'!P84)),(-$Y84+50*IF('19.07'!$AK84="是",'19.07'!$BB$4,'19.07'!$BB$3)),(VLOOKUP('19.07'!P84,'19.07'!$AO$4:$AQ$55,2,FALSE))*IF('19.07'!$AK84="是",'19.07'!$BB$4,'19.07'!$BB$3))</f>
        <v>0</v>
      </c>
      <c r="I84" s="4">
        <f>IF(ISNUMBER(SEARCH("营",'19.07'!Q84)),(-$Y84+50*IF('19.07'!$AK84="是",'19.07'!$BB$4,'19.07'!$BB$3)),(VLOOKUP('19.07'!Q84,'19.07'!$AO$4:$AQ$55,2,FALSE))*IF('19.07'!$AK84="是",'19.07'!$BB$4,'19.07'!$BB$3))</f>
        <v>0</v>
      </c>
      <c r="J84" s="4">
        <f>IF(ISNUMBER(SEARCH("营",'19.07'!R84)),(-$Y84+50*IF('19.07'!$AK84="是",'19.07'!$BB$4,'19.07'!$BB$3)),(VLOOKUP('19.07'!R84,'19.07'!$AO$4:$AQ$55,2,FALSE))*IF('19.07'!$AK84="是",'19.07'!$BB$4,'19.07'!$BB$3))</f>
        <v>0</v>
      </c>
      <c r="K84" s="4">
        <f>IF(ISNUMBER(SEARCH("营",'19.07'!S84)),(-$Y84+50*IF('19.07'!$AK84="是",'19.07'!$BB$4,'19.07'!$BB$3)),(VLOOKUP('19.07'!S84,'19.07'!$AO$4:$AQ$55,2,FALSE))*IF('19.07'!$AK84="是",'19.07'!$BB$4,'19.07'!$BB$3))</f>
        <v>0</v>
      </c>
      <c r="L84" s="4">
        <f>IF(ISNUMBER(SEARCH("营",'19.07'!T84)),(-$Y84+50*IF('19.07'!$AK84="是",'19.07'!$BB$4,'19.07'!$BB$3)),(VLOOKUP('19.07'!T84,'19.07'!$AO$4:$AQ$55,2,FALSE))*IF('19.07'!$AK84="是",'19.07'!$BB$4,'19.07'!$BB$3))</f>
        <v>0</v>
      </c>
      <c r="M84" s="4">
        <f>IF(ISNUMBER(SEARCH("营",'19.07'!U84)),(-$Y84+50*IF('19.07'!$AK84="是",'19.07'!$BB$4,'19.07'!$BB$3)),(VLOOKUP('19.07'!U84,'19.07'!$AO$4:$AQ$55,2,FALSE))*IF('19.07'!$AK84="是",'19.07'!$BB$4,'19.07'!$BB$3))</f>
        <v>0</v>
      </c>
      <c r="N84" s="4">
        <f>IF(ISNUMBER(SEARCH("营",'19.07'!V84)),(-$Y84+50*IF('19.07'!$AK84="是",'19.07'!$BB$4,'19.07'!$BB$3)),(VLOOKUP('19.07'!V84,'19.07'!$AO$4:$AQ$55,2,FALSE))*IF('19.07'!$AK84="是",'19.07'!$BB$4,'19.07'!$BB$3))</f>
        <v>0</v>
      </c>
      <c r="O84" s="4">
        <f>IF(ISNUMBER(SEARCH("营",'19.07'!W84)),(-$Y84+50*IF('19.07'!$AK84="是",'19.07'!$BB$4,'19.07'!$BB$3)),(VLOOKUP('19.07'!W84,'19.07'!$AO$4:$AQ$55,2,FALSE))*IF('19.07'!$AK84="是",'19.07'!$BB$4,'19.07'!$BB$3))</f>
        <v>0</v>
      </c>
      <c r="P84" s="4">
        <f>IF(ISNUMBER(SEARCH("营",'19.07'!X84)),(-$Y84+50*IF('19.07'!$AK84="是",'19.07'!$BB$4,'19.07'!$BB$3)),(VLOOKUP('19.07'!X84,'19.07'!$AO$4:$AQ$55,2,FALSE))*IF('19.07'!$AK84="是",'19.07'!$BB$4,'19.07'!$BB$3))</f>
        <v>0</v>
      </c>
      <c r="Q84" s="4">
        <f>IF(ISNUMBER(SEARCH("营",'19.07'!Y84)),(-$Y84+50*IF('19.07'!$AK84="是",'19.07'!$BB$4,'19.07'!$BB$3)),(VLOOKUP('19.07'!Y84,'19.07'!$AO$4:$AQ$55,2,FALSE))*IF('19.07'!$AK84="是",'19.07'!$BB$4,'19.07'!$BB$3))</f>
        <v>0</v>
      </c>
      <c r="R84" s="4">
        <f>IF(ISNUMBER(SEARCH("营",'19.07'!Z84)),(-$Y84+50*IF('19.07'!$AK84="是",'19.07'!$BB$4,'19.07'!$BB$3)),(VLOOKUP('19.07'!Z84,'19.07'!$AO$4:$AQ$55,2,FALSE))*IF('19.07'!$AK84="是",'19.07'!$BB$4,'19.07'!$BB$3))</f>
        <v>0</v>
      </c>
      <c r="S84" s="4">
        <f>IF(ISNUMBER(SEARCH("营",'19.07'!AA84)),(-$Y84+50*IF('19.07'!$AK84="是",'19.07'!$BB$4,'19.07'!$BB$3)),(VLOOKUP('19.07'!AA84,'19.07'!$AO$4:$AQ$55,2,FALSE))*IF('19.07'!$AK84="是",'19.07'!$BB$4,'19.07'!$BB$3))</f>
        <v>0</v>
      </c>
      <c r="T84" s="4">
        <f>IF(ISNUMBER(SEARCH("营",'19.07'!AB84)),(-$Y84+50*IF('19.07'!$AK84="是",'19.07'!$BB$4,'19.07'!$BB$3)),(VLOOKUP('19.07'!AB84,'19.07'!$AO$4:$AQ$55,2,FALSE))*IF('19.07'!$AK84="是",'19.07'!$BB$4,'19.07'!$BB$3))</f>
        <v>0</v>
      </c>
      <c r="U84" s="4">
        <f>IF(ISNUMBER(SEARCH("营",'19.07'!AC84)),(-$Y84+50*IF('19.07'!$AK84="是",'19.07'!$BB$4,'19.07'!$BB$3)),(VLOOKUP('19.07'!AC84,'19.07'!$AO$4:$AQ$55,2,FALSE))*IF('19.07'!$AK84="是",'19.07'!$BB$4,'19.07'!$BB$3))</f>
        <v>0</v>
      </c>
      <c r="V84" s="4">
        <f>IF(ISNUMBER(SEARCH("营",'19.07'!AD84)),(-$Y84+50*IF('19.07'!$AK84="是",'19.07'!$BB$4,'19.07'!$BB$3)),(VLOOKUP('19.07'!AD84,'19.07'!$AO$4:$AQ$55,2,FALSE))*IF('19.07'!$AK84="是",'19.07'!$BB$4,'19.07'!$BB$3))</f>
        <v>0</v>
      </c>
      <c r="W84" s="4">
        <f>IF(ISNUMBER(SEARCH("营",'19.07'!AE84)),(-$Y84+50*IF('19.07'!$AK84="是",'19.07'!$BB$4,'19.07'!$BB$3)),(VLOOKUP('19.07'!AE84,'19.07'!$AO$4:$AQ$55,2,FALSE))*IF('19.07'!$AK84="是",'19.07'!$BB$4,'19.07'!$BB$3))</f>
        <v>0</v>
      </c>
      <c r="X84" s="4">
        <f>IF(ISNUMBER(SEARCH("营",'19.07'!AF84)),(-$Y84+50*IF('19.07'!$AK84="是",'19.07'!$BB$4,'19.07'!$BB$3)),(VLOOKUP('19.07'!AF84,'19.07'!$AO$4:$AQ$55,2,FALSE))*IF('19.07'!$AK84="是",'19.07'!$BB$4,'19.07'!$BB$3))</f>
        <v>0</v>
      </c>
      <c r="Y84" s="18">
        <v>100</v>
      </c>
      <c r="Z84" s="15">
        <v>45810</v>
      </c>
    </row>
    <row r="85" spans="1:26">
      <c r="A85" s="4">
        <f>IF(ISNUMBER(SEARCH("营",'19.07'!I85)),(-$Y85+50*IF('19.07'!$AK85="是",'19.07'!$BB$4,'19.07'!$BB$3)),(VLOOKUP('19.07'!I85,'19.07'!$AO$4:$AQ$55,2,FALSE))*IF('19.07'!$AK85="是",'19.07'!$BB$4,'19.07'!$BB$3))</f>
        <v>0</v>
      </c>
      <c r="B85" s="4">
        <f>IF(ISNUMBER(SEARCH("营",'19.07'!J85)),(-$Y85+50*IF('19.07'!$AK85="是",'19.07'!$BB$4,'19.07'!$BB$3)),(VLOOKUP('19.07'!J85,'19.07'!$AO$4:$AQ$55,2,FALSE))*IF('19.07'!$AK85="是",'19.07'!$BB$4,'19.07'!$BB$3))</f>
        <v>0</v>
      </c>
      <c r="C85" s="4">
        <f>IF(ISNUMBER(SEARCH("营",'19.07'!K85)),(-$Y85+50*IF('19.07'!$AK85="是",'19.07'!$BB$4,'19.07'!$BB$3)),(VLOOKUP('19.07'!K85,'19.07'!$AO$4:$AQ$55,2,FALSE))*IF('19.07'!$AK85="是",'19.07'!$BB$4,'19.07'!$BB$3))</f>
        <v>0</v>
      </c>
      <c r="D85" s="4">
        <f>IF(ISNUMBER(SEARCH("营",'19.07'!L85)),(-$Y85+50*IF('19.07'!$AK85="是",'19.07'!$BB$4,'19.07'!$BB$3)),(VLOOKUP('19.07'!L85,'19.07'!$AO$4:$AQ$55,2,FALSE))*IF('19.07'!$AK85="是",'19.07'!$BB$4,'19.07'!$BB$3))</f>
        <v>0</v>
      </c>
      <c r="E85" s="4">
        <f>IF(ISNUMBER(SEARCH("营",'19.07'!M85)),(-$Y85+50*IF('19.07'!$AK85="是",'19.07'!$BB$4,'19.07'!$BB$3)),(VLOOKUP('19.07'!M85,'19.07'!$AO$4:$AQ$55,2,FALSE))*IF('19.07'!$AK85="是",'19.07'!$BB$4,'19.07'!$BB$3))</f>
        <v>0</v>
      </c>
      <c r="F85" s="4">
        <f>IF(ISNUMBER(SEARCH("营",'19.07'!N85)),(-$Y85+50*IF('19.07'!$AK85="是",'19.07'!$BB$4,'19.07'!$BB$3)),(VLOOKUP('19.07'!N85,'19.07'!$AO$4:$AQ$55,2,FALSE))*IF('19.07'!$AK85="是",'19.07'!$BB$4,'19.07'!$BB$3))</f>
        <v>0</v>
      </c>
      <c r="G85" s="4">
        <f>IF(ISNUMBER(SEARCH("营",'19.07'!O85)),(-$Y85+50*IF('19.07'!$AK85="是",'19.07'!$BB$4,'19.07'!$BB$3)),(VLOOKUP('19.07'!O85,'19.07'!$AO$4:$AQ$55,2,FALSE))*IF('19.07'!$AK85="是",'19.07'!$BB$4,'19.07'!$BB$3))</f>
        <v>0</v>
      </c>
      <c r="H85" s="4">
        <f>IF(ISNUMBER(SEARCH("营",'19.07'!P85)),(-$Y85+50*IF('19.07'!$AK85="是",'19.07'!$BB$4,'19.07'!$BB$3)),(VLOOKUP('19.07'!P85,'19.07'!$AO$4:$AQ$55,2,FALSE))*IF('19.07'!$AK85="是",'19.07'!$BB$4,'19.07'!$BB$3))</f>
        <v>0</v>
      </c>
      <c r="I85" s="4">
        <f>IF(ISNUMBER(SEARCH("营",'19.07'!Q85)),(-$Y85+50*IF('19.07'!$AK85="是",'19.07'!$BB$4,'19.07'!$BB$3)),(VLOOKUP('19.07'!Q85,'19.07'!$AO$4:$AQ$55,2,FALSE))*IF('19.07'!$AK85="是",'19.07'!$BB$4,'19.07'!$BB$3))</f>
        <v>0</v>
      </c>
      <c r="J85" s="4">
        <f>IF(ISNUMBER(SEARCH("营",'19.07'!R85)),(-$Y85+50*IF('19.07'!$AK85="是",'19.07'!$BB$4,'19.07'!$BB$3)),(VLOOKUP('19.07'!R85,'19.07'!$AO$4:$AQ$55,2,FALSE))*IF('19.07'!$AK85="是",'19.07'!$BB$4,'19.07'!$BB$3))</f>
        <v>0</v>
      </c>
      <c r="K85" s="4">
        <f>IF(ISNUMBER(SEARCH("营",'19.07'!S85)),(-$Y85+50*IF('19.07'!$AK85="是",'19.07'!$BB$4,'19.07'!$BB$3)),(VLOOKUP('19.07'!S85,'19.07'!$AO$4:$AQ$55,2,FALSE))*IF('19.07'!$AK85="是",'19.07'!$BB$4,'19.07'!$BB$3))</f>
        <v>0</v>
      </c>
      <c r="L85" s="4">
        <f>IF(ISNUMBER(SEARCH("营",'19.07'!T85)),(-$Y85+50*IF('19.07'!$AK85="是",'19.07'!$BB$4,'19.07'!$BB$3)),(VLOOKUP('19.07'!T85,'19.07'!$AO$4:$AQ$55,2,FALSE))*IF('19.07'!$AK85="是",'19.07'!$BB$4,'19.07'!$BB$3))</f>
        <v>0</v>
      </c>
      <c r="M85" s="4">
        <f>IF(ISNUMBER(SEARCH("营",'19.07'!U85)),(-$Y85+50*IF('19.07'!$AK85="是",'19.07'!$BB$4,'19.07'!$BB$3)),(VLOOKUP('19.07'!U85,'19.07'!$AO$4:$AQ$55,2,FALSE))*IF('19.07'!$AK85="是",'19.07'!$BB$4,'19.07'!$BB$3))</f>
        <v>0</v>
      </c>
      <c r="N85" s="4">
        <f>IF(ISNUMBER(SEARCH("营",'19.07'!V85)),(-$Y85+50*IF('19.07'!$AK85="是",'19.07'!$BB$4,'19.07'!$BB$3)),(VLOOKUP('19.07'!V85,'19.07'!$AO$4:$AQ$55,2,FALSE))*IF('19.07'!$AK85="是",'19.07'!$BB$4,'19.07'!$BB$3))</f>
        <v>0</v>
      </c>
      <c r="O85" s="4">
        <f>IF(ISNUMBER(SEARCH("营",'19.07'!W85)),(-$Y85+50*IF('19.07'!$AK85="是",'19.07'!$BB$4,'19.07'!$BB$3)),(VLOOKUP('19.07'!W85,'19.07'!$AO$4:$AQ$55,2,FALSE))*IF('19.07'!$AK85="是",'19.07'!$BB$4,'19.07'!$BB$3))</f>
        <v>0</v>
      </c>
      <c r="P85" s="4">
        <f>IF(ISNUMBER(SEARCH("营",'19.07'!X85)),(-$Y85+50*IF('19.07'!$AK85="是",'19.07'!$BB$4,'19.07'!$BB$3)),(VLOOKUP('19.07'!X85,'19.07'!$AO$4:$AQ$55,2,FALSE))*IF('19.07'!$AK85="是",'19.07'!$BB$4,'19.07'!$BB$3))</f>
        <v>0</v>
      </c>
      <c r="Q85" s="4">
        <f>IF(ISNUMBER(SEARCH("营",'19.07'!Y85)),(-$Y85+50*IF('19.07'!$AK85="是",'19.07'!$BB$4,'19.07'!$BB$3)),(VLOOKUP('19.07'!Y85,'19.07'!$AO$4:$AQ$55,2,FALSE))*IF('19.07'!$AK85="是",'19.07'!$BB$4,'19.07'!$BB$3))</f>
        <v>0</v>
      </c>
      <c r="R85" s="4">
        <f>IF(ISNUMBER(SEARCH("营",'19.07'!Z85)),(-$Y85+50*IF('19.07'!$AK85="是",'19.07'!$BB$4,'19.07'!$BB$3)),(VLOOKUP('19.07'!Z85,'19.07'!$AO$4:$AQ$55,2,FALSE))*IF('19.07'!$AK85="是",'19.07'!$BB$4,'19.07'!$BB$3))</f>
        <v>0</v>
      </c>
      <c r="S85" s="4">
        <f>IF(ISNUMBER(SEARCH("营",'19.07'!AA85)),(-$Y85+50*IF('19.07'!$AK85="是",'19.07'!$BB$4,'19.07'!$BB$3)),(VLOOKUP('19.07'!AA85,'19.07'!$AO$4:$AQ$55,2,FALSE))*IF('19.07'!$AK85="是",'19.07'!$BB$4,'19.07'!$BB$3))</f>
        <v>0</v>
      </c>
      <c r="T85" s="4">
        <f>IF(ISNUMBER(SEARCH("营",'19.07'!AB85)),(-$Y85+50*IF('19.07'!$AK85="是",'19.07'!$BB$4,'19.07'!$BB$3)),(VLOOKUP('19.07'!AB85,'19.07'!$AO$4:$AQ$55,2,FALSE))*IF('19.07'!$AK85="是",'19.07'!$BB$4,'19.07'!$BB$3))</f>
        <v>0</v>
      </c>
      <c r="U85" s="4">
        <f>IF(ISNUMBER(SEARCH("营",'19.07'!AC85)),(-$Y85+50*IF('19.07'!$AK85="是",'19.07'!$BB$4,'19.07'!$BB$3)),(VLOOKUP('19.07'!AC85,'19.07'!$AO$4:$AQ$55,2,FALSE))*IF('19.07'!$AK85="是",'19.07'!$BB$4,'19.07'!$BB$3))</f>
        <v>0</v>
      </c>
      <c r="V85" s="4">
        <f>IF(ISNUMBER(SEARCH("营",'19.07'!AD85)),(-$Y85+50*IF('19.07'!$AK85="是",'19.07'!$BB$4,'19.07'!$BB$3)),(VLOOKUP('19.07'!AD85,'19.07'!$AO$4:$AQ$55,2,FALSE))*IF('19.07'!$AK85="是",'19.07'!$BB$4,'19.07'!$BB$3))</f>
        <v>0</v>
      </c>
      <c r="W85" s="4">
        <f>IF(ISNUMBER(SEARCH("营",'19.07'!AE85)),(-$Y85+50*IF('19.07'!$AK85="是",'19.07'!$BB$4,'19.07'!$BB$3)),(VLOOKUP('19.07'!AE85,'19.07'!$AO$4:$AQ$55,2,FALSE))*IF('19.07'!$AK85="是",'19.07'!$BB$4,'19.07'!$BB$3))</f>
        <v>0</v>
      </c>
      <c r="X85" s="4">
        <f>IF(ISNUMBER(SEARCH("营",'19.07'!AF85)),(-$Y85+50*IF('19.07'!$AK85="是",'19.07'!$BB$4,'19.07'!$BB$3)),(VLOOKUP('19.07'!AF85,'19.07'!$AO$4:$AQ$55,2,FALSE))*IF('19.07'!$AK85="是",'19.07'!$BB$4,'19.07'!$BB$3))</f>
        <v>0</v>
      </c>
      <c r="Y85" s="18">
        <v>100</v>
      </c>
      <c r="Z85" s="15">
        <v>45811</v>
      </c>
    </row>
    <row r="86" spans="1:26">
      <c r="A86" s="4">
        <f>IF(ISNUMBER(SEARCH("营",'19.07'!I86)),(-$Y86+50*IF('19.07'!$AK86="是",'19.07'!$BB$4,'19.07'!$BB$3)),(VLOOKUP('19.07'!I86,'19.07'!$AO$4:$AQ$55,2,FALSE))*IF('19.07'!$AK86="是",'19.07'!$BB$4,'19.07'!$BB$3))</f>
        <v>0</v>
      </c>
      <c r="B86" s="4">
        <f>IF(ISNUMBER(SEARCH("营",'19.07'!J86)),(-$Y86+50*IF('19.07'!$AK86="是",'19.07'!$BB$4,'19.07'!$BB$3)),(VLOOKUP('19.07'!J86,'19.07'!$AO$4:$AQ$55,2,FALSE))*IF('19.07'!$AK86="是",'19.07'!$BB$4,'19.07'!$BB$3))</f>
        <v>0</v>
      </c>
      <c r="C86" s="4">
        <f>IF(ISNUMBER(SEARCH("营",'19.07'!K86)),(-$Y86+50*IF('19.07'!$AK86="是",'19.07'!$BB$4,'19.07'!$BB$3)),(VLOOKUP('19.07'!K86,'19.07'!$AO$4:$AQ$55,2,FALSE))*IF('19.07'!$AK86="是",'19.07'!$BB$4,'19.07'!$BB$3))</f>
        <v>0</v>
      </c>
      <c r="D86" s="4">
        <f>IF(ISNUMBER(SEARCH("营",'19.07'!L86)),(-$Y86+50*IF('19.07'!$AK86="是",'19.07'!$BB$4,'19.07'!$BB$3)),(VLOOKUP('19.07'!L86,'19.07'!$AO$4:$AQ$55,2,FALSE))*IF('19.07'!$AK86="是",'19.07'!$BB$4,'19.07'!$BB$3))</f>
        <v>0</v>
      </c>
      <c r="E86" s="4">
        <f>IF(ISNUMBER(SEARCH("营",'19.07'!M86)),(-$Y86+50*IF('19.07'!$AK86="是",'19.07'!$BB$4,'19.07'!$BB$3)),(VLOOKUP('19.07'!M86,'19.07'!$AO$4:$AQ$55,2,FALSE))*IF('19.07'!$AK86="是",'19.07'!$BB$4,'19.07'!$BB$3))</f>
        <v>0</v>
      </c>
      <c r="F86" s="4">
        <f>IF(ISNUMBER(SEARCH("营",'19.07'!N86)),(-$Y86+50*IF('19.07'!$AK86="是",'19.07'!$BB$4,'19.07'!$BB$3)),(VLOOKUP('19.07'!N86,'19.07'!$AO$4:$AQ$55,2,FALSE))*IF('19.07'!$AK86="是",'19.07'!$BB$4,'19.07'!$BB$3))</f>
        <v>0</v>
      </c>
      <c r="G86" s="4">
        <f>IF(ISNUMBER(SEARCH("营",'19.07'!O86)),(-$Y86+50*IF('19.07'!$AK86="是",'19.07'!$BB$4,'19.07'!$BB$3)),(VLOOKUP('19.07'!O86,'19.07'!$AO$4:$AQ$55,2,FALSE))*IF('19.07'!$AK86="是",'19.07'!$BB$4,'19.07'!$BB$3))</f>
        <v>0</v>
      </c>
      <c r="H86" s="4">
        <f>IF(ISNUMBER(SEARCH("营",'19.07'!P86)),(-$Y86+50*IF('19.07'!$AK86="是",'19.07'!$BB$4,'19.07'!$BB$3)),(VLOOKUP('19.07'!P86,'19.07'!$AO$4:$AQ$55,2,FALSE))*IF('19.07'!$AK86="是",'19.07'!$BB$4,'19.07'!$BB$3))</f>
        <v>0</v>
      </c>
      <c r="I86" s="4">
        <f>IF(ISNUMBER(SEARCH("营",'19.07'!Q86)),(-$Y86+50*IF('19.07'!$AK86="是",'19.07'!$BB$4,'19.07'!$BB$3)),(VLOOKUP('19.07'!Q86,'19.07'!$AO$4:$AQ$55,2,FALSE))*IF('19.07'!$AK86="是",'19.07'!$BB$4,'19.07'!$BB$3))</f>
        <v>0</v>
      </c>
      <c r="J86" s="4">
        <f>IF(ISNUMBER(SEARCH("营",'19.07'!R86)),(-$Y86+50*IF('19.07'!$AK86="是",'19.07'!$BB$4,'19.07'!$BB$3)),(VLOOKUP('19.07'!R86,'19.07'!$AO$4:$AQ$55,2,FALSE))*IF('19.07'!$AK86="是",'19.07'!$BB$4,'19.07'!$BB$3))</f>
        <v>0</v>
      </c>
      <c r="K86" s="4">
        <f>IF(ISNUMBER(SEARCH("营",'19.07'!S86)),(-$Y86+50*IF('19.07'!$AK86="是",'19.07'!$BB$4,'19.07'!$BB$3)),(VLOOKUP('19.07'!S86,'19.07'!$AO$4:$AQ$55,2,FALSE))*IF('19.07'!$AK86="是",'19.07'!$BB$4,'19.07'!$BB$3))</f>
        <v>0</v>
      </c>
      <c r="L86" s="4">
        <f>IF(ISNUMBER(SEARCH("营",'19.07'!T86)),(-$Y86+50*IF('19.07'!$AK86="是",'19.07'!$BB$4,'19.07'!$BB$3)),(VLOOKUP('19.07'!T86,'19.07'!$AO$4:$AQ$55,2,FALSE))*IF('19.07'!$AK86="是",'19.07'!$BB$4,'19.07'!$BB$3))</f>
        <v>0</v>
      </c>
      <c r="M86" s="4">
        <f>IF(ISNUMBER(SEARCH("营",'19.07'!U86)),(-$Y86+50*IF('19.07'!$AK86="是",'19.07'!$BB$4,'19.07'!$BB$3)),(VLOOKUP('19.07'!U86,'19.07'!$AO$4:$AQ$55,2,FALSE))*IF('19.07'!$AK86="是",'19.07'!$BB$4,'19.07'!$BB$3))</f>
        <v>0</v>
      </c>
      <c r="N86" s="4">
        <f>IF(ISNUMBER(SEARCH("营",'19.07'!V86)),(-$Y86+50*IF('19.07'!$AK86="是",'19.07'!$BB$4,'19.07'!$BB$3)),(VLOOKUP('19.07'!V86,'19.07'!$AO$4:$AQ$55,2,FALSE))*IF('19.07'!$AK86="是",'19.07'!$BB$4,'19.07'!$BB$3))</f>
        <v>0</v>
      </c>
      <c r="O86" s="4">
        <f>IF(ISNUMBER(SEARCH("营",'19.07'!W86)),(-$Y86+50*IF('19.07'!$AK86="是",'19.07'!$BB$4,'19.07'!$BB$3)),(VLOOKUP('19.07'!W86,'19.07'!$AO$4:$AQ$55,2,FALSE))*IF('19.07'!$AK86="是",'19.07'!$BB$4,'19.07'!$BB$3))</f>
        <v>0</v>
      </c>
      <c r="P86" s="4">
        <f>IF(ISNUMBER(SEARCH("营",'19.07'!X86)),(-$Y86+50*IF('19.07'!$AK86="是",'19.07'!$BB$4,'19.07'!$BB$3)),(VLOOKUP('19.07'!X86,'19.07'!$AO$4:$AQ$55,2,FALSE))*IF('19.07'!$AK86="是",'19.07'!$BB$4,'19.07'!$BB$3))</f>
        <v>0</v>
      </c>
      <c r="Q86" s="4">
        <f>IF(ISNUMBER(SEARCH("营",'19.07'!Y86)),(-$Y86+50*IF('19.07'!$AK86="是",'19.07'!$BB$4,'19.07'!$BB$3)),(VLOOKUP('19.07'!Y86,'19.07'!$AO$4:$AQ$55,2,FALSE))*IF('19.07'!$AK86="是",'19.07'!$BB$4,'19.07'!$BB$3))</f>
        <v>0</v>
      </c>
      <c r="R86" s="4">
        <f>IF(ISNUMBER(SEARCH("营",'19.07'!Z86)),(-$Y86+50*IF('19.07'!$AK86="是",'19.07'!$BB$4,'19.07'!$BB$3)),(VLOOKUP('19.07'!Z86,'19.07'!$AO$4:$AQ$55,2,FALSE))*IF('19.07'!$AK86="是",'19.07'!$BB$4,'19.07'!$BB$3))</f>
        <v>0</v>
      </c>
      <c r="S86" s="4">
        <f>IF(ISNUMBER(SEARCH("营",'19.07'!AA86)),(-$Y86+50*IF('19.07'!$AK86="是",'19.07'!$BB$4,'19.07'!$BB$3)),(VLOOKUP('19.07'!AA86,'19.07'!$AO$4:$AQ$55,2,FALSE))*IF('19.07'!$AK86="是",'19.07'!$BB$4,'19.07'!$BB$3))</f>
        <v>0</v>
      </c>
      <c r="T86" s="4">
        <f>IF(ISNUMBER(SEARCH("营",'19.07'!AB86)),(-$Y86+50*IF('19.07'!$AK86="是",'19.07'!$BB$4,'19.07'!$BB$3)),(VLOOKUP('19.07'!AB86,'19.07'!$AO$4:$AQ$55,2,FALSE))*IF('19.07'!$AK86="是",'19.07'!$BB$4,'19.07'!$BB$3))</f>
        <v>0</v>
      </c>
      <c r="U86" s="4">
        <f>IF(ISNUMBER(SEARCH("营",'19.07'!AC86)),(-$Y86+50*IF('19.07'!$AK86="是",'19.07'!$BB$4,'19.07'!$BB$3)),(VLOOKUP('19.07'!AC86,'19.07'!$AO$4:$AQ$55,2,FALSE))*IF('19.07'!$AK86="是",'19.07'!$BB$4,'19.07'!$BB$3))</f>
        <v>0</v>
      </c>
      <c r="V86" s="4">
        <f>IF(ISNUMBER(SEARCH("营",'19.07'!AD86)),(-$Y86+50*IF('19.07'!$AK86="是",'19.07'!$BB$4,'19.07'!$BB$3)),(VLOOKUP('19.07'!AD86,'19.07'!$AO$4:$AQ$55,2,FALSE))*IF('19.07'!$AK86="是",'19.07'!$BB$4,'19.07'!$BB$3))</f>
        <v>0</v>
      </c>
      <c r="W86" s="4">
        <f>IF(ISNUMBER(SEARCH("营",'19.07'!AE86)),(-$Y86+50*IF('19.07'!$AK86="是",'19.07'!$BB$4,'19.07'!$BB$3)),(VLOOKUP('19.07'!AE86,'19.07'!$AO$4:$AQ$55,2,FALSE))*IF('19.07'!$AK86="是",'19.07'!$BB$4,'19.07'!$BB$3))</f>
        <v>0</v>
      </c>
      <c r="X86" s="4">
        <f>IF(ISNUMBER(SEARCH("营",'19.07'!AF86)),(-$Y86+50*IF('19.07'!$AK86="是",'19.07'!$BB$4,'19.07'!$BB$3)),(VLOOKUP('19.07'!AF86,'19.07'!$AO$4:$AQ$55,2,FALSE))*IF('19.07'!$AK86="是",'19.07'!$BB$4,'19.07'!$BB$3))</f>
        <v>0</v>
      </c>
      <c r="Y86" s="18">
        <v>100</v>
      </c>
      <c r="Z86" s="15">
        <v>45812</v>
      </c>
    </row>
    <row r="87" spans="1:26">
      <c r="A87" s="4">
        <f>IF(ISNUMBER(SEARCH("营",'19.07'!I87)),(-$Y87+50*IF('19.07'!$AK87="是",'19.07'!$BB$4,'19.07'!$BB$3)),(VLOOKUP('19.07'!I87,'19.07'!$AO$4:$AQ$55,2,FALSE))*IF('19.07'!$AK87="是",'19.07'!$BB$4,'19.07'!$BB$3))</f>
        <v>0</v>
      </c>
      <c r="B87" s="4">
        <f>IF(ISNUMBER(SEARCH("营",'19.07'!J87)),(-$Y87+50*IF('19.07'!$AK87="是",'19.07'!$BB$4,'19.07'!$BB$3)),(VLOOKUP('19.07'!J87,'19.07'!$AO$4:$AQ$55,2,FALSE))*IF('19.07'!$AK87="是",'19.07'!$BB$4,'19.07'!$BB$3))</f>
        <v>0</v>
      </c>
      <c r="C87" s="4">
        <f>IF(ISNUMBER(SEARCH("营",'19.07'!K87)),(-$Y87+50*IF('19.07'!$AK87="是",'19.07'!$BB$4,'19.07'!$BB$3)),(VLOOKUP('19.07'!K87,'19.07'!$AO$4:$AQ$55,2,FALSE))*IF('19.07'!$AK87="是",'19.07'!$BB$4,'19.07'!$BB$3))</f>
        <v>0</v>
      </c>
      <c r="D87" s="4">
        <f>IF(ISNUMBER(SEARCH("营",'19.07'!L87)),(-$Y87+50*IF('19.07'!$AK87="是",'19.07'!$BB$4,'19.07'!$BB$3)),(VLOOKUP('19.07'!L87,'19.07'!$AO$4:$AQ$55,2,FALSE))*IF('19.07'!$AK87="是",'19.07'!$BB$4,'19.07'!$BB$3))</f>
        <v>0</v>
      </c>
      <c r="E87" s="4">
        <f>IF(ISNUMBER(SEARCH("营",'19.07'!M87)),(-$Y87+50*IF('19.07'!$AK87="是",'19.07'!$BB$4,'19.07'!$BB$3)),(VLOOKUP('19.07'!M87,'19.07'!$AO$4:$AQ$55,2,FALSE))*IF('19.07'!$AK87="是",'19.07'!$BB$4,'19.07'!$BB$3))</f>
        <v>0</v>
      </c>
      <c r="F87" s="4">
        <f>IF(ISNUMBER(SEARCH("营",'19.07'!N87)),(-$Y87+50*IF('19.07'!$AK87="是",'19.07'!$BB$4,'19.07'!$BB$3)),(VLOOKUP('19.07'!N87,'19.07'!$AO$4:$AQ$55,2,FALSE))*IF('19.07'!$AK87="是",'19.07'!$BB$4,'19.07'!$BB$3))</f>
        <v>0</v>
      </c>
      <c r="G87" s="4">
        <f>IF(ISNUMBER(SEARCH("营",'19.07'!O87)),(-$Y87+50*IF('19.07'!$AK87="是",'19.07'!$BB$4,'19.07'!$BB$3)),(VLOOKUP('19.07'!O87,'19.07'!$AO$4:$AQ$55,2,FALSE))*IF('19.07'!$AK87="是",'19.07'!$BB$4,'19.07'!$BB$3))</f>
        <v>0</v>
      </c>
      <c r="H87" s="4">
        <f>IF(ISNUMBER(SEARCH("营",'19.07'!P87)),(-$Y87+50*IF('19.07'!$AK87="是",'19.07'!$BB$4,'19.07'!$BB$3)),(VLOOKUP('19.07'!P87,'19.07'!$AO$4:$AQ$55,2,FALSE))*IF('19.07'!$AK87="是",'19.07'!$BB$4,'19.07'!$BB$3))</f>
        <v>0</v>
      </c>
      <c r="I87" s="4">
        <f>IF(ISNUMBER(SEARCH("营",'19.07'!Q87)),(-$Y87+50*IF('19.07'!$AK87="是",'19.07'!$BB$4,'19.07'!$BB$3)),(VLOOKUP('19.07'!Q87,'19.07'!$AO$4:$AQ$55,2,FALSE))*IF('19.07'!$AK87="是",'19.07'!$BB$4,'19.07'!$BB$3))</f>
        <v>0</v>
      </c>
      <c r="J87" s="4">
        <f>IF(ISNUMBER(SEARCH("营",'19.07'!R87)),(-$Y87+50*IF('19.07'!$AK87="是",'19.07'!$BB$4,'19.07'!$BB$3)),(VLOOKUP('19.07'!R87,'19.07'!$AO$4:$AQ$55,2,FALSE))*IF('19.07'!$AK87="是",'19.07'!$BB$4,'19.07'!$BB$3))</f>
        <v>0</v>
      </c>
      <c r="K87" s="4">
        <f>IF(ISNUMBER(SEARCH("营",'19.07'!S87)),(-$Y87+50*IF('19.07'!$AK87="是",'19.07'!$BB$4,'19.07'!$BB$3)),(VLOOKUP('19.07'!S87,'19.07'!$AO$4:$AQ$55,2,FALSE))*IF('19.07'!$AK87="是",'19.07'!$BB$4,'19.07'!$BB$3))</f>
        <v>0</v>
      </c>
      <c r="L87" s="4">
        <f>IF(ISNUMBER(SEARCH("营",'19.07'!T87)),(-$Y87+50*IF('19.07'!$AK87="是",'19.07'!$BB$4,'19.07'!$BB$3)),(VLOOKUP('19.07'!T87,'19.07'!$AO$4:$AQ$55,2,FALSE))*IF('19.07'!$AK87="是",'19.07'!$BB$4,'19.07'!$BB$3))</f>
        <v>0</v>
      </c>
      <c r="M87" s="4">
        <f>IF(ISNUMBER(SEARCH("营",'19.07'!U87)),(-$Y87+50*IF('19.07'!$AK87="是",'19.07'!$BB$4,'19.07'!$BB$3)),(VLOOKUP('19.07'!U87,'19.07'!$AO$4:$AQ$55,2,FALSE))*IF('19.07'!$AK87="是",'19.07'!$BB$4,'19.07'!$BB$3))</f>
        <v>0</v>
      </c>
      <c r="N87" s="4">
        <f>IF(ISNUMBER(SEARCH("营",'19.07'!V87)),(-$Y87+50*IF('19.07'!$AK87="是",'19.07'!$BB$4,'19.07'!$BB$3)),(VLOOKUP('19.07'!V87,'19.07'!$AO$4:$AQ$55,2,FALSE))*IF('19.07'!$AK87="是",'19.07'!$BB$4,'19.07'!$BB$3))</f>
        <v>0</v>
      </c>
      <c r="O87" s="4">
        <f>IF(ISNUMBER(SEARCH("营",'19.07'!W87)),(-$Y87+50*IF('19.07'!$AK87="是",'19.07'!$BB$4,'19.07'!$BB$3)),(VLOOKUP('19.07'!W87,'19.07'!$AO$4:$AQ$55,2,FALSE))*IF('19.07'!$AK87="是",'19.07'!$BB$4,'19.07'!$BB$3))</f>
        <v>0</v>
      </c>
      <c r="P87" s="4">
        <f>IF(ISNUMBER(SEARCH("营",'19.07'!X87)),(-$Y87+50*IF('19.07'!$AK87="是",'19.07'!$BB$4,'19.07'!$BB$3)),(VLOOKUP('19.07'!X87,'19.07'!$AO$4:$AQ$55,2,FALSE))*IF('19.07'!$AK87="是",'19.07'!$BB$4,'19.07'!$BB$3))</f>
        <v>0</v>
      </c>
      <c r="Q87" s="4">
        <f>IF(ISNUMBER(SEARCH("营",'19.07'!Y87)),(-$Y87+50*IF('19.07'!$AK87="是",'19.07'!$BB$4,'19.07'!$BB$3)),(VLOOKUP('19.07'!Y87,'19.07'!$AO$4:$AQ$55,2,FALSE))*IF('19.07'!$AK87="是",'19.07'!$BB$4,'19.07'!$BB$3))</f>
        <v>0</v>
      </c>
      <c r="R87" s="4">
        <f>IF(ISNUMBER(SEARCH("营",'19.07'!Z87)),(-$Y87+50*IF('19.07'!$AK87="是",'19.07'!$BB$4,'19.07'!$BB$3)),(VLOOKUP('19.07'!Z87,'19.07'!$AO$4:$AQ$55,2,FALSE))*IF('19.07'!$AK87="是",'19.07'!$BB$4,'19.07'!$BB$3))</f>
        <v>0</v>
      </c>
      <c r="S87" s="4">
        <f>IF(ISNUMBER(SEARCH("营",'19.07'!AA87)),(-$Y87+50*IF('19.07'!$AK87="是",'19.07'!$BB$4,'19.07'!$BB$3)),(VLOOKUP('19.07'!AA87,'19.07'!$AO$4:$AQ$55,2,FALSE))*IF('19.07'!$AK87="是",'19.07'!$BB$4,'19.07'!$BB$3))</f>
        <v>0</v>
      </c>
      <c r="T87" s="4">
        <f>IF(ISNUMBER(SEARCH("营",'19.07'!AB87)),(-$Y87+50*IF('19.07'!$AK87="是",'19.07'!$BB$4,'19.07'!$BB$3)),(VLOOKUP('19.07'!AB87,'19.07'!$AO$4:$AQ$55,2,FALSE))*IF('19.07'!$AK87="是",'19.07'!$BB$4,'19.07'!$BB$3))</f>
        <v>0</v>
      </c>
      <c r="U87" s="4">
        <f>IF(ISNUMBER(SEARCH("营",'19.07'!AC87)),(-$Y87+50*IF('19.07'!$AK87="是",'19.07'!$BB$4,'19.07'!$BB$3)),(VLOOKUP('19.07'!AC87,'19.07'!$AO$4:$AQ$55,2,FALSE))*IF('19.07'!$AK87="是",'19.07'!$BB$4,'19.07'!$BB$3))</f>
        <v>0</v>
      </c>
      <c r="V87" s="4">
        <f>IF(ISNUMBER(SEARCH("营",'19.07'!AD87)),(-$Y87+50*IF('19.07'!$AK87="是",'19.07'!$BB$4,'19.07'!$BB$3)),(VLOOKUP('19.07'!AD87,'19.07'!$AO$4:$AQ$55,2,FALSE))*IF('19.07'!$AK87="是",'19.07'!$BB$4,'19.07'!$BB$3))</f>
        <v>0</v>
      </c>
      <c r="W87" s="4">
        <f>IF(ISNUMBER(SEARCH("营",'19.07'!AE87)),(-$Y87+50*IF('19.07'!$AK87="是",'19.07'!$BB$4,'19.07'!$BB$3)),(VLOOKUP('19.07'!AE87,'19.07'!$AO$4:$AQ$55,2,FALSE))*IF('19.07'!$AK87="是",'19.07'!$BB$4,'19.07'!$BB$3))</f>
        <v>0</v>
      </c>
      <c r="X87" s="4">
        <f>IF(ISNUMBER(SEARCH("营",'19.07'!AF87)),(-$Y87+50*IF('19.07'!$AK87="是",'19.07'!$BB$4,'19.07'!$BB$3)),(VLOOKUP('19.07'!AF87,'19.07'!$AO$4:$AQ$55,2,FALSE))*IF('19.07'!$AK87="是",'19.07'!$BB$4,'19.07'!$BB$3))</f>
        <v>0</v>
      </c>
      <c r="Y87" s="18">
        <v>100</v>
      </c>
      <c r="Z87" s="15">
        <v>45813</v>
      </c>
    </row>
    <row r="88" spans="1:26">
      <c r="A88" s="4">
        <f>IF(ISNUMBER(SEARCH("营",'19.07'!I88)),(-$Y88+50*IF('19.07'!$AK88="是",'19.07'!$BB$4,'19.07'!$BB$3)),(VLOOKUP('19.07'!I88,'19.07'!$AO$4:$AQ$55,2,FALSE))*IF('19.07'!$AK88="是",'19.07'!$BB$4,'19.07'!$BB$3))</f>
        <v>0</v>
      </c>
      <c r="B88" s="4">
        <f>IF(ISNUMBER(SEARCH("营",'19.07'!J88)),(-$Y88+50*IF('19.07'!$AK88="是",'19.07'!$BB$4,'19.07'!$BB$3)),(VLOOKUP('19.07'!J88,'19.07'!$AO$4:$AQ$55,2,FALSE))*IF('19.07'!$AK88="是",'19.07'!$BB$4,'19.07'!$BB$3))</f>
        <v>0</v>
      </c>
      <c r="C88" s="4">
        <f>IF(ISNUMBER(SEARCH("营",'19.07'!K88)),(-$Y88+50*IF('19.07'!$AK88="是",'19.07'!$BB$4,'19.07'!$BB$3)),(VLOOKUP('19.07'!K88,'19.07'!$AO$4:$AQ$55,2,FALSE))*IF('19.07'!$AK88="是",'19.07'!$BB$4,'19.07'!$BB$3))</f>
        <v>0</v>
      </c>
      <c r="D88" s="4">
        <f>IF(ISNUMBER(SEARCH("营",'19.07'!L88)),(-$Y88+50*IF('19.07'!$AK88="是",'19.07'!$BB$4,'19.07'!$BB$3)),(VLOOKUP('19.07'!L88,'19.07'!$AO$4:$AQ$55,2,FALSE))*IF('19.07'!$AK88="是",'19.07'!$BB$4,'19.07'!$BB$3))</f>
        <v>0</v>
      </c>
      <c r="E88" s="4">
        <f>IF(ISNUMBER(SEARCH("营",'19.07'!M88)),(-$Y88+50*IF('19.07'!$AK88="是",'19.07'!$BB$4,'19.07'!$BB$3)),(VLOOKUP('19.07'!M88,'19.07'!$AO$4:$AQ$55,2,FALSE))*IF('19.07'!$AK88="是",'19.07'!$BB$4,'19.07'!$BB$3))</f>
        <v>0</v>
      </c>
      <c r="F88" s="4">
        <f>IF(ISNUMBER(SEARCH("营",'19.07'!N88)),(-$Y88+50*IF('19.07'!$AK88="是",'19.07'!$BB$4,'19.07'!$BB$3)),(VLOOKUP('19.07'!N88,'19.07'!$AO$4:$AQ$55,2,FALSE))*IF('19.07'!$AK88="是",'19.07'!$BB$4,'19.07'!$BB$3))</f>
        <v>0</v>
      </c>
      <c r="G88" s="4">
        <f>IF(ISNUMBER(SEARCH("营",'19.07'!O88)),(-$Y88+50*IF('19.07'!$AK88="是",'19.07'!$BB$4,'19.07'!$BB$3)),(VLOOKUP('19.07'!O88,'19.07'!$AO$4:$AQ$55,2,FALSE))*IF('19.07'!$AK88="是",'19.07'!$BB$4,'19.07'!$BB$3))</f>
        <v>0</v>
      </c>
      <c r="H88" s="4">
        <f>IF(ISNUMBER(SEARCH("营",'19.07'!P88)),(-$Y88+50*IF('19.07'!$AK88="是",'19.07'!$BB$4,'19.07'!$BB$3)),(VLOOKUP('19.07'!P88,'19.07'!$AO$4:$AQ$55,2,FALSE))*IF('19.07'!$AK88="是",'19.07'!$BB$4,'19.07'!$BB$3))</f>
        <v>0</v>
      </c>
      <c r="I88" s="4">
        <f>IF(ISNUMBER(SEARCH("营",'19.07'!Q88)),(-$Y88+50*IF('19.07'!$AK88="是",'19.07'!$BB$4,'19.07'!$BB$3)),(VLOOKUP('19.07'!Q88,'19.07'!$AO$4:$AQ$55,2,FALSE))*IF('19.07'!$AK88="是",'19.07'!$BB$4,'19.07'!$BB$3))</f>
        <v>0</v>
      </c>
      <c r="J88" s="4">
        <f>IF(ISNUMBER(SEARCH("营",'19.07'!R88)),(-$Y88+50*IF('19.07'!$AK88="是",'19.07'!$BB$4,'19.07'!$BB$3)),(VLOOKUP('19.07'!R88,'19.07'!$AO$4:$AQ$55,2,FALSE))*IF('19.07'!$AK88="是",'19.07'!$BB$4,'19.07'!$BB$3))</f>
        <v>0</v>
      </c>
      <c r="K88" s="4">
        <f>IF(ISNUMBER(SEARCH("营",'19.07'!S88)),(-$Y88+50*IF('19.07'!$AK88="是",'19.07'!$BB$4,'19.07'!$BB$3)),(VLOOKUP('19.07'!S88,'19.07'!$AO$4:$AQ$55,2,FALSE))*IF('19.07'!$AK88="是",'19.07'!$BB$4,'19.07'!$BB$3))</f>
        <v>0</v>
      </c>
      <c r="L88" s="4">
        <f>IF(ISNUMBER(SEARCH("营",'19.07'!T88)),(-$Y88+50*IF('19.07'!$AK88="是",'19.07'!$BB$4,'19.07'!$BB$3)),(VLOOKUP('19.07'!T88,'19.07'!$AO$4:$AQ$55,2,FALSE))*IF('19.07'!$AK88="是",'19.07'!$BB$4,'19.07'!$BB$3))</f>
        <v>0</v>
      </c>
      <c r="M88" s="4">
        <f>IF(ISNUMBER(SEARCH("营",'19.07'!U88)),(-$Y88+50*IF('19.07'!$AK88="是",'19.07'!$BB$4,'19.07'!$BB$3)),(VLOOKUP('19.07'!U88,'19.07'!$AO$4:$AQ$55,2,FALSE))*IF('19.07'!$AK88="是",'19.07'!$BB$4,'19.07'!$BB$3))</f>
        <v>0</v>
      </c>
      <c r="N88" s="4">
        <f>IF(ISNUMBER(SEARCH("营",'19.07'!V88)),(-$Y88+50*IF('19.07'!$AK88="是",'19.07'!$BB$4,'19.07'!$BB$3)),(VLOOKUP('19.07'!V88,'19.07'!$AO$4:$AQ$55,2,FALSE))*IF('19.07'!$AK88="是",'19.07'!$BB$4,'19.07'!$BB$3))</f>
        <v>0</v>
      </c>
      <c r="O88" s="4">
        <f>IF(ISNUMBER(SEARCH("营",'19.07'!W88)),(-$Y88+50*IF('19.07'!$AK88="是",'19.07'!$BB$4,'19.07'!$BB$3)),(VLOOKUP('19.07'!W88,'19.07'!$AO$4:$AQ$55,2,FALSE))*IF('19.07'!$AK88="是",'19.07'!$BB$4,'19.07'!$BB$3))</f>
        <v>0</v>
      </c>
      <c r="P88" s="4">
        <f>IF(ISNUMBER(SEARCH("营",'19.07'!X88)),(-$Y88+50*IF('19.07'!$AK88="是",'19.07'!$BB$4,'19.07'!$BB$3)),(VLOOKUP('19.07'!X88,'19.07'!$AO$4:$AQ$55,2,FALSE))*IF('19.07'!$AK88="是",'19.07'!$BB$4,'19.07'!$BB$3))</f>
        <v>0</v>
      </c>
      <c r="Q88" s="4">
        <f>IF(ISNUMBER(SEARCH("营",'19.07'!Y88)),(-$Y88+50*IF('19.07'!$AK88="是",'19.07'!$BB$4,'19.07'!$BB$3)),(VLOOKUP('19.07'!Y88,'19.07'!$AO$4:$AQ$55,2,FALSE))*IF('19.07'!$AK88="是",'19.07'!$BB$4,'19.07'!$BB$3))</f>
        <v>0</v>
      </c>
      <c r="R88" s="4">
        <f>IF(ISNUMBER(SEARCH("营",'19.07'!Z88)),(-$Y88+50*IF('19.07'!$AK88="是",'19.07'!$BB$4,'19.07'!$BB$3)),(VLOOKUP('19.07'!Z88,'19.07'!$AO$4:$AQ$55,2,FALSE))*IF('19.07'!$AK88="是",'19.07'!$BB$4,'19.07'!$BB$3))</f>
        <v>0</v>
      </c>
      <c r="S88" s="4">
        <f>IF(ISNUMBER(SEARCH("营",'19.07'!AA88)),(-$Y88+50*IF('19.07'!$AK88="是",'19.07'!$BB$4,'19.07'!$BB$3)),(VLOOKUP('19.07'!AA88,'19.07'!$AO$4:$AQ$55,2,FALSE))*IF('19.07'!$AK88="是",'19.07'!$BB$4,'19.07'!$BB$3))</f>
        <v>0</v>
      </c>
      <c r="T88" s="4">
        <f>IF(ISNUMBER(SEARCH("营",'19.07'!AB88)),(-$Y88+50*IF('19.07'!$AK88="是",'19.07'!$BB$4,'19.07'!$BB$3)),(VLOOKUP('19.07'!AB88,'19.07'!$AO$4:$AQ$55,2,FALSE))*IF('19.07'!$AK88="是",'19.07'!$BB$4,'19.07'!$BB$3))</f>
        <v>0</v>
      </c>
      <c r="U88" s="4">
        <f>IF(ISNUMBER(SEARCH("营",'19.07'!AC88)),(-$Y88+50*IF('19.07'!$AK88="是",'19.07'!$BB$4,'19.07'!$BB$3)),(VLOOKUP('19.07'!AC88,'19.07'!$AO$4:$AQ$55,2,FALSE))*IF('19.07'!$AK88="是",'19.07'!$BB$4,'19.07'!$BB$3))</f>
        <v>0</v>
      </c>
      <c r="V88" s="4">
        <f>IF(ISNUMBER(SEARCH("营",'19.07'!AD88)),(-$Y88+50*IF('19.07'!$AK88="是",'19.07'!$BB$4,'19.07'!$BB$3)),(VLOOKUP('19.07'!AD88,'19.07'!$AO$4:$AQ$55,2,FALSE))*IF('19.07'!$AK88="是",'19.07'!$BB$4,'19.07'!$BB$3))</f>
        <v>0</v>
      </c>
      <c r="W88" s="4">
        <f>IF(ISNUMBER(SEARCH("营",'19.07'!AE88)),(-$Y88+50*IF('19.07'!$AK88="是",'19.07'!$BB$4,'19.07'!$BB$3)),(VLOOKUP('19.07'!AE88,'19.07'!$AO$4:$AQ$55,2,FALSE))*IF('19.07'!$AK88="是",'19.07'!$BB$4,'19.07'!$BB$3))</f>
        <v>0</v>
      </c>
      <c r="X88" s="4">
        <f>IF(ISNUMBER(SEARCH("营",'19.07'!AF88)),(-$Y88+50*IF('19.07'!$AK88="是",'19.07'!$BB$4,'19.07'!$BB$3)),(VLOOKUP('19.07'!AF88,'19.07'!$AO$4:$AQ$55,2,FALSE))*IF('19.07'!$AK88="是",'19.07'!$BB$4,'19.07'!$BB$3))</f>
        <v>0</v>
      </c>
      <c r="Y88" s="18">
        <v>100</v>
      </c>
      <c r="Z88" s="15">
        <v>45814</v>
      </c>
    </row>
    <row r="89" spans="1:26">
      <c r="A89" s="4">
        <f>IF(ISNUMBER(SEARCH("营",'19.07'!I89)),(-$Y89+50*IF('19.07'!$AK89="是",'19.07'!$BB$4,'19.07'!$BB$3)),(VLOOKUP('19.07'!I89,'19.07'!$AO$4:$AQ$55,2,FALSE))*IF('19.07'!$AK89="是",'19.07'!$BB$4,'19.07'!$BB$3))</f>
        <v>0</v>
      </c>
      <c r="B89" s="4">
        <f>IF(ISNUMBER(SEARCH("营",'19.07'!J89)),(-$Y89+50*IF('19.07'!$AK89="是",'19.07'!$BB$4,'19.07'!$BB$3)),(VLOOKUP('19.07'!J89,'19.07'!$AO$4:$AQ$55,2,FALSE))*IF('19.07'!$AK89="是",'19.07'!$BB$4,'19.07'!$BB$3))</f>
        <v>0</v>
      </c>
      <c r="C89" s="4">
        <f>IF(ISNUMBER(SEARCH("营",'19.07'!K89)),(-$Y89+50*IF('19.07'!$AK89="是",'19.07'!$BB$4,'19.07'!$BB$3)),(VLOOKUP('19.07'!K89,'19.07'!$AO$4:$AQ$55,2,FALSE))*IF('19.07'!$AK89="是",'19.07'!$BB$4,'19.07'!$BB$3))</f>
        <v>0</v>
      </c>
      <c r="D89" s="4">
        <f>IF(ISNUMBER(SEARCH("营",'19.07'!L89)),(-$Y89+50*IF('19.07'!$AK89="是",'19.07'!$BB$4,'19.07'!$BB$3)),(VLOOKUP('19.07'!L89,'19.07'!$AO$4:$AQ$55,2,FALSE))*IF('19.07'!$AK89="是",'19.07'!$BB$4,'19.07'!$BB$3))</f>
        <v>0</v>
      </c>
      <c r="E89" s="4">
        <f>IF(ISNUMBER(SEARCH("营",'19.07'!M89)),(-$Y89+50*IF('19.07'!$AK89="是",'19.07'!$BB$4,'19.07'!$BB$3)),(VLOOKUP('19.07'!M89,'19.07'!$AO$4:$AQ$55,2,FALSE))*IF('19.07'!$AK89="是",'19.07'!$BB$4,'19.07'!$BB$3))</f>
        <v>0</v>
      </c>
      <c r="F89" s="4">
        <f>IF(ISNUMBER(SEARCH("营",'19.07'!N89)),(-$Y89+50*IF('19.07'!$AK89="是",'19.07'!$BB$4,'19.07'!$BB$3)),(VLOOKUP('19.07'!N89,'19.07'!$AO$4:$AQ$55,2,FALSE))*IF('19.07'!$AK89="是",'19.07'!$BB$4,'19.07'!$BB$3))</f>
        <v>0</v>
      </c>
      <c r="G89" s="4">
        <f>IF(ISNUMBER(SEARCH("营",'19.07'!O89)),(-$Y89+50*IF('19.07'!$AK89="是",'19.07'!$BB$4,'19.07'!$BB$3)),(VLOOKUP('19.07'!O89,'19.07'!$AO$4:$AQ$55,2,FALSE))*IF('19.07'!$AK89="是",'19.07'!$BB$4,'19.07'!$BB$3))</f>
        <v>0</v>
      </c>
      <c r="H89" s="4">
        <f>IF(ISNUMBER(SEARCH("营",'19.07'!P89)),(-$Y89+50*IF('19.07'!$AK89="是",'19.07'!$BB$4,'19.07'!$BB$3)),(VLOOKUP('19.07'!P89,'19.07'!$AO$4:$AQ$55,2,FALSE))*IF('19.07'!$AK89="是",'19.07'!$BB$4,'19.07'!$BB$3))</f>
        <v>0</v>
      </c>
      <c r="I89" s="4">
        <f>IF(ISNUMBER(SEARCH("营",'19.07'!Q89)),(-$Y89+50*IF('19.07'!$AK89="是",'19.07'!$BB$4,'19.07'!$BB$3)),(VLOOKUP('19.07'!Q89,'19.07'!$AO$4:$AQ$55,2,FALSE))*IF('19.07'!$AK89="是",'19.07'!$BB$4,'19.07'!$BB$3))</f>
        <v>0</v>
      </c>
      <c r="J89" s="4">
        <f>IF(ISNUMBER(SEARCH("营",'19.07'!R89)),(-$Y89+50*IF('19.07'!$AK89="是",'19.07'!$BB$4,'19.07'!$BB$3)),(VLOOKUP('19.07'!R89,'19.07'!$AO$4:$AQ$55,2,FALSE))*IF('19.07'!$AK89="是",'19.07'!$BB$4,'19.07'!$BB$3))</f>
        <v>0</v>
      </c>
      <c r="K89" s="4">
        <f>IF(ISNUMBER(SEARCH("营",'19.07'!S89)),(-$Y89+50*IF('19.07'!$AK89="是",'19.07'!$BB$4,'19.07'!$BB$3)),(VLOOKUP('19.07'!S89,'19.07'!$AO$4:$AQ$55,2,FALSE))*IF('19.07'!$AK89="是",'19.07'!$BB$4,'19.07'!$BB$3))</f>
        <v>0</v>
      </c>
      <c r="L89" s="4">
        <f>IF(ISNUMBER(SEARCH("营",'19.07'!T89)),(-$Y89+50*IF('19.07'!$AK89="是",'19.07'!$BB$4,'19.07'!$BB$3)),(VLOOKUP('19.07'!T89,'19.07'!$AO$4:$AQ$55,2,FALSE))*IF('19.07'!$AK89="是",'19.07'!$BB$4,'19.07'!$BB$3))</f>
        <v>0</v>
      </c>
      <c r="M89" s="4">
        <f>IF(ISNUMBER(SEARCH("营",'19.07'!U89)),(-$Y89+50*IF('19.07'!$AK89="是",'19.07'!$BB$4,'19.07'!$BB$3)),(VLOOKUP('19.07'!U89,'19.07'!$AO$4:$AQ$55,2,FALSE))*IF('19.07'!$AK89="是",'19.07'!$BB$4,'19.07'!$BB$3))</f>
        <v>0</v>
      </c>
      <c r="N89" s="4">
        <f>IF(ISNUMBER(SEARCH("营",'19.07'!V89)),(-$Y89+50*IF('19.07'!$AK89="是",'19.07'!$BB$4,'19.07'!$BB$3)),(VLOOKUP('19.07'!V89,'19.07'!$AO$4:$AQ$55,2,FALSE))*IF('19.07'!$AK89="是",'19.07'!$BB$4,'19.07'!$BB$3))</f>
        <v>0</v>
      </c>
      <c r="O89" s="4">
        <f>IF(ISNUMBER(SEARCH("营",'19.07'!W89)),(-$Y89+50*IF('19.07'!$AK89="是",'19.07'!$BB$4,'19.07'!$BB$3)),(VLOOKUP('19.07'!W89,'19.07'!$AO$4:$AQ$55,2,FALSE))*IF('19.07'!$AK89="是",'19.07'!$BB$4,'19.07'!$BB$3))</f>
        <v>0</v>
      </c>
      <c r="P89" s="4">
        <f>IF(ISNUMBER(SEARCH("营",'19.07'!X89)),(-$Y89+50*IF('19.07'!$AK89="是",'19.07'!$BB$4,'19.07'!$BB$3)),(VLOOKUP('19.07'!X89,'19.07'!$AO$4:$AQ$55,2,FALSE))*IF('19.07'!$AK89="是",'19.07'!$BB$4,'19.07'!$BB$3))</f>
        <v>0</v>
      </c>
      <c r="Q89" s="4">
        <f>IF(ISNUMBER(SEARCH("营",'19.07'!Y89)),(-$Y89+50*IF('19.07'!$AK89="是",'19.07'!$BB$4,'19.07'!$BB$3)),(VLOOKUP('19.07'!Y89,'19.07'!$AO$4:$AQ$55,2,FALSE))*IF('19.07'!$AK89="是",'19.07'!$BB$4,'19.07'!$BB$3))</f>
        <v>0</v>
      </c>
      <c r="R89" s="4">
        <f>IF(ISNUMBER(SEARCH("营",'19.07'!Z89)),(-$Y89+50*IF('19.07'!$AK89="是",'19.07'!$BB$4,'19.07'!$BB$3)),(VLOOKUP('19.07'!Z89,'19.07'!$AO$4:$AQ$55,2,FALSE))*IF('19.07'!$AK89="是",'19.07'!$BB$4,'19.07'!$BB$3))</f>
        <v>0</v>
      </c>
      <c r="S89" s="4">
        <f>IF(ISNUMBER(SEARCH("营",'19.07'!AA89)),(-$Y89+50*IF('19.07'!$AK89="是",'19.07'!$BB$4,'19.07'!$BB$3)),(VLOOKUP('19.07'!AA89,'19.07'!$AO$4:$AQ$55,2,FALSE))*IF('19.07'!$AK89="是",'19.07'!$BB$4,'19.07'!$BB$3))</f>
        <v>0</v>
      </c>
      <c r="T89" s="4">
        <f>IF(ISNUMBER(SEARCH("营",'19.07'!AB89)),(-$Y89+50*IF('19.07'!$AK89="是",'19.07'!$BB$4,'19.07'!$BB$3)),(VLOOKUP('19.07'!AB89,'19.07'!$AO$4:$AQ$55,2,FALSE))*IF('19.07'!$AK89="是",'19.07'!$BB$4,'19.07'!$BB$3))</f>
        <v>0</v>
      </c>
      <c r="U89" s="4">
        <f>IF(ISNUMBER(SEARCH("营",'19.07'!AC89)),(-$Y89+50*IF('19.07'!$AK89="是",'19.07'!$BB$4,'19.07'!$BB$3)),(VLOOKUP('19.07'!AC89,'19.07'!$AO$4:$AQ$55,2,FALSE))*IF('19.07'!$AK89="是",'19.07'!$BB$4,'19.07'!$BB$3))</f>
        <v>0</v>
      </c>
      <c r="V89" s="4">
        <f>IF(ISNUMBER(SEARCH("营",'19.07'!AD89)),(-$Y89+50*IF('19.07'!$AK89="是",'19.07'!$BB$4,'19.07'!$BB$3)),(VLOOKUP('19.07'!AD89,'19.07'!$AO$4:$AQ$55,2,FALSE))*IF('19.07'!$AK89="是",'19.07'!$BB$4,'19.07'!$BB$3))</f>
        <v>0</v>
      </c>
      <c r="W89" s="4">
        <f>IF(ISNUMBER(SEARCH("营",'19.07'!AE89)),(-$Y89+50*IF('19.07'!$AK89="是",'19.07'!$BB$4,'19.07'!$BB$3)),(VLOOKUP('19.07'!AE89,'19.07'!$AO$4:$AQ$55,2,FALSE))*IF('19.07'!$AK89="是",'19.07'!$BB$4,'19.07'!$BB$3))</f>
        <v>0</v>
      </c>
      <c r="X89" s="4">
        <f>IF(ISNUMBER(SEARCH("营",'19.07'!AF89)),(-$Y89+50*IF('19.07'!$AK89="是",'19.07'!$BB$4,'19.07'!$BB$3)),(VLOOKUP('19.07'!AF89,'19.07'!$AO$4:$AQ$55,2,FALSE))*IF('19.07'!$AK89="是",'19.07'!$BB$4,'19.07'!$BB$3))</f>
        <v>0</v>
      </c>
      <c r="Y89" s="18">
        <v>100</v>
      </c>
      <c r="Z89" s="15">
        <v>45815</v>
      </c>
    </row>
    <row r="90" spans="1:26">
      <c r="A90" s="4">
        <f>IF(ISNUMBER(SEARCH("营",'19.07'!I90)),(-$Y90+50*IF('19.07'!$AK90="是",'19.07'!$BB$4,'19.07'!$BB$3)),(VLOOKUP('19.07'!I90,'19.07'!$AO$4:$AQ$55,2,FALSE))*IF('19.07'!$AK90="是",'19.07'!$BB$4,'19.07'!$BB$3))</f>
        <v>0</v>
      </c>
      <c r="B90" s="4">
        <f>IF(ISNUMBER(SEARCH("营",'19.07'!J90)),(-$Y90+50*IF('19.07'!$AK90="是",'19.07'!$BB$4,'19.07'!$BB$3)),(VLOOKUP('19.07'!J90,'19.07'!$AO$4:$AQ$55,2,FALSE))*IF('19.07'!$AK90="是",'19.07'!$BB$4,'19.07'!$BB$3))</f>
        <v>0</v>
      </c>
      <c r="C90" s="4">
        <f>IF(ISNUMBER(SEARCH("营",'19.07'!K90)),(-$Y90+50*IF('19.07'!$AK90="是",'19.07'!$BB$4,'19.07'!$BB$3)),(VLOOKUP('19.07'!K90,'19.07'!$AO$4:$AQ$55,2,FALSE))*IF('19.07'!$AK90="是",'19.07'!$BB$4,'19.07'!$BB$3))</f>
        <v>0</v>
      </c>
      <c r="D90" s="4">
        <f>IF(ISNUMBER(SEARCH("营",'19.07'!L90)),(-$Y90+50*IF('19.07'!$AK90="是",'19.07'!$BB$4,'19.07'!$BB$3)),(VLOOKUP('19.07'!L90,'19.07'!$AO$4:$AQ$55,2,FALSE))*IF('19.07'!$AK90="是",'19.07'!$BB$4,'19.07'!$BB$3))</f>
        <v>0</v>
      </c>
      <c r="E90" s="4">
        <f>IF(ISNUMBER(SEARCH("营",'19.07'!M90)),(-$Y90+50*IF('19.07'!$AK90="是",'19.07'!$BB$4,'19.07'!$BB$3)),(VLOOKUP('19.07'!M90,'19.07'!$AO$4:$AQ$55,2,FALSE))*IF('19.07'!$AK90="是",'19.07'!$BB$4,'19.07'!$BB$3))</f>
        <v>0</v>
      </c>
      <c r="F90" s="4">
        <f>IF(ISNUMBER(SEARCH("营",'19.07'!N90)),(-$Y90+50*IF('19.07'!$AK90="是",'19.07'!$BB$4,'19.07'!$BB$3)),(VLOOKUP('19.07'!N90,'19.07'!$AO$4:$AQ$55,2,FALSE))*IF('19.07'!$AK90="是",'19.07'!$BB$4,'19.07'!$BB$3))</f>
        <v>0</v>
      </c>
      <c r="G90" s="4">
        <f>IF(ISNUMBER(SEARCH("营",'19.07'!O90)),(-$Y90+50*IF('19.07'!$AK90="是",'19.07'!$BB$4,'19.07'!$BB$3)),(VLOOKUP('19.07'!O90,'19.07'!$AO$4:$AQ$55,2,FALSE))*IF('19.07'!$AK90="是",'19.07'!$BB$4,'19.07'!$BB$3))</f>
        <v>0</v>
      </c>
      <c r="H90" s="4">
        <f>IF(ISNUMBER(SEARCH("营",'19.07'!P90)),(-$Y90+50*IF('19.07'!$AK90="是",'19.07'!$BB$4,'19.07'!$BB$3)),(VLOOKUP('19.07'!P90,'19.07'!$AO$4:$AQ$55,2,FALSE))*IF('19.07'!$AK90="是",'19.07'!$BB$4,'19.07'!$BB$3))</f>
        <v>0</v>
      </c>
      <c r="I90" s="4">
        <f>IF(ISNUMBER(SEARCH("营",'19.07'!Q90)),(-$Y90+50*IF('19.07'!$AK90="是",'19.07'!$BB$4,'19.07'!$BB$3)),(VLOOKUP('19.07'!Q90,'19.07'!$AO$4:$AQ$55,2,FALSE))*IF('19.07'!$AK90="是",'19.07'!$BB$4,'19.07'!$BB$3))</f>
        <v>0</v>
      </c>
      <c r="J90" s="4">
        <f>IF(ISNUMBER(SEARCH("营",'19.07'!R90)),(-$Y90+50*IF('19.07'!$AK90="是",'19.07'!$BB$4,'19.07'!$BB$3)),(VLOOKUP('19.07'!R90,'19.07'!$AO$4:$AQ$55,2,FALSE))*IF('19.07'!$AK90="是",'19.07'!$BB$4,'19.07'!$BB$3))</f>
        <v>0</v>
      </c>
      <c r="K90" s="4">
        <f>IF(ISNUMBER(SEARCH("营",'19.07'!S90)),(-$Y90+50*IF('19.07'!$AK90="是",'19.07'!$BB$4,'19.07'!$BB$3)),(VLOOKUP('19.07'!S90,'19.07'!$AO$4:$AQ$55,2,FALSE))*IF('19.07'!$AK90="是",'19.07'!$BB$4,'19.07'!$BB$3))</f>
        <v>0</v>
      </c>
      <c r="L90" s="4">
        <f>IF(ISNUMBER(SEARCH("营",'19.07'!T90)),(-$Y90+50*IF('19.07'!$AK90="是",'19.07'!$BB$4,'19.07'!$BB$3)),(VLOOKUP('19.07'!T90,'19.07'!$AO$4:$AQ$55,2,FALSE))*IF('19.07'!$AK90="是",'19.07'!$BB$4,'19.07'!$BB$3))</f>
        <v>0</v>
      </c>
      <c r="M90" s="4">
        <f>IF(ISNUMBER(SEARCH("营",'19.07'!U90)),(-$Y90+50*IF('19.07'!$AK90="是",'19.07'!$BB$4,'19.07'!$BB$3)),(VLOOKUP('19.07'!U90,'19.07'!$AO$4:$AQ$55,2,FALSE))*IF('19.07'!$AK90="是",'19.07'!$BB$4,'19.07'!$BB$3))</f>
        <v>0</v>
      </c>
      <c r="N90" s="4">
        <f>IF(ISNUMBER(SEARCH("营",'19.07'!V90)),(-$Y90+50*IF('19.07'!$AK90="是",'19.07'!$BB$4,'19.07'!$BB$3)),(VLOOKUP('19.07'!V90,'19.07'!$AO$4:$AQ$55,2,FALSE))*IF('19.07'!$AK90="是",'19.07'!$BB$4,'19.07'!$BB$3))</f>
        <v>0</v>
      </c>
      <c r="O90" s="4">
        <f>IF(ISNUMBER(SEARCH("营",'19.07'!W90)),(-$Y90+50*IF('19.07'!$AK90="是",'19.07'!$BB$4,'19.07'!$BB$3)),(VLOOKUP('19.07'!W90,'19.07'!$AO$4:$AQ$55,2,FALSE))*IF('19.07'!$AK90="是",'19.07'!$BB$4,'19.07'!$BB$3))</f>
        <v>0</v>
      </c>
      <c r="P90" s="4">
        <f>IF(ISNUMBER(SEARCH("营",'19.07'!X90)),(-$Y90+50*IF('19.07'!$AK90="是",'19.07'!$BB$4,'19.07'!$BB$3)),(VLOOKUP('19.07'!X90,'19.07'!$AO$4:$AQ$55,2,FALSE))*IF('19.07'!$AK90="是",'19.07'!$BB$4,'19.07'!$BB$3))</f>
        <v>0</v>
      </c>
      <c r="Q90" s="4">
        <f>IF(ISNUMBER(SEARCH("营",'19.07'!Y90)),(-$Y90+50*IF('19.07'!$AK90="是",'19.07'!$BB$4,'19.07'!$BB$3)),(VLOOKUP('19.07'!Y90,'19.07'!$AO$4:$AQ$55,2,FALSE))*IF('19.07'!$AK90="是",'19.07'!$BB$4,'19.07'!$BB$3))</f>
        <v>0</v>
      </c>
      <c r="R90" s="4">
        <f>IF(ISNUMBER(SEARCH("营",'19.07'!Z90)),(-$Y90+50*IF('19.07'!$AK90="是",'19.07'!$BB$4,'19.07'!$BB$3)),(VLOOKUP('19.07'!Z90,'19.07'!$AO$4:$AQ$55,2,FALSE))*IF('19.07'!$AK90="是",'19.07'!$BB$4,'19.07'!$BB$3))</f>
        <v>0</v>
      </c>
      <c r="S90" s="4">
        <f>IF(ISNUMBER(SEARCH("营",'19.07'!AA90)),(-$Y90+50*IF('19.07'!$AK90="是",'19.07'!$BB$4,'19.07'!$BB$3)),(VLOOKUP('19.07'!AA90,'19.07'!$AO$4:$AQ$55,2,FALSE))*IF('19.07'!$AK90="是",'19.07'!$BB$4,'19.07'!$BB$3))</f>
        <v>0</v>
      </c>
      <c r="T90" s="4">
        <f>IF(ISNUMBER(SEARCH("营",'19.07'!AB90)),(-$Y90+50*IF('19.07'!$AK90="是",'19.07'!$BB$4,'19.07'!$BB$3)),(VLOOKUP('19.07'!AB90,'19.07'!$AO$4:$AQ$55,2,FALSE))*IF('19.07'!$AK90="是",'19.07'!$BB$4,'19.07'!$BB$3))</f>
        <v>0</v>
      </c>
      <c r="U90" s="4">
        <f>IF(ISNUMBER(SEARCH("营",'19.07'!AC90)),(-$Y90+50*IF('19.07'!$AK90="是",'19.07'!$BB$4,'19.07'!$BB$3)),(VLOOKUP('19.07'!AC90,'19.07'!$AO$4:$AQ$55,2,FALSE))*IF('19.07'!$AK90="是",'19.07'!$BB$4,'19.07'!$BB$3))</f>
        <v>0</v>
      </c>
      <c r="V90" s="4">
        <f>IF(ISNUMBER(SEARCH("营",'19.07'!AD90)),(-$Y90+50*IF('19.07'!$AK90="是",'19.07'!$BB$4,'19.07'!$BB$3)),(VLOOKUP('19.07'!AD90,'19.07'!$AO$4:$AQ$55,2,FALSE))*IF('19.07'!$AK90="是",'19.07'!$BB$4,'19.07'!$BB$3))</f>
        <v>0</v>
      </c>
      <c r="W90" s="4">
        <f>IF(ISNUMBER(SEARCH("营",'19.07'!AE90)),(-$Y90+50*IF('19.07'!$AK90="是",'19.07'!$BB$4,'19.07'!$BB$3)),(VLOOKUP('19.07'!AE90,'19.07'!$AO$4:$AQ$55,2,FALSE))*IF('19.07'!$AK90="是",'19.07'!$BB$4,'19.07'!$BB$3))</f>
        <v>0</v>
      </c>
      <c r="X90" s="4">
        <f>IF(ISNUMBER(SEARCH("营",'19.07'!AF90)),(-$Y90+50*IF('19.07'!$AK90="是",'19.07'!$BB$4,'19.07'!$BB$3)),(VLOOKUP('19.07'!AF90,'19.07'!$AO$4:$AQ$55,2,FALSE))*IF('19.07'!$AK90="是",'19.07'!$BB$4,'19.07'!$BB$3))</f>
        <v>0</v>
      </c>
      <c r="Y90" s="18">
        <v>100</v>
      </c>
      <c r="Z90" s="15">
        <v>45816</v>
      </c>
    </row>
    <row r="91" spans="1:26">
      <c r="A91" s="4">
        <f>IF(ISNUMBER(SEARCH("营",'19.07'!I91)),(-$Y91+50*IF('19.07'!$AK91="是",'19.07'!$BB$4,'19.07'!$BB$3)),(VLOOKUP('19.07'!I91,'19.07'!$AO$4:$AQ$55,2,FALSE))*IF('19.07'!$AK91="是",'19.07'!$BB$4,'19.07'!$BB$3))</f>
        <v>0</v>
      </c>
      <c r="B91" s="4">
        <f>IF(ISNUMBER(SEARCH("营",'19.07'!J91)),(-$Y91+50*IF('19.07'!$AK91="是",'19.07'!$BB$4,'19.07'!$BB$3)),(VLOOKUP('19.07'!J91,'19.07'!$AO$4:$AQ$55,2,FALSE))*IF('19.07'!$AK91="是",'19.07'!$BB$4,'19.07'!$BB$3))</f>
        <v>0</v>
      </c>
      <c r="C91" s="4">
        <f>IF(ISNUMBER(SEARCH("营",'19.07'!K91)),(-$Y91+50*IF('19.07'!$AK91="是",'19.07'!$BB$4,'19.07'!$BB$3)),(VLOOKUP('19.07'!K91,'19.07'!$AO$4:$AQ$55,2,FALSE))*IF('19.07'!$AK91="是",'19.07'!$BB$4,'19.07'!$BB$3))</f>
        <v>0</v>
      </c>
      <c r="D91" s="4">
        <f>IF(ISNUMBER(SEARCH("营",'19.07'!L91)),(-$Y91+50*IF('19.07'!$AK91="是",'19.07'!$BB$4,'19.07'!$BB$3)),(VLOOKUP('19.07'!L91,'19.07'!$AO$4:$AQ$55,2,FALSE))*IF('19.07'!$AK91="是",'19.07'!$BB$4,'19.07'!$BB$3))</f>
        <v>0</v>
      </c>
      <c r="E91" s="4">
        <f>IF(ISNUMBER(SEARCH("营",'19.07'!M91)),(-$Y91+50*IF('19.07'!$AK91="是",'19.07'!$BB$4,'19.07'!$BB$3)),(VLOOKUP('19.07'!M91,'19.07'!$AO$4:$AQ$55,2,FALSE))*IF('19.07'!$AK91="是",'19.07'!$BB$4,'19.07'!$BB$3))</f>
        <v>0</v>
      </c>
      <c r="F91" s="4">
        <f>IF(ISNUMBER(SEARCH("营",'19.07'!N91)),(-$Y91+50*IF('19.07'!$AK91="是",'19.07'!$BB$4,'19.07'!$BB$3)),(VLOOKUP('19.07'!N91,'19.07'!$AO$4:$AQ$55,2,FALSE))*IF('19.07'!$AK91="是",'19.07'!$BB$4,'19.07'!$BB$3))</f>
        <v>0</v>
      </c>
      <c r="G91" s="4">
        <f>IF(ISNUMBER(SEARCH("营",'19.07'!O91)),(-$Y91+50*IF('19.07'!$AK91="是",'19.07'!$BB$4,'19.07'!$BB$3)),(VLOOKUP('19.07'!O91,'19.07'!$AO$4:$AQ$55,2,FALSE))*IF('19.07'!$AK91="是",'19.07'!$BB$4,'19.07'!$BB$3))</f>
        <v>0</v>
      </c>
      <c r="H91" s="4">
        <f>IF(ISNUMBER(SEARCH("营",'19.07'!P91)),(-$Y91+50*IF('19.07'!$AK91="是",'19.07'!$BB$4,'19.07'!$BB$3)),(VLOOKUP('19.07'!P91,'19.07'!$AO$4:$AQ$55,2,FALSE))*IF('19.07'!$AK91="是",'19.07'!$BB$4,'19.07'!$BB$3))</f>
        <v>0</v>
      </c>
      <c r="I91" s="4">
        <f>IF(ISNUMBER(SEARCH("营",'19.07'!Q91)),(-$Y91+50*IF('19.07'!$AK91="是",'19.07'!$BB$4,'19.07'!$BB$3)),(VLOOKUP('19.07'!Q91,'19.07'!$AO$4:$AQ$55,2,FALSE))*IF('19.07'!$AK91="是",'19.07'!$BB$4,'19.07'!$BB$3))</f>
        <v>0</v>
      </c>
      <c r="J91" s="4">
        <f>IF(ISNUMBER(SEARCH("营",'19.07'!R91)),(-$Y91+50*IF('19.07'!$AK91="是",'19.07'!$BB$4,'19.07'!$BB$3)),(VLOOKUP('19.07'!R91,'19.07'!$AO$4:$AQ$55,2,FALSE))*IF('19.07'!$AK91="是",'19.07'!$BB$4,'19.07'!$BB$3))</f>
        <v>0</v>
      </c>
      <c r="K91" s="4">
        <f>IF(ISNUMBER(SEARCH("营",'19.07'!S91)),(-$Y91+50*IF('19.07'!$AK91="是",'19.07'!$BB$4,'19.07'!$BB$3)),(VLOOKUP('19.07'!S91,'19.07'!$AO$4:$AQ$55,2,FALSE))*IF('19.07'!$AK91="是",'19.07'!$BB$4,'19.07'!$BB$3))</f>
        <v>0</v>
      </c>
      <c r="L91" s="4">
        <f>IF(ISNUMBER(SEARCH("营",'19.07'!T91)),(-$Y91+50*IF('19.07'!$AK91="是",'19.07'!$BB$4,'19.07'!$BB$3)),(VLOOKUP('19.07'!T91,'19.07'!$AO$4:$AQ$55,2,FALSE))*IF('19.07'!$AK91="是",'19.07'!$BB$4,'19.07'!$BB$3))</f>
        <v>0</v>
      </c>
      <c r="M91" s="4">
        <f>IF(ISNUMBER(SEARCH("营",'19.07'!U91)),(-$Y91+50*IF('19.07'!$AK91="是",'19.07'!$BB$4,'19.07'!$BB$3)),(VLOOKUP('19.07'!U91,'19.07'!$AO$4:$AQ$55,2,FALSE))*IF('19.07'!$AK91="是",'19.07'!$BB$4,'19.07'!$BB$3))</f>
        <v>0</v>
      </c>
      <c r="N91" s="4">
        <f>IF(ISNUMBER(SEARCH("营",'19.07'!V91)),(-$Y91+50*IF('19.07'!$AK91="是",'19.07'!$BB$4,'19.07'!$BB$3)),(VLOOKUP('19.07'!V91,'19.07'!$AO$4:$AQ$55,2,FALSE))*IF('19.07'!$AK91="是",'19.07'!$BB$4,'19.07'!$BB$3))</f>
        <v>0</v>
      </c>
      <c r="O91" s="4">
        <f>IF(ISNUMBER(SEARCH("营",'19.07'!W91)),(-$Y91+50*IF('19.07'!$AK91="是",'19.07'!$BB$4,'19.07'!$BB$3)),(VLOOKUP('19.07'!W91,'19.07'!$AO$4:$AQ$55,2,FALSE))*IF('19.07'!$AK91="是",'19.07'!$BB$4,'19.07'!$BB$3))</f>
        <v>0</v>
      </c>
      <c r="P91" s="4">
        <f>IF(ISNUMBER(SEARCH("营",'19.07'!X91)),(-$Y91+50*IF('19.07'!$AK91="是",'19.07'!$BB$4,'19.07'!$BB$3)),(VLOOKUP('19.07'!X91,'19.07'!$AO$4:$AQ$55,2,FALSE))*IF('19.07'!$AK91="是",'19.07'!$BB$4,'19.07'!$BB$3))</f>
        <v>0</v>
      </c>
      <c r="Q91" s="4">
        <f>IF(ISNUMBER(SEARCH("营",'19.07'!Y91)),(-$Y91+50*IF('19.07'!$AK91="是",'19.07'!$BB$4,'19.07'!$BB$3)),(VLOOKUP('19.07'!Y91,'19.07'!$AO$4:$AQ$55,2,FALSE))*IF('19.07'!$AK91="是",'19.07'!$BB$4,'19.07'!$BB$3))</f>
        <v>0</v>
      </c>
      <c r="R91" s="4">
        <f>IF(ISNUMBER(SEARCH("营",'19.07'!Z91)),(-$Y91+50*IF('19.07'!$AK91="是",'19.07'!$BB$4,'19.07'!$BB$3)),(VLOOKUP('19.07'!Z91,'19.07'!$AO$4:$AQ$55,2,FALSE))*IF('19.07'!$AK91="是",'19.07'!$BB$4,'19.07'!$BB$3))</f>
        <v>0</v>
      </c>
      <c r="S91" s="4">
        <f>IF(ISNUMBER(SEARCH("营",'19.07'!AA91)),(-$Y91+50*IF('19.07'!$AK91="是",'19.07'!$BB$4,'19.07'!$BB$3)),(VLOOKUP('19.07'!AA91,'19.07'!$AO$4:$AQ$55,2,FALSE))*IF('19.07'!$AK91="是",'19.07'!$BB$4,'19.07'!$BB$3))</f>
        <v>0</v>
      </c>
      <c r="T91" s="4">
        <f>IF(ISNUMBER(SEARCH("营",'19.07'!AB91)),(-$Y91+50*IF('19.07'!$AK91="是",'19.07'!$BB$4,'19.07'!$BB$3)),(VLOOKUP('19.07'!AB91,'19.07'!$AO$4:$AQ$55,2,FALSE))*IF('19.07'!$AK91="是",'19.07'!$BB$4,'19.07'!$BB$3))</f>
        <v>0</v>
      </c>
      <c r="U91" s="4">
        <f>IF(ISNUMBER(SEARCH("营",'19.07'!AC91)),(-$Y91+50*IF('19.07'!$AK91="是",'19.07'!$BB$4,'19.07'!$BB$3)),(VLOOKUP('19.07'!AC91,'19.07'!$AO$4:$AQ$55,2,FALSE))*IF('19.07'!$AK91="是",'19.07'!$BB$4,'19.07'!$BB$3))</f>
        <v>0</v>
      </c>
      <c r="V91" s="4">
        <f>IF(ISNUMBER(SEARCH("营",'19.07'!AD91)),(-$Y91+50*IF('19.07'!$AK91="是",'19.07'!$BB$4,'19.07'!$BB$3)),(VLOOKUP('19.07'!AD91,'19.07'!$AO$4:$AQ$55,2,FALSE))*IF('19.07'!$AK91="是",'19.07'!$BB$4,'19.07'!$BB$3))</f>
        <v>0</v>
      </c>
      <c r="W91" s="4">
        <f>IF(ISNUMBER(SEARCH("营",'19.07'!AE91)),(-$Y91+50*IF('19.07'!$AK91="是",'19.07'!$BB$4,'19.07'!$BB$3)),(VLOOKUP('19.07'!AE91,'19.07'!$AO$4:$AQ$55,2,FALSE))*IF('19.07'!$AK91="是",'19.07'!$BB$4,'19.07'!$BB$3))</f>
        <v>0</v>
      </c>
      <c r="X91" s="4">
        <f>IF(ISNUMBER(SEARCH("营",'19.07'!AF91)),(-$Y91+50*IF('19.07'!$AK91="是",'19.07'!$BB$4,'19.07'!$BB$3)),(VLOOKUP('19.07'!AF91,'19.07'!$AO$4:$AQ$55,2,FALSE))*IF('19.07'!$AK91="是",'19.07'!$BB$4,'19.07'!$BB$3))</f>
        <v>0</v>
      </c>
      <c r="Y91" s="18">
        <v>100</v>
      </c>
      <c r="Z91" s="15">
        <v>45817</v>
      </c>
    </row>
    <row r="92" spans="1:26">
      <c r="A92" s="4">
        <f>IF(ISNUMBER(SEARCH("营",'19.07'!I92)),(-$Y92+50*IF('19.07'!$AK92="是",'19.07'!$BB$4,'19.07'!$BB$3)),(VLOOKUP('19.07'!I92,'19.07'!$AO$4:$AQ$55,2,FALSE))*IF('19.07'!$AK92="是",'19.07'!$BB$4,'19.07'!$BB$3))</f>
        <v>0</v>
      </c>
      <c r="B92" s="4">
        <f>IF(ISNUMBER(SEARCH("营",'19.07'!J92)),(-$Y92+50*IF('19.07'!$AK92="是",'19.07'!$BB$4,'19.07'!$BB$3)),(VLOOKUP('19.07'!J92,'19.07'!$AO$4:$AQ$55,2,FALSE))*IF('19.07'!$AK92="是",'19.07'!$BB$4,'19.07'!$BB$3))</f>
        <v>0</v>
      </c>
      <c r="C92" s="4">
        <f>IF(ISNUMBER(SEARCH("营",'19.07'!K92)),(-$Y92+50*IF('19.07'!$AK92="是",'19.07'!$BB$4,'19.07'!$BB$3)),(VLOOKUP('19.07'!K92,'19.07'!$AO$4:$AQ$55,2,FALSE))*IF('19.07'!$AK92="是",'19.07'!$BB$4,'19.07'!$BB$3))</f>
        <v>0</v>
      </c>
      <c r="D92" s="4">
        <f>IF(ISNUMBER(SEARCH("营",'19.07'!L92)),(-$Y92+50*IF('19.07'!$AK92="是",'19.07'!$BB$4,'19.07'!$BB$3)),(VLOOKUP('19.07'!L92,'19.07'!$AO$4:$AQ$55,2,FALSE))*IF('19.07'!$AK92="是",'19.07'!$BB$4,'19.07'!$BB$3))</f>
        <v>0</v>
      </c>
      <c r="E92" s="4">
        <f>IF(ISNUMBER(SEARCH("营",'19.07'!M92)),(-$Y92+50*IF('19.07'!$AK92="是",'19.07'!$BB$4,'19.07'!$BB$3)),(VLOOKUP('19.07'!M92,'19.07'!$AO$4:$AQ$55,2,FALSE))*IF('19.07'!$AK92="是",'19.07'!$BB$4,'19.07'!$BB$3))</f>
        <v>0</v>
      </c>
      <c r="F92" s="4">
        <f>IF(ISNUMBER(SEARCH("营",'19.07'!N92)),(-$Y92+50*IF('19.07'!$AK92="是",'19.07'!$BB$4,'19.07'!$BB$3)),(VLOOKUP('19.07'!N92,'19.07'!$AO$4:$AQ$55,2,FALSE))*IF('19.07'!$AK92="是",'19.07'!$BB$4,'19.07'!$BB$3))</f>
        <v>0</v>
      </c>
      <c r="G92" s="4">
        <f>IF(ISNUMBER(SEARCH("营",'19.07'!O92)),(-$Y92+50*IF('19.07'!$AK92="是",'19.07'!$BB$4,'19.07'!$BB$3)),(VLOOKUP('19.07'!O92,'19.07'!$AO$4:$AQ$55,2,FALSE))*IF('19.07'!$AK92="是",'19.07'!$BB$4,'19.07'!$BB$3))</f>
        <v>0</v>
      </c>
      <c r="H92" s="4">
        <f>IF(ISNUMBER(SEARCH("营",'19.07'!P92)),(-$Y92+50*IF('19.07'!$AK92="是",'19.07'!$BB$4,'19.07'!$BB$3)),(VLOOKUP('19.07'!P92,'19.07'!$AO$4:$AQ$55,2,FALSE))*IF('19.07'!$AK92="是",'19.07'!$BB$4,'19.07'!$BB$3))</f>
        <v>0</v>
      </c>
      <c r="I92" s="4">
        <f>IF(ISNUMBER(SEARCH("营",'19.07'!Q92)),(-$Y92+50*IF('19.07'!$AK92="是",'19.07'!$BB$4,'19.07'!$BB$3)),(VLOOKUP('19.07'!Q92,'19.07'!$AO$4:$AQ$55,2,FALSE))*IF('19.07'!$AK92="是",'19.07'!$BB$4,'19.07'!$BB$3))</f>
        <v>0</v>
      </c>
      <c r="J92" s="4">
        <f>IF(ISNUMBER(SEARCH("营",'19.07'!R92)),(-$Y92+50*IF('19.07'!$AK92="是",'19.07'!$BB$4,'19.07'!$BB$3)),(VLOOKUP('19.07'!R92,'19.07'!$AO$4:$AQ$55,2,FALSE))*IF('19.07'!$AK92="是",'19.07'!$BB$4,'19.07'!$BB$3))</f>
        <v>0</v>
      </c>
      <c r="K92" s="4">
        <f>IF(ISNUMBER(SEARCH("营",'19.07'!S92)),(-$Y92+50*IF('19.07'!$AK92="是",'19.07'!$BB$4,'19.07'!$BB$3)),(VLOOKUP('19.07'!S92,'19.07'!$AO$4:$AQ$55,2,FALSE))*IF('19.07'!$AK92="是",'19.07'!$BB$4,'19.07'!$BB$3))</f>
        <v>0</v>
      </c>
      <c r="L92" s="4">
        <f>IF(ISNUMBER(SEARCH("营",'19.07'!T92)),(-$Y92+50*IF('19.07'!$AK92="是",'19.07'!$BB$4,'19.07'!$BB$3)),(VLOOKUP('19.07'!T92,'19.07'!$AO$4:$AQ$55,2,FALSE))*IF('19.07'!$AK92="是",'19.07'!$BB$4,'19.07'!$BB$3))</f>
        <v>0</v>
      </c>
      <c r="M92" s="4">
        <f>IF(ISNUMBER(SEARCH("营",'19.07'!U92)),(-$Y92+50*IF('19.07'!$AK92="是",'19.07'!$BB$4,'19.07'!$BB$3)),(VLOOKUP('19.07'!U92,'19.07'!$AO$4:$AQ$55,2,FALSE))*IF('19.07'!$AK92="是",'19.07'!$BB$4,'19.07'!$BB$3))</f>
        <v>0</v>
      </c>
      <c r="N92" s="4">
        <f>IF(ISNUMBER(SEARCH("营",'19.07'!V92)),(-$Y92+50*IF('19.07'!$AK92="是",'19.07'!$BB$4,'19.07'!$BB$3)),(VLOOKUP('19.07'!V92,'19.07'!$AO$4:$AQ$55,2,FALSE))*IF('19.07'!$AK92="是",'19.07'!$BB$4,'19.07'!$BB$3))</f>
        <v>0</v>
      </c>
      <c r="O92" s="4">
        <f>IF(ISNUMBER(SEARCH("营",'19.07'!W92)),(-$Y92+50*IF('19.07'!$AK92="是",'19.07'!$BB$4,'19.07'!$BB$3)),(VLOOKUP('19.07'!W92,'19.07'!$AO$4:$AQ$55,2,FALSE))*IF('19.07'!$AK92="是",'19.07'!$BB$4,'19.07'!$BB$3))</f>
        <v>0</v>
      </c>
      <c r="P92" s="4">
        <f>IF(ISNUMBER(SEARCH("营",'19.07'!X92)),(-$Y92+50*IF('19.07'!$AK92="是",'19.07'!$BB$4,'19.07'!$BB$3)),(VLOOKUP('19.07'!X92,'19.07'!$AO$4:$AQ$55,2,FALSE))*IF('19.07'!$AK92="是",'19.07'!$BB$4,'19.07'!$BB$3))</f>
        <v>0</v>
      </c>
      <c r="Q92" s="4">
        <f>IF(ISNUMBER(SEARCH("营",'19.07'!Y92)),(-$Y92+50*IF('19.07'!$AK92="是",'19.07'!$BB$4,'19.07'!$BB$3)),(VLOOKUP('19.07'!Y92,'19.07'!$AO$4:$AQ$55,2,FALSE))*IF('19.07'!$AK92="是",'19.07'!$BB$4,'19.07'!$BB$3))</f>
        <v>0</v>
      </c>
      <c r="R92" s="4">
        <f>IF(ISNUMBER(SEARCH("营",'19.07'!Z92)),(-$Y92+50*IF('19.07'!$AK92="是",'19.07'!$BB$4,'19.07'!$BB$3)),(VLOOKUP('19.07'!Z92,'19.07'!$AO$4:$AQ$55,2,FALSE))*IF('19.07'!$AK92="是",'19.07'!$BB$4,'19.07'!$BB$3))</f>
        <v>0</v>
      </c>
      <c r="S92" s="4">
        <f>IF(ISNUMBER(SEARCH("营",'19.07'!AA92)),(-$Y92+50*IF('19.07'!$AK92="是",'19.07'!$BB$4,'19.07'!$BB$3)),(VLOOKUP('19.07'!AA92,'19.07'!$AO$4:$AQ$55,2,FALSE))*IF('19.07'!$AK92="是",'19.07'!$BB$4,'19.07'!$BB$3))</f>
        <v>0</v>
      </c>
      <c r="T92" s="4">
        <f>IF(ISNUMBER(SEARCH("营",'19.07'!AB92)),(-$Y92+50*IF('19.07'!$AK92="是",'19.07'!$BB$4,'19.07'!$BB$3)),(VLOOKUP('19.07'!AB92,'19.07'!$AO$4:$AQ$55,2,FALSE))*IF('19.07'!$AK92="是",'19.07'!$BB$4,'19.07'!$BB$3))</f>
        <v>0</v>
      </c>
      <c r="U92" s="4">
        <f>IF(ISNUMBER(SEARCH("营",'19.07'!AC92)),(-$Y92+50*IF('19.07'!$AK92="是",'19.07'!$BB$4,'19.07'!$BB$3)),(VLOOKUP('19.07'!AC92,'19.07'!$AO$4:$AQ$55,2,FALSE))*IF('19.07'!$AK92="是",'19.07'!$BB$4,'19.07'!$BB$3))</f>
        <v>0</v>
      </c>
      <c r="V92" s="4">
        <f>IF(ISNUMBER(SEARCH("营",'19.07'!AD92)),(-$Y92+50*IF('19.07'!$AK92="是",'19.07'!$BB$4,'19.07'!$BB$3)),(VLOOKUP('19.07'!AD92,'19.07'!$AO$4:$AQ$55,2,FALSE))*IF('19.07'!$AK92="是",'19.07'!$BB$4,'19.07'!$BB$3))</f>
        <v>0</v>
      </c>
      <c r="W92" s="4">
        <f>IF(ISNUMBER(SEARCH("营",'19.07'!AE92)),(-$Y92+50*IF('19.07'!$AK92="是",'19.07'!$BB$4,'19.07'!$BB$3)),(VLOOKUP('19.07'!AE92,'19.07'!$AO$4:$AQ$55,2,FALSE))*IF('19.07'!$AK92="是",'19.07'!$BB$4,'19.07'!$BB$3))</f>
        <v>0</v>
      </c>
      <c r="X92" s="4">
        <f>IF(ISNUMBER(SEARCH("营",'19.07'!AF92)),(-$Y92+50*IF('19.07'!$AK92="是",'19.07'!$BB$4,'19.07'!$BB$3)),(VLOOKUP('19.07'!AF92,'19.07'!$AO$4:$AQ$55,2,FALSE))*IF('19.07'!$AK92="是",'19.07'!$BB$4,'19.07'!$BB$3))</f>
        <v>0</v>
      </c>
      <c r="Y92" s="18">
        <v>100</v>
      </c>
      <c r="Z92" s="15">
        <v>45818</v>
      </c>
    </row>
    <row r="93" spans="1:26">
      <c r="A93" s="4">
        <f>IF(ISNUMBER(SEARCH("营",'19.07'!I93)),(-$Y93+50*IF('19.07'!$AK93="是",'19.07'!$BB$4,'19.07'!$BB$3)),(VLOOKUP('19.07'!I93,'19.07'!$AO$4:$AQ$55,2,FALSE))*IF('19.07'!$AK93="是",'19.07'!$BB$4,'19.07'!$BB$3))</f>
        <v>0</v>
      </c>
      <c r="B93" s="4">
        <f>IF(ISNUMBER(SEARCH("营",'19.07'!J93)),(-$Y93+50*IF('19.07'!$AK93="是",'19.07'!$BB$4,'19.07'!$BB$3)),(VLOOKUP('19.07'!J93,'19.07'!$AO$4:$AQ$55,2,FALSE))*IF('19.07'!$AK93="是",'19.07'!$BB$4,'19.07'!$BB$3))</f>
        <v>0</v>
      </c>
      <c r="C93" s="4">
        <f>IF(ISNUMBER(SEARCH("营",'19.07'!K93)),(-$Y93+50*IF('19.07'!$AK93="是",'19.07'!$BB$4,'19.07'!$BB$3)),(VLOOKUP('19.07'!K93,'19.07'!$AO$4:$AQ$55,2,FALSE))*IF('19.07'!$AK93="是",'19.07'!$BB$4,'19.07'!$BB$3))</f>
        <v>0</v>
      </c>
      <c r="D93" s="4">
        <f>IF(ISNUMBER(SEARCH("营",'19.07'!L93)),(-$Y93+50*IF('19.07'!$AK93="是",'19.07'!$BB$4,'19.07'!$BB$3)),(VLOOKUP('19.07'!L93,'19.07'!$AO$4:$AQ$55,2,FALSE))*IF('19.07'!$AK93="是",'19.07'!$BB$4,'19.07'!$BB$3))</f>
        <v>0</v>
      </c>
      <c r="E93" s="4">
        <f>IF(ISNUMBER(SEARCH("营",'19.07'!M93)),(-$Y93+50*IF('19.07'!$AK93="是",'19.07'!$BB$4,'19.07'!$BB$3)),(VLOOKUP('19.07'!M93,'19.07'!$AO$4:$AQ$55,2,FALSE))*IF('19.07'!$AK93="是",'19.07'!$BB$4,'19.07'!$BB$3))</f>
        <v>0</v>
      </c>
      <c r="F93" s="4">
        <f>IF(ISNUMBER(SEARCH("营",'19.07'!N93)),(-$Y93+50*IF('19.07'!$AK93="是",'19.07'!$BB$4,'19.07'!$BB$3)),(VLOOKUP('19.07'!N93,'19.07'!$AO$4:$AQ$55,2,FALSE))*IF('19.07'!$AK93="是",'19.07'!$BB$4,'19.07'!$BB$3))</f>
        <v>0</v>
      </c>
      <c r="G93" s="4">
        <f>IF(ISNUMBER(SEARCH("营",'19.07'!O93)),(-$Y93+50*IF('19.07'!$AK93="是",'19.07'!$BB$4,'19.07'!$BB$3)),(VLOOKUP('19.07'!O93,'19.07'!$AO$4:$AQ$55,2,FALSE))*IF('19.07'!$AK93="是",'19.07'!$BB$4,'19.07'!$BB$3))</f>
        <v>0</v>
      </c>
      <c r="H93" s="4">
        <f>IF(ISNUMBER(SEARCH("营",'19.07'!P93)),(-$Y93+50*IF('19.07'!$AK93="是",'19.07'!$BB$4,'19.07'!$BB$3)),(VLOOKUP('19.07'!P93,'19.07'!$AO$4:$AQ$55,2,FALSE))*IF('19.07'!$AK93="是",'19.07'!$BB$4,'19.07'!$BB$3))</f>
        <v>0</v>
      </c>
      <c r="I93" s="4">
        <f>IF(ISNUMBER(SEARCH("营",'19.07'!Q93)),(-$Y93+50*IF('19.07'!$AK93="是",'19.07'!$BB$4,'19.07'!$BB$3)),(VLOOKUP('19.07'!Q93,'19.07'!$AO$4:$AQ$55,2,FALSE))*IF('19.07'!$AK93="是",'19.07'!$BB$4,'19.07'!$BB$3))</f>
        <v>0</v>
      </c>
      <c r="J93" s="4">
        <f>IF(ISNUMBER(SEARCH("营",'19.07'!R93)),(-$Y93+50*IF('19.07'!$AK93="是",'19.07'!$BB$4,'19.07'!$BB$3)),(VLOOKUP('19.07'!R93,'19.07'!$AO$4:$AQ$55,2,FALSE))*IF('19.07'!$AK93="是",'19.07'!$BB$4,'19.07'!$BB$3))</f>
        <v>0</v>
      </c>
      <c r="K93" s="4">
        <f>IF(ISNUMBER(SEARCH("营",'19.07'!S93)),(-$Y93+50*IF('19.07'!$AK93="是",'19.07'!$BB$4,'19.07'!$BB$3)),(VLOOKUP('19.07'!S93,'19.07'!$AO$4:$AQ$55,2,FALSE))*IF('19.07'!$AK93="是",'19.07'!$BB$4,'19.07'!$BB$3))</f>
        <v>0</v>
      </c>
      <c r="L93" s="4">
        <f>IF(ISNUMBER(SEARCH("营",'19.07'!T93)),(-$Y93+50*IF('19.07'!$AK93="是",'19.07'!$BB$4,'19.07'!$BB$3)),(VLOOKUP('19.07'!T93,'19.07'!$AO$4:$AQ$55,2,FALSE))*IF('19.07'!$AK93="是",'19.07'!$BB$4,'19.07'!$BB$3))</f>
        <v>0</v>
      </c>
      <c r="M93" s="4">
        <f>IF(ISNUMBER(SEARCH("营",'19.07'!U93)),(-$Y93+50*IF('19.07'!$AK93="是",'19.07'!$BB$4,'19.07'!$BB$3)),(VLOOKUP('19.07'!U93,'19.07'!$AO$4:$AQ$55,2,FALSE))*IF('19.07'!$AK93="是",'19.07'!$BB$4,'19.07'!$BB$3))</f>
        <v>0</v>
      </c>
      <c r="N93" s="4">
        <f>IF(ISNUMBER(SEARCH("营",'19.07'!V93)),(-$Y93+50*IF('19.07'!$AK93="是",'19.07'!$BB$4,'19.07'!$BB$3)),(VLOOKUP('19.07'!V93,'19.07'!$AO$4:$AQ$55,2,FALSE))*IF('19.07'!$AK93="是",'19.07'!$BB$4,'19.07'!$BB$3))</f>
        <v>0</v>
      </c>
      <c r="O93" s="4">
        <f>IF(ISNUMBER(SEARCH("营",'19.07'!W93)),(-$Y93+50*IF('19.07'!$AK93="是",'19.07'!$BB$4,'19.07'!$BB$3)),(VLOOKUP('19.07'!W93,'19.07'!$AO$4:$AQ$55,2,FALSE))*IF('19.07'!$AK93="是",'19.07'!$BB$4,'19.07'!$BB$3))</f>
        <v>0</v>
      </c>
      <c r="P93" s="4">
        <f>IF(ISNUMBER(SEARCH("营",'19.07'!X93)),(-$Y93+50*IF('19.07'!$AK93="是",'19.07'!$BB$4,'19.07'!$BB$3)),(VLOOKUP('19.07'!X93,'19.07'!$AO$4:$AQ$55,2,FALSE))*IF('19.07'!$AK93="是",'19.07'!$BB$4,'19.07'!$BB$3))</f>
        <v>0</v>
      </c>
      <c r="Q93" s="4">
        <f>IF(ISNUMBER(SEARCH("营",'19.07'!Y93)),(-$Y93+50*IF('19.07'!$AK93="是",'19.07'!$BB$4,'19.07'!$BB$3)),(VLOOKUP('19.07'!Y93,'19.07'!$AO$4:$AQ$55,2,FALSE))*IF('19.07'!$AK93="是",'19.07'!$BB$4,'19.07'!$BB$3))</f>
        <v>0</v>
      </c>
      <c r="R93" s="4">
        <f>IF(ISNUMBER(SEARCH("营",'19.07'!Z93)),(-$Y93+50*IF('19.07'!$AK93="是",'19.07'!$BB$4,'19.07'!$BB$3)),(VLOOKUP('19.07'!Z93,'19.07'!$AO$4:$AQ$55,2,FALSE))*IF('19.07'!$AK93="是",'19.07'!$BB$4,'19.07'!$BB$3))</f>
        <v>0</v>
      </c>
      <c r="S93" s="4">
        <f>IF(ISNUMBER(SEARCH("营",'19.07'!AA93)),(-$Y93+50*IF('19.07'!$AK93="是",'19.07'!$BB$4,'19.07'!$BB$3)),(VLOOKUP('19.07'!AA93,'19.07'!$AO$4:$AQ$55,2,FALSE))*IF('19.07'!$AK93="是",'19.07'!$BB$4,'19.07'!$BB$3))</f>
        <v>0</v>
      </c>
      <c r="T93" s="4">
        <f>IF(ISNUMBER(SEARCH("营",'19.07'!AB93)),(-$Y93+50*IF('19.07'!$AK93="是",'19.07'!$BB$4,'19.07'!$BB$3)),(VLOOKUP('19.07'!AB93,'19.07'!$AO$4:$AQ$55,2,FALSE))*IF('19.07'!$AK93="是",'19.07'!$BB$4,'19.07'!$BB$3))</f>
        <v>0</v>
      </c>
      <c r="U93" s="4">
        <f>IF(ISNUMBER(SEARCH("营",'19.07'!AC93)),(-$Y93+50*IF('19.07'!$AK93="是",'19.07'!$BB$4,'19.07'!$BB$3)),(VLOOKUP('19.07'!AC93,'19.07'!$AO$4:$AQ$55,2,FALSE))*IF('19.07'!$AK93="是",'19.07'!$BB$4,'19.07'!$BB$3))</f>
        <v>0</v>
      </c>
      <c r="V93" s="4">
        <f>IF(ISNUMBER(SEARCH("营",'19.07'!AD93)),(-$Y93+50*IF('19.07'!$AK93="是",'19.07'!$BB$4,'19.07'!$BB$3)),(VLOOKUP('19.07'!AD93,'19.07'!$AO$4:$AQ$55,2,FALSE))*IF('19.07'!$AK93="是",'19.07'!$BB$4,'19.07'!$BB$3))</f>
        <v>0</v>
      </c>
      <c r="W93" s="4">
        <f>IF(ISNUMBER(SEARCH("营",'19.07'!AE93)),(-$Y93+50*IF('19.07'!$AK93="是",'19.07'!$BB$4,'19.07'!$BB$3)),(VLOOKUP('19.07'!AE93,'19.07'!$AO$4:$AQ$55,2,FALSE))*IF('19.07'!$AK93="是",'19.07'!$BB$4,'19.07'!$BB$3))</f>
        <v>0</v>
      </c>
      <c r="X93" s="4">
        <f>IF(ISNUMBER(SEARCH("营",'19.07'!AF93)),(-$Y93+50*IF('19.07'!$AK93="是",'19.07'!$BB$4,'19.07'!$BB$3)),(VLOOKUP('19.07'!AF93,'19.07'!$AO$4:$AQ$55,2,FALSE))*IF('19.07'!$AK93="是",'19.07'!$BB$4,'19.07'!$BB$3))</f>
        <v>0</v>
      </c>
      <c r="Y93" s="18">
        <v>100</v>
      </c>
      <c r="Z93" s="15">
        <v>45819</v>
      </c>
    </row>
    <row r="94" spans="1:26">
      <c r="A94" s="4"/>
      <c r="B94" s="4"/>
      <c r="C94" s="4"/>
      <c r="D94" s="4"/>
      <c r="E94" s="4"/>
      <c r="F94" s="4"/>
      <c r="G94" s="13"/>
      <c r="H94" s="13"/>
      <c r="I94" s="4"/>
      <c r="J94" s="4"/>
      <c r="K94" s="4"/>
      <c r="L94" s="4"/>
      <c r="M94" s="4"/>
      <c r="N94" s="4"/>
      <c r="O94" s="13"/>
      <c r="P94" s="13"/>
      <c r="Q94" s="4"/>
      <c r="R94" s="4"/>
      <c r="S94" s="4"/>
      <c r="T94" s="4"/>
      <c r="U94" s="4"/>
      <c r="V94" s="4"/>
      <c r="W94" s="13"/>
      <c r="X94" s="13"/>
    </row>
  </sheetData>
  <mergeCells count="6">
    <mergeCell ref="U2:X2"/>
    <mergeCell ref="A2:B2"/>
    <mergeCell ref="E2:H2"/>
    <mergeCell ref="I2:J2"/>
    <mergeCell ref="M2:P2"/>
    <mergeCell ref="Q2:R2"/>
  </mergeCells>
  <phoneticPr fontId="1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X94"/>
  <sheetViews>
    <sheetView workbookViewId="0">
      <selection activeCell="A4" sqref="A4:X93"/>
    </sheetView>
  </sheetViews>
  <sheetFormatPr defaultColWidth="9" defaultRowHeight="15"/>
  <sheetData>
    <row r="2" spans="1:24">
      <c r="A2" s="125" t="s">
        <v>80</v>
      </c>
      <c r="B2" s="126"/>
      <c r="C2" s="1" t="s">
        <v>4</v>
      </c>
      <c r="D2" s="1">
        <f>COUNTIF(A4:H94,"&lt;&gt;空")</f>
        <v>728</v>
      </c>
      <c r="E2" s="126" t="s">
        <v>5</v>
      </c>
      <c r="F2" s="126"/>
      <c r="G2" s="126"/>
      <c r="H2" s="127"/>
      <c r="I2" s="128" t="s">
        <v>6</v>
      </c>
      <c r="J2" s="129"/>
      <c r="K2" s="5" t="s">
        <v>4</v>
      </c>
      <c r="L2" s="5">
        <f>COUNTIF(I4:P94,"&lt;&gt;空")</f>
        <v>728</v>
      </c>
      <c r="M2" s="129" t="s">
        <v>5</v>
      </c>
      <c r="N2" s="129"/>
      <c r="O2" s="129"/>
      <c r="P2" s="130"/>
      <c r="Q2" s="131" t="s">
        <v>7</v>
      </c>
      <c r="R2" s="123"/>
      <c r="S2" s="9" t="s">
        <v>8</v>
      </c>
      <c r="T2" s="8">
        <f>COUNTIF(Q4:X94,"&lt;&gt;空")</f>
        <v>728</v>
      </c>
      <c r="U2" s="123" t="s">
        <v>5</v>
      </c>
      <c r="V2" s="123"/>
      <c r="W2" s="123"/>
      <c r="X2" s="124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6">
        <v>1</v>
      </c>
      <c r="J3" s="7">
        <v>2</v>
      </c>
      <c r="K3" s="7">
        <v>3</v>
      </c>
      <c r="L3" s="7">
        <v>4</v>
      </c>
      <c r="M3" s="7">
        <v>5</v>
      </c>
      <c r="N3" s="7">
        <v>6</v>
      </c>
      <c r="O3" s="7">
        <v>7</v>
      </c>
      <c r="P3" s="7">
        <v>8</v>
      </c>
      <c r="Q3" s="10">
        <v>1</v>
      </c>
      <c r="R3" s="11">
        <v>2</v>
      </c>
      <c r="S3" s="11">
        <v>3</v>
      </c>
      <c r="T3" s="11">
        <v>4</v>
      </c>
      <c r="U3" s="11">
        <v>5</v>
      </c>
      <c r="V3" s="11">
        <v>6</v>
      </c>
      <c r="W3" s="11">
        <v>7</v>
      </c>
      <c r="X3" s="12">
        <v>8</v>
      </c>
    </row>
    <row r="4" spans="1:24">
      <c r="A4" s="4">
        <f>(VLOOKUP('19.07'!I4,'19.07'!$AO$4:$AQ$55,3,FALSE))</f>
        <v>35</v>
      </c>
      <c r="B4" s="4">
        <f>(VLOOKUP('19.07'!J4,'19.07'!$AO$4:$AQ$55,3,FALSE))</f>
        <v>35</v>
      </c>
      <c r="C4" s="4">
        <f>(VLOOKUP('19.07'!K4,'19.07'!$AO$4:$AQ$55,3,FALSE))</f>
        <v>35</v>
      </c>
      <c r="D4" s="4">
        <f>(VLOOKUP('19.07'!L4,'19.07'!$AO$4:$AQ$55,3,FALSE))</f>
        <v>35</v>
      </c>
      <c r="E4" s="4">
        <f>(VLOOKUP('19.07'!M4,'19.07'!$AO$4:$AQ$55,3,FALSE))</f>
        <v>35</v>
      </c>
      <c r="F4" s="4">
        <f>(VLOOKUP('19.07'!N4,'19.07'!$AO$4:$AQ$55,3,FALSE))</f>
        <v>30</v>
      </c>
      <c r="G4" s="13">
        <f>(VLOOKUP('19.07'!O4,'19.07'!$AO$4:$AQ$55,3,FALSE))</f>
        <v>0</v>
      </c>
      <c r="H4" s="13">
        <f>(VLOOKUP('19.07'!P4,'19.07'!$AO$4:$AQ$55,3,FALSE))</f>
        <v>0</v>
      </c>
      <c r="I4" s="4">
        <f>(VLOOKUP('19.07'!Q4,'19.07'!$AO$4:$AQ$55,3,FALSE))</f>
        <v>35</v>
      </c>
      <c r="J4" s="4">
        <f>(VLOOKUP('19.07'!R4,'19.07'!$AO$4:$AQ$55,3,FALSE))</f>
        <v>35</v>
      </c>
      <c r="K4" s="4">
        <f>(VLOOKUP('19.07'!S4,'19.07'!$AO$4:$AQ$55,3,FALSE))</f>
        <v>35</v>
      </c>
      <c r="L4" s="4">
        <f>(VLOOKUP('19.07'!T4,'19.07'!$AO$4:$AQ$55,3,FALSE))</f>
        <v>35</v>
      </c>
      <c r="M4" s="4">
        <f>(VLOOKUP('19.07'!U4,'19.07'!$AO$4:$AQ$55,3,FALSE))</f>
        <v>35</v>
      </c>
      <c r="N4" s="4">
        <f>(VLOOKUP('19.07'!V4,'19.07'!$AO$4:$AQ$55,3,FALSE))</f>
        <v>30</v>
      </c>
      <c r="O4" s="13">
        <f>(VLOOKUP('19.07'!W4,'19.07'!$AO$4:$AQ$55,3,FALSE))</f>
        <v>55</v>
      </c>
      <c r="P4" s="13">
        <f>(VLOOKUP('19.07'!X4,'19.07'!$AO$4:$AQ$55,3,FALSE))</f>
        <v>55</v>
      </c>
      <c r="Q4" s="4">
        <f>(VLOOKUP('19.07'!Y4,'19.07'!$AO$4:$AQ$55,3,FALSE))</f>
        <v>0</v>
      </c>
      <c r="R4" s="4">
        <f>(VLOOKUP('19.07'!Z4,'19.07'!$AO$4:$AQ$55,3,FALSE))</f>
        <v>0</v>
      </c>
      <c r="S4" s="4">
        <f>(VLOOKUP('19.07'!AA4,'19.07'!$AO$4:$AQ$55,3,FALSE))</f>
        <v>0</v>
      </c>
      <c r="T4" s="4">
        <f>(VLOOKUP('19.07'!AB4,'19.07'!$AO$4:$AQ$55,3,FALSE))</f>
        <v>0</v>
      </c>
      <c r="U4" s="4">
        <f>(VLOOKUP('19.07'!AC4,'19.07'!$AO$4:$AQ$55,3,FALSE))</f>
        <v>0</v>
      </c>
      <c r="V4" s="4">
        <f>(VLOOKUP('19.07'!AD4,'19.07'!$AO$4:$AQ$55,3,FALSE))</f>
        <v>0</v>
      </c>
      <c r="W4" s="13">
        <f>(VLOOKUP('19.07'!AE4,'19.07'!$AO$4:$AQ$55,3,FALSE))</f>
        <v>0</v>
      </c>
      <c r="X4" s="13">
        <f>(VLOOKUP('19.07'!AF4,'19.07'!$AO$4:$AQ$55,3,FALSE))</f>
        <v>35</v>
      </c>
    </row>
    <row r="5" spans="1:24">
      <c r="A5" s="4">
        <f>(VLOOKUP('19.07'!I5,'19.07'!$AO$4:$AQ$55,3,FALSE))</f>
        <v>0</v>
      </c>
      <c r="B5" s="4">
        <f>(VLOOKUP('19.07'!J5,'19.07'!$AO$4:$AQ$55,3,FALSE))</f>
        <v>0</v>
      </c>
      <c r="C5" s="4">
        <f>(VLOOKUP('19.07'!K5,'19.07'!$AO$4:$AQ$55,3,FALSE))</f>
        <v>0</v>
      </c>
      <c r="D5" s="4">
        <f>(VLOOKUP('19.07'!L5,'19.07'!$AO$4:$AQ$55,3,FALSE))</f>
        <v>0</v>
      </c>
      <c r="E5" s="4">
        <f>(VLOOKUP('19.07'!M5,'19.07'!$AO$4:$AQ$55,3,FALSE))</f>
        <v>0</v>
      </c>
      <c r="F5" s="4">
        <f>(VLOOKUP('19.07'!N5,'19.07'!$AO$4:$AQ$55,3,FALSE))</f>
        <v>0</v>
      </c>
      <c r="G5" s="13">
        <f>(VLOOKUP('19.07'!O5,'19.07'!$AO$4:$AQ$55,3,FALSE))</f>
        <v>0</v>
      </c>
      <c r="H5" s="13">
        <f>(VLOOKUP('19.07'!P5,'19.07'!$AO$4:$AQ$55,3,FALSE))</f>
        <v>0</v>
      </c>
      <c r="I5" s="4">
        <f>(VLOOKUP('19.07'!Q5,'19.07'!$AO$4:$AQ$55,3,FALSE))</f>
        <v>0</v>
      </c>
      <c r="J5" s="4">
        <f>(VLOOKUP('19.07'!R5,'19.07'!$AO$4:$AQ$55,3,FALSE))</f>
        <v>40</v>
      </c>
      <c r="K5" s="4">
        <f>(VLOOKUP('19.07'!S5,'19.07'!$AO$4:$AQ$55,3,FALSE))</f>
        <v>40</v>
      </c>
      <c r="L5" s="4">
        <f>(VLOOKUP('19.07'!T5,'19.07'!$AO$4:$AQ$55,3,FALSE))</f>
        <v>30</v>
      </c>
      <c r="M5" s="4">
        <f>(VLOOKUP('19.07'!U5,'19.07'!$AO$4:$AQ$55,3,FALSE))</f>
        <v>40</v>
      </c>
      <c r="N5" s="4">
        <f>(VLOOKUP('19.07'!V5,'19.07'!$AO$4:$AQ$55,3,FALSE))</f>
        <v>40</v>
      </c>
      <c r="O5" s="13">
        <f>(VLOOKUP('19.07'!W5,'19.07'!$AO$4:$AQ$55,3,FALSE))</f>
        <v>45</v>
      </c>
      <c r="P5" s="13">
        <f>(VLOOKUP('19.07'!X5,'19.07'!$AO$4:$AQ$55,3,FALSE))</f>
        <v>45</v>
      </c>
      <c r="Q5" s="4">
        <f>(VLOOKUP('19.07'!Y5,'19.07'!$AO$4:$AQ$55,3,FALSE))</f>
        <v>35</v>
      </c>
      <c r="R5" s="4">
        <f>(VLOOKUP('19.07'!Z5,'19.07'!$AO$4:$AQ$55,3,FALSE))</f>
        <v>35</v>
      </c>
      <c r="S5" s="4">
        <f>(VLOOKUP('19.07'!AA5,'19.07'!$AO$4:$AQ$55,3,FALSE))</f>
        <v>35</v>
      </c>
      <c r="T5" s="4">
        <f>(VLOOKUP('19.07'!AB5,'19.07'!$AO$4:$AQ$55,3,FALSE))</f>
        <v>35</v>
      </c>
      <c r="U5" s="4">
        <f>(VLOOKUP('19.07'!AC5,'19.07'!$AO$4:$AQ$55,3,FALSE))</f>
        <v>35</v>
      </c>
      <c r="V5" s="4">
        <f>(VLOOKUP('19.07'!AD5,'19.07'!$AO$4:$AQ$55,3,FALSE))</f>
        <v>35</v>
      </c>
      <c r="W5" s="13">
        <f>(VLOOKUP('19.07'!AE5,'19.07'!$AO$4:$AQ$55,3,FALSE))</f>
        <v>35</v>
      </c>
      <c r="X5" s="13">
        <f>(VLOOKUP('19.07'!AF5,'19.07'!$AO$4:$AQ$55,3,FALSE))</f>
        <v>35</v>
      </c>
    </row>
    <row r="6" spans="1:24">
      <c r="A6" s="4">
        <f>(VLOOKUP('19.07'!I6,'19.07'!$AO$4:$AQ$55,3,FALSE))</f>
        <v>0</v>
      </c>
      <c r="B6" s="4">
        <f>(VLOOKUP('19.07'!J6,'19.07'!$AO$4:$AQ$55,3,FALSE))</f>
        <v>0</v>
      </c>
      <c r="C6" s="4">
        <f>(VLOOKUP('19.07'!K6,'19.07'!$AO$4:$AQ$55,3,FALSE))</f>
        <v>0</v>
      </c>
      <c r="D6" s="4">
        <f>(VLOOKUP('19.07'!L6,'19.07'!$AO$4:$AQ$55,3,FALSE))</f>
        <v>0</v>
      </c>
      <c r="E6" s="4">
        <f>(VLOOKUP('19.07'!M6,'19.07'!$AO$4:$AQ$55,3,FALSE))</f>
        <v>0</v>
      </c>
      <c r="F6" s="4">
        <f>(VLOOKUP('19.07'!N6,'19.07'!$AO$4:$AQ$55,3,FALSE))</f>
        <v>0</v>
      </c>
      <c r="G6" s="13">
        <f>(VLOOKUP('19.07'!O6,'19.07'!$AO$4:$AQ$55,3,FALSE))</f>
        <v>0</v>
      </c>
      <c r="H6" s="13">
        <f>(VLOOKUP('19.07'!P6,'19.07'!$AO$4:$AQ$55,3,FALSE))</f>
        <v>0</v>
      </c>
      <c r="I6" s="4">
        <f>(VLOOKUP('19.07'!Q6,'19.07'!$AO$4:$AQ$55,3,FALSE))</f>
        <v>40</v>
      </c>
      <c r="J6" s="4">
        <f>(VLOOKUP('19.07'!R6,'19.07'!$AO$4:$AQ$55,3,FALSE))</f>
        <v>40</v>
      </c>
      <c r="K6" s="4">
        <f>(VLOOKUP('19.07'!S6,'19.07'!$AO$4:$AQ$55,3,FALSE))</f>
        <v>40</v>
      </c>
      <c r="L6" s="4">
        <f>(VLOOKUP('19.07'!T6,'19.07'!$AO$4:$AQ$55,3,FALSE))</f>
        <v>40</v>
      </c>
      <c r="M6" s="4">
        <f>(VLOOKUP('19.07'!U6,'19.07'!$AO$4:$AQ$55,3,FALSE))</f>
        <v>40</v>
      </c>
      <c r="N6" s="4">
        <f>(VLOOKUP('19.07'!V6,'19.07'!$AO$4:$AQ$55,3,FALSE))</f>
        <v>40</v>
      </c>
      <c r="O6" s="13">
        <f>(VLOOKUP('19.07'!W6,'19.07'!$AO$4:$AQ$55,3,FALSE))</f>
        <v>45</v>
      </c>
      <c r="P6" s="13">
        <f>(VLOOKUP('19.07'!X6,'19.07'!$AO$4:$AQ$55,3,FALSE))</f>
        <v>45</v>
      </c>
      <c r="Q6" s="4">
        <f>(VLOOKUP('19.07'!Y6,'19.07'!$AO$4:$AQ$55,3,FALSE))</f>
        <v>40</v>
      </c>
      <c r="R6" s="4">
        <f>(VLOOKUP('19.07'!Z6,'19.07'!$AO$4:$AQ$55,3,FALSE))</f>
        <v>40</v>
      </c>
      <c r="S6" s="4">
        <f>(VLOOKUP('19.07'!AA6,'19.07'!$AO$4:$AQ$55,3,FALSE))</f>
        <v>40</v>
      </c>
      <c r="T6" s="4">
        <f>(VLOOKUP('19.07'!AB6,'19.07'!$AO$4:$AQ$55,3,FALSE))</f>
        <v>40</v>
      </c>
      <c r="U6" s="4">
        <f>(VLOOKUP('19.07'!AC6,'19.07'!$AO$4:$AQ$55,3,FALSE))</f>
        <v>40</v>
      </c>
      <c r="V6" s="4">
        <f>(VLOOKUP('19.07'!AD6,'19.07'!$AO$4:$AQ$55,3,FALSE))</f>
        <v>35</v>
      </c>
      <c r="W6" s="13">
        <f>(VLOOKUP('19.07'!AE6,'19.07'!$AO$4:$AQ$55,3,FALSE))</f>
        <v>40</v>
      </c>
      <c r="X6" s="13">
        <f>(VLOOKUP('19.07'!AF6,'19.07'!$AO$4:$AQ$55,3,FALSE))</f>
        <v>40</v>
      </c>
    </row>
    <row r="7" spans="1:24">
      <c r="A7" s="4">
        <f>(VLOOKUP('19.07'!I7,'19.07'!$AO$4:$AQ$55,3,FALSE))</f>
        <v>0</v>
      </c>
      <c r="B7" s="4">
        <f>(VLOOKUP('19.07'!J7,'19.07'!$AO$4:$AQ$55,3,FALSE))</f>
        <v>0</v>
      </c>
      <c r="C7" s="4">
        <f>(VLOOKUP('19.07'!K7,'19.07'!$AO$4:$AQ$55,3,FALSE))</f>
        <v>0</v>
      </c>
      <c r="D7" s="4">
        <f>(VLOOKUP('19.07'!L7,'19.07'!$AO$4:$AQ$55,3,FALSE))</f>
        <v>0</v>
      </c>
      <c r="E7" s="4">
        <f>(VLOOKUP('19.07'!M7,'19.07'!$AO$4:$AQ$55,3,FALSE))</f>
        <v>0</v>
      </c>
      <c r="F7" s="4">
        <f>(VLOOKUP('19.07'!N7,'19.07'!$AO$4:$AQ$55,3,FALSE))</f>
        <v>0</v>
      </c>
      <c r="G7" s="13">
        <f>(VLOOKUP('19.07'!O7,'19.07'!$AO$4:$AQ$55,3,FALSE))</f>
        <v>0</v>
      </c>
      <c r="H7" s="13">
        <f>(VLOOKUP('19.07'!P7,'19.07'!$AO$4:$AQ$55,3,FALSE))</f>
        <v>0</v>
      </c>
      <c r="I7" s="4">
        <f>(VLOOKUP('19.07'!Q7,'19.07'!$AO$4:$AQ$55,3,FALSE))</f>
        <v>40</v>
      </c>
      <c r="J7" s="4">
        <f>(VLOOKUP('19.07'!R7,'19.07'!$AO$4:$AQ$55,3,FALSE))</f>
        <v>520</v>
      </c>
      <c r="K7" s="4">
        <f>(VLOOKUP('19.07'!S7,'19.07'!$AO$4:$AQ$55,3,FALSE))</f>
        <v>40</v>
      </c>
      <c r="L7" s="4">
        <f>(VLOOKUP('19.07'!T7,'19.07'!$AO$4:$AQ$55,3,FALSE))</f>
        <v>40</v>
      </c>
      <c r="M7" s="4">
        <f>(VLOOKUP('19.07'!U7,'19.07'!$AO$4:$AQ$55,3,FALSE))</f>
        <v>0</v>
      </c>
      <c r="N7" s="4">
        <f>(VLOOKUP('19.07'!V7,'19.07'!$AO$4:$AQ$55,3,FALSE))</f>
        <v>40</v>
      </c>
      <c r="O7" s="13">
        <f>(VLOOKUP('19.07'!W7,'19.07'!$AO$4:$AQ$55,3,FALSE))</f>
        <v>45</v>
      </c>
      <c r="P7" s="13">
        <f>(VLOOKUP('19.07'!X7,'19.07'!$AO$4:$AQ$55,3,FALSE))</f>
        <v>0</v>
      </c>
      <c r="Q7" s="4">
        <f>(VLOOKUP('19.07'!Y7,'19.07'!$AO$4:$AQ$55,3,FALSE))</f>
        <v>40</v>
      </c>
      <c r="R7" s="4">
        <f>(VLOOKUP('19.07'!Z7,'19.07'!$AO$4:$AQ$55,3,FALSE))</f>
        <v>40</v>
      </c>
      <c r="S7" s="4">
        <f>(VLOOKUP('19.07'!AA7,'19.07'!$AO$4:$AQ$55,3,FALSE))</f>
        <v>40</v>
      </c>
      <c r="T7" s="4">
        <f>(VLOOKUP('19.07'!AB7,'19.07'!$AO$4:$AQ$55,3,FALSE))</f>
        <v>30</v>
      </c>
      <c r="U7" s="4">
        <f>(VLOOKUP('19.07'!AC7,'19.07'!$AO$4:$AQ$55,3,FALSE))</f>
        <v>40</v>
      </c>
      <c r="V7" s="4">
        <f>(VLOOKUP('19.07'!AD7,'19.07'!$AO$4:$AQ$55,3,FALSE))</f>
        <v>35</v>
      </c>
      <c r="W7" s="13">
        <f>(VLOOKUP('19.07'!AE7,'19.07'!$AO$4:$AQ$55,3,FALSE))</f>
        <v>45</v>
      </c>
      <c r="X7" s="13">
        <f>(VLOOKUP('19.07'!AF7,'19.07'!$AO$4:$AQ$55,3,FALSE))</f>
        <v>0</v>
      </c>
    </row>
    <row r="8" spans="1:24">
      <c r="A8" s="4">
        <f>(VLOOKUP('19.07'!I8,'19.07'!$AO$4:$AQ$55,3,FALSE))</f>
        <v>0</v>
      </c>
      <c r="B8" s="4">
        <f>(VLOOKUP('19.07'!J8,'19.07'!$AO$4:$AQ$55,3,FALSE))</f>
        <v>0</v>
      </c>
      <c r="C8" s="4">
        <f>(VLOOKUP('19.07'!K8,'19.07'!$AO$4:$AQ$55,3,FALSE))</f>
        <v>0</v>
      </c>
      <c r="D8" s="4">
        <f>(VLOOKUP('19.07'!L8,'19.07'!$AO$4:$AQ$55,3,FALSE))</f>
        <v>0</v>
      </c>
      <c r="E8" s="4">
        <f>(VLOOKUP('19.07'!M8,'19.07'!$AO$4:$AQ$55,3,FALSE))</f>
        <v>0</v>
      </c>
      <c r="F8" s="4">
        <f>(VLOOKUP('19.07'!N8,'19.07'!$AO$4:$AQ$55,3,FALSE))</f>
        <v>0</v>
      </c>
      <c r="G8" s="13">
        <f>(VLOOKUP('19.07'!O8,'19.07'!$AO$4:$AQ$55,3,FALSE))</f>
        <v>0</v>
      </c>
      <c r="H8" s="13">
        <f>(VLOOKUP('19.07'!P8,'19.07'!$AO$4:$AQ$55,3,FALSE))</f>
        <v>0</v>
      </c>
      <c r="I8" s="4">
        <f>(VLOOKUP('19.07'!Q8,'19.07'!$AO$4:$AQ$55,3,FALSE))</f>
        <v>50</v>
      </c>
      <c r="J8" s="4">
        <f>(VLOOKUP('19.07'!R8,'19.07'!$AO$4:$AQ$55,3,FALSE))</f>
        <v>50</v>
      </c>
      <c r="K8" s="4">
        <f>(VLOOKUP('19.07'!S8,'19.07'!$AO$4:$AQ$55,3,FALSE))</f>
        <v>50</v>
      </c>
      <c r="L8" s="4">
        <f>(VLOOKUP('19.07'!T8,'19.07'!$AO$4:$AQ$55,3,FALSE))</f>
        <v>0</v>
      </c>
      <c r="M8" s="4">
        <f>(VLOOKUP('19.07'!U8,'19.07'!$AO$4:$AQ$55,3,FALSE))</f>
        <v>50</v>
      </c>
      <c r="N8" s="4">
        <f>(VLOOKUP('19.07'!V8,'19.07'!$AO$4:$AQ$55,3,FALSE))</f>
        <v>0</v>
      </c>
      <c r="O8" s="13">
        <f>(VLOOKUP('19.07'!W8,'19.07'!$AO$4:$AQ$55,3,FALSE))</f>
        <v>0</v>
      </c>
      <c r="P8" s="13">
        <f>(VLOOKUP('19.07'!X8,'19.07'!$AO$4:$AQ$55,3,FALSE))</f>
        <v>0</v>
      </c>
      <c r="Q8" s="4">
        <f>(VLOOKUP('19.07'!Y8,'19.07'!$AO$4:$AQ$55,3,FALSE))</f>
        <v>45</v>
      </c>
      <c r="R8" s="4">
        <f>(VLOOKUP('19.07'!Z8,'19.07'!$AO$4:$AQ$55,3,FALSE))</f>
        <v>45</v>
      </c>
      <c r="S8" s="4">
        <f>(VLOOKUP('19.07'!AA8,'19.07'!$AO$4:$AQ$55,3,FALSE))</f>
        <v>45</v>
      </c>
      <c r="T8" s="4">
        <f>(VLOOKUP('19.07'!AB8,'19.07'!$AO$4:$AQ$55,3,FALSE))</f>
        <v>45</v>
      </c>
      <c r="U8" s="4">
        <f>(VLOOKUP('19.07'!AC8,'19.07'!$AO$4:$AQ$55,3,FALSE))</f>
        <v>45</v>
      </c>
      <c r="V8" s="4">
        <f>(VLOOKUP('19.07'!AD8,'19.07'!$AO$4:$AQ$55,3,FALSE))</f>
        <v>35</v>
      </c>
      <c r="W8" s="13">
        <f>(VLOOKUP('19.07'!AE8,'19.07'!$AO$4:$AQ$55,3,FALSE))</f>
        <v>0</v>
      </c>
      <c r="X8" s="13">
        <f>(VLOOKUP('19.07'!AF8,'19.07'!$AO$4:$AQ$55,3,FALSE))</f>
        <v>0</v>
      </c>
    </row>
    <row r="9" spans="1:24">
      <c r="A9" s="4">
        <f>(VLOOKUP('19.07'!I9,'19.07'!$AO$4:$AQ$55,3,FALSE))</f>
        <v>0</v>
      </c>
      <c r="B9" s="4">
        <f>(VLOOKUP('19.07'!J9,'19.07'!$AO$4:$AQ$55,3,FALSE))</f>
        <v>0</v>
      </c>
      <c r="C9" s="4">
        <f>(VLOOKUP('19.07'!K9,'19.07'!$AO$4:$AQ$55,3,FALSE))</f>
        <v>0</v>
      </c>
      <c r="D9" s="4">
        <f>(VLOOKUP('19.07'!L9,'19.07'!$AO$4:$AQ$55,3,FALSE))</f>
        <v>0</v>
      </c>
      <c r="E9" s="4">
        <f>(VLOOKUP('19.07'!M9,'19.07'!$AO$4:$AQ$55,3,FALSE))</f>
        <v>0</v>
      </c>
      <c r="F9" s="4">
        <f>(VLOOKUP('19.07'!N9,'19.07'!$AO$4:$AQ$55,3,FALSE))</f>
        <v>0</v>
      </c>
      <c r="G9" s="13">
        <f>(VLOOKUP('19.07'!O9,'19.07'!$AO$4:$AQ$55,3,FALSE))</f>
        <v>0</v>
      </c>
      <c r="H9" s="13">
        <f>(VLOOKUP('19.07'!P9,'19.07'!$AO$4:$AQ$55,3,FALSE))</f>
        <v>0</v>
      </c>
      <c r="I9" s="4">
        <f>(VLOOKUP('19.07'!Q9,'19.07'!$AO$4:$AQ$55,3,FALSE))</f>
        <v>45</v>
      </c>
      <c r="J9" s="4">
        <f>(VLOOKUP('19.07'!R9,'19.07'!$AO$4:$AQ$55,3,FALSE))</f>
        <v>45</v>
      </c>
      <c r="K9" s="4">
        <f>(VLOOKUP('19.07'!S9,'19.07'!$AO$4:$AQ$55,3,FALSE))</f>
        <v>300</v>
      </c>
      <c r="L9" s="4">
        <f>(VLOOKUP('19.07'!T9,'19.07'!$AO$4:$AQ$55,3,FALSE))</f>
        <v>45</v>
      </c>
      <c r="M9" s="4">
        <f>(VLOOKUP('19.07'!U9,'19.07'!$AO$4:$AQ$55,3,FALSE))</f>
        <v>45</v>
      </c>
      <c r="N9" s="4">
        <f>(VLOOKUP('19.07'!V9,'19.07'!$AO$4:$AQ$55,3,FALSE))</f>
        <v>45</v>
      </c>
      <c r="O9" s="13">
        <f>(VLOOKUP('19.07'!W9,'19.07'!$AO$4:$AQ$55,3,FALSE))</f>
        <v>45</v>
      </c>
      <c r="P9" s="13">
        <f>(VLOOKUP('19.07'!X9,'19.07'!$AO$4:$AQ$55,3,FALSE))</f>
        <v>0</v>
      </c>
      <c r="Q9" s="4">
        <f>(VLOOKUP('19.07'!Y9,'19.07'!$AO$4:$AQ$55,3,FALSE))</f>
        <v>45</v>
      </c>
      <c r="R9" s="4">
        <f>(VLOOKUP('19.07'!Z9,'19.07'!$AO$4:$AQ$55,3,FALSE))</f>
        <v>30</v>
      </c>
      <c r="S9" s="4">
        <f>(VLOOKUP('19.07'!AA9,'19.07'!$AO$4:$AQ$55,3,FALSE))</f>
        <v>45</v>
      </c>
      <c r="T9" s="4">
        <f>(VLOOKUP('19.07'!AB9,'19.07'!$AO$4:$AQ$55,3,FALSE))</f>
        <v>45</v>
      </c>
      <c r="U9" s="4">
        <f>(VLOOKUP('19.07'!AC9,'19.07'!$AO$4:$AQ$55,3,FALSE))</f>
        <v>45</v>
      </c>
      <c r="V9" s="4">
        <f>(VLOOKUP('19.07'!AD9,'19.07'!$AO$4:$AQ$55,3,FALSE))</f>
        <v>45</v>
      </c>
      <c r="W9" s="13">
        <f>(VLOOKUP('19.07'!AE9,'19.07'!$AO$4:$AQ$55,3,FALSE))</f>
        <v>0</v>
      </c>
      <c r="X9" s="13">
        <f>(VLOOKUP('19.07'!AF9,'19.07'!$AO$4:$AQ$55,3,FALSE))</f>
        <v>0</v>
      </c>
    </row>
    <row r="10" spans="1:24">
      <c r="A10" s="4">
        <f>(VLOOKUP('19.07'!I10,'19.07'!$AO$4:$AQ$55,3,FALSE))</f>
        <v>0</v>
      </c>
      <c r="B10" s="4">
        <f>(VLOOKUP('19.07'!J10,'19.07'!$AO$4:$AQ$55,3,FALSE))</f>
        <v>0</v>
      </c>
      <c r="C10" s="4">
        <f>(VLOOKUP('19.07'!K10,'19.07'!$AO$4:$AQ$55,3,FALSE))</f>
        <v>0</v>
      </c>
      <c r="D10" s="4">
        <f>(VLOOKUP('19.07'!L10,'19.07'!$AO$4:$AQ$55,3,FALSE))</f>
        <v>0</v>
      </c>
      <c r="E10" s="4">
        <f>(VLOOKUP('19.07'!M10,'19.07'!$AO$4:$AQ$55,3,FALSE))</f>
        <v>0</v>
      </c>
      <c r="F10" s="4">
        <f>(VLOOKUP('19.07'!N10,'19.07'!$AO$4:$AQ$55,3,FALSE))</f>
        <v>0</v>
      </c>
      <c r="G10" s="13">
        <f>(VLOOKUP('19.07'!O10,'19.07'!$AO$4:$AQ$55,3,FALSE))</f>
        <v>0</v>
      </c>
      <c r="H10" s="13">
        <f>(VLOOKUP('19.07'!P10,'19.07'!$AO$4:$AQ$55,3,FALSE))</f>
        <v>0</v>
      </c>
      <c r="I10" s="4">
        <f>(VLOOKUP('19.07'!Q10,'19.07'!$AO$4:$AQ$55,3,FALSE))</f>
        <v>45</v>
      </c>
      <c r="J10" s="4">
        <f>(VLOOKUP('19.07'!R10,'19.07'!$AO$4:$AQ$55,3,FALSE))</f>
        <v>45</v>
      </c>
      <c r="K10" s="4">
        <f>(VLOOKUP('19.07'!S10,'19.07'!$AO$4:$AQ$55,3,FALSE))</f>
        <v>45</v>
      </c>
      <c r="L10" s="4">
        <f>(VLOOKUP('19.07'!T10,'19.07'!$AO$4:$AQ$55,3,FALSE))</f>
        <v>45</v>
      </c>
      <c r="M10" s="4">
        <f>(VLOOKUP('19.07'!U10,'19.07'!$AO$4:$AQ$55,3,FALSE))</f>
        <v>30</v>
      </c>
      <c r="N10" s="4">
        <f>(VLOOKUP('19.07'!V10,'19.07'!$AO$4:$AQ$55,3,FALSE))</f>
        <v>45</v>
      </c>
      <c r="O10" s="13">
        <f>(VLOOKUP('19.07'!W10,'19.07'!$AO$4:$AQ$55,3,FALSE))</f>
        <v>45</v>
      </c>
      <c r="P10" s="13">
        <f>(VLOOKUP('19.07'!X10,'19.07'!$AO$4:$AQ$55,3,FALSE))</f>
        <v>45</v>
      </c>
      <c r="Q10" s="4">
        <f>(VLOOKUP('19.07'!Y10,'19.07'!$AO$4:$AQ$55,3,FALSE))</f>
        <v>45</v>
      </c>
      <c r="R10" s="4">
        <f>(VLOOKUP('19.07'!Z10,'19.07'!$AO$4:$AQ$55,3,FALSE))</f>
        <v>45</v>
      </c>
      <c r="S10" s="4">
        <f>(VLOOKUP('19.07'!AA10,'19.07'!$AO$4:$AQ$55,3,FALSE))</f>
        <v>45</v>
      </c>
      <c r="T10" s="4">
        <f>(VLOOKUP('19.07'!AB10,'19.07'!$AO$4:$AQ$55,3,FALSE))</f>
        <v>45</v>
      </c>
      <c r="U10" s="4">
        <f>(VLOOKUP('19.07'!AC10,'19.07'!$AO$4:$AQ$55,3,FALSE))</f>
        <v>45</v>
      </c>
      <c r="V10" s="4">
        <f>(VLOOKUP('19.07'!AD10,'19.07'!$AO$4:$AQ$55,3,FALSE))</f>
        <v>45</v>
      </c>
      <c r="W10" s="13">
        <f>(VLOOKUP('19.07'!AE10,'19.07'!$AO$4:$AQ$55,3,FALSE))</f>
        <v>0</v>
      </c>
      <c r="X10" s="13">
        <f>(VLOOKUP('19.07'!AF10,'19.07'!$AO$4:$AQ$55,3,FALSE))</f>
        <v>0</v>
      </c>
    </row>
    <row r="11" spans="1:24">
      <c r="A11" s="4">
        <f>(VLOOKUP('19.07'!I11,'19.07'!$AO$4:$AQ$55,3,FALSE))</f>
        <v>0</v>
      </c>
      <c r="B11" s="4">
        <f>(VLOOKUP('19.07'!J11,'19.07'!$AO$4:$AQ$55,3,FALSE))</f>
        <v>0</v>
      </c>
      <c r="C11" s="4">
        <f>(VLOOKUP('19.07'!K11,'19.07'!$AO$4:$AQ$55,3,FALSE))</f>
        <v>0</v>
      </c>
      <c r="D11" s="4">
        <f>(VLOOKUP('19.07'!L11,'19.07'!$AO$4:$AQ$55,3,FALSE))</f>
        <v>0</v>
      </c>
      <c r="E11" s="4">
        <f>(VLOOKUP('19.07'!M11,'19.07'!$AO$4:$AQ$55,3,FALSE))</f>
        <v>0</v>
      </c>
      <c r="F11" s="4">
        <f>(VLOOKUP('19.07'!N11,'19.07'!$AO$4:$AQ$55,3,FALSE))</f>
        <v>0</v>
      </c>
      <c r="G11" s="13">
        <f>(VLOOKUP('19.07'!O11,'19.07'!$AO$4:$AQ$55,3,FALSE))</f>
        <v>0</v>
      </c>
      <c r="H11" s="13">
        <f>(VLOOKUP('19.07'!P11,'19.07'!$AO$4:$AQ$55,3,FALSE))</f>
        <v>0</v>
      </c>
      <c r="I11" s="4">
        <f>(VLOOKUP('19.07'!Q11,'19.07'!$AO$4:$AQ$55,3,FALSE))</f>
        <v>45</v>
      </c>
      <c r="J11" s="4">
        <f>(VLOOKUP('19.07'!R11,'19.07'!$AO$4:$AQ$55,3,FALSE))</f>
        <v>45</v>
      </c>
      <c r="K11" s="4">
        <f>(VLOOKUP('19.07'!S11,'19.07'!$AO$4:$AQ$55,3,FALSE))</f>
        <v>45</v>
      </c>
      <c r="L11" s="4">
        <f>(VLOOKUP('19.07'!T11,'19.07'!$AO$4:$AQ$55,3,FALSE))</f>
        <v>30</v>
      </c>
      <c r="M11" s="4">
        <f>(VLOOKUP('19.07'!U11,'19.07'!$AO$4:$AQ$55,3,FALSE))</f>
        <v>45</v>
      </c>
      <c r="N11" s="4">
        <f>(VLOOKUP('19.07'!V11,'19.07'!$AO$4:$AQ$55,3,FALSE))</f>
        <v>45</v>
      </c>
      <c r="O11" s="13">
        <f>(VLOOKUP('19.07'!W11,'19.07'!$AO$4:$AQ$55,3,FALSE))</f>
        <v>45</v>
      </c>
      <c r="P11" s="13">
        <f>(VLOOKUP('19.07'!X11,'19.07'!$AO$4:$AQ$55,3,FALSE))</f>
        <v>0</v>
      </c>
      <c r="Q11" s="4">
        <f>(VLOOKUP('19.07'!Y11,'19.07'!$AO$4:$AQ$55,3,FALSE))</f>
        <v>45</v>
      </c>
      <c r="R11" s="4">
        <f>(VLOOKUP('19.07'!Z11,'19.07'!$AO$4:$AQ$55,3,FALSE))</f>
        <v>45</v>
      </c>
      <c r="S11" s="4">
        <f>(VLOOKUP('19.07'!AA11,'19.07'!$AO$4:$AQ$55,3,FALSE))</f>
        <v>45</v>
      </c>
      <c r="T11" s="4">
        <f>(VLOOKUP('19.07'!AB11,'19.07'!$AO$4:$AQ$55,3,FALSE))</f>
        <v>45</v>
      </c>
      <c r="U11" s="4">
        <f>(VLOOKUP('19.07'!AC11,'19.07'!$AO$4:$AQ$55,3,FALSE))</f>
        <v>50</v>
      </c>
      <c r="V11" s="4">
        <f>(VLOOKUP('19.07'!AD11,'19.07'!$AO$4:$AQ$55,3,FALSE))</f>
        <v>50</v>
      </c>
      <c r="W11" s="13">
        <f>(VLOOKUP('19.07'!AE11,'19.07'!$AO$4:$AQ$55,3,FALSE))</f>
        <v>0</v>
      </c>
      <c r="X11" s="13">
        <f>(VLOOKUP('19.07'!AF11,'19.07'!$AO$4:$AQ$55,3,FALSE))</f>
        <v>0</v>
      </c>
    </row>
    <row r="12" spans="1:24">
      <c r="A12" s="4">
        <f>(VLOOKUP('19.07'!I12,'19.07'!$AO$4:$AQ$55,3,FALSE))</f>
        <v>0</v>
      </c>
      <c r="B12" s="4">
        <f>(VLOOKUP('19.07'!J12,'19.07'!$AO$4:$AQ$55,3,FALSE))</f>
        <v>0</v>
      </c>
      <c r="C12" s="4">
        <f>(VLOOKUP('19.07'!K12,'19.07'!$AO$4:$AQ$55,3,FALSE))</f>
        <v>0</v>
      </c>
      <c r="D12" s="4">
        <f>(VLOOKUP('19.07'!L12,'19.07'!$AO$4:$AQ$55,3,FALSE))</f>
        <v>0</v>
      </c>
      <c r="E12" s="4">
        <f>(VLOOKUP('19.07'!M12,'19.07'!$AO$4:$AQ$55,3,FALSE))</f>
        <v>0</v>
      </c>
      <c r="F12" s="4">
        <f>(VLOOKUP('19.07'!N12,'19.07'!$AO$4:$AQ$55,3,FALSE))</f>
        <v>0</v>
      </c>
      <c r="G12" s="13">
        <f>(VLOOKUP('19.07'!O12,'19.07'!$AO$4:$AQ$55,3,FALSE))</f>
        <v>0</v>
      </c>
      <c r="H12" s="13">
        <f>(VLOOKUP('19.07'!P12,'19.07'!$AO$4:$AQ$55,3,FALSE))</f>
        <v>0</v>
      </c>
      <c r="I12" s="4">
        <f>(VLOOKUP('19.07'!Q12,'19.07'!$AO$4:$AQ$55,3,FALSE))</f>
        <v>45</v>
      </c>
      <c r="J12" s="4">
        <f>(VLOOKUP('19.07'!R12,'19.07'!$AO$4:$AQ$55,3,FALSE))</f>
        <v>45</v>
      </c>
      <c r="K12" s="4">
        <f>(VLOOKUP('19.07'!S12,'19.07'!$AO$4:$AQ$55,3,FALSE))</f>
        <v>45</v>
      </c>
      <c r="L12" s="4">
        <f>(VLOOKUP('19.07'!T12,'19.07'!$AO$4:$AQ$55,3,FALSE))</f>
        <v>45</v>
      </c>
      <c r="M12" s="4">
        <f>(VLOOKUP('19.07'!U12,'19.07'!$AO$4:$AQ$55,3,FALSE))</f>
        <v>45</v>
      </c>
      <c r="N12" s="4">
        <f>(VLOOKUP('19.07'!V12,'19.07'!$AO$4:$AQ$55,3,FALSE))</f>
        <v>45</v>
      </c>
      <c r="O12" s="13">
        <f>(VLOOKUP('19.07'!W12,'19.07'!$AO$4:$AQ$55,3,FALSE))</f>
        <v>30</v>
      </c>
      <c r="P12" s="13">
        <f>(VLOOKUP('19.07'!X12,'19.07'!$AO$4:$AQ$55,3,FALSE))</f>
        <v>45</v>
      </c>
      <c r="Q12" s="4">
        <f>(VLOOKUP('19.07'!Y12,'19.07'!$AO$4:$AQ$55,3,FALSE))</f>
        <v>50</v>
      </c>
      <c r="R12" s="4">
        <f>(VLOOKUP('19.07'!Z12,'19.07'!$AO$4:$AQ$55,3,FALSE))</f>
        <v>50</v>
      </c>
      <c r="S12" s="4">
        <f>(VLOOKUP('19.07'!AA12,'19.07'!$AO$4:$AQ$55,3,FALSE))</f>
        <v>45</v>
      </c>
      <c r="T12" s="4">
        <f>(VLOOKUP('19.07'!AB12,'19.07'!$AO$4:$AQ$55,3,FALSE))</f>
        <v>45</v>
      </c>
      <c r="U12" s="4">
        <f>(VLOOKUP('19.07'!AC12,'19.07'!$AO$4:$AQ$55,3,FALSE))</f>
        <v>45</v>
      </c>
      <c r="V12" s="4">
        <f>(VLOOKUP('19.07'!AD12,'19.07'!$AO$4:$AQ$55,3,FALSE))</f>
        <v>50</v>
      </c>
      <c r="W12" s="13">
        <f>(VLOOKUP('19.07'!AE12,'19.07'!$AO$4:$AQ$55,3,FALSE))</f>
        <v>0</v>
      </c>
      <c r="X12" s="13">
        <f>(VLOOKUP('19.07'!AF12,'19.07'!$AO$4:$AQ$55,3,FALSE))</f>
        <v>0</v>
      </c>
    </row>
    <row r="13" spans="1:24">
      <c r="A13" s="4">
        <f>(VLOOKUP('19.07'!I13,'19.07'!$AO$4:$AQ$55,3,FALSE))</f>
        <v>0</v>
      </c>
      <c r="B13" s="4">
        <f>(VLOOKUP('19.07'!J13,'19.07'!$AO$4:$AQ$55,3,FALSE))</f>
        <v>0</v>
      </c>
      <c r="C13" s="4">
        <f>(VLOOKUP('19.07'!K13,'19.07'!$AO$4:$AQ$55,3,FALSE))</f>
        <v>0</v>
      </c>
      <c r="D13" s="4">
        <f>(VLOOKUP('19.07'!L13,'19.07'!$AO$4:$AQ$55,3,FALSE))</f>
        <v>0</v>
      </c>
      <c r="E13" s="4">
        <f>(VLOOKUP('19.07'!M13,'19.07'!$AO$4:$AQ$55,3,FALSE))</f>
        <v>0</v>
      </c>
      <c r="F13" s="4">
        <f>(VLOOKUP('19.07'!N13,'19.07'!$AO$4:$AQ$55,3,FALSE))</f>
        <v>0</v>
      </c>
      <c r="G13" s="13">
        <f>(VLOOKUP('19.07'!O13,'19.07'!$AO$4:$AQ$55,3,FALSE))</f>
        <v>0</v>
      </c>
      <c r="H13" s="13">
        <f>(VLOOKUP('19.07'!P13,'19.07'!$AO$4:$AQ$55,3,FALSE))</f>
        <v>0</v>
      </c>
      <c r="I13" s="4">
        <f>(VLOOKUP('19.07'!Q13,'19.07'!$AO$4:$AQ$55,3,FALSE))</f>
        <v>45</v>
      </c>
      <c r="J13" s="4">
        <f>(VLOOKUP('19.07'!R13,'19.07'!$AO$4:$AQ$55,3,FALSE))</f>
        <v>45</v>
      </c>
      <c r="K13" s="4">
        <f>(VLOOKUP('19.07'!S13,'19.07'!$AO$4:$AQ$55,3,FALSE))</f>
        <v>45</v>
      </c>
      <c r="L13" s="4">
        <f>(VLOOKUP('19.07'!T13,'19.07'!$AO$4:$AQ$55,3,FALSE))</f>
        <v>45</v>
      </c>
      <c r="M13" s="4">
        <f>(VLOOKUP('19.07'!U13,'19.07'!$AO$4:$AQ$55,3,FALSE))</f>
        <v>45</v>
      </c>
      <c r="N13" s="4">
        <f>(VLOOKUP('19.07'!V13,'19.07'!$AO$4:$AQ$55,3,FALSE))</f>
        <v>45</v>
      </c>
      <c r="O13" s="13">
        <f>(VLOOKUP('19.07'!W13,'19.07'!$AO$4:$AQ$55,3,FALSE))</f>
        <v>45</v>
      </c>
      <c r="P13" s="13">
        <f>(VLOOKUP('19.07'!X13,'19.07'!$AO$4:$AQ$55,3,FALSE))</f>
        <v>0</v>
      </c>
      <c r="Q13" s="4">
        <f>(VLOOKUP('19.07'!Y13,'19.07'!$AO$4:$AQ$55,3,FALSE))</f>
        <v>50</v>
      </c>
      <c r="R13" s="4">
        <f>(VLOOKUP('19.07'!Z13,'19.07'!$AO$4:$AQ$55,3,FALSE))</f>
        <v>50</v>
      </c>
      <c r="S13" s="4">
        <f>(VLOOKUP('19.07'!AA13,'19.07'!$AO$4:$AQ$55,3,FALSE))</f>
        <v>50</v>
      </c>
      <c r="T13" s="4">
        <f>(VLOOKUP('19.07'!AB13,'19.07'!$AO$4:$AQ$55,3,FALSE))</f>
        <v>50</v>
      </c>
      <c r="U13" s="4">
        <f>(VLOOKUP('19.07'!AC13,'19.07'!$AO$4:$AQ$55,3,FALSE))</f>
        <v>50</v>
      </c>
      <c r="V13" s="4">
        <f>(VLOOKUP('19.07'!AD13,'19.07'!$AO$4:$AQ$55,3,FALSE))</f>
        <v>50</v>
      </c>
      <c r="W13" s="13">
        <f>(VLOOKUP('19.07'!AE13,'19.07'!$AO$4:$AQ$55,3,FALSE))</f>
        <v>0</v>
      </c>
      <c r="X13" s="13">
        <f>(VLOOKUP('19.07'!AF13,'19.07'!$AO$4:$AQ$55,3,FALSE))</f>
        <v>0</v>
      </c>
    </row>
    <row r="14" spans="1:24">
      <c r="A14" s="4">
        <f>(VLOOKUP('19.07'!I14,'19.07'!$AO$4:$AQ$55,3,FALSE))</f>
        <v>0</v>
      </c>
      <c r="B14" s="4">
        <f>(VLOOKUP('19.07'!J14,'19.07'!$AO$4:$AQ$55,3,FALSE))</f>
        <v>0</v>
      </c>
      <c r="C14" s="4">
        <f>(VLOOKUP('19.07'!K14,'19.07'!$AO$4:$AQ$55,3,FALSE))</f>
        <v>0</v>
      </c>
      <c r="D14" s="4">
        <f>(VLOOKUP('19.07'!L14,'19.07'!$AO$4:$AQ$55,3,FALSE))</f>
        <v>0</v>
      </c>
      <c r="E14" s="4">
        <f>(VLOOKUP('19.07'!M14,'19.07'!$AO$4:$AQ$55,3,FALSE))</f>
        <v>0</v>
      </c>
      <c r="F14" s="4">
        <f>(VLOOKUP('19.07'!N14,'19.07'!$AO$4:$AQ$55,3,FALSE))</f>
        <v>0</v>
      </c>
      <c r="G14" s="13">
        <f>(VLOOKUP('19.07'!O14,'19.07'!$AO$4:$AQ$55,3,FALSE))</f>
        <v>0</v>
      </c>
      <c r="H14" s="13">
        <f>(VLOOKUP('19.07'!P14,'19.07'!$AO$4:$AQ$55,3,FALSE))</f>
        <v>0</v>
      </c>
      <c r="I14" s="4">
        <f>(VLOOKUP('19.07'!Q14,'19.07'!$AO$4:$AQ$55,3,FALSE))</f>
        <v>45</v>
      </c>
      <c r="J14" s="4">
        <f>(VLOOKUP('19.07'!R14,'19.07'!$AO$4:$AQ$55,3,FALSE))</f>
        <v>45</v>
      </c>
      <c r="K14" s="4">
        <f>(VLOOKUP('19.07'!S14,'19.07'!$AO$4:$AQ$55,3,FALSE))</f>
        <v>45</v>
      </c>
      <c r="L14" s="4">
        <f>(VLOOKUP('19.07'!T14,'19.07'!$AO$4:$AQ$55,3,FALSE))</f>
        <v>45</v>
      </c>
      <c r="M14" s="4">
        <f>(VLOOKUP('19.07'!U14,'19.07'!$AO$4:$AQ$55,3,FALSE))</f>
        <v>45</v>
      </c>
      <c r="N14" s="4">
        <f>(VLOOKUP('19.07'!V14,'19.07'!$AO$4:$AQ$55,3,FALSE))</f>
        <v>45</v>
      </c>
      <c r="O14" s="13">
        <f>(VLOOKUP('19.07'!W14,'19.07'!$AO$4:$AQ$55,3,FALSE))</f>
        <v>0</v>
      </c>
      <c r="P14" s="13">
        <f>(VLOOKUP('19.07'!X14,'19.07'!$AO$4:$AQ$55,3,FALSE))</f>
        <v>0</v>
      </c>
      <c r="Q14" s="4">
        <f>(VLOOKUP('19.07'!Y14,'19.07'!$AO$4:$AQ$55,3,FALSE))</f>
        <v>50</v>
      </c>
      <c r="R14" s="4">
        <f>(VLOOKUP('19.07'!Z14,'19.07'!$AO$4:$AQ$55,3,FALSE))</f>
        <v>45</v>
      </c>
      <c r="S14" s="4">
        <f>(VLOOKUP('19.07'!AA14,'19.07'!$AO$4:$AQ$55,3,FALSE))</f>
        <v>45</v>
      </c>
      <c r="T14" s="4">
        <f>(VLOOKUP('19.07'!AB14,'19.07'!$AO$4:$AQ$55,3,FALSE))</f>
        <v>45</v>
      </c>
      <c r="U14" s="4">
        <f>(VLOOKUP('19.07'!AC14,'19.07'!$AO$4:$AQ$55,3,FALSE))</f>
        <v>30</v>
      </c>
      <c r="V14" s="4">
        <f>(VLOOKUP('19.07'!AD14,'19.07'!$AO$4:$AQ$55,3,FALSE))</f>
        <v>45</v>
      </c>
      <c r="W14" s="13">
        <f>(VLOOKUP('19.07'!AE14,'19.07'!$AO$4:$AQ$55,3,FALSE))</f>
        <v>0</v>
      </c>
      <c r="X14" s="13">
        <f>(VLOOKUP('19.07'!AF14,'19.07'!$AO$4:$AQ$55,3,FALSE))</f>
        <v>0</v>
      </c>
    </row>
    <row r="15" spans="1:24">
      <c r="A15" s="4">
        <f>(VLOOKUP('19.07'!I15,'19.07'!$AO$4:$AQ$55,3,FALSE))</f>
        <v>0</v>
      </c>
      <c r="B15" s="4">
        <f>(VLOOKUP('19.07'!J15,'19.07'!$AO$4:$AQ$55,3,FALSE))</f>
        <v>0</v>
      </c>
      <c r="C15" s="4">
        <f>(VLOOKUP('19.07'!K15,'19.07'!$AO$4:$AQ$55,3,FALSE))</f>
        <v>0</v>
      </c>
      <c r="D15" s="4">
        <f>(VLOOKUP('19.07'!L15,'19.07'!$AO$4:$AQ$55,3,FALSE))</f>
        <v>0</v>
      </c>
      <c r="E15" s="4">
        <f>(VLOOKUP('19.07'!M15,'19.07'!$AO$4:$AQ$55,3,FALSE))</f>
        <v>0</v>
      </c>
      <c r="F15" s="4">
        <f>(VLOOKUP('19.07'!N15,'19.07'!$AO$4:$AQ$55,3,FALSE))</f>
        <v>0</v>
      </c>
      <c r="G15" s="13">
        <f>(VLOOKUP('19.07'!O15,'19.07'!$AO$4:$AQ$55,3,FALSE))</f>
        <v>0</v>
      </c>
      <c r="H15" s="13">
        <f>(VLOOKUP('19.07'!P15,'19.07'!$AO$4:$AQ$55,3,FALSE))</f>
        <v>0</v>
      </c>
      <c r="I15" s="4">
        <f>(VLOOKUP('19.07'!Q15,'19.07'!$AO$4:$AQ$55,3,FALSE))</f>
        <v>45</v>
      </c>
      <c r="J15" s="4">
        <f>(VLOOKUP('19.07'!R15,'19.07'!$AO$4:$AQ$55,3,FALSE))</f>
        <v>45</v>
      </c>
      <c r="K15" s="4">
        <f>(VLOOKUP('19.07'!S15,'19.07'!$AO$4:$AQ$55,3,FALSE))</f>
        <v>45</v>
      </c>
      <c r="L15" s="4">
        <f>(VLOOKUP('19.07'!T15,'19.07'!$AO$4:$AQ$55,3,FALSE))</f>
        <v>45</v>
      </c>
      <c r="M15" s="4">
        <f>(VLOOKUP('19.07'!U15,'19.07'!$AO$4:$AQ$55,3,FALSE))</f>
        <v>55</v>
      </c>
      <c r="N15" s="4">
        <f>(VLOOKUP('19.07'!V15,'19.07'!$AO$4:$AQ$55,3,FALSE))</f>
        <v>55</v>
      </c>
      <c r="O15" s="13">
        <f>(VLOOKUP('19.07'!W15,'19.07'!$AO$4:$AQ$55,3,FALSE))</f>
        <v>300</v>
      </c>
      <c r="P15" s="13">
        <f>(VLOOKUP('19.07'!X15,'19.07'!$AO$4:$AQ$55,3,FALSE))</f>
        <v>0</v>
      </c>
      <c r="Q15" s="4">
        <f>(VLOOKUP('19.07'!Y15,'19.07'!$AO$4:$AQ$55,3,FALSE))</f>
        <v>45</v>
      </c>
      <c r="R15" s="4">
        <f>(VLOOKUP('19.07'!Z15,'19.07'!$AO$4:$AQ$55,3,FALSE))</f>
        <v>45</v>
      </c>
      <c r="S15" s="4">
        <f>(VLOOKUP('19.07'!AA15,'19.07'!$AO$4:$AQ$55,3,FALSE))</f>
        <v>300</v>
      </c>
      <c r="T15" s="4">
        <f>(VLOOKUP('19.07'!AB15,'19.07'!$AO$4:$AQ$55,3,FALSE))</f>
        <v>0</v>
      </c>
      <c r="U15" s="4">
        <f>(VLOOKUP('19.07'!AC15,'19.07'!$AO$4:$AQ$55,3,FALSE))</f>
        <v>0</v>
      </c>
      <c r="V15" s="4">
        <f>(VLOOKUP('19.07'!AD15,'19.07'!$AO$4:$AQ$55,3,FALSE))</f>
        <v>0</v>
      </c>
      <c r="W15" s="13">
        <f>(VLOOKUP('19.07'!AE15,'19.07'!$AO$4:$AQ$55,3,FALSE))</f>
        <v>0</v>
      </c>
      <c r="X15" s="13">
        <f>(VLOOKUP('19.07'!AF15,'19.07'!$AO$4:$AQ$55,3,FALSE))</f>
        <v>0</v>
      </c>
    </row>
    <row r="16" spans="1:24">
      <c r="A16" s="4">
        <f>(VLOOKUP('19.07'!I16,'19.07'!$AO$4:$AQ$55,3,FALSE))</f>
        <v>0</v>
      </c>
      <c r="B16" s="4">
        <f>(VLOOKUP('19.07'!J16,'19.07'!$AO$4:$AQ$55,3,FALSE))</f>
        <v>0</v>
      </c>
      <c r="C16" s="4">
        <f>(VLOOKUP('19.07'!K16,'19.07'!$AO$4:$AQ$55,3,FALSE))</f>
        <v>0</v>
      </c>
      <c r="D16" s="4">
        <f>(VLOOKUP('19.07'!L16,'19.07'!$AO$4:$AQ$55,3,FALSE))</f>
        <v>0</v>
      </c>
      <c r="E16" s="4">
        <f>(VLOOKUP('19.07'!M16,'19.07'!$AO$4:$AQ$55,3,FALSE))</f>
        <v>0</v>
      </c>
      <c r="F16" s="4">
        <f>(VLOOKUP('19.07'!N16,'19.07'!$AO$4:$AQ$55,3,FALSE))</f>
        <v>0</v>
      </c>
      <c r="G16" s="13">
        <f>(VLOOKUP('19.07'!O16,'19.07'!$AO$4:$AQ$55,3,FALSE))</f>
        <v>0</v>
      </c>
      <c r="H16" s="13">
        <f>(VLOOKUP('19.07'!P16,'19.07'!$AO$4:$AQ$55,3,FALSE))</f>
        <v>0</v>
      </c>
      <c r="I16" s="4">
        <f>(VLOOKUP('19.07'!Q16,'19.07'!$AO$4:$AQ$55,3,FALSE))</f>
        <v>45</v>
      </c>
      <c r="J16" s="4">
        <f>(VLOOKUP('19.07'!R16,'19.07'!$AO$4:$AQ$55,3,FALSE))</f>
        <v>45</v>
      </c>
      <c r="K16" s="4">
        <f>(VLOOKUP('19.07'!S16,'19.07'!$AO$4:$AQ$55,3,FALSE))</f>
        <v>45</v>
      </c>
      <c r="L16" s="4">
        <f>(VLOOKUP('19.07'!T16,'19.07'!$AO$4:$AQ$55,3,FALSE))</f>
        <v>45</v>
      </c>
      <c r="M16" s="4">
        <f>(VLOOKUP('19.07'!U16,'19.07'!$AO$4:$AQ$55,3,FALSE))</f>
        <v>55</v>
      </c>
      <c r="N16" s="4">
        <f>(VLOOKUP('19.07'!V16,'19.07'!$AO$4:$AQ$55,3,FALSE))</f>
        <v>55</v>
      </c>
      <c r="O16" s="13">
        <f>(VLOOKUP('19.07'!W16,'19.07'!$AO$4:$AQ$55,3,FALSE))</f>
        <v>0</v>
      </c>
      <c r="P16" s="13">
        <f>(VLOOKUP('19.07'!X16,'19.07'!$AO$4:$AQ$55,3,FALSE))</f>
        <v>0</v>
      </c>
      <c r="Q16" s="4">
        <f>(VLOOKUP('19.07'!Y16,'19.07'!$AO$4:$AQ$55,3,FALSE))</f>
        <v>45</v>
      </c>
      <c r="R16" s="4">
        <f>(VLOOKUP('19.07'!Z16,'19.07'!$AO$4:$AQ$55,3,FALSE))</f>
        <v>45</v>
      </c>
      <c r="S16" s="4">
        <f>(VLOOKUP('19.07'!AA16,'19.07'!$AO$4:$AQ$55,3,FALSE))</f>
        <v>45</v>
      </c>
      <c r="T16" s="4">
        <f>(VLOOKUP('19.07'!AB16,'19.07'!$AO$4:$AQ$55,3,FALSE))</f>
        <v>45</v>
      </c>
      <c r="U16" s="4">
        <f>(VLOOKUP('19.07'!AC16,'19.07'!$AO$4:$AQ$55,3,FALSE))</f>
        <v>45</v>
      </c>
      <c r="V16" s="4">
        <f>(VLOOKUP('19.07'!AD16,'19.07'!$AO$4:$AQ$55,3,FALSE))</f>
        <v>45</v>
      </c>
      <c r="W16" s="13">
        <f>(VLOOKUP('19.07'!AE16,'19.07'!$AO$4:$AQ$55,3,FALSE))</f>
        <v>0</v>
      </c>
      <c r="X16" s="13">
        <f>(VLOOKUP('19.07'!AF16,'19.07'!$AO$4:$AQ$55,3,FALSE))</f>
        <v>0</v>
      </c>
    </row>
    <row r="17" spans="1:24">
      <c r="A17" s="4">
        <f>(VLOOKUP('19.07'!I17,'19.07'!$AO$4:$AQ$55,3,FALSE))</f>
        <v>0</v>
      </c>
      <c r="B17" s="4">
        <f>(VLOOKUP('19.07'!J17,'19.07'!$AO$4:$AQ$55,3,FALSE))</f>
        <v>0</v>
      </c>
      <c r="C17" s="4">
        <f>(VLOOKUP('19.07'!K17,'19.07'!$AO$4:$AQ$55,3,FALSE))</f>
        <v>0</v>
      </c>
      <c r="D17" s="4">
        <f>(VLOOKUP('19.07'!L17,'19.07'!$AO$4:$AQ$55,3,FALSE))</f>
        <v>0</v>
      </c>
      <c r="E17" s="4">
        <f>(VLOOKUP('19.07'!M17,'19.07'!$AO$4:$AQ$55,3,FALSE))</f>
        <v>0</v>
      </c>
      <c r="F17" s="4">
        <f>(VLOOKUP('19.07'!N17,'19.07'!$AO$4:$AQ$55,3,FALSE))</f>
        <v>0</v>
      </c>
      <c r="G17" s="13">
        <f>(VLOOKUP('19.07'!O17,'19.07'!$AO$4:$AQ$55,3,FALSE))</f>
        <v>0</v>
      </c>
      <c r="H17" s="13">
        <f>(VLOOKUP('19.07'!P17,'19.07'!$AO$4:$AQ$55,3,FALSE))</f>
        <v>0</v>
      </c>
      <c r="I17" s="4">
        <f>(VLOOKUP('19.07'!Q17,'19.07'!$AO$4:$AQ$55,3,FALSE))</f>
        <v>0</v>
      </c>
      <c r="J17" s="4">
        <f>(VLOOKUP('19.07'!R17,'19.07'!$AO$4:$AQ$55,3,FALSE))</f>
        <v>0</v>
      </c>
      <c r="K17" s="4">
        <f>(VLOOKUP('19.07'!S17,'19.07'!$AO$4:$AQ$55,3,FALSE))</f>
        <v>0</v>
      </c>
      <c r="L17" s="4">
        <f>(VLOOKUP('19.07'!T17,'19.07'!$AO$4:$AQ$55,3,FALSE))</f>
        <v>0</v>
      </c>
      <c r="M17" s="4">
        <f>(VLOOKUP('19.07'!U17,'19.07'!$AO$4:$AQ$55,3,FALSE))</f>
        <v>0</v>
      </c>
      <c r="N17" s="4">
        <f>(VLOOKUP('19.07'!V17,'19.07'!$AO$4:$AQ$55,3,FALSE))</f>
        <v>0</v>
      </c>
      <c r="O17" s="13">
        <f>(VLOOKUP('19.07'!W17,'19.07'!$AO$4:$AQ$55,3,FALSE))</f>
        <v>0</v>
      </c>
      <c r="P17" s="13">
        <f>(VLOOKUP('19.07'!X17,'19.07'!$AO$4:$AQ$55,3,FALSE))</f>
        <v>0</v>
      </c>
      <c r="Q17" s="4">
        <f>(VLOOKUP('19.07'!Y17,'19.07'!$AO$4:$AQ$55,3,FALSE))</f>
        <v>45</v>
      </c>
      <c r="R17" s="4">
        <f>(VLOOKUP('19.07'!Z17,'19.07'!$AO$4:$AQ$55,3,FALSE))</f>
        <v>45</v>
      </c>
      <c r="S17" s="4">
        <f>(VLOOKUP('19.07'!AA17,'19.07'!$AO$4:$AQ$55,3,FALSE))</f>
        <v>45</v>
      </c>
      <c r="T17" s="4">
        <f>(VLOOKUP('19.07'!AB17,'19.07'!$AO$4:$AQ$55,3,FALSE))</f>
        <v>45</v>
      </c>
      <c r="U17" s="4">
        <f>(VLOOKUP('19.07'!AC17,'19.07'!$AO$4:$AQ$55,3,FALSE))</f>
        <v>0</v>
      </c>
      <c r="V17" s="4">
        <f>(VLOOKUP('19.07'!AD17,'19.07'!$AO$4:$AQ$55,3,FALSE))</f>
        <v>0</v>
      </c>
      <c r="W17" s="13">
        <f>(VLOOKUP('19.07'!AE17,'19.07'!$AO$4:$AQ$55,3,FALSE))</f>
        <v>0</v>
      </c>
      <c r="X17" s="13">
        <f>(VLOOKUP('19.07'!AF17,'19.07'!$AO$4:$AQ$55,3,FALSE))</f>
        <v>0</v>
      </c>
    </row>
    <row r="18" spans="1:24">
      <c r="A18" s="4">
        <f>(VLOOKUP('19.07'!I18,'19.07'!$AO$4:$AQ$55,3,FALSE))</f>
        <v>0</v>
      </c>
      <c r="B18" s="4">
        <f>(VLOOKUP('19.07'!J18,'19.07'!$AO$4:$AQ$55,3,FALSE))</f>
        <v>0</v>
      </c>
      <c r="C18" s="4">
        <f>(VLOOKUP('19.07'!K18,'19.07'!$AO$4:$AQ$55,3,FALSE))</f>
        <v>0</v>
      </c>
      <c r="D18" s="4">
        <f>(VLOOKUP('19.07'!L18,'19.07'!$AO$4:$AQ$55,3,FALSE))</f>
        <v>0</v>
      </c>
      <c r="E18" s="4">
        <f>(VLOOKUP('19.07'!M18,'19.07'!$AO$4:$AQ$55,3,FALSE))</f>
        <v>0</v>
      </c>
      <c r="F18" s="4">
        <f>(VLOOKUP('19.07'!N18,'19.07'!$AO$4:$AQ$55,3,FALSE))</f>
        <v>0</v>
      </c>
      <c r="G18" s="13">
        <f>(VLOOKUP('19.07'!O18,'19.07'!$AO$4:$AQ$55,3,FALSE))</f>
        <v>0</v>
      </c>
      <c r="H18" s="13">
        <f>(VLOOKUP('19.07'!P18,'19.07'!$AO$4:$AQ$55,3,FALSE))</f>
        <v>0</v>
      </c>
      <c r="I18" s="4">
        <f>(VLOOKUP('19.07'!Q18,'19.07'!$AO$4:$AQ$55,3,FALSE))</f>
        <v>55</v>
      </c>
      <c r="J18" s="4">
        <f>(VLOOKUP('19.07'!R18,'19.07'!$AO$4:$AQ$55,3,FALSE))</f>
        <v>35</v>
      </c>
      <c r="K18" s="4">
        <f>(VLOOKUP('19.07'!S18,'19.07'!$AO$4:$AQ$55,3,FALSE))</f>
        <v>55</v>
      </c>
      <c r="L18" s="4">
        <f>(VLOOKUP('19.07'!T18,'19.07'!$AO$4:$AQ$55,3,FALSE))</f>
        <v>55</v>
      </c>
      <c r="M18" s="4">
        <f>(VLOOKUP('19.07'!U18,'19.07'!$AO$4:$AQ$55,3,FALSE))</f>
        <v>55</v>
      </c>
      <c r="N18" s="4">
        <f>(VLOOKUP('19.07'!V18,'19.07'!$AO$4:$AQ$55,3,FALSE))</f>
        <v>55</v>
      </c>
      <c r="O18" s="13">
        <f>(VLOOKUP('19.07'!W18,'19.07'!$AO$4:$AQ$55,3,FALSE))</f>
        <v>0</v>
      </c>
      <c r="P18" s="13">
        <f>(VLOOKUP('19.07'!X18,'19.07'!$AO$4:$AQ$55,3,FALSE))</f>
        <v>0</v>
      </c>
      <c r="Q18" s="4">
        <f>(VLOOKUP('19.07'!Y18,'19.07'!$AO$4:$AQ$55,3,FALSE))</f>
        <v>45</v>
      </c>
      <c r="R18" s="4">
        <f>(VLOOKUP('19.07'!Z18,'19.07'!$AO$4:$AQ$55,3,FALSE))</f>
        <v>50</v>
      </c>
      <c r="S18" s="4">
        <f>(VLOOKUP('19.07'!AA18,'19.07'!$AO$4:$AQ$55,3,FALSE))</f>
        <v>50</v>
      </c>
      <c r="T18" s="4">
        <f>(VLOOKUP('19.07'!AB18,'19.07'!$AO$4:$AQ$55,3,FALSE))</f>
        <v>50</v>
      </c>
      <c r="U18" s="4">
        <f>(VLOOKUP('19.07'!AC18,'19.07'!$AO$4:$AQ$55,3,FALSE))</f>
        <v>0</v>
      </c>
      <c r="V18" s="4">
        <f>(VLOOKUP('19.07'!AD18,'19.07'!$AO$4:$AQ$55,3,FALSE))</f>
        <v>50</v>
      </c>
      <c r="W18" s="13">
        <f>(VLOOKUP('19.07'!AE18,'19.07'!$AO$4:$AQ$55,3,FALSE))</f>
        <v>35</v>
      </c>
      <c r="X18" s="13">
        <f>(VLOOKUP('19.07'!AF18,'19.07'!$AO$4:$AQ$55,3,FALSE))</f>
        <v>50</v>
      </c>
    </row>
    <row r="19" spans="1:24">
      <c r="A19" s="4">
        <f>(VLOOKUP('19.07'!I19,'19.07'!$AO$4:$AQ$55,3,FALSE))</f>
        <v>0</v>
      </c>
      <c r="B19" s="4">
        <f>(VLOOKUP('19.07'!J19,'19.07'!$AO$4:$AQ$55,3,FALSE))</f>
        <v>0</v>
      </c>
      <c r="C19" s="4">
        <f>(VLOOKUP('19.07'!K19,'19.07'!$AO$4:$AQ$55,3,FALSE))</f>
        <v>0</v>
      </c>
      <c r="D19" s="4">
        <f>(VLOOKUP('19.07'!L19,'19.07'!$AO$4:$AQ$55,3,FALSE))</f>
        <v>0</v>
      </c>
      <c r="E19" s="4">
        <f>(VLOOKUP('19.07'!M19,'19.07'!$AO$4:$AQ$55,3,FALSE))</f>
        <v>0</v>
      </c>
      <c r="F19" s="4">
        <f>(VLOOKUP('19.07'!N19,'19.07'!$AO$4:$AQ$55,3,FALSE))</f>
        <v>0</v>
      </c>
      <c r="G19" s="13">
        <f>(VLOOKUP('19.07'!O19,'19.07'!$AO$4:$AQ$55,3,FALSE))</f>
        <v>0</v>
      </c>
      <c r="H19" s="13">
        <f>(VLOOKUP('19.07'!P19,'19.07'!$AO$4:$AQ$55,3,FALSE))</f>
        <v>0</v>
      </c>
      <c r="I19" s="4">
        <f>(VLOOKUP('19.07'!Q19,'19.07'!$AO$4:$AQ$55,3,FALSE))</f>
        <v>55</v>
      </c>
      <c r="J19" s="4">
        <f>(VLOOKUP('19.07'!R19,'19.07'!$AO$4:$AQ$55,3,FALSE))</f>
        <v>55</v>
      </c>
      <c r="K19" s="4">
        <f>(VLOOKUP('19.07'!S19,'19.07'!$AO$4:$AQ$55,3,FALSE))</f>
        <v>0</v>
      </c>
      <c r="L19" s="4">
        <f>(VLOOKUP('19.07'!T19,'19.07'!$AO$4:$AQ$55,3,FALSE))</f>
        <v>55</v>
      </c>
      <c r="M19" s="4">
        <f>(VLOOKUP('19.07'!U19,'19.07'!$AO$4:$AQ$55,3,FALSE))</f>
        <v>55</v>
      </c>
      <c r="N19" s="4">
        <f>(VLOOKUP('19.07'!V19,'19.07'!$AO$4:$AQ$55,3,FALSE))</f>
        <v>55</v>
      </c>
      <c r="O19" s="13">
        <f>(VLOOKUP('19.07'!W19,'19.07'!$AO$4:$AQ$55,3,FALSE))</f>
        <v>55</v>
      </c>
      <c r="P19" s="13">
        <f>(VLOOKUP('19.07'!X19,'19.07'!$AO$4:$AQ$55,3,FALSE))</f>
        <v>0</v>
      </c>
      <c r="Q19" s="4">
        <f>(VLOOKUP('19.07'!Y19,'19.07'!$AO$4:$AQ$55,3,FALSE))</f>
        <v>50</v>
      </c>
      <c r="R19" s="4">
        <f>(VLOOKUP('19.07'!Z19,'19.07'!$AO$4:$AQ$55,3,FALSE))</f>
        <v>30</v>
      </c>
      <c r="S19" s="4">
        <f>(VLOOKUP('19.07'!AA19,'19.07'!$AO$4:$AQ$55,3,FALSE))</f>
        <v>55</v>
      </c>
      <c r="T19" s="4">
        <f>(VLOOKUP('19.07'!AB19,'19.07'!$AO$4:$AQ$55,3,FALSE))</f>
        <v>55</v>
      </c>
      <c r="U19" s="4">
        <f>(VLOOKUP('19.07'!AC19,'19.07'!$AO$4:$AQ$55,3,FALSE))</f>
        <v>55</v>
      </c>
      <c r="V19" s="4">
        <f>(VLOOKUP('19.07'!AD19,'19.07'!$AO$4:$AQ$55,3,FALSE))</f>
        <v>55</v>
      </c>
      <c r="W19" s="13">
        <f>(VLOOKUP('19.07'!AE19,'19.07'!$AO$4:$AQ$55,3,FALSE))</f>
        <v>55</v>
      </c>
      <c r="X19" s="13">
        <f>(VLOOKUP('19.07'!AF19,'19.07'!$AO$4:$AQ$55,3,FALSE))</f>
        <v>55</v>
      </c>
    </row>
    <row r="20" spans="1:24">
      <c r="A20" s="4">
        <f>(VLOOKUP('19.07'!I20,'19.07'!$AO$4:$AQ$55,3,FALSE))</f>
        <v>35</v>
      </c>
      <c r="B20" s="4">
        <f>(VLOOKUP('19.07'!J20,'19.07'!$AO$4:$AQ$55,3,FALSE))</f>
        <v>30</v>
      </c>
      <c r="C20" s="4">
        <f>(VLOOKUP('19.07'!K20,'19.07'!$AO$4:$AQ$55,3,FALSE))</f>
        <v>35</v>
      </c>
      <c r="D20" s="4">
        <f>(VLOOKUP('19.07'!L20,'19.07'!$AO$4:$AQ$55,3,FALSE))</f>
        <v>35</v>
      </c>
      <c r="E20" s="4">
        <f>(VLOOKUP('19.07'!M20,'19.07'!$AO$4:$AQ$55,3,FALSE))</f>
        <v>35</v>
      </c>
      <c r="F20" s="4">
        <f>(VLOOKUP('19.07'!N20,'19.07'!$AO$4:$AQ$55,3,FALSE))</f>
        <v>35</v>
      </c>
      <c r="G20" s="13">
        <f>(VLOOKUP('19.07'!O20,'19.07'!$AO$4:$AQ$55,3,FALSE))</f>
        <v>0</v>
      </c>
      <c r="H20" s="13">
        <f>(VLOOKUP('19.07'!P20,'19.07'!$AO$4:$AQ$55,3,FALSE))</f>
        <v>0</v>
      </c>
      <c r="I20" s="4">
        <f>(VLOOKUP('19.07'!Q20,'19.07'!$AO$4:$AQ$55,3,FALSE))</f>
        <v>55</v>
      </c>
      <c r="J20" s="4">
        <f>(VLOOKUP('19.07'!R20,'19.07'!$AO$4:$AQ$55,3,FALSE))</f>
        <v>55</v>
      </c>
      <c r="K20" s="4">
        <f>(VLOOKUP('19.07'!S20,'19.07'!$AO$4:$AQ$55,3,FALSE))</f>
        <v>55</v>
      </c>
      <c r="L20" s="4">
        <f>(VLOOKUP('19.07'!T20,'19.07'!$AO$4:$AQ$55,3,FALSE))</f>
        <v>60</v>
      </c>
      <c r="M20" s="4">
        <f>(VLOOKUP('19.07'!U20,'19.07'!$AO$4:$AQ$55,3,FALSE))</f>
        <v>60</v>
      </c>
      <c r="N20" s="4">
        <f>(VLOOKUP('19.07'!V20,'19.07'!$AO$4:$AQ$55,3,FALSE))</f>
        <v>60</v>
      </c>
      <c r="O20" s="13">
        <f>(VLOOKUP('19.07'!W20,'19.07'!$AO$4:$AQ$55,3,FALSE))</f>
        <v>60</v>
      </c>
      <c r="P20" s="13">
        <f>(VLOOKUP('19.07'!X20,'19.07'!$AO$4:$AQ$55,3,FALSE))</f>
        <v>0</v>
      </c>
      <c r="Q20" s="4">
        <f>(VLOOKUP('19.07'!Y20,'19.07'!$AO$4:$AQ$55,3,FALSE))</f>
        <v>55</v>
      </c>
      <c r="R20" s="4">
        <f>(VLOOKUP('19.07'!Z20,'19.07'!$AO$4:$AQ$55,3,FALSE))</f>
        <v>55</v>
      </c>
      <c r="S20" s="4">
        <f>(VLOOKUP('19.07'!AA20,'19.07'!$AO$4:$AQ$55,3,FALSE))</f>
        <v>50</v>
      </c>
      <c r="T20" s="4">
        <f>(VLOOKUP('19.07'!AB20,'19.07'!$AO$4:$AQ$55,3,FALSE))</f>
        <v>50</v>
      </c>
      <c r="U20" s="4">
        <f>(VLOOKUP('19.07'!AC20,'19.07'!$AO$4:$AQ$55,3,FALSE))</f>
        <v>30</v>
      </c>
      <c r="V20" s="4">
        <f>(VLOOKUP('19.07'!AD20,'19.07'!$AO$4:$AQ$55,3,FALSE))</f>
        <v>55</v>
      </c>
      <c r="W20" s="13">
        <f>(VLOOKUP('19.07'!AE20,'19.07'!$AO$4:$AQ$55,3,FALSE))</f>
        <v>55</v>
      </c>
      <c r="X20" s="13">
        <f>(VLOOKUP('19.07'!AF20,'19.07'!$AO$4:$AQ$55,3,FALSE))</f>
        <v>55</v>
      </c>
    </row>
    <row r="21" spans="1:24">
      <c r="A21" s="4">
        <f>(VLOOKUP('19.07'!I21,'19.07'!$AO$4:$AQ$55,3,FALSE))</f>
        <v>30</v>
      </c>
      <c r="B21" s="4">
        <f>(VLOOKUP('19.07'!J21,'19.07'!$AO$4:$AQ$55,3,FALSE))</f>
        <v>35</v>
      </c>
      <c r="C21" s="4">
        <f>(VLOOKUP('19.07'!K21,'19.07'!$AO$4:$AQ$55,3,FALSE))</f>
        <v>35</v>
      </c>
      <c r="D21" s="4">
        <f>(VLOOKUP('19.07'!L21,'19.07'!$AO$4:$AQ$55,3,FALSE))</f>
        <v>30</v>
      </c>
      <c r="E21" s="4">
        <f>(VLOOKUP('19.07'!M21,'19.07'!$AO$4:$AQ$55,3,FALSE))</f>
        <v>35</v>
      </c>
      <c r="F21" s="4">
        <f>(VLOOKUP('19.07'!N21,'19.07'!$AO$4:$AQ$55,3,FALSE))</f>
        <v>0</v>
      </c>
      <c r="G21" s="13">
        <f>(VLOOKUP('19.07'!O21,'19.07'!$AO$4:$AQ$55,3,FALSE))</f>
        <v>0</v>
      </c>
      <c r="H21" s="13">
        <f>(VLOOKUP('19.07'!P21,'19.07'!$AO$4:$AQ$55,3,FALSE))</f>
        <v>0</v>
      </c>
      <c r="I21" s="4">
        <f>(VLOOKUP('19.07'!Q21,'19.07'!$AO$4:$AQ$55,3,FALSE))</f>
        <v>0</v>
      </c>
      <c r="J21" s="4">
        <f>(VLOOKUP('19.07'!R21,'19.07'!$AO$4:$AQ$55,3,FALSE))</f>
        <v>60</v>
      </c>
      <c r="K21" s="4">
        <f>(VLOOKUP('19.07'!S21,'19.07'!$AO$4:$AQ$55,3,FALSE))</f>
        <v>60</v>
      </c>
      <c r="L21" s="4">
        <f>(VLOOKUP('19.07'!T21,'19.07'!$AO$4:$AQ$55,3,FALSE))</f>
        <v>60</v>
      </c>
      <c r="M21" s="4">
        <f>(VLOOKUP('19.07'!U21,'19.07'!$AO$4:$AQ$55,3,FALSE))</f>
        <v>60</v>
      </c>
      <c r="N21" s="4">
        <f>(VLOOKUP('19.07'!V21,'19.07'!$AO$4:$AQ$55,3,FALSE))</f>
        <v>60</v>
      </c>
      <c r="O21" s="13">
        <f>(VLOOKUP('19.07'!W21,'19.07'!$AO$4:$AQ$55,3,FALSE))</f>
        <v>1000</v>
      </c>
      <c r="P21" s="13">
        <f>(VLOOKUP('19.07'!X21,'19.07'!$AO$4:$AQ$55,3,FALSE))</f>
        <v>0</v>
      </c>
      <c r="Q21" s="4">
        <f>(VLOOKUP('19.07'!Y21,'19.07'!$AO$4:$AQ$55,3,FALSE))</f>
        <v>30</v>
      </c>
      <c r="R21" s="4">
        <f>(VLOOKUP('19.07'!Z21,'19.07'!$AO$4:$AQ$55,3,FALSE))</f>
        <v>55</v>
      </c>
      <c r="S21" s="4">
        <f>(VLOOKUP('19.07'!AA21,'19.07'!$AO$4:$AQ$55,3,FALSE))</f>
        <v>55</v>
      </c>
      <c r="T21" s="4">
        <f>(VLOOKUP('19.07'!AB21,'19.07'!$AO$4:$AQ$55,3,FALSE))</f>
        <v>55</v>
      </c>
      <c r="U21" s="4">
        <f>(VLOOKUP('19.07'!AC21,'19.07'!$AO$4:$AQ$55,3,FALSE))</f>
        <v>50</v>
      </c>
      <c r="V21" s="4">
        <f>(VLOOKUP('19.07'!AD21,'19.07'!$AO$4:$AQ$55,3,FALSE))</f>
        <v>50</v>
      </c>
      <c r="W21" s="13">
        <f>(VLOOKUP('19.07'!AE21,'19.07'!$AO$4:$AQ$55,3,FALSE))</f>
        <v>50</v>
      </c>
      <c r="X21" s="13">
        <f>(VLOOKUP('19.07'!AF21,'19.07'!$AO$4:$AQ$55,3,FALSE))</f>
        <v>0</v>
      </c>
    </row>
    <row r="22" spans="1:24">
      <c r="A22" s="4">
        <f>(VLOOKUP('19.07'!I22,'19.07'!$AO$4:$AQ$55,3,FALSE))</f>
        <v>0</v>
      </c>
      <c r="B22" s="4">
        <f>(VLOOKUP('19.07'!J22,'19.07'!$AO$4:$AQ$55,3,FALSE))</f>
        <v>0</v>
      </c>
      <c r="C22" s="4">
        <f>(VLOOKUP('19.07'!K22,'19.07'!$AO$4:$AQ$55,3,FALSE))</f>
        <v>0</v>
      </c>
      <c r="D22" s="4">
        <f>(VLOOKUP('19.07'!L22,'19.07'!$AO$4:$AQ$55,3,FALSE))</f>
        <v>0</v>
      </c>
      <c r="E22" s="4">
        <f>(VLOOKUP('19.07'!M22,'19.07'!$AO$4:$AQ$55,3,FALSE))</f>
        <v>0</v>
      </c>
      <c r="F22" s="4">
        <f>(VLOOKUP('19.07'!N22,'19.07'!$AO$4:$AQ$55,3,FALSE))</f>
        <v>0</v>
      </c>
      <c r="G22" s="13">
        <f>(VLOOKUP('19.07'!O22,'19.07'!$AO$4:$AQ$55,3,FALSE))</f>
        <v>0</v>
      </c>
      <c r="H22" s="13">
        <f>(VLOOKUP('19.07'!P22,'19.07'!$AO$4:$AQ$55,3,FALSE))</f>
        <v>0</v>
      </c>
      <c r="I22" s="4">
        <f>(VLOOKUP('19.07'!Q22,'19.07'!$AO$4:$AQ$55,3,FALSE))</f>
        <v>60</v>
      </c>
      <c r="J22" s="4">
        <f>(VLOOKUP('19.07'!R22,'19.07'!$AO$4:$AQ$55,3,FALSE))</f>
        <v>60</v>
      </c>
      <c r="K22" s="4">
        <f>(VLOOKUP('19.07'!S22,'19.07'!$AO$4:$AQ$55,3,FALSE))</f>
        <v>60</v>
      </c>
      <c r="L22" s="4">
        <f>(VLOOKUP('19.07'!T22,'19.07'!$AO$4:$AQ$55,3,FALSE))</f>
        <v>60</v>
      </c>
      <c r="M22" s="4">
        <f>(VLOOKUP('19.07'!U22,'19.07'!$AO$4:$AQ$55,3,FALSE))</f>
        <v>60</v>
      </c>
      <c r="N22" s="4">
        <f>(VLOOKUP('19.07'!V22,'19.07'!$AO$4:$AQ$55,3,FALSE))</f>
        <v>60</v>
      </c>
      <c r="O22" s="13">
        <f>(VLOOKUP('19.07'!W22,'19.07'!$AO$4:$AQ$55,3,FALSE))</f>
        <v>0</v>
      </c>
      <c r="P22" s="13">
        <f>(VLOOKUP('19.07'!X22,'19.07'!$AO$4:$AQ$55,3,FALSE))</f>
        <v>0</v>
      </c>
      <c r="Q22" s="4">
        <f>(VLOOKUP('19.07'!Y22,'19.07'!$AO$4:$AQ$55,3,FALSE))</f>
        <v>500</v>
      </c>
      <c r="R22" s="4">
        <f>(VLOOKUP('19.07'!Z22,'19.07'!$AO$4:$AQ$55,3,FALSE))</f>
        <v>30</v>
      </c>
      <c r="S22" s="4">
        <f>(VLOOKUP('19.07'!AA22,'19.07'!$AO$4:$AQ$55,3,FALSE))</f>
        <v>50</v>
      </c>
      <c r="T22" s="4">
        <f>(VLOOKUP('19.07'!AB22,'19.07'!$AO$4:$AQ$55,3,FALSE))</f>
        <v>50</v>
      </c>
      <c r="U22" s="4">
        <f>(VLOOKUP('19.07'!AC22,'19.07'!$AO$4:$AQ$55,3,FALSE))</f>
        <v>55</v>
      </c>
      <c r="V22" s="4">
        <f>(VLOOKUP('19.07'!AD22,'19.07'!$AO$4:$AQ$55,3,FALSE))</f>
        <v>55</v>
      </c>
      <c r="W22" s="13">
        <f>(VLOOKUP('19.07'!AE22,'19.07'!$AO$4:$AQ$55,3,FALSE))</f>
        <v>0</v>
      </c>
      <c r="X22" s="13">
        <f>(VLOOKUP('19.07'!AF22,'19.07'!$AO$4:$AQ$55,3,FALSE))</f>
        <v>0</v>
      </c>
    </row>
    <row r="23" spans="1:24">
      <c r="A23" s="4">
        <f>(VLOOKUP('19.07'!I23,'19.07'!$AO$4:$AQ$55,3,FALSE))</f>
        <v>0</v>
      </c>
      <c r="B23" s="4">
        <f>(VLOOKUP('19.07'!J23,'19.07'!$AO$4:$AQ$55,3,FALSE))</f>
        <v>0</v>
      </c>
      <c r="C23" s="4">
        <f>(VLOOKUP('19.07'!K23,'19.07'!$AO$4:$AQ$55,3,FALSE))</f>
        <v>0</v>
      </c>
      <c r="D23" s="4">
        <f>(VLOOKUP('19.07'!L23,'19.07'!$AO$4:$AQ$55,3,FALSE))</f>
        <v>0</v>
      </c>
      <c r="E23" s="4">
        <f>(VLOOKUP('19.07'!M23,'19.07'!$AO$4:$AQ$55,3,FALSE))</f>
        <v>0</v>
      </c>
      <c r="F23" s="4">
        <f>(VLOOKUP('19.07'!N23,'19.07'!$AO$4:$AQ$55,3,FALSE))</f>
        <v>0</v>
      </c>
      <c r="G23" s="13">
        <f>(VLOOKUP('19.07'!O23,'19.07'!$AO$4:$AQ$55,3,FALSE))</f>
        <v>0</v>
      </c>
      <c r="H23" s="13">
        <f>(VLOOKUP('19.07'!P23,'19.07'!$AO$4:$AQ$55,3,FALSE))</f>
        <v>0</v>
      </c>
      <c r="I23" s="4">
        <f>(VLOOKUP('19.07'!Q23,'19.07'!$AO$4:$AQ$55,3,FALSE))</f>
        <v>60</v>
      </c>
      <c r="J23" s="4">
        <f>(VLOOKUP('19.07'!R23,'19.07'!$AO$4:$AQ$55,3,FALSE))</f>
        <v>60</v>
      </c>
      <c r="K23" s="4">
        <f>(VLOOKUP('19.07'!S23,'19.07'!$AO$4:$AQ$55,3,FALSE))</f>
        <v>0</v>
      </c>
      <c r="L23" s="4">
        <f>(VLOOKUP('19.07'!T23,'19.07'!$AO$4:$AQ$55,3,FALSE))</f>
        <v>0</v>
      </c>
      <c r="M23" s="4">
        <f>(VLOOKUP('19.07'!U23,'19.07'!$AO$4:$AQ$55,3,FALSE))</f>
        <v>0</v>
      </c>
      <c r="N23" s="4">
        <f>(VLOOKUP('19.07'!V23,'19.07'!$AO$4:$AQ$55,3,FALSE))</f>
        <v>0</v>
      </c>
      <c r="O23" s="13">
        <f>(VLOOKUP('19.07'!W23,'19.07'!$AO$4:$AQ$55,3,FALSE))</f>
        <v>0</v>
      </c>
      <c r="P23" s="13">
        <f>(VLOOKUP('19.07'!X23,'19.07'!$AO$4:$AQ$55,3,FALSE))</f>
        <v>0</v>
      </c>
      <c r="Q23" s="4">
        <f>(VLOOKUP('19.07'!Y23,'19.07'!$AO$4:$AQ$55,3,FALSE))</f>
        <v>45</v>
      </c>
      <c r="R23" s="4">
        <f>(VLOOKUP('19.07'!Z23,'19.07'!$AO$4:$AQ$55,3,FALSE))</f>
        <v>40</v>
      </c>
      <c r="S23" s="4">
        <f>(VLOOKUP('19.07'!AA23,'19.07'!$AO$4:$AQ$55,3,FALSE))</f>
        <v>40</v>
      </c>
      <c r="T23" s="4">
        <f>(VLOOKUP('19.07'!AB23,'19.07'!$AO$4:$AQ$55,3,FALSE))</f>
        <v>40</v>
      </c>
      <c r="U23" s="4">
        <f>(VLOOKUP('19.07'!AC23,'19.07'!$AO$4:$AQ$55,3,FALSE))</f>
        <v>40</v>
      </c>
      <c r="V23" s="4">
        <f>(VLOOKUP('19.07'!AD23,'19.07'!$AO$4:$AQ$55,3,FALSE))</f>
        <v>0</v>
      </c>
      <c r="W23" s="13">
        <f>(VLOOKUP('19.07'!AE23,'19.07'!$AO$4:$AQ$55,3,FALSE))</f>
        <v>0</v>
      </c>
      <c r="X23" s="13">
        <f>(VLOOKUP('19.07'!AF23,'19.07'!$AO$4:$AQ$55,3,FALSE))</f>
        <v>0</v>
      </c>
    </row>
    <row r="24" spans="1:24">
      <c r="A24" s="4">
        <f>(VLOOKUP('19.07'!I24,'19.07'!$AO$4:$AQ$55,3,FALSE))</f>
        <v>40</v>
      </c>
      <c r="B24" s="4">
        <f>(VLOOKUP('19.07'!J24,'19.07'!$AO$4:$AQ$55,3,FALSE))</f>
        <v>40</v>
      </c>
      <c r="C24" s="4">
        <f>(VLOOKUP('19.07'!K24,'19.07'!$AO$4:$AQ$55,3,FALSE))</f>
        <v>30</v>
      </c>
      <c r="D24" s="4">
        <f>(VLOOKUP('19.07'!L24,'19.07'!$AO$4:$AQ$55,3,FALSE))</f>
        <v>40</v>
      </c>
      <c r="E24" s="4">
        <f>(VLOOKUP('19.07'!M24,'19.07'!$AO$4:$AQ$55,3,FALSE))</f>
        <v>40</v>
      </c>
      <c r="F24" s="4">
        <f>(VLOOKUP('19.07'!N24,'19.07'!$AO$4:$AQ$55,3,FALSE))</f>
        <v>40</v>
      </c>
      <c r="G24" s="13">
        <f>(VLOOKUP('19.07'!O24,'19.07'!$AO$4:$AQ$55,3,FALSE))</f>
        <v>0</v>
      </c>
      <c r="H24" s="13">
        <f>(VLOOKUP('19.07'!P24,'19.07'!$AO$4:$AQ$55,3,FALSE))</f>
        <v>0</v>
      </c>
      <c r="I24" s="4">
        <f>(VLOOKUP('19.07'!Q24,'19.07'!$AO$4:$AQ$55,3,FALSE))</f>
        <v>60</v>
      </c>
      <c r="J24" s="4">
        <f>(VLOOKUP('19.07'!R24,'19.07'!$AO$4:$AQ$55,3,FALSE))</f>
        <v>60</v>
      </c>
      <c r="K24" s="4">
        <f>(VLOOKUP('19.07'!S24,'19.07'!$AO$4:$AQ$55,3,FALSE))</f>
        <v>60</v>
      </c>
      <c r="L24" s="4">
        <f>(VLOOKUP('19.07'!T24,'19.07'!$AO$4:$AQ$55,3,FALSE))</f>
        <v>60</v>
      </c>
      <c r="M24" s="4">
        <f>(VLOOKUP('19.07'!U24,'19.07'!$AO$4:$AQ$55,3,FALSE))</f>
        <v>60</v>
      </c>
      <c r="N24" s="4">
        <f>(VLOOKUP('19.07'!V24,'19.07'!$AO$4:$AQ$55,3,FALSE))</f>
        <v>60</v>
      </c>
      <c r="O24" s="13">
        <f>(VLOOKUP('19.07'!W24,'19.07'!$AO$4:$AQ$55,3,FALSE))</f>
        <v>0</v>
      </c>
      <c r="P24" s="13">
        <f>(VLOOKUP('19.07'!X24,'19.07'!$AO$4:$AQ$55,3,FALSE))</f>
        <v>0</v>
      </c>
      <c r="Q24" s="4">
        <f>(VLOOKUP('19.07'!Y24,'19.07'!$AO$4:$AQ$55,3,FALSE))</f>
        <v>30</v>
      </c>
      <c r="R24" s="4">
        <f>(VLOOKUP('19.07'!Z24,'19.07'!$AO$4:$AQ$55,3,FALSE))</f>
        <v>45</v>
      </c>
      <c r="S24" s="4">
        <f>(VLOOKUP('19.07'!AA24,'19.07'!$AO$4:$AQ$55,3,FALSE))</f>
        <v>30</v>
      </c>
      <c r="T24" s="4">
        <f>(VLOOKUP('19.07'!AB24,'19.07'!$AO$4:$AQ$55,3,FALSE))</f>
        <v>45</v>
      </c>
      <c r="U24" s="4">
        <f>(VLOOKUP('19.07'!AC24,'19.07'!$AO$4:$AQ$55,3,FALSE))</f>
        <v>45</v>
      </c>
      <c r="V24" s="4">
        <f>(VLOOKUP('19.07'!AD24,'19.07'!$AO$4:$AQ$55,3,FALSE))</f>
        <v>45</v>
      </c>
      <c r="W24" s="13">
        <f>(VLOOKUP('19.07'!AE24,'19.07'!$AO$4:$AQ$55,3,FALSE))</f>
        <v>40</v>
      </c>
      <c r="X24" s="13">
        <f>(VLOOKUP('19.07'!AF24,'19.07'!$AO$4:$AQ$55,3,FALSE))</f>
        <v>0</v>
      </c>
    </row>
    <row r="25" spans="1:24">
      <c r="A25" s="4">
        <f>(VLOOKUP('19.07'!I25,'19.07'!$AO$4:$AQ$55,3,FALSE))</f>
        <v>40</v>
      </c>
      <c r="B25" s="4">
        <f>(VLOOKUP('19.07'!J25,'19.07'!$AO$4:$AQ$55,3,FALSE))</f>
        <v>30</v>
      </c>
      <c r="C25" s="4">
        <f>(VLOOKUP('19.07'!K25,'19.07'!$AO$4:$AQ$55,3,FALSE))</f>
        <v>40</v>
      </c>
      <c r="D25" s="4">
        <f>(VLOOKUP('19.07'!L25,'19.07'!$AO$4:$AQ$55,3,FALSE))</f>
        <v>40</v>
      </c>
      <c r="E25" s="4">
        <f>(VLOOKUP('19.07'!M25,'19.07'!$AO$4:$AQ$55,3,FALSE))</f>
        <v>40</v>
      </c>
      <c r="F25" s="4">
        <f>(VLOOKUP('19.07'!N25,'19.07'!$AO$4:$AQ$55,3,FALSE))</f>
        <v>40</v>
      </c>
      <c r="G25" s="13">
        <f>(VLOOKUP('19.07'!O25,'19.07'!$AO$4:$AQ$55,3,FALSE))</f>
        <v>0</v>
      </c>
      <c r="H25" s="13">
        <f>(VLOOKUP('19.07'!P25,'19.07'!$AO$4:$AQ$55,3,FALSE))</f>
        <v>0</v>
      </c>
      <c r="I25" s="4">
        <f>(VLOOKUP('19.07'!Q25,'19.07'!$AO$4:$AQ$55,3,FALSE))</f>
        <v>60</v>
      </c>
      <c r="J25" s="4">
        <f>(VLOOKUP('19.07'!R25,'19.07'!$AO$4:$AQ$55,3,FALSE))</f>
        <v>0</v>
      </c>
      <c r="K25" s="4">
        <f>(VLOOKUP('19.07'!S25,'19.07'!$AO$4:$AQ$55,3,FALSE))</f>
        <v>0</v>
      </c>
      <c r="L25" s="4">
        <f>(VLOOKUP('19.07'!T25,'19.07'!$AO$4:$AQ$55,3,FALSE))</f>
        <v>0</v>
      </c>
      <c r="M25" s="4">
        <f>(VLOOKUP('19.07'!U25,'19.07'!$AO$4:$AQ$55,3,FALSE))</f>
        <v>0</v>
      </c>
      <c r="N25" s="4">
        <f>(VLOOKUP('19.07'!V25,'19.07'!$AO$4:$AQ$55,3,FALSE))</f>
        <v>0</v>
      </c>
      <c r="O25" s="13">
        <f>(VLOOKUP('19.07'!W25,'19.07'!$AO$4:$AQ$55,3,FALSE))</f>
        <v>0</v>
      </c>
      <c r="P25" s="13">
        <f>(VLOOKUP('19.07'!X25,'19.07'!$AO$4:$AQ$55,3,FALSE))</f>
        <v>0</v>
      </c>
      <c r="Q25" s="4">
        <f>(VLOOKUP('19.07'!Y25,'19.07'!$AO$4:$AQ$55,3,FALSE))</f>
        <v>40</v>
      </c>
      <c r="R25" s="4">
        <f>(VLOOKUP('19.07'!Z25,'19.07'!$AO$4:$AQ$55,3,FALSE))</f>
        <v>40</v>
      </c>
      <c r="S25" s="4">
        <f>(VLOOKUP('19.07'!AA25,'19.07'!$AO$4:$AQ$55,3,FALSE))</f>
        <v>40</v>
      </c>
      <c r="T25" s="4">
        <f>(VLOOKUP('19.07'!AB25,'19.07'!$AO$4:$AQ$55,3,FALSE))</f>
        <v>40</v>
      </c>
      <c r="U25" s="4">
        <f>(VLOOKUP('19.07'!AC25,'19.07'!$AO$4:$AQ$55,3,FALSE))</f>
        <v>40</v>
      </c>
      <c r="V25" s="4">
        <f>(VLOOKUP('19.07'!AD25,'19.07'!$AO$4:$AQ$55,3,FALSE))</f>
        <v>40</v>
      </c>
      <c r="W25" s="13">
        <f>(VLOOKUP('19.07'!AE25,'19.07'!$AO$4:$AQ$55,3,FALSE))</f>
        <v>30</v>
      </c>
      <c r="X25" s="13">
        <f>(VLOOKUP('19.07'!AF25,'19.07'!$AO$4:$AQ$55,3,FALSE))</f>
        <v>0</v>
      </c>
    </row>
    <row r="26" spans="1:24">
      <c r="A26" s="4">
        <f>(VLOOKUP('19.07'!I26,'19.07'!$AO$4:$AQ$55,3,FALSE))</f>
        <v>30</v>
      </c>
      <c r="B26" s="4">
        <f>(VLOOKUP('19.07'!J26,'19.07'!$AO$4:$AQ$55,3,FALSE))</f>
        <v>40</v>
      </c>
      <c r="C26" s="4">
        <f>(VLOOKUP('19.07'!K26,'19.07'!$AO$4:$AQ$55,3,FALSE))</f>
        <v>40</v>
      </c>
      <c r="D26" s="4">
        <f>(VLOOKUP('19.07'!L26,'19.07'!$AO$4:$AQ$55,3,FALSE))</f>
        <v>40</v>
      </c>
      <c r="E26" s="4">
        <f>(VLOOKUP('19.07'!M26,'19.07'!$AO$4:$AQ$55,3,FALSE))</f>
        <v>30</v>
      </c>
      <c r="F26" s="4">
        <f>(VLOOKUP('19.07'!N26,'19.07'!$AO$4:$AQ$55,3,FALSE))</f>
        <v>40</v>
      </c>
      <c r="G26" s="13">
        <f>(VLOOKUP('19.07'!O26,'19.07'!$AO$4:$AQ$55,3,FALSE))</f>
        <v>0</v>
      </c>
      <c r="H26" s="13">
        <f>(VLOOKUP('19.07'!P26,'19.07'!$AO$4:$AQ$55,3,FALSE))</f>
        <v>0</v>
      </c>
      <c r="I26" s="4">
        <f>(VLOOKUP('19.07'!Q26,'19.07'!$AO$4:$AQ$55,3,FALSE))</f>
        <v>60</v>
      </c>
      <c r="J26" s="4">
        <f>(VLOOKUP('19.07'!R26,'19.07'!$AO$4:$AQ$55,3,FALSE))</f>
        <v>60</v>
      </c>
      <c r="K26" s="4">
        <f>(VLOOKUP('19.07'!S26,'19.07'!$AO$4:$AQ$55,3,FALSE))</f>
        <v>60</v>
      </c>
      <c r="L26" s="4">
        <f>(VLOOKUP('19.07'!T26,'19.07'!$AO$4:$AQ$55,3,FALSE))</f>
        <v>60</v>
      </c>
      <c r="M26" s="4">
        <f>(VLOOKUP('19.07'!U26,'19.07'!$AO$4:$AQ$55,3,FALSE))</f>
        <v>60</v>
      </c>
      <c r="N26" s="4">
        <f>(VLOOKUP('19.07'!V26,'19.07'!$AO$4:$AQ$55,3,FALSE))</f>
        <v>60</v>
      </c>
      <c r="O26" s="13">
        <f>(VLOOKUP('19.07'!W26,'19.07'!$AO$4:$AQ$55,3,FALSE))</f>
        <v>0</v>
      </c>
      <c r="P26" s="13">
        <f>(VLOOKUP('19.07'!X26,'19.07'!$AO$4:$AQ$55,3,FALSE))</f>
        <v>0</v>
      </c>
      <c r="Q26" s="4">
        <f>(VLOOKUP('19.07'!Y26,'19.07'!$AO$4:$AQ$55,3,FALSE))</f>
        <v>40</v>
      </c>
      <c r="R26" s="4">
        <f>(VLOOKUP('19.07'!Z26,'19.07'!$AO$4:$AQ$55,3,FALSE))</f>
        <v>40</v>
      </c>
      <c r="S26" s="4">
        <f>(VLOOKUP('19.07'!AA26,'19.07'!$AO$4:$AQ$55,3,FALSE))</f>
        <v>50</v>
      </c>
      <c r="T26" s="4">
        <f>(VLOOKUP('19.07'!AB26,'19.07'!$AO$4:$AQ$55,3,FALSE))</f>
        <v>50</v>
      </c>
      <c r="U26" s="4">
        <f>(VLOOKUP('19.07'!AC26,'19.07'!$AO$4:$AQ$55,3,FALSE))</f>
        <v>50</v>
      </c>
      <c r="V26" s="4">
        <f>(VLOOKUP('19.07'!AD26,'19.07'!$AO$4:$AQ$55,3,FALSE))</f>
        <v>50</v>
      </c>
      <c r="W26" s="13">
        <f>(VLOOKUP('19.07'!AE26,'19.07'!$AO$4:$AQ$55,3,FALSE))</f>
        <v>0</v>
      </c>
      <c r="X26" s="13">
        <f>(VLOOKUP('19.07'!AF26,'19.07'!$AO$4:$AQ$55,3,FALSE))</f>
        <v>0</v>
      </c>
    </row>
    <row r="27" spans="1:24">
      <c r="A27" s="4">
        <f>(VLOOKUP('19.07'!I27,'19.07'!$AO$4:$AQ$55,3,FALSE))</f>
        <v>40</v>
      </c>
      <c r="B27" s="4">
        <f>(VLOOKUP('19.07'!J27,'19.07'!$AO$4:$AQ$55,3,FALSE))</f>
        <v>40</v>
      </c>
      <c r="C27" s="4">
        <f>(VLOOKUP('19.07'!K27,'19.07'!$AO$4:$AQ$55,3,FALSE))</f>
        <v>40</v>
      </c>
      <c r="D27" s="4">
        <f>(VLOOKUP('19.07'!L27,'19.07'!$AO$4:$AQ$55,3,FALSE))</f>
        <v>40</v>
      </c>
      <c r="E27" s="4">
        <f>(VLOOKUP('19.07'!M27,'19.07'!$AO$4:$AQ$55,3,FALSE))</f>
        <v>30</v>
      </c>
      <c r="F27" s="4">
        <f>(VLOOKUP('19.07'!N27,'19.07'!$AO$4:$AQ$55,3,FALSE))</f>
        <v>0</v>
      </c>
      <c r="G27" s="13">
        <f>(VLOOKUP('19.07'!O27,'19.07'!$AO$4:$AQ$55,3,FALSE))</f>
        <v>0</v>
      </c>
      <c r="H27" s="13">
        <f>(VLOOKUP('19.07'!P27,'19.07'!$AO$4:$AQ$55,3,FALSE))</f>
        <v>0</v>
      </c>
      <c r="I27" s="4">
        <f>(VLOOKUP('19.07'!Q27,'19.07'!$AO$4:$AQ$55,3,FALSE))</f>
        <v>60</v>
      </c>
      <c r="J27" s="4">
        <f>(VLOOKUP('19.07'!R27,'19.07'!$AO$4:$AQ$55,3,FALSE))</f>
        <v>60</v>
      </c>
      <c r="K27" s="4">
        <f>(VLOOKUP('19.07'!S27,'19.07'!$AO$4:$AQ$55,3,FALSE))</f>
        <v>60</v>
      </c>
      <c r="L27" s="4">
        <f>(VLOOKUP('19.07'!T27,'19.07'!$AO$4:$AQ$55,3,FALSE))</f>
        <v>60</v>
      </c>
      <c r="M27" s="4">
        <f>(VLOOKUP('19.07'!U27,'19.07'!$AO$4:$AQ$55,3,FALSE))</f>
        <v>60</v>
      </c>
      <c r="N27" s="4">
        <f>(VLOOKUP('19.07'!V27,'19.07'!$AO$4:$AQ$55,3,FALSE))</f>
        <v>60</v>
      </c>
      <c r="O27" s="13">
        <f>(VLOOKUP('19.07'!W27,'19.07'!$AO$4:$AQ$55,3,FALSE))</f>
        <v>0</v>
      </c>
      <c r="P27" s="13">
        <f>(VLOOKUP('19.07'!X27,'19.07'!$AO$4:$AQ$55,3,FALSE))</f>
        <v>0</v>
      </c>
      <c r="Q27" s="4">
        <f>(VLOOKUP('19.07'!Y27,'19.07'!$AO$4:$AQ$55,3,FALSE))</f>
        <v>50</v>
      </c>
      <c r="R27" s="4">
        <f>(VLOOKUP('19.07'!Z27,'19.07'!$AO$4:$AQ$55,3,FALSE))</f>
        <v>50</v>
      </c>
      <c r="S27" s="4">
        <f>(VLOOKUP('19.07'!AA27,'19.07'!$AO$4:$AQ$55,3,FALSE))</f>
        <v>50</v>
      </c>
      <c r="T27" s="4">
        <f>(VLOOKUP('19.07'!AB27,'19.07'!$AO$4:$AQ$55,3,FALSE))</f>
        <v>50</v>
      </c>
      <c r="U27" s="4">
        <f>(VLOOKUP('19.07'!AC27,'19.07'!$AO$4:$AQ$55,3,FALSE))</f>
        <v>50</v>
      </c>
      <c r="V27" s="4">
        <f>(VLOOKUP('19.07'!AD27,'19.07'!$AO$4:$AQ$55,3,FALSE))</f>
        <v>50</v>
      </c>
      <c r="W27" s="13">
        <f>(VLOOKUP('19.07'!AE27,'19.07'!$AO$4:$AQ$55,3,FALSE))</f>
        <v>50</v>
      </c>
      <c r="X27" s="13">
        <f>(VLOOKUP('19.07'!AF27,'19.07'!$AO$4:$AQ$55,3,FALSE))</f>
        <v>0</v>
      </c>
    </row>
    <row r="28" spans="1:24">
      <c r="A28" s="4">
        <f>(VLOOKUP('19.07'!I28,'19.07'!$AO$4:$AQ$55,3,FALSE))</f>
        <v>0</v>
      </c>
      <c r="B28" s="4">
        <f>(VLOOKUP('19.07'!J28,'19.07'!$AO$4:$AQ$55,3,FALSE))</f>
        <v>0</v>
      </c>
      <c r="C28" s="4">
        <f>(VLOOKUP('19.07'!K28,'19.07'!$AO$4:$AQ$55,3,FALSE))</f>
        <v>0</v>
      </c>
      <c r="D28" s="4">
        <f>(VLOOKUP('19.07'!L28,'19.07'!$AO$4:$AQ$55,3,FALSE))</f>
        <v>0</v>
      </c>
      <c r="E28" s="4">
        <f>(VLOOKUP('19.07'!M28,'19.07'!$AO$4:$AQ$55,3,FALSE))</f>
        <v>0</v>
      </c>
      <c r="F28" s="4">
        <f>(VLOOKUP('19.07'!N28,'19.07'!$AO$4:$AQ$55,3,FALSE))</f>
        <v>0</v>
      </c>
      <c r="G28" s="13">
        <f>(VLOOKUP('19.07'!O28,'19.07'!$AO$4:$AQ$55,3,FALSE))</f>
        <v>0</v>
      </c>
      <c r="H28" s="13">
        <f>(VLOOKUP('19.07'!P28,'19.07'!$AO$4:$AQ$55,3,FALSE))</f>
        <v>0</v>
      </c>
      <c r="I28" s="4">
        <f>(VLOOKUP('19.07'!Q28,'19.07'!$AO$4:$AQ$55,3,FALSE))</f>
        <v>60</v>
      </c>
      <c r="J28" s="4">
        <f>(VLOOKUP('19.07'!R28,'19.07'!$AO$4:$AQ$55,3,FALSE))</f>
        <v>60</v>
      </c>
      <c r="K28" s="4">
        <f>(VLOOKUP('19.07'!S28,'19.07'!$AO$4:$AQ$55,3,FALSE))</f>
        <v>60</v>
      </c>
      <c r="L28" s="4">
        <f>(VLOOKUP('19.07'!T28,'19.07'!$AO$4:$AQ$55,3,FALSE))</f>
        <v>60</v>
      </c>
      <c r="M28" s="4">
        <f>(VLOOKUP('19.07'!U28,'19.07'!$AO$4:$AQ$55,3,FALSE))</f>
        <v>60</v>
      </c>
      <c r="N28" s="4">
        <f>(VLOOKUP('19.07'!V28,'19.07'!$AO$4:$AQ$55,3,FALSE))</f>
        <v>60</v>
      </c>
      <c r="O28" s="13">
        <f>(VLOOKUP('19.07'!W28,'19.07'!$AO$4:$AQ$55,3,FALSE))</f>
        <v>0</v>
      </c>
      <c r="P28" s="13">
        <f>(VLOOKUP('19.07'!X28,'19.07'!$AO$4:$AQ$55,3,FALSE))</f>
        <v>0</v>
      </c>
      <c r="Q28" s="4">
        <f>(VLOOKUP('19.07'!Y28,'19.07'!$AO$4:$AQ$55,3,FALSE))</f>
        <v>50</v>
      </c>
      <c r="R28" s="4">
        <f>(VLOOKUP('19.07'!Z28,'19.07'!$AO$4:$AQ$55,3,FALSE))</f>
        <v>50</v>
      </c>
      <c r="S28" s="4">
        <f>(VLOOKUP('19.07'!AA28,'19.07'!$AO$4:$AQ$55,3,FALSE))</f>
        <v>50</v>
      </c>
      <c r="T28" s="4">
        <f>(VLOOKUP('19.07'!AB28,'19.07'!$AO$4:$AQ$55,3,FALSE))</f>
        <v>50</v>
      </c>
      <c r="U28" s="4">
        <f>(VLOOKUP('19.07'!AC28,'19.07'!$AO$4:$AQ$55,3,FALSE))</f>
        <v>50</v>
      </c>
      <c r="V28" s="4">
        <f>(VLOOKUP('19.07'!AD28,'19.07'!$AO$4:$AQ$55,3,FALSE))</f>
        <v>50</v>
      </c>
      <c r="W28" s="13">
        <f>(VLOOKUP('19.07'!AE28,'19.07'!$AO$4:$AQ$55,3,FALSE))</f>
        <v>50</v>
      </c>
      <c r="X28" s="13">
        <f>(VLOOKUP('19.07'!AF28,'19.07'!$AO$4:$AQ$55,3,FALSE))</f>
        <v>0</v>
      </c>
    </row>
    <row r="29" spans="1:24">
      <c r="A29" s="4">
        <f>(VLOOKUP('19.07'!I29,'19.07'!$AO$4:$AQ$55,3,FALSE))</f>
        <v>0</v>
      </c>
      <c r="B29" s="4">
        <f>(VLOOKUP('19.07'!J29,'19.07'!$AO$4:$AQ$55,3,FALSE))</f>
        <v>0</v>
      </c>
      <c r="C29" s="4">
        <f>(VLOOKUP('19.07'!K29,'19.07'!$AO$4:$AQ$55,3,FALSE))</f>
        <v>0</v>
      </c>
      <c r="D29" s="4">
        <f>(VLOOKUP('19.07'!L29,'19.07'!$AO$4:$AQ$55,3,FALSE))</f>
        <v>0</v>
      </c>
      <c r="E29" s="4">
        <f>(VLOOKUP('19.07'!M29,'19.07'!$AO$4:$AQ$55,3,FALSE))</f>
        <v>0</v>
      </c>
      <c r="F29" s="4">
        <f>(VLOOKUP('19.07'!N29,'19.07'!$AO$4:$AQ$55,3,FALSE))</f>
        <v>0</v>
      </c>
      <c r="G29" s="13">
        <f>(VLOOKUP('19.07'!O29,'19.07'!$AO$4:$AQ$55,3,FALSE))</f>
        <v>0</v>
      </c>
      <c r="H29" s="13">
        <f>(VLOOKUP('19.07'!P29,'19.07'!$AO$4:$AQ$55,3,FALSE))</f>
        <v>0</v>
      </c>
      <c r="I29" s="4">
        <f>(VLOOKUP('19.07'!Q29,'19.07'!$AO$4:$AQ$55,3,FALSE))</f>
        <v>0</v>
      </c>
      <c r="J29" s="4">
        <f>(VLOOKUP('19.07'!R29,'19.07'!$AO$4:$AQ$55,3,FALSE))</f>
        <v>0</v>
      </c>
      <c r="K29" s="4">
        <f>(VLOOKUP('19.07'!S29,'19.07'!$AO$4:$AQ$55,3,FALSE))</f>
        <v>55</v>
      </c>
      <c r="L29" s="4">
        <f>(VLOOKUP('19.07'!T29,'19.07'!$AO$4:$AQ$55,3,FALSE))</f>
        <v>55</v>
      </c>
      <c r="M29" s="4">
        <f>(VLOOKUP('19.07'!U29,'19.07'!$AO$4:$AQ$55,3,FALSE))</f>
        <v>55</v>
      </c>
      <c r="N29" s="4">
        <f>(VLOOKUP('19.07'!V29,'19.07'!$AO$4:$AQ$55,3,FALSE))</f>
        <v>0</v>
      </c>
      <c r="O29" s="13">
        <f>(VLOOKUP('19.07'!W29,'19.07'!$AO$4:$AQ$55,3,FALSE))</f>
        <v>55</v>
      </c>
      <c r="P29" s="13">
        <f>(VLOOKUP('19.07'!X29,'19.07'!$AO$4:$AQ$55,3,FALSE))</f>
        <v>55</v>
      </c>
      <c r="Q29" s="4">
        <f>(VLOOKUP('19.07'!Y29,'19.07'!$AO$4:$AQ$55,3,FALSE))</f>
        <v>45</v>
      </c>
      <c r="R29" s="4">
        <f>(VLOOKUP('19.07'!Z29,'19.07'!$AO$4:$AQ$55,3,FALSE))</f>
        <v>45</v>
      </c>
      <c r="S29" s="4">
        <f>(VLOOKUP('19.07'!AA29,'19.07'!$AO$4:$AQ$55,3,FALSE))</f>
        <v>45</v>
      </c>
      <c r="T29" s="4">
        <f>(VLOOKUP('19.07'!AB29,'19.07'!$AO$4:$AQ$55,3,FALSE))</f>
        <v>60</v>
      </c>
      <c r="U29" s="4">
        <f>(VLOOKUP('19.07'!AC29,'19.07'!$AO$4:$AQ$55,3,FALSE))</f>
        <v>60</v>
      </c>
      <c r="V29" s="4">
        <f>(VLOOKUP('19.07'!AD29,'19.07'!$AO$4:$AQ$55,3,FALSE))</f>
        <v>60</v>
      </c>
      <c r="W29" s="13">
        <f>(VLOOKUP('19.07'!AE29,'19.07'!$AO$4:$AQ$55,3,FALSE))</f>
        <v>0</v>
      </c>
      <c r="X29" s="13">
        <f>(VLOOKUP('19.07'!AF29,'19.07'!$AO$4:$AQ$55,3,FALSE))</f>
        <v>0</v>
      </c>
    </row>
    <row r="30" spans="1:24">
      <c r="A30" s="4">
        <f>(VLOOKUP('19.07'!I30,'19.07'!$AO$4:$AQ$55,3,FALSE))</f>
        <v>0</v>
      </c>
      <c r="B30" s="4">
        <f>(VLOOKUP('19.07'!J30,'19.07'!$AO$4:$AQ$55,3,FALSE))</f>
        <v>0</v>
      </c>
      <c r="C30" s="4">
        <f>(VLOOKUP('19.07'!K30,'19.07'!$AO$4:$AQ$55,3,FALSE))</f>
        <v>0</v>
      </c>
      <c r="D30" s="4">
        <f>(VLOOKUP('19.07'!L30,'19.07'!$AO$4:$AQ$55,3,FALSE))</f>
        <v>0</v>
      </c>
      <c r="E30" s="4">
        <f>(VLOOKUP('19.07'!M30,'19.07'!$AO$4:$AQ$55,3,FALSE))</f>
        <v>0</v>
      </c>
      <c r="F30" s="4">
        <f>(VLOOKUP('19.07'!N30,'19.07'!$AO$4:$AQ$55,3,FALSE))</f>
        <v>0</v>
      </c>
      <c r="G30" s="13">
        <f>(VLOOKUP('19.07'!O30,'19.07'!$AO$4:$AQ$55,3,FALSE))</f>
        <v>0</v>
      </c>
      <c r="H30" s="13">
        <f>(VLOOKUP('19.07'!P30,'19.07'!$AO$4:$AQ$55,3,FALSE))</f>
        <v>0</v>
      </c>
      <c r="I30" s="4">
        <f>(VLOOKUP('19.07'!Q30,'19.07'!$AO$4:$AQ$55,3,FALSE))</f>
        <v>520</v>
      </c>
      <c r="J30" s="4">
        <f>(VLOOKUP('19.07'!R30,'19.07'!$AO$4:$AQ$55,3,FALSE))</f>
        <v>55</v>
      </c>
      <c r="K30" s="4">
        <f>(VLOOKUP('19.07'!S30,'19.07'!$AO$4:$AQ$55,3,FALSE))</f>
        <v>55</v>
      </c>
      <c r="L30" s="4">
        <f>(VLOOKUP('19.07'!T30,'19.07'!$AO$4:$AQ$55,3,FALSE))</f>
        <v>55</v>
      </c>
      <c r="M30" s="4">
        <f>(VLOOKUP('19.07'!U30,'19.07'!$AO$4:$AQ$55,3,FALSE))</f>
        <v>55</v>
      </c>
      <c r="N30" s="4">
        <f>(VLOOKUP('19.07'!V30,'19.07'!$AO$4:$AQ$55,3,FALSE))</f>
        <v>55</v>
      </c>
      <c r="O30" s="13">
        <f>(VLOOKUP('19.07'!W30,'19.07'!$AO$4:$AQ$55,3,FALSE))</f>
        <v>55</v>
      </c>
      <c r="P30" s="13">
        <f>(VLOOKUP('19.07'!X30,'19.07'!$AO$4:$AQ$55,3,FALSE))</f>
        <v>55</v>
      </c>
      <c r="Q30" s="4">
        <f>(VLOOKUP('19.07'!Y30,'19.07'!$AO$4:$AQ$55,3,FALSE))</f>
        <v>60</v>
      </c>
      <c r="R30" s="4">
        <f>(VLOOKUP('19.07'!Z30,'19.07'!$AO$4:$AQ$55,3,FALSE))</f>
        <v>60</v>
      </c>
      <c r="S30" s="4">
        <f>(VLOOKUP('19.07'!AA30,'19.07'!$AO$4:$AQ$55,3,FALSE))</f>
        <v>60</v>
      </c>
      <c r="T30" s="4">
        <f>(VLOOKUP('19.07'!AB30,'19.07'!$AO$4:$AQ$55,3,FALSE))</f>
        <v>60</v>
      </c>
      <c r="U30" s="4">
        <f>(VLOOKUP('19.07'!AC30,'19.07'!$AO$4:$AQ$55,3,FALSE))</f>
        <v>60</v>
      </c>
      <c r="V30" s="4">
        <f>(VLOOKUP('19.07'!AD30,'19.07'!$AO$4:$AQ$55,3,FALSE))</f>
        <v>60</v>
      </c>
      <c r="W30" s="13">
        <f>(VLOOKUP('19.07'!AE30,'19.07'!$AO$4:$AQ$55,3,FALSE))</f>
        <v>0</v>
      </c>
      <c r="X30" s="13">
        <f>(VLOOKUP('19.07'!AF30,'19.07'!$AO$4:$AQ$55,3,FALSE))</f>
        <v>0</v>
      </c>
    </row>
    <row r="31" spans="1:24">
      <c r="A31" s="4">
        <f>(VLOOKUP('19.07'!I31,'19.07'!$AO$4:$AQ$55,3,FALSE))</f>
        <v>0</v>
      </c>
      <c r="B31" s="4">
        <f>(VLOOKUP('19.07'!J31,'19.07'!$AO$4:$AQ$55,3,FALSE))</f>
        <v>0</v>
      </c>
      <c r="C31" s="4">
        <f>(VLOOKUP('19.07'!K31,'19.07'!$AO$4:$AQ$55,3,FALSE))</f>
        <v>0</v>
      </c>
      <c r="D31" s="4">
        <f>(VLOOKUP('19.07'!L31,'19.07'!$AO$4:$AQ$55,3,FALSE))</f>
        <v>0</v>
      </c>
      <c r="E31" s="4">
        <f>(VLOOKUP('19.07'!M31,'19.07'!$AO$4:$AQ$55,3,FALSE))</f>
        <v>0</v>
      </c>
      <c r="F31" s="4">
        <f>(VLOOKUP('19.07'!N31,'19.07'!$AO$4:$AQ$55,3,FALSE))</f>
        <v>0</v>
      </c>
      <c r="G31" s="13">
        <f>(VLOOKUP('19.07'!O31,'19.07'!$AO$4:$AQ$55,3,FALSE))</f>
        <v>0</v>
      </c>
      <c r="H31" s="13">
        <f>(VLOOKUP('19.07'!P31,'19.07'!$AO$4:$AQ$55,3,FALSE))</f>
        <v>0</v>
      </c>
      <c r="I31" s="4">
        <f>(VLOOKUP('19.07'!Q31,'19.07'!$AO$4:$AQ$55,3,FALSE))</f>
        <v>55</v>
      </c>
      <c r="J31" s="4">
        <f>(VLOOKUP('19.07'!R31,'19.07'!$AO$4:$AQ$55,3,FALSE))</f>
        <v>55</v>
      </c>
      <c r="K31" s="4">
        <f>(VLOOKUP('19.07'!S31,'19.07'!$AO$4:$AQ$55,3,FALSE))</f>
        <v>55</v>
      </c>
      <c r="L31" s="4">
        <f>(VLOOKUP('19.07'!T31,'19.07'!$AO$4:$AQ$55,3,FALSE))</f>
        <v>55</v>
      </c>
      <c r="M31" s="4">
        <f>(VLOOKUP('19.07'!U31,'19.07'!$AO$4:$AQ$55,3,FALSE))</f>
        <v>55</v>
      </c>
      <c r="N31" s="4">
        <f>(VLOOKUP('19.07'!V31,'19.07'!$AO$4:$AQ$55,3,FALSE))</f>
        <v>55</v>
      </c>
      <c r="O31" s="13">
        <f>(VLOOKUP('19.07'!W31,'19.07'!$AO$4:$AQ$55,3,FALSE))</f>
        <v>55</v>
      </c>
      <c r="P31" s="13">
        <f>(VLOOKUP('19.07'!X31,'19.07'!$AO$4:$AQ$55,3,FALSE))</f>
        <v>55</v>
      </c>
      <c r="Q31" s="4">
        <f>(VLOOKUP('19.07'!Y31,'19.07'!$AO$4:$AQ$55,3,FALSE))</f>
        <v>60</v>
      </c>
      <c r="R31" s="4">
        <f>(VLOOKUP('19.07'!Z31,'19.07'!$AO$4:$AQ$55,3,FALSE))</f>
        <v>60</v>
      </c>
      <c r="S31" s="4">
        <f>(VLOOKUP('19.07'!AA31,'19.07'!$AO$4:$AQ$55,3,FALSE))</f>
        <v>60</v>
      </c>
      <c r="T31" s="4">
        <f>(VLOOKUP('19.07'!AB31,'19.07'!$AO$4:$AQ$55,3,FALSE))</f>
        <v>60</v>
      </c>
      <c r="U31" s="4">
        <f>(VLOOKUP('19.07'!AC31,'19.07'!$AO$4:$AQ$55,3,FALSE))</f>
        <v>60</v>
      </c>
      <c r="V31" s="4">
        <f>(VLOOKUP('19.07'!AD31,'19.07'!$AO$4:$AQ$55,3,FALSE))</f>
        <v>60</v>
      </c>
      <c r="W31" s="13">
        <f>(VLOOKUP('19.07'!AE31,'19.07'!$AO$4:$AQ$55,3,FALSE))</f>
        <v>0</v>
      </c>
      <c r="X31" s="13">
        <f>(VLOOKUP('19.07'!AF31,'19.07'!$AO$4:$AQ$55,3,FALSE))</f>
        <v>0</v>
      </c>
    </row>
    <row r="32" spans="1:24">
      <c r="A32" s="4">
        <f>(VLOOKUP('19.07'!I32,'19.07'!$AO$4:$AQ$55,3,FALSE))</f>
        <v>0</v>
      </c>
      <c r="B32" s="4">
        <f>(VLOOKUP('19.07'!J32,'19.07'!$AO$4:$AQ$55,3,FALSE))</f>
        <v>0</v>
      </c>
      <c r="C32" s="4">
        <f>(VLOOKUP('19.07'!K32,'19.07'!$AO$4:$AQ$55,3,FALSE))</f>
        <v>0</v>
      </c>
      <c r="D32" s="4">
        <f>(VLOOKUP('19.07'!L32,'19.07'!$AO$4:$AQ$55,3,FALSE))</f>
        <v>0</v>
      </c>
      <c r="E32" s="4">
        <f>(VLOOKUP('19.07'!M32,'19.07'!$AO$4:$AQ$55,3,FALSE))</f>
        <v>0</v>
      </c>
      <c r="F32" s="4">
        <f>(VLOOKUP('19.07'!N32,'19.07'!$AO$4:$AQ$55,3,FALSE))</f>
        <v>0</v>
      </c>
      <c r="G32" s="13">
        <f>(VLOOKUP('19.07'!O32,'19.07'!$AO$4:$AQ$55,3,FALSE))</f>
        <v>0</v>
      </c>
      <c r="H32" s="13">
        <f>(VLOOKUP('19.07'!P32,'19.07'!$AO$4:$AQ$55,3,FALSE))</f>
        <v>0</v>
      </c>
      <c r="I32" s="4">
        <f>(VLOOKUP('19.07'!Q32,'19.07'!$AO$4:$AQ$55,3,FALSE))</f>
        <v>55</v>
      </c>
      <c r="J32" s="4">
        <f>(VLOOKUP('19.07'!R32,'19.07'!$AO$4:$AQ$55,3,FALSE))</f>
        <v>55</v>
      </c>
      <c r="K32" s="4">
        <f>(VLOOKUP('19.07'!S32,'19.07'!$AO$4:$AQ$55,3,FALSE))</f>
        <v>55</v>
      </c>
      <c r="L32" s="4">
        <f>(VLOOKUP('19.07'!T32,'19.07'!$AO$4:$AQ$55,3,FALSE))</f>
        <v>55</v>
      </c>
      <c r="M32" s="4">
        <f>(VLOOKUP('19.07'!U32,'19.07'!$AO$4:$AQ$55,3,FALSE))</f>
        <v>55</v>
      </c>
      <c r="N32" s="4">
        <f>(VLOOKUP('19.07'!V32,'19.07'!$AO$4:$AQ$55,3,FALSE))</f>
        <v>55</v>
      </c>
      <c r="O32" s="13">
        <f>(VLOOKUP('19.07'!W32,'19.07'!$AO$4:$AQ$55,3,FALSE))</f>
        <v>55</v>
      </c>
      <c r="P32" s="13">
        <f>(VLOOKUP('19.07'!X32,'19.07'!$AO$4:$AQ$55,3,FALSE))</f>
        <v>55</v>
      </c>
      <c r="Q32" s="4">
        <f>(VLOOKUP('19.07'!Y32,'19.07'!$AO$4:$AQ$55,3,FALSE))</f>
        <v>60</v>
      </c>
      <c r="R32" s="4">
        <f>(VLOOKUP('19.07'!Z32,'19.07'!$AO$4:$AQ$55,3,FALSE))</f>
        <v>60</v>
      </c>
      <c r="S32" s="4">
        <f>(VLOOKUP('19.07'!AA32,'19.07'!$AO$4:$AQ$55,3,FALSE))</f>
        <v>60</v>
      </c>
      <c r="T32" s="4">
        <f>(VLOOKUP('19.07'!AB32,'19.07'!$AO$4:$AQ$55,3,FALSE))</f>
        <v>0</v>
      </c>
      <c r="U32" s="4">
        <f>(VLOOKUP('19.07'!AC32,'19.07'!$AO$4:$AQ$55,3,FALSE))</f>
        <v>0</v>
      </c>
      <c r="V32" s="4">
        <f>(VLOOKUP('19.07'!AD32,'19.07'!$AO$4:$AQ$55,3,FALSE))</f>
        <v>0</v>
      </c>
      <c r="W32" s="13">
        <f>(VLOOKUP('19.07'!AE32,'19.07'!$AO$4:$AQ$55,3,FALSE))</f>
        <v>0</v>
      </c>
      <c r="X32" s="13">
        <f>(VLOOKUP('19.07'!AF32,'19.07'!$AO$4:$AQ$55,3,FALSE))</f>
        <v>0</v>
      </c>
    </row>
    <row r="33" spans="1:24">
      <c r="A33" s="4">
        <f>(VLOOKUP('19.07'!I33,'19.07'!$AO$4:$AQ$55,3,FALSE))</f>
        <v>0</v>
      </c>
      <c r="B33" s="4">
        <f>(VLOOKUP('19.07'!J33,'19.07'!$AO$4:$AQ$55,3,FALSE))</f>
        <v>0</v>
      </c>
      <c r="C33" s="4">
        <f>(VLOOKUP('19.07'!K33,'19.07'!$AO$4:$AQ$55,3,FALSE))</f>
        <v>0</v>
      </c>
      <c r="D33" s="4">
        <f>(VLOOKUP('19.07'!L33,'19.07'!$AO$4:$AQ$55,3,FALSE))</f>
        <v>0</v>
      </c>
      <c r="E33" s="4">
        <f>(VLOOKUP('19.07'!M33,'19.07'!$AO$4:$AQ$55,3,FALSE))</f>
        <v>0</v>
      </c>
      <c r="F33" s="4">
        <f>(VLOOKUP('19.07'!N33,'19.07'!$AO$4:$AQ$55,3,FALSE))</f>
        <v>0</v>
      </c>
      <c r="G33" s="13">
        <f>(VLOOKUP('19.07'!O33,'19.07'!$AO$4:$AQ$55,3,FALSE))</f>
        <v>0</v>
      </c>
      <c r="H33" s="13">
        <f>(VLOOKUP('19.07'!P33,'19.07'!$AO$4:$AQ$55,3,FALSE))</f>
        <v>0</v>
      </c>
      <c r="I33" s="4">
        <f>(VLOOKUP('19.07'!Q33,'19.07'!$AO$4:$AQ$55,3,FALSE))</f>
        <v>55</v>
      </c>
      <c r="J33" s="4">
        <f>(VLOOKUP('19.07'!R33,'19.07'!$AO$4:$AQ$55,3,FALSE))</f>
        <v>55</v>
      </c>
      <c r="K33" s="4">
        <f>(VLOOKUP('19.07'!S33,'19.07'!$AO$4:$AQ$55,3,FALSE))</f>
        <v>55</v>
      </c>
      <c r="L33" s="4">
        <f>(VLOOKUP('19.07'!T33,'19.07'!$AO$4:$AQ$55,3,FALSE))</f>
        <v>55</v>
      </c>
      <c r="M33" s="4">
        <f>(VLOOKUP('19.07'!U33,'19.07'!$AO$4:$AQ$55,3,FALSE))</f>
        <v>55</v>
      </c>
      <c r="N33" s="4">
        <f>(VLOOKUP('19.07'!V33,'19.07'!$AO$4:$AQ$55,3,FALSE))</f>
        <v>55</v>
      </c>
      <c r="O33" s="13">
        <f>(VLOOKUP('19.07'!W33,'19.07'!$AO$4:$AQ$55,3,FALSE))</f>
        <v>0</v>
      </c>
      <c r="P33" s="13">
        <f>(VLOOKUP('19.07'!X33,'19.07'!$AO$4:$AQ$55,3,FALSE))</f>
        <v>0</v>
      </c>
      <c r="Q33" s="4">
        <f>(VLOOKUP('19.07'!Y33,'19.07'!$AO$4:$AQ$55,3,FALSE))</f>
        <v>0</v>
      </c>
      <c r="R33" s="4">
        <f>(VLOOKUP('19.07'!Z33,'19.07'!$AO$4:$AQ$55,3,FALSE))</f>
        <v>0</v>
      </c>
      <c r="S33" s="4">
        <f>(VLOOKUP('19.07'!AA33,'19.07'!$AO$4:$AQ$55,3,FALSE))</f>
        <v>0</v>
      </c>
      <c r="T33" s="4">
        <f>(VLOOKUP('19.07'!AB33,'19.07'!$AO$4:$AQ$55,3,FALSE))</f>
        <v>0</v>
      </c>
      <c r="U33" s="4">
        <f>(VLOOKUP('19.07'!AC33,'19.07'!$AO$4:$AQ$55,3,FALSE))</f>
        <v>0</v>
      </c>
      <c r="V33" s="4">
        <f>(VLOOKUP('19.07'!AD33,'19.07'!$AO$4:$AQ$55,3,FALSE))</f>
        <v>0</v>
      </c>
      <c r="W33" s="13">
        <f>(VLOOKUP('19.07'!AE33,'19.07'!$AO$4:$AQ$55,3,FALSE))</f>
        <v>0</v>
      </c>
      <c r="X33" s="13">
        <f>(VLOOKUP('19.07'!AF33,'19.07'!$AO$4:$AQ$55,3,FALSE))</f>
        <v>0</v>
      </c>
    </row>
    <row r="34" spans="1:24">
      <c r="A34" s="4">
        <f>(VLOOKUP('19.07'!I34,'19.07'!$AO$4:$AQ$55,3,FALSE))</f>
        <v>0</v>
      </c>
      <c r="B34" s="4">
        <f>(VLOOKUP('19.07'!J34,'19.07'!$AO$4:$AQ$55,3,FALSE))</f>
        <v>0</v>
      </c>
      <c r="C34" s="4">
        <f>(VLOOKUP('19.07'!K34,'19.07'!$AO$4:$AQ$55,3,FALSE))</f>
        <v>0</v>
      </c>
      <c r="D34" s="4">
        <f>(VLOOKUP('19.07'!L34,'19.07'!$AO$4:$AQ$55,3,FALSE))</f>
        <v>0</v>
      </c>
      <c r="E34" s="4">
        <f>(VLOOKUP('19.07'!M34,'19.07'!$AO$4:$AQ$55,3,FALSE))</f>
        <v>0</v>
      </c>
      <c r="F34" s="4">
        <f>(VLOOKUP('19.07'!N34,'19.07'!$AO$4:$AQ$55,3,FALSE))</f>
        <v>0</v>
      </c>
      <c r="G34" s="13">
        <f>(VLOOKUP('19.07'!O34,'19.07'!$AO$4:$AQ$55,3,FALSE))</f>
        <v>0</v>
      </c>
      <c r="H34" s="13">
        <f>(VLOOKUP('19.07'!P34,'19.07'!$AO$4:$AQ$55,3,FALSE))</f>
        <v>0</v>
      </c>
      <c r="I34" s="4">
        <f>(VLOOKUP('19.07'!Q34,'19.07'!$AO$4:$AQ$55,3,FALSE))</f>
        <v>55</v>
      </c>
      <c r="J34" s="4">
        <f>(VLOOKUP('19.07'!R34,'19.07'!$AO$4:$AQ$55,3,FALSE))</f>
        <v>55</v>
      </c>
      <c r="K34" s="4">
        <f>(VLOOKUP('19.07'!S34,'19.07'!$AO$4:$AQ$55,3,FALSE))</f>
        <v>55</v>
      </c>
      <c r="L34" s="4">
        <f>(VLOOKUP('19.07'!T34,'19.07'!$AO$4:$AQ$55,3,FALSE))</f>
        <v>55</v>
      </c>
      <c r="M34" s="4">
        <f>(VLOOKUP('19.07'!U34,'19.07'!$AO$4:$AQ$55,3,FALSE))</f>
        <v>55</v>
      </c>
      <c r="N34" s="4">
        <f>(VLOOKUP('19.07'!V34,'19.07'!$AO$4:$AQ$55,3,FALSE))</f>
        <v>50</v>
      </c>
      <c r="O34" s="13">
        <f>(VLOOKUP('19.07'!W34,'19.07'!$AO$4:$AQ$55,3,FALSE))</f>
        <v>0</v>
      </c>
      <c r="P34" s="13">
        <f>(VLOOKUP('19.07'!X34,'19.07'!$AO$4:$AQ$55,3,FALSE))</f>
        <v>0</v>
      </c>
      <c r="Q34" s="4">
        <f>(VLOOKUP('19.07'!Y34,'19.07'!$AO$4:$AQ$55,3,FALSE))</f>
        <v>0</v>
      </c>
      <c r="R34" s="4">
        <f>(VLOOKUP('19.07'!Z34,'19.07'!$AO$4:$AQ$55,3,FALSE))</f>
        <v>0</v>
      </c>
      <c r="S34" s="4">
        <f>(VLOOKUP('19.07'!AA34,'19.07'!$AO$4:$AQ$55,3,FALSE))</f>
        <v>0</v>
      </c>
      <c r="T34" s="4">
        <f>(VLOOKUP('19.07'!AB34,'19.07'!$AO$4:$AQ$55,3,FALSE))</f>
        <v>0</v>
      </c>
      <c r="U34" s="4">
        <f>(VLOOKUP('19.07'!AC34,'19.07'!$AO$4:$AQ$55,3,FALSE))</f>
        <v>0</v>
      </c>
      <c r="V34" s="4">
        <f>(VLOOKUP('19.07'!AD34,'19.07'!$AO$4:$AQ$55,3,FALSE))</f>
        <v>0</v>
      </c>
      <c r="W34" s="13">
        <f>(VLOOKUP('19.07'!AE34,'19.07'!$AO$4:$AQ$55,3,FALSE))</f>
        <v>0</v>
      </c>
      <c r="X34" s="13">
        <f>(VLOOKUP('19.07'!AF34,'19.07'!$AO$4:$AQ$55,3,FALSE))</f>
        <v>0</v>
      </c>
    </row>
    <row r="35" spans="1:24">
      <c r="A35" s="4">
        <f>(VLOOKUP('19.07'!I35,'19.07'!$AO$4:$AQ$55,3,FALSE))</f>
        <v>0</v>
      </c>
      <c r="B35" s="4">
        <f>(VLOOKUP('19.07'!J35,'19.07'!$AO$4:$AQ$55,3,FALSE))</f>
        <v>0</v>
      </c>
      <c r="C35" s="4">
        <f>(VLOOKUP('19.07'!K35,'19.07'!$AO$4:$AQ$55,3,FALSE))</f>
        <v>0</v>
      </c>
      <c r="D35" s="4">
        <f>(VLOOKUP('19.07'!L35,'19.07'!$AO$4:$AQ$55,3,FALSE))</f>
        <v>0</v>
      </c>
      <c r="E35" s="4">
        <f>(VLOOKUP('19.07'!M35,'19.07'!$AO$4:$AQ$55,3,FALSE))</f>
        <v>0</v>
      </c>
      <c r="F35" s="4">
        <f>(VLOOKUP('19.07'!N35,'19.07'!$AO$4:$AQ$55,3,FALSE))</f>
        <v>0</v>
      </c>
      <c r="G35" s="13">
        <f>(VLOOKUP('19.07'!O35,'19.07'!$AO$4:$AQ$55,3,FALSE))</f>
        <v>0</v>
      </c>
      <c r="H35" s="13">
        <f>(VLOOKUP('19.07'!P35,'19.07'!$AO$4:$AQ$55,3,FALSE))</f>
        <v>0</v>
      </c>
      <c r="I35" s="4">
        <f>(VLOOKUP('19.07'!Q35,'19.07'!$AO$4:$AQ$55,3,FALSE))</f>
        <v>50</v>
      </c>
      <c r="J35" s="4">
        <f>(VLOOKUP('19.07'!R35,'19.07'!$AO$4:$AQ$55,3,FALSE))</f>
        <v>50</v>
      </c>
      <c r="K35" s="4">
        <f>(VLOOKUP('19.07'!S35,'19.07'!$AO$4:$AQ$55,3,FALSE))</f>
        <v>50</v>
      </c>
      <c r="L35" s="4">
        <f>(VLOOKUP('19.07'!T35,'19.07'!$AO$4:$AQ$55,3,FALSE))</f>
        <v>50</v>
      </c>
      <c r="M35" s="4">
        <f>(VLOOKUP('19.07'!U35,'19.07'!$AO$4:$AQ$55,3,FALSE))</f>
        <v>50</v>
      </c>
      <c r="N35" s="4">
        <f>(VLOOKUP('19.07'!V35,'19.07'!$AO$4:$AQ$55,3,FALSE))</f>
        <v>50</v>
      </c>
      <c r="O35" s="13">
        <f>(VLOOKUP('19.07'!W35,'19.07'!$AO$4:$AQ$55,3,FALSE))</f>
        <v>0</v>
      </c>
      <c r="P35" s="13">
        <f>(VLOOKUP('19.07'!X35,'19.07'!$AO$4:$AQ$55,3,FALSE))</f>
        <v>0</v>
      </c>
      <c r="Q35" s="4">
        <f>(VLOOKUP('19.07'!Y35,'19.07'!$AO$4:$AQ$55,3,FALSE))</f>
        <v>0</v>
      </c>
      <c r="R35" s="4">
        <f>(VLOOKUP('19.07'!Z35,'19.07'!$AO$4:$AQ$55,3,FALSE))</f>
        <v>0</v>
      </c>
      <c r="S35" s="4">
        <f>(VLOOKUP('19.07'!AA35,'19.07'!$AO$4:$AQ$55,3,FALSE))</f>
        <v>0</v>
      </c>
      <c r="T35" s="4">
        <f>(VLOOKUP('19.07'!AB35,'19.07'!$AO$4:$AQ$55,3,FALSE))</f>
        <v>0</v>
      </c>
      <c r="U35" s="4">
        <f>(VLOOKUP('19.07'!AC35,'19.07'!$AO$4:$AQ$55,3,FALSE))</f>
        <v>0</v>
      </c>
      <c r="V35" s="4">
        <f>(VLOOKUP('19.07'!AD35,'19.07'!$AO$4:$AQ$55,3,FALSE))</f>
        <v>0</v>
      </c>
      <c r="W35" s="13">
        <f>(VLOOKUP('19.07'!AE35,'19.07'!$AO$4:$AQ$55,3,FALSE))</f>
        <v>0</v>
      </c>
      <c r="X35" s="13">
        <f>(VLOOKUP('19.07'!AF35,'19.07'!$AO$4:$AQ$55,3,FALSE))</f>
        <v>0</v>
      </c>
    </row>
    <row r="36" spans="1:24">
      <c r="A36" s="4">
        <f>(VLOOKUP('19.07'!I36,'19.07'!$AO$4:$AQ$55,3,FALSE))</f>
        <v>0</v>
      </c>
      <c r="B36" s="4">
        <f>(VLOOKUP('19.07'!J36,'19.07'!$AO$4:$AQ$55,3,FALSE))</f>
        <v>0</v>
      </c>
      <c r="C36" s="4">
        <f>(VLOOKUP('19.07'!K36,'19.07'!$AO$4:$AQ$55,3,FALSE))</f>
        <v>0</v>
      </c>
      <c r="D36" s="4">
        <f>(VLOOKUP('19.07'!L36,'19.07'!$AO$4:$AQ$55,3,FALSE))</f>
        <v>0</v>
      </c>
      <c r="E36" s="4">
        <f>(VLOOKUP('19.07'!M36,'19.07'!$AO$4:$AQ$55,3,FALSE))</f>
        <v>0</v>
      </c>
      <c r="F36" s="4">
        <f>(VLOOKUP('19.07'!N36,'19.07'!$AO$4:$AQ$55,3,FALSE))</f>
        <v>0</v>
      </c>
      <c r="G36" s="13">
        <f>(VLOOKUP('19.07'!O36,'19.07'!$AO$4:$AQ$55,3,FALSE))</f>
        <v>0</v>
      </c>
      <c r="H36" s="13">
        <f>(VLOOKUP('19.07'!P36,'19.07'!$AO$4:$AQ$55,3,FALSE))</f>
        <v>0</v>
      </c>
      <c r="I36" s="4">
        <f>(VLOOKUP('19.07'!Q36,'19.07'!$AO$4:$AQ$55,3,FALSE))</f>
        <v>50</v>
      </c>
      <c r="J36" s="4">
        <f>(VLOOKUP('19.07'!R36,'19.07'!$AO$4:$AQ$55,3,FALSE))</f>
        <v>50</v>
      </c>
      <c r="K36" s="4">
        <f>(VLOOKUP('19.07'!S36,'19.07'!$AO$4:$AQ$55,3,FALSE))</f>
        <v>50</v>
      </c>
      <c r="L36" s="4">
        <f>(VLOOKUP('19.07'!T36,'19.07'!$AO$4:$AQ$55,3,FALSE))</f>
        <v>50</v>
      </c>
      <c r="M36" s="4">
        <f>(VLOOKUP('19.07'!U36,'19.07'!$AO$4:$AQ$55,3,FALSE))</f>
        <v>50</v>
      </c>
      <c r="N36" s="4">
        <f>(VLOOKUP('19.07'!V36,'19.07'!$AO$4:$AQ$55,3,FALSE))</f>
        <v>50</v>
      </c>
      <c r="O36" s="13">
        <f>(VLOOKUP('19.07'!W36,'19.07'!$AO$4:$AQ$55,3,FALSE))</f>
        <v>0</v>
      </c>
      <c r="P36" s="13">
        <f>(VLOOKUP('19.07'!X36,'19.07'!$AO$4:$AQ$55,3,FALSE))</f>
        <v>0</v>
      </c>
      <c r="Q36" s="4">
        <f>(VLOOKUP('19.07'!Y36,'19.07'!$AO$4:$AQ$55,3,FALSE))</f>
        <v>0</v>
      </c>
      <c r="R36" s="4">
        <f>(VLOOKUP('19.07'!Z36,'19.07'!$AO$4:$AQ$55,3,FALSE))</f>
        <v>0</v>
      </c>
      <c r="S36" s="4">
        <f>(VLOOKUP('19.07'!AA36,'19.07'!$AO$4:$AQ$55,3,FALSE))</f>
        <v>0</v>
      </c>
      <c r="T36" s="4">
        <f>(VLOOKUP('19.07'!AB36,'19.07'!$AO$4:$AQ$55,3,FALSE))</f>
        <v>0</v>
      </c>
      <c r="U36" s="4">
        <f>(VLOOKUP('19.07'!AC36,'19.07'!$AO$4:$AQ$55,3,FALSE))</f>
        <v>0</v>
      </c>
      <c r="V36" s="4">
        <f>(VLOOKUP('19.07'!AD36,'19.07'!$AO$4:$AQ$55,3,FALSE))</f>
        <v>0</v>
      </c>
      <c r="W36" s="13">
        <f>(VLOOKUP('19.07'!AE36,'19.07'!$AO$4:$AQ$55,3,FALSE))</f>
        <v>0</v>
      </c>
      <c r="X36" s="13">
        <f>(VLOOKUP('19.07'!AF36,'19.07'!$AO$4:$AQ$55,3,FALSE))</f>
        <v>0</v>
      </c>
    </row>
    <row r="37" spans="1:24">
      <c r="A37" s="4">
        <f>(VLOOKUP('19.07'!I37,'19.07'!$AO$4:$AQ$55,3,FALSE))</f>
        <v>0</v>
      </c>
      <c r="B37" s="4">
        <f>(VLOOKUP('19.07'!J37,'19.07'!$AO$4:$AQ$55,3,FALSE))</f>
        <v>0</v>
      </c>
      <c r="C37" s="4">
        <f>(VLOOKUP('19.07'!K37,'19.07'!$AO$4:$AQ$55,3,FALSE))</f>
        <v>0</v>
      </c>
      <c r="D37" s="4">
        <f>(VLOOKUP('19.07'!L37,'19.07'!$AO$4:$AQ$55,3,FALSE))</f>
        <v>0</v>
      </c>
      <c r="E37" s="4">
        <f>(VLOOKUP('19.07'!M37,'19.07'!$AO$4:$AQ$55,3,FALSE))</f>
        <v>0</v>
      </c>
      <c r="F37" s="4">
        <f>(VLOOKUP('19.07'!N37,'19.07'!$AO$4:$AQ$55,3,FALSE))</f>
        <v>0</v>
      </c>
      <c r="G37" s="13">
        <f>(VLOOKUP('19.07'!O37,'19.07'!$AO$4:$AQ$55,3,FALSE))</f>
        <v>0</v>
      </c>
      <c r="H37" s="13">
        <f>(VLOOKUP('19.07'!P37,'19.07'!$AO$4:$AQ$55,3,FALSE))</f>
        <v>0</v>
      </c>
      <c r="I37" s="4">
        <f>(VLOOKUP('19.07'!Q37,'19.07'!$AO$4:$AQ$55,3,FALSE))</f>
        <v>50</v>
      </c>
      <c r="J37" s="4">
        <f>(VLOOKUP('19.07'!R37,'19.07'!$AO$4:$AQ$55,3,FALSE))</f>
        <v>50</v>
      </c>
      <c r="K37" s="4">
        <f>(VLOOKUP('19.07'!S37,'19.07'!$AO$4:$AQ$55,3,FALSE))</f>
        <v>50</v>
      </c>
      <c r="L37" s="4">
        <f>(VLOOKUP('19.07'!T37,'19.07'!$AO$4:$AQ$55,3,FALSE))</f>
        <v>50</v>
      </c>
      <c r="M37" s="4">
        <f>(VLOOKUP('19.07'!U37,'19.07'!$AO$4:$AQ$55,3,FALSE))</f>
        <v>50</v>
      </c>
      <c r="N37" s="4">
        <f>(VLOOKUP('19.07'!V37,'19.07'!$AO$4:$AQ$55,3,FALSE))</f>
        <v>50</v>
      </c>
      <c r="O37" s="13">
        <f>(VLOOKUP('19.07'!W37,'19.07'!$AO$4:$AQ$55,3,FALSE))</f>
        <v>0</v>
      </c>
      <c r="P37" s="13">
        <f>(VLOOKUP('19.07'!X37,'19.07'!$AO$4:$AQ$55,3,FALSE))</f>
        <v>0</v>
      </c>
      <c r="Q37" s="4">
        <f>(VLOOKUP('19.07'!Y37,'19.07'!$AO$4:$AQ$55,3,FALSE))</f>
        <v>0</v>
      </c>
      <c r="R37" s="4">
        <f>(VLOOKUP('19.07'!Z37,'19.07'!$AO$4:$AQ$55,3,FALSE))</f>
        <v>0</v>
      </c>
      <c r="S37" s="4">
        <f>(VLOOKUP('19.07'!AA37,'19.07'!$AO$4:$AQ$55,3,FALSE))</f>
        <v>0</v>
      </c>
      <c r="T37" s="4">
        <f>(VLOOKUP('19.07'!AB37,'19.07'!$AO$4:$AQ$55,3,FALSE))</f>
        <v>0</v>
      </c>
      <c r="U37" s="4">
        <f>(VLOOKUP('19.07'!AC37,'19.07'!$AO$4:$AQ$55,3,FALSE))</f>
        <v>0</v>
      </c>
      <c r="V37" s="4">
        <f>(VLOOKUP('19.07'!AD37,'19.07'!$AO$4:$AQ$55,3,FALSE))</f>
        <v>0</v>
      </c>
      <c r="W37" s="13">
        <f>(VLOOKUP('19.07'!AE37,'19.07'!$AO$4:$AQ$55,3,FALSE))</f>
        <v>0</v>
      </c>
      <c r="X37" s="13">
        <f>(VLOOKUP('19.07'!AF37,'19.07'!$AO$4:$AQ$55,3,FALSE))</f>
        <v>0</v>
      </c>
    </row>
    <row r="38" spans="1:24">
      <c r="A38" s="4">
        <f>(VLOOKUP('19.07'!I38,'19.07'!$AO$4:$AQ$55,3,FALSE))</f>
        <v>0</v>
      </c>
      <c r="B38" s="4">
        <f>(VLOOKUP('19.07'!J38,'19.07'!$AO$4:$AQ$55,3,FALSE))</f>
        <v>0</v>
      </c>
      <c r="C38" s="4">
        <f>(VLOOKUP('19.07'!K38,'19.07'!$AO$4:$AQ$55,3,FALSE))</f>
        <v>0</v>
      </c>
      <c r="D38" s="4">
        <f>(VLOOKUP('19.07'!L38,'19.07'!$AO$4:$AQ$55,3,FALSE))</f>
        <v>0</v>
      </c>
      <c r="E38" s="4">
        <f>(VLOOKUP('19.07'!M38,'19.07'!$AO$4:$AQ$55,3,FALSE))</f>
        <v>0</v>
      </c>
      <c r="F38" s="4">
        <f>(VLOOKUP('19.07'!N38,'19.07'!$AO$4:$AQ$55,3,FALSE))</f>
        <v>0</v>
      </c>
      <c r="G38" s="13">
        <f>(VLOOKUP('19.07'!O38,'19.07'!$AO$4:$AQ$55,3,FALSE))</f>
        <v>0</v>
      </c>
      <c r="H38" s="13">
        <f>(VLOOKUP('19.07'!P38,'19.07'!$AO$4:$AQ$55,3,FALSE))</f>
        <v>0</v>
      </c>
      <c r="I38" s="4">
        <f>(VLOOKUP('19.07'!Q38,'19.07'!$AO$4:$AQ$55,3,FALSE))</f>
        <v>50</v>
      </c>
      <c r="J38" s="4">
        <f>(VLOOKUP('19.07'!R38,'19.07'!$AO$4:$AQ$55,3,FALSE))</f>
        <v>0</v>
      </c>
      <c r="K38" s="4">
        <f>(VLOOKUP('19.07'!S38,'19.07'!$AO$4:$AQ$55,3,FALSE))</f>
        <v>0</v>
      </c>
      <c r="L38" s="4">
        <f>(VLOOKUP('19.07'!T38,'19.07'!$AO$4:$AQ$55,3,FALSE))</f>
        <v>0</v>
      </c>
      <c r="M38" s="4">
        <f>(VLOOKUP('19.07'!U38,'19.07'!$AO$4:$AQ$55,3,FALSE))</f>
        <v>0</v>
      </c>
      <c r="N38" s="4">
        <f>(VLOOKUP('19.07'!V38,'19.07'!$AO$4:$AQ$55,3,FALSE))</f>
        <v>0</v>
      </c>
      <c r="O38" s="13">
        <f>(VLOOKUP('19.07'!W38,'19.07'!$AO$4:$AQ$55,3,FALSE))</f>
        <v>0</v>
      </c>
      <c r="P38" s="13">
        <f>(VLOOKUP('19.07'!X38,'19.07'!$AO$4:$AQ$55,3,FALSE))</f>
        <v>0</v>
      </c>
      <c r="Q38" s="4">
        <f>(VLOOKUP('19.07'!Y38,'19.07'!$AO$4:$AQ$55,3,FALSE))</f>
        <v>0</v>
      </c>
      <c r="R38" s="4">
        <f>(VLOOKUP('19.07'!Z38,'19.07'!$AO$4:$AQ$55,3,FALSE))</f>
        <v>0</v>
      </c>
      <c r="S38" s="4">
        <f>(VLOOKUP('19.07'!AA38,'19.07'!$AO$4:$AQ$55,3,FALSE))</f>
        <v>0</v>
      </c>
      <c r="T38" s="4">
        <f>(VLOOKUP('19.07'!AB38,'19.07'!$AO$4:$AQ$55,3,FALSE))</f>
        <v>0</v>
      </c>
      <c r="U38" s="4">
        <f>(VLOOKUP('19.07'!AC38,'19.07'!$AO$4:$AQ$55,3,FALSE))</f>
        <v>0</v>
      </c>
      <c r="V38" s="4">
        <f>(VLOOKUP('19.07'!AD38,'19.07'!$AO$4:$AQ$55,3,FALSE))</f>
        <v>0</v>
      </c>
      <c r="W38" s="13">
        <f>(VLOOKUP('19.07'!AE38,'19.07'!$AO$4:$AQ$55,3,FALSE))</f>
        <v>0</v>
      </c>
      <c r="X38" s="13">
        <f>(VLOOKUP('19.07'!AF38,'19.07'!$AO$4:$AQ$55,3,FALSE))</f>
        <v>0</v>
      </c>
    </row>
    <row r="39" spans="1:24">
      <c r="A39" s="4">
        <f>(VLOOKUP('19.07'!I39,'19.07'!$AO$4:$AQ$55,3,FALSE))</f>
        <v>0</v>
      </c>
      <c r="B39" s="4">
        <f>(VLOOKUP('19.07'!J39,'19.07'!$AO$4:$AQ$55,3,FALSE))</f>
        <v>0</v>
      </c>
      <c r="C39" s="4">
        <f>(VLOOKUP('19.07'!K39,'19.07'!$AO$4:$AQ$55,3,FALSE))</f>
        <v>0</v>
      </c>
      <c r="D39" s="4">
        <f>(VLOOKUP('19.07'!L39,'19.07'!$AO$4:$AQ$55,3,FALSE))</f>
        <v>0</v>
      </c>
      <c r="E39" s="4">
        <f>(VLOOKUP('19.07'!M39,'19.07'!$AO$4:$AQ$55,3,FALSE))</f>
        <v>0</v>
      </c>
      <c r="F39" s="4">
        <f>(VLOOKUP('19.07'!N39,'19.07'!$AO$4:$AQ$55,3,FALSE))</f>
        <v>0</v>
      </c>
      <c r="G39" s="13">
        <f>(VLOOKUP('19.07'!O39,'19.07'!$AO$4:$AQ$55,3,FALSE))</f>
        <v>0</v>
      </c>
      <c r="H39" s="13">
        <f>(VLOOKUP('19.07'!P39,'19.07'!$AO$4:$AQ$55,3,FALSE))</f>
        <v>0</v>
      </c>
      <c r="I39" s="4">
        <f>(VLOOKUP('19.07'!Q39,'19.07'!$AO$4:$AQ$55,3,FALSE))</f>
        <v>0</v>
      </c>
      <c r="J39" s="4">
        <f>(VLOOKUP('19.07'!R39,'19.07'!$AO$4:$AQ$55,3,FALSE))</f>
        <v>0</v>
      </c>
      <c r="K39" s="4">
        <f>(VLOOKUP('19.07'!S39,'19.07'!$AO$4:$AQ$55,3,FALSE))</f>
        <v>0</v>
      </c>
      <c r="L39" s="4">
        <f>(VLOOKUP('19.07'!T39,'19.07'!$AO$4:$AQ$55,3,FALSE))</f>
        <v>0</v>
      </c>
      <c r="M39" s="4">
        <f>(VLOOKUP('19.07'!U39,'19.07'!$AO$4:$AQ$55,3,FALSE))</f>
        <v>0</v>
      </c>
      <c r="N39" s="4">
        <f>(VLOOKUP('19.07'!V39,'19.07'!$AO$4:$AQ$55,3,FALSE))</f>
        <v>0</v>
      </c>
      <c r="O39" s="13">
        <f>(VLOOKUP('19.07'!W39,'19.07'!$AO$4:$AQ$55,3,FALSE))</f>
        <v>0</v>
      </c>
      <c r="P39" s="13">
        <f>(VLOOKUP('19.07'!X39,'19.07'!$AO$4:$AQ$55,3,FALSE))</f>
        <v>0</v>
      </c>
      <c r="Q39" s="4">
        <f>(VLOOKUP('19.07'!Y39,'19.07'!$AO$4:$AQ$55,3,FALSE))</f>
        <v>0</v>
      </c>
      <c r="R39" s="4">
        <f>(VLOOKUP('19.07'!Z39,'19.07'!$AO$4:$AQ$55,3,FALSE))</f>
        <v>0</v>
      </c>
      <c r="S39" s="4">
        <f>(VLOOKUP('19.07'!AA39,'19.07'!$AO$4:$AQ$55,3,FALSE))</f>
        <v>0</v>
      </c>
      <c r="T39" s="4">
        <f>(VLOOKUP('19.07'!AB39,'19.07'!$AO$4:$AQ$55,3,FALSE))</f>
        <v>0</v>
      </c>
      <c r="U39" s="4">
        <f>(VLOOKUP('19.07'!AC39,'19.07'!$AO$4:$AQ$55,3,FALSE))</f>
        <v>0</v>
      </c>
      <c r="V39" s="4">
        <f>(VLOOKUP('19.07'!AD39,'19.07'!$AO$4:$AQ$55,3,FALSE))</f>
        <v>0</v>
      </c>
      <c r="W39" s="13">
        <f>(VLOOKUP('19.07'!AE39,'19.07'!$AO$4:$AQ$55,3,FALSE))</f>
        <v>0</v>
      </c>
      <c r="X39" s="13">
        <f>(VLOOKUP('19.07'!AF39,'19.07'!$AO$4:$AQ$55,3,FALSE))</f>
        <v>0</v>
      </c>
    </row>
    <row r="40" spans="1:24">
      <c r="A40" s="4">
        <f>(VLOOKUP('19.07'!I40,'19.07'!$AO$4:$AQ$55,3,FALSE))</f>
        <v>0</v>
      </c>
      <c r="B40" s="4">
        <f>(VLOOKUP('19.07'!J40,'19.07'!$AO$4:$AQ$55,3,FALSE))</f>
        <v>0</v>
      </c>
      <c r="C40" s="4">
        <f>(VLOOKUP('19.07'!K40,'19.07'!$AO$4:$AQ$55,3,FALSE))</f>
        <v>0</v>
      </c>
      <c r="D40" s="4">
        <f>(VLOOKUP('19.07'!L40,'19.07'!$AO$4:$AQ$55,3,FALSE))</f>
        <v>0</v>
      </c>
      <c r="E40" s="4">
        <f>(VLOOKUP('19.07'!M40,'19.07'!$AO$4:$AQ$55,3,FALSE))</f>
        <v>0</v>
      </c>
      <c r="F40" s="4">
        <f>(VLOOKUP('19.07'!N40,'19.07'!$AO$4:$AQ$55,3,FALSE))</f>
        <v>0</v>
      </c>
      <c r="G40" s="13">
        <f>(VLOOKUP('19.07'!O40,'19.07'!$AO$4:$AQ$55,3,FALSE))</f>
        <v>0</v>
      </c>
      <c r="H40" s="13">
        <f>(VLOOKUP('19.07'!P40,'19.07'!$AO$4:$AQ$55,3,FALSE))</f>
        <v>0</v>
      </c>
      <c r="I40" s="4">
        <f>(VLOOKUP('19.07'!Q40,'19.07'!$AO$4:$AQ$55,3,FALSE))</f>
        <v>0</v>
      </c>
      <c r="J40" s="4">
        <f>(VLOOKUP('19.07'!R40,'19.07'!$AO$4:$AQ$55,3,FALSE))</f>
        <v>0</v>
      </c>
      <c r="K40" s="4">
        <f>(VLOOKUP('19.07'!S40,'19.07'!$AO$4:$AQ$55,3,FALSE))</f>
        <v>0</v>
      </c>
      <c r="L40" s="4">
        <f>(VLOOKUP('19.07'!T40,'19.07'!$AO$4:$AQ$55,3,FALSE))</f>
        <v>0</v>
      </c>
      <c r="M40" s="4">
        <f>(VLOOKUP('19.07'!U40,'19.07'!$AO$4:$AQ$55,3,FALSE))</f>
        <v>0</v>
      </c>
      <c r="N40" s="4">
        <f>(VLOOKUP('19.07'!V40,'19.07'!$AO$4:$AQ$55,3,FALSE))</f>
        <v>0</v>
      </c>
      <c r="O40" s="13">
        <f>(VLOOKUP('19.07'!W40,'19.07'!$AO$4:$AQ$55,3,FALSE))</f>
        <v>0</v>
      </c>
      <c r="P40" s="13">
        <f>(VLOOKUP('19.07'!X40,'19.07'!$AO$4:$AQ$55,3,FALSE))</f>
        <v>0</v>
      </c>
      <c r="Q40" s="4">
        <f>(VLOOKUP('19.07'!Y40,'19.07'!$AO$4:$AQ$55,3,FALSE))</f>
        <v>40</v>
      </c>
      <c r="R40" s="4">
        <f>(VLOOKUP('19.07'!Z40,'19.07'!$AO$4:$AQ$55,3,FALSE))</f>
        <v>40</v>
      </c>
      <c r="S40" s="4">
        <f>(VLOOKUP('19.07'!AA40,'19.07'!$AO$4:$AQ$55,3,FALSE))</f>
        <v>30</v>
      </c>
      <c r="T40" s="4">
        <f>(VLOOKUP('19.07'!AB40,'19.07'!$AO$4:$AQ$55,3,FALSE))</f>
        <v>40</v>
      </c>
      <c r="U40" s="4">
        <f>(VLOOKUP('19.07'!AC40,'19.07'!$AO$4:$AQ$55,3,FALSE))</f>
        <v>40</v>
      </c>
      <c r="V40" s="4">
        <f>(VLOOKUP('19.07'!AD40,'19.07'!$AO$4:$AQ$55,3,FALSE))</f>
        <v>30</v>
      </c>
      <c r="W40" s="13">
        <f>(VLOOKUP('19.07'!AE40,'19.07'!$AO$4:$AQ$55,3,FALSE))</f>
        <v>0</v>
      </c>
      <c r="X40" s="13">
        <f>(VLOOKUP('19.07'!AF40,'19.07'!$AO$4:$AQ$55,3,FALSE))</f>
        <v>0</v>
      </c>
    </row>
    <row r="41" spans="1:24">
      <c r="A41" s="4">
        <f>(VLOOKUP('19.07'!I41,'19.07'!$AO$4:$AQ$55,3,FALSE))</f>
        <v>0</v>
      </c>
      <c r="B41" s="4">
        <f>(VLOOKUP('19.07'!J41,'19.07'!$AO$4:$AQ$55,3,FALSE))</f>
        <v>0</v>
      </c>
      <c r="C41" s="4">
        <f>(VLOOKUP('19.07'!K41,'19.07'!$AO$4:$AQ$55,3,FALSE))</f>
        <v>0</v>
      </c>
      <c r="D41" s="4">
        <f>(VLOOKUP('19.07'!L41,'19.07'!$AO$4:$AQ$55,3,FALSE))</f>
        <v>0</v>
      </c>
      <c r="E41" s="4">
        <f>(VLOOKUP('19.07'!M41,'19.07'!$AO$4:$AQ$55,3,FALSE))</f>
        <v>0</v>
      </c>
      <c r="F41" s="4">
        <f>(VLOOKUP('19.07'!N41,'19.07'!$AO$4:$AQ$55,3,FALSE))</f>
        <v>0</v>
      </c>
      <c r="G41" s="13">
        <f>(VLOOKUP('19.07'!O41,'19.07'!$AO$4:$AQ$55,3,FALSE))</f>
        <v>0</v>
      </c>
      <c r="H41" s="13">
        <f>(VLOOKUP('19.07'!P41,'19.07'!$AO$4:$AQ$55,3,FALSE))</f>
        <v>0</v>
      </c>
      <c r="I41" s="4">
        <f>(VLOOKUP('19.07'!Q41,'19.07'!$AO$4:$AQ$55,3,FALSE))</f>
        <v>0</v>
      </c>
      <c r="J41" s="4">
        <f>(VLOOKUP('19.07'!R41,'19.07'!$AO$4:$AQ$55,3,FALSE))</f>
        <v>0</v>
      </c>
      <c r="K41" s="4">
        <f>(VLOOKUP('19.07'!S41,'19.07'!$AO$4:$AQ$55,3,FALSE))</f>
        <v>0</v>
      </c>
      <c r="L41" s="4">
        <f>(VLOOKUP('19.07'!T41,'19.07'!$AO$4:$AQ$55,3,FALSE))</f>
        <v>0</v>
      </c>
      <c r="M41" s="4">
        <f>(VLOOKUP('19.07'!U41,'19.07'!$AO$4:$AQ$55,3,FALSE))</f>
        <v>0</v>
      </c>
      <c r="N41" s="4">
        <f>(VLOOKUP('19.07'!V41,'19.07'!$AO$4:$AQ$55,3,FALSE))</f>
        <v>0</v>
      </c>
      <c r="O41" s="13">
        <f>(VLOOKUP('19.07'!W41,'19.07'!$AO$4:$AQ$55,3,FALSE))</f>
        <v>0</v>
      </c>
      <c r="P41" s="13">
        <f>(VLOOKUP('19.07'!X41,'19.07'!$AO$4:$AQ$55,3,FALSE))</f>
        <v>0</v>
      </c>
      <c r="Q41" s="4">
        <f>(VLOOKUP('19.07'!Y41,'19.07'!$AO$4:$AQ$55,3,FALSE))</f>
        <v>0</v>
      </c>
      <c r="R41" s="4">
        <f>(VLOOKUP('19.07'!Z41,'19.07'!$AO$4:$AQ$55,3,FALSE))</f>
        <v>0</v>
      </c>
      <c r="S41" s="4">
        <f>(VLOOKUP('19.07'!AA41,'19.07'!$AO$4:$AQ$55,3,FALSE))</f>
        <v>0</v>
      </c>
      <c r="T41" s="4">
        <f>(VLOOKUP('19.07'!AB41,'19.07'!$AO$4:$AQ$55,3,FALSE))</f>
        <v>0</v>
      </c>
      <c r="U41" s="4">
        <f>(VLOOKUP('19.07'!AC41,'19.07'!$AO$4:$AQ$55,3,FALSE))</f>
        <v>0</v>
      </c>
      <c r="V41" s="4">
        <f>(VLOOKUP('19.07'!AD41,'19.07'!$AO$4:$AQ$55,3,FALSE))</f>
        <v>0</v>
      </c>
      <c r="W41" s="13">
        <f>(VLOOKUP('19.07'!AE41,'19.07'!$AO$4:$AQ$55,3,FALSE))</f>
        <v>0</v>
      </c>
      <c r="X41" s="13">
        <f>(VLOOKUP('19.07'!AF41,'19.07'!$AO$4:$AQ$55,3,FALSE))</f>
        <v>0</v>
      </c>
    </row>
    <row r="42" spans="1:24">
      <c r="A42" s="4">
        <f>(VLOOKUP('19.07'!I42,'19.07'!$AO$4:$AQ$55,3,FALSE))</f>
        <v>0</v>
      </c>
      <c r="B42" s="4">
        <f>(VLOOKUP('19.07'!J42,'19.07'!$AO$4:$AQ$55,3,FALSE))</f>
        <v>0</v>
      </c>
      <c r="C42" s="4">
        <f>(VLOOKUP('19.07'!K42,'19.07'!$AO$4:$AQ$55,3,FALSE))</f>
        <v>0</v>
      </c>
      <c r="D42" s="4">
        <f>(VLOOKUP('19.07'!L42,'19.07'!$AO$4:$AQ$55,3,FALSE))</f>
        <v>0</v>
      </c>
      <c r="E42" s="4">
        <f>(VLOOKUP('19.07'!M42,'19.07'!$AO$4:$AQ$55,3,FALSE))</f>
        <v>0</v>
      </c>
      <c r="F42" s="4">
        <f>(VLOOKUP('19.07'!N42,'19.07'!$AO$4:$AQ$55,3,FALSE))</f>
        <v>0</v>
      </c>
      <c r="G42" s="13">
        <f>(VLOOKUP('19.07'!O42,'19.07'!$AO$4:$AQ$55,3,FALSE))</f>
        <v>0</v>
      </c>
      <c r="H42" s="13">
        <f>(VLOOKUP('19.07'!P42,'19.07'!$AO$4:$AQ$55,3,FALSE))</f>
        <v>0</v>
      </c>
      <c r="I42" s="4">
        <f>(VLOOKUP('19.07'!Q42,'19.07'!$AO$4:$AQ$55,3,FALSE))</f>
        <v>0</v>
      </c>
      <c r="J42" s="4">
        <f>(VLOOKUP('19.07'!R42,'19.07'!$AO$4:$AQ$55,3,FALSE))</f>
        <v>0</v>
      </c>
      <c r="K42" s="4">
        <f>(VLOOKUP('19.07'!S42,'19.07'!$AO$4:$AQ$55,3,FALSE))</f>
        <v>0</v>
      </c>
      <c r="L42" s="4">
        <f>(VLOOKUP('19.07'!T42,'19.07'!$AO$4:$AQ$55,3,FALSE))</f>
        <v>0</v>
      </c>
      <c r="M42" s="4">
        <f>(VLOOKUP('19.07'!U42,'19.07'!$AO$4:$AQ$55,3,FALSE))</f>
        <v>0</v>
      </c>
      <c r="N42" s="4">
        <f>(VLOOKUP('19.07'!V42,'19.07'!$AO$4:$AQ$55,3,FALSE))</f>
        <v>0</v>
      </c>
      <c r="O42" s="13">
        <f>(VLOOKUP('19.07'!W42,'19.07'!$AO$4:$AQ$55,3,FALSE))</f>
        <v>0</v>
      </c>
      <c r="P42" s="13">
        <f>(VLOOKUP('19.07'!X42,'19.07'!$AO$4:$AQ$55,3,FALSE))</f>
        <v>0</v>
      </c>
      <c r="Q42" s="4">
        <f>(VLOOKUP('19.07'!Y42,'19.07'!$AO$4:$AQ$55,3,FALSE))</f>
        <v>0</v>
      </c>
      <c r="R42" s="4">
        <f>(VLOOKUP('19.07'!Z42,'19.07'!$AO$4:$AQ$55,3,FALSE))</f>
        <v>0</v>
      </c>
      <c r="S42" s="4">
        <f>(VLOOKUP('19.07'!AA42,'19.07'!$AO$4:$AQ$55,3,FALSE))</f>
        <v>0</v>
      </c>
      <c r="T42" s="4">
        <f>(VLOOKUP('19.07'!AB42,'19.07'!$AO$4:$AQ$55,3,FALSE))</f>
        <v>0</v>
      </c>
      <c r="U42" s="4">
        <f>(VLOOKUP('19.07'!AC42,'19.07'!$AO$4:$AQ$55,3,FALSE))</f>
        <v>0</v>
      </c>
      <c r="V42" s="4">
        <f>(VLOOKUP('19.07'!AD42,'19.07'!$AO$4:$AQ$55,3,FALSE))</f>
        <v>0</v>
      </c>
      <c r="W42" s="13">
        <f>(VLOOKUP('19.07'!AE42,'19.07'!$AO$4:$AQ$55,3,FALSE))</f>
        <v>0</v>
      </c>
      <c r="X42" s="13">
        <f>(VLOOKUP('19.07'!AF42,'19.07'!$AO$4:$AQ$55,3,FALSE))</f>
        <v>0</v>
      </c>
    </row>
    <row r="43" spans="1:24">
      <c r="A43" s="4">
        <f>(VLOOKUP('19.07'!I43,'19.07'!$AO$4:$AQ$55,3,FALSE))</f>
        <v>0</v>
      </c>
      <c r="B43" s="4">
        <f>(VLOOKUP('19.07'!J43,'19.07'!$AO$4:$AQ$55,3,FALSE))</f>
        <v>0</v>
      </c>
      <c r="C43" s="4">
        <f>(VLOOKUP('19.07'!K43,'19.07'!$AO$4:$AQ$55,3,FALSE))</f>
        <v>0</v>
      </c>
      <c r="D43" s="4">
        <f>(VLOOKUP('19.07'!L43,'19.07'!$AO$4:$AQ$55,3,FALSE))</f>
        <v>0</v>
      </c>
      <c r="E43" s="4">
        <f>(VLOOKUP('19.07'!M43,'19.07'!$AO$4:$AQ$55,3,FALSE))</f>
        <v>0</v>
      </c>
      <c r="F43" s="4">
        <f>(VLOOKUP('19.07'!N43,'19.07'!$AO$4:$AQ$55,3,FALSE))</f>
        <v>0</v>
      </c>
      <c r="G43" s="13">
        <f>(VLOOKUP('19.07'!O43,'19.07'!$AO$4:$AQ$55,3,FALSE))</f>
        <v>0</v>
      </c>
      <c r="H43" s="13">
        <f>(VLOOKUP('19.07'!P43,'19.07'!$AO$4:$AQ$55,3,FALSE))</f>
        <v>0</v>
      </c>
      <c r="I43" s="4">
        <f>(VLOOKUP('19.07'!Q43,'19.07'!$AO$4:$AQ$55,3,FALSE))</f>
        <v>0</v>
      </c>
      <c r="J43" s="4">
        <f>(VLOOKUP('19.07'!R43,'19.07'!$AO$4:$AQ$55,3,FALSE))</f>
        <v>0</v>
      </c>
      <c r="K43" s="4">
        <f>(VLOOKUP('19.07'!S43,'19.07'!$AO$4:$AQ$55,3,FALSE))</f>
        <v>0</v>
      </c>
      <c r="L43" s="4">
        <f>(VLOOKUP('19.07'!T43,'19.07'!$AO$4:$AQ$55,3,FALSE))</f>
        <v>0</v>
      </c>
      <c r="M43" s="4">
        <f>(VLOOKUP('19.07'!U43,'19.07'!$AO$4:$AQ$55,3,FALSE))</f>
        <v>0</v>
      </c>
      <c r="N43" s="4">
        <f>(VLOOKUP('19.07'!V43,'19.07'!$AO$4:$AQ$55,3,FALSE))</f>
        <v>0</v>
      </c>
      <c r="O43" s="13">
        <f>(VLOOKUP('19.07'!W43,'19.07'!$AO$4:$AQ$55,3,FALSE))</f>
        <v>0</v>
      </c>
      <c r="P43" s="13">
        <f>(VLOOKUP('19.07'!X43,'19.07'!$AO$4:$AQ$55,3,FALSE))</f>
        <v>0</v>
      </c>
      <c r="Q43" s="4">
        <f>(VLOOKUP('19.07'!Y43,'19.07'!$AO$4:$AQ$55,3,FALSE))</f>
        <v>0</v>
      </c>
      <c r="R43" s="4">
        <f>(VLOOKUP('19.07'!Z43,'19.07'!$AO$4:$AQ$55,3,FALSE))</f>
        <v>0</v>
      </c>
      <c r="S43" s="4">
        <f>(VLOOKUP('19.07'!AA43,'19.07'!$AO$4:$AQ$55,3,FALSE))</f>
        <v>0</v>
      </c>
      <c r="T43" s="4">
        <f>(VLOOKUP('19.07'!AB43,'19.07'!$AO$4:$AQ$55,3,FALSE))</f>
        <v>0</v>
      </c>
      <c r="U43" s="4">
        <f>(VLOOKUP('19.07'!AC43,'19.07'!$AO$4:$AQ$55,3,FALSE))</f>
        <v>0</v>
      </c>
      <c r="V43" s="4">
        <f>(VLOOKUP('19.07'!AD43,'19.07'!$AO$4:$AQ$55,3,FALSE))</f>
        <v>0</v>
      </c>
      <c r="W43" s="13">
        <f>(VLOOKUP('19.07'!AE43,'19.07'!$AO$4:$AQ$55,3,FALSE))</f>
        <v>0</v>
      </c>
      <c r="X43" s="13">
        <f>(VLOOKUP('19.07'!AF43,'19.07'!$AO$4:$AQ$55,3,FALSE))</f>
        <v>0</v>
      </c>
    </row>
    <row r="44" spans="1:24">
      <c r="A44" s="4">
        <f>(VLOOKUP('19.07'!I44,'19.07'!$AO$4:$AQ$55,3,FALSE))</f>
        <v>0</v>
      </c>
      <c r="B44" s="4">
        <f>(VLOOKUP('19.07'!J44,'19.07'!$AO$4:$AQ$55,3,FALSE))</f>
        <v>0</v>
      </c>
      <c r="C44" s="4">
        <f>(VLOOKUP('19.07'!K44,'19.07'!$AO$4:$AQ$55,3,FALSE))</f>
        <v>0</v>
      </c>
      <c r="D44" s="4">
        <f>(VLOOKUP('19.07'!L44,'19.07'!$AO$4:$AQ$55,3,FALSE))</f>
        <v>0</v>
      </c>
      <c r="E44" s="4">
        <f>(VLOOKUP('19.07'!M44,'19.07'!$AO$4:$AQ$55,3,FALSE))</f>
        <v>0</v>
      </c>
      <c r="F44" s="4">
        <f>(VLOOKUP('19.07'!N44,'19.07'!$AO$4:$AQ$55,3,FALSE))</f>
        <v>0</v>
      </c>
      <c r="G44" s="13">
        <f>(VLOOKUP('19.07'!O44,'19.07'!$AO$4:$AQ$55,3,FALSE))</f>
        <v>0</v>
      </c>
      <c r="H44" s="13">
        <f>(VLOOKUP('19.07'!P44,'19.07'!$AO$4:$AQ$55,3,FALSE))</f>
        <v>0</v>
      </c>
      <c r="I44" s="4">
        <f>(VLOOKUP('19.07'!Q44,'19.07'!$AO$4:$AQ$55,3,FALSE))</f>
        <v>0</v>
      </c>
      <c r="J44" s="4">
        <f>(VLOOKUP('19.07'!R44,'19.07'!$AO$4:$AQ$55,3,FALSE))</f>
        <v>0</v>
      </c>
      <c r="K44" s="4">
        <f>(VLOOKUP('19.07'!S44,'19.07'!$AO$4:$AQ$55,3,FALSE))</f>
        <v>0</v>
      </c>
      <c r="L44" s="4">
        <f>(VLOOKUP('19.07'!T44,'19.07'!$AO$4:$AQ$55,3,FALSE))</f>
        <v>0</v>
      </c>
      <c r="M44" s="4">
        <f>(VLOOKUP('19.07'!U44,'19.07'!$AO$4:$AQ$55,3,FALSE))</f>
        <v>0</v>
      </c>
      <c r="N44" s="4">
        <f>(VLOOKUP('19.07'!V44,'19.07'!$AO$4:$AQ$55,3,FALSE))</f>
        <v>0</v>
      </c>
      <c r="O44" s="13">
        <f>(VLOOKUP('19.07'!W44,'19.07'!$AO$4:$AQ$55,3,FALSE))</f>
        <v>0</v>
      </c>
      <c r="P44" s="13">
        <f>(VLOOKUP('19.07'!X44,'19.07'!$AO$4:$AQ$55,3,FALSE))</f>
        <v>0</v>
      </c>
      <c r="Q44" s="4">
        <f>(VLOOKUP('19.07'!Y44,'19.07'!$AO$4:$AQ$55,3,FALSE))</f>
        <v>0</v>
      </c>
      <c r="R44" s="4">
        <f>(VLOOKUP('19.07'!Z44,'19.07'!$AO$4:$AQ$55,3,FALSE))</f>
        <v>0</v>
      </c>
      <c r="S44" s="4">
        <f>(VLOOKUP('19.07'!AA44,'19.07'!$AO$4:$AQ$55,3,FALSE))</f>
        <v>0</v>
      </c>
      <c r="T44" s="4">
        <f>(VLOOKUP('19.07'!AB44,'19.07'!$AO$4:$AQ$55,3,FALSE))</f>
        <v>0</v>
      </c>
      <c r="U44" s="4">
        <f>(VLOOKUP('19.07'!AC44,'19.07'!$AO$4:$AQ$55,3,FALSE))</f>
        <v>0</v>
      </c>
      <c r="V44" s="4">
        <f>(VLOOKUP('19.07'!AD44,'19.07'!$AO$4:$AQ$55,3,FALSE))</f>
        <v>0</v>
      </c>
      <c r="W44" s="13">
        <f>(VLOOKUP('19.07'!AE44,'19.07'!$AO$4:$AQ$55,3,FALSE))</f>
        <v>0</v>
      </c>
      <c r="X44" s="13">
        <f>(VLOOKUP('19.07'!AF44,'19.07'!$AO$4:$AQ$55,3,FALSE))</f>
        <v>0</v>
      </c>
    </row>
    <row r="45" spans="1:24">
      <c r="A45" s="4">
        <f>(VLOOKUP('19.07'!I45,'19.07'!$AO$4:$AQ$55,3,FALSE))</f>
        <v>0</v>
      </c>
      <c r="B45" s="4">
        <f>(VLOOKUP('19.07'!J45,'19.07'!$AO$4:$AQ$55,3,FALSE))</f>
        <v>0</v>
      </c>
      <c r="C45" s="4">
        <f>(VLOOKUP('19.07'!K45,'19.07'!$AO$4:$AQ$55,3,FALSE))</f>
        <v>0</v>
      </c>
      <c r="D45" s="4">
        <f>(VLOOKUP('19.07'!L45,'19.07'!$AO$4:$AQ$55,3,FALSE))</f>
        <v>0</v>
      </c>
      <c r="E45" s="4">
        <f>(VLOOKUP('19.07'!M45,'19.07'!$AO$4:$AQ$55,3,FALSE))</f>
        <v>0</v>
      </c>
      <c r="F45" s="4">
        <f>(VLOOKUP('19.07'!N45,'19.07'!$AO$4:$AQ$55,3,FALSE))</f>
        <v>0</v>
      </c>
      <c r="G45" s="13">
        <f>(VLOOKUP('19.07'!O45,'19.07'!$AO$4:$AQ$55,3,FALSE))</f>
        <v>0</v>
      </c>
      <c r="H45" s="13">
        <f>(VLOOKUP('19.07'!P45,'19.07'!$AO$4:$AQ$55,3,FALSE))</f>
        <v>0</v>
      </c>
      <c r="I45" s="4">
        <f>(VLOOKUP('19.07'!Q45,'19.07'!$AO$4:$AQ$55,3,FALSE))</f>
        <v>0</v>
      </c>
      <c r="J45" s="4">
        <f>(VLOOKUP('19.07'!R45,'19.07'!$AO$4:$AQ$55,3,FALSE))</f>
        <v>0</v>
      </c>
      <c r="K45" s="4">
        <f>(VLOOKUP('19.07'!S45,'19.07'!$AO$4:$AQ$55,3,FALSE))</f>
        <v>0</v>
      </c>
      <c r="L45" s="4">
        <f>(VLOOKUP('19.07'!T45,'19.07'!$AO$4:$AQ$55,3,FALSE))</f>
        <v>0</v>
      </c>
      <c r="M45" s="4">
        <f>(VLOOKUP('19.07'!U45,'19.07'!$AO$4:$AQ$55,3,FALSE))</f>
        <v>0</v>
      </c>
      <c r="N45" s="4">
        <f>(VLOOKUP('19.07'!V45,'19.07'!$AO$4:$AQ$55,3,FALSE))</f>
        <v>0</v>
      </c>
      <c r="O45" s="13">
        <f>(VLOOKUP('19.07'!W45,'19.07'!$AO$4:$AQ$55,3,FALSE))</f>
        <v>0</v>
      </c>
      <c r="P45" s="13">
        <f>(VLOOKUP('19.07'!X45,'19.07'!$AO$4:$AQ$55,3,FALSE))</f>
        <v>0</v>
      </c>
      <c r="Q45" s="4">
        <f>(VLOOKUP('19.07'!Y45,'19.07'!$AO$4:$AQ$55,3,FALSE))</f>
        <v>0</v>
      </c>
      <c r="R45" s="4">
        <f>(VLOOKUP('19.07'!Z45,'19.07'!$AO$4:$AQ$55,3,FALSE))</f>
        <v>0</v>
      </c>
      <c r="S45" s="4">
        <f>(VLOOKUP('19.07'!AA45,'19.07'!$AO$4:$AQ$55,3,FALSE))</f>
        <v>0</v>
      </c>
      <c r="T45" s="4">
        <f>(VLOOKUP('19.07'!AB45,'19.07'!$AO$4:$AQ$55,3,FALSE))</f>
        <v>0</v>
      </c>
      <c r="U45" s="4">
        <f>(VLOOKUP('19.07'!AC45,'19.07'!$AO$4:$AQ$55,3,FALSE))</f>
        <v>0</v>
      </c>
      <c r="V45" s="4">
        <f>(VLOOKUP('19.07'!AD45,'19.07'!$AO$4:$AQ$55,3,FALSE))</f>
        <v>0</v>
      </c>
      <c r="W45" s="13">
        <f>(VLOOKUP('19.07'!AE45,'19.07'!$AO$4:$AQ$55,3,FALSE))</f>
        <v>0</v>
      </c>
      <c r="X45" s="13">
        <f>(VLOOKUP('19.07'!AF45,'19.07'!$AO$4:$AQ$55,3,FALSE))</f>
        <v>0</v>
      </c>
    </row>
    <row r="46" spans="1:24">
      <c r="A46" s="4">
        <f>(VLOOKUP('19.07'!I46,'19.07'!$AO$4:$AQ$55,3,FALSE))</f>
        <v>0</v>
      </c>
      <c r="B46" s="4">
        <f>(VLOOKUP('19.07'!J46,'19.07'!$AO$4:$AQ$55,3,FALSE))</f>
        <v>0</v>
      </c>
      <c r="C46" s="4">
        <f>(VLOOKUP('19.07'!K46,'19.07'!$AO$4:$AQ$55,3,FALSE))</f>
        <v>0</v>
      </c>
      <c r="D46" s="4">
        <f>(VLOOKUP('19.07'!L46,'19.07'!$AO$4:$AQ$55,3,FALSE))</f>
        <v>0</v>
      </c>
      <c r="E46" s="4">
        <f>(VLOOKUP('19.07'!M46,'19.07'!$AO$4:$AQ$55,3,FALSE))</f>
        <v>0</v>
      </c>
      <c r="F46" s="4">
        <f>(VLOOKUP('19.07'!N46,'19.07'!$AO$4:$AQ$55,3,FALSE))</f>
        <v>0</v>
      </c>
      <c r="G46" s="13">
        <f>(VLOOKUP('19.07'!O46,'19.07'!$AO$4:$AQ$55,3,FALSE))</f>
        <v>0</v>
      </c>
      <c r="H46" s="13">
        <f>(VLOOKUP('19.07'!P46,'19.07'!$AO$4:$AQ$55,3,FALSE))</f>
        <v>0</v>
      </c>
      <c r="I46" s="4">
        <f>(VLOOKUP('19.07'!Q46,'19.07'!$AO$4:$AQ$55,3,FALSE))</f>
        <v>0</v>
      </c>
      <c r="J46" s="4">
        <f>(VLOOKUP('19.07'!R46,'19.07'!$AO$4:$AQ$55,3,FALSE))</f>
        <v>0</v>
      </c>
      <c r="K46" s="4">
        <f>(VLOOKUP('19.07'!S46,'19.07'!$AO$4:$AQ$55,3,FALSE))</f>
        <v>0</v>
      </c>
      <c r="L46" s="4">
        <f>(VLOOKUP('19.07'!T46,'19.07'!$AO$4:$AQ$55,3,FALSE))</f>
        <v>0</v>
      </c>
      <c r="M46" s="4">
        <f>(VLOOKUP('19.07'!U46,'19.07'!$AO$4:$AQ$55,3,FALSE))</f>
        <v>0</v>
      </c>
      <c r="N46" s="4">
        <f>(VLOOKUP('19.07'!V46,'19.07'!$AO$4:$AQ$55,3,FALSE))</f>
        <v>0</v>
      </c>
      <c r="O46" s="13">
        <f>(VLOOKUP('19.07'!W46,'19.07'!$AO$4:$AQ$55,3,FALSE))</f>
        <v>0</v>
      </c>
      <c r="P46" s="13">
        <f>(VLOOKUP('19.07'!X46,'19.07'!$AO$4:$AQ$55,3,FALSE))</f>
        <v>0</v>
      </c>
      <c r="Q46" s="4">
        <f>(VLOOKUP('19.07'!Y46,'19.07'!$AO$4:$AQ$55,3,FALSE))</f>
        <v>0</v>
      </c>
      <c r="R46" s="4">
        <f>(VLOOKUP('19.07'!Z46,'19.07'!$AO$4:$AQ$55,3,FALSE))</f>
        <v>0</v>
      </c>
      <c r="S46" s="4">
        <f>(VLOOKUP('19.07'!AA46,'19.07'!$AO$4:$AQ$55,3,FALSE))</f>
        <v>0</v>
      </c>
      <c r="T46" s="4">
        <f>(VLOOKUP('19.07'!AB46,'19.07'!$AO$4:$AQ$55,3,FALSE))</f>
        <v>0</v>
      </c>
      <c r="U46" s="4">
        <f>(VLOOKUP('19.07'!AC46,'19.07'!$AO$4:$AQ$55,3,FALSE))</f>
        <v>0</v>
      </c>
      <c r="V46" s="4">
        <f>(VLOOKUP('19.07'!AD46,'19.07'!$AO$4:$AQ$55,3,FALSE))</f>
        <v>0</v>
      </c>
      <c r="W46" s="13">
        <f>(VLOOKUP('19.07'!AE46,'19.07'!$AO$4:$AQ$55,3,FALSE))</f>
        <v>0</v>
      </c>
      <c r="X46" s="13">
        <f>(VLOOKUP('19.07'!AF46,'19.07'!$AO$4:$AQ$55,3,FALSE))</f>
        <v>0</v>
      </c>
    </row>
    <row r="47" spans="1:24">
      <c r="A47" s="4">
        <f>(VLOOKUP('19.07'!I47,'19.07'!$AO$4:$AQ$55,3,FALSE))</f>
        <v>0</v>
      </c>
      <c r="B47" s="4">
        <f>(VLOOKUP('19.07'!J47,'19.07'!$AO$4:$AQ$55,3,FALSE))</f>
        <v>0</v>
      </c>
      <c r="C47" s="4">
        <f>(VLOOKUP('19.07'!K47,'19.07'!$AO$4:$AQ$55,3,FALSE))</f>
        <v>0</v>
      </c>
      <c r="D47" s="4">
        <f>(VLOOKUP('19.07'!L47,'19.07'!$AO$4:$AQ$55,3,FALSE))</f>
        <v>0</v>
      </c>
      <c r="E47" s="4">
        <f>(VLOOKUP('19.07'!M47,'19.07'!$AO$4:$AQ$55,3,FALSE))</f>
        <v>0</v>
      </c>
      <c r="F47" s="4">
        <f>(VLOOKUP('19.07'!N47,'19.07'!$AO$4:$AQ$55,3,FALSE))</f>
        <v>0</v>
      </c>
      <c r="G47" s="13">
        <f>(VLOOKUP('19.07'!O47,'19.07'!$AO$4:$AQ$55,3,FALSE))</f>
        <v>0</v>
      </c>
      <c r="H47" s="13">
        <f>(VLOOKUP('19.07'!P47,'19.07'!$AO$4:$AQ$55,3,FALSE))</f>
        <v>0</v>
      </c>
      <c r="I47" s="4">
        <f>(VLOOKUP('19.07'!Q47,'19.07'!$AO$4:$AQ$55,3,FALSE))</f>
        <v>0</v>
      </c>
      <c r="J47" s="4">
        <f>(VLOOKUP('19.07'!R47,'19.07'!$AO$4:$AQ$55,3,FALSE))</f>
        <v>0</v>
      </c>
      <c r="K47" s="4">
        <f>(VLOOKUP('19.07'!S47,'19.07'!$AO$4:$AQ$55,3,FALSE))</f>
        <v>0</v>
      </c>
      <c r="L47" s="4">
        <f>(VLOOKUP('19.07'!T47,'19.07'!$AO$4:$AQ$55,3,FALSE))</f>
        <v>0</v>
      </c>
      <c r="M47" s="4">
        <f>(VLOOKUP('19.07'!U47,'19.07'!$AO$4:$AQ$55,3,FALSE))</f>
        <v>0</v>
      </c>
      <c r="N47" s="4">
        <f>(VLOOKUP('19.07'!V47,'19.07'!$AO$4:$AQ$55,3,FALSE))</f>
        <v>0</v>
      </c>
      <c r="O47" s="13">
        <f>(VLOOKUP('19.07'!W47,'19.07'!$AO$4:$AQ$55,3,FALSE))</f>
        <v>0</v>
      </c>
      <c r="P47" s="13">
        <f>(VLOOKUP('19.07'!X47,'19.07'!$AO$4:$AQ$55,3,FALSE))</f>
        <v>0</v>
      </c>
      <c r="Q47" s="4">
        <f>(VLOOKUP('19.07'!Y47,'19.07'!$AO$4:$AQ$55,3,FALSE))</f>
        <v>0</v>
      </c>
      <c r="R47" s="4">
        <f>(VLOOKUP('19.07'!Z47,'19.07'!$AO$4:$AQ$55,3,FALSE))</f>
        <v>0</v>
      </c>
      <c r="S47" s="4">
        <f>(VLOOKUP('19.07'!AA47,'19.07'!$AO$4:$AQ$55,3,FALSE))</f>
        <v>0</v>
      </c>
      <c r="T47" s="4">
        <f>(VLOOKUP('19.07'!AB47,'19.07'!$AO$4:$AQ$55,3,FALSE))</f>
        <v>0</v>
      </c>
      <c r="U47" s="4">
        <f>(VLOOKUP('19.07'!AC47,'19.07'!$AO$4:$AQ$55,3,FALSE))</f>
        <v>0</v>
      </c>
      <c r="V47" s="4">
        <f>(VLOOKUP('19.07'!AD47,'19.07'!$AO$4:$AQ$55,3,FALSE))</f>
        <v>0</v>
      </c>
      <c r="W47" s="13">
        <f>(VLOOKUP('19.07'!AE47,'19.07'!$AO$4:$AQ$55,3,FALSE))</f>
        <v>0</v>
      </c>
      <c r="X47" s="13">
        <f>(VLOOKUP('19.07'!AF47,'19.07'!$AO$4:$AQ$55,3,FALSE))</f>
        <v>0</v>
      </c>
    </row>
    <row r="48" spans="1:24">
      <c r="A48" s="4">
        <f>(VLOOKUP('19.07'!I48,'19.07'!$AO$4:$AQ$55,3,FALSE))</f>
        <v>0</v>
      </c>
      <c r="B48" s="4">
        <f>(VLOOKUP('19.07'!J48,'19.07'!$AO$4:$AQ$55,3,FALSE))</f>
        <v>0</v>
      </c>
      <c r="C48" s="4">
        <f>(VLOOKUP('19.07'!K48,'19.07'!$AO$4:$AQ$55,3,FALSE))</f>
        <v>0</v>
      </c>
      <c r="D48" s="4">
        <f>(VLOOKUP('19.07'!L48,'19.07'!$AO$4:$AQ$55,3,FALSE))</f>
        <v>0</v>
      </c>
      <c r="E48" s="4">
        <f>(VLOOKUP('19.07'!M48,'19.07'!$AO$4:$AQ$55,3,FALSE))</f>
        <v>0</v>
      </c>
      <c r="F48" s="4">
        <f>(VLOOKUP('19.07'!N48,'19.07'!$AO$4:$AQ$55,3,FALSE))</f>
        <v>0</v>
      </c>
      <c r="G48" s="13">
        <f>(VLOOKUP('19.07'!O48,'19.07'!$AO$4:$AQ$55,3,FALSE))</f>
        <v>0</v>
      </c>
      <c r="H48" s="13">
        <f>(VLOOKUP('19.07'!P48,'19.07'!$AO$4:$AQ$55,3,FALSE))</f>
        <v>0</v>
      </c>
      <c r="I48" s="4">
        <f>(VLOOKUP('19.07'!Q48,'19.07'!$AO$4:$AQ$55,3,FALSE))</f>
        <v>0</v>
      </c>
      <c r="J48" s="4">
        <f>(VLOOKUP('19.07'!R48,'19.07'!$AO$4:$AQ$55,3,FALSE))</f>
        <v>0</v>
      </c>
      <c r="K48" s="4">
        <f>(VLOOKUP('19.07'!S48,'19.07'!$AO$4:$AQ$55,3,FALSE))</f>
        <v>0</v>
      </c>
      <c r="L48" s="4">
        <f>(VLOOKUP('19.07'!T48,'19.07'!$AO$4:$AQ$55,3,FALSE))</f>
        <v>0</v>
      </c>
      <c r="M48" s="4">
        <f>(VLOOKUP('19.07'!U48,'19.07'!$AO$4:$AQ$55,3,FALSE))</f>
        <v>0</v>
      </c>
      <c r="N48" s="4">
        <f>(VLOOKUP('19.07'!V48,'19.07'!$AO$4:$AQ$55,3,FALSE))</f>
        <v>0</v>
      </c>
      <c r="O48" s="13">
        <f>(VLOOKUP('19.07'!W48,'19.07'!$AO$4:$AQ$55,3,FALSE))</f>
        <v>0</v>
      </c>
      <c r="P48" s="13">
        <f>(VLOOKUP('19.07'!X48,'19.07'!$AO$4:$AQ$55,3,FALSE))</f>
        <v>0</v>
      </c>
      <c r="Q48" s="4">
        <f>(VLOOKUP('19.07'!Y48,'19.07'!$AO$4:$AQ$55,3,FALSE))</f>
        <v>0</v>
      </c>
      <c r="R48" s="4">
        <f>(VLOOKUP('19.07'!Z48,'19.07'!$AO$4:$AQ$55,3,FALSE))</f>
        <v>0</v>
      </c>
      <c r="S48" s="4">
        <f>(VLOOKUP('19.07'!AA48,'19.07'!$AO$4:$AQ$55,3,FALSE))</f>
        <v>0</v>
      </c>
      <c r="T48" s="4">
        <f>(VLOOKUP('19.07'!AB48,'19.07'!$AO$4:$AQ$55,3,FALSE))</f>
        <v>0</v>
      </c>
      <c r="U48" s="4">
        <f>(VLOOKUP('19.07'!AC48,'19.07'!$AO$4:$AQ$55,3,FALSE))</f>
        <v>0</v>
      </c>
      <c r="V48" s="4">
        <f>(VLOOKUP('19.07'!AD48,'19.07'!$AO$4:$AQ$55,3,FALSE))</f>
        <v>0</v>
      </c>
      <c r="W48" s="13">
        <f>(VLOOKUP('19.07'!AE48,'19.07'!$AO$4:$AQ$55,3,FALSE))</f>
        <v>0</v>
      </c>
      <c r="X48" s="13">
        <f>(VLOOKUP('19.07'!AF48,'19.07'!$AO$4:$AQ$55,3,FALSE))</f>
        <v>0</v>
      </c>
    </row>
    <row r="49" spans="1:24">
      <c r="A49" s="4">
        <f>(VLOOKUP('19.07'!I49,'19.07'!$AO$4:$AQ$55,3,FALSE))</f>
        <v>0</v>
      </c>
      <c r="B49" s="4">
        <f>(VLOOKUP('19.07'!J49,'19.07'!$AO$4:$AQ$55,3,FALSE))</f>
        <v>0</v>
      </c>
      <c r="C49" s="4">
        <f>(VLOOKUP('19.07'!K49,'19.07'!$AO$4:$AQ$55,3,FALSE))</f>
        <v>0</v>
      </c>
      <c r="D49" s="4">
        <f>(VLOOKUP('19.07'!L49,'19.07'!$AO$4:$AQ$55,3,FALSE))</f>
        <v>0</v>
      </c>
      <c r="E49" s="4">
        <f>(VLOOKUP('19.07'!M49,'19.07'!$AO$4:$AQ$55,3,FALSE))</f>
        <v>0</v>
      </c>
      <c r="F49" s="4">
        <f>(VLOOKUP('19.07'!N49,'19.07'!$AO$4:$AQ$55,3,FALSE))</f>
        <v>0</v>
      </c>
      <c r="G49" s="13">
        <f>(VLOOKUP('19.07'!O49,'19.07'!$AO$4:$AQ$55,3,FALSE))</f>
        <v>0</v>
      </c>
      <c r="H49" s="13">
        <f>(VLOOKUP('19.07'!P49,'19.07'!$AO$4:$AQ$55,3,FALSE))</f>
        <v>0</v>
      </c>
      <c r="I49" s="4">
        <f>(VLOOKUP('19.07'!Q49,'19.07'!$AO$4:$AQ$55,3,FALSE))</f>
        <v>0</v>
      </c>
      <c r="J49" s="4">
        <f>(VLOOKUP('19.07'!R49,'19.07'!$AO$4:$AQ$55,3,FALSE))</f>
        <v>0</v>
      </c>
      <c r="K49" s="4">
        <f>(VLOOKUP('19.07'!S49,'19.07'!$AO$4:$AQ$55,3,FALSE))</f>
        <v>0</v>
      </c>
      <c r="L49" s="4">
        <f>(VLOOKUP('19.07'!T49,'19.07'!$AO$4:$AQ$55,3,FALSE))</f>
        <v>0</v>
      </c>
      <c r="M49" s="4">
        <f>(VLOOKUP('19.07'!U49,'19.07'!$AO$4:$AQ$55,3,FALSE))</f>
        <v>0</v>
      </c>
      <c r="N49" s="4">
        <f>(VLOOKUP('19.07'!V49,'19.07'!$AO$4:$AQ$55,3,FALSE))</f>
        <v>0</v>
      </c>
      <c r="O49" s="13">
        <f>(VLOOKUP('19.07'!W49,'19.07'!$AO$4:$AQ$55,3,FALSE))</f>
        <v>0</v>
      </c>
      <c r="P49" s="13">
        <f>(VLOOKUP('19.07'!X49,'19.07'!$AO$4:$AQ$55,3,FALSE))</f>
        <v>0</v>
      </c>
      <c r="Q49" s="4">
        <f>(VLOOKUP('19.07'!Y49,'19.07'!$AO$4:$AQ$55,3,FALSE))</f>
        <v>0</v>
      </c>
      <c r="R49" s="4">
        <f>(VLOOKUP('19.07'!Z49,'19.07'!$AO$4:$AQ$55,3,FALSE))</f>
        <v>0</v>
      </c>
      <c r="S49" s="4">
        <f>(VLOOKUP('19.07'!AA49,'19.07'!$AO$4:$AQ$55,3,FALSE))</f>
        <v>0</v>
      </c>
      <c r="T49" s="4">
        <f>(VLOOKUP('19.07'!AB49,'19.07'!$AO$4:$AQ$55,3,FALSE))</f>
        <v>0</v>
      </c>
      <c r="U49" s="4">
        <f>(VLOOKUP('19.07'!AC49,'19.07'!$AO$4:$AQ$55,3,FALSE))</f>
        <v>0</v>
      </c>
      <c r="V49" s="4">
        <f>(VLOOKUP('19.07'!AD49,'19.07'!$AO$4:$AQ$55,3,FALSE))</f>
        <v>0</v>
      </c>
      <c r="W49" s="13">
        <f>(VLOOKUP('19.07'!AE49,'19.07'!$AO$4:$AQ$55,3,FALSE))</f>
        <v>0</v>
      </c>
      <c r="X49" s="13">
        <f>(VLOOKUP('19.07'!AF49,'19.07'!$AO$4:$AQ$55,3,FALSE))</f>
        <v>0</v>
      </c>
    </row>
    <row r="50" spans="1:24">
      <c r="A50" s="4">
        <f>(VLOOKUP('19.07'!I50,'19.07'!$AO$4:$AQ$55,3,FALSE))</f>
        <v>0</v>
      </c>
      <c r="B50" s="4">
        <f>(VLOOKUP('19.07'!J50,'19.07'!$AO$4:$AQ$55,3,FALSE))</f>
        <v>0</v>
      </c>
      <c r="C50" s="4">
        <f>(VLOOKUP('19.07'!K50,'19.07'!$AO$4:$AQ$55,3,FALSE))</f>
        <v>0</v>
      </c>
      <c r="D50" s="4">
        <f>(VLOOKUP('19.07'!L50,'19.07'!$AO$4:$AQ$55,3,FALSE))</f>
        <v>0</v>
      </c>
      <c r="E50" s="4">
        <f>(VLOOKUP('19.07'!M50,'19.07'!$AO$4:$AQ$55,3,FALSE))</f>
        <v>0</v>
      </c>
      <c r="F50" s="4">
        <f>(VLOOKUP('19.07'!N50,'19.07'!$AO$4:$AQ$55,3,FALSE))</f>
        <v>0</v>
      </c>
      <c r="G50" s="13">
        <f>(VLOOKUP('19.07'!O50,'19.07'!$AO$4:$AQ$55,3,FALSE))</f>
        <v>0</v>
      </c>
      <c r="H50" s="13">
        <f>(VLOOKUP('19.07'!P50,'19.07'!$AO$4:$AQ$55,3,FALSE))</f>
        <v>0</v>
      </c>
      <c r="I50" s="4">
        <f>(VLOOKUP('19.07'!Q50,'19.07'!$AO$4:$AQ$55,3,FALSE))</f>
        <v>0</v>
      </c>
      <c r="J50" s="4">
        <f>(VLOOKUP('19.07'!R50,'19.07'!$AO$4:$AQ$55,3,FALSE))</f>
        <v>0</v>
      </c>
      <c r="K50" s="4">
        <f>(VLOOKUP('19.07'!S50,'19.07'!$AO$4:$AQ$55,3,FALSE))</f>
        <v>0</v>
      </c>
      <c r="L50" s="4">
        <f>(VLOOKUP('19.07'!T50,'19.07'!$AO$4:$AQ$55,3,FALSE))</f>
        <v>0</v>
      </c>
      <c r="M50" s="4">
        <f>(VLOOKUP('19.07'!U50,'19.07'!$AO$4:$AQ$55,3,FALSE))</f>
        <v>0</v>
      </c>
      <c r="N50" s="4">
        <f>(VLOOKUP('19.07'!V50,'19.07'!$AO$4:$AQ$55,3,FALSE))</f>
        <v>0</v>
      </c>
      <c r="O50" s="13">
        <f>(VLOOKUP('19.07'!W50,'19.07'!$AO$4:$AQ$55,3,FALSE))</f>
        <v>0</v>
      </c>
      <c r="P50" s="13">
        <f>(VLOOKUP('19.07'!X50,'19.07'!$AO$4:$AQ$55,3,FALSE))</f>
        <v>0</v>
      </c>
      <c r="Q50" s="4">
        <f>(VLOOKUP('19.07'!Y50,'19.07'!$AO$4:$AQ$55,3,FALSE))</f>
        <v>0</v>
      </c>
      <c r="R50" s="4">
        <f>(VLOOKUP('19.07'!Z50,'19.07'!$AO$4:$AQ$55,3,FALSE))</f>
        <v>0</v>
      </c>
      <c r="S50" s="4">
        <f>(VLOOKUP('19.07'!AA50,'19.07'!$AO$4:$AQ$55,3,FALSE))</f>
        <v>0</v>
      </c>
      <c r="T50" s="4">
        <f>(VLOOKUP('19.07'!AB50,'19.07'!$AO$4:$AQ$55,3,FALSE))</f>
        <v>0</v>
      </c>
      <c r="U50" s="4">
        <f>(VLOOKUP('19.07'!AC50,'19.07'!$AO$4:$AQ$55,3,FALSE))</f>
        <v>0</v>
      </c>
      <c r="V50" s="4">
        <f>(VLOOKUP('19.07'!AD50,'19.07'!$AO$4:$AQ$55,3,FALSE))</f>
        <v>0</v>
      </c>
      <c r="W50" s="13">
        <f>(VLOOKUP('19.07'!AE50,'19.07'!$AO$4:$AQ$55,3,FALSE))</f>
        <v>0</v>
      </c>
      <c r="X50" s="13">
        <f>(VLOOKUP('19.07'!AF50,'19.07'!$AO$4:$AQ$55,3,FALSE))</f>
        <v>0</v>
      </c>
    </row>
    <row r="51" spans="1:24">
      <c r="A51" s="4">
        <f>(VLOOKUP('19.07'!I51,'19.07'!$AO$4:$AQ$55,3,FALSE))</f>
        <v>0</v>
      </c>
      <c r="B51" s="4">
        <f>(VLOOKUP('19.07'!J51,'19.07'!$AO$4:$AQ$55,3,FALSE))</f>
        <v>0</v>
      </c>
      <c r="C51" s="4">
        <f>(VLOOKUP('19.07'!K51,'19.07'!$AO$4:$AQ$55,3,FALSE))</f>
        <v>0</v>
      </c>
      <c r="D51" s="4">
        <f>(VLOOKUP('19.07'!L51,'19.07'!$AO$4:$AQ$55,3,FALSE))</f>
        <v>0</v>
      </c>
      <c r="E51" s="4">
        <f>(VLOOKUP('19.07'!M51,'19.07'!$AO$4:$AQ$55,3,FALSE))</f>
        <v>0</v>
      </c>
      <c r="F51" s="4">
        <f>(VLOOKUP('19.07'!N51,'19.07'!$AO$4:$AQ$55,3,FALSE))</f>
        <v>0</v>
      </c>
      <c r="G51" s="13">
        <f>(VLOOKUP('19.07'!O51,'19.07'!$AO$4:$AQ$55,3,FALSE))</f>
        <v>0</v>
      </c>
      <c r="H51" s="13">
        <f>(VLOOKUP('19.07'!P51,'19.07'!$AO$4:$AQ$55,3,FALSE))</f>
        <v>0</v>
      </c>
      <c r="I51" s="4">
        <f>(VLOOKUP('19.07'!Q51,'19.07'!$AO$4:$AQ$55,3,FALSE))</f>
        <v>0</v>
      </c>
      <c r="J51" s="4">
        <f>(VLOOKUP('19.07'!R51,'19.07'!$AO$4:$AQ$55,3,FALSE))</f>
        <v>0</v>
      </c>
      <c r="K51" s="4">
        <f>(VLOOKUP('19.07'!S51,'19.07'!$AO$4:$AQ$55,3,FALSE))</f>
        <v>0</v>
      </c>
      <c r="L51" s="4">
        <f>(VLOOKUP('19.07'!T51,'19.07'!$AO$4:$AQ$55,3,FALSE))</f>
        <v>0</v>
      </c>
      <c r="M51" s="4">
        <f>(VLOOKUP('19.07'!U51,'19.07'!$AO$4:$AQ$55,3,FALSE))</f>
        <v>0</v>
      </c>
      <c r="N51" s="4">
        <f>(VLOOKUP('19.07'!V51,'19.07'!$AO$4:$AQ$55,3,FALSE))</f>
        <v>0</v>
      </c>
      <c r="O51" s="13">
        <f>(VLOOKUP('19.07'!W51,'19.07'!$AO$4:$AQ$55,3,FALSE))</f>
        <v>0</v>
      </c>
      <c r="P51" s="13">
        <f>(VLOOKUP('19.07'!X51,'19.07'!$AO$4:$AQ$55,3,FALSE))</f>
        <v>0</v>
      </c>
      <c r="Q51" s="4">
        <f>(VLOOKUP('19.07'!Y51,'19.07'!$AO$4:$AQ$55,3,FALSE))</f>
        <v>0</v>
      </c>
      <c r="R51" s="4">
        <f>(VLOOKUP('19.07'!Z51,'19.07'!$AO$4:$AQ$55,3,FALSE))</f>
        <v>0</v>
      </c>
      <c r="S51" s="4">
        <f>(VLOOKUP('19.07'!AA51,'19.07'!$AO$4:$AQ$55,3,FALSE))</f>
        <v>0</v>
      </c>
      <c r="T51" s="4">
        <f>(VLOOKUP('19.07'!AB51,'19.07'!$AO$4:$AQ$55,3,FALSE))</f>
        <v>0</v>
      </c>
      <c r="U51" s="4">
        <f>(VLOOKUP('19.07'!AC51,'19.07'!$AO$4:$AQ$55,3,FALSE))</f>
        <v>0</v>
      </c>
      <c r="V51" s="4">
        <f>(VLOOKUP('19.07'!AD51,'19.07'!$AO$4:$AQ$55,3,FALSE))</f>
        <v>0</v>
      </c>
      <c r="W51" s="13">
        <f>(VLOOKUP('19.07'!AE51,'19.07'!$AO$4:$AQ$55,3,FALSE))</f>
        <v>0</v>
      </c>
      <c r="X51" s="13">
        <f>(VLOOKUP('19.07'!AF51,'19.07'!$AO$4:$AQ$55,3,FALSE))</f>
        <v>0</v>
      </c>
    </row>
    <row r="52" spans="1:24">
      <c r="A52" s="4">
        <f>(VLOOKUP('19.07'!I52,'19.07'!$AO$4:$AQ$55,3,FALSE))</f>
        <v>0</v>
      </c>
      <c r="B52" s="4">
        <f>(VLOOKUP('19.07'!J52,'19.07'!$AO$4:$AQ$55,3,FALSE))</f>
        <v>0</v>
      </c>
      <c r="C52" s="4">
        <f>(VLOOKUP('19.07'!K52,'19.07'!$AO$4:$AQ$55,3,FALSE))</f>
        <v>0</v>
      </c>
      <c r="D52" s="4">
        <f>(VLOOKUP('19.07'!L52,'19.07'!$AO$4:$AQ$55,3,FALSE))</f>
        <v>0</v>
      </c>
      <c r="E52" s="4">
        <f>(VLOOKUP('19.07'!M52,'19.07'!$AO$4:$AQ$55,3,FALSE))</f>
        <v>0</v>
      </c>
      <c r="F52" s="4">
        <f>(VLOOKUP('19.07'!N52,'19.07'!$AO$4:$AQ$55,3,FALSE))</f>
        <v>0</v>
      </c>
      <c r="G52" s="13">
        <f>(VLOOKUP('19.07'!O52,'19.07'!$AO$4:$AQ$55,3,FALSE))</f>
        <v>0</v>
      </c>
      <c r="H52" s="13">
        <f>(VLOOKUP('19.07'!P52,'19.07'!$AO$4:$AQ$55,3,FALSE))</f>
        <v>0</v>
      </c>
      <c r="I52" s="4">
        <f>(VLOOKUP('19.07'!Q52,'19.07'!$AO$4:$AQ$55,3,FALSE))</f>
        <v>0</v>
      </c>
      <c r="J52" s="4">
        <f>(VLOOKUP('19.07'!R52,'19.07'!$AO$4:$AQ$55,3,FALSE))</f>
        <v>0</v>
      </c>
      <c r="K52" s="4">
        <f>(VLOOKUP('19.07'!S52,'19.07'!$AO$4:$AQ$55,3,FALSE))</f>
        <v>0</v>
      </c>
      <c r="L52" s="4">
        <f>(VLOOKUP('19.07'!T52,'19.07'!$AO$4:$AQ$55,3,FALSE))</f>
        <v>0</v>
      </c>
      <c r="M52" s="4">
        <f>(VLOOKUP('19.07'!U52,'19.07'!$AO$4:$AQ$55,3,FALSE))</f>
        <v>0</v>
      </c>
      <c r="N52" s="4">
        <f>(VLOOKUP('19.07'!V52,'19.07'!$AO$4:$AQ$55,3,FALSE))</f>
        <v>0</v>
      </c>
      <c r="O52" s="13">
        <f>(VLOOKUP('19.07'!W52,'19.07'!$AO$4:$AQ$55,3,FALSE))</f>
        <v>0</v>
      </c>
      <c r="P52" s="13">
        <f>(VLOOKUP('19.07'!X52,'19.07'!$AO$4:$AQ$55,3,FALSE))</f>
        <v>0</v>
      </c>
      <c r="Q52" s="4">
        <f>(VLOOKUP('19.07'!Y52,'19.07'!$AO$4:$AQ$55,3,FALSE))</f>
        <v>0</v>
      </c>
      <c r="R52" s="4">
        <f>(VLOOKUP('19.07'!Z52,'19.07'!$AO$4:$AQ$55,3,FALSE))</f>
        <v>0</v>
      </c>
      <c r="S52" s="4">
        <f>(VLOOKUP('19.07'!AA52,'19.07'!$AO$4:$AQ$55,3,FALSE))</f>
        <v>0</v>
      </c>
      <c r="T52" s="4">
        <f>(VLOOKUP('19.07'!AB52,'19.07'!$AO$4:$AQ$55,3,FALSE))</f>
        <v>0</v>
      </c>
      <c r="U52" s="4">
        <f>(VLOOKUP('19.07'!AC52,'19.07'!$AO$4:$AQ$55,3,FALSE))</f>
        <v>0</v>
      </c>
      <c r="V52" s="4">
        <f>(VLOOKUP('19.07'!AD52,'19.07'!$AO$4:$AQ$55,3,FALSE))</f>
        <v>0</v>
      </c>
      <c r="W52" s="13">
        <f>(VLOOKUP('19.07'!AE52,'19.07'!$AO$4:$AQ$55,3,FALSE))</f>
        <v>0</v>
      </c>
      <c r="X52" s="13">
        <f>(VLOOKUP('19.07'!AF52,'19.07'!$AO$4:$AQ$55,3,FALSE))</f>
        <v>0</v>
      </c>
    </row>
    <row r="53" spans="1:24">
      <c r="A53" s="4">
        <f>(VLOOKUP('19.07'!I53,'19.07'!$AO$4:$AQ$55,3,FALSE))</f>
        <v>0</v>
      </c>
      <c r="B53" s="4">
        <f>(VLOOKUP('19.07'!J53,'19.07'!$AO$4:$AQ$55,3,FALSE))</f>
        <v>0</v>
      </c>
      <c r="C53" s="4">
        <f>(VLOOKUP('19.07'!K53,'19.07'!$AO$4:$AQ$55,3,FALSE))</f>
        <v>0</v>
      </c>
      <c r="D53" s="4">
        <f>(VLOOKUP('19.07'!L53,'19.07'!$AO$4:$AQ$55,3,FALSE))</f>
        <v>0</v>
      </c>
      <c r="E53" s="4">
        <f>(VLOOKUP('19.07'!M53,'19.07'!$AO$4:$AQ$55,3,FALSE))</f>
        <v>0</v>
      </c>
      <c r="F53" s="4">
        <f>(VLOOKUP('19.07'!N53,'19.07'!$AO$4:$AQ$55,3,FALSE))</f>
        <v>0</v>
      </c>
      <c r="G53" s="13">
        <f>(VLOOKUP('19.07'!O53,'19.07'!$AO$4:$AQ$55,3,FALSE))</f>
        <v>0</v>
      </c>
      <c r="H53" s="13">
        <f>(VLOOKUP('19.07'!P53,'19.07'!$AO$4:$AQ$55,3,FALSE))</f>
        <v>0</v>
      </c>
      <c r="I53" s="4">
        <f>(VLOOKUP('19.07'!Q53,'19.07'!$AO$4:$AQ$55,3,FALSE))</f>
        <v>0</v>
      </c>
      <c r="J53" s="4">
        <f>(VLOOKUP('19.07'!R53,'19.07'!$AO$4:$AQ$55,3,FALSE))</f>
        <v>0</v>
      </c>
      <c r="K53" s="4">
        <f>(VLOOKUP('19.07'!S53,'19.07'!$AO$4:$AQ$55,3,FALSE))</f>
        <v>0</v>
      </c>
      <c r="L53" s="4">
        <f>(VLOOKUP('19.07'!T53,'19.07'!$AO$4:$AQ$55,3,FALSE))</f>
        <v>0</v>
      </c>
      <c r="M53" s="4">
        <f>(VLOOKUP('19.07'!U53,'19.07'!$AO$4:$AQ$55,3,FALSE))</f>
        <v>0</v>
      </c>
      <c r="N53" s="4">
        <f>(VLOOKUP('19.07'!V53,'19.07'!$AO$4:$AQ$55,3,FALSE))</f>
        <v>0</v>
      </c>
      <c r="O53" s="13">
        <f>(VLOOKUP('19.07'!W53,'19.07'!$AO$4:$AQ$55,3,FALSE))</f>
        <v>0</v>
      </c>
      <c r="P53" s="13">
        <f>(VLOOKUP('19.07'!X53,'19.07'!$AO$4:$AQ$55,3,FALSE))</f>
        <v>0</v>
      </c>
      <c r="Q53" s="4">
        <f>(VLOOKUP('19.07'!Y53,'19.07'!$AO$4:$AQ$55,3,FALSE))</f>
        <v>0</v>
      </c>
      <c r="R53" s="4">
        <f>(VLOOKUP('19.07'!Z53,'19.07'!$AO$4:$AQ$55,3,FALSE))</f>
        <v>0</v>
      </c>
      <c r="S53" s="4">
        <f>(VLOOKUP('19.07'!AA53,'19.07'!$AO$4:$AQ$55,3,FALSE))</f>
        <v>0</v>
      </c>
      <c r="T53" s="4">
        <f>(VLOOKUP('19.07'!AB53,'19.07'!$AO$4:$AQ$55,3,FALSE))</f>
        <v>0</v>
      </c>
      <c r="U53" s="4">
        <f>(VLOOKUP('19.07'!AC53,'19.07'!$AO$4:$AQ$55,3,FALSE))</f>
        <v>0</v>
      </c>
      <c r="V53" s="4">
        <f>(VLOOKUP('19.07'!AD53,'19.07'!$AO$4:$AQ$55,3,FALSE))</f>
        <v>0</v>
      </c>
      <c r="W53" s="13">
        <f>(VLOOKUP('19.07'!AE53,'19.07'!$AO$4:$AQ$55,3,FALSE))</f>
        <v>0</v>
      </c>
      <c r="X53" s="13">
        <f>(VLOOKUP('19.07'!AF53,'19.07'!$AO$4:$AQ$55,3,FALSE))</f>
        <v>0</v>
      </c>
    </row>
    <row r="54" spans="1:24">
      <c r="A54" s="4">
        <f>(VLOOKUP('19.07'!I54,'19.07'!$AO$4:$AQ$55,3,FALSE))</f>
        <v>0</v>
      </c>
      <c r="B54" s="4">
        <f>(VLOOKUP('19.07'!J54,'19.07'!$AO$4:$AQ$55,3,FALSE))</f>
        <v>0</v>
      </c>
      <c r="C54" s="4">
        <f>(VLOOKUP('19.07'!K54,'19.07'!$AO$4:$AQ$55,3,FALSE))</f>
        <v>0</v>
      </c>
      <c r="D54" s="4">
        <f>(VLOOKUP('19.07'!L54,'19.07'!$AO$4:$AQ$55,3,FALSE))</f>
        <v>0</v>
      </c>
      <c r="E54" s="4">
        <f>(VLOOKUP('19.07'!M54,'19.07'!$AO$4:$AQ$55,3,FALSE))</f>
        <v>0</v>
      </c>
      <c r="F54" s="4">
        <f>(VLOOKUP('19.07'!N54,'19.07'!$AO$4:$AQ$55,3,FALSE))</f>
        <v>0</v>
      </c>
      <c r="G54" s="13">
        <f>(VLOOKUP('19.07'!O54,'19.07'!$AO$4:$AQ$55,3,FALSE))</f>
        <v>0</v>
      </c>
      <c r="H54" s="13">
        <f>(VLOOKUP('19.07'!P54,'19.07'!$AO$4:$AQ$55,3,FALSE))</f>
        <v>0</v>
      </c>
      <c r="I54" s="4">
        <f>(VLOOKUP('19.07'!Q54,'19.07'!$AO$4:$AQ$55,3,FALSE))</f>
        <v>0</v>
      </c>
      <c r="J54" s="4">
        <f>(VLOOKUP('19.07'!R54,'19.07'!$AO$4:$AQ$55,3,FALSE))</f>
        <v>0</v>
      </c>
      <c r="K54" s="4">
        <f>(VLOOKUP('19.07'!S54,'19.07'!$AO$4:$AQ$55,3,FALSE))</f>
        <v>0</v>
      </c>
      <c r="L54" s="4">
        <f>(VLOOKUP('19.07'!T54,'19.07'!$AO$4:$AQ$55,3,FALSE))</f>
        <v>0</v>
      </c>
      <c r="M54" s="4">
        <f>(VLOOKUP('19.07'!U54,'19.07'!$AO$4:$AQ$55,3,FALSE))</f>
        <v>0</v>
      </c>
      <c r="N54" s="4">
        <f>(VLOOKUP('19.07'!V54,'19.07'!$AO$4:$AQ$55,3,FALSE))</f>
        <v>0</v>
      </c>
      <c r="O54" s="13">
        <f>(VLOOKUP('19.07'!W54,'19.07'!$AO$4:$AQ$55,3,FALSE))</f>
        <v>0</v>
      </c>
      <c r="P54" s="13">
        <f>(VLOOKUP('19.07'!X54,'19.07'!$AO$4:$AQ$55,3,FALSE))</f>
        <v>0</v>
      </c>
      <c r="Q54" s="4">
        <f>(VLOOKUP('19.07'!Y54,'19.07'!$AO$4:$AQ$55,3,FALSE))</f>
        <v>0</v>
      </c>
      <c r="R54" s="4">
        <f>(VLOOKUP('19.07'!Z54,'19.07'!$AO$4:$AQ$55,3,FALSE))</f>
        <v>0</v>
      </c>
      <c r="S54" s="4">
        <f>(VLOOKUP('19.07'!AA54,'19.07'!$AO$4:$AQ$55,3,FALSE))</f>
        <v>0</v>
      </c>
      <c r="T54" s="4">
        <f>(VLOOKUP('19.07'!AB54,'19.07'!$AO$4:$AQ$55,3,FALSE))</f>
        <v>0</v>
      </c>
      <c r="U54" s="4">
        <f>(VLOOKUP('19.07'!AC54,'19.07'!$AO$4:$AQ$55,3,FALSE))</f>
        <v>0</v>
      </c>
      <c r="V54" s="4">
        <f>(VLOOKUP('19.07'!AD54,'19.07'!$AO$4:$AQ$55,3,FALSE))</f>
        <v>0</v>
      </c>
      <c r="W54" s="13">
        <f>(VLOOKUP('19.07'!AE54,'19.07'!$AO$4:$AQ$55,3,FALSE))</f>
        <v>0</v>
      </c>
      <c r="X54" s="13">
        <f>(VLOOKUP('19.07'!AF54,'19.07'!$AO$4:$AQ$55,3,FALSE))</f>
        <v>0</v>
      </c>
    </row>
    <row r="55" spans="1:24">
      <c r="A55" s="4">
        <f>(VLOOKUP('19.07'!I55,'19.07'!$AO$4:$AQ$55,3,FALSE))</f>
        <v>0</v>
      </c>
      <c r="B55" s="4">
        <f>(VLOOKUP('19.07'!J55,'19.07'!$AO$4:$AQ$55,3,FALSE))</f>
        <v>0</v>
      </c>
      <c r="C55" s="4">
        <f>(VLOOKUP('19.07'!K55,'19.07'!$AO$4:$AQ$55,3,FALSE))</f>
        <v>0</v>
      </c>
      <c r="D55" s="4">
        <f>(VLOOKUP('19.07'!L55,'19.07'!$AO$4:$AQ$55,3,FALSE))</f>
        <v>0</v>
      </c>
      <c r="E55" s="4">
        <f>(VLOOKUP('19.07'!M55,'19.07'!$AO$4:$AQ$55,3,FALSE))</f>
        <v>0</v>
      </c>
      <c r="F55" s="4">
        <f>(VLOOKUP('19.07'!N55,'19.07'!$AO$4:$AQ$55,3,FALSE))</f>
        <v>0</v>
      </c>
      <c r="G55" s="13">
        <f>(VLOOKUP('19.07'!O55,'19.07'!$AO$4:$AQ$55,3,FALSE))</f>
        <v>0</v>
      </c>
      <c r="H55" s="13">
        <f>(VLOOKUP('19.07'!P55,'19.07'!$AO$4:$AQ$55,3,FALSE))</f>
        <v>0</v>
      </c>
      <c r="I55" s="4">
        <f>(VLOOKUP('19.07'!Q55,'19.07'!$AO$4:$AQ$55,3,FALSE))</f>
        <v>0</v>
      </c>
      <c r="J55" s="4">
        <f>(VLOOKUP('19.07'!R55,'19.07'!$AO$4:$AQ$55,3,FALSE))</f>
        <v>0</v>
      </c>
      <c r="K55" s="4">
        <f>(VLOOKUP('19.07'!S55,'19.07'!$AO$4:$AQ$55,3,FALSE))</f>
        <v>0</v>
      </c>
      <c r="L55" s="4">
        <f>(VLOOKUP('19.07'!T55,'19.07'!$AO$4:$AQ$55,3,FALSE))</f>
        <v>0</v>
      </c>
      <c r="M55" s="4">
        <f>(VLOOKUP('19.07'!U55,'19.07'!$AO$4:$AQ$55,3,FALSE))</f>
        <v>0</v>
      </c>
      <c r="N55" s="4">
        <f>(VLOOKUP('19.07'!V55,'19.07'!$AO$4:$AQ$55,3,FALSE))</f>
        <v>0</v>
      </c>
      <c r="O55" s="13">
        <f>(VLOOKUP('19.07'!W55,'19.07'!$AO$4:$AQ$55,3,FALSE))</f>
        <v>0</v>
      </c>
      <c r="P55" s="13">
        <f>(VLOOKUP('19.07'!X55,'19.07'!$AO$4:$AQ$55,3,FALSE))</f>
        <v>0</v>
      </c>
      <c r="Q55" s="4">
        <f>(VLOOKUP('19.07'!Y55,'19.07'!$AO$4:$AQ$55,3,FALSE))</f>
        <v>0</v>
      </c>
      <c r="R55" s="4">
        <f>(VLOOKUP('19.07'!Z55,'19.07'!$AO$4:$AQ$55,3,FALSE))</f>
        <v>0</v>
      </c>
      <c r="S55" s="4">
        <f>(VLOOKUP('19.07'!AA55,'19.07'!$AO$4:$AQ$55,3,FALSE))</f>
        <v>0</v>
      </c>
      <c r="T55" s="4">
        <f>(VLOOKUP('19.07'!AB55,'19.07'!$AO$4:$AQ$55,3,FALSE))</f>
        <v>0</v>
      </c>
      <c r="U55" s="4">
        <f>(VLOOKUP('19.07'!AC55,'19.07'!$AO$4:$AQ$55,3,FALSE))</f>
        <v>0</v>
      </c>
      <c r="V55" s="4">
        <f>(VLOOKUP('19.07'!AD55,'19.07'!$AO$4:$AQ$55,3,FALSE))</f>
        <v>0</v>
      </c>
      <c r="W55" s="13">
        <f>(VLOOKUP('19.07'!AE55,'19.07'!$AO$4:$AQ$55,3,FALSE))</f>
        <v>0</v>
      </c>
      <c r="X55" s="13">
        <f>(VLOOKUP('19.07'!AF55,'19.07'!$AO$4:$AQ$55,3,FALSE))</f>
        <v>0</v>
      </c>
    </row>
    <row r="56" spans="1:24">
      <c r="A56" s="4">
        <f>(VLOOKUP('19.07'!I56,'19.07'!$AO$4:$AQ$55,3,FALSE))</f>
        <v>0</v>
      </c>
      <c r="B56" s="4">
        <f>(VLOOKUP('19.07'!J56,'19.07'!$AO$4:$AQ$55,3,FALSE))</f>
        <v>0</v>
      </c>
      <c r="C56" s="4">
        <f>(VLOOKUP('19.07'!K56,'19.07'!$AO$4:$AQ$55,3,FALSE))</f>
        <v>0</v>
      </c>
      <c r="D56" s="4">
        <f>(VLOOKUP('19.07'!L56,'19.07'!$AO$4:$AQ$55,3,FALSE))</f>
        <v>0</v>
      </c>
      <c r="E56" s="4">
        <f>(VLOOKUP('19.07'!M56,'19.07'!$AO$4:$AQ$55,3,FALSE))</f>
        <v>0</v>
      </c>
      <c r="F56" s="4">
        <f>(VLOOKUP('19.07'!N56,'19.07'!$AO$4:$AQ$55,3,FALSE))</f>
        <v>0</v>
      </c>
      <c r="G56" s="13">
        <f>(VLOOKUP('19.07'!O56,'19.07'!$AO$4:$AQ$55,3,FALSE))</f>
        <v>0</v>
      </c>
      <c r="H56" s="13">
        <f>(VLOOKUP('19.07'!P56,'19.07'!$AO$4:$AQ$55,3,FALSE))</f>
        <v>0</v>
      </c>
      <c r="I56" s="4">
        <f>(VLOOKUP('19.07'!Q56,'19.07'!$AO$4:$AQ$55,3,FALSE))</f>
        <v>0</v>
      </c>
      <c r="J56" s="4">
        <f>(VLOOKUP('19.07'!R56,'19.07'!$AO$4:$AQ$55,3,FALSE))</f>
        <v>0</v>
      </c>
      <c r="K56" s="4">
        <f>(VLOOKUP('19.07'!S56,'19.07'!$AO$4:$AQ$55,3,FALSE))</f>
        <v>0</v>
      </c>
      <c r="L56" s="4">
        <f>(VLOOKUP('19.07'!T56,'19.07'!$AO$4:$AQ$55,3,FALSE))</f>
        <v>0</v>
      </c>
      <c r="M56" s="4">
        <f>(VLOOKUP('19.07'!U56,'19.07'!$AO$4:$AQ$55,3,FALSE))</f>
        <v>0</v>
      </c>
      <c r="N56" s="4">
        <f>(VLOOKUP('19.07'!V56,'19.07'!$AO$4:$AQ$55,3,FALSE))</f>
        <v>0</v>
      </c>
      <c r="O56" s="13">
        <f>(VLOOKUP('19.07'!W56,'19.07'!$AO$4:$AQ$55,3,FALSE))</f>
        <v>0</v>
      </c>
      <c r="P56" s="13">
        <f>(VLOOKUP('19.07'!X56,'19.07'!$AO$4:$AQ$55,3,FALSE))</f>
        <v>0</v>
      </c>
      <c r="Q56" s="4">
        <f>(VLOOKUP('19.07'!Y56,'19.07'!$AO$4:$AQ$55,3,FALSE))</f>
        <v>0</v>
      </c>
      <c r="R56" s="4">
        <f>(VLOOKUP('19.07'!Z56,'19.07'!$AO$4:$AQ$55,3,FALSE))</f>
        <v>0</v>
      </c>
      <c r="S56" s="4">
        <f>(VLOOKUP('19.07'!AA56,'19.07'!$AO$4:$AQ$55,3,FALSE))</f>
        <v>0</v>
      </c>
      <c r="T56" s="4">
        <f>(VLOOKUP('19.07'!AB56,'19.07'!$AO$4:$AQ$55,3,FALSE))</f>
        <v>0</v>
      </c>
      <c r="U56" s="4">
        <f>(VLOOKUP('19.07'!AC56,'19.07'!$AO$4:$AQ$55,3,FALSE))</f>
        <v>0</v>
      </c>
      <c r="V56" s="4">
        <f>(VLOOKUP('19.07'!AD56,'19.07'!$AO$4:$AQ$55,3,FALSE))</f>
        <v>0</v>
      </c>
      <c r="W56" s="13">
        <f>(VLOOKUP('19.07'!AE56,'19.07'!$AO$4:$AQ$55,3,FALSE))</f>
        <v>0</v>
      </c>
      <c r="X56" s="13">
        <f>(VLOOKUP('19.07'!AF56,'19.07'!$AO$4:$AQ$55,3,FALSE))</f>
        <v>0</v>
      </c>
    </row>
    <row r="57" spans="1:24">
      <c r="A57" s="4">
        <f>(VLOOKUP('19.07'!I57,'19.07'!$AO$4:$AQ$55,3,FALSE))</f>
        <v>0</v>
      </c>
      <c r="B57" s="4">
        <f>(VLOOKUP('19.07'!J57,'19.07'!$AO$4:$AQ$55,3,FALSE))</f>
        <v>0</v>
      </c>
      <c r="C57" s="4">
        <f>(VLOOKUP('19.07'!K57,'19.07'!$AO$4:$AQ$55,3,FALSE))</f>
        <v>0</v>
      </c>
      <c r="D57" s="4">
        <f>(VLOOKUP('19.07'!L57,'19.07'!$AO$4:$AQ$55,3,FALSE))</f>
        <v>0</v>
      </c>
      <c r="E57" s="4">
        <f>(VLOOKUP('19.07'!M57,'19.07'!$AO$4:$AQ$55,3,FALSE))</f>
        <v>0</v>
      </c>
      <c r="F57" s="4">
        <f>(VLOOKUP('19.07'!N57,'19.07'!$AO$4:$AQ$55,3,FALSE))</f>
        <v>0</v>
      </c>
      <c r="G57" s="13">
        <f>(VLOOKUP('19.07'!O57,'19.07'!$AO$4:$AQ$55,3,FALSE))</f>
        <v>0</v>
      </c>
      <c r="H57" s="13">
        <f>(VLOOKUP('19.07'!P57,'19.07'!$AO$4:$AQ$55,3,FALSE))</f>
        <v>0</v>
      </c>
      <c r="I57" s="4">
        <f>(VLOOKUP('19.07'!Q57,'19.07'!$AO$4:$AQ$55,3,FALSE))</f>
        <v>0</v>
      </c>
      <c r="J57" s="4">
        <f>(VLOOKUP('19.07'!R57,'19.07'!$AO$4:$AQ$55,3,FALSE))</f>
        <v>0</v>
      </c>
      <c r="K57" s="4">
        <f>(VLOOKUP('19.07'!S57,'19.07'!$AO$4:$AQ$55,3,FALSE))</f>
        <v>0</v>
      </c>
      <c r="L57" s="4">
        <f>(VLOOKUP('19.07'!T57,'19.07'!$AO$4:$AQ$55,3,FALSE))</f>
        <v>0</v>
      </c>
      <c r="M57" s="4">
        <f>(VLOOKUP('19.07'!U57,'19.07'!$AO$4:$AQ$55,3,FALSE))</f>
        <v>0</v>
      </c>
      <c r="N57" s="4">
        <f>(VLOOKUP('19.07'!V57,'19.07'!$AO$4:$AQ$55,3,FALSE))</f>
        <v>0</v>
      </c>
      <c r="O57" s="13">
        <f>(VLOOKUP('19.07'!W57,'19.07'!$AO$4:$AQ$55,3,FALSE))</f>
        <v>0</v>
      </c>
      <c r="P57" s="13">
        <f>(VLOOKUP('19.07'!X57,'19.07'!$AO$4:$AQ$55,3,FALSE))</f>
        <v>0</v>
      </c>
      <c r="Q57" s="4">
        <f>(VLOOKUP('19.07'!Y57,'19.07'!$AO$4:$AQ$55,3,FALSE))</f>
        <v>0</v>
      </c>
      <c r="R57" s="4">
        <f>(VLOOKUP('19.07'!Z57,'19.07'!$AO$4:$AQ$55,3,FALSE))</f>
        <v>0</v>
      </c>
      <c r="S57" s="4">
        <f>(VLOOKUP('19.07'!AA57,'19.07'!$AO$4:$AQ$55,3,FALSE))</f>
        <v>0</v>
      </c>
      <c r="T57" s="4">
        <f>(VLOOKUP('19.07'!AB57,'19.07'!$AO$4:$AQ$55,3,FALSE))</f>
        <v>0</v>
      </c>
      <c r="U57" s="4">
        <f>(VLOOKUP('19.07'!AC57,'19.07'!$AO$4:$AQ$55,3,FALSE))</f>
        <v>0</v>
      </c>
      <c r="V57" s="4">
        <f>(VLOOKUP('19.07'!AD57,'19.07'!$AO$4:$AQ$55,3,FALSE))</f>
        <v>0</v>
      </c>
      <c r="W57" s="13">
        <f>(VLOOKUP('19.07'!AE57,'19.07'!$AO$4:$AQ$55,3,FALSE))</f>
        <v>0</v>
      </c>
      <c r="X57" s="13">
        <f>(VLOOKUP('19.07'!AF57,'19.07'!$AO$4:$AQ$55,3,FALSE))</f>
        <v>0</v>
      </c>
    </row>
    <row r="58" spans="1:24">
      <c r="A58" s="4">
        <f>(VLOOKUP('19.07'!I58,'19.07'!$AO$4:$AQ$55,3,FALSE))</f>
        <v>0</v>
      </c>
      <c r="B58" s="4">
        <f>(VLOOKUP('19.07'!J58,'19.07'!$AO$4:$AQ$55,3,FALSE))</f>
        <v>0</v>
      </c>
      <c r="C58" s="4">
        <f>(VLOOKUP('19.07'!K58,'19.07'!$AO$4:$AQ$55,3,FALSE))</f>
        <v>0</v>
      </c>
      <c r="D58" s="4">
        <f>(VLOOKUP('19.07'!L58,'19.07'!$AO$4:$AQ$55,3,FALSE))</f>
        <v>0</v>
      </c>
      <c r="E58" s="4">
        <f>(VLOOKUP('19.07'!M58,'19.07'!$AO$4:$AQ$55,3,FALSE))</f>
        <v>0</v>
      </c>
      <c r="F58" s="4">
        <f>(VLOOKUP('19.07'!N58,'19.07'!$AO$4:$AQ$55,3,FALSE))</f>
        <v>0</v>
      </c>
      <c r="G58" s="13">
        <f>(VLOOKUP('19.07'!O58,'19.07'!$AO$4:$AQ$55,3,FALSE))</f>
        <v>0</v>
      </c>
      <c r="H58" s="13">
        <f>(VLOOKUP('19.07'!P58,'19.07'!$AO$4:$AQ$55,3,FALSE))</f>
        <v>0</v>
      </c>
      <c r="I58" s="4">
        <f>(VLOOKUP('19.07'!Q58,'19.07'!$AO$4:$AQ$55,3,FALSE))</f>
        <v>0</v>
      </c>
      <c r="J58" s="4">
        <f>(VLOOKUP('19.07'!R58,'19.07'!$AO$4:$AQ$55,3,FALSE))</f>
        <v>0</v>
      </c>
      <c r="K58" s="4">
        <f>(VLOOKUP('19.07'!S58,'19.07'!$AO$4:$AQ$55,3,FALSE))</f>
        <v>0</v>
      </c>
      <c r="L58" s="4">
        <f>(VLOOKUP('19.07'!T58,'19.07'!$AO$4:$AQ$55,3,FALSE))</f>
        <v>0</v>
      </c>
      <c r="M58" s="4">
        <f>(VLOOKUP('19.07'!U58,'19.07'!$AO$4:$AQ$55,3,FALSE))</f>
        <v>0</v>
      </c>
      <c r="N58" s="4">
        <f>(VLOOKUP('19.07'!V58,'19.07'!$AO$4:$AQ$55,3,FALSE))</f>
        <v>0</v>
      </c>
      <c r="O58" s="13">
        <f>(VLOOKUP('19.07'!W58,'19.07'!$AO$4:$AQ$55,3,FALSE))</f>
        <v>0</v>
      </c>
      <c r="P58" s="13">
        <f>(VLOOKUP('19.07'!X58,'19.07'!$AO$4:$AQ$55,3,FALSE))</f>
        <v>0</v>
      </c>
      <c r="Q58" s="4">
        <f>(VLOOKUP('19.07'!Y58,'19.07'!$AO$4:$AQ$55,3,FALSE))</f>
        <v>0</v>
      </c>
      <c r="R58" s="4">
        <f>(VLOOKUP('19.07'!Z58,'19.07'!$AO$4:$AQ$55,3,FALSE))</f>
        <v>0</v>
      </c>
      <c r="S58" s="4">
        <f>(VLOOKUP('19.07'!AA58,'19.07'!$AO$4:$AQ$55,3,FALSE))</f>
        <v>0</v>
      </c>
      <c r="T58" s="4">
        <f>(VLOOKUP('19.07'!AB58,'19.07'!$AO$4:$AQ$55,3,FALSE))</f>
        <v>0</v>
      </c>
      <c r="U58" s="4">
        <f>(VLOOKUP('19.07'!AC58,'19.07'!$AO$4:$AQ$55,3,FALSE))</f>
        <v>0</v>
      </c>
      <c r="V58" s="4">
        <f>(VLOOKUP('19.07'!AD58,'19.07'!$AO$4:$AQ$55,3,FALSE))</f>
        <v>0</v>
      </c>
      <c r="W58" s="13">
        <f>(VLOOKUP('19.07'!AE58,'19.07'!$AO$4:$AQ$55,3,FALSE))</f>
        <v>0</v>
      </c>
      <c r="X58" s="13">
        <f>(VLOOKUP('19.07'!AF58,'19.07'!$AO$4:$AQ$55,3,FALSE))</f>
        <v>0</v>
      </c>
    </row>
    <row r="59" spans="1:24">
      <c r="A59" s="4">
        <f>(VLOOKUP('19.07'!I59,'19.07'!$AO$4:$AQ$55,3,FALSE))</f>
        <v>0</v>
      </c>
      <c r="B59" s="4">
        <f>(VLOOKUP('19.07'!J59,'19.07'!$AO$4:$AQ$55,3,FALSE))</f>
        <v>0</v>
      </c>
      <c r="C59" s="4">
        <f>(VLOOKUP('19.07'!K59,'19.07'!$AO$4:$AQ$55,3,FALSE))</f>
        <v>0</v>
      </c>
      <c r="D59" s="4">
        <f>(VLOOKUP('19.07'!L59,'19.07'!$AO$4:$AQ$55,3,FALSE))</f>
        <v>0</v>
      </c>
      <c r="E59" s="4">
        <f>(VLOOKUP('19.07'!M59,'19.07'!$AO$4:$AQ$55,3,FALSE))</f>
        <v>0</v>
      </c>
      <c r="F59" s="4">
        <f>(VLOOKUP('19.07'!N59,'19.07'!$AO$4:$AQ$55,3,FALSE))</f>
        <v>0</v>
      </c>
      <c r="G59" s="13">
        <f>(VLOOKUP('19.07'!O59,'19.07'!$AO$4:$AQ$55,3,FALSE))</f>
        <v>0</v>
      </c>
      <c r="H59" s="13">
        <f>(VLOOKUP('19.07'!P59,'19.07'!$AO$4:$AQ$55,3,FALSE))</f>
        <v>0</v>
      </c>
      <c r="I59" s="4">
        <f>(VLOOKUP('19.07'!Q59,'19.07'!$AO$4:$AQ$55,3,FALSE))</f>
        <v>0</v>
      </c>
      <c r="J59" s="4">
        <f>(VLOOKUP('19.07'!R59,'19.07'!$AO$4:$AQ$55,3,FALSE))</f>
        <v>0</v>
      </c>
      <c r="K59" s="4">
        <f>(VLOOKUP('19.07'!S59,'19.07'!$AO$4:$AQ$55,3,FALSE))</f>
        <v>0</v>
      </c>
      <c r="L59" s="4">
        <f>(VLOOKUP('19.07'!T59,'19.07'!$AO$4:$AQ$55,3,FALSE))</f>
        <v>0</v>
      </c>
      <c r="M59" s="4">
        <f>(VLOOKUP('19.07'!U59,'19.07'!$AO$4:$AQ$55,3,FALSE))</f>
        <v>0</v>
      </c>
      <c r="N59" s="4">
        <f>(VLOOKUP('19.07'!V59,'19.07'!$AO$4:$AQ$55,3,FALSE))</f>
        <v>0</v>
      </c>
      <c r="O59" s="13">
        <f>(VLOOKUP('19.07'!W59,'19.07'!$AO$4:$AQ$55,3,FALSE))</f>
        <v>0</v>
      </c>
      <c r="P59" s="13">
        <f>(VLOOKUP('19.07'!X59,'19.07'!$AO$4:$AQ$55,3,FALSE))</f>
        <v>0</v>
      </c>
      <c r="Q59" s="4">
        <f>(VLOOKUP('19.07'!Y59,'19.07'!$AO$4:$AQ$55,3,FALSE))</f>
        <v>0</v>
      </c>
      <c r="R59" s="4">
        <f>(VLOOKUP('19.07'!Z59,'19.07'!$AO$4:$AQ$55,3,FALSE))</f>
        <v>0</v>
      </c>
      <c r="S59" s="4">
        <f>(VLOOKUP('19.07'!AA59,'19.07'!$AO$4:$AQ$55,3,FALSE))</f>
        <v>0</v>
      </c>
      <c r="T59" s="4">
        <f>(VLOOKUP('19.07'!AB59,'19.07'!$AO$4:$AQ$55,3,FALSE))</f>
        <v>0</v>
      </c>
      <c r="U59" s="4">
        <f>(VLOOKUP('19.07'!AC59,'19.07'!$AO$4:$AQ$55,3,FALSE))</f>
        <v>0</v>
      </c>
      <c r="V59" s="4">
        <f>(VLOOKUP('19.07'!AD59,'19.07'!$AO$4:$AQ$55,3,FALSE))</f>
        <v>0</v>
      </c>
      <c r="W59" s="13">
        <f>(VLOOKUP('19.07'!AE59,'19.07'!$AO$4:$AQ$55,3,FALSE))</f>
        <v>0</v>
      </c>
      <c r="X59" s="13">
        <f>(VLOOKUP('19.07'!AF59,'19.07'!$AO$4:$AQ$55,3,FALSE))</f>
        <v>0</v>
      </c>
    </row>
    <row r="60" spans="1:24">
      <c r="A60" s="4">
        <f>(VLOOKUP('19.07'!I60,'19.07'!$AO$4:$AQ$55,3,FALSE))</f>
        <v>0</v>
      </c>
      <c r="B60" s="4">
        <f>(VLOOKUP('19.07'!J60,'19.07'!$AO$4:$AQ$55,3,FALSE))</f>
        <v>0</v>
      </c>
      <c r="C60" s="4">
        <f>(VLOOKUP('19.07'!K60,'19.07'!$AO$4:$AQ$55,3,FALSE))</f>
        <v>0</v>
      </c>
      <c r="D60" s="4">
        <f>(VLOOKUP('19.07'!L60,'19.07'!$AO$4:$AQ$55,3,FALSE))</f>
        <v>0</v>
      </c>
      <c r="E60" s="4">
        <f>(VLOOKUP('19.07'!M60,'19.07'!$AO$4:$AQ$55,3,FALSE))</f>
        <v>0</v>
      </c>
      <c r="F60" s="4">
        <f>(VLOOKUP('19.07'!N60,'19.07'!$AO$4:$AQ$55,3,FALSE))</f>
        <v>0</v>
      </c>
      <c r="G60" s="13">
        <f>(VLOOKUP('19.07'!O60,'19.07'!$AO$4:$AQ$55,3,FALSE))</f>
        <v>0</v>
      </c>
      <c r="H60" s="13">
        <f>(VLOOKUP('19.07'!P60,'19.07'!$AO$4:$AQ$55,3,FALSE))</f>
        <v>0</v>
      </c>
      <c r="I60" s="4">
        <f>(VLOOKUP('19.07'!Q60,'19.07'!$AO$4:$AQ$55,3,FALSE))</f>
        <v>0</v>
      </c>
      <c r="J60" s="4">
        <f>(VLOOKUP('19.07'!R60,'19.07'!$AO$4:$AQ$55,3,FALSE))</f>
        <v>0</v>
      </c>
      <c r="K60" s="4">
        <f>(VLOOKUP('19.07'!S60,'19.07'!$AO$4:$AQ$55,3,FALSE))</f>
        <v>0</v>
      </c>
      <c r="L60" s="4">
        <f>(VLOOKUP('19.07'!T60,'19.07'!$AO$4:$AQ$55,3,FALSE))</f>
        <v>0</v>
      </c>
      <c r="M60" s="4">
        <f>(VLOOKUP('19.07'!U60,'19.07'!$AO$4:$AQ$55,3,FALSE))</f>
        <v>0</v>
      </c>
      <c r="N60" s="4">
        <f>(VLOOKUP('19.07'!V60,'19.07'!$AO$4:$AQ$55,3,FALSE))</f>
        <v>0</v>
      </c>
      <c r="O60" s="13">
        <f>(VLOOKUP('19.07'!W60,'19.07'!$AO$4:$AQ$55,3,FALSE))</f>
        <v>0</v>
      </c>
      <c r="P60" s="13">
        <f>(VLOOKUP('19.07'!X60,'19.07'!$AO$4:$AQ$55,3,FALSE))</f>
        <v>0</v>
      </c>
      <c r="Q60" s="4">
        <f>(VLOOKUP('19.07'!Y60,'19.07'!$AO$4:$AQ$55,3,FALSE))</f>
        <v>0</v>
      </c>
      <c r="R60" s="4">
        <f>(VLOOKUP('19.07'!Z60,'19.07'!$AO$4:$AQ$55,3,FALSE))</f>
        <v>0</v>
      </c>
      <c r="S60" s="4">
        <f>(VLOOKUP('19.07'!AA60,'19.07'!$AO$4:$AQ$55,3,FALSE))</f>
        <v>0</v>
      </c>
      <c r="T60" s="4">
        <f>(VLOOKUP('19.07'!AB60,'19.07'!$AO$4:$AQ$55,3,FALSE))</f>
        <v>0</v>
      </c>
      <c r="U60" s="4">
        <f>(VLOOKUP('19.07'!AC60,'19.07'!$AO$4:$AQ$55,3,FALSE))</f>
        <v>0</v>
      </c>
      <c r="V60" s="4">
        <f>(VLOOKUP('19.07'!AD60,'19.07'!$AO$4:$AQ$55,3,FALSE))</f>
        <v>0</v>
      </c>
      <c r="W60" s="13">
        <f>(VLOOKUP('19.07'!AE60,'19.07'!$AO$4:$AQ$55,3,FALSE))</f>
        <v>0</v>
      </c>
      <c r="X60" s="13">
        <f>(VLOOKUP('19.07'!AF60,'19.07'!$AO$4:$AQ$55,3,FALSE))</f>
        <v>0</v>
      </c>
    </row>
    <row r="61" spans="1:24">
      <c r="A61" s="4">
        <f>(VLOOKUP('19.07'!I61,'19.07'!$AO$4:$AQ$55,3,FALSE))</f>
        <v>0</v>
      </c>
      <c r="B61" s="4">
        <f>(VLOOKUP('19.07'!J61,'19.07'!$AO$4:$AQ$55,3,FALSE))</f>
        <v>0</v>
      </c>
      <c r="C61" s="4">
        <f>(VLOOKUP('19.07'!K61,'19.07'!$AO$4:$AQ$55,3,FALSE))</f>
        <v>0</v>
      </c>
      <c r="D61" s="4">
        <f>(VLOOKUP('19.07'!L61,'19.07'!$AO$4:$AQ$55,3,FALSE))</f>
        <v>0</v>
      </c>
      <c r="E61" s="4">
        <f>(VLOOKUP('19.07'!M61,'19.07'!$AO$4:$AQ$55,3,FALSE))</f>
        <v>0</v>
      </c>
      <c r="F61" s="4">
        <f>(VLOOKUP('19.07'!N61,'19.07'!$AO$4:$AQ$55,3,FALSE))</f>
        <v>0</v>
      </c>
      <c r="G61" s="13">
        <f>(VLOOKUP('19.07'!O61,'19.07'!$AO$4:$AQ$55,3,FALSE))</f>
        <v>0</v>
      </c>
      <c r="H61" s="13">
        <f>(VLOOKUP('19.07'!P61,'19.07'!$AO$4:$AQ$55,3,FALSE))</f>
        <v>0</v>
      </c>
      <c r="I61" s="4">
        <f>(VLOOKUP('19.07'!Q61,'19.07'!$AO$4:$AQ$55,3,FALSE))</f>
        <v>0</v>
      </c>
      <c r="J61" s="4">
        <f>(VLOOKUP('19.07'!R61,'19.07'!$AO$4:$AQ$55,3,FALSE))</f>
        <v>0</v>
      </c>
      <c r="K61" s="4">
        <f>(VLOOKUP('19.07'!S61,'19.07'!$AO$4:$AQ$55,3,FALSE))</f>
        <v>0</v>
      </c>
      <c r="L61" s="4">
        <f>(VLOOKUP('19.07'!T61,'19.07'!$AO$4:$AQ$55,3,FALSE))</f>
        <v>0</v>
      </c>
      <c r="M61" s="4">
        <f>(VLOOKUP('19.07'!U61,'19.07'!$AO$4:$AQ$55,3,FALSE))</f>
        <v>0</v>
      </c>
      <c r="N61" s="4">
        <f>(VLOOKUP('19.07'!V61,'19.07'!$AO$4:$AQ$55,3,FALSE))</f>
        <v>0</v>
      </c>
      <c r="O61" s="13">
        <f>(VLOOKUP('19.07'!W61,'19.07'!$AO$4:$AQ$55,3,FALSE))</f>
        <v>0</v>
      </c>
      <c r="P61" s="13">
        <f>(VLOOKUP('19.07'!X61,'19.07'!$AO$4:$AQ$55,3,FALSE))</f>
        <v>0</v>
      </c>
      <c r="Q61" s="4">
        <f>(VLOOKUP('19.07'!Y61,'19.07'!$AO$4:$AQ$55,3,FALSE))</f>
        <v>0</v>
      </c>
      <c r="R61" s="4">
        <f>(VLOOKUP('19.07'!Z61,'19.07'!$AO$4:$AQ$55,3,FALSE))</f>
        <v>0</v>
      </c>
      <c r="S61" s="4">
        <f>(VLOOKUP('19.07'!AA61,'19.07'!$AO$4:$AQ$55,3,FALSE))</f>
        <v>0</v>
      </c>
      <c r="T61" s="4">
        <f>(VLOOKUP('19.07'!AB61,'19.07'!$AO$4:$AQ$55,3,FALSE))</f>
        <v>0</v>
      </c>
      <c r="U61" s="4">
        <f>(VLOOKUP('19.07'!AC61,'19.07'!$AO$4:$AQ$55,3,FALSE))</f>
        <v>0</v>
      </c>
      <c r="V61" s="4">
        <f>(VLOOKUP('19.07'!AD61,'19.07'!$AO$4:$AQ$55,3,FALSE))</f>
        <v>0</v>
      </c>
      <c r="W61" s="13">
        <f>(VLOOKUP('19.07'!AE61,'19.07'!$AO$4:$AQ$55,3,FALSE))</f>
        <v>0</v>
      </c>
      <c r="X61" s="13">
        <f>(VLOOKUP('19.07'!AF61,'19.07'!$AO$4:$AQ$55,3,FALSE))</f>
        <v>0</v>
      </c>
    </row>
    <row r="62" spans="1:24">
      <c r="A62" s="4">
        <f>(VLOOKUP('19.07'!I62,'19.07'!$AO$4:$AQ$55,3,FALSE))</f>
        <v>0</v>
      </c>
      <c r="B62" s="4">
        <f>(VLOOKUP('19.07'!J62,'19.07'!$AO$4:$AQ$55,3,FALSE))</f>
        <v>0</v>
      </c>
      <c r="C62" s="4">
        <f>(VLOOKUP('19.07'!K62,'19.07'!$AO$4:$AQ$55,3,FALSE))</f>
        <v>0</v>
      </c>
      <c r="D62" s="4">
        <f>(VLOOKUP('19.07'!L62,'19.07'!$AO$4:$AQ$55,3,FALSE))</f>
        <v>0</v>
      </c>
      <c r="E62" s="4">
        <f>(VLOOKUP('19.07'!M62,'19.07'!$AO$4:$AQ$55,3,FALSE))</f>
        <v>0</v>
      </c>
      <c r="F62" s="4">
        <f>(VLOOKUP('19.07'!N62,'19.07'!$AO$4:$AQ$55,3,FALSE))</f>
        <v>0</v>
      </c>
      <c r="G62" s="13">
        <f>(VLOOKUP('19.07'!O62,'19.07'!$AO$4:$AQ$55,3,FALSE))</f>
        <v>0</v>
      </c>
      <c r="H62" s="13">
        <f>(VLOOKUP('19.07'!P62,'19.07'!$AO$4:$AQ$55,3,FALSE))</f>
        <v>0</v>
      </c>
      <c r="I62" s="4">
        <f>(VLOOKUP('19.07'!Q62,'19.07'!$AO$4:$AQ$55,3,FALSE))</f>
        <v>0</v>
      </c>
      <c r="J62" s="4">
        <f>(VLOOKUP('19.07'!R62,'19.07'!$AO$4:$AQ$55,3,FALSE))</f>
        <v>0</v>
      </c>
      <c r="K62" s="4">
        <f>(VLOOKUP('19.07'!S62,'19.07'!$AO$4:$AQ$55,3,FALSE))</f>
        <v>0</v>
      </c>
      <c r="L62" s="4">
        <f>(VLOOKUP('19.07'!T62,'19.07'!$AO$4:$AQ$55,3,FALSE))</f>
        <v>0</v>
      </c>
      <c r="M62" s="4">
        <f>(VLOOKUP('19.07'!U62,'19.07'!$AO$4:$AQ$55,3,FALSE))</f>
        <v>0</v>
      </c>
      <c r="N62" s="4">
        <f>(VLOOKUP('19.07'!V62,'19.07'!$AO$4:$AQ$55,3,FALSE))</f>
        <v>0</v>
      </c>
      <c r="O62" s="13">
        <f>(VLOOKUP('19.07'!W62,'19.07'!$AO$4:$AQ$55,3,FALSE))</f>
        <v>0</v>
      </c>
      <c r="P62" s="13">
        <f>(VLOOKUP('19.07'!X62,'19.07'!$AO$4:$AQ$55,3,FALSE))</f>
        <v>0</v>
      </c>
      <c r="Q62" s="4">
        <f>(VLOOKUP('19.07'!Y62,'19.07'!$AO$4:$AQ$55,3,FALSE))</f>
        <v>0</v>
      </c>
      <c r="R62" s="4">
        <f>(VLOOKUP('19.07'!Z62,'19.07'!$AO$4:$AQ$55,3,FALSE))</f>
        <v>0</v>
      </c>
      <c r="S62" s="4">
        <f>(VLOOKUP('19.07'!AA62,'19.07'!$AO$4:$AQ$55,3,FALSE))</f>
        <v>0</v>
      </c>
      <c r="T62" s="4">
        <f>(VLOOKUP('19.07'!AB62,'19.07'!$AO$4:$AQ$55,3,FALSE))</f>
        <v>0</v>
      </c>
      <c r="U62" s="4">
        <f>(VLOOKUP('19.07'!AC62,'19.07'!$AO$4:$AQ$55,3,FALSE))</f>
        <v>0</v>
      </c>
      <c r="V62" s="4">
        <f>(VLOOKUP('19.07'!AD62,'19.07'!$AO$4:$AQ$55,3,FALSE))</f>
        <v>0</v>
      </c>
      <c r="W62" s="13">
        <f>(VLOOKUP('19.07'!AE62,'19.07'!$AO$4:$AQ$55,3,FALSE))</f>
        <v>0</v>
      </c>
      <c r="X62" s="13">
        <f>(VLOOKUP('19.07'!AF62,'19.07'!$AO$4:$AQ$55,3,FALSE))</f>
        <v>0</v>
      </c>
    </row>
    <row r="63" spans="1:24">
      <c r="A63" s="4">
        <f>(VLOOKUP('19.07'!I63,'19.07'!$AO$4:$AQ$55,3,FALSE))</f>
        <v>0</v>
      </c>
      <c r="B63" s="4">
        <f>(VLOOKUP('19.07'!J63,'19.07'!$AO$4:$AQ$55,3,FALSE))</f>
        <v>0</v>
      </c>
      <c r="C63" s="4">
        <f>(VLOOKUP('19.07'!K63,'19.07'!$AO$4:$AQ$55,3,FALSE))</f>
        <v>0</v>
      </c>
      <c r="D63" s="4">
        <f>(VLOOKUP('19.07'!L63,'19.07'!$AO$4:$AQ$55,3,FALSE))</f>
        <v>0</v>
      </c>
      <c r="E63" s="4">
        <f>(VLOOKUP('19.07'!M63,'19.07'!$AO$4:$AQ$55,3,FALSE))</f>
        <v>0</v>
      </c>
      <c r="F63" s="4">
        <f>(VLOOKUP('19.07'!N63,'19.07'!$AO$4:$AQ$55,3,FALSE))</f>
        <v>0</v>
      </c>
      <c r="G63" s="13">
        <f>(VLOOKUP('19.07'!O63,'19.07'!$AO$4:$AQ$55,3,FALSE))</f>
        <v>0</v>
      </c>
      <c r="H63" s="13">
        <f>(VLOOKUP('19.07'!P63,'19.07'!$AO$4:$AQ$55,3,FALSE))</f>
        <v>0</v>
      </c>
      <c r="I63" s="4">
        <f>(VLOOKUP('19.07'!Q63,'19.07'!$AO$4:$AQ$55,3,FALSE))</f>
        <v>0</v>
      </c>
      <c r="J63" s="4">
        <f>(VLOOKUP('19.07'!R63,'19.07'!$AO$4:$AQ$55,3,FALSE))</f>
        <v>0</v>
      </c>
      <c r="K63" s="4">
        <f>(VLOOKUP('19.07'!S63,'19.07'!$AO$4:$AQ$55,3,FALSE))</f>
        <v>0</v>
      </c>
      <c r="L63" s="4">
        <f>(VLOOKUP('19.07'!T63,'19.07'!$AO$4:$AQ$55,3,FALSE))</f>
        <v>0</v>
      </c>
      <c r="M63" s="4">
        <f>(VLOOKUP('19.07'!U63,'19.07'!$AO$4:$AQ$55,3,FALSE))</f>
        <v>0</v>
      </c>
      <c r="N63" s="4">
        <f>(VLOOKUP('19.07'!V63,'19.07'!$AO$4:$AQ$55,3,FALSE))</f>
        <v>0</v>
      </c>
      <c r="O63" s="13">
        <f>(VLOOKUP('19.07'!W63,'19.07'!$AO$4:$AQ$55,3,FALSE))</f>
        <v>0</v>
      </c>
      <c r="P63" s="13">
        <f>(VLOOKUP('19.07'!X63,'19.07'!$AO$4:$AQ$55,3,FALSE))</f>
        <v>0</v>
      </c>
      <c r="Q63" s="4">
        <f>(VLOOKUP('19.07'!Y63,'19.07'!$AO$4:$AQ$55,3,FALSE))</f>
        <v>0</v>
      </c>
      <c r="R63" s="4">
        <f>(VLOOKUP('19.07'!Z63,'19.07'!$AO$4:$AQ$55,3,FALSE))</f>
        <v>0</v>
      </c>
      <c r="S63" s="4">
        <f>(VLOOKUP('19.07'!AA63,'19.07'!$AO$4:$AQ$55,3,FALSE))</f>
        <v>0</v>
      </c>
      <c r="T63" s="4">
        <f>(VLOOKUP('19.07'!AB63,'19.07'!$AO$4:$AQ$55,3,FALSE))</f>
        <v>0</v>
      </c>
      <c r="U63" s="4">
        <f>(VLOOKUP('19.07'!AC63,'19.07'!$AO$4:$AQ$55,3,FALSE))</f>
        <v>0</v>
      </c>
      <c r="V63" s="4">
        <f>(VLOOKUP('19.07'!AD63,'19.07'!$AO$4:$AQ$55,3,FALSE))</f>
        <v>0</v>
      </c>
      <c r="W63" s="13">
        <f>(VLOOKUP('19.07'!AE63,'19.07'!$AO$4:$AQ$55,3,FALSE))</f>
        <v>0</v>
      </c>
      <c r="X63" s="13">
        <f>(VLOOKUP('19.07'!AF63,'19.07'!$AO$4:$AQ$55,3,FALSE))</f>
        <v>0</v>
      </c>
    </row>
    <row r="64" spans="1:24">
      <c r="A64" s="4">
        <f>(VLOOKUP('19.07'!I64,'19.07'!$AO$4:$AQ$55,3,FALSE))</f>
        <v>0</v>
      </c>
      <c r="B64" s="4">
        <f>(VLOOKUP('19.07'!J64,'19.07'!$AO$4:$AQ$55,3,FALSE))</f>
        <v>0</v>
      </c>
      <c r="C64" s="4">
        <f>(VLOOKUP('19.07'!K64,'19.07'!$AO$4:$AQ$55,3,FALSE))</f>
        <v>0</v>
      </c>
      <c r="D64" s="4">
        <f>(VLOOKUP('19.07'!L64,'19.07'!$AO$4:$AQ$55,3,FALSE))</f>
        <v>0</v>
      </c>
      <c r="E64" s="4">
        <f>(VLOOKUP('19.07'!M64,'19.07'!$AO$4:$AQ$55,3,FALSE))</f>
        <v>0</v>
      </c>
      <c r="F64" s="4">
        <f>(VLOOKUP('19.07'!N64,'19.07'!$AO$4:$AQ$55,3,FALSE))</f>
        <v>0</v>
      </c>
      <c r="G64" s="13">
        <f>(VLOOKUP('19.07'!O64,'19.07'!$AO$4:$AQ$55,3,FALSE))</f>
        <v>0</v>
      </c>
      <c r="H64" s="13">
        <f>(VLOOKUP('19.07'!P64,'19.07'!$AO$4:$AQ$55,3,FALSE))</f>
        <v>0</v>
      </c>
      <c r="I64" s="4">
        <f>(VLOOKUP('19.07'!Q64,'19.07'!$AO$4:$AQ$55,3,FALSE))</f>
        <v>0</v>
      </c>
      <c r="J64" s="4">
        <f>(VLOOKUP('19.07'!R64,'19.07'!$AO$4:$AQ$55,3,FALSE))</f>
        <v>0</v>
      </c>
      <c r="K64" s="4">
        <f>(VLOOKUP('19.07'!S64,'19.07'!$AO$4:$AQ$55,3,FALSE))</f>
        <v>0</v>
      </c>
      <c r="L64" s="4">
        <f>(VLOOKUP('19.07'!T64,'19.07'!$AO$4:$AQ$55,3,FALSE))</f>
        <v>0</v>
      </c>
      <c r="M64" s="4">
        <f>(VLOOKUP('19.07'!U64,'19.07'!$AO$4:$AQ$55,3,FALSE))</f>
        <v>0</v>
      </c>
      <c r="N64" s="4">
        <f>(VLOOKUP('19.07'!V64,'19.07'!$AO$4:$AQ$55,3,FALSE))</f>
        <v>0</v>
      </c>
      <c r="O64" s="13">
        <f>(VLOOKUP('19.07'!W64,'19.07'!$AO$4:$AQ$55,3,FALSE))</f>
        <v>0</v>
      </c>
      <c r="P64" s="13">
        <f>(VLOOKUP('19.07'!X64,'19.07'!$AO$4:$AQ$55,3,FALSE))</f>
        <v>0</v>
      </c>
      <c r="Q64" s="4">
        <f>(VLOOKUP('19.07'!Y64,'19.07'!$AO$4:$AQ$55,3,FALSE))</f>
        <v>0</v>
      </c>
      <c r="R64" s="4">
        <f>(VLOOKUP('19.07'!Z64,'19.07'!$AO$4:$AQ$55,3,FALSE))</f>
        <v>0</v>
      </c>
      <c r="S64" s="4">
        <f>(VLOOKUP('19.07'!AA64,'19.07'!$AO$4:$AQ$55,3,FALSE))</f>
        <v>0</v>
      </c>
      <c r="T64" s="4">
        <f>(VLOOKUP('19.07'!AB64,'19.07'!$AO$4:$AQ$55,3,FALSE))</f>
        <v>0</v>
      </c>
      <c r="U64" s="4">
        <f>(VLOOKUP('19.07'!AC64,'19.07'!$AO$4:$AQ$55,3,FALSE))</f>
        <v>0</v>
      </c>
      <c r="V64" s="4">
        <f>(VLOOKUP('19.07'!AD64,'19.07'!$AO$4:$AQ$55,3,FALSE))</f>
        <v>0</v>
      </c>
      <c r="W64" s="13">
        <f>(VLOOKUP('19.07'!AE64,'19.07'!$AO$4:$AQ$55,3,FALSE))</f>
        <v>0</v>
      </c>
      <c r="X64" s="13">
        <f>(VLOOKUP('19.07'!AF64,'19.07'!$AO$4:$AQ$55,3,FALSE))</f>
        <v>0</v>
      </c>
    </row>
    <row r="65" spans="1:24">
      <c r="A65" s="4">
        <f>(VLOOKUP('19.07'!I65,'19.07'!$AO$4:$AQ$55,3,FALSE))</f>
        <v>0</v>
      </c>
      <c r="B65" s="4">
        <f>(VLOOKUP('19.07'!J65,'19.07'!$AO$4:$AQ$55,3,FALSE))</f>
        <v>0</v>
      </c>
      <c r="C65" s="4">
        <f>(VLOOKUP('19.07'!K65,'19.07'!$AO$4:$AQ$55,3,FALSE))</f>
        <v>0</v>
      </c>
      <c r="D65" s="4">
        <f>(VLOOKUP('19.07'!L65,'19.07'!$AO$4:$AQ$55,3,FALSE))</f>
        <v>0</v>
      </c>
      <c r="E65" s="4">
        <f>(VLOOKUP('19.07'!M65,'19.07'!$AO$4:$AQ$55,3,FALSE))</f>
        <v>0</v>
      </c>
      <c r="F65" s="4">
        <f>(VLOOKUP('19.07'!N65,'19.07'!$AO$4:$AQ$55,3,FALSE))</f>
        <v>0</v>
      </c>
      <c r="G65" s="13">
        <f>(VLOOKUP('19.07'!O65,'19.07'!$AO$4:$AQ$55,3,FALSE))</f>
        <v>0</v>
      </c>
      <c r="H65" s="13">
        <f>(VLOOKUP('19.07'!P65,'19.07'!$AO$4:$AQ$55,3,FALSE))</f>
        <v>0</v>
      </c>
      <c r="I65" s="4">
        <f>(VLOOKUP('19.07'!Q65,'19.07'!$AO$4:$AQ$55,3,FALSE))</f>
        <v>0</v>
      </c>
      <c r="J65" s="4">
        <f>(VLOOKUP('19.07'!R65,'19.07'!$AO$4:$AQ$55,3,FALSE))</f>
        <v>0</v>
      </c>
      <c r="K65" s="4">
        <f>(VLOOKUP('19.07'!S65,'19.07'!$AO$4:$AQ$55,3,FALSE))</f>
        <v>0</v>
      </c>
      <c r="L65" s="4">
        <f>(VLOOKUP('19.07'!T65,'19.07'!$AO$4:$AQ$55,3,FALSE))</f>
        <v>0</v>
      </c>
      <c r="M65" s="4">
        <f>(VLOOKUP('19.07'!U65,'19.07'!$AO$4:$AQ$55,3,FALSE))</f>
        <v>0</v>
      </c>
      <c r="N65" s="4">
        <f>(VLOOKUP('19.07'!V65,'19.07'!$AO$4:$AQ$55,3,FALSE))</f>
        <v>0</v>
      </c>
      <c r="O65" s="13">
        <f>(VLOOKUP('19.07'!W65,'19.07'!$AO$4:$AQ$55,3,FALSE))</f>
        <v>0</v>
      </c>
      <c r="P65" s="13">
        <f>(VLOOKUP('19.07'!X65,'19.07'!$AO$4:$AQ$55,3,FALSE))</f>
        <v>0</v>
      </c>
      <c r="Q65" s="4">
        <f>(VLOOKUP('19.07'!Y65,'19.07'!$AO$4:$AQ$55,3,FALSE))</f>
        <v>0</v>
      </c>
      <c r="R65" s="4">
        <f>(VLOOKUP('19.07'!Z65,'19.07'!$AO$4:$AQ$55,3,FALSE))</f>
        <v>0</v>
      </c>
      <c r="S65" s="4">
        <f>(VLOOKUP('19.07'!AA65,'19.07'!$AO$4:$AQ$55,3,FALSE))</f>
        <v>0</v>
      </c>
      <c r="T65" s="4">
        <f>(VLOOKUP('19.07'!AB65,'19.07'!$AO$4:$AQ$55,3,FALSE))</f>
        <v>0</v>
      </c>
      <c r="U65" s="4">
        <f>(VLOOKUP('19.07'!AC65,'19.07'!$AO$4:$AQ$55,3,FALSE))</f>
        <v>0</v>
      </c>
      <c r="V65" s="4">
        <f>(VLOOKUP('19.07'!AD65,'19.07'!$AO$4:$AQ$55,3,FALSE))</f>
        <v>0</v>
      </c>
      <c r="W65" s="13">
        <f>(VLOOKUP('19.07'!AE65,'19.07'!$AO$4:$AQ$55,3,FALSE))</f>
        <v>0</v>
      </c>
      <c r="X65" s="13">
        <f>(VLOOKUP('19.07'!AF65,'19.07'!$AO$4:$AQ$55,3,FALSE))</f>
        <v>0</v>
      </c>
    </row>
    <row r="66" spans="1:24">
      <c r="A66" s="4">
        <f>(VLOOKUP('19.07'!I66,'19.07'!$AO$4:$AQ$55,3,FALSE))</f>
        <v>0</v>
      </c>
      <c r="B66" s="4">
        <f>(VLOOKUP('19.07'!J66,'19.07'!$AO$4:$AQ$55,3,FALSE))</f>
        <v>0</v>
      </c>
      <c r="C66" s="4">
        <f>(VLOOKUP('19.07'!K66,'19.07'!$AO$4:$AQ$55,3,FALSE))</f>
        <v>0</v>
      </c>
      <c r="D66" s="4">
        <f>(VLOOKUP('19.07'!L66,'19.07'!$AO$4:$AQ$55,3,FALSE))</f>
        <v>0</v>
      </c>
      <c r="E66" s="4">
        <f>(VLOOKUP('19.07'!M66,'19.07'!$AO$4:$AQ$55,3,FALSE))</f>
        <v>0</v>
      </c>
      <c r="F66" s="4">
        <f>(VLOOKUP('19.07'!N66,'19.07'!$AO$4:$AQ$55,3,FALSE))</f>
        <v>0</v>
      </c>
      <c r="G66" s="13">
        <f>(VLOOKUP('19.07'!O66,'19.07'!$AO$4:$AQ$55,3,FALSE))</f>
        <v>0</v>
      </c>
      <c r="H66" s="13">
        <f>(VLOOKUP('19.07'!P66,'19.07'!$AO$4:$AQ$55,3,FALSE))</f>
        <v>0</v>
      </c>
      <c r="I66" s="4">
        <f>(VLOOKUP('19.07'!Q66,'19.07'!$AO$4:$AQ$55,3,FALSE))</f>
        <v>0</v>
      </c>
      <c r="J66" s="4">
        <f>(VLOOKUP('19.07'!R66,'19.07'!$AO$4:$AQ$55,3,FALSE))</f>
        <v>0</v>
      </c>
      <c r="K66" s="4">
        <f>(VLOOKUP('19.07'!S66,'19.07'!$AO$4:$AQ$55,3,FALSE))</f>
        <v>0</v>
      </c>
      <c r="L66" s="4">
        <f>(VLOOKUP('19.07'!T66,'19.07'!$AO$4:$AQ$55,3,FALSE))</f>
        <v>0</v>
      </c>
      <c r="M66" s="4">
        <f>(VLOOKUP('19.07'!U66,'19.07'!$AO$4:$AQ$55,3,FALSE))</f>
        <v>0</v>
      </c>
      <c r="N66" s="4">
        <f>(VLOOKUP('19.07'!V66,'19.07'!$AO$4:$AQ$55,3,FALSE))</f>
        <v>0</v>
      </c>
      <c r="O66" s="13">
        <f>(VLOOKUP('19.07'!W66,'19.07'!$AO$4:$AQ$55,3,FALSE))</f>
        <v>0</v>
      </c>
      <c r="P66" s="13">
        <f>(VLOOKUP('19.07'!X66,'19.07'!$AO$4:$AQ$55,3,FALSE))</f>
        <v>0</v>
      </c>
      <c r="Q66" s="4">
        <f>(VLOOKUP('19.07'!Y66,'19.07'!$AO$4:$AQ$55,3,FALSE))</f>
        <v>0</v>
      </c>
      <c r="R66" s="4">
        <f>(VLOOKUP('19.07'!Z66,'19.07'!$AO$4:$AQ$55,3,FALSE))</f>
        <v>0</v>
      </c>
      <c r="S66" s="4">
        <f>(VLOOKUP('19.07'!AA66,'19.07'!$AO$4:$AQ$55,3,FALSE))</f>
        <v>0</v>
      </c>
      <c r="T66" s="4">
        <f>(VLOOKUP('19.07'!AB66,'19.07'!$AO$4:$AQ$55,3,FALSE))</f>
        <v>0</v>
      </c>
      <c r="U66" s="4">
        <f>(VLOOKUP('19.07'!AC66,'19.07'!$AO$4:$AQ$55,3,FALSE))</f>
        <v>0</v>
      </c>
      <c r="V66" s="4">
        <f>(VLOOKUP('19.07'!AD66,'19.07'!$AO$4:$AQ$55,3,FALSE))</f>
        <v>0</v>
      </c>
      <c r="W66" s="13">
        <f>(VLOOKUP('19.07'!AE66,'19.07'!$AO$4:$AQ$55,3,FALSE))</f>
        <v>0</v>
      </c>
      <c r="X66" s="13">
        <f>(VLOOKUP('19.07'!AF66,'19.07'!$AO$4:$AQ$55,3,FALSE))</f>
        <v>0</v>
      </c>
    </row>
    <row r="67" spans="1:24">
      <c r="A67" s="4">
        <f>(VLOOKUP('19.07'!I67,'19.07'!$AO$4:$AQ$55,3,FALSE))</f>
        <v>0</v>
      </c>
      <c r="B67" s="4">
        <f>(VLOOKUP('19.07'!J67,'19.07'!$AO$4:$AQ$55,3,FALSE))</f>
        <v>0</v>
      </c>
      <c r="C67" s="4">
        <f>(VLOOKUP('19.07'!K67,'19.07'!$AO$4:$AQ$55,3,FALSE))</f>
        <v>0</v>
      </c>
      <c r="D67" s="4">
        <f>(VLOOKUP('19.07'!L67,'19.07'!$AO$4:$AQ$55,3,FALSE))</f>
        <v>0</v>
      </c>
      <c r="E67" s="4">
        <f>(VLOOKUP('19.07'!M67,'19.07'!$AO$4:$AQ$55,3,FALSE))</f>
        <v>0</v>
      </c>
      <c r="F67" s="4">
        <f>(VLOOKUP('19.07'!N67,'19.07'!$AO$4:$AQ$55,3,FALSE))</f>
        <v>0</v>
      </c>
      <c r="G67" s="13">
        <f>(VLOOKUP('19.07'!O67,'19.07'!$AO$4:$AQ$55,3,FALSE))</f>
        <v>0</v>
      </c>
      <c r="H67" s="13">
        <f>(VLOOKUP('19.07'!P67,'19.07'!$AO$4:$AQ$55,3,FALSE))</f>
        <v>0</v>
      </c>
      <c r="I67" s="4">
        <f>(VLOOKUP('19.07'!Q67,'19.07'!$AO$4:$AQ$55,3,FALSE))</f>
        <v>0</v>
      </c>
      <c r="J67" s="4">
        <f>(VLOOKUP('19.07'!R67,'19.07'!$AO$4:$AQ$55,3,FALSE))</f>
        <v>0</v>
      </c>
      <c r="K67" s="4">
        <f>(VLOOKUP('19.07'!S67,'19.07'!$AO$4:$AQ$55,3,FALSE))</f>
        <v>0</v>
      </c>
      <c r="L67" s="4">
        <f>(VLOOKUP('19.07'!T67,'19.07'!$AO$4:$AQ$55,3,FALSE))</f>
        <v>0</v>
      </c>
      <c r="M67" s="4">
        <f>(VLOOKUP('19.07'!U67,'19.07'!$AO$4:$AQ$55,3,FALSE))</f>
        <v>0</v>
      </c>
      <c r="N67" s="4">
        <f>(VLOOKUP('19.07'!V67,'19.07'!$AO$4:$AQ$55,3,FALSE))</f>
        <v>0</v>
      </c>
      <c r="O67" s="13">
        <f>(VLOOKUP('19.07'!W67,'19.07'!$AO$4:$AQ$55,3,FALSE))</f>
        <v>0</v>
      </c>
      <c r="P67" s="13">
        <f>(VLOOKUP('19.07'!X67,'19.07'!$AO$4:$AQ$55,3,FALSE))</f>
        <v>0</v>
      </c>
      <c r="Q67" s="4">
        <f>(VLOOKUP('19.07'!Y67,'19.07'!$AO$4:$AQ$55,3,FALSE))</f>
        <v>0</v>
      </c>
      <c r="R67" s="4">
        <f>(VLOOKUP('19.07'!Z67,'19.07'!$AO$4:$AQ$55,3,FALSE))</f>
        <v>0</v>
      </c>
      <c r="S67" s="4">
        <f>(VLOOKUP('19.07'!AA67,'19.07'!$AO$4:$AQ$55,3,FALSE))</f>
        <v>0</v>
      </c>
      <c r="T67" s="4">
        <f>(VLOOKUP('19.07'!AB67,'19.07'!$AO$4:$AQ$55,3,FALSE))</f>
        <v>0</v>
      </c>
      <c r="U67" s="4">
        <f>(VLOOKUP('19.07'!AC67,'19.07'!$AO$4:$AQ$55,3,FALSE))</f>
        <v>0</v>
      </c>
      <c r="V67" s="4">
        <f>(VLOOKUP('19.07'!AD67,'19.07'!$AO$4:$AQ$55,3,FALSE))</f>
        <v>0</v>
      </c>
      <c r="W67" s="13">
        <f>(VLOOKUP('19.07'!AE67,'19.07'!$AO$4:$AQ$55,3,FALSE))</f>
        <v>0</v>
      </c>
      <c r="X67" s="13">
        <f>(VLOOKUP('19.07'!AF67,'19.07'!$AO$4:$AQ$55,3,FALSE))</f>
        <v>0</v>
      </c>
    </row>
    <row r="68" spans="1:24">
      <c r="A68" s="4">
        <f>(VLOOKUP('19.07'!I68,'19.07'!$AO$4:$AQ$55,3,FALSE))</f>
        <v>0</v>
      </c>
      <c r="B68" s="4">
        <f>(VLOOKUP('19.07'!J68,'19.07'!$AO$4:$AQ$55,3,FALSE))</f>
        <v>0</v>
      </c>
      <c r="C68" s="4">
        <f>(VLOOKUP('19.07'!K68,'19.07'!$AO$4:$AQ$55,3,FALSE))</f>
        <v>0</v>
      </c>
      <c r="D68" s="4">
        <f>(VLOOKUP('19.07'!L68,'19.07'!$AO$4:$AQ$55,3,FALSE))</f>
        <v>0</v>
      </c>
      <c r="E68" s="4">
        <f>(VLOOKUP('19.07'!M68,'19.07'!$AO$4:$AQ$55,3,FALSE))</f>
        <v>0</v>
      </c>
      <c r="F68" s="4">
        <f>(VLOOKUP('19.07'!N68,'19.07'!$AO$4:$AQ$55,3,FALSE))</f>
        <v>0</v>
      </c>
      <c r="G68" s="13">
        <f>(VLOOKUP('19.07'!O68,'19.07'!$AO$4:$AQ$55,3,FALSE))</f>
        <v>0</v>
      </c>
      <c r="H68" s="13">
        <f>(VLOOKUP('19.07'!P68,'19.07'!$AO$4:$AQ$55,3,FALSE))</f>
        <v>0</v>
      </c>
      <c r="I68" s="4">
        <f>(VLOOKUP('19.07'!Q68,'19.07'!$AO$4:$AQ$55,3,FALSE))</f>
        <v>0</v>
      </c>
      <c r="J68" s="4">
        <f>(VLOOKUP('19.07'!R68,'19.07'!$AO$4:$AQ$55,3,FALSE))</f>
        <v>0</v>
      </c>
      <c r="K68" s="4">
        <f>(VLOOKUP('19.07'!S68,'19.07'!$AO$4:$AQ$55,3,FALSE))</f>
        <v>0</v>
      </c>
      <c r="L68" s="4">
        <f>(VLOOKUP('19.07'!T68,'19.07'!$AO$4:$AQ$55,3,FALSE))</f>
        <v>0</v>
      </c>
      <c r="M68" s="4">
        <f>(VLOOKUP('19.07'!U68,'19.07'!$AO$4:$AQ$55,3,FALSE))</f>
        <v>0</v>
      </c>
      <c r="N68" s="4">
        <f>(VLOOKUP('19.07'!V68,'19.07'!$AO$4:$AQ$55,3,FALSE))</f>
        <v>0</v>
      </c>
      <c r="O68" s="13">
        <f>(VLOOKUP('19.07'!W68,'19.07'!$AO$4:$AQ$55,3,FALSE))</f>
        <v>0</v>
      </c>
      <c r="P68" s="13">
        <f>(VLOOKUP('19.07'!X68,'19.07'!$AO$4:$AQ$55,3,FALSE))</f>
        <v>0</v>
      </c>
      <c r="Q68" s="4">
        <f>(VLOOKUP('19.07'!Y68,'19.07'!$AO$4:$AQ$55,3,FALSE))</f>
        <v>0</v>
      </c>
      <c r="R68" s="4">
        <f>(VLOOKUP('19.07'!Z68,'19.07'!$AO$4:$AQ$55,3,FALSE))</f>
        <v>0</v>
      </c>
      <c r="S68" s="4">
        <f>(VLOOKUP('19.07'!AA68,'19.07'!$AO$4:$AQ$55,3,FALSE))</f>
        <v>0</v>
      </c>
      <c r="T68" s="4">
        <f>(VLOOKUP('19.07'!AB68,'19.07'!$AO$4:$AQ$55,3,FALSE))</f>
        <v>0</v>
      </c>
      <c r="U68" s="4">
        <f>(VLOOKUP('19.07'!AC68,'19.07'!$AO$4:$AQ$55,3,FALSE))</f>
        <v>0</v>
      </c>
      <c r="V68" s="4">
        <f>(VLOOKUP('19.07'!AD68,'19.07'!$AO$4:$AQ$55,3,FALSE))</f>
        <v>0</v>
      </c>
      <c r="W68" s="13">
        <f>(VLOOKUP('19.07'!AE68,'19.07'!$AO$4:$AQ$55,3,FALSE))</f>
        <v>0</v>
      </c>
      <c r="X68" s="13">
        <f>(VLOOKUP('19.07'!AF68,'19.07'!$AO$4:$AQ$55,3,FALSE))</f>
        <v>0</v>
      </c>
    </row>
    <row r="69" spans="1:24">
      <c r="A69" s="4">
        <f>(VLOOKUP('19.07'!I69,'19.07'!$AO$4:$AQ$55,3,FALSE))</f>
        <v>0</v>
      </c>
      <c r="B69" s="4">
        <f>(VLOOKUP('19.07'!J69,'19.07'!$AO$4:$AQ$55,3,FALSE))</f>
        <v>0</v>
      </c>
      <c r="C69" s="4">
        <f>(VLOOKUP('19.07'!K69,'19.07'!$AO$4:$AQ$55,3,FALSE))</f>
        <v>0</v>
      </c>
      <c r="D69" s="4">
        <f>(VLOOKUP('19.07'!L69,'19.07'!$AO$4:$AQ$55,3,FALSE))</f>
        <v>0</v>
      </c>
      <c r="E69" s="4">
        <f>(VLOOKUP('19.07'!M69,'19.07'!$AO$4:$AQ$55,3,FALSE))</f>
        <v>0</v>
      </c>
      <c r="F69" s="4">
        <f>(VLOOKUP('19.07'!N69,'19.07'!$AO$4:$AQ$55,3,FALSE))</f>
        <v>0</v>
      </c>
      <c r="G69" s="13">
        <f>(VLOOKUP('19.07'!O69,'19.07'!$AO$4:$AQ$55,3,FALSE))</f>
        <v>0</v>
      </c>
      <c r="H69" s="13">
        <f>(VLOOKUP('19.07'!P69,'19.07'!$AO$4:$AQ$55,3,FALSE))</f>
        <v>0</v>
      </c>
      <c r="I69" s="4">
        <f>(VLOOKUP('19.07'!Q69,'19.07'!$AO$4:$AQ$55,3,FALSE))</f>
        <v>0</v>
      </c>
      <c r="J69" s="4">
        <f>(VLOOKUP('19.07'!R69,'19.07'!$AO$4:$AQ$55,3,FALSE))</f>
        <v>0</v>
      </c>
      <c r="K69" s="4">
        <f>(VLOOKUP('19.07'!S69,'19.07'!$AO$4:$AQ$55,3,FALSE))</f>
        <v>0</v>
      </c>
      <c r="L69" s="4">
        <f>(VLOOKUP('19.07'!T69,'19.07'!$AO$4:$AQ$55,3,FALSE))</f>
        <v>0</v>
      </c>
      <c r="M69" s="4">
        <f>(VLOOKUP('19.07'!U69,'19.07'!$AO$4:$AQ$55,3,FALSE))</f>
        <v>0</v>
      </c>
      <c r="N69" s="4">
        <f>(VLOOKUP('19.07'!V69,'19.07'!$AO$4:$AQ$55,3,FALSE))</f>
        <v>0</v>
      </c>
      <c r="O69" s="13">
        <f>(VLOOKUP('19.07'!W69,'19.07'!$AO$4:$AQ$55,3,FALSE))</f>
        <v>0</v>
      </c>
      <c r="P69" s="13">
        <f>(VLOOKUP('19.07'!X69,'19.07'!$AO$4:$AQ$55,3,FALSE))</f>
        <v>0</v>
      </c>
      <c r="Q69" s="4">
        <f>(VLOOKUP('19.07'!Y69,'19.07'!$AO$4:$AQ$55,3,FALSE))</f>
        <v>0</v>
      </c>
      <c r="R69" s="4">
        <f>(VLOOKUP('19.07'!Z69,'19.07'!$AO$4:$AQ$55,3,FALSE))</f>
        <v>0</v>
      </c>
      <c r="S69" s="4">
        <f>(VLOOKUP('19.07'!AA69,'19.07'!$AO$4:$AQ$55,3,FALSE))</f>
        <v>0</v>
      </c>
      <c r="T69" s="4">
        <f>(VLOOKUP('19.07'!AB69,'19.07'!$AO$4:$AQ$55,3,FALSE))</f>
        <v>0</v>
      </c>
      <c r="U69" s="4">
        <f>(VLOOKUP('19.07'!AC69,'19.07'!$AO$4:$AQ$55,3,FALSE))</f>
        <v>0</v>
      </c>
      <c r="V69" s="4">
        <f>(VLOOKUP('19.07'!AD69,'19.07'!$AO$4:$AQ$55,3,FALSE))</f>
        <v>0</v>
      </c>
      <c r="W69" s="13">
        <f>(VLOOKUP('19.07'!AE69,'19.07'!$AO$4:$AQ$55,3,FALSE))</f>
        <v>0</v>
      </c>
      <c r="X69" s="13">
        <f>(VLOOKUP('19.07'!AF69,'19.07'!$AO$4:$AQ$55,3,FALSE))</f>
        <v>0</v>
      </c>
    </row>
    <row r="70" spans="1:24">
      <c r="A70" s="4">
        <f>(VLOOKUP('19.07'!I70,'19.07'!$AO$4:$AQ$55,3,FALSE))</f>
        <v>0</v>
      </c>
      <c r="B70" s="4">
        <f>(VLOOKUP('19.07'!J70,'19.07'!$AO$4:$AQ$55,3,FALSE))</f>
        <v>0</v>
      </c>
      <c r="C70" s="4">
        <f>(VLOOKUP('19.07'!K70,'19.07'!$AO$4:$AQ$55,3,FALSE))</f>
        <v>0</v>
      </c>
      <c r="D70" s="4">
        <f>(VLOOKUP('19.07'!L70,'19.07'!$AO$4:$AQ$55,3,FALSE))</f>
        <v>0</v>
      </c>
      <c r="E70" s="4">
        <f>(VLOOKUP('19.07'!M70,'19.07'!$AO$4:$AQ$55,3,FALSE))</f>
        <v>0</v>
      </c>
      <c r="F70" s="4">
        <f>(VLOOKUP('19.07'!N70,'19.07'!$AO$4:$AQ$55,3,FALSE))</f>
        <v>0</v>
      </c>
      <c r="G70" s="13">
        <f>(VLOOKUP('19.07'!O70,'19.07'!$AO$4:$AQ$55,3,FALSE))</f>
        <v>0</v>
      </c>
      <c r="H70" s="13">
        <f>(VLOOKUP('19.07'!P70,'19.07'!$AO$4:$AQ$55,3,FALSE))</f>
        <v>0</v>
      </c>
      <c r="I70" s="4">
        <f>(VLOOKUP('19.07'!Q70,'19.07'!$AO$4:$AQ$55,3,FALSE))</f>
        <v>0</v>
      </c>
      <c r="J70" s="4">
        <f>(VLOOKUP('19.07'!R70,'19.07'!$AO$4:$AQ$55,3,FALSE))</f>
        <v>0</v>
      </c>
      <c r="K70" s="4">
        <f>(VLOOKUP('19.07'!S70,'19.07'!$AO$4:$AQ$55,3,FALSE))</f>
        <v>0</v>
      </c>
      <c r="L70" s="4">
        <f>(VLOOKUP('19.07'!T70,'19.07'!$AO$4:$AQ$55,3,FALSE))</f>
        <v>0</v>
      </c>
      <c r="M70" s="4">
        <f>(VLOOKUP('19.07'!U70,'19.07'!$AO$4:$AQ$55,3,FALSE))</f>
        <v>0</v>
      </c>
      <c r="N70" s="4">
        <f>(VLOOKUP('19.07'!V70,'19.07'!$AO$4:$AQ$55,3,FALSE))</f>
        <v>0</v>
      </c>
      <c r="O70" s="13">
        <f>(VLOOKUP('19.07'!W70,'19.07'!$AO$4:$AQ$55,3,FALSE))</f>
        <v>0</v>
      </c>
      <c r="P70" s="13">
        <f>(VLOOKUP('19.07'!X70,'19.07'!$AO$4:$AQ$55,3,FALSE))</f>
        <v>0</v>
      </c>
      <c r="Q70" s="4">
        <f>(VLOOKUP('19.07'!Y70,'19.07'!$AO$4:$AQ$55,3,FALSE))</f>
        <v>0</v>
      </c>
      <c r="R70" s="4">
        <f>(VLOOKUP('19.07'!Z70,'19.07'!$AO$4:$AQ$55,3,FALSE))</f>
        <v>0</v>
      </c>
      <c r="S70" s="4">
        <f>(VLOOKUP('19.07'!AA70,'19.07'!$AO$4:$AQ$55,3,FALSE))</f>
        <v>0</v>
      </c>
      <c r="T70" s="4">
        <f>(VLOOKUP('19.07'!AB70,'19.07'!$AO$4:$AQ$55,3,FALSE))</f>
        <v>0</v>
      </c>
      <c r="U70" s="4">
        <f>(VLOOKUP('19.07'!AC70,'19.07'!$AO$4:$AQ$55,3,FALSE))</f>
        <v>0</v>
      </c>
      <c r="V70" s="4">
        <f>(VLOOKUP('19.07'!AD70,'19.07'!$AO$4:$AQ$55,3,FALSE))</f>
        <v>0</v>
      </c>
      <c r="W70" s="13">
        <f>(VLOOKUP('19.07'!AE70,'19.07'!$AO$4:$AQ$55,3,FALSE))</f>
        <v>0</v>
      </c>
      <c r="X70" s="13">
        <f>(VLOOKUP('19.07'!AF70,'19.07'!$AO$4:$AQ$55,3,FALSE))</f>
        <v>0</v>
      </c>
    </row>
    <row r="71" spans="1:24">
      <c r="A71" s="4">
        <f>(VLOOKUP('19.07'!I71,'19.07'!$AO$4:$AQ$55,3,FALSE))</f>
        <v>0</v>
      </c>
      <c r="B71" s="4">
        <f>(VLOOKUP('19.07'!J71,'19.07'!$AO$4:$AQ$55,3,FALSE))</f>
        <v>0</v>
      </c>
      <c r="C71" s="4">
        <f>(VLOOKUP('19.07'!K71,'19.07'!$AO$4:$AQ$55,3,FALSE))</f>
        <v>0</v>
      </c>
      <c r="D71" s="4">
        <f>(VLOOKUP('19.07'!L71,'19.07'!$AO$4:$AQ$55,3,FALSE))</f>
        <v>0</v>
      </c>
      <c r="E71" s="4">
        <f>(VLOOKUP('19.07'!M71,'19.07'!$AO$4:$AQ$55,3,FALSE))</f>
        <v>0</v>
      </c>
      <c r="F71" s="4">
        <f>(VLOOKUP('19.07'!N71,'19.07'!$AO$4:$AQ$55,3,FALSE))</f>
        <v>0</v>
      </c>
      <c r="G71" s="13">
        <f>(VLOOKUP('19.07'!O71,'19.07'!$AO$4:$AQ$55,3,FALSE))</f>
        <v>0</v>
      </c>
      <c r="H71" s="13">
        <f>(VLOOKUP('19.07'!P71,'19.07'!$AO$4:$AQ$55,3,FALSE))</f>
        <v>0</v>
      </c>
      <c r="I71" s="4">
        <f>(VLOOKUP('19.07'!Q71,'19.07'!$AO$4:$AQ$55,3,FALSE))</f>
        <v>0</v>
      </c>
      <c r="J71" s="4">
        <f>(VLOOKUP('19.07'!R71,'19.07'!$AO$4:$AQ$55,3,FALSE))</f>
        <v>0</v>
      </c>
      <c r="K71" s="4">
        <f>(VLOOKUP('19.07'!S71,'19.07'!$AO$4:$AQ$55,3,FALSE))</f>
        <v>0</v>
      </c>
      <c r="L71" s="4">
        <f>(VLOOKUP('19.07'!T71,'19.07'!$AO$4:$AQ$55,3,FALSE))</f>
        <v>0</v>
      </c>
      <c r="M71" s="4">
        <f>(VLOOKUP('19.07'!U71,'19.07'!$AO$4:$AQ$55,3,FALSE))</f>
        <v>0</v>
      </c>
      <c r="N71" s="4">
        <f>(VLOOKUP('19.07'!V71,'19.07'!$AO$4:$AQ$55,3,FALSE))</f>
        <v>0</v>
      </c>
      <c r="O71" s="13">
        <f>(VLOOKUP('19.07'!W71,'19.07'!$AO$4:$AQ$55,3,FALSE))</f>
        <v>0</v>
      </c>
      <c r="P71" s="13">
        <f>(VLOOKUP('19.07'!X71,'19.07'!$AO$4:$AQ$55,3,FALSE))</f>
        <v>0</v>
      </c>
      <c r="Q71" s="4">
        <f>(VLOOKUP('19.07'!Y71,'19.07'!$AO$4:$AQ$55,3,FALSE))</f>
        <v>0</v>
      </c>
      <c r="R71" s="4">
        <f>(VLOOKUP('19.07'!Z71,'19.07'!$AO$4:$AQ$55,3,FALSE))</f>
        <v>0</v>
      </c>
      <c r="S71" s="4">
        <f>(VLOOKUP('19.07'!AA71,'19.07'!$AO$4:$AQ$55,3,FALSE))</f>
        <v>0</v>
      </c>
      <c r="T71" s="4">
        <f>(VLOOKUP('19.07'!AB71,'19.07'!$AO$4:$AQ$55,3,FALSE))</f>
        <v>0</v>
      </c>
      <c r="U71" s="4">
        <f>(VLOOKUP('19.07'!AC71,'19.07'!$AO$4:$AQ$55,3,FALSE))</f>
        <v>0</v>
      </c>
      <c r="V71" s="4">
        <f>(VLOOKUP('19.07'!AD71,'19.07'!$AO$4:$AQ$55,3,FALSE))</f>
        <v>0</v>
      </c>
      <c r="W71" s="13">
        <f>(VLOOKUP('19.07'!AE71,'19.07'!$AO$4:$AQ$55,3,FALSE))</f>
        <v>0</v>
      </c>
      <c r="X71" s="13">
        <f>(VLOOKUP('19.07'!AF71,'19.07'!$AO$4:$AQ$55,3,FALSE))</f>
        <v>0</v>
      </c>
    </row>
    <row r="72" spans="1:24">
      <c r="A72" s="4">
        <f>(VLOOKUP('19.07'!I72,'19.07'!$AO$4:$AQ$55,3,FALSE))</f>
        <v>0</v>
      </c>
      <c r="B72" s="4">
        <f>(VLOOKUP('19.07'!J72,'19.07'!$AO$4:$AQ$55,3,FALSE))</f>
        <v>0</v>
      </c>
      <c r="C72" s="4">
        <f>(VLOOKUP('19.07'!K72,'19.07'!$AO$4:$AQ$55,3,FALSE))</f>
        <v>0</v>
      </c>
      <c r="D72" s="4">
        <f>(VLOOKUP('19.07'!L72,'19.07'!$AO$4:$AQ$55,3,FALSE))</f>
        <v>0</v>
      </c>
      <c r="E72" s="4">
        <f>(VLOOKUP('19.07'!M72,'19.07'!$AO$4:$AQ$55,3,FALSE))</f>
        <v>0</v>
      </c>
      <c r="F72" s="4">
        <f>(VLOOKUP('19.07'!N72,'19.07'!$AO$4:$AQ$55,3,FALSE))</f>
        <v>0</v>
      </c>
      <c r="G72" s="13">
        <f>(VLOOKUP('19.07'!O72,'19.07'!$AO$4:$AQ$55,3,FALSE))</f>
        <v>0</v>
      </c>
      <c r="H72" s="13">
        <f>(VLOOKUP('19.07'!P72,'19.07'!$AO$4:$AQ$55,3,FALSE))</f>
        <v>0</v>
      </c>
      <c r="I72" s="4">
        <f>(VLOOKUP('19.07'!Q72,'19.07'!$AO$4:$AQ$55,3,FALSE))</f>
        <v>0</v>
      </c>
      <c r="J72" s="4">
        <f>(VLOOKUP('19.07'!R72,'19.07'!$AO$4:$AQ$55,3,FALSE))</f>
        <v>0</v>
      </c>
      <c r="K72" s="4">
        <f>(VLOOKUP('19.07'!S72,'19.07'!$AO$4:$AQ$55,3,FALSE))</f>
        <v>0</v>
      </c>
      <c r="L72" s="4">
        <f>(VLOOKUP('19.07'!T72,'19.07'!$AO$4:$AQ$55,3,FALSE))</f>
        <v>0</v>
      </c>
      <c r="M72" s="4">
        <f>(VLOOKUP('19.07'!U72,'19.07'!$AO$4:$AQ$55,3,FALSE))</f>
        <v>0</v>
      </c>
      <c r="N72" s="4">
        <f>(VLOOKUP('19.07'!V72,'19.07'!$AO$4:$AQ$55,3,FALSE))</f>
        <v>0</v>
      </c>
      <c r="O72" s="13">
        <f>(VLOOKUP('19.07'!W72,'19.07'!$AO$4:$AQ$55,3,FALSE))</f>
        <v>0</v>
      </c>
      <c r="P72" s="13">
        <f>(VLOOKUP('19.07'!X72,'19.07'!$AO$4:$AQ$55,3,FALSE))</f>
        <v>0</v>
      </c>
      <c r="Q72" s="4">
        <f>(VLOOKUP('19.07'!Y72,'19.07'!$AO$4:$AQ$55,3,FALSE))</f>
        <v>0</v>
      </c>
      <c r="R72" s="4">
        <f>(VLOOKUP('19.07'!Z72,'19.07'!$AO$4:$AQ$55,3,FALSE))</f>
        <v>0</v>
      </c>
      <c r="S72" s="4">
        <f>(VLOOKUP('19.07'!AA72,'19.07'!$AO$4:$AQ$55,3,FALSE))</f>
        <v>0</v>
      </c>
      <c r="T72" s="4">
        <f>(VLOOKUP('19.07'!AB72,'19.07'!$AO$4:$AQ$55,3,FALSE))</f>
        <v>0</v>
      </c>
      <c r="U72" s="4">
        <f>(VLOOKUP('19.07'!AC72,'19.07'!$AO$4:$AQ$55,3,FALSE))</f>
        <v>0</v>
      </c>
      <c r="V72" s="4">
        <f>(VLOOKUP('19.07'!AD72,'19.07'!$AO$4:$AQ$55,3,FALSE))</f>
        <v>0</v>
      </c>
      <c r="W72" s="13">
        <f>(VLOOKUP('19.07'!AE72,'19.07'!$AO$4:$AQ$55,3,FALSE))</f>
        <v>0</v>
      </c>
      <c r="X72" s="13">
        <f>(VLOOKUP('19.07'!AF72,'19.07'!$AO$4:$AQ$55,3,FALSE))</f>
        <v>0</v>
      </c>
    </row>
    <row r="73" spans="1:24">
      <c r="A73" s="4">
        <f>(VLOOKUP('19.07'!I73,'19.07'!$AO$4:$AQ$55,3,FALSE))</f>
        <v>0</v>
      </c>
      <c r="B73" s="4">
        <f>(VLOOKUP('19.07'!J73,'19.07'!$AO$4:$AQ$55,3,FALSE))</f>
        <v>0</v>
      </c>
      <c r="C73" s="4">
        <f>(VLOOKUP('19.07'!K73,'19.07'!$AO$4:$AQ$55,3,FALSE))</f>
        <v>0</v>
      </c>
      <c r="D73" s="4">
        <f>(VLOOKUP('19.07'!L73,'19.07'!$AO$4:$AQ$55,3,FALSE))</f>
        <v>0</v>
      </c>
      <c r="E73" s="4">
        <f>(VLOOKUP('19.07'!M73,'19.07'!$AO$4:$AQ$55,3,FALSE))</f>
        <v>0</v>
      </c>
      <c r="F73" s="4">
        <f>(VLOOKUP('19.07'!N73,'19.07'!$AO$4:$AQ$55,3,FALSE))</f>
        <v>0</v>
      </c>
      <c r="G73" s="13">
        <f>(VLOOKUP('19.07'!O73,'19.07'!$AO$4:$AQ$55,3,FALSE))</f>
        <v>0</v>
      </c>
      <c r="H73" s="13">
        <f>(VLOOKUP('19.07'!P73,'19.07'!$AO$4:$AQ$55,3,FALSE))</f>
        <v>0</v>
      </c>
      <c r="I73" s="4">
        <f>(VLOOKUP('19.07'!Q73,'19.07'!$AO$4:$AQ$55,3,FALSE))</f>
        <v>0</v>
      </c>
      <c r="J73" s="4">
        <f>(VLOOKUP('19.07'!R73,'19.07'!$AO$4:$AQ$55,3,FALSE))</f>
        <v>0</v>
      </c>
      <c r="K73" s="4">
        <f>(VLOOKUP('19.07'!S73,'19.07'!$AO$4:$AQ$55,3,FALSE))</f>
        <v>0</v>
      </c>
      <c r="L73" s="4">
        <f>(VLOOKUP('19.07'!T73,'19.07'!$AO$4:$AQ$55,3,FALSE))</f>
        <v>0</v>
      </c>
      <c r="M73" s="4">
        <f>(VLOOKUP('19.07'!U73,'19.07'!$AO$4:$AQ$55,3,FALSE))</f>
        <v>0</v>
      </c>
      <c r="N73" s="4">
        <f>(VLOOKUP('19.07'!V73,'19.07'!$AO$4:$AQ$55,3,FALSE))</f>
        <v>0</v>
      </c>
      <c r="O73" s="13">
        <f>(VLOOKUP('19.07'!W73,'19.07'!$AO$4:$AQ$55,3,FALSE))</f>
        <v>0</v>
      </c>
      <c r="P73" s="13">
        <f>(VLOOKUP('19.07'!X73,'19.07'!$AO$4:$AQ$55,3,FALSE))</f>
        <v>0</v>
      </c>
      <c r="Q73" s="4">
        <f>(VLOOKUP('19.07'!Y73,'19.07'!$AO$4:$AQ$55,3,FALSE))</f>
        <v>0</v>
      </c>
      <c r="R73" s="4">
        <f>(VLOOKUP('19.07'!Z73,'19.07'!$AO$4:$AQ$55,3,FALSE))</f>
        <v>0</v>
      </c>
      <c r="S73" s="4">
        <f>(VLOOKUP('19.07'!AA73,'19.07'!$AO$4:$AQ$55,3,FALSE))</f>
        <v>0</v>
      </c>
      <c r="T73" s="4">
        <f>(VLOOKUP('19.07'!AB73,'19.07'!$AO$4:$AQ$55,3,FALSE))</f>
        <v>0</v>
      </c>
      <c r="U73" s="4">
        <f>(VLOOKUP('19.07'!AC73,'19.07'!$AO$4:$AQ$55,3,FALSE))</f>
        <v>0</v>
      </c>
      <c r="V73" s="4">
        <f>(VLOOKUP('19.07'!AD73,'19.07'!$AO$4:$AQ$55,3,FALSE))</f>
        <v>0</v>
      </c>
      <c r="W73" s="13">
        <f>(VLOOKUP('19.07'!AE73,'19.07'!$AO$4:$AQ$55,3,FALSE))</f>
        <v>0</v>
      </c>
      <c r="X73" s="13">
        <f>(VLOOKUP('19.07'!AF73,'19.07'!$AO$4:$AQ$55,3,FALSE))</f>
        <v>0</v>
      </c>
    </row>
    <row r="74" spans="1:24">
      <c r="A74" s="4">
        <f>(VLOOKUP('19.07'!I74,'19.07'!$AO$4:$AQ$55,3,FALSE))</f>
        <v>0</v>
      </c>
      <c r="B74" s="4">
        <f>(VLOOKUP('19.07'!J74,'19.07'!$AO$4:$AQ$55,3,FALSE))</f>
        <v>0</v>
      </c>
      <c r="C74" s="4">
        <f>(VLOOKUP('19.07'!K74,'19.07'!$AO$4:$AQ$55,3,FALSE))</f>
        <v>0</v>
      </c>
      <c r="D74" s="4">
        <f>(VLOOKUP('19.07'!L74,'19.07'!$AO$4:$AQ$55,3,FALSE))</f>
        <v>0</v>
      </c>
      <c r="E74" s="4">
        <f>(VLOOKUP('19.07'!M74,'19.07'!$AO$4:$AQ$55,3,FALSE))</f>
        <v>0</v>
      </c>
      <c r="F74" s="4">
        <f>(VLOOKUP('19.07'!N74,'19.07'!$AO$4:$AQ$55,3,FALSE))</f>
        <v>0</v>
      </c>
      <c r="G74" s="13">
        <f>(VLOOKUP('19.07'!O74,'19.07'!$AO$4:$AQ$55,3,FALSE))</f>
        <v>0</v>
      </c>
      <c r="H74" s="13">
        <f>(VLOOKUP('19.07'!P74,'19.07'!$AO$4:$AQ$55,3,FALSE))</f>
        <v>0</v>
      </c>
      <c r="I74" s="4">
        <f>(VLOOKUP('19.07'!Q74,'19.07'!$AO$4:$AQ$55,3,FALSE))</f>
        <v>0</v>
      </c>
      <c r="J74" s="4">
        <f>(VLOOKUP('19.07'!R74,'19.07'!$AO$4:$AQ$55,3,FALSE))</f>
        <v>0</v>
      </c>
      <c r="K74" s="4">
        <f>(VLOOKUP('19.07'!S74,'19.07'!$AO$4:$AQ$55,3,FALSE))</f>
        <v>0</v>
      </c>
      <c r="L74" s="4">
        <f>(VLOOKUP('19.07'!T74,'19.07'!$AO$4:$AQ$55,3,FALSE))</f>
        <v>0</v>
      </c>
      <c r="M74" s="4">
        <f>(VLOOKUP('19.07'!U74,'19.07'!$AO$4:$AQ$55,3,FALSE))</f>
        <v>0</v>
      </c>
      <c r="N74" s="4">
        <f>(VLOOKUP('19.07'!V74,'19.07'!$AO$4:$AQ$55,3,FALSE))</f>
        <v>0</v>
      </c>
      <c r="O74" s="13">
        <f>(VLOOKUP('19.07'!W74,'19.07'!$AO$4:$AQ$55,3,FALSE))</f>
        <v>0</v>
      </c>
      <c r="P74" s="13">
        <f>(VLOOKUP('19.07'!X74,'19.07'!$AO$4:$AQ$55,3,FALSE))</f>
        <v>0</v>
      </c>
      <c r="Q74" s="4">
        <f>(VLOOKUP('19.07'!Y74,'19.07'!$AO$4:$AQ$55,3,FALSE))</f>
        <v>0</v>
      </c>
      <c r="R74" s="4">
        <f>(VLOOKUP('19.07'!Z74,'19.07'!$AO$4:$AQ$55,3,FALSE))</f>
        <v>0</v>
      </c>
      <c r="S74" s="4">
        <f>(VLOOKUP('19.07'!AA74,'19.07'!$AO$4:$AQ$55,3,FALSE))</f>
        <v>0</v>
      </c>
      <c r="T74" s="4">
        <f>(VLOOKUP('19.07'!AB74,'19.07'!$AO$4:$AQ$55,3,FALSE))</f>
        <v>0</v>
      </c>
      <c r="U74" s="4">
        <f>(VLOOKUP('19.07'!AC74,'19.07'!$AO$4:$AQ$55,3,FALSE))</f>
        <v>0</v>
      </c>
      <c r="V74" s="4">
        <f>(VLOOKUP('19.07'!AD74,'19.07'!$AO$4:$AQ$55,3,FALSE))</f>
        <v>0</v>
      </c>
      <c r="W74" s="13">
        <f>(VLOOKUP('19.07'!AE74,'19.07'!$AO$4:$AQ$55,3,FALSE))</f>
        <v>0</v>
      </c>
      <c r="X74" s="13">
        <f>(VLOOKUP('19.07'!AF74,'19.07'!$AO$4:$AQ$55,3,FALSE))</f>
        <v>0</v>
      </c>
    </row>
    <row r="75" spans="1:24">
      <c r="A75" s="4">
        <f>(VLOOKUP('19.07'!I75,'19.07'!$AO$4:$AQ$55,3,FALSE))</f>
        <v>0</v>
      </c>
      <c r="B75" s="4">
        <f>(VLOOKUP('19.07'!J75,'19.07'!$AO$4:$AQ$55,3,FALSE))</f>
        <v>0</v>
      </c>
      <c r="C75" s="4">
        <f>(VLOOKUP('19.07'!K75,'19.07'!$AO$4:$AQ$55,3,FALSE))</f>
        <v>0</v>
      </c>
      <c r="D75" s="4">
        <f>(VLOOKUP('19.07'!L75,'19.07'!$AO$4:$AQ$55,3,FALSE))</f>
        <v>0</v>
      </c>
      <c r="E75" s="4">
        <f>(VLOOKUP('19.07'!M75,'19.07'!$AO$4:$AQ$55,3,FALSE))</f>
        <v>0</v>
      </c>
      <c r="F75" s="4">
        <f>(VLOOKUP('19.07'!N75,'19.07'!$AO$4:$AQ$55,3,FALSE))</f>
        <v>0</v>
      </c>
      <c r="G75" s="13">
        <f>(VLOOKUP('19.07'!O75,'19.07'!$AO$4:$AQ$55,3,FALSE))</f>
        <v>0</v>
      </c>
      <c r="H75" s="13">
        <f>(VLOOKUP('19.07'!P75,'19.07'!$AO$4:$AQ$55,3,FALSE))</f>
        <v>0</v>
      </c>
      <c r="I75" s="4">
        <f>(VLOOKUP('19.07'!Q75,'19.07'!$AO$4:$AQ$55,3,FALSE))</f>
        <v>0</v>
      </c>
      <c r="J75" s="4">
        <f>(VLOOKUP('19.07'!R75,'19.07'!$AO$4:$AQ$55,3,FALSE))</f>
        <v>0</v>
      </c>
      <c r="K75" s="4">
        <f>(VLOOKUP('19.07'!S75,'19.07'!$AO$4:$AQ$55,3,FALSE))</f>
        <v>0</v>
      </c>
      <c r="L75" s="4">
        <f>(VLOOKUP('19.07'!T75,'19.07'!$AO$4:$AQ$55,3,FALSE))</f>
        <v>0</v>
      </c>
      <c r="M75" s="4">
        <f>(VLOOKUP('19.07'!U75,'19.07'!$AO$4:$AQ$55,3,FALSE))</f>
        <v>0</v>
      </c>
      <c r="N75" s="4">
        <f>(VLOOKUP('19.07'!V75,'19.07'!$AO$4:$AQ$55,3,FALSE))</f>
        <v>0</v>
      </c>
      <c r="O75" s="13">
        <f>(VLOOKUP('19.07'!W75,'19.07'!$AO$4:$AQ$55,3,FALSE))</f>
        <v>0</v>
      </c>
      <c r="P75" s="13">
        <f>(VLOOKUP('19.07'!X75,'19.07'!$AO$4:$AQ$55,3,FALSE))</f>
        <v>0</v>
      </c>
      <c r="Q75" s="4">
        <f>(VLOOKUP('19.07'!Y75,'19.07'!$AO$4:$AQ$55,3,FALSE))</f>
        <v>0</v>
      </c>
      <c r="R75" s="4">
        <f>(VLOOKUP('19.07'!Z75,'19.07'!$AO$4:$AQ$55,3,FALSE))</f>
        <v>0</v>
      </c>
      <c r="S75" s="4">
        <f>(VLOOKUP('19.07'!AA75,'19.07'!$AO$4:$AQ$55,3,FALSE))</f>
        <v>0</v>
      </c>
      <c r="T75" s="4">
        <f>(VLOOKUP('19.07'!AB75,'19.07'!$AO$4:$AQ$55,3,FALSE))</f>
        <v>0</v>
      </c>
      <c r="U75" s="4">
        <f>(VLOOKUP('19.07'!AC75,'19.07'!$AO$4:$AQ$55,3,FALSE))</f>
        <v>0</v>
      </c>
      <c r="V75" s="4">
        <f>(VLOOKUP('19.07'!AD75,'19.07'!$AO$4:$AQ$55,3,FALSE))</f>
        <v>0</v>
      </c>
      <c r="W75" s="13">
        <f>(VLOOKUP('19.07'!AE75,'19.07'!$AO$4:$AQ$55,3,FALSE))</f>
        <v>0</v>
      </c>
      <c r="X75" s="13">
        <f>(VLOOKUP('19.07'!AF75,'19.07'!$AO$4:$AQ$55,3,FALSE))</f>
        <v>0</v>
      </c>
    </row>
    <row r="76" spans="1:24">
      <c r="A76" s="4">
        <f>(VLOOKUP('19.07'!I76,'19.07'!$AO$4:$AQ$55,3,FALSE))</f>
        <v>0</v>
      </c>
      <c r="B76" s="4">
        <f>(VLOOKUP('19.07'!J76,'19.07'!$AO$4:$AQ$55,3,FALSE))</f>
        <v>0</v>
      </c>
      <c r="C76" s="4">
        <f>(VLOOKUP('19.07'!K76,'19.07'!$AO$4:$AQ$55,3,FALSE))</f>
        <v>0</v>
      </c>
      <c r="D76" s="4">
        <f>(VLOOKUP('19.07'!L76,'19.07'!$AO$4:$AQ$55,3,FALSE))</f>
        <v>0</v>
      </c>
      <c r="E76" s="4">
        <f>(VLOOKUP('19.07'!M76,'19.07'!$AO$4:$AQ$55,3,FALSE))</f>
        <v>0</v>
      </c>
      <c r="F76" s="4">
        <f>(VLOOKUP('19.07'!N76,'19.07'!$AO$4:$AQ$55,3,FALSE))</f>
        <v>0</v>
      </c>
      <c r="G76" s="13">
        <f>(VLOOKUP('19.07'!O76,'19.07'!$AO$4:$AQ$55,3,FALSE))</f>
        <v>0</v>
      </c>
      <c r="H76" s="13">
        <f>(VLOOKUP('19.07'!P76,'19.07'!$AO$4:$AQ$55,3,FALSE))</f>
        <v>0</v>
      </c>
      <c r="I76" s="4">
        <f>(VLOOKUP('19.07'!Q76,'19.07'!$AO$4:$AQ$55,3,FALSE))</f>
        <v>0</v>
      </c>
      <c r="J76" s="4">
        <f>(VLOOKUP('19.07'!R76,'19.07'!$AO$4:$AQ$55,3,FALSE))</f>
        <v>0</v>
      </c>
      <c r="K76" s="4">
        <f>(VLOOKUP('19.07'!S76,'19.07'!$AO$4:$AQ$55,3,FALSE))</f>
        <v>0</v>
      </c>
      <c r="L76" s="4">
        <f>(VLOOKUP('19.07'!T76,'19.07'!$AO$4:$AQ$55,3,FALSE))</f>
        <v>0</v>
      </c>
      <c r="M76" s="4">
        <f>(VLOOKUP('19.07'!U76,'19.07'!$AO$4:$AQ$55,3,FALSE))</f>
        <v>0</v>
      </c>
      <c r="N76" s="4">
        <f>(VLOOKUP('19.07'!V76,'19.07'!$AO$4:$AQ$55,3,FALSE))</f>
        <v>0</v>
      </c>
      <c r="O76" s="13">
        <f>(VLOOKUP('19.07'!W76,'19.07'!$AO$4:$AQ$55,3,FALSE))</f>
        <v>0</v>
      </c>
      <c r="P76" s="13">
        <f>(VLOOKUP('19.07'!X76,'19.07'!$AO$4:$AQ$55,3,FALSE))</f>
        <v>0</v>
      </c>
      <c r="Q76" s="4">
        <f>(VLOOKUP('19.07'!Y76,'19.07'!$AO$4:$AQ$55,3,FALSE))</f>
        <v>0</v>
      </c>
      <c r="R76" s="4">
        <f>(VLOOKUP('19.07'!Z76,'19.07'!$AO$4:$AQ$55,3,FALSE))</f>
        <v>0</v>
      </c>
      <c r="S76" s="4">
        <f>(VLOOKUP('19.07'!AA76,'19.07'!$AO$4:$AQ$55,3,FALSE))</f>
        <v>0</v>
      </c>
      <c r="T76" s="4">
        <f>(VLOOKUP('19.07'!AB76,'19.07'!$AO$4:$AQ$55,3,FALSE))</f>
        <v>0</v>
      </c>
      <c r="U76" s="4">
        <f>(VLOOKUP('19.07'!AC76,'19.07'!$AO$4:$AQ$55,3,FALSE))</f>
        <v>0</v>
      </c>
      <c r="V76" s="4">
        <f>(VLOOKUP('19.07'!AD76,'19.07'!$AO$4:$AQ$55,3,FALSE))</f>
        <v>0</v>
      </c>
      <c r="W76" s="13">
        <f>(VLOOKUP('19.07'!AE76,'19.07'!$AO$4:$AQ$55,3,FALSE))</f>
        <v>0</v>
      </c>
      <c r="X76" s="13">
        <f>(VLOOKUP('19.07'!AF76,'19.07'!$AO$4:$AQ$55,3,FALSE))</f>
        <v>0</v>
      </c>
    </row>
    <row r="77" spans="1:24">
      <c r="A77" s="4">
        <f>(VLOOKUP('19.07'!I77,'19.07'!$AO$4:$AQ$55,3,FALSE))</f>
        <v>0</v>
      </c>
      <c r="B77" s="4">
        <f>(VLOOKUP('19.07'!J77,'19.07'!$AO$4:$AQ$55,3,FALSE))</f>
        <v>0</v>
      </c>
      <c r="C77" s="4">
        <f>(VLOOKUP('19.07'!K77,'19.07'!$AO$4:$AQ$55,3,FALSE))</f>
        <v>0</v>
      </c>
      <c r="D77" s="4">
        <f>(VLOOKUP('19.07'!L77,'19.07'!$AO$4:$AQ$55,3,FALSE))</f>
        <v>0</v>
      </c>
      <c r="E77" s="4">
        <f>(VLOOKUP('19.07'!M77,'19.07'!$AO$4:$AQ$55,3,FALSE))</f>
        <v>0</v>
      </c>
      <c r="F77" s="4">
        <f>(VLOOKUP('19.07'!N77,'19.07'!$AO$4:$AQ$55,3,FALSE))</f>
        <v>0</v>
      </c>
      <c r="G77" s="13">
        <f>(VLOOKUP('19.07'!O77,'19.07'!$AO$4:$AQ$55,3,FALSE))</f>
        <v>0</v>
      </c>
      <c r="H77" s="13">
        <f>(VLOOKUP('19.07'!P77,'19.07'!$AO$4:$AQ$55,3,FALSE))</f>
        <v>0</v>
      </c>
      <c r="I77" s="4">
        <f>(VLOOKUP('19.07'!Q77,'19.07'!$AO$4:$AQ$55,3,FALSE))</f>
        <v>0</v>
      </c>
      <c r="J77" s="4">
        <f>(VLOOKUP('19.07'!R77,'19.07'!$AO$4:$AQ$55,3,FALSE))</f>
        <v>0</v>
      </c>
      <c r="K77" s="4">
        <f>(VLOOKUP('19.07'!S77,'19.07'!$AO$4:$AQ$55,3,FALSE))</f>
        <v>0</v>
      </c>
      <c r="L77" s="4">
        <f>(VLOOKUP('19.07'!T77,'19.07'!$AO$4:$AQ$55,3,FALSE))</f>
        <v>0</v>
      </c>
      <c r="M77" s="4">
        <f>(VLOOKUP('19.07'!U77,'19.07'!$AO$4:$AQ$55,3,FALSE))</f>
        <v>0</v>
      </c>
      <c r="N77" s="4">
        <f>(VLOOKUP('19.07'!V77,'19.07'!$AO$4:$AQ$55,3,FALSE))</f>
        <v>0</v>
      </c>
      <c r="O77" s="13">
        <f>(VLOOKUP('19.07'!W77,'19.07'!$AO$4:$AQ$55,3,FALSE))</f>
        <v>0</v>
      </c>
      <c r="P77" s="13">
        <f>(VLOOKUP('19.07'!X77,'19.07'!$AO$4:$AQ$55,3,FALSE))</f>
        <v>0</v>
      </c>
      <c r="Q77" s="4">
        <f>(VLOOKUP('19.07'!Y77,'19.07'!$AO$4:$AQ$55,3,FALSE))</f>
        <v>0</v>
      </c>
      <c r="R77" s="4">
        <f>(VLOOKUP('19.07'!Z77,'19.07'!$AO$4:$AQ$55,3,FALSE))</f>
        <v>0</v>
      </c>
      <c r="S77" s="4">
        <f>(VLOOKUP('19.07'!AA77,'19.07'!$AO$4:$AQ$55,3,FALSE))</f>
        <v>0</v>
      </c>
      <c r="T77" s="4">
        <f>(VLOOKUP('19.07'!AB77,'19.07'!$AO$4:$AQ$55,3,FALSE))</f>
        <v>0</v>
      </c>
      <c r="U77" s="4">
        <f>(VLOOKUP('19.07'!AC77,'19.07'!$AO$4:$AQ$55,3,FALSE))</f>
        <v>0</v>
      </c>
      <c r="V77" s="4">
        <f>(VLOOKUP('19.07'!AD77,'19.07'!$AO$4:$AQ$55,3,FALSE))</f>
        <v>0</v>
      </c>
      <c r="W77" s="13">
        <f>(VLOOKUP('19.07'!AE77,'19.07'!$AO$4:$AQ$55,3,FALSE))</f>
        <v>0</v>
      </c>
      <c r="X77" s="13">
        <f>(VLOOKUP('19.07'!AF77,'19.07'!$AO$4:$AQ$55,3,FALSE))</f>
        <v>0</v>
      </c>
    </row>
    <row r="78" spans="1:24">
      <c r="A78" s="4">
        <f>(VLOOKUP('19.07'!I78,'19.07'!$AO$4:$AQ$55,3,FALSE))</f>
        <v>0</v>
      </c>
      <c r="B78" s="4">
        <f>(VLOOKUP('19.07'!J78,'19.07'!$AO$4:$AQ$55,3,FALSE))</f>
        <v>0</v>
      </c>
      <c r="C78" s="4">
        <f>(VLOOKUP('19.07'!K78,'19.07'!$AO$4:$AQ$55,3,FALSE))</f>
        <v>0</v>
      </c>
      <c r="D78" s="4">
        <f>(VLOOKUP('19.07'!L78,'19.07'!$AO$4:$AQ$55,3,FALSE))</f>
        <v>0</v>
      </c>
      <c r="E78" s="4">
        <f>(VLOOKUP('19.07'!M78,'19.07'!$AO$4:$AQ$55,3,FALSE))</f>
        <v>0</v>
      </c>
      <c r="F78" s="4">
        <f>(VLOOKUP('19.07'!N78,'19.07'!$AO$4:$AQ$55,3,FALSE))</f>
        <v>0</v>
      </c>
      <c r="G78" s="13">
        <f>(VLOOKUP('19.07'!O78,'19.07'!$AO$4:$AQ$55,3,FALSE))</f>
        <v>0</v>
      </c>
      <c r="H78" s="13">
        <f>(VLOOKUP('19.07'!P78,'19.07'!$AO$4:$AQ$55,3,FALSE))</f>
        <v>0</v>
      </c>
      <c r="I78" s="4">
        <f>(VLOOKUP('19.07'!Q78,'19.07'!$AO$4:$AQ$55,3,FALSE))</f>
        <v>0</v>
      </c>
      <c r="J78" s="4">
        <f>(VLOOKUP('19.07'!R78,'19.07'!$AO$4:$AQ$55,3,FALSE))</f>
        <v>0</v>
      </c>
      <c r="K78" s="4">
        <f>(VLOOKUP('19.07'!S78,'19.07'!$AO$4:$AQ$55,3,FALSE))</f>
        <v>0</v>
      </c>
      <c r="L78" s="4">
        <f>(VLOOKUP('19.07'!T78,'19.07'!$AO$4:$AQ$55,3,FALSE))</f>
        <v>0</v>
      </c>
      <c r="M78" s="4">
        <f>(VLOOKUP('19.07'!U78,'19.07'!$AO$4:$AQ$55,3,FALSE))</f>
        <v>0</v>
      </c>
      <c r="N78" s="4">
        <f>(VLOOKUP('19.07'!V78,'19.07'!$AO$4:$AQ$55,3,FALSE))</f>
        <v>0</v>
      </c>
      <c r="O78" s="13">
        <f>(VLOOKUP('19.07'!W78,'19.07'!$AO$4:$AQ$55,3,FALSE))</f>
        <v>0</v>
      </c>
      <c r="P78" s="13">
        <f>(VLOOKUP('19.07'!X78,'19.07'!$AO$4:$AQ$55,3,FALSE))</f>
        <v>0</v>
      </c>
      <c r="Q78" s="4">
        <f>(VLOOKUP('19.07'!Y78,'19.07'!$AO$4:$AQ$55,3,FALSE))</f>
        <v>0</v>
      </c>
      <c r="R78" s="4">
        <f>(VLOOKUP('19.07'!Z78,'19.07'!$AO$4:$AQ$55,3,FALSE))</f>
        <v>0</v>
      </c>
      <c r="S78" s="4">
        <f>(VLOOKUP('19.07'!AA78,'19.07'!$AO$4:$AQ$55,3,FALSE))</f>
        <v>0</v>
      </c>
      <c r="T78" s="4">
        <f>(VLOOKUP('19.07'!AB78,'19.07'!$AO$4:$AQ$55,3,FALSE))</f>
        <v>0</v>
      </c>
      <c r="U78" s="4">
        <f>(VLOOKUP('19.07'!AC78,'19.07'!$AO$4:$AQ$55,3,FALSE))</f>
        <v>0</v>
      </c>
      <c r="V78" s="4">
        <f>(VLOOKUP('19.07'!AD78,'19.07'!$AO$4:$AQ$55,3,FALSE))</f>
        <v>0</v>
      </c>
      <c r="W78" s="13">
        <f>(VLOOKUP('19.07'!AE78,'19.07'!$AO$4:$AQ$55,3,FALSE))</f>
        <v>0</v>
      </c>
      <c r="X78" s="13">
        <f>(VLOOKUP('19.07'!AF78,'19.07'!$AO$4:$AQ$55,3,FALSE))</f>
        <v>0</v>
      </c>
    </row>
    <row r="79" spans="1:24">
      <c r="A79" s="4">
        <f>(VLOOKUP('19.07'!I79,'19.07'!$AO$4:$AQ$55,3,FALSE))</f>
        <v>0</v>
      </c>
      <c r="B79" s="4">
        <f>(VLOOKUP('19.07'!J79,'19.07'!$AO$4:$AQ$55,3,FALSE))</f>
        <v>0</v>
      </c>
      <c r="C79" s="4">
        <f>(VLOOKUP('19.07'!K79,'19.07'!$AO$4:$AQ$55,3,FALSE))</f>
        <v>0</v>
      </c>
      <c r="D79" s="4">
        <f>(VLOOKUP('19.07'!L79,'19.07'!$AO$4:$AQ$55,3,FALSE))</f>
        <v>0</v>
      </c>
      <c r="E79" s="4">
        <f>(VLOOKUP('19.07'!M79,'19.07'!$AO$4:$AQ$55,3,FALSE))</f>
        <v>0</v>
      </c>
      <c r="F79" s="4">
        <f>(VLOOKUP('19.07'!N79,'19.07'!$AO$4:$AQ$55,3,FALSE))</f>
        <v>0</v>
      </c>
      <c r="G79" s="13">
        <f>(VLOOKUP('19.07'!O79,'19.07'!$AO$4:$AQ$55,3,FALSE))</f>
        <v>0</v>
      </c>
      <c r="H79" s="13">
        <f>(VLOOKUP('19.07'!P79,'19.07'!$AO$4:$AQ$55,3,FALSE))</f>
        <v>0</v>
      </c>
      <c r="I79" s="4">
        <f>(VLOOKUP('19.07'!Q79,'19.07'!$AO$4:$AQ$55,3,FALSE))</f>
        <v>0</v>
      </c>
      <c r="J79" s="4">
        <f>(VLOOKUP('19.07'!R79,'19.07'!$AO$4:$AQ$55,3,FALSE))</f>
        <v>0</v>
      </c>
      <c r="K79" s="4">
        <f>(VLOOKUP('19.07'!S79,'19.07'!$AO$4:$AQ$55,3,FALSE))</f>
        <v>0</v>
      </c>
      <c r="L79" s="4">
        <f>(VLOOKUP('19.07'!T79,'19.07'!$AO$4:$AQ$55,3,FALSE))</f>
        <v>0</v>
      </c>
      <c r="M79" s="4">
        <f>(VLOOKUP('19.07'!U79,'19.07'!$AO$4:$AQ$55,3,FALSE))</f>
        <v>0</v>
      </c>
      <c r="N79" s="4">
        <f>(VLOOKUP('19.07'!V79,'19.07'!$AO$4:$AQ$55,3,FALSE))</f>
        <v>0</v>
      </c>
      <c r="O79" s="13">
        <f>(VLOOKUP('19.07'!W79,'19.07'!$AO$4:$AQ$55,3,FALSE))</f>
        <v>0</v>
      </c>
      <c r="P79" s="13">
        <f>(VLOOKUP('19.07'!X79,'19.07'!$AO$4:$AQ$55,3,FALSE))</f>
        <v>0</v>
      </c>
      <c r="Q79" s="4">
        <f>(VLOOKUP('19.07'!Y79,'19.07'!$AO$4:$AQ$55,3,FALSE))</f>
        <v>0</v>
      </c>
      <c r="R79" s="4">
        <f>(VLOOKUP('19.07'!Z79,'19.07'!$AO$4:$AQ$55,3,FALSE))</f>
        <v>0</v>
      </c>
      <c r="S79" s="4">
        <f>(VLOOKUP('19.07'!AA79,'19.07'!$AO$4:$AQ$55,3,FALSE))</f>
        <v>0</v>
      </c>
      <c r="T79" s="4">
        <f>(VLOOKUP('19.07'!AB79,'19.07'!$AO$4:$AQ$55,3,FALSE))</f>
        <v>0</v>
      </c>
      <c r="U79" s="4">
        <f>(VLOOKUP('19.07'!AC79,'19.07'!$AO$4:$AQ$55,3,FALSE))</f>
        <v>0</v>
      </c>
      <c r="V79" s="4">
        <f>(VLOOKUP('19.07'!AD79,'19.07'!$AO$4:$AQ$55,3,FALSE))</f>
        <v>0</v>
      </c>
      <c r="W79" s="13">
        <f>(VLOOKUP('19.07'!AE79,'19.07'!$AO$4:$AQ$55,3,FALSE))</f>
        <v>0</v>
      </c>
      <c r="X79" s="13">
        <f>(VLOOKUP('19.07'!AF79,'19.07'!$AO$4:$AQ$55,3,FALSE))</f>
        <v>0</v>
      </c>
    </row>
    <row r="80" spans="1:24">
      <c r="A80" s="4">
        <f>(VLOOKUP('19.07'!I80,'19.07'!$AO$4:$AQ$55,3,FALSE))</f>
        <v>0</v>
      </c>
      <c r="B80" s="4">
        <f>(VLOOKUP('19.07'!J80,'19.07'!$AO$4:$AQ$55,3,FALSE))</f>
        <v>0</v>
      </c>
      <c r="C80" s="4">
        <f>(VLOOKUP('19.07'!K80,'19.07'!$AO$4:$AQ$55,3,FALSE))</f>
        <v>0</v>
      </c>
      <c r="D80" s="4">
        <f>(VLOOKUP('19.07'!L80,'19.07'!$AO$4:$AQ$55,3,FALSE))</f>
        <v>0</v>
      </c>
      <c r="E80" s="4">
        <f>(VLOOKUP('19.07'!M80,'19.07'!$AO$4:$AQ$55,3,FALSE))</f>
        <v>0</v>
      </c>
      <c r="F80" s="4">
        <f>(VLOOKUP('19.07'!N80,'19.07'!$AO$4:$AQ$55,3,FALSE))</f>
        <v>0</v>
      </c>
      <c r="G80" s="13">
        <f>(VLOOKUP('19.07'!O80,'19.07'!$AO$4:$AQ$55,3,FALSE))</f>
        <v>0</v>
      </c>
      <c r="H80" s="13">
        <f>(VLOOKUP('19.07'!P80,'19.07'!$AO$4:$AQ$55,3,FALSE))</f>
        <v>0</v>
      </c>
      <c r="I80" s="4">
        <f>(VLOOKUP('19.07'!Q80,'19.07'!$AO$4:$AQ$55,3,FALSE))</f>
        <v>0</v>
      </c>
      <c r="J80" s="4">
        <f>(VLOOKUP('19.07'!R80,'19.07'!$AO$4:$AQ$55,3,FALSE))</f>
        <v>0</v>
      </c>
      <c r="K80" s="4">
        <f>(VLOOKUP('19.07'!S80,'19.07'!$AO$4:$AQ$55,3,FALSE))</f>
        <v>0</v>
      </c>
      <c r="L80" s="4">
        <f>(VLOOKUP('19.07'!T80,'19.07'!$AO$4:$AQ$55,3,FALSE))</f>
        <v>0</v>
      </c>
      <c r="M80" s="4">
        <f>(VLOOKUP('19.07'!U80,'19.07'!$AO$4:$AQ$55,3,FALSE))</f>
        <v>0</v>
      </c>
      <c r="N80" s="4">
        <f>(VLOOKUP('19.07'!V80,'19.07'!$AO$4:$AQ$55,3,FALSE))</f>
        <v>0</v>
      </c>
      <c r="O80" s="13">
        <f>(VLOOKUP('19.07'!W80,'19.07'!$AO$4:$AQ$55,3,FALSE))</f>
        <v>0</v>
      </c>
      <c r="P80" s="13">
        <f>(VLOOKUP('19.07'!X80,'19.07'!$AO$4:$AQ$55,3,FALSE))</f>
        <v>0</v>
      </c>
      <c r="Q80" s="4">
        <f>(VLOOKUP('19.07'!Y80,'19.07'!$AO$4:$AQ$55,3,FALSE))</f>
        <v>0</v>
      </c>
      <c r="R80" s="4">
        <f>(VLOOKUP('19.07'!Z80,'19.07'!$AO$4:$AQ$55,3,FALSE))</f>
        <v>0</v>
      </c>
      <c r="S80" s="4">
        <f>(VLOOKUP('19.07'!AA80,'19.07'!$AO$4:$AQ$55,3,FALSE))</f>
        <v>0</v>
      </c>
      <c r="T80" s="4">
        <f>(VLOOKUP('19.07'!AB80,'19.07'!$AO$4:$AQ$55,3,FALSE))</f>
        <v>0</v>
      </c>
      <c r="U80" s="4">
        <f>(VLOOKUP('19.07'!AC80,'19.07'!$AO$4:$AQ$55,3,FALSE))</f>
        <v>0</v>
      </c>
      <c r="V80" s="4">
        <f>(VLOOKUP('19.07'!AD80,'19.07'!$AO$4:$AQ$55,3,FALSE))</f>
        <v>0</v>
      </c>
      <c r="W80" s="13">
        <f>(VLOOKUP('19.07'!AE80,'19.07'!$AO$4:$AQ$55,3,FALSE))</f>
        <v>0</v>
      </c>
      <c r="X80" s="13">
        <f>(VLOOKUP('19.07'!AF80,'19.07'!$AO$4:$AQ$55,3,FALSE))</f>
        <v>0</v>
      </c>
    </row>
    <row r="81" spans="1:24">
      <c r="A81" s="4">
        <f>(VLOOKUP('19.07'!I81,'19.07'!$AO$4:$AQ$55,3,FALSE))</f>
        <v>0</v>
      </c>
      <c r="B81" s="4">
        <f>(VLOOKUP('19.07'!J81,'19.07'!$AO$4:$AQ$55,3,FALSE))</f>
        <v>0</v>
      </c>
      <c r="C81" s="4">
        <f>(VLOOKUP('19.07'!K81,'19.07'!$AO$4:$AQ$55,3,FALSE))</f>
        <v>0</v>
      </c>
      <c r="D81" s="4">
        <f>(VLOOKUP('19.07'!L81,'19.07'!$AO$4:$AQ$55,3,FALSE))</f>
        <v>0</v>
      </c>
      <c r="E81" s="4">
        <f>(VLOOKUP('19.07'!M81,'19.07'!$AO$4:$AQ$55,3,FALSE))</f>
        <v>0</v>
      </c>
      <c r="F81" s="4">
        <f>(VLOOKUP('19.07'!N81,'19.07'!$AO$4:$AQ$55,3,FALSE))</f>
        <v>0</v>
      </c>
      <c r="G81" s="13">
        <f>(VLOOKUP('19.07'!O81,'19.07'!$AO$4:$AQ$55,3,FALSE))</f>
        <v>0</v>
      </c>
      <c r="H81" s="13">
        <f>(VLOOKUP('19.07'!P81,'19.07'!$AO$4:$AQ$55,3,FALSE))</f>
        <v>0</v>
      </c>
      <c r="I81" s="4">
        <f>(VLOOKUP('19.07'!Q81,'19.07'!$AO$4:$AQ$55,3,FALSE))</f>
        <v>0</v>
      </c>
      <c r="J81" s="4">
        <f>(VLOOKUP('19.07'!R81,'19.07'!$AO$4:$AQ$55,3,FALSE))</f>
        <v>0</v>
      </c>
      <c r="K81" s="4">
        <f>(VLOOKUP('19.07'!S81,'19.07'!$AO$4:$AQ$55,3,FALSE))</f>
        <v>0</v>
      </c>
      <c r="L81" s="4">
        <f>(VLOOKUP('19.07'!T81,'19.07'!$AO$4:$AQ$55,3,FALSE))</f>
        <v>0</v>
      </c>
      <c r="M81" s="4">
        <f>(VLOOKUP('19.07'!U81,'19.07'!$AO$4:$AQ$55,3,FALSE))</f>
        <v>0</v>
      </c>
      <c r="N81" s="4">
        <f>(VLOOKUP('19.07'!V81,'19.07'!$AO$4:$AQ$55,3,FALSE))</f>
        <v>0</v>
      </c>
      <c r="O81" s="13">
        <f>(VLOOKUP('19.07'!W81,'19.07'!$AO$4:$AQ$55,3,FALSE))</f>
        <v>0</v>
      </c>
      <c r="P81" s="13">
        <f>(VLOOKUP('19.07'!X81,'19.07'!$AO$4:$AQ$55,3,FALSE))</f>
        <v>0</v>
      </c>
      <c r="Q81" s="4">
        <f>(VLOOKUP('19.07'!Y81,'19.07'!$AO$4:$AQ$55,3,FALSE))</f>
        <v>0</v>
      </c>
      <c r="R81" s="4">
        <f>(VLOOKUP('19.07'!Z81,'19.07'!$AO$4:$AQ$55,3,FALSE))</f>
        <v>0</v>
      </c>
      <c r="S81" s="4">
        <f>(VLOOKUP('19.07'!AA81,'19.07'!$AO$4:$AQ$55,3,FALSE))</f>
        <v>0</v>
      </c>
      <c r="T81" s="4">
        <f>(VLOOKUP('19.07'!AB81,'19.07'!$AO$4:$AQ$55,3,FALSE))</f>
        <v>0</v>
      </c>
      <c r="U81" s="4">
        <f>(VLOOKUP('19.07'!AC81,'19.07'!$AO$4:$AQ$55,3,FALSE))</f>
        <v>0</v>
      </c>
      <c r="V81" s="4">
        <f>(VLOOKUP('19.07'!AD81,'19.07'!$AO$4:$AQ$55,3,FALSE))</f>
        <v>0</v>
      </c>
      <c r="W81" s="13">
        <f>(VLOOKUP('19.07'!AE81,'19.07'!$AO$4:$AQ$55,3,FALSE))</f>
        <v>0</v>
      </c>
      <c r="X81" s="13">
        <f>(VLOOKUP('19.07'!AF81,'19.07'!$AO$4:$AQ$55,3,FALSE))</f>
        <v>0</v>
      </c>
    </row>
    <row r="82" spans="1:24">
      <c r="A82" s="4">
        <f>(VLOOKUP('19.07'!I82,'19.07'!$AO$4:$AQ$55,3,FALSE))</f>
        <v>0</v>
      </c>
      <c r="B82" s="4">
        <f>(VLOOKUP('19.07'!J82,'19.07'!$AO$4:$AQ$55,3,FALSE))</f>
        <v>0</v>
      </c>
      <c r="C82" s="4">
        <f>(VLOOKUP('19.07'!K82,'19.07'!$AO$4:$AQ$55,3,FALSE))</f>
        <v>0</v>
      </c>
      <c r="D82" s="4">
        <f>(VLOOKUP('19.07'!L82,'19.07'!$AO$4:$AQ$55,3,FALSE))</f>
        <v>0</v>
      </c>
      <c r="E82" s="4">
        <f>(VLOOKUP('19.07'!M82,'19.07'!$AO$4:$AQ$55,3,FALSE))</f>
        <v>0</v>
      </c>
      <c r="F82" s="4">
        <f>(VLOOKUP('19.07'!N82,'19.07'!$AO$4:$AQ$55,3,FALSE))</f>
        <v>0</v>
      </c>
      <c r="G82" s="13">
        <f>(VLOOKUP('19.07'!O82,'19.07'!$AO$4:$AQ$55,3,FALSE))</f>
        <v>0</v>
      </c>
      <c r="H82" s="13">
        <f>(VLOOKUP('19.07'!P82,'19.07'!$AO$4:$AQ$55,3,FALSE))</f>
        <v>0</v>
      </c>
      <c r="I82" s="4">
        <f>(VLOOKUP('19.07'!Q82,'19.07'!$AO$4:$AQ$55,3,FALSE))</f>
        <v>0</v>
      </c>
      <c r="J82" s="4">
        <f>(VLOOKUP('19.07'!R82,'19.07'!$AO$4:$AQ$55,3,FALSE))</f>
        <v>0</v>
      </c>
      <c r="K82" s="4">
        <f>(VLOOKUP('19.07'!S82,'19.07'!$AO$4:$AQ$55,3,FALSE))</f>
        <v>0</v>
      </c>
      <c r="L82" s="4">
        <f>(VLOOKUP('19.07'!T82,'19.07'!$AO$4:$AQ$55,3,FALSE))</f>
        <v>0</v>
      </c>
      <c r="M82" s="4">
        <f>(VLOOKUP('19.07'!U82,'19.07'!$AO$4:$AQ$55,3,FALSE))</f>
        <v>0</v>
      </c>
      <c r="N82" s="4">
        <f>(VLOOKUP('19.07'!V82,'19.07'!$AO$4:$AQ$55,3,FALSE))</f>
        <v>0</v>
      </c>
      <c r="O82" s="13">
        <f>(VLOOKUP('19.07'!W82,'19.07'!$AO$4:$AQ$55,3,FALSE))</f>
        <v>0</v>
      </c>
      <c r="P82" s="13">
        <f>(VLOOKUP('19.07'!X82,'19.07'!$AO$4:$AQ$55,3,FALSE))</f>
        <v>0</v>
      </c>
      <c r="Q82" s="4">
        <f>(VLOOKUP('19.07'!Y82,'19.07'!$AO$4:$AQ$55,3,FALSE))</f>
        <v>0</v>
      </c>
      <c r="R82" s="4">
        <f>(VLOOKUP('19.07'!Z82,'19.07'!$AO$4:$AQ$55,3,FALSE))</f>
        <v>0</v>
      </c>
      <c r="S82" s="4">
        <f>(VLOOKUP('19.07'!AA82,'19.07'!$AO$4:$AQ$55,3,FALSE))</f>
        <v>0</v>
      </c>
      <c r="T82" s="4">
        <f>(VLOOKUP('19.07'!AB82,'19.07'!$AO$4:$AQ$55,3,FALSE))</f>
        <v>0</v>
      </c>
      <c r="U82" s="4">
        <f>(VLOOKUP('19.07'!AC82,'19.07'!$AO$4:$AQ$55,3,FALSE))</f>
        <v>0</v>
      </c>
      <c r="V82" s="4">
        <f>(VLOOKUP('19.07'!AD82,'19.07'!$AO$4:$AQ$55,3,FALSE))</f>
        <v>0</v>
      </c>
      <c r="W82" s="13">
        <f>(VLOOKUP('19.07'!AE82,'19.07'!$AO$4:$AQ$55,3,FALSE))</f>
        <v>0</v>
      </c>
      <c r="X82" s="13">
        <f>(VLOOKUP('19.07'!AF82,'19.07'!$AO$4:$AQ$55,3,FALSE))</f>
        <v>0</v>
      </c>
    </row>
    <row r="83" spans="1:24">
      <c r="A83" s="4">
        <f>(VLOOKUP('19.07'!I83,'19.07'!$AO$4:$AQ$55,3,FALSE))</f>
        <v>0</v>
      </c>
      <c r="B83" s="4">
        <f>(VLOOKUP('19.07'!J83,'19.07'!$AO$4:$AQ$55,3,FALSE))</f>
        <v>0</v>
      </c>
      <c r="C83" s="4">
        <f>(VLOOKUP('19.07'!K83,'19.07'!$AO$4:$AQ$55,3,FALSE))</f>
        <v>0</v>
      </c>
      <c r="D83" s="4">
        <f>(VLOOKUP('19.07'!L83,'19.07'!$AO$4:$AQ$55,3,FALSE))</f>
        <v>0</v>
      </c>
      <c r="E83" s="4">
        <f>(VLOOKUP('19.07'!M83,'19.07'!$AO$4:$AQ$55,3,FALSE))</f>
        <v>0</v>
      </c>
      <c r="F83" s="4">
        <f>(VLOOKUP('19.07'!N83,'19.07'!$AO$4:$AQ$55,3,FALSE))</f>
        <v>0</v>
      </c>
      <c r="G83" s="13">
        <f>(VLOOKUP('19.07'!O83,'19.07'!$AO$4:$AQ$55,3,FALSE))</f>
        <v>0</v>
      </c>
      <c r="H83" s="13">
        <f>(VLOOKUP('19.07'!P83,'19.07'!$AO$4:$AQ$55,3,FALSE))</f>
        <v>0</v>
      </c>
      <c r="I83" s="4">
        <f>(VLOOKUP('19.07'!Q83,'19.07'!$AO$4:$AQ$55,3,FALSE))</f>
        <v>0</v>
      </c>
      <c r="J83" s="4">
        <f>(VLOOKUP('19.07'!R83,'19.07'!$AO$4:$AQ$55,3,FALSE))</f>
        <v>0</v>
      </c>
      <c r="K83" s="4">
        <f>(VLOOKUP('19.07'!S83,'19.07'!$AO$4:$AQ$55,3,FALSE))</f>
        <v>0</v>
      </c>
      <c r="L83" s="4">
        <f>(VLOOKUP('19.07'!T83,'19.07'!$AO$4:$AQ$55,3,FALSE))</f>
        <v>0</v>
      </c>
      <c r="M83" s="4">
        <f>(VLOOKUP('19.07'!U83,'19.07'!$AO$4:$AQ$55,3,FALSE))</f>
        <v>0</v>
      </c>
      <c r="N83" s="4">
        <f>(VLOOKUP('19.07'!V83,'19.07'!$AO$4:$AQ$55,3,FALSE))</f>
        <v>0</v>
      </c>
      <c r="O83" s="13">
        <f>(VLOOKUP('19.07'!W83,'19.07'!$AO$4:$AQ$55,3,FALSE))</f>
        <v>0</v>
      </c>
      <c r="P83" s="13">
        <f>(VLOOKUP('19.07'!X83,'19.07'!$AO$4:$AQ$55,3,FALSE))</f>
        <v>0</v>
      </c>
      <c r="Q83" s="4">
        <f>(VLOOKUP('19.07'!Y83,'19.07'!$AO$4:$AQ$55,3,FALSE))</f>
        <v>0</v>
      </c>
      <c r="R83" s="4">
        <f>(VLOOKUP('19.07'!Z83,'19.07'!$AO$4:$AQ$55,3,FALSE))</f>
        <v>0</v>
      </c>
      <c r="S83" s="4">
        <f>(VLOOKUP('19.07'!AA83,'19.07'!$AO$4:$AQ$55,3,FALSE))</f>
        <v>0</v>
      </c>
      <c r="T83" s="4">
        <f>(VLOOKUP('19.07'!AB83,'19.07'!$AO$4:$AQ$55,3,FALSE))</f>
        <v>0</v>
      </c>
      <c r="U83" s="4">
        <f>(VLOOKUP('19.07'!AC83,'19.07'!$AO$4:$AQ$55,3,FALSE))</f>
        <v>0</v>
      </c>
      <c r="V83" s="4">
        <f>(VLOOKUP('19.07'!AD83,'19.07'!$AO$4:$AQ$55,3,FALSE))</f>
        <v>0</v>
      </c>
      <c r="W83" s="13">
        <f>(VLOOKUP('19.07'!AE83,'19.07'!$AO$4:$AQ$55,3,FALSE))</f>
        <v>0</v>
      </c>
      <c r="X83" s="13">
        <f>(VLOOKUP('19.07'!AF83,'19.07'!$AO$4:$AQ$55,3,FALSE))</f>
        <v>0</v>
      </c>
    </row>
    <row r="84" spans="1:24">
      <c r="A84" s="4">
        <f>(VLOOKUP('19.07'!I84,'19.07'!$AO$4:$AQ$55,3,FALSE))</f>
        <v>0</v>
      </c>
      <c r="B84" s="4">
        <f>(VLOOKUP('19.07'!J84,'19.07'!$AO$4:$AQ$55,3,FALSE))</f>
        <v>0</v>
      </c>
      <c r="C84" s="4">
        <f>(VLOOKUP('19.07'!K84,'19.07'!$AO$4:$AQ$55,3,FALSE))</f>
        <v>0</v>
      </c>
      <c r="D84" s="4">
        <f>(VLOOKUP('19.07'!L84,'19.07'!$AO$4:$AQ$55,3,FALSE))</f>
        <v>0</v>
      </c>
      <c r="E84" s="4">
        <f>(VLOOKUP('19.07'!M84,'19.07'!$AO$4:$AQ$55,3,FALSE))</f>
        <v>0</v>
      </c>
      <c r="F84" s="4">
        <f>(VLOOKUP('19.07'!N84,'19.07'!$AO$4:$AQ$55,3,FALSE))</f>
        <v>0</v>
      </c>
      <c r="G84" s="13">
        <f>(VLOOKUP('19.07'!O84,'19.07'!$AO$4:$AQ$55,3,FALSE))</f>
        <v>0</v>
      </c>
      <c r="H84" s="13">
        <f>(VLOOKUP('19.07'!P84,'19.07'!$AO$4:$AQ$55,3,FALSE))</f>
        <v>0</v>
      </c>
      <c r="I84" s="4">
        <f>(VLOOKUP('19.07'!Q84,'19.07'!$AO$4:$AQ$55,3,FALSE))</f>
        <v>0</v>
      </c>
      <c r="J84" s="4">
        <f>(VLOOKUP('19.07'!R84,'19.07'!$AO$4:$AQ$55,3,FALSE))</f>
        <v>0</v>
      </c>
      <c r="K84" s="4">
        <f>(VLOOKUP('19.07'!S84,'19.07'!$AO$4:$AQ$55,3,FALSE))</f>
        <v>0</v>
      </c>
      <c r="L84" s="4">
        <f>(VLOOKUP('19.07'!T84,'19.07'!$AO$4:$AQ$55,3,FALSE))</f>
        <v>0</v>
      </c>
      <c r="M84" s="4">
        <f>(VLOOKUP('19.07'!U84,'19.07'!$AO$4:$AQ$55,3,FALSE))</f>
        <v>0</v>
      </c>
      <c r="N84" s="4">
        <f>(VLOOKUP('19.07'!V84,'19.07'!$AO$4:$AQ$55,3,FALSE))</f>
        <v>0</v>
      </c>
      <c r="O84" s="13">
        <f>(VLOOKUP('19.07'!W84,'19.07'!$AO$4:$AQ$55,3,FALSE))</f>
        <v>0</v>
      </c>
      <c r="P84" s="13">
        <f>(VLOOKUP('19.07'!X84,'19.07'!$AO$4:$AQ$55,3,FALSE))</f>
        <v>0</v>
      </c>
      <c r="Q84" s="4">
        <f>(VLOOKUP('19.07'!Y84,'19.07'!$AO$4:$AQ$55,3,FALSE))</f>
        <v>0</v>
      </c>
      <c r="R84" s="4">
        <f>(VLOOKUP('19.07'!Z84,'19.07'!$AO$4:$AQ$55,3,FALSE))</f>
        <v>0</v>
      </c>
      <c r="S84" s="4">
        <f>(VLOOKUP('19.07'!AA84,'19.07'!$AO$4:$AQ$55,3,FALSE))</f>
        <v>0</v>
      </c>
      <c r="T84" s="4">
        <f>(VLOOKUP('19.07'!AB84,'19.07'!$AO$4:$AQ$55,3,FALSE))</f>
        <v>0</v>
      </c>
      <c r="U84" s="4">
        <f>(VLOOKUP('19.07'!AC84,'19.07'!$AO$4:$AQ$55,3,FALSE))</f>
        <v>0</v>
      </c>
      <c r="V84" s="4">
        <f>(VLOOKUP('19.07'!AD84,'19.07'!$AO$4:$AQ$55,3,FALSE))</f>
        <v>0</v>
      </c>
      <c r="W84" s="13">
        <f>(VLOOKUP('19.07'!AE84,'19.07'!$AO$4:$AQ$55,3,FALSE))</f>
        <v>0</v>
      </c>
      <c r="X84" s="13">
        <f>(VLOOKUP('19.07'!AF84,'19.07'!$AO$4:$AQ$55,3,FALSE))</f>
        <v>0</v>
      </c>
    </row>
    <row r="85" spans="1:24">
      <c r="A85" s="4">
        <f>(VLOOKUP('19.07'!I85,'19.07'!$AO$4:$AQ$55,3,FALSE))</f>
        <v>0</v>
      </c>
      <c r="B85" s="4">
        <f>(VLOOKUP('19.07'!J85,'19.07'!$AO$4:$AQ$55,3,FALSE))</f>
        <v>0</v>
      </c>
      <c r="C85" s="4">
        <f>(VLOOKUP('19.07'!K85,'19.07'!$AO$4:$AQ$55,3,FALSE))</f>
        <v>0</v>
      </c>
      <c r="D85" s="4">
        <f>(VLOOKUP('19.07'!L85,'19.07'!$AO$4:$AQ$55,3,FALSE))</f>
        <v>0</v>
      </c>
      <c r="E85" s="4">
        <f>(VLOOKUP('19.07'!M85,'19.07'!$AO$4:$AQ$55,3,FALSE))</f>
        <v>0</v>
      </c>
      <c r="F85" s="4">
        <f>(VLOOKUP('19.07'!N85,'19.07'!$AO$4:$AQ$55,3,FALSE))</f>
        <v>0</v>
      </c>
      <c r="G85" s="13">
        <f>(VLOOKUP('19.07'!O85,'19.07'!$AO$4:$AQ$55,3,FALSE))</f>
        <v>0</v>
      </c>
      <c r="H85" s="13">
        <f>(VLOOKUP('19.07'!P85,'19.07'!$AO$4:$AQ$55,3,FALSE))</f>
        <v>0</v>
      </c>
      <c r="I85" s="4">
        <f>(VLOOKUP('19.07'!Q85,'19.07'!$AO$4:$AQ$55,3,FALSE))</f>
        <v>0</v>
      </c>
      <c r="J85" s="4">
        <f>(VLOOKUP('19.07'!R85,'19.07'!$AO$4:$AQ$55,3,FALSE))</f>
        <v>0</v>
      </c>
      <c r="K85" s="4">
        <f>(VLOOKUP('19.07'!S85,'19.07'!$AO$4:$AQ$55,3,FALSE))</f>
        <v>0</v>
      </c>
      <c r="L85" s="4">
        <f>(VLOOKUP('19.07'!T85,'19.07'!$AO$4:$AQ$55,3,FALSE))</f>
        <v>0</v>
      </c>
      <c r="M85" s="4">
        <f>(VLOOKUP('19.07'!U85,'19.07'!$AO$4:$AQ$55,3,FALSE))</f>
        <v>0</v>
      </c>
      <c r="N85" s="4">
        <f>(VLOOKUP('19.07'!V85,'19.07'!$AO$4:$AQ$55,3,FALSE))</f>
        <v>0</v>
      </c>
      <c r="O85" s="13">
        <f>(VLOOKUP('19.07'!W85,'19.07'!$AO$4:$AQ$55,3,FALSE))</f>
        <v>0</v>
      </c>
      <c r="P85" s="13">
        <f>(VLOOKUP('19.07'!X85,'19.07'!$AO$4:$AQ$55,3,FALSE))</f>
        <v>0</v>
      </c>
      <c r="Q85" s="4">
        <f>(VLOOKUP('19.07'!Y85,'19.07'!$AO$4:$AQ$55,3,FALSE))</f>
        <v>0</v>
      </c>
      <c r="R85" s="4">
        <f>(VLOOKUP('19.07'!Z85,'19.07'!$AO$4:$AQ$55,3,FALSE))</f>
        <v>0</v>
      </c>
      <c r="S85" s="4">
        <f>(VLOOKUP('19.07'!AA85,'19.07'!$AO$4:$AQ$55,3,FALSE))</f>
        <v>0</v>
      </c>
      <c r="T85" s="4">
        <f>(VLOOKUP('19.07'!AB85,'19.07'!$AO$4:$AQ$55,3,FALSE))</f>
        <v>0</v>
      </c>
      <c r="U85" s="4">
        <f>(VLOOKUP('19.07'!AC85,'19.07'!$AO$4:$AQ$55,3,FALSE))</f>
        <v>0</v>
      </c>
      <c r="V85" s="4">
        <f>(VLOOKUP('19.07'!AD85,'19.07'!$AO$4:$AQ$55,3,FALSE))</f>
        <v>0</v>
      </c>
      <c r="W85" s="13">
        <f>(VLOOKUP('19.07'!AE85,'19.07'!$AO$4:$AQ$55,3,FALSE))</f>
        <v>0</v>
      </c>
      <c r="X85" s="13">
        <f>(VLOOKUP('19.07'!AF85,'19.07'!$AO$4:$AQ$55,3,FALSE))</f>
        <v>0</v>
      </c>
    </row>
    <row r="86" spans="1:24">
      <c r="A86" s="4">
        <f>(VLOOKUP('19.07'!I86,'19.07'!$AO$4:$AQ$55,3,FALSE))</f>
        <v>0</v>
      </c>
      <c r="B86" s="4">
        <f>(VLOOKUP('19.07'!J86,'19.07'!$AO$4:$AQ$55,3,FALSE))</f>
        <v>0</v>
      </c>
      <c r="C86" s="4">
        <f>(VLOOKUP('19.07'!K86,'19.07'!$AO$4:$AQ$55,3,FALSE))</f>
        <v>0</v>
      </c>
      <c r="D86" s="4">
        <f>(VLOOKUP('19.07'!L86,'19.07'!$AO$4:$AQ$55,3,FALSE))</f>
        <v>0</v>
      </c>
      <c r="E86" s="4">
        <f>(VLOOKUP('19.07'!M86,'19.07'!$AO$4:$AQ$55,3,FALSE))</f>
        <v>0</v>
      </c>
      <c r="F86" s="4">
        <f>(VLOOKUP('19.07'!N86,'19.07'!$AO$4:$AQ$55,3,FALSE))</f>
        <v>0</v>
      </c>
      <c r="G86" s="13">
        <f>(VLOOKUP('19.07'!O86,'19.07'!$AO$4:$AQ$55,3,FALSE))</f>
        <v>0</v>
      </c>
      <c r="H86" s="13">
        <f>(VLOOKUP('19.07'!P86,'19.07'!$AO$4:$AQ$55,3,FALSE))</f>
        <v>0</v>
      </c>
      <c r="I86" s="4">
        <f>(VLOOKUP('19.07'!Q86,'19.07'!$AO$4:$AQ$55,3,FALSE))</f>
        <v>0</v>
      </c>
      <c r="J86" s="4">
        <f>(VLOOKUP('19.07'!R86,'19.07'!$AO$4:$AQ$55,3,FALSE))</f>
        <v>0</v>
      </c>
      <c r="K86" s="4">
        <f>(VLOOKUP('19.07'!S86,'19.07'!$AO$4:$AQ$55,3,FALSE))</f>
        <v>0</v>
      </c>
      <c r="L86" s="4">
        <f>(VLOOKUP('19.07'!T86,'19.07'!$AO$4:$AQ$55,3,FALSE))</f>
        <v>0</v>
      </c>
      <c r="M86" s="4">
        <f>(VLOOKUP('19.07'!U86,'19.07'!$AO$4:$AQ$55,3,FALSE))</f>
        <v>0</v>
      </c>
      <c r="N86" s="4">
        <f>(VLOOKUP('19.07'!V86,'19.07'!$AO$4:$AQ$55,3,FALSE))</f>
        <v>0</v>
      </c>
      <c r="O86" s="13">
        <f>(VLOOKUP('19.07'!W86,'19.07'!$AO$4:$AQ$55,3,FALSE))</f>
        <v>0</v>
      </c>
      <c r="P86" s="13">
        <f>(VLOOKUP('19.07'!X86,'19.07'!$AO$4:$AQ$55,3,FALSE))</f>
        <v>0</v>
      </c>
      <c r="Q86" s="4">
        <f>(VLOOKUP('19.07'!Y86,'19.07'!$AO$4:$AQ$55,3,FALSE))</f>
        <v>0</v>
      </c>
      <c r="R86" s="4">
        <f>(VLOOKUP('19.07'!Z86,'19.07'!$AO$4:$AQ$55,3,FALSE))</f>
        <v>0</v>
      </c>
      <c r="S86" s="4">
        <f>(VLOOKUP('19.07'!AA86,'19.07'!$AO$4:$AQ$55,3,FALSE))</f>
        <v>0</v>
      </c>
      <c r="T86" s="4">
        <f>(VLOOKUP('19.07'!AB86,'19.07'!$AO$4:$AQ$55,3,FALSE))</f>
        <v>0</v>
      </c>
      <c r="U86" s="4">
        <f>(VLOOKUP('19.07'!AC86,'19.07'!$AO$4:$AQ$55,3,FALSE))</f>
        <v>0</v>
      </c>
      <c r="V86" s="4">
        <f>(VLOOKUP('19.07'!AD86,'19.07'!$AO$4:$AQ$55,3,FALSE))</f>
        <v>0</v>
      </c>
      <c r="W86" s="13">
        <f>(VLOOKUP('19.07'!AE86,'19.07'!$AO$4:$AQ$55,3,FALSE))</f>
        <v>0</v>
      </c>
      <c r="X86" s="13">
        <f>(VLOOKUP('19.07'!AF86,'19.07'!$AO$4:$AQ$55,3,FALSE))</f>
        <v>0</v>
      </c>
    </row>
    <row r="87" spans="1:24">
      <c r="A87" s="4">
        <f>(VLOOKUP('19.07'!I87,'19.07'!$AO$4:$AQ$55,3,FALSE))</f>
        <v>0</v>
      </c>
      <c r="B87" s="4">
        <f>(VLOOKUP('19.07'!J87,'19.07'!$AO$4:$AQ$55,3,FALSE))</f>
        <v>0</v>
      </c>
      <c r="C87" s="4">
        <f>(VLOOKUP('19.07'!K87,'19.07'!$AO$4:$AQ$55,3,FALSE))</f>
        <v>0</v>
      </c>
      <c r="D87" s="4">
        <f>(VLOOKUP('19.07'!L87,'19.07'!$AO$4:$AQ$55,3,FALSE))</f>
        <v>0</v>
      </c>
      <c r="E87" s="4">
        <f>(VLOOKUP('19.07'!M87,'19.07'!$AO$4:$AQ$55,3,FALSE))</f>
        <v>0</v>
      </c>
      <c r="F87" s="4">
        <f>(VLOOKUP('19.07'!N87,'19.07'!$AO$4:$AQ$55,3,FALSE))</f>
        <v>0</v>
      </c>
      <c r="G87" s="13">
        <f>(VLOOKUP('19.07'!O87,'19.07'!$AO$4:$AQ$55,3,FALSE))</f>
        <v>0</v>
      </c>
      <c r="H87" s="13">
        <f>(VLOOKUP('19.07'!P87,'19.07'!$AO$4:$AQ$55,3,FALSE))</f>
        <v>0</v>
      </c>
      <c r="I87" s="4">
        <f>(VLOOKUP('19.07'!Q87,'19.07'!$AO$4:$AQ$55,3,FALSE))</f>
        <v>0</v>
      </c>
      <c r="J87" s="4">
        <f>(VLOOKUP('19.07'!R87,'19.07'!$AO$4:$AQ$55,3,FALSE))</f>
        <v>0</v>
      </c>
      <c r="K87" s="4">
        <f>(VLOOKUP('19.07'!S87,'19.07'!$AO$4:$AQ$55,3,FALSE))</f>
        <v>0</v>
      </c>
      <c r="L87" s="4">
        <f>(VLOOKUP('19.07'!T87,'19.07'!$AO$4:$AQ$55,3,FALSE))</f>
        <v>0</v>
      </c>
      <c r="M87" s="4">
        <f>(VLOOKUP('19.07'!U87,'19.07'!$AO$4:$AQ$55,3,FALSE))</f>
        <v>0</v>
      </c>
      <c r="N87" s="4">
        <f>(VLOOKUP('19.07'!V87,'19.07'!$AO$4:$AQ$55,3,FALSE))</f>
        <v>0</v>
      </c>
      <c r="O87" s="13">
        <f>(VLOOKUP('19.07'!W87,'19.07'!$AO$4:$AQ$55,3,FALSE))</f>
        <v>0</v>
      </c>
      <c r="P87" s="13">
        <f>(VLOOKUP('19.07'!X87,'19.07'!$AO$4:$AQ$55,3,FALSE))</f>
        <v>0</v>
      </c>
      <c r="Q87" s="4">
        <f>(VLOOKUP('19.07'!Y87,'19.07'!$AO$4:$AQ$55,3,FALSE))</f>
        <v>0</v>
      </c>
      <c r="R87" s="4">
        <f>(VLOOKUP('19.07'!Z87,'19.07'!$AO$4:$AQ$55,3,FALSE))</f>
        <v>0</v>
      </c>
      <c r="S87" s="4">
        <f>(VLOOKUP('19.07'!AA87,'19.07'!$AO$4:$AQ$55,3,FALSE))</f>
        <v>0</v>
      </c>
      <c r="T87" s="4">
        <f>(VLOOKUP('19.07'!AB87,'19.07'!$AO$4:$AQ$55,3,FALSE))</f>
        <v>0</v>
      </c>
      <c r="U87" s="4">
        <f>(VLOOKUP('19.07'!AC87,'19.07'!$AO$4:$AQ$55,3,FALSE))</f>
        <v>0</v>
      </c>
      <c r="V87" s="4">
        <f>(VLOOKUP('19.07'!AD87,'19.07'!$AO$4:$AQ$55,3,FALSE))</f>
        <v>0</v>
      </c>
      <c r="W87" s="13">
        <f>(VLOOKUP('19.07'!AE87,'19.07'!$AO$4:$AQ$55,3,FALSE))</f>
        <v>0</v>
      </c>
      <c r="X87" s="13">
        <f>(VLOOKUP('19.07'!AF87,'19.07'!$AO$4:$AQ$55,3,FALSE))</f>
        <v>0</v>
      </c>
    </row>
    <row r="88" spans="1:24">
      <c r="A88" s="4">
        <f>(VLOOKUP('19.07'!I88,'19.07'!$AO$4:$AQ$55,3,FALSE))</f>
        <v>0</v>
      </c>
      <c r="B88" s="4">
        <f>(VLOOKUP('19.07'!J88,'19.07'!$AO$4:$AQ$55,3,FALSE))</f>
        <v>0</v>
      </c>
      <c r="C88" s="4">
        <f>(VLOOKUP('19.07'!K88,'19.07'!$AO$4:$AQ$55,3,FALSE))</f>
        <v>0</v>
      </c>
      <c r="D88" s="4">
        <f>(VLOOKUP('19.07'!L88,'19.07'!$AO$4:$AQ$55,3,FALSE))</f>
        <v>0</v>
      </c>
      <c r="E88" s="4">
        <f>(VLOOKUP('19.07'!M88,'19.07'!$AO$4:$AQ$55,3,FALSE))</f>
        <v>0</v>
      </c>
      <c r="F88" s="4">
        <f>(VLOOKUP('19.07'!N88,'19.07'!$AO$4:$AQ$55,3,FALSE))</f>
        <v>0</v>
      </c>
      <c r="G88" s="13">
        <f>(VLOOKUP('19.07'!O88,'19.07'!$AO$4:$AQ$55,3,FALSE))</f>
        <v>0</v>
      </c>
      <c r="H88" s="13">
        <f>(VLOOKUP('19.07'!P88,'19.07'!$AO$4:$AQ$55,3,FALSE))</f>
        <v>0</v>
      </c>
      <c r="I88" s="4">
        <f>(VLOOKUP('19.07'!Q88,'19.07'!$AO$4:$AQ$55,3,FALSE))</f>
        <v>0</v>
      </c>
      <c r="J88" s="4">
        <f>(VLOOKUP('19.07'!R88,'19.07'!$AO$4:$AQ$55,3,FALSE))</f>
        <v>0</v>
      </c>
      <c r="K88" s="4">
        <f>(VLOOKUP('19.07'!S88,'19.07'!$AO$4:$AQ$55,3,FALSE))</f>
        <v>0</v>
      </c>
      <c r="L88" s="4">
        <f>(VLOOKUP('19.07'!T88,'19.07'!$AO$4:$AQ$55,3,FALSE))</f>
        <v>0</v>
      </c>
      <c r="M88" s="4">
        <f>(VLOOKUP('19.07'!U88,'19.07'!$AO$4:$AQ$55,3,FALSE))</f>
        <v>0</v>
      </c>
      <c r="N88" s="4">
        <f>(VLOOKUP('19.07'!V88,'19.07'!$AO$4:$AQ$55,3,FALSE))</f>
        <v>0</v>
      </c>
      <c r="O88" s="13">
        <f>(VLOOKUP('19.07'!W88,'19.07'!$AO$4:$AQ$55,3,FALSE))</f>
        <v>0</v>
      </c>
      <c r="P88" s="13">
        <f>(VLOOKUP('19.07'!X88,'19.07'!$AO$4:$AQ$55,3,FALSE))</f>
        <v>0</v>
      </c>
      <c r="Q88" s="4">
        <f>(VLOOKUP('19.07'!Y88,'19.07'!$AO$4:$AQ$55,3,FALSE))</f>
        <v>0</v>
      </c>
      <c r="R88" s="4">
        <f>(VLOOKUP('19.07'!Z88,'19.07'!$AO$4:$AQ$55,3,FALSE))</f>
        <v>0</v>
      </c>
      <c r="S88" s="4">
        <f>(VLOOKUP('19.07'!AA88,'19.07'!$AO$4:$AQ$55,3,FALSE))</f>
        <v>0</v>
      </c>
      <c r="T88" s="4">
        <f>(VLOOKUP('19.07'!AB88,'19.07'!$AO$4:$AQ$55,3,FALSE))</f>
        <v>0</v>
      </c>
      <c r="U88" s="4">
        <f>(VLOOKUP('19.07'!AC88,'19.07'!$AO$4:$AQ$55,3,FALSE))</f>
        <v>0</v>
      </c>
      <c r="V88" s="4">
        <f>(VLOOKUP('19.07'!AD88,'19.07'!$AO$4:$AQ$55,3,FALSE))</f>
        <v>0</v>
      </c>
      <c r="W88" s="13">
        <f>(VLOOKUP('19.07'!AE88,'19.07'!$AO$4:$AQ$55,3,FALSE))</f>
        <v>0</v>
      </c>
      <c r="X88" s="13">
        <f>(VLOOKUP('19.07'!AF88,'19.07'!$AO$4:$AQ$55,3,FALSE))</f>
        <v>0</v>
      </c>
    </row>
    <row r="89" spans="1:24">
      <c r="A89" s="4">
        <f>(VLOOKUP('19.07'!I89,'19.07'!$AO$4:$AQ$55,3,FALSE))</f>
        <v>0</v>
      </c>
      <c r="B89" s="4">
        <f>(VLOOKUP('19.07'!J89,'19.07'!$AO$4:$AQ$55,3,FALSE))</f>
        <v>0</v>
      </c>
      <c r="C89" s="4">
        <f>(VLOOKUP('19.07'!K89,'19.07'!$AO$4:$AQ$55,3,FALSE))</f>
        <v>0</v>
      </c>
      <c r="D89" s="4">
        <f>(VLOOKUP('19.07'!L89,'19.07'!$AO$4:$AQ$55,3,FALSE))</f>
        <v>0</v>
      </c>
      <c r="E89" s="4">
        <f>(VLOOKUP('19.07'!M89,'19.07'!$AO$4:$AQ$55,3,FALSE))</f>
        <v>0</v>
      </c>
      <c r="F89" s="4">
        <f>(VLOOKUP('19.07'!N89,'19.07'!$AO$4:$AQ$55,3,FALSE))</f>
        <v>0</v>
      </c>
      <c r="G89" s="13">
        <f>(VLOOKUP('19.07'!O89,'19.07'!$AO$4:$AQ$55,3,FALSE))</f>
        <v>0</v>
      </c>
      <c r="H89" s="13">
        <f>(VLOOKUP('19.07'!P89,'19.07'!$AO$4:$AQ$55,3,FALSE))</f>
        <v>0</v>
      </c>
      <c r="I89" s="4">
        <f>(VLOOKUP('19.07'!Q89,'19.07'!$AO$4:$AQ$55,3,FALSE))</f>
        <v>0</v>
      </c>
      <c r="J89" s="4">
        <f>(VLOOKUP('19.07'!R89,'19.07'!$AO$4:$AQ$55,3,FALSE))</f>
        <v>0</v>
      </c>
      <c r="K89" s="4">
        <f>(VLOOKUP('19.07'!S89,'19.07'!$AO$4:$AQ$55,3,FALSE))</f>
        <v>0</v>
      </c>
      <c r="L89" s="4">
        <f>(VLOOKUP('19.07'!T89,'19.07'!$AO$4:$AQ$55,3,FALSE))</f>
        <v>0</v>
      </c>
      <c r="M89" s="4">
        <f>(VLOOKUP('19.07'!U89,'19.07'!$AO$4:$AQ$55,3,FALSE))</f>
        <v>0</v>
      </c>
      <c r="N89" s="4">
        <f>(VLOOKUP('19.07'!V89,'19.07'!$AO$4:$AQ$55,3,FALSE))</f>
        <v>0</v>
      </c>
      <c r="O89" s="13">
        <f>(VLOOKUP('19.07'!W89,'19.07'!$AO$4:$AQ$55,3,FALSE))</f>
        <v>0</v>
      </c>
      <c r="P89" s="13">
        <f>(VLOOKUP('19.07'!X89,'19.07'!$AO$4:$AQ$55,3,FALSE))</f>
        <v>0</v>
      </c>
      <c r="Q89" s="4">
        <f>(VLOOKUP('19.07'!Y89,'19.07'!$AO$4:$AQ$55,3,FALSE))</f>
        <v>0</v>
      </c>
      <c r="R89" s="4">
        <f>(VLOOKUP('19.07'!Z89,'19.07'!$AO$4:$AQ$55,3,FALSE))</f>
        <v>0</v>
      </c>
      <c r="S89" s="4">
        <f>(VLOOKUP('19.07'!AA89,'19.07'!$AO$4:$AQ$55,3,FALSE))</f>
        <v>0</v>
      </c>
      <c r="T89" s="4">
        <f>(VLOOKUP('19.07'!AB89,'19.07'!$AO$4:$AQ$55,3,FALSE))</f>
        <v>0</v>
      </c>
      <c r="U89" s="4">
        <f>(VLOOKUP('19.07'!AC89,'19.07'!$AO$4:$AQ$55,3,FALSE))</f>
        <v>0</v>
      </c>
      <c r="V89" s="4">
        <f>(VLOOKUP('19.07'!AD89,'19.07'!$AO$4:$AQ$55,3,FALSE))</f>
        <v>0</v>
      </c>
      <c r="W89" s="13">
        <f>(VLOOKUP('19.07'!AE89,'19.07'!$AO$4:$AQ$55,3,FALSE))</f>
        <v>0</v>
      </c>
      <c r="X89" s="13">
        <f>(VLOOKUP('19.07'!AF89,'19.07'!$AO$4:$AQ$55,3,FALSE))</f>
        <v>0</v>
      </c>
    </row>
    <row r="90" spans="1:24">
      <c r="A90" s="4">
        <f>(VLOOKUP('19.07'!I90,'19.07'!$AO$4:$AQ$55,3,FALSE))</f>
        <v>0</v>
      </c>
      <c r="B90" s="4">
        <f>(VLOOKUP('19.07'!J90,'19.07'!$AO$4:$AQ$55,3,FALSE))</f>
        <v>0</v>
      </c>
      <c r="C90" s="4">
        <f>(VLOOKUP('19.07'!K90,'19.07'!$AO$4:$AQ$55,3,FALSE))</f>
        <v>0</v>
      </c>
      <c r="D90" s="4">
        <f>(VLOOKUP('19.07'!L90,'19.07'!$AO$4:$AQ$55,3,FALSE))</f>
        <v>0</v>
      </c>
      <c r="E90" s="4">
        <f>(VLOOKUP('19.07'!M90,'19.07'!$AO$4:$AQ$55,3,FALSE))</f>
        <v>0</v>
      </c>
      <c r="F90" s="4">
        <f>(VLOOKUP('19.07'!N90,'19.07'!$AO$4:$AQ$55,3,FALSE))</f>
        <v>0</v>
      </c>
      <c r="G90" s="13">
        <f>(VLOOKUP('19.07'!O90,'19.07'!$AO$4:$AQ$55,3,FALSE))</f>
        <v>0</v>
      </c>
      <c r="H90" s="13">
        <f>(VLOOKUP('19.07'!P90,'19.07'!$AO$4:$AQ$55,3,FALSE))</f>
        <v>0</v>
      </c>
      <c r="I90" s="4">
        <f>(VLOOKUP('19.07'!Q90,'19.07'!$AO$4:$AQ$55,3,FALSE))</f>
        <v>0</v>
      </c>
      <c r="J90" s="4">
        <f>(VLOOKUP('19.07'!R90,'19.07'!$AO$4:$AQ$55,3,FALSE))</f>
        <v>0</v>
      </c>
      <c r="K90" s="4">
        <f>(VLOOKUP('19.07'!S90,'19.07'!$AO$4:$AQ$55,3,FALSE))</f>
        <v>0</v>
      </c>
      <c r="L90" s="4">
        <f>(VLOOKUP('19.07'!T90,'19.07'!$AO$4:$AQ$55,3,FALSE))</f>
        <v>0</v>
      </c>
      <c r="M90" s="4">
        <f>(VLOOKUP('19.07'!U90,'19.07'!$AO$4:$AQ$55,3,FALSE))</f>
        <v>0</v>
      </c>
      <c r="N90" s="4">
        <f>(VLOOKUP('19.07'!V90,'19.07'!$AO$4:$AQ$55,3,FALSE))</f>
        <v>0</v>
      </c>
      <c r="O90" s="13">
        <f>(VLOOKUP('19.07'!W90,'19.07'!$AO$4:$AQ$55,3,FALSE))</f>
        <v>0</v>
      </c>
      <c r="P90" s="13">
        <f>(VLOOKUP('19.07'!X90,'19.07'!$AO$4:$AQ$55,3,FALSE))</f>
        <v>0</v>
      </c>
      <c r="Q90" s="4">
        <f>(VLOOKUP('19.07'!Y90,'19.07'!$AO$4:$AQ$55,3,FALSE))</f>
        <v>0</v>
      </c>
      <c r="R90" s="4">
        <f>(VLOOKUP('19.07'!Z90,'19.07'!$AO$4:$AQ$55,3,FALSE))</f>
        <v>0</v>
      </c>
      <c r="S90" s="4">
        <f>(VLOOKUP('19.07'!AA90,'19.07'!$AO$4:$AQ$55,3,FALSE))</f>
        <v>0</v>
      </c>
      <c r="T90" s="4">
        <f>(VLOOKUP('19.07'!AB90,'19.07'!$AO$4:$AQ$55,3,FALSE))</f>
        <v>0</v>
      </c>
      <c r="U90" s="4">
        <f>(VLOOKUP('19.07'!AC90,'19.07'!$AO$4:$AQ$55,3,FALSE))</f>
        <v>0</v>
      </c>
      <c r="V90" s="4">
        <f>(VLOOKUP('19.07'!AD90,'19.07'!$AO$4:$AQ$55,3,FALSE))</f>
        <v>0</v>
      </c>
      <c r="W90" s="13">
        <f>(VLOOKUP('19.07'!AE90,'19.07'!$AO$4:$AQ$55,3,FALSE))</f>
        <v>0</v>
      </c>
      <c r="X90" s="13">
        <f>(VLOOKUP('19.07'!AF90,'19.07'!$AO$4:$AQ$55,3,FALSE))</f>
        <v>0</v>
      </c>
    </row>
    <row r="91" spans="1:24">
      <c r="A91" s="4">
        <f>(VLOOKUP('19.07'!I91,'19.07'!$AO$4:$AQ$55,3,FALSE))</f>
        <v>0</v>
      </c>
      <c r="B91" s="4">
        <f>(VLOOKUP('19.07'!J91,'19.07'!$AO$4:$AQ$55,3,FALSE))</f>
        <v>0</v>
      </c>
      <c r="C91" s="4">
        <f>(VLOOKUP('19.07'!K91,'19.07'!$AO$4:$AQ$55,3,FALSE))</f>
        <v>0</v>
      </c>
      <c r="D91" s="4">
        <f>(VLOOKUP('19.07'!L91,'19.07'!$AO$4:$AQ$55,3,FALSE))</f>
        <v>0</v>
      </c>
      <c r="E91" s="4">
        <f>(VLOOKUP('19.07'!M91,'19.07'!$AO$4:$AQ$55,3,FALSE))</f>
        <v>0</v>
      </c>
      <c r="F91" s="4">
        <f>(VLOOKUP('19.07'!N91,'19.07'!$AO$4:$AQ$55,3,FALSE))</f>
        <v>0</v>
      </c>
      <c r="G91" s="13">
        <f>(VLOOKUP('19.07'!O91,'19.07'!$AO$4:$AQ$55,3,FALSE))</f>
        <v>0</v>
      </c>
      <c r="H91" s="13">
        <f>(VLOOKUP('19.07'!P91,'19.07'!$AO$4:$AQ$55,3,FALSE))</f>
        <v>0</v>
      </c>
      <c r="I91" s="4">
        <f>(VLOOKUP('19.07'!Q91,'19.07'!$AO$4:$AQ$55,3,FALSE))</f>
        <v>0</v>
      </c>
      <c r="J91" s="4">
        <f>(VLOOKUP('19.07'!R91,'19.07'!$AO$4:$AQ$55,3,FALSE))</f>
        <v>0</v>
      </c>
      <c r="K91" s="4">
        <f>(VLOOKUP('19.07'!S91,'19.07'!$AO$4:$AQ$55,3,FALSE))</f>
        <v>0</v>
      </c>
      <c r="L91" s="4">
        <f>(VLOOKUP('19.07'!T91,'19.07'!$AO$4:$AQ$55,3,FALSE))</f>
        <v>0</v>
      </c>
      <c r="M91" s="4">
        <f>(VLOOKUP('19.07'!U91,'19.07'!$AO$4:$AQ$55,3,FALSE))</f>
        <v>0</v>
      </c>
      <c r="N91" s="4">
        <f>(VLOOKUP('19.07'!V91,'19.07'!$AO$4:$AQ$55,3,FALSE))</f>
        <v>0</v>
      </c>
      <c r="O91" s="13">
        <f>(VLOOKUP('19.07'!W91,'19.07'!$AO$4:$AQ$55,3,FALSE))</f>
        <v>0</v>
      </c>
      <c r="P91" s="13">
        <f>(VLOOKUP('19.07'!X91,'19.07'!$AO$4:$AQ$55,3,FALSE))</f>
        <v>0</v>
      </c>
      <c r="Q91" s="4">
        <f>(VLOOKUP('19.07'!Y91,'19.07'!$AO$4:$AQ$55,3,FALSE))</f>
        <v>0</v>
      </c>
      <c r="R91" s="4">
        <f>(VLOOKUP('19.07'!Z91,'19.07'!$AO$4:$AQ$55,3,FALSE))</f>
        <v>0</v>
      </c>
      <c r="S91" s="4">
        <f>(VLOOKUP('19.07'!AA91,'19.07'!$AO$4:$AQ$55,3,FALSE))</f>
        <v>0</v>
      </c>
      <c r="T91" s="4">
        <f>(VLOOKUP('19.07'!AB91,'19.07'!$AO$4:$AQ$55,3,FALSE))</f>
        <v>0</v>
      </c>
      <c r="U91" s="4">
        <f>(VLOOKUP('19.07'!AC91,'19.07'!$AO$4:$AQ$55,3,FALSE))</f>
        <v>0</v>
      </c>
      <c r="V91" s="4">
        <f>(VLOOKUP('19.07'!AD91,'19.07'!$AO$4:$AQ$55,3,FALSE))</f>
        <v>0</v>
      </c>
      <c r="W91" s="13">
        <f>(VLOOKUP('19.07'!AE91,'19.07'!$AO$4:$AQ$55,3,FALSE))</f>
        <v>0</v>
      </c>
      <c r="X91" s="13">
        <f>(VLOOKUP('19.07'!AF91,'19.07'!$AO$4:$AQ$55,3,FALSE))</f>
        <v>0</v>
      </c>
    </row>
    <row r="92" spans="1:24">
      <c r="A92" s="4">
        <f>(VLOOKUP('19.07'!I92,'19.07'!$AO$4:$AQ$55,3,FALSE))</f>
        <v>0</v>
      </c>
      <c r="B92" s="4">
        <f>(VLOOKUP('19.07'!J92,'19.07'!$AO$4:$AQ$55,3,FALSE))</f>
        <v>0</v>
      </c>
      <c r="C92" s="4">
        <f>(VLOOKUP('19.07'!K92,'19.07'!$AO$4:$AQ$55,3,FALSE))</f>
        <v>0</v>
      </c>
      <c r="D92" s="4">
        <f>(VLOOKUP('19.07'!L92,'19.07'!$AO$4:$AQ$55,3,FALSE))</f>
        <v>0</v>
      </c>
      <c r="E92" s="4">
        <f>(VLOOKUP('19.07'!M92,'19.07'!$AO$4:$AQ$55,3,FALSE))</f>
        <v>0</v>
      </c>
      <c r="F92" s="4">
        <f>(VLOOKUP('19.07'!N92,'19.07'!$AO$4:$AQ$55,3,FALSE))</f>
        <v>0</v>
      </c>
      <c r="G92" s="13">
        <f>(VLOOKUP('19.07'!O92,'19.07'!$AO$4:$AQ$55,3,FALSE))</f>
        <v>0</v>
      </c>
      <c r="H92" s="13">
        <f>(VLOOKUP('19.07'!P92,'19.07'!$AO$4:$AQ$55,3,FALSE))</f>
        <v>0</v>
      </c>
      <c r="I92" s="4">
        <f>(VLOOKUP('19.07'!Q92,'19.07'!$AO$4:$AQ$55,3,FALSE))</f>
        <v>0</v>
      </c>
      <c r="J92" s="4">
        <f>(VLOOKUP('19.07'!R92,'19.07'!$AO$4:$AQ$55,3,FALSE))</f>
        <v>0</v>
      </c>
      <c r="K92" s="4">
        <f>(VLOOKUP('19.07'!S92,'19.07'!$AO$4:$AQ$55,3,FALSE))</f>
        <v>0</v>
      </c>
      <c r="L92" s="4">
        <f>(VLOOKUP('19.07'!T92,'19.07'!$AO$4:$AQ$55,3,FALSE))</f>
        <v>0</v>
      </c>
      <c r="M92" s="4">
        <f>(VLOOKUP('19.07'!U92,'19.07'!$AO$4:$AQ$55,3,FALSE))</f>
        <v>0</v>
      </c>
      <c r="N92" s="4">
        <f>(VLOOKUP('19.07'!V92,'19.07'!$AO$4:$AQ$55,3,FALSE))</f>
        <v>0</v>
      </c>
      <c r="O92" s="13">
        <f>(VLOOKUP('19.07'!W92,'19.07'!$AO$4:$AQ$55,3,FALSE))</f>
        <v>0</v>
      </c>
      <c r="P92" s="13">
        <f>(VLOOKUP('19.07'!X92,'19.07'!$AO$4:$AQ$55,3,FALSE))</f>
        <v>0</v>
      </c>
      <c r="Q92" s="4">
        <f>(VLOOKUP('19.07'!Y92,'19.07'!$AO$4:$AQ$55,3,FALSE))</f>
        <v>0</v>
      </c>
      <c r="R92" s="4">
        <f>(VLOOKUP('19.07'!Z92,'19.07'!$AO$4:$AQ$55,3,FALSE))</f>
        <v>0</v>
      </c>
      <c r="S92" s="4">
        <f>(VLOOKUP('19.07'!AA92,'19.07'!$AO$4:$AQ$55,3,FALSE))</f>
        <v>0</v>
      </c>
      <c r="T92" s="4">
        <f>(VLOOKUP('19.07'!AB92,'19.07'!$AO$4:$AQ$55,3,FALSE))</f>
        <v>0</v>
      </c>
      <c r="U92" s="4">
        <f>(VLOOKUP('19.07'!AC92,'19.07'!$AO$4:$AQ$55,3,FALSE))</f>
        <v>0</v>
      </c>
      <c r="V92" s="4">
        <f>(VLOOKUP('19.07'!AD92,'19.07'!$AO$4:$AQ$55,3,FALSE))</f>
        <v>0</v>
      </c>
      <c r="W92" s="13">
        <f>(VLOOKUP('19.07'!AE92,'19.07'!$AO$4:$AQ$55,3,FALSE))</f>
        <v>0</v>
      </c>
      <c r="X92" s="13">
        <f>(VLOOKUP('19.07'!AF92,'19.07'!$AO$4:$AQ$55,3,FALSE))</f>
        <v>0</v>
      </c>
    </row>
    <row r="93" spans="1:24">
      <c r="A93" s="4">
        <f>(VLOOKUP('19.07'!I93,'19.07'!$AO$4:$AQ$55,3,FALSE))</f>
        <v>0</v>
      </c>
      <c r="B93" s="4">
        <f>(VLOOKUP('19.07'!J93,'19.07'!$AO$4:$AQ$55,3,FALSE))</f>
        <v>0</v>
      </c>
      <c r="C93" s="4">
        <f>(VLOOKUP('19.07'!K93,'19.07'!$AO$4:$AQ$55,3,FALSE))</f>
        <v>0</v>
      </c>
      <c r="D93" s="4">
        <f>(VLOOKUP('19.07'!L93,'19.07'!$AO$4:$AQ$55,3,FALSE))</f>
        <v>0</v>
      </c>
      <c r="E93" s="4">
        <f>(VLOOKUP('19.07'!M93,'19.07'!$AO$4:$AQ$55,3,FALSE))</f>
        <v>0</v>
      </c>
      <c r="F93" s="4">
        <f>(VLOOKUP('19.07'!N93,'19.07'!$AO$4:$AQ$55,3,FALSE))</f>
        <v>0</v>
      </c>
      <c r="G93" s="13">
        <f>(VLOOKUP('19.07'!O93,'19.07'!$AO$4:$AQ$55,3,FALSE))</f>
        <v>0</v>
      </c>
      <c r="H93" s="13">
        <f>(VLOOKUP('19.07'!P93,'19.07'!$AO$4:$AQ$55,3,FALSE))</f>
        <v>0</v>
      </c>
      <c r="I93" s="4">
        <f>(VLOOKUP('19.07'!Q93,'19.07'!$AO$4:$AQ$55,3,FALSE))</f>
        <v>0</v>
      </c>
      <c r="J93" s="4">
        <f>(VLOOKUP('19.07'!R93,'19.07'!$AO$4:$AQ$55,3,FALSE))</f>
        <v>0</v>
      </c>
      <c r="K93" s="4">
        <f>(VLOOKUP('19.07'!S93,'19.07'!$AO$4:$AQ$55,3,FALSE))</f>
        <v>0</v>
      </c>
      <c r="L93" s="4">
        <f>(VLOOKUP('19.07'!T93,'19.07'!$AO$4:$AQ$55,3,FALSE))</f>
        <v>0</v>
      </c>
      <c r="M93" s="4">
        <f>(VLOOKUP('19.07'!U93,'19.07'!$AO$4:$AQ$55,3,FALSE))</f>
        <v>0</v>
      </c>
      <c r="N93" s="4">
        <f>(VLOOKUP('19.07'!V93,'19.07'!$AO$4:$AQ$55,3,FALSE))</f>
        <v>0</v>
      </c>
      <c r="O93" s="13">
        <f>(VLOOKUP('19.07'!W93,'19.07'!$AO$4:$AQ$55,3,FALSE))</f>
        <v>0</v>
      </c>
      <c r="P93" s="13">
        <f>(VLOOKUP('19.07'!X93,'19.07'!$AO$4:$AQ$55,3,FALSE))</f>
        <v>0</v>
      </c>
      <c r="Q93" s="4">
        <f>(VLOOKUP('19.07'!Y93,'19.07'!$AO$4:$AQ$55,3,FALSE))</f>
        <v>0</v>
      </c>
      <c r="R93" s="4">
        <f>(VLOOKUP('19.07'!Z93,'19.07'!$AO$4:$AQ$55,3,FALSE))</f>
        <v>0</v>
      </c>
      <c r="S93" s="4">
        <f>(VLOOKUP('19.07'!AA93,'19.07'!$AO$4:$AQ$55,3,FALSE))</f>
        <v>0</v>
      </c>
      <c r="T93" s="4">
        <f>(VLOOKUP('19.07'!AB93,'19.07'!$AO$4:$AQ$55,3,FALSE))</f>
        <v>0</v>
      </c>
      <c r="U93" s="4">
        <f>(VLOOKUP('19.07'!AC93,'19.07'!$AO$4:$AQ$55,3,FALSE))</f>
        <v>0</v>
      </c>
      <c r="V93" s="4">
        <f>(VLOOKUP('19.07'!AD93,'19.07'!$AO$4:$AQ$55,3,FALSE))</f>
        <v>0</v>
      </c>
      <c r="W93" s="13">
        <f>(VLOOKUP('19.07'!AE93,'19.07'!$AO$4:$AQ$55,3,FALSE))</f>
        <v>0</v>
      </c>
      <c r="X93" s="13">
        <f>(VLOOKUP('19.07'!AF93,'19.07'!$AO$4:$AQ$55,3,FALSE))</f>
        <v>0</v>
      </c>
    </row>
    <row r="94" spans="1:24">
      <c r="A94" s="4"/>
      <c r="B94" s="4"/>
      <c r="C94" s="4"/>
      <c r="D94" s="4"/>
      <c r="E94" s="4"/>
      <c r="F94" s="4"/>
      <c r="G94" s="13"/>
      <c r="H94" s="13"/>
      <c r="I94" s="4"/>
      <c r="J94" s="4"/>
      <c r="K94" s="4"/>
      <c r="L94" s="4"/>
      <c r="M94" s="4"/>
      <c r="N94" s="4"/>
      <c r="O94" s="13"/>
      <c r="P94" s="13"/>
      <c r="Q94" s="4"/>
      <c r="R94" s="4"/>
      <c r="S94" s="4"/>
      <c r="T94" s="4"/>
      <c r="U94" s="4"/>
      <c r="V94" s="4"/>
      <c r="W94" s="13"/>
      <c r="X94" s="13"/>
    </row>
  </sheetData>
  <mergeCells count="6">
    <mergeCell ref="U2:X2"/>
    <mergeCell ref="A2:B2"/>
    <mergeCell ref="E2:H2"/>
    <mergeCell ref="I2:J2"/>
    <mergeCell ref="M2:P2"/>
    <mergeCell ref="Q2:R2"/>
  </mergeCells>
  <phoneticPr fontId="1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X94"/>
  <sheetViews>
    <sheetView workbookViewId="0">
      <selection activeCell="E20" sqref="E20"/>
    </sheetView>
  </sheetViews>
  <sheetFormatPr defaultColWidth="9" defaultRowHeight="15"/>
  <sheetData>
    <row r="2" spans="1:24">
      <c r="A2" s="125" t="s">
        <v>80</v>
      </c>
      <c r="B2" s="126"/>
      <c r="C2" s="1" t="s">
        <v>4</v>
      </c>
      <c r="D2" s="1">
        <f>COUNTIF(A4:H94,"&lt;&gt;空")</f>
        <v>728</v>
      </c>
      <c r="E2" s="126" t="s">
        <v>5</v>
      </c>
      <c r="F2" s="126"/>
      <c r="G2" s="126"/>
      <c r="H2" s="127"/>
      <c r="I2" s="128" t="s">
        <v>6</v>
      </c>
      <c r="J2" s="129"/>
      <c r="K2" s="5" t="s">
        <v>4</v>
      </c>
      <c r="L2" s="5">
        <f>COUNTIF(I4:P94,"&lt;&gt;空")</f>
        <v>728</v>
      </c>
      <c r="M2" s="129" t="s">
        <v>5</v>
      </c>
      <c r="N2" s="129"/>
      <c r="O2" s="129"/>
      <c r="P2" s="130"/>
      <c r="Q2" s="131" t="s">
        <v>7</v>
      </c>
      <c r="R2" s="123"/>
      <c r="S2" s="9" t="s">
        <v>8</v>
      </c>
      <c r="T2" s="8">
        <f>COUNTIF(Q4:X94,"&lt;&gt;空")</f>
        <v>728</v>
      </c>
      <c r="U2" s="123" t="s">
        <v>5</v>
      </c>
      <c r="V2" s="123"/>
      <c r="W2" s="123"/>
      <c r="X2" s="124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6">
        <v>1</v>
      </c>
      <c r="J3" s="7">
        <v>2</v>
      </c>
      <c r="K3" s="7">
        <v>3</v>
      </c>
      <c r="L3" s="7">
        <v>4</v>
      </c>
      <c r="M3" s="7">
        <v>5</v>
      </c>
      <c r="N3" s="7">
        <v>6</v>
      </c>
      <c r="O3" s="7">
        <v>7</v>
      </c>
      <c r="P3" s="7">
        <v>8</v>
      </c>
      <c r="Q3" s="10">
        <v>1</v>
      </c>
      <c r="R3" s="11">
        <v>2</v>
      </c>
      <c r="S3" s="11">
        <v>3</v>
      </c>
      <c r="T3" s="11">
        <v>4</v>
      </c>
      <c r="U3" s="11">
        <v>5</v>
      </c>
      <c r="V3" s="11">
        <v>6</v>
      </c>
      <c r="W3" s="11">
        <v>7</v>
      </c>
      <c r="X3" s="12">
        <v>8</v>
      </c>
    </row>
    <row r="4" spans="1:24">
      <c r="A4" s="4">
        <f>(VLOOKUP('19.07'!I4,'19.07'!$AO$4:$AR$55,4,FALSE))</f>
        <v>44.222109392472198</v>
      </c>
      <c r="B4" s="4">
        <f>(VLOOKUP('19.07'!J4,'19.07'!$AO$4:$AR$55,4,FALSE))</f>
        <v>44.222109392472198</v>
      </c>
      <c r="C4" s="4">
        <f>(VLOOKUP('19.07'!K4,'19.07'!$AO$4:$AR$55,4,FALSE))</f>
        <v>44.222109392472198</v>
      </c>
      <c r="D4" s="4">
        <f>(VLOOKUP('19.07'!L4,'19.07'!$AO$4:$AR$55,4,FALSE))</f>
        <v>44.222109392472198</v>
      </c>
      <c r="E4" s="4">
        <f>(VLOOKUP('19.07'!M4,'19.07'!$AO$4:$AR$55,4,FALSE))</f>
        <v>44.222109392472198</v>
      </c>
      <c r="F4" s="4">
        <f>(VLOOKUP('19.07'!N4,'19.07'!$AO$4:$AR$55,4,FALSE))</f>
        <v>10</v>
      </c>
      <c r="G4" s="4">
        <f>(VLOOKUP('19.07'!O4,'19.07'!$AO$4:$AR$55,4,FALSE))</f>
        <v>0</v>
      </c>
      <c r="H4" s="4">
        <f>(VLOOKUP('19.07'!P4,'19.07'!$AO$4:$AR$55,4,FALSE))</f>
        <v>0</v>
      </c>
      <c r="I4" s="4">
        <f>(VLOOKUP('19.07'!Q4,'19.07'!$AO$4:$AR$55,4,FALSE))</f>
        <v>44.222109392472198</v>
      </c>
      <c r="J4" s="4">
        <f>(VLOOKUP('19.07'!R4,'19.07'!$AO$4:$AR$55,4,FALSE))</f>
        <v>44.222109392472198</v>
      </c>
      <c r="K4" s="4">
        <f>(VLOOKUP('19.07'!S4,'19.07'!$AO$4:$AR$55,4,FALSE))</f>
        <v>44.222109392472198</v>
      </c>
      <c r="L4" s="4">
        <f>(VLOOKUP('19.07'!T4,'19.07'!$AO$4:$AR$55,4,FALSE))</f>
        <v>44.222109392472198</v>
      </c>
      <c r="M4" s="4">
        <f>(VLOOKUP('19.07'!U4,'19.07'!$AO$4:$AR$55,4,FALSE))</f>
        <v>44.222109392472198</v>
      </c>
      <c r="N4" s="4">
        <f>(VLOOKUP('19.07'!V4,'19.07'!$AO$4:$AR$55,4,FALSE))</f>
        <v>10</v>
      </c>
      <c r="O4" s="4">
        <f>(VLOOKUP('19.07'!W4,'19.07'!$AO$4:$AR$55,4,FALSE))</f>
        <v>38</v>
      </c>
      <c r="P4" s="4">
        <f>(VLOOKUP('19.07'!X4,'19.07'!$AO$4:$AR$55,4,FALSE))</f>
        <v>38</v>
      </c>
      <c r="Q4" s="4">
        <f>(VLOOKUP('19.07'!Y4,'19.07'!$AO$4:$AR$55,4,FALSE))</f>
        <v>0</v>
      </c>
      <c r="R4" s="4">
        <f>(VLOOKUP('19.07'!Z4,'19.07'!$AO$4:$AR$55,4,FALSE))</f>
        <v>0</v>
      </c>
      <c r="S4" s="4">
        <f>(VLOOKUP('19.07'!AA4,'19.07'!$AO$4:$AR$55,4,FALSE))</f>
        <v>0</v>
      </c>
      <c r="T4" s="4">
        <f>(VLOOKUP('19.07'!AB4,'19.07'!$AO$4:$AR$55,4,FALSE))</f>
        <v>0</v>
      </c>
      <c r="U4" s="4">
        <f>(VLOOKUP('19.07'!AC4,'19.07'!$AO$4:$AR$55,4,FALSE))</f>
        <v>0</v>
      </c>
      <c r="V4" s="4">
        <f>(VLOOKUP('19.07'!AD4,'19.07'!$AO$4:$AR$55,4,FALSE))</f>
        <v>0</v>
      </c>
      <c r="W4" s="4">
        <f>(VLOOKUP('19.07'!AE4,'19.07'!$AO$4:$AR$55,4,FALSE))</f>
        <v>0</v>
      </c>
      <c r="X4" s="4">
        <f>(VLOOKUP('19.07'!AF4,'19.07'!$AO$4:$AR$55,4,FALSE))</f>
        <v>44.222109392472198</v>
      </c>
    </row>
    <row r="5" spans="1:24">
      <c r="A5" s="4">
        <f>(VLOOKUP('19.07'!I5,'19.07'!$AO$4:$AR$55,4,FALSE))</f>
        <v>0</v>
      </c>
      <c r="B5" s="4">
        <f>(VLOOKUP('19.07'!J5,'19.07'!$AO$4:$AR$55,4,FALSE))</f>
        <v>0</v>
      </c>
      <c r="C5" s="4">
        <f>(VLOOKUP('19.07'!K5,'19.07'!$AO$4:$AR$55,4,FALSE))</f>
        <v>0</v>
      </c>
      <c r="D5" s="4">
        <f>(VLOOKUP('19.07'!L5,'19.07'!$AO$4:$AR$55,4,FALSE))</f>
        <v>0</v>
      </c>
      <c r="E5" s="4">
        <f>(VLOOKUP('19.07'!M5,'19.07'!$AO$4:$AR$55,4,FALSE))</f>
        <v>0</v>
      </c>
      <c r="F5" s="4">
        <f>(VLOOKUP('19.07'!N5,'19.07'!$AO$4:$AR$55,4,FALSE))</f>
        <v>0</v>
      </c>
      <c r="G5" s="4">
        <f>(VLOOKUP('19.07'!O5,'19.07'!$AO$4:$AR$55,4,FALSE))</f>
        <v>0</v>
      </c>
      <c r="H5" s="4">
        <f>(VLOOKUP('19.07'!P5,'19.07'!$AO$4:$AR$55,4,FALSE))</f>
        <v>0</v>
      </c>
      <c r="I5" s="4">
        <f>(VLOOKUP('19.07'!Q5,'19.07'!$AO$4:$AR$55,4,FALSE))</f>
        <v>0</v>
      </c>
      <c r="J5" s="4">
        <f>(VLOOKUP('19.07'!R5,'19.07'!$AO$4:$AR$55,4,FALSE))</f>
        <v>39.110982162825401</v>
      </c>
      <c r="K5" s="4">
        <f>(VLOOKUP('19.07'!S5,'19.07'!$AO$4:$AR$55,4,FALSE))</f>
        <v>39.110982162825401</v>
      </c>
      <c r="L5" s="4">
        <f>(VLOOKUP('19.07'!T5,'19.07'!$AO$4:$AR$55,4,FALSE))</f>
        <v>10</v>
      </c>
      <c r="M5" s="4">
        <f>(VLOOKUP('19.07'!U5,'19.07'!$AO$4:$AR$55,4,FALSE))</f>
        <v>39.110982162825401</v>
      </c>
      <c r="N5" s="4">
        <f>(VLOOKUP('19.07'!V5,'19.07'!$AO$4:$AR$55,4,FALSE))</f>
        <v>39.110982162825401</v>
      </c>
      <c r="O5" s="4">
        <f>(VLOOKUP('19.07'!W5,'19.07'!$AO$4:$AR$55,4,FALSE))</f>
        <v>34</v>
      </c>
      <c r="P5" s="4">
        <f>(VLOOKUP('19.07'!X5,'19.07'!$AO$4:$AR$55,4,FALSE))</f>
        <v>34</v>
      </c>
      <c r="Q5" s="4">
        <f>(VLOOKUP('19.07'!Y5,'19.07'!$AO$4:$AR$55,4,FALSE))</f>
        <v>44.222109392472198</v>
      </c>
      <c r="R5" s="4">
        <f>(VLOOKUP('19.07'!Z5,'19.07'!$AO$4:$AR$55,4,FALSE))</f>
        <v>44.222109392472198</v>
      </c>
      <c r="S5" s="4">
        <f>(VLOOKUP('19.07'!AA5,'19.07'!$AO$4:$AR$55,4,FALSE))</f>
        <v>44.222109392472198</v>
      </c>
      <c r="T5" s="4">
        <f>(VLOOKUP('19.07'!AB5,'19.07'!$AO$4:$AR$55,4,FALSE))</f>
        <v>44.222109392472198</v>
      </c>
      <c r="U5" s="4">
        <f>(VLOOKUP('19.07'!AC5,'19.07'!$AO$4:$AR$55,4,FALSE))</f>
        <v>44.222109392472198</v>
      </c>
      <c r="V5" s="4">
        <f>(VLOOKUP('19.07'!AD5,'19.07'!$AO$4:$AR$55,4,FALSE))</f>
        <v>44.222109392472198</v>
      </c>
      <c r="W5" s="4">
        <f>(VLOOKUP('19.07'!AE5,'19.07'!$AO$4:$AR$55,4,FALSE))</f>
        <v>44.222109392472198</v>
      </c>
      <c r="X5" s="4">
        <f>(VLOOKUP('19.07'!AF5,'19.07'!$AO$4:$AR$55,4,FALSE))</f>
        <v>44.222109392472198</v>
      </c>
    </row>
    <row r="6" spans="1:24">
      <c r="A6" s="4">
        <f>(VLOOKUP('19.07'!I6,'19.07'!$AO$4:$AR$55,4,FALSE))</f>
        <v>0</v>
      </c>
      <c r="B6" s="4">
        <f>(VLOOKUP('19.07'!J6,'19.07'!$AO$4:$AR$55,4,FALSE))</f>
        <v>0</v>
      </c>
      <c r="C6" s="4">
        <f>(VLOOKUP('19.07'!K6,'19.07'!$AO$4:$AR$55,4,FALSE))</f>
        <v>0</v>
      </c>
      <c r="D6" s="4">
        <f>(VLOOKUP('19.07'!L6,'19.07'!$AO$4:$AR$55,4,FALSE))</f>
        <v>0</v>
      </c>
      <c r="E6" s="4">
        <f>(VLOOKUP('19.07'!M6,'19.07'!$AO$4:$AR$55,4,FALSE))</f>
        <v>0</v>
      </c>
      <c r="F6" s="4">
        <f>(VLOOKUP('19.07'!N6,'19.07'!$AO$4:$AR$55,4,FALSE))</f>
        <v>0</v>
      </c>
      <c r="G6" s="4">
        <f>(VLOOKUP('19.07'!O6,'19.07'!$AO$4:$AR$55,4,FALSE))</f>
        <v>0</v>
      </c>
      <c r="H6" s="4">
        <f>(VLOOKUP('19.07'!P6,'19.07'!$AO$4:$AR$55,4,FALSE))</f>
        <v>0</v>
      </c>
      <c r="I6" s="4">
        <f>(VLOOKUP('19.07'!Q6,'19.07'!$AO$4:$AR$55,4,FALSE))</f>
        <v>39.110982162825401</v>
      </c>
      <c r="J6" s="4">
        <f>(VLOOKUP('19.07'!R6,'19.07'!$AO$4:$AR$55,4,FALSE))</f>
        <v>39.110982162825401</v>
      </c>
      <c r="K6" s="4">
        <f>(VLOOKUP('19.07'!S6,'19.07'!$AO$4:$AR$55,4,FALSE))</f>
        <v>39.110982162825401</v>
      </c>
      <c r="L6" s="4">
        <f>(VLOOKUP('19.07'!T6,'19.07'!$AO$4:$AR$55,4,FALSE))</f>
        <v>39.110982162825401</v>
      </c>
      <c r="M6" s="4">
        <f>(VLOOKUP('19.07'!U6,'19.07'!$AO$4:$AR$55,4,FALSE))</f>
        <v>39.110982162825401</v>
      </c>
      <c r="N6" s="4">
        <f>(VLOOKUP('19.07'!V6,'19.07'!$AO$4:$AR$55,4,FALSE))</f>
        <v>39.110982162825401</v>
      </c>
      <c r="O6" s="4">
        <f>(VLOOKUP('19.07'!W6,'19.07'!$AO$4:$AR$55,4,FALSE))</f>
        <v>34</v>
      </c>
      <c r="P6" s="4">
        <f>(VLOOKUP('19.07'!X6,'19.07'!$AO$4:$AR$55,4,FALSE))</f>
        <v>34</v>
      </c>
      <c r="Q6" s="4">
        <f>(VLOOKUP('19.07'!Y6,'19.07'!$AO$4:$AR$55,4,FALSE))</f>
        <v>39.110982162825401</v>
      </c>
      <c r="R6" s="4">
        <f>(VLOOKUP('19.07'!Z6,'19.07'!$AO$4:$AR$55,4,FALSE))</f>
        <v>39.110982162825401</v>
      </c>
      <c r="S6" s="4">
        <f>(VLOOKUP('19.07'!AA6,'19.07'!$AO$4:$AR$55,4,FALSE))</f>
        <v>39.110982162825401</v>
      </c>
      <c r="T6" s="4">
        <f>(VLOOKUP('19.07'!AB6,'19.07'!$AO$4:$AR$55,4,FALSE))</f>
        <v>39.110982162825401</v>
      </c>
      <c r="U6" s="4">
        <f>(VLOOKUP('19.07'!AC6,'19.07'!$AO$4:$AR$55,4,FALSE))</f>
        <v>39.110982162825401</v>
      </c>
      <c r="V6" s="4">
        <f>(VLOOKUP('19.07'!AD6,'19.07'!$AO$4:$AR$55,4,FALSE))</f>
        <v>44.222109392472198</v>
      </c>
      <c r="W6" s="4">
        <f>(VLOOKUP('19.07'!AE6,'19.07'!$AO$4:$AR$55,4,FALSE))</f>
        <v>39.110982162825401</v>
      </c>
      <c r="X6" s="4">
        <f>(VLOOKUP('19.07'!AF6,'19.07'!$AO$4:$AR$55,4,FALSE))</f>
        <v>39.110982162825401</v>
      </c>
    </row>
    <row r="7" spans="1:24">
      <c r="A7" s="4">
        <f>(VLOOKUP('19.07'!I7,'19.07'!$AO$4:$AR$55,4,FALSE))</f>
        <v>0</v>
      </c>
      <c r="B7" s="4">
        <f>(VLOOKUP('19.07'!J7,'19.07'!$AO$4:$AR$55,4,FALSE))</f>
        <v>0</v>
      </c>
      <c r="C7" s="4">
        <f>(VLOOKUP('19.07'!K7,'19.07'!$AO$4:$AR$55,4,FALSE))</f>
        <v>0</v>
      </c>
      <c r="D7" s="4">
        <f>(VLOOKUP('19.07'!L7,'19.07'!$AO$4:$AR$55,4,FALSE))</f>
        <v>0</v>
      </c>
      <c r="E7" s="4">
        <f>(VLOOKUP('19.07'!M7,'19.07'!$AO$4:$AR$55,4,FALSE))</f>
        <v>0</v>
      </c>
      <c r="F7" s="4">
        <f>(VLOOKUP('19.07'!N7,'19.07'!$AO$4:$AR$55,4,FALSE))</f>
        <v>0</v>
      </c>
      <c r="G7" s="4">
        <f>(VLOOKUP('19.07'!O7,'19.07'!$AO$4:$AR$55,4,FALSE))</f>
        <v>0</v>
      </c>
      <c r="H7" s="4">
        <f>(VLOOKUP('19.07'!P7,'19.07'!$AO$4:$AR$55,4,FALSE))</f>
        <v>0</v>
      </c>
      <c r="I7" s="4">
        <f>(VLOOKUP('19.07'!Q7,'19.07'!$AO$4:$AR$55,4,FALSE))</f>
        <v>39.110982162825401</v>
      </c>
      <c r="J7" s="4">
        <f>(VLOOKUP('19.07'!R7,'19.07'!$AO$4:$AR$55,4,FALSE))</f>
        <v>0</v>
      </c>
      <c r="K7" s="4">
        <f>(VLOOKUP('19.07'!S7,'19.07'!$AO$4:$AR$55,4,FALSE))</f>
        <v>39.110982162825401</v>
      </c>
      <c r="L7" s="4">
        <f>(VLOOKUP('19.07'!T7,'19.07'!$AO$4:$AR$55,4,FALSE))</f>
        <v>39.110982162825401</v>
      </c>
      <c r="M7" s="4">
        <f>(VLOOKUP('19.07'!U7,'19.07'!$AO$4:$AR$55,4,FALSE))</f>
        <v>10</v>
      </c>
      <c r="N7" s="4">
        <f>(VLOOKUP('19.07'!V7,'19.07'!$AO$4:$AR$55,4,FALSE))</f>
        <v>39.110982162825401</v>
      </c>
      <c r="O7" s="4">
        <f>(VLOOKUP('19.07'!W7,'19.07'!$AO$4:$AR$55,4,FALSE))</f>
        <v>34</v>
      </c>
      <c r="P7" s="4">
        <f>(VLOOKUP('19.07'!X7,'19.07'!$AO$4:$AR$55,4,FALSE))</f>
        <v>0</v>
      </c>
      <c r="Q7" s="4">
        <f>(VLOOKUP('19.07'!Y7,'19.07'!$AO$4:$AR$55,4,FALSE))</f>
        <v>39.110982162825401</v>
      </c>
      <c r="R7" s="4">
        <f>(VLOOKUP('19.07'!Z7,'19.07'!$AO$4:$AR$55,4,FALSE))</f>
        <v>39.110982162825401</v>
      </c>
      <c r="S7" s="4">
        <f>(VLOOKUP('19.07'!AA7,'19.07'!$AO$4:$AR$55,4,FALSE))</f>
        <v>39.110982162825401</v>
      </c>
      <c r="T7" s="4">
        <f>(VLOOKUP('19.07'!AB7,'19.07'!$AO$4:$AR$55,4,FALSE))</f>
        <v>10</v>
      </c>
      <c r="U7" s="4">
        <f>(VLOOKUP('19.07'!AC7,'19.07'!$AO$4:$AR$55,4,FALSE))</f>
        <v>39.110982162825401</v>
      </c>
      <c r="V7" s="4">
        <f>(VLOOKUP('19.07'!AD7,'19.07'!$AO$4:$AR$55,4,FALSE))</f>
        <v>44.222109392472198</v>
      </c>
      <c r="W7" s="4">
        <f>(VLOOKUP('19.07'!AE7,'19.07'!$AO$4:$AR$55,4,FALSE))</f>
        <v>34</v>
      </c>
      <c r="X7" s="4">
        <f>(VLOOKUP('19.07'!AF7,'19.07'!$AO$4:$AR$55,4,FALSE))</f>
        <v>0</v>
      </c>
    </row>
    <row r="8" spans="1:24">
      <c r="A8" s="4">
        <f>(VLOOKUP('19.07'!I8,'19.07'!$AO$4:$AR$55,4,FALSE))</f>
        <v>0</v>
      </c>
      <c r="B8" s="4">
        <f>(VLOOKUP('19.07'!J8,'19.07'!$AO$4:$AR$55,4,FALSE))</f>
        <v>0</v>
      </c>
      <c r="C8" s="4">
        <f>(VLOOKUP('19.07'!K8,'19.07'!$AO$4:$AR$55,4,FALSE))</f>
        <v>0</v>
      </c>
      <c r="D8" s="4">
        <f>(VLOOKUP('19.07'!L8,'19.07'!$AO$4:$AR$55,4,FALSE))</f>
        <v>0</v>
      </c>
      <c r="E8" s="4">
        <f>(VLOOKUP('19.07'!M8,'19.07'!$AO$4:$AR$55,4,FALSE))</f>
        <v>0</v>
      </c>
      <c r="F8" s="4">
        <f>(VLOOKUP('19.07'!N8,'19.07'!$AO$4:$AR$55,4,FALSE))</f>
        <v>0</v>
      </c>
      <c r="G8" s="4">
        <f>(VLOOKUP('19.07'!O8,'19.07'!$AO$4:$AR$55,4,FALSE))</f>
        <v>0</v>
      </c>
      <c r="H8" s="4">
        <f>(VLOOKUP('19.07'!P8,'19.07'!$AO$4:$AR$55,4,FALSE))</f>
        <v>0</v>
      </c>
      <c r="I8" s="4">
        <f>(VLOOKUP('19.07'!Q8,'19.07'!$AO$4:$AR$55,4,FALSE))</f>
        <v>36</v>
      </c>
      <c r="J8" s="4">
        <f>(VLOOKUP('19.07'!R8,'19.07'!$AO$4:$AR$55,4,FALSE))</f>
        <v>36</v>
      </c>
      <c r="K8" s="4">
        <f>(VLOOKUP('19.07'!S8,'19.07'!$AO$4:$AR$55,4,FALSE))</f>
        <v>36</v>
      </c>
      <c r="L8" s="4">
        <f>(VLOOKUP('19.07'!T8,'19.07'!$AO$4:$AR$55,4,FALSE))</f>
        <v>10</v>
      </c>
      <c r="M8" s="4">
        <f>(VLOOKUP('19.07'!U8,'19.07'!$AO$4:$AR$55,4,FALSE))</f>
        <v>36</v>
      </c>
      <c r="N8" s="4">
        <f>(VLOOKUP('19.07'!V8,'19.07'!$AO$4:$AR$55,4,FALSE))</f>
        <v>0</v>
      </c>
      <c r="O8" s="4">
        <f>(VLOOKUP('19.07'!W8,'19.07'!$AO$4:$AR$55,4,FALSE))</f>
        <v>0</v>
      </c>
      <c r="P8" s="4">
        <f>(VLOOKUP('19.07'!X8,'19.07'!$AO$4:$AR$55,4,FALSE))</f>
        <v>0</v>
      </c>
      <c r="Q8" s="4">
        <f>(VLOOKUP('19.07'!Y8,'19.07'!$AO$4:$AR$55,4,FALSE))</f>
        <v>34</v>
      </c>
      <c r="R8" s="4">
        <f>(VLOOKUP('19.07'!Z8,'19.07'!$AO$4:$AR$55,4,FALSE))</f>
        <v>34</v>
      </c>
      <c r="S8" s="4">
        <f>(VLOOKUP('19.07'!AA8,'19.07'!$AO$4:$AR$55,4,FALSE))</f>
        <v>0</v>
      </c>
      <c r="T8" s="4">
        <f>(VLOOKUP('19.07'!AB8,'19.07'!$AO$4:$AR$55,4,FALSE))</f>
        <v>34</v>
      </c>
      <c r="U8" s="4">
        <f>(VLOOKUP('19.07'!AC8,'19.07'!$AO$4:$AR$55,4,FALSE))</f>
        <v>34</v>
      </c>
      <c r="V8" s="4">
        <f>(VLOOKUP('19.07'!AD8,'19.07'!$AO$4:$AR$55,4,FALSE))</f>
        <v>44.222109392472198</v>
      </c>
      <c r="W8" s="4">
        <f>(VLOOKUP('19.07'!AE8,'19.07'!$AO$4:$AR$55,4,FALSE))</f>
        <v>0</v>
      </c>
      <c r="X8" s="4">
        <f>(VLOOKUP('19.07'!AF8,'19.07'!$AO$4:$AR$55,4,FALSE))</f>
        <v>0</v>
      </c>
    </row>
    <row r="9" spans="1:24">
      <c r="A9" s="4">
        <f>(VLOOKUP('19.07'!I9,'19.07'!$AO$4:$AR$55,4,FALSE))</f>
        <v>0</v>
      </c>
      <c r="B9" s="4">
        <f>(VLOOKUP('19.07'!J9,'19.07'!$AO$4:$AR$55,4,FALSE))</f>
        <v>0</v>
      </c>
      <c r="C9" s="4">
        <f>(VLOOKUP('19.07'!K9,'19.07'!$AO$4:$AR$55,4,FALSE))</f>
        <v>0</v>
      </c>
      <c r="D9" s="4">
        <f>(VLOOKUP('19.07'!L9,'19.07'!$AO$4:$AR$55,4,FALSE))</f>
        <v>0</v>
      </c>
      <c r="E9" s="4">
        <f>(VLOOKUP('19.07'!M9,'19.07'!$AO$4:$AR$55,4,FALSE))</f>
        <v>0</v>
      </c>
      <c r="F9" s="4">
        <f>(VLOOKUP('19.07'!N9,'19.07'!$AO$4:$AR$55,4,FALSE))</f>
        <v>0</v>
      </c>
      <c r="G9" s="4">
        <f>(VLOOKUP('19.07'!O9,'19.07'!$AO$4:$AR$55,4,FALSE))</f>
        <v>0</v>
      </c>
      <c r="H9" s="4">
        <f>(VLOOKUP('19.07'!P9,'19.07'!$AO$4:$AR$55,4,FALSE))</f>
        <v>0</v>
      </c>
      <c r="I9" s="4">
        <f>(VLOOKUP('19.07'!Q9,'19.07'!$AO$4:$AR$55,4,FALSE))</f>
        <v>34</v>
      </c>
      <c r="J9" s="4">
        <f>(VLOOKUP('19.07'!R9,'19.07'!$AO$4:$AR$55,4,FALSE))</f>
        <v>34</v>
      </c>
      <c r="K9" s="4">
        <f>(VLOOKUP('19.07'!S9,'19.07'!$AO$4:$AR$55,4,FALSE))</f>
        <v>0</v>
      </c>
      <c r="L9" s="4">
        <f>(VLOOKUP('19.07'!T9,'19.07'!$AO$4:$AR$55,4,FALSE))</f>
        <v>34</v>
      </c>
      <c r="M9" s="4">
        <f>(VLOOKUP('19.07'!U9,'19.07'!$AO$4:$AR$55,4,FALSE))</f>
        <v>34</v>
      </c>
      <c r="N9" s="4">
        <f>(VLOOKUP('19.07'!V9,'19.07'!$AO$4:$AR$55,4,FALSE))</f>
        <v>34</v>
      </c>
      <c r="O9" s="4">
        <f>(VLOOKUP('19.07'!W9,'19.07'!$AO$4:$AR$55,4,FALSE))</f>
        <v>34</v>
      </c>
      <c r="P9" s="4">
        <f>(VLOOKUP('19.07'!X9,'19.07'!$AO$4:$AR$55,4,FALSE))</f>
        <v>10</v>
      </c>
      <c r="Q9" s="4">
        <f>(VLOOKUP('19.07'!Y9,'19.07'!$AO$4:$AR$55,4,FALSE))</f>
        <v>34</v>
      </c>
      <c r="R9" s="4">
        <f>(VLOOKUP('19.07'!Z9,'19.07'!$AO$4:$AR$55,4,FALSE))</f>
        <v>10</v>
      </c>
      <c r="S9" s="4">
        <f>(VLOOKUP('19.07'!AA9,'19.07'!$AO$4:$AR$55,4,FALSE))</f>
        <v>34</v>
      </c>
      <c r="T9" s="4">
        <f>(VLOOKUP('19.07'!AB9,'19.07'!$AO$4:$AR$55,4,FALSE))</f>
        <v>13.9998549331786</v>
      </c>
      <c r="U9" s="4">
        <f>(VLOOKUP('19.07'!AC9,'19.07'!$AO$4:$AR$55,4,FALSE))</f>
        <v>34</v>
      </c>
      <c r="V9" s="4">
        <f>(VLOOKUP('19.07'!AD9,'19.07'!$AO$4:$AR$55,4,FALSE))</f>
        <v>34</v>
      </c>
      <c r="W9" s="4">
        <f>(VLOOKUP('19.07'!AE9,'19.07'!$AO$4:$AR$55,4,FALSE))</f>
        <v>0</v>
      </c>
      <c r="X9" s="4">
        <f>(VLOOKUP('19.07'!AF9,'19.07'!$AO$4:$AR$55,4,FALSE))</f>
        <v>0</v>
      </c>
    </row>
    <row r="10" spans="1:24">
      <c r="A10" s="4">
        <f>(VLOOKUP('19.07'!I10,'19.07'!$AO$4:$AR$55,4,FALSE))</f>
        <v>0</v>
      </c>
      <c r="B10" s="4">
        <f>(VLOOKUP('19.07'!J10,'19.07'!$AO$4:$AR$55,4,FALSE))</f>
        <v>0</v>
      </c>
      <c r="C10" s="4">
        <f>(VLOOKUP('19.07'!K10,'19.07'!$AO$4:$AR$55,4,FALSE))</f>
        <v>0</v>
      </c>
      <c r="D10" s="4">
        <f>(VLOOKUP('19.07'!L10,'19.07'!$AO$4:$AR$55,4,FALSE))</f>
        <v>0</v>
      </c>
      <c r="E10" s="4">
        <f>(VLOOKUP('19.07'!M10,'19.07'!$AO$4:$AR$55,4,FALSE))</f>
        <v>0</v>
      </c>
      <c r="F10" s="4">
        <f>(VLOOKUP('19.07'!N10,'19.07'!$AO$4:$AR$55,4,FALSE))</f>
        <v>0</v>
      </c>
      <c r="G10" s="4">
        <f>(VLOOKUP('19.07'!O10,'19.07'!$AO$4:$AR$55,4,FALSE))</f>
        <v>0</v>
      </c>
      <c r="H10" s="4">
        <f>(VLOOKUP('19.07'!P10,'19.07'!$AO$4:$AR$55,4,FALSE))</f>
        <v>0</v>
      </c>
      <c r="I10" s="4">
        <f>(VLOOKUP('19.07'!Q10,'19.07'!$AO$4:$AR$55,4,FALSE))</f>
        <v>34</v>
      </c>
      <c r="J10" s="4">
        <f>(VLOOKUP('19.07'!R10,'19.07'!$AO$4:$AR$55,4,FALSE))</f>
        <v>34</v>
      </c>
      <c r="K10" s="4">
        <f>(VLOOKUP('19.07'!S10,'19.07'!$AO$4:$AR$55,4,FALSE))</f>
        <v>34</v>
      </c>
      <c r="L10" s="4">
        <f>(VLOOKUP('19.07'!T10,'19.07'!$AO$4:$AR$55,4,FALSE))</f>
        <v>34</v>
      </c>
      <c r="M10" s="4">
        <f>(VLOOKUP('19.07'!U10,'19.07'!$AO$4:$AR$55,4,FALSE))</f>
        <v>10</v>
      </c>
      <c r="N10" s="4">
        <f>(VLOOKUP('19.07'!V10,'19.07'!$AO$4:$AR$55,4,FALSE))</f>
        <v>34</v>
      </c>
      <c r="O10" s="4">
        <f>(VLOOKUP('19.07'!W10,'19.07'!$AO$4:$AR$55,4,FALSE))</f>
        <v>34</v>
      </c>
      <c r="P10" s="4">
        <f>(VLOOKUP('19.07'!X10,'19.07'!$AO$4:$AR$55,4,FALSE))</f>
        <v>13.9998549331786</v>
      </c>
      <c r="Q10" s="4">
        <f>(VLOOKUP('19.07'!Y10,'19.07'!$AO$4:$AR$55,4,FALSE))</f>
        <v>0</v>
      </c>
      <c r="R10" s="4">
        <f>(VLOOKUP('19.07'!Z10,'19.07'!$AO$4:$AR$55,4,FALSE))</f>
        <v>34</v>
      </c>
      <c r="S10" s="4">
        <f>(VLOOKUP('19.07'!AA10,'19.07'!$AO$4:$AR$55,4,FALSE))</f>
        <v>34</v>
      </c>
      <c r="T10" s="4">
        <f>(VLOOKUP('19.07'!AB10,'19.07'!$AO$4:$AR$55,4,FALSE))</f>
        <v>34</v>
      </c>
      <c r="U10" s="4">
        <f>(VLOOKUP('19.07'!AC10,'19.07'!$AO$4:$AR$55,4,FALSE))</f>
        <v>34</v>
      </c>
      <c r="V10" s="4">
        <f>(VLOOKUP('19.07'!AD10,'19.07'!$AO$4:$AR$55,4,FALSE))</f>
        <v>34</v>
      </c>
      <c r="W10" s="4">
        <f>(VLOOKUP('19.07'!AE10,'19.07'!$AO$4:$AR$55,4,FALSE))</f>
        <v>0</v>
      </c>
      <c r="X10" s="4">
        <f>(VLOOKUP('19.07'!AF10,'19.07'!$AO$4:$AR$55,4,FALSE))</f>
        <v>0</v>
      </c>
    </row>
    <row r="11" spans="1:24">
      <c r="A11" s="4">
        <f>(VLOOKUP('19.07'!I11,'19.07'!$AO$4:$AR$55,4,FALSE))</f>
        <v>0</v>
      </c>
      <c r="B11" s="4">
        <f>(VLOOKUP('19.07'!J11,'19.07'!$AO$4:$AR$55,4,FALSE))</f>
        <v>0</v>
      </c>
      <c r="C11" s="4">
        <f>(VLOOKUP('19.07'!K11,'19.07'!$AO$4:$AR$55,4,FALSE))</f>
        <v>0</v>
      </c>
      <c r="D11" s="4">
        <f>(VLOOKUP('19.07'!L11,'19.07'!$AO$4:$AR$55,4,FALSE))</f>
        <v>0</v>
      </c>
      <c r="E11" s="4">
        <f>(VLOOKUP('19.07'!M11,'19.07'!$AO$4:$AR$55,4,FALSE))</f>
        <v>0</v>
      </c>
      <c r="F11" s="4">
        <f>(VLOOKUP('19.07'!N11,'19.07'!$AO$4:$AR$55,4,FALSE))</f>
        <v>0</v>
      </c>
      <c r="G11" s="4">
        <f>(VLOOKUP('19.07'!O11,'19.07'!$AO$4:$AR$55,4,FALSE))</f>
        <v>0</v>
      </c>
      <c r="H11" s="4">
        <f>(VLOOKUP('19.07'!P11,'19.07'!$AO$4:$AR$55,4,FALSE))</f>
        <v>0</v>
      </c>
      <c r="I11" s="4">
        <f>(VLOOKUP('19.07'!Q11,'19.07'!$AO$4:$AR$55,4,FALSE))</f>
        <v>34</v>
      </c>
      <c r="J11" s="4">
        <f>(VLOOKUP('19.07'!R11,'19.07'!$AO$4:$AR$55,4,FALSE))</f>
        <v>34</v>
      </c>
      <c r="K11" s="4">
        <f>(VLOOKUP('19.07'!S11,'19.07'!$AO$4:$AR$55,4,FALSE))</f>
        <v>34</v>
      </c>
      <c r="L11" s="4">
        <f>(VLOOKUP('19.07'!T11,'19.07'!$AO$4:$AR$55,4,FALSE))</f>
        <v>10</v>
      </c>
      <c r="M11" s="4">
        <f>(VLOOKUP('19.07'!U11,'19.07'!$AO$4:$AR$55,4,FALSE))</f>
        <v>34</v>
      </c>
      <c r="N11" s="4">
        <f>(VLOOKUP('19.07'!V11,'19.07'!$AO$4:$AR$55,4,FALSE))</f>
        <v>34</v>
      </c>
      <c r="O11" s="4">
        <f>(VLOOKUP('19.07'!W11,'19.07'!$AO$4:$AR$55,4,FALSE))</f>
        <v>34</v>
      </c>
      <c r="P11" s="4">
        <f>(VLOOKUP('19.07'!X11,'19.07'!$AO$4:$AR$55,4,FALSE))</f>
        <v>10</v>
      </c>
      <c r="Q11" s="4">
        <f>(VLOOKUP('19.07'!Y11,'19.07'!$AO$4:$AR$55,4,FALSE))</f>
        <v>34</v>
      </c>
      <c r="R11" s="4">
        <f>(VLOOKUP('19.07'!Z11,'19.07'!$AO$4:$AR$55,4,FALSE))</f>
        <v>34</v>
      </c>
      <c r="S11" s="4">
        <f>(VLOOKUP('19.07'!AA11,'19.07'!$AO$4:$AR$55,4,FALSE))</f>
        <v>13.9998549331786</v>
      </c>
      <c r="T11" s="4">
        <f>(VLOOKUP('19.07'!AB11,'19.07'!$AO$4:$AR$55,4,FALSE))</f>
        <v>34</v>
      </c>
      <c r="U11" s="4">
        <f>(VLOOKUP('19.07'!AC11,'19.07'!$AO$4:$AR$55,4,FALSE))</f>
        <v>36</v>
      </c>
      <c r="V11" s="4">
        <f>(VLOOKUP('19.07'!AD11,'19.07'!$AO$4:$AR$55,4,FALSE))</f>
        <v>36</v>
      </c>
      <c r="W11" s="4">
        <f>(VLOOKUP('19.07'!AE11,'19.07'!$AO$4:$AR$55,4,FALSE))</f>
        <v>0</v>
      </c>
      <c r="X11" s="4">
        <f>(VLOOKUP('19.07'!AF11,'19.07'!$AO$4:$AR$55,4,FALSE))</f>
        <v>0</v>
      </c>
    </row>
    <row r="12" spans="1:24">
      <c r="A12" s="4">
        <f>(VLOOKUP('19.07'!I12,'19.07'!$AO$4:$AR$55,4,FALSE))</f>
        <v>0</v>
      </c>
      <c r="B12" s="4">
        <f>(VLOOKUP('19.07'!J12,'19.07'!$AO$4:$AR$55,4,FALSE))</f>
        <v>0</v>
      </c>
      <c r="C12" s="4">
        <f>(VLOOKUP('19.07'!K12,'19.07'!$AO$4:$AR$55,4,FALSE))</f>
        <v>0</v>
      </c>
      <c r="D12" s="4">
        <f>(VLOOKUP('19.07'!L12,'19.07'!$AO$4:$AR$55,4,FALSE))</f>
        <v>0</v>
      </c>
      <c r="E12" s="4">
        <f>(VLOOKUP('19.07'!M12,'19.07'!$AO$4:$AR$55,4,FALSE))</f>
        <v>0</v>
      </c>
      <c r="F12" s="4">
        <f>(VLOOKUP('19.07'!N12,'19.07'!$AO$4:$AR$55,4,FALSE))</f>
        <v>0</v>
      </c>
      <c r="G12" s="4">
        <f>(VLOOKUP('19.07'!O12,'19.07'!$AO$4:$AR$55,4,FALSE))</f>
        <v>0</v>
      </c>
      <c r="H12" s="4">
        <f>(VLOOKUP('19.07'!P12,'19.07'!$AO$4:$AR$55,4,FALSE))</f>
        <v>0</v>
      </c>
      <c r="I12" s="4">
        <f>(VLOOKUP('19.07'!Q12,'19.07'!$AO$4:$AR$55,4,FALSE))</f>
        <v>34</v>
      </c>
      <c r="J12" s="4">
        <f>(VLOOKUP('19.07'!R12,'19.07'!$AO$4:$AR$55,4,FALSE))</f>
        <v>34</v>
      </c>
      <c r="K12" s="4">
        <f>(VLOOKUP('19.07'!S12,'19.07'!$AO$4:$AR$55,4,FALSE))</f>
        <v>34</v>
      </c>
      <c r="L12" s="4">
        <f>(VLOOKUP('19.07'!T12,'19.07'!$AO$4:$AR$55,4,FALSE))</f>
        <v>34</v>
      </c>
      <c r="M12" s="4">
        <f>(VLOOKUP('19.07'!U12,'19.07'!$AO$4:$AR$55,4,FALSE))</f>
        <v>34</v>
      </c>
      <c r="N12" s="4">
        <f>(VLOOKUP('19.07'!V12,'19.07'!$AO$4:$AR$55,4,FALSE))</f>
        <v>0</v>
      </c>
      <c r="O12" s="4">
        <f>(VLOOKUP('19.07'!W12,'19.07'!$AO$4:$AR$55,4,FALSE))</f>
        <v>10</v>
      </c>
      <c r="P12" s="4">
        <f>(VLOOKUP('19.07'!X12,'19.07'!$AO$4:$AR$55,4,FALSE))</f>
        <v>34</v>
      </c>
      <c r="Q12" s="4">
        <f>(VLOOKUP('19.07'!Y12,'19.07'!$AO$4:$AR$55,4,FALSE))</f>
        <v>36</v>
      </c>
      <c r="R12" s="4">
        <f>(VLOOKUP('19.07'!Z12,'19.07'!$AO$4:$AR$55,4,FALSE))</f>
        <v>36</v>
      </c>
      <c r="S12" s="4">
        <f>(VLOOKUP('19.07'!AA12,'19.07'!$AO$4:$AR$55,4,FALSE))</f>
        <v>34</v>
      </c>
      <c r="T12" s="4">
        <f>(VLOOKUP('19.07'!AB12,'19.07'!$AO$4:$AR$55,4,FALSE))</f>
        <v>34</v>
      </c>
      <c r="U12" s="4">
        <f>(VLOOKUP('19.07'!AC12,'19.07'!$AO$4:$AR$55,4,FALSE))</f>
        <v>0</v>
      </c>
      <c r="V12" s="4">
        <f>(VLOOKUP('19.07'!AD12,'19.07'!$AO$4:$AR$55,4,FALSE))</f>
        <v>36</v>
      </c>
      <c r="W12" s="4">
        <f>(VLOOKUP('19.07'!AE12,'19.07'!$AO$4:$AR$55,4,FALSE))</f>
        <v>0</v>
      </c>
      <c r="X12" s="4">
        <f>(VLOOKUP('19.07'!AF12,'19.07'!$AO$4:$AR$55,4,FALSE))</f>
        <v>0</v>
      </c>
    </row>
    <row r="13" spans="1:24">
      <c r="A13" s="4">
        <f>(VLOOKUP('19.07'!I13,'19.07'!$AO$4:$AR$55,4,FALSE))</f>
        <v>0</v>
      </c>
      <c r="B13" s="4">
        <f>(VLOOKUP('19.07'!J13,'19.07'!$AO$4:$AR$55,4,FALSE))</f>
        <v>0</v>
      </c>
      <c r="C13" s="4">
        <f>(VLOOKUP('19.07'!K13,'19.07'!$AO$4:$AR$55,4,FALSE))</f>
        <v>0</v>
      </c>
      <c r="D13" s="4">
        <f>(VLOOKUP('19.07'!L13,'19.07'!$AO$4:$AR$55,4,FALSE))</f>
        <v>0</v>
      </c>
      <c r="E13" s="4">
        <f>(VLOOKUP('19.07'!M13,'19.07'!$AO$4:$AR$55,4,FALSE))</f>
        <v>0</v>
      </c>
      <c r="F13" s="4">
        <f>(VLOOKUP('19.07'!N13,'19.07'!$AO$4:$AR$55,4,FALSE))</f>
        <v>0</v>
      </c>
      <c r="G13" s="4">
        <f>(VLOOKUP('19.07'!O13,'19.07'!$AO$4:$AR$55,4,FALSE))</f>
        <v>0</v>
      </c>
      <c r="H13" s="4">
        <f>(VLOOKUP('19.07'!P13,'19.07'!$AO$4:$AR$55,4,FALSE))</f>
        <v>0</v>
      </c>
      <c r="I13" s="4">
        <f>(VLOOKUP('19.07'!Q13,'19.07'!$AO$4:$AR$55,4,FALSE))</f>
        <v>34</v>
      </c>
      <c r="J13" s="4">
        <f>(VLOOKUP('19.07'!R13,'19.07'!$AO$4:$AR$55,4,FALSE))</f>
        <v>34</v>
      </c>
      <c r="K13" s="4">
        <f>(VLOOKUP('19.07'!S13,'19.07'!$AO$4:$AR$55,4,FALSE))</f>
        <v>34</v>
      </c>
      <c r="L13" s="4">
        <f>(VLOOKUP('19.07'!T13,'19.07'!$AO$4:$AR$55,4,FALSE))</f>
        <v>34</v>
      </c>
      <c r="M13" s="4">
        <f>(VLOOKUP('19.07'!U13,'19.07'!$AO$4:$AR$55,4,FALSE))</f>
        <v>34</v>
      </c>
      <c r="N13" s="4">
        <f>(VLOOKUP('19.07'!V13,'19.07'!$AO$4:$AR$55,4,FALSE))</f>
        <v>34</v>
      </c>
      <c r="O13" s="4">
        <f>(VLOOKUP('19.07'!W13,'19.07'!$AO$4:$AR$55,4,FALSE))</f>
        <v>34</v>
      </c>
      <c r="P13" s="4">
        <f>(VLOOKUP('19.07'!X13,'19.07'!$AO$4:$AR$55,4,FALSE))</f>
        <v>0</v>
      </c>
      <c r="Q13" s="4">
        <f>(VLOOKUP('19.07'!Y13,'19.07'!$AO$4:$AR$55,4,FALSE))</f>
        <v>36</v>
      </c>
      <c r="R13" s="4">
        <f>(VLOOKUP('19.07'!Z13,'19.07'!$AO$4:$AR$55,4,FALSE))</f>
        <v>36</v>
      </c>
      <c r="S13" s="4">
        <f>(VLOOKUP('19.07'!AA13,'19.07'!$AO$4:$AR$55,4,FALSE))</f>
        <v>36</v>
      </c>
      <c r="T13" s="4">
        <f>(VLOOKUP('19.07'!AB13,'19.07'!$AO$4:$AR$55,4,FALSE))</f>
        <v>36</v>
      </c>
      <c r="U13" s="4">
        <f>(VLOOKUP('19.07'!AC13,'19.07'!$AO$4:$AR$55,4,FALSE))</f>
        <v>36</v>
      </c>
      <c r="V13" s="4">
        <f>(VLOOKUP('19.07'!AD13,'19.07'!$AO$4:$AR$55,4,FALSE))</f>
        <v>36</v>
      </c>
      <c r="W13" s="4">
        <f>(VLOOKUP('19.07'!AE13,'19.07'!$AO$4:$AR$55,4,FALSE))</f>
        <v>0</v>
      </c>
      <c r="X13" s="4">
        <f>(VLOOKUP('19.07'!AF13,'19.07'!$AO$4:$AR$55,4,FALSE))</f>
        <v>0</v>
      </c>
    </row>
    <row r="14" spans="1:24">
      <c r="A14" s="4">
        <f>(VLOOKUP('19.07'!I14,'19.07'!$AO$4:$AR$55,4,FALSE))</f>
        <v>0</v>
      </c>
      <c r="B14" s="4">
        <f>(VLOOKUP('19.07'!J14,'19.07'!$AO$4:$AR$55,4,FALSE))</f>
        <v>0</v>
      </c>
      <c r="C14" s="4">
        <f>(VLOOKUP('19.07'!K14,'19.07'!$AO$4:$AR$55,4,FALSE))</f>
        <v>0</v>
      </c>
      <c r="D14" s="4">
        <f>(VLOOKUP('19.07'!L14,'19.07'!$AO$4:$AR$55,4,FALSE))</f>
        <v>0</v>
      </c>
      <c r="E14" s="4">
        <f>(VLOOKUP('19.07'!M14,'19.07'!$AO$4:$AR$55,4,FALSE))</f>
        <v>0</v>
      </c>
      <c r="F14" s="4">
        <f>(VLOOKUP('19.07'!N14,'19.07'!$AO$4:$AR$55,4,FALSE))</f>
        <v>0</v>
      </c>
      <c r="G14" s="4">
        <f>(VLOOKUP('19.07'!O14,'19.07'!$AO$4:$AR$55,4,FALSE))</f>
        <v>0</v>
      </c>
      <c r="H14" s="4">
        <f>(VLOOKUP('19.07'!P14,'19.07'!$AO$4:$AR$55,4,FALSE))</f>
        <v>0</v>
      </c>
      <c r="I14" s="4">
        <f>(VLOOKUP('19.07'!Q14,'19.07'!$AO$4:$AR$55,4,FALSE))</f>
        <v>34</v>
      </c>
      <c r="J14" s="4">
        <f>(VLOOKUP('19.07'!R14,'19.07'!$AO$4:$AR$55,4,FALSE))</f>
        <v>34</v>
      </c>
      <c r="K14" s="4">
        <f>(VLOOKUP('19.07'!S14,'19.07'!$AO$4:$AR$55,4,FALSE))</f>
        <v>0</v>
      </c>
      <c r="L14" s="4">
        <f>(VLOOKUP('19.07'!T14,'19.07'!$AO$4:$AR$55,4,FALSE))</f>
        <v>34</v>
      </c>
      <c r="M14" s="4">
        <f>(VLOOKUP('19.07'!U14,'19.07'!$AO$4:$AR$55,4,FALSE))</f>
        <v>34</v>
      </c>
      <c r="N14" s="4">
        <f>(VLOOKUP('19.07'!V14,'19.07'!$AO$4:$AR$55,4,FALSE))</f>
        <v>34</v>
      </c>
      <c r="O14" s="4">
        <f>(VLOOKUP('19.07'!W14,'19.07'!$AO$4:$AR$55,4,FALSE))</f>
        <v>0</v>
      </c>
      <c r="P14" s="4">
        <f>(VLOOKUP('19.07'!X14,'19.07'!$AO$4:$AR$55,4,FALSE))</f>
        <v>0</v>
      </c>
      <c r="Q14" s="4">
        <f>(VLOOKUP('19.07'!Y14,'19.07'!$AO$4:$AR$55,4,FALSE))</f>
        <v>36</v>
      </c>
      <c r="R14" s="4">
        <f>(VLOOKUP('19.07'!Z14,'19.07'!$AO$4:$AR$55,4,FALSE))</f>
        <v>34</v>
      </c>
      <c r="S14" s="4">
        <f>(VLOOKUP('19.07'!AA14,'19.07'!$AO$4:$AR$55,4,FALSE))</f>
        <v>13.9998549331786</v>
      </c>
      <c r="T14" s="4">
        <f>(VLOOKUP('19.07'!AB14,'19.07'!$AO$4:$AR$55,4,FALSE))</f>
        <v>34</v>
      </c>
      <c r="U14" s="4">
        <f>(VLOOKUP('19.07'!AC14,'19.07'!$AO$4:$AR$55,4,FALSE))</f>
        <v>10</v>
      </c>
      <c r="V14" s="4">
        <f>(VLOOKUP('19.07'!AD14,'19.07'!$AO$4:$AR$55,4,FALSE))</f>
        <v>34</v>
      </c>
      <c r="W14" s="4">
        <f>(VLOOKUP('19.07'!AE14,'19.07'!$AO$4:$AR$55,4,FALSE))</f>
        <v>0</v>
      </c>
      <c r="X14" s="4">
        <f>(VLOOKUP('19.07'!AF14,'19.07'!$AO$4:$AR$55,4,FALSE))</f>
        <v>0</v>
      </c>
    </row>
    <row r="15" spans="1:24">
      <c r="A15" s="4">
        <f>(VLOOKUP('19.07'!I15,'19.07'!$AO$4:$AR$55,4,FALSE))</f>
        <v>0</v>
      </c>
      <c r="B15" s="4">
        <f>(VLOOKUP('19.07'!J15,'19.07'!$AO$4:$AR$55,4,FALSE))</f>
        <v>0</v>
      </c>
      <c r="C15" s="4">
        <f>(VLOOKUP('19.07'!K15,'19.07'!$AO$4:$AR$55,4,FALSE))</f>
        <v>0</v>
      </c>
      <c r="D15" s="4">
        <f>(VLOOKUP('19.07'!L15,'19.07'!$AO$4:$AR$55,4,FALSE))</f>
        <v>0</v>
      </c>
      <c r="E15" s="4">
        <f>(VLOOKUP('19.07'!M15,'19.07'!$AO$4:$AR$55,4,FALSE))</f>
        <v>0</v>
      </c>
      <c r="F15" s="4">
        <f>(VLOOKUP('19.07'!N15,'19.07'!$AO$4:$AR$55,4,FALSE))</f>
        <v>0</v>
      </c>
      <c r="G15" s="4">
        <f>(VLOOKUP('19.07'!O15,'19.07'!$AO$4:$AR$55,4,FALSE))</f>
        <v>0</v>
      </c>
      <c r="H15" s="4">
        <f>(VLOOKUP('19.07'!P15,'19.07'!$AO$4:$AR$55,4,FALSE))</f>
        <v>0</v>
      </c>
      <c r="I15" s="4">
        <f>(VLOOKUP('19.07'!Q15,'19.07'!$AO$4:$AR$55,4,FALSE))</f>
        <v>34</v>
      </c>
      <c r="J15" s="4">
        <f>(VLOOKUP('19.07'!R15,'19.07'!$AO$4:$AR$55,4,FALSE))</f>
        <v>34</v>
      </c>
      <c r="K15" s="4">
        <f>(VLOOKUP('19.07'!S15,'19.07'!$AO$4:$AR$55,4,FALSE))</f>
        <v>34</v>
      </c>
      <c r="L15" s="4">
        <f>(VLOOKUP('19.07'!T15,'19.07'!$AO$4:$AR$55,4,FALSE))</f>
        <v>34</v>
      </c>
      <c r="M15" s="4">
        <f>(VLOOKUP('19.07'!U15,'19.07'!$AO$4:$AR$55,4,FALSE))</f>
        <v>38</v>
      </c>
      <c r="N15" s="4">
        <f>(VLOOKUP('19.07'!V15,'19.07'!$AO$4:$AR$55,4,FALSE))</f>
        <v>38</v>
      </c>
      <c r="O15" s="4">
        <f>(VLOOKUP('19.07'!W15,'19.07'!$AO$4:$AR$55,4,FALSE))</f>
        <v>0</v>
      </c>
      <c r="P15" s="4">
        <f>(VLOOKUP('19.07'!X15,'19.07'!$AO$4:$AR$55,4,FALSE))</f>
        <v>0</v>
      </c>
      <c r="Q15" s="4">
        <f>(VLOOKUP('19.07'!Y15,'19.07'!$AO$4:$AR$55,4,FALSE))</f>
        <v>34</v>
      </c>
      <c r="R15" s="4">
        <f>(VLOOKUP('19.07'!Z15,'19.07'!$AO$4:$AR$55,4,FALSE))</f>
        <v>34</v>
      </c>
      <c r="S15" s="4">
        <f>(VLOOKUP('19.07'!AA15,'19.07'!$AO$4:$AR$55,4,FALSE))</f>
        <v>0</v>
      </c>
      <c r="T15" s="4">
        <f>(VLOOKUP('19.07'!AB15,'19.07'!$AO$4:$AR$55,4,FALSE))</f>
        <v>0</v>
      </c>
      <c r="U15" s="4">
        <f>(VLOOKUP('19.07'!AC15,'19.07'!$AO$4:$AR$55,4,FALSE))</f>
        <v>0</v>
      </c>
      <c r="V15" s="4">
        <f>(VLOOKUP('19.07'!AD15,'19.07'!$AO$4:$AR$55,4,FALSE))</f>
        <v>0</v>
      </c>
      <c r="W15" s="4">
        <f>(VLOOKUP('19.07'!AE15,'19.07'!$AO$4:$AR$55,4,FALSE))</f>
        <v>0</v>
      </c>
      <c r="X15" s="4">
        <f>(VLOOKUP('19.07'!AF15,'19.07'!$AO$4:$AR$55,4,FALSE))</f>
        <v>0</v>
      </c>
    </row>
    <row r="16" spans="1:24">
      <c r="A16" s="4">
        <f>(VLOOKUP('19.07'!I16,'19.07'!$AO$4:$AR$55,4,FALSE))</f>
        <v>0</v>
      </c>
      <c r="B16" s="4">
        <f>(VLOOKUP('19.07'!J16,'19.07'!$AO$4:$AR$55,4,FALSE))</f>
        <v>0</v>
      </c>
      <c r="C16" s="4">
        <f>(VLOOKUP('19.07'!K16,'19.07'!$AO$4:$AR$55,4,FALSE))</f>
        <v>0</v>
      </c>
      <c r="D16" s="4">
        <f>(VLOOKUP('19.07'!L16,'19.07'!$AO$4:$AR$55,4,FALSE))</f>
        <v>0</v>
      </c>
      <c r="E16" s="4">
        <f>(VLOOKUP('19.07'!M16,'19.07'!$AO$4:$AR$55,4,FALSE))</f>
        <v>0</v>
      </c>
      <c r="F16" s="4">
        <f>(VLOOKUP('19.07'!N16,'19.07'!$AO$4:$AR$55,4,FALSE))</f>
        <v>0</v>
      </c>
      <c r="G16" s="4">
        <f>(VLOOKUP('19.07'!O16,'19.07'!$AO$4:$AR$55,4,FALSE))</f>
        <v>0</v>
      </c>
      <c r="H16" s="4">
        <f>(VLOOKUP('19.07'!P16,'19.07'!$AO$4:$AR$55,4,FALSE))</f>
        <v>0</v>
      </c>
      <c r="I16" s="4">
        <f>(VLOOKUP('19.07'!Q16,'19.07'!$AO$4:$AR$55,4,FALSE))</f>
        <v>34</v>
      </c>
      <c r="J16" s="4">
        <f>(VLOOKUP('19.07'!R16,'19.07'!$AO$4:$AR$55,4,FALSE))</f>
        <v>34</v>
      </c>
      <c r="K16" s="4">
        <f>(VLOOKUP('19.07'!S16,'19.07'!$AO$4:$AR$55,4,FALSE))</f>
        <v>34</v>
      </c>
      <c r="L16" s="4">
        <f>(VLOOKUP('19.07'!T16,'19.07'!$AO$4:$AR$55,4,FALSE))</f>
        <v>34</v>
      </c>
      <c r="M16" s="4">
        <f>(VLOOKUP('19.07'!U16,'19.07'!$AO$4:$AR$55,4,FALSE))</f>
        <v>38</v>
      </c>
      <c r="N16" s="4">
        <f>(VLOOKUP('19.07'!V16,'19.07'!$AO$4:$AR$55,4,FALSE))</f>
        <v>38</v>
      </c>
      <c r="O16" s="4">
        <f>(VLOOKUP('19.07'!W16,'19.07'!$AO$4:$AR$55,4,FALSE))</f>
        <v>0</v>
      </c>
      <c r="P16" s="4">
        <f>(VLOOKUP('19.07'!X16,'19.07'!$AO$4:$AR$55,4,FALSE))</f>
        <v>0</v>
      </c>
      <c r="Q16" s="4">
        <f>(VLOOKUP('19.07'!Y16,'19.07'!$AO$4:$AR$55,4,FALSE))</f>
        <v>34</v>
      </c>
      <c r="R16" s="4">
        <f>(VLOOKUP('19.07'!Z16,'19.07'!$AO$4:$AR$55,4,FALSE))</f>
        <v>34</v>
      </c>
      <c r="S16" s="4">
        <f>(VLOOKUP('19.07'!AA16,'19.07'!$AO$4:$AR$55,4,FALSE))</f>
        <v>34</v>
      </c>
      <c r="T16" s="4">
        <f>(VLOOKUP('19.07'!AB16,'19.07'!$AO$4:$AR$55,4,FALSE))</f>
        <v>34</v>
      </c>
      <c r="U16" s="4">
        <f>(VLOOKUP('19.07'!AC16,'19.07'!$AO$4:$AR$55,4,FALSE))</f>
        <v>34</v>
      </c>
      <c r="V16" s="4">
        <f>(VLOOKUP('19.07'!AD16,'19.07'!$AO$4:$AR$55,4,FALSE))</f>
        <v>34</v>
      </c>
      <c r="W16" s="4">
        <f>(VLOOKUP('19.07'!AE16,'19.07'!$AO$4:$AR$55,4,FALSE))</f>
        <v>10</v>
      </c>
      <c r="X16" s="4">
        <f>(VLOOKUP('19.07'!AF16,'19.07'!$AO$4:$AR$55,4,FALSE))</f>
        <v>0</v>
      </c>
    </row>
    <row r="17" spans="1:24">
      <c r="A17" s="4">
        <f>(VLOOKUP('19.07'!I17,'19.07'!$AO$4:$AR$55,4,FALSE))</f>
        <v>0</v>
      </c>
      <c r="B17" s="4">
        <f>(VLOOKUP('19.07'!J17,'19.07'!$AO$4:$AR$55,4,FALSE))</f>
        <v>0</v>
      </c>
      <c r="C17" s="4">
        <f>(VLOOKUP('19.07'!K17,'19.07'!$AO$4:$AR$55,4,FALSE))</f>
        <v>0</v>
      </c>
      <c r="D17" s="4">
        <f>(VLOOKUP('19.07'!L17,'19.07'!$AO$4:$AR$55,4,FALSE))</f>
        <v>0</v>
      </c>
      <c r="E17" s="4">
        <f>(VLOOKUP('19.07'!M17,'19.07'!$AO$4:$AR$55,4,FALSE))</f>
        <v>0</v>
      </c>
      <c r="F17" s="4">
        <f>(VLOOKUP('19.07'!N17,'19.07'!$AO$4:$AR$55,4,FALSE))</f>
        <v>0</v>
      </c>
      <c r="G17" s="4">
        <f>(VLOOKUP('19.07'!O17,'19.07'!$AO$4:$AR$55,4,FALSE))</f>
        <v>0</v>
      </c>
      <c r="H17" s="4">
        <f>(VLOOKUP('19.07'!P17,'19.07'!$AO$4:$AR$55,4,FALSE))</f>
        <v>0</v>
      </c>
      <c r="I17" s="4">
        <f>(VLOOKUP('19.07'!Q17,'19.07'!$AO$4:$AR$55,4,FALSE))</f>
        <v>0</v>
      </c>
      <c r="J17" s="4">
        <f>(VLOOKUP('19.07'!R17,'19.07'!$AO$4:$AR$55,4,FALSE))</f>
        <v>0</v>
      </c>
      <c r="K17" s="4">
        <f>(VLOOKUP('19.07'!S17,'19.07'!$AO$4:$AR$55,4,FALSE))</f>
        <v>0</v>
      </c>
      <c r="L17" s="4">
        <f>(VLOOKUP('19.07'!T17,'19.07'!$AO$4:$AR$55,4,FALSE))</f>
        <v>0</v>
      </c>
      <c r="M17" s="4">
        <f>(VLOOKUP('19.07'!U17,'19.07'!$AO$4:$AR$55,4,FALSE))</f>
        <v>0</v>
      </c>
      <c r="N17" s="4">
        <f>(VLOOKUP('19.07'!V17,'19.07'!$AO$4:$AR$55,4,FALSE))</f>
        <v>0</v>
      </c>
      <c r="O17" s="4">
        <f>(VLOOKUP('19.07'!W17,'19.07'!$AO$4:$AR$55,4,FALSE))</f>
        <v>0</v>
      </c>
      <c r="P17" s="4">
        <f>(VLOOKUP('19.07'!X17,'19.07'!$AO$4:$AR$55,4,FALSE))</f>
        <v>0</v>
      </c>
      <c r="Q17" s="4">
        <f>(VLOOKUP('19.07'!Y17,'19.07'!$AO$4:$AR$55,4,FALSE))</f>
        <v>34</v>
      </c>
      <c r="R17" s="4">
        <f>(VLOOKUP('19.07'!Z17,'19.07'!$AO$4:$AR$55,4,FALSE))</f>
        <v>34</v>
      </c>
      <c r="S17" s="4">
        <f>(VLOOKUP('19.07'!AA17,'19.07'!$AO$4:$AR$55,4,FALSE))</f>
        <v>34</v>
      </c>
      <c r="T17" s="4">
        <f>(VLOOKUP('19.07'!AB17,'19.07'!$AO$4:$AR$55,4,FALSE))</f>
        <v>34</v>
      </c>
      <c r="U17" s="4">
        <f>(VLOOKUP('19.07'!AC17,'19.07'!$AO$4:$AR$55,4,FALSE))</f>
        <v>0</v>
      </c>
      <c r="V17" s="4">
        <f>(VLOOKUP('19.07'!AD17,'19.07'!$AO$4:$AR$55,4,FALSE))</f>
        <v>0</v>
      </c>
      <c r="W17" s="4">
        <f>(VLOOKUP('19.07'!AE17,'19.07'!$AO$4:$AR$55,4,FALSE))</f>
        <v>0</v>
      </c>
      <c r="X17" s="4">
        <f>(VLOOKUP('19.07'!AF17,'19.07'!$AO$4:$AR$55,4,FALSE))</f>
        <v>0</v>
      </c>
    </row>
    <row r="18" spans="1:24">
      <c r="A18" s="4">
        <f>(VLOOKUP('19.07'!I18,'19.07'!$AO$4:$AR$55,4,FALSE))</f>
        <v>0</v>
      </c>
      <c r="B18" s="4">
        <f>(VLOOKUP('19.07'!J18,'19.07'!$AO$4:$AR$55,4,FALSE))</f>
        <v>0</v>
      </c>
      <c r="C18" s="4">
        <f>(VLOOKUP('19.07'!K18,'19.07'!$AO$4:$AR$55,4,FALSE))</f>
        <v>0</v>
      </c>
      <c r="D18" s="4">
        <f>(VLOOKUP('19.07'!L18,'19.07'!$AO$4:$AR$55,4,FALSE))</f>
        <v>0</v>
      </c>
      <c r="E18" s="4">
        <f>(VLOOKUP('19.07'!M18,'19.07'!$AO$4:$AR$55,4,FALSE))</f>
        <v>0</v>
      </c>
      <c r="F18" s="4">
        <f>(VLOOKUP('19.07'!N18,'19.07'!$AO$4:$AR$55,4,FALSE))</f>
        <v>0</v>
      </c>
      <c r="G18" s="4">
        <f>(VLOOKUP('19.07'!O18,'19.07'!$AO$4:$AR$55,4,FALSE))</f>
        <v>0</v>
      </c>
      <c r="H18" s="4">
        <f>(VLOOKUP('19.07'!P18,'19.07'!$AO$4:$AR$55,4,FALSE))</f>
        <v>0</v>
      </c>
      <c r="I18" s="4">
        <f>(VLOOKUP('19.07'!Q18,'19.07'!$AO$4:$AR$55,4,FALSE))</f>
        <v>38</v>
      </c>
      <c r="J18" s="4">
        <f>(VLOOKUP('19.07'!R18,'19.07'!$AO$4:$AR$55,4,FALSE))</f>
        <v>44.222109392472198</v>
      </c>
      <c r="K18" s="4">
        <f>(VLOOKUP('19.07'!S18,'19.07'!$AO$4:$AR$55,4,FALSE))</f>
        <v>38</v>
      </c>
      <c r="L18" s="4">
        <f>(VLOOKUP('19.07'!T18,'19.07'!$AO$4:$AR$55,4,FALSE))</f>
        <v>38</v>
      </c>
      <c r="M18" s="4">
        <f>(VLOOKUP('19.07'!U18,'19.07'!$AO$4:$AR$55,4,FALSE))</f>
        <v>38</v>
      </c>
      <c r="N18" s="4">
        <f>(VLOOKUP('19.07'!V18,'19.07'!$AO$4:$AR$55,4,FALSE))</f>
        <v>38</v>
      </c>
      <c r="O18" s="4">
        <f>(VLOOKUP('19.07'!W18,'19.07'!$AO$4:$AR$55,4,FALSE))</f>
        <v>0</v>
      </c>
      <c r="P18" s="4">
        <f>(VLOOKUP('19.07'!X18,'19.07'!$AO$4:$AR$55,4,FALSE))</f>
        <v>0</v>
      </c>
      <c r="Q18" s="4">
        <f>(VLOOKUP('19.07'!Y18,'19.07'!$AO$4:$AR$55,4,FALSE))</f>
        <v>34</v>
      </c>
      <c r="R18" s="4">
        <f>(VLOOKUP('19.07'!Z18,'19.07'!$AO$4:$AR$55,4,FALSE))</f>
        <v>36</v>
      </c>
      <c r="S18" s="4">
        <f>(VLOOKUP('19.07'!AA18,'19.07'!$AO$4:$AR$55,4,FALSE))</f>
        <v>36</v>
      </c>
      <c r="T18" s="4">
        <f>(VLOOKUP('19.07'!AB18,'19.07'!$AO$4:$AR$55,4,FALSE))</f>
        <v>36</v>
      </c>
      <c r="U18" s="4">
        <f>(VLOOKUP('19.07'!AC18,'19.07'!$AO$4:$AR$55,4,FALSE))</f>
        <v>10</v>
      </c>
      <c r="V18" s="4">
        <f>(VLOOKUP('19.07'!AD18,'19.07'!$AO$4:$AR$55,4,FALSE))</f>
        <v>36</v>
      </c>
      <c r="W18" s="4">
        <f>(VLOOKUP('19.07'!AE18,'19.07'!$AO$4:$AR$55,4,FALSE))</f>
        <v>44.222109392472198</v>
      </c>
      <c r="X18" s="4">
        <f>(VLOOKUP('19.07'!AF18,'19.07'!$AO$4:$AR$55,4,FALSE))</f>
        <v>36</v>
      </c>
    </row>
    <row r="19" spans="1:24">
      <c r="A19" s="4">
        <f>(VLOOKUP('19.07'!I19,'19.07'!$AO$4:$AR$55,4,FALSE))</f>
        <v>0</v>
      </c>
      <c r="B19" s="4">
        <f>(VLOOKUP('19.07'!J19,'19.07'!$AO$4:$AR$55,4,FALSE))</f>
        <v>0</v>
      </c>
      <c r="C19" s="4">
        <f>(VLOOKUP('19.07'!K19,'19.07'!$AO$4:$AR$55,4,FALSE))</f>
        <v>0</v>
      </c>
      <c r="D19" s="4">
        <f>(VLOOKUP('19.07'!L19,'19.07'!$AO$4:$AR$55,4,FALSE))</f>
        <v>0</v>
      </c>
      <c r="E19" s="4">
        <f>(VLOOKUP('19.07'!M19,'19.07'!$AO$4:$AR$55,4,FALSE))</f>
        <v>0</v>
      </c>
      <c r="F19" s="4">
        <f>(VLOOKUP('19.07'!N19,'19.07'!$AO$4:$AR$55,4,FALSE))</f>
        <v>0</v>
      </c>
      <c r="G19" s="4">
        <f>(VLOOKUP('19.07'!O19,'19.07'!$AO$4:$AR$55,4,FALSE))</f>
        <v>0</v>
      </c>
      <c r="H19" s="4">
        <f>(VLOOKUP('19.07'!P19,'19.07'!$AO$4:$AR$55,4,FALSE))</f>
        <v>0</v>
      </c>
      <c r="I19" s="4">
        <f>(VLOOKUP('19.07'!Q19,'19.07'!$AO$4:$AR$55,4,FALSE))</f>
        <v>38</v>
      </c>
      <c r="J19" s="4">
        <f>(VLOOKUP('19.07'!R19,'19.07'!$AO$4:$AR$55,4,FALSE))</f>
        <v>38</v>
      </c>
      <c r="K19" s="4">
        <f>(VLOOKUP('19.07'!S19,'19.07'!$AO$4:$AR$55,4,FALSE))</f>
        <v>10</v>
      </c>
      <c r="L19" s="4">
        <f>(VLOOKUP('19.07'!T19,'19.07'!$AO$4:$AR$55,4,FALSE))</f>
        <v>38</v>
      </c>
      <c r="M19" s="4">
        <f>(VLOOKUP('19.07'!U19,'19.07'!$AO$4:$AR$55,4,FALSE))</f>
        <v>38</v>
      </c>
      <c r="N19" s="4">
        <f>(VLOOKUP('19.07'!V19,'19.07'!$AO$4:$AR$55,4,FALSE))</f>
        <v>38</v>
      </c>
      <c r="O19" s="4">
        <f>(VLOOKUP('19.07'!W19,'19.07'!$AO$4:$AR$55,4,FALSE))</f>
        <v>38</v>
      </c>
      <c r="P19" s="4">
        <f>(VLOOKUP('19.07'!X19,'19.07'!$AO$4:$AR$55,4,FALSE))</f>
        <v>0</v>
      </c>
      <c r="Q19" s="4">
        <f>(VLOOKUP('19.07'!Y19,'19.07'!$AO$4:$AR$55,4,FALSE))</f>
        <v>36</v>
      </c>
      <c r="R19" s="4">
        <f>(VLOOKUP('19.07'!Z19,'19.07'!$AO$4:$AR$55,4,FALSE))</f>
        <v>10</v>
      </c>
      <c r="S19" s="4">
        <f>(VLOOKUP('19.07'!AA19,'19.07'!$AO$4:$AR$55,4,FALSE))</f>
        <v>38</v>
      </c>
      <c r="T19" s="4">
        <f>(VLOOKUP('19.07'!AB19,'19.07'!$AO$4:$AR$55,4,FALSE))</f>
        <v>38</v>
      </c>
      <c r="U19" s="4">
        <f>(VLOOKUP('19.07'!AC19,'19.07'!$AO$4:$AR$55,4,FALSE))</f>
        <v>38</v>
      </c>
      <c r="V19" s="4">
        <f>(VLOOKUP('19.07'!AD19,'19.07'!$AO$4:$AR$55,4,FALSE))</f>
        <v>38</v>
      </c>
      <c r="W19" s="4">
        <f>(VLOOKUP('19.07'!AE19,'19.07'!$AO$4:$AR$55,4,FALSE))</f>
        <v>38</v>
      </c>
      <c r="X19" s="4">
        <f>(VLOOKUP('19.07'!AF19,'19.07'!$AO$4:$AR$55,4,FALSE))</f>
        <v>38</v>
      </c>
    </row>
    <row r="20" spans="1:24">
      <c r="A20" s="4">
        <f>(VLOOKUP('19.07'!I20,'19.07'!$AO$4:$AR$55,4,FALSE))</f>
        <v>44.222109392472198</v>
      </c>
      <c r="B20" s="4">
        <f>(VLOOKUP('19.07'!J20,'19.07'!$AO$4:$AR$55,4,FALSE))</f>
        <v>10</v>
      </c>
      <c r="C20" s="4">
        <f>(VLOOKUP('19.07'!K20,'19.07'!$AO$4:$AR$55,4,FALSE))</f>
        <v>44.222109392472198</v>
      </c>
      <c r="D20" s="4">
        <f>(VLOOKUP('19.07'!L20,'19.07'!$AO$4:$AR$55,4,FALSE))</f>
        <v>44.222109392472198</v>
      </c>
      <c r="E20" s="4">
        <f>(VLOOKUP('19.07'!M20,'19.07'!$AO$4:$AR$55,4,FALSE))</f>
        <v>44.222109392472198</v>
      </c>
      <c r="F20" s="4">
        <f>(VLOOKUP('19.07'!N20,'19.07'!$AO$4:$AR$55,4,FALSE))</f>
        <v>44.222109392472198</v>
      </c>
      <c r="G20" s="4">
        <f>(VLOOKUP('19.07'!O20,'19.07'!$AO$4:$AR$55,4,FALSE))</f>
        <v>0</v>
      </c>
      <c r="H20" s="4">
        <f>(VLOOKUP('19.07'!P20,'19.07'!$AO$4:$AR$55,4,FALSE))</f>
        <v>0</v>
      </c>
      <c r="I20" s="4">
        <f>(VLOOKUP('19.07'!Q20,'19.07'!$AO$4:$AR$55,4,FALSE))</f>
        <v>38</v>
      </c>
      <c r="J20" s="4">
        <f>(VLOOKUP('19.07'!R20,'19.07'!$AO$4:$AR$55,4,FALSE))</f>
        <v>38</v>
      </c>
      <c r="K20" s="4">
        <f>(VLOOKUP('19.07'!S20,'19.07'!$AO$4:$AR$55,4,FALSE))</f>
        <v>38</v>
      </c>
      <c r="L20" s="4">
        <f>(VLOOKUP('19.07'!T20,'19.07'!$AO$4:$AR$55,4,FALSE))</f>
        <v>0</v>
      </c>
      <c r="M20" s="4">
        <f>(VLOOKUP('19.07'!U20,'19.07'!$AO$4:$AR$55,4,FALSE))</f>
        <v>0</v>
      </c>
      <c r="N20" s="4">
        <f>(VLOOKUP('19.07'!V20,'19.07'!$AO$4:$AR$55,4,FALSE))</f>
        <v>0</v>
      </c>
      <c r="O20" s="4">
        <f>(VLOOKUP('19.07'!W20,'19.07'!$AO$4:$AR$55,4,FALSE))</f>
        <v>0</v>
      </c>
      <c r="P20" s="4">
        <f>(VLOOKUP('19.07'!X20,'19.07'!$AO$4:$AR$55,4,FALSE))</f>
        <v>0</v>
      </c>
      <c r="Q20" s="4">
        <f>(VLOOKUP('19.07'!Y20,'19.07'!$AO$4:$AR$55,4,FALSE))</f>
        <v>38</v>
      </c>
      <c r="R20" s="4">
        <f>(VLOOKUP('19.07'!Z20,'19.07'!$AO$4:$AR$55,4,FALSE))</f>
        <v>38</v>
      </c>
      <c r="S20" s="4">
        <f>(VLOOKUP('19.07'!AA20,'19.07'!$AO$4:$AR$55,4,FALSE))</f>
        <v>36</v>
      </c>
      <c r="T20" s="4">
        <f>(VLOOKUP('19.07'!AB20,'19.07'!$AO$4:$AR$55,4,FALSE))</f>
        <v>36</v>
      </c>
      <c r="U20" s="4">
        <f>(VLOOKUP('19.07'!AC20,'19.07'!$AO$4:$AR$55,4,FALSE))</f>
        <v>10</v>
      </c>
      <c r="V20" s="4">
        <f>(VLOOKUP('19.07'!AD20,'19.07'!$AO$4:$AR$55,4,FALSE))</f>
        <v>38</v>
      </c>
      <c r="W20" s="4">
        <f>(VLOOKUP('19.07'!AE20,'19.07'!$AO$4:$AR$55,4,FALSE))</f>
        <v>38</v>
      </c>
      <c r="X20" s="4">
        <f>(VLOOKUP('19.07'!AF20,'19.07'!$AO$4:$AR$55,4,FALSE))</f>
        <v>38</v>
      </c>
    </row>
    <row r="21" spans="1:24">
      <c r="A21" s="4">
        <f>(VLOOKUP('19.07'!I21,'19.07'!$AO$4:$AR$55,4,FALSE))</f>
        <v>10</v>
      </c>
      <c r="B21" s="4">
        <f>(VLOOKUP('19.07'!J21,'19.07'!$AO$4:$AR$55,4,FALSE))</f>
        <v>44.222109392472198</v>
      </c>
      <c r="C21" s="4">
        <f>(VLOOKUP('19.07'!K21,'19.07'!$AO$4:$AR$55,4,FALSE))</f>
        <v>44.222109392472198</v>
      </c>
      <c r="D21" s="4">
        <f>(VLOOKUP('19.07'!L21,'19.07'!$AO$4:$AR$55,4,FALSE))</f>
        <v>10</v>
      </c>
      <c r="E21" s="4">
        <f>(VLOOKUP('19.07'!M21,'19.07'!$AO$4:$AR$55,4,FALSE))</f>
        <v>44.222109392472198</v>
      </c>
      <c r="F21" s="4">
        <f>(VLOOKUP('19.07'!N21,'19.07'!$AO$4:$AR$55,4,FALSE))</f>
        <v>10</v>
      </c>
      <c r="G21" s="4">
        <f>(VLOOKUP('19.07'!O21,'19.07'!$AO$4:$AR$55,4,FALSE))</f>
        <v>0</v>
      </c>
      <c r="H21" s="4">
        <f>(VLOOKUP('19.07'!P21,'19.07'!$AO$4:$AR$55,4,FALSE))</f>
        <v>0</v>
      </c>
      <c r="I21" s="4">
        <f>(VLOOKUP('19.07'!Q21,'19.07'!$AO$4:$AR$55,4,FALSE))</f>
        <v>10</v>
      </c>
      <c r="J21" s="4">
        <f>(VLOOKUP('19.07'!R21,'19.07'!$AO$4:$AR$55,4,FALSE))</f>
        <v>0</v>
      </c>
      <c r="K21" s="4">
        <f>(VLOOKUP('19.07'!S21,'19.07'!$AO$4:$AR$55,4,FALSE))</f>
        <v>0</v>
      </c>
      <c r="L21" s="4">
        <f>(VLOOKUP('19.07'!T21,'19.07'!$AO$4:$AR$55,4,FALSE))</f>
        <v>0</v>
      </c>
      <c r="M21" s="4">
        <f>(VLOOKUP('19.07'!U21,'19.07'!$AO$4:$AR$55,4,FALSE))</f>
        <v>0</v>
      </c>
      <c r="N21" s="4">
        <f>(VLOOKUP('19.07'!V21,'19.07'!$AO$4:$AR$55,4,FALSE))</f>
        <v>0</v>
      </c>
      <c r="O21" s="4">
        <f>(VLOOKUP('19.07'!W21,'19.07'!$AO$4:$AR$55,4,FALSE))</f>
        <v>0</v>
      </c>
      <c r="P21" s="4">
        <f>(VLOOKUP('19.07'!X21,'19.07'!$AO$4:$AR$55,4,FALSE))</f>
        <v>0</v>
      </c>
      <c r="Q21" s="4">
        <f>(VLOOKUP('19.07'!Y21,'19.07'!$AO$4:$AR$55,4,FALSE))</f>
        <v>10</v>
      </c>
      <c r="R21" s="4">
        <f>(VLOOKUP('19.07'!Z21,'19.07'!$AO$4:$AR$55,4,FALSE))</f>
        <v>38</v>
      </c>
      <c r="S21" s="4">
        <f>(VLOOKUP('19.07'!AA21,'19.07'!$AO$4:$AR$55,4,FALSE))</f>
        <v>38</v>
      </c>
      <c r="T21" s="4">
        <f>(VLOOKUP('19.07'!AB21,'19.07'!$AO$4:$AR$55,4,FALSE))</f>
        <v>38</v>
      </c>
      <c r="U21" s="4">
        <f>(VLOOKUP('19.07'!AC21,'19.07'!$AO$4:$AR$55,4,FALSE))</f>
        <v>36</v>
      </c>
      <c r="V21" s="4">
        <f>(VLOOKUP('19.07'!AD21,'19.07'!$AO$4:$AR$55,4,FALSE))</f>
        <v>36</v>
      </c>
      <c r="W21" s="4">
        <f>(VLOOKUP('19.07'!AE21,'19.07'!$AO$4:$AR$55,4,FALSE))</f>
        <v>36</v>
      </c>
      <c r="X21" s="4">
        <f>(VLOOKUP('19.07'!AF21,'19.07'!$AO$4:$AR$55,4,FALSE))</f>
        <v>0</v>
      </c>
    </row>
    <row r="22" spans="1:24">
      <c r="A22" s="4">
        <f>(VLOOKUP('19.07'!I22,'19.07'!$AO$4:$AR$55,4,FALSE))</f>
        <v>0</v>
      </c>
      <c r="B22" s="4">
        <f>(VLOOKUP('19.07'!J22,'19.07'!$AO$4:$AR$55,4,FALSE))</f>
        <v>0</v>
      </c>
      <c r="C22" s="4">
        <f>(VLOOKUP('19.07'!K22,'19.07'!$AO$4:$AR$55,4,FALSE))</f>
        <v>0</v>
      </c>
      <c r="D22" s="4">
        <f>(VLOOKUP('19.07'!L22,'19.07'!$AO$4:$AR$55,4,FALSE))</f>
        <v>0</v>
      </c>
      <c r="E22" s="4">
        <f>(VLOOKUP('19.07'!M22,'19.07'!$AO$4:$AR$55,4,FALSE))</f>
        <v>0</v>
      </c>
      <c r="F22" s="4">
        <f>(VLOOKUP('19.07'!N22,'19.07'!$AO$4:$AR$55,4,FALSE))</f>
        <v>0</v>
      </c>
      <c r="G22" s="4">
        <f>(VLOOKUP('19.07'!O22,'19.07'!$AO$4:$AR$55,4,FALSE))</f>
        <v>0</v>
      </c>
      <c r="H22" s="4">
        <f>(VLOOKUP('19.07'!P22,'19.07'!$AO$4:$AR$55,4,FALSE))</f>
        <v>0</v>
      </c>
      <c r="I22" s="4">
        <f>(VLOOKUP('19.07'!Q22,'19.07'!$AO$4:$AR$55,4,FALSE))</f>
        <v>0</v>
      </c>
      <c r="J22" s="4">
        <f>(VLOOKUP('19.07'!R22,'19.07'!$AO$4:$AR$55,4,FALSE))</f>
        <v>0</v>
      </c>
      <c r="K22" s="4">
        <f>(VLOOKUP('19.07'!S22,'19.07'!$AO$4:$AR$55,4,FALSE))</f>
        <v>0</v>
      </c>
      <c r="L22" s="4">
        <f>(VLOOKUP('19.07'!T22,'19.07'!$AO$4:$AR$55,4,FALSE))</f>
        <v>0</v>
      </c>
      <c r="M22" s="4">
        <f>(VLOOKUP('19.07'!U22,'19.07'!$AO$4:$AR$55,4,FALSE))</f>
        <v>0</v>
      </c>
      <c r="N22" s="4">
        <f>(VLOOKUP('19.07'!V22,'19.07'!$AO$4:$AR$55,4,FALSE))</f>
        <v>0</v>
      </c>
      <c r="O22" s="4">
        <f>(VLOOKUP('19.07'!W22,'19.07'!$AO$4:$AR$55,4,FALSE))</f>
        <v>0</v>
      </c>
      <c r="P22" s="4">
        <f>(VLOOKUP('19.07'!X22,'19.07'!$AO$4:$AR$55,4,FALSE))</f>
        <v>0</v>
      </c>
      <c r="Q22" s="4">
        <f>(VLOOKUP('19.07'!Y22,'19.07'!$AO$4:$AR$55,4,FALSE))</f>
        <v>0</v>
      </c>
      <c r="R22" s="4">
        <f>(VLOOKUP('19.07'!Z22,'19.07'!$AO$4:$AR$55,4,FALSE))</f>
        <v>10</v>
      </c>
      <c r="S22" s="4">
        <f>(VLOOKUP('19.07'!AA22,'19.07'!$AO$4:$AR$55,4,FALSE))</f>
        <v>36</v>
      </c>
      <c r="T22" s="4">
        <f>(VLOOKUP('19.07'!AB22,'19.07'!$AO$4:$AR$55,4,FALSE))</f>
        <v>36</v>
      </c>
      <c r="U22" s="4">
        <f>(VLOOKUP('19.07'!AC22,'19.07'!$AO$4:$AR$55,4,FALSE))</f>
        <v>38</v>
      </c>
      <c r="V22" s="4">
        <f>(VLOOKUP('19.07'!AD22,'19.07'!$AO$4:$AR$55,4,FALSE))</f>
        <v>38</v>
      </c>
      <c r="W22" s="4">
        <f>(VLOOKUP('19.07'!AE22,'19.07'!$AO$4:$AR$55,4,FALSE))</f>
        <v>10</v>
      </c>
      <c r="X22" s="4">
        <f>(VLOOKUP('19.07'!AF22,'19.07'!$AO$4:$AR$55,4,FALSE))</f>
        <v>0</v>
      </c>
    </row>
    <row r="23" spans="1:24">
      <c r="A23" s="4">
        <f>(VLOOKUP('19.07'!I23,'19.07'!$AO$4:$AR$55,4,FALSE))</f>
        <v>0</v>
      </c>
      <c r="B23" s="4">
        <f>(VLOOKUP('19.07'!J23,'19.07'!$AO$4:$AR$55,4,FALSE))</f>
        <v>0</v>
      </c>
      <c r="C23" s="4">
        <f>(VLOOKUP('19.07'!K23,'19.07'!$AO$4:$AR$55,4,FALSE))</f>
        <v>0</v>
      </c>
      <c r="D23" s="4">
        <f>(VLOOKUP('19.07'!L23,'19.07'!$AO$4:$AR$55,4,FALSE))</f>
        <v>0</v>
      </c>
      <c r="E23" s="4">
        <f>(VLOOKUP('19.07'!M23,'19.07'!$AO$4:$AR$55,4,FALSE))</f>
        <v>0</v>
      </c>
      <c r="F23" s="4">
        <f>(VLOOKUP('19.07'!N23,'19.07'!$AO$4:$AR$55,4,FALSE))</f>
        <v>0</v>
      </c>
      <c r="G23" s="4">
        <f>(VLOOKUP('19.07'!O23,'19.07'!$AO$4:$AR$55,4,FALSE))</f>
        <v>0</v>
      </c>
      <c r="H23" s="4">
        <f>(VLOOKUP('19.07'!P23,'19.07'!$AO$4:$AR$55,4,FALSE))</f>
        <v>0</v>
      </c>
      <c r="I23" s="4">
        <f>(VLOOKUP('19.07'!Q23,'19.07'!$AO$4:$AR$55,4,FALSE))</f>
        <v>0</v>
      </c>
      <c r="J23" s="4">
        <f>(VLOOKUP('19.07'!R23,'19.07'!$AO$4:$AR$55,4,FALSE))</f>
        <v>0</v>
      </c>
      <c r="K23" s="4">
        <f>(VLOOKUP('19.07'!S23,'19.07'!$AO$4:$AR$55,4,FALSE))</f>
        <v>10</v>
      </c>
      <c r="L23" s="4">
        <f>(VLOOKUP('19.07'!T23,'19.07'!$AO$4:$AR$55,4,FALSE))</f>
        <v>0</v>
      </c>
      <c r="M23" s="4">
        <f>(VLOOKUP('19.07'!U23,'19.07'!$AO$4:$AR$55,4,FALSE))</f>
        <v>0</v>
      </c>
      <c r="N23" s="4">
        <f>(VLOOKUP('19.07'!V23,'19.07'!$AO$4:$AR$55,4,FALSE))</f>
        <v>0</v>
      </c>
      <c r="O23" s="4">
        <f>(VLOOKUP('19.07'!W23,'19.07'!$AO$4:$AR$55,4,FALSE))</f>
        <v>0</v>
      </c>
      <c r="P23" s="4">
        <f>(VLOOKUP('19.07'!X23,'19.07'!$AO$4:$AR$55,4,FALSE))</f>
        <v>0</v>
      </c>
      <c r="Q23" s="4">
        <f>(VLOOKUP('19.07'!Y23,'19.07'!$AO$4:$AR$55,4,FALSE))</f>
        <v>34</v>
      </c>
      <c r="R23" s="4">
        <f>(VLOOKUP('19.07'!Z23,'19.07'!$AO$4:$AR$55,4,FALSE))</f>
        <v>39.110982162825401</v>
      </c>
      <c r="S23" s="4">
        <f>(VLOOKUP('19.07'!AA23,'19.07'!$AO$4:$AR$55,4,FALSE))</f>
        <v>39.110982162825401</v>
      </c>
      <c r="T23" s="4">
        <f>(VLOOKUP('19.07'!AB23,'19.07'!$AO$4:$AR$55,4,FALSE))</f>
        <v>39.110982162825401</v>
      </c>
      <c r="U23" s="4">
        <f>(VLOOKUP('19.07'!AC23,'19.07'!$AO$4:$AR$55,4,FALSE))</f>
        <v>39.110982162825401</v>
      </c>
      <c r="V23" s="4">
        <f>(VLOOKUP('19.07'!AD23,'19.07'!$AO$4:$AR$55,4,FALSE))</f>
        <v>10</v>
      </c>
      <c r="W23" s="4">
        <f>(VLOOKUP('19.07'!AE23,'19.07'!$AO$4:$AR$55,4,FALSE))</f>
        <v>0</v>
      </c>
      <c r="X23" s="4">
        <f>(VLOOKUP('19.07'!AF23,'19.07'!$AO$4:$AR$55,4,FALSE))</f>
        <v>0</v>
      </c>
    </row>
    <row r="24" spans="1:24">
      <c r="A24" s="4">
        <f>(VLOOKUP('19.07'!I24,'19.07'!$AO$4:$AR$55,4,FALSE))</f>
        <v>39.110982162825401</v>
      </c>
      <c r="B24" s="4">
        <f>(VLOOKUP('19.07'!J24,'19.07'!$AO$4:$AR$55,4,FALSE))</f>
        <v>39.110982162825401</v>
      </c>
      <c r="C24" s="4">
        <f>(VLOOKUP('19.07'!K24,'19.07'!$AO$4:$AR$55,4,FALSE))</f>
        <v>10</v>
      </c>
      <c r="D24" s="4">
        <f>(VLOOKUP('19.07'!L24,'19.07'!$AO$4:$AR$55,4,FALSE))</f>
        <v>39.110982162825401</v>
      </c>
      <c r="E24" s="4">
        <f>(VLOOKUP('19.07'!M24,'19.07'!$AO$4:$AR$55,4,FALSE))</f>
        <v>39.110982162825401</v>
      </c>
      <c r="F24" s="4">
        <f>(VLOOKUP('19.07'!N24,'19.07'!$AO$4:$AR$55,4,FALSE))</f>
        <v>39.110982162825401</v>
      </c>
      <c r="G24" s="4">
        <f>(VLOOKUP('19.07'!O24,'19.07'!$AO$4:$AR$55,4,FALSE))</f>
        <v>0</v>
      </c>
      <c r="H24" s="4">
        <f>(VLOOKUP('19.07'!P24,'19.07'!$AO$4:$AR$55,4,FALSE))</f>
        <v>0</v>
      </c>
      <c r="I24" s="4">
        <f>(VLOOKUP('19.07'!Q24,'19.07'!$AO$4:$AR$55,4,FALSE))</f>
        <v>0</v>
      </c>
      <c r="J24" s="4">
        <f>(VLOOKUP('19.07'!R24,'19.07'!$AO$4:$AR$55,4,FALSE))</f>
        <v>0</v>
      </c>
      <c r="K24" s="4">
        <f>(VLOOKUP('19.07'!S24,'19.07'!$AO$4:$AR$55,4,FALSE))</f>
        <v>0</v>
      </c>
      <c r="L24" s="4">
        <f>(VLOOKUP('19.07'!T24,'19.07'!$AO$4:$AR$55,4,FALSE))</f>
        <v>0</v>
      </c>
      <c r="M24" s="4">
        <f>(VLOOKUP('19.07'!U24,'19.07'!$AO$4:$AR$55,4,FALSE))</f>
        <v>0</v>
      </c>
      <c r="N24" s="4">
        <f>(VLOOKUP('19.07'!V24,'19.07'!$AO$4:$AR$55,4,FALSE))</f>
        <v>0</v>
      </c>
      <c r="O24" s="4">
        <f>(VLOOKUP('19.07'!W24,'19.07'!$AO$4:$AR$55,4,FALSE))</f>
        <v>0</v>
      </c>
      <c r="P24" s="4">
        <f>(VLOOKUP('19.07'!X24,'19.07'!$AO$4:$AR$55,4,FALSE))</f>
        <v>0</v>
      </c>
      <c r="Q24" s="4">
        <f>(VLOOKUP('19.07'!Y24,'19.07'!$AO$4:$AR$55,4,FALSE))</f>
        <v>10</v>
      </c>
      <c r="R24" s="4">
        <f>(VLOOKUP('19.07'!Z24,'19.07'!$AO$4:$AR$55,4,FALSE))</f>
        <v>34</v>
      </c>
      <c r="S24" s="4">
        <f>(VLOOKUP('19.07'!AA24,'19.07'!$AO$4:$AR$55,4,FALSE))</f>
        <v>10</v>
      </c>
      <c r="T24" s="4">
        <f>(VLOOKUP('19.07'!AB24,'19.07'!$AO$4:$AR$55,4,FALSE))</f>
        <v>34</v>
      </c>
      <c r="U24" s="4">
        <f>(VLOOKUP('19.07'!AC24,'19.07'!$AO$4:$AR$55,4,FALSE))</f>
        <v>34</v>
      </c>
      <c r="V24" s="4">
        <f>(VLOOKUP('19.07'!AD24,'19.07'!$AO$4:$AR$55,4,FALSE))</f>
        <v>34</v>
      </c>
      <c r="W24" s="4">
        <f>(VLOOKUP('19.07'!AE24,'19.07'!$AO$4:$AR$55,4,FALSE))</f>
        <v>29.110982162825401</v>
      </c>
      <c r="X24" s="4">
        <f>(VLOOKUP('19.07'!AF24,'19.07'!$AO$4:$AR$55,4,FALSE))</f>
        <v>0</v>
      </c>
    </row>
    <row r="25" spans="1:24">
      <c r="A25" s="4">
        <f>(VLOOKUP('19.07'!I25,'19.07'!$AO$4:$AR$55,4,FALSE))</f>
        <v>39.110982162825401</v>
      </c>
      <c r="B25" s="4">
        <f>(VLOOKUP('19.07'!J25,'19.07'!$AO$4:$AR$55,4,FALSE))</f>
        <v>10</v>
      </c>
      <c r="C25" s="4">
        <f>(VLOOKUP('19.07'!K25,'19.07'!$AO$4:$AR$55,4,FALSE))</f>
        <v>39.110982162825401</v>
      </c>
      <c r="D25" s="4">
        <f>(VLOOKUP('19.07'!L25,'19.07'!$AO$4:$AR$55,4,FALSE))</f>
        <v>29.110982162825401</v>
      </c>
      <c r="E25" s="4">
        <f>(VLOOKUP('19.07'!M25,'19.07'!$AO$4:$AR$55,4,FALSE))</f>
        <v>39.110982162825401</v>
      </c>
      <c r="F25" s="4">
        <f>(VLOOKUP('19.07'!N25,'19.07'!$AO$4:$AR$55,4,FALSE))</f>
        <v>39.110982162825401</v>
      </c>
      <c r="G25" s="4">
        <f>(VLOOKUP('19.07'!O25,'19.07'!$AO$4:$AR$55,4,FALSE))</f>
        <v>0</v>
      </c>
      <c r="H25" s="4">
        <f>(VLOOKUP('19.07'!P25,'19.07'!$AO$4:$AR$55,4,FALSE))</f>
        <v>0</v>
      </c>
      <c r="I25" s="4">
        <f>(VLOOKUP('19.07'!Q25,'19.07'!$AO$4:$AR$55,4,FALSE))</f>
        <v>0</v>
      </c>
      <c r="J25" s="4">
        <f>(VLOOKUP('19.07'!R25,'19.07'!$AO$4:$AR$55,4,FALSE))</f>
        <v>0</v>
      </c>
      <c r="K25" s="4">
        <f>(VLOOKUP('19.07'!S25,'19.07'!$AO$4:$AR$55,4,FALSE))</f>
        <v>0</v>
      </c>
      <c r="L25" s="4">
        <f>(VLOOKUP('19.07'!T25,'19.07'!$AO$4:$AR$55,4,FALSE))</f>
        <v>0</v>
      </c>
      <c r="M25" s="4">
        <f>(VLOOKUP('19.07'!U25,'19.07'!$AO$4:$AR$55,4,FALSE))</f>
        <v>0</v>
      </c>
      <c r="N25" s="4">
        <f>(VLOOKUP('19.07'!V25,'19.07'!$AO$4:$AR$55,4,FALSE))</f>
        <v>0</v>
      </c>
      <c r="O25" s="4">
        <f>(VLOOKUP('19.07'!W25,'19.07'!$AO$4:$AR$55,4,FALSE))</f>
        <v>0</v>
      </c>
      <c r="P25" s="4">
        <f>(VLOOKUP('19.07'!X25,'19.07'!$AO$4:$AR$55,4,FALSE))</f>
        <v>0</v>
      </c>
      <c r="Q25" s="4">
        <f>(VLOOKUP('19.07'!Y25,'19.07'!$AO$4:$AR$55,4,FALSE))</f>
        <v>39.110982162825401</v>
      </c>
      <c r="R25" s="4">
        <f>(VLOOKUP('19.07'!Z25,'19.07'!$AO$4:$AR$55,4,FALSE))</f>
        <v>39.110982162825401</v>
      </c>
      <c r="S25" s="4">
        <f>(VLOOKUP('19.07'!AA25,'19.07'!$AO$4:$AR$55,4,FALSE))</f>
        <v>39.110982162825401</v>
      </c>
      <c r="T25" s="4">
        <f>(VLOOKUP('19.07'!AB25,'19.07'!$AO$4:$AR$55,4,FALSE))</f>
        <v>39.110982162825401</v>
      </c>
      <c r="U25" s="4">
        <f>(VLOOKUP('19.07'!AC25,'19.07'!$AO$4:$AR$55,4,FALSE))</f>
        <v>39.110982162825401</v>
      </c>
      <c r="V25" s="4">
        <f>(VLOOKUP('19.07'!AD25,'19.07'!$AO$4:$AR$55,4,FALSE))</f>
        <v>39.110982162825401</v>
      </c>
      <c r="W25" s="4">
        <f>(VLOOKUP('19.07'!AE25,'19.07'!$AO$4:$AR$55,4,FALSE))</f>
        <v>10</v>
      </c>
      <c r="X25" s="4">
        <f>(VLOOKUP('19.07'!AF25,'19.07'!$AO$4:$AR$55,4,FALSE))</f>
        <v>0</v>
      </c>
    </row>
    <row r="26" spans="1:24">
      <c r="A26" s="4">
        <f>(VLOOKUP('19.07'!I26,'19.07'!$AO$4:$AR$55,4,FALSE))</f>
        <v>10</v>
      </c>
      <c r="B26" s="4">
        <f>(VLOOKUP('19.07'!J26,'19.07'!$AO$4:$AR$55,4,FALSE))</f>
        <v>39.110982162825401</v>
      </c>
      <c r="C26" s="4">
        <f>(VLOOKUP('19.07'!K26,'19.07'!$AO$4:$AR$55,4,FALSE))</f>
        <v>39.110982162825401</v>
      </c>
      <c r="D26" s="4">
        <f>(VLOOKUP('19.07'!L26,'19.07'!$AO$4:$AR$55,4,FALSE))</f>
        <v>39.110982162825401</v>
      </c>
      <c r="E26" s="4">
        <f>(VLOOKUP('19.07'!M26,'19.07'!$AO$4:$AR$55,4,FALSE))</f>
        <v>10</v>
      </c>
      <c r="F26" s="4">
        <f>(VLOOKUP('19.07'!N26,'19.07'!$AO$4:$AR$55,4,FALSE))</f>
        <v>39.110982162825401</v>
      </c>
      <c r="G26" s="4">
        <f>(VLOOKUP('19.07'!O26,'19.07'!$AO$4:$AR$55,4,FALSE))</f>
        <v>0</v>
      </c>
      <c r="H26" s="4">
        <f>(VLOOKUP('19.07'!P26,'19.07'!$AO$4:$AR$55,4,FALSE))</f>
        <v>0</v>
      </c>
      <c r="I26" s="4">
        <f>(VLOOKUP('19.07'!Q26,'19.07'!$AO$4:$AR$55,4,FALSE))</f>
        <v>0</v>
      </c>
      <c r="J26" s="4">
        <f>(VLOOKUP('19.07'!R26,'19.07'!$AO$4:$AR$55,4,FALSE))</f>
        <v>0</v>
      </c>
      <c r="K26" s="4">
        <f>(VLOOKUP('19.07'!S26,'19.07'!$AO$4:$AR$55,4,FALSE))</f>
        <v>0</v>
      </c>
      <c r="L26" s="4">
        <f>(VLOOKUP('19.07'!T26,'19.07'!$AO$4:$AR$55,4,FALSE))</f>
        <v>0</v>
      </c>
      <c r="M26" s="4">
        <f>(VLOOKUP('19.07'!U26,'19.07'!$AO$4:$AR$55,4,FALSE))</f>
        <v>0</v>
      </c>
      <c r="N26" s="4">
        <f>(VLOOKUP('19.07'!V26,'19.07'!$AO$4:$AR$55,4,FALSE))</f>
        <v>0</v>
      </c>
      <c r="O26" s="4">
        <f>(VLOOKUP('19.07'!W26,'19.07'!$AO$4:$AR$55,4,FALSE))</f>
        <v>0</v>
      </c>
      <c r="P26" s="4">
        <f>(VLOOKUP('19.07'!X26,'19.07'!$AO$4:$AR$55,4,FALSE))</f>
        <v>0</v>
      </c>
      <c r="Q26" s="4">
        <f>(VLOOKUP('19.07'!Y26,'19.07'!$AO$4:$AR$55,4,FALSE))</f>
        <v>39.110982162825401</v>
      </c>
      <c r="R26" s="4">
        <f>(VLOOKUP('19.07'!Z26,'19.07'!$AO$4:$AR$55,4,FALSE))</f>
        <v>29.110982162825401</v>
      </c>
      <c r="S26" s="4">
        <f>(VLOOKUP('19.07'!AA26,'19.07'!$AO$4:$AR$55,4,FALSE))</f>
        <v>36</v>
      </c>
      <c r="T26" s="4">
        <f>(VLOOKUP('19.07'!AB26,'19.07'!$AO$4:$AR$55,4,FALSE))</f>
        <v>36</v>
      </c>
      <c r="U26" s="4">
        <f>(VLOOKUP('19.07'!AC26,'19.07'!$AO$4:$AR$55,4,FALSE))</f>
        <v>36</v>
      </c>
      <c r="V26" s="4">
        <f>(VLOOKUP('19.07'!AD26,'19.07'!$AO$4:$AR$55,4,FALSE))</f>
        <v>36</v>
      </c>
      <c r="W26" s="4">
        <f>(VLOOKUP('19.07'!AE26,'19.07'!$AO$4:$AR$55,4,FALSE))</f>
        <v>0</v>
      </c>
      <c r="X26" s="4">
        <f>(VLOOKUP('19.07'!AF26,'19.07'!$AO$4:$AR$55,4,FALSE))</f>
        <v>0</v>
      </c>
    </row>
    <row r="27" spans="1:24">
      <c r="A27" s="4">
        <f>(VLOOKUP('19.07'!I27,'19.07'!$AO$4:$AR$55,4,FALSE))</f>
        <v>39.110982162825401</v>
      </c>
      <c r="B27" s="4">
        <f>(VLOOKUP('19.07'!J27,'19.07'!$AO$4:$AR$55,4,FALSE))</f>
        <v>29.110982162825401</v>
      </c>
      <c r="C27" s="4">
        <f>(VLOOKUP('19.07'!K27,'19.07'!$AO$4:$AR$55,4,FALSE))</f>
        <v>39.110982162825401</v>
      </c>
      <c r="D27" s="4">
        <f>(VLOOKUP('19.07'!L27,'19.07'!$AO$4:$AR$55,4,FALSE))</f>
        <v>39.110982162825401</v>
      </c>
      <c r="E27" s="4">
        <f>(VLOOKUP('19.07'!M27,'19.07'!$AO$4:$AR$55,4,FALSE))</f>
        <v>10</v>
      </c>
      <c r="F27" s="4">
        <f>(VLOOKUP('19.07'!N27,'19.07'!$AO$4:$AR$55,4,FALSE))</f>
        <v>0</v>
      </c>
      <c r="G27" s="4">
        <f>(VLOOKUP('19.07'!O27,'19.07'!$AO$4:$AR$55,4,FALSE))</f>
        <v>0</v>
      </c>
      <c r="H27" s="4">
        <f>(VLOOKUP('19.07'!P27,'19.07'!$AO$4:$AR$55,4,FALSE))</f>
        <v>0</v>
      </c>
      <c r="I27" s="4">
        <f>(VLOOKUP('19.07'!Q27,'19.07'!$AO$4:$AR$55,4,FALSE))</f>
        <v>0</v>
      </c>
      <c r="J27" s="4">
        <f>(VLOOKUP('19.07'!R27,'19.07'!$AO$4:$AR$55,4,FALSE))</f>
        <v>0</v>
      </c>
      <c r="K27" s="4">
        <f>(VLOOKUP('19.07'!S27,'19.07'!$AO$4:$AR$55,4,FALSE))</f>
        <v>0</v>
      </c>
      <c r="L27" s="4">
        <f>(VLOOKUP('19.07'!T27,'19.07'!$AO$4:$AR$55,4,FALSE))</f>
        <v>0</v>
      </c>
      <c r="M27" s="4">
        <f>(VLOOKUP('19.07'!U27,'19.07'!$AO$4:$AR$55,4,FALSE))</f>
        <v>0</v>
      </c>
      <c r="N27" s="4">
        <f>(VLOOKUP('19.07'!V27,'19.07'!$AO$4:$AR$55,4,FALSE))</f>
        <v>0</v>
      </c>
      <c r="O27" s="4">
        <f>(VLOOKUP('19.07'!W27,'19.07'!$AO$4:$AR$55,4,FALSE))</f>
        <v>0</v>
      </c>
      <c r="P27" s="4">
        <f>(VLOOKUP('19.07'!X27,'19.07'!$AO$4:$AR$55,4,FALSE))</f>
        <v>0</v>
      </c>
      <c r="Q27" s="4">
        <f>(VLOOKUP('19.07'!Y27,'19.07'!$AO$4:$AR$55,4,FALSE))</f>
        <v>36</v>
      </c>
      <c r="R27" s="4">
        <f>(VLOOKUP('19.07'!Z27,'19.07'!$AO$4:$AR$55,4,FALSE))</f>
        <v>36</v>
      </c>
      <c r="S27" s="4">
        <f>(VLOOKUP('19.07'!AA27,'19.07'!$AO$4:$AR$55,4,FALSE))</f>
        <v>36</v>
      </c>
      <c r="T27" s="4">
        <f>(VLOOKUP('19.07'!AB27,'19.07'!$AO$4:$AR$55,4,FALSE))</f>
        <v>36</v>
      </c>
      <c r="U27" s="4">
        <f>(VLOOKUP('19.07'!AC27,'19.07'!$AO$4:$AR$55,4,FALSE))</f>
        <v>36</v>
      </c>
      <c r="V27" s="4">
        <f>(VLOOKUP('19.07'!AD27,'19.07'!$AO$4:$AR$55,4,FALSE))</f>
        <v>36</v>
      </c>
      <c r="W27" s="4">
        <f>(VLOOKUP('19.07'!AE27,'19.07'!$AO$4:$AR$55,4,FALSE))</f>
        <v>36</v>
      </c>
      <c r="X27" s="4">
        <f>(VLOOKUP('19.07'!AF27,'19.07'!$AO$4:$AR$55,4,FALSE))</f>
        <v>0</v>
      </c>
    </row>
    <row r="28" spans="1:24">
      <c r="A28" s="4">
        <f>(VLOOKUP('19.07'!I28,'19.07'!$AO$4:$AR$55,4,FALSE))</f>
        <v>0</v>
      </c>
      <c r="B28" s="4">
        <f>(VLOOKUP('19.07'!J28,'19.07'!$AO$4:$AR$55,4,FALSE))</f>
        <v>0</v>
      </c>
      <c r="C28" s="4">
        <f>(VLOOKUP('19.07'!K28,'19.07'!$AO$4:$AR$55,4,FALSE))</f>
        <v>0</v>
      </c>
      <c r="D28" s="4">
        <f>(VLOOKUP('19.07'!L28,'19.07'!$AO$4:$AR$55,4,FALSE))</f>
        <v>0</v>
      </c>
      <c r="E28" s="4">
        <f>(VLOOKUP('19.07'!M28,'19.07'!$AO$4:$AR$55,4,FALSE))</f>
        <v>0</v>
      </c>
      <c r="F28" s="4">
        <f>(VLOOKUP('19.07'!N28,'19.07'!$AO$4:$AR$55,4,FALSE))</f>
        <v>0</v>
      </c>
      <c r="G28" s="4">
        <f>(VLOOKUP('19.07'!O28,'19.07'!$AO$4:$AR$55,4,FALSE))</f>
        <v>0</v>
      </c>
      <c r="H28" s="4">
        <f>(VLOOKUP('19.07'!P28,'19.07'!$AO$4:$AR$55,4,FALSE))</f>
        <v>0</v>
      </c>
      <c r="I28" s="4">
        <f>(VLOOKUP('19.07'!Q28,'19.07'!$AO$4:$AR$55,4,FALSE))</f>
        <v>0</v>
      </c>
      <c r="J28" s="4">
        <f>(VLOOKUP('19.07'!R28,'19.07'!$AO$4:$AR$55,4,FALSE))</f>
        <v>0</v>
      </c>
      <c r="K28" s="4">
        <f>(VLOOKUP('19.07'!S28,'19.07'!$AO$4:$AR$55,4,FALSE))</f>
        <v>0</v>
      </c>
      <c r="L28" s="4">
        <f>(VLOOKUP('19.07'!T28,'19.07'!$AO$4:$AR$55,4,FALSE))</f>
        <v>0</v>
      </c>
      <c r="M28" s="4">
        <f>(VLOOKUP('19.07'!U28,'19.07'!$AO$4:$AR$55,4,FALSE))</f>
        <v>0</v>
      </c>
      <c r="N28" s="4">
        <f>(VLOOKUP('19.07'!V28,'19.07'!$AO$4:$AR$55,4,FALSE))</f>
        <v>0</v>
      </c>
      <c r="O28" s="4">
        <f>(VLOOKUP('19.07'!W28,'19.07'!$AO$4:$AR$55,4,FALSE))</f>
        <v>0</v>
      </c>
      <c r="P28" s="4">
        <f>(VLOOKUP('19.07'!X28,'19.07'!$AO$4:$AR$55,4,FALSE))</f>
        <v>0</v>
      </c>
      <c r="Q28" s="4">
        <f>(VLOOKUP('19.07'!Y28,'19.07'!$AO$4:$AR$55,4,FALSE))</f>
        <v>36</v>
      </c>
      <c r="R28" s="4">
        <f>(VLOOKUP('19.07'!Z28,'19.07'!$AO$4:$AR$55,4,FALSE))</f>
        <v>36</v>
      </c>
      <c r="S28" s="4">
        <f>(VLOOKUP('19.07'!AA28,'19.07'!$AO$4:$AR$55,4,FALSE))</f>
        <v>36</v>
      </c>
      <c r="T28" s="4">
        <f>(VLOOKUP('19.07'!AB28,'19.07'!$AO$4:$AR$55,4,FALSE))</f>
        <v>36</v>
      </c>
      <c r="U28" s="4">
        <f>(VLOOKUP('19.07'!AC28,'19.07'!$AO$4:$AR$55,4,FALSE))</f>
        <v>36</v>
      </c>
      <c r="V28" s="4">
        <f>(VLOOKUP('19.07'!AD28,'19.07'!$AO$4:$AR$55,4,FALSE))</f>
        <v>36</v>
      </c>
      <c r="W28" s="4">
        <f>(VLOOKUP('19.07'!AE28,'19.07'!$AO$4:$AR$55,4,FALSE))</f>
        <v>36</v>
      </c>
      <c r="X28" s="4">
        <f>(VLOOKUP('19.07'!AF28,'19.07'!$AO$4:$AR$55,4,FALSE))</f>
        <v>0</v>
      </c>
    </row>
    <row r="29" spans="1:24">
      <c r="A29" s="4">
        <f>(VLOOKUP('19.07'!I29,'19.07'!$AO$4:$AR$55,4,FALSE))</f>
        <v>0</v>
      </c>
      <c r="B29" s="4">
        <f>(VLOOKUP('19.07'!J29,'19.07'!$AO$4:$AR$55,4,FALSE))</f>
        <v>0</v>
      </c>
      <c r="C29" s="4">
        <f>(VLOOKUP('19.07'!K29,'19.07'!$AO$4:$AR$55,4,FALSE))</f>
        <v>0</v>
      </c>
      <c r="D29" s="4">
        <f>(VLOOKUP('19.07'!L29,'19.07'!$AO$4:$AR$55,4,FALSE))</f>
        <v>0</v>
      </c>
      <c r="E29" s="4">
        <f>(VLOOKUP('19.07'!M29,'19.07'!$AO$4:$AR$55,4,FALSE))</f>
        <v>0</v>
      </c>
      <c r="F29" s="4">
        <f>(VLOOKUP('19.07'!N29,'19.07'!$AO$4:$AR$55,4,FALSE))</f>
        <v>0</v>
      </c>
      <c r="G29" s="4">
        <f>(VLOOKUP('19.07'!O29,'19.07'!$AO$4:$AR$55,4,FALSE))</f>
        <v>0</v>
      </c>
      <c r="H29" s="4">
        <f>(VLOOKUP('19.07'!P29,'19.07'!$AO$4:$AR$55,4,FALSE))</f>
        <v>0</v>
      </c>
      <c r="I29" s="4">
        <f>(VLOOKUP('19.07'!Q29,'19.07'!$AO$4:$AR$55,4,FALSE))</f>
        <v>0</v>
      </c>
      <c r="J29" s="4">
        <f>(VLOOKUP('19.07'!R29,'19.07'!$AO$4:$AR$55,4,FALSE))</f>
        <v>0</v>
      </c>
      <c r="K29" s="4">
        <f>(VLOOKUP('19.07'!S29,'19.07'!$AO$4:$AR$55,4,FALSE))</f>
        <v>38</v>
      </c>
      <c r="L29" s="4">
        <f>(VLOOKUP('19.07'!T29,'19.07'!$AO$4:$AR$55,4,FALSE))</f>
        <v>38</v>
      </c>
      <c r="M29" s="4">
        <f>(VLOOKUP('19.07'!U29,'19.07'!$AO$4:$AR$55,4,FALSE))</f>
        <v>38</v>
      </c>
      <c r="N29" s="4">
        <f>(VLOOKUP('19.07'!V29,'19.07'!$AO$4:$AR$55,4,FALSE))</f>
        <v>10</v>
      </c>
      <c r="O29" s="4">
        <f>(VLOOKUP('19.07'!W29,'19.07'!$AO$4:$AR$55,4,FALSE))</f>
        <v>38</v>
      </c>
      <c r="P29" s="4">
        <f>(VLOOKUP('19.07'!X29,'19.07'!$AO$4:$AR$55,4,FALSE))</f>
        <v>38</v>
      </c>
      <c r="Q29" s="4">
        <f>(VLOOKUP('19.07'!Y29,'19.07'!$AO$4:$AR$55,4,FALSE))</f>
        <v>34</v>
      </c>
      <c r="R29" s="4">
        <f>(VLOOKUP('19.07'!Z29,'19.07'!$AO$4:$AR$55,4,FALSE))</f>
        <v>34</v>
      </c>
      <c r="S29" s="4">
        <f>(VLOOKUP('19.07'!AA29,'19.07'!$AO$4:$AR$55,4,FALSE))</f>
        <v>34</v>
      </c>
      <c r="T29" s="4">
        <f>(VLOOKUP('19.07'!AB29,'19.07'!$AO$4:$AR$55,4,FALSE))</f>
        <v>0</v>
      </c>
      <c r="U29" s="4">
        <f>(VLOOKUP('19.07'!AC29,'19.07'!$AO$4:$AR$55,4,FALSE))</f>
        <v>0</v>
      </c>
      <c r="V29" s="4">
        <f>(VLOOKUP('19.07'!AD29,'19.07'!$AO$4:$AR$55,4,FALSE))</f>
        <v>0</v>
      </c>
      <c r="W29" s="4">
        <f>(VLOOKUP('19.07'!AE29,'19.07'!$AO$4:$AR$55,4,FALSE))</f>
        <v>0</v>
      </c>
      <c r="X29" s="4">
        <f>(VLOOKUP('19.07'!AF29,'19.07'!$AO$4:$AR$55,4,FALSE))</f>
        <v>0</v>
      </c>
    </row>
    <row r="30" spans="1:24">
      <c r="A30" s="4">
        <f>(VLOOKUP('19.07'!I30,'19.07'!$AO$4:$AR$55,4,FALSE))</f>
        <v>0</v>
      </c>
      <c r="B30" s="4">
        <f>(VLOOKUP('19.07'!J30,'19.07'!$AO$4:$AR$55,4,FALSE))</f>
        <v>0</v>
      </c>
      <c r="C30" s="4">
        <f>(VLOOKUP('19.07'!K30,'19.07'!$AO$4:$AR$55,4,FALSE))</f>
        <v>0</v>
      </c>
      <c r="D30" s="4">
        <f>(VLOOKUP('19.07'!L30,'19.07'!$AO$4:$AR$55,4,FALSE))</f>
        <v>0</v>
      </c>
      <c r="E30" s="4">
        <f>(VLOOKUP('19.07'!M30,'19.07'!$AO$4:$AR$55,4,FALSE))</f>
        <v>0</v>
      </c>
      <c r="F30" s="4">
        <f>(VLOOKUP('19.07'!N30,'19.07'!$AO$4:$AR$55,4,FALSE))</f>
        <v>0</v>
      </c>
      <c r="G30" s="4">
        <f>(VLOOKUP('19.07'!O30,'19.07'!$AO$4:$AR$55,4,FALSE))</f>
        <v>0</v>
      </c>
      <c r="H30" s="4">
        <f>(VLOOKUP('19.07'!P30,'19.07'!$AO$4:$AR$55,4,FALSE))</f>
        <v>0</v>
      </c>
      <c r="I30" s="4">
        <f>(VLOOKUP('19.07'!Q30,'19.07'!$AO$4:$AR$55,4,FALSE))</f>
        <v>0</v>
      </c>
      <c r="J30" s="4">
        <f>(VLOOKUP('19.07'!R30,'19.07'!$AO$4:$AR$55,4,FALSE))</f>
        <v>38</v>
      </c>
      <c r="K30" s="4">
        <f>(VLOOKUP('19.07'!S30,'19.07'!$AO$4:$AR$55,4,FALSE))</f>
        <v>38</v>
      </c>
      <c r="L30" s="4">
        <f>(VLOOKUP('19.07'!T30,'19.07'!$AO$4:$AR$55,4,FALSE))</f>
        <v>38</v>
      </c>
      <c r="M30" s="4">
        <f>(VLOOKUP('19.07'!U30,'19.07'!$AO$4:$AR$55,4,FALSE))</f>
        <v>38</v>
      </c>
      <c r="N30" s="4">
        <f>(VLOOKUP('19.07'!V30,'19.07'!$AO$4:$AR$55,4,FALSE))</f>
        <v>38</v>
      </c>
      <c r="O30" s="4">
        <f>(VLOOKUP('19.07'!W30,'19.07'!$AO$4:$AR$55,4,FALSE))</f>
        <v>38</v>
      </c>
      <c r="P30" s="4">
        <f>(VLOOKUP('19.07'!X30,'19.07'!$AO$4:$AR$55,4,FALSE))</f>
        <v>38</v>
      </c>
      <c r="Q30" s="4">
        <f>(VLOOKUP('19.07'!Y30,'19.07'!$AO$4:$AR$55,4,FALSE))</f>
        <v>0</v>
      </c>
      <c r="R30" s="4">
        <f>(VLOOKUP('19.07'!Z30,'19.07'!$AO$4:$AR$55,4,FALSE))</f>
        <v>0</v>
      </c>
      <c r="S30" s="4">
        <f>(VLOOKUP('19.07'!AA30,'19.07'!$AO$4:$AR$55,4,FALSE))</f>
        <v>0</v>
      </c>
      <c r="T30" s="4">
        <f>(VLOOKUP('19.07'!AB30,'19.07'!$AO$4:$AR$55,4,FALSE))</f>
        <v>0</v>
      </c>
      <c r="U30" s="4">
        <f>(VLOOKUP('19.07'!AC30,'19.07'!$AO$4:$AR$55,4,FALSE))</f>
        <v>0</v>
      </c>
      <c r="V30" s="4">
        <f>(VLOOKUP('19.07'!AD30,'19.07'!$AO$4:$AR$55,4,FALSE))</f>
        <v>0</v>
      </c>
      <c r="W30" s="4">
        <f>(VLOOKUP('19.07'!AE30,'19.07'!$AO$4:$AR$55,4,FALSE))</f>
        <v>0</v>
      </c>
      <c r="X30" s="4">
        <f>(VLOOKUP('19.07'!AF30,'19.07'!$AO$4:$AR$55,4,FALSE))</f>
        <v>0</v>
      </c>
    </row>
    <row r="31" spans="1:24">
      <c r="A31" s="4">
        <f>(VLOOKUP('19.07'!I31,'19.07'!$AO$4:$AR$55,4,FALSE))</f>
        <v>0</v>
      </c>
      <c r="B31" s="4">
        <f>(VLOOKUP('19.07'!J31,'19.07'!$AO$4:$AR$55,4,FALSE))</f>
        <v>0</v>
      </c>
      <c r="C31" s="4">
        <f>(VLOOKUP('19.07'!K31,'19.07'!$AO$4:$AR$55,4,FALSE))</f>
        <v>0</v>
      </c>
      <c r="D31" s="4">
        <f>(VLOOKUP('19.07'!L31,'19.07'!$AO$4:$AR$55,4,FALSE))</f>
        <v>0</v>
      </c>
      <c r="E31" s="4">
        <f>(VLOOKUP('19.07'!M31,'19.07'!$AO$4:$AR$55,4,FALSE))</f>
        <v>0</v>
      </c>
      <c r="F31" s="4">
        <f>(VLOOKUP('19.07'!N31,'19.07'!$AO$4:$AR$55,4,FALSE))</f>
        <v>0</v>
      </c>
      <c r="G31" s="4">
        <f>(VLOOKUP('19.07'!O31,'19.07'!$AO$4:$AR$55,4,FALSE))</f>
        <v>0</v>
      </c>
      <c r="H31" s="4">
        <f>(VLOOKUP('19.07'!P31,'19.07'!$AO$4:$AR$55,4,FALSE))</f>
        <v>0</v>
      </c>
      <c r="I31" s="4">
        <f>(VLOOKUP('19.07'!Q31,'19.07'!$AO$4:$AR$55,4,FALSE))</f>
        <v>38</v>
      </c>
      <c r="J31" s="4">
        <f>(VLOOKUP('19.07'!R31,'19.07'!$AO$4:$AR$55,4,FALSE))</f>
        <v>38</v>
      </c>
      <c r="K31" s="4">
        <f>(VLOOKUP('19.07'!S31,'19.07'!$AO$4:$AR$55,4,FALSE))</f>
        <v>38</v>
      </c>
      <c r="L31" s="4">
        <f>(VLOOKUP('19.07'!T31,'19.07'!$AO$4:$AR$55,4,FALSE))</f>
        <v>38</v>
      </c>
      <c r="M31" s="4">
        <f>(VLOOKUP('19.07'!U31,'19.07'!$AO$4:$AR$55,4,FALSE))</f>
        <v>38</v>
      </c>
      <c r="N31" s="4">
        <f>(VLOOKUP('19.07'!V31,'19.07'!$AO$4:$AR$55,4,FALSE))</f>
        <v>0</v>
      </c>
      <c r="O31" s="4">
        <f>(VLOOKUP('19.07'!W31,'19.07'!$AO$4:$AR$55,4,FALSE))</f>
        <v>38</v>
      </c>
      <c r="P31" s="4">
        <f>(VLOOKUP('19.07'!X31,'19.07'!$AO$4:$AR$55,4,FALSE))</f>
        <v>38</v>
      </c>
      <c r="Q31" s="4">
        <f>(VLOOKUP('19.07'!Y31,'19.07'!$AO$4:$AR$55,4,FALSE))</f>
        <v>0</v>
      </c>
      <c r="R31" s="4">
        <f>(VLOOKUP('19.07'!Z31,'19.07'!$AO$4:$AR$55,4,FALSE))</f>
        <v>0</v>
      </c>
      <c r="S31" s="4">
        <f>(VLOOKUP('19.07'!AA31,'19.07'!$AO$4:$AR$55,4,FALSE))</f>
        <v>0</v>
      </c>
      <c r="T31" s="4">
        <f>(VLOOKUP('19.07'!AB31,'19.07'!$AO$4:$AR$55,4,FALSE))</f>
        <v>0</v>
      </c>
      <c r="U31" s="4">
        <f>(VLOOKUP('19.07'!AC31,'19.07'!$AO$4:$AR$55,4,FALSE))</f>
        <v>0</v>
      </c>
      <c r="V31" s="4">
        <f>(VLOOKUP('19.07'!AD31,'19.07'!$AO$4:$AR$55,4,FALSE))</f>
        <v>0</v>
      </c>
      <c r="W31" s="4">
        <f>(VLOOKUP('19.07'!AE31,'19.07'!$AO$4:$AR$55,4,FALSE))</f>
        <v>0</v>
      </c>
      <c r="X31" s="4">
        <f>(VLOOKUP('19.07'!AF31,'19.07'!$AO$4:$AR$55,4,FALSE))</f>
        <v>0</v>
      </c>
    </row>
    <row r="32" spans="1:24">
      <c r="A32" s="4">
        <f>(VLOOKUP('19.07'!I32,'19.07'!$AO$4:$AR$55,4,FALSE))</f>
        <v>0</v>
      </c>
      <c r="B32" s="4">
        <f>(VLOOKUP('19.07'!J32,'19.07'!$AO$4:$AR$55,4,FALSE))</f>
        <v>0</v>
      </c>
      <c r="C32" s="4">
        <f>(VLOOKUP('19.07'!K32,'19.07'!$AO$4:$AR$55,4,FALSE))</f>
        <v>0</v>
      </c>
      <c r="D32" s="4">
        <f>(VLOOKUP('19.07'!L32,'19.07'!$AO$4:$AR$55,4,FALSE))</f>
        <v>0</v>
      </c>
      <c r="E32" s="4">
        <f>(VLOOKUP('19.07'!M32,'19.07'!$AO$4:$AR$55,4,FALSE))</f>
        <v>0</v>
      </c>
      <c r="F32" s="4">
        <f>(VLOOKUP('19.07'!N32,'19.07'!$AO$4:$AR$55,4,FALSE))</f>
        <v>0</v>
      </c>
      <c r="G32" s="4">
        <f>(VLOOKUP('19.07'!O32,'19.07'!$AO$4:$AR$55,4,FALSE))</f>
        <v>0</v>
      </c>
      <c r="H32" s="4">
        <f>(VLOOKUP('19.07'!P32,'19.07'!$AO$4:$AR$55,4,FALSE))</f>
        <v>0</v>
      </c>
      <c r="I32" s="4">
        <f>(VLOOKUP('19.07'!Q32,'19.07'!$AO$4:$AR$55,4,FALSE))</f>
        <v>38</v>
      </c>
      <c r="J32" s="4">
        <f>(VLOOKUP('19.07'!R32,'19.07'!$AO$4:$AR$55,4,FALSE))</f>
        <v>38</v>
      </c>
      <c r="K32" s="4">
        <f>(VLOOKUP('19.07'!S32,'19.07'!$AO$4:$AR$55,4,FALSE))</f>
        <v>38</v>
      </c>
      <c r="L32" s="4">
        <f>(VLOOKUP('19.07'!T32,'19.07'!$AO$4:$AR$55,4,FALSE))</f>
        <v>38</v>
      </c>
      <c r="M32" s="4">
        <f>(VLOOKUP('19.07'!U32,'19.07'!$AO$4:$AR$55,4,FALSE))</f>
        <v>38</v>
      </c>
      <c r="N32" s="4">
        <f>(VLOOKUP('19.07'!V32,'19.07'!$AO$4:$AR$55,4,FALSE))</f>
        <v>38</v>
      </c>
      <c r="O32" s="4">
        <f>(VLOOKUP('19.07'!W32,'19.07'!$AO$4:$AR$55,4,FALSE))</f>
        <v>38</v>
      </c>
      <c r="P32" s="4">
        <f>(VLOOKUP('19.07'!X32,'19.07'!$AO$4:$AR$55,4,FALSE))</f>
        <v>38</v>
      </c>
      <c r="Q32" s="4">
        <f>(VLOOKUP('19.07'!Y32,'19.07'!$AO$4:$AR$55,4,FALSE))</f>
        <v>0</v>
      </c>
      <c r="R32" s="4">
        <f>(VLOOKUP('19.07'!Z32,'19.07'!$AO$4:$AR$55,4,FALSE))</f>
        <v>0</v>
      </c>
      <c r="S32" s="4">
        <f>(VLOOKUP('19.07'!AA32,'19.07'!$AO$4:$AR$55,4,FALSE))</f>
        <v>0</v>
      </c>
      <c r="T32" s="4">
        <f>(VLOOKUP('19.07'!AB32,'19.07'!$AO$4:$AR$55,4,FALSE))</f>
        <v>10</v>
      </c>
      <c r="U32" s="4">
        <f>(VLOOKUP('19.07'!AC32,'19.07'!$AO$4:$AR$55,4,FALSE))</f>
        <v>0</v>
      </c>
      <c r="V32" s="4">
        <f>(VLOOKUP('19.07'!AD32,'19.07'!$AO$4:$AR$55,4,FALSE))</f>
        <v>0</v>
      </c>
      <c r="W32" s="4">
        <f>(VLOOKUP('19.07'!AE32,'19.07'!$AO$4:$AR$55,4,FALSE))</f>
        <v>0</v>
      </c>
      <c r="X32" s="4">
        <f>(VLOOKUP('19.07'!AF32,'19.07'!$AO$4:$AR$55,4,FALSE))</f>
        <v>0</v>
      </c>
    </row>
    <row r="33" spans="1:24">
      <c r="A33" s="4">
        <f>(VLOOKUP('19.07'!I33,'19.07'!$AO$4:$AR$55,4,FALSE))</f>
        <v>0</v>
      </c>
      <c r="B33" s="4">
        <f>(VLOOKUP('19.07'!J33,'19.07'!$AO$4:$AR$55,4,FALSE))</f>
        <v>0</v>
      </c>
      <c r="C33" s="4">
        <f>(VLOOKUP('19.07'!K33,'19.07'!$AO$4:$AR$55,4,FALSE))</f>
        <v>0</v>
      </c>
      <c r="D33" s="4">
        <f>(VLOOKUP('19.07'!L33,'19.07'!$AO$4:$AR$55,4,FALSE))</f>
        <v>0</v>
      </c>
      <c r="E33" s="4">
        <f>(VLOOKUP('19.07'!M33,'19.07'!$AO$4:$AR$55,4,FALSE))</f>
        <v>0</v>
      </c>
      <c r="F33" s="4">
        <f>(VLOOKUP('19.07'!N33,'19.07'!$AO$4:$AR$55,4,FALSE))</f>
        <v>0</v>
      </c>
      <c r="G33" s="4">
        <f>(VLOOKUP('19.07'!O33,'19.07'!$AO$4:$AR$55,4,FALSE))</f>
        <v>0</v>
      </c>
      <c r="H33" s="4">
        <f>(VLOOKUP('19.07'!P33,'19.07'!$AO$4:$AR$55,4,FALSE))</f>
        <v>0</v>
      </c>
      <c r="I33" s="4">
        <f>(VLOOKUP('19.07'!Q33,'19.07'!$AO$4:$AR$55,4,FALSE))</f>
        <v>38</v>
      </c>
      <c r="J33" s="4">
        <f>(VLOOKUP('19.07'!R33,'19.07'!$AO$4:$AR$55,4,FALSE))</f>
        <v>38</v>
      </c>
      <c r="K33" s="4">
        <f>(VLOOKUP('19.07'!S33,'19.07'!$AO$4:$AR$55,4,FALSE))</f>
        <v>38</v>
      </c>
      <c r="L33" s="4">
        <f>(VLOOKUP('19.07'!T33,'19.07'!$AO$4:$AR$55,4,FALSE))</f>
        <v>38</v>
      </c>
      <c r="M33" s="4">
        <f>(VLOOKUP('19.07'!U33,'19.07'!$AO$4:$AR$55,4,FALSE))</f>
        <v>38</v>
      </c>
      <c r="N33" s="4">
        <f>(VLOOKUP('19.07'!V33,'19.07'!$AO$4:$AR$55,4,FALSE))</f>
        <v>38</v>
      </c>
      <c r="O33" s="4">
        <f>(VLOOKUP('19.07'!W33,'19.07'!$AO$4:$AR$55,4,FALSE))</f>
        <v>0</v>
      </c>
      <c r="P33" s="4">
        <f>(VLOOKUP('19.07'!X33,'19.07'!$AO$4:$AR$55,4,FALSE))</f>
        <v>0</v>
      </c>
      <c r="Q33" s="4">
        <f>(VLOOKUP('19.07'!Y33,'19.07'!$AO$4:$AR$55,4,FALSE))</f>
        <v>0</v>
      </c>
      <c r="R33" s="4">
        <f>(VLOOKUP('19.07'!Z33,'19.07'!$AO$4:$AR$55,4,FALSE))</f>
        <v>0</v>
      </c>
      <c r="S33" s="4">
        <f>(VLOOKUP('19.07'!AA33,'19.07'!$AO$4:$AR$55,4,FALSE))</f>
        <v>0</v>
      </c>
      <c r="T33" s="4">
        <f>(VLOOKUP('19.07'!AB33,'19.07'!$AO$4:$AR$55,4,FALSE))</f>
        <v>0</v>
      </c>
      <c r="U33" s="4">
        <f>(VLOOKUP('19.07'!AC33,'19.07'!$AO$4:$AR$55,4,FALSE))</f>
        <v>0</v>
      </c>
      <c r="V33" s="4">
        <f>(VLOOKUP('19.07'!AD33,'19.07'!$AO$4:$AR$55,4,FALSE))</f>
        <v>0</v>
      </c>
      <c r="W33" s="4">
        <f>(VLOOKUP('19.07'!AE33,'19.07'!$AO$4:$AR$55,4,FALSE))</f>
        <v>0</v>
      </c>
      <c r="X33" s="4">
        <f>(VLOOKUP('19.07'!AF33,'19.07'!$AO$4:$AR$55,4,FALSE))</f>
        <v>0</v>
      </c>
    </row>
    <row r="34" spans="1:24">
      <c r="A34" s="4">
        <f>(VLOOKUP('19.07'!I34,'19.07'!$AO$4:$AR$55,4,FALSE))</f>
        <v>0</v>
      </c>
      <c r="B34" s="4">
        <f>(VLOOKUP('19.07'!J34,'19.07'!$AO$4:$AR$55,4,FALSE))</f>
        <v>0</v>
      </c>
      <c r="C34" s="4">
        <f>(VLOOKUP('19.07'!K34,'19.07'!$AO$4:$AR$55,4,FALSE))</f>
        <v>0</v>
      </c>
      <c r="D34" s="4">
        <f>(VLOOKUP('19.07'!L34,'19.07'!$AO$4:$AR$55,4,FALSE))</f>
        <v>0</v>
      </c>
      <c r="E34" s="4">
        <f>(VLOOKUP('19.07'!M34,'19.07'!$AO$4:$AR$55,4,FALSE))</f>
        <v>0</v>
      </c>
      <c r="F34" s="4">
        <f>(VLOOKUP('19.07'!N34,'19.07'!$AO$4:$AR$55,4,FALSE))</f>
        <v>0</v>
      </c>
      <c r="G34" s="4">
        <f>(VLOOKUP('19.07'!O34,'19.07'!$AO$4:$AR$55,4,FALSE))</f>
        <v>0</v>
      </c>
      <c r="H34" s="4">
        <f>(VLOOKUP('19.07'!P34,'19.07'!$AO$4:$AR$55,4,FALSE))</f>
        <v>0</v>
      </c>
      <c r="I34" s="4">
        <f>(VLOOKUP('19.07'!Q34,'19.07'!$AO$4:$AR$55,4,FALSE))</f>
        <v>38</v>
      </c>
      <c r="J34" s="4">
        <f>(VLOOKUP('19.07'!R34,'19.07'!$AO$4:$AR$55,4,FALSE))</f>
        <v>38</v>
      </c>
      <c r="K34" s="4">
        <f>(VLOOKUP('19.07'!S34,'19.07'!$AO$4:$AR$55,4,FALSE))</f>
        <v>38</v>
      </c>
      <c r="L34" s="4">
        <f>(VLOOKUP('19.07'!T34,'19.07'!$AO$4:$AR$55,4,FALSE))</f>
        <v>38</v>
      </c>
      <c r="M34" s="4">
        <f>(VLOOKUP('19.07'!U34,'19.07'!$AO$4:$AR$55,4,FALSE))</f>
        <v>38</v>
      </c>
      <c r="N34" s="4">
        <f>(VLOOKUP('19.07'!V34,'19.07'!$AO$4:$AR$55,4,FALSE))</f>
        <v>36</v>
      </c>
      <c r="O34" s="4">
        <f>(VLOOKUP('19.07'!W34,'19.07'!$AO$4:$AR$55,4,FALSE))</f>
        <v>0</v>
      </c>
      <c r="P34" s="4">
        <f>(VLOOKUP('19.07'!X34,'19.07'!$AO$4:$AR$55,4,FALSE))</f>
        <v>0</v>
      </c>
      <c r="Q34" s="4">
        <f>(VLOOKUP('19.07'!Y34,'19.07'!$AO$4:$AR$55,4,FALSE))</f>
        <v>0</v>
      </c>
      <c r="R34" s="4">
        <f>(VLOOKUP('19.07'!Z34,'19.07'!$AO$4:$AR$55,4,FALSE))</f>
        <v>0</v>
      </c>
      <c r="S34" s="4">
        <f>(VLOOKUP('19.07'!AA34,'19.07'!$AO$4:$AR$55,4,FALSE))</f>
        <v>0</v>
      </c>
      <c r="T34" s="4">
        <f>(VLOOKUP('19.07'!AB34,'19.07'!$AO$4:$AR$55,4,FALSE))</f>
        <v>0</v>
      </c>
      <c r="U34" s="4">
        <f>(VLOOKUP('19.07'!AC34,'19.07'!$AO$4:$AR$55,4,FALSE))</f>
        <v>0</v>
      </c>
      <c r="V34" s="4">
        <f>(VLOOKUP('19.07'!AD34,'19.07'!$AO$4:$AR$55,4,FALSE))</f>
        <v>0</v>
      </c>
      <c r="W34" s="4">
        <f>(VLOOKUP('19.07'!AE34,'19.07'!$AO$4:$AR$55,4,FALSE))</f>
        <v>0</v>
      </c>
      <c r="X34" s="4">
        <f>(VLOOKUP('19.07'!AF34,'19.07'!$AO$4:$AR$55,4,FALSE))</f>
        <v>0</v>
      </c>
    </row>
    <row r="35" spans="1:24">
      <c r="A35" s="4">
        <f>(VLOOKUP('19.07'!I35,'19.07'!$AO$4:$AR$55,4,FALSE))</f>
        <v>0</v>
      </c>
      <c r="B35" s="4">
        <f>(VLOOKUP('19.07'!J35,'19.07'!$AO$4:$AR$55,4,FALSE))</f>
        <v>0</v>
      </c>
      <c r="C35" s="4">
        <f>(VLOOKUP('19.07'!K35,'19.07'!$AO$4:$AR$55,4,FALSE))</f>
        <v>0</v>
      </c>
      <c r="D35" s="4">
        <f>(VLOOKUP('19.07'!L35,'19.07'!$AO$4:$AR$55,4,FALSE))</f>
        <v>0</v>
      </c>
      <c r="E35" s="4">
        <f>(VLOOKUP('19.07'!M35,'19.07'!$AO$4:$AR$55,4,FALSE))</f>
        <v>0</v>
      </c>
      <c r="F35" s="4">
        <f>(VLOOKUP('19.07'!N35,'19.07'!$AO$4:$AR$55,4,FALSE))</f>
        <v>0</v>
      </c>
      <c r="G35" s="4">
        <f>(VLOOKUP('19.07'!O35,'19.07'!$AO$4:$AR$55,4,FALSE))</f>
        <v>0</v>
      </c>
      <c r="H35" s="4">
        <f>(VLOOKUP('19.07'!P35,'19.07'!$AO$4:$AR$55,4,FALSE))</f>
        <v>0</v>
      </c>
      <c r="I35" s="4">
        <f>(VLOOKUP('19.07'!Q35,'19.07'!$AO$4:$AR$55,4,FALSE))</f>
        <v>36</v>
      </c>
      <c r="J35" s="4">
        <f>(VLOOKUP('19.07'!R35,'19.07'!$AO$4:$AR$55,4,FALSE))</f>
        <v>36</v>
      </c>
      <c r="K35" s="4">
        <f>(VLOOKUP('19.07'!S35,'19.07'!$AO$4:$AR$55,4,FALSE))</f>
        <v>36</v>
      </c>
      <c r="L35" s="4">
        <f>(VLOOKUP('19.07'!T35,'19.07'!$AO$4:$AR$55,4,FALSE))</f>
        <v>36</v>
      </c>
      <c r="M35" s="4">
        <f>(VLOOKUP('19.07'!U35,'19.07'!$AO$4:$AR$55,4,FALSE))</f>
        <v>36</v>
      </c>
      <c r="N35" s="4">
        <f>(VLOOKUP('19.07'!V35,'19.07'!$AO$4:$AR$55,4,FALSE))</f>
        <v>36</v>
      </c>
      <c r="O35" s="4">
        <f>(VLOOKUP('19.07'!W35,'19.07'!$AO$4:$AR$55,4,FALSE))</f>
        <v>0</v>
      </c>
      <c r="P35" s="4">
        <f>(VLOOKUP('19.07'!X35,'19.07'!$AO$4:$AR$55,4,FALSE))</f>
        <v>0</v>
      </c>
      <c r="Q35" s="4">
        <f>(VLOOKUP('19.07'!Y35,'19.07'!$AO$4:$AR$55,4,FALSE))</f>
        <v>0</v>
      </c>
      <c r="R35" s="4">
        <f>(VLOOKUP('19.07'!Z35,'19.07'!$AO$4:$AR$55,4,FALSE))</f>
        <v>0</v>
      </c>
      <c r="S35" s="4">
        <f>(VLOOKUP('19.07'!AA35,'19.07'!$AO$4:$AR$55,4,FALSE))</f>
        <v>0</v>
      </c>
      <c r="T35" s="4">
        <f>(VLOOKUP('19.07'!AB35,'19.07'!$AO$4:$AR$55,4,FALSE))</f>
        <v>0</v>
      </c>
      <c r="U35" s="4">
        <f>(VLOOKUP('19.07'!AC35,'19.07'!$AO$4:$AR$55,4,FALSE))</f>
        <v>0</v>
      </c>
      <c r="V35" s="4">
        <f>(VLOOKUP('19.07'!AD35,'19.07'!$AO$4:$AR$55,4,FALSE))</f>
        <v>0</v>
      </c>
      <c r="W35" s="4">
        <f>(VLOOKUP('19.07'!AE35,'19.07'!$AO$4:$AR$55,4,FALSE))</f>
        <v>0</v>
      </c>
      <c r="X35" s="4">
        <f>(VLOOKUP('19.07'!AF35,'19.07'!$AO$4:$AR$55,4,FALSE))</f>
        <v>0</v>
      </c>
    </row>
    <row r="36" spans="1:24">
      <c r="A36" s="4">
        <f>(VLOOKUP('19.07'!I36,'19.07'!$AO$4:$AR$55,4,FALSE))</f>
        <v>0</v>
      </c>
      <c r="B36" s="4">
        <f>(VLOOKUP('19.07'!J36,'19.07'!$AO$4:$AR$55,4,FALSE))</f>
        <v>0</v>
      </c>
      <c r="C36" s="4">
        <f>(VLOOKUP('19.07'!K36,'19.07'!$AO$4:$AR$55,4,FALSE))</f>
        <v>0</v>
      </c>
      <c r="D36" s="4">
        <f>(VLOOKUP('19.07'!L36,'19.07'!$AO$4:$AR$55,4,FALSE))</f>
        <v>0</v>
      </c>
      <c r="E36" s="4">
        <f>(VLOOKUP('19.07'!M36,'19.07'!$AO$4:$AR$55,4,FALSE))</f>
        <v>0</v>
      </c>
      <c r="F36" s="4">
        <f>(VLOOKUP('19.07'!N36,'19.07'!$AO$4:$AR$55,4,FALSE))</f>
        <v>0</v>
      </c>
      <c r="G36" s="4">
        <f>(VLOOKUP('19.07'!O36,'19.07'!$AO$4:$AR$55,4,FALSE))</f>
        <v>0</v>
      </c>
      <c r="H36" s="4">
        <f>(VLOOKUP('19.07'!P36,'19.07'!$AO$4:$AR$55,4,FALSE))</f>
        <v>0</v>
      </c>
      <c r="I36" s="4">
        <f>(VLOOKUP('19.07'!Q36,'19.07'!$AO$4:$AR$55,4,FALSE))</f>
        <v>36</v>
      </c>
      <c r="J36" s="4">
        <f>(VLOOKUP('19.07'!R36,'19.07'!$AO$4:$AR$55,4,FALSE))</f>
        <v>36</v>
      </c>
      <c r="K36" s="4">
        <f>(VLOOKUP('19.07'!S36,'19.07'!$AO$4:$AR$55,4,FALSE))</f>
        <v>36</v>
      </c>
      <c r="L36" s="4">
        <f>(VLOOKUP('19.07'!T36,'19.07'!$AO$4:$AR$55,4,FALSE))</f>
        <v>36</v>
      </c>
      <c r="M36" s="4">
        <f>(VLOOKUP('19.07'!U36,'19.07'!$AO$4:$AR$55,4,FALSE))</f>
        <v>36</v>
      </c>
      <c r="N36" s="4">
        <f>(VLOOKUP('19.07'!V36,'19.07'!$AO$4:$AR$55,4,FALSE))</f>
        <v>36</v>
      </c>
      <c r="O36" s="4">
        <f>(VLOOKUP('19.07'!W36,'19.07'!$AO$4:$AR$55,4,FALSE))</f>
        <v>0</v>
      </c>
      <c r="P36" s="4">
        <f>(VLOOKUP('19.07'!X36,'19.07'!$AO$4:$AR$55,4,FALSE))</f>
        <v>0</v>
      </c>
      <c r="Q36" s="4">
        <f>(VLOOKUP('19.07'!Y36,'19.07'!$AO$4:$AR$55,4,FALSE))</f>
        <v>0</v>
      </c>
      <c r="R36" s="4">
        <f>(VLOOKUP('19.07'!Z36,'19.07'!$AO$4:$AR$55,4,FALSE))</f>
        <v>0</v>
      </c>
      <c r="S36" s="4">
        <f>(VLOOKUP('19.07'!AA36,'19.07'!$AO$4:$AR$55,4,FALSE))</f>
        <v>0</v>
      </c>
      <c r="T36" s="4">
        <f>(VLOOKUP('19.07'!AB36,'19.07'!$AO$4:$AR$55,4,FALSE))</f>
        <v>0</v>
      </c>
      <c r="U36" s="4">
        <f>(VLOOKUP('19.07'!AC36,'19.07'!$AO$4:$AR$55,4,FALSE))</f>
        <v>0</v>
      </c>
      <c r="V36" s="4">
        <f>(VLOOKUP('19.07'!AD36,'19.07'!$AO$4:$AR$55,4,FALSE))</f>
        <v>0</v>
      </c>
      <c r="W36" s="4">
        <f>(VLOOKUP('19.07'!AE36,'19.07'!$AO$4:$AR$55,4,FALSE))</f>
        <v>0</v>
      </c>
      <c r="X36" s="4">
        <f>(VLOOKUP('19.07'!AF36,'19.07'!$AO$4:$AR$55,4,FALSE))</f>
        <v>0</v>
      </c>
    </row>
    <row r="37" spans="1:24">
      <c r="A37" s="4">
        <f>(VLOOKUP('19.07'!I37,'19.07'!$AO$4:$AR$55,4,FALSE))</f>
        <v>0</v>
      </c>
      <c r="B37" s="4">
        <f>(VLOOKUP('19.07'!J37,'19.07'!$AO$4:$AR$55,4,FALSE))</f>
        <v>0</v>
      </c>
      <c r="C37" s="4">
        <f>(VLOOKUP('19.07'!K37,'19.07'!$AO$4:$AR$55,4,FALSE))</f>
        <v>0</v>
      </c>
      <c r="D37" s="4">
        <f>(VLOOKUP('19.07'!L37,'19.07'!$AO$4:$AR$55,4,FALSE))</f>
        <v>0</v>
      </c>
      <c r="E37" s="4">
        <f>(VLOOKUP('19.07'!M37,'19.07'!$AO$4:$AR$55,4,FALSE))</f>
        <v>0</v>
      </c>
      <c r="F37" s="4">
        <f>(VLOOKUP('19.07'!N37,'19.07'!$AO$4:$AR$55,4,FALSE))</f>
        <v>0</v>
      </c>
      <c r="G37" s="4">
        <f>(VLOOKUP('19.07'!O37,'19.07'!$AO$4:$AR$55,4,FALSE))</f>
        <v>0</v>
      </c>
      <c r="H37" s="4">
        <f>(VLOOKUP('19.07'!P37,'19.07'!$AO$4:$AR$55,4,FALSE))</f>
        <v>0</v>
      </c>
      <c r="I37" s="4">
        <f>(VLOOKUP('19.07'!Q37,'19.07'!$AO$4:$AR$55,4,FALSE))</f>
        <v>36</v>
      </c>
      <c r="J37" s="4">
        <f>(VLOOKUP('19.07'!R37,'19.07'!$AO$4:$AR$55,4,FALSE))</f>
        <v>36</v>
      </c>
      <c r="K37" s="4">
        <f>(VLOOKUP('19.07'!S37,'19.07'!$AO$4:$AR$55,4,FALSE))</f>
        <v>36</v>
      </c>
      <c r="L37" s="4">
        <f>(VLOOKUP('19.07'!T37,'19.07'!$AO$4:$AR$55,4,FALSE))</f>
        <v>36</v>
      </c>
      <c r="M37" s="4">
        <f>(VLOOKUP('19.07'!U37,'19.07'!$AO$4:$AR$55,4,FALSE))</f>
        <v>36</v>
      </c>
      <c r="N37" s="4">
        <f>(VLOOKUP('19.07'!V37,'19.07'!$AO$4:$AR$55,4,FALSE))</f>
        <v>36</v>
      </c>
      <c r="O37" s="4">
        <f>(VLOOKUP('19.07'!W37,'19.07'!$AO$4:$AR$55,4,FALSE))</f>
        <v>0</v>
      </c>
      <c r="P37" s="4">
        <f>(VLOOKUP('19.07'!X37,'19.07'!$AO$4:$AR$55,4,FALSE))</f>
        <v>0</v>
      </c>
      <c r="Q37" s="4">
        <f>(VLOOKUP('19.07'!Y37,'19.07'!$AO$4:$AR$55,4,FALSE))</f>
        <v>0</v>
      </c>
      <c r="R37" s="4">
        <f>(VLOOKUP('19.07'!Z37,'19.07'!$AO$4:$AR$55,4,FALSE))</f>
        <v>0</v>
      </c>
      <c r="S37" s="4">
        <f>(VLOOKUP('19.07'!AA37,'19.07'!$AO$4:$AR$55,4,FALSE))</f>
        <v>0</v>
      </c>
      <c r="T37" s="4">
        <f>(VLOOKUP('19.07'!AB37,'19.07'!$AO$4:$AR$55,4,FALSE))</f>
        <v>0</v>
      </c>
      <c r="U37" s="4">
        <f>(VLOOKUP('19.07'!AC37,'19.07'!$AO$4:$AR$55,4,FALSE))</f>
        <v>0</v>
      </c>
      <c r="V37" s="4">
        <f>(VLOOKUP('19.07'!AD37,'19.07'!$AO$4:$AR$55,4,FALSE))</f>
        <v>0</v>
      </c>
      <c r="W37" s="4">
        <f>(VLOOKUP('19.07'!AE37,'19.07'!$AO$4:$AR$55,4,FALSE))</f>
        <v>0</v>
      </c>
      <c r="X37" s="4">
        <f>(VLOOKUP('19.07'!AF37,'19.07'!$AO$4:$AR$55,4,FALSE))</f>
        <v>0</v>
      </c>
    </row>
    <row r="38" spans="1:24">
      <c r="A38" s="4">
        <f>(VLOOKUP('19.07'!I38,'19.07'!$AO$4:$AR$55,4,FALSE))</f>
        <v>0</v>
      </c>
      <c r="B38" s="4">
        <f>(VLOOKUP('19.07'!J38,'19.07'!$AO$4:$AR$55,4,FALSE))</f>
        <v>0</v>
      </c>
      <c r="C38" s="4">
        <f>(VLOOKUP('19.07'!K38,'19.07'!$AO$4:$AR$55,4,FALSE))</f>
        <v>0</v>
      </c>
      <c r="D38" s="4">
        <f>(VLOOKUP('19.07'!L38,'19.07'!$AO$4:$AR$55,4,FALSE))</f>
        <v>0</v>
      </c>
      <c r="E38" s="4">
        <f>(VLOOKUP('19.07'!M38,'19.07'!$AO$4:$AR$55,4,FALSE))</f>
        <v>0</v>
      </c>
      <c r="F38" s="4">
        <f>(VLOOKUP('19.07'!N38,'19.07'!$AO$4:$AR$55,4,FALSE))</f>
        <v>0</v>
      </c>
      <c r="G38" s="4">
        <f>(VLOOKUP('19.07'!O38,'19.07'!$AO$4:$AR$55,4,FALSE))</f>
        <v>0</v>
      </c>
      <c r="H38" s="4">
        <f>(VLOOKUP('19.07'!P38,'19.07'!$AO$4:$AR$55,4,FALSE))</f>
        <v>0</v>
      </c>
      <c r="I38" s="4">
        <f>(VLOOKUP('19.07'!Q38,'19.07'!$AO$4:$AR$55,4,FALSE))</f>
        <v>36</v>
      </c>
      <c r="J38" s="4">
        <f>(VLOOKUP('19.07'!R38,'19.07'!$AO$4:$AR$55,4,FALSE))</f>
        <v>10</v>
      </c>
      <c r="K38" s="4">
        <f>(VLOOKUP('19.07'!S38,'19.07'!$AO$4:$AR$55,4,FALSE))</f>
        <v>0</v>
      </c>
      <c r="L38" s="4">
        <f>(VLOOKUP('19.07'!T38,'19.07'!$AO$4:$AR$55,4,FALSE))</f>
        <v>0</v>
      </c>
      <c r="M38" s="4">
        <f>(VLOOKUP('19.07'!U38,'19.07'!$AO$4:$AR$55,4,FALSE))</f>
        <v>0</v>
      </c>
      <c r="N38" s="4">
        <f>(VLOOKUP('19.07'!V38,'19.07'!$AO$4:$AR$55,4,FALSE))</f>
        <v>0</v>
      </c>
      <c r="O38" s="4">
        <f>(VLOOKUP('19.07'!W38,'19.07'!$AO$4:$AR$55,4,FALSE))</f>
        <v>0</v>
      </c>
      <c r="P38" s="4">
        <f>(VLOOKUP('19.07'!X38,'19.07'!$AO$4:$AR$55,4,FALSE))</f>
        <v>0</v>
      </c>
      <c r="Q38" s="4">
        <f>(VLOOKUP('19.07'!Y38,'19.07'!$AO$4:$AR$55,4,FALSE))</f>
        <v>0</v>
      </c>
      <c r="R38" s="4">
        <f>(VLOOKUP('19.07'!Z38,'19.07'!$AO$4:$AR$55,4,FALSE))</f>
        <v>0</v>
      </c>
      <c r="S38" s="4">
        <f>(VLOOKUP('19.07'!AA38,'19.07'!$AO$4:$AR$55,4,FALSE))</f>
        <v>0</v>
      </c>
      <c r="T38" s="4">
        <f>(VLOOKUP('19.07'!AB38,'19.07'!$AO$4:$AR$55,4,FALSE))</f>
        <v>0</v>
      </c>
      <c r="U38" s="4">
        <f>(VLOOKUP('19.07'!AC38,'19.07'!$AO$4:$AR$55,4,FALSE))</f>
        <v>0</v>
      </c>
      <c r="V38" s="4">
        <f>(VLOOKUP('19.07'!AD38,'19.07'!$AO$4:$AR$55,4,FALSE))</f>
        <v>0</v>
      </c>
      <c r="W38" s="4">
        <f>(VLOOKUP('19.07'!AE38,'19.07'!$AO$4:$AR$55,4,FALSE))</f>
        <v>0</v>
      </c>
      <c r="X38" s="4">
        <f>(VLOOKUP('19.07'!AF38,'19.07'!$AO$4:$AR$55,4,FALSE))</f>
        <v>0</v>
      </c>
    </row>
    <row r="39" spans="1:24">
      <c r="A39" s="4">
        <f>(VLOOKUP('19.07'!I39,'19.07'!$AO$4:$AR$55,4,FALSE))</f>
        <v>0</v>
      </c>
      <c r="B39" s="4">
        <f>(VLOOKUP('19.07'!J39,'19.07'!$AO$4:$AR$55,4,FALSE))</f>
        <v>0</v>
      </c>
      <c r="C39" s="4">
        <f>(VLOOKUP('19.07'!K39,'19.07'!$AO$4:$AR$55,4,FALSE))</f>
        <v>0</v>
      </c>
      <c r="D39" s="4">
        <f>(VLOOKUP('19.07'!L39,'19.07'!$AO$4:$AR$55,4,FALSE))</f>
        <v>0</v>
      </c>
      <c r="E39" s="4">
        <f>(VLOOKUP('19.07'!M39,'19.07'!$AO$4:$AR$55,4,FALSE))</f>
        <v>0</v>
      </c>
      <c r="F39" s="4">
        <f>(VLOOKUP('19.07'!N39,'19.07'!$AO$4:$AR$55,4,FALSE))</f>
        <v>0</v>
      </c>
      <c r="G39" s="4">
        <f>(VLOOKUP('19.07'!O39,'19.07'!$AO$4:$AR$55,4,FALSE))</f>
        <v>0</v>
      </c>
      <c r="H39" s="4">
        <f>(VLOOKUP('19.07'!P39,'19.07'!$AO$4:$AR$55,4,FALSE))</f>
        <v>0</v>
      </c>
      <c r="I39" s="4">
        <f>(VLOOKUP('19.07'!Q39,'19.07'!$AO$4:$AR$55,4,FALSE))</f>
        <v>0</v>
      </c>
      <c r="J39" s="4">
        <f>(VLOOKUP('19.07'!R39,'19.07'!$AO$4:$AR$55,4,FALSE))</f>
        <v>0</v>
      </c>
      <c r="K39" s="4">
        <f>(VLOOKUP('19.07'!S39,'19.07'!$AO$4:$AR$55,4,FALSE))</f>
        <v>0</v>
      </c>
      <c r="L39" s="4">
        <f>(VLOOKUP('19.07'!T39,'19.07'!$AO$4:$AR$55,4,FALSE))</f>
        <v>0</v>
      </c>
      <c r="M39" s="4">
        <f>(VLOOKUP('19.07'!U39,'19.07'!$AO$4:$AR$55,4,FALSE))</f>
        <v>0</v>
      </c>
      <c r="N39" s="4">
        <f>(VLOOKUP('19.07'!V39,'19.07'!$AO$4:$AR$55,4,FALSE))</f>
        <v>0</v>
      </c>
      <c r="O39" s="4">
        <f>(VLOOKUP('19.07'!W39,'19.07'!$AO$4:$AR$55,4,FALSE))</f>
        <v>0</v>
      </c>
      <c r="P39" s="4">
        <f>(VLOOKUP('19.07'!X39,'19.07'!$AO$4:$AR$55,4,FALSE))</f>
        <v>0</v>
      </c>
      <c r="Q39" s="4">
        <f>(VLOOKUP('19.07'!Y39,'19.07'!$AO$4:$AR$55,4,FALSE))</f>
        <v>0</v>
      </c>
      <c r="R39" s="4">
        <f>(VLOOKUP('19.07'!Z39,'19.07'!$AO$4:$AR$55,4,FALSE))</f>
        <v>0</v>
      </c>
      <c r="S39" s="4">
        <f>(VLOOKUP('19.07'!AA39,'19.07'!$AO$4:$AR$55,4,FALSE))</f>
        <v>0</v>
      </c>
      <c r="T39" s="4">
        <f>(VLOOKUP('19.07'!AB39,'19.07'!$AO$4:$AR$55,4,FALSE))</f>
        <v>0</v>
      </c>
      <c r="U39" s="4">
        <f>(VLOOKUP('19.07'!AC39,'19.07'!$AO$4:$AR$55,4,FALSE))</f>
        <v>0</v>
      </c>
      <c r="V39" s="4">
        <f>(VLOOKUP('19.07'!AD39,'19.07'!$AO$4:$AR$55,4,FALSE))</f>
        <v>0</v>
      </c>
      <c r="W39" s="4">
        <f>(VLOOKUP('19.07'!AE39,'19.07'!$AO$4:$AR$55,4,FALSE))</f>
        <v>0</v>
      </c>
      <c r="X39" s="4">
        <f>(VLOOKUP('19.07'!AF39,'19.07'!$AO$4:$AR$55,4,FALSE))</f>
        <v>0</v>
      </c>
    </row>
    <row r="40" spans="1:24">
      <c r="A40" s="4">
        <f>(VLOOKUP('19.07'!I40,'19.07'!$AO$4:$AR$55,4,FALSE))</f>
        <v>0</v>
      </c>
      <c r="B40" s="4">
        <f>(VLOOKUP('19.07'!J40,'19.07'!$AO$4:$AR$55,4,FALSE))</f>
        <v>0</v>
      </c>
      <c r="C40" s="4">
        <f>(VLOOKUP('19.07'!K40,'19.07'!$AO$4:$AR$55,4,FALSE))</f>
        <v>0</v>
      </c>
      <c r="D40" s="4">
        <f>(VLOOKUP('19.07'!L40,'19.07'!$AO$4:$AR$55,4,FALSE))</f>
        <v>0</v>
      </c>
      <c r="E40" s="4">
        <f>(VLOOKUP('19.07'!M40,'19.07'!$AO$4:$AR$55,4,FALSE))</f>
        <v>0</v>
      </c>
      <c r="F40" s="4">
        <f>(VLOOKUP('19.07'!N40,'19.07'!$AO$4:$AR$55,4,FALSE))</f>
        <v>0</v>
      </c>
      <c r="G40" s="4">
        <f>(VLOOKUP('19.07'!O40,'19.07'!$AO$4:$AR$55,4,FALSE))</f>
        <v>0</v>
      </c>
      <c r="H40" s="4">
        <f>(VLOOKUP('19.07'!P40,'19.07'!$AO$4:$AR$55,4,FALSE))</f>
        <v>0</v>
      </c>
      <c r="I40" s="4">
        <f>(VLOOKUP('19.07'!Q40,'19.07'!$AO$4:$AR$55,4,FALSE))</f>
        <v>0</v>
      </c>
      <c r="J40" s="4">
        <f>(VLOOKUP('19.07'!R40,'19.07'!$AO$4:$AR$55,4,FALSE))</f>
        <v>0</v>
      </c>
      <c r="K40" s="4">
        <f>(VLOOKUP('19.07'!S40,'19.07'!$AO$4:$AR$55,4,FALSE))</f>
        <v>0</v>
      </c>
      <c r="L40" s="4">
        <f>(VLOOKUP('19.07'!T40,'19.07'!$AO$4:$AR$55,4,FALSE))</f>
        <v>0</v>
      </c>
      <c r="M40" s="4">
        <f>(VLOOKUP('19.07'!U40,'19.07'!$AO$4:$AR$55,4,FALSE))</f>
        <v>0</v>
      </c>
      <c r="N40" s="4">
        <f>(VLOOKUP('19.07'!V40,'19.07'!$AO$4:$AR$55,4,FALSE))</f>
        <v>0</v>
      </c>
      <c r="O40" s="4">
        <f>(VLOOKUP('19.07'!W40,'19.07'!$AO$4:$AR$55,4,FALSE))</f>
        <v>0</v>
      </c>
      <c r="P40" s="4">
        <f>(VLOOKUP('19.07'!X40,'19.07'!$AO$4:$AR$55,4,FALSE))</f>
        <v>0</v>
      </c>
      <c r="Q40" s="4">
        <f>(VLOOKUP('19.07'!Y40,'19.07'!$AO$4:$AR$55,4,FALSE))</f>
        <v>39.110982162825401</v>
      </c>
      <c r="R40" s="4">
        <f>(VLOOKUP('19.07'!Z40,'19.07'!$AO$4:$AR$55,4,FALSE))</f>
        <v>39.110982162825401</v>
      </c>
      <c r="S40" s="4">
        <f>(VLOOKUP('19.07'!AA40,'19.07'!$AO$4:$AR$55,4,FALSE))</f>
        <v>10</v>
      </c>
      <c r="T40" s="4">
        <f>(VLOOKUP('19.07'!AB40,'19.07'!$AO$4:$AR$55,4,FALSE))</f>
        <v>39.110982162825401</v>
      </c>
      <c r="U40" s="4">
        <f>(VLOOKUP('19.07'!AC40,'19.07'!$AO$4:$AR$55,4,FALSE))</f>
        <v>39.110982162825401</v>
      </c>
      <c r="V40" s="4">
        <f>(VLOOKUP('19.07'!AD40,'19.07'!$AO$4:$AR$55,4,FALSE))</f>
        <v>10</v>
      </c>
      <c r="W40" s="4">
        <f>(VLOOKUP('19.07'!AE40,'19.07'!$AO$4:$AR$55,4,FALSE))</f>
        <v>0</v>
      </c>
      <c r="X40" s="4">
        <f>(VLOOKUP('19.07'!AF40,'19.07'!$AO$4:$AR$55,4,FALSE))</f>
        <v>0</v>
      </c>
    </row>
    <row r="41" spans="1:24">
      <c r="A41" s="4">
        <f>(VLOOKUP('19.07'!I41,'19.07'!$AO$4:$AR$55,4,FALSE))</f>
        <v>0</v>
      </c>
      <c r="B41" s="4">
        <f>(VLOOKUP('19.07'!J41,'19.07'!$AO$4:$AR$55,4,FALSE))</f>
        <v>0</v>
      </c>
      <c r="C41" s="4">
        <f>(VLOOKUP('19.07'!K41,'19.07'!$AO$4:$AR$55,4,FALSE))</f>
        <v>0</v>
      </c>
      <c r="D41" s="4">
        <f>(VLOOKUP('19.07'!L41,'19.07'!$AO$4:$AR$55,4,FALSE))</f>
        <v>0</v>
      </c>
      <c r="E41" s="4">
        <f>(VLOOKUP('19.07'!M41,'19.07'!$AO$4:$AR$55,4,FALSE))</f>
        <v>0</v>
      </c>
      <c r="F41" s="4">
        <f>(VLOOKUP('19.07'!N41,'19.07'!$AO$4:$AR$55,4,FALSE))</f>
        <v>0</v>
      </c>
      <c r="G41" s="4">
        <f>(VLOOKUP('19.07'!O41,'19.07'!$AO$4:$AR$55,4,FALSE))</f>
        <v>0</v>
      </c>
      <c r="H41" s="4">
        <f>(VLOOKUP('19.07'!P41,'19.07'!$AO$4:$AR$55,4,FALSE))</f>
        <v>0</v>
      </c>
      <c r="I41" s="4">
        <f>(VLOOKUP('19.07'!Q41,'19.07'!$AO$4:$AR$55,4,FALSE))</f>
        <v>0</v>
      </c>
      <c r="J41" s="4">
        <f>(VLOOKUP('19.07'!R41,'19.07'!$AO$4:$AR$55,4,FALSE))</f>
        <v>0</v>
      </c>
      <c r="K41" s="4">
        <f>(VLOOKUP('19.07'!S41,'19.07'!$AO$4:$AR$55,4,FALSE))</f>
        <v>0</v>
      </c>
      <c r="L41" s="4">
        <f>(VLOOKUP('19.07'!T41,'19.07'!$AO$4:$AR$55,4,FALSE))</f>
        <v>0</v>
      </c>
      <c r="M41" s="4">
        <f>(VLOOKUP('19.07'!U41,'19.07'!$AO$4:$AR$55,4,FALSE))</f>
        <v>0</v>
      </c>
      <c r="N41" s="4">
        <f>(VLOOKUP('19.07'!V41,'19.07'!$AO$4:$AR$55,4,FALSE))</f>
        <v>0</v>
      </c>
      <c r="O41" s="4">
        <f>(VLOOKUP('19.07'!W41,'19.07'!$AO$4:$AR$55,4,FALSE))</f>
        <v>0</v>
      </c>
      <c r="P41" s="4">
        <f>(VLOOKUP('19.07'!X41,'19.07'!$AO$4:$AR$55,4,FALSE))</f>
        <v>0</v>
      </c>
      <c r="Q41" s="4">
        <f>(VLOOKUP('19.07'!Y41,'19.07'!$AO$4:$AR$55,4,FALSE))</f>
        <v>0</v>
      </c>
      <c r="R41" s="4">
        <f>(VLOOKUP('19.07'!Z41,'19.07'!$AO$4:$AR$55,4,FALSE))</f>
        <v>0</v>
      </c>
      <c r="S41" s="4">
        <f>(VLOOKUP('19.07'!AA41,'19.07'!$AO$4:$AR$55,4,FALSE))</f>
        <v>0</v>
      </c>
      <c r="T41" s="4">
        <f>(VLOOKUP('19.07'!AB41,'19.07'!$AO$4:$AR$55,4,FALSE))</f>
        <v>0</v>
      </c>
      <c r="U41" s="4">
        <f>(VLOOKUP('19.07'!AC41,'19.07'!$AO$4:$AR$55,4,FALSE))</f>
        <v>0</v>
      </c>
      <c r="V41" s="4">
        <f>(VLOOKUP('19.07'!AD41,'19.07'!$AO$4:$AR$55,4,FALSE))</f>
        <v>0</v>
      </c>
      <c r="W41" s="4">
        <f>(VLOOKUP('19.07'!AE41,'19.07'!$AO$4:$AR$55,4,FALSE))</f>
        <v>0</v>
      </c>
      <c r="X41" s="4">
        <f>(VLOOKUP('19.07'!AF41,'19.07'!$AO$4:$AR$55,4,FALSE))</f>
        <v>0</v>
      </c>
    </row>
    <row r="42" spans="1:24">
      <c r="A42" s="4">
        <f>(VLOOKUP('19.07'!I42,'19.07'!$AO$4:$AR$55,4,FALSE))</f>
        <v>0</v>
      </c>
      <c r="B42" s="4">
        <f>(VLOOKUP('19.07'!J42,'19.07'!$AO$4:$AR$55,4,FALSE))</f>
        <v>0</v>
      </c>
      <c r="C42" s="4">
        <f>(VLOOKUP('19.07'!K42,'19.07'!$AO$4:$AR$55,4,FALSE))</f>
        <v>0</v>
      </c>
      <c r="D42" s="4">
        <f>(VLOOKUP('19.07'!L42,'19.07'!$AO$4:$AR$55,4,FALSE))</f>
        <v>0</v>
      </c>
      <c r="E42" s="4">
        <f>(VLOOKUP('19.07'!M42,'19.07'!$AO$4:$AR$55,4,FALSE))</f>
        <v>0</v>
      </c>
      <c r="F42" s="4">
        <f>(VLOOKUP('19.07'!N42,'19.07'!$AO$4:$AR$55,4,FALSE))</f>
        <v>0</v>
      </c>
      <c r="G42" s="4">
        <f>(VLOOKUP('19.07'!O42,'19.07'!$AO$4:$AR$55,4,FALSE))</f>
        <v>0</v>
      </c>
      <c r="H42" s="4">
        <f>(VLOOKUP('19.07'!P42,'19.07'!$AO$4:$AR$55,4,FALSE))</f>
        <v>0</v>
      </c>
      <c r="I42" s="4">
        <f>(VLOOKUP('19.07'!Q42,'19.07'!$AO$4:$AR$55,4,FALSE))</f>
        <v>0</v>
      </c>
      <c r="J42" s="4">
        <f>(VLOOKUP('19.07'!R42,'19.07'!$AO$4:$AR$55,4,FALSE))</f>
        <v>0</v>
      </c>
      <c r="K42" s="4">
        <f>(VLOOKUP('19.07'!S42,'19.07'!$AO$4:$AR$55,4,FALSE))</f>
        <v>0</v>
      </c>
      <c r="L42" s="4">
        <f>(VLOOKUP('19.07'!T42,'19.07'!$AO$4:$AR$55,4,FALSE))</f>
        <v>0</v>
      </c>
      <c r="M42" s="4">
        <f>(VLOOKUP('19.07'!U42,'19.07'!$AO$4:$AR$55,4,FALSE))</f>
        <v>0</v>
      </c>
      <c r="N42" s="4">
        <f>(VLOOKUP('19.07'!V42,'19.07'!$AO$4:$AR$55,4,FALSE))</f>
        <v>0</v>
      </c>
      <c r="O42" s="4">
        <f>(VLOOKUP('19.07'!W42,'19.07'!$AO$4:$AR$55,4,FALSE))</f>
        <v>0</v>
      </c>
      <c r="P42" s="4">
        <f>(VLOOKUP('19.07'!X42,'19.07'!$AO$4:$AR$55,4,FALSE))</f>
        <v>0</v>
      </c>
      <c r="Q42" s="4">
        <f>(VLOOKUP('19.07'!Y42,'19.07'!$AO$4:$AR$55,4,FALSE))</f>
        <v>0</v>
      </c>
      <c r="R42" s="4">
        <f>(VLOOKUP('19.07'!Z42,'19.07'!$AO$4:$AR$55,4,FALSE))</f>
        <v>0</v>
      </c>
      <c r="S42" s="4">
        <f>(VLOOKUP('19.07'!AA42,'19.07'!$AO$4:$AR$55,4,FALSE))</f>
        <v>0</v>
      </c>
      <c r="T42" s="4">
        <f>(VLOOKUP('19.07'!AB42,'19.07'!$AO$4:$AR$55,4,FALSE))</f>
        <v>0</v>
      </c>
      <c r="U42" s="4">
        <f>(VLOOKUP('19.07'!AC42,'19.07'!$AO$4:$AR$55,4,FALSE))</f>
        <v>0</v>
      </c>
      <c r="V42" s="4">
        <f>(VLOOKUP('19.07'!AD42,'19.07'!$AO$4:$AR$55,4,FALSE))</f>
        <v>0</v>
      </c>
      <c r="W42" s="4">
        <f>(VLOOKUP('19.07'!AE42,'19.07'!$AO$4:$AR$55,4,FALSE))</f>
        <v>0</v>
      </c>
      <c r="X42" s="4">
        <f>(VLOOKUP('19.07'!AF42,'19.07'!$AO$4:$AR$55,4,FALSE))</f>
        <v>0</v>
      </c>
    </row>
    <row r="43" spans="1:24">
      <c r="A43" s="4">
        <f>(VLOOKUP('19.07'!I43,'19.07'!$AO$4:$AR$55,4,FALSE))</f>
        <v>0</v>
      </c>
      <c r="B43" s="4">
        <f>(VLOOKUP('19.07'!J43,'19.07'!$AO$4:$AR$55,4,FALSE))</f>
        <v>0</v>
      </c>
      <c r="C43" s="4">
        <f>(VLOOKUP('19.07'!K43,'19.07'!$AO$4:$AR$55,4,FALSE))</f>
        <v>0</v>
      </c>
      <c r="D43" s="4">
        <f>(VLOOKUP('19.07'!L43,'19.07'!$AO$4:$AR$55,4,FALSE))</f>
        <v>0</v>
      </c>
      <c r="E43" s="4">
        <f>(VLOOKUP('19.07'!M43,'19.07'!$AO$4:$AR$55,4,FALSE))</f>
        <v>0</v>
      </c>
      <c r="F43" s="4">
        <f>(VLOOKUP('19.07'!N43,'19.07'!$AO$4:$AR$55,4,FALSE))</f>
        <v>0</v>
      </c>
      <c r="G43" s="4">
        <f>(VLOOKUP('19.07'!O43,'19.07'!$AO$4:$AR$55,4,FALSE))</f>
        <v>0</v>
      </c>
      <c r="H43" s="4">
        <f>(VLOOKUP('19.07'!P43,'19.07'!$AO$4:$AR$55,4,FALSE))</f>
        <v>0</v>
      </c>
      <c r="I43" s="4">
        <f>(VLOOKUP('19.07'!Q43,'19.07'!$AO$4:$AR$55,4,FALSE))</f>
        <v>0</v>
      </c>
      <c r="J43" s="4">
        <f>(VLOOKUP('19.07'!R43,'19.07'!$AO$4:$AR$55,4,FALSE))</f>
        <v>0</v>
      </c>
      <c r="K43" s="4">
        <f>(VLOOKUP('19.07'!S43,'19.07'!$AO$4:$AR$55,4,FALSE))</f>
        <v>0</v>
      </c>
      <c r="L43" s="4">
        <f>(VLOOKUP('19.07'!T43,'19.07'!$AO$4:$AR$55,4,FALSE))</f>
        <v>0</v>
      </c>
      <c r="M43" s="4">
        <f>(VLOOKUP('19.07'!U43,'19.07'!$AO$4:$AR$55,4,FALSE))</f>
        <v>0</v>
      </c>
      <c r="N43" s="4">
        <f>(VLOOKUP('19.07'!V43,'19.07'!$AO$4:$AR$55,4,FALSE))</f>
        <v>0</v>
      </c>
      <c r="O43" s="4">
        <f>(VLOOKUP('19.07'!W43,'19.07'!$AO$4:$AR$55,4,FALSE))</f>
        <v>0</v>
      </c>
      <c r="P43" s="4">
        <f>(VLOOKUP('19.07'!X43,'19.07'!$AO$4:$AR$55,4,FALSE))</f>
        <v>0</v>
      </c>
      <c r="Q43" s="4">
        <f>(VLOOKUP('19.07'!Y43,'19.07'!$AO$4:$AR$55,4,FALSE))</f>
        <v>0</v>
      </c>
      <c r="R43" s="4">
        <f>(VLOOKUP('19.07'!Z43,'19.07'!$AO$4:$AR$55,4,FALSE))</f>
        <v>0</v>
      </c>
      <c r="S43" s="4">
        <f>(VLOOKUP('19.07'!AA43,'19.07'!$AO$4:$AR$55,4,FALSE))</f>
        <v>0</v>
      </c>
      <c r="T43" s="4">
        <f>(VLOOKUP('19.07'!AB43,'19.07'!$AO$4:$AR$55,4,FALSE))</f>
        <v>0</v>
      </c>
      <c r="U43" s="4">
        <f>(VLOOKUP('19.07'!AC43,'19.07'!$AO$4:$AR$55,4,FALSE))</f>
        <v>0</v>
      </c>
      <c r="V43" s="4">
        <f>(VLOOKUP('19.07'!AD43,'19.07'!$AO$4:$AR$55,4,FALSE))</f>
        <v>0</v>
      </c>
      <c r="W43" s="4">
        <f>(VLOOKUP('19.07'!AE43,'19.07'!$AO$4:$AR$55,4,FALSE))</f>
        <v>0</v>
      </c>
      <c r="X43" s="4">
        <f>(VLOOKUP('19.07'!AF43,'19.07'!$AO$4:$AR$55,4,FALSE))</f>
        <v>0</v>
      </c>
    </row>
    <row r="44" spans="1:24">
      <c r="A44" s="4">
        <f>(VLOOKUP('19.07'!I44,'19.07'!$AO$4:$AR$55,4,FALSE))</f>
        <v>0</v>
      </c>
      <c r="B44" s="4">
        <f>(VLOOKUP('19.07'!J44,'19.07'!$AO$4:$AR$55,4,FALSE))</f>
        <v>0</v>
      </c>
      <c r="C44" s="4">
        <f>(VLOOKUP('19.07'!K44,'19.07'!$AO$4:$AR$55,4,FALSE))</f>
        <v>0</v>
      </c>
      <c r="D44" s="4">
        <f>(VLOOKUP('19.07'!L44,'19.07'!$AO$4:$AR$55,4,FALSE))</f>
        <v>0</v>
      </c>
      <c r="E44" s="4">
        <f>(VLOOKUP('19.07'!M44,'19.07'!$AO$4:$AR$55,4,FALSE))</f>
        <v>0</v>
      </c>
      <c r="F44" s="4">
        <f>(VLOOKUP('19.07'!N44,'19.07'!$AO$4:$AR$55,4,FALSE))</f>
        <v>0</v>
      </c>
      <c r="G44" s="4">
        <f>(VLOOKUP('19.07'!O44,'19.07'!$AO$4:$AR$55,4,FALSE))</f>
        <v>0</v>
      </c>
      <c r="H44" s="4">
        <f>(VLOOKUP('19.07'!P44,'19.07'!$AO$4:$AR$55,4,FALSE))</f>
        <v>0</v>
      </c>
      <c r="I44" s="4">
        <f>(VLOOKUP('19.07'!Q44,'19.07'!$AO$4:$AR$55,4,FALSE))</f>
        <v>0</v>
      </c>
      <c r="J44" s="4">
        <f>(VLOOKUP('19.07'!R44,'19.07'!$AO$4:$AR$55,4,FALSE))</f>
        <v>0</v>
      </c>
      <c r="K44" s="4">
        <f>(VLOOKUP('19.07'!S44,'19.07'!$AO$4:$AR$55,4,FALSE))</f>
        <v>0</v>
      </c>
      <c r="L44" s="4">
        <f>(VLOOKUP('19.07'!T44,'19.07'!$AO$4:$AR$55,4,FALSE))</f>
        <v>0</v>
      </c>
      <c r="M44" s="4">
        <f>(VLOOKUP('19.07'!U44,'19.07'!$AO$4:$AR$55,4,FALSE))</f>
        <v>0</v>
      </c>
      <c r="N44" s="4">
        <f>(VLOOKUP('19.07'!V44,'19.07'!$AO$4:$AR$55,4,FALSE))</f>
        <v>0</v>
      </c>
      <c r="O44" s="4">
        <f>(VLOOKUP('19.07'!W44,'19.07'!$AO$4:$AR$55,4,FALSE))</f>
        <v>0</v>
      </c>
      <c r="P44" s="4">
        <f>(VLOOKUP('19.07'!X44,'19.07'!$AO$4:$AR$55,4,FALSE))</f>
        <v>0</v>
      </c>
      <c r="Q44" s="4">
        <f>(VLOOKUP('19.07'!Y44,'19.07'!$AO$4:$AR$55,4,FALSE))</f>
        <v>0</v>
      </c>
      <c r="R44" s="4">
        <f>(VLOOKUP('19.07'!Z44,'19.07'!$AO$4:$AR$55,4,FALSE))</f>
        <v>0</v>
      </c>
      <c r="S44" s="4">
        <f>(VLOOKUP('19.07'!AA44,'19.07'!$AO$4:$AR$55,4,FALSE))</f>
        <v>0</v>
      </c>
      <c r="T44" s="4">
        <f>(VLOOKUP('19.07'!AB44,'19.07'!$AO$4:$AR$55,4,FALSE))</f>
        <v>0</v>
      </c>
      <c r="U44" s="4">
        <f>(VLOOKUP('19.07'!AC44,'19.07'!$AO$4:$AR$55,4,FALSE))</f>
        <v>0</v>
      </c>
      <c r="V44" s="4">
        <f>(VLOOKUP('19.07'!AD44,'19.07'!$AO$4:$AR$55,4,FALSE))</f>
        <v>0</v>
      </c>
      <c r="W44" s="4">
        <f>(VLOOKUP('19.07'!AE44,'19.07'!$AO$4:$AR$55,4,FALSE))</f>
        <v>0</v>
      </c>
      <c r="X44" s="4">
        <f>(VLOOKUP('19.07'!AF44,'19.07'!$AO$4:$AR$55,4,FALSE))</f>
        <v>0</v>
      </c>
    </row>
    <row r="45" spans="1:24">
      <c r="A45" s="4">
        <f>(VLOOKUP('19.07'!I45,'19.07'!$AO$4:$AR$55,4,FALSE))</f>
        <v>0</v>
      </c>
      <c r="B45" s="4">
        <f>(VLOOKUP('19.07'!J45,'19.07'!$AO$4:$AR$55,4,FALSE))</f>
        <v>0</v>
      </c>
      <c r="C45" s="4">
        <f>(VLOOKUP('19.07'!K45,'19.07'!$AO$4:$AR$55,4,FALSE))</f>
        <v>0</v>
      </c>
      <c r="D45" s="4">
        <f>(VLOOKUP('19.07'!L45,'19.07'!$AO$4:$AR$55,4,FALSE))</f>
        <v>0</v>
      </c>
      <c r="E45" s="4">
        <f>(VLOOKUP('19.07'!M45,'19.07'!$AO$4:$AR$55,4,FALSE))</f>
        <v>0</v>
      </c>
      <c r="F45" s="4">
        <f>(VLOOKUP('19.07'!N45,'19.07'!$AO$4:$AR$55,4,FALSE))</f>
        <v>0</v>
      </c>
      <c r="G45" s="4">
        <f>(VLOOKUP('19.07'!O45,'19.07'!$AO$4:$AR$55,4,FALSE))</f>
        <v>0</v>
      </c>
      <c r="H45" s="4">
        <f>(VLOOKUP('19.07'!P45,'19.07'!$AO$4:$AR$55,4,FALSE))</f>
        <v>0</v>
      </c>
      <c r="I45" s="4">
        <f>(VLOOKUP('19.07'!Q45,'19.07'!$AO$4:$AR$55,4,FALSE))</f>
        <v>0</v>
      </c>
      <c r="J45" s="4">
        <f>(VLOOKUP('19.07'!R45,'19.07'!$AO$4:$AR$55,4,FALSE))</f>
        <v>0</v>
      </c>
      <c r="K45" s="4">
        <f>(VLOOKUP('19.07'!S45,'19.07'!$AO$4:$AR$55,4,FALSE))</f>
        <v>0</v>
      </c>
      <c r="L45" s="4">
        <f>(VLOOKUP('19.07'!T45,'19.07'!$AO$4:$AR$55,4,FALSE))</f>
        <v>0</v>
      </c>
      <c r="M45" s="4">
        <f>(VLOOKUP('19.07'!U45,'19.07'!$AO$4:$AR$55,4,FALSE))</f>
        <v>0</v>
      </c>
      <c r="N45" s="4">
        <f>(VLOOKUP('19.07'!V45,'19.07'!$AO$4:$AR$55,4,FALSE))</f>
        <v>0</v>
      </c>
      <c r="O45" s="4">
        <f>(VLOOKUP('19.07'!W45,'19.07'!$AO$4:$AR$55,4,FALSE))</f>
        <v>0</v>
      </c>
      <c r="P45" s="4">
        <f>(VLOOKUP('19.07'!X45,'19.07'!$AO$4:$AR$55,4,FALSE))</f>
        <v>0</v>
      </c>
      <c r="Q45" s="4">
        <f>(VLOOKUP('19.07'!Y45,'19.07'!$AO$4:$AR$55,4,FALSE))</f>
        <v>0</v>
      </c>
      <c r="R45" s="4">
        <f>(VLOOKUP('19.07'!Z45,'19.07'!$AO$4:$AR$55,4,FALSE))</f>
        <v>0</v>
      </c>
      <c r="S45" s="4">
        <f>(VLOOKUP('19.07'!AA45,'19.07'!$AO$4:$AR$55,4,FALSE))</f>
        <v>0</v>
      </c>
      <c r="T45" s="4">
        <f>(VLOOKUP('19.07'!AB45,'19.07'!$AO$4:$AR$55,4,FALSE))</f>
        <v>0</v>
      </c>
      <c r="U45" s="4">
        <f>(VLOOKUP('19.07'!AC45,'19.07'!$AO$4:$AR$55,4,FALSE))</f>
        <v>0</v>
      </c>
      <c r="V45" s="4">
        <f>(VLOOKUP('19.07'!AD45,'19.07'!$AO$4:$AR$55,4,FALSE))</f>
        <v>0</v>
      </c>
      <c r="W45" s="4">
        <f>(VLOOKUP('19.07'!AE45,'19.07'!$AO$4:$AR$55,4,FALSE))</f>
        <v>0</v>
      </c>
      <c r="X45" s="4">
        <f>(VLOOKUP('19.07'!AF45,'19.07'!$AO$4:$AR$55,4,FALSE))</f>
        <v>0</v>
      </c>
    </row>
    <row r="46" spans="1:24">
      <c r="A46" s="4">
        <f>(VLOOKUP('19.07'!I46,'19.07'!$AO$4:$AR$55,4,FALSE))</f>
        <v>0</v>
      </c>
      <c r="B46" s="4">
        <f>(VLOOKUP('19.07'!J46,'19.07'!$AO$4:$AR$55,4,FALSE))</f>
        <v>0</v>
      </c>
      <c r="C46" s="4">
        <f>(VLOOKUP('19.07'!K46,'19.07'!$AO$4:$AR$55,4,FALSE))</f>
        <v>0</v>
      </c>
      <c r="D46" s="4">
        <f>(VLOOKUP('19.07'!L46,'19.07'!$AO$4:$AR$55,4,FALSE))</f>
        <v>0</v>
      </c>
      <c r="E46" s="4">
        <f>(VLOOKUP('19.07'!M46,'19.07'!$AO$4:$AR$55,4,FALSE))</f>
        <v>0</v>
      </c>
      <c r="F46" s="4">
        <f>(VLOOKUP('19.07'!N46,'19.07'!$AO$4:$AR$55,4,FALSE))</f>
        <v>0</v>
      </c>
      <c r="G46" s="4">
        <f>(VLOOKUP('19.07'!O46,'19.07'!$AO$4:$AR$55,4,FALSE))</f>
        <v>0</v>
      </c>
      <c r="H46" s="4">
        <f>(VLOOKUP('19.07'!P46,'19.07'!$AO$4:$AR$55,4,FALSE))</f>
        <v>0</v>
      </c>
      <c r="I46" s="4">
        <f>(VLOOKUP('19.07'!Q46,'19.07'!$AO$4:$AR$55,4,FALSE))</f>
        <v>0</v>
      </c>
      <c r="J46" s="4">
        <f>(VLOOKUP('19.07'!R46,'19.07'!$AO$4:$AR$55,4,FALSE))</f>
        <v>0</v>
      </c>
      <c r="K46" s="4">
        <f>(VLOOKUP('19.07'!S46,'19.07'!$AO$4:$AR$55,4,FALSE))</f>
        <v>0</v>
      </c>
      <c r="L46" s="4">
        <f>(VLOOKUP('19.07'!T46,'19.07'!$AO$4:$AR$55,4,FALSE))</f>
        <v>0</v>
      </c>
      <c r="M46" s="4">
        <f>(VLOOKUP('19.07'!U46,'19.07'!$AO$4:$AR$55,4,FALSE))</f>
        <v>0</v>
      </c>
      <c r="N46" s="4">
        <f>(VLOOKUP('19.07'!V46,'19.07'!$AO$4:$AR$55,4,FALSE))</f>
        <v>0</v>
      </c>
      <c r="O46" s="4">
        <f>(VLOOKUP('19.07'!W46,'19.07'!$AO$4:$AR$55,4,FALSE))</f>
        <v>0</v>
      </c>
      <c r="P46" s="4">
        <f>(VLOOKUP('19.07'!X46,'19.07'!$AO$4:$AR$55,4,FALSE))</f>
        <v>0</v>
      </c>
      <c r="Q46" s="4">
        <f>(VLOOKUP('19.07'!Y46,'19.07'!$AO$4:$AR$55,4,FALSE))</f>
        <v>0</v>
      </c>
      <c r="R46" s="4">
        <f>(VLOOKUP('19.07'!Z46,'19.07'!$AO$4:$AR$55,4,FALSE))</f>
        <v>0</v>
      </c>
      <c r="S46" s="4">
        <f>(VLOOKUP('19.07'!AA46,'19.07'!$AO$4:$AR$55,4,FALSE))</f>
        <v>0</v>
      </c>
      <c r="T46" s="4">
        <f>(VLOOKUP('19.07'!AB46,'19.07'!$AO$4:$AR$55,4,FALSE))</f>
        <v>0</v>
      </c>
      <c r="U46" s="4">
        <f>(VLOOKUP('19.07'!AC46,'19.07'!$AO$4:$AR$55,4,FALSE))</f>
        <v>0</v>
      </c>
      <c r="V46" s="4">
        <f>(VLOOKUP('19.07'!AD46,'19.07'!$AO$4:$AR$55,4,FALSE))</f>
        <v>0</v>
      </c>
      <c r="W46" s="4">
        <f>(VLOOKUP('19.07'!AE46,'19.07'!$AO$4:$AR$55,4,FALSE))</f>
        <v>0</v>
      </c>
      <c r="X46" s="4">
        <f>(VLOOKUP('19.07'!AF46,'19.07'!$AO$4:$AR$55,4,FALSE))</f>
        <v>0</v>
      </c>
    </row>
    <row r="47" spans="1:24">
      <c r="A47" s="4">
        <f>(VLOOKUP('19.07'!I47,'19.07'!$AO$4:$AR$55,4,FALSE))</f>
        <v>0</v>
      </c>
      <c r="B47" s="4">
        <f>(VLOOKUP('19.07'!J47,'19.07'!$AO$4:$AR$55,4,FALSE))</f>
        <v>0</v>
      </c>
      <c r="C47" s="4">
        <f>(VLOOKUP('19.07'!K47,'19.07'!$AO$4:$AR$55,4,FALSE))</f>
        <v>0</v>
      </c>
      <c r="D47" s="4">
        <f>(VLOOKUP('19.07'!L47,'19.07'!$AO$4:$AR$55,4,FALSE))</f>
        <v>0</v>
      </c>
      <c r="E47" s="4">
        <f>(VLOOKUP('19.07'!M47,'19.07'!$AO$4:$AR$55,4,FALSE))</f>
        <v>0</v>
      </c>
      <c r="F47" s="4">
        <f>(VLOOKUP('19.07'!N47,'19.07'!$AO$4:$AR$55,4,FALSE))</f>
        <v>0</v>
      </c>
      <c r="G47" s="4">
        <f>(VLOOKUP('19.07'!O47,'19.07'!$AO$4:$AR$55,4,FALSE))</f>
        <v>0</v>
      </c>
      <c r="H47" s="4">
        <f>(VLOOKUP('19.07'!P47,'19.07'!$AO$4:$AR$55,4,FALSE))</f>
        <v>0</v>
      </c>
      <c r="I47" s="4">
        <f>(VLOOKUP('19.07'!Q47,'19.07'!$AO$4:$AR$55,4,FALSE))</f>
        <v>0</v>
      </c>
      <c r="J47" s="4">
        <f>(VLOOKUP('19.07'!R47,'19.07'!$AO$4:$AR$55,4,FALSE))</f>
        <v>0</v>
      </c>
      <c r="K47" s="4">
        <f>(VLOOKUP('19.07'!S47,'19.07'!$AO$4:$AR$55,4,FALSE))</f>
        <v>0</v>
      </c>
      <c r="L47" s="4">
        <f>(VLOOKUP('19.07'!T47,'19.07'!$AO$4:$AR$55,4,FALSE))</f>
        <v>0</v>
      </c>
      <c r="M47" s="4">
        <f>(VLOOKUP('19.07'!U47,'19.07'!$AO$4:$AR$55,4,FALSE))</f>
        <v>0</v>
      </c>
      <c r="N47" s="4">
        <f>(VLOOKUP('19.07'!V47,'19.07'!$AO$4:$AR$55,4,FALSE))</f>
        <v>0</v>
      </c>
      <c r="O47" s="4">
        <f>(VLOOKUP('19.07'!W47,'19.07'!$AO$4:$AR$55,4,FALSE))</f>
        <v>0</v>
      </c>
      <c r="P47" s="4">
        <f>(VLOOKUP('19.07'!X47,'19.07'!$AO$4:$AR$55,4,FALSE))</f>
        <v>0</v>
      </c>
      <c r="Q47" s="4">
        <f>(VLOOKUP('19.07'!Y47,'19.07'!$AO$4:$AR$55,4,FALSE))</f>
        <v>0</v>
      </c>
      <c r="R47" s="4">
        <f>(VLOOKUP('19.07'!Z47,'19.07'!$AO$4:$AR$55,4,FALSE))</f>
        <v>0</v>
      </c>
      <c r="S47" s="4">
        <f>(VLOOKUP('19.07'!AA47,'19.07'!$AO$4:$AR$55,4,FALSE))</f>
        <v>0</v>
      </c>
      <c r="T47" s="4">
        <f>(VLOOKUP('19.07'!AB47,'19.07'!$AO$4:$AR$55,4,FALSE))</f>
        <v>0</v>
      </c>
      <c r="U47" s="4">
        <f>(VLOOKUP('19.07'!AC47,'19.07'!$AO$4:$AR$55,4,FALSE))</f>
        <v>0</v>
      </c>
      <c r="V47" s="4">
        <f>(VLOOKUP('19.07'!AD47,'19.07'!$AO$4:$AR$55,4,FALSE))</f>
        <v>0</v>
      </c>
      <c r="W47" s="4">
        <f>(VLOOKUP('19.07'!AE47,'19.07'!$AO$4:$AR$55,4,FALSE))</f>
        <v>0</v>
      </c>
      <c r="X47" s="4">
        <f>(VLOOKUP('19.07'!AF47,'19.07'!$AO$4:$AR$55,4,FALSE))</f>
        <v>0</v>
      </c>
    </row>
    <row r="48" spans="1:24">
      <c r="A48" s="4">
        <f>(VLOOKUP('19.07'!I48,'19.07'!$AO$4:$AR$55,4,FALSE))</f>
        <v>0</v>
      </c>
      <c r="B48" s="4">
        <f>(VLOOKUP('19.07'!J48,'19.07'!$AO$4:$AR$55,4,FALSE))</f>
        <v>0</v>
      </c>
      <c r="C48" s="4">
        <f>(VLOOKUP('19.07'!K48,'19.07'!$AO$4:$AR$55,4,FALSE))</f>
        <v>0</v>
      </c>
      <c r="D48" s="4">
        <f>(VLOOKUP('19.07'!L48,'19.07'!$AO$4:$AR$55,4,FALSE))</f>
        <v>0</v>
      </c>
      <c r="E48" s="4">
        <f>(VLOOKUP('19.07'!M48,'19.07'!$AO$4:$AR$55,4,FALSE))</f>
        <v>0</v>
      </c>
      <c r="F48" s="4">
        <f>(VLOOKUP('19.07'!N48,'19.07'!$AO$4:$AR$55,4,FALSE))</f>
        <v>0</v>
      </c>
      <c r="G48" s="4">
        <f>(VLOOKUP('19.07'!O48,'19.07'!$AO$4:$AR$55,4,FALSE))</f>
        <v>0</v>
      </c>
      <c r="H48" s="4">
        <f>(VLOOKUP('19.07'!P48,'19.07'!$AO$4:$AR$55,4,FALSE))</f>
        <v>0</v>
      </c>
      <c r="I48" s="4">
        <f>(VLOOKUP('19.07'!Q48,'19.07'!$AO$4:$AR$55,4,FALSE))</f>
        <v>0</v>
      </c>
      <c r="J48" s="4">
        <f>(VLOOKUP('19.07'!R48,'19.07'!$AO$4:$AR$55,4,FALSE))</f>
        <v>0</v>
      </c>
      <c r="K48" s="4">
        <f>(VLOOKUP('19.07'!S48,'19.07'!$AO$4:$AR$55,4,FALSE))</f>
        <v>0</v>
      </c>
      <c r="L48" s="4">
        <f>(VLOOKUP('19.07'!T48,'19.07'!$AO$4:$AR$55,4,FALSE))</f>
        <v>0</v>
      </c>
      <c r="M48" s="4">
        <f>(VLOOKUP('19.07'!U48,'19.07'!$AO$4:$AR$55,4,FALSE))</f>
        <v>0</v>
      </c>
      <c r="N48" s="4">
        <f>(VLOOKUP('19.07'!V48,'19.07'!$AO$4:$AR$55,4,FALSE))</f>
        <v>0</v>
      </c>
      <c r="O48" s="4">
        <f>(VLOOKUP('19.07'!W48,'19.07'!$AO$4:$AR$55,4,FALSE))</f>
        <v>0</v>
      </c>
      <c r="P48" s="4">
        <f>(VLOOKUP('19.07'!X48,'19.07'!$AO$4:$AR$55,4,FALSE))</f>
        <v>0</v>
      </c>
      <c r="Q48" s="4">
        <f>(VLOOKUP('19.07'!Y48,'19.07'!$AO$4:$AR$55,4,FALSE))</f>
        <v>0</v>
      </c>
      <c r="R48" s="4">
        <f>(VLOOKUP('19.07'!Z48,'19.07'!$AO$4:$AR$55,4,FALSE))</f>
        <v>0</v>
      </c>
      <c r="S48" s="4">
        <f>(VLOOKUP('19.07'!AA48,'19.07'!$AO$4:$AR$55,4,FALSE))</f>
        <v>0</v>
      </c>
      <c r="T48" s="4">
        <f>(VLOOKUP('19.07'!AB48,'19.07'!$AO$4:$AR$55,4,FALSE))</f>
        <v>0</v>
      </c>
      <c r="U48" s="4">
        <f>(VLOOKUP('19.07'!AC48,'19.07'!$AO$4:$AR$55,4,FALSE))</f>
        <v>0</v>
      </c>
      <c r="V48" s="4">
        <f>(VLOOKUP('19.07'!AD48,'19.07'!$AO$4:$AR$55,4,FALSE))</f>
        <v>0</v>
      </c>
      <c r="W48" s="4">
        <f>(VLOOKUP('19.07'!AE48,'19.07'!$AO$4:$AR$55,4,FALSE))</f>
        <v>0</v>
      </c>
      <c r="X48" s="4">
        <f>(VLOOKUP('19.07'!AF48,'19.07'!$AO$4:$AR$55,4,FALSE))</f>
        <v>0</v>
      </c>
    </row>
    <row r="49" spans="1:24">
      <c r="A49" s="4">
        <f>(VLOOKUP('19.07'!I49,'19.07'!$AO$4:$AR$55,4,FALSE))</f>
        <v>0</v>
      </c>
      <c r="B49" s="4">
        <f>(VLOOKUP('19.07'!J49,'19.07'!$AO$4:$AR$55,4,FALSE))</f>
        <v>0</v>
      </c>
      <c r="C49" s="4">
        <f>(VLOOKUP('19.07'!K49,'19.07'!$AO$4:$AR$55,4,FALSE))</f>
        <v>0</v>
      </c>
      <c r="D49" s="4">
        <f>(VLOOKUP('19.07'!L49,'19.07'!$AO$4:$AR$55,4,FALSE))</f>
        <v>0</v>
      </c>
      <c r="E49" s="4">
        <f>(VLOOKUP('19.07'!M49,'19.07'!$AO$4:$AR$55,4,FALSE))</f>
        <v>0</v>
      </c>
      <c r="F49" s="4">
        <f>(VLOOKUP('19.07'!N49,'19.07'!$AO$4:$AR$55,4,FALSE))</f>
        <v>0</v>
      </c>
      <c r="G49" s="4">
        <f>(VLOOKUP('19.07'!O49,'19.07'!$AO$4:$AR$55,4,FALSE))</f>
        <v>0</v>
      </c>
      <c r="H49" s="4">
        <f>(VLOOKUP('19.07'!P49,'19.07'!$AO$4:$AR$55,4,FALSE))</f>
        <v>0</v>
      </c>
      <c r="I49" s="4">
        <f>(VLOOKUP('19.07'!Q49,'19.07'!$AO$4:$AR$55,4,FALSE))</f>
        <v>0</v>
      </c>
      <c r="J49" s="4">
        <f>(VLOOKUP('19.07'!R49,'19.07'!$AO$4:$AR$55,4,FALSE))</f>
        <v>0</v>
      </c>
      <c r="K49" s="4">
        <f>(VLOOKUP('19.07'!S49,'19.07'!$AO$4:$AR$55,4,FALSE))</f>
        <v>0</v>
      </c>
      <c r="L49" s="4">
        <f>(VLOOKUP('19.07'!T49,'19.07'!$AO$4:$AR$55,4,FALSE))</f>
        <v>0</v>
      </c>
      <c r="M49" s="4">
        <f>(VLOOKUP('19.07'!U49,'19.07'!$AO$4:$AR$55,4,FALSE))</f>
        <v>0</v>
      </c>
      <c r="N49" s="4">
        <f>(VLOOKUP('19.07'!V49,'19.07'!$AO$4:$AR$55,4,FALSE))</f>
        <v>0</v>
      </c>
      <c r="O49" s="4">
        <f>(VLOOKUP('19.07'!W49,'19.07'!$AO$4:$AR$55,4,FALSE))</f>
        <v>0</v>
      </c>
      <c r="P49" s="4">
        <f>(VLOOKUP('19.07'!X49,'19.07'!$AO$4:$AR$55,4,FALSE))</f>
        <v>0</v>
      </c>
      <c r="Q49" s="4">
        <f>(VLOOKUP('19.07'!Y49,'19.07'!$AO$4:$AR$55,4,FALSE))</f>
        <v>0</v>
      </c>
      <c r="R49" s="4">
        <f>(VLOOKUP('19.07'!Z49,'19.07'!$AO$4:$AR$55,4,FALSE))</f>
        <v>0</v>
      </c>
      <c r="S49" s="4">
        <f>(VLOOKUP('19.07'!AA49,'19.07'!$AO$4:$AR$55,4,FALSE))</f>
        <v>0</v>
      </c>
      <c r="T49" s="4">
        <f>(VLOOKUP('19.07'!AB49,'19.07'!$AO$4:$AR$55,4,FALSE))</f>
        <v>0</v>
      </c>
      <c r="U49" s="4">
        <f>(VLOOKUP('19.07'!AC49,'19.07'!$AO$4:$AR$55,4,FALSE))</f>
        <v>0</v>
      </c>
      <c r="V49" s="4">
        <f>(VLOOKUP('19.07'!AD49,'19.07'!$AO$4:$AR$55,4,FALSE))</f>
        <v>0</v>
      </c>
      <c r="W49" s="4">
        <f>(VLOOKUP('19.07'!AE49,'19.07'!$AO$4:$AR$55,4,FALSE))</f>
        <v>0</v>
      </c>
      <c r="X49" s="4">
        <f>(VLOOKUP('19.07'!AF49,'19.07'!$AO$4:$AR$55,4,FALSE))</f>
        <v>0</v>
      </c>
    </row>
    <row r="50" spans="1:24">
      <c r="A50" s="4">
        <f>(VLOOKUP('19.07'!I50,'19.07'!$AO$4:$AR$55,4,FALSE))</f>
        <v>0</v>
      </c>
      <c r="B50" s="4">
        <f>(VLOOKUP('19.07'!J50,'19.07'!$AO$4:$AR$55,4,FALSE))</f>
        <v>0</v>
      </c>
      <c r="C50" s="4">
        <f>(VLOOKUP('19.07'!K50,'19.07'!$AO$4:$AR$55,4,FALSE))</f>
        <v>0</v>
      </c>
      <c r="D50" s="4">
        <f>(VLOOKUP('19.07'!L50,'19.07'!$AO$4:$AR$55,4,FALSE))</f>
        <v>0</v>
      </c>
      <c r="E50" s="4">
        <f>(VLOOKUP('19.07'!M50,'19.07'!$AO$4:$AR$55,4,FALSE))</f>
        <v>0</v>
      </c>
      <c r="F50" s="4">
        <f>(VLOOKUP('19.07'!N50,'19.07'!$AO$4:$AR$55,4,FALSE))</f>
        <v>0</v>
      </c>
      <c r="G50" s="4">
        <f>(VLOOKUP('19.07'!O50,'19.07'!$AO$4:$AR$55,4,FALSE))</f>
        <v>0</v>
      </c>
      <c r="H50" s="4">
        <f>(VLOOKUP('19.07'!P50,'19.07'!$AO$4:$AR$55,4,FALSE))</f>
        <v>0</v>
      </c>
      <c r="I50" s="4">
        <f>(VLOOKUP('19.07'!Q50,'19.07'!$AO$4:$AR$55,4,FALSE))</f>
        <v>0</v>
      </c>
      <c r="J50" s="4">
        <f>(VLOOKUP('19.07'!R50,'19.07'!$AO$4:$AR$55,4,FALSE))</f>
        <v>0</v>
      </c>
      <c r="K50" s="4">
        <f>(VLOOKUP('19.07'!S50,'19.07'!$AO$4:$AR$55,4,FALSE))</f>
        <v>0</v>
      </c>
      <c r="L50" s="4">
        <f>(VLOOKUP('19.07'!T50,'19.07'!$AO$4:$AR$55,4,FALSE))</f>
        <v>0</v>
      </c>
      <c r="M50" s="4">
        <f>(VLOOKUP('19.07'!U50,'19.07'!$AO$4:$AR$55,4,FALSE))</f>
        <v>0</v>
      </c>
      <c r="N50" s="4">
        <f>(VLOOKUP('19.07'!V50,'19.07'!$AO$4:$AR$55,4,FALSE))</f>
        <v>0</v>
      </c>
      <c r="O50" s="4">
        <f>(VLOOKUP('19.07'!W50,'19.07'!$AO$4:$AR$55,4,FALSE))</f>
        <v>0</v>
      </c>
      <c r="P50" s="4">
        <f>(VLOOKUP('19.07'!X50,'19.07'!$AO$4:$AR$55,4,FALSE))</f>
        <v>0</v>
      </c>
      <c r="Q50" s="4">
        <f>(VLOOKUP('19.07'!Y50,'19.07'!$AO$4:$AR$55,4,FALSE))</f>
        <v>0</v>
      </c>
      <c r="R50" s="4">
        <f>(VLOOKUP('19.07'!Z50,'19.07'!$AO$4:$AR$55,4,FALSE))</f>
        <v>0</v>
      </c>
      <c r="S50" s="4">
        <f>(VLOOKUP('19.07'!AA50,'19.07'!$AO$4:$AR$55,4,FALSE))</f>
        <v>0</v>
      </c>
      <c r="T50" s="4">
        <f>(VLOOKUP('19.07'!AB50,'19.07'!$AO$4:$AR$55,4,FALSE))</f>
        <v>0</v>
      </c>
      <c r="U50" s="4">
        <f>(VLOOKUP('19.07'!AC50,'19.07'!$AO$4:$AR$55,4,FALSE))</f>
        <v>0</v>
      </c>
      <c r="V50" s="4">
        <f>(VLOOKUP('19.07'!AD50,'19.07'!$AO$4:$AR$55,4,FALSE))</f>
        <v>0</v>
      </c>
      <c r="W50" s="4">
        <f>(VLOOKUP('19.07'!AE50,'19.07'!$AO$4:$AR$55,4,FALSE))</f>
        <v>0</v>
      </c>
      <c r="X50" s="4">
        <f>(VLOOKUP('19.07'!AF50,'19.07'!$AO$4:$AR$55,4,FALSE))</f>
        <v>0</v>
      </c>
    </row>
    <row r="51" spans="1:24">
      <c r="A51" s="4">
        <f>(VLOOKUP('19.07'!I51,'19.07'!$AO$4:$AR$55,4,FALSE))</f>
        <v>0</v>
      </c>
      <c r="B51" s="4">
        <f>(VLOOKUP('19.07'!J51,'19.07'!$AO$4:$AR$55,4,FALSE))</f>
        <v>0</v>
      </c>
      <c r="C51" s="4">
        <f>(VLOOKUP('19.07'!K51,'19.07'!$AO$4:$AR$55,4,FALSE))</f>
        <v>0</v>
      </c>
      <c r="D51" s="4">
        <f>(VLOOKUP('19.07'!L51,'19.07'!$AO$4:$AR$55,4,FALSE))</f>
        <v>0</v>
      </c>
      <c r="E51" s="4">
        <f>(VLOOKUP('19.07'!M51,'19.07'!$AO$4:$AR$55,4,FALSE))</f>
        <v>0</v>
      </c>
      <c r="F51" s="4">
        <f>(VLOOKUP('19.07'!N51,'19.07'!$AO$4:$AR$55,4,FALSE))</f>
        <v>0</v>
      </c>
      <c r="G51" s="4">
        <f>(VLOOKUP('19.07'!O51,'19.07'!$AO$4:$AR$55,4,FALSE))</f>
        <v>0</v>
      </c>
      <c r="H51" s="4">
        <f>(VLOOKUP('19.07'!P51,'19.07'!$AO$4:$AR$55,4,FALSE))</f>
        <v>0</v>
      </c>
      <c r="I51" s="4">
        <f>(VLOOKUP('19.07'!Q51,'19.07'!$AO$4:$AR$55,4,FALSE))</f>
        <v>0</v>
      </c>
      <c r="J51" s="4">
        <f>(VLOOKUP('19.07'!R51,'19.07'!$AO$4:$AR$55,4,FALSE))</f>
        <v>0</v>
      </c>
      <c r="K51" s="4">
        <f>(VLOOKUP('19.07'!S51,'19.07'!$AO$4:$AR$55,4,FALSE))</f>
        <v>0</v>
      </c>
      <c r="L51" s="4">
        <f>(VLOOKUP('19.07'!T51,'19.07'!$AO$4:$AR$55,4,FALSE))</f>
        <v>0</v>
      </c>
      <c r="M51" s="4">
        <f>(VLOOKUP('19.07'!U51,'19.07'!$AO$4:$AR$55,4,FALSE))</f>
        <v>0</v>
      </c>
      <c r="N51" s="4">
        <f>(VLOOKUP('19.07'!V51,'19.07'!$AO$4:$AR$55,4,FALSE))</f>
        <v>0</v>
      </c>
      <c r="O51" s="4">
        <f>(VLOOKUP('19.07'!W51,'19.07'!$AO$4:$AR$55,4,FALSE))</f>
        <v>0</v>
      </c>
      <c r="P51" s="4">
        <f>(VLOOKUP('19.07'!X51,'19.07'!$AO$4:$AR$55,4,FALSE))</f>
        <v>0</v>
      </c>
      <c r="Q51" s="4">
        <f>(VLOOKUP('19.07'!Y51,'19.07'!$AO$4:$AR$55,4,FALSE))</f>
        <v>0</v>
      </c>
      <c r="R51" s="4">
        <f>(VLOOKUP('19.07'!Z51,'19.07'!$AO$4:$AR$55,4,FALSE))</f>
        <v>0</v>
      </c>
      <c r="S51" s="4">
        <f>(VLOOKUP('19.07'!AA51,'19.07'!$AO$4:$AR$55,4,FALSE))</f>
        <v>0</v>
      </c>
      <c r="T51" s="4">
        <f>(VLOOKUP('19.07'!AB51,'19.07'!$AO$4:$AR$55,4,FALSE))</f>
        <v>0</v>
      </c>
      <c r="U51" s="4">
        <f>(VLOOKUP('19.07'!AC51,'19.07'!$AO$4:$AR$55,4,FALSE))</f>
        <v>0</v>
      </c>
      <c r="V51" s="4">
        <f>(VLOOKUP('19.07'!AD51,'19.07'!$AO$4:$AR$55,4,FALSE))</f>
        <v>0</v>
      </c>
      <c r="W51" s="4">
        <f>(VLOOKUP('19.07'!AE51,'19.07'!$AO$4:$AR$55,4,FALSE))</f>
        <v>0</v>
      </c>
      <c r="X51" s="4">
        <f>(VLOOKUP('19.07'!AF51,'19.07'!$AO$4:$AR$55,4,FALSE))</f>
        <v>0</v>
      </c>
    </row>
    <row r="52" spans="1:24">
      <c r="A52" s="4">
        <f>(VLOOKUP('19.07'!I52,'19.07'!$AO$4:$AR$55,4,FALSE))</f>
        <v>0</v>
      </c>
      <c r="B52" s="4">
        <f>(VLOOKUP('19.07'!J52,'19.07'!$AO$4:$AR$55,4,FALSE))</f>
        <v>0</v>
      </c>
      <c r="C52" s="4">
        <f>(VLOOKUP('19.07'!K52,'19.07'!$AO$4:$AR$55,4,FALSE))</f>
        <v>0</v>
      </c>
      <c r="D52" s="4">
        <f>(VLOOKUP('19.07'!L52,'19.07'!$AO$4:$AR$55,4,FALSE))</f>
        <v>0</v>
      </c>
      <c r="E52" s="4">
        <f>(VLOOKUP('19.07'!M52,'19.07'!$AO$4:$AR$55,4,FALSE))</f>
        <v>0</v>
      </c>
      <c r="F52" s="4">
        <f>(VLOOKUP('19.07'!N52,'19.07'!$AO$4:$AR$55,4,FALSE))</f>
        <v>0</v>
      </c>
      <c r="G52" s="4">
        <f>(VLOOKUP('19.07'!O52,'19.07'!$AO$4:$AR$55,4,FALSE))</f>
        <v>0</v>
      </c>
      <c r="H52" s="4">
        <f>(VLOOKUP('19.07'!P52,'19.07'!$AO$4:$AR$55,4,FALSE))</f>
        <v>0</v>
      </c>
      <c r="I52" s="4">
        <f>(VLOOKUP('19.07'!Q52,'19.07'!$AO$4:$AR$55,4,FALSE))</f>
        <v>0</v>
      </c>
      <c r="J52" s="4">
        <f>(VLOOKUP('19.07'!R52,'19.07'!$AO$4:$AR$55,4,FALSE))</f>
        <v>0</v>
      </c>
      <c r="K52" s="4">
        <f>(VLOOKUP('19.07'!S52,'19.07'!$AO$4:$AR$55,4,FALSE))</f>
        <v>0</v>
      </c>
      <c r="L52" s="4">
        <f>(VLOOKUP('19.07'!T52,'19.07'!$AO$4:$AR$55,4,FALSE))</f>
        <v>0</v>
      </c>
      <c r="M52" s="4">
        <f>(VLOOKUP('19.07'!U52,'19.07'!$AO$4:$AR$55,4,FALSE))</f>
        <v>0</v>
      </c>
      <c r="N52" s="4">
        <f>(VLOOKUP('19.07'!V52,'19.07'!$AO$4:$AR$55,4,FALSE))</f>
        <v>0</v>
      </c>
      <c r="O52" s="4">
        <f>(VLOOKUP('19.07'!W52,'19.07'!$AO$4:$AR$55,4,FALSE))</f>
        <v>0</v>
      </c>
      <c r="P52" s="4">
        <f>(VLOOKUP('19.07'!X52,'19.07'!$AO$4:$AR$55,4,FALSE))</f>
        <v>0</v>
      </c>
      <c r="Q52" s="4">
        <f>(VLOOKUP('19.07'!Y52,'19.07'!$AO$4:$AR$55,4,FALSE))</f>
        <v>0</v>
      </c>
      <c r="R52" s="4">
        <f>(VLOOKUP('19.07'!Z52,'19.07'!$AO$4:$AR$55,4,FALSE))</f>
        <v>0</v>
      </c>
      <c r="S52" s="4">
        <f>(VLOOKUP('19.07'!AA52,'19.07'!$AO$4:$AR$55,4,FALSE))</f>
        <v>0</v>
      </c>
      <c r="T52" s="4">
        <f>(VLOOKUP('19.07'!AB52,'19.07'!$AO$4:$AR$55,4,FALSE))</f>
        <v>0</v>
      </c>
      <c r="U52" s="4">
        <f>(VLOOKUP('19.07'!AC52,'19.07'!$AO$4:$AR$55,4,FALSE))</f>
        <v>0</v>
      </c>
      <c r="V52" s="4">
        <f>(VLOOKUP('19.07'!AD52,'19.07'!$AO$4:$AR$55,4,FALSE))</f>
        <v>0</v>
      </c>
      <c r="W52" s="4">
        <f>(VLOOKUP('19.07'!AE52,'19.07'!$AO$4:$AR$55,4,FALSE))</f>
        <v>0</v>
      </c>
      <c r="X52" s="4">
        <f>(VLOOKUP('19.07'!AF52,'19.07'!$AO$4:$AR$55,4,FALSE))</f>
        <v>0</v>
      </c>
    </row>
    <row r="53" spans="1:24">
      <c r="A53" s="4">
        <f>(VLOOKUP('19.07'!I53,'19.07'!$AO$4:$AR$55,4,FALSE))</f>
        <v>0</v>
      </c>
      <c r="B53" s="4">
        <f>(VLOOKUP('19.07'!J53,'19.07'!$AO$4:$AR$55,4,FALSE))</f>
        <v>0</v>
      </c>
      <c r="C53" s="4">
        <f>(VLOOKUP('19.07'!K53,'19.07'!$AO$4:$AR$55,4,FALSE))</f>
        <v>0</v>
      </c>
      <c r="D53" s="4">
        <f>(VLOOKUP('19.07'!L53,'19.07'!$AO$4:$AR$55,4,FALSE))</f>
        <v>0</v>
      </c>
      <c r="E53" s="4">
        <f>(VLOOKUP('19.07'!M53,'19.07'!$AO$4:$AR$55,4,FALSE))</f>
        <v>0</v>
      </c>
      <c r="F53" s="4">
        <f>(VLOOKUP('19.07'!N53,'19.07'!$AO$4:$AR$55,4,FALSE))</f>
        <v>0</v>
      </c>
      <c r="G53" s="4">
        <f>(VLOOKUP('19.07'!O53,'19.07'!$AO$4:$AR$55,4,FALSE))</f>
        <v>0</v>
      </c>
      <c r="H53" s="4">
        <f>(VLOOKUP('19.07'!P53,'19.07'!$AO$4:$AR$55,4,FALSE))</f>
        <v>0</v>
      </c>
      <c r="I53" s="4">
        <f>(VLOOKUP('19.07'!Q53,'19.07'!$AO$4:$AR$55,4,FALSE))</f>
        <v>0</v>
      </c>
      <c r="J53" s="4">
        <f>(VLOOKUP('19.07'!R53,'19.07'!$AO$4:$AR$55,4,FALSE))</f>
        <v>0</v>
      </c>
      <c r="K53" s="4">
        <f>(VLOOKUP('19.07'!S53,'19.07'!$AO$4:$AR$55,4,FALSE))</f>
        <v>0</v>
      </c>
      <c r="L53" s="4">
        <f>(VLOOKUP('19.07'!T53,'19.07'!$AO$4:$AR$55,4,FALSE))</f>
        <v>0</v>
      </c>
      <c r="M53" s="4">
        <f>(VLOOKUP('19.07'!U53,'19.07'!$AO$4:$AR$55,4,FALSE))</f>
        <v>0</v>
      </c>
      <c r="N53" s="4">
        <f>(VLOOKUP('19.07'!V53,'19.07'!$AO$4:$AR$55,4,FALSE))</f>
        <v>0</v>
      </c>
      <c r="O53" s="4">
        <f>(VLOOKUP('19.07'!W53,'19.07'!$AO$4:$AR$55,4,FALSE))</f>
        <v>0</v>
      </c>
      <c r="P53" s="4">
        <f>(VLOOKUP('19.07'!X53,'19.07'!$AO$4:$AR$55,4,FALSE))</f>
        <v>0</v>
      </c>
      <c r="Q53" s="4">
        <f>(VLOOKUP('19.07'!Y53,'19.07'!$AO$4:$AR$55,4,FALSE))</f>
        <v>0</v>
      </c>
      <c r="R53" s="4">
        <f>(VLOOKUP('19.07'!Z53,'19.07'!$AO$4:$AR$55,4,FALSE))</f>
        <v>0</v>
      </c>
      <c r="S53" s="4">
        <f>(VLOOKUP('19.07'!AA53,'19.07'!$AO$4:$AR$55,4,FALSE))</f>
        <v>0</v>
      </c>
      <c r="T53" s="4">
        <f>(VLOOKUP('19.07'!AB53,'19.07'!$AO$4:$AR$55,4,FALSE))</f>
        <v>0</v>
      </c>
      <c r="U53" s="4">
        <f>(VLOOKUP('19.07'!AC53,'19.07'!$AO$4:$AR$55,4,FALSE))</f>
        <v>0</v>
      </c>
      <c r="V53" s="4">
        <f>(VLOOKUP('19.07'!AD53,'19.07'!$AO$4:$AR$55,4,FALSE))</f>
        <v>0</v>
      </c>
      <c r="W53" s="4">
        <f>(VLOOKUP('19.07'!AE53,'19.07'!$AO$4:$AR$55,4,FALSE))</f>
        <v>0</v>
      </c>
      <c r="X53" s="4">
        <f>(VLOOKUP('19.07'!AF53,'19.07'!$AO$4:$AR$55,4,FALSE))</f>
        <v>0</v>
      </c>
    </row>
    <row r="54" spans="1:24">
      <c r="A54" s="4">
        <f>(VLOOKUP('19.07'!I54,'19.07'!$AO$4:$AR$55,4,FALSE))</f>
        <v>0</v>
      </c>
      <c r="B54" s="4">
        <f>(VLOOKUP('19.07'!J54,'19.07'!$AO$4:$AR$55,4,FALSE))</f>
        <v>0</v>
      </c>
      <c r="C54" s="4">
        <f>(VLOOKUP('19.07'!K54,'19.07'!$AO$4:$AR$55,4,FALSE))</f>
        <v>0</v>
      </c>
      <c r="D54" s="4">
        <f>(VLOOKUP('19.07'!L54,'19.07'!$AO$4:$AR$55,4,FALSE))</f>
        <v>0</v>
      </c>
      <c r="E54" s="4">
        <f>(VLOOKUP('19.07'!M54,'19.07'!$AO$4:$AR$55,4,FALSE))</f>
        <v>0</v>
      </c>
      <c r="F54" s="4">
        <f>(VLOOKUP('19.07'!N54,'19.07'!$AO$4:$AR$55,4,FALSE))</f>
        <v>0</v>
      </c>
      <c r="G54" s="4">
        <f>(VLOOKUP('19.07'!O54,'19.07'!$AO$4:$AR$55,4,FALSE))</f>
        <v>0</v>
      </c>
      <c r="H54" s="4">
        <f>(VLOOKUP('19.07'!P54,'19.07'!$AO$4:$AR$55,4,FALSE))</f>
        <v>0</v>
      </c>
      <c r="I54" s="4">
        <f>(VLOOKUP('19.07'!Q54,'19.07'!$AO$4:$AR$55,4,FALSE))</f>
        <v>0</v>
      </c>
      <c r="J54" s="4">
        <f>(VLOOKUP('19.07'!R54,'19.07'!$AO$4:$AR$55,4,FALSE))</f>
        <v>0</v>
      </c>
      <c r="K54" s="4">
        <f>(VLOOKUP('19.07'!S54,'19.07'!$AO$4:$AR$55,4,FALSE))</f>
        <v>0</v>
      </c>
      <c r="L54" s="4">
        <f>(VLOOKUP('19.07'!T54,'19.07'!$AO$4:$AR$55,4,FALSE))</f>
        <v>0</v>
      </c>
      <c r="M54" s="4">
        <f>(VLOOKUP('19.07'!U54,'19.07'!$AO$4:$AR$55,4,FALSE))</f>
        <v>0</v>
      </c>
      <c r="N54" s="4">
        <f>(VLOOKUP('19.07'!V54,'19.07'!$AO$4:$AR$55,4,FALSE))</f>
        <v>0</v>
      </c>
      <c r="O54" s="4">
        <f>(VLOOKUP('19.07'!W54,'19.07'!$AO$4:$AR$55,4,FALSE))</f>
        <v>0</v>
      </c>
      <c r="P54" s="4">
        <f>(VLOOKUP('19.07'!X54,'19.07'!$AO$4:$AR$55,4,FALSE))</f>
        <v>0</v>
      </c>
      <c r="Q54" s="4">
        <f>(VLOOKUP('19.07'!Y54,'19.07'!$AO$4:$AR$55,4,FALSE))</f>
        <v>0</v>
      </c>
      <c r="R54" s="4">
        <f>(VLOOKUP('19.07'!Z54,'19.07'!$AO$4:$AR$55,4,FALSE))</f>
        <v>0</v>
      </c>
      <c r="S54" s="4">
        <f>(VLOOKUP('19.07'!AA54,'19.07'!$AO$4:$AR$55,4,FALSE))</f>
        <v>0</v>
      </c>
      <c r="T54" s="4">
        <f>(VLOOKUP('19.07'!AB54,'19.07'!$AO$4:$AR$55,4,FALSE))</f>
        <v>0</v>
      </c>
      <c r="U54" s="4">
        <f>(VLOOKUP('19.07'!AC54,'19.07'!$AO$4:$AR$55,4,FALSE))</f>
        <v>0</v>
      </c>
      <c r="V54" s="4">
        <f>(VLOOKUP('19.07'!AD54,'19.07'!$AO$4:$AR$55,4,FALSE))</f>
        <v>0</v>
      </c>
      <c r="W54" s="4">
        <f>(VLOOKUP('19.07'!AE54,'19.07'!$AO$4:$AR$55,4,FALSE))</f>
        <v>0</v>
      </c>
      <c r="X54" s="4">
        <f>(VLOOKUP('19.07'!AF54,'19.07'!$AO$4:$AR$55,4,FALSE))</f>
        <v>0</v>
      </c>
    </row>
    <row r="55" spans="1:24">
      <c r="A55" s="4">
        <f>(VLOOKUP('19.07'!I55,'19.07'!$AO$4:$AR$55,4,FALSE))</f>
        <v>0</v>
      </c>
      <c r="B55" s="4">
        <f>(VLOOKUP('19.07'!J55,'19.07'!$AO$4:$AR$55,4,FALSE))</f>
        <v>0</v>
      </c>
      <c r="C55" s="4">
        <f>(VLOOKUP('19.07'!K55,'19.07'!$AO$4:$AR$55,4,FALSE))</f>
        <v>0</v>
      </c>
      <c r="D55" s="4">
        <f>(VLOOKUP('19.07'!L55,'19.07'!$AO$4:$AR$55,4,FALSE))</f>
        <v>0</v>
      </c>
      <c r="E55" s="4">
        <f>(VLOOKUP('19.07'!M55,'19.07'!$AO$4:$AR$55,4,FALSE))</f>
        <v>0</v>
      </c>
      <c r="F55" s="4">
        <f>(VLOOKUP('19.07'!N55,'19.07'!$AO$4:$AR$55,4,FALSE))</f>
        <v>0</v>
      </c>
      <c r="G55" s="4">
        <f>(VLOOKUP('19.07'!O55,'19.07'!$AO$4:$AR$55,4,FALSE))</f>
        <v>0</v>
      </c>
      <c r="H55" s="4">
        <f>(VLOOKUP('19.07'!P55,'19.07'!$AO$4:$AR$55,4,FALSE))</f>
        <v>0</v>
      </c>
      <c r="I55" s="4">
        <f>(VLOOKUP('19.07'!Q55,'19.07'!$AO$4:$AR$55,4,FALSE))</f>
        <v>0</v>
      </c>
      <c r="J55" s="4">
        <f>(VLOOKUP('19.07'!R55,'19.07'!$AO$4:$AR$55,4,FALSE))</f>
        <v>0</v>
      </c>
      <c r="K55" s="4">
        <f>(VLOOKUP('19.07'!S55,'19.07'!$AO$4:$AR$55,4,FALSE))</f>
        <v>0</v>
      </c>
      <c r="L55" s="4">
        <f>(VLOOKUP('19.07'!T55,'19.07'!$AO$4:$AR$55,4,FALSE))</f>
        <v>0</v>
      </c>
      <c r="M55" s="4">
        <f>(VLOOKUP('19.07'!U55,'19.07'!$AO$4:$AR$55,4,FALSE))</f>
        <v>0</v>
      </c>
      <c r="N55" s="4">
        <f>(VLOOKUP('19.07'!V55,'19.07'!$AO$4:$AR$55,4,FALSE))</f>
        <v>0</v>
      </c>
      <c r="O55" s="4">
        <f>(VLOOKUP('19.07'!W55,'19.07'!$AO$4:$AR$55,4,FALSE))</f>
        <v>0</v>
      </c>
      <c r="P55" s="4">
        <f>(VLOOKUP('19.07'!X55,'19.07'!$AO$4:$AR$55,4,FALSE))</f>
        <v>0</v>
      </c>
      <c r="Q55" s="4">
        <f>(VLOOKUP('19.07'!Y55,'19.07'!$AO$4:$AR$55,4,FALSE))</f>
        <v>0</v>
      </c>
      <c r="R55" s="4">
        <f>(VLOOKUP('19.07'!Z55,'19.07'!$AO$4:$AR$55,4,FALSE))</f>
        <v>0</v>
      </c>
      <c r="S55" s="4">
        <f>(VLOOKUP('19.07'!AA55,'19.07'!$AO$4:$AR$55,4,FALSE))</f>
        <v>0</v>
      </c>
      <c r="T55" s="4">
        <f>(VLOOKUP('19.07'!AB55,'19.07'!$AO$4:$AR$55,4,FALSE))</f>
        <v>0</v>
      </c>
      <c r="U55" s="4">
        <f>(VLOOKUP('19.07'!AC55,'19.07'!$AO$4:$AR$55,4,FALSE))</f>
        <v>0</v>
      </c>
      <c r="V55" s="4">
        <f>(VLOOKUP('19.07'!AD55,'19.07'!$AO$4:$AR$55,4,FALSE))</f>
        <v>0</v>
      </c>
      <c r="W55" s="4">
        <f>(VLOOKUP('19.07'!AE55,'19.07'!$AO$4:$AR$55,4,FALSE))</f>
        <v>0</v>
      </c>
      <c r="X55" s="4">
        <f>(VLOOKUP('19.07'!AF55,'19.07'!$AO$4:$AR$55,4,FALSE))</f>
        <v>0</v>
      </c>
    </row>
    <row r="56" spans="1:24">
      <c r="A56" s="4">
        <f>(VLOOKUP('19.07'!I56,'19.07'!$AO$4:$AR$55,4,FALSE))</f>
        <v>0</v>
      </c>
      <c r="B56" s="4">
        <f>(VLOOKUP('19.07'!J56,'19.07'!$AO$4:$AR$55,4,FALSE))</f>
        <v>0</v>
      </c>
      <c r="C56" s="4">
        <f>(VLOOKUP('19.07'!K56,'19.07'!$AO$4:$AR$55,4,FALSE))</f>
        <v>0</v>
      </c>
      <c r="D56" s="4">
        <f>(VLOOKUP('19.07'!L56,'19.07'!$AO$4:$AR$55,4,FALSE))</f>
        <v>0</v>
      </c>
      <c r="E56" s="4">
        <f>(VLOOKUP('19.07'!M56,'19.07'!$AO$4:$AR$55,4,FALSE))</f>
        <v>0</v>
      </c>
      <c r="F56" s="4">
        <f>(VLOOKUP('19.07'!N56,'19.07'!$AO$4:$AR$55,4,FALSE))</f>
        <v>0</v>
      </c>
      <c r="G56" s="4">
        <f>(VLOOKUP('19.07'!O56,'19.07'!$AO$4:$AR$55,4,FALSE))</f>
        <v>0</v>
      </c>
      <c r="H56" s="4">
        <f>(VLOOKUP('19.07'!P56,'19.07'!$AO$4:$AR$55,4,FALSE))</f>
        <v>0</v>
      </c>
      <c r="I56" s="4">
        <f>(VLOOKUP('19.07'!Q56,'19.07'!$AO$4:$AR$55,4,FALSE))</f>
        <v>0</v>
      </c>
      <c r="J56" s="4">
        <f>(VLOOKUP('19.07'!R56,'19.07'!$AO$4:$AR$55,4,FALSE))</f>
        <v>0</v>
      </c>
      <c r="K56" s="4">
        <f>(VLOOKUP('19.07'!S56,'19.07'!$AO$4:$AR$55,4,FALSE))</f>
        <v>0</v>
      </c>
      <c r="L56" s="4">
        <f>(VLOOKUP('19.07'!T56,'19.07'!$AO$4:$AR$55,4,FALSE))</f>
        <v>0</v>
      </c>
      <c r="M56" s="4">
        <f>(VLOOKUP('19.07'!U56,'19.07'!$AO$4:$AR$55,4,FALSE))</f>
        <v>0</v>
      </c>
      <c r="N56" s="4">
        <f>(VLOOKUP('19.07'!V56,'19.07'!$AO$4:$AR$55,4,FALSE))</f>
        <v>0</v>
      </c>
      <c r="O56" s="4">
        <f>(VLOOKUP('19.07'!W56,'19.07'!$AO$4:$AR$55,4,FALSE))</f>
        <v>0</v>
      </c>
      <c r="P56" s="4">
        <f>(VLOOKUP('19.07'!X56,'19.07'!$AO$4:$AR$55,4,FALSE))</f>
        <v>0</v>
      </c>
      <c r="Q56" s="4">
        <f>(VLOOKUP('19.07'!Y56,'19.07'!$AO$4:$AR$55,4,FALSE))</f>
        <v>0</v>
      </c>
      <c r="R56" s="4">
        <f>(VLOOKUP('19.07'!Z56,'19.07'!$AO$4:$AR$55,4,FALSE))</f>
        <v>0</v>
      </c>
      <c r="S56" s="4">
        <f>(VLOOKUP('19.07'!AA56,'19.07'!$AO$4:$AR$55,4,FALSE))</f>
        <v>0</v>
      </c>
      <c r="T56" s="4">
        <f>(VLOOKUP('19.07'!AB56,'19.07'!$AO$4:$AR$55,4,FALSE))</f>
        <v>0</v>
      </c>
      <c r="U56" s="4">
        <f>(VLOOKUP('19.07'!AC56,'19.07'!$AO$4:$AR$55,4,FALSE))</f>
        <v>0</v>
      </c>
      <c r="V56" s="4">
        <f>(VLOOKUP('19.07'!AD56,'19.07'!$AO$4:$AR$55,4,FALSE))</f>
        <v>0</v>
      </c>
      <c r="W56" s="4">
        <f>(VLOOKUP('19.07'!AE56,'19.07'!$AO$4:$AR$55,4,FALSE))</f>
        <v>0</v>
      </c>
      <c r="X56" s="4">
        <f>(VLOOKUP('19.07'!AF56,'19.07'!$AO$4:$AR$55,4,FALSE))</f>
        <v>0</v>
      </c>
    </row>
    <row r="57" spans="1:24">
      <c r="A57" s="4">
        <f>(VLOOKUP('19.07'!I57,'19.07'!$AO$4:$AR$55,4,FALSE))</f>
        <v>0</v>
      </c>
      <c r="B57" s="4">
        <f>(VLOOKUP('19.07'!J57,'19.07'!$AO$4:$AR$55,4,FALSE))</f>
        <v>0</v>
      </c>
      <c r="C57" s="4">
        <f>(VLOOKUP('19.07'!K57,'19.07'!$AO$4:$AR$55,4,FALSE))</f>
        <v>0</v>
      </c>
      <c r="D57" s="4">
        <f>(VLOOKUP('19.07'!L57,'19.07'!$AO$4:$AR$55,4,FALSE))</f>
        <v>0</v>
      </c>
      <c r="E57" s="4">
        <f>(VLOOKUP('19.07'!M57,'19.07'!$AO$4:$AR$55,4,FALSE))</f>
        <v>0</v>
      </c>
      <c r="F57" s="4">
        <f>(VLOOKUP('19.07'!N57,'19.07'!$AO$4:$AR$55,4,FALSE))</f>
        <v>0</v>
      </c>
      <c r="G57" s="4">
        <f>(VLOOKUP('19.07'!O57,'19.07'!$AO$4:$AR$55,4,FALSE))</f>
        <v>0</v>
      </c>
      <c r="H57" s="4">
        <f>(VLOOKUP('19.07'!P57,'19.07'!$AO$4:$AR$55,4,FALSE))</f>
        <v>0</v>
      </c>
      <c r="I57" s="4">
        <f>(VLOOKUP('19.07'!Q57,'19.07'!$AO$4:$AR$55,4,FALSE))</f>
        <v>0</v>
      </c>
      <c r="J57" s="4">
        <f>(VLOOKUP('19.07'!R57,'19.07'!$AO$4:$AR$55,4,FALSE))</f>
        <v>0</v>
      </c>
      <c r="K57" s="4">
        <f>(VLOOKUP('19.07'!S57,'19.07'!$AO$4:$AR$55,4,FALSE))</f>
        <v>0</v>
      </c>
      <c r="L57" s="4">
        <f>(VLOOKUP('19.07'!T57,'19.07'!$AO$4:$AR$55,4,FALSE))</f>
        <v>0</v>
      </c>
      <c r="M57" s="4">
        <f>(VLOOKUP('19.07'!U57,'19.07'!$AO$4:$AR$55,4,FALSE))</f>
        <v>0</v>
      </c>
      <c r="N57" s="4">
        <f>(VLOOKUP('19.07'!V57,'19.07'!$AO$4:$AR$55,4,FALSE))</f>
        <v>0</v>
      </c>
      <c r="O57" s="4">
        <f>(VLOOKUP('19.07'!W57,'19.07'!$AO$4:$AR$55,4,FALSE))</f>
        <v>0</v>
      </c>
      <c r="P57" s="4">
        <f>(VLOOKUP('19.07'!X57,'19.07'!$AO$4:$AR$55,4,FALSE))</f>
        <v>0</v>
      </c>
      <c r="Q57" s="4">
        <f>(VLOOKUP('19.07'!Y57,'19.07'!$AO$4:$AR$55,4,FALSE))</f>
        <v>0</v>
      </c>
      <c r="R57" s="4">
        <f>(VLOOKUP('19.07'!Z57,'19.07'!$AO$4:$AR$55,4,FALSE))</f>
        <v>0</v>
      </c>
      <c r="S57" s="4">
        <f>(VLOOKUP('19.07'!AA57,'19.07'!$AO$4:$AR$55,4,FALSE))</f>
        <v>0</v>
      </c>
      <c r="T57" s="4">
        <f>(VLOOKUP('19.07'!AB57,'19.07'!$AO$4:$AR$55,4,FALSE))</f>
        <v>0</v>
      </c>
      <c r="U57" s="4">
        <f>(VLOOKUP('19.07'!AC57,'19.07'!$AO$4:$AR$55,4,FALSE))</f>
        <v>0</v>
      </c>
      <c r="V57" s="4">
        <f>(VLOOKUP('19.07'!AD57,'19.07'!$AO$4:$AR$55,4,FALSE))</f>
        <v>0</v>
      </c>
      <c r="W57" s="4">
        <f>(VLOOKUP('19.07'!AE57,'19.07'!$AO$4:$AR$55,4,FALSE))</f>
        <v>0</v>
      </c>
      <c r="X57" s="4">
        <f>(VLOOKUP('19.07'!AF57,'19.07'!$AO$4:$AR$55,4,FALSE))</f>
        <v>0</v>
      </c>
    </row>
    <row r="58" spans="1:24">
      <c r="A58" s="4">
        <f>(VLOOKUP('19.07'!I58,'19.07'!$AO$4:$AR$55,4,FALSE))</f>
        <v>0</v>
      </c>
      <c r="B58" s="4">
        <f>(VLOOKUP('19.07'!J58,'19.07'!$AO$4:$AR$55,4,FALSE))</f>
        <v>0</v>
      </c>
      <c r="C58" s="4">
        <f>(VLOOKUP('19.07'!K58,'19.07'!$AO$4:$AR$55,4,FALSE))</f>
        <v>0</v>
      </c>
      <c r="D58" s="4">
        <f>(VLOOKUP('19.07'!L58,'19.07'!$AO$4:$AR$55,4,FALSE))</f>
        <v>0</v>
      </c>
      <c r="E58" s="4">
        <f>(VLOOKUP('19.07'!M58,'19.07'!$AO$4:$AR$55,4,FALSE))</f>
        <v>0</v>
      </c>
      <c r="F58" s="4">
        <f>(VLOOKUP('19.07'!N58,'19.07'!$AO$4:$AR$55,4,FALSE))</f>
        <v>0</v>
      </c>
      <c r="G58" s="4">
        <f>(VLOOKUP('19.07'!O58,'19.07'!$AO$4:$AR$55,4,FALSE))</f>
        <v>0</v>
      </c>
      <c r="H58" s="4">
        <f>(VLOOKUP('19.07'!P58,'19.07'!$AO$4:$AR$55,4,FALSE))</f>
        <v>0</v>
      </c>
      <c r="I58" s="4">
        <f>(VLOOKUP('19.07'!Q58,'19.07'!$AO$4:$AR$55,4,FALSE))</f>
        <v>0</v>
      </c>
      <c r="J58" s="4">
        <f>(VLOOKUP('19.07'!R58,'19.07'!$AO$4:$AR$55,4,FALSE))</f>
        <v>0</v>
      </c>
      <c r="K58" s="4">
        <f>(VLOOKUP('19.07'!S58,'19.07'!$AO$4:$AR$55,4,FALSE))</f>
        <v>0</v>
      </c>
      <c r="L58" s="4">
        <f>(VLOOKUP('19.07'!T58,'19.07'!$AO$4:$AR$55,4,FALSE))</f>
        <v>0</v>
      </c>
      <c r="M58" s="4">
        <f>(VLOOKUP('19.07'!U58,'19.07'!$AO$4:$AR$55,4,FALSE))</f>
        <v>0</v>
      </c>
      <c r="N58" s="4">
        <f>(VLOOKUP('19.07'!V58,'19.07'!$AO$4:$AR$55,4,FALSE))</f>
        <v>0</v>
      </c>
      <c r="O58" s="4">
        <f>(VLOOKUP('19.07'!W58,'19.07'!$AO$4:$AR$55,4,FALSE))</f>
        <v>0</v>
      </c>
      <c r="P58" s="4">
        <f>(VLOOKUP('19.07'!X58,'19.07'!$AO$4:$AR$55,4,FALSE))</f>
        <v>0</v>
      </c>
      <c r="Q58" s="4">
        <f>(VLOOKUP('19.07'!Y58,'19.07'!$AO$4:$AR$55,4,FALSE))</f>
        <v>0</v>
      </c>
      <c r="R58" s="4">
        <f>(VLOOKUP('19.07'!Z58,'19.07'!$AO$4:$AR$55,4,FALSE))</f>
        <v>0</v>
      </c>
      <c r="S58" s="4">
        <f>(VLOOKUP('19.07'!AA58,'19.07'!$AO$4:$AR$55,4,FALSE))</f>
        <v>0</v>
      </c>
      <c r="T58" s="4">
        <f>(VLOOKUP('19.07'!AB58,'19.07'!$AO$4:$AR$55,4,FALSE))</f>
        <v>0</v>
      </c>
      <c r="U58" s="4">
        <f>(VLOOKUP('19.07'!AC58,'19.07'!$AO$4:$AR$55,4,FALSE))</f>
        <v>0</v>
      </c>
      <c r="V58" s="4">
        <f>(VLOOKUP('19.07'!AD58,'19.07'!$AO$4:$AR$55,4,FALSE))</f>
        <v>0</v>
      </c>
      <c r="W58" s="4">
        <f>(VLOOKUP('19.07'!AE58,'19.07'!$AO$4:$AR$55,4,FALSE))</f>
        <v>0</v>
      </c>
      <c r="X58" s="4">
        <f>(VLOOKUP('19.07'!AF58,'19.07'!$AO$4:$AR$55,4,FALSE))</f>
        <v>0</v>
      </c>
    </row>
    <row r="59" spans="1:24">
      <c r="A59" s="4">
        <f>(VLOOKUP('19.07'!I59,'19.07'!$AO$4:$AR$55,4,FALSE))</f>
        <v>0</v>
      </c>
      <c r="B59" s="4">
        <f>(VLOOKUP('19.07'!J59,'19.07'!$AO$4:$AR$55,4,FALSE))</f>
        <v>0</v>
      </c>
      <c r="C59" s="4">
        <f>(VLOOKUP('19.07'!K59,'19.07'!$AO$4:$AR$55,4,FALSE))</f>
        <v>0</v>
      </c>
      <c r="D59" s="4">
        <f>(VLOOKUP('19.07'!L59,'19.07'!$AO$4:$AR$55,4,FALSE))</f>
        <v>0</v>
      </c>
      <c r="E59" s="4">
        <f>(VLOOKUP('19.07'!M59,'19.07'!$AO$4:$AR$55,4,FALSE))</f>
        <v>0</v>
      </c>
      <c r="F59" s="4">
        <f>(VLOOKUP('19.07'!N59,'19.07'!$AO$4:$AR$55,4,FALSE))</f>
        <v>0</v>
      </c>
      <c r="G59" s="4">
        <f>(VLOOKUP('19.07'!O59,'19.07'!$AO$4:$AR$55,4,FALSE))</f>
        <v>0</v>
      </c>
      <c r="H59" s="4">
        <f>(VLOOKUP('19.07'!P59,'19.07'!$AO$4:$AR$55,4,FALSE))</f>
        <v>0</v>
      </c>
      <c r="I59" s="4">
        <f>(VLOOKUP('19.07'!Q59,'19.07'!$AO$4:$AR$55,4,FALSE))</f>
        <v>0</v>
      </c>
      <c r="J59" s="4">
        <f>(VLOOKUP('19.07'!R59,'19.07'!$AO$4:$AR$55,4,FALSE))</f>
        <v>0</v>
      </c>
      <c r="K59" s="4">
        <f>(VLOOKUP('19.07'!S59,'19.07'!$AO$4:$AR$55,4,FALSE))</f>
        <v>0</v>
      </c>
      <c r="L59" s="4">
        <f>(VLOOKUP('19.07'!T59,'19.07'!$AO$4:$AR$55,4,FALSE))</f>
        <v>0</v>
      </c>
      <c r="M59" s="4">
        <f>(VLOOKUP('19.07'!U59,'19.07'!$AO$4:$AR$55,4,FALSE))</f>
        <v>0</v>
      </c>
      <c r="N59" s="4">
        <f>(VLOOKUP('19.07'!V59,'19.07'!$AO$4:$AR$55,4,FALSE))</f>
        <v>0</v>
      </c>
      <c r="O59" s="4">
        <f>(VLOOKUP('19.07'!W59,'19.07'!$AO$4:$AR$55,4,FALSE))</f>
        <v>0</v>
      </c>
      <c r="P59" s="4">
        <f>(VLOOKUP('19.07'!X59,'19.07'!$AO$4:$AR$55,4,FALSE))</f>
        <v>0</v>
      </c>
      <c r="Q59" s="4">
        <f>(VLOOKUP('19.07'!Y59,'19.07'!$AO$4:$AR$55,4,FALSE))</f>
        <v>0</v>
      </c>
      <c r="R59" s="4">
        <f>(VLOOKUP('19.07'!Z59,'19.07'!$AO$4:$AR$55,4,FALSE))</f>
        <v>0</v>
      </c>
      <c r="S59" s="4">
        <f>(VLOOKUP('19.07'!AA59,'19.07'!$AO$4:$AR$55,4,FALSE))</f>
        <v>0</v>
      </c>
      <c r="T59" s="4">
        <f>(VLOOKUP('19.07'!AB59,'19.07'!$AO$4:$AR$55,4,FALSE))</f>
        <v>0</v>
      </c>
      <c r="U59" s="4">
        <f>(VLOOKUP('19.07'!AC59,'19.07'!$AO$4:$AR$55,4,FALSE))</f>
        <v>0</v>
      </c>
      <c r="V59" s="4">
        <f>(VLOOKUP('19.07'!AD59,'19.07'!$AO$4:$AR$55,4,FALSE))</f>
        <v>0</v>
      </c>
      <c r="W59" s="4">
        <f>(VLOOKUP('19.07'!AE59,'19.07'!$AO$4:$AR$55,4,FALSE))</f>
        <v>0</v>
      </c>
      <c r="X59" s="4">
        <f>(VLOOKUP('19.07'!AF59,'19.07'!$AO$4:$AR$55,4,FALSE))</f>
        <v>0</v>
      </c>
    </row>
    <row r="60" spans="1:24">
      <c r="A60" s="4">
        <f>(VLOOKUP('19.07'!I60,'19.07'!$AO$4:$AR$55,4,FALSE))</f>
        <v>0</v>
      </c>
      <c r="B60" s="4">
        <f>(VLOOKUP('19.07'!J60,'19.07'!$AO$4:$AR$55,4,FALSE))</f>
        <v>0</v>
      </c>
      <c r="C60" s="4">
        <f>(VLOOKUP('19.07'!K60,'19.07'!$AO$4:$AR$55,4,FALSE))</f>
        <v>0</v>
      </c>
      <c r="D60" s="4">
        <f>(VLOOKUP('19.07'!L60,'19.07'!$AO$4:$AR$55,4,FALSE))</f>
        <v>0</v>
      </c>
      <c r="E60" s="4">
        <f>(VLOOKUP('19.07'!M60,'19.07'!$AO$4:$AR$55,4,FALSE))</f>
        <v>0</v>
      </c>
      <c r="F60" s="4">
        <f>(VLOOKUP('19.07'!N60,'19.07'!$AO$4:$AR$55,4,FALSE))</f>
        <v>0</v>
      </c>
      <c r="G60" s="4">
        <f>(VLOOKUP('19.07'!O60,'19.07'!$AO$4:$AR$55,4,FALSE))</f>
        <v>0</v>
      </c>
      <c r="H60" s="4">
        <f>(VLOOKUP('19.07'!P60,'19.07'!$AO$4:$AR$55,4,FALSE))</f>
        <v>0</v>
      </c>
      <c r="I60" s="4">
        <f>(VLOOKUP('19.07'!Q60,'19.07'!$AO$4:$AR$55,4,FALSE))</f>
        <v>0</v>
      </c>
      <c r="J60" s="4">
        <f>(VLOOKUP('19.07'!R60,'19.07'!$AO$4:$AR$55,4,FALSE))</f>
        <v>0</v>
      </c>
      <c r="K60" s="4">
        <f>(VLOOKUP('19.07'!S60,'19.07'!$AO$4:$AR$55,4,FALSE))</f>
        <v>0</v>
      </c>
      <c r="L60" s="4">
        <f>(VLOOKUP('19.07'!T60,'19.07'!$AO$4:$AR$55,4,FALSE))</f>
        <v>0</v>
      </c>
      <c r="M60" s="4">
        <f>(VLOOKUP('19.07'!U60,'19.07'!$AO$4:$AR$55,4,FALSE))</f>
        <v>0</v>
      </c>
      <c r="N60" s="4">
        <f>(VLOOKUP('19.07'!V60,'19.07'!$AO$4:$AR$55,4,FALSE))</f>
        <v>0</v>
      </c>
      <c r="O60" s="4">
        <f>(VLOOKUP('19.07'!W60,'19.07'!$AO$4:$AR$55,4,FALSE))</f>
        <v>0</v>
      </c>
      <c r="P60" s="4">
        <f>(VLOOKUP('19.07'!X60,'19.07'!$AO$4:$AR$55,4,FALSE))</f>
        <v>0</v>
      </c>
      <c r="Q60" s="4">
        <f>(VLOOKUP('19.07'!Y60,'19.07'!$AO$4:$AR$55,4,FALSE))</f>
        <v>0</v>
      </c>
      <c r="R60" s="4">
        <f>(VLOOKUP('19.07'!Z60,'19.07'!$AO$4:$AR$55,4,FALSE))</f>
        <v>0</v>
      </c>
      <c r="S60" s="4">
        <f>(VLOOKUP('19.07'!AA60,'19.07'!$AO$4:$AR$55,4,FALSE))</f>
        <v>0</v>
      </c>
      <c r="T60" s="4">
        <f>(VLOOKUP('19.07'!AB60,'19.07'!$AO$4:$AR$55,4,FALSE))</f>
        <v>0</v>
      </c>
      <c r="U60" s="4">
        <f>(VLOOKUP('19.07'!AC60,'19.07'!$AO$4:$AR$55,4,FALSE))</f>
        <v>0</v>
      </c>
      <c r="V60" s="4">
        <f>(VLOOKUP('19.07'!AD60,'19.07'!$AO$4:$AR$55,4,FALSE))</f>
        <v>0</v>
      </c>
      <c r="W60" s="4">
        <f>(VLOOKUP('19.07'!AE60,'19.07'!$AO$4:$AR$55,4,FALSE))</f>
        <v>0</v>
      </c>
      <c r="X60" s="4">
        <f>(VLOOKUP('19.07'!AF60,'19.07'!$AO$4:$AR$55,4,FALSE))</f>
        <v>0</v>
      </c>
    </row>
    <row r="61" spans="1:24">
      <c r="A61" s="4">
        <f>(VLOOKUP('19.07'!I61,'19.07'!$AO$4:$AR$55,4,FALSE))</f>
        <v>0</v>
      </c>
      <c r="B61" s="4">
        <f>(VLOOKUP('19.07'!J61,'19.07'!$AO$4:$AR$55,4,FALSE))</f>
        <v>0</v>
      </c>
      <c r="C61" s="4">
        <f>(VLOOKUP('19.07'!K61,'19.07'!$AO$4:$AR$55,4,FALSE))</f>
        <v>0</v>
      </c>
      <c r="D61" s="4">
        <f>(VLOOKUP('19.07'!L61,'19.07'!$AO$4:$AR$55,4,FALSE))</f>
        <v>0</v>
      </c>
      <c r="E61" s="4">
        <f>(VLOOKUP('19.07'!M61,'19.07'!$AO$4:$AR$55,4,FALSE))</f>
        <v>0</v>
      </c>
      <c r="F61" s="4">
        <f>(VLOOKUP('19.07'!N61,'19.07'!$AO$4:$AR$55,4,FALSE))</f>
        <v>0</v>
      </c>
      <c r="G61" s="4">
        <f>(VLOOKUP('19.07'!O61,'19.07'!$AO$4:$AR$55,4,FALSE))</f>
        <v>0</v>
      </c>
      <c r="H61" s="4">
        <f>(VLOOKUP('19.07'!P61,'19.07'!$AO$4:$AR$55,4,FALSE))</f>
        <v>0</v>
      </c>
      <c r="I61" s="4">
        <f>(VLOOKUP('19.07'!Q61,'19.07'!$AO$4:$AR$55,4,FALSE))</f>
        <v>0</v>
      </c>
      <c r="J61" s="4">
        <f>(VLOOKUP('19.07'!R61,'19.07'!$AO$4:$AR$55,4,FALSE))</f>
        <v>0</v>
      </c>
      <c r="K61" s="4">
        <f>(VLOOKUP('19.07'!S61,'19.07'!$AO$4:$AR$55,4,FALSE))</f>
        <v>0</v>
      </c>
      <c r="L61" s="4">
        <f>(VLOOKUP('19.07'!T61,'19.07'!$AO$4:$AR$55,4,FALSE))</f>
        <v>0</v>
      </c>
      <c r="M61" s="4">
        <f>(VLOOKUP('19.07'!U61,'19.07'!$AO$4:$AR$55,4,FALSE))</f>
        <v>0</v>
      </c>
      <c r="N61" s="4">
        <f>(VLOOKUP('19.07'!V61,'19.07'!$AO$4:$AR$55,4,FALSE))</f>
        <v>0</v>
      </c>
      <c r="O61" s="4">
        <f>(VLOOKUP('19.07'!W61,'19.07'!$AO$4:$AR$55,4,FALSE))</f>
        <v>0</v>
      </c>
      <c r="P61" s="4">
        <f>(VLOOKUP('19.07'!X61,'19.07'!$AO$4:$AR$55,4,FALSE))</f>
        <v>0</v>
      </c>
      <c r="Q61" s="4">
        <f>(VLOOKUP('19.07'!Y61,'19.07'!$AO$4:$AR$55,4,FALSE))</f>
        <v>0</v>
      </c>
      <c r="R61" s="4">
        <f>(VLOOKUP('19.07'!Z61,'19.07'!$AO$4:$AR$55,4,FALSE))</f>
        <v>0</v>
      </c>
      <c r="S61" s="4">
        <f>(VLOOKUP('19.07'!AA61,'19.07'!$AO$4:$AR$55,4,FALSE))</f>
        <v>0</v>
      </c>
      <c r="T61" s="4">
        <f>(VLOOKUP('19.07'!AB61,'19.07'!$AO$4:$AR$55,4,FALSE))</f>
        <v>0</v>
      </c>
      <c r="U61" s="4">
        <f>(VLOOKUP('19.07'!AC61,'19.07'!$AO$4:$AR$55,4,FALSE))</f>
        <v>0</v>
      </c>
      <c r="V61" s="4">
        <f>(VLOOKUP('19.07'!AD61,'19.07'!$AO$4:$AR$55,4,FALSE))</f>
        <v>0</v>
      </c>
      <c r="W61" s="4">
        <f>(VLOOKUP('19.07'!AE61,'19.07'!$AO$4:$AR$55,4,FALSE))</f>
        <v>0</v>
      </c>
      <c r="X61" s="4">
        <f>(VLOOKUP('19.07'!AF61,'19.07'!$AO$4:$AR$55,4,FALSE))</f>
        <v>0</v>
      </c>
    </row>
    <row r="62" spans="1:24">
      <c r="A62" s="4">
        <f>(VLOOKUP('19.07'!I62,'19.07'!$AO$4:$AR$55,4,FALSE))</f>
        <v>0</v>
      </c>
      <c r="B62" s="4">
        <f>(VLOOKUP('19.07'!J62,'19.07'!$AO$4:$AR$55,4,FALSE))</f>
        <v>0</v>
      </c>
      <c r="C62" s="4">
        <f>(VLOOKUP('19.07'!K62,'19.07'!$AO$4:$AR$55,4,FALSE))</f>
        <v>0</v>
      </c>
      <c r="D62" s="4">
        <f>(VLOOKUP('19.07'!L62,'19.07'!$AO$4:$AR$55,4,FALSE))</f>
        <v>0</v>
      </c>
      <c r="E62" s="4">
        <f>(VLOOKUP('19.07'!M62,'19.07'!$AO$4:$AR$55,4,FALSE))</f>
        <v>0</v>
      </c>
      <c r="F62" s="4">
        <f>(VLOOKUP('19.07'!N62,'19.07'!$AO$4:$AR$55,4,FALSE))</f>
        <v>0</v>
      </c>
      <c r="G62" s="4">
        <f>(VLOOKUP('19.07'!O62,'19.07'!$AO$4:$AR$55,4,FALSE))</f>
        <v>0</v>
      </c>
      <c r="H62" s="4">
        <f>(VLOOKUP('19.07'!P62,'19.07'!$AO$4:$AR$55,4,FALSE))</f>
        <v>0</v>
      </c>
      <c r="I62" s="4">
        <f>(VLOOKUP('19.07'!Q62,'19.07'!$AO$4:$AR$55,4,FALSE))</f>
        <v>0</v>
      </c>
      <c r="J62" s="4">
        <f>(VLOOKUP('19.07'!R62,'19.07'!$AO$4:$AR$55,4,FALSE))</f>
        <v>0</v>
      </c>
      <c r="K62" s="4">
        <f>(VLOOKUP('19.07'!S62,'19.07'!$AO$4:$AR$55,4,FALSE))</f>
        <v>0</v>
      </c>
      <c r="L62" s="4">
        <f>(VLOOKUP('19.07'!T62,'19.07'!$AO$4:$AR$55,4,FALSE))</f>
        <v>0</v>
      </c>
      <c r="M62" s="4">
        <f>(VLOOKUP('19.07'!U62,'19.07'!$AO$4:$AR$55,4,FALSE))</f>
        <v>0</v>
      </c>
      <c r="N62" s="4">
        <f>(VLOOKUP('19.07'!V62,'19.07'!$AO$4:$AR$55,4,FALSE))</f>
        <v>0</v>
      </c>
      <c r="O62" s="4">
        <f>(VLOOKUP('19.07'!W62,'19.07'!$AO$4:$AR$55,4,FALSE))</f>
        <v>0</v>
      </c>
      <c r="P62" s="4">
        <f>(VLOOKUP('19.07'!X62,'19.07'!$AO$4:$AR$55,4,FALSE))</f>
        <v>0</v>
      </c>
      <c r="Q62" s="4">
        <f>(VLOOKUP('19.07'!Y62,'19.07'!$AO$4:$AR$55,4,FALSE))</f>
        <v>0</v>
      </c>
      <c r="R62" s="4">
        <f>(VLOOKUP('19.07'!Z62,'19.07'!$AO$4:$AR$55,4,FALSE))</f>
        <v>0</v>
      </c>
      <c r="S62" s="4">
        <f>(VLOOKUP('19.07'!AA62,'19.07'!$AO$4:$AR$55,4,FALSE))</f>
        <v>0</v>
      </c>
      <c r="T62" s="4">
        <f>(VLOOKUP('19.07'!AB62,'19.07'!$AO$4:$AR$55,4,FALSE))</f>
        <v>0</v>
      </c>
      <c r="U62" s="4">
        <f>(VLOOKUP('19.07'!AC62,'19.07'!$AO$4:$AR$55,4,FALSE))</f>
        <v>0</v>
      </c>
      <c r="V62" s="4">
        <f>(VLOOKUP('19.07'!AD62,'19.07'!$AO$4:$AR$55,4,FALSE))</f>
        <v>0</v>
      </c>
      <c r="W62" s="4">
        <f>(VLOOKUP('19.07'!AE62,'19.07'!$AO$4:$AR$55,4,FALSE))</f>
        <v>0</v>
      </c>
      <c r="X62" s="4">
        <f>(VLOOKUP('19.07'!AF62,'19.07'!$AO$4:$AR$55,4,FALSE))</f>
        <v>0</v>
      </c>
    </row>
    <row r="63" spans="1:24">
      <c r="A63" s="4">
        <f>(VLOOKUP('19.07'!I63,'19.07'!$AO$4:$AR$55,4,FALSE))</f>
        <v>0</v>
      </c>
      <c r="B63" s="4">
        <f>(VLOOKUP('19.07'!J63,'19.07'!$AO$4:$AR$55,4,FALSE))</f>
        <v>0</v>
      </c>
      <c r="C63" s="4">
        <f>(VLOOKUP('19.07'!K63,'19.07'!$AO$4:$AR$55,4,FALSE))</f>
        <v>0</v>
      </c>
      <c r="D63" s="4">
        <f>(VLOOKUP('19.07'!L63,'19.07'!$AO$4:$AR$55,4,FALSE))</f>
        <v>0</v>
      </c>
      <c r="E63" s="4">
        <f>(VLOOKUP('19.07'!M63,'19.07'!$AO$4:$AR$55,4,FALSE))</f>
        <v>0</v>
      </c>
      <c r="F63" s="4">
        <f>(VLOOKUP('19.07'!N63,'19.07'!$AO$4:$AR$55,4,FALSE))</f>
        <v>0</v>
      </c>
      <c r="G63" s="4">
        <f>(VLOOKUP('19.07'!O63,'19.07'!$AO$4:$AR$55,4,FALSE))</f>
        <v>0</v>
      </c>
      <c r="H63" s="4">
        <f>(VLOOKUP('19.07'!P63,'19.07'!$AO$4:$AR$55,4,FALSE))</f>
        <v>0</v>
      </c>
      <c r="I63" s="4">
        <f>(VLOOKUP('19.07'!Q63,'19.07'!$AO$4:$AR$55,4,FALSE))</f>
        <v>0</v>
      </c>
      <c r="J63" s="4">
        <f>(VLOOKUP('19.07'!R63,'19.07'!$AO$4:$AR$55,4,FALSE))</f>
        <v>0</v>
      </c>
      <c r="K63" s="4">
        <f>(VLOOKUP('19.07'!S63,'19.07'!$AO$4:$AR$55,4,FALSE))</f>
        <v>0</v>
      </c>
      <c r="L63" s="4">
        <f>(VLOOKUP('19.07'!T63,'19.07'!$AO$4:$AR$55,4,FALSE))</f>
        <v>0</v>
      </c>
      <c r="M63" s="4">
        <f>(VLOOKUP('19.07'!U63,'19.07'!$AO$4:$AR$55,4,FALSE))</f>
        <v>0</v>
      </c>
      <c r="N63" s="4">
        <f>(VLOOKUP('19.07'!V63,'19.07'!$AO$4:$AR$55,4,FALSE))</f>
        <v>0</v>
      </c>
      <c r="O63" s="4">
        <f>(VLOOKUP('19.07'!W63,'19.07'!$AO$4:$AR$55,4,FALSE))</f>
        <v>0</v>
      </c>
      <c r="P63" s="4">
        <f>(VLOOKUP('19.07'!X63,'19.07'!$AO$4:$AR$55,4,FALSE))</f>
        <v>0</v>
      </c>
      <c r="Q63" s="4">
        <f>(VLOOKUP('19.07'!Y63,'19.07'!$AO$4:$AR$55,4,FALSE))</f>
        <v>0</v>
      </c>
      <c r="R63" s="4">
        <f>(VLOOKUP('19.07'!Z63,'19.07'!$AO$4:$AR$55,4,FALSE))</f>
        <v>0</v>
      </c>
      <c r="S63" s="4">
        <f>(VLOOKUP('19.07'!AA63,'19.07'!$AO$4:$AR$55,4,FALSE))</f>
        <v>0</v>
      </c>
      <c r="T63" s="4">
        <f>(VLOOKUP('19.07'!AB63,'19.07'!$AO$4:$AR$55,4,FALSE))</f>
        <v>0</v>
      </c>
      <c r="U63" s="4">
        <f>(VLOOKUP('19.07'!AC63,'19.07'!$AO$4:$AR$55,4,FALSE))</f>
        <v>0</v>
      </c>
      <c r="V63" s="4">
        <f>(VLOOKUP('19.07'!AD63,'19.07'!$AO$4:$AR$55,4,FALSE))</f>
        <v>0</v>
      </c>
      <c r="W63" s="4">
        <f>(VLOOKUP('19.07'!AE63,'19.07'!$AO$4:$AR$55,4,FALSE))</f>
        <v>0</v>
      </c>
      <c r="X63" s="4">
        <f>(VLOOKUP('19.07'!AF63,'19.07'!$AO$4:$AR$55,4,FALSE))</f>
        <v>0</v>
      </c>
    </row>
    <row r="64" spans="1:24">
      <c r="A64" s="4">
        <f>(VLOOKUP('19.07'!I64,'19.07'!$AO$4:$AR$55,4,FALSE))</f>
        <v>0</v>
      </c>
      <c r="B64" s="4">
        <f>(VLOOKUP('19.07'!J64,'19.07'!$AO$4:$AR$55,4,FALSE))</f>
        <v>0</v>
      </c>
      <c r="C64" s="4">
        <f>(VLOOKUP('19.07'!K64,'19.07'!$AO$4:$AR$55,4,FALSE))</f>
        <v>0</v>
      </c>
      <c r="D64" s="4">
        <f>(VLOOKUP('19.07'!L64,'19.07'!$AO$4:$AR$55,4,FALSE))</f>
        <v>0</v>
      </c>
      <c r="E64" s="4">
        <f>(VLOOKUP('19.07'!M64,'19.07'!$AO$4:$AR$55,4,FALSE))</f>
        <v>0</v>
      </c>
      <c r="F64" s="4">
        <f>(VLOOKUP('19.07'!N64,'19.07'!$AO$4:$AR$55,4,FALSE))</f>
        <v>0</v>
      </c>
      <c r="G64" s="4">
        <f>(VLOOKUP('19.07'!O64,'19.07'!$AO$4:$AR$55,4,FALSE))</f>
        <v>0</v>
      </c>
      <c r="H64" s="4">
        <f>(VLOOKUP('19.07'!P64,'19.07'!$AO$4:$AR$55,4,FALSE))</f>
        <v>0</v>
      </c>
      <c r="I64" s="4">
        <f>(VLOOKUP('19.07'!Q64,'19.07'!$AO$4:$AR$55,4,FALSE))</f>
        <v>0</v>
      </c>
      <c r="J64" s="4">
        <f>(VLOOKUP('19.07'!R64,'19.07'!$AO$4:$AR$55,4,FALSE))</f>
        <v>0</v>
      </c>
      <c r="K64" s="4">
        <f>(VLOOKUP('19.07'!S64,'19.07'!$AO$4:$AR$55,4,FALSE))</f>
        <v>0</v>
      </c>
      <c r="L64" s="4">
        <f>(VLOOKUP('19.07'!T64,'19.07'!$AO$4:$AR$55,4,FALSE))</f>
        <v>0</v>
      </c>
      <c r="M64" s="4">
        <f>(VLOOKUP('19.07'!U64,'19.07'!$AO$4:$AR$55,4,FALSE))</f>
        <v>0</v>
      </c>
      <c r="N64" s="4">
        <f>(VLOOKUP('19.07'!V64,'19.07'!$AO$4:$AR$55,4,FALSE))</f>
        <v>0</v>
      </c>
      <c r="O64" s="4">
        <f>(VLOOKUP('19.07'!W64,'19.07'!$AO$4:$AR$55,4,FALSE))</f>
        <v>0</v>
      </c>
      <c r="P64" s="4">
        <f>(VLOOKUP('19.07'!X64,'19.07'!$AO$4:$AR$55,4,FALSE))</f>
        <v>0</v>
      </c>
      <c r="Q64" s="4">
        <f>(VLOOKUP('19.07'!Y64,'19.07'!$AO$4:$AR$55,4,FALSE))</f>
        <v>0</v>
      </c>
      <c r="R64" s="4">
        <f>(VLOOKUP('19.07'!Z64,'19.07'!$AO$4:$AR$55,4,FALSE))</f>
        <v>0</v>
      </c>
      <c r="S64" s="4">
        <f>(VLOOKUP('19.07'!AA64,'19.07'!$AO$4:$AR$55,4,FALSE))</f>
        <v>0</v>
      </c>
      <c r="T64" s="4">
        <f>(VLOOKUP('19.07'!AB64,'19.07'!$AO$4:$AR$55,4,FALSE))</f>
        <v>0</v>
      </c>
      <c r="U64" s="4">
        <f>(VLOOKUP('19.07'!AC64,'19.07'!$AO$4:$AR$55,4,FALSE))</f>
        <v>0</v>
      </c>
      <c r="V64" s="4">
        <f>(VLOOKUP('19.07'!AD64,'19.07'!$AO$4:$AR$55,4,FALSE))</f>
        <v>0</v>
      </c>
      <c r="W64" s="4">
        <f>(VLOOKUP('19.07'!AE64,'19.07'!$AO$4:$AR$55,4,FALSE))</f>
        <v>0</v>
      </c>
      <c r="X64" s="4">
        <f>(VLOOKUP('19.07'!AF64,'19.07'!$AO$4:$AR$55,4,FALSE))</f>
        <v>0</v>
      </c>
    </row>
    <row r="65" spans="1:24">
      <c r="A65" s="4">
        <f>(VLOOKUP('19.07'!I65,'19.07'!$AO$4:$AR$55,4,FALSE))</f>
        <v>0</v>
      </c>
      <c r="B65" s="4">
        <f>(VLOOKUP('19.07'!J65,'19.07'!$AO$4:$AR$55,4,FALSE))</f>
        <v>0</v>
      </c>
      <c r="C65" s="4">
        <f>(VLOOKUP('19.07'!K65,'19.07'!$AO$4:$AR$55,4,FALSE))</f>
        <v>0</v>
      </c>
      <c r="D65" s="4">
        <f>(VLOOKUP('19.07'!L65,'19.07'!$AO$4:$AR$55,4,FALSE))</f>
        <v>0</v>
      </c>
      <c r="E65" s="4">
        <f>(VLOOKUP('19.07'!M65,'19.07'!$AO$4:$AR$55,4,FALSE))</f>
        <v>0</v>
      </c>
      <c r="F65" s="4">
        <f>(VLOOKUP('19.07'!N65,'19.07'!$AO$4:$AR$55,4,FALSE))</f>
        <v>0</v>
      </c>
      <c r="G65" s="4">
        <f>(VLOOKUP('19.07'!O65,'19.07'!$AO$4:$AR$55,4,FALSE))</f>
        <v>0</v>
      </c>
      <c r="H65" s="4">
        <f>(VLOOKUP('19.07'!P65,'19.07'!$AO$4:$AR$55,4,FALSE))</f>
        <v>0</v>
      </c>
      <c r="I65" s="4">
        <f>(VLOOKUP('19.07'!Q65,'19.07'!$AO$4:$AR$55,4,FALSE))</f>
        <v>0</v>
      </c>
      <c r="J65" s="4">
        <f>(VLOOKUP('19.07'!R65,'19.07'!$AO$4:$AR$55,4,FALSE))</f>
        <v>0</v>
      </c>
      <c r="K65" s="4">
        <f>(VLOOKUP('19.07'!S65,'19.07'!$AO$4:$AR$55,4,FALSE))</f>
        <v>0</v>
      </c>
      <c r="L65" s="4">
        <f>(VLOOKUP('19.07'!T65,'19.07'!$AO$4:$AR$55,4,FALSE))</f>
        <v>0</v>
      </c>
      <c r="M65" s="4">
        <f>(VLOOKUP('19.07'!U65,'19.07'!$AO$4:$AR$55,4,FALSE))</f>
        <v>0</v>
      </c>
      <c r="N65" s="4">
        <f>(VLOOKUP('19.07'!V65,'19.07'!$AO$4:$AR$55,4,FALSE))</f>
        <v>0</v>
      </c>
      <c r="O65" s="4">
        <f>(VLOOKUP('19.07'!W65,'19.07'!$AO$4:$AR$55,4,FALSE))</f>
        <v>0</v>
      </c>
      <c r="P65" s="4">
        <f>(VLOOKUP('19.07'!X65,'19.07'!$AO$4:$AR$55,4,FALSE))</f>
        <v>0</v>
      </c>
      <c r="Q65" s="4">
        <f>(VLOOKUP('19.07'!Y65,'19.07'!$AO$4:$AR$55,4,FALSE))</f>
        <v>0</v>
      </c>
      <c r="R65" s="4">
        <f>(VLOOKUP('19.07'!Z65,'19.07'!$AO$4:$AR$55,4,FALSE))</f>
        <v>0</v>
      </c>
      <c r="S65" s="4">
        <f>(VLOOKUP('19.07'!AA65,'19.07'!$AO$4:$AR$55,4,FALSE))</f>
        <v>0</v>
      </c>
      <c r="T65" s="4">
        <f>(VLOOKUP('19.07'!AB65,'19.07'!$AO$4:$AR$55,4,FALSE))</f>
        <v>0</v>
      </c>
      <c r="U65" s="4">
        <f>(VLOOKUP('19.07'!AC65,'19.07'!$AO$4:$AR$55,4,FALSE))</f>
        <v>0</v>
      </c>
      <c r="V65" s="4">
        <f>(VLOOKUP('19.07'!AD65,'19.07'!$AO$4:$AR$55,4,FALSE))</f>
        <v>0</v>
      </c>
      <c r="W65" s="4">
        <f>(VLOOKUP('19.07'!AE65,'19.07'!$AO$4:$AR$55,4,FALSE))</f>
        <v>0</v>
      </c>
      <c r="X65" s="4">
        <f>(VLOOKUP('19.07'!AF65,'19.07'!$AO$4:$AR$55,4,FALSE))</f>
        <v>0</v>
      </c>
    </row>
    <row r="66" spans="1:24">
      <c r="A66" s="4">
        <f>(VLOOKUP('19.07'!I66,'19.07'!$AO$4:$AR$55,4,FALSE))</f>
        <v>0</v>
      </c>
      <c r="B66" s="4">
        <f>(VLOOKUP('19.07'!J66,'19.07'!$AO$4:$AR$55,4,FALSE))</f>
        <v>0</v>
      </c>
      <c r="C66" s="4">
        <f>(VLOOKUP('19.07'!K66,'19.07'!$AO$4:$AR$55,4,FALSE))</f>
        <v>0</v>
      </c>
      <c r="D66" s="4">
        <f>(VLOOKUP('19.07'!L66,'19.07'!$AO$4:$AR$55,4,FALSE))</f>
        <v>0</v>
      </c>
      <c r="E66" s="4">
        <f>(VLOOKUP('19.07'!M66,'19.07'!$AO$4:$AR$55,4,FALSE))</f>
        <v>0</v>
      </c>
      <c r="F66" s="4">
        <f>(VLOOKUP('19.07'!N66,'19.07'!$AO$4:$AR$55,4,FALSE))</f>
        <v>0</v>
      </c>
      <c r="G66" s="4">
        <f>(VLOOKUP('19.07'!O66,'19.07'!$AO$4:$AR$55,4,FALSE))</f>
        <v>0</v>
      </c>
      <c r="H66" s="4">
        <f>(VLOOKUP('19.07'!P66,'19.07'!$AO$4:$AR$55,4,FALSE))</f>
        <v>0</v>
      </c>
      <c r="I66" s="4">
        <f>(VLOOKUP('19.07'!Q66,'19.07'!$AO$4:$AR$55,4,FALSE))</f>
        <v>0</v>
      </c>
      <c r="J66" s="4">
        <f>(VLOOKUP('19.07'!R66,'19.07'!$AO$4:$AR$55,4,FALSE))</f>
        <v>0</v>
      </c>
      <c r="K66" s="4">
        <f>(VLOOKUP('19.07'!S66,'19.07'!$AO$4:$AR$55,4,FALSE))</f>
        <v>0</v>
      </c>
      <c r="L66" s="4">
        <f>(VLOOKUP('19.07'!T66,'19.07'!$AO$4:$AR$55,4,FALSE))</f>
        <v>0</v>
      </c>
      <c r="M66" s="4">
        <f>(VLOOKUP('19.07'!U66,'19.07'!$AO$4:$AR$55,4,FALSE))</f>
        <v>0</v>
      </c>
      <c r="N66" s="4">
        <f>(VLOOKUP('19.07'!V66,'19.07'!$AO$4:$AR$55,4,FALSE))</f>
        <v>0</v>
      </c>
      <c r="O66" s="4">
        <f>(VLOOKUP('19.07'!W66,'19.07'!$AO$4:$AR$55,4,FALSE))</f>
        <v>0</v>
      </c>
      <c r="P66" s="4">
        <f>(VLOOKUP('19.07'!X66,'19.07'!$AO$4:$AR$55,4,FALSE))</f>
        <v>0</v>
      </c>
      <c r="Q66" s="4">
        <f>(VLOOKUP('19.07'!Y66,'19.07'!$AO$4:$AR$55,4,FALSE))</f>
        <v>0</v>
      </c>
      <c r="R66" s="4">
        <f>(VLOOKUP('19.07'!Z66,'19.07'!$AO$4:$AR$55,4,FALSE))</f>
        <v>0</v>
      </c>
      <c r="S66" s="4">
        <f>(VLOOKUP('19.07'!AA66,'19.07'!$AO$4:$AR$55,4,FALSE))</f>
        <v>0</v>
      </c>
      <c r="T66" s="4">
        <f>(VLOOKUP('19.07'!AB66,'19.07'!$AO$4:$AR$55,4,FALSE))</f>
        <v>0</v>
      </c>
      <c r="U66" s="4">
        <f>(VLOOKUP('19.07'!AC66,'19.07'!$AO$4:$AR$55,4,FALSE))</f>
        <v>0</v>
      </c>
      <c r="V66" s="4">
        <f>(VLOOKUP('19.07'!AD66,'19.07'!$AO$4:$AR$55,4,FALSE))</f>
        <v>0</v>
      </c>
      <c r="W66" s="4">
        <f>(VLOOKUP('19.07'!AE66,'19.07'!$AO$4:$AR$55,4,FALSE))</f>
        <v>0</v>
      </c>
      <c r="X66" s="4">
        <f>(VLOOKUP('19.07'!AF66,'19.07'!$AO$4:$AR$55,4,FALSE))</f>
        <v>0</v>
      </c>
    </row>
    <row r="67" spans="1:24">
      <c r="A67" s="4">
        <f>(VLOOKUP('19.07'!I67,'19.07'!$AO$4:$AR$55,4,FALSE))</f>
        <v>0</v>
      </c>
      <c r="B67" s="4">
        <f>(VLOOKUP('19.07'!J67,'19.07'!$AO$4:$AR$55,4,FALSE))</f>
        <v>0</v>
      </c>
      <c r="C67" s="4">
        <f>(VLOOKUP('19.07'!K67,'19.07'!$AO$4:$AR$55,4,FALSE))</f>
        <v>0</v>
      </c>
      <c r="D67" s="4">
        <f>(VLOOKUP('19.07'!L67,'19.07'!$AO$4:$AR$55,4,FALSE))</f>
        <v>0</v>
      </c>
      <c r="E67" s="4">
        <f>(VLOOKUP('19.07'!M67,'19.07'!$AO$4:$AR$55,4,FALSE))</f>
        <v>0</v>
      </c>
      <c r="F67" s="4">
        <f>(VLOOKUP('19.07'!N67,'19.07'!$AO$4:$AR$55,4,FALSE))</f>
        <v>0</v>
      </c>
      <c r="G67" s="4">
        <f>(VLOOKUP('19.07'!O67,'19.07'!$AO$4:$AR$55,4,FALSE))</f>
        <v>0</v>
      </c>
      <c r="H67" s="4">
        <f>(VLOOKUP('19.07'!P67,'19.07'!$AO$4:$AR$55,4,FALSE))</f>
        <v>0</v>
      </c>
      <c r="I67" s="4">
        <f>(VLOOKUP('19.07'!Q67,'19.07'!$AO$4:$AR$55,4,FALSE))</f>
        <v>0</v>
      </c>
      <c r="J67" s="4">
        <f>(VLOOKUP('19.07'!R67,'19.07'!$AO$4:$AR$55,4,FALSE))</f>
        <v>0</v>
      </c>
      <c r="K67" s="4">
        <f>(VLOOKUP('19.07'!S67,'19.07'!$AO$4:$AR$55,4,FALSE))</f>
        <v>0</v>
      </c>
      <c r="L67" s="4">
        <f>(VLOOKUP('19.07'!T67,'19.07'!$AO$4:$AR$55,4,FALSE))</f>
        <v>0</v>
      </c>
      <c r="M67" s="4">
        <f>(VLOOKUP('19.07'!U67,'19.07'!$AO$4:$AR$55,4,FALSE))</f>
        <v>0</v>
      </c>
      <c r="N67" s="4">
        <f>(VLOOKUP('19.07'!V67,'19.07'!$AO$4:$AR$55,4,FALSE))</f>
        <v>0</v>
      </c>
      <c r="O67" s="4">
        <f>(VLOOKUP('19.07'!W67,'19.07'!$AO$4:$AR$55,4,FALSE))</f>
        <v>0</v>
      </c>
      <c r="P67" s="4">
        <f>(VLOOKUP('19.07'!X67,'19.07'!$AO$4:$AR$55,4,FALSE))</f>
        <v>0</v>
      </c>
      <c r="Q67" s="4">
        <f>(VLOOKUP('19.07'!Y67,'19.07'!$AO$4:$AR$55,4,FALSE))</f>
        <v>0</v>
      </c>
      <c r="R67" s="4">
        <f>(VLOOKUP('19.07'!Z67,'19.07'!$AO$4:$AR$55,4,FALSE))</f>
        <v>0</v>
      </c>
      <c r="S67" s="4">
        <f>(VLOOKUP('19.07'!AA67,'19.07'!$AO$4:$AR$55,4,FALSE))</f>
        <v>0</v>
      </c>
      <c r="T67" s="4">
        <f>(VLOOKUP('19.07'!AB67,'19.07'!$AO$4:$AR$55,4,FALSE))</f>
        <v>0</v>
      </c>
      <c r="U67" s="4">
        <f>(VLOOKUP('19.07'!AC67,'19.07'!$AO$4:$AR$55,4,FALSE))</f>
        <v>0</v>
      </c>
      <c r="V67" s="4">
        <f>(VLOOKUP('19.07'!AD67,'19.07'!$AO$4:$AR$55,4,FALSE))</f>
        <v>0</v>
      </c>
      <c r="W67" s="4">
        <f>(VLOOKUP('19.07'!AE67,'19.07'!$AO$4:$AR$55,4,FALSE))</f>
        <v>0</v>
      </c>
      <c r="X67" s="4">
        <f>(VLOOKUP('19.07'!AF67,'19.07'!$AO$4:$AR$55,4,FALSE))</f>
        <v>0</v>
      </c>
    </row>
    <row r="68" spans="1:24">
      <c r="A68" s="4">
        <f>(VLOOKUP('19.07'!I68,'19.07'!$AO$4:$AR$55,4,FALSE))</f>
        <v>0</v>
      </c>
      <c r="B68" s="4">
        <f>(VLOOKUP('19.07'!J68,'19.07'!$AO$4:$AR$55,4,FALSE))</f>
        <v>0</v>
      </c>
      <c r="C68" s="4">
        <f>(VLOOKUP('19.07'!K68,'19.07'!$AO$4:$AR$55,4,FALSE))</f>
        <v>0</v>
      </c>
      <c r="D68" s="4">
        <f>(VLOOKUP('19.07'!L68,'19.07'!$AO$4:$AR$55,4,FALSE))</f>
        <v>0</v>
      </c>
      <c r="E68" s="4">
        <f>(VLOOKUP('19.07'!M68,'19.07'!$AO$4:$AR$55,4,FALSE))</f>
        <v>0</v>
      </c>
      <c r="F68" s="4">
        <f>(VLOOKUP('19.07'!N68,'19.07'!$AO$4:$AR$55,4,FALSE))</f>
        <v>0</v>
      </c>
      <c r="G68" s="4">
        <f>(VLOOKUP('19.07'!O68,'19.07'!$AO$4:$AR$55,4,FALSE))</f>
        <v>0</v>
      </c>
      <c r="H68" s="4">
        <f>(VLOOKUP('19.07'!P68,'19.07'!$AO$4:$AR$55,4,FALSE))</f>
        <v>0</v>
      </c>
      <c r="I68" s="4">
        <f>(VLOOKUP('19.07'!Q68,'19.07'!$AO$4:$AR$55,4,FALSE))</f>
        <v>0</v>
      </c>
      <c r="J68" s="4">
        <f>(VLOOKUP('19.07'!R68,'19.07'!$AO$4:$AR$55,4,FALSE))</f>
        <v>0</v>
      </c>
      <c r="K68" s="4">
        <f>(VLOOKUP('19.07'!S68,'19.07'!$AO$4:$AR$55,4,FALSE))</f>
        <v>0</v>
      </c>
      <c r="L68" s="4">
        <f>(VLOOKUP('19.07'!T68,'19.07'!$AO$4:$AR$55,4,FALSE))</f>
        <v>0</v>
      </c>
      <c r="M68" s="4">
        <f>(VLOOKUP('19.07'!U68,'19.07'!$AO$4:$AR$55,4,FALSE))</f>
        <v>0</v>
      </c>
      <c r="N68" s="4">
        <f>(VLOOKUP('19.07'!V68,'19.07'!$AO$4:$AR$55,4,FALSE))</f>
        <v>0</v>
      </c>
      <c r="O68" s="4">
        <f>(VLOOKUP('19.07'!W68,'19.07'!$AO$4:$AR$55,4,FALSE))</f>
        <v>0</v>
      </c>
      <c r="P68" s="4">
        <f>(VLOOKUP('19.07'!X68,'19.07'!$AO$4:$AR$55,4,FALSE))</f>
        <v>0</v>
      </c>
      <c r="Q68" s="4">
        <f>(VLOOKUP('19.07'!Y68,'19.07'!$AO$4:$AR$55,4,FALSE))</f>
        <v>0</v>
      </c>
      <c r="R68" s="4">
        <f>(VLOOKUP('19.07'!Z68,'19.07'!$AO$4:$AR$55,4,FALSE))</f>
        <v>0</v>
      </c>
      <c r="S68" s="4">
        <f>(VLOOKUP('19.07'!AA68,'19.07'!$AO$4:$AR$55,4,FALSE))</f>
        <v>0</v>
      </c>
      <c r="T68" s="4">
        <f>(VLOOKUP('19.07'!AB68,'19.07'!$AO$4:$AR$55,4,FALSE))</f>
        <v>0</v>
      </c>
      <c r="U68" s="4">
        <f>(VLOOKUP('19.07'!AC68,'19.07'!$AO$4:$AR$55,4,FALSE))</f>
        <v>0</v>
      </c>
      <c r="V68" s="4">
        <f>(VLOOKUP('19.07'!AD68,'19.07'!$AO$4:$AR$55,4,FALSE))</f>
        <v>0</v>
      </c>
      <c r="W68" s="4">
        <f>(VLOOKUP('19.07'!AE68,'19.07'!$AO$4:$AR$55,4,FALSE))</f>
        <v>0</v>
      </c>
      <c r="X68" s="4">
        <f>(VLOOKUP('19.07'!AF68,'19.07'!$AO$4:$AR$55,4,FALSE))</f>
        <v>0</v>
      </c>
    </row>
    <row r="69" spans="1:24">
      <c r="A69" s="4">
        <f>(VLOOKUP('19.07'!I69,'19.07'!$AO$4:$AR$55,4,FALSE))</f>
        <v>0</v>
      </c>
      <c r="B69" s="4">
        <f>(VLOOKUP('19.07'!J69,'19.07'!$AO$4:$AR$55,4,FALSE))</f>
        <v>0</v>
      </c>
      <c r="C69" s="4">
        <f>(VLOOKUP('19.07'!K69,'19.07'!$AO$4:$AR$55,4,FALSE))</f>
        <v>0</v>
      </c>
      <c r="D69" s="4">
        <f>(VLOOKUP('19.07'!L69,'19.07'!$AO$4:$AR$55,4,FALSE))</f>
        <v>0</v>
      </c>
      <c r="E69" s="4">
        <f>(VLOOKUP('19.07'!M69,'19.07'!$AO$4:$AR$55,4,FALSE))</f>
        <v>0</v>
      </c>
      <c r="F69" s="4">
        <f>(VLOOKUP('19.07'!N69,'19.07'!$AO$4:$AR$55,4,FALSE))</f>
        <v>0</v>
      </c>
      <c r="G69" s="4">
        <f>(VLOOKUP('19.07'!O69,'19.07'!$AO$4:$AR$55,4,FALSE))</f>
        <v>0</v>
      </c>
      <c r="H69" s="4">
        <f>(VLOOKUP('19.07'!P69,'19.07'!$AO$4:$AR$55,4,FALSE))</f>
        <v>0</v>
      </c>
      <c r="I69" s="4">
        <f>(VLOOKUP('19.07'!Q69,'19.07'!$AO$4:$AR$55,4,FALSE))</f>
        <v>0</v>
      </c>
      <c r="J69" s="4">
        <f>(VLOOKUP('19.07'!R69,'19.07'!$AO$4:$AR$55,4,FALSE))</f>
        <v>0</v>
      </c>
      <c r="K69" s="4">
        <f>(VLOOKUP('19.07'!S69,'19.07'!$AO$4:$AR$55,4,FALSE))</f>
        <v>0</v>
      </c>
      <c r="L69" s="4">
        <f>(VLOOKUP('19.07'!T69,'19.07'!$AO$4:$AR$55,4,FALSE))</f>
        <v>0</v>
      </c>
      <c r="M69" s="4">
        <f>(VLOOKUP('19.07'!U69,'19.07'!$AO$4:$AR$55,4,FALSE))</f>
        <v>0</v>
      </c>
      <c r="N69" s="4">
        <f>(VLOOKUP('19.07'!V69,'19.07'!$AO$4:$AR$55,4,FALSE))</f>
        <v>0</v>
      </c>
      <c r="O69" s="4">
        <f>(VLOOKUP('19.07'!W69,'19.07'!$AO$4:$AR$55,4,FALSE))</f>
        <v>0</v>
      </c>
      <c r="P69" s="4">
        <f>(VLOOKUP('19.07'!X69,'19.07'!$AO$4:$AR$55,4,FALSE))</f>
        <v>0</v>
      </c>
      <c r="Q69" s="4">
        <f>(VLOOKUP('19.07'!Y69,'19.07'!$AO$4:$AR$55,4,FALSE))</f>
        <v>0</v>
      </c>
      <c r="R69" s="4">
        <f>(VLOOKUP('19.07'!Z69,'19.07'!$AO$4:$AR$55,4,FALSE))</f>
        <v>0</v>
      </c>
      <c r="S69" s="4">
        <f>(VLOOKUP('19.07'!AA69,'19.07'!$AO$4:$AR$55,4,FALSE))</f>
        <v>0</v>
      </c>
      <c r="T69" s="4">
        <f>(VLOOKUP('19.07'!AB69,'19.07'!$AO$4:$AR$55,4,FALSE))</f>
        <v>0</v>
      </c>
      <c r="U69" s="4">
        <f>(VLOOKUP('19.07'!AC69,'19.07'!$AO$4:$AR$55,4,FALSE))</f>
        <v>0</v>
      </c>
      <c r="V69" s="4">
        <f>(VLOOKUP('19.07'!AD69,'19.07'!$AO$4:$AR$55,4,FALSE))</f>
        <v>0</v>
      </c>
      <c r="W69" s="4">
        <f>(VLOOKUP('19.07'!AE69,'19.07'!$AO$4:$AR$55,4,FALSE))</f>
        <v>0</v>
      </c>
      <c r="X69" s="4">
        <f>(VLOOKUP('19.07'!AF69,'19.07'!$AO$4:$AR$55,4,FALSE))</f>
        <v>0</v>
      </c>
    </row>
    <row r="70" spans="1:24">
      <c r="A70" s="4">
        <f>(VLOOKUP('19.07'!I70,'19.07'!$AO$4:$AR$55,4,FALSE))</f>
        <v>0</v>
      </c>
      <c r="B70" s="4">
        <f>(VLOOKUP('19.07'!J70,'19.07'!$AO$4:$AR$55,4,FALSE))</f>
        <v>0</v>
      </c>
      <c r="C70" s="4">
        <f>(VLOOKUP('19.07'!K70,'19.07'!$AO$4:$AR$55,4,FALSE))</f>
        <v>0</v>
      </c>
      <c r="D70" s="4">
        <f>(VLOOKUP('19.07'!L70,'19.07'!$AO$4:$AR$55,4,FALSE))</f>
        <v>0</v>
      </c>
      <c r="E70" s="4">
        <f>(VLOOKUP('19.07'!M70,'19.07'!$AO$4:$AR$55,4,FALSE))</f>
        <v>0</v>
      </c>
      <c r="F70" s="4">
        <f>(VLOOKUP('19.07'!N70,'19.07'!$AO$4:$AR$55,4,FALSE))</f>
        <v>0</v>
      </c>
      <c r="G70" s="4">
        <f>(VLOOKUP('19.07'!O70,'19.07'!$AO$4:$AR$55,4,FALSE))</f>
        <v>0</v>
      </c>
      <c r="H70" s="4">
        <f>(VLOOKUP('19.07'!P70,'19.07'!$AO$4:$AR$55,4,FALSE))</f>
        <v>0</v>
      </c>
      <c r="I70" s="4">
        <f>(VLOOKUP('19.07'!Q70,'19.07'!$AO$4:$AR$55,4,FALSE))</f>
        <v>0</v>
      </c>
      <c r="J70" s="4">
        <f>(VLOOKUP('19.07'!R70,'19.07'!$AO$4:$AR$55,4,FALSE))</f>
        <v>0</v>
      </c>
      <c r="K70" s="4">
        <f>(VLOOKUP('19.07'!S70,'19.07'!$AO$4:$AR$55,4,FALSE))</f>
        <v>0</v>
      </c>
      <c r="L70" s="4">
        <f>(VLOOKUP('19.07'!T70,'19.07'!$AO$4:$AR$55,4,FALSE))</f>
        <v>0</v>
      </c>
      <c r="M70" s="4">
        <f>(VLOOKUP('19.07'!U70,'19.07'!$AO$4:$AR$55,4,FALSE))</f>
        <v>0</v>
      </c>
      <c r="N70" s="4">
        <f>(VLOOKUP('19.07'!V70,'19.07'!$AO$4:$AR$55,4,FALSE))</f>
        <v>0</v>
      </c>
      <c r="O70" s="4">
        <f>(VLOOKUP('19.07'!W70,'19.07'!$AO$4:$AR$55,4,FALSE))</f>
        <v>0</v>
      </c>
      <c r="P70" s="4">
        <f>(VLOOKUP('19.07'!X70,'19.07'!$AO$4:$AR$55,4,FALSE))</f>
        <v>0</v>
      </c>
      <c r="Q70" s="4">
        <f>(VLOOKUP('19.07'!Y70,'19.07'!$AO$4:$AR$55,4,FALSE))</f>
        <v>0</v>
      </c>
      <c r="R70" s="4">
        <f>(VLOOKUP('19.07'!Z70,'19.07'!$AO$4:$AR$55,4,FALSE))</f>
        <v>0</v>
      </c>
      <c r="S70" s="4">
        <f>(VLOOKUP('19.07'!AA70,'19.07'!$AO$4:$AR$55,4,FALSE))</f>
        <v>0</v>
      </c>
      <c r="T70" s="4">
        <f>(VLOOKUP('19.07'!AB70,'19.07'!$AO$4:$AR$55,4,FALSE))</f>
        <v>0</v>
      </c>
      <c r="U70" s="4">
        <f>(VLOOKUP('19.07'!AC70,'19.07'!$AO$4:$AR$55,4,FALSE))</f>
        <v>0</v>
      </c>
      <c r="V70" s="4">
        <f>(VLOOKUP('19.07'!AD70,'19.07'!$AO$4:$AR$55,4,FALSE))</f>
        <v>0</v>
      </c>
      <c r="W70" s="4">
        <f>(VLOOKUP('19.07'!AE70,'19.07'!$AO$4:$AR$55,4,FALSE))</f>
        <v>0</v>
      </c>
      <c r="X70" s="4">
        <f>(VLOOKUP('19.07'!AF70,'19.07'!$AO$4:$AR$55,4,FALSE))</f>
        <v>0</v>
      </c>
    </row>
    <row r="71" spans="1:24">
      <c r="A71" s="4">
        <f>(VLOOKUP('19.07'!I71,'19.07'!$AO$4:$AR$55,4,FALSE))</f>
        <v>0</v>
      </c>
      <c r="B71" s="4">
        <f>(VLOOKUP('19.07'!J71,'19.07'!$AO$4:$AR$55,4,FALSE))</f>
        <v>0</v>
      </c>
      <c r="C71" s="4">
        <f>(VLOOKUP('19.07'!K71,'19.07'!$AO$4:$AR$55,4,FALSE))</f>
        <v>0</v>
      </c>
      <c r="D71" s="4">
        <f>(VLOOKUP('19.07'!L71,'19.07'!$AO$4:$AR$55,4,FALSE))</f>
        <v>0</v>
      </c>
      <c r="E71" s="4">
        <f>(VLOOKUP('19.07'!M71,'19.07'!$AO$4:$AR$55,4,FALSE))</f>
        <v>0</v>
      </c>
      <c r="F71" s="4">
        <f>(VLOOKUP('19.07'!N71,'19.07'!$AO$4:$AR$55,4,FALSE))</f>
        <v>0</v>
      </c>
      <c r="G71" s="4">
        <f>(VLOOKUP('19.07'!O71,'19.07'!$AO$4:$AR$55,4,FALSE))</f>
        <v>0</v>
      </c>
      <c r="H71" s="4">
        <f>(VLOOKUP('19.07'!P71,'19.07'!$AO$4:$AR$55,4,FALSE))</f>
        <v>0</v>
      </c>
      <c r="I71" s="4">
        <f>(VLOOKUP('19.07'!Q71,'19.07'!$AO$4:$AR$55,4,FALSE))</f>
        <v>0</v>
      </c>
      <c r="J71" s="4">
        <f>(VLOOKUP('19.07'!R71,'19.07'!$AO$4:$AR$55,4,FALSE))</f>
        <v>0</v>
      </c>
      <c r="K71" s="4">
        <f>(VLOOKUP('19.07'!S71,'19.07'!$AO$4:$AR$55,4,FALSE))</f>
        <v>0</v>
      </c>
      <c r="L71" s="4">
        <f>(VLOOKUP('19.07'!T71,'19.07'!$AO$4:$AR$55,4,FALSE))</f>
        <v>0</v>
      </c>
      <c r="M71" s="4">
        <f>(VLOOKUP('19.07'!U71,'19.07'!$AO$4:$AR$55,4,FALSE))</f>
        <v>0</v>
      </c>
      <c r="N71" s="4">
        <f>(VLOOKUP('19.07'!V71,'19.07'!$AO$4:$AR$55,4,FALSE))</f>
        <v>0</v>
      </c>
      <c r="O71" s="4">
        <f>(VLOOKUP('19.07'!W71,'19.07'!$AO$4:$AR$55,4,FALSE))</f>
        <v>0</v>
      </c>
      <c r="P71" s="4">
        <f>(VLOOKUP('19.07'!X71,'19.07'!$AO$4:$AR$55,4,FALSE))</f>
        <v>0</v>
      </c>
      <c r="Q71" s="4">
        <f>(VLOOKUP('19.07'!Y71,'19.07'!$AO$4:$AR$55,4,FALSE))</f>
        <v>0</v>
      </c>
      <c r="R71" s="4">
        <f>(VLOOKUP('19.07'!Z71,'19.07'!$AO$4:$AR$55,4,FALSE))</f>
        <v>0</v>
      </c>
      <c r="S71" s="4">
        <f>(VLOOKUP('19.07'!AA71,'19.07'!$AO$4:$AR$55,4,FALSE))</f>
        <v>0</v>
      </c>
      <c r="T71" s="4">
        <f>(VLOOKUP('19.07'!AB71,'19.07'!$AO$4:$AR$55,4,FALSE))</f>
        <v>0</v>
      </c>
      <c r="U71" s="4">
        <f>(VLOOKUP('19.07'!AC71,'19.07'!$AO$4:$AR$55,4,FALSE))</f>
        <v>0</v>
      </c>
      <c r="V71" s="4">
        <f>(VLOOKUP('19.07'!AD71,'19.07'!$AO$4:$AR$55,4,FALSE))</f>
        <v>0</v>
      </c>
      <c r="W71" s="4">
        <f>(VLOOKUP('19.07'!AE71,'19.07'!$AO$4:$AR$55,4,FALSE))</f>
        <v>0</v>
      </c>
      <c r="X71" s="4">
        <f>(VLOOKUP('19.07'!AF71,'19.07'!$AO$4:$AR$55,4,FALSE))</f>
        <v>0</v>
      </c>
    </row>
    <row r="72" spans="1:24">
      <c r="A72" s="4">
        <f>(VLOOKUP('19.07'!I72,'19.07'!$AO$4:$AR$55,4,FALSE))</f>
        <v>0</v>
      </c>
      <c r="B72" s="4">
        <f>(VLOOKUP('19.07'!J72,'19.07'!$AO$4:$AR$55,4,FALSE))</f>
        <v>0</v>
      </c>
      <c r="C72" s="4">
        <f>(VLOOKUP('19.07'!K72,'19.07'!$AO$4:$AR$55,4,FALSE))</f>
        <v>0</v>
      </c>
      <c r="D72" s="4">
        <f>(VLOOKUP('19.07'!L72,'19.07'!$AO$4:$AR$55,4,FALSE))</f>
        <v>0</v>
      </c>
      <c r="E72" s="4">
        <f>(VLOOKUP('19.07'!M72,'19.07'!$AO$4:$AR$55,4,FALSE))</f>
        <v>0</v>
      </c>
      <c r="F72" s="4">
        <f>(VLOOKUP('19.07'!N72,'19.07'!$AO$4:$AR$55,4,FALSE))</f>
        <v>0</v>
      </c>
      <c r="G72" s="4">
        <f>(VLOOKUP('19.07'!O72,'19.07'!$AO$4:$AR$55,4,FALSE))</f>
        <v>0</v>
      </c>
      <c r="H72" s="4">
        <f>(VLOOKUP('19.07'!P72,'19.07'!$AO$4:$AR$55,4,FALSE))</f>
        <v>0</v>
      </c>
      <c r="I72" s="4">
        <f>(VLOOKUP('19.07'!Q72,'19.07'!$AO$4:$AR$55,4,FALSE))</f>
        <v>0</v>
      </c>
      <c r="J72" s="4">
        <f>(VLOOKUP('19.07'!R72,'19.07'!$AO$4:$AR$55,4,FALSE))</f>
        <v>0</v>
      </c>
      <c r="K72" s="4">
        <f>(VLOOKUP('19.07'!S72,'19.07'!$AO$4:$AR$55,4,FALSE))</f>
        <v>0</v>
      </c>
      <c r="L72" s="4">
        <f>(VLOOKUP('19.07'!T72,'19.07'!$AO$4:$AR$55,4,FALSE))</f>
        <v>0</v>
      </c>
      <c r="M72" s="4">
        <f>(VLOOKUP('19.07'!U72,'19.07'!$AO$4:$AR$55,4,FALSE))</f>
        <v>0</v>
      </c>
      <c r="N72" s="4">
        <f>(VLOOKUP('19.07'!V72,'19.07'!$AO$4:$AR$55,4,FALSE))</f>
        <v>0</v>
      </c>
      <c r="O72" s="4">
        <f>(VLOOKUP('19.07'!W72,'19.07'!$AO$4:$AR$55,4,FALSE))</f>
        <v>0</v>
      </c>
      <c r="P72" s="4">
        <f>(VLOOKUP('19.07'!X72,'19.07'!$AO$4:$AR$55,4,FALSE))</f>
        <v>0</v>
      </c>
      <c r="Q72" s="4">
        <f>(VLOOKUP('19.07'!Y72,'19.07'!$AO$4:$AR$55,4,FALSE))</f>
        <v>0</v>
      </c>
      <c r="R72" s="4">
        <f>(VLOOKUP('19.07'!Z72,'19.07'!$AO$4:$AR$55,4,FALSE))</f>
        <v>0</v>
      </c>
      <c r="S72" s="4">
        <f>(VLOOKUP('19.07'!AA72,'19.07'!$AO$4:$AR$55,4,FALSE))</f>
        <v>0</v>
      </c>
      <c r="T72" s="4">
        <f>(VLOOKUP('19.07'!AB72,'19.07'!$AO$4:$AR$55,4,FALSE))</f>
        <v>0</v>
      </c>
      <c r="U72" s="4">
        <f>(VLOOKUP('19.07'!AC72,'19.07'!$AO$4:$AR$55,4,FALSE))</f>
        <v>0</v>
      </c>
      <c r="V72" s="4">
        <f>(VLOOKUP('19.07'!AD72,'19.07'!$AO$4:$AR$55,4,FALSE))</f>
        <v>0</v>
      </c>
      <c r="W72" s="4">
        <f>(VLOOKUP('19.07'!AE72,'19.07'!$AO$4:$AR$55,4,FALSE))</f>
        <v>0</v>
      </c>
      <c r="X72" s="4">
        <f>(VLOOKUP('19.07'!AF72,'19.07'!$AO$4:$AR$55,4,FALSE))</f>
        <v>0</v>
      </c>
    </row>
    <row r="73" spans="1:24">
      <c r="A73" s="4">
        <f>(VLOOKUP('19.07'!I73,'19.07'!$AO$4:$AR$55,4,FALSE))</f>
        <v>0</v>
      </c>
      <c r="B73" s="4">
        <f>(VLOOKUP('19.07'!J73,'19.07'!$AO$4:$AR$55,4,FALSE))</f>
        <v>0</v>
      </c>
      <c r="C73" s="4">
        <f>(VLOOKUP('19.07'!K73,'19.07'!$AO$4:$AR$55,4,FALSE))</f>
        <v>0</v>
      </c>
      <c r="D73" s="4">
        <f>(VLOOKUP('19.07'!L73,'19.07'!$AO$4:$AR$55,4,FALSE))</f>
        <v>0</v>
      </c>
      <c r="E73" s="4">
        <f>(VLOOKUP('19.07'!M73,'19.07'!$AO$4:$AR$55,4,FALSE))</f>
        <v>0</v>
      </c>
      <c r="F73" s="4">
        <f>(VLOOKUP('19.07'!N73,'19.07'!$AO$4:$AR$55,4,FALSE))</f>
        <v>0</v>
      </c>
      <c r="G73" s="4">
        <f>(VLOOKUP('19.07'!O73,'19.07'!$AO$4:$AR$55,4,FALSE))</f>
        <v>0</v>
      </c>
      <c r="H73" s="4">
        <f>(VLOOKUP('19.07'!P73,'19.07'!$AO$4:$AR$55,4,FALSE))</f>
        <v>0</v>
      </c>
      <c r="I73" s="4">
        <f>(VLOOKUP('19.07'!Q73,'19.07'!$AO$4:$AR$55,4,FALSE))</f>
        <v>0</v>
      </c>
      <c r="J73" s="4">
        <f>(VLOOKUP('19.07'!R73,'19.07'!$AO$4:$AR$55,4,FALSE))</f>
        <v>0</v>
      </c>
      <c r="K73" s="4">
        <f>(VLOOKUP('19.07'!S73,'19.07'!$AO$4:$AR$55,4,FALSE))</f>
        <v>0</v>
      </c>
      <c r="L73" s="4">
        <f>(VLOOKUP('19.07'!T73,'19.07'!$AO$4:$AR$55,4,FALSE))</f>
        <v>0</v>
      </c>
      <c r="M73" s="4">
        <f>(VLOOKUP('19.07'!U73,'19.07'!$AO$4:$AR$55,4,FALSE))</f>
        <v>0</v>
      </c>
      <c r="N73" s="4">
        <f>(VLOOKUP('19.07'!V73,'19.07'!$AO$4:$AR$55,4,FALSE))</f>
        <v>0</v>
      </c>
      <c r="O73" s="4">
        <f>(VLOOKUP('19.07'!W73,'19.07'!$AO$4:$AR$55,4,FALSE))</f>
        <v>0</v>
      </c>
      <c r="P73" s="4">
        <f>(VLOOKUP('19.07'!X73,'19.07'!$AO$4:$AR$55,4,FALSE))</f>
        <v>0</v>
      </c>
      <c r="Q73" s="4">
        <f>(VLOOKUP('19.07'!Y73,'19.07'!$AO$4:$AR$55,4,FALSE))</f>
        <v>0</v>
      </c>
      <c r="R73" s="4">
        <f>(VLOOKUP('19.07'!Z73,'19.07'!$AO$4:$AR$55,4,FALSE))</f>
        <v>0</v>
      </c>
      <c r="S73" s="4">
        <f>(VLOOKUP('19.07'!AA73,'19.07'!$AO$4:$AR$55,4,FALSE))</f>
        <v>0</v>
      </c>
      <c r="T73" s="4">
        <f>(VLOOKUP('19.07'!AB73,'19.07'!$AO$4:$AR$55,4,FALSE))</f>
        <v>0</v>
      </c>
      <c r="U73" s="4">
        <f>(VLOOKUP('19.07'!AC73,'19.07'!$AO$4:$AR$55,4,FALSE))</f>
        <v>0</v>
      </c>
      <c r="V73" s="4">
        <f>(VLOOKUP('19.07'!AD73,'19.07'!$AO$4:$AR$55,4,FALSE))</f>
        <v>0</v>
      </c>
      <c r="W73" s="4">
        <f>(VLOOKUP('19.07'!AE73,'19.07'!$AO$4:$AR$55,4,FALSE))</f>
        <v>0</v>
      </c>
      <c r="X73" s="4">
        <f>(VLOOKUP('19.07'!AF73,'19.07'!$AO$4:$AR$55,4,FALSE))</f>
        <v>0</v>
      </c>
    </row>
    <row r="74" spans="1:24">
      <c r="A74" s="4">
        <f>(VLOOKUP('19.07'!I74,'19.07'!$AO$4:$AR$55,4,FALSE))</f>
        <v>0</v>
      </c>
      <c r="B74" s="4">
        <f>(VLOOKUP('19.07'!J74,'19.07'!$AO$4:$AR$55,4,FALSE))</f>
        <v>0</v>
      </c>
      <c r="C74" s="4">
        <f>(VLOOKUP('19.07'!K74,'19.07'!$AO$4:$AR$55,4,FALSE))</f>
        <v>0</v>
      </c>
      <c r="D74" s="4">
        <f>(VLOOKUP('19.07'!L74,'19.07'!$AO$4:$AR$55,4,FALSE))</f>
        <v>0</v>
      </c>
      <c r="E74" s="4">
        <f>(VLOOKUP('19.07'!M74,'19.07'!$AO$4:$AR$55,4,FALSE))</f>
        <v>0</v>
      </c>
      <c r="F74" s="4">
        <f>(VLOOKUP('19.07'!N74,'19.07'!$AO$4:$AR$55,4,FALSE))</f>
        <v>0</v>
      </c>
      <c r="G74" s="4">
        <f>(VLOOKUP('19.07'!O74,'19.07'!$AO$4:$AR$55,4,FALSE))</f>
        <v>0</v>
      </c>
      <c r="H74" s="4">
        <f>(VLOOKUP('19.07'!P74,'19.07'!$AO$4:$AR$55,4,FALSE))</f>
        <v>0</v>
      </c>
      <c r="I74" s="4">
        <f>(VLOOKUP('19.07'!Q74,'19.07'!$AO$4:$AR$55,4,FALSE))</f>
        <v>0</v>
      </c>
      <c r="J74" s="4">
        <f>(VLOOKUP('19.07'!R74,'19.07'!$AO$4:$AR$55,4,FALSE))</f>
        <v>0</v>
      </c>
      <c r="K74" s="4">
        <f>(VLOOKUP('19.07'!S74,'19.07'!$AO$4:$AR$55,4,FALSE))</f>
        <v>0</v>
      </c>
      <c r="L74" s="4">
        <f>(VLOOKUP('19.07'!T74,'19.07'!$AO$4:$AR$55,4,FALSE))</f>
        <v>0</v>
      </c>
      <c r="M74" s="4">
        <f>(VLOOKUP('19.07'!U74,'19.07'!$AO$4:$AR$55,4,FALSE))</f>
        <v>0</v>
      </c>
      <c r="N74" s="4">
        <f>(VLOOKUP('19.07'!V74,'19.07'!$AO$4:$AR$55,4,FALSE))</f>
        <v>0</v>
      </c>
      <c r="O74" s="4">
        <f>(VLOOKUP('19.07'!W74,'19.07'!$AO$4:$AR$55,4,FALSE))</f>
        <v>0</v>
      </c>
      <c r="P74" s="4">
        <f>(VLOOKUP('19.07'!X74,'19.07'!$AO$4:$AR$55,4,FALSE))</f>
        <v>0</v>
      </c>
      <c r="Q74" s="4">
        <f>(VLOOKUP('19.07'!Y74,'19.07'!$AO$4:$AR$55,4,FALSE))</f>
        <v>0</v>
      </c>
      <c r="R74" s="4">
        <f>(VLOOKUP('19.07'!Z74,'19.07'!$AO$4:$AR$55,4,FALSE))</f>
        <v>0</v>
      </c>
      <c r="S74" s="4">
        <f>(VLOOKUP('19.07'!AA74,'19.07'!$AO$4:$AR$55,4,FALSE))</f>
        <v>0</v>
      </c>
      <c r="T74" s="4">
        <f>(VLOOKUP('19.07'!AB74,'19.07'!$AO$4:$AR$55,4,FALSE))</f>
        <v>0</v>
      </c>
      <c r="U74" s="4">
        <f>(VLOOKUP('19.07'!AC74,'19.07'!$AO$4:$AR$55,4,FALSE))</f>
        <v>0</v>
      </c>
      <c r="V74" s="4">
        <f>(VLOOKUP('19.07'!AD74,'19.07'!$AO$4:$AR$55,4,FALSE))</f>
        <v>0</v>
      </c>
      <c r="W74" s="4">
        <f>(VLOOKUP('19.07'!AE74,'19.07'!$AO$4:$AR$55,4,FALSE))</f>
        <v>0</v>
      </c>
      <c r="X74" s="4">
        <f>(VLOOKUP('19.07'!AF74,'19.07'!$AO$4:$AR$55,4,FALSE))</f>
        <v>0</v>
      </c>
    </row>
    <row r="75" spans="1:24">
      <c r="A75" s="4">
        <f>(VLOOKUP('19.07'!I75,'19.07'!$AO$4:$AR$55,4,FALSE))</f>
        <v>0</v>
      </c>
      <c r="B75" s="4">
        <f>(VLOOKUP('19.07'!J75,'19.07'!$AO$4:$AR$55,4,FALSE))</f>
        <v>0</v>
      </c>
      <c r="C75" s="4">
        <f>(VLOOKUP('19.07'!K75,'19.07'!$AO$4:$AR$55,4,FALSE))</f>
        <v>0</v>
      </c>
      <c r="D75" s="4">
        <f>(VLOOKUP('19.07'!L75,'19.07'!$AO$4:$AR$55,4,FALSE))</f>
        <v>0</v>
      </c>
      <c r="E75" s="4">
        <f>(VLOOKUP('19.07'!M75,'19.07'!$AO$4:$AR$55,4,FALSE))</f>
        <v>0</v>
      </c>
      <c r="F75" s="4">
        <f>(VLOOKUP('19.07'!N75,'19.07'!$AO$4:$AR$55,4,FALSE))</f>
        <v>0</v>
      </c>
      <c r="G75" s="4">
        <f>(VLOOKUP('19.07'!O75,'19.07'!$AO$4:$AR$55,4,FALSE))</f>
        <v>0</v>
      </c>
      <c r="H75" s="4">
        <f>(VLOOKUP('19.07'!P75,'19.07'!$AO$4:$AR$55,4,FALSE))</f>
        <v>0</v>
      </c>
      <c r="I75" s="4">
        <f>(VLOOKUP('19.07'!Q75,'19.07'!$AO$4:$AR$55,4,FALSE))</f>
        <v>0</v>
      </c>
      <c r="J75" s="4">
        <f>(VLOOKUP('19.07'!R75,'19.07'!$AO$4:$AR$55,4,FALSE))</f>
        <v>0</v>
      </c>
      <c r="K75" s="4">
        <f>(VLOOKUP('19.07'!S75,'19.07'!$AO$4:$AR$55,4,FALSE))</f>
        <v>0</v>
      </c>
      <c r="L75" s="4">
        <f>(VLOOKUP('19.07'!T75,'19.07'!$AO$4:$AR$55,4,FALSE))</f>
        <v>0</v>
      </c>
      <c r="M75" s="4">
        <f>(VLOOKUP('19.07'!U75,'19.07'!$AO$4:$AR$55,4,FALSE))</f>
        <v>0</v>
      </c>
      <c r="N75" s="4">
        <f>(VLOOKUP('19.07'!V75,'19.07'!$AO$4:$AR$55,4,FALSE))</f>
        <v>0</v>
      </c>
      <c r="O75" s="4">
        <f>(VLOOKUP('19.07'!W75,'19.07'!$AO$4:$AR$55,4,FALSE))</f>
        <v>0</v>
      </c>
      <c r="P75" s="4">
        <f>(VLOOKUP('19.07'!X75,'19.07'!$AO$4:$AR$55,4,FALSE))</f>
        <v>0</v>
      </c>
      <c r="Q75" s="4">
        <f>(VLOOKUP('19.07'!Y75,'19.07'!$AO$4:$AR$55,4,FALSE))</f>
        <v>0</v>
      </c>
      <c r="R75" s="4">
        <f>(VLOOKUP('19.07'!Z75,'19.07'!$AO$4:$AR$55,4,FALSE))</f>
        <v>0</v>
      </c>
      <c r="S75" s="4">
        <f>(VLOOKUP('19.07'!AA75,'19.07'!$AO$4:$AR$55,4,FALSE))</f>
        <v>0</v>
      </c>
      <c r="T75" s="4">
        <f>(VLOOKUP('19.07'!AB75,'19.07'!$AO$4:$AR$55,4,FALSE))</f>
        <v>0</v>
      </c>
      <c r="U75" s="4">
        <f>(VLOOKUP('19.07'!AC75,'19.07'!$AO$4:$AR$55,4,FALSE))</f>
        <v>0</v>
      </c>
      <c r="V75" s="4">
        <f>(VLOOKUP('19.07'!AD75,'19.07'!$AO$4:$AR$55,4,FALSE))</f>
        <v>0</v>
      </c>
      <c r="W75" s="4">
        <f>(VLOOKUP('19.07'!AE75,'19.07'!$AO$4:$AR$55,4,FALSE))</f>
        <v>0</v>
      </c>
      <c r="X75" s="4">
        <f>(VLOOKUP('19.07'!AF75,'19.07'!$AO$4:$AR$55,4,FALSE))</f>
        <v>0</v>
      </c>
    </row>
    <row r="76" spans="1:24">
      <c r="A76" s="4">
        <f>(VLOOKUP('19.07'!I76,'19.07'!$AO$4:$AR$55,4,FALSE))</f>
        <v>0</v>
      </c>
      <c r="B76" s="4">
        <f>(VLOOKUP('19.07'!J76,'19.07'!$AO$4:$AR$55,4,FALSE))</f>
        <v>0</v>
      </c>
      <c r="C76" s="4">
        <f>(VLOOKUP('19.07'!K76,'19.07'!$AO$4:$AR$55,4,FALSE))</f>
        <v>0</v>
      </c>
      <c r="D76" s="4">
        <f>(VLOOKUP('19.07'!L76,'19.07'!$AO$4:$AR$55,4,FALSE))</f>
        <v>0</v>
      </c>
      <c r="E76" s="4">
        <f>(VLOOKUP('19.07'!M76,'19.07'!$AO$4:$AR$55,4,FALSE))</f>
        <v>0</v>
      </c>
      <c r="F76" s="4">
        <f>(VLOOKUP('19.07'!N76,'19.07'!$AO$4:$AR$55,4,FALSE))</f>
        <v>0</v>
      </c>
      <c r="G76" s="4">
        <f>(VLOOKUP('19.07'!O76,'19.07'!$AO$4:$AR$55,4,FALSE))</f>
        <v>0</v>
      </c>
      <c r="H76" s="4">
        <f>(VLOOKUP('19.07'!P76,'19.07'!$AO$4:$AR$55,4,FALSE))</f>
        <v>0</v>
      </c>
      <c r="I76" s="4">
        <f>(VLOOKUP('19.07'!Q76,'19.07'!$AO$4:$AR$55,4,FALSE))</f>
        <v>0</v>
      </c>
      <c r="J76" s="4">
        <f>(VLOOKUP('19.07'!R76,'19.07'!$AO$4:$AR$55,4,FALSE))</f>
        <v>0</v>
      </c>
      <c r="K76" s="4">
        <f>(VLOOKUP('19.07'!S76,'19.07'!$AO$4:$AR$55,4,FALSE))</f>
        <v>0</v>
      </c>
      <c r="L76" s="4">
        <f>(VLOOKUP('19.07'!T76,'19.07'!$AO$4:$AR$55,4,FALSE))</f>
        <v>0</v>
      </c>
      <c r="M76" s="4">
        <f>(VLOOKUP('19.07'!U76,'19.07'!$AO$4:$AR$55,4,FALSE))</f>
        <v>0</v>
      </c>
      <c r="N76" s="4">
        <f>(VLOOKUP('19.07'!V76,'19.07'!$AO$4:$AR$55,4,FALSE))</f>
        <v>0</v>
      </c>
      <c r="O76" s="4">
        <f>(VLOOKUP('19.07'!W76,'19.07'!$AO$4:$AR$55,4,FALSE))</f>
        <v>0</v>
      </c>
      <c r="P76" s="4">
        <f>(VLOOKUP('19.07'!X76,'19.07'!$AO$4:$AR$55,4,FALSE))</f>
        <v>0</v>
      </c>
      <c r="Q76" s="4">
        <f>(VLOOKUP('19.07'!Y76,'19.07'!$AO$4:$AR$55,4,FALSE))</f>
        <v>0</v>
      </c>
      <c r="R76" s="4">
        <f>(VLOOKUP('19.07'!Z76,'19.07'!$AO$4:$AR$55,4,FALSE))</f>
        <v>0</v>
      </c>
      <c r="S76" s="4">
        <f>(VLOOKUP('19.07'!AA76,'19.07'!$AO$4:$AR$55,4,FALSE))</f>
        <v>0</v>
      </c>
      <c r="T76" s="4">
        <f>(VLOOKUP('19.07'!AB76,'19.07'!$AO$4:$AR$55,4,FALSE))</f>
        <v>0</v>
      </c>
      <c r="U76" s="4">
        <f>(VLOOKUP('19.07'!AC76,'19.07'!$AO$4:$AR$55,4,FALSE))</f>
        <v>0</v>
      </c>
      <c r="V76" s="4">
        <f>(VLOOKUP('19.07'!AD76,'19.07'!$AO$4:$AR$55,4,FALSE))</f>
        <v>0</v>
      </c>
      <c r="W76" s="4">
        <f>(VLOOKUP('19.07'!AE76,'19.07'!$AO$4:$AR$55,4,FALSE))</f>
        <v>0</v>
      </c>
      <c r="X76" s="4">
        <f>(VLOOKUP('19.07'!AF76,'19.07'!$AO$4:$AR$55,4,FALSE))</f>
        <v>0</v>
      </c>
    </row>
    <row r="77" spans="1:24">
      <c r="A77" s="4">
        <f>(VLOOKUP('19.07'!I77,'19.07'!$AO$4:$AR$55,4,FALSE))</f>
        <v>0</v>
      </c>
      <c r="B77" s="4">
        <f>(VLOOKUP('19.07'!J77,'19.07'!$AO$4:$AR$55,4,FALSE))</f>
        <v>0</v>
      </c>
      <c r="C77" s="4">
        <f>(VLOOKUP('19.07'!K77,'19.07'!$AO$4:$AR$55,4,FALSE))</f>
        <v>0</v>
      </c>
      <c r="D77" s="4">
        <f>(VLOOKUP('19.07'!L77,'19.07'!$AO$4:$AR$55,4,FALSE))</f>
        <v>0</v>
      </c>
      <c r="E77" s="4">
        <f>(VLOOKUP('19.07'!M77,'19.07'!$AO$4:$AR$55,4,FALSE))</f>
        <v>0</v>
      </c>
      <c r="F77" s="4">
        <f>(VLOOKUP('19.07'!N77,'19.07'!$AO$4:$AR$55,4,FALSE))</f>
        <v>0</v>
      </c>
      <c r="G77" s="4">
        <f>(VLOOKUP('19.07'!O77,'19.07'!$AO$4:$AR$55,4,FALSE))</f>
        <v>0</v>
      </c>
      <c r="H77" s="4">
        <f>(VLOOKUP('19.07'!P77,'19.07'!$AO$4:$AR$55,4,FALSE))</f>
        <v>0</v>
      </c>
      <c r="I77" s="4">
        <f>(VLOOKUP('19.07'!Q77,'19.07'!$AO$4:$AR$55,4,FALSE))</f>
        <v>0</v>
      </c>
      <c r="J77" s="4">
        <f>(VLOOKUP('19.07'!R77,'19.07'!$AO$4:$AR$55,4,FALSE))</f>
        <v>0</v>
      </c>
      <c r="K77" s="4">
        <f>(VLOOKUP('19.07'!S77,'19.07'!$AO$4:$AR$55,4,FALSE))</f>
        <v>0</v>
      </c>
      <c r="L77" s="4">
        <f>(VLOOKUP('19.07'!T77,'19.07'!$AO$4:$AR$55,4,FALSE))</f>
        <v>0</v>
      </c>
      <c r="M77" s="4">
        <f>(VLOOKUP('19.07'!U77,'19.07'!$AO$4:$AR$55,4,FALSE))</f>
        <v>0</v>
      </c>
      <c r="N77" s="4">
        <f>(VLOOKUP('19.07'!V77,'19.07'!$AO$4:$AR$55,4,FALSE))</f>
        <v>0</v>
      </c>
      <c r="O77" s="4">
        <f>(VLOOKUP('19.07'!W77,'19.07'!$AO$4:$AR$55,4,FALSE))</f>
        <v>0</v>
      </c>
      <c r="P77" s="4">
        <f>(VLOOKUP('19.07'!X77,'19.07'!$AO$4:$AR$55,4,FALSE))</f>
        <v>0</v>
      </c>
      <c r="Q77" s="4">
        <f>(VLOOKUP('19.07'!Y77,'19.07'!$AO$4:$AR$55,4,FALSE))</f>
        <v>0</v>
      </c>
      <c r="R77" s="4">
        <f>(VLOOKUP('19.07'!Z77,'19.07'!$AO$4:$AR$55,4,FALSE))</f>
        <v>0</v>
      </c>
      <c r="S77" s="4">
        <f>(VLOOKUP('19.07'!AA77,'19.07'!$AO$4:$AR$55,4,FALSE))</f>
        <v>0</v>
      </c>
      <c r="T77" s="4">
        <f>(VLOOKUP('19.07'!AB77,'19.07'!$AO$4:$AR$55,4,FALSE))</f>
        <v>0</v>
      </c>
      <c r="U77" s="4">
        <f>(VLOOKUP('19.07'!AC77,'19.07'!$AO$4:$AR$55,4,FALSE))</f>
        <v>0</v>
      </c>
      <c r="V77" s="4">
        <f>(VLOOKUP('19.07'!AD77,'19.07'!$AO$4:$AR$55,4,FALSE))</f>
        <v>0</v>
      </c>
      <c r="W77" s="4">
        <f>(VLOOKUP('19.07'!AE77,'19.07'!$AO$4:$AR$55,4,FALSE))</f>
        <v>0</v>
      </c>
      <c r="X77" s="4">
        <f>(VLOOKUP('19.07'!AF77,'19.07'!$AO$4:$AR$55,4,FALSE))</f>
        <v>0</v>
      </c>
    </row>
    <row r="78" spans="1:24">
      <c r="A78" s="4">
        <f>(VLOOKUP('19.07'!I78,'19.07'!$AO$4:$AR$55,4,FALSE))</f>
        <v>0</v>
      </c>
      <c r="B78" s="4">
        <f>(VLOOKUP('19.07'!J78,'19.07'!$AO$4:$AR$55,4,FALSE))</f>
        <v>0</v>
      </c>
      <c r="C78" s="4">
        <f>(VLOOKUP('19.07'!K78,'19.07'!$AO$4:$AR$55,4,FALSE))</f>
        <v>0</v>
      </c>
      <c r="D78" s="4">
        <f>(VLOOKUP('19.07'!L78,'19.07'!$AO$4:$AR$55,4,FALSE))</f>
        <v>0</v>
      </c>
      <c r="E78" s="4">
        <f>(VLOOKUP('19.07'!M78,'19.07'!$AO$4:$AR$55,4,FALSE))</f>
        <v>0</v>
      </c>
      <c r="F78" s="4">
        <f>(VLOOKUP('19.07'!N78,'19.07'!$AO$4:$AR$55,4,FALSE))</f>
        <v>0</v>
      </c>
      <c r="G78" s="4">
        <f>(VLOOKUP('19.07'!O78,'19.07'!$AO$4:$AR$55,4,FALSE))</f>
        <v>0</v>
      </c>
      <c r="H78" s="4">
        <f>(VLOOKUP('19.07'!P78,'19.07'!$AO$4:$AR$55,4,FALSE))</f>
        <v>0</v>
      </c>
      <c r="I78" s="4">
        <f>(VLOOKUP('19.07'!Q78,'19.07'!$AO$4:$AR$55,4,FALSE))</f>
        <v>0</v>
      </c>
      <c r="J78" s="4">
        <f>(VLOOKUP('19.07'!R78,'19.07'!$AO$4:$AR$55,4,FALSE))</f>
        <v>0</v>
      </c>
      <c r="K78" s="4">
        <f>(VLOOKUP('19.07'!S78,'19.07'!$AO$4:$AR$55,4,FALSE))</f>
        <v>0</v>
      </c>
      <c r="L78" s="4">
        <f>(VLOOKUP('19.07'!T78,'19.07'!$AO$4:$AR$55,4,FALSE))</f>
        <v>0</v>
      </c>
      <c r="M78" s="4">
        <f>(VLOOKUP('19.07'!U78,'19.07'!$AO$4:$AR$55,4,FALSE))</f>
        <v>0</v>
      </c>
      <c r="N78" s="4">
        <f>(VLOOKUP('19.07'!V78,'19.07'!$AO$4:$AR$55,4,FALSE))</f>
        <v>0</v>
      </c>
      <c r="O78" s="4">
        <f>(VLOOKUP('19.07'!W78,'19.07'!$AO$4:$AR$55,4,FALSE))</f>
        <v>0</v>
      </c>
      <c r="P78" s="4">
        <f>(VLOOKUP('19.07'!X78,'19.07'!$AO$4:$AR$55,4,FALSE))</f>
        <v>0</v>
      </c>
      <c r="Q78" s="4">
        <f>(VLOOKUP('19.07'!Y78,'19.07'!$AO$4:$AR$55,4,FALSE))</f>
        <v>0</v>
      </c>
      <c r="R78" s="4">
        <f>(VLOOKUP('19.07'!Z78,'19.07'!$AO$4:$AR$55,4,FALSE))</f>
        <v>0</v>
      </c>
      <c r="S78" s="4">
        <f>(VLOOKUP('19.07'!AA78,'19.07'!$AO$4:$AR$55,4,FALSE))</f>
        <v>0</v>
      </c>
      <c r="T78" s="4">
        <f>(VLOOKUP('19.07'!AB78,'19.07'!$AO$4:$AR$55,4,FALSE))</f>
        <v>0</v>
      </c>
      <c r="U78" s="4">
        <f>(VLOOKUP('19.07'!AC78,'19.07'!$AO$4:$AR$55,4,FALSE))</f>
        <v>0</v>
      </c>
      <c r="V78" s="4">
        <f>(VLOOKUP('19.07'!AD78,'19.07'!$AO$4:$AR$55,4,FALSE))</f>
        <v>0</v>
      </c>
      <c r="W78" s="4">
        <f>(VLOOKUP('19.07'!AE78,'19.07'!$AO$4:$AR$55,4,FALSE))</f>
        <v>0</v>
      </c>
      <c r="X78" s="4">
        <f>(VLOOKUP('19.07'!AF78,'19.07'!$AO$4:$AR$55,4,FALSE))</f>
        <v>0</v>
      </c>
    </row>
    <row r="79" spans="1:24">
      <c r="A79" s="4">
        <f>(VLOOKUP('19.07'!I79,'19.07'!$AO$4:$AR$55,4,FALSE))</f>
        <v>0</v>
      </c>
      <c r="B79" s="4">
        <f>(VLOOKUP('19.07'!J79,'19.07'!$AO$4:$AR$55,4,FALSE))</f>
        <v>0</v>
      </c>
      <c r="C79" s="4">
        <f>(VLOOKUP('19.07'!K79,'19.07'!$AO$4:$AR$55,4,FALSE))</f>
        <v>0</v>
      </c>
      <c r="D79" s="4">
        <f>(VLOOKUP('19.07'!L79,'19.07'!$AO$4:$AR$55,4,FALSE))</f>
        <v>0</v>
      </c>
      <c r="E79" s="4">
        <f>(VLOOKUP('19.07'!M79,'19.07'!$AO$4:$AR$55,4,FALSE))</f>
        <v>0</v>
      </c>
      <c r="F79" s="4">
        <f>(VLOOKUP('19.07'!N79,'19.07'!$AO$4:$AR$55,4,FALSE))</f>
        <v>0</v>
      </c>
      <c r="G79" s="4">
        <f>(VLOOKUP('19.07'!O79,'19.07'!$AO$4:$AR$55,4,FALSE))</f>
        <v>0</v>
      </c>
      <c r="H79" s="4">
        <f>(VLOOKUP('19.07'!P79,'19.07'!$AO$4:$AR$55,4,FALSE))</f>
        <v>0</v>
      </c>
      <c r="I79" s="4">
        <f>(VLOOKUP('19.07'!Q79,'19.07'!$AO$4:$AR$55,4,FALSE))</f>
        <v>0</v>
      </c>
      <c r="J79" s="4">
        <f>(VLOOKUP('19.07'!R79,'19.07'!$AO$4:$AR$55,4,FALSE))</f>
        <v>0</v>
      </c>
      <c r="K79" s="4">
        <f>(VLOOKUP('19.07'!S79,'19.07'!$AO$4:$AR$55,4,FALSE))</f>
        <v>0</v>
      </c>
      <c r="L79" s="4">
        <f>(VLOOKUP('19.07'!T79,'19.07'!$AO$4:$AR$55,4,FALSE))</f>
        <v>0</v>
      </c>
      <c r="M79" s="4">
        <f>(VLOOKUP('19.07'!U79,'19.07'!$AO$4:$AR$55,4,FALSE))</f>
        <v>0</v>
      </c>
      <c r="N79" s="4">
        <f>(VLOOKUP('19.07'!V79,'19.07'!$AO$4:$AR$55,4,FALSE))</f>
        <v>0</v>
      </c>
      <c r="O79" s="4">
        <f>(VLOOKUP('19.07'!W79,'19.07'!$AO$4:$AR$55,4,FALSE))</f>
        <v>0</v>
      </c>
      <c r="P79" s="4">
        <f>(VLOOKUP('19.07'!X79,'19.07'!$AO$4:$AR$55,4,FALSE))</f>
        <v>0</v>
      </c>
      <c r="Q79" s="4">
        <f>(VLOOKUP('19.07'!Y79,'19.07'!$AO$4:$AR$55,4,FALSE))</f>
        <v>0</v>
      </c>
      <c r="R79" s="4">
        <f>(VLOOKUP('19.07'!Z79,'19.07'!$AO$4:$AR$55,4,FALSE))</f>
        <v>0</v>
      </c>
      <c r="S79" s="4">
        <f>(VLOOKUP('19.07'!AA79,'19.07'!$AO$4:$AR$55,4,FALSE))</f>
        <v>0</v>
      </c>
      <c r="T79" s="4">
        <f>(VLOOKUP('19.07'!AB79,'19.07'!$AO$4:$AR$55,4,FALSE))</f>
        <v>0</v>
      </c>
      <c r="U79" s="4">
        <f>(VLOOKUP('19.07'!AC79,'19.07'!$AO$4:$AR$55,4,FALSE))</f>
        <v>0</v>
      </c>
      <c r="V79" s="4">
        <f>(VLOOKUP('19.07'!AD79,'19.07'!$AO$4:$AR$55,4,FALSE))</f>
        <v>0</v>
      </c>
      <c r="W79" s="4">
        <f>(VLOOKUP('19.07'!AE79,'19.07'!$AO$4:$AR$55,4,FALSE))</f>
        <v>0</v>
      </c>
      <c r="X79" s="4">
        <f>(VLOOKUP('19.07'!AF79,'19.07'!$AO$4:$AR$55,4,FALSE))</f>
        <v>0</v>
      </c>
    </row>
    <row r="80" spans="1:24">
      <c r="A80" s="4">
        <f>(VLOOKUP('19.07'!I80,'19.07'!$AO$4:$AR$55,4,FALSE))</f>
        <v>0</v>
      </c>
      <c r="B80" s="4">
        <f>(VLOOKUP('19.07'!J80,'19.07'!$AO$4:$AR$55,4,FALSE))</f>
        <v>0</v>
      </c>
      <c r="C80" s="4">
        <f>(VLOOKUP('19.07'!K80,'19.07'!$AO$4:$AR$55,4,FALSE))</f>
        <v>0</v>
      </c>
      <c r="D80" s="4">
        <f>(VLOOKUP('19.07'!L80,'19.07'!$AO$4:$AR$55,4,FALSE))</f>
        <v>0</v>
      </c>
      <c r="E80" s="4">
        <f>(VLOOKUP('19.07'!M80,'19.07'!$AO$4:$AR$55,4,FALSE))</f>
        <v>0</v>
      </c>
      <c r="F80" s="4">
        <f>(VLOOKUP('19.07'!N80,'19.07'!$AO$4:$AR$55,4,FALSE))</f>
        <v>0</v>
      </c>
      <c r="G80" s="4">
        <f>(VLOOKUP('19.07'!O80,'19.07'!$AO$4:$AR$55,4,FALSE))</f>
        <v>0</v>
      </c>
      <c r="H80" s="4">
        <f>(VLOOKUP('19.07'!P80,'19.07'!$AO$4:$AR$55,4,FALSE))</f>
        <v>0</v>
      </c>
      <c r="I80" s="4">
        <f>(VLOOKUP('19.07'!Q80,'19.07'!$AO$4:$AR$55,4,FALSE))</f>
        <v>0</v>
      </c>
      <c r="J80" s="4">
        <f>(VLOOKUP('19.07'!R80,'19.07'!$AO$4:$AR$55,4,FALSE))</f>
        <v>0</v>
      </c>
      <c r="K80" s="4">
        <f>(VLOOKUP('19.07'!S80,'19.07'!$AO$4:$AR$55,4,FALSE))</f>
        <v>0</v>
      </c>
      <c r="L80" s="4">
        <f>(VLOOKUP('19.07'!T80,'19.07'!$AO$4:$AR$55,4,FALSE))</f>
        <v>0</v>
      </c>
      <c r="M80" s="4">
        <f>(VLOOKUP('19.07'!U80,'19.07'!$AO$4:$AR$55,4,FALSE))</f>
        <v>0</v>
      </c>
      <c r="N80" s="4">
        <f>(VLOOKUP('19.07'!V80,'19.07'!$AO$4:$AR$55,4,FALSE))</f>
        <v>0</v>
      </c>
      <c r="O80" s="4">
        <f>(VLOOKUP('19.07'!W80,'19.07'!$AO$4:$AR$55,4,FALSE))</f>
        <v>0</v>
      </c>
      <c r="P80" s="4">
        <f>(VLOOKUP('19.07'!X80,'19.07'!$AO$4:$AR$55,4,FALSE))</f>
        <v>0</v>
      </c>
      <c r="Q80" s="4">
        <f>(VLOOKUP('19.07'!Y80,'19.07'!$AO$4:$AR$55,4,FALSE))</f>
        <v>0</v>
      </c>
      <c r="R80" s="4">
        <f>(VLOOKUP('19.07'!Z80,'19.07'!$AO$4:$AR$55,4,FALSE))</f>
        <v>0</v>
      </c>
      <c r="S80" s="4">
        <f>(VLOOKUP('19.07'!AA80,'19.07'!$AO$4:$AR$55,4,FALSE))</f>
        <v>0</v>
      </c>
      <c r="T80" s="4">
        <f>(VLOOKUP('19.07'!AB80,'19.07'!$AO$4:$AR$55,4,FALSE))</f>
        <v>0</v>
      </c>
      <c r="U80" s="4">
        <f>(VLOOKUP('19.07'!AC80,'19.07'!$AO$4:$AR$55,4,FALSE))</f>
        <v>0</v>
      </c>
      <c r="V80" s="4">
        <f>(VLOOKUP('19.07'!AD80,'19.07'!$AO$4:$AR$55,4,FALSE))</f>
        <v>0</v>
      </c>
      <c r="W80" s="4">
        <f>(VLOOKUP('19.07'!AE80,'19.07'!$AO$4:$AR$55,4,FALSE))</f>
        <v>0</v>
      </c>
      <c r="X80" s="4">
        <f>(VLOOKUP('19.07'!AF80,'19.07'!$AO$4:$AR$55,4,FALSE))</f>
        <v>0</v>
      </c>
    </row>
    <row r="81" spans="1:24">
      <c r="A81" s="4">
        <f>(VLOOKUP('19.07'!I81,'19.07'!$AO$4:$AR$55,4,FALSE))</f>
        <v>0</v>
      </c>
      <c r="B81" s="4">
        <f>(VLOOKUP('19.07'!J81,'19.07'!$AO$4:$AR$55,4,FALSE))</f>
        <v>0</v>
      </c>
      <c r="C81" s="4">
        <f>(VLOOKUP('19.07'!K81,'19.07'!$AO$4:$AR$55,4,FALSE))</f>
        <v>0</v>
      </c>
      <c r="D81" s="4">
        <f>(VLOOKUP('19.07'!L81,'19.07'!$AO$4:$AR$55,4,FALSE))</f>
        <v>0</v>
      </c>
      <c r="E81" s="4">
        <f>(VLOOKUP('19.07'!M81,'19.07'!$AO$4:$AR$55,4,FALSE))</f>
        <v>0</v>
      </c>
      <c r="F81" s="4">
        <f>(VLOOKUP('19.07'!N81,'19.07'!$AO$4:$AR$55,4,FALSE))</f>
        <v>0</v>
      </c>
      <c r="G81" s="4">
        <f>(VLOOKUP('19.07'!O81,'19.07'!$AO$4:$AR$55,4,FALSE))</f>
        <v>0</v>
      </c>
      <c r="H81" s="4">
        <f>(VLOOKUP('19.07'!P81,'19.07'!$AO$4:$AR$55,4,FALSE))</f>
        <v>0</v>
      </c>
      <c r="I81" s="4">
        <f>(VLOOKUP('19.07'!Q81,'19.07'!$AO$4:$AR$55,4,FALSE))</f>
        <v>0</v>
      </c>
      <c r="J81" s="4">
        <f>(VLOOKUP('19.07'!R81,'19.07'!$AO$4:$AR$55,4,FALSE))</f>
        <v>0</v>
      </c>
      <c r="K81" s="4">
        <f>(VLOOKUP('19.07'!S81,'19.07'!$AO$4:$AR$55,4,FALSE))</f>
        <v>0</v>
      </c>
      <c r="L81" s="4">
        <f>(VLOOKUP('19.07'!T81,'19.07'!$AO$4:$AR$55,4,FALSE))</f>
        <v>0</v>
      </c>
      <c r="M81" s="4">
        <f>(VLOOKUP('19.07'!U81,'19.07'!$AO$4:$AR$55,4,FALSE))</f>
        <v>0</v>
      </c>
      <c r="N81" s="4">
        <f>(VLOOKUP('19.07'!V81,'19.07'!$AO$4:$AR$55,4,FALSE))</f>
        <v>0</v>
      </c>
      <c r="O81" s="4">
        <f>(VLOOKUP('19.07'!W81,'19.07'!$AO$4:$AR$55,4,FALSE))</f>
        <v>0</v>
      </c>
      <c r="P81" s="4">
        <f>(VLOOKUP('19.07'!X81,'19.07'!$AO$4:$AR$55,4,FALSE))</f>
        <v>0</v>
      </c>
      <c r="Q81" s="4">
        <f>(VLOOKUP('19.07'!Y81,'19.07'!$AO$4:$AR$55,4,FALSE))</f>
        <v>0</v>
      </c>
      <c r="R81" s="4">
        <f>(VLOOKUP('19.07'!Z81,'19.07'!$AO$4:$AR$55,4,FALSE))</f>
        <v>0</v>
      </c>
      <c r="S81" s="4">
        <f>(VLOOKUP('19.07'!AA81,'19.07'!$AO$4:$AR$55,4,FALSE))</f>
        <v>0</v>
      </c>
      <c r="T81" s="4">
        <f>(VLOOKUP('19.07'!AB81,'19.07'!$AO$4:$AR$55,4,FALSE))</f>
        <v>0</v>
      </c>
      <c r="U81" s="4">
        <f>(VLOOKUP('19.07'!AC81,'19.07'!$AO$4:$AR$55,4,FALSE))</f>
        <v>0</v>
      </c>
      <c r="V81" s="4">
        <f>(VLOOKUP('19.07'!AD81,'19.07'!$AO$4:$AR$55,4,FALSE))</f>
        <v>0</v>
      </c>
      <c r="W81" s="4">
        <f>(VLOOKUP('19.07'!AE81,'19.07'!$AO$4:$AR$55,4,FALSE))</f>
        <v>0</v>
      </c>
      <c r="X81" s="4">
        <f>(VLOOKUP('19.07'!AF81,'19.07'!$AO$4:$AR$55,4,FALSE))</f>
        <v>0</v>
      </c>
    </row>
    <row r="82" spans="1:24">
      <c r="A82" s="4">
        <f>(VLOOKUP('19.07'!I82,'19.07'!$AO$4:$AR$55,4,FALSE))</f>
        <v>0</v>
      </c>
      <c r="B82" s="4">
        <f>(VLOOKUP('19.07'!J82,'19.07'!$AO$4:$AR$55,4,FALSE))</f>
        <v>0</v>
      </c>
      <c r="C82" s="4">
        <f>(VLOOKUP('19.07'!K82,'19.07'!$AO$4:$AR$55,4,FALSE))</f>
        <v>0</v>
      </c>
      <c r="D82" s="4">
        <f>(VLOOKUP('19.07'!L82,'19.07'!$AO$4:$AR$55,4,FALSE))</f>
        <v>0</v>
      </c>
      <c r="E82" s="4">
        <f>(VLOOKUP('19.07'!M82,'19.07'!$AO$4:$AR$55,4,FALSE))</f>
        <v>0</v>
      </c>
      <c r="F82" s="4">
        <f>(VLOOKUP('19.07'!N82,'19.07'!$AO$4:$AR$55,4,FALSE))</f>
        <v>0</v>
      </c>
      <c r="G82" s="4">
        <f>(VLOOKUP('19.07'!O82,'19.07'!$AO$4:$AR$55,4,FALSE))</f>
        <v>0</v>
      </c>
      <c r="H82" s="4">
        <f>(VLOOKUP('19.07'!P82,'19.07'!$AO$4:$AR$55,4,FALSE))</f>
        <v>0</v>
      </c>
      <c r="I82" s="4">
        <f>(VLOOKUP('19.07'!Q82,'19.07'!$AO$4:$AR$55,4,FALSE))</f>
        <v>0</v>
      </c>
      <c r="J82" s="4">
        <f>(VLOOKUP('19.07'!R82,'19.07'!$AO$4:$AR$55,4,FALSE))</f>
        <v>0</v>
      </c>
      <c r="K82" s="4">
        <f>(VLOOKUP('19.07'!S82,'19.07'!$AO$4:$AR$55,4,FALSE))</f>
        <v>0</v>
      </c>
      <c r="L82" s="4">
        <f>(VLOOKUP('19.07'!T82,'19.07'!$AO$4:$AR$55,4,FALSE))</f>
        <v>0</v>
      </c>
      <c r="M82" s="4">
        <f>(VLOOKUP('19.07'!U82,'19.07'!$AO$4:$AR$55,4,FALSE))</f>
        <v>0</v>
      </c>
      <c r="N82" s="4">
        <f>(VLOOKUP('19.07'!V82,'19.07'!$AO$4:$AR$55,4,FALSE))</f>
        <v>0</v>
      </c>
      <c r="O82" s="4">
        <f>(VLOOKUP('19.07'!W82,'19.07'!$AO$4:$AR$55,4,FALSE))</f>
        <v>0</v>
      </c>
      <c r="P82" s="4">
        <f>(VLOOKUP('19.07'!X82,'19.07'!$AO$4:$AR$55,4,FALSE))</f>
        <v>0</v>
      </c>
      <c r="Q82" s="4">
        <f>(VLOOKUP('19.07'!Y82,'19.07'!$AO$4:$AR$55,4,FALSE))</f>
        <v>0</v>
      </c>
      <c r="R82" s="4">
        <f>(VLOOKUP('19.07'!Z82,'19.07'!$AO$4:$AR$55,4,FALSE))</f>
        <v>0</v>
      </c>
      <c r="S82" s="4">
        <f>(VLOOKUP('19.07'!AA82,'19.07'!$AO$4:$AR$55,4,FALSE))</f>
        <v>0</v>
      </c>
      <c r="T82" s="4">
        <f>(VLOOKUP('19.07'!AB82,'19.07'!$AO$4:$AR$55,4,FALSE))</f>
        <v>0</v>
      </c>
      <c r="U82" s="4">
        <f>(VLOOKUP('19.07'!AC82,'19.07'!$AO$4:$AR$55,4,FALSE))</f>
        <v>0</v>
      </c>
      <c r="V82" s="4">
        <f>(VLOOKUP('19.07'!AD82,'19.07'!$AO$4:$AR$55,4,FALSE))</f>
        <v>0</v>
      </c>
      <c r="W82" s="4">
        <f>(VLOOKUP('19.07'!AE82,'19.07'!$AO$4:$AR$55,4,FALSE))</f>
        <v>0</v>
      </c>
      <c r="X82" s="4">
        <f>(VLOOKUP('19.07'!AF82,'19.07'!$AO$4:$AR$55,4,FALSE))</f>
        <v>0</v>
      </c>
    </row>
    <row r="83" spans="1:24">
      <c r="A83" s="4">
        <f>(VLOOKUP('19.07'!I83,'19.07'!$AO$4:$AR$55,4,FALSE))</f>
        <v>0</v>
      </c>
      <c r="B83" s="4">
        <f>(VLOOKUP('19.07'!J83,'19.07'!$AO$4:$AR$55,4,FALSE))</f>
        <v>0</v>
      </c>
      <c r="C83" s="4">
        <f>(VLOOKUP('19.07'!K83,'19.07'!$AO$4:$AR$55,4,FALSE))</f>
        <v>0</v>
      </c>
      <c r="D83" s="4">
        <f>(VLOOKUP('19.07'!L83,'19.07'!$AO$4:$AR$55,4,FALSE))</f>
        <v>0</v>
      </c>
      <c r="E83" s="4">
        <f>(VLOOKUP('19.07'!M83,'19.07'!$AO$4:$AR$55,4,FALSE))</f>
        <v>0</v>
      </c>
      <c r="F83" s="4">
        <f>(VLOOKUP('19.07'!N83,'19.07'!$AO$4:$AR$55,4,FALSE))</f>
        <v>0</v>
      </c>
      <c r="G83" s="4">
        <f>(VLOOKUP('19.07'!O83,'19.07'!$AO$4:$AR$55,4,FALSE))</f>
        <v>0</v>
      </c>
      <c r="H83" s="4">
        <f>(VLOOKUP('19.07'!P83,'19.07'!$AO$4:$AR$55,4,FALSE))</f>
        <v>0</v>
      </c>
      <c r="I83" s="4">
        <f>(VLOOKUP('19.07'!Q83,'19.07'!$AO$4:$AR$55,4,FALSE))</f>
        <v>0</v>
      </c>
      <c r="J83" s="4">
        <f>(VLOOKUP('19.07'!R83,'19.07'!$AO$4:$AR$55,4,FALSE))</f>
        <v>0</v>
      </c>
      <c r="K83" s="4">
        <f>(VLOOKUP('19.07'!S83,'19.07'!$AO$4:$AR$55,4,FALSE))</f>
        <v>0</v>
      </c>
      <c r="L83" s="4">
        <f>(VLOOKUP('19.07'!T83,'19.07'!$AO$4:$AR$55,4,FALSE))</f>
        <v>0</v>
      </c>
      <c r="M83" s="4">
        <f>(VLOOKUP('19.07'!U83,'19.07'!$AO$4:$AR$55,4,FALSE))</f>
        <v>0</v>
      </c>
      <c r="N83" s="4">
        <f>(VLOOKUP('19.07'!V83,'19.07'!$AO$4:$AR$55,4,FALSE))</f>
        <v>0</v>
      </c>
      <c r="O83" s="4">
        <f>(VLOOKUP('19.07'!W83,'19.07'!$AO$4:$AR$55,4,FALSE))</f>
        <v>0</v>
      </c>
      <c r="P83" s="4">
        <f>(VLOOKUP('19.07'!X83,'19.07'!$AO$4:$AR$55,4,FALSE))</f>
        <v>0</v>
      </c>
      <c r="Q83" s="4">
        <f>(VLOOKUP('19.07'!Y83,'19.07'!$AO$4:$AR$55,4,FALSE))</f>
        <v>0</v>
      </c>
      <c r="R83" s="4">
        <f>(VLOOKUP('19.07'!Z83,'19.07'!$AO$4:$AR$55,4,FALSE))</f>
        <v>0</v>
      </c>
      <c r="S83" s="4">
        <f>(VLOOKUP('19.07'!AA83,'19.07'!$AO$4:$AR$55,4,FALSE))</f>
        <v>0</v>
      </c>
      <c r="T83" s="4">
        <f>(VLOOKUP('19.07'!AB83,'19.07'!$AO$4:$AR$55,4,FALSE))</f>
        <v>0</v>
      </c>
      <c r="U83" s="4">
        <f>(VLOOKUP('19.07'!AC83,'19.07'!$AO$4:$AR$55,4,FALSE))</f>
        <v>0</v>
      </c>
      <c r="V83" s="4">
        <f>(VLOOKUP('19.07'!AD83,'19.07'!$AO$4:$AR$55,4,FALSE))</f>
        <v>0</v>
      </c>
      <c r="W83" s="4">
        <f>(VLOOKUP('19.07'!AE83,'19.07'!$AO$4:$AR$55,4,FALSE))</f>
        <v>0</v>
      </c>
      <c r="X83" s="4">
        <f>(VLOOKUP('19.07'!AF83,'19.07'!$AO$4:$AR$55,4,FALSE))</f>
        <v>0</v>
      </c>
    </row>
    <row r="84" spans="1:24">
      <c r="A84" s="4">
        <f>(VLOOKUP('19.07'!I84,'19.07'!$AO$4:$AR$55,4,FALSE))</f>
        <v>0</v>
      </c>
      <c r="B84" s="4">
        <f>(VLOOKUP('19.07'!J84,'19.07'!$AO$4:$AR$55,4,FALSE))</f>
        <v>0</v>
      </c>
      <c r="C84" s="4">
        <f>(VLOOKUP('19.07'!K84,'19.07'!$AO$4:$AR$55,4,FALSE))</f>
        <v>0</v>
      </c>
      <c r="D84" s="4">
        <f>(VLOOKUP('19.07'!L84,'19.07'!$AO$4:$AR$55,4,FALSE))</f>
        <v>0</v>
      </c>
      <c r="E84" s="4">
        <f>(VLOOKUP('19.07'!M84,'19.07'!$AO$4:$AR$55,4,FALSE))</f>
        <v>0</v>
      </c>
      <c r="F84" s="4">
        <f>(VLOOKUP('19.07'!N84,'19.07'!$AO$4:$AR$55,4,FALSE))</f>
        <v>0</v>
      </c>
      <c r="G84" s="4">
        <f>(VLOOKUP('19.07'!O84,'19.07'!$AO$4:$AR$55,4,FALSE))</f>
        <v>0</v>
      </c>
      <c r="H84" s="4">
        <f>(VLOOKUP('19.07'!P84,'19.07'!$AO$4:$AR$55,4,FALSE))</f>
        <v>0</v>
      </c>
      <c r="I84" s="4">
        <f>(VLOOKUP('19.07'!Q84,'19.07'!$AO$4:$AR$55,4,FALSE))</f>
        <v>0</v>
      </c>
      <c r="J84" s="4">
        <f>(VLOOKUP('19.07'!R84,'19.07'!$AO$4:$AR$55,4,FALSE))</f>
        <v>0</v>
      </c>
      <c r="K84" s="4">
        <f>(VLOOKUP('19.07'!S84,'19.07'!$AO$4:$AR$55,4,FALSE))</f>
        <v>0</v>
      </c>
      <c r="L84" s="4">
        <f>(VLOOKUP('19.07'!T84,'19.07'!$AO$4:$AR$55,4,FALSE))</f>
        <v>0</v>
      </c>
      <c r="M84" s="4">
        <f>(VLOOKUP('19.07'!U84,'19.07'!$AO$4:$AR$55,4,FALSE))</f>
        <v>0</v>
      </c>
      <c r="N84" s="4">
        <f>(VLOOKUP('19.07'!V84,'19.07'!$AO$4:$AR$55,4,FALSE))</f>
        <v>0</v>
      </c>
      <c r="O84" s="4">
        <f>(VLOOKUP('19.07'!W84,'19.07'!$AO$4:$AR$55,4,FALSE))</f>
        <v>0</v>
      </c>
      <c r="P84" s="4">
        <f>(VLOOKUP('19.07'!X84,'19.07'!$AO$4:$AR$55,4,FALSE))</f>
        <v>0</v>
      </c>
      <c r="Q84" s="4">
        <f>(VLOOKUP('19.07'!Y84,'19.07'!$AO$4:$AR$55,4,FALSE))</f>
        <v>0</v>
      </c>
      <c r="R84" s="4">
        <f>(VLOOKUP('19.07'!Z84,'19.07'!$AO$4:$AR$55,4,FALSE))</f>
        <v>0</v>
      </c>
      <c r="S84" s="4">
        <f>(VLOOKUP('19.07'!AA84,'19.07'!$AO$4:$AR$55,4,FALSE))</f>
        <v>0</v>
      </c>
      <c r="T84" s="4">
        <f>(VLOOKUP('19.07'!AB84,'19.07'!$AO$4:$AR$55,4,FALSE))</f>
        <v>0</v>
      </c>
      <c r="U84" s="4">
        <f>(VLOOKUP('19.07'!AC84,'19.07'!$AO$4:$AR$55,4,FALSE))</f>
        <v>0</v>
      </c>
      <c r="V84" s="4">
        <f>(VLOOKUP('19.07'!AD84,'19.07'!$AO$4:$AR$55,4,FALSE))</f>
        <v>0</v>
      </c>
      <c r="W84" s="4">
        <f>(VLOOKUP('19.07'!AE84,'19.07'!$AO$4:$AR$55,4,FALSE))</f>
        <v>0</v>
      </c>
      <c r="X84" s="4">
        <f>(VLOOKUP('19.07'!AF84,'19.07'!$AO$4:$AR$55,4,FALSE))</f>
        <v>0</v>
      </c>
    </row>
    <row r="85" spans="1:24">
      <c r="A85" s="4">
        <f>(VLOOKUP('19.07'!I85,'19.07'!$AO$4:$AR$55,4,FALSE))</f>
        <v>0</v>
      </c>
      <c r="B85" s="4">
        <f>(VLOOKUP('19.07'!J85,'19.07'!$AO$4:$AR$55,4,FALSE))</f>
        <v>0</v>
      </c>
      <c r="C85" s="4">
        <f>(VLOOKUP('19.07'!K85,'19.07'!$AO$4:$AR$55,4,FALSE))</f>
        <v>0</v>
      </c>
      <c r="D85" s="4">
        <f>(VLOOKUP('19.07'!L85,'19.07'!$AO$4:$AR$55,4,FALSE))</f>
        <v>0</v>
      </c>
      <c r="E85" s="4">
        <f>(VLOOKUP('19.07'!M85,'19.07'!$AO$4:$AR$55,4,FALSE))</f>
        <v>0</v>
      </c>
      <c r="F85" s="4">
        <f>(VLOOKUP('19.07'!N85,'19.07'!$AO$4:$AR$55,4,FALSE))</f>
        <v>0</v>
      </c>
      <c r="G85" s="4">
        <f>(VLOOKUP('19.07'!O85,'19.07'!$AO$4:$AR$55,4,FALSE))</f>
        <v>0</v>
      </c>
      <c r="H85" s="4">
        <f>(VLOOKUP('19.07'!P85,'19.07'!$AO$4:$AR$55,4,FALSE))</f>
        <v>0</v>
      </c>
      <c r="I85" s="4">
        <f>(VLOOKUP('19.07'!Q85,'19.07'!$AO$4:$AR$55,4,FALSE))</f>
        <v>0</v>
      </c>
      <c r="J85" s="4">
        <f>(VLOOKUP('19.07'!R85,'19.07'!$AO$4:$AR$55,4,FALSE))</f>
        <v>0</v>
      </c>
      <c r="K85" s="4">
        <f>(VLOOKUP('19.07'!S85,'19.07'!$AO$4:$AR$55,4,FALSE))</f>
        <v>0</v>
      </c>
      <c r="L85" s="4">
        <f>(VLOOKUP('19.07'!T85,'19.07'!$AO$4:$AR$55,4,FALSE))</f>
        <v>0</v>
      </c>
      <c r="M85" s="4">
        <f>(VLOOKUP('19.07'!U85,'19.07'!$AO$4:$AR$55,4,FALSE))</f>
        <v>0</v>
      </c>
      <c r="N85" s="4">
        <f>(VLOOKUP('19.07'!V85,'19.07'!$AO$4:$AR$55,4,FALSE))</f>
        <v>0</v>
      </c>
      <c r="O85" s="4">
        <f>(VLOOKUP('19.07'!W85,'19.07'!$AO$4:$AR$55,4,FALSE))</f>
        <v>0</v>
      </c>
      <c r="P85" s="4">
        <f>(VLOOKUP('19.07'!X85,'19.07'!$AO$4:$AR$55,4,FALSE))</f>
        <v>0</v>
      </c>
      <c r="Q85" s="4">
        <f>(VLOOKUP('19.07'!Y85,'19.07'!$AO$4:$AR$55,4,FALSE))</f>
        <v>0</v>
      </c>
      <c r="R85" s="4">
        <f>(VLOOKUP('19.07'!Z85,'19.07'!$AO$4:$AR$55,4,FALSE))</f>
        <v>0</v>
      </c>
      <c r="S85" s="4">
        <f>(VLOOKUP('19.07'!AA85,'19.07'!$AO$4:$AR$55,4,FALSE))</f>
        <v>0</v>
      </c>
      <c r="T85" s="4">
        <f>(VLOOKUP('19.07'!AB85,'19.07'!$AO$4:$AR$55,4,FALSE))</f>
        <v>0</v>
      </c>
      <c r="U85" s="4">
        <f>(VLOOKUP('19.07'!AC85,'19.07'!$AO$4:$AR$55,4,FALSE))</f>
        <v>0</v>
      </c>
      <c r="V85" s="4">
        <f>(VLOOKUP('19.07'!AD85,'19.07'!$AO$4:$AR$55,4,FALSE))</f>
        <v>0</v>
      </c>
      <c r="W85" s="4">
        <f>(VLOOKUP('19.07'!AE85,'19.07'!$AO$4:$AR$55,4,FALSE))</f>
        <v>0</v>
      </c>
      <c r="X85" s="4">
        <f>(VLOOKUP('19.07'!AF85,'19.07'!$AO$4:$AR$55,4,FALSE))</f>
        <v>0</v>
      </c>
    </row>
    <row r="86" spans="1:24">
      <c r="A86" s="4">
        <f>(VLOOKUP('19.07'!I86,'19.07'!$AO$4:$AR$55,4,FALSE))</f>
        <v>0</v>
      </c>
      <c r="B86" s="4">
        <f>(VLOOKUP('19.07'!J86,'19.07'!$AO$4:$AR$55,4,FALSE))</f>
        <v>0</v>
      </c>
      <c r="C86" s="4">
        <f>(VLOOKUP('19.07'!K86,'19.07'!$AO$4:$AR$55,4,FALSE))</f>
        <v>0</v>
      </c>
      <c r="D86" s="4">
        <f>(VLOOKUP('19.07'!L86,'19.07'!$AO$4:$AR$55,4,FALSE))</f>
        <v>0</v>
      </c>
      <c r="E86" s="4">
        <f>(VLOOKUP('19.07'!M86,'19.07'!$AO$4:$AR$55,4,FALSE))</f>
        <v>0</v>
      </c>
      <c r="F86" s="4">
        <f>(VLOOKUP('19.07'!N86,'19.07'!$AO$4:$AR$55,4,FALSE))</f>
        <v>0</v>
      </c>
      <c r="G86" s="4">
        <f>(VLOOKUP('19.07'!O86,'19.07'!$AO$4:$AR$55,4,FALSE))</f>
        <v>0</v>
      </c>
      <c r="H86" s="4">
        <f>(VLOOKUP('19.07'!P86,'19.07'!$AO$4:$AR$55,4,FALSE))</f>
        <v>0</v>
      </c>
      <c r="I86" s="4">
        <f>(VLOOKUP('19.07'!Q86,'19.07'!$AO$4:$AR$55,4,FALSE))</f>
        <v>0</v>
      </c>
      <c r="J86" s="4">
        <f>(VLOOKUP('19.07'!R86,'19.07'!$AO$4:$AR$55,4,FALSE))</f>
        <v>0</v>
      </c>
      <c r="K86" s="4">
        <f>(VLOOKUP('19.07'!S86,'19.07'!$AO$4:$AR$55,4,FALSE))</f>
        <v>0</v>
      </c>
      <c r="L86" s="4">
        <f>(VLOOKUP('19.07'!T86,'19.07'!$AO$4:$AR$55,4,FALSE))</f>
        <v>0</v>
      </c>
      <c r="M86" s="4">
        <f>(VLOOKUP('19.07'!U86,'19.07'!$AO$4:$AR$55,4,FALSE))</f>
        <v>0</v>
      </c>
      <c r="N86" s="4">
        <f>(VLOOKUP('19.07'!V86,'19.07'!$AO$4:$AR$55,4,FALSE))</f>
        <v>0</v>
      </c>
      <c r="O86" s="4">
        <f>(VLOOKUP('19.07'!W86,'19.07'!$AO$4:$AR$55,4,FALSE))</f>
        <v>0</v>
      </c>
      <c r="P86" s="4">
        <f>(VLOOKUP('19.07'!X86,'19.07'!$AO$4:$AR$55,4,FALSE))</f>
        <v>0</v>
      </c>
      <c r="Q86" s="4">
        <f>(VLOOKUP('19.07'!Y86,'19.07'!$AO$4:$AR$55,4,FALSE))</f>
        <v>0</v>
      </c>
      <c r="R86" s="4">
        <f>(VLOOKUP('19.07'!Z86,'19.07'!$AO$4:$AR$55,4,FALSE))</f>
        <v>0</v>
      </c>
      <c r="S86" s="4">
        <f>(VLOOKUP('19.07'!AA86,'19.07'!$AO$4:$AR$55,4,FALSE))</f>
        <v>0</v>
      </c>
      <c r="T86" s="4">
        <f>(VLOOKUP('19.07'!AB86,'19.07'!$AO$4:$AR$55,4,FALSE))</f>
        <v>0</v>
      </c>
      <c r="U86" s="4">
        <f>(VLOOKUP('19.07'!AC86,'19.07'!$AO$4:$AR$55,4,FALSE))</f>
        <v>0</v>
      </c>
      <c r="V86" s="4">
        <f>(VLOOKUP('19.07'!AD86,'19.07'!$AO$4:$AR$55,4,FALSE))</f>
        <v>0</v>
      </c>
      <c r="W86" s="4">
        <f>(VLOOKUP('19.07'!AE86,'19.07'!$AO$4:$AR$55,4,FALSE))</f>
        <v>0</v>
      </c>
      <c r="X86" s="4">
        <f>(VLOOKUP('19.07'!AF86,'19.07'!$AO$4:$AR$55,4,FALSE))</f>
        <v>0</v>
      </c>
    </row>
    <row r="87" spans="1:24">
      <c r="A87" s="4">
        <f>(VLOOKUP('19.07'!I87,'19.07'!$AO$4:$AR$55,4,FALSE))</f>
        <v>0</v>
      </c>
      <c r="B87" s="4">
        <f>(VLOOKUP('19.07'!J87,'19.07'!$AO$4:$AR$55,4,FALSE))</f>
        <v>0</v>
      </c>
      <c r="C87" s="4">
        <f>(VLOOKUP('19.07'!K87,'19.07'!$AO$4:$AR$55,4,FALSE))</f>
        <v>0</v>
      </c>
      <c r="D87" s="4">
        <f>(VLOOKUP('19.07'!L87,'19.07'!$AO$4:$AR$55,4,FALSE))</f>
        <v>0</v>
      </c>
      <c r="E87" s="4">
        <f>(VLOOKUP('19.07'!M87,'19.07'!$AO$4:$AR$55,4,FALSE))</f>
        <v>0</v>
      </c>
      <c r="F87" s="4">
        <f>(VLOOKUP('19.07'!N87,'19.07'!$AO$4:$AR$55,4,FALSE))</f>
        <v>0</v>
      </c>
      <c r="G87" s="4">
        <f>(VLOOKUP('19.07'!O87,'19.07'!$AO$4:$AR$55,4,FALSE))</f>
        <v>0</v>
      </c>
      <c r="H87" s="4">
        <f>(VLOOKUP('19.07'!P87,'19.07'!$AO$4:$AR$55,4,FALSE))</f>
        <v>0</v>
      </c>
      <c r="I87" s="4">
        <f>(VLOOKUP('19.07'!Q87,'19.07'!$AO$4:$AR$55,4,FALSE))</f>
        <v>0</v>
      </c>
      <c r="J87" s="4">
        <f>(VLOOKUP('19.07'!R87,'19.07'!$AO$4:$AR$55,4,FALSE))</f>
        <v>0</v>
      </c>
      <c r="K87" s="4">
        <f>(VLOOKUP('19.07'!S87,'19.07'!$AO$4:$AR$55,4,FALSE))</f>
        <v>0</v>
      </c>
      <c r="L87" s="4">
        <f>(VLOOKUP('19.07'!T87,'19.07'!$AO$4:$AR$55,4,FALSE))</f>
        <v>0</v>
      </c>
      <c r="M87" s="4">
        <f>(VLOOKUP('19.07'!U87,'19.07'!$AO$4:$AR$55,4,FALSE))</f>
        <v>0</v>
      </c>
      <c r="N87" s="4">
        <f>(VLOOKUP('19.07'!V87,'19.07'!$AO$4:$AR$55,4,FALSE))</f>
        <v>0</v>
      </c>
      <c r="O87" s="4">
        <f>(VLOOKUP('19.07'!W87,'19.07'!$AO$4:$AR$55,4,FALSE))</f>
        <v>0</v>
      </c>
      <c r="P87" s="4">
        <f>(VLOOKUP('19.07'!X87,'19.07'!$AO$4:$AR$55,4,FALSE))</f>
        <v>0</v>
      </c>
      <c r="Q87" s="4">
        <f>(VLOOKUP('19.07'!Y87,'19.07'!$AO$4:$AR$55,4,FALSE))</f>
        <v>0</v>
      </c>
      <c r="R87" s="4">
        <f>(VLOOKUP('19.07'!Z87,'19.07'!$AO$4:$AR$55,4,FALSE))</f>
        <v>0</v>
      </c>
      <c r="S87" s="4">
        <f>(VLOOKUP('19.07'!AA87,'19.07'!$AO$4:$AR$55,4,FALSE))</f>
        <v>0</v>
      </c>
      <c r="T87" s="4">
        <f>(VLOOKUP('19.07'!AB87,'19.07'!$AO$4:$AR$55,4,FALSE))</f>
        <v>0</v>
      </c>
      <c r="U87" s="4">
        <f>(VLOOKUP('19.07'!AC87,'19.07'!$AO$4:$AR$55,4,FALSE))</f>
        <v>0</v>
      </c>
      <c r="V87" s="4">
        <f>(VLOOKUP('19.07'!AD87,'19.07'!$AO$4:$AR$55,4,FALSE))</f>
        <v>0</v>
      </c>
      <c r="W87" s="4">
        <f>(VLOOKUP('19.07'!AE87,'19.07'!$AO$4:$AR$55,4,FALSE))</f>
        <v>0</v>
      </c>
      <c r="X87" s="4">
        <f>(VLOOKUP('19.07'!AF87,'19.07'!$AO$4:$AR$55,4,FALSE))</f>
        <v>0</v>
      </c>
    </row>
    <row r="88" spans="1:24">
      <c r="A88" s="4">
        <f>(VLOOKUP('19.07'!I88,'19.07'!$AO$4:$AR$55,4,FALSE))</f>
        <v>0</v>
      </c>
      <c r="B88" s="4">
        <f>(VLOOKUP('19.07'!J88,'19.07'!$AO$4:$AR$55,4,FALSE))</f>
        <v>0</v>
      </c>
      <c r="C88" s="4">
        <f>(VLOOKUP('19.07'!K88,'19.07'!$AO$4:$AR$55,4,FALSE))</f>
        <v>0</v>
      </c>
      <c r="D88" s="4">
        <f>(VLOOKUP('19.07'!L88,'19.07'!$AO$4:$AR$55,4,FALSE))</f>
        <v>0</v>
      </c>
      <c r="E88" s="4">
        <f>(VLOOKUP('19.07'!M88,'19.07'!$AO$4:$AR$55,4,FALSE))</f>
        <v>0</v>
      </c>
      <c r="F88" s="4">
        <f>(VLOOKUP('19.07'!N88,'19.07'!$AO$4:$AR$55,4,FALSE))</f>
        <v>0</v>
      </c>
      <c r="G88" s="4">
        <f>(VLOOKUP('19.07'!O88,'19.07'!$AO$4:$AR$55,4,FALSE))</f>
        <v>0</v>
      </c>
      <c r="H88" s="4">
        <f>(VLOOKUP('19.07'!P88,'19.07'!$AO$4:$AR$55,4,FALSE))</f>
        <v>0</v>
      </c>
      <c r="I88" s="4">
        <f>(VLOOKUP('19.07'!Q88,'19.07'!$AO$4:$AR$55,4,FALSE))</f>
        <v>0</v>
      </c>
      <c r="J88" s="4">
        <f>(VLOOKUP('19.07'!R88,'19.07'!$AO$4:$AR$55,4,FALSE))</f>
        <v>0</v>
      </c>
      <c r="K88" s="4">
        <f>(VLOOKUP('19.07'!S88,'19.07'!$AO$4:$AR$55,4,FALSE))</f>
        <v>0</v>
      </c>
      <c r="L88" s="4">
        <f>(VLOOKUP('19.07'!T88,'19.07'!$AO$4:$AR$55,4,FALSE))</f>
        <v>0</v>
      </c>
      <c r="M88" s="4">
        <f>(VLOOKUP('19.07'!U88,'19.07'!$AO$4:$AR$55,4,FALSE))</f>
        <v>0</v>
      </c>
      <c r="N88" s="4">
        <f>(VLOOKUP('19.07'!V88,'19.07'!$AO$4:$AR$55,4,FALSE))</f>
        <v>0</v>
      </c>
      <c r="O88" s="4">
        <f>(VLOOKUP('19.07'!W88,'19.07'!$AO$4:$AR$55,4,FALSE))</f>
        <v>0</v>
      </c>
      <c r="P88" s="4">
        <f>(VLOOKUP('19.07'!X88,'19.07'!$AO$4:$AR$55,4,FALSE))</f>
        <v>0</v>
      </c>
      <c r="Q88" s="4">
        <f>(VLOOKUP('19.07'!Y88,'19.07'!$AO$4:$AR$55,4,FALSE))</f>
        <v>0</v>
      </c>
      <c r="R88" s="4">
        <f>(VLOOKUP('19.07'!Z88,'19.07'!$AO$4:$AR$55,4,FALSE))</f>
        <v>0</v>
      </c>
      <c r="S88" s="4">
        <f>(VLOOKUP('19.07'!AA88,'19.07'!$AO$4:$AR$55,4,FALSE))</f>
        <v>0</v>
      </c>
      <c r="T88" s="4">
        <f>(VLOOKUP('19.07'!AB88,'19.07'!$AO$4:$AR$55,4,FALSE))</f>
        <v>0</v>
      </c>
      <c r="U88" s="4">
        <f>(VLOOKUP('19.07'!AC88,'19.07'!$AO$4:$AR$55,4,FALSE))</f>
        <v>0</v>
      </c>
      <c r="V88" s="4">
        <f>(VLOOKUP('19.07'!AD88,'19.07'!$AO$4:$AR$55,4,FALSE))</f>
        <v>0</v>
      </c>
      <c r="W88" s="4">
        <f>(VLOOKUP('19.07'!AE88,'19.07'!$AO$4:$AR$55,4,FALSE))</f>
        <v>0</v>
      </c>
      <c r="X88" s="4">
        <f>(VLOOKUP('19.07'!AF88,'19.07'!$AO$4:$AR$55,4,FALSE))</f>
        <v>0</v>
      </c>
    </row>
    <row r="89" spans="1:24">
      <c r="A89" s="4">
        <f>(VLOOKUP('19.07'!I89,'19.07'!$AO$4:$AR$55,4,FALSE))</f>
        <v>0</v>
      </c>
      <c r="B89" s="4">
        <f>(VLOOKUP('19.07'!J89,'19.07'!$AO$4:$AR$55,4,FALSE))</f>
        <v>0</v>
      </c>
      <c r="C89" s="4">
        <f>(VLOOKUP('19.07'!K89,'19.07'!$AO$4:$AR$55,4,FALSE))</f>
        <v>0</v>
      </c>
      <c r="D89" s="4">
        <f>(VLOOKUP('19.07'!L89,'19.07'!$AO$4:$AR$55,4,FALSE))</f>
        <v>0</v>
      </c>
      <c r="E89" s="4">
        <f>(VLOOKUP('19.07'!M89,'19.07'!$AO$4:$AR$55,4,FALSE))</f>
        <v>0</v>
      </c>
      <c r="F89" s="4">
        <f>(VLOOKUP('19.07'!N89,'19.07'!$AO$4:$AR$55,4,FALSE))</f>
        <v>0</v>
      </c>
      <c r="G89" s="4">
        <f>(VLOOKUP('19.07'!O89,'19.07'!$AO$4:$AR$55,4,FALSE))</f>
        <v>0</v>
      </c>
      <c r="H89" s="4">
        <f>(VLOOKUP('19.07'!P89,'19.07'!$AO$4:$AR$55,4,FALSE))</f>
        <v>0</v>
      </c>
      <c r="I89" s="4">
        <f>(VLOOKUP('19.07'!Q89,'19.07'!$AO$4:$AR$55,4,FALSE))</f>
        <v>0</v>
      </c>
      <c r="J89" s="4">
        <f>(VLOOKUP('19.07'!R89,'19.07'!$AO$4:$AR$55,4,FALSE))</f>
        <v>0</v>
      </c>
      <c r="K89" s="4">
        <f>(VLOOKUP('19.07'!S89,'19.07'!$AO$4:$AR$55,4,FALSE))</f>
        <v>0</v>
      </c>
      <c r="L89" s="4">
        <f>(VLOOKUP('19.07'!T89,'19.07'!$AO$4:$AR$55,4,FALSE))</f>
        <v>0</v>
      </c>
      <c r="M89" s="4">
        <f>(VLOOKUP('19.07'!U89,'19.07'!$AO$4:$AR$55,4,FALSE))</f>
        <v>0</v>
      </c>
      <c r="N89" s="4">
        <f>(VLOOKUP('19.07'!V89,'19.07'!$AO$4:$AR$55,4,FALSE))</f>
        <v>0</v>
      </c>
      <c r="O89" s="4">
        <f>(VLOOKUP('19.07'!W89,'19.07'!$AO$4:$AR$55,4,FALSE))</f>
        <v>0</v>
      </c>
      <c r="P89" s="4">
        <f>(VLOOKUP('19.07'!X89,'19.07'!$AO$4:$AR$55,4,FALSE))</f>
        <v>0</v>
      </c>
      <c r="Q89" s="4">
        <f>(VLOOKUP('19.07'!Y89,'19.07'!$AO$4:$AR$55,4,FALSE))</f>
        <v>0</v>
      </c>
      <c r="R89" s="4">
        <f>(VLOOKUP('19.07'!Z89,'19.07'!$AO$4:$AR$55,4,FALSE))</f>
        <v>0</v>
      </c>
      <c r="S89" s="4">
        <f>(VLOOKUP('19.07'!AA89,'19.07'!$AO$4:$AR$55,4,FALSE))</f>
        <v>0</v>
      </c>
      <c r="T89" s="4">
        <f>(VLOOKUP('19.07'!AB89,'19.07'!$AO$4:$AR$55,4,FALSE))</f>
        <v>0</v>
      </c>
      <c r="U89" s="4">
        <f>(VLOOKUP('19.07'!AC89,'19.07'!$AO$4:$AR$55,4,FALSE))</f>
        <v>0</v>
      </c>
      <c r="V89" s="4">
        <f>(VLOOKUP('19.07'!AD89,'19.07'!$AO$4:$AR$55,4,FALSE))</f>
        <v>0</v>
      </c>
      <c r="W89" s="4">
        <f>(VLOOKUP('19.07'!AE89,'19.07'!$AO$4:$AR$55,4,FALSE))</f>
        <v>0</v>
      </c>
      <c r="X89" s="4">
        <f>(VLOOKUP('19.07'!AF89,'19.07'!$AO$4:$AR$55,4,FALSE))</f>
        <v>0</v>
      </c>
    </row>
    <row r="90" spans="1:24">
      <c r="A90" s="4">
        <f>(VLOOKUP('19.07'!I90,'19.07'!$AO$4:$AR$55,4,FALSE))</f>
        <v>0</v>
      </c>
      <c r="B90" s="4">
        <f>(VLOOKUP('19.07'!J90,'19.07'!$AO$4:$AR$55,4,FALSE))</f>
        <v>0</v>
      </c>
      <c r="C90" s="4">
        <f>(VLOOKUP('19.07'!K90,'19.07'!$AO$4:$AR$55,4,FALSE))</f>
        <v>0</v>
      </c>
      <c r="D90" s="4">
        <f>(VLOOKUP('19.07'!L90,'19.07'!$AO$4:$AR$55,4,FALSE))</f>
        <v>0</v>
      </c>
      <c r="E90" s="4">
        <f>(VLOOKUP('19.07'!M90,'19.07'!$AO$4:$AR$55,4,FALSE))</f>
        <v>0</v>
      </c>
      <c r="F90" s="4">
        <f>(VLOOKUP('19.07'!N90,'19.07'!$AO$4:$AR$55,4,FALSE))</f>
        <v>0</v>
      </c>
      <c r="G90" s="4">
        <f>(VLOOKUP('19.07'!O90,'19.07'!$AO$4:$AR$55,4,FALSE))</f>
        <v>0</v>
      </c>
      <c r="H90" s="4">
        <f>(VLOOKUP('19.07'!P90,'19.07'!$AO$4:$AR$55,4,FALSE))</f>
        <v>0</v>
      </c>
      <c r="I90" s="4">
        <f>(VLOOKUP('19.07'!Q90,'19.07'!$AO$4:$AR$55,4,FALSE))</f>
        <v>0</v>
      </c>
      <c r="J90" s="4">
        <f>(VLOOKUP('19.07'!R90,'19.07'!$AO$4:$AR$55,4,FALSE))</f>
        <v>0</v>
      </c>
      <c r="K90" s="4">
        <f>(VLOOKUP('19.07'!S90,'19.07'!$AO$4:$AR$55,4,FALSE))</f>
        <v>0</v>
      </c>
      <c r="L90" s="4">
        <f>(VLOOKUP('19.07'!T90,'19.07'!$AO$4:$AR$55,4,FALSE))</f>
        <v>0</v>
      </c>
      <c r="M90" s="4">
        <f>(VLOOKUP('19.07'!U90,'19.07'!$AO$4:$AR$55,4,FALSE))</f>
        <v>0</v>
      </c>
      <c r="N90" s="4">
        <f>(VLOOKUP('19.07'!V90,'19.07'!$AO$4:$AR$55,4,FALSE))</f>
        <v>0</v>
      </c>
      <c r="O90" s="4">
        <f>(VLOOKUP('19.07'!W90,'19.07'!$AO$4:$AR$55,4,FALSE))</f>
        <v>0</v>
      </c>
      <c r="P90" s="4">
        <f>(VLOOKUP('19.07'!X90,'19.07'!$AO$4:$AR$55,4,FALSE))</f>
        <v>0</v>
      </c>
      <c r="Q90" s="4">
        <f>(VLOOKUP('19.07'!Y90,'19.07'!$AO$4:$AR$55,4,FALSE))</f>
        <v>0</v>
      </c>
      <c r="R90" s="4">
        <f>(VLOOKUP('19.07'!Z90,'19.07'!$AO$4:$AR$55,4,FALSE))</f>
        <v>0</v>
      </c>
      <c r="S90" s="4">
        <f>(VLOOKUP('19.07'!AA90,'19.07'!$AO$4:$AR$55,4,FALSE))</f>
        <v>0</v>
      </c>
      <c r="T90" s="4">
        <f>(VLOOKUP('19.07'!AB90,'19.07'!$AO$4:$AR$55,4,FALSE))</f>
        <v>0</v>
      </c>
      <c r="U90" s="4">
        <f>(VLOOKUP('19.07'!AC90,'19.07'!$AO$4:$AR$55,4,FALSE))</f>
        <v>0</v>
      </c>
      <c r="V90" s="4">
        <f>(VLOOKUP('19.07'!AD90,'19.07'!$AO$4:$AR$55,4,FALSE))</f>
        <v>0</v>
      </c>
      <c r="W90" s="4">
        <f>(VLOOKUP('19.07'!AE90,'19.07'!$AO$4:$AR$55,4,FALSE))</f>
        <v>0</v>
      </c>
      <c r="X90" s="4">
        <f>(VLOOKUP('19.07'!AF90,'19.07'!$AO$4:$AR$55,4,FALSE))</f>
        <v>0</v>
      </c>
    </row>
    <row r="91" spans="1:24">
      <c r="A91" s="4">
        <f>(VLOOKUP('19.07'!I91,'19.07'!$AO$4:$AR$55,4,FALSE))</f>
        <v>0</v>
      </c>
      <c r="B91" s="4">
        <f>(VLOOKUP('19.07'!J91,'19.07'!$AO$4:$AR$55,4,FALSE))</f>
        <v>0</v>
      </c>
      <c r="C91" s="4">
        <f>(VLOOKUP('19.07'!K91,'19.07'!$AO$4:$AR$55,4,FALSE))</f>
        <v>0</v>
      </c>
      <c r="D91" s="4">
        <f>(VLOOKUP('19.07'!L91,'19.07'!$AO$4:$AR$55,4,FALSE))</f>
        <v>0</v>
      </c>
      <c r="E91" s="4">
        <f>(VLOOKUP('19.07'!M91,'19.07'!$AO$4:$AR$55,4,FALSE))</f>
        <v>0</v>
      </c>
      <c r="F91" s="4">
        <f>(VLOOKUP('19.07'!N91,'19.07'!$AO$4:$AR$55,4,FALSE))</f>
        <v>0</v>
      </c>
      <c r="G91" s="4">
        <f>(VLOOKUP('19.07'!O91,'19.07'!$AO$4:$AR$55,4,FALSE))</f>
        <v>0</v>
      </c>
      <c r="H91" s="4">
        <f>(VLOOKUP('19.07'!P91,'19.07'!$AO$4:$AR$55,4,FALSE))</f>
        <v>0</v>
      </c>
      <c r="I91" s="4">
        <f>(VLOOKUP('19.07'!Q91,'19.07'!$AO$4:$AR$55,4,FALSE))</f>
        <v>0</v>
      </c>
      <c r="J91" s="4">
        <f>(VLOOKUP('19.07'!R91,'19.07'!$AO$4:$AR$55,4,FALSE))</f>
        <v>0</v>
      </c>
      <c r="K91" s="4">
        <f>(VLOOKUP('19.07'!S91,'19.07'!$AO$4:$AR$55,4,FALSE))</f>
        <v>0</v>
      </c>
      <c r="L91" s="4">
        <f>(VLOOKUP('19.07'!T91,'19.07'!$AO$4:$AR$55,4,FALSE))</f>
        <v>0</v>
      </c>
      <c r="M91" s="4">
        <f>(VLOOKUP('19.07'!U91,'19.07'!$AO$4:$AR$55,4,FALSE))</f>
        <v>0</v>
      </c>
      <c r="N91" s="4">
        <f>(VLOOKUP('19.07'!V91,'19.07'!$AO$4:$AR$55,4,FALSE))</f>
        <v>0</v>
      </c>
      <c r="O91" s="4">
        <f>(VLOOKUP('19.07'!W91,'19.07'!$AO$4:$AR$55,4,FALSE))</f>
        <v>0</v>
      </c>
      <c r="P91" s="4">
        <f>(VLOOKUP('19.07'!X91,'19.07'!$AO$4:$AR$55,4,FALSE))</f>
        <v>0</v>
      </c>
      <c r="Q91" s="4">
        <f>(VLOOKUP('19.07'!Y91,'19.07'!$AO$4:$AR$55,4,FALSE))</f>
        <v>0</v>
      </c>
      <c r="R91" s="4">
        <f>(VLOOKUP('19.07'!Z91,'19.07'!$AO$4:$AR$55,4,FALSE))</f>
        <v>0</v>
      </c>
      <c r="S91" s="4">
        <f>(VLOOKUP('19.07'!AA91,'19.07'!$AO$4:$AR$55,4,FALSE))</f>
        <v>0</v>
      </c>
      <c r="T91" s="4">
        <f>(VLOOKUP('19.07'!AB91,'19.07'!$AO$4:$AR$55,4,FALSE))</f>
        <v>0</v>
      </c>
      <c r="U91" s="4">
        <f>(VLOOKUP('19.07'!AC91,'19.07'!$AO$4:$AR$55,4,FALSE))</f>
        <v>0</v>
      </c>
      <c r="V91" s="4">
        <f>(VLOOKUP('19.07'!AD91,'19.07'!$AO$4:$AR$55,4,FALSE))</f>
        <v>0</v>
      </c>
      <c r="W91" s="4">
        <f>(VLOOKUP('19.07'!AE91,'19.07'!$AO$4:$AR$55,4,FALSE))</f>
        <v>0</v>
      </c>
      <c r="X91" s="4">
        <f>(VLOOKUP('19.07'!AF91,'19.07'!$AO$4:$AR$55,4,FALSE))</f>
        <v>0</v>
      </c>
    </row>
    <row r="92" spans="1:24">
      <c r="A92" s="4">
        <f>(VLOOKUP('19.07'!I92,'19.07'!$AO$4:$AR$55,4,FALSE))</f>
        <v>0</v>
      </c>
      <c r="B92" s="4">
        <f>(VLOOKUP('19.07'!J92,'19.07'!$AO$4:$AR$55,4,FALSE))</f>
        <v>0</v>
      </c>
      <c r="C92" s="4">
        <f>(VLOOKUP('19.07'!K92,'19.07'!$AO$4:$AR$55,4,FALSE))</f>
        <v>0</v>
      </c>
      <c r="D92" s="4">
        <f>(VLOOKUP('19.07'!L92,'19.07'!$AO$4:$AR$55,4,FALSE))</f>
        <v>0</v>
      </c>
      <c r="E92" s="4">
        <f>(VLOOKUP('19.07'!M92,'19.07'!$AO$4:$AR$55,4,FALSE))</f>
        <v>0</v>
      </c>
      <c r="F92" s="4">
        <f>(VLOOKUP('19.07'!N92,'19.07'!$AO$4:$AR$55,4,FALSE))</f>
        <v>0</v>
      </c>
      <c r="G92" s="4">
        <f>(VLOOKUP('19.07'!O92,'19.07'!$AO$4:$AR$55,4,FALSE))</f>
        <v>0</v>
      </c>
      <c r="H92" s="4">
        <f>(VLOOKUP('19.07'!P92,'19.07'!$AO$4:$AR$55,4,FALSE))</f>
        <v>0</v>
      </c>
      <c r="I92" s="4">
        <f>(VLOOKUP('19.07'!Q92,'19.07'!$AO$4:$AR$55,4,FALSE))</f>
        <v>0</v>
      </c>
      <c r="J92" s="4">
        <f>(VLOOKUP('19.07'!R92,'19.07'!$AO$4:$AR$55,4,FALSE))</f>
        <v>0</v>
      </c>
      <c r="K92" s="4">
        <f>(VLOOKUP('19.07'!S92,'19.07'!$AO$4:$AR$55,4,FALSE))</f>
        <v>0</v>
      </c>
      <c r="L92" s="4">
        <f>(VLOOKUP('19.07'!T92,'19.07'!$AO$4:$AR$55,4,FALSE))</f>
        <v>0</v>
      </c>
      <c r="M92" s="4">
        <f>(VLOOKUP('19.07'!U92,'19.07'!$AO$4:$AR$55,4,FALSE))</f>
        <v>0</v>
      </c>
      <c r="N92" s="4">
        <f>(VLOOKUP('19.07'!V92,'19.07'!$AO$4:$AR$55,4,FALSE))</f>
        <v>0</v>
      </c>
      <c r="O92" s="4">
        <f>(VLOOKUP('19.07'!W92,'19.07'!$AO$4:$AR$55,4,FALSE))</f>
        <v>0</v>
      </c>
      <c r="P92" s="4">
        <f>(VLOOKUP('19.07'!X92,'19.07'!$AO$4:$AR$55,4,FALSE))</f>
        <v>0</v>
      </c>
      <c r="Q92" s="4">
        <f>(VLOOKUP('19.07'!Y92,'19.07'!$AO$4:$AR$55,4,FALSE))</f>
        <v>0</v>
      </c>
      <c r="R92" s="4">
        <f>(VLOOKUP('19.07'!Z92,'19.07'!$AO$4:$AR$55,4,FALSE))</f>
        <v>0</v>
      </c>
      <c r="S92" s="4">
        <f>(VLOOKUP('19.07'!AA92,'19.07'!$AO$4:$AR$55,4,FALSE))</f>
        <v>0</v>
      </c>
      <c r="T92" s="4">
        <f>(VLOOKUP('19.07'!AB92,'19.07'!$AO$4:$AR$55,4,FALSE))</f>
        <v>0</v>
      </c>
      <c r="U92" s="4">
        <f>(VLOOKUP('19.07'!AC92,'19.07'!$AO$4:$AR$55,4,FALSE))</f>
        <v>0</v>
      </c>
      <c r="V92" s="4">
        <f>(VLOOKUP('19.07'!AD92,'19.07'!$AO$4:$AR$55,4,FALSE))</f>
        <v>0</v>
      </c>
      <c r="W92" s="4">
        <f>(VLOOKUP('19.07'!AE92,'19.07'!$AO$4:$AR$55,4,FALSE))</f>
        <v>0</v>
      </c>
      <c r="X92" s="4">
        <f>(VLOOKUP('19.07'!AF92,'19.07'!$AO$4:$AR$55,4,FALSE))</f>
        <v>0</v>
      </c>
    </row>
    <row r="93" spans="1:24">
      <c r="A93" s="4">
        <f>(VLOOKUP('19.07'!I93,'19.07'!$AO$4:$AR$55,4,FALSE))</f>
        <v>0</v>
      </c>
      <c r="B93" s="4">
        <f>(VLOOKUP('19.07'!J93,'19.07'!$AO$4:$AR$55,4,FALSE))</f>
        <v>0</v>
      </c>
      <c r="C93" s="4">
        <f>(VLOOKUP('19.07'!K93,'19.07'!$AO$4:$AR$55,4,FALSE))</f>
        <v>0</v>
      </c>
      <c r="D93" s="4">
        <f>(VLOOKUP('19.07'!L93,'19.07'!$AO$4:$AR$55,4,FALSE))</f>
        <v>0</v>
      </c>
      <c r="E93" s="4">
        <f>(VLOOKUP('19.07'!M93,'19.07'!$AO$4:$AR$55,4,FALSE))</f>
        <v>0</v>
      </c>
      <c r="F93" s="4">
        <f>(VLOOKUP('19.07'!N93,'19.07'!$AO$4:$AR$55,4,FALSE))</f>
        <v>0</v>
      </c>
      <c r="G93" s="4">
        <f>(VLOOKUP('19.07'!O93,'19.07'!$AO$4:$AR$55,4,FALSE))</f>
        <v>0</v>
      </c>
      <c r="H93" s="4">
        <f>(VLOOKUP('19.07'!P93,'19.07'!$AO$4:$AR$55,4,FALSE))</f>
        <v>0</v>
      </c>
      <c r="I93" s="4">
        <f>(VLOOKUP('19.07'!Q93,'19.07'!$AO$4:$AR$55,4,FALSE))</f>
        <v>0</v>
      </c>
      <c r="J93" s="4">
        <f>(VLOOKUP('19.07'!R93,'19.07'!$AO$4:$AR$55,4,FALSE))</f>
        <v>0</v>
      </c>
      <c r="K93" s="4">
        <f>(VLOOKUP('19.07'!S93,'19.07'!$AO$4:$AR$55,4,FALSE))</f>
        <v>0</v>
      </c>
      <c r="L93" s="4">
        <f>(VLOOKUP('19.07'!T93,'19.07'!$AO$4:$AR$55,4,FALSE))</f>
        <v>0</v>
      </c>
      <c r="M93" s="4">
        <f>(VLOOKUP('19.07'!U93,'19.07'!$AO$4:$AR$55,4,FALSE))</f>
        <v>0</v>
      </c>
      <c r="N93" s="4">
        <f>(VLOOKUP('19.07'!V93,'19.07'!$AO$4:$AR$55,4,FALSE))</f>
        <v>0</v>
      </c>
      <c r="O93" s="4">
        <f>(VLOOKUP('19.07'!W93,'19.07'!$AO$4:$AR$55,4,FALSE))</f>
        <v>0</v>
      </c>
      <c r="P93" s="4">
        <f>(VLOOKUP('19.07'!X93,'19.07'!$AO$4:$AR$55,4,FALSE))</f>
        <v>0</v>
      </c>
      <c r="Q93" s="4">
        <f>(VLOOKUP('19.07'!Y93,'19.07'!$AO$4:$AR$55,4,FALSE))</f>
        <v>0</v>
      </c>
      <c r="R93" s="4">
        <f>(VLOOKUP('19.07'!Z93,'19.07'!$AO$4:$AR$55,4,FALSE))</f>
        <v>0</v>
      </c>
      <c r="S93" s="4">
        <f>(VLOOKUP('19.07'!AA93,'19.07'!$AO$4:$AR$55,4,FALSE))</f>
        <v>0</v>
      </c>
      <c r="T93" s="4">
        <f>(VLOOKUP('19.07'!AB93,'19.07'!$AO$4:$AR$55,4,FALSE))</f>
        <v>0</v>
      </c>
      <c r="U93" s="4">
        <f>(VLOOKUP('19.07'!AC93,'19.07'!$AO$4:$AR$55,4,FALSE))</f>
        <v>0</v>
      </c>
      <c r="V93" s="4">
        <f>(VLOOKUP('19.07'!AD93,'19.07'!$AO$4:$AR$55,4,FALSE))</f>
        <v>0</v>
      </c>
      <c r="W93" s="4">
        <f>(VLOOKUP('19.07'!AE93,'19.07'!$AO$4:$AR$55,4,FALSE))</f>
        <v>0</v>
      </c>
      <c r="X93" s="4">
        <f>(VLOOKUP('19.07'!AF93,'19.07'!$AO$4:$AR$55,4,FALSE))</f>
        <v>0</v>
      </c>
    </row>
    <row r="94" spans="1:2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</sheetData>
  <mergeCells count="6">
    <mergeCell ref="U2:X2"/>
    <mergeCell ref="A2:B2"/>
    <mergeCell ref="E2:H2"/>
    <mergeCell ref="I2:J2"/>
    <mergeCell ref="M2:P2"/>
    <mergeCell ref="Q2:R2"/>
  </mergeCells>
  <phoneticPr fontId="1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19.07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Ruoli</dc:creator>
  <cp:lastModifiedBy>Jiang, Ruoli</cp:lastModifiedBy>
  <dcterms:created xsi:type="dcterms:W3CDTF">2021-06-17T16:09:00Z</dcterms:created>
  <dcterms:modified xsi:type="dcterms:W3CDTF">2025-03-18T19:13:24Z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22F0F04ACC3D425982E68A1D97DE0D84_13</vt:lpwstr>
  </property>
</Properties>
</file>