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tility\naruto\"/>
    </mc:Choice>
  </mc:AlternateContent>
  <xr:revisionPtr revIDLastSave="0" documentId="13_ncr:1_{1C8D21FC-ECAB-4FA7-92C2-AC062E68EE6E}" xr6:coauthVersionLast="46" xr6:coauthVersionMax="46" xr10:uidLastSave="{00000000-0000-0000-0000-000000000000}"/>
  <bookViews>
    <workbookView xWindow="-23148" yWindow="2676" windowWidth="23256" windowHeight="12576" xr2:uid="{F795F130-7073-4777-9EA5-5BC922687BC8}"/>
  </bookViews>
  <sheets>
    <sheet name="102.5.1.05qq test 2" sheetId="22" r:id="rId1"/>
    <sheet name="102.5.1.05qq test" sheetId="20" state="hidden" r:id="rId2"/>
    <sheet name="102.5.1.05qq" sheetId="19" state="hidden" r:id="rId3"/>
    <sheet name="102.5.1.05" sheetId="17" state="hidden" r:id="rId4"/>
    <sheet name="102.5.1.04" sheetId="16" state="hidden" r:id="rId5"/>
    <sheet name="102.5.1.01" sheetId="13" state="hidden" r:id="rId6"/>
    <sheet name="八卦前规划1" sheetId="14" r:id="rId7"/>
    <sheet name="八卦后规划1" sheetId="15" r:id="rId8"/>
    <sheet name="八卦后规划2" sheetId="2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8" i="22" l="1" a="1"/>
  <c r="C18" i="22" s="1"/>
  <c r="AX5" i="22"/>
  <c r="AX6" i="22"/>
  <c r="AX7" i="22"/>
  <c r="AX8" i="22"/>
  <c r="AX9" i="22"/>
  <c r="AX10" i="22"/>
  <c r="AX11" i="22"/>
  <c r="AX12" i="22"/>
  <c r="AX13" i="22"/>
  <c r="AX14" i="22"/>
  <c r="AX15" i="22"/>
  <c r="AX16" i="22"/>
  <c r="AX17" i="22"/>
  <c r="AX18" i="22"/>
  <c r="AX19" i="22"/>
  <c r="AX20" i="22"/>
  <c r="AX21" i="22"/>
  <c r="AX22" i="22"/>
  <c r="AX23" i="22"/>
  <c r="AX24" i="22"/>
  <c r="AX25" i="22"/>
  <c r="AX26" i="22"/>
  <c r="AX4" i="22"/>
  <c r="AO41" i="22"/>
  <c r="E94" i="22" l="1" a="1"/>
  <c r="E94" i="22" s="1"/>
  <c r="C94" i="22" a="1"/>
  <c r="C94" i="22" s="1"/>
  <c r="E93" i="22" a="1"/>
  <c r="E93" i="22" s="1"/>
  <c r="C93" i="22" a="1"/>
  <c r="C93" i="22" s="1"/>
  <c r="E92" i="22" a="1"/>
  <c r="E92" i="22" s="1"/>
  <c r="C92" i="22" a="1"/>
  <c r="C92" i="22" s="1"/>
  <c r="E91" i="22" a="1"/>
  <c r="E91" i="22" s="1"/>
  <c r="C91" i="22" a="1"/>
  <c r="C91" i="22" s="1"/>
  <c r="E90" i="22" a="1"/>
  <c r="E90" i="22" s="1"/>
  <c r="C90" i="22" a="1"/>
  <c r="C90" i="22" s="1"/>
  <c r="E89" i="22" a="1"/>
  <c r="E89" i="22" s="1"/>
  <c r="C89" i="22" a="1"/>
  <c r="C89" i="22" s="1"/>
  <c r="E88" i="22" a="1"/>
  <c r="E88" i="22" s="1"/>
  <c r="C88" i="22" a="1"/>
  <c r="C88" i="22" s="1"/>
  <c r="E87" i="22" a="1"/>
  <c r="E87" i="22" s="1"/>
  <c r="C87" i="22" a="1"/>
  <c r="C87" i="22" s="1"/>
  <c r="E86" i="22" a="1"/>
  <c r="E86" i="22" s="1"/>
  <c r="C86" i="22" a="1"/>
  <c r="C86" i="22" s="1"/>
  <c r="E85" i="22" a="1"/>
  <c r="E85" i="22" s="1"/>
  <c r="C85" i="22" a="1"/>
  <c r="C85" i="22" s="1"/>
  <c r="E84" i="22" a="1"/>
  <c r="E84" i="22" s="1"/>
  <c r="C84" i="22" a="1"/>
  <c r="C84" i="22" s="1"/>
  <c r="E83" i="22" a="1"/>
  <c r="E83" i="22" s="1"/>
  <c r="C83" i="22" a="1"/>
  <c r="C83" i="22" s="1"/>
  <c r="E82" i="22" a="1"/>
  <c r="E82" i="22" s="1"/>
  <c r="C82" i="22" a="1"/>
  <c r="C82" i="22" s="1"/>
  <c r="E81" i="22" a="1"/>
  <c r="E81" i="22" s="1"/>
  <c r="C81" i="22" a="1"/>
  <c r="C81" i="22" s="1"/>
  <c r="E80" i="22" a="1"/>
  <c r="E80" i="22" s="1"/>
  <c r="C80" i="22" a="1"/>
  <c r="C80" i="22" s="1"/>
  <c r="E79" i="22" a="1"/>
  <c r="E79" i="22" s="1"/>
  <c r="C79" i="22" a="1"/>
  <c r="C79" i="22" s="1"/>
  <c r="E78" i="22" a="1"/>
  <c r="E78" i="22" s="1"/>
  <c r="C78" i="22" a="1"/>
  <c r="C78" i="22" s="1"/>
  <c r="E77" i="22" a="1"/>
  <c r="E77" i="22" s="1"/>
  <c r="C77" i="22" a="1"/>
  <c r="C77" i="22" s="1"/>
  <c r="E76" i="22" a="1"/>
  <c r="E76" i="22" s="1"/>
  <c r="C76" i="22" a="1"/>
  <c r="C76" i="22" s="1"/>
  <c r="E75" i="22" a="1"/>
  <c r="E75" i="22" s="1"/>
  <c r="C75" i="22" a="1"/>
  <c r="C75" i="22" s="1"/>
  <c r="E74" i="22" a="1"/>
  <c r="E74" i="22" s="1"/>
  <c r="C74" i="22" a="1"/>
  <c r="C74" i="22" s="1"/>
  <c r="E73" i="22" a="1"/>
  <c r="E73" i="22" s="1"/>
  <c r="C73" i="22" a="1"/>
  <c r="C73" i="22" s="1"/>
  <c r="E72" i="22" a="1"/>
  <c r="E72" i="22" s="1"/>
  <c r="C72" i="22" a="1"/>
  <c r="C72" i="22" s="1"/>
  <c r="E71" i="22" a="1"/>
  <c r="E71" i="22" s="1"/>
  <c r="C71" i="22" a="1"/>
  <c r="C71" i="22" s="1"/>
  <c r="E70" i="22" a="1"/>
  <c r="E70" i="22" s="1"/>
  <c r="C70" i="22" a="1"/>
  <c r="C70" i="22" s="1"/>
  <c r="E69" i="22" a="1"/>
  <c r="E69" i="22" s="1"/>
  <c r="C69" i="22" a="1"/>
  <c r="C69" i="22" s="1"/>
  <c r="E68" i="22" a="1"/>
  <c r="E68" i="22" s="1"/>
  <c r="C68" i="22" a="1"/>
  <c r="C68" i="22" s="1"/>
  <c r="E67" i="22" a="1"/>
  <c r="E67" i="22" s="1"/>
  <c r="C67" i="22" a="1"/>
  <c r="C67" i="22" s="1"/>
  <c r="E66" i="22" a="1"/>
  <c r="E66" i="22" s="1"/>
  <c r="C66" i="22" a="1"/>
  <c r="C66" i="22" s="1"/>
  <c r="E65" i="22" a="1"/>
  <c r="E65" i="22" s="1"/>
  <c r="C65" i="22" a="1"/>
  <c r="C65" i="22" s="1"/>
  <c r="E64" i="22" a="1"/>
  <c r="E64" i="22" s="1"/>
  <c r="C64" i="22" a="1"/>
  <c r="C64" i="22" s="1"/>
  <c r="E63" i="22" a="1"/>
  <c r="E63" i="22" s="1"/>
  <c r="C63" i="22" a="1"/>
  <c r="C63" i="22" s="1"/>
  <c r="E62" i="22" a="1"/>
  <c r="E62" i="22" s="1"/>
  <c r="C62" i="22" a="1"/>
  <c r="C62" i="22" s="1"/>
  <c r="E61" i="22" a="1"/>
  <c r="E61" i="22" s="1"/>
  <c r="C61" i="22" a="1"/>
  <c r="C61" i="22" s="1"/>
  <c r="E60" i="22" a="1"/>
  <c r="E60" i="22" s="1"/>
  <c r="C60" i="22" a="1"/>
  <c r="C60" i="22" s="1"/>
  <c r="E59" i="22" a="1"/>
  <c r="E59" i="22" s="1"/>
  <c r="C59" i="22" a="1"/>
  <c r="C59" i="22" s="1"/>
  <c r="E58" i="22" a="1"/>
  <c r="E58" i="22" s="1"/>
  <c r="C58" i="22" a="1"/>
  <c r="C58" i="22" s="1"/>
  <c r="E57" i="22" a="1"/>
  <c r="E57" i="22" s="1"/>
  <c r="C57" i="22" a="1"/>
  <c r="C57" i="22" s="1"/>
  <c r="E56" i="22" a="1"/>
  <c r="E56" i="22" s="1"/>
  <c r="C56" i="22" a="1"/>
  <c r="C56" i="22" s="1"/>
  <c r="E55" i="22" a="1"/>
  <c r="E55" i="22" s="1"/>
  <c r="C55" i="22" a="1"/>
  <c r="C55" i="22" s="1"/>
  <c r="E54" i="22" a="1"/>
  <c r="E54" i="22" s="1"/>
  <c r="C54" i="22" a="1"/>
  <c r="C54" i="22" s="1"/>
  <c r="E53" i="22" a="1"/>
  <c r="E53" i="22" s="1"/>
  <c r="C53" i="22" a="1"/>
  <c r="C53" i="22" s="1"/>
  <c r="E52" i="22" a="1"/>
  <c r="E52" i="22" s="1"/>
  <c r="C52" i="22" a="1"/>
  <c r="C52" i="22" s="1"/>
  <c r="E51" i="22" a="1"/>
  <c r="E51" i="22" s="1"/>
  <c r="C51" i="22" a="1"/>
  <c r="C51" i="22" s="1"/>
  <c r="E50" i="22" a="1"/>
  <c r="E50" i="22" s="1"/>
  <c r="C50" i="22" a="1"/>
  <c r="C50" i="22" s="1"/>
  <c r="E49" i="22" a="1"/>
  <c r="E49" i="22" s="1"/>
  <c r="C49" i="22" a="1"/>
  <c r="C49" i="22" s="1"/>
  <c r="E48" i="22" a="1"/>
  <c r="E48" i="22" s="1"/>
  <c r="C48" i="22" a="1"/>
  <c r="C48" i="22" s="1"/>
  <c r="E47" i="22" a="1"/>
  <c r="E47" i="22" s="1"/>
  <c r="C47" i="22" a="1"/>
  <c r="C47" i="22" s="1"/>
  <c r="E46" i="22" a="1"/>
  <c r="E46" i="22" s="1"/>
  <c r="C46" i="22" a="1"/>
  <c r="C46" i="22" s="1"/>
  <c r="E45" i="22" a="1"/>
  <c r="E45" i="22" s="1"/>
  <c r="C45" i="22" a="1"/>
  <c r="C45" i="22" s="1"/>
  <c r="E44" i="22" a="1"/>
  <c r="E44" i="22" s="1"/>
  <c r="C44" i="22" a="1"/>
  <c r="C44" i="22" s="1"/>
  <c r="E43" i="22" a="1"/>
  <c r="E43" i="22" s="1"/>
  <c r="C43" i="22" a="1"/>
  <c r="C43" i="22" s="1"/>
  <c r="E42" i="22" a="1"/>
  <c r="E42" i="22" s="1"/>
  <c r="C42" i="22" a="1"/>
  <c r="C42" i="22" s="1"/>
  <c r="E41" i="22" a="1"/>
  <c r="E41" i="22" s="1"/>
  <c r="C41" i="22" a="1"/>
  <c r="C41" i="22" s="1"/>
  <c r="E40" i="22" a="1"/>
  <c r="E40" i="22" s="1"/>
  <c r="C40" i="22" a="1"/>
  <c r="C40" i="22" s="1"/>
  <c r="E39" i="22" a="1"/>
  <c r="E39" i="22" s="1"/>
  <c r="C39" i="22" a="1"/>
  <c r="C39" i="22" s="1"/>
  <c r="E38" i="22" a="1"/>
  <c r="E38" i="22" s="1"/>
  <c r="C38" i="22" a="1"/>
  <c r="C38" i="22" s="1"/>
  <c r="E37" i="22" a="1"/>
  <c r="E37" i="22" s="1"/>
  <c r="C37" i="22" a="1"/>
  <c r="C37" i="22" s="1"/>
  <c r="E36" i="22" a="1"/>
  <c r="E36" i="22" s="1"/>
  <c r="C36" i="22" a="1"/>
  <c r="C36" i="22" s="1"/>
  <c r="E35" i="22" a="1"/>
  <c r="E35" i="22" s="1"/>
  <c r="C35" i="22" a="1"/>
  <c r="C35" i="22" s="1"/>
  <c r="E34" i="22" a="1"/>
  <c r="E34" i="22" s="1"/>
  <c r="C34" i="22" a="1"/>
  <c r="C34" i="22" s="1"/>
  <c r="E33" i="22" a="1"/>
  <c r="E33" i="22" s="1"/>
  <c r="C33" i="22" a="1"/>
  <c r="C33" i="22" s="1"/>
  <c r="E32" i="22" a="1"/>
  <c r="E32" i="22" s="1"/>
  <c r="C32" i="22" a="1"/>
  <c r="C32" i="22" s="1"/>
  <c r="E31" i="22" a="1"/>
  <c r="E31" i="22" s="1"/>
  <c r="C31" i="22" a="1"/>
  <c r="C31" i="22" s="1"/>
  <c r="E30" i="22" a="1"/>
  <c r="E30" i="22" s="1"/>
  <c r="C30" i="22" a="1"/>
  <c r="C30" i="22" s="1"/>
  <c r="E29" i="22" a="1"/>
  <c r="E29" i="22" s="1"/>
  <c r="C29" i="22" a="1"/>
  <c r="C29" i="22" s="1"/>
  <c r="AY28" i="22"/>
  <c r="AQ28" i="22"/>
  <c r="AU28" i="22" s="1"/>
  <c r="AP28" i="22"/>
  <c r="AT28" i="22" s="1"/>
  <c r="AO28" i="22"/>
  <c r="AS28" i="22" s="1"/>
  <c r="E28" i="22" a="1"/>
  <c r="E28" i="22" s="1"/>
  <c r="C28" i="22" a="1"/>
  <c r="C28" i="22" s="1"/>
  <c r="AY27" i="22"/>
  <c r="AU27" i="22"/>
  <c r="AT27" i="22"/>
  <c r="AS27" i="22"/>
  <c r="E27" i="22" a="1"/>
  <c r="E27" i="22" s="1"/>
  <c r="C27" i="22" a="1"/>
  <c r="C27" i="22" s="1"/>
  <c r="AY26" i="22"/>
  <c r="AQ26" i="22"/>
  <c r="AU26" i="22" s="1"/>
  <c r="AP26" i="22"/>
  <c r="AT26" i="22" s="1"/>
  <c r="AO26" i="22"/>
  <c r="AS26" i="22" s="1"/>
  <c r="E26" i="22" a="1"/>
  <c r="E26" i="22" s="1"/>
  <c r="C26" i="22" a="1"/>
  <c r="C26" i="22" s="1"/>
  <c r="AY25" i="22"/>
  <c r="AQ25" i="22"/>
  <c r="AU25" i="22" s="1"/>
  <c r="AP25" i="22"/>
  <c r="AT25" i="22" s="1"/>
  <c r="AO25" i="22"/>
  <c r="AS25" i="22" s="1"/>
  <c r="E25" i="22" a="1"/>
  <c r="E25" i="22" s="1"/>
  <c r="C25" i="22" a="1"/>
  <c r="C25" i="22" s="1"/>
  <c r="AY24" i="22"/>
  <c r="AQ24" i="22"/>
  <c r="AU24" i="22" s="1"/>
  <c r="AP24" i="22"/>
  <c r="AT24" i="22" s="1"/>
  <c r="AO24" i="22"/>
  <c r="E24" i="22" a="1"/>
  <c r="E24" i="22" s="1"/>
  <c r="C24" i="22" a="1"/>
  <c r="C24" i="22" s="1"/>
  <c r="AY23" i="22"/>
  <c r="AQ23" i="22"/>
  <c r="AU23" i="22" s="1"/>
  <c r="AP23" i="22"/>
  <c r="AO23" i="22"/>
  <c r="AS23" i="22" s="1"/>
  <c r="E23" i="22" a="1"/>
  <c r="E23" i="22" s="1"/>
  <c r="C23" i="22" a="1"/>
  <c r="C23" i="22" s="1"/>
  <c r="AY22" i="22"/>
  <c r="AQ22" i="22"/>
  <c r="AU22" i="22" s="1"/>
  <c r="AP22" i="22"/>
  <c r="AT22" i="22" s="1"/>
  <c r="AO22" i="22"/>
  <c r="AS22" i="22" s="1"/>
  <c r="E22" i="22"/>
  <c r="E22" i="22" a="1"/>
  <c r="C22" i="22" a="1"/>
  <c r="C22" i="22" s="1"/>
  <c r="AY21" i="22"/>
  <c r="AQ21" i="22"/>
  <c r="AU21" i="22" s="1"/>
  <c r="AP21" i="22"/>
  <c r="AT21" i="22" s="1"/>
  <c r="AO21" i="22"/>
  <c r="E21" i="22" a="1"/>
  <c r="E21" i="22" s="1"/>
  <c r="C21" i="22" a="1"/>
  <c r="C21" i="22" s="1"/>
  <c r="AY20" i="22"/>
  <c r="AQ20" i="22"/>
  <c r="AU20" i="22" s="1"/>
  <c r="AP20" i="22"/>
  <c r="AT20" i="22" s="1"/>
  <c r="AO20" i="22"/>
  <c r="AS20" i="22" s="1"/>
  <c r="E20" i="22" a="1"/>
  <c r="E20" i="22" s="1"/>
  <c r="C20" i="22" a="1"/>
  <c r="C20" i="22" s="1"/>
  <c r="AY19" i="22"/>
  <c r="AQ19" i="22"/>
  <c r="AU19" i="22" s="1"/>
  <c r="AP19" i="22"/>
  <c r="AT19" i="22" s="1"/>
  <c r="AO19" i="22"/>
  <c r="AS19" i="22" s="1"/>
  <c r="E19" i="22" a="1"/>
  <c r="E19" i="22" s="1"/>
  <c r="C19" i="22" a="1"/>
  <c r="C19" i="22" s="1"/>
  <c r="AY18" i="22"/>
  <c r="AU18" i="22"/>
  <c r="AQ18" i="22"/>
  <c r="AP18" i="22"/>
  <c r="AT18" i="22" s="1"/>
  <c r="AO18" i="22"/>
  <c r="E18" i="22" a="1"/>
  <c r="E18" i="22" s="1"/>
  <c r="AY17" i="22"/>
  <c r="AQ17" i="22"/>
  <c r="AU17" i="22" s="1"/>
  <c r="AP17" i="22"/>
  <c r="AT17" i="22" s="1"/>
  <c r="AO17" i="22"/>
  <c r="AS17" i="22" s="1"/>
  <c r="E17" i="22" a="1"/>
  <c r="E17" i="22" s="1"/>
  <c r="C17" i="22" a="1"/>
  <c r="C17" i="22" s="1"/>
  <c r="AY16" i="22"/>
  <c r="AQ16" i="22"/>
  <c r="AU16" i="22" s="1"/>
  <c r="AP16" i="22"/>
  <c r="AT16" i="22" s="1"/>
  <c r="AO16" i="22"/>
  <c r="AS16" i="22" s="1"/>
  <c r="E16" i="22" a="1"/>
  <c r="E16" i="22" s="1"/>
  <c r="C16" i="22" a="1"/>
  <c r="C16" i="22" s="1"/>
  <c r="AY15" i="22"/>
  <c r="AQ15" i="22"/>
  <c r="AU15" i="22" s="1"/>
  <c r="AP15" i="22"/>
  <c r="AT15" i="22" s="1"/>
  <c r="AO15" i="22"/>
  <c r="AS15" i="22" s="1"/>
  <c r="E15" i="22" a="1"/>
  <c r="E15" i="22" s="1"/>
  <c r="C15" i="22" a="1"/>
  <c r="C15" i="22" s="1"/>
  <c r="AY14" i="22"/>
  <c r="AQ14" i="22"/>
  <c r="AU14" i="22" s="1"/>
  <c r="AP14" i="22"/>
  <c r="AT14" i="22" s="1"/>
  <c r="AO14" i="22"/>
  <c r="AS14" i="22" s="1"/>
  <c r="E14" i="22" a="1"/>
  <c r="E14" i="22" s="1"/>
  <c r="C14" i="22" a="1"/>
  <c r="C14" i="22" s="1"/>
  <c r="AY13" i="22"/>
  <c r="AQ13" i="22"/>
  <c r="AU13" i="22" s="1"/>
  <c r="AP13" i="22"/>
  <c r="AT13" i="22" s="1"/>
  <c r="AO13" i="22"/>
  <c r="AS13" i="22" s="1"/>
  <c r="E13" i="22" a="1"/>
  <c r="E13" i="22" s="1"/>
  <c r="C13" i="22" a="1"/>
  <c r="C13" i="22" s="1"/>
  <c r="AY12" i="22"/>
  <c r="AQ12" i="22"/>
  <c r="AU12" i="22" s="1"/>
  <c r="AP12" i="22"/>
  <c r="AT12" i="22" s="1"/>
  <c r="AO12" i="22"/>
  <c r="E12" i="22" a="1"/>
  <c r="E12" i="22" s="1"/>
  <c r="C12" i="22" a="1"/>
  <c r="C12" i="22" s="1"/>
  <c r="AY11" i="22"/>
  <c r="AQ11" i="22"/>
  <c r="AU11" i="22" s="1"/>
  <c r="AP11" i="22"/>
  <c r="AT11" i="22" s="1"/>
  <c r="AO11" i="22"/>
  <c r="AS11" i="22" s="1"/>
  <c r="E11" i="22" a="1"/>
  <c r="E11" i="22" s="1"/>
  <c r="C11" i="22" a="1"/>
  <c r="C11" i="22" s="1"/>
  <c r="AY10" i="22"/>
  <c r="AQ10" i="22"/>
  <c r="AU10" i="22" s="1"/>
  <c r="AP10" i="22"/>
  <c r="AT10" i="22" s="1"/>
  <c r="AO10" i="22"/>
  <c r="AS10" i="22" s="1"/>
  <c r="E10" i="22" a="1"/>
  <c r="E10" i="22" s="1"/>
  <c r="C10" i="22" a="1"/>
  <c r="C10" i="22" s="1"/>
  <c r="AY9" i="22"/>
  <c r="AQ9" i="22"/>
  <c r="AU9" i="22" s="1"/>
  <c r="AP9" i="22"/>
  <c r="AT9" i="22" s="1"/>
  <c r="AO9" i="22"/>
  <c r="E9" i="22" a="1"/>
  <c r="E9" i="22" s="1"/>
  <c r="C9" i="22" a="1"/>
  <c r="C9" i="22" s="1"/>
  <c r="AY8" i="22"/>
  <c r="AQ8" i="22"/>
  <c r="AU8" i="22" s="1"/>
  <c r="AP8" i="22"/>
  <c r="AT8" i="22" s="1"/>
  <c r="AO8" i="22"/>
  <c r="AS8" i="22" s="1"/>
  <c r="E8" i="22" a="1"/>
  <c r="E8" i="22" s="1"/>
  <c r="C8" i="22" a="1"/>
  <c r="C8" i="22" s="1"/>
  <c r="AY7" i="22"/>
  <c r="AQ7" i="22"/>
  <c r="AU7" i="22" s="1"/>
  <c r="AP7" i="22"/>
  <c r="AT7" i="22" s="1"/>
  <c r="AO7" i="22"/>
  <c r="AS7" i="22" s="1"/>
  <c r="E7" i="22" a="1"/>
  <c r="E7" i="22" s="1"/>
  <c r="C7" i="22" a="1"/>
  <c r="C7" i="22" s="1"/>
  <c r="AY6" i="22"/>
  <c r="AQ6" i="22"/>
  <c r="AU6" i="22" s="1"/>
  <c r="AP6" i="22"/>
  <c r="AT6" i="22" s="1"/>
  <c r="AO6" i="22"/>
  <c r="AS6" i="22" s="1"/>
  <c r="E6" i="22" a="1"/>
  <c r="E6" i="22" s="1"/>
  <c r="C6" i="22" a="1"/>
  <c r="C6" i="22" s="1"/>
  <c r="AY5" i="22"/>
  <c r="AQ5" i="22"/>
  <c r="AP5" i="22"/>
  <c r="AT5" i="22" s="1"/>
  <c r="AO5" i="22"/>
  <c r="AS5" i="22" s="1"/>
  <c r="E5" i="22" a="1"/>
  <c r="E5" i="22" s="1"/>
  <c r="C5" i="22" a="1"/>
  <c r="C5" i="22" s="1"/>
  <c r="AY4" i="22"/>
  <c r="AQ4" i="22"/>
  <c r="AU4" i="22" s="1"/>
  <c r="AP4" i="22"/>
  <c r="AT4" i="22" s="1"/>
  <c r="AO4" i="22"/>
  <c r="AS4" i="22" s="1"/>
  <c r="E4" i="22" a="1"/>
  <c r="E4" i="22" s="1"/>
  <c r="C4" i="22" a="1"/>
  <c r="C4" i="22" s="1"/>
  <c r="AI2" i="22"/>
  <c r="AH2" i="22"/>
  <c r="AG2" i="22"/>
  <c r="AF2" i="22"/>
  <c r="AA2" i="22"/>
  <c r="S2" i="22"/>
  <c r="K2" i="22"/>
  <c r="A1" i="22"/>
  <c r="I5" i="21"/>
  <c r="H5" i="21"/>
  <c r="G5" i="21"/>
  <c r="I4" i="21" a="1"/>
  <c r="I4" i="21" s="1"/>
  <c r="I6" i="21" s="1"/>
  <c r="H4" i="21" a="1"/>
  <c r="H4" i="21" s="1"/>
  <c r="G4" i="21" a="1"/>
  <c r="G4" i="21" s="1"/>
  <c r="I3" i="21" a="1"/>
  <c r="I3" i="21" s="1"/>
  <c r="H3" i="21" a="1"/>
  <c r="H3" i="21" s="1"/>
  <c r="G3" i="21" a="1"/>
  <c r="G3" i="21" s="1"/>
  <c r="J2" i="21"/>
  <c r="AR23" i="22" l="1"/>
  <c r="AR11" i="22"/>
  <c r="AR17" i="22"/>
  <c r="AR9" i="22"/>
  <c r="AR16" i="22"/>
  <c r="AR12" i="22"/>
  <c r="AR18" i="22"/>
  <c r="AT23" i="22"/>
  <c r="AR21" i="22"/>
  <c r="AR5" i="22"/>
  <c r="AR10" i="22"/>
  <c r="AR4" i="22"/>
  <c r="AR24" i="22"/>
  <c r="F28" i="22"/>
  <c r="D29" i="22"/>
  <c r="D27" i="22"/>
  <c r="D21" i="22"/>
  <c r="D15" i="22"/>
  <c r="D28" i="22"/>
  <c r="D20" i="22"/>
  <c r="D26" i="22"/>
  <c r="D94" i="22"/>
  <c r="D92" i="22"/>
  <c r="D90" i="22"/>
  <c r="D88" i="22"/>
  <c r="D86" i="22"/>
  <c r="D84" i="22"/>
  <c r="D82" i="22"/>
  <c r="D80" i="22"/>
  <c r="D78" i="22"/>
  <c r="D76" i="22"/>
  <c r="D74" i="22"/>
  <c r="D72" i="22"/>
  <c r="D70" i="22"/>
  <c r="D68" i="22"/>
  <c r="D66" i="22"/>
  <c r="D64" i="22"/>
  <c r="D62" i="22"/>
  <c r="D60" i="22"/>
  <c r="D58" i="22"/>
  <c r="D56" i="22"/>
  <c r="D54" i="22"/>
  <c r="D52" i="22"/>
  <c r="D50" i="22"/>
  <c r="D48" i="22"/>
  <c r="D46" i="22"/>
  <c r="D44" i="22"/>
  <c r="D42" i="22"/>
  <c r="D11" i="22"/>
  <c r="D40" i="22"/>
  <c r="D38" i="22"/>
  <c r="D36" i="22"/>
  <c r="D34" i="22"/>
  <c r="D32" i="22"/>
  <c r="D30" i="22"/>
  <c r="D25" i="22"/>
  <c r="D19" i="22"/>
  <c r="D13" i="22"/>
  <c r="D7" i="22"/>
  <c r="D24" i="22"/>
  <c r="D18" i="22"/>
  <c r="D12" i="22"/>
  <c r="D6" i="22"/>
  <c r="D17" i="22"/>
  <c r="D23" i="22"/>
  <c r="D9" i="22"/>
  <c r="D5" i="22"/>
  <c r="D4" i="22"/>
  <c r="D93" i="22"/>
  <c r="D91" i="22"/>
  <c r="D89" i="22"/>
  <c r="D87" i="22"/>
  <c r="D85" i="22"/>
  <c r="D83" i="22"/>
  <c r="D81" i="22"/>
  <c r="D79" i="22"/>
  <c r="D77" i="22"/>
  <c r="D75" i="22"/>
  <c r="D73" i="22"/>
  <c r="D71" i="22"/>
  <c r="D69" i="22"/>
  <c r="D67" i="22"/>
  <c r="D65" i="22"/>
  <c r="D63" i="22"/>
  <c r="D61" i="22"/>
  <c r="D59" i="22"/>
  <c r="D57" i="22"/>
  <c r="D55" i="22"/>
  <c r="D53" i="22"/>
  <c r="D51" i="22"/>
  <c r="D49" i="22"/>
  <c r="D47" i="22"/>
  <c r="D45" i="22"/>
  <c r="D43" i="22"/>
  <c r="D16" i="22"/>
  <c r="D41" i="22"/>
  <c r="D39" i="22"/>
  <c r="D37" i="22"/>
  <c r="D35" i="22"/>
  <c r="D33" i="22"/>
  <c r="D31" i="22"/>
  <c r="D22" i="22"/>
  <c r="D10" i="22"/>
  <c r="D14" i="22"/>
  <c r="D8" i="22"/>
  <c r="F26" i="22"/>
  <c r="F14" i="22"/>
  <c r="F20" i="22"/>
  <c r="F8" i="22"/>
  <c r="E2" i="22"/>
  <c r="AR6" i="22"/>
  <c r="AS24" i="22"/>
  <c r="AS12" i="22"/>
  <c r="AS18" i="22"/>
  <c r="AR7" i="22"/>
  <c r="F9" i="22"/>
  <c r="AR13" i="22"/>
  <c r="F15" i="22"/>
  <c r="AR19" i="22"/>
  <c r="F21" i="22"/>
  <c r="AR25" i="22"/>
  <c r="F27" i="22"/>
  <c r="F29" i="22"/>
  <c r="AU5" i="22"/>
  <c r="F4" i="22"/>
  <c r="AR8" i="22"/>
  <c r="F10" i="22"/>
  <c r="AR14" i="22"/>
  <c r="F16" i="22"/>
  <c r="AR20" i="22"/>
  <c r="F22" i="22"/>
  <c r="AR26" i="22"/>
  <c r="AR28" i="22"/>
  <c r="F31" i="22"/>
  <c r="F33" i="22"/>
  <c r="F35" i="22"/>
  <c r="F37" i="22"/>
  <c r="F39" i="22"/>
  <c r="F41" i="22"/>
  <c r="F43" i="22"/>
  <c r="F45" i="22"/>
  <c r="F47" i="22"/>
  <c r="F49" i="22"/>
  <c r="F51" i="22"/>
  <c r="F53" i="22"/>
  <c r="F55" i="22"/>
  <c r="F57" i="22"/>
  <c r="F59" i="22"/>
  <c r="F61" i="22"/>
  <c r="F63" i="22"/>
  <c r="F65" i="22"/>
  <c r="F67" i="22"/>
  <c r="F69" i="22"/>
  <c r="AK69" i="22" s="1"/>
  <c r="F71" i="22"/>
  <c r="F73" i="22"/>
  <c r="F75" i="22"/>
  <c r="F77" i="22"/>
  <c r="F79" i="22"/>
  <c r="F81" i="22"/>
  <c r="F83" i="22"/>
  <c r="F85" i="22"/>
  <c r="F87" i="22"/>
  <c r="F89" i="22"/>
  <c r="F91" i="22"/>
  <c r="F93" i="22"/>
  <c r="AK93" i="22" s="1"/>
  <c r="AR15" i="22"/>
  <c r="F17" i="22"/>
  <c r="F5" i="22"/>
  <c r="F23" i="22"/>
  <c r="AS9" i="22"/>
  <c r="AS21" i="22"/>
  <c r="F11" i="22"/>
  <c r="F6" i="22"/>
  <c r="F12" i="22"/>
  <c r="F18" i="22"/>
  <c r="AR22" i="22"/>
  <c r="F24" i="22"/>
  <c r="F7" i="22"/>
  <c r="F13" i="22"/>
  <c r="F19" i="22"/>
  <c r="F25" i="22"/>
  <c r="F30" i="22"/>
  <c r="F32" i="22"/>
  <c r="F34" i="22"/>
  <c r="F36" i="22"/>
  <c r="F38" i="22"/>
  <c r="F40" i="22"/>
  <c r="F42" i="22"/>
  <c r="F44" i="22"/>
  <c r="F46" i="22"/>
  <c r="AK46" i="22" s="1"/>
  <c r="F48" i="22"/>
  <c r="F50" i="22"/>
  <c r="F52" i="22"/>
  <c r="F54" i="22"/>
  <c r="F56" i="22"/>
  <c r="F58" i="22"/>
  <c r="AK58" i="22" s="1"/>
  <c r="F60" i="22"/>
  <c r="F62" i="22"/>
  <c r="F64" i="22"/>
  <c r="F66" i="22"/>
  <c r="F68" i="22"/>
  <c r="F70" i="22"/>
  <c r="F72" i="22"/>
  <c r="F74" i="22"/>
  <c r="F76" i="22"/>
  <c r="F78" i="22"/>
  <c r="F80" i="22"/>
  <c r="F82" i="22"/>
  <c r="AK82" i="22" s="1"/>
  <c r="F84" i="22"/>
  <c r="F86" i="22"/>
  <c r="F88" i="22"/>
  <c r="F90" i="22"/>
  <c r="F92" i="22"/>
  <c r="F94" i="22"/>
  <c r="AK94" i="22" s="1"/>
  <c r="J5" i="21"/>
  <c r="J3" i="21"/>
  <c r="H6" i="21"/>
  <c r="G6" i="21"/>
  <c r="J4" i="21"/>
  <c r="I6" i="14"/>
  <c r="AK72" i="22" l="1"/>
  <c r="AK48" i="22"/>
  <c r="AK90" i="22"/>
  <c r="AK66" i="22"/>
  <c r="AK42" i="22"/>
  <c r="AK76" i="22"/>
  <c r="AK52" i="22"/>
  <c r="AK81" i="22"/>
  <c r="AK80" i="22"/>
  <c r="AK57" i="22"/>
  <c r="AK55" i="22"/>
  <c r="AK73" i="22"/>
  <c r="AK49" i="22"/>
  <c r="AK71" i="22"/>
  <c r="AK47" i="22"/>
  <c r="AK56" i="22"/>
  <c r="AK79" i="22"/>
  <c r="AK87" i="22"/>
  <c r="AK63" i="22"/>
  <c r="AK84" i="22"/>
  <c r="AK70" i="22"/>
  <c r="AK77" i="22"/>
  <c r="AK53" i="22"/>
  <c r="AK75" i="22"/>
  <c r="AK51" i="22"/>
  <c r="AK78" i="22"/>
  <c r="AK54" i="22"/>
  <c r="AK74" i="22"/>
  <c r="AK50" i="22"/>
  <c r="AK67" i="22"/>
  <c r="AK68" i="22"/>
  <c r="AK43" i="22"/>
  <c r="AK88" i="22"/>
  <c r="AK64" i="22"/>
  <c r="AK40" i="22"/>
  <c r="AK89" i="22"/>
  <c r="AK65" i="22"/>
  <c r="AK41" i="22"/>
  <c r="AK44" i="22"/>
  <c r="AK45" i="22"/>
  <c r="AK91" i="22"/>
  <c r="AK86" i="22"/>
  <c r="AK62" i="22"/>
  <c r="AK38" i="22"/>
  <c r="AK39" i="22"/>
  <c r="AK60" i="22"/>
  <c r="AK85" i="22"/>
  <c r="AK37" i="22"/>
  <c r="AK92" i="22"/>
  <c r="AK61" i="22"/>
  <c r="AK83" i="22"/>
  <c r="AK59" i="22"/>
  <c r="AU29" i="22"/>
  <c r="AR29" i="22"/>
  <c r="D96" i="22"/>
  <c r="J6" i="21"/>
  <c r="AF2" i="20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F69" i="20"/>
  <c r="F70" i="20"/>
  <c r="F71" i="20"/>
  <c r="F72" i="20"/>
  <c r="F73" i="20"/>
  <c r="F74" i="20"/>
  <c r="F75" i="20"/>
  <c r="F76" i="20"/>
  <c r="F77" i="20"/>
  <c r="F78" i="20"/>
  <c r="F79" i="20"/>
  <c r="F80" i="20"/>
  <c r="F81" i="20"/>
  <c r="F82" i="20"/>
  <c r="F83" i="20"/>
  <c r="F84" i="20"/>
  <c r="F85" i="20"/>
  <c r="F86" i="20"/>
  <c r="F87" i="20"/>
  <c r="F88" i="20"/>
  <c r="F89" i="20"/>
  <c r="F90" i="20"/>
  <c r="F91" i="20"/>
  <c r="E13" i="20" a="1"/>
  <c r="E13" i="20" s="1"/>
  <c r="E14" i="20" a="1"/>
  <c r="E14" i="20" s="1"/>
  <c r="E15" i="20" a="1"/>
  <c r="E15" i="20" s="1"/>
  <c r="E16" i="20" a="1"/>
  <c r="E16" i="20" s="1"/>
  <c r="E17" i="20" a="1"/>
  <c r="E17" i="20" s="1"/>
  <c r="E18" i="20" a="1"/>
  <c r="E18" i="20" s="1"/>
  <c r="E19" i="20" a="1"/>
  <c r="E19" i="20" s="1"/>
  <c r="E20" i="20" a="1"/>
  <c r="E20" i="20" s="1"/>
  <c r="E21" i="20" a="1"/>
  <c r="E21" i="20" s="1"/>
  <c r="E22" i="20" a="1"/>
  <c r="E22" i="20" s="1"/>
  <c r="E23" i="20" a="1"/>
  <c r="E23" i="20" s="1"/>
  <c r="E24" i="20" a="1"/>
  <c r="E24" i="20" s="1"/>
  <c r="E25" i="20" a="1"/>
  <c r="E25" i="20" s="1"/>
  <c r="E26" i="20" a="1"/>
  <c r="E26" i="20" s="1"/>
  <c r="E27" i="20" a="1"/>
  <c r="E27" i="20" s="1"/>
  <c r="E28" i="20" a="1"/>
  <c r="E28" i="20" s="1"/>
  <c r="E29" i="20" a="1"/>
  <c r="E29" i="20" s="1"/>
  <c r="E30" i="20" a="1"/>
  <c r="E30" i="20" s="1"/>
  <c r="E31" i="20" a="1"/>
  <c r="E31" i="20" s="1"/>
  <c r="E32" i="20" a="1"/>
  <c r="E32" i="20" s="1"/>
  <c r="E33" i="20" a="1"/>
  <c r="E33" i="20" s="1"/>
  <c r="E34" i="20" a="1"/>
  <c r="E34" i="20" s="1"/>
  <c r="E35" i="20" a="1"/>
  <c r="E35" i="20" s="1"/>
  <c r="E36" i="20" a="1"/>
  <c r="E36" i="20" s="1"/>
  <c r="E37" i="20" a="1"/>
  <c r="E37" i="20" s="1"/>
  <c r="E38" i="20" a="1"/>
  <c r="E38" i="20" s="1"/>
  <c r="E39" i="20" a="1"/>
  <c r="E39" i="20" s="1"/>
  <c r="E40" i="20" a="1"/>
  <c r="E40" i="20" s="1"/>
  <c r="E41" i="20" a="1"/>
  <c r="E41" i="20" s="1"/>
  <c r="E42" i="20" a="1"/>
  <c r="E42" i="20" s="1"/>
  <c r="E43" i="20" a="1"/>
  <c r="E43" i="20" s="1"/>
  <c r="E44" i="20" a="1"/>
  <c r="E44" i="20" s="1"/>
  <c r="E45" i="20" a="1"/>
  <c r="E45" i="20" s="1"/>
  <c r="E46" i="20" a="1"/>
  <c r="E46" i="20" s="1"/>
  <c r="E47" i="20" a="1"/>
  <c r="E47" i="20" s="1"/>
  <c r="E48" i="20" a="1"/>
  <c r="E48" i="20" s="1"/>
  <c r="E49" i="20" a="1"/>
  <c r="E49" i="20" s="1"/>
  <c r="E50" i="20" a="1"/>
  <c r="E50" i="20" s="1"/>
  <c r="E51" i="20" a="1"/>
  <c r="E51" i="20" s="1"/>
  <c r="E52" i="20" a="1"/>
  <c r="E52" i="20" s="1"/>
  <c r="E53" i="20" a="1"/>
  <c r="E53" i="20" s="1"/>
  <c r="E54" i="20" a="1"/>
  <c r="E54" i="20" s="1"/>
  <c r="E55" i="20" a="1"/>
  <c r="E55" i="20" s="1"/>
  <c r="E56" i="20" a="1"/>
  <c r="E56" i="20" s="1"/>
  <c r="E57" i="20" a="1"/>
  <c r="E57" i="20" s="1"/>
  <c r="E58" i="20" a="1"/>
  <c r="E58" i="20" s="1"/>
  <c r="E59" i="20" a="1"/>
  <c r="E59" i="20" s="1"/>
  <c r="E60" i="20" a="1"/>
  <c r="E60" i="20" s="1"/>
  <c r="E61" i="20" a="1"/>
  <c r="E61" i="20" s="1"/>
  <c r="E62" i="20" a="1"/>
  <c r="E62" i="20" s="1"/>
  <c r="E63" i="20" a="1"/>
  <c r="E63" i="20" s="1"/>
  <c r="E64" i="20" a="1"/>
  <c r="E64" i="20" s="1"/>
  <c r="E65" i="20" a="1"/>
  <c r="E65" i="20" s="1"/>
  <c r="E66" i="20" a="1"/>
  <c r="E66" i="20" s="1"/>
  <c r="E67" i="20" a="1"/>
  <c r="E67" i="20" s="1"/>
  <c r="E68" i="20" a="1"/>
  <c r="E68" i="20" s="1"/>
  <c r="E69" i="20" a="1"/>
  <c r="E69" i="20" s="1"/>
  <c r="E70" i="20" a="1"/>
  <c r="E70" i="20" s="1"/>
  <c r="E71" i="20" a="1"/>
  <c r="E71" i="20" s="1"/>
  <c r="E72" i="20" a="1"/>
  <c r="E72" i="20" s="1"/>
  <c r="E73" i="20" a="1"/>
  <c r="E73" i="20" s="1"/>
  <c r="E74" i="20" a="1"/>
  <c r="E74" i="20" s="1"/>
  <c r="E75" i="20" a="1"/>
  <c r="E75" i="20" s="1"/>
  <c r="E76" i="20" a="1"/>
  <c r="E76" i="20" s="1"/>
  <c r="E77" i="20" a="1"/>
  <c r="E77" i="20" s="1"/>
  <c r="E78" i="20" a="1"/>
  <c r="E78" i="20" s="1"/>
  <c r="E79" i="20" a="1"/>
  <c r="E79" i="20" s="1"/>
  <c r="E80" i="20" a="1"/>
  <c r="E80" i="20" s="1"/>
  <c r="E81" i="20" a="1"/>
  <c r="E81" i="20" s="1"/>
  <c r="E82" i="20" a="1"/>
  <c r="E82" i="20" s="1"/>
  <c r="E83" i="20" a="1"/>
  <c r="E83" i="20" s="1"/>
  <c r="E84" i="20" a="1"/>
  <c r="E84" i="20" s="1"/>
  <c r="E85" i="20" a="1"/>
  <c r="E85" i="20" s="1"/>
  <c r="E86" i="20" a="1"/>
  <c r="E86" i="20" s="1"/>
  <c r="E87" i="20" a="1"/>
  <c r="E87" i="20" s="1"/>
  <c r="E88" i="20" a="1"/>
  <c r="E88" i="20" s="1"/>
  <c r="E89" i="20" a="1"/>
  <c r="E89" i="20" s="1"/>
  <c r="E90" i="20" a="1"/>
  <c r="E90" i="20" s="1"/>
  <c r="E91" i="20" a="1"/>
  <c r="E91" i="20" s="1"/>
  <c r="E92" i="20" a="1"/>
  <c r="E92" i="20" s="1"/>
  <c r="F92" i="20" s="1"/>
  <c r="E93" i="20" a="1"/>
  <c r="E93" i="20" s="1"/>
  <c r="E94" i="20" a="1"/>
  <c r="E94" i="20" s="1"/>
  <c r="D20" i="20"/>
  <c r="D21" i="20"/>
  <c r="D22" i="20"/>
  <c r="D23" i="20"/>
  <c r="D24" i="20"/>
  <c r="D25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41" i="20"/>
  <c r="D42" i="20"/>
  <c r="D43" i="20"/>
  <c r="D44" i="20"/>
  <c r="D45" i="20"/>
  <c r="D46" i="20"/>
  <c r="D47" i="20"/>
  <c r="D48" i="20"/>
  <c r="C20" i="20" a="1"/>
  <c r="C20" i="20" s="1"/>
  <c r="C21" i="20" a="1"/>
  <c r="C21" i="20" s="1"/>
  <c r="C22" i="20" a="1"/>
  <c r="C22" i="20" s="1"/>
  <c r="C23" i="20" a="1"/>
  <c r="C23" i="20" s="1"/>
  <c r="C24" i="20" a="1"/>
  <c r="C24" i="20"/>
  <c r="C25" i="20" a="1"/>
  <c r="C25" i="20" s="1"/>
  <c r="C26" i="20" a="1"/>
  <c r="C26" i="20" s="1"/>
  <c r="C27" i="20" a="1"/>
  <c r="C27" i="20" s="1"/>
  <c r="C28" i="20" a="1"/>
  <c r="C28" i="20" s="1"/>
  <c r="C29" i="20" a="1"/>
  <c r="C29" i="20" s="1"/>
  <c r="C30" i="20" a="1"/>
  <c r="C30" i="20"/>
  <c r="C31" i="20" a="1"/>
  <c r="C31" i="20" s="1"/>
  <c r="C32" i="20" a="1"/>
  <c r="C32" i="20" s="1"/>
  <c r="C33" i="20" a="1"/>
  <c r="C33" i="20" s="1"/>
  <c r="C34" i="20" a="1"/>
  <c r="C34" i="20" s="1"/>
  <c r="C35" i="20" a="1"/>
  <c r="C35" i="20" s="1"/>
  <c r="C36" i="20" a="1"/>
  <c r="C36" i="20"/>
  <c r="C37" i="20" a="1"/>
  <c r="C37" i="20" s="1"/>
  <c r="C38" i="20" a="1"/>
  <c r="C38" i="20" s="1"/>
  <c r="C39" i="20" a="1"/>
  <c r="C39" i="20" s="1"/>
  <c r="C40" i="20" a="1"/>
  <c r="C40" i="20" s="1"/>
  <c r="C41" i="20" a="1"/>
  <c r="C41" i="20" s="1"/>
  <c r="C42" i="20" a="1"/>
  <c r="C42" i="20" s="1"/>
  <c r="C43" i="20" a="1"/>
  <c r="C43" i="20" s="1"/>
  <c r="C44" i="20" a="1"/>
  <c r="C44" i="20" s="1"/>
  <c r="C45" i="20" a="1"/>
  <c r="C45" i="20" s="1"/>
  <c r="C46" i="20" a="1"/>
  <c r="C46" i="20" s="1"/>
  <c r="C47" i="20" a="1"/>
  <c r="C47" i="20" s="1"/>
  <c r="C48" i="20" a="1"/>
  <c r="C48" i="20"/>
  <c r="C49" i="20" a="1"/>
  <c r="C49" i="20" s="1"/>
  <c r="D65" i="20" s="1"/>
  <c r="C50" i="20" a="1"/>
  <c r="C50" i="20" s="1"/>
  <c r="C51" i="20" a="1"/>
  <c r="C51" i="20" s="1"/>
  <c r="C52" i="20" a="1"/>
  <c r="C52" i="20" s="1"/>
  <c r="C53" i="20" a="1"/>
  <c r="C53" i="20" s="1"/>
  <c r="C54" i="20" a="1"/>
  <c r="C54" i="20"/>
  <c r="C55" i="20" a="1"/>
  <c r="C55" i="20" s="1"/>
  <c r="C56" i="20" a="1"/>
  <c r="C56" i="20" s="1"/>
  <c r="C57" i="20" a="1"/>
  <c r="C57" i="20" s="1"/>
  <c r="C58" i="20" a="1"/>
  <c r="C58" i="20" s="1"/>
  <c r="C59" i="20" a="1"/>
  <c r="C59" i="20" s="1"/>
  <c r="C60" i="20" a="1"/>
  <c r="C60" i="20"/>
  <c r="C61" i="20" a="1"/>
  <c r="C61" i="20" s="1"/>
  <c r="C62" i="20" a="1"/>
  <c r="C62" i="20" s="1"/>
  <c r="C63" i="20" a="1"/>
  <c r="C63" i="20" s="1"/>
  <c r="C64" i="20" a="1"/>
  <c r="C64" i="20" s="1"/>
  <c r="C65" i="20" a="1"/>
  <c r="C65" i="20" s="1"/>
  <c r="C66" i="20" a="1"/>
  <c r="C66" i="20"/>
  <c r="C67" i="20" a="1"/>
  <c r="C67" i="20" s="1"/>
  <c r="C68" i="20" a="1"/>
  <c r="C68" i="20" s="1"/>
  <c r="C69" i="20" a="1"/>
  <c r="C69" i="20" s="1"/>
  <c r="C70" i="20" a="1"/>
  <c r="C70" i="20" s="1"/>
  <c r="C71" i="20" a="1"/>
  <c r="C71" i="20" s="1"/>
  <c r="C72" i="20" a="1"/>
  <c r="C72" i="20"/>
  <c r="C73" i="20" a="1"/>
  <c r="C73" i="20" s="1"/>
  <c r="C74" i="20" a="1"/>
  <c r="C74" i="20" s="1"/>
  <c r="C75" i="20" a="1"/>
  <c r="C75" i="20" s="1"/>
  <c r="C76" i="20" a="1"/>
  <c r="C76" i="20" s="1"/>
  <c r="C77" i="20" a="1"/>
  <c r="C77" i="20" s="1"/>
  <c r="C78" i="20" a="1"/>
  <c r="C78" i="20" s="1"/>
  <c r="C79" i="20" a="1"/>
  <c r="C79" i="20" s="1"/>
  <c r="C80" i="20" a="1"/>
  <c r="C80" i="20" s="1"/>
  <c r="C81" i="20" a="1"/>
  <c r="C81" i="20" s="1"/>
  <c r="C82" i="20" a="1"/>
  <c r="C82" i="20" s="1"/>
  <c r="C83" i="20" a="1"/>
  <c r="C83" i="20" s="1"/>
  <c r="C84" i="20" a="1"/>
  <c r="C84" i="20" s="1"/>
  <c r="C85" i="20" a="1"/>
  <c r="C85" i="20" s="1"/>
  <c r="C86" i="20" a="1"/>
  <c r="C86" i="20" s="1"/>
  <c r="C87" i="20" a="1"/>
  <c r="C87" i="20" s="1"/>
  <c r="C88" i="20" a="1"/>
  <c r="C88" i="20" s="1"/>
  <c r="C89" i="20" a="1"/>
  <c r="C89" i="20" s="1"/>
  <c r="C90" i="20" a="1"/>
  <c r="C90" i="20" s="1"/>
  <c r="C91" i="20" a="1"/>
  <c r="C91" i="20" s="1"/>
  <c r="C92" i="20" a="1"/>
  <c r="C92" i="20" s="1"/>
  <c r="C93" i="20" a="1"/>
  <c r="C93" i="20" s="1"/>
  <c r="C94" i="20" a="1"/>
  <c r="C94" i="20" s="1"/>
  <c r="F93" i="20" l="1"/>
  <c r="F94" i="20"/>
  <c r="D92" i="20"/>
  <c r="D78" i="20"/>
  <c r="D89" i="20"/>
  <c r="D77" i="20"/>
  <c r="D53" i="20"/>
  <c r="D88" i="20"/>
  <c r="D76" i="20"/>
  <c r="D64" i="20"/>
  <c r="D52" i="20"/>
  <c r="D79" i="20"/>
  <c r="D66" i="20"/>
  <c r="D87" i="20"/>
  <c r="D75" i="20"/>
  <c r="D63" i="20"/>
  <c r="D51" i="20"/>
  <c r="D86" i="20"/>
  <c r="D74" i="20"/>
  <c r="D62" i="20"/>
  <c r="D50" i="20"/>
  <c r="D61" i="20"/>
  <c r="D49" i="20"/>
  <c r="D85" i="20"/>
  <c r="D72" i="20"/>
  <c r="D60" i="20"/>
  <c r="D73" i="20"/>
  <c r="D71" i="20"/>
  <c r="D84" i="20"/>
  <c r="D83" i="20"/>
  <c r="D59" i="20"/>
  <c r="D94" i="20"/>
  <c r="D82" i="20"/>
  <c r="D70" i="20"/>
  <c r="D58" i="20"/>
  <c r="D93" i="20"/>
  <c r="D81" i="20"/>
  <c r="D69" i="20"/>
  <c r="D57" i="20"/>
  <c r="D80" i="20"/>
  <c r="D68" i="20"/>
  <c r="D56" i="20"/>
  <c r="D67" i="20"/>
  <c r="D55" i="20"/>
  <c r="D91" i="20"/>
  <c r="D54" i="20"/>
  <c r="D90" i="20"/>
  <c r="C18" i="20" a="1"/>
  <c r="C18" i="20" s="1"/>
  <c r="I3" i="15" a="1"/>
  <c r="I3" i="15" s="1"/>
  <c r="H3" i="15" a="1"/>
  <c r="H3" i="15" s="1"/>
  <c r="G3" i="15" a="1"/>
  <c r="G3" i="15" s="1"/>
  <c r="AO41" i="20"/>
  <c r="AY28" i="20"/>
  <c r="AQ28" i="20"/>
  <c r="AU28" i="20" s="1"/>
  <c r="AP28" i="20"/>
  <c r="AT28" i="20" s="1"/>
  <c r="AO28" i="20"/>
  <c r="AY27" i="20"/>
  <c r="AU27" i="20"/>
  <c r="AT27" i="20"/>
  <c r="AS27" i="20"/>
  <c r="AY26" i="20"/>
  <c r="AQ26" i="20"/>
  <c r="AU26" i="20" s="1"/>
  <c r="AP26" i="20"/>
  <c r="AT26" i="20" s="1"/>
  <c r="AO26" i="20"/>
  <c r="AS26" i="20" s="1"/>
  <c r="AY25" i="20"/>
  <c r="AQ25" i="20"/>
  <c r="AU25" i="20" s="1"/>
  <c r="AP25" i="20"/>
  <c r="AT25" i="20" s="1"/>
  <c r="AO25" i="20"/>
  <c r="AS25" i="20" s="1"/>
  <c r="AY24" i="20"/>
  <c r="AU24" i="20"/>
  <c r="AQ24" i="20"/>
  <c r="AP24" i="20"/>
  <c r="AT24" i="20" s="1"/>
  <c r="AO24" i="20"/>
  <c r="AS24" i="20" s="1"/>
  <c r="AY23" i="20"/>
  <c r="AQ23" i="20"/>
  <c r="AU23" i="20" s="1"/>
  <c r="AP23" i="20"/>
  <c r="AT23" i="20" s="1"/>
  <c r="AO23" i="20"/>
  <c r="AY22" i="20"/>
  <c r="AU22" i="20"/>
  <c r="AQ22" i="20"/>
  <c r="AP22" i="20"/>
  <c r="AT22" i="20" s="1"/>
  <c r="AO22" i="20"/>
  <c r="AY21" i="20"/>
  <c r="AU21" i="20"/>
  <c r="AQ21" i="20"/>
  <c r="AP21" i="20"/>
  <c r="AT21" i="20" s="1"/>
  <c r="AO21" i="20"/>
  <c r="AS21" i="20" s="1"/>
  <c r="AY20" i="20"/>
  <c r="AQ20" i="20"/>
  <c r="AU20" i="20" s="1"/>
  <c r="AP20" i="20"/>
  <c r="AT20" i="20" s="1"/>
  <c r="AO20" i="20"/>
  <c r="AY19" i="20"/>
  <c r="AQ19" i="20"/>
  <c r="AU19" i="20" s="1"/>
  <c r="AP19" i="20"/>
  <c r="AT19" i="20" s="1"/>
  <c r="AO19" i="20"/>
  <c r="AS19" i="20" s="1"/>
  <c r="C19" i="20"/>
  <c r="C19" i="20" a="1"/>
  <c r="AY18" i="20"/>
  <c r="AU18" i="20"/>
  <c r="AQ18" i="20"/>
  <c r="AP18" i="20"/>
  <c r="AT18" i="20" s="1"/>
  <c r="AO18" i="20"/>
  <c r="AS18" i="20" s="1"/>
  <c r="AY17" i="20"/>
  <c r="AQ17" i="20"/>
  <c r="AU17" i="20" s="1"/>
  <c r="AP17" i="20"/>
  <c r="AT17" i="20" s="1"/>
  <c r="AO17" i="20"/>
  <c r="C17" i="20" a="1"/>
  <c r="C17" i="20" s="1"/>
  <c r="AY16" i="20"/>
  <c r="AU16" i="20"/>
  <c r="AQ16" i="20"/>
  <c r="AP16" i="20"/>
  <c r="AT16" i="20" s="1"/>
  <c r="AO16" i="20"/>
  <c r="C16" i="20" a="1"/>
  <c r="C16" i="20" s="1"/>
  <c r="AY15" i="20"/>
  <c r="AU15" i="20"/>
  <c r="AQ15" i="20"/>
  <c r="AP15" i="20"/>
  <c r="AT15" i="20" s="1"/>
  <c r="AO15" i="20"/>
  <c r="AS15" i="20" s="1"/>
  <c r="C15" i="20" a="1"/>
  <c r="C15" i="20" s="1"/>
  <c r="AY14" i="20"/>
  <c r="AQ14" i="20"/>
  <c r="AU14" i="20" s="1"/>
  <c r="AP14" i="20"/>
  <c r="AT14" i="20" s="1"/>
  <c r="AO14" i="20"/>
  <c r="C14" i="20" a="1"/>
  <c r="C14" i="20" s="1"/>
  <c r="AY13" i="20"/>
  <c r="AQ13" i="20"/>
  <c r="AU13" i="20" s="1"/>
  <c r="AP13" i="20"/>
  <c r="AT13" i="20" s="1"/>
  <c r="AO13" i="20"/>
  <c r="AS13" i="20" s="1"/>
  <c r="C13" i="20"/>
  <c r="C13" i="20" a="1"/>
  <c r="AY12" i="20"/>
  <c r="AU12" i="20"/>
  <c r="AQ12" i="20"/>
  <c r="AP12" i="20"/>
  <c r="AT12" i="20" s="1"/>
  <c r="AO12" i="20"/>
  <c r="E12" i="20" a="1"/>
  <c r="E12" i="20" s="1"/>
  <c r="C12" i="20" a="1"/>
  <c r="C12" i="20" s="1"/>
  <c r="AY11" i="20"/>
  <c r="AQ11" i="20"/>
  <c r="AU11" i="20" s="1"/>
  <c r="AP11" i="20"/>
  <c r="AT11" i="20" s="1"/>
  <c r="AO11" i="20"/>
  <c r="AS11" i="20" s="1"/>
  <c r="E11" i="20"/>
  <c r="E11" i="20" a="1"/>
  <c r="C11" i="20"/>
  <c r="C11" i="20" a="1"/>
  <c r="AY10" i="20"/>
  <c r="AU10" i="20"/>
  <c r="AQ10" i="20"/>
  <c r="AP10" i="20"/>
  <c r="AT10" i="20" s="1"/>
  <c r="AO10" i="20"/>
  <c r="E10" i="20" a="1"/>
  <c r="E10" i="20" s="1"/>
  <c r="C10" i="20"/>
  <c r="C10" i="20" a="1"/>
  <c r="AY9" i="20"/>
  <c r="AU9" i="20"/>
  <c r="AQ9" i="20"/>
  <c r="AP9" i="20"/>
  <c r="AT9" i="20" s="1"/>
  <c r="AO9" i="20"/>
  <c r="AS9" i="20" s="1"/>
  <c r="E9" i="20" a="1"/>
  <c r="E9" i="20" s="1"/>
  <c r="C9" i="20" a="1"/>
  <c r="C9" i="20" s="1"/>
  <c r="AY8" i="20"/>
  <c r="AQ8" i="20"/>
  <c r="AU8" i="20" s="1"/>
  <c r="AP8" i="20"/>
  <c r="AT8" i="20" s="1"/>
  <c r="AO8" i="20"/>
  <c r="E8" i="20"/>
  <c r="E8" i="20" a="1"/>
  <c r="C8" i="20" a="1"/>
  <c r="C8" i="20" s="1"/>
  <c r="AY7" i="20"/>
  <c r="AQ7" i="20"/>
  <c r="AU7" i="20" s="1"/>
  <c r="AP7" i="20"/>
  <c r="AT7" i="20" s="1"/>
  <c r="AO7" i="20"/>
  <c r="E7" i="20"/>
  <c r="E7" i="20" a="1"/>
  <c r="C7" i="20"/>
  <c r="C7" i="20" a="1"/>
  <c r="AY6" i="20"/>
  <c r="AU6" i="20"/>
  <c r="AQ6" i="20"/>
  <c r="AP6" i="20"/>
  <c r="AT6" i="20" s="1"/>
  <c r="AO6" i="20"/>
  <c r="AS6" i="20" s="1"/>
  <c r="E6" i="20" a="1"/>
  <c r="E6" i="20" s="1"/>
  <c r="C6" i="20" a="1"/>
  <c r="C6" i="20" s="1"/>
  <c r="AY5" i="20"/>
  <c r="AQ5" i="20"/>
  <c r="AU5" i="20" s="1"/>
  <c r="AP5" i="20"/>
  <c r="AT5" i="20" s="1"/>
  <c r="AO5" i="20"/>
  <c r="E5" i="20"/>
  <c r="E5" i="20" a="1"/>
  <c r="C5" i="20"/>
  <c r="D5" i="20" s="1"/>
  <c r="C5" i="20" a="1"/>
  <c r="AY4" i="20"/>
  <c r="AU4" i="20"/>
  <c r="AQ4" i="20"/>
  <c r="AP4" i="20"/>
  <c r="AT4" i="20" s="1"/>
  <c r="AO4" i="20"/>
  <c r="E4" i="20" a="1"/>
  <c r="E4" i="20" s="1"/>
  <c r="C4" i="20"/>
  <c r="C4" i="20" a="1"/>
  <c r="AI2" i="20"/>
  <c r="AH2" i="20"/>
  <c r="AG2" i="20"/>
  <c r="AA2" i="20"/>
  <c r="S2" i="20"/>
  <c r="K2" i="20"/>
  <c r="A1" i="20"/>
  <c r="AR14" i="20" l="1"/>
  <c r="AR20" i="20"/>
  <c r="AR22" i="20"/>
  <c r="AR8" i="20"/>
  <c r="AR5" i="20"/>
  <c r="AR4" i="20"/>
  <c r="AR10" i="20"/>
  <c r="AR16" i="20"/>
  <c r="AR28" i="20"/>
  <c r="AR7" i="20"/>
  <c r="AR17" i="20"/>
  <c r="AR12" i="20"/>
  <c r="AR23" i="20"/>
  <c r="AS23" i="20"/>
  <c r="AR18" i="20"/>
  <c r="AS7" i="20"/>
  <c r="AS10" i="20"/>
  <c r="AR9" i="20"/>
  <c r="AS22" i="20"/>
  <c r="AR13" i="20"/>
  <c r="AS17" i="20"/>
  <c r="AS4" i="20"/>
  <c r="AS16" i="20"/>
  <c r="AS14" i="20"/>
  <c r="AS5" i="20"/>
  <c r="AR21" i="20"/>
  <c r="AS28" i="20"/>
  <c r="AS8" i="20"/>
  <c r="AR15" i="20"/>
  <c r="AS20" i="20"/>
  <c r="AR24" i="20"/>
  <c r="F14" i="20"/>
  <c r="F13" i="20"/>
  <c r="F7" i="20"/>
  <c r="F5" i="20"/>
  <c r="F18" i="20"/>
  <c r="F12" i="20"/>
  <c r="F6" i="20"/>
  <c r="F17" i="20"/>
  <c r="E2" i="20"/>
  <c r="F9" i="20"/>
  <c r="F16" i="20"/>
  <c r="F10" i="20"/>
  <c r="F4" i="20"/>
  <c r="F15" i="20"/>
  <c r="F8" i="20"/>
  <c r="F11" i="20"/>
  <c r="AR6" i="20"/>
  <c r="D4" i="20"/>
  <c r="D10" i="20"/>
  <c r="AS12" i="20"/>
  <c r="D16" i="20"/>
  <c r="AR19" i="20"/>
  <c r="AR25" i="20"/>
  <c r="D17" i="20"/>
  <c r="AR26" i="20"/>
  <c r="D11" i="20"/>
  <c r="D6" i="20"/>
  <c r="D12" i="20"/>
  <c r="D18" i="20"/>
  <c r="D13" i="20"/>
  <c r="D19" i="20"/>
  <c r="D7" i="20"/>
  <c r="D14" i="20"/>
  <c r="AR11" i="20"/>
  <c r="D8" i="20"/>
  <c r="D9" i="20"/>
  <c r="D15" i="20"/>
  <c r="K2" i="19"/>
  <c r="AU29" i="20" l="1"/>
  <c r="AR29" i="20"/>
  <c r="D96" i="20"/>
  <c r="C22" i="13" a="1"/>
  <c r="C22" i="13" s="1"/>
  <c r="C23" i="13" a="1"/>
  <c r="C23" i="13" s="1"/>
  <c r="C24" i="13" a="1"/>
  <c r="C24" i="13" s="1"/>
  <c r="C25" i="13" a="1"/>
  <c r="C25" i="13" s="1"/>
  <c r="C26" i="13" a="1"/>
  <c r="C26" i="13" s="1"/>
  <c r="C27" i="13" a="1"/>
  <c r="C27" i="13" s="1"/>
  <c r="C28" i="13" a="1"/>
  <c r="C28" i="13" s="1"/>
  <c r="C29" i="13" a="1"/>
  <c r="C29" i="13" s="1"/>
  <c r="C30" i="13" a="1"/>
  <c r="C30" i="13" s="1"/>
  <c r="C31" i="13" a="1"/>
  <c r="C31" i="13" s="1"/>
  <c r="C32" i="13" a="1"/>
  <c r="C32" i="13" s="1"/>
  <c r="C33" i="13" a="1"/>
  <c r="C33" i="13" s="1"/>
  <c r="C34" i="13" a="1"/>
  <c r="C34" i="13" s="1"/>
  <c r="C35" i="13" a="1"/>
  <c r="C35" i="13" s="1"/>
  <c r="C36" i="13" a="1"/>
  <c r="C36" i="13" s="1"/>
  <c r="C37" i="13" a="1"/>
  <c r="C37" i="13" s="1"/>
  <c r="C38" i="13" a="1"/>
  <c r="C38" i="13" s="1"/>
  <c r="C39" i="13" a="1"/>
  <c r="C39" i="13" s="1"/>
  <c r="C40" i="13" a="1"/>
  <c r="C40" i="13" s="1"/>
  <c r="C41" i="13" a="1"/>
  <c r="C41" i="13" s="1"/>
  <c r="C42" i="13" a="1"/>
  <c r="C42" i="13" s="1"/>
  <c r="C43" i="13" a="1"/>
  <c r="C43" i="13" s="1"/>
  <c r="C44" i="13" a="1"/>
  <c r="C44" i="13" s="1"/>
  <c r="C45" i="13" a="1"/>
  <c r="C45" i="13" s="1"/>
  <c r="C46" i="13" a="1"/>
  <c r="C46" i="13" s="1"/>
  <c r="C47" i="13" a="1"/>
  <c r="C47" i="13" s="1"/>
  <c r="C48" i="13" a="1"/>
  <c r="C48" i="13" s="1"/>
  <c r="C49" i="13" a="1"/>
  <c r="C49" i="13" s="1"/>
  <c r="C50" i="13" a="1"/>
  <c r="C50" i="13" s="1"/>
  <c r="C51" i="13" a="1"/>
  <c r="C51" i="13" s="1"/>
  <c r="C52" i="13" a="1"/>
  <c r="C52" i="13" s="1"/>
  <c r="C53" i="13" a="1"/>
  <c r="C53" i="13" s="1"/>
  <c r="C54" i="13" a="1"/>
  <c r="C54" i="13" s="1"/>
  <c r="C55" i="13" a="1"/>
  <c r="C55" i="13" s="1"/>
  <c r="C56" i="13" a="1"/>
  <c r="C56" i="13" s="1"/>
  <c r="C57" i="13" a="1"/>
  <c r="C57" i="13" s="1"/>
  <c r="C58" i="13" a="1"/>
  <c r="C58" i="13" s="1"/>
  <c r="C59" i="13" a="1"/>
  <c r="C59" i="13" s="1"/>
  <c r="C60" i="13" a="1"/>
  <c r="C60" i="13" s="1"/>
  <c r="C61" i="13" a="1"/>
  <c r="C61" i="13" s="1"/>
  <c r="C62" i="13" a="1"/>
  <c r="C62" i="13" s="1"/>
  <c r="C63" i="13" a="1"/>
  <c r="C63" i="13" s="1"/>
  <c r="C64" i="13" a="1"/>
  <c r="C64" i="13" s="1"/>
  <c r="C65" i="13" a="1"/>
  <c r="C65" i="13" s="1"/>
  <c r="C66" i="13" a="1"/>
  <c r="C66" i="13" s="1"/>
  <c r="C67" i="13" a="1"/>
  <c r="C67" i="13" s="1"/>
  <c r="C68" i="13" a="1"/>
  <c r="C68" i="13" s="1"/>
  <c r="C69" i="13" a="1"/>
  <c r="C69" i="13" s="1"/>
  <c r="C70" i="13" a="1"/>
  <c r="C70" i="13" s="1"/>
  <c r="C71" i="13" a="1"/>
  <c r="C71" i="13" s="1"/>
  <c r="C72" i="13" a="1"/>
  <c r="C72" i="13" s="1"/>
  <c r="C73" i="13" a="1"/>
  <c r="C73" i="13" s="1"/>
  <c r="C74" i="13" a="1"/>
  <c r="C74" i="13" s="1"/>
  <c r="C75" i="13" a="1"/>
  <c r="C75" i="13" s="1"/>
  <c r="C76" i="13" a="1"/>
  <c r="C76" i="13" s="1"/>
  <c r="C77" i="13" a="1"/>
  <c r="C77" i="13" s="1"/>
  <c r="C78" i="13" a="1"/>
  <c r="C78" i="13" s="1"/>
  <c r="C79" i="13" a="1"/>
  <c r="C79" i="13" s="1"/>
  <c r="C80" i="13" a="1"/>
  <c r="C80" i="13" s="1"/>
  <c r="C81" i="13" a="1"/>
  <c r="C81" i="13" s="1"/>
  <c r="C82" i="13" a="1"/>
  <c r="C82" i="13" s="1"/>
  <c r="C83" i="13" a="1"/>
  <c r="C83" i="13" s="1"/>
  <c r="C84" i="13" a="1"/>
  <c r="C84" i="13" s="1"/>
  <c r="C85" i="13" a="1"/>
  <c r="C85" i="13" s="1"/>
  <c r="C86" i="13" a="1"/>
  <c r="C86" i="13" s="1"/>
  <c r="C87" i="13" a="1"/>
  <c r="C87" i="13" s="1"/>
  <c r="C88" i="13" a="1"/>
  <c r="C88" i="13" s="1"/>
  <c r="C89" i="13" a="1"/>
  <c r="C89" i="13" s="1"/>
  <c r="C90" i="13" a="1"/>
  <c r="C90" i="13" s="1"/>
  <c r="C91" i="13" a="1"/>
  <c r="C91" i="13" s="1"/>
  <c r="C92" i="13" a="1"/>
  <c r="C92" i="13" s="1"/>
  <c r="C93" i="13" a="1"/>
  <c r="C93" i="13" s="1"/>
  <c r="C94" i="13" a="1"/>
  <c r="C94" i="13" s="1"/>
  <c r="J2" i="14" l="1"/>
  <c r="C18" i="19" a="1"/>
  <c r="C18" i="19" s="1"/>
  <c r="E94" i="19" l="1" a="1"/>
  <c r="E94" i="19" s="1"/>
  <c r="C94" i="19" a="1"/>
  <c r="C94" i="19" s="1"/>
  <c r="E93" i="19" a="1"/>
  <c r="E93" i="19" s="1"/>
  <c r="C93" i="19" a="1"/>
  <c r="C93" i="19" s="1"/>
  <c r="E92" i="19" a="1"/>
  <c r="E92" i="19" s="1"/>
  <c r="C92" i="19" a="1"/>
  <c r="C92" i="19" s="1"/>
  <c r="E91" i="19" a="1"/>
  <c r="E91" i="19" s="1"/>
  <c r="C91" i="19" a="1"/>
  <c r="C91" i="19" s="1"/>
  <c r="E90" i="19" a="1"/>
  <c r="E90" i="19" s="1"/>
  <c r="C90" i="19" a="1"/>
  <c r="C90" i="19" s="1"/>
  <c r="E89" i="19" a="1"/>
  <c r="E89" i="19" s="1"/>
  <c r="C89" i="19" a="1"/>
  <c r="C89" i="19" s="1"/>
  <c r="E88" i="19" a="1"/>
  <c r="E88" i="19" s="1"/>
  <c r="C88" i="19" a="1"/>
  <c r="C88" i="19" s="1"/>
  <c r="E87" i="19" a="1"/>
  <c r="E87" i="19" s="1"/>
  <c r="C87" i="19" a="1"/>
  <c r="C87" i="19" s="1"/>
  <c r="E86" i="19" a="1"/>
  <c r="E86" i="19" s="1"/>
  <c r="C86" i="19" a="1"/>
  <c r="C86" i="19" s="1"/>
  <c r="E85" i="19" a="1"/>
  <c r="E85" i="19" s="1"/>
  <c r="C85" i="19" a="1"/>
  <c r="C85" i="19" s="1"/>
  <c r="E84" i="19" a="1"/>
  <c r="E84" i="19" s="1"/>
  <c r="C84" i="19" a="1"/>
  <c r="C84" i="19" s="1"/>
  <c r="E83" i="19" a="1"/>
  <c r="E83" i="19" s="1"/>
  <c r="C83" i="19" a="1"/>
  <c r="C83" i="19" s="1"/>
  <c r="E82" i="19" a="1"/>
  <c r="E82" i="19" s="1"/>
  <c r="C82" i="19" a="1"/>
  <c r="C82" i="19" s="1"/>
  <c r="E81" i="19" a="1"/>
  <c r="E81" i="19" s="1"/>
  <c r="C81" i="19" a="1"/>
  <c r="C81" i="19" s="1"/>
  <c r="E80" i="19" a="1"/>
  <c r="E80" i="19" s="1"/>
  <c r="C80" i="19" a="1"/>
  <c r="C80" i="19" s="1"/>
  <c r="E79" i="19" a="1"/>
  <c r="E79" i="19" s="1"/>
  <c r="C79" i="19" a="1"/>
  <c r="C79" i="19" s="1"/>
  <c r="E78" i="19" a="1"/>
  <c r="E78" i="19" s="1"/>
  <c r="C78" i="19" a="1"/>
  <c r="C78" i="19" s="1"/>
  <c r="E77" i="19" a="1"/>
  <c r="E77" i="19" s="1"/>
  <c r="C77" i="19" a="1"/>
  <c r="C77" i="19" s="1"/>
  <c r="E76" i="19" a="1"/>
  <c r="E76" i="19" s="1"/>
  <c r="C76" i="19" a="1"/>
  <c r="C76" i="19" s="1"/>
  <c r="E75" i="19" a="1"/>
  <c r="E75" i="19" s="1"/>
  <c r="C75" i="19" a="1"/>
  <c r="C75" i="19" s="1"/>
  <c r="E74" i="19" a="1"/>
  <c r="E74" i="19" s="1"/>
  <c r="C74" i="19" a="1"/>
  <c r="C74" i="19" s="1"/>
  <c r="E73" i="19" a="1"/>
  <c r="E73" i="19" s="1"/>
  <c r="C73" i="19" a="1"/>
  <c r="C73" i="19" s="1"/>
  <c r="E72" i="19" a="1"/>
  <c r="E72" i="19" s="1"/>
  <c r="C72" i="19" a="1"/>
  <c r="C72" i="19" s="1"/>
  <c r="E71" i="19" a="1"/>
  <c r="E71" i="19" s="1"/>
  <c r="C71" i="19" a="1"/>
  <c r="C71" i="19" s="1"/>
  <c r="E70" i="19" a="1"/>
  <c r="E70" i="19" s="1"/>
  <c r="C70" i="19" a="1"/>
  <c r="C70" i="19" s="1"/>
  <c r="E69" i="19" a="1"/>
  <c r="E69" i="19" s="1"/>
  <c r="C69" i="19" a="1"/>
  <c r="C69" i="19" s="1"/>
  <c r="E68" i="19" a="1"/>
  <c r="E68" i="19" s="1"/>
  <c r="C68" i="19" a="1"/>
  <c r="C68" i="19" s="1"/>
  <c r="E67" i="19" a="1"/>
  <c r="E67" i="19" s="1"/>
  <c r="C67" i="19" a="1"/>
  <c r="C67" i="19" s="1"/>
  <c r="E66" i="19" a="1"/>
  <c r="E66" i="19" s="1"/>
  <c r="C66" i="19" a="1"/>
  <c r="C66" i="19" s="1"/>
  <c r="E65" i="19" a="1"/>
  <c r="E65" i="19" s="1"/>
  <c r="C65" i="19" a="1"/>
  <c r="C65" i="19" s="1"/>
  <c r="E64" i="19" a="1"/>
  <c r="E64" i="19" s="1"/>
  <c r="C64" i="19" a="1"/>
  <c r="C64" i="19" s="1"/>
  <c r="E63" i="19" a="1"/>
  <c r="E63" i="19" s="1"/>
  <c r="C63" i="19" a="1"/>
  <c r="C63" i="19" s="1"/>
  <c r="E62" i="19" a="1"/>
  <c r="E62" i="19" s="1"/>
  <c r="C62" i="19" a="1"/>
  <c r="C62" i="19" s="1"/>
  <c r="E61" i="19" a="1"/>
  <c r="E61" i="19" s="1"/>
  <c r="C61" i="19" a="1"/>
  <c r="C61" i="19" s="1"/>
  <c r="E60" i="19" a="1"/>
  <c r="E60" i="19" s="1"/>
  <c r="C60" i="19" a="1"/>
  <c r="C60" i="19" s="1"/>
  <c r="E59" i="19" a="1"/>
  <c r="E59" i="19" s="1"/>
  <c r="C59" i="19" a="1"/>
  <c r="C59" i="19" s="1"/>
  <c r="E58" i="19" a="1"/>
  <c r="E58" i="19" s="1"/>
  <c r="C58" i="19" a="1"/>
  <c r="C58" i="19" s="1"/>
  <c r="E57" i="19" a="1"/>
  <c r="E57" i="19" s="1"/>
  <c r="C57" i="19" a="1"/>
  <c r="C57" i="19" s="1"/>
  <c r="E56" i="19" a="1"/>
  <c r="E56" i="19" s="1"/>
  <c r="C56" i="19" a="1"/>
  <c r="C56" i="19" s="1"/>
  <c r="E55" i="19" a="1"/>
  <c r="E55" i="19" s="1"/>
  <c r="C55" i="19" a="1"/>
  <c r="C55" i="19" s="1"/>
  <c r="E54" i="19" a="1"/>
  <c r="E54" i="19" s="1"/>
  <c r="C54" i="19" a="1"/>
  <c r="C54" i="19" s="1"/>
  <c r="E53" i="19" a="1"/>
  <c r="E53" i="19" s="1"/>
  <c r="C53" i="19" a="1"/>
  <c r="C53" i="19" s="1"/>
  <c r="E52" i="19" a="1"/>
  <c r="E52" i="19" s="1"/>
  <c r="C52" i="19" a="1"/>
  <c r="C52" i="19" s="1"/>
  <c r="E51" i="19" a="1"/>
  <c r="E51" i="19" s="1"/>
  <c r="C51" i="19" a="1"/>
  <c r="C51" i="19" s="1"/>
  <c r="E50" i="19" a="1"/>
  <c r="E50" i="19" s="1"/>
  <c r="C50" i="19" a="1"/>
  <c r="C50" i="19" s="1"/>
  <c r="E49" i="19" a="1"/>
  <c r="E49" i="19" s="1"/>
  <c r="C49" i="19" a="1"/>
  <c r="C49" i="19" s="1"/>
  <c r="E48" i="19" a="1"/>
  <c r="E48" i="19" s="1"/>
  <c r="C48" i="19" a="1"/>
  <c r="C48" i="19" s="1"/>
  <c r="E47" i="19" a="1"/>
  <c r="E47" i="19" s="1"/>
  <c r="C47" i="19" a="1"/>
  <c r="C47" i="19" s="1"/>
  <c r="E46" i="19" a="1"/>
  <c r="E46" i="19" s="1"/>
  <c r="C46" i="19" a="1"/>
  <c r="C46" i="19" s="1"/>
  <c r="E45" i="19" a="1"/>
  <c r="E45" i="19" s="1"/>
  <c r="C45" i="19" a="1"/>
  <c r="C45" i="19" s="1"/>
  <c r="E44" i="19" a="1"/>
  <c r="E44" i="19" s="1"/>
  <c r="C44" i="19" a="1"/>
  <c r="C44" i="19" s="1"/>
  <c r="E43" i="19" a="1"/>
  <c r="E43" i="19" s="1"/>
  <c r="C43" i="19" a="1"/>
  <c r="C43" i="19" s="1"/>
  <c r="E42" i="19" a="1"/>
  <c r="E42" i="19" s="1"/>
  <c r="C42" i="19" a="1"/>
  <c r="C42" i="19" s="1"/>
  <c r="AO41" i="19"/>
  <c r="E41" i="19" a="1"/>
  <c r="E41" i="19" s="1"/>
  <c r="C41" i="19" a="1"/>
  <c r="C41" i="19" s="1"/>
  <c r="E40" i="19" a="1"/>
  <c r="E40" i="19" s="1"/>
  <c r="C40" i="19" a="1"/>
  <c r="C40" i="19" s="1"/>
  <c r="E39" i="19" a="1"/>
  <c r="E39" i="19" s="1"/>
  <c r="C39" i="19" a="1"/>
  <c r="C39" i="19" s="1"/>
  <c r="E38" i="19" a="1"/>
  <c r="E38" i="19" s="1"/>
  <c r="C38" i="19" a="1"/>
  <c r="C38" i="19" s="1"/>
  <c r="E37" i="19" a="1"/>
  <c r="E37" i="19" s="1"/>
  <c r="C37" i="19" a="1"/>
  <c r="C37" i="19" s="1"/>
  <c r="E36" i="19" a="1"/>
  <c r="E36" i="19" s="1"/>
  <c r="C36" i="19" a="1"/>
  <c r="C36" i="19" s="1"/>
  <c r="E35" i="19" a="1"/>
  <c r="E35" i="19" s="1"/>
  <c r="C35" i="19" a="1"/>
  <c r="C35" i="19" s="1"/>
  <c r="E34" i="19" a="1"/>
  <c r="E34" i="19" s="1"/>
  <c r="C34" i="19" a="1"/>
  <c r="C34" i="19" s="1"/>
  <c r="E33" i="19" a="1"/>
  <c r="E33" i="19" s="1"/>
  <c r="C33" i="19" a="1"/>
  <c r="C33" i="19" s="1"/>
  <c r="E32" i="19" a="1"/>
  <c r="E32" i="19" s="1"/>
  <c r="C32" i="19" a="1"/>
  <c r="C32" i="19" s="1"/>
  <c r="E31" i="19" a="1"/>
  <c r="E31" i="19" s="1"/>
  <c r="C31" i="19" a="1"/>
  <c r="C31" i="19" s="1"/>
  <c r="E30" i="19" a="1"/>
  <c r="E30" i="19" s="1"/>
  <c r="C30" i="19" a="1"/>
  <c r="C30" i="19" s="1"/>
  <c r="E29" i="19" a="1"/>
  <c r="E29" i="19" s="1"/>
  <c r="C29" i="19" a="1"/>
  <c r="C29" i="19" s="1"/>
  <c r="AY28" i="19"/>
  <c r="AQ28" i="19"/>
  <c r="AU28" i="19" s="1"/>
  <c r="AP28" i="19"/>
  <c r="AT28" i="19" s="1"/>
  <c r="AO28" i="19"/>
  <c r="AS28" i="19" s="1"/>
  <c r="E28" i="19" a="1"/>
  <c r="E28" i="19" s="1"/>
  <c r="C28" i="19" a="1"/>
  <c r="C28" i="19" s="1"/>
  <c r="AY27" i="19"/>
  <c r="AU27" i="19"/>
  <c r="AT27" i="19"/>
  <c r="AS27" i="19"/>
  <c r="E27" i="19" a="1"/>
  <c r="E27" i="19" s="1"/>
  <c r="C27" i="19" a="1"/>
  <c r="C27" i="19" s="1"/>
  <c r="AY26" i="19"/>
  <c r="AQ26" i="19"/>
  <c r="AU26" i="19" s="1"/>
  <c r="AP26" i="19"/>
  <c r="AT26" i="19" s="1"/>
  <c r="AO26" i="19"/>
  <c r="AS26" i="19" s="1"/>
  <c r="E26" i="19" a="1"/>
  <c r="E26" i="19" s="1"/>
  <c r="C26" i="19" a="1"/>
  <c r="C26" i="19" s="1"/>
  <c r="AY25" i="19"/>
  <c r="AQ25" i="19"/>
  <c r="AU25" i="19" s="1"/>
  <c r="AP25" i="19"/>
  <c r="AT25" i="19" s="1"/>
  <c r="AO25" i="19"/>
  <c r="AS25" i="19" s="1"/>
  <c r="E25" i="19" a="1"/>
  <c r="E25" i="19" s="1"/>
  <c r="C25" i="19" a="1"/>
  <c r="C25" i="19" s="1"/>
  <c r="AY24" i="19"/>
  <c r="AQ24" i="19"/>
  <c r="AU24" i="19" s="1"/>
  <c r="AP24" i="19"/>
  <c r="AT24" i="19" s="1"/>
  <c r="AO24" i="19"/>
  <c r="AS24" i="19" s="1"/>
  <c r="E24" i="19" a="1"/>
  <c r="E24" i="19" s="1"/>
  <c r="C24" i="19" a="1"/>
  <c r="C24" i="19" s="1"/>
  <c r="AY23" i="19"/>
  <c r="AQ23" i="19"/>
  <c r="AU23" i="19" s="1"/>
  <c r="AP23" i="19"/>
  <c r="AO23" i="19"/>
  <c r="AS23" i="19" s="1"/>
  <c r="E23" i="19" a="1"/>
  <c r="E23" i="19" s="1"/>
  <c r="C23" i="19" a="1"/>
  <c r="C23" i="19" s="1"/>
  <c r="AY22" i="19"/>
  <c r="AQ22" i="19"/>
  <c r="AU22" i="19" s="1"/>
  <c r="AP22" i="19"/>
  <c r="AT22" i="19" s="1"/>
  <c r="AO22" i="19"/>
  <c r="AS22" i="19" s="1"/>
  <c r="E22" i="19" a="1"/>
  <c r="E22" i="19" s="1"/>
  <c r="C22" i="19" a="1"/>
  <c r="C22" i="19" s="1"/>
  <c r="AY21" i="19"/>
  <c r="AQ21" i="19"/>
  <c r="AU21" i="19" s="1"/>
  <c r="AP21" i="19"/>
  <c r="AT21" i="19" s="1"/>
  <c r="AO21" i="19"/>
  <c r="AS21" i="19" s="1"/>
  <c r="E21" i="19" a="1"/>
  <c r="E21" i="19" s="1"/>
  <c r="C21" i="19" a="1"/>
  <c r="C21" i="19" s="1"/>
  <c r="AY20" i="19"/>
  <c r="AQ20" i="19"/>
  <c r="AU20" i="19" s="1"/>
  <c r="AP20" i="19"/>
  <c r="AT20" i="19" s="1"/>
  <c r="AO20" i="19"/>
  <c r="AS20" i="19" s="1"/>
  <c r="E20" i="19" a="1"/>
  <c r="E20" i="19" s="1"/>
  <c r="C20" i="19" a="1"/>
  <c r="C20" i="19" s="1"/>
  <c r="AY19" i="19"/>
  <c r="AQ19" i="19"/>
  <c r="AU19" i="19" s="1"/>
  <c r="AP19" i="19"/>
  <c r="AT19" i="19" s="1"/>
  <c r="AO19" i="19"/>
  <c r="AS19" i="19" s="1"/>
  <c r="E19" i="19" a="1"/>
  <c r="E19" i="19" s="1"/>
  <c r="C19" i="19" a="1"/>
  <c r="C19" i="19" s="1"/>
  <c r="AY18" i="19"/>
  <c r="AQ18" i="19"/>
  <c r="AU18" i="19" s="1"/>
  <c r="AP18" i="19"/>
  <c r="AT18" i="19" s="1"/>
  <c r="AO18" i="19"/>
  <c r="AS18" i="19" s="1"/>
  <c r="E18" i="19" a="1"/>
  <c r="E18" i="19" s="1"/>
  <c r="AY17" i="19"/>
  <c r="AQ17" i="19"/>
  <c r="AU17" i="19" s="1"/>
  <c r="AP17" i="19"/>
  <c r="AT17" i="19" s="1"/>
  <c r="AO17" i="19"/>
  <c r="AS17" i="19" s="1"/>
  <c r="E17" i="19" a="1"/>
  <c r="E17" i="19" s="1"/>
  <c r="C17" i="19" a="1"/>
  <c r="C17" i="19" s="1"/>
  <c r="AY16" i="19"/>
  <c r="AQ16" i="19"/>
  <c r="AU16" i="19" s="1"/>
  <c r="AP16" i="19"/>
  <c r="AT16" i="19" s="1"/>
  <c r="AO16" i="19"/>
  <c r="AS16" i="19" s="1"/>
  <c r="E16" i="19" a="1"/>
  <c r="E16" i="19" s="1"/>
  <c r="C16" i="19" a="1"/>
  <c r="C16" i="19" s="1"/>
  <c r="AY15" i="19"/>
  <c r="AQ15" i="19"/>
  <c r="AU15" i="19" s="1"/>
  <c r="AP15" i="19"/>
  <c r="AT15" i="19" s="1"/>
  <c r="AO15" i="19"/>
  <c r="E15" i="19" a="1"/>
  <c r="E15" i="19" s="1"/>
  <c r="C15" i="19" a="1"/>
  <c r="C15" i="19" s="1"/>
  <c r="AY14" i="19"/>
  <c r="AQ14" i="19"/>
  <c r="AU14" i="19" s="1"/>
  <c r="AP14" i="19"/>
  <c r="AT14" i="19" s="1"/>
  <c r="AO14" i="19"/>
  <c r="AS14" i="19" s="1"/>
  <c r="E14" i="19" a="1"/>
  <c r="E14" i="19" s="1"/>
  <c r="C14" i="19" a="1"/>
  <c r="C14" i="19" s="1"/>
  <c r="AY13" i="19"/>
  <c r="AQ13" i="19"/>
  <c r="AU13" i="19" s="1"/>
  <c r="AP13" i="19"/>
  <c r="AT13" i="19" s="1"/>
  <c r="AO13" i="19"/>
  <c r="AS13" i="19" s="1"/>
  <c r="E13" i="19" a="1"/>
  <c r="E13" i="19" s="1"/>
  <c r="C13" i="19" a="1"/>
  <c r="C13" i="19" s="1"/>
  <c r="AY12" i="19"/>
  <c r="AQ12" i="19"/>
  <c r="AU12" i="19" s="1"/>
  <c r="AP12" i="19"/>
  <c r="AT12" i="19" s="1"/>
  <c r="AO12" i="19"/>
  <c r="AS12" i="19" s="1"/>
  <c r="E12" i="19" a="1"/>
  <c r="E12" i="19" s="1"/>
  <c r="C12" i="19" a="1"/>
  <c r="C12" i="19" s="1"/>
  <c r="AY11" i="19"/>
  <c r="AQ11" i="19"/>
  <c r="AU11" i="19" s="1"/>
  <c r="AP11" i="19"/>
  <c r="AT11" i="19" s="1"/>
  <c r="AO11" i="19"/>
  <c r="AS11" i="19" s="1"/>
  <c r="E11" i="19" a="1"/>
  <c r="E11" i="19" s="1"/>
  <c r="C11" i="19" a="1"/>
  <c r="C11" i="19" s="1"/>
  <c r="AY10" i="19"/>
  <c r="AQ10" i="19"/>
  <c r="AU10" i="19" s="1"/>
  <c r="AP10" i="19"/>
  <c r="AT10" i="19" s="1"/>
  <c r="AO10" i="19"/>
  <c r="AS10" i="19" s="1"/>
  <c r="E10" i="19" a="1"/>
  <c r="E10" i="19" s="1"/>
  <c r="C10" i="19" a="1"/>
  <c r="C10" i="19" s="1"/>
  <c r="AY9" i="19"/>
  <c r="AQ9" i="19"/>
  <c r="AU9" i="19" s="1"/>
  <c r="AP9" i="19"/>
  <c r="AT9" i="19" s="1"/>
  <c r="AO9" i="19"/>
  <c r="AS9" i="19" s="1"/>
  <c r="E9" i="19" a="1"/>
  <c r="E9" i="19" s="1"/>
  <c r="C9" i="19" a="1"/>
  <c r="C9" i="19" s="1"/>
  <c r="AY8" i="19"/>
  <c r="AQ8" i="19"/>
  <c r="AU8" i="19" s="1"/>
  <c r="AP8" i="19"/>
  <c r="AT8" i="19" s="1"/>
  <c r="AO8" i="19"/>
  <c r="AS8" i="19" s="1"/>
  <c r="E8" i="19" a="1"/>
  <c r="E8" i="19" s="1"/>
  <c r="C8" i="19" a="1"/>
  <c r="C8" i="19" s="1"/>
  <c r="AY7" i="19"/>
  <c r="AQ7" i="19"/>
  <c r="AU7" i="19" s="1"/>
  <c r="AP7" i="19"/>
  <c r="AT7" i="19" s="1"/>
  <c r="AO7" i="19"/>
  <c r="AS7" i="19" s="1"/>
  <c r="E7" i="19" a="1"/>
  <c r="E7" i="19" s="1"/>
  <c r="C7" i="19" a="1"/>
  <c r="C7" i="19" s="1"/>
  <c r="AY6" i="19"/>
  <c r="AQ6" i="19"/>
  <c r="AU6" i="19" s="1"/>
  <c r="AP6" i="19"/>
  <c r="AT6" i="19" s="1"/>
  <c r="AO6" i="19"/>
  <c r="E6" i="19" a="1"/>
  <c r="E6" i="19" s="1"/>
  <c r="C6" i="19" a="1"/>
  <c r="C6" i="19" s="1"/>
  <c r="AY5" i="19"/>
  <c r="AQ5" i="19"/>
  <c r="AU5" i="19" s="1"/>
  <c r="AP5" i="19"/>
  <c r="AT5" i="19" s="1"/>
  <c r="AO5" i="19"/>
  <c r="AS5" i="19" s="1"/>
  <c r="E5" i="19" a="1"/>
  <c r="E5" i="19" s="1"/>
  <c r="C5" i="19" a="1"/>
  <c r="C5" i="19" s="1"/>
  <c r="AY4" i="19"/>
  <c r="AQ4" i="19"/>
  <c r="AU4" i="19" s="1"/>
  <c r="AP4" i="19"/>
  <c r="AT4" i="19" s="1"/>
  <c r="AO4" i="19"/>
  <c r="AS4" i="19" s="1"/>
  <c r="E4" i="19"/>
  <c r="E4" i="19" a="1"/>
  <c r="C4" i="19" a="1"/>
  <c r="C4" i="19" s="1"/>
  <c r="AI2" i="19"/>
  <c r="AH2" i="19"/>
  <c r="AG2" i="19"/>
  <c r="AF2" i="19"/>
  <c r="AA2" i="19"/>
  <c r="S2" i="19"/>
  <c r="A1" i="19"/>
  <c r="AR24" i="19" l="1"/>
  <c r="AR23" i="19"/>
  <c r="AT23" i="19"/>
  <c r="AR13" i="19"/>
  <c r="AR6" i="19"/>
  <c r="AR17" i="19"/>
  <c r="AR12" i="19"/>
  <c r="AR11" i="19"/>
  <c r="AR4" i="19"/>
  <c r="AR16" i="19"/>
  <c r="AR26" i="19"/>
  <c r="AR7" i="19"/>
  <c r="AR15" i="19"/>
  <c r="AR10" i="19"/>
  <c r="AR20" i="19"/>
  <c r="AR28" i="19"/>
  <c r="AR14" i="19"/>
  <c r="AR5" i="19"/>
  <c r="AR8" i="19"/>
  <c r="AR18" i="19"/>
  <c r="AR22" i="19"/>
  <c r="D29" i="19"/>
  <c r="F28" i="19"/>
  <c r="F14" i="19"/>
  <c r="E2" i="19"/>
  <c r="F8" i="19"/>
  <c r="F20" i="19"/>
  <c r="F26" i="19"/>
  <c r="D8" i="19"/>
  <c r="F94" i="19"/>
  <c r="D10" i="19"/>
  <c r="D16" i="19"/>
  <c r="D22" i="19"/>
  <c r="D31" i="19"/>
  <c r="D33" i="19"/>
  <c r="D35" i="19"/>
  <c r="D37" i="19"/>
  <c r="D39" i="19"/>
  <c r="D41" i="19"/>
  <c r="D4" i="19"/>
  <c r="AS6" i="19"/>
  <c r="F9" i="19"/>
  <c r="F15" i="19"/>
  <c r="AR19" i="19"/>
  <c r="F21" i="19"/>
  <c r="AR25" i="19"/>
  <c r="F27" i="19"/>
  <c r="F29" i="19"/>
  <c r="D43" i="19"/>
  <c r="D45" i="19"/>
  <c r="D47" i="19"/>
  <c r="D49" i="19"/>
  <c r="D51" i="19"/>
  <c r="D53" i="19"/>
  <c r="D55" i="19"/>
  <c r="D57" i="19"/>
  <c r="D59" i="19"/>
  <c r="D61" i="19"/>
  <c r="D63" i="19"/>
  <c r="D65" i="19"/>
  <c r="D67" i="19"/>
  <c r="D69" i="19"/>
  <c r="D71" i="19"/>
  <c r="D73" i="19"/>
  <c r="D75" i="19"/>
  <c r="D77" i="19"/>
  <c r="D79" i="19"/>
  <c r="D81" i="19"/>
  <c r="D83" i="19"/>
  <c r="D85" i="19"/>
  <c r="D87" i="19"/>
  <c r="D89" i="19"/>
  <c r="D91" i="19"/>
  <c r="D93" i="19"/>
  <c r="D23" i="19"/>
  <c r="F4" i="19"/>
  <c r="F10" i="19"/>
  <c r="F16" i="19"/>
  <c r="F22" i="19"/>
  <c r="F31" i="19"/>
  <c r="F33" i="19"/>
  <c r="F35" i="19"/>
  <c r="F37" i="19"/>
  <c r="F39" i="19"/>
  <c r="F41" i="19"/>
  <c r="D11" i="19"/>
  <c r="D12" i="19"/>
  <c r="D18" i="19"/>
  <c r="D24" i="19"/>
  <c r="F43" i="19"/>
  <c r="F45" i="19"/>
  <c r="F47" i="19"/>
  <c r="F49" i="19"/>
  <c r="F51" i="19"/>
  <c r="F53" i="19"/>
  <c r="F55" i="19"/>
  <c r="F57" i="19"/>
  <c r="F59" i="19"/>
  <c r="F61" i="19"/>
  <c r="F63" i="19"/>
  <c r="F65" i="19"/>
  <c r="F67" i="19"/>
  <c r="F69" i="19"/>
  <c r="F71" i="19"/>
  <c r="F73" i="19"/>
  <c r="F75" i="19"/>
  <c r="F77" i="19"/>
  <c r="F79" i="19"/>
  <c r="F81" i="19"/>
  <c r="F83" i="19"/>
  <c r="F85" i="19"/>
  <c r="F87" i="19"/>
  <c r="F89" i="19"/>
  <c r="F91" i="19"/>
  <c r="F93" i="19"/>
  <c r="F5" i="19"/>
  <c r="AR21" i="19"/>
  <c r="F23" i="19"/>
  <c r="AR9" i="19"/>
  <c r="F11" i="19"/>
  <c r="D7" i="19"/>
  <c r="D13" i="19"/>
  <c r="AS15" i="19"/>
  <c r="D19" i="19"/>
  <c r="D25" i="19"/>
  <c r="D30" i="19"/>
  <c r="D32" i="19"/>
  <c r="D34" i="19"/>
  <c r="D36" i="19"/>
  <c r="D38" i="19"/>
  <c r="D40" i="19"/>
  <c r="D5" i="19"/>
  <c r="D17" i="19"/>
  <c r="D6" i="19"/>
  <c r="F17" i="19"/>
  <c r="F6" i="19"/>
  <c r="F12" i="19"/>
  <c r="F18" i="19"/>
  <c r="F24" i="19"/>
  <c r="D42" i="19"/>
  <c r="D44" i="19"/>
  <c r="D46" i="19"/>
  <c r="D48" i="19"/>
  <c r="D50" i="19"/>
  <c r="D52" i="19"/>
  <c r="D54" i="19"/>
  <c r="D56" i="19"/>
  <c r="D58" i="19"/>
  <c r="D60" i="19"/>
  <c r="D62" i="19"/>
  <c r="D64" i="19"/>
  <c r="D66" i="19"/>
  <c r="D68" i="19"/>
  <c r="D70" i="19"/>
  <c r="D72" i="19"/>
  <c r="D74" i="19"/>
  <c r="D76" i="19"/>
  <c r="D78" i="19"/>
  <c r="D80" i="19"/>
  <c r="D82" i="19"/>
  <c r="D84" i="19"/>
  <c r="D86" i="19"/>
  <c r="D88" i="19"/>
  <c r="D90" i="19"/>
  <c r="D92" i="19"/>
  <c r="D94" i="19"/>
  <c r="D14" i="19"/>
  <c r="D20" i="19"/>
  <c r="D28" i="19"/>
  <c r="D26" i="19"/>
  <c r="F7" i="19"/>
  <c r="F13" i="19"/>
  <c r="F19" i="19"/>
  <c r="F25" i="19"/>
  <c r="F30" i="19"/>
  <c r="F32" i="19"/>
  <c r="F34" i="19"/>
  <c r="F36" i="19"/>
  <c r="F38" i="19"/>
  <c r="F40" i="19"/>
  <c r="D9" i="19"/>
  <c r="D15" i="19"/>
  <c r="D21" i="19"/>
  <c r="D27" i="19"/>
  <c r="F42" i="19"/>
  <c r="F44" i="19"/>
  <c r="F46" i="19"/>
  <c r="F48" i="19"/>
  <c r="F50" i="19"/>
  <c r="F52" i="19"/>
  <c r="F54" i="19"/>
  <c r="F56" i="19"/>
  <c r="F58" i="19"/>
  <c r="F60" i="19"/>
  <c r="F62" i="19"/>
  <c r="F64" i="19"/>
  <c r="F66" i="19"/>
  <c r="F68" i="19"/>
  <c r="F70" i="19"/>
  <c r="F72" i="19"/>
  <c r="F74" i="19"/>
  <c r="F76" i="19"/>
  <c r="F78" i="19"/>
  <c r="F80" i="19"/>
  <c r="F82" i="19"/>
  <c r="F84" i="19"/>
  <c r="F86" i="19"/>
  <c r="F88" i="19"/>
  <c r="F90" i="19"/>
  <c r="F92" i="19"/>
  <c r="AH2" i="17"/>
  <c r="K2" i="17"/>
  <c r="AU29" i="19" l="1"/>
  <c r="AR29" i="19"/>
  <c r="D96" i="19"/>
  <c r="G3" i="14" a="1"/>
  <c r="G3" i="14" s="1"/>
  <c r="C18" i="17" a="1"/>
  <c r="C18" i="17" s="1"/>
  <c r="E94" i="17" a="1"/>
  <c r="E94" i="17" s="1"/>
  <c r="C94" i="17" a="1"/>
  <c r="C94" i="17" s="1"/>
  <c r="E93" i="17" a="1"/>
  <c r="E93" i="17" s="1"/>
  <c r="C93" i="17"/>
  <c r="C93" i="17" a="1"/>
  <c r="E92" i="17" a="1"/>
  <c r="E92" i="17" s="1"/>
  <c r="C92" i="17" a="1"/>
  <c r="C92" i="17" s="1"/>
  <c r="E91" i="17" a="1"/>
  <c r="E91" i="17" s="1"/>
  <c r="C91" i="17"/>
  <c r="C91" i="17" a="1"/>
  <c r="E90" i="17" a="1"/>
  <c r="E90" i="17" s="1"/>
  <c r="C90" i="17" a="1"/>
  <c r="C90" i="17" s="1"/>
  <c r="E89" i="17" a="1"/>
  <c r="E89" i="17" s="1"/>
  <c r="C89" i="17"/>
  <c r="C89" i="17" a="1"/>
  <c r="E88" i="17" a="1"/>
  <c r="E88" i="17" s="1"/>
  <c r="C88" i="17" a="1"/>
  <c r="C88" i="17" s="1"/>
  <c r="E87" i="17" a="1"/>
  <c r="E87" i="17" s="1"/>
  <c r="C87" i="17"/>
  <c r="C87" i="17" a="1"/>
  <c r="E86" i="17" a="1"/>
  <c r="E86" i="17" s="1"/>
  <c r="C86" i="17" a="1"/>
  <c r="C86" i="17" s="1"/>
  <c r="E85" i="17" a="1"/>
  <c r="E85" i="17" s="1"/>
  <c r="C85" i="17"/>
  <c r="C85" i="17" a="1"/>
  <c r="E84" i="17" a="1"/>
  <c r="E84" i="17" s="1"/>
  <c r="C84" i="17" a="1"/>
  <c r="C84" i="17" s="1"/>
  <c r="E83" i="17" a="1"/>
  <c r="E83" i="17" s="1"/>
  <c r="C83" i="17"/>
  <c r="C83" i="17" a="1"/>
  <c r="E82" i="17" a="1"/>
  <c r="E82" i="17" s="1"/>
  <c r="C82" i="17" a="1"/>
  <c r="C82" i="17" s="1"/>
  <c r="E81" i="17" a="1"/>
  <c r="E81" i="17" s="1"/>
  <c r="C81" i="17"/>
  <c r="C81" i="17" a="1"/>
  <c r="E80" i="17" a="1"/>
  <c r="E80" i="17" s="1"/>
  <c r="C80" i="17" a="1"/>
  <c r="C80" i="17" s="1"/>
  <c r="E79" i="17" a="1"/>
  <c r="E79" i="17" s="1"/>
  <c r="C79" i="17"/>
  <c r="C79" i="17" a="1"/>
  <c r="E78" i="17" a="1"/>
  <c r="E78" i="17" s="1"/>
  <c r="C78" i="17" a="1"/>
  <c r="C78" i="17" s="1"/>
  <c r="E77" i="17" a="1"/>
  <c r="E77" i="17" s="1"/>
  <c r="C77" i="17"/>
  <c r="C77" i="17" a="1"/>
  <c r="E76" i="17" a="1"/>
  <c r="E76" i="17" s="1"/>
  <c r="C76" i="17" a="1"/>
  <c r="C76" i="17" s="1"/>
  <c r="E75" i="17" a="1"/>
  <c r="E75" i="17" s="1"/>
  <c r="C75" i="17"/>
  <c r="C75" i="17" a="1"/>
  <c r="E74" i="17" a="1"/>
  <c r="E74" i="17" s="1"/>
  <c r="C74" i="17" a="1"/>
  <c r="C74" i="17" s="1"/>
  <c r="E73" i="17" a="1"/>
  <c r="E73" i="17" s="1"/>
  <c r="C73" i="17"/>
  <c r="C73" i="17" a="1"/>
  <c r="E72" i="17" a="1"/>
  <c r="E72" i="17" s="1"/>
  <c r="C72" i="17" a="1"/>
  <c r="C72" i="17" s="1"/>
  <c r="E71" i="17" a="1"/>
  <c r="E71" i="17" s="1"/>
  <c r="C71" i="17" a="1"/>
  <c r="C71" i="17" s="1"/>
  <c r="E70" i="17" a="1"/>
  <c r="E70" i="17" s="1"/>
  <c r="C70" i="17" a="1"/>
  <c r="C70" i="17" s="1"/>
  <c r="E69" i="17" a="1"/>
  <c r="E69" i="17" s="1"/>
  <c r="C69" i="17" a="1"/>
  <c r="C69" i="17" s="1"/>
  <c r="E68" i="17" a="1"/>
  <c r="E68" i="17" s="1"/>
  <c r="C68" i="17" a="1"/>
  <c r="C68" i="17" s="1"/>
  <c r="E67" i="17" a="1"/>
  <c r="E67" i="17" s="1"/>
  <c r="C67" i="17" a="1"/>
  <c r="C67" i="17" s="1"/>
  <c r="E66" i="17" a="1"/>
  <c r="E66" i="17" s="1"/>
  <c r="C66" i="17" a="1"/>
  <c r="C66" i="17" s="1"/>
  <c r="E65" i="17" a="1"/>
  <c r="E65" i="17" s="1"/>
  <c r="C65" i="17" a="1"/>
  <c r="C65" i="17" s="1"/>
  <c r="E64" i="17" a="1"/>
  <c r="E64" i="17" s="1"/>
  <c r="C64" i="17" a="1"/>
  <c r="C64" i="17" s="1"/>
  <c r="E63" i="17" a="1"/>
  <c r="E63" i="17" s="1"/>
  <c r="C63" i="17" a="1"/>
  <c r="C63" i="17" s="1"/>
  <c r="E62" i="17" a="1"/>
  <c r="E62" i="17" s="1"/>
  <c r="C62" i="17" a="1"/>
  <c r="C62" i="17" s="1"/>
  <c r="E61" i="17" a="1"/>
  <c r="E61" i="17" s="1"/>
  <c r="C61" i="17" a="1"/>
  <c r="C61" i="17" s="1"/>
  <c r="E60" i="17" a="1"/>
  <c r="E60" i="17" s="1"/>
  <c r="C60" i="17" a="1"/>
  <c r="C60" i="17" s="1"/>
  <c r="E59" i="17" a="1"/>
  <c r="E59" i="17" s="1"/>
  <c r="C59" i="17" a="1"/>
  <c r="C59" i="17" s="1"/>
  <c r="E58" i="17" a="1"/>
  <c r="E58" i="17" s="1"/>
  <c r="C58" i="17" a="1"/>
  <c r="C58" i="17" s="1"/>
  <c r="E57" i="17" a="1"/>
  <c r="E57" i="17" s="1"/>
  <c r="C57" i="17" a="1"/>
  <c r="C57" i="17" s="1"/>
  <c r="E56" i="17" a="1"/>
  <c r="E56" i="17" s="1"/>
  <c r="C56" i="17" a="1"/>
  <c r="C56" i="17" s="1"/>
  <c r="E55" i="17" a="1"/>
  <c r="E55" i="17" s="1"/>
  <c r="C55" i="17" a="1"/>
  <c r="C55" i="17" s="1"/>
  <c r="E54" i="17" a="1"/>
  <c r="E54" i="17" s="1"/>
  <c r="C54" i="17" a="1"/>
  <c r="C54" i="17" s="1"/>
  <c r="E53" i="17" a="1"/>
  <c r="E53" i="17" s="1"/>
  <c r="C53" i="17" a="1"/>
  <c r="C53" i="17" s="1"/>
  <c r="E52" i="17" a="1"/>
  <c r="E52" i="17" s="1"/>
  <c r="C52" i="17" a="1"/>
  <c r="C52" i="17" s="1"/>
  <c r="E51" i="17" a="1"/>
  <c r="E51" i="17" s="1"/>
  <c r="C51" i="17" a="1"/>
  <c r="C51" i="17" s="1"/>
  <c r="E50" i="17" a="1"/>
  <c r="E50" i="17" s="1"/>
  <c r="C50" i="17" a="1"/>
  <c r="C50" i="17" s="1"/>
  <c r="E49" i="17" a="1"/>
  <c r="E49" i="17" s="1"/>
  <c r="C49" i="17" a="1"/>
  <c r="C49" i="17" s="1"/>
  <c r="E48" i="17" a="1"/>
  <c r="E48" i="17" s="1"/>
  <c r="C48" i="17" a="1"/>
  <c r="C48" i="17" s="1"/>
  <c r="E47" i="17" a="1"/>
  <c r="E47" i="17" s="1"/>
  <c r="C47" i="17" a="1"/>
  <c r="C47" i="17" s="1"/>
  <c r="E46" i="17" a="1"/>
  <c r="E46" i="17" s="1"/>
  <c r="C46" i="17" a="1"/>
  <c r="C46" i="17" s="1"/>
  <c r="E45" i="17" a="1"/>
  <c r="E45" i="17" s="1"/>
  <c r="C45" i="17" a="1"/>
  <c r="C45" i="17" s="1"/>
  <c r="E44" i="17" a="1"/>
  <c r="E44" i="17" s="1"/>
  <c r="C44" i="17" a="1"/>
  <c r="C44" i="17" s="1"/>
  <c r="E43" i="17" a="1"/>
  <c r="E43" i="17" s="1"/>
  <c r="C43" i="17" a="1"/>
  <c r="C43" i="17" s="1"/>
  <c r="E42" i="17" a="1"/>
  <c r="E42" i="17" s="1"/>
  <c r="C42" i="17" a="1"/>
  <c r="C42" i="17" s="1"/>
  <c r="AO41" i="17"/>
  <c r="E41" i="17"/>
  <c r="E41" i="17" a="1"/>
  <c r="C41" i="17" a="1"/>
  <c r="C41" i="17" s="1"/>
  <c r="E40" i="17" a="1"/>
  <c r="E40" i="17" s="1"/>
  <c r="C40" i="17" a="1"/>
  <c r="C40" i="17" s="1"/>
  <c r="E39" i="17"/>
  <c r="E39" i="17" a="1"/>
  <c r="C39" i="17"/>
  <c r="C39" i="17" a="1"/>
  <c r="E38" i="17"/>
  <c r="E38" i="17" a="1"/>
  <c r="C38" i="17" a="1"/>
  <c r="C38" i="17" s="1"/>
  <c r="E37" i="17" a="1"/>
  <c r="E37" i="17" s="1"/>
  <c r="C37" i="17" a="1"/>
  <c r="C37" i="17" s="1"/>
  <c r="E36" i="17" a="1"/>
  <c r="E36" i="17" s="1"/>
  <c r="C36" i="17" a="1"/>
  <c r="C36" i="17" s="1"/>
  <c r="E35" i="17" a="1"/>
  <c r="E35" i="17" s="1"/>
  <c r="C35" i="17" a="1"/>
  <c r="C35" i="17" s="1"/>
  <c r="E34" i="17"/>
  <c r="E34" i="17" a="1"/>
  <c r="C34" i="17"/>
  <c r="C34" i="17" a="1"/>
  <c r="E33" i="17" a="1"/>
  <c r="E33" i="17" s="1"/>
  <c r="C33" i="17" a="1"/>
  <c r="C33" i="17" s="1"/>
  <c r="E32" i="17" a="1"/>
  <c r="E32" i="17" s="1"/>
  <c r="C32" i="17" a="1"/>
  <c r="C32" i="17" s="1"/>
  <c r="E31" i="17"/>
  <c r="E31" i="17" a="1"/>
  <c r="C31" i="17"/>
  <c r="C31" i="17" a="1"/>
  <c r="E30" i="17"/>
  <c r="E30" i="17" a="1"/>
  <c r="C30" i="17"/>
  <c r="C30" i="17" a="1"/>
  <c r="E29" i="17" a="1"/>
  <c r="E29" i="17" s="1"/>
  <c r="C29" i="17" a="1"/>
  <c r="C29" i="17" s="1"/>
  <c r="AY28" i="17"/>
  <c r="AQ28" i="17"/>
  <c r="AU28" i="17" s="1"/>
  <c r="AP28" i="17"/>
  <c r="AT28" i="17" s="1"/>
  <c r="AO28" i="17"/>
  <c r="AS28" i="17" s="1"/>
  <c r="E28" i="17"/>
  <c r="E28" i="17" a="1"/>
  <c r="C28" i="17"/>
  <c r="C28" i="17" a="1"/>
  <c r="AY27" i="17"/>
  <c r="AU27" i="17"/>
  <c r="AT27" i="17"/>
  <c r="AS27" i="17"/>
  <c r="E27" i="17" a="1"/>
  <c r="E27" i="17" s="1"/>
  <c r="C27" i="17" a="1"/>
  <c r="C27" i="17" s="1"/>
  <c r="AY26" i="17"/>
  <c r="AQ26" i="17"/>
  <c r="AU26" i="17" s="1"/>
  <c r="AP26" i="17"/>
  <c r="AT26" i="17" s="1"/>
  <c r="AO26" i="17"/>
  <c r="AS26" i="17" s="1"/>
  <c r="E26" i="17"/>
  <c r="E26" i="17" a="1"/>
  <c r="C26" i="17"/>
  <c r="C26" i="17" a="1"/>
  <c r="AY25" i="17"/>
  <c r="AQ25" i="17"/>
  <c r="AU25" i="17" s="1"/>
  <c r="AP25" i="17"/>
  <c r="AT25" i="17" s="1"/>
  <c r="AO25" i="17"/>
  <c r="AS25" i="17" s="1"/>
  <c r="E25" i="17" a="1"/>
  <c r="E25" i="17" s="1"/>
  <c r="C25" i="17" a="1"/>
  <c r="C25" i="17" s="1"/>
  <c r="AY24" i="17"/>
  <c r="AU24" i="17"/>
  <c r="AQ24" i="17"/>
  <c r="AP24" i="17"/>
  <c r="AT24" i="17" s="1"/>
  <c r="AO24" i="17"/>
  <c r="AS24" i="17" s="1"/>
  <c r="E24" i="17" a="1"/>
  <c r="E24" i="17" s="1"/>
  <c r="C24" i="17" a="1"/>
  <c r="C24" i="17" s="1"/>
  <c r="AY23" i="17"/>
  <c r="AQ23" i="17"/>
  <c r="AU23" i="17" s="1"/>
  <c r="AP23" i="17"/>
  <c r="AT23" i="17" s="1"/>
  <c r="AO23" i="17"/>
  <c r="AS23" i="17" s="1"/>
  <c r="E23" i="17"/>
  <c r="E23" i="17" a="1"/>
  <c r="C23" i="17" a="1"/>
  <c r="C23" i="17" s="1"/>
  <c r="AY22" i="17"/>
  <c r="AU22" i="17"/>
  <c r="AQ22" i="17"/>
  <c r="AP22" i="17"/>
  <c r="AT22" i="17" s="1"/>
  <c r="AO22" i="17"/>
  <c r="AS22" i="17" s="1"/>
  <c r="E22" i="17" a="1"/>
  <c r="E22" i="17" s="1"/>
  <c r="C22" i="17" a="1"/>
  <c r="C22" i="17" s="1"/>
  <c r="AY21" i="17"/>
  <c r="AU21" i="17"/>
  <c r="AQ21" i="17"/>
  <c r="AP21" i="17"/>
  <c r="AT21" i="17" s="1"/>
  <c r="AO21" i="17"/>
  <c r="E21" i="17" a="1"/>
  <c r="E21" i="17" s="1"/>
  <c r="C21" i="17" a="1"/>
  <c r="C21" i="17" s="1"/>
  <c r="AY20" i="17"/>
  <c r="AQ20" i="17"/>
  <c r="AU20" i="17" s="1"/>
  <c r="AP20" i="17"/>
  <c r="AT20" i="17" s="1"/>
  <c r="AO20" i="17"/>
  <c r="AS20" i="17" s="1"/>
  <c r="E20" i="17"/>
  <c r="E20" i="17" a="1"/>
  <c r="C20" i="17"/>
  <c r="C20" i="17" a="1"/>
  <c r="AY19" i="17"/>
  <c r="AQ19" i="17"/>
  <c r="AU19" i="17" s="1"/>
  <c r="AP19" i="17"/>
  <c r="AT19" i="17" s="1"/>
  <c r="AO19" i="17"/>
  <c r="AS19" i="17" s="1"/>
  <c r="E19" i="17"/>
  <c r="E19" i="17" a="1"/>
  <c r="C19" i="17"/>
  <c r="C19" i="17" a="1"/>
  <c r="AY18" i="17"/>
  <c r="AU18" i="17"/>
  <c r="AQ18" i="17"/>
  <c r="AP18" i="17"/>
  <c r="AT18" i="17" s="1"/>
  <c r="AO18" i="17"/>
  <c r="AS18" i="17" s="1"/>
  <c r="E18" i="17" a="1"/>
  <c r="E18" i="17" s="1"/>
  <c r="AY17" i="17"/>
  <c r="AQ17" i="17"/>
  <c r="AU17" i="17" s="1"/>
  <c r="AP17" i="17"/>
  <c r="AT17" i="17" s="1"/>
  <c r="AO17" i="17"/>
  <c r="E17" i="17"/>
  <c r="E17" i="17" a="1"/>
  <c r="C17" i="17" a="1"/>
  <c r="C17" i="17" s="1"/>
  <c r="AY16" i="17"/>
  <c r="AU16" i="17"/>
  <c r="AQ16" i="17"/>
  <c r="AP16" i="17"/>
  <c r="AT16" i="17" s="1"/>
  <c r="AO16" i="17"/>
  <c r="E16" i="17" a="1"/>
  <c r="E16" i="17" s="1"/>
  <c r="C16" i="17"/>
  <c r="C16" i="17" a="1"/>
  <c r="AY15" i="17"/>
  <c r="AU15" i="17"/>
  <c r="AQ15" i="17"/>
  <c r="AP15" i="17"/>
  <c r="AT15" i="17" s="1"/>
  <c r="AO15" i="17"/>
  <c r="AS15" i="17" s="1"/>
  <c r="E15" i="17" a="1"/>
  <c r="E15" i="17" s="1"/>
  <c r="C15" i="17" a="1"/>
  <c r="C15" i="17" s="1"/>
  <c r="AY14" i="17"/>
  <c r="AQ14" i="17"/>
  <c r="AU14" i="17" s="1"/>
  <c r="AP14" i="17"/>
  <c r="AT14" i="17" s="1"/>
  <c r="AO14" i="17"/>
  <c r="AS14" i="17" s="1"/>
  <c r="E14" i="17"/>
  <c r="E14" i="17" a="1"/>
  <c r="C14" i="17"/>
  <c r="C14" i="17" a="1"/>
  <c r="AY13" i="17"/>
  <c r="AQ13" i="17"/>
  <c r="AU13" i="17" s="1"/>
  <c r="AP13" i="17"/>
  <c r="AT13" i="17" s="1"/>
  <c r="AO13" i="17"/>
  <c r="AS13" i="17" s="1"/>
  <c r="E13" i="17"/>
  <c r="E13" i="17" a="1"/>
  <c r="C13" i="17"/>
  <c r="C13" i="17" a="1"/>
  <c r="AY12" i="17"/>
  <c r="AU12" i="17"/>
  <c r="AQ12" i="17"/>
  <c r="AP12" i="17"/>
  <c r="AT12" i="17" s="1"/>
  <c r="AO12" i="17"/>
  <c r="AS12" i="17" s="1"/>
  <c r="E12" i="17" a="1"/>
  <c r="E12" i="17" s="1"/>
  <c r="C12" i="17" a="1"/>
  <c r="C12" i="17" s="1"/>
  <c r="AY11" i="17"/>
  <c r="AQ11" i="17"/>
  <c r="AU11" i="17" s="1"/>
  <c r="AP11" i="17"/>
  <c r="AT11" i="17" s="1"/>
  <c r="AO11" i="17"/>
  <c r="E11" i="17" a="1"/>
  <c r="E11" i="17" s="1"/>
  <c r="C11" i="17" a="1"/>
  <c r="C11" i="17" s="1"/>
  <c r="AY10" i="17"/>
  <c r="AU10" i="17"/>
  <c r="AQ10" i="17"/>
  <c r="AP10" i="17"/>
  <c r="AT10" i="17" s="1"/>
  <c r="AO10" i="17"/>
  <c r="E10" i="17" a="1"/>
  <c r="E10" i="17" s="1"/>
  <c r="C10" i="17" a="1"/>
  <c r="C10" i="17" s="1"/>
  <c r="AY9" i="17"/>
  <c r="AQ9" i="17"/>
  <c r="AU9" i="17" s="1"/>
  <c r="AP9" i="17"/>
  <c r="AT9" i="17" s="1"/>
  <c r="AO9" i="17"/>
  <c r="E9" i="17" a="1"/>
  <c r="E9" i="17" s="1"/>
  <c r="C9" i="17" a="1"/>
  <c r="C9" i="17" s="1"/>
  <c r="AY8" i="17"/>
  <c r="AQ8" i="17"/>
  <c r="AU8" i="17" s="1"/>
  <c r="AP8" i="17"/>
  <c r="AT8" i="17" s="1"/>
  <c r="AO8" i="17"/>
  <c r="AS8" i="17" s="1"/>
  <c r="E8" i="17"/>
  <c r="E8" i="17" a="1"/>
  <c r="C8" i="17" a="1"/>
  <c r="C8" i="17" s="1"/>
  <c r="AY7" i="17"/>
  <c r="AQ7" i="17"/>
  <c r="AU7" i="17" s="1"/>
  <c r="AP7" i="17"/>
  <c r="AT7" i="17" s="1"/>
  <c r="AO7" i="17"/>
  <c r="AS7" i="17" s="1"/>
  <c r="E7" i="17"/>
  <c r="E7" i="17" a="1"/>
  <c r="C7" i="17" a="1"/>
  <c r="C7" i="17" s="1"/>
  <c r="AY6" i="17"/>
  <c r="AU6" i="17"/>
  <c r="AQ6" i="17"/>
  <c r="AP6" i="17"/>
  <c r="AT6" i="17" s="1"/>
  <c r="AO6" i="17"/>
  <c r="AS6" i="17" s="1"/>
  <c r="E6" i="17" a="1"/>
  <c r="E6" i="17" s="1"/>
  <c r="C6" i="17" a="1"/>
  <c r="C6" i="17" s="1"/>
  <c r="AY5" i="17"/>
  <c r="AQ5" i="17"/>
  <c r="AU5" i="17" s="1"/>
  <c r="AP5" i="17"/>
  <c r="AT5" i="17" s="1"/>
  <c r="AO5" i="17"/>
  <c r="E5" i="17"/>
  <c r="E5" i="17" a="1"/>
  <c r="C5" i="17" a="1"/>
  <c r="C5" i="17" s="1"/>
  <c r="AY4" i="17"/>
  <c r="AU4" i="17"/>
  <c r="AQ4" i="17"/>
  <c r="AP4" i="17"/>
  <c r="AT4" i="17" s="1"/>
  <c r="AO4" i="17"/>
  <c r="E4" i="17" a="1"/>
  <c r="E4" i="17" s="1"/>
  <c r="C4" i="17"/>
  <c r="C4" i="17" a="1"/>
  <c r="AI2" i="17"/>
  <c r="AG2" i="17"/>
  <c r="AF2" i="17"/>
  <c r="AA2" i="17"/>
  <c r="S2" i="17"/>
  <c r="A1" i="17"/>
  <c r="E23" i="13" a="1"/>
  <c r="E23" i="13" s="1"/>
  <c r="E24" i="13" a="1"/>
  <c r="E24" i="13" s="1"/>
  <c r="E25" i="13" a="1"/>
  <c r="E25" i="13" s="1"/>
  <c r="E26" i="13" a="1"/>
  <c r="E26" i="13" s="1"/>
  <c r="E27" i="13" a="1"/>
  <c r="E27" i="13" s="1"/>
  <c r="E28" i="13" a="1"/>
  <c r="E28" i="13" s="1"/>
  <c r="E29" i="13" a="1"/>
  <c r="E29" i="13" s="1"/>
  <c r="E30" i="13" a="1"/>
  <c r="E30" i="13" s="1"/>
  <c r="E31" i="13" a="1"/>
  <c r="E31" i="13" s="1"/>
  <c r="E32" i="13" a="1"/>
  <c r="E32" i="13" s="1"/>
  <c r="E33" i="13" a="1"/>
  <c r="E33" i="13" s="1"/>
  <c r="E34" i="13" a="1"/>
  <c r="E34" i="13" s="1"/>
  <c r="E35" i="13" a="1"/>
  <c r="E35" i="13" s="1"/>
  <c r="E36" i="13" a="1"/>
  <c r="E36" i="13" s="1"/>
  <c r="E37" i="13" a="1"/>
  <c r="E37" i="13" s="1"/>
  <c r="E38" i="13" a="1"/>
  <c r="E38" i="13" s="1"/>
  <c r="E39" i="13" a="1"/>
  <c r="E39" i="13" s="1"/>
  <c r="E40" i="13" a="1"/>
  <c r="E40" i="13" s="1"/>
  <c r="E41" i="13" a="1"/>
  <c r="E41" i="13" s="1"/>
  <c r="E42" i="13" a="1"/>
  <c r="E42" i="13" s="1"/>
  <c r="E43" i="13" a="1"/>
  <c r="E43" i="13" s="1"/>
  <c r="E44" i="13" a="1"/>
  <c r="E44" i="13" s="1"/>
  <c r="E45" i="13" a="1"/>
  <c r="E45" i="13" s="1"/>
  <c r="E46" i="13" a="1"/>
  <c r="E46" i="13" s="1"/>
  <c r="E47" i="13" a="1"/>
  <c r="E47" i="13" s="1"/>
  <c r="E48" i="13" a="1"/>
  <c r="E48" i="13" s="1"/>
  <c r="E49" i="13" a="1"/>
  <c r="E49" i="13" s="1"/>
  <c r="E50" i="13" a="1"/>
  <c r="E50" i="13" s="1"/>
  <c r="E51" i="13" a="1"/>
  <c r="E51" i="13" s="1"/>
  <c r="E52" i="13" a="1"/>
  <c r="E52" i="13" s="1"/>
  <c r="E53" i="13" a="1"/>
  <c r="E53" i="13" s="1"/>
  <c r="E54" i="13" a="1"/>
  <c r="E54" i="13" s="1"/>
  <c r="E55" i="13" a="1"/>
  <c r="E55" i="13" s="1"/>
  <c r="E56" i="13" a="1"/>
  <c r="E56" i="13" s="1"/>
  <c r="E57" i="13" a="1"/>
  <c r="E57" i="13" s="1"/>
  <c r="E58" i="13" a="1"/>
  <c r="E58" i="13" s="1"/>
  <c r="E59" i="13" a="1"/>
  <c r="E59" i="13" s="1"/>
  <c r="E60" i="13" a="1"/>
  <c r="E60" i="13" s="1"/>
  <c r="E61" i="13" a="1"/>
  <c r="E61" i="13" s="1"/>
  <c r="E62" i="13" a="1"/>
  <c r="E62" i="13" s="1"/>
  <c r="E63" i="13" a="1"/>
  <c r="E63" i="13" s="1"/>
  <c r="E64" i="13" a="1"/>
  <c r="E64" i="13" s="1"/>
  <c r="E65" i="13" a="1"/>
  <c r="E65" i="13" s="1"/>
  <c r="E66" i="13" a="1"/>
  <c r="E66" i="13" s="1"/>
  <c r="E67" i="13" a="1"/>
  <c r="E67" i="13" s="1"/>
  <c r="E68" i="13" a="1"/>
  <c r="E68" i="13" s="1"/>
  <c r="E69" i="13" a="1"/>
  <c r="E69" i="13" s="1"/>
  <c r="E70" i="13" a="1"/>
  <c r="E70" i="13" s="1"/>
  <c r="E71" i="13" a="1"/>
  <c r="E71" i="13" s="1"/>
  <c r="E72" i="13" a="1"/>
  <c r="E72" i="13" s="1"/>
  <c r="E73" i="13" a="1"/>
  <c r="E73" i="13" s="1"/>
  <c r="E74" i="13" a="1"/>
  <c r="E74" i="13" s="1"/>
  <c r="E75" i="13" a="1"/>
  <c r="E75" i="13" s="1"/>
  <c r="E76" i="13" a="1"/>
  <c r="E76" i="13" s="1"/>
  <c r="E77" i="13" a="1"/>
  <c r="E77" i="13" s="1"/>
  <c r="E78" i="13" a="1"/>
  <c r="E78" i="13" s="1"/>
  <c r="E79" i="13" a="1"/>
  <c r="E79" i="13" s="1"/>
  <c r="E80" i="13" a="1"/>
  <c r="E80" i="13" s="1"/>
  <c r="E81" i="13" a="1"/>
  <c r="E81" i="13" s="1"/>
  <c r="E82" i="13" a="1"/>
  <c r="E82" i="13" s="1"/>
  <c r="E83" i="13" a="1"/>
  <c r="E83" i="13" s="1"/>
  <c r="E84" i="13" a="1"/>
  <c r="E84" i="13" s="1"/>
  <c r="E85" i="13" a="1"/>
  <c r="E85" i="13" s="1"/>
  <c r="E86" i="13" a="1"/>
  <c r="E86" i="13" s="1"/>
  <c r="E87" i="13" a="1"/>
  <c r="E87" i="13" s="1"/>
  <c r="E88" i="13" a="1"/>
  <c r="E88" i="13" s="1"/>
  <c r="E89" i="13" a="1"/>
  <c r="E89" i="13" s="1"/>
  <c r="E90" i="13" a="1"/>
  <c r="E90" i="13" s="1"/>
  <c r="E91" i="13" a="1"/>
  <c r="E91" i="13" s="1"/>
  <c r="E92" i="13" a="1"/>
  <c r="E92" i="13" s="1"/>
  <c r="E93" i="13" a="1"/>
  <c r="E93" i="13" s="1"/>
  <c r="E94" i="13" a="1"/>
  <c r="E94" i="13" s="1"/>
  <c r="C87" i="16" a="1"/>
  <c r="C87" i="16" s="1"/>
  <c r="E87" i="16" a="1"/>
  <c r="E87" i="16" s="1"/>
  <c r="E32" i="16" a="1"/>
  <c r="E32" i="16" s="1"/>
  <c r="E33" i="16" a="1"/>
  <c r="E33" i="16" s="1"/>
  <c r="E34" i="16" a="1"/>
  <c r="E34" i="16" s="1"/>
  <c r="E35" i="16" a="1"/>
  <c r="E35" i="16" s="1"/>
  <c r="E36" i="16" a="1"/>
  <c r="E36" i="16" s="1"/>
  <c r="E37" i="16" a="1"/>
  <c r="E37" i="16" s="1"/>
  <c r="E38" i="16" a="1"/>
  <c r="E38" i="16" s="1"/>
  <c r="E39" i="16" a="1"/>
  <c r="E39" i="16" s="1"/>
  <c r="E40" i="16" a="1"/>
  <c r="E40" i="16" s="1"/>
  <c r="E41" i="16" a="1"/>
  <c r="E41" i="16" s="1"/>
  <c r="E42" i="16" a="1"/>
  <c r="E42" i="16" s="1"/>
  <c r="E43" i="16" a="1"/>
  <c r="E43" i="16" s="1"/>
  <c r="E44" i="16" a="1"/>
  <c r="E44" i="16" s="1"/>
  <c r="E45" i="16" a="1"/>
  <c r="E45" i="16" s="1"/>
  <c r="E46" i="16" a="1"/>
  <c r="E46" i="16" s="1"/>
  <c r="E47" i="16" a="1"/>
  <c r="E47" i="16" s="1"/>
  <c r="E48" i="16" a="1"/>
  <c r="E48" i="16" s="1"/>
  <c r="E49" i="16" a="1"/>
  <c r="E49" i="16" s="1"/>
  <c r="E50" i="16" a="1"/>
  <c r="E50" i="16" s="1"/>
  <c r="E51" i="16" a="1"/>
  <c r="E51" i="16" s="1"/>
  <c r="E52" i="16" a="1"/>
  <c r="E52" i="16" s="1"/>
  <c r="E53" i="16" a="1"/>
  <c r="E53" i="16" s="1"/>
  <c r="E54" i="16" a="1"/>
  <c r="E54" i="16" s="1"/>
  <c r="E55" i="16" a="1"/>
  <c r="E55" i="16" s="1"/>
  <c r="E56" i="16" a="1"/>
  <c r="E56" i="16" s="1"/>
  <c r="E57" i="16" a="1"/>
  <c r="E57" i="16" s="1"/>
  <c r="E58" i="16" a="1"/>
  <c r="E58" i="16" s="1"/>
  <c r="E59" i="16" a="1"/>
  <c r="E59" i="16" s="1"/>
  <c r="E60" i="16" a="1"/>
  <c r="E60" i="16" s="1"/>
  <c r="E61" i="16" a="1"/>
  <c r="E61" i="16" s="1"/>
  <c r="E62" i="16" a="1"/>
  <c r="E62" i="16" s="1"/>
  <c r="E63" i="16" a="1"/>
  <c r="E63" i="16" s="1"/>
  <c r="E64" i="16" a="1"/>
  <c r="E64" i="16" s="1"/>
  <c r="E65" i="16" a="1"/>
  <c r="E65" i="16" s="1"/>
  <c r="E66" i="16" a="1"/>
  <c r="E66" i="16" s="1"/>
  <c r="E67" i="16" a="1"/>
  <c r="E67" i="16" s="1"/>
  <c r="E68" i="16" a="1"/>
  <c r="E68" i="16" s="1"/>
  <c r="E69" i="16" a="1"/>
  <c r="E69" i="16" s="1"/>
  <c r="E70" i="16" a="1"/>
  <c r="E70" i="16" s="1"/>
  <c r="E71" i="16" a="1"/>
  <c r="E71" i="16" s="1"/>
  <c r="E72" i="16" a="1"/>
  <c r="E72" i="16" s="1"/>
  <c r="E73" i="16" a="1"/>
  <c r="E73" i="16" s="1"/>
  <c r="E74" i="16" a="1"/>
  <c r="E74" i="16" s="1"/>
  <c r="E75" i="16" a="1"/>
  <c r="E75" i="16" s="1"/>
  <c r="E76" i="16" a="1"/>
  <c r="E76" i="16" s="1"/>
  <c r="E77" i="16" a="1"/>
  <c r="E77" i="16" s="1"/>
  <c r="E78" i="16" a="1"/>
  <c r="E78" i="16" s="1"/>
  <c r="E79" i="16" a="1"/>
  <c r="E79" i="16" s="1"/>
  <c r="E80" i="16" a="1"/>
  <c r="E80" i="16" s="1"/>
  <c r="E81" i="16" a="1"/>
  <c r="E81" i="16" s="1"/>
  <c r="E82" i="16" a="1"/>
  <c r="E82" i="16" s="1"/>
  <c r="E83" i="16" a="1"/>
  <c r="E83" i="16" s="1"/>
  <c r="E84" i="16" a="1"/>
  <c r="E84" i="16" s="1"/>
  <c r="E85" i="16" a="1"/>
  <c r="E85" i="16" s="1"/>
  <c r="E86" i="16" a="1"/>
  <c r="E86" i="16" s="1"/>
  <c r="E88" i="16" a="1"/>
  <c r="E88" i="16" s="1"/>
  <c r="E89" i="16" a="1"/>
  <c r="E89" i="16" s="1"/>
  <c r="E90" i="16" a="1"/>
  <c r="E90" i="16" s="1"/>
  <c r="E91" i="16" a="1"/>
  <c r="E91" i="16" s="1"/>
  <c r="E92" i="16" a="1"/>
  <c r="E92" i="16" s="1"/>
  <c r="E93" i="16" a="1"/>
  <c r="E93" i="16" s="1"/>
  <c r="E94" i="16" a="1"/>
  <c r="E94" i="16" s="1"/>
  <c r="C32" i="16" a="1"/>
  <c r="C32" i="16" s="1"/>
  <c r="C33" i="16" a="1"/>
  <c r="C33" i="16" s="1"/>
  <c r="C34" i="16" a="1"/>
  <c r="C34" i="16" s="1"/>
  <c r="C35" i="16" a="1"/>
  <c r="C35" i="16" s="1"/>
  <c r="C36" i="16" a="1"/>
  <c r="C36" i="16" s="1"/>
  <c r="C37" i="16" a="1"/>
  <c r="C37" i="16" s="1"/>
  <c r="C38" i="16" a="1"/>
  <c r="C38" i="16" s="1"/>
  <c r="C39" i="16" a="1"/>
  <c r="C39" i="16" s="1"/>
  <c r="C40" i="16" a="1"/>
  <c r="C40" i="16" s="1"/>
  <c r="C41" i="16" a="1"/>
  <c r="C41" i="16" s="1"/>
  <c r="C42" i="16" a="1"/>
  <c r="C42" i="16" s="1"/>
  <c r="C43" i="16" a="1"/>
  <c r="C43" i="16" s="1"/>
  <c r="C44" i="16" a="1"/>
  <c r="C44" i="16" s="1"/>
  <c r="C45" i="16" a="1"/>
  <c r="C45" i="16" s="1"/>
  <c r="C46" i="16" a="1"/>
  <c r="C46" i="16" s="1"/>
  <c r="C47" i="16" a="1"/>
  <c r="C47" i="16" s="1"/>
  <c r="C48" i="16" a="1"/>
  <c r="C48" i="16" s="1"/>
  <c r="C49" i="16" a="1"/>
  <c r="C49" i="16" s="1"/>
  <c r="C50" i="16" a="1"/>
  <c r="C50" i="16" s="1"/>
  <c r="C51" i="16" a="1"/>
  <c r="C51" i="16" s="1"/>
  <c r="C52" i="16" a="1"/>
  <c r="C52" i="16" s="1"/>
  <c r="C53" i="16" a="1"/>
  <c r="C53" i="16" s="1"/>
  <c r="C54" i="16" a="1"/>
  <c r="C54" i="16" s="1"/>
  <c r="C55" i="16" a="1"/>
  <c r="C55" i="16" s="1"/>
  <c r="C56" i="16" a="1"/>
  <c r="C56" i="16" s="1"/>
  <c r="C57" i="16" a="1"/>
  <c r="C57" i="16" s="1"/>
  <c r="C58" i="16" a="1"/>
  <c r="C58" i="16" s="1"/>
  <c r="C59" i="16" a="1"/>
  <c r="C59" i="16" s="1"/>
  <c r="C60" i="16" a="1"/>
  <c r="C60" i="16" s="1"/>
  <c r="C61" i="16" a="1"/>
  <c r="C61" i="16" s="1"/>
  <c r="C62" i="16" a="1"/>
  <c r="C62" i="16" s="1"/>
  <c r="C63" i="16" a="1"/>
  <c r="C63" i="16" s="1"/>
  <c r="C64" i="16" a="1"/>
  <c r="C64" i="16" s="1"/>
  <c r="C65" i="16" a="1"/>
  <c r="C65" i="16" s="1"/>
  <c r="C66" i="16" a="1"/>
  <c r="C66" i="16" s="1"/>
  <c r="C67" i="16" a="1"/>
  <c r="C67" i="16" s="1"/>
  <c r="C68" i="16" a="1"/>
  <c r="C68" i="16" s="1"/>
  <c r="C69" i="16" a="1"/>
  <c r="C69" i="16" s="1"/>
  <c r="C70" i="16" a="1"/>
  <c r="C70" i="16" s="1"/>
  <c r="C71" i="16" a="1"/>
  <c r="C71" i="16" s="1"/>
  <c r="C72" i="16" a="1"/>
  <c r="C72" i="16" s="1"/>
  <c r="C73" i="16" a="1"/>
  <c r="C73" i="16" s="1"/>
  <c r="C74" i="16" a="1"/>
  <c r="C74" i="16" s="1"/>
  <c r="C75" i="16" a="1"/>
  <c r="C75" i="16" s="1"/>
  <c r="C76" i="16" a="1"/>
  <c r="C76" i="16" s="1"/>
  <c r="C77" i="16" a="1"/>
  <c r="C77" i="16" s="1"/>
  <c r="C78" i="16" a="1"/>
  <c r="C78" i="16" s="1"/>
  <c r="C79" i="16" a="1"/>
  <c r="C79" i="16" s="1"/>
  <c r="C80" i="16" a="1"/>
  <c r="C80" i="16" s="1"/>
  <c r="C81" i="16" a="1"/>
  <c r="C81" i="16" s="1"/>
  <c r="C82" i="16" a="1"/>
  <c r="C82" i="16" s="1"/>
  <c r="C83" i="16" a="1"/>
  <c r="C83" i="16" s="1"/>
  <c r="C84" i="16" a="1"/>
  <c r="C84" i="16" s="1"/>
  <c r="C85" i="16" a="1"/>
  <c r="C85" i="16" s="1"/>
  <c r="C86" i="16" a="1"/>
  <c r="C86" i="16" s="1"/>
  <c r="C88" i="16" a="1"/>
  <c r="C88" i="16" s="1"/>
  <c r="C89" i="16" a="1"/>
  <c r="C89" i="16" s="1"/>
  <c r="C90" i="16" a="1"/>
  <c r="C90" i="16" s="1"/>
  <c r="C91" i="16" a="1"/>
  <c r="C91" i="16" s="1"/>
  <c r="C92" i="16" a="1"/>
  <c r="C92" i="16" s="1"/>
  <c r="C93" i="16" a="1"/>
  <c r="C93" i="16" s="1"/>
  <c r="C94" i="16" a="1"/>
  <c r="C94" i="16" s="1"/>
  <c r="AR9" i="17" l="1"/>
  <c r="AR11" i="17"/>
  <c r="AR17" i="17"/>
  <c r="AR16" i="17"/>
  <c r="AR5" i="17"/>
  <c r="AR10" i="17"/>
  <c r="AR21" i="17"/>
  <c r="AR4" i="17"/>
  <c r="AS5" i="17"/>
  <c r="AR23" i="17"/>
  <c r="AR12" i="17"/>
  <c r="AS16" i="17"/>
  <c r="AS11" i="17"/>
  <c r="AS4" i="17"/>
  <c r="AR18" i="17"/>
  <c r="AS10" i="17"/>
  <c r="AS17" i="17"/>
  <c r="AR6" i="17"/>
  <c r="AR24" i="17"/>
  <c r="D29" i="17"/>
  <c r="F28" i="17"/>
  <c r="F26" i="17"/>
  <c r="F94" i="17"/>
  <c r="F92" i="17"/>
  <c r="F90" i="17"/>
  <c r="F88" i="17"/>
  <c r="F86" i="17"/>
  <c r="F84" i="17"/>
  <c r="F82" i="17"/>
  <c r="F80" i="17"/>
  <c r="F78" i="17"/>
  <c r="F76" i="17"/>
  <c r="F74" i="17"/>
  <c r="F72" i="17"/>
  <c r="F70" i="17"/>
  <c r="F68" i="17"/>
  <c r="F66" i="17"/>
  <c r="F64" i="17"/>
  <c r="F62" i="17"/>
  <c r="F60" i="17"/>
  <c r="F58" i="17"/>
  <c r="F56" i="17"/>
  <c r="F54" i="17"/>
  <c r="F52" i="17"/>
  <c r="F50" i="17"/>
  <c r="F48" i="17"/>
  <c r="F46" i="17"/>
  <c r="F44" i="17"/>
  <c r="F42" i="17"/>
  <c r="F40" i="17"/>
  <c r="F38" i="17"/>
  <c r="F36" i="17"/>
  <c r="F34" i="17"/>
  <c r="F32" i="17"/>
  <c r="F30" i="17"/>
  <c r="F25" i="17"/>
  <c r="F19" i="17"/>
  <c r="F13" i="17"/>
  <c r="F7" i="17"/>
  <c r="F24" i="17"/>
  <c r="F18" i="17"/>
  <c r="F12" i="17"/>
  <c r="F6" i="17"/>
  <c r="F11" i="17"/>
  <c r="F20" i="17"/>
  <c r="F14" i="17"/>
  <c r="F5" i="17"/>
  <c r="F23" i="17"/>
  <c r="F17" i="17"/>
  <c r="F93" i="17"/>
  <c r="F91" i="17"/>
  <c r="F89" i="17"/>
  <c r="F87" i="17"/>
  <c r="F85" i="17"/>
  <c r="F83" i="17"/>
  <c r="F81" i="17"/>
  <c r="F79" i="17"/>
  <c r="F77" i="17"/>
  <c r="F75" i="17"/>
  <c r="F73" i="17"/>
  <c r="F71" i="17"/>
  <c r="F69" i="17"/>
  <c r="F67" i="17"/>
  <c r="F65" i="17"/>
  <c r="F63" i="17"/>
  <c r="F61" i="17"/>
  <c r="F59" i="17"/>
  <c r="F57" i="17"/>
  <c r="F55" i="17"/>
  <c r="F53" i="17"/>
  <c r="F51" i="17"/>
  <c r="F49" i="17"/>
  <c r="F47" i="17"/>
  <c r="F45" i="17"/>
  <c r="F43" i="17"/>
  <c r="F41" i="17"/>
  <c r="F39" i="17"/>
  <c r="F37" i="17"/>
  <c r="F35" i="17"/>
  <c r="F33" i="17"/>
  <c r="F31" i="17"/>
  <c r="F22" i="17"/>
  <c r="F16" i="17"/>
  <c r="F10" i="17"/>
  <c r="F4" i="17"/>
  <c r="E2" i="17"/>
  <c r="F29" i="17"/>
  <c r="F27" i="17"/>
  <c r="F21" i="17"/>
  <c r="F15" i="17"/>
  <c r="F9" i="17"/>
  <c r="F8" i="17"/>
  <c r="D16" i="17"/>
  <c r="D22" i="17"/>
  <c r="D31" i="17"/>
  <c r="D33" i="17"/>
  <c r="D35" i="17"/>
  <c r="D37" i="17"/>
  <c r="D39" i="17"/>
  <c r="D41" i="17"/>
  <c r="AR7" i="17"/>
  <c r="AR13" i="17"/>
  <c r="AR19" i="17"/>
  <c r="AR25" i="17"/>
  <c r="D43" i="17"/>
  <c r="D45" i="17"/>
  <c r="D47" i="17"/>
  <c r="D49" i="17"/>
  <c r="D51" i="17"/>
  <c r="D53" i="17"/>
  <c r="D55" i="17"/>
  <c r="D57" i="17"/>
  <c r="D59" i="17"/>
  <c r="D61" i="17"/>
  <c r="D63" i="17"/>
  <c r="D65" i="17"/>
  <c r="D67" i="17"/>
  <c r="D69" i="17"/>
  <c r="D71" i="17"/>
  <c r="D73" i="17"/>
  <c r="D75" i="17"/>
  <c r="D77" i="17"/>
  <c r="D79" i="17"/>
  <c r="D81" i="17"/>
  <c r="D83" i="17"/>
  <c r="D85" i="17"/>
  <c r="D87" i="17"/>
  <c r="D89" i="17"/>
  <c r="D91" i="17"/>
  <c r="D93" i="17"/>
  <c r="D5" i="17"/>
  <c r="D23" i="17"/>
  <c r="D11" i="17"/>
  <c r="D17" i="17"/>
  <c r="AR8" i="17"/>
  <c r="AR14" i="17"/>
  <c r="AR20" i="17"/>
  <c r="AR26" i="17"/>
  <c r="AR28" i="17"/>
  <c r="D12" i="17"/>
  <c r="D18" i="17"/>
  <c r="D24" i="17"/>
  <c r="AR15" i="17"/>
  <c r="D10" i="17"/>
  <c r="D7" i="17"/>
  <c r="AS9" i="17"/>
  <c r="D13" i="17"/>
  <c r="D19" i="17"/>
  <c r="AS21" i="17"/>
  <c r="D25" i="17"/>
  <c r="D30" i="17"/>
  <c r="D32" i="17"/>
  <c r="D34" i="17"/>
  <c r="D36" i="17"/>
  <c r="D38" i="17"/>
  <c r="D40" i="17"/>
  <c r="D6" i="17"/>
  <c r="AR22" i="17"/>
  <c r="D42" i="17"/>
  <c r="D44" i="17"/>
  <c r="D46" i="17"/>
  <c r="D48" i="17"/>
  <c r="D50" i="17"/>
  <c r="D52" i="17"/>
  <c r="D54" i="17"/>
  <c r="D56" i="17"/>
  <c r="D58" i="17"/>
  <c r="D60" i="17"/>
  <c r="D62" i="17"/>
  <c r="D64" i="17"/>
  <c r="D66" i="17"/>
  <c r="D68" i="17"/>
  <c r="D70" i="17"/>
  <c r="D72" i="17"/>
  <c r="D74" i="17"/>
  <c r="D76" i="17"/>
  <c r="D78" i="17"/>
  <c r="D80" i="17"/>
  <c r="D82" i="17"/>
  <c r="D84" i="17"/>
  <c r="D86" i="17"/>
  <c r="D88" i="17"/>
  <c r="D90" i="17"/>
  <c r="D92" i="17"/>
  <c r="D94" i="17"/>
  <c r="D8" i="17"/>
  <c r="D14" i="17"/>
  <c r="D26" i="17"/>
  <c r="D20" i="17"/>
  <c r="D28" i="17"/>
  <c r="D4" i="17"/>
  <c r="D9" i="17"/>
  <c r="D15" i="17"/>
  <c r="D21" i="17"/>
  <c r="D27" i="17"/>
  <c r="D87" i="16"/>
  <c r="AU29" i="17" l="1"/>
  <c r="D96" i="17"/>
  <c r="AR29" i="17"/>
  <c r="C18" i="16" l="1" a="1"/>
  <c r="C18" i="16" s="1"/>
  <c r="G4" i="14" l="1" a="1"/>
  <c r="G4" i="14" s="1"/>
  <c r="G6" i="14" s="1"/>
  <c r="C20" i="13" a="1"/>
  <c r="C20" i="13" s="1"/>
  <c r="AO41" i="13" l="1"/>
  <c r="AO41" i="16" l="1"/>
  <c r="E31" i="16" a="1"/>
  <c r="E31" i="16" s="1"/>
  <c r="C31" i="16" a="1"/>
  <c r="C31" i="16" s="1"/>
  <c r="E30" i="16" a="1"/>
  <c r="E30" i="16" s="1"/>
  <c r="C30" i="16" a="1"/>
  <c r="C30" i="16" s="1"/>
  <c r="E29" i="16" a="1"/>
  <c r="E29" i="16" s="1"/>
  <c r="C29" i="16" a="1"/>
  <c r="C29" i="16" s="1"/>
  <c r="AY28" i="16"/>
  <c r="AQ28" i="16"/>
  <c r="AU28" i="16" s="1"/>
  <c r="AP28" i="16"/>
  <c r="AT28" i="16" s="1"/>
  <c r="AO28" i="16"/>
  <c r="E28" i="16" a="1"/>
  <c r="E28" i="16" s="1"/>
  <c r="C28" i="16" a="1"/>
  <c r="C28" i="16" s="1"/>
  <c r="AY27" i="16"/>
  <c r="AU27" i="16"/>
  <c r="AT27" i="16"/>
  <c r="AS27" i="16"/>
  <c r="E27" i="16" a="1"/>
  <c r="E27" i="16" s="1"/>
  <c r="C27" i="16" a="1"/>
  <c r="C27" i="16" s="1"/>
  <c r="AY26" i="16"/>
  <c r="AQ26" i="16"/>
  <c r="AU26" i="16" s="1"/>
  <c r="AP26" i="16"/>
  <c r="AT26" i="16" s="1"/>
  <c r="AO26" i="16"/>
  <c r="E26" i="16" a="1"/>
  <c r="E26" i="16" s="1"/>
  <c r="C26" i="16" a="1"/>
  <c r="C26" i="16" s="1"/>
  <c r="AY25" i="16"/>
  <c r="AQ25" i="16"/>
  <c r="AU25" i="16" s="1"/>
  <c r="AP25" i="16"/>
  <c r="AT25" i="16" s="1"/>
  <c r="AO25" i="16"/>
  <c r="AS25" i="16" s="1"/>
  <c r="E25" i="16" a="1"/>
  <c r="E25" i="16" s="1"/>
  <c r="C25" i="16" a="1"/>
  <c r="C25" i="16" s="1"/>
  <c r="AY24" i="16"/>
  <c r="AQ24" i="16"/>
  <c r="AU24" i="16" s="1"/>
  <c r="AP24" i="16"/>
  <c r="AT24" i="16" s="1"/>
  <c r="AO24" i="16"/>
  <c r="AS24" i="16" s="1"/>
  <c r="E24" i="16" a="1"/>
  <c r="E24" i="16" s="1"/>
  <c r="C24" i="16" a="1"/>
  <c r="C24" i="16" s="1"/>
  <c r="AY23" i="16"/>
  <c r="AQ23" i="16"/>
  <c r="AU23" i="16" s="1"/>
  <c r="AP23" i="16"/>
  <c r="AT23" i="16" s="1"/>
  <c r="AO23" i="16"/>
  <c r="AS23" i="16" s="1"/>
  <c r="E23" i="16" a="1"/>
  <c r="E23" i="16" s="1"/>
  <c r="C23" i="16" a="1"/>
  <c r="C23" i="16" s="1"/>
  <c r="AY22" i="16"/>
  <c r="AQ22" i="16"/>
  <c r="AU22" i="16" s="1"/>
  <c r="AP22" i="16"/>
  <c r="AT22" i="16" s="1"/>
  <c r="AO22" i="16"/>
  <c r="E22" i="16" a="1"/>
  <c r="E22" i="16" s="1"/>
  <c r="C22" i="16" a="1"/>
  <c r="C22" i="16" s="1"/>
  <c r="AY21" i="16"/>
  <c r="AQ21" i="16"/>
  <c r="AU21" i="16" s="1"/>
  <c r="AP21" i="16"/>
  <c r="AT21" i="16" s="1"/>
  <c r="AO21" i="16"/>
  <c r="AS21" i="16" s="1"/>
  <c r="E21" i="16" a="1"/>
  <c r="E21" i="16" s="1"/>
  <c r="C21" i="16" a="1"/>
  <c r="C21" i="16" s="1"/>
  <c r="AY20" i="16"/>
  <c r="AQ20" i="16"/>
  <c r="AU20" i="16" s="1"/>
  <c r="AP20" i="16"/>
  <c r="AT20" i="16" s="1"/>
  <c r="AO20" i="16"/>
  <c r="E20" i="16" a="1"/>
  <c r="E20" i="16" s="1"/>
  <c r="C20" i="16" a="1"/>
  <c r="C20" i="16" s="1"/>
  <c r="AY19" i="16"/>
  <c r="AQ19" i="16"/>
  <c r="AU19" i="16" s="1"/>
  <c r="AP19" i="16"/>
  <c r="AT19" i="16" s="1"/>
  <c r="AO19" i="16"/>
  <c r="AS19" i="16" s="1"/>
  <c r="E19" i="16" a="1"/>
  <c r="E19" i="16" s="1"/>
  <c r="C19" i="16" a="1"/>
  <c r="C19" i="16" s="1"/>
  <c r="AY18" i="16"/>
  <c r="AQ18" i="16"/>
  <c r="AU18" i="16" s="1"/>
  <c r="AP18" i="16"/>
  <c r="AT18" i="16" s="1"/>
  <c r="AO18" i="16"/>
  <c r="AS18" i="16" s="1"/>
  <c r="E18" i="16" a="1"/>
  <c r="E18" i="16" s="1"/>
  <c r="AY17" i="16"/>
  <c r="AQ17" i="16"/>
  <c r="AU17" i="16" s="1"/>
  <c r="AP17" i="16"/>
  <c r="AT17" i="16" s="1"/>
  <c r="AO17" i="16"/>
  <c r="AS17" i="16" s="1"/>
  <c r="E17" i="16" a="1"/>
  <c r="E17" i="16" s="1"/>
  <c r="C17" i="16" a="1"/>
  <c r="C17" i="16" s="1"/>
  <c r="AY16" i="16"/>
  <c r="AQ16" i="16"/>
  <c r="AU16" i="16" s="1"/>
  <c r="AP16" i="16"/>
  <c r="AT16" i="16" s="1"/>
  <c r="AO16" i="16"/>
  <c r="E16" i="16" a="1"/>
  <c r="E16" i="16" s="1"/>
  <c r="C16" i="16" a="1"/>
  <c r="C16" i="16" s="1"/>
  <c r="AY15" i="16"/>
  <c r="AQ15" i="16"/>
  <c r="AU15" i="16" s="1"/>
  <c r="AP15" i="16"/>
  <c r="AT15" i="16" s="1"/>
  <c r="AO15" i="16"/>
  <c r="AS15" i="16" s="1"/>
  <c r="E15" i="16" a="1"/>
  <c r="E15" i="16" s="1"/>
  <c r="C15" i="16" a="1"/>
  <c r="C15" i="16" s="1"/>
  <c r="AY14" i="16"/>
  <c r="AQ14" i="16"/>
  <c r="AU14" i="16" s="1"/>
  <c r="AP14" i="16"/>
  <c r="AT14" i="16" s="1"/>
  <c r="AO14" i="16"/>
  <c r="E14" i="16" a="1"/>
  <c r="E14" i="16" s="1"/>
  <c r="C14" i="16" a="1"/>
  <c r="C14" i="16" s="1"/>
  <c r="AY13" i="16"/>
  <c r="AQ13" i="16"/>
  <c r="AU13" i="16" s="1"/>
  <c r="AP13" i="16"/>
  <c r="AT13" i="16" s="1"/>
  <c r="AO13" i="16"/>
  <c r="AS13" i="16" s="1"/>
  <c r="E13" i="16" a="1"/>
  <c r="E13" i="16" s="1"/>
  <c r="C13" i="16" a="1"/>
  <c r="C13" i="16" s="1"/>
  <c r="AY12" i="16"/>
  <c r="AQ12" i="16"/>
  <c r="AU12" i="16" s="1"/>
  <c r="AP12" i="16"/>
  <c r="AT12" i="16" s="1"/>
  <c r="AO12" i="16"/>
  <c r="AS12" i="16" s="1"/>
  <c r="E12" i="16" a="1"/>
  <c r="E12" i="16" s="1"/>
  <c r="C12" i="16" a="1"/>
  <c r="C12" i="16" s="1"/>
  <c r="AY11" i="16"/>
  <c r="AQ11" i="16"/>
  <c r="AU11" i="16" s="1"/>
  <c r="AP11" i="16"/>
  <c r="AT11" i="16" s="1"/>
  <c r="AO11" i="16"/>
  <c r="AS11" i="16" s="1"/>
  <c r="E11" i="16" a="1"/>
  <c r="E11" i="16" s="1"/>
  <c r="C11" i="16" a="1"/>
  <c r="C11" i="16" s="1"/>
  <c r="AY10" i="16"/>
  <c r="AQ10" i="16"/>
  <c r="AU10" i="16" s="1"/>
  <c r="AP10" i="16"/>
  <c r="AT10" i="16" s="1"/>
  <c r="AO10" i="16"/>
  <c r="E10" i="16" a="1"/>
  <c r="E10" i="16" s="1"/>
  <c r="C10" i="16" a="1"/>
  <c r="C10" i="16" s="1"/>
  <c r="AY9" i="16"/>
  <c r="AQ9" i="16"/>
  <c r="AU9" i="16" s="1"/>
  <c r="AP9" i="16"/>
  <c r="AT9" i="16" s="1"/>
  <c r="AO9" i="16"/>
  <c r="AS9" i="16" s="1"/>
  <c r="E9" i="16" a="1"/>
  <c r="E9" i="16" s="1"/>
  <c r="C9" i="16" a="1"/>
  <c r="C9" i="16" s="1"/>
  <c r="AY8" i="16"/>
  <c r="AQ8" i="16"/>
  <c r="AU8" i="16" s="1"/>
  <c r="AP8" i="16"/>
  <c r="AT8" i="16" s="1"/>
  <c r="AO8" i="16"/>
  <c r="E8" i="16" a="1"/>
  <c r="E8" i="16" s="1"/>
  <c r="C8" i="16" a="1"/>
  <c r="C8" i="16" s="1"/>
  <c r="AY7" i="16"/>
  <c r="AQ7" i="16"/>
  <c r="AU7" i="16" s="1"/>
  <c r="AP7" i="16"/>
  <c r="AT7" i="16" s="1"/>
  <c r="AO7" i="16"/>
  <c r="AS7" i="16" s="1"/>
  <c r="E7" i="16" a="1"/>
  <c r="E7" i="16" s="1"/>
  <c r="C7" i="16" a="1"/>
  <c r="C7" i="16" s="1"/>
  <c r="AY6" i="16"/>
  <c r="AQ6" i="16"/>
  <c r="AU6" i="16" s="1"/>
  <c r="AP6" i="16"/>
  <c r="AT6" i="16" s="1"/>
  <c r="AO6" i="16"/>
  <c r="AS6" i="16" s="1"/>
  <c r="E6" i="16" a="1"/>
  <c r="E6" i="16" s="1"/>
  <c r="C6" i="16" a="1"/>
  <c r="C6" i="16" s="1"/>
  <c r="AY5" i="16"/>
  <c r="AQ5" i="16"/>
  <c r="AU5" i="16" s="1"/>
  <c r="AP5" i="16"/>
  <c r="AT5" i="16" s="1"/>
  <c r="AO5" i="16"/>
  <c r="AS5" i="16" s="1"/>
  <c r="E5" i="16" a="1"/>
  <c r="E5" i="16" s="1"/>
  <c r="C5" i="16" a="1"/>
  <c r="C5" i="16" s="1"/>
  <c r="AY4" i="16"/>
  <c r="AQ4" i="16"/>
  <c r="AU4" i="16" s="1"/>
  <c r="AP4" i="16"/>
  <c r="AT4" i="16" s="1"/>
  <c r="AO4" i="16"/>
  <c r="E4" i="16" a="1"/>
  <c r="E4" i="16" s="1"/>
  <c r="C4" i="16" a="1"/>
  <c r="C4" i="16" s="1"/>
  <c r="AI2" i="16"/>
  <c r="AH2" i="16"/>
  <c r="AG2" i="16"/>
  <c r="AF2" i="16"/>
  <c r="AA2" i="16"/>
  <c r="S2" i="16"/>
  <c r="K2" i="16"/>
  <c r="A1" i="16"/>
  <c r="AR16" i="16" l="1"/>
  <c r="AR22" i="16"/>
  <c r="AR4" i="16"/>
  <c r="AR26" i="16"/>
  <c r="AR14" i="16"/>
  <c r="AR28" i="16"/>
  <c r="AR8" i="16"/>
  <c r="AR10" i="16"/>
  <c r="AR20" i="16"/>
  <c r="F5" i="16"/>
  <c r="AR12" i="16"/>
  <c r="AR9" i="16"/>
  <c r="AS22" i="16"/>
  <c r="AS10" i="16"/>
  <c r="AR21" i="16"/>
  <c r="AS8" i="16"/>
  <c r="AS26" i="16"/>
  <c r="AS4" i="16"/>
  <c r="AS16" i="16"/>
  <c r="AS20" i="16"/>
  <c r="AR15" i="16"/>
  <c r="AR24" i="16"/>
  <c r="AS28" i="16"/>
  <c r="AR6" i="16"/>
  <c r="AR23" i="16"/>
  <c r="AR18" i="16"/>
  <c r="AS14" i="16"/>
  <c r="F94" i="16"/>
  <c r="D29" i="16"/>
  <c r="F28" i="16"/>
  <c r="F11" i="16"/>
  <c r="F23" i="16"/>
  <c r="F17" i="16"/>
  <c r="F14" i="16"/>
  <c r="F8" i="16"/>
  <c r="E2" i="16"/>
  <c r="F26" i="16"/>
  <c r="F20" i="16"/>
  <c r="D10" i="16"/>
  <c r="D16" i="16"/>
  <c r="D22" i="16"/>
  <c r="D31" i="16"/>
  <c r="D33" i="16"/>
  <c r="D35" i="16"/>
  <c r="D37" i="16"/>
  <c r="D39" i="16"/>
  <c r="D41" i="16"/>
  <c r="D4" i="16"/>
  <c r="AR7" i="16"/>
  <c r="F9" i="16"/>
  <c r="AR13" i="16"/>
  <c r="F15" i="16"/>
  <c r="AR19" i="16"/>
  <c r="F21" i="16"/>
  <c r="AR25" i="16"/>
  <c r="F27" i="16"/>
  <c r="F29" i="16"/>
  <c r="D43" i="16"/>
  <c r="D45" i="16"/>
  <c r="D47" i="16"/>
  <c r="D49" i="16"/>
  <c r="D51" i="16"/>
  <c r="D53" i="16"/>
  <c r="D55" i="16"/>
  <c r="D57" i="16"/>
  <c r="D59" i="16"/>
  <c r="D61" i="16"/>
  <c r="D63" i="16"/>
  <c r="D65" i="16"/>
  <c r="D67" i="16"/>
  <c r="D69" i="16"/>
  <c r="D71" i="16"/>
  <c r="D73" i="16"/>
  <c r="D75" i="16"/>
  <c r="D77" i="16"/>
  <c r="D79" i="16"/>
  <c r="D81" i="16"/>
  <c r="D83" i="16"/>
  <c r="D85" i="16"/>
  <c r="D89" i="16"/>
  <c r="D91" i="16"/>
  <c r="D93" i="16"/>
  <c r="D17" i="16"/>
  <c r="D5" i="16"/>
  <c r="D11" i="16"/>
  <c r="D23" i="16"/>
  <c r="F4" i="16"/>
  <c r="F10" i="16"/>
  <c r="F16" i="16"/>
  <c r="F22" i="16"/>
  <c r="F31" i="16"/>
  <c r="F33" i="16"/>
  <c r="F35" i="16"/>
  <c r="F37" i="16"/>
  <c r="F39" i="16"/>
  <c r="F41" i="16"/>
  <c r="D6" i="16"/>
  <c r="D12" i="16"/>
  <c r="D18" i="16"/>
  <c r="D24" i="16"/>
  <c r="F43" i="16"/>
  <c r="F45" i="16"/>
  <c r="F47" i="16"/>
  <c r="F49" i="16"/>
  <c r="F51" i="16"/>
  <c r="F53" i="16"/>
  <c r="F55" i="16"/>
  <c r="F57" i="16"/>
  <c r="F59" i="16"/>
  <c r="F61" i="16"/>
  <c r="F63" i="16"/>
  <c r="F65" i="16"/>
  <c r="F67" i="16"/>
  <c r="F69" i="16"/>
  <c r="F71" i="16"/>
  <c r="F73" i="16"/>
  <c r="F75" i="16"/>
  <c r="F77" i="16"/>
  <c r="F79" i="16"/>
  <c r="F81" i="16"/>
  <c r="F83" i="16"/>
  <c r="F85" i="16"/>
  <c r="F87" i="16"/>
  <c r="F89" i="16"/>
  <c r="F91" i="16"/>
  <c r="F93" i="16"/>
  <c r="D13" i="16"/>
  <c r="D25" i="16"/>
  <c r="D30" i="16"/>
  <c r="D32" i="16"/>
  <c r="D34" i="16"/>
  <c r="D36" i="16"/>
  <c r="D38" i="16"/>
  <c r="D40" i="16"/>
  <c r="D7" i="16"/>
  <c r="D19" i="16"/>
  <c r="F6" i="16"/>
  <c r="F12" i="16"/>
  <c r="F18" i="16"/>
  <c r="F24" i="16"/>
  <c r="D42" i="16"/>
  <c r="D44" i="16"/>
  <c r="D46" i="16"/>
  <c r="D48" i="16"/>
  <c r="D50" i="16"/>
  <c r="D52" i="16"/>
  <c r="D54" i="16"/>
  <c r="D56" i="16"/>
  <c r="D58" i="16"/>
  <c r="D60" i="16"/>
  <c r="D62" i="16"/>
  <c r="D64" i="16"/>
  <c r="D66" i="16"/>
  <c r="D68" i="16"/>
  <c r="D70" i="16"/>
  <c r="D72" i="16"/>
  <c r="D74" i="16"/>
  <c r="D76" i="16"/>
  <c r="D78" i="16"/>
  <c r="D80" i="16"/>
  <c r="D82" i="16"/>
  <c r="D84" i="16"/>
  <c r="D86" i="16"/>
  <c r="D88" i="16"/>
  <c r="D90" i="16"/>
  <c r="D92" i="16"/>
  <c r="D94" i="16"/>
  <c r="D8" i="16"/>
  <c r="D20" i="16"/>
  <c r="D28" i="16"/>
  <c r="AR5" i="16"/>
  <c r="F7" i="16"/>
  <c r="AR11" i="16"/>
  <c r="F13" i="16"/>
  <c r="AR17" i="16"/>
  <c r="F19" i="16"/>
  <c r="F25" i="16"/>
  <c r="F30" i="16"/>
  <c r="F32" i="16"/>
  <c r="F34" i="16"/>
  <c r="F36" i="16"/>
  <c r="F38" i="16"/>
  <c r="F40" i="16"/>
  <c r="D14" i="16"/>
  <c r="D26" i="16"/>
  <c r="D9" i="16"/>
  <c r="D15" i="16"/>
  <c r="D21" i="16"/>
  <c r="D27" i="16"/>
  <c r="F42" i="16"/>
  <c r="F44" i="16"/>
  <c r="F46" i="16"/>
  <c r="F48" i="16"/>
  <c r="F50" i="16"/>
  <c r="F52" i="16"/>
  <c r="F54" i="16"/>
  <c r="F56" i="16"/>
  <c r="F58" i="16"/>
  <c r="F60" i="16"/>
  <c r="F62" i="16"/>
  <c r="F64" i="16"/>
  <c r="F66" i="16"/>
  <c r="F68" i="16"/>
  <c r="F70" i="16"/>
  <c r="F72" i="16"/>
  <c r="F74" i="16"/>
  <c r="F76" i="16"/>
  <c r="F78" i="16"/>
  <c r="F80" i="16"/>
  <c r="F82" i="16"/>
  <c r="F84" i="16"/>
  <c r="F86" i="16"/>
  <c r="F88" i="16"/>
  <c r="F90" i="16"/>
  <c r="F92" i="16"/>
  <c r="AU29" i="16" l="1"/>
  <c r="D96" i="16"/>
  <c r="AR29" i="16"/>
  <c r="I5" i="15"/>
  <c r="H5" i="15"/>
  <c r="G5" i="15"/>
  <c r="I4" i="15" a="1"/>
  <c r="I4" i="15" s="1"/>
  <c r="I6" i="15" s="1"/>
  <c r="H4" i="15" a="1"/>
  <c r="H4" i="15" s="1"/>
  <c r="H6" i="15" s="1"/>
  <c r="G4" i="15" a="1"/>
  <c r="G4" i="15" s="1"/>
  <c r="G6" i="15" s="1"/>
  <c r="J2" i="15"/>
  <c r="J4" i="15" l="1"/>
  <c r="J5" i="15"/>
  <c r="J3" i="15"/>
  <c r="H5" i="14"/>
  <c r="I5" i="14"/>
  <c r="G5" i="14"/>
  <c r="H4" i="14" a="1"/>
  <c r="H4" i="14" s="1"/>
  <c r="H6" i="14" s="1"/>
  <c r="I4" i="14" a="1"/>
  <c r="I4" i="14" s="1"/>
  <c r="H3" i="14" a="1"/>
  <c r="H3" i="14" s="1"/>
  <c r="I3" i="14" a="1"/>
  <c r="I3" i="14" s="1"/>
  <c r="C19" i="13" a="1"/>
  <c r="C19" i="13" s="1"/>
  <c r="J6" i="15" l="1"/>
  <c r="J4" i="14"/>
  <c r="J3" i="14"/>
  <c r="J5" i="14"/>
  <c r="A1" i="13"/>
  <c r="J6" i="14" l="1"/>
  <c r="K2" i="14"/>
  <c r="AY28" i="13"/>
  <c r="AX28" i="13" s="1"/>
  <c r="AQ28" i="13"/>
  <c r="AU28" i="13" s="1"/>
  <c r="AP28" i="13"/>
  <c r="AT28" i="13" s="1"/>
  <c r="AO28" i="13"/>
  <c r="AS28" i="13" s="1"/>
  <c r="AY27" i="13"/>
  <c r="AX27" i="13" s="1"/>
  <c r="AU27" i="13"/>
  <c r="AT27" i="13"/>
  <c r="AS27" i="13"/>
  <c r="AY26" i="13"/>
  <c r="AX26" i="13" s="1"/>
  <c r="AQ26" i="13"/>
  <c r="AU26" i="13" s="1"/>
  <c r="AP26" i="13"/>
  <c r="AT26" i="13" s="1"/>
  <c r="AO26" i="13"/>
  <c r="AS26" i="13" s="1"/>
  <c r="AY25" i="13"/>
  <c r="AX25" i="13" s="1"/>
  <c r="AQ25" i="13"/>
  <c r="AU25" i="13" s="1"/>
  <c r="AP25" i="13"/>
  <c r="AT25" i="13" s="1"/>
  <c r="AO25" i="13"/>
  <c r="AY24" i="13"/>
  <c r="AX24" i="13" s="1"/>
  <c r="AQ24" i="13"/>
  <c r="AU24" i="13" s="1"/>
  <c r="AP24" i="13"/>
  <c r="AT24" i="13" s="1"/>
  <c r="AO24" i="13"/>
  <c r="AS24" i="13" s="1"/>
  <c r="AY23" i="13"/>
  <c r="AX23" i="13" s="1"/>
  <c r="AQ23" i="13"/>
  <c r="AU23" i="13" s="1"/>
  <c r="AP23" i="13"/>
  <c r="AO23" i="13"/>
  <c r="AS23" i="13" s="1"/>
  <c r="AY22" i="13"/>
  <c r="AX22" i="13" s="1"/>
  <c r="AQ22" i="13"/>
  <c r="AP22" i="13"/>
  <c r="AT22" i="13" s="1"/>
  <c r="AO22" i="13"/>
  <c r="AS22" i="13" s="1"/>
  <c r="E22" i="13" a="1"/>
  <c r="E22" i="13" s="1"/>
  <c r="AY21" i="13"/>
  <c r="AX21" i="13" s="1"/>
  <c r="AQ21" i="13"/>
  <c r="AU21" i="13" s="1"/>
  <c r="AP21" i="13"/>
  <c r="AT21" i="13" s="1"/>
  <c r="AO21" i="13"/>
  <c r="AS21" i="13" s="1"/>
  <c r="E21" i="13" a="1"/>
  <c r="E21" i="13" s="1"/>
  <c r="C21" i="13" a="1"/>
  <c r="C21" i="13" s="1"/>
  <c r="AY20" i="13"/>
  <c r="AX20" i="13" s="1"/>
  <c r="AQ20" i="13"/>
  <c r="AU20" i="13" s="1"/>
  <c r="AP20" i="13"/>
  <c r="AT20" i="13" s="1"/>
  <c r="AO20" i="13"/>
  <c r="AS20" i="13" s="1"/>
  <c r="E20" i="13" a="1"/>
  <c r="E20" i="13" s="1"/>
  <c r="AY19" i="13"/>
  <c r="AX19" i="13" s="1"/>
  <c r="AQ19" i="13"/>
  <c r="AU19" i="13" s="1"/>
  <c r="AP19" i="13"/>
  <c r="AT19" i="13" s="1"/>
  <c r="AO19" i="13"/>
  <c r="AS19" i="13" s="1"/>
  <c r="E19" i="13" a="1"/>
  <c r="E19" i="13" s="1"/>
  <c r="AY18" i="13"/>
  <c r="AX18" i="13" s="1"/>
  <c r="AQ18" i="13"/>
  <c r="AU18" i="13" s="1"/>
  <c r="AP18" i="13"/>
  <c r="AT18" i="13" s="1"/>
  <c r="AO18" i="13"/>
  <c r="AS18" i="13" s="1"/>
  <c r="E18" i="13" a="1"/>
  <c r="E18" i="13" s="1"/>
  <c r="C18" i="13" a="1"/>
  <c r="C18" i="13" s="1"/>
  <c r="AY17" i="13"/>
  <c r="AX17" i="13" s="1"/>
  <c r="AQ17" i="13"/>
  <c r="AU17" i="13" s="1"/>
  <c r="AP17" i="13"/>
  <c r="AT17" i="13" s="1"/>
  <c r="AO17" i="13"/>
  <c r="AS17" i="13" s="1"/>
  <c r="E17" i="13" a="1"/>
  <c r="E17" i="13" s="1"/>
  <c r="C17" i="13" a="1"/>
  <c r="C17" i="13" s="1"/>
  <c r="AY16" i="13"/>
  <c r="AX16" i="13" s="1"/>
  <c r="AQ16" i="13"/>
  <c r="AU16" i="13" s="1"/>
  <c r="AP16" i="13"/>
  <c r="AT16" i="13" s="1"/>
  <c r="AO16" i="13"/>
  <c r="AS16" i="13" s="1"/>
  <c r="E16" i="13" a="1"/>
  <c r="E16" i="13" s="1"/>
  <c r="C16" i="13" a="1"/>
  <c r="C16" i="13" s="1"/>
  <c r="AY15" i="13"/>
  <c r="AX15" i="13" s="1"/>
  <c r="AQ15" i="13"/>
  <c r="AU15" i="13" s="1"/>
  <c r="AP15" i="13"/>
  <c r="AT15" i="13" s="1"/>
  <c r="AO15" i="13"/>
  <c r="AS15" i="13" s="1"/>
  <c r="E15" i="13" a="1"/>
  <c r="E15" i="13" s="1"/>
  <c r="C15" i="13" a="1"/>
  <c r="C15" i="13" s="1"/>
  <c r="AY14" i="13"/>
  <c r="AX14" i="13" s="1"/>
  <c r="AQ14" i="13"/>
  <c r="AU14" i="13" s="1"/>
  <c r="AP14" i="13"/>
  <c r="AT14" i="13" s="1"/>
  <c r="AO14" i="13"/>
  <c r="AS14" i="13" s="1"/>
  <c r="E14" i="13" a="1"/>
  <c r="E14" i="13" s="1"/>
  <c r="C14" i="13" a="1"/>
  <c r="C14" i="13" s="1"/>
  <c r="AY13" i="13"/>
  <c r="AX13" i="13" s="1"/>
  <c r="AQ13" i="13"/>
  <c r="AU13" i="13" s="1"/>
  <c r="AP13" i="13"/>
  <c r="AT13" i="13" s="1"/>
  <c r="AO13" i="13"/>
  <c r="AS13" i="13" s="1"/>
  <c r="E13" i="13" a="1"/>
  <c r="E13" i="13" s="1"/>
  <c r="C13" i="13" a="1"/>
  <c r="C13" i="13" s="1"/>
  <c r="AY12" i="13"/>
  <c r="AX12" i="13" s="1"/>
  <c r="AQ12" i="13"/>
  <c r="AU12" i="13" s="1"/>
  <c r="AP12" i="13"/>
  <c r="AT12" i="13" s="1"/>
  <c r="AO12" i="13"/>
  <c r="AS12" i="13" s="1"/>
  <c r="E12" i="13" a="1"/>
  <c r="E12" i="13" s="1"/>
  <c r="C12" i="13" a="1"/>
  <c r="C12" i="13" s="1"/>
  <c r="AY11" i="13"/>
  <c r="AX11" i="13" s="1"/>
  <c r="AQ11" i="13"/>
  <c r="AU11" i="13" s="1"/>
  <c r="AP11" i="13"/>
  <c r="AT11" i="13" s="1"/>
  <c r="AO11" i="13"/>
  <c r="AS11" i="13" s="1"/>
  <c r="E11" i="13" a="1"/>
  <c r="E11" i="13" s="1"/>
  <c r="C11" i="13" a="1"/>
  <c r="C11" i="13" s="1"/>
  <c r="AY10" i="13"/>
  <c r="AX10" i="13" s="1"/>
  <c r="AQ10" i="13"/>
  <c r="AU10" i="13" s="1"/>
  <c r="AP10" i="13"/>
  <c r="AT10" i="13" s="1"/>
  <c r="AO10" i="13"/>
  <c r="AS10" i="13" s="1"/>
  <c r="E10" i="13" a="1"/>
  <c r="E10" i="13" s="1"/>
  <c r="C10" i="13" a="1"/>
  <c r="C10" i="13" s="1"/>
  <c r="AY9" i="13"/>
  <c r="AX9" i="13" s="1"/>
  <c r="AQ9" i="13"/>
  <c r="AU9" i="13" s="1"/>
  <c r="AP9" i="13"/>
  <c r="AT9" i="13" s="1"/>
  <c r="AO9" i="13"/>
  <c r="AS9" i="13" s="1"/>
  <c r="E9" i="13" a="1"/>
  <c r="E9" i="13" s="1"/>
  <c r="C9" i="13" a="1"/>
  <c r="C9" i="13" s="1"/>
  <c r="AY8" i="13"/>
  <c r="AX8" i="13" s="1"/>
  <c r="AQ8" i="13"/>
  <c r="AU8" i="13" s="1"/>
  <c r="AP8" i="13"/>
  <c r="AT8" i="13" s="1"/>
  <c r="AO8" i="13"/>
  <c r="AS8" i="13" s="1"/>
  <c r="E8" i="13" a="1"/>
  <c r="E8" i="13" s="1"/>
  <c r="C8" i="13" a="1"/>
  <c r="C8" i="13" s="1"/>
  <c r="AY7" i="13"/>
  <c r="AX7" i="13" s="1"/>
  <c r="AQ7" i="13"/>
  <c r="AU7" i="13" s="1"/>
  <c r="AP7" i="13"/>
  <c r="AT7" i="13" s="1"/>
  <c r="AO7" i="13"/>
  <c r="E7" i="13" a="1"/>
  <c r="E7" i="13" s="1"/>
  <c r="C7" i="13" a="1"/>
  <c r="C7" i="13" s="1"/>
  <c r="AY6" i="13"/>
  <c r="AX6" i="13" s="1"/>
  <c r="AQ6" i="13"/>
  <c r="AU6" i="13" s="1"/>
  <c r="AP6" i="13"/>
  <c r="AT6" i="13" s="1"/>
  <c r="AO6" i="13"/>
  <c r="AS6" i="13" s="1"/>
  <c r="E6" i="13" a="1"/>
  <c r="E6" i="13" s="1"/>
  <c r="C6" i="13" a="1"/>
  <c r="C6" i="13" s="1"/>
  <c r="AY5" i="13"/>
  <c r="AX5" i="13" s="1"/>
  <c r="AQ5" i="13"/>
  <c r="AU5" i="13" s="1"/>
  <c r="AP5" i="13"/>
  <c r="AT5" i="13" s="1"/>
  <c r="AO5" i="13"/>
  <c r="AS5" i="13" s="1"/>
  <c r="E5" i="13" a="1"/>
  <c r="E5" i="13" s="1"/>
  <c r="C5" i="13" a="1"/>
  <c r="C5" i="13" s="1"/>
  <c r="AY4" i="13"/>
  <c r="AX4" i="13" s="1"/>
  <c r="AQ4" i="13"/>
  <c r="AU4" i="13" s="1"/>
  <c r="AP4" i="13"/>
  <c r="AT4" i="13" s="1"/>
  <c r="AO4" i="13"/>
  <c r="AS4" i="13" s="1"/>
  <c r="E4" i="13" a="1"/>
  <c r="E4" i="13" s="1"/>
  <c r="C4" i="13" a="1"/>
  <c r="C4" i="13" s="1"/>
  <c r="AI2" i="13"/>
  <c r="AH2" i="13"/>
  <c r="AG2" i="13"/>
  <c r="AF2" i="13"/>
  <c r="AA2" i="13"/>
  <c r="S2" i="13"/>
  <c r="K2" i="13"/>
  <c r="D20" i="13" l="1"/>
  <c r="AR22" i="13"/>
  <c r="AR10" i="13"/>
  <c r="AR15" i="13"/>
  <c r="AR4" i="13"/>
  <c r="AR9" i="13"/>
  <c r="AU22" i="13"/>
  <c r="AR17" i="13"/>
  <c r="AR26" i="13"/>
  <c r="AR16" i="13"/>
  <c r="AR23" i="13"/>
  <c r="AR5" i="13"/>
  <c r="AR8" i="13"/>
  <c r="AR25" i="13"/>
  <c r="AR28" i="13"/>
  <c r="AR7" i="13"/>
  <c r="AR11" i="13"/>
  <c r="AR14" i="13"/>
  <c r="F94" i="13"/>
  <c r="F92" i="13"/>
  <c r="F90" i="13"/>
  <c r="F88" i="13"/>
  <c r="F86" i="13"/>
  <c r="F84" i="13"/>
  <c r="F82" i="13"/>
  <c r="F80" i="13"/>
  <c r="F78" i="13"/>
  <c r="F76" i="13"/>
  <c r="F74" i="13"/>
  <c r="F72" i="13"/>
  <c r="F70" i="13"/>
  <c r="F68" i="13"/>
  <c r="F66" i="13"/>
  <c r="F64" i="13"/>
  <c r="F62" i="13"/>
  <c r="F60" i="13"/>
  <c r="F58" i="13"/>
  <c r="F56" i="13"/>
  <c r="F54" i="13"/>
  <c r="F52" i="13"/>
  <c r="F50" i="13"/>
  <c r="F48" i="13"/>
  <c r="F46" i="13"/>
  <c r="F44" i="13"/>
  <c r="F42" i="13"/>
  <c r="F40" i="13"/>
  <c r="F38" i="13"/>
  <c r="F36" i="13"/>
  <c r="F34" i="13"/>
  <c r="F32" i="13"/>
  <c r="F30" i="13"/>
  <c r="F25" i="13"/>
  <c r="F19" i="13"/>
  <c r="F13" i="13"/>
  <c r="F7" i="13"/>
  <c r="F24" i="13"/>
  <c r="F18" i="13"/>
  <c r="F12" i="13"/>
  <c r="F6" i="13"/>
  <c r="F23" i="13"/>
  <c r="F17" i="13"/>
  <c r="F11" i="13"/>
  <c r="F5" i="13"/>
  <c r="F93" i="13"/>
  <c r="F91" i="13"/>
  <c r="F89" i="13"/>
  <c r="F87" i="13"/>
  <c r="F85" i="13"/>
  <c r="F83" i="13"/>
  <c r="F81" i="13"/>
  <c r="F79" i="13"/>
  <c r="F77" i="13"/>
  <c r="F75" i="13"/>
  <c r="F73" i="13"/>
  <c r="F71" i="13"/>
  <c r="F69" i="13"/>
  <c r="F67" i="13"/>
  <c r="F65" i="13"/>
  <c r="F63" i="13"/>
  <c r="F61" i="13"/>
  <c r="F59" i="13"/>
  <c r="F57" i="13"/>
  <c r="F55" i="13"/>
  <c r="F53" i="13"/>
  <c r="F51" i="13"/>
  <c r="F49" i="13"/>
  <c r="F47" i="13"/>
  <c r="F45" i="13"/>
  <c r="F43" i="13"/>
  <c r="F41" i="13"/>
  <c r="F39" i="13"/>
  <c r="F37" i="13"/>
  <c r="F35" i="13"/>
  <c r="F33" i="13"/>
  <c r="F31" i="13"/>
  <c r="F22" i="13"/>
  <c r="F16" i="13"/>
  <c r="F10" i="13"/>
  <c r="F4" i="13"/>
  <c r="F29" i="13"/>
  <c r="F27" i="13"/>
  <c r="F9" i="13"/>
  <c r="E2" i="13"/>
  <c r="F21" i="13"/>
  <c r="F15" i="13"/>
  <c r="F8" i="13"/>
  <c r="F28" i="13"/>
  <c r="F26" i="13"/>
  <c r="F20" i="13"/>
  <c r="F14" i="13"/>
  <c r="D8" i="13"/>
  <c r="D28" i="13"/>
  <c r="D26" i="13"/>
  <c r="D14" i="13"/>
  <c r="D94" i="13"/>
  <c r="D92" i="13"/>
  <c r="D90" i="13"/>
  <c r="D88" i="13"/>
  <c r="D86" i="13"/>
  <c r="D84" i="13"/>
  <c r="D82" i="13"/>
  <c r="D80" i="13"/>
  <c r="D78" i="13"/>
  <c r="D76" i="13"/>
  <c r="D74" i="13"/>
  <c r="D72" i="13"/>
  <c r="D70" i="13"/>
  <c r="D68" i="13"/>
  <c r="D66" i="13"/>
  <c r="D64" i="13"/>
  <c r="D62" i="13"/>
  <c r="D60" i="13"/>
  <c r="D58" i="13"/>
  <c r="D56" i="13"/>
  <c r="D54" i="13"/>
  <c r="D52" i="13"/>
  <c r="D50" i="13"/>
  <c r="D48" i="13"/>
  <c r="D46" i="13"/>
  <c r="D44" i="13"/>
  <c r="D42" i="13"/>
  <c r="D40" i="13"/>
  <c r="D38" i="13"/>
  <c r="D36" i="13"/>
  <c r="D34" i="13"/>
  <c r="D32" i="13"/>
  <c r="D30" i="13"/>
  <c r="D25" i="13"/>
  <c r="D19" i="13"/>
  <c r="D13" i="13"/>
  <c r="D7" i="13"/>
  <c r="D18" i="13"/>
  <c r="D12" i="13"/>
  <c r="D24" i="13"/>
  <c r="D6" i="13"/>
  <c r="D23" i="13"/>
  <c r="D17" i="13"/>
  <c r="D11" i="13"/>
  <c r="D5" i="13"/>
  <c r="D93" i="13"/>
  <c r="D91" i="13"/>
  <c r="D89" i="13"/>
  <c r="D87" i="13"/>
  <c r="D85" i="13"/>
  <c r="D83" i="13"/>
  <c r="D81" i="13"/>
  <c r="D79" i="13"/>
  <c r="D77" i="13"/>
  <c r="D75" i="13"/>
  <c r="D73" i="13"/>
  <c r="D71" i="13"/>
  <c r="D69" i="13"/>
  <c r="D67" i="13"/>
  <c r="D65" i="13"/>
  <c r="D63" i="13"/>
  <c r="D61" i="13"/>
  <c r="D59" i="13"/>
  <c r="D57" i="13"/>
  <c r="D55" i="13"/>
  <c r="D53" i="13"/>
  <c r="D51" i="13"/>
  <c r="D49" i="13"/>
  <c r="D47" i="13"/>
  <c r="D45" i="13"/>
  <c r="D43" i="13"/>
  <c r="D41" i="13"/>
  <c r="D39" i="13"/>
  <c r="D37" i="13"/>
  <c r="D35" i="13"/>
  <c r="D33" i="13"/>
  <c r="D31" i="13"/>
  <c r="D22" i="13"/>
  <c r="D16" i="13"/>
  <c r="D10" i="13"/>
  <c r="D4" i="13"/>
  <c r="D29" i="13"/>
  <c r="D27" i="13"/>
  <c r="D21" i="13"/>
  <c r="D15" i="13"/>
  <c r="D9" i="13"/>
  <c r="AR6" i="13"/>
  <c r="AR18" i="13"/>
  <c r="AT23" i="13"/>
  <c r="AR24" i="13"/>
  <c r="AR12" i="13"/>
  <c r="AR13" i="13"/>
  <c r="AR19" i="13"/>
  <c r="AS7" i="13"/>
  <c r="AS25" i="13"/>
  <c r="AR20" i="13"/>
  <c r="AR21" i="13"/>
  <c r="AU29" i="13" l="1"/>
  <c r="AR29" i="13"/>
  <c r="D96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<sst xmlns="http://schemas.openxmlformats.org/spreadsheetml/2006/main" count="15029" uniqueCount="79">
  <si>
    <t>获得粮草</t>
  </si>
  <si>
    <t>剩余粮草</t>
  </si>
  <si>
    <t>地块</t>
  </si>
  <si>
    <t>粮草</t>
  </si>
  <si>
    <t>经验</t>
  </si>
  <si>
    <t>塔1</t>
  </si>
  <si>
    <t>塔2</t>
  </si>
  <si>
    <t>塔3</t>
  </si>
  <si>
    <t>塔4</t>
  </si>
  <si>
    <t>塔5</t>
  </si>
  <si>
    <t>塔6</t>
  </si>
  <si>
    <t>遗迹</t>
  </si>
  <si>
    <t>商人</t>
  </si>
  <si>
    <t>营地</t>
  </si>
  <si>
    <t>小boss</t>
  </si>
  <si>
    <t>大boss</t>
  </si>
  <si>
    <t>1级</t>
  </si>
  <si>
    <t>2级</t>
  </si>
  <si>
    <t>3级</t>
  </si>
  <si>
    <t>4级</t>
  </si>
  <si>
    <t>5级</t>
  </si>
  <si>
    <t>6级</t>
  </si>
  <si>
    <t>消耗粮草</t>
  </si>
  <si>
    <t>空</t>
  </si>
  <si>
    <t>获得经验</t>
  </si>
  <si>
    <t>八卦前</t>
  </si>
  <si>
    <t>八卦后</t>
  </si>
  <si>
    <t>任务经验</t>
  </si>
  <si>
    <t>跳步次数</t>
  </si>
  <si>
    <t>八卦全开</t>
  </si>
  <si>
    <t>否</t>
  </si>
  <si>
    <t>是</t>
  </si>
  <si>
    <t>粮草系数</t>
  </si>
  <si>
    <t>队伍三</t>
  </si>
  <si>
    <t>Note：开完八卦当天可能需要手动计算粮草</t>
  </si>
  <si>
    <t>合计经验</t>
  </si>
  <si>
    <t>日期</t>
  </si>
  <si>
    <t>工作区</t>
  </si>
  <si>
    <t>秋道</t>
  </si>
  <si>
    <t>奈良</t>
  </si>
  <si>
    <t>山中</t>
  </si>
  <si>
    <t>中boss</t>
  </si>
  <si>
    <t>使用方法：按自己规划的路线，将下表中的地块名复制粘贴至工作区。初次使用传送门，当天跳步次数+5。重复使用传送门，当天跳步次数+1</t>
  </si>
  <si>
    <t>累计经验</t>
  </si>
  <si>
    <t>总步数</t>
  </si>
  <si>
    <t>(不算跳步和传送)</t>
  </si>
  <si>
    <t>步数</t>
  </si>
  <si>
    <t>营地+</t>
  </si>
  <si>
    <t>队伍一 风</t>
  </si>
  <si>
    <t>队伍二 雷</t>
  </si>
  <si>
    <t>2队跳步</t>
  </si>
  <si>
    <t>3队跳步</t>
  </si>
  <si>
    <t>1队跳步</t>
  </si>
  <si>
    <t>负粮草</t>
  </si>
  <si>
    <t>一队经验</t>
  </si>
  <si>
    <t>二队经验</t>
  </si>
  <si>
    <t>三队经验</t>
  </si>
  <si>
    <t>一队地块</t>
  </si>
  <si>
    <t>二队地块</t>
  </si>
  <si>
    <t>三队地块</t>
  </si>
  <si>
    <t>总地块</t>
  </si>
  <si>
    <t>总经验</t>
  </si>
  <si>
    <t>version 1.20</t>
  </si>
  <si>
    <t>step</t>
  </si>
  <si>
    <t>跳步</t>
  </si>
  <si>
    <t>总</t>
  </si>
  <si>
    <t>经验/粮草</t>
  </si>
  <si>
    <t>6级地194块</t>
  </si>
  <si>
    <t>5级地237块</t>
  </si>
  <si>
    <t>4级地272块</t>
  </si>
  <si>
    <t>3级地358块</t>
  </si>
  <si>
    <t>离兑坤</t>
  </si>
  <si>
    <t>艮震巽坎乾</t>
  </si>
  <si>
    <t>version 5.1.05</t>
  </si>
  <si>
    <t>version 5.1.05qq</t>
  </si>
  <si>
    <t>路线1</t>
  </si>
  <si>
    <t>路线2</t>
  </si>
  <si>
    <t>路线3</t>
  </si>
  <si>
    <t>version 5.1.05qq test2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</si>
</sst>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0" tint="-0.34998626667073579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34998626667073579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5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14" borderId="0" xfId="0" applyFill="1"/>
    <xf numFmtId="0" fontId="0" fillId="0" borderId="0" xfId="0" applyFill="1" applyBorder="1"/>
    <xf numFmtId="0" fontId="0" fillId="3" borderId="4" xfId="0" applyFill="1" applyBorder="1"/>
    <xf numFmtId="0" fontId="0" fillId="3" borderId="0" xfId="0" applyFill="1" applyBorder="1"/>
    <xf numFmtId="0" fontId="0" fillId="15" borderId="5" xfId="0" applyFill="1" applyBorder="1"/>
    <xf numFmtId="0" fontId="0" fillId="0" borderId="13" xfId="0" applyBorder="1"/>
    <xf numFmtId="0" fontId="0" fillId="0" borderId="14" xfId="0" applyBorder="1"/>
    <xf numFmtId="0" fontId="0" fillId="12" borderId="1" xfId="0" applyFill="1" applyBorder="1"/>
    <xf numFmtId="0" fontId="0" fillId="12" borderId="3" xfId="0" applyFill="1" applyBorder="1"/>
    <xf numFmtId="0" fontId="0" fillId="12" borderId="4" xfId="0" applyFill="1" applyBorder="1"/>
    <xf numFmtId="0" fontId="0" fillId="12" borderId="5" xfId="0" applyFill="1" applyBorder="1"/>
    <xf numFmtId="0" fontId="0" fillId="12" borderId="6" xfId="0" applyFill="1" applyBorder="1"/>
    <xf numFmtId="0" fontId="0" fillId="12" borderId="8" xfId="0" applyFill="1" applyBorder="1"/>
    <xf numFmtId="0" fontId="0" fillId="14" borderId="0" xfId="0" applyFill="1" applyAlignment="1">
      <alignment wrapText="1"/>
    </xf>
    <xf numFmtId="0" fontId="0" fillId="14" borderId="0" xfId="0" applyFill="1" applyAlignment="1">
      <alignment horizontal="center" vertical="center" wrapText="1"/>
    </xf>
    <xf numFmtId="0" fontId="2" fillId="0" borderId="0" xfId="0" applyFont="1"/>
    <xf numFmtId="0" fontId="0" fillId="0" borderId="15" xfId="0" applyBorder="1"/>
    <xf numFmtId="0" fontId="0" fillId="6" borderId="15" xfId="0" applyFont="1" applyFill="1" applyBorder="1" applyAlignment="1">
      <alignment vertical="top"/>
    </xf>
    <xf numFmtId="0" fontId="0" fillId="5" borderId="15" xfId="0" applyFont="1" applyFill="1" applyBorder="1" applyAlignment="1">
      <alignment vertical="top"/>
    </xf>
    <xf numFmtId="0" fontId="0" fillId="2" borderId="15" xfId="0" applyFont="1" applyFill="1" applyBorder="1" applyAlignment="1">
      <alignment vertical="top"/>
    </xf>
    <xf numFmtId="0" fontId="0" fillId="7" borderId="15" xfId="0" applyFont="1" applyFill="1" applyBorder="1" applyAlignment="1">
      <alignment vertical="top"/>
    </xf>
    <xf numFmtId="0" fontId="0" fillId="8" borderId="15" xfId="0" applyFont="1" applyFill="1" applyBorder="1" applyAlignment="1">
      <alignment vertical="top"/>
    </xf>
    <xf numFmtId="0" fontId="0" fillId="4" borderId="15" xfId="0" applyFont="1" applyFill="1" applyBorder="1" applyAlignment="1">
      <alignment vertical="top"/>
    </xf>
    <xf numFmtId="0" fontId="1" fillId="9" borderId="15" xfId="0" applyFont="1" applyFill="1" applyBorder="1"/>
    <xf numFmtId="0" fontId="0" fillId="0" borderId="15" xfId="0" applyFill="1" applyBorder="1"/>
    <xf numFmtId="0" fontId="1" fillId="10" borderId="15" xfId="0" applyFont="1" applyFill="1" applyBorder="1"/>
    <xf numFmtId="0" fontId="1" fillId="11" borderId="15" xfId="0" applyFont="1" applyFill="1" applyBorder="1"/>
    <xf numFmtId="0" fontId="1" fillId="12" borderId="15" xfId="0" applyFont="1" applyFill="1" applyBorder="1"/>
    <xf numFmtId="0" fontId="1" fillId="3" borderId="15" xfId="0" applyFont="1" applyFill="1" applyBorder="1"/>
    <xf numFmtId="0" fontId="1" fillId="13" borderId="15" xfId="0" applyFont="1" applyFill="1" applyBorder="1"/>
    <xf numFmtId="0" fontId="1" fillId="0" borderId="15" xfId="0" applyFont="1" applyBorder="1"/>
    <xf numFmtId="0" fontId="1" fillId="19" borderId="15" xfId="0" applyFont="1" applyFill="1" applyBorder="1"/>
    <xf numFmtId="0" fontId="1" fillId="20" borderId="15" xfId="0" applyFont="1" applyFill="1" applyBorder="1"/>
    <xf numFmtId="0" fontId="1" fillId="17" borderId="13" xfId="0" applyFont="1" applyFill="1" applyBorder="1" applyAlignment="1">
      <alignment horizontal="center"/>
    </xf>
    <xf numFmtId="0" fontId="0" fillId="21" borderId="4" xfId="0" applyFill="1" applyBorder="1"/>
    <xf numFmtId="0" fontId="0" fillId="21" borderId="0" xfId="0" applyFill="1" applyBorder="1"/>
    <xf numFmtId="0" fontId="0" fillId="16" borderId="17" xfId="0" applyFill="1" applyBorder="1" applyAlignment="1">
      <alignment wrapText="1"/>
    </xf>
    <xf numFmtId="0" fontId="1" fillId="2" borderId="12" xfId="0" applyFont="1" applyFill="1" applyBorder="1" applyAlignment="1">
      <alignment wrapText="1"/>
    </xf>
    <xf numFmtId="0" fontId="1" fillId="2" borderId="12" xfId="0" applyFont="1" applyFill="1" applyBorder="1" applyAlignment="1">
      <alignment horizontal="center" wrapText="1"/>
    </xf>
    <xf numFmtId="0" fontId="0" fillId="18" borderId="0" xfId="0" applyFill="1" applyBorder="1" applyAlignment="1">
      <alignment horizontal="center" vertical="center"/>
    </xf>
    <xf numFmtId="0" fontId="1" fillId="2" borderId="13" xfId="0" applyFont="1" applyFill="1" applyBorder="1" applyAlignment="1">
      <alignment wrapText="1"/>
    </xf>
    <xf numFmtId="0" fontId="0" fillId="12" borderId="0" xfId="0" applyFill="1" applyBorder="1"/>
    <xf numFmtId="0" fontId="0" fillId="12" borderId="7" xfId="0" applyFill="1" applyBorder="1"/>
    <xf numFmtId="0" fontId="0" fillId="4" borderId="15" xfId="0" applyFill="1" applyBorder="1"/>
    <xf numFmtId="0" fontId="0" fillId="21" borderId="15" xfId="0" applyFill="1" applyBorder="1"/>
    <xf numFmtId="0" fontId="0" fillId="3" borderId="15" xfId="0" applyFill="1" applyBorder="1"/>
    <xf numFmtId="0" fontId="0" fillId="6" borderId="15" xfId="0" applyFill="1" applyBorder="1"/>
    <xf numFmtId="0" fontId="0" fillId="0" borderId="0" xfId="0" applyBorder="1"/>
    <xf numFmtId="10" fontId="0" fillId="0" borderId="0" xfId="0" applyNumberFormat="1"/>
    <xf numFmtId="0" fontId="1" fillId="21" borderId="2" xfId="0" applyFont="1" applyFill="1" applyBorder="1" applyAlignment="1">
      <alignment horizontal="center"/>
    </xf>
    <xf numFmtId="2" fontId="0" fillId="0" borderId="0" xfId="0" applyNumberFormat="1"/>
    <xf numFmtId="0" fontId="1" fillId="3" borderId="2" xfId="0" applyFont="1" applyFill="1" applyBorder="1" applyAlignment="1">
      <alignment horizontal="center"/>
    </xf>
    <xf numFmtId="0" fontId="5" fillId="14" borderId="0" xfId="0" applyFont="1" applyFill="1"/>
    <xf numFmtId="0" fontId="5" fillId="0" borderId="0" xfId="0" applyFont="1"/>
    <xf numFmtId="0" fontId="2" fillId="14" borderId="0" xfId="0" applyFont="1" applyFill="1"/>
    <xf numFmtId="0" fontId="1" fillId="22" borderId="2" xfId="0" applyFont="1" applyFill="1" applyBorder="1" applyAlignment="1"/>
    <xf numFmtId="0" fontId="1" fillId="22" borderId="2" xfId="0" applyFont="1" applyFill="1" applyBorder="1" applyAlignment="1">
      <alignment horizontal="center"/>
    </xf>
    <xf numFmtId="0" fontId="0" fillId="22" borderId="4" xfId="0" applyFill="1" applyBorder="1"/>
    <xf numFmtId="0" fontId="0" fillId="22" borderId="0" xfId="0" applyFill="1" applyBorder="1"/>
    <xf numFmtId="0" fontId="0" fillId="22" borderId="5" xfId="0" applyFill="1" applyBorder="1"/>
    <xf numFmtId="0" fontId="1" fillId="2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0" fontId="1" fillId="6" borderId="15" xfId="0" applyFont="1" applyFill="1" applyBorder="1" applyAlignment="1">
      <alignment vertical="top"/>
    </xf>
    <xf numFmtId="0" fontId="1" fillId="5" borderId="15" xfId="0" applyFont="1" applyFill="1" applyBorder="1" applyAlignment="1">
      <alignment vertical="top"/>
    </xf>
    <xf numFmtId="0" fontId="1" fillId="2" borderId="15" xfId="0" applyFont="1" applyFill="1" applyBorder="1" applyAlignment="1">
      <alignment vertical="top"/>
    </xf>
    <xf numFmtId="0" fontId="5" fillId="21" borderId="0" xfId="0" applyFont="1" applyFill="1"/>
    <xf numFmtId="0" fontId="1" fillId="23" borderId="15" xfId="0" applyFont="1" applyFill="1" applyBorder="1"/>
    <xf numFmtId="0" fontId="0" fillId="12" borderId="15" xfId="0" applyFill="1" applyBorder="1"/>
    <xf numFmtId="0" fontId="1" fillId="2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0" fontId="5" fillId="12" borderId="0" xfId="0" applyFont="1" applyFill="1"/>
    <xf numFmtId="14" fontId="0" fillId="24" borderId="0" xfId="0" applyNumberFormat="1" applyFill="1"/>
    <xf numFmtId="0" fontId="6" fillId="26" borderId="15" xfId="0" applyFont="1" applyFill="1" applyBorder="1"/>
    <xf numFmtId="0" fontId="0" fillId="27" borderId="15" xfId="0" applyFill="1" applyBorder="1" applyAlignment="1">
      <alignment vertical="top"/>
    </xf>
    <xf numFmtId="0" fontId="0" fillId="28" borderId="15" xfId="0" applyFill="1" applyBorder="1" applyAlignment="1">
      <alignment vertical="top"/>
    </xf>
    <xf numFmtId="0" fontId="6" fillId="25" borderId="13" xfId="0" applyFont="1" applyFill="1" applyBorder="1" applyAlignment="1">
      <alignment horizontal="center"/>
    </xf>
    <xf numFmtId="0" fontId="6" fillId="12" borderId="15" xfId="0" applyFont="1" applyFill="1" applyBorder="1"/>
    <xf numFmtId="0" fontId="6" fillId="29" borderId="15" xfId="0" applyFont="1" applyFill="1" applyBorder="1"/>
    <xf numFmtId="0" fontId="0" fillId="6" borderId="15" xfId="0" applyFill="1" applyBorder="1" applyAlignment="1">
      <alignment vertical="top"/>
    </xf>
    <xf numFmtId="0" fontId="0" fillId="30" borderId="15" xfId="0" applyFill="1" applyBorder="1" applyAlignment="1">
      <alignment vertical="top"/>
    </xf>
    <xf numFmtId="0" fontId="0" fillId="8" borderId="15" xfId="0" applyFill="1" applyBorder="1" applyAlignment="1">
      <alignment vertical="top"/>
    </xf>
    <xf numFmtId="0" fontId="6" fillId="20" borderId="15" xfId="0" applyFont="1" applyFill="1" applyBorder="1"/>
    <xf numFmtId="0" fontId="0" fillId="31" borderId="15" xfId="0" applyFill="1" applyBorder="1" applyAlignment="1">
      <alignment vertical="top"/>
    </xf>
    <xf numFmtId="0" fontId="6" fillId="13" borderId="15" xfId="0" applyFont="1" applyFill="1" applyBorder="1"/>
    <xf numFmtId="0" fontId="7" fillId="0" borderId="0" xfId="0" applyFont="1"/>
    <xf numFmtId="0" fontId="7" fillId="14" borderId="0" xfId="0" applyFont="1" applyFill="1"/>
    <xf numFmtId="0" fontId="7" fillId="27" borderId="15" xfId="0" applyFont="1" applyFill="1" applyBorder="1" applyAlignment="1">
      <alignment vertical="top"/>
    </xf>
    <xf numFmtId="0" fontId="7" fillId="28" borderId="15" xfId="0" applyFont="1" applyFill="1" applyBorder="1" applyAlignment="1">
      <alignment vertical="top"/>
    </xf>
    <xf numFmtId="0" fontId="7" fillId="15" borderId="5" xfId="0" applyFont="1" applyFill="1" applyBorder="1"/>
    <xf numFmtId="0" fontId="8" fillId="25" borderId="13" xfId="0" applyFont="1" applyFill="1" applyBorder="1" applyAlignment="1">
      <alignment horizontal="center"/>
    </xf>
    <xf numFmtId="0" fontId="7" fillId="0" borderId="13" xfId="0" applyFont="1" applyBorder="1"/>
    <xf numFmtId="0" fontId="7" fillId="6" borderId="15" xfId="0" applyFont="1" applyFill="1" applyBorder="1" applyAlignment="1">
      <alignment vertical="top"/>
    </xf>
    <xf numFmtId="0" fontId="8" fillId="26" borderId="15" xfId="0" applyFont="1" applyFill="1" applyBorder="1"/>
    <xf numFmtId="0" fontId="9" fillId="14" borderId="0" xfId="0" applyFont="1" applyFill="1"/>
    <xf numFmtId="0" fontId="8" fillId="12" borderId="15" xfId="0" applyFont="1" applyFill="1" applyBorder="1"/>
    <xf numFmtId="0" fontId="1" fillId="2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8" fillId="29" borderId="15" xfId="0" applyFont="1" applyFill="1" applyBorder="1"/>
    <xf numFmtId="0" fontId="1" fillId="28" borderId="15" xfId="0" applyFont="1" applyFill="1" applyBorder="1" applyAlignment="1">
      <alignment vertical="top"/>
    </xf>
    <xf numFmtId="0" fontId="0" fillId="28" borderId="15" xfId="0" applyFont="1" applyFill="1" applyBorder="1" applyAlignment="1">
      <alignment vertical="top"/>
    </xf>
    <xf numFmtId="0" fontId="7" fillId="5" borderId="15" xfId="0" applyFont="1" applyFill="1" applyBorder="1" applyAlignment="1">
      <alignment vertical="top"/>
    </xf>
    <xf numFmtId="0" fontId="1" fillId="2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7" fillId="12" borderId="0" xfId="0" applyFont="1" applyFill="1"/>
    <xf numFmtId="0" fontId="8" fillId="9" borderId="15" xfId="0" applyFont="1" applyFill="1" applyBorder="1"/>
    <xf numFmtId="164" fontId="0" fillId="0" borderId="0" xfId="0" applyNumberFormat="1"/>
    <xf numFmtId="0" fontId="1" fillId="22" borderId="2" xfId="0" applyFont="1" applyFill="1" applyBorder="1" applyAlignment="1">
      <alignment horizontal="center"/>
    </xf>
    <xf numFmtId="0" fontId="1" fillId="22" borderId="3" xfId="0" applyFont="1" applyFill="1" applyBorder="1" applyAlignment="1">
      <alignment horizontal="center"/>
    </xf>
    <xf numFmtId="0" fontId="0" fillId="12" borderId="12" xfId="0" applyFill="1" applyBorder="1" applyAlignment="1">
      <alignment horizontal="center" wrapText="1"/>
    </xf>
    <xf numFmtId="0" fontId="0" fillId="12" borderId="13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10" fontId="0" fillId="0" borderId="9" xfId="0" applyNumberFormat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0" fontId="4" fillId="18" borderId="9" xfId="0" applyFont="1" applyFill="1" applyBorder="1" applyAlignment="1">
      <alignment horizontal="center" vertical="center"/>
    </xf>
    <xf numFmtId="0" fontId="0" fillId="18" borderId="10" xfId="0" applyFill="1" applyBorder="1" applyAlignment="1">
      <alignment horizontal="center" vertical="center"/>
    </xf>
    <xf numFmtId="0" fontId="0" fillId="18" borderId="11" xfId="0" applyFill="1" applyBorder="1" applyAlignment="1">
      <alignment horizontal="center" vertical="center"/>
    </xf>
    <xf numFmtId="0" fontId="0" fillId="0" borderId="16" xfId="0" applyBorder="1" applyAlignment="1">
      <alignment horizontal="center" wrapText="1"/>
    </xf>
    <xf numFmtId="0" fontId="0" fillId="16" borderId="6" xfId="0" applyFill="1" applyBorder="1" applyAlignment="1">
      <alignment horizontal="center" vertical="center"/>
    </xf>
    <xf numFmtId="0" fontId="0" fillId="16" borderId="7" xfId="0" applyFill="1" applyBorder="1" applyAlignment="1">
      <alignment horizontal="center" vertical="center"/>
    </xf>
    <xf numFmtId="0" fontId="3" fillId="16" borderId="7" xfId="0" applyFont="1" applyFill="1" applyBorder="1" applyAlignment="1">
      <alignment horizontal="center" vertical="center"/>
    </xf>
    <xf numFmtId="0" fontId="3" fillId="16" borderId="8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2" borderId="1" xfId="0" applyFont="1" applyFill="1" applyBorder="1" applyAlignment="1">
      <alignment horizontal="center"/>
    </xf>
    <xf numFmtId="0" fontId="1" fillId="21" borderId="1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0" fontId="1" fillId="21" borderId="3" xfId="0" applyFont="1" applyFill="1" applyBorder="1" applyAlignment="1">
      <alignment horizontal="center"/>
    </xf>
    <xf numFmtId="0" fontId="11" fillId="14" borderId="0" xfId="0" applyFont="1" applyFill="1"/>
    <xf numFmtId="0" fontId="11" fillId="6" borderId="15" xfId="0" applyFont="1" applyFill="1" applyBorder="1" applyAlignment="1">
      <alignment vertical="top"/>
    </xf>
    <xf numFmtId="0" fontId="11" fillId="0" borderId="0" xfId="0" applyFont="1"/>
    <xf numFmtId="0" fontId="11" fillId="15" borderId="5" xfId="0" applyFont="1" applyFill="1" applyBorder="1"/>
    <xf numFmtId="0" fontId="12" fillId="25" borderId="13" xfId="0" applyFont="1" applyFill="1" applyBorder="1" applyAlignment="1">
      <alignment horizontal="center"/>
    </xf>
    <xf numFmtId="0" fontId="12" fillId="26" borderId="15" xfId="0" applyFont="1" applyFill="1" applyBorder="1"/>
    <xf numFmtId="0" fontId="11" fillId="27" borderId="15" xfId="0" applyFont="1" applyFill="1" applyBorder="1" applyAlignment="1">
      <alignment vertical="top"/>
    </xf>
    <xf numFmtId="0" fontId="11" fillId="12" borderId="0" xfId="0" applyFont="1" applyFill="1"/>
    <xf numFmtId="0" fontId="11" fillId="32" borderId="0" xfId="0" applyFont="1" applyFill="1"/>
    <xf numFmtId="0" fontId="11" fillId="32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F243"/>
      <color rgb="FFCC66FF"/>
      <color rgb="FFFFCC00"/>
      <color rgb="FF99FF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A421C-F23A-429E-B219-2A5DEABBFF78}">
  <dimension ref="A1:AY101"/>
  <sheetViews>
    <sheetView tabSelected="1" zoomScale="85" zoomScaleNormal="85" workbookViewId="0">
      <selection activeCell="T14" sqref="T14"/>
    </sheetView>
  </sheetViews>
  <sheetFormatPr defaultRowHeight="15"/>
  <cols>
    <col min="1" max="1" width="11.85546875" bestFit="1" customWidth="1"/>
    <col min="2" max="2" width="9" customWidth="1"/>
    <col min="3" max="3" width="5.7109375" bestFit="1" customWidth="1"/>
    <col min="4" max="4" width="6.42578125" customWidth="1"/>
    <col min="5" max="5" width="5.7109375" bestFit="1" customWidth="1"/>
    <col min="6" max="6" width="6.5703125" customWidth="1"/>
    <col min="7" max="7" width="5" bestFit="1" customWidth="1"/>
    <col min="8" max="14" width="7.28515625" customWidth="1"/>
    <col min="15" max="15" width="7.140625" customWidth="1"/>
    <col min="16" max="23" width="7.28515625" customWidth="1"/>
    <col min="24" max="31" width="7.28515625" hidden="1" customWidth="1"/>
    <col min="32" max="32" width="5.140625" bestFit="1" customWidth="1"/>
    <col min="33" max="35" width="5.140625" customWidth="1"/>
    <col min="36" max="36" width="5.140625" bestFit="1" customWidth="1"/>
    <col min="50" max="50" width="11" bestFit="1" customWidth="1"/>
  </cols>
  <sheetData>
    <row r="1" spans="1:51" ht="28.15" customHeight="1" thickBot="1">
      <c r="A1" s="117">
        <f ca="1">(_xlfn.DAYS(TODAY(),A4)+2)/((_xlfn.DAYS(A94,A4))+1)</f>
        <v>0.69230769230769229</v>
      </c>
      <c r="B1" s="118"/>
      <c r="C1" s="118"/>
      <c r="D1" s="118"/>
      <c r="E1" s="118"/>
      <c r="F1" s="118"/>
      <c r="G1" s="119"/>
      <c r="H1" s="120" t="s">
        <v>37</v>
      </c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2"/>
      <c r="AG1" s="42"/>
      <c r="AH1" s="42"/>
      <c r="AI1" s="42"/>
      <c r="AL1" s="116" t="s">
        <v>42</v>
      </c>
      <c r="AM1" s="116"/>
      <c r="AN1" s="116"/>
    </row>
    <row r="2" spans="1:51" ht="16.149999999999999" customHeight="1" thickBot="1">
      <c r="A2" t="s">
        <v>78</v>
      </c>
      <c r="B2" s="51"/>
      <c r="C2" s="124" t="s">
        <v>35</v>
      </c>
      <c r="D2" s="125"/>
      <c r="E2" s="126">
        <f>SUM(E4:E94)+SUM(G4:G94)</f>
        <v>10995</v>
      </c>
      <c r="F2" s="126"/>
      <c r="G2" s="127"/>
      <c r="H2" s="128" t="s">
        <v>48</v>
      </c>
      <c r="I2" s="129"/>
      <c r="J2" s="107" t="s">
        <v>46</v>
      </c>
      <c r="K2" s="107">
        <f>COUNTIF(H4:O94,"&lt;&gt;空")-3</f>
        <v>85</v>
      </c>
      <c r="L2" s="129" t="s">
        <v>45</v>
      </c>
      <c r="M2" s="129"/>
      <c r="N2" s="129"/>
      <c r="O2" s="130"/>
      <c r="P2" s="131" t="s">
        <v>49</v>
      </c>
      <c r="Q2" s="111"/>
      <c r="R2" s="106" t="s">
        <v>46</v>
      </c>
      <c r="S2" s="106">
        <f>COUNTIF(P4:W94,"&lt;&gt;空")</f>
        <v>0</v>
      </c>
      <c r="T2" s="111" t="s">
        <v>45</v>
      </c>
      <c r="U2" s="111"/>
      <c r="V2" s="111"/>
      <c r="W2" s="112"/>
      <c r="X2" s="131" t="s">
        <v>33</v>
      </c>
      <c r="Y2" s="111"/>
      <c r="Z2" s="58" t="s">
        <v>44</v>
      </c>
      <c r="AA2" s="106">
        <f>COUNTIF(X4:AE94,"&lt;&gt;空")</f>
        <v>0</v>
      </c>
      <c r="AB2" s="111" t="s">
        <v>45</v>
      </c>
      <c r="AC2" s="111"/>
      <c r="AD2" s="111"/>
      <c r="AE2" s="112"/>
      <c r="AF2" s="41">
        <f>SUM(AF4:AF94)</f>
        <v>20</v>
      </c>
      <c r="AG2" s="41">
        <f t="shared" ref="AG2:AI2" si="0">SUM(AG4:AG94)</f>
        <v>22</v>
      </c>
      <c r="AH2" s="41">
        <f>SUM(AH4:AH94)</f>
        <v>18</v>
      </c>
      <c r="AI2" s="41">
        <f t="shared" si="0"/>
        <v>0</v>
      </c>
      <c r="AJ2" s="113" t="s">
        <v>29</v>
      </c>
      <c r="AL2" s="123"/>
      <c r="AM2" s="123"/>
      <c r="AN2" s="123"/>
      <c r="AV2" s="10"/>
      <c r="AW2" s="11" t="s">
        <v>32</v>
      </c>
    </row>
    <row r="3" spans="1:51" ht="60.75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60">
        <v>1</v>
      </c>
      <c r="Q3" s="61">
        <v>2</v>
      </c>
      <c r="R3" s="61">
        <v>3</v>
      </c>
      <c r="S3" s="61">
        <v>4</v>
      </c>
      <c r="T3" s="61">
        <v>5</v>
      </c>
      <c r="U3" s="61">
        <v>6</v>
      </c>
      <c r="V3" s="61">
        <v>7</v>
      </c>
      <c r="W3" s="61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114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.75" thickBot="1">
      <c r="A4" s="76">
        <v>44456</v>
      </c>
      <c r="B4" s="135">
        <v>800</v>
      </c>
      <c r="C4" s="135" cm="1">
        <f t="array" ref="C4">(SUM(VLOOKUP(H4:AE4,$AL$4:$AN$44,2,FALSE))+AF4*10)*IF(AJ4="是",$AW$4,$AW$3)</f>
        <v>750</v>
      </c>
      <c r="D4" s="135">
        <f>SUM($B$4:B4)-SUM($C$4:C4)</f>
        <v>50</v>
      </c>
      <c r="E4" s="135" cm="1">
        <f t="array" ref="E4">SUM(VLOOKUP(H4:AE4,$AL$4:$AN$44,3,FALSE))</f>
        <v>175</v>
      </c>
      <c r="F4" s="135">
        <f>SUM($E$4:E4)+SUM($G$4:G4)</f>
        <v>175</v>
      </c>
      <c r="G4" s="135">
        <v>0</v>
      </c>
      <c r="H4" s="136" t="s">
        <v>16</v>
      </c>
      <c r="I4" s="136" t="s">
        <v>16</v>
      </c>
      <c r="J4" s="136" t="s">
        <v>16</v>
      </c>
      <c r="K4" s="136" t="s">
        <v>16</v>
      </c>
      <c r="L4" s="136" t="s">
        <v>16</v>
      </c>
      <c r="M4" s="137" t="s">
        <v>23</v>
      </c>
      <c r="N4" s="138" t="s">
        <v>23</v>
      </c>
      <c r="O4" s="138" t="s">
        <v>23</v>
      </c>
      <c r="P4" s="137" t="s">
        <v>23</v>
      </c>
      <c r="Q4" s="137" t="s">
        <v>23</v>
      </c>
      <c r="R4" s="137" t="s">
        <v>23</v>
      </c>
      <c r="S4" s="137" t="s">
        <v>23</v>
      </c>
      <c r="T4" s="137" t="s">
        <v>23</v>
      </c>
      <c r="U4" s="137" t="s">
        <v>23</v>
      </c>
      <c r="V4" s="138" t="s">
        <v>23</v>
      </c>
      <c r="W4" s="138" t="s">
        <v>23</v>
      </c>
      <c r="X4" s="137" t="s">
        <v>23</v>
      </c>
      <c r="Y4" s="137" t="s">
        <v>23</v>
      </c>
      <c r="Z4" s="137" t="s">
        <v>23</v>
      </c>
      <c r="AA4" s="137" t="s">
        <v>23</v>
      </c>
      <c r="AB4" s="137" t="s">
        <v>23</v>
      </c>
      <c r="AC4" s="137" t="s">
        <v>23</v>
      </c>
      <c r="AD4" s="138" t="s">
        <v>23</v>
      </c>
      <c r="AE4" s="138" t="s">
        <v>23</v>
      </c>
      <c r="AF4" s="139">
        <v>0</v>
      </c>
      <c r="AG4" s="94"/>
      <c r="AH4" s="94"/>
      <c r="AI4" s="94"/>
      <c r="AJ4" s="95" t="s">
        <v>30</v>
      </c>
      <c r="AL4" s="20" t="s">
        <v>16</v>
      </c>
      <c r="AM4" s="19">
        <v>150</v>
      </c>
      <c r="AN4" s="19">
        <v>35</v>
      </c>
      <c r="AO4" s="19">
        <f t="shared" ref="AO4:AO26" si="1">COUNTIF($H$4:$O$94,AL4)</f>
        <v>15</v>
      </c>
      <c r="AP4" s="19">
        <f>COUNTIF($P$4:$W$94,AL4)</f>
        <v>0</v>
      </c>
      <c r="AQ4" s="19">
        <f>COUNTIF($X$4:$AE$94,AL4)</f>
        <v>0</v>
      </c>
      <c r="AR4" s="19">
        <f>AO4+AP4+AQ4</f>
        <v>15</v>
      </c>
      <c r="AS4" s="50">
        <f>AO4*$AN4</f>
        <v>525</v>
      </c>
      <c r="AT4" s="50">
        <f t="shared" ref="AT4:AU19" si="2">AP4*$AN4</f>
        <v>0</v>
      </c>
      <c r="AU4" s="50">
        <f t="shared" si="2"/>
        <v>0</v>
      </c>
      <c r="AV4" s="45" t="s">
        <v>26</v>
      </c>
      <c r="AW4" s="15">
        <v>0.8</v>
      </c>
      <c r="AX4" s="53">
        <f>AN4/AY4</f>
        <v>0.29166666666666669</v>
      </c>
      <c r="AY4">
        <f>AM4*0.8</f>
        <v>120</v>
      </c>
    </row>
    <row r="5" spans="1:51">
      <c r="A5" s="76">
        <v>44457</v>
      </c>
      <c r="B5" s="135">
        <v>1600</v>
      </c>
      <c r="C5" s="135" cm="1">
        <f t="array" ref="C5">(SUM(VLOOKUP(H5:AE5,$AL$4:$AN$44,2,FALSE))+AF5*10)*IF(AJ5="是",$AW$4,$AW$3)</f>
        <v>900</v>
      </c>
      <c r="D5" s="135">
        <f>SUM($B$4:B5)-SUM($C$4:C5)</f>
        <v>750</v>
      </c>
      <c r="E5" s="135" cm="1">
        <f t="array" ref="E5">SUM(VLOOKUP(H5:AE5,$AL$4:$AN$44,3,FALSE))</f>
        <v>210</v>
      </c>
      <c r="F5" s="135">
        <f>SUM($E$4:E5)+SUM($G$4:G5)</f>
        <v>885</v>
      </c>
      <c r="G5" s="135">
        <v>500</v>
      </c>
      <c r="H5" s="136" t="s">
        <v>16</v>
      </c>
      <c r="I5" s="136" t="s">
        <v>16</v>
      </c>
      <c r="J5" s="136" t="s">
        <v>16</v>
      </c>
      <c r="K5" s="136" t="s">
        <v>16</v>
      </c>
      <c r="L5" s="136" t="s">
        <v>16</v>
      </c>
      <c r="M5" s="136" t="s">
        <v>16</v>
      </c>
      <c r="N5" s="138" t="s">
        <v>23</v>
      </c>
      <c r="O5" s="138" t="s">
        <v>23</v>
      </c>
      <c r="P5" s="137" t="s">
        <v>23</v>
      </c>
      <c r="Q5" s="137" t="s">
        <v>23</v>
      </c>
      <c r="R5" s="137" t="s">
        <v>23</v>
      </c>
      <c r="S5" s="137" t="s">
        <v>23</v>
      </c>
      <c r="T5" s="137" t="s">
        <v>23</v>
      </c>
      <c r="U5" s="137" t="s">
        <v>23</v>
      </c>
      <c r="V5" s="138" t="s">
        <v>23</v>
      </c>
      <c r="W5" s="138" t="s">
        <v>23</v>
      </c>
      <c r="X5" s="137" t="s">
        <v>23</v>
      </c>
      <c r="Y5" s="137" t="s">
        <v>23</v>
      </c>
      <c r="Z5" s="137" t="s">
        <v>23</v>
      </c>
      <c r="AA5" s="137" t="s">
        <v>23</v>
      </c>
      <c r="AB5" s="137" t="s">
        <v>23</v>
      </c>
      <c r="AC5" s="137" t="s">
        <v>23</v>
      </c>
      <c r="AD5" s="138" t="s">
        <v>23</v>
      </c>
      <c r="AE5" s="138" t="s">
        <v>23</v>
      </c>
      <c r="AF5" s="139">
        <v>0</v>
      </c>
      <c r="AG5" s="94"/>
      <c r="AH5" s="94"/>
      <c r="AI5" s="94"/>
      <c r="AJ5" s="95" t="s">
        <v>30</v>
      </c>
      <c r="AL5" s="21" t="s">
        <v>17</v>
      </c>
      <c r="AM5" s="19">
        <v>160</v>
      </c>
      <c r="AN5" s="19">
        <v>40</v>
      </c>
      <c r="AO5" s="19">
        <f t="shared" si="1"/>
        <v>17</v>
      </c>
      <c r="AP5" s="19">
        <f t="shared" ref="AP5:AP26" si="3">COUNTIF($P$4:$W$94,AL5)</f>
        <v>0</v>
      </c>
      <c r="AQ5" s="19">
        <f t="shared" ref="AQ5:AQ26" si="4">COUNTIF($X$4:$AE$94,AL5)</f>
        <v>0</v>
      </c>
      <c r="AR5" s="19">
        <f t="shared" ref="AR5:AR26" si="5">AO5+AP5+AQ5</f>
        <v>17</v>
      </c>
      <c r="AS5" s="50">
        <f t="shared" ref="AS5:AU28" si="6">AO5*$AN5</f>
        <v>680</v>
      </c>
      <c r="AT5" s="50">
        <f t="shared" si="2"/>
        <v>0</v>
      </c>
      <c r="AU5" s="50">
        <f t="shared" si="2"/>
        <v>0</v>
      </c>
      <c r="AV5" s="115" t="s">
        <v>34</v>
      </c>
      <c r="AW5" s="115"/>
      <c r="AX5" s="53">
        <f t="shared" ref="AX5:AX26" si="7">AN5/AY5</f>
        <v>0.3125</v>
      </c>
      <c r="AY5">
        <f t="shared" ref="AY5:AY28" si="8">AM5*0.8</f>
        <v>128</v>
      </c>
    </row>
    <row r="6" spans="1:51">
      <c r="A6" s="76">
        <v>44458</v>
      </c>
      <c r="B6" s="135">
        <v>1600</v>
      </c>
      <c r="C6" s="135" cm="1">
        <f t="array" ref="C6">(SUM(VLOOKUP(H6:AE6,$AL$4:$AN$44,2,FALSE))+AF6*10)*IF(AJ6="是",$AW$4,$AW$3)</f>
        <v>860</v>
      </c>
      <c r="D6" s="135">
        <f>SUM($B$4:B6)-SUM($C$4:C6)</f>
        <v>1490</v>
      </c>
      <c r="E6" s="135" cm="1">
        <f t="array" ref="E6">SUM(VLOOKUP(H6:AE6,$AL$4:$AN$44,3,FALSE))</f>
        <v>210</v>
      </c>
      <c r="F6" s="135">
        <f>SUM($E$4:E6)+SUM($G$4:G6)</f>
        <v>1095</v>
      </c>
      <c r="G6" s="135">
        <v>0</v>
      </c>
      <c r="H6" s="136" t="s">
        <v>16</v>
      </c>
      <c r="I6" s="136" t="s">
        <v>16</v>
      </c>
      <c r="J6" s="136" t="s">
        <v>16</v>
      </c>
      <c r="K6" s="136" t="s">
        <v>16</v>
      </c>
      <c r="L6" s="141" t="s">
        <v>17</v>
      </c>
      <c r="M6" s="140" t="s">
        <v>12</v>
      </c>
      <c r="N6" s="138" t="s">
        <v>23</v>
      </c>
      <c r="O6" s="138" t="s">
        <v>23</v>
      </c>
      <c r="P6" s="137" t="s">
        <v>23</v>
      </c>
      <c r="Q6" s="137" t="s">
        <v>23</v>
      </c>
      <c r="R6" s="137" t="s">
        <v>23</v>
      </c>
      <c r="S6" s="137" t="s">
        <v>23</v>
      </c>
      <c r="T6" s="137" t="s">
        <v>23</v>
      </c>
      <c r="U6" s="137" t="s">
        <v>23</v>
      </c>
      <c r="V6" s="138" t="s">
        <v>23</v>
      </c>
      <c r="W6" s="138" t="s">
        <v>23</v>
      </c>
      <c r="X6" s="137" t="s">
        <v>23</v>
      </c>
      <c r="Y6" s="137" t="s">
        <v>23</v>
      </c>
      <c r="Z6" s="137" t="s">
        <v>23</v>
      </c>
      <c r="AA6" s="137" t="s">
        <v>23</v>
      </c>
      <c r="AB6" s="137" t="s">
        <v>23</v>
      </c>
      <c r="AC6" s="137" t="s">
        <v>23</v>
      </c>
      <c r="AD6" s="138" t="s">
        <v>23</v>
      </c>
      <c r="AE6" s="138" t="s">
        <v>23</v>
      </c>
      <c r="AF6" s="139">
        <v>5</v>
      </c>
      <c r="AG6" s="94">
        <v>5</v>
      </c>
      <c r="AH6" s="94"/>
      <c r="AI6" s="94"/>
      <c r="AJ6" s="95" t="s">
        <v>30</v>
      </c>
      <c r="AL6" s="22" t="s">
        <v>18</v>
      </c>
      <c r="AM6" s="19">
        <v>170</v>
      </c>
      <c r="AN6" s="19">
        <v>45</v>
      </c>
      <c r="AO6" s="19">
        <f t="shared" si="1"/>
        <v>36</v>
      </c>
      <c r="AP6" s="19">
        <f t="shared" si="3"/>
        <v>0</v>
      </c>
      <c r="AQ6" s="19">
        <f t="shared" si="4"/>
        <v>0</v>
      </c>
      <c r="AR6" s="19">
        <f t="shared" si="5"/>
        <v>36</v>
      </c>
      <c r="AS6" s="50">
        <f t="shared" si="6"/>
        <v>1620</v>
      </c>
      <c r="AT6" s="50">
        <f t="shared" si="2"/>
        <v>0</v>
      </c>
      <c r="AU6" s="50">
        <f t="shared" si="2"/>
        <v>0</v>
      </c>
      <c r="AV6" s="116"/>
      <c r="AW6" s="116"/>
      <c r="AX6" s="53">
        <f t="shared" si="7"/>
        <v>0.33088235294117646</v>
      </c>
      <c r="AY6">
        <f t="shared" si="8"/>
        <v>136</v>
      </c>
    </row>
    <row r="7" spans="1:51">
      <c r="A7" s="76">
        <v>44459</v>
      </c>
      <c r="B7" s="137">
        <v>1600</v>
      </c>
      <c r="C7" s="135" cm="1">
        <f t="array" ref="C7">(SUM(VLOOKUP(H7:AE7,$AL$4:$AN$44,2,FALSE))+AF7*10)*IF(AJ7="是",$AW$4,$AW$3)</f>
        <v>870</v>
      </c>
      <c r="D7" s="137">
        <f>SUM($B$4:B7)-SUM($C$4:C7)</f>
        <v>2220</v>
      </c>
      <c r="E7" s="135" cm="1">
        <f t="array" ref="E7">SUM(VLOOKUP(H7:AE7,$AL$4:$AN$44,3,FALSE))</f>
        <v>275</v>
      </c>
      <c r="F7" s="135">
        <f>SUM($E$4:E7)+SUM($G$4:G7)</f>
        <v>1670</v>
      </c>
      <c r="G7" s="137">
        <v>300</v>
      </c>
      <c r="H7" s="141" t="s">
        <v>17</v>
      </c>
      <c r="I7" s="141" t="s">
        <v>17</v>
      </c>
      <c r="J7" s="141" t="s">
        <v>17</v>
      </c>
      <c r="K7" s="141" t="s">
        <v>17</v>
      </c>
      <c r="L7" s="140" t="s">
        <v>12</v>
      </c>
      <c r="M7" s="141" t="s">
        <v>17</v>
      </c>
      <c r="N7" s="29" t="s">
        <v>13</v>
      </c>
      <c r="O7" s="22" t="s">
        <v>18</v>
      </c>
      <c r="P7" s="137" t="s">
        <v>23</v>
      </c>
      <c r="Q7" s="137" t="s">
        <v>23</v>
      </c>
      <c r="R7" s="137" t="s">
        <v>23</v>
      </c>
      <c r="S7" s="137" t="s">
        <v>23</v>
      </c>
      <c r="T7" s="137" t="s">
        <v>23</v>
      </c>
      <c r="U7" s="137" t="s">
        <v>23</v>
      </c>
      <c r="V7" s="138" t="s">
        <v>23</v>
      </c>
      <c r="W7" s="138" t="s">
        <v>23</v>
      </c>
      <c r="X7" s="137" t="s">
        <v>23</v>
      </c>
      <c r="Y7" s="137" t="s">
        <v>23</v>
      </c>
      <c r="Z7" s="137" t="s">
        <v>23</v>
      </c>
      <c r="AA7" s="137" t="s">
        <v>23</v>
      </c>
      <c r="AB7" s="137" t="s">
        <v>23</v>
      </c>
      <c r="AC7" s="137" t="s">
        <v>23</v>
      </c>
      <c r="AD7" s="138" t="s">
        <v>23</v>
      </c>
      <c r="AE7" s="138" t="s">
        <v>23</v>
      </c>
      <c r="AF7" s="139">
        <v>0</v>
      </c>
      <c r="AG7" s="94"/>
      <c r="AH7" s="94"/>
      <c r="AI7" s="94"/>
      <c r="AJ7" s="95" t="s">
        <v>30</v>
      </c>
      <c r="AL7" s="23" t="s">
        <v>19</v>
      </c>
      <c r="AM7" s="19">
        <v>180</v>
      </c>
      <c r="AN7" s="19">
        <v>50</v>
      </c>
      <c r="AO7" s="19">
        <f t="shared" si="1"/>
        <v>0</v>
      </c>
      <c r="AP7" s="19">
        <f t="shared" si="3"/>
        <v>0</v>
      </c>
      <c r="AQ7" s="19">
        <f t="shared" si="4"/>
        <v>0</v>
      </c>
      <c r="AR7" s="71">
        <f t="shared" si="5"/>
        <v>0</v>
      </c>
      <c r="AS7" s="50">
        <f t="shared" si="6"/>
        <v>0</v>
      </c>
      <c r="AT7" s="50">
        <f t="shared" si="2"/>
        <v>0</v>
      </c>
      <c r="AU7" s="50">
        <f t="shared" si="2"/>
        <v>0</v>
      </c>
      <c r="AV7" s="116"/>
      <c r="AW7" s="116"/>
      <c r="AX7" s="53">
        <f t="shared" si="7"/>
        <v>0.34722222222222221</v>
      </c>
      <c r="AY7">
        <f t="shared" si="8"/>
        <v>144</v>
      </c>
    </row>
    <row r="8" spans="1:51">
      <c r="A8" s="76">
        <v>44460</v>
      </c>
      <c r="B8" s="137">
        <v>1600</v>
      </c>
      <c r="C8" s="135" cm="1">
        <f t="array" ref="C8">(SUM(VLOOKUP(H8:AE8,$AL$4:$AN$44,2,FALSE))+AF8*10)*IF(AJ8="是",$AW$4,$AW$3)</f>
        <v>1030</v>
      </c>
      <c r="D8" s="137">
        <f>SUM($B$4:B8)-SUM($C$4:C8)</f>
        <v>2790</v>
      </c>
      <c r="E8" s="135" cm="1">
        <f t="array" ref="E8">SUM(VLOOKUP(H8:AE8,$AL$4:$AN$44,3,FALSE))</f>
        <v>250</v>
      </c>
      <c r="F8" s="135">
        <f>SUM($E$4:E8)+SUM($G$4:G8)</f>
        <v>1920</v>
      </c>
      <c r="G8" s="137">
        <v>0</v>
      </c>
      <c r="H8" s="22" t="s">
        <v>18</v>
      </c>
      <c r="I8" s="26" t="s">
        <v>11</v>
      </c>
      <c r="J8" s="22" t="s">
        <v>18</v>
      </c>
      <c r="K8" s="30" t="s">
        <v>72</v>
      </c>
      <c r="L8" s="141" t="s">
        <v>17</v>
      </c>
      <c r="M8" s="141" t="s">
        <v>17</v>
      </c>
      <c r="N8" s="138" t="s">
        <v>23</v>
      </c>
      <c r="O8" s="138" t="s">
        <v>23</v>
      </c>
      <c r="P8" s="137" t="s">
        <v>23</v>
      </c>
      <c r="Q8" s="137" t="s">
        <v>23</v>
      </c>
      <c r="R8" s="137" t="s">
        <v>23</v>
      </c>
      <c r="S8" s="137" t="s">
        <v>23</v>
      </c>
      <c r="T8" s="137" t="s">
        <v>23</v>
      </c>
      <c r="U8" s="137" t="s">
        <v>23</v>
      </c>
      <c r="V8" s="138" t="s">
        <v>23</v>
      </c>
      <c r="W8" s="138" t="s">
        <v>23</v>
      </c>
      <c r="X8" s="137" t="s">
        <v>23</v>
      </c>
      <c r="Y8" s="137" t="s">
        <v>23</v>
      </c>
      <c r="Z8" s="137" t="s">
        <v>23</v>
      </c>
      <c r="AA8" s="137" t="s">
        <v>23</v>
      </c>
      <c r="AB8" s="137" t="s">
        <v>23</v>
      </c>
      <c r="AC8" s="137" t="s">
        <v>23</v>
      </c>
      <c r="AD8" s="138" t="s">
        <v>23</v>
      </c>
      <c r="AE8" s="138" t="s">
        <v>23</v>
      </c>
      <c r="AF8" s="139">
        <v>5</v>
      </c>
      <c r="AG8" s="94">
        <v>5</v>
      </c>
      <c r="AH8" s="94"/>
      <c r="AI8" s="94"/>
      <c r="AJ8" s="95" t="s">
        <v>30</v>
      </c>
      <c r="AL8" s="24" t="s">
        <v>20</v>
      </c>
      <c r="AM8" s="19">
        <v>190</v>
      </c>
      <c r="AN8" s="19">
        <v>55</v>
      </c>
      <c r="AO8" s="19">
        <f t="shared" si="1"/>
        <v>0</v>
      </c>
      <c r="AP8" s="19">
        <f t="shared" si="3"/>
        <v>0</v>
      </c>
      <c r="AQ8" s="19">
        <f t="shared" si="4"/>
        <v>0</v>
      </c>
      <c r="AR8" s="71">
        <f t="shared" si="5"/>
        <v>0</v>
      </c>
      <c r="AS8" s="50">
        <f t="shared" si="6"/>
        <v>0</v>
      </c>
      <c r="AT8" s="50">
        <f t="shared" si="2"/>
        <v>0</v>
      </c>
      <c r="AU8" s="50">
        <f t="shared" si="2"/>
        <v>0</v>
      </c>
      <c r="AV8" s="116"/>
      <c r="AW8" s="116"/>
      <c r="AX8" s="53">
        <f t="shared" si="7"/>
        <v>0.36184210526315791</v>
      </c>
      <c r="AY8">
        <f t="shared" si="8"/>
        <v>152</v>
      </c>
    </row>
    <row r="9" spans="1:51">
      <c r="A9" s="76">
        <v>44461</v>
      </c>
      <c r="B9" s="137">
        <v>1600</v>
      </c>
      <c r="C9" s="135" cm="1">
        <f t="array" ref="C9">(SUM(VLOOKUP(H9:AE9,$AL$4:$AN$44,2,FALSE))+AF9*10)*IF(AJ9="是",$AW$4,$AW$3)</f>
        <v>940</v>
      </c>
      <c r="D9" s="137">
        <f>SUM($B$4:B9)-SUM($C$4:C9)</f>
        <v>3450</v>
      </c>
      <c r="E9" s="135" cm="1">
        <f t="array" ref="E9">SUM(VLOOKUP(H9:AE9,$AL$4:$AN$44,3,FALSE))</f>
        <v>235</v>
      </c>
      <c r="F9" s="135">
        <f>SUM($E$4:E9)+SUM($G$4:G9)</f>
        <v>2355</v>
      </c>
      <c r="G9" s="137">
        <v>200</v>
      </c>
      <c r="H9" s="141" t="s">
        <v>17</v>
      </c>
      <c r="I9" s="26" t="s">
        <v>11</v>
      </c>
      <c r="J9" s="141" t="s">
        <v>17</v>
      </c>
      <c r="K9" s="21" t="s">
        <v>6</v>
      </c>
      <c r="L9" s="141" t="s">
        <v>17</v>
      </c>
      <c r="M9" s="141" t="s">
        <v>17</v>
      </c>
      <c r="N9" s="138" t="s">
        <v>23</v>
      </c>
      <c r="O9" s="138" t="s">
        <v>23</v>
      </c>
      <c r="P9" s="137" t="s">
        <v>23</v>
      </c>
      <c r="Q9" s="137" t="s">
        <v>23</v>
      </c>
      <c r="R9" s="137" t="s">
        <v>23</v>
      </c>
      <c r="S9" s="137" t="s">
        <v>23</v>
      </c>
      <c r="T9" s="137" t="s">
        <v>23</v>
      </c>
      <c r="U9" s="137" t="s">
        <v>23</v>
      </c>
      <c r="V9" s="138" t="s">
        <v>23</v>
      </c>
      <c r="W9" s="138" t="s">
        <v>23</v>
      </c>
      <c r="X9" s="137" t="s">
        <v>23</v>
      </c>
      <c r="Y9" s="137" t="s">
        <v>23</v>
      </c>
      <c r="Z9" s="137" t="s">
        <v>23</v>
      </c>
      <c r="AA9" s="137" t="s">
        <v>23</v>
      </c>
      <c r="AB9" s="137" t="s">
        <v>23</v>
      </c>
      <c r="AC9" s="137" t="s">
        <v>23</v>
      </c>
      <c r="AD9" s="138" t="s">
        <v>23</v>
      </c>
      <c r="AE9" s="138" t="s">
        <v>23</v>
      </c>
      <c r="AF9" s="139">
        <v>0</v>
      </c>
      <c r="AG9" s="94"/>
      <c r="AH9" s="94"/>
      <c r="AI9" s="94"/>
      <c r="AJ9" s="95" t="s">
        <v>30</v>
      </c>
      <c r="AL9" s="25" t="s">
        <v>21</v>
      </c>
      <c r="AM9" s="19">
        <v>200</v>
      </c>
      <c r="AN9" s="19">
        <v>60</v>
      </c>
      <c r="AO9" s="19">
        <f t="shared" si="1"/>
        <v>0</v>
      </c>
      <c r="AP9" s="19">
        <f t="shared" si="3"/>
        <v>0</v>
      </c>
      <c r="AQ9" s="19">
        <f t="shared" si="4"/>
        <v>0</v>
      </c>
      <c r="AR9" s="71">
        <f t="shared" si="5"/>
        <v>0</v>
      </c>
      <c r="AS9" s="50">
        <f t="shared" si="6"/>
        <v>0</v>
      </c>
      <c r="AT9" s="50">
        <f t="shared" si="2"/>
        <v>0</v>
      </c>
      <c r="AU9" s="50">
        <f t="shared" si="2"/>
        <v>0</v>
      </c>
      <c r="AX9" s="53">
        <f t="shared" si="7"/>
        <v>0.375</v>
      </c>
      <c r="AY9">
        <f t="shared" si="8"/>
        <v>160</v>
      </c>
    </row>
    <row r="10" spans="1:51">
      <c r="A10" s="76">
        <v>44462</v>
      </c>
      <c r="B10" s="137">
        <v>1600</v>
      </c>
      <c r="C10" s="135" cm="1">
        <f t="array" ref="C10">(SUM(VLOOKUP(H10:AE10,$AL$4:$AN$44,2,FALSE))+AF10*10)*IF(AJ10="是",$AW$4,$AW$3)</f>
        <v>950</v>
      </c>
      <c r="D10" s="137">
        <f>SUM($B$4:B10)-SUM($C$4:C10)</f>
        <v>4100</v>
      </c>
      <c r="E10" s="135" cm="1">
        <f t="array" ref="E10">SUM(VLOOKUP(H10:AE10,$AL$4:$AN$44,3,FALSE))</f>
        <v>295</v>
      </c>
      <c r="F10" s="135">
        <f>SUM($E$4:E10)+SUM($G$4:G10)</f>
        <v>2650</v>
      </c>
      <c r="G10" s="137">
        <v>0</v>
      </c>
      <c r="H10" s="140" t="s">
        <v>12</v>
      </c>
      <c r="I10" s="22" t="s">
        <v>18</v>
      </c>
      <c r="J10" s="30" t="s">
        <v>72</v>
      </c>
      <c r="K10" s="141" t="s">
        <v>17</v>
      </c>
      <c r="L10" s="22" t="s">
        <v>18</v>
      </c>
      <c r="M10" s="22" t="s">
        <v>18</v>
      </c>
      <c r="N10" s="29" t="s">
        <v>13</v>
      </c>
      <c r="O10" s="22" t="s">
        <v>18</v>
      </c>
      <c r="P10" s="137" t="s">
        <v>23</v>
      </c>
      <c r="Q10" s="137" t="s">
        <v>23</v>
      </c>
      <c r="R10" s="137" t="s">
        <v>23</v>
      </c>
      <c r="S10" s="137" t="s">
        <v>23</v>
      </c>
      <c r="T10" s="137" t="s">
        <v>23</v>
      </c>
      <c r="U10" s="137" t="s">
        <v>23</v>
      </c>
      <c r="V10" s="138" t="s">
        <v>23</v>
      </c>
      <c r="W10" s="138" t="s">
        <v>23</v>
      </c>
      <c r="X10" s="137" t="s">
        <v>23</v>
      </c>
      <c r="Y10" s="137" t="s">
        <v>23</v>
      </c>
      <c r="Z10" s="137" t="s">
        <v>23</v>
      </c>
      <c r="AA10" s="137" t="s">
        <v>23</v>
      </c>
      <c r="AB10" s="137" t="s">
        <v>23</v>
      </c>
      <c r="AC10" s="137" t="s">
        <v>23</v>
      </c>
      <c r="AD10" s="138" t="s">
        <v>23</v>
      </c>
      <c r="AE10" s="138" t="s">
        <v>23</v>
      </c>
      <c r="AF10" s="139">
        <v>4</v>
      </c>
      <c r="AG10" s="94">
        <v>4</v>
      </c>
      <c r="AH10" s="94"/>
      <c r="AI10" s="94"/>
      <c r="AJ10" s="95" t="s">
        <v>30</v>
      </c>
      <c r="AL10" s="20" t="s">
        <v>5</v>
      </c>
      <c r="AM10" s="19">
        <v>150</v>
      </c>
      <c r="AN10" s="19">
        <v>35</v>
      </c>
      <c r="AO10" s="19">
        <f t="shared" si="1"/>
        <v>0</v>
      </c>
      <c r="AP10" s="19">
        <f t="shared" si="3"/>
        <v>0</v>
      </c>
      <c r="AQ10" s="19">
        <f t="shared" si="4"/>
        <v>0</v>
      </c>
      <c r="AR10" s="19">
        <f t="shared" si="5"/>
        <v>0</v>
      </c>
      <c r="AS10" s="50">
        <f t="shared" si="6"/>
        <v>0</v>
      </c>
      <c r="AT10" s="50">
        <f t="shared" si="2"/>
        <v>0</v>
      </c>
      <c r="AU10" s="50">
        <f t="shared" si="2"/>
        <v>0</v>
      </c>
      <c r="AX10" s="53">
        <f t="shared" si="7"/>
        <v>0.29166666666666669</v>
      </c>
      <c r="AY10">
        <f t="shared" si="8"/>
        <v>120</v>
      </c>
    </row>
    <row r="11" spans="1:51">
      <c r="A11" s="76">
        <v>44463</v>
      </c>
      <c r="B11" s="137">
        <v>1600</v>
      </c>
      <c r="C11" s="135" cm="1">
        <f t="array" ref="C11">(SUM(VLOOKUP(H11:AE11,$AL$4:$AN$44,2,FALSE))+AF11*10)*IF(AJ11="是",$AW$4,$AW$3)</f>
        <v>1030</v>
      </c>
      <c r="D11" s="137">
        <f>SUM($B$4:B11)-SUM($C$4:C11)</f>
        <v>4670</v>
      </c>
      <c r="E11" s="135" cm="1">
        <f t="array" ref="E11">SUM(VLOOKUP(H11:AE11,$AL$4:$AN$44,3,FALSE))</f>
        <v>410</v>
      </c>
      <c r="F11" s="135">
        <f>SUM($E$4:E11)+SUM($G$4:G11)</f>
        <v>3060</v>
      </c>
      <c r="G11" s="137">
        <v>0</v>
      </c>
      <c r="H11" s="30" t="s">
        <v>71</v>
      </c>
      <c r="I11" s="22" t="s">
        <v>18</v>
      </c>
      <c r="J11" s="22" t="s">
        <v>18</v>
      </c>
      <c r="K11" s="22" t="s">
        <v>18</v>
      </c>
      <c r="L11" s="140" t="s">
        <v>12</v>
      </c>
      <c r="M11" s="22" t="s">
        <v>18</v>
      </c>
      <c r="N11" s="138" t="s">
        <v>23</v>
      </c>
      <c r="O11" s="138" t="s">
        <v>23</v>
      </c>
      <c r="P11" s="137" t="s">
        <v>23</v>
      </c>
      <c r="Q11" s="137" t="s">
        <v>23</v>
      </c>
      <c r="R11" s="137" t="s">
        <v>23</v>
      </c>
      <c r="S11" s="137" t="s">
        <v>23</v>
      </c>
      <c r="T11" s="137" t="s">
        <v>23</v>
      </c>
      <c r="U11" s="137" t="s">
        <v>23</v>
      </c>
      <c r="V11" s="138" t="s">
        <v>23</v>
      </c>
      <c r="W11" s="138" t="s">
        <v>23</v>
      </c>
      <c r="X11" s="137" t="s">
        <v>23</v>
      </c>
      <c r="Y11" s="137" t="s">
        <v>23</v>
      </c>
      <c r="Z11" s="137" t="s">
        <v>23</v>
      </c>
      <c r="AA11" s="137" t="s">
        <v>23</v>
      </c>
      <c r="AB11" s="137" t="s">
        <v>23</v>
      </c>
      <c r="AC11" s="137" t="s">
        <v>23</v>
      </c>
      <c r="AD11" s="138" t="s">
        <v>23</v>
      </c>
      <c r="AE11" s="138" t="s">
        <v>23</v>
      </c>
      <c r="AF11" s="139">
        <v>5</v>
      </c>
      <c r="AG11" s="94">
        <v>5</v>
      </c>
      <c r="AH11" s="94"/>
      <c r="AI11" s="94"/>
      <c r="AJ11" s="95" t="s">
        <v>30</v>
      </c>
      <c r="AL11" s="21" t="s">
        <v>6</v>
      </c>
      <c r="AM11" s="19">
        <v>150</v>
      </c>
      <c r="AN11" s="19">
        <v>40</v>
      </c>
      <c r="AO11" s="19">
        <f t="shared" si="1"/>
        <v>2</v>
      </c>
      <c r="AP11" s="19">
        <f t="shared" si="3"/>
        <v>0</v>
      </c>
      <c r="AQ11" s="19">
        <f t="shared" si="4"/>
        <v>0</v>
      </c>
      <c r="AR11" s="19">
        <f t="shared" si="5"/>
        <v>2</v>
      </c>
      <c r="AS11" s="50">
        <f t="shared" si="6"/>
        <v>80</v>
      </c>
      <c r="AT11" s="50">
        <f t="shared" si="2"/>
        <v>0</v>
      </c>
      <c r="AU11" s="50">
        <f t="shared" si="2"/>
        <v>0</v>
      </c>
      <c r="AX11" s="53">
        <f t="shared" si="7"/>
        <v>0.33333333333333331</v>
      </c>
      <c r="AY11">
        <f t="shared" si="8"/>
        <v>120</v>
      </c>
    </row>
    <row r="12" spans="1:51">
      <c r="A12" s="76">
        <v>44464</v>
      </c>
      <c r="B12" s="137">
        <v>1600</v>
      </c>
      <c r="C12" s="135" cm="1">
        <f t="array" ref="C12">(SUM(VLOOKUP(H12:AE12,$AL$4:$AN$44,2,FALSE))+AF12*10)*IF(AJ12="是",$AW$4,$AW$3)</f>
        <v>1020</v>
      </c>
      <c r="D12" s="137">
        <f>SUM($B$4:B12)-SUM($C$4:C12)</f>
        <v>5250</v>
      </c>
      <c r="E12" s="135" cm="1">
        <f t="array" ref="E12">SUM(VLOOKUP(H12:AE12,$AL$4:$AN$44,3,FALSE))</f>
        <v>270</v>
      </c>
      <c r="F12" s="135">
        <f>SUM($E$4:E12)+SUM($G$4:G12)</f>
        <v>3330</v>
      </c>
      <c r="G12" s="137">
        <v>0</v>
      </c>
      <c r="H12" s="22" t="s">
        <v>18</v>
      </c>
      <c r="I12" s="22" t="s">
        <v>18</v>
      </c>
      <c r="J12" s="22" t="s">
        <v>18</v>
      </c>
      <c r="K12" s="22" t="s">
        <v>18</v>
      </c>
      <c r="L12" s="30" t="s">
        <v>72</v>
      </c>
      <c r="M12" s="22" t="s">
        <v>18</v>
      </c>
      <c r="N12" s="138" t="s">
        <v>23</v>
      </c>
      <c r="O12" s="138" t="s">
        <v>23</v>
      </c>
      <c r="P12" s="137" t="s">
        <v>23</v>
      </c>
      <c r="Q12" s="137" t="s">
        <v>23</v>
      </c>
      <c r="R12" s="137" t="s">
        <v>23</v>
      </c>
      <c r="S12" s="137" t="s">
        <v>23</v>
      </c>
      <c r="T12" s="137" t="s">
        <v>23</v>
      </c>
      <c r="U12" s="137" t="s">
        <v>23</v>
      </c>
      <c r="V12" s="138" t="s">
        <v>23</v>
      </c>
      <c r="W12" s="138" t="s">
        <v>23</v>
      </c>
      <c r="X12" s="137" t="s">
        <v>23</v>
      </c>
      <c r="Y12" s="137" t="s">
        <v>23</v>
      </c>
      <c r="Z12" s="137" t="s">
        <v>23</v>
      </c>
      <c r="AA12" s="137" t="s">
        <v>23</v>
      </c>
      <c r="AB12" s="137" t="s">
        <v>23</v>
      </c>
      <c r="AC12" s="137" t="s">
        <v>23</v>
      </c>
      <c r="AD12" s="138" t="s">
        <v>23</v>
      </c>
      <c r="AE12" s="138" t="s">
        <v>23</v>
      </c>
      <c r="AF12" s="139">
        <v>0</v>
      </c>
      <c r="AG12" s="94"/>
      <c r="AH12" s="94"/>
      <c r="AI12" s="94"/>
      <c r="AJ12" s="95" t="s">
        <v>30</v>
      </c>
      <c r="AL12" s="22" t="s">
        <v>7</v>
      </c>
      <c r="AM12" s="19">
        <v>150</v>
      </c>
      <c r="AN12" s="19">
        <v>45</v>
      </c>
      <c r="AO12" s="19">
        <f t="shared" si="1"/>
        <v>1</v>
      </c>
      <c r="AP12" s="19">
        <f t="shared" si="3"/>
        <v>0</v>
      </c>
      <c r="AQ12" s="19">
        <f t="shared" si="4"/>
        <v>0</v>
      </c>
      <c r="AR12" s="19">
        <f t="shared" si="5"/>
        <v>1</v>
      </c>
      <c r="AS12" s="50">
        <f t="shared" si="6"/>
        <v>45</v>
      </c>
      <c r="AT12" s="50">
        <f t="shared" si="2"/>
        <v>0</v>
      </c>
      <c r="AU12" s="50">
        <f t="shared" si="2"/>
        <v>0</v>
      </c>
      <c r="AX12" s="53">
        <f t="shared" si="7"/>
        <v>0.375</v>
      </c>
      <c r="AY12">
        <f t="shared" si="8"/>
        <v>120</v>
      </c>
    </row>
    <row r="13" spans="1:51">
      <c r="A13" s="76">
        <v>44465</v>
      </c>
      <c r="B13" s="137">
        <v>1600</v>
      </c>
      <c r="C13" s="135" cm="1">
        <f t="array" ref="C13">(SUM(VLOOKUP(H13:AE13,$AL$4:$AN$44,2,FALSE))+AF13*10)*IF(AJ13="是",$AW$4,$AW$3)</f>
        <v>1100</v>
      </c>
      <c r="D13" s="137">
        <f>SUM($B$4:B13)-SUM($C$4:C13)</f>
        <v>5750</v>
      </c>
      <c r="E13" s="135" cm="1">
        <f t="array" ref="E13">SUM(VLOOKUP(H13:AE13,$AL$4:$AN$44,3,FALSE))</f>
        <v>425</v>
      </c>
      <c r="F13" s="135">
        <f>SUM($E$4:E13)+SUM($G$4:G13)</f>
        <v>3755</v>
      </c>
      <c r="G13" s="137">
        <v>0</v>
      </c>
      <c r="H13" s="22" t="s">
        <v>18</v>
      </c>
      <c r="I13" s="22" t="s">
        <v>18</v>
      </c>
      <c r="J13" s="22" t="s">
        <v>18</v>
      </c>
      <c r="K13" s="30" t="s">
        <v>71</v>
      </c>
      <c r="L13" s="22" t="s">
        <v>18</v>
      </c>
      <c r="M13" s="22" t="s">
        <v>18</v>
      </c>
      <c r="N13" s="138" t="s">
        <v>23</v>
      </c>
      <c r="O13" s="138" t="s">
        <v>23</v>
      </c>
      <c r="P13" s="137" t="s">
        <v>23</v>
      </c>
      <c r="Q13" s="137" t="s">
        <v>23</v>
      </c>
      <c r="R13" s="137" t="s">
        <v>23</v>
      </c>
      <c r="S13" s="137" t="s">
        <v>23</v>
      </c>
      <c r="T13" s="137" t="s">
        <v>23</v>
      </c>
      <c r="U13" s="137" t="s">
        <v>23</v>
      </c>
      <c r="V13" s="138" t="s">
        <v>23</v>
      </c>
      <c r="W13" s="138" t="s">
        <v>23</v>
      </c>
      <c r="X13" s="137" t="s">
        <v>23</v>
      </c>
      <c r="Y13" s="137" t="s">
        <v>23</v>
      </c>
      <c r="Z13" s="137" t="s">
        <v>23</v>
      </c>
      <c r="AA13" s="137" t="s">
        <v>23</v>
      </c>
      <c r="AB13" s="137" t="s">
        <v>23</v>
      </c>
      <c r="AC13" s="137" t="s">
        <v>23</v>
      </c>
      <c r="AD13" s="138" t="s">
        <v>23</v>
      </c>
      <c r="AE13" s="138" t="s">
        <v>23</v>
      </c>
      <c r="AF13" s="139">
        <v>0</v>
      </c>
      <c r="AG13" s="94"/>
      <c r="AH13" s="94"/>
      <c r="AI13" s="94"/>
      <c r="AJ13" s="95" t="s">
        <v>30</v>
      </c>
      <c r="AL13" s="23" t="s">
        <v>8</v>
      </c>
      <c r="AM13" s="19">
        <v>150</v>
      </c>
      <c r="AN13" s="19">
        <v>50</v>
      </c>
      <c r="AO13" s="19">
        <f t="shared" si="1"/>
        <v>0</v>
      </c>
      <c r="AP13" s="19">
        <f t="shared" si="3"/>
        <v>0</v>
      </c>
      <c r="AQ13" s="19">
        <f t="shared" si="4"/>
        <v>0</v>
      </c>
      <c r="AR13" s="19">
        <f t="shared" si="5"/>
        <v>0</v>
      </c>
      <c r="AS13" s="50">
        <f t="shared" si="6"/>
        <v>0</v>
      </c>
      <c r="AT13" s="50">
        <f t="shared" si="2"/>
        <v>0</v>
      </c>
      <c r="AU13" s="50">
        <f t="shared" si="2"/>
        <v>0</v>
      </c>
      <c r="AX13" s="53">
        <f t="shared" si="7"/>
        <v>0.41666666666666669</v>
      </c>
      <c r="AY13">
        <f t="shared" si="8"/>
        <v>120</v>
      </c>
    </row>
    <row r="14" spans="1:51">
      <c r="A14" s="76">
        <v>44466</v>
      </c>
      <c r="B14" s="135">
        <v>1600</v>
      </c>
      <c r="C14" s="135" cm="1">
        <f t="array" ref="C14">(SUM(VLOOKUP(H14:AE14,$AL$4:$AN$44,2,FALSE))+AF14*10)*IF(AJ14="是",$AW$4,$AW$3)</f>
        <v>980</v>
      </c>
      <c r="D14" s="135">
        <f>SUM($B$4:B14)-SUM($C$4:C14)</f>
        <v>6370</v>
      </c>
      <c r="E14" s="135" cm="1">
        <f t="array" ref="E14">SUM(VLOOKUP(H14:AE14,$AL$4:$AN$44,3,FALSE))</f>
        <v>250</v>
      </c>
      <c r="F14" s="135">
        <f>SUM($E$4:E14)+SUM($G$4:G14)</f>
        <v>4305</v>
      </c>
      <c r="G14" s="135">
        <v>300</v>
      </c>
      <c r="H14" s="22" t="s">
        <v>18</v>
      </c>
      <c r="I14" s="22" t="s">
        <v>18</v>
      </c>
      <c r="J14" s="141" t="s">
        <v>17</v>
      </c>
      <c r="K14" s="141" t="s">
        <v>17</v>
      </c>
      <c r="L14" s="141" t="s">
        <v>17</v>
      </c>
      <c r="M14" s="141" t="s">
        <v>17</v>
      </c>
      <c r="N14" s="138" t="s">
        <v>23</v>
      </c>
      <c r="O14" s="138" t="s">
        <v>23</v>
      </c>
      <c r="P14" s="137" t="s">
        <v>23</v>
      </c>
      <c r="Q14" s="137" t="s">
        <v>23</v>
      </c>
      <c r="R14" s="137" t="s">
        <v>23</v>
      </c>
      <c r="S14" s="137" t="s">
        <v>23</v>
      </c>
      <c r="T14" s="137" t="s">
        <v>23</v>
      </c>
      <c r="U14" s="137" t="s">
        <v>23</v>
      </c>
      <c r="V14" s="138" t="s">
        <v>23</v>
      </c>
      <c r="W14" s="138" t="s">
        <v>23</v>
      </c>
      <c r="X14" s="137" t="s">
        <v>23</v>
      </c>
      <c r="Y14" s="137" t="s">
        <v>23</v>
      </c>
      <c r="Z14" s="137" t="s">
        <v>23</v>
      </c>
      <c r="AA14" s="137" t="s">
        <v>23</v>
      </c>
      <c r="AB14" s="137" t="s">
        <v>23</v>
      </c>
      <c r="AC14" s="137" t="s">
        <v>23</v>
      </c>
      <c r="AD14" s="138" t="s">
        <v>23</v>
      </c>
      <c r="AE14" s="138" t="s">
        <v>23</v>
      </c>
      <c r="AF14" s="139">
        <v>0</v>
      </c>
      <c r="AG14" s="94"/>
      <c r="AH14" s="94"/>
      <c r="AI14" s="94"/>
      <c r="AJ14" s="95" t="s">
        <v>30</v>
      </c>
      <c r="AL14" s="24" t="s">
        <v>9</v>
      </c>
      <c r="AM14" s="19">
        <v>150</v>
      </c>
      <c r="AN14" s="19">
        <v>55</v>
      </c>
      <c r="AO14" s="19">
        <f t="shared" si="1"/>
        <v>0</v>
      </c>
      <c r="AP14" s="19">
        <f t="shared" si="3"/>
        <v>0</v>
      </c>
      <c r="AQ14" s="19">
        <f t="shared" si="4"/>
        <v>0</v>
      </c>
      <c r="AR14" s="19">
        <f t="shared" si="5"/>
        <v>0</v>
      </c>
      <c r="AS14" s="50">
        <f t="shared" si="6"/>
        <v>0</v>
      </c>
      <c r="AT14" s="50">
        <f t="shared" si="2"/>
        <v>0</v>
      </c>
      <c r="AU14" s="50">
        <f t="shared" si="2"/>
        <v>0</v>
      </c>
      <c r="AX14" s="53">
        <f t="shared" si="7"/>
        <v>0.45833333333333331</v>
      </c>
      <c r="AY14">
        <f t="shared" si="8"/>
        <v>120</v>
      </c>
    </row>
    <row r="15" spans="1:51">
      <c r="A15" s="76">
        <v>44467</v>
      </c>
      <c r="B15" s="135">
        <v>1600</v>
      </c>
      <c r="C15" s="135" cm="1">
        <f t="array" ref="C15">(SUM(VLOOKUP(H15:AE15,$AL$4:$AN$44,2,FALSE))+AF15*10)*IF(AJ15="是",$AW$4,$AW$3)</f>
        <v>1000</v>
      </c>
      <c r="D15" s="135">
        <f>SUM($B$4:B15)-SUM($C$4:C15)</f>
        <v>6970</v>
      </c>
      <c r="E15" s="135" cm="1">
        <f t="array" ref="E15">SUM(VLOOKUP(H15:AE15,$AL$4:$AN$44,3,FALSE))</f>
        <v>265</v>
      </c>
      <c r="F15" s="135">
        <f>SUM($E$4:E15)+SUM($G$4:G15)</f>
        <v>4570</v>
      </c>
      <c r="G15" s="135">
        <v>0</v>
      </c>
      <c r="H15" s="21" t="s">
        <v>6</v>
      </c>
      <c r="I15" s="22" t="s">
        <v>18</v>
      </c>
      <c r="J15" s="30" t="s">
        <v>72</v>
      </c>
      <c r="K15" s="22" t="s">
        <v>18</v>
      </c>
      <c r="L15" s="22" t="s">
        <v>18</v>
      </c>
      <c r="M15" s="22" t="s">
        <v>18</v>
      </c>
      <c r="N15" s="138" t="s">
        <v>23</v>
      </c>
      <c r="O15" s="138" t="s">
        <v>23</v>
      </c>
      <c r="P15" s="137" t="s">
        <v>23</v>
      </c>
      <c r="Q15" s="137" t="s">
        <v>23</v>
      </c>
      <c r="R15" s="137" t="s">
        <v>23</v>
      </c>
      <c r="S15" s="137" t="s">
        <v>23</v>
      </c>
      <c r="T15" s="137" t="s">
        <v>23</v>
      </c>
      <c r="U15" s="137" t="s">
        <v>23</v>
      </c>
      <c r="V15" s="138" t="s">
        <v>23</v>
      </c>
      <c r="W15" s="138" t="s">
        <v>23</v>
      </c>
      <c r="X15" s="137" t="s">
        <v>23</v>
      </c>
      <c r="Y15" s="137" t="s">
        <v>23</v>
      </c>
      <c r="Z15" s="137" t="s">
        <v>23</v>
      </c>
      <c r="AA15" s="137" t="s">
        <v>23</v>
      </c>
      <c r="AB15" s="137" t="s">
        <v>23</v>
      </c>
      <c r="AC15" s="137" t="s">
        <v>23</v>
      </c>
      <c r="AD15" s="138" t="s">
        <v>23</v>
      </c>
      <c r="AE15" s="138" t="s">
        <v>23</v>
      </c>
      <c r="AF15" s="139">
        <v>0</v>
      </c>
      <c r="AG15" s="94"/>
      <c r="AH15" s="94"/>
      <c r="AI15" s="94"/>
      <c r="AJ15" s="95" t="s">
        <v>30</v>
      </c>
      <c r="AL15" s="25" t="s">
        <v>10</v>
      </c>
      <c r="AM15" s="19">
        <v>150</v>
      </c>
      <c r="AN15" s="19">
        <v>60</v>
      </c>
      <c r="AO15" s="19">
        <f t="shared" si="1"/>
        <v>0</v>
      </c>
      <c r="AP15" s="19">
        <f t="shared" si="3"/>
        <v>0</v>
      </c>
      <c r="AQ15" s="19">
        <f t="shared" si="4"/>
        <v>0</v>
      </c>
      <c r="AR15" s="19">
        <f t="shared" si="5"/>
        <v>0</v>
      </c>
      <c r="AS15" s="50">
        <f t="shared" si="6"/>
        <v>0</v>
      </c>
      <c r="AT15" s="50">
        <f t="shared" si="2"/>
        <v>0</v>
      </c>
      <c r="AU15" s="50">
        <f t="shared" si="2"/>
        <v>0</v>
      </c>
      <c r="AX15" s="53">
        <f t="shared" si="7"/>
        <v>0.5</v>
      </c>
      <c r="AY15">
        <f t="shared" si="8"/>
        <v>120</v>
      </c>
    </row>
    <row r="16" spans="1:51">
      <c r="A16" s="76">
        <v>44468</v>
      </c>
      <c r="B16" s="135">
        <v>1600</v>
      </c>
      <c r="C16" s="135" cm="1">
        <f t="array" ref="C16">(SUM(VLOOKUP(H16:AE16,$AL$4:$AN$44,2,FALSE))+AF16*10)*IF(AJ16="是",$AW$4,$AW$3)</f>
        <v>1090</v>
      </c>
      <c r="D16" s="135">
        <f>SUM($B$4:B16)-SUM($C$4:C16)</f>
        <v>7480</v>
      </c>
      <c r="E16" s="135" cm="1">
        <f t="array" ref="E16">SUM(VLOOKUP(H16:AE16,$AL$4:$AN$44,3,FALSE))</f>
        <v>425</v>
      </c>
      <c r="F16" s="135">
        <f>SUM($E$4:E16)+SUM($G$4:G16)</f>
        <v>5195</v>
      </c>
      <c r="G16" s="135">
        <v>200</v>
      </c>
      <c r="H16" s="22" t="s">
        <v>7</v>
      </c>
      <c r="I16" s="22" t="s">
        <v>18</v>
      </c>
      <c r="J16" s="22" t="s">
        <v>18</v>
      </c>
      <c r="K16" s="30" t="s">
        <v>71</v>
      </c>
      <c r="L16" s="22" t="s">
        <v>18</v>
      </c>
      <c r="M16" s="22" t="s">
        <v>18</v>
      </c>
      <c r="N16" s="138" t="s">
        <v>23</v>
      </c>
      <c r="O16" s="138" t="s">
        <v>23</v>
      </c>
      <c r="P16" s="137" t="s">
        <v>23</v>
      </c>
      <c r="Q16" s="137" t="s">
        <v>23</v>
      </c>
      <c r="R16" s="137" t="s">
        <v>23</v>
      </c>
      <c r="S16" s="137" t="s">
        <v>23</v>
      </c>
      <c r="T16" s="137" t="s">
        <v>23</v>
      </c>
      <c r="U16" s="137" t="s">
        <v>23</v>
      </c>
      <c r="V16" s="138" t="s">
        <v>23</v>
      </c>
      <c r="W16" s="138" t="s">
        <v>23</v>
      </c>
      <c r="X16" s="137" t="s">
        <v>23</v>
      </c>
      <c r="Y16" s="137" t="s">
        <v>23</v>
      </c>
      <c r="Z16" s="137" t="s">
        <v>23</v>
      </c>
      <c r="AA16" s="137" t="s">
        <v>23</v>
      </c>
      <c r="AB16" s="137" t="s">
        <v>23</v>
      </c>
      <c r="AC16" s="137" t="s">
        <v>23</v>
      </c>
      <c r="AD16" s="138" t="s">
        <v>23</v>
      </c>
      <c r="AE16" s="138" t="s">
        <v>23</v>
      </c>
      <c r="AF16" s="139">
        <v>1</v>
      </c>
      <c r="AG16" s="94">
        <v>1</v>
      </c>
      <c r="AH16" s="94"/>
      <c r="AI16" s="94"/>
      <c r="AJ16" s="95" t="s">
        <v>30</v>
      </c>
      <c r="AL16" s="26" t="s">
        <v>11</v>
      </c>
      <c r="AM16" s="27">
        <v>150</v>
      </c>
      <c r="AN16" s="19">
        <v>35</v>
      </c>
      <c r="AO16" s="19">
        <f t="shared" si="1"/>
        <v>2</v>
      </c>
      <c r="AP16" s="19">
        <f t="shared" si="3"/>
        <v>0</v>
      </c>
      <c r="AQ16" s="19">
        <f t="shared" si="4"/>
        <v>0</v>
      </c>
      <c r="AR16" s="19">
        <f t="shared" si="5"/>
        <v>2</v>
      </c>
      <c r="AS16" s="50">
        <f t="shared" si="6"/>
        <v>70</v>
      </c>
      <c r="AT16" s="50">
        <f t="shared" si="2"/>
        <v>0</v>
      </c>
      <c r="AU16" s="50">
        <f t="shared" si="2"/>
        <v>0</v>
      </c>
      <c r="AX16" s="53">
        <f t="shared" si="7"/>
        <v>0.29166666666666669</v>
      </c>
      <c r="AY16">
        <f t="shared" si="8"/>
        <v>120</v>
      </c>
    </row>
    <row r="17" spans="1:51">
      <c r="A17" s="76">
        <v>44469</v>
      </c>
      <c r="B17" s="135">
        <v>1600</v>
      </c>
      <c r="C17" s="135" cm="1">
        <f t="array" ref="C17">(SUM(VLOOKUP(H17:AE17,$AL$4:$AN$44,2,FALSE))+AF17*10)*IF(AJ17="是",$AW$4,$AW$3)</f>
        <v>900</v>
      </c>
      <c r="D17" s="135">
        <f>SUM($B$4:B17)-SUM($C$4:C17)</f>
        <v>8180</v>
      </c>
      <c r="E17" s="135" cm="1">
        <f t="array" ref="E17">SUM(VLOOKUP(H17:AE17,$AL$4:$AN$44,3,FALSE))</f>
        <v>255</v>
      </c>
      <c r="F17" s="135">
        <f>SUM($E$4:E17)+SUM($G$4:G17)</f>
        <v>5450</v>
      </c>
      <c r="G17" s="135">
        <v>0</v>
      </c>
      <c r="H17" s="22" t="s">
        <v>18</v>
      </c>
      <c r="I17" s="22" t="s">
        <v>18</v>
      </c>
      <c r="J17" s="22" t="s">
        <v>18</v>
      </c>
      <c r="K17" s="140" t="s">
        <v>12</v>
      </c>
      <c r="L17" s="22" t="s">
        <v>18</v>
      </c>
      <c r="M17" s="22" t="s">
        <v>18</v>
      </c>
      <c r="N17" s="138" t="s">
        <v>23</v>
      </c>
      <c r="O17" s="138" t="s">
        <v>23</v>
      </c>
      <c r="P17" s="137" t="s">
        <v>23</v>
      </c>
      <c r="Q17" s="137" t="s">
        <v>23</v>
      </c>
      <c r="R17" s="137" t="s">
        <v>23</v>
      </c>
      <c r="S17" s="137" t="s">
        <v>23</v>
      </c>
      <c r="T17" s="137" t="s">
        <v>23</v>
      </c>
      <c r="U17" s="137" t="s">
        <v>23</v>
      </c>
      <c r="V17" s="138" t="s">
        <v>23</v>
      </c>
      <c r="W17" s="138" t="s">
        <v>23</v>
      </c>
      <c r="X17" s="137" t="s">
        <v>23</v>
      </c>
      <c r="Y17" s="137" t="s">
        <v>23</v>
      </c>
      <c r="Z17" s="137" t="s">
        <v>23</v>
      </c>
      <c r="AA17" s="137" t="s">
        <v>23</v>
      </c>
      <c r="AB17" s="137" t="s">
        <v>23</v>
      </c>
      <c r="AC17" s="137" t="s">
        <v>23</v>
      </c>
      <c r="AD17" s="138" t="s">
        <v>23</v>
      </c>
      <c r="AE17" s="138" t="s">
        <v>23</v>
      </c>
      <c r="AF17" s="139">
        <v>0</v>
      </c>
      <c r="AG17" s="94"/>
      <c r="AH17" s="94"/>
      <c r="AI17" s="94"/>
      <c r="AJ17" s="95" t="s">
        <v>30</v>
      </c>
      <c r="AL17" s="28" t="s">
        <v>12</v>
      </c>
      <c r="AM17" s="19">
        <v>50</v>
      </c>
      <c r="AN17" s="19">
        <v>30</v>
      </c>
      <c r="AO17" s="19">
        <f t="shared" si="1"/>
        <v>5</v>
      </c>
      <c r="AP17" s="19">
        <f t="shared" si="3"/>
        <v>0</v>
      </c>
      <c r="AQ17" s="19">
        <f t="shared" si="4"/>
        <v>0</v>
      </c>
      <c r="AR17" s="19">
        <f t="shared" si="5"/>
        <v>5</v>
      </c>
      <c r="AS17" s="50">
        <f t="shared" si="6"/>
        <v>150</v>
      </c>
      <c r="AT17" s="50">
        <f t="shared" si="2"/>
        <v>0</v>
      </c>
      <c r="AU17" s="50">
        <f t="shared" si="2"/>
        <v>0</v>
      </c>
      <c r="AX17" s="53">
        <f t="shared" si="7"/>
        <v>0.75</v>
      </c>
      <c r="AY17">
        <f t="shared" si="8"/>
        <v>40</v>
      </c>
    </row>
    <row r="18" spans="1:51">
      <c r="A18" s="76">
        <v>44470</v>
      </c>
      <c r="B18" s="135">
        <v>1600</v>
      </c>
      <c r="C18" s="142" cm="1">
        <f t="array" ref="C18">(SUM(VLOOKUP(H18:AE18,$AL$4:$AN$44,2,FALSE))+AF18*10)*IF(AJ18="是",$AW$4,$AW$3)</f>
        <v>170</v>
      </c>
      <c r="D18" s="135">
        <f>SUM($B$4:B18)-SUM($C$4:C18)</f>
        <v>9610</v>
      </c>
      <c r="E18" s="135" cm="1">
        <f t="array" ref="E18">SUM(VLOOKUP(H18:AE18,$AL$4:$AN$44,3,FALSE))</f>
        <v>45</v>
      </c>
      <c r="F18" s="135">
        <f>SUM($E$4:E18)+SUM($G$4:G18)</f>
        <v>5495</v>
      </c>
      <c r="G18" s="135">
        <v>0</v>
      </c>
      <c r="H18" s="30" t="s">
        <v>72</v>
      </c>
      <c r="I18" s="137" t="s">
        <v>23</v>
      </c>
      <c r="J18" s="137" t="s">
        <v>23</v>
      </c>
      <c r="K18" s="137" t="s">
        <v>23</v>
      </c>
      <c r="L18" s="137" t="s">
        <v>23</v>
      </c>
      <c r="M18" s="137" t="s">
        <v>23</v>
      </c>
      <c r="N18" s="138" t="s">
        <v>23</v>
      </c>
      <c r="O18" s="138" t="s">
        <v>23</v>
      </c>
      <c r="P18" s="137" t="s">
        <v>23</v>
      </c>
      <c r="Q18" s="137" t="s">
        <v>23</v>
      </c>
      <c r="R18" s="137" t="s">
        <v>23</v>
      </c>
      <c r="S18" s="137" t="s">
        <v>23</v>
      </c>
      <c r="T18" s="137" t="s">
        <v>23</v>
      </c>
      <c r="U18" s="137" t="s">
        <v>23</v>
      </c>
      <c r="V18" s="138" t="s">
        <v>23</v>
      </c>
      <c r="W18" s="138" t="s">
        <v>23</v>
      </c>
      <c r="X18" s="137" t="s">
        <v>23</v>
      </c>
      <c r="Y18" s="137" t="s">
        <v>23</v>
      </c>
      <c r="Z18" s="137" t="s">
        <v>23</v>
      </c>
      <c r="AA18" s="137" t="s">
        <v>23</v>
      </c>
      <c r="AB18" s="137" t="s">
        <v>23</v>
      </c>
      <c r="AC18" s="137" t="s">
        <v>23</v>
      </c>
      <c r="AD18" s="138" t="s">
        <v>23</v>
      </c>
      <c r="AE18" s="138" t="s">
        <v>23</v>
      </c>
      <c r="AF18" s="139">
        <v>0</v>
      </c>
      <c r="AG18" s="94"/>
      <c r="AH18" s="94">
        <v>2</v>
      </c>
      <c r="AI18" s="94"/>
      <c r="AJ18" s="95" t="s">
        <v>30</v>
      </c>
      <c r="AK18" s="12"/>
      <c r="AL18" s="29" t="s">
        <v>13</v>
      </c>
      <c r="AM18" s="19">
        <v>-150</v>
      </c>
      <c r="AN18" s="19">
        <v>0</v>
      </c>
      <c r="AO18" s="19">
        <f t="shared" si="1"/>
        <v>2</v>
      </c>
      <c r="AP18" s="19">
        <f t="shared" si="3"/>
        <v>0</v>
      </c>
      <c r="AQ18" s="19">
        <f t="shared" si="4"/>
        <v>0</v>
      </c>
      <c r="AR18" s="19">
        <f t="shared" si="5"/>
        <v>2</v>
      </c>
      <c r="AS18" s="50">
        <f t="shared" si="6"/>
        <v>0</v>
      </c>
      <c r="AT18" s="50">
        <f t="shared" si="2"/>
        <v>0</v>
      </c>
      <c r="AU18" s="50">
        <f t="shared" si="2"/>
        <v>0</v>
      </c>
      <c r="AX18" s="53">
        <f t="shared" si="7"/>
        <v>0</v>
      </c>
      <c r="AY18">
        <f t="shared" si="8"/>
        <v>-120</v>
      </c>
    </row>
    <row r="19" spans="1:51">
      <c r="A19" s="76">
        <v>44471</v>
      </c>
      <c r="B19" s="135">
        <v>1600</v>
      </c>
      <c r="C19" s="135" cm="1">
        <f t="array" ref="C19">(SUM(VLOOKUP(H19:AE19,$AL$4:$AN$44,2,FALSE))+AF19*10)*IF(AJ19="是",$AW$4,$AW$3)</f>
        <v>0</v>
      </c>
      <c r="D19" s="135">
        <f>SUM($B$4:B19)-SUM($C$4:C19)</f>
        <v>11210</v>
      </c>
      <c r="E19" s="135" cm="1">
        <f t="array" ref="E19">SUM(VLOOKUP(H19:AE19,$AL$4:$AN$44,3,FALSE))</f>
        <v>0</v>
      </c>
      <c r="F19" s="135">
        <f>SUM($E$4:E19)+SUM($G$4:G19)</f>
        <v>5495</v>
      </c>
      <c r="G19" s="135">
        <v>0</v>
      </c>
      <c r="H19" s="137" t="s">
        <v>23</v>
      </c>
      <c r="I19" s="137" t="s">
        <v>23</v>
      </c>
      <c r="J19" s="137" t="s">
        <v>23</v>
      </c>
      <c r="K19" s="137" t="s">
        <v>23</v>
      </c>
      <c r="L19" s="137" t="s">
        <v>23</v>
      </c>
      <c r="M19" s="137" t="s">
        <v>23</v>
      </c>
      <c r="N19" s="138" t="s">
        <v>23</v>
      </c>
      <c r="O19" s="138" t="s">
        <v>23</v>
      </c>
      <c r="P19" s="137" t="s">
        <v>23</v>
      </c>
      <c r="Q19" s="137" t="s">
        <v>23</v>
      </c>
      <c r="R19" s="137" t="s">
        <v>23</v>
      </c>
      <c r="S19" s="137" t="s">
        <v>23</v>
      </c>
      <c r="T19" s="137" t="s">
        <v>23</v>
      </c>
      <c r="U19" s="137" t="s">
        <v>23</v>
      </c>
      <c r="V19" s="138" t="s">
        <v>23</v>
      </c>
      <c r="W19" s="138" t="s">
        <v>23</v>
      </c>
      <c r="X19" s="137" t="s">
        <v>23</v>
      </c>
      <c r="Y19" s="137" t="s">
        <v>23</v>
      </c>
      <c r="Z19" s="137" t="s">
        <v>23</v>
      </c>
      <c r="AA19" s="137" t="s">
        <v>23</v>
      </c>
      <c r="AB19" s="137" t="s">
        <v>23</v>
      </c>
      <c r="AC19" s="137" t="s">
        <v>23</v>
      </c>
      <c r="AD19" s="138" t="s">
        <v>23</v>
      </c>
      <c r="AE19" s="138" t="s">
        <v>23</v>
      </c>
      <c r="AF19" s="139">
        <v>0</v>
      </c>
      <c r="AG19" s="94"/>
      <c r="AH19" s="94"/>
      <c r="AI19" s="94"/>
      <c r="AJ19" s="95" t="s">
        <v>31</v>
      </c>
      <c r="AL19" s="30" t="s">
        <v>71</v>
      </c>
      <c r="AM19" s="19">
        <v>250</v>
      </c>
      <c r="AN19" s="19">
        <v>200</v>
      </c>
      <c r="AO19" s="19">
        <f t="shared" si="1"/>
        <v>3</v>
      </c>
      <c r="AP19" s="19">
        <f t="shared" si="3"/>
        <v>0</v>
      </c>
      <c r="AQ19" s="19">
        <f t="shared" si="4"/>
        <v>0</v>
      </c>
      <c r="AR19" s="19">
        <f t="shared" si="5"/>
        <v>3</v>
      </c>
      <c r="AS19" s="50">
        <f t="shared" si="6"/>
        <v>600</v>
      </c>
      <c r="AT19" s="50">
        <f t="shared" si="2"/>
        <v>0</v>
      </c>
      <c r="AU19" s="50">
        <f t="shared" si="2"/>
        <v>0</v>
      </c>
      <c r="AX19" s="53">
        <f t="shared" si="7"/>
        <v>1</v>
      </c>
      <c r="AY19">
        <f t="shared" si="8"/>
        <v>200</v>
      </c>
    </row>
    <row r="20" spans="1:51">
      <c r="A20" s="76">
        <v>44472</v>
      </c>
      <c r="B20" s="135">
        <v>1600</v>
      </c>
      <c r="C20" s="135" cm="1">
        <f t="array" ref="C20">(SUM(VLOOKUP(H20:AE20,$AL$4:$AN$44,2,FALSE))+AF20*10)*IF(AJ20="是",$AW$4,$AW$3)</f>
        <v>0</v>
      </c>
      <c r="D20" s="135">
        <f>SUM($B$4:B20)-SUM($C$4:C20)</f>
        <v>12810</v>
      </c>
      <c r="E20" s="135" cm="1">
        <f t="array" ref="E20">SUM(VLOOKUP(H20:AE20,$AL$4:$AN$44,3,FALSE))</f>
        <v>0</v>
      </c>
      <c r="F20" s="135">
        <f>SUM($E$4:E20)+SUM($G$4:G20)</f>
        <v>5495</v>
      </c>
      <c r="G20" s="135">
        <v>0</v>
      </c>
      <c r="H20" s="137" t="s">
        <v>23</v>
      </c>
      <c r="I20" s="137" t="s">
        <v>23</v>
      </c>
      <c r="J20" s="137" t="s">
        <v>23</v>
      </c>
      <c r="K20" s="137" t="s">
        <v>23</v>
      </c>
      <c r="L20" s="137" t="s">
        <v>23</v>
      </c>
      <c r="M20" s="137" t="s">
        <v>23</v>
      </c>
      <c r="N20" s="138" t="s">
        <v>23</v>
      </c>
      <c r="O20" s="138" t="s">
        <v>23</v>
      </c>
      <c r="P20" s="137" t="s">
        <v>23</v>
      </c>
      <c r="Q20" s="137" t="s">
        <v>23</v>
      </c>
      <c r="R20" s="137" t="s">
        <v>23</v>
      </c>
      <c r="S20" s="137" t="s">
        <v>23</v>
      </c>
      <c r="T20" s="137" t="s">
        <v>23</v>
      </c>
      <c r="U20" s="137" t="s">
        <v>23</v>
      </c>
      <c r="V20" s="138" t="s">
        <v>23</v>
      </c>
      <c r="W20" s="138" t="s">
        <v>23</v>
      </c>
      <c r="X20" s="137" t="s">
        <v>23</v>
      </c>
      <c r="Y20" s="137" t="s">
        <v>23</v>
      </c>
      <c r="Z20" s="137" t="s">
        <v>23</v>
      </c>
      <c r="AA20" s="137" t="s">
        <v>23</v>
      </c>
      <c r="AB20" s="137" t="s">
        <v>23</v>
      </c>
      <c r="AC20" s="137" t="s">
        <v>23</v>
      </c>
      <c r="AD20" s="138" t="s">
        <v>23</v>
      </c>
      <c r="AE20" s="138" t="s">
        <v>23</v>
      </c>
      <c r="AF20" s="139">
        <v>0</v>
      </c>
      <c r="AG20" s="94"/>
      <c r="AH20" s="94">
        <v>5</v>
      </c>
      <c r="AI20" s="94"/>
      <c r="AJ20" s="95" t="s">
        <v>31</v>
      </c>
      <c r="AL20" s="30" t="s">
        <v>72</v>
      </c>
      <c r="AM20" s="19">
        <v>170</v>
      </c>
      <c r="AN20" s="19">
        <v>45</v>
      </c>
      <c r="AO20" s="19">
        <f t="shared" si="1"/>
        <v>5</v>
      </c>
      <c r="AP20" s="19">
        <f t="shared" si="3"/>
        <v>0</v>
      </c>
      <c r="AQ20" s="19">
        <f t="shared" si="4"/>
        <v>0</v>
      </c>
      <c r="AR20" s="19">
        <f t="shared" si="5"/>
        <v>5</v>
      </c>
      <c r="AS20" s="50">
        <f t="shared" si="6"/>
        <v>225</v>
      </c>
      <c r="AT20" s="50">
        <f t="shared" si="6"/>
        <v>0</v>
      </c>
      <c r="AU20" s="50">
        <f t="shared" si="6"/>
        <v>0</v>
      </c>
      <c r="AX20" s="53">
        <f t="shared" si="7"/>
        <v>0.33088235294117646</v>
      </c>
      <c r="AY20">
        <f t="shared" si="8"/>
        <v>136</v>
      </c>
    </row>
    <row r="21" spans="1:51">
      <c r="A21" s="76">
        <v>44473</v>
      </c>
      <c r="B21" s="137">
        <v>1600</v>
      </c>
      <c r="C21" s="135" cm="1">
        <f t="array" ref="C21">(SUM(VLOOKUP(H21:AE21,$AL$4:$AN$44,2,FALSE))+AF21*10)*IF(AJ21="是",$AW$4,$AW$3)</f>
        <v>0</v>
      </c>
      <c r="D21" s="135">
        <f>SUM($B$4:B21)-SUM($C$4:C21)</f>
        <v>14410</v>
      </c>
      <c r="E21" s="135" cm="1">
        <f t="array" ref="E21">SUM(VLOOKUP(H21:AE21,$AL$4:$AN$44,3,FALSE))</f>
        <v>0</v>
      </c>
      <c r="F21" s="135">
        <f>SUM($E$4:E21)+SUM($G$4:G21)</f>
        <v>5695</v>
      </c>
      <c r="G21" s="137">
        <v>200</v>
      </c>
      <c r="H21" s="137" t="s">
        <v>23</v>
      </c>
      <c r="I21" s="137" t="s">
        <v>23</v>
      </c>
      <c r="J21" s="137" t="s">
        <v>23</v>
      </c>
      <c r="K21" s="137" t="s">
        <v>23</v>
      </c>
      <c r="L21" s="137" t="s">
        <v>23</v>
      </c>
      <c r="M21" s="137" t="s">
        <v>23</v>
      </c>
      <c r="N21" s="138" t="s">
        <v>23</v>
      </c>
      <c r="O21" s="138" t="s">
        <v>23</v>
      </c>
      <c r="P21" s="137" t="s">
        <v>23</v>
      </c>
      <c r="Q21" s="137" t="s">
        <v>23</v>
      </c>
      <c r="R21" s="137" t="s">
        <v>23</v>
      </c>
      <c r="S21" s="137" t="s">
        <v>23</v>
      </c>
      <c r="T21" s="137" t="s">
        <v>23</v>
      </c>
      <c r="U21" s="137" t="s">
        <v>23</v>
      </c>
      <c r="V21" s="138" t="s">
        <v>23</v>
      </c>
      <c r="W21" s="138" t="s">
        <v>23</v>
      </c>
      <c r="X21" s="137" t="s">
        <v>23</v>
      </c>
      <c r="Y21" s="137" t="s">
        <v>23</v>
      </c>
      <c r="Z21" s="137" t="s">
        <v>23</v>
      </c>
      <c r="AA21" s="137" t="s">
        <v>23</v>
      </c>
      <c r="AB21" s="137" t="s">
        <v>23</v>
      </c>
      <c r="AC21" s="137" t="s">
        <v>23</v>
      </c>
      <c r="AD21" s="138" t="s">
        <v>23</v>
      </c>
      <c r="AE21" s="138" t="s">
        <v>23</v>
      </c>
      <c r="AF21" s="139">
        <v>0</v>
      </c>
      <c r="AG21" s="94"/>
      <c r="AH21" s="94"/>
      <c r="AI21" s="94"/>
      <c r="AJ21" s="95" t="s">
        <v>31</v>
      </c>
      <c r="AL21" s="34" t="s">
        <v>14</v>
      </c>
      <c r="AM21" s="19">
        <v>250</v>
      </c>
      <c r="AN21" s="19">
        <v>200</v>
      </c>
      <c r="AO21" s="19">
        <f t="shared" si="1"/>
        <v>0</v>
      </c>
      <c r="AP21" s="19">
        <f t="shared" si="3"/>
        <v>0</v>
      </c>
      <c r="AQ21" s="19">
        <f t="shared" si="4"/>
        <v>0</v>
      </c>
      <c r="AR21" s="19">
        <f t="shared" si="5"/>
        <v>0</v>
      </c>
      <c r="AS21" s="50">
        <f t="shared" si="6"/>
        <v>0</v>
      </c>
      <c r="AT21" s="50">
        <f t="shared" si="6"/>
        <v>0</v>
      </c>
      <c r="AU21" s="50">
        <f t="shared" si="6"/>
        <v>0</v>
      </c>
      <c r="AX21" s="53">
        <f t="shared" si="7"/>
        <v>1</v>
      </c>
      <c r="AY21">
        <f t="shared" si="8"/>
        <v>200</v>
      </c>
    </row>
    <row r="22" spans="1:51">
      <c r="A22" s="76">
        <v>44474</v>
      </c>
      <c r="B22" s="137">
        <v>1600</v>
      </c>
      <c r="C22" s="135" cm="1">
        <f t="array" ref="C22">(SUM(VLOOKUP(H22:AE22,$AL$4:$AN$44,2,FALSE))+AF22*10)*IF(AJ22="是",$AW$4,$AW$3)</f>
        <v>0</v>
      </c>
      <c r="D22" s="135">
        <f>SUM($B$4:B22)-SUM($C$4:C22)</f>
        <v>16010</v>
      </c>
      <c r="E22" s="135" cm="1">
        <f t="array" ref="E22">SUM(VLOOKUP(H22:AE22,$AL$4:$AN$44,3,FALSE))</f>
        <v>0</v>
      </c>
      <c r="F22" s="135">
        <f>SUM($E$4:E22)+SUM($G$4:G22)</f>
        <v>5795</v>
      </c>
      <c r="G22" s="137">
        <v>100</v>
      </c>
      <c r="H22" s="137" t="s">
        <v>23</v>
      </c>
      <c r="I22" s="137" t="s">
        <v>23</v>
      </c>
      <c r="J22" s="137" t="s">
        <v>23</v>
      </c>
      <c r="K22" s="137" t="s">
        <v>23</v>
      </c>
      <c r="L22" s="137" t="s">
        <v>23</v>
      </c>
      <c r="M22" s="137" t="s">
        <v>23</v>
      </c>
      <c r="N22" s="138" t="s">
        <v>23</v>
      </c>
      <c r="O22" s="138" t="s">
        <v>23</v>
      </c>
      <c r="P22" s="137" t="s">
        <v>23</v>
      </c>
      <c r="Q22" s="137" t="s">
        <v>23</v>
      </c>
      <c r="R22" s="137" t="s">
        <v>23</v>
      </c>
      <c r="S22" s="137" t="s">
        <v>23</v>
      </c>
      <c r="T22" s="137" t="s">
        <v>23</v>
      </c>
      <c r="U22" s="137" t="s">
        <v>23</v>
      </c>
      <c r="V22" s="138" t="s">
        <v>23</v>
      </c>
      <c r="W22" s="138" t="s">
        <v>23</v>
      </c>
      <c r="X22" s="137" t="s">
        <v>23</v>
      </c>
      <c r="Y22" s="137" t="s">
        <v>23</v>
      </c>
      <c r="Z22" s="137" t="s">
        <v>23</v>
      </c>
      <c r="AA22" s="137" t="s">
        <v>23</v>
      </c>
      <c r="AB22" s="137" t="s">
        <v>23</v>
      </c>
      <c r="AC22" s="137" t="s">
        <v>23</v>
      </c>
      <c r="AD22" s="138" t="s">
        <v>23</v>
      </c>
      <c r="AE22" s="138" t="s">
        <v>23</v>
      </c>
      <c r="AF22" s="139">
        <v>0</v>
      </c>
      <c r="AG22" s="94"/>
      <c r="AH22" s="94">
        <v>2</v>
      </c>
      <c r="AI22" s="94"/>
      <c r="AJ22" s="95" t="s">
        <v>31</v>
      </c>
      <c r="AL22" s="32" t="s">
        <v>15</v>
      </c>
      <c r="AM22" s="19">
        <v>250</v>
      </c>
      <c r="AN22" s="19">
        <v>1000</v>
      </c>
      <c r="AO22" s="19">
        <f t="shared" si="1"/>
        <v>0</v>
      </c>
      <c r="AP22" s="19">
        <f t="shared" si="3"/>
        <v>0</v>
      </c>
      <c r="AQ22" s="19">
        <f t="shared" si="4"/>
        <v>0</v>
      </c>
      <c r="AR22" s="19">
        <f t="shared" si="5"/>
        <v>0</v>
      </c>
      <c r="AS22" s="50">
        <f t="shared" si="6"/>
        <v>0</v>
      </c>
      <c r="AT22" s="50">
        <f t="shared" si="6"/>
        <v>0</v>
      </c>
      <c r="AU22" s="50">
        <f t="shared" si="6"/>
        <v>0</v>
      </c>
      <c r="AX22" s="53">
        <f t="shared" si="7"/>
        <v>5</v>
      </c>
      <c r="AY22">
        <f t="shared" si="8"/>
        <v>200</v>
      </c>
    </row>
    <row r="23" spans="1:51">
      <c r="A23" s="76">
        <v>44475</v>
      </c>
      <c r="B23" s="137">
        <v>1600</v>
      </c>
      <c r="C23" s="135" cm="1">
        <f t="array" ref="C23">(SUM(VLOOKUP(H23:AE23,$AL$4:$AN$44,2,FALSE))+AF23*10)*IF(AJ23="是",$AW$4,$AW$3)</f>
        <v>0</v>
      </c>
      <c r="D23" s="135">
        <f>SUM($B$4:B23)-SUM($C$4:C23)</f>
        <v>17610</v>
      </c>
      <c r="E23" s="135" cm="1">
        <f t="array" ref="E23">SUM(VLOOKUP(H23:AE23,$AL$4:$AN$44,3,FALSE))</f>
        <v>0</v>
      </c>
      <c r="F23" s="135">
        <f>SUM($E$4:E23)+SUM($G$4:G23)</f>
        <v>5995</v>
      </c>
      <c r="G23" s="137">
        <v>200</v>
      </c>
      <c r="H23" s="137" t="s">
        <v>23</v>
      </c>
      <c r="I23" s="137" t="s">
        <v>23</v>
      </c>
      <c r="J23" s="137" t="s">
        <v>23</v>
      </c>
      <c r="K23" s="137" t="s">
        <v>23</v>
      </c>
      <c r="L23" s="137" t="s">
        <v>23</v>
      </c>
      <c r="M23" s="137" t="s">
        <v>23</v>
      </c>
      <c r="N23" s="138" t="s">
        <v>23</v>
      </c>
      <c r="O23" s="138" t="s">
        <v>23</v>
      </c>
      <c r="P23" s="137" t="s">
        <v>23</v>
      </c>
      <c r="Q23" s="137" t="s">
        <v>23</v>
      </c>
      <c r="R23" s="137" t="s">
        <v>23</v>
      </c>
      <c r="S23" s="137" t="s">
        <v>23</v>
      </c>
      <c r="T23" s="137" t="s">
        <v>23</v>
      </c>
      <c r="U23" s="137" t="s">
        <v>23</v>
      </c>
      <c r="V23" s="138" t="s">
        <v>23</v>
      </c>
      <c r="W23" s="138" t="s">
        <v>23</v>
      </c>
      <c r="X23" s="137" t="s">
        <v>23</v>
      </c>
      <c r="Y23" s="137" t="s">
        <v>23</v>
      </c>
      <c r="Z23" s="137" t="s">
        <v>23</v>
      </c>
      <c r="AA23" s="137" t="s">
        <v>23</v>
      </c>
      <c r="AB23" s="137" t="s">
        <v>23</v>
      </c>
      <c r="AC23" s="137" t="s">
        <v>23</v>
      </c>
      <c r="AD23" s="138" t="s">
        <v>23</v>
      </c>
      <c r="AE23" s="138" t="s">
        <v>23</v>
      </c>
      <c r="AF23" s="139">
        <v>0</v>
      </c>
      <c r="AG23" s="94"/>
      <c r="AH23" s="94"/>
      <c r="AI23" s="94"/>
      <c r="AJ23" s="95" t="s">
        <v>31</v>
      </c>
      <c r="AL23" s="35" t="s">
        <v>41</v>
      </c>
      <c r="AM23" s="19">
        <v>250</v>
      </c>
      <c r="AN23" s="19">
        <v>500</v>
      </c>
      <c r="AO23" s="19">
        <f t="shared" si="1"/>
        <v>0</v>
      </c>
      <c r="AP23" s="19">
        <f t="shared" si="3"/>
        <v>0</v>
      </c>
      <c r="AQ23" s="19">
        <f t="shared" si="4"/>
        <v>0</v>
      </c>
      <c r="AR23" s="19">
        <f t="shared" si="5"/>
        <v>0</v>
      </c>
      <c r="AS23" s="50">
        <f t="shared" si="6"/>
        <v>0</v>
      </c>
      <c r="AT23" s="50">
        <f t="shared" si="6"/>
        <v>0</v>
      </c>
      <c r="AU23" s="50">
        <f t="shared" si="6"/>
        <v>0</v>
      </c>
      <c r="AX23" s="53">
        <f t="shared" si="7"/>
        <v>2.5</v>
      </c>
      <c r="AY23">
        <f t="shared" si="8"/>
        <v>200</v>
      </c>
    </row>
    <row r="24" spans="1:51" ht="14.25" customHeight="1">
      <c r="A24" s="76">
        <v>44476</v>
      </c>
      <c r="B24" s="137">
        <v>1600</v>
      </c>
      <c r="C24" s="135" cm="1">
        <f t="array" ref="C24">(SUM(VLOOKUP(H24:AE24,$AL$4:$AN$44,2,FALSE))+AF24*10)*IF(AJ24="是",$AW$4,$AW$3)</f>
        <v>0</v>
      </c>
      <c r="D24" s="135">
        <f>SUM($B$4:B24)-SUM($C$4:C24)</f>
        <v>19210</v>
      </c>
      <c r="E24" s="135" cm="1">
        <f t="array" ref="E24">SUM(VLOOKUP(H24:AE24,$AL$4:$AN$44,3,FALSE))</f>
        <v>0</v>
      </c>
      <c r="F24" s="135">
        <f>SUM($E$4:E24)+SUM($G$4:G24)</f>
        <v>5995</v>
      </c>
      <c r="G24" s="137">
        <v>0</v>
      </c>
      <c r="H24" s="137" t="s">
        <v>23</v>
      </c>
      <c r="I24" s="137" t="s">
        <v>23</v>
      </c>
      <c r="J24" s="137" t="s">
        <v>23</v>
      </c>
      <c r="K24" s="137" t="s">
        <v>23</v>
      </c>
      <c r="L24" s="137" t="s">
        <v>23</v>
      </c>
      <c r="M24" s="137" t="s">
        <v>23</v>
      </c>
      <c r="N24" s="138" t="s">
        <v>23</v>
      </c>
      <c r="O24" s="138" t="s">
        <v>23</v>
      </c>
      <c r="P24" s="137" t="s">
        <v>23</v>
      </c>
      <c r="Q24" s="137" t="s">
        <v>23</v>
      </c>
      <c r="R24" s="137" t="s">
        <v>23</v>
      </c>
      <c r="S24" s="137" t="s">
        <v>23</v>
      </c>
      <c r="T24" s="137" t="s">
        <v>23</v>
      </c>
      <c r="U24" s="137" t="s">
        <v>23</v>
      </c>
      <c r="V24" s="138" t="s">
        <v>23</v>
      </c>
      <c r="W24" s="138" t="s">
        <v>23</v>
      </c>
      <c r="X24" s="137" t="s">
        <v>23</v>
      </c>
      <c r="Y24" s="137" t="s">
        <v>23</v>
      </c>
      <c r="Z24" s="137" t="s">
        <v>23</v>
      </c>
      <c r="AA24" s="137" t="s">
        <v>23</v>
      </c>
      <c r="AB24" s="137" t="s">
        <v>23</v>
      </c>
      <c r="AC24" s="137" t="s">
        <v>23</v>
      </c>
      <c r="AD24" s="138" t="s">
        <v>23</v>
      </c>
      <c r="AE24" s="138" t="s">
        <v>23</v>
      </c>
      <c r="AF24" s="139">
        <v>0</v>
      </c>
      <c r="AG24" s="94">
        <v>1</v>
      </c>
      <c r="AH24" s="94"/>
      <c r="AI24" s="94"/>
      <c r="AJ24" s="95" t="s">
        <v>31</v>
      </c>
      <c r="AL24" s="31" t="s">
        <v>39</v>
      </c>
      <c r="AM24" s="19">
        <v>160</v>
      </c>
      <c r="AN24" s="19">
        <v>40</v>
      </c>
      <c r="AO24" s="19">
        <f t="shared" si="1"/>
        <v>0</v>
      </c>
      <c r="AP24" s="19">
        <f t="shared" si="3"/>
        <v>0</v>
      </c>
      <c r="AQ24" s="19">
        <f t="shared" si="4"/>
        <v>0</v>
      </c>
      <c r="AR24" s="19">
        <f t="shared" si="5"/>
        <v>0</v>
      </c>
      <c r="AS24" s="50">
        <f t="shared" si="6"/>
        <v>0</v>
      </c>
      <c r="AT24" s="50">
        <f t="shared" si="6"/>
        <v>0</v>
      </c>
      <c r="AU24" s="50">
        <f t="shared" si="6"/>
        <v>0</v>
      </c>
      <c r="AX24" s="53">
        <f t="shared" si="7"/>
        <v>0.3125</v>
      </c>
      <c r="AY24">
        <f t="shared" si="8"/>
        <v>128</v>
      </c>
    </row>
    <row r="25" spans="1:51">
      <c r="A25" s="76">
        <v>44477</v>
      </c>
      <c r="B25" s="137">
        <v>1600</v>
      </c>
      <c r="C25" s="135" cm="1">
        <f t="array" ref="C25">(SUM(VLOOKUP(H25:AE25,$AL$4:$AN$44,2,FALSE))+AF25*10)*IF(AJ25="是",$AW$4,$AW$3)</f>
        <v>0</v>
      </c>
      <c r="D25" s="135">
        <f>SUM($B$4:B25)-SUM($C$4:C25)</f>
        <v>20810</v>
      </c>
      <c r="E25" s="135" cm="1">
        <f t="array" ref="E25">SUM(VLOOKUP(H25:AE25,$AL$4:$AN$44,3,FALSE))</f>
        <v>0</v>
      </c>
      <c r="F25" s="135">
        <f>SUM($E$4:E25)+SUM($G$4:G25)</f>
        <v>5995</v>
      </c>
      <c r="G25" s="137">
        <v>0</v>
      </c>
      <c r="H25" s="137" t="s">
        <v>23</v>
      </c>
      <c r="I25" s="137" t="s">
        <v>23</v>
      </c>
      <c r="J25" s="137" t="s">
        <v>23</v>
      </c>
      <c r="K25" s="137" t="s">
        <v>23</v>
      </c>
      <c r="L25" s="137" t="s">
        <v>23</v>
      </c>
      <c r="M25" s="137" t="s">
        <v>23</v>
      </c>
      <c r="N25" s="138" t="s">
        <v>23</v>
      </c>
      <c r="O25" s="138" t="s">
        <v>23</v>
      </c>
      <c r="P25" s="137" t="s">
        <v>23</v>
      </c>
      <c r="Q25" s="137" t="s">
        <v>23</v>
      </c>
      <c r="R25" s="137" t="s">
        <v>23</v>
      </c>
      <c r="S25" s="137" t="s">
        <v>23</v>
      </c>
      <c r="T25" s="137" t="s">
        <v>23</v>
      </c>
      <c r="U25" s="137" t="s">
        <v>23</v>
      </c>
      <c r="V25" s="138" t="s">
        <v>23</v>
      </c>
      <c r="W25" s="138" t="s">
        <v>23</v>
      </c>
      <c r="X25" s="137" t="s">
        <v>23</v>
      </c>
      <c r="Y25" s="137" t="s">
        <v>23</v>
      </c>
      <c r="Z25" s="137" t="s">
        <v>23</v>
      </c>
      <c r="AA25" s="137" t="s">
        <v>23</v>
      </c>
      <c r="AB25" s="137" t="s">
        <v>23</v>
      </c>
      <c r="AC25" s="137" t="s">
        <v>23</v>
      </c>
      <c r="AD25" s="138" t="s">
        <v>23</v>
      </c>
      <c r="AE25" s="138" t="s">
        <v>23</v>
      </c>
      <c r="AF25" s="139">
        <v>0</v>
      </c>
      <c r="AG25" s="94"/>
      <c r="AH25" s="94"/>
      <c r="AI25" s="94"/>
      <c r="AJ25" s="95" t="s">
        <v>31</v>
      </c>
      <c r="AL25" s="31" t="s">
        <v>40</v>
      </c>
      <c r="AM25" s="19">
        <v>160</v>
      </c>
      <c r="AN25" s="19">
        <v>40</v>
      </c>
      <c r="AO25" s="19">
        <f t="shared" si="1"/>
        <v>0</v>
      </c>
      <c r="AP25" s="19">
        <f t="shared" si="3"/>
        <v>0</v>
      </c>
      <c r="AQ25" s="19">
        <f t="shared" si="4"/>
        <v>0</v>
      </c>
      <c r="AR25" s="19">
        <f t="shared" si="5"/>
        <v>0</v>
      </c>
      <c r="AS25" s="50">
        <f t="shared" si="6"/>
        <v>0</v>
      </c>
      <c r="AT25" s="50">
        <f t="shared" si="6"/>
        <v>0</v>
      </c>
      <c r="AU25" s="50">
        <f t="shared" si="6"/>
        <v>0</v>
      </c>
      <c r="AX25" s="53">
        <f t="shared" si="7"/>
        <v>0.3125</v>
      </c>
      <c r="AY25">
        <f t="shared" si="8"/>
        <v>128</v>
      </c>
    </row>
    <row r="26" spans="1:51">
      <c r="A26" s="76">
        <v>44478</v>
      </c>
      <c r="B26" s="137">
        <v>1600</v>
      </c>
      <c r="C26" s="135" cm="1">
        <f t="array" ref="C26">(SUM(VLOOKUP(H26:AE26,$AL$4:$AN$44,2,FALSE))+AF26*10)*IF(AJ26="是",$AW$4,$AW$3)</f>
        <v>0</v>
      </c>
      <c r="D26" s="135">
        <f>SUM($B$4:B26)-SUM($C$4:C26)</f>
        <v>22410</v>
      </c>
      <c r="E26" s="135" cm="1">
        <f t="array" ref="E26">SUM(VLOOKUP(H26:AE26,$AL$4:$AN$44,3,FALSE))</f>
        <v>0</v>
      </c>
      <c r="F26" s="135">
        <f>SUM($E$4:E26)+SUM($G$4:G26)</f>
        <v>5995</v>
      </c>
      <c r="G26" s="137">
        <v>0</v>
      </c>
      <c r="H26" s="137" t="s">
        <v>23</v>
      </c>
      <c r="I26" s="137" t="s">
        <v>23</v>
      </c>
      <c r="J26" s="137" t="s">
        <v>23</v>
      </c>
      <c r="K26" s="137" t="s">
        <v>23</v>
      </c>
      <c r="L26" s="137" t="s">
        <v>23</v>
      </c>
      <c r="M26" s="137" t="s">
        <v>23</v>
      </c>
      <c r="N26" s="138" t="s">
        <v>23</v>
      </c>
      <c r="O26" s="138" t="s">
        <v>23</v>
      </c>
      <c r="P26" s="137" t="s">
        <v>23</v>
      </c>
      <c r="Q26" s="137" t="s">
        <v>23</v>
      </c>
      <c r="R26" s="137" t="s">
        <v>23</v>
      </c>
      <c r="S26" s="137" t="s">
        <v>23</v>
      </c>
      <c r="T26" s="137" t="s">
        <v>23</v>
      </c>
      <c r="U26" s="137" t="s">
        <v>23</v>
      </c>
      <c r="V26" s="138" t="s">
        <v>23</v>
      </c>
      <c r="W26" s="138" t="s">
        <v>23</v>
      </c>
      <c r="X26" s="137" t="s">
        <v>23</v>
      </c>
      <c r="Y26" s="137" t="s">
        <v>23</v>
      </c>
      <c r="Z26" s="137" t="s">
        <v>23</v>
      </c>
      <c r="AA26" s="137" t="s">
        <v>23</v>
      </c>
      <c r="AB26" s="137" t="s">
        <v>23</v>
      </c>
      <c r="AC26" s="137" t="s">
        <v>23</v>
      </c>
      <c r="AD26" s="138" t="s">
        <v>23</v>
      </c>
      <c r="AE26" s="138" t="s">
        <v>23</v>
      </c>
      <c r="AF26" s="139">
        <v>0</v>
      </c>
      <c r="AG26" s="94">
        <v>1</v>
      </c>
      <c r="AH26" s="94"/>
      <c r="AI26" s="94"/>
      <c r="AJ26" s="95" t="s">
        <v>31</v>
      </c>
      <c r="AL26" s="31" t="s">
        <v>38</v>
      </c>
      <c r="AM26" s="19">
        <v>150</v>
      </c>
      <c r="AN26" s="19">
        <v>35</v>
      </c>
      <c r="AO26" s="19">
        <f t="shared" si="1"/>
        <v>0</v>
      </c>
      <c r="AP26" s="19">
        <f t="shared" si="3"/>
        <v>0</v>
      </c>
      <c r="AQ26" s="19">
        <f t="shared" si="4"/>
        <v>0</v>
      </c>
      <c r="AR26" s="19">
        <f t="shared" si="5"/>
        <v>0</v>
      </c>
      <c r="AS26" s="50">
        <f t="shared" si="6"/>
        <v>0</v>
      </c>
      <c r="AT26" s="50">
        <f t="shared" si="6"/>
        <v>0</v>
      </c>
      <c r="AU26" s="50">
        <f t="shared" si="6"/>
        <v>0</v>
      </c>
      <c r="AX26" s="53">
        <f t="shared" si="7"/>
        <v>0.29166666666666669</v>
      </c>
      <c r="AY26">
        <f t="shared" si="8"/>
        <v>120</v>
      </c>
    </row>
    <row r="27" spans="1:51">
      <c r="A27" s="76">
        <v>44479</v>
      </c>
      <c r="B27" s="137">
        <v>1600</v>
      </c>
      <c r="C27" s="135" cm="1">
        <f t="array" ref="C27">(SUM(VLOOKUP(H27:AE27,$AL$4:$AN$44,2,FALSE))+AF27*10)*IF(AJ27="是",$AW$4,$AW$3)</f>
        <v>0</v>
      </c>
      <c r="D27" s="135">
        <f>SUM($B$4:B27)-SUM($C$4:C27)</f>
        <v>24010</v>
      </c>
      <c r="E27" s="135" cm="1">
        <f t="array" ref="E27">SUM(VLOOKUP(H27:AE27,$AL$4:$AN$44,3,FALSE))</f>
        <v>0</v>
      </c>
      <c r="F27" s="135">
        <f>SUM($E$4:E27)+SUM($G$4:G27)</f>
        <v>5995</v>
      </c>
      <c r="G27" s="137">
        <v>0</v>
      </c>
      <c r="H27" s="137" t="s">
        <v>23</v>
      </c>
      <c r="I27" s="137" t="s">
        <v>23</v>
      </c>
      <c r="J27" s="137" t="s">
        <v>23</v>
      </c>
      <c r="K27" s="137" t="s">
        <v>23</v>
      </c>
      <c r="L27" s="137" t="s">
        <v>23</v>
      </c>
      <c r="M27" s="137" t="s">
        <v>23</v>
      </c>
      <c r="N27" s="138" t="s">
        <v>23</v>
      </c>
      <c r="O27" s="138" t="s">
        <v>23</v>
      </c>
      <c r="P27" s="137" t="s">
        <v>23</v>
      </c>
      <c r="Q27" s="137" t="s">
        <v>23</v>
      </c>
      <c r="R27" s="137" t="s">
        <v>23</v>
      </c>
      <c r="S27" s="137" t="s">
        <v>23</v>
      </c>
      <c r="T27" s="137" t="s">
        <v>23</v>
      </c>
      <c r="U27" s="137" t="s">
        <v>23</v>
      </c>
      <c r="V27" s="138" t="s">
        <v>23</v>
      </c>
      <c r="W27" s="138" t="s">
        <v>23</v>
      </c>
      <c r="X27" s="137" t="s">
        <v>23</v>
      </c>
      <c r="Y27" s="137" t="s">
        <v>23</v>
      </c>
      <c r="Z27" s="137" t="s">
        <v>23</v>
      </c>
      <c r="AA27" s="137" t="s">
        <v>23</v>
      </c>
      <c r="AB27" s="137" t="s">
        <v>23</v>
      </c>
      <c r="AC27" s="137" t="s">
        <v>23</v>
      </c>
      <c r="AD27" s="138" t="s">
        <v>23</v>
      </c>
      <c r="AE27" s="138" t="s">
        <v>23</v>
      </c>
      <c r="AF27" s="139">
        <v>0</v>
      </c>
      <c r="AG27" s="94"/>
      <c r="AH27" s="94"/>
      <c r="AI27" s="94"/>
      <c r="AJ27" s="95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6"/>
        <v>0</v>
      </c>
      <c r="AT27" s="50">
        <f t="shared" si="6"/>
        <v>0</v>
      </c>
      <c r="AU27" s="50">
        <f t="shared" si="6"/>
        <v>0</v>
      </c>
      <c r="AY27">
        <f t="shared" si="8"/>
        <v>0</v>
      </c>
    </row>
    <row r="28" spans="1:51" ht="15.75" thickBot="1">
      <c r="A28" s="76">
        <v>44480</v>
      </c>
      <c r="B28" s="135">
        <v>1600</v>
      </c>
      <c r="C28" s="135" cm="1">
        <f t="array" ref="C28">(SUM(VLOOKUP(H28:AE28,$AL$4:$AN$44,2,FALSE))+AF28*10)*IF(AJ28="是",$AW$4,$AW$3)</f>
        <v>0</v>
      </c>
      <c r="D28" s="135">
        <f>SUM($B$4:B28)-SUM($C$4:C28)</f>
        <v>25610</v>
      </c>
      <c r="E28" s="135" cm="1">
        <f t="array" ref="E28">SUM(VLOOKUP(H28:AE28,$AL$4:$AN$44,3,FALSE))</f>
        <v>0</v>
      </c>
      <c r="F28" s="135">
        <f>SUM($E$4:E28)+SUM($G$4:G28)</f>
        <v>6295</v>
      </c>
      <c r="G28" s="135">
        <v>300</v>
      </c>
      <c r="H28" s="137" t="s">
        <v>23</v>
      </c>
      <c r="I28" s="137" t="s">
        <v>23</v>
      </c>
      <c r="J28" s="137" t="s">
        <v>23</v>
      </c>
      <c r="K28" s="137" t="s">
        <v>23</v>
      </c>
      <c r="L28" s="137" t="s">
        <v>23</v>
      </c>
      <c r="M28" s="137" t="s">
        <v>23</v>
      </c>
      <c r="N28" s="138" t="s">
        <v>23</v>
      </c>
      <c r="O28" s="138" t="s">
        <v>23</v>
      </c>
      <c r="P28" s="137" t="s">
        <v>23</v>
      </c>
      <c r="Q28" s="137" t="s">
        <v>23</v>
      </c>
      <c r="R28" s="137" t="s">
        <v>23</v>
      </c>
      <c r="S28" s="137" t="s">
        <v>23</v>
      </c>
      <c r="T28" s="137" t="s">
        <v>23</v>
      </c>
      <c r="U28" s="137" t="s">
        <v>23</v>
      </c>
      <c r="V28" s="138" t="s">
        <v>23</v>
      </c>
      <c r="W28" s="138" t="s">
        <v>23</v>
      </c>
      <c r="X28" s="137" t="s">
        <v>23</v>
      </c>
      <c r="Y28" s="137" t="s">
        <v>23</v>
      </c>
      <c r="Z28" s="137" t="s">
        <v>23</v>
      </c>
      <c r="AA28" s="137" t="s">
        <v>23</v>
      </c>
      <c r="AB28" s="137" t="s">
        <v>23</v>
      </c>
      <c r="AC28" s="137" t="s">
        <v>23</v>
      </c>
      <c r="AD28" s="138" t="s">
        <v>23</v>
      </c>
      <c r="AE28" s="138" t="s">
        <v>23</v>
      </c>
      <c r="AF28" s="139">
        <v>0</v>
      </c>
      <c r="AG28" s="94"/>
      <c r="AH28" s="94"/>
      <c r="AI28" s="94"/>
      <c r="AJ28" s="95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0</v>
      </c>
      <c r="AP28" s="19">
        <f>COUNTIF($P$4:$W$94,AL28)</f>
        <v>0</v>
      </c>
      <c r="AQ28" s="19">
        <f>COUNTIF($X$4:$AE$94,AL28)</f>
        <v>0</v>
      </c>
      <c r="AR28" s="19">
        <f>AO28+AP28+AQ28</f>
        <v>0</v>
      </c>
      <c r="AS28" s="50">
        <f t="shared" si="6"/>
        <v>0</v>
      </c>
      <c r="AT28" s="50">
        <f t="shared" si="6"/>
        <v>0</v>
      </c>
      <c r="AU28" s="50">
        <f t="shared" si="6"/>
        <v>0</v>
      </c>
      <c r="AY28">
        <f t="shared" si="8"/>
        <v>-160</v>
      </c>
    </row>
    <row r="29" spans="1:51">
      <c r="A29" s="76">
        <v>44481</v>
      </c>
      <c r="B29" s="135">
        <v>1600</v>
      </c>
      <c r="C29" s="135" cm="1">
        <f t="array" ref="C29">(SUM(VLOOKUP(H29:AE29,$AL$4:$AN$44,2,FALSE))+AF29*10)*IF(AJ29="是",$AW$4,$AW$3)</f>
        <v>0</v>
      </c>
      <c r="D29" s="135">
        <f>SUM($B$4:B29)-SUM($C$4:C29)</f>
        <v>27210</v>
      </c>
      <c r="E29" s="135" cm="1">
        <f t="array" ref="E29">SUM(VLOOKUP(H29:AE29,$AL$4:$AN$44,3,FALSE))</f>
        <v>0</v>
      </c>
      <c r="F29" s="135">
        <f>SUM($E$4:E29)+SUM($G$4:G29)</f>
        <v>6295</v>
      </c>
      <c r="G29" s="135">
        <v>0</v>
      </c>
      <c r="H29" s="137" t="s">
        <v>23</v>
      </c>
      <c r="I29" s="137" t="s">
        <v>23</v>
      </c>
      <c r="J29" s="137" t="s">
        <v>23</v>
      </c>
      <c r="K29" s="137" t="s">
        <v>23</v>
      </c>
      <c r="L29" s="137" t="s">
        <v>23</v>
      </c>
      <c r="M29" s="137" t="s">
        <v>23</v>
      </c>
      <c r="N29" s="138" t="s">
        <v>23</v>
      </c>
      <c r="O29" s="138" t="s">
        <v>23</v>
      </c>
      <c r="P29" s="137" t="s">
        <v>23</v>
      </c>
      <c r="Q29" s="137" t="s">
        <v>23</v>
      </c>
      <c r="R29" s="137" t="s">
        <v>23</v>
      </c>
      <c r="S29" s="137" t="s">
        <v>23</v>
      </c>
      <c r="T29" s="137" t="s">
        <v>23</v>
      </c>
      <c r="U29" s="137" t="s">
        <v>23</v>
      </c>
      <c r="V29" s="138" t="s">
        <v>23</v>
      </c>
      <c r="W29" s="138" t="s">
        <v>23</v>
      </c>
      <c r="X29" s="137" t="s">
        <v>23</v>
      </c>
      <c r="Y29" s="137" t="s">
        <v>23</v>
      </c>
      <c r="Z29" s="137" t="s">
        <v>23</v>
      </c>
      <c r="AA29" s="137" t="s">
        <v>23</v>
      </c>
      <c r="AB29" s="137" t="s">
        <v>23</v>
      </c>
      <c r="AC29" s="137" t="s">
        <v>23</v>
      </c>
      <c r="AD29" s="138" t="s">
        <v>23</v>
      </c>
      <c r="AE29" s="138" t="s">
        <v>23</v>
      </c>
      <c r="AF29" s="139">
        <v>0</v>
      </c>
      <c r="AG29" s="94"/>
      <c r="AH29" s="94">
        <v>1</v>
      </c>
      <c r="AI29" s="94"/>
      <c r="AJ29" s="95" t="s">
        <v>31</v>
      </c>
      <c r="AL29" s="19"/>
      <c r="AM29" s="19"/>
      <c r="AN29" s="19"/>
      <c r="AQ29" t="s">
        <v>60</v>
      </c>
      <c r="AR29">
        <f>SUM(AR4:AR28)</f>
        <v>88</v>
      </c>
      <c r="AT29" t="s">
        <v>61</v>
      </c>
      <c r="AU29" s="4">
        <f>SUM(AS4:AU28)+7000</f>
        <v>10995</v>
      </c>
    </row>
    <row r="30" spans="1:51">
      <c r="A30" s="76">
        <v>44482</v>
      </c>
      <c r="B30" s="135">
        <v>1600</v>
      </c>
      <c r="C30" s="135" cm="1">
        <f t="array" ref="C30">(SUM(VLOOKUP(H30:AE30,$AL$4:$AN$44,2,FALSE))+AF30*10)*IF(AJ30="是",$AW$4,$AW$3)</f>
        <v>0</v>
      </c>
      <c r="D30" s="135">
        <f>SUM($B$4:B30)-SUM($C$4:C30)</f>
        <v>28810</v>
      </c>
      <c r="E30" s="135" cm="1">
        <f t="array" ref="E30">SUM(VLOOKUP(H30:AE30,$AL$4:$AN$44,3,FALSE))</f>
        <v>0</v>
      </c>
      <c r="F30" s="135">
        <f>SUM($E$4:E30)+SUM($G$4:G30)</f>
        <v>6495</v>
      </c>
      <c r="G30" s="135">
        <v>200</v>
      </c>
      <c r="H30" s="137" t="s">
        <v>23</v>
      </c>
      <c r="I30" s="137" t="s">
        <v>23</v>
      </c>
      <c r="J30" s="137" t="s">
        <v>23</v>
      </c>
      <c r="K30" s="137" t="s">
        <v>23</v>
      </c>
      <c r="L30" s="137" t="s">
        <v>23</v>
      </c>
      <c r="M30" s="137" t="s">
        <v>23</v>
      </c>
      <c r="N30" s="138" t="s">
        <v>23</v>
      </c>
      <c r="O30" s="138" t="s">
        <v>23</v>
      </c>
      <c r="P30" s="137" t="s">
        <v>23</v>
      </c>
      <c r="Q30" s="137" t="s">
        <v>23</v>
      </c>
      <c r="R30" s="137" t="s">
        <v>23</v>
      </c>
      <c r="S30" s="137" t="s">
        <v>23</v>
      </c>
      <c r="T30" s="137" t="s">
        <v>23</v>
      </c>
      <c r="U30" s="137" t="s">
        <v>23</v>
      </c>
      <c r="V30" s="138" t="s">
        <v>23</v>
      </c>
      <c r="W30" s="138" t="s">
        <v>23</v>
      </c>
      <c r="X30" s="137" t="s">
        <v>23</v>
      </c>
      <c r="Y30" s="137" t="s">
        <v>23</v>
      </c>
      <c r="Z30" s="137" t="s">
        <v>23</v>
      </c>
      <c r="AA30" s="137" t="s">
        <v>23</v>
      </c>
      <c r="AB30" s="137" t="s">
        <v>23</v>
      </c>
      <c r="AC30" s="137" t="s">
        <v>23</v>
      </c>
      <c r="AD30" s="138" t="s">
        <v>23</v>
      </c>
      <c r="AE30" s="138" t="s">
        <v>23</v>
      </c>
      <c r="AF30" s="139">
        <v>0</v>
      </c>
      <c r="AG30" s="94"/>
      <c r="AH30" s="94"/>
      <c r="AI30" s="94"/>
      <c r="AJ30" s="95" t="s">
        <v>31</v>
      </c>
      <c r="AL30" s="19"/>
      <c r="AM30" s="19"/>
      <c r="AN30" s="19"/>
    </row>
    <row r="31" spans="1:51">
      <c r="A31" s="76">
        <v>44483</v>
      </c>
      <c r="B31" s="135">
        <v>1600</v>
      </c>
      <c r="C31" s="135" cm="1">
        <f t="array" ref="C31">(SUM(VLOOKUP(H31:AE31,$AL$4:$AN$44,2,FALSE))+AF31*10)*IF(AJ31="是",$AW$4,$AW$3)</f>
        <v>0</v>
      </c>
      <c r="D31" s="135">
        <f>SUM($B$4:B31)-SUM($C$4:C31)</f>
        <v>30410</v>
      </c>
      <c r="E31" s="135" cm="1">
        <f t="array" ref="E31">SUM(VLOOKUP(H31:AE31,$AL$4:$AN$44,3,FALSE))</f>
        <v>0</v>
      </c>
      <c r="F31" s="135">
        <f>SUM($E$4:E31)+SUM($G$4:G31)</f>
        <v>6495</v>
      </c>
      <c r="G31" s="135">
        <v>0</v>
      </c>
      <c r="H31" s="137" t="s">
        <v>23</v>
      </c>
      <c r="I31" s="137" t="s">
        <v>23</v>
      </c>
      <c r="J31" s="137" t="s">
        <v>23</v>
      </c>
      <c r="K31" s="137" t="s">
        <v>23</v>
      </c>
      <c r="L31" s="137" t="s">
        <v>23</v>
      </c>
      <c r="M31" s="137" t="s">
        <v>23</v>
      </c>
      <c r="N31" s="138" t="s">
        <v>23</v>
      </c>
      <c r="O31" s="138" t="s">
        <v>23</v>
      </c>
      <c r="P31" s="137" t="s">
        <v>23</v>
      </c>
      <c r="Q31" s="137" t="s">
        <v>23</v>
      </c>
      <c r="R31" s="137" t="s">
        <v>23</v>
      </c>
      <c r="S31" s="137" t="s">
        <v>23</v>
      </c>
      <c r="T31" s="137" t="s">
        <v>23</v>
      </c>
      <c r="U31" s="137" t="s">
        <v>23</v>
      </c>
      <c r="V31" s="138" t="s">
        <v>23</v>
      </c>
      <c r="W31" s="138" t="s">
        <v>23</v>
      </c>
      <c r="X31" s="137" t="s">
        <v>23</v>
      </c>
      <c r="Y31" s="137" t="s">
        <v>23</v>
      </c>
      <c r="Z31" s="137" t="s">
        <v>23</v>
      </c>
      <c r="AA31" s="137" t="s">
        <v>23</v>
      </c>
      <c r="AB31" s="137" t="s">
        <v>23</v>
      </c>
      <c r="AC31" s="137" t="s">
        <v>23</v>
      </c>
      <c r="AD31" s="138" t="s">
        <v>23</v>
      </c>
      <c r="AE31" s="138" t="s">
        <v>23</v>
      </c>
      <c r="AF31" s="139">
        <v>0</v>
      </c>
      <c r="AG31" s="94"/>
      <c r="AH31" s="94"/>
      <c r="AI31" s="94"/>
      <c r="AJ31" s="95" t="s">
        <v>31</v>
      </c>
      <c r="AL31" s="19"/>
      <c r="AM31" s="19"/>
      <c r="AN31" s="19"/>
    </row>
    <row r="32" spans="1:51">
      <c r="A32" s="76">
        <v>44484</v>
      </c>
      <c r="B32" s="135">
        <v>1600</v>
      </c>
      <c r="C32" s="135" cm="1">
        <f t="array" ref="C32">(SUM(VLOOKUP(H32:AE32,$AL$4:$AN$44,2,FALSE))+AF32*10)*IF(AJ32="是",$AW$4,$AW$3)</f>
        <v>0</v>
      </c>
      <c r="D32" s="135">
        <f>SUM($B$4:B32)-SUM($C$4:C32)</f>
        <v>32010</v>
      </c>
      <c r="E32" s="135" cm="1">
        <f t="array" ref="E32">SUM(VLOOKUP(H32:AE32,$AL$4:$AN$44,3,FALSE))</f>
        <v>0</v>
      </c>
      <c r="F32" s="135">
        <f>SUM($E$4:E32)+SUM($G$4:G32)</f>
        <v>6495</v>
      </c>
      <c r="G32" s="135">
        <v>0</v>
      </c>
      <c r="H32" s="137" t="s">
        <v>23</v>
      </c>
      <c r="I32" s="137" t="s">
        <v>23</v>
      </c>
      <c r="J32" s="137" t="s">
        <v>23</v>
      </c>
      <c r="K32" s="137" t="s">
        <v>23</v>
      </c>
      <c r="L32" s="137" t="s">
        <v>23</v>
      </c>
      <c r="M32" s="137" t="s">
        <v>23</v>
      </c>
      <c r="N32" s="138" t="s">
        <v>23</v>
      </c>
      <c r="O32" s="138" t="s">
        <v>23</v>
      </c>
      <c r="P32" s="137" t="s">
        <v>23</v>
      </c>
      <c r="Q32" s="137" t="s">
        <v>23</v>
      </c>
      <c r="R32" s="137" t="s">
        <v>23</v>
      </c>
      <c r="S32" s="137" t="s">
        <v>23</v>
      </c>
      <c r="T32" s="137" t="s">
        <v>23</v>
      </c>
      <c r="U32" s="137" t="s">
        <v>23</v>
      </c>
      <c r="V32" s="138" t="s">
        <v>23</v>
      </c>
      <c r="W32" s="138" t="s">
        <v>23</v>
      </c>
      <c r="X32" s="137" t="s">
        <v>23</v>
      </c>
      <c r="Y32" s="137" t="s">
        <v>23</v>
      </c>
      <c r="Z32" s="137" t="s">
        <v>23</v>
      </c>
      <c r="AA32" s="137" t="s">
        <v>23</v>
      </c>
      <c r="AB32" s="137" t="s">
        <v>23</v>
      </c>
      <c r="AC32" s="137" t="s">
        <v>23</v>
      </c>
      <c r="AD32" s="138" t="s">
        <v>23</v>
      </c>
      <c r="AE32" s="138" t="s">
        <v>23</v>
      </c>
      <c r="AF32" s="139">
        <v>0</v>
      </c>
      <c r="AG32" s="94"/>
      <c r="AH32" s="94"/>
      <c r="AI32" s="94"/>
      <c r="AJ32" s="95" t="s">
        <v>31</v>
      </c>
      <c r="AL32" s="19"/>
      <c r="AM32" s="19"/>
      <c r="AN32" s="19"/>
    </row>
    <row r="33" spans="1:41">
      <c r="A33" s="76">
        <v>44485</v>
      </c>
      <c r="B33" s="135">
        <v>1600</v>
      </c>
      <c r="C33" s="135" cm="1">
        <f t="array" ref="C33">(SUM(VLOOKUP(H33:AE33,$AL$4:$AN$44,2,FALSE))+AF33*10)*IF(AJ33="是",$AW$4,$AW$3)</f>
        <v>0</v>
      </c>
      <c r="D33" s="135">
        <f>SUM($B$4:B33)-SUM($C$4:C33)</f>
        <v>33610</v>
      </c>
      <c r="E33" s="135" cm="1">
        <f t="array" ref="E33">SUM(VLOOKUP(H33:AE33,$AL$4:$AN$44,3,FALSE))</f>
        <v>0</v>
      </c>
      <c r="F33" s="135">
        <f>SUM($E$4:E33)+SUM($G$4:G33)</f>
        <v>6495</v>
      </c>
      <c r="G33" s="135">
        <v>0</v>
      </c>
      <c r="H33" s="137" t="s">
        <v>23</v>
      </c>
      <c r="I33" s="137" t="s">
        <v>23</v>
      </c>
      <c r="J33" s="137" t="s">
        <v>23</v>
      </c>
      <c r="K33" s="137" t="s">
        <v>23</v>
      </c>
      <c r="L33" s="137" t="s">
        <v>23</v>
      </c>
      <c r="M33" s="137" t="s">
        <v>23</v>
      </c>
      <c r="N33" s="138" t="s">
        <v>23</v>
      </c>
      <c r="O33" s="138" t="s">
        <v>23</v>
      </c>
      <c r="P33" s="137" t="s">
        <v>23</v>
      </c>
      <c r="Q33" s="137" t="s">
        <v>23</v>
      </c>
      <c r="R33" s="137" t="s">
        <v>23</v>
      </c>
      <c r="S33" s="137" t="s">
        <v>23</v>
      </c>
      <c r="T33" s="137" t="s">
        <v>23</v>
      </c>
      <c r="U33" s="137" t="s">
        <v>23</v>
      </c>
      <c r="V33" s="138" t="s">
        <v>23</v>
      </c>
      <c r="W33" s="138" t="s">
        <v>23</v>
      </c>
      <c r="X33" s="137" t="s">
        <v>23</v>
      </c>
      <c r="Y33" s="137" t="s">
        <v>23</v>
      </c>
      <c r="Z33" s="137" t="s">
        <v>23</v>
      </c>
      <c r="AA33" s="137" t="s">
        <v>23</v>
      </c>
      <c r="AB33" s="137" t="s">
        <v>23</v>
      </c>
      <c r="AC33" s="137" t="s">
        <v>23</v>
      </c>
      <c r="AD33" s="138" t="s">
        <v>23</v>
      </c>
      <c r="AE33" s="138" t="s">
        <v>23</v>
      </c>
      <c r="AF33" s="139">
        <v>0</v>
      </c>
      <c r="AG33" s="94"/>
      <c r="AH33" s="94"/>
      <c r="AI33" s="94"/>
      <c r="AJ33" s="95" t="s">
        <v>31</v>
      </c>
      <c r="AL33" s="19"/>
      <c r="AM33" s="19"/>
      <c r="AN33" s="19"/>
    </row>
    <row r="34" spans="1:41">
      <c r="A34" s="76">
        <v>44486</v>
      </c>
      <c r="B34" s="135">
        <v>1600</v>
      </c>
      <c r="C34" s="135" cm="1">
        <f t="array" ref="C34">(SUM(VLOOKUP(H34:AE34,$AL$4:$AN$44,2,FALSE))+AF34*10)*IF(AJ34="是",$AW$4,$AW$3)</f>
        <v>0</v>
      </c>
      <c r="D34" s="135">
        <f>SUM($B$4:B34)-SUM($C$4:C34)</f>
        <v>35210</v>
      </c>
      <c r="E34" s="135" cm="1">
        <f t="array" ref="E34">SUM(VLOOKUP(H34:AE34,$AL$4:$AN$44,3,FALSE))</f>
        <v>0</v>
      </c>
      <c r="F34" s="135">
        <f>SUM($E$4:E34)+SUM($G$4:G34)</f>
        <v>6495</v>
      </c>
      <c r="G34" s="135">
        <v>0</v>
      </c>
      <c r="H34" s="137" t="s">
        <v>23</v>
      </c>
      <c r="I34" s="137" t="s">
        <v>23</v>
      </c>
      <c r="J34" s="137" t="s">
        <v>23</v>
      </c>
      <c r="K34" s="137" t="s">
        <v>23</v>
      </c>
      <c r="L34" s="137" t="s">
        <v>23</v>
      </c>
      <c r="M34" s="137" t="s">
        <v>23</v>
      </c>
      <c r="N34" s="138" t="s">
        <v>23</v>
      </c>
      <c r="O34" s="138" t="s">
        <v>23</v>
      </c>
      <c r="P34" s="137" t="s">
        <v>23</v>
      </c>
      <c r="Q34" s="137" t="s">
        <v>23</v>
      </c>
      <c r="R34" s="137" t="s">
        <v>23</v>
      </c>
      <c r="S34" s="137" t="s">
        <v>23</v>
      </c>
      <c r="T34" s="137" t="s">
        <v>23</v>
      </c>
      <c r="U34" s="137" t="s">
        <v>23</v>
      </c>
      <c r="V34" s="138" t="s">
        <v>23</v>
      </c>
      <c r="W34" s="138" t="s">
        <v>23</v>
      </c>
      <c r="X34" s="137" t="s">
        <v>23</v>
      </c>
      <c r="Y34" s="137" t="s">
        <v>23</v>
      </c>
      <c r="Z34" s="137" t="s">
        <v>23</v>
      </c>
      <c r="AA34" s="137" t="s">
        <v>23</v>
      </c>
      <c r="AB34" s="137" t="s">
        <v>23</v>
      </c>
      <c r="AC34" s="137" t="s">
        <v>23</v>
      </c>
      <c r="AD34" s="138" t="s">
        <v>23</v>
      </c>
      <c r="AE34" s="138" t="s">
        <v>23</v>
      </c>
      <c r="AF34" s="139">
        <v>0</v>
      </c>
      <c r="AG34" s="94"/>
      <c r="AH34" s="94"/>
      <c r="AI34" s="94"/>
      <c r="AJ34" s="95" t="s">
        <v>31</v>
      </c>
      <c r="AL34" s="19"/>
      <c r="AM34" s="19"/>
      <c r="AN34" s="19"/>
    </row>
    <row r="35" spans="1:41">
      <c r="A35" s="76">
        <v>44487</v>
      </c>
      <c r="B35" s="137">
        <v>1600</v>
      </c>
      <c r="C35" s="135" cm="1">
        <f t="array" ref="C35">(SUM(VLOOKUP(H35:AE35,$AL$4:$AN$44,2,FALSE))+AF35*10)*IF(AJ35="是",$AW$4,$AW$3)</f>
        <v>0</v>
      </c>
      <c r="D35" s="135">
        <f>SUM($B$4:B35)-SUM($C$4:C35)</f>
        <v>36810</v>
      </c>
      <c r="E35" s="135" cm="1">
        <f t="array" ref="E35">SUM(VLOOKUP(H35:AE35,$AL$4:$AN$44,3,FALSE))</f>
        <v>0</v>
      </c>
      <c r="F35" s="135">
        <f>SUM($E$4:E35)+SUM($G$4:G35)</f>
        <v>6695</v>
      </c>
      <c r="G35" s="137">
        <v>200</v>
      </c>
      <c r="H35" s="137" t="s">
        <v>23</v>
      </c>
      <c r="I35" s="137" t="s">
        <v>23</v>
      </c>
      <c r="J35" s="137" t="s">
        <v>23</v>
      </c>
      <c r="K35" s="137" t="s">
        <v>23</v>
      </c>
      <c r="L35" s="137" t="s">
        <v>23</v>
      </c>
      <c r="M35" s="137" t="s">
        <v>23</v>
      </c>
      <c r="N35" s="138" t="s">
        <v>23</v>
      </c>
      <c r="O35" s="138" t="s">
        <v>23</v>
      </c>
      <c r="P35" s="137" t="s">
        <v>23</v>
      </c>
      <c r="Q35" s="137" t="s">
        <v>23</v>
      </c>
      <c r="R35" s="137" t="s">
        <v>23</v>
      </c>
      <c r="S35" s="137" t="s">
        <v>23</v>
      </c>
      <c r="T35" s="137" t="s">
        <v>23</v>
      </c>
      <c r="U35" s="137" t="s">
        <v>23</v>
      </c>
      <c r="V35" s="138" t="s">
        <v>23</v>
      </c>
      <c r="W35" s="138" t="s">
        <v>23</v>
      </c>
      <c r="X35" s="137" t="s">
        <v>23</v>
      </c>
      <c r="Y35" s="137" t="s">
        <v>23</v>
      </c>
      <c r="Z35" s="137" t="s">
        <v>23</v>
      </c>
      <c r="AA35" s="137" t="s">
        <v>23</v>
      </c>
      <c r="AB35" s="137" t="s">
        <v>23</v>
      </c>
      <c r="AC35" s="137" t="s">
        <v>23</v>
      </c>
      <c r="AD35" s="138" t="s">
        <v>23</v>
      </c>
      <c r="AE35" s="138" t="s">
        <v>23</v>
      </c>
      <c r="AF35" s="139">
        <v>0</v>
      </c>
      <c r="AG35" s="94"/>
      <c r="AH35" s="94"/>
      <c r="AI35" s="94"/>
      <c r="AJ35" s="95" t="s">
        <v>31</v>
      </c>
      <c r="AL35" s="19"/>
      <c r="AM35" s="19"/>
      <c r="AN35" s="19"/>
    </row>
    <row r="36" spans="1:41">
      <c r="A36" s="76">
        <v>44488</v>
      </c>
      <c r="B36" s="137">
        <v>1600</v>
      </c>
      <c r="C36" s="135" cm="1">
        <f t="array" ref="C36">(SUM(VLOOKUP(H36:AE36,$AL$4:$AN$44,2,FALSE))+AF36*10)*IF(AJ36="是",$AW$4,$AW$3)</f>
        <v>0</v>
      </c>
      <c r="D36" s="135">
        <f>SUM($B$4:B36)-SUM($C$4:C36)</f>
        <v>38410</v>
      </c>
      <c r="E36" s="135" cm="1">
        <f t="array" ref="E36">SUM(VLOOKUP(H36:AE36,$AL$4:$AN$44,3,FALSE))</f>
        <v>0</v>
      </c>
      <c r="F36" s="135">
        <f>SUM($E$4:E36)+SUM($G$4:G36)</f>
        <v>6795</v>
      </c>
      <c r="G36" s="137">
        <v>100</v>
      </c>
      <c r="H36" s="137" t="s">
        <v>23</v>
      </c>
      <c r="I36" s="137" t="s">
        <v>23</v>
      </c>
      <c r="J36" s="137" t="s">
        <v>23</v>
      </c>
      <c r="K36" s="137" t="s">
        <v>23</v>
      </c>
      <c r="L36" s="137" t="s">
        <v>23</v>
      </c>
      <c r="M36" s="137" t="s">
        <v>23</v>
      </c>
      <c r="N36" s="138" t="s">
        <v>23</v>
      </c>
      <c r="O36" s="138" t="s">
        <v>23</v>
      </c>
      <c r="P36" s="137" t="s">
        <v>23</v>
      </c>
      <c r="Q36" s="137" t="s">
        <v>23</v>
      </c>
      <c r="R36" s="137" t="s">
        <v>23</v>
      </c>
      <c r="S36" s="137" t="s">
        <v>23</v>
      </c>
      <c r="T36" s="137" t="s">
        <v>23</v>
      </c>
      <c r="U36" s="137" t="s">
        <v>23</v>
      </c>
      <c r="V36" s="138" t="s">
        <v>23</v>
      </c>
      <c r="W36" s="138" t="s">
        <v>23</v>
      </c>
      <c r="X36" s="137" t="s">
        <v>23</v>
      </c>
      <c r="Y36" s="137" t="s">
        <v>23</v>
      </c>
      <c r="Z36" s="137" t="s">
        <v>23</v>
      </c>
      <c r="AA36" s="137" t="s">
        <v>23</v>
      </c>
      <c r="AB36" s="137" t="s">
        <v>23</v>
      </c>
      <c r="AC36" s="137" t="s">
        <v>23</v>
      </c>
      <c r="AD36" s="138" t="s">
        <v>23</v>
      </c>
      <c r="AE36" s="138" t="s">
        <v>23</v>
      </c>
      <c r="AF36" s="139">
        <v>0</v>
      </c>
      <c r="AG36" s="94"/>
      <c r="AH36" s="94"/>
      <c r="AI36" s="94"/>
      <c r="AJ36" s="95" t="s">
        <v>31</v>
      </c>
      <c r="AL36" s="19"/>
      <c r="AM36" s="19"/>
      <c r="AN36" s="19"/>
    </row>
    <row r="37" spans="1:41">
      <c r="A37" s="76">
        <v>44489</v>
      </c>
      <c r="B37" s="137">
        <v>1600</v>
      </c>
      <c r="C37" s="135" cm="1">
        <f t="array" ref="C37">(SUM(VLOOKUP(H37:AE37,$AL$4:$AN$44,2,FALSE))+AF37*10)*IF(AJ37="是",$AW$4,$AW$3)</f>
        <v>0</v>
      </c>
      <c r="D37" s="135">
        <f>SUM($B$4:B37)-SUM($C$4:C37)</f>
        <v>40010</v>
      </c>
      <c r="E37" s="135" cm="1">
        <f t="array" ref="E37">SUM(VLOOKUP(H37:AE37,$AL$4:$AN$44,3,FALSE))</f>
        <v>0</v>
      </c>
      <c r="F37" s="135">
        <f>SUM($E$4:E37)+SUM($G$4:G37)</f>
        <v>6995</v>
      </c>
      <c r="G37" s="137">
        <v>200</v>
      </c>
      <c r="H37" s="137" t="s">
        <v>23</v>
      </c>
      <c r="I37" s="137" t="s">
        <v>23</v>
      </c>
      <c r="J37" s="137" t="s">
        <v>23</v>
      </c>
      <c r="K37" s="137" t="s">
        <v>23</v>
      </c>
      <c r="L37" s="137" t="s">
        <v>23</v>
      </c>
      <c r="M37" s="137" t="s">
        <v>23</v>
      </c>
      <c r="N37" s="138" t="s">
        <v>23</v>
      </c>
      <c r="O37" s="138" t="s">
        <v>23</v>
      </c>
      <c r="P37" s="137" t="s">
        <v>23</v>
      </c>
      <c r="Q37" s="137" t="s">
        <v>23</v>
      </c>
      <c r="R37" s="137" t="s">
        <v>23</v>
      </c>
      <c r="S37" s="137" t="s">
        <v>23</v>
      </c>
      <c r="T37" s="137" t="s">
        <v>23</v>
      </c>
      <c r="U37" s="137" t="s">
        <v>23</v>
      </c>
      <c r="V37" s="138" t="s">
        <v>23</v>
      </c>
      <c r="W37" s="138" t="s">
        <v>23</v>
      </c>
      <c r="X37" s="137" t="s">
        <v>23</v>
      </c>
      <c r="Y37" s="137" t="s">
        <v>23</v>
      </c>
      <c r="Z37" s="137" t="s">
        <v>23</v>
      </c>
      <c r="AA37" s="137" t="s">
        <v>23</v>
      </c>
      <c r="AB37" s="137" t="s">
        <v>23</v>
      </c>
      <c r="AC37" s="137" t="s">
        <v>23</v>
      </c>
      <c r="AD37" s="138" t="s">
        <v>23</v>
      </c>
      <c r="AE37" s="138" t="s">
        <v>23</v>
      </c>
      <c r="AF37" s="139">
        <v>0</v>
      </c>
      <c r="AG37" s="94"/>
      <c r="AH37" s="94"/>
      <c r="AI37" s="94"/>
      <c r="AJ37" s="95" t="s">
        <v>31</v>
      </c>
      <c r="AK37" s="110">
        <f>F37+D37*0.36</f>
        <v>21398.6</v>
      </c>
      <c r="AL37" s="19" t="s">
        <v>67</v>
      </c>
      <c r="AM37" s="19"/>
      <c r="AN37" s="19">
        <v>6</v>
      </c>
      <c r="AO37">
        <v>194</v>
      </c>
    </row>
    <row r="38" spans="1:41">
      <c r="A38" s="76">
        <v>44490</v>
      </c>
      <c r="B38" s="137">
        <v>1600</v>
      </c>
      <c r="C38" s="135" cm="1">
        <f t="array" ref="C38">(SUM(VLOOKUP(H38:AE38,$AL$4:$AN$44,2,FALSE))+AF38*10)*IF(AJ38="是",$AW$4,$AW$3)</f>
        <v>0</v>
      </c>
      <c r="D38" s="135">
        <f>SUM($B$4:B38)-SUM($C$4:C38)</f>
        <v>41610</v>
      </c>
      <c r="E38" s="135" cm="1">
        <f t="array" ref="E38">SUM(VLOOKUP(H38:AE38,$AL$4:$AN$44,3,FALSE))</f>
        <v>0</v>
      </c>
      <c r="F38" s="135">
        <f>SUM($E$4:E38)+SUM($G$4:G38)</f>
        <v>6995</v>
      </c>
      <c r="G38" s="137">
        <v>0</v>
      </c>
      <c r="H38" s="137" t="s">
        <v>23</v>
      </c>
      <c r="I38" s="137" t="s">
        <v>23</v>
      </c>
      <c r="J38" s="137" t="s">
        <v>23</v>
      </c>
      <c r="K38" s="137" t="s">
        <v>23</v>
      </c>
      <c r="L38" s="137" t="s">
        <v>23</v>
      </c>
      <c r="M38" s="137" t="s">
        <v>23</v>
      </c>
      <c r="N38" s="138" t="s">
        <v>23</v>
      </c>
      <c r="O38" s="138" t="s">
        <v>23</v>
      </c>
      <c r="P38" s="137" t="s">
        <v>23</v>
      </c>
      <c r="Q38" s="137" t="s">
        <v>23</v>
      </c>
      <c r="R38" s="137" t="s">
        <v>23</v>
      </c>
      <c r="S38" s="137" t="s">
        <v>23</v>
      </c>
      <c r="T38" s="137" t="s">
        <v>23</v>
      </c>
      <c r="U38" s="137" t="s">
        <v>23</v>
      </c>
      <c r="V38" s="138" t="s">
        <v>23</v>
      </c>
      <c r="W38" s="138" t="s">
        <v>23</v>
      </c>
      <c r="X38" s="137" t="s">
        <v>23</v>
      </c>
      <c r="Y38" s="137" t="s">
        <v>23</v>
      </c>
      <c r="Z38" s="137" t="s">
        <v>23</v>
      </c>
      <c r="AA38" s="137" t="s">
        <v>23</v>
      </c>
      <c r="AB38" s="137" t="s">
        <v>23</v>
      </c>
      <c r="AC38" s="137" t="s">
        <v>23</v>
      </c>
      <c r="AD38" s="138" t="s">
        <v>23</v>
      </c>
      <c r="AE38" s="138" t="s">
        <v>23</v>
      </c>
      <c r="AF38" s="139">
        <v>0</v>
      </c>
      <c r="AG38" s="94"/>
      <c r="AH38" s="94"/>
      <c r="AI38" s="94"/>
      <c r="AJ38" s="95" t="s">
        <v>31</v>
      </c>
      <c r="AK38" s="110">
        <f t="shared" ref="AK38:AK94" si="9">F38+D38*0.36</f>
        <v>21974.6</v>
      </c>
      <c r="AL38" s="19" t="s">
        <v>68</v>
      </c>
      <c r="AM38" s="19"/>
      <c r="AN38" s="19">
        <v>5</v>
      </c>
      <c r="AO38">
        <v>236</v>
      </c>
    </row>
    <row r="39" spans="1:41">
      <c r="A39" s="76">
        <v>44491</v>
      </c>
      <c r="B39" s="137">
        <v>1600</v>
      </c>
      <c r="C39" s="135" cm="1">
        <f t="array" ref="C39">(SUM(VLOOKUP(H39:AE39,$AL$4:$AN$44,2,FALSE))+AF39*10)*IF(AJ39="是",$AW$4,$AW$3)</f>
        <v>0</v>
      </c>
      <c r="D39" s="135">
        <f>SUM($B$4:B39)-SUM($C$4:C39)</f>
        <v>43210</v>
      </c>
      <c r="E39" s="135" cm="1">
        <f t="array" ref="E39">SUM(VLOOKUP(H39:AE39,$AL$4:$AN$44,3,FALSE))</f>
        <v>0</v>
      </c>
      <c r="F39" s="135">
        <f>SUM($E$4:E39)+SUM($G$4:G39)</f>
        <v>6995</v>
      </c>
      <c r="G39" s="137">
        <v>0</v>
      </c>
      <c r="H39" s="137" t="s">
        <v>23</v>
      </c>
      <c r="I39" s="137" t="s">
        <v>23</v>
      </c>
      <c r="J39" s="137" t="s">
        <v>23</v>
      </c>
      <c r="K39" s="137" t="s">
        <v>23</v>
      </c>
      <c r="L39" s="137" t="s">
        <v>23</v>
      </c>
      <c r="M39" s="137" t="s">
        <v>23</v>
      </c>
      <c r="N39" s="138" t="s">
        <v>23</v>
      </c>
      <c r="O39" s="138" t="s">
        <v>23</v>
      </c>
      <c r="P39" s="137" t="s">
        <v>23</v>
      </c>
      <c r="Q39" s="137" t="s">
        <v>23</v>
      </c>
      <c r="R39" s="137" t="s">
        <v>23</v>
      </c>
      <c r="S39" s="137" t="s">
        <v>23</v>
      </c>
      <c r="T39" s="137" t="s">
        <v>23</v>
      </c>
      <c r="U39" s="137" t="s">
        <v>23</v>
      </c>
      <c r="V39" s="138" t="s">
        <v>23</v>
      </c>
      <c r="W39" s="138" t="s">
        <v>23</v>
      </c>
      <c r="X39" s="137" t="s">
        <v>23</v>
      </c>
      <c r="Y39" s="137" t="s">
        <v>23</v>
      </c>
      <c r="Z39" s="137" t="s">
        <v>23</v>
      </c>
      <c r="AA39" s="137" t="s">
        <v>23</v>
      </c>
      <c r="AB39" s="137" t="s">
        <v>23</v>
      </c>
      <c r="AC39" s="137" t="s">
        <v>23</v>
      </c>
      <c r="AD39" s="138" t="s">
        <v>23</v>
      </c>
      <c r="AE39" s="138" t="s">
        <v>23</v>
      </c>
      <c r="AF39" s="139">
        <v>0</v>
      </c>
      <c r="AG39" s="94"/>
      <c r="AH39" s="94"/>
      <c r="AI39" s="94"/>
      <c r="AJ39" s="95" t="s">
        <v>31</v>
      </c>
      <c r="AK39" s="110">
        <f t="shared" si="9"/>
        <v>22550.6</v>
      </c>
      <c r="AL39" s="19" t="s">
        <v>69</v>
      </c>
      <c r="AM39" s="19"/>
      <c r="AN39" s="19">
        <v>4</v>
      </c>
      <c r="AO39">
        <v>269</v>
      </c>
    </row>
    <row r="40" spans="1:41">
      <c r="A40" s="76">
        <v>44492</v>
      </c>
      <c r="B40" s="137">
        <v>1600</v>
      </c>
      <c r="C40" s="135" cm="1">
        <f t="array" ref="C40">(SUM(VLOOKUP(H40:AE40,$AL$4:$AN$44,2,FALSE))+AF40*10)*IF(AJ40="是",$AW$4,$AW$3)</f>
        <v>0</v>
      </c>
      <c r="D40" s="135">
        <f>SUM($B$4:B40)-SUM($C$4:C40)</f>
        <v>44810</v>
      </c>
      <c r="E40" s="135" cm="1">
        <f t="array" ref="E40">SUM(VLOOKUP(H40:AE40,$AL$4:$AN$44,3,FALSE))</f>
        <v>0</v>
      </c>
      <c r="F40" s="135">
        <f>SUM($E$4:E40)+SUM($G$4:G40)</f>
        <v>6995</v>
      </c>
      <c r="G40" s="137">
        <v>0</v>
      </c>
      <c r="H40" s="137" t="s">
        <v>23</v>
      </c>
      <c r="I40" s="137" t="s">
        <v>23</v>
      </c>
      <c r="J40" s="137" t="s">
        <v>23</v>
      </c>
      <c r="K40" s="137" t="s">
        <v>23</v>
      </c>
      <c r="L40" s="137" t="s">
        <v>23</v>
      </c>
      <c r="M40" s="137" t="s">
        <v>23</v>
      </c>
      <c r="N40" s="138" t="s">
        <v>23</v>
      </c>
      <c r="O40" s="138" t="s">
        <v>23</v>
      </c>
      <c r="P40" s="137" t="s">
        <v>23</v>
      </c>
      <c r="Q40" s="137" t="s">
        <v>23</v>
      </c>
      <c r="R40" s="137" t="s">
        <v>23</v>
      </c>
      <c r="S40" s="137" t="s">
        <v>23</v>
      </c>
      <c r="T40" s="137" t="s">
        <v>23</v>
      </c>
      <c r="U40" s="137" t="s">
        <v>23</v>
      </c>
      <c r="V40" s="138" t="s">
        <v>23</v>
      </c>
      <c r="W40" s="138" t="s">
        <v>23</v>
      </c>
      <c r="X40" s="137" t="s">
        <v>23</v>
      </c>
      <c r="Y40" s="137" t="s">
        <v>23</v>
      </c>
      <c r="Z40" s="137" t="s">
        <v>23</v>
      </c>
      <c r="AA40" s="137" t="s">
        <v>23</v>
      </c>
      <c r="AB40" s="137" t="s">
        <v>23</v>
      </c>
      <c r="AC40" s="137" t="s">
        <v>23</v>
      </c>
      <c r="AD40" s="138" t="s">
        <v>23</v>
      </c>
      <c r="AE40" s="138" t="s">
        <v>23</v>
      </c>
      <c r="AF40" s="139">
        <v>0</v>
      </c>
      <c r="AG40" s="94"/>
      <c r="AH40" s="94"/>
      <c r="AI40" s="94"/>
      <c r="AJ40" s="95" t="s">
        <v>31</v>
      </c>
      <c r="AK40" s="110">
        <f t="shared" si="9"/>
        <v>23126.6</v>
      </c>
      <c r="AL40" s="19" t="s">
        <v>70</v>
      </c>
      <c r="AM40" s="19"/>
      <c r="AN40" s="19">
        <v>3</v>
      </c>
      <c r="AO40">
        <v>358</v>
      </c>
    </row>
    <row r="41" spans="1:41">
      <c r="A41" s="76">
        <v>44493</v>
      </c>
      <c r="B41" s="137">
        <v>1600</v>
      </c>
      <c r="C41" s="135" cm="1">
        <f t="array" ref="C41">(SUM(VLOOKUP(H41:AE41,$AL$4:$AN$44,2,FALSE))+AF41*10)*IF(AJ41="是",$AW$4,$AW$3)</f>
        <v>0</v>
      </c>
      <c r="D41" s="135">
        <f>SUM($B$4:B41)-SUM($C$4:C41)</f>
        <v>46410</v>
      </c>
      <c r="E41" s="135" cm="1">
        <f t="array" ref="E41">SUM(VLOOKUP(H41:AE41,$AL$4:$AN$44,3,FALSE))</f>
        <v>0</v>
      </c>
      <c r="F41" s="135">
        <f>SUM($E$4:E41)+SUM($G$4:G41)</f>
        <v>6995</v>
      </c>
      <c r="G41" s="137">
        <v>0</v>
      </c>
      <c r="H41" s="137" t="s">
        <v>23</v>
      </c>
      <c r="I41" s="137" t="s">
        <v>23</v>
      </c>
      <c r="J41" s="137" t="s">
        <v>23</v>
      </c>
      <c r="K41" s="137" t="s">
        <v>23</v>
      </c>
      <c r="L41" s="137" t="s">
        <v>23</v>
      </c>
      <c r="M41" s="137" t="s">
        <v>23</v>
      </c>
      <c r="N41" s="138" t="s">
        <v>23</v>
      </c>
      <c r="O41" s="138" t="s">
        <v>23</v>
      </c>
      <c r="P41" s="137" t="s">
        <v>23</v>
      </c>
      <c r="Q41" s="137" t="s">
        <v>23</v>
      </c>
      <c r="R41" s="137" t="s">
        <v>23</v>
      </c>
      <c r="S41" s="137" t="s">
        <v>23</v>
      </c>
      <c r="T41" s="137" t="s">
        <v>23</v>
      </c>
      <c r="U41" s="137" t="s">
        <v>23</v>
      </c>
      <c r="V41" s="138" t="s">
        <v>23</v>
      </c>
      <c r="W41" s="138" t="s">
        <v>23</v>
      </c>
      <c r="X41" s="137" t="s">
        <v>23</v>
      </c>
      <c r="Y41" s="137" t="s">
        <v>23</v>
      </c>
      <c r="Z41" s="137" t="s">
        <v>23</v>
      </c>
      <c r="AA41" s="137" t="s">
        <v>23</v>
      </c>
      <c r="AB41" s="137" t="s">
        <v>23</v>
      </c>
      <c r="AC41" s="137" t="s">
        <v>23</v>
      </c>
      <c r="AD41" s="138" t="s">
        <v>23</v>
      </c>
      <c r="AE41" s="138" t="s">
        <v>23</v>
      </c>
      <c r="AF41" s="139">
        <v>0</v>
      </c>
      <c r="AG41" s="94"/>
      <c r="AH41" s="94"/>
      <c r="AI41" s="94"/>
      <c r="AJ41" s="95" t="s">
        <v>31</v>
      </c>
      <c r="AK41" s="110">
        <f t="shared" si="9"/>
        <v>23702.6</v>
      </c>
      <c r="AL41" s="19"/>
      <c r="AM41" s="19"/>
      <c r="AN41" s="19"/>
      <c r="AO41">
        <f>SUM(AO37:AO40)</f>
        <v>1057</v>
      </c>
    </row>
    <row r="42" spans="1:41">
      <c r="A42" s="76">
        <v>44494</v>
      </c>
      <c r="B42" s="135">
        <v>1600</v>
      </c>
      <c r="C42" s="135" cm="1">
        <f t="array" ref="C42">(SUM(VLOOKUP(H42:AE42,$AL$4:$AN$44,2,FALSE))+AF42*10)*IF(AJ42="是",$AW$4,$AW$3)</f>
        <v>0</v>
      </c>
      <c r="D42" s="135">
        <f>SUM($B$4:B42)-SUM($C$4:C42)</f>
        <v>48010</v>
      </c>
      <c r="E42" s="135" cm="1">
        <f t="array" ref="E42">SUM(VLOOKUP(H42:AE42,$AL$4:$AN$44,3,FALSE))</f>
        <v>0</v>
      </c>
      <c r="F42" s="135">
        <f>SUM($E$4:E42)+SUM($G$4:G42)</f>
        <v>7295</v>
      </c>
      <c r="G42" s="135">
        <v>300</v>
      </c>
      <c r="H42" s="137" t="s">
        <v>23</v>
      </c>
      <c r="I42" s="137" t="s">
        <v>23</v>
      </c>
      <c r="J42" s="137" t="s">
        <v>23</v>
      </c>
      <c r="K42" s="137" t="s">
        <v>23</v>
      </c>
      <c r="L42" s="137" t="s">
        <v>23</v>
      </c>
      <c r="M42" s="137" t="s">
        <v>23</v>
      </c>
      <c r="N42" s="138" t="s">
        <v>23</v>
      </c>
      <c r="O42" s="138" t="s">
        <v>23</v>
      </c>
      <c r="P42" s="137" t="s">
        <v>23</v>
      </c>
      <c r="Q42" s="137" t="s">
        <v>23</v>
      </c>
      <c r="R42" s="137" t="s">
        <v>23</v>
      </c>
      <c r="S42" s="137" t="s">
        <v>23</v>
      </c>
      <c r="T42" s="137" t="s">
        <v>23</v>
      </c>
      <c r="U42" s="137" t="s">
        <v>23</v>
      </c>
      <c r="V42" s="138" t="s">
        <v>23</v>
      </c>
      <c r="W42" s="138" t="s">
        <v>23</v>
      </c>
      <c r="X42" s="137" t="s">
        <v>23</v>
      </c>
      <c r="Y42" s="137" t="s">
        <v>23</v>
      </c>
      <c r="Z42" s="137" t="s">
        <v>23</v>
      </c>
      <c r="AA42" s="137" t="s">
        <v>23</v>
      </c>
      <c r="AB42" s="137" t="s">
        <v>23</v>
      </c>
      <c r="AC42" s="137" t="s">
        <v>23</v>
      </c>
      <c r="AD42" s="138" t="s">
        <v>23</v>
      </c>
      <c r="AE42" s="138" t="s">
        <v>23</v>
      </c>
      <c r="AF42" s="139">
        <v>0</v>
      </c>
      <c r="AG42" s="94"/>
      <c r="AH42" s="94"/>
      <c r="AI42" s="94"/>
      <c r="AJ42" s="95" t="s">
        <v>31</v>
      </c>
      <c r="AK42" s="110">
        <f t="shared" si="9"/>
        <v>24578.6</v>
      </c>
      <c r="AL42" s="19"/>
      <c r="AM42" s="19"/>
      <c r="AN42" s="19"/>
    </row>
    <row r="43" spans="1:41">
      <c r="A43" s="76">
        <v>44495</v>
      </c>
      <c r="B43" s="135">
        <v>1600</v>
      </c>
      <c r="C43" s="135" cm="1">
        <f t="array" ref="C43">(SUM(VLOOKUP(H43:AE43,$AL$4:$AN$44,2,FALSE))+AF43*10)*IF(AJ43="是",$AW$4,$AW$3)</f>
        <v>0</v>
      </c>
      <c r="D43" s="135">
        <f>SUM($B$4:B43)-SUM($C$4:C43)</f>
        <v>49610</v>
      </c>
      <c r="E43" s="135" cm="1">
        <f t="array" ref="E43">SUM(VLOOKUP(H43:AE43,$AL$4:$AN$44,3,FALSE))</f>
        <v>0</v>
      </c>
      <c r="F43" s="135">
        <f>SUM($E$4:E43)+SUM($G$4:G43)</f>
        <v>7295</v>
      </c>
      <c r="G43" s="135">
        <v>0</v>
      </c>
      <c r="H43" s="137" t="s">
        <v>23</v>
      </c>
      <c r="I43" s="137" t="s">
        <v>23</v>
      </c>
      <c r="J43" s="137" t="s">
        <v>23</v>
      </c>
      <c r="K43" s="137" t="s">
        <v>23</v>
      </c>
      <c r="L43" s="137" t="s">
        <v>23</v>
      </c>
      <c r="M43" s="137" t="s">
        <v>23</v>
      </c>
      <c r="N43" s="138" t="s">
        <v>23</v>
      </c>
      <c r="O43" s="138" t="s">
        <v>23</v>
      </c>
      <c r="P43" s="137" t="s">
        <v>23</v>
      </c>
      <c r="Q43" s="137" t="s">
        <v>23</v>
      </c>
      <c r="R43" s="137" t="s">
        <v>23</v>
      </c>
      <c r="S43" s="137" t="s">
        <v>23</v>
      </c>
      <c r="T43" s="137" t="s">
        <v>23</v>
      </c>
      <c r="U43" s="137" t="s">
        <v>23</v>
      </c>
      <c r="V43" s="138" t="s">
        <v>23</v>
      </c>
      <c r="W43" s="138" t="s">
        <v>23</v>
      </c>
      <c r="X43" s="137" t="s">
        <v>23</v>
      </c>
      <c r="Y43" s="137" t="s">
        <v>23</v>
      </c>
      <c r="Z43" s="137" t="s">
        <v>23</v>
      </c>
      <c r="AA43" s="137" t="s">
        <v>23</v>
      </c>
      <c r="AB43" s="137" t="s">
        <v>23</v>
      </c>
      <c r="AC43" s="137" t="s">
        <v>23</v>
      </c>
      <c r="AD43" s="138" t="s">
        <v>23</v>
      </c>
      <c r="AE43" s="138" t="s">
        <v>23</v>
      </c>
      <c r="AF43" s="139">
        <v>0</v>
      </c>
      <c r="AG43" s="94"/>
      <c r="AH43" s="94"/>
      <c r="AI43" s="94"/>
      <c r="AJ43" s="95" t="s">
        <v>31</v>
      </c>
      <c r="AK43" s="110">
        <f t="shared" si="9"/>
        <v>25154.6</v>
      </c>
      <c r="AL43" s="19"/>
      <c r="AM43" s="19"/>
      <c r="AN43" s="19"/>
    </row>
    <row r="44" spans="1:41">
      <c r="A44" s="76">
        <v>44496</v>
      </c>
      <c r="B44" s="135">
        <v>1600</v>
      </c>
      <c r="C44" s="135" cm="1">
        <f t="array" ref="C44">(SUM(VLOOKUP(H44:AE44,$AL$4:$AN$44,2,FALSE))+AF44*10)*IF(AJ44="是",$AW$4,$AW$3)</f>
        <v>0</v>
      </c>
      <c r="D44" s="135">
        <f>SUM($B$4:B44)-SUM($C$4:C44)</f>
        <v>51210</v>
      </c>
      <c r="E44" s="135" cm="1">
        <f t="array" ref="E44">SUM(VLOOKUP(H44:AE44,$AL$4:$AN$44,3,FALSE))</f>
        <v>0</v>
      </c>
      <c r="F44" s="135">
        <f>SUM($E$4:E44)+SUM($G$4:G44)</f>
        <v>7495</v>
      </c>
      <c r="G44" s="135">
        <v>200</v>
      </c>
      <c r="H44" s="137" t="s">
        <v>23</v>
      </c>
      <c r="I44" s="137" t="s">
        <v>23</v>
      </c>
      <c r="J44" s="137" t="s">
        <v>23</v>
      </c>
      <c r="K44" s="137" t="s">
        <v>23</v>
      </c>
      <c r="L44" s="137" t="s">
        <v>23</v>
      </c>
      <c r="M44" s="137" t="s">
        <v>23</v>
      </c>
      <c r="N44" s="138" t="s">
        <v>23</v>
      </c>
      <c r="O44" s="138" t="s">
        <v>23</v>
      </c>
      <c r="P44" s="137" t="s">
        <v>23</v>
      </c>
      <c r="Q44" s="137" t="s">
        <v>23</v>
      </c>
      <c r="R44" s="137" t="s">
        <v>23</v>
      </c>
      <c r="S44" s="137" t="s">
        <v>23</v>
      </c>
      <c r="T44" s="137" t="s">
        <v>23</v>
      </c>
      <c r="U44" s="137" t="s">
        <v>23</v>
      </c>
      <c r="V44" s="138" t="s">
        <v>23</v>
      </c>
      <c r="W44" s="138" t="s">
        <v>23</v>
      </c>
      <c r="X44" s="137" t="s">
        <v>23</v>
      </c>
      <c r="Y44" s="137" t="s">
        <v>23</v>
      </c>
      <c r="Z44" s="137" t="s">
        <v>23</v>
      </c>
      <c r="AA44" s="137" t="s">
        <v>23</v>
      </c>
      <c r="AB44" s="137" t="s">
        <v>23</v>
      </c>
      <c r="AC44" s="137" t="s">
        <v>23</v>
      </c>
      <c r="AD44" s="138" t="s">
        <v>23</v>
      </c>
      <c r="AE44" s="138" t="s">
        <v>23</v>
      </c>
      <c r="AF44" s="139">
        <v>0</v>
      </c>
      <c r="AG44" s="94"/>
      <c r="AH44" s="94"/>
      <c r="AI44" s="94"/>
      <c r="AJ44" s="95" t="s">
        <v>31</v>
      </c>
      <c r="AK44" s="110">
        <f t="shared" si="9"/>
        <v>25930.6</v>
      </c>
      <c r="AL44" s="19"/>
      <c r="AM44" s="19"/>
      <c r="AN44" s="19"/>
    </row>
    <row r="45" spans="1:41">
      <c r="A45" s="76">
        <v>44497</v>
      </c>
      <c r="B45" s="135">
        <v>1600</v>
      </c>
      <c r="C45" s="135" cm="1">
        <f t="array" ref="C45">(SUM(VLOOKUP(H45:AE45,$AL$4:$AN$44,2,FALSE))+AF45*10)*IF(AJ45="是",$AW$4,$AW$3)</f>
        <v>0</v>
      </c>
      <c r="D45" s="135">
        <f>SUM($B$4:B45)-SUM($C$4:C45)</f>
        <v>52810</v>
      </c>
      <c r="E45" s="135" cm="1">
        <f t="array" ref="E45">SUM(VLOOKUP(H45:AE45,$AL$4:$AN$44,3,FALSE))</f>
        <v>0</v>
      </c>
      <c r="F45" s="135">
        <f>SUM($E$4:E45)+SUM($G$4:G45)</f>
        <v>7495</v>
      </c>
      <c r="G45" s="135">
        <v>0</v>
      </c>
      <c r="H45" s="137" t="s">
        <v>23</v>
      </c>
      <c r="I45" s="137" t="s">
        <v>23</v>
      </c>
      <c r="J45" s="137" t="s">
        <v>23</v>
      </c>
      <c r="K45" s="137" t="s">
        <v>23</v>
      </c>
      <c r="L45" s="137" t="s">
        <v>23</v>
      </c>
      <c r="M45" s="137" t="s">
        <v>23</v>
      </c>
      <c r="N45" s="138" t="s">
        <v>23</v>
      </c>
      <c r="O45" s="138" t="s">
        <v>23</v>
      </c>
      <c r="P45" s="137" t="s">
        <v>23</v>
      </c>
      <c r="Q45" s="137" t="s">
        <v>23</v>
      </c>
      <c r="R45" s="137" t="s">
        <v>23</v>
      </c>
      <c r="S45" s="137" t="s">
        <v>23</v>
      </c>
      <c r="T45" s="137" t="s">
        <v>23</v>
      </c>
      <c r="U45" s="137" t="s">
        <v>23</v>
      </c>
      <c r="V45" s="138" t="s">
        <v>23</v>
      </c>
      <c r="W45" s="138" t="s">
        <v>23</v>
      </c>
      <c r="X45" s="137" t="s">
        <v>23</v>
      </c>
      <c r="Y45" s="137" t="s">
        <v>23</v>
      </c>
      <c r="Z45" s="137" t="s">
        <v>23</v>
      </c>
      <c r="AA45" s="137" t="s">
        <v>23</v>
      </c>
      <c r="AB45" s="137" t="s">
        <v>23</v>
      </c>
      <c r="AC45" s="137" t="s">
        <v>23</v>
      </c>
      <c r="AD45" s="138" t="s">
        <v>23</v>
      </c>
      <c r="AE45" s="138" t="s">
        <v>23</v>
      </c>
      <c r="AF45" s="139">
        <v>0</v>
      </c>
      <c r="AG45" s="94"/>
      <c r="AH45" s="94"/>
      <c r="AI45" s="94"/>
      <c r="AJ45" s="95" t="s">
        <v>31</v>
      </c>
      <c r="AK45" s="110">
        <f t="shared" si="9"/>
        <v>26506.6</v>
      </c>
    </row>
    <row r="46" spans="1:41">
      <c r="A46" s="76">
        <v>44498</v>
      </c>
      <c r="B46" s="135">
        <v>1600</v>
      </c>
      <c r="C46" s="135" cm="1">
        <f t="array" ref="C46">(SUM(VLOOKUP(H46:AE46,$AL$4:$AN$44,2,FALSE))+AF46*10)*IF(AJ46="是",$AW$4,$AW$3)</f>
        <v>0</v>
      </c>
      <c r="D46" s="135">
        <f>SUM($B$4:B46)-SUM($C$4:C46)</f>
        <v>54410</v>
      </c>
      <c r="E46" s="135" cm="1">
        <f t="array" ref="E46">SUM(VLOOKUP(H46:AE46,$AL$4:$AN$44,3,FALSE))</f>
        <v>0</v>
      </c>
      <c r="F46" s="135">
        <f>SUM($E$4:E46)+SUM($G$4:G46)</f>
        <v>7495</v>
      </c>
      <c r="G46" s="135">
        <v>0</v>
      </c>
      <c r="H46" s="137" t="s">
        <v>23</v>
      </c>
      <c r="I46" s="137" t="s">
        <v>23</v>
      </c>
      <c r="J46" s="137" t="s">
        <v>23</v>
      </c>
      <c r="K46" s="137" t="s">
        <v>23</v>
      </c>
      <c r="L46" s="137" t="s">
        <v>23</v>
      </c>
      <c r="M46" s="137" t="s">
        <v>23</v>
      </c>
      <c r="N46" s="138" t="s">
        <v>23</v>
      </c>
      <c r="O46" s="138" t="s">
        <v>23</v>
      </c>
      <c r="P46" s="137" t="s">
        <v>23</v>
      </c>
      <c r="Q46" s="137" t="s">
        <v>23</v>
      </c>
      <c r="R46" s="137" t="s">
        <v>23</v>
      </c>
      <c r="S46" s="137" t="s">
        <v>23</v>
      </c>
      <c r="T46" s="137" t="s">
        <v>23</v>
      </c>
      <c r="U46" s="137" t="s">
        <v>23</v>
      </c>
      <c r="V46" s="138" t="s">
        <v>23</v>
      </c>
      <c r="W46" s="138" t="s">
        <v>23</v>
      </c>
      <c r="X46" s="137" t="s">
        <v>23</v>
      </c>
      <c r="Y46" s="137" t="s">
        <v>23</v>
      </c>
      <c r="Z46" s="137" t="s">
        <v>23</v>
      </c>
      <c r="AA46" s="137" t="s">
        <v>23</v>
      </c>
      <c r="AB46" s="137" t="s">
        <v>23</v>
      </c>
      <c r="AC46" s="137" t="s">
        <v>23</v>
      </c>
      <c r="AD46" s="138" t="s">
        <v>23</v>
      </c>
      <c r="AE46" s="138" t="s">
        <v>23</v>
      </c>
      <c r="AF46" s="139">
        <v>0</v>
      </c>
      <c r="AG46" s="94"/>
      <c r="AH46" s="94"/>
      <c r="AI46" s="94"/>
      <c r="AJ46" s="95" t="s">
        <v>31</v>
      </c>
      <c r="AK46" s="110">
        <f t="shared" si="9"/>
        <v>27082.6</v>
      </c>
    </row>
    <row r="47" spans="1:41">
      <c r="A47" s="76">
        <v>44499</v>
      </c>
      <c r="B47" s="135">
        <v>1600</v>
      </c>
      <c r="C47" s="135" cm="1">
        <f t="array" ref="C47">(SUM(VLOOKUP(H47:AE47,$AL$4:$AN$44,2,FALSE))+AF47*10)*IF(AJ47="是",$AW$4,$AW$3)</f>
        <v>0</v>
      </c>
      <c r="D47" s="135">
        <f>SUM($B$4:B47)-SUM($C$4:C47)</f>
        <v>56010</v>
      </c>
      <c r="E47" s="135" cm="1">
        <f t="array" ref="E47">SUM(VLOOKUP(H47:AE47,$AL$4:$AN$44,3,FALSE))</f>
        <v>0</v>
      </c>
      <c r="F47" s="135">
        <f>SUM($E$4:E47)+SUM($G$4:G47)</f>
        <v>7495</v>
      </c>
      <c r="G47" s="135">
        <v>0</v>
      </c>
      <c r="H47" s="137" t="s">
        <v>23</v>
      </c>
      <c r="I47" s="137" t="s">
        <v>23</v>
      </c>
      <c r="J47" s="137" t="s">
        <v>23</v>
      </c>
      <c r="K47" s="137" t="s">
        <v>23</v>
      </c>
      <c r="L47" s="137" t="s">
        <v>23</v>
      </c>
      <c r="M47" s="137" t="s">
        <v>23</v>
      </c>
      <c r="N47" s="138" t="s">
        <v>23</v>
      </c>
      <c r="O47" s="138" t="s">
        <v>23</v>
      </c>
      <c r="P47" s="137" t="s">
        <v>23</v>
      </c>
      <c r="Q47" s="137" t="s">
        <v>23</v>
      </c>
      <c r="R47" s="137" t="s">
        <v>23</v>
      </c>
      <c r="S47" s="137" t="s">
        <v>23</v>
      </c>
      <c r="T47" s="137" t="s">
        <v>23</v>
      </c>
      <c r="U47" s="137" t="s">
        <v>23</v>
      </c>
      <c r="V47" s="138" t="s">
        <v>23</v>
      </c>
      <c r="W47" s="138" t="s">
        <v>23</v>
      </c>
      <c r="X47" s="137" t="s">
        <v>23</v>
      </c>
      <c r="Y47" s="137" t="s">
        <v>23</v>
      </c>
      <c r="Z47" s="137" t="s">
        <v>23</v>
      </c>
      <c r="AA47" s="137" t="s">
        <v>23</v>
      </c>
      <c r="AB47" s="137" t="s">
        <v>23</v>
      </c>
      <c r="AC47" s="137" t="s">
        <v>23</v>
      </c>
      <c r="AD47" s="138" t="s">
        <v>23</v>
      </c>
      <c r="AE47" s="138" t="s">
        <v>23</v>
      </c>
      <c r="AF47" s="139">
        <v>0</v>
      </c>
      <c r="AG47" s="94"/>
      <c r="AH47" s="94"/>
      <c r="AI47" s="94"/>
      <c r="AJ47" s="95" t="s">
        <v>31</v>
      </c>
      <c r="AK47" s="110">
        <f t="shared" si="9"/>
        <v>27658.6</v>
      </c>
    </row>
    <row r="48" spans="1:41">
      <c r="A48" s="76">
        <v>44500</v>
      </c>
      <c r="B48" s="135">
        <v>1600</v>
      </c>
      <c r="C48" s="135" cm="1">
        <f t="array" ref="C48">(SUM(VLOOKUP(H48:AE48,$AL$4:$AN$44,2,FALSE))+AF48*10)*IF(AJ48="是",$AW$4,$AW$3)</f>
        <v>0</v>
      </c>
      <c r="D48" s="135">
        <f>SUM($B$4:B48)-SUM($C$4:C48)</f>
        <v>57610</v>
      </c>
      <c r="E48" s="135" cm="1">
        <f t="array" ref="E48">SUM(VLOOKUP(H48:AE48,$AL$4:$AN$44,3,FALSE))</f>
        <v>0</v>
      </c>
      <c r="F48" s="135">
        <f>SUM($E$4:E48)+SUM($G$4:G48)</f>
        <v>7495</v>
      </c>
      <c r="G48" s="135">
        <v>0</v>
      </c>
      <c r="H48" s="137" t="s">
        <v>23</v>
      </c>
      <c r="I48" s="137" t="s">
        <v>23</v>
      </c>
      <c r="J48" s="137" t="s">
        <v>23</v>
      </c>
      <c r="K48" s="137" t="s">
        <v>23</v>
      </c>
      <c r="L48" s="137" t="s">
        <v>23</v>
      </c>
      <c r="M48" s="137" t="s">
        <v>23</v>
      </c>
      <c r="N48" s="138" t="s">
        <v>23</v>
      </c>
      <c r="O48" s="138" t="s">
        <v>23</v>
      </c>
      <c r="P48" s="137" t="s">
        <v>23</v>
      </c>
      <c r="Q48" s="137" t="s">
        <v>23</v>
      </c>
      <c r="R48" s="137" t="s">
        <v>23</v>
      </c>
      <c r="S48" s="137" t="s">
        <v>23</v>
      </c>
      <c r="T48" s="137" t="s">
        <v>23</v>
      </c>
      <c r="U48" s="137" t="s">
        <v>23</v>
      </c>
      <c r="V48" s="138" t="s">
        <v>23</v>
      </c>
      <c r="W48" s="138" t="s">
        <v>23</v>
      </c>
      <c r="X48" s="137" t="s">
        <v>23</v>
      </c>
      <c r="Y48" s="137" t="s">
        <v>23</v>
      </c>
      <c r="Z48" s="137" t="s">
        <v>23</v>
      </c>
      <c r="AA48" s="137" t="s">
        <v>23</v>
      </c>
      <c r="AB48" s="137" t="s">
        <v>23</v>
      </c>
      <c r="AC48" s="137" t="s">
        <v>23</v>
      </c>
      <c r="AD48" s="138" t="s">
        <v>23</v>
      </c>
      <c r="AE48" s="138" t="s">
        <v>23</v>
      </c>
      <c r="AF48" s="139">
        <v>0</v>
      </c>
      <c r="AG48" s="94"/>
      <c r="AH48" s="94"/>
      <c r="AI48" s="94"/>
      <c r="AJ48" s="95" t="s">
        <v>31</v>
      </c>
      <c r="AK48" s="110">
        <f t="shared" si="9"/>
        <v>28234.6</v>
      </c>
    </row>
    <row r="49" spans="1:37">
      <c r="A49" s="76">
        <v>44501</v>
      </c>
      <c r="B49" s="137">
        <v>1600</v>
      </c>
      <c r="C49" s="135" cm="1">
        <f t="array" ref="C49">(SUM(VLOOKUP(H49:AE49,$AL$4:$AN$44,2,FALSE))+AF49*10)*IF(AJ49="是",$AW$4,$AW$3)</f>
        <v>0</v>
      </c>
      <c r="D49" s="135">
        <f>SUM($B$4:B49)-SUM($C$4:C49)</f>
        <v>59210</v>
      </c>
      <c r="E49" s="135" cm="1">
        <f t="array" ref="E49">SUM(VLOOKUP(H49:AE49,$AL$4:$AN$44,3,FALSE))</f>
        <v>0</v>
      </c>
      <c r="F49" s="135">
        <f>SUM($E$4:E49)+SUM($G$4:G49)</f>
        <v>7695</v>
      </c>
      <c r="G49" s="137">
        <v>200</v>
      </c>
      <c r="H49" s="137" t="s">
        <v>23</v>
      </c>
      <c r="I49" s="137" t="s">
        <v>23</v>
      </c>
      <c r="J49" s="137" t="s">
        <v>23</v>
      </c>
      <c r="K49" s="137" t="s">
        <v>23</v>
      </c>
      <c r="L49" s="137" t="s">
        <v>23</v>
      </c>
      <c r="M49" s="137" t="s">
        <v>23</v>
      </c>
      <c r="N49" s="138" t="s">
        <v>23</v>
      </c>
      <c r="O49" s="138" t="s">
        <v>23</v>
      </c>
      <c r="P49" s="137" t="s">
        <v>23</v>
      </c>
      <c r="Q49" s="137" t="s">
        <v>23</v>
      </c>
      <c r="R49" s="137" t="s">
        <v>23</v>
      </c>
      <c r="S49" s="137" t="s">
        <v>23</v>
      </c>
      <c r="T49" s="137" t="s">
        <v>23</v>
      </c>
      <c r="U49" s="137" t="s">
        <v>23</v>
      </c>
      <c r="V49" s="138" t="s">
        <v>23</v>
      </c>
      <c r="W49" s="138" t="s">
        <v>23</v>
      </c>
      <c r="X49" s="137" t="s">
        <v>23</v>
      </c>
      <c r="Y49" s="137" t="s">
        <v>23</v>
      </c>
      <c r="Z49" s="137" t="s">
        <v>23</v>
      </c>
      <c r="AA49" s="137" t="s">
        <v>23</v>
      </c>
      <c r="AB49" s="137" t="s">
        <v>23</v>
      </c>
      <c r="AC49" s="137" t="s">
        <v>23</v>
      </c>
      <c r="AD49" s="138" t="s">
        <v>23</v>
      </c>
      <c r="AE49" s="138" t="s">
        <v>23</v>
      </c>
      <c r="AF49" s="139">
        <v>0</v>
      </c>
      <c r="AG49" s="94"/>
      <c r="AH49" s="94"/>
      <c r="AI49" s="94"/>
      <c r="AJ49" s="95" t="s">
        <v>31</v>
      </c>
      <c r="AK49" s="110">
        <f t="shared" si="9"/>
        <v>29010.6</v>
      </c>
    </row>
    <row r="50" spans="1:37">
      <c r="A50" s="76">
        <v>44502</v>
      </c>
      <c r="B50" s="137">
        <v>1600</v>
      </c>
      <c r="C50" s="135" cm="1">
        <f t="array" ref="C50">(SUM(VLOOKUP(H50:AE50,$AL$4:$AN$44,2,FALSE))+AF50*10)*IF(AJ50="是",$AW$4,$AW$3)</f>
        <v>0</v>
      </c>
      <c r="D50" s="135">
        <f>SUM($B$4:B50)-SUM($C$4:C50)</f>
        <v>60810</v>
      </c>
      <c r="E50" s="135" cm="1">
        <f t="array" ref="E50">SUM(VLOOKUP(H50:AE50,$AL$4:$AN$44,3,FALSE))</f>
        <v>0</v>
      </c>
      <c r="F50" s="135">
        <f>SUM($E$4:E50)+SUM($G$4:G50)</f>
        <v>7795</v>
      </c>
      <c r="G50" s="137">
        <v>100</v>
      </c>
      <c r="H50" s="137" t="s">
        <v>23</v>
      </c>
      <c r="I50" s="137" t="s">
        <v>23</v>
      </c>
      <c r="J50" s="137" t="s">
        <v>23</v>
      </c>
      <c r="K50" s="137" t="s">
        <v>23</v>
      </c>
      <c r="L50" s="137" t="s">
        <v>23</v>
      </c>
      <c r="M50" s="137" t="s">
        <v>23</v>
      </c>
      <c r="N50" s="138" t="s">
        <v>23</v>
      </c>
      <c r="O50" s="138" t="s">
        <v>23</v>
      </c>
      <c r="P50" s="137" t="s">
        <v>23</v>
      </c>
      <c r="Q50" s="137" t="s">
        <v>23</v>
      </c>
      <c r="R50" s="137" t="s">
        <v>23</v>
      </c>
      <c r="S50" s="137" t="s">
        <v>23</v>
      </c>
      <c r="T50" s="137" t="s">
        <v>23</v>
      </c>
      <c r="U50" s="137" t="s">
        <v>23</v>
      </c>
      <c r="V50" s="138" t="s">
        <v>23</v>
      </c>
      <c r="W50" s="138" t="s">
        <v>23</v>
      </c>
      <c r="X50" s="137" t="s">
        <v>23</v>
      </c>
      <c r="Y50" s="137" t="s">
        <v>23</v>
      </c>
      <c r="Z50" s="137" t="s">
        <v>23</v>
      </c>
      <c r="AA50" s="137" t="s">
        <v>23</v>
      </c>
      <c r="AB50" s="137" t="s">
        <v>23</v>
      </c>
      <c r="AC50" s="137" t="s">
        <v>23</v>
      </c>
      <c r="AD50" s="138" t="s">
        <v>23</v>
      </c>
      <c r="AE50" s="138" t="s">
        <v>23</v>
      </c>
      <c r="AF50" s="139">
        <v>0</v>
      </c>
      <c r="AG50" s="94"/>
      <c r="AH50" s="94"/>
      <c r="AI50" s="94"/>
      <c r="AJ50" s="95" t="s">
        <v>31</v>
      </c>
      <c r="AK50" s="110">
        <f t="shared" si="9"/>
        <v>29686.6</v>
      </c>
    </row>
    <row r="51" spans="1:37">
      <c r="A51" s="76">
        <v>44503</v>
      </c>
      <c r="B51" s="137">
        <v>1600</v>
      </c>
      <c r="C51" s="135" cm="1">
        <f t="array" ref="C51">(SUM(VLOOKUP(H51:AE51,$AL$4:$AN$44,2,FALSE))+AF51*10)*IF(AJ51="是",$AW$4,$AW$3)</f>
        <v>0</v>
      </c>
      <c r="D51" s="135">
        <f>SUM($B$4:B51)-SUM($C$4:C51)</f>
        <v>62410</v>
      </c>
      <c r="E51" s="135" cm="1">
        <f t="array" ref="E51">SUM(VLOOKUP(H51:AE51,$AL$4:$AN$44,3,FALSE))</f>
        <v>0</v>
      </c>
      <c r="F51" s="135">
        <f>SUM($E$4:E51)+SUM($G$4:G51)</f>
        <v>7995</v>
      </c>
      <c r="G51" s="137">
        <v>200</v>
      </c>
      <c r="H51" s="137" t="s">
        <v>23</v>
      </c>
      <c r="I51" s="137" t="s">
        <v>23</v>
      </c>
      <c r="J51" s="137" t="s">
        <v>23</v>
      </c>
      <c r="K51" s="137" t="s">
        <v>23</v>
      </c>
      <c r="L51" s="137" t="s">
        <v>23</v>
      </c>
      <c r="M51" s="137" t="s">
        <v>23</v>
      </c>
      <c r="N51" s="138" t="s">
        <v>23</v>
      </c>
      <c r="O51" s="138" t="s">
        <v>23</v>
      </c>
      <c r="P51" s="137" t="s">
        <v>23</v>
      </c>
      <c r="Q51" s="137" t="s">
        <v>23</v>
      </c>
      <c r="R51" s="137" t="s">
        <v>23</v>
      </c>
      <c r="S51" s="137" t="s">
        <v>23</v>
      </c>
      <c r="T51" s="137" t="s">
        <v>23</v>
      </c>
      <c r="U51" s="137" t="s">
        <v>23</v>
      </c>
      <c r="V51" s="138" t="s">
        <v>23</v>
      </c>
      <c r="W51" s="138" t="s">
        <v>23</v>
      </c>
      <c r="X51" s="137" t="s">
        <v>23</v>
      </c>
      <c r="Y51" s="137" t="s">
        <v>23</v>
      </c>
      <c r="Z51" s="137" t="s">
        <v>23</v>
      </c>
      <c r="AA51" s="137" t="s">
        <v>23</v>
      </c>
      <c r="AB51" s="137" t="s">
        <v>23</v>
      </c>
      <c r="AC51" s="137" t="s">
        <v>23</v>
      </c>
      <c r="AD51" s="138" t="s">
        <v>23</v>
      </c>
      <c r="AE51" s="138" t="s">
        <v>23</v>
      </c>
      <c r="AF51" s="139">
        <v>0</v>
      </c>
      <c r="AG51" s="94"/>
      <c r="AH51" s="94"/>
      <c r="AI51" s="94"/>
      <c r="AJ51" s="95" t="s">
        <v>31</v>
      </c>
      <c r="AK51" s="110">
        <f t="shared" si="9"/>
        <v>30462.6</v>
      </c>
    </row>
    <row r="52" spans="1:37">
      <c r="A52" s="76">
        <v>44504</v>
      </c>
      <c r="B52" s="137">
        <v>1600</v>
      </c>
      <c r="C52" s="135" cm="1">
        <f t="array" ref="C52">(SUM(VLOOKUP(H52:AE52,$AL$4:$AN$44,2,FALSE))+AF52*10)*IF(AJ52="是",$AW$4,$AW$3)</f>
        <v>0</v>
      </c>
      <c r="D52" s="135">
        <f>SUM($B$4:B52)-SUM($C$4:C52)</f>
        <v>64010</v>
      </c>
      <c r="E52" s="135" cm="1">
        <f t="array" ref="E52">SUM(VLOOKUP(H52:AE52,$AL$4:$AN$44,3,FALSE))</f>
        <v>0</v>
      </c>
      <c r="F52" s="135">
        <f>SUM($E$4:E52)+SUM($G$4:G52)</f>
        <v>7995</v>
      </c>
      <c r="G52" s="137">
        <v>0</v>
      </c>
      <c r="H52" s="137" t="s">
        <v>23</v>
      </c>
      <c r="I52" s="137" t="s">
        <v>23</v>
      </c>
      <c r="J52" s="137" t="s">
        <v>23</v>
      </c>
      <c r="K52" s="137" t="s">
        <v>23</v>
      </c>
      <c r="L52" s="137" t="s">
        <v>23</v>
      </c>
      <c r="M52" s="137" t="s">
        <v>23</v>
      </c>
      <c r="N52" s="138" t="s">
        <v>23</v>
      </c>
      <c r="O52" s="138" t="s">
        <v>23</v>
      </c>
      <c r="P52" s="137" t="s">
        <v>23</v>
      </c>
      <c r="Q52" s="137" t="s">
        <v>23</v>
      </c>
      <c r="R52" s="137" t="s">
        <v>23</v>
      </c>
      <c r="S52" s="137" t="s">
        <v>23</v>
      </c>
      <c r="T52" s="137" t="s">
        <v>23</v>
      </c>
      <c r="U52" s="137" t="s">
        <v>23</v>
      </c>
      <c r="V52" s="138" t="s">
        <v>23</v>
      </c>
      <c r="W52" s="138" t="s">
        <v>23</v>
      </c>
      <c r="X52" s="137" t="s">
        <v>23</v>
      </c>
      <c r="Y52" s="137" t="s">
        <v>23</v>
      </c>
      <c r="Z52" s="137" t="s">
        <v>23</v>
      </c>
      <c r="AA52" s="137" t="s">
        <v>23</v>
      </c>
      <c r="AB52" s="137" t="s">
        <v>23</v>
      </c>
      <c r="AC52" s="137" t="s">
        <v>23</v>
      </c>
      <c r="AD52" s="138" t="s">
        <v>23</v>
      </c>
      <c r="AE52" s="138" t="s">
        <v>23</v>
      </c>
      <c r="AF52" s="139">
        <v>0</v>
      </c>
      <c r="AG52" s="94"/>
      <c r="AH52" s="94"/>
      <c r="AI52" s="94"/>
      <c r="AJ52" s="95" t="s">
        <v>31</v>
      </c>
      <c r="AK52" s="110">
        <f t="shared" si="9"/>
        <v>31038.6</v>
      </c>
    </row>
    <row r="53" spans="1:37">
      <c r="A53" s="76">
        <v>44505</v>
      </c>
      <c r="B53" s="137">
        <v>1600</v>
      </c>
      <c r="C53" s="135" cm="1">
        <f t="array" ref="C53">(SUM(VLOOKUP(H53:AE53,$AL$4:$AN$44,2,FALSE))+AF53*10)*IF(AJ53="是",$AW$4,$AW$3)</f>
        <v>0</v>
      </c>
      <c r="D53" s="135">
        <f>SUM($B$4:B53)-SUM($C$4:C53)</f>
        <v>65610</v>
      </c>
      <c r="E53" s="135" cm="1">
        <f t="array" ref="E53">SUM(VLOOKUP(H53:AE53,$AL$4:$AN$44,3,FALSE))</f>
        <v>0</v>
      </c>
      <c r="F53" s="135">
        <f>SUM($E$4:E53)+SUM($G$4:G53)</f>
        <v>7995</v>
      </c>
      <c r="G53" s="137">
        <v>0</v>
      </c>
      <c r="H53" s="137" t="s">
        <v>23</v>
      </c>
      <c r="I53" s="137" t="s">
        <v>23</v>
      </c>
      <c r="J53" s="137" t="s">
        <v>23</v>
      </c>
      <c r="K53" s="137" t="s">
        <v>23</v>
      </c>
      <c r="L53" s="137" t="s">
        <v>23</v>
      </c>
      <c r="M53" s="137" t="s">
        <v>23</v>
      </c>
      <c r="N53" s="138" t="s">
        <v>23</v>
      </c>
      <c r="O53" s="138" t="s">
        <v>23</v>
      </c>
      <c r="P53" s="137" t="s">
        <v>23</v>
      </c>
      <c r="Q53" s="137" t="s">
        <v>23</v>
      </c>
      <c r="R53" s="137" t="s">
        <v>23</v>
      </c>
      <c r="S53" s="137" t="s">
        <v>23</v>
      </c>
      <c r="T53" s="137" t="s">
        <v>23</v>
      </c>
      <c r="U53" s="137" t="s">
        <v>23</v>
      </c>
      <c r="V53" s="138" t="s">
        <v>23</v>
      </c>
      <c r="W53" s="138" t="s">
        <v>23</v>
      </c>
      <c r="X53" s="137" t="s">
        <v>23</v>
      </c>
      <c r="Y53" s="137" t="s">
        <v>23</v>
      </c>
      <c r="Z53" s="137" t="s">
        <v>23</v>
      </c>
      <c r="AA53" s="137" t="s">
        <v>23</v>
      </c>
      <c r="AB53" s="137" t="s">
        <v>23</v>
      </c>
      <c r="AC53" s="137" t="s">
        <v>23</v>
      </c>
      <c r="AD53" s="138" t="s">
        <v>23</v>
      </c>
      <c r="AE53" s="138" t="s">
        <v>23</v>
      </c>
      <c r="AF53" s="139">
        <v>0</v>
      </c>
      <c r="AG53" s="94"/>
      <c r="AH53" s="94"/>
      <c r="AI53" s="94"/>
      <c r="AJ53" s="95" t="s">
        <v>31</v>
      </c>
      <c r="AK53" s="110">
        <f t="shared" si="9"/>
        <v>31614.6</v>
      </c>
    </row>
    <row r="54" spans="1:37">
      <c r="A54" s="76">
        <v>44506</v>
      </c>
      <c r="B54" s="137">
        <v>1600</v>
      </c>
      <c r="C54" s="135" cm="1">
        <f t="array" ref="C54">(SUM(VLOOKUP(H54:AE54,$AL$4:$AN$44,2,FALSE))+AF54*10)*IF(AJ54="是",$AW$4,$AW$3)</f>
        <v>0</v>
      </c>
      <c r="D54" s="135">
        <f>SUM($B$4:B54)-SUM($C$4:C54)</f>
        <v>67210</v>
      </c>
      <c r="E54" s="135" cm="1">
        <f t="array" ref="E54">SUM(VLOOKUP(H54:AE54,$AL$4:$AN$44,3,FALSE))</f>
        <v>0</v>
      </c>
      <c r="F54" s="135">
        <f>SUM($E$4:E54)+SUM($G$4:G54)</f>
        <v>7995</v>
      </c>
      <c r="G54" s="137">
        <v>0</v>
      </c>
      <c r="H54" s="137" t="s">
        <v>23</v>
      </c>
      <c r="I54" s="137" t="s">
        <v>23</v>
      </c>
      <c r="J54" s="137" t="s">
        <v>23</v>
      </c>
      <c r="K54" s="137" t="s">
        <v>23</v>
      </c>
      <c r="L54" s="137" t="s">
        <v>23</v>
      </c>
      <c r="M54" s="137" t="s">
        <v>23</v>
      </c>
      <c r="N54" s="138" t="s">
        <v>23</v>
      </c>
      <c r="O54" s="138" t="s">
        <v>23</v>
      </c>
      <c r="P54" s="137" t="s">
        <v>23</v>
      </c>
      <c r="Q54" s="137" t="s">
        <v>23</v>
      </c>
      <c r="R54" s="137" t="s">
        <v>23</v>
      </c>
      <c r="S54" s="137" t="s">
        <v>23</v>
      </c>
      <c r="T54" s="137" t="s">
        <v>23</v>
      </c>
      <c r="U54" s="137" t="s">
        <v>23</v>
      </c>
      <c r="V54" s="138" t="s">
        <v>23</v>
      </c>
      <c r="W54" s="138" t="s">
        <v>23</v>
      </c>
      <c r="X54" s="137" t="s">
        <v>23</v>
      </c>
      <c r="Y54" s="137" t="s">
        <v>23</v>
      </c>
      <c r="Z54" s="137" t="s">
        <v>23</v>
      </c>
      <c r="AA54" s="137" t="s">
        <v>23</v>
      </c>
      <c r="AB54" s="137" t="s">
        <v>23</v>
      </c>
      <c r="AC54" s="137" t="s">
        <v>23</v>
      </c>
      <c r="AD54" s="138" t="s">
        <v>23</v>
      </c>
      <c r="AE54" s="138" t="s">
        <v>23</v>
      </c>
      <c r="AF54" s="139">
        <v>0</v>
      </c>
      <c r="AG54" s="94"/>
      <c r="AH54" s="94"/>
      <c r="AI54" s="94"/>
      <c r="AJ54" s="95" t="s">
        <v>31</v>
      </c>
      <c r="AK54" s="110">
        <f t="shared" si="9"/>
        <v>32190.6</v>
      </c>
    </row>
    <row r="55" spans="1:37">
      <c r="A55" s="76">
        <v>44507</v>
      </c>
      <c r="B55" s="137">
        <v>1600</v>
      </c>
      <c r="C55" s="135" cm="1">
        <f t="array" ref="C55">(SUM(VLOOKUP(H55:AE55,$AL$4:$AN$44,2,FALSE))+AF55*10)*IF(AJ55="是",$AW$4,$AW$3)</f>
        <v>0</v>
      </c>
      <c r="D55" s="135">
        <f>SUM($B$4:B55)-SUM($C$4:C55)</f>
        <v>68810</v>
      </c>
      <c r="E55" s="135" cm="1">
        <f t="array" ref="E55">SUM(VLOOKUP(H55:AE55,$AL$4:$AN$44,3,FALSE))</f>
        <v>0</v>
      </c>
      <c r="F55" s="135">
        <f>SUM($E$4:E55)+SUM($G$4:G55)</f>
        <v>7995</v>
      </c>
      <c r="G55" s="137">
        <v>0</v>
      </c>
      <c r="H55" s="137" t="s">
        <v>23</v>
      </c>
      <c r="I55" s="137" t="s">
        <v>23</v>
      </c>
      <c r="J55" s="137" t="s">
        <v>23</v>
      </c>
      <c r="K55" s="137" t="s">
        <v>23</v>
      </c>
      <c r="L55" s="137" t="s">
        <v>23</v>
      </c>
      <c r="M55" s="137" t="s">
        <v>23</v>
      </c>
      <c r="N55" s="138" t="s">
        <v>23</v>
      </c>
      <c r="O55" s="138" t="s">
        <v>23</v>
      </c>
      <c r="P55" s="137" t="s">
        <v>23</v>
      </c>
      <c r="Q55" s="137" t="s">
        <v>23</v>
      </c>
      <c r="R55" s="137" t="s">
        <v>23</v>
      </c>
      <c r="S55" s="137" t="s">
        <v>23</v>
      </c>
      <c r="T55" s="137" t="s">
        <v>23</v>
      </c>
      <c r="U55" s="137" t="s">
        <v>23</v>
      </c>
      <c r="V55" s="138" t="s">
        <v>23</v>
      </c>
      <c r="W55" s="138" t="s">
        <v>23</v>
      </c>
      <c r="X55" s="137" t="s">
        <v>23</v>
      </c>
      <c r="Y55" s="137" t="s">
        <v>23</v>
      </c>
      <c r="Z55" s="137" t="s">
        <v>23</v>
      </c>
      <c r="AA55" s="137" t="s">
        <v>23</v>
      </c>
      <c r="AB55" s="137" t="s">
        <v>23</v>
      </c>
      <c r="AC55" s="137" t="s">
        <v>23</v>
      </c>
      <c r="AD55" s="138" t="s">
        <v>23</v>
      </c>
      <c r="AE55" s="138" t="s">
        <v>23</v>
      </c>
      <c r="AF55" s="139">
        <v>0</v>
      </c>
      <c r="AG55" s="94"/>
      <c r="AH55" s="94"/>
      <c r="AI55" s="94"/>
      <c r="AJ55" s="95" t="s">
        <v>31</v>
      </c>
      <c r="AK55" s="110">
        <f t="shared" si="9"/>
        <v>32766.6</v>
      </c>
    </row>
    <row r="56" spans="1:37">
      <c r="A56" s="76">
        <v>44508</v>
      </c>
      <c r="B56" s="135">
        <v>1600</v>
      </c>
      <c r="C56" s="135" cm="1">
        <f t="array" ref="C56">(SUM(VLOOKUP(H56:AE56,$AL$4:$AN$44,2,FALSE))+AF56*10)*IF(AJ56="是",$AW$4,$AW$3)</f>
        <v>0</v>
      </c>
      <c r="D56" s="135">
        <f>SUM($B$4:B56)-SUM($C$4:C56)</f>
        <v>70410</v>
      </c>
      <c r="E56" s="135" cm="1">
        <f t="array" ref="E56">SUM(VLOOKUP(H56:AE56,$AL$4:$AN$44,3,FALSE))</f>
        <v>0</v>
      </c>
      <c r="F56" s="135">
        <f>SUM($E$4:E56)+SUM($G$4:G56)</f>
        <v>8295</v>
      </c>
      <c r="G56" s="135">
        <v>300</v>
      </c>
      <c r="H56" s="137" t="s">
        <v>23</v>
      </c>
      <c r="I56" s="137" t="s">
        <v>23</v>
      </c>
      <c r="J56" s="137" t="s">
        <v>23</v>
      </c>
      <c r="K56" s="137" t="s">
        <v>23</v>
      </c>
      <c r="L56" s="137" t="s">
        <v>23</v>
      </c>
      <c r="M56" s="137" t="s">
        <v>23</v>
      </c>
      <c r="N56" s="138" t="s">
        <v>23</v>
      </c>
      <c r="O56" s="138" t="s">
        <v>23</v>
      </c>
      <c r="P56" s="137" t="s">
        <v>23</v>
      </c>
      <c r="Q56" s="137" t="s">
        <v>23</v>
      </c>
      <c r="R56" s="137" t="s">
        <v>23</v>
      </c>
      <c r="S56" s="137" t="s">
        <v>23</v>
      </c>
      <c r="T56" s="137" t="s">
        <v>23</v>
      </c>
      <c r="U56" s="137" t="s">
        <v>23</v>
      </c>
      <c r="V56" s="138" t="s">
        <v>23</v>
      </c>
      <c r="W56" s="138" t="s">
        <v>23</v>
      </c>
      <c r="X56" s="137" t="s">
        <v>23</v>
      </c>
      <c r="Y56" s="137" t="s">
        <v>23</v>
      </c>
      <c r="Z56" s="137" t="s">
        <v>23</v>
      </c>
      <c r="AA56" s="137" t="s">
        <v>23</v>
      </c>
      <c r="AB56" s="137" t="s">
        <v>23</v>
      </c>
      <c r="AC56" s="137" t="s">
        <v>23</v>
      </c>
      <c r="AD56" s="138" t="s">
        <v>23</v>
      </c>
      <c r="AE56" s="138" t="s">
        <v>23</v>
      </c>
      <c r="AF56" s="139">
        <v>0</v>
      </c>
      <c r="AG56" s="94"/>
      <c r="AH56" s="94"/>
      <c r="AI56" s="94"/>
      <c r="AJ56" s="95" t="s">
        <v>31</v>
      </c>
      <c r="AK56" s="110">
        <f t="shared" si="9"/>
        <v>33642.6</v>
      </c>
    </row>
    <row r="57" spans="1:37">
      <c r="A57" s="76">
        <v>44509</v>
      </c>
      <c r="B57" s="135">
        <v>1600</v>
      </c>
      <c r="C57" s="135" cm="1">
        <f t="array" ref="C57">(SUM(VLOOKUP(H57:AE57,$AL$4:$AN$44,2,FALSE))+AF57*10)*IF(AJ57="是",$AW$4,$AW$3)</f>
        <v>0</v>
      </c>
      <c r="D57" s="135">
        <f>SUM($B$4:B57)-SUM($C$4:C57)</f>
        <v>72010</v>
      </c>
      <c r="E57" s="135" cm="1">
        <f t="array" ref="E57">SUM(VLOOKUP(H57:AE57,$AL$4:$AN$44,3,FALSE))</f>
        <v>0</v>
      </c>
      <c r="F57" s="135">
        <f>SUM($E$4:E57)+SUM($G$4:G57)</f>
        <v>8295</v>
      </c>
      <c r="G57" s="135">
        <v>0</v>
      </c>
      <c r="H57" s="137" t="s">
        <v>23</v>
      </c>
      <c r="I57" s="137" t="s">
        <v>23</v>
      </c>
      <c r="J57" s="137" t="s">
        <v>23</v>
      </c>
      <c r="K57" s="137" t="s">
        <v>23</v>
      </c>
      <c r="L57" s="137" t="s">
        <v>23</v>
      </c>
      <c r="M57" s="137" t="s">
        <v>23</v>
      </c>
      <c r="N57" s="138" t="s">
        <v>23</v>
      </c>
      <c r="O57" s="138" t="s">
        <v>23</v>
      </c>
      <c r="P57" s="137" t="s">
        <v>23</v>
      </c>
      <c r="Q57" s="137" t="s">
        <v>23</v>
      </c>
      <c r="R57" s="137" t="s">
        <v>23</v>
      </c>
      <c r="S57" s="137" t="s">
        <v>23</v>
      </c>
      <c r="T57" s="137" t="s">
        <v>23</v>
      </c>
      <c r="U57" s="137" t="s">
        <v>23</v>
      </c>
      <c r="V57" s="138" t="s">
        <v>23</v>
      </c>
      <c r="W57" s="138" t="s">
        <v>23</v>
      </c>
      <c r="X57" s="143" t="s">
        <v>23</v>
      </c>
      <c r="Y57" s="143" t="s">
        <v>23</v>
      </c>
      <c r="Z57" s="143" t="s">
        <v>23</v>
      </c>
      <c r="AA57" s="143" t="s">
        <v>23</v>
      </c>
      <c r="AB57" s="143" t="s">
        <v>23</v>
      </c>
      <c r="AC57" s="143" t="s">
        <v>23</v>
      </c>
      <c r="AD57" s="144" t="s">
        <v>23</v>
      </c>
      <c r="AE57" s="144" t="s">
        <v>23</v>
      </c>
      <c r="AF57" s="139">
        <v>0</v>
      </c>
      <c r="AG57" s="94"/>
      <c r="AH57" s="94"/>
      <c r="AI57" s="94"/>
      <c r="AJ57" s="95" t="s">
        <v>31</v>
      </c>
      <c r="AK57" s="110">
        <f t="shared" si="9"/>
        <v>34218.6</v>
      </c>
    </row>
    <row r="58" spans="1:37">
      <c r="A58" s="76">
        <v>44510</v>
      </c>
      <c r="B58" s="135">
        <v>1600</v>
      </c>
      <c r="C58" s="135" cm="1">
        <f t="array" ref="C58">(SUM(VLOOKUP(H58:AE58,$AL$4:$AN$44,2,FALSE))+AF58*10)*IF(AJ58="是",$AW$4,$AW$3)</f>
        <v>0</v>
      </c>
      <c r="D58" s="135">
        <f>SUM($B$4:B58)-SUM($C$4:C58)</f>
        <v>73610</v>
      </c>
      <c r="E58" s="135" cm="1">
        <f t="array" ref="E58">SUM(VLOOKUP(H58:AE58,$AL$4:$AN$44,3,FALSE))</f>
        <v>0</v>
      </c>
      <c r="F58" s="135">
        <f>SUM($E$4:E58)+SUM($G$4:G58)</f>
        <v>8495</v>
      </c>
      <c r="G58" s="135">
        <v>200</v>
      </c>
      <c r="H58" s="137" t="s">
        <v>23</v>
      </c>
      <c r="I58" s="137" t="s">
        <v>23</v>
      </c>
      <c r="J58" s="137" t="s">
        <v>23</v>
      </c>
      <c r="K58" s="137" t="s">
        <v>23</v>
      </c>
      <c r="L58" s="137" t="s">
        <v>23</v>
      </c>
      <c r="M58" s="137" t="s">
        <v>23</v>
      </c>
      <c r="N58" s="138" t="s">
        <v>23</v>
      </c>
      <c r="O58" s="138" t="s">
        <v>23</v>
      </c>
      <c r="P58" s="137" t="s">
        <v>23</v>
      </c>
      <c r="Q58" s="137" t="s">
        <v>23</v>
      </c>
      <c r="R58" s="137" t="s">
        <v>23</v>
      </c>
      <c r="S58" s="137" t="s">
        <v>23</v>
      </c>
      <c r="T58" s="137" t="s">
        <v>23</v>
      </c>
      <c r="U58" s="137" t="s">
        <v>23</v>
      </c>
      <c r="V58" s="138" t="s">
        <v>23</v>
      </c>
      <c r="W58" s="138" t="s">
        <v>23</v>
      </c>
      <c r="X58" s="137" t="s">
        <v>23</v>
      </c>
      <c r="Y58" s="137" t="s">
        <v>23</v>
      </c>
      <c r="Z58" s="137" t="s">
        <v>23</v>
      </c>
      <c r="AA58" s="137" t="s">
        <v>23</v>
      </c>
      <c r="AB58" s="137" t="s">
        <v>23</v>
      </c>
      <c r="AC58" s="137" t="s">
        <v>23</v>
      </c>
      <c r="AD58" s="138" t="s">
        <v>23</v>
      </c>
      <c r="AE58" s="138" t="s">
        <v>23</v>
      </c>
      <c r="AF58" s="139">
        <v>0</v>
      </c>
      <c r="AG58" s="94"/>
      <c r="AH58" s="94"/>
      <c r="AI58" s="94"/>
      <c r="AJ58" s="95" t="s">
        <v>31</v>
      </c>
      <c r="AK58" s="110">
        <f t="shared" si="9"/>
        <v>34994.6</v>
      </c>
    </row>
    <row r="59" spans="1:37">
      <c r="A59" s="76">
        <v>44511</v>
      </c>
      <c r="B59" s="135">
        <v>1600</v>
      </c>
      <c r="C59" s="135" cm="1">
        <f t="array" ref="C59">(SUM(VLOOKUP(H59:AE59,$AL$4:$AN$44,2,FALSE))+AF59*10)*IF(AJ59="是",$AW$4,$AW$3)</f>
        <v>0</v>
      </c>
      <c r="D59" s="135">
        <f>SUM($B$4:B59)-SUM($C$4:C59)</f>
        <v>75210</v>
      </c>
      <c r="E59" s="135" cm="1">
        <f t="array" ref="E59">SUM(VLOOKUP(H59:AE59,$AL$4:$AN$44,3,FALSE))</f>
        <v>0</v>
      </c>
      <c r="F59" s="135">
        <f>SUM($E$4:E59)+SUM($G$4:G59)</f>
        <v>8495</v>
      </c>
      <c r="G59" s="135">
        <v>0</v>
      </c>
      <c r="H59" s="137" t="s">
        <v>23</v>
      </c>
      <c r="I59" s="137" t="s">
        <v>23</v>
      </c>
      <c r="J59" s="137" t="s">
        <v>23</v>
      </c>
      <c r="K59" s="137" t="s">
        <v>23</v>
      </c>
      <c r="L59" s="137" t="s">
        <v>23</v>
      </c>
      <c r="M59" s="137" t="s">
        <v>23</v>
      </c>
      <c r="N59" s="138" t="s">
        <v>23</v>
      </c>
      <c r="O59" s="138" t="s">
        <v>23</v>
      </c>
      <c r="P59" s="137" t="s">
        <v>23</v>
      </c>
      <c r="Q59" s="137" t="s">
        <v>23</v>
      </c>
      <c r="R59" s="137" t="s">
        <v>23</v>
      </c>
      <c r="S59" s="137" t="s">
        <v>23</v>
      </c>
      <c r="T59" s="137" t="s">
        <v>23</v>
      </c>
      <c r="U59" s="137" t="s">
        <v>23</v>
      </c>
      <c r="V59" s="138" t="s">
        <v>23</v>
      </c>
      <c r="W59" s="138" t="s">
        <v>23</v>
      </c>
      <c r="X59" s="137" t="s">
        <v>23</v>
      </c>
      <c r="Y59" s="137" t="s">
        <v>23</v>
      </c>
      <c r="Z59" s="137" t="s">
        <v>23</v>
      </c>
      <c r="AA59" s="137" t="s">
        <v>23</v>
      </c>
      <c r="AB59" s="137" t="s">
        <v>23</v>
      </c>
      <c r="AC59" s="137" t="s">
        <v>23</v>
      </c>
      <c r="AD59" s="138" t="s">
        <v>23</v>
      </c>
      <c r="AE59" s="138" t="s">
        <v>23</v>
      </c>
      <c r="AF59" s="139">
        <v>0</v>
      </c>
      <c r="AG59" s="94"/>
      <c r="AH59" s="94"/>
      <c r="AI59" s="94"/>
      <c r="AJ59" s="95" t="s">
        <v>31</v>
      </c>
      <c r="AK59" s="110">
        <f t="shared" si="9"/>
        <v>35570.6</v>
      </c>
    </row>
    <row r="60" spans="1:37">
      <c r="A60" s="76">
        <v>44512</v>
      </c>
      <c r="B60" s="135">
        <v>1600</v>
      </c>
      <c r="C60" s="135" cm="1">
        <f t="array" ref="C60">(SUM(VLOOKUP(H60:AE60,$AL$4:$AN$44,2,FALSE))+AF60*10)*IF(AJ60="是",$AW$4,$AW$3)</f>
        <v>0</v>
      </c>
      <c r="D60" s="135">
        <f>SUM($B$4:B60)-SUM($C$4:C60)</f>
        <v>76810</v>
      </c>
      <c r="E60" s="135" cm="1">
        <f t="array" ref="E60">SUM(VLOOKUP(H60:AE60,$AL$4:$AN$44,3,FALSE))</f>
        <v>0</v>
      </c>
      <c r="F60" s="135">
        <f>SUM($E$4:E60)+SUM($G$4:G60)</f>
        <v>8495</v>
      </c>
      <c r="G60" s="135">
        <v>0</v>
      </c>
      <c r="H60" s="137" t="s">
        <v>23</v>
      </c>
      <c r="I60" s="137" t="s">
        <v>23</v>
      </c>
      <c r="J60" s="137" t="s">
        <v>23</v>
      </c>
      <c r="K60" s="137" t="s">
        <v>23</v>
      </c>
      <c r="L60" s="137" t="s">
        <v>23</v>
      </c>
      <c r="M60" s="137" t="s">
        <v>23</v>
      </c>
      <c r="N60" s="138" t="s">
        <v>23</v>
      </c>
      <c r="O60" s="138" t="s">
        <v>23</v>
      </c>
      <c r="P60" s="137" t="s">
        <v>23</v>
      </c>
      <c r="Q60" s="137" t="s">
        <v>23</v>
      </c>
      <c r="R60" s="137" t="s">
        <v>23</v>
      </c>
      <c r="S60" s="137" t="s">
        <v>23</v>
      </c>
      <c r="T60" s="137" t="s">
        <v>23</v>
      </c>
      <c r="U60" s="137" t="s">
        <v>23</v>
      </c>
      <c r="V60" s="138" t="s">
        <v>23</v>
      </c>
      <c r="W60" s="138" t="s">
        <v>23</v>
      </c>
      <c r="X60" s="137" t="s">
        <v>23</v>
      </c>
      <c r="Y60" s="137" t="s">
        <v>23</v>
      </c>
      <c r="Z60" s="137" t="s">
        <v>23</v>
      </c>
      <c r="AA60" s="137" t="s">
        <v>23</v>
      </c>
      <c r="AB60" s="137" t="s">
        <v>23</v>
      </c>
      <c r="AC60" s="137" t="s">
        <v>23</v>
      </c>
      <c r="AD60" s="138" t="s">
        <v>23</v>
      </c>
      <c r="AE60" s="138" t="s">
        <v>23</v>
      </c>
      <c r="AF60" s="139">
        <v>0</v>
      </c>
      <c r="AG60" s="94"/>
      <c r="AH60" s="94"/>
      <c r="AI60" s="94"/>
      <c r="AJ60" s="95" t="s">
        <v>31</v>
      </c>
      <c r="AK60" s="110">
        <f t="shared" si="9"/>
        <v>36146.6</v>
      </c>
    </row>
    <row r="61" spans="1:37">
      <c r="A61" s="76">
        <v>44513</v>
      </c>
      <c r="B61" s="135">
        <v>1600</v>
      </c>
      <c r="C61" s="135" cm="1">
        <f t="array" ref="C61">(SUM(VLOOKUP(H61:AE61,$AL$4:$AN$44,2,FALSE))+AF61*10)*IF(AJ61="是",$AW$4,$AW$3)</f>
        <v>0</v>
      </c>
      <c r="D61" s="135">
        <f>SUM($B$4:B61)-SUM($C$4:C61)</f>
        <v>78410</v>
      </c>
      <c r="E61" s="135" cm="1">
        <f t="array" ref="E61">SUM(VLOOKUP(H61:AE61,$AL$4:$AN$44,3,FALSE))</f>
        <v>0</v>
      </c>
      <c r="F61" s="135">
        <f>SUM($E$4:E61)+SUM($G$4:G61)</f>
        <v>8495</v>
      </c>
      <c r="G61" s="135">
        <v>0</v>
      </c>
      <c r="H61" s="137" t="s">
        <v>23</v>
      </c>
      <c r="I61" s="137" t="s">
        <v>23</v>
      </c>
      <c r="J61" s="137" t="s">
        <v>23</v>
      </c>
      <c r="K61" s="137" t="s">
        <v>23</v>
      </c>
      <c r="L61" s="137" t="s">
        <v>23</v>
      </c>
      <c r="M61" s="137" t="s">
        <v>23</v>
      </c>
      <c r="N61" s="138" t="s">
        <v>23</v>
      </c>
      <c r="O61" s="138" t="s">
        <v>23</v>
      </c>
      <c r="P61" s="137" t="s">
        <v>23</v>
      </c>
      <c r="Q61" s="137" t="s">
        <v>23</v>
      </c>
      <c r="R61" s="137" t="s">
        <v>23</v>
      </c>
      <c r="S61" s="137" t="s">
        <v>23</v>
      </c>
      <c r="T61" s="137" t="s">
        <v>23</v>
      </c>
      <c r="U61" s="137" t="s">
        <v>23</v>
      </c>
      <c r="V61" s="138" t="s">
        <v>23</v>
      </c>
      <c r="W61" s="138" t="s">
        <v>23</v>
      </c>
      <c r="X61" s="137" t="s">
        <v>23</v>
      </c>
      <c r="Y61" s="137" t="s">
        <v>23</v>
      </c>
      <c r="Z61" s="137" t="s">
        <v>23</v>
      </c>
      <c r="AA61" s="137" t="s">
        <v>23</v>
      </c>
      <c r="AB61" s="137" t="s">
        <v>23</v>
      </c>
      <c r="AC61" s="137" t="s">
        <v>23</v>
      </c>
      <c r="AD61" s="138" t="s">
        <v>23</v>
      </c>
      <c r="AE61" s="138" t="s">
        <v>23</v>
      </c>
      <c r="AF61" s="139">
        <v>0</v>
      </c>
      <c r="AG61" s="94"/>
      <c r="AH61" s="94"/>
      <c r="AI61" s="94"/>
      <c r="AJ61" s="95" t="s">
        <v>31</v>
      </c>
      <c r="AK61" s="110">
        <f t="shared" si="9"/>
        <v>36722.6</v>
      </c>
    </row>
    <row r="62" spans="1:37">
      <c r="A62" s="76">
        <v>44514</v>
      </c>
      <c r="B62" s="135">
        <v>1600</v>
      </c>
      <c r="C62" s="135" cm="1">
        <f t="array" ref="C62">(SUM(VLOOKUP(H62:AE62,$AL$4:$AN$44,2,FALSE))+AF62*10)*IF(AJ62="是",$AW$4,$AW$3)</f>
        <v>0</v>
      </c>
      <c r="D62" s="135">
        <f>SUM($B$4:B62)-SUM($C$4:C62)</f>
        <v>80010</v>
      </c>
      <c r="E62" s="135" cm="1">
        <f t="array" ref="E62">SUM(VLOOKUP(H62:AE62,$AL$4:$AN$44,3,FALSE))</f>
        <v>0</v>
      </c>
      <c r="F62" s="135">
        <f>SUM($E$4:E62)+SUM($G$4:G62)</f>
        <v>8495</v>
      </c>
      <c r="G62" s="135">
        <v>0</v>
      </c>
      <c r="H62" s="137" t="s">
        <v>23</v>
      </c>
      <c r="I62" s="137" t="s">
        <v>23</v>
      </c>
      <c r="J62" s="137" t="s">
        <v>23</v>
      </c>
      <c r="K62" s="137" t="s">
        <v>23</v>
      </c>
      <c r="L62" s="137" t="s">
        <v>23</v>
      </c>
      <c r="M62" s="137" t="s">
        <v>23</v>
      </c>
      <c r="N62" s="138" t="s">
        <v>23</v>
      </c>
      <c r="O62" s="138" t="s">
        <v>23</v>
      </c>
      <c r="P62" s="137" t="s">
        <v>23</v>
      </c>
      <c r="Q62" s="137" t="s">
        <v>23</v>
      </c>
      <c r="R62" s="137" t="s">
        <v>23</v>
      </c>
      <c r="S62" s="137" t="s">
        <v>23</v>
      </c>
      <c r="T62" s="137" t="s">
        <v>23</v>
      </c>
      <c r="U62" s="137" t="s">
        <v>23</v>
      </c>
      <c r="V62" s="138" t="s">
        <v>23</v>
      </c>
      <c r="W62" s="138" t="s">
        <v>23</v>
      </c>
      <c r="X62" s="137" t="s">
        <v>23</v>
      </c>
      <c r="Y62" s="137" t="s">
        <v>23</v>
      </c>
      <c r="Z62" s="137" t="s">
        <v>23</v>
      </c>
      <c r="AA62" s="137" t="s">
        <v>23</v>
      </c>
      <c r="AB62" s="137" t="s">
        <v>23</v>
      </c>
      <c r="AC62" s="137" t="s">
        <v>23</v>
      </c>
      <c r="AD62" s="138" t="s">
        <v>23</v>
      </c>
      <c r="AE62" s="138" t="s">
        <v>23</v>
      </c>
      <c r="AF62" s="139">
        <v>0</v>
      </c>
      <c r="AG62" s="94"/>
      <c r="AH62" s="94"/>
      <c r="AI62" s="94"/>
      <c r="AJ62" s="95" t="s">
        <v>31</v>
      </c>
      <c r="AK62" s="110">
        <f t="shared" si="9"/>
        <v>37298.6</v>
      </c>
    </row>
    <row r="63" spans="1:37">
      <c r="A63" s="76">
        <v>44515</v>
      </c>
      <c r="B63" s="137">
        <v>1600</v>
      </c>
      <c r="C63" s="135" cm="1">
        <f t="array" ref="C63">(SUM(VLOOKUP(H63:AE63,$AL$4:$AN$44,2,FALSE))+AF63*10)*IF(AJ63="是",$AW$4,$AW$3)</f>
        <v>0</v>
      </c>
      <c r="D63" s="135">
        <f>SUM($B$4:B63)-SUM($C$4:C63)</f>
        <v>81610</v>
      </c>
      <c r="E63" s="135" cm="1">
        <f t="array" ref="E63">SUM(VLOOKUP(H63:AE63,$AL$4:$AN$44,3,FALSE))</f>
        <v>0</v>
      </c>
      <c r="F63" s="135">
        <f>SUM($E$4:E63)+SUM($G$4:G63)</f>
        <v>8795</v>
      </c>
      <c r="G63" s="137">
        <v>300</v>
      </c>
      <c r="H63" s="137" t="s">
        <v>23</v>
      </c>
      <c r="I63" s="137" t="s">
        <v>23</v>
      </c>
      <c r="J63" s="137" t="s">
        <v>23</v>
      </c>
      <c r="K63" s="137" t="s">
        <v>23</v>
      </c>
      <c r="L63" s="137" t="s">
        <v>23</v>
      </c>
      <c r="M63" s="137" t="s">
        <v>23</v>
      </c>
      <c r="N63" s="138" t="s">
        <v>23</v>
      </c>
      <c r="O63" s="138" t="s">
        <v>23</v>
      </c>
      <c r="P63" s="137" t="s">
        <v>23</v>
      </c>
      <c r="Q63" s="137" t="s">
        <v>23</v>
      </c>
      <c r="R63" s="137" t="s">
        <v>23</v>
      </c>
      <c r="S63" s="137" t="s">
        <v>23</v>
      </c>
      <c r="T63" s="137" t="s">
        <v>23</v>
      </c>
      <c r="U63" s="137" t="s">
        <v>23</v>
      </c>
      <c r="V63" s="138" t="s">
        <v>23</v>
      </c>
      <c r="W63" s="138" t="s">
        <v>23</v>
      </c>
      <c r="X63" s="137" t="s">
        <v>23</v>
      </c>
      <c r="Y63" s="137" t="s">
        <v>23</v>
      </c>
      <c r="Z63" s="137" t="s">
        <v>23</v>
      </c>
      <c r="AA63" s="137" t="s">
        <v>23</v>
      </c>
      <c r="AB63" s="137" t="s">
        <v>23</v>
      </c>
      <c r="AC63" s="137" t="s">
        <v>23</v>
      </c>
      <c r="AD63" s="138" t="s">
        <v>23</v>
      </c>
      <c r="AE63" s="138" t="s">
        <v>23</v>
      </c>
      <c r="AF63" s="139">
        <v>0</v>
      </c>
      <c r="AG63" s="94"/>
      <c r="AH63" s="94">
        <v>1</v>
      </c>
      <c r="AI63" s="94"/>
      <c r="AJ63" s="95" t="s">
        <v>31</v>
      </c>
      <c r="AK63" s="110">
        <f t="shared" si="9"/>
        <v>38174.6</v>
      </c>
    </row>
    <row r="64" spans="1:37">
      <c r="A64" s="76">
        <v>44516</v>
      </c>
      <c r="B64" s="137">
        <v>1600</v>
      </c>
      <c r="C64" s="135" cm="1">
        <f t="array" ref="C64">(SUM(VLOOKUP(H64:AE64,$AL$4:$AN$44,2,FALSE))+AF64*10)*IF(AJ64="是",$AW$4,$AW$3)</f>
        <v>0</v>
      </c>
      <c r="D64" s="135">
        <f>SUM($B$4:B64)-SUM($C$4:C64)</f>
        <v>83210</v>
      </c>
      <c r="E64" s="135" cm="1">
        <f t="array" ref="E64">SUM(VLOOKUP(H64:AE64,$AL$4:$AN$44,3,FALSE))</f>
        <v>0</v>
      </c>
      <c r="F64" s="135">
        <f>SUM($E$4:E64)+SUM($G$4:G64)</f>
        <v>8795</v>
      </c>
      <c r="G64" s="137">
        <v>0</v>
      </c>
      <c r="H64" s="137" t="s">
        <v>23</v>
      </c>
      <c r="I64" s="137" t="s">
        <v>23</v>
      </c>
      <c r="J64" s="137" t="s">
        <v>23</v>
      </c>
      <c r="K64" s="137" t="s">
        <v>23</v>
      </c>
      <c r="L64" s="137" t="s">
        <v>23</v>
      </c>
      <c r="M64" s="137" t="s">
        <v>23</v>
      </c>
      <c r="N64" s="138" t="s">
        <v>23</v>
      </c>
      <c r="O64" s="138" t="s">
        <v>23</v>
      </c>
      <c r="P64" s="137" t="s">
        <v>23</v>
      </c>
      <c r="Q64" s="137" t="s">
        <v>23</v>
      </c>
      <c r="R64" s="137" t="s">
        <v>23</v>
      </c>
      <c r="S64" s="137" t="s">
        <v>23</v>
      </c>
      <c r="T64" s="137" t="s">
        <v>23</v>
      </c>
      <c r="U64" s="137" t="s">
        <v>23</v>
      </c>
      <c r="V64" s="138" t="s">
        <v>23</v>
      </c>
      <c r="W64" s="138" t="s">
        <v>23</v>
      </c>
      <c r="X64" s="137" t="s">
        <v>23</v>
      </c>
      <c r="Y64" s="137" t="s">
        <v>23</v>
      </c>
      <c r="Z64" s="137" t="s">
        <v>23</v>
      </c>
      <c r="AA64" s="137" t="s">
        <v>23</v>
      </c>
      <c r="AB64" s="137" t="s">
        <v>23</v>
      </c>
      <c r="AC64" s="137" t="s">
        <v>23</v>
      </c>
      <c r="AD64" s="138" t="s">
        <v>23</v>
      </c>
      <c r="AE64" s="138" t="s">
        <v>23</v>
      </c>
      <c r="AF64" s="139">
        <v>0</v>
      </c>
      <c r="AG64" s="94"/>
      <c r="AH64" s="94"/>
      <c r="AI64" s="94"/>
      <c r="AJ64" s="95" t="s">
        <v>31</v>
      </c>
      <c r="AK64" s="110">
        <f t="shared" si="9"/>
        <v>38750.6</v>
      </c>
    </row>
    <row r="65" spans="1:37">
      <c r="A65" s="76">
        <v>44517</v>
      </c>
      <c r="B65" s="137">
        <v>1600</v>
      </c>
      <c r="C65" s="135" cm="1">
        <f t="array" ref="C65">(SUM(VLOOKUP(H65:AE65,$AL$4:$AN$44,2,FALSE))+AF65*10)*IF(AJ65="是",$AW$4,$AW$3)</f>
        <v>0</v>
      </c>
      <c r="D65" s="135">
        <f>SUM($B$4:B65)-SUM($C$4:C65)</f>
        <v>84810</v>
      </c>
      <c r="E65" s="135" cm="1">
        <f t="array" ref="E65">SUM(VLOOKUP(H65:AE65,$AL$4:$AN$44,3,FALSE))</f>
        <v>0</v>
      </c>
      <c r="F65" s="135">
        <f>SUM($E$4:E65)+SUM($G$4:G65)</f>
        <v>8995</v>
      </c>
      <c r="G65" s="137">
        <v>200</v>
      </c>
      <c r="H65" s="137" t="s">
        <v>23</v>
      </c>
      <c r="I65" s="137" t="s">
        <v>23</v>
      </c>
      <c r="J65" s="137" t="s">
        <v>23</v>
      </c>
      <c r="K65" s="137" t="s">
        <v>23</v>
      </c>
      <c r="L65" s="137" t="s">
        <v>23</v>
      </c>
      <c r="M65" s="137" t="s">
        <v>23</v>
      </c>
      <c r="N65" s="138" t="s">
        <v>23</v>
      </c>
      <c r="O65" s="138" t="s">
        <v>23</v>
      </c>
      <c r="P65" s="137" t="s">
        <v>23</v>
      </c>
      <c r="Q65" s="137" t="s">
        <v>23</v>
      </c>
      <c r="R65" s="137" t="s">
        <v>23</v>
      </c>
      <c r="S65" s="137" t="s">
        <v>23</v>
      </c>
      <c r="T65" s="137" t="s">
        <v>23</v>
      </c>
      <c r="U65" s="137" t="s">
        <v>23</v>
      </c>
      <c r="V65" s="138" t="s">
        <v>23</v>
      </c>
      <c r="W65" s="138" t="s">
        <v>23</v>
      </c>
      <c r="X65" s="137" t="s">
        <v>23</v>
      </c>
      <c r="Y65" s="137" t="s">
        <v>23</v>
      </c>
      <c r="Z65" s="137" t="s">
        <v>23</v>
      </c>
      <c r="AA65" s="137" t="s">
        <v>23</v>
      </c>
      <c r="AB65" s="137" t="s">
        <v>23</v>
      </c>
      <c r="AC65" s="137" t="s">
        <v>23</v>
      </c>
      <c r="AD65" s="138" t="s">
        <v>23</v>
      </c>
      <c r="AE65" s="138" t="s">
        <v>23</v>
      </c>
      <c r="AF65" s="139">
        <v>0</v>
      </c>
      <c r="AG65" s="94"/>
      <c r="AH65" s="94"/>
      <c r="AI65" s="94"/>
      <c r="AJ65" s="95" t="s">
        <v>31</v>
      </c>
      <c r="AK65" s="110">
        <f t="shared" si="9"/>
        <v>39526.6</v>
      </c>
    </row>
    <row r="66" spans="1:37">
      <c r="A66" s="1">
        <v>44518</v>
      </c>
      <c r="B66" s="137">
        <v>1600</v>
      </c>
      <c r="C66" s="135" cm="1">
        <f t="array" ref="C66">(SUM(VLOOKUP(H66:AE66,$AL$4:$AN$44,2,FALSE))+AF66*10)*IF(AJ66="是",$AW$4,$AW$3)</f>
        <v>0</v>
      </c>
      <c r="D66" s="135">
        <f>SUM($B$4:B66)-SUM($C$4:C66)</f>
        <v>86410</v>
      </c>
      <c r="E66" s="135" cm="1">
        <f t="array" ref="E66">SUM(VLOOKUP(H66:AE66,$AL$4:$AN$44,3,FALSE))</f>
        <v>0</v>
      </c>
      <c r="F66" s="135">
        <f>SUM($E$4:E66)+SUM($G$4:G66)</f>
        <v>8995</v>
      </c>
      <c r="G66" s="137">
        <v>0</v>
      </c>
      <c r="H66" s="137" t="s">
        <v>23</v>
      </c>
      <c r="I66" s="137" t="s">
        <v>23</v>
      </c>
      <c r="J66" s="137" t="s">
        <v>23</v>
      </c>
      <c r="K66" s="137" t="s">
        <v>23</v>
      </c>
      <c r="L66" s="137" t="s">
        <v>23</v>
      </c>
      <c r="M66" s="137" t="s">
        <v>23</v>
      </c>
      <c r="N66" s="138" t="s">
        <v>23</v>
      </c>
      <c r="O66" s="138" t="s">
        <v>23</v>
      </c>
      <c r="P66" s="137" t="s">
        <v>23</v>
      </c>
      <c r="Q66" s="137" t="s">
        <v>23</v>
      </c>
      <c r="R66" s="137" t="s">
        <v>23</v>
      </c>
      <c r="S66" s="137" t="s">
        <v>23</v>
      </c>
      <c r="T66" s="137" t="s">
        <v>23</v>
      </c>
      <c r="U66" s="137" t="s">
        <v>23</v>
      </c>
      <c r="V66" s="138" t="s">
        <v>23</v>
      </c>
      <c r="W66" s="138" t="s">
        <v>23</v>
      </c>
      <c r="X66" s="137" t="s">
        <v>23</v>
      </c>
      <c r="Y66" s="137" t="s">
        <v>23</v>
      </c>
      <c r="Z66" s="137" t="s">
        <v>23</v>
      </c>
      <c r="AA66" s="137" t="s">
        <v>23</v>
      </c>
      <c r="AB66" s="137" t="s">
        <v>23</v>
      </c>
      <c r="AC66" s="137" t="s">
        <v>23</v>
      </c>
      <c r="AD66" s="138" t="s">
        <v>23</v>
      </c>
      <c r="AE66" s="138" t="s">
        <v>23</v>
      </c>
      <c r="AF66" s="139">
        <v>0</v>
      </c>
      <c r="AG66" s="80"/>
      <c r="AH66" s="80"/>
      <c r="AI66" s="80"/>
      <c r="AJ66" s="8" t="s">
        <v>31</v>
      </c>
      <c r="AK66" s="110">
        <f t="shared" si="9"/>
        <v>40102.6</v>
      </c>
    </row>
    <row r="67" spans="1:37">
      <c r="A67" s="1">
        <v>44519</v>
      </c>
      <c r="B67" s="137">
        <v>1600</v>
      </c>
      <c r="C67" s="135" cm="1">
        <f t="array" ref="C67">(SUM(VLOOKUP(H67:AE67,$AL$4:$AN$44,2,FALSE))+AF67*10)*IF(AJ67="是",$AW$4,$AW$3)</f>
        <v>0</v>
      </c>
      <c r="D67" s="135">
        <f>SUM($B$4:B67)-SUM($C$4:C67)</f>
        <v>88010</v>
      </c>
      <c r="E67" s="135" cm="1">
        <f t="array" ref="E67">SUM(VLOOKUP(H67:AE67,$AL$4:$AN$44,3,FALSE))</f>
        <v>0</v>
      </c>
      <c r="F67" s="135">
        <f>SUM($E$4:E67)+SUM($G$4:G67)</f>
        <v>8995</v>
      </c>
      <c r="G67" s="137">
        <v>0</v>
      </c>
      <c r="H67" s="137" t="s">
        <v>23</v>
      </c>
      <c r="I67" s="137" t="s">
        <v>23</v>
      </c>
      <c r="J67" s="137" t="s">
        <v>23</v>
      </c>
      <c r="K67" s="137" t="s">
        <v>23</v>
      </c>
      <c r="L67" s="137" t="s">
        <v>23</v>
      </c>
      <c r="M67" s="137" t="s">
        <v>23</v>
      </c>
      <c r="N67" s="138" t="s">
        <v>23</v>
      </c>
      <c r="O67" s="138" t="s">
        <v>23</v>
      </c>
      <c r="P67" s="137" t="s">
        <v>23</v>
      </c>
      <c r="Q67" s="137" t="s">
        <v>23</v>
      </c>
      <c r="R67" s="137" t="s">
        <v>23</v>
      </c>
      <c r="S67" s="137" t="s">
        <v>23</v>
      </c>
      <c r="T67" s="137" t="s">
        <v>23</v>
      </c>
      <c r="U67" s="137" t="s">
        <v>23</v>
      </c>
      <c r="V67" s="138" t="s">
        <v>23</v>
      </c>
      <c r="W67" s="138" t="s">
        <v>23</v>
      </c>
      <c r="X67" s="137" t="s">
        <v>23</v>
      </c>
      <c r="Y67" s="137" t="s">
        <v>23</v>
      </c>
      <c r="Z67" s="137" t="s">
        <v>23</v>
      </c>
      <c r="AA67" s="137" t="s">
        <v>23</v>
      </c>
      <c r="AB67" s="137" t="s">
        <v>23</v>
      </c>
      <c r="AC67" s="137" t="s">
        <v>23</v>
      </c>
      <c r="AD67" s="138" t="s">
        <v>23</v>
      </c>
      <c r="AE67" s="138" t="s">
        <v>23</v>
      </c>
      <c r="AF67" s="139">
        <v>0</v>
      </c>
      <c r="AG67" s="80"/>
      <c r="AH67" s="80"/>
      <c r="AI67" s="80"/>
      <c r="AJ67" s="8" t="s">
        <v>31</v>
      </c>
      <c r="AK67" s="110">
        <f t="shared" si="9"/>
        <v>40678.6</v>
      </c>
    </row>
    <row r="68" spans="1:37">
      <c r="A68" s="1">
        <v>44520</v>
      </c>
      <c r="B68" s="137">
        <v>1600</v>
      </c>
      <c r="C68" s="135" cm="1">
        <f t="array" ref="C68">(SUM(VLOOKUP(H68:AE68,$AL$4:$AN$44,2,FALSE))+AF68*10)*IF(AJ68="是",$AW$4,$AW$3)</f>
        <v>0</v>
      </c>
      <c r="D68" s="135">
        <f>SUM($B$4:B68)-SUM($C$4:C68)</f>
        <v>89610</v>
      </c>
      <c r="E68" s="135" cm="1">
        <f t="array" ref="E68">SUM(VLOOKUP(H68:AE68,$AL$4:$AN$44,3,FALSE))</f>
        <v>0</v>
      </c>
      <c r="F68" s="135">
        <f>SUM($E$4:E68)+SUM($G$4:G68)</f>
        <v>8995</v>
      </c>
      <c r="G68" s="137">
        <v>0</v>
      </c>
      <c r="H68" s="137" t="s">
        <v>23</v>
      </c>
      <c r="I68" s="137" t="s">
        <v>23</v>
      </c>
      <c r="J68" s="137" t="s">
        <v>23</v>
      </c>
      <c r="K68" s="137" t="s">
        <v>23</v>
      </c>
      <c r="L68" s="137" t="s">
        <v>23</v>
      </c>
      <c r="M68" s="137" t="s">
        <v>23</v>
      </c>
      <c r="N68" s="138" t="s">
        <v>23</v>
      </c>
      <c r="O68" s="138" t="s">
        <v>23</v>
      </c>
      <c r="P68" s="137" t="s">
        <v>23</v>
      </c>
      <c r="Q68" s="137" t="s">
        <v>23</v>
      </c>
      <c r="R68" s="137" t="s">
        <v>23</v>
      </c>
      <c r="S68" s="137" t="s">
        <v>23</v>
      </c>
      <c r="T68" s="137" t="s">
        <v>23</v>
      </c>
      <c r="U68" s="137" t="s">
        <v>23</v>
      </c>
      <c r="V68" s="138" t="s">
        <v>23</v>
      </c>
      <c r="W68" s="138" t="s">
        <v>23</v>
      </c>
      <c r="X68" s="137" t="s">
        <v>23</v>
      </c>
      <c r="Y68" s="137" t="s">
        <v>23</v>
      </c>
      <c r="Z68" s="137" t="s">
        <v>23</v>
      </c>
      <c r="AA68" s="137" t="s">
        <v>23</v>
      </c>
      <c r="AB68" s="137" t="s">
        <v>23</v>
      </c>
      <c r="AC68" s="137" t="s">
        <v>23</v>
      </c>
      <c r="AD68" s="138" t="s">
        <v>23</v>
      </c>
      <c r="AE68" s="138" t="s">
        <v>23</v>
      </c>
      <c r="AF68" s="139">
        <v>0</v>
      </c>
      <c r="AG68" s="80"/>
      <c r="AH68" s="80"/>
      <c r="AI68" s="80"/>
      <c r="AJ68" s="8" t="s">
        <v>31</v>
      </c>
      <c r="AK68" s="110">
        <f t="shared" si="9"/>
        <v>41254.6</v>
      </c>
    </row>
    <row r="69" spans="1:37">
      <c r="A69" s="1">
        <v>44521</v>
      </c>
      <c r="B69" s="137">
        <v>1600</v>
      </c>
      <c r="C69" s="135" cm="1">
        <f t="array" ref="C69">(SUM(VLOOKUP(H69:AE69,$AL$4:$AN$44,2,FALSE))+AF69*10)*IF(AJ69="是",$AW$4,$AW$3)</f>
        <v>0</v>
      </c>
      <c r="D69" s="135">
        <f>SUM($B$4:B69)-SUM($C$4:C69)</f>
        <v>91210</v>
      </c>
      <c r="E69" s="135" cm="1">
        <f t="array" ref="E69">SUM(VLOOKUP(H69:AE69,$AL$4:$AN$44,3,FALSE))</f>
        <v>0</v>
      </c>
      <c r="F69" s="135">
        <f>SUM($E$4:E69)+SUM($G$4:G69)</f>
        <v>8995</v>
      </c>
      <c r="G69" s="137">
        <v>0</v>
      </c>
      <c r="H69" s="137" t="s">
        <v>23</v>
      </c>
      <c r="I69" s="137" t="s">
        <v>23</v>
      </c>
      <c r="J69" s="137" t="s">
        <v>23</v>
      </c>
      <c r="K69" s="137" t="s">
        <v>23</v>
      </c>
      <c r="L69" s="137" t="s">
        <v>23</v>
      </c>
      <c r="M69" s="137" t="s">
        <v>23</v>
      </c>
      <c r="N69" s="138" t="s">
        <v>23</v>
      </c>
      <c r="O69" s="138" t="s">
        <v>23</v>
      </c>
      <c r="P69" s="137" t="s">
        <v>23</v>
      </c>
      <c r="Q69" s="137" t="s">
        <v>23</v>
      </c>
      <c r="R69" s="137" t="s">
        <v>23</v>
      </c>
      <c r="S69" s="137" t="s">
        <v>23</v>
      </c>
      <c r="T69" s="137" t="s">
        <v>23</v>
      </c>
      <c r="U69" s="137" t="s">
        <v>23</v>
      </c>
      <c r="V69" s="138" t="s">
        <v>23</v>
      </c>
      <c r="W69" s="138" t="s">
        <v>23</v>
      </c>
      <c r="X69" s="137" t="s">
        <v>23</v>
      </c>
      <c r="Y69" s="137" t="s">
        <v>23</v>
      </c>
      <c r="Z69" s="137" t="s">
        <v>23</v>
      </c>
      <c r="AA69" s="137" t="s">
        <v>23</v>
      </c>
      <c r="AB69" s="137" t="s">
        <v>23</v>
      </c>
      <c r="AC69" s="137" t="s">
        <v>23</v>
      </c>
      <c r="AD69" s="138" t="s">
        <v>23</v>
      </c>
      <c r="AE69" s="138" t="s">
        <v>23</v>
      </c>
      <c r="AF69" s="139">
        <v>0</v>
      </c>
      <c r="AG69" s="80"/>
      <c r="AH69" s="80"/>
      <c r="AI69" s="80"/>
      <c r="AJ69" s="8" t="s">
        <v>31</v>
      </c>
      <c r="AK69" s="110">
        <f t="shared" si="9"/>
        <v>41830.6</v>
      </c>
    </row>
    <row r="70" spans="1:37">
      <c r="A70" s="1">
        <v>44522</v>
      </c>
      <c r="B70" s="135">
        <v>1600</v>
      </c>
      <c r="C70" s="135" cm="1">
        <f t="array" ref="C70">(SUM(VLOOKUP(H70:AE70,$AL$4:$AN$44,2,FALSE))+AF70*10)*IF(AJ70="是",$AW$4,$AW$3)</f>
        <v>0</v>
      </c>
      <c r="D70" s="135">
        <f>SUM($B$4:B70)-SUM($C$4:C70)</f>
        <v>92810</v>
      </c>
      <c r="E70" s="135" cm="1">
        <f t="array" ref="E70">SUM(VLOOKUP(H70:AE70,$AL$4:$AN$44,3,FALSE))</f>
        <v>0</v>
      </c>
      <c r="F70" s="135">
        <f>SUM($E$4:E70)+SUM($G$4:G70)</f>
        <v>9295</v>
      </c>
      <c r="G70" s="135">
        <v>300</v>
      </c>
      <c r="H70" s="137" t="s">
        <v>23</v>
      </c>
      <c r="I70" s="137" t="s">
        <v>23</v>
      </c>
      <c r="J70" s="137" t="s">
        <v>23</v>
      </c>
      <c r="K70" s="137" t="s">
        <v>23</v>
      </c>
      <c r="L70" s="137" t="s">
        <v>23</v>
      </c>
      <c r="M70" s="137" t="s">
        <v>23</v>
      </c>
      <c r="N70" s="138" t="s">
        <v>23</v>
      </c>
      <c r="O70" s="138" t="s">
        <v>23</v>
      </c>
      <c r="P70" s="137" t="s">
        <v>23</v>
      </c>
      <c r="Q70" s="137" t="s">
        <v>23</v>
      </c>
      <c r="R70" s="137" t="s">
        <v>23</v>
      </c>
      <c r="S70" s="137" t="s">
        <v>23</v>
      </c>
      <c r="T70" s="137" t="s">
        <v>23</v>
      </c>
      <c r="U70" s="137" t="s">
        <v>23</v>
      </c>
      <c r="V70" s="138" t="s">
        <v>23</v>
      </c>
      <c r="W70" s="138" t="s">
        <v>23</v>
      </c>
      <c r="X70" s="137" t="s">
        <v>23</v>
      </c>
      <c r="Y70" s="137" t="s">
        <v>23</v>
      </c>
      <c r="Z70" s="137" t="s">
        <v>23</v>
      </c>
      <c r="AA70" s="137" t="s">
        <v>23</v>
      </c>
      <c r="AB70" s="137" t="s">
        <v>23</v>
      </c>
      <c r="AC70" s="137" t="s">
        <v>23</v>
      </c>
      <c r="AD70" s="138" t="s">
        <v>23</v>
      </c>
      <c r="AE70" s="138" t="s">
        <v>23</v>
      </c>
      <c r="AF70" s="139">
        <v>0</v>
      </c>
      <c r="AG70" s="80"/>
      <c r="AH70" s="80"/>
      <c r="AI70" s="80"/>
      <c r="AJ70" s="8" t="s">
        <v>31</v>
      </c>
      <c r="AK70" s="110">
        <f t="shared" si="9"/>
        <v>42706.6</v>
      </c>
    </row>
    <row r="71" spans="1:37">
      <c r="A71" s="1">
        <v>44523</v>
      </c>
      <c r="B71" s="135">
        <v>1600</v>
      </c>
      <c r="C71" s="135" cm="1">
        <f t="array" ref="C71">(SUM(VLOOKUP(H71:AE71,$AL$4:$AN$44,2,FALSE))+AF71*10)*IF(AJ71="是",$AW$4,$AW$3)</f>
        <v>0</v>
      </c>
      <c r="D71" s="135">
        <f>SUM($B$4:B71)-SUM($C$4:C71)</f>
        <v>94410</v>
      </c>
      <c r="E71" s="135" cm="1">
        <f t="array" ref="E71">SUM(VLOOKUP(H71:AE71,$AL$4:$AN$44,3,FALSE))</f>
        <v>0</v>
      </c>
      <c r="F71" s="135">
        <f>SUM($E$4:E71)+SUM($G$4:G71)</f>
        <v>9295</v>
      </c>
      <c r="G71" s="135">
        <v>0</v>
      </c>
      <c r="H71" s="137" t="s">
        <v>23</v>
      </c>
      <c r="I71" s="137" t="s">
        <v>23</v>
      </c>
      <c r="J71" s="137" t="s">
        <v>23</v>
      </c>
      <c r="K71" s="137" t="s">
        <v>23</v>
      </c>
      <c r="L71" s="137" t="s">
        <v>23</v>
      </c>
      <c r="M71" s="137" t="s">
        <v>23</v>
      </c>
      <c r="N71" s="138" t="s">
        <v>23</v>
      </c>
      <c r="O71" s="138" t="s">
        <v>23</v>
      </c>
      <c r="P71" s="137" t="s">
        <v>23</v>
      </c>
      <c r="Q71" s="137" t="s">
        <v>23</v>
      </c>
      <c r="R71" s="137" t="s">
        <v>23</v>
      </c>
      <c r="S71" s="137" t="s">
        <v>23</v>
      </c>
      <c r="T71" s="137" t="s">
        <v>23</v>
      </c>
      <c r="U71" s="137" t="s">
        <v>23</v>
      </c>
      <c r="V71" s="138" t="s">
        <v>23</v>
      </c>
      <c r="W71" s="138" t="s">
        <v>23</v>
      </c>
      <c r="X71" s="137" t="s">
        <v>23</v>
      </c>
      <c r="Y71" s="137" t="s">
        <v>23</v>
      </c>
      <c r="Z71" s="137" t="s">
        <v>23</v>
      </c>
      <c r="AA71" s="137" t="s">
        <v>23</v>
      </c>
      <c r="AB71" s="137" t="s">
        <v>23</v>
      </c>
      <c r="AC71" s="137" t="s">
        <v>23</v>
      </c>
      <c r="AD71" s="138" t="s">
        <v>23</v>
      </c>
      <c r="AE71" s="138" t="s">
        <v>23</v>
      </c>
      <c r="AF71" s="139">
        <v>0</v>
      </c>
      <c r="AG71" s="80"/>
      <c r="AH71" s="80"/>
      <c r="AI71" s="80"/>
      <c r="AJ71" s="8" t="s">
        <v>31</v>
      </c>
      <c r="AK71" s="110">
        <f t="shared" si="9"/>
        <v>43282.6</v>
      </c>
    </row>
    <row r="72" spans="1:37">
      <c r="A72" s="1">
        <v>44524</v>
      </c>
      <c r="B72" s="135">
        <v>1600</v>
      </c>
      <c r="C72" s="135" cm="1">
        <f t="array" ref="C72">(SUM(VLOOKUP(H72:AE72,$AL$4:$AN$44,2,FALSE))+AF72*10)*IF(AJ72="是",$AW$4,$AW$3)</f>
        <v>0</v>
      </c>
      <c r="D72" s="135">
        <f>SUM($B$4:B72)-SUM($C$4:C72)</f>
        <v>96010</v>
      </c>
      <c r="E72" s="135" cm="1">
        <f t="array" ref="E72">SUM(VLOOKUP(H72:AE72,$AL$4:$AN$44,3,FALSE))</f>
        <v>0</v>
      </c>
      <c r="F72" s="135">
        <f>SUM($E$4:E72)+SUM($G$4:G72)</f>
        <v>9495</v>
      </c>
      <c r="G72" s="135">
        <v>200</v>
      </c>
      <c r="H72" s="137" t="s">
        <v>23</v>
      </c>
      <c r="I72" s="137" t="s">
        <v>23</v>
      </c>
      <c r="J72" s="137" t="s">
        <v>23</v>
      </c>
      <c r="K72" s="137" t="s">
        <v>23</v>
      </c>
      <c r="L72" s="137" t="s">
        <v>23</v>
      </c>
      <c r="M72" s="137" t="s">
        <v>23</v>
      </c>
      <c r="N72" s="138" t="s">
        <v>23</v>
      </c>
      <c r="O72" s="138" t="s">
        <v>23</v>
      </c>
      <c r="P72" s="137" t="s">
        <v>23</v>
      </c>
      <c r="Q72" s="137" t="s">
        <v>23</v>
      </c>
      <c r="R72" s="137" t="s">
        <v>23</v>
      </c>
      <c r="S72" s="137" t="s">
        <v>23</v>
      </c>
      <c r="T72" s="137" t="s">
        <v>23</v>
      </c>
      <c r="U72" s="137" t="s">
        <v>23</v>
      </c>
      <c r="V72" s="138" t="s">
        <v>23</v>
      </c>
      <c r="W72" s="138" t="s">
        <v>23</v>
      </c>
      <c r="X72" s="137" t="s">
        <v>23</v>
      </c>
      <c r="Y72" s="137" t="s">
        <v>23</v>
      </c>
      <c r="Z72" s="137" t="s">
        <v>23</v>
      </c>
      <c r="AA72" s="137" t="s">
        <v>23</v>
      </c>
      <c r="AB72" s="137" t="s">
        <v>23</v>
      </c>
      <c r="AC72" s="137" t="s">
        <v>23</v>
      </c>
      <c r="AD72" s="138" t="s">
        <v>23</v>
      </c>
      <c r="AE72" s="138" t="s">
        <v>23</v>
      </c>
      <c r="AF72" s="139">
        <v>0</v>
      </c>
      <c r="AG72" s="80"/>
      <c r="AH72" s="80"/>
      <c r="AI72" s="80"/>
      <c r="AJ72" s="8" t="s">
        <v>31</v>
      </c>
      <c r="AK72" s="110">
        <f t="shared" si="9"/>
        <v>44058.6</v>
      </c>
    </row>
    <row r="73" spans="1:37">
      <c r="A73" s="1">
        <v>44525</v>
      </c>
      <c r="B73" s="135">
        <v>1600</v>
      </c>
      <c r="C73" s="135" cm="1">
        <f t="array" ref="C73">(SUM(VLOOKUP(H73:AE73,$AL$4:$AN$44,2,FALSE))+AF73*10)*IF(AJ73="是",$AW$4,$AW$3)</f>
        <v>0</v>
      </c>
      <c r="D73" s="135">
        <f>SUM($B$4:B73)-SUM($C$4:C73)</f>
        <v>97610</v>
      </c>
      <c r="E73" s="135" cm="1">
        <f t="array" ref="E73">SUM(VLOOKUP(H73:AE73,$AL$4:$AN$44,3,FALSE))</f>
        <v>0</v>
      </c>
      <c r="F73" s="135">
        <f>SUM($E$4:E73)+SUM($G$4:G73)</f>
        <v>9495</v>
      </c>
      <c r="G73" s="135">
        <v>0</v>
      </c>
      <c r="H73" s="137" t="s">
        <v>23</v>
      </c>
      <c r="I73" s="137" t="s">
        <v>23</v>
      </c>
      <c r="J73" s="137" t="s">
        <v>23</v>
      </c>
      <c r="K73" s="137" t="s">
        <v>23</v>
      </c>
      <c r="L73" s="137" t="s">
        <v>23</v>
      </c>
      <c r="M73" s="137" t="s">
        <v>23</v>
      </c>
      <c r="N73" s="138" t="s">
        <v>23</v>
      </c>
      <c r="O73" s="138" t="s">
        <v>23</v>
      </c>
      <c r="P73" s="137" t="s">
        <v>23</v>
      </c>
      <c r="Q73" s="137" t="s">
        <v>23</v>
      </c>
      <c r="R73" s="137" t="s">
        <v>23</v>
      </c>
      <c r="S73" s="137" t="s">
        <v>23</v>
      </c>
      <c r="T73" s="137" t="s">
        <v>23</v>
      </c>
      <c r="U73" s="137" t="s">
        <v>23</v>
      </c>
      <c r="V73" s="138" t="s">
        <v>23</v>
      </c>
      <c r="W73" s="138" t="s">
        <v>23</v>
      </c>
      <c r="X73" s="137" t="s">
        <v>23</v>
      </c>
      <c r="Y73" s="137" t="s">
        <v>23</v>
      </c>
      <c r="Z73" s="137" t="s">
        <v>23</v>
      </c>
      <c r="AA73" s="137" t="s">
        <v>23</v>
      </c>
      <c r="AB73" s="137" t="s">
        <v>23</v>
      </c>
      <c r="AC73" s="137" t="s">
        <v>23</v>
      </c>
      <c r="AD73" s="138" t="s">
        <v>23</v>
      </c>
      <c r="AE73" s="138" t="s">
        <v>23</v>
      </c>
      <c r="AF73" s="139">
        <v>0</v>
      </c>
      <c r="AG73" s="80"/>
      <c r="AH73" s="80"/>
      <c r="AI73" s="80"/>
      <c r="AJ73" s="8" t="s">
        <v>31</v>
      </c>
      <c r="AK73" s="110">
        <f t="shared" si="9"/>
        <v>44634.6</v>
      </c>
    </row>
    <row r="74" spans="1:37">
      <c r="A74" s="1">
        <v>44526</v>
      </c>
      <c r="B74" s="135">
        <v>1600</v>
      </c>
      <c r="C74" s="135" cm="1">
        <f t="array" ref="C74">(SUM(VLOOKUP(H74:AE74,$AL$4:$AN$44,2,FALSE))+AF74*10)*IF(AJ74="是",$AW$4,$AW$3)</f>
        <v>0</v>
      </c>
      <c r="D74" s="135">
        <f>SUM($B$4:B74)-SUM($C$4:C74)</f>
        <v>99210</v>
      </c>
      <c r="E74" s="135" cm="1">
        <f t="array" ref="E74">SUM(VLOOKUP(H74:AE74,$AL$4:$AN$44,3,FALSE))</f>
        <v>0</v>
      </c>
      <c r="F74" s="135">
        <f>SUM($E$4:E74)+SUM($G$4:G74)</f>
        <v>9495</v>
      </c>
      <c r="G74" s="135">
        <v>0</v>
      </c>
      <c r="H74" s="137" t="s">
        <v>23</v>
      </c>
      <c r="I74" s="137" t="s">
        <v>23</v>
      </c>
      <c r="J74" s="137" t="s">
        <v>23</v>
      </c>
      <c r="K74" s="137" t="s">
        <v>23</v>
      </c>
      <c r="L74" s="137" t="s">
        <v>23</v>
      </c>
      <c r="M74" s="137" t="s">
        <v>23</v>
      </c>
      <c r="N74" s="138" t="s">
        <v>23</v>
      </c>
      <c r="O74" s="138" t="s">
        <v>23</v>
      </c>
      <c r="P74" s="137" t="s">
        <v>23</v>
      </c>
      <c r="Q74" s="137" t="s">
        <v>23</v>
      </c>
      <c r="R74" s="137" t="s">
        <v>23</v>
      </c>
      <c r="S74" s="137" t="s">
        <v>23</v>
      </c>
      <c r="T74" s="137" t="s">
        <v>23</v>
      </c>
      <c r="U74" s="137" t="s">
        <v>23</v>
      </c>
      <c r="V74" s="138" t="s">
        <v>23</v>
      </c>
      <c r="W74" s="138" t="s">
        <v>23</v>
      </c>
      <c r="X74" s="137" t="s">
        <v>23</v>
      </c>
      <c r="Y74" s="137" t="s">
        <v>23</v>
      </c>
      <c r="Z74" s="137" t="s">
        <v>23</v>
      </c>
      <c r="AA74" s="137" t="s">
        <v>23</v>
      </c>
      <c r="AB74" s="137" t="s">
        <v>23</v>
      </c>
      <c r="AC74" s="137" t="s">
        <v>23</v>
      </c>
      <c r="AD74" s="138" t="s">
        <v>23</v>
      </c>
      <c r="AE74" s="138" t="s">
        <v>23</v>
      </c>
      <c r="AF74" s="139">
        <v>0</v>
      </c>
      <c r="AG74" s="80"/>
      <c r="AH74" s="80"/>
      <c r="AI74" s="80"/>
      <c r="AJ74" s="8" t="s">
        <v>31</v>
      </c>
      <c r="AK74" s="110">
        <f t="shared" si="9"/>
        <v>45210.6</v>
      </c>
    </row>
    <row r="75" spans="1:37">
      <c r="A75" s="1">
        <v>44527</v>
      </c>
      <c r="B75" s="135">
        <v>1600</v>
      </c>
      <c r="C75" s="135" cm="1">
        <f t="array" ref="C75">(SUM(VLOOKUP(H75:AE75,$AL$4:$AN$44,2,FALSE))+AF75*10)*IF(AJ75="是",$AW$4,$AW$3)</f>
        <v>0</v>
      </c>
      <c r="D75" s="135">
        <f>SUM($B$4:B75)-SUM($C$4:C75)</f>
        <v>100810</v>
      </c>
      <c r="E75" s="135" cm="1">
        <f t="array" ref="E75">SUM(VLOOKUP(H75:AE75,$AL$4:$AN$44,3,FALSE))</f>
        <v>0</v>
      </c>
      <c r="F75" s="135">
        <f>SUM($E$4:E75)+SUM($G$4:G75)</f>
        <v>9495</v>
      </c>
      <c r="G75" s="135">
        <v>0</v>
      </c>
      <c r="H75" s="137" t="s">
        <v>23</v>
      </c>
      <c r="I75" s="137" t="s">
        <v>23</v>
      </c>
      <c r="J75" s="137" t="s">
        <v>23</v>
      </c>
      <c r="K75" s="137" t="s">
        <v>23</v>
      </c>
      <c r="L75" s="137" t="s">
        <v>23</v>
      </c>
      <c r="M75" s="137" t="s">
        <v>23</v>
      </c>
      <c r="N75" s="138" t="s">
        <v>23</v>
      </c>
      <c r="O75" s="138" t="s">
        <v>23</v>
      </c>
      <c r="P75" s="137" t="s">
        <v>23</v>
      </c>
      <c r="Q75" s="137" t="s">
        <v>23</v>
      </c>
      <c r="R75" s="137" t="s">
        <v>23</v>
      </c>
      <c r="S75" s="137" t="s">
        <v>23</v>
      </c>
      <c r="T75" s="137" t="s">
        <v>23</v>
      </c>
      <c r="U75" s="137" t="s">
        <v>23</v>
      </c>
      <c r="V75" s="138" t="s">
        <v>23</v>
      </c>
      <c r="W75" s="138" t="s">
        <v>23</v>
      </c>
      <c r="X75" s="137" t="s">
        <v>23</v>
      </c>
      <c r="Y75" s="137" t="s">
        <v>23</v>
      </c>
      <c r="Z75" s="137" t="s">
        <v>23</v>
      </c>
      <c r="AA75" s="137" t="s">
        <v>23</v>
      </c>
      <c r="AB75" s="137" t="s">
        <v>23</v>
      </c>
      <c r="AC75" s="137" t="s">
        <v>23</v>
      </c>
      <c r="AD75" s="138" t="s">
        <v>23</v>
      </c>
      <c r="AE75" s="138" t="s">
        <v>23</v>
      </c>
      <c r="AF75" s="139">
        <v>0</v>
      </c>
      <c r="AG75" s="80"/>
      <c r="AH75" s="80"/>
      <c r="AI75" s="80"/>
      <c r="AJ75" s="8" t="s">
        <v>31</v>
      </c>
      <c r="AK75" s="110">
        <f t="shared" si="9"/>
        <v>45786.6</v>
      </c>
    </row>
    <row r="76" spans="1:37">
      <c r="A76" s="1">
        <v>44528</v>
      </c>
      <c r="B76" s="135">
        <v>1600</v>
      </c>
      <c r="C76" s="135" cm="1">
        <f t="array" ref="C76">(SUM(VLOOKUP(H76:AE76,$AL$4:$AN$44,2,FALSE))+AF76*10)*IF(AJ76="是",$AW$4,$AW$3)</f>
        <v>0</v>
      </c>
      <c r="D76" s="135">
        <f>SUM($B$4:B76)-SUM($C$4:C76)</f>
        <v>102410</v>
      </c>
      <c r="E76" s="135" cm="1">
        <f t="array" ref="E76">SUM(VLOOKUP(H76:AE76,$AL$4:$AN$44,3,FALSE))</f>
        <v>0</v>
      </c>
      <c r="F76" s="135">
        <f>SUM($E$4:E76)+SUM($G$4:G76)</f>
        <v>9495</v>
      </c>
      <c r="G76" s="135">
        <v>0</v>
      </c>
      <c r="H76" s="137" t="s">
        <v>23</v>
      </c>
      <c r="I76" s="137" t="s">
        <v>23</v>
      </c>
      <c r="J76" s="137" t="s">
        <v>23</v>
      </c>
      <c r="K76" s="137" t="s">
        <v>23</v>
      </c>
      <c r="L76" s="137" t="s">
        <v>23</v>
      </c>
      <c r="M76" s="137" t="s">
        <v>23</v>
      </c>
      <c r="N76" s="138" t="s">
        <v>23</v>
      </c>
      <c r="O76" s="138" t="s">
        <v>23</v>
      </c>
      <c r="P76" s="137" t="s">
        <v>23</v>
      </c>
      <c r="Q76" s="137" t="s">
        <v>23</v>
      </c>
      <c r="R76" s="137" t="s">
        <v>23</v>
      </c>
      <c r="S76" s="137" t="s">
        <v>23</v>
      </c>
      <c r="T76" s="137" t="s">
        <v>23</v>
      </c>
      <c r="U76" s="137" t="s">
        <v>23</v>
      </c>
      <c r="V76" s="138" t="s">
        <v>23</v>
      </c>
      <c r="W76" s="138" t="s">
        <v>23</v>
      </c>
      <c r="X76" s="137" t="s">
        <v>23</v>
      </c>
      <c r="Y76" s="137" t="s">
        <v>23</v>
      </c>
      <c r="Z76" s="137" t="s">
        <v>23</v>
      </c>
      <c r="AA76" s="137" t="s">
        <v>23</v>
      </c>
      <c r="AB76" s="137" t="s">
        <v>23</v>
      </c>
      <c r="AC76" s="137" t="s">
        <v>23</v>
      </c>
      <c r="AD76" s="138" t="s">
        <v>23</v>
      </c>
      <c r="AE76" s="138" t="s">
        <v>23</v>
      </c>
      <c r="AF76" s="139">
        <v>0</v>
      </c>
      <c r="AG76" s="80"/>
      <c r="AH76" s="80"/>
      <c r="AI76" s="80"/>
      <c r="AJ76" s="8" t="s">
        <v>31</v>
      </c>
      <c r="AK76" s="110">
        <f t="shared" si="9"/>
        <v>46362.6</v>
      </c>
    </row>
    <row r="77" spans="1:37">
      <c r="A77" s="1">
        <v>44529</v>
      </c>
      <c r="B77" s="137">
        <v>1600</v>
      </c>
      <c r="C77" s="135" cm="1">
        <f t="array" ref="C77">(SUM(VLOOKUP(H77:AE77,$AL$4:$AN$44,2,FALSE))+AF77*10)*IF(AJ77="是",$AW$4,$AW$3)</f>
        <v>0</v>
      </c>
      <c r="D77" s="135">
        <f>SUM($B$4:B77)-SUM($C$4:C77)</f>
        <v>104010</v>
      </c>
      <c r="E77" s="135" cm="1">
        <f t="array" ref="E77">SUM(VLOOKUP(H77:AE77,$AL$4:$AN$44,3,FALSE))</f>
        <v>0</v>
      </c>
      <c r="F77" s="135">
        <f>SUM($E$4:E77)+SUM($G$4:G77)</f>
        <v>9695</v>
      </c>
      <c r="G77" s="137">
        <v>200</v>
      </c>
      <c r="H77" s="137" t="s">
        <v>23</v>
      </c>
      <c r="I77" s="137" t="s">
        <v>23</v>
      </c>
      <c r="J77" s="137" t="s">
        <v>23</v>
      </c>
      <c r="K77" s="137" t="s">
        <v>23</v>
      </c>
      <c r="L77" s="137" t="s">
        <v>23</v>
      </c>
      <c r="M77" s="137" t="s">
        <v>23</v>
      </c>
      <c r="N77" s="138" t="s">
        <v>23</v>
      </c>
      <c r="O77" s="138" t="s">
        <v>23</v>
      </c>
      <c r="P77" s="137" t="s">
        <v>23</v>
      </c>
      <c r="Q77" s="137" t="s">
        <v>23</v>
      </c>
      <c r="R77" s="137" t="s">
        <v>23</v>
      </c>
      <c r="S77" s="137" t="s">
        <v>23</v>
      </c>
      <c r="T77" s="137" t="s">
        <v>23</v>
      </c>
      <c r="U77" s="137" t="s">
        <v>23</v>
      </c>
      <c r="V77" s="138" t="s">
        <v>23</v>
      </c>
      <c r="W77" s="138" t="s">
        <v>23</v>
      </c>
      <c r="X77" s="137" t="s">
        <v>23</v>
      </c>
      <c r="Y77" s="137" t="s">
        <v>23</v>
      </c>
      <c r="Z77" s="137" t="s">
        <v>23</v>
      </c>
      <c r="AA77" s="137" t="s">
        <v>23</v>
      </c>
      <c r="AB77" s="137" t="s">
        <v>23</v>
      </c>
      <c r="AC77" s="137" t="s">
        <v>23</v>
      </c>
      <c r="AD77" s="138" t="s">
        <v>23</v>
      </c>
      <c r="AE77" s="138" t="s">
        <v>23</v>
      </c>
      <c r="AF77" s="139">
        <v>0</v>
      </c>
      <c r="AG77" s="80"/>
      <c r="AH77" s="80"/>
      <c r="AI77" s="80"/>
      <c r="AJ77" s="8" t="s">
        <v>31</v>
      </c>
      <c r="AK77" s="110">
        <f t="shared" si="9"/>
        <v>47138.6</v>
      </c>
    </row>
    <row r="78" spans="1:37">
      <c r="A78" s="1">
        <v>44530</v>
      </c>
      <c r="B78" s="137">
        <v>1600</v>
      </c>
      <c r="C78" s="135" cm="1">
        <f t="array" ref="C78">(SUM(VLOOKUP(H78:AE78,$AL$4:$AN$44,2,FALSE))+AF78*10)*IF(AJ78="是",$AW$4,$AW$3)</f>
        <v>0</v>
      </c>
      <c r="D78" s="135">
        <f>SUM($B$4:B78)-SUM($C$4:C78)</f>
        <v>105610</v>
      </c>
      <c r="E78" s="135" cm="1">
        <f t="array" ref="E78">SUM(VLOOKUP(H78:AE78,$AL$4:$AN$44,3,FALSE))</f>
        <v>0</v>
      </c>
      <c r="F78" s="135">
        <f>SUM($E$4:E78)+SUM($G$4:G78)</f>
        <v>9795</v>
      </c>
      <c r="G78" s="137">
        <v>100</v>
      </c>
      <c r="H78" s="137" t="s">
        <v>23</v>
      </c>
      <c r="I78" s="137" t="s">
        <v>23</v>
      </c>
      <c r="J78" s="137" t="s">
        <v>23</v>
      </c>
      <c r="K78" s="137" t="s">
        <v>23</v>
      </c>
      <c r="L78" s="137" t="s">
        <v>23</v>
      </c>
      <c r="M78" s="137" t="s">
        <v>23</v>
      </c>
      <c r="N78" s="138" t="s">
        <v>23</v>
      </c>
      <c r="O78" s="138" t="s">
        <v>23</v>
      </c>
      <c r="P78" s="137" t="s">
        <v>23</v>
      </c>
      <c r="Q78" s="137" t="s">
        <v>23</v>
      </c>
      <c r="R78" s="137" t="s">
        <v>23</v>
      </c>
      <c r="S78" s="137" t="s">
        <v>23</v>
      </c>
      <c r="T78" s="137" t="s">
        <v>23</v>
      </c>
      <c r="U78" s="137" t="s">
        <v>23</v>
      </c>
      <c r="V78" s="138" t="s">
        <v>23</v>
      </c>
      <c r="W78" s="138" t="s">
        <v>23</v>
      </c>
      <c r="X78" s="137" t="s">
        <v>23</v>
      </c>
      <c r="Y78" s="137" t="s">
        <v>23</v>
      </c>
      <c r="Z78" s="137" t="s">
        <v>23</v>
      </c>
      <c r="AA78" s="137" t="s">
        <v>23</v>
      </c>
      <c r="AB78" s="137" t="s">
        <v>23</v>
      </c>
      <c r="AC78" s="137" t="s">
        <v>23</v>
      </c>
      <c r="AD78" s="138" t="s">
        <v>23</v>
      </c>
      <c r="AE78" s="138" t="s">
        <v>23</v>
      </c>
      <c r="AF78" s="139">
        <v>0</v>
      </c>
      <c r="AG78" s="80"/>
      <c r="AH78" s="80"/>
      <c r="AI78" s="80"/>
      <c r="AJ78" s="8" t="s">
        <v>31</v>
      </c>
      <c r="AK78" s="110">
        <f t="shared" si="9"/>
        <v>47814.6</v>
      </c>
    </row>
    <row r="79" spans="1:37">
      <c r="A79" s="1">
        <v>44531</v>
      </c>
      <c r="B79" s="137">
        <v>1600</v>
      </c>
      <c r="C79" s="135" cm="1">
        <f t="array" ref="C79">(SUM(VLOOKUP(H79:AE79,$AL$4:$AN$44,2,FALSE))+AF79*10)*IF(AJ79="是",$AW$4,$AW$3)</f>
        <v>0</v>
      </c>
      <c r="D79" s="135">
        <f>SUM($B$4:B79)-SUM($C$4:C79)</f>
        <v>107210</v>
      </c>
      <c r="E79" s="135" cm="1">
        <f t="array" ref="E79">SUM(VLOOKUP(H79:AE79,$AL$4:$AN$44,3,FALSE))</f>
        <v>0</v>
      </c>
      <c r="F79" s="135">
        <f>SUM($E$4:E79)+SUM($G$4:G79)</f>
        <v>9995</v>
      </c>
      <c r="G79" s="137">
        <v>200</v>
      </c>
      <c r="H79" s="137" t="s">
        <v>23</v>
      </c>
      <c r="I79" s="137" t="s">
        <v>23</v>
      </c>
      <c r="J79" s="137" t="s">
        <v>23</v>
      </c>
      <c r="K79" s="137" t="s">
        <v>23</v>
      </c>
      <c r="L79" s="137" t="s">
        <v>23</v>
      </c>
      <c r="M79" s="137" t="s">
        <v>23</v>
      </c>
      <c r="N79" s="138" t="s">
        <v>23</v>
      </c>
      <c r="O79" s="138" t="s">
        <v>23</v>
      </c>
      <c r="P79" s="137" t="s">
        <v>23</v>
      </c>
      <c r="Q79" s="137" t="s">
        <v>23</v>
      </c>
      <c r="R79" s="137" t="s">
        <v>23</v>
      </c>
      <c r="S79" s="137" t="s">
        <v>23</v>
      </c>
      <c r="T79" s="137" t="s">
        <v>23</v>
      </c>
      <c r="U79" s="137" t="s">
        <v>23</v>
      </c>
      <c r="V79" s="138" t="s">
        <v>23</v>
      </c>
      <c r="W79" s="138" t="s">
        <v>23</v>
      </c>
      <c r="X79" s="137" t="s">
        <v>23</v>
      </c>
      <c r="Y79" s="137" t="s">
        <v>23</v>
      </c>
      <c r="Z79" s="137" t="s">
        <v>23</v>
      </c>
      <c r="AA79" s="137" t="s">
        <v>23</v>
      </c>
      <c r="AB79" s="137" t="s">
        <v>23</v>
      </c>
      <c r="AC79" s="137" t="s">
        <v>23</v>
      </c>
      <c r="AD79" s="138" t="s">
        <v>23</v>
      </c>
      <c r="AE79" s="138" t="s">
        <v>23</v>
      </c>
      <c r="AF79" s="139">
        <v>0</v>
      </c>
      <c r="AG79" s="80"/>
      <c r="AH79" s="80"/>
      <c r="AI79" s="80"/>
      <c r="AJ79" s="8" t="s">
        <v>31</v>
      </c>
      <c r="AK79" s="110">
        <f t="shared" si="9"/>
        <v>48590.6</v>
      </c>
    </row>
    <row r="80" spans="1:37">
      <c r="A80" s="1">
        <v>44532</v>
      </c>
      <c r="B80" s="137">
        <v>1600</v>
      </c>
      <c r="C80" s="135" cm="1">
        <f t="array" ref="C80">(SUM(VLOOKUP(H80:AE80,$AL$4:$AN$44,2,FALSE))+AF80*10)*IF(AJ80="是",$AW$4,$AW$3)</f>
        <v>0</v>
      </c>
      <c r="D80" s="135">
        <f>SUM($B$4:B80)-SUM($C$4:C80)</f>
        <v>108810</v>
      </c>
      <c r="E80" s="135" cm="1">
        <f t="array" ref="E80">SUM(VLOOKUP(H80:AE80,$AL$4:$AN$44,3,FALSE))</f>
        <v>0</v>
      </c>
      <c r="F80" s="135">
        <f>SUM($E$4:E80)+SUM($G$4:G80)</f>
        <v>9995</v>
      </c>
      <c r="G80" s="137">
        <v>0</v>
      </c>
      <c r="H80" s="137" t="s">
        <v>23</v>
      </c>
      <c r="I80" s="137" t="s">
        <v>23</v>
      </c>
      <c r="J80" s="137" t="s">
        <v>23</v>
      </c>
      <c r="K80" s="137" t="s">
        <v>23</v>
      </c>
      <c r="L80" s="137" t="s">
        <v>23</v>
      </c>
      <c r="M80" s="137" t="s">
        <v>23</v>
      </c>
      <c r="N80" s="138" t="s">
        <v>23</v>
      </c>
      <c r="O80" s="138" t="s">
        <v>23</v>
      </c>
      <c r="P80" s="137" t="s">
        <v>23</v>
      </c>
      <c r="Q80" s="137" t="s">
        <v>23</v>
      </c>
      <c r="R80" s="137" t="s">
        <v>23</v>
      </c>
      <c r="S80" s="137" t="s">
        <v>23</v>
      </c>
      <c r="T80" s="137" t="s">
        <v>23</v>
      </c>
      <c r="U80" s="137" t="s">
        <v>23</v>
      </c>
      <c r="V80" s="138" t="s">
        <v>23</v>
      </c>
      <c r="W80" s="138" t="s">
        <v>23</v>
      </c>
      <c r="X80" s="137" t="s">
        <v>23</v>
      </c>
      <c r="Y80" s="137" t="s">
        <v>23</v>
      </c>
      <c r="Z80" s="137" t="s">
        <v>23</v>
      </c>
      <c r="AA80" s="137" t="s">
        <v>23</v>
      </c>
      <c r="AB80" s="137" t="s">
        <v>23</v>
      </c>
      <c r="AC80" s="137" t="s">
        <v>23</v>
      </c>
      <c r="AD80" s="138" t="s">
        <v>23</v>
      </c>
      <c r="AE80" s="138" t="s">
        <v>23</v>
      </c>
      <c r="AF80" s="139">
        <v>0</v>
      </c>
      <c r="AG80" s="80"/>
      <c r="AH80" s="80"/>
      <c r="AI80" s="80"/>
      <c r="AJ80" s="8" t="s">
        <v>31</v>
      </c>
      <c r="AK80" s="110">
        <f t="shared" si="9"/>
        <v>49166.6</v>
      </c>
    </row>
    <row r="81" spans="1:37">
      <c r="A81" s="1">
        <v>44533</v>
      </c>
      <c r="B81" s="137">
        <v>1600</v>
      </c>
      <c r="C81" s="135" cm="1">
        <f t="array" ref="C81">(SUM(VLOOKUP(H81:AE81,$AL$4:$AN$44,2,FALSE))+AF81*10)*IF(AJ81="是",$AW$4,$AW$3)</f>
        <v>0</v>
      </c>
      <c r="D81" s="135">
        <f>SUM($B$4:B81)-SUM($C$4:C81)</f>
        <v>110410</v>
      </c>
      <c r="E81" s="135" cm="1">
        <f t="array" ref="E81">SUM(VLOOKUP(H81:AE81,$AL$4:$AN$44,3,FALSE))</f>
        <v>0</v>
      </c>
      <c r="F81" s="135">
        <f>SUM($E$4:E81)+SUM($G$4:G81)</f>
        <v>9995</v>
      </c>
      <c r="G81" s="137">
        <v>0</v>
      </c>
      <c r="H81" s="137" t="s">
        <v>23</v>
      </c>
      <c r="I81" s="137" t="s">
        <v>23</v>
      </c>
      <c r="J81" s="137" t="s">
        <v>23</v>
      </c>
      <c r="K81" s="137" t="s">
        <v>23</v>
      </c>
      <c r="L81" s="137" t="s">
        <v>23</v>
      </c>
      <c r="M81" s="137" t="s">
        <v>23</v>
      </c>
      <c r="N81" s="138" t="s">
        <v>23</v>
      </c>
      <c r="O81" s="138" t="s">
        <v>23</v>
      </c>
      <c r="P81" s="137" t="s">
        <v>23</v>
      </c>
      <c r="Q81" s="137" t="s">
        <v>23</v>
      </c>
      <c r="R81" s="137" t="s">
        <v>23</v>
      </c>
      <c r="S81" s="137" t="s">
        <v>23</v>
      </c>
      <c r="T81" s="137" t="s">
        <v>23</v>
      </c>
      <c r="U81" s="137" t="s">
        <v>23</v>
      </c>
      <c r="V81" s="138" t="s">
        <v>23</v>
      </c>
      <c r="W81" s="138" t="s">
        <v>23</v>
      </c>
      <c r="X81" s="137" t="s">
        <v>23</v>
      </c>
      <c r="Y81" s="137" t="s">
        <v>23</v>
      </c>
      <c r="Z81" s="137" t="s">
        <v>23</v>
      </c>
      <c r="AA81" s="137" t="s">
        <v>23</v>
      </c>
      <c r="AB81" s="137" t="s">
        <v>23</v>
      </c>
      <c r="AC81" s="137" t="s">
        <v>23</v>
      </c>
      <c r="AD81" s="138" t="s">
        <v>23</v>
      </c>
      <c r="AE81" s="138" t="s">
        <v>23</v>
      </c>
      <c r="AF81" s="139">
        <v>0</v>
      </c>
      <c r="AG81" s="80"/>
      <c r="AH81" s="80"/>
      <c r="AI81" s="80"/>
      <c r="AJ81" s="8" t="s">
        <v>31</v>
      </c>
      <c r="AK81" s="110">
        <f t="shared" si="9"/>
        <v>49742.6</v>
      </c>
    </row>
    <row r="82" spans="1:37">
      <c r="A82" s="1">
        <v>44534</v>
      </c>
      <c r="B82" s="137">
        <v>1600</v>
      </c>
      <c r="C82" s="135" cm="1">
        <f t="array" ref="C82">(SUM(VLOOKUP(H82:AE82,$AL$4:$AN$44,2,FALSE))+AF82*10)*IF(AJ82="是",$AW$4,$AW$3)</f>
        <v>0</v>
      </c>
      <c r="D82" s="135">
        <f>SUM($B$4:B82)-SUM($C$4:C82)</f>
        <v>112010</v>
      </c>
      <c r="E82" s="135" cm="1">
        <f t="array" ref="E82">SUM(VLOOKUP(H82:AE82,$AL$4:$AN$44,3,FALSE))</f>
        <v>0</v>
      </c>
      <c r="F82" s="135">
        <f>SUM($E$4:E82)+SUM($G$4:G82)</f>
        <v>9995</v>
      </c>
      <c r="G82" s="137">
        <v>0</v>
      </c>
      <c r="H82" s="137" t="s">
        <v>23</v>
      </c>
      <c r="I82" s="137" t="s">
        <v>23</v>
      </c>
      <c r="J82" s="137" t="s">
        <v>23</v>
      </c>
      <c r="K82" s="137" t="s">
        <v>23</v>
      </c>
      <c r="L82" s="137" t="s">
        <v>23</v>
      </c>
      <c r="M82" s="137" t="s">
        <v>23</v>
      </c>
      <c r="N82" s="138" t="s">
        <v>23</v>
      </c>
      <c r="O82" s="138" t="s">
        <v>23</v>
      </c>
      <c r="P82" s="137" t="s">
        <v>23</v>
      </c>
      <c r="Q82" s="137" t="s">
        <v>23</v>
      </c>
      <c r="R82" s="137" t="s">
        <v>23</v>
      </c>
      <c r="S82" s="137" t="s">
        <v>23</v>
      </c>
      <c r="T82" s="137" t="s">
        <v>23</v>
      </c>
      <c r="U82" s="137" t="s">
        <v>23</v>
      </c>
      <c r="V82" s="138" t="s">
        <v>23</v>
      </c>
      <c r="W82" s="138" t="s">
        <v>23</v>
      </c>
      <c r="X82" s="137" t="s">
        <v>23</v>
      </c>
      <c r="Y82" s="137" t="s">
        <v>23</v>
      </c>
      <c r="Z82" s="137" t="s">
        <v>23</v>
      </c>
      <c r="AA82" s="137" t="s">
        <v>23</v>
      </c>
      <c r="AB82" s="137" t="s">
        <v>23</v>
      </c>
      <c r="AC82" s="137" t="s">
        <v>23</v>
      </c>
      <c r="AD82" s="138" t="s">
        <v>23</v>
      </c>
      <c r="AE82" s="138" t="s">
        <v>23</v>
      </c>
      <c r="AF82" s="139">
        <v>0</v>
      </c>
      <c r="AG82" s="80"/>
      <c r="AH82" s="80"/>
      <c r="AI82" s="80"/>
      <c r="AJ82" s="8" t="s">
        <v>31</v>
      </c>
      <c r="AK82" s="110">
        <f t="shared" si="9"/>
        <v>50318.6</v>
      </c>
    </row>
    <row r="83" spans="1:37">
      <c r="A83" s="1">
        <v>44535</v>
      </c>
      <c r="B83" s="137">
        <v>1600</v>
      </c>
      <c r="C83" s="135" cm="1">
        <f t="array" ref="C83">(SUM(VLOOKUP(H83:AE83,$AL$4:$AN$44,2,FALSE))+AF83*10)*IF(AJ83="是",$AW$4,$AW$3)</f>
        <v>0</v>
      </c>
      <c r="D83" s="135">
        <f>SUM($B$4:B83)-SUM($C$4:C83)</f>
        <v>113610</v>
      </c>
      <c r="E83" s="135" cm="1">
        <f t="array" ref="E83">SUM(VLOOKUP(H83:AE83,$AL$4:$AN$44,3,FALSE))</f>
        <v>0</v>
      </c>
      <c r="F83" s="135">
        <f>SUM($E$4:E83)+SUM($G$4:G83)</f>
        <v>9995</v>
      </c>
      <c r="G83" s="137">
        <v>0</v>
      </c>
      <c r="H83" s="137" t="s">
        <v>23</v>
      </c>
      <c r="I83" s="137" t="s">
        <v>23</v>
      </c>
      <c r="J83" s="137" t="s">
        <v>23</v>
      </c>
      <c r="K83" s="137" t="s">
        <v>23</v>
      </c>
      <c r="L83" s="137" t="s">
        <v>23</v>
      </c>
      <c r="M83" s="137" t="s">
        <v>23</v>
      </c>
      <c r="N83" s="138" t="s">
        <v>23</v>
      </c>
      <c r="O83" s="138" t="s">
        <v>23</v>
      </c>
      <c r="P83" s="137" t="s">
        <v>23</v>
      </c>
      <c r="Q83" s="137" t="s">
        <v>23</v>
      </c>
      <c r="R83" s="137" t="s">
        <v>23</v>
      </c>
      <c r="S83" s="137" t="s">
        <v>23</v>
      </c>
      <c r="T83" s="137" t="s">
        <v>23</v>
      </c>
      <c r="U83" s="137" t="s">
        <v>23</v>
      </c>
      <c r="V83" s="138" t="s">
        <v>23</v>
      </c>
      <c r="W83" s="138" t="s">
        <v>23</v>
      </c>
      <c r="X83" s="137" t="s">
        <v>23</v>
      </c>
      <c r="Y83" s="137" t="s">
        <v>23</v>
      </c>
      <c r="Z83" s="137" t="s">
        <v>23</v>
      </c>
      <c r="AA83" s="137" t="s">
        <v>23</v>
      </c>
      <c r="AB83" s="137" t="s">
        <v>23</v>
      </c>
      <c r="AC83" s="137" t="s">
        <v>23</v>
      </c>
      <c r="AD83" s="138" t="s">
        <v>23</v>
      </c>
      <c r="AE83" s="138" t="s">
        <v>23</v>
      </c>
      <c r="AF83" s="139">
        <v>0</v>
      </c>
      <c r="AG83" s="80"/>
      <c r="AH83" s="80"/>
      <c r="AI83" s="80"/>
      <c r="AJ83" s="8" t="s">
        <v>31</v>
      </c>
      <c r="AK83" s="110">
        <f t="shared" si="9"/>
        <v>50894.6</v>
      </c>
    </row>
    <row r="84" spans="1:37">
      <c r="A84" s="1">
        <v>44536</v>
      </c>
      <c r="B84" s="135">
        <v>1600</v>
      </c>
      <c r="C84" s="135" cm="1">
        <f t="array" ref="C84">(SUM(VLOOKUP(H84:AE84,$AL$4:$AN$44,2,FALSE))+AF84*10)*IF(AJ84="是",$AW$4,$AW$3)</f>
        <v>0</v>
      </c>
      <c r="D84" s="135">
        <f>SUM($B$4:B84)-SUM($C$4:C84)</f>
        <v>115210</v>
      </c>
      <c r="E84" s="135" cm="1">
        <f t="array" ref="E84">SUM(VLOOKUP(H84:AE84,$AL$4:$AN$44,3,FALSE))</f>
        <v>0</v>
      </c>
      <c r="F84" s="135">
        <f>SUM($E$4:E84)+SUM($G$4:G84)</f>
        <v>10295</v>
      </c>
      <c r="G84" s="135">
        <v>300</v>
      </c>
      <c r="H84" s="137" t="s">
        <v>23</v>
      </c>
      <c r="I84" s="137" t="s">
        <v>23</v>
      </c>
      <c r="J84" s="137" t="s">
        <v>23</v>
      </c>
      <c r="K84" s="137" t="s">
        <v>23</v>
      </c>
      <c r="L84" s="137" t="s">
        <v>23</v>
      </c>
      <c r="M84" s="137" t="s">
        <v>23</v>
      </c>
      <c r="N84" s="138" t="s">
        <v>23</v>
      </c>
      <c r="O84" s="138" t="s">
        <v>23</v>
      </c>
      <c r="P84" s="137" t="s">
        <v>23</v>
      </c>
      <c r="Q84" s="137" t="s">
        <v>23</v>
      </c>
      <c r="R84" s="137" t="s">
        <v>23</v>
      </c>
      <c r="S84" s="137" t="s">
        <v>23</v>
      </c>
      <c r="T84" s="137" t="s">
        <v>23</v>
      </c>
      <c r="U84" s="137" t="s">
        <v>23</v>
      </c>
      <c r="V84" s="138" t="s">
        <v>23</v>
      </c>
      <c r="W84" s="138" t="s">
        <v>23</v>
      </c>
      <c r="X84" s="137" t="s">
        <v>23</v>
      </c>
      <c r="Y84" s="137" t="s">
        <v>23</v>
      </c>
      <c r="Z84" s="137" t="s">
        <v>23</v>
      </c>
      <c r="AA84" s="137" t="s">
        <v>23</v>
      </c>
      <c r="AB84" s="137" t="s">
        <v>23</v>
      </c>
      <c r="AC84" s="137" t="s">
        <v>23</v>
      </c>
      <c r="AD84" s="138" t="s">
        <v>23</v>
      </c>
      <c r="AE84" s="138" t="s">
        <v>23</v>
      </c>
      <c r="AF84" s="139">
        <v>0</v>
      </c>
      <c r="AG84" s="80"/>
      <c r="AH84" s="80"/>
      <c r="AI84" s="80"/>
      <c r="AJ84" s="8" t="s">
        <v>31</v>
      </c>
      <c r="AK84" s="110">
        <f t="shared" si="9"/>
        <v>51770.6</v>
      </c>
    </row>
    <row r="85" spans="1:37">
      <c r="A85" s="1">
        <v>44537</v>
      </c>
      <c r="B85" s="135">
        <v>1600</v>
      </c>
      <c r="C85" s="135" cm="1">
        <f t="array" ref="C85">(SUM(VLOOKUP(H85:AE85,$AL$4:$AN$44,2,FALSE))+AF85*10)*IF(AJ85="是",$AW$4,$AW$3)</f>
        <v>0</v>
      </c>
      <c r="D85" s="135">
        <f>SUM($B$4:B85)-SUM($C$4:C85)</f>
        <v>116810</v>
      </c>
      <c r="E85" s="135" cm="1">
        <f t="array" ref="E85">SUM(VLOOKUP(H85:AE85,$AL$4:$AN$44,3,FALSE))</f>
        <v>0</v>
      </c>
      <c r="F85" s="135">
        <f>SUM($E$4:E85)+SUM($G$4:G85)</f>
        <v>10295</v>
      </c>
      <c r="G85" s="135">
        <v>0</v>
      </c>
      <c r="H85" s="137" t="s">
        <v>23</v>
      </c>
      <c r="I85" s="137" t="s">
        <v>23</v>
      </c>
      <c r="J85" s="137" t="s">
        <v>23</v>
      </c>
      <c r="K85" s="137" t="s">
        <v>23</v>
      </c>
      <c r="L85" s="137" t="s">
        <v>23</v>
      </c>
      <c r="M85" s="137" t="s">
        <v>23</v>
      </c>
      <c r="N85" s="138" t="s">
        <v>23</v>
      </c>
      <c r="O85" s="138" t="s">
        <v>23</v>
      </c>
      <c r="P85" s="137" t="s">
        <v>23</v>
      </c>
      <c r="Q85" s="137" t="s">
        <v>23</v>
      </c>
      <c r="R85" s="137" t="s">
        <v>23</v>
      </c>
      <c r="S85" s="137" t="s">
        <v>23</v>
      </c>
      <c r="T85" s="137" t="s">
        <v>23</v>
      </c>
      <c r="U85" s="137" t="s">
        <v>23</v>
      </c>
      <c r="V85" s="138" t="s">
        <v>23</v>
      </c>
      <c r="W85" s="138" t="s">
        <v>23</v>
      </c>
      <c r="X85" s="137" t="s">
        <v>23</v>
      </c>
      <c r="Y85" s="137" t="s">
        <v>23</v>
      </c>
      <c r="Z85" s="137" t="s">
        <v>23</v>
      </c>
      <c r="AA85" s="137" t="s">
        <v>23</v>
      </c>
      <c r="AB85" s="137" t="s">
        <v>23</v>
      </c>
      <c r="AC85" s="137" t="s">
        <v>23</v>
      </c>
      <c r="AD85" s="138" t="s">
        <v>23</v>
      </c>
      <c r="AE85" s="138" t="s">
        <v>23</v>
      </c>
      <c r="AF85" s="139">
        <v>0</v>
      </c>
      <c r="AG85" s="80"/>
      <c r="AH85" s="80"/>
      <c r="AI85" s="80"/>
      <c r="AJ85" s="8" t="s">
        <v>31</v>
      </c>
      <c r="AK85" s="110">
        <f t="shared" si="9"/>
        <v>52346.6</v>
      </c>
    </row>
    <row r="86" spans="1:37">
      <c r="A86" s="1">
        <v>44538</v>
      </c>
      <c r="B86" s="135">
        <v>1600</v>
      </c>
      <c r="C86" s="135" cm="1">
        <f t="array" ref="C86">(SUM(VLOOKUP(H86:AE86,$AL$4:$AN$44,2,FALSE))+AF86*10)*IF(AJ86="是",$AW$4,$AW$3)</f>
        <v>0</v>
      </c>
      <c r="D86" s="135">
        <f>SUM($B$4:B86)-SUM($C$4:C86)</f>
        <v>118410</v>
      </c>
      <c r="E86" s="135" cm="1">
        <f t="array" ref="E86">SUM(VLOOKUP(H86:AE86,$AL$4:$AN$44,3,FALSE))</f>
        <v>0</v>
      </c>
      <c r="F86" s="135">
        <f>SUM($E$4:E86)+SUM($G$4:G86)</f>
        <v>10495</v>
      </c>
      <c r="G86" s="135">
        <v>200</v>
      </c>
      <c r="H86" s="137" t="s">
        <v>23</v>
      </c>
      <c r="I86" s="137" t="s">
        <v>23</v>
      </c>
      <c r="J86" s="137" t="s">
        <v>23</v>
      </c>
      <c r="K86" s="137" t="s">
        <v>23</v>
      </c>
      <c r="L86" s="137" t="s">
        <v>23</v>
      </c>
      <c r="M86" s="137" t="s">
        <v>23</v>
      </c>
      <c r="N86" s="138" t="s">
        <v>23</v>
      </c>
      <c r="O86" s="138" t="s">
        <v>23</v>
      </c>
      <c r="P86" s="137" t="s">
        <v>23</v>
      </c>
      <c r="Q86" s="137" t="s">
        <v>23</v>
      </c>
      <c r="R86" s="137" t="s">
        <v>23</v>
      </c>
      <c r="S86" s="137" t="s">
        <v>23</v>
      </c>
      <c r="T86" s="137" t="s">
        <v>23</v>
      </c>
      <c r="U86" s="137" t="s">
        <v>23</v>
      </c>
      <c r="V86" s="138" t="s">
        <v>23</v>
      </c>
      <c r="W86" s="138" t="s">
        <v>23</v>
      </c>
      <c r="X86" s="137" t="s">
        <v>23</v>
      </c>
      <c r="Y86" s="137" t="s">
        <v>23</v>
      </c>
      <c r="Z86" s="137" t="s">
        <v>23</v>
      </c>
      <c r="AA86" s="137" t="s">
        <v>23</v>
      </c>
      <c r="AB86" s="137" t="s">
        <v>23</v>
      </c>
      <c r="AC86" s="137" t="s">
        <v>23</v>
      </c>
      <c r="AD86" s="138" t="s">
        <v>23</v>
      </c>
      <c r="AE86" s="138" t="s">
        <v>23</v>
      </c>
      <c r="AF86" s="139">
        <v>0</v>
      </c>
      <c r="AG86" s="80"/>
      <c r="AH86" s="80">
        <v>1</v>
      </c>
      <c r="AI86" s="80"/>
      <c r="AJ86" s="8" t="s">
        <v>31</v>
      </c>
      <c r="AK86" s="110">
        <f t="shared" si="9"/>
        <v>53122.6</v>
      </c>
    </row>
    <row r="87" spans="1:37">
      <c r="A87" s="1">
        <v>44539</v>
      </c>
      <c r="B87" s="135">
        <v>1600</v>
      </c>
      <c r="C87" s="135" cm="1">
        <f t="array" ref="C87">(SUM(VLOOKUP(H87:AE87,$AL$4:$AN$44,2,FALSE))+AF87*10)*IF(AJ87="是",$AW$4,$AW$3)</f>
        <v>0</v>
      </c>
      <c r="D87" s="135">
        <f>SUM($B$4:B87)-SUM($C$4:C87)</f>
        <v>120010</v>
      </c>
      <c r="E87" s="135" cm="1">
        <f t="array" ref="E87">SUM(VLOOKUP(H87:AE87,$AL$4:$AN$44,3,FALSE))</f>
        <v>0</v>
      </c>
      <c r="F87" s="135">
        <f>SUM($E$4:E87)+SUM($G$4:G87)</f>
        <v>10495</v>
      </c>
      <c r="G87" s="135">
        <v>0</v>
      </c>
      <c r="H87" s="137" t="s">
        <v>23</v>
      </c>
      <c r="I87" s="137" t="s">
        <v>23</v>
      </c>
      <c r="J87" s="137" t="s">
        <v>23</v>
      </c>
      <c r="K87" s="137" t="s">
        <v>23</v>
      </c>
      <c r="L87" s="137" t="s">
        <v>23</v>
      </c>
      <c r="M87" s="137" t="s">
        <v>23</v>
      </c>
      <c r="N87" s="138" t="s">
        <v>23</v>
      </c>
      <c r="O87" s="138" t="s">
        <v>23</v>
      </c>
      <c r="P87" s="137" t="s">
        <v>23</v>
      </c>
      <c r="Q87" s="137" t="s">
        <v>23</v>
      </c>
      <c r="R87" s="137" t="s">
        <v>23</v>
      </c>
      <c r="S87" s="137" t="s">
        <v>23</v>
      </c>
      <c r="T87" s="137" t="s">
        <v>23</v>
      </c>
      <c r="U87" s="137" t="s">
        <v>23</v>
      </c>
      <c r="V87" s="138" t="s">
        <v>23</v>
      </c>
      <c r="W87" s="138" t="s">
        <v>23</v>
      </c>
      <c r="X87" s="137" t="s">
        <v>23</v>
      </c>
      <c r="Y87" s="137" t="s">
        <v>23</v>
      </c>
      <c r="Z87" s="137" t="s">
        <v>23</v>
      </c>
      <c r="AA87" s="137" t="s">
        <v>23</v>
      </c>
      <c r="AB87" s="137" t="s">
        <v>23</v>
      </c>
      <c r="AC87" s="137" t="s">
        <v>23</v>
      </c>
      <c r="AD87" s="138" t="s">
        <v>23</v>
      </c>
      <c r="AE87" s="138" t="s">
        <v>23</v>
      </c>
      <c r="AF87" s="139">
        <v>0</v>
      </c>
      <c r="AG87" s="80"/>
      <c r="AH87" s="80"/>
      <c r="AI87" s="80"/>
      <c r="AJ87" s="8" t="s">
        <v>31</v>
      </c>
      <c r="AK87" s="110">
        <f t="shared" si="9"/>
        <v>53698.6</v>
      </c>
    </row>
    <row r="88" spans="1:37">
      <c r="A88" s="1">
        <v>44540</v>
      </c>
      <c r="B88" s="135">
        <v>1600</v>
      </c>
      <c r="C88" s="135" cm="1">
        <f t="array" ref="C88">(SUM(VLOOKUP(H88:AE88,$AL$4:$AN$44,2,FALSE))+AF88*10)*IF(AJ88="是",$AW$4,$AW$3)</f>
        <v>0</v>
      </c>
      <c r="D88" s="135">
        <f>SUM($B$4:B88)-SUM($C$4:C88)</f>
        <v>121610</v>
      </c>
      <c r="E88" s="135" cm="1">
        <f t="array" ref="E88">SUM(VLOOKUP(H88:AE88,$AL$4:$AN$44,3,FALSE))</f>
        <v>0</v>
      </c>
      <c r="F88" s="135">
        <f>SUM($E$4:E88)+SUM($G$4:G88)</f>
        <v>10495</v>
      </c>
      <c r="G88" s="135">
        <v>0</v>
      </c>
      <c r="H88" s="137" t="s">
        <v>23</v>
      </c>
      <c r="I88" s="137" t="s">
        <v>23</v>
      </c>
      <c r="J88" s="137" t="s">
        <v>23</v>
      </c>
      <c r="K88" s="137" t="s">
        <v>23</v>
      </c>
      <c r="L88" s="137" t="s">
        <v>23</v>
      </c>
      <c r="M88" s="137" t="s">
        <v>23</v>
      </c>
      <c r="N88" s="138" t="s">
        <v>23</v>
      </c>
      <c r="O88" s="138" t="s">
        <v>23</v>
      </c>
      <c r="P88" s="137" t="s">
        <v>23</v>
      </c>
      <c r="Q88" s="137" t="s">
        <v>23</v>
      </c>
      <c r="R88" s="137" t="s">
        <v>23</v>
      </c>
      <c r="S88" s="137" t="s">
        <v>23</v>
      </c>
      <c r="T88" s="137" t="s">
        <v>23</v>
      </c>
      <c r="U88" s="137" t="s">
        <v>23</v>
      </c>
      <c r="V88" s="138" t="s">
        <v>23</v>
      </c>
      <c r="W88" s="138" t="s">
        <v>23</v>
      </c>
      <c r="X88" s="137" t="s">
        <v>23</v>
      </c>
      <c r="Y88" s="137" t="s">
        <v>23</v>
      </c>
      <c r="Z88" s="137" t="s">
        <v>23</v>
      </c>
      <c r="AA88" s="137" t="s">
        <v>23</v>
      </c>
      <c r="AB88" s="137" t="s">
        <v>23</v>
      </c>
      <c r="AC88" s="137" t="s">
        <v>23</v>
      </c>
      <c r="AD88" s="138" t="s">
        <v>23</v>
      </c>
      <c r="AE88" s="138" t="s">
        <v>23</v>
      </c>
      <c r="AF88" s="139">
        <v>0</v>
      </c>
      <c r="AG88" s="80"/>
      <c r="AH88" s="80">
        <v>2</v>
      </c>
      <c r="AI88" s="80"/>
      <c r="AJ88" s="8" t="s">
        <v>31</v>
      </c>
      <c r="AK88" s="110">
        <f t="shared" si="9"/>
        <v>54274.6</v>
      </c>
    </row>
    <row r="89" spans="1:37">
      <c r="A89" s="1">
        <v>44541</v>
      </c>
      <c r="B89" s="135">
        <v>1600</v>
      </c>
      <c r="C89" s="135" cm="1">
        <f t="array" ref="C89">(SUM(VLOOKUP(H89:AE89,$AL$4:$AN$44,2,FALSE))+AF89*10)*IF(AJ89="是",$AW$4,$AW$3)</f>
        <v>0</v>
      </c>
      <c r="D89" s="135">
        <f>SUM($B$4:B89)-SUM($C$4:C89)</f>
        <v>123210</v>
      </c>
      <c r="E89" s="135" cm="1">
        <f t="array" ref="E89">SUM(VLOOKUP(H89:AE89,$AL$4:$AN$44,3,FALSE))</f>
        <v>0</v>
      </c>
      <c r="F89" s="135">
        <f>SUM($E$4:E89)+SUM($G$4:G89)</f>
        <v>10495</v>
      </c>
      <c r="G89" s="135">
        <v>0</v>
      </c>
      <c r="H89" s="137" t="s">
        <v>23</v>
      </c>
      <c r="I89" s="137" t="s">
        <v>23</v>
      </c>
      <c r="J89" s="137" t="s">
        <v>23</v>
      </c>
      <c r="K89" s="137" t="s">
        <v>23</v>
      </c>
      <c r="L89" s="137" t="s">
        <v>23</v>
      </c>
      <c r="M89" s="137" t="s">
        <v>23</v>
      </c>
      <c r="N89" s="138" t="s">
        <v>23</v>
      </c>
      <c r="O89" s="138" t="s">
        <v>23</v>
      </c>
      <c r="P89" s="137" t="s">
        <v>23</v>
      </c>
      <c r="Q89" s="137" t="s">
        <v>23</v>
      </c>
      <c r="R89" s="137" t="s">
        <v>23</v>
      </c>
      <c r="S89" s="137" t="s">
        <v>23</v>
      </c>
      <c r="T89" s="137" t="s">
        <v>23</v>
      </c>
      <c r="U89" s="137" t="s">
        <v>23</v>
      </c>
      <c r="V89" s="138" t="s">
        <v>23</v>
      </c>
      <c r="W89" s="138" t="s">
        <v>23</v>
      </c>
      <c r="X89" s="137" t="s">
        <v>23</v>
      </c>
      <c r="Y89" s="137" t="s">
        <v>23</v>
      </c>
      <c r="Z89" s="137" t="s">
        <v>23</v>
      </c>
      <c r="AA89" s="137" t="s">
        <v>23</v>
      </c>
      <c r="AB89" s="137" t="s">
        <v>23</v>
      </c>
      <c r="AC89" s="137" t="s">
        <v>23</v>
      </c>
      <c r="AD89" s="138" t="s">
        <v>23</v>
      </c>
      <c r="AE89" s="138" t="s">
        <v>23</v>
      </c>
      <c r="AF89" s="139">
        <v>0</v>
      </c>
      <c r="AG89" s="80"/>
      <c r="AH89" s="80">
        <v>1</v>
      </c>
      <c r="AI89" s="80"/>
      <c r="AJ89" s="8" t="s">
        <v>31</v>
      </c>
      <c r="AK89" s="110">
        <f t="shared" si="9"/>
        <v>54850.6</v>
      </c>
    </row>
    <row r="90" spans="1:37">
      <c r="A90" s="1">
        <v>44542</v>
      </c>
      <c r="B90" s="135">
        <v>1600</v>
      </c>
      <c r="C90" s="135" cm="1">
        <f t="array" ref="C90">(SUM(VLOOKUP(H90:AE90,$AL$4:$AN$44,2,FALSE))+AF90*10)*IF(AJ90="是",$AW$4,$AW$3)</f>
        <v>0</v>
      </c>
      <c r="D90" s="135">
        <f>SUM($B$4:B90)-SUM($C$4:C90)</f>
        <v>124810</v>
      </c>
      <c r="E90" s="135" cm="1">
        <f t="array" ref="E90">SUM(VLOOKUP(H90:AE90,$AL$4:$AN$44,3,FALSE))</f>
        <v>0</v>
      </c>
      <c r="F90" s="135">
        <f>SUM($E$4:E90)+SUM($G$4:G90)</f>
        <v>10495</v>
      </c>
      <c r="G90" s="135">
        <v>0</v>
      </c>
      <c r="H90" s="137" t="s">
        <v>23</v>
      </c>
      <c r="I90" s="137" t="s">
        <v>23</v>
      </c>
      <c r="J90" s="137" t="s">
        <v>23</v>
      </c>
      <c r="K90" s="137" t="s">
        <v>23</v>
      </c>
      <c r="L90" s="137" t="s">
        <v>23</v>
      </c>
      <c r="M90" s="137" t="s">
        <v>23</v>
      </c>
      <c r="N90" s="138" t="s">
        <v>23</v>
      </c>
      <c r="O90" s="138" t="s">
        <v>23</v>
      </c>
      <c r="P90" s="137" t="s">
        <v>23</v>
      </c>
      <c r="Q90" s="137" t="s">
        <v>23</v>
      </c>
      <c r="R90" s="137" t="s">
        <v>23</v>
      </c>
      <c r="S90" s="137" t="s">
        <v>23</v>
      </c>
      <c r="T90" s="137" t="s">
        <v>23</v>
      </c>
      <c r="U90" s="137" t="s">
        <v>23</v>
      </c>
      <c r="V90" s="138" t="s">
        <v>23</v>
      </c>
      <c r="W90" s="138" t="s">
        <v>23</v>
      </c>
      <c r="X90" s="137" t="s">
        <v>23</v>
      </c>
      <c r="Y90" s="137" t="s">
        <v>23</v>
      </c>
      <c r="Z90" s="137" t="s">
        <v>23</v>
      </c>
      <c r="AA90" s="137" t="s">
        <v>23</v>
      </c>
      <c r="AB90" s="137" t="s">
        <v>23</v>
      </c>
      <c r="AC90" s="137" t="s">
        <v>23</v>
      </c>
      <c r="AD90" s="138" t="s">
        <v>23</v>
      </c>
      <c r="AE90" s="138" t="s">
        <v>23</v>
      </c>
      <c r="AF90" s="139">
        <v>0</v>
      </c>
      <c r="AG90" s="80"/>
      <c r="AH90" s="80">
        <v>1</v>
      </c>
      <c r="AI90" s="80"/>
      <c r="AJ90" s="8" t="s">
        <v>31</v>
      </c>
      <c r="AK90" s="110">
        <f t="shared" si="9"/>
        <v>55426.6</v>
      </c>
    </row>
    <row r="91" spans="1:37">
      <c r="A91" s="1">
        <v>44543</v>
      </c>
      <c r="B91" s="137">
        <v>1600</v>
      </c>
      <c r="C91" s="135" cm="1">
        <f t="array" ref="C91">(SUM(VLOOKUP(H91:AE91,$AL$4:$AN$44,2,FALSE))+AF91*10)*IF(AJ91="是",$AW$4,$AW$3)</f>
        <v>0</v>
      </c>
      <c r="D91" s="135">
        <f>SUM($B$4:B91)-SUM($C$4:C91)</f>
        <v>126410</v>
      </c>
      <c r="E91" s="135" cm="1">
        <f t="array" ref="E91">SUM(VLOOKUP(H91:AE91,$AL$4:$AN$44,3,FALSE))</f>
        <v>0</v>
      </c>
      <c r="F91" s="135">
        <f>SUM($E$4:E91)+SUM($G$4:G91)</f>
        <v>10795</v>
      </c>
      <c r="G91" s="137">
        <v>300</v>
      </c>
      <c r="H91" s="137" t="s">
        <v>23</v>
      </c>
      <c r="I91" s="137" t="s">
        <v>23</v>
      </c>
      <c r="J91" s="137" t="s">
        <v>23</v>
      </c>
      <c r="K91" s="137" t="s">
        <v>23</v>
      </c>
      <c r="L91" s="137" t="s">
        <v>23</v>
      </c>
      <c r="M91" s="137" t="s">
        <v>23</v>
      </c>
      <c r="N91" s="138" t="s">
        <v>23</v>
      </c>
      <c r="O91" s="138" t="s">
        <v>23</v>
      </c>
      <c r="P91" s="137" t="s">
        <v>23</v>
      </c>
      <c r="Q91" s="137" t="s">
        <v>23</v>
      </c>
      <c r="R91" s="137" t="s">
        <v>23</v>
      </c>
      <c r="S91" s="137" t="s">
        <v>23</v>
      </c>
      <c r="T91" s="137" t="s">
        <v>23</v>
      </c>
      <c r="U91" s="137" t="s">
        <v>23</v>
      </c>
      <c r="V91" s="138" t="s">
        <v>23</v>
      </c>
      <c r="W91" s="138" t="s">
        <v>23</v>
      </c>
      <c r="X91" s="137" t="s">
        <v>23</v>
      </c>
      <c r="Y91" s="137" t="s">
        <v>23</v>
      </c>
      <c r="Z91" s="137" t="s">
        <v>23</v>
      </c>
      <c r="AA91" s="137" t="s">
        <v>23</v>
      </c>
      <c r="AB91" s="137" t="s">
        <v>23</v>
      </c>
      <c r="AC91" s="137" t="s">
        <v>23</v>
      </c>
      <c r="AD91" s="138" t="s">
        <v>23</v>
      </c>
      <c r="AE91" s="138" t="s">
        <v>23</v>
      </c>
      <c r="AF91" s="139">
        <v>0</v>
      </c>
      <c r="AG91" s="80"/>
      <c r="AH91" s="80">
        <v>1</v>
      </c>
      <c r="AI91" s="80"/>
      <c r="AJ91" s="8" t="s">
        <v>31</v>
      </c>
      <c r="AK91" s="110">
        <f t="shared" si="9"/>
        <v>56302.6</v>
      </c>
    </row>
    <row r="92" spans="1:37">
      <c r="A92" s="1">
        <v>44544</v>
      </c>
      <c r="B92" s="137">
        <v>1600</v>
      </c>
      <c r="C92" s="135" cm="1">
        <f t="array" ref="C92">(SUM(VLOOKUP(H92:AE92,$AL$4:$AN$44,2,FALSE))+AF92*10)*IF(AJ92="是",$AW$4,$AW$3)</f>
        <v>0</v>
      </c>
      <c r="D92" s="135">
        <f>SUM($B$4:B92)-SUM($C$4:C92)</f>
        <v>128010</v>
      </c>
      <c r="E92" s="135" cm="1">
        <f t="array" ref="E92">SUM(VLOOKUP(H92:AE92,$AL$4:$AN$44,3,FALSE))</f>
        <v>0</v>
      </c>
      <c r="F92" s="135">
        <f>SUM($E$4:E92)+SUM($G$4:G92)</f>
        <v>10795</v>
      </c>
      <c r="G92" s="137">
        <v>0</v>
      </c>
      <c r="H92" s="137" t="s">
        <v>23</v>
      </c>
      <c r="I92" s="137" t="s">
        <v>23</v>
      </c>
      <c r="J92" s="137" t="s">
        <v>23</v>
      </c>
      <c r="K92" s="137" t="s">
        <v>23</v>
      </c>
      <c r="L92" s="137" t="s">
        <v>23</v>
      </c>
      <c r="M92" s="137" t="s">
        <v>23</v>
      </c>
      <c r="N92" s="138" t="s">
        <v>23</v>
      </c>
      <c r="O92" s="138" t="s">
        <v>23</v>
      </c>
      <c r="P92" s="137" t="s">
        <v>23</v>
      </c>
      <c r="Q92" s="137" t="s">
        <v>23</v>
      </c>
      <c r="R92" s="137" t="s">
        <v>23</v>
      </c>
      <c r="S92" s="137" t="s">
        <v>23</v>
      </c>
      <c r="T92" s="137" t="s">
        <v>23</v>
      </c>
      <c r="U92" s="137" t="s">
        <v>23</v>
      </c>
      <c r="V92" s="138" t="s">
        <v>23</v>
      </c>
      <c r="W92" s="138" t="s">
        <v>23</v>
      </c>
      <c r="X92" s="137" t="s">
        <v>23</v>
      </c>
      <c r="Y92" s="137" t="s">
        <v>23</v>
      </c>
      <c r="Z92" s="137" t="s">
        <v>23</v>
      </c>
      <c r="AA92" s="137" t="s">
        <v>23</v>
      </c>
      <c r="AB92" s="137" t="s">
        <v>23</v>
      </c>
      <c r="AC92" s="137" t="s">
        <v>23</v>
      </c>
      <c r="AD92" s="138" t="s">
        <v>23</v>
      </c>
      <c r="AE92" s="138" t="s">
        <v>23</v>
      </c>
      <c r="AF92" s="139">
        <v>0</v>
      </c>
      <c r="AG92" s="80"/>
      <c r="AH92" s="80"/>
      <c r="AI92" s="80"/>
      <c r="AJ92" s="8" t="s">
        <v>31</v>
      </c>
      <c r="AK92" s="110">
        <f t="shared" si="9"/>
        <v>56878.6</v>
      </c>
    </row>
    <row r="93" spans="1:37">
      <c r="A93" s="1">
        <v>44545</v>
      </c>
      <c r="B93" s="137">
        <v>1600</v>
      </c>
      <c r="C93" s="135" cm="1">
        <f t="array" ref="C93">(SUM(VLOOKUP(H93:AE93,$AL$4:$AN$44,2,FALSE))+AF93*10)*IF(AJ93="是",$AW$4,$AW$3)</f>
        <v>0</v>
      </c>
      <c r="D93" s="135">
        <f>SUM($B$4:B93)-SUM($C$4:C93)</f>
        <v>129610</v>
      </c>
      <c r="E93" s="135" cm="1">
        <f t="array" ref="E93">SUM(VLOOKUP(H93:AE93,$AL$4:$AN$44,3,FALSE))</f>
        <v>0</v>
      </c>
      <c r="F93" s="135">
        <f>SUM($E$4:E93)+SUM($G$4:G93)</f>
        <v>10995</v>
      </c>
      <c r="G93" s="137">
        <v>200</v>
      </c>
      <c r="H93" s="137" t="s">
        <v>23</v>
      </c>
      <c r="I93" s="137" t="s">
        <v>23</v>
      </c>
      <c r="J93" s="137" t="s">
        <v>23</v>
      </c>
      <c r="K93" s="137" t="s">
        <v>23</v>
      </c>
      <c r="L93" s="137" t="s">
        <v>23</v>
      </c>
      <c r="M93" s="137" t="s">
        <v>23</v>
      </c>
      <c r="N93" s="138" t="s">
        <v>23</v>
      </c>
      <c r="O93" s="138" t="s">
        <v>23</v>
      </c>
      <c r="P93" s="137" t="s">
        <v>23</v>
      </c>
      <c r="Q93" s="137" t="s">
        <v>23</v>
      </c>
      <c r="R93" s="137" t="s">
        <v>23</v>
      </c>
      <c r="S93" s="137" t="s">
        <v>23</v>
      </c>
      <c r="T93" s="137" t="s">
        <v>23</v>
      </c>
      <c r="U93" s="137" t="s">
        <v>23</v>
      </c>
      <c r="V93" s="138" t="s">
        <v>23</v>
      </c>
      <c r="W93" s="138" t="s">
        <v>23</v>
      </c>
      <c r="X93" s="137" t="s">
        <v>23</v>
      </c>
      <c r="Y93" s="137" t="s">
        <v>23</v>
      </c>
      <c r="Z93" s="137" t="s">
        <v>23</v>
      </c>
      <c r="AA93" s="137" t="s">
        <v>23</v>
      </c>
      <c r="AB93" s="137" t="s">
        <v>23</v>
      </c>
      <c r="AC93" s="137" t="s">
        <v>23</v>
      </c>
      <c r="AD93" s="138" t="s">
        <v>23</v>
      </c>
      <c r="AE93" s="138" t="s">
        <v>23</v>
      </c>
      <c r="AF93" s="139">
        <v>0</v>
      </c>
      <c r="AG93" s="80"/>
      <c r="AH93" s="80">
        <v>1</v>
      </c>
      <c r="AI93" s="80"/>
      <c r="AJ93" s="8" t="s">
        <v>31</v>
      </c>
      <c r="AK93" s="110">
        <f t="shared" si="9"/>
        <v>57654.6</v>
      </c>
    </row>
    <row r="94" spans="1:37" ht="15.75" thickBot="1">
      <c r="A94" s="1">
        <v>44546</v>
      </c>
      <c r="B94" s="137">
        <v>1600</v>
      </c>
      <c r="C94" s="135" cm="1">
        <f t="array" ref="C94">(SUM(VLOOKUP(H94:AE94,$AL$4:$AN$44,2,FALSE))+AF94*10)*IF(AJ94="是",$AW$4,$AW$3)</f>
        <v>0</v>
      </c>
      <c r="D94" s="135">
        <f>SUM($B$4:B94)-SUM($C$4:C94)</f>
        <v>131210</v>
      </c>
      <c r="E94" s="135" cm="1">
        <f t="array" ref="E94">SUM(VLOOKUP(H94:AE94,$AL$4:$AN$44,3,FALSE))</f>
        <v>0</v>
      </c>
      <c r="F94" s="135">
        <f>SUM($E$4:E94)+SUM($G$4:G94)</f>
        <v>10995</v>
      </c>
      <c r="G94" s="137">
        <v>0</v>
      </c>
      <c r="H94" s="137" t="s">
        <v>23</v>
      </c>
      <c r="I94" s="137" t="s">
        <v>23</v>
      </c>
      <c r="J94" s="137" t="s">
        <v>23</v>
      </c>
      <c r="K94" s="137" t="s">
        <v>23</v>
      </c>
      <c r="L94" s="137" t="s">
        <v>23</v>
      </c>
      <c r="M94" s="137" t="s">
        <v>23</v>
      </c>
      <c r="N94" s="138" t="s">
        <v>23</v>
      </c>
      <c r="O94" s="138" t="s">
        <v>23</v>
      </c>
      <c r="P94" s="137" t="s">
        <v>23</v>
      </c>
      <c r="Q94" s="137" t="s">
        <v>23</v>
      </c>
      <c r="R94" s="137" t="s">
        <v>23</v>
      </c>
      <c r="S94" s="137" t="s">
        <v>23</v>
      </c>
      <c r="T94" s="137" t="s">
        <v>23</v>
      </c>
      <c r="U94" s="137" t="s">
        <v>23</v>
      </c>
      <c r="V94" s="138" t="s">
        <v>23</v>
      </c>
      <c r="W94" s="138" t="s">
        <v>23</v>
      </c>
      <c r="X94" s="137" t="s">
        <v>23</v>
      </c>
      <c r="Y94" s="137" t="s">
        <v>23</v>
      </c>
      <c r="Z94" s="137" t="s">
        <v>23</v>
      </c>
      <c r="AA94" s="137" t="s">
        <v>23</v>
      </c>
      <c r="AB94" s="137" t="s">
        <v>23</v>
      </c>
      <c r="AC94" s="137" t="s">
        <v>23</v>
      </c>
      <c r="AD94" s="138" t="s">
        <v>23</v>
      </c>
      <c r="AE94" s="138" t="s">
        <v>23</v>
      </c>
      <c r="AF94" s="139">
        <v>0</v>
      </c>
      <c r="AG94" s="80"/>
      <c r="AH94" s="80"/>
      <c r="AI94" s="80"/>
      <c r="AJ94" s="9" t="s">
        <v>31</v>
      </c>
      <c r="AK94" s="110">
        <f t="shared" si="9"/>
        <v>58230.6</v>
      </c>
    </row>
    <row r="96" spans="1:37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{EEC9A141-3F83-4E99-83B5-23040526FBC7}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EC9A141-3F83-4E99-83B5-23040526FBC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BBFE3-0F85-4F0E-90D1-D72D6DBF89F1}">
  <dimension ref="A1:AY101"/>
  <sheetViews>
    <sheetView topLeftCell="A55" zoomScale="85" zoomScaleNormal="85" workbookViewId="0">
      <selection activeCell="AI2" sqref="AI2"/>
    </sheetView>
  </sheetViews>
  <sheetFormatPr defaultRowHeight="15"/>
  <cols>
    <col min="1" max="1" width="11.85546875" bestFit="1" customWidth="1"/>
    <col min="2" max="2" width="9" customWidth="1"/>
    <col min="3" max="3" width="5.7109375" bestFit="1" customWidth="1"/>
    <col min="4" max="4" width="6.42578125" customWidth="1"/>
    <col min="5" max="5" width="5.7109375" bestFit="1" customWidth="1"/>
    <col min="6" max="6" width="6.5703125" customWidth="1"/>
    <col min="7" max="7" width="5" bestFit="1" customWidth="1"/>
    <col min="8" max="14" width="7.28515625" customWidth="1"/>
    <col min="15" max="15" width="7.140625" customWidth="1"/>
    <col min="16" max="23" width="7.28515625" customWidth="1"/>
    <col min="24" max="31" width="7.28515625" hidden="1" customWidth="1"/>
    <col min="32" max="32" width="5.140625" bestFit="1" customWidth="1"/>
    <col min="33" max="35" width="5.140625" customWidth="1"/>
    <col min="36" max="36" width="5.140625" bestFit="1" customWidth="1"/>
  </cols>
  <sheetData>
    <row r="1" spans="1:51" ht="28.15" customHeight="1" thickBot="1">
      <c r="A1" s="117">
        <f ca="1">(_xlfn.DAYS(TODAY(),A4)+2)/((_xlfn.DAYS(A94,A4))+1)</f>
        <v>0.69230769230769229</v>
      </c>
      <c r="B1" s="118"/>
      <c r="C1" s="118"/>
      <c r="D1" s="118"/>
      <c r="E1" s="118"/>
      <c r="F1" s="118"/>
      <c r="G1" s="119"/>
      <c r="H1" s="120" t="s">
        <v>37</v>
      </c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2"/>
      <c r="AG1" s="42"/>
      <c r="AH1" s="42"/>
      <c r="AI1" s="42"/>
      <c r="AL1" s="116" t="s">
        <v>42</v>
      </c>
      <c r="AM1" s="116"/>
      <c r="AN1" s="116"/>
    </row>
    <row r="2" spans="1:51" ht="16.149999999999999" customHeight="1" thickBot="1">
      <c r="A2" t="s">
        <v>74</v>
      </c>
      <c r="B2" s="51"/>
      <c r="C2" s="124" t="s">
        <v>35</v>
      </c>
      <c r="D2" s="125"/>
      <c r="E2" s="126">
        <f>SUM(E4:E94)+SUM(G4:G94)</f>
        <v>61465</v>
      </c>
      <c r="F2" s="126"/>
      <c r="G2" s="127"/>
      <c r="H2" s="128" t="s">
        <v>48</v>
      </c>
      <c r="I2" s="129"/>
      <c r="J2" s="101" t="s">
        <v>46</v>
      </c>
      <c r="K2" s="101">
        <f>COUNTIF(H4:O94,"&lt;&gt;空")-3</f>
        <v>553</v>
      </c>
      <c r="L2" s="129" t="s">
        <v>45</v>
      </c>
      <c r="M2" s="129"/>
      <c r="N2" s="129"/>
      <c r="O2" s="130"/>
      <c r="P2" s="131" t="s">
        <v>49</v>
      </c>
      <c r="Q2" s="111"/>
      <c r="R2" s="100" t="s">
        <v>46</v>
      </c>
      <c r="S2" s="100">
        <f>COUNTIF(P4:W94,"&lt;&gt;空")</f>
        <v>470</v>
      </c>
      <c r="T2" s="111" t="s">
        <v>45</v>
      </c>
      <c r="U2" s="111"/>
      <c r="V2" s="111"/>
      <c r="W2" s="112"/>
      <c r="X2" s="131" t="s">
        <v>33</v>
      </c>
      <c r="Y2" s="111"/>
      <c r="Z2" s="58" t="s">
        <v>44</v>
      </c>
      <c r="AA2" s="100">
        <f>COUNTIF(X4:AE94,"&lt;&gt;空")</f>
        <v>0</v>
      </c>
      <c r="AB2" s="111" t="s">
        <v>45</v>
      </c>
      <c r="AC2" s="111"/>
      <c r="AD2" s="111"/>
      <c r="AE2" s="112"/>
      <c r="AF2" s="41">
        <f>SUM(AF4:AF94)</f>
        <v>33</v>
      </c>
      <c r="AG2" s="41">
        <f t="shared" ref="AG2:AI2" si="0">SUM(AG4:AG94)</f>
        <v>14</v>
      </c>
      <c r="AH2" s="41">
        <f>SUM(AH4:AH94)</f>
        <v>19</v>
      </c>
      <c r="AI2" s="41">
        <f t="shared" si="0"/>
        <v>0</v>
      </c>
      <c r="AJ2" s="113" t="s">
        <v>29</v>
      </c>
      <c r="AL2" s="123"/>
      <c r="AM2" s="123"/>
      <c r="AN2" s="123"/>
      <c r="AV2" s="10"/>
      <c r="AW2" s="11" t="s">
        <v>32</v>
      </c>
    </row>
    <row r="3" spans="1:51" ht="60.75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60">
        <v>1</v>
      </c>
      <c r="Q3" s="61">
        <v>2</v>
      </c>
      <c r="R3" s="61">
        <v>3</v>
      </c>
      <c r="S3" s="61">
        <v>4</v>
      </c>
      <c r="T3" s="61">
        <v>5</v>
      </c>
      <c r="U3" s="61">
        <v>6</v>
      </c>
      <c r="V3" s="61">
        <v>7</v>
      </c>
      <c r="W3" s="61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114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.75" thickBot="1">
      <c r="A4" s="76">
        <v>44456</v>
      </c>
      <c r="B4" s="90">
        <v>800</v>
      </c>
      <c r="C4" s="90" cm="1">
        <f t="array" ref="C4">(SUM(VLOOKUP(H4:AE4,$AL$4:$AN$44,2,FALSE))+AF4*10)*IF(AJ4="是",$AW$4,$AW$3)</f>
        <v>750</v>
      </c>
      <c r="D4" s="90">
        <f>SUM($B$4:B4)-SUM($C$4:C4)</f>
        <v>50</v>
      </c>
      <c r="E4" s="90" cm="1">
        <f t="array" ref="E4">SUM(VLOOKUP(H4:AE4,$AL$4:$AN$44,3,FALSE))</f>
        <v>175</v>
      </c>
      <c r="F4" s="90">
        <f>SUM($E$4:E4)+SUM($G$4:G4)</f>
        <v>175</v>
      </c>
      <c r="G4" s="90">
        <v>0</v>
      </c>
      <c r="H4" s="96" t="s">
        <v>16</v>
      </c>
      <c r="I4" s="96" t="s">
        <v>16</v>
      </c>
      <c r="J4" s="96" t="s">
        <v>16</v>
      </c>
      <c r="K4" s="96" t="s">
        <v>16</v>
      </c>
      <c r="L4" s="96" t="s">
        <v>16</v>
      </c>
      <c r="M4" s="89" t="s">
        <v>23</v>
      </c>
      <c r="N4" s="93" t="s">
        <v>23</v>
      </c>
      <c r="O4" s="93" t="s">
        <v>23</v>
      </c>
      <c r="P4" s="89" t="s">
        <v>23</v>
      </c>
      <c r="Q4" s="89" t="s">
        <v>23</v>
      </c>
      <c r="R4" s="89" t="s">
        <v>23</v>
      </c>
      <c r="S4" s="89" t="s">
        <v>23</v>
      </c>
      <c r="T4" s="89" t="s">
        <v>23</v>
      </c>
      <c r="U4" s="89" t="s">
        <v>23</v>
      </c>
      <c r="V4" s="93" t="s">
        <v>23</v>
      </c>
      <c r="W4" s="93" t="s">
        <v>23</v>
      </c>
      <c r="X4" s="89" t="s">
        <v>23</v>
      </c>
      <c r="Y4" s="89" t="s">
        <v>23</v>
      </c>
      <c r="Z4" s="89" t="s">
        <v>23</v>
      </c>
      <c r="AA4" s="89" t="s">
        <v>23</v>
      </c>
      <c r="AB4" s="89" t="s">
        <v>23</v>
      </c>
      <c r="AC4" s="89" t="s">
        <v>23</v>
      </c>
      <c r="AD4" s="93" t="s">
        <v>23</v>
      </c>
      <c r="AE4" s="93" t="s">
        <v>23</v>
      </c>
      <c r="AF4" s="94">
        <v>0</v>
      </c>
      <c r="AG4" s="94"/>
      <c r="AH4" s="94"/>
      <c r="AI4" s="94"/>
      <c r="AJ4" s="95" t="s">
        <v>30</v>
      </c>
      <c r="AL4" s="20" t="s">
        <v>16</v>
      </c>
      <c r="AM4" s="19">
        <v>150</v>
      </c>
      <c r="AN4" s="19">
        <v>35</v>
      </c>
      <c r="AO4" s="19">
        <f t="shared" ref="AO4:AO26" si="1">COUNTIF($H$4:$O$94,AL4)</f>
        <v>14</v>
      </c>
      <c r="AP4" s="19">
        <f>COUNTIF($P$4:$W$94,AL4)</f>
        <v>10</v>
      </c>
      <c r="AQ4" s="19">
        <f>COUNTIF($X$4:$AE$94,AL4)</f>
        <v>0</v>
      </c>
      <c r="AR4" s="19">
        <f>AO4+AP4+AQ4</f>
        <v>24</v>
      </c>
      <c r="AS4" s="50">
        <f>AO4*$AN4</f>
        <v>490</v>
      </c>
      <c r="AT4" s="50">
        <f t="shared" ref="AT4:AU19" si="2">AP4*$AN4</f>
        <v>350</v>
      </c>
      <c r="AU4" s="50">
        <f t="shared" si="2"/>
        <v>0</v>
      </c>
      <c r="AV4" s="45" t="s">
        <v>26</v>
      </c>
      <c r="AW4" s="15">
        <v>0.8</v>
      </c>
      <c r="AY4">
        <f>AM4*0.8</f>
        <v>120</v>
      </c>
    </row>
    <row r="5" spans="1:51">
      <c r="A5" s="76">
        <v>44457</v>
      </c>
      <c r="B5" s="90">
        <v>1600</v>
      </c>
      <c r="C5" s="90" cm="1">
        <f t="array" ref="C5">(SUM(VLOOKUP(H5:AE5,$AL$4:$AN$44,2,FALSE))+AF5*10)*IF(AJ5="是",$AW$4,$AW$3)</f>
        <v>900</v>
      </c>
      <c r="D5" s="90">
        <f>SUM($B$4:B5)-SUM($C$4:C5)</f>
        <v>750</v>
      </c>
      <c r="E5" s="90" cm="1">
        <f t="array" ref="E5">SUM(VLOOKUP(H5:AE5,$AL$4:$AN$44,3,FALSE))</f>
        <v>210</v>
      </c>
      <c r="F5" s="90">
        <f>SUM($E$4:E5)+SUM($G$4:G5)</f>
        <v>885</v>
      </c>
      <c r="G5" s="90">
        <v>500</v>
      </c>
      <c r="H5" s="96" t="s">
        <v>16</v>
      </c>
      <c r="I5" s="96" t="s">
        <v>16</v>
      </c>
      <c r="J5" s="96" t="s">
        <v>16</v>
      </c>
      <c r="K5" s="96" t="s">
        <v>16</v>
      </c>
      <c r="L5" s="96" t="s">
        <v>16</v>
      </c>
      <c r="M5" s="96" t="s">
        <v>16</v>
      </c>
      <c r="N5" s="93" t="s">
        <v>23</v>
      </c>
      <c r="O5" s="93" t="s">
        <v>23</v>
      </c>
      <c r="P5" s="89" t="s">
        <v>23</v>
      </c>
      <c r="Q5" s="89" t="s">
        <v>23</v>
      </c>
      <c r="R5" s="89" t="s">
        <v>23</v>
      </c>
      <c r="S5" s="89" t="s">
        <v>23</v>
      </c>
      <c r="T5" s="89" t="s">
        <v>23</v>
      </c>
      <c r="U5" s="89" t="s">
        <v>23</v>
      </c>
      <c r="V5" s="93" t="s">
        <v>23</v>
      </c>
      <c r="W5" s="93" t="s">
        <v>23</v>
      </c>
      <c r="X5" s="89" t="s">
        <v>23</v>
      </c>
      <c r="Y5" s="89" t="s">
        <v>23</v>
      </c>
      <c r="Z5" s="89" t="s">
        <v>23</v>
      </c>
      <c r="AA5" s="89" t="s">
        <v>23</v>
      </c>
      <c r="AB5" s="89" t="s">
        <v>23</v>
      </c>
      <c r="AC5" s="89" t="s">
        <v>23</v>
      </c>
      <c r="AD5" s="93" t="s">
        <v>23</v>
      </c>
      <c r="AE5" s="93" t="s">
        <v>23</v>
      </c>
      <c r="AF5" s="94">
        <v>0</v>
      </c>
      <c r="AG5" s="94"/>
      <c r="AH5" s="94"/>
      <c r="AI5" s="94"/>
      <c r="AJ5" s="95" t="s">
        <v>30</v>
      </c>
      <c r="AL5" s="21" t="s">
        <v>17</v>
      </c>
      <c r="AM5" s="19">
        <v>160</v>
      </c>
      <c r="AN5" s="19">
        <v>40</v>
      </c>
      <c r="AO5" s="19">
        <f t="shared" si="1"/>
        <v>20</v>
      </c>
      <c r="AP5" s="19">
        <f t="shared" ref="AP5:AP26" si="3">COUNTIF($P$4:$W$94,AL5)</f>
        <v>11</v>
      </c>
      <c r="AQ5" s="19">
        <f t="shared" ref="AQ5:AQ26" si="4">COUNTIF($X$4:$AE$94,AL5)</f>
        <v>0</v>
      </c>
      <c r="AR5" s="19">
        <f t="shared" ref="AR5:AR26" si="5">AO5+AP5+AQ5</f>
        <v>31</v>
      </c>
      <c r="AS5" s="50">
        <f t="shared" ref="AS5:AU28" si="6">AO5*$AN5</f>
        <v>800</v>
      </c>
      <c r="AT5" s="50">
        <f t="shared" si="2"/>
        <v>440</v>
      </c>
      <c r="AU5" s="50">
        <f t="shared" si="2"/>
        <v>0</v>
      </c>
      <c r="AV5" s="115" t="s">
        <v>34</v>
      </c>
      <c r="AW5" s="115"/>
      <c r="AY5">
        <f t="shared" ref="AY5:AY28" si="7">AM5*0.8</f>
        <v>128</v>
      </c>
    </row>
    <row r="6" spans="1:51">
      <c r="A6" s="76">
        <v>44458</v>
      </c>
      <c r="B6" s="90">
        <v>1600</v>
      </c>
      <c r="C6" s="90" cm="1">
        <f t="array" ref="C6">(SUM(VLOOKUP(H6:AE6,$AL$4:$AN$44,2,FALSE))+AF6*10)*IF(AJ6="是",$AW$4,$AW$3)</f>
        <v>760</v>
      </c>
      <c r="D6" s="90">
        <f>SUM($B$4:B6)-SUM($C$4:C6)</f>
        <v>1590</v>
      </c>
      <c r="E6" s="90" cm="1">
        <f t="array" ref="E6">SUM(VLOOKUP(H6:AE6,$AL$4:$AN$44,3,FALSE))</f>
        <v>205</v>
      </c>
      <c r="F6" s="90">
        <f>SUM($E$4:E6)+SUM($G$4:G6)</f>
        <v>1090</v>
      </c>
      <c r="G6" s="90">
        <v>0</v>
      </c>
      <c r="H6" s="96" t="s">
        <v>16</v>
      </c>
      <c r="I6" s="96" t="s">
        <v>16</v>
      </c>
      <c r="J6" s="97" t="s">
        <v>12</v>
      </c>
      <c r="K6" s="96" t="s">
        <v>16</v>
      </c>
      <c r="L6" s="91" t="s">
        <v>17</v>
      </c>
      <c r="M6" s="97" t="s">
        <v>12</v>
      </c>
      <c r="N6" s="93" t="s">
        <v>23</v>
      </c>
      <c r="O6" s="93" t="s">
        <v>23</v>
      </c>
      <c r="P6" s="89" t="s">
        <v>23</v>
      </c>
      <c r="Q6" s="89" t="s">
        <v>23</v>
      </c>
      <c r="R6" s="89" t="s">
        <v>23</v>
      </c>
      <c r="S6" s="89" t="s">
        <v>23</v>
      </c>
      <c r="T6" s="89" t="s">
        <v>23</v>
      </c>
      <c r="U6" s="89" t="s">
        <v>23</v>
      </c>
      <c r="V6" s="93" t="s">
        <v>23</v>
      </c>
      <c r="W6" s="93" t="s">
        <v>23</v>
      </c>
      <c r="X6" s="89" t="s">
        <v>23</v>
      </c>
      <c r="Y6" s="89" t="s">
        <v>23</v>
      </c>
      <c r="Z6" s="89" t="s">
        <v>23</v>
      </c>
      <c r="AA6" s="89" t="s">
        <v>23</v>
      </c>
      <c r="AB6" s="89" t="s">
        <v>23</v>
      </c>
      <c r="AC6" s="89" t="s">
        <v>23</v>
      </c>
      <c r="AD6" s="93" t="s">
        <v>23</v>
      </c>
      <c r="AE6" s="93" t="s">
        <v>23</v>
      </c>
      <c r="AF6" s="94">
        <v>5</v>
      </c>
      <c r="AG6" s="94">
        <v>5</v>
      </c>
      <c r="AH6" s="94"/>
      <c r="AI6" s="94"/>
      <c r="AJ6" s="95" t="s">
        <v>30</v>
      </c>
      <c r="AL6" s="22" t="s">
        <v>18</v>
      </c>
      <c r="AM6" s="19">
        <v>170</v>
      </c>
      <c r="AN6" s="19">
        <v>45</v>
      </c>
      <c r="AO6" s="19">
        <f t="shared" si="1"/>
        <v>105</v>
      </c>
      <c r="AP6" s="19">
        <f t="shared" si="3"/>
        <v>84</v>
      </c>
      <c r="AQ6" s="19">
        <f t="shared" si="4"/>
        <v>0</v>
      </c>
      <c r="AR6" s="19">
        <f t="shared" si="5"/>
        <v>189</v>
      </c>
      <c r="AS6" s="50">
        <f t="shared" si="6"/>
        <v>4725</v>
      </c>
      <c r="AT6" s="50">
        <f t="shared" si="2"/>
        <v>3780</v>
      </c>
      <c r="AU6" s="50">
        <f t="shared" si="2"/>
        <v>0</v>
      </c>
      <c r="AV6" s="116"/>
      <c r="AW6" s="116"/>
      <c r="AY6">
        <f t="shared" si="7"/>
        <v>136</v>
      </c>
    </row>
    <row r="7" spans="1:51">
      <c r="A7" s="76">
        <v>44459</v>
      </c>
      <c r="B7" s="89">
        <v>1600</v>
      </c>
      <c r="C7" s="90" cm="1">
        <f t="array" ref="C7">(SUM(VLOOKUP(H7:AE7,$AL$4:$AN$44,2,FALSE))+AF7*10)*IF(AJ7="是",$AW$4,$AW$3)</f>
        <v>970</v>
      </c>
      <c r="D7" s="89">
        <f>SUM($B$4:B7)-SUM($C$4:C7)</f>
        <v>2220</v>
      </c>
      <c r="E7" s="90" cm="1">
        <f t="array" ref="E7">SUM(VLOOKUP(H7:AE7,$AL$4:$AN$44,3,FALSE))</f>
        <v>250</v>
      </c>
      <c r="F7" s="90">
        <f>SUM($E$4:E7)+SUM($G$4:G7)</f>
        <v>1640</v>
      </c>
      <c r="G7" s="89">
        <v>300</v>
      </c>
      <c r="H7" s="91" t="s">
        <v>17</v>
      </c>
      <c r="I7" s="91" t="s">
        <v>17</v>
      </c>
      <c r="J7" s="91" t="s">
        <v>6</v>
      </c>
      <c r="K7" s="91" t="s">
        <v>17</v>
      </c>
      <c r="L7" s="92" t="s">
        <v>18</v>
      </c>
      <c r="M7" s="92" t="s">
        <v>18</v>
      </c>
      <c r="N7" s="93" t="s">
        <v>23</v>
      </c>
      <c r="O7" s="93" t="s">
        <v>23</v>
      </c>
      <c r="P7" s="89" t="s">
        <v>23</v>
      </c>
      <c r="Q7" s="89" t="s">
        <v>23</v>
      </c>
      <c r="R7" s="89" t="s">
        <v>23</v>
      </c>
      <c r="S7" s="89" t="s">
        <v>23</v>
      </c>
      <c r="T7" s="89" t="s">
        <v>23</v>
      </c>
      <c r="U7" s="89" t="s">
        <v>23</v>
      </c>
      <c r="V7" s="93" t="s">
        <v>23</v>
      </c>
      <c r="W7" s="93" t="s">
        <v>23</v>
      </c>
      <c r="X7" s="89" t="s">
        <v>23</v>
      </c>
      <c r="Y7" s="89" t="s">
        <v>23</v>
      </c>
      <c r="Z7" s="89" t="s">
        <v>23</v>
      </c>
      <c r="AA7" s="89" t="s">
        <v>23</v>
      </c>
      <c r="AB7" s="89" t="s">
        <v>23</v>
      </c>
      <c r="AC7" s="89" t="s">
        <v>23</v>
      </c>
      <c r="AD7" s="93" t="s">
        <v>23</v>
      </c>
      <c r="AE7" s="93" t="s">
        <v>23</v>
      </c>
      <c r="AF7" s="94">
        <v>0</v>
      </c>
      <c r="AG7" s="94"/>
      <c r="AH7" s="94"/>
      <c r="AI7" s="94"/>
      <c r="AJ7" s="95" t="s">
        <v>30</v>
      </c>
      <c r="AL7" s="23" t="s">
        <v>19</v>
      </c>
      <c r="AM7" s="19">
        <v>180</v>
      </c>
      <c r="AN7" s="19">
        <v>50</v>
      </c>
      <c r="AO7" s="19">
        <f t="shared" si="1"/>
        <v>137</v>
      </c>
      <c r="AP7" s="19">
        <f t="shared" si="3"/>
        <v>130</v>
      </c>
      <c r="AQ7" s="19">
        <f t="shared" si="4"/>
        <v>0</v>
      </c>
      <c r="AR7" s="71">
        <f t="shared" si="5"/>
        <v>267</v>
      </c>
      <c r="AS7" s="50">
        <f t="shared" si="6"/>
        <v>6850</v>
      </c>
      <c r="AT7" s="50">
        <f t="shared" si="2"/>
        <v>6500</v>
      </c>
      <c r="AU7" s="50">
        <f t="shared" si="2"/>
        <v>0</v>
      </c>
      <c r="AV7" s="116"/>
      <c r="AW7" s="116"/>
      <c r="AY7">
        <f t="shared" si="7"/>
        <v>144</v>
      </c>
    </row>
    <row r="8" spans="1:51">
      <c r="A8" s="76">
        <v>44460</v>
      </c>
      <c r="B8" s="89">
        <v>1600</v>
      </c>
      <c r="C8" s="90" cm="1">
        <f t="array" ref="C8">(SUM(VLOOKUP(H8:AE8,$AL$4:$AN$44,2,FALSE))+AF8*10)*IF(AJ8="是",$AW$4,$AW$3)</f>
        <v>1030</v>
      </c>
      <c r="D8" s="89">
        <f>SUM($B$4:B8)-SUM($C$4:C8)</f>
        <v>2790</v>
      </c>
      <c r="E8" s="90" cm="1">
        <f t="array" ref="E8">SUM(VLOOKUP(H8:AE8,$AL$4:$AN$44,3,FALSE))</f>
        <v>270</v>
      </c>
      <c r="F8" s="90">
        <f>SUM($E$4:E8)+SUM($G$4:G8)</f>
        <v>1910</v>
      </c>
      <c r="G8" s="89">
        <v>0</v>
      </c>
      <c r="H8" s="92" t="s">
        <v>18</v>
      </c>
      <c r="I8" s="92" t="s">
        <v>18</v>
      </c>
      <c r="J8" s="99" t="s">
        <v>72</v>
      </c>
      <c r="K8" s="92" t="s">
        <v>18</v>
      </c>
      <c r="L8" s="92" t="s">
        <v>18</v>
      </c>
      <c r="M8" s="92" t="s">
        <v>18</v>
      </c>
      <c r="N8" s="93" t="s">
        <v>23</v>
      </c>
      <c r="O8" s="93" t="s">
        <v>23</v>
      </c>
      <c r="P8" s="89" t="s">
        <v>23</v>
      </c>
      <c r="Q8" s="89" t="s">
        <v>23</v>
      </c>
      <c r="R8" s="89" t="s">
        <v>23</v>
      </c>
      <c r="S8" s="89" t="s">
        <v>23</v>
      </c>
      <c r="T8" s="89" t="s">
        <v>23</v>
      </c>
      <c r="U8" s="89" t="s">
        <v>23</v>
      </c>
      <c r="V8" s="93" t="s">
        <v>23</v>
      </c>
      <c r="W8" s="93" t="s">
        <v>23</v>
      </c>
      <c r="X8" s="89" t="s">
        <v>23</v>
      </c>
      <c r="Y8" s="89" t="s">
        <v>23</v>
      </c>
      <c r="Z8" s="89" t="s">
        <v>23</v>
      </c>
      <c r="AA8" s="89" t="s">
        <v>23</v>
      </c>
      <c r="AB8" s="89" t="s">
        <v>23</v>
      </c>
      <c r="AC8" s="89" t="s">
        <v>23</v>
      </c>
      <c r="AD8" s="93" t="s">
        <v>23</v>
      </c>
      <c r="AE8" s="93" t="s">
        <v>23</v>
      </c>
      <c r="AF8" s="94">
        <v>1</v>
      </c>
      <c r="AG8" s="94">
        <v>1</v>
      </c>
      <c r="AH8" s="94"/>
      <c r="AI8" s="94"/>
      <c r="AJ8" s="95" t="s">
        <v>30</v>
      </c>
      <c r="AL8" s="24" t="s">
        <v>20</v>
      </c>
      <c r="AM8" s="19">
        <v>190</v>
      </c>
      <c r="AN8" s="19">
        <v>55</v>
      </c>
      <c r="AO8" s="19">
        <f t="shared" si="1"/>
        <v>116</v>
      </c>
      <c r="AP8" s="19">
        <f t="shared" si="3"/>
        <v>120</v>
      </c>
      <c r="AQ8" s="19">
        <f t="shared" si="4"/>
        <v>0</v>
      </c>
      <c r="AR8" s="71">
        <f t="shared" si="5"/>
        <v>236</v>
      </c>
      <c r="AS8" s="50">
        <f t="shared" si="6"/>
        <v>6380</v>
      </c>
      <c r="AT8" s="50">
        <f t="shared" si="2"/>
        <v>6600</v>
      </c>
      <c r="AU8" s="50">
        <f t="shared" si="2"/>
        <v>0</v>
      </c>
      <c r="AV8" s="116"/>
      <c r="AW8" s="116"/>
      <c r="AY8">
        <f t="shared" si="7"/>
        <v>152</v>
      </c>
    </row>
    <row r="9" spans="1:51">
      <c r="A9" s="76">
        <v>44461</v>
      </c>
      <c r="B9" s="89">
        <v>1600</v>
      </c>
      <c r="C9" s="90" cm="1">
        <f t="array" ref="C9">(SUM(VLOOKUP(H9:AE9,$AL$4:$AN$44,2,FALSE))+AF9*10)*IF(AJ9="是",$AW$4,$AW$3)</f>
        <v>1020</v>
      </c>
      <c r="D9" s="89">
        <f>SUM($B$4:B9)-SUM($C$4:C9)</f>
        <v>3370</v>
      </c>
      <c r="E9" s="90" cm="1">
        <f t="array" ref="E9">SUM(VLOOKUP(H9:AE9,$AL$4:$AN$44,3,FALSE))</f>
        <v>270</v>
      </c>
      <c r="F9" s="90">
        <f>SUM($E$4:E9)+SUM($G$4:G9)</f>
        <v>2380</v>
      </c>
      <c r="G9" s="89">
        <v>200</v>
      </c>
      <c r="H9" s="92" t="s">
        <v>18</v>
      </c>
      <c r="I9" s="92" t="s">
        <v>18</v>
      </c>
      <c r="J9" s="92" t="s">
        <v>18</v>
      </c>
      <c r="K9" s="92" t="s">
        <v>18</v>
      </c>
      <c r="L9" s="92" t="s">
        <v>18</v>
      </c>
      <c r="M9" s="92" t="s">
        <v>18</v>
      </c>
      <c r="N9" s="93" t="s">
        <v>23</v>
      </c>
      <c r="O9" s="93" t="s">
        <v>23</v>
      </c>
      <c r="P9" s="89" t="s">
        <v>23</v>
      </c>
      <c r="Q9" s="89" t="s">
        <v>23</v>
      </c>
      <c r="R9" s="89" t="s">
        <v>23</v>
      </c>
      <c r="S9" s="89" t="s">
        <v>23</v>
      </c>
      <c r="T9" s="89" t="s">
        <v>23</v>
      </c>
      <c r="U9" s="89" t="s">
        <v>23</v>
      </c>
      <c r="V9" s="93" t="s">
        <v>23</v>
      </c>
      <c r="W9" s="93" t="s">
        <v>23</v>
      </c>
      <c r="X9" s="89" t="s">
        <v>23</v>
      </c>
      <c r="Y9" s="89" t="s">
        <v>23</v>
      </c>
      <c r="Z9" s="89" t="s">
        <v>23</v>
      </c>
      <c r="AA9" s="89" t="s">
        <v>23</v>
      </c>
      <c r="AB9" s="89" t="s">
        <v>23</v>
      </c>
      <c r="AC9" s="89" t="s">
        <v>23</v>
      </c>
      <c r="AD9" s="93" t="s">
        <v>23</v>
      </c>
      <c r="AE9" s="93" t="s">
        <v>23</v>
      </c>
      <c r="AF9" s="94">
        <v>0</v>
      </c>
      <c r="AG9" s="94"/>
      <c r="AH9" s="94"/>
      <c r="AI9" s="94"/>
      <c r="AJ9" s="95" t="s">
        <v>30</v>
      </c>
      <c r="AL9" s="25" t="s">
        <v>21</v>
      </c>
      <c r="AM9" s="19">
        <v>200</v>
      </c>
      <c r="AN9" s="19">
        <v>60</v>
      </c>
      <c r="AO9" s="19">
        <f t="shared" si="1"/>
        <v>118</v>
      </c>
      <c r="AP9" s="19">
        <f t="shared" si="3"/>
        <v>76</v>
      </c>
      <c r="AQ9" s="19">
        <f t="shared" si="4"/>
        <v>0</v>
      </c>
      <c r="AR9" s="71">
        <f t="shared" si="5"/>
        <v>194</v>
      </c>
      <c r="AS9" s="50">
        <f t="shared" si="6"/>
        <v>7080</v>
      </c>
      <c r="AT9" s="50">
        <f t="shared" si="2"/>
        <v>4560</v>
      </c>
      <c r="AU9" s="50">
        <f t="shared" si="2"/>
        <v>0</v>
      </c>
      <c r="AY9">
        <f t="shared" si="7"/>
        <v>160</v>
      </c>
    </row>
    <row r="10" spans="1:51">
      <c r="A10" s="76">
        <v>44462</v>
      </c>
      <c r="B10" s="89">
        <v>1600</v>
      </c>
      <c r="C10" s="90" cm="1">
        <f t="array" ref="C10">(SUM(VLOOKUP(H10:AE10,$AL$4:$AN$44,2,FALSE))+AF10*10)*IF(AJ10="是",$AW$4,$AW$3)</f>
        <v>870</v>
      </c>
      <c r="D10" s="89">
        <f>SUM($B$4:B10)-SUM($C$4:C10)</f>
        <v>4100</v>
      </c>
      <c r="E10" s="90" cm="1">
        <f t="array" ref="E10">SUM(VLOOKUP(H10:AE10,$AL$4:$AN$44,3,FALSE))</f>
        <v>245</v>
      </c>
      <c r="F10" s="90">
        <f>SUM($E$4:E10)+SUM($G$4:G10)</f>
        <v>2625</v>
      </c>
      <c r="G10" s="89">
        <v>0</v>
      </c>
      <c r="H10" s="91" t="s">
        <v>6</v>
      </c>
      <c r="I10" s="91" t="s">
        <v>17</v>
      </c>
      <c r="J10" s="92" t="s">
        <v>18</v>
      </c>
      <c r="K10" s="92" t="s">
        <v>18</v>
      </c>
      <c r="L10" s="97" t="s">
        <v>12</v>
      </c>
      <c r="M10" s="92" t="s">
        <v>18</v>
      </c>
      <c r="N10" s="93" t="s">
        <v>23</v>
      </c>
      <c r="O10" s="93" t="s">
        <v>23</v>
      </c>
      <c r="P10" s="89" t="s">
        <v>23</v>
      </c>
      <c r="Q10" s="89" t="s">
        <v>23</v>
      </c>
      <c r="R10" s="89" t="s">
        <v>23</v>
      </c>
      <c r="S10" s="89" t="s">
        <v>23</v>
      </c>
      <c r="T10" s="89" t="s">
        <v>23</v>
      </c>
      <c r="U10" s="89" t="s">
        <v>23</v>
      </c>
      <c r="V10" s="93" t="s">
        <v>23</v>
      </c>
      <c r="W10" s="93" t="s">
        <v>23</v>
      </c>
      <c r="X10" s="89" t="s">
        <v>23</v>
      </c>
      <c r="Y10" s="89" t="s">
        <v>23</v>
      </c>
      <c r="Z10" s="89" t="s">
        <v>23</v>
      </c>
      <c r="AA10" s="89" t="s">
        <v>23</v>
      </c>
      <c r="AB10" s="89" t="s">
        <v>23</v>
      </c>
      <c r="AC10" s="89" t="s">
        <v>23</v>
      </c>
      <c r="AD10" s="93" t="s">
        <v>23</v>
      </c>
      <c r="AE10" s="93" t="s">
        <v>23</v>
      </c>
      <c r="AF10" s="94">
        <v>0</v>
      </c>
      <c r="AG10" s="94"/>
      <c r="AH10" s="94"/>
      <c r="AI10" s="94"/>
      <c r="AJ10" s="95" t="s">
        <v>30</v>
      </c>
      <c r="AL10" s="20" t="s">
        <v>5</v>
      </c>
      <c r="AM10" s="19">
        <v>150</v>
      </c>
      <c r="AN10" s="19">
        <v>35</v>
      </c>
      <c r="AO10" s="19">
        <f t="shared" si="1"/>
        <v>0</v>
      </c>
      <c r="AP10" s="19">
        <f t="shared" si="3"/>
        <v>0</v>
      </c>
      <c r="AQ10" s="19">
        <f t="shared" si="4"/>
        <v>0</v>
      </c>
      <c r="AR10" s="19">
        <f t="shared" si="5"/>
        <v>0</v>
      </c>
      <c r="AS10" s="50">
        <f t="shared" si="6"/>
        <v>0</v>
      </c>
      <c r="AT10" s="50">
        <f t="shared" si="2"/>
        <v>0</v>
      </c>
      <c r="AU10" s="50">
        <f t="shared" si="2"/>
        <v>0</v>
      </c>
      <c r="AY10">
        <f t="shared" si="7"/>
        <v>120</v>
      </c>
    </row>
    <row r="11" spans="1:51">
      <c r="A11" s="76">
        <v>44463</v>
      </c>
      <c r="B11" s="89">
        <v>1600</v>
      </c>
      <c r="C11" s="90" cm="1">
        <f t="array" ref="C11">(SUM(VLOOKUP(H11:AE11,$AL$4:$AN$44,2,FALSE))+AF11*10)*IF(AJ11="是",$AW$4,$AW$3)</f>
        <v>1170</v>
      </c>
      <c r="D11" s="89">
        <f>SUM($B$4:B11)-SUM($C$4:C11)</f>
        <v>4530</v>
      </c>
      <c r="E11" s="90" cm="1">
        <f t="array" ref="E11">SUM(VLOOKUP(H11:AE11,$AL$4:$AN$44,3,FALSE))</f>
        <v>470</v>
      </c>
      <c r="F11" s="90">
        <f>SUM($E$4:E11)+SUM($G$4:G11)</f>
        <v>3095</v>
      </c>
      <c r="G11" s="89">
        <v>0</v>
      </c>
      <c r="H11" s="99" t="s">
        <v>72</v>
      </c>
      <c r="I11" s="92" t="s">
        <v>18</v>
      </c>
      <c r="J11" s="92" t="s">
        <v>18</v>
      </c>
      <c r="K11" s="102" t="s">
        <v>13</v>
      </c>
      <c r="L11" s="92" t="s">
        <v>18</v>
      </c>
      <c r="M11" s="99" t="s">
        <v>71</v>
      </c>
      <c r="N11" s="92" t="s">
        <v>18</v>
      </c>
      <c r="O11" s="92" t="s">
        <v>18</v>
      </c>
      <c r="P11" s="89" t="s">
        <v>23</v>
      </c>
      <c r="Q11" s="89" t="s">
        <v>23</v>
      </c>
      <c r="R11" s="89" t="s">
        <v>23</v>
      </c>
      <c r="S11" s="89" t="s">
        <v>23</v>
      </c>
      <c r="T11" s="89" t="s">
        <v>23</v>
      </c>
      <c r="U11" s="89" t="s">
        <v>23</v>
      </c>
      <c r="V11" s="93" t="s">
        <v>23</v>
      </c>
      <c r="W11" s="93" t="s">
        <v>23</v>
      </c>
      <c r="X11" s="89" t="s">
        <v>23</v>
      </c>
      <c r="Y11" s="89" t="s">
        <v>23</v>
      </c>
      <c r="Z11" s="89" t="s">
        <v>23</v>
      </c>
      <c r="AA11" s="89" t="s">
        <v>23</v>
      </c>
      <c r="AB11" s="89" t="s">
        <v>23</v>
      </c>
      <c r="AC11" s="89" t="s">
        <v>23</v>
      </c>
      <c r="AD11" s="93" t="s">
        <v>23</v>
      </c>
      <c r="AE11" s="93" t="s">
        <v>23</v>
      </c>
      <c r="AF11" s="94">
        <v>5</v>
      </c>
      <c r="AG11" s="94">
        <v>5</v>
      </c>
      <c r="AH11" s="94"/>
      <c r="AI11" s="94"/>
      <c r="AJ11" s="95" t="s">
        <v>30</v>
      </c>
      <c r="AL11" s="21" t="s">
        <v>6</v>
      </c>
      <c r="AM11" s="19">
        <v>150</v>
      </c>
      <c r="AN11" s="19">
        <v>40</v>
      </c>
      <c r="AO11" s="19">
        <f t="shared" si="1"/>
        <v>5</v>
      </c>
      <c r="AP11" s="19">
        <f t="shared" si="3"/>
        <v>1</v>
      </c>
      <c r="AQ11" s="19">
        <f t="shared" si="4"/>
        <v>0</v>
      </c>
      <c r="AR11" s="19">
        <f t="shared" si="5"/>
        <v>6</v>
      </c>
      <c r="AS11" s="50">
        <f t="shared" si="6"/>
        <v>200</v>
      </c>
      <c r="AT11" s="50">
        <f t="shared" si="2"/>
        <v>40</v>
      </c>
      <c r="AU11" s="50">
        <f t="shared" si="2"/>
        <v>0</v>
      </c>
      <c r="AY11">
        <f t="shared" si="7"/>
        <v>120</v>
      </c>
    </row>
    <row r="12" spans="1:51">
      <c r="A12" s="76">
        <v>44464</v>
      </c>
      <c r="B12" s="89">
        <v>1600</v>
      </c>
      <c r="C12" s="90" cm="1">
        <f t="array" ref="C12">(SUM(VLOOKUP(H12:AE12,$AL$4:$AN$44,2,FALSE))+AF12*10)*IF(AJ12="是",$AW$4,$AW$3)</f>
        <v>1020</v>
      </c>
      <c r="D12" s="89">
        <f>SUM($B$4:B12)-SUM($C$4:C12)</f>
        <v>5110</v>
      </c>
      <c r="E12" s="90" cm="1">
        <f t="array" ref="E12">SUM(VLOOKUP(H12:AE12,$AL$4:$AN$44,3,FALSE))</f>
        <v>270</v>
      </c>
      <c r="F12" s="90">
        <f>SUM($E$4:E12)+SUM($G$4:G12)</f>
        <v>3365</v>
      </c>
      <c r="G12" s="89">
        <v>0</v>
      </c>
      <c r="H12" s="92" t="s">
        <v>18</v>
      </c>
      <c r="I12" s="92" t="s">
        <v>18</v>
      </c>
      <c r="J12" s="92" t="s">
        <v>18</v>
      </c>
      <c r="K12" s="92" t="s">
        <v>18</v>
      </c>
      <c r="L12" s="92" t="s">
        <v>18</v>
      </c>
      <c r="M12" s="92" t="s">
        <v>18</v>
      </c>
      <c r="N12" s="93" t="s">
        <v>23</v>
      </c>
      <c r="O12" s="93" t="s">
        <v>23</v>
      </c>
      <c r="P12" s="89" t="s">
        <v>23</v>
      </c>
      <c r="Q12" s="89" t="s">
        <v>23</v>
      </c>
      <c r="R12" s="89" t="s">
        <v>23</v>
      </c>
      <c r="S12" s="89" t="s">
        <v>23</v>
      </c>
      <c r="T12" s="89" t="s">
        <v>23</v>
      </c>
      <c r="U12" s="89" t="s">
        <v>23</v>
      </c>
      <c r="V12" s="93" t="s">
        <v>23</v>
      </c>
      <c r="W12" s="93" t="s">
        <v>23</v>
      </c>
      <c r="X12" s="89" t="s">
        <v>23</v>
      </c>
      <c r="Y12" s="89" t="s">
        <v>23</v>
      </c>
      <c r="Z12" s="89" t="s">
        <v>23</v>
      </c>
      <c r="AA12" s="89" t="s">
        <v>23</v>
      </c>
      <c r="AB12" s="89" t="s">
        <v>23</v>
      </c>
      <c r="AC12" s="89" t="s">
        <v>23</v>
      </c>
      <c r="AD12" s="93" t="s">
        <v>23</v>
      </c>
      <c r="AE12" s="93" t="s">
        <v>23</v>
      </c>
      <c r="AF12" s="94">
        <v>0</v>
      </c>
      <c r="AG12" s="94"/>
      <c r="AH12" s="94"/>
      <c r="AI12" s="94"/>
      <c r="AJ12" s="95" t="s">
        <v>30</v>
      </c>
      <c r="AL12" s="22" t="s">
        <v>7</v>
      </c>
      <c r="AM12" s="19">
        <v>150</v>
      </c>
      <c r="AN12" s="19">
        <v>45</v>
      </c>
      <c r="AO12" s="19">
        <f t="shared" si="1"/>
        <v>4</v>
      </c>
      <c r="AP12" s="19">
        <f t="shared" si="3"/>
        <v>2</v>
      </c>
      <c r="AQ12" s="19">
        <f t="shared" si="4"/>
        <v>0</v>
      </c>
      <c r="AR12" s="19">
        <f t="shared" si="5"/>
        <v>6</v>
      </c>
      <c r="AS12" s="50">
        <f t="shared" si="6"/>
        <v>180</v>
      </c>
      <c r="AT12" s="50">
        <f t="shared" si="2"/>
        <v>90</v>
      </c>
      <c r="AU12" s="50">
        <f t="shared" si="2"/>
        <v>0</v>
      </c>
      <c r="AY12">
        <f t="shared" si="7"/>
        <v>120</v>
      </c>
    </row>
    <row r="13" spans="1:51">
      <c r="A13" s="76">
        <v>44465</v>
      </c>
      <c r="B13" s="89">
        <v>1600</v>
      </c>
      <c r="C13" s="90" cm="1">
        <f t="array" ref="C13">(SUM(VLOOKUP(H13:AE13,$AL$4:$AN$44,2,FALSE))+AF13*10)*IF(AJ13="是",$AW$4,$AW$3)</f>
        <v>1100</v>
      </c>
      <c r="D13" s="89">
        <f>SUM($B$4:B13)-SUM($C$4:C13)</f>
        <v>5610</v>
      </c>
      <c r="E13" s="90" cm="1">
        <f t="array" ref="E13">SUM(VLOOKUP(H13:AE13,$AL$4:$AN$44,3,FALSE))</f>
        <v>425</v>
      </c>
      <c r="F13" s="90">
        <f>SUM($E$4:E13)+SUM($G$4:G13)</f>
        <v>3790</v>
      </c>
      <c r="G13" s="89">
        <v>0</v>
      </c>
      <c r="H13" s="99" t="s">
        <v>72</v>
      </c>
      <c r="I13" s="92" t="s">
        <v>18</v>
      </c>
      <c r="J13" s="92" t="s">
        <v>18</v>
      </c>
      <c r="K13" s="92" t="s">
        <v>18</v>
      </c>
      <c r="L13" s="92" t="s">
        <v>18</v>
      </c>
      <c r="M13" s="99" t="s">
        <v>71</v>
      </c>
      <c r="N13" s="93" t="s">
        <v>23</v>
      </c>
      <c r="O13" s="93" t="s">
        <v>23</v>
      </c>
      <c r="P13" s="89" t="s">
        <v>23</v>
      </c>
      <c r="Q13" s="89" t="s">
        <v>23</v>
      </c>
      <c r="R13" s="89" t="s">
        <v>23</v>
      </c>
      <c r="S13" s="89" t="s">
        <v>23</v>
      </c>
      <c r="T13" s="89" t="s">
        <v>23</v>
      </c>
      <c r="U13" s="89" t="s">
        <v>23</v>
      </c>
      <c r="V13" s="93" t="s">
        <v>23</v>
      </c>
      <c r="W13" s="93" t="s">
        <v>23</v>
      </c>
      <c r="X13" s="89" t="s">
        <v>23</v>
      </c>
      <c r="Y13" s="89" t="s">
        <v>23</v>
      </c>
      <c r="Z13" s="89" t="s">
        <v>23</v>
      </c>
      <c r="AA13" s="89" t="s">
        <v>23</v>
      </c>
      <c r="AB13" s="89" t="s">
        <v>23</v>
      </c>
      <c r="AC13" s="89" t="s">
        <v>23</v>
      </c>
      <c r="AD13" s="93" t="s">
        <v>23</v>
      </c>
      <c r="AE13" s="93" t="s">
        <v>23</v>
      </c>
      <c r="AF13" s="94">
        <v>0</v>
      </c>
      <c r="AG13" s="94"/>
      <c r="AH13" s="94"/>
      <c r="AI13" s="94"/>
      <c r="AJ13" s="95" t="s">
        <v>30</v>
      </c>
      <c r="AL13" s="23" t="s">
        <v>8</v>
      </c>
      <c r="AM13" s="19">
        <v>150</v>
      </c>
      <c r="AN13" s="19">
        <v>50</v>
      </c>
      <c r="AO13" s="19">
        <f t="shared" si="1"/>
        <v>1</v>
      </c>
      <c r="AP13" s="19">
        <f t="shared" si="3"/>
        <v>3</v>
      </c>
      <c r="AQ13" s="19">
        <f t="shared" si="4"/>
        <v>0</v>
      </c>
      <c r="AR13" s="19">
        <f t="shared" si="5"/>
        <v>4</v>
      </c>
      <c r="AS13" s="50">
        <f t="shared" si="6"/>
        <v>50</v>
      </c>
      <c r="AT13" s="50">
        <f t="shared" si="2"/>
        <v>150</v>
      </c>
      <c r="AU13" s="50">
        <f t="shared" si="2"/>
        <v>0</v>
      </c>
      <c r="AY13">
        <f t="shared" si="7"/>
        <v>120</v>
      </c>
    </row>
    <row r="14" spans="1:51">
      <c r="A14" s="76">
        <v>44466</v>
      </c>
      <c r="B14" s="90">
        <v>1600</v>
      </c>
      <c r="C14" s="90" cm="1">
        <f t="array" ref="C14">(SUM(VLOOKUP(H14:AE14,$AL$4:$AN$44,2,FALSE))+AF14*10)*IF(AJ14="是",$AW$4,$AW$3)</f>
        <v>890</v>
      </c>
      <c r="D14" s="90">
        <f>SUM($B$4:B14)-SUM($C$4:C14)</f>
        <v>6320</v>
      </c>
      <c r="E14" s="90" cm="1">
        <f t="array" ref="E14">SUM(VLOOKUP(H14:AE14,$AL$4:$AN$44,3,FALSE))</f>
        <v>250</v>
      </c>
      <c r="F14" s="90">
        <f>SUM($E$4:E14)+SUM($G$4:G14)</f>
        <v>4340</v>
      </c>
      <c r="G14" s="90">
        <v>300</v>
      </c>
      <c r="H14" s="92" t="s">
        <v>18</v>
      </c>
      <c r="I14" s="92" t="s">
        <v>18</v>
      </c>
      <c r="J14" s="97" t="s">
        <v>12</v>
      </c>
      <c r="K14" s="92" t="s">
        <v>18</v>
      </c>
      <c r="L14" s="92" t="s">
        <v>18</v>
      </c>
      <c r="M14" s="91" t="s">
        <v>17</v>
      </c>
      <c r="N14" s="93" t="s">
        <v>23</v>
      </c>
      <c r="O14" s="93" t="s">
        <v>23</v>
      </c>
      <c r="P14" s="89" t="s">
        <v>23</v>
      </c>
      <c r="Q14" s="89" t="s">
        <v>23</v>
      </c>
      <c r="R14" s="89" t="s">
        <v>23</v>
      </c>
      <c r="S14" s="89" t="s">
        <v>23</v>
      </c>
      <c r="T14" s="89" t="s">
        <v>23</v>
      </c>
      <c r="U14" s="89" t="s">
        <v>23</v>
      </c>
      <c r="V14" s="93" t="s">
        <v>23</v>
      </c>
      <c r="W14" s="93" t="s">
        <v>23</v>
      </c>
      <c r="X14" s="89" t="s">
        <v>23</v>
      </c>
      <c r="Y14" s="89" t="s">
        <v>23</v>
      </c>
      <c r="Z14" s="89" t="s">
        <v>23</v>
      </c>
      <c r="AA14" s="89" t="s">
        <v>23</v>
      </c>
      <c r="AB14" s="89" t="s">
        <v>23</v>
      </c>
      <c r="AC14" s="89" t="s">
        <v>23</v>
      </c>
      <c r="AD14" s="93" t="s">
        <v>23</v>
      </c>
      <c r="AE14" s="93" t="s">
        <v>23</v>
      </c>
      <c r="AF14" s="94">
        <v>0</v>
      </c>
      <c r="AG14" s="94"/>
      <c r="AH14" s="94"/>
      <c r="AI14" s="94"/>
      <c r="AJ14" s="95" t="s">
        <v>30</v>
      </c>
      <c r="AL14" s="24" t="s">
        <v>9</v>
      </c>
      <c r="AM14" s="19">
        <v>150</v>
      </c>
      <c r="AN14" s="19">
        <v>55</v>
      </c>
      <c r="AO14" s="19">
        <f t="shared" si="1"/>
        <v>1</v>
      </c>
      <c r="AP14" s="19">
        <f t="shared" si="3"/>
        <v>2</v>
      </c>
      <c r="AQ14" s="19">
        <f t="shared" si="4"/>
        <v>0</v>
      </c>
      <c r="AR14" s="19">
        <f t="shared" si="5"/>
        <v>3</v>
      </c>
      <c r="AS14" s="50">
        <f t="shared" si="6"/>
        <v>55</v>
      </c>
      <c r="AT14" s="50">
        <f t="shared" si="2"/>
        <v>110</v>
      </c>
      <c r="AU14" s="50">
        <f t="shared" si="2"/>
        <v>0</v>
      </c>
      <c r="AY14">
        <f t="shared" si="7"/>
        <v>120</v>
      </c>
    </row>
    <row r="15" spans="1:51">
      <c r="A15" s="76">
        <v>44467</v>
      </c>
      <c r="B15" s="90">
        <v>1600</v>
      </c>
      <c r="C15" s="90" cm="1">
        <f t="array" ref="C15">(SUM(VLOOKUP(H15:AE15,$AL$4:$AN$44,2,FALSE))+AF15*10)*IF(AJ15="是",$AW$4,$AW$3)</f>
        <v>970</v>
      </c>
      <c r="D15" s="90">
        <f>SUM($B$4:B15)-SUM($C$4:C15)</f>
        <v>6950</v>
      </c>
      <c r="E15" s="90" cm="1">
        <f t="array" ref="E15">SUM(VLOOKUP(H15:AE15,$AL$4:$AN$44,3,FALSE))</f>
        <v>250</v>
      </c>
      <c r="F15" s="90">
        <f>SUM($E$4:E15)+SUM($G$4:G15)</f>
        <v>4590</v>
      </c>
      <c r="G15" s="90">
        <v>0</v>
      </c>
      <c r="H15" s="91" t="s">
        <v>17</v>
      </c>
      <c r="I15" s="91" t="s">
        <v>17</v>
      </c>
      <c r="J15" s="91" t="s">
        <v>17</v>
      </c>
      <c r="K15" s="105" t="s">
        <v>6</v>
      </c>
      <c r="L15" s="92" t="s">
        <v>18</v>
      </c>
      <c r="M15" s="99" t="s">
        <v>72</v>
      </c>
      <c r="N15" s="93" t="s">
        <v>23</v>
      </c>
      <c r="O15" s="93" t="s">
        <v>23</v>
      </c>
      <c r="P15" s="89" t="s">
        <v>23</v>
      </c>
      <c r="Q15" s="89" t="s">
        <v>23</v>
      </c>
      <c r="R15" s="89" t="s">
        <v>23</v>
      </c>
      <c r="S15" s="89" t="s">
        <v>23</v>
      </c>
      <c r="T15" s="89" t="s">
        <v>23</v>
      </c>
      <c r="U15" s="89" t="s">
        <v>23</v>
      </c>
      <c r="V15" s="93" t="s">
        <v>23</v>
      </c>
      <c r="W15" s="93" t="s">
        <v>23</v>
      </c>
      <c r="X15" s="89" t="s">
        <v>23</v>
      </c>
      <c r="Y15" s="89" t="s">
        <v>23</v>
      </c>
      <c r="Z15" s="89" t="s">
        <v>23</v>
      </c>
      <c r="AA15" s="89" t="s">
        <v>23</v>
      </c>
      <c r="AB15" s="89" t="s">
        <v>23</v>
      </c>
      <c r="AC15" s="89" t="s">
        <v>23</v>
      </c>
      <c r="AD15" s="93" t="s">
        <v>23</v>
      </c>
      <c r="AE15" s="93" t="s">
        <v>23</v>
      </c>
      <c r="AF15" s="94">
        <v>0</v>
      </c>
      <c r="AG15" s="94"/>
      <c r="AH15" s="94"/>
      <c r="AI15" s="94"/>
      <c r="AJ15" s="95" t="s">
        <v>30</v>
      </c>
      <c r="AL15" s="25" t="s">
        <v>10</v>
      </c>
      <c r="AM15" s="19">
        <v>150</v>
      </c>
      <c r="AN15" s="19">
        <v>60</v>
      </c>
      <c r="AO15" s="19">
        <f t="shared" si="1"/>
        <v>1</v>
      </c>
      <c r="AP15" s="19">
        <f t="shared" si="3"/>
        <v>0</v>
      </c>
      <c r="AQ15" s="19">
        <f t="shared" si="4"/>
        <v>0</v>
      </c>
      <c r="AR15" s="19">
        <f t="shared" si="5"/>
        <v>1</v>
      </c>
      <c r="AS15" s="50">
        <f t="shared" si="6"/>
        <v>60</v>
      </c>
      <c r="AT15" s="50">
        <f t="shared" si="2"/>
        <v>0</v>
      </c>
      <c r="AU15" s="50">
        <f t="shared" si="2"/>
        <v>0</v>
      </c>
      <c r="AY15">
        <f t="shared" si="7"/>
        <v>120</v>
      </c>
    </row>
    <row r="16" spans="1:51">
      <c r="A16" s="76">
        <v>44468</v>
      </c>
      <c r="B16" s="90">
        <v>1600</v>
      </c>
      <c r="C16" s="90" cm="1">
        <f t="array" ref="C16">(SUM(VLOOKUP(H16:AE16,$AL$4:$AN$44,2,FALSE))+AF16*10)*IF(AJ16="是",$AW$4,$AW$3)</f>
        <v>1000</v>
      </c>
      <c r="D16" s="90">
        <f>SUM($B$4:B16)-SUM($C$4:C16)</f>
        <v>7550</v>
      </c>
      <c r="E16" s="90" cm="1">
        <f t="array" ref="E16">SUM(VLOOKUP(H16:AE16,$AL$4:$AN$44,3,FALSE))</f>
        <v>270</v>
      </c>
      <c r="F16" s="90">
        <f>SUM($E$4:E16)+SUM($G$4:G16)</f>
        <v>5060</v>
      </c>
      <c r="G16" s="90">
        <v>200</v>
      </c>
      <c r="H16" s="92" t="s">
        <v>18</v>
      </c>
      <c r="I16" s="92" t="s">
        <v>18</v>
      </c>
      <c r="J16" s="92" t="s">
        <v>18</v>
      </c>
      <c r="K16" s="92" t="s">
        <v>7</v>
      </c>
      <c r="L16" s="92" t="s">
        <v>18</v>
      </c>
      <c r="M16" s="92" t="s">
        <v>18</v>
      </c>
      <c r="N16" s="93" t="s">
        <v>23</v>
      </c>
      <c r="O16" s="93" t="s">
        <v>23</v>
      </c>
      <c r="P16" s="89" t="s">
        <v>23</v>
      </c>
      <c r="Q16" s="89" t="s">
        <v>23</v>
      </c>
      <c r="R16" s="89" t="s">
        <v>23</v>
      </c>
      <c r="S16" s="89" t="s">
        <v>23</v>
      </c>
      <c r="T16" s="89" t="s">
        <v>23</v>
      </c>
      <c r="U16" s="89" t="s">
        <v>23</v>
      </c>
      <c r="V16" s="93" t="s">
        <v>23</v>
      </c>
      <c r="W16" s="93" t="s">
        <v>23</v>
      </c>
      <c r="X16" s="89" t="s">
        <v>23</v>
      </c>
      <c r="Y16" s="89" t="s">
        <v>23</v>
      </c>
      <c r="Z16" s="89" t="s">
        <v>23</v>
      </c>
      <c r="AA16" s="89" t="s">
        <v>23</v>
      </c>
      <c r="AB16" s="89" t="s">
        <v>23</v>
      </c>
      <c r="AC16" s="89" t="s">
        <v>23</v>
      </c>
      <c r="AD16" s="93" t="s">
        <v>23</v>
      </c>
      <c r="AE16" s="93" t="s">
        <v>23</v>
      </c>
      <c r="AF16" s="94">
        <v>0</v>
      </c>
      <c r="AG16" s="94"/>
      <c r="AH16" s="94"/>
      <c r="AI16" s="94"/>
      <c r="AJ16" s="95" t="s">
        <v>30</v>
      </c>
      <c r="AL16" s="26" t="s">
        <v>11</v>
      </c>
      <c r="AM16" s="27">
        <v>150</v>
      </c>
      <c r="AN16" s="19">
        <v>35</v>
      </c>
      <c r="AO16" s="19">
        <f t="shared" si="1"/>
        <v>0</v>
      </c>
      <c r="AP16" s="19">
        <f t="shared" si="3"/>
        <v>2</v>
      </c>
      <c r="AQ16" s="19">
        <f t="shared" si="4"/>
        <v>0</v>
      </c>
      <c r="AR16" s="19">
        <f t="shared" si="5"/>
        <v>2</v>
      </c>
      <c r="AS16" s="50">
        <f t="shared" si="6"/>
        <v>0</v>
      </c>
      <c r="AT16" s="50">
        <f t="shared" si="2"/>
        <v>70</v>
      </c>
      <c r="AU16" s="50">
        <f t="shared" si="2"/>
        <v>0</v>
      </c>
      <c r="AY16">
        <f t="shared" si="7"/>
        <v>120</v>
      </c>
    </row>
    <row r="17" spans="1:51">
      <c r="A17" s="76">
        <v>44469</v>
      </c>
      <c r="B17" s="90">
        <v>1600</v>
      </c>
      <c r="C17" s="90" cm="1">
        <f t="array" ref="C17">(SUM(VLOOKUP(H17:AE17,$AL$4:$AN$44,2,FALSE))+AF17*10)*IF(AJ17="是",$AW$4,$AW$3)</f>
        <v>1110</v>
      </c>
      <c r="D17" s="90">
        <f>SUM($B$4:B17)-SUM($C$4:C17)</f>
        <v>8040</v>
      </c>
      <c r="E17" s="90" cm="1">
        <f t="array" ref="E17">SUM(VLOOKUP(H17:AE17,$AL$4:$AN$44,3,FALSE))</f>
        <v>425</v>
      </c>
      <c r="F17" s="90">
        <f>SUM($E$4:E17)+SUM($G$4:G17)</f>
        <v>5485</v>
      </c>
      <c r="G17" s="90">
        <v>0</v>
      </c>
      <c r="H17" s="99" t="s">
        <v>71</v>
      </c>
      <c r="I17" s="92" t="s">
        <v>18</v>
      </c>
      <c r="J17" s="92" t="s">
        <v>18</v>
      </c>
      <c r="K17" s="92" t="s">
        <v>18</v>
      </c>
      <c r="L17" s="92" t="s">
        <v>18</v>
      </c>
      <c r="M17" s="92" t="s">
        <v>18</v>
      </c>
      <c r="N17" s="93" t="s">
        <v>23</v>
      </c>
      <c r="O17" s="93" t="s">
        <v>23</v>
      </c>
      <c r="P17" s="89" t="s">
        <v>23</v>
      </c>
      <c r="Q17" s="89" t="s">
        <v>23</v>
      </c>
      <c r="R17" s="89" t="s">
        <v>23</v>
      </c>
      <c r="S17" s="89" t="s">
        <v>23</v>
      </c>
      <c r="T17" s="89" t="s">
        <v>23</v>
      </c>
      <c r="U17" s="89" t="s">
        <v>23</v>
      </c>
      <c r="V17" s="93" t="s">
        <v>23</v>
      </c>
      <c r="W17" s="93" t="s">
        <v>23</v>
      </c>
      <c r="X17" s="89" t="s">
        <v>23</v>
      </c>
      <c r="Y17" s="89" t="s">
        <v>23</v>
      </c>
      <c r="Z17" s="89" t="s">
        <v>23</v>
      </c>
      <c r="AA17" s="89" t="s">
        <v>23</v>
      </c>
      <c r="AB17" s="89" t="s">
        <v>23</v>
      </c>
      <c r="AC17" s="89" t="s">
        <v>23</v>
      </c>
      <c r="AD17" s="93" t="s">
        <v>23</v>
      </c>
      <c r="AE17" s="93" t="s">
        <v>23</v>
      </c>
      <c r="AF17" s="94">
        <v>1</v>
      </c>
      <c r="AG17" s="94">
        <v>1</v>
      </c>
      <c r="AH17" s="94"/>
      <c r="AI17" s="94"/>
      <c r="AJ17" s="95" t="s">
        <v>30</v>
      </c>
      <c r="AK17">
        <v>5470</v>
      </c>
      <c r="AL17" s="28" t="s">
        <v>12</v>
      </c>
      <c r="AM17" s="19">
        <v>50</v>
      </c>
      <c r="AN17" s="19">
        <v>30</v>
      </c>
      <c r="AO17" s="19">
        <f t="shared" si="1"/>
        <v>18</v>
      </c>
      <c r="AP17" s="19">
        <f t="shared" si="3"/>
        <v>18</v>
      </c>
      <c r="AQ17" s="19">
        <f t="shared" si="4"/>
        <v>0</v>
      </c>
      <c r="AR17" s="19">
        <f t="shared" si="5"/>
        <v>36</v>
      </c>
      <c r="AS17" s="50">
        <f t="shared" si="6"/>
        <v>540</v>
      </c>
      <c r="AT17" s="50">
        <f t="shared" si="2"/>
        <v>540</v>
      </c>
      <c r="AU17" s="50">
        <f t="shared" si="2"/>
        <v>0</v>
      </c>
      <c r="AY17">
        <f t="shared" si="7"/>
        <v>40</v>
      </c>
    </row>
    <row r="18" spans="1:51">
      <c r="A18" s="76">
        <v>44470</v>
      </c>
      <c r="B18" s="90">
        <v>1600</v>
      </c>
      <c r="C18" s="108" cm="1">
        <f t="array" ref="C18">(SUM(VLOOKUP(H18:AE18,$AL$4:$AN$44,2,FALSE))+AF18*10)*IF(AJ18="是",$AW$4,$AW$3)-232</f>
        <v>1488</v>
      </c>
      <c r="D18" s="90">
        <f>SUM($B$4:B18)-SUM($C$4:C18)</f>
        <v>8152</v>
      </c>
      <c r="E18" s="90" cm="1">
        <f t="array" ref="E18">SUM(VLOOKUP(H18:AE18,$AL$4:$AN$44,3,FALSE))</f>
        <v>460</v>
      </c>
      <c r="F18" s="90">
        <f>SUM($E$4:E18)+SUM($G$4:G18)</f>
        <v>5945</v>
      </c>
      <c r="G18" s="90">
        <v>0</v>
      </c>
      <c r="H18" s="97" t="s">
        <v>12</v>
      </c>
      <c r="I18" s="92" t="s">
        <v>18</v>
      </c>
      <c r="J18" s="92" t="s">
        <v>18</v>
      </c>
      <c r="K18" s="99" t="s">
        <v>72</v>
      </c>
      <c r="L18" s="92" t="s">
        <v>18</v>
      </c>
      <c r="M18" s="92" t="s">
        <v>18</v>
      </c>
      <c r="N18" s="93" t="s">
        <v>23</v>
      </c>
      <c r="O18" s="93" t="s">
        <v>23</v>
      </c>
      <c r="P18" s="109" t="s">
        <v>11</v>
      </c>
      <c r="Q18" s="96" t="s">
        <v>16</v>
      </c>
      <c r="R18" s="97" t="s">
        <v>12</v>
      </c>
      <c r="S18" s="96" t="s">
        <v>16</v>
      </c>
      <c r="T18" s="96" t="s">
        <v>16</v>
      </c>
      <c r="U18" s="96" t="s">
        <v>16</v>
      </c>
      <c r="V18" s="93" t="s">
        <v>23</v>
      </c>
      <c r="W18" s="93" t="s">
        <v>23</v>
      </c>
      <c r="X18" s="89" t="s">
        <v>23</v>
      </c>
      <c r="Y18" s="89" t="s">
        <v>23</v>
      </c>
      <c r="Z18" s="89" t="s">
        <v>23</v>
      </c>
      <c r="AA18" s="89" t="s">
        <v>23</v>
      </c>
      <c r="AB18" s="89" t="s">
        <v>23</v>
      </c>
      <c r="AC18" s="89" t="s">
        <v>23</v>
      </c>
      <c r="AD18" s="93" t="s">
        <v>23</v>
      </c>
      <c r="AE18" s="93" t="s">
        <v>23</v>
      </c>
      <c r="AF18" s="94">
        <v>2</v>
      </c>
      <c r="AG18" s="94"/>
      <c r="AH18" s="94">
        <v>2</v>
      </c>
      <c r="AI18" s="94"/>
      <c r="AJ18" s="95" t="s">
        <v>30</v>
      </c>
      <c r="AK18" s="12">
        <v>5950</v>
      </c>
      <c r="AL18" s="29" t="s">
        <v>13</v>
      </c>
      <c r="AM18" s="19">
        <v>-150</v>
      </c>
      <c r="AN18" s="19">
        <v>0</v>
      </c>
      <c r="AO18" s="19">
        <f t="shared" si="1"/>
        <v>1</v>
      </c>
      <c r="AP18" s="19">
        <f t="shared" si="3"/>
        <v>0</v>
      </c>
      <c r="AQ18" s="19">
        <f t="shared" si="4"/>
        <v>0</v>
      </c>
      <c r="AR18" s="19">
        <f t="shared" si="5"/>
        <v>1</v>
      </c>
      <c r="AS18" s="50">
        <f t="shared" si="6"/>
        <v>0</v>
      </c>
      <c r="AT18" s="50">
        <f t="shared" si="2"/>
        <v>0</v>
      </c>
      <c r="AU18" s="50">
        <f t="shared" si="2"/>
        <v>0</v>
      </c>
      <c r="AY18">
        <f t="shared" si="7"/>
        <v>-120</v>
      </c>
    </row>
    <row r="19" spans="1:51">
      <c r="A19" s="1">
        <v>44471</v>
      </c>
      <c r="B19" s="55">
        <v>1600</v>
      </c>
      <c r="C19" s="55" cm="1">
        <f t="array" ref="C19">(SUM(VLOOKUP(H19:AE19,$AL$4:$AN$44,2,FALSE))+AF19*10)*IF(AJ19="是",$AW$4,$AW$3)</f>
        <v>1304</v>
      </c>
      <c r="D19" s="57">
        <f>SUM($B$4:B19)-SUM($C$4:C19)</f>
        <v>8448</v>
      </c>
      <c r="E19" s="55" cm="1">
        <f t="array" ref="E19">SUM(VLOOKUP(H19:AE19,$AL$4:$AN$44,3,FALSE))</f>
        <v>490</v>
      </c>
      <c r="F19" s="98">
        <f>SUM($E$4:E19)+SUM($G$4:G19)</f>
        <v>6435</v>
      </c>
      <c r="G19" s="55">
        <v>0</v>
      </c>
      <c r="H19" s="79" t="s">
        <v>18</v>
      </c>
      <c r="I19" s="78" t="s">
        <v>6</v>
      </c>
      <c r="J19" s="79" t="s">
        <v>18</v>
      </c>
      <c r="K19" s="79" t="s">
        <v>18</v>
      </c>
      <c r="L19" s="77" t="s">
        <v>12</v>
      </c>
      <c r="M19" s="79" t="s">
        <v>18</v>
      </c>
      <c r="N19" s="7" t="s">
        <v>23</v>
      </c>
      <c r="O19" s="7" t="s">
        <v>23</v>
      </c>
      <c r="P19" s="83" t="s">
        <v>16</v>
      </c>
      <c r="Q19" s="83" t="s">
        <v>16</v>
      </c>
      <c r="R19" s="83" t="s">
        <v>16</v>
      </c>
      <c r="S19" s="77" t="s">
        <v>12</v>
      </c>
      <c r="T19" s="83" t="s">
        <v>16</v>
      </c>
      <c r="U19" s="82" t="s">
        <v>47</v>
      </c>
      <c r="V19" s="83" t="s">
        <v>16</v>
      </c>
      <c r="W19" s="83" t="s">
        <v>16</v>
      </c>
      <c r="X19" t="s">
        <v>23</v>
      </c>
      <c r="Y19" t="s">
        <v>23</v>
      </c>
      <c r="Z19" t="s">
        <v>23</v>
      </c>
      <c r="AA19" t="s">
        <v>23</v>
      </c>
      <c r="AB19" t="s">
        <v>23</v>
      </c>
      <c r="AC19" t="s">
        <v>23</v>
      </c>
      <c r="AD19" s="7" t="s">
        <v>23</v>
      </c>
      <c r="AE19" s="7" t="s">
        <v>23</v>
      </c>
      <c r="AF19" s="80">
        <v>0</v>
      </c>
      <c r="AG19" s="80"/>
      <c r="AH19" s="80"/>
      <c r="AI19" s="80"/>
      <c r="AJ19" s="8" t="s">
        <v>31</v>
      </c>
      <c r="AL19" s="30" t="s">
        <v>71</v>
      </c>
      <c r="AM19" s="19">
        <v>250</v>
      </c>
      <c r="AN19" s="19">
        <v>200</v>
      </c>
      <c r="AO19" s="19">
        <f t="shared" si="1"/>
        <v>3</v>
      </c>
      <c r="AP19" s="19">
        <f t="shared" si="3"/>
        <v>0</v>
      </c>
      <c r="AQ19" s="19">
        <f t="shared" si="4"/>
        <v>0</v>
      </c>
      <c r="AR19" s="19">
        <f t="shared" si="5"/>
        <v>3</v>
      </c>
      <c r="AS19" s="50">
        <f t="shared" si="6"/>
        <v>600</v>
      </c>
      <c r="AT19" s="50">
        <f t="shared" si="2"/>
        <v>0</v>
      </c>
      <c r="AU19" s="50">
        <f t="shared" si="2"/>
        <v>0</v>
      </c>
      <c r="AY19">
        <f t="shared" si="7"/>
        <v>200</v>
      </c>
    </row>
    <row r="20" spans="1:51">
      <c r="A20" s="1">
        <v>44472</v>
      </c>
      <c r="B20" s="55">
        <v>1600</v>
      </c>
      <c r="C20" s="55" cm="1">
        <f t="array" ref="C20">(SUM(VLOOKUP(H20:AE20,$AL$4:$AN$44,2,FALSE))+AF20*10)*IF(AJ20="是",$AW$4,$AW$3)</f>
        <v>1536</v>
      </c>
      <c r="D20" s="57">
        <f>SUM($B$4:B20)-SUM($C$4:C20)</f>
        <v>8512</v>
      </c>
      <c r="E20" s="55" cm="1">
        <f t="array" ref="E20">SUM(VLOOKUP(H20:AE20,$AL$4:$AN$44,3,FALSE))</f>
        <v>500</v>
      </c>
      <c r="F20" s="98">
        <f>SUM($E$4:E20)+SUM($G$4:G20)</f>
        <v>6935</v>
      </c>
      <c r="G20" s="55">
        <v>0</v>
      </c>
      <c r="H20" s="79" t="s">
        <v>18</v>
      </c>
      <c r="I20" s="79" t="s">
        <v>18</v>
      </c>
      <c r="J20" s="79" t="s">
        <v>18</v>
      </c>
      <c r="K20" s="79" t="s">
        <v>18</v>
      </c>
      <c r="L20" s="79" t="s">
        <v>18</v>
      </c>
      <c r="M20" s="79" t="s">
        <v>18</v>
      </c>
      <c r="N20" s="7" t="s">
        <v>23</v>
      </c>
      <c r="O20" s="7" t="s">
        <v>23</v>
      </c>
      <c r="P20" s="78" t="s">
        <v>17</v>
      </c>
      <c r="Q20" s="78" t="s">
        <v>17</v>
      </c>
      <c r="R20" s="78" t="s">
        <v>17</v>
      </c>
      <c r="S20" s="78" t="s">
        <v>17</v>
      </c>
      <c r="T20" s="78" t="s">
        <v>17</v>
      </c>
      <c r="U20" s="77" t="s">
        <v>12</v>
      </c>
      <c r="V20" s="7" t="s">
        <v>23</v>
      </c>
      <c r="W20" s="7" t="s">
        <v>23</v>
      </c>
      <c r="X20" t="s">
        <v>23</v>
      </c>
      <c r="Y20" t="s">
        <v>23</v>
      </c>
      <c r="Z20" t="s">
        <v>23</v>
      </c>
      <c r="AA20" t="s">
        <v>23</v>
      </c>
      <c r="AB20" t="s">
        <v>23</v>
      </c>
      <c r="AC20" t="s">
        <v>23</v>
      </c>
      <c r="AD20" s="7" t="s">
        <v>23</v>
      </c>
      <c r="AE20" s="7" t="s">
        <v>23</v>
      </c>
      <c r="AF20" s="80">
        <v>5</v>
      </c>
      <c r="AG20" s="80"/>
      <c r="AH20" s="80">
        <v>5</v>
      </c>
      <c r="AI20" s="80"/>
      <c r="AJ20" s="8" t="s">
        <v>31</v>
      </c>
      <c r="AL20" s="30" t="s">
        <v>72</v>
      </c>
      <c r="AM20" s="19">
        <v>170</v>
      </c>
      <c r="AN20" s="19">
        <v>45</v>
      </c>
      <c r="AO20" s="19">
        <f t="shared" si="1"/>
        <v>5</v>
      </c>
      <c r="AP20" s="19">
        <f t="shared" si="3"/>
        <v>0</v>
      </c>
      <c r="AQ20" s="19">
        <f t="shared" si="4"/>
        <v>0</v>
      </c>
      <c r="AR20" s="19">
        <f t="shared" si="5"/>
        <v>5</v>
      </c>
      <c r="AS20" s="50">
        <f t="shared" si="6"/>
        <v>225</v>
      </c>
      <c r="AT20" s="50">
        <f t="shared" si="6"/>
        <v>0</v>
      </c>
      <c r="AU20" s="50">
        <f t="shared" si="6"/>
        <v>0</v>
      </c>
      <c r="AY20">
        <f t="shared" si="7"/>
        <v>136</v>
      </c>
    </row>
    <row r="21" spans="1:51">
      <c r="A21" s="1">
        <v>44473</v>
      </c>
      <c r="B21" s="56">
        <v>1600</v>
      </c>
      <c r="C21" s="55" cm="1">
        <f t="array" ref="C21">(SUM(VLOOKUP(H21:AE21,$AL$4:$AN$44,2,FALSE))+AF21*10)*IF(AJ21="是",$AW$4,$AW$3)</f>
        <v>1552</v>
      </c>
      <c r="D21" s="57">
        <f>SUM($B$4:B21)-SUM($C$4:C21)</f>
        <v>8560</v>
      </c>
      <c r="E21" s="55" cm="1">
        <f t="array" ref="E21">SUM(VLOOKUP(H21:AE21,$AL$4:$AN$44,3,FALSE))</f>
        <v>505</v>
      </c>
      <c r="F21" s="98">
        <f>SUM($E$4:E21)+SUM($G$4:G21)</f>
        <v>7640</v>
      </c>
      <c r="G21" s="56">
        <v>200</v>
      </c>
      <c r="H21" s="79" t="s">
        <v>7</v>
      </c>
      <c r="I21" s="79" t="s">
        <v>18</v>
      </c>
      <c r="J21" s="79" t="s">
        <v>18</v>
      </c>
      <c r="K21" s="79" t="s">
        <v>18</v>
      </c>
      <c r="L21" s="79" t="s">
        <v>18</v>
      </c>
      <c r="M21" s="78" t="s">
        <v>17</v>
      </c>
      <c r="N21" s="7" t="s">
        <v>23</v>
      </c>
      <c r="O21" s="7" t="s">
        <v>23</v>
      </c>
      <c r="P21" s="78" t="s">
        <v>17</v>
      </c>
      <c r="Q21" s="78" t="s">
        <v>17</v>
      </c>
      <c r="R21" s="78" t="s">
        <v>17</v>
      </c>
      <c r="S21" s="78" t="s">
        <v>6</v>
      </c>
      <c r="T21" s="78" t="s">
        <v>17</v>
      </c>
      <c r="U21" s="78" t="s">
        <v>17</v>
      </c>
      <c r="V21" s="7" t="s">
        <v>23</v>
      </c>
      <c r="W21" s="7" t="s">
        <v>23</v>
      </c>
      <c r="X21" t="s">
        <v>23</v>
      </c>
      <c r="Y21" t="s">
        <v>23</v>
      </c>
      <c r="Z21" t="s">
        <v>23</v>
      </c>
      <c r="AA21" t="s">
        <v>23</v>
      </c>
      <c r="AB21" t="s">
        <v>23</v>
      </c>
      <c r="AC21" t="s">
        <v>23</v>
      </c>
      <c r="AD21" s="7" t="s">
        <v>23</v>
      </c>
      <c r="AE21" s="7" t="s">
        <v>23</v>
      </c>
      <c r="AF21" s="80">
        <v>0</v>
      </c>
      <c r="AG21" s="80"/>
      <c r="AH21" s="80"/>
      <c r="AI21" s="80"/>
      <c r="AJ21" s="8" t="s">
        <v>31</v>
      </c>
      <c r="AL21" s="34" t="s">
        <v>14</v>
      </c>
      <c r="AM21" s="19">
        <v>250</v>
      </c>
      <c r="AN21" s="19">
        <v>200</v>
      </c>
      <c r="AO21" s="19">
        <f t="shared" si="1"/>
        <v>0</v>
      </c>
      <c r="AP21" s="19">
        <f t="shared" si="3"/>
        <v>0</v>
      </c>
      <c r="AQ21" s="19">
        <f t="shared" si="4"/>
        <v>0</v>
      </c>
      <c r="AR21" s="19">
        <f t="shared" si="5"/>
        <v>0</v>
      </c>
      <c r="AS21" s="50">
        <f t="shared" si="6"/>
        <v>0</v>
      </c>
      <c r="AT21" s="50">
        <f t="shared" si="6"/>
        <v>0</v>
      </c>
      <c r="AU21" s="50">
        <f t="shared" si="6"/>
        <v>0</v>
      </c>
      <c r="AY21">
        <f t="shared" si="7"/>
        <v>200</v>
      </c>
    </row>
    <row r="22" spans="1:51">
      <c r="A22" s="1">
        <v>44474</v>
      </c>
      <c r="B22" s="56">
        <v>1600</v>
      </c>
      <c r="C22" s="55" cm="1">
        <f t="array" ref="C22">(SUM(VLOOKUP(H22:AE22,$AL$4:$AN$44,2,FALSE))+AF22*10)*IF(AJ22="是",$AW$4,$AW$3)</f>
        <v>1488</v>
      </c>
      <c r="D22" s="57">
        <f>SUM($B$4:B22)-SUM($C$4:C22)</f>
        <v>8672</v>
      </c>
      <c r="E22" s="55" cm="1">
        <f t="array" ref="E22">SUM(VLOOKUP(H22:AE22,$AL$4:$AN$44,3,FALSE))</f>
        <v>545</v>
      </c>
      <c r="F22" s="98">
        <f>SUM($E$4:E22)+SUM($G$4:G22)</f>
        <v>8285</v>
      </c>
      <c r="G22" s="56">
        <v>100</v>
      </c>
      <c r="H22" s="77" t="s">
        <v>12</v>
      </c>
      <c r="I22" s="78" t="s">
        <v>17</v>
      </c>
      <c r="J22" s="78" t="s">
        <v>17</v>
      </c>
      <c r="K22" s="78" t="s">
        <v>17</v>
      </c>
      <c r="L22" s="78" t="s">
        <v>17</v>
      </c>
      <c r="M22" s="78" t="s">
        <v>17</v>
      </c>
      <c r="N22" s="7" t="s">
        <v>23</v>
      </c>
      <c r="O22" s="7" t="s">
        <v>23</v>
      </c>
      <c r="P22" s="82" t="s">
        <v>47</v>
      </c>
      <c r="Q22" s="79" t="s">
        <v>18</v>
      </c>
      <c r="R22" s="79" t="s">
        <v>18</v>
      </c>
      <c r="S22" s="79" t="s">
        <v>18</v>
      </c>
      <c r="T22" s="79" t="s">
        <v>18</v>
      </c>
      <c r="U22" s="79" t="s">
        <v>18</v>
      </c>
      <c r="V22" s="79" t="s">
        <v>18</v>
      </c>
      <c r="W22" s="79" t="s">
        <v>18</v>
      </c>
      <c r="X22" t="s">
        <v>23</v>
      </c>
      <c r="Y22" t="s">
        <v>23</v>
      </c>
      <c r="Z22" t="s">
        <v>23</v>
      </c>
      <c r="AA22" t="s">
        <v>23</v>
      </c>
      <c r="AB22" t="s">
        <v>23</v>
      </c>
      <c r="AC22" t="s">
        <v>23</v>
      </c>
      <c r="AD22" s="7" t="s">
        <v>23</v>
      </c>
      <c r="AE22" s="7" t="s">
        <v>23</v>
      </c>
      <c r="AF22" s="80">
        <v>2</v>
      </c>
      <c r="AG22" s="80"/>
      <c r="AH22" s="80">
        <v>2</v>
      </c>
      <c r="AI22" s="80"/>
      <c r="AJ22" s="8" t="s">
        <v>31</v>
      </c>
      <c r="AL22" s="32" t="s">
        <v>15</v>
      </c>
      <c r="AM22" s="19">
        <v>250</v>
      </c>
      <c r="AN22" s="19">
        <v>1000</v>
      </c>
      <c r="AO22" s="19">
        <f t="shared" si="1"/>
        <v>1</v>
      </c>
      <c r="AP22" s="19">
        <f t="shared" si="3"/>
        <v>1</v>
      </c>
      <c r="AQ22" s="19">
        <f t="shared" si="4"/>
        <v>0</v>
      </c>
      <c r="AR22" s="19">
        <f t="shared" si="5"/>
        <v>2</v>
      </c>
      <c r="AS22" s="50">
        <f t="shared" si="6"/>
        <v>1000</v>
      </c>
      <c r="AT22" s="50">
        <f t="shared" si="6"/>
        <v>1000</v>
      </c>
      <c r="AU22" s="50">
        <f t="shared" si="6"/>
        <v>0</v>
      </c>
      <c r="AY22">
        <f t="shared" si="7"/>
        <v>200</v>
      </c>
    </row>
    <row r="23" spans="1:51">
      <c r="A23" s="1">
        <v>44475</v>
      </c>
      <c r="B23" s="56">
        <v>1600</v>
      </c>
      <c r="C23" s="55" cm="1">
        <f t="array" ref="C23">(SUM(VLOOKUP(H23:AE23,$AL$4:$AN$44,2,FALSE))+AF23*10)*IF(AJ23="是",$AW$4,$AW$3)</f>
        <v>1392</v>
      </c>
      <c r="D23" s="57">
        <f>SUM($B$4:B23)-SUM($C$4:C23)</f>
        <v>8880</v>
      </c>
      <c r="E23" s="55" cm="1">
        <f t="array" ref="E23">SUM(VLOOKUP(H23:AE23,$AL$4:$AN$44,3,FALSE))</f>
        <v>485</v>
      </c>
      <c r="F23" s="98">
        <f>SUM($E$4:E23)+SUM($G$4:G23)</f>
        <v>8970</v>
      </c>
      <c r="G23" s="56">
        <v>200</v>
      </c>
      <c r="H23" s="77" t="s">
        <v>12</v>
      </c>
      <c r="I23" s="78" t="s">
        <v>17</v>
      </c>
      <c r="J23" s="78" t="s">
        <v>6</v>
      </c>
      <c r="K23" s="78" t="s">
        <v>17</v>
      </c>
      <c r="L23" s="78" t="s">
        <v>17</v>
      </c>
      <c r="M23" s="78" t="s">
        <v>17</v>
      </c>
      <c r="N23" s="7" t="s">
        <v>23</v>
      </c>
      <c r="O23" s="7" t="s">
        <v>23</v>
      </c>
      <c r="P23" s="79" t="s">
        <v>18</v>
      </c>
      <c r="Q23" s="79" t="s">
        <v>18</v>
      </c>
      <c r="R23" s="79" t="s">
        <v>18</v>
      </c>
      <c r="S23" s="77" t="s">
        <v>12</v>
      </c>
      <c r="T23" s="79" t="s">
        <v>18</v>
      </c>
      <c r="U23" s="79" t="s">
        <v>18</v>
      </c>
      <c r="V23" s="7" t="s">
        <v>23</v>
      </c>
      <c r="W23" s="7" t="s">
        <v>23</v>
      </c>
      <c r="X23" t="s">
        <v>23</v>
      </c>
      <c r="Y23" t="s">
        <v>23</v>
      </c>
      <c r="Z23" t="s">
        <v>23</v>
      </c>
      <c r="AA23" t="s">
        <v>23</v>
      </c>
      <c r="AB23" t="s">
        <v>23</v>
      </c>
      <c r="AC23" t="s">
        <v>23</v>
      </c>
      <c r="AD23" s="7" t="s">
        <v>23</v>
      </c>
      <c r="AE23" s="7" t="s">
        <v>23</v>
      </c>
      <c r="AF23" s="80">
        <v>0</v>
      </c>
      <c r="AG23" s="80"/>
      <c r="AH23" s="80"/>
      <c r="AI23" s="80"/>
      <c r="AJ23" s="8" t="s">
        <v>31</v>
      </c>
      <c r="AL23" s="35" t="s">
        <v>41</v>
      </c>
      <c r="AM23" s="19">
        <v>250</v>
      </c>
      <c r="AN23" s="19">
        <v>500</v>
      </c>
      <c r="AO23" s="19">
        <f t="shared" si="1"/>
        <v>1</v>
      </c>
      <c r="AP23" s="19">
        <f t="shared" si="3"/>
        <v>1</v>
      </c>
      <c r="AQ23" s="19">
        <f t="shared" si="4"/>
        <v>0</v>
      </c>
      <c r="AR23" s="19">
        <f t="shared" si="5"/>
        <v>2</v>
      </c>
      <c r="AS23" s="50">
        <f t="shared" si="6"/>
        <v>500</v>
      </c>
      <c r="AT23" s="50">
        <f t="shared" si="6"/>
        <v>500</v>
      </c>
      <c r="AU23" s="50">
        <f t="shared" si="6"/>
        <v>0</v>
      </c>
      <c r="AY23">
        <f t="shared" si="7"/>
        <v>200</v>
      </c>
    </row>
    <row r="24" spans="1:51" ht="14.25" customHeight="1">
      <c r="A24" s="1">
        <v>44476</v>
      </c>
      <c r="B24" s="56">
        <v>1600</v>
      </c>
      <c r="C24" s="55" cm="1">
        <f t="array" ref="C24">(SUM(VLOOKUP(H24:AE24,$AL$4:$AN$44,2,FALSE))+AF24*10)*IF(AJ24="是",$AW$4,$AW$3)</f>
        <v>1552</v>
      </c>
      <c r="D24" s="57">
        <f>SUM($B$4:B24)-SUM($C$4:C24)</f>
        <v>8928</v>
      </c>
      <c r="E24" s="55" cm="1">
        <f t="array" ref="E24">SUM(VLOOKUP(H24:AE24,$AL$4:$AN$44,3,FALSE))</f>
        <v>530</v>
      </c>
      <c r="F24" s="98">
        <f>SUM($E$4:E24)+SUM($G$4:G24)</f>
        <v>9500</v>
      </c>
      <c r="G24" s="56">
        <v>0</v>
      </c>
      <c r="H24" s="77" t="s">
        <v>12</v>
      </c>
      <c r="I24" s="78" t="s">
        <v>17</v>
      </c>
      <c r="J24" s="79" t="s">
        <v>18</v>
      </c>
      <c r="K24" s="79" t="s">
        <v>18</v>
      </c>
      <c r="L24" s="79" t="s">
        <v>18</v>
      </c>
      <c r="M24" s="79" t="s">
        <v>18</v>
      </c>
      <c r="N24" s="7" t="s">
        <v>23</v>
      </c>
      <c r="O24" s="7" t="s">
        <v>23</v>
      </c>
      <c r="P24" s="79" t="s">
        <v>18</v>
      </c>
      <c r="Q24" s="79" t="s">
        <v>18</v>
      </c>
      <c r="R24" s="79" t="s">
        <v>18</v>
      </c>
      <c r="S24" s="79" t="s">
        <v>18</v>
      </c>
      <c r="T24" s="84" t="s">
        <v>19</v>
      </c>
      <c r="U24" s="84" t="s">
        <v>19</v>
      </c>
      <c r="V24" s="7" t="s">
        <v>23</v>
      </c>
      <c r="W24" s="7" t="s">
        <v>23</v>
      </c>
      <c r="X24" t="s">
        <v>23</v>
      </c>
      <c r="Y24" t="s">
        <v>23</v>
      </c>
      <c r="Z24" t="s">
        <v>23</v>
      </c>
      <c r="AA24" t="s">
        <v>23</v>
      </c>
      <c r="AB24" t="s">
        <v>23</v>
      </c>
      <c r="AC24" t="s">
        <v>23</v>
      </c>
      <c r="AD24" s="7" t="s">
        <v>23</v>
      </c>
      <c r="AE24" s="7" t="s">
        <v>23</v>
      </c>
      <c r="AF24" s="80">
        <v>1</v>
      </c>
      <c r="AG24" s="80">
        <v>1</v>
      </c>
      <c r="AH24" s="80"/>
      <c r="AI24" s="80"/>
      <c r="AJ24" s="8" t="s">
        <v>31</v>
      </c>
      <c r="AL24" s="31" t="s">
        <v>39</v>
      </c>
      <c r="AM24" s="19">
        <v>160</v>
      </c>
      <c r="AN24" s="19">
        <v>40</v>
      </c>
      <c r="AO24" s="19">
        <f t="shared" si="1"/>
        <v>0</v>
      </c>
      <c r="AP24" s="19">
        <f t="shared" si="3"/>
        <v>0</v>
      </c>
      <c r="AQ24" s="19">
        <f t="shared" si="4"/>
        <v>0</v>
      </c>
      <c r="AR24" s="19">
        <f t="shared" si="5"/>
        <v>0</v>
      </c>
      <c r="AS24" s="50">
        <f t="shared" si="6"/>
        <v>0</v>
      </c>
      <c r="AT24" s="50">
        <f t="shared" si="6"/>
        <v>0</v>
      </c>
      <c r="AU24" s="50">
        <f t="shared" si="6"/>
        <v>0</v>
      </c>
      <c r="AY24">
        <f t="shared" si="7"/>
        <v>128</v>
      </c>
    </row>
    <row r="25" spans="1:51">
      <c r="A25" s="1">
        <v>44477</v>
      </c>
      <c r="B25" s="56">
        <v>1600</v>
      </c>
      <c r="C25" s="55" cm="1">
        <f t="array" ref="C25">(SUM(VLOOKUP(H25:AE25,$AL$4:$AN$44,2,FALSE))+AF25*10)*IF(AJ25="是",$AW$4,$AW$3)</f>
        <v>1568</v>
      </c>
      <c r="D25" s="57">
        <f>SUM($B$4:B25)-SUM($C$4:C25)</f>
        <v>8960</v>
      </c>
      <c r="E25" s="55" cm="1">
        <f t="array" ref="E25">SUM(VLOOKUP(H25:AE25,$AL$4:$AN$44,3,FALSE))</f>
        <v>605</v>
      </c>
      <c r="F25" s="98">
        <f>SUM($E$4:E25)+SUM($G$4:G25)</f>
        <v>10105</v>
      </c>
      <c r="G25" s="56">
        <v>0</v>
      </c>
      <c r="H25" s="79" t="s">
        <v>18</v>
      </c>
      <c r="I25" s="77" t="s">
        <v>12</v>
      </c>
      <c r="J25" s="79" t="s">
        <v>18</v>
      </c>
      <c r="K25" s="79" t="s">
        <v>18</v>
      </c>
      <c r="L25" s="79" t="s">
        <v>18</v>
      </c>
      <c r="M25" s="79" t="s">
        <v>18</v>
      </c>
      <c r="N25" s="7" t="s">
        <v>23</v>
      </c>
      <c r="O25" s="7" t="s">
        <v>23</v>
      </c>
      <c r="P25" s="82" t="s">
        <v>47</v>
      </c>
      <c r="Q25" s="84" t="s">
        <v>19</v>
      </c>
      <c r="R25" s="84" t="s">
        <v>19</v>
      </c>
      <c r="S25" s="84" t="s">
        <v>19</v>
      </c>
      <c r="T25" s="84" t="s">
        <v>19</v>
      </c>
      <c r="U25" s="84" t="s">
        <v>19</v>
      </c>
      <c r="V25" s="84" t="s">
        <v>19</v>
      </c>
      <c r="W25" s="84" t="s">
        <v>19</v>
      </c>
      <c r="X25" t="s">
        <v>23</v>
      </c>
      <c r="Y25" t="s">
        <v>23</v>
      </c>
      <c r="Z25" t="s">
        <v>23</v>
      </c>
      <c r="AA25" t="s">
        <v>23</v>
      </c>
      <c r="AB25" t="s">
        <v>23</v>
      </c>
      <c r="AC25" t="s">
        <v>23</v>
      </c>
      <c r="AD25" s="7" t="s">
        <v>23</v>
      </c>
      <c r="AE25" s="7" t="s">
        <v>23</v>
      </c>
      <c r="AF25" s="80">
        <v>0</v>
      </c>
      <c r="AG25" s="80"/>
      <c r="AH25" s="80"/>
      <c r="AI25" s="80"/>
      <c r="AJ25" s="8" t="s">
        <v>31</v>
      </c>
      <c r="AL25" s="31" t="s">
        <v>40</v>
      </c>
      <c r="AM25" s="19">
        <v>160</v>
      </c>
      <c r="AN25" s="19">
        <v>40</v>
      </c>
      <c r="AO25" s="19">
        <f t="shared" si="1"/>
        <v>0</v>
      </c>
      <c r="AP25" s="19">
        <f t="shared" si="3"/>
        <v>0</v>
      </c>
      <c r="AQ25" s="19">
        <f t="shared" si="4"/>
        <v>0</v>
      </c>
      <c r="AR25" s="19">
        <f t="shared" si="5"/>
        <v>0</v>
      </c>
      <c r="AS25" s="50">
        <f t="shared" si="6"/>
        <v>0</v>
      </c>
      <c r="AT25" s="50">
        <f t="shared" si="6"/>
        <v>0</v>
      </c>
      <c r="AU25" s="50">
        <f t="shared" si="6"/>
        <v>0</v>
      </c>
      <c r="AY25">
        <f t="shared" si="7"/>
        <v>128</v>
      </c>
    </row>
    <row r="26" spans="1:51">
      <c r="A26" s="1">
        <v>44478</v>
      </c>
      <c r="B26" s="56">
        <v>1600</v>
      </c>
      <c r="C26" s="55" cm="1">
        <f t="array" ref="C26">(SUM(VLOOKUP(H26:AE26,$AL$4:$AN$44,2,FALSE))+AF26*10)*IF(AJ26="是",$AW$4,$AW$3)</f>
        <v>1576</v>
      </c>
      <c r="D26" s="57">
        <f>SUM($B$4:B26)-SUM($C$4:C26)</f>
        <v>8984</v>
      </c>
      <c r="E26" s="55" cm="1">
        <f t="array" ref="E26">SUM(VLOOKUP(H26:AE26,$AL$4:$AN$44,3,FALSE))</f>
        <v>605</v>
      </c>
      <c r="F26" s="98">
        <f>SUM($E$4:E26)+SUM($G$4:G26)</f>
        <v>10710</v>
      </c>
      <c r="G26" s="56">
        <v>0</v>
      </c>
      <c r="H26" s="79" t="s">
        <v>18</v>
      </c>
      <c r="I26" s="79" t="s">
        <v>18</v>
      </c>
      <c r="J26" s="82" t="s">
        <v>47</v>
      </c>
      <c r="K26" s="79" t="s">
        <v>18</v>
      </c>
      <c r="L26" s="79" t="s">
        <v>18</v>
      </c>
      <c r="M26" s="79" t="s">
        <v>18</v>
      </c>
      <c r="N26" s="84" t="s">
        <v>19</v>
      </c>
      <c r="O26" s="84" t="s">
        <v>19</v>
      </c>
      <c r="P26" s="84" t="s">
        <v>19</v>
      </c>
      <c r="Q26" s="84" t="s">
        <v>19</v>
      </c>
      <c r="R26" s="84" t="s">
        <v>19</v>
      </c>
      <c r="S26" s="77" t="s">
        <v>12</v>
      </c>
      <c r="T26" s="84" t="s">
        <v>19</v>
      </c>
      <c r="U26" s="84" t="s">
        <v>19</v>
      </c>
      <c r="V26" s="7" t="s">
        <v>23</v>
      </c>
      <c r="W26" s="7" t="s">
        <v>23</v>
      </c>
      <c r="X26" t="s">
        <v>23</v>
      </c>
      <c r="Y26" t="s">
        <v>23</v>
      </c>
      <c r="Z26" t="s">
        <v>23</v>
      </c>
      <c r="AA26" t="s">
        <v>23</v>
      </c>
      <c r="AB26" t="s">
        <v>23</v>
      </c>
      <c r="AC26" t="s">
        <v>23</v>
      </c>
      <c r="AD26" s="7" t="s">
        <v>23</v>
      </c>
      <c r="AE26" s="7" t="s">
        <v>23</v>
      </c>
      <c r="AF26" s="80">
        <v>1</v>
      </c>
      <c r="AG26" s="80">
        <v>1</v>
      </c>
      <c r="AH26" s="80"/>
      <c r="AI26" s="80"/>
      <c r="AJ26" s="8" t="s">
        <v>31</v>
      </c>
      <c r="AL26" s="31" t="s">
        <v>38</v>
      </c>
      <c r="AM26" s="19">
        <v>150</v>
      </c>
      <c r="AN26" s="19">
        <v>35</v>
      </c>
      <c r="AO26" s="19">
        <f t="shared" si="1"/>
        <v>0</v>
      </c>
      <c r="AP26" s="19">
        <f t="shared" si="3"/>
        <v>0</v>
      </c>
      <c r="AQ26" s="19">
        <f t="shared" si="4"/>
        <v>0</v>
      </c>
      <c r="AR26" s="19">
        <f t="shared" si="5"/>
        <v>0</v>
      </c>
      <c r="AS26" s="50">
        <f t="shared" si="6"/>
        <v>0</v>
      </c>
      <c r="AT26" s="50">
        <f t="shared" si="6"/>
        <v>0</v>
      </c>
      <c r="AU26" s="50">
        <f t="shared" si="6"/>
        <v>0</v>
      </c>
      <c r="AY26">
        <f t="shared" si="7"/>
        <v>120</v>
      </c>
    </row>
    <row r="27" spans="1:51">
      <c r="A27" s="1">
        <v>44479</v>
      </c>
      <c r="B27" s="56">
        <v>1600</v>
      </c>
      <c r="C27" s="55" cm="1">
        <f t="array" ref="C27">(SUM(VLOOKUP(H27:AE27,$AL$4:$AN$44,2,FALSE))+AF27*10)*IF(AJ27="是",$AW$4,$AW$3)</f>
        <v>1704</v>
      </c>
      <c r="D27" s="57">
        <f>SUM($B$4:B27)-SUM($C$4:C27)</f>
        <v>8880</v>
      </c>
      <c r="E27" s="55" cm="1">
        <f t="array" ref="E27">SUM(VLOOKUP(H27:AE27,$AL$4:$AN$44,3,FALSE))</f>
        <v>585</v>
      </c>
      <c r="F27" s="98">
        <f>SUM($E$4:E27)+SUM($G$4:G27)</f>
        <v>11295</v>
      </c>
      <c r="G27" s="56">
        <v>0</v>
      </c>
      <c r="H27" s="84" t="s">
        <v>19</v>
      </c>
      <c r="I27" s="84" t="s">
        <v>19</v>
      </c>
      <c r="J27" s="84" t="s">
        <v>19</v>
      </c>
      <c r="K27" s="79" t="s">
        <v>18</v>
      </c>
      <c r="L27" s="79" t="s">
        <v>18</v>
      </c>
      <c r="M27" s="79" t="s">
        <v>18</v>
      </c>
      <c r="N27" s="7" t="s">
        <v>23</v>
      </c>
      <c r="O27" s="7" t="s">
        <v>23</v>
      </c>
      <c r="P27" s="84" t="s">
        <v>19</v>
      </c>
      <c r="Q27" s="84" t="s">
        <v>19</v>
      </c>
      <c r="R27" s="84" t="s">
        <v>19</v>
      </c>
      <c r="S27" s="84" t="s">
        <v>19</v>
      </c>
      <c r="T27" s="84" t="s">
        <v>19</v>
      </c>
      <c r="U27" s="84" t="s">
        <v>19</v>
      </c>
      <c r="V27" s="7" t="s">
        <v>23</v>
      </c>
      <c r="W27" s="7" t="s">
        <v>23</v>
      </c>
      <c r="X27" t="s">
        <v>23</v>
      </c>
      <c r="Y27" t="s">
        <v>23</v>
      </c>
      <c r="Z27" t="s">
        <v>23</v>
      </c>
      <c r="AA27" t="s">
        <v>23</v>
      </c>
      <c r="AB27" t="s">
        <v>23</v>
      </c>
      <c r="AC27" t="s">
        <v>23</v>
      </c>
      <c r="AD27" s="7" t="s">
        <v>23</v>
      </c>
      <c r="AE27" s="7" t="s">
        <v>23</v>
      </c>
      <c r="AF27" s="80">
        <v>0</v>
      </c>
      <c r="AG27" s="80"/>
      <c r="AH27" s="80"/>
      <c r="AI27" s="80"/>
      <c r="AJ27" s="8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6"/>
        <v>0</v>
      </c>
      <c r="AT27" s="50">
        <f t="shared" si="6"/>
        <v>0</v>
      </c>
      <c r="AU27" s="50">
        <f t="shared" si="6"/>
        <v>0</v>
      </c>
      <c r="AY27">
        <f t="shared" si="7"/>
        <v>0</v>
      </c>
    </row>
    <row r="28" spans="1:51" ht="15.75" thickBot="1">
      <c r="A28" s="1">
        <v>44480</v>
      </c>
      <c r="B28" s="55">
        <v>1600</v>
      </c>
      <c r="C28" s="55" cm="1">
        <f t="array" ref="C28">(SUM(VLOOKUP(H28:AE28,$AL$4:$AN$44,2,FALSE))+AF28*10)*IF(AJ28="是",$AW$4,$AW$3)</f>
        <v>1664</v>
      </c>
      <c r="D28" s="57">
        <f>SUM($B$4:B28)-SUM($C$4:C28)</f>
        <v>8816</v>
      </c>
      <c r="E28" s="55" cm="1">
        <f t="array" ref="E28">SUM(VLOOKUP(H28:AE28,$AL$4:$AN$44,3,FALSE))</f>
        <v>620</v>
      </c>
      <c r="F28" s="98">
        <f>SUM($E$4:E28)+SUM($G$4:G28)</f>
        <v>12115</v>
      </c>
      <c r="G28" s="55">
        <v>200</v>
      </c>
      <c r="H28" s="79" t="s">
        <v>18</v>
      </c>
      <c r="I28" s="79" t="s">
        <v>18</v>
      </c>
      <c r="J28" s="79" t="s">
        <v>18</v>
      </c>
      <c r="K28" s="79" t="s">
        <v>18</v>
      </c>
      <c r="L28" s="79" t="s">
        <v>18</v>
      </c>
      <c r="M28" s="79" t="s">
        <v>18</v>
      </c>
      <c r="N28" s="7" t="s">
        <v>23</v>
      </c>
      <c r="O28" s="7" t="s">
        <v>23</v>
      </c>
      <c r="P28" s="84" t="s">
        <v>19</v>
      </c>
      <c r="Q28" s="84" t="s">
        <v>19</v>
      </c>
      <c r="R28" s="84" t="s">
        <v>19</v>
      </c>
      <c r="S28" s="82" t="s">
        <v>47</v>
      </c>
      <c r="T28" s="84" t="s">
        <v>19</v>
      </c>
      <c r="U28" s="84" t="s">
        <v>19</v>
      </c>
      <c r="V28" s="84" t="s">
        <v>19</v>
      </c>
      <c r="W28" s="84" t="s">
        <v>19</v>
      </c>
      <c r="X28" t="s">
        <v>23</v>
      </c>
      <c r="Y28" t="s">
        <v>23</v>
      </c>
      <c r="Z28" t="s">
        <v>23</v>
      </c>
      <c r="AA28" t="s">
        <v>23</v>
      </c>
      <c r="AB28" t="s">
        <v>23</v>
      </c>
      <c r="AC28" t="s">
        <v>23</v>
      </c>
      <c r="AD28" s="7" t="s">
        <v>23</v>
      </c>
      <c r="AE28" s="7" t="s">
        <v>23</v>
      </c>
      <c r="AF28" s="80">
        <v>0</v>
      </c>
      <c r="AG28" s="80"/>
      <c r="AH28" s="80"/>
      <c r="AI28" s="80"/>
      <c r="AJ28" s="8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5</v>
      </c>
      <c r="AP28" s="19">
        <f>COUNTIF($P$4:$W$94,AL28)</f>
        <v>9</v>
      </c>
      <c r="AQ28" s="19">
        <f>COUNTIF($X$4:$AE$94,AL28)</f>
        <v>0</v>
      </c>
      <c r="AR28" s="19">
        <f>AO28+AP28+AQ28</f>
        <v>14</v>
      </c>
      <c r="AS28" s="50">
        <f t="shared" si="6"/>
        <v>0</v>
      </c>
      <c r="AT28" s="50">
        <f t="shared" si="6"/>
        <v>0</v>
      </c>
      <c r="AU28" s="50">
        <f t="shared" si="6"/>
        <v>0</v>
      </c>
      <c r="AY28">
        <f t="shared" si="7"/>
        <v>-160</v>
      </c>
    </row>
    <row r="29" spans="1:51">
      <c r="A29" s="1">
        <v>44481</v>
      </c>
      <c r="B29" s="55">
        <v>1600</v>
      </c>
      <c r="C29" s="55" cm="1">
        <f t="array" ref="C29">(SUM(VLOOKUP(H29:AE29,$AL$4:$AN$44,2,FALSE))+AF29*10)*IF(AJ29="是",$AW$4,$AW$3)</f>
        <v>1568</v>
      </c>
      <c r="D29" s="57">
        <f>SUM($B$4:B29)-SUM($C$4:C29)</f>
        <v>8848</v>
      </c>
      <c r="E29" s="55" cm="1">
        <f t="array" ref="E29">SUM(VLOOKUP(H29:AE29,$AL$4:$AN$44,3,FALSE))</f>
        <v>555</v>
      </c>
      <c r="F29" s="98">
        <f>SUM($E$4:E29)+SUM($G$4:G29)</f>
        <v>12770</v>
      </c>
      <c r="G29" s="55">
        <v>100</v>
      </c>
      <c r="H29" s="79" t="s">
        <v>18</v>
      </c>
      <c r="I29" s="79" t="s">
        <v>18</v>
      </c>
      <c r="J29" s="77" t="s">
        <v>12</v>
      </c>
      <c r="K29" s="79" t="s">
        <v>18</v>
      </c>
      <c r="L29" s="79" t="s">
        <v>18</v>
      </c>
      <c r="M29" s="79" t="s">
        <v>7</v>
      </c>
      <c r="N29" s="7" t="s">
        <v>23</v>
      </c>
      <c r="O29" s="7" t="s">
        <v>23</v>
      </c>
      <c r="P29" s="84" t="s">
        <v>19</v>
      </c>
      <c r="Q29" s="84" t="s">
        <v>19</v>
      </c>
      <c r="R29" s="84" t="s">
        <v>19</v>
      </c>
      <c r="S29" s="84" t="s">
        <v>19</v>
      </c>
      <c r="T29" s="84" t="s">
        <v>19</v>
      </c>
      <c r="U29" s="84" t="s">
        <v>19</v>
      </c>
      <c r="V29" s="7" t="s">
        <v>23</v>
      </c>
      <c r="W29" s="7" t="s">
        <v>23</v>
      </c>
      <c r="X29" t="s">
        <v>23</v>
      </c>
      <c r="Y29" t="s">
        <v>23</v>
      </c>
      <c r="Z29" t="s">
        <v>23</v>
      </c>
      <c r="AA29" t="s">
        <v>23</v>
      </c>
      <c r="AB29" t="s">
        <v>23</v>
      </c>
      <c r="AC29" t="s">
        <v>23</v>
      </c>
      <c r="AD29" s="7" t="s">
        <v>23</v>
      </c>
      <c r="AE29" s="7" t="s">
        <v>23</v>
      </c>
      <c r="AF29" s="80">
        <v>0</v>
      </c>
      <c r="AG29" s="80"/>
      <c r="AH29" s="80"/>
      <c r="AI29" s="80"/>
      <c r="AJ29" s="8" t="s">
        <v>31</v>
      </c>
      <c r="AL29" s="19"/>
      <c r="AM29" s="19"/>
      <c r="AN29" s="19"/>
      <c r="AQ29" t="s">
        <v>60</v>
      </c>
      <c r="AR29">
        <f>SUM(AR4:AR28)</f>
        <v>1026</v>
      </c>
      <c r="AT29" t="s">
        <v>61</v>
      </c>
      <c r="AU29" s="4">
        <f>SUM(AS4:AU28)+7000</f>
        <v>61465</v>
      </c>
    </row>
    <row r="30" spans="1:51">
      <c r="A30" s="1">
        <v>44482</v>
      </c>
      <c r="B30" s="55">
        <v>1600</v>
      </c>
      <c r="C30" s="55" cm="1">
        <f t="array" ref="C30">(SUM(VLOOKUP(H30:AE30,$AL$4:$AN$44,2,FALSE))+AF30*10)*IF(AJ30="是",$AW$4,$AW$3)</f>
        <v>1584</v>
      </c>
      <c r="D30" s="57">
        <f>SUM($B$4:B30)-SUM($C$4:C30)</f>
        <v>8864</v>
      </c>
      <c r="E30" s="55" cm="1">
        <f t="array" ref="E30">SUM(VLOOKUP(H30:AE30,$AL$4:$AN$44,3,FALSE))</f>
        <v>555</v>
      </c>
      <c r="F30" s="98">
        <f>SUM($E$4:E30)+SUM($G$4:G30)</f>
        <v>13525</v>
      </c>
      <c r="G30" s="55">
        <v>200</v>
      </c>
      <c r="H30" s="79" t="s">
        <v>18</v>
      </c>
      <c r="I30" s="79" t="s">
        <v>18</v>
      </c>
      <c r="J30" s="79" t="s">
        <v>18</v>
      </c>
      <c r="K30" s="79" t="s">
        <v>18</v>
      </c>
      <c r="L30" s="79" t="s">
        <v>18</v>
      </c>
      <c r="M30" s="77" t="s">
        <v>12</v>
      </c>
      <c r="N30" s="7" t="s">
        <v>23</v>
      </c>
      <c r="O30" s="7" t="s">
        <v>23</v>
      </c>
      <c r="P30" s="84" t="s">
        <v>19</v>
      </c>
      <c r="Q30" s="84" t="s">
        <v>19</v>
      </c>
      <c r="R30" s="84" t="s">
        <v>19</v>
      </c>
      <c r="S30" s="84" t="s">
        <v>19</v>
      </c>
      <c r="T30" s="84" t="s">
        <v>19</v>
      </c>
      <c r="U30" s="84" t="s">
        <v>19</v>
      </c>
      <c r="V30" s="7" t="s">
        <v>23</v>
      </c>
      <c r="W30" s="7" t="s">
        <v>23</v>
      </c>
      <c r="X30" t="s">
        <v>23</v>
      </c>
      <c r="Y30" t="s">
        <v>23</v>
      </c>
      <c r="Z30" t="s">
        <v>23</v>
      </c>
      <c r="AA30" t="s">
        <v>23</v>
      </c>
      <c r="AB30" t="s">
        <v>23</v>
      </c>
      <c r="AC30" t="s">
        <v>23</v>
      </c>
      <c r="AD30" s="7" t="s">
        <v>23</v>
      </c>
      <c r="AE30" s="7" t="s">
        <v>23</v>
      </c>
      <c r="AF30" s="80">
        <v>0</v>
      </c>
      <c r="AG30" s="80"/>
      <c r="AH30" s="80"/>
      <c r="AI30" s="80"/>
      <c r="AJ30" s="8" t="s">
        <v>31</v>
      </c>
      <c r="AL30" s="19"/>
      <c r="AM30" s="19"/>
      <c r="AN30" s="19"/>
    </row>
    <row r="31" spans="1:51">
      <c r="A31" s="1">
        <v>44483</v>
      </c>
      <c r="B31" s="55">
        <v>1600</v>
      </c>
      <c r="C31" s="55" cm="1">
        <f t="array" ref="C31">(SUM(VLOOKUP(H31:AE31,$AL$4:$AN$44,2,FALSE))+AF31*10)*IF(AJ31="是",$AW$4,$AW$3)</f>
        <v>1680</v>
      </c>
      <c r="D31" s="57">
        <f>SUM($B$4:B31)-SUM($C$4:C31)</f>
        <v>8784</v>
      </c>
      <c r="E31" s="55" cm="1">
        <f t="array" ref="E31">SUM(VLOOKUP(H31:AE31,$AL$4:$AN$44,3,FALSE))</f>
        <v>570</v>
      </c>
      <c r="F31" s="98">
        <f>SUM($E$4:E31)+SUM($G$4:G31)</f>
        <v>14095</v>
      </c>
      <c r="G31" s="55">
        <v>0</v>
      </c>
      <c r="H31" s="79" t="s">
        <v>18</v>
      </c>
      <c r="I31" s="79" t="s">
        <v>18</v>
      </c>
      <c r="J31" s="79" t="s">
        <v>18</v>
      </c>
      <c r="K31" s="79" t="s">
        <v>18</v>
      </c>
      <c r="L31" s="79" t="s">
        <v>18</v>
      </c>
      <c r="M31" s="79" t="s">
        <v>18</v>
      </c>
      <c r="N31" s="7" t="s">
        <v>23</v>
      </c>
      <c r="O31" s="7" t="s">
        <v>23</v>
      </c>
      <c r="P31" s="84" t="s">
        <v>19</v>
      </c>
      <c r="Q31" s="84" t="s">
        <v>19</v>
      </c>
      <c r="R31" s="84" t="s">
        <v>19</v>
      </c>
      <c r="S31" s="84" t="s">
        <v>19</v>
      </c>
      <c r="T31" s="84" t="s">
        <v>19</v>
      </c>
      <c r="U31" s="84" t="s">
        <v>19</v>
      </c>
      <c r="V31" s="7" t="s">
        <v>23</v>
      </c>
      <c r="W31" s="7" t="s">
        <v>23</v>
      </c>
      <c r="X31" t="s">
        <v>23</v>
      </c>
      <c r="Y31" t="s">
        <v>23</v>
      </c>
      <c r="Z31" t="s">
        <v>23</v>
      </c>
      <c r="AA31" t="s">
        <v>23</v>
      </c>
      <c r="AB31" t="s">
        <v>23</v>
      </c>
      <c r="AC31" t="s">
        <v>23</v>
      </c>
      <c r="AD31" s="7" t="s">
        <v>23</v>
      </c>
      <c r="AE31" s="7" t="s">
        <v>23</v>
      </c>
      <c r="AF31" s="80">
        <v>0</v>
      </c>
      <c r="AG31" s="80"/>
      <c r="AH31" s="80"/>
      <c r="AI31" s="80"/>
      <c r="AJ31" s="8" t="s">
        <v>31</v>
      </c>
      <c r="AL31" s="19"/>
      <c r="AM31" s="19"/>
      <c r="AN31" s="19"/>
    </row>
    <row r="32" spans="1:51">
      <c r="A32" s="1">
        <v>44484</v>
      </c>
      <c r="B32" s="55">
        <v>1600</v>
      </c>
      <c r="C32" s="55" cm="1">
        <f t="array" ref="C32">(SUM(VLOOKUP(H32:AE32,$AL$4:$AN$44,2,FALSE))+AF32*10)*IF(AJ32="是",$AW$4,$AW$3)</f>
        <v>1608</v>
      </c>
      <c r="D32" s="57">
        <f>SUM($B$4:B32)-SUM($C$4:C32)</f>
        <v>8776</v>
      </c>
      <c r="E32" s="55" cm="1">
        <f t="array" ref="E32">SUM(VLOOKUP(H32:AE32,$AL$4:$AN$44,3,FALSE))</f>
        <v>570</v>
      </c>
      <c r="F32" s="98">
        <f>SUM($E$4:E32)+SUM($G$4:G32)</f>
        <v>14665</v>
      </c>
      <c r="G32" s="55">
        <v>0</v>
      </c>
      <c r="H32" s="79" t="s">
        <v>18</v>
      </c>
      <c r="I32" s="79" t="s">
        <v>18</v>
      </c>
      <c r="J32" s="79" t="s">
        <v>18</v>
      </c>
      <c r="K32" s="84" t="s">
        <v>19</v>
      </c>
      <c r="L32" s="84" t="s">
        <v>19</v>
      </c>
      <c r="M32" s="84" t="s">
        <v>19</v>
      </c>
      <c r="N32" s="7" t="s">
        <v>23</v>
      </c>
      <c r="O32" s="7" t="s">
        <v>23</v>
      </c>
      <c r="P32" s="84" t="s">
        <v>19</v>
      </c>
      <c r="Q32" s="84" t="s">
        <v>19</v>
      </c>
      <c r="R32" s="77" t="s">
        <v>12</v>
      </c>
      <c r="S32" s="84" t="s">
        <v>19</v>
      </c>
      <c r="T32" s="84" t="s">
        <v>19</v>
      </c>
      <c r="U32" s="24" t="s">
        <v>20</v>
      </c>
      <c r="V32" s="7" t="s">
        <v>23</v>
      </c>
      <c r="W32" s="7" t="s">
        <v>23</v>
      </c>
      <c r="X32" t="s">
        <v>23</v>
      </c>
      <c r="Y32" t="s">
        <v>23</v>
      </c>
      <c r="Z32" t="s">
        <v>23</v>
      </c>
      <c r="AA32" t="s">
        <v>23</v>
      </c>
      <c r="AB32" t="s">
        <v>23</v>
      </c>
      <c r="AC32" t="s">
        <v>23</v>
      </c>
      <c r="AD32" s="7" t="s">
        <v>23</v>
      </c>
      <c r="AE32" s="7" t="s">
        <v>23</v>
      </c>
      <c r="AF32" s="80">
        <v>0</v>
      </c>
      <c r="AG32" s="80"/>
      <c r="AH32" s="80"/>
      <c r="AI32" s="80"/>
      <c r="AJ32" s="8" t="s">
        <v>31</v>
      </c>
      <c r="AL32" s="19"/>
      <c r="AM32" s="19"/>
      <c r="AN32" s="19"/>
    </row>
    <row r="33" spans="1:41">
      <c r="A33" s="1">
        <v>44485</v>
      </c>
      <c r="B33" s="55">
        <v>1600</v>
      </c>
      <c r="C33" s="55" cm="1">
        <f t="array" ref="C33">(SUM(VLOOKUP(H33:AE33,$AL$4:$AN$44,2,FALSE))+AF33*10)*IF(AJ33="是",$AW$4,$AW$3)</f>
        <v>1728</v>
      </c>
      <c r="D33" s="57">
        <f>SUM($B$4:B33)-SUM($C$4:C33)</f>
        <v>8648</v>
      </c>
      <c r="E33" s="55" cm="1">
        <f t="array" ref="E33">SUM(VLOOKUP(H33:AE33,$AL$4:$AN$44,3,FALSE))</f>
        <v>600</v>
      </c>
      <c r="F33" s="98">
        <f>SUM($E$4:E33)+SUM($G$4:G33)</f>
        <v>15265</v>
      </c>
      <c r="G33" s="55">
        <v>0</v>
      </c>
      <c r="H33" s="84" t="s">
        <v>19</v>
      </c>
      <c r="I33" s="84" t="s">
        <v>19</v>
      </c>
      <c r="J33" s="84" t="s">
        <v>19</v>
      </c>
      <c r="K33" s="84" t="s">
        <v>19</v>
      </c>
      <c r="L33" s="84" t="s">
        <v>19</v>
      </c>
      <c r="M33" s="84" t="s">
        <v>19</v>
      </c>
      <c r="N33" s="7" t="s">
        <v>23</v>
      </c>
      <c r="O33" s="7" t="s">
        <v>23</v>
      </c>
      <c r="P33" s="84" t="s">
        <v>19</v>
      </c>
      <c r="Q33" s="84" t="s">
        <v>19</v>
      </c>
      <c r="R33" s="84" t="s">
        <v>19</v>
      </c>
      <c r="S33" s="84" t="s">
        <v>19</v>
      </c>
      <c r="T33" s="84" t="s">
        <v>19</v>
      </c>
      <c r="U33" s="84" t="s">
        <v>19</v>
      </c>
      <c r="V33" s="7" t="s">
        <v>23</v>
      </c>
      <c r="W33" s="7" t="s">
        <v>23</v>
      </c>
      <c r="X33" t="s">
        <v>23</v>
      </c>
      <c r="Y33" t="s">
        <v>23</v>
      </c>
      <c r="Z33" t="s">
        <v>23</v>
      </c>
      <c r="AA33" t="s">
        <v>23</v>
      </c>
      <c r="AB33" t="s">
        <v>23</v>
      </c>
      <c r="AC33" t="s">
        <v>23</v>
      </c>
      <c r="AD33" s="7" t="s">
        <v>23</v>
      </c>
      <c r="AE33" s="7" t="s">
        <v>23</v>
      </c>
      <c r="AF33" s="80">
        <v>0</v>
      </c>
      <c r="AG33" s="80"/>
      <c r="AH33" s="80"/>
      <c r="AI33" s="80"/>
      <c r="AJ33" s="8" t="s">
        <v>31</v>
      </c>
      <c r="AL33" s="19"/>
      <c r="AM33" s="19"/>
      <c r="AN33" s="19"/>
    </row>
    <row r="34" spans="1:41">
      <c r="A34" s="1">
        <v>44486</v>
      </c>
      <c r="B34" s="55">
        <v>1600</v>
      </c>
      <c r="C34" s="55" cm="1">
        <f t="array" ref="C34">(SUM(VLOOKUP(H34:AE34,$AL$4:$AN$44,2,FALSE))+AF34*10)*IF(AJ34="是",$AW$4,$AW$3)</f>
        <v>1728</v>
      </c>
      <c r="D34" s="57">
        <f>SUM($B$4:B34)-SUM($C$4:C34)</f>
        <v>8520</v>
      </c>
      <c r="E34" s="55" cm="1">
        <f t="array" ref="E34">SUM(VLOOKUP(H34:AE34,$AL$4:$AN$44,3,FALSE))</f>
        <v>600</v>
      </c>
      <c r="F34" s="98">
        <f>SUM($E$4:E34)+SUM($G$4:G34)</f>
        <v>15865</v>
      </c>
      <c r="G34" s="55">
        <v>0</v>
      </c>
      <c r="H34" s="84" t="s">
        <v>19</v>
      </c>
      <c r="I34" s="84" t="s">
        <v>19</v>
      </c>
      <c r="J34" s="84" t="s">
        <v>19</v>
      </c>
      <c r="K34" s="84" t="s">
        <v>19</v>
      </c>
      <c r="L34" s="84" t="s">
        <v>19</v>
      </c>
      <c r="M34" s="84" t="s">
        <v>19</v>
      </c>
      <c r="N34" s="7" t="s">
        <v>23</v>
      </c>
      <c r="O34" s="7" t="s">
        <v>23</v>
      </c>
      <c r="P34" s="84" t="s">
        <v>19</v>
      </c>
      <c r="Q34" s="84" t="s">
        <v>19</v>
      </c>
      <c r="R34" s="84" t="s">
        <v>19</v>
      </c>
      <c r="S34" s="84" t="s">
        <v>19</v>
      </c>
      <c r="T34" s="84" t="s">
        <v>19</v>
      </c>
      <c r="U34" s="84" t="s">
        <v>19</v>
      </c>
      <c r="V34" s="7" t="s">
        <v>23</v>
      </c>
      <c r="W34" s="7" t="s">
        <v>23</v>
      </c>
      <c r="X34" t="s">
        <v>23</v>
      </c>
      <c r="Y34" t="s">
        <v>23</v>
      </c>
      <c r="Z34" t="s">
        <v>23</v>
      </c>
      <c r="AA34" t="s">
        <v>23</v>
      </c>
      <c r="AB34" t="s">
        <v>23</v>
      </c>
      <c r="AC34" t="s">
        <v>23</v>
      </c>
      <c r="AD34" s="7" t="s">
        <v>23</v>
      </c>
      <c r="AE34" s="7" t="s">
        <v>23</v>
      </c>
      <c r="AF34" s="80">
        <v>0</v>
      </c>
      <c r="AG34" s="80"/>
      <c r="AH34" s="80"/>
      <c r="AI34" s="80"/>
      <c r="AJ34" s="8" t="s">
        <v>31</v>
      </c>
      <c r="AL34" s="19"/>
      <c r="AM34" s="19"/>
      <c r="AN34" s="19"/>
    </row>
    <row r="35" spans="1:41">
      <c r="A35" s="1">
        <v>44487</v>
      </c>
      <c r="B35" s="56">
        <v>1600</v>
      </c>
      <c r="C35" s="55" cm="1">
        <f t="array" ref="C35">(SUM(VLOOKUP(H35:AE35,$AL$4:$AN$44,2,FALSE))+AF35*10)*IF(AJ35="是",$AW$4,$AW$3)</f>
        <v>1624</v>
      </c>
      <c r="D35" s="57">
        <f>SUM($B$4:B35)-SUM($C$4:C35)</f>
        <v>8496</v>
      </c>
      <c r="E35" s="55" cm="1">
        <f t="array" ref="E35">SUM(VLOOKUP(H35:AE35,$AL$4:$AN$44,3,FALSE))</f>
        <v>580</v>
      </c>
      <c r="F35" s="98">
        <f>SUM($E$4:E35)+SUM($G$4:G35)</f>
        <v>16645</v>
      </c>
      <c r="G35" s="56">
        <v>200</v>
      </c>
      <c r="H35" s="84" t="s">
        <v>19</v>
      </c>
      <c r="I35" s="84" t="s">
        <v>19</v>
      </c>
      <c r="J35" s="84" t="s">
        <v>19</v>
      </c>
      <c r="K35" s="84" t="s">
        <v>19</v>
      </c>
      <c r="L35" s="84" t="s">
        <v>19</v>
      </c>
      <c r="M35" s="77" t="s">
        <v>12</v>
      </c>
      <c r="N35" s="7" t="s">
        <v>23</v>
      </c>
      <c r="O35" s="7" t="s">
        <v>23</v>
      </c>
      <c r="P35" s="84" t="s">
        <v>19</v>
      </c>
      <c r="Q35" s="84" t="s">
        <v>19</v>
      </c>
      <c r="R35" s="84" t="s">
        <v>19</v>
      </c>
      <c r="S35" s="84" t="s">
        <v>19</v>
      </c>
      <c r="T35" s="84" t="s">
        <v>19</v>
      </c>
      <c r="U35" s="84" t="s">
        <v>19</v>
      </c>
      <c r="V35" s="7" t="s">
        <v>23</v>
      </c>
      <c r="W35" s="7" t="s">
        <v>23</v>
      </c>
      <c r="X35" t="s">
        <v>23</v>
      </c>
      <c r="Y35" t="s">
        <v>23</v>
      </c>
      <c r="Z35" t="s">
        <v>23</v>
      </c>
      <c r="AA35" t="s">
        <v>23</v>
      </c>
      <c r="AB35" t="s">
        <v>23</v>
      </c>
      <c r="AC35" t="s">
        <v>23</v>
      </c>
      <c r="AD35" s="7" t="s">
        <v>23</v>
      </c>
      <c r="AE35" s="7" t="s">
        <v>23</v>
      </c>
      <c r="AF35" s="80">
        <v>0</v>
      </c>
      <c r="AG35" s="80"/>
      <c r="AH35" s="80"/>
      <c r="AI35" s="80"/>
      <c r="AJ35" s="8" t="s">
        <v>31</v>
      </c>
      <c r="AL35" s="19"/>
      <c r="AM35" s="19"/>
      <c r="AN35" s="19"/>
    </row>
    <row r="36" spans="1:41">
      <c r="A36" s="1">
        <v>44488</v>
      </c>
      <c r="B36" s="56">
        <v>1600</v>
      </c>
      <c r="C36" s="55" cm="1">
        <f t="array" ref="C36">(SUM(VLOOKUP(H36:AE36,$AL$4:$AN$44,2,FALSE))+AF36*10)*IF(AJ36="是",$AW$4,$AW$3)</f>
        <v>1600</v>
      </c>
      <c r="D36" s="57">
        <f>SUM($B$4:B36)-SUM($C$4:C36)</f>
        <v>8496</v>
      </c>
      <c r="E36" s="55" cm="1">
        <f t="array" ref="E36">SUM(VLOOKUP(H36:AE36,$AL$4:$AN$44,3,FALSE))</f>
        <v>580</v>
      </c>
      <c r="F36" s="98">
        <f>SUM($E$4:E36)+SUM($G$4:G36)</f>
        <v>17325</v>
      </c>
      <c r="G36" s="56">
        <v>100</v>
      </c>
      <c r="H36" s="84" t="s">
        <v>19</v>
      </c>
      <c r="I36" s="84" t="s">
        <v>19</v>
      </c>
      <c r="J36" s="84" t="s">
        <v>19</v>
      </c>
      <c r="K36" s="84" t="s">
        <v>19</v>
      </c>
      <c r="L36" s="84" t="s">
        <v>19</v>
      </c>
      <c r="M36" s="84" t="s">
        <v>19</v>
      </c>
      <c r="N36" s="7" t="s">
        <v>23</v>
      </c>
      <c r="O36" s="7" t="s">
        <v>23</v>
      </c>
      <c r="P36" s="77" t="s">
        <v>12</v>
      </c>
      <c r="Q36" s="84" t="s">
        <v>19</v>
      </c>
      <c r="R36" s="84" t="s">
        <v>19</v>
      </c>
      <c r="S36" s="84" t="s">
        <v>19</v>
      </c>
      <c r="T36" s="23" t="s">
        <v>8</v>
      </c>
      <c r="U36" s="84" t="s">
        <v>19</v>
      </c>
      <c r="V36" s="7" t="s">
        <v>23</v>
      </c>
      <c r="W36" s="7" t="s">
        <v>23</v>
      </c>
      <c r="X36" t="s">
        <v>23</v>
      </c>
      <c r="Y36" t="s">
        <v>23</v>
      </c>
      <c r="Z36" t="s">
        <v>23</v>
      </c>
      <c r="AA36" t="s">
        <v>23</v>
      </c>
      <c r="AB36" t="s">
        <v>23</v>
      </c>
      <c r="AC36" t="s">
        <v>23</v>
      </c>
      <c r="AD36" s="7" t="s">
        <v>23</v>
      </c>
      <c r="AE36" s="7" t="s">
        <v>23</v>
      </c>
      <c r="AF36" s="80">
        <v>0</v>
      </c>
      <c r="AG36" s="80"/>
      <c r="AH36" s="80"/>
      <c r="AI36" s="80"/>
      <c r="AJ36" s="8" t="s">
        <v>31</v>
      </c>
      <c r="AL36" s="19"/>
      <c r="AM36" s="19"/>
      <c r="AN36" s="19"/>
    </row>
    <row r="37" spans="1:41">
      <c r="A37" s="1">
        <v>44489</v>
      </c>
      <c r="B37" s="56">
        <v>1600</v>
      </c>
      <c r="C37" s="55" cm="1">
        <f t="array" ref="C37">(SUM(VLOOKUP(H37:AE37,$AL$4:$AN$44,2,FALSE))+AF37*10)*IF(AJ37="是",$AW$4,$AW$3)</f>
        <v>1728</v>
      </c>
      <c r="D37" s="57">
        <f>SUM($B$4:B37)-SUM($C$4:C37)</f>
        <v>8368</v>
      </c>
      <c r="E37" s="55" cm="1">
        <f t="array" ref="E37">SUM(VLOOKUP(H37:AE37,$AL$4:$AN$44,3,FALSE))</f>
        <v>600</v>
      </c>
      <c r="F37" s="98">
        <f>SUM($E$4:E37)+SUM($G$4:G37)</f>
        <v>18125</v>
      </c>
      <c r="G37" s="56">
        <v>200</v>
      </c>
      <c r="H37" s="84" t="s">
        <v>19</v>
      </c>
      <c r="I37" s="84" t="s">
        <v>19</v>
      </c>
      <c r="J37" s="84" t="s">
        <v>19</v>
      </c>
      <c r="K37" s="84" t="s">
        <v>19</v>
      </c>
      <c r="L37" s="84" t="s">
        <v>19</v>
      </c>
      <c r="M37" s="84" t="s">
        <v>19</v>
      </c>
      <c r="N37" s="7" t="s">
        <v>23</v>
      </c>
      <c r="O37" s="7" t="s">
        <v>23</v>
      </c>
      <c r="P37" s="84" t="s">
        <v>19</v>
      </c>
      <c r="Q37" s="84" t="s">
        <v>19</v>
      </c>
      <c r="R37" s="84" t="s">
        <v>19</v>
      </c>
      <c r="S37" s="84" t="s">
        <v>19</v>
      </c>
      <c r="T37" s="84" t="s">
        <v>19</v>
      </c>
      <c r="U37" s="84" t="s">
        <v>19</v>
      </c>
      <c r="V37" s="7" t="s">
        <v>23</v>
      </c>
      <c r="W37" s="7" t="s">
        <v>23</v>
      </c>
      <c r="X37" t="s">
        <v>23</v>
      </c>
      <c r="Y37" t="s">
        <v>23</v>
      </c>
      <c r="Z37" t="s">
        <v>23</v>
      </c>
      <c r="AA37" t="s">
        <v>23</v>
      </c>
      <c r="AB37" t="s">
        <v>23</v>
      </c>
      <c r="AC37" t="s">
        <v>23</v>
      </c>
      <c r="AD37" s="7" t="s">
        <v>23</v>
      </c>
      <c r="AE37" s="7" t="s">
        <v>23</v>
      </c>
      <c r="AF37" s="80">
        <v>0</v>
      </c>
      <c r="AG37" s="80"/>
      <c r="AH37" s="80"/>
      <c r="AI37" s="80"/>
      <c r="AJ37" s="8" t="s">
        <v>31</v>
      </c>
      <c r="AL37" s="19" t="s">
        <v>67</v>
      </c>
      <c r="AM37" s="19"/>
      <c r="AN37" s="19">
        <v>6</v>
      </c>
      <c r="AO37">
        <v>194</v>
      </c>
    </row>
    <row r="38" spans="1:41">
      <c r="A38" s="1">
        <v>44490</v>
      </c>
      <c r="B38" s="56">
        <v>1600</v>
      </c>
      <c r="C38" s="55" cm="1">
        <f t="array" ref="C38">(SUM(VLOOKUP(H38:AE38,$AL$4:$AN$44,2,FALSE))+AF38*10)*IF(AJ38="是",$AW$4,$AW$3)</f>
        <v>1728</v>
      </c>
      <c r="D38" s="57">
        <f>SUM($B$4:B38)-SUM($C$4:C38)</f>
        <v>8240</v>
      </c>
      <c r="E38" s="55" cm="1">
        <f t="array" ref="E38">SUM(VLOOKUP(H38:AE38,$AL$4:$AN$44,3,FALSE))</f>
        <v>600</v>
      </c>
      <c r="F38" s="98">
        <f>SUM($E$4:E38)+SUM($G$4:G38)</f>
        <v>18725</v>
      </c>
      <c r="G38" s="56">
        <v>0</v>
      </c>
      <c r="H38" s="84" t="s">
        <v>19</v>
      </c>
      <c r="I38" s="84" t="s">
        <v>19</v>
      </c>
      <c r="J38" s="84" t="s">
        <v>19</v>
      </c>
      <c r="K38" s="84" t="s">
        <v>19</v>
      </c>
      <c r="L38" s="84" t="s">
        <v>19</v>
      </c>
      <c r="M38" s="84" t="s">
        <v>19</v>
      </c>
      <c r="N38" s="7" t="s">
        <v>23</v>
      </c>
      <c r="O38" s="7" t="s">
        <v>23</v>
      </c>
      <c r="P38" s="84" t="s">
        <v>19</v>
      </c>
      <c r="Q38" s="84" t="s">
        <v>19</v>
      </c>
      <c r="R38" s="84" t="s">
        <v>19</v>
      </c>
      <c r="S38" s="84" t="s">
        <v>19</v>
      </c>
      <c r="T38" s="84" t="s">
        <v>19</v>
      </c>
      <c r="U38" s="84" t="s">
        <v>19</v>
      </c>
      <c r="V38" s="7" t="s">
        <v>23</v>
      </c>
      <c r="W38" s="7" t="s">
        <v>23</v>
      </c>
      <c r="X38" t="s">
        <v>23</v>
      </c>
      <c r="Y38" t="s">
        <v>23</v>
      </c>
      <c r="Z38" t="s">
        <v>23</v>
      </c>
      <c r="AA38" t="s">
        <v>23</v>
      </c>
      <c r="AB38" t="s">
        <v>23</v>
      </c>
      <c r="AC38" t="s">
        <v>23</v>
      </c>
      <c r="AD38" s="7" t="s">
        <v>23</v>
      </c>
      <c r="AE38" s="7" t="s">
        <v>23</v>
      </c>
      <c r="AF38" s="80">
        <v>0</v>
      </c>
      <c r="AG38" s="80"/>
      <c r="AH38" s="80"/>
      <c r="AI38" s="80"/>
      <c r="AJ38" s="8" t="s">
        <v>31</v>
      </c>
      <c r="AL38" s="19" t="s">
        <v>68</v>
      </c>
      <c r="AM38" s="19"/>
      <c r="AN38" s="19">
        <v>5</v>
      </c>
      <c r="AO38">
        <v>236</v>
      </c>
    </row>
    <row r="39" spans="1:41">
      <c r="A39" s="1">
        <v>44491</v>
      </c>
      <c r="B39" s="56">
        <v>1600</v>
      </c>
      <c r="C39" s="55" cm="1">
        <f t="array" ref="C39">(SUM(VLOOKUP(H39:AE39,$AL$4:$AN$44,2,FALSE))+AF39*10)*IF(AJ39="是",$AW$4,$AW$3)</f>
        <v>1632</v>
      </c>
      <c r="D39" s="57">
        <f>SUM($B$4:B39)-SUM($C$4:C39)</f>
        <v>8208</v>
      </c>
      <c r="E39" s="55" cm="1">
        <f t="array" ref="E39">SUM(VLOOKUP(H39:AE39,$AL$4:$AN$44,3,FALSE))</f>
        <v>600</v>
      </c>
      <c r="F39" s="98">
        <f>SUM($E$4:E39)+SUM($G$4:G39)</f>
        <v>19325</v>
      </c>
      <c r="G39" s="56">
        <v>0</v>
      </c>
      <c r="H39" s="84" t="s">
        <v>19</v>
      </c>
      <c r="I39" s="84" t="s">
        <v>8</v>
      </c>
      <c r="J39" s="84" t="s">
        <v>19</v>
      </c>
      <c r="K39" s="84" t="s">
        <v>19</v>
      </c>
      <c r="L39" s="77" t="s">
        <v>12</v>
      </c>
      <c r="M39" s="84" t="s">
        <v>19</v>
      </c>
      <c r="N39" s="7" t="s">
        <v>23</v>
      </c>
      <c r="O39" s="7" t="s">
        <v>23</v>
      </c>
      <c r="P39" s="84" t="s">
        <v>19</v>
      </c>
      <c r="Q39" s="24" t="s">
        <v>20</v>
      </c>
      <c r="R39" s="24" t="s">
        <v>20</v>
      </c>
      <c r="S39" s="84" t="s">
        <v>19</v>
      </c>
      <c r="T39" s="24" t="s">
        <v>20</v>
      </c>
      <c r="U39" s="24" t="s">
        <v>20</v>
      </c>
      <c r="V39" s="7" t="s">
        <v>23</v>
      </c>
      <c r="W39" s="7" t="s">
        <v>23</v>
      </c>
      <c r="X39" t="s">
        <v>23</v>
      </c>
      <c r="Y39" t="s">
        <v>23</v>
      </c>
      <c r="Z39" t="s">
        <v>23</v>
      </c>
      <c r="AA39" t="s">
        <v>23</v>
      </c>
      <c r="AB39" t="s">
        <v>23</v>
      </c>
      <c r="AC39" t="s">
        <v>23</v>
      </c>
      <c r="AD39" s="7" t="s">
        <v>23</v>
      </c>
      <c r="AE39" s="7" t="s">
        <v>23</v>
      </c>
      <c r="AF39" s="80">
        <v>0</v>
      </c>
      <c r="AG39" s="80"/>
      <c r="AH39" s="80"/>
      <c r="AI39" s="80"/>
      <c r="AJ39" s="8" t="s">
        <v>31</v>
      </c>
      <c r="AL39" s="19" t="s">
        <v>69</v>
      </c>
      <c r="AM39" s="19"/>
      <c r="AN39" s="19">
        <v>4</v>
      </c>
      <c r="AO39">
        <v>269</v>
      </c>
    </row>
    <row r="40" spans="1:41">
      <c r="A40" s="1">
        <v>44492</v>
      </c>
      <c r="B40" s="56">
        <v>1600</v>
      </c>
      <c r="C40" s="55" cm="1">
        <f t="array" ref="C40">(SUM(VLOOKUP(H40:AE40,$AL$4:$AN$44,2,FALSE))+AF40*10)*IF(AJ40="是",$AW$4,$AW$3)</f>
        <v>1808</v>
      </c>
      <c r="D40" s="57">
        <f>SUM($B$4:B40)-SUM($C$4:C40)</f>
        <v>8000</v>
      </c>
      <c r="E40" s="55" cm="1">
        <f t="array" ref="E40">SUM(VLOOKUP(H40:AE40,$AL$4:$AN$44,3,FALSE))</f>
        <v>1125</v>
      </c>
      <c r="F40" s="98">
        <f>SUM($E$4:E40)+SUM($G$4:G40)</f>
        <v>20450</v>
      </c>
      <c r="G40" s="56">
        <v>0</v>
      </c>
      <c r="H40" s="84" t="s">
        <v>19</v>
      </c>
      <c r="I40" s="84" t="s">
        <v>19</v>
      </c>
      <c r="J40" s="84" t="s">
        <v>19</v>
      </c>
      <c r="K40" s="84" t="s">
        <v>19</v>
      </c>
      <c r="L40" s="84" t="s">
        <v>19</v>
      </c>
      <c r="M40" s="84" t="s">
        <v>19</v>
      </c>
      <c r="N40" s="82" t="s">
        <v>47</v>
      </c>
      <c r="O40" s="84" t="s">
        <v>19</v>
      </c>
      <c r="P40" s="24" t="s">
        <v>20</v>
      </c>
      <c r="Q40" s="24" t="s">
        <v>20</v>
      </c>
      <c r="R40" s="24" t="s">
        <v>20</v>
      </c>
      <c r="S40" s="35" t="s">
        <v>41</v>
      </c>
      <c r="T40" s="24" t="s">
        <v>20</v>
      </c>
      <c r="U40" s="24" t="s">
        <v>20</v>
      </c>
      <c r="V40" s="7" t="s">
        <v>23</v>
      </c>
      <c r="W40" s="7" t="s">
        <v>23</v>
      </c>
      <c r="X40" t="s">
        <v>23</v>
      </c>
      <c r="Y40" t="s">
        <v>23</v>
      </c>
      <c r="Z40" t="s">
        <v>23</v>
      </c>
      <c r="AA40" t="s">
        <v>23</v>
      </c>
      <c r="AB40" t="s">
        <v>23</v>
      </c>
      <c r="AC40" t="s">
        <v>23</v>
      </c>
      <c r="AD40" s="7" t="s">
        <v>23</v>
      </c>
      <c r="AE40" s="7" t="s">
        <v>23</v>
      </c>
      <c r="AF40" s="80">
        <v>0</v>
      </c>
      <c r="AG40" s="80"/>
      <c r="AH40" s="80"/>
      <c r="AI40" s="80"/>
      <c r="AJ40" s="8" t="s">
        <v>31</v>
      </c>
      <c r="AL40" s="19" t="s">
        <v>70</v>
      </c>
      <c r="AM40" s="19"/>
      <c r="AN40" s="19">
        <v>3</v>
      </c>
      <c r="AO40">
        <v>358</v>
      </c>
    </row>
    <row r="41" spans="1:41">
      <c r="A41" s="1">
        <v>44493</v>
      </c>
      <c r="B41" s="56">
        <v>1600</v>
      </c>
      <c r="C41" s="55" cm="1">
        <f t="array" ref="C41">(SUM(VLOOKUP(H41:AE41,$AL$4:$AN$44,2,FALSE))+AF41*10)*IF(AJ41="是",$AW$4,$AW$3)</f>
        <v>1776</v>
      </c>
      <c r="D41" s="57">
        <f>SUM($B$4:B41)-SUM($C$4:C41)</f>
        <v>7824</v>
      </c>
      <c r="E41" s="55" cm="1">
        <f t="array" ref="E41">SUM(VLOOKUP(H41:AE41,$AL$4:$AN$44,3,FALSE))</f>
        <v>630</v>
      </c>
      <c r="F41" s="98">
        <f>SUM($E$4:E41)+SUM($G$4:G41)</f>
        <v>21080</v>
      </c>
      <c r="G41" s="56">
        <v>0</v>
      </c>
      <c r="H41" s="84" t="s">
        <v>19</v>
      </c>
      <c r="I41" s="84" t="s">
        <v>19</v>
      </c>
      <c r="J41" s="84" t="s">
        <v>19</v>
      </c>
      <c r="K41" s="84" t="s">
        <v>19</v>
      </c>
      <c r="L41" s="84" t="s">
        <v>19</v>
      </c>
      <c r="M41" s="84" t="s">
        <v>19</v>
      </c>
      <c r="N41" s="7" t="s">
        <v>23</v>
      </c>
      <c r="O41" s="7" t="s">
        <v>23</v>
      </c>
      <c r="P41" s="24" t="s">
        <v>20</v>
      </c>
      <c r="Q41" s="24" t="s">
        <v>20</v>
      </c>
      <c r="R41" s="24" t="s">
        <v>20</v>
      </c>
      <c r="S41" s="24" t="s">
        <v>20</v>
      </c>
      <c r="T41" s="24" t="s">
        <v>20</v>
      </c>
      <c r="U41" s="24" t="s">
        <v>20</v>
      </c>
      <c r="V41" s="7" t="s">
        <v>23</v>
      </c>
      <c r="W41" s="7" t="s">
        <v>23</v>
      </c>
      <c r="X41" t="s">
        <v>23</v>
      </c>
      <c r="Y41" t="s">
        <v>23</v>
      </c>
      <c r="Z41" t="s">
        <v>23</v>
      </c>
      <c r="AA41" t="s">
        <v>23</v>
      </c>
      <c r="AB41" t="s">
        <v>23</v>
      </c>
      <c r="AC41" t="s">
        <v>23</v>
      </c>
      <c r="AD41" s="7" t="s">
        <v>23</v>
      </c>
      <c r="AE41" s="7" t="s">
        <v>23</v>
      </c>
      <c r="AF41" s="80">
        <v>0</v>
      </c>
      <c r="AG41" s="80"/>
      <c r="AH41" s="80"/>
      <c r="AI41" s="80"/>
      <c r="AJ41" s="8" t="s">
        <v>31</v>
      </c>
      <c r="AL41" s="19"/>
      <c r="AM41" s="19"/>
      <c r="AN41" s="19"/>
      <c r="AO41">
        <f>SUM(AO37:AO40)</f>
        <v>1057</v>
      </c>
    </row>
    <row r="42" spans="1:41">
      <c r="A42" s="1">
        <v>44494</v>
      </c>
      <c r="B42" s="55">
        <v>1600</v>
      </c>
      <c r="C42" s="55" cm="1">
        <f t="array" ref="C42">(SUM(VLOOKUP(H42:AE42,$AL$4:$AN$44,2,FALSE))+AF42*10)*IF(AJ42="是",$AW$4,$AW$3)</f>
        <v>1664</v>
      </c>
      <c r="D42" s="57">
        <f>SUM($B$4:B42)-SUM($C$4:C42)</f>
        <v>7760</v>
      </c>
      <c r="E42" s="55" cm="1">
        <f t="array" ref="E42">SUM(VLOOKUP(H42:AE42,$AL$4:$AN$44,3,FALSE))</f>
        <v>605</v>
      </c>
      <c r="F42" s="98">
        <f>SUM($E$4:E42)+SUM($G$4:G42)</f>
        <v>21985</v>
      </c>
      <c r="G42" s="55">
        <v>300</v>
      </c>
      <c r="H42" s="84" t="s">
        <v>19</v>
      </c>
      <c r="I42" s="84" t="s">
        <v>19</v>
      </c>
      <c r="J42" s="84" t="s">
        <v>19</v>
      </c>
      <c r="K42" s="84" t="s">
        <v>19</v>
      </c>
      <c r="L42" s="84" t="s">
        <v>19</v>
      </c>
      <c r="M42" s="84" t="s">
        <v>19</v>
      </c>
      <c r="N42" s="7" t="s">
        <v>23</v>
      </c>
      <c r="O42" s="7" t="s">
        <v>23</v>
      </c>
      <c r="P42" s="24" t="s">
        <v>20</v>
      </c>
      <c r="Q42" s="24" t="s">
        <v>20</v>
      </c>
      <c r="R42" s="24" t="s">
        <v>20</v>
      </c>
      <c r="S42" s="24" t="s">
        <v>20</v>
      </c>
      <c r="T42" s="24" t="s">
        <v>20</v>
      </c>
      <c r="U42" s="77" t="s">
        <v>12</v>
      </c>
      <c r="V42" s="7" t="s">
        <v>23</v>
      </c>
      <c r="W42" s="7" t="s">
        <v>23</v>
      </c>
      <c r="X42" t="s">
        <v>23</v>
      </c>
      <c r="Y42" t="s">
        <v>23</v>
      </c>
      <c r="Z42" t="s">
        <v>23</v>
      </c>
      <c r="AA42" t="s">
        <v>23</v>
      </c>
      <c r="AB42" t="s">
        <v>23</v>
      </c>
      <c r="AC42" t="s">
        <v>23</v>
      </c>
      <c r="AD42" s="7" t="s">
        <v>23</v>
      </c>
      <c r="AE42" s="7" t="s">
        <v>23</v>
      </c>
      <c r="AF42" s="80">
        <v>0</v>
      </c>
      <c r="AG42" s="80"/>
      <c r="AH42" s="80"/>
      <c r="AI42" s="80"/>
      <c r="AJ42" s="8" t="s">
        <v>31</v>
      </c>
      <c r="AL42" s="19"/>
      <c r="AM42" s="19"/>
      <c r="AN42" s="19"/>
    </row>
    <row r="43" spans="1:41">
      <c r="A43" s="1">
        <v>44495</v>
      </c>
      <c r="B43" s="55">
        <v>1600</v>
      </c>
      <c r="C43" s="55" cm="1">
        <f t="array" ref="C43">(SUM(VLOOKUP(H43:AE43,$AL$4:$AN$44,2,FALSE))+AF43*10)*IF(AJ43="是",$AW$4,$AW$3)</f>
        <v>1776</v>
      </c>
      <c r="D43" s="57">
        <f>SUM($B$4:B43)-SUM($C$4:C43)</f>
        <v>7584</v>
      </c>
      <c r="E43" s="55" cm="1">
        <f t="array" ref="E43">SUM(VLOOKUP(H43:AE43,$AL$4:$AN$44,3,FALSE))</f>
        <v>630</v>
      </c>
      <c r="F43" s="98">
        <f>SUM($E$4:E43)+SUM($G$4:G43)</f>
        <v>22615</v>
      </c>
      <c r="G43" s="55">
        <v>0</v>
      </c>
      <c r="H43" s="84" t="s">
        <v>19</v>
      </c>
      <c r="I43" s="84" t="s">
        <v>19</v>
      </c>
      <c r="J43" s="84" t="s">
        <v>19</v>
      </c>
      <c r="K43" s="84" t="s">
        <v>19</v>
      </c>
      <c r="L43" s="84" t="s">
        <v>19</v>
      </c>
      <c r="M43" s="84" t="s">
        <v>19</v>
      </c>
      <c r="N43" s="7" t="s">
        <v>23</v>
      </c>
      <c r="O43" s="7" t="s">
        <v>23</v>
      </c>
      <c r="P43" s="24" t="s">
        <v>20</v>
      </c>
      <c r="Q43" s="24" t="s">
        <v>20</v>
      </c>
      <c r="R43" s="24" t="s">
        <v>20</v>
      </c>
      <c r="S43" s="24" t="s">
        <v>20</v>
      </c>
      <c r="T43" s="24" t="s">
        <v>20</v>
      </c>
      <c r="U43" s="24" t="s">
        <v>20</v>
      </c>
      <c r="V43" s="7" t="s">
        <v>23</v>
      </c>
      <c r="W43" s="7" t="s">
        <v>23</v>
      </c>
      <c r="X43" t="s">
        <v>23</v>
      </c>
      <c r="Y43" t="s">
        <v>23</v>
      </c>
      <c r="Z43" t="s">
        <v>23</v>
      </c>
      <c r="AA43" t="s">
        <v>23</v>
      </c>
      <c r="AB43" t="s">
        <v>23</v>
      </c>
      <c r="AC43" t="s">
        <v>23</v>
      </c>
      <c r="AD43" s="7" t="s">
        <v>23</v>
      </c>
      <c r="AE43" s="7" t="s">
        <v>23</v>
      </c>
      <c r="AF43" s="80">
        <v>0</v>
      </c>
      <c r="AG43" s="80"/>
      <c r="AH43" s="80"/>
      <c r="AI43" s="80"/>
      <c r="AJ43" s="8" t="s">
        <v>31</v>
      </c>
      <c r="AL43" s="19"/>
      <c r="AM43" s="19"/>
      <c r="AN43" s="19"/>
    </row>
    <row r="44" spans="1:41">
      <c r="A44" s="1">
        <v>44496</v>
      </c>
      <c r="B44" s="55">
        <v>1600</v>
      </c>
      <c r="C44" s="55" cm="1">
        <f t="array" ref="C44">(SUM(VLOOKUP(H44:AE44,$AL$4:$AN$44,2,FALSE))+AF44*10)*IF(AJ44="是",$AW$4,$AW$3)</f>
        <v>1744</v>
      </c>
      <c r="D44" s="57">
        <f>SUM($B$4:B44)-SUM($C$4:C44)</f>
        <v>7440</v>
      </c>
      <c r="E44" s="55" cm="1">
        <f t="array" ref="E44">SUM(VLOOKUP(H44:AE44,$AL$4:$AN$44,3,FALSE))</f>
        <v>630</v>
      </c>
      <c r="F44" s="98">
        <f>SUM($E$4:E44)+SUM($G$4:G44)</f>
        <v>23445</v>
      </c>
      <c r="G44" s="55">
        <v>200</v>
      </c>
      <c r="H44" s="84" t="s">
        <v>19</v>
      </c>
      <c r="I44" s="84" t="s">
        <v>19</v>
      </c>
      <c r="J44" s="84" t="s">
        <v>19</v>
      </c>
      <c r="K44" s="84" t="s">
        <v>19</v>
      </c>
      <c r="L44" s="84" t="s">
        <v>19</v>
      </c>
      <c r="M44" s="84" t="s">
        <v>19</v>
      </c>
      <c r="N44" s="7" t="s">
        <v>23</v>
      </c>
      <c r="O44" s="7" t="s">
        <v>23</v>
      </c>
      <c r="P44" s="24" t="s">
        <v>20</v>
      </c>
      <c r="Q44" s="24" t="s">
        <v>20</v>
      </c>
      <c r="R44" s="24" t="s">
        <v>20</v>
      </c>
      <c r="S44" s="24" t="s">
        <v>20</v>
      </c>
      <c r="T44" s="24" t="s">
        <v>9</v>
      </c>
      <c r="U44" s="24" t="s">
        <v>20</v>
      </c>
      <c r="V44" s="7" t="s">
        <v>23</v>
      </c>
      <c r="W44" s="7" t="s">
        <v>23</v>
      </c>
      <c r="X44" t="s">
        <v>23</v>
      </c>
      <c r="Y44" t="s">
        <v>23</v>
      </c>
      <c r="Z44" t="s">
        <v>23</v>
      </c>
      <c r="AA44" t="s">
        <v>23</v>
      </c>
      <c r="AB44" t="s">
        <v>23</v>
      </c>
      <c r="AC44" t="s">
        <v>23</v>
      </c>
      <c r="AD44" s="7" t="s">
        <v>23</v>
      </c>
      <c r="AE44" s="7" t="s">
        <v>23</v>
      </c>
      <c r="AF44" s="80">
        <v>0</v>
      </c>
      <c r="AG44" s="80"/>
      <c r="AH44" s="80"/>
      <c r="AI44" s="80"/>
      <c r="AJ44" s="8" t="s">
        <v>31</v>
      </c>
      <c r="AL44" s="19"/>
      <c r="AM44" s="19"/>
      <c r="AN44" s="19"/>
    </row>
    <row r="45" spans="1:41">
      <c r="A45" s="1">
        <v>44497</v>
      </c>
      <c r="B45" s="55">
        <v>1600</v>
      </c>
      <c r="C45" s="55" cm="1">
        <f t="array" ref="C45">(SUM(VLOOKUP(H45:AE45,$AL$4:$AN$44,2,FALSE))+AF45*10)*IF(AJ45="是",$AW$4,$AW$3)</f>
        <v>1808</v>
      </c>
      <c r="D45" s="57">
        <f>SUM($B$4:B45)-SUM($C$4:C45)</f>
        <v>7232</v>
      </c>
      <c r="E45" s="55" cm="1">
        <f t="array" ref="E45">SUM(VLOOKUP(H45:AE45,$AL$4:$AN$44,3,FALSE))</f>
        <v>650</v>
      </c>
      <c r="F45" s="98">
        <f>SUM($E$4:E45)+SUM($G$4:G45)</f>
        <v>24095</v>
      </c>
      <c r="G45" s="55">
        <v>0</v>
      </c>
      <c r="H45" s="84" t="s">
        <v>19</v>
      </c>
      <c r="I45" s="84" t="s">
        <v>19</v>
      </c>
      <c r="J45" s="84" t="s">
        <v>19</v>
      </c>
      <c r="K45" s="84" t="s">
        <v>19</v>
      </c>
      <c r="L45" s="84" t="s">
        <v>19</v>
      </c>
      <c r="M45" s="84" t="s">
        <v>19</v>
      </c>
      <c r="N45" s="7" t="s">
        <v>23</v>
      </c>
      <c r="O45" s="7" t="s">
        <v>23</v>
      </c>
      <c r="P45" s="24" t="s">
        <v>20</v>
      </c>
      <c r="Q45" s="24" t="s">
        <v>20</v>
      </c>
      <c r="R45" s="25" t="s">
        <v>21</v>
      </c>
      <c r="S45" s="25" t="s">
        <v>21</v>
      </c>
      <c r="T45" s="25" t="s">
        <v>21</v>
      </c>
      <c r="U45" s="25" t="s">
        <v>21</v>
      </c>
      <c r="V45" s="7" t="s">
        <v>23</v>
      </c>
      <c r="W45" s="7" t="s">
        <v>23</v>
      </c>
      <c r="X45" t="s">
        <v>23</v>
      </c>
      <c r="Y45" t="s">
        <v>23</v>
      </c>
      <c r="Z45" t="s">
        <v>23</v>
      </c>
      <c r="AA45" t="s">
        <v>23</v>
      </c>
      <c r="AB45" t="s">
        <v>23</v>
      </c>
      <c r="AC45" t="s">
        <v>23</v>
      </c>
      <c r="AD45" s="7" t="s">
        <v>23</v>
      </c>
      <c r="AE45" s="7" t="s">
        <v>23</v>
      </c>
      <c r="AF45" s="80">
        <v>0</v>
      </c>
      <c r="AG45" s="80"/>
      <c r="AH45" s="80"/>
      <c r="AI45" s="80"/>
      <c r="AJ45" s="8" t="s">
        <v>31</v>
      </c>
    </row>
    <row r="46" spans="1:41">
      <c r="A46" s="1">
        <v>44498</v>
      </c>
      <c r="B46" s="55">
        <v>1600</v>
      </c>
      <c r="C46" s="55" cm="1">
        <f t="array" ref="C46">(SUM(VLOOKUP(H46:AE46,$AL$4:$AN$44,2,FALSE))+AF46*10)*IF(AJ46="是",$AW$4,$AW$3)</f>
        <v>1848</v>
      </c>
      <c r="D46" s="57">
        <f>SUM($B$4:B46)-SUM($C$4:C46)</f>
        <v>6984</v>
      </c>
      <c r="E46" s="55" cm="1">
        <f t="array" ref="E46">SUM(VLOOKUP(H46:AE46,$AL$4:$AN$44,3,FALSE))</f>
        <v>675</v>
      </c>
      <c r="F46" s="98">
        <f>SUM($E$4:E46)+SUM($G$4:G46)</f>
        <v>24770</v>
      </c>
      <c r="G46" s="55">
        <v>0</v>
      </c>
      <c r="H46" s="84" t="s">
        <v>19</v>
      </c>
      <c r="I46" s="84" t="s">
        <v>19</v>
      </c>
      <c r="J46" s="84" t="s">
        <v>19</v>
      </c>
      <c r="K46" s="85" t="s">
        <v>20</v>
      </c>
      <c r="L46" s="85" t="s">
        <v>20</v>
      </c>
      <c r="M46" s="85" t="s">
        <v>20</v>
      </c>
      <c r="N46" s="7" t="s">
        <v>23</v>
      </c>
      <c r="O46" s="7" t="s">
        <v>23</v>
      </c>
      <c r="P46" s="25" t="s">
        <v>21</v>
      </c>
      <c r="Q46" s="25" t="s">
        <v>21</v>
      </c>
      <c r="R46" s="25" t="s">
        <v>21</v>
      </c>
      <c r="S46" s="25" t="s">
        <v>21</v>
      </c>
      <c r="T46" s="25" t="s">
        <v>21</v>
      </c>
      <c r="U46" s="25" t="s">
        <v>21</v>
      </c>
      <c r="V46" s="7" t="s">
        <v>23</v>
      </c>
      <c r="W46" s="7" t="s">
        <v>23</v>
      </c>
      <c r="X46" t="s">
        <v>23</v>
      </c>
      <c r="Y46" t="s">
        <v>23</v>
      </c>
      <c r="Z46" t="s">
        <v>23</v>
      </c>
      <c r="AA46" t="s">
        <v>23</v>
      </c>
      <c r="AB46" t="s">
        <v>23</v>
      </c>
      <c r="AC46" t="s">
        <v>23</v>
      </c>
      <c r="AD46" s="7" t="s">
        <v>23</v>
      </c>
      <c r="AE46" s="7" t="s">
        <v>23</v>
      </c>
      <c r="AF46" s="80">
        <v>0</v>
      </c>
      <c r="AG46" s="80"/>
      <c r="AH46" s="80"/>
      <c r="AI46" s="80"/>
      <c r="AJ46" s="8" t="s">
        <v>31</v>
      </c>
    </row>
    <row r="47" spans="1:41">
      <c r="A47" s="1">
        <v>44499</v>
      </c>
      <c r="B47" s="55">
        <v>1600</v>
      </c>
      <c r="C47" s="55" cm="1">
        <f t="array" ref="C47">(SUM(VLOOKUP(H47:AE47,$AL$4:$AN$44,2,FALSE))+AF47*10)*IF(AJ47="是",$AW$4,$AW$3)</f>
        <v>1832</v>
      </c>
      <c r="D47" s="57">
        <f>SUM($B$4:B47)-SUM($C$4:C47)</f>
        <v>6752</v>
      </c>
      <c r="E47" s="55" cm="1">
        <f t="array" ref="E47">SUM(VLOOKUP(H47:AE47,$AL$4:$AN$44,3,FALSE))</f>
        <v>665</v>
      </c>
      <c r="F47" s="98">
        <f>SUM($E$4:E47)+SUM($G$4:G47)</f>
        <v>25435</v>
      </c>
      <c r="G47" s="55">
        <v>0</v>
      </c>
      <c r="H47" s="85" t="s">
        <v>20</v>
      </c>
      <c r="I47" s="84" t="s">
        <v>19</v>
      </c>
      <c r="J47" s="84" t="s">
        <v>19</v>
      </c>
      <c r="K47" s="84" t="s">
        <v>19</v>
      </c>
      <c r="L47" s="84" t="s">
        <v>19</v>
      </c>
      <c r="M47" s="84" t="s">
        <v>19</v>
      </c>
      <c r="N47" s="7" t="s">
        <v>23</v>
      </c>
      <c r="O47" s="7" t="s">
        <v>23</v>
      </c>
      <c r="P47" s="25" t="s">
        <v>21</v>
      </c>
      <c r="Q47" s="25" t="s">
        <v>21</v>
      </c>
      <c r="R47" s="25" t="s">
        <v>21</v>
      </c>
      <c r="S47" s="25" t="s">
        <v>21</v>
      </c>
      <c r="T47" s="25" t="s">
        <v>21</v>
      </c>
      <c r="U47" s="25" t="s">
        <v>21</v>
      </c>
      <c r="V47" s="7" t="s">
        <v>23</v>
      </c>
      <c r="W47" s="7" t="s">
        <v>23</v>
      </c>
      <c r="X47" t="s">
        <v>23</v>
      </c>
      <c r="Y47" t="s">
        <v>23</v>
      </c>
      <c r="Z47" t="s">
        <v>23</v>
      </c>
      <c r="AA47" t="s">
        <v>23</v>
      </c>
      <c r="AB47" t="s">
        <v>23</v>
      </c>
      <c r="AC47" t="s">
        <v>23</v>
      </c>
      <c r="AD47" s="7" t="s">
        <v>23</v>
      </c>
      <c r="AE47" s="7" t="s">
        <v>23</v>
      </c>
      <c r="AF47" s="80">
        <v>0</v>
      </c>
      <c r="AG47" s="80"/>
      <c r="AH47" s="80"/>
      <c r="AI47" s="80"/>
      <c r="AJ47" s="8" t="s">
        <v>31</v>
      </c>
    </row>
    <row r="48" spans="1:41">
      <c r="A48" s="1">
        <v>44500</v>
      </c>
      <c r="B48" s="55">
        <v>1600</v>
      </c>
      <c r="C48" s="55" cm="1">
        <f t="array" ref="C48">(SUM(VLOOKUP(H48:AE48,$AL$4:$AN$44,2,FALSE))+AF48*10)*IF(AJ48="是",$AW$4,$AW$3)</f>
        <v>1824</v>
      </c>
      <c r="D48" s="57">
        <f>SUM($B$4:B48)-SUM($C$4:C48)</f>
        <v>6528</v>
      </c>
      <c r="E48" s="55" cm="1">
        <f t="array" ref="E48">SUM(VLOOKUP(H48:AE48,$AL$4:$AN$44,3,FALSE))</f>
        <v>660</v>
      </c>
      <c r="F48" s="98">
        <f>SUM($E$4:E48)+SUM($G$4:G48)</f>
        <v>26095</v>
      </c>
      <c r="G48" s="55">
        <v>0</v>
      </c>
      <c r="H48" s="84" t="s">
        <v>19</v>
      </c>
      <c r="I48" s="84" t="s">
        <v>19</v>
      </c>
      <c r="J48" s="84" t="s">
        <v>19</v>
      </c>
      <c r="K48" s="84" t="s">
        <v>19</v>
      </c>
      <c r="L48" s="84" t="s">
        <v>19</v>
      </c>
      <c r="M48" s="84" t="s">
        <v>19</v>
      </c>
      <c r="N48" s="7" t="s">
        <v>23</v>
      </c>
      <c r="O48" s="7" t="s">
        <v>23</v>
      </c>
      <c r="P48" s="25" t="s">
        <v>21</v>
      </c>
      <c r="Q48" s="25" t="s">
        <v>21</v>
      </c>
      <c r="R48" s="25" t="s">
        <v>21</v>
      </c>
      <c r="S48" s="25" t="s">
        <v>21</v>
      </c>
      <c r="T48" s="25" t="s">
        <v>21</v>
      </c>
      <c r="U48" s="25" t="s">
        <v>21</v>
      </c>
      <c r="V48" s="7" t="s">
        <v>23</v>
      </c>
      <c r="W48" s="7" t="s">
        <v>23</v>
      </c>
      <c r="X48" t="s">
        <v>23</v>
      </c>
      <c r="Y48" t="s">
        <v>23</v>
      </c>
      <c r="Z48" t="s">
        <v>23</v>
      </c>
      <c r="AA48" t="s">
        <v>23</v>
      </c>
      <c r="AB48" t="s">
        <v>23</v>
      </c>
      <c r="AC48" t="s">
        <v>23</v>
      </c>
      <c r="AD48" s="7" t="s">
        <v>23</v>
      </c>
      <c r="AE48" s="7" t="s">
        <v>23</v>
      </c>
      <c r="AF48" s="80">
        <v>0</v>
      </c>
      <c r="AG48" s="80"/>
      <c r="AH48" s="80"/>
      <c r="AI48" s="80"/>
      <c r="AJ48" s="8" t="s">
        <v>31</v>
      </c>
    </row>
    <row r="49" spans="1:36">
      <c r="A49" s="1">
        <v>44501</v>
      </c>
      <c r="B49" s="56">
        <v>1600</v>
      </c>
      <c r="C49" s="55" cm="1">
        <f t="array" ref="C49">(SUM(VLOOKUP(H49:AE49,$AL$4:$AN$44,2,FALSE))+AF49*10)*IF(AJ49="是",$AW$4,$AW$3)</f>
        <v>1720</v>
      </c>
      <c r="D49" s="57">
        <f>SUM($B$4:B49)-SUM($C$4:C49)</f>
        <v>6408</v>
      </c>
      <c r="E49" s="55" cm="1">
        <f t="array" ref="E49">SUM(VLOOKUP(H49:AE49,$AL$4:$AN$44,3,FALSE))</f>
        <v>640</v>
      </c>
      <c r="F49" s="98">
        <f>SUM($E$4:E49)+SUM($G$4:G49)</f>
        <v>26935</v>
      </c>
      <c r="G49" s="56">
        <v>200</v>
      </c>
      <c r="H49" s="84" t="s">
        <v>19</v>
      </c>
      <c r="I49" s="84" t="s">
        <v>19</v>
      </c>
      <c r="J49" s="77" t="s">
        <v>12</v>
      </c>
      <c r="K49" s="84" t="s">
        <v>19</v>
      </c>
      <c r="L49" s="84" t="s">
        <v>19</v>
      </c>
      <c r="M49" s="84" t="s">
        <v>19</v>
      </c>
      <c r="N49" s="7" t="s">
        <v>23</v>
      </c>
      <c r="O49" s="7" t="s">
        <v>23</v>
      </c>
      <c r="P49" s="25" t="s">
        <v>21</v>
      </c>
      <c r="Q49" s="25" t="s">
        <v>21</v>
      </c>
      <c r="R49" s="25" t="s">
        <v>21</v>
      </c>
      <c r="S49" s="25" t="s">
        <v>21</v>
      </c>
      <c r="T49" s="25" t="s">
        <v>21</v>
      </c>
      <c r="U49" s="25" t="s">
        <v>21</v>
      </c>
      <c r="V49" s="7" t="s">
        <v>23</v>
      </c>
      <c r="W49" s="7" t="s">
        <v>23</v>
      </c>
      <c r="X49" t="s">
        <v>23</v>
      </c>
      <c r="Y49" t="s">
        <v>23</v>
      </c>
      <c r="Z49" t="s">
        <v>23</v>
      </c>
      <c r="AA49" t="s">
        <v>23</v>
      </c>
      <c r="AB49" t="s">
        <v>23</v>
      </c>
      <c r="AC49" t="s">
        <v>23</v>
      </c>
      <c r="AD49" s="7" t="s">
        <v>23</v>
      </c>
      <c r="AE49" s="7" t="s">
        <v>23</v>
      </c>
      <c r="AF49" s="80">
        <v>0</v>
      </c>
      <c r="AG49" s="80"/>
      <c r="AH49" s="80"/>
      <c r="AI49" s="80"/>
      <c r="AJ49" s="8" t="s">
        <v>31</v>
      </c>
    </row>
    <row r="50" spans="1:36">
      <c r="A50" s="1">
        <v>44502</v>
      </c>
      <c r="B50" s="56">
        <v>1600</v>
      </c>
      <c r="C50" s="55" cm="1">
        <f t="array" ref="C50">(SUM(VLOOKUP(H50:AE50,$AL$4:$AN$44,2,FALSE))+AF50*10)*IF(AJ50="是",$AW$4,$AW$3)</f>
        <v>1800</v>
      </c>
      <c r="D50" s="57">
        <f>SUM($B$4:B50)-SUM($C$4:C50)</f>
        <v>6208</v>
      </c>
      <c r="E50" s="55" cm="1">
        <f t="array" ref="E50">SUM(VLOOKUP(H50:AE50,$AL$4:$AN$44,3,FALSE))</f>
        <v>715</v>
      </c>
      <c r="F50" s="98">
        <f>SUM($E$4:E50)+SUM($G$4:G50)</f>
        <v>27750</v>
      </c>
      <c r="G50" s="56">
        <v>100</v>
      </c>
      <c r="H50" s="84" t="s">
        <v>19</v>
      </c>
      <c r="I50" s="79" t="s">
        <v>7</v>
      </c>
      <c r="J50" s="84" t="s">
        <v>19</v>
      </c>
      <c r="K50" s="84" t="s">
        <v>19</v>
      </c>
      <c r="L50" s="84" t="s">
        <v>19</v>
      </c>
      <c r="M50" s="84" t="s">
        <v>19</v>
      </c>
      <c r="N50" s="7" t="s">
        <v>23</v>
      </c>
      <c r="O50" s="7" t="s">
        <v>23</v>
      </c>
      <c r="P50" s="82" t="s">
        <v>47</v>
      </c>
      <c r="Q50" s="25" t="s">
        <v>21</v>
      </c>
      <c r="R50" s="25" t="s">
        <v>21</v>
      </c>
      <c r="S50" s="25" t="s">
        <v>21</v>
      </c>
      <c r="T50" s="25" t="s">
        <v>21</v>
      </c>
      <c r="U50" s="25" t="s">
        <v>21</v>
      </c>
      <c r="V50" s="25" t="s">
        <v>21</v>
      </c>
      <c r="W50" s="25" t="s">
        <v>21</v>
      </c>
      <c r="X50" t="s">
        <v>23</v>
      </c>
      <c r="Y50" t="s">
        <v>23</v>
      </c>
      <c r="Z50" t="s">
        <v>23</v>
      </c>
      <c r="AA50" t="s">
        <v>23</v>
      </c>
      <c r="AB50" t="s">
        <v>23</v>
      </c>
      <c r="AC50" t="s">
        <v>23</v>
      </c>
      <c r="AD50" s="7" t="s">
        <v>23</v>
      </c>
      <c r="AE50" s="7" t="s">
        <v>23</v>
      </c>
      <c r="AF50" s="80">
        <v>0</v>
      </c>
      <c r="AG50" s="80"/>
      <c r="AH50" s="80"/>
      <c r="AI50" s="80"/>
      <c r="AJ50" s="8" t="s">
        <v>31</v>
      </c>
    </row>
    <row r="51" spans="1:36">
      <c r="A51" s="1">
        <v>44503</v>
      </c>
      <c r="B51" s="56">
        <v>1600</v>
      </c>
      <c r="C51" s="55" cm="1">
        <f t="array" ref="C51">(SUM(VLOOKUP(H51:AE51,$AL$4:$AN$44,2,FALSE))+AF51*10)*IF(AJ51="是",$AW$4,$AW$3)</f>
        <v>1824</v>
      </c>
      <c r="D51" s="57">
        <f>SUM($B$4:B51)-SUM($C$4:C51)</f>
        <v>5984</v>
      </c>
      <c r="E51" s="55" cm="1">
        <f t="array" ref="E51">SUM(VLOOKUP(H51:AE51,$AL$4:$AN$44,3,FALSE))</f>
        <v>660</v>
      </c>
      <c r="F51" s="98">
        <f>SUM($E$4:E51)+SUM($G$4:G51)</f>
        <v>28610</v>
      </c>
      <c r="G51" s="56">
        <v>200</v>
      </c>
      <c r="H51" s="84" t="s">
        <v>19</v>
      </c>
      <c r="I51" s="84" t="s">
        <v>19</v>
      </c>
      <c r="J51" s="84" t="s">
        <v>19</v>
      </c>
      <c r="K51" s="84" t="s">
        <v>19</v>
      </c>
      <c r="L51" s="84" t="s">
        <v>19</v>
      </c>
      <c r="M51" s="84" t="s">
        <v>19</v>
      </c>
      <c r="N51" s="7" t="s">
        <v>23</v>
      </c>
      <c r="O51" s="7" t="s">
        <v>23</v>
      </c>
      <c r="P51" s="25" t="s">
        <v>21</v>
      </c>
      <c r="Q51" s="25" t="s">
        <v>21</v>
      </c>
      <c r="R51" s="25" t="s">
        <v>21</v>
      </c>
      <c r="S51" s="25" t="s">
        <v>21</v>
      </c>
      <c r="T51" s="25" t="s">
        <v>21</v>
      </c>
      <c r="U51" s="25" t="s">
        <v>21</v>
      </c>
      <c r="V51" s="7" t="s">
        <v>23</v>
      </c>
      <c r="W51" s="7" t="s">
        <v>23</v>
      </c>
      <c r="X51" t="s">
        <v>23</v>
      </c>
      <c r="Y51" t="s">
        <v>23</v>
      </c>
      <c r="Z51" t="s">
        <v>23</v>
      </c>
      <c r="AA51" t="s">
        <v>23</v>
      </c>
      <c r="AB51" t="s">
        <v>23</v>
      </c>
      <c r="AC51" t="s">
        <v>23</v>
      </c>
      <c r="AD51" s="7" t="s">
        <v>23</v>
      </c>
      <c r="AE51" s="7" t="s">
        <v>23</v>
      </c>
      <c r="AF51" s="80">
        <v>0</v>
      </c>
      <c r="AG51" s="80"/>
      <c r="AH51" s="80"/>
      <c r="AI51" s="80"/>
      <c r="AJ51" s="8" t="s">
        <v>31</v>
      </c>
    </row>
    <row r="52" spans="1:36">
      <c r="A52" s="1">
        <v>44504</v>
      </c>
      <c r="B52" s="56">
        <v>1600</v>
      </c>
      <c r="C52" s="55" cm="1">
        <f t="array" ref="C52">(SUM(VLOOKUP(H52:AE52,$AL$4:$AN$44,2,FALSE))+AF52*10)*IF(AJ52="是",$AW$4,$AW$3)</f>
        <v>1776</v>
      </c>
      <c r="D52" s="57">
        <f>SUM($B$4:B52)-SUM($C$4:C52)</f>
        <v>5808</v>
      </c>
      <c r="E52" s="55" cm="1">
        <f t="array" ref="E52">SUM(VLOOKUP(H52:AE52,$AL$4:$AN$44,3,FALSE))</f>
        <v>630</v>
      </c>
      <c r="F52" s="98">
        <f>SUM($E$4:E52)+SUM($G$4:G52)</f>
        <v>29240</v>
      </c>
      <c r="G52" s="56">
        <v>0</v>
      </c>
      <c r="H52" s="84" t="s">
        <v>19</v>
      </c>
      <c r="I52" s="84" t="s">
        <v>19</v>
      </c>
      <c r="J52" s="84" t="s">
        <v>19</v>
      </c>
      <c r="K52" s="84" t="s">
        <v>19</v>
      </c>
      <c r="L52" s="84" t="s">
        <v>19</v>
      </c>
      <c r="M52" s="84" t="s">
        <v>19</v>
      </c>
      <c r="N52" s="7" t="s">
        <v>23</v>
      </c>
      <c r="O52" s="7" t="s">
        <v>23</v>
      </c>
      <c r="P52" s="24" t="s">
        <v>20</v>
      </c>
      <c r="Q52" s="24" t="s">
        <v>20</v>
      </c>
      <c r="R52" s="24" t="s">
        <v>20</v>
      </c>
      <c r="S52" s="24" t="s">
        <v>20</v>
      </c>
      <c r="T52" s="24" t="s">
        <v>20</v>
      </c>
      <c r="U52" s="24" t="s">
        <v>20</v>
      </c>
      <c r="V52" s="7" t="s">
        <v>23</v>
      </c>
      <c r="W52" s="7" t="s">
        <v>23</v>
      </c>
      <c r="X52" t="s">
        <v>23</v>
      </c>
      <c r="Y52" t="s">
        <v>23</v>
      </c>
      <c r="Z52" t="s">
        <v>23</v>
      </c>
      <c r="AA52" t="s">
        <v>23</v>
      </c>
      <c r="AB52" t="s">
        <v>23</v>
      </c>
      <c r="AC52" t="s">
        <v>23</v>
      </c>
      <c r="AD52" s="7" t="s">
        <v>23</v>
      </c>
      <c r="AE52" s="7" t="s">
        <v>23</v>
      </c>
      <c r="AF52" s="80">
        <v>0</v>
      </c>
      <c r="AG52" s="80"/>
      <c r="AH52" s="80"/>
      <c r="AI52" s="80"/>
      <c r="AJ52" s="8" t="s">
        <v>31</v>
      </c>
    </row>
    <row r="53" spans="1:36">
      <c r="A53" s="1">
        <v>44505</v>
      </c>
      <c r="B53" s="56">
        <v>1600</v>
      </c>
      <c r="C53" s="55" cm="1">
        <f t="array" ref="C53">(SUM(VLOOKUP(H53:AE53,$AL$4:$AN$44,2,FALSE))+AF53*10)*IF(AJ53="是",$AW$4,$AW$3)</f>
        <v>1664</v>
      </c>
      <c r="D53" s="57">
        <f>SUM($B$4:B53)-SUM($C$4:C53)</f>
        <v>5744</v>
      </c>
      <c r="E53" s="55" cm="1">
        <f t="array" ref="E53">SUM(VLOOKUP(H53:AE53,$AL$4:$AN$44,3,FALSE))</f>
        <v>605</v>
      </c>
      <c r="F53" s="98">
        <f>SUM($E$4:E53)+SUM($G$4:G53)</f>
        <v>29845</v>
      </c>
      <c r="G53" s="56">
        <v>0</v>
      </c>
      <c r="H53" s="84" t="s">
        <v>19</v>
      </c>
      <c r="I53" s="84" t="s">
        <v>19</v>
      </c>
      <c r="J53" s="84" t="s">
        <v>19</v>
      </c>
      <c r="K53" s="84" t="s">
        <v>19</v>
      </c>
      <c r="L53" s="84" t="s">
        <v>19</v>
      </c>
      <c r="M53" s="84" t="s">
        <v>19</v>
      </c>
      <c r="N53" s="7" t="s">
        <v>23</v>
      </c>
      <c r="O53" s="7" t="s">
        <v>23</v>
      </c>
      <c r="P53" s="24" t="s">
        <v>20</v>
      </c>
      <c r="Q53" s="24" t="s">
        <v>20</v>
      </c>
      <c r="R53" s="24" t="s">
        <v>20</v>
      </c>
      <c r="S53" s="77" t="s">
        <v>12</v>
      </c>
      <c r="T53" s="24" t="s">
        <v>20</v>
      </c>
      <c r="U53" s="24" t="s">
        <v>20</v>
      </c>
      <c r="V53" s="7" t="s">
        <v>23</v>
      </c>
      <c r="W53" s="7" t="s">
        <v>23</v>
      </c>
      <c r="X53" t="s">
        <v>23</v>
      </c>
      <c r="Y53" t="s">
        <v>23</v>
      </c>
      <c r="Z53" t="s">
        <v>23</v>
      </c>
      <c r="AA53" t="s">
        <v>23</v>
      </c>
      <c r="AB53" t="s">
        <v>23</v>
      </c>
      <c r="AC53" t="s">
        <v>23</v>
      </c>
      <c r="AD53" s="7" t="s">
        <v>23</v>
      </c>
      <c r="AE53" s="7" t="s">
        <v>23</v>
      </c>
      <c r="AF53" s="80">
        <v>0</v>
      </c>
      <c r="AG53" s="80"/>
      <c r="AH53" s="80"/>
      <c r="AI53" s="80"/>
      <c r="AJ53" s="8" t="s">
        <v>31</v>
      </c>
    </row>
    <row r="54" spans="1:36">
      <c r="A54" s="1">
        <v>44506</v>
      </c>
      <c r="B54" s="56">
        <v>1600</v>
      </c>
      <c r="C54" s="55" cm="1">
        <f t="array" ref="C54">(SUM(VLOOKUP(H54:AE54,$AL$4:$AN$44,2,FALSE))+AF54*10)*IF(AJ54="是",$AW$4,$AW$3)</f>
        <v>1776</v>
      </c>
      <c r="D54" s="57">
        <f>SUM($B$4:B54)-SUM($C$4:C54)</f>
        <v>5568</v>
      </c>
      <c r="E54" s="55" cm="1">
        <f t="array" ref="E54">SUM(VLOOKUP(H54:AE54,$AL$4:$AN$44,3,FALSE))</f>
        <v>630</v>
      </c>
      <c r="F54" s="98">
        <f>SUM($E$4:E54)+SUM($G$4:G54)</f>
        <v>30475</v>
      </c>
      <c r="G54" s="56">
        <v>0</v>
      </c>
      <c r="H54" s="84" t="s">
        <v>19</v>
      </c>
      <c r="I54" s="84" t="s">
        <v>19</v>
      </c>
      <c r="J54" s="84" t="s">
        <v>19</v>
      </c>
      <c r="K54" s="84" t="s">
        <v>19</v>
      </c>
      <c r="L54" s="84" t="s">
        <v>19</v>
      </c>
      <c r="M54" s="84" t="s">
        <v>19</v>
      </c>
      <c r="N54" s="7" t="s">
        <v>23</v>
      </c>
      <c r="O54" s="7" t="s">
        <v>23</v>
      </c>
      <c r="P54" s="24" t="s">
        <v>20</v>
      </c>
      <c r="Q54" s="24" t="s">
        <v>20</v>
      </c>
      <c r="R54" s="24" t="s">
        <v>20</v>
      </c>
      <c r="S54" s="24" t="s">
        <v>20</v>
      </c>
      <c r="T54" s="24" t="s">
        <v>20</v>
      </c>
      <c r="U54" s="24" t="s">
        <v>20</v>
      </c>
      <c r="V54" s="7" t="s">
        <v>23</v>
      </c>
      <c r="W54" s="7" t="s">
        <v>23</v>
      </c>
      <c r="X54" t="s">
        <v>23</v>
      </c>
      <c r="Y54" t="s">
        <v>23</v>
      </c>
      <c r="Z54" t="s">
        <v>23</v>
      </c>
      <c r="AA54" t="s">
        <v>23</v>
      </c>
      <c r="AB54" t="s">
        <v>23</v>
      </c>
      <c r="AC54" t="s">
        <v>23</v>
      </c>
      <c r="AD54" s="7" t="s">
        <v>23</v>
      </c>
      <c r="AE54" s="7" t="s">
        <v>23</v>
      </c>
      <c r="AF54" s="80">
        <v>0</v>
      </c>
      <c r="AG54" s="80"/>
      <c r="AH54" s="80"/>
      <c r="AI54" s="80"/>
      <c r="AJ54" s="8" t="s">
        <v>31</v>
      </c>
    </row>
    <row r="55" spans="1:36">
      <c r="A55" s="1">
        <v>44507</v>
      </c>
      <c r="B55" s="56">
        <v>1600</v>
      </c>
      <c r="C55" s="55" cm="1">
        <f t="array" ref="C55">(SUM(VLOOKUP(H55:AE55,$AL$4:$AN$44,2,FALSE))+AF55*10)*IF(AJ55="是",$AW$4,$AW$3)</f>
        <v>1776</v>
      </c>
      <c r="D55" s="57">
        <f>SUM($B$4:B55)-SUM($C$4:C55)</f>
        <v>5392</v>
      </c>
      <c r="E55" s="55" cm="1">
        <f t="array" ref="E55">SUM(VLOOKUP(H55:AE55,$AL$4:$AN$44,3,FALSE))</f>
        <v>690</v>
      </c>
      <c r="F55" s="98">
        <f>SUM($E$4:E55)+SUM($G$4:G55)</f>
        <v>31165</v>
      </c>
      <c r="G55" s="56">
        <v>0</v>
      </c>
      <c r="H55" s="84" t="s">
        <v>19</v>
      </c>
      <c r="I55" s="84" t="s">
        <v>19</v>
      </c>
      <c r="J55" s="84" t="s">
        <v>19</v>
      </c>
      <c r="K55" s="84" t="s">
        <v>19</v>
      </c>
      <c r="L55" s="84" t="s">
        <v>19</v>
      </c>
      <c r="M55" s="85" t="s">
        <v>20</v>
      </c>
      <c r="N55" s="7" t="s">
        <v>23</v>
      </c>
      <c r="O55" s="7" t="s">
        <v>23</v>
      </c>
      <c r="P55" s="24" t="s">
        <v>20</v>
      </c>
      <c r="Q55" s="82" t="s">
        <v>47</v>
      </c>
      <c r="R55" s="24" t="s">
        <v>20</v>
      </c>
      <c r="S55" s="24" t="s">
        <v>20</v>
      </c>
      <c r="T55" s="24" t="s">
        <v>20</v>
      </c>
      <c r="U55" s="24" t="s">
        <v>20</v>
      </c>
      <c r="V55" s="24" t="s">
        <v>20</v>
      </c>
      <c r="W55" s="24" t="s">
        <v>20</v>
      </c>
      <c r="X55" t="s">
        <v>23</v>
      </c>
      <c r="Y55" t="s">
        <v>23</v>
      </c>
      <c r="Z55" t="s">
        <v>23</v>
      </c>
      <c r="AA55" t="s">
        <v>23</v>
      </c>
      <c r="AB55" t="s">
        <v>23</v>
      </c>
      <c r="AC55" t="s">
        <v>23</v>
      </c>
      <c r="AD55" s="7" t="s">
        <v>23</v>
      </c>
      <c r="AE55" s="7" t="s">
        <v>23</v>
      </c>
      <c r="AF55" s="80">
        <v>0</v>
      </c>
      <c r="AG55" s="80"/>
      <c r="AH55" s="80"/>
      <c r="AI55" s="80"/>
      <c r="AJ55" s="8" t="s">
        <v>31</v>
      </c>
    </row>
    <row r="56" spans="1:36">
      <c r="A56" s="1">
        <v>44508</v>
      </c>
      <c r="B56" s="55">
        <v>1600</v>
      </c>
      <c r="C56" s="55" cm="1">
        <f t="array" ref="C56">(SUM(VLOOKUP(H56:AE56,$AL$4:$AN$44,2,FALSE))+AF56*10)*IF(AJ56="是",$AW$4,$AW$3)</f>
        <v>1760</v>
      </c>
      <c r="D56" s="57">
        <f>SUM($B$4:B56)-SUM($C$4:C56)</f>
        <v>5232</v>
      </c>
      <c r="E56" s="55" cm="1">
        <f t="array" ref="E56">SUM(VLOOKUP(H56:AE56,$AL$4:$AN$44,3,FALSE))</f>
        <v>620</v>
      </c>
      <c r="F56" s="98">
        <f>SUM($E$4:E56)+SUM($G$4:G56)</f>
        <v>32085</v>
      </c>
      <c r="G56" s="55">
        <v>300</v>
      </c>
      <c r="H56" s="85" t="s">
        <v>20</v>
      </c>
      <c r="I56" s="85" t="s">
        <v>20</v>
      </c>
      <c r="J56" s="85" t="s">
        <v>20</v>
      </c>
      <c r="K56" s="85" t="s">
        <v>20</v>
      </c>
      <c r="L56" s="85" t="s">
        <v>20</v>
      </c>
      <c r="M56" s="85" t="s">
        <v>20</v>
      </c>
      <c r="N56" s="7" t="s">
        <v>23</v>
      </c>
      <c r="O56" s="7" t="s">
        <v>23</v>
      </c>
      <c r="P56" s="84" t="s">
        <v>19</v>
      </c>
      <c r="Q56" s="84" t="s">
        <v>19</v>
      </c>
      <c r="R56" s="84" t="s">
        <v>19</v>
      </c>
      <c r="S56" s="84" t="s">
        <v>19</v>
      </c>
      <c r="T56" s="79" t="s">
        <v>18</v>
      </c>
      <c r="U56" s="79" t="s">
        <v>18</v>
      </c>
      <c r="V56" s="7" t="s">
        <v>23</v>
      </c>
      <c r="W56" s="7" t="s">
        <v>23</v>
      </c>
      <c r="X56" t="s">
        <v>23</v>
      </c>
      <c r="Y56" t="s">
        <v>23</v>
      </c>
      <c r="Z56" t="s">
        <v>23</v>
      </c>
      <c r="AA56" t="s">
        <v>23</v>
      </c>
      <c r="AB56" t="s">
        <v>23</v>
      </c>
      <c r="AC56" t="s">
        <v>23</v>
      </c>
      <c r="AD56" s="7" t="s">
        <v>23</v>
      </c>
      <c r="AE56" s="7" t="s">
        <v>23</v>
      </c>
      <c r="AF56" s="80">
        <v>0</v>
      </c>
      <c r="AG56" s="80"/>
      <c r="AH56" s="80"/>
      <c r="AI56" s="80"/>
      <c r="AJ56" s="8" t="s">
        <v>31</v>
      </c>
    </row>
    <row r="57" spans="1:36">
      <c r="A57" s="1">
        <v>44509</v>
      </c>
      <c r="B57" s="55">
        <v>1600</v>
      </c>
      <c r="C57" s="55" cm="1">
        <f t="array" ref="C57">(SUM(VLOOKUP(H57:AE57,$AL$4:$AN$44,2,FALSE))+AF57*10)*IF(AJ57="是",$AW$4,$AW$3)</f>
        <v>1672</v>
      </c>
      <c r="D57" s="57">
        <f>SUM($B$4:B57)-SUM($C$4:C57)</f>
        <v>5160</v>
      </c>
      <c r="E57" s="55" cm="1">
        <f t="array" ref="E57">SUM(VLOOKUP(H57:AE57,$AL$4:$AN$44,3,FALSE))</f>
        <v>1085</v>
      </c>
      <c r="F57" s="98">
        <f>SUM($E$4:E57)+SUM($G$4:G57)</f>
        <v>33170</v>
      </c>
      <c r="G57" s="55">
        <v>0</v>
      </c>
      <c r="H57" s="85" t="s">
        <v>20</v>
      </c>
      <c r="I57" s="86" t="s">
        <v>41</v>
      </c>
      <c r="J57" s="85" t="s">
        <v>20</v>
      </c>
      <c r="K57" s="85" t="s">
        <v>20</v>
      </c>
      <c r="L57" s="85" t="s">
        <v>20</v>
      </c>
      <c r="M57" s="85" t="s">
        <v>20</v>
      </c>
      <c r="N57" s="7" t="s">
        <v>23</v>
      </c>
      <c r="O57" s="7" t="s">
        <v>23</v>
      </c>
      <c r="P57" s="79" t="s">
        <v>18</v>
      </c>
      <c r="Q57" s="79" t="s">
        <v>18</v>
      </c>
      <c r="R57" s="79" t="s">
        <v>18</v>
      </c>
      <c r="S57" s="77" t="s">
        <v>12</v>
      </c>
      <c r="T57" s="79" t="s">
        <v>18</v>
      </c>
      <c r="U57" s="82" t="s">
        <v>47</v>
      </c>
      <c r="V57" s="84" t="s">
        <v>19</v>
      </c>
      <c r="W57" s="84" t="s">
        <v>19</v>
      </c>
      <c r="X57" t="s">
        <v>23</v>
      </c>
      <c r="Y57" t="s">
        <v>23</v>
      </c>
      <c r="Z57" t="s">
        <v>23</v>
      </c>
      <c r="AA57" t="s">
        <v>23</v>
      </c>
      <c r="AB57" t="s">
        <v>23</v>
      </c>
      <c r="AC57" t="s">
        <v>23</v>
      </c>
      <c r="AD57" s="7" t="s">
        <v>23</v>
      </c>
      <c r="AE57" s="7" t="s">
        <v>23</v>
      </c>
      <c r="AF57" s="80">
        <v>0</v>
      </c>
      <c r="AG57" s="80"/>
      <c r="AH57" s="80"/>
      <c r="AI57" s="80"/>
      <c r="AJ57" s="8" t="s">
        <v>31</v>
      </c>
    </row>
    <row r="58" spans="1:36">
      <c r="A58" s="1">
        <v>44510</v>
      </c>
      <c r="B58" s="55">
        <v>1600</v>
      </c>
      <c r="C58" s="55" cm="1">
        <f t="array" ref="C58">(SUM(VLOOKUP(H58:AE58,$AL$4:$AN$44,2,FALSE))+AF58*10)*IF(AJ58="是",$AW$4,$AW$3)</f>
        <v>1760</v>
      </c>
      <c r="D58" s="57">
        <f>SUM($B$4:B58)-SUM($C$4:C58)</f>
        <v>5000</v>
      </c>
      <c r="E58" s="55" cm="1">
        <f t="array" ref="E58">SUM(VLOOKUP(H58:AE58,$AL$4:$AN$44,3,FALSE))</f>
        <v>655</v>
      </c>
      <c r="F58" s="98">
        <f>SUM($E$4:E58)+SUM($G$4:G58)</f>
        <v>34025</v>
      </c>
      <c r="G58" s="55">
        <v>200</v>
      </c>
      <c r="H58" s="85" t="s">
        <v>9</v>
      </c>
      <c r="I58" s="85" t="s">
        <v>20</v>
      </c>
      <c r="J58" s="85" t="s">
        <v>20</v>
      </c>
      <c r="K58" s="85" t="s">
        <v>20</v>
      </c>
      <c r="L58" s="85" t="s">
        <v>20</v>
      </c>
      <c r="M58" s="85" t="s">
        <v>20</v>
      </c>
      <c r="N58" s="7" t="s">
        <v>23</v>
      </c>
      <c r="O58" s="7" t="s">
        <v>23</v>
      </c>
      <c r="P58" s="24" t="s">
        <v>20</v>
      </c>
      <c r="Q58" s="23" t="s">
        <v>8</v>
      </c>
      <c r="R58" s="24" t="s">
        <v>20</v>
      </c>
      <c r="S58" s="24" t="s">
        <v>20</v>
      </c>
      <c r="T58" s="24" t="s">
        <v>20</v>
      </c>
      <c r="U58" s="24" t="s">
        <v>20</v>
      </c>
      <c r="V58" s="7" t="s">
        <v>23</v>
      </c>
      <c r="W58" s="7" t="s">
        <v>23</v>
      </c>
      <c r="X58" t="s">
        <v>23</v>
      </c>
      <c r="Y58" t="s">
        <v>23</v>
      </c>
      <c r="Z58" t="s">
        <v>23</v>
      </c>
      <c r="AA58" t="s">
        <v>23</v>
      </c>
      <c r="AB58" t="s">
        <v>23</v>
      </c>
      <c r="AC58" t="s">
        <v>23</v>
      </c>
      <c r="AD58" s="7" t="s">
        <v>23</v>
      </c>
      <c r="AE58" s="7" t="s">
        <v>23</v>
      </c>
      <c r="AF58" s="80">
        <v>0</v>
      </c>
      <c r="AG58" s="80"/>
      <c r="AH58" s="80"/>
      <c r="AI58" s="80"/>
      <c r="AJ58" s="8" t="s">
        <v>31</v>
      </c>
    </row>
    <row r="59" spans="1:36">
      <c r="A59" s="1">
        <v>44511</v>
      </c>
      <c r="B59" s="55">
        <v>1600</v>
      </c>
      <c r="C59" s="55" cm="1">
        <f t="array" ref="C59">(SUM(VLOOKUP(H59:AE59,$AL$4:$AN$44,2,FALSE))+AF59*10)*IF(AJ59="是",$AW$4,$AW$3)</f>
        <v>1824</v>
      </c>
      <c r="D59" s="57">
        <f>SUM($B$4:B59)-SUM($C$4:C59)</f>
        <v>4776</v>
      </c>
      <c r="E59" s="55" cm="1">
        <f t="array" ref="E59">SUM(VLOOKUP(H59:AE59,$AL$4:$AN$44,3,FALSE))</f>
        <v>660</v>
      </c>
      <c r="F59" s="98">
        <f>SUM($E$4:E59)+SUM($G$4:G59)</f>
        <v>34685</v>
      </c>
      <c r="G59" s="55">
        <v>0</v>
      </c>
      <c r="H59" s="85" t="s">
        <v>20</v>
      </c>
      <c r="I59" s="85" t="s">
        <v>20</v>
      </c>
      <c r="J59" s="85" t="s">
        <v>20</v>
      </c>
      <c r="K59" s="85" t="s">
        <v>20</v>
      </c>
      <c r="L59" s="85" t="s">
        <v>20</v>
      </c>
      <c r="M59" s="85" t="s">
        <v>20</v>
      </c>
      <c r="N59" s="7" t="s">
        <v>23</v>
      </c>
      <c r="O59" s="7" t="s">
        <v>23</v>
      </c>
      <c r="P59" s="24" t="s">
        <v>20</v>
      </c>
      <c r="Q59" s="24" t="s">
        <v>20</v>
      </c>
      <c r="R59" s="24" t="s">
        <v>20</v>
      </c>
      <c r="S59" s="24" t="s">
        <v>20</v>
      </c>
      <c r="T59" s="24" t="s">
        <v>20</v>
      </c>
      <c r="U59" s="24" t="s">
        <v>20</v>
      </c>
      <c r="V59" s="7" t="s">
        <v>23</v>
      </c>
      <c r="W59" s="7" t="s">
        <v>23</v>
      </c>
      <c r="X59" t="s">
        <v>23</v>
      </c>
      <c r="Y59" t="s">
        <v>23</v>
      </c>
      <c r="Z59" t="s">
        <v>23</v>
      </c>
      <c r="AA59" t="s">
        <v>23</v>
      </c>
      <c r="AB59" t="s">
        <v>23</v>
      </c>
      <c r="AC59" t="s">
        <v>23</v>
      </c>
      <c r="AD59" s="7" t="s">
        <v>23</v>
      </c>
      <c r="AE59" s="7" t="s">
        <v>23</v>
      </c>
      <c r="AF59" s="80">
        <v>0</v>
      </c>
      <c r="AG59" s="80"/>
      <c r="AH59" s="80"/>
      <c r="AI59" s="80"/>
      <c r="AJ59" s="8" t="s">
        <v>31</v>
      </c>
    </row>
    <row r="60" spans="1:36">
      <c r="A60" s="1">
        <v>44512</v>
      </c>
      <c r="B60" s="55">
        <v>1600</v>
      </c>
      <c r="C60" s="55" cm="1">
        <f t="array" ref="C60">(SUM(VLOOKUP(H60:AE60,$AL$4:$AN$44,2,FALSE))+AF60*10)*IF(AJ60="是",$AW$4,$AW$3)</f>
        <v>1824</v>
      </c>
      <c r="D60" s="57">
        <f>SUM($B$4:B60)-SUM($C$4:C60)</f>
        <v>4552</v>
      </c>
      <c r="E60" s="55" cm="1">
        <f t="array" ref="E60">SUM(VLOOKUP(H60:AE60,$AL$4:$AN$44,3,FALSE))</f>
        <v>660</v>
      </c>
      <c r="F60" s="98">
        <f>SUM($E$4:E60)+SUM($G$4:G60)</f>
        <v>35345</v>
      </c>
      <c r="G60" s="55">
        <v>0</v>
      </c>
      <c r="H60" s="85" t="s">
        <v>20</v>
      </c>
      <c r="I60" s="85" t="s">
        <v>20</v>
      </c>
      <c r="J60" s="85" t="s">
        <v>20</v>
      </c>
      <c r="K60" s="85" t="s">
        <v>20</v>
      </c>
      <c r="L60" s="85" t="s">
        <v>20</v>
      </c>
      <c r="M60" s="85" t="s">
        <v>20</v>
      </c>
      <c r="N60" s="7" t="s">
        <v>23</v>
      </c>
      <c r="O60" s="7" t="s">
        <v>23</v>
      </c>
      <c r="P60" s="24" t="s">
        <v>20</v>
      </c>
      <c r="Q60" s="24" t="s">
        <v>20</v>
      </c>
      <c r="R60" s="24" t="s">
        <v>20</v>
      </c>
      <c r="S60" s="24" t="s">
        <v>20</v>
      </c>
      <c r="T60" s="24" t="s">
        <v>20</v>
      </c>
      <c r="U60" s="24" t="s">
        <v>20</v>
      </c>
      <c r="V60" s="7" t="s">
        <v>23</v>
      </c>
      <c r="W60" s="7" t="s">
        <v>23</v>
      </c>
      <c r="X60" t="s">
        <v>23</v>
      </c>
      <c r="Y60" t="s">
        <v>23</v>
      </c>
      <c r="Z60" t="s">
        <v>23</v>
      </c>
      <c r="AA60" t="s">
        <v>23</v>
      </c>
      <c r="AB60" t="s">
        <v>23</v>
      </c>
      <c r="AC60" t="s">
        <v>23</v>
      </c>
      <c r="AD60" s="7" t="s">
        <v>23</v>
      </c>
      <c r="AE60" s="7" t="s">
        <v>23</v>
      </c>
      <c r="AF60" s="80">
        <v>0</v>
      </c>
      <c r="AG60" s="80"/>
      <c r="AH60" s="80"/>
      <c r="AI60" s="80"/>
      <c r="AJ60" s="8" t="s">
        <v>31</v>
      </c>
    </row>
    <row r="61" spans="1:36">
      <c r="A61" s="1">
        <v>44513</v>
      </c>
      <c r="B61" s="55">
        <v>1600</v>
      </c>
      <c r="C61" s="55" cm="1">
        <f t="array" ref="C61">(SUM(VLOOKUP(H61:AE61,$AL$4:$AN$44,2,FALSE))+AF61*10)*IF(AJ61="是",$AW$4,$AW$3)</f>
        <v>1712</v>
      </c>
      <c r="D61" s="57">
        <f>SUM($B$4:B61)-SUM($C$4:C61)</f>
        <v>4440</v>
      </c>
      <c r="E61" s="55" cm="1">
        <f t="array" ref="E61">SUM(VLOOKUP(H61:AE61,$AL$4:$AN$44,3,FALSE))</f>
        <v>635</v>
      </c>
      <c r="F61" s="98">
        <f>SUM($E$4:E61)+SUM($G$4:G61)</f>
        <v>35980</v>
      </c>
      <c r="G61" s="55">
        <v>0</v>
      </c>
      <c r="H61" s="85" t="s">
        <v>20</v>
      </c>
      <c r="I61" s="77" t="s">
        <v>12</v>
      </c>
      <c r="J61" s="85" t="s">
        <v>20</v>
      </c>
      <c r="K61" s="85" t="s">
        <v>20</v>
      </c>
      <c r="L61" s="85" t="s">
        <v>20</v>
      </c>
      <c r="M61" s="85" t="s">
        <v>20</v>
      </c>
      <c r="N61" s="7" t="s">
        <v>23</v>
      </c>
      <c r="O61" s="7" t="s">
        <v>23</v>
      </c>
      <c r="P61" s="24" t="s">
        <v>20</v>
      </c>
      <c r="Q61" s="24" t="s">
        <v>20</v>
      </c>
      <c r="R61" s="24" t="s">
        <v>20</v>
      </c>
      <c r="S61" s="24" t="s">
        <v>20</v>
      </c>
      <c r="T61" s="24" t="s">
        <v>20</v>
      </c>
      <c r="U61" s="24" t="s">
        <v>20</v>
      </c>
      <c r="V61" s="7" t="s">
        <v>23</v>
      </c>
      <c r="W61" s="7" t="s">
        <v>23</v>
      </c>
      <c r="X61" t="s">
        <v>23</v>
      </c>
      <c r="Y61" t="s">
        <v>23</v>
      </c>
      <c r="Z61" t="s">
        <v>23</v>
      </c>
      <c r="AA61" t="s">
        <v>23</v>
      </c>
      <c r="AB61" t="s">
        <v>23</v>
      </c>
      <c r="AC61" t="s">
        <v>23</v>
      </c>
      <c r="AD61" s="7" t="s">
        <v>23</v>
      </c>
      <c r="AE61" s="7" t="s">
        <v>23</v>
      </c>
      <c r="AF61" s="80">
        <v>0</v>
      </c>
      <c r="AG61" s="80"/>
      <c r="AH61" s="80"/>
      <c r="AI61" s="80"/>
      <c r="AJ61" s="8" t="s">
        <v>31</v>
      </c>
    </row>
    <row r="62" spans="1:36">
      <c r="A62" s="1">
        <v>44514</v>
      </c>
      <c r="B62" s="55">
        <v>1600</v>
      </c>
      <c r="C62" s="55" cm="1">
        <f t="array" ref="C62">(SUM(VLOOKUP(H62:AE62,$AL$4:$AN$44,2,FALSE))+AF62*10)*IF(AJ62="是",$AW$4,$AW$3)</f>
        <v>1896</v>
      </c>
      <c r="D62" s="57">
        <f>SUM($B$4:B62)-SUM($C$4:C62)</f>
        <v>4144</v>
      </c>
      <c r="E62" s="55" cm="1">
        <f t="array" ref="E62">SUM(VLOOKUP(H62:AE62,$AL$4:$AN$44,3,FALSE))</f>
        <v>765</v>
      </c>
      <c r="F62" s="98">
        <f>SUM($E$4:E62)+SUM($G$4:G62)</f>
        <v>36745</v>
      </c>
      <c r="G62" s="55">
        <v>0</v>
      </c>
      <c r="H62" s="85" t="s">
        <v>20</v>
      </c>
      <c r="I62" s="85" t="s">
        <v>20</v>
      </c>
      <c r="J62" s="82" t="s">
        <v>47</v>
      </c>
      <c r="K62" s="85" t="s">
        <v>20</v>
      </c>
      <c r="L62" s="87" t="s">
        <v>21</v>
      </c>
      <c r="M62" s="87" t="s">
        <v>21</v>
      </c>
      <c r="N62" s="87" t="s">
        <v>21</v>
      </c>
      <c r="O62" s="87" t="s">
        <v>21</v>
      </c>
      <c r="P62" s="25" t="s">
        <v>21</v>
      </c>
      <c r="Q62" s="25" t="s">
        <v>21</v>
      </c>
      <c r="R62" s="25" t="s">
        <v>21</v>
      </c>
      <c r="S62" s="25" t="s">
        <v>21</v>
      </c>
      <c r="T62" s="25" t="s">
        <v>21</v>
      </c>
      <c r="U62" s="25" t="s">
        <v>21</v>
      </c>
      <c r="V62" s="7" t="s">
        <v>23</v>
      </c>
      <c r="W62" s="7" t="s">
        <v>23</v>
      </c>
      <c r="X62" t="s">
        <v>23</v>
      </c>
      <c r="Y62" t="s">
        <v>23</v>
      </c>
      <c r="Z62" t="s">
        <v>23</v>
      </c>
      <c r="AA62" t="s">
        <v>23</v>
      </c>
      <c r="AB62" t="s">
        <v>23</v>
      </c>
      <c r="AC62" t="s">
        <v>23</v>
      </c>
      <c r="AD62" s="7" t="s">
        <v>23</v>
      </c>
      <c r="AE62" s="7" t="s">
        <v>23</v>
      </c>
      <c r="AF62" s="80">
        <v>0</v>
      </c>
      <c r="AG62" s="80"/>
      <c r="AH62" s="80"/>
      <c r="AI62" s="80"/>
      <c r="AJ62" s="8" t="s">
        <v>31</v>
      </c>
    </row>
    <row r="63" spans="1:36">
      <c r="A63" s="1">
        <v>44515</v>
      </c>
      <c r="B63" s="56">
        <v>1600</v>
      </c>
      <c r="C63" s="55" cm="1">
        <f t="array" ref="C63">(SUM(VLOOKUP(H63:AE63,$AL$4:$AN$44,2,FALSE))+AF63*10)*IF(AJ63="是",$AW$4,$AW$3)</f>
        <v>1928</v>
      </c>
      <c r="D63" s="57">
        <f>SUM($B$4:B63)-SUM($C$4:C63)</f>
        <v>3816</v>
      </c>
      <c r="E63" s="55" cm="1">
        <f t="array" ref="E63">SUM(VLOOKUP(H63:AE63,$AL$4:$AN$44,3,FALSE))</f>
        <v>720</v>
      </c>
      <c r="F63" s="98">
        <f>SUM($E$4:E63)+SUM($G$4:G63)</f>
        <v>37765</v>
      </c>
      <c r="G63" s="56">
        <v>300</v>
      </c>
      <c r="H63" s="87" t="s">
        <v>21</v>
      </c>
      <c r="I63" s="87" t="s">
        <v>21</v>
      </c>
      <c r="J63" s="87" t="s">
        <v>21</v>
      </c>
      <c r="K63" s="87" t="s">
        <v>21</v>
      </c>
      <c r="L63" s="87" t="s">
        <v>21</v>
      </c>
      <c r="M63" s="87" t="s">
        <v>21</v>
      </c>
      <c r="N63" s="7" t="s">
        <v>23</v>
      </c>
      <c r="O63" s="7" t="s">
        <v>23</v>
      </c>
      <c r="P63" s="25" t="s">
        <v>21</v>
      </c>
      <c r="Q63" s="25" t="s">
        <v>21</v>
      </c>
      <c r="R63" s="25" t="s">
        <v>21</v>
      </c>
      <c r="S63" s="25" t="s">
        <v>21</v>
      </c>
      <c r="T63" s="25" t="s">
        <v>21</v>
      </c>
      <c r="U63" s="25" t="s">
        <v>21</v>
      </c>
      <c r="V63" s="7" t="s">
        <v>23</v>
      </c>
      <c r="W63" s="7" t="s">
        <v>23</v>
      </c>
      <c r="X63" t="s">
        <v>23</v>
      </c>
      <c r="Y63" t="s">
        <v>23</v>
      </c>
      <c r="Z63" t="s">
        <v>23</v>
      </c>
      <c r="AA63" t="s">
        <v>23</v>
      </c>
      <c r="AB63" t="s">
        <v>23</v>
      </c>
      <c r="AC63" t="s">
        <v>23</v>
      </c>
      <c r="AD63" s="7" t="s">
        <v>23</v>
      </c>
      <c r="AE63" s="7" t="s">
        <v>23</v>
      </c>
      <c r="AF63" s="80">
        <v>1</v>
      </c>
      <c r="AG63" s="80"/>
      <c r="AH63" s="80">
        <v>1</v>
      </c>
      <c r="AI63" s="80"/>
      <c r="AJ63" s="8" t="s">
        <v>31</v>
      </c>
    </row>
    <row r="64" spans="1:36">
      <c r="A64" s="1">
        <v>44516</v>
      </c>
      <c r="B64" s="56">
        <v>1600</v>
      </c>
      <c r="C64" s="55" cm="1">
        <f t="array" ref="C64">(SUM(VLOOKUP(H64:AE64,$AL$4:$AN$44,2,FALSE))+AF64*10)*IF(AJ64="是",$AW$4,$AW$3)</f>
        <v>1920</v>
      </c>
      <c r="D64" s="57">
        <f>SUM($B$4:B64)-SUM($C$4:C64)</f>
        <v>3496</v>
      </c>
      <c r="E64" s="55" cm="1">
        <f t="array" ref="E64">SUM(VLOOKUP(H64:AE64,$AL$4:$AN$44,3,FALSE))</f>
        <v>720</v>
      </c>
      <c r="F64" s="98">
        <f>SUM($E$4:E64)+SUM($G$4:G64)</f>
        <v>38485</v>
      </c>
      <c r="G64" s="56">
        <v>0</v>
      </c>
      <c r="H64" s="87" t="s">
        <v>21</v>
      </c>
      <c r="I64" s="87" t="s">
        <v>21</v>
      </c>
      <c r="J64" s="87" t="s">
        <v>21</v>
      </c>
      <c r="K64" s="87" t="s">
        <v>21</v>
      </c>
      <c r="L64" s="87" t="s">
        <v>21</v>
      </c>
      <c r="M64" s="87" t="s">
        <v>21</v>
      </c>
      <c r="N64" s="7" t="s">
        <v>23</v>
      </c>
      <c r="O64" s="7" t="s">
        <v>23</v>
      </c>
      <c r="P64" s="25" t="s">
        <v>21</v>
      </c>
      <c r="Q64" s="25" t="s">
        <v>21</v>
      </c>
      <c r="R64" s="25" t="s">
        <v>21</v>
      </c>
      <c r="S64" s="25" t="s">
        <v>21</v>
      </c>
      <c r="T64" s="25" t="s">
        <v>21</v>
      </c>
      <c r="U64" s="25" t="s">
        <v>21</v>
      </c>
      <c r="V64" s="7" t="s">
        <v>23</v>
      </c>
      <c r="W64" s="7" t="s">
        <v>23</v>
      </c>
      <c r="X64" t="s">
        <v>23</v>
      </c>
      <c r="Y64" t="s">
        <v>23</v>
      </c>
      <c r="Z64" t="s">
        <v>23</v>
      </c>
      <c r="AA64" t="s">
        <v>23</v>
      </c>
      <c r="AB64" t="s">
        <v>23</v>
      </c>
      <c r="AC64" t="s">
        <v>23</v>
      </c>
      <c r="AD64" s="7" t="s">
        <v>23</v>
      </c>
      <c r="AE64" s="7" t="s">
        <v>23</v>
      </c>
      <c r="AF64" s="80">
        <v>0</v>
      </c>
      <c r="AG64" s="80"/>
      <c r="AH64" s="80"/>
      <c r="AI64" s="80"/>
      <c r="AJ64" s="8" t="s">
        <v>31</v>
      </c>
    </row>
    <row r="65" spans="1:36">
      <c r="A65" s="1">
        <v>44517</v>
      </c>
      <c r="B65" s="56">
        <v>1600</v>
      </c>
      <c r="C65" s="55" cm="1">
        <f t="array" ref="C65">(SUM(VLOOKUP(H65:AE65,$AL$4:$AN$44,2,FALSE))+AF65*10)*IF(AJ65="是",$AW$4,$AW$3)</f>
        <v>1920</v>
      </c>
      <c r="D65" s="57">
        <f>SUM($B$4:B65)-SUM($C$4:C65)</f>
        <v>3176</v>
      </c>
      <c r="E65" s="55" cm="1">
        <f t="array" ref="E65">SUM(VLOOKUP(H65:AE65,$AL$4:$AN$44,3,FALSE))</f>
        <v>720</v>
      </c>
      <c r="F65" s="98">
        <f>SUM($E$4:E65)+SUM($G$4:G65)</f>
        <v>39405</v>
      </c>
      <c r="G65" s="56">
        <v>200</v>
      </c>
      <c r="H65" s="87" t="s">
        <v>21</v>
      </c>
      <c r="I65" s="87" t="s">
        <v>21</v>
      </c>
      <c r="J65" s="87" t="s">
        <v>21</v>
      </c>
      <c r="K65" s="87" t="s">
        <v>21</v>
      </c>
      <c r="L65" s="87" t="s">
        <v>21</v>
      </c>
      <c r="M65" s="87" t="s">
        <v>21</v>
      </c>
      <c r="N65" s="7" t="s">
        <v>23</v>
      </c>
      <c r="O65" s="7" t="s">
        <v>23</v>
      </c>
      <c r="P65" s="25" t="s">
        <v>21</v>
      </c>
      <c r="Q65" s="25" t="s">
        <v>21</v>
      </c>
      <c r="R65" s="25" t="s">
        <v>21</v>
      </c>
      <c r="S65" s="25" t="s">
        <v>21</v>
      </c>
      <c r="T65" s="25" t="s">
        <v>21</v>
      </c>
      <c r="U65" s="25" t="s">
        <v>21</v>
      </c>
      <c r="V65" s="7" t="s">
        <v>23</v>
      </c>
      <c r="W65" s="7" t="s">
        <v>23</v>
      </c>
      <c r="X65" t="s">
        <v>23</v>
      </c>
      <c r="Y65" t="s">
        <v>23</v>
      </c>
      <c r="Z65" t="s">
        <v>23</v>
      </c>
      <c r="AA65" t="s">
        <v>23</v>
      </c>
      <c r="AB65" t="s">
        <v>23</v>
      </c>
      <c r="AC65" t="s">
        <v>23</v>
      </c>
      <c r="AD65" s="7" t="s">
        <v>23</v>
      </c>
      <c r="AE65" s="7" t="s">
        <v>23</v>
      </c>
      <c r="AF65" s="80">
        <v>0</v>
      </c>
      <c r="AG65" s="80"/>
      <c r="AH65" s="80"/>
      <c r="AI65" s="80"/>
      <c r="AJ65" s="8" t="s">
        <v>31</v>
      </c>
    </row>
    <row r="66" spans="1:36">
      <c r="A66" s="1">
        <v>44518</v>
      </c>
      <c r="B66" s="56">
        <v>1600</v>
      </c>
      <c r="C66" s="55" cm="1">
        <f t="array" ref="C66">(SUM(VLOOKUP(H66:AE66,$AL$4:$AN$44,2,FALSE))+AF66*10)*IF(AJ66="是",$AW$4,$AW$3)</f>
        <v>1960</v>
      </c>
      <c r="D66" s="57">
        <f>SUM($B$4:B66)-SUM($C$4:C66)</f>
        <v>2816</v>
      </c>
      <c r="E66" s="55" cm="1">
        <f t="array" ref="E66">SUM(VLOOKUP(H66:AE66,$AL$4:$AN$44,3,FALSE))</f>
        <v>1660</v>
      </c>
      <c r="F66" s="98">
        <f>SUM($E$4:E66)+SUM($G$4:G66)</f>
        <v>41065</v>
      </c>
      <c r="G66" s="56">
        <v>0</v>
      </c>
      <c r="H66" s="87" t="s">
        <v>21</v>
      </c>
      <c r="I66" s="87" t="s">
        <v>21</v>
      </c>
      <c r="J66" s="87" t="s">
        <v>21</v>
      </c>
      <c r="K66" s="87" t="s">
        <v>21</v>
      </c>
      <c r="L66" s="87" t="s">
        <v>21</v>
      </c>
      <c r="M66" s="87" t="s">
        <v>21</v>
      </c>
      <c r="N66" s="7" t="s">
        <v>23</v>
      </c>
      <c r="O66" s="7" t="s">
        <v>23</v>
      </c>
      <c r="P66" s="25" t="s">
        <v>21</v>
      </c>
      <c r="Q66" s="32" t="s">
        <v>15</v>
      </c>
      <c r="R66" s="25" t="s">
        <v>21</v>
      </c>
      <c r="S66" s="25" t="s">
        <v>21</v>
      </c>
      <c r="T66" s="25" t="s">
        <v>21</v>
      </c>
      <c r="U66" s="25" t="s">
        <v>21</v>
      </c>
      <c r="V66" s="7" t="s">
        <v>23</v>
      </c>
      <c r="W66" s="7" t="s">
        <v>23</v>
      </c>
      <c r="X66" t="s">
        <v>23</v>
      </c>
      <c r="Y66" t="s">
        <v>23</v>
      </c>
      <c r="Z66" t="s">
        <v>23</v>
      </c>
      <c r="AA66" t="s">
        <v>23</v>
      </c>
      <c r="AB66" t="s">
        <v>23</v>
      </c>
      <c r="AC66" t="s">
        <v>23</v>
      </c>
      <c r="AD66" s="7" t="s">
        <v>23</v>
      </c>
      <c r="AE66" s="7" t="s">
        <v>23</v>
      </c>
      <c r="AF66" s="80">
        <v>0</v>
      </c>
      <c r="AG66" s="80"/>
      <c r="AH66" s="80"/>
      <c r="AI66" s="80"/>
      <c r="AJ66" s="8" t="s">
        <v>31</v>
      </c>
    </row>
    <row r="67" spans="1:36">
      <c r="A67" s="1">
        <v>44519</v>
      </c>
      <c r="B67" s="56">
        <v>1600</v>
      </c>
      <c r="C67" s="55" cm="1">
        <f t="array" ref="C67">(SUM(VLOOKUP(H67:AE67,$AL$4:$AN$44,2,FALSE))+AF67*10)*IF(AJ67="是",$AW$4,$AW$3)</f>
        <v>1872</v>
      </c>
      <c r="D67" s="57">
        <f>SUM($B$4:B67)-SUM($C$4:C67)</f>
        <v>2544</v>
      </c>
      <c r="E67" s="55" cm="1">
        <f t="array" ref="E67">SUM(VLOOKUP(H67:AE67,$AL$4:$AN$44,3,FALSE))</f>
        <v>775</v>
      </c>
      <c r="F67" s="98">
        <f>SUM($E$4:E67)+SUM($G$4:G67)</f>
        <v>41840</v>
      </c>
      <c r="G67" s="56">
        <v>0</v>
      </c>
      <c r="H67" s="87" t="s">
        <v>21</v>
      </c>
      <c r="I67" s="87" t="s">
        <v>21</v>
      </c>
      <c r="J67" s="87" t="s">
        <v>21</v>
      </c>
      <c r="K67" s="87" t="s">
        <v>10</v>
      </c>
      <c r="L67" s="87" t="s">
        <v>21</v>
      </c>
      <c r="M67" s="87" t="s">
        <v>21</v>
      </c>
      <c r="N67" s="7" t="s">
        <v>23</v>
      </c>
      <c r="O67" s="7" t="s">
        <v>23</v>
      </c>
      <c r="P67" s="25" t="s">
        <v>21</v>
      </c>
      <c r="Q67" s="25" t="s">
        <v>21</v>
      </c>
      <c r="R67" s="25" t="s">
        <v>21</v>
      </c>
      <c r="S67" s="25" t="s">
        <v>21</v>
      </c>
      <c r="T67" s="25" t="s">
        <v>21</v>
      </c>
      <c r="U67" s="82" t="s">
        <v>47</v>
      </c>
      <c r="V67" s="25" t="s">
        <v>21</v>
      </c>
      <c r="W67" s="24" t="s">
        <v>20</v>
      </c>
      <c r="X67" t="s">
        <v>23</v>
      </c>
      <c r="Y67" t="s">
        <v>23</v>
      </c>
      <c r="Z67" t="s">
        <v>23</v>
      </c>
      <c r="AA67" t="s">
        <v>23</v>
      </c>
      <c r="AB67" t="s">
        <v>23</v>
      </c>
      <c r="AC67" t="s">
        <v>23</v>
      </c>
      <c r="AD67" s="7" t="s">
        <v>23</v>
      </c>
      <c r="AE67" s="7" t="s">
        <v>23</v>
      </c>
      <c r="AF67" s="80">
        <v>0</v>
      </c>
      <c r="AG67" s="80"/>
      <c r="AH67" s="80"/>
      <c r="AI67" s="80"/>
      <c r="AJ67" s="8" t="s">
        <v>31</v>
      </c>
    </row>
    <row r="68" spans="1:36">
      <c r="A68" s="1">
        <v>44520</v>
      </c>
      <c r="B68" s="56">
        <v>1600</v>
      </c>
      <c r="C68" s="55" cm="1">
        <f t="array" ref="C68">(SUM(VLOOKUP(H68:AE68,$AL$4:$AN$44,2,FALSE))+AF68*10)*IF(AJ68="是",$AW$4,$AW$3)</f>
        <v>1872</v>
      </c>
      <c r="D68" s="57">
        <f>SUM($B$4:B68)-SUM($C$4:C68)</f>
        <v>2272</v>
      </c>
      <c r="E68" s="55" cm="1">
        <f t="array" ref="E68">SUM(VLOOKUP(H68:AE68,$AL$4:$AN$44,3,FALSE))</f>
        <v>690</v>
      </c>
      <c r="F68" s="98">
        <f>SUM($E$4:E68)+SUM($G$4:G68)</f>
        <v>42530</v>
      </c>
      <c r="G68" s="56">
        <v>0</v>
      </c>
      <c r="H68" s="87" t="s">
        <v>21</v>
      </c>
      <c r="I68" s="87" t="s">
        <v>21</v>
      </c>
      <c r="J68" s="87" t="s">
        <v>21</v>
      </c>
      <c r="K68" s="87" t="s">
        <v>21</v>
      </c>
      <c r="L68" s="87" t="s">
        <v>21</v>
      </c>
      <c r="M68" s="87" t="s">
        <v>21</v>
      </c>
      <c r="N68" s="7" t="s">
        <v>23</v>
      </c>
      <c r="O68" s="7" t="s">
        <v>23</v>
      </c>
      <c r="P68" s="24" t="s">
        <v>20</v>
      </c>
      <c r="Q68" s="24" t="s">
        <v>20</v>
      </c>
      <c r="R68" s="24" t="s">
        <v>20</v>
      </c>
      <c r="S68" s="24" t="s">
        <v>20</v>
      </c>
      <c r="T68" s="24" t="s">
        <v>20</v>
      </c>
      <c r="U68" s="24" t="s">
        <v>20</v>
      </c>
      <c r="V68" s="7" t="s">
        <v>23</v>
      </c>
      <c r="W68" s="7" t="s">
        <v>23</v>
      </c>
      <c r="X68" t="s">
        <v>23</v>
      </c>
      <c r="Y68" t="s">
        <v>23</v>
      </c>
      <c r="Z68" t="s">
        <v>23</v>
      </c>
      <c r="AA68" t="s">
        <v>23</v>
      </c>
      <c r="AB68" t="s">
        <v>23</v>
      </c>
      <c r="AC68" t="s">
        <v>23</v>
      </c>
      <c r="AD68" s="7" t="s">
        <v>23</v>
      </c>
      <c r="AE68" s="7" t="s">
        <v>23</v>
      </c>
      <c r="AF68" s="80">
        <v>0</v>
      </c>
      <c r="AG68" s="80"/>
      <c r="AH68" s="80"/>
      <c r="AI68" s="80"/>
      <c r="AJ68" s="8" t="s">
        <v>31</v>
      </c>
    </row>
    <row r="69" spans="1:36">
      <c r="A69" s="1">
        <v>44521</v>
      </c>
      <c r="B69" s="56">
        <v>1600</v>
      </c>
      <c r="C69" s="55" cm="1">
        <f t="array" ref="C69">(SUM(VLOOKUP(H69:AE69,$AL$4:$AN$44,2,FALSE))+AF69*10)*IF(AJ69="是",$AW$4,$AW$3)</f>
        <v>1840</v>
      </c>
      <c r="D69" s="57">
        <f>SUM($B$4:B69)-SUM($C$4:C69)</f>
        <v>2032</v>
      </c>
      <c r="E69" s="55" cm="1">
        <f t="array" ref="E69">SUM(VLOOKUP(H69:AE69,$AL$4:$AN$44,3,FALSE))</f>
        <v>690</v>
      </c>
      <c r="F69" s="98">
        <f>SUM($E$4:E69)+SUM($G$4:G69)</f>
        <v>43220</v>
      </c>
      <c r="G69" s="56">
        <v>0</v>
      </c>
      <c r="H69" s="87" t="s">
        <v>21</v>
      </c>
      <c r="I69" s="87" t="s">
        <v>21</v>
      </c>
      <c r="J69" s="87" t="s">
        <v>21</v>
      </c>
      <c r="K69" s="87" t="s">
        <v>21</v>
      </c>
      <c r="L69" s="87" t="s">
        <v>21</v>
      </c>
      <c r="M69" s="87" t="s">
        <v>21</v>
      </c>
      <c r="N69" s="7" t="s">
        <v>23</v>
      </c>
      <c r="O69" s="7" t="s">
        <v>23</v>
      </c>
      <c r="P69" s="24" t="s">
        <v>20</v>
      </c>
      <c r="Q69" s="24" t="s">
        <v>9</v>
      </c>
      <c r="R69" s="24" t="s">
        <v>20</v>
      </c>
      <c r="S69" s="24" t="s">
        <v>20</v>
      </c>
      <c r="T69" s="24" t="s">
        <v>20</v>
      </c>
      <c r="U69" s="24" t="s">
        <v>20</v>
      </c>
      <c r="V69" s="7" t="s">
        <v>23</v>
      </c>
      <c r="W69" s="7" t="s">
        <v>23</v>
      </c>
      <c r="X69" t="s">
        <v>23</v>
      </c>
      <c r="Y69" t="s">
        <v>23</v>
      </c>
      <c r="Z69" t="s">
        <v>23</v>
      </c>
      <c r="AA69" t="s">
        <v>23</v>
      </c>
      <c r="AB69" t="s">
        <v>23</v>
      </c>
      <c r="AC69" t="s">
        <v>23</v>
      </c>
      <c r="AD69" s="7" t="s">
        <v>23</v>
      </c>
      <c r="AE69" s="7" t="s">
        <v>23</v>
      </c>
      <c r="AF69" s="80">
        <v>0</v>
      </c>
      <c r="AG69" s="80"/>
      <c r="AH69" s="80"/>
      <c r="AI69" s="80"/>
      <c r="AJ69" s="8" t="s">
        <v>31</v>
      </c>
    </row>
    <row r="70" spans="1:36">
      <c r="A70" s="1">
        <v>44522</v>
      </c>
      <c r="B70" s="55">
        <v>1600</v>
      </c>
      <c r="C70" s="55" cm="1">
        <f t="array" ref="C70">(SUM(VLOOKUP(H70:AE70,$AL$4:$AN$44,2,FALSE))+AF70*10)*IF(AJ70="是",$AW$4,$AW$3)</f>
        <v>1872</v>
      </c>
      <c r="D70" s="57">
        <f>SUM($B$4:B70)-SUM($C$4:C70)</f>
        <v>1760</v>
      </c>
      <c r="E70" s="55" cm="1">
        <f t="array" ref="E70">SUM(VLOOKUP(H70:AE70,$AL$4:$AN$44,3,FALSE))</f>
        <v>750</v>
      </c>
      <c r="F70" s="98">
        <f>SUM($E$4:E70)+SUM($G$4:G70)</f>
        <v>44270</v>
      </c>
      <c r="G70" s="55">
        <v>300</v>
      </c>
      <c r="H70" s="82" t="s">
        <v>47</v>
      </c>
      <c r="I70" s="87" t="s">
        <v>21</v>
      </c>
      <c r="J70" s="87" t="s">
        <v>21</v>
      </c>
      <c r="K70" s="87" t="s">
        <v>21</v>
      </c>
      <c r="L70" s="87" t="s">
        <v>21</v>
      </c>
      <c r="M70" s="87" t="s">
        <v>21</v>
      </c>
      <c r="N70" s="87" t="s">
        <v>21</v>
      </c>
      <c r="O70" s="87" t="s">
        <v>21</v>
      </c>
      <c r="P70" s="24" t="s">
        <v>20</v>
      </c>
      <c r="Q70" s="24" t="s">
        <v>20</v>
      </c>
      <c r="R70" s="24" t="s">
        <v>20</v>
      </c>
      <c r="S70" s="24" t="s">
        <v>20</v>
      </c>
      <c r="T70" s="24" t="s">
        <v>20</v>
      </c>
      <c r="U70" s="24" t="s">
        <v>20</v>
      </c>
      <c r="V70" s="7" t="s">
        <v>23</v>
      </c>
      <c r="W70" s="7" t="s">
        <v>23</v>
      </c>
      <c r="X70" t="s">
        <v>23</v>
      </c>
      <c r="Y70" t="s">
        <v>23</v>
      </c>
      <c r="Z70" t="s">
        <v>23</v>
      </c>
      <c r="AA70" t="s">
        <v>23</v>
      </c>
      <c r="AB70" t="s">
        <v>23</v>
      </c>
      <c r="AC70" t="s">
        <v>23</v>
      </c>
      <c r="AD70" s="7" t="s">
        <v>23</v>
      </c>
      <c r="AE70" s="7" t="s">
        <v>23</v>
      </c>
      <c r="AF70" s="80">
        <v>0</v>
      </c>
      <c r="AG70" s="80"/>
      <c r="AH70" s="80"/>
      <c r="AI70" s="80"/>
      <c r="AJ70" s="8" t="s">
        <v>31</v>
      </c>
    </row>
    <row r="71" spans="1:36">
      <c r="A71" s="1">
        <v>44523</v>
      </c>
      <c r="B71" s="55">
        <v>1600</v>
      </c>
      <c r="C71" s="55" cm="1">
        <f t="array" ref="C71">(SUM(VLOOKUP(H71:AE71,$AL$4:$AN$44,2,FALSE))+AF71*10)*IF(AJ71="是",$AW$4,$AW$3)</f>
        <v>1760</v>
      </c>
      <c r="D71" s="57">
        <f>SUM($B$4:B71)-SUM($C$4:C71)</f>
        <v>1600</v>
      </c>
      <c r="E71" s="55" cm="1">
        <f t="array" ref="E71">SUM(VLOOKUP(H71:AE71,$AL$4:$AN$44,3,FALSE))</f>
        <v>665</v>
      </c>
      <c r="F71" s="98">
        <f>SUM($E$4:E71)+SUM($G$4:G71)</f>
        <v>44935</v>
      </c>
      <c r="G71" s="55">
        <v>0</v>
      </c>
      <c r="H71" s="87" t="s">
        <v>21</v>
      </c>
      <c r="I71" s="87" t="s">
        <v>21</v>
      </c>
      <c r="J71" s="87" t="s">
        <v>21</v>
      </c>
      <c r="K71" s="87" t="s">
        <v>21</v>
      </c>
      <c r="L71" s="87" t="s">
        <v>21</v>
      </c>
      <c r="M71" s="87" t="s">
        <v>21</v>
      </c>
      <c r="N71" s="7" t="s">
        <v>23</v>
      </c>
      <c r="O71" s="7" t="s">
        <v>23</v>
      </c>
      <c r="P71" s="24" t="s">
        <v>20</v>
      </c>
      <c r="Q71" s="24" t="s">
        <v>20</v>
      </c>
      <c r="R71" s="24" t="s">
        <v>20</v>
      </c>
      <c r="S71" s="24" t="s">
        <v>20</v>
      </c>
      <c r="T71" s="77" t="s">
        <v>12</v>
      </c>
      <c r="U71" s="24" t="s">
        <v>20</v>
      </c>
      <c r="V71" s="7" t="s">
        <v>23</v>
      </c>
      <c r="W71" s="7" t="s">
        <v>23</v>
      </c>
      <c r="X71" t="s">
        <v>23</v>
      </c>
      <c r="Y71" t="s">
        <v>23</v>
      </c>
      <c r="Z71" t="s">
        <v>23</v>
      </c>
      <c r="AA71" t="s">
        <v>23</v>
      </c>
      <c r="AB71" t="s">
        <v>23</v>
      </c>
      <c r="AC71" t="s">
        <v>23</v>
      </c>
      <c r="AD71" s="7" t="s">
        <v>23</v>
      </c>
      <c r="AE71" s="7" t="s">
        <v>23</v>
      </c>
      <c r="AF71" s="80">
        <v>0</v>
      </c>
      <c r="AG71" s="80"/>
      <c r="AH71" s="80"/>
      <c r="AI71" s="80"/>
      <c r="AJ71" s="8" t="s">
        <v>31</v>
      </c>
    </row>
    <row r="72" spans="1:36">
      <c r="A72" s="1">
        <v>44524</v>
      </c>
      <c r="B72" s="55">
        <v>1600</v>
      </c>
      <c r="C72" s="55" cm="1">
        <f t="array" ref="C72">(SUM(VLOOKUP(H72:AE72,$AL$4:$AN$44,2,FALSE))+AF72*10)*IF(AJ72="是",$AW$4,$AW$3)</f>
        <v>1872</v>
      </c>
      <c r="D72" s="57">
        <f>SUM($B$4:B72)-SUM($C$4:C72)</f>
        <v>1328</v>
      </c>
      <c r="E72" s="55" cm="1">
        <f t="array" ref="E72">SUM(VLOOKUP(H72:AE72,$AL$4:$AN$44,3,FALSE))</f>
        <v>690</v>
      </c>
      <c r="F72" s="98">
        <f>SUM($E$4:E72)+SUM($G$4:G72)</f>
        <v>45825</v>
      </c>
      <c r="G72" s="55">
        <v>200</v>
      </c>
      <c r="H72" s="87" t="s">
        <v>21</v>
      </c>
      <c r="I72" s="87" t="s">
        <v>21</v>
      </c>
      <c r="J72" s="87" t="s">
        <v>21</v>
      </c>
      <c r="K72" s="87" t="s">
        <v>21</v>
      </c>
      <c r="L72" s="87" t="s">
        <v>21</v>
      </c>
      <c r="M72" s="87" t="s">
        <v>21</v>
      </c>
      <c r="N72" s="7" t="s">
        <v>23</v>
      </c>
      <c r="O72" s="7" t="s">
        <v>23</v>
      </c>
      <c r="P72" s="24" t="s">
        <v>20</v>
      </c>
      <c r="Q72" s="24" t="s">
        <v>20</v>
      </c>
      <c r="R72" s="24" t="s">
        <v>20</v>
      </c>
      <c r="S72" s="24" t="s">
        <v>20</v>
      </c>
      <c r="T72" s="24" t="s">
        <v>20</v>
      </c>
      <c r="U72" s="24" t="s">
        <v>20</v>
      </c>
      <c r="V72" s="7" t="s">
        <v>23</v>
      </c>
      <c r="W72" s="7" t="s">
        <v>23</v>
      </c>
      <c r="X72" t="s">
        <v>23</v>
      </c>
      <c r="Y72" t="s">
        <v>23</v>
      </c>
      <c r="Z72" t="s">
        <v>23</v>
      </c>
      <c r="AA72" t="s">
        <v>23</v>
      </c>
      <c r="AB72" t="s">
        <v>23</v>
      </c>
      <c r="AC72" t="s">
        <v>23</v>
      </c>
      <c r="AD72" s="7" t="s">
        <v>23</v>
      </c>
      <c r="AE72" s="7" t="s">
        <v>23</v>
      </c>
      <c r="AF72" s="80">
        <v>0</v>
      </c>
      <c r="AG72" s="80"/>
      <c r="AH72" s="80"/>
      <c r="AI72" s="80"/>
      <c r="AJ72" s="8" t="s">
        <v>31</v>
      </c>
    </row>
    <row r="73" spans="1:36">
      <c r="A73" s="1">
        <v>44525</v>
      </c>
      <c r="B73" s="55">
        <v>1600</v>
      </c>
      <c r="C73" s="55" cm="1">
        <f t="array" ref="C73">(SUM(VLOOKUP(H73:AE73,$AL$4:$AN$44,2,FALSE))+AF73*10)*IF(AJ73="是",$AW$4,$AW$3)</f>
        <v>1872</v>
      </c>
      <c r="D73" s="57">
        <f>SUM($B$4:B73)-SUM($C$4:C73)</f>
        <v>1056</v>
      </c>
      <c r="E73" s="55" cm="1">
        <f t="array" ref="E73">SUM(VLOOKUP(H73:AE73,$AL$4:$AN$44,3,FALSE))</f>
        <v>690</v>
      </c>
      <c r="F73" s="98">
        <f>SUM($E$4:E73)+SUM($G$4:G73)</f>
        <v>46515</v>
      </c>
      <c r="G73" s="55">
        <v>0</v>
      </c>
      <c r="H73" s="87" t="s">
        <v>21</v>
      </c>
      <c r="I73" s="87" t="s">
        <v>21</v>
      </c>
      <c r="J73" s="87" t="s">
        <v>21</v>
      </c>
      <c r="K73" s="87" t="s">
        <v>21</v>
      </c>
      <c r="L73" s="87" t="s">
        <v>21</v>
      </c>
      <c r="M73" s="87" t="s">
        <v>21</v>
      </c>
      <c r="N73" s="7" t="s">
        <v>23</v>
      </c>
      <c r="O73" s="7" t="s">
        <v>23</v>
      </c>
      <c r="P73" s="24" t="s">
        <v>20</v>
      </c>
      <c r="Q73" s="24" t="s">
        <v>20</v>
      </c>
      <c r="R73" s="24" t="s">
        <v>20</v>
      </c>
      <c r="S73" s="24" t="s">
        <v>20</v>
      </c>
      <c r="T73" s="24" t="s">
        <v>20</v>
      </c>
      <c r="U73" s="24" t="s">
        <v>20</v>
      </c>
      <c r="V73" s="7" t="s">
        <v>23</v>
      </c>
      <c r="W73" s="7" t="s">
        <v>23</v>
      </c>
      <c r="X73" t="s">
        <v>23</v>
      </c>
      <c r="Y73" t="s">
        <v>23</v>
      </c>
      <c r="Z73" t="s">
        <v>23</v>
      </c>
      <c r="AA73" t="s">
        <v>23</v>
      </c>
      <c r="AB73" t="s">
        <v>23</v>
      </c>
      <c r="AC73" t="s">
        <v>23</v>
      </c>
      <c r="AD73" s="7" t="s">
        <v>23</v>
      </c>
      <c r="AE73" s="7" t="s">
        <v>23</v>
      </c>
      <c r="AF73" s="80">
        <v>0</v>
      </c>
      <c r="AG73" s="80"/>
      <c r="AH73" s="80"/>
      <c r="AI73" s="80"/>
      <c r="AJ73" s="8" t="s">
        <v>31</v>
      </c>
    </row>
    <row r="74" spans="1:36">
      <c r="A74" s="1">
        <v>44526</v>
      </c>
      <c r="B74" s="55">
        <v>1600</v>
      </c>
      <c r="C74" s="55" cm="1">
        <f t="array" ref="C74">(SUM(VLOOKUP(H74:AE74,$AL$4:$AN$44,2,FALSE))+AF74*10)*IF(AJ74="是",$AW$4,$AW$3)</f>
        <v>1792</v>
      </c>
      <c r="D74" s="57">
        <f>SUM($B$4:B74)-SUM($C$4:C74)</f>
        <v>864</v>
      </c>
      <c r="E74" s="55" cm="1">
        <f t="array" ref="E74">SUM(VLOOKUP(H74:AE74,$AL$4:$AN$44,3,FALSE))</f>
        <v>1600</v>
      </c>
      <c r="F74" s="98">
        <f>SUM($E$4:E74)+SUM($G$4:G74)</f>
        <v>48115</v>
      </c>
      <c r="G74" s="55">
        <v>0</v>
      </c>
      <c r="H74" s="87" t="s">
        <v>21</v>
      </c>
      <c r="I74" s="87" t="s">
        <v>21</v>
      </c>
      <c r="J74" s="88" t="s">
        <v>15</v>
      </c>
      <c r="K74" s="87" t="s">
        <v>21</v>
      </c>
      <c r="L74" s="87" t="s">
        <v>21</v>
      </c>
      <c r="M74" s="87" t="s">
        <v>21</v>
      </c>
      <c r="N74" s="7" t="s">
        <v>23</v>
      </c>
      <c r="O74" s="7" t="s">
        <v>23</v>
      </c>
      <c r="P74" s="24" t="s">
        <v>20</v>
      </c>
      <c r="Q74" s="24" t="s">
        <v>20</v>
      </c>
      <c r="R74" s="24" t="s">
        <v>20</v>
      </c>
      <c r="S74" s="24" t="s">
        <v>20</v>
      </c>
      <c r="T74" s="77" t="s">
        <v>12</v>
      </c>
      <c r="U74" s="84" t="s">
        <v>19</v>
      </c>
      <c r="V74" s="7" t="s">
        <v>23</v>
      </c>
      <c r="W74" s="7" t="s">
        <v>23</v>
      </c>
      <c r="X74" t="s">
        <v>23</v>
      </c>
      <c r="Y74" t="s">
        <v>23</v>
      </c>
      <c r="Z74" t="s">
        <v>23</v>
      </c>
      <c r="AA74" t="s">
        <v>23</v>
      </c>
      <c r="AB74" t="s">
        <v>23</v>
      </c>
      <c r="AC74" t="s">
        <v>23</v>
      </c>
      <c r="AD74" s="7" t="s">
        <v>23</v>
      </c>
      <c r="AE74" s="7" t="s">
        <v>23</v>
      </c>
      <c r="AF74" s="80">
        <v>0</v>
      </c>
      <c r="AG74" s="80"/>
      <c r="AH74" s="80"/>
      <c r="AI74" s="80"/>
      <c r="AJ74" s="8" t="s">
        <v>31</v>
      </c>
    </row>
    <row r="75" spans="1:36">
      <c r="A75" s="1">
        <v>44527</v>
      </c>
      <c r="B75" s="55">
        <v>1600</v>
      </c>
      <c r="C75" s="55" cm="1">
        <f t="array" ref="C75">(SUM(VLOOKUP(H75:AE75,$AL$4:$AN$44,2,FALSE))+AF75*10)*IF(AJ75="是",$AW$4,$AW$3)</f>
        <v>1824</v>
      </c>
      <c r="D75" s="57">
        <f>SUM($B$4:B75)-SUM($C$4:C75)</f>
        <v>640</v>
      </c>
      <c r="E75" s="55" cm="1">
        <f t="array" ref="E75">SUM(VLOOKUP(H75:AE75,$AL$4:$AN$44,3,FALSE))</f>
        <v>660</v>
      </c>
      <c r="F75" s="98">
        <f>SUM($E$4:E75)+SUM($G$4:G75)</f>
        <v>48775</v>
      </c>
      <c r="G75" s="55">
        <v>0</v>
      </c>
      <c r="H75" s="87" t="s">
        <v>21</v>
      </c>
      <c r="I75" s="87" t="s">
        <v>21</v>
      </c>
      <c r="J75" s="87" t="s">
        <v>21</v>
      </c>
      <c r="K75" s="87" t="s">
        <v>21</v>
      </c>
      <c r="L75" s="87" t="s">
        <v>21</v>
      </c>
      <c r="M75" s="87" t="s">
        <v>21</v>
      </c>
      <c r="N75" s="7" t="s">
        <v>23</v>
      </c>
      <c r="O75" s="7" t="s">
        <v>23</v>
      </c>
      <c r="P75" s="84" t="s">
        <v>19</v>
      </c>
      <c r="Q75" s="84" t="s">
        <v>19</v>
      </c>
      <c r="R75" s="84" t="s">
        <v>19</v>
      </c>
      <c r="S75" s="84" t="s">
        <v>19</v>
      </c>
      <c r="T75" s="84" t="s">
        <v>19</v>
      </c>
      <c r="U75" s="84" t="s">
        <v>19</v>
      </c>
      <c r="V75" s="7" t="s">
        <v>23</v>
      </c>
      <c r="W75" s="7" t="s">
        <v>23</v>
      </c>
      <c r="X75" t="s">
        <v>23</v>
      </c>
      <c r="Y75" t="s">
        <v>23</v>
      </c>
      <c r="Z75" t="s">
        <v>23</v>
      </c>
      <c r="AA75" t="s">
        <v>23</v>
      </c>
      <c r="AB75" t="s">
        <v>23</v>
      </c>
      <c r="AC75" t="s">
        <v>23</v>
      </c>
      <c r="AD75" s="7" t="s">
        <v>23</v>
      </c>
      <c r="AE75" s="7" t="s">
        <v>23</v>
      </c>
      <c r="AF75" s="80">
        <v>0</v>
      </c>
      <c r="AG75" s="80"/>
      <c r="AH75" s="80"/>
      <c r="AI75" s="80"/>
      <c r="AJ75" s="8" t="s">
        <v>31</v>
      </c>
    </row>
    <row r="76" spans="1:36">
      <c r="A76" s="1">
        <v>44528</v>
      </c>
      <c r="B76" s="55">
        <v>1600</v>
      </c>
      <c r="C76" s="55" cm="1">
        <f t="array" ref="C76">(SUM(VLOOKUP(H76:AE76,$AL$4:$AN$44,2,FALSE))+AF76*10)*IF(AJ76="是",$AW$4,$AW$3)</f>
        <v>1824</v>
      </c>
      <c r="D76" s="57">
        <f>SUM($B$4:B76)-SUM($C$4:C76)</f>
        <v>416</v>
      </c>
      <c r="E76" s="55" cm="1">
        <f t="array" ref="E76">SUM(VLOOKUP(H76:AE76,$AL$4:$AN$44,3,FALSE))</f>
        <v>660</v>
      </c>
      <c r="F76" s="98">
        <f>SUM($E$4:E76)+SUM($G$4:G76)</f>
        <v>49435</v>
      </c>
      <c r="G76" s="55">
        <v>0</v>
      </c>
      <c r="H76" s="87" t="s">
        <v>21</v>
      </c>
      <c r="I76" s="87" t="s">
        <v>21</v>
      </c>
      <c r="J76" s="87" t="s">
        <v>21</v>
      </c>
      <c r="K76" s="87" t="s">
        <v>21</v>
      </c>
      <c r="L76" s="87" t="s">
        <v>21</v>
      </c>
      <c r="M76" s="87" t="s">
        <v>21</v>
      </c>
      <c r="N76" s="7" t="s">
        <v>23</v>
      </c>
      <c r="O76" s="7" t="s">
        <v>23</v>
      </c>
      <c r="P76" s="84" t="s">
        <v>19</v>
      </c>
      <c r="Q76" s="84" t="s">
        <v>19</v>
      </c>
      <c r="R76" s="84" t="s">
        <v>19</v>
      </c>
      <c r="S76" s="84" t="s">
        <v>19</v>
      </c>
      <c r="T76" s="84" t="s">
        <v>19</v>
      </c>
      <c r="U76" s="84" t="s">
        <v>19</v>
      </c>
      <c r="V76" s="7" t="s">
        <v>23</v>
      </c>
      <c r="W76" s="7" t="s">
        <v>23</v>
      </c>
      <c r="X76" t="s">
        <v>23</v>
      </c>
      <c r="Y76" t="s">
        <v>23</v>
      </c>
      <c r="Z76" t="s">
        <v>23</v>
      </c>
      <c r="AA76" t="s">
        <v>23</v>
      </c>
      <c r="AB76" t="s">
        <v>23</v>
      </c>
      <c r="AC76" t="s">
        <v>23</v>
      </c>
      <c r="AD76" s="7" t="s">
        <v>23</v>
      </c>
      <c r="AE76" s="7" t="s">
        <v>23</v>
      </c>
      <c r="AF76" s="80">
        <v>0</v>
      </c>
      <c r="AG76" s="80"/>
      <c r="AH76" s="80"/>
      <c r="AI76" s="80"/>
      <c r="AJ76" s="8" t="s">
        <v>31</v>
      </c>
    </row>
    <row r="77" spans="1:36">
      <c r="A77" s="1">
        <v>44529</v>
      </c>
      <c r="B77" s="56">
        <v>1600</v>
      </c>
      <c r="C77" s="55" cm="1">
        <f t="array" ref="C77">(SUM(VLOOKUP(H77:AE77,$AL$4:$AN$44,2,FALSE))+AF77*10)*IF(AJ77="是",$AW$4,$AW$3)</f>
        <v>1824</v>
      </c>
      <c r="D77" s="57">
        <f>SUM($B$4:B77)-SUM($C$4:C77)</f>
        <v>192</v>
      </c>
      <c r="E77" s="55" cm="1">
        <f t="array" ref="E77">SUM(VLOOKUP(H77:AE77,$AL$4:$AN$44,3,FALSE))</f>
        <v>660</v>
      </c>
      <c r="F77" s="98">
        <f>SUM($E$4:E77)+SUM($G$4:G77)</f>
        <v>50295</v>
      </c>
      <c r="G77" s="56">
        <v>200</v>
      </c>
      <c r="H77" s="87" t="s">
        <v>21</v>
      </c>
      <c r="I77" s="87" t="s">
        <v>21</v>
      </c>
      <c r="J77" s="87" t="s">
        <v>21</v>
      </c>
      <c r="K77" s="87" t="s">
        <v>21</v>
      </c>
      <c r="L77" s="87" t="s">
        <v>21</v>
      </c>
      <c r="M77" s="87" t="s">
        <v>21</v>
      </c>
      <c r="N77" s="7" t="s">
        <v>23</v>
      </c>
      <c r="O77" s="7" t="s">
        <v>23</v>
      </c>
      <c r="P77" s="84" t="s">
        <v>19</v>
      </c>
      <c r="Q77" s="84" t="s">
        <v>19</v>
      </c>
      <c r="R77" s="84" t="s">
        <v>19</v>
      </c>
      <c r="S77" s="84" t="s">
        <v>19</v>
      </c>
      <c r="T77" s="84" t="s">
        <v>19</v>
      </c>
      <c r="U77" s="84" t="s">
        <v>19</v>
      </c>
      <c r="V77" s="7" t="s">
        <v>23</v>
      </c>
      <c r="W77" s="7" t="s">
        <v>23</v>
      </c>
      <c r="X77" t="s">
        <v>23</v>
      </c>
      <c r="Y77" t="s">
        <v>23</v>
      </c>
      <c r="Z77" t="s">
        <v>23</v>
      </c>
      <c r="AA77" t="s">
        <v>23</v>
      </c>
      <c r="AB77" t="s">
        <v>23</v>
      </c>
      <c r="AC77" t="s">
        <v>23</v>
      </c>
      <c r="AD77" s="7" t="s">
        <v>23</v>
      </c>
      <c r="AE77" s="7" t="s">
        <v>23</v>
      </c>
      <c r="AF77" s="80">
        <v>0</v>
      </c>
      <c r="AG77" s="80"/>
      <c r="AH77" s="80"/>
      <c r="AI77" s="80"/>
      <c r="AJ77" s="8" t="s">
        <v>31</v>
      </c>
    </row>
    <row r="78" spans="1:36">
      <c r="A78" s="1">
        <v>44530</v>
      </c>
      <c r="B78" s="56">
        <v>1600</v>
      </c>
      <c r="C78" s="55" cm="1">
        <f t="array" ref="C78">(SUM(VLOOKUP(H78:AE78,$AL$4:$AN$44,2,FALSE))+AF78*10)*IF(AJ78="是",$AW$4,$AW$3)</f>
        <v>1680</v>
      </c>
      <c r="D78" s="57">
        <f>SUM($B$4:B78)-SUM($C$4:C78)</f>
        <v>112</v>
      </c>
      <c r="E78" s="55" cm="1">
        <f t="array" ref="E78">SUM(VLOOKUP(H78:AE78,$AL$4:$AN$44,3,FALSE))</f>
        <v>610</v>
      </c>
      <c r="F78" s="98">
        <f>SUM($E$4:E78)+SUM($G$4:G78)</f>
        <v>51005</v>
      </c>
      <c r="G78" s="56">
        <v>100</v>
      </c>
      <c r="H78" s="87" t="s">
        <v>21</v>
      </c>
      <c r="I78" s="87" t="s">
        <v>21</v>
      </c>
      <c r="J78" s="87" t="s">
        <v>21</v>
      </c>
      <c r="K78" s="87" t="s">
        <v>21</v>
      </c>
      <c r="L78" s="87" t="s">
        <v>21</v>
      </c>
      <c r="M78" s="87" t="s">
        <v>21</v>
      </c>
      <c r="N78" s="7" t="s">
        <v>23</v>
      </c>
      <c r="O78" s="7" t="s">
        <v>23</v>
      </c>
      <c r="P78" s="84" t="s">
        <v>19</v>
      </c>
      <c r="Q78" s="84" t="s">
        <v>19</v>
      </c>
      <c r="R78" s="84" t="s">
        <v>19</v>
      </c>
      <c r="S78" s="84" t="s">
        <v>19</v>
      </c>
      <c r="T78" s="84" t="s">
        <v>19</v>
      </c>
      <c r="U78" t="s">
        <v>23</v>
      </c>
      <c r="V78" s="7" t="s">
        <v>23</v>
      </c>
      <c r="W78" s="7" t="s">
        <v>23</v>
      </c>
      <c r="X78" t="s">
        <v>23</v>
      </c>
      <c r="Y78" t="s">
        <v>23</v>
      </c>
      <c r="Z78" t="s">
        <v>23</v>
      </c>
      <c r="AA78" t="s">
        <v>23</v>
      </c>
      <c r="AB78" t="s">
        <v>23</v>
      </c>
      <c r="AC78" t="s">
        <v>23</v>
      </c>
      <c r="AD78" s="7" t="s">
        <v>23</v>
      </c>
      <c r="AE78" s="7" t="s">
        <v>23</v>
      </c>
      <c r="AF78" s="80">
        <v>0</v>
      </c>
      <c r="AG78" s="80"/>
      <c r="AH78" s="80"/>
      <c r="AI78" s="80"/>
      <c r="AJ78" s="8" t="s">
        <v>31</v>
      </c>
    </row>
    <row r="79" spans="1:36">
      <c r="A79" s="1">
        <v>44531</v>
      </c>
      <c r="B79" s="56">
        <v>1600</v>
      </c>
      <c r="C79" s="55" cm="1">
        <f t="array" ref="C79">(SUM(VLOOKUP(H79:AE79,$AL$4:$AN$44,2,FALSE))+AF79*10)*IF(AJ79="是",$AW$4,$AW$3)</f>
        <v>1648</v>
      </c>
      <c r="D79" s="57">
        <f>SUM($B$4:B79)-SUM($C$4:C79)</f>
        <v>64</v>
      </c>
      <c r="E79" s="55" cm="1">
        <f t="array" ref="E79">SUM(VLOOKUP(H79:AE79,$AL$4:$AN$44,3,FALSE))</f>
        <v>600</v>
      </c>
      <c r="F79" s="98">
        <f>SUM($E$4:E79)+SUM($G$4:G79)</f>
        <v>51805</v>
      </c>
      <c r="G79" s="56">
        <v>200</v>
      </c>
      <c r="H79" s="87" t="s">
        <v>21</v>
      </c>
      <c r="I79" s="87" t="s">
        <v>21</v>
      </c>
      <c r="J79" s="87" t="s">
        <v>21</v>
      </c>
      <c r="K79" s="87" t="s">
        <v>21</v>
      </c>
      <c r="L79" s="87" t="s">
        <v>21</v>
      </c>
      <c r="M79" s="87" t="s">
        <v>21</v>
      </c>
      <c r="N79" s="7" t="s">
        <v>23</v>
      </c>
      <c r="O79" s="7" t="s">
        <v>23</v>
      </c>
      <c r="P79" s="84" t="s">
        <v>19</v>
      </c>
      <c r="Q79" s="22" t="s">
        <v>7</v>
      </c>
      <c r="R79" s="84" t="s">
        <v>19</v>
      </c>
      <c r="S79" s="84" t="s">
        <v>19</v>
      </c>
      <c r="T79" s="79" t="s">
        <v>18</v>
      </c>
      <c r="U79" t="s">
        <v>23</v>
      </c>
      <c r="V79" s="7" t="s">
        <v>23</v>
      </c>
      <c r="W79" s="7" t="s">
        <v>23</v>
      </c>
      <c r="X79" t="s">
        <v>23</v>
      </c>
      <c r="Y79" t="s">
        <v>23</v>
      </c>
      <c r="Z79" t="s">
        <v>23</v>
      </c>
      <c r="AA79" t="s">
        <v>23</v>
      </c>
      <c r="AB79" t="s">
        <v>23</v>
      </c>
      <c r="AC79" t="s">
        <v>23</v>
      </c>
      <c r="AD79" s="7" t="s">
        <v>23</v>
      </c>
      <c r="AE79" s="7" t="s">
        <v>23</v>
      </c>
      <c r="AF79" s="80">
        <v>0</v>
      </c>
      <c r="AG79" s="80"/>
      <c r="AH79" s="80"/>
      <c r="AI79" s="80"/>
      <c r="AJ79" s="8" t="s">
        <v>31</v>
      </c>
    </row>
    <row r="80" spans="1:36">
      <c r="A80" s="1">
        <v>44532</v>
      </c>
      <c r="B80" s="56">
        <v>1600</v>
      </c>
      <c r="C80" s="55" cm="1">
        <f t="array" ref="C80">(SUM(VLOOKUP(H80:AE80,$AL$4:$AN$44,2,FALSE))+AF80*10)*IF(AJ80="是",$AW$4,$AW$3)</f>
        <v>1504</v>
      </c>
      <c r="D80" s="57">
        <f>SUM($B$4:B80)-SUM($C$4:C80)</f>
        <v>160</v>
      </c>
      <c r="E80" s="55" cm="1">
        <f t="array" ref="E80">SUM(VLOOKUP(H80:AE80,$AL$4:$AN$44,3,FALSE))</f>
        <v>540</v>
      </c>
      <c r="F80" s="98">
        <f>SUM($E$4:E80)+SUM($G$4:G80)</f>
        <v>52345</v>
      </c>
      <c r="G80" s="56">
        <v>0</v>
      </c>
      <c r="H80" s="87" t="s">
        <v>21</v>
      </c>
      <c r="I80" s="87" t="s">
        <v>21</v>
      </c>
      <c r="J80" s="87" t="s">
        <v>21</v>
      </c>
      <c r="K80" s="87" t="s">
        <v>21</v>
      </c>
      <c r="L80" s="87" t="s">
        <v>21</v>
      </c>
      <c r="M80" s="87" t="s">
        <v>21</v>
      </c>
      <c r="N80" s="7" t="s">
        <v>23</v>
      </c>
      <c r="O80" s="7" t="s">
        <v>23</v>
      </c>
      <c r="P80" s="79" t="s">
        <v>18</v>
      </c>
      <c r="Q80" s="79" t="s">
        <v>18</v>
      </c>
      <c r="R80" s="79" t="s">
        <v>18</v>
      </c>
      <c r="S80" s="79" t="s">
        <v>18</v>
      </c>
      <c r="T80" t="s">
        <v>23</v>
      </c>
      <c r="U80" t="s">
        <v>23</v>
      </c>
      <c r="V80" s="7" t="s">
        <v>23</v>
      </c>
      <c r="W80" s="7" t="s">
        <v>23</v>
      </c>
      <c r="X80" t="s">
        <v>23</v>
      </c>
      <c r="Y80" t="s">
        <v>23</v>
      </c>
      <c r="Z80" t="s">
        <v>23</v>
      </c>
      <c r="AA80" t="s">
        <v>23</v>
      </c>
      <c r="AB80" t="s">
        <v>23</v>
      </c>
      <c r="AC80" t="s">
        <v>23</v>
      </c>
      <c r="AD80" s="7" t="s">
        <v>23</v>
      </c>
      <c r="AE80" s="7" t="s">
        <v>23</v>
      </c>
      <c r="AF80" s="80">
        <v>0</v>
      </c>
      <c r="AG80" s="80"/>
      <c r="AH80" s="80"/>
      <c r="AI80" s="80"/>
      <c r="AJ80" s="8" t="s">
        <v>31</v>
      </c>
    </row>
    <row r="81" spans="1:36">
      <c r="A81" s="1">
        <v>44533</v>
      </c>
      <c r="B81" s="56">
        <v>1600</v>
      </c>
      <c r="C81" s="55" cm="1">
        <f t="array" ref="C81">(SUM(VLOOKUP(H81:AE81,$AL$4:$AN$44,2,FALSE))+AF81*10)*IF(AJ81="是",$AW$4,$AW$3)</f>
        <v>1640</v>
      </c>
      <c r="D81" s="57">
        <f>SUM($B$4:B81)-SUM($C$4:C81)</f>
        <v>120</v>
      </c>
      <c r="E81" s="55" cm="1">
        <f t="array" ref="E81">SUM(VLOOKUP(H81:AE81,$AL$4:$AN$44,3,FALSE))</f>
        <v>585</v>
      </c>
      <c r="F81" s="98">
        <f>SUM($E$4:E81)+SUM($G$4:G81)</f>
        <v>52930</v>
      </c>
      <c r="G81" s="56">
        <v>0</v>
      </c>
      <c r="H81" s="87" t="s">
        <v>21</v>
      </c>
      <c r="I81" s="87" t="s">
        <v>21</v>
      </c>
      <c r="J81" s="87" t="s">
        <v>21</v>
      </c>
      <c r="K81" s="87" t="s">
        <v>21</v>
      </c>
      <c r="L81" s="87" t="s">
        <v>21</v>
      </c>
      <c r="M81" s="87" t="s">
        <v>21</v>
      </c>
      <c r="N81" s="7" t="s">
        <v>23</v>
      </c>
      <c r="O81" s="7" t="s">
        <v>23</v>
      </c>
      <c r="P81" s="79" t="s">
        <v>18</v>
      </c>
      <c r="Q81" s="79" t="s">
        <v>18</v>
      </c>
      <c r="R81" s="79" t="s">
        <v>18</v>
      </c>
      <c r="S81" s="79" t="s">
        <v>18</v>
      </c>
      <c r="T81" s="79" t="s">
        <v>18</v>
      </c>
      <c r="U81" t="s">
        <v>23</v>
      </c>
      <c r="V81" s="7" t="s">
        <v>23</v>
      </c>
      <c r="W81" s="7" t="s">
        <v>23</v>
      </c>
      <c r="X81" t="s">
        <v>23</v>
      </c>
      <c r="Y81" t="s">
        <v>23</v>
      </c>
      <c r="Z81" t="s">
        <v>23</v>
      </c>
      <c r="AA81" t="s">
        <v>23</v>
      </c>
      <c r="AB81" t="s">
        <v>23</v>
      </c>
      <c r="AC81" t="s">
        <v>23</v>
      </c>
      <c r="AD81" s="7" t="s">
        <v>23</v>
      </c>
      <c r="AE81" s="7" t="s">
        <v>23</v>
      </c>
      <c r="AF81" s="80">
        <v>0</v>
      </c>
      <c r="AG81" s="80"/>
      <c r="AH81" s="80"/>
      <c r="AI81" s="80"/>
      <c r="AJ81" s="8" t="s">
        <v>31</v>
      </c>
    </row>
    <row r="82" spans="1:36">
      <c r="A82" s="1">
        <v>44534</v>
      </c>
      <c r="B82" s="56">
        <v>1600</v>
      </c>
      <c r="C82" s="55" cm="1">
        <f t="array" ref="C82">(SUM(VLOOKUP(H82:AE82,$AL$4:$AN$44,2,FALSE))+AF82*10)*IF(AJ82="是",$AW$4,$AW$3)</f>
        <v>1640</v>
      </c>
      <c r="D82" s="57">
        <f>SUM($B$4:B82)-SUM($C$4:C82)</f>
        <v>80</v>
      </c>
      <c r="E82" s="55" cm="1">
        <f t="array" ref="E82">SUM(VLOOKUP(H82:AE82,$AL$4:$AN$44,3,FALSE))</f>
        <v>590</v>
      </c>
      <c r="F82" s="98">
        <f>SUM($E$4:E82)+SUM($G$4:G82)</f>
        <v>53520</v>
      </c>
      <c r="G82" s="56">
        <v>0</v>
      </c>
      <c r="H82" s="87" t="s">
        <v>21</v>
      </c>
      <c r="I82" s="85" t="s">
        <v>20</v>
      </c>
      <c r="J82" s="85" t="s">
        <v>20</v>
      </c>
      <c r="K82" s="85" t="s">
        <v>20</v>
      </c>
      <c r="L82" s="85" t="s">
        <v>20</v>
      </c>
      <c r="M82" s="85" t="s">
        <v>20</v>
      </c>
      <c r="N82" s="7" t="s">
        <v>23</v>
      </c>
      <c r="O82" s="7" t="s">
        <v>23</v>
      </c>
      <c r="P82" s="79" t="s">
        <v>18</v>
      </c>
      <c r="Q82" s="79" t="s">
        <v>18</v>
      </c>
      <c r="R82" s="79" t="s">
        <v>18</v>
      </c>
      <c r="S82" s="77" t="s">
        <v>12</v>
      </c>
      <c r="T82" s="79" t="s">
        <v>18</v>
      </c>
      <c r="U82" s="79" t="s">
        <v>18</v>
      </c>
      <c r="V82" s="7" t="s">
        <v>23</v>
      </c>
      <c r="W82" s="7" t="s">
        <v>23</v>
      </c>
      <c r="X82" t="s">
        <v>23</v>
      </c>
      <c r="Y82" t="s">
        <v>23</v>
      </c>
      <c r="Z82" t="s">
        <v>23</v>
      </c>
      <c r="AA82" t="s">
        <v>23</v>
      </c>
      <c r="AB82" t="s">
        <v>23</v>
      </c>
      <c r="AC82" t="s">
        <v>23</v>
      </c>
      <c r="AD82" s="7" t="s">
        <v>23</v>
      </c>
      <c r="AE82" s="7" t="s">
        <v>23</v>
      </c>
      <c r="AF82" s="80">
        <v>0</v>
      </c>
      <c r="AG82" s="80"/>
      <c r="AH82" s="80"/>
      <c r="AI82" s="80"/>
      <c r="AJ82" s="8" t="s">
        <v>31</v>
      </c>
    </row>
    <row r="83" spans="1:36">
      <c r="A83" s="1">
        <v>44535</v>
      </c>
      <c r="B83" s="56">
        <v>1600</v>
      </c>
      <c r="C83" s="55" cm="1">
        <f t="array" ref="C83">(SUM(VLOOKUP(H83:AE83,$AL$4:$AN$44,2,FALSE))+AF83*10)*IF(AJ83="是",$AW$4,$AW$3)</f>
        <v>1632</v>
      </c>
      <c r="D83" s="57">
        <f>SUM($B$4:B83)-SUM($C$4:C83)</f>
        <v>48</v>
      </c>
      <c r="E83" s="55" cm="1">
        <f t="array" ref="E83">SUM(VLOOKUP(H83:AE83,$AL$4:$AN$44,3,FALSE))</f>
        <v>600</v>
      </c>
      <c r="F83" s="98">
        <f>SUM($E$4:E83)+SUM($G$4:G83)</f>
        <v>54120</v>
      </c>
      <c r="G83" s="56">
        <v>0</v>
      </c>
      <c r="H83" s="85" t="s">
        <v>20</v>
      </c>
      <c r="I83" s="85" t="s">
        <v>20</v>
      </c>
      <c r="J83" s="77" t="s">
        <v>12</v>
      </c>
      <c r="K83" s="85" t="s">
        <v>20</v>
      </c>
      <c r="L83" s="85" t="s">
        <v>20</v>
      </c>
      <c r="M83" s="85" t="s">
        <v>20</v>
      </c>
      <c r="N83" s="7" t="s">
        <v>23</v>
      </c>
      <c r="O83" s="7" t="s">
        <v>23</v>
      </c>
      <c r="P83" s="79" t="s">
        <v>18</v>
      </c>
      <c r="Q83" s="84" t="s">
        <v>19</v>
      </c>
      <c r="R83" s="84" t="s">
        <v>19</v>
      </c>
      <c r="S83" s="23" t="s">
        <v>8</v>
      </c>
      <c r="T83" s="84" t="s">
        <v>19</v>
      </c>
      <c r="U83" s="84" t="s">
        <v>19</v>
      </c>
      <c r="V83" s="7" t="s">
        <v>23</v>
      </c>
      <c r="W83" s="7" t="s">
        <v>23</v>
      </c>
      <c r="X83" t="s">
        <v>23</v>
      </c>
      <c r="Y83" t="s">
        <v>23</v>
      </c>
      <c r="Z83" t="s">
        <v>23</v>
      </c>
      <c r="AA83" t="s">
        <v>23</v>
      </c>
      <c r="AB83" t="s">
        <v>23</v>
      </c>
      <c r="AC83" t="s">
        <v>23</v>
      </c>
      <c r="AD83" s="7" t="s">
        <v>23</v>
      </c>
      <c r="AE83" s="7" t="s">
        <v>23</v>
      </c>
      <c r="AF83" s="80">
        <v>0</v>
      </c>
      <c r="AG83" s="80"/>
      <c r="AH83" s="80"/>
      <c r="AI83" s="80"/>
      <c r="AJ83" s="8" t="s">
        <v>31</v>
      </c>
    </row>
    <row r="84" spans="1:36">
      <c r="A84" s="1">
        <v>44536</v>
      </c>
      <c r="B84" s="55">
        <v>1600</v>
      </c>
      <c r="C84" s="55" cm="1">
        <f t="array" ref="C84">(SUM(VLOOKUP(H84:AE84,$AL$4:$AN$44,2,FALSE))+AF84*10)*IF(AJ84="是",$AW$4,$AW$3)</f>
        <v>1488</v>
      </c>
      <c r="D84" s="57">
        <f>SUM($B$4:B84)-SUM($C$4:C84)</f>
        <v>160</v>
      </c>
      <c r="E84" s="55" cm="1">
        <f t="array" ref="E84">SUM(VLOOKUP(H84:AE84,$AL$4:$AN$44,3,FALSE))</f>
        <v>530</v>
      </c>
      <c r="F84" s="98">
        <f>SUM($E$4:E84)+SUM($G$4:G84)</f>
        <v>54950</v>
      </c>
      <c r="G84" s="55">
        <v>300</v>
      </c>
      <c r="H84" s="85" t="s">
        <v>20</v>
      </c>
      <c r="I84" s="85" t="s">
        <v>20</v>
      </c>
      <c r="J84" s="85" t="s">
        <v>20</v>
      </c>
      <c r="K84" s="85" t="s">
        <v>20</v>
      </c>
      <c r="L84" s="85" t="s">
        <v>20</v>
      </c>
      <c r="M84" s="85" t="s">
        <v>20</v>
      </c>
      <c r="N84" s="7" t="s">
        <v>23</v>
      </c>
      <c r="O84" s="7" t="s">
        <v>23</v>
      </c>
      <c r="P84" s="84" t="s">
        <v>19</v>
      </c>
      <c r="Q84" s="84" t="s">
        <v>19</v>
      </c>
      <c r="R84" s="84" t="s">
        <v>19</v>
      </c>
      <c r="S84" s="84" t="s">
        <v>19</v>
      </c>
      <c r="T84" t="s">
        <v>23</v>
      </c>
      <c r="U84" t="s">
        <v>23</v>
      </c>
      <c r="V84" s="7" t="s">
        <v>23</v>
      </c>
      <c r="W84" s="7" t="s">
        <v>23</v>
      </c>
      <c r="X84" t="s">
        <v>23</v>
      </c>
      <c r="Y84" t="s">
        <v>23</v>
      </c>
      <c r="Z84" t="s">
        <v>23</v>
      </c>
      <c r="AA84" t="s">
        <v>23</v>
      </c>
      <c r="AB84" t="s">
        <v>23</v>
      </c>
      <c r="AC84" t="s">
        <v>23</v>
      </c>
      <c r="AD84" s="7" t="s">
        <v>23</v>
      </c>
      <c r="AE84" s="7" t="s">
        <v>23</v>
      </c>
      <c r="AF84" s="80">
        <v>0</v>
      </c>
      <c r="AG84" s="80"/>
      <c r="AH84" s="80"/>
      <c r="AI84" s="80"/>
      <c r="AJ84" s="8" t="s">
        <v>31</v>
      </c>
    </row>
    <row r="85" spans="1:36">
      <c r="A85" s="1">
        <v>44537</v>
      </c>
      <c r="B85" s="55">
        <v>1600</v>
      </c>
      <c r="C85" s="55" cm="1">
        <f t="array" ref="C85">(SUM(VLOOKUP(H85:AE85,$AL$4:$AN$44,2,FALSE))+AF85*10)*IF(AJ85="是",$AW$4,$AW$3)</f>
        <v>1624</v>
      </c>
      <c r="D85" s="57">
        <f>SUM($B$4:B85)-SUM($C$4:C85)</f>
        <v>136</v>
      </c>
      <c r="E85" s="55" cm="1">
        <f t="array" ref="E85">SUM(VLOOKUP(H85:AE85,$AL$4:$AN$44,3,FALSE))</f>
        <v>575</v>
      </c>
      <c r="F85" s="98">
        <f>SUM($E$4:E85)+SUM($G$4:G85)</f>
        <v>55525</v>
      </c>
      <c r="G85" s="55">
        <v>0</v>
      </c>
      <c r="H85" s="85" t="s">
        <v>20</v>
      </c>
      <c r="I85" s="85" t="s">
        <v>20</v>
      </c>
      <c r="J85" s="85" t="s">
        <v>20</v>
      </c>
      <c r="K85" s="85" t="s">
        <v>20</v>
      </c>
      <c r="L85" s="85" t="s">
        <v>20</v>
      </c>
      <c r="M85" s="85" t="s">
        <v>20</v>
      </c>
      <c r="N85" s="7" t="s">
        <v>23</v>
      </c>
      <c r="O85" s="7" t="s">
        <v>23</v>
      </c>
      <c r="P85" s="84" t="s">
        <v>19</v>
      </c>
      <c r="Q85" s="84" t="s">
        <v>19</v>
      </c>
      <c r="R85" s="84" t="s">
        <v>19</v>
      </c>
      <c r="S85" s="84" t="s">
        <v>19</v>
      </c>
      <c r="T85" s="79" t="s">
        <v>18</v>
      </c>
      <c r="U85" t="s">
        <v>23</v>
      </c>
      <c r="V85" s="7" t="s">
        <v>23</v>
      </c>
      <c r="W85" s="7" t="s">
        <v>23</v>
      </c>
      <c r="X85" t="s">
        <v>23</v>
      </c>
      <c r="Y85" t="s">
        <v>23</v>
      </c>
      <c r="Z85" t="s">
        <v>23</v>
      </c>
      <c r="AA85" t="s">
        <v>23</v>
      </c>
      <c r="AB85" t="s">
        <v>23</v>
      </c>
      <c r="AC85" t="s">
        <v>23</v>
      </c>
      <c r="AD85" s="7" t="s">
        <v>23</v>
      </c>
      <c r="AE85" s="7" t="s">
        <v>23</v>
      </c>
      <c r="AF85" s="80">
        <v>0</v>
      </c>
      <c r="AG85" s="80"/>
      <c r="AH85" s="80"/>
      <c r="AI85" s="80"/>
      <c r="AJ85" s="8" t="s">
        <v>31</v>
      </c>
    </row>
    <row r="86" spans="1:36">
      <c r="A86" s="1">
        <v>44538</v>
      </c>
      <c r="B86" s="55">
        <v>1600</v>
      </c>
      <c r="C86" s="55" cm="1">
        <f t="array" ref="C86">(SUM(VLOOKUP(H86:AE86,$AL$4:$AN$44,2,FALSE))+AF86*10)*IF(AJ86="是",$AW$4,$AW$3)</f>
        <v>1600</v>
      </c>
      <c r="D86" s="57">
        <f>SUM($B$4:B86)-SUM($C$4:C86)</f>
        <v>136</v>
      </c>
      <c r="E86" s="55" cm="1">
        <f t="array" ref="E86">SUM(VLOOKUP(H86:AE86,$AL$4:$AN$44,3,FALSE))</f>
        <v>555</v>
      </c>
      <c r="F86" s="98">
        <f>SUM($E$4:E86)+SUM($G$4:G86)</f>
        <v>56280</v>
      </c>
      <c r="G86" s="55">
        <v>200</v>
      </c>
      <c r="H86" s="85" t="s">
        <v>20</v>
      </c>
      <c r="I86" s="85" t="s">
        <v>20</v>
      </c>
      <c r="J86" s="85" t="s">
        <v>20</v>
      </c>
      <c r="K86" s="85" t="s">
        <v>20</v>
      </c>
      <c r="L86" s="85" t="s">
        <v>20</v>
      </c>
      <c r="M86" s="85" t="s">
        <v>20</v>
      </c>
      <c r="N86" s="7" t="s">
        <v>23</v>
      </c>
      <c r="O86" s="7" t="s">
        <v>23</v>
      </c>
      <c r="P86" s="79" t="s">
        <v>18</v>
      </c>
      <c r="Q86" s="103" t="s">
        <v>18</v>
      </c>
      <c r="R86" s="103" t="s">
        <v>18</v>
      </c>
      <c r="S86" s="79" t="s">
        <v>18</v>
      </c>
      <c r="T86" s="79" t="s">
        <v>18</v>
      </c>
      <c r="U86" t="s">
        <v>23</v>
      </c>
      <c r="V86" s="7" t="s">
        <v>23</v>
      </c>
      <c r="W86" s="7" t="s">
        <v>23</v>
      </c>
      <c r="X86" t="s">
        <v>23</v>
      </c>
      <c r="Y86" t="s">
        <v>23</v>
      </c>
      <c r="Z86" t="s">
        <v>23</v>
      </c>
      <c r="AA86" t="s">
        <v>23</v>
      </c>
      <c r="AB86" t="s">
        <v>23</v>
      </c>
      <c r="AC86" t="s">
        <v>23</v>
      </c>
      <c r="AD86" s="7" t="s">
        <v>23</v>
      </c>
      <c r="AE86" s="7" t="s">
        <v>23</v>
      </c>
      <c r="AF86" s="80">
        <v>1</v>
      </c>
      <c r="AG86" s="80"/>
      <c r="AH86" s="80">
        <v>1</v>
      </c>
      <c r="AI86" s="80"/>
      <c r="AJ86" s="8" t="s">
        <v>31</v>
      </c>
    </row>
    <row r="87" spans="1:36">
      <c r="A87" s="1">
        <v>44539</v>
      </c>
      <c r="B87" s="55">
        <v>1600</v>
      </c>
      <c r="C87" s="55" cm="1">
        <f t="array" ref="C87">(SUM(VLOOKUP(H87:AE87,$AL$4:$AN$44,2,FALSE))+AF87*10)*IF(AJ87="是",$AW$4,$AW$3)</f>
        <v>1568</v>
      </c>
      <c r="D87" s="57">
        <f>SUM($B$4:B87)-SUM($C$4:C87)</f>
        <v>168</v>
      </c>
      <c r="E87" s="55" cm="1">
        <f t="array" ref="E87">SUM(VLOOKUP(H87:AE87,$AL$4:$AN$44,3,FALSE))</f>
        <v>600</v>
      </c>
      <c r="F87" s="98">
        <f>SUM($E$4:E87)+SUM($G$4:G87)</f>
        <v>56880</v>
      </c>
      <c r="G87" s="55">
        <v>0</v>
      </c>
      <c r="H87" s="85" t="s">
        <v>20</v>
      </c>
      <c r="I87" s="85" t="s">
        <v>20</v>
      </c>
      <c r="J87" s="82" t="s">
        <v>47</v>
      </c>
      <c r="K87" s="85" t="s">
        <v>20</v>
      </c>
      <c r="L87" s="85" t="s">
        <v>20</v>
      </c>
      <c r="M87" s="85" t="s">
        <v>20</v>
      </c>
      <c r="N87" s="85" t="s">
        <v>20</v>
      </c>
      <c r="O87" s="7" t="s">
        <v>23</v>
      </c>
      <c r="P87" s="79" t="s">
        <v>18</v>
      </c>
      <c r="Q87" s="79" t="s">
        <v>18</v>
      </c>
      <c r="R87" s="79" t="s">
        <v>18</v>
      </c>
      <c r="S87" s="79" t="s">
        <v>18</v>
      </c>
      <c r="T87" s="79" t="s">
        <v>18</v>
      </c>
      <c r="U87" s="103" t="s">
        <v>18</v>
      </c>
      <c r="V87" s="7" t="s">
        <v>23</v>
      </c>
      <c r="W87" s="7" t="s">
        <v>23</v>
      </c>
      <c r="X87" t="s">
        <v>23</v>
      </c>
      <c r="Y87" t="s">
        <v>23</v>
      </c>
      <c r="Z87" t="s">
        <v>23</v>
      </c>
      <c r="AA87" t="s">
        <v>23</v>
      </c>
      <c r="AB87" t="s">
        <v>23</v>
      </c>
      <c r="AC87" t="s">
        <v>23</v>
      </c>
      <c r="AD87" s="7" t="s">
        <v>23</v>
      </c>
      <c r="AE87" s="7" t="s">
        <v>23</v>
      </c>
      <c r="AF87" s="80">
        <v>0</v>
      </c>
      <c r="AG87" s="80"/>
      <c r="AH87" s="80"/>
      <c r="AI87" s="80"/>
      <c r="AJ87" s="8" t="s">
        <v>31</v>
      </c>
    </row>
    <row r="88" spans="1:36">
      <c r="A88" s="1">
        <v>44540</v>
      </c>
      <c r="B88" s="55">
        <v>1600</v>
      </c>
      <c r="C88" s="55" cm="1">
        <f t="array" ref="C88">(SUM(VLOOKUP(H88:AE88,$AL$4:$AN$44,2,FALSE))+AF88*10)*IF(AJ88="是",$AW$4,$AW$3)</f>
        <v>1640</v>
      </c>
      <c r="D88" s="57">
        <f>SUM($B$4:B88)-SUM($C$4:C88)</f>
        <v>128</v>
      </c>
      <c r="E88" s="55" cm="1">
        <f t="array" ref="E88">SUM(VLOOKUP(H88:AE88,$AL$4:$AN$44,3,FALSE))</f>
        <v>585</v>
      </c>
      <c r="F88" s="98">
        <f>SUM($E$4:E88)+SUM($G$4:G88)</f>
        <v>57465</v>
      </c>
      <c r="G88" s="55">
        <v>0</v>
      </c>
      <c r="H88" s="85" t="s">
        <v>20</v>
      </c>
      <c r="I88" s="85" t="s">
        <v>20</v>
      </c>
      <c r="J88" s="85" t="s">
        <v>20</v>
      </c>
      <c r="K88" s="85" t="s">
        <v>20</v>
      </c>
      <c r="L88" s="85" t="s">
        <v>20</v>
      </c>
      <c r="M88" s="85" t="s">
        <v>20</v>
      </c>
      <c r="N88" s="7" t="s">
        <v>23</v>
      </c>
      <c r="O88" s="7" t="s">
        <v>23</v>
      </c>
      <c r="P88" s="103" t="s">
        <v>18</v>
      </c>
      <c r="Q88" s="77" t="s">
        <v>12</v>
      </c>
      <c r="R88" s="79" t="s">
        <v>18</v>
      </c>
      <c r="S88" s="79" t="s">
        <v>18</v>
      </c>
      <c r="T88" s="79" t="s">
        <v>18</v>
      </c>
      <c r="U88" s="79" t="s">
        <v>18</v>
      </c>
      <c r="V88" s="7" t="s">
        <v>23</v>
      </c>
      <c r="W88" s="7" t="s">
        <v>23</v>
      </c>
      <c r="X88" t="s">
        <v>23</v>
      </c>
      <c r="Y88" t="s">
        <v>23</v>
      </c>
      <c r="Z88" t="s">
        <v>23</v>
      </c>
      <c r="AA88" t="s">
        <v>23</v>
      </c>
      <c r="AB88" t="s">
        <v>23</v>
      </c>
      <c r="AC88" t="s">
        <v>23</v>
      </c>
      <c r="AD88" s="7" t="s">
        <v>23</v>
      </c>
      <c r="AE88" s="7" t="s">
        <v>23</v>
      </c>
      <c r="AF88" s="80">
        <v>1</v>
      </c>
      <c r="AG88" s="80"/>
      <c r="AH88" s="80">
        <v>1</v>
      </c>
      <c r="AI88" s="80"/>
      <c r="AJ88" s="8" t="s">
        <v>31</v>
      </c>
    </row>
    <row r="89" spans="1:36">
      <c r="A89" s="1">
        <v>44541</v>
      </c>
      <c r="B89" s="55">
        <v>1600</v>
      </c>
      <c r="C89" s="55" cm="1">
        <f t="array" ref="C89">(SUM(VLOOKUP(H89:AE89,$AL$4:$AN$44,2,FALSE))+AF89*10)*IF(AJ89="是",$AW$4,$AW$3)</f>
        <v>1552</v>
      </c>
      <c r="D89" s="57">
        <f>SUM($B$4:B89)-SUM($C$4:C89)</f>
        <v>176</v>
      </c>
      <c r="E89" s="55" cm="1">
        <f t="array" ref="E89">SUM(VLOOKUP(H89:AE89,$AL$4:$AN$44,3,FALSE))</f>
        <v>570</v>
      </c>
      <c r="F89" s="98">
        <f>SUM($E$4:E89)+SUM($G$4:G89)</f>
        <v>58035</v>
      </c>
      <c r="G89" s="55">
        <v>0</v>
      </c>
      <c r="H89" s="85" t="s">
        <v>20</v>
      </c>
      <c r="I89" s="85" t="s">
        <v>20</v>
      </c>
      <c r="J89" s="85" t="s">
        <v>20</v>
      </c>
      <c r="K89" s="85" t="s">
        <v>20</v>
      </c>
      <c r="L89" s="85" t="s">
        <v>20</v>
      </c>
      <c r="M89" s="85" t="s">
        <v>20</v>
      </c>
      <c r="N89" s="7" t="s">
        <v>23</v>
      </c>
      <c r="O89" s="7" t="s">
        <v>23</v>
      </c>
      <c r="P89" s="77" t="s">
        <v>12</v>
      </c>
      <c r="Q89" s="103" t="s">
        <v>18</v>
      </c>
      <c r="R89" s="103" t="s">
        <v>18</v>
      </c>
      <c r="S89" s="104" t="s">
        <v>18</v>
      </c>
      <c r="T89" s="79" t="s">
        <v>18</v>
      </c>
      <c r="U89" s="77" t="s">
        <v>12</v>
      </c>
      <c r="V89" s="7" t="s">
        <v>23</v>
      </c>
      <c r="W89" s="7" t="s">
        <v>23</v>
      </c>
      <c r="X89" t="s">
        <v>23</v>
      </c>
      <c r="Y89" t="s">
        <v>23</v>
      </c>
      <c r="Z89" t="s">
        <v>23</v>
      </c>
      <c r="AA89" t="s">
        <v>23</v>
      </c>
      <c r="AB89" t="s">
        <v>23</v>
      </c>
      <c r="AC89" t="s">
        <v>23</v>
      </c>
      <c r="AD89" s="7" t="s">
        <v>23</v>
      </c>
      <c r="AE89" s="7" t="s">
        <v>23</v>
      </c>
      <c r="AF89" s="80">
        <v>2</v>
      </c>
      <c r="AG89" s="80"/>
      <c r="AH89" s="80">
        <v>2</v>
      </c>
      <c r="AI89" s="80"/>
      <c r="AJ89" s="8" t="s">
        <v>31</v>
      </c>
    </row>
    <row r="90" spans="1:36">
      <c r="A90" s="1">
        <v>44542</v>
      </c>
      <c r="B90" s="55">
        <v>1600</v>
      </c>
      <c r="C90" s="55" cm="1">
        <f t="array" ref="C90">(SUM(VLOOKUP(H90:AE90,$AL$4:$AN$44,2,FALSE))+AF90*10)*IF(AJ90="是",$AW$4,$AW$3)</f>
        <v>1624</v>
      </c>
      <c r="D90" s="57">
        <f>SUM($B$4:B90)-SUM($C$4:C90)</f>
        <v>152</v>
      </c>
      <c r="E90" s="55" cm="1">
        <f t="array" ref="E90">SUM(VLOOKUP(H90:AE90,$AL$4:$AN$44,3,FALSE))</f>
        <v>575</v>
      </c>
      <c r="F90" s="98">
        <f>SUM($E$4:E90)+SUM($G$4:G90)</f>
        <v>58610</v>
      </c>
      <c r="G90" s="55">
        <v>0</v>
      </c>
      <c r="H90" s="85" t="s">
        <v>20</v>
      </c>
      <c r="I90" s="85" t="s">
        <v>20</v>
      </c>
      <c r="J90" s="85" t="s">
        <v>20</v>
      </c>
      <c r="K90" s="85" t="s">
        <v>20</v>
      </c>
      <c r="L90" s="85" t="s">
        <v>20</v>
      </c>
      <c r="M90" s="77" t="s">
        <v>12</v>
      </c>
      <c r="N90" s="7" t="s">
        <v>23</v>
      </c>
      <c r="O90" s="7" t="s">
        <v>23</v>
      </c>
      <c r="P90" s="103" t="s">
        <v>18</v>
      </c>
      <c r="Q90" s="103" t="s">
        <v>18</v>
      </c>
      <c r="R90" s="79" t="s">
        <v>18</v>
      </c>
      <c r="S90" s="79" t="s">
        <v>18</v>
      </c>
      <c r="T90" s="79" t="s">
        <v>18</v>
      </c>
      <c r="U90" s="79" t="s">
        <v>18</v>
      </c>
      <c r="V90" s="7" t="s">
        <v>23</v>
      </c>
      <c r="W90" s="7" t="s">
        <v>23</v>
      </c>
      <c r="X90" t="s">
        <v>23</v>
      </c>
      <c r="Y90" t="s">
        <v>23</v>
      </c>
      <c r="Z90" t="s">
        <v>23</v>
      </c>
      <c r="AA90" t="s">
        <v>23</v>
      </c>
      <c r="AB90" t="s">
        <v>23</v>
      </c>
      <c r="AC90" t="s">
        <v>23</v>
      </c>
      <c r="AD90" s="7" t="s">
        <v>23</v>
      </c>
      <c r="AE90" s="7" t="s">
        <v>23</v>
      </c>
      <c r="AF90" s="80">
        <v>1</v>
      </c>
      <c r="AG90" s="80"/>
      <c r="AH90" s="80">
        <v>1</v>
      </c>
      <c r="AI90" s="80"/>
      <c r="AJ90" s="8" t="s">
        <v>31</v>
      </c>
    </row>
    <row r="91" spans="1:36">
      <c r="A91" s="1">
        <v>44543</v>
      </c>
      <c r="B91" s="56">
        <v>1600</v>
      </c>
      <c r="C91" s="55" cm="1">
        <f t="array" ref="C91">(SUM(VLOOKUP(H91:AE91,$AL$4:$AN$44,2,FALSE))+AF91*10)*IF(AJ91="是",$AW$4,$AW$3)</f>
        <v>1720</v>
      </c>
      <c r="D91" s="57">
        <f>SUM($B$4:B91)-SUM($C$4:C91)</f>
        <v>32</v>
      </c>
      <c r="E91" s="55" cm="1">
        <f t="array" ref="E91">SUM(VLOOKUP(H91:AE91,$AL$4:$AN$44,3,FALSE))</f>
        <v>600</v>
      </c>
      <c r="F91" s="98">
        <f>SUM($E$4:E91)+SUM($G$4:G91)</f>
        <v>59510</v>
      </c>
      <c r="G91" s="56">
        <v>300</v>
      </c>
      <c r="H91" s="85" t="s">
        <v>20</v>
      </c>
      <c r="I91" s="85" t="s">
        <v>20</v>
      </c>
      <c r="J91" s="85" t="s">
        <v>20</v>
      </c>
      <c r="K91" s="85" t="s">
        <v>20</v>
      </c>
      <c r="L91" s="85" t="s">
        <v>20</v>
      </c>
      <c r="M91" s="85" t="s">
        <v>20</v>
      </c>
      <c r="N91" s="7" t="s">
        <v>23</v>
      </c>
      <c r="O91" s="7" t="s">
        <v>23</v>
      </c>
      <c r="P91" s="79" t="s">
        <v>18</v>
      </c>
      <c r="Q91" s="79" t="s">
        <v>18</v>
      </c>
      <c r="R91" s="68" t="s">
        <v>7</v>
      </c>
      <c r="S91" s="103" t="s">
        <v>18</v>
      </c>
      <c r="T91" s="79" t="s">
        <v>18</v>
      </c>
      <c r="U91" s="79" t="s">
        <v>18</v>
      </c>
      <c r="V91" s="7" t="s">
        <v>23</v>
      </c>
      <c r="W91" s="7" t="s">
        <v>23</v>
      </c>
      <c r="X91" t="s">
        <v>23</v>
      </c>
      <c r="Y91" t="s">
        <v>23</v>
      </c>
      <c r="Z91" t="s">
        <v>23</v>
      </c>
      <c r="AA91" t="s">
        <v>23</v>
      </c>
      <c r="AB91" t="s">
        <v>23</v>
      </c>
      <c r="AC91" t="s">
        <v>23</v>
      </c>
      <c r="AD91" s="7" t="s">
        <v>23</v>
      </c>
      <c r="AE91" s="7" t="s">
        <v>23</v>
      </c>
      <c r="AF91" s="80">
        <v>1</v>
      </c>
      <c r="AG91" s="80"/>
      <c r="AH91" s="80">
        <v>1</v>
      </c>
      <c r="AI91" s="80"/>
      <c r="AJ91" s="8" t="s">
        <v>31</v>
      </c>
    </row>
    <row r="92" spans="1:36">
      <c r="A92" s="1">
        <v>44544</v>
      </c>
      <c r="B92" s="56">
        <v>1600</v>
      </c>
      <c r="C92" s="55" cm="1">
        <f t="array" ref="C92">(SUM(VLOOKUP(H92:AE92,$AL$4:$AN$44,2,FALSE))+AF92*10)*IF(AJ92="是",$AW$4,$AW$3)</f>
        <v>1624</v>
      </c>
      <c r="D92" s="57">
        <f>SUM($B$4:B92)-SUM($C$4:C92)</f>
        <v>8</v>
      </c>
      <c r="E92" s="55" cm="1">
        <f t="array" ref="E92">SUM(VLOOKUP(H92:AE92,$AL$4:$AN$44,3,FALSE))</f>
        <v>625</v>
      </c>
      <c r="F92" s="98">
        <f>SUM($E$4:E92)+SUM($G$4:G92)</f>
        <v>60135</v>
      </c>
      <c r="G92" s="56">
        <v>0</v>
      </c>
      <c r="H92" s="85" t="s">
        <v>20</v>
      </c>
      <c r="I92" s="85" t="s">
        <v>20</v>
      </c>
      <c r="J92" s="85" t="s">
        <v>20</v>
      </c>
      <c r="K92" s="85" t="s">
        <v>20</v>
      </c>
      <c r="L92" s="85" t="s">
        <v>20</v>
      </c>
      <c r="M92" s="85" t="s">
        <v>20</v>
      </c>
      <c r="N92" s="7" t="s">
        <v>23</v>
      </c>
      <c r="O92" s="7" t="s">
        <v>23</v>
      </c>
      <c r="P92" s="79" t="s">
        <v>18</v>
      </c>
      <c r="Q92" s="79" t="s">
        <v>18</v>
      </c>
      <c r="R92" s="82" t="s">
        <v>47</v>
      </c>
      <c r="S92" s="78" t="s">
        <v>17</v>
      </c>
      <c r="T92" s="77" t="s">
        <v>12</v>
      </c>
      <c r="U92" s="103" t="s">
        <v>18</v>
      </c>
      <c r="V92" s="79" t="s">
        <v>18</v>
      </c>
      <c r="W92" s="79" t="s">
        <v>18</v>
      </c>
      <c r="X92" t="s">
        <v>23</v>
      </c>
      <c r="Y92" t="s">
        <v>23</v>
      </c>
      <c r="Z92" t="s">
        <v>23</v>
      </c>
      <c r="AA92" t="s">
        <v>23</v>
      </c>
      <c r="AB92" t="s">
        <v>23</v>
      </c>
      <c r="AC92" t="s">
        <v>23</v>
      </c>
      <c r="AD92" s="7" t="s">
        <v>23</v>
      </c>
      <c r="AE92" s="7" t="s">
        <v>23</v>
      </c>
      <c r="AF92" s="80">
        <v>3</v>
      </c>
      <c r="AG92" s="80"/>
      <c r="AH92" s="80">
        <v>3</v>
      </c>
      <c r="AI92" s="80"/>
      <c r="AJ92" s="8" t="s">
        <v>31</v>
      </c>
    </row>
    <row r="93" spans="1:36">
      <c r="A93" s="1">
        <v>44545</v>
      </c>
      <c r="B93" s="56">
        <v>1600</v>
      </c>
      <c r="C93" s="55" cm="1">
        <f t="array" ref="C93">(SUM(VLOOKUP(H93:AE93,$AL$4:$AN$44,2,FALSE))+AF93*10)*IF(AJ93="是",$AW$4,$AW$3)</f>
        <v>1592</v>
      </c>
      <c r="D93" s="57">
        <f>SUM($B$4:B93)-SUM($C$4:C93)</f>
        <v>16</v>
      </c>
      <c r="E93" s="55" cm="1">
        <f t="array" ref="E93">SUM(VLOOKUP(H93:AE93,$AL$4:$AN$44,3,FALSE))</f>
        <v>555</v>
      </c>
      <c r="F93" s="98">
        <f>SUM($E$4:E93)+SUM($G$4:G93)</f>
        <v>60890</v>
      </c>
      <c r="G93" s="56">
        <v>200</v>
      </c>
      <c r="H93" s="85" t="s">
        <v>20</v>
      </c>
      <c r="I93" s="85" t="s">
        <v>20</v>
      </c>
      <c r="J93" s="85" t="s">
        <v>20</v>
      </c>
      <c r="K93" s="85" t="s">
        <v>20</v>
      </c>
      <c r="L93" s="85" t="s">
        <v>20</v>
      </c>
      <c r="M93" s="85" t="s">
        <v>20</v>
      </c>
      <c r="N93" s="7" t="s">
        <v>23</v>
      </c>
      <c r="O93" s="7" t="s">
        <v>23</v>
      </c>
      <c r="P93" s="79" t="s">
        <v>18</v>
      </c>
      <c r="Q93" s="79" t="s">
        <v>18</v>
      </c>
      <c r="R93" s="79" t="s">
        <v>18</v>
      </c>
      <c r="S93" s="79" t="s">
        <v>18</v>
      </c>
      <c r="T93" s="79" t="s">
        <v>18</v>
      </c>
      <c r="U93" t="s">
        <v>23</v>
      </c>
      <c r="V93" s="7" t="s">
        <v>23</v>
      </c>
      <c r="W93" s="7" t="s">
        <v>23</v>
      </c>
      <c r="X93" t="s">
        <v>23</v>
      </c>
      <c r="Y93" t="s">
        <v>23</v>
      </c>
      <c r="Z93" t="s">
        <v>23</v>
      </c>
      <c r="AA93" t="s">
        <v>23</v>
      </c>
      <c r="AB93" t="s">
        <v>23</v>
      </c>
      <c r="AC93" t="s">
        <v>23</v>
      </c>
      <c r="AD93" s="7" t="s">
        <v>23</v>
      </c>
      <c r="AE93" s="7" t="s">
        <v>23</v>
      </c>
      <c r="AF93" s="80">
        <v>0</v>
      </c>
      <c r="AG93" s="80"/>
      <c r="AH93" s="80"/>
      <c r="AI93" s="80"/>
      <c r="AJ93" s="8" t="s">
        <v>31</v>
      </c>
    </row>
    <row r="94" spans="1:36" ht="15.75" thickBot="1">
      <c r="A94" s="1">
        <v>44546</v>
      </c>
      <c r="B94">
        <v>1600</v>
      </c>
      <c r="C94" s="55" cm="1">
        <f t="array" ref="C94">(SUM(VLOOKUP(H94:AE94,$AL$4:$AN$44,2,FALSE))+AF94*10)*IF(AJ94="是",$AW$4,$AW$3)</f>
        <v>1616</v>
      </c>
      <c r="D94" s="57">
        <f>SUM($B$4:B94)-SUM($C$4:C94)</f>
        <v>0</v>
      </c>
      <c r="E94" s="55" cm="1">
        <f t="array" ref="E94">SUM(VLOOKUP(H94:AE94,$AL$4:$AN$44,3,FALSE))</f>
        <v>575</v>
      </c>
      <c r="F94" s="98">
        <f>SUM($E$4:E94)+SUM($G$4:G94)</f>
        <v>61465</v>
      </c>
      <c r="G94">
        <v>0</v>
      </c>
      <c r="H94" s="85" t="s">
        <v>20</v>
      </c>
      <c r="I94" s="85" t="s">
        <v>20</v>
      </c>
      <c r="J94" s="85" t="s">
        <v>20</v>
      </c>
      <c r="K94" s="85" t="s">
        <v>20</v>
      </c>
      <c r="L94" s="85" t="s">
        <v>20</v>
      </c>
      <c r="M94" s="85" t="s">
        <v>20</v>
      </c>
      <c r="N94" s="7" t="s">
        <v>23</v>
      </c>
      <c r="O94" s="7" t="s">
        <v>23</v>
      </c>
      <c r="P94" s="79" t="s">
        <v>18</v>
      </c>
      <c r="Q94" s="79" t="s">
        <v>18</v>
      </c>
      <c r="R94" s="77" t="s">
        <v>12</v>
      </c>
      <c r="S94" s="79" t="s">
        <v>18</v>
      </c>
      <c r="T94" s="79" t="s">
        <v>18</v>
      </c>
      <c r="U94" s="26" t="s">
        <v>11</v>
      </c>
      <c r="V94" s="7" t="s">
        <v>23</v>
      </c>
      <c r="W94" s="7" t="s">
        <v>23</v>
      </c>
      <c r="X94" t="s">
        <v>23</v>
      </c>
      <c r="Y94" t="s">
        <v>23</v>
      </c>
      <c r="Z94" t="s">
        <v>23</v>
      </c>
      <c r="AA94" t="s">
        <v>23</v>
      </c>
      <c r="AB94" t="s">
        <v>23</v>
      </c>
      <c r="AC94" t="s">
        <v>23</v>
      </c>
      <c r="AD94" s="7" t="s">
        <v>23</v>
      </c>
      <c r="AE94" s="7" t="s">
        <v>23</v>
      </c>
      <c r="AF94" s="80">
        <v>0</v>
      </c>
      <c r="AG94" s="80"/>
      <c r="AH94" s="80"/>
      <c r="AI94" s="80"/>
      <c r="AJ94" s="9" t="s">
        <v>31</v>
      </c>
    </row>
    <row r="96" spans="1:36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{3D357183-D9FF-4046-9F82-B834EB4C835E}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D357183-D9FF-4046-9F82-B834EB4C835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F4E7A-8FE9-41F2-A40A-026AEF5B0AD3}">
  <dimension ref="A1:AY101"/>
  <sheetViews>
    <sheetView topLeftCell="C1" zoomScale="85" zoomScaleNormal="85" workbookViewId="0">
      <selection activeCell="D28" sqref="D28"/>
    </sheetView>
  </sheetViews>
  <sheetFormatPr defaultRowHeight="15"/>
  <cols>
    <col min="1" max="1" width="11.85546875" bestFit="1" customWidth="1"/>
    <col min="2" max="2" width="9" customWidth="1"/>
    <col min="3" max="3" width="5.7109375" bestFit="1" customWidth="1"/>
    <col min="4" max="4" width="6.42578125" customWidth="1"/>
    <col min="5" max="5" width="5.7109375" bestFit="1" customWidth="1"/>
    <col min="6" max="6" width="6.5703125" customWidth="1"/>
    <col min="7" max="7" width="5" bestFit="1" customWidth="1"/>
    <col min="8" max="14" width="7.28515625" customWidth="1"/>
    <col min="15" max="15" width="7.140625" customWidth="1"/>
    <col min="16" max="23" width="7.28515625" customWidth="1"/>
    <col min="24" max="31" width="7.28515625" hidden="1" customWidth="1"/>
    <col min="32" max="32" width="5.140625" bestFit="1" customWidth="1"/>
    <col min="33" max="35" width="5.140625" customWidth="1"/>
    <col min="36" max="36" width="5.140625" bestFit="1" customWidth="1"/>
  </cols>
  <sheetData>
    <row r="1" spans="1:51" ht="28.15" customHeight="1" thickBot="1">
      <c r="A1" s="117">
        <f ca="1">(_xlfn.DAYS(TODAY(),A4)+2)/((_xlfn.DAYS(A94,A4))+1)</f>
        <v>0.69230769230769229</v>
      </c>
      <c r="B1" s="118"/>
      <c r="C1" s="118"/>
      <c r="D1" s="118"/>
      <c r="E1" s="118"/>
      <c r="F1" s="118"/>
      <c r="G1" s="119"/>
      <c r="H1" s="120" t="s">
        <v>37</v>
      </c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2"/>
      <c r="AG1" s="42"/>
      <c r="AH1" s="42"/>
      <c r="AI1" s="42"/>
      <c r="AL1" s="116" t="s">
        <v>42</v>
      </c>
      <c r="AM1" s="116"/>
      <c r="AN1" s="116"/>
    </row>
    <row r="2" spans="1:51" ht="16.149999999999999" customHeight="1" thickBot="1">
      <c r="A2" t="s">
        <v>74</v>
      </c>
      <c r="B2" s="51"/>
      <c r="C2" s="124" t="s">
        <v>35</v>
      </c>
      <c r="D2" s="125"/>
      <c r="E2" s="126">
        <f>SUM(E4:E94)+SUM(G4:G94)</f>
        <v>61455</v>
      </c>
      <c r="F2" s="126"/>
      <c r="G2" s="127"/>
      <c r="H2" s="128" t="s">
        <v>48</v>
      </c>
      <c r="I2" s="129"/>
      <c r="J2" s="73" t="s">
        <v>46</v>
      </c>
      <c r="K2" s="73">
        <f>COUNTIF(H4:O94,"&lt;&gt;空")-3</f>
        <v>553</v>
      </c>
      <c r="L2" s="129" t="s">
        <v>45</v>
      </c>
      <c r="M2" s="129"/>
      <c r="N2" s="129"/>
      <c r="O2" s="130"/>
      <c r="P2" s="131" t="s">
        <v>49</v>
      </c>
      <c r="Q2" s="111"/>
      <c r="R2" s="72" t="s">
        <v>46</v>
      </c>
      <c r="S2" s="72">
        <f>COUNTIF(P4:W94,"&lt;&gt;空")</f>
        <v>469</v>
      </c>
      <c r="T2" s="111" t="s">
        <v>45</v>
      </c>
      <c r="U2" s="111"/>
      <c r="V2" s="111"/>
      <c r="W2" s="112"/>
      <c r="X2" s="131" t="s">
        <v>33</v>
      </c>
      <c r="Y2" s="111"/>
      <c r="Z2" s="58" t="s">
        <v>44</v>
      </c>
      <c r="AA2" s="72">
        <f>COUNTIF(X4:AE94,"&lt;&gt;空")</f>
        <v>0</v>
      </c>
      <c r="AB2" s="111" t="s">
        <v>45</v>
      </c>
      <c r="AC2" s="111"/>
      <c r="AD2" s="111"/>
      <c r="AE2" s="112"/>
      <c r="AF2" s="41">
        <f>SUM(AF4:AF94)</f>
        <v>36</v>
      </c>
      <c r="AG2" s="41">
        <f t="shared" ref="AG2:AI2" si="0">SUM(AG4:AG94)</f>
        <v>14</v>
      </c>
      <c r="AH2" s="41">
        <f>SUM(AH4:AH94)</f>
        <v>22</v>
      </c>
      <c r="AI2" s="41">
        <f t="shared" si="0"/>
        <v>0</v>
      </c>
      <c r="AJ2" s="113" t="s">
        <v>29</v>
      </c>
      <c r="AL2" s="123"/>
      <c r="AM2" s="123"/>
      <c r="AN2" s="123"/>
      <c r="AV2" s="10"/>
      <c r="AW2" s="11" t="s">
        <v>32</v>
      </c>
    </row>
    <row r="3" spans="1:51" ht="60.75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60">
        <v>1</v>
      </c>
      <c r="Q3" s="61">
        <v>2</v>
      </c>
      <c r="R3" s="61">
        <v>3</v>
      </c>
      <c r="S3" s="61">
        <v>4</v>
      </c>
      <c r="T3" s="61">
        <v>5</v>
      </c>
      <c r="U3" s="61">
        <v>6</v>
      </c>
      <c r="V3" s="61">
        <v>7</v>
      </c>
      <c r="W3" s="61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114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.75" thickBot="1">
      <c r="A4" s="76">
        <v>44456</v>
      </c>
      <c r="B4" s="90">
        <v>800</v>
      </c>
      <c r="C4" s="90" cm="1">
        <f t="array" ref="C4">(SUM(VLOOKUP(H4:AE4,$AL$4:$AN$44,2,FALSE))+AF4*10)*IF(AJ4="是",$AW$4,$AW$3)</f>
        <v>750</v>
      </c>
      <c r="D4" s="90">
        <f>SUM($B$4:B4)-SUM($C$4:C4)</f>
        <v>50</v>
      </c>
      <c r="E4" s="90" cm="1">
        <f t="array" ref="E4">SUM(VLOOKUP(H4:AE4,$AL$4:$AN$44,3,FALSE))</f>
        <v>175</v>
      </c>
      <c r="F4" s="90">
        <f>SUM($E$4:E4)+SUM($G$4:G4)</f>
        <v>175</v>
      </c>
      <c r="G4" s="90">
        <v>0</v>
      </c>
      <c r="H4" s="96" t="s">
        <v>16</v>
      </c>
      <c r="I4" s="96" t="s">
        <v>16</v>
      </c>
      <c r="J4" s="96" t="s">
        <v>16</v>
      </c>
      <c r="K4" s="96" t="s">
        <v>16</v>
      </c>
      <c r="L4" s="96" t="s">
        <v>16</v>
      </c>
      <c r="M4" s="89" t="s">
        <v>23</v>
      </c>
      <c r="N4" s="93" t="s">
        <v>23</v>
      </c>
      <c r="O4" s="93" t="s">
        <v>23</v>
      </c>
      <c r="P4" s="89" t="s">
        <v>23</v>
      </c>
      <c r="Q4" s="89" t="s">
        <v>23</v>
      </c>
      <c r="R4" s="89" t="s">
        <v>23</v>
      </c>
      <c r="S4" s="89" t="s">
        <v>23</v>
      </c>
      <c r="T4" s="89" t="s">
        <v>23</v>
      </c>
      <c r="U4" s="89" t="s">
        <v>23</v>
      </c>
      <c r="V4" s="93" t="s">
        <v>23</v>
      </c>
      <c r="W4" s="93" t="s">
        <v>23</v>
      </c>
      <c r="X4" s="89" t="s">
        <v>23</v>
      </c>
      <c r="Y4" s="89" t="s">
        <v>23</v>
      </c>
      <c r="Z4" s="89" t="s">
        <v>23</v>
      </c>
      <c r="AA4" s="89" t="s">
        <v>23</v>
      </c>
      <c r="AB4" s="89" t="s">
        <v>23</v>
      </c>
      <c r="AC4" s="89" t="s">
        <v>23</v>
      </c>
      <c r="AD4" s="93" t="s">
        <v>23</v>
      </c>
      <c r="AE4" s="93" t="s">
        <v>23</v>
      </c>
      <c r="AF4" s="94">
        <v>0</v>
      </c>
      <c r="AG4" s="94"/>
      <c r="AH4" s="94"/>
      <c r="AI4" s="94"/>
      <c r="AJ4" s="95" t="s">
        <v>30</v>
      </c>
      <c r="AL4" s="20" t="s">
        <v>16</v>
      </c>
      <c r="AM4" s="19">
        <v>150</v>
      </c>
      <c r="AN4" s="19">
        <v>35</v>
      </c>
      <c r="AO4" s="19">
        <f t="shared" ref="AO4:AO26" si="1">COUNTIF($H$4:$O$94,AL4)</f>
        <v>14</v>
      </c>
      <c r="AP4" s="19">
        <f>COUNTIF($P$4:$W$94,AL4)</f>
        <v>10</v>
      </c>
      <c r="AQ4" s="19">
        <f>COUNTIF($X$4:$AE$94,AL4)</f>
        <v>0</v>
      </c>
      <c r="AR4" s="19">
        <f>AO4+AP4+AQ4</f>
        <v>24</v>
      </c>
      <c r="AS4" s="50">
        <f>AO4*$AN4</f>
        <v>490</v>
      </c>
      <c r="AT4" s="50">
        <f t="shared" ref="AT4:AU19" si="2">AP4*$AN4</f>
        <v>350</v>
      </c>
      <c r="AU4" s="50">
        <f t="shared" si="2"/>
        <v>0</v>
      </c>
      <c r="AV4" s="45" t="s">
        <v>26</v>
      </c>
      <c r="AW4" s="15">
        <v>0.8</v>
      </c>
      <c r="AY4">
        <f>AM4*0.8</f>
        <v>120</v>
      </c>
    </row>
    <row r="5" spans="1:51">
      <c r="A5" s="76">
        <v>44457</v>
      </c>
      <c r="B5" s="90">
        <v>1600</v>
      </c>
      <c r="C5" s="90" cm="1">
        <f t="array" ref="C5">(SUM(VLOOKUP(H5:AE5,$AL$4:$AN$44,2,FALSE))+AF5*10)*IF(AJ5="是",$AW$4,$AW$3)</f>
        <v>900</v>
      </c>
      <c r="D5" s="90">
        <f>SUM($B$4:B5)-SUM($C$4:C5)</f>
        <v>750</v>
      </c>
      <c r="E5" s="90" cm="1">
        <f t="array" ref="E5">SUM(VLOOKUP(H5:AE5,$AL$4:$AN$44,3,FALSE))</f>
        <v>210</v>
      </c>
      <c r="F5" s="90">
        <f>SUM($E$4:E5)+SUM($G$4:G5)</f>
        <v>885</v>
      </c>
      <c r="G5" s="90">
        <v>500</v>
      </c>
      <c r="H5" s="96" t="s">
        <v>16</v>
      </c>
      <c r="I5" s="96" t="s">
        <v>16</v>
      </c>
      <c r="J5" s="96" t="s">
        <v>16</v>
      </c>
      <c r="K5" s="96" t="s">
        <v>16</v>
      </c>
      <c r="L5" s="96" t="s">
        <v>16</v>
      </c>
      <c r="M5" s="96" t="s">
        <v>16</v>
      </c>
      <c r="N5" s="93" t="s">
        <v>23</v>
      </c>
      <c r="O5" s="93" t="s">
        <v>23</v>
      </c>
      <c r="P5" s="89" t="s">
        <v>23</v>
      </c>
      <c r="Q5" s="89" t="s">
        <v>23</v>
      </c>
      <c r="R5" s="89" t="s">
        <v>23</v>
      </c>
      <c r="S5" s="89" t="s">
        <v>23</v>
      </c>
      <c r="T5" s="89" t="s">
        <v>23</v>
      </c>
      <c r="U5" s="89" t="s">
        <v>23</v>
      </c>
      <c r="V5" s="93" t="s">
        <v>23</v>
      </c>
      <c r="W5" s="93" t="s">
        <v>23</v>
      </c>
      <c r="X5" s="89" t="s">
        <v>23</v>
      </c>
      <c r="Y5" s="89" t="s">
        <v>23</v>
      </c>
      <c r="Z5" s="89" t="s">
        <v>23</v>
      </c>
      <c r="AA5" s="89" t="s">
        <v>23</v>
      </c>
      <c r="AB5" s="89" t="s">
        <v>23</v>
      </c>
      <c r="AC5" s="89" t="s">
        <v>23</v>
      </c>
      <c r="AD5" s="93" t="s">
        <v>23</v>
      </c>
      <c r="AE5" s="93" t="s">
        <v>23</v>
      </c>
      <c r="AF5" s="94">
        <v>0</v>
      </c>
      <c r="AG5" s="94"/>
      <c r="AH5" s="94"/>
      <c r="AI5" s="94"/>
      <c r="AJ5" s="95" t="s">
        <v>30</v>
      </c>
      <c r="AL5" s="21" t="s">
        <v>17</v>
      </c>
      <c r="AM5" s="19">
        <v>160</v>
      </c>
      <c r="AN5" s="19">
        <v>40</v>
      </c>
      <c r="AO5" s="19">
        <f t="shared" si="1"/>
        <v>16</v>
      </c>
      <c r="AP5" s="19">
        <f t="shared" ref="AP5:AP26" si="3">COUNTIF($P$4:$W$94,AL5)</f>
        <v>11</v>
      </c>
      <c r="AQ5" s="19">
        <f t="shared" ref="AQ5:AQ26" si="4">COUNTIF($X$4:$AE$94,AL5)</f>
        <v>0</v>
      </c>
      <c r="AR5" s="19">
        <f t="shared" ref="AR5:AR26" si="5">AO5+AP5+AQ5</f>
        <v>27</v>
      </c>
      <c r="AS5" s="50">
        <f t="shared" ref="AS5:AU28" si="6">AO5*$AN5</f>
        <v>640</v>
      </c>
      <c r="AT5" s="50">
        <f t="shared" si="2"/>
        <v>440</v>
      </c>
      <c r="AU5" s="50">
        <f t="shared" si="2"/>
        <v>0</v>
      </c>
      <c r="AV5" s="115" t="s">
        <v>34</v>
      </c>
      <c r="AW5" s="115"/>
      <c r="AY5">
        <f t="shared" ref="AY5:AY28" si="7">AM5*0.8</f>
        <v>128</v>
      </c>
    </row>
    <row r="6" spans="1:51">
      <c r="A6" s="76">
        <v>44458</v>
      </c>
      <c r="B6" s="90">
        <v>1600</v>
      </c>
      <c r="C6" s="90" cm="1">
        <f t="array" ref="C6">(SUM(VLOOKUP(H6:AE6,$AL$4:$AN$44,2,FALSE))+AF6*10)*IF(AJ6="是",$AW$4,$AW$3)</f>
        <v>760</v>
      </c>
      <c r="D6" s="90">
        <f>SUM($B$4:B6)-SUM($C$4:C6)</f>
        <v>1590</v>
      </c>
      <c r="E6" s="90" cm="1">
        <f t="array" ref="E6">SUM(VLOOKUP(H6:AE6,$AL$4:$AN$44,3,FALSE))</f>
        <v>205</v>
      </c>
      <c r="F6" s="90">
        <f>SUM($E$4:E6)+SUM($G$4:G6)</f>
        <v>1090</v>
      </c>
      <c r="G6" s="90">
        <v>0</v>
      </c>
      <c r="H6" s="96" t="s">
        <v>16</v>
      </c>
      <c r="I6" s="96" t="s">
        <v>16</v>
      </c>
      <c r="J6" s="97" t="s">
        <v>12</v>
      </c>
      <c r="K6" s="96" t="s">
        <v>16</v>
      </c>
      <c r="L6" s="91" t="s">
        <v>17</v>
      </c>
      <c r="M6" s="97" t="s">
        <v>12</v>
      </c>
      <c r="N6" s="93" t="s">
        <v>23</v>
      </c>
      <c r="O6" s="93" t="s">
        <v>23</v>
      </c>
      <c r="P6" s="89" t="s">
        <v>23</v>
      </c>
      <c r="Q6" s="89" t="s">
        <v>23</v>
      </c>
      <c r="R6" s="89" t="s">
        <v>23</v>
      </c>
      <c r="S6" s="89" t="s">
        <v>23</v>
      </c>
      <c r="T6" s="89" t="s">
        <v>23</v>
      </c>
      <c r="U6" s="89" t="s">
        <v>23</v>
      </c>
      <c r="V6" s="93" t="s">
        <v>23</v>
      </c>
      <c r="W6" s="93" t="s">
        <v>23</v>
      </c>
      <c r="X6" s="89" t="s">
        <v>23</v>
      </c>
      <c r="Y6" s="89" t="s">
        <v>23</v>
      </c>
      <c r="Z6" s="89" t="s">
        <v>23</v>
      </c>
      <c r="AA6" s="89" t="s">
        <v>23</v>
      </c>
      <c r="AB6" s="89" t="s">
        <v>23</v>
      </c>
      <c r="AC6" s="89" t="s">
        <v>23</v>
      </c>
      <c r="AD6" s="93" t="s">
        <v>23</v>
      </c>
      <c r="AE6" s="93" t="s">
        <v>23</v>
      </c>
      <c r="AF6" s="94">
        <v>5</v>
      </c>
      <c r="AG6" s="94">
        <v>5</v>
      </c>
      <c r="AH6" s="94"/>
      <c r="AI6" s="94"/>
      <c r="AJ6" s="95" t="s">
        <v>30</v>
      </c>
      <c r="AL6" s="22" t="s">
        <v>18</v>
      </c>
      <c r="AM6" s="19">
        <v>170</v>
      </c>
      <c r="AN6" s="19">
        <v>45</v>
      </c>
      <c r="AO6" s="19">
        <f t="shared" si="1"/>
        <v>110</v>
      </c>
      <c r="AP6" s="19">
        <f t="shared" si="3"/>
        <v>84</v>
      </c>
      <c r="AQ6" s="19">
        <f t="shared" si="4"/>
        <v>0</v>
      </c>
      <c r="AR6" s="19">
        <f t="shared" si="5"/>
        <v>194</v>
      </c>
      <c r="AS6" s="50">
        <f t="shared" si="6"/>
        <v>4950</v>
      </c>
      <c r="AT6" s="50">
        <f t="shared" si="2"/>
        <v>3780</v>
      </c>
      <c r="AU6" s="50">
        <f t="shared" si="2"/>
        <v>0</v>
      </c>
      <c r="AV6" s="116"/>
      <c r="AW6" s="116"/>
      <c r="AY6">
        <f t="shared" si="7"/>
        <v>136</v>
      </c>
    </row>
    <row r="7" spans="1:51">
      <c r="A7" s="76">
        <v>44459</v>
      </c>
      <c r="B7" s="89">
        <v>1600</v>
      </c>
      <c r="C7" s="90" cm="1">
        <f t="array" ref="C7">(SUM(VLOOKUP(H7:AE7,$AL$4:$AN$44,2,FALSE))+AF7*10)*IF(AJ7="是",$AW$4,$AW$3)</f>
        <v>970</v>
      </c>
      <c r="D7" s="89">
        <f>SUM($B$4:B7)-SUM($C$4:C7)</f>
        <v>2220</v>
      </c>
      <c r="E7" s="90" cm="1">
        <f t="array" ref="E7">SUM(VLOOKUP(H7:AE7,$AL$4:$AN$44,3,FALSE))</f>
        <v>250</v>
      </c>
      <c r="F7" s="90">
        <f>SUM($E$4:E7)+SUM($G$4:G7)</f>
        <v>1640</v>
      </c>
      <c r="G7" s="89">
        <v>300</v>
      </c>
      <c r="H7" s="91" t="s">
        <v>17</v>
      </c>
      <c r="I7" s="91" t="s">
        <v>17</v>
      </c>
      <c r="J7" s="91" t="s">
        <v>6</v>
      </c>
      <c r="K7" s="91" t="s">
        <v>17</v>
      </c>
      <c r="L7" s="92" t="s">
        <v>18</v>
      </c>
      <c r="M7" s="92" t="s">
        <v>18</v>
      </c>
      <c r="N7" s="93" t="s">
        <v>23</v>
      </c>
      <c r="O7" s="93" t="s">
        <v>23</v>
      </c>
      <c r="P7" s="89" t="s">
        <v>23</v>
      </c>
      <c r="Q7" s="89" t="s">
        <v>23</v>
      </c>
      <c r="R7" s="89" t="s">
        <v>23</v>
      </c>
      <c r="S7" s="89" t="s">
        <v>23</v>
      </c>
      <c r="T7" s="89" t="s">
        <v>23</v>
      </c>
      <c r="U7" s="89" t="s">
        <v>23</v>
      </c>
      <c r="V7" s="93" t="s">
        <v>23</v>
      </c>
      <c r="W7" s="93" t="s">
        <v>23</v>
      </c>
      <c r="X7" s="89" t="s">
        <v>23</v>
      </c>
      <c r="Y7" s="89" t="s">
        <v>23</v>
      </c>
      <c r="Z7" s="89" t="s">
        <v>23</v>
      </c>
      <c r="AA7" s="89" t="s">
        <v>23</v>
      </c>
      <c r="AB7" s="89" t="s">
        <v>23</v>
      </c>
      <c r="AC7" s="89" t="s">
        <v>23</v>
      </c>
      <c r="AD7" s="93" t="s">
        <v>23</v>
      </c>
      <c r="AE7" s="93" t="s">
        <v>23</v>
      </c>
      <c r="AF7" s="94">
        <v>0</v>
      </c>
      <c r="AG7" s="94"/>
      <c r="AH7" s="94"/>
      <c r="AI7" s="94"/>
      <c r="AJ7" s="95" t="s">
        <v>30</v>
      </c>
      <c r="AL7" s="23" t="s">
        <v>19</v>
      </c>
      <c r="AM7" s="19">
        <v>180</v>
      </c>
      <c r="AN7" s="19">
        <v>50</v>
      </c>
      <c r="AO7" s="19">
        <f t="shared" si="1"/>
        <v>137</v>
      </c>
      <c r="AP7" s="19">
        <f t="shared" si="3"/>
        <v>130</v>
      </c>
      <c r="AQ7" s="19">
        <f t="shared" si="4"/>
        <v>0</v>
      </c>
      <c r="AR7" s="71">
        <f t="shared" si="5"/>
        <v>267</v>
      </c>
      <c r="AS7" s="50">
        <f t="shared" si="6"/>
        <v>6850</v>
      </c>
      <c r="AT7" s="50">
        <f t="shared" si="2"/>
        <v>6500</v>
      </c>
      <c r="AU7" s="50">
        <f t="shared" si="2"/>
        <v>0</v>
      </c>
      <c r="AV7" s="116"/>
      <c r="AW7" s="116"/>
      <c r="AY7">
        <f t="shared" si="7"/>
        <v>144</v>
      </c>
    </row>
    <row r="8" spans="1:51">
      <c r="A8" s="76">
        <v>44460</v>
      </c>
      <c r="B8" s="89">
        <v>1600</v>
      </c>
      <c r="C8" s="90" cm="1">
        <f t="array" ref="C8">(SUM(VLOOKUP(H8:AE8,$AL$4:$AN$44,2,FALSE))+AF8*10)*IF(AJ8="是",$AW$4,$AW$3)</f>
        <v>1030</v>
      </c>
      <c r="D8" s="89">
        <f>SUM($B$4:B8)-SUM($C$4:C8)</f>
        <v>2790</v>
      </c>
      <c r="E8" s="90" cm="1">
        <f t="array" ref="E8">SUM(VLOOKUP(H8:AE8,$AL$4:$AN$44,3,FALSE))</f>
        <v>270</v>
      </c>
      <c r="F8" s="90">
        <f>SUM($E$4:E8)+SUM($G$4:G8)</f>
        <v>1910</v>
      </c>
      <c r="G8" s="89">
        <v>0</v>
      </c>
      <c r="H8" s="92" t="s">
        <v>18</v>
      </c>
      <c r="I8" s="92" t="s">
        <v>18</v>
      </c>
      <c r="J8" s="99" t="s">
        <v>72</v>
      </c>
      <c r="K8" s="92" t="s">
        <v>18</v>
      </c>
      <c r="L8" s="92" t="s">
        <v>18</v>
      </c>
      <c r="M8" s="92" t="s">
        <v>18</v>
      </c>
      <c r="N8" s="93" t="s">
        <v>23</v>
      </c>
      <c r="O8" s="93" t="s">
        <v>23</v>
      </c>
      <c r="P8" s="89" t="s">
        <v>23</v>
      </c>
      <c r="Q8" s="89" t="s">
        <v>23</v>
      </c>
      <c r="R8" s="89" t="s">
        <v>23</v>
      </c>
      <c r="S8" s="89" t="s">
        <v>23</v>
      </c>
      <c r="T8" s="89" t="s">
        <v>23</v>
      </c>
      <c r="U8" s="89" t="s">
        <v>23</v>
      </c>
      <c r="V8" s="93" t="s">
        <v>23</v>
      </c>
      <c r="W8" s="93" t="s">
        <v>23</v>
      </c>
      <c r="X8" s="89" t="s">
        <v>23</v>
      </c>
      <c r="Y8" s="89" t="s">
        <v>23</v>
      </c>
      <c r="Z8" s="89" t="s">
        <v>23</v>
      </c>
      <c r="AA8" s="89" t="s">
        <v>23</v>
      </c>
      <c r="AB8" s="89" t="s">
        <v>23</v>
      </c>
      <c r="AC8" s="89" t="s">
        <v>23</v>
      </c>
      <c r="AD8" s="93" t="s">
        <v>23</v>
      </c>
      <c r="AE8" s="93" t="s">
        <v>23</v>
      </c>
      <c r="AF8" s="94">
        <v>1</v>
      </c>
      <c r="AG8" s="94">
        <v>1</v>
      </c>
      <c r="AH8" s="94"/>
      <c r="AI8" s="94"/>
      <c r="AJ8" s="95" t="s">
        <v>30</v>
      </c>
      <c r="AL8" s="24" t="s">
        <v>20</v>
      </c>
      <c r="AM8" s="19">
        <v>190</v>
      </c>
      <c r="AN8" s="19">
        <v>55</v>
      </c>
      <c r="AO8" s="19">
        <f t="shared" si="1"/>
        <v>116</v>
      </c>
      <c r="AP8" s="19">
        <f t="shared" si="3"/>
        <v>120</v>
      </c>
      <c r="AQ8" s="19">
        <f t="shared" si="4"/>
        <v>0</v>
      </c>
      <c r="AR8" s="71">
        <f t="shared" si="5"/>
        <v>236</v>
      </c>
      <c r="AS8" s="50">
        <f t="shared" si="6"/>
        <v>6380</v>
      </c>
      <c r="AT8" s="50">
        <f t="shared" si="2"/>
        <v>6600</v>
      </c>
      <c r="AU8" s="50">
        <f t="shared" si="2"/>
        <v>0</v>
      </c>
      <c r="AV8" s="116"/>
      <c r="AW8" s="116"/>
      <c r="AY8">
        <f t="shared" si="7"/>
        <v>152</v>
      </c>
    </row>
    <row r="9" spans="1:51">
      <c r="A9" s="76">
        <v>44461</v>
      </c>
      <c r="B9" s="89">
        <v>1600</v>
      </c>
      <c r="C9" s="90" cm="1">
        <f t="array" ref="C9">(SUM(VLOOKUP(H9:AE9,$AL$4:$AN$44,2,FALSE))+AF9*10)*IF(AJ9="是",$AW$4,$AW$3)</f>
        <v>1020</v>
      </c>
      <c r="D9" s="89">
        <f>SUM($B$4:B9)-SUM($C$4:C9)</f>
        <v>3370</v>
      </c>
      <c r="E9" s="90" cm="1">
        <f t="array" ref="E9">SUM(VLOOKUP(H9:AE9,$AL$4:$AN$44,3,FALSE))</f>
        <v>270</v>
      </c>
      <c r="F9" s="90">
        <f>SUM($E$4:E9)+SUM($G$4:G9)</f>
        <v>2380</v>
      </c>
      <c r="G9" s="89">
        <v>200</v>
      </c>
      <c r="H9" s="92" t="s">
        <v>18</v>
      </c>
      <c r="I9" s="92" t="s">
        <v>18</v>
      </c>
      <c r="J9" s="92" t="s">
        <v>18</v>
      </c>
      <c r="K9" s="92" t="s">
        <v>18</v>
      </c>
      <c r="L9" s="92" t="s">
        <v>18</v>
      </c>
      <c r="M9" s="92" t="s">
        <v>18</v>
      </c>
      <c r="N9" s="93" t="s">
        <v>23</v>
      </c>
      <c r="O9" s="93" t="s">
        <v>23</v>
      </c>
      <c r="P9" s="89" t="s">
        <v>23</v>
      </c>
      <c r="Q9" s="89" t="s">
        <v>23</v>
      </c>
      <c r="R9" s="89" t="s">
        <v>23</v>
      </c>
      <c r="S9" s="89" t="s">
        <v>23</v>
      </c>
      <c r="T9" s="89" t="s">
        <v>23</v>
      </c>
      <c r="U9" s="89" t="s">
        <v>23</v>
      </c>
      <c r="V9" s="93" t="s">
        <v>23</v>
      </c>
      <c r="W9" s="93" t="s">
        <v>23</v>
      </c>
      <c r="X9" s="89" t="s">
        <v>23</v>
      </c>
      <c r="Y9" s="89" t="s">
        <v>23</v>
      </c>
      <c r="Z9" s="89" t="s">
        <v>23</v>
      </c>
      <c r="AA9" s="89" t="s">
        <v>23</v>
      </c>
      <c r="AB9" s="89" t="s">
        <v>23</v>
      </c>
      <c r="AC9" s="89" t="s">
        <v>23</v>
      </c>
      <c r="AD9" s="93" t="s">
        <v>23</v>
      </c>
      <c r="AE9" s="93" t="s">
        <v>23</v>
      </c>
      <c r="AF9" s="94">
        <v>0</v>
      </c>
      <c r="AG9" s="94"/>
      <c r="AH9" s="94"/>
      <c r="AI9" s="94"/>
      <c r="AJ9" s="8" t="s">
        <v>30</v>
      </c>
      <c r="AL9" s="25" t="s">
        <v>21</v>
      </c>
      <c r="AM9" s="19">
        <v>200</v>
      </c>
      <c r="AN9" s="19">
        <v>60</v>
      </c>
      <c r="AO9" s="19">
        <f t="shared" si="1"/>
        <v>118</v>
      </c>
      <c r="AP9" s="19">
        <f t="shared" si="3"/>
        <v>76</v>
      </c>
      <c r="AQ9" s="19">
        <f t="shared" si="4"/>
        <v>0</v>
      </c>
      <c r="AR9" s="71">
        <f t="shared" si="5"/>
        <v>194</v>
      </c>
      <c r="AS9" s="50">
        <f t="shared" si="6"/>
        <v>7080</v>
      </c>
      <c r="AT9" s="50">
        <f t="shared" si="2"/>
        <v>4560</v>
      </c>
      <c r="AU9" s="50">
        <f t="shared" si="2"/>
        <v>0</v>
      </c>
      <c r="AY9">
        <f t="shared" si="7"/>
        <v>160</v>
      </c>
    </row>
    <row r="10" spans="1:51">
      <c r="A10" s="76">
        <v>44462</v>
      </c>
      <c r="B10" s="89">
        <v>1600</v>
      </c>
      <c r="C10" s="90" cm="1">
        <f t="array" ref="C10">(SUM(VLOOKUP(H10:AE10,$AL$4:$AN$44,2,FALSE))+AF10*10)*IF(AJ10="是",$AW$4,$AW$3)</f>
        <v>870</v>
      </c>
      <c r="D10" s="89">
        <f>SUM($B$4:B10)-SUM($C$4:C10)</f>
        <v>4100</v>
      </c>
      <c r="E10" s="90" cm="1">
        <f t="array" ref="E10">SUM(VLOOKUP(H10:AE10,$AL$4:$AN$44,3,FALSE))</f>
        <v>245</v>
      </c>
      <c r="F10" s="90">
        <f>SUM($E$4:E10)+SUM($G$4:G10)</f>
        <v>2625</v>
      </c>
      <c r="G10" s="89">
        <v>0</v>
      </c>
      <c r="H10" s="91" t="s">
        <v>6</v>
      </c>
      <c r="I10" s="91" t="s">
        <v>17</v>
      </c>
      <c r="J10" s="92" t="s">
        <v>18</v>
      </c>
      <c r="K10" s="92" t="s">
        <v>18</v>
      </c>
      <c r="L10" s="97" t="s">
        <v>12</v>
      </c>
      <c r="M10" s="92" t="s">
        <v>18</v>
      </c>
      <c r="N10" s="93" t="s">
        <v>23</v>
      </c>
      <c r="O10" s="93" t="s">
        <v>23</v>
      </c>
      <c r="P10" s="89" t="s">
        <v>23</v>
      </c>
      <c r="Q10" s="89" t="s">
        <v>23</v>
      </c>
      <c r="R10" s="89" t="s">
        <v>23</v>
      </c>
      <c r="S10" s="89" t="s">
        <v>23</v>
      </c>
      <c r="T10" s="89" t="s">
        <v>23</v>
      </c>
      <c r="U10" s="89" t="s">
        <v>23</v>
      </c>
      <c r="V10" s="93" t="s">
        <v>23</v>
      </c>
      <c r="W10" s="93" t="s">
        <v>23</v>
      </c>
      <c r="X10" s="89" t="s">
        <v>23</v>
      </c>
      <c r="Y10" s="89" t="s">
        <v>23</v>
      </c>
      <c r="Z10" s="89" t="s">
        <v>23</v>
      </c>
      <c r="AA10" s="89" t="s">
        <v>23</v>
      </c>
      <c r="AB10" s="89" t="s">
        <v>23</v>
      </c>
      <c r="AC10" s="89" t="s">
        <v>23</v>
      </c>
      <c r="AD10" s="93" t="s">
        <v>23</v>
      </c>
      <c r="AE10" s="93" t="s">
        <v>23</v>
      </c>
      <c r="AF10" s="94">
        <v>0</v>
      </c>
      <c r="AG10" s="94"/>
      <c r="AH10" s="94"/>
      <c r="AI10" s="94"/>
      <c r="AJ10" s="95" t="s">
        <v>30</v>
      </c>
      <c r="AL10" s="20" t="s">
        <v>5</v>
      </c>
      <c r="AM10" s="19">
        <v>150</v>
      </c>
      <c r="AN10" s="19">
        <v>35</v>
      </c>
      <c r="AO10" s="19">
        <f t="shared" si="1"/>
        <v>0</v>
      </c>
      <c r="AP10" s="19">
        <f t="shared" si="3"/>
        <v>0</v>
      </c>
      <c r="AQ10" s="19">
        <f t="shared" si="4"/>
        <v>0</v>
      </c>
      <c r="AR10" s="19">
        <f t="shared" si="5"/>
        <v>0</v>
      </c>
      <c r="AS10" s="50">
        <f t="shared" si="6"/>
        <v>0</v>
      </c>
      <c r="AT10" s="50">
        <f t="shared" si="2"/>
        <v>0</v>
      </c>
      <c r="AU10" s="50">
        <f t="shared" si="2"/>
        <v>0</v>
      </c>
      <c r="AY10">
        <f t="shared" si="7"/>
        <v>120</v>
      </c>
    </row>
    <row r="11" spans="1:51">
      <c r="A11" s="76">
        <v>44463</v>
      </c>
      <c r="B11" s="89">
        <v>1600</v>
      </c>
      <c r="C11" s="90" cm="1">
        <f t="array" ref="C11">(SUM(VLOOKUP(H11:AE11,$AL$4:$AN$44,2,FALSE))+AF11*10)*IF(AJ11="是",$AW$4,$AW$3)</f>
        <v>1170</v>
      </c>
      <c r="D11" s="89">
        <f>SUM($B$4:B11)-SUM($C$4:C11)</f>
        <v>4530</v>
      </c>
      <c r="E11" s="90" cm="1">
        <f t="array" ref="E11">SUM(VLOOKUP(H11:AE11,$AL$4:$AN$44,3,FALSE))</f>
        <v>470</v>
      </c>
      <c r="F11" s="90">
        <f>SUM($E$4:E11)+SUM($G$4:G11)</f>
        <v>3095</v>
      </c>
      <c r="G11" s="89">
        <v>0</v>
      </c>
      <c r="H11" s="99" t="s">
        <v>72</v>
      </c>
      <c r="I11" s="92" t="s">
        <v>18</v>
      </c>
      <c r="J11" s="92" t="s">
        <v>18</v>
      </c>
      <c r="K11" s="102" t="s">
        <v>13</v>
      </c>
      <c r="L11" s="92" t="s">
        <v>18</v>
      </c>
      <c r="M11" s="99" t="s">
        <v>71</v>
      </c>
      <c r="N11" s="92" t="s">
        <v>18</v>
      </c>
      <c r="O11" s="92" t="s">
        <v>18</v>
      </c>
      <c r="P11" s="89" t="s">
        <v>23</v>
      </c>
      <c r="Q11" s="89" t="s">
        <v>23</v>
      </c>
      <c r="R11" s="89" t="s">
        <v>23</v>
      </c>
      <c r="S11" s="89" t="s">
        <v>23</v>
      </c>
      <c r="T11" s="89" t="s">
        <v>23</v>
      </c>
      <c r="U11" s="89" t="s">
        <v>23</v>
      </c>
      <c r="V11" s="93" t="s">
        <v>23</v>
      </c>
      <c r="W11" s="93" t="s">
        <v>23</v>
      </c>
      <c r="X11" s="89" t="s">
        <v>23</v>
      </c>
      <c r="Y11" s="89" t="s">
        <v>23</v>
      </c>
      <c r="Z11" s="89" t="s">
        <v>23</v>
      </c>
      <c r="AA11" s="89" t="s">
        <v>23</v>
      </c>
      <c r="AB11" s="89" t="s">
        <v>23</v>
      </c>
      <c r="AC11" s="89" t="s">
        <v>23</v>
      </c>
      <c r="AD11" s="93" t="s">
        <v>23</v>
      </c>
      <c r="AE11" s="93" t="s">
        <v>23</v>
      </c>
      <c r="AF11" s="94">
        <v>5</v>
      </c>
      <c r="AG11" s="94">
        <v>5</v>
      </c>
      <c r="AH11" s="94"/>
      <c r="AI11" s="94"/>
      <c r="AJ11" s="8" t="s">
        <v>30</v>
      </c>
      <c r="AL11" s="21" t="s">
        <v>6</v>
      </c>
      <c r="AM11" s="19">
        <v>150</v>
      </c>
      <c r="AN11" s="19">
        <v>40</v>
      </c>
      <c r="AO11" s="19">
        <f t="shared" si="1"/>
        <v>4</v>
      </c>
      <c r="AP11" s="19">
        <f t="shared" si="3"/>
        <v>1</v>
      </c>
      <c r="AQ11" s="19">
        <f t="shared" si="4"/>
        <v>0</v>
      </c>
      <c r="AR11" s="19">
        <f t="shared" si="5"/>
        <v>5</v>
      </c>
      <c r="AS11" s="50">
        <f t="shared" si="6"/>
        <v>160</v>
      </c>
      <c r="AT11" s="50">
        <f t="shared" si="2"/>
        <v>40</v>
      </c>
      <c r="AU11" s="50">
        <f t="shared" si="2"/>
        <v>0</v>
      </c>
      <c r="AY11">
        <f t="shared" si="7"/>
        <v>120</v>
      </c>
    </row>
    <row r="12" spans="1:51">
      <c r="A12" s="76">
        <v>44464</v>
      </c>
      <c r="B12" s="89">
        <v>1600</v>
      </c>
      <c r="C12" s="90" cm="1">
        <f t="array" ref="C12">(SUM(VLOOKUP(H12:AE12,$AL$4:$AN$44,2,FALSE))+AF12*10)*IF(AJ12="是",$AW$4,$AW$3)</f>
        <v>1020</v>
      </c>
      <c r="D12" s="89">
        <f>SUM($B$4:B12)-SUM($C$4:C12)</f>
        <v>5110</v>
      </c>
      <c r="E12" s="90" cm="1">
        <f t="array" ref="E12">SUM(VLOOKUP(H12:AE12,$AL$4:$AN$44,3,FALSE))</f>
        <v>270</v>
      </c>
      <c r="F12" s="90">
        <f>SUM($E$4:E12)+SUM($G$4:G12)</f>
        <v>3365</v>
      </c>
      <c r="G12" s="89">
        <v>0</v>
      </c>
      <c r="H12" s="92" t="s">
        <v>18</v>
      </c>
      <c r="I12" s="92" t="s">
        <v>18</v>
      </c>
      <c r="J12" s="92" t="s">
        <v>18</v>
      </c>
      <c r="K12" s="92" t="s">
        <v>18</v>
      </c>
      <c r="L12" s="92" t="s">
        <v>18</v>
      </c>
      <c r="M12" s="92" t="s">
        <v>18</v>
      </c>
      <c r="N12" s="93" t="s">
        <v>23</v>
      </c>
      <c r="O12" s="93" t="s">
        <v>23</v>
      </c>
      <c r="P12" s="89" t="s">
        <v>23</v>
      </c>
      <c r="Q12" s="89" t="s">
        <v>23</v>
      </c>
      <c r="R12" s="89" t="s">
        <v>23</v>
      </c>
      <c r="S12" s="89" t="s">
        <v>23</v>
      </c>
      <c r="T12" s="89" t="s">
        <v>23</v>
      </c>
      <c r="U12" s="89" t="s">
        <v>23</v>
      </c>
      <c r="V12" s="93" t="s">
        <v>23</v>
      </c>
      <c r="W12" s="93" t="s">
        <v>23</v>
      </c>
      <c r="X12" s="89" t="s">
        <v>23</v>
      </c>
      <c r="Y12" s="89" t="s">
        <v>23</v>
      </c>
      <c r="Z12" s="89" t="s">
        <v>23</v>
      </c>
      <c r="AA12" s="89" t="s">
        <v>23</v>
      </c>
      <c r="AB12" s="89" t="s">
        <v>23</v>
      </c>
      <c r="AC12" s="89" t="s">
        <v>23</v>
      </c>
      <c r="AD12" s="93" t="s">
        <v>23</v>
      </c>
      <c r="AE12" s="93" t="s">
        <v>23</v>
      </c>
      <c r="AF12" s="94">
        <v>0</v>
      </c>
      <c r="AG12" s="94"/>
      <c r="AH12" s="94"/>
      <c r="AI12" s="94"/>
      <c r="AJ12" s="8" t="s">
        <v>30</v>
      </c>
      <c r="AL12" s="22" t="s">
        <v>7</v>
      </c>
      <c r="AM12" s="19">
        <v>150</v>
      </c>
      <c r="AN12" s="19">
        <v>45</v>
      </c>
      <c r="AO12" s="19">
        <f t="shared" si="1"/>
        <v>4</v>
      </c>
      <c r="AP12" s="19">
        <f t="shared" si="3"/>
        <v>2</v>
      </c>
      <c r="AQ12" s="19">
        <f t="shared" si="4"/>
        <v>0</v>
      </c>
      <c r="AR12" s="19">
        <f t="shared" si="5"/>
        <v>6</v>
      </c>
      <c r="AS12" s="50">
        <f t="shared" si="6"/>
        <v>180</v>
      </c>
      <c r="AT12" s="50">
        <f t="shared" si="2"/>
        <v>90</v>
      </c>
      <c r="AU12" s="50">
        <f t="shared" si="2"/>
        <v>0</v>
      </c>
      <c r="AY12">
        <f t="shared" si="7"/>
        <v>120</v>
      </c>
    </row>
    <row r="13" spans="1:51">
      <c r="A13" s="1">
        <v>44465</v>
      </c>
      <c r="B13" s="56">
        <v>1600</v>
      </c>
      <c r="C13" s="55" cm="1">
        <f t="array" ref="C13">(SUM(VLOOKUP(H13:AE13,$AL$4:$AN$44,2,FALSE))+AF13*10)*IF(AJ13="是",$AW$4,$AW$3)</f>
        <v>1100</v>
      </c>
      <c r="D13" s="18">
        <f>SUM($B$4:B13)-SUM($C$4:C13)</f>
        <v>5610</v>
      </c>
      <c r="E13" s="55" cm="1">
        <f t="array" ref="E13">SUM(VLOOKUP(H13:AE13,$AL$4:$AN$44,3,FALSE))</f>
        <v>425</v>
      </c>
      <c r="F13" s="98">
        <f>SUM($E$4:E13)+SUM($G$4:G13)</f>
        <v>3790</v>
      </c>
      <c r="G13" s="56">
        <v>0</v>
      </c>
      <c r="H13" s="81" t="s">
        <v>72</v>
      </c>
      <c r="I13" s="79" t="s">
        <v>18</v>
      </c>
      <c r="J13" s="79" t="s">
        <v>18</v>
      </c>
      <c r="K13" s="79" t="s">
        <v>18</v>
      </c>
      <c r="L13" s="79" t="s">
        <v>18</v>
      </c>
      <c r="M13" s="81" t="s">
        <v>71</v>
      </c>
      <c r="N13" s="7" t="s">
        <v>23</v>
      </c>
      <c r="O13" s="7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s="7" t="s">
        <v>23</v>
      </c>
      <c r="W13" s="7" t="s">
        <v>23</v>
      </c>
      <c r="X13" t="s">
        <v>23</v>
      </c>
      <c r="Y13" t="s">
        <v>23</v>
      </c>
      <c r="Z13" t="s">
        <v>23</v>
      </c>
      <c r="AA13" t="s">
        <v>23</v>
      </c>
      <c r="AB13" t="s">
        <v>23</v>
      </c>
      <c r="AC13" t="s">
        <v>23</v>
      </c>
      <c r="AD13" s="7" t="s">
        <v>23</v>
      </c>
      <c r="AE13" s="7" t="s">
        <v>23</v>
      </c>
      <c r="AF13" s="80">
        <v>0</v>
      </c>
      <c r="AG13" s="80"/>
      <c r="AH13" s="80"/>
      <c r="AI13" s="80"/>
      <c r="AJ13" s="8" t="s">
        <v>30</v>
      </c>
      <c r="AL13" s="23" t="s">
        <v>8</v>
      </c>
      <c r="AM13" s="19">
        <v>150</v>
      </c>
      <c r="AN13" s="19">
        <v>50</v>
      </c>
      <c r="AO13" s="19">
        <f t="shared" si="1"/>
        <v>1</v>
      </c>
      <c r="AP13" s="19">
        <f t="shared" si="3"/>
        <v>3</v>
      </c>
      <c r="AQ13" s="19">
        <f t="shared" si="4"/>
        <v>0</v>
      </c>
      <c r="AR13" s="19">
        <f t="shared" si="5"/>
        <v>4</v>
      </c>
      <c r="AS13" s="50">
        <f t="shared" si="6"/>
        <v>50</v>
      </c>
      <c r="AT13" s="50">
        <f t="shared" si="2"/>
        <v>150</v>
      </c>
      <c r="AU13" s="50">
        <f t="shared" si="2"/>
        <v>0</v>
      </c>
      <c r="AY13">
        <f t="shared" si="7"/>
        <v>120</v>
      </c>
    </row>
    <row r="14" spans="1:51">
      <c r="A14" s="1">
        <v>44466</v>
      </c>
      <c r="B14" s="55">
        <v>1600</v>
      </c>
      <c r="C14" s="55" cm="1">
        <f t="array" ref="C14">(SUM(VLOOKUP(H14:AE14,$AL$4:$AN$44,2,FALSE))+AF14*10)*IF(AJ14="是",$AW$4,$AW$3)</f>
        <v>900</v>
      </c>
      <c r="D14" s="57">
        <f>SUM($B$4:B14)-SUM($C$4:C14)</f>
        <v>6310</v>
      </c>
      <c r="E14" s="55" cm="1">
        <f t="array" ref="E14">SUM(VLOOKUP(H14:AE14,$AL$4:$AN$44,3,FALSE))</f>
        <v>255</v>
      </c>
      <c r="F14" s="98">
        <f>SUM($E$4:E14)+SUM($G$4:G14)</f>
        <v>4345</v>
      </c>
      <c r="G14" s="55">
        <v>300</v>
      </c>
      <c r="H14" s="79" t="s">
        <v>18</v>
      </c>
      <c r="I14" s="79" t="s">
        <v>18</v>
      </c>
      <c r="J14" s="77" t="s">
        <v>12</v>
      </c>
      <c r="K14" s="79" t="s">
        <v>18</v>
      </c>
      <c r="L14" s="79" t="s">
        <v>18</v>
      </c>
      <c r="M14" s="79" t="s">
        <v>18</v>
      </c>
      <c r="N14" s="7" t="s">
        <v>23</v>
      </c>
      <c r="O14" s="7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s="7" t="s">
        <v>23</v>
      </c>
      <c r="W14" s="7" t="s">
        <v>23</v>
      </c>
      <c r="X14" t="s">
        <v>23</v>
      </c>
      <c r="Y14" t="s">
        <v>23</v>
      </c>
      <c r="Z14" t="s">
        <v>23</v>
      </c>
      <c r="AA14" t="s">
        <v>23</v>
      </c>
      <c r="AB14" t="s">
        <v>23</v>
      </c>
      <c r="AC14" t="s">
        <v>23</v>
      </c>
      <c r="AD14" s="7" t="s">
        <v>23</v>
      </c>
      <c r="AE14" s="7" t="s">
        <v>23</v>
      </c>
      <c r="AF14" s="80">
        <v>0</v>
      </c>
      <c r="AG14" s="80"/>
      <c r="AH14" s="80"/>
      <c r="AI14" s="80"/>
      <c r="AJ14" s="8" t="s">
        <v>30</v>
      </c>
      <c r="AL14" s="24" t="s">
        <v>9</v>
      </c>
      <c r="AM14" s="19">
        <v>150</v>
      </c>
      <c r="AN14" s="19">
        <v>55</v>
      </c>
      <c r="AO14" s="19">
        <f t="shared" si="1"/>
        <v>1</v>
      </c>
      <c r="AP14" s="19">
        <f t="shared" si="3"/>
        <v>2</v>
      </c>
      <c r="AQ14" s="19">
        <f t="shared" si="4"/>
        <v>0</v>
      </c>
      <c r="AR14" s="19">
        <f t="shared" si="5"/>
        <v>3</v>
      </c>
      <c r="AS14" s="50">
        <f t="shared" si="6"/>
        <v>55</v>
      </c>
      <c r="AT14" s="50">
        <f t="shared" si="2"/>
        <v>110</v>
      </c>
      <c r="AU14" s="50">
        <f t="shared" si="2"/>
        <v>0</v>
      </c>
      <c r="AY14">
        <f t="shared" si="7"/>
        <v>120</v>
      </c>
    </row>
    <row r="15" spans="1:51">
      <c r="A15" s="1">
        <v>44467</v>
      </c>
      <c r="B15" s="55">
        <v>1600</v>
      </c>
      <c r="C15" s="55" cm="1">
        <f t="array" ref="C15">(SUM(VLOOKUP(H15:AE15,$AL$4:$AN$44,2,FALSE))+AF15*10)*IF(AJ15="是",$AW$4,$AW$3)</f>
        <v>1020</v>
      </c>
      <c r="D15" s="57">
        <f>SUM($B$4:B15)-SUM($C$4:C15)</f>
        <v>6890</v>
      </c>
      <c r="E15" s="55" cm="1">
        <f t="array" ref="E15">SUM(VLOOKUP(H15:AE15,$AL$4:$AN$44,3,FALSE))</f>
        <v>270</v>
      </c>
      <c r="F15" s="98">
        <f>SUM($E$4:E15)+SUM($G$4:G15)</f>
        <v>4615</v>
      </c>
      <c r="G15" s="55">
        <v>0</v>
      </c>
      <c r="H15" s="79" t="s">
        <v>18</v>
      </c>
      <c r="I15" s="79" t="s">
        <v>18</v>
      </c>
      <c r="J15" s="79" t="s">
        <v>18</v>
      </c>
      <c r="K15" s="79" t="s">
        <v>18</v>
      </c>
      <c r="L15" s="79" t="s">
        <v>18</v>
      </c>
      <c r="M15" s="79" t="s">
        <v>18</v>
      </c>
      <c r="N15" s="7" t="s">
        <v>23</v>
      </c>
      <c r="O15" s="7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s="7" t="s">
        <v>23</v>
      </c>
      <c r="W15" s="7" t="s">
        <v>23</v>
      </c>
      <c r="X15" t="s">
        <v>23</v>
      </c>
      <c r="Y15" t="s">
        <v>23</v>
      </c>
      <c r="Z15" t="s">
        <v>23</v>
      </c>
      <c r="AA15" t="s">
        <v>23</v>
      </c>
      <c r="AB15" t="s">
        <v>23</v>
      </c>
      <c r="AC15" t="s">
        <v>23</v>
      </c>
      <c r="AD15" s="7" t="s">
        <v>23</v>
      </c>
      <c r="AE15" s="7" t="s">
        <v>23</v>
      </c>
      <c r="AF15" s="80">
        <v>0</v>
      </c>
      <c r="AG15" s="80"/>
      <c r="AH15" s="80"/>
      <c r="AI15" s="80"/>
      <c r="AJ15" s="8" t="s">
        <v>30</v>
      </c>
      <c r="AL15" s="25" t="s">
        <v>10</v>
      </c>
      <c r="AM15" s="19">
        <v>150</v>
      </c>
      <c r="AN15" s="19">
        <v>60</v>
      </c>
      <c r="AO15" s="19">
        <f t="shared" si="1"/>
        <v>1</v>
      </c>
      <c r="AP15" s="19">
        <f t="shared" si="3"/>
        <v>0</v>
      </c>
      <c r="AQ15" s="19">
        <f t="shared" si="4"/>
        <v>0</v>
      </c>
      <c r="AR15" s="19">
        <f t="shared" si="5"/>
        <v>1</v>
      </c>
      <c r="AS15" s="50">
        <f t="shared" si="6"/>
        <v>60</v>
      </c>
      <c r="AT15" s="50">
        <f t="shared" si="2"/>
        <v>0</v>
      </c>
      <c r="AU15" s="50">
        <f t="shared" si="2"/>
        <v>0</v>
      </c>
      <c r="AY15">
        <f t="shared" si="7"/>
        <v>120</v>
      </c>
    </row>
    <row r="16" spans="1:51">
      <c r="A16" s="1">
        <v>44468</v>
      </c>
      <c r="B16" s="55">
        <v>1600</v>
      </c>
      <c r="C16" s="55" cm="1">
        <f t="array" ref="C16">(SUM(VLOOKUP(H16:AE16,$AL$4:$AN$44,2,FALSE))+AF16*10)*IF(AJ16="是",$AW$4,$AW$3)</f>
        <v>1000</v>
      </c>
      <c r="D16" s="57">
        <f>SUM($B$4:B16)-SUM($C$4:C16)</f>
        <v>7490</v>
      </c>
      <c r="E16" s="55" cm="1">
        <f t="array" ref="E16">SUM(VLOOKUP(H16:AE16,$AL$4:$AN$44,3,FALSE))</f>
        <v>270</v>
      </c>
      <c r="F16" s="98">
        <f>SUM($E$4:E16)+SUM($G$4:G16)</f>
        <v>5085</v>
      </c>
      <c r="G16" s="55">
        <v>200</v>
      </c>
      <c r="H16" s="81" t="s">
        <v>72</v>
      </c>
      <c r="I16" s="79" t="s">
        <v>18</v>
      </c>
      <c r="J16" s="79" t="s">
        <v>18</v>
      </c>
      <c r="K16" s="79" t="s">
        <v>18</v>
      </c>
      <c r="L16" s="79" t="s">
        <v>7</v>
      </c>
      <c r="M16" s="79" t="s">
        <v>18</v>
      </c>
      <c r="N16" s="7" t="s">
        <v>23</v>
      </c>
      <c r="O16" s="7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s="7" t="s">
        <v>23</v>
      </c>
      <c r="W16" s="7" t="s">
        <v>23</v>
      </c>
      <c r="X16" t="s">
        <v>23</v>
      </c>
      <c r="Y16" t="s">
        <v>23</v>
      </c>
      <c r="Z16" t="s">
        <v>23</v>
      </c>
      <c r="AA16" t="s">
        <v>23</v>
      </c>
      <c r="AB16" t="s">
        <v>23</v>
      </c>
      <c r="AC16" t="s">
        <v>23</v>
      </c>
      <c r="AD16" s="7" t="s">
        <v>23</v>
      </c>
      <c r="AE16" s="7" t="s">
        <v>23</v>
      </c>
      <c r="AF16" s="80">
        <v>0</v>
      </c>
      <c r="AG16" s="80"/>
      <c r="AH16" s="80"/>
      <c r="AI16" s="80"/>
      <c r="AJ16" s="8" t="s">
        <v>30</v>
      </c>
      <c r="AL16" s="26" t="s">
        <v>11</v>
      </c>
      <c r="AM16" s="27">
        <v>150</v>
      </c>
      <c r="AN16" s="19">
        <v>35</v>
      </c>
      <c r="AO16" s="19">
        <f t="shared" si="1"/>
        <v>0</v>
      </c>
      <c r="AP16" s="19">
        <f t="shared" si="3"/>
        <v>1</v>
      </c>
      <c r="AQ16" s="19">
        <f t="shared" si="4"/>
        <v>0</v>
      </c>
      <c r="AR16" s="19">
        <f t="shared" si="5"/>
        <v>1</v>
      </c>
      <c r="AS16" s="50">
        <f t="shared" si="6"/>
        <v>0</v>
      </c>
      <c r="AT16" s="50">
        <f t="shared" si="2"/>
        <v>35</v>
      </c>
      <c r="AU16" s="50">
        <f t="shared" si="2"/>
        <v>0</v>
      </c>
      <c r="AY16">
        <f t="shared" si="7"/>
        <v>120</v>
      </c>
    </row>
    <row r="17" spans="1:51">
      <c r="A17" s="1">
        <v>44469</v>
      </c>
      <c r="B17" s="55">
        <v>1600</v>
      </c>
      <c r="C17" s="55" cm="1">
        <f t="array" ref="C17">(SUM(VLOOKUP(H17:AE17,$AL$4:$AN$44,2,FALSE))+AF17*10)*IF(AJ17="是",$AW$4,$AW$3)</f>
        <v>1110</v>
      </c>
      <c r="D17" s="57">
        <f>SUM($B$4:B17)-SUM($C$4:C17)</f>
        <v>7980</v>
      </c>
      <c r="E17" s="55" cm="1">
        <f t="array" ref="E17">SUM(VLOOKUP(H17:AE17,$AL$4:$AN$44,3,FALSE))</f>
        <v>425</v>
      </c>
      <c r="F17" s="98">
        <f>SUM($E$4:E17)+SUM($G$4:G17)</f>
        <v>5510</v>
      </c>
      <c r="G17" s="55">
        <v>0</v>
      </c>
      <c r="H17" s="79" t="s">
        <v>18</v>
      </c>
      <c r="I17" s="81" t="s">
        <v>71</v>
      </c>
      <c r="J17" s="79" t="s">
        <v>18</v>
      </c>
      <c r="K17" s="79" t="s">
        <v>18</v>
      </c>
      <c r="L17" s="79" t="s">
        <v>18</v>
      </c>
      <c r="M17" s="79" t="s">
        <v>18</v>
      </c>
      <c r="N17" s="7" t="s">
        <v>23</v>
      </c>
      <c r="O17" s="7" t="s">
        <v>23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s="7" t="s">
        <v>23</v>
      </c>
      <c r="W17" s="7" t="s">
        <v>23</v>
      </c>
      <c r="X17" t="s">
        <v>23</v>
      </c>
      <c r="Y17" t="s">
        <v>23</v>
      </c>
      <c r="Z17" t="s">
        <v>23</v>
      </c>
      <c r="AA17" t="s">
        <v>23</v>
      </c>
      <c r="AB17" t="s">
        <v>23</v>
      </c>
      <c r="AC17" t="s">
        <v>23</v>
      </c>
      <c r="AD17" s="7" t="s">
        <v>23</v>
      </c>
      <c r="AE17" s="7" t="s">
        <v>23</v>
      </c>
      <c r="AF17" s="80">
        <v>1</v>
      </c>
      <c r="AG17" s="80">
        <v>1</v>
      </c>
      <c r="AH17" s="80"/>
      <c r="AI17" s="80"/>
      <c r="AJ17" s="8" t="s">
        <v>30</v>
      </c>
      <c r="AL17" s="28" t="s">
        <v>12</v>
      </c>
      <c r="AM17" s="19">
        <v>50</v>
      </c>
      <c r="AN17" s="19">
        <v>30</v>
      </c>
      <c r="AO17" s="19">
        <f t="shared" si="1"/>
        <v>18</v>
      </c>
      <c r="AP17" s="19">
        <f t="shared" si="3"/>
        <v>18</v>
      </c>
      <c r="AQ17" s="19">
        <f t="shared" si="4"/>
        <v>0</v>
      </c>
      <c r="AR17" s="19">
        <f t="shared" si="5"/>
        <v>36</v>
      </c>
      <c r="AS17" s="50">
        <f t="shared" si="6"/>
        <v>540</v>
      </c>
      <c r="AT17" s="50">
        <f t="shared" si="2"/>
        <v>540</v>
      </c>
      <c r="AU17" s="50">
        <f t="shared" si="2"/>
        <v>0</v>
      </c>
      <c r="AY17">
        <f t="shared" si="7"/>
        <v>40</v>
      </c>
    </row>
    <row r="18" spans="1:51">
      <c r="A18" s="1">
        <v>44470</v>
      </c>
      <c r="B18" s="55">
        <v>1600</v>
      </c>
      <c r="C18" s="75" cm="1">
        <f t="array" ref="C18">(SUM(VLOOKUP(H18:AE18,$AL$4:$AN$44,2,FALSE))+AF18*10)*IF(AJ18="是",$AW$4,$AW$3)-198</f>
        <v>1522</v>
      </c>
      <c r="D18" s="57">
        <f>SUM($B$4:B18)-SUM($C$4:C18)</f>
        <v>8058</v>
      </c>
      <c r="E18" s="55" cm="1">
        <f t="array" ref="E18">SUM(VLOOKUP(H18:AE18,$AL$4:$AN$44,3,FALSE))</f>
        <v>460</v>
      </c>
      <c r="F18" s="98">
        <f>SUM($E$4:E18)+SUM($G$4:G18)</f>
        <v>5970</v>
      </c>
      <c r="G18" s="55">
        <v>0</v>
      </c>
      <c r="H18" s="79" t="s">
        <v>18</v>
      </c>
      <c r="I18" s="77" t="s">
        <v>12</v>
      </c>
      <c r="J18" s="79" t="s">
        <v>18</v>
      </c>
      <c r="K18" s="79" t="s">
        <v>18</v>
      </c>
      <c r="L18" s="81" t="s">
        <v>72</v>
      </c>
      <c r="M18" s="79" t="s">
        <v>18</v>
      </c>
      <c r="N18" s="7" t="s">
        <v>23</v>
      </c>
      <c r="O18" s="7" t="s">
        <v>23</v>
      </c>
      <c r="P18" s="26" t="s">
        <v>11</v>
      </c>
      <c r="Q18" s="83" t="s">
        <v>16</v>
      </c>
      <c r="R18" s="77" t="s">
        <v>12</v>
      </c>
      <c r="S18" s="83" t="s">
        <v>16</v>
      </c>
      <c r="T18" s="83" t="s">
        <v>16</v>
      </c>
      <c r="U18" s="83" t="s">
        <v>16</v>
      </c>
      <c r="V18" s="7" t="s">
        <v>23</v>
      </c>
      <c r="W18" s="7" t="s">
        <v>23</v>
      </c>
      <c r="X18" t="s">
        <v>23</v>
      </c>
      <c r="Y18" t="s">
        <v>23</v>
      </c>
      <c r="Z18" t="s">
        <v>23</v>
      </c>
      <c r="AA18" t="s">
        <v>23</v>
      </c>
      <c r="AB18" t="s">
        <v>23</v>
      </c>
      <c r="AC18" t="s">
        <v>23</v>
      </c>
      <c r="AD18" s="7" t="s">
        <v>23</v>
      </c>
      <c r="AE18" s="7" t="s">
        <v>23</v>
      </c>
      <c r="AF18" s="80">
        <v>2</v>
      </c>
      <c r="AG18" s="80"/>
      <c r="AH18" s="80">
        <v>2</v>
      </c>
      <c r="AI18" s="80"/>
      <c r="AJ18" s="8" t="s">
        <v>30</v>
      </c>
      <c r="AK18" s="12" t="s">
        <v>25</v>
      </c>
      <c r="AL18" s="29" t="s">
        <v>13</v>
      </c>
      <c r="AM18" s="19">
        <v>-150</v>
      </c>
      <c r="AN18" s="19">
        <v>0</v>
      </c>
      <c r="AO18" s="19">
        <f t="shared" si="1"/>
        <v>1</v>
      </c>
      <c r="AP18" s="19">
        <f t="shared" si="3"/>
        <v>0</v>
      </c>
      <c r="AQ18" s="19">
        <f t="shared" si="4"/>
        <v>0</v>
      </c>
      <c r="AR18" s="19">
        <f t="shared" si="5"/>
        <v>1</v>
      </c>
      <c r="AS18" s="50">
        <f t="shared" si="6"/>
        <v>0</v>
      </c>
      <c r="AT18" s="50">
        <f t="shared" si="2"/>
        <v>0</v>
      </c>
      <c r="AU18" s="50">
        <f t="shared" si="2"/>
        <v>0</v>
      </c>
      <c r="AY18">
        <f t="shared" si="7"/>
        <v>-120</v>
      </c>
    </row>
    <row r="19" spans="1:51">
      <c r="A19" s="1">
        <v>44471</v>
      </c>
      <c r="B19" s="55">
        <v>1600</v>
      </c>
      <c r="C19" s="55" cm="1">
        <f t="array" ref="C19">(SUM(VLOOKUP(H19:AE19,$AL$4:$AN$44,2,FALSE))+AF19*10)*IF(AJ19="是",$AW$4,$AW$3)</f>
        <v>1304</v>
      </c>
      <c r="D19" s="57">
        <f>SUM($B$4:B19)-SUM($C$4:C19)</f>
        <v>8354</v>
      </c>
      <c r="E19" s="55" cm="1">
        <f t="array" ref="E19">SUM(VLOOKUP(H19:AE19,$AL$4:$AN$44,3,FALSE))</f>
        <v>490</v>
      </c>
      <c r="F19" s="98">
        <f>SUM($E$4:E19)+SUM($G$4:G19)</f>
        <v>6460</v>
      </c>
      <c r="G19" s="55">
        <v>0</v>
      </c>
      <c r="H19" s="79" t="s">
        <v>18</v>
      </c>
      <c r="I19" s="78" t="s">
        <v>6</v>
      </c>
      <c r="J19" s="79" t="s">
        <v>18</v>
      </c>
      <c r="K19" s="79" t="s">
        <v>18</v>
      </c>
      <c r="L19" s="77" t="s">
        <v>12</v>
      </c>
      <c r="M19" s="79" t="s">
        <v>18</v>
      </c>
      <c r="N19" s="7" t="s">
        <v>23</v>
      </c>
      <c r="O19" s="7" t="s">
        <v>23</v>
      </c>
      <c r="P19" s="83" t="s">
        <v>16</v>
      </c>
      <c r="Q19" s="83" t="s">
        <v>16</v>
      </c>
      <c r="R19" s="83" t="s">
        <v>16</v>
      </c>
      <c r="S19" s="77" t="s">
        <v>12</v>
      </c>
      <c r="T19" s="83" t="s">
        <v>16</v>
      </c>
      <c r="U19" s="82" t="s">
        <v>47</v>
      </c>
      <c r="V19" s="83" t="s">
        <v>16</v>
      </c>
      <c r="W19" s="83" t="s">
        <v>16</v>
      </c>
      <c r="X19" t="s">
        <v>23</v>
      </c>
      <c r="Y19" t="s">
        <v>23</v>
      </c>
      <c r="Z19" t="s">
        <v>23</v>
      </c>
      <c r="AA19" t="s">
        <v>23</v>
      </c>
      <c r="AB19" t="s">
        <v>23</v>
      </c>
      <c r="AC19" t="s">
        <v>23</v>
      </c>
      <c r="AD19" s="7" t="s">
        <v>23</v>
      </c>
      <c r="AE19" s="7" t="s">
        <v>23</v>
      </c>
      <c r="AF19" s="80">
        <v>0</v>
      </c>
      <c r="AG19" s="80"/>
      <c r="AH19" s="80"/>
      <c r="AI19" s="80"/>
      <c r="AJ19" s="8" t="s">
        <v>31</v>
      </c>
      <c r="AL19" s="30" t="s">
        <v>71</v>
      </c>
      <c r="AM19" s="19">
        <v>250</v>
      </c>
      <c r="AN19" s="19">
        <v>200</v>
      </c>
      <c r="AO19" s="19">
        <f t="shared" si="1"/>
        <v>3</v>
      </c>
      <c r="AP19" s="19">
        <f t="shared" si="3"/>
        <v>0</v>
      </c>
      <c r="AQ19" s="19">
        <f t="shared" si="4"/>
        <v>0</v>
      </c>
      <c r="AR19" s="19">
        <f t="shared" si="5"/>
        <v>3</v>
      </c>
      <c r="AS19" s="50">
        <f t="shared" si="6"/>
        <v>600</v>
      </c>
      <c r="AT19" s="50">
        <f t="shared" si="2"/>
        <v>0</v>
      </c>
      <c r="AU19" s="50">
        <f t="shared" si="2"/>
        <v>0</v>
      </c>
      <c r="AY19">
        <f t="shared" si="7"/>
        <v>200</v>
      </c>
    </row>
    <row r="20" spans="1:51">
      <c r="A20" s="1">
        <v>44472</v>
      </c>
      <c r="B20" s="55">
        <v>1600</v>
      </c>
      <c r="C20" s="55" cm="1">
        <f t="array" ref="C20">(SUM(VLOOKUP(H20:AE20,$AL$4:$AN$44,2,FALSE))+AF20*10)*IF(AJ20="是",$AW$4,$AW$3)</f>
        <v>1536</v>
      </c>
      <c r="D20" s="57">
        <f>SUM($B$4:B20)-SUM($C$4:C20)</f>
        <v>8418</v>
      </c>
      <c r="E20" s="55" cm="1">
        <f t="array" ref="E20">SUM(VLOOKUP(H20:AE20,$AL$4:$AN$44,3,FALSE))</f>
        <v>500</v>
      </c>
      <c r="F20" s="98">
        <f>SUM($E$4:E20)+SUM($G$4:G20)</f>
        <v>6960</v>
      </c>
      <c r="G20" s="55">
        <v>0</v>
      </c>
      <c r="H20" s="79" t="s">
        <v>18</v>
      </c>
      <c r="I20" s="79" t="s">
        <v>18</v>
      </c>
      <c r="J20" s="79" t="s">
        <v>18</v>
      </c>
      <c r="K20" s="79" t="s">
        <v>18</v>
      </c>
      <c r="L20" s="79" t="s">
        <v>18</v>
      </c>
      <c r="M20" s="79" t="s">
        <v>18</v>
      </c>
      <c r="N20" s="7" t="s">
        <v>23</v>
      </c>
      <c r="O20" s="7" t="s">
        <v>23</v>
      </c>
      <c r="P20" s="78" t="s">
        <v>17</v>
      </c>
      <c r="Q20" s="78" t="s">
        <v>17</v>
      </c>
      <c r="R20" s="78" t="s">
        <v>17</v>
      </c>
      <c r="S20" s="78" t="s">
        <v>17</v>
      </c>
      <c r="T20" s="78" t="s">
        <v>17</v>
      </c>
      <c r="U20" s="77" t="s">
        <v>12</v>
      </c>
      <c r="V20" s="7" t="s">
        <v>23</v>
      </c>
      <c r="W20" s="7" t="s">
        <v>23</v>
      </c>
      <c r="X20" t="s">
        <v>23</v>
      </c>
      <c r="Y20" t="s">
        <v>23</v>
      </c>
      <c r="Z20" t="s">
        <v>23</v>
      </c>
      <c r="AA20" t="s">
        <v>23</v>
      </c>
      <c r="AB20" t="s">
        <v>23</v>
      </c>
      <c r="AC20" t="s">
        <v>23</v>
      </c>
      <c r="AD20" s="7" t="s">
        <v>23</v>
      </c>
      <c r="AE20" s="7" t="s">
        <v>23</v>
      </c>
      <c r="AF20" s="80">
        <v>5</v>
      </c>
      <c r="AG20" s="80"/>
      <c r="AH20" s="80">
        <v>5</v>
      </c>
      <c r="AI20" s="80"/>
      <c r="AJ20" s="8" t="s">
        <v>31</v>
      </c>
      <c r="AL20" s="30" t="s">
        <v>72</v>
      </c>
      <c r="AM20" s="19">
        <v>170</v>
      </c>
      <c r="AN20" s="19">
        <v>45</v>
      </c>
      <c r="AO20" s="19">
        <f t="shared" si="1"/>
        <v>5</v>
      </c>
      <c r="AP20" s="19">
        <f t="shared" si="3"/>
        <v>0</v>
      </c>
      <c r="AQ20" s="19">
        <f t="shared" si="4"/>
        <v>0</v>
      </c>
      <c r="AR20" s="19">
        <f t="shared" si="5"/>
        <v>5</v>
      </c>
      <c r="AS20" s="50">
        <f t="shared" si="6"/>
        <v>225</v>
      </c>
      <c r="AT20" s="50">
        <f t="shared" si="6"/>
        <v>0</v>
      </c>
      <c r="AU20" s="50">
        <f t="shared" si="6"/>
        <v>0</v>
      </c>
      <c r="AY20">
        <f t="shared" si="7"/>
        <v>136</v>
      </c>
    </row>
    <row r="21" spans="1:51">
      <c r="A21" s="1">
        <v>44473</v>
      </c>
      <c r="B21" s="56">
        <v>1600</v>
      </c>
      <c r="C21" s="55" cm="1">
        <f t="array" ref="C21">(SUM(VLOOKUP(H21:AE21,$AL$4:$AN$44,2,FALSE))+AF21*10)*IF(AJ21="是",$AW$4,$AW$3)</f>
        <v>1552</v>
      </c>
      <c r="D21" s="18">
        <f>SUM($B$4:B21)-SUM($C$4:C21)</f>
        <v>8466</v>
      </c>
      <c r="E21" s="55" cm="1">
        <f t="array" ref="E21">SUM(VLOOKUP(H21:AE21,$AL$4:$AN$44,3,FALSE))</f>
        <v>505</v>
      </c>
      <c r="F21" s="98">
        <f>SUM($E$4:E21)+SUM($G$4:G21)</f>
        <v>7665</v>
      </c>
      <c r="G21" s="56">
        <v>200</v>
      </c>
      <c r="H21" s="79" t="s">
        <v>7</v>
      </c>
      <c r="I21" s="79" t="s">
        <v>18</v>
      </c>
      <c r="J21" s="79" t="s">
        <v>18</v>
      </c>
      <c r="K21" s="79" t="s">
        <v>18</v>
      </c>
      <c r="L21" s="79" t="s">
        <v>18</v>
      </c>
      <c r="M21" s="78" t="s">
        <v>17</v>
      </c>
      <c r="N21" s="7" t="s">
        <v>23</v>
      </c>
      <c r="O21" s="7" t="s">
        <v>23</v>
      </c>
      <c r="P21" s="78" t="s">
        <v>17</v>
      </c>
      <c r="Q21" s="78" t="s">
        <v>17</v>
      </c>
      <c r="R21" s="78" t="s">
        <v>17</v>
      </c>
      <c r="S21" s="78" t="s">
        <v>6</v>
      </c>
      <c r="T21" s="78" t="s">
        <v>17</v>
      </c>
      <c r="U21" s="78" t="s">
        <v>17</v>
      </c>
      <c r="V21" s="7" t="s">
        <v>23</v>
      </c>
      <c r="W21" s="7" t="s">
        <v>23</v>
      </c>
      <c r="X21" t="s">
        <v>23</v>
      </c>
      <c r="Y21" t="s">
        <v>23</v>
      </c>
      <c r="Z21" t="s">
        <v>23</v>
      </c>
      <c r="AA21" t="s">
        <v>23</v>
      </c>
      <c r="AB21" t="s">
        <v>23</v>
      </c>
      <c r="AC21" t="s">
        <v>23</v>
      </c>
      <c r="AD21" s="7" t="s">
        <v>23</v>
      </c>
      <c r="AE21" s="7" t="s">
        <v>23</v>
      </c>
      <c r="AF21" s="80">
        <v>0</v>
      </c>
      <c r="AG21" s="80"/>
      <c r="AH21" s="80"/>
      <c r="AI21" s="80"/>
      <c r="AJ21" s="8" t="s">
        <v>31</v>
      </c>
      <c r="AL21" s="34" t="s">
        <v>14</v>
      </c>
      <c r="AM21" s="19">
        <v>250</v>
      </c>
      <c r="AN21" s="19">
        <v>200</v>
      </c>
      <c r="AO21" s="19">
        <f t="shared" si="1"/>
        <v>0</v>
      </c>
      <c r="AP21" s="19">
        <f t="shared" si="3"/>
        <v>0</v>
      </c>
      <c r="AQ21" s="19">
        <f t="shared" si="4"/>
        <v>0</v>
      </c>
      <c r="AR21" s="19">
        <f t="shared" si="5"/>
        <v>0</v>
      </c>
      <c r="AS21" s="50">
        <f t="shared" si="6"/>
        <v>0</v>
      </c>
      <c r="AT21" s="50">
        <f t="shared" si="6"/>
        <v>0</v>
      </c>
      <c r="AU21" s="50">
        <f t="shared" si="6"/>
        <v>0</v>
      </c>
      <c r="AY21">
        <f t="shared" si="7"/>
        <v>200</v>
      </c>
    </row>
    <row r="22" spans="1:51">
      <c r="A22" s="1">
        <v>44474</v>
      </c>
      <c r="B22" s="56">
        <v>1600</v>
      </c>
      <c r="C22" s="55" cm="1">
        <f t="array" ref="C22">(SUM(VLOOKUP(H22:AE22,$AL$4:$AN$44,2,FALSE))+AF22*10)*IF(AJ22="是",$AW$4,$AW$3)</f>
        <v>1392</v>
      </c>
      <c r="D22" s="18">
        <f>SUM($B$4:B22)-SUM($C$4:C22)</f>
        <v>8674</v>
      </c>
      <c r="E22" s="55" cm="1">
        <f t="array" ref="E22">SUM(VLOOKUP(H22:AE22,$AL$4:$AN$44,3,FALSE))</f>
        <v>530</v>
      </c>
      <c r="F22" s="98">
        <f>SUM($E$4:E22)+SUM($G$4:G22)</f>
        <v>8295</v>
      </c>
      <c r="G22" s="56">
        <v>100</v>
      </c>
      <c r="H22" s="77" t="s">
        <v>12</v>
      </c>
      <c r="I22" s="78" t="s">
        <v>17</v>
      </c>
      <c r="J22" s="78" t="s">
        <v>17</v>
      </c>
      <c r="K22" s="78" t="s">
        <v>17</v>
      </c>
      <c r="L22" s="78" t="s">
        <v>17</v>
      </c>
      <c r="M22" s="78" t="s">
        <v>17</v>
      </c>
      <c r="N22" s="7" t="s">
        <v>23</v>
      </c>
      <c r="O22" s="7" t="s">
        <v>23</v>
      </c>
      <c r="P22" s="82" t="s">
        <v>47</v>
      </c>
      <c r="Q22" s="79" t="s">
        <v>18</v>
      </c>
      <c r="R22" s="79" t="s">
        <v>18</v>
      </c>
      <c r="S22" s="79" t="s">
        <v>18</v>
      </c>
      <c r="T22" s="79" t="s">
        <v>18</v>
      </c>
      <c r="U22" s="79" t="s">
        <v>18</v>
      </c>
      <c r="V22" s="77" t="s">
        <v>12</v>
      </c>
      <c r="W22" s="79" t="s">
        <v>18</v>
      </c>
      <c r="X22" t="s">
        <v>23</v>
      </c>
      <c r="Y22" t="s">
        <v>23</v>
      </c>
      <c r="Z22" t="s">
        <v>23</v>
      </c>
      <c r="AA22" t="s">
        <v>23</v>
      </c>
      <c r="AB22" t="s">
        <v>23</v>
      </c>
      <c r="AC22" t="s">
        <v>23</v>
      </c>
      <c r="AD22" s="7" t="s">
        <v>23</v>
      </c>
      <c r="AE22" s="7" t="s">
        <v>23</v>
      </c>
      <c r="AF22" s="80">
        <v>2</v>
      </c>
      <c r="AG22" s="80"/>
      <c r="AH22" s="80">
        <v>2</v>
      </c>
      <c r="AI22" s="80"/>
      <c r="AJ22" s="8" t="s">
        <v>31</v>
      </c>
      <c r="AL22" s="32" t="s">
        <v>15</v>
      </c>
      <c r="AM22" s="19">
        <v>250</v>
      </c>
      <c r="AN22" s="19">
        <v>1000</v>
      </c>
      <c r="AO22" s="19">
        <f t="shared" si="1"/>
        <v>1</v>
      </c>
      <c r="AP22" s="19">
        <f t="shared" si="3"/>
        <v>1</v>
      </c>
      <c r="AQ22" s="19">
        <f t="shared" si="4"/>
        <v>0</v>
      </c>
      <c r="AR22" s="19">
        <f t="shared" si="5"/>
        <v>2</v>
      </c>
      <c r="AS22" s="50">
        <f t="shared" si="6"/>
        <v>1000</v>
      </c>
      <c r="AT22" s="50">
        <f t="shared" si="6"/>
        <v>1000</v>
      </c>
      <c r="AU22" s="50">
        <f t="shared" si="6"/>
        <v>0</v>
      </c>
      <c r="AY22">
        <f t="shared" si="7"/>
        <v>200</v>
      </c>
    </row>
    <row r="23" spans="1:51">
      <c r="A23" s="1">
        <v>44475</v>
      </c>
      <c r="B23" s="56">
        <v>1600</v>
      </c>
      <c r="C23" s="55" cm="1">
        <f t="array" ref="C23">(SUM(VLOOKUP(H23:AE23,$AL$4:$AN$44,2,FALSE))+AF23*10)*IF(AJ23="是",$AW$4,$AW$3)</f>
        <v>1400</v>
      </c>
      <c r="D23" s="18">
        <f>SUM($B$4:B23)-SUM($C$4:C23)</f>
        <v>8874</v>
      </c>
      <c r="E23" s="55" cm="1">
        <f t="array" ref="E23">SUM(VLOOKUP(H23:AE23,$AL$4:$AN$44,3,FALSE))</f>
        <v>485</v>
      </c>
      <c r="F23" s="98">
        <f>SUM($E$4:E23)+SUM($G$4:G23)</f>
        <v>8980</v>
      </c>
      <c r="G23" s="56">
        <v>200</v>
      </c>
      <c r="H23" s="77" t="s">
        <v>12</v>
      </c>
      <c r="I23" s="78" t="s">
        <v>17</v>
      </c>
      <c r="J23" s="78" t="s">
        <v>6</v>
      </c>
      <c r="K23" s="78" t="s">
        <v>17</v>
      </c>
      <c r="L23" s="78" t="s">
        <v>17</v>
      </c>
      <c r="M23" s="78" t="s">
        <v>17</v>
      </c>
      <c r="N23" s="7" t="s">
        <v>23</v>
      </c>
      <c r="O23" s="7" t="s">
        <v>23</v>
      </c>
      <c r="P23" s="79" t="s">
        <v>18</v>
      </c>
      <c r="Q23" s="79" t="s">
        <v>18</v>
      </c>
      <c r="R23" s="79" t="s">
        <v>18</v>
      </c>
      <c r="S23" s="79" t="s">
        <v>18</v>
      </c>
      <c r="T23" s="77" t="s">
        <v>12</v>
      </c>
      <c r="U23" s="79" t="s">
        <v>18</v>
      </c>
      <c r="V23" s="7" t="s">
        <v>23</v>
      </c>
      <c r="W23" s="7" t="s">
        <v>23</v>
      </c>
      <c r="X23" t="s">
        <v>23</v>
      </c>
      <c r="Y23" t="s">
        <v>23</v>
      </c>
      <c r="Z23" t="s">
        <v>23</v>
      </c>
      <c r="AA23" t="s">
        <v>23</v>
      </c>
      <c r="AB23" t="s">
        <v>23</v>
      </c>
      <c r="AC23" t="s">
        <v>23</v>
      </c>
      <c r="AD23" s="7" t="s">
        <v>23</v>
      </c>
      <c r="AE23" s="7" t="s">
        <v>23</v>
      </c>
      <c r="AF23" s="80">
        <v>1</v>
      </c>
      <c r="AG23" s="80"/>
      <c r="AH23" s="80">
        <v>1</v>
      </c>
      <c r="AI23" s="80"/>
      <c r="AJ23" s="8" t="s">
        <v>31</v>
      </c>
      <c r="AL23" s="35" t="s">
        <v>41</v>
      </c>
      <c r="AM23" s="19">
        <v>250</v>
      </c>
      <c r="AN23" s="19">
        <v>500</v>
      </c>
      <c r="AO23" s="19">
        <f t="shared" si="1"/>
        <v>1</v>
      </c>
      <c r="AP23" s="19">
        <f t="shared" si="3"/>
        <v>1</v>
      </c>
      <c r="AQ23" s="19">
        <f t="shared" si="4"/>
        <v>0</v>
      </c>
      <c r="AR23" s="19">
        <f t="shared" si="5"/>
        <v>2</v>
      </c>
      <c r="AS23" s="50">
        <f t="shared" si="6"/>
        <v>500</v>
      </c>
      <c r="AT23" s="50">
        <f t="shared" si="6"/>
        <v>500</v>
      </c>
      <c r="AU23" s="50">
        <f t="shared" si="6"/>
        <v>0</v>
      </c>
      <c r="AY23">
        <f t="shared" si="7"/>
        <v>200</v>
      </c>
    </row>
    <row r="24" spans="1:51" ht="14.25" customHeight="1">
      <c r="A24" s="1">
        <v>44476</v>
      </c>
      <c r="B24" s="56">
        <v>1600</v>
      </c>
      <c r="C24" s="55" cm="1">
        <f t="array" ref="C24">(SUM(VLOOKUP(H24:AE24,$AL$4:$AN$44,2,FALSE))+AF24*10)*IF(AJ24="是",$AW$4,$AW$3)</f>
        <v>1552</v>
      </c>
      <c r="D24" s="18">
        <f>SUM($B$4:B24)-SUM($C$4:C24)</f>
        <v>8922</v>
      </c>
      <c r="E24" s="55" cm="1">
        <f t="array" ref="E24">SUM(VLOOKUP(H24:AE24,$AL$4:$AN$44,3,FALSE))</f>
        <v>525</v>
      </c>
      <c r="F24" s="98">
        <f>SUM($E$4:E24)+SUM($G$4:G24)</f>
        <v>9505</v>
      </c>
      <c r="G24" s="56">
        <v>0</v>
      </c>
      <c r="H24" s="77" t="s">
        <v>12</v>
      </c>
      <c r="I24" s="78" t="s">
        <v>17</v>
      </c>
      <c r="J24" s="79" t="s">
        <v>18</v>
      </c>
      <c r="K24" s="79" t="s">
        <v>18</v>
      </c>
      <c r="L24" s="79" t="s">
        <v>18</v>
      </c>
      <c r="M24" s="79" t="s">
        <v>18</v>
      </c>
      <c r="N24" s="7" t="s">
        <v>23</v>
      </c>
      <c r="O24" s="7" t="s">
        <v>23</v>
      </c>
      <c r="P24" s="79" t="s">
        <v>18</v>
      </c>
      <c r="Q24" s="79" t="s">
        <v>18</v>
      </c>
      <c r="R24" s="79" t="s">
        <v>18</v>
      </c>
      <c r="S24" s="79" t="s">
        <v>18</v>
      </c>
      <c r="T24" s="84" t="s">
        <v>19</v>
      </c>
      <c r="U24" s="79" t="s">
        <v>18</v>
      </c>
      <c r="V24" s="7" t="s">
        <v>23</v>
      </c>
      <c r="W24" s="7" t="s">
        <v>23</v>
      </c>
      <c r="X24" t="s">
        <v>23</v>
      </c>
      <c r="Y24" t="s">
        <v>23</v>
      </c>
      <c r="Z24" t="s">
        <v>23</v>
      </c>
      <c r="AA24" t="s">
        <v>23</v>
      </c>
      <c r="AB24" t="s">
        <v>23</v>
      </c>
      <c r="AC24" t="s">
        <v>23</v>
      </c>
      <c r="AD24" s="7" t="s">
        <v>23</v>
      </c>
      <c r="AE24" s="7" t="s">
        <v>23</v>
      </c>
      <c r="AF24" s="80">
        <v>2</v>
      </c>
      <c r="AG24" s="80">
        <v>1</v>
      </c>
      <c r="AH24" s="80">
        <v>1</v>
      </c>
      <c r="AI24" s="80"/>
      <c r="AJ24" s="8" t="s">
        <v>31</v>
      </c>
      <c r="AL24" s="31" t="s">
        <v>39</v>
      </c>
      <c r="AM24" s="19">
        <v>160</v>
      </c>
      <c r="AN24" s="19">
        <v>40</v>
      </c>
      <c r="AO24" s="19">
        <f t="shared" si="1"/>
        <v>0</v>
      </c>
      <c r="AP24" s="19">
        <f t="shared" si="3"/>
        <v>0</v>
      </c>
      <c r="AQ24" s="19">
        <f t="shared" si="4"/>
        <v>0</v>
      </c>
      <c r="AR24" s="19">
        <f t="shared" si="5"/>
        <v>0</v>
      </c>
      <c r="AS24" s="50">
        <f t="shared" si="6"/>
        <v>0</v>
      </c>
      <c r="AT24" s="50">
        <f t="shared" si="6"/>
        <v>0</v>
      </c>
      <c r="AU24" s="50">
        <f t="shared" si="6"/>
        <v>0</v>
      </c>
      <c r="AY24">
        <f t="shared" si="7"/>
        <v>128</v>
      </c>
    </row>
    <row r="25" spans="1:51">
      <c r="A25" s="1">
        <v>44477</v>
      </c>
      <c r="B25" s="56">
        <v>1600</v>
      </c>
      <c r="C25" s="55" cm="1">
        <f t="array" ref="C25">(SUM(VLOOKUP(H25:AE25,$AL$4:$AN$44,2,FALSE))+AF25*10)*IF(AJ25="是",$AW$4,$AW$3)</f>
        <v>1440</v>
      </c>
      <c r="D25" s="18">
        <f>SUM($B$4:B25)-SUM($C$4:C25)</f>
        <v>9082</v>
      </c>
      <c r="E25" s="55" cm="1">
        <f t="array" ref="E25">SUM(VLOOKUP(H25:AE25,$AL$4:$AN$44,3,FALSE))</f>
        <v>510</v>
      </c>
      <c r="F25" s="98">
        <f>SUM($E$4:E25)+SUM($G$4:G25)</f>
        <v>10015</v>
      </c>
      <c r="G25" s="56">
        <v>0</v>
      </c>
      <c r="H25" s="79" t="s">
        <v>18</v>
      </c>
      <c r="I25" s="77" t="s">
        <v>12</v>
      </c>
      <c r="J25" s="79" t="s">
        <v>18</v>
      </c>
      <c r="K25" s="79" t="s">
        <v>18</v>
      </c>
      <c r="L25" s="79" t="s">
        <v>18</v>
      </c>
      <c r="M25" s="79" t="s">
        <v>18</v>
      </c>
      <c r="N25" s="7" t="s">
        <v>23</v>
      </c>
      <c r="O25" s="7" t="s">
        <v>23</v>
      </c>
      <c r="P25" s="79" t="s">
        <v>18</v>
      </c>
      <c r="Q25" s="79" t="s">
        <v>18</v>
      </c>
      <c r="R25" s="79" t="s">
        <v>18</v>
      </c>
      <c r="S25" s="79" t="s">
        <v>18</v>
      </c>
      <c r="T25" s="77" t="s">
        <v>12</v>
      </c>
      <c r="U25" s="79" t="s">
        <v>18</v>
      </c>
      <c r="V25" s="7" t="s">
        <v>23</v>
      </c>
      <c r="W25" s="7" t="s">
        <v>23</v>
      </c>
      <c r="X25" t="s">
        <v>23</v>
      </c>
      <c r="Y25" t="s">
        <v>23</v>
      </c>
      <c r="Z25" t="s">
        <v>23</v>
      </c>
      <c r="AA25" t="s">
        <v>23</v>
      </c>
      <c r="AB25" t="s">
        <v>23</v>
      </c>
      <c r="AC25" t="s">
        <v>23</v>
      </c>
      <c r="AD25" s="7" t="s">
        <v>23</v>
      </c>
      <c r="AE25" s="7" t="s">
        <v>23</v>
      </c>
      <c r="AF25" s="80">
        <v>0</v>
      </c>
      <c r="AG25" s="80"/>
      <c r="AH25" s="80"/>
      <c r="AI25" s="80"/>
      <c r="AJ25" s="8" t="s">
        <v>31</v>
      </c>
      <c r="AL25" s="31" t="s">
        <v>40</v>
      </c>
      <c r="AM25" s="19">
        <v>160</v>
      </c>
      <c r="AN25" s="19">
        <v>40</v>
      </c>
      <c r="AO25" s="19">
        <f t="shared" si="1"/>
        <v>0</v>
      </c>
      <c r="AP25" s="19">
        <f t="shared" si="3"/>
        <v>0</v>
      </c>
      <c r="AQ25" s="19">
        <f t="shared" si="4"/>
        <v>0</v>
      </c>
      <c r="AR25" s="19">
        <f t="shared" si="5"/>
        <v>0</v>
      </c>
      <c r="AS25" s="50">
        <f t="shared" si="6"/>
        <v>0</v>
      </c>
      <c r="AT25" s="50">
        <f t="shared" si="6"/>
        <v>0</v>
      </c>
      <c r="AU25" s="50">
        <f t="shared" si="6"/>
        <v>0</v>
      </c>
      <c r="AY25">
        <f t="shared" si="7"/>
        <v>128</v>
      </c>
    </row>
    <row r="26" spans="1:51">
      <c r="A26" s="1">
        <v>44478</v>
      </c>
      <c r="B26" s="56">
        <v>1600</v>
      </c>
      <c r="C26" s="55" cm="1">
        <f t="array" ref="C26">(SUM(VLOOKUP(H26:AE26,$AL$4:$AN$44,2,FALSE))+AF26*10)*IF(AJ26="是",$AW$4,$AW$3)</f>
        <v>1648</v>
      </c>
      <c r="D26" s="18">
        <f>SUM($B$4:B26)-SUM($C$4:C26)</f>
        <v>9034</v>
      </c>
      <c r="E26" s="55" cm="1">
        <f t="array" ref="E26">SUM(VLOOKUP(H26:AE26,$AL$4:$AN$44,3,FALSE))</f>
        <v>665</v>
      </c>
      <c r="F26" s="98">
        <f>SUM($E$4:E26)+SUM($G$4:G26)</f>
        <v>10680</v>
      </c>
      <c r="G26" s="56">
        <v>0</v>
      </c>
      <c r="H26" s="79" t="s">
        <v>18</v>
      </c>
      <c r="I26" s="79" t="s">
        <v>18</v>
      </c>
      <c r="J26" s="82" t="s">
        <v>47</v>
      </c>
      <c r="K26" s="79" t="s">
        <v>18</v>
      </c>
      <c r="L26" s="79" t="s">
        <v>18</v>
      </c>
      <c r="M26" s="79" t="s">
        <v>18</v>
      </c>
      <c r="N26" s="84" t="s">
        <v>19</v>
      </c>
      <c r="O26" s="84" t="s">
        <v>19</v>
      </c>
      <c r="P26" s="79" t="s">
        <v>18</v>
      </c>
      <c r="Q26" s="79" t="s">
        <v>18</v>
      </c>
      <c r="R26" s="82" t="s">
        <v>47</v>
      </c>
      <c r="S26" s="84" t="s">
        <v>19</v>
      </c>
      <c r="T26" s="84" t="s">
        <v>19</v>
      </c>
      <c r="U26" s="84" t="s">
        <v>19</v>
      </c>
      <c r="V26" s="84" t="s">
        <v>19</v>
      </c>
      <c r="W26" s="84" t="s">
        <v>19</v>
      </c>
      <c r="X26" t="s">
        <v>23</v>
      </c>
      <c r="Y26" t="s">
        <v>23</v>
      </c>
      <c r="Z26" t="s">
        <v>23</v>
      </c>
      <c r="AA26" t="s">
        <v>23</v>
      </c>
      <c r="AB26" t="s">
        <v>23</v>
      </c>
      <c r="AC26" t="s">
        <v>23</v>
      </c>
      <c r="AD26" s="7" t="s">
        <v>23</v>
      </c>
      <c r="AE26" s="7" t="s">
        <v>23</v>
      </c>
      <c r="AF26" s="80">
        <v>1</v>
      </c>
      <c r="AG26" s="80">
        <v>1</v>
      </c>
      <c r="AH26" s="80"/>
      <c r="AI26" s="80"/>
      <c r="AJ26" s="8" t="s">
        <v>31</v>
      </c>
      <c r="AL26" s="31" t="s">
        <v>38</v>
      </c>
      <c r="AM26" s="19">
        <v>150</v>
      </c>
      <c r="AN26" s="19">
        <v>35</v>
      </c>
      <c r="AO26" s="19">
        <f t="shared" si="1"/>
        <v>0</v>
      </c>
      <c r="AP26" s="19">
        <f t="shared" si="3"/>
        <v>0</v>
      </c>
      <c r="AQ26" s="19">
        <f t="shared" si="4"/>
        <v>0</v>
      </c>
      <c r="AR26" s="19">
        <f t="shared" si="5"/>
        <v>0</v>
      </c>
      <c r="AS26" s="50">
        <f t="shared" si="6"/>
        <v>0</v>
      </c>
      <c r="AT26" s="50">
        <f t="shared" si="6"/>
        <v>0</v>
      </c>
      <c r="AU26" s="50">
        <f t="shared" si="6"/>
        <v>0</v>
      </c>
      <c r="AY26">
        <f t="shared" si="7"/>
        <v>120</v>
      </c>
    </row>
    <row r="27" spans="1:51">
      <c r="A27" s="1">
        <v>44479</v>
      </c>
      <c r="B27" s="56">
        <v>1600</v>
      </c>
      <c r="C27" s="55" cm="1">
        <f t="array" ref="C27">(SUM(VLOOKUP(H27:AE27,$AL$4:$AN$44,2,FALSE))+AF27*10)*IF(AJ27="是",$AW$4,$AW$3)</f>
        <v>1704</v>
      </c>
      <c r="D27" s="18">
        <f>SUM($B$4:B27)-SUM($C$4:C27)</f>
        <v>8930</v>
      </c>
      <c r="E27" s="55" cm="1">
        <f t="array" ref="E27">SUM(VLOOKUP(H27:AE27,$AL$4:$AN$44,3,FALSE))</f>
        <v>585</v>
      </c>
      <c r="F27" s="98">
        <f>SUM($E$4:E27)+SUM($G$4:G27)</f>
        <v>11265</v>
      </c>
      <c r="G27" s="56">
        <v>0</v>
      </c>
      <c r="H27" s="84" t="s">
        <v>19</v>
      </c>
      <c r="I27" s="84" t="s">
        <v>19</v>
      </c>
      <c r="J27" s="84" t="s">
        <v>19</v>
      </c>
      <c r="K27" s="79" t="s">
        <v>18</v>
      </c>
      <c r="L27" s="79" t="s">
        <v>18</v>
      </c>
      <c r="M27" s="79" t="s">
        <v>18</v>
      </c>
      <c r="N27" s="7" t="s">
        <v>23</v>
      </c>
      <c r="O27" s="7" t="s">
        <v>23</v>
      </c>
      <c r="P27" s="84" t="s">
        <v>19</v>
      </c>
      <c r="Q27" s="84" t="s">
        <v>19</v>
      </c>
      <c r="R27" s="84" t="s">
        <v>19</v>
      </c>
      <c r="S27" s="84" t="s">
        <v>19</v>
      </c>
      <c r="T27" s="84" t="s">
        <v>19</v>
      </c>
      <c r="U27" s="84" t="s">
        <v>19</v>
      </c>
      <c r="V27" s="7" t="s">
        <v>23</v>
      </c>
      <c r="W27" s="7" t="s">
        <v>23</v>
      </c>
      <c r="X27" t="s">
        <v>23</v>
      </c>
      <c r="Y27" t="s">
        <v>23</v>
      </c>
      <c r="Z27" t="s">
        <v>23</v>
      </c>
      <c r="AA27" t="s">
        <v>23</v>
      </c>
      <c r="AB27" t="s">
        <v>23</v>
      </c>
      <c r="AC27" t="s">
        <v>23</v>
      </c>
      <c r="AD27" s="7" t="s">
        <v>23</v>
      </c>
      <c r="AE27" s="7" t="s">
        <v>23</v>
      </c>
      <c r="AF27" s="80">
        <v>0</v>
      </c>
      <c r="AG27" s="80"/>
      <c r="AH27" s="80"/>
      <c r="AI27" s="80"/>
      <c r="AJ27" s="8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6"/>
        <v>0</v>
      </c>
      <c r="AT27" s="50">
        <f t="shared" si="6"/>
        <v>0</v>
      </c>
      <c r="AU27" s="50">
        <f t="shared" si="6"/>
        <v>0</v>
      </c>
      <c r="AY27">
        <f t="shared" si="7"/>
        <v>0</v>
      </c>
    </row>
    <row r="28" spans="1:51" ht="15.75" thickBot="1">
      <c r="A28" s="1">
        <v>44480</v>
      </c>
      <c r="B28" s="55">
        <v>1600</v>
      </c>
      <c r="C28" s="55" cm="1">
        <f t="array" ref="C28">(SUM(VLOOKUP(H28:AE28,$AL$4:$AN$44,2,FALSE))+AF28*10)*IF(AJ28="是",$AW$4,$AW$3)</f>
        <v>1712</v>
      </c>
      <c r="D28" s="57">
        <f>SUM($B$4:B28)-SUM($C$4:C28)</f>
        <v>8818</v>
      </c>
      <c r="E28" s="55" cm="1">
        <f t="array" ref="E28">SUM(VLOOKUP(H28:AE28,$AL$4:$AN$44,3,FALSE))</f>
        <v>590</v>
      </c>
      <c r="F28" s="98">
        <f>SUM($E$4:E28)+SUM($G$4:G28)</f>
        <v>12055</v>
      </c>
      <c r="G28" s="55">
        <v>200</v>
      </c>
      <c r="H28" s="79" t="s">
        <v>18</v>
      </c>
      <c r="I28" s="79" t="s">
        <v>18</v>
      </c>
      <c r="J28" s="79" t="s">
        <v>18</v>
      </c>
      <c r="K28" s="79" t="s">
        <v>18</v>
      </c>
      <c r="L28" s="79" t="s">
        <v>18</v>
      </c>
      <c r="M28" s="79" t="s">
        <v>18</v>
      </c>
      <c r="N28" s="7" t="s">
        <v>23</v>
      </c>
      <c r="O28" s="7" t="s">
        <v>23</v>
      </c>
      <c r="P28" s="84" t="s">
        <v>19</v>
      </c>
      <c r="Q28" s="84" t="s">
        <v>19</v>
      </c>
      <c r="R28" s="85" t="s">
        <v>20</v>
      </c>
      <c r="S28" s="85" t="s">
        <v>20</v>
      </c>
      <c r="T28" s="85" t="s">
        <v>20</v>
      </c>
      <c r="U28" s="85" t="s">
        <v>20</v>
      </c>
      <c r="V28" s="7" t="s">
        <v>23</v>
      </c>
      <c r="W28" s="7" t="s">
        <v>23</v>
      </c>
      <c r="X28" t="s">
        <v>23</v>
      </c>
      <c r="Y28" t="s">
        <v>23</v>
      </c>
      <c r="Z28" t="s">
        <v>23</v>
      </c>
      <c r="AA28" t="s">
        <v>23</v>
      </c>
      <c r="AB28" t="s">
        <v>23</v>
      </c>
      <c r="AC28" t="s">
        <v>23</v>
      </c>
      <c r="AD28" s="7" t="s">
        <v>23</v>
      </c>
      <c r="AE28" s="7" t="s">
        <v>23</v>
      </c>
      <c r="AF28" s="80">
        <v>0</v>
      </c>
      <c r="AG28" s="80"/>
      <c r="AH28" s="80"/>
      <c r="AI28" s="80"/>
      <c r="AJ28" s="8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5</v>
      </c>
      <c r="AP28" s="19">
        <f>COUNTIF($P$4:$W$94,AL28)</f>
        <v>9</v>
      </c>
      <c r="AQ28" s="19">
        <f>COUNTIF($X$4:$AE$94,AL28)</f>
        <v>0</v>
      </c>
      <c r="AR28" s="19">
        <f>AO28+AP28+AQ28</f>
        <v>14</v>
      </c>
      <c r="AS28" s="50">
        <f t="shared" si="6"/>
        <v>0</v>
      </c>
      <c r="AT28" s="50">
        <f t="shared" si="6"/>
        <v>0</v>
      </c>
      <c r="AU28" s="50">
        <f t="shared" si="6"/>
        <v>0</v>
      </c>
      <c r="AY28">
        <f t="shared" si="7"/>
        <v>-160</v>
      </c>
    </row>
    <row r="29" spans="1:51">
      <c r="A29" s="1">
        <v>44481</v>
      </c>
      <c r="B29" s="55">
        <v>1600</v>
      </c>
      <c r="C29" s="55" cm="1">
        <f t="array" ref="C29">(SUM(VLOOKUP(H29:AE29,$AL$4:$AN$44,2,FALSE))+AF29*10)*IF(AJ29="是",$AW$4,$AW$3)</f>
        <v>1504</v>
      </c>
      <c r="D29" s="57">
        <f>SUM($B$4:B29)-SUM($C$4:C29)</f>
        <v>8914</v>
      </c>
      <c r="E29" s="55" cm="1">
        <f t="array" ref="E29">SUM(VLOOKUP(H29:AE29,$AL$4:$AN$44,3,FALSE))</f>
        <v>560</v>
      </c>
      <c r="F29" s="98">
        <f>SUM($E$4:E29)+SUM($G$4:G29)</f>
        <v>12715</v>
      </c>
      <c r="G29" s="55">
        <v>100</v>
      </c>
      <c r="H29" s="79" t="s">
        <v>18</v>
      </c>
      <c r="I29" s="79" t="s">
        <v>18</v>
      </c>
      <c r="J29" s="77" t="s">
        <v>12</v>
      </c>
      <c r="K29" s="79" t="s">
        <v>18</v>
      </c>
      <c r="L29" s="79" t="s">
        <v>18</v>
      </c>
      <c r="M29" s="79" t="s">
        <v>7</v>
      </c>
      <c r="N29" s="7" t="s">
        <v>23</v>
      </c>
      <c r="O29" s="7" t="s">
        <v>23</v>
      </c>
      <c r="P29" s="85" t="s">
        <v>20</v>
      </c>
      <c r="Q29" s="77" t="s">
        <v>12</v>
      </c>
      <c r="R29" s="85" t="s">
        <v>20</v>
      </c>
      <c r="S29" s="85" t="s">
        <v>20</v>
      </c>
      <c r="T29" s="85" t="s">
        <v>20</v>
      </c>
      <c r="U29" s="85" t="s">
        <v>20</v>
      </c>
      <c r="V29" s="7" t="s">
        <v>23</v>
      </c>
      <c r="W29" s="7" t="s">
        <v>23</v>
      </c>
      <c r="X29" t="s">
        <v>23</v>
      </c>
      <c r="Y29" t="s">
        <v>23</v>
      </c>
      <c r="Z29" t="s">
        <v>23</v>
      </c>
      <c r="AA29" t="s">
        <v>23</v>
      </c>
      <c r="AB29" t="s">
        <v>23</v>
      </c>
      <c r="AC29" t="s">
        <v>23</v>
      </c>
      <c r="AD29" s="7" t="s">
        <v>23</v>
      </c>
      <c r="AE29" s="7" t="s">
        <v>23</v>
      </c>
      <c r="AF29" s="80">
        <v>0</v>
      </c>
      <c r="AG29" s="80"/>
      <c r="AH29" s="80"/>
      <c r="AI29" s="80"/>
      <c r="AJ29" s="8" t="s">
        <v>31</v>
      </c>
      <c r="AL29" s="19"/>
      <c r="AM29" s="19"/>
      <c r="AN29" s="19"/>
      <c r="AQ29" t="s">
        <v>60</v>
      </c>
      <c r="AR29">
        <f>SUM(AR4:AR28)</f>
        <v>1025</v>
      </c>
      <c r="AT29" t="s">
        <v>61</v>
      </c>
      <c r="AU29" s="4">
        <f>SUM(AS4:AU28)+7000</f>
        <v>61455</v>
      </c>
    </row>
    <row r="30" spans="1:51">
      <c r="A30" s="1">
        <v>44482</v>
      </c>
      <c r="B30" s="55">
        <v>1600</v>
      </c>
      <c r="C30" s="55" cm="1">
        <f t="array" ref="C30">(SUM(VLOOKUP(H30:AE30,$AL$4:$AN$44,2,FALSE))+AF30*10)*IF(AJ30="是",$AW$4,$AW$3)</f>
        <v>1680</v>
      </c>
      <c r="D30" s="57">
        <f>SUM($B$4:B30)-SUM($C$4:C30)</f>
        <v>8834</v>
      </c>
      <c r="E30" s="55" cm="1">
        <f t="array" ref="E30">SUM(VLOOKUP(H30:AE30,$AL$4:$AN$44,3,FALSE))</f>
        <v>1030</v>
      </c>
      <c r="F30" s="98">
        <f>SUM($E$4:E30)+SUM($G$4:G30)</f>
        <v>13945</v>
      </c>
      <c r="G30" s="55">
        <v>200</v>
      </c>
      <c r="H30" s="79" t="s">
        <v>18</v>
      </c>
      <c r="I30" s="79" t="s">
        <v>18</v>
      </c>
      <c r="J30" s="79" t="s">
        <v>18</v>
      </c>
      <c r="K30" s="79" t="s">
        <v>18</v>
      </c>
      <c r="L30" s="79" t="s">
        <v>18</v>
      </c>
      <c r="M30" s="77" t="s">
        <v>12</v>
      </c>
      <c r="N30" s="7" t="s">
        <v>23</v>
      </c>
      <c r="O30" s="7" t="s">
        <v>23</v>
      </c>
      <c r="P30" s="85" t="s">
        <v>20</v>
      </c>
      <c r="Q30" s="85" t="s">
        <v>20</v>
      </c>
      <c r="R30" s="85" t="s">
        <v>20</v>
      </c>
      <c r="S30" s="86" t="s">
        <v>41</v>
      </c>
      <c r="T30" s="85" t="s">
        <v>20</v>
      </c>
      <c r="U30" s="85" t="s">
        <v>20</v>
      </c>
      <c r="V30" s="7" t="s">
        <v>23</v>
      </c>
      <c r="W30" s="7" t="s">
        <v>23</v>
      </c>
      <c r="X30" t="s">
        <v>23</v>
      </c>
      <c r="Y30" t="s">
        <v>23</v>
      </c>
      <c r="Z30" t="s">
        <v>23</v>
      </c>
      <c r="AA30" t="s">
        <v>23</v>
      </c>
      <c r="AB30" t="s">
        <v>23</v>
      </c>
      <c r="AC30" t="s">
        <v>23</v>
      </c>
      <c r="AD30" s="7" t="s">
        <v>23</v>
      </c>
      <c r="AE30" s="7" t="s">
        <v>23</v>
      </c>
      <c r="AF30" s="80">
        <v>0</v>
      </c>
      <c r="AG30" s="80"/>
      <c r="AH30" s="80"/>
      <c r="AI30" s="80"/>
      <c r="AJ30" s="8" t="s">
        <v>31</v>
      </c>
      <c r="AL30" s="19"/>
      <c r="AM30" s="19"/>
      <c r="AN30" s="19"/>
    </row>
    <row r="31" spans="1:51">
      <c r="A31" s="1">
        <v>44483</v>
      </c>
      <c r="B31" s="55">
        <v>1600</v>
      </c>
      <c r="C31" s="55" cm="1">
        <f t="array" ref="C31">(SUM(VLOOKUP(H31:AE31,$AL$4:$AN$44,2,FALSE))+AF31*10)*IF(AJ31="是",$AW$4,$AW$3)</f>
        <v>1584</v>
      </c>
      <c r="D31" s="57">
        <f>SUM($B$4:B31)-SUM($C$4:C31)</f>
        <v>8850</v>
      </c>
      <c r="E31" s="55" cm="1">
        <f t="array" ref="E31">SUM(VLOOKUP(H31:AE31,$AL$4:$AN$44,3,FALSE))</f>
        <v>555</v>
      </c>
      <c r="F31" s="98">
        <f>SUM($E$4:E31)+SUM($G$4:G31)</f>
        <v>14500</v>
      </c>
      <c r="G31" s="55">
        <v>0</v>
      </c>
      <c r="H31" s="79" t="s">
        <v>18</v>
      </c>
      <c r="I31" s="79" t="s">
        <v>18</v>
      </c>
      <c r="J31" s="79" t="s">
        <v>18</v>
      </c>
      <c r="K31" s="79" t="s">
        <v>18</v>
      </c>
      <c r="L31" s="79" t="s">
        <v>18</v>
      </c>
      <c r="M31" s="79" t="s">
        <v>18</v>
      </c>
      <c r="N31" s="7" t="s">
        <v>23</v>
      </c>
      <c r="O31" s="7" t="s">
        <v>23</v>
      </c>
      <c r="P31" s="85" t="s">
        <v>20</v>
      </c>
      <c r="Q31" s="84" t="s">
        <v>19</v>
      </c>
      <c r="R31" s="84" t="s">
        <v>19</v>
      </c>
      <c r="S31" s="77" t="s">
        <v>12</v>
      </c>
      <c r="T31" s="84" t="s">
        <v>19</v>
      </c>
      <c r="U31" s="84" t="s">
        <v>19</v>
      </c>
      <c r="V31" s="7" t="s">
        <v>23</v>
      </c>
      <c r="W31" s="7" t="s">
        <v>23</v>
      </c>
      <c r="X31" t="s">
        <v>23</v>
      </c>
      <c r="Y31" t="s">
        <v>23</v>
      </c>
      <c r="Z31" t="s">
        <v>23</v>
      </c>
      <c r="AA31" t="s">
        <v>23</v>
      </c>
      <c r="AB31" t="s">
        <v>23</v>
      </c>
      <c r="AC31" t="s">
        <v>23</v>
      </c>
      <c r="AD31" s="7" t="s">
        <v>23</v>
      </c>
      <c r="AE31" s="7" t="s">
        <v>23</v>
      </c>
      <c r="AF31" s="80">
        <v>0</v>
      </c>
      <c r="AG31" s="80"/>
      <c r="AH31" s="80"/>
      <c r="AI31" s="80"/>
      <c r="AJ31" s="8" t="s">
        <v>31</v>
      </c>
      <c r="AL31" s="19"/>
      <c r="AM31" s="19"/>
      <c r="AN31" s="19"/>
    </row>
    <row r="32" spans="1:51">
      <c r="A32" s="1">
        <v>44484</v>
      </c>
      <c r="B32" s="55">
        <v>1600</v>
      </c>
      <c r="C32" s="55" cm="1">
        <f t="array" ref="C32">(SUM(VLOOKUP(H32:AE32,$AL$4:$AN$44,2,FALSE))+AF32*10)*IF(AJ32="是",$AW$4,$AW$3)</f>
        <v>1704</v>
      </c>
      <c r="D32" s="57">
        <f>SUM($B$4:B32)-SUM($C$4:C32)</f>
        <v>8746</v>
      </c>
      <c r="E32" s="55" cm="1">
        <f t="array" ref="E32">SUM(VLOOKUP(H32:AE32,$AL$4:$AN$44,3,FALSE))</f>
        <v>585</v>
      </c>
      <c r="F32" s="98">
        <f>SUM($E$4:E32)+SUM($G$4:G32)</f>
        <v>15085</v>
      </c>
      <c r="G32" s="55">
        <v>0</v>
      </c>
      <c r="H32" s="79" t="s">
        <v>18</v>
      </c>
      <c r="I32" s="79" t="s">
        <v>18</v>
      </c>
      <c r="J32" s="79" t="s">
        <v>18</v>
      </c>
      <c r="K32" s="84" t="s">
        <v>19</v>
      </c>
      <c r="L32" s="84" t="s">
        <v>19</v>
      </c>
      <c r="M32" s="84" t="s">
        <v>19</v>
      </c>
      <c r="N32" s="7" t="s">
        <v>23</v>
      </c>
      <c r="O32" s="7" t="s">
        <v>23</v>
      </c>
      <c r="P32" s="84" t="s">
        <v>19</v>
      </c>
      <c r="Q32" s="84" t="s">
        <v>19</v>
      </c>
      <c r="R32" s="84" t="s">
        <v>19</v>
      </c>
      <c r="S32" s="84" t="s">
        <v>19</v>
      </c>
      <c r="T32" s="84" t="s">
        <v>19</v>
      </c>
      <c r="U32" s="84" t="s">
        <v>19</v>
      </c>
      <c r="V32" s="7" t="s">
        <v>23</v>
      </c>
      <c r="W32" s="7" t="s">
        <v>23</v>
      </c>
      <c r="X32" t="s">
        <v>23</v>
      </c>
      <c r="Y32" t="s">
        <v>23</v>
      </c>
      <c r="Z32" t="s">
        <v>23</v>
      </c>
      <c r="AA32" t="s">
        <v>23</v>
      </c>
      <c r="AB32" t="s">
        <v>23</v>
      </c>
      <c r="AC32" t="s">
        <v>23</v>
      </c>
      <c r="AD32" s="7" t="s">
        <v>23</v>
      </c>
      <c r="AE32" s="7" t="s">
        <v>23</v>
      </c>
      <c r="AF32" s="80">
        <v>0</v>
      </c>
      <c r="AG32" s="80"/>
      <c r="AH32" s="80"/>
      <c r="AI32" s="80"/>
      <c r="AJ32" s="8" t="s">
        <v>31</v>
      </c>
      <c r="AL32" s="19"/>
      <c r="AM32" s="19"/>
      <c r="AN32" s="19"/>
    </row>
    <row r="33" spans="1:41">
      <c r="A33" s="1">
        <v>44485</v>
      </c>
      <c r="B33" s="55">
        <v>1600</v>
      </c>
      <c r="C33" s="55" cm="1">
        <f t="array" ref="C33">(SUM(VLOOKUP(H33:AE33,$AL$4:$AN$44,2,FALSE))+AF33*10)*IF(AJ33="是",$AW$4,$AW$3)</f>
        <v>1728</v>
      </c>
      <c r="D33" s="57">
        <f>SUM($B$4:B33)-SUM($C$4:C33)</f>
        <v>8618</v>
      </c>
      <c r="E33" s="55" cm="1">
        <f t="array" ref="E33">SUM(VLOOKUP(H33:AE33,$AL$4:$AN$44,3,FALSE))</f>
        <v>600</v>
      </c>
      <c r="F33" s="98">
        <f>SUM($E$4:E33)+SUM($G$4:G33)</f>
        <v>15685</v>
      </c>
      <c r="G33" s="55">
        <v>0</v>
      </c>
      <c r="H33" s="84" t="s">
        <v>19</v>
      </c>
      <c r="I33" s="84" t="s">
        <v>19</v>
      </c>
      <c r="J33" s="84" t="s">
        <v>19</v>
      </c>
      <c r="K33" s="84" t="s">
        <v>19</v>
      </c>
      <c r="L33" s="84" t="s">
        <v>19</v>
      </c>
      <c r="M33" s="84" t="s">
        <v>19</v>
      </c>
      <c r="N33" s="7" t="s">
        <v>23</v>
      </c>
      <c r="O33" s="7" t="s">
        <v>23</v>
      </c>
      <c r="P33" s="84" t="s">
        <v>19</v>
      </c>
      <c r="Q33" s="84" t="s">
        <v>19</v>
      </c>
      <c r="R33" s="84" t="s">
        <v>19</v>
      </c>
      <c r="S33" s="84" t="s">
        <v>19</v>
      </c>
      <c r="T33" s="84" t="s">
        <v>19</v>
      </c>
      <c r="U33" s="84" t="s">
        <v>19</v>
      </c>
      <c r="V33" s="7" t="s">
        <v>23</v>
      </c>
      <c r="W33" s="7" t="s">
        <v>23</v>
      </c>
      <c r="X33" t="s">
        <v>23</v>
      </c>
      <c r="Y33" t="s">
        <v>23</v>
      </c>
      <c r="Z33" t="s">
        <v>23</v>
      </c>
      <c r="AA33" t="s">
        <v>23</v>
      </c>
      <c r="AB33" t="s">
        <v>23</v>
      </c>
      <c r="AC33" t="s">
        <v>23</v>
      </c>
      <c r="AD33" s="7" t="s">
        <v>23</v>
      </c>
      <c r="AE33" s="7" t="s">
        <v>23</v>
      </c>
      <c r="AF33" s="80">
        <v>0</v>
      </c>
      <c r="AG33" s="80"/>
      <c r="AH33" s="80"/>
      <c r="AI33" s="80"/>
      <c r="AJ33" s="8" t="s">
        <v>31</v>
      </c>
      <c r="AL33" s="19"/>
      <c r="AM33" s="19"/>
      <c r="AN33" s="19"/>
    </row>
    <row r="34" spans="1:41">
      <c r="A34" s="1">
        <v>44486</v>
      </c>
      <c r="B34" s="55">
        <v>1600</v>
      </c>
      <c r="C34" s="55" cm="1">
        <f t="array" ref="C34">(SUM(VLOOKUP(H34:AE34,$AL$4:$AN$44,2,FALSE))+AF34*10)*IF(AJ34="是",$AW$4,$AW$3)</f>
        <v>1728</v>
      </c>
      <c r="D34" s="57">
        <f>SUM($B$4:B34)-SUM($C$4:C34)</f>
        <v>8490</v>
      </c>
      <c r="E34" s="55" cm="1">
        <f t="array" ref="E34">SUM(VLOOKUP(H34:AE34,$AL$4:$AN$44,3,FALSE))</f>
        <v>600</v>
      </c>
      <c r="F34" s="98">
        <f>SUM($E$4:E34)+SUM($G$4:G34)</f>
        <v>16285</v>
      </c>
      <c r="G34" s="55">
        <v>0</v>
      </c>
      <c r="H34" s="84" t="s">
        <v>19</v>
      </c>
      <c r="I34" s="84" t="s">
        <v>19</v>
      </c>
      <c r="J34" s="84" t="s">
        <v>19</v>
      </c>
      <c r="K34" s="84" t="s">
        <v>19</v>
      </c>
      <c r="L34" s="84" t="s">
        <v>19</v>
      </c>
      <c r="M34" s="84" t="s">
        <v>19</v>
      </c>
      <c r="N34" s="7" t="s">
        <v>23</v>
      </c>
      <c r="O34" s="7" t="s">
        <v>23</v>
      </c>
      <c r="P34" s="84" t="s">
        <v>19</v>
      </c>
      <c r="Q34" s="84" t="s">
        <v>19</v>
      </c>
      <c r="R34" s="84" t="s">
        <v>19</v>
      </c>
      <c r="S34" s="84" t="s">
        <v>19</v>
      </c>
      <c r="T34" s="84" t="s">
        <v>19</v>
      </c>
      <c r="U34" s="84" t="s">
        <v>19</v>
      </c>
      <c r="V34" s="7" t="s">
        <v>23</v>
      </c>
      <c r="W34" s="7" t="s">
        <v>23</v>
      </c>
      <c r="X34" t="s">
        <v>23</v>
      </c>
      <c r="Y34" t="s">
        <v>23</v>
      </c>
      <c r="Z34" t="s">
        <v>23</v>
      </c>
      <c r="AA34" t="s">
        <v>23</v>
      </c>
      <c r="AB34" t="s">
        <v>23</v>
      </c>
      <c r="AC34" t="s">
        <v>23</v>
      </c>
      <c r="AD34" s="7" t="s">
        <v>23</v>
      </c>
      <c r="AE34" s="7" t="s">
        <v>23</v>
      </c>
      <c r="AF34" s="80">
        <v>0</v>
      </c>
      <c r="AG34" s="80"/>
      <c r="AH34" s="80"/>
      <c r="AI34" s="80"/>
      <c r="AJ34" s="8" t="s">
        <v>31</v>
      </c>
      <c r="AL34" s="19"/>
      <c r="AM34" s="19"/>
      <c r="AN34" s="19"/>
    </row>
    <row r="35" spans="1:41">
      <c r="A35" s="1">
        <v>44487</v>
      </c>
      <c r="B35" s="56">
        <v>1600</v>
      </c>
      <c r="C35" s="55" cm="1">
        <f t="array" ref="C35">(SUM(VLOOKUP(H35:AE35,$AL$4:$AN$44,2,FALSE))+AF35*10)*IF(AJ35="是",$AW$4,$AW$3)</f>
        <v>1624</v>
      </c>
      <c r="D35" s="18">
        <f>SUM($B$4:B35)-SUM($C$4:C35)</f>
        <v>8466</v>
      </c>
      <c r="E35" s="55" cm="1">
        <f t="array" ref="E35">SUM(VLOOKUP(H35:AE35,$AL$4:$AN$44,3,FALSE))</f>
        <v>580</v>
      </c>
      <c r="F35" s="98">
        <f>SUM($E$4:E35)+SUM($G$4:G35)</f>
        <v>17065</v>
      </c>
      <c r="G35" s="56">
        <v>200</v>
      </c>
      <c r="H35" s="84" t="s">
        <v>19</v>
      </c>
      <c r="I35" s="84" t="s">
        <v>19</v>
      </c>
      <c r="J35" s="84" t="s">
        <v>19</v>
      </c>
      <c r="K35" s="84" t="s">
        <v>19</v>
      </c>
      <c r="L35" s="84" t="s">
        <v>19</v>
      </c>
      <c r="M35" s="77" t="s">
        <v>12</v>
      </c>
      <c r="N35" s="7" t="s">
        <v>23</v>
      </c>
      <c r="O35" s="7" t="s">
        <v>23</v>
      </c>
      <c r="P35" s="84" t="s">
        <v>19</v>
      </c>
      <c r="Q35" s="84" t="s">
        <v>19</v>
      </c>
      <c r="R35" s="84" t="s">
        <v>19</v>
      </c>
      <c r="S35" s="84" t="s">
        <v>19</v>
      </c>
      <c r="T35" s="84" t="s">
        <v>19</v>
      </c>
      <c r="U35" s="84" t="s">
        <v>19</v>
      </c>
      <c r="V35" s="7" t="s">
        <v>23</v>
      </c>
      <c r="W35" s="7" t="s">
        <v>23</v>
      </c>
      <c r="X35" t="s">
        <v>23</v>
      </c>
      <c r="Y35" t="s">
        <v>23</v>
      </c>
      <c r="Z35" t="s">
        <v>23</v>
      </c>
      <c r="AA35" t="s">
        <v>23</v>
      </c>
      <c r="AB35" t="s">
        <v>23</v>
      </c>
      <c r="AC35" t="s">
        <v>23</v>
      </c>
      <c r="AD35" s="7" t="s">
        <v>23</v>
      </c>
      <c r="AE35" s="7" t="s">
        <v>23</v>
      </c>
      <c r="AF35" s="80">
        <v>0</v>
      </c>
      <c r="AG35" s="80"/>
      <c r="AH35" s="80"/>
      <c r="AI35" s="80"/>
      <c r="AJ35" s="8" t="s">
        <v>31</v>
      </c>
      <c r="AL35" s="19"/>
      <c r="AM35" s="19"/>
      <c r="AN35" s="19"/>
    </row>
    <row r="36" spans="1:41">
      <c r="A36" s="1">
        <v>44488</v>
      </c>
      <c r="B36" s="56">
        <v>1600</v>
      </c>
      <c r="C36" s="55" cm="1">
        <f t="array" ref="C36">(SUM(VLOOKUP(H36:AE36,$AL$4:$AN$44,2,FALSE))+AF36*10)*IF(AJ36="是",$AW$4,$AW$3)</f>
        <v>1712</v>
      </c>
      <c r="D36" s="18">
        <f>SUM($B$4:B36)-SUM($C$4:C36)</f>
        <v>8354</v>
      </c>
      <c r="E36" s="55" cm="1">
        <f t="array" ref="E36">SUM(VLOOKUP(H36:AE36,$AL$4:$AN$44,3,FALSE))</f>
        <v>650</v>
      </c>
      <c r="F36" s="98">
        <f>SUM($E$4:E36)+SUM($G$4:G36)</f>
        <v>17815</v>
      </c>
      <c r="G36" s="56">
        <v>100</v>
      </c>
      <c r="H36" s="84" t="s">
        <v>19</v>
      </c>
      <c r="I36" s="84" t="s">
        <v>19</v>
      </c>
      <c r="J36" s="84" t="s">
        <v>19</v>
      </c>
      <c r="K36" s="84" t="s">
        <v>19</v>
      </c>
      <c r="L36" s="84" t="s">
        <v>19</v>
      </c>
      <c r="M36" s="84" t="s">
        <v>19</v>
      </c>
      <c r="N36" s="7" t="s">
        <v>23</v>
      </c>
      <c r="O36" s="7" t="s">
        <v>23</v>
      </c>
      <c r="P36" s="84" t="s">
        <v>19</v>
      </c>
      <c r="Q36" s="82" t="s">
        <v>47</v>
      </c>
      <c r="R36" s="84" t="s">
        <v>19</v>
      </c>
      <c r="S36" s="84" t="s">
        <v>19</v>
      </c>
      <c r="T36" s="84" t="s">
        <v>19</v>
      </c>
      <c r="U36" s="84" t="s">
        <v>19</v>
      </c>
      <c r="V36" s="84" t="s">
        <v>19</v>
      </c>
      <c r="W36" s="84" t="s">
        <v>19</v>
      </c>
      <c r="X36" t="s">
        <v>23</v>
      </c>
      <c r="Y36" t="s">
        <v>23</v>
      </c>
      <c r="Z36" t="s">
        <v>23</v>
      </c>
      <c r="AA36" t="s">
        <v>23</v>
      </c>
      <c r="AB36" t="s">
        <v>23</v>
      </c>
      <c r="AC36" t="s">
        <v>23</v>
      </c>
      <c r="AD36" s="7" t="s">
        <v>23</v>
      </c>
      <c r="AE36" s="7" t="s">
        <v>23</v>
      </c>
      <c r="AF36" s="80">
        <v>0</v>
      </c>
      <c r="AG36" s="80"/>
      <c r="AH36" s="80"/>
      <c r="AI36" s="80"/>
      <c r="AJ36" s="8" t="s">
        <v>31</v>
      </c>
      <c r="AL36" s="19"/>
      <c r="AM36" s="19"/>
      <c r="AN36" s="19"/>
    </row>
    <row r="37" spans="1:41">
      <c r="A37" s="1">
        <v>44489</v>
      </c>
      <c r="B37" s="56">
        <v>1600</v>
      </c>
      <c r="C37" s="55" cm="1">
        <f t="array" ref="C37">(SUM(VLOOKUP(H37:AE37,$AL$4:$AN$44,2,FALSE))+AF37*10)*IF(AJ37="是",$AW$4,$AW$3)</f>
        <v>1624</v>
      </c>
      <c r="D37" s="18">
        <f>SUM($B$4:B37)-SUM($C$4:C37)</f>
        <v>8330</v>
      </c>
      <c r="E37" s="55" cm="1">
        <f t="array" ref="E37">SUM(VLOOKUP(H37:AE37,$AL$4:$AN$44,3,FALSE))</f>
        <v>580</v>
      </c>
      <c r="F37" s="98">
        <f>SUM($E$4:E37)+SUM($G$4:G37)</f>
        <v>18595</v>
      </c>
      <c r="G37" s="56">
        <v>200</v>
      </c>
      <c r="H37" s="84" t="s">
        <v>19</v>
      </c>
      <c r="I37" s="84" t="s">
        <v>19</v>
      </c>
      <c r="J37" s="84" t="s">
        <v>19</v>
      </c>
      <c r="K37" s="84" t="s">
        <v>19</v>
      </c>
      <c r="L37" s="84" t="s">
        <v>19</v>
      </c>
      <c r="M37" s="84" t="s">
        <v>19</v>
      </c>
      <c r="N37" s="7" t="s">
        <v>23</v>
      </c>
      <c r="O37" s="7" t="s">
        <v>23</v>
      </c>
      <c r="P37" s="84" t="s">
        <v>19</v>
      </c>
      <c r="Q37" s="84" t="s">
        <v>19</v>
      </c>
      <c r="R37" s="84" t="s">
        <v>19</v>
      </c>
      <c r="S37" s="84" t="s">
        <v>19</v>
      </c>
      <c r="T37" s="84" t="s">
        <v>19</v>
      </c>
      <c r="U37" s="77" t="s">
        <v>12</v>
      </c>
      <c r="V37" s="7" t="s">
        <v>23</v>
      </c>
      <c r="W37" s="7" t="s">
        <v>23</v>
      </c>
      <c r="X37" t="s">
        <v>23</v>
      </c>
      <c r="Y37" t="s">
        <v>23</v>
      </c>
      <c r="Z37" t="s">
        <v>23</v>
      </c>
      <c r="AA37" t="s">
        <v>23</v>
      </c>
      <c r="AB37" t="s">
        <v>23</v>
      </c>
      <c r="AC37" t="s">
        <v>23</v>
      </c>
      <c r="AD37" s="7" t="s">
        <v>23</v>
      </c>
      <c r="AE37" s="7" t="s">
        <v>23</v>
      </c>
      <c r="AF37" s="80">
        <v>0</v>
      </c>
      <c r="AG37" s="80"/>
      <c r="AH37" s="80"/>
      <c r="AI37" s="80"/>
      <c r="AJ37" s="8" t="s">
        <v>31</v>
      </c>
      <c r="AL37" s="19" t="s">
        <v>67</v>
      </c>
      <c r="AM37" s="19"/>
      <c r="AN37" s="19">
        <v>6</v>
      </c>
      <c r="AO37">
        <v>194</v>
      </c>
    </row>
    <row r="38" spans="1:41">
      <c r="A38" s="1">
        <v>44490</v>
      </c>
      <c r="B38" s="56">
        <v>1600</v>
      </c>
      <c r="C38" s="55" cm="1">
        <f t="array" ref="C38">(SUM(VLOOKUP(H38:AE38,$AL$4:$AN$44,2,FALSE))+AF38*10)*IF(AJ38="是",$AW$4,$AW$3)</f>
        <v>1560</v>
      </c>
      <c r="D38" s="18">
        <f>SUM($B$4:B38)-SUM($C$4:C38)</f>
        <v>8370</v>
      </c>
      <c r="E38" s="55" cm="1">
        <f t="array" ref="E38">SUM(VLOOKUP(H38:AE38,$AL$4:$AN$44,3,FALSE))</f>
        <v>595</v>
      </c>
      <c r="F38" s="98">
        <f>SUM($E$4:E38)+SUM($G$4:G38)</f>
        <v>19190</v>
      </c>
      <c r="G38" s="56">
        <v>0</v>
      </c>
      <c r="H38" s="84" t="s">
        <v>19</v>
      </c>
      <c r="I38" s="84" t="s">
        <v>19</v>
      </c>
      <c r="J38" s="84" t="s">
        <v>19</v>
      </c>
      <c r="K38" s="84" t="s">
        <v>19</v>
      </c>
      <c r="L38" s="84" t="s">
        <v>19</v>
      </c>
      <c r="M38" s="84" t="s">
        <v>19</v>
      </c>
      <c r="N38" s="7" t="s">
        <v>23</v>
      </c>
      <c r="O38" s="7" t="s">
        <v>23</v>
      </c>
      <c r="P38" s="84" t="s">
        <v>19</v>
      </c>
      <c r="Q38" s="84" t="s">
        <v>19</v>
      </c>
      <c r="R38" s="84" t="s">
        <v>19</v>
      </c>
      <c r="S38" s="84" t="s">
        <v>19</v>
      </c>
      <c r="T38" s="84" t="s">
        <v>19</v>
      </c>
      <c r="U38" s="82" t="s">
        <v>47</v>
      </c>
      <c r="V38" s="79" t="s">
        <v>18</v>
      </c>
      <c r="W38" s="7" t="s">
        <v>23</v>
      </c>
      <c r="X38" t="s">
        <v>23</v>
      </c>
      <c r="Y38" t="s">
        <v>23</v>
      </c>
      <c r="Z38" t="s">
        <v>23</v>
      </c>
      <c r="AA38" t="s">
        <v>23</v>
      </c>
      <c r="AB38" t="s">
        <v>23</v>
      </c>
      <c r="AC38" t="s">
        <v>23</v>
      </c>
      <c r="AD38" s="7" t="s">
        <v>23</v>
      </c>
      <c r="AE38" s="7" t="s">
        <v>23</v>
      </c>
      <c r="AF38" s="80">
        <v>0</v>
      </c>
      <c r="AG38" s="80"/>
      <c r="AH38" s="80"/>
      <c r="AI38" s="80"/>
      <c r="AJ38" s="8" t="s">
        <v>31</v>
      </c>
      <c r="AL38" s="19" t="s">
        <v>68</v>
      </c>
      <c r="AM38" s="19"/>
      <c r="AN38" s="19">
        <v>5</v>
      </c>
      <c r="AO38">
        <v>236</v>
      </c>
    </row>
    <row r="39" spans="1:41">
      <c r="A39" s="1">
        <v>44491</v>
      </c>
      <c r="B39" s="56">
        <v>1600</v>
      </c>
      <c r="C39" s="55" cm="1">
        <f t="array" ref="C39">(SUM(VLOOKUP(H39:AE39,$AL$4:$AN$44,2,FALSE))+AF39*10)*IF(AJ39="是",$AW$4,$AW$3)</f>
        <v>1552</v>
      </c>
      <c r="D39" s="18">
        <f>SUM($B$4:B39)-SUM($C$4:C39)</f>
        <v>8418</v>
      </c>
      <c r="E39" s="55" cm="1">
        <f t="array" ref="E39">SUM(VLOOKUP(H39:AE39,$AL$4:$AN$44,3,FALSE))</f>
        <v>550</v>
      </c>
      <c r="F39" s="98">
        <f>SUM($E$4:E39)+SUM($G$4:G39)</f>
        <v>19740</v>
      </c>
      <c r="G39" s="56">
        <v>0</v>
      </c>
      <c r="H39" s="84" t="s">
        <v>19</v>
      </c>
      <c r="I39" s="84" t="s">
        <v>8</v>
      </c>
      <c r="J39" s="84" t="s">
        <v>19</v>
      </c>
      <c r="K39" s="84" t="s">
        <v>19</v>
      </c>
      <c r="L39" s="77" t="s">
        <v>12</v>
      </c>
      <c r="M39" s="84" t="s">
        <v>19</v>
      </c>
      <c r="N39" s="7" t="s">
        <v>23</v>
      </c>
      <c r="O39" s="7" t="s">
        <v>23</v>
      </c>
      <c r="P39" s="79" t="s">
        <v>18</v>
      </c>
      <c r="Q39" s="79" t="s">
        <v>18</v>
      </c>
      <c r="R39" s="79" t="s">
        <v>18</v>
      </c>
      <c r="S39" s="79" t="s">
        <v>18</v>
      </c>
      <c r="T39" s="79" t="s">
        <v>18</v>
      </c>
      <c r="U39" s="79" t="s">
        <v>18</v>
      </c>
      <c r="V39" s="7" t="s">
        <v>23</v>
      </c>
      <c r="W39" s="7" t="s">
        <v>23</v>
      </c>
      <c r="X39" t="s">
        <v>23</v>
      </c>
      <c r="Y39" t="s">
        <v>23</v>
      </c>
      <c r="Z39" t="s">
        <v>23</v>
      </c>
      <c r="AA39" t="s">
        <v>23</v>
      </c>
      <c r="AB39" t="s">
        <v>23</v>
      </c>
      <c r="AC39" t="s">
        <v>23</v>
      </c>
      <c r="AD39" s="7" t="s">
        <v>23</v>
      </c>
      <c r="AE39" s="7" t="s">
        <v>23</v>
      </c>
      <c r="AF39" s="80">
        <v>0</v>
      </c>
      <c r="AG39" s="80"/>
      <c r="AH39" s="80"/>
      <c r="AI39" s="80"/>
      <c r="AJ39" s="8" t="s">
        <v>31</v>
      </c>
      <c r="AL39" s="19" t="s">
        <v>69</v>
      </c>
      <c r="AM39" s="19"/>
      <c r="AN39" s="19">
        <v>4</v>
      </c>
      <c r="AO39">
        <v>269</v>
      </c>
    </row>
    <row r="40" spans="1:41">
      <c r="A40" s="1">
        <v>44492</v>
      </c>
      <c r="B40" s="56">
        <v>1600</v>
      </c>
      <c r="C40" s="55" cm="1">
        <f t="array" ref="C40">(SUM(VLOOKUP(H40:AE40,$AL$4:$AN$44,2,FALSE))+AF40*10)*IF(AJ40="是",$AW$4,$AW$3)</f>
        <v>1568</v>
      </c>
      <c r="D40" s="18">
        <f>SUM($B$4:B40)-SUM($C$4:C40)</f>
        <v>8450</v>
      </c>
      <c r="E40" s="55" cm="1">
        <f t="array" ref="E40">SUM(VLOOKUP(H40:AE40,$AL$4:$AN$44,3,FALSE))</f>
        <v>605</v>
      </c>
      <c r="F40" s="98">
        <f>SUM($E$4:E40)+SUM($G$4:G40)</f>
        <v>20345</v>
      </c>
      <c r="G40" s="56">
        <v>0</v>
      </c>
      <c r="H40" s="84" t="s">
        <v>19</v>
      </c>
      <c r="I40" s="84" t="s">
        <v>19</v>
      </c>
      <c r="J40" s="84" t="s">
        <v>19</v>
      </c>
      <c r="K40" s="84" t="s">
        <v>19</v>
      </c>
      <c r="L40" s="84" t="s">
        <v>19</v>
      </c>
      <c r="M40" s="84" t="s">
        <v>19</v>
      </c>
      <c r="N40" s="82" t="s">
        <v>47</v>
      </c>
      <c r="O40" s="84" t="s">
        <v>19</v>
      </c>
      <c r="P40" s="79" t="s">
        <v>18</v>
      </c>
      <c r="Q40" s="79" t="s">
        <v>18</v>
      </c>
      <c r="R40" s="79" t="s">
        <v>18</v>
      </c>
      <c r="S40" s="77" t="s">
        <v>12</v>
      </c>
      <c r="T40" s="79" t="s">
        <v>18</v>
      </c>
      <c r="U40" s="79" t="s">
        <v>18</v>
      </c>
      <c r="V40" s="7" t="s">
        <v>23</v>
      </c>
      <c r="W40" s="7" t="s">
        <v>23</v>
      </c>
      <c r="X40" t="s">
        <v>23</v>
      </c>
      <c r="Y40" t="s">
        <v>23</v>
      </c>
      <c r="Z40" t="s">
        <v>23</v>
      </c>
      <c r="AA40" t="s">
        <v>23</v>
      </c>
      <c r="AB40" t="s">
        <v>23</v>
      </c>
      <c r="AC40" t="s">
        <v>23</v>
      </c>
      <c r="AD40" s="7" t="s">
        <v>23</v>
      </c>
      <c r="AE40" s="7" t="s">
        <v>23</v>
      </c>
      <c r="AF40" s="80">
        <v>0</v>
      </c>
      <c r="AG40" s="80"/>
      <c r="AH40" s="80"/>
      <c r="AI40" s="80"/>
      <c r="AJ40" s="8" t="s">
        <v>31</v>
      </c>
      <c r="AL40" s="19" t="s">
        <v>70</v>
      </c>
      <c r="AM40" s="19"/>
      <c r="AN40" s="19">
        <v>3</v>
      </c>
      <c r="AO40">
        <v>358</v>
      </c>
    </row>
    <row r="41" spans="1:41">
      <c r="A41" s="1">
        <v>44493</v>
      </c>
      <c r="B41" s="56">
        <v>1600</v>
      </c>
      <c r="C41" s="55" cm="1">
        <f t="array" ref="C41">(SUM(VLOOKUP(H41:AE41,$AL$4:$AN$44,2,FALSE))+AF41*10)*IF(AJ41="是",$AW$4,$AW$3)</f>
        <v>1696</v>
      </c>
      <c r="D41" s="18">
        <f>SUM($B$4:B41)-SUM($C$4:C41)</f>
        <v>8354</v>
      </c>
      <c r="E41" s="55" cm="1">
        <f t="array" ref="E41">SUM(VLOOKUP(H41:AE41,$AL$4:$AN$44,3,FALSE))</f>
        <v>580</v>
      </c>
      <c r="F41" s="98">
        <f>SUM($E$4:E41)+SUM($G$4:G41)</f>
        <v>20925</v>
      </c>
      <c r="G41" s="56">
        <v>0</v>
      </c>
      <c r="H41" s="84" t="s">
        <v>19</v>
      </c>
      <c r="I41" s="84" t="s">
        <v>19</v>
      </c>
      <c r="J41" s="84" t="s">
        <v>19</v>
      </c>
      <c r="K41" s="84" t="s">
        <v>19</v>
      </c>
      <c r="L41" s="84" t="s">
        <v>19</v>
      </c>
      <c r="M41" s="84" t="s">
        <v>19</v>
      </c>
      <c r="N41" s="7" t="s">
        <v>23</v>
      </c>
      <c r="O41" s="7" t="s">
        <v>23</v>
      </c>
      <c r="P41" s="79" t="s">
        <v>18</v>
      </c>
      <c r="Q41" s="79" t="s">
        <v>18</v>
      </c>
      <c r="R41" s="79" t="s">
        <v>18</v>
      </c>
      <c r="S41" s="79" t="s">
        <v>18</v>
      </c>
      <c r="T41" s="84" t="s">
        <v>19</v>
      </c>
      <c r="U41" s="84" t="s">
        <v>19</v>
      </c>
      <c r="V41" s="7" t="s">
        <v>23</v>
      </c>
      <c r="W41" s="7" t="s">
        <v>23</v>
      </c>
      <c r="X41" t="s">
        <v>23</v>
      </c>
      <c r="Y41" t="s">
        <v>23</v>
      </c>
      <c r="Z41" t="s">
        <v>23</v>
      </c>
      <c r="AA41" t="s">
        <v>23</v>
      </c>
      <c r="AB41" t="s">
        <v>23</v>
      </c>
      <c r="AC41" t="s">
        <v>23</v>
      </c>
      <c r="AD41" s="7" t="s">
        <v>23</v>
      </c>
      <c r="AE41" s="7" t="s">
        <v>23</v>
      </c>
      <c r="AF41" s="80">
        <v>0</v>
      </c>
      <c r="AG41" s="80"/>
      <c r="AH41" s="80"/>
      <c r="AI41" s="80"/>
      <c r="AJ41" s="8" t="s">
        <v>31</v>
      </c>
      <c r="AL41" s="19"/>
      <c r="AM41" s="19"/>
      <c r="AN41" s="19"/>
      <c r="AO41">
        <f>SUM(AO37:AO40)</f>
        <v>1057</v>
      </c>
    </row>
    <row r="42" spans="1:41">
      <c r="A42" s="1">
        <v>44494</v>
      </c>
      <c r="B42" s="55">
        <v>1600</v>
      </c>
      <c r="C42" s="55" cm="1">
        <f t="array" ref="C42">(SUM(VLOOKUP(H42:AE42,$AL$4:$AN$44,2,FALSE))+AF42*10)*IF(AJ42="是",$AW$4,$AW$3)</f>
        <v>1728</v>
      </c>
      <c r="D42" s="57">
        <f>SUM($B$4:B42)-SUM($C$4:C42)</f>
        <v>8226</v>
      </c>
      <c r="E42" s="55" cm="1">
        <f t="array" ref="E42">SUM(VLOOKUP(H42:AE42,$AL$4:$AN$44,3,FALSE))</f>
        <v>600</v>
      </c>
      <c r="F42" s="98">
        <f>SUM($E$4:E42)+SUM($G$4:G42)</f>
        <v>21825</v>
      </c>
      <c r="G42" s="55">
        <v>300</v>
      </c>
      <c r="H42" s="84" t="s">
        <v>19</v>
      </c>
      <c r="I42" s="84" t="s">
        <v>19</v>
      </c>
      <c r="J42" s="84" t="s">
        <v>19</v>
      </c>
      <c r="K42" s="84" t="s">
        <v>19</v>
      </c>
      <c r="L42" s="84" t="s">
        <v>19</v>
      </c>
      <c r="M42" s="84" t="s">
        <v>19</v>
      </c>
      <c r="N42" s="7" t="s">
        <v>23</v>
      </c>
      <c r="O42" s="7" t="s">
        <v>23</v>
      </c>
      <c r="P42" s="84" t="s">
        <v>19</v>
      </c>
      <c r="Q42" s="84" t="s">
        <v>19</v>
      </c>
      <c r="R42" s="84" t="s">
        <v>19</v>
      </c>
      <c r="S42" s="84" t="s">
        <v>19</v>
      </c>
      <c r="T42" s="84" t="s">
        <v>19</v>
      </c>
      <c r="U42" s="84" t="s">
        <v>19</v>
      </c>
      <c r="V42" s="7" t="s">
        <v>23</v>
      </c>
      <c r="W42" s="7" t="s">
        <v>23</v>
      </c>
      <c r="X42" t="s">
        <v>23</v>
      </c>
      <c r="Y42" t="s">
        <v>23</v>
      </c>
      <c r="Z42" t="s">
        <v>23</v>
      </c>
      <c r="AA42" t="s">
        <v>23</v>
      </c>
      <c r="AB42" t="s">
        <v>23</v>
      </c>
      <c r="AC42" t="s">
        <v>23</v>
      </c>
      <c r="AD42" s="7" t="s">
        <v>23</v>
      </c>
      <c r="AE42" s="7" t="s">
        <v>23</v>
      </c>
      <c r="AF42" s="80">
        <v>0</v>
      </c>
      <c r="AG42" s="80"/>
      <c r="AH42" s="80"/>
      <c r="AI42" s="80"/>
      <c r="AJ42" s="8" t="s">
        <v>31</v>
      </c>
      <c r="AL42" s="19"/>
      <c r="AM42" s="19"/>
      <c r="AN42" s="19"/>
    </row>
    <row r="43" spans="1:41">
      <c r="A43" s="1">
        <v>44495</v>
      </c>
      <c r="B43" s="55">
        <v>1600</v>
      </c>
      <c r="C43" s="55" cm="1">
        <f t="array" ref="C43">(SUM(VLOOKUP(H43:AE43,$AL$4:$AN$44,2,FALSE))+AF43*10)*IF(AJ43="是",$AW$4,$AW$3)</f>
        <v>1704</v>
      </c>
      <c r="D43" s="57">
        <f>SUM($B$4:B43)-SUM($C$4:C43)</f>
        <v>8122</v>
      </c>
      <c r="E43" s="55" cm="1">
        <f t="array" ref="E43">SUM(VLOOKUP(H43:AE43,$AL$4:$AN$44,3,FALSE))</f>
        <v>600</v>
      </c>
      <c r="F43" s="98">
        <f>SUM($E$4:E43)+SUM($G$4:G43)</f>
        <v>22425</v>
      </c>
      <c r="G43" s="55">
        <v>0</v>
      </c>
      <c r="H43" s="84" t="s">
        <v>19</v>
      </c>
      <c r="I43" s="84" t="s">
        <v>19</v>
      </c>
      <c r="J43" s="84" t="s">
        <v>19</v>
      </c>
      <c r="K43" s="84" t="s">
        <v>19</v>
      </c>
      <c r="L43" s="84" t="s">
        <v>19</v>
      </c>
      <c r="M43" s="84" t="s">
        <v>19</v>
      </c>
      <c r="N43" s="7" t="s">
        <v>23</v>
      </c>
      <c r="O43" s="7" t="s">
        <v>23</v>
      </c>
      <c r="P43" s="84" t="s">
        <v>19</v>
      </c>
      <c r="Q43" s="84" t="s">
        <v>19</v>
      </c>
      <c r="R43" s="84" t="s">
        <v>19</v>
      </c>
      <c r="S43" s="84" t="s">
        <v>19</v>
      </c>
      <c r="T43" s="84" t="s">
        <v>19</v>
      </c>
      <c r="U43" s="84" t="s">
        <v>8</v>
      </c>
      <c r="V43" s="7" t="s">
        <v>23</v>
      </c>
      <c r="W43" s="7" t="s">
        <v>23</v>
      </c>
      <c r="X43" t="s">
        <v>23</v>
      </c>
      <c r="Y43" t="s">
        <v>23</v>
      </c>
      <c r="Z43" t="s">
        <v>23</v>
      </c>
      <c r="AA43" t="s">
        <v>23</v>
      </c>
      <c r="AB43" t="s">
        <v>23</v>
      </c>
      <c r="AC43" t="s">
        <v>23</v>
      </c>
      <c r="AD43" s="7" t="s">
        <v>23</v>
      </c>
      <c r="AE43" s="7" t="s">
        <v>23</v>
      </c>
      <c r="AF43" s="80">
        <v>0</v>
      </c>
      <c r="AG43" s="80"/>
      <c r="AH43" s="80"/>
      <c r="AI43" s="80"/>
      <c r="AJ43" s="8" t="s">
        <v>31</v>
      </c>
      <c r="AL43" s="19"/>
      <c r="AM43" s="19"/>
      <c r="AN43" s="19"/>
    </row>
    <row r="44" spans="1:41">
      <c r="A44" s="1">
        <v>44496</v>
      </c>
      <c r="B44" s="55">
        <v>1600</v>
      </c>
      <c r="C44" s="55" cm="1">
        <f t="array" ref="C44">(SUM(VLOOKUP(H44:AE44,$AL$4:$AN$44,2,FALSE))+AF44*10)*IF(AJ44="是",$AW$4,$AW$3)</f>
        <v>1728</v>
      </c>
      <c r="D44" s="57">
        <f>SUM($B$4:B44)-SUM($C$4:C44)</f>
        <v>7994</v>
      </c>
      <c r="E44" s="55" cm="1">
        <f t="array" ref="E44">SUM(VLOOKUP(H44:AE44,$AL$4:$AN$44,3,FALSE))</f>
        <v>600</v>
      </c>
      <c r="F44" s="98">
        <f>SUM($E$4:E44)+SUM($G$4:G44)</f>
        <v>23225</v>
      </c>
      <c r="G44" s="55">
        <v>200</v>
      </c>
      <c r="H44" s="84" t="s">
        <v>19</v>
      </c>
      <c r="I44" s="84" t="s">
        <v>19</v>
      </c>
      <c r="J44" s="84" t="s">
        <v>19</v>
      </c>
      <c r="K44" s="84" t="s">
        <v>19</v>
      </c>
      <c r="L44" s="84" t="s">
        <v>19</v>
      </c>
      <c r="M44" s="84" t="s">
        <v>19</v>
      </c>
      <c r="N44" s="7" t="s">
        <v>23</v>
      </c>
      <c r="O44" s="7" t="s">
        <v>23</v>
      </c>
      <c r="P44" s="84" t="s">
        <v>19</v>
      </c>
      <c r="Q44" s="84" t="s">
        <v>19</v>
      </c>
      <c r="R44" s="84" t="s">
        <v>19</v>
      </c>
      <c r="S44" s="84" t="s">
        <v>19</v>
      </c>
      <c r="T44" s="84" t="s">
        <v>19</v>
      </c>
      <c r="U44" s="84" t="s">
        <v>19</v>
      </c>
      <c r="V44" s="7" t="s">
        <v>23</v>
      </c>
      <c r="W44" s="7" t="s">
        <v>23</v>
      </c>
      <c r="X44" t="s">
        <v>23</v>
      </c>
      <c r="Y44" t="s">
        <v>23</v>
      </c>
      <c r="Z44" t="s">
        <v>23</v>
      </c>
      <c r="AA44" t="s">
        <v>23</v>
      </c>
      <c r="AB44" t="s">
        <v>23</v>
      </c>
      <c r="AC44" t="s">
        <v>23</v>
      </c>
      <c r="AD44" s="7" t="s">
        <v>23</v>
      </c>
      <c r="AE44" s="7" t="s">
        <v>23</v>
      </c>
      <c r="AF44" s="80">
        <v>0</v>
      </c>
      <c r="AG44" s="80"/>
      <c r="AH44" s="80"/>
      <c r="AI44" s="80"/>
      <c r="AJ44" s="8" t="s">
        <v>31</v>
      </c>
      <c r="AL44" s="19"/>
      <c r="AM44" s="19"/>
      <c r="AN44" s="19"/>
    </row>
    <row r="45" spans="1:41">
      <c r="A45" s="1">
        <v>44497</v>
      </c>
      <c r="B45" s="55">
        <v>1600</v>
      </c>
      <c r="C45" s="55" cm="1">
        <f t="array" ref="C45">(SUM(VLOOKUP(H45:AE45,$AL$4:$AN$44,2,FALSE))+AF45*10)*IF(AJ45="是",$AW$4,$AW$3)</f>
        <v>1624</v>
      </c>
      <c r="D45" s="57">
        <f>SUM($B$4:B45)-SUM($C$4:C45)</f>
        <v>7970</v>
      </c>
      <c r="E45" s="55" cm="1">
        <f t="array" ref="E45">SUM(VLOOKUP(H45:AE45,$AL$4:$AN$44,3,FALSE))</f>
        <v>580</v>
      </c>
      <c r="F45" s="98">
        <f>SUM($E$4:E45)+SUM($G$4:G45)</f>
        <v>23805</v>
      </c>
      <c r="G45" s="55">
        <v>0</v>
      </c>
      <c r="H45" s="84" t="s">
        <v>19</v>
      </c>
      <c r="I45" s="84" t="s">
        <v>19</v>
      </c>
      <c r="J45" s="84" t="s">
        <v>19</v>
      </c>
      <c r="K45" s="84" t="s">
        <v>19</v>
      </c>
      <c r="L45" s="84" t="s">
        <v>19</v>
      </c>
      <c r="M45" s="84" t="s">
        <v>19</v>
      </c>
      <c r="N45" s="7" t="s">
        <v>23</v>
      </c>
      <c r="O45" s="7" t="s">
        <v>23</v>
      </c>
      <c r="P45" s="84" t="s">
        <v>19</v>
      </c>
      <c r="Q45" s="84" t="s">
        <v>19</v>
      </c>
      <c r="R45" s="77" t="s">
        <v>12</v>
      </c>
      <c r="S45" s="84" t="s">
        <v>19</v>
      </c>
      <c r="T45" s="84" t="s">
        <v>19</v>
      </c>
      <c r="U45" s="84" t="s">
        <v>19</v>
      </c>
      <c r="V45" s="7" t="s">
        <v>23</v>
      </c>
      <c r="W45" s="7" t="s">
        <v>23</v>
      </c>
      <c r="X45" t="s">
        <v>23</v>
      </c>
      <c r="Y45" t="s">
        <v>23</v>
      </c>
      <c r="Z45" t="s">
        <v>23</v>
      </c>
      <c r="AA45" t="s">
        <v>23</v>
      </c>
      <c r="AB45" t="s">
        <v>23</v>
      </c>
      <c r="AC45" t="s">
        <v>23</v>
      </c>
      <c r="AD45" s="7" t="s">
        <v>23</v>
      </c>
      <c r="AE45" s="7" t="s">
        <v>23</v>
      </c>
      <c r="AF45" s="80">
        <v>0</v>
      </c>
      <c r="AG45" s="80"/>
      <c r="AH45" s="80"/>
      <c r="AI45" s="80"/>
      <c r="AJ45" s="8" t="s">
        <v>31</v>
      </c>
    </row>
    <row r="46" spans="1:41">
      <c r="A46" s="1">
        <v>44498</v>
      </c>
      <c r="B46" s="55">
        <v>1600</v>
      </c>
      <c r="C46" s="55" cm="1">
        <f t="array" ref="C46">(SUM(VLOOKUP(H46:AE46,$AL$4:$AN$44,2,FALSE))+AF46*10)*IF(AJ46="是",$AW$4,$AW$3)</f>
        <v>1752</v>
      </c>
      <c r="D46" s="57">
        <f>SUM($B$4:B46)-SUM($C$4:C46)</f>
        <v>7818</v>
      </c>
      <c r="E46" s="55" cm="1">
        <f t="array" ref="E46">SUM(VLOOKUP(H46:AE46,$AL$4:$AN$44,3,FALSE))</f>
        <v>615</v>
      </c>
      <c r="F46" s="98">
        <f>SUM($E$4:E46)+SUM($G$4:G46)</f>
        <v>24420</v>
      </c>
      <c r="G46" s="55">
        <v>0</v>
      </c>
      <c r="H46" s="84" t="s">
        <v>19</v>
      </c>
      <c r="I46" s="84" t="s">
        <v>19</v>
      </c>
      <c r="J46" s="84" t="s">
        <v>19</v>
      </c>
      <c r="K46" s="85" t="s">
        <v>20</v>
      </c>
      <c r="L46" s="85" t="s">
        <v>20</v>
      </c>
      <c r="M46" s="85" t="s">
        <v>20</v>
      </c>
      <c r="N46" s="7" t="s">
        <v>23</v>
      </c>
      <c r="O46" s="7" t="s">
        <v>23</v>
      </c>
      <c r="P46" s="84" t="s">
        <v>19</v>
      </c>
      <c r="Q46" s="84" t="s">
        <v>19</v>
      </c>
      <c r="R46" s="84" t="s">
        <v>19</v>
      </c>
      <c r="S46" s="84" t="s">
        <v>19</v>
      </c>
      <c r="T46" s="84" t="s">
        <v>19</v>
      </c>
      <c r="U46" s="84" t="s">
        <v>19</v>
      </c>
      <c r="V46" s="7" t="s">
        <v>23</v>
      </c>
      <c r="W46" s="7" t="s">
        <v>23</v>
      </c>
      <c r="X46" t="s">
        <v>23</v>
      </c>
      <c r="Y46" t="s">
        <v>23</v>
      </c>
      <c r="Z46" t="s">
        <v>23</v>
      </c>
      <c r="AA46" t="s">
        <v>23</v>
      </c>
      <c r="AB46" t="s">
        <v>23</v>
      </c>
      <c r="AC46" t="s">
        <v>23</v>
      </c>
      <c r="AD46" s="7" t="s">
        <v>23</v>
      </c>
      <c r="AE46" s="7" t="s">
        <v>23</v>
      </c>
      <c r="AF46" s="80">
        <v>0</v>
      </c>
      <c r="AG46" s="80"/>
      <c r="AH46" s="80"/>
      <c r="AI46" s="80"/>
      <c r="AJ46" s="8" t="s">
        <v>31</v>
      </c>
    </row>
    <row r="47" spans="1:41">
      <c r="A47" s="1">
        <v>44499</v>
      </c>
      <c r="B47" s="55">
        <v>1600</v>
      </c>
      <c r="C47" s="55" cm="1">
        <f t="array" ref="C47">(SUM(VLOOKUP(H47:AE47,$AL$4:$AN$44,2,FALSE))+AF47*10)*IF(AJ47="是",$AW$4,$AW$3)</f>
        <v>1736</v>
      </c>
      <c r="D47" s="57">
        <f>SUM($B$4:B47)-SUM($C$4:C47)</f>
        <v>7682</v>
      </c>
      <c r="E47" s="55" cm="1">
        <f t="array" ref="E47">SUM(VLOOKUP(H47:AE47,$AL$4:$AN$44,3,FALSE))</f>
        <v>605</v>
      </c>
      <c r="F47" s="98">
        <f>SUM($E$4:E47)+SUM($G$4:G47)</f>
        <v>25025</v>
      </c>
      <c r="G47" s="55">
        <v>0</v>
      </c>
      <c r="H47" s="85" t="s">
        <v>20</v>
      </c>
      <c r="I47" s="84" t="s">
        <v>19</v>
      </c>
      <c r="J47" s="84" t="s">
        <v>19</v>
      </c>
      <c r="K47" s="84" t="s">
        <v>19</v>
      </c>
      <c r="L47" s="84" t="s">
        <v>19</v>
      </c>
      <c r="M47" s="84" t="s">
        <v>19</v>
      </c>
      <c r="N47" s="7" t="s">
        <v>23</v>
      </c>
      <c r="O47" s="7" t="s">
        <v>23</v>
      </c>
      <c r="P47" s="84" t="s">
        <v>19</v>
      </c>
      <c r="Q47" s="84" t="s">
        <v>19</v>
      </c>
      <c r="R47" s="84" t="s">
        <v>19</v>
      </c>
      <c r="S47" s="84" t="s">
        <v>19</v>
      </c>
      <c r="T47" s="84" t="s">
        <v>19</v>
      </c>
      <c r="U47" s="84" t="s">
        <v>19</v>
      </c>
      <c r="V47" s="7" t="s">
        <v>23</v>
      </c>
      <c r="W47" s="7" t="s">
        <v>23</v>
      </c>
      <c r="X47" t="s">
        <v>23</v>
      </c>
      <c r="Y47" t="s">
        <v>23</v>
      </c>
      <c r="Z47" t="s">
        <v>23</v>
      </c>
      <c r="AA47" t="s">
        <v>23</v>
      </c>
      <c r="AB47" t="s">
        <v>23</v>
      </c>
      <c r="AC47" t="s">
        <v>23</v>
      </c>
      <c r="AD47" s="7" t="s">
        <v>23</v>
      </c>
      <c r="AE47" s="7" t="s">
        <v>23</v>
      </c>
      <c r="AF47" s="80">
        <v>0</v>
      </c>
      <c r="AG47" s="80"/>
      <c r="AH47" s="80"/>
      <c r="AI47" s="80"/>
      <c r="AJ47" s="8" t="s">
        <v>31</v>
      </c>
    </row>
    <row r="48" spans="1:41">
      <c r="A48" s="1">
        <v>44500</v>
      </c>
      <c r="B48" s="55">
        <v>1600</v>
      </c>
      <c r="C48" s="55" cm="1">
        <f t="array" ref="C48">(SUM(VLOOKUP(H48:AE48,$AL$4:$AN$44,2,FALSE))+AF48*10)*IF(AJ48="是",$AW$4,$AW$3)</f>
        <v>1744</v>
      </c>
      <c r="D48" s="57">
        <f>SUM($B$4:B48)-SUM($C$4:C48)</f>
        <v>7538</v>
      </c>
      <c r="E48" s="55" cm="1">
        <f t="array" ref="E48">SUM(VLOOKUP(H48:AE48,$AL$4:$AN$44,3,FALSE))</f>
        <v>610</v>
      </c>
      <c r="F48" s="98">
        <f>SUM($E$4:E48)+SUM($G$4:G48)</f>
        <v>25635</v>
      </c>
      <c r="G48" s="55">
        <v>0</v>
      </c>
      <c r="H48" s="84" t="s">
        <v>19</v>
      </c>
      <c r="I48" s="84" t="s">
        <v>19</v>
      </c>
      <c r="J48" s="84" t="s">
        <v>19</v>
      </c>
      <c r="K48" s="84" t="s">
        <v>19</v>
      </c>
      <c r="L48" s="84" t="s">
        <v>19</v>
      </c>
      <c r="M48" s="84" t="s">
        <v>19</v>
      </c>
      <c r="N48" s="7" t="s">
        <v>23</v>
      </c>
      <c r="O48" s="7" t="s">
        <v>23</v>
      </c>
      <c r="P48" s="84" t="s">
        <v>19</v>
      </c>
      <c r="Q48" s="84" t="s">
        <v>19</v>
      </c>
      <c r="R48" s="84" t="s">
        <v>19</v>
      </c>
      <c r="S48" s="85" t="s">
        <v>20</v>
      </c>
      <c r="T48" s="85" t="s">
        <v>20</v>
      </c>
      <c r="U48" s="84" t="s">
        <v>19</v>
      </c>
      <c r="V48" s="7" t="s">
        <v>23</v>
      </c>
      <c r="W48" s="7" t="s">
        <v>23</v>
      </c>
      <c r="X48" t="s">
        <v>23</v>
      </c>
      <c r="Y48" t="s">
        <v>23</v>
      </c>
      <c r="Z48" t="s">
        <v>23</v>
      </c>
      <c r="AA48" t="s">
        <v>23</v>
      </c>
      <c r="AB48" t="s">
        <v>23</v>
      </c>
      <c r="AC48" t="s">
        <v>23</v>
      </c>
      <c r="AD48" s="7" t="s">
        <v>23</v>
      </c>
      <c r="AE48" s="7" t="s">
        <v>23</v>
      </c>
      <c r="AF48" s="80">
        <v>0</v>
      </c>
      <c r="AG48" s="80"/>
      <c r="AH48" s="80"/>
      <c r="AI48" s="80"/>
      <c r="AJ48" s="8" t="s">
        <v>31</v>
      </c>
    </row>
    <row r="49" spans="1:36">
      <c r="A49" s="1">
        <v>44501</v>
      </c>
      <c r="B49" s="56">
        <v>1600</v>
      </c>
      <c r="C49" s="55" cm="1">
        <f t="array" ref="C49">(SUM(VLOOKUP(H49:AE49,$AL$4:$AN$44,2,FALSE))+AF49*10)*IF(AJ49="是",$AW$4,$AW$3)</f>
        <v>1696</v>
      </c>
      <c r="D49" s="18">
        <f>SUM($B$4:B49)-SUM($C$4:C49)</f>
        <v>7442</v>
      </c>
      <c r="E49" s="55" cm="1">
        <f t="array" ref="E49">SUM(VLOOKUP(H49:AE49,$AL$4:$AN$44,3,FALSE))</f>
        <v>610</v>
      </c>
      <c r="F49" s="98">
        <f>SUM($E$4:E49)+SUM($G$4:G49)</f>
        <v>26445</v>
      </c>
      <c r="G49" s="56">
        <v>200</v>
      </c>
      <c r="H49" s="84" t="s">
        <v>19</v>
      </c>
      <c r="I49" s="84" t="s">
        <v>19</v>
      </c>
      <c r="J49" s="77" t="s">
        <v>12</v>
      </c>
      <c r="K49" s="84" t="s">
        <v>19</v>
      </c>
      <c r="L49" s="84" t="s">
        <v>19</v>
      </c>
      <c r="M49" s="84" t="s">
        <v>19</v>
      </c>
      <c r="N49" s="7" t="s">
        <v>23</v>
      </c>
      <c r="O49" s="7" t="s">
        <v>23</v>
      </c>
      <c r="P49" s="85" t="s">
        <v>20</v>
      </c>
      <c r="Q49" s="85" t="s">
        <v>20</v>
      </c>
      <c r="R49" s="85" t="s">
        <v>20</v>
      </c>
      <c r="S49" s="85" t="s">
        <v>20</v>
      </c>
      <c r="T49" s="85" t="s">
        <v>20</v>
      </c>
      <c r="U49" s="85" t="s">
        <v>20</v>
      </c>
      <c r="V49" s="7" t="s">
        <v>23</v>
      </c>
      <c r="W49" s="7" t="s">
        <v>23</v>
      </c>
      <c r="X49" t="s">
        <v>23</v>
      </c>
      <c r="Y49" t="s">
        <v>23</v>
      </c>
      <c r="Z49" t="s">
        <v>23</v>
      </c>
      <c r="AA49" t="s">
        <v>23</v>
      </c>
      <c r="AB49" t="s">
        <v>23</v>
      </c>
      <c r="AC49" t="s">
        <v>23</v>
      </c>
      <c r="AD49" s="7" t="s">
        <v>23</v>
      </c>
      <c r="AE49" s="7" t="s">
        <v>23</v>
      </c>
      <c r="AF49" s="80">
        <v>3</v>
      </c>
      <c r="AG49" s="80"/>
      <c r="AH49" s="80">
        <v>3</v>
      </c>
      <c r="AI49" s="80"/>
      <c r="AJ49" s="8" t="s">
        <v>31</v>
      </c>
    </row>
    <row r="50" spans="1:36">
      <c r="A50" s="1">
        <v>44502</v>
      </c>
      <c r="B50" s="56">
        <v>1600</v>
      </c>
      <c r="C50" s="55" cm="1">
        <f t="array" ref="C50">(SUM(VLOOKUP(H50:AE50,$AL$4:$AN$44,2,FALSE))+AF50*10)*IF(AJ50="是",$AW$4,$AW$3)</f>
        <v>1752</v>
      </c>
      <c r="D50" s="18">
        <f>SUM($B$4:B50)-SUM($C$4:C50)</f>
        <v>7290</v>
      </c>
      <c r="E50" s="55" cm="1">
        <f t="array" ref="E50">SUM(VLOOKUP(H50:AE50,$AL$4:$AN$44,3,FALSE))</f>
        <v>625</v>
      </c>
      <c r="F50" s="98">
        <f>SUM($E$4:E50)+SUM($G$4:G50)</f>
        <v>27170</v>
      </c>
      <c r="G50" s="56">
        <v>100</v>
      </c>
      <c r="H50" s="84" t="s">
        <v>19</v>
      </c>
      <c r="I50" s="79" t="s">
        <v>7</v>
      </c>
      <c r="J50" s="84" t="s">
        <v>19</v>
      </c>
      <c r="K50" s="84" t="s">
        <v>19</v>
      </c>
      <c r="L50" s="84" t="s">
        <v>19</v>
      </c>
      <c r="M50" s="84" t="s">
        <v>19</v>
      </c>
      <c r="N50" s="7" t="s">
        <v>23</v>
      </c>
      <c r="O50" s="7" t="s">
        <v>23</v>
      </c>
      <c r="P50" s="85" t="s">
        <v>20</v>
      </c>
      <c r="Q50" s="85" t="s">
        <v>20</v>
      </c>
      <c r="R50" s="85" t="s">
        <v>20</v>
      </c>
      <c r="S50" s="85" t="s">
        <v>20</v>
      </c>
      <c r="T50" s="85" t="s">
        <v>20</v>
      </c>
      <c r="U50" s="85" t="s">
        <v>20</v>
      </c>
      <c r="V50" s="7" t="s">
        <v>23</v>
      </c>
      <c r="W50" s="7" t="s">
        <v>23</v>
      </c>
      <c r="X50" t="s">
        <v>23</v>
      </c>
      <c r="Y50" t="s">
        <v>23</v>
      </c>
      <c r="Z50" t="s">
        <v>23</v>
      </c>
      <c r="AA50" t="s">
        <v>23</v>
      </c>
      <c r="AB50" t="s">
        <v>23</v>
      </c>
      <c r="AC50" t="s">
        <v>23</v>
      </c>
      <c r="AD50" s="7" t="s">
        <v>23</v>
      </c>
      <c r="AE50" s="7" t="s">
        <v>23</v>
      </c>
      <c r="AF50" s="80">
        <v>0</v>
      </c>
      <c r="AG50" s="80"/>
      <c r="AH50" s="80"/>
      <c r="AI50" s="80"/>
      <c r="AJ50" s="8" t="s">
        <v>31</v>
      </c>
    </row>
    <row r="51" spans="1:36">
      <c r="A51" s="1">
        <v>44503</v>
      </c>
      <c r="B51" s="56">
        <v>1600</v>
      </c>
      <c r="C51" s="55" cm="1">
        <f t="array" ref="C51">(SUM(VLOOKUP(H51:AE51,$AL$4:$AN$44,2,FALSE))+AF51*10)*IF(AJ51="是",$AW$4,$AW$3)</f>
        <v>1744</v>
      </c>
      <c r="D51" s="18">
        <f>SUM($B$4:B51)-SUM($C$4:C51)</f>
        <v>7146</v>
      </c>
      <c r="E51" s="55" cm="1">
        <f t="array" ref="E51">SUM(VLOOKUP(H51:AE51,$AL$4:$AN$44,3,FALSE))</f>
        <v>630</v>
      </c>
      <c r="F51" s="98">
        <f>SUM($E$4:E51)+SUM($G$4:G51)</f>
        <v>28000</v>
      </c>
      <c r="G51" s="56">
        <v>200</v>
      </c>
      <c r="H51" s="84" t="s">
        <v>19</v>
      </c>
      <c r="I51" s="84" t="s">
        <v>19</v>
      </c>
      <c r="J51" s="84" t="s">
        <v>19</v>
      </c>
      <c r="K51" s="84" t="s">
        <v>19</v>
      </c>
      <c r="L51" s="84" t="s">
        <v>19</v>
      </c>
      <c r="M51" s="84" t="s">
        <v>19</v>
      </c>
      <c r="N51" s="7" t="s">
        <v>23</v>
      </c>
      <c r="O51" s="7" t="s">
        <v>23</v>
      </c>
      <c r="P51" s="85" t="s">
        <v>20</v>
      </c>
      <c r="Q51" s="85" t="s">
        <v>20</v>
      </c>
      <c r="R51" s="85" t="s">
        <v>20</v>
      </c>
      <c r="S51" s="85" t="s">
        <v>9</v>
      </c>
      <c r="T51" s="85" t="s">
        <v>20</v>
      </c>
      <c r="U51" s="85" t="s">
        <v>20</v>
      </c>
      <c r="V51" s="7" t="s">
        <v>23</v>
      </c>
      <c r="W51" s="7" t="s">
        <v>23</v>
      </c>
      <c r="X51" t="s">
        <v>23</v>
      </c>
      <c r="Y51" t="s">
        <v>23</v>
      </c>
      <c r="Z51" t="s">
        <v>23</v>
      </c>
      <c r="AA51" t="s">
        <v>23</v>
      </c>
      <c r="AB51" t="s">
        <v>23</v>
      </c>
      <c r="AC51" t="s">
        <v>23</v>
      </c>
      <c r="AD51" s="7" t="s">
        <v>23</v>
      </c>
      <c r="AE51" s="7" t="s">
        <v>23</v>
      </c>
      <c r="AF51" s="80">
        <v>0</v>
      </c>
      <c r="AG51" s="80"/>
      <c r="AH51" s="80"/>
      <c r="AI51" s="80"/>
      <c r="AJ51" s="8" t="s">
        <v>31</v>
      </c>
    </row>
    <row r="52" spans="1:36">
      <c r="A52" s="1">
        <v>44504</v>
      </c>
      <c r="B52" s="56">
        <v>1600</v>
      </c>
      <c r="C52" s="55" cm="1">
        <f t="array" ref="C52">(SUM(VLOOKUP(H52:AE52,$AL$4:$AN$44,2,FALSE))+AF52*10)*IF(AJ52="是",$AW$4,$AW$3)</f>
        <v>1816</v>
      </c>
      <c r="D52" s="18">
        <f>SUM($B$4:B52)-SUM($C$4:C52)</f>
        <v>6930</v>
      </c>
      <c r="E52" s="55" cm="1">
        <f t="array" ref="E52">SUM(VLOOKUP(H52:AE52,$AL$4:$AN$44,3,FALSE))</f>
        <v>655</v>
      </c>
      <c r="F52" s="98">
        <f>SUM($E$4:E52)+SUM($G$4:G52)</f>
        <v>28655</v>
      </c>
      <c r="G52" s="56">
        <v>0</v>
      </c>
      <c r="H52" s="84" t="s">
        <v>19</v>
      </c>
      <c r="I52" s="84" t="s">
        <v>19</v>
      </c>
      <c r="J52" s="84" t="s">
        <v>19</v>
      </c>
      <c r="K52" s="84" t="s">
        <v>19</v>
      </c>
      <c r="L52" s="84" t="s">
        <v>19</v>
      </c>
      <c r="M52" s="84" t="s">
        <v>19</v>
      </c>
      <c r="N52" s="7" t="s">
        <v>23</v>
      </c>
      <c r="O52" s="7" t="s">
        <v>23</v>
      </c>
      <c r="P52" s="85" t="s">
        <v>20</v>
      </c>
      <c r="Q52" s="87" t="s">
        <v>21</v>
      </c>
      <c r="R52" s="87" t="s">
        <v>21</v>
      </c>
      <c r="S52" s="87" t="s">
        <v>21</v>
      </c>
      <c r="T52" s="87" t="s">
        <v>21</v>
      </c>
      <c r="U52" s="87" t="s">
        <v>21</v>
      </c>
      <c r="V52" s="7" t="s">
        <v>23</v>
      </c>
      <c r="W52" s="7" t="s">
        <v>23</v>
      </c>
      <c r="X52" t="s">
        <v>23</v>
      </c>
      <c r="Y52" t="s">
        <v>23</v>
      </c>
      <c r="Z52" t="s">
        <v>23</v>
      </c>
      <c r="AA52" t="s">
        <v>23</v>
      </c>
      <c r="AB52" t="s">
        <v>23</v>
      </c>
      <c r="AC52" t="s">
        <v>23</v>
      </c>
      <c r="AD52" s="7" t="s">
        <v>23</v>
      </c>
      <c r="AE52" s="7" t="s">
        <v>23</v>
      </c>
      <c r="AF52" s="80">
        <v>0</v>
      </c>
      <c r="AG52" s="80"/>
      <c r="AH52" s="80"/>
      <c r="AI52" s="80"/>
      <c r="AJ52" s="8" t="s">
        <v>31</v>
      </c>
    </row>
    <row r="53" spans="1:36">
      <c r="A53" s="1">
        <v>44505</v>
      </c>
      <c r="B53" s="56">
        <v>1600</v>
      </c>
      <c r="C53" s="55" cm="1">
        <f t="array" ref="C53">(SUM(VLOOKUP(H53:AE53,$AL$4:$AN$44,2,FALSE))+AF53*10)*IF(AJ53="是",$AW$4,$AW$3)</f>
        <v>1824</v>
      </c>
      <c r="D53" s="18">
        <f>SUM($B$4:B53)-SUM($C$4:C53)</f>
        <v>6706</v>
      </c>
      <c r="E53" s="55" cm="1">
        <f t="array" ref="E53">SUM(VLOOKUP(H53:AE53,$AL$4:$AN$44,3,FALSE))</f>
        <v>660</v>
      </c>
      <c r="F53" s="98">
        <f>SUM($E$4:E53)+SUM($G$4:G53)</f>
        <v>29315</v>
      </c>
      <c r="G53" s="56">
        <v>0</v>
      </c>
      <c r="H53" s="84" t="s">
        <v>19</v>
      </c>
      <c r="I53" s="84" t="s">
        <v>19</v>
      </c>
      <c r="J53" s="84" t="s">
        <v>19</v>
      </c>
      <c r="K53" s="84" t="s">
        <v>19</v>
      </c>
      <c r="L53" s="84" t="s">
        <v>19</v>
      </c>
      <c r="M53" s="84" t="s">
        <v>19</v>
      </c>
      <c r="N53" s="7" t="s">
        <v>23</v>
      </c>
      <c r="O53" s="7" t="s">
        <v>23</v>
      </c>
      <c r="P53" s="87" t="s">
        <v>21</v>
      </c>
      <c r="Q53" s="87" t="s">
        <v>21</v>
      </c>
      <c r="R53" s="87" t="s">
        <v>21</v>
      </c>
      <c r="S53" s="87" t="s">
        <v>21</v>
      </c>
      <c r="T53" s="87" t="s">
        <v>21</v>
      </c>
      <c r="U53" s="87" t="s">
        <v>21</v>
      </c>
      <c r="V53" s="7" t="s">
        <v>23</v>
      </c>
      <c r="W53" s="7" t="s">
        <v>23</v>
      </c>
      <c r="X53" t="s">
        <v>23</v>
      </c>
      <c r="Y53" t="s">
        <v>23</v>
      </c>
      <c r="Z53" t="s">
        <v>23</v>
      </c>
      <c r="AA53" t="s">
        <v>23</v>
      </c>
      <c r="AB53" t="s">
        <v>23</v>
      </c>
      <c r="AC53" t="s">
        <v>23</v>
      </c>
      <c r="AD53" s="7" t="s">
        <v>23</v>
      </c>
      <c r="AE53" s="7" t="s">
        <v>23</v>
      </c>
      <c r="AF53" s="80">
        <v>0</v>
      </c>
      <c r="AG53" s="80"/>
      <c r="AH53" s="80"/>
      <c r="AI53" s="80"/>
      <c r="AJ53" s="8" t="s">
        <v>31</v>
      </c>
    </row>
    <row r="54" spans="1:36">
      <c r="A54" s="1">
        <v>44506</v>
      </c>
      <c r="B54" s="56">
        <v>1600</v>
      </c>
      <c r="C54" s="55" cm="1">
        <f t="array" ref="C54">(SUM(VLOOKUP(H54:AE54,$AL$4:$AN$44,2,FALSE))+AF54*10)*IF(AJ54="是",$AW$4,$AW$3)</f>
        <v>1824</v>
      </c>
      <c r="D54" s="18">
        <f>SUM($B$4:B54)-SUM($C$4:C54)</f>
        <v>6482</v>
      </c>
      <c r="E54" s="55" cm="1">
        <f t="array" ref="E54">SUM(VLOOKUP(H54:AE54,$AL$4:$AN$44,3,FALSE))</f>
        <v>660</v>
      </c>
      <c r="F54" s="98">
        <f>SUM($E$4:E54)+SUM($G$4:G54)</f>
        <v>29975</v>
      </c>
      <c r="G54" s="56">
        <v>0</v>
      </c>
      <c r="H54" s="84" t="s">
        <v>19</v>
      </c>
      <c r="I54" s="84" t="s">
        <v>19</v>
      </c>
      <c r="J54" s="84" t="s">
        <v>19</v>
      </c>
      <c r="K54" s="84" t="s">
        <v>19</v>
      </c>
      <c r="L54" s="84" t="s">
        <v>19</v>
      </c>
      <c r="M54" s="84" t="s">
        <v>19</v>
      </c>
      <c r="N54" s="7" t="s">
        <v>23</v>
      </c>
      <c r="O54" s="7" t="s">
        <v>23</v>
      </c>
      <c r="P54" s="87" t="s">
        <v>21</v>
      </c>
      <c r="Q54" s="87" t="s">
        <v>21</v>
      </c>
      <c r="R54" s="87" t="s">
        <v>21</v>
      </c>
      <c r="S54" s="87" t="s">
        <v>21</v>
      </c>
      <c r="T54" s="87" t="s">
        <v>21</v>
      </c>
      <c r="U54" s="87" t="s">
        <v>21</v>
      </c>
      <c r="V54" s="7" t="s">
        <v>23</v>
      </c>
      <c r="W54" s="7" t="s">
        <v>23</v>
      </c>
      <c r="X54" t="s">
        <v>23</v>
      </c>
      <c r="Y54" t="s">
        <v>23</v>
      </c>
      <c r="Z54" t="s">
        <v>23</v>
      </c>
      <c r="AA54" t="s">
        <v>23</v>
      </c>
      <c r="AB54" t="s">
        <v>23</v>
      </c>
      <c r="AC54" t="s">
        <v>23</v>
      </c>
      <c r="AD54" s="7" t="s">
        <v>23</v>
      </c>
      <c r="AE54" s="7" t="s">
        <v>23</v>
      </c>
      <c r="AF54" s="80">
        <v>0</v>
      </c>
      <c r="AG54" s="80"/>
      <c r="AH54" s="80"/>
      <c r="AI54" s="80"/>
      <c r="AJ54" s="8" t="s">
        <v>31</v>
      </c>
    </row>
    <row r="55" spans="1:36">
      <c r="A55" s="1">
        <v>44507</v>
      </c>
      <c r="B55" s="56">
        <v>1600</v>
      </c>
      <c r="C55" s="55" cm="1">
        <f t="array" ref="C55">(SUM(VLOOKUP(H55:AE55,$AL$4:$AN$44,2,FALSE))+AF55*10)*IF(AJ55="是",$AW$4,$AW$3)</f>
        <v>1832</v>
      </c>
      <c r="D55" s="18">
        <f>SUM($B$4:B55)-SUM($C$4:C55)</f>
        <v>6250</v>
      </c>
      <c r="E55" s="55" cm="1">
        <f t="array" ref="E55">SUM(VLOOKUP(H55:AE55,$AL$4:$AN$44,3,FALSE))</f>
        <v>665</v>
      </c>
      <c r="F55" s="98">
        <f>SUM($E$4:E55)+SUM($G$4:G55)</f>
        <v>30640</v>
      </c>
      <c r="G55" s="56">
        <v>0</v>
      </c>
      <c r="H55" s="84" t="s">
        <v>19</v>
      </c>
      <c r="I55" s="84" t="s">
        <v>19</v>
      </c>
      <c r="J55" s="84" t="s">
        <v>19</v>
      </c>
      <c r="K55" s="84" t="s">
        <v>19</v>
      </c>
      <c r="L55" s="84" t="s">
        <v>19</v>
      </c>
      <c r="M55" s="85" t="s">
        <v>20</v>
      </c>
      <c r="N55" s="7" t="s">
        <v>23</v>
      </c>
      <c r="O55" s="7" t="s">
        <v>23</v>
      </c>
      <c r="P55" s="87" t="s">
        <v>21</v>
      </c>
      <c r="Q55" s="87" t="s">
        <v>21</v>
      </c>
      <c r="R55" s="87" t="s">
        <v>21</v>
      </c>
      <c r="S55" s="87" t="s">
        <v>21</v>
      </c>
      <c r="T55" s="87" t="s">
        <v>21</v>
      </c>
      <c r="U55" s="87" t="s">
        <v>21</v>
      </c>
      <c r="V55" s="7" t="s">
        <v>23</v>
      </c>
      <c r="W55" s="7" t="s">
        <v>23</v>
      </c>
      <c r="X55" t="s">
        <v>23</v>
      </c>
      <c r="Y55" t="s">
        <v>23</v>
      </c>
      <c r="Z55" t="s">
        <v>23</v>
      </c>
      <c r="AA55" t="s">
        <v>23</v>
      </c>
      <c r="AB55" t="s">
        <v>23</v>
      </c>
      <c r="AC55" t="s">
        <v>23</v>
      </c>
      <c r="AD55" s="7" t="s">
        <v>23</v>
      </c>
      <c r="AE55" s="7" t="s">
        <v>23</v>
      </c>
      <c r="AF55" s="80">
        <v>0</v>
      </c>
      <c r="AG55" s="80"/>
      <c r="AH55" s="80"/>
      <c r="AI55" s="80"/>
      <c r="AJ55" s="8" t="s">
        <v>31</v>
      </c>
    </row>
    <row r="56" spans="1:36">
      <c r="A56" s="1">
        <v>44508</v>
      </c>
      <c r="B56" s="55">
        <v>1600</v>
      </c>
      <c r="C56" s="55" cm="1">
        <f t="array" ref="C56">(SUM(VLOOKUP(H56:AE56,$AL$4:$AN$44,2,FALSE))+AF56*10)*IF(AJ56="是",$AW$4,$AW$3)</f>
        <v>1872</v>
      </c>
      <c r="D56" s="57">
        <f>SUM($B$4:B56)-SUM($C$4:C56)</f>
        <v>5978</v>
      </c>
      <c r="E56" s="55" cm="1">
        <f t="array" ref="E56">SUM(VLOOKUP(H56:AE56,$AL$4:$AN$44,3,FALSE))</f>
        <v>750</v>
      </c>
      <c r="F56" s="98">
        <f>SUM($E$4:E56)+SUM($G$4:G56)</f>
        <v>31690</v>
      </c>
      <c r="G56" s="55">
        <v>300</v>
      </c>
      <c r="H56" s="85" t="s">
        <v>20</v>
      </c>
      <c r="I56" s="85" t="s">
        <v>20</v>
      </c>
      <c r="J56" s="85" t="s">
        <v>20</v>
      </c>
      <c r="K56" s="85" t="s">
        <v>20</v>
      </c>
      <c r="L56" s="85" t="s">
        <v>20</v>
      </c>
      <c r="M56" s="85" t="s">
        <v>20</v>
      </c>
      <c r="N56" s="7" t="s">
        <v>23</v>
      </c>
      <c r="O56" s="7" t="s">
        <v>23</v>
      </c>
      <c r="P56" s="87" t="s">
        <v>21</v>
      </c>
      <c r="Q56" s="87" t="s">
        <v>21</v>
      </c>
      <c r="R56" s="87" t="s">
        <v>21</v>
      </c>
      <c r="S56" s="87" t="s">
        <v>21</v>
      </c>
      <c r="T56" s="87" t="s">
        <v>21</v>
      </c>
      <c r="U56" s="82" t="s">
        <v>47</v>
      </c>
      <c r="V56" s="87" t="s">
        <v>21</v>
      </c>
      <c r="W56" s="87" t="s">
        <v>21</v>
      </c>
      <c r="X56" t="s">
        <v>23</v>
      </c>
      <c r="Y56" t="s">
        <v>23</v>
      </c>
      <c r="Z56" t="s">
        <v>23</v>
      </c>
      <c r="AA56" t="s">
        <v>23</v>
      </c>
      <c r="AB56" t="s">
        <v>23</v>
      </c>
      <c r="AC56" t="s">
        <v>23</v>
      </c>
      <c r="AD56" s="7" t="s">
        <v>23</v>
      </c>
      <c r="AE56" s="7" t="s">
        <v>23</v>
      </c>
      <c r="AF56" s="80">
        <v>0</v>
      </c>
      <c r="AG56" s="80"/>
      <c r="AH56" s="80"/>
      <c r="AI56" s="80"/>
      <c r="AJ56" s="8" t="s">
        <v>31</v>
      </c>
    </row>
    <row r="57" spans="1:36">
      <c r="A57" s="1">
        <v>44509</v>
      </c>
      <c r="B57" s="55">
        <v>1600</v>
      </c>
      <c r="C57" s="55" cm="1">
        <f t="array" ref="C57">(SUM(VLOOKUP(H57:AE57,$AL$4:$AN$44,2,FALSE))+AF57*10)*IF(AJ57="是",$AW$4,$AW$3)</f>
        <v>1920</v>
      </c>
      <c r="D57" s="57">
        <f>SUM($B$4:B57)-SUM($C$4:C57)</f>
        <v>5658</v>
      </c>
      <c r="E57" s="55" cm="1">
        <f t="array" ref="E57">SUM(VLOOKUP(H57:AE57,$AL$4:$AN$44,3,FALSE))</f>
        <v>1135</v>
      </c>
      <c r="F57" s="98">
        <f>SUM($E$4:E57)+SUM($G$4:G57)</f>
        <v>32825</v>
      </c>
      <c r="G57" s="55">
        <v>0</v>
      </c>
      <c r="H57" s="85" t="s">
        <v>20</v>
      </c>
      <c r="I57" s="86" t="s">
        <v>41</v>
      </c>
      <c r="J57" s="85" t="s">
        <v>20</v>
      </c>
      <c r="K57" s="85" t="s">
        <v>20</v>
      </c>
      <c r="L57" s="85" t="s">
        <v>20</v>
      </c>
      <c r="M57" s="85" t="s">
        <v>20</v>
      </c>
      <c r="N57" s="7" t="s">
        <v>23</v>
      </c>
      <c r="O57" s="7" t="s">
        <v>23</v>
      </c>
      <c r="P57" s="87" t="s">
        <v>21</v>
      </c>
      <c r="Q57" s="87" t="s">
        <v>21</v>
      </c>
      <c r="R57" s="87" t="s">
        <v>21</v>
      </c>
      <c r="S57" s="87" t="s">
        <v>21</v>
      </c>
      <c r="T57" s="87" t="s">
        <v>21</v>
      </c>
      <c r="U57" s="87" t="s">
        <v>21</v>
      </c>
      <c r="V57" s="7" t="s">
        <v>23</v>
      </c>
      <c r="W57" s="7" t="s">
        <v>23</v>
      </c>
      <c r="X57" t="s">
        <v>23</v>
      </c>
      <c r="Y57" t="s">
        <v>23</v>
      </c>
      <c r="Z57" t="s">
        <v>23</v>
      </c>
      <c r="AA57" t="s">
        <v>23</v>
      </c>
      <c r="AB57" t="s">
        <v>23</v>
      </c>
      <c r="AC57" t="s">
        <v>23</v>
      </c>
      <c r="AD57" s="7" t="s">
        <v>23</v>
      </c>
      <c r="AE57" s="7" t="s">
        <v>23</v>
      </c>
      <c r="AF57" s="80">
        <v>0</v>
      </c>
      <c r="AG57" s="80"/>
      <c r="AH57" s="80"/>
      <c r="AI57" s="80"/>
      <c r="AJ57" s="8" t="s">
        <v>31</v>
      </c>
    </row>
    <row r="58" spans="1:36">
      <c r="A58" s="1">
        <v>44510</v>
      </c>
      <c r="B58" s="55">
        <v>1600</v>
      </c>
      <c r="C58" s="55" cm="1">
        <f t="array" ref="C58">(SUM(VLOOKUP(H58:AE58,$AL$4:$AN$44,2,FALSE))+AF58*10)*IF(AJ58="是",$AW$4,$AW$3)</f>
        <v>1832</v>
      </c>
      <c r="D58" s="57">
        <f>SUM($B$4:B58)-SUM($C$4:C58)</f>
        <v>5426</v>
      </c>
      <c r="E58" s="55" cm="1">
        <f t="array" ref="E58">SUM(VLOOKUP(H58:AE58,$AL$4:$AN$44,3,FALSE))</f>
        <v>685</v>
      </c>
      <c r="F58" s="98">
        <f>SUM($E$4:E58)+SUM($G$4:G58)</f>
        <v>33710</v>
      </c>
      <c r="G58" s="55">
        <v>200</v>
      </c>
      <c r="H58" s="85" t="s">
        <v>9</v>
      </c>
      <c r="I58" s="85" t="s">
        <v>20</v>
      </c>
      <c r="J58" s="85" t="s">
        <v>20</v>
      </c>
      <c r="K58" s="85" t="s">
        <v>20</v>
      </c>
      <c r="L58" s="85" t="s">
        <v>20</v>
      </c>
      <c r="M58" s="85" t="s">
        <v>20</v>
      </c>
      <c r="N58" s="7" t="s">
        <v>23</v>
      </c>
      <c r="O58" s="7" t="s">
        <v>23</v>
      </c>
      <c r="P58" s="87" t="s">
        <v>21</v>
      </c>
      <c r="Q58" s="87" t="s">
        <v>21</v>
      </c>
      <c r="R58" s="87" t="s">
        <v>21</v>
      </c>
      <c r="S58" s="87" t="s">
        <v>21</v>
      </c>
      <c r="T58" s="87" t="s">
        <v>21</v>
      </c>
      <c r="U58" s="85" t="s">
        <v>20</v>
      </c>
      <c r="V58" s="7" t="s">
        <v>23</v>
      </c>
      <c r="W58" s="7" t="s">
        <v>23</v>
      </c>
      <c r="X58" t="s">
        <v>23</v>
      </c>
      <c r="Y58" t="s">
        <v>23</v>
      </c>
      <c r="Z58" t="s">
        <v>23</v>
      </c>
      <c r="AA58" t="s">
        <v>23</v>
      </c>
      <c r="AB58" t="s">
        <v>23</v>
      </c>
      <c r="AC58" t="s">
        <v>23</v>
      </c>
      <c r="AD58" s="7" t="s">
        <v>23</v>
      </c>
      <c r="AE58" s="7" t="s">
        <v>23</v>
      </c>
      <c r="AF58" s="80">
        <v>0</v>
      </c>
      <c r="AG58" s="80"/>
      <c r="AH58" s="80"/>
      <c r="AI58" s="80"/>
      <c r="AJ58" s="8" t="s">
        <v>31</v>
      </c>
    </row>
    <row r="59" spans="1:36">
      <c r="A59" s="1">
        <v>44511</v>
      </c>
      <c r="B59" s="55">
        <v>1600</v>
      </c>
      <c r="C59" s="55" cm="1">
        <f t="array" ref="C59">(SUM(VLOOKUP(H59:AE59,$AL$4:$AN$44,2,FALSE))+AF59*10)*IF(AJ59="是",$AW$4,$AW$3)</f>
        <v>1824</v>
      </c>
      <c r="D59" s="57">
        <f>SUM($B$4:B59)-SUM($C$4:C59)</f>
        <v>5202</v>
      </c>
      <c r="E59" s="55" cm="1">
        <f t="array" ref="E59">SUM(VLOOKUP(H59:AE59,$AL$4:$AN$44,3,FALSE))</f>
        <v>660</v>
      </c>
      <c r="F59" s="98">
        <f>SUM($E$4:E59)+SUM($G$4:G59)</f>
        <v>34370</v>
      </c>
      <c r="G59" s="55">
        <v>0</v>
      </c>
      <c r="H59" s="85" t="s">
        <v>20</v>
      </c>
      <c r="I59" s="85" t="s">
        <v>20</v>
      </c>
      <c r="J59" s="85" t="s">
        <v>20</v>
      </c>
      <c r="K59" s="85" t="s">
        <v>20</v>
      </c>
      <c r="L59" s="85" t="s">
        <v>20</v>
      </c>
      <c r="M59" s="85" t="s">
        <v>20</v>
      </c>
      <c r="N59" s="7" t="s">
        <v>23</v>
      </c>
      <c r="O59" s="7" t="s">
        <v>23</v>
      </c>
      <c r="P59" s="85" t="s">
        <v>20</v>
      </c>
      <c r="Q59" s="85" t="s">
        <v>20</v>
      </c>
      <c r="R59" s="85" t="s">
        <v>20</v>
      </c>
      <c r="S59" s="85" t="s">
        <v>20</v>
      </c>
      <c r="T59" s="85" t="s">
        <v>20</v>
      </c>
      <c r="U59" s="85" t="s">
        <v>20</v>
      </c>
      <c r="V59" s="7" t="s">
        <v>23</v>
      </c>
      <c r="W59" s="7" t="s">
        <v>23</v>
      </c>
      <c r="X59" t="s">
        <v>23</v>
      </c>
      <c r="Y59" t="s">
        <v>23</v>
      </c>
      <c r="Z59" t="s">
        <v>23</v>
      </c>
      <c r="AA59" t="s">
        <v>23</v>
      </c>
      <c r="AB59" t="s">
        <v>23</v>
      </c>
      <c r="AC59" t="s">
        <v>23</v>
      </c>
      <c r="AD59" s="7" t="s">
        <v>23</v>
      </c>
      <c r="AE59" s="7" t="s">
        <v>23</v>
      </c>
      <c r="AF59" s="80">
        <v>0</v>
      </c>
      <c r="AG59" s="80"/>
      <c r="AH59" s="80"/>
      <c r="AI59" s="80"/>
      <c r="AJ59" s="8" t="s">
        <v>31</v>
      </c>
    </row>
    <row r="60" spans="1:36">
      <c r="A60" s="1">
        <v>44512</v>
      </c>
      <c r="B60" s="55">
        <v>1600</v>
      </c>
      <c r="C60" s="55" cm="1">
        <f t="array" ref="C60">(SUM(VLOOKUP(H60:AE60,$AL$4:$AN$44,2,FALSE))+AF60*10)*IF(AJ60="是",$AW$4,$AW$3)</f>
        <v>1712</v>
      </c>
      <c r="D60" s="57">
        <f>SUM($B$4:B60)-SUM($C$4:C60)</f>
        <v>5090</v>
      </c>
      <c r="E60" s="55" cm="1">
        <f t="array" ref="E60">SUM(VLOOKUP(H60:AE60,$AL$4:$AN$44,3,FALSE))</f>
        <v>635</v>
      </c>
      <c r="F60" s="98">
        <f>SUM($E$4:E60)+SUM($G$4:G60)</f>
        <v>35005</v>
      </c>
      <c r="G60" s="55">
        <v>0</v>
      </c>
      <c r="H60" s="85" t="s">
        <v>20</v>
      </c>
      <c r="I60" s="85" t="s">
        <v>20</v>
      </c>
      <c r="J60" s="85" t="s">
        <v>20</v>
      </c>
      <c r="K60" s="85" t="s">
        <v>20</v>
      </c>
      <c r="L60" s="85" t="s">
        <v>20</v>
      </c>
      <c r="M60" s="85" t="s">
        <v>20</v>
      </c>
      <c r="N60" s="7" t="s">
        <v>23</v>
      </c>
      <c r="O60" s="7" t="s">
        <v>23</v>
      </c>
      <c r="P60" s="85" t="s">
        <v>20</v>
      </c>
      <c r="Q60" s="85" t="s">
        <v>20</v>
      </c>
      <c r="R60" s="77" t="s">
        <v>12</v>
      </c>
      <c r="S60" s="85" t="s">
        <v>20</v>
      </c>
      <c r="T60" s="85" t="s">
        <v>20</v>
      </c>
      <c r="U60" s="85" t="s">
        <v>20</v>
      </c>
      <c r="V60" s="7" t="s">
        <v>23</v>
      </c>
      <c r="W60" s="7" t="s">
        <v>23</v>
      </c>
      <c r="X60" t="s">
        <v>23</v>
      </c>
      <c r="Y60" t="s">
        <v>23</v>
      </c>
      <c r="Z60" t="s">
        <v>23</v>
      </c>
      <c r="AA60" t="s">
        <v>23</v>
      </c>
      <c r="AB60" t="s">
        <v>23</v>
      </c>
      <c r="AC60" t="s">
        <v>23</v>
      </c>
      <c r="AD60" s="7" t="s">
        <v>23</v>
      </c>
      <c r="AE60" s="7" t="s">
        <v>23</v>
      </c>
      <c r="AF60" s="80">
        <v>0</v>
      </c>
      <c r="AG60" s="80"/>
      <c r="AH60" s="80"/>
      <c r="AI60" s="80"/>
      <c r="AJ60" s="8" t="s">
        <v>31</v>
      </c>
    </row>
    <row r="61" spans="1:36">
      <c r="A61" s="1">
        <v>44513</v>
      </c>
      <c r="B61" s="55">
        <v>1600</v>
      </c>
      <c r="C61" s="55" cm="1">
        <f t="array" ref="C61">(SUM(VLOOKUP(H61:AE61,$AL$4:$AN$44,2,FALSE))+AF61*10)*IF(AJ61="是",$AW$4,$AW$3)</f>
        <v>1712</v>
      </c>
      <c r="D61" s="57">
        <f>SUM($B$4:B61)-SUM($C$4:C61)</f>
        <v>4978</v>
      </c>
      <c r="E61" s="55" cm="1">
        <f t="array" ref="E61">SUM(VLOOKUP(H61:AE61,$AL$4:$AN$44,3,FALSE))</f>
        <v>635</v>
      </c>
      <c r="F61" s="98">
        <f>SUM($E$4:E61)+SUM($G$4:G61)</f>
        <v>35640</v>
      </c>
      <c r="G61" s="55">
        <v>0</v>
      </c>
      <c r="H61" s="85" t="s">
        <v>20</v>
      </c>
      <c r="I61" s="77" t="s">
        <v>12</v>
      </c>
      <c r="J61" s="85" t="s">
        <v>20</v>
      </c>
      <c r="K61" s="85" t="s">
        <v>20</v>
      </c>
      <c r="L61" s="85" t="s">
        <v>20</v>
      </c>
      <c r="M61" s="85" t="s">
        <v>20</v>
      </c>
      <c r="N61" s="7" t="s">
        <v>23</v>
      </c>
      <c r="O61" s="7" t="s">
        <v>23</v>
      </c>
      <c r="P61" s="85" t="s">
        <v>20</v>
      </c>
      <c r="Q61" s="85" t="s">
        <v>20</v>
      </c>
      <c r="R61" s="85" t="s">
        <v>20</v>
      </c>
      <c r="S61" s="85" t="s">
        <v>20</v>
      </c>
      <c r="T61" s="85" t="s">
        <v>20</v>
      </c>
      <c r="U61" s="85" t="s">
        <v>20</v>
      </c>
      <c r="V61" s="7" t="s">
        <v>23</v>
      </c>
      <c r="W61" s="7" t="s">
        <v>23</v>
      </c>
      <c r="X61" t="s">
        <v>23</v>
      </c>
      <c r="Y61" t="s">
        <v>23</v>
      </c>
      <c r="Z61" t="s">
        <v>23</v>
      </c>
      <c r="AA61" t="s">
        <v>23</v>
      </c>
      <c r="AB61" t="s">
        <v>23</v>
      </c>
      <c r="AC61" t="s">
        <v>23</v>
      </c>
      <c r="AD61" s="7" t="s">
        <v>23</v>
      </c>
      <c r="AE61" s="7" t="s">
        <v>23</v>
      </c>
      <c r="AF61" s="80">
        <v>0</v>
      </c>
      <c r="AG61" s="80"/>
      <c r="AH61" s="80"/>
      <c r="AI61" s="80"/>
      <c r="AJ61" s="8" t="s">
        <v>31</v>
      </c>
    </row>
    <row r="62" spans="1:36">
      <c r="A62" s="1">
        <v>44514</v>
      </c>
      <c r="B62" s="55">
        <v>1600</v>
      </c>
      <c r="C62" s="55" cm="1">
        <f t="array" ref="C62">(SUM(VLOOKUP(H62:AE62,$AL$4:$AN$44,2,FALSE))+AF62*10)*IF(AJ62="是",$AW$4,$AW$3)</f>
        <v>1840</v>
      </c>
      <c r="D62" s="57">
        <f>SUM($B$4:B62)-SUM($C$4:C62)</f>
        <v>4738</v>
      </c>
      <c r="E62" s="55" cm="1">
        <f t="array" ref="E62">SUM(VLOOKUP(H62:AE62,$AL$4:$AN$44,3,FALSE))</f>
        <v>790</v>
      </c>
      <c r="F62" s="98">
        <f>SUM($E$4:E62)+SUM($G$4:G62)</f>
        <v>36430</v>
      </c>
      <c r="G62" s="55">
        <v>0</v>
      </c>
      <c r="H62" s="85" t="s">
        <v>20</v>
      </c>
      <c r="I62" s="85" t="s">
        <v>20</v>
      </c>
      <c r="J62" s="82" t="s">
        <v>47</v>
      </c>
      <c r="K62" s="85" t="s">
        <v>20</v>
      </c>
      <c r="L62" s="87" t="s">
        <v>21</v>
      </c>
      <c r="M62" s="87" t="s">
        <v>21</v>
      </c>
      <c r="N62" s="87" t="s">
        <v>21</v>
      </c>
      <c r="O62" s="87" t="s">
        <v>21</v>
      </c>
      <c r="P62" s="82" t="s">
        <v>47</v>
      </c>
      <c r="Q62" s="85" t="s">
        <v>20</v>
      </c>
      <c r="R62" s="85" t="s">
        <v>20</v>
      </c>
      <c r="S62" s="85" t="s">
        <v>20</v>
      </c>
      <c r="T62" s="85" t="s">
        <v>20</v>
      </c>
      <c r="U62" s="85" t="s">
        <v>20</v>
      </c>
      <c r="V62" s="85" t="s">
        <v>20</v>
      </c>
      <c r="W62" s="85" t="s">
        <v>20</v>
      </c>
      <c r="X62" t="s">
        <v>23</v>
      </c>
      <c r="Y62" t="s">
        <v>23</v>
      </c>
      <c r="Z62" t="s">
        <v>23</v>
      </c>
      <c r="AA62" t="s">
        <v>23</v>
      </c>
      <c r="AB62" t="s">
        <v>23</v>
      </c>
      <c r="AC62" t="s">
        <v>23</v>
      </c>
      <c r="AD62" s="7" t="s">
        <v>23</v>
      </c>
      <c r="AE62" s="7" t="s">
        <v>23</v>
      </c>
      <c r="AF62" s="80">
        <v>0</v>
      </c>
      <c r="AG62" s="80"/>
      <c r="AH62" s="80"/>
      <c r="AI62" s="80"/>
      <c r="AJ62" s="8" t="s">
        <v>31</v>
      </c>
    </row>
    <row r="63" spans="1:36">
      <c r="A63" s="1">
        <v>44515</v>
      </c>
      <c r="B63" s="56">
        <v>1600</v>
      </c>
      <c r="C63" s="55" cm="1">
        <f t="array" ref="C63">(SUM(VLOOKUP(H63:AE63,$AL$4:$AN$44,2,FALSE))+AF63*10)*IF(AJ63="是",$AW$4,$AW$3)</f>
        <v>1872</v>
      </c>
      <c r="D63" s="18">
        <f>SUM($B$4:B63)-SUM($C$4:C63)</f>
        <v>4466</v>
      </c>
      <c r="E63" s="55" cm="1">
        <f t="array" ref="E63">SUM(VLOOKUP(H63:AE63,$AL$4:$AN$44,3,FALSE))</f>
        <v>690</v>
      </c>
      <c r="F63" s="98">
        <f>SUM($E$4:E63)+SUM($G$4:G63)</f>
        <v>37420</v>
      </c>
      <c r="G63" s="56">
        <v>300</v>
      </c>
      <c r="H63" s="87" t="s">
        <v>21</v>
      </c>
      <c r="I63" s="87" t="s">
        <v>21</v>
      </c>
      <c r="J63" s="87" t="s">
        <v>21</v>
      </c>
      <c r="K63" s="87" t="s">
        <v>21</v>
      </c>
      <c r="L63" s="87" t="s">
        <v>21</v>
      </c>
      <c r="M63" s="87" t="s">
        <v>21</v>
      </c>
      <c r="N63" s="7" t="s">
        <v>23</v>
      </c>
      <c r="O63" s="7" t="s">
        <v>23</v>
      </c>
      <c r="P63" s="85" t="s">
        <v>20</v>
      </c>
      <c r="Q63" s="85" t="s">
        <v>20</v>
      </c>
      <c r="R63" s="85" t="s">
        <v>20</v>
      </c>
      <c r="S63" s="85" t="s">
        <v>20</v>
      </c>
      <c r="T63" s="85" t="s">
        <v>20</v>
      </c>
      <c r="U63" s="85" t="s">
        <v>20</v>
      </c>
      <c r="V63" s="7" t="s">
        <v>23</v>
      </c>
      <c r="W63" s="7" t="s">
        <v>23</v>
      </c>
      <c r="X63" t="s">
        <v>23</v>
      </c>
      <c r="Y63" t="s">
        <v>23</v>
      </c>
      <c r="Z63" t="s">
        <v>23</v>
      </c>
      <c r="AA63" t="s">
        <v>23</v>
      </c>
      <c r="AB63" t="s">
        <v>23</v>
      </c>
      <c r="AC63" t="s">
        <v>23</v>
      </c>
      <c r="AD63" s="7" t="s">
        <v>23</v>
      </c>
      <c r="AE63" s="7" t="s">
        <v>23</v>
      </c>
      <c r="AF63" s="80">
        <v>0</v>
      </c>
      <c r="AG63" s="80"/>
      <c r="AH63" s="80"/>
      <c r="AI63" s="80"/>
      <c r="AJ63" s="8" t="s">
        <v>31</v>
      </c>
    </row>
    <row r="64" spans="1:36">
      <c r="A64" s="1">
        <v>44516</v>
      </c>
      <c r="B64" s="56">
        <v>1600</v>
      </c>
      <c r="C64" s="55" cm="1">
        <f t="array" ref="C64">(SUM(VLOOKUP(H64:AE64,$AL$4:$AN$44,2,FALSE))+AF64*10)*IF(AJ64="是",$AW$4,$AW$3)</f>
        <v>1840</v>
      </c>
      <c r="D64" s="18">
        <f>SUM($B$4:B64)-SUM($C$4:C64)</f>
        <v>4226</v>
      </c>
      <c r="E64" s="55" cm="1">
        <f t="array" ref="E64">SUM(VLOOKUP(H64:AE64,$AL$4:$AN$44,3,FALSE))</f>
        <v>685</v>
      </c>
      <c r="F64" s="98">
        <f>SUM($E$4:E64)+SUM($G$4:G64)</f>
        <v>38105</v>
      </c>
      <c r="G64" s="56">
        <v>0</v>
      </c>
      <c r="H64" s="87" t="s">
        <v>21</v>
      </c>
      <c r="I64" s="87" t="s">
        <v>21</v>
      </c>
      <c r="J64" s="87" t="s">
        <v>21</v>
      </c>
      <c r="K64" s="87" t="s">
        <v>21</v>
      </c>
      <c r="L64" s="87" t="s">
        <v>21</v>
      </c>
      <c r="M64" s="87" t="s">
        <v>21</v>
      </c>
      <c r="N64" s="7" t="s">
        <v>23</v>
      </c>
      <c r="O64" s="7" t="s">
        <v>23</v>
      </c>
      <c r="P64" s="84" t="s">
        <v>8</v>
      </c>
      <c r="Q64" s="85" t="s">
        <v>20</v>
      </c>
      <c r="R64" s="85" t="s">
        <v>20</v>
      </c>
      <c r="S64" s="85" t="s">
        <v>20</v>
      </c>
      <c r="T64" s="85" t="s">
        <v>20</v>
      </c>
      <c r="U64" s="85" t="s">
        <v>20</v>
      </c>
      <c r="V64" s="7" t="s">
        <v>23</v>
      </c>
      <c r="W64" s="7" t="s">
        <v>23</v>
      </c>
      <c r="X64" t="s">
        <v>23</v>
      </c>
      <c r="Y64" t="s">
        <v>23</v>
      </c>
      <c r="Z64" t="s">
        <v>23</v>
      </c>
      <c r="AA64" t="s">
        <v>23</v>
      </c>
      <c r="AB64" t="s">
        <v>23</v>
      </c>
      <c r="AC64" t="s">
        <v>23</v>
      </c>
      <c r="AD64" s="7" t="s">
        <v>23</v>
      </c>
      <c r="AE64" s="7" t="s">
        <v>23</v>
      </c>
      <c r="AF64" s="80">
        <v>0</v>
      </c>
      <c r="AG64" s="80"/>
      <c r="AH64" s="80"/>
      <c r="AI64" s="80"/>
      <c r="AJ64" s="8" t="s">
        <v>31</v>
      </c>
    </row>
    <row r="65" spans="1:36">
      <c r="A65" s="1">
        <v>44517</v>
      </c>
      <c r="B65" s="56">
        <v>1600</v>
      </c>
      <c r="C65" s="55" cm="1">
        <f t="array" ref="C65">(SUM(VLOOKUP(H65:AE65,$AL$4:$AN$44,2,FALSE))+AF65*10)*IF(AJ65="是",$AW$4,$AW$3)</f>
        <v>1872</v>
      </c>
      <c r="D65" s="18">
        <f>SUM($B$4:B65)-SUM($C$4:C65)</f>
        <v>3954</v>
      </c>
      <c r="E65" s="55" cm="1">
        <f t="array" ref="E65">SUM(VLOOKUP(H65:AE65,$AL$4:$AN$44,3,FALSE))</f>
        <v>690</v>
      </c>
      <c r="F65" s="98">
        <f>SUM($E$4:E65)+SUM($G$4:G65)</f>
        <v>38995</v>
      </c>
      <c r="G65" s="56">
        <v>200</v>
      </c>
      <c r="H65" s="87" t="s">
        <v>21</v>
      </c>
      <c r="I65" s="87" t="s">
        <v>21</v>
      </c>
      <c r="J65" s="87" t="s">
        <v>21</v>
      </c>
      <c r="K65" s="87" t="s">
        <v>21</v>
      </c>
      <c r="L65" s="87" t="s">
        <v>21</v>
      </c>
      <c r="M65" s="87" t="s">
        <v>21</v>
      </c>
      <c r="N65" s="7" t="s">
        <v>23</v>
      </c>
      <c r="O65" s="7" t="s">
        <v>23</v>
      </c>
      <c r="P65" s="85" t="s">
        <v>20</v>
      </c>
      <c r="Q65" s="85" t="s">
        <v>20</v>
      </c>
      <c r="R65" s="85" t="s">
        <v>20</v>
      </c>
      <c r="S65" s="85" t="s">
        <v>20</v>
      </c>
      <c r="T65" s="85" t="s">
        <v>20</v>
      </c>
      <c r="U65" s="85" t="s">
        <v>20</v>
      </c>
      <c r="V65" s="7" t="s">
        <v>23</v>
      </c>
      <c r="W65" s="7" t="s">
        <v>23</v>
      </c>
      <c r="X65" t="s">
        <v>23</v>
      </c>
      <c r="Y65" t="s">
        <v>23</v>
      </c>
      <c r="Z65" t="s">
        <v>23</v>
      </c>
      <c r="AA65" t="s">
        <v>23</v>
      </c>
      <c r="AB65" t="s">
        <v>23</v>
      </c>
      <c r="AC65" t="s">
        <v>23</v>
      </c>
      <c r="AD65" s="7" t="s">
        <v>23</v>
      </c>
      <c r="AE65" s="7" t="s">
        <v>23</v>
      </c>
      <c r="AF65" s="80">
        <v>0</v>
      </c>
      <c r="AG65" s="80"/>
      <c r="AH65" s="80"/>
      <c r="AI65" s="80"/>
      <c r="AJ65" s="8" t="s">
        <v>31</v>
      </c>
    </row>
    <row r="66" spans="1:36">
      <c r="A66" s="1">
        <v>44518</v>
      </c>
      <c r="B66" s="56">
        <v>1600</v>
      </c>
      <c r="C66" s="55" cm="1">
        <f t="array" ref="C66">(SUM(VLOOKUP(H66:AE66,$AL$4:$AN$44,2,FALSE))+AF66*10)*IF(AJ66="是",$AW$4,$AW$3)</f>
        <v>1888</v>
      </c>
      <c r="D66" s="18">
        <f>SUM($B$4:B66)-SUM($C$4:C66)</f>
        <v>3666</v>
      </c>
      <c r="E66" s="55" cm="1">
        <f t="array" ref="E66">SUM(VLOOKUP(H66:AE66,$AL$4:$AN$44,3,FALSE))</f>
        <v>700</v>
      </c>
      <c r="F66" s="98">
        <f>SUM($E$4:E66)+SUM($G$4:G66)</f>
        <v>39695</v>
      </c>
      <c r="G66" s="56">
        <v>0</v>
      </c>
      <c r="H66" s="87" t="s">
        <v>21</v>
      </c>
      <c r="I66" s="87" t="s">
        <v>21</v>
      </c>
      <c r="J66" s="87" t="s">
        <v>21</v>
      </c>
      <c r="K66" s="87" t="s">
        <v>21</v>
      </c>
      <c r="L66" s="87" t="s">
        <v>21</v>
      </c>
      <c r="M66" s="87" t="s">
        <v>21</v>
      </c>
      <c r="N66" s="7" t="s">
        <v>23</v>
      </c>
      <c r="O66" s="7" t="s">
        <v>23</v>
      </c>
      <c r="P66" s="85" t="s">
        <v>20</v>
      </c>
      <c r="Q66" s="85" t="s">
        <v>20</v>
      </c>
      <c r="R66" s="85" t="s">
        <v>20</v>
      </c>
      <c r="S66" s="85" t="s">
        <v>20</v>
      </c>
      <c r="T66" s="87" t="s">
        <v>21</v>
      </c>
      <c r="U66" s="87" t="s">
        <v>21</v>
      </c>
      <c r="V66" s="7" t="s">
        <v>23</v>
      </c>
      <c r="W66" s="7" t="s">
        <v>23</v>
      </c>
      <c r="X66" t="s">
        <v>23</v>
      </c>
      <c r="Y66" t="s">
        <v>23</v>
      </c>
      <c r="Z66" t="s">
        <v>23</v>
      </c>
      <c r="AA66" t="s">
        <v>23</v>
      </c>
      <c r="AB66" t="s">
        <v>23</v>
      </c>
      <c r="AC66" t="s">
        <v>23</v>
      </c>
      <c r="AD66" s="7" t="s">
        <v>23</v>
      </c>
      <c r="AE66" s="7" t="s">
        <v>23</v>
      </c>
      <c r="AF66" s="80">
        <v>0</v>
      </c>
      <c r="AG66" s="80"/>
      <c r="AH66" s="80"/>
      <c r="AI66" s="80"/>
      <c r="AJ66" s="8" t="s">
        <v>31</v>
      </c>
    </row>
    <row r="67" spans="1:36">
      <c r="A67" s="1">
        <v>44519</v>
      </c>
      <c r="B67" s="56">
        <v>1600</v>
      </c>
      <c r="C67" s="55" cm="1">
        <f t="array" ref="C67">(SUM(VLOOKUP(H67:AE67,$AL$4:$AN$44,2,FALSE))+AF67*10)*IF(AJ67="是",$AW$4,$AW$3)</f>
        <v>1888</v>
      </c>
      <c r="D67" s="18">
        <f>SUM($B$4:B67)-SUM($C$4:C67)</f>
        <v>3378</v>
      </c>
      <c r="E67" s="55" cm="1">
        <f t="array" ref="E67">SUM(VLOOKUP(H67:AE67,$AL$4:$AN$44,3,FALSE))</f>
        <v>720</v>
      </c>
      <c r="F67" s="98">
        <f>SUM($E$4:E67)+SUM($G$4:G67)</f>
        <v>40415</v>
      </c>
      <c r="G67" s="56">
        <v>0</v>
      </c>
      <c r="H67" s="87" t="s">
        <v>21</v>
      </c>
      <c r="I67" s="87" t="s">
        <v>21</v>
      </c>
      <c r="J67" s="87" t="s">
        <v>21</v>
      </c>
      <c r="K67" s="87" t="s">
        <v>10</v>
      </c>
      <c r="L67" s="87" t="s">
        <v>21</v>
      </c>
      <c r="M67" s="87" t="s">
        <v>21</v>
      </c>
      <c r="N67" s="7" t="s">
        <v>23</v>
      </c>
      <c r="O67" s="7" t="s">
        <v>23</v>
      </c>
      <c r="P67" s="87" t="s">
        <v>21</v>
      </c>
      <c r="Q67" s="87" t="s">
        <v>21</v>
      </c>
      <c r="R67" s="87" t="s">
        <v>21</v>
      </c>
      <c r="S67" s="87" t="s">
        <v>21</v>
      </c>
      <c r="T67" s="87" t="s">
        <v>21</v>
      </c>
      <c r="U67" s="87" t="s">
        <v>21</v>
      </c>
      <c r="V67" s="7" t="s">
        <v>23</v>
      </c>
      <c r="W67" s="7" t="s">
        <v>23</v>
      </c>
      <c r="X67" t="s">
        <v>23</v>
      </c>
      <c r="Y67" t="s">
        <v>23</v>
      </c>
      <c r="Z67" t="s">
        <v>23</v>
      </c>
      <c r="AA67" t="s">
        <v>23</v>
      </c>
      <c r="AB67" t="s">
        <v>23</v>
      </c>
      <c r="AC67" t="s">
        <v>23</v>
      </c>
      <c r="AD67" s="7" t="s">
        <v>23</v>
      </c>
      <c r="AE67" s="7" t="s">
        <v>23</v>
      </c>
      <c r="AF67" s="80">
        <v>1</v>
      </c>
      <c r="AG67" s="80"/>
      <c r="AH67" s="80">
        <v>1</v>
      </c>
      <c r="AI67" s="80"/>
      <c r="AJ67" s="8" t="s">
        <v>31</v>
      </c>
    </row>
    <row r="68" spans="1:36">
      <c r="A68" s="1">
        <v>44520</v>
      </c>
      <c r="B68" s="56">
        <v>1600</v>
      </c>
      <c r="C68" s="55" cm="1">
        <f t="array" ref="C68">(SUM(VLOOKUP(H68:AE68,$AL$4:$AN$44,2,FALSE))+AF68*10)*IF(AJ68="是",$AW$4,$AW$3)</f>
        <v>1920</v>
      </c>
      <c r="D68" s="18">
        <f>SUM($B$4:B68)-SUM($C$4:C68)</f>
        <v>3058</v>
      </c>
      <c r="E68" s="55" cm="1">
        <f t="array" ref="E68">SUM(VLOOKUP(H68:AE68,$AL$4:$AN$44,3,FALSE))</f>
        <v>720</v>
      </c>
      <c r="F68" s="98">
        <f>SUM($E$4:E68)+SUM($G$4:G68)</f>
        <v>41135</v>
      </c>
      <c r="G68" s="56">
        <v>0</v>
      </c>
      <c r="H68" s="87" t="s">
        <v>21</v>
      </c>
      <c r="I68" s="87" t="s">
        <v>21</v>
      </c>
      <c r="J68" s="87" t="s">
        <v>21</v>
      </c>
      <c r="K68" s="87" t="s">
        <v>21</v>
      </c>
      <c r="L68" s="87" t="s">
        <v>21</v>
      </c>
      <c r="M68" s="87" t="s">
        <v>21</v>
      </c>
      <c r="N68" s="7" t="s">
        <v>23</v>
      </c>
      <c r="O68" s="7" t="s">
        <v>23</v>
      </c>
      <c r="P68" s="87" t="s">
        <v>21</v>
      </c>
      <c r="Q68" s="87" t="s">
        <v>21</v>
      </c>
      <c r="R68" s="87" t="s">
        <v>21</v>
      </c>
      <c r="S68" s="87" t="s">
        <v>21</v>
      </c>
      <c r="T68" s="87" t="s">
        <v>21</v>
      </c>
      <c r="U68" s="87" t="s">
        <v>21</v>
      </c>
      <c r="V68" s="7" t="s">
        <v>23</v>
      </c>
      <c r="W68" s="7" t="s">
        <v>23</v>
      </c>
      <c r="X68" t="s">
        <v>23</v>
      </c>
      <c r="Y68" t="s">
        <v>23</v>
      </c>
      <c r="Z68" t="s">
        <v>23</v>
      </c>
      <c r="AA68" t="s">
        <v>23</v>
      </c>
      <c r="AB68" t="s">
        <v>23</v>
      </c>
      <c r="AC68" t="s">
        <v>23</v>
      </c>
      <c r="AD68" s="7" t="s">
        <v>23</v>
      </c>
      <c r="AE68" s="7" t="s">
        <v>23</v>
      </c>
      <c r="AF68" s="80">
        <v>0</v>
      </c>
      <c r="AG68" s="80"/>
      <c r="AH68" s="80"/>
      <c r="AI68" s="80"/>
      <c r="AJ68" s="8" t="s">
        <v>31</v>
      </c>
    </row>
    <row r="69" spans="1:36">
      <c r="A69" s="1">
        <v>44521</v>
      </c>
      <c r="B69" s="56">
        <v>1600</v>
      </c>
      <c r="C69" s="55" cm="1">
        <f t="array" ref="C69">(SUM(VLOOKUP(H69:AE69,$AL$4:$AN$44,2,FALSE))+AF69*10)*IF(AJ69="是",$AW$4,$AW$3)</f>
        <v>1920</v>
      </c>
      <c r="D69" s="18">
        <f>SUM($B$4:B69)-SUM($C$4:C69)</f>
        <v>2738</v>
      </c>
      <c r="E69" s="55" cm="1">
        <f t="array" ref="E69">SUM(VLOOKUP(H69:AE69,$AL$4:$AN$44,3,FALSE))</f>
        <v>720</v>
      </c>
      <c r="F69" s="98">
        <f>SUM($E$4:E69)+SUM($G$4:G69)</f>
        <v>41855</v>
      </c>
      <c r="G69" s="56">
        <v>0</v>
      </c>
      <c r="H69" s="87" t="s">
        <v>21</v>
      </c>
      <c r="I69" s="87" t="s">
        <v>21</v>
      </c>
      <c r="J69" s="87" t="s">
        <v>21</v>
      </c>
      <c r="K69" s="87" t="s">
        <v>21</v>
      </c>
      <c r="L69" s="87" t="s">
        <v>21</v>
      </c>
      <c r="M69" s="87" t="s">
        <v>21</v>
      </c>
      <c r="N69" s="7" t="s">
        <v>23</v>
      </c>
      <c r="O69" s="7" t="s">
        <v>23</v>
      </c>
      <c r="P69" s="87" t="s">
        <v>21</v>
      </c>
      <c r="Q69" s="87" t="s">
        <v>21</v>
      </c>
      <c r="R69" s="87" t="s">
        <v>21</v>
      </c>
      <c r="S69" s="87" t="s">
        <v>21</v>
      </c>
      <c r="T69" s="87" t="s">
        <v>21</v>
      </c>
      <c r="U69" s="87" t="s">
        <v>21</v>
      </c>
      <c r="V69" s="7" t="s">
        <v>23</v>
      </c>
      <c r="W69" s="7" t="s">
        <v>23</v>
      </c>
      <c r="X69" t="s">
        <v>23</v>
      </c>
      <c r="Y69" t="s">
        <v>23</v>
      </c>
      <c r="Z69" t="s">
        <v>23</v>
      </c>
      <c r="AA69" t="s">
        <v>23</v>
      </c>
      <c r="AB69" t="s">
        <v>23</v>
      </c>
      <c r="AC69" t="s">
        <v>23</v>
      </c>
      <c r="AD69" s="7" t="s">
        <v>23</v>
      </c>
      <c r="AE69" s="7" t="s">
        <v>23</v>
      </c>
      <c r="AF69" s="80">
        <v>0</v>
      </c>
      <c r="AG69" s="80"/>
      <c r="AH69" s="80"/>
      <c r="AI69" s="80"/>
      <c r="AJ69" s="8" t="s">
        <v>31</v>
      </c>
    </row>
    <row r="70" spans="1:36">
      <c r="A70" s="1">
        <v>44522</v>
      </c>
      <c r="B70" s="55">
        <v>1600</v>
      </c>
      <c r="C70" s="55" cm="1">
        <f t="array" ref="C70">(SUM(VLOOKUP(H70:AE70,$AL$4:$AN$44,2,FALSE))+AF70*10)*IF(AJ70="是",$AW$4,$AW$3)</f>
        <v>1960</v>
      </c>
      <c r="D70" s="57">
        <f>SUM($B$4:B70)-SUM($C$4:C70)</f>
        <v>2378</v>
      </c>
      <c r="E70" s="55" cm="1">
        <f t="array" ref="E70">SUM(VLOOKUP(H70:AE70,$AL$4:$AN$44,3,FALSE))</f>
        <v>1720</v>
      </c>
      <c r="F70" s="98">
        <f>SUM($E$4:E70)+SUM($G$4:G70)</f>
        <v>43875</v>
      </c>
      <c r="G70" s="55">
        <v>300</v>
      </c>
      <c r="H70" s="82" t="s">
        <v>47</v>
      </c>
      <c r="I70" s="87" t="s">
        <v>21</v>
      </c>
      <c r="J70" s="87" t="s">
        <v>21</v>
      </c>
      <c r="K70" s="87" t="s">
        <v>21</v>
      </c>
      <c r="L70" s="87" t="s">
        <v>21</v>
      </c>
      <c r="M70" s="87" t="s">
        <v>21</v>
      </c>
      <c r="N70" s="87" t="s">
        <v>21</v>
      </c>
      <c r="O70" s="87" t="s">
        <v>21</v>
      </c>
      <c r="P70" s="87" t="s">
        <v>21</v>
      </c>
      <c r="Q70" s="87" t="s">
        <v>21</v>
      </c>
      <c r="R70" s="87" t="s">
        <v>21</v>
      </c>
      <c r="S70" s="87" t="s">
        <v>21</v>
      </c>
      <c r="T70" s="87" t="s">
        <v>21</v>
      </c>
      <c r="U70" s="88" t="s">
        <v>15</v>
      </c>
      <c r="V70" s="7" t="s">
        <v>23</v>
      </c>
      <c r="W70" s="7" t="s">
        <v>23</v>
      </c>
      <c r="X70" t="s">
        <v>23</v>
      </c>
      <c r="Y70" t="s">
        <v>23</v>
      </c>
      <c r="Z70" t="s">
        <v>23</v>
      </c>
      <c r="AA70" t="s">
        <v>23</v>
      </c>
      <c r="AB70" t="s">
        <v>23</v>
      </c>
      <c r="AC70" t="s">
        <v>23</v>
      </c>
      <c r="AD70" s="7" t="s">
        <v>23</v>
      </c>
      <c r="AE70" s="7" t="s">
        <v>23</v>
      </c>
      <c r="AF70" s="80">
        <v>0</v>
      </c>
      <c r="AG70" s="80"/>
      <c r="AH70" s="80"/>
      <c r="AI70" s="80"/>
      <c r="AJ70" s="8" t="s">
        <v>31</v>
      </c>
    </row>
    <row r="71" spans="1:36">
      <c r="A71" s="1">
        <v>44523</v>
      </c>
      <c r="B71" s="55">
        <v>1600</v>
      </c>
      <c r="C71" s="55" cm="1">
        <f t="array" ref="C71">(SUM(VLOOKUP(H71:AE71,$AL$4:$AN$44,2,FALSE))+AF71*10)*IF(AJ71="是",$AW$4,$AW$3)</f>
        <v>1920</v>
      </c>
      <c r="D71" s="57">
        <f>SUM($B$4:B71)-SUM($C$4:C71)</f>
        <v>2058</v>
      </c>
      <c r="E71" s="55" cm="1">
        <f t="array" ref="E71">SUM(VLOOKUP(H71:AE71,$AL$4:$AN$44,3,FALSE))</f>
        <v>720</v>
      </c>
      <c r="F71" s="98">
        <f>SUM($E$4:E71)+SUM($G$4:G71)</f>
        <v>44595</v>
      </c>
      <c r="G71" s="55">
        <v>0</v>
      </c>
      <c r="H71" s="87" t="s">
        <v>21</v>
      </c>
      <c r="I71" s="87" t="s">
        <v>21</v>
      </c>
      <c r="J71" s="87" t="s">
        <v>21</v>
      </c>
      <c r="K71" s="87" t="s">
        <v>21</v>
      </c>
      <c r="L71" s="87" t="s">
        <v>21</v>
      </c>
      <c r="M71" s="87" t="s">
        <v>21</v>
      </c>
      <c r="N71" s="7" t="s">
        <v>23</v>
      </c>
      <c r="O71" s="7" t="s">
        <v>23</v>
      </c>
      <c r="P71" s="87" t="s">
        <v>21</v>
      </c>
      <c r="Q71" s="87" t="s">
        <v>21</v>
      </c>
      <c r="R71" s="87" t="s">
        <v>21</v>
      </c>
      <c r="S71" s="87" t="s">
        <v>21</v>
      </c>
      <c r="T71" s="87" t="s">
        <v>21</v>
      </c>
      <c r="U71" s="87" t="s">
        <v>21</v>
      </c>
      <c r="V71" s="7" t="s">
        <v>23</v>
      </c>
      <c r="W71" s="7" t="s">
        <v>23</v>
      </c>
      <c r="X71" t="s">
        <v>23</v>
      </c>
      <c r="Y71" t="s">
        <v>23</v>
      </c>
      <c r="Z71" t="s">
        <v>23</v>
      </c>
      <c r="AA71" t="s">
        <v>23</v>
      </c>
      <c r="AB71" t="s">
        <v>23</v>
      </c>
      <c r="AC71" t="s">
        <v>23</v>
      </c>
      <c r="AD71" s="7" t="s">
        <v>23</v>
      </c>
      <c r="AE71" s="7" t="s">
        <v>23</v>
      </c>
      <c r="AF71" s="80">
        <v>0</v>
      </c>
      <c r="AG71" s="80"/>
      <c r="AH71" s="80"/>
      <c r="AI71" s="80"/>
      <c r="AJ71" s="8" t="s">
        <v>31</v>
      </c>
    </row>
    <row r="72" spans="1:36">
      <c r="A72" s="1">
        <v>44524</v>
      </c>
      <c r="B72" s="55">
        <v>1600</v>
      </c>
      <c r="C72" s="55" cm="1">
        <f t="array" ref="C72">(SUM(VLOOKUP(H72:AE72,$AL$4:$AN$44,2,FALSE))+AF72*10)*IF(AJ72="是",$AW$4,$AW$3)</f>
        <v>1592</v>
      </c>
      <c r="D72" s="57">
        <f>SUM($B$4:B72)-SUM($C$4:C72)</f>
        <v>2066</v>
      </c>
      <c r="E72" s="55" cm="1">
        <f t="array" ref="E72">SUM(VLOOKUP(H72:AE72,$AL$4:$AN$44,3,FALSE))</f>
        <v>655</v>
      </c>
      <c r="F72" s="98">
        <f>SUM($E$4:E72)+SUM($G$4:G72)</f>
        <v>45450</v>
      </c>
      <c r="G72" s="55">
        <v>200</v>
      </c>
      <c r="H72" s="87" t="s">
        <v>21</v>
      </c>
      <c r="I72" s="87" t="s">
        <v>21</v>
      </c>
      <c r="J72" s="87" t="s">
        <v>21</v>
      </c>
      <c r="K72" s="87" t="s">
        <v>21</v>
      </c>
      <c r="L72" s="87" t="s">
        <v>21</v>
      </c>
      <c r="M72" s="87" t="s">
        <v>21</v>
      </c>
      <c r="N72" s="7" t="s">
        <v>23</v>
      </c>
      <c r="O72" s="7" t="s">
        <v>23</v>
      </c>
      <c r="P72" s="87" t="s">
        <v>21</v>
      </c>
      <c r="Q72" s="87" t="s">
        <v>21</v>
      </c>
      <c r="R72" s="87" t="s">
        <v>21</v>
      </c>
      <c r="S72" s="82" t="s">
        <v>47</v>
      </c>
      <c r="T72" s="87" t="s">
        <v>21</v>
      </c>
      <c r="U72" s="85" t="s">
        <v>20</v>
      </c>
      <c r="V72" s="7" t="s">
        <v>23</v>
      </c>
      <c r="W72" s="7" t="s">
        <v>23</v>
      </c>
      <c r="X72" t="s">
        <v>23</v>
      </c>
      <c r="Y72" t="s">
        <v>23</v>
      </c>
      <c r="Z72" t="s">
        <v>23</v>
      </c>
      <c r="AA72" t="s">
        <v>23</v>
      </c>
      <c r="AB72" t="s">
        <v>23</v>
      </c>
      <c r="AC72" t="s">
        <v>23</v>
      </c>
      <c r="AD72" s="7" t="s">
        <v>23</v>
      </c>
      <c r="AE72" s="7" t="s">
        <v>23</v>
      </c>
      <c r="AF72" s="80">
        <v>0</v>
      </c>
      <c r="AG72" s="80"/>
      <c r="AH72" s="80"/>
      <c r="AI72" s="80"/>
      <c r="AJ72" s="8" t="s">
        <v>31</v>
      </c>
    </row>
    <row r="73" spans="1:36">
      <c r="A73" s="1">
        <v>44525</v>
      </c>
      <c r="B73" s="55">
        <v>1600</v>
      </c>
      <c r="C73" s="55" cm="1">
        <f t="array" ref="C73">(SUM(VLOOKUP(H73:AE73,$AL$4:$AN$44,2,FALSE))+AF73*10)*IF(AJ73="是",$AW$4,$AW$3)</f>
        <v>1872</v>
      </c>
      <c r="D73" s="57">
        <f>SUM($B$4:B73)-SUM($C$4:C73)</f>
        <v>1794</v>
      </c>
      <c r="E73" s="55" cm="1">
        <f t="array" ref="E73">SUM(VLOOKUP(H73:AE73,$AL$4:$AN$44,3,FALSE))</f>
        <v>690</v>
      </c>
      <c r="F73" s="98">
        <f>SUM($E$4:E73)+SUM($G$4:G73)</f>
        <v>46140</v>
      </c>
      <c r="G73" s="55">
        <v>0</v>
      </c>
      <c r="H73" s="87" t="s">
        <v>21</v>
      </c>
      <c r="I73" s="87" t="s">
        <v>21</v>
      </c>
      <c r="J73" s="87" t="s">
        <v>21</v>
      </c>
      <c r="K73" s="87" t="s">
        <v>21</v>
      </c>
      <c r="L73" s="87" t="s">
        <v>21</v>
      </c>
      <c r="M73" s="87" t="s">
        <v>21</v>
      </c>
      <c r="N73" s="7" t="s">
        <v>23</v>
      </c>
      <c r="O73" s="7" t="s">
        <v>23</v>
      </c>
      <c r="P73" s="85" t="s">
        <v>20</v>
      </c>
      <c r="Q73" s="85" t="s">
        <v>20</v>
      </c>
      <c r="R73" s="85" t="s">
        <v>20</v>
      </c>
      <c r="S73" s="85" t="s">
        <v>20</v>
      </c>
      <c r="T73" s="85" t="s">
        <v>20</v>
      </c>
      <c r="U73" s="85" t="s">
        <v>20</v>
      </c>
      <c r="V73" s="7" t="s">
        <v>23</v>
      </c>
      <c r="W73" s="7" t="s">
        <v>23</v>
      </c>
      <c r="X73" t="s">
        <v>23</v>
      </c>
      <c r="Y73" t="s">
        <v>23</v>
      </c>
      <c r="Z73" t="s">
        <v>23</v>
      </c>
      <c r="AA73" t="s">
        <v>23</v>
      </c>
      <c r="AB73" t="s">
        <v>23</v>
      </c>
      <c r="AC73" t="s">
        <v>23</v>
      </c>
      <c r="AD73" s="7" t="s">
        <v>23</v>
      </c>
      <c r="AE73" s="7" t="s">
        <v>23</v>
      </c>
      <c r="AF73" s="80">
        <v>0</v>
      </c>
      <c r="AG73" s="80"/>
      <c r="AH73" s="80"/>
      <c r="AI73" s="80"/>
      <c r="AJ73" s="8" t="s">
        <v>31</v>
      </c>
    </row>
    <row r="74" spans="1:36">
      <c r="A74" s="1">
        <v>44526</v>
      </c>
      <c r="B74" s="55">
        <v>1600</v>
      </c>
      <c r="C74" s="55" cm="1">
        <f t="array" ref="C74">(SUM(VLOOKUP(H74:AE74,$AL$4:$AN$44,2,FALSE))+AF74*10)*IF(AJ74="是",$AW$4,$AW$3)</f>
        <v>1880</v>
      </c>
      <c r="D74" s="57">
        <f>SUM($B$4:B74)-SUM($C$4:C74)</f>
        <v>1514</v>
      </c>
      <c r="E74" s="55" cm="1">
        <f t="array" ref="E74">SUM(VLOOKUP(H74:AE74,$AL$4:$AN$44,3,FALSE))</f>
        <v>1630</v>
      </c>
      <c r="F74" s="98">
        <f>SUM($E$4:E74)+SUM($G$4:G74)</f>
        <v>47770</v>
      </c>
      <c r="G74" s="55">
        <v>0</v>
      </c>
      <c r="H74" s="87" t="s">
        <v>21</v>
      </c>
      <c r="I74" s="87" t="s">
        <v>21</v>
      </c>
      <c r="J74" s="88" t="s">
        <v>15</v>
      </c>
      <c r="K74" s="87" t="s">
        <v>21</v>
      </c>
      <c r="L74" s="87" t="s">
        <v>21</v>
      </c>
      <c r="M74" s="87" t="s">
        <v>21</v>
      </c>
      <c r="N74" s="7" t="s">
        <v>23</v>
      </c>
      <c r="O74" s="7" t="s">
        <v>23</v>
      </c>
      <c r="P74" s="85" t="s">
        <v>20</v>
      </c>
      <c r="Q74" s="85" t="s">
        <v>9</v>
      </c>
      <c r="R74" s="85" t="s">
        <v>20</v>
      </c>
      <c r="S74" s="85" t="s">
        <v>20</v>
      </c>
      <c r="T74" s="85" t="s">
        <v>20</v>
      </c>
      <c r="U74" s="85" t="s">
        <v>20</v>
      </c>
      <c r="V74" s="7" t="s">
        <v>23</v>
      </c>
      <c r="W74" s="7" t="s">
        <v>23</v>
      </c>
      <c r="X74" t="s">
        <v>23</v>
      </c>
      <c r="Y74" t="s">
        <v>23</v>
      </c>
      <c r="Z74" t="s">
        <v>23</v>
      </c>
      <c r="AA74" t="s">
        <v>23</v>
      </c>
      <c r="AB74" t="s">
        <v>23</v>
      </c>
      <c r="AC74" t="s">
        <v>23</v>
      </c>
      <c r="AD74" s="7" t="s">
        <v>23</v>
      </c>
      <c r="AE74" s="7" t="s">
        <v>23</v>
      </c>
      <c r="AF74" s="80">
        <v>0</v>
      </c>
      <c r="AG74" s="80"/>
      <c r="AH74" s="80"/>
      <c r="AI74" s="80"/>
      <c r="AJ74" s="8" t="s">
        <v>31</v>
      </c>
    </row>
    <row r="75" spans="1:36">
      <c r="A75" s="1">
        <v>44527</v>
      </c>
      <c r="B75" s="55">
        <v>1600</v>
      </c>
      <c r="C75" s="55" cm="1">
        <f t="array" ref="C75">(SUM(VLOOKUP(H75:AE75,$AL$4:$AN$44,2,FALSE))+AF75*10)*IF(AJ75="是",$AW$4,$AW$3)</f>
        <v>1872</v>
      </c>
      <c r="D75" s="57">
        <f>SUM($B$4:B75)-SUM($C$4:C75)</f>
        <v>1242</v>
      </c>
      <c r="E75" s="55" cm="1">
        <f t="array" ref="E75">SUM(VLOOKUP(H75:AE75,$AL$4:$AN$44,3,FALSE))</f>
        <v>690</v>
      </c>
      <c r="F75" s="98">
        <f>SUM($E$4:E75)+SUM($G$4:G75)</f>
        <v>48460</v>
      </c>
      <c r="G75" s="55">
        <v>0</v>
      </c>
      <c r="H75" s="87" t="s">
        <v>21</v>
      </c>
      <c r="I75" s="87" t="s">
        <v>21</v>
      </c>
      <c r="J75" s="87" t="s">
        <v>21</v>
      </c>
      <c r="K75" s="87" t="s">
        <v>21</v>
      </c>
      <c r="L75" s="87" t="s">
        <v>21</v>
      </c>
      <c r="M75" s="87" t="s">
        <v>21</v>
      </c>
      <c r="N75" s="7" t="s">
        <v>23</v>
      </c>
      <c r="O75" s="7" t="s">
        <v>23</v>
      </c>
      <c r="P75" s="85" t="s">
        <v>20</v>
      </c>
      <c r="Q75" s="85" t="s">
        <v>20</v>
      </c>
      <c r="R75" s="85" t="s">
        <v>20</v>
      </c>
      <c r="S75" s="85" t="s">
        <v>20</v>
      </c>
      <c r="T75" s="85" t="s">
        <v>20</v>
      </c>
      <c r="U75" s="85" t="s">
        <v>20</v>
      </c>
      <c r="V75" s="7" t="s">
        <v>23</v>
      </c>
      <c r="W75" s="7" t="s">
        <v>23</v>
      </c>
      <c r="X75" t="s">
        <v>23</v>
      </c>
      <c r="Y75" t="s">
        <v>23</v>
      </c>
      <c r="Z75" t="s">
        <v>23</v>
      </c>
      <c r="AA75" t="s">
        <v>23</v>
      </c>
      <c r="AB75" t="s">
        <v>23</v>
      </c>
      <c r="AC75" t="s">
        <v>23</v>
      </c>
      <c r="AD75" s="7" t="s">
        <v>23</v>
      </c>
      <c r="AE75" s="7" t="s">
        <v>23</v>
      </c>
      <c r="AF75" s="80">
        <v>0</v>
      </c>
      <c r="AG75" s="80"/>
      <c r="AH75" s="80"/>
      <c r="AI75" s="80"/>
      <c r="AJ75" s="8" t="s">
        <v>31</v>
      </c>
    </row>
    <row r="76" spans="1:36">
      <c r="A76" s="1">
        <v>44528</v>
      </c>
      <c r="B76" s="55">
        <v>1600</v>
      </c>
      <c r="C76" s="55" cm="1">
        <f t="array" ref="C76">(SUM(VLOOKUP(H76:AE76,$AL$4:$AN$44,2,FALSE))+AF76*10)*IF(AJ76="是",$AW$4,$AW$3)</f>
        <v>1760</v>
      </c>
      <c r="D76" s="57">
        <f>SUM($B$4:B76)-SUM($C$4:C76)</f>
        <v>1082</v>
      </c>
      <c r="E76" s="55" cm="1">
        <f t="array" ref="E76">SUM(VLOOKUP(H76:AE76,$AL$4:$AN$44,3,FALSE))</f>
        <v>665</v>
      </c>
      <c r="F76" s="98">
        <f>SUM($E$4:E76)+SUM($G$4:G76)</f>
        <v>49125</v>
      </c>
      <c r="G76" s="55">
        <v>0</v>
      </c>
      <c r="H76" s="87" t="s">
        <v>21</v>
      </c>
      <c r="I76" s="87" t="s">
        <v>21</v>
      </c>
      <c r="J76" s="87" t="s">
        <v>21</v>
      </c>
      <c r="K76" s="87" t="s">
        <v>21</v>
      </c>
      <c r="L76" s="87" t="s">
        <v>21</v>
      </c>
      <c r="M76" s="87" t="s">
        <v>21</v>
      </c>
      <c r="N76" s="7" t="s">
        <v>23</v>
      </c>
      <c r="O76" s="7" t="s">
        <v>23</v>
      </c>
      <c r="P76" s="85" t="s">
        <v>20</v>
      </c>
      <c r="Q76" s="85" t="s">
        <v>20</v>
      </c>
      <c r="R76" s="85" t="s">
        <v>20</v>
      </c>
      <c r="S76" s="85" t="s">
        <v>20</v>
      </c>
      <c r="T76" s="77" t="s">
        <v>12</v>
      </c>
      <c r="U76" s="85" t="s">
        <v>20</v>
      </c>
      <c r="V76" s="7" t="s">
        <v>23</v>
      </c>
      <c r="W76" s="7" t="s">
        <v>23</v>
      </c>
      <c r="X76" t="s">
        <v>23</v>
      </c>
      <c r="Y76" t="s">
        <v>23</v>
      </c>
      <c r="Z76" t="s">
        <v>23</v>
      </c>
      <c r="AA76" t="s">
        <v>23</v>
      </c>
      <c r="AB76" t="s">
        <v>23</v>
      </c>
      <c r="AC76" t="s">
        <v>23</v>
      </c>
      <c r="AD76" s="7" t="s">
        <v>23</v>
      </c>
      <c r="AE76" s="7" t="s">
        <v>23</v>
      </c>
      <c r="AF76" s="80">
        <v>0</v>
      </c>
      <c r="AG76" s="80"/>
      <c r="AH76" s="80"/>
      <c r="AI76" s="80"/>
      <c r="AJ76" s="8" t="s">
        <v>31</v>
      </c>
    </row>
    <row r="77" spans="1:36">
      <c r="A77" s="1">
        <v>44529</v>
      </c>
      <c r="B77" s="56">
        <v>1600</v>
      </c>
      <c r="C77" s="55" cm="1">
        <f t="array" ref="C77">(SUM(VLOOKUP(H77:AE77,$AL$4:$AN$44,2,FALSE))+AF77*10)*IF(AJ77="是",$AW$4,$AW$3)</f>
        <v>1872</v>
      </c>
      <c r="D77" s="18">
        <f>SUM($B$4:B77)-SUM($C$4:C77)</f>
        <v>810</v>
      </c>
      <c r="E77" s="55" cm="1">
        <f t="array" ref="E77">SUM(VLOOKUP(H77:AE77,$AL$4:$AN$44,3,FALSE))</f>
        <v>690</v>
      </c>
      <c r="F77" s="98">
        <f>SUM($E$4:E77)+SUM($G$4:G77)</f>
        <v>50015</v>
      </c>
      <c r="G77" s="56">
        <v>200</v>
      </c>
      <c r="H77" s="87" t="s">
        <v>21</v>
      </c>
      <c r="I77" s="87" t="s">
        <v>21</v>
      </c>
      <c r="J77" s="87" t="s">
        <v>21</v>
      </c>
      <c r="K77" s="87" t="s">
        <v>21</v>
      </c>
      <c r="L77" s="87" t="s">
        <v>21</v>
      </c>
      <c r="M77" s="87" t="s">
        <v>21</v>
      </c>
      <c r="N77" s="7" t="s">
        <v>23</v>
      </c>
      <c r="O77" s="7" t="s">
        <v>23</v>
      </c>
      <c r="P77" s="85" t="s">
        <v>20</v>
      </c>
      <c r="Q77" s="85" t="s">
        <v>20</v>
      </c>
      <c r="R77" s="85" t="s">
        <v>20</v>
      </c>
      <c r="S77" s="85" t="s">
        <v>20</v>
      </c>
      <c r="T77" s="85" t="s">
        <v>20</v>
      </c>
      <c r="U77" s="85" t="s">
        <v>20</v>
      </c>
      <c r="V77" s="7" t="s">
        <v>23</v>
      </c>
      <c r="W77" s="7" t="s">
        <v>23</v>
      </c>
      <c r="X77" t="s">
        <v>23</v>
      </c>
      <c r="Y77" t="s">
        <v>23</v>
      </c>
      <c r="Z77" t="s">
        <v>23</v>
      </c>
      <c r="AA77" t="s">
        <v>23</v>
      </c>
      <c r="AB77" t="s">
        <v>23</v>
      </c>
      <c r="AC77" t="s">
        <v>23</v>
      </c>
      <c r="AD77" s="7" t="s">
        <v>23</v>
      </c>
      <c r="AE77" s="7" t="s">
        <v>23</v>
      </c>
      <c r="AF77" s="80">
        <v>0</v>
      </c>
      <c r="AG77" s="80"/>
      <c r="AH77" s="80"/>
      <c r="AI77" s="80"/>
      <c r="AJ77" s="8" t="s">
        <v>31</v>
      </c>
    </row>
    <row r="78" spans="1:36">
      <c r="A78" s="1">
        <v>44530</v>
      </c>
      <c r="B78" s="56">
        <v>1600</v>
      </c>
      <c r="C78" s="55" cm="1">
        <f t="array" ref="C78">(SUM(VLOOKUP(H78:AE78,$AL$4:$AN$44,2,FALSE))+AF78*10)*IF(AJ78="是",$AW$4,$AW$3)</f>
        <v>1872</v>
      </c>
      <c r="D78" s="18">
        <f>SUM($B$4:B78)-SUM($C$4:C78)</f>
        <v>538</v>
      </c>
      <c r="E78" s="55" cm="1">
        <f t="array" ref="E78">SUM(VLOOKUP(H78:AE78,$AL$4:$AN$44,3,FALSE))</f>
        <v>690</v>
      </c>
      <c r="F78" s="98">
        <f>SUM($E$4:E78)+SUM($G$4:G78)</f>
        <v>50805</v>
      </c>
      <c r="G78" s="56">
        <v>100</v>
      </c>
      <c r="H78" s="87" t="s">
        <v>21</v>
      </c>
      <c r="I78" s="87" t="s">
        <v>21</v>
      </c>
      <c r="J78" s="87" t="s">
        <v>21</v>
      </c>
      <c r="K78" s="87" t="s">
        <v>21</v>
      </c>
      <c r="L78" s="87" t="s">
        <v>21</v>
      </c>
      <c r="M78" s="87" t="s">
        <v>21</v>
      </c>
      <c r="N78" s="7" t="s">
        <v>23</v>
      </c>
      <c r="O78" s="7" t="s">
        <v>23</v>
      </c>
      <c r="P78" s="85" t="s">
        <v>20</v>
      </c>
      <c r="Q78" s="85" t="s">
        <v>20</v>
      </c>
      <c r="R78" s="85" t="s">
        <v>20</v>
      </c>
      <c r="S78" s="85" t="s">
        <v>20</v>
      </c>
      <c r="T78" s="85" t="s">
        <v>20</v>
      </c>
      <c r="U78" s="85" t="s">
        <v>20</v>
      </c>
      <c r="V78" s="7" t="s">
        <v>23</v>
      </c>
      <c r="W78" s="7" t="s">
        <v>23</v>
      </c>
      <c r="X78" t="s">
        <v>23</v>
      </c>
      <c r="Y78" t="s">
        <v>23</v>
      </c>
      <c r="Z78" t="s">
        <v>23</v>
      </c>
      <c r="AA78" t="s">
        <v>23</v>
      </c>
      <c r="AB78" t="s">
        <v>23</v>
      </c>
      <c r="AC78" t="s">
        <v>23</v>
      </c>
      <c r="AD78" s="7" t="s">
        <v>23</v>
      </c>
      <c r="AE78" s="7" t="s">
        <v>23</v>
      </c>
      <c r="AF78" s="80">
        <v>0</v>
      </c>
      <c r="AG78" s="80"/>
      <c r="AH78" s="80"/>
      <c r="AI78" s="80"/>
      <c r="AJ78" s="8" t="s">
        <v>31</v>
      </c>
    </row>
    <row r="79" spans="1:36">
      <c r="A79" s="1">
        <v>44531</v>
      </c>
      <c r="B79" s="56">
        <v>1600</v>
      </c>
      <c r="C79" s="55" cm="1">
        <f t="array" ref="C79">(SUM(VLOOKUP(H79:AE79,$AL$4:$AN$44,2,FALSE))+AF79*10)*IF(AJ79="是",$AW$4,$AW$3)</f>
        <v>1608</v>
      </c>
      <c r="D79" s="18">
        <f>SUM($B$4:B79)-SUM($C$4:C79)</f>
        <v>530</v>
      </c>
      <c r="E79" s="55" cm="1">
        <f t="array" ref="E79">SUM(VLOOKUP(H79:AE79,$AL$4:$AN$44,3,FALSE))</f>
        <v>610</v>
      </c>
      <c r="F79" s="98">
        <f>SUM($E$4:E79)+SUM($G$4:G79)</f>
        <v>51615</v>
      </c>
      <c r="G79" s="56">
        <v>200</v>
      </c>
      <c r="H79" s="87" t="s">
        <v>21</v>
      </c>
      <c r="I79" s="87" t="s">
        <v>21</v>
      </c>
      <c r="J79" s="87" t="s">
        <v>21</v>
      </c>
      <c r="K79" s="87" t="s">
        <v>21</v>
      </c>
      <c r="L79" s="87" t="s">
        <v>21</v>
      </c>
      <c r="M79" s="87" t="s">
        <v>21</v>
      </c>
      <c r="N79" s="7" t="s">
        <v>23</v>
      </c>
      <c r="O79" s="7" t="s">
        <v>23</v>
      </c>
      <c r="P79" s="85" t="s">
        <v>20</v>
      </c>
      <c r="Q79" s="85" t="s">
        <v>20</v>
      </c>
      <c r="R79" s="85" t="s">
        <v>20</v>
      </c>
      <c r="S79" s="85" t="s">
        <v>20</v>
      </c>
      <c r="T79" s="77" t="s">
        <v>12</v>
      </c>
      <c r="U79" t="s">
        <v>23</v>
      </c>
      <c r="V79" s="7" t="s">
        <v>23</v>
      </c>
      <c r="W79" s="7" t="s">
        <v>23</v>
      </c>
      <c r="X79" t="s">
        <v>23</v>
      </c>
      <c r="Y79" t="s">
        <v>23</v>
      </c>
      <c r="Z79" t="s">
        <v>23</v>
      </c>
      <c r="AA79" t="s">
        <v>23</v>
      </c>
      <c r="AB79" t="s">
        <v>23</v>
      </c>
      <c r="AC79" t="s">
        <v>23</v>
      </c>
      <c r="AD79" s="7" t="s">
        <v>23</v>
      </c>
      <c r="AE79" s="7" t="s">
        <v>23</v>
      </c>
      <c r="AF79" s="80">
        <v>0</v>
      </c>
      <c r="AG79" s="80"/>
      <c r="AH79" s="80"/>
      <c r="AI79" s="80"/>
      <c r="AJ79" s="8" t="s">
        <v>31</v>
      </c>
    </row>
    <row r="80" spans="1:36">
      <c r="A80" s="1">
        <v>44532</v>
      </c>
      <c r="B80" s="56">
        <v>1600</v>
      </c>
      <c r="C80" s="55" cm="1">
        <f t="array" ref="C80">(SUM(VLOOKUP(H80:AE80,$AL$4:$AN$44,2,FALSE))+AF80*10)*IF(AJ80="是",$AW$4,$AW$3)</f>
        <v>1680</v>
      </c>
      <c r="D80" s="18">
        <f>SUM($B$4:B80)-SUM($C$4:C80)</f>
        <v>450</v>
      </c>
      <c r="E80" s="55" cm="1">
        <f t="array" ref="E80">SUM(VLOOKUP(H80:AE80,$AL$4:$AN$44,3,FALSE))</f>
        <v>610</v>
      </c>
      <c r="F80" s="98">
        <f>SUM($E$4:E80)+SUM($G$4:G80)</f>
        <v>52225</v>
      </c>
      <c r="G80" s="56">
        <v>0</v>
      </c>
      <c r="H80" s="87" t="s">
        <v>21</v>
      </c>
      <c r="I80" s="87" t="s">
        <v>21</v>
      </c>
      <c r="J80" s="87" t="s">
        <v>21</v>
      </c>
      <c r="K80" s="87" t="s">
        <v>21</v>
      </c>
      <c r="L80" s="87" t="s">
        <v>21</v>
      </c>
      <c r="M80" s="87" t="s">
        <v>21</v>
      </c>
      <c r="N80" s="7" t="s">
        <v>23</v>
      </c>
      <c r="O80" s="7" t="s">
        <v>23</v>
      </c>
      <c r="P80" s="84" t="s">
        <v>19</v>
      </c>
      <c r="Q80" s="84" t="s">
        <v>19</v>
      </c>
      <c r="R80" s="84" t="s">
        <v>19</v>
      </c>
      <c r="S80" s="84" t="s">
        <v>19</v>
      </c>
      <c r="T80" s="84" t="s">
        <v>19</v>
      </c>
      <c r="U80" t="s">
        <v>23</v>
      </c>
      <c r="V80" s="7" t="s">
        <v>23</v>
      </c>
      <c r="W80" s="7" t="s">
        <v>23</v>
      </c>
      <c r="X80" t="s">
        <v>23</v>
      </c>
      <c r="Y80" t="s">
        <v>23</v>
      </c>
      <c r="Z80" t="s">
        <v>23</v>
      </c>
      <c r="AA80" t="s">
        <v>23</v>
      </c>
      <c r="AB80" t="s">
        <v>23</v>
      </c>
      <c r="AC80" t="s">
        <v>23</v>
      </c>
      <c r="AD80" s="7" t="s">
        <v>23</v>
      </c>
      <c r="AE80" s="7" t="s">
        <v>23</v>
      </c>
      <c r="AF80" s="80">
        <v>0</v>
      </c>
      <c r="AG80" s="80"/>
      <c r="AH80" s="80"/>
      <c r="AI80" s="80"/>
      <c r="AJ80" s="8" t="s">
        <v>31</v>
      </c>
    </row>
    <row r="81" spans="1:36">
      <c r="A81" s="1">
        <v>44533</v>
      </c>
      <c r="B81" s="56">
        <v>1600</v>
      </c>
      <c r="C81" s="55" cm="1">
        <f t="array" ref="C81">(SUM(VLOOKUP(H81:AE81,$AL$4:$AN$44,2,FALSE))+AF81*10)*IF(AJ81="是",$AW$4,$AW$3)</f>
        <v>1680</v>
      </c>
      <c r="D81" s="18">
        <f>SUM($B$4:B81)-SUM($C$4:C81)</f>
        <v>370</v>
      </c>
      <c r="E81" s="55" cm="1">
        <f t="array" ref="E81">SUM(VLOOKUP(H81:AE81,$AL$4:$AN$44,3,FALSE))</f>
        <v>610</v>
      </c>
      <c r="F81" s="98">
        <f>SUM($E$4:E81)+SUM($G$4:G81)</f>
        <v>52835</v>
      </c>
      <c r="G81" s="56">
        <v>0</v>
      </c>
      <c r="H81" s="87" t="s">
        <v>21</v>
      </c>
      <c r="I81" s="87" t="s">
        <v>21</v>
      </c>
      <c r="J81" s="87" t="s">
        <v>21</v>
      </c>
      <c r="K81" s="87" t="s">
        <v>21</v>
      </c>
      <c r="L81" s="87" t="s">
        <v>21</v>
      </c>
      <c r="M81" s="87" t="s">
        <v>21</v>
      </c>
      <c r="N81" s="7" t="s">
        <v>23</v>
      </c>
      <c r="O81" s="7" t="s">
        <v>23</v>
      </c>
      <c r="P81" s="84" t="s">
        <v>19</v>
      </c>
      <c r="Q81" s="84" t="s">
        <v>19</v>
      </c>
      <c r="R81" s="84" t="s">
        <v>19</v>
      </c>
      <c r="S81" s="84" t="s">
        <v>19</v>
      </c>
      <c r="T81" s="84" t="s">
        <v>19</v>
      </c>
      <c r="U81" t="s">
        <v>23</v>
      </c>
      <c r="V81" s="7" t="s">
        <v>23</v>
      </c>
      <c r="W81" s="7" t="s">
        <v>23</v>
      </c>
      <c r="X81" t="s">
        <v>23</v>
      </c>
      <c r="Y81" t="s">
        <v>23</v>
      </c>
      <c r="Z81" t="s">
        <v>23</v>
      </c>
      <c r="AA81" t="s">
        <v>23</v>
      </c>
      <c r="AB81" t="s">
        <v>23</v>
      </c>
      <c r="AC81" t="s">
        <v>23</v>
      </c>
      <c r="AD81" s="7" t="s">
        <v>23</v>
      </c>
      <c r="AE81" s="7" t="s">
        <v>23</v>
      </c>
      <c r="AF81" s="80">
        <v>0</v>
      </c>
      <c r="AG81" s="80"/>
      <c r="AH81" s="80"/>
      <c r="AI81" s="80"/>
      <c r="AJ81" s="8" t="s">
        <v>31</v>
      </c>
    </row>
    <row r="82" spans="1:36">
      <c r="A82" s="1">
        <v>44534</v>
      </c>
      <c r="B82" s="56">
        <v>1600</v>
      </c>
      <c r="C82" s="55" cm="1">
        <f t="array" ref="C82">(SUM(VLOOKUP(H82:AE82,$AL$4:$AN$44,2,FALSE))+AF82*10)*IF(AJ82="是",$AW$4,$AW$3)</f>
        <v>1784</v>
      </c>
      <c r="D82" s="18">
        <f>SUM($B$4:B82)-SUM($C$4:C82)</f>
        <v>186</v>
      </c>
      <c r="E82" s="55" cm="1">
        <f t="array" ref="E82">SUM(VLOOKUP(H82:AE82,$AL$4:$AN$44,3,FALSE))</f>
        <v>635</v>
      </c>
      <c r="F82" s="98">
        <f>SUM($E$4:E82)+SUM($G$4:G82)</f>
        <v>53470</v>
      </c>
      <c r="G82" s="56">
        <v>0</v>
      </c>
      <c r="H82" s="87" t="s">
        <v>21</v>
      </c>
      <c r="I82" s="85" t="s">
        <v>20</v>
      </c>
      <c r="J82" s="85" t="s">
        <v>20</v>
      </c>
      <c r="K82" s="85" t="s">
        <v>20</v>
      </c>
      <c r="L82" s="85" t="s">
        <v>20</v>
      </c>
      <c r="M82" s="85" t="s">
        <v>20</v>
      </c>
      <c r="N82" s="7" t="s">
        <v>23</v>
      </c>
      <c r="O82" s="7" t="s">
        <v>23</v>
      </c>
      <c r="P82" s="84" t="s">
        <v>19</v>
      </c>
      <c r="Q82" s="84" t="s">
        <v>19</v>
      </c>
      <c r="R82" s="84" t="s">
        <v>19</v>
      </c>
      <c r="S82" s="84" t="s">
        <v>19</v>
      </c>
      <c r="T82" s="84" t="s">
        <v>19</v>
      </c>
      <c r="U82" s="84" t="s">
        <v>19</v>
      </c>
      <c r="V82" s="7" t="s">
        <v>23</v>
      </c>
      <c r="W82" s="7" t="s">
        <v>23</v>
      </c>
      <c r="X82" t="s">
        <v>23</v>
      </c>
      <c r="Y82" t="s">
        <v>23</v>
      </c>
      <c r="Z82" t="s">
        <v>23</v>
      </c>
      <c r="AA82" t="s">
        <v>23</v>
      </c>
      <c r="AB82" t="s">
        <v>23</v>
      </c>
      <c r="AC82" t="s">
        <v>23</v>
      </c>
      <c r="AD82" s="7" t="s">
        <v>23</v>
      </c>
      <c r="AE82" s="7" t="s">
        <v>23</v>
      </c>
      <c r="AF82" s="80">
        <v>0</v>
      </c>
      <c r="AG82" s="80"/>
      <c r="AH82" s="80"/>
      <c r="AI82" s="80"/>
      <c r="AJ82" s="8" t="s">
        <v>31</v>
      </c>
    </row>
    <row r="83" spans="1:36">
      <c r="A83" s="1">
        <v>44535</v>
      </c>
      <c r="B83" s="56">
        <v>1600</v>
      </c>
      <c r="C83" s="55" cm="1">
        <f t="array" ref="C83">(SUM(VLOOKUP(H83:AE83,$AL$4:$AN$44,2,FALSE))+AF83*10)*IF(AJ83="是",$AW$4,$AW$3)</f>
        <v>1632</v>
      </c>
      <c r="D83" s="18">
        <f>SUM($B$4:B83)-SUM($C$4:C83)</f>
        <v>154</v>
      </c>
      <c r="E83" s="55" cm="1">
        <f t="array" ref="E83">SUM(VLOOKUP(H83:AE83,$AL$4:$AN$44,3,FALSE))</f>
        <v>595</v>
      </c>
      <c r="F83" s="98">
        <f>SUM($E$4:E83)+SUM($G$4:G83)</f>
        <v>54065</v>
      </c>
      <c r="G83" s="56">
        <v>0</v>
      </c>
      <c r="H83" s="85" t="s">
        <v>20</v>
      </c>
      <c r="I83" s="85" t="s">
        <v>20</v>
      </c>
      <c r="J83" s="77" t="s">
        <v>12</v>
      </c>
      <c r="K83" s="85" t="s">
        <v>20</v>
      </c>
      <c r="L83" s="85" t="s">
        <v>20</v>
      </c>
      <c r="M83" s="85" t="s">
        <v>20</v>
      </c>
      <c r="N83" s="7" t="s">
        <v>23</v>
      </c>
      <c r="O83" s="7" t="s">
        <v>23</v>
      </c>
      <c r="P83" s="84" t="s">
        <v>19</v>
      </c>
      <c r="Q83" s="84" t="s">
        <v>19</v>
      </c>
      <c r="R83" s="79" t="s">
        <v>7</v>
      </c>
      <c r="S83" s="84" t="s">
        <v>19</v>
      </c>
      <c r="T83" s="84" t="s">
        <v>19</v>
      </c>
      <c r="U83" s="79" t="s">
        <v>18</v>
      </c>
      <c r="V83" s="7" t="s">
        <v>23</v>
      </c>
      <c r="W83" s="7" t="s">
        <v>23</v>
      </c>
      <c r="X83" t="s">
        <v>23</v>
      </c>
      <c r="Y83" t="s">
        <v>23</v>
      </c>
      <c r="Z83" t="s">
        <v>23</v>
      </c>
      <c r="AA83" t="s">
        <v>23</v>
      </c>
      <c r="AB83" t="s">
        <v>23</v>
      </c>
      <c r="AC83" t="s">
        <v>23</v>
      </c>
      <c r="AD83" s="7" t="s">
        <v>23</v>
      </c>
      <c r="AE83" s="7" t="s">
        <v>23</v>
      </c>
      <c r="AF83" s="80">
        <v>0</v>
      </c>
      <c r="AG83" s="80"/>
      <c r="AH83" s="80"/>
      <c r="AI83" s="80"/>
      <c r="AJ83" s="8" t="s">
        <v>31</v>
      </c>
    </row>
    <row r="84" spans="1:36">
      <c r="A84" s="1">
        <v>44536</v>
      </c>
      <c r="B84" s="55">
        <v>1600</v>
      </c>
      <c r="C84" s="55" cm="1">
        <f t="array" ref="C84">(SUM(VLOOKUP(H84:AE84,$AL$4:$AN$44,2,FALSE))+AF84*10)*IF(AJ84="是",$AW$4,$AW$3)</f>
        <v>1728</v>
      </c>
      <c r="D84" s="57">
        <f>SUM($B$4:B84)-SUM($C$4:C84)</f>
        <v>26</v>
      </c>
      <c r="E84" s="55" cm="1">
        <f t="array" ref="E84">SUM(VLOOKUP(H84:AE84,$AL$4:$AN$44,3,FALSE))</f>
        <v>600</v>
      </c>
      <c r="F84" s="98">
        <f>SUM($E$4:E84)+SUM($G$4:G84)</f>
        <v>54965</v>
      </c>
      <c r="G84" s="55">
        <v>300</v>
      </c>
      <c r="H84" s="85" t="s">
        <v>20</v>
      </c>
      <c r="I84" s="85" t="s">
        <v>20</v>
      </c>
      <c r="J84" s="85" t="s">
        <v>20</v>
      </c>
      <c r="K84" s="85" t="s">
        <v>20</v>
      </c>
      <c r="L84" s="85" t="s">
        <v>20</v>
      </c>
      <c r="M84" s="85" t="s">
        <v>20</v>
      </c>
      <c r="N84" s="7" t="s">
        <v>23</v>
      </c>
      <c r="O84" s="7" t="s">
        <v>23</v>
      </c>
      <c r="P84" s="79" t="s">
        <v>18</v>
      </c>
      <c r="Q84" s="79" t="s">
        <v>18</v>
      </c>
      <c r="R84" s="79" t="s">
        <v>18</v>
      </c>
      <c r="S84" s="79" t="s">
        <v>18</v>
      </c>
      <c r="T84" s="79" t="s">
        <v>18</v>
      </c>
      <c r="U84" s="79" t="s">
        <v>18</v>
      </c>
      <c r="V84" s="7" t="s">
        <v>23</v>
      </c>
      <c r="W84" s="7" t="s">
        <v>23</v>
      </c>
      <c r="X84" t="s">
        <v>23</v>
      </c>
      <c r="Y84" t="s">
        <v>23</v>
      </c>
      <c r="Z84" t="s">
        <v>23</v>
      </c>
      <c r="AA84" t="s">
        <v>23</v>
      </c>
      <c r="AB84" t="s">
        <v>23</v>
      </c>
      <c r="AC84" t="s">
        <v>23</v>
      </c>
      <c r="AD84" s="7" t="s">
        <v>23</v>
      </c>
      <c r="AE84" s="7" t="s">
        <v>23</v>
      </c>
      <c r="AF84" s="80">
        <v>0</v>
      </c>
      <c r="AG84" s="80"/>
      <c r="AH84" s="80"/>
      <c r="AI84" s="80"/>
      <c r="AJ84" s="8" t="s">
        <v>31</v>
      </c>
    </row>
    <row r="85" spans="1:36">
      <c r="A85" s="1">
        <v>44537</v>
      </c>
      <c r="B85" s="55">
        <v>1600</v>
      </c>
      <c r="C85" s="55" cm="1">
        <f t="array" ref="C85">(SUM(VLOOKUP(H85:AE85,$AL$4:$AN$44,2,FALSE))+AF85*10)*IF(AJ85="是",$AW$4,$AW$3)</f>
        <v>1592</v>
      </c>
      <c r="D85" s="57">
        <f>SUM($B$4:B85)-SUM($C$4:C85)</f>
        <v>34</v>
      </c>
      <c r="E85" s="55" cm="1">
        <f t="array" ref="E85">SUM(VLOOKUP(H85:AE85,$AL$4:$AN$44,3,FALSE))</f>
        <v>555</v>
      </c>
      <c r="F85" s="98">
        <f>SUM($E$4:E85)+SUM($G$4:G85)</f>
        <v>55520</v>
      </c>
      <c r="G85" s="55">
        <v>0</v>
      </c>
      <c r="H85" s="85" t="s">
        <v>20</v>
      </c>
      <c r="I85" s="85" t="s">
        <v>20</v>
      </c>
      <c r="J85" s="85" t="s">
        <v>20</v>
      </c>
      <c r="K85" s="85" t="s">
        <v>20</v>
      </c>
      <c r="L85" s="85" t="s">
        <v>20</v>
      </c>
      <c r="M85" s="85" t="s">
        <v>20</v>
      </c>
      <c r="N85" s="7" t="s">
        <v>23</v>
      </c>
      <c r="O85" s="7" t="s">
        <v>23</v>
      </c>
      <c r="P85" s="79" t="s">
        <v>18</v>
      </c>
      <c r="Q85" s="79" t="s">
        <v>18</v>
      </c>
      <c r="R85" s="79" t="s">
        <v>18</v>
      </c>
      <c r="S85" s="79" t="s">
        <v>18</v>
      </c>
      <c r="T85" s="79" t="s">
        <v>18</v>
      </c>
      <c r="U85" t="s">
        <v>23</v>
      </c>
      <c r="V85" s="7" t="s">
        <v>23</v>
      </c>
      <c r="W85" s="7" t="s">
        <v>23</v>
      </c>
      <c r="X85" t="s">
        <v>23</v>
      </c>
      <c r="Y85" t="s">
        <v>23</v>
      </c>
      <c r="Z85" t="s">
        <v>23</v>
      </c>
      <c r="AA85" t="s">
        <v>23</v>
      </c>
      <c r="AB85" t="s">
        <v>23</v>
      </c>
      <c r="AC85" t="s">
        <v>23</v>
      </c>
      <c r="AD85" s="7" t="s">
        <v>23</v>
      </c>
      <c r="AE85" s="7" t="s">
        <v>23</v>
      </c>
      <c r="AF85" s="80">
        <v>0</v>
      </c>
      <c r="AG85" s="80"/>
      <c r="AH85" s="80"/>
      <c r="AI85" s="80"/>
      <c r="AJ85" s="8" t="s">
        <v>31</v>
      </c>
    </row>
    <row r="86" spans="1:36">
      <c r="A86" s="1">
        <v>44538</v>
      </c>
      <c r="B86" s="55">
        <v>1600</v>
      </c>
      <c r="C86" s="55" cm="1">
        <f t="array" ref="C86">(SUM(VLOOKUP(H86:AE86,$AL$4:$AN$44,2,FALSE))+AF86*10)*IF(AJ86="是",$AW$4,$AW$3)</f>
        <v>1504</v>
      </c>
      <c r="D86" s="57">
        <f>SUM($B$4:B86)-SUM($C$4:C86)</f>
        <v>130</v>
      </c>
      <c r="E86" s="55" cm="1">
        <f t="array" ref="E86">SUM(VLOOKUP(H86:AE86,$AL$4:$AN$44,3,FALSE))</f>
        <v>545</v>
      </c>
      <c r="F86" s="98">
        <f>SUM($E$4:E86)+SUM($G$4:G86)</f>
        <v>56265</v>
      </c>
      <c r="G86" s="55">
        <v>200</v>
      </c>
      <c r="H86" s="85" t="s">
        <v>20</v>
      </c>
      <c r="I86" s="85" t="s">
        <v>20</v>
      </c>
      <c r="J86" s="85" t="s">
        <v>20</v>
      </c>
      <c r="K86" s="85" t="s">
        <v>20</v>
      </c>
      <c r="L86" s="85" t="s">
        <v>20</v>
      </c>
      <c r="M86" s="85" t="s">
        <v>20</v>
      </c>
      <c r="N86" s="7" t="s">
        <v>23</v>
      </c>
      <c r="O86" s="7" t="s">
        <v>23</v>
      </c>
      <c r="P86" s="77" t="s">
        <v>12</v>
      </c>
      <c r="Q86" s="79" t="s">
        <v>18</v>
      </c>
      <c r="R86" s="79" t="s">
        <v>18</v>
      </c>
      <c r="S86" s="79" t="s">
        <v>18</v>
      </c>
      <c r="T86" s="84" t="s">
        <v>19</v>
      </c>
      <c r="U86" t="s">
        <v>23</v>
      </c>
      <c r="V86" s="7" t="s">
        <v>23</v>
      </c>
      <c r="W86" s="7" t="s">
        <v>23</v>
      </c>
      <c r="X86" t="s">
        <v>23</v>
      </c>
      <c r="Y86" t="s">
        <v>23</v>
      </c>
      <c r="Z86" t="s">
        <v>23</v>
      </c>
      <c r="AA86" t="s">
        <v>23</v>
      </c>
      <c r="AB86" t="s">
        <v>23</v>
      </c>
      <c r="AC86" t="s">
        <v>23</v>
      </c>
      <c r="AD86" s="7" t="s">
        <v>23</v>
      </c>
      <c r="AE86" s="7" t="s">
        <v>23</v>
      </c>
      <c r="AF86" s="80">
        <v>0</v>
      </c>
      <c r="AG86" s="80"/>
      <c r="AH86" s="80"/>
      <c r="AI86" s="80"/>
      <c r="AJ86" s="8" t="s">
        <v>31</v>
      </c>
    </row>
    <row r="87" spans="1:36">
      <c r="A87" s="1">
        <v>44539</v>
      </c>
      <c r="B87" s="55">
        <v>1600</v>
      </c>
      <c r="C87" s="55" cm="1">
        <f t="array" ref="C87">(SUM(VLOOKUP(H87:AE87,$AL$4:$AN$44,2,FALSE))+AF87*10)*IF(AJ87="是",$AW$4,$AW$3)</f>
        <v>1592</v>
      </c>
      <c r="D87" s="57">
        <f>SUM($B$4:B87)-SUM($C$4:C87)</f>
        <v>138</v>
      </c>
      <c r="E87" s="55" cm="1">
        <f t="array" ref="E87">SUM(VLOOKUP(H87:AE87,$AL$4:$AN$44,3,FALSE))</f>
        <v>630</v>
      </c>
      <c r="F87" s="98">
        <f>SUM($E$4:E87)+SUM($G$4:G87)</f>
        <v>56895</v>
      </c>
      <c r="G87" s="55">
        <v>0</v>
      </c>
      <c r="H87" s="85" t="s">
        <v>20</v>
      </c>
      <c r="I87" s="85" t="s">
        <v>20</v>
      </c>
      <c r="J87" s="82" t="s">
        <v>47</v>
      </c>
      <c r="K87" s="85" t="s">
        <v>20</v>
      </c>
      <c r="L87" s="85" t="s">
        <v>20</v>
      </c>
      <c r="M87" s="85" t="s">
        <v>20</v>
      </c>
      <c r="N87" s="85" t="s">
        <v>20</v>
      </c>
      <c r="O87" s="7" t="s">
        <v>23</v>
      </c>
      <c r="P87" s="84" t="s">
        <v>19</v>
      </c>
      <c r="Q87" s="84" t="s">
        <v>8</v>
      </c>
      <c r="R87" s="84" t="s">
        <v>19</v>
      </c>
      <c r="S87" s="84" t="s">
        <v>19</v>
      </c>
      <c r="T87" s="84" t="s">
        <v>19</v>
      </c>
      <c r="U87" s="84" t="s">
        <v>19</v>
      </c>
      <c r="V87" s="7" t="s">
        <v>23</v>
      </c>
      <c r="W87" s="7" t="s">
        <v>23</v>
      </c>
      <c r="X87" t="s">
        <v>23</v>
      </c>
      <c r="Y87" t="s">
        <v>23</v>
      </c>
      <c r="Z87" t="s">
        <v>23</v>
      </c>
      <c r="AA87" t="s">
        <v>23</v>
      </c>
      <c r="AB87" t="s">
        <v>23</v>
      </c>
      <c r="AC87" t="s">
        <v>23</v>
      </c>
      <c r="AD87" s="7" t="s">
        <v>23</v>
      </c>
      <c r="AE87" s="7" t="s">
        <v>23</v>
      </c>
      <c r="AF87" s="80">
        <v>0</v>
      </c>
      <c r="AG87" s="80"/>
      <c r="AH87" s="80"/>
      <c r="AI87" s="80"/>
      <c r="AJ87" s="8" t="s">
        <v>31</v>
      </c>
    </row>
    <row r="88" spans="1:36">
      <c r="A88" s="1">
        <v>44540</v>
      </c>
      <c r="B88" s="55">
        <v>1600</v>
      </c>
      <c r="C88" s="55" cm="1">
        <f t="array" ref="C88">(SUM(VLOOKUP(H88:AE88,$AL$4:$AN$44,2,FALSE))+AF88*10)*IF(AJ88="是",$AW$4,$AW$3)</f>
        <v>1632</v>
      </c>
      <c r="D88" s="57">
        <f>SUM($B$4:B88)-SUM($C$4:C88)</f>
        <v>106</v>
      </c>
      <c r="E88" s="55" cm="1">
        <f t="array" ref="E88">SUM(VLOOKUP(H88:AE88,$AL$4:$AN$44,3,FALSE))</f>
        <v>580</v>
      </c>
      <c r="F88" s="98">
        <f>SUM($E$4:E88)+SUM($G$4:G88)</f>
        <v>57475</v>
      </c>
      <c r="G88" s="55">
        <v>0</v>
      </c>
      <c r="H88" s="85" t="s">
        <v>20</v>
      </c>
      <c r="I88" s="85" t="s">
        <v>20</v>
      </c>
      <c r="J88" s="85" t="s">
        <v>20</v>
      </c>
      <c r="K88" s="85" t="s">
        <v>20</v>
      </c>
      <c r="L88" s="85" t="s">
        <v>20</v>
      </c>
      <c r="M88" s="85" t="s">
        <v>20</v>
      </c>
      <c r="N88" s="7" t="s">
        <v>23</v>
      </c>
      <c r="O88" s="7" t="s">
        <v>23</v>
      </c>
      <c r="P88" s="84" t="s">
        <v>19</v>
      </c>
      <c r="Q88" s="84" t="s">
        <v>19</v>
      </c>
      <c r="R88" s="84" t="s">
        <v>19</v>
      </c>
      <c r="S88" s="84" t="s">
        <v>19</v>
      </c>
      <c r="T88" s="84" t="s">
        <v>19</v>
      </c>
      <c r="U88" t="s">
        <v>23</v>
      </c>
      <c r="V88" s="7" t="s">
        <v>23</v>
      </c>
      <c r="W88" s="7" t="s">
        <v>23</v>
      </c>
      <c r="X88" t="s">
        <v>23</v>
      </c>
      <c r="Y88" t="s">
        <v>23</v>
      </c>
      <c r="Z88" t="s">
        <v>23</v>
      </c>
      <c r="AA88" t="s">
        <v>23</v>
      </c>
      <c r="AB88" t="s">
        <v>23</v>
      </c>
      <c r="AC88" t="s">
        <v>23</v>
      </c>
      <c r="AD88" s="7" t="s">
        <v>23</v>
      </c>
      <c r="AE88" s="7" t="s">
        <v>23</v>
      </c>
      <c r="AF88" s="80">
        <v>0</v>
      </c>
      <c r="AG88" s="80"/>
      <c r="AH88" s="80"/>
      <c r="AI88" s="80"/>
      <c r="AJ88" s="8" t="s">
        <v>31</v>
      </c>
    </row>
    <row r="89" spans="1:36">
      <c r="A89" s="1">
        <v>44541</v>
      </c>
      <c r="B89" s="55">
        <v>1600</v>
      </c>
      <c r="C89" s="55" cm="1">
        <f t="array" ref="C89">(SUM(VLOOKUP(H89:AE89,$AL$4:$AN$44,2,FALSE))+AF89*10)*IF(AJ89="是",$AW$4,$AW$3)</f>
        <v>1648</v>
      </c>
      <c r="D89" s="57">
        <f>SUM($B$4:B89)-SUM($C$4:C89)</f>
        <v>58</v>
      </c>
      <c r="E89" s="55" cm="1">
        <f t="array" ref="E89">SUM(VLOOKUP(H89:AE89,$AL$4:$AN$44,3,FALSE))</f>
        <v>585</v>
      </c>
      <c r="F89" s="98">
        <f>SUM($E$4:E89)+SUM($G$4:G89)</f>
        <v>58060</v>
      </c>
      <c r="G89" s="55">
        <v>0</v>
      </c>
      <c r="H89" s="85" t="s">
        <v>20</v>
      </c>
      <c r="I89" s="85" t="s">
        <v>20</v>
      </c>
      <c r="J89" s="85" t="s">
        <v>20</v>
      </c>
      <c r="K89" s="85" t="s">
        <v>20</v>
      </c>
      <c r="L89" s="85" t="s">
        <v>20</v>
      </c>
      <c r="M89" s="85" t="s">
        <v>20</v>
      </c>
      <c r="N89" s="7" t="s">
        <v>23</v>
      </c>
      <c r="O89" s="7" t="s">
        <v>23</v>
      </c>
      <c r="P89" s="79" t="s">
        <v>18</v>
      </c>
      <c r="Q89" s="79" t="s">
        <v>18</v>
      </c>
      <c r="R89" s="79" t="s">
        <v>18</v>
      </c>
      <c r="S89" s="79" t="s">
        <v>18</v>
      </c>
      <c r="T89" s="79" t="s">
        <v>18</v>
      </c>
      <c r="U89" s="77" t="s">
        <v>12</v>
      </c>
      <c r="V89" s="7" t="s">
        <v>23</v>
      </c>
      <c r="W89" s="7" t="s">
        <v>23</v>
      </c>
      <c r="X89" t="s">
        <v>23</v>
      </c>
      <c r="Y89" t="s">
        <v>23</v>
      </c>
      <c r="Z89" t="s">
        <v>23</v>
      </c>
      <c r="AA89" t="s">
        <v>23</v>
      </c>
      <c r="AB89" t="s">
        <v>23</v>
      </c>
      <c r="AC89" t="s">
        <v>23</v>
      </c>
      <c r="AD89" s="7" t="s">
        <v>23</v>
      </c>
      <c r="AE89" s="7" t="s">
        <v>23</v>
      </c>
      <c r="AF89" s="80">
        <v>2</v>
      </c>
      <c r="AG89" s="80"/>
      <c r="AH89" s="80">
        <v>2</v>
      </c>
      <c r="AI89" s="80"/>
      <c r="AJ89" s="8" t="s">
        <v>31</v>
      </c>
    </row>
    <row r="90" spans="1:36">
      <c r="A90" s="1">
        <v>44542</v>
      </c>
      <c r="B90" s="55">
        <v>1600</v>
      </c>
      <c r="C90" s="55" cm="1">
        <f t="array" ref="C90">(SUM(VLOOKUP(H90:AE90,$AL$4:$AN$44,2,FALSE))+AF90*10)*IF(AJ90="是",$AW$4,$AW$3)</f>
        <v>1624</v>
      </c>
      <c r="D90" s="57">
        <f>SUM($B$4:B90)-SUM($C$4:C90)</f>
        <v>34</v>
      </c>
      <c r="E90" s="55" cm="1">
        <f t="array" ref="E90">SUM(VLOOKUP(H90:AE90,$AL$4:$AN$44,3,FALSE))</f>
        <v>575</v>
      </c>
      <c r="F90" s="98">
        <f>SUM($E$4:E90)+SUM($G$4:G90)</f>
        <v>58635</v>
      </c>
      <c r="G90" s="55">
        <v>0</v>
      </c>
      <c r="H90" s="85" t="s">
        <v>20</v>
      </c>
      <c r="I90" s="85" t="s">
        <v>20</v>
      </c>
      <c r="J90" s="85" t="s">
        <v>20</v>
      </c>
      <c r="K90" s="85" t="s">
        <v>20</v>
      </c>
      <c r="L90" s="85" t="s">
        <v>20</v>
      </c>
      <c r="M90" s="77" t="s">
        <v>12</v>
      </c>
      <c r="N90" s="7" t="s">
        <v>23</v>
      </c>
      <c r="O90" s="7" t="s">
        <v>23</v>
      </c>
      <c r="P90" s="79" t="s">
        <v>18</v>
      </c>
      <c r="Q90" s="79" t="s">
        <v>18</v>
      </c>
      <c r="R90" s="79" t="s">
        <v>18</v>
      </c>
      <c r="S90" s="79" t="s">
        <v>18</v>
      </c>
      <c r="T90" s="79" t="s">
        <v>18</v>
      </c>
      <c r="U90" s="79" t="s">
        <v>18</v>
      </c>
      <c r="V90" s="7" t="s">
        <v>23</v>
      </c>
      <c r="W90" s="7" t="s">
        <v>23</v>
      </c>
      <c r="X90" t="s">
        <v>23</v>
      </c>
      <c r="Y90" t="s">
        <v>23</v>
      </c>
      <c r="Z90" t="s">
        <v>23</v>
      </c>
      <c r="AA90" t="s">
        <v>23</v>
      </c>
      <c r="AB90" t="s">
        <v>23</v>
      </c>
      <c r="AC90" t="s">
        <v>23</v>
      </c>
      <c r="AD90" s="7" t="s">
        <v>23</v>
      </c>
      <c r="AE90" s="7" t="s">
        <v>23</v>
      </c>
      <c r="AF90" s="80">
        <v>1</v>
      </c>
      <c r="AG90" s="80"/>
      <c r="AH90" s="80">
        <v>1</v>
      </c>
      <c r="AI90" s="80"/>
      <c r="AJ90" s="8" t="s">
        <v>31</v>
      </c>
    </row>
    <row r="91" spans="1:36">
      <c r="A91" s="1">
        <v>44543</v>
      </c>
      <c r="B91" s="56">
        <v>1600</v>
      </c>
      <c r="C91" s="55" cm="1">
        <f t="array" ref="C91">(SUM(VLOOKUP(H91:AE91,$AL$4:$AN$44,2,FALSE))+AF91*10)*IF(AJ91="是",$AW$4,$AW$3)</f>
        <v>1584</v>
      </c>
      <c r="D91" s="18">
        <f>SUM($B$4:B91)-SUM($C$4:C91)</f>
        <v>50</v>
      </c>
      <c r="E91" s="55" cm="1">
        <f t="array" ref="E91">SUM(VLOOKUP(H91:AE91,$AL$4:$AN$44,3,FALSE))</f>
        <v>555</v>
      </c>
      <c r="F91" s="98">
        <f>SUM($E$4:E91)+SUM($G$4:G91)</f>
        <v>59490</v>
      </c>
      <c r="G91" s="56">
        <v>300</v>
      </c>
      <c r="H91" s="85" t="s">
        <v>20</v>
      </c>
      <c r="I91" s="85" t="s">
        <v>20</v>
      </c>
      <c r="J91" s="85" t="s">
        <v>20</v>
      </c>
      <c r="K91" s="85" t="s">
        <v>20</v>
      </c>
      <c r="L91" s="85" t="s">
        <v>20</v>
      </c>
      <c r="M91" s="85" t="s">
        <v>20</v>
      </c>
      <c r="N91" s="7" t="s">
        <v>23</v>
      </c>
      <c r="O91" s="7" t="s">
        <v>23</v>
      </c>
      <c r="P91" s="79" t="s">
        <v>18</v>
      </c>
      <c r="Q91" s="79" t="s">
        <v>18</v>
      </c>
      <c r="R91" s="79" t="s">
        <v>7</v>
      </c>
      <c r="S91" s="79" t="s">
        <v>18</v>
      </c>
      <c r="T91" s="79" t="s">
        <v>18</v>
      </c>
      <c r="U91" t="s">
        <v>23</v>
      </c>
      <c r="V91" s="7" t="s">
        <v>23</v>
      </c>
      <c r="W91" s="7" t="s">
        <v>23</v>
      </c>
      <c r="X91" t="s">
        <v>23</v>
      </c>
      <c r="Y91" t="s">
        <v>23</v>
      </c>
      <c r="Z91" t="s">
        <v>23</v>
      </c>
      <c r="AA91" t="s">
        <v>23</v>
      </c>
      <c r="AB91" t="s">
        <v>23</v>
      </c>
      <c r="AC91" t="s">
        <v>23</v>
      </c>
      <c r="AD91" s="7" t="s">
        <v>23</v>
      </c>
      <c r="AE91" s="7" t="s">
        <v>23</v>
      </c>
      <c r="AF91" s="80">
        <v>1</v>
      </c>
      <c r="AG91" s="80"/>
      <c r="AH91" s="80">
        <v>1</v>
      </c>
      <c r="AI91" s="80"/>
      <c r="AJ91" s="8" t="s">
        <v>31</v>
      </c>
    </row>
    <row r="92" spans="1:36">
      <c r="A92" s="1">
        <v>44544</v>
      </c>
      <c r="B92" s="56">
        <v>1600</v>
      </c>
      <c r="C92" s="55" cm="1">
        <f t="array" ref="C92">(SUM(VLOOKUP(H92:AE92,$AL$4:$AN$44,2,FALSE))+AF92*10)*IF(AJ92="是",$AW$4,$AW$3)</f>
        <v>1480</v>
      </c>
      <c r="D92" s="18">
        <f>SUM($B$4:B92)-SUM($C$4:C92)</f>
        <v>170</v>
      </c>
      <c r="E92" s="55" cm="1">
        <f t="array" ref="E92">SUM(VLOOKUP(H92:AE92,$AL$4:$AN$44,3,FALSE))</f>
        <v>580</v>
      </c>
      <c r="F92" s="98">
        <f>SUM($E$4:E92)+SUM($G$4:G92)</f>
        <v>60070</v>
      </c>
      <c r="G92" s="56">
        <v>0</v>
      </c>
      <c r="H92" s="85" t="s">
        <v>20</v>
      </c>
      <c r="I92" s="85" t="s">
        <v>20</v>
      </c>
      <c r="J92" s="85" t="s">
        <v>20</v>
      </c>
      <c r="K92" s="85" t="s">
        <v>20</v>
      </c>
      <c r="L92" s="85" t="s">
        <v>20</v>
      </c>
      <c r="M92" s="85" t="s">
        <v>20</v>
      </c>
      <c r="N92" s="7" t="s">
        <v>23</v>
      </c>
      <c r="O92" s="7" t="s">
        <v>23</v>
      </c>
      <c r="P92" s="79" t="s">
        <v>18</v>
      </c>
      <c r="Q92" s="79" t="s">
        <v>18</v>
      </c>
      <c r="R92" s="79" t="s">
        <v>18</v>
      </c>
      <c r="S92" s="82" t="s">
        <v>47</v>
      </c>
      <c r="T92" s="78" t="s">
        <v>17</v>
      </c>
      <c r="U92" s="77" t="s">
        <v>12</v>
      </c>
      <c r="V92" s="79" t="s">
        <v>18</v>
      </c>
      <c r="W92" s="7" t="s">
        <v>23</v>
      </c>
      <c r="X92" t="s">
        <v>23</v>
      </c>
      <c r="Y92" t="s">
        <v>23</v>
      </c>
      <c r="Z92" t="s">
        <v>23</v>
      </c>
      <c r="AA92" t="s">
        <v>23</v>
      </c>
      <c r="AB92" t="s">
        <v>23</v>
      </c>
      <c r="AC92" t="s">
        <v>23</v>
      </c>
      <c r="AD92" s="7" t="s">
        <v>23</v>
      </c>
      <c r="AE92" s="7" t="s">
        <v>23</v>
      </c>
      <c r="AF92" s="80">
        <v>2</v>
      </c>
      <c r="AG92" s="80"/>
      <c r="AH92" s="80">
        <v>2</v>
      </c>
      <c r="AI92" s="80"/>
      <c r="AJ92" s="8" t="s">
        <v>31</v>
      </c>
    </row>
    <row r="93" spans="1:36">
      <c r="A93" s="1">
        <v>44545</v>
      </c>
      <c r="B93" s="56">
        <v>1600</v>
      </c>
      <c r="C93" s="55" cm="1">
        <f t="array" ref="C93">(SUM(VLOOKUP(H93:AE93,$AL$4:$AN$44,2,FALSE))+AF93*10)*IF(AJ93="是",$AW$4,$AW$3)</f>
        <v>1736</v>
      </c>
      <c r="D93" s="18">
        <f>SUM($B$4:B93)-SUM($C$4:C93)</f>
        <v>34</v>
      </c>
      <c r="E93" s="55" cm="1">
        <f t="array" ref="E93">SUM(VLOOKUP(H93:AE93,$AL$4:$AN$44,3,FALSE))</f>
        <v>600</v>
      </c>
      <c r="F93" s="98">
        <f>SUM($E$4:E93)+SUM($G$4:G93)</f>
        <v>60870</v>
      </c>
      <c r="G93" s="56">
        <v>200</v>
      </c>
      <c r="H93" s="85" t="s">
        <v>20</v>
      </c>
      <c r="I93" s="85" t="s">
        <v>20</v>
      </c>
      <c r="J93" s="85" t="s">
        <v>20</v>
      </c>
      <c r="K93" s="85" t="s">
        <v>20</v>
      </c>
      <c r="L93" s="85" t="s">
        <v>20</v>
      </c>
      <c r="M93" s="85" t="s">
        <v>20</v>
      </c>
      <c r="N93" s="7" t="s">
        <v>23</v>
      </c>
      <c r="O93" s="7" t="s">
        <v>23</v>
      </c>
      <c r="P93" s="79" t="s">
        <v>18</v>
      </c>
      <c r="Q93" s="79" t="s">
        <v>18</v>
      </c>
      <c r="R93" s="79" t="s">
        <v>18</v>
      </c>
      <c r="S93" s="79" t="s">
        <v>18</v>
      </c>
      <c r="T93" s="79" t="s">
        <v>18</v>
      </c>
      <c r="U93" s="79" t="s">
        <v>18</v>
      </c>
      <c r="V93" s="7" t="s">
        <v>23</v>
      </c>
      <c r="W93" s="7" t="s">
        <v>23</v>
      </c>
      <c r="X93" t="s">
        <v>23</v>
      </c>
      <c r="Y93" t="s">
        <v>23</v>
      </c>
      <c r="Z93" t="s">
        <v>23</v>
      </c>
      <c r="AA93" t="s">
        <v>23</v>
      </c>
      <c r="AB93" t="s">
        <v>23</v>
      </c>
      <c r="AC93" t="s">
        <v>23</v>
      </c>
      <c r="AD93" s="7" t="s">
        <v>23</v>
      </c>
      <c r="AE93" s="7" t="s">
        <v>23</v>
      </c>
      <c r="AF93" s="80">
        <v>1</v>
      </c>
      <c r="AG93" s="80"/>
      <c r="AH93" s="80">
        <v>1</v>
      </c>
      <c r="AI93" s="80"/>
      <c r="AJ93" s="8" t="s">
        <v>31</v>
      </c>
    </row>
    <row r="94" spans="1:36" ht="15.75" thickBot="1">
      <c r="A94" s="1">
        <v>44546</v>
      </c>
      <c r="B94">
        <v>1600</v>
      </c>
      <c r="C94" s="55" cm="1">
        <f t="array" ref="C94">(SUM(VLOOKUP(H94:AE94,$AL$4:$AN$44,2,FALSE))+AF94*10)*IF(AJ94="是",$AW$4,$AW$3)</f>
        <v>1632</v>
      </c>
      <c r="D94" s="18">
        <f>SUM($B$4:B94)-SUM($C$4:C94)</f>
        <v>2</v>
      </c>
      <c r="E94" s="55" cm="1">
        <f t="array" ref="E94">SUM(VLOOKUP(H94:AE94,$AL$4:$AN$44,3,FALSE))</f>
        <v>585</v>
      </c>
      <c r="F94" s="98">
        <f>SUM($E$4:E94)+SUM($G$4:G94)</f>
        <v>61455</v>
      </c>
      <c r="G94">
        <v>0</v>
      </c>
      <c r="H94" s="85" t="s">
        <v>20</v>
      </c>
      <c r="I94" s="85" t="s">
        <v>20</v>
      </c>
      <c r="J94" s="85" t="s">
        <v>20</v>
      </c>
      <c r="K94" s="85" t="s">
        <v>20</v>
      </c>
      <c r="L94" s="85" t="s">
        <v>20</v>
      </c>
      <c r="M94" s="85" t="s">
        <v>20</v>
      </c>
      <c r="N94" s="7" t="s">
        <v>23</v>
      </c>
      <c r="O94" s="7" t="s">
        <v>23</v>
      </c>
      <c r="P94" s="79" t="s">
        <v>18</v>
      </c>
      <c r="Q94" s="77" t="s">
        <v>12</v>
      </c>
      <c r="R94" s="79" t="s">
        <v>18</v>
      </c>
      <c r="S94" s="79" t="s">
        <v>18</v>
      </c>
      <c r="T94" s="79" t="s">
        <v>18</v>
      </c>
      <c r="U94" s="79" t="s">
        <v>18</v>
      </c>
      <c r="V94" s="7" t="s">
        <v>23</v>
      </c>
      <c r="W94" s="7" t="s">
        <v>23</v>
      </c>
      <c r="X94" t="s">
        <v>23</v>
      </c>
      <c r="Y94" t="s">
        <v>23</v>
      </c>
      <c r="Z94" t="s">
        <v>23</v>
      </c>
      <c r="AA94" t="s">
        <v>23</v>
      </c>
      <c r="AB94" t="s">
        <v>23</v>
      </c>
      <c r="AC94" t="s">
        <v>23</v>
      </c>
      <c r="AD94" s="7" t="s">
        <v>23</v>
      </c>
      <c r="AE94" s="7" t="s">
        <v>23</v>
      </c>
      <c r="AF94" s="80">
        <v>0</v>
      </c>
      <c r="AG94" s="80"/>
      <c r="AH94" s="80"/>
      <c r="AI94" s="80"/>
      <c r="AJ94" s="9" t="s">
        <v>31</v>
      </c>
    </row>
    <row r="96" spans="1:36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{C64557D6-BEA5-4B78-B30B-6594CEB6ED9B}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64557D6-BEA5-4B78-B30B-6594CEB6ED9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B4A17-5557-4523-831F-9D6C0F5CFDB8}">
  <dimension ref="A1:AY101"/>
  <sheetViews>
    <sheetView topLeftCell="A52" zoomScale="85" zoomScaleNormal="85" workbookViewId="0">
      <selection activeCell="AK10" sqref="AK10"/>
    </sheetView>
  </sheetViews>
  <sheetFormatPr defaultRowHeight="15"/>
  <cols>
    <col min="1" max="1" width="11.85546875" bestFit="1" customWidth="1"/>
    <col min="2" max="2" width="9" customWidth="1"/>
    <col min="3" max="3" width="5.7109375" bestFit="1" customWidth="1"/>
    <col min="4" max="4" width="6.42578125" customWidth="1"/>
    <col min="5" max="5" width="5.7109375" bestFit="1" customWidth="1"/>
    <col min="6" max="6" width="6.5703125" customWidth="1"/>
    <col min="7" max="7" width="5" bestFit="1" customWidth="1"/>
    <col min="8" max="14" width="7.28515625" customWidth="1"/>
    <col min="15" max="15" width="7.140625" customWidth="1"/>
    <col min="16" max="31" width="7.28515625" customWidth="1"/>
    <col min="32" max="32" width="5.140625" bestFit="1" customWidth="1"/>
    <col min="33" max="35" width="5.140625" customWidth="1"/>
    <col min="36" max="36" width="5.140625" bestFit="1" customWidth="1"/>
  </cols>
  <sheetData>
    <row r="1" spans="1:51" ht="28.15" customHeight="1" thickBot="1">
      <c r="A1" s="117">
        <f ca="1">(_xlfn.DAYS(TODAY(),A4)+2)/((_xlfn.DAYS(A94,A4))+1)</f>
        <v>0.69230769230769229</v>
      </c>
      <c r="B1" s="118"/>
      <c r="C1" s="118"/>
      <c r="D1" s="118"/>
      <c r="E1" s="118"/>
      <c r="F1" s="118"/>
      <c r="G1" s="119"/>
      <c r="H1" s="120" t="s">
        <v>37</v>
      </c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2"/>
      <c r="AG1" s="42"/>
      <c r="AH1" s="42"/>
      <c r="AI1" s="42"/>
      <c r="AL1" s="116" t="s">
        <v>42</v>
      </c>
      <c r="AM1" s="116"/>
      <c r="AN1" s="116"/>
    </row>
    <row r="2" spans="1:51" ht="16.149999999999999" customHeight="1" thickBot="1">
      <c r="A2" t="s">
        <v>73</v>
      </c>
      <c r="B2" s="51"/>
      <c r="C2" s="124" t="s">
        <v>35</v>
      </c>
      <c r="D2" s="125"/>
      <c r="E2" s="126">
        <f>SUM(E4:E94)+SUM(G4:G94)</f>
        <v>61405</v>
      </c>
      <c r="F2" s="126"/>
      <c r="G2" s="127"/>
      <c r="H2" s="128" t="s">
        <v>48</v>
      </c>
      <c r="I2" s="129"/>
      <c r="J2" s="73" t="s">
        <v>46</v>
      </c>
      <c r="K2" s="73">
        <f>COUNTIF(H18:O94,"&lt;&gt;空")-3</f>
        <v>221</v>
      </c>
      <c r="L2" s="129" t="s">
        <v>45</v>
      </c>
      <c r="M2" s="129"/>
      <c r="N2" s="129"/>
      <c r="O2" s="130"/>
      <c r="P2" s="132" t="s">
        <v>49</v>
      </c>
      <c r="Q2" s="133"/>
      <c r="R2" s="74" t="s">
        <v>46</v>
      </c>
      <c r="S2" s="74">
        <f>COUNTIF(P4:W94,"&lt;&gt;空")</f>
        <v>303</v>
      </c>
      <c r="T2" s="133" t="s">
        <v>45</v>
      </c>
      <c r="U2" s="133"/>
      <c r="V2" s="133"/>
      <c r="W2" s="134"/>
      <c r="X2" s="131" t="s">
        <v>33</v>
      </c>
      <c r="Y2" s="111"/>
      <c r="Z2" s="58" t="s">
        <v>44</v>
      </c>
      <c r="AA2" s="72">
        <f>COUNTIF(X4:AE94,"&lt;&gt;空")</f>
        <v>412</v>
      </c>
      <c r="AB2" s="111" t="s">
        <v>45</v>
      </c>
      <c r="AC2" s="111"/>
      <c r="AD2" s="111"/>
      <c r="AE2" s="112"/>
      <c r="AF2" s="41">
        <f>SUM(AF4:AF94)</f>
        <v>50</v>
      </c>
      <c r="AG2" s="41">
        <f t="shared" ref="AG2:AI2" si="0">SUM(AG4:AG94)</f>
        <v>17</v>
      </c>
      <c r="AH2" s="41">
        <f>SUM(AH4:AH94)</f>
        <v>25</v>
      </c>
      <c r="AI2" s="41">
        <f t="shared" si="0"/>
        <v>8</v>
      </c>
      <c r="AJ2" s="113" t="s">
        <v>29</v>
      </c>
      <c r="AL2" s="123"/>
      <c r="AM2" s="123"/>
      <c r="AN2" s="123"/>
      <c r="AV2" s="10"/>
      <c r="AW2" s="11" t="s">
        <v>32</v>
      </c>
    </row>
    <row r="3" spans="1:51" ht="60.75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37">
        <v>1</v>
      </c>
      <c r="Q3" s="38">
        <v>2</v>
      </c>
      <c r="R3" s="38">
        <v>3</v>
      </c>
      <c r="S3" s="38">
        <v>4</v>
      </c>
      <c r="T3" s="38">
        <v>5</v>
      </c>
      <c r="U3" s="38">
        <v>6</v>
      </c>
      <c r="V3" s="38">
        <v>7</v>
      </c>
      <c r="W3" s="38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114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.75" thickBot="1">
      <c r="A4" s="76">
        <v>44456</v>
      </c>
      <c r="B4" s="55">
        <v>800</v>
      </c>
      <c r="C4" s="55" cm="1">
        <f t="array" ref="C4">(SUM(VLOOKUP(H4:AE4,$AL$4:$AN$44,2,FALSE))+AF4*10)*IF(AJ4="是",$AW$4,$AW$3)</f>
        <v>750</v>
      </c>
      <c r="D4" s="57">
        <f>SUM($B$4:B4)-SUM($C$4:C4)</f>
        <v>50</v>
      </c>
      <c r="E4" s="55" cm="1">
        <f t="array" ref="E4">SUM(VLOOKUP(H4:AE4,$AL$4:$AN$44,3,FALSE))</f>
        <v>175</v>
      </c>
      <c r="F4" s="55">
        <f>SUM($E$4:E4)+SUM($G$4:G4)</f>
        <v>175</v>
      </c>
      <c r="G4" s="55">
        <v>0</v>
      </c>
      <c r="H4" s="20" t="s">
        <v>16</v>
      </c>
      <c r="I4" s="20" t="s">
        <v>16</v>
      </c>
      <c r="J4" s="20" t="s">
        <v>16</v>
      </c>
      <c r="K4" s="20" t="s">
        <v>16</v>
      </c>
      <c r="L4" s="20" t="s">
        <v>16</v>
      </c>
      <c r="M4" t="s">
        <v>23</v>
      </c>
      <c r="N4" s="7" t="s">
        <v>23</v>
      </c>
      <c r="O4" s="7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s="7" t="s">
        <v>23</v>
      </c>
      <c r="W4" s="7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s="7" t="s">
        <v>23</v>
      </c>
      <c r="AE4" s="7" t="s">
        <v>23</v>
      </c>
      <c r="AF4" s="36">
        <v>0</v>
      </c>
      <c r="AG4" s="36"/>
      <c r="AH4" s="36"/>
      <c r="AI4" s="36"/>
      <c r="AJ4" s="8" t="s">
        <v>30</v>
      </c>
      <c r="AL4" s="20" t="s">
        <v>16</v>
      </c>
      <c r="AM4" s="19">
        <v>150</v>
      </c>
      <c r="AN4" s="19">
        <v>35</v>
      </c>
      <c r="AO4" s="19">
        <f t="shared" ref="AO4:AO26" si="1">COUNTIF($H$4:$O$94,AL4)</f>
        <v>14</v>
      </c>
      <c r="AP4" s="19">
        <f>COUNTIF($P$4:$W$94,AL4)</f>
        <v>0</v>
      </c>
      <c r="AQ4" s="19">
        <f>COUNTIF($X$4:$AE$94,AL4)</f>
        <v>12</v>
      </c>
      <c r="AR4" s="19">
        <f>AO4+AP4+AQ4</f>
        <v>26</v>
      </c>
      <c r="AS4" s="50">
        <f>AO4*$AN4</f>
        <v>490</v>
      </c>
      <c r="AT4" s="50">
        <f t="shared" ref="AT4:AU19" si="2">AP4*$AN4</f>
        <v>0</v>
      </c>
      <c r="AU4" s="50">
        <f t="shared" si="2"/>
        <v>420</v>
      </c>
      <c r="AV4" s="45" t="s">
        <v>26</v>
      </c>
      <c r="AW4" s="15">
        <v>0.8</v>
      </c>
      <c r="AY4">
        <f>AM4*0.8</f>
        <v>120</v>
      </c>
    </row>
    <row r="5" spans="1:51">
      <c r="A5" s="76">
        <v>44457</v>
      </c>
      <c r="B5" s="55">
        <v>1600</v>
      </c>
      <c r="C5" s="55" cm="1">
        <f t="array" ref="C5">(SUM(VLOOKUP(H5:AE5,$AL$4:$AN$44,2,FALSE))+AF5*10)*IF(AJ5="是",$AW$4,$AW$3)</f>
        <v>900</v>
      </c>
      <c r="D5" s="57">
        <f>SUM($B$4:B5)-SUM($C$4:C5)</f>
        <v>750</v>
      </c>
      <c r="E5" s="55" cm="1">
        <f t="array" ref="E5">SUM(VLOOKUP(H5:AE5,$AL$4:$AN$44,3,FALSE))</f>
        <v>210</v>
      </c>
      <c r="F5" s="55">
        <f>SUM($E$4:E5)+SUM($G$4:G5)</f>
        <v>885</v>
      </c>
      <c r="G5" s="55">
        <v>500</v>
      </c>
      <c r="H5" s="20" t="s">
        <v>16</v>
      </c>
      <c r="I5" s="20" t="s">
        <v>16</v>
      </c>
      <c r="J5" s="20" t="s">
        <v>16</v>
      </c>
      <c r="K5" s="20" t="s">
        <v>16</v>
      </c>
      <c r="L5" s="20" t="s">
        <v>16</v>
      </c>
      <c r="M5" s="20" t="s">
        <v>16</v>
      </c>
      <c r="N5" s="7" t="s">
        <v>23</v>
      </c>
      <c r="O5" s="7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s="7" t="s">
        <v>23</v>
      </c>
      <c r="W5" s="7" t="s">
        <v>23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s="7" t="s">
        <v>23</v>
      </c>
      <c r="AE5" s="7" t="s">
        <v>23</v>
      </c>
      <c r="AF5" s="36">
        <v>0</v>
      </c>
      <c r="AG5" s="36"/>
      <c r="AH5" s="36"/>
      <c r="AI5" s="36"/>
      <c r="AJ5" s="8" t="s">
        <v>30</v>
      </c>
      <c r="AL5" s="21" t="s">
        <v>17</v>
      </c>
      <c r="AM5" s="19">
        <v>160</v>
      </c>
      <c r="AN5" s="19">
        <v>40</v>
      </c>
      <c r="AO5" s="19">
        <f t="shared" si="1"/>
        <v>17</v>
      </c>
      <c r="AP5" s="19">
        <f t="shared" ref="AP5:AP26" si="3">COUNTIF($P$4:$W$94,AL5)</f>
        <v>1</v>
      </c>
      <c r="AQ5" s="19">
        <f t="shared" ref="AQ5:AQ26" si="4">COUNTIF($X$4:$AE$94,AL5)</f>
        <v>9</v>
      </c>
      <c r="AR5" s="19">
        <f t="shared" ref="AR5:AR26" si="5">AO5+AP5+AQ5</f>
        <v>27</v>
      </c>
      <c r="AS5" s="50">
        <f t="shared" ref="AS5:AU28" si="6">AO5*$AN5</f>
        <v>680</v>
      </c>
      <c r="AT5" s="50">
        <f t="shared" si="2"/>
        <v>40</v>
      </c>
      <c r="AU5" s="50">
        <f t="shared" si="2"/>
        <v>360</v>
      </c>
      <c r="AV5" s="115" t="s">
        <v>34</v>
      </c>
      <c r="AW5" s="115"/>
      <c r="AY5">
        <f t="shared" ref="AY5:AY28" si="7">AM5*0.8</f>
        <v>128</v>
      </c>
    </row>
    <row r="6" spans="1:51">
      <c r="A6" s="1">
        <v>44458</v>
      </c>
      <c r="B6" s="55">
        <v>1600</v>
      </c>
      <c r="C6" s="55" cm="1">
        <f t="array" ref="C6">(SUM(VLOOKUP(H6:AE6,$AL$4:$AN$44,2,FALSE))+AF6*10)*IF(AJ6="是",$AW$4,$AW$3)</f>
        <v>980</v>
      </c>
      <c r="D6" s="57">
        <f>SUM($B$4:B6)-SUM($C$4:C6)</f>
        <v>1370</v>
      </c>
      <c r="E6" s="55" cm="1">
        <f t="array" ref="E6">SUM(VLOOKUP(H6:AE6,$AL$4:$AN$44,3,FALSE))</f>
        <v>225</v>
      </c>
      <c r="F6" s="55">
        <f>SUM($E$4:E6)+SUM($G$4:G6)</f>
        <v>1110</v>
      </c>
      <c r="G6" s="55">
        <v>0</v>
      </c>
      <c r="H6" s="20" t="s">
        <v>16</v>
      </c>
      <c r="I6" s="20" t="s">
        <v>16</v>
      </c>
      <c r="J6" s="66" t="s">
        <v>16</v>
      </c>
      <c r="K6" s="67" t="s">
        <v>17</v>
      </c>
      <c r="L6" s="21" t="s">
        <v>17</v>
      </c>
      <c r="M6" s="21" t="s">
        <v>17</v>
      </c>
      <c r="N6" s="7" t="s">
        <v>23</v>
      </c>
      <c r="O6" s="7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s="7" t="s">
        <v>23</v>
      </c>
      <c r="W6" s="7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23</v>
      </c>
      <c r="AD6" s="7" t="s">
        <v>23</v>
      </c>
      <c r="AE6" s="7" t="s">
        <v>23</v>
      </c>
      <c r="AF6" s="36">
        <v>5</v>
      </c>
      <c r="AG6" s="36">
        <v>5</v>
      </c>
      <c r="AH6" s="36"/>
      <c r="AI6" s="36"/>
      <c r="AJ6" s="8" t="s">
        <v>30</v>
      </c>
      <c r="AL6" s="22" t="s">
        <v>18</v>
      </c>
      <c r="AM6" s="19">
        <v>170</v>
      </c>
      <c r="AN6" s="19">
        <v>45</v>
      </c>
      <c r="AO6" s="19">
        <f t="shared" si="1"/>
        <v>136</v>
      </c>
      <c r="AP6" s="19">
        <f t="shared" si="3"/>
        <v>44</v>
      </c>
      <c r="AQ6" s="19">
        <f t="shared" si="4"/>
        <v>10</v>
      </c>
      <c r="AR6" s="19">
        <f t="shared" si="5"/>
        <v>190</v>
      </c>
      <c r="AS6" s="50">
        <f t="shared" si="6"/>
        <v>6120</v>
      </c>
      <c r="AT6" s="50">
        <f t="shared" si="2"/>
        <v>1980</v>
      </c>
      <c r="AU6" s="50">
        <f t="shared" si="2"/>
        <v>450</v>
      </c>
      <c r="AV6" s="116"/>
      <c r="AW6" s="116"/>
      <c r="AY6">
        <f t="shared" si="7"/>
        <v>136</v>
      </c>
    </row>
    <row r="7" spans="1:51">
      <c r="A7" s="1">
        <v>44459</v>
      </c>
      <c r="B7" s="56">
        <v>1600</v>
      </c>
      <c r="C7" s="55" cm="1">
        <f t="array" ref="C7">(SUM(VLOOKUP(H7:AE7,$AL$4:$AN$44,2,FALSE))+AF7*10)*IF(AJ7="是",$AW$4,$AW$3)</f>
        <v>990</v>
      </c>
      <c r="D7" s="18">
        <f>SUM($B$4:B7)-SUM($C$4:C7)</f>
        <v>1980</v>
      </c>
      <c r="E7" s="55" cm="1">
        <f t="array" ref="E7">SUM(VLOOKUP(H7:AE7,$AL$4:$AN$44,3,FALSE))</f>
        <v>260</v>
      </c>
      <c r="F7" s="55">
        <f>SUM($E$4:E7)+SUM($G$4:G7)</f>
        <v>1570</v>
      </c>
      <c r="G7" s="56">
        <v>200</v>
      </c>
      <c r="H7" s="21" t="s">
        <v>6</v>
      </c>
      <c r="I7" s="21" t="s">
        <v>17</v>
      </c>
      <c r="J7" s="22" t="s">
        <v>18</v>
      </c>
      <c r="K7" s="22" t="s">
        <v>18</v>
      </c>
      <c r="L7" s="22" t="s">
        <v>18</v>
      </c>
      <c r="M7" s="22" t="s">
        <v>18</v>
      </c>
      <c r="N7" s="7" t="s">
        <v>23</v>
      </c>
      <c r="O7" s="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s="7" t="s">
        <v>23</v>
      </c>
      <c r="W7" s="7" t="s">
        <v>23</v>
      </c>
      <c r="X7" t="s">
        <v>23</v>
      </c>
      <c r="Y7" t="s">
        <v>23</v>
      </c>
      <c r="Z7" t="s">
        <v>23</v>
      </c>
      <c r="AA7" t="s">
        <v>23</v>
      </c>
      <c r="AB7" t="s">
        <v>23</v>
      </c>
      <c r="AC7" t="s">
        <v>23</v>
      </c>
      <c r="AD7" s="7" t="s">
        <v>23</v>
      </c>
      <c r="AE7" s="7" t="s">
        <v>23</v>
      </c>
      <c r="AF7" s="36">
        <v>0</v>
      </c>
      <c r="AG7" s="36"/>
      <c r="AH7" s="36"/>
      <c r="AI7" s="36"/>
      <c r="AJ7" s="8" t="s">
        <v>30</v>
      </c>
      <c r="AL7" s="23" t="s">
        <v>19</v>
      </c>
      <c r="AM7" s="19">
        <v>180</v>
      </c>
      <c r="AN7" s="19">
        <v>50</v>
      </c>
      <c r="AO7" s="19">
        <f t="shared" si="1"/>
        <v>111</v>
      </c>
      <c r="AP7" s="19">
        <f t="shared" si="3"/>
        <v>45</v>
      </c>
      <c r="AQ7" s="19">
        <f t="shared" si="4"/>
        <v>113</v>
      </c>
      <c r="AR7" s="71">
        <f t="shared" si="5"/>
        <v>269</v>
      </c>
      <c r="AS7" s="50">
        <f t="shared" si="6"/>
        <v>5550</v>
      </c>
      <c r="AT7" s="50">
        <f t="shared" si="2"/>
        <v>2250</v>
      </c>
      <c r="AU7" s="50">
        <f t="shared" si="2"/>
        <v>5650</v>
      </c>
      <c r="AV7" s="116"/>
      <c r="AW7" s="116"/>
      <c r="AY7">
        <f t="shared" si="7"/>
        <v>144</v>
      </c>
    </row>
    <row r="8" spans="1:51">
      <c r="A8" s="1">
        <v>44460</v>
      </c>
      <c r="B8" s="56">
        <v>1600</v>
      </c>
      <c r="C8" s="55" cm="1">
        <f t="array" ref="C8">(SUM(VLOOKUP(H8:AE8,$AL$4:$AN$44,2,FALSE))+AF8*10)*IF(AJ8="是",$AW$4,$AW$3)</f>
        <v>1030</v>
      </c>
      <c r="D8" s="18">
        <f>SUM($B$4:B8)-SUM($C$4:C8)</f>
        <v>2550</v>
      </c>
      <c r="E8" s="55" cm="1">
        <f t="array" ref="E8">SUM(VLOOKUP(H8:AE8,$AL$4:$AN$44,3,FALSE))</f>
        <v>270</v>
      </c>
      <c r="F8" s="55">
        <f>SUM($E$4:E8)+SUM($G$4:G8)</f>
        <v>1940</v>
      </c>
      <c r="G8" s="56">
        <v>100</v>
      </c>
      <c r="H8" s="30" t="s">
        <v>72</v>
      </c>
      <c r="I8" s="68" t="s">
        <v>18</v>
      </c>
      <c r="J8" s="22" t="s">
        <v>18</v>
      </c>
      <c r="K8" s="22" t="s">
        <v>18</v>
      </c>
      <c r="L8" s="22" t="s">
        <v>18</v>
      </c>
      <c r="M8" s="22" t="s">
        <v>18</v>
      </c>
      <c r="N8" s="7" t="s">
        <v>23</v>
      </c>
      <c r="O8" s="7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s="7" t="s">
        <v>23</v>
      </c>
      <c r="W8" s="7" t="s">
        <v>23</v>
      </c>
      <c r="X8" t="s">
        <v>23</v>
      </c>
      <c r="Y8" t="s">
        <v>23</v>
      </c>
      <c r="Z8" t="s">
        <v>23</v>
      </c>
      <c r="AA8" t="s">
        <v>23</v>
      </c>
      <c r="AB8" t="s">
        <v>23</v>
      </c>
      <c r="AC8" t="s">
        <v>23</v>
      </c>
      <c r="AD8" s="7" t="s">
        <v>23</v>
      </c>
      <c r="AE8" s="7" t="s">
        <v>23</v>
      </c>
      <c r="AF8" s="36">
        <v>1</v>
      </c>
      <c r="AG8" s="36">
        <v>1</v>
      </c>
      <c r="AH8" s="36"/>
      <c r="AI8" s="36"/>
      <c r="AJ8" s="8" t="s">
        <v>30</v>
      </c>
      <c r="AL8" s="24" t="s">
        <v>20</v>
      </c>
      <c r="AM8" s="19">
        <v>190</v>
      </c>
      <c r="AN8" s="19">
        <v>55</v>
      </c>
      <c r="AO8" s="19">
        <f t="shared" si="1"/>
        <v>0</v>
      </c>
      <c r="AP8" s="19">
        <f t="shared" si="3"/>
        <v>112</v>
      </c>
      <c r="AQ8" s="19">
        <f t="shared" si="4"/>
        <v>124</v>
      </c>
      <c r="AR8" s="71">
        <f t="shared" si="5"/>
        <v>236</v>
      </c>
      <c r="AS8" s="50">
        <f t="shared" si="6"/>
        <v>0</v>
      </c>
      <c r="AT8" s="50">
        <f t="shared" si="2"/>
        <v>6160</v>
      </c>
      <c r="AU8" s="50">
        <f t="shared" si="2"/>
        <v>6820</v>
      </c>
      <c r="AV8" s="116"/>
      <c r="AW8" s="116"/>
      <c r="AY8">
        <f t="shared" si="7"/>
        <v>152</v>
      </c>
    </row>
    <row r="9" spans="1:51">
      <c r="A9" s="1">
        <v>44461</v>
      </c>
      <c r="B9" s="56">
        <v>1600</v>
      </c>
      <c r="C9" s="55" cm="1">
        <f t="array" ref="C9">(SUM(VLOOKUP(H9:AE9,$AL$4:$AN$44,2,FALSE))+AF9*10)*IF(AJ9="是",$AW$4,$AW$3)</f>
        <v>1040</v>
      </c>
      <c r="D9" s="18">
        <f>SUM($B$4:B9)-SUM($C$4:C9)</f>
        <v>3110</v>
      </c>
      <c r="E9" s="55" cm="1">
        <f t="array" ref="E9">SUM(VLOOKUP(H9:AE9,$AL$4:$AN$44,3,FALSE))</f>
        <v>315</v>
      </c>
      <c r="F9" s="55">
        <f>SUM($E$4:E9)+SUM($G$4:G9)</f>
        <v>2455</v>
      </c>
      <c r="G9" s="56">
        <v>200</v>
      </c>
      <c r="H9" s="22" t="s">
        <v>18</v>
      </c>
      <c r="I9" s="22" t="s">
        <v>18</v>
      </c>
      <c r="J9" s="22" t="s">
        <v>18</v>
      </c>
      <c r="K9" s="22" t="s">
        <v>18</v>
      </c>
      <c r="L9" s="22" t="s">
        <v>18</v>
      </c>
      <c r="M9" s="29" t="s">
        <v>13</v>
      </c>
      <c r="N9" s="22" t="s">
        <v>18</v>
      </c>
      <c r="O9" s="22" t="s">
        <v>18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s="7" t="s">
        <v>23</v>
      </c>
      <c r="W9" s="7" t="s">
        <v>23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23</v>
      </c>
      <c r="AD9" s="7" t="s">
        <v>23</v>
      </c>
      <c r="AE9" s="7" t="s">
        <v>23</v>
      </c>
      <c r="AF9" s="36">
        <v>0</v>
      </c>
      <c r="AG9" s="36"/>
      <c r="AH9" s="36"/>
      <c r="AI9" s="36"/>
      <c r="AJ9" s="8" t="s">
        <v>30</v>
      </c>
      <c r="AL9" s="25" t="s">
        <v>21</v>
      </c>
      <c r="AM9" s="19">
        <v>200</v>
      </c>
      <c r="AN9" s="19">
        <v>60</v>
      </c>
      <c r="AO9" s="19">
        <f t="shared" si="1"/>
        <v>0</v>
      </c>
      <c r="AP9" s="19">
        <f t="shared" si="3"/>
        <v>76</v>
      </c>
      <c r="AQ9" s="19">
        <f t="shared" si="4"/>
        <v>118</v>
      </c>
      <c r="AR9" s="71">
        <f t="shared" si="5"/>
        <v>194</v>
      </c>
      <c r="AS9" s="50">
        <f t="shared" si="6"/>
        <v>0</v>
      </c>
      <c r="AT9" s="50">
        <f t="shared" si="2"/>
        <v>4560</v>
      </c>
      <c r="AU9" s="50">
        <f t="shared" si="2"/>
        <v>7080</v>
      </c>
      <c r="AY9">
        <f t="shared" si="7"/>
        <v>160</v>
      </c>
    </row>
    <row r="10" spans="1:51">
      <c r="A10" s="1">
        <v>44462</v>
      </c>
      <c r="B10" s="56">
        <v>1600</v>
      </c>
      <c r="C10" s="55" cm="1">
        <f t="array" ref="C10">(SUM(VLOOKUP(H10:AE10,$AL$4:$AN$44,2,FALSE))+AF10*10)*IF(AJ10="是",$AW$4,$AW$3)</f>
        <v>890</v>
      </c>
      <c r="D10" s="18">
        <f>SUM($B$4:B10)-SUM($C$4:C10)</f>
        <v>3820</v>
      </c>
      <c r="E10" s="55" cm="1">
        <f t="array" ref="E10">SUM(VLOOKUP(H10:AE10,$AL$4:$AN$44,3,FALSE))</f>
        <v>250</v>
      </c>
      <c r="F10" s="55">
        <f>SUM($E$4:E10)+SUM($G$4:G10)</f>
        <v>2705</v>
      </c>
      <c r="G10" s="56">
        <v>0</v>
      </c>
      <c r="H10" s="21" t="s">
        <v>17</v>
      </c>
      <c r="I10" s="22" t="s">
        <v>18</v>
      </c>
      <c r="J10" s="22" t="s">
        <v>18</v>
      </c>
      <c r="K10" s="28" t="s">
        <v>12</v>
      </c>
      <c r="L10" s="22" t="s">
        <v>18</v>
      </c>
      <c r="M10" s="30" t="s">
        <v>72</v>
      </c>
      <c r="N10" s="7" t="s">
        <v>23</v>
      </c>
      <c r="O10" s="7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s="7" t="s">
        <v>23</v>
      </c>
      <c r="W10" s="7" t="s">
        <v>23</v>
      </c>
      <c r="X10" t="s">
        <v>23</v>
      </c>
      <c r="Y10" t="s">
        <v>23</v>
      </c>
      <c r="Z10" t="s">
        <v>23</v>
      </c>
      <c r="AA10" t="s">
        <v>23</v>
      </c>
      <c r="AB10" t="s">
        <v>23</v>
      </c>
      <c r="AC10" t="s">
        <v>23</v>
      </c>
      <c r="AD10" s="7" t="s">
        <v>23</v>
      </c>
      <c r="AE10" s="7" t="s">
        <v>23</v>
      </c>
      <c r="AF10" s="36">
        <v>0</v>
      </c>
      <c r="AG10" s="36"/>
      <c r="AH10" s="36"/>
      <c r="AI10" s="36"/>
      <c r="AJ10" s="8" t="s">
        <v>30</v>
      </c>
      <c r="AL10" s="20" t="s">
        <v>5</v>
      </c>
      <c r="AM10" s="19">
        <v>150</v>
      </c>
      <c r="AN10" s="19">
        <v>35</v>
      </c>
      <c r="AO10" s="19">
        <f t="shared" si="1"/>
        <v>0</v>
      </c>
      <c r="AP10" s="19">
        <f t="shared" si="3"/>
        <v>0</v>
      </c>
      <c r="AQ10" s="19">
        <f t="shared" si="4"/>
        <v>0</v>
      </c>
      <c r="AR10" s="19">
        <f t="shared" si="5"/>
        <v>0</v>
      </c>
      <c r="AS10" s="50">
        <f t="shared" si="6"/>
        <v>0</v>
      </c>
      <c r="AT10" s="50">
        <f t="shared" si="2"/>
        <v>0</v>
      </c>
      <c r="AU10" s="50">
        <f t="shared" si="2"/>
        <v>0</v>
      </c>
      <c r="AY10">
        <f t="shared" si="7"/>
        <v>120</v>
      </c>
    </row>
    <row r="11" spans="1:51">
      <c r="A11" s="1">
        <v>44463</v>
      </c>
      <c r="B11" s="56">
        <v>1600</v>
      </c>
      <c r="C11" s="55" cm="1">
        <f t="array" ref="C11">(SUM(VLOOKUP(H11:AE11,$AL$4:$AN$44,2,FALSE))+AF11*10)*IF(AJ11="是",$AW$4,$AW$3)</f>
        <v>1180</v>
      </c>
      <c r="D11" s="18">
        <f>SUM($B$4:B11)-SUM($C$4:C11)</f>
        <v>4240</v>
      </c>
      <c r="E11" s="55" cm="1">
        <f t="array" ref="E11">SUM(VLOOKUP(H11:AE11,$AL$4:$AN$44,3,FALSE))</f>
        <v>425</v>
      </c>
      <c r="F11" s="55">
        <f>SUM($E$4:E11)+SUM($G$4:G11)</f>
        <v>3130</v>
      </c>
      <c r="G11" s="56">
        <v>0</v>
      </c>
      <c r="H11" s="68" t="s">
        <v>18</v>
      </c>
      <c r="I11" s="30" t="s">
        <v>71</v>
      </c>
      <c r="J11" s="68" t="s">
        <v>18</v>
      </c>
      <c r="K11" s="22" t="s">
        <v>18</v>
      </c>
      <c r="L11" s="22" t="s">
        <v>18</v>
      </c>
      <c r="M11" s="22" t="s">
        <v>18</v>
      </c>
      <c r="N11" s="7" t="s">
        <v>23</v>
      </c>
      <c r="O11" s="7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s="7" t="s">
        <v>23</v>
      </c>
      <c r="W11" s="7" t="s">
        <v>23</v>
      </c>
      <c r="X11" t="s">
        <v>23</v>
      </c>
      <c r="Y11" t="s">
        <v>23</v>
      </c>
      <c r="Z11" t="s">
        <v>23</v>
      </c>
      <c r="AA11" t="s">
        <v>23</v>
      </c>
      <c r="AB11" t="s">
        <v>23</v>
      </c>
      <c r="AC11" t="s">
        <v>23</v>
      </c>
      <c r="AD11" s="7" t="s">
        <v>23</v>
      </c>
      <c r="AE11" s="7" t="s">
        <v>23</v>
      </c>
      <c r="AF11" s="36">
        <v>8</v>
      </c>
      <c r="AG11" s="36">
        <v>8</v>
      </c>
      <c r="AH11" s="36"/>
      <c r="AI11" s="36"/>
      <c r="AJ11" s="8" t="s">
        <v>30</v>
      </c>
      <c r="AL11" s="21" t="s">
        <v>6</v>
      </c>
      <c r="AM11" s="19">
        <v>150</v>
      </c>
      <c r="AN11" s="19">
        <v>40</v>
      </c>
      <c r="AO11" s="19">
        <f t="shared" si="1"/>
        <v>4</v>
      </c>
      <c r="AP11" s="19">
        <f t="shared" si="3"/>
        <v>0</v>
      </c>
      <c r="AQ11" s="19">
        <f t="shared" si="4"/>
        <v>1</v>
      </c>
      <c r="AR11" s="19">
        <f t="shared" si="5"/>
        <v>5</v>
      </c>
      <c r="AS11" s="50">
        <f t="shared" si="6"/>
        <v>160</v>
      </c>
      <c r="AT11" s="50">
        <f t="shared" si="2"/>
        <v>0</v>
      </c>
      <c r="AU11" s="50">
        <f t="shared" si="2"/>
        <v>40</v>
      </c>
      <c r="AY11">
        <f t="shared" si="7"/>
        <v>120</v>
      </c>
    </row>
    <row r="12" spans="1:51">
      <c r="A12" s="1">
        <v>44464</v>
      </c>
      <c r="B12" s="56">
        <v>1600</v>
      </c>
      <c r="C12" s="55" cm="1">
        <f t="array" ref="C12">(SUM(VLOOKUP(H12:AE12,$AL$4:$AN$44,2,FALSE))+AF12*10)*IF(AJ12="是",$AW$4,$AW$3)</f>
        <v>1020</v>
      </c>
      <c r="D12" s="18">
        <f>SUM($B$4:B12)-SUM($C$4:C12)</f>
        <v>4820</v>
      </c>
      <c r="E12" s="55" cm="1">
        <f t="array" ref="E12">SUM(VLOOKUP(H12:AE12,$AL$4:$AN$44,3,FALSE))</f>
        <v>270</v>
      </c>
      <c r="F12" s="55">
        <f>SUM($E$4:E12)+SUM($G$4:G12)</f>
        <v>3400</v>
      </c>
      <c r="G12" s="56">
        <v>0</v>
      </c>
      <c r="H12" s="22" t="s">
        <v>18</v>
      </c>
      <c r="I12" s="22" t="s">
        <v>18</v>
      </c>
      <c r="J12" s="22" t="s">
        <v>18</v>
      </c>
      <c r="K12" s="22" t="s">
        <v>18</v>
      </c>
      <c r="L12" s="30" t="s">
        <v>72</v>
      </c>
      <c r="M12" s="22" t="s">
        <v>18</v>
      </c>
      <c r="N12" s="7" t="s">
        <v>23</v>
      </c>
      <c r="O12" s="7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s="7" t="s">
        <v>23</v>
      </c>
      <c r="W12" s="7" t="s">
        <v>23</v>
      </c>
      <c r="X12" t="s">
        <v>23</v>
      </c>
      <c r="Y12" t="s">
        <v>23</v>
      </c>
      <c r="Z12" t="s">
        <v>23</v>
      </c>
      <c r="AA12" t="s">
        <v>23</v>
      </c>
      <c r="AB12" t="s">
        <v>23</v>
      </c>
      <c r="AC12" t="s">
        <v>23</v>
      </c>
      <c r="AD12" s="7" t="s">
        <v>23</v>
      </c>
      <c r="AE12" s="7" t="s">
        <v>23</v>
      </c>
      <c r="AF12" s="36">
        <v>0</v>
      </c>
      <c r="AG12" s="36"/>
      <c r="AH12" s="36"/>
      <c r="AI12" s="36"/>
      <c r="AJ12" s="8" t="s">
        <v>30</v>
      </c>
      <c r="AL12" s="22" t="s">
        <v>7</v>
      </c>
      <c r="AM12" s="19">
        <v>150</v>
      </c>
      <c r="AN12" s="19">
        <v>45</v>
      </c>
      <c r="AO12" s="19">
        <f t="shared" si="1"/>
        <v>2</v>
      </c>
      <c r="AP12" s="19">
        <f t="shared" si="3"/>
        <v>2</v>
      </c>
      <c r="AQ12" s="19">
        <f t="shared" si="4"/>
        <v>1</v>
      </c>
      <c r="AR12" s="19">
        <f t="shared" si="5"/>
        <v>5</v>
      </c>
      <c r="AS12" s="50">
        <f t="shared" si="6"/>
        <v>90</v>
      </c>
      <c r="AT12" s="50">
        <f t="shared" si="2"/>
        <v>90</v>
      </c>
      <c r="AU12" s="50">
        <f t="shared" si="2"/>
        <v>45</v>
      </c>
      <c r="AY12">
        <f t="shared" si="7"/>
        <v>120</v>
      </c>
    </row>
    <row r="13" spans="1:51">
      <c r="A13" s="1">
        <v>44465</v>
      </c>
      <c r="B13" s="56">
        <v>1600</v>
      </c>
      <c r="C13" s="55" cm="1">
        <f t="array" ref="C13">(SUM(VLOOKUP(H13:AE13,$AL$4:$AN$44,2,FALSE))+AF13*10)*IF(AJ13="是",$AW$4,$AW$3)</f>
        <v>1100</v>
      </c>
      <c r="D13" s="18">
        <f>SUM($B$4:B13)-SUM($C$4:C13)</f>
        <v>5320</v>
      </c>
      <c r="E13" s="55" cm="1">
        <f t="array" ref="E13">SUM(VLOOKUP(H13:AE13,$AL$4:$AN$44,3,FALSE))</f>
        <v>425</v>
      </c>
      <c r="F13" s="55">
        <f>SUM($E$4:E13)+SUM($G$4:G13)</f>
        <v>3825</v>
      </c>
      <c r="G13" s="56">
        <v>0</v>
      </c>
      <c r="H13" s="22" t="s">
        <v>18</v>
      </c>
      <c r="I13" s="22" t="s">
        <v>18</v>
      </c>
      <c r="J13" s="22" t="s">
        <v>18</v>
      </c>
      <c r="K13" s="30" t="s">
        <v>71</v>
      </c>
      <c r="L13" s="22" t="s">
        <v>18</v>
      </c>
      <c r="M13" s="22" t="s">
        <v>18</v>
      </c>
      <c r="N13" s="7" t="s">
        <v>23</v>
      </c>
      <c r="O13" s="7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s="7" t="s">
        <v>23</v>
      </c>
      <c r="W13" s="7" t="s">
        <v>23</v>
      </c>
      <c r="X13" t="s">
        <v>23</v>
      </c>
      <c r="Y13" t="s">
        <v>23</v>
      </c>
      <c r="Z13" t="s">
        <v>23</v>
      </c>
      <c r="AA13" t="s">
        <v>23</v>
      </c>
      <c r="AB13" t="s">
        <v>23</v>
      </c>
      <c r="AC13" t="s">
        <v>23</v>
      </c>
      <c r="AD13" s="7" t="s">
        <v>23</v>
      </c>
      <c r="AE13" s="7" t="s">
        <v>23</v>
      </c>
      <c r="AF13" s="36">
        <v>0</v>
      </c>
      <c r="AG13" s="36"/>
      <c r="AH13" s="36"/>
      <c r="AI13" s="36"/>
      <c r="AJ13" s="8" t="s">
        <v>30</v>
      </c>
      <c r="AL13" s="23" t="s">
        <v>8</v>
      </c>
      <c r="AM13" s="19">
        <v>150</v>
      </c>
      <c r="AN13" s="19">
        <v>50</v>
      </c>
      <c r="AO13" s="19">
        <f t="shared" si="1"/>
        <v>1</v>
      </c>
      <c r="AP13" s="19">
        <f t="shared" si="3"/>
        <v>2</v>
      </c>
      <c r="AQ13" s="19">
        <f t="shared" si="4"/>
        <v>1</v>
      </c>
      <c r="AR13" s="19">
        <f t="shared" si="5"/>
        <v>4</v>
      </c>
      <c r="AS13" s="50">
        <f t="shared" si="6"/>
        <v>50</v>
      </c>
      <c r="AT13" s="50">
        <f t="shared" si="2"/>
        <v>100</v>
      </c>
      <c r="AU13" s="50">
        <f t="shared" si="2"/>
        <v>50</v>
      </c>
      <c r="AY13">
        <f t="shared" si="7"/>
        <v>120</v>
      </c>
    </row>
    <row r="14" spans="1:51">
      <c r="A14" s="1">
        <v>44466</v>
      </c>
      <c r="B14" s="55">
        <v>1600</v>
      </c>
      <c r="C14" s="55" cm="1">
        <f t="array" ref="C14">(SUM(VLOOKUP(H14:AE14,$AL$4:$AN$44,2,FALSE))+AF14*10)*IF(AJ14="是",$AW$4,$AW$3)</f>
        <v>900</v>
      </c>
      <c r="D14" s="57">
        <f>SUM($B$4:B14)-SUM($C$4:C14)</f>
        <v>6020</v>
      </c>
      <c r="E14" s="55" cm="1">
        <f t="array" ref="E14">SUM(VLOOKUP(H14:AE14,$AL$4:$AN$44,3,FALSE))</f>
        <v>255</v>
      </c>
      <c r="F14" s="55">
        <f>SUM($E$4:E14)+SUM($G$4:G14)</f>
        <v>4380</v>
      </c>
      <c r="G14" s="55">
        <v>300</v>
      </c>
      <c r="H14" s="28" t="s">
        <v>12</v>
      </c>
      <c r="I14" s="22" t="s">
        <v>18</v>
      </c>
      <c r="J14" s="22" t="s">
        <v>18</v>
      </c>
      <c r="K14" s="22" t="s">
        <v>18</v>
      </c>
      <c r="L14" s="22" t="s">
        <v>18</v>
      </c>
      <c r="M14" s="22" t="s">
        <v>18</v>
      </c>
      <c r="N14" s="7" t="s">
        <v>23</v>
      </c>
      <c r="O14" s="7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s="7" t="s">
        <v>23</v>
      </c>
      <c r="W14" s="7" t="s">
        <v>23</v>
      </c>
      <c r="X14" t="s">
        <v>23</v>
      </c>
      <c r="Y14" t="s">
        <v>23</v>
      </c>
      <c r="Z14" t="s">
        <v>23</v>
      </c>
      <c r="AA14" t="s">
        <v>23</v>
      </c>
      <c r="AB14" t="s">
        <v>23</v>
      </c>
      <c r="AC14" t="s">
        <v>23</v>
      </c>
      <c r="AD14" s="7" t="s">
        <v>23</v>
      </c>
      <c r="AE14" s="7" t="s">
        <v>23</v>
      </c>
      <c r="AF14" s="36">
        <v>0</v>
      </c>
      <c r="AG14" s="36"/>
      <c r="AH14" s="36"/>
      <c r="AI14" s="36"/>
      <c r="AJ14" s="8" t="s">
        <v>30</v>
      </c>
      <c r="AL14" s="24" t="s">
        <v>9</v>
      </c>
      <c r="AM14" s="19">
        <v>150</v>
      </c>
      <c r="AN14" s="19">
        <v>55</v>
      </c>
      <c r="AO14" s="19">
        <f t="shared" si="1"/>
        <v>0</v>
      </c>
      <c r="AP14" s="19">
        <f t="shared" si="3"/>
        <v>2</v>
      </c>
      <c r="AQ14" s="19">
        <f t="shared" si="4"/>
        <v>1</v>
      </c>
      <c r="AR14" s="19">
        <f t="shared" si="5"/>
        <v>3</v>
      </c>
      <c r="AS14" s="50">
        <f t="shared" si="6"/>
        <v>0</v>
      </c>
      <c r="AT14" s="50">
        <f t="shared" si="2"/>
        <v>110</v>
      </c>
      <c r="AU14" s="50">
        <f t="shared" si="2"/>
        <v>55</v>
      </c>
      <c r="AY14">
        <f t="shared" si="7"/>
        <v>120</v>
      </c>
    </row>
    <row r="15" spans="1:51">
      <c r="A15" s="1">
        <v>44467</v>
      </c>
      <c r="B15" s="55">
        <v>1600</v>
      </c>
      <c r="C15" s="55" cm="1">
        <f t="array" ref="C15">(SUM(VLOOKUP(H15:AE15,$AL$4:$AN$44,2,FALSE))+AF15*10)*IF(AJ15="是",$AW$4,$AW$3)</f>
        <v>1020</v>
      </c>
      <c r="D15" s="57">
        <f>SUM($B$4:B15)-SUM($C$4:C15)</f>
        <v>6600</v>
      </c>
      <c r="E15" s="55" cm="1">
        <f t="array" ref="E15">SUM(VLOOKUP(H15:AE15,$AL$4:$AN$44,3,FALSE))</f>
        <v>270</v>
      </c>
      <c r="F15" s="55">
        <f>SUM($E$4:E15)+SUM($G$4:G15)</f>
        <v>4650</v>
      </c>
      <c r="G15" s="55">
        <v>0</v>
      </c>
      <c r="H15" s="22" t="s">
        <v>18</v>
      </c>
      <c r="I15" s="22" t="s">
        <v>18</v>
      </c>
      <c r="J15" s="22" t="s">
        <v>18</v>
      </c>
      <c r="K15" s="22" t="s">
        <v>18</v>
      </c>
      <c r="L15" s="30" t="s">
        <v>72</v>
      </c>
      <c r="M15" s="22" t="s">
        <v>18</v>
      </c>
      <c r="N15" s="7" t="s">
        <v>23</v>
      </c>
      <c r="O15" s="7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s="7" t="s">
        <v>23</v>
      </c>
      <c r="W15" s="7" t="s">
        <v>23</v>
      </c>
      <c r="X15" t="s">
        <v>23</v>
      </c>
      <c r="Y15" t="s">
        <v>23</v>
      </c>
      <c r="Z15" t="s">
        <v>23</v>
      </c>
      <c r="AA15" t="s">
        <v>23</v>
      </c>
      <c r="AB15" t="s">
        <v>23</v>
      </c>
      <c r="AC15" t="s">
        <v>23</v>
      </c>
      <c r="AD15" s="7" t="s">
        <v>23</v>
      </c>
      <c r="AE15" s="7" t="s">
        <v>23</v>
      </c>
      <c r="AF15" s="36">
        <v>0</v>
      </c>
      <c r="AG15" s="36"/>
      <c r="AH15" s="36"/>
      <c r="AI15" s="36"/>
      <c r="AJ15" s="8" t="s">
        <v>30</v>
      </c>
      <c r="AL15" s="25" t="s">
        <v>10</v>
      </c>
      <c r="AM15" s="19">
        <v>150</v>
      </c>
      <c r="AN15" s="19">
        <v>60</v>
      </c>
      <c r="AO15" s="19">
        <f t="shared" si="1"/>
        <v>0</v>
      </c>
      <c r="AP15" s="19">
        <f t="shared" si="3"/>
        <v>0</v>
      </c>
      <c r="AQ15" s="19">
        <f t="shared" si="4"/>
        <v>1</v>
      </c>
      <c r="AR15" s="19">
        <f t="shared" si="5"/>
        <v>1</v>
      </c>
      <c r="AS15" s="50">
        <f t="shared" si="6"/>
        <v>0</v>
      </c>
      <c r="AT15" s="50">
        <f t="shared" si="2"/>
        <v>0</v>
      </c>
      <c r="AU15" s="50">
        <f t="shared" si="2"/>
        <v>60</v>
      </c>
      <c r="AY15">
        <f t="shared" si="7"/>
        <v>120</v>
      </c>
    </row>
    <row r="16" spans="1:51">
      <c r="A16" s="1">
        <v>44468</v>
      </c>
      <c r="B16" s="55">
        <v>1600</v>
      </c>
      <c r="C16" s="55" cm="1">
        <f t="array" ref="C16">(SUM(VLOOKUP(H16:AE16,$AL$4:$AN$44,2,FALSE))+AF16*10)*IF(AJ16="是",$AW$4,$AW$3)</f>
        <v>1080</v>
      </c>
      <c r="D16" s="57">
        <f>SUM($B$4:B16)-SUM($C$4:C16)</f>
        <v>7120</v>
      </c>
      <c r="E16" s="55" cm="1">
        <f t="array" ref="E16">SUM(VLOOKUP(H16:AE16,$AL$4:$AN$44,3,FALSE))</f>
        <v>425</v>
      </c>
      <c r="F16" s="55">
        <f>SUM($E$4:E16)+SUM($G$4:G16)</f>
        <v>5275</v>
      </c>
      <c r="G16" s="55">
        <v>200</v>
      </c>
      <c r="H16" s="22" t="s">
        <v>18</v>
      </c>
      <c r="I16" s="22" t="s">
        <v>18</v>
      </c>
      <c r="J16" s="22" t="s">
        <v>7</v>
      </c>
      <c r="K16" s="22" t="s">
        <v>18</v>
      </c>
      <c r="L16" s="22" t="s">
        <v>18</v>
      </c>
      <c r="M16" s="30" t="s">
        <v>71</v>
      </c>
      <c r="N16" s="7" t="s">
        <v>23</v>
      </c>
      <c r="O16" s="7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s="7" t="s">
        <v>23</v>
      </c>
      <c r="W16" s="7" t="s">
        <v>23</v>
      </c>
      <c r="X16" t="s">
        <v>23</v>
      </c>
      <c r="Y16" t="s">
        <v>23</v>
      </c>
      <c r="Z16" t="s">
        <v>23</v>
      </c>
      <c r="AA16" t="s">
        <v>23</v>
      </c>
      <c r="AB16" t="s">
        <v>23</v>
      </c>
      <c r="AC16" t="s">
        <v>23</v>
      </c>
      <c r="AD16" s="7" t="s">
        <v>23</v>
      </c>
      <c r="AE16" s="7" t="s">
        <v>23</v>
      </c>
      <c r="AF16" s="36">
        <v>0</v>
      </c>
      <c r="AG16" s="36"/>
      <c r="AH16" s="36"/>
      <c r="AI16" s="36"/>
      <c r="AJ16" s="8" t="s">
        <v>30</v>
      </c>
      <c r="AL16" s="26" t="s">
        <v>11</v>
      </c>
      <c r="AM16" s="27">
        <v>150</v>
      </c>
      <c r="AN16" s="19">
        <v>35</v>
      </c>
      <c r="AO16" s="19">
        <f t="shared" si="1"/>
        <v>0</v>
      </c>
      <c r="AP16" s="19">
        <f t="shared" si="3"/>
        <v>0</v>
      </c>
      <c r="AQ16" s="19">
        <f t="shared" si="4"/>
        <v>0</v>
      </c>
      <c r="AR16" s="19">
        <f t="shared" si="5"/>
        <v>0</v>
      </c>
      <c r="AS16" s="50">
        <f t="shared" si="6"/>
        <v>0</v>
      </c>
      <c r="AT16" s="50">
        <f t="shared" si="2"/>
        <v>0</v>
      </c>
      <c r="AU16" s="50">
        <f t="shared" si="2"/>
        <v>0</v>
      </c>
      <c r="AY16">
        <f t="shared" si="7"/>
        <v>120</v>
      </c>
    </row>
    <row r="17" spans="1:51">
      <c r="A17" s="1">
        <v>44469</v>
      </c>
      <c r="B17" s="55">
        <v>1600</v>
      </c>
      <c r="C17" s="55" cm="1">
        <f t="array" ref="C17">(SUM(VLOOKUP(H17:AE17,$AL$4:$AN$44,2,FALSE))+AF17*10)*IF(AJ17="是",$AW$4,$AW$3)</f>
        <v>1030</v>
      </c>
      <c r="D17" s="57">
        <f>SUM($B$4:B17)-SUM($C$4:C17)</f>
        <v>7690</v>
      </c>
      <c r="E17" s="55" cm="1">
        <f t="array" ref="E17">SUM(VLOOKUP(H17:AE17,$AL$4:$AN$44,3,FALSE))</f>
        <v>270</v>
      </c>
      <c r="F17" s="55">
        <f>SUM($E$4:E17)+SUM($G$4:G17)</f>
        <v>5545</v>
      </c>
      <c r="G17" s="55">
        <v>0</v>
      </c>
      <c r="H17" s="68" t="s">
        <v>18</v>
      </c>
      <c r="I17" s="22" t="s">
        <v>18</v>
      </c>
      <c r="J17" s="22" t="s">
        <v>18</v>
      </c>
      <c r="K17" s="22" t="s">
        <v>18</v>
      </c>
      <c r="L17" s="22" t="s">
        <v>18</v>
      </c>
      <c r="M17" s="22" t="s">
        <v>18</v>
      </c>
      <c r="N17" s="7" t="s">
        <v>23</v>
      </c>
      <c r="O17" s="7" t="s">
        <v>23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s="7" t="s">
        <v>23</v>
      </c>
      <c r="W17" s="7" t="s">
        <v>23</v>
      </c>
      <c r="X17" t="s">
        <v>23</v>
      </c>
      <c r="Y17" t="s">
        <v>23</v>
      </c>
      <c r="Z17" t="s">
        <v>23</v>
      </c>
      <c r="AA17" t="s">
        <v>23</v>
      </c>
      <c r="AB17" t="s">
        <v>23</v>
      </c>
      <c r="AC17" t="s">
        <v>23</v>
      </c>
      <c r="AD17" s="7" t="s">
        <v>23</v>
      </c>
      <c r="AE17" s="7" t="s">
        <v>23</v>
      </c>
      <c r="AF17" s="36">
        <v>1</v>
      </c>
      <c r="AG17" s="36">
        <v>1</v>
      </c>
      <c r="AH17" s="36"/>
      <c r="AI17" s="36"/>
      <c r="AJ17" s="8" t="s">
        <v>30</v>
      </c>
      <c r="AL17" s="28" t="s">
        <v>12</v>
      </c>
      <c r="AM17" s="19">
        <v>50</v>
      </c>
      <c r="AN17" s="19">
        <v>30</v>
      </c>
      <c r="AO17" s="19">
        <f t="shared" si="1"/>
        <v>13</v>
      </c>
      <c r="AP17" s="19">
        <f t="shared" si="3"/>
        <v>13</v>
      </c>
      <c r="AQ17" s="19">
        <f t="shared" si="4"/>
        <v>10</v>
      </c>
      <c r="AR17" s="19">
        <f t="shared" si="5"/>
        <v>36</v>
      </c>
      <c r="AS17" s="50">
        <f t="shared" si="6"/>
        <v>390</v>
      </c>
      <c r="AT17" s="50">
        <f t="shared" si="2"/>
        <v>390</v>
      </c>
      <c r="AU17" s="50">
        <f t="shared" si="2"/>
        <v>300</v>
      </c>
      <c r="AY17">
        <f t="shared" si="7"/>
        <v>40</v>
      </c>
    </row>
    <row r="18" spans="1:51">
      <c r="A18" s="1">
        <v>44470</v>
      </c>
      <c r="B18" s="55">
        <v>1600</v>
      </c>
      <c r="C18" s="75" cm="1">
        <f t="array" ref="C18">(SUM(VLOOKUP(H18:AE18,$AL$4:$AN$44,2,FALSE))+AF18*10)*IF(AJ18="是",$AW$4,$AW$3)-402</f>
        <v>2118</v>
      </c>
      <c r="D18" s="57">
        <f>SUM($B$4:B18)-SUM($C$4:C18)</f>
        <v>7172</v>
      </c>
      <c r="E18" s="55" cm="1">
        <f t="array" ref="E18">SUM(VLOOKUP(H18:AE18,$AL$4:$AN$44,3,FALSE))</f>
        <v>685</v>
      </c>
      <c r="F18" s="55">
        <f>SUM($E$4:E18)+SUM($G$4:G18)</f>
        <v>6230</v>
      </c>
      <c r="G18" s="55">
        <v>0</v>
      </c>
      <c r="H18" s="22" t="s">
        <v>18</v>
      </c>
      <c r="I18" s="22" t="s">
        <v>18</v>
      </c>
      <c r="J18" s="30" t="s">
        <v>72</v>
      </c>
      <c r="K18" s="22" t="s">
        <v>18</v>
      </c>
      <c r="L18" s="22" t="s">
        <v>18</v>
      </c>
      <c r="M18" s="28" t="s">
        <v>12</v>
      </c>
      <c r="N18" s="7" t="s">
        <v>23</v>
      </c>
      <c r="O18" s="7" t="s">
        <v>23</v>
      </c>
      <c r="P18" s="28" t="s">
        <v>12</v>
      </c>
      <c r="Q18" s="28" t="s">
        <v>12</v>
      </c>
      <c r="R18" s="22" t="s">
        <v>18</v>
      </c>
      <c r="S18" s="22" t="s">
        <v>18</v>
      </c>
      <c r="T18" s="28" t="s">
        <v>12</v>
      </c>
      <c r="U18" s="22" t="s">
        <v>18</v>
      </c>
      <c r="V18" s="7" t="s">
        <v>23</v>
      </c>
      <c r="W18" s="7" t="s">
        <v>23</v>
      </c>
      <c r="X18" s="20" t="s">
        <v>16</v>
      </c>
      <c r="Y18" s="20" t="s">
        <v>16</v>
      </c>
      <c r="Z18" s="20" t="s">
        <v>16</v>
      </c>
      <c r="AA18" s="28" t="s">
        <v>12</v>
      </c>
      <c r="AB18" s="20" t="s">
        <v>16</v>
      </c>
      <c r="AC18" s="20" t="s">
        <v>16</v>
      </c>
      <c r="AD18" s="7" t="s">
        <v>23</v>
      </c>
      <c r="AE18" s="7" t="s">
        <v>23</v>
      </c>
      <c r="AF18" s="36">
        <v>16</v>
      </c>
      <c r="AG18" s="36"/>
      <c r="AH18" s="36">
        <v>15</v>
      </c>
      <c r="AI18" s="36">
        <v>1</v>
      </c>
      <c r="AJ18" s="8" t="s">
        <v>30</v>
      </c>
      <c r="AK18" s="12" t="s">
        <v>25</v>
      </c>
      <c r="AL18" s="29" t="s">
        <v>13</v>
      </c>
      <c r="AM18" s="19">
        <v>-150</v>
      </c>
      <c r="AN18" s="19">
        <v>0</v>
      </c>
      <c r="AO18" s="19">
        <f t="shared" si="1"/>
        <v>1</v>
      </c>
      <c r="AP18" s="19">
        <f t="shared" si="3"/>
        <v>0</v>
      </c>
      <c r="AQ18" s="19">
        <f t="shared" si="4"/>
        <v>0</v>
      </c>
      <c r="AR18" s="19">
        <f t="shared" si="5"/>
        <v>1</v>
      </c>
      <c r="AS18" s="50">
        <f t="shared" si="6"/>
        <v>0</v>
      </c>
      <c r="AT18" s="50">
        <f t="shared" si="2"/>
        <v>0</v>
      </c>
      <c r="AU18" s="50">
        <f t="shared" si="2"/>
        <v>0</v>
      </c>
      <c r="AY18">
        <f t="shared" si="7"/>
        <v>-120</v>
      </c>
    </row>
    <row r="19" spans="1:51">
      <c r="A19" s="1">
        <v>44471</v>
      </c>
      <c r="B19" s="55">
        <v>1600</v>
      </c>
      <c r="C19" s="55" cm="1">
        <f t="array" ref="C19">(SUM(VLOOKUP(H19:AE19,$AL$4:$AN$44,2,FALSE))+AF19*10)*IF(AJ19="是",$AW$4,$AW$3)</f>
        <v>2280</v>
      </c>
      <c r="D19" s="57">
        <f>SUM($B$4:B19)-SUM($C$4:C19)</f>
        <v>6492</v>
      </c>
      <c r="E19" s="55" cm="1">
        <f t="array" ref="E19">SUM(VLOOKUP(H19:AE19,$AL$4:$AN$44,3,FALSE))</f>
        <v>745</v>
      </c>
      <c r="F19" s="55">
        <f>SUM($E$4:E19)+SUM($G$4:G19)</f>
        <v>6975</v>
      </c>
      <c r="G19" s="55">
        <v>0</v>
      </c>
      <c r="H19" s="22" t="s">
        <v>18</v>
      </c>
      <c r="I19" s="22" t="s">
        <v>18</v>
      </c>
      <c r="J19" s="22" t="s">
        <v>18</v>
      </c>
      <c r="K19" s="22" t="s">
        <v>18</v>
      </c>
      <c r="L19" s="22" t="s">
        <v>18</v>
      </c>
      <c r="M19" s="22" t="s">
        <v>18</v>
      </c>
      <c r="N19" s="7" t="s">
        <v>23</v>
      </c>
      <c r="O19" s="7" t="s">
        <v>23</v>
      </c>
      <c r="P19" s="22" t="s">
        <v>18</v>
      </c>
      <c r="Q19" s="22" t="s">
        <v>18</v>
      </c>
      <c r="R19" s="22" t="s">
        <v>18</v>
      </c>
      <c r="S19" s="22" t="s">
        <v>18</v>
      </c>
      <c r="T19" s="68" t="s">
        <v>18</v>
      </c>
      <c r="U19" s="68" t="s">
        <v>18</v>
      </c>
      <c r="V19" s="7" t="s">
        <v>23</v>
      </c>
      <c r="W19" s="7" t="s">
        <v>23</v>
      </c>
      <c r="X19" s="20" t="s">
        <v>16</v>
      </c>
      <c r="Y19" s="20" t="s">
        <v>16</v>
      </c>
      <c r="Z19" s="20" t="s">
        <v>16</v>
      </c>
      <c r="AA19" s="20" t="s">
        <v>16</v>
      </c>
      <c r="AB19" s="28" t="s">
        <v>12</v>
      </c>
      <c r="AC19" s="20" t="s">
        <v>16</v>
      </c>
      <c r="AD19" s="7" t="s">
        <v>23</v>
      </c>
      <c r="AE19" s="7" t="s">
        <v>23</v>
      </c>
      <c r="AF19" s="36">
        <v>1</v>
      </c>
      <c r="AG19" s="36"/>
      <c r="AH19" s="36">
        <v>1</v>
      </c>
      <c r="AI19" s="36"/>
      <c r="AJ19" s="8" t="s">
        <v>31</v>
      </c>
      <c r="AL19" s="30" t="s">
        <v>71</v>
      </c>
      <c r="AM19" s="19">
        <v>250</v>
      </c>
      <c r="AN19" s="19">
        <v>200</v>
      </c>
      <c r="AO19" s="19">
        <f t="shared" si="1"/>
        <v>3</v>
      </c>
      <c r="AP19" s="19">
        <f t="shared" si="3"/>
        <v>0</v>
      </c>
      <c r="AQ19" s="19">
        <f t="shared" si="4"/>
        <v>0</v>
      </c>
      <c r="AR19" s="19">
        <f t="shared" si="5"/>
        <v>3</v>
      </c>
      <c r="AS19" s="50">
        <f t="shared" si="6"/>
        <v>600</v>
      </c>
      <c r="AT19" s="50">
        <f t="shared" si="2"/>
        <v>0</v>
      </c>
      <c r="AU19" s="50">
        <f t="shared" si="2"/>
        <v>0</v>
      </c>
      <c r="AY19">
        <f t="shared" si="7"/>
        <v>200</v>
      </c>
    </row>
    <row r="20" spans="1:51">
      <c r="A20" s="1">
        <v>44472</v>
      </c>
      <c r="B20" s="55">
        <v>1600</v>
      </c>
      <c r="C20" s="55" cm="1">
        <f t="array" ref="C20">(SUM(VLOOKUP(H20:AE20,$AL$4:$AN$44,2,FALSE))+AF20*10)*IF(AJ20="是",$AW$4,$AW$3)</f>
        <v>2160</v>
      </c>
      <c r="D20" s="57">
        <f>SUM($B$4:B20)-SUM($C$4:C20)</f>
        <v>5932</v>
      </c>
      <c r="E20" s="55" cm="1">
        <f t="array" ref="E20">SUM(VLOOKUP(H20:AE20,$AL$4:$AN$44,3,FALSE))</f>
        <v>815</v>
      </c>
      <c r="F20" s="55">
        <f>SUM($E$4:E20)+SUM($G$4:G20)</f>
        <v>7790</v>
      </c>
      <c r="G20" s="55">
        <v>0</v>
      </c>
      <c r="H20" s="21" t="s">
        <v>6</v>
      </c>
      <c r="I20" s="22" t="s">
        <v>18</v>
      </c>
      <c r="J20" s="22" t="s">
        <v>18</v>
      </c>
      <c r="K20" s="28" t="s">
        <v>12</v>
      </c>
      <c r="L20" s="22" t="s">
        <v>18</v>
      </c>
      <c r="M20" s="22" t="s">
        <v>18</v>
      </c>
      <c r="N20" s="7" t="s">
        <v>23</v>
      </c>
      <c r="O20" s="7" t="s">
        <v>23</v>
      </c>
      <c r="P20" s="29" t="s">
        <v>47</v>
      </c>
      <c r="Q20" s="21" t="s">
        <v>17</v>
      </c>
      <c r="R20" s="28" t="s">
        <v>12</v>
      </c>
      <c r="S20" s="22" t="s">
        <v>18</v>
      </c>
      <c r="T20" s="68" t="s">
        <v>18</v>
      </c>
      <c r="U20" s="68" t="s">
        <v>7</v>
      </c>
      <c r="V20" s="22" t="s">
        <v>18</v>
      </c>
      <c r="W20" s="22" t="s">
        <v>18</v>
      </c>
      <c r="X20" s="29" t="s">
        <v>47</v>
      </c>
      <c r="Y20" s="20" t="s">
        <v>16</v>
      </c>
      <c r="Z20" s="20" t="s">
        <v>16</v>
      </c>
      <c r="AA20" s="21" t="s">
        <v>17</v>
      </c>
      <c r="AB20" s="21" t="s">
        <v>17</v>
      </c>
      <c r="AC20" s="31" t="s">
        <v>39</v>
      </c>
      <c r="AD20" s="21" t="s">
        <v>17</v>
      </c>
      <c r="AE20" s="21" t="s">
        <v>17</v>
      </c>
      <c r="AF20" s="36">
        <v>8</v>
      </c>
      <c r="AG20" s="36"/>
      <c r="AH20" s="36">
        <v>3</v>
      </c>
      <c r="AI20" s="36">
        <v>5</v>
      </c>
      <c r="AJ20" s="8" t="s">
        <v>31</v>
      </c>
      <c r="AL20" s="30" t="s">
        <v>72</v>
      </c>
      <c r="AM20" s="19">
        <v>170</v>
      </c>
      <c r="AN20" s="19">
        <v>45</v>
      </c>
      <c r="AO20" s="19">
        <f t="shared" si="1"/>
        <v>5</v>
      </c>
      <c r="AP20" s="19">
        <f t="shared" si="3"/>
        <v>0</v>
      </c>
      <c r="AQ20" s="19">
        <f t="shared" si="4"/>
        <v>0</v>
      </c>
      <c r="AR20" s="19">
        <f t="shared" si="5"/>
        <v>5</v>
      </c>
      <c r="AS20" s="50">
        <f t="shared" si="6"/>
        <v>225</v>
      </c>
      <c r="AT20" s="50">
        <f t="shared" si="6"/>
        <v>0</v>
      </c>
      <c r="AU20" s="50">
        <f t="shared" si="6"/>
        <v>0</v>
      </c>
      <c r="AY20">
        <f t="shared" si="7"/>
        <v>136</v>
      </c>
    </row>
    <row r="21" spans="1:51">
      <c r="A21" s="1">
        <v>44473</v>
      </c>
      <c r="B21" s="56">
        <v>1600</v>
      </c>
      <c r="C21" s="55" cm="1">
        <f t="array" ref="C21">(SUM(VLOOKUP(H21:AE21,$AL$4:$AN$44,2,FALSE))+AF21*10)*IF(AJ21="是",$AW$4,$AW$3)</f>
        <v>2120</v>
      </c>
      <c r="D21" s="18">
        <f>SUM($B$4:B21)-SUM($C$4:C21)</f>
        <v>5412</v>
      </c>
      <c r="E21" s="55" cm="1">
        <f t="array" ref="E21">SUM(VLOOKUP(H21:AE21,$AL$4:$AN$44,3,FALSE))</f>
        <v>735</v>
      </c>
      <c r="F21" s="55">
        <f>SUM($E$4:E21)+SUM($G$4:G21)</f>
        <v>8725</v>
      </c>
      <c r="G21" s="56">
        <v>200</v>
      </c>
      <c r="H21" s="22" t="s">
        <v>18</v>
      </c>
      <c r="I21" s="22" t="s">
        <v>18</v>
      </c>
      <c r="J21" s="22" t="s">
        <v>18</v>
      </c>
      <c r="K21" s="22" t="s">
        <v>18</v>
      </c>
      <c r="L21" s="21" t="s">
        <v>17</v>
      </c>
      <c r="M21" s="28" t="s">
        <v>12</v>
      </c>
      <c r="N21" s="7" t="s">
        <v>23</v>
      </c>
      <c r="O21" s="7" t="s">
        <v>23</v>
      </c>
      <c r="P21" s="68" t="s">
        <v>18</v>
      </c>
      <c r="Q21" s="68" t="s">
        <v>18</v>
      </c>
      <c r="R21" s="68" t="s">
        <v>18</v>
      </c>
      <c r="S21" s="28" t="s">
        <v>12</v>
      </c>
      <c r="T21" s="22" t="s">
        <v>18</v>
      </c>
      <c r="U21" s="22" t="s">
        <v>18</v>
      </c>
      <c r="V21" s="7" t="s">
        <v>23</v>
      </c>
      <c r="W21" s="7" t="s">
        <v>23</v>
      </c>
      <c r="X21" s="28" t="s">
        <v>12</v>
      </c>
      <c r="Y21" s="21" t="s">
        <v>17</v>
      </c>
      <c r="Z21" s="21" t="s">
        <v>17</v>
      </c>
      <c r="AA21" s="21" t="s">
        <v>17</v>
      </c>
      <c r="AB21" s="21" t="s">
        <v>6</v>
      </c>
      <c r="AC21" s="21" t="s">
        <v>17</v>
      </c>
      <c r="AD21" s="7" t="s">
        <v>23</v>
      </c>
      <c r="AE21" s="7" t="s">
        <v>23</v>
      </c>
      <c r="AF21" s="36">
        <v>2</v>
      </c>
      <c r="AG21" s="36"/>
      <c r="AH21" s="36">
        <v>2</v>
      </c>
      <c r="AI21" s="36"/>
      <c r="AJ21" s="8" t="s">
        <v>31</v>
      </c>
      <c r="AL21" s="34" t="s">
        <v>14</v>
      </c>
      <c r="AM21" s="19">
        <v>250</v>
      </c>
      <c r="AN21" s="19">
        <v>200</v>
      </c>
      <c r="AO21" s="19">
        <f t="shared" si="1"/>
        <v>0</v>
      </c>
      <c r="AP21" s="19">
        <f t="shared" si="3"/>
        <v>0</v>
      </c>
      <c r="AQ21" s="19">
        <f t="shared" si="4"/>
        <v>0</v>
      </c>
      <c r="AR21" s="19">
        <f t="shared" si="5"/>
        <v>0</v>
      </c>
      <c r="AS21" s="50">
        <f t="shared" si="6"/>
        <v>0</v>
      </c>
      <c r="AT21" s="50">
        <f t="shared" si="6"/>
        <v>0</v>
      </c>
      <c r="AU21" s="50">
        <f t="shared" si="6"/>
        <v>0</v>
      </c>
      <c r="AY21">
        <f t="shared" si="7"/>
        <v>200</v>
      </c>
    </row>
    <row r="22" spans="1:51">
      <c r="A22" s="1">
        <v>44474</v>
      </c>
      <c r="B22" s="56">
        <v>1600</v>
      </c>
      <c r="C22" s="55" cm="1">
        <f t="array" ref="C22">(SUM(VLOOKUP(H22:AE22,$AL$4:$AN$44,2,FALSE))+AF22*10)*IF(AJ22="是",$AW$4,$AW$3)</f>
        <v>2208</v>
      </c>
      <c r="D22" s="18">
        <f>SUM($B$4:B22)-SUM($C$4:C22)</f>
        <v>4804</v>
      </c>
      <c r="E22" s="55" cm="1">
        <f t="array" ref="E22">SUM(VLOOKUP(H22:AE22,$AL$4:$AN$44,3,FALSE))</f>
        <v>795</v>
      </c>
      <c r="F22" s="55">
        <f>SUM($E$4:E22)+SUM($G$4:G22)</f>
        <v>9620</v>
      </c>
      <c r="G22" s="56">
        <v>100</v>
      </c>
      <c r="H22" s="21" t="s">
        <v>17</v>
      </c>
      <c r="I22" s="21" t="s">
        <v>17</v>
      </c>
      <c r="J22" s="21" t="s">
        <v>17</v>
      </c>
      <c r="K22" s="21" t="s">
        <v>17</v>
      </c>
      <c r="L22" s="21" t="s">
        <v>17</v>
      </c>
      <c r="M22" s="28" t="s">
        <v>12</v>
      </c>
      <c r="N22" s="7" t="s">
        <v>23</v>
      </c>
      <c r="O22" s="7" t="s">
        <v>23</v>
      </c>
      <c r="P22" s="68" t="s">
        <v>18</v>
      </c>
      <c r="Q22" s="68" t="s">
        <v>18</v>
      </c>
      <c r="R22" s="68" t="s">
        <v>18</v>
      </c>
      <c r="S22" s="28" t="s">
        <v>12</v>
      </c>
      <c r="T22" s="22" t="s">
        <v>18</v>
      </c>
      <c r="U22" s="22" t="s">
        <v>18</v>
      </c>
      <c r="V22" s="7" t="s">
        <v>23</v>
      </c>
      <c r="W22" s="7" t="s">
        <v>23</v>
      </c>
      <c r="X22" s="21" t="s">
        <v>17</v>
      </c>
      <c r="Y22" s="29" t="s">
        <v>47</v>
      </c>
      <c r="Z22" s="22" t="s">
        <v>18</v>
      </c>
      <c r="AA22" s="22" t="s">
        <v>18</v>
      </c>
      <c r="AB22" s="68" t="s">
        <v>18</v>
      </c>
      <c r="AC22" s="68" t="s">
        <v>18</v>
      </c>
      <c r="AD22" s="22" t="s">
        <v>18</v>
      </c>
      <c r="AE22" s="22" t="s">
        <v>18</v>
      </c>
      <c r="AF22" s="36">
        <v>3</v>
      </c>
      <c r="AG22" s="36"/>
      <c r="AH22" s="36">
        <v>1</v>
      </c>
      <c r="AI22" s="36">
        <v>2</v>
      </c>
      <c r="AJ22" s="8" t="s">
        <v>31</v>
      </c>
      <c r="AL22" s="32" t="s">
        <v>15</v>
      </c>
      <c r="AM22" s="19">
        <v>250</v>
      </c>
      <c r="AN22" s="19">
        <v>1000</v>
      </c>
      <c r="AO22" s="19">
        <f t="shared" si="1"/>
        <v>0</v>
      </c>
      <c r="AP22" s="19">
        <f t="shared" si="3"/>
        <v>1</v>
      </c>
      <c r="AQ22" s="19">
        <f t="shared" si="4"/>
        <v>1</v>
      </c>
      <c r="AR22" s="19">
        <f t="shared" si="5"/>
        <v>2</v>
      </c>
      <c r="AS22" s="50">
        <f t="shared" si="6"/>
        <v>0</v>
      </c>
      <c r="AT22" s="50">
        <f t="shared" si="6"/>
        <v>1000</v>
      </c>
      <c r="AU22" s="50">
        <f t="shared" si="6"/>
        <v>1000</v>
      </c>
      <c r="AY22">
        <f t="shared" si="7"/>
        <v>200</v>
      </c>
    </row>
    <row r="23" spans="1:51">
      <c r="A23" s="1">
        <v>44475</v>
      </c>
      <c r="B23" s="56">
        <v>1600</v>
      </c>
      <c r="C23" s="55" cm="1">
        <f t="array" ref="C23">(SUM(VLOOKUP(H23:AE23,$AL$4:$AN$44,2,FALSE))+AF23*10)*IF(AJ23="是",$AW$4,$AW$3)</f>
        <v>1832</v>
      </c>
      <c r="D23" s="18">
        <f>SUM($B$4:B23)-SUM($C$4:C23)</f>
        <v>4572</v>
      </c>
      <c r="E23" s="55" cm="1">
        <f t="array" ref="E23">SUM(VLOOKUP(H23:AE23,$AL$4:$AN$44,3,FALSE))</f>
        <v>695</v>
      </c>
      <c r="F23" s="55">
        <f>SUM($E$4:E23)+SUM($G$4:G23)</f>
        <v>10515</v>
      </c>
      <c r="G23" s="56">
        <v>200</v>
      </c>
      <c r="H23" s="21" t="s">
        <v>17</v>
      </c>
      <c r="I23" s="21" t="s">
        <v>6</v>
      </c>
      <c r="J23" s="21" t="s">
        <v>17</v>
      </c>
      <c r="K23" s="21" t="s">
        <v>17</v>
      </c>
      <c r="L23" s="21" t="s">
        <v>17</v>
      </c>
      <c r="M23" s="28" t="s">
        <v>12</v>
      </c>
      <c r="N23" s="7" t="s">
        <v>23</v>
      </c>
      <c r="O23" s="7" t="s">
        <v>23</v>
      </c>
      <c r="P23" s="68" t="s">
        <v>18</v>
      </c>
      <c r="Q23" s="68" t="s">
        <v>18</v>
      </c>
      <c r="R23" s="28" t="s">
        <v>12</v>
      </c>
      <c r="S23" s="68" t="s">
        <v>18</v>
      </c>
      <c r="T23" s="68" t="s">
        <v>18</v>
      </c>
      <c r="U23" s="22" t="s">
        <v>18</v>
      </c>
      <c r="V23" s="7" t="s">
        <v>23</v>
      </c>
      <c r="W23" s="7" t="s">
        <v>23</v>
      </c>
      <c r="X23" s="29" t="s">
        <v>47</v>
      </c>
      <c r="Y23" s="22" t="s">
        <v>18</v>
      </c>
      <c r="Z23" s="22" t="s">
        <v>18</v>
      </c>
      <c r="AA23" s="28" t="s">
        <v>12</v>
      </c>
      <c r="AB23" s="22" t="s">
        <v>18</v>
      </c>
      <c r="AC23" s="22" t="s">
        <v>18</v>
      </c>
      <c r="AD23" s="7" t="s">
        <v>23</v>
      </c>
      <c r="AE23" s="7" t="s">
        <v>23</v>
      </c>
      <c r="AF23" s="36">
        <v>2</v>
      </c>
      <c r="AG23" s="36"/>
      <c r="AH23" s="36">
        <v>2</v>
      </c>
      <c r="AI23" s="36"/>
      <c r="AJ23" s="8" t="s">
        <v>31</v>
      </c>
      <c r="AL23" s="35" t="s">
        <v>41</v>
      </c>
      <c r="AM23" s="19">
        <v>250</v>
      </c>
      <c r="AN23" s="19">
        <v>500</v>
      </c>
      <c r="AO23" s="19">
        <f t="shared" si="1"/>
        <v>0</v>
      </c>
      <c r="AP23" s="19">
        <f t="shared" si="3"/>
        <v>0</v>
      </c>
      <c r="AQ23" s="19">
        <f t="shared" si="4"/>
        <v>2</v>
      </c>
      <c r="AR23" s="19">
        <f t="shared" si="5"/>
        <v>2</v>
      </c>
      <c r="AS23" s="50">
        <f t="shared" si="6"/>
        <v>0</v>
      </c>
      <c r="AT23" s="50">
        <f t="shared" si="6"/>
        <v>0</v>
      </c>
      <c r="AU23" s="50">
        <f t="shared" si="6"/>
        <v>1000</v>
      </c>
      <c r="AY23">
        <f t="shared" si="7"/>
        <v>200</v>
      </c>
    </row>
    <row r="24" spans="1:51">
      <c r="A24" s="1">
        <v>44476</v>
      </c>
      <c r="B24" s="56">
        <v>1600</v>
      </c>
      <c r="C24" s="55" cm="1">
        <f t="array" ref="C24">(SUM(VLOOKUP(H24:AE24,$AL$4:$AN$44,2,FALSE))+AF24*10)*IF(AJ24="是",$AW$4,$AW$3)</f>
        <v>2168</v>
      </c>
      <c r="D24" s="18">
        <f>SUM($B$4:B24)-SUM($C$4:C24)</f>
        <v>4004</v>
      </c>
      <c r="E24" s="55" cm="1">
        <f t="array" ref="E24">SUM(VLOOKUP(H24:AE24,$AL$4:$AN$44,3,FALSE))</f>
        <v>720</v>
      </c>
      <c r="F24" s="55">
        <f>SUM($E$4:E24)+SUM($G$4:G24)</f>
        <v>11235</v>
      </c>
      <c r="G24" s="56">
        <v>0</v>
      </c>
      <c r="H24" s="21" t="s">
        <v>17</v>
      </c>
      <c r="I24" s="21" t="s">
        <v>17</v>
      </c>
      <c r="J24" s="22" t="s">
        <v>18</v>
      </c>
      <c r="K24" s="21" t="s">
        <v>6</v>
      </c>
      <c r="L24" s="68" t="s">
        <v>18</v>
      </c>
      <c r="M24" s="68" t="s">
        <v>18</v>
      </c>
      <c r="N24" s="7" t="s">
        <v>23</v>
      </c>
      <c r="O24" s="7" t="s">
        <v>23</v>
      </c>
      <c r="P24" s="22" t="s">
        <v>18</v>
      </c>
      <c r="Q24" s="22" t="s">
        <v>18</v>
      </c>
      <c r="R24" s="22" t="s">
        <v>18</v>
      </c>
      <c r="S24" s="68" t="s">
        <v>18</v>
      </c>
      <c r="T24" s="68" t="s">
        <v>18</v>
      </c>
      <c r="U24" s="22" t="s">
        <v>18</v>
      </c>
      <c r="V24" s="7" t="s">
        <v>23</v>
      </c>
      <c r="W24" s="7" t="s">
        <v>23</v>
      </c>
      <c r="X24" s="23" t="s">
        <v>19</v>
      </c>
      <c r="Y24" s="23" t="s">
        <v>19</v>
      </c>
      <c r="Z24" s="23" t="s">
        <v>19</v>
      </c>
      <c r="AA24" s="22" t="s">
        <v>7</v>
      </c>
      <c r="AB24" t="s">
        <v>23</v>
      </c>
      <c r="AC24" t="s">
        <v>23</v>
      </c>
      <c r="AD24" s="7" t="s">
        <v>23</v>
      </c>
      <c r="AE24" s="7" t="s">
        <v>23</v>
      </c>
      <c r="AF24" s="36">
        <v>2</v>
      </c>
      <c r="AG24" s="36">
        <v>1</v>
      </c>
      <c r="AH24" s="36">
        <v>1</v>
      </c>
      <c r="AI24" s="36"/>
      <c r="AJ24" s="8" t="s">
        <v>31</v>
      </c>
      <c r="AL24" s="31" t="s">
        <v>39</v>
      </c>
      <c r="AM24" s="19">
        <v>160</v>
      </c>
      <c r="AN24" s="19">
        <v>40</v>
      </c>
      <c r="AO24" s="19">
        <f t="shared" si="1"/>
        <v>0</v>
      </c>
      <c r="AP24" s="19">
        <f t="shared" si="3"/>
        <v>0</v>
      </c>
      <c r="AQ24" s="19">
        <f t="shared" si="4"/>
        <v>1</v>
      </c>
      <c r="AR24" s="19">
        <f t="shared" si="5"/>
        <v>1</v>
      </c>
      <c r="AS24" s="50">
        <f t="shared" si="6"/>
        <v>0</v>
      </c>
      <c r="AT24" s="50">
        <f t="shared" si="6"/>
        <v>0</v>
      </c>
      <c r="AU24" s="50">
        <f t="shared" si="6"/>
        <v>40</v>
      </c>
      <c r="AY24">
        <f t="shared" si="7"/>
        <v>128</v>
      </c>
    </row>
    <row r="25" spans="1:51">
      <c r="A25" s="1">
        <v>44477</v>
      </c>
      <c r="B25" s="56">
        <v>1600</v>
      </c>
      <c r="C25" s="55" cm="1">
        <f t="array" ref="C25">(SUM(VLOOKUP(H25:AE25,$AL$4:$AN$44,2,FALSE))+AF25*10)*IF(AJ25="是",$AW$4,$AW$3)</f>
        <v>2136</v>
      </c>
      <c r="D25" s="18">
        <f>SUM($B$4:B25)-SUM($C$4:C25)</f>
        <v>3468</v>
      </c>
      <c r="E25" s="55" cm="1">
        <f t="array" ref="E25">SUM(VLOOKUP(H25:AE25,$AL$4:$AN$44,3,FALSE))</f>
        <v>740</v>
      </c>
      <c r="F25" s="55">
        <f>SUM($E$4:E25)+SUM($G$4:G25)</f>
        <v>11975</v>
      </c>
      <c r="G25" s="56">
        <v>0</v>
      </c>
      <c r="H25" s="22" t="s">
        <v>18</v>
      </c>
      <c r="I25" s="28" t="s">
        <v>12</v>
      </c>
      <c r="J25" s="22" t="s">
        <v>18</v>
      </c>
      <c r="K25" s="22" t="s">
        <v>18</v>
      </c>
      <c r="L25" s="22" t="s">
        <v>18</v>
      </c>
      <c r="M25" s="22" t="s">
        <v>18</v>
      </c>
      <c r="N25" s="7" t="s">
        <v>23</v>
      </c>
      <c r="O25" s="7" t="s">
        <v>23</v>
      </c>
      <c r="P25" s="22" t="s">
        <v>18</v>
      </c>
      <c r="Q25" s="23" t="s">
        <v>19</v>
      </c>
      <c r="R25" s="22" t="s">
        <v>18</v>
      </c>
      <c r="S25" s="22" t="s">
        <v>18</v>
      </c>
      <c r="T25" t="s">
        <v>23</v>
      </c>
      <c r="U25" t="s">
        <v>23</v>
      </c>
      <c r="V25" s="7" t="s">
        <v>23</v>
      </c>
      <c r="W25" s="7" t="s">
        <v>23</v>
      </c>
      <c r="X25" s="23" t="s">
        <v>19</v>
      </c>
      <c r="Y25" s="23" t="s">
        <v>19</v>
      </c>
      <c r="Z25" s="23" t="s">
        <v>19</v>
      </c>
      <c r="AA25" s="23" t="s">
        <v>19</v>
      </c>
      <c r="AB25" s="23" t="s">
        <v>19</v>
      </c>
      <c r="AC25" s="23" t="s">
        <v>19</v>
      </c>
      <c r="AD25" s="7" t="s">
        <v>23</v>
      </c>
      <c r="AE25" s="7" t="s">
        <v>23</v>
      </c>
      <c r="AF25" s="36">
        <v>0</v>
      </c>
      <c r="AG25" s="36"/>
      <c r="AH25" s="36"/>
      <c r="AI25" s="36"/>
      <c r="AJ25" s="8" t="s">
        <v>31</v>
      </c>
      <c r="AL25" s="31" t="s">
        <v>40</v>
      </c>
      <c r="AM25" s="19">
        <v>160</v>
      </c>
      <c r="AN25" s="19">
        <v>40</v>
      </c>
      <c r="AO25" s="19">
        <f t="shared" si="1"/>
        <v>0</v>
      </c>
      <c r="AP25" s="19">
        <f t="shared" si="3"/>
        <v>0</v>
      </c>
      <c r="AQ25" s="19">
        <f t="shared" si="4"/>
        <v>0</v>
      </c>
      <c r="AR25" s="19">
        <f t="shared" si="5"/>
        <v>0</v>
      </c>
      <c r="AS25" s="50">
        <f t="shared" si="6"/>
        <v>0</v>
      </c>
      <c r="AT25" s="50">
        <f t="shared" si="6"/>
        <v>0</v>
      </c>
      <c r="AU25" s="50">
        <f t="shared" si="6"/>
        <v>0</v>
      </c>
      <c r="AY25">
        <f t="shared" si="7"/>
        <v>128</v>
      </c>
    </row>
    <row r="26" spans="1:51">
      <c r="A26" s="1">
        <v>44478</v>
      </c>
      <c r="B26" s="56">
        <v>1600</v>
      </c>
      <c r="C26" s="55" cm="1">
        <f t="array" ref="C26">(SUM(VLOOKUP(H26:AE26,$AL$4:$AN$44,2,FALSE))+AF26*10)*IF(AJ26="是",$AW$4,$AW$3)</f>
        <v>1824</v>
      </c>
      <c r="D26" s="18">
        <f>SUM($B$4:B26)-SUM($C$4:C26)</f>
        <v>3244</v>
      </c>
      <c r="E26" s="55" cm="1">
        <f t="array" ref="E26">SUM(VLOOKUP(H26:AE26,$AL$4:$AN$44,3,FALSE))</f>
        <v>740</v>
      </c>
      <c r="F26" s="55">
        <f>SUM($E$4:E26)+SUM($G$4:G26)</f>
        <v>12715</v>
      </c>
      <c r="G26" s="56">
        <v>0</v>
      </c>
      <c r="H26" s="22" t="s">
        <v>18</v>
      </c>
      <c r="I26" s="22" t="s">
        <v>18</v>
      </c>
      <c r="J26" s="29" t="s">
        <v>47</v>
      </c>
      <c r="K26" s="22" t="s">
        <v>18</v>
      </c>
      <c r="L26" s="22" t="s">
        <v>18</v>
      </c>
      <c r="M26" s="22" t="s">
        <v>18</v>
      </c>
      <c r="N26" s="22" t="s">
        <v>18</v>
      </c>
      <c r="O26" s="22" t="s">
        <v>18</v>
      </c>
      <c r="P26" s="28" t="s">
        <v>12</v>
      </c>
      <c r="Q26" s="22" t="s">
        <v>18</v>
      </c>
      <c r="R26" s="29" t="s">
        <v>47</v>
      </c>
      <c r="S26" s="23" t="s">
        <v>19</v>
      </c>
      <c r="T26" t="s">
        <v>23</v>
      </c>
      <c r="U26" t="s">
        <v>23</v>
      </c>
      <c r="V26" s="7" t="s">
        <v>23</v>
      </c>
      <c r="W26" s="7" t="s">
        <v>23</v>
      </c>
      <c r="X26" s="23" t="s">
        <v>19</v>
      </c>
      <c r="Y26" s="23" t="s">
        <v>19</v>
      </c>
      <c r="Z26" s="23" t="s">
        <v>19</v>
      </c>
      <c r="AA26" s="23" t="s">
        <v>19</v>
      </c>
      <c r="AB26" s="23" t="s">
        <v>19</v>
      </c>
      <c r="AC26" s="23" t="s">
        <v>19</v>
      </c>
      <c r="AD26" s="7" t="s">
        <v>23</v>
      </c>
      <c r="AE26" s="7" t="s">
        <v>23</v>
      </c>
      <c r="AF26" s="36">
        <v>1</v>
      </c>
      <c r="AG26" s="36">
        <v>1</v>
      </c>
      <c r="AH26" s="36"/>
      <c r="AI26" s="36"/>
      <c r="AJ26" s="8" t="s">
        <v>31</v>
      </c>
      <c r="AL26" s="31" t="s">
        <v>38</v>
      </c>
      <c r="AM26" s="19">
        <v>150</v>
      </c>
      <c r="AN26" s="19">
        <v>35</v>
      </c>
      <c r="AO26" s="19">
        <f t="shared" si="1"/>
        <v>0</v>
      </c>
      <c r="AP26" s="19">
        <f t="shared" si="3"/>
        <v>0</v>
      </c>
      <c r="AQ26" s="19">
        <f t="shared" si="4"/>
        <v>0</v>
      </c>
      <c r="AR26" s="19">
        <f t="shared" si="5"/>
        <v>0</v>
      </c>
      <c r="AS26" s="50">
        <f t="shared" si="6"/>
        <v>0</v>
      </c>
      <c r="AT26" s="50">
        <f t="shared" si="6"/>
        <v>0</v>
      </c>
      <c r="AU26" s="50">
        <f t="shared" si="6"/>
        <v>0</v>
      </c>
      <c r="AY26">
        <f t="shared" si="7"/>
        <v>120</v>
      </c>
    </row>
    <row r="27" spans="1:51">
      <c r="A27" s="1">
        <v>44479</v>
      </c>
      <c r="B27" s="56">
        <v>1600</v>
      </c>
      <c r="C27" s="55" cm="1">
        <f t="array" ref="C27">(SUM(VLOOKUP(H27:AE27,$AL$4:$AN$44,2,FALSE))+AF27*10)*IF(AJ27="是",$AW$4,$AW$3)</f>
        <v>2256</v>
      </c>
      <c r="D27" s="18">
        <f>SUM($B$4:B27)-SUM($C$4:C27)</f>
        <v>2588</v>
      </c>
      <c r="E27" s="55" cm="1">
        <f t="array" ref="E27">SUM(VLOOKUP(H27:AE27,$AL$4:$AN$44,3,FALSE))</f>
        <v>770</v>
      </c>
      <c r="F27" s="55">
        <f>SUM($E$4:E27)+SUM($G$4:G27)</f>
        <v>13485</v>
      </c>
      <c r="G27" s="56">
        <v>0</v>
      </c>
      <c r="H27" s="22" t="s">
        <v>18</v>
      </c>
      <c r="I27" s="22" t="s">
        <v>18</v>
      </c>
      <c r="J27" s="22" t="s">
        <v>18</v>
      </c>
      <c r="K27" s="22" t="s">
        <v>18</v>
      </c>
      <c r="L27" s="22" t="s">
        <v>18</v>
      </c>
      <c r="M27" s="22" t="s">
        <v>18</v>
      </c>
      <c r="N27" s="7" t="s">
        <v>23</v>
      </c>
      <c r="O27" s="7" t="s">
        <v>23</v>
      </c>
      <c r="P27" s="23" t="s">
        <v>19</v>
      </c>
      <c r="Q27" s="23" t="s">
        <v>19</v>
      </c>
      <c r="R27" s="23" t="s">
        <v>19</v>
      </c>
      <c r="S27" s="23" t="s">
        <v>19</v>
      </c>
      <c r="T27" t="s">
        <v>23</v>
      </c>
      <c r="U27" t="s">
        <v>23</v>
      </c>
      <c r="V27" s="7" t="s">
        <v>23</v>
      </c>
      <c r="W27" s="7" t="s">
        <v>23</v>
      </c>
      <c r="X27" s="23" t="s">
        <v>19</v>
      </c>
      <c r="Y27" s="23" t="s">
        <v>19</v>
      </c>
      <c r="Z27" s="23" t="s">
        <v>19</v>
      </c>
      <c r="AA27" s="23" t="s">
        <v>19</v>
      </c>
      <c r="AB27" s="23" t="s">
        <v>19</v>
      </c>
      <c r="AC27" s="23" t="s">
        <v>19</v>
      </c>
      <c r="AD27" s="7" t="s">
        <v>23</v>
      </c>
      <c r="AE27" s="7" t="s">
        <v>23</v>
      </c>
      <c r="AF27" s="36">
        <v>0</v>
      </c>
      <c r="AG27" s="36"/>
      <c r="AH27" s="36"/>
      <c r="AI27" s="36"/>
      <c r="AJ27" s="8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6"/>
        <v>0</v>
      </c>
      <c r="AT27" s="50">
        <f t="shared" si="6"/>
        <v>0</v>
      </c>
      <c r="AU27" s="50">
        <f t="shared" si="6"/>
        <v>0</v>
      </c>
      <c r="AY27">
        <f t="shared" si="7"/>
        <v>0</v>
      </c>
    </row>
    <row r="28" spans="1:51" ht="15.75" thickBot="1">
      <c r="A28" s="1">
        <v>44480</v>
      </c>
      <c r="B28" s="55">
        <v>1600</v>
      </c>
      <c r="C28" s="55" cm="1">
        <f t="array" ref="C28">(SUM(VLOOKUP(H28:AE28,$AL$4:$AN$44,2,FALSE))+AF28*10)*IF(AJ28="是",$AW$4,$AW$3)</f>
        <v>2256</v>
      </c>
      <c r="D28" s="57">
        <f>SUM($B$4:B28)-SUM($C$4:C28)</f>
        <v>1932</v>
      </c>
      <c r="E28" s="55" cm="1">
        <f t="array" ref="E28">SUM(VLOOKUP(H28:AE28,$AL$4:$AN$44,3,FALSE))</f>
        <v>770</v>
      </c>
      <c r="F28" s="55">
        <f>SUM($E$4:E28)+SUM($G$4:G28)</f>
        <v>14455</v>
      </c>
      <c r="G28" s="55">
        <v>200</v>
      </c>
      <c r="H28" s="22" t="s">
        <v>18</v>
      </c>
      <c r="I28" s="22" t="s">
        <v>18</v>
      </c>
      <c r="J28" s="22" t="s">
        <v>18</v>
      </c>
      <c r="K28" s="22" t="s">
        <v>18</v>
      </c>
      <c r="L28" s="22" t="s">
        <v>18</v>
      </c>
      <c r="M28" s="22" t="s">
        <v>18</v>
      </c>
      <c r="N28" s="7" t="s">
        <v>23</v>
      </c>
      <c r="O28" s="7" t="s">
        <v>23</v>
      </c>
      <c r="P28" s="23" t="s">
        <v>19</v>
      </c>
      <c r="Q28" s="23" t="s">
        <v>19</v>
      </c>
      <c r="R28" s="23" t="s">
        <v>19</v>
      </c>
      <c r="S28" s="23" t="s">
        <v>19</v>
      </c>
      <c r="T28" t="s">
        <v>23</v>
      </c>
      <c r="U28" t="s">
        <v>23</v>
      </c>
      <c r="V28" s="7" t="s">
        <v>23</v>
      </c>
      <c r="W28" s="7" t="s">
        <v>23</v>
      </c>
      <c r="X28" s="23" t="s">
        <v>19</v>
      </c>
      <c r="Y28" s="23" t="s">
        <v>19</v>
      </c>
      <c r="Z28" s="23" t="s">
        <v>19</v>
      </c>
      <c r="AA28" s="23" t="s">
        <v>19</v>
      </c>
      <c r="AB28" s="23" t="s">
        <v>19</v>
      </c>
      <c r="AC28" s="23" t="s">
        <v>19</v>
      </c>
      <c r="AD28" s="7" t="s">
        <v>23</v>
      </c>
      <c r="AE28" s="7" t="s">
        <v>23</v>
      </c>
      <c r="AF28" s="36">
        <v>0</v>
      </c>
      <c r="AG28" s="36"/>
      <c r="AH28" s="36"/>
      <c r="AI28" s="36"/>
      <c r="AJ28" s="8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2</v>
      </c>
      <c r="AP28" s="19">
        <f>COUNTIF($P$4:$W$94,AL28)</f>
        <v>5</v>
      </c>
      <c r="AQ28" s="19">
        <f>COUNTIF($X$4:$AE$94,AL28)</f>
        <v>7</v>
      </c>
      <c r="AR28" s="19">
        <f>AO28+AP28+AQ28</f>
        <v>14</v>
      </c>
      <c r="AS28" s="50">
        <f t="shared" si="6"/>
        <v>0</v>
      </c>
      <c r="AT28" s="50">
        <f t="shared" si="6"/>
        <v>0</v>
      </c>
      <c r="AU28" s="50">
        <f t="shared" si="6"/>
        <v>0</v>
      </c>
      <c r="AY28">
        <f t="shared" si="7"/>
        <v>-160</v>
      </c>
    </row>
    <row r="29" spans="1:51">
      <c r="A29" s="1">
        <v>44481</v>
      </c>
      <c r="B29" s="55">
        <v>1600</v>
      </c>
      <c r="C29" s="55" cm="1">
        <f t="array" ref="C29">(SUM(VLOOKUP(H29:AE29,$AL$4:$AN$44,2,FALSE))+AF29*10)*IF(AJ29="是",$AW$4,$AW$3)</f>
        <v>2192</v>
      </c>
      <c r="D29" s="57">
        <f>SUM($B$4:B29)-SUM($C$4:C29)</f>
        <v>1340</v>
      </c>
      <c r="E29" s="55" cm="1">
        <f t="array" ref="E29">SUM(VLOOKUP(H29:AE29,$AL$4:$AN$44,3,FALSE))</f>
        <v>775</v>
      </c>
      <c r="F29" s="55">
        <f>SUM($E$4:E29)+SUM($G$4:G29)</f>
        <v>15330</v>
      </c>
      <c r="G29" s="55">
        <v>100</v>
      </c>
      <c r="H29" s="22" t="s">
        <v>18</v>
      </c>
      <c r="I29" s="22" t="s">
        <v>18</v>
      </c>
      <c r="J29" s="28" t="s">
        <v>12</v>
      </c>
      <c r="K29" s="22" t="s">
        <v>18</v>
      </c>
      <c r="L29" s="22" t="s">
        <v>18</v>
      </c>
      <c r="M29" s="22" t="s">
        <v>18</v>
      </c>
      <c r="N29" s="7" t="s">
        <v>23</v>
      </c>
      <c r="O29" s="7" t="s">
        <v>23</v>
      </c>
      <c r="P29" s="23" t="s">
        <v>19</v>
      </c>
      <c r="Q29" s="23" t="s">
        <v>19</v>
      </c>
      <c r="R29" s="23" t="s">
        <v>19</v>
      </c>
      <c r="S29" s="23" t="s">
        <v>19</v>
      </c>
      <c r="T29" t="s">
        <v>23</v>
      </c>
      <c r="U29" t="s">
        <v>23</v>
      </c>
      <c r="V29" s="7" t="s">
        <v>23</v>
      </c>
      <c r="W29" s="7" t="s">
        <v>23</v>
      </c>
      <c r="X29" s="23" t="s">
        <v>19</v>
      </c>
      <c r="Y29" s="23" t="s">
        <v>19</v>
      </c>
      <c r="Z29" s="24" t="s">
        <v>20</v>
      </c>
      <c r="AA29" s="24" t="s">
        <v>20</v>
      </c>
      <c r="AB29" s="24" t="s">
        <v>20</v>
      </c>
      <c r="AC29" s="24" t="s">
        <v>20</v>
      </c>
      <c r="AD29" s="7" t="s">
        <v>23</v>
      </c>
      <c r="AE29" s="7" t="s">
        <v>23</v>
      </c>
      <c r="AF29" s="36">
        <v>0</v>
      </c>
      <c r="AG29" s="36"/>
      <c r="AH29" s="36"/>
      <c r="AI29" s="36"/>
      <c r="AJ29" s="8" t="s">
        <v>31</v>
      </c>
      <c r="AL29" s="19"/>
      <c r="AM29" s="19"/>
      <c r="AN29" s="19"/>
      <c r="AQ29" t="s">
        <v>60</v>
      </c>
      <c r="AR29">
        <f>SUM(AR4:AR28)</f>
        <v>1024</v>
      </c>
      <c r="AT29" t="s">
        <v>61</v>
      </c>
      <c r="AU29" s="4">
        <f>SUM(AS4:AU28)+7000</f>
        <v>61405</v>
      </c>
    </row>
    <row r="30" spans="1:51">
      <c r="A30" s="1">
        <v>44482</v>
      </c>
      <c r="B30" s="55">
        <v>1600</v>
      </c>
      <c r="C30" s="55" cm="1">
        <f t="array" ref="C30">(SUM(VLOOKUP(H30:AE30,$AL$4:$AN$44,2,FALSE))+AF30*10)*IF(AJ30="是",$AW$4,$AW$3)</f>
        <v>2256</v>
      </c>
      <c r="D30" s="57">
        <f>SUM($B$4:B30)-SUM($C$4:C30)</f>
        <v>684</v>
      </c>
      <c r="E30" s="55" cm="1">
        <f t="array" ref="E30">SUM(VLOOKUP(H30:AE30,$AL$4:$AN$44,3,FALSE))</f>
        <v>795</v>
      </c>
      <c r="F30" s="55">
        <f>SUM($E$4:E30)+SUM($G$4:G30)</f>
        <v>16325</v>
      </c>
      <c r="G30" s="55">
        <v>200</v>
      </c>
      <c r="H30" s="22" t="s">
        <v>18</v>
      </c>
      <c r="I30" s="22" t="s">
        <v>18</v>
      </c>
      <c r="J30" s="22" t="s">
        <v>18</v>
      </c>
      <c r="K30" s="22" t="s">
        <v>18</v>
      </c>
      <c r="L30" s="22" t="s">
        <v>7</v>
      </c>
      <c r="M30" s="22" t="s">
        <v>18</v>
      </c>
      <c r="N30" s="7" t="s">
        <v>23</v>
      </c>
      <c r="O30" s="7" t="s">
        <v>23</v>
      </c>
      <c r="P30" s="23" t="s">
        <v>8</v>
      </c>
      <c r="Q30" s="23" t="s">
        <v>19</v>
      </c>
      <c r="R30" s="23" t="s">
        <v>19</v>
      </c>
      <c r="S30" s="22" t="s">
        <v>18</v>
      </c>
      <c r="T30" t="s">
        <v>23</v>
      </c>
      <c r="U30" t="s">
        <v>23</v>
      </c>
      <c r="V30" s="7" t="s">
        <v>23</v>
      </c>
      <c r="W30" s="7" t="s">
        <v>23</v>
      </c>
      <c r="X30" s="24" t="s">
        <v>20</v>
      </c>
      <c r="Y30" s="24" t="s">
        <v>20</v>
      </c>
      <c r="Z30" s="24" t="s">
        <v>20</v>
      </c>
      <c r="AA30" s="24" t="s">
        <v>20</v>
      </c>
      <c r="AB30" s="24" t="s">
        <v>20</v>
      </c>
      <c r="AC30" s="24" t="s">
        <v>20</v>
      </c>
      <c r="AD30" s="7" t="s">
        <v>23</v>
      </c>
      <c r="AE30" s="7" t="s">
        <v>23</v>
      </c>
      <c r="AF30" s="36">
        <v>0</v>
      </c>
      <c r="AG30" s="36"/>
      <c r="AH30" s="36"/>
      <c r="AI30" s="36"/>
      <c r="AJ30" s="8" t="s">
        <v>31</v>
      </c>
      <c r="AL30" s="19"/>
      <c r="AM30" s="19"/>
      <c r="AN30" s="19"/>
    </row>
    <row r="31" spans="1:51">
      <c r="A31" s="1">
        <v>44483</v>
      </c>
      <c r="B31" s="55">
        <v>1600</v>
      </c>
      <c r="C31" s="55" cm="1">
        <f t="array" ref="C31">(SUM(VLOOKUP(H31:AE31,$AL$4:$AN$44,2,FALSE))+AF31*10)*IF(AJ31="是",$AW$4,$AW$3)</f>
        <v>2144</v>
      </c>
      <c r="D31" s="57">
        <f>SUM($B$4:B31)-SUM($C$4:C31)</f>
        <v>140</v>
      </c>
      <c r="E31" s="55" cm="1">
        <f t="array" ref="E31">SUM(VLOOKUP(H31:AE31,$AL$4:$AN$44,3,FALSE))</f>
        <v>1205</v>
      </c>
      <c r="F31" s="55">
        <f>SUM($E$4:E31)+SUM($G$4:G31)</f>
        <v>17530</v>
      </c>
      <c r="G31" s="55">
        <v>0</v>
      </c>
      <c r="H31" s="22" t="s">
        <v>18</v>
      </c>
      <c r="I31" s="28" t="s">
        <v>12</v>
      </c>
      <c r="J31" s="22" t="s">
        <v>18</v>
      </c>
      <c r="K31" s="22" t="s">
        <v>18</v>
      </c>
      <c r="L31" s="23" t="s">
        <v>19</v>
      </c>
      <c r="M31" s="23" t="s">
        <v>19</v>
      </c>
      <c r="N31" s="7" t="s">
        <v>23</v>
      </c>
      <c r="O31" s="7" t="s">
        <v>23</v>
      </c>
      <c r="P31" s="22" t="s">
        <v>18</v>
      </c>
      <c r="Q31" s="22" t="s">
        <v>18</v>
      </c>
      <c r="R31" s="28" t="s">
        <v>12</v>
      </c>
      <c r="S31" s="22" t="s">
        <v>18</v>
      </c>
      <c r="T31" t="s">
        <v>23</v>
      </c>
      <c r="U31" t="s">
        <v>23</v>
      </c>
      <c r="V31" s="7" t="s">
        <v>23</v>
      </c>
      <c r="W31" s="7" t="s">
        <v>23</v>
      </c>
      <c r="X31" s="24" t="s">
        <v>20</v>
      </c>
      <c r="Y31" s="24" t="s">
        <v>20</v>
      </c>
      <c r="Z31" s="34" t="s">
        <v>41</v>
      </c>
      <c r="AA31" s="24" t="s">
        <v>20</v>
      </c>
      <c r="AB31" s="24" t="s">
        <v>20</v>
      </c>
      <c r="AC31" s="24" t="s">
        <v>20</v>
      </c>
      <c r="AD31" s="7" t="s">
        <v>23</v>
      </c>
      <c r="AE31" s="7" t="s">
        <v>23</v>
      </c>
      <c r="AF31" s="36">
        <v>0</v>
      </c>
      <c r="AG31" s="36"/>
      <c r="AH31" s="36"/>
      <c r="AI31" s="36"/>
      <c r="AJ31" s="8" t="s">
        <v>31</v>
      </c>
      <c r="AL31" s="19"/>
      <c r="AM31" s="19"/>
      <c r="AN31" s="19"/>
    </row>
    <row r="32" spans="1:51">
      <c r="A32" s="1">
        <v>44484</v>
      </c>
      <c r="B32" s="55">
        <v>1600</v>
      </c>
      <c r="C32" s="55" cm="1">
        <f t="array" ref="C32">(SUM(VLOOKUP(H32:AE32,$AL$4:$AN$44,2,FALSE))+AF32*10)*IF(AJ32="是",$AW$4,$AW$3)</f>
        <v>1616</v>
      </c>
      <c r="D32" s="57">
        <f>SUM($B$4:B32)-SUM($C$4:C32)</f>
        <v>124</v>
      </c>
      <c r="E32" s="55" cm="1">
        <f t="array" ref="E32">SUM(VLOOKUP(H32:AE32,$AL$4:$AN$44,3,FALSE))</f>
        <v>570</v>
      </c>
      <c r="F32" s="55">
        <f>SUM($E$4:E32)+SUM($G$4:G32)</f>
        <v>18100</v>
      </c>
      <c r="G32" s="55">
        <v>0</v>
      </c>
      <c r="H32" s="23" t="s">
        <v>19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s="7" t="s">
        <v>23</v>
      </c>
      <c r="O32" s="7" t="s">
        <v>23</v>
      </c>
      <c r="P32" s="22" t="s">
        <v>18</v>
      </c>
      <c r="Q32" s="22" t="s">
        <v>18</v>
      </c>
      <c r="R32" s="23" t="s">
        <v>19</v>
      </c>
      <c r="S32" s="23" t="s">
        <v>19</v>
      </c>
      <c r="T32" t="s">
        <v>23</v>
      </c>
      <c r="U32" t="s">
        <v>23</v>
      </c>
      <c r="V32" s="7" t="s">
        <v>23</v>
      </c>
      <c r="W32" s="7" t="s">
        <v>23</v>
      </c>
      <c r="X32" s="24" t="s">
        <v>20</v>
      </c>
      <c r="Y32" s="24" t="s">
        <v>20</v>
      </c>
      <c r="Z32" s="24" t="s">
        <v>20</v>
      </c>
      <c r="AA32" s="24" t="s">
        <v>20</v>
      </c>
      <c r="AB32" s="24" t="s">
        <v>20</v>
      </c>
      <c r="AC32" s="24" t="s">
        <v>20</v>
      </c>
      <c r="AD32" s="7" t="s">
        <v>23</v>
      </c>
      <c r="AE32" s="7" t="s">
        <v>23</v>
      </c>
      <c r="AF32" s="36">
        <v>0</v>
      </c>
      <c r="AG32" s="36"/>
      <c r="AH32" s="36"/>
      <c r="AI32" s="36"/>
      <c r="AJ32" s="8" t="s">
        <v>31</v>
      </c>
      <c r="AL32" s="19"/>
      <c r="AM32" s="19"/>
      <c r="AN32" s="19"/>
    </row>
    <row r="33" spans="1:41">
      <c r="A33" s="1">
        <v>44485</v>
      </c>
      <c r="B33" s="55">
        <v>1600</v>
      </c>
      <c r="C33" s="55" cm="1">
        <f t="array" ref="C33">(SUM(VLOOKUP(H33:AE33,$AL$4:$AN$44,2,FALSE))+AF33*10)*IF(AJ33="是",$AW$4,$AW$3)</f>
        <v>1640</v>
      </c>
      <c r="D33" s="57">
        <f>SUM($B$4:B33)-SUM($C$4:C33)</f>
        <v>84</v>
      </c>
      <c r="E33" s="55" cm="1">
        <f t="array" ref="E33">SUM(VLOOKUP(H33:AE33,$AL$4:$AN$44,3,FALSE))</f>
        <v>660</v>
      </c>
      <c r="F33" s="55">
        <f>SUM($E$4:E33)+SUM($G$4:G33)</f>
        <v>18760</v>
      </c>
      <c r="G33" s="55">
        <v>0</v>
      </c>
      <c r="H33" s="23" t="s">
        <v>19</v>
      </c>
      <c r="I33" s="23" t="s">
        <v>19</v>
      </c>
      <c r="J33" t="s">
        <v>23</v>
      </c>
      <c r="K33" t="s">
        <v>23</v>
      </c>
      <c r="L33" t="s">
        <v>23</v>
      </c>
      <c r="M33" t="s">
        <v>23</v>
      </c>
      <c r="N33" s="7" t="s">
        <v>23</v>
      </c>
      <c r="O33" s="7" t="s">
        <v>23</v>
      </c>
      <c r="P33" s="22" t="s">
        <v>7</v>
      </c>
      <c r="Q33" s="23" t="s">
        <v>19</v>
      </c>
      <c r="R33" s="23" t="s">
        <v>19</v>
      </c>
      <c r="S33" s="28" t="s">
        <v>12</v>
      </c>
      <c r="T33" t="s">
        <v>23</v>
      </c>
      <c r="U33" t="s">
        <v>23</v>
      </c>
      <c r="V33" s="7" t="s">
        <v>23</v>
      </c>
      <c r="W33" s="7" t="s">
        <v>23</v>
      </c>
      <c r="X33" s="24" t="s">
        <v>20</v>
      </c>
      <c r="Y33" s="29" t="s">
        <v>47</v>
      </c>
      <c r="Z33" s="24" t="s">
        <v>20</v>
      </c>
      <c r="AA33" s="24" t="s">
        <v>20</v>
      </c>
      <c r="AB33" s="24" t="s">
        <v>20</v>
      </c>
      <c r="AC33" s="24" t="s">
        <v>20</v>
      </c>
      <c r="AD33" s="24" t="s">
        <v>20</v>
      </c>
      <c r="AE33" s="24" t="s">
        <v>20</v>
      </c>
      <c r="AF33" s="36">
        <v>0</v>
      </c>
      <c r="AG33" s="36"/>
      <c r="AH33" s="36"/>
      <c r="AI33" s="36"/>
      <c r="AJ33" s="8" t="s">
        <v>31</v>
      </c>
      <c r="AL33" s="19"/>
      <c r="AM33" s="19"/>
      <c r="AN33" s="19"/>
    </row>
    <row r="34" spans="1:41">
      <c r="A34" s="1">
        <v>44486</v>
      </c>
      <c r="B34" s="55">
        <v>1600</v>
      </c>
      <c r="C34" s="55" cm="1">
        <f t="array" ref="C34">(SUM(VLOOKUP(H34:AE34,$AL$4:$AN$44,2,FALSE))+AF34*10)*IF(AJ34="是",$AW$4,$AW$3)</f>
        <v>1600</v>
      </c>
      <c r="D34" s="57">
        <f>SUM($B$4:B34)-SUM($C$4:C34)</f>
        <v>84</v>
      </c>
      <c r="E34" s="55" cm="1">
        <f t="array" ref="E34">SUM(VLOOKUP(H34:AE34,$AL$4:$AN$44,3,FALSE))</f>
        <v>580</v>
      </c>
      <c r="F34" s="55">
        <f>SUM($E$4:E34)+SUM($G$4:G34)</f>
        <v>19340</v>
      </c>
      <c r="G34" s="55">
        <v>0</v>
      </c>
      <c r="H34" s="23" t="s">
        <v>19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s="7" t="s">
        <v>23</v>
      </c>
      <c r="O34" s="7" t="s">
        <v>23</v>
      </c>
      <c r="P34" s="23" t="s">
        <v>19</v>
      </c>
      <c r="Q34" s="23" t="s">
        <v>19</v>
      </c>
      <c r="R34" s="23" t="s">
        <v>19</v>
      </c>
      <c r="S34" s="23" t="s">
        <v>19</v>
      </c>
      <c r="T34" t="s">
        <v>23</v>
      </c>
      <c r="U34" t="s">
        <v>23</v>
      </c>
      <c r="V34" s="7" t="s">
        <v>23</v>
      </c>
      <c r="W34" s="7" t="s">
        <v>23</v>
      </c>
      <c r="X34" s="24" t="s">
        <v>20</v>
      </c>
      <c r="Y34" s="24" t="s">
        <v>20</v>
      </c>
      <c r="Z34" s="24" t="s">
        <v>9</v>
      </c>
      <c r="AA34" s="24" t="s">
        <v>20</v>
      </c>
      <c r="AB34" s="24" t="s">
        <v>20</v>
      </c>
      <c r="AC34" s="24" t="s">
        <v>20</v>
      </c>
      <c r="AD34" s="7" t="s">
        <v>23</v>
      </c>
      <c r="AE34" s="7" t="s">
        <v>23</v>
      </c>
      <c r="AF34" s="36">
        <v>0</v>
      </c>
      <c r="AG34" s="36"/>
      <c r="AH34" s="36"/>
      <c r="AI34" s="36"/>
      <c r="AJ34" s="8" t="s">
        <v>31</v>
      </c>
      <c r="AL34" s="19"/>
      <c r="AM34" s="19"/>
      <c r="AN34" s="19"/>
    </row>
    <row r="35" spans="1:41">
      <c r="A35" s="1">
        <v>44487</v>
      </c>
      <c r="B35" s="56">
        <v>1600</v>
      </c>
      <c r="C35" s="55" cm="1">
        <f t="array" ref="C35">(SUM(VLOOKUP(H35:AE35,$AL$4:$AN$44,2,FALSE))+AF35*10)*IF(AJ35="是",$AW$4,$AW$3)</f>
        <v>1664</v>
      </c>
      <c r="D35" s="18">
        <f>SUM($B$4:B35)-SUM($C$4:C35)</f>
        <v>20</v>
      </c>
      <c r="E35" s="55" cm="1">
        <f t="array" ref="E35">SUM(VLOOKUP(H35:AE35,$AL$4:$AN$44,3,FALSE))</f>
        <v>600</v>
      </c>
      <c r="F35" s="55">
        <f>SUM($E$4:E35)+SUM($G$4:G35)</f>
        <v>20140</v>
      </c>
      <c r="G35" s="56">
        <v>200</v>
      </c>
      <c r="H35" s="23" t="s">
        <v>19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s="7" t="s">
        <v>23</v>
      </c>
      <c r="O35" s="7" t="s">
        <v>23</v>
      </c>
      <c r="P35" s="23" t="s">
        <v>19</v>
      </c>
      <c r="Q35" s="23" t="s">
        <v>19</v>
      </c>
      <c r="R35" s="23" t="s">
        <v>19</v>
      </c>
      <c r="S35" s="23" t="s">
        <v>19</v>
      </c>
      <c r="T35" t="s">
        <v>23</v>
      </c>
      <c r="U35" t="s">
        <v>23</v>
      </c>
      <c r="V35" s="7" t="s">
        <v>23</v>
      </c>
      <c r="W35" s="7" t="s">
        <v>23</v>
      </c>
      <c r="X35" s="24" t="s">
        <v>20</v>
      </c>
      <c r="Y35" s="24" t="s">
        <v>20</v>
      </c>
      <c r="Z35" s="25" t="s">
        <v>21</v>
      </c>
      <c r="AA35" s="25" t="s">
        <v>21</v>
      </c>
      <c r="AB35" s="25" t="s">
        <v>21</v>
      </c>
      <c r="AC35" s="25" t="s">
        <v>21</v>
      </c>
      <c r="AD35" s="7" t="s">
        <v>23</v>
      </c>
      <c r="AE35" s="7" t="s">
        <v>23</v>
      </c>
      <c r="AF35" s="36">
        <v>0</v>
      </c>
      <c r="AG35" s="36"/>
      <c r="AH35" s="36"/>
      <c r="AI35" s="36"/>
      <c r="AJ35" s="8" t="s">
        <v>31</v>
      </c>
      <c r="AL35" s="19"/>
      <c r="AM35" s="19"/>
      <c r="AN35" s="19"/>
    </row>
    <row r="36" spans="1:41">
      <c r="A36" s="1">
        <v>44488</v>
      </c>
      <c r="B36" s="56">
        <v>1600</v>
      </c>
      <c r="C36" s="55" cm="1">
        <f t="array" ref="C36">(SUM(VLOOKUP(H36:AE36,$AL$4:$AN$44,2,FALSE))+AF36*10)*IF(AJ36="是",$AW$4,$AW$3)</f>
        <v>1536</v>
      </c>
      <c r="D36" s="18">
        <f>SUM($B$4:B36)-SUM($C$4:C36)</f>
        <v>84</v>
      </c>
      <c r="E36" s="55" cm="1">
        <f t="array" ref="E36">SUM(VLOOKUP(H36:AE36,$AL$4:$AN$44,3,FALSE))</f>
        <v>560</v>
      </c>
      <c r="F36" s="55">
        <f>SUM($E$4:E36)+SUM($G$4:G36)</f>
        <v>20800</v>
      </c>
      <c r="G36" s="56">
        <v>100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s="7" t="s">
        <v>23</v>
      </c>
      <c r="O36" s="7" t="s">
        <v>23</v>
      </c>
      <c r="P36" s="23" t="s">
        <v>19</v>
      </c>
      <c r="Q36" s="23" t="s">
        <v>19</v>
      </c>
      <c r="R36" s="23" t="s">
        <v>19</v>
      </c>
      <c r="S36" s="23" t="s">
        <v>19</v>
      </c>
      <c r="T36" t="s">
        <v>23</v>
      </c>
      <c r="U36" t="s">
        <v>23</v>
      </c>
      <c r="V36" s="7" t="s">
        <v>23</v>
      </c>
      <c r="W36" s="7" t="s">
        <v>23</v>
      </c>
      <c r="X36" s="25" t="s">
        <v>21</v>
      </c>
      <c r="Y36" s="25" t="s">
        <v>21</v>
      </c>
      <c r="Z36" s="25" t="s">
        <v>21</v>
      </c>
      <c r="AA36" s="25" t="s">
        <v>21</v>
      </c>
      <c r="AB36" s="25" t="s">
        <v>21</v>
      </c>
      <c r="AC36" s="25" t="s">
        <v>21</v>
      </c>
      <c r="AD36" s="7" t="s">
        <v>23</v>
      </c>
      <c r="AE36" s="7" t="s">
        <v>23</v>
      </c>
      <c r="AF36" s="36">
        <v>0</v>
      </c>
      <c r="AG36" s="36"/>
      <c r="AH36" s="36"/>
      <c r="AI36" s="36"/>
      <c r="AJ36" s="8" t="s">
        <v>31</v>
      </c>
      <c r="AL36" s="19"/>
      <c r="AM36" s="19"/>
      <c r="AN36" s="19"/>
    </row>
    <row r="37" spans="1:41">
      <c r="A37" s="1">
        <v>44489</v>
      </c>
      <c r="B37" s="56">
        <v>1600</v>
      </c>
      <c r="C37" s="55" cm="1">
        <f t="array" ref="C37">(SUM(VLOOKUP(H37:AE37,$AL$4:$AN$44,2,FALSE))+AF37*10)*IF(AJ37="是",$AW$4,$AW$3)</f>
        <v>1680</v>
      </c>
      <c r="D37" s="18">
        <f>SUM($B$4:B37)-SUM($C$4:C37)</f>
        <v>4</v>
      </c>
      <c r="E37" s="55" cm="1">
        <f t="array" ref="E37">SUM(VLOOKUP(H37:AE37,$AL$4:$AN$44,3,FALSE))</f>
        <v>610</v>
      </c>
      <c r="F37" s="55">
        <f>SUM($E$4:E37)+SUM($G$4:G37)</f>
        <v>21610</v>
      </c>
      <c r="G37" s="56">
        <v>200</v>
      </c>
      <c r="H37" s="23" t="s">
        <v>19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s="7" t="s">
        <v>23</v>
      </c>
      <c r="O37" s="7" t="s">
        <v>23</v>
      </c>
      <c r="P37" s="23" t="s">
        <v>19</v>
      </c>
      <c r="Q37" s="23" t="s">
        <v>19</v>
      </c>
      <c r="R37" s="23" t="s">
        <v>19</v>
      </c>
      <c r="S37" s="23" t="s">
        <v>19</v>
      </c>
      <c r="T37" t="s">
        <v>23</v>
      </c>
      <c r="U37" t="s">
        <v>23</v>
      </c>
      <c r="V37" s="7" t="s">
        <v>23</v>
      </c>
      <c r="W37" s="7" t="s">
        <v>23</v>
      </c>
      <c r="X37" s="25" t="s">
        <v>21</v>
      </c>
      <c r="Y37" s="25" t="s">
        <v>21</v>
      </c>
      <c r="Z37" s="25" t="s">
        <v>21</v>
      </c>
      <c r="AA37" s="25" t="s">
        <v>21</v>
      </c>
      <c r="AB37" s="25" t="s">
        <v>21</v>
      </c>
      <c r="AC37" s="25" t="s">
        <v>21</v>
      </c>
      <c r="AD37" s="7" t="s">
        <v>23</v>
      </c>
      <c r="AE37" s="7" t="s">
        <v>23</v>
      </c>
      <c r="AF37" s="36">
        <v>0</v>
      </c>
      <c r="AG37" s="36"/>
      <c r="AH37" s="36"/>
      <c r="AI37" s="36"/>
      <c r="AJ37" s="8" t="s">
        <v>31</v>
      </c>
      <c r="AL37" s="19" t="s">
        <v>67</v>
      </c>
      <c r="AM37" s="19"/>
      <c r="AN37" s="19">
        <v>6</v>
      </c>
      <c r="AO37">
        <v>194</v>
      </c>
    </row>
    <row r="38" spans="1:41">
      <c r="A38" s="1">
        <v>44490</v>
      </c>
      <c r="B38" s="56">
        <v>1600</v>
      </c>
      <c r="C38" s="55" cm="1">
        <f t="array" ref="C38">(SUM(VLOOKUP(H38:AE38,$AL$4:$AN$44,2,FALSE))+AF38*10)*IF(AJ38="是",$AW$4,$AW$3)</f>
        <v>1544</v>
      </c>
      <c r="D38" s="18">
        <f>SUM($B$4:B38)-SUM($C$4:C38)</f>
        <v>60</v>
      </c>
      <c r="E38" s="55" cm="1">
        <f t="array" ref="E38">SUM(VLOOKUP(H38:AE38,$AL$4:$AN$44,3,FALSE))</f>
        <v>565</v>
      </c>
      <c r="F38" s="55">
        <f>SUM($E$4:E38)+SUM($G$4:G38)</f>
        <v>22175</v>
      </c>
      <c r="G38" s="56">
        <v>0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s="7" t="s">
        <v>23</v>
      </c>
      <c r="O38" s="7" t="s">
        <v>23</v>
      </c>
      <c r="P38" s="23" t="s">
        <v>19</v>
      </c>
      <c r="Q38" s="23" t="s">
        <v>19</v>
      </c>
      <c r="R38" s="23" t="s">
        <v>19</v>
      </c>
      <c r="S38" s="24" t="s">
        <v>20</v>
      </c>
      <c r="T38" t="s">
        <v>23</v>
      </c>
      <c r="U38" t="s">
        <v>23</v>
      </c>
      <c r="V38" s="7" t="s">
        <v>23</v>
      </c>
      <c r="W38" s="7" t="s">
        <v>23</v>
      </c>
      <c r="X38" s="25" t="s">
        <v>21</v>
      </c>
      <c r="Y38" s="25" t="s">
        <v>21</v>
      </c>
      <c r="Z38" s="25" t="s">
        <v>21</v>
      </c>
      <c r="AA38" s="25" t="s">
        <v>21</v>
      </c>
      <c r="AB38" s="25" t="s">
        <v>21</v>
      </c>
      <c r="AC38" s="25" t="s">
        <v>21</v>
      </c>
      <c r="AD38" s="7" t="s">
        <v>23</v>
      </c>
      <c r="AE38" s="7" t="s">
        <v>23</v>
      </c>
      <c r="AF38" s="36">
        <v>0</v>
      </c>
      <c r="AG38" s="36"/>
      <c r="AH38" s="36"/>
      <c r="AI38" s="36"/>
      <c r="AJ38" s="8" t="s">
        <v>31</v>
      </c>
      <c r="AL38" s="19" t="s">
        <v>68</v>
      </c>
      <c r="AM38" s="19"/>
      <c r="AN38" s="19">
        <v>5</v>
      </c>
      <c r="AO38">
        <v>236</v>
      </c>
    </row>
    <row r="39" spans="1:41">
      <c r="A39" s="1">
        <v>44491</v>
      </c>
      <c r="B39" s="56">
        <v>1600</v>
      </c>
      <c r="C39" s="55" cm="1">
        <f t="array" ref="C39">(SUM(VLOOKUP(H39:AE39,$AL$4:$AN$44,2,FALSE))+AF39*10)*IF(AJ39="是",$AW$4,$AW$3)</f>
        <v>1552</v>
      </c>
      <c r="D39" s="18">
        <f>SUM($B$4:B39)-SUM($C$4:C39)</f>
        <v>108</v>
      </c>
      <c r="E39" s="55" cm="1">
        <f t="array" ref="E39">SUM(VLOOKUP(H39:AE39,$AL$4:$AN$44,3,FALSE))</f>
        <v>1500</v>
      </c>
      <c r="F39" s="55">
        <f>SUM($E$4:E39)+SUM($G$4:G39)</f>
        <v>23675</v>
      </c>
      <c r="G39" s="56">
        <v>0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s="7" t="s">
        <v>23</v>
      </c>
      <c r="O39" s="7" t="s">
        <v>23</v>
      </c>
      <c r="P39" s="23" t="s">
        <v>8</v>
      </c>
      <c r="Q39" s="23" t="s">
        <v>19</v>
      </c>
      <c r="R39" s="23" t="s">
        <v>19</v>
      </c>
      <c r="S39" s="23" t="s">
        <v>19</v>
      </c>
      <c r="T39" t="s">
        <v>23</v>
      </c>
      <c r="U39" t="s">
        <v>23</v>
      </c>
      <c r="V39" s="7" t="s">
        <v>23</v>
      </c>
      <c r="W39" s="7" t="s">
        <v>23</v>
      </c>
      <c r="X39" s="25" t="s">
        <v>21</v>
      </c>
      <c r="Y39" s="25" t="s">
        <v>21</v>
      </c>
      <c r="Z39" s="25" t="s">
        <v>21</v>
      </c>
      <c r="AA39" s="32" t="s">
        <v>15</v>
      </c>
      <c r="AB39" s="25" t="s">
        <v>21</v>
      </c>
      <c r="AC39" s="25" t="s">
        <v>21</v>
      </c>
      <c r="AD39" s="7" t="s">
        <v>23</v>
      </c>
      <c r="AE39" s="7" t="s">
        <v>23</v>
      </c>
      <c r="AF39" s="36">
        <v>0</v>
      </c>
      <c r="AG39" s="36"/>
      <c r="AH39" s="36"/>
      <c r="AI39" s="36"/>
      <c r="AJ39" s="8" t="s">
        <v>31</v>
      </c>
      <c r="AL39" s="19" t="s">
        <v>69</v>
      </c>
      <c r="AM39" s="19"/>
      <c r="AN39" s="19">
        <v>4</v>
      </c>
      <c r="AO39">
        <v>269</v>
      </c>
    </row>
    <row r="40" spans="1:41">
      <c r="A40" s="1">
        <v>44492</v>
      </c>
      <c r="B40" s="56">
        <v>1600</v>
      </c>
      <c r="C40" s="55" cm="1">
        <f t="array" ref="C40">(SUM(VLOOKUP(H40:AE40,$AL$4:$AN$44,2,FALSE))+AF40*10)*IF(AJ40="是",$AW$4,$AW$3)</f>
        <v>1688</v>
      </c>
      <c r="D40" s="18">
        <f>SUM($B$4:B40)-SUM($C$4:C40)</f>
        <v>20</v>
      </c>
      <c r="E40" s="55" cm="1">
        <f t="array" ref="E40">SUM(VLOOKUP(H40:AE40,$AL$4:$AN$44,3,FALSE))</f>
        <v>615</v>
      </c>
      <c r="F40" s="55">
        <f>SUM($E$4:E40)+SUM($G$4:G40)</f>
        <v>24290</v>
      </c>
      <c r="G40" s="56">
        <v>0</v>
      </c>
      <c r="H40" s="23" t="s">
        <v>19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s="7" t="s">
        <v>23</v>
      </c>
      <c r="O40" s="7" t="s">
        <v>23</v>
      </c>
      <c r="P40" s="23" t="s">
        <v>19</v>
      </c>
      <c r="Q40" s="23" t="s">
        <v>19</v>
      </c>
      <c r="R40" s="23" t="s">
        <v>19</v>
      </c>
      <c r="S40" s="24" t="s">
        <v>20</v>
      </c>
      <c r="T40" t="s">
        <v>23</v>
      </c>
      <c r="U40" t="s">
        <v>23</v>
      </c>
      <c r="V40" s="7" t="s">
        <v>23</v>
      </c>
      <c r="W40" s="7" t="s">
        <v>23</v>
      </c>
      <c r="X40" s="25" t="s">
        <v>21</v>
      </c>
      <c r="Y40" s="25" t="s">
        <v>21</v>
      </c>
      <c r="Z40" s="25" t="s">
        <v>21</v>
      </c>
      <c r="AA40" s="25" t="s">
        <v>21</v>
      </c>
      <c r="AB40" s="25" t="s">
        <v>21</v>
      </c>
      <c r="AC40" s="25" t="s">
        <v>21</v>
      </c>
      <c r="AD40" s="7" t="s">
        <v>23</v>
      </c>
      <c r="AE40" s="7" t="s">
        <v>23</v>
      </c>
      <c r="AF40" s="36">
        <v>0</v>
      </c>
      <c r="AG40" s="36"/>
      <c r="AH40" s="36"/>
      <c r="AI40" s="36"/>
      <c r="AJ40" s="8" t="s">
        <v>31</v>
      </c>
      <c r="AL40" s="19" t="s">
        <v>70</v>
      </c>
      <c r="AM40" s="19"/>
      <c r="AN40" s="19">
        <v>3</v>
      </c>
      <c r="AO40">
        <v>358</v>
      </c>
    </row>
    <row r="41" spans="1:41">
      <c r="A41" s="1">
        <v>44493</v>
      </c>
      <c r="B41" s="56">
        <v>1600</v>
      </c>
      <c r="C41" s="55" cm="1">
        <f t="array" ref="C41">(SUM(VLOOKUP(H41:AE41,$AL$4:$AN$44,2,FALSE))+AF41*10)*IF(AJ41="是",$AW$4,$AW$3)</f>
        <v>1568</v>
      </c>
      <c r="D41" s="18">
        <f>SUM($B$4:B41)-SUM($C$4:C41)</f>
        <v>52</v>
      </c>
      <c r="E41" s="55" cm="1">
        <f t="array" ref="E41">SUM(VLOOKUP(H41:AE41,$AL$4:$AN$44,3,FALSE))</f>
        <v>580</v>
      </c>
      <c r="F41" s="55">
        <f>SUM($E$4:E41)+SUM($G$4:G41)</f>
        <v>24870</v>
      </c>
      <c r="G41" s="56">
        <v>0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s="7" t="s">
        <v>23</v>
      </c>
      <c r="O41" s="7" t="s">
        <v>23</v>
      </c>
      <c r="P41" s="24" t="s">
        <v>20</v>
      </c>
      <c r="Q41" s="24" t="s">
        <v>20</v>
      </c>
      <c r="R41" s="24" t="s">
        <v>20</v>
      </c>
      <c r="S41" s="24" t="s">
        <v>20</v>
      </c>
      <c r="T41" t="s">
        <v>23</v>
      </c>
      <c r="U41" t="s">
        <v>23</v>
      </c>
      <c r="V41" s="7" t="s">
        <v>23</v>
      </c>
      <c r="W41" s="7" t="s">
        <v>23</v>
      </c>
      <c r="X41" s="25" t="s">
        <v>21</v>
      </c>
      <c r="Y41" s="25" t="s">
        <v>21</v>
      </c>
      <c r="Z41" s="25" t="s">
        <v>21</v>
      </c>
      <c r="AA41" s="25" t="s">
        <v>21</v>
      </c>
      <c r="AB41" s="25" t="s">
        <v>21</v>
      </c>
      <c r="AC41" s="25" t="s">
        <v>21</v>
      </c>
      <c r="AD41" s="7" t="s">
        <v>23</v>
      </c>
      <c r="AE41" s="7" t="s">
        <v>23</v>
      </c>
      <c r="AF41" s="36">
        <v>0</v>
      </c>
      <c r="AG41" s="36"/>
      <c r="AH41" s="36"/>
      <c r="AI41" s="36"/>
      <c r="AJ41" s="8" t="s">
        <v>31</v>
      </c>
      <c r="AL41" s="19"/>
      <c r="AM41" s="19"/>
      <c r="AN41" s="19"/>
      <c r="AO41">
        <f>SUM(AO37:AO40)</f>
        <v>1057</v>
      </c>
    </row>
    <row r="42" spans="1:41">
      <c r="A42" s="1">
        <v>44494</v>
      </c>
      <c r="B42" s="55">
        <v>1600</v>
      </c>
      <c r="C42" s="55" cm="1">
        <f t="array" ref="C42">(SUM(VLOOKUP(H42:AE42,$AL$4:$AN$44,2,FALSE))+AF42*10)*IF(AJ42="是",$AW$4,$AW$3)</f>
        <v>1600</v>
      </c>
      <c r="D42" s="57">
        <f>SUM($B$4:B42)-SUM($C$4:C42)</f>
        <v>52</v>
      </c>
      <c r="E42" s="55" cm="1">
        <f t="array" ref="E42">SUM(VLOOKUP(H42:AE42,$AL$4:$AN$44,3,FALSE))</f>
        <v>605</v>
      </c>
      <c r="F42" s="55">
        <f>SUM($E$4:E42)+SUM($G$4:G42)</f>
        <v>25775</v>
      </c>
      <c r="G42" s="55">
        <v>300</v>
      </c>
      <c r="H42" s="23" t="s">
        <v>19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s="7" t="s">
        <v>23</v>
      </c>
      <c r="O42" s="7" t="s">
        <v>23</v>
      </c>
      <c r="P42" s="28" t="s">
        <v>12</v>
      </c>
      <c r="Q42" s="24" t="s">
        <v>20</v>
      </c>
      <c r="R42" s="24" t="s">
        <v>20</v>
      </c>
      <c r="S42" s="24" t="s">
        <v>20</v>
      </c>
      <c r="T42" t="s">
        <v>23</v>
      </c>
      <c r="U42" t="s">
        <v>23</v>
      </c>
      <c r="V42" s="7" t="s">
        <v>23</v>
      </c>
      <c r="W42" s="7" t="s">
        <v>23</v>
      </c>
      <c r="X42" s="25" t="s">
        <v>21</v>
      </c>
      <c r="Y42" s="25" t="s">
        <v>21</v>
      </c>
      <c r="Z42" s="25" t="s">
        <v>21</v>
      </c>
      <c r="AA42" s="25" t="s">
        <v>21</v>
      </c>
      <c r="AB42" s="25" t="s">
        <v>21</v>
      </c>
      <c r="AC42" s="25" t="s">
        <v>21</v>
      </c>
      <c r="AD42" s="7" t="s">
        <v>23</v>
      </c>
      <c r="AE42" s="7" t="s">
        <v>23</v>
      </c>
      <c r="AF42" s="36">
        <v>0</v>
      </c>
      <c r="AG42" s="36"/>
      <c r="AH42" s="36"/>
      <c r="AI42" s="36"/>
      <c r="AJ42" s="8" t="s">
        <v>31</v>
      </c>
      <c r="AL42" s="19"/>
      <c r="AM42" s="19"/>
      <c r="AN42" s="19"/>
    </row>
    <row r="43" spans="1:41">
      <c r="A43" s="1">
        <v>44495</v>
      </c>
      <c r="B43" s="55">
        <v>1600</v>
      </c>
      <c r="C43" s="55" cm="1">
        <f t="array" ref="C43">(SUM(VLOOKUP(H43:AE43,$AL$4:$AN$44,2,FALSE))+AF43*10)*IF(AJ43="是",$AW$4,$AW$3)</f>
        <v>1568</v>
      </c>
      <c r="D43" s="57">
        <f>SUM($B$4:B43)-SUM($C$4:C43)</f>
        <v>84</v>
      </c>
      <c r="E43" s="55" cm="1">
        <f t="array" ref="E43">SUM(VLOOKUP(H43:AE43,$AL$4:$AN$44,3,FALSE))</f>
        <v>580</v>
      </c>
      <c r="F43" s="55">
        <f>SUM($E$4:E43)+SUM($G$4:G43)</f>
        <v>26355</v>
      </c>
      <c r="G43" s="55">
        <v>0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s="7" t="s">
        <v>23</v>
      </c>
      <c r="O43" s="7" t="s">
        <v>23</v>
      </c>
      <c r="P43" s="24" t="s">
        <v>20</v>
      </c>
      <c r="Q43" s="24" t="s">
        <v>20</v>
      </c>
      <c r="R43" s="24" t="s">
        <v>20</v>
      </c>
      <c r="S43" s="24" t="s">
        <v>20</v>
      </c>
      <c r="T43" t="s">
        <v>23</v>
      </c>
      <c r="U43" t="s">
        <v>23</v>
      </c>
      <c r="V43" s="7" t="s">
        <v>23</v>
      </c>
      <c r="W43" s="7" t="s">
        <v>23</v>
      </c>
      <c r="X43" s="25" t="s">
        <v>21</v>
      </c>
      <c r="Y43" s="25" t="s">
        <v>21</v>
      </c>
      <c r="Z43" s="25" t="s">
        <v>21</v>
      </c>
      <c r="AA43" s="25" t="s">
        <v>21</v>
      </c>
      <c r="AB43" s="25" t="s">
        <v>21</v>
      </c>
      <c r="AC43" s="25" t="s">
        <v>21</v>
      </c>
      <c r="AD43" s="7" t="s">
        <v>23</v>
      </c>
      <c r="AE43" s="7" t="s">
        <v>23</v>
      </c>
      <c r="AF43" s="36">
        <v>0</v>
      </c>
      <c r="AG43" s="36"/>
      <c r="AH43" s="36"/>
      <c r="AI43" s="36"/>
      <c r="AJ43" s="8" t="s">
        <v>31</v>
      </c>
      <c r="AL43" s="19"/>
      <c r="AM43" s="19"/>
      <c r="AN43" s="19"/>
    </row>
    <row r="44" spans="1:41">
      <c r="A44" s="1">
        <v>44496</v>
      </c>
      <c r="B44" s="55">
        <v>1600</v>
      </c>
      <c r="C44" s="55" cm="1">
        <f t="array" ref="C44">(SUM(VLOOKUP(H44:AE44,$AL$4:$AN$44,2,FALSE))+AF44*10)*IF(AJ44="是",$AW$4,$AW$3)</f>
        <v>1592</v>
      </c>
      <c r="D44" s="57">
        <f>SUM($B$4:B44)-SUM($C$4:C44)</f>
        <v>92</v>
      </c>
      <c r="E44" s="55" cm="1">
        <f t="array" ref="E44">SUM(VLOOKUP(H44:AE44,$AL$4:$AN$44,3,FALSE))</f>
        <v>595</v>
      </c>
      <c r="F44" s="55">
        <f>SUM($E$4:E44)+SUM($G$4:G44)</f>
        <v>27150</v>
      </c>
      <c r="G44" s="55">
        <v>200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s="7" t="s">
        <v>23</v>
      </c>
      <c r="O44" s="7" t="s">
        <v>23</v>
      </c>
      <c r="P44" s="24" t="s">
        <v>20</v>
      </c>
      <c r="Q44" s="25" t="s">
        <v>21</v>
      </c>
      <c r="R44" s="25" t="s">
        <v>21</v>
      </c>
      <c r="S44" s="25" t="s">
        <v>21</v>
      </c>
      <c r="T44" t="s">
        <v>23</v>
      </c>
      <c r="U44" t="s">
        <v>23</v>
      </c>
      <c r="V44" s="7" t="s">
        <v>23</v>
      </c>
      <c r="W44" s="7" t="s">
        <v>23</v>
      </c>
      <c r="X44" s="25" t="s">
        <v>21</v>
      </c>
      <c r="Y44" s="25" t="s">
        <v>21</v>
      </c>
      <c r="Z44" s="25" t="s">
        <v>21</v>
      </c>
      <c r="AA44" s="25" t="s">
        <v>21</v>
      </c>
      <c r="AB44" s="25" t="s">
        <v>21</v>
      </c>
      <c r="AC44" s="25" t="s">
        <v>21</v>
      </c>
      <c r="AD44" s="7" t="s">
        <v>23</v>
      </c>
      <c r="AE44" s="7" t="s">
        <v>23</v>
      </c>
      <c r="AF44" s="36">
        <v>0</v>
      </c>
      <c r="AG44" s="36"/>
      <c r="AH44" s="36"/>
      <c r="AI44" s="36"/>
      <c r="AJ44" s="8" t="s">
        <v>31</v>
      </c>
      <c r="AL44" s="19"/>
      <c r="AM44" s="19"/>
      <c r="AN44" s="19"/>
    </row>
    <row r="45" spans="1:41">
      <c r="A45" s="1">
        <v>44497</v>
      </c>
      <c r="B45" s="55">
        <v>1600</v>
      </c>
      <c r="C45" s="55" cm="1">
        <f t="array" ref="C45">(SUM(VLOOKUP(H45:AE45,$AL$4:$AN$44,2,FALSE))+AF45*10)*IF(AJ45="是",$AW$4,$AW$3)</f>
        <v>1600</v>
      </c>
      <c r="D45" s="57">
        <f>SUM($B$4:B45)-SUM($C$4:C45)</f>
        <v>92</v>
      </c>
      <c r="E45" s="55" cm="1">
        <f t="array" ref="E45">SUM(VLOOKUP(H45:AE45,$AL$4:$AN$44,3,FALSE))</f>
        <v>600</v>
      </c>
      <c r="F45" s="55">
        <f>SUM($E$4:E45)+SUM($G$4:G45)</f>
        <v>27750</v>
      </c>
      <c r="G45" s="55">
        <v>0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s="7" t="s">
        <v>23</v>
      </c>
      <c r="O45" s="7" t="s">
        <v>23</v>
      </c>
      <c r="P45" s="25" t="s">
        <v>21</v>
      </c>
      <c r="Q45" s="25" t="s">
        <v>21</v>
      </c>
      <c r="R45" s="25" t="s">
        <v>21</v>
      </c>
      <c r="S45" s="25" t="s">
        <v>21</v>
      </c>
      <c r="T45" t="s">
        <v>23</v>
      </c>
      <c r="U45" t="s">
        <v>23</v>
      </c>
      <c r="V45" s="7" t="s">
        <v>23</v>
      </c>
      <c r="W45" s="7" t="s">
        <v>23</v>
      </c>
      <c r="X45" s="25" t="s">
        <v>21</v>
      </c>
      <c r="Y45" s="25" t="s">
        <v>21</v>
      </c>
      <c r="Z45" s="25" t="s">
        <v>21</v>
      </c>
      <c r="AA45" s="25" t="s">
        <v>21</v>
      </c>
      <c r="AB45" s="25" t="s">
        <v>21</v>
      </c>
      <c r="AC45" s="25" t="s">
        <v>21</v>
      </c>
      <c r="AD45" s="7" t="s">
        <v>23</v>
      </c>
      <c r="AE45" s="7" t="s">
        <v>23</v>
      </c>
      <c r="AF45" s="36">
        <v>0</v>
      </c>
      <c r="AG45" s="36"/>
      <c r="AH45" s="36"/>
      <c r="AI45" s="36"/>
      <c r="AJ45" s="8" t="s">
        <v>31</v>
      </c>
    </row>
    <row r="46" spans="1:41">
      <c r="A46" s="1">
        <v>44498</v>
      </c>
      <c r="B46" s="55">
        <v>1600</v>
      </c>
      <c r="C46" s="55" cm="1">
        <f t="array" ref="C46">(SUM(VLOOKUP(H46:AE46,$AL$4:$AN$44,2,FALSE))+AF46*10)*IF(AJ46="是",$AW$4,$AW$3)</f>
        <v>1584</v>
      </c>
      <c r="D46" s="57">
        <f>SUM($B$4:B46)-SUM($C$4:C46)</f>
        <v>108</v>
      </c>
      <c r="E46" s="55" cm="1">
        <f t="array" ref="E46">SUM(VLOOKUP(H46:AE46,$AL$4:$AN$44,3,FALSE))</f>
        <v>650</v>
      </c>
      <c r="F46" s="55">
        <f>SUM($E$4:E46)+SUM($G$4:G46)</f>
        <v>28400</v>
      </c>
      <c r="G46" s="55">
        <v>0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s="7" t="s">
        <v>23</v>
      </c>
      <c r="O46" s="7" t="s">
        <v>23</v>
      </c>
      <c r="P46" s="25" t="s">
        <v>21</v>
      </c>
      <c r="Q46" s="24" t="s">
        <v>20</v>
      </c>
      <c r="R46" s="24" t="s">
        <v>20</v>
      </c>
      <c r="S46" s="25" t="s">
        <v>21</v>
      </c>
      <c r="T46" t="s">
        <v>23</v>
      </c>
      <c r="U46" t="s">
        <v>23</v>
      </c>
      <c r="V46" s="7" t="s">
        <v>23</v>
      </c>
      <c r="W46" s="7" t="s">
        <v>23</v>
      </c>
      <c r="X46" s="25" t="s">
        <v>21</v>
      </c>
      <c r="Y46" s="25" t="s">
        <v>21</v>
      </c>
      <c r="Z46" s="25" t="s">
        <v>21</v>
      </c>
      <c r="AA46" s="29" t="s">
        <v>47</v>
      </c>
      <c r="AB46" s="25" t="s">
        <v>21</v>
      </c>
      <c r="AC46" s="25" t="s">
        <v>21</v>
      </c>
      <c r="AD46" s="25" t="s">
        <v>21</v>
      </c>
      <c r="AE46" s="25" t="s">
        <v>21</v>
      </c>
      <c r="AF46" s="36">
        <v>0</v>
      </c>
      <c r="AG46" s="36"/>
      <c r="AH46" s="36"/>
      <c r="AI46" s="36"/>
      <c r="AJ46" s="8" t="s">
        <v>31</v>
      </c>
    </row>
    <row r="47" spans="1:41">
      <c r="A47" s="1">
        <v>44499</v>
      </c>
      <c r="B47" s="55">
        <v>1600</v>
      </c>
      <c r="C47" s="55" cm="1">
        <f t="array" ref="C47">(SUM(VLOOKUP(H47:AE47,$AL$4:$AN$44,2,FALSE))+AF47*10)*IF(AJ47="是",$AW$4,$AW$3)</f>
        <v>1592</v>
      </c>
      <c r="D47" s="57">
        <f>SUM($B$4:B47)-SUM($C$4:C47)</f>
        <v>116</v>
      </c>
      <c r="E47" s="55" cm="1">
        <f t="array" ref="E47">SUM(VLOOKUP(H47:AE47,$AL$4:$AN$44,3,FALSE))</f>
        <v>595</v>
      </c>
      <c r="F47" s="55">
        <f>SUM($E$4:E47)+SUM($G$4:G47)</f>
        <v>28995</v>
      </c>
      <c r="G47" s="55">
        <v>0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s="7" t="s">
        <v>23</v>
      </c>
      <c r="O47" s="7" t="s">
        <v>23</v>
      </c>
      <c r="P47" s="25" t="s">
        <v>21</v>
      </c>
      <c r="Q47" s="25" t="s">
        <v>21</v>
      </c>
      <c r="R47" s="24" t="s">
        <v>20</v>
      </c>
      <c r="S47" s="25" t="s">
        <v>21</v>
      </c>
      <c r="T47" t="s">
        <v>23</v>
      </c>
      <c r="U47" t="s">
        <v>23</v>
      </c>
      <c r="V47" s="7" t="s">
        <v>23</v>
      </c>
      <c r="W47" s="7" t="s">
        <v>23</v>
      </c>
      <c r="X47" s="25" t="s">
        <v>21</v>
      </c>
      <c r="Y47" s="25" t="s">
        <v>21</v>
      </c>
      <c r="Z47" s="25" t="s">
        <v>21</v>
      </c>
      <c r="AA47" s="25" t="s">
        <v>21</v>
      </c>
      <c r="AB47" s="25" t="s">
        <v>21</v>
      </c>
      <c r="AC47" s="25" t="s">
        <v>21</v>
      </c>
      <c r="AD47" s="7" t="s">
        <v>23</v>
      </c>
      <c r="AE47" s="7" t="s">
        <v>23</v>
      </c>
      <c r="AF47" s="36">
        <v>0</v>
      </c>
      <c r="AG47" s="36"/>
      <c r="AH47" s="36"/>
      <c r="AI47" s="36"/>
      <c r="AJ47" s="8" t="s">
        <v>31</v>
      </c>
    </row>
    <row r="48" spans="1:41">
      <c r="A48" s="1">
        <v>44500</v>
      </c>
      <c r="B48" s="55">
        <v>1600</v>
      </c>
      <c r="C48" s="55" cm="1">
        <f t="array" ref="C48">(SUM(VLOOKUP(H48:AE48,$AL$4:$AN$44,2,FALSE))+AF48*10)*IF(AJ48="是",$AW$4,$AW$3)</f>
        <v>1600</v>
      </c>
      <c r="D48" s="57">
        <f>SUM($B$4:B48)-SUM($C$4:C48)</f>
        <v>116</v>
      </c>
      <c r="E48" s="55" cm="1">
        <f t="array" ref="E48">SUM(VLOOKUP(H48:AE48,$AL$4:$AN$44,3,FALSE))</f>
        <v>600</v>
      </c>
      <c r="F48" s="55">
        <f>SUM($E$4:E48)+SUM($G$4:G48)</f>
        <v>29595</v>
      </c>
      <c r="G48" s="55">
        <v>0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s="7" t="s">
        <v>23</v>
      </c>
      <c r="O48" s="7" t="s">
        <v>23</v>
      </c>
      <c r="P48" s="25" t="s">
        <v>21</v>
      </c>
      <c r="Q48" s="25" t="s">
        <v>21</v>
      </c>
      <c r="R48" s="25" t="s">
        <v>21</v>
      </c>
      <c r="S48" s="25" t="s">
        <v>21</v>
      </c>
      <c r="T48" t="s">
        <v>23</v>
      </c>
      <c r="U48" t="s">
        <v>23</v>
      </c>
      <c r="V48" s="7" t="s">
        <v>23</v>
      </c>
      <c r="W48" s="7" t="s">
        <v>23</v>
      </c>
      <c r="X48" s="25" t="s">
        <v>21</v>
      </c>
      <c r="Y48" s="25" t="s">
        <v>21</v>
      </c>
      <c r="Z48" s="25" t="s">
        <v>21</v>
      </c>
      <c r="AA48" s="25" t="s">
        <v>21</v>
      </c>
      <c r="AB48" s="25" t="s">
        <v>21</v>
      </c>
      <c r="AC48" s="25" t="s">
        <v>21</v>
      </c>
      <c r="AD48" s="7" t="s">
        <v>23</v>
      </c>
      <c r="AE48" s="7" t="s">
        <v>23</v>
      </c>
      <c r="AF48" s="36">
        <v>0</v>
      </c>
      <c r="AG48" s="36"/>
      <c r="AH48" s="36"/>
      <c r="AI48" s="36"/>
      <c r="AJ48" s="8" t="s">
        <v>31</v>
      </c>
    </row>
    <row r="49" spans="1:36">
      <c r="A49" s="1">
        <v>44501</v>
      </c>
      <c r="B49" s="56">
        <v>1600</v>
      </c>
      <c r="C49" s="55" cm="1">
        <f t="array" ref="C49">(SUM(VLOOKUP(H49:AE49,$AL$4:$AN$44,2,FALSE))+AF49*10)*IF(AJ49="是",$AW$4,$AW$3)</f>
        <v>1600</v>
      </c>
      <c r="D49" s="18">
        <f>SUM($B$4:B49)-SUM($C$4:C49)</f>
        <v>116</v>
      </c>
      <c r="E49" s="55" cm="1">
        <f t="array" ref="E49">SUM(VLOOKUP(H49:AE49,$AL$4:$AN$44,3,FALSE))</f>
        <v>600</v>
      </c>
      <c r="F49" s="55">
        <f>SUM($E$4:E49)+SUM($G$4:G49)</f>
        <v>30395</v>
      </c>
      <c r="G49" s="56">
        <v>200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s="7" t="s">
        <v>23</v>
      </c>
      <c r="O49" s="7" t="s">
        <v>23</v>
      </c>
      <c r="P49" s="25" t="s">
        <v>21</v>
      </c>
      <c r="Q49" s="25" t="s">
        <v>21</v>
      </c>
      <c r="R49" s="25" t="s">
        <v>21</v>
      </c>
      <c r="S49" s="25" t="s">
        <v>21</v>
      </c>
      <c r="T49" t="s">
        <v>23</v>
      </c>
      <c r="U49" t="s">
        <v>23</v>
      </c>
      <c r="V49" s="7" t="s">
        <v>23</v>
      </c>
      <c r="W49" s="7" t="s">
        <v>23</v>
      </c>
      <c r="X49" s="25" t="s">
        <v>21</v>
      </c>
      <c r="Y49" s="25" t="s">
        <v>21</v>
      </c>
      <c r="Z49" s="25" t="s">
        <v>21</v>
      </c>
      <c r="AA49" s="25" t="s">
        <v>21</v>
      </c>
      <c r="AB49" s="25" t="s">
        <v>21</v>
      </c>
      <c r="AC49" s="25" t="s">
        <v>21</v>
      </c>
      <c r="AD49" s="7" t="s">
        <v>23</v>
      </c>
      <c r="AE49" s="7" t="s">
        <v>23</v>
      </c>
      <c r="AF49" s="36">
        <v>0</v>
      </c>
      <c r="AG49" s="36"/>
      <c r="AH49" s="36"/>
      <c r="AI49" s="36"/>
      <c r="AJ49" s="8" t="s">
        <v>31</v>
      </c>
    </row>
    <row r="50" spans="1:36">
      <c r="A50" s="1">
        <v>44502</v>
      </c>
      <c r="B50" s="56">
        <v>1600</v>
      </c>
      <c r="C50" s="55" cm="1">
        <f t="array" ref="C50">(SUM(VLOOKUP(H50:AE50,$AL$4:$AN$44,2,FALSE))+AF50*10)*IF(AJ50="是",$AW$4,$AW$3)</f>
        <v>1600</v>
      </c>
      <c r="D50" s="18">
        <f>SUM($B$4:B50)-SUM($C$4:C50)</f>
        <v>116</v>
      </c>
      <c r="E50" s="55" cm="1">
        <f t="array" ref="E50">SUM(VLOOKUP(H50:AE50,$AL$4:$AN$44,3,FALSE))</f>
        <v>600</v>
      </c>
      <c r="F50" s="55">
        <f>SUM($E$4:E50)+SUM($G$4:G50)</f>
        <v>31095</v>
      </c>
      <c r="G50" s="56">
        <v>100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s="7" t="s">
        <v>23</v>
      </c>
      <c r="O50" s="7" t="s">
        <v>23</v>
      </c>
      <c r="P50" s="25" t="s">
        <v>21</v>
      </c>
      <c r="Q50" s="25" t="s">
        <v>21</v>
      </c>
      <c r="R50" s="25" t="s">
        <v>21</v>
      </c>
      <c r="S50" s="25" t="s">
        <v>21</v>
      </c>
      <c r="T50" t="s">
        <v>23</v>
      </c>
      <c r="U50" t="s">
        <v>23</v>
      </c>
      <c r="V50" s="7" t="s">
        <v>23</v>
      </c>
      <c r="W50" s="7" t="s">
        <v>23</v>
      </c>
      <c r="X50" s="25" t="s">
        <v>21</v>
      </c>
      <c r="Y50" s="25" t="s">
        <v>21</v>
      </c>
      <c r="Z50" s="25" t="s">
        <v>21</v>
      </c>
      <c r="AA50" s="25" t="s">
        <v>21</v>
      </c>
      <c r="AB50" s="25" t="s">
        <v>21</v>
      </c>
      <c r="AC50" s="25" t="s">
        <v>21</v>
      </c>
      <c r="AD50" s="7" t="s">
        <v>23</v>
      </c>
      <c r="AE50" s="7" t="s">
        <v>23</v>
      </c>
      <c r="AF50" s="36">
        <v>0</v>
      </c>
      <c r="AG50" s="36"/>
      <c r="AH50" s="36"/>
      <c r="AI50" s="36"/>
      <c r="AJ50" s="8" t="s">
        <v>31</v>
      </c>
    </row>
    <row r="51" spans="1:36">
      <c r="A51" s="1">
        <v>44503</v>
      </c>
      <c r="B51" s="56">
        <v>1600</v>
      </c>
      <c r="C51" s="55" cm="1">
        <f t="array" ref="C51">(SUM(VLOOKUP(H51:AE51,$AL$4:$AN$44,2,FALSE))+AF51*10)*IF(AJ51="是",$AW$4,$AW$3)</f>
        <v>1600</v>
      </c>
      <c r="D51" s="18">
        <f>SUM($B$4:B51)-SUM($C$4:C51)</f>
        <v>116</v>
      </c>
      <c r="E51" s="55" cm="1">
        <f t="array" ref="E51">SUM(VLOOKUP(H51:AE51,$AL$4:$AN$44,3,FALSE))</f>
        <v>600</v>
      </c>
      <c r="F51" s="55">
        <f>SUM($E$4:E51)+SUM($G$4:G51)</f>
        <v>31895</v>
      </c>
      <c r="G51" s="56">
        <v>200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s="7" t="s">
        <v>23</v>
      </c>
      <c r="O51" s="7" t="s">
        <v>23</v>
      </c>
      <c r="P51" s="25" t="s">
        <v>21</v>
      </c>
      <c r="Q51" s="25" t="s">
        <v>21</v>
      </c>
      <c r="R51" s="25" t="s">
        <v>21</v>
      </c>
      <c r="S51" s="25" t="s">
        <v>21</v>
      </c>
      <c r="T51" t="s">
        <v>23</v>
      </c>
      <c r="U51" t="s">
        <v>23</v>
      </c>
      <c r="V51" s="7" t="s">
        <v>23</v>
      </c>
      <c r="W51" s="7" t="s">
        <v>23</v>
      </c>
      <c r="X51" s="25" t="s">
        <v>21</v>
      </c>
      <c r="Y51" s="25" t="s">
        <v>21</v>
      </c>
      <c r="Z51" s="25" t="s">
        <v>21</v>
      </c>
      <c r="AA51" s="25" t="s">
        <v>21</v>
      </c>
      <c r="AB51" s="25" t="s">
        <v>21</v>
      </c>
      <c r="AC51" s="25" t="s">
        <v>21</v>
      </c>
      <c r="AD51" s="7" t="s">
        <v>23</v>
      </c>
      <c r="AE51" s="7" t="s">
        <v>23</v>
      </c>
      <c r="AF51" s="36">
        <v>0</v>
      </c>
      <c r="AG51" s="36"/>
      <c r="AH51" s="36"/>
      <c r="AI51" s="36"/>
      <c r="AJ51" s="8" t="s">
        <v>31</v>
      </c>
    </row>
    <row r="52" spans="1:36">
      <c r="A52" s="1">
        <v>44504</v>
      </c>
      <c r="B52" s="56">
        <v>1600</v>
      </c>
      <c r="C52" s="55" cm="1">
        <f t="array" ref="C52">(SUM(VLOOKUP(H52:AE52,$AL$4:$AN$44,2,FALSE))+AF52*10)*IF(AJ52="是",$AW$4,$AW$3)</f>
        <v>1696</v>
      </c>
      <c r="D52" s="18">
        <f>SUM($B$4:B52)-SUM($C$4:C52)</f>
        <v>20</v>
      </c>
      <c r="E52" s="55" cm="1">
        <f t="array" ref="E52">SUM(VLOOKUP(H52:AE52,$AL$4:$AN$44,3,FALSE))</f>
        <v>645</v>
      </c>
      <c r="F52" s="55">
        <f>SUM($E$4:E52)+SUM($G$4:G52)</f>
        <v>32540</v>
      </c>
      <c r="G52" s="56">
        <v>0</v>
      </c>
      <c r="H52" s="23" t="s">
        <v>19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s="7" t="s">
        <v>23</v>
      </c>
      <c r="O52" s="7" t="s">
        <v>23</v>
      </c>
      <c r="P52" s="24" t="s">
        <v>20</v>
      </c>
      <c r="Q52" s="25" t="s">
        <v>21</v>
      </c>
      <c r="R52" s="25" t="s">
        <v>21</v>
      </c>
      <c r="S52" s="25" t="s">
        <v>21</v>
      </c>
      <c r="T52" t="s">
        <v>23</v>
      </c>
      <c r="U52" t="s">
        <v>23</v>
      </c>
      <c r="V52" s="7" t="s">
        <v>23</v>
      </c>
      <c r="W52" s="7" t="s">
        <v>23</v>
      </c>
      <c r="X52" s="25" t="s">
        <v>21</v>
      </c>
      <c r="Y52" s="25" t="s">
        <v>21</v>
      </c>
      <c r="Z52" s="25" t="s">
        <v>21</v>
      </c>
      <c r="AA52" s="25" t="s">
        <v>10</v>
      </c>
      <c r="AB52" s="25" t="s">
        <v>21</v>
      </c>
      <c r="AC52" s="25" t="s">
        <v>21</v>
      </c>
      <c r="AD52" s="7" t="s">
        <v>23</v>
      </c>
      <c r="AE52" s="7" t="s">
        <v>23</v>
      </c>
      <c r="AF52" s="36">
        <v>0</v>
      </c>
      <c r="AG52" s="36"/>
      <c r="AH52" s="36"/>
      <c r="AI52" s="36"/>
      <c r="AJ52" s="8" t="s">
        <v>31</v>
      </c>
    </row>
    <row r="53" spans="1:36">
      <c r="A53" s="1">
        <v>44505</v>
      </c>
      <c r="B53" s="56">
        <v>1600</v>
      </c>
      <c r="C53" s="55" cm="1">
        <f t="array" ref="C53">(SUM(VLOOKUP(H53:AE53,$AL$4:$AN$44,2,FALSE))+AF53*10)*IF(AJ53="是",$AW$4,$AW$3)</f>
        <v>1552</v>
      </c>
      <c r="D53" s="18">
        <f>SUM($B$4:B53)-SUM($C$4:C53)</f>
        <v>68</v>
      </c>
      <c r="E53" s="55" cm="1">
        <f t="array" ref="E53">SUM(VLOOKUP(H53:AE53,$AL$4:$AN$44,3,FALSE))</f>
        <v>570</v>
      </c>
      <c r="F53" s="55">
        <f>SUM($E$4:E53)+SUM($G$4:G53)</f>
        <v>33110</v>
      </c>
      <c r="G53" s="56">
        <v>0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s="7" t="s">
        <v>23</v>
      </c>
      <c r="O53" s="7" t="s">
        <v>23</v>
      </c>
      <c r="P53" s="25" t="s">
        <v>21</v>
      </c>
      <c r="Q53" s="25" t="s">
        <v>21</v>
      </c>
      <c r="R53" s="25" t="s">
        <v>21</v>
      </c>
      <c r="S53" s="25" t="s">
        <v>21</v>
      </c>
      <c r="T53" t="s">
        <v>23</v>
      </c>
      <c r="U53" t="s">
        <v>23</v>
      </c>
      <c r="V53" s="7" t="s">
        <v>23</v>
      </c>
      <c r="W53" s="7" t="s">
        <v>23</v>
      </c>
      <c r="X53" s="24" t="s">
        <v>20</v>
      </c>
      <c r="Y53" s="24" t="s">
        <v>20</v>
      </c>
      <c r="Z53" s="24" t="s">
        <v>20</v>
      </c>
      <c r="AA53" s="24" t="s">
        <v>20</v>
      </c>
      <c r="AB53" s="24" t="s">
        <v>20</v>
      </c>
      <c r="AC53" s="24" t="s">
        <v>20</v>
      </c>
      <c r="AD53" s="7" t="s">
        <v>23</v>
      </c>
      <c r="AE53" s="7" t="s">
        <v>23</v>
      </c>
      <c r="AF53" s="36">
        <v>0</v>
      </c>
      <c r="AG53" s="36"/>
      <c r="AH53" s="36"/>
      <c r="AI53" s="36"/>
      <c r="AJ53" s="8" t="s">
        <v>31</v>
      </c>
    </row>
    <row r="54" spans="1:36">
      <c r="A54" s="1">
        <v>44506</v>
      </c>
      <c r="B54" s="56">
        <v>1600</v>
      </c>
      <c r="C54" s="55" cm="1">
        <f t="array" ref="C54">(SUM(VLOOKUP(H54:AE54,$AL$4:$AN$44,2,FALSE))+AF54*10)*IF(AJ54="是",$AW$4,$AW$3)</f>
        <v>1568</v>
      </c>
      <c r="D54" s="18">
        <f>SUM($B$4:B54)-SUM($C$4:C54)</f>
        <v>100</v>
      </c>
      <c r="E54" s="55" cm="1">
        <f t="array" ref="E54">SUM(VLOOKUP(H54:AE54,$AL$4:$AN$44,3,FALSE))</f>
        <v>585</v>
      </c>
      <c r="F54" s="55">
        <f>SUM($E$4:E54)+SUM($G$4:G54)</f>
        <v>33695</v>
      </c>
      <c r="G54" s="56">
        <v>0</v>
      </c>
      <c r="H54" s="23" t="s">
        <v>19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s="7" t="s">
        <v>23</v>
      </c>
      <c r="O54" s="7" t="s">
        <v>23</v>
      </c>
      <c r="P54" s="25" t="s">
        <v>21</v>
      </c>
      <c r="Q54" s="25" t="s">
        <v>21</v>
      </c>
      <c r="R54" s="24" t="s">
        <v>20</v>
      </c>
      <c r="S54" s="24" t="s">
        <v>20</v>
      </c>
      <c r="T54" t="s">
        <v>23</v>
      </c>
      <c r="U54" t="s">
        <v>23</v>
      </c>
      <c r="V54" s="7" t="s">
        <v>23</v>
      </c>
      <c r="W54" s="7" t="s">
        <v>23</v>
      </c>
      <c r="X54" s="24" t="s">
        <v>20</v>
      </c>
      <c r="Y54" s="28" t="s">
        <v>12</v>
      </c>
      <c r="Z54" s="24" t="s">
        <v>20</v>
      </c>
      <c r="AA54" s="24" t="s">
        <v>20</v>
      </c>
      <c r="AB54" s="24" t="s">
        <v>20</v>
      </c>
      <c r="AC54" s="24" t="s">
        <v>20</v>
      </c>
      <c r="AD54" s="7" t="s">
        <v>23</v>
      </c>
      <c r="AE54" s="7" t="s">
        <v>23</v>
      </c>
      <c r="AF54" s="36">
        <v>0</v>
      </c>
      <c r="AG54" s="36"/>
      <c r="AH54" s="36"/>
      <c r="AI54" s="36"/>
      <c r="AJ54" s="8" t="s">
        <v>31</v>
      </c>
    </row>
    <row r="55" spans="1:36">
      <c r="A55" s="1">
        <v>44507</v>
      </c>
      <c r="B55" s="56">
        <v>1600</v>
      </c>
      <c r="C55" s="55" cm="1">
        <f t="array" ref="C55">(SUM(VLOOKUP(H55:AE55,$AL$4:$AN$44,2,FALSE))+AF55*10)*IF(AJ55="是",$AW$4,$AW$3)</f>
        <v>1632</v>
      </c>
      <c r="D55" s="18">
        <f>SUM($B$4:B55)-SUM($C$4:C55)</f>
        <v>68</v>
      </c>
      <c r="E55" s="55" cm="1">
        <f t="array" ref="E55">SUM(VLOOKUP(H55:AE55,$AL$4:$AN$44,3,FALSE))</f>
        <v>600</v>
      </c>
      <c r="F55" s="55">
        <f>SUM($E$4:E55)+SUM($G$4:G55)</f>
        <v>34295</v>
      </c>
      <c r="G55" s="56">
        <v>0</v>
      </c>
      <c r="H55" s="23" t="s">
        <v>19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s="7" t="s">
        <v>23</v>
      </c>
      <c r="O55" s="7" t="s">
        <v>23</v>
      </c>
      <c r="P55" s="24" t="s">
        <v>20</v>
      </c>
      <c r="Q55" s="24" t="s">
        <v>20</v>
      </c>
      <c r="R55" s="24" t="s">
        <v>9</v>
      </c>
      <c r="S55" s="24" t="s">
        <v>20</v>
      </c>
      <c r="T55" t="s">
        <v>23</v>
      </c>
      <c r="U55" t="s">
        <v>23</v>
      </c>
      <c r="V55" s="7" t="s">
        <v>23</v>
      </c>
      <c r="W55" s="7" t="s">
        <v>23</v>
      </c>
      <c r="X55" s="24" t="s">
        <v>20</v>
      </c>
      <c r="Y55" s="24" t="s">
        <v>20</v>
      </c>
      <c r="Z55" s="24" t="s">
        <v>20</v>
      </c>
      <c r="AA55" s="24" t="s">
        <v>20</v>
      </c>
      <c r="AB55" s="24" t="s">
        <v>20</v>
      </c>
      <c r="AC55" s="24" t="s">
        <v>20</v>
      </c>
      <c r="AD55" s="7" t="s">
        <v>23</v>
      </c>
      <c r="AE55" s="7" t="s">
        <v>23</v>
      </c>
      <c r="AF55" s="36">
        <v>0</v>
      </c>
      <c r="AG55" s="36"/>
      <c r="AH55" s="36"/>
      <c r="AI55" s="36"/>
      <c r="AJ55" s="8" t="s">
        <v>31</v>
      </c>
    </row>
    <row r="56" spans="1:36">
      <c r="A56" s="1">
        <v>44508</v>
      </c>
      <c r="B56" s="55">
        <v>1600</v>
      </c>
      <c r="C56" s="55" cm="1">
        <f t="array" ref="C56">(SUM(VLOOKUP(H56:AE56,$AL$4:$AN$44,2,FALSE))+AF56*10)*IF(AJ56="是",$AW$4,$AW$3)</f>
        <v>1536</v>
      </c>
      <c r="D56" s="57">
        <f>SUM($B$4:B56)-SUM($C$4:C56)</f>
        <v>132</v>
      </c>
      <c r="E56" s="55" cm="1">
        <f t="array" ref="E56">SUM(VLOOKUP(H56:AE56,$AL$4:$AN$44,3,FALSE))</f>
        <v>560</v>
      </c>
      <c r="F56" s="55">
        <f>SUM($E$4:E56)+SUM($G$4:G56)</f>
        <v>35155</v>
      </c>
      <c r="G56" s="55">
        <v>300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s="7" t="s">
        <v>23</v>
      </c>
      <c r="O56" s="7" t="s">
        <v>23</v>
      </c>
      <c r="P56" s="24" t="s">
        <v>20</v>
      </c>
      <c r="Q56" s="24" t="s">
        <v>20</v>
      </c>
      <c r="R56" s="25" t="s">
        <v>21</v>
      </c>
      <c r="S56" s="25" t="s">
        <v>21</v>
      </c>
      <c r="T56" t="s">
        <v>23</v>
      </c>
      <c r="U56" t="s">
        <v>23</v>
      </c>
      <c r="V56" s="7" t="s">
        <v>23</v>
      </c>
      <c r="W56" s="7" t="s">
        <v>23</v>
      </c>
      <c r="X56" s="24" t="s">
        <v>20</v>
      </c>
      <c r="Y56" s="24" t="s">
        <v>20</v>
      </c>
      <c r="Z56" s="24" t="s">
        <v>20</v>
      </c>
      <c r="AA56" s="24" t="s">
        <v>20</v>
      </c>
      <c r="AB56" s="24" t="s">
        <v>20</v>
      </c>
      <c r="AC56" s="24" t="s">
        <v>20</v>
      </c>
      <c r="AD56" s="7" t="s">
        <v>23</v>
      </c>
      <c r="AE56" s="7" t="s">
        <v>23</v>
      </c>
      <c r="AF56" s="36">
        <v>0</v>
      </c>
      <c r="AG56" s="36"/>
      <c r="AH56" s="36"/>
      <c r="AI56" s="36"/>
      <c r="AJ56" s="8" t="s">
        <v>31</v>
      </c>
    </row>
    <row r="57" spans="1:36">
      <c r="A57" s="1">
        <v>44509</v>
      </c>
      <c r="B57" s="55">
        <v>1600</v>
      </c>
      <c r="C57" s="55" cm="1">
        <f t="array" ref="C57">(SUM(VLOOKUP(H57:AE57,$AL$4:$AN$44,2,FALSE))+AF57*10)*IF(AJ57="是",$AW$4,$AW$3)</f>
        <v>1536</v>
      </c>
      <c r="D57" s="57">
        <f>SUM($B$4:B57)-SUM($C$4:C57)</f>
        <v>196</v>
      </c>
      <c r="E57" s="55" cm="1">
        <f t="array" ref="E57">SUM(VLOOKUP(H57:AE57,$AL$4:$AN$44,3,FALSE))</f>
        <v>620</v>
      </c>
      <c r="F57" s="55">
        <f>SUM($E$4:E57)+SUM($G$4:G57)</f>
        <v>35775</v>
      </c>
      <c r="G57" s="55">
        <v>0</v>
      </c>
      <c r="H57" s="23" t="s">
        <v>19</v>
      </c>
      <c r="I57" s="23" t="s">
        <v>19</v>
      </c>
      <c r="J57" t="s">
        <v>23</v>
      </c>
      <c r="K57" t="s">
        <v>23</v>
      </c>
      <c r="L57" t="s">
        <v>23</v>
      </c>
      <c r="M57" t="s">
        <v>23</v>
      </c>
      <c r="N57" s="7" t="s">
        <v>23</v>
      </c>
      <c r="O57" s="7" t="s">
        <v>23</v>
      </c>
      <c r="P57" s="29" t="s">
        <v>47</v>
      </c>
      <c r="Q57" s="25" t="s">
        <v>21</v>
      </c>
      <c r="R57" s="25" t="s">
        <v>21</v>
      </c>
      <c r="S57" s="24" t="s">
        <v>20</v>
      </c>
      <c r="T57" t="s">
        <v>23</v>
      </c>
      <c r="U57" t="s">
        <v>23</v>
      </c>
      <c r="V57" s="7" t="s">
        <v>23</v>
      </c>
      <c r="W57" s="7" t="s">
        <v>23</v>
      </c>
      <c r="X57" s="24" t="s">
        <v>20</v>
      </c>
      <c r="Y57" s="24" t="s">
        <v>20</v>
      </c>
      <c r="Z57" s="24" t="s">
        <v>20</v>
      </c>
      <c r="AA57" s="25" t="s">
        <v>21</v>
      </c>
      <c r="AB57" s="25" t="s">
        <v>21</v>
      </c>
      <c r="AC57" s="25" t="s">
        <v>21</v>
      </c>
      <c r="AD57" s="7" t="s">
        <v>23</v>
      </c>
      <c r="AE57" s="7" t="s">
        <v>23</v>
      </c>
      <c r="AF57" s="36">
        <v>0</v>
      </c>
      <c r="AG57" s="36"/>
      <c r="AH57" s="36"/>
      <c r="AI57" s="36"/>
      <c r="AJ57" s="8" t="s">
        <v>31</v>
      </c>
    </row>
    <row r="58" spans="1:36">
      <c r="A58" s="1">
        <v>44510</v>
      </c>
      <c r="B58" s="55">
        <v>1600</v>
      </c>
      <c r="C58" s="55" cm="1">
        <f t="array" ref="C58">(SUM(VLOOKUP(H58:AE58,$AL$4:$AN$44,2,FALSE))+AF58*10)*IF(AJ58="是",$AW$4,$AW$3)</f>
        <v>1568</v>
      </c>
      <c r="D58" s="57">
        <f>SUM($B$4:B58)-SUM($C$4:C58)</f>
        <v>228</v>
      </c>
      <c r="E58" s="55" cm="1">
        <f t="array" ref="E58">SUM(VLOOKUP(H58:AE58,$AL$4:$AN$44,3,FALSE))</f>
        <v>580</v>
      </c>
      <c r="F58" s="55">
        <f>SUM($E$4:E58)+SUM($G$4:G58)</f>
        <v>36555</v>
      </c>
      <c r="G58" s="55">
        <v>200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s="7" t="s">
        <v>23</v>
      </c>
      <c r="O58" s="7" t="s">
        <v>23</v>
      </c>
      <c r="P58" s="24" t="s">
        <v>20</v>
      </c>
      <c r="Q58" s="24" t="s">
        <v>20</v>
      </c>
      <c r="R58" s="24" t="s">
        <v>20</v>
      </c>
      <c r="S58" s="24" t="s">
        <v>20</v>
      </c>
      <c r="T58" t="s">
        <v>23</v>
      </c>
      <c r="U58" t="s">
        <v>23</v>
      </c>
      <c r="V58" s="7" t="s">
        <v>23</v>
      </c>
      <c r="W58" s="7" t="s">
        <v>23</v>
      </c>
      <c r="X58" s="25" t="s">
        <v>21</v>
      </c>
      <c r="Y58" s="25" t="s">
        <v>21</v>
      </c>
      <c r="Z58" s="25" t="s">
        <v>21</v>
      </c>
      <c r="AA58" s="25" t="s">
        <v>21</v>
      </c>
      <c r="AB58" s="25" t="s">
        <v>21</v>
      </c>
      <c r="AC58" s="25" t="s">
        <v>21</v>
      </c>
      <c r="AD58" s="7" t="s">
        <v>23</v>
      </c>
      <c r="AE58" s="7" t="s">
        <v>23</v>
      </c>
      <c r="AF58" s="36">
        <v>0</v>
      </c>
      <c r="AG58" s="36"/>
      <c r="AH58" s="36"/>
      <c r="AI58" s="36"/>
      <c r="AJ58" s="8" t="s">
        <v>31</v>
      </c>
    </row>
    <row r="59" spans="1:36">
      <c r="A59" s="1">
        <v>44511</v>
      </c>
      <c r="B59" s="55">
        <v>1600</v>
      </c>
      <c r="C59" s="55" cm="1">
        <f t="array" ref="C59">(SUM(VLOOKUP(H59:AE59,$AL$4:$AN$44,2,FALSE))+AF59*10)*IF(AJ59="是",$AW$4,$AW$3)</f>
        <v>1440</v>
      </c>
      <c r="D59" s="57">
        <f>SUM($B$4:B59)-SUM($C$4:C59)</f>
        <v>388</v>
      </c>
      <c r="E59" s="55" cm="1">
        <f t="array" ref="E59">SUM(VLOOKUP(H59:AE59,$AL$4:$AN$44,3,FALSE))</f>
        <v>545</v>
      </c>
      <c r="F59" s="55">
        <f>SUM($E$4:E59)+SUM($G$4:G59)</f>
        <v>37100</v>
      </c>
      <c r="G59" s="55">
        <v>0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s="7" t="s">
        <v>23</v>
      </c>
      <c r="O59" s="7" t="s">
        <v>23</v>
      </c>
      <c r="P59" s="24" t="s">
        <v>20</v>
      </c>
      <c r="Q59" s="24" t="s">
        <v>20</v>
      </c>
      <c r="R59" s="28" t="s">
        <v>12</v>
      </c>
      <c r="S59" s="24" t="s">
        <v>20</v>
      </c>
      <c r="T59" t="s">
        <v>23</v>
      </c>
      <c r="U59" t="s">
        <v>23</v>
      </c>
      <c r="V59" s="7" t="s">
        <v>23</v>
      </c>
      <c r="W59" s="7" t="s">
        <v>23</v>
      </c>
      <c r="X59" s="25" t="s">
        <v>21</v>
      </c>
      <c r="Y59" s="25" t="s">
        <v>21</v>
      </c>
      <c r="Z59" s="25" t="s">
        <v>21</v>
      </c>
      <c r="AA59" s="25" t="s">
        <v>21</v>
      </c>
      <c r="AB59" s="24" t="s">
        <v>20</v>
      </c>
      <c r="AC59" s="24" t="s">
        <v>20</v>
      </c>
      <c r="AD59" s="7" t="s">
        <v>23</v>
      </c>
      <c r="AE59" s="7" t="s">
        <v>23</v>
      </c>
      <c r="AF59" s="36">
        <v>0</v>
      </c>
      <c r="AG59" s="36"/>
      <c r="AH59" s="36"/>
      <c r="AI59" s="36"/>
      <c r="AJ59" s="8" t="s">
        <v>31</v>
      </c>
    </row>
    <row r="60" spans="1:36">
      <c r="A60" s="1">
        <v>44512</v>
      </c>
      <c r="B60" s="55">
        <v>1600</v>
      </c>
      <c r="C60" s="55" cm="1">
        <f t="array" ref="C60">(SUM(VLOOKUP(H60:AE60,$AL$4:$AN$44,2,FALSE))+AF60*10)*IF(AJ60="是",$AW$4,$AW$3)</f>
        <v>1656</v>
      </c>
      <c r="D60" s="57">
        <f>SUM($B$4:B60)-SUM($C$4:C60)</f>
        <v>332</v>
      </c>
      <c r="E60" s="55" cm="1">
        <f t="array" ref="E60">SUM(VLOOKUP(H60:AE60,$AL$4:$AN$44,3,FALSE))</f>
        <v>595</v>
      </c>
      <c r="F60" s="55">
        <f>SUM($E$4:E60)+SUM($G$4:G60)</f>
        <v>37695</v>
      </c>
      <c r="G60" s="55">
        <v>0</v>
      </c>
      <c r="H60" s="22" t="s">
        <v>18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s="7" t="s">
        <v>23</v>
      </c>
      <c r="O60" s="7" t="s">
        <v>23</v>
      </c>
      <c r="P60" s="24" t="s">
        <v>20</v>
      </c>
      <c r="Q60" s="24" t="s">
        <v>20</v>
      </c>
      <c r="R60" s="24" t="s">
        <v>20</v>
      </c>
      <c r="S60" s="24" t="s">
        <v>20</v>
      </c>
      <c r="T60" t="s">
        <v>23</v>
      </c>
      <c r="U60" t="s">
        <v>23</v>
      </c>
      <c r="V60" s="7" t="s">
        <v>23</v>
      </c>
      <c r="W60" s="7" t="s">
        <v>23</v>
      </c>
      <c r="X60" s="24" t="s">
        <v>20</v>
      </c>
      <c r="Y60" s="24" t="s">
        <v>20</v>
      </c>
      <c r="Z60" s="24" t="s">
        <v>20</v>
      </c>
      <c r="AA60" s="24" t="s">
        <v>20</v>
      </c>
      <c r="AB60" s="24" t="s">
        <v>20</v>
      </c>
      <c r="AC60" s="24" t="s">
        <v>20</v>
      </c>
      <c r="AD60" s="7" t="s">
        <v>23</v>
      </c>
      <c r="AE60" s="7" t="s">
        <v>23</v>
      </c>
      <c r="AF60" s="36">
        <v>0</v>
      </c>
      <c r="AG60" s="36"/>
      <c r="AH60" s="36"/>
      <c r="AI60" s="36"/>
      <c r="AJ60" s="8" t="s">
        <v>31</v>
      </c>
    </row>
    <row r="61" spans="1:36">
      <c r="A61" s="1">
        <v>44513</v>
      </c>
      <c r="B61" s="55">
        <v>1600</v>
      </c>
      <c r="C61" s="55" cm="1">
        <f t="array" ref="C61">(SUM(VLOOKUP(H61:AE61,$AL$4:$AN$44,2,FALSE))+AF61*10)*IF(AJ61="是",$AW$4,$AW$3)</f>
        <v>1544</v>
      </c>
      <c r="D61" s="57">
        <f>SUM($B$4:B61)-SUM($C$4:C61)</f>
        <v>388</v>
      </c>
      <c r="E61" s="55" cm="1">
        <f t="array" ref="E61">SUM(VLOOKUP(H61:AE61,$AL$4:$AN$44,3,FALSE))</f>
        <v>570</v>
      </c>
      <c r="F61" s="55">
        <f>SUM($E$4:E61)+SUM($G$4:G61)</f>
        <v>38265</v>
      </c>
      <c r="G61" s="55">
        <v>0</v>
      </c>
      <c r="H61" s="22" t="s">
        <v>18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s="7" t="s">
        <v>23</v>
      </c>
      <c r="O61" s="7" t="s">
        <v>23</v>
      </c>
      <c r="P61" s="24" t="s">
        <v>20</v>
      </c>
      <c r="Q61" s="24" t="s">
        <v>20</v>
      </c>
      <c r="R61" s="24" t="s">
        <v>20</v>
      </c>
      <c r="S61" s="24" t="s">
        <v>20</v>
      </c>
      <c r="T61" t="s">
        <v>23</v>
      </c>
      <c r="U61" t="s">
        <v>23</v>
      </c>
      <c r="V61" s="7" t="s">
        <v>23</v>
      </c>
      <c r="W61" s="7" t="s">
        <v>23</v>
      </c>
      <c r="X61" s="28" t="s">
        <v>12</v>
      </c>
      <c r="Y61" s="24" t="s">
        <v>20</v>
      </c>
      <c r="Z61" s="24" t="s">
        <v>20</v>
      </c>
      <c r="AA61" s="24" t="s">
        <v>20</v>
      </c>
      <c r="AB61" s="24" t="s">
        <v>20</v>
      </c>
      <c r="AC61" s="24" t="s">
        <v>20</v>
      </c>
      <c r="AD61" s="7" t="s">
        <v>23</v>
      </c>
      <c r="AE61" s="7" t="s">
        <v>23</v>
      </c>
      <c r="AF61" s="36">
        <v>0</v>
      </c>
      <c r="AG61" s="36"/>
      <c r="AH61" s="36"/>
      <c r="AI61" s="36"/>
      <c r="AJ61" s="8" t="s">
        <v>31</v>
      </c>
    </row>
    <row r="62" spans="1:36">
      <c r="A62" s="1">
        <v>44514</v>
      </c>
      <c r="B62" s="55">
        <v>1600</v>
      </c>
      <c r="C62" s="55" cm="1">
        <f t="array" ref="C62">(SUM(VLOOKUP(H62:AE62,$AL$4:$AN$44,2,FALSE))+AF62*10)*IF(AJ62="是",$AW$4,$AW$3)</f>
        <v>1656</v>
      </c>
      <c r="D62" s="57">
        <f>SUM($B$4:B62)-SUM($C$4:C62)</f>
        <v>332</v>
      </c>
      <c r="E62" s="55" cm="1">
        <f t="array" ref="E62">SUM(VLOOKUP(H62:AE62,$AL$4:$AN$44,3,FALSE))</f>
        <v>595</v>
      </c>
      <c r="F62" s="55">
        <f>SUM($E$4:E62)+SUM($G$4:G62)</f>
        <v>38860</v>
      </c>
      <c r="G62" s="55">
        <v>0</v>
      </c>
      <c r="H62" s="22" t="s">
        <v>18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s="7" t="s">
        <v>23</v>
      </c>
      <c r="O62" s="7" t="s">
        <v>23</v>
      </c>
      <c r="P62" s="24" t="s">
        <v>20</v>
      </c>
      <c r="Q62" s="24" t="s">
        <v>20</v>
      </c>
      <c r="R62" s="24" t="s">
        <v>20</v>
      </c>
      <c r="S62" s="24" t="s">
        <v>20</v>
      </c>
      <c r="T62" t="s">
        <v>23</v>
      </c>
      <c r="U62" t="s">
        <v>23</v>
      </c>
      <c r="V62" s="7" t="s">
        <v>23</v>
      </c>
      <c r="W62" s="7" t="s">
        <v>23</v>
      </c>
      <c r="X62" s="24" t="s">
        <v>20</v>
      </c>
      <c r="Y62" s="24" t="s">
        <v>20</v>
      </c>
      <c r="Z62" s="24" t="s">
        <v>20</v>
      </c>
      <c r="AA62" s="24" t="s">
        <v>20</v>
      </c>
      <c r="AB62" s="24" t="s">
        <v>20</v>
      </c>
      <c r="AC62" s="24" t="s">
        <v>20</v>
      </c>
      <c r="AD62" s="7" t="s">
        <v>23</v>
      </c>
      <c r="AE62" s="7" t="s">
        <v>23</v>
      </c>
      <c r="AF62" s="36">
        <v>0</v>
      </c>
      <c r="AG62" s="36"/>
      <c r="AH62" s="36"/>
      <c r="AI62" s="36"/>
      <c r="AJ62" s="8" t="s">
        <v>31</v>
      </c>
    </row>
    <row r="63" spans="1:36">
      <c r="A63" s="1">
        <v>44515</v>
      </c>
      <c r="B63" s="56">
        <v>1600</v>
      </c>
      <c r="C63" s="55" cm="1">
        <f t="array" ref="C63">(SUM(VLOOKUP(H63:AE63,$AL$4:$AN$44,2,FALSE))+AF63*10)*IF(AJ63="是",$AW$4,$AW$3)</f>
        <v>1656</v>
      </c>
      <c r="D63" s="18">
        <f>SUM($B$4:B63)-SUM($C$4:C63)</f>
        <v>276</v>
      </c>
      <c r="E63" s="55" cm="1">
        <f t="array" ref="E63">SUM(VLOOKUP(H63:AE63,$AL$4:$AN$44,3,FALSE))</f>
        <v>595</v>
      </c>
      <c r="F63" s="55">
        <f>SUM($E$4:E63)+SUM($G$4:G63)</f>
        <v>39755</v>
      </c>
      <c r="G63" s="56">
        <v>300</v>
      </c>
      <c r="H63" s="22" t="s">
        <v>18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s="7" t="s">
        <v>23</v>
      </c>
      <c r="O63" s="7" t="s">
        <v>23</v>
      </c>
      <c r="P63" s="24" t="s">
        <v>20</v>
      </c>
      <c r="Q63" s="24" t="s">
        <v>20</v>
      </c>
      <c r="R63" s="24" t="s">
        <v>20</v>
      </c>
      <c r="S63" s="24" t="s">
        <v>20</v>
      </c>
      <c r="T63" t="s">
        <v>23</v>
      </c>
      <c r="U63" t="s">
        <v>23</v>
      </c>
      <c r="V63" s="7" t="s">
        <v>23</v>
      </c>
      <c r="W63" s="7" t="s">
        <v>23</v>
      </c>
      <c r="X63" s="24" t="s">
        <v>20</v>
      </c>
      <c r="Y63" s="24" t="s">
        <v>20</v>
      </c>
      <c r="Z63" s="24" t="s">
        <v>20</v>
      </c>
      <c r="AA63" s="24" t="s">
        <v>20</v>
      </c>
      <c r="AB63" s="24" t="s">
        <v>20</v>
      </c>
      <c r="AC63" s="24" t="s">
        <v>20</v>
      </c>
      <c r="AD63" s="7" t="s">
        <v>23</v>
      </c>
      <c r="AE63" s="7" t="s">
        <v>23</v>
      </c>
      <c r="AF63" s="36">
        <v>0</v>
      </c>
      <c r="AG63" s="36"/>
      <c r="AH63" s="36"/>
      <c r="AI63" s="36"/>
      <c r="AJ63" s="8" t="s">
        <v>31</v>
      </c>
    </row>
    <row r="64" spans="1:36">
      <c r="A64" s="1">
        <v>44516</v>
      </c>
      <c r="B64" s="56">
        <v>1600</v>
      </c>
      <c r="C64" s="55" cm="1">
        <f t="array" ref="C64">(SUM(VLOOKUP(H64:AE64,$AL$4:$AN$44,2,FALSE))+AF64*10)*IF(AJ64="是",$AW$4,$AW$3)</f>
        <v>1544</v>
      </c>
      <c r="D64" s="18">
        <f>SUM($B$4:B64)-SUM($C$4:C64)</f>
        <v>332</v>
      </c>
      <c r="E64" s="55" cm="1">
        <f t="array" ref="E64">SUM(VLOOKUP(H64:AE64,$AL$4:$AN$44,3,FALSE))</f>
        <v>570</v>
      </c>
      <c r="F64" s="55">
        <f>SUM($E$4:E64)+SUM($G$4:G64)</f>
        <v>40325</v>
      </c>
      <c r="G64" s="56">
        <v>0</v>
      </c>
      <c r="H64" s="22" t="s">
        <v>18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s="7" t="s">
        <v>23</v>
      </c>
      <c r="O64" s="7" t="s">
        <v>23</v>
      </c>
      <c r="P64" s="24" t="s">
        <v>20</v>
      </c>
      <c r="Q64" s="24" t="s">
        <v>20</v>
      </c>
      <c r="R64" s="24" t="s">
        <v>20</v>
      </c>
      <c r="S64" s="24" t="s">
        <v>20</v>
      </c>
      <c r="T64" t="s">
        <v>23</v>
      </c>
      <c r="U64" t="s">
        <v>23</v>
      </c>
      <c r="V64" s="7" t="s">
        <v>23</v>
      </c>
      <c r="W64" s="7" t="s">
        <v>23</v>
      </c>
      <c r="X64" s="24" t="s">
        <v>20</v>
      </c>
      <c r="Y64" s="24" t="s">
        <v>20</v>
      </c>
      <c r="Z64" s="24" t="s">
        <v>20</v>
      </c>
      <c r="AA64" s="24" t="s">
        <v>20</v>
      </c>
      <c r="AB64" s="28" t="s">
        <v>12</v>
      </c>
      <c r="AC64" s="24" t="s">
        <v>20</v>
      </c>
      <c r="AD64" s="7" t="s">
        <v>23</v>
      </c>
      <c r="AE64" s="7" t="s">
        <v>23</v>
      </c>
      <c r="AF64" s="36">
        <v>0</v>
      </c>
      <c r="AG64" s="36"/>
      <c r="AH64" s="36"/>
      <c r="AI64" s="36"/>
      <c r="AJ64" s="8" t="s">
        <v>31</v>
      </c>
    </row>
    <row r="65" spans="1:36">
      <c r="A65" s="1">
        <v>44517</v>
      </c>
      <c r="B65" s="56">
        <v>1600</v>
      </c>
      <c r="C65" s="55" cm="1">
        <f t="array" ref="C65">(SUM(VLOOKUP(H65:AE65,$AL$4:$AN$44,2,FALSE))+AF65*10)*IF(AJ65="是",$AW$4,$AW$3)</f>
        <v>1656</v>
      </c>
      <c r="D65" s="18">
        <f>SUM($B$4:B65)-SUM($C$4:C65)</f>
        <v>276</v>
      </c>
      <c r="E65" s="55" cm="1">
        <f t="array" ref="E65">SUM(VLOOKUP(H65:AE65,$AL$4:$AN$44,3,FALSE))</f>
        <v>595</v>
      </c>
      <c r="F65" s="55">
        <f>SUM($E$4:E65)+SUM($G$4:G65)</f>
        <v>41120</v>
      </c>
      <c r="G65" s="56">
        <v>200</v>
      </c>
      <c r="H65" s="22" t="s">
        <v>18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s="7" t="s">
        <v>23</v>
      </c>
      <c r="O65" s="7" t="s">
        <v>23</v>
      </c>
      <c r="P65" s="24" t="s">
        <v>20</v>
      </c>
      <c r="Q65" s="24" t="s">
        <v>20</v>
      </c>
      <c r="R65" s="24" t="s">
        <v>20</v>
      </c>
      <c r="S65" s="24" t="s">
        <v>20</v>
      </c>
      <c r="T65" t="s">
        <v>23</v>
      </c>
      <c r="U65" t="s">
        <v>23</v>
      </c>
      <c r="V65" s="7" t="s">
        <v>23</v>
      </c>
      <c r="W65" s="7" t="s">
        <v>23</v>
      </c>
      <c r="X65" s="24" t="s">
        <v>20</v>
      </c>
      <c r="Y65" s="24" t="s">
        <v>20</v>
      </c>
      <c r="Z65" s="24" t="s">
        <v>20</v>
      </c>
      <c r="AA65" s="24" t="s">
        <v>20</v>
      </c>
      <c r="AB65" s="24" t="s">
        <v>20</v>
      </c>
      <c r="AC65" s="24" t="s">
        <v>20</v>
      </c>
      <c r="AD65" s="7" t="s">
        <v>23</v>
      </c>
      <c r="AE65" s="7" t="s">
        <v>23</v>
      </c>
      <c r="AF65" s="36">
        <v>0</v>
      </c>
      <c r="AG65" s="36"/>
      <c r="AH65" s="36"/>
      <c r="AI65" s="36"/>
      <c r="AJ65" s="8" t="s">
        <v>31</v>
      </c>
    </row>
    <row r="66" spans="1:36">
      <c r="A66" s="1">
        <v>44518</v>
      </c>
      <c r="B66" s="56">
        <v>1600</v>
      </c>
      <c r="C66" s="55" cm="1">
        <f t="array" ref="C66">(SUM(VLOOKUP(H66:AE66,$AL$4:$AN$44,2,FALSE))+AF66*10)*IF(AJ66="是",$AW$4,$AW$3)</f>
        <v>1480</v>
      </c>
      <c r="D66" s="18">
        <f>SUM($B$4:B66)-SUM($C$4:C66)</f>
        <v>396</v>
      </c>
      <c r="E66" s="55" cm="1">
        <f t="array" ref="E66">SUM(VLOOKUP(H66:AE66,$AL$4:$AN$44,3,FALSE))</f>
        <v>585</v>
      </c>
      <c r="F66" s="55">
        <f>SUM($E$4:E66)+SUM($G$4:G66)</f>
        <v>41705</v>
      </c>
      <c r="G66" s="56">
        <v>0</v>
      </c>
      <c r="H66" s="22" t="s">
        <v>18</v>
      </c>
      <c r="I66" s="22" t="s">
        <v>18</v>
      </c>
      <c r="J66" t="s">
        <v>23</v>
      </c>
      <c r="K66" t="s">
        <v>23</v>
      </c>
      <c r="L66" t="s">
        <v>23</v>
      </c>
      <c r="M66" t="s">
        <v>23</v>
      </c>
      <c r="N66" s="7" t="s">
        <v>23</v>
      </c>
      <c r="O66" s="7" t="s">
        <v>23</v>
      </c>
      <c r="P66" s="29" t="s">
        <v>47</v>
      </c>
      <c r="Q66" s="24" t="s">
        <v>20</v>
      </c>
      <c r="R66" s="24" t="s">
        <v>20</v>
      </c>
      <c r="S66" s="24" t="s">
        <v>20</v>
      </c>
      <c r="T66" t="s">
        <v>23</v>
      </c>
      <c r="U66" t="s">
        <v>23</v>
      </c>
      <c r="V66" s="7" t="s">
        <v>23</v>
      </c>
      <c r="W66" s="7" t="s">
        <v>23</v>
      </c>
      <c r="X66" s="24" t="s">
        <v>20</v>
      </c>
      <c r="Y66" s="24" t="s">
        <v>20</v>
      </c>
      <c r="Z66" s="24" t="s">
        <v>20</v>
      </c>
      <c r="AA66" s="24" t="s">
        <v>20</v>
      </c>
      <c r="AB66" s="24" t="s">
        <v>20</v>
      </c>
      <c r="AC66" s="24" t="s">
        <v>20</v>
      </c>
      <c r="AD66" s="7" t="s">
        <v>23</v>
      </c>
      <c r="AE66" s="7" t="s">
        <v>23</v>
      </c>
      <c r="AF66" s="36">
        <v>0</v>
      </c>
      <c r="AG66" s="36"/>
      <c r="AH66" s="36"/>
      <c r="AI66" s="36"/>
      <c r="AJ66" s="8" t="s">
        <v>31</v>
      </c>
    </row>
    <row r="67" spans="1:36">
      <c r="A67" s="1">
        <v>44519</v>
      </c>
      <c r="B67" s="56">
        <v>1600</v>
      </c>
      <c r="C67" s="55" cm="1">
        <f t="array" ref="C67">(SUM(VLOOKUP(H67:AE67,$AL$4:$AN$44,2,FALSE))+AF67*10)*IF(AJ67="是",$AW$4,$AW$3)</f>
        <v>1656</v>
      </c>
      <c r="D67" s="18">
        <f>SUM($B$4:B67)-SUM($C$4:C67)</f>
        <v>340</v>
      </c>
      <c r="E67" s="55" cm="1">
        <f t="array" ref="E67">SUM(VLOOKUP(H67:AE67,$AL$4:$AN$44,3,FALSE))</f>
        <v>595</v>
      </c>
      <c r="F67" s="55">
        <f>SUM($E$4:E67)+SUM($G$4:G67)</f>
        <v>42300</v>
      </c>
      <c r="G67" s="56">
        <v>0</v>
      </c>
      <c r="H67" s="22" t="s">
        <v>18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s="7" t="s">
        <v>23</v>
      </c>
      <c r="O67" s="7" t="s">
        <v>23</v>
      </c>
      <c r="P67" s="24" t="s">
        <v>20</v>
      </c>
      <c r="Q67" s="24" t="s">
        <v>20</v>
      </c>
      <c r="R67" s="24" t="s">
        <v>20</v>
      </c>
      <c r="S67" s="24" t="s">
        <v>20</v>
      </c>
      <c r="T67" t="s">
        <v>23</v>
      </c>
      <c r="U67" t="s">
        <v>23</v>
      </c>
      <c r="V67" s="7" t="s">
        <v>23</v>
      </c>
      <c r="W67" s="7" t="s">
        <v>23</v>
      </c>
      <c r="X67" s="24" t="s">
        <v>20</v>
      </c>
      <c r="Y67" s="24" t="s">
        <v>20</v>
      </c>
      <c r="Z67" s="24" t="s">
        <v>20</v>
      </c>
      <c r="AA67" s="24" t="s">
        <v>20</v>
      </c>
      <c r="AB67" s="24" t="s">
        <v>20</v>
      </c>
      <c r="AC67" s="24" t="s">
        <v>20</v>
      </c>
      <c r="AD67" s="7" t="s">
        <v>23</v>
      </c>
      <c r="AE67" s="7" t="s">
        <v>23</v>
      </c>
      <c r="AF67" s="36">
        <v>0</v>
      </c>
      <c r="AG67" s="36"/>
      <c r="AH67" s="36"/>
      <c r="AI67" s="36"/>
      <c r="AJ67" s="8" t="s">
        <v>31</v>
      </c>
    </row>
    <row r="68" spans="1:36">
      <c r="A68" s="1">
        <v>44520</v>
      </c>
      <c r="B68" s="56">
        <v>1600</v>
      </c>
      <c r="C68" s="55" cm="1">
        <f t="array" ref="C68">(SUM(VLOOKUP(H68:AE68,$AL$4:$AN$44,2,FALSE))+AF68*10)*IF(AJ68="是",$AW$4,$AW$3)</f>
        <v>1784</v>
      </c>
      <c r="D68" s="18">
        <f>SUM($B$4:B68)-SUM($C$4:C68)</f>
        <v>156</v>
      </c>
      <c r="E68" s="55" cm="1">
        <f t="array" ref="E68">SUM(VLOOKUP(H68:AE68,$AL$4:$AN$44,3,FALSE))</f>
        <v>695</v>
      </c>
      <c r="F68" s="55">
        <f>SUM($E$4:E68)+SUM($G$4:G68)</f>
        <v>42995</v>
      </c>
      <c r="G68" s="56">
        <v>0</v>
      </c>
      <c r="H68" s="22" t="s">
        <v>18</v>
      </c>
      <c r="I68" s="22" t="s">
        <v>18</v>
      </c>
      <c r="J68" t="s">
        <v>23</v>
      </c>
      <c r="K68" t="s">
        <v>23</v>
      </c>
      <c r="L68" t="s">
        <v>23</v>
      </c>
      <c r="M68" t="s">
        <v>23</v>
      </c>
      <c r="N68" s="7" t="s">
        <v>23</v>
      </c>
      <c r="O68" s="7" t="s">
        <v>23</v>
      </c>
      <c r="P68" s="24" t="s">
        <v>20</v>
      </c>
      <c r="Q68" s="24" t="s">
        <v>20</v>
      </c>
      <c r="R68" s="24" t="s">
        <v>20</v>
      </c>
      <c r="S68" s="24" t="s">
        <v>20</v>
      </c>
      <c r="T68" t="s">
        <v>23</v>
      </c>
      <c r="U68" t="s">
        <v>23</v>
      </c>
      <c r="V68" s="7" t="s">
        <v>23</v>
      </c>
      <c r="W68" s="7" t="s">
        <v>23</v>
      </c>
      <c r="X68" s="24" t="s">
        <v>20</v>
      </c>
      <c r="Y68" s="29" t="s">
        <v>47</v>
      </c>
      <c r="Z68" s="24" t="s">
        <v>20</v>
      </c>
      <c r="AA68" s="24" t="s">
        <v>20</v>
      </c>
      <c r="AB68" s="24" t="s">
        <v>20</v>
      </c>
      <c r="AC68" s="24" t="s">
        <v>20</v>
      </c>
      <c r="AD68" s="24" t="s">
        <v>20</v>
      </c>
      <c r="AE68" s="24" t="s">
        <v>20</v>
      </c>
      <c r="AF68" s="36">
        <v>0</v>
      </c>
      <c r="AG68" s="36"/>
      <c r="AH68" s="36"/>
      <c r="AI68" s="36"/>
      <c r="AJ68" s="8" t="s">
        <v>31</v>
      </c>
    </row>
    <row r="69" spans="1:36">
      <c r="A69" s="1">
        <v>44521</v>
      </c>
      <c r="B69" s="56">
        <v>1600</v>
      </c>
      <c r="C69" s="55" cm="1">
        <f t="array" ref="C69">(SUM(VLOOKUP(H69:AE69,$AL$4:$AN$44,2,FALSE))+AF69*10)*IF(AJ69="是",$AW$4,$AW$3)</f>
        <v>1680</v>
      </c>
      <c r="D69" s="18">
        <f>SUM($B$4:B69)-SUM($C$4:C69)</f>
        <v>76</v>
      </c>
      <c r="E69" s="55" cm="1">
        <f t="array" ref="E69">SUM(VLOOKUP(H69:AE69,$AL$4:$AN$44,3,FALSE))</f>
        <v>1025</v>
      </c>
      <c r="F69" s="55">
        <f>SUM($E$4:E69)+SUM($G$4:G69)</f>
        <v>44020</v>
      </c>
      <c r="G69" s="56">
        <v>0</v>
      </c>
      <c r="H69" s="22" t="s">
        <v>18</v>
      </c>
      <c r="I69" s="22" t="s">
        <v>18</v>
      </c>
      <c r="J69" t="s">
        <v>23</v>
      </c>
      <c r="K69" t="s">
        <v>23</v>
      </c>
      <c r="L69" t="s">
        <v>23</v>
      </c>
      <c r="M69" t="s">
        <v>23</v>
      </c>
      <c r="N69" s="7" t="s">
        <v>23</v>
      </c>
      <c r="O69" s="7" t="s">
        <v>23</v>
      </c>
      <c r="P69" s="24" t="s">
        <v>20</v>
      </c>
      <c r="Q69" s="24" t="s">
        <v>20</v>
      </c>
      <c r="R69" s="24" t="s">
        <v>20</v>
      </c>
      <c r="S69" s="24" t="s">
        <v>20</v>
      </c>
      <c r="T69" t="s">
        <v>23</v>
      </c>
      <c r="U69" t="s">
        <v>23</v>
      </c>
      <c r="V69" s="7" t="s">
        <v>23</v>
      </c>
      <c r="W69" s="7" t="s">
        <v>23</v>
      </c>
      <c r="X69" s="34" t="s">
        <v>41</v>
      </c>
      <c r="Y69" s="24" t="s">
        <v>20</v>
      </c>
      <c r="Z69" s="24" t="s">
        <v>20</v>
      </c>
      <c r="AA69" s="24" t="s">
        <v>20</v>
      </c>
      <c r="AB69" s="23" t="s">
        <v>19</v>
      </c>
      <c r="AC69" t="s">
        <v>23</v>
      </c>
      <c r="AD69" s="7" t="s">
        <v>23</v>
      </c>
      <c r="AE69" s="7" t="s">
        <v>23</v>
      </c>
      <c r="AF69" s="36">
        <v>0</v>
      </c>
      <c r="AG69" s="36"/>
      <c r="AH69" s="36"/>
      <c r="AI69" s="36"/>
      <c r="AJ69" s="8" t="s">
        <v>31</v>
      </c>
    </row>
    <row r="70" spans="1:36">
      <c r="A70" s="1">
        <v>44522</v>
      </c>
      <c r="B70" s="55">
        <v>1600</v>
      </c>
      <c r="C70" s="55" cm="1">
        <f t="array" ref="C70">(SUM(VLOOKUP(H70:AE70,$AL$4:$AN$44,2,FALSE))+AF70*10)*IF(AJ70="是",$AW$4,$AW$3)</f>
        <v>1632</v>
      </c>
      <c r="D70" s="57">
        <f>SUM($B$4:B70)-SUM($C$4:C70)</f>
        <v>44</v>
      </c>
      <c r="E70" s="55" cm="1">
        <f t="array" ref="E70">SUM(VLOOKUP(H70:AE70,$AL$4:$AN$44,3,FALSE))</f>
        <v>580</v>
      </c>
      <c r="F70" s="55">
        <f>SUM($E$4:E70)+SUM($G$4:G70)</f>
        <v>44900</v>
      </c>
      <c r="G70" s="55">
        <v>300</v>
      </c>
      <c r="H70" s="22" t="s">
        <v>18</v>
      </c>
      <c r="I70" s="22" t="s">
        <v>18</v>
      </c>
      <c r="J70" t="s">
        <v>23</v>
      </c>
      <c r="K70" t="s">
        <v>23</v>
      </c>
      <c r="L70" t="s">
        <v>23</v>
      </c>
      <c r="M70" t="s">
        <v>23</v>
      </c>
      <c r="N70" s="7" t="s">
        <v>23</v>
      </c>
      <c r="O70" s="7" t="s">
        <v>23</v>
      </c>
      <c r="P70" s="24" t="s">
        <v>20</v>
      </c>
      <c r="Q70" s="24" t="s">
        <v>20</v>
      </c>
      <c r="R70" s="24" t="s">
        <v>20</v>
      </c>
      <c r="S70" s="24" t="s">
        <v>20</v>
      </c>
      <c r="T70" t="s">
        <v>23</v>
      </c>
      <c r="U70" t="s">
        <v>23</v>
      </c>
      <c r="V70" s="7" t="s">
        <v>23</v>
      </c>
      <c r="W70" s="7" t="s">
        <v>23</v>
      </c>
      <c r="X70" s="24" t="s">
        <v>20</v>
      </c>
      <c r="Y70" s="24" t="s">
        <v>20</v>
      </c>
      <c r="Z70" s="24" t="s">
        <v>20</v>
      </c>
      <c r="AA70" s="24" t="s">
        <v>20</v>
      </c>
      <c r="AB70" s="23" t="s">
        <v>19</v>
      </c>
      <c r="AC70" t="s">
        <v>23</v>
      </c>
      <c r="AD70" s="7" t="s">
        <v>23</v>
      </c>
      <c r="AE70" s="7" t="s">
        <v>23</v>
      </c>
      <c r="AF70" s="36">
        <v>0</v>
      </c>
      <c r="AG70" s="36"/>
      <c r="AH70" s="36"/>
      <c r="AI70" s="36"/>
      <c r="AJ70" s="8" t="s">
        <v>31</v>
      </c>
    </row>
    <row r="71" spans="1:36">
      <c r="A71" s="1">
        <v>44523</v>
      </c>
      <c r="B71" s="55">
        <v>1600</v>
      </c>
      <c r="C71" s="55" cm="1">
        <f t="array" ref="C71">(SUM(VLOOKUP(H71:AE71,$AL$4:$AN$44,2,FALSE))+AF71*10)*IF(AJ71="是",$AW$4,$AW$3)</f>
        <v>1600</v>
      </c>
      <c r="D71" s="57">
        <f>SUM($B$4:B71)-SUM($C$4:C71)</f>
        <v>44</v>
      </c>
      <c r="E71" s="55" cm="1">
        <f t="array" ref="E71">SUM(VLOOKUP(H71:AE71,$AL$4:$AN$44,3,FALSE))</f>
        <v>560</v>
      </c>
      <c r="F71" s="55">
        <f>SUM($E$4:E71)+SUM($G$4:G71)</f>
        <v>45460</v>
      </c>
      <c r="G71" s="55">
        <v>0</v>
      </c>
      <c r="H71" s="22" t="s">
        <v>18</v>
      </c>
      <c r="I71" s="22" t="s">
        <v>18</v>
      </c>
      <c r="J71" t="s">
        <v>23</v>
      </c>
      <c r="K71" t="s">
        <v>23</v>
      </c>
      <c r="L71" t="s">
        <v>23</v>
      </c>
      <c r="M71" t="s">
        <v>23</v>
      </c>
      <c r="N71" s="7" t="s">
        <v>23</v>
      </c>
      <c r="O71" s="7" t="s">
        <v>23</v>
      </c>
      <c r="P71" s="24" t="s">
        <v>20</v>
      </c>
      <c r="Q71" s="24" t="s">
        <v>20</v>
      </c>
      <c r="R71" s="24" t="s">
        <v>20</v>
      </c>
      <c r="S71" s="24" t="s">
        <v>20</v>
      </c>
      <c r="T71" t="s">
        <v>23</v>
      </c>
      <c r="U71" t="s">
        <v>23</v>
      </c>
      <c r="V71" s="7" t="s">
        <v>23</v>
      </c>
      <c r="W71" s="7" t="s">
        <v>23</v>
      </c>
      <c r="X71" s="23" t="s">
        <v>19</v>
      </c>
      <c r="Y71" s="23" t="s">
        <v>19</v>
      </c>
      <c r="Z71" s="23" t="s">
        <v>19</v>
      </c>
      <c r="AA71" s="23" t="s">
        <v>19</v>
      </c>
      <c r="AB71" s="23" t="s">
        <v>19</v>
      </c>
      <c r="AC71" t="s">
        <v>23</v>
      </c>
      <c r="AD71" s="7" t="s">
        <v>23</v>
      </c>
      <c r="AE71" s="7" t="s">
        <v>23</v>
      </c>
      <c r="AF71" s="36">
        <v>0</v>
      </c>
      <c r="AG71" s="36"/>
      <c r="AH71" s="36"/>
      <c r="AI71" s="36"/>
      <c r="AJ71" s="8" t="s">
        <v>31</v>
      </c>
    </row>
    <row r="72" spans="1:36">
      <c r="A72" s="1">
        <v>44524</v>
      </c>
      <c r="B72" s="55">
        <v>1600</v>
      </c>
      <c r="C72" s="55" cm="1">
        <f t="array" ref="C72">(SUM(VLOOKUP(H72:AE72,$AL$4:$AN$44,2,FALSE))+AF72*10)*IF(AJ72="是",$AW$4,$AW$3)</f>
        <v>1632</v>
      </c>
      <c r="D72" s="57">
        <f>SUM($B$4:B72)-SUM($C$4:C72)</f>
        <v>12</v>
      </c>
      <c r="E72" s="55" cm="1">
        <f t="array" ref="E72">SUM(VLOOKUP(H72:AE72,$AL$4:$AN$44,3,FALSE))</f>
        <v>585</v>
      </c>
      <c r="F72" s="55">
        <f>SUM($E$4:E72)+SUM($G$4:G72)</f>
        <v>46245</v>
      </c>
      <c r="G72" s="55">
        <v>200</v>
      </c>
      <c r="H72" s="22" t="s">
        <v>18</v>
      </c>
      <c r="I72" s="22" t="s">
        <v>18</v>
      </c>
      <c r="J72" s="23" t="s">
        <v>19</v>
      </c>
      <c r="K72" t="s">
        <v>23</v>
      </c>
      <c r="L72" t="s">
        <v>23</v>
      </c>
      <c r="M72" t="s">
        <v>23</v>
      </c>
      <c r="N72" s="7" t="s">
        <v>23</v>
      </c>
      <c r="O72" s="7" t="s">
        <v>23</v>
      </c>
      <c r="P72" s="28" t="s">
        <v>12</v>
      </c>
      <c r="Q72" s="24" t="s">
        <v>20</v>
      </c>
      <c r="R72" s="24" t="s">
        <v>20</v>
      </c>
      <c r="S72" s="24" t="s">
        <v>20</v>
      </c>
      <c r="T72" t="s">
        <v>23</v>
      </c>
      <c r="U72" t="s">
        <v>23</v>
      </c>
      <c r="V72" s="7" t="s">
        <v>23</v>
      </c>
      <c r="W72" s="7" t="s">
        <v>23</v>
      </c>
      <c r="X72" s="23" t="s">
        <v>19</v>
      </c>
      <c r="Y72" s="23" t="s">
        <v>19</v>
      </c>
      <c r="Z72" s="23" t="s">
        <v>19</v>
      </c>
      <c r="AA72" s="23" t="s">
        <v>19</v>
      </c>
      <c r="AB72" s="23" t="s">
        <v>19</v>
      </c>
      <c r="AC72" t="s">
        <v>23</v>
      </c>
      <c r="AD72" s="7" t="s">
        <v>23</v>
      </c>
      <c r="AE72" s="7" t="s">
        <v>23</v>
      </c>
      <c r="AF72" s="36">
        <v>0</v>
      </c>
      <c r="AG72" s="36"/>
      <c r="AH72" s="36"/>
      <c r="AI72" s="36"/>
      <c r="AJ72" s="8" t="s">
        <v>31</v>
      </c>
    </row>
    <row r="73" spans="1:36">
      <c r="A73" s="1">
        <v>44525</v>
      </c>
      <c r="B73" s="55">
        <v>1600</v>
      </c>
      <c r="C73" s="55" cm="1">
        <f t="array" ref="C73">(SUM(VLOOKUP(H73:AE73,$AL$4:$AN$44,2,FALSE))+AF73*10)*IF(AJ73="是",$AW$4,$AW$3)</f>
        <v>1512</v>
      </c>
      <c r="D73" s="57">
        <f>SUM($B$4:B73)-SUM($C$4:C73)</f>
        <v>100</v>
      </c>
      <c r="E73" s="55" cm="1">
        <f t="array" ref="E73">SUM(VLOOKUP(H73:AE73,$AL$4:$AN$44,3,FALSE))</f>
        <v>550</v>
      </c>
      <c r="F73" s="55">
        <f>SUM($E$4:E73)+SUM($G$4:G73)</f>
        <v>46795</v>
      </c>
      <c r="G73" s="55">
        <v>0</v>
      </c>
      <c r="H73" s="23" t="s">
        <v>19</v>
      </c>
      <c r="I73" s="23" t="s">
        <v>19</v>
      </c>
      <c r="J73" t="s">
        <v>23</v>
      </c>
      <c r="K73" t="s">
        <v>23</v>
      </c>
      <c r="L73" t="s">
        <v>23</v>
      </c>
      <c r="M73" t="s">
        <v>23</v>
      </c>
      <c r="N73" s="7" t="s">
        <v>23</v>
      </c>
      <c r="O73" s="7" t="s">
        <v>23</v>
      </c>
      <c r="P73" s="24" t="s">
        <v>20</v>
      </c>
      <c r="Q73" s="24" t="s">
        <v>20</v>
      </c>
      <c r="R73" s="24" t="s">
        <v>20</v>
      </c>
      <c r="S73" s="24" t="s">
        <v>20</v>
      </c>
      <c r="T73" t="s">
        <v>23</v>
      </c>
      <c r="U73" t="s">
        <v>23</v>
      </c>
      <c r="V73" s="7" t="s">
        <v>23</v>
      </c>
      <c r="W73" s="7" t="s">
        <v>23</v>
      </c>
      <c r="X73" s="23" t="s">
        <v>19</v>
      </c>
      <c r="Y73" s="23" t="s">
        <v>19</v>
      </c>
      <c r="Z73" s="23" t="s">
        <v>19</v>
      </c>
      <c r="AA73" s="23" t="s">
        <v>19</v>
      </c>
      <c r="AB73" s="28" t="s">
        <v>12</v>
      </c>
      <c r="AC73" t="s">
        <v>23</v>
      </c>
      <c r="AD73" s="7" t="s">
        <v>23</v>
      </c>
      <c r="AE73" s="7" t="s">
        <v>23</v>
      </c>
      <c r="AF73" s="36">
        <v>0</v>
      </c>
      <c r="AG73" s="36"/>
      <c r="AH73" s="36"/>
      <c r="AI73" s="36"/>
      <c r="AJ73" s="8" t="s">
        <v>31</v>
      </c>
    </row>
    <row r="74" spans="1:36">
      <c r="A74" s="1">
        <v>44526</v>
      </c>
      <c r="B74" s="55">
        <v>1600</v>
      </c>
      <c r="C74" s="55" cm="1">
        <f t="array" ref="C74">(SUM(VLOOKUP(H74:AE74,$AL$4:$AN$44,2,FALSE))+AF74*10)*IF(AJ74="是",$AW$4,$AW$3)</f>
        <v>1616</v>
      </c>
      <c r="D74" s="57">
        <f>SUM($B$4:B74)-SUM($C$4:C74)</f>
        <v>84</v>
      </c>
      <c r="E74" s="55" cm="1">
        <f t="array" ref="E74">SUM(VLOOKUP(H74:AE74,$AL$4:$AN$44,3,FALSE))</f>
        <v>570</v>
      </c>
      <c r="F74" s="55">
        <f>SUM($E$4:E74)+SUM($G$4:G74)</f>
        <v>47365</v>
      </c>
      <c r="G74" s="55">
        <v>0</v>
      </c>
      <c r="H74" s="23" t="s">
        <v>19</v>
      </c>
      <c r="I74" s="23" t="s">
        <v>19</v>
      </c>
      <c r="J74" t="s">
        <v>23</v>
      </c>
      <c r="K74" t="s">
        <v>23</v>
      </c>
      <c r="L74" t="s">
        <v>23</v>
      </c>
      <c r="M74" t="s">
        <v>23</v>
      </c>
      <c r="N74" s="7" t="s">
        <v>23</v>
      </c>
      <c r="O74" s="7" t="s">
        <v>23</v>
      </c>
      <c r="P74" s="24" t="s">
        <v>20</v>
      </c>
      <c r="Q74" s="24" t="s">
        <v>20</v>
      </c>
      <c r="R74" s="24" t="s">
        <v>20</v>
      </c>
      <c r="S74" s="24" t="s">
        <v>20</v>
      </c>
      <c r="T74" t="s">
        <v>23</v>
      </c>
      <c r="U74" t="s">
        <v>23</v>
      </c>
      <c r="V74" s="7" t="s">
        <v>23</v>
      </c>
      <c r="W74" s="7" t="s">
        <v>23</v>
      </c>
      <c r="X74" s="23" t="s">
        <v>19</v>
      </c>
      <c r="Y74" s="23" t="s">
        <v>19</v>
      </c>
      <c r="Z74" s="23" t="s">
        <v>19</v>
      </c>
      <c r="AA74" s="23" t="s">
        <v>19</v>
      </c>
      <c r="AB74" s="23" t="s">
        <v>19</v>
      </c>
      <c r="AC74" t="s">
        <v>23</v>
      </c>
      <c r="AD74" s="7" t="s">
        <v>23</v>
      </c>
      <c r="AE74" s="7" t="s">
        <v>23</v>
      </c>
      <c r="AF74" s="36">
        <v>0</v>
      </c>
      <c r="AG74" s="36"/>
      <c r="AH74" s="36"/>
      <c r="AI74" s="36"/>
      <c r="AJ74" s="8" t="s">
        <v>31</v>
      </c>
    </row>
    <row r="75" spans="1:36">
      <c r="A75" s="1">
        <v>44527</v>
      </c>
      <c r="B75" s="55">
        <v>1600</v>
      </c>
      <c r="C75" s="55" cm="1">
        <f t="array" ref="C75">(SUM(VLOOKUP(H75:AE75,$AL$4:$AN$44,2,FALSE))+AF75*10)*IF(AJ75="是",$AW$4,$AW$3)</f>
        <v>1616</v>
      </c>
      <c r="D75" s="57">
        <f>SUM($B$4:B75)-SUM($C$4:C75)</f>
        <v>68</v>
      </c>
      <c r="E75" s="55" cm="1">
        <f t="array" ref="E75">SUM(VLOOKUP(H75:AE75,$AL$4:$AN$44,3,FALSE))</f>
        <v>570</v>
      </c>
      <c r="F75" s="55">
        <f>SUM($E$4:E75)+SUM($G$4:G75)</f>
        <v>47935</v>
      </c>
      <c r="G75" s="55">
        <v>0</v>
      </c>
      <c r="H75" s="23" t="s">
        <v>19</v>
      </c>
      <c r="I75" s="23" t="s">
        <v>19</v>
      </c>
      <c r="J75" s="23" t="s">
        <v>19</v>
      </c>
      <c r="K75" t="s">
        <v>23</v>
      </c>
      <c r="L75" t="s">
        <v>23</v>
      </c>
      <c r="M75" t="s">
        <v>23</v>
      </c>
      <c r="N75" s="7" t="s">
        <v>23</v>
      </c>
      <c r="O75" s="7" t="s">
        <v>23</v>
      </c>
      <c r="P75" s="24" t="s">
        <v>20</v>
      </c>
      <c r="Q75" s="24" t="s">
        <v>20</v>
      </c>
      <c r="R75" s="24" t="s">
        <v>20</v>
      </c>
      <c r="S75" s="24" t="s">
        <v>20</v>
      </c>
      <c r="T75" t="s">
        <v>23</v>
      </c>
      <c r="U75" t="s">
        <v>23</v>
      </c>
      <c r="V75" s="7" t="s">
        <v>23</v>
      </c>
      <c r="W75" s="7" t="s">
        <v>23</v>
      </c>
      <c r="X75" s="23" t="s">
        <v>19</v>
      </c>
      <c r="Y75" s="23" t="s">
        <v>19</v>
      </c>
      <c r="Z75" s="23" t="s">
        <v>19</v>
      </c>
      <c r="AA75" s="23" t="s">
        <v>19</v>
      </c>
      <c r="AB75" t="s">
        <v>23</v>
      </c>
      <c r="AC75" t="s">
        <v>23</v>
      </c>
      <c r="AD75" s="7" t="s">
        <v>23</v>
      </c>
      <c r="AE75" s="7" t="s">
        <v>23</v>
      </c>
      <c r="AF75" s="36">
        <v>0</v>
      </c>
      <c r="AG75" s="36"/>
      <c r="AH75" s="36"/>
      <c r="AI75" s="36"/>
      <c r="AJ75" s="8" t="s">
        <v>31</v>
      </c>
    </row>
    <row r="76" spans="1:36">
      <c r="A76" s="1">
        <v>44528</v>
      </c>
      <c r="B76" s="55">
        <v>1600</v>
      </c>
      <c r="C76" s="55" cm="1">
        <f t="array" ref="C76">(SUM(VLOOKUP(H76:AE76,$AL$4:$AN$44,2,FALSE))+AF76*10)*IF(AJ76="是",$AW$4,$AW$3)</f>
        <v>1656</v>
      </c>
      <c r="D76" s="57">
        <f>SUM($B$4:B76)-SUM($C$4:C76)</f>
        <v>12</v>
      </c>
      <c r="E76" s="55" cm="1">
        <f t="array" ref="E76">SUM(VLOOKUP(H76:AE76,$AL$4:$AN$44,3,FALSE))</f>
        <v>600</v>
      </c>
      <c r="F76" s="55">
        <f>SUM($E$4:E76)+SUM($G$4:G76)</f>
        <v>48535</v>
      </c>
      <c r="G76" s="55">
        <v>0</v>
      </c>
      <c r="H76" s="28" t="s">
        <v>12</v>
      </c>
      <c r="I76" s="23" t="s">
        <v>19</v>
      </c>
      <c r="J76" s="23" t="s">
        <v>19</v>
      </c>
      <c r="K76" s="23" t="s">
        <v>19</v>
      </c>
      <c r="L76" t="s">
        <v>23</v>
      </c>
      <c r="M76" t="s">
        <v>23</v>
      </c>
      <c r="N76" s="7" t="s">
        <v>23</v>
      </c>
      <c r="O76" s="7" t="s">
        <v>23</v>
      </c>
      <c r="P76" s="24" t="s">
        <v>20</v>
      </c>
      <c r="Q76" s="24" t="s">
        <v>20</v>
      </c>
      <c r="R76" s="24" t="s">
        <v>20</v>
      </c>
      <c r="S76" s="24" t="s">
        <v>20</v>
      </c>
      <c r="T76" t="s">
        <v>23</v>
      </c>
      <c r="U76" t="s">
        <v>23</v>
      </c>
      <c r="V76" s="7" t="s">
        <v>23</v>
      </c>
      <c r="W76" s="7" t="s">
        <v>23</v>
      </c>
      <c r="X76" s="23" t="s">
        <v>19</v>
      </c>
      <c r="Y76" s="23" t="s">
        <v>19</v>
      </c>
      <c r="Z76" s="23" t="s">
        <v>19</v>
      </c>
      <c r="AA76" s="23" t="s">
        <v>19</v>
      </c>
      <c r="AB76" t="s">
        <v>23</v>
      </c>
      <c r="AC76" t="s">
        <v>23</v>
      </c>
      <c r="AD76" s="7" t="s">
        <v>23</v>
      </c>
      <c r="AE76" s="7" t="s">
        <v>23</v>
      </c>
      <c r="AF76" s="36">
        <v>0</v>
      </c>
      <c r="AG76" s="36"/>
      <c r="AH76" s="36"/>
      <c r="AI76" s="36"/>
      <c r="AJ76" s="8" t="s">
        <v>31</v>
      </c>
    </row>
    <row r="77" spans="1:36">
      <c r="A77" s="1">
        <v>44529</v>
      </c>
      <c r="B77" s="56">
        <v>1600</v>
      </c>
      <c r="C77" s="55" cm="1">
        <f t="array" ref="C77">(SUM(VLOOKUP(H77:AE77,$AL$4:$AN$44,2,FALSE))+AF77*10)*IF(AJ77="是",$AW$4,$AW$3)</f>
        <v>1472</v>
      </c>
      <c r="D77" s="18">
        <f>SUM($B$4:B77)-SUM($C$4:C77)</f>
        <v>140</v>
      </c>
      <c r="E77" s="55" cm="1">
        <f t="array" ref="E77">SUM(VLOOKUP(H77:AE77,$AL$4:$AN$44,3,FALSE))</f>
        <v>520</v>
      </c>
      <c r="F77" s="55">
        <f>SUM($E$4:E77)+SUM($G$4:G77)</f>
        <v>49255</v>
      </c>
      <c r="G77" s="56">
        <v>200</v>
      </c>
      <c r="H77" s="23" t="s">
        <v>19</v>
      </c>
      <c r="I77" s="23" t="s">
        <v>19</v>
      </c>
      <c r="J77" t="s">
        <v>23</v>
      </c>
      <c r="K77" t="s">
        <v>23</v>
      </c>
      <c r="L77" t="s">
        <v>23</v>
      </c>
      <c r="M77" t="s">
        <v>23</v>
      </c>
      <c r="N77" s="7" t="s">
        <v>23</v>
      </c>
      <c r="O77" s="7" t="s">
        <v>23</v>
      </c>
      <c r="P77" s="24" t="s">
        <v>20</v>
      </c>
      <c r="Q77" s="24" t="s">
        <v>20</v>
      </c>
      <c r="R77" s="24" t="s">
        <v>20</v>
      </c>
      <c r="S77" s="24" t="s">
        <v>20</v>
      </c>
      <c r="T77" t="s">
        <v>23</v>
      </c>
      <c r="U77" t="s">
        <v>23</v>
      </c>
      <c r="V77" s="7" t="s">
        <v>23</v>
      </c>
      <c r="W77" s="7" t="s">
        <v>23</v>
      </c>
      <c r="X77" s="23" t="s">
        <v>19</v>
      </c>
      <c r="Y77" s="23" t="s">
        <v>19</v>
      </c>
      <c r="Z77" s="23" t="s">
        <v>19</v>
      </c>
      <c r="AA77" s="23" t="s">
        <v>19</v>
      </c>
      <c r="AB77" t="s">
        <v>23</v>
      </c>
      <c r="AC77" t="s">
        <v>23</v>
      </c>
      <c r="AD77" s="7" t="s">
        <v>23</v>
      </c>
      <c r="AE77" s="7" t="s">
        <v>23</v>
      </c>
      <c r="AF77" s="36">
        <v>0</v>
      </c>
      <c r="AG77" s="36"/>
      <c r="AH77" s="36"/>
      <c r="AI77" s="36"/>
      <c r="AJ77" s="8" t="s">
        <v>31</v>
      </c>
    </row>
    <row r="78" spans="1:36">
      <c r="A78" s="1">
        <v>44530</v>
      </c>
      <c r="B78" s="56">
        <v>1600</v>
      </c>
      <c r="C78" s="55" cm="1">
        <f t="array" ref="C78">(SUM(VLOOKUP(H78:AE78,$AL$4:$AN$44,2,FALSE))+AF78*10)*IF(AJ78="是",$AW$4,$AW$3)</f>
        <v>1704</v>
      </c>
      <c r="D78" s="18">
        <f>SUM($B$4:B78)-SUM($C$4:C78)</f>
        <v>36</v>
      </c>
      <c r="E78" s="55" cm="1">
        <f t="array" ref="E78">SUM(VLOOKUP(H78:AE78,$AL$4:$AN$44,3,FALSE))</f>
        <v>620</v>
      </c>
      <c r="F78" s="55">
        <f>SUM($E$4:E78)+SUM($G$4:G78)</f>
        <v>49975</v>
      </c>
      <c r="G78" s="56">
        <v>100</v>
      </c>
      <c r="H78" s="23" t="s">
        <v>19</v>
      </c>
      <c r="I78" s="23" t="s">
        <v>19</v>
      </c>
      <c r="J78" s="23" t="s">
        <v>8</v>
      </c>
      <c r="K78" s="23" t="s">
        <v>19</v>
      </c>
      <c r="L78" t="s">
        <v>23</v>
      </c>
      <c r="M78" t="s">
        <v>23</v>
      </c>
      <c r="N78" s="7" t="s">
        <v>23</v>
      </c>
      <c r="O78" s="7" t="s">
        <v>23</v>
      </c>
      <c r="P78" s="24" t="s">
        <v>20</v>
      </c>
      <c r="Q78" s="24" t="s">
        <v>20</v>
      </c>
      <c r="R78" s="24" t="s">
        <v>9</v>
      </c>
      <c r="S78" s="24" t="s">
        <v>20</v>
      </c>
      <c r="T78" t="s">
        <v>23</v>
      </c>
      <c r="U78" t="s">
        <v>23</v>
      </c>
      <c r="V78" s="7" t="s">
        <v>23</v>
      </c>
      <c r="W78" s="7" t="s">
        <v>23</v>
      </c>
      <c r="X78" s="23" t="s">
        <v>19</v>
      </c>
      <c r="Y78" s="23" t="s">
        <v>19</v>
      </c>
      <c r="Z78" s="23" t="s">
        <v>19</v>
      </c>
      <c r="AA78" s="23" t="s">
        <v>19</v>
      </c>
      <c r="AB78" t="s">
        <v>23</v>
      </c>
      <c r="AC78" t="s">
        <v>23</v>
      </c>
      <c r="AD78" s="7" t="s">
        <v>23</v>
      </c>
      <c r="AE78" s="7" t="s">
        <v>23</v>
      </c>
      <c r="AF78" s="36">
        <v>0</v>
      </c>
      <c r="AG78" s="36"/>
      <c r="AH78" s="36"/>
      <c r="AI78" s="36"/>
      <c r="AJ78" s="8" t="s">
        <v>31</v>
      </c>
    </row>
    <row r="79" spans="1:36">
      <c r="A79" s="1">
        <v>44531</v>
      </c>
      <c r="B79" s="56">
        <v>1600</v>
      </c>
      <c r="C79" s="55" cm="1">
        <f t="array" ref="C79">(SUM(VLOOKUP(H79:AE79,$AL$4:$AN$44,2,FALSE))+AF79*10)*IF(AJ79="是",$AW$4,$AW$3)</f>
        <v>1616</v>
      </c>
      <c r="D79" s="18">
        <f>SUM($B$4:B79)-SUM($C$4:C79)</f>
        <v>20</v>
      </c>
      <c r="E79" s="55" cm="1">
        <f t="array" ref="E79">SUM(VLOOKUP(H79:AE79,$AL$4:$AN$44,3,FALSE))</f>
        <v>570</v>
      </c>
      <c r="F79" s="55">
        <f>SUM($E$4:E79)+SUM($G$4:G79)</f>
        <v>50745</v>
      </c>
      <c r="G79" s="56">
        <v>200</v>
      </c>
      <c r="H79" s="23" t="s">
        <v>19</v>
      </c>
      <c r="I79" s="23" t="s">
        <v>19</v>
      </c>
      <c r="J79" s="23" t="s">
        <v>19</v>
      </c>
      <c r="K79" t="s">
        <v>23</v>
      </c>
      <c r="L79" t="s">
        <v>23</v>
      </c>
      <c r="M79" t="s">
        <v>23</v>
      </c>
      <c r="N79" s="7" t="s">
        <v>23</v>
      </c>
      <c r="O79" s="7" t="s">
        <v>23</v>
      </c>
      <c r="P79" s="24" t="s">
        <v>20</v>
      </c>
      <c r="Q79" s="24" t="s">
        <v>20</v>
      </c>
      <c r="R79" s="24" t="s">
        <v>20</v>
      </c>
      <c r="S79" s="24" t="s">
        <v>20</v>
      </c>
      <c r="T79" t="s">
        <v>23</v>
      </c>
      <c r="U79" t="s">
        <v>23</v>
      </c>
      <c r="V79" s="7" t="s">
        <v>23</v>
      </c>
      <c r="W79" s="7" t="s">
        <v>23</v>
      </c>
      <c r="X79" s="23" t="s">
        <v>19</v>
      </c>
      <c r="Y79" s="23" t="s">
        <v>19</v>
      </c>
      <c r="Z79" s="23" t="s">
        <v>19</v>
      </c>
      <c r="AA79" s="23" t="s">
        <v>19</v>
      </c>
      <c r="AB79" t="s">
        <v>23</v>
      </c>
      <c r="AC79" t="s">
        <v>23</v>
      </c>
      <c r="AD79" s="7" t="s">
        <v>23</v>
      </c>
      <c r="AE79" s="7" t="s">
        <v>23</v>
      </c>
      <c r="AF79" s="36">
        <v>0</v>
      </c>
      <c r="AG79" s="36"/>
      <c r="AH79" s="36"/>
      <c r="AI79" s="36"/>
      <c r="AJ79" s="8" t="s">
        <v>31</v>
      </c>
    </row>
    <row r="80" spans="1:36">
      <c r="A80" s="1">
        <v>44532</v>
      </c>
      <c r="B80" s="56">
        <v>1600</v>
      </c>
      <c r="C80" s="55" cm="1">
        <f t="array" ref="C80">(SUM(VLOOKUP(H80:AE80,$AL$4:$AN$44,2,FALSE))+AF80*10)*IF(AJ80="是",$AW$4,$AW$3)</f>
        <v>1488</v>
      </c>
      <c r="D80" s="18">
        <f>SUM($B$4:B80)-SUM($C$4:C80)</f>
        <v>132</v>
      </c>
      <c r="E80" s="55" cm="1">
        <f t="array" ref="E80">SUM(VLOOKUP(H80:AE80,$AL$4:$AN$44,3,FALSE))</f>
        <v>595</v>
      </c>
      <c r="F80" s="55">
        <f>SUM($E$4:E80)+SUM($G$4:G80)</f>
        <v>51340</v>
      </c>
      <c r="G80" s="56">
        <v>0</v>
      </c>
      <c r="H80" s="23" t="s">
        <v>19</v>
      </c>
      <c r="I80" s="23" t="s">
        <v>19</v>
      </c>
      <c r="J80" s="23" t="s">
        <v>19</v>
      </c>
      <c r="K80" s="23" t="s">
        <v>19</v>
      </c>
      <c r="L80" s="23" t="s">
        <v>19</v>
      </c>
      <c r="M80" s="23" t="s">
        <v>19</v>
      </c>
      <c r="N80" s="7" t="s">
        <v>23</v>
      </c>
      <c r="O80" s="7" t="s">
        <v>23</v>
      </c>
      <c r="P80" s="24" t="s">
        <v>20</v>
      </c>
      <c r="Q80" s="29" t="s">
        <v>47</v>
      </c>
      <c r="R80" s="25" t="s">
        <v>21</v>
      </c>
      <c r="S80" t="s">
        <v>23</v>
      </c>
      <c r="T80" t="s">
        <v>23</v>
      </c>
      <c r="U80" t="s">
        <v>23</v>
      </c>
      <c r="V80" s="7" t="s">
        <v>23</v>
      </c>
      <c r="W80" s="7" t="s">
        <v>23</v>
      </c>
      <c r="X80" s="23" t="s">
        <v>19</v>
      </c>
      <c r="Y80" s="23" t="s">
        <v>19</v>
      </c>
      <c r="Z80" s="28" t="s">
        <v>12</v>
      </c>
      <c r="AA80" s="23" t="s">
        <v>19</v>
      </c>
      <c r="AB80" t="s">
        <v>23</v>
      </c>
      <c r="AC80" t="s">
        <v>23</v>
      </c>
      <c r="AD80" s="7" t="s">
        <v>23</v>
      </c>
      <c r="AE80" s="7" t="s">
        <v>23</v>
      </c>
      <c r="AF80" s="36">
        <v>0</v>
      </c>
      <c r="AG80" s="36"/>
      <c r="AH80" s="36"/>
      <c r="AI80" s="36"/>
      <c r="AJ80" s="8" t="s">
        <v>31</v>
      </c>
    </row>
    <row r="81" spans="1:36">
      <c r="A81" s="1">
        <v>44533</v>
      </c>
      <c r="B81" s="56">
        <v>1600</v>
      </c>
      <c r="C81" s="55" cm="1">
        <f t="array" ref="C81">(SUM(VLOOKUP(H81:AE81,$AL$4:$AN$44,2,FALSE))+AF81*10)*IF(AJ81="是",$AW$4,$AW$3)</f>
        <v>1624</v>
      </c>
      <c r="D81" s="18">
        <f>SUM($B$4:B81)-SUM($C$4:C81)</f>
        <v>108</v>
      </c>
      <c r="E81" s="55" cm="1">
        <f t="array" ref="E81">SUM(VLOOKUP(H81:AE81,$AL$4:$AN$44,3,FALSE))</f>
        <v>575</v>
      </c>
      <c r="F81" s="55">
        <f>SUM($E$4:E81)+SUM($G$4:G81)</f>
        <v>51915</v>
      </c>
      <c r="G81" s="56">
        <v>0</v>
      </c>
      <c r="H81" s="23" t="s">
        <v>19</v>
      </c>
      <c r="I81" s="23" t="s">
        <v>19</v>
      </c>
      <c r="J81" s="23" t="s">
        <v>19</v>
      </c>
      <c r="K81" s="22" t="s">
        <v>18</v>
      </c>
      <c r="L81" t="s">
        <v>23</v>
      </c>
      <c r="M81" t="s">
        <v>23</v>
      </c>
      <c r="N81" s="7" t="s">
        <v>23</v>
      </c>
      <c r="O81" s="7" t="s">
        <v>23</v>
      </c>
      <c r="P81" s="25" t="s">
        <v>21</v>
      </c>
      <c r="Q81" s="25" t="s">
        <v>21</v>
      </c>
      <c r="R81" s="25" t="s">
        <v>21</v>
      </c>
      <c r="S81" t="s">
        <v>23</v>
      </c>
      <c r="T81" t="s">
        <v>23</v>
      </c>
      <c r="U81" t="s">
        <v>23</v>
      </c>
      <c r="V81" s="7" t="s">
        <v>23</v>
      </c>
      <c r="W81" s="7" t="s">
        <v>23</v>
      </c>
      <c r="X81" s="23" t="s">
        <v>19</v>
      </c>
      <c r="Y81" s="23" t="s">
        <v>19</v>
      </c>
      <c r="Z81" s="23" t="s">
        <v>19</v>
      </c>
      <c r="AA81" s="23" t="s">
        <v>19</v>
      </c>
      <c r="AB81" t="s">
        <v>23</v>
      </c>
      <c r="AC81" t="s">
        <v>23</v>
      </c>
      <c r="AD81" s="7" t="s">
        <v>23</v>
      </c>
      <c r="AE81" s="7" t="s">
        <v>23</v>
      </c>
      <c r="AF81" s="36">
        <v>0</v>
      </c>
      <c r="AG81" s="36"/>
      <c r="AH81" s="36"/>
      <c r="AI81" s="36"/>
      <c r="AJ81" s="8" t="s">
        <v>31</v>
      </c>
    </row>
    <row r="82" spans="1:36">
      <c r="A82" s="1">
        <v>44534</v>
      </c>
      <c r="B82" s="56">
        <v>1600</v>
      </c>
      <c r="C82" s="55" cm="1">
        <f t="array" ref="C82">(SUM(VLOOKUP(H82:AE82,$AL$4:$AN$44,2,FALSE))+AF82*10)*IF(AJ82="是",$AW$4,$AW$3)</f>
        <v>1616</v>
      </c>
      <c r="D82" s="18">
        <f>SUM($B$4:B82)-SUM($C$4:C82)</f>
        <v>92</v>
      </c>
      <c r="E82" s="55" cm="1">
        <f t="array" ref="E82">SUM(VLOOKUP(H82:AE82,$AL$4:$AN$44,3,FALSE))</f>
        <v>590</v>
      </c>
      <c r="F82" s="55">
        <f>SUM($E$4:E82)+SUM($G$4:G82)</f>
        <v>52505</v>
      </c>
      <c r="G82" s="56">
        <v>0</v>
      </c>
      <c r="H82" s="22" t="s">
        <v>18</v>
      </c>
      <c r="I82" s="22" t="s">
        <v>18</v>
      </c>
      <c r="J82" s="22" t="s">
        <v>18</v>
      </c>
      <c r="K82" s="22" t="s">
        <v>18</v>
      </c>
      <c r="L82" s="28" t="s">
        <v>12</v>
      </c>
      <c r="M82" t="s">
        <v>23</v>
      </c>
      <c r="N82" s="7" t="s">
        <v>23</v>
      </c>
      <c r="O82" s="7" t="s">
        <v>23</v>
      </c>
      <c r="P82" s="25" t="s">
        <v>21</v>
      </c>
      <c r="Q82" s="25" t="s">
        <v>21</v>
      </c>
      <c r="R82" s="25" t="s">
        <v>21</v>
      </c>
      <c r="S82" t="s">
        <v>23</v>
      </c>
      <c r="T82" t="s">
        <v>23</v>
      </c>
      <c r="U82" t="s">
        <v>23</v>
      </c>
      <c r="V82" s="7" t="s">
        <v>23</v>
      </c>
      <c r="W82" s="7" t="s">
        <v>23</v>
      </c>
      <c r="X82" s="23" t="s">
        <v>8</v>
      </c>
      <c r="Y82" s="23" t="s">
        <v>19</v>
      </c>
      <c r="Z82" s="23" t="s">
        <v>19</v>
      </c>
      <c r="AA82" s="23" t="s">
        <v>19</v>
      </c>
      <c r="AB82" t="s">
        <v>23</v>
      </c>
      <c r="AC82" t="s">
        <v>23</v>
      </c>
      <c r="AD82" s="7" t="s">
        <v>23</v>
      </c>
      <c r="AE82" s="7" t="s">
        <v>23</v>
      </c>
      <c r="AF82" s="36">
        <v>0</v>
      </c>
      <c r="AG82" s="36"/>
      <c r="AH82" s="36"/>
      <c r="AI82" s="36"/>
      <c r="AJ82" s="8" t="s">
        <v>31</v>
      </c>
    </row>
    <row r="83" spans="1:36">
      <c r="A83" s="1">
        <v>44535</v>
      </c>
      <c r="B83" s="56">
        <v>1600</v>
      </c>
      <c r="C83" s="55" cm="1">
        <f t="array" ref="C83">(SUM(VLOOKUP(H83:AE83,$AL$4:$AN$44,2,FALSE))+AF83*10)*IF(AJ83="是",$AW$4,$AW$3)</f>
        <v>1632</v>
      </c>
      <c r="D83" s="18">
        <f>SUM($B$4:B83)-SUM($C$4:C83)</f>
        <v>60</v>
      </c>
      <c r="E83" s="55" cm="1">
        <f t="array" ref="E83">SUM(VLOOKUP(H83:AE83,$AL$4:$AN$44,3,FALSE))</f>
        <v>580</v>
      </c>
      <c r="F83" s="55">
        <f>SUM($E$4:E83)+SUM($G$4:G83)</f>
        <v>53085</v>
      </c>
      <c r="G83" s="56">
        <v>0</v>
      </c>
      <c r="H83" s="23" t="s">
        <v>19</v>
      </c>
      <c r="I83" s="23" t="s">
        <v>19</v>
      </c>
      <c r="J83" s="23" t="s">
        <v>19</v>
      </c>
      <c r="K83" s="23" t="s">
        <v>19</v>
      </c>
      <c r="L83" t="s">
        <v>23</v>
      </c>
      <c r="M83" t="s">
        <v>23</v>
      </c>
      <c r="N83" s="7" t="s">
        <v>23</v>
      </c>
      <c r="O83" s="7" t="s">
        <v>23</v>
      </c>
      <c r="P83" s="25" t="s">
        <v>21</v>
      </c>
      <c r="Q83" s="25" t="s">
        <v>21</v>
      </c>
      <c r="R83" s="25" t="s">
        <v>21</v>
      </c>
      <c r="S83" t="s">
        <v>23</v>
      </c>
      <c r="T83" t="s">
        <v>23</v>
      </c>
      <c r="U83" t="s">
        <v>23</v>
      </c>
      <c r="V83" s="7" t="s">
        <v>23</v>
      </c>
      <c r="W83" s="7" t="s">
        <v>23</v>
      </c>
      <c r="X83" s="23" t="s">
        <v>19</v>
      </c>
      <c r="Y83" s="23" t="s">
        <v>19</v>
      </c>
      <c r="Z83" s="23" t="s">
        <v>19</v>
      </c>
      <c r="AA83" s="23" t="s">
        <v>19</v>
      </c>
      <c r="AB83" t="s">
        <v>23</v>
      </c>
      <c r="AC83" t="s">
        <v>23</v>
      </c>
      <c r="AD83" s="7" t="s">
        <v>23</v>
      </c>
      <c r="AE83" s="7" t="s">
        <v>23</v>
      </c>
      <c r="AF83" s="36">
        <v>0</v>
      </c>
      <c r="AG83" s="36"/>
      <c r="AH83" s="36"/>
      <c r="AI83" s="36"/>
      <c r="AJ83" s="8" t="s">
        <v>31</v>
      </c>
    </row>
    <row r="84" spans="1:36">
      <c r="A84" s="1">
        <v>44536</v>
      </c>
      <c r="B84" s="55">
        <v>1600</v>
      </c>
      <c r="C84" s="55" cm="1">
        <f t="array" ref="C84">(SUM(VLOOKUP(H84:AE84,$AL$4:$AN$44,2,FALSE))+AF84*10)*IF(AJ84="是",$AW$4,$AW$3)</f>
        <v>1600</v>
      </c>
      <c r="D84" s="57">
        <f>SUM($B$4:B84)-SUM($C$4:C84)</f>
        <v>60</v>
      </c>
      <c r="E84" s="55" cm="1">
        <f t="array" ref="E84">SUM(VLOOKUP(H84:AE84,$AL$4:$AN$44,3,FALSE))</f>
        <v>680</v>
      </c>
      <c r="F84" s="55">
        <f>SUM($E$4:E84)+SUM($G$4:G84)</f>
        <v>54065</v>
      </c>
      <c r="G84" s="55">
        <v>300</v>
      </c>
      <c r="H84" s="23" t="s">
        <v>19</v>
      </c>
      <c r="I84" s="23" t="s">
        <v>19</v>
      </c>
      <c r="J84" s="23" t="s">
        <v>19</v>
      </c>
      <c r="K84" s="23" t="s">
        <v>19</v>
      </c>
      <c r="L84" s="23" t="s">
        <v>19</v>
      </c>
      <c r="M84" s="29" t="s">
        <v>47</v>
      </c>
      <c r="N84" s="23" t="s">
        <v>19</v>
      </c>
      <c r="O84" s="23" t="s">
        <v>19</v>
      </c>
      <c r="P84" s="24" t="s">
        <v>20</v>
      </c>
      <c r="Q84" s="25" t="s">
        <v>21</v>
      </c>
      <c r="R84" s="25" t="s">
        <v>21</v>
      </c>
      <c r="S84" t="s">
        <v>23</v>
      </c>
      <c r="T84" t="s">
        <v>23</v>
      </c>
      <c r="U84" t="s">
        <v>23</v>
      </c>
      <c r="V84" s="7" t="s">
        <v>23</v>
      </c>
      <c r="W84" s="7" t="s">
        <v>23</v>
      </c>
      <c r="X84" s="29" t="s">
        <v>47</v>
      </c>
      <c r="Y84" s="23" t="s">
        <v>19</v>
      </c>
      <c r="Z84" s="23" t="s">
        <v>19</v>
      </c>
      <c r="AA84" s="24" t="s">
        <v>20</v>
      </c>
      <c r="AB84" t="s">
        <v>23</v>
      </c>
      <c r="AC84" t="s">
        <v>23</v>
      </c>
      <c r="AD84" s="7" t="s">
        <v>23</v>
      </c>
      <c r="AE84" s="7" t="s">
        <v>23</v>
      </c>
      <c r="AF84" s="36">
        <v>0</v>
      </c>
      <c r="AG84" s="36"/>
      <c r="AH84" s="36"/>
      <c r="AI84" s="36"/>
      <c r="AJ84" s="8" t="s">
        <v>31</v>
      </c>
    </row>
    <row r="85" spans="1:36">
      <c r="A85" s="1">
        <v>44537</v>
      </c>
      <c r="B85" s="55">
        <v>1600</v>
      </c>
      <c r="C85" s="55" cm="1">
        <f t="array" ref="C85">(SUM(VLOOKUP(H85:AE85,$AL$4:$AN$44,2,FALSE))+AF85*10)*IF(AJ85="是",$AW$4,$AW$3)</f>
        <v>1528</v>
      </c>
      <c r="D85" s="57">
        <f>SUM($B$4:B85)-SUM($C$4:C85)</f>
        <v>132</v>
      </c>
      <c r="E85" s="55" cm="1">
        <f t="array" ref="E85">SUM(VLOOKUP(H85:AE85,$AL$4:$AN$44,3,FALSE))</f>
        <v>1470</v>
      </c>
      <c r="F85" s="55">
        <f>SUM($E$4:E85)+SUM($G$4:G85)</f>
        <v>55535</v>
      </c>
      <c r="G85" s="55">
        <v>0</v>
      </c>
      <c r="H85" s="23" t="s">
        <v>19</v>
      </c>
      <c r="I85" s="23" t="s">
        <v>19</v>
      </c>
      <c r="J85" s="23" t="s">
        <v>19</v>
      </c>
      <c r="K85" s="23" t="s">
        <v>19</v>
      </c>
      <c r="L85" t="s">
        <v>23</v>
      </c>
      <c r="M85" t="s">
        <v>23</v>
      </c>
      <c r="N85" s="7" t="s">
        <v>23</v>
      </c>
      <c r="O85" s="7" t="s">
        <v>23</v>
      </c>
      <c r="P85" s="32" t="s">
        <v>15</v>
      </c>
      <c r="Q85" s="25" t="s">
        <v>21</v>
      </c>
      <c r="R85" s="25" t="s">
        <v>21</v>
      </c>
      <c r="S85" t="s">
        <v>23</v>
      </c>
      <c r="T85" t="s">
        <v>23</v>
      </c>
      <c r="U85" t="s">
        <v>23</v>
      </c>
      <c r="V85" s="7" t="s">
        <v>23</v>
      </c>
      <c r="W85" s="7" t="s">
        <v>23</v>
      </c>
      <c r="X85" s="23" t="s">
        <v>19</v>
      </c>
      <c r="Y85" s="23" t="s">
        <v>19</v>
      </c>
      <c r="Z85" s="23" t="s">
        <v>19</v>
      </c>
      <c r="AA85" t="s">
        <v>23</v>
      </c>
      <c r="AB85" t="s">
        <v>23</v>
      </c>
      <c r="AC85" t="s">
        <v>23</v>
      </c>
      <c r="AD85" s="7" t="s">
        <v>23</v>
      </c>
      <c r="AE85" s="7" t="s">
        <v>23</v>
      </c>
      <c r="AF85" s="36">
        <v>0</v>
      </c>
      <c r="AG85" s="36"/>
      <c r="AH85" s="36"/>
      <c r="AI85" s="36"/>
      <c r="AJ85" s="8" t="s">
        <v>31</v>
      </c>
    </row>
    <row r="86" spans="1:36">
      <c r="A86" s="1">
        <v>44538</v>
      </c>
      <c r="B86" s="55">
        <v>1600</v>
      </c>
      <c r="C86" s="55" cm="1">
        <f t="array" ref="C86">(SUM(VLOOKUP(H86:AE86,$AL$4:$AN$44,2,FALSE))+AF86*10)*IF(AJ86="是",$AW$4,$AW$3)</f>
        <v>1568</v>
      </c>
      <c r="D86" s="57">
        <f>SUM($B$4:B86)-SUM($C$4:C86)</f>
        <v>164</v>
      </c>
      <c r="E86" s="55" cm="1">
        <f t="array" ref="E86">SUM(VLOOKUP(H86:AE86,$AL$4:$AN$44,3,FALSE))</f>
        <v>590</v>
      </c>
      <c r="F86" s="55">
        <f>SUM($E$4:E86)+SUM($G$4:G86)</f>
        <v>56325</v>
      </c>
      <c r="G86" s="55">
        <v>200</v>
      </c>
      <c r="H86" s="23" t="s">
        <v>19</v>
      </c>
      <c r="I86" s="23" t="s">
        <v>19</v>
      </c>
      <c r="J86" s="28" t="s">
        <v>12</v>
      </c>
      <c r="K86" s="23" t="s">
        <v>19</v>
      </c>
      <c r="L86" s="23" t="s">
        <v>19</v>
      </c>
      <c r="M86" s="23" t="s">
        <v>19</v>
      </c>
      <c r="N86" s="7" t="s">
        <v>23</v>
      </c>
      <c r="O86" s="7" t="s">
        <v>23</v>
      </c>
      <c r="P86" s="25" t="s">
        <v>21</v>
      </c>
      <c r="Q86" s="25" t="s">
        <v>21</v>
      </c>
      <c r="R86" s="25" t="s">
        <v>21</v>
      </c>
      <c r="S86" t="s">
        <v>23</v>
      </c>
      <c r="T86" t="s">
        <v>23</v>
      </c>
      <c r="U86" t="s">
        <v>23</v>
      </c>
      <c r="V86" s="7" t="s">
        <v>23</v>
      </c>
      <c r="W86" s="7" t="s">
        <v>23</v>
      </c>
      <c r="X86" s="23" t="s">
        <v>19</v>
      </c>
      <c r="Y86" s="23" t="s">
        <v>19</v>
      </c>
      <c r="Z86" s="28" t="s">
        <v>12</v>
      </c>
      <c r="AA86" t="s">
        <v>23</v>
      </c>
      <c r="AB86" t="s">
        <v>23</v>
      </c>
      <c r="AC86" t="s">
        <v>23</v>
      </c>
      <c r="AD86" s="7" t="s">
        <v>23</v>
      </c>
      <c r="AE86" s="7" t="s">
        <v>23</v>
      </c>
      <c r="AF86" s="36">
        <v>0</v>
      </c>
      <c r="AG86" s="36"/>
      <c r="AH86" s="36"/>
      <c r="AI86" s="36"/>
      <c r="AJ86" s="8" t="s">
        <v>31</v>
      </c>
    </row>
    <row r="87" spans="1:36">
      <c r="A87" s="1">
        <v>44539</v>
      </c>
      <c r="B87" s="55">
        <v>1600</v>
      </c>
      <c r="C87" s="55" cm="1">
        <f t="array" ref="C87">(SUM(VLOOKUP(H87:AE87,$AL$4:$AN$44,2,FALSE))+AF87*10)*IF(AJ87="是",$AW$4,$AW$3)</f>
        <v>1616</v>
      </c>
      <c r="D87" s="57">
        <f>SUM($B$4:B87)-SUM($C$4:C87)</f>
        <v>148</v>
      </c>
      <c r="E87" s="55" cm="1">
        <f t="array" ref="E87">SUM(VLOOKUP(H87:AE87,$AL$4:$AN$44,3,FALSE))</f>
        <v>570</v>
      </c>
      <c r="F87" s="55">
        <f>SUM($E$4:E87)+SUM($G$4:G87)</f>
        <v>56895</v>
      </c>
      <c r="G87" s="55">
        <v>0</v>
      </c>
      <c r="H87" s="23" t="s">
        <v>19</v>
      </c>
      <c r="I87" s="23" t="s">
        <v>19</v>
      </c>
      <c r="J87" s="23" t="s">
        <v>19</v>
      </c>
      <c r="K87" s="23" t="s">
        <v>19</v>
      </c>
      <c r="L87" s="23" t="s">
        <v>19</v>
      </c>
      <c r="M87" s="23" t="s">
        <v>19</v>
      </c>
      <c r="N87" s="7" t="s">
        <v>23</v>
      </c>
      <c r="O87" s="7" t="s">
        <v>23</v>
      </c>
      <c r="P87" s="25" t="s">
        <v>21</v>
      </c>
      <c r="Q87" s="25" t="s">
        <v>21</v>
      </c>
      <c r="R87" t="s">
        <v>23</v>
      </c>
      <c r="S87" t="s">
        <v>23</v>
      </c>
      <c r="T87" t="s">
        <v>23</v>
      </c>
      <c r="U87" t="s">
        <v>23</v>
      </c>
      <c r="V87" s="7" t="s">
        <v>23</v>
      </c>
      <c r="W87" s="7" t="s">
        <v>23</v>
      </c>
      <c r="X87" s="23" t="s">
        <v>19</v>
      </c>
      <c r="Y87" s="23" t="s">
        <v>19</v>
      </c>
      <c r="Z87" s="23" t="s">
        <v>19</v>
      </c>
      <c r="AA87" t="s">
        <v>23</v>
      </c>
      <c r="AB87" t="s">
        <v>23</v>
      </c>
      <c r="AC87" t="s">
        <v>23</v>
      </c>
      <c r="AD87" s="7" t="s">
        <v>23</v>
      </c>
      <c r="AE87" s="7" t="s">
        <v>23</v>
      </c>
      <c r="AF87" s="36">
        <v>0</v>
      </c>
      <c r="AG87" s="36"/>
      <c r="AH87" s="36"/>
      <c r="AI87" s="36"/>
      <c r="AJ87" s="8" t="s">
        <v>31</v>
      </c>
    </row>
    <row r="88" spans="1:36">
      <c r="A88" s="1">
        <v>44540</v>
      </c>
      <c r="B88" s="55">
        <v>1600</v>
      </c>
      <c r="C88" s="55" cm="1">
        <f t="array" ref="C88">(SUM(VLOOKUP(H88:AE88,$AL$4:$AN$44,2,FALSE))+AF88*10)*IF(AJ88="是",$AW$4,$AW$3)</f>
        <v>1616</v>
      </c>
      <c r="D88" s="57">
        <f>SUM($B$4:B88)-SUM($C$4:C88)</f>
        <v>132</v>
      </c>
      <c r="E88" s="55" cm="1">
        <f t="array" ref="E88">SUM(VLOOKUP(H88:AE88,$AL$4:$AN$44,3,FALSE))</f>
        <v>570</v>
      </c>
      <c r="F88" s="55">
        <f>SUM($E$4:E88)+SUM($G$4:G88)</f>
        <v>57465</v>
      </c>
      <c r="G88" s="55">
        <v>0</v>
      </c>
      <c r="H88" s="23" t="s">
        <v>19</v>
      </c>
      <c r="I88" s="23" t="s">
        <v>19</v>
      </c>
      <c r="J88" s="23" t="s">
        <v>19</v>
      </c>
      <c r="K88" s="23" t="s">
        <v>19</v>
      </c>
      <c r="L88" s="23" t="s">
        <v>19</v>
      </c>
      <c r="M88" s="23" t="s">
        <v>19</v>
      </c>
      <c r="N88" s="7" t="s">
        <v>23</v>
      </c>
      <c r="O88" s="7" t="s">
        <v>23</v>
      </c>
      <c r="P88" s="25" t="s">
        <v>21</v>
      </c>
      <c r="Q88" s="25" t="s">
        <v>21</v>
      </c>
      <c r="R88" t="s">
        <v>23</v>
      </c>
      <c r="S88" t="s">
        <v>23</v>
      </c>
      <c r="T88" t="s">
        <v>23</v>
      </c>
      <c r="U88" t="s">
        <v>23</v>
      </c>
      <c r="V88" s="7" t="s">
        <v>23</v>
      </c>
      <c r="W88" s="7" t="s">
        <v>23</v>
      </c>
      <c r="X88" s="23" t="s">
        <v>19</v>
      </c>
      <c r="Y88" s="23" t="s">
        <v>19</v>
      </c>
      <c r="Z88" s="23" t="s">
        <v>19</v>
      </c>
      <c r="AA88" t="s">
        <v>23</v>
      </c>
      <c r="AB88" t="s">
        <v>23</v>
      </c>
      <c r="AC88" t="s">
        <v>23</v>
      </c>
      <c r="AD88" s="7" t="s">
        <v>23</v>
      </c>
      <c r="AE88" s="7" t="s">
        <v>23</v>
      </c>
      <c r="AF88" s="36">
        <v>0</v>
      </c>
      <c r="AG88" s="36"/>
      <c r="AH88" s="36"/>
      <c r="AI88" s="36"/>
      <c r="AJ88" s="8" t="s">
        <v>31</v>
      </c>
    </row>
    <row r="89" spans="1:36">
      <c r="A89" s="1">
        <v>44541</v>
      </c>
      <c r="B89" s="55">
        <v>1600</v>
      </c>
      <c r="C89" s="55" cm="1">
        <f t="array" ref="C89">(SUM(VLOOKUP(H89:AE89,$AL$4:$AN$44,2,FALSE))+AF89*10)*IF(AJ89="是",$AW$4,$AW$3)</f>
        <v>1616</v>
      </c>
      <c r="D89" s="57">
        <f>SUM($B$4:B89)-SUM($C$4:C89)</f>
        <v>116</v>
      </c>
      <c r="E89" s="55" cm="1">
        <f t="array" ref="E89">SUM(VLOOKUP(H89:AE89,$AL$4:$AN$44,3,FALSE))</f>
        <v>570</v>
      </c>
      <c r="F89" s="55">
        <f>SUM($E$4:E89)+SUM($G$4:G89)</f>
        <v>58035</v>
      </c>
      <c r="G89" s="55">
        <v>0</v>
      </c>
      <c r="H89" s="23" t="s">
        <v>19</v>
      </c>
      <c r="I89" s="23" t="s">
        <v>19</v>
      </c>
      <c r="J89" s="23" t="s">
        <v>19</v>
      </c>
      <c r="K89" s="23" t="s">
        <v>19</v>
      </c>
      <c r="L89" s="23" t="s">
        <v>19</v>
      </c>
      <c r="M89" s="23" t="s">
        <v>19</v>
      </c>
      <c r="N89" s="7" t="s">
        <v>23</v>
      </c>
      <c r="O89" s="7" t="s">
        <v>23</v>
      </c>
      <c r="P89" s="25" t="s">
        <v>21</v>
      </c>
      <c r="Q89" s="25" t="s">
        <v>21</v>
      </c>
      <c r="R89" t="s">
        <v>23</v>
      </c>
      <c r="S89" t="s">
        <v>23</v>
      </c>
      <c r="T89" t="s">
        <v>23</v>
      </c>
      <c r="U89" t="s">
        <v>23</v>
      </c>
      <c r="V89" s="7" t="s">
        <v>23</v>
      </c>
      <c r="W89" s="7" t="s">
        <v>23</v>
      </c>
      <c r="X89" s="23" t="s">
        <v>19</v>
      </c>
      <c r="Y89" s="23" t="s">
        <v>19</v>
      </c>
      <c r="Z89" s="23" t="s">
        <v>19</v>
      </c>
      <c r="AA89" t="s">
        <v>23</v>
      </c>
      <c r="AB89" t="s">
        <v>23</v>
      </c>
      <c r="AC89" t="s">
        <v>23</v>
      </c>
      <c r="AD89" s="7" t="s">
        <v>23</v>
      </c>
      <c r="AE89" s="7" t="s">
        <v>23</v>
      </c>
      <c r="AF89" s="36">
        <v>0</v>
      </c>
      <c r="AG89" s="36"/>
      <c r="AH89" s="36"/>
      <c r="AI89" s="36"/>
      <c r="AJ89" s="8" t="s">
        <v>31</v>
      </c>
    </row>
    <row r="90" spans="1:36">
      <c r="A90" s="1">
        <v>44542</v>
      </c>
      <c r="B90" s="55">
        <v>1600</v>
      </c>
      <c r="C90" s="55" cm="1">
        <f t="array" ref="C90">(SUM(VLOOKUP(H90:AE90,$AL$4:$AN$44,2,FALSE))+AF90*10)*IF(AJ90="是",$AW$4,$AW$3)</f>
        <v>1472</v>
      </c>
      <c r="D90" s="57">
        <f>SUM($B$4:B90)-SUM($C$4:C90)</f>
        <v>244</v>
      </c>
      <c r="E90" s="55" cm="1">
        <f t="array" ref="E90">SUM(VLOOKUP(H90:AE90,$AL$4:$AN$44,3,FALSE))</f>
        <v>520</v>
      </c>
      <c r="F90" s="55">
        <f>SUM($E$4:E90)+SUM($G$4:G90)</f>
        <v>58555</v>
      </c>
      <c r="G90" s="55">
        <v>0</v>
      </c>
      <c r="H90" s="23" t="s">
        <v>19</v>
      </c>
      <c r="I90" s="23" t="s">
        <v>19</v>
      </c>
      <c r="J90" s="23" t="s">
        <v>19</v>
      </c>
      <c r="K90" s="23" t="s">
        <v>19</v>
      </c>
      <c r="L90" s="23" t="s">
        <v>19</v>
      </c>
      <c r="M90" s="23" t="s">
        <v>19</v>
      </c>
      <c r="N90" s="7" t="s">
        <v>23</v>
      </c>
      <c r="O90" s="7" t="s">
        <v>23</v>
      </c>
      <c r="P90" s="25" t="s">
        <v>21</v>
      </c>
      <c r="Q90" s="25" t="s">
        <v>21</v>
      </c>
      <c r="R90" t="s">
        <v>23</v>
      </c>
      <c r="S90" t="s">
        <v>23</v>
      </c>
      <c r="T90" t="s">
        <v>23</v>
      </c>
      <c r="U90" t="s">
        <v>23</v>
      </c>
      <c r="V90" s="7" t="s">
        <v>23</v>
      </c>
      <c r="W90" s="7" t="s">
        <v>23</v>
      </c>
      <c r="X90" s="23" t="s">
        <v>19</v>
      </c>
      <c r="Y90" s="23" t="s">
        <v>19</v>
      </c>
      <c r="Z90" t="s">
        <v>23</v>
      </c>
      <c r="AA90" t="s">
        <v>23</v>
      </c>
      <c r="AB90" t="s">
        <v>23</v>
      </c>
      <c r="AC90" t="s">
        <v>23</v>
      </c>
      <c r="AD90" s="7" t="s">
        <v>23</v>
      </c>
      <c r="AE90" s="7" t="s">
        <v>23</v>
      </c>
      <c r="AF90" s="36">
        <v>0</v>
      </c>
      <c r="AG90" s="36"/>
      <c r="AH90" s="36"/>
      <c r="AI90" s="36"/>
      <c r="AJ90" s="8" t="s">
        <v>31</v>
      </c>
    </row>
    <row r="91" spans="1:36">
      <c r="A91" s="1">
        <v>44543</v>
      </c>
      <c r="B91" s="56">
        <v>1600</v>
      </c>
      <c r="C91" s="55" cm="1">
        <f t="array" ref="C91">(SUM(VLOOKUP(H91:AE91,$AL$4:$AN$44,2,FALSE))+AF91*10)*IF(AJ91="是",$AW$4,$AW$3)</f>
        <v>1472</v>
      </c>
      <c r="D91" s="18">
        <f>SUM($B$4:B91)-SUM($C$4:C91)</f>
        <v>372</v>
      </c>
      <c r="E91" s="55" cm="1">
        <f t="array" ref="E91">SUM(VLOOKUP(H91:AE91,$AL$4:$AN$44,3,FALSE))</f>
        <v>520</v>
      </c>
      <c r="F91" s="55">
        <f>SUM($E$4:E91)+SUM($G$4:G91)</f>
        <v>59375</v>
      </c>
      <c r="G91" s="56">
        <v>300</v>
      </c>
      <c r="H91" s="23" t="s">
        <v>19</v>
      </c>
      <c r="I91" s="23" t="s">
        <v>19</v>
      </c>
      <c r="J91" s="23" t="s">
        <v>19</v>
      </c>
      <c r="K91" s="23" t="s">
        <v>19</v>
      </c>
      <c r="L91" s="23" t="s">
        <v>19</v>
      </c>
      <c r="M91" s="23" t="s">
        <v>19</v>
      </c>
      <c r="N91" s="7" t="s">
        <v>23</v>
      </c>
      <c r="O91" s="7" t="s">
        <v>23</v>
      </c>
      <c r="P91" s="25" t="s">
        <v>21</v>
      </c>
      <c r="Q91" s="25" t="s">
        <v>21</v>
      </c>
      <c r="R91" t="s">
        <v>23</v>
      </c>
      <c r="S91" t="s">
        <v>23</v>
      </c>
      <c r="T91" t="s">
        <v>23</v>
      </c>
      <c r="U91" t="s">
        <v>23</v>
      </c>
      <c r="V91" s="7" t="s">
        <v>23</v>
      </c>
      <c r="W91" s="7" t="s">
        <v>23</v>
      </c>
      <c r="X91" s="23" t="s">
        <v>19</v>
      </c>
      <c r="Y91" s="23" t="s">
        <v>19</v>
      </c>
      <c r="Z91" t="s">
        <v>23</v>
      </c>
      <c r="AA91" t="s">
        <v>23</v>
      </c>
      <c r="AB91" t="s">
        <v>23</v>
      </c>
      <c r="AC91" t="s">
        <v>23</v>
      </c>
      <c r="AD91" s="7" t="s">
        <v>23</v>
      </c>
      <c r="AE91" s="7" t="s">
        <v>23</v>
      </c>
      <c r="AF91" s="36">
        <v>0</v>
      </c>
      <c r="AG91" s="36"/>
      <c r="AH91" s="36"/>
      <c r="AI91" s="36"/>
      <c r="AJ91" s="8" t="s">
        <v>31</v>
      </c>
    </row>
    <row r="92" spans="1:36">
      <c r="A92" s="1">
        <v>44544</v>
      </c>
      <c r="B92" s="56">
        <v>1600</v>
      </c>
      <c r="C92" s="55" cm="1">
        <f t="array" ref="C92">(SUM(VLOOKUP(H92:AE92,$AL$4:$AN$44,2,FALSE))+AF92*10)*IF(AJ92="是",$AW$4,$AW$3)</f>
        <v>1616</v>
      </c>
      <c r="D92" s="18">
        <f>SUM($B$4:B92)-SUM($C$4:C92)</f>
        <v>356</v>
      </c>
      <c r="E92" s="55" cm="1">
        <f t="array" ref="E92">SUM(VLOOKUP(H92:AE92,$AL$4:$AN$44,3,FALSE))</f>
        <v>570</v>
      </c>
      <c r="F92" s="55">
        <f>SUM($E$4:E92)+SUM($G$4:G92)</f>
        <v>59945</v>
      </c>
      <c r="G92" s="56">
        <v>0</v>
      </c>
      <c r="H92" s="23" t="s">
        <v>19</v>
      </c>
      <c r="I92" s="23" t="s">
        <v>19</v>
      </c>
      <c r="J92" s="23" t="s">
        <v>19</v>
      </c>
      <c r="K92" s="23" t="s">
        <v>19</v>
      </c>
      <c r="L92" s="23" t="s">
        <v>19</v>
      </c>
      <c r="M92" s="23" t="s">
        <v>19</v>
      </c>
      <c r="N92" s="7" t="s">
        <v>23</v>
      </c>
      <c r="O92" s="7" t="s">
        <v>23</v>
      </c>
      <c r="P92" s="25" t="s">
        <v>21</v>
      </c>
      <c r="Q92" s="25" t="s">
        <v>21</v>
      </c>
      <c r="R92" t="s">
        <v>23</v>
      </c>
      <c r="S92" t="s">
        <v>23</v>
      </c>
      <c r="T92" t="s">
        <v>23</v>
      </c>
      <c r="U92" t="s">
        <v>23</v>
      </c>
      <c r="V92" s="7" t="s">
        <v>23</v>
      </c>
      <c r="W92" s="7" t="s">
        <v>23</v>
      </c>
      <c r="X92" s="23" t="s">
        <v>19</v>
      </c>
      <c r="Y92" s="23" t="s">
        <v>19</v>
      </c>
      <c r="Z92" s="23" t="s">
        <v>19</v>
      </c>
      <c r="AA92" t="s">
        <v>23</v>
      </c>
      <c r="AB92" t="s">
        <v>23</v>
      </c>
      <c r="AC92" t="s">
        <v>23</v>
      </c>
      <c r="AD92" s="7" t="s">
        <v>23</v>
      </c>
      <c r="AE92" s="7" t="s">
        <v>23</v>
      </c>
      <c r="AF92" s="36">
        <v>0</v>
      </c>
      <c r="AG92" s="36"/>
      <c r="AH92" s="36"/>
      <c r="AI92" s="36"/>
      <c r="AJ92" s="8" t="s">
        <v>31</v>
      </c>
    </row>
    <row r="93" spans="1:36">
      <c r="A93" s="1">
        <v>44545</v>
      </c>
      <c r="B93" s="56">
        <v>1600</v>
      </c>
      <c r="C93" s="55" cm="1">
        <f t="array" ref="C93">(SUM(VLOOKUP(H93:AE93,$AL$4:$AN$44,2,FALSE))+AF93*10)*IF(AJ93="是",$AW$4,$AW$3)</f>
        <v>1776</v>
      </c>
      <c r="D93" s="18">
        <f>SUM($B$4:B93)-SUM($C$4:C93)</f>
        <v>180</v>
      </c>
      <c r="E93" s="55" cm="1">
        <f t="array" ref="E93">SUM(VLOOKUP(H93:AE93,$AL$4:$AN$44,3,FALSE))</f>
        <v>630</v>
      </c>
      <c r="F93" s="55">
        <f>SUM($E$4:E93)+SUM($G$4:G93)</f>
        <v>60775</v>
      </c>
      <c r="G93" s="56">
        <v>200</v>
      </c>
      <c r="H93" s="23" t="s">
        <v>19</v>
      </c>
      <c r="I93" s="23" t="s">
        <v>19</v>
      </c>
      <c r="J93" s="23" t="s">
        <v>19</v>
      </c>
      <c r="K93" s="23" t="s">
        <v>19</v>
      </c>
      <c r="L93" s="23" t="s">
        <v>19</v>
      </c>
      <c r="M93" s="23" t="s">
        <v>19</v>
      </c>
      <c r="N93" s="7" t="s">
        <v>23</v>
      </c>
      <c r="O93" s="7" t="s">
        <v>23</v>
      </c>
      <c r="P93" s="25" t="s">
        <v>21</v>
      </c>
      <c r="Q93" s="25" t="s">
        <v>21</v>
      </c>
      <c r="R93" s="25" t="s">
        <v>21</v>
      </c>
      <c r="S93" t="s">
        <v>23</v>
      </c>
      <c r="T93" t="s">
        <v>23</v>
      </c>
      <c r="U93" t="s">
        <v>23</v>
      </c>
      <c r="V93" s="7" t="s">
        <v>23</v>
      </c>
      <c r="W93" s="7" t="s">
        <v>23</v>
      </c>
      <c r="X93" s="23" t="s">
        <v>19</v>
      </c>
      <c r="Y93" s="23" t="s">
        <v>19</v>
      </c>
      <c r="Z93" s="23" t="s">
        <v>19</v>
      </c>
      <c r="AA93" t="s">
        <v>23</v>
      </c>
      <c r="AB93" t="s">
        <v>23</v>
      </c>
      <c r="AC93" t="s">
        <v>23</v>
      </c>
      <c r="AD93" s="7" t="s">
        <v>23</v>
      </c>
      <c r="AE93" s="7" t="s">
        <v>23</v>
      </c>
      <c r="AF93" s="36">
        <v>0</v>
      </c>
      <c r="AG93" s="36"/>
      <c r="AH93" s="36"/>
      <c r="AI93" s="36"/>
      <c r="AJ93" s="8" t="s">
        <v>31</v>
      </c>
    </row>
    <row r="94" spans="1:36" ht="15.75" thickBot="1">
      <c r="A94" s="1">
        <v>44546</v>
      </c>
      <c r="B94">
        <v>1600</v>
      </c>
      <c r="C94" s="55" cm="1">
        <f t="array" ref="C94">(SUM(VLOOKUP(H94:AE94,$AL$4:$AN$44,2,FALSE))+AF94*10)*IF(AJ94="是",$AW$4,$AW$3)</f>
        <v>1776</v>
      </c>
      <c r="D94" s="18">
        <f>SUM($B$4:B94)-SUM($C$4:C94)</f>
        <v>4</v>
      </c>
      <c r="E94" s="55" cm="1">
        <f t="array" ref="E94">SUM(VLOOKUP(H94:AE94,$AL$4:$AN$44,3,FALSE))</f>
        <v>630</v>
      </c>
      <c r="F94" s="3">
        <f>SUM($E$4:E94)+SUM($G$4:G94)</f>
        <v>61405</v>
      </c>
      <c r="G94">
        <v>0</v>
      </c>
      <c r="H94" s="23" t="s">
        <v>19</v>
      </c>
      <c r="I94" s="23" t="s">
        <v>19</v>
      </c>
      <c r="J94" s="23" t="s">
        <v>19</v>
      </c>
      <c r="K94" s="23" t="s">
        <v>19</v>
      </c>
      <c r="L94" s="23" t="s">
        <v>19</v>
      </c>
      <c r="M94" s="23" t="s">
        <v>19</v>
      </c>
      <c r="N94" s="7" t="s">
        <v>23</v>
      </c>
      <c r="O94" s="7" t="s">
        <v>23</v>
      </c>
      <c r="P94" s="25" t="s">
        <v>21</v>
      </c>
      <c r="Q94" s="25" t="s">
        <v>21</v>
      </c>
      <c r="R94" s="25" t="s">
        <v>21</v>
      </c>
      <c r="S94" t="s">
        <v>23</v>
      </c>
      <c r="T94" t="s">
        <v>23</v>
      </c>
      <c r="U94" t="s">
        <v>23</v>
      </c>
      <c r="V94" s="7" t="s">
        <v>23</v>
      </c>
      <c r="W94" s="7" t="s">
        <v>23</v>
      </c>
      <c r="X94" s="23" t="s">
        <v>19</v>
      </c>
      <c r="Y94" s="23" t="s">
        <v>19</v>
      </c>
      <c r="Z94" s="23" t="s">
        <v>19</v>
      </c>
      <c r="AA94" t="s">
        <v>23</v>
      </c>
      <c r="AB94" t="s">
        <v>23</v>
      </c>
      <c r="AC94" t="s">
        <v>23</v>
      </c>
      <c r="AD94" s="7" t="s">
        <v>23</v>
      </c>
      <c r="AE94" s="7" t="s">
        <v>23</v>
      </c>
      <c r="AF94" s="36">
        <v>0</v>
      </c>
      <c r="AG94" s="36"/>
      <c r="AH94" s="36"/>
      <c r="AI94" s="36"/>
      <c r="AJ94" s="9" t="s">
        <v>31</v>
      </c>
    </row>
    <row r="95" spans="1:36">
      <c r="D95">
        <v>7350</v>
      </c>
    </row>
    <row r="96" spans="1:36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{84843952-8882-4276-81A5-49F23D26F645}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843952-8882-4276-81A5-49F23D26F64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5305A-2E7F-427F-97BE-09EDD0C5FF12}">
  <dimension ref="A1:AY101"/>
  <sheetViews>
    <sheetView zoomScaleNormal="100" workbookViewId="0">
      <selection activeCell="AK10" sqref="AK10"/>
    </sheetView>
  </sheetViews>
  <sheetFormatPr defaultRowHeight="15"/>
  <cols>
    <col min="1" max="1" width="11.85546875" bestFit="1" customWidth="1"/>
    <col min="2" max="2" width="9" customWidth="1"/>
    <col min="3" max="3" width="5.7109375" bestFit="1" customWidth="1"/>
    <col min="4" max="4" width="6.42578125" customWidth="1"/>
    <col min="5" max="5" width="5.7109375" bestFit="1" customWidth="1"/>
    <col min="6" max="6" width="6.5703125" customWidth="1"/>
    <col min="7" max="7" width="5" bestFit="1" customWidth="1"/>
    <col min="8" max="14" width="7.28515625" customWidth="1"/>
    <col min="15" max="15" width="7.140625" customWidth="1"/>
    <col min="16" max="31" width="7.28515625" customWidth="1"/>
    <col min="32" max="32" width="5.140625" bestFit="1" customWidth="1"/>
    <col min="33" max="35" width="5.140625" customWidth="1"/>
    <col min="36" max="36" width="5.140625" bestFit="1" customWidth="1"/>
  </cols>
  <sheetData>
    <row r="1" spans="1:51" ht="28.15" customHeight="1" thickBot="1">
      <c r="A1" s="117">
        <f ca="1">(_xlfn.DAYS(TODAY(),A4)+2)/((_xlfn.DAYS(A94,A4))+1)</f>
        <v>0.69230769230769229</v>
      </c>
      <c r="B1" s="118"/>
      <c r="C1" s="118"/>
      <c r="D1" s="118"/>
      <c r="E1" s="118"/>
      <c r="F1" s="118"/>
      <c r="G1" s="119"/>
      <c r="H1" s="120" t="s">
        <v>37</v>
      </c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2"/>
      <c r="AG1" s="42"/>
      <c r="AH1" s="42"/>
      <c r="AI1" s="42"/>
      <c r="AL1" s="116" t="s">
        <v>42</v>
      </c>
      <c r="AM1" s="116"/>
      <c r="AN1" s="116"/>
    </row>
    <row r="2" spans="1:51" ht="16.149999999999999" customHeight="1" thickBot="1">
      <c r="A2" t="s">
        <v>62</v>
      </c>
      <c r="B2" s="51"/>
      <c r="C2" s="124" t="s">
        <v>35</v>
      </c>
      <c r="D2" s="125"/>
      <c r="E2" s="126">
        <f>SUM(E4:E94)+SUM(G4:G94)</f>
        <v>61375</v>
      </c>
      <c r="F2" s="126"/>
      <c r="G2" s="127"/>
      <c r="H2" s="128" t="s">
        <v>48</v>
      </c>
      <c r="I2" s="129"/>
      <c r="J2" s="64" t="s">
        <v>46</v>
      </c>
      <c r="K2" s="64">
        <f>COUNTIF(H4:O94,"&lt;&gt;空")</f>
        <v>309</v>
      </c>
      <c r="L2" s="129" t="s">
        <v>45</v>
      </c>
      <c r="M2" s="129"/>
      <c r="N2" s="129"/>
      <c r="O2" s="130"/>
      <c r="P2" s="132" t="s">
        <v>49</v>
      </c>
      <c r="Q2" s="133"/>
      <c r="R2" s="65" t="s">
        <v>46</v>
      </c>
      <c r="S2" s="65">
        <f>COUNTIF(P4:W94,"&lt;&gt;空")</f>
        <v>302</v>
      </c>
      <c r="T2" s="133" t="s">
        <v>45</v>
      </c>
      <c r="U2" s="133"/>
      <c r="V2" s="133"/>
      <c r="W2" s="134"/>
      <c r="X2" s="131" t="s">
        <v>33</v>
      </c>
      <c r="Y2" s="111"/>
      <c r="Z2" s="58" t="s">
        <v>44</v>
      </c>
      <c r="AA2" s="63">
        <f>COUNTIF(X4:AE94,"&lt;&gt;空")</f>
        <v>412</v>
      </c>
      <c r="AB2" s="111" t="s">
        <v>45</v>
      </c>
      <c r="AC2" s="111"/>
      <c r="AD2" s="111"/>
      <c r="AE2" s="112"/>
      <c r="AF2" s="41">
        <f>SUM(AF4:AF94)</f>
        <v>46</v>
      </c>
      <c r="AG2" s="41">
        <f t="shared" ref="AG2:AI2" si="0">SUM(AG4:AG94)</f>
        <v>14</v>
      </c>
      <c r="AH2" s="41">
        <f t="shared" si="0"/>
        <v>24</v>
      </c>
      <c r="AI2" s="41">
        <f t="shared" si="0"/>
        <v>8</v>
      </c>
      <c r="AJ2" s="113" t="s">
        <v>29</v>
      </c>
      <c r="AL2" s="123"/>
      <c r="AM2" s="123"/>
      <c r="AN2" s="123"/>
      <c r="AV2" s="10"/>
      <c r="AW2" s="11" t="s">
        <v>32</v>
      </c>
    </row>
    <row r="3" spans="1:51" ht="60.75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37">
        <v>1</v>
      </c>
      <c r="Q3" s="38">
        <v>2</v>
      </c>
      <c r="R3" s="38">
        <v>3</v>
      </c>
      <c r="S3" s="38">
        <v>4</v>
      </c>
      <c r="T3" s="38">
        <v>5</v>
      </c>
      <c r="U3" s="38">
        <v>6</v>
      </c>
      <c r="V3" s="38">
        <v>7</v>
      </c>
      <c r="W3" s="38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114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.75" thickBot="1">
      <c r="A4" s="1">
        <v>44456</v>
      </c>
      <c r="B4" s="55">
        <v>800</v>
      </c>
      <c r="C4" s="55" cm="1">
        <f t="array" ref="C4">(SUM(VLOOKUP(H4:AE4,$AL$4:$AN$44,2,FALSE))+AF4*10)*IF(AJ4="是",$AW$4,$AW$3)</f>
        <v>750</v>
      </c>
      <c r="D4" s="57">
        <f>SUM($B$4:B4)-SUM($C$4:C4)</f>
        <v>50</v>
      </c>
      <c r="E4" s="55" cm="1">
        <f t="array" ref="E4">SUM(VLOOKUP(H4:AE4,$AL$4:$AN$44,3,FALSE))</f>
        <v>175</v>
      </c>
      <c r="F4" s="55">
        <f>SUM($E$4:E4)+SUM($G$4:G4)</f>
        <v>175</v>
      </c>
      <c r="G4" s="55">
        <v>0</v>
      </c>
      <c r="H4" s="20" t="s">
        <v>16</v>
      </c>
      <c r="I4" s="20" t="s">
        <v>16</v>
      </c>
      <c r="J4" s="20" t="s">
        <v>16</v>
      </c>
      <c r="K4" s="20" t="s">
        <v>16</v>
      </c>
      <c r="L4" s="20" t="s">
        <v>16</v>
      </c>
      <c r="M4" t="s">
        <v>23</v>
      </c>
      <c r="N4" s="7" t="s">
        <v>23</v>
      </c>
      <c r="O4" s="7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s="7" t="s">
        <v>23</v>
      </c>
      <c r="W4" s="7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s="7" t="s">
        <v>23</v>
      </c>
      <c r="AE4" s="7" t="s">
        <v>23</v>
      </c>
      <c r="AF4" s="36">
        <v>0</v>
      </c>
      <c r="AG4" s="36"/>
      <c r="AH4" s="36"/>
      <c r="AI4" s="36"/>
      <c r="AJ4" s="8" t="s">
        <v>30</v>
      </c>
      <c r="AL4" s="20" t="s">
        <v>16</v>
      </c>
      <c r="AM4" s="19">
        <v>150</v>
      </c>
      <c r="AN4" s="19">
        <v>35</v>
      </c>
      <c r="AO4" s="19">
        <f t="shared" ref="AO4:AO26" si="1">COUNTIF($H$4:$O$94,AL4)</f>
        <v>14</v>
      </c>
      <c r="AP4" s="19">
        <f>COUNTIF($P$4:$W$94,AL4)</f>
        <v>0</v>
      </c>
      <c r="AQ4" s="19">
        <f>COUNTIF($X$4:$AE$94,AL4)</f>
        <v>12</v>
      </c>
      <c r="AR4" s="19">
        <f>AO4+AP4+AQ4</f>
        <v>26</v>
      </c>
      <c r="AS4" s="50">
        <f>AO4*$AN4</f>
        <v>490</v>
      </c>
      <c r="AT4" s="50">
        <f t="shared" ref="AT4:AU19" si="2">AP4*$AN4</f>
        <v>0</v>
      </c>
      <c r="AU4" s="50">
        <f t="shared" si="2"/>
        <v>420</v>
      </c>
      <c r="AV4" s="45" t="s">
        <v>26</v>
      </c>
      <c r="AW4" s="15">
        <v>0.8</v>
      </c>
      <c r="AY4">
        <f>AM4*0.8</f>
        <v>120</v>
      </c>
    </row>
    <row r="5" spans="1:51">
      <c r="A5" s="1">
        <v>44457</v>
      </c>
      <c r="B5" s="55">
        <v>1600</v>
      </c>
      <c r="C5" s="55" cm="1">
        <f t="array" ref="C5">(SUM(VLOOKUP(H5:AE5,$AL$4:$AN$44,2,FALSE))+AF5*10)*IF(AJ5="是",$AW$4,$AW$3)</f>
        <v>900</v>
      </c>
      <c r="D5" s="57">
        <f>SUM($B$4:B5)-SUM($C$4:C5)</f>
        <v>750</v>
      </c>
      <c r="E5" s="55" cm="1">
        <f t="array" ref="E5">SUM(VLOOKUP(H5:AE5,$AL$4:$AN$44,3,FALSE))</f>
        <v>210</v>
      </c>
      <c r="F5" s="55">
        <f>SUM($E$4:E5)+SUM($G$4:G5)</f>
        <v>885</v>
      </c>
      <c r="G5" s="55">
        <v>500</v>
      </c>
      <c r="H5" s="20" t="s">
        <v>16</v>
      </c>
      <c r="I5" s="20" t="s">
        <v>16</v>
      </c>
      <c r="J5" s="20" t="s">
        <v>16</v>
      </c>
      <c r="K5" s="20" t="s">
        <v>16</v>
      </c>
      <c r="L5" s="20" t="s">
        <v>16</v>
      </c>
      <c r="M5" s="20" t="s">
        <v>16</v>
      </c>
      <c r="N5" s="7" t="s">
        <v>23</v>
      </c>
      <c r="O5" s="7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s="7" t="s">
        <v>23</v>
      </c>
      <c r="W5" s="7" t="s">
        <v>23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s="7" t="s">
        <v>23</v>
      </c>
      <c r="AE5" s="7" t="s">
        <v>23</v>
      </c>
      <c r="AF5" s="36">
        <v>0</v>
      </c>
      <c r="AG5" s="36"/>
      <c r="AH5" s="36"/>
      <c r="AI5" s="36"/>
      <c r="AJ5" s="8" t="s">
        <v>30</v>
      </c>
      <c r="AL5" s="21" t="s">
        <v>17</v>
      </c>
      <c r="AM5" s="19">
        <v>160</v>
      </c>
      <c r="AN5" s="19">
        <v>40</v>
      </c>
      <c r="AO5" s="19">
        <f t="shared" si="1"/>
        <v>16</v>
      </c>
      <c r="AP5" s="19">
        <f t="shared" ref="AP5:AP26" si="3">COUNTIF($P$4:$W$94,AL5)</f>
        <v>1</v>
      </c>
      <c r="AQ5" s="19">
        <f t="shared" ref="AQ5:AQ26" si="4">COUNTIF($X$4:$AE$94,AL5)</f>
        <v>9</v>
      </c>
      <c r="AR5" s="19">
        <f t="shared" ref="AR5:AR26" si="5">AO5+AP5+AQ5</f>
        <v>26</v>
      </c>
      <c r="AS5" s="50">
        <f t="shared" ref="AS5:AU28" si="6">AO5*$AN5</f>
        <v>640</v>
      </c>
      <c r="AT5" s="50">
        <f t="shared" si="2"/>
        <v>40</v>
      </c>
      <c r="AU5" s="50">
        <f t="shared" si="2"/>
        <v>360</v>
      </c>
      <c r="AV5" s="115" t="s">
        <v>34</v>
      </c>
      <c r="AW5" s="115"/>
      <c r="AY5">
        <f t="shared" ref="AY5:AY28" si="7">AM5*0.8</f>
        <v>128</v>
      </c>
    </row>
    <row r="6" spans="1:51">
      <c r="A6" s="1">
        <v>44458</v>
      </c>
      <c r="B6" s="55">
        <v>1600</v>
      </c>
      <c r="C6" s="55" cm="1">
        <f t="array" ref="C6">(SUM(VLOOKUP(H6:AE6,$AL$4:$AN$44,2,FALSE))+AF6*10)*IF(AJ6="是",$AW$4,$AW$3)</f>
        <v>980</v>
      </c>
      <c r="D6" s="57">
        <f>SUM($B$4:B6)-SUM($C$4:C6)</f>
        <v>1370</v>
      </c>
      <c r="E6" s="55" cm="1">
        <f t="array" ref="E6">SUM(VLOOKUP(H6:AE6,$AL$4:$AN$44,3,FALSE))</f>
        <v>225</v>
      </c>
      <c r="F6" s="55">
        <f>SUM($E$4:E6)+SUM($G$4:G6)</f>
        <v>1110</v>
      </c>
      <c r="G6" s="55">
        <v>0</v>
      </c>
      <c r="H6" s="20" t="s">
        <v>16</v>
      </c>
      <c r="I6" s="20" t="s">
        <v>16</v>
      </c>
      <c r="J6" s="66" t="s">
        <v>16</v>
      </c>
      <c r="K6" s="67" t="s">
        <v>17</v>
      </c>
      <c r="L6" s="21" t="s">
        <v>17</v>
      </c>
      <c r="M6" s="21" t="s">
        <v>17</v>
      </c>
      <c r="N6" s="7" t="s">
        <v>23</v>
      </c>
      <c r="O6" s="7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s="7" t="s">
        <v>23</v>
      </c>
      <c r="W6" s="7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23</v>
      </c>
      <c r="AD6" s="7" t="s">
        <v>23</v>
      </c>
      <c r="AE6" s="7" t="s">
        <v>23</v>
      </c>
      <c r="AF6" s="36">
        <v>5</v>
      </c>
      <c r="AG6" s="36">
        <v>5</v>
      </c>
      <c r="AH6" s="36"/>
      <c r="AI6" s="36"/>
      <c r="AJ6" s="8" t="s">
        <v>30</v>
      </c>
      <c r="AL6" s="22" t="s">
        <v>18</v>
      </c>
      <c r="AM6" s="19">
        <v>170</v>
      </c>
      <c r="AN6" s="19">
        <v>45</v>
      </c>
      <c r="AO6" s="19">
        <f t="shared" si="1"/>
        <v>136</v>
      </c>
      <c r="AP6" s="19">
        <f t="shared" si="3"/>
        <v>44</v>
      </c>
      <c r="AQ6" s="19">
        <f t="shared" si="4"/>
        <v>10</v>
      </c>
      <c r="AR6" s="19">
        <f t="shared" si="5"/>
        <v>190</v>
      </c>
      <c r="AS6" s="50">
        <f t="shared" si="6"/>
        <v>6120</v>
      </c>
      <c r="AT6" s="50">
        <f t="shared" si="2"/>
        <v>1980</v>
      </c>
      <c r="AU6" s="50">
        <f t="shared" si="2"/>
        <v>450</v>
      </c>
      <c r="AV6" s="116"/>
      <c r="AW6" s="116"/>
      <c r="AY6">
        <f t="shared" si="7"/>
        <v>136</v>
      </c>
    </row>
    <row r="7" spans="1:51">
      <c r="A7" s="1">
        <v>44459</v>
      </c>
      <c r="B7" s="56">
        <v>1600</v>
      </c>
      <c r="C7" s="55" cm="1">
        <f t="array" ref="C7">(SUM(VLOOKUP(H7:AE7,$AL$4:$AN$44,2,FALSE))+AF7*10)*IF(AJ7="是",$AW$4,$AW$3)</f>
        <v>990</v>
      </c>
      <c r="D7" s="18">
        <f>SUM($B$4:B7)-SUM($C$4:C7)</f>
        <v>1980</v>
      </c>
      <c r="E7" s="55" cm="1">
        <f t="array" ref="E7">SUM(VLOOKUP(H7:AE7,$AL$4:$AN$44,3,FALSE))</f>
        <v>260</v>
      </c>
      <c r="F7" s="55">
        <f>SUM($E$4:E7)+SUM($G$4:G7)</f>
        <v>1570</v>
      </c>
      <c r="G7" s="56">
        <v>200</v>
      </c>
      <c r="H7" s="21" t="s">
        <v>6</v>
      </c>
      <c r="I7" s="21" t="s">
        <v>17</v>
      </c>
      <c r="J7" s="22" t="s">
        <v>18</v>
      </c>
      <c r="K7" s="22" t="s">
        <v>18</v>
      </c>
      <c r="L7" s="22" t="s">
        <v>18</v>
      </c>
      <c r="M7" s="22" t="s">
        <v>18</v>
      </c>
      <c r="N7" s="7" t="s">
        <v>23</v>
      </c>
      <c r="O7" s="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s="7" t="s">
        <v>23</v>
      </c>
      <c r="W7" s="7" t="s">
        <v>23</v>
      </c>
      <c r="X7" t="s">
        <v>23</v>
      </c>
      <c r="Y7" t="s">
        <v>23</v>
      </c>
      <c r="Z7" t="s">
        <v>23</v>
      </c>
      <c r="AA7" t="s">
        <v>23</v>
      </c>
      <c r="AB7" t="s">
        <v>23</v>
      </c>
      <c r="AC7" t="s">
        <v>23</v>
      </c>
      <c r="AD7" s="7" t="s">
        <v>23</v>
      </c>
      <c r="AE7" s="7" t="s">
        <v>23</v>
      </c>
      <c r="AF7" s="36">
        <v>0</v>
      </c>
      <c r="AG7" s="36"/>
      <c r="AH7" s="36"/>
      <c r="AI7" s="36"/>
      <c r="AJ7" s="8" t="s">
        <v>30</v>
      </c>
      <c r="AL7" s="23" t="s">
        <v>19</v>
      </c>
      <c r="AM7" s="19">
        <v>180</v>
      </c>
      <c r="AN7" s="19">
        <v>50</v>
      </c>
      <c r="AO7" s="19">
        <f t="shared" si="1"/>
        <v>111</v>
      </c>
      <c r="AP7" s="19">
        <f t="shared" si="3"/>
        <v>45</v>
      </c>
      <c r="AQ7" s="19">
        <f t="shared" si="4"/>
        <v>113</v>
      </c>
      <c r="AR7" s="71">
        <f t="shared" si="5"/>
        <v>269</v>
      </c>
      <c r="AS7" s="50">
        <f t="shared" si="6"/>
        <v>5550</v>
      </c>
      <c r="AT7" s="50">
        <f t="shared" si="2"/>
        <v>2250</v>
      </c>
      <c r="AU7" s="50">
        <f t="shared" si="2"/>
        <v>5650</v>
      </c>
      <c r="AV7" s="116"/>
      <c r="AW7" s="116"/>
      <c r="AY7">
        <f t="shared" si="7"/>
        <v>144</v>
      </c>
    </row>
    <row r="8" spans="1:51">
      <c r="A8" s="1">
        <v>44460</v>
      </c>
      <c r="B8" s="56">
        <v>1600</v>
      </c>
      <c r="C8" s="55" cm="1">
        <f t="array" ref="C8">(SUM(VLOOKUP(H8:AE8,$AL$4:$AN$44,2,FALSE))+AF8*10)*IF(AJ8="是",$AW$4,$AW$3)</f>
        <v>1030</v>
      </c>
      <c r="D8" s="18">
        <f>SUM($B$4:B8)-SUM($C$4:C8)</f>
        <v>2550</v>
      </c>
      <c r="E8" s="55" cm="1">
        <f t="array" ref="E8">SUM(VLOOKUP(H8:AE8,$AL$4:$AN$44,3,FALSE))</f>
        <v>270</v>
      </c>
      <c r="F8" s="55">
        <f>SUM($E$4:E8)+SUM($G$4:G8)</f>
        <v>1940</v>
      </c>
      <c r="G8" s="56">
        <v>100</v>
      </c>
      <c r="H8" s="30" t="s">
        <v>72</v>
      </c>
      <c r="I8" s="22" t="s">
        <v>18</v>
      </c>
      <c r="J8" s="22" t="s">
        <v>18</v>
      </c>
      <c r="K8" s="22" t="s">
        <v>18</v>
      </c>
      <c r="L8" s="22" t="s">
        <v>18</v>
      </c>
      <c r="M8" s="22" t="s">
        <v>18</v>
      </c>
      <c r="N8" s="7" t="s">
        <v>23</v>
      </c>
      <c r="O8" s="7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s="7" t="s">
        <v>23</v>
      </c>
      <c r="W8" s="7" t="s">
        <v>23</v>
      </c>
      <c r="X8" t="s">
        <v>23</v>
      </c>
      <c r="Y8" t="s">
        <v>23</v>
      </c>
      <c r="Z8" t="s">
        <v>23</v>
      </c>
      <c r="AA8" t="s">
        <v>23</v>
      </c>
      <c r="AB8" t="s">
        <v>23</v>
      </c>
      <c r="AC8" t="s">
        <v>23</v>
      </c>
      <c r="AD8" s="7" t="s">
        <v>23</v>
      </c>
      <c r="AE8" s="7" t="s">
        <v>23</v>
      </c>
      <c r="AF8" s="36">
        <v>1</v>
      </c>
      <c r="AG8" s="36">
        <v>1</v>
      </c>
      <c r="AH8" s="36"/>
      <c r="AI8" s="36"/>
      <c r="AJ8" s="8" t="s">
        <v>30</v>
      </c>
      <c r="AL8" s="24" t="s">
        <v>20</v>
      </c>
      <c r="AM8" s="19">
        <v>190</v>
      </c>
      <c r="AN8" s="19">
        <v>55</v>
      </c>
      <c r="AO8" s="19">
        <f t="shared" si="1"/>
        <v>0</v>
      </c>
      <c r="AP8" s="19">
        <f t="shared" si="3"/>
        <v>112</v>
      </c>
      <c r="AQ8" s="19">
        <f t="shared" si="4"/>
        <v>124</v>
      </c>
      <c r="AR8" s="71">
        <f t="shared" si="5"/>
        <v>236</v>
      </c>
      <c r="AS8" s="50">
        <f t="shared" si="6"/>
        <v>0</v>
      </c>
      <c r="AT8" s="50">
        <f t="shared" si="2"/>
        <v>6160</v>
      </c>
      <c r="AU8" s="50">
        <f t="shared" si="2"/>
        <v>6820</v>
      </c>
      <c r="AV8" s="116"/>
      <c r="AW8" s="116"/>
      <c r="AY8">
        <f t="shared" si="7"/>
        <v>152</v>
      </c>
    </row>
    <row r="9" spans="1:51">
      <c r="A9" s="1">
        <v>44461</v>
      </c>
      <c r="B9" s="56">
        <v>1600</v>
      </c>
      <c r="C9" s="55" cm="1">
        <f t="array" ref="C9">(SUM(VLOOKUP(H9:AE9,$AL$4:$AN$44,2,FALSE))+AF9*10)*IF(AJ9="是",$AW$4,$AW$3)</f>
        <v>990</v>
      </c>
      <c r="D9" s="18">
        <f>SUM($B$4:B9)-SUM($C$4:C9)</f>
        <v>3160</v>
      </c>
      <c r="E9" s="55" cm="1">
        <f t="array" ref="E9">SUM(VLOOKUP(H9:AE9,$AL$4:$AN$44,3,FALSE))</f>
        <v>260</v>
      </c>
      <c r="F9" s="55">
        <f>SUM($E$4:E9)+SUM($G$4:G9)</f>
        <v>2400</v>
      </c>
      <c r="G9" s="56">
        <v>200</v>
      </c>
      <c r="H9" s="22" t="s">
        <v>18</v>
      </c>
      <c r="I9" s="22" t="s">
        <v>18</v>
      </c>
      <c r="J9" s="22" t="s">
        <v>18</v>
      </c>
      <c r="K9" s="22" t="s">
        <v>18</v>
      </c>
      <c r="L9" s="21" t="s">
        <v>6</v>
      </c>
      <c r="M9" s="21" t="s">
        <v>17</v>
      </c>
      <c r="N9" s="7" t="s">
        <v>23</v>
      </c>
      <c r="O9" s="7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s="7" t="s">
        <v>23</v>
      </c>
      <c r="W9" s="7" t="s">
        <v>23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23</v>
      </c>
      <c r="AD9" s="7" t="s">
        <v>23</v>
      </c>
      <c r="AE9" s="7" t="s">
        <v>23</v>
      </c>
      <c r="AF9" s="36">
        <v>0</v>
      </c>
      <c r="AG9" s="36"/>
      <c r="AH9" s="36"/>
      <c r="AI9" s="36"/>
      <c r="AJ9" s="8" t="s">
        <v>30</v>
      </c>
      <c r="AL9" s="25" t="s">
        <v>21</v>
      </c>
      <c r="AM9" s="19">
        <v>200</v>
      </c>
      <c r="AN9" s="19">
        <v>60</v>
      </c>
      <c r="AO9" s="19">
        <f t="shared" si="1"/>
        <v>0</v>
      </c>
      <c r="AP9" s="19">
        <f t="shared" si="3"/>
        <v>76</v>
      </c>
      <c r="AQ9" s="19">
        <f t="shared" si="4"/>
        <v>118</v>
      </c>
      <c r="AR9" s="71">
        <f t="shared" si="5"/>
        <v>194</v>
      </c>
      <c r="AS9" s="50">
        <f t="shared" si="6"/>
        <v>0</v>
      </c>
      <c r="AT9" s="50">
        <f t="shared" si="2"/>
        <v>4560</v>
      </c>
      <c r="AU9" s="50">
        <f t="shared" si="2"/>
        <v>7080</v>
      </c>
      <c r="AY9">
        <f t="shared" si="7"/>
        <v>160</v>
      </c>
    </row>
    <row r="10" spans="1:51">
      <c r="A10" s="1">
        <v>44462</v>
      </c>
      <c r="B10" s="56">
        <v>1600</v>
      </c>
      <c r="C10" s="55" cm="1">
        <f t="array" ref="C10">(SUM(VLOOKUP(H10:AE10,$AL$4:$AN$44,2,FALSE))+AF10*10)*IF(AJ10="是",$AW$4,$AW$3)</f>
        <v>940</v>
      </c>
      <c r="D10" s="18">
        <f>SUM($B$4:B10)-SUM($C$4:C10)</f>
        <v>3820</v>
      </c>
      <c r="E10" s="55" cm="1">
        <f t="array" ref="E10">SUM(VLOOKUP(H10:AE10,$AL$4:$AN$44,3,FALSE))</f>
        <v>255</v>
      </c>
      <c r="F10" s="55">
        <f>SUM($E$4:E10)+SUM($G$4:G10)</f>
        <v>2655</v>
      </c>
      <c r="G10" s="56">
        <v>0</v>
      </c>
      <c r="H10" s="22" t="s">
        <v>18</v>
      </c>
      <c r="I10" s="22" t="s">
        <v>18</v>
      </c>
      <c r="J10" s="28" t="s">
        <v>12</v>
      </c>
      <c r="K10" s="22" t="s">
        <v>18</v>
      </c>
      <c r="L10" s="30" t="s">
        <v>72</v>
      </c>
      <c r="M10" s="22" t="s">
        <v>18</v>
      </c>
      <c r="N10" s="7" t="s">
        <v>23</v>
      </c>
      <c r="O10" s="7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s="7" t="s">
        <v>23</v>
      </c>
      <c r="W10" s="7" t="s">
        <v>23</v>
      </c>
      <c r="X10" t="s">
        <v>23</v>
      </c>
      <c r="Y10" t="s">
        <v>23</v>
      </c>
      <c r="Z10" t="s">
        <v>23</v>
      </c>
      <c r="AA10" t="s">
        <v>23</v>
      </c>
      <c r="AB10" t="s">
        <v>23</v>
      </c>
      <c r="AC10" t="s">
        <v>23</v>
      </c>
      <c r="AD10" s="7" t="s">
        <v>23</v>
      </c>
      <c r="AE10" s="7" t="s">
        <v>23</v>
      </c>
      <c r="AF10" s="36">
        <v>4</v>
      </c>
      <c r="AG10" s="36">
        <v>4</v>
      </c>
      <c r="AH10" s="36"/>
      <c r="AI10" s="36"/>
      <c r="AJ10" s="8" t="s">
        <v>30</v>
      </c>
      <c r="AL10" s="20" t="s">
        <v>5</v>
      </c>
      <c r="AM10" s="19">
        <v>150</v>
      </c>
      <c r="AN10" s="19">
        <v>35</v>
      </c>
      <c r="AO10" s="19">
        <f t="shared" si="1"/>
        <v>0</v>
      </c>
      <c r="AP10" s="19">
        <f t="shared" si="3"/>
        <v>0</v>
      </c>
      <c r="AQ10" s="19">
        <f t="shared" si="4"/>
        <v>0</v>
      </c>
      <c r="AR10" s="19">
        <f t="shared" si="5"/>
        <v>0</v>
      </c>
      <c r="AS10" s="50">
        <f t="shared" si="6"/>
        <v>0</v>
      </c>
      <c r="AT10" s="50">
        <f t="shared" si="2"/>
        <v>0</v>
      </c>
      <c r="AU10" s="50">
        <f t="shared" si="2"/>
        <v>0</v>
      </c>
      <c r="AY10">
        <f t="shared" si="7"/>
        <v>120</v>
      </c>
    </row>
    <row r="11" spans="1:51">
      <c r="A11" s="1">
        <v>44463</v>
      </c>
      <c r="B11" s="56">
        <v>1600</v>
      </c>
      <c r="C11" s="55" cm="1">
        <f t="array" ref="C11">(SUM(VLOOKUP(H11:AE11,$AL$4:$AN$44,2,FALSE))+AF11*10)*IF(AJ11="是",$AW$4,$AW$3)</f>
        <v>1130</v>
      </c>
      <c r="D11" s="18">
        <f>SUM($B$4:B11)-SUM($C$4:C11)</f>
        <v>4290</v>
      </c>
      <c r="E11" s="55" cm="1">
        <f t="array" ref="E11">SUM(VLOOKUP(H11:AE11,$AL$4:$AN$44,3,FALSE))</f>
        <v>470</v>
      </c>
      <c r="F11" s="55">
        <f>SUM($E$4:E11)+SUM($G$4:G11)</f>
        <v>3125</v>
      </c>
      <c r="G11" s="56">
        <v>0</v>
      </c>
      <c r="H11" s="22" t="s">
        <v>18</v>
      </c>
      <c r="I11" s="29" t="s">
        <v>13</v>
      </c>
      <c r="J11" s="22" t="s">
        <v>18</v>
      </c>
      <c r="K11" s="30" t="s">
        <v>71</v>
      </c>
      <c r="L11" s="22" t="s">
        <v>18</v>
      </c>
      <c r="M11" s="22" t="s">
        <v>18</v>
      </c>
      <c r="N11" s="22" t="s">
        <v>18</v>
      </c>
      <c r="O11" s="22" t="s">
        <v>18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s="7" t="s">
        <v>23</v>
      </c>
      <c r="W11" s="7" t="s">
        <v>23</v>
      </c>
      <c r="X11" t="s">
        <v>23</v>
      </c>
      <c r="Y11" t="s">
        <v>23</v>
      </c>
      <c r="Z11" t="s">
        <v>23</v>
      </c>
      <c r="AA11" t="s">
        <v>23</v>
      </c>
      <c r="AB11" t="s">
        <v>23</v>
      </c>
      <c r="AC11" t="s">
        <v>23</v>
      </c>
      <c r="AD11" s="7" t="s">
        <v>23</v>
      </c>
      <c r="AE11" s="7" t="s">
        <v>23</v>
      </c>
      <c r="AF11" s="36">
        <v>1</v>
      </c>
      <c r="AG11" s="36">
        <v>1</v>
      </c>
      <c r="AH11" s="36"/>
      <c r="AI11" s="36"/>
      <c r="AJ11" s="8" t="s">
        <v>30</v>
      </c>
      <c r="AL11" s="21" t="s">
        <v>6</v>
      </c>
      <c r="AM11" s="19">
        <v>150</v>
      </c>
      <c r="AN11" s="19">
        <v>40</v>
      </c>
      <c r="AO11" s="19">
        <f t="shared" si="1"/>
        <v>5</v>
      </c>
      <c r="AP11" s="19">
        <f t="shared" si="3"/>
        <v>0</v>
      </c>
      <c r="AQ11" s="19">
        <f t="shared" si="4"/>
        <v>1</v>
      </c>
      <c r="AR11" s="19">
        <f t="shared" si="5"/>
        <v>6</v>
      </c>
      <c r="AS11" s="50">
        <f t="shared" si="6"/>
        <v>200</v>
      </c>
      <c r="AT11" s="50">
        <f t="shared" si="2"/>
        <v>0</v>
      </c>
      <c r="AU11" s="50">
        <f t="shared" si="2"/>
        <v>40</v>
      </c>
      <c r="AY11">
        <f t="shared" si="7"/>
        <v>120</v>
      </c>
    </row>
    <row r="12" spans="1:51">
      <c r="A12" s="1">
        <v>44464</v>
      </c>
      <c r="B12" s="56">
        <v>1600</v>
      </c>
      <c r="C12" s="55" cm="1">
        <f t="array" ref="C12">(SUM(VLOOKUP(H12:AE12,$AL$4:$AN$44,2,FALSE))+AF12*10)*IF(AJ12="是",$AW$4,$AW$3)</f>
        <v>1020</v>
      </c>
      <c r="D12" s="18">
        <f>SUM($B$4:B12)-SUM($C$4:C12)</f>
        <v>4870</v>
      </c>
      <c r="E12" s="55" cm="1">
        <f t="array" ref="E12">SUM(VLOOKUP(H12:AE12,$AL$4:$AN$44,3,FALSE))</f>
        <v>270</v>
      </c>
      <c r="F12" s="55">
        <f>SUM($E$4:E12)+SUM($G$4:G12)</f>
        <v>3395</v>
      </c>
      <c r="G12" s="56">
        <v>0</v>
      </c>
      <c r="H12" s="22" t="s">
        <v>18</v>
      </c>
      <c r="I12" s="22" t="s">
        <v>18</v>
      </c>
      <c r="J12" s="22" t="s">
        <v>18</v>
      </c>
      <c r="K12" s="22" t="s">
        <v>18</v>
      </c>
      <c r="L12" s="30" t="s">
        <v>72</v>
      </c>
      <c r="M12" s="22" t="s">
        <v>18</v>
      </c>
      <c r="N12" s="7" t="s">
        <v>23</v>
      </c>
      <c r="O12" s="7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s="7" t="s">
        <v>23</v>
      </c>
      <c r="W12" s="7" t="s">
        <v>23</v>
      </c>
      <c r="X12" t="s">
        <v>23</v>
      </c>
      <c r="Y12" t="s">
        <v>23</v>
      </c>
      <c r="Z12" t="s">
        <v>23</v>
      </c>
      <c r="AA12" t="s">
        <v>23</v>
      </c>
      <c r="AB12" t="s">
        <v>23</v>
      </c>
      <c r="AC12" t="s">
        <v>23</v>
      </c>
      <c r="AD12" s="7" t="s">
        <v>23</v>
      </c>
      <c r="AE12" s="7" t="s">
        <v>23</v>
      </c>
      <c r="AF12" s="36">
        <v>0</v>
      </c>
      <c r="AG12" s="36"/>
      <c r="AH12" s="36"/>
      <c r="AI12" s="36"/>
      <c r="AJ12" s="8" t="s">
        <v>30</v>
      </c>
      <c r="AL12" s="22" t="s">
        <v>7</v>
      </c>
      <c r="AM12" s="19">
        <v>150</v>
      </c>
      <c r="AN12" s="19">
        <v>45</v>
      </c>
      <c r="AO12" s="19">
        <f t="shared" si="1"/>
        <v>2</v>
      </c>
      <c r="AP12" s="19">
        <f t="shared" si="3"/>
        <v>2</v>
      </c>
      <c r="AQ12" s="19">
        <f t="shared" si="4"/>
        <v>1</v>
      </c>
      <c r="AR12" s="19">
        <f t="shared" si="5"/>
        <v>5</v>
      </c>
      <c r="AS12" s="50">
        <f t="shared" si="6"/>
        <v>90</v>
      </c>
      <c r="AT12" s="50">
        <f t="shared" si="2"/>
        <v>90</v>
      </c>
      <c r="AU12" s="50">
        <f t="shared" si="2"/>
        <v>45</v>
      </c>
      <c r="AY12">
        <f t="shared" si="7"/>
        <v>120</v>
      </c>
    </row>
    <row r="13" spans="1:51">
      <c r="A13" s="1">
        <v>44465</v>
      </c>
      <c r="B13" s="56">
        <v>1600</v>
      </c>
      <c r="C13" s="55" cm="1">
        <f t="array" ref="C13">(SUM(VLOOKUP(H13:AE13,$AL$4:$AN$44,2,FALSE))+AF13*10)*IF(AJ13="是",$AW$4,$AW$3)</f>
        <v>1100</v>
      </c>
      <c r="D13" s="18">
        <f>SUM($B$4:B13)-SUM($C$4:C13)</f>
        <v>5370</v>
      </c>
      <c r="E13" s="55" cm="1">
        <f t="array" ref="E13">SUM(VLOOKUP(H13:AE13,$AL$4:$AN$44,3,FALSE))</f>
        <v>425</v>
      </c>
      <c r="F13" s="55">
        <f>SUM($E$4:E13)+SUM($G$4:G13)</f>
        <v>3820</v>
      </c>
      <c r="G13" s="56">
        <v>0</v>
      </c>
      <c r="H13" s="22" t="s">
        <v>18</v>
      </c>
      <c r="I13" s="22" t="s">
        <v>18</v>
      </c>
      <c r="J13" s="22" t="s">
        <v>18</v>
      </c>
      <c r="K13" s="30" t="s">
        <v>71</v>
      </c>
      <c r="L13" s="22" t="s">
        <v>18</v>
      </c>
      <c r="M13" s="22" t="s">
        <v>18</v>
      </c>
      <c r="N13" s="7" t="s">
        <v>23</v>
      </c>
      <c r="O13" s="7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s="7" t="s">
        <v>23</v>
      </c>
      <c r="W13" s="7" t="s">
        <v>23</v>
      </c>
      <c r="X13" t="s">
        <v>23</v>
      </c>
      <c r="Y13" t="s">
        <v>23</v>
      </c>
      <c r="Z13" t="s">
        <v>23</v>
      </c>
      <c r="AA13" t="s">
        <v>23</v>
      </c>
      <c r="AB13" t="s">
        <v>23</v>
      </c>
      <c r="AC13" t="s">
        <v>23</v>
      </c>
      <c r="AD13" s="7" t="s">
        <v>23</v>
      </c>
      <c r="AE13" s="7" t="s">
        <v>23</v>
      </c>
      <c r="AF13" s="36">
        <v>0</v>
      </c>
      <c r="AG13" s="36"/>
      <c r="AH13" s="36"/>
      <c r="AI13" s="36"/>
      <c r="AJ13" s="8" t="s">
        <v>30</v>
      </c>
      <c r="AL13" s="23" t="s">
        <v>8</v>
      </c>
      <c r="AM13" s="19">
        <v>150</v>
      </c>
      <c r="AN13" s="19">
        <v>50</v>
      </c>
      <c r="AO13" s="19">
        <f t="shared" si="1"/>
        <v>1</v>
      </c>
      <c r="AP13" s="19">
        <f t="shared" si="3"/>
        <v>2</v>
      </c>
      <c r="AQ13" s="19">
        <f t="shared" si="4"/>
        <v>1</v>
      </c>
      <c r="AR13" s="19">
        <f t="shared" si="5"/>
        <v>4</v>
      </c>
      <c r="AS13" s="50">
        <f t="shared" si="6"/>
        <v>50</v>
      </c>
      <c r="AT13" s="50">
        <f t="shared" si="2"/>
        <v>100</v>
      </c>
      <c r="AU13" s="50">
        <f t="shared" si="2"/>
        <v>50</v>
      </c>
      <c r="AY13">
        <f t="shared" si="7"/>
        <v>120</v>
      </c>
    </row>
    <row r="14" spans="1:51">
      <c r="A14" s="1">
        <v>44466</v>
      </c>
      <c r="B14" s="55">
        <v>1600</v>
      </c>
      <c r="C14" s="55" cm="1">
        <f t="array" ref="C14">(SUM(VLOOKUP(H14:AE14,$AL$4:$AN$44,2,FALSE))+AF14*10)*IF(AJ14="是",$AW$4,$AW$3)</f>
        <v>900</v>
      </c>
      <c r="D14" s="57">
        <f>SUM($B$4:B14)-SUM($C$4:C14)</f>
        <v>6070</v>
      </c>
      <c r="E14" s="55" cm="1">
        <f t="array" ref="E14">SUM(VLOOKUP(H14:AE14,$AL$4:$AN$44,3,FALSE))</f>
        <v>255</v>
      </c>
      <c r="F14" s="55">
        <f>SUM($E$4:E14)+SUM($G$4:G14)</f>
        <v>4375</v>
      </c>
      <c r="G14" s="55">
        <v>300</v>
      </c>
      <c r="H14" s="28" t="s">
        <v>12</v>
      </c>
      <c r="I14" s="22" t="s">
        <v>18</v>
      </c>
      <c r="J14" s="22" t="s">
        <v>18</v>
      </c>
      <c r="K14" s="22" t="s">
        <v>18</v>
      </c>
      <c r="L14" s="22" t="s">
        <v>18</v>
      </c>
      <c r="M14" s="22" t="s">
        <v>18</v>
      </c>
      <c r="N14" s="7" t="s">
        <v>23</v>
      </c>
      <c r="O14" s="7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s="7" t="s">
        <v>23</v>
      </c>
      <c r="W14" s="7" t="s">
        <v>23</v>
      </c>
      <c r="X14" t="s">
        <v>23</v>
      </c>
      <c r="Y14" t="s">
        <v>23</v>
      </c>
      <c r="Z14" t="s">
        <v>23</v>
      </c>
      <c r="AA14" t="s">
        <v>23</v>
      </c>
      <c r="AB14" t="s">
        <v>23</v>
      </c>
      <c r="AC14" t="s">
        <v>23</v>
      </c>
      <c r="AD14" s="7" t="s">
        <v>23</v>
      </c>
      <c r="AE14" s="7" t="s">
        <v>23</v>
      </c>
      <c r="AF14" s="36">
        <v>0</v>
      </c>
      <c r="AG14" s="36"/>
      <c r="AH14" s="36"/>
      <c r="AI14" s="36"/>
      <c r="AJ14" s="8" t="s">
        <v>30</v>
      </c>
      <c r="AL14" s="24" t="s">
        <v>9</v>
      </c>
      <c r="AM14" s="19">
        <v>150</v>
      </c>
      <c r="AN14" s="19">
        <v>55</v>
      </c>
      <c r="AO14" s="19">
        <f t="shared" si="1"/>
        <v>0</v>
      </c>
      <c r="AP14" s="19">
        <f t="shared" si="3"/>
        <v>2</v>
      </c>
      <c r="AQ14" s="19">
        <f t="shared" si="4"/>
        <v>1</v>
      </c>
      <c r="AR14" s="19">
        <f t="shared" si="5"/>
        <v>3</v>
      </c>
      <c r="AS14" s="50">
        <f t="shared" si="6"/>
        <v>0</v>
      </c>
      <c r="AT14" s="50">
        <f t="shared" si="2"/>
        <v>110</v>
      </c>
      <c r="AU14" s="50">
        <f t="shared" si="2"/>
        <v>55</v>
      </c>
      <c r="AY14">
        <f t="shared" si="7"/>
        <v>120</v>
      </c>
    </row>
    <row r="15" spans="1:51">
      <c r="A15" s="1">
        <v>44467</v>
      </c>
      <c r="B15" s="55">
        <v>1600</v>
      </c>
      <c r="C15" s="55" cm="1">
        <f t="array" ref="C15">(SUM(VLOOKUP(H15:AE15,$AL$4:$AN$44,2,FALSE))+AF15*10)*IF(AJ15="是",$AW$4,$AW$3)</f>
        <v>1020</v>
      </c>
      <c r="D15" s="57">
        <f>SUM($B$4:B15)-SUM($C$4:C15)</f>
        <v>6650</v>
      </c>
      <c r="E15" s="55" cm="1">
        <f t="array" ref="E15">SUM(VLOOKUP(H15:AE15,$AL$4:$AN$44,3,FALSE))</f>
        <v>270</v>
      </c>
      <c r="F15" s="55">
        <f>SUM($E$4:E15)+SUM($G$4:G15)</f>
        <v>4645</v>
      </c>
      <c r="G15" s="55">
        <v>0</v>
      </c>
      <c r="H15" s="22" t="s">
        <v>18</v>
      </c>
      <c r="I15" s="22" t="s">
        <v>18</v>
      </c>
      <c r="J15" s="22" t="s">
        <v>18</v>
      </c>
      <c r="K15" s="22" t="s">
        <v>18</v>
      </c>
      <c r="L15" s="30" t="s">
        <v>72</v>
      </c>
      <c r="M15" s="22" t="s">
        <v>18</v>
      </c>
      <c r="N15" s="7" t="s">
        <v>23</v>
      </c>
      <c r="O15" s="7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s="7" t="s">
        <v>23</v>
      </c>
      <c r="W15" s="7" t="s">
        <v>23</v>
      </c>
      <c r="X15" t="s">
        <v>23</v>
      </c>
      <c r="Y15" t="s">
        <v>23</v>
      </c>
      <c r="Z15" t="s">
        <v>23</v>
      </c>
      <c r="AA15" t="s">
        <v>23</v>
      </c>
      <c r="AB15" t="s">
        <v>23</v>
      </c>
      <c r="AC15" t="s">
        <v>23</v>
      </c>
      <c r="AD15" s="7" t="s">
        <v>23</v>
      </c>
      <c r="AE15" s="7" t="s">
        <v>23</v>
      </c>
      <c r="AF15" s="36">
        <v>0</v>
      </c>
      <c r="AG15" s="36"/>
      <c r="AH15" s="36"/>
      <c r="AI15" s="36"/>
      <c r="AJ15" s="8" t="s">
        <v>30</v>
      </c>
      <c r="AL15" s="25" t="s">
        <v>10</v>
      </c>
      <c r="AM15" s="19">
        <v>150</v>
      </c>
      <c r="AN15" s="19">
        <v>60</v>
      </c>
      <c r="AO15" s="19">
        <f t="shared" si="1"/>
        <v>0</v>
      </c>
      <c r="AP15" s="19">
        <f t="shared" si="3"/>
        <v>0</v>
      </c>
      <c r="AQ15" s="19">
        <f t="shared" si="4"/>
        <v>1</v>
      </c>
      <c r="AR15" s="19">
        <f t="shared" si="5"/>
        <v>1</v>
      </c>
      <c r="AS15" s="50">
        <f t="shared" si="6"/>
        <v>0</v>
      </c>
      <c r="AT15" s="50">
        <f t="shared" si="2"/>
        <v>0</v>
      </c>
      <c r="AU15" s="50">
        <f t="shared" si="2"/>
        <v>60</v>
      </c>
      <c r="AY15">
        <f t="shared" si="7"/>
        <v>120</v>
      </c>
    </row>
    <row r="16" spans="1:51">
      <c r="A16" s="1">
        <v>44468</v>
      </c>
      <c r="B16" s="55">
        <v>1600</v>
      </c>
      <c r="C16" s="55" cm="1">
        <f t="array" ref="C16">(SUM(VLOOKUP(H16:AE16,$AL$4:$AN$44,2,FALSE))+AF16*10)*IF(AJ16="是",$AW$4,$AW$3)</f>
        <v>1080</v>
      </c>
      <c r="D16" s="57">
        <f>SUM($B$4:B16)-SUM($C$4:C16)</f>
        <v>7170</v>
      </c>
      <c r="E16" s="55" cm="1">
        <f t="array" ref="E16">SUM(VLOOKUP(H16:AE16,$AL$4:$AN$44,3,FALSE))</f>
        <v>425</v>
      </c>
      <c r="F16" s="55">
        <f>SUM($E$4:E16)+SUM($G$4:G16)</f>
        <v>5270</v>
      </c>
      <c r="G16" s="55">
        <v>200</v>
      </c>
      <c r="H16" s="22" t="s">
        <v>18</v>
      </c>
      <c r="I16" s="22" t="s">
        <v>18</v>
      </c>
      <c r="J16" s="22" t="s">
        <v>7</v>
      </c>
      <c r="K16" s="22" t="s">
        <v>18</v>
      </c>
      <c r="L16" s="22" t="s">
        <v>18</v>
      </c>
      <c r="M16" s="30" t="s">
        <v>71</v>
      </c>
      <c r="N16" s="7" t="s">
        <v>23</v>
      </c>
      <c r="O16" s="7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s="7" t="s">
        <v>23</v>
      </c>
      <c r="W16" s="7" t="s">
        <v>23</v>
      </c>
      <c r="X16" t="s">
        <v>23</v>
      </c>
      <c r="Y16" t="s">
        <v>23</v>
      </c>
      <c r="Z16" t="s">
        <v>23</v>
      </c>
      <c r="AA16" t="s">
        <v>23</v>
      </c>
      <c r="AB16" t="s">
        <v>23</v>
      </c>
      <c r="AC16" t="s">
        <v>23</v>
      </c>
      <c r="AD16" s="7" t="s">
        <v>23</v>
      </c>
      <c r="AE16" s="7" t="s">
        <v>23</v>
      </c>
      <c r="AF16" s="36">
        <v>0</v>
      </c>
      <c r="AG16" s="36"/>
      <c r="AH16" s="36"/>
      <c r="AI16" s="36"/>
      <c r="AJ16" s="8" t="s">
        <v>30</v>
      </c>
      <c r="AL16" s="26" t="s">
        <v>11</v>
      </c>
      <c r="AM16" s="27">
        <v>150</v>
      </c>
      <c r="AN16" s="19">
        <v>35</v>
      </c>
      <c r="AO16" s="19">
        <f t="shared" si="1"/>
        <v>0</v>
      </c>
      <c r="AP16" s="19">
        <f t="shared" si="3"/>
        <v>0</v>
      </c>
      <c r="AQ16" s="19">
        <f t="shared" si="4"/>
        <v>0</v>
      </c>
      <c r="AR16" s="19">
        <f t="shared" si="5"/>
        <v>0</v>
      </c>
      <c r="AS16" s="50">
        <f t="shared" si="6"/>
        <v>0</v>
      </c>
      <c r="AT16" s="50">
        <f t="shared" si="2"/>
        <v>0</v>
      </c>
      <c r="AU16" s="50">
        <f t="shared" si="2"/>
        <v>0</v>
      </c>
      <c r="AY16">
        <f t="shared" si="7"/>
        <v>120</v>
      </c>
    </row>
    <row r="17" spans="1:51">
      <c r="A17" s="1">
        <v>44469</v>
      </c>
      <c r="B17" s="55">
        <v>1600</v>
      </c>
      <c r="C17" s="55" cm="1">
        <f t="array" ref="C17">(SUM(VLOOKUP(H17:AE17,$AL$4:$AN$44,2,FALSE))+AF17*10)*IF(AJ17="是",$AW$4,$AW$3)</f>
        <v>1030</v>
      </c>
      <c r="D17" s="57">
        <f>SUM($B$4:B17)-SUM($C$4:C17)</f>
        <v>7740</v>
      </c>
      <c r="E17" s="55" cm="1">
        <f t="array" ref="E17">SUM(VLOOKUP(H17:AE17,$AL$4:$AN$44,3,FALSE))</f>
        <v>270</v>
      </c>
      <c r="F17" s="55">
        <f>SUM($E$4:E17)+SUM($G$4:G17)</f>
        <v>5540</v>
      </c>
      <c r="G17" s="55">
        <v>0</v>
      </c>
      <c r="H17" s="22" t="s">
        <v>18</v>
      </c>
      <c r="I17" s="22" t="s">
        <v>18</v>
      </c>
      <c r="J17" s="22" t="s">
        <v>18</v>
      </c>
      <c r="K17" s="22" t="s">
        <v>18</v>
      </c>
      <c r="L17" s="22" t="s">
        <v>18</v>
      </c>
      <c r="M17" s="22" t="s">
        <v>18</v>
      </c>
      <c r="N17" s="7" t="s">
        <v>23</v>
      </c>
      <c r="O17" s="7" t="s">
        <v>23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s="7" t="s">
        <v>23</v>
      </c>
      <c r="W17" s="7" t="s">
        <v>23</v>
      </c>
      <c r="X17" t="s">
        <v>23</v>
      </c>
      <c r="Y17" t="s">
        <v>23</v>
      </c>
      <c r="Z17" t="s">
        <v>23</v>
      </c>
      <c r="AA17" t="s">
        <v>23</v>
      </c>
      <c r="AB17" t="s">
        <v>23</v>
      </c>
      <c r="AC17" t="s">
        <v>23</v>
      </c>
      <c r="AD17" s="7" t="s">
        <v>23</v>
      </c>
      <c r="AE17" s="7" t="s">
        <v>23</v>
      </c>
      <c r="AF17" s="36">
        <v>1</v>
      </c>
      <c r="AG17" s="36">
        <v>1</v>
      </c>
      <c r="AH17" s="36"/>
      <c r="AI17" s="36"/>
      <c r="AJ17" s="8" t="s">
        <v>30</v>
      </c>
      <c r="AL17" s="28" t="s">
        <v>12</v>
      </c>
      <c r="AM17" s="19">
        <v>50</v>
      </c>
      <c r="AN17" s="19">
        <v>30</v>
      </c>
      <c r="AO17" s="19">
        <f t="shared" si="1"/>
        <v>13</v>
      </c>
      <c r="AP17" s="19">
        <f t="shared" si="3"/>
        <v>12</v>
      </c>
      <c r="AQ17" s="19">
        <f t="shared" si="4"/>
        <v>10</v>
      </c>
      <c r="AR17" s="19">
        <f t="shared" si="5"/>
        <v>35</v>
      </c>
      <c r="AS17" s="50">
        <f t="shared" si="6"/>
        <v>390</v>
      </c>
      <c r="AT17" s="50">
        <f t="shared" si="2"/>
        <v>360</v>
      </c>
      <c r="AU17" s="50">
        <f t="shared" si="2"/>
        <v>300</v>
      </c>
      <c r="AY17">
        <f t="shared" si="7"/>
        <v>40</v>
      </c>
    </row>
    <row r="18" spans="1:51">
      <c r="A18" s="1">
        <v>44470</v>
      </c>
      <c r="B18" s="55">
        <v>1600</v>
      </c>
      <c r="C18" s="75" cm="1">
        <f t="array" ref="C18">(SUM(VLOOKUP(H18:AE18,$AL$4:$AN$44,2,FALSE))+AF18*10)*IF(AJ18="是",$AW$4,$AW$3)-426</f>
        <v>2094</v>
      </c>
      <c r="D18" s="57">
        <f>SUM($B$4:B18)-SUM($C$4:C18)</f>
        <v>7246</v>
      </c>
      <c r="E18" s="55" cm="1">
        <f t="array" ref="E18">SUM(VLOOKUP(H18:AE18,$AL$4:$AN$44,3,FALSE))</f>
        <v>685</v>
      </c>
      <c r="F18" s="55">
        <f>SUM($E$4:E18)+SUM($G$4:G18)</f>
        <v>6225</v>
      </c>
      <c r="G18" s="55">
        <v>0</v>
      </c>
      <c r="H18" s="22" t="s">
        <v>18</v>
      </c>
      <c r="I18" s="22" t="s">
        <v>18</v>
      </c>
      <c r="J18" s="30" t="s">
        <v>72</v>
      </c>
      <c r="K18" s="22" t="s">
        <v>18</v>
      </c>
      <c r="L18" s="22" t="s">
        <v>18</v>
      </c>
      <c r="M18" s="28" t="s">
        <v>12</v>
      </c>
      <c r="N18" s="7" t="s">
        <v>23</v>
      </c>
      <c r="O18" s="7" t="s">
        <v>23</v>
      </c>
      <c r="P18" s="28" t="s">
        <v>12</v>
      </c>
      <c r="Q18" s="28" t="s">
        <v>12</v>
      </c>
      <c r="R18" s="22" t="s">
        <v>18</v>
      </c>
      <c r="S18" s="22" t="s">
        <v>18</v>
      </c>
      <c r="T18" s="28" t="s">
        <v>12</v>
      </c>
      <c r="U18" s="22" t="s">
        <v>18</v>
      </c>
      <c r="V18" s="7" t="s">
        <v>23</v>
      </c>
      <c r="W18" s="7" t="s">
        <v>23</v>
      </c>
      <c r="X18" s="20" t="s">
        <v>16</v>
      </c>
      <c r="Y18" s="20" t="s">
        <v>16</v>
      </c>
      <c r="Z18" s="20" t="s">
        <v>16</v>
      </c>
      <c r="AA18" s="28" t="s">
        <v>12</v>
      </c>
      <c r="AB18" s="20" t="s">
        <v>16</v>
      </c>
      <c r="AC18" s="20" t="s">
        <v>16</v>
      </c>
      <c r="AD18" s="7" t="s">
        <v>23</v>
      </c>
      <c r="AE18" s="7" t="s">
        <v>23</v>
      </c>
      <c r="AF18" s="36">
        <v>16</v>
      </c>
      <c r="AG18" s="36"/>
      <c r="AH18" s="36">
        <v>15</v>
      </c>
      <c r="AI18" s="36">
        <v>1</v>
      </c>
      <c r="AJ18" s="8" t="s">
        <v>30</v>
      </c>
      <c r="AK18" s="12" t="s">
        <v>25</v>
      </c>
      <c r="AL18" s="29" t="s">
        <v>13</v>
      </c>
      <c r="AM18" s="19">
        <v>-150</v>
      </c>
      <c r="AN18" s="19">
        <v>0</v>
      </c>
      <c r="AO18" s="19">
        <f t="shared" si="1"/>
        <v>1</v>
      </c>
      <c r="AP18" s="19">
        <f t="shared" si="3"/>
        <v>0</v>
      </c>
      <c r="AQ18" s="19">
        <f t="shared" si="4"/>
        <v>0</v>
      </c>
      <c r="AR18" s="19">
        <f t="shared" si="5"/>
        <v>1</v>
      </c>
      <c r="AS18" s="50">
        <f t="shared" si="6"/>
        <v>0</v>
      </c>
      <c r="AT18" s="50">
        <f t="shared" si="2"/>
        <v>0</v>
      </c>
      <c r="AU18" s="50">
        <f t="shared" si="2"/>
        <v>0</v>
      </c>
      <c r="AY18">
        <f t="shared" si="7"/>
        <v>-120</v>
      </c>
    </row>
    <row r="19" spans="1:51">
      <c r="A19" s="1">
        <v>44471</v>
      </c>
      <c r="B19" s="55">
        <v>1600</v>
      </c>
      <c r="C19" s="55" cm="1">
        <f t="array" ref="C19">(SUM(VLOOKUP(H19:AE19,$AL$4:$AN$44,2,FALSE))+AF19*10)*IF(AJ19="是",$AW$4,$AW$3)</f>
        <v>2280</v>
      </c>
      <c r="D19" s="57">
        <f>SUM($B$4:B19)-SUM($C$4:C19)</f>
        <v>6566</v>
      </c>
      <c r="E19" s="55" cm="1">
        <f t="array" ref="E19">SUM(VLOOKUP(H19:AE19,$AL$4:$AN$44,3,FALSE))</f>
        <v>745</v>
      </c>
      <c r="F19" s="55">
        <f>SUM($E$4:E19)+SUM($G$4:G19)</f>
        <v>6970</v>
      </c>
      <c r="G19" s="55">
        <v>0</v>
      </c>
      <c r="H19" s="22" t="s">
        <v>18</v>
      </c>
      <c r="I19" s="22" t="s">
        <v>18</v>
      </c>
      <c r="J19" s="22" t="s">
        <v>18</v>
      </c>
      <c r="K19" s="22" t="s">
        <v>18</v>
      </c>
      <c r="L19" s="22" t="s">
        <v>18</v>
      </c>
      <c r="M19" s="22" t="s">
        <v>18</v>
      </c>
      <c r="N19" s="7" t="s">
        <v>23</v>
      </c>
      <c r="O19" s="7" t="s">
        <v>23</v>
      </c>
      <c r="P19" s="22" t="s">
        <v>18</v>
      </c>
      <c r="Q19" s="22" t="s">
        <v>18</v>
      </c>
      <c r="R19" s="22" t="s">
        <v>18</v>
      </c>
      <c r="S19" s="22" t="s">
        <v>18</v>
      </c>
      <c r="T19" s="68" t="s">
        <v>18</v>
      </c>
      <c r="U19" s="68" t="s">
        <v>18</v>
      </c>
      <c r="V19" s="7" t="s">
        <v>23</v>
      </c>
      <c r="W19" s="7" t="s">
        <v>23</v>
      </c>
      <c r="X19" s="20" t="s">
        <v>16</v>
      </c>
      <c r="Y19" s="20" t="s">
        <v>16</v>
      </c>
      <c r="Z19" s="20" t="s">
        <v>16</v>
      </c>
      <c r="AA19" s="20" t="s">
        <v>16</v>
      </c>
      <c r="AB19" s="28" t="s">
        <v>12</v>
      </c>
      <c r="AC19" s="20" t="s">
        <v>16</v>
      </c>
      <c r="AD19" s="7" t="s">
        <v>23</v>
      </c>
      <c r="AE19" s="7" t="s">
        <v>23</v>
      </c>
      <c r="AF19" s="36">
        <v>1</v>
      </c>
      <c r="AG19" s="36"/>
      <c r="AH19" s="36">
        <v>1</v>
      </c>
      <c r="AI19" s="36"/>
      <c r="AJ19" s="8" t="s">
        <v>31</v>
      </c>
      <c r="AL19" s="30" t="s">
        <v>71</v>
      </c>
      <c r="AM19" s="19">
        <v>250</v>
      </c>
      <c r="AN19" s="19">
        <v>200</v>
      </c>
      <c r="AO19" s="19">
        <f t="shared" si="1"/>
        <v>3</v>
      </c>
      <c r="AP19" s="19">
        <f t="shared" si="3"/>
        <v>0</v>
      </c>
      <c r="AQ19" s="19">
        <f t="shared" si="4"/>
        <v>0</v>
      </c>
      <c r="AR19" s="19">
        <f t="shared" si="5"/>
        <v>3</v>
      </c>
      <c r="AS19" s="50">
        <f t="shared" si="6"/>
        <v>600</v>
      </c>
      <c r="AT19" s="50">
        <f t="shared" si="2"/>
        <v>0</v>
      </c>
      <c r="AU19" s="50">
        <f t="shared" si="2"/>
        <v>0</v>
      </c>
      <c r="AY19">
        <f t="shared" si="7"/>
        <v>200</v>
      </c>
    </row>
    <row r="20" spans="1:51">
      <c r="A20" s="1">
        <v>44472</v>
      </c>
      <c r="B20" s="55">
        <v>1600</v>
      </c>
      <c r="C20" s="55" cm="1">
        <f t="array" ref="C20">(SUM(VLOOKUP(H20:AE20,$AL$4:$AN$44,2,FALSE))+AF20*10)*IF(AJ20="是",$AW$4,$AW$3)</f>
        <v>2160</v>
      </c>
      <c r="D20" s="57">
        <f>SUM($B$4:B20)-SUM($C$4:C20)</f>
        <v>6006</v>
      </c>
      <c r="E20" s="55" cm="1">
        <f t="array" ref="E20">SUM(VLOOKUP(H20:AE20,$AL$4:$AN$44,3,FALSE))</f>
        <v>815</v>
      </c>
      <c r="F20" s="55">
        <f>SUM($E$4:E20)+SUM($G$4:G20)</f>
        <v>7785</v>
      </c>
      <c r="G20" s="55">
        <v>0</v>
      </c>
      <c r="H20" s="21" t="s">
        <v>6</v>
      </c>
      <c r="I20" s="22" t="s">
        <v>18</v>
      </c>
      <c r="J20" s="22" t="s">
        <v>18</v>
      </c>
      <c r="K20" s="28" t="s">
        <v>12</v>
      </c>
      <c r="L20" s="22" t="s">
        <v>18</v>
      </c>
      <c r="M20" s="22" t="s">
        <v>18</v>
      </c>
      <c r="N20" s="7" t="s">
        <v>23</v>
      </c>
      <c r="O20" s="7" t="s">
        <v>23</v>
      </c>
      <c r="P20" s="29" t="s">
        <v>47</v>
      </c>
      <c r="Q20" s="21" t="s">
        <v>17</v>
      </c>
      <c r="R20" s="28" t="s">
        <v>12</v>
      </c>
      <c r="S20" s="22" t="s">
        <v>18</v>
      </c>
      <c r="T20" s="68" t="s">
        <v>18</v>
      </c>
      <c r="U20" s="68" t="s">
        <v>7</v>
      </c>
      <c r="V20" s="22" t="s">
        <v>18</v>
      </c>
      <c r="W20" s="22" t="s">
        <v>18</v>
      </c>
      <c r="X20" s="29" t="s">
        <v>47</v>
      </c>
      <c r="Y20" s="20" t="s">
        <v>16</v>
      </c>
      <c r="Z20" s="20" t="s">
        <v>16</v>
      </c>
      <c r="AA20" s="21" t="s">
        <v>17</v>
      </c>
      <c r="AB20" s="21" t="s">
        <v>17</v>
      </c>
      <c r="AC20" s="31" t="s">
        <v>39</v>
      </c>
      <c r="AD20" s="21" t="s">
        <v>17</v>
      </c>
      <c r="AE20" s="21" t="s">
        <v>17</v>
      </c>
      <c r="AF20" s="36">
        <v>8</v>
      </c>
      <c r="AG20" s="36"/>
      <c r="AH20" s="36">
        <v>3</v>
      </c>
      <c r="AI20" s="36">
        <v>5</v>
      </c>
      <c r="AJ20" s="8" t="s">
        <v>31</v>
      </c>
      <c r="AL20" s="30" t="s">
        <v>72</v>
      </c>
      <c r="AM20" s="19">
        <v>170</v>
      </c>
      <c r="AN20" s="19">
        <v>45</v>
      </c>
      <c r="AO20" s="19">
        <f t="shared" si="1"/>
        <v>5</v>
      </c>
      <c r="AP20" s="19">
        <f t="shared" si="3"/>
        <v>0</v>
      </c>
      <c r="AQ20" s="19">
        <f t="shared" si="4"/>
        <v>0</v>
      </c>
      <c r="AR20" s="19">
        <f t="shared" si="5"/>
        <v>5</v>
      </c>
      <c r="AS20" s="50">
        <f t="shared" si="6"/>
        <v>225</v>
      </c>
      <c r="AT20" s="50">
        <f t="shared" si="6"/>
        <v>0</v>
      </c>
      <c r="AU20" s="50">
        <f t="shared" si="6"/>
        <v>0</v>
      </c>
      <c r="AY20">
        <f t="shared" si="7"/>
        <v>136</v>
      </c>
    </row>
    <row r="21" spans="1:51">
      <c r="A21" s="1">
        <v>44473</v>
      </c>
      <c r="B21" s="56">
        <v>1600</v>
      </c>
      <c r="C21" s="55" cm="1">
        <f t="array" ref="C21">(SUM(VLOOKUP(H21:AE21,$AL$4:$AN$44,2,FALSE))+AF21*10)*IF(AJ21="是",$AW$4,$AW$3)</f>
        <v>2216</v>
      </c>
      <c r="D21" s="18">
        <f>SUM($B$4:B21)-SUM($C$4:C21)</f>
        <v>5390</v>
      </c>
      <c r="E21" s="55" cm="1">
        <f t="array" ref="E21">SUM(VLOOKUP(H21:AE21,$AL$4:$AN$44,3,FALSE))</f>
        <v>750</v>
      </c>
      <c r="F21" s="55">
        <f>SUM($E$4:E21)+SUM($G$4:G21)</f>
        <v>8735</v>
      </c>
      <c r="G21" s="56">
        <v>200</v>
      </c>
      <c r="H21" s="22" t="s">
        <v>18</v>
      </c>
      <c r="I21" s="22" t="s">
        <v>18</v>
      </c>
      <c r="J21" s="22" t="s">
        <v>18</v>
      </c>
      <c r="K21" s="22" t="s">
        <v>18</v>
      </c>
      <c r="L21" s="21" t="s">
        <v>17</v>
      </c>
      <c r="M21" s="28" t="s">
        <v>12</v>
      </c>
      <c r="N21" s="7" t="s">
        <v>23</v>
      </c>
      <c r="O21" s="7" t="s">
        <v>23</v>
      </c>
      <c r="P21" s="22" t="s">
        <v>18</v>
      </c>
      <c r="Q21" s="22" t="s">
        <v>18</v>
      </c>
      <c r="R21" s="68" t="s">
        <v>18</v>
      </c>
      <c r="S21" s="68" t="s">
        <v>18</v>
      </c>
      <c r="T21" s="68" t="s">
        <v>18</v>
      </c>
      <c r="U21" s="68" t="s">
        <v>18</v>
      </c>
      <c r="V21" s="7" t="s">
        <v>23</v>
      </c>
      <c r="W21" s="7" t="s">
        <v>23</v>
      </c>
      <c r="X21" s="28" t="s">
        <v>12</v>
      </c>
      <c r="Y21" s="21" t="s">
        <v>17</v>
      </c>
      <c r="Z21" s="21" t="s">
        <v>17</v>
      </c>
      <c r="AA21" s="21" t="s">
        <v>17</v>
      </c>
      <c r="AB21" s="21" t="s">
        <v>6</v>
      </c>
      <c r="AC21" s="21" t="s">
        <v>17</v>
      </c>
      <c r="AD21" s="7" t="s">
        <v>23</v>
      </c>
      <c r="AE21" s="7" t="s">
        <v>23</v>
      </c>
      <c r="AF21" s="36">
        <v>2</v>
      </c>
      <c r="AG21" s="36"/>
      <c r="AH21" s="36">
        <v>2</v>
      </c>
      <c r="AI21" s="36"/>
      <c r="AJ21" s="8" t="s">
        <v>31</v>
      </c>
      <c r="AL21" s="34" t="s">
        <v>14</v>
      </c>
      <c r="AM21" s="19">
        <v>250</v>
      </c>
      <c r="AN21" s="19">
        <v>200</v>
      </c>
      <c r="AO21" s="19">
        <f t="shared" si="1"/>
        <v>0</v>
      </c>
      <c r="AP21" s="19">
        <f t="shared" si="3"/>
        <v>0</v>
      </c>
      <c r="AQ21" s="19">
        <f t="shared" si="4"/>
        <v>0</v>
      </c>
      <c r="AR21" s="19">
        <f t="shared" si="5"/>
        <v>0</v>
      </c>
      <c r="AS21" s="50">
        <f t="shared" si="6"/>
        <v>0</v>
      </c>
      <c r="AT21" s="50">
        <f t="shared" si="6"/>
        <v>0</v>
      </c>
      <c r="AU21" s="50">
        <f t="shared" si="6"/>
        <v>0</v>
      </c>
      <c r="AY21">
        <f t="shared" si="7"/>
        <v>200</v>
      </c>
    </row>
    <row r="22" spans="1:51">
      <c r="A22" s="1">
        <v>44474</v>
      </c>
      <c r="B22" s="56">
        <v>1600</v>
      </c>
      <c r="C22" s="55" cm="1">
        <f t="array" ref="C22">(SUM(VLOOKUP(H22:AE22,$AL$4:$AN$44,2,FALSE))+AF22*10)*IF(AJ22="是",$AW$4,$AW$3)</f>
        <v>2112</v>
      </c>
      <c r="D22" s="18">
        <f>SUM($B$4:B22)-SUM($C$4:C22)</f>
        <v>4878</v>
      </c>
      <c r="E22" s="55" cm="1">
        <f t="array" ref="E22">SUM(VLOOKUP(H22:AE22,$AL$4:$AN$44,3,FALSE))</f>
        <v>780</v>
      </c>
      <c r="F22" s="55">
        <f>SUM($E$4:E22)+SUM($G$4:G22)</f>
        <v>9615</v>
      </c>
      <c r="G22" s="56">
        <v>100</v>
      </c>
      <c r="H22" s="21" t="s">
        <v>17</v>
      </c>
      <c r="I22" s="21" t="s">
        <v>17</v>
      </c>
      <c r="J22" s="21" t="s">
        <v>17</v>
      </c>
      <c r="K22" s="21" t="s">
        <v>17</v>
      </c>
      <c r="L22" s="21" t="s">
        <v>17</v>
      </c>
      <c r="M22" s="28" t="s">
        <v>12</v>
      </c>
      <c r="N22" s="7" t="s">
        <v>23</v>
      </c>
      <c r="O22" s="7" t="s">
        <v>23</v>
      </c>
      <c r="P22" s="28" t="s">
        <v>12</v>
      </c>
      <c r="Q22" s="22" t="s">
        <v>18</v>
      </c>
      <c r="R22" s="68" t="s">
        <v>18</v>
      </c>
      <c r="S22" s="68" t="s">
        <v>18</v>
      </c>
      <c r="T22" s="22" t="s">
        <v>18</v>
      </c>
      <c r="U22" s="28" t="s">
        <v>12</v>
      </c>
      <c r="V22" s="7" t="s">
        <v>23</v>
      </c>
      <c r="W22" s="7" t="s">
        <v>23</v>
      </c>
      <c r="X22" s="21" t="s">
        <v>17</v>
      </c>
      <c r="Y22" s="29" t="s">
        <v>47</v>
      </c>
      <c r="Z22" s="22" t="s">
        <v>18</v>
      </c>
      <c r="AA22" s="22" t="s">
        <v>18</v>
      </c>
      <c r="AB22" s="68" t="s">
        <v>18</v>
      </c>
      <c r="AC22" s="68" t="s">
        <v>18</v>
      </c>
      <c r="AD22" s="22" t="s">
        <v>18</v>
      </c>
      <c r="AE22" s="22" t="s">
        <v>18</v>
      </c>
      <c r="AF22" s="36">
        <v>3</v>
      </c>
      <c r="AG22" s="36"/>
      <c r="AH22" s="36">
        <v>1</v>
      </c>
      <c r="AI22" s="36">
        <v>2</v>
      </c>
      <c r="AJ22" s="8" t="s">
        <v>31</v>
      </c>
      <c r="AL22" s="32" t="s">
        <v>15</v>
      </c>
      <c r="AM22" s="19">
        <v>250</v>
      </c>
      <c r="AN22" s="19">
        <v>1000</v>
      </c>
      <c r="AO22" s="19">
        <f t="shared" si="1"/>
        <v>0</v>
      </c>
      <c r="AP22" s="19">
        <f t="shared" si="3"/>
        <v>1</v>
      </c>
      <c r="AQ22" s="19">
        <f t="shared" si="4"/>
        <v>1</v>
      </c>
      <c r="AR22" s="19">
        <f t="shared" si="5"/>
        <v>2</v>
      </c>
      <c r="AS22" s="50">
        <f t="shared" si="6"/>
        <v>0</v>
      </c>
      <c r="AT22" s="50">
        <f t="shared" si="6"/>
        <v>1000</v>
      </c>
      <c r="AU22" s="50">
        <f t="shared" si="6"/>
        <v>1000</v>
      </c>
      <c r="AY22">
        <f t="shared" si="7"/>
        <v>200</v>
      </c>
    </row>
    <row r="23" spans="1:51">
      <c r="A23" s="1">
        <v>44475</v>
      </c>
      <c r="B23" s="56">
        <v>1600</v>
      </c>
      <c r="C23" s="55" cm="1">
        <f t="array" ref="C23">(SUM(VLOOKUP(H23:AE23,$AL$4:$AN$44,2,FALSE))+AF23*10)*IF(AJ23="是",$AW$4,$AW$3)</f>
        <v>1920</v>
      </c>
      <c r="D23" s="18">
        <f>SUM($B$4:B23)-SUM($C$4:C23)</f>
        <v>4558</v>
      </c>
      <c r="E23" s="55" cm="1">
        <f t="array" ref="E23">SUM(VLOOKUP(H23:AE23,$AL$4:$AN$44,3,FALSE))</f>
        <v>710</v>
      </c>
      <c r="F23" s="55">
        <f>SUM($E$4:E23)+SUM($G$4:G23)</f>
        <v>10525</v>
      </c>
      <c r="G23" s="56">
        <v>200</v>
      </c>
      <c r="H23" s="21" t="s">
        <v>17</v>
      </c>
      <c r="I23" s="21" t="s">
        <v>6</v>
      </c>
      <c r="J23" s="21" t="s">
        <v>17</v>
      </c>
      <c r="K23" s="21" t="s">
        <v>17</v>
      </c>
      <c r="L23" s="21" t="s">
        <v>17</v>
      </c>
      <c r="M23" s="28" t="s">
        <v>12</v>
      </c>
      <c r="N23" s="7" t="s">
        <v>23</v>
      </c>
      <c r="O23" s="7" t="s">
        <v>23</v>
      </c>
      <c r="P23" s="68" t="s">
        <v>18</v>
      </c>
      <c r="Q23" s="68" t="s">
        <v>18</v>
      </c>
      <c r="R23" s="22" t="s">
        <v>18</v>
      </c>
      <c r="S23" s="22" t="s">
        <v>18</v>
      </c>
      <c r="T23" s="22" t="s">
        <v>18</v>
      </c>
      <c r="U23" s="22" t="s">
        <v>18</v>
      </c>
      <c r="V23" s="7" t="s">
        <v>23</v>
      </c>
      <c r="W23" s="7" t="s">
        <v>23</v>
      </c>
      <c r="X23" s="29" t="s">
        <v>47</v>
      </c>
      <c r="Y23" s="22" t="s">
        <v>18</v>
      </c>
      <c r="Z23" s="22" t="s">
        <v>18</v>
      </c>
      <c r="AA23" s="28" t="s">
        <v>12</v>
      </c>
      <c r="AB23" s="22" t="s">
        <v>18</v>
      </c>
      <c r="AC23" s="22" t="s">
        <v>18</v>
      </c>
      <c r="AD23" s="7" t="s">
        <v>23</v>
      </c>
      <c r="AE23" s="7" t="s">
        <v>23</v>
      </c>
      <c r="AF23" s="36">
        <v>1</v>
      </c>
      <c r="AG23" s="36"/>
      <c r="AH23" s="36">
        <v>1</v>
      </c>
      <c r="AI23" s="36"/>
      <c r="AJ23" s="8" t="s">
        <v>31</v>
      </c>
      <c r="AL23" s="35" t="s">
        <v>41</v>
      </c>
      <c r="AM23" s="19">
        <v>250</v>
      </c>
      <c r="AN23" s="19">
        <v>500</v>
      </c>
      <c r="AO23" s="19">
        <f t="shared" si="1"/>
        <v>0</v>
      </c>
      <c r="AP23" s="19">
        <f t="shared" si="3"/>
        <v>0</v>
      </c>
      <c r="AQ23" s="19">
        <f t="shared" si="4"/>
        <v>2</v>
      </c>
      <c r="AR23" s="19">
        <f t="shared" si="5"/>
        <v>2</v>
      </c>
      <c r="AS23" s="50">
        <f t="shared" si="6"/>
        <v>0</v>
      </c>
      <c r="AT23" s="50">
        <f t="shared" si="6"/>
        <v>0</v>
      </c>
      <c r="AU23" s="50">
        <f t="shared" si="6"/>
        <v>1000</v>
      </c>
      <c r="AY23">
        <f t="shared" si="7"/>
        <v>200</v>
      </c>
    </row>
    <row r="24" spans="1:51">
      <c r="A24" s="1">
        <v>44476</v>
      </c>
      <c r="B24" s="56">
        <v>1600</v>
      </c>
      <c r="C24" s="55" cm="1">
        <f t="array" ref="C24">(SUM(VLOOKUP(H24:AE24,$AL$4:$AN$44,2,FALSE))+AF24*10)*IF(AJ24="是",$AW$4,$AW$3)</f>
        <v>2176</v>
      </c>
      <c r="D24" s="18">
        <f>SUM($B$4:B24)-SUM($C$4:C24)</f>
        <v>3982</v>
      </c>
      <c r="E24" s="55" cm="1">
        <f t="array" ref="E24">SUM(VLOOKUP(H24:AE24,$AL$4:$AN$44,3,FALSE))</f>
        <v>725</v>
      </c>
      <c r="F24" s="55">
        <f>SUM($E$4:E24)+SUM($G$4:G24)</f>
        <v>11250</v>
      </c>
      <c r="G24" s="56">
        <v>0</v>
      </c>
      <c r="H24" s="21" t="s">
        <v>17</v>
      </c>
      <c r="I24" s="22" t="s">
        <v>18</v>
      </c>
      <c r="J24" s="22" t="s">
        <v>18</v>
      </c>
      <c r="K24" s="21" t="s">
        <v>6</v>
      </c>
      <c r="L24" s="68" t="s">
        <v>18</v>
      </c>
      <c r="M24" s="68" t="s">
        <v>18</v>
      </c>
      <c r="N24" s="7" t="s">
        <v>23</v>
      </c>
      <c r="O24" s="7" t="s">
        <v>23</v>
      </c>
      <c r="P24" s="22" t="s">
        <v>18</v>
      </c>
      <c r="Q24" s="22" t="s">
        <v>18</v>
      </c>
      <c r="R24" s="22" t="s">
        <v>18</v>
      </c>
      <c r="S24" s="68" t="s">
        <v>18</v>
      </c>
      <c r="T24" s="68" t="s">
        <v>18</v>
      </c>
      <c r="U24" s="22" t="s">
        <v>18</v>
      </c>
      <c r="V24" s="7" t="s">
        <v>23</v>
      </c>
      <c r="W24" s="7" t="s">
        <v>23</v>
      </c>
      <c r="X24" s="23" t="s">
        <v>19</v>
      </c>
      <c r="Y24" s="23" t="s">
        <v>19</v>
      </c>
      <c r="Z24" s="23" t="s">
        <v>19</v>
      </c>
      <c r="AA24" s="22" t="s">
        <v>7</v>
      </c>
      <c r="AB24" t="s">
        <v>23</v>
      </c>
      <c r="AC24" t="s">
        <v>23</v>
      </c>
      <c r="AD24" s="7" t="s">
        <v>23</v>
      </c>
      <c r="AE24" s="7" t="s">
        <v>23</v>
      </c>
      <c r="AF24" s="36">
        <v>2</v>
      </c>
      <c r="AG24" s="36">
        <v>1</v>
      </c>
      <c r="AH24" s="36">
        <v>1</v>
      </c>
      <c r="AI24" s="36"/>
      <c r="AJ24" s="8" t="s">
        <v>31</v>
      </c>
      <c r="AL24" s="31" t="s">
        <v>39</v>
      </c>
      <c r="AM24" s="19">
        <v>160</v>
      </c>
      <c r="AN24" s="19">
        <v>40</v>
      </c>
      <c r="AO24" s="19">
        <f t="shared" si="1"/>
        <v>0</v>
      </c>
      <c r="AP24" s="19">
        <f t="shared" si="3"/>
        <v>0</v>
      </c>
      <c r="AQ24" s="19">
        <f t="shared" si="4"/>
        <v>1</v>
      </c>
      <c r="AR24" s="19">
        <f t="shared" si="5"/>
        <v>1</v>
      </c>
      <c r="AS24" s="50">
        <f t="shared" si="6"/>
        <v>0</v>
      </c>
      <c r="AT24" s="50">
        <f t="shared" si="6"/>
        <v>0</v>
      </c>
      <c r="AU24" s="50">
        <f t="shared" si="6"/>
        <v>40</v>
      </c>
      <c r="AY24">
        <f t="shared" si="7"/>
        <v>128</v>
      </c>
    </row>
    <row r="25" spans="1:51">
      <c r="A25" s="1">
        <v>44477</v>
      </c>
      <c r="B25" s="56">
        <v>1600</v>
      </c>
      <c r="C25" s="55" cm="1">
        <f t="array" ref="C25">(SUM(VLOOKUP(H25:AE25,$AL$4:$AN$44,2,FALSE))+AF25*10)*IF(AJ25="是",$AW$4,$AW$3)</f>
        <v>2000</v>
      </c>
      <c r="D25" s="18">
        <f>SUM($B$4:B25)-SUM($C$4:C25)</f>
        <v>3582</v>
      </c>
      <c r="E25" s="55" cm="1">
        <f t="array" ref="E25">SUM(VLOOKUP(H25:AE25,$AL$4:$AN$44,3,FALSE))</f>
        <v>695</v>
      </c>
      <c r="F25" s="55">
        <f>SUM($E$4:E25)+SUM($G$4:G25)</f>
        <v>11945</v>
      </c>
      <c r="G25" s="56">
        <v>0</v>
      </c>
      <c r="H25" s="22" t="s">
        <v>18</v>
      </c>
      <c r="I25" s="28" t="s">
        <v>12</v>
      </c>
      <c r="J25" s="22" t="s">
        <v>18</v>
      </c>
      <c r="K25" s="22" t="s">
        <v>18</v>
      </c>
      <c r="L25" s="22" t="s">
        <v>18</v>
      </c>
      <c r="M25" s="22" t="s">
        <v>18</v>
      </c>
      <c r="N25" s="7" t="s">
        <v>23</v>
      </c>
      <c r="O25" s="7" t="s">
        <v>23</v>
      </c>
      <c r="P25" s="23" t="s">
        <v>19</v>
      </c>
      <c r="Q25" s="22" t="s">
        <v>18</v>
      </c>
      <c r="R25" s="22" t="s">
        <v>18</v>
      </c>
      <c r="S25" t="s">
        <v>23</v>
      </c>
      <c r="T25" t="s">
        <v>23</v>
      </c>
      <c r="U25" t="s">
        <v>23</v>
      </c>
      <c r="V25" s="7" t="s">
        <v>23</v>
      </c>
      <c r="W25" s="7" t="s">
        <v>23</v>
      </c>
      <c r="X25" s="23" t="s">
        <v>19</v>
      </c>
      <c r="Y25" s="23" t="s">
        <v>19</v>
      </c>
      <c r="Z25" s="23" t="s">
        <v>19</v>
      </c>
      <c r="AA25" s="23" t="s">
        <v>19</v>
      </c>
      <c r="AB25" s="23" t="s">
        <v>19</v>
      </c>
      <c r="AC25" s="23" t="s">
        <v>19</v>
      </c>
      <c r="AD25" s="7" t="s">
        <v>23</v>
      </c>
      <c r="AE25" s="7" t="s">
        <v>23</v>
      </c>
      <c r="AF25" s="36">
        <v>0</v>
      </c>
      <c r="AG25" s="36"/>
      <c r="AH25" s="36"/>
      <c r="AI25" s="36"/>
      <c r="AJ25" s="8" t="s">
        <v>31</v>
      </c>
      <c r="AL25" s="31" t="s">
        <v>40</v>
      </c>
      <c r="AM25" s="19">
        <v>160</v>
      </c>
      <c r="AN25" s="19">
        <v>40</v>
      </c>
      <c r="AO25" s="19">
        <f t="shared" si="1"/>
        <v>0</v>
      </c>
      <c r="AP25" s="19">
        <f t="shared" si="3"/>
        <v>0</v>
      </c>
      <c r="AQ25" s="19">
        <f t="shared" si="4"/>
        <v>0</v>
      </c>
      <c r="AR25" s="19">
        <f t="shared" si="5"/>
        <v>0</v>
      </c>
      <c r="AS25" s="50">
        <f t="shared" si="6"/>
        <v>0</v>
      </c>
      <c r="AT25" s="50">
        <f t="shared" si="6"/>
        <v>0</v>
      </c>
      <c r="AU25" s="50">
        <f t="shared" si="6"/>
        <v>0</v>
      </c>
      <c r="AY25">
        <f t="shared" si="7"/>
        <v>128</v>
      </c>
    </row>
    <row r="26" spans="1:51">
      <c r="A26" s="1">
        <v>44478</v>
      </c>
      <c r="B26" s="56">
        <v>1600</v>
      </c>
      <c r="C26" s="55" cm="1">
        <f t="array" ref="C26">(SUM(VLOOKUP(H26:AE26,$AL$4:$AN$44,2,FALSE))+AF26*10)*IF(AJ26="是",$AW$4,$AW$3)</f>
        <v>1824</v>
      </c>
      <c r="D26" s="18">
        <f>SUM($B$4:B26)-SUM($C$4:C26)</f>
        <v>3358</v>
      </c>
      <c r="E26" s="55" cm="1">
        <f t="array" ref="E26">SUM(VLOOKUP(H26:AE26,$AL$4:$AN$44,3,FALSE))</f>
        <v>740</v>
      </c>
      <c r="F26" s="55">
        <f>SUM($E$4:E26)+SUM($G$4:G26)</f>
        <v>12685</v>
      </c>
      <c r="G26" s="56">
        <v>0</v>
      </c>
      <c r="H26" s="22" t="s">
        <v>18</v>
      </c>
      <c r="I26" s="22" t="s">
        <v>18</v>
      </c>
      <c r="J26" s="29" t="s">
        <v>47</v>
      </c>
      <c r="K26" s="22" t="s">
        <v>18</v>
      </c>
      <c r="L26" s="22" t="s">
        <v>18</v>
      </c>
      <c r="M26" s="22" t="s">
        <v>18</v>
      </c>
      <c r="N26" s="22" t="s">
        <v>18</v>
      </c>
      <c r="O26" s="22" t="s">
        <v>18</v>
      </c>
      <c r="P26" s="28" t="s">
        <v>12</v>
      </c>
      <c r="Q26" s="22" t="s">
        <v>18</v>
      </c>
      <c r="R26" s="29" t="s">
        <v>47</v>
      </c>
      <c r="S26" s="23" t="s">
        <v>19</v>
      </c>
      <c r="T26" t="s">
        <v>23</v>
      </c>
      <c r="U26" t="s">
        <v>23</v>
      </c>
      <c r="V26" s="7" t="s">
        <v>23</v>
      </c>
      <c r="W26" s="7" t="s">
        <v>23</v>
      </c>
      <c r="X26" s="23" t="s">
        <v>19</v>
      </c>
      <c r="Y26" s="23" t="s">
        <v>19</v>
      </c>
      <c r="Z26" s="23" t="s">
        <v>19</v>
      </c>
      <c r="AA26" s="23" t="s">
        <v>19</v>
      </c>
      <c r="AB26" s="23" t="s">
        <v>19</v>
      </c>
      <c r="AC26" s="23" t="s">
        <v>19</v>
      </c>
      <c r="AD26" s="7" t="s">
        <v>23</v>
      </c>
      <c r="AE26" s="7" t="s">
        <v>23</v>
      </c>
      <c r="AF26" s="36">
        <v>1</v>
      </c>
      <c r="AG26" s="36">
        <v>1</v>
      </c>
      <c r="AH26" s="36"/>
      <c r="AI26" s="36"/>
      <c r="AJ26" s="8" t="s">
        <v>31</v>
      </c>
      <c r="AL26" s="31" t="s">
        <v>38</v>
      </c>
      <c r="AM26" s="19">
        <v>150</v>
      </c>
      <c r="AN26" s="19">
        <v>35</v>
      </c>
      <c r="AO26" s="19">
        <f t="shared" si="1"/>
        <v>0</v>
      </c>
      <c r="AP26" s="19">
        <f t="shared" si="3"/>
        <v>0</v>
      </c>
      <c r="AQ26" s="19">
        <f t="shared" si="4"/>
        <v>0</v>
      </c>
      <c r="AR26" s="19">
        <f t="shared" si="5"/>
        <v>0</v>
      </c>
      <c r="AS26" s="50">
        <f t="shared" si="6"/>
        <v>0</v>
      </c>
      <c r="AT26" s="50">
        <f t="shared" si="6"/>
        <v>0</v>
      </c>
      <c r="AU26" s="50">
        <f t="shared" si="6"/>
        <v>0</v>
      </c>
      <c r="AY26">
        <f t="shared" si="7"/>
        <v>120</v>
      </c>
    </row>
    <row r="27" spans="1:51">
      <c r="A27" s="1">
        <v>44479</v>
      </c>
      <c r="B27" s="56">
        <v>1600</v>
      </c>
      <c r="C27" s="55" cm="1">
        <f t="array" ref="C27">(SUM(VLOOKUP(H27:AE27,$AL$4:$AN$44,2,FALSE))+AF27*10)*IF(AJ27="是",$AW$4,$AW$3)</f>
        <v>2256</v>
      </c>
      <c r="D27" s="18">
        <f>SUM($B$4:B27)-SUM($C$4:C27)</f>
        <v>2702</v>
      </c>
      <c r="E27" s="55" cm="1">
        <f t="array" ref="E27">SUM(VLOOKUP(H27:AE27,$AL$4:$AN$44,3,FALSE))</f>
        <v>770</v>
      </c>
      <c r="F27" s="55">
        <f>SUM($E$4:E27)+SUM($G$4:G27)</f>
        <v>13455</v>
      </c>
      <c r="G27" s="56">
        <v>0</v>
      </c>
      <c r="H27" s="22" t="s">
        <v>18</v>
      </c>
      <c r="I27" s="22" t="s">
        <v>18</v>
      </c>
      <c r="J27" s="22" t="s">
        <v>18</v>
      </c>
      <c r="K27" s="22" t="s">
        <v>18</v>
      </c>
      <c r="L27" s="22" t="s">
        <v>18</v>
      </c>
      <c r="M27" s="22" t="s">
        <v>18</v>
      </c>
      <c r="N27" s="7" t="s">
        <v>23</v>
      </c>
      <c r="O27" s="7" t="s">
        <v>23</v>
      </c>
      <c r="P27" s="23" t="s">
        <v>19</v>
      </c>
      <c r="Q27" s="23" t="s">
        <v>19</v>
      </c>
      <c r="R27" s="23" t="s">
        <v>19</v>
      </c>
      <c r="S27" s="23" t="s">
        <v>19</v>
      </c>
      <c r="T27" t="s">
        <v>23</v>
      </c>
      <c r="U27" t="s">
        <v>23</v>
      </c>
      <c r="V27" s="7" t="s">
        <v>23</v>
      </c>
      <c r="W27" s="7" t="s">
        <v>23</v>
      </c>
      <c r="X27" s="23" t="s">
        <v>19</v>
      </c>
      <c r="Y27" s="23" t="s">
        <v>19</v>
      </c>
      <c r="Z27" s="23" t="s">
        <v>19</v>
      </c>
      <c r="AA27" s="23" t="s">
        <v>19</v>
      </c>
      <c r="AB27" s="23" t="s">
        <v>19</v>
      </c>
      <c r="AC27" s="23" t="s">
        <v>19</v>
      </c>
      <c r="AD27" s="7" t="s">
        <v>23</v>
      </c>
      <c r="AE27" s="7" t="s">
        <v>23</v>
      </c>
      <c r="AF27" s="36">
        <v>0</v>
      </c>
      <c r="AG27" s="36"/>
      <c r="AH27" s="36"/>
      <c r="AI27" s="36"/>
      <c r="AJ27" s="8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6"/>
        <v>0</v>
      </c>
      <c r="AT27" s="50">
        <f t="shared" si="6"/>
        <v>0</v>
      </c>
      <c r="AU27" s="50">
        <f t="shared" si="6"/>
        <v>0</v>
      </c>
      <c r="AY27">
        <f t="shared" si="7"/>
        <v>0</v>
      </c>
    </row>
    <row r="28" spans="1:51" ht="15.75" thickBot="1">
      <c r="A28" s="1">
        <v>44480</v>
      </c>
      <c r="B28" s="55">
        <v>1600</v>
      </c>
      <c r="C28" s="55" cm="1">
        <f t="array" ref="C28">(SUM(VLOOKUP(H28:AE28,$AL$4:$AN$44,2,FALSE))+AF28*10)*IF(AJ28="是",$AW$4,$AW$3)</f>
        <v>2256</v>
      </c>
      <c r="D28" s="57">
        <f>SUM($B$4:B28)-SUM($C$4:C28)</f>
        <v>2046</v>
      </c>
      <c r="E28" s="55" cm="1">
        <f t="array" ref="E28">SUM(VLOOKUP(H28:AE28,$AL$4:$AN$44,3,FALSE))</f>
        <v>770</v>
      </c>
      <c r="F28" s="55">
        <f>SUM($E$4:E28)+SUM($G$4:G28)</f>
        <v>14425</v>
      </c>
      <c r="G28" s="55">
        <v>200</v>
      </c>
      <c r="H28" s="22" t="s">
        <v>18</v>
      </c>
      <c r="I28" s="22" t="s">
        <v>18</v>
      </c>
      <c r="J28" s="22" t="s">
        <v>18</v>
      </c>
      <c r="K28" s="22" t="s">
        <v>18</v>
      </c>
      <c r="L28" s="22" t="s">
        <v>18</v>
      </c>
      <c r="M28" s="22" t="s">
        <v>18</v>
      </c>
      <c r="N28" s="7" t="s">
        <v>23</v>
      </c>
      <c r="O28" s="7" t="s">
        <v>23</v>
      </c>
      <c r="P28" s="23" t="s">
        <v>19</v>
      </c>
      <c r="Q28" s="23" t="s">
        <v>19</v>
      </c>
      <c r="R28" s="23" t="s">
        <v>19</v>
      </c>
      <c r="S28" s="23" t="s">
        <v>19</v>
      </c>
      <c r="T28" t="s">
        <v>23</v>
      </c>
      <c r="U28" t="s">
        <v>23</v>
      </c>
      <c r="V28" s="7" t="s">
        <v>23</v>
      </c>
      <c r="W28" s="7" t="s">
        <v>23</v>
      </c>
      <c r="X28" s="23" t="s">
        <v>19</v>
      </c>
      <c r="Y28" s="23" t="s">
        <v>19</v>
      </c>
      <c r="Z28" s="23" t="s">
        <v>19</v>
      </c>
      <c r="AA28" s="23" t="s">
        <v>19</v>
      </c>
      <c r="AB28" s="23" t="s">
        <v>19</v>
      </c>
      <c r="AC28" s="23" t="s">
        <v>19</v>
      </c>
      <c r="AD28" s="7" t="s">
        <v>23</v>
      </c>
      <c r="AE28" s="7" t="s">
        <v>23</v>
      </c>
      <c r="AF28" s="36">
        <v>0</v>
      </c>
      <c r="AG28" s="36"/>
      <c r="AH28" s="36"/>
      <c r="AI28" s="36"/>
      <c r="AJ28" s="8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2</v>
      </c>
      <c r="AP28" s="19">
        <f>COUNTIF($P$4:$W$94,AL28)</f>
        <v>5</v>
      </c>
      <c r="AQ28" s="19">
        <f>COUNTIF($X$4:$AE$94,AL28)</f>
        <v>7</v>
      </c>
      <c r="AR28" s="19">
        <f>AO28+AP28+AQ28</f>
        <v>14</v>
      </c>
      <c r="AS28" s="50">
        <f t="shared" si="6"/>
        <v>0</v>
      </c>
      <c r="AT28" s="50">
        <f t="shared" si="6"/>
        <v>0</v>
      </c>
      <c r="AU28" s="50">
        <f t="shared" si="6"/>
        <v>0</v>
      </c>
      <c r="AY28">
        <f t="shared" si="7"/>
        <v>-160</v>
      </c>
    </row>
    <row r="29" spans="1:51">
      <c r="A29" s="1">
        <v>44481</v>
      </c>
      <c r="B29" s="55">
        <v>1600</v>
      </c>
      <c r="C29" s="55" cm="1">
        <f t="array" ref="C29">(SUM(VLOOKUP(H29:AE29,$AL$4:$AN$44,2,FALSE))+AF29*10)*IF(AJ29="是",$AW$4,$AW$3)</f>
        <v>2192</v>
      </c>
      <c r="D29" s="57">
        <f>SUM($B$4:B29)-SUM($C$4:C29)</f>
        <v>1454</v>
      </c>
      <c r="E29" s="55" cm="1">
        <f t="array" ref="E29">SUM(VLOOKUP(H29:AE29,$AL$4:$AN$44,3,FALSE))</f>
        <v>775</v>
      </c>
      <c r="F29" s="55">
        <f>SUM($E$4:E29)+SUM($G$4:G29)</f>
        <v>15300</v>
      </c>
      <c r="G29" s="55">
        <v>100</v>
      </c>
      <c r="H29" s="22" t="s">
        <v>18</v>
      </c>
      <c r="I29" s="22" t="s">
        <v>18</v>
      </c>
      <c r="J29" s="28" t="s">
        <v>12</v>
      </c>
      <c r="K29" s="22" t="s">
        <v>18</v>
      </c>
      <c r="L29" s="22" t="s">
        <v>18</v>
      </c>
      <c r="M29" s="22" t="s">
        <v>18</v>
      </c>
      <c r="N29" s="7" t="s">
        <v>23</v>
      </c>
      <c r="O29" s="7" t="s">
        <v>23</v>
      </c>
      <c r="P29" s="23" t="s">
        <v>19</v>
      </c>
      <c r="Q29" s="23" t="s">
        <v>19</v>
      </c>
      <c r="R29" s="23" t="s">
        <v>19</v>
      </c>
      <c r="S29" s="23" t="s">
        <v>19</v>
      </c>
      <c r="T29" t="s">
        <v>23</v>
      </c>
      <c r="U29" t="s">
        <v>23</v>
      </c>
      <c r="V29" s="7" t="s">
        <v>23</v>
      </c>
      <c r="W29" s="7" t="s">
        <v>23</v>
      </c>
      <c r="X29" s="23" t="s">
        <v>19</v>
      </c>
      <c r="Y29" s="23" t="s">
        <v>19</v>
      </c>
      <c r="Z29" s="24" t="s">
        <v>20</v>
      </c>
      <c r="AA29" s="24" t="s">
        <v>20</v>
      </c>
      <c r="AB29" s="24" t="s">
        <v>20</v>
      </c>
      <c r="AC29" s="24" t="s">
        <v>20</v>
      </c>
      <c r="AD29" s="7" t="s">
        <v>23</v>
      </c>
      <c r="AE29" s="7" t="s">
        <v>23</v>
      </c>
      <c r="AF29" s="36">
        <v>0</v>
      </c>
      <c r="AG29" s="36"/>
      <c r="AH29" s="36"/>
      <c r="AI29" s="36"/>
      <c r="AJ29" s="8" t="s">
        <v>31</v>
      </c>
      <c r="AL29" s="19"/>
      <c r="AM29" s="19"/>
      <c r="AN29" s="19"/>
      <c r="AQ29" t="s">
        <v>60</v>
      </c>
      <c r="AR29">
        <f>SUM(AR4:AR28)</f>
        <v>1023</v>
      </c>
      <c r="AT29" t="s">
        <v>61</v>
      </c>
      <c r="AU29" s="4">
        <f>SUM(AS4:AU28)+7000</f>
        <v>61375</v>
      </c>
    </row>
    <row r="30" spans="1:51">
      <c r="A30" s="1">
        <v>44482</v>
      </c>
      <c r="B30" s="55">
        <v>1600</v>
      </c>
      <c r="C30" s="55" cm="1">
        <f t="array" ref="C30">(SUM(VLOOKUP(H30:AE30,$AL$4:$AN$44,2,FALSE))+AF30*10)*IF(AJ30="是",$AW$4,$AW$3)</f>
        <v>2256</v>
      </c>
      <c r="D30" s="57">
        <f>SUM($B$4:B30)-SUM($C$4:C30)</f>
        <v>798</v>
      </c>
      <c r="E30" s="55" cm="1">
        <f t="array" ref="E30">SUM(VLOOKUP(H30:AE30,$AL$4:$AN$44,3,FALSE))</f>
        <v>795</v>
      </c>
      <c r="F30" s="55">
        <f>SUM($E$4:E30)+SUM($G$4:G30)</f>
        <v>16295</v>
      </c>
      <c r="G30" s="55">
        <v>200</v>
      </c>
      <c r="H30" s="22" t="s">
        <v>18</v>
      </c>
      <c r="I30" s="22" t="s">
        <v>18</v>
      </c>
      <c r="J30" s="22" t="s">
        <v>18</v>
      </c>
      <c r="K30" s="22" t="s">
        <v>18</v>
      </c>
      <c r="L30" s="22" t="s">
        <v>7</v>
      </c>
      <c r="M30" s="22" t="s">
        <v>18</v>
      </c>
      <c r="N30" s="7" t="s">
        <v>23</v>
      </c>
      <c r="O30" s="7" t="s">
        <v>23</v>
      </c>
      <c r="P30" s="23" t="s">
        <v>8</v>
      </c>
      <c r="Q30" s="23" t="s">
        <v>19</v>
      </c>
      <c r="R30" s="23" t="s">
        <v>19</v>
      </c>
      <c r="S30" s="22" t="s">
        <v>18</v>
      </c>
      <c r="T30" t="s">
        <v>23</v>
      </c>
      <c r="U30" t="s">
        <v>23</v>
      </c>
      <c r="V30" s="7" t="s">
        <v>23</v>
      </c>
      <c r="W30" s="7" t="s">
        <v>23</v>
      </c>
      <c r="X30" s="24" t="s">
        <v>20</v>
      </c>
      <c r="Y30" s="24" t="s">
        <v>20</v>
      </c>
      <c r="Z30" s="24" t="s">
        <v>20</v>
      </c>
      <c r="AA30" s="24" t="s">
        <v>20</v>
      </c>
      <c r="AB30" s="24" t="s">
        <v>20</v>
      </c>
      <c r="AC30" s="24" t="s">
        <v>20</v>
      </c>
      <c r="AD30" s="7" t="s">
        <v>23</v>
      </c>
      <c r="AE30" s="7" t="s">
        <v>23</v>
      </c>
      <c r="AF30" s="36">
        <v>0</v>
      </c>
      <c r="AG30" s="36"/>
      <c r="AH30" s="36"/>
      <c r="AI30" s="36"/>
      <c r="AJ30" s="8" t="s">
        <v>31</v>
      </c>
      <c r="AL30" s="19"/>
      <c r="AM30" s="19"/>
      <c r="AN30" s="19"/>
    </row>
    <row r="31" spans="1:51">
      <c r="A31" s="1">
        <v>44483</v>
      </c>
      <c r="B31" s="55">
        <v>1600</v>
      </c>
      <c r="C31" s="55" cm="1">
        <f t="array" ref="C31">(SUM(VLOOKUP(H31:AE31,$AL$4:$AN$44,2,FALSE))+AF31*10)*IF(AJ31="是",$AW$4,$AW$3)</f>
        <v>2144</v>
      </c>
      <c r="D31" s="57">
        <f>SUM($B$4:B31)-SUM($C$4:C31)</f>
        <v>254</v>
      </c>
      <c r="E31" s="55" cm="1">
        <f t="array" ref="E31">SUM(VLOOKUP(H31:AE31,$AL$4:$AN$44,3,FALSE))</f>
        <v>1205</v>
      </c>
      <c r="F31" s="55">
        <f>SUM($E$4:E31)+SUM($G$4:G31)</f>
        <v>17500</v>
      </c>
      <c r="G31" s="55">
        <v>0</v>
      </c>
      <c r="H31" s="22" t="s">
        <v>18</v>
      </c>
      <c r="I31" s="28" t="s">
        <v>12</v>
      </c>
      <c r="J31" s="22" t="s">
        <v>18</v>
      </c>
      <c r="K31" s="22" t="s">
        <v>18</v>
      </c>
      <c r="L31" s="23" t="s">
        <v>19</v>
      </c>
      <c r="M31" s="23" t="s">
        <v>19</v>
      </c>
      <c r="N31" s="7" t="s">
        <v>23</v>
      </c>
      <c r="O31" s="7" t="s">
        <v>23</v>
      </c>
      <c r="P31" s="22" t="s">
        <v>18</v>
      </c>
      <c r="Q31" s="22" t="s">
        <v>18</v>
      </c>
      <c r="R31" s="28" t="s">
        <v>12</v>
      </c>
      <c r="S31" s="22" t="s">
        <v>18</v>
      </c>
      <c r="T31" t="s">
        <v>23</v>
      </c>
      <c r="U31" t="s">
        <v>23</v>
      </c>
      <c r="V31" s="7" t="s">
        <v>23</v>
      </c>
      <c r="W31" s="7" t="s">
        <v>23</v>
      </c>
      <c r="X31" s="24" t="s">
        <v>20</v>
      </c>
      <c r="Y31" s="24" t="s">
        <v>20</v>
      </c>
      <c r="Z31" s="34" t="s">
        <v>41</v>
      </c>
      <c r="AA31" s="24" t="s">
        <v>20</v>
      </c>
      <c r="AB31" s="24" t="s">
        <v>20</v>
      </c>
      <c r="AC31" s="24" t="s">
        <v>20</v>
      </c>
      <c r="AD31" s="7" t="s">
        <v>23</v>
      </c>
      <c r="AE31" s="7" t="s">
        <v>23</v>
      </c>
      <c r="AF31" s="36">
        <v>0</v>
      </c>
      <c r="AG31" s="36"/>
      <c r="AH31" s="36"/>
      <c r="AI31" s="36"/>
      <c r="AJ31" s="8" t="s">
        <v>31</v>
      </c>
      <c r="AL31" s="19"/>
      <c r="AM31" s="19"/>
      <c r="AN31" s="19"/>
    </row>
    <row r="32" spans="1:51">
      <c r="A32" s="1">
        <v>44484</v>
      </c>
      <c r="B32" s="55">
        <v>1600</v>
      </c>
      <c r="C32" s="55" cm="1">
        <f t="array" ref="C32">(SUM(VLOOKUP(H32:AE32,$AL$4:$AN$44,2,FALSE))+AF32*10)*IF(AJ32="是",$AW$4,$AW$3)</f>
        <v>1760</v>
      </c>
      <c r="D32" s="57">
        <f>SUM($B$4:B32)-SUM($C$4:C32)</f>
        <v>94</v>
      </c>
      <c r="E32" s="55" cm="1">
        <f t="array" ref="E32">SUM(VLOOKUP(H32:AE32,$AL$4:$AN$44,3,FALSE))</f>
        <v>620</v>
      </c>
      <c r="F32" s="55">
        <f>SUM($E$4:E32)+SUM($G$4:G32)</f>
        <v>18120</v>
      </c>
      <c r="G32" s="55">
        <v>0</v>
      </c>
      <c r="H32" s="23" t="s">
        <v>19</v>
      </c>
      <c r="I32" s="23" t="s">
        <v>19</v>
      </c>
      <c r="J32" t="s">
        <v>23</v>
      </c>
      <c r="K32" t="s">
        <v>23</v>
      </c>
      <c r="L32" t="s">
        <v>23</v>
      </c>
      <c r="M32" t="s">
        <v>23</v>
      </c>
      <c r="N32" s="7" t="s">
        <v>23</v>
      </c>
      <c r="O32" s="7" t="s">
        <v>23</v>
      </c>
      <c r="P32" s="22" t="s">
        <v>18</v>
      </c>
      <c r="Q32" s="22" t="s">
        <v>18</v>
      </c>
      <c r="R32" s="23" t="s">
        <v>19</v>
      </c>
      <c r="S32" s="23" t="s">
        <v>19</v>
      </c>
      <c r="T32" t="s">
        <v>23</v>
      </c>
      <c r="U32" t="s">
        <v>23</v>
      </c>
      <c r="V32" s="7" t="s">
        <v>23</v>
      </c>
      <c r="W32" s="7" t="s">
        <v>23</v>
      </c>
      <c r="X32" s="24" t="s">
        <v>20</v>
      </c>
      <c r="Y32" s="24" t="s">
        <v>20</v>
      </c>
      <c r="Z32" s="24" t="s">
        <v>20</v>
      </c>
      <c r="AA32" s="24" t="s">
        <v>20</v>
      </c>
      <c r="AB32" s="24" t="s">
        <v>20</v>
      </c>
      <c r="AC32" s="24" t="s">
        <v>20</v>
      </c>
      <c r="AD32" s="7" t="s">
        <v>23</v>
      </c>
      <c r="AE32" s="7" t="s">
        <v>23</v>
      </c>
      <c r="AF32" s="36">
        <v>0</v>
      </c>
      <c r="AG32" s="36"/>
      <c r="AH32" s="36"/>
      <c r="AI32" s="36"/>
      <c r="AJ32" s="8" t="s">
        <v>31</v>
      </c>
      <c r="AL32" s="19"/>
      <c r="AM32" s="19"/>
      <c r="AN32" s="19"/>
    </row>
    <row r="33" spans="1:41">
      <c r="A33" s="1">
        <v>44485</v>
      </c>
      <c r="B33" s="55">
        <v>1600</v>
      </c>
      <c r="C33" s="55" cm="1">
        <f t="array" ref="C33">(SUM(VLOOKUP(H33:AE33,$AL$4:$AN$44,2,FALSE))+AF33*10)*IF(AJ33="是",$AW$4,$AW$3)</f>
        <v>1640</v>
      </c>
      <c r="D33" s="57">
        <f>SUM($B$4:B33)-SUM($C$4:C33)</f>
        <v>54</v>
      </c>
      <c r="E33" s="55" cm="1">
        <f t="array" ref="E33">SUM(VLOOKUP(H33:AE33,$AL$4:$AN$44,3,FALSE))</f>
        <v>660</v>
      </c>
      <c r="F33" s="55">
        <f>SUM($E$4:E33)+SUM($G$4:G33)</f>
        <v>18780</v>
      </c>
      <c r="G33" s="55">
        <v>0</v>
      </c>
      <c r="H33" s="23" t="s">
        <v>19</v>
      </c>
      <c r="I33" s="23" t="s">
        <v>19</v>
      </c>
      <c r="J33" t="s">
        <v>23</v>
      </c>
      <c r="K33" t="s">
        <v>23</v>
      </c>
      <c r="L33" t="s">
        <v>23</v>
      </c>
      <c r="M33" t="s">
        <v>23</v>
      </c>
      <c r="N33" s="7" t="s">
        <v>23</v>
      </c>
      <c r="O33" s="7" t="s">
        <v>23</v>
      </c>
      <c r="P33" s="22" t="s">
        <v>7</v>
      </c>
      <c r="Q33" s="23" t="s">
        <v>19</v>
      </c>
      <c r="R33" s="23" t="s">
        <v>19</v>
      </c>
      <c r="S33" s="28" t="s">
        <v>12</v>
      </c>
      <c r="T33" t="s">
        <v>23</v>
      </c>
      <c r="U33" t="s">
        <v>23</v>
      </c>
      <c r="V33" s="7" t="s">
        <v>23</v>
      </c>
      <c r="W33" s="7" t="s">
        <v>23</v>
      </c>
      <c r="X33" s="24" t="s">
        <v>20</v>
      </c>
      <c r="Y33" s="29" t="s">
        <v>47</v>
      </c>
      <c r="Z33" s="24" t="s">
        <v>20</v>
      </c>
      <c r="AA33" s="24" t="s">
        <v>20</v>
      </c>
      <c r="AB33" s="24" t="s">
        <v>20</v>
      </c>
      <c r="AC33" s="24" t="s">
        <v>20</v>
      </c>
      <c r="AD33" s="24" t="s">
        <v>20</v>
      </c>
      <c r="AE33" s="24" t="s">
        <v>20</v>
      </c>
      <c r="AF33" s="36">
        <v>0</v>
      </c>
      <c r="AG33" s="36"/>
      <c r="AH33" s="36"/>
      <c r="AI33" s="36"/>
      <c r="AJ33" s="8" t="s">
        <v>31</v>
      </c>
      <c r="AL33" s="19"/>
      <c r="AM33" s="19"/>
      <c r="AN33" s="19"/>
    </row>
    <row r="34" spans="1:41">
      <c r="A34" s="1">
        <v>44486</v>
      </c>
      <c r="B34" s="55">
        <v>1600</v>
      </c>
      <c r="C34" s="55" cm="1">
        <f t="array" ref="C34">(SUM(VLOOKUP(H34:AE34,$AL$4:$AN$44,2,FALSE))+AF34*10)*IF(AJ34="是",$AW$4,$AW$3)</f>
        <v>1600</v>
      </c>
      <c r="D34" s="57">
        <f>SUM($B$4:B34)-SUM($C$4:C34)</f>
        <v>54</v>
      </c>
      <c r="E34" s="55" cm="1">
        <f t="array" ref="E34">SUM(VLOOKUP(H34:AE34,$AL$4:$AN$44,3,FALSE))</f>
        <v>580</v>
      </c>
      <c r="F34" s="55">
        <f>SUM($E$4:E34)+SUM($G$4:G34)</f>
        <v>19360</v>
      </c>
      <c r="G34" s="55">
        <v>0</v>
      </c>
      <c r="H34" s="23" t="s">
        <v>19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s="7" t="s">
        <v>23</v>
      </c>
      <c r="O34" s="7" t="s">
        <v>23</v>
      </c>
      <c r="P34" s="23" t="s">
        <v>19</v>
      </c>
      <c r="Q34" s="23" t="s">
        <v>19</v>
      </c>
      <c r="R34" s="23" t="s">
        <v>19</v>
      </c>
      <c r="S34" s="23" t="s">
        <v>19</v>
      </c>
      <c r="T34" t="s">
        <v>23</v>
      </c>
      <c r="U34" t="s">
        <v>23</v>
      </c>
      <c r="V34" s="7" t="s">
        <v>23</v>
      </c>
      <c r="W34" s="7" t="s">
        <v>23</v>
      </c>
      <c r="X34" s="24" t="s">
        <v>20</v>
      </c>
      <c r="Y34" s="24" t="s">
        <v>20</v>
      </c>
      <c r="Z34" s="24" t="s">
        <v>9</v>
      </c>
      <c r="AA34" s="24" t="s">
        <v>20</v>
      </c>
      <c r="AB34" s="24" t="s">
        <v>20</v>
      </c>
      <c r="AC34" s="24" t="s">
        <v>20</v>
      </c>
      <c r="AD34" s="7" t="s">
        <v>23</v>
      </c>
      <c r="AE34" s="7" t="s">
        <v>23</v>
      </c>
      <c r="AF34" s="36">
        <v>0</v>
      </c>
      <c r="AG34" s="36"/>
      <c r="AH34" s="36"/>
      <c r="AI34" s="36"/>
      <c r="AJ34" s="8" t="s">
        <v>31</v>
      </c>
      <c r="AL34" s="19"/>
      <c r="AM34" s="19"/>
      <c r="AN34" s="19"/>
    </row>
    <row r="35" spans="1:41">
      <c r="A35" s="1">
        <v>44487</v>
      </c>
      <c r="B35" s="56">
        <v>1600</v>
      </c>
      <c r="C35" s="55" cm="1">
        <f t="array" ref="C35">(SUM(VLOOKUP(H35:AE35,$AL$4:$AN$44,2,FALSE))+AF35*10)*IF(AJ35="是",$AW$4,$AW$3)</f>
        <v>1520</v>
      </c>
      <c r="D35" s="18">
        <f>SUM($B$4:B35)-SUM($C$4:C35)</f>
        <v>134</v>
      </c>
      <c r="E35" s="55" cm="1">
        <f t="array" ref="E35">SUM(VLOOKUP(H35:AE35,$AL$4:$AN$44,3,FALSE))</f>
        <v>550</v>
      </c>
      <c r="F35" s="55">
        <f>SUM($E$4:E35)+SUM($G$4:G35)</f>
        <v>20110</v>
      </c>
      <c r="G35" s="56">
        <v>200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s="7" t="s">
        <v>23</v>
      </c>
      <c r="O35" s="7" t="s">
        <v>23</v>
      </c>
      <c r="P35" s="23" t="s">
        <v>19</v>
      </c>
      <c r="Q35" s="23" t="s">
        <v>19</v>
      </c>
      <c r="R35" s="23" t="s">
        <v>19</v>
      </c>
      <c r="S35" s="23" t="s">
        <v>19</v>
      </c>
      <c r="T35" t="s">
        <v>23</v>
      </c>
      <c r="U35" t="s">
        <v>23</v>
      </c>
      <c r="V35" s="7" t="s">
        <v>23</v>
      </c>
      <c r="W35" s="7" t="s">
        <v>23</v>
      </c>
      <c r="X35" s="24" t="s">
        <v>20</v>
      </c>
      <c r="Y35" s="24" t="s">
        <v>20</v>
      </c>
      <c r="Z35" s="25" t="s">
        <v>21</v>
      </c>
      <c r="AA35" s="25" t="s">
        <v>21</v>
      </c>
      <c r="AB35" s="25" t="s">
        <v>21</v>
      </c>
      <c r="AC35" s="25" t="s">
        <v>21</v>
      </c>
      <c r="AD35" s="7" t="s">
        <v>23</v>
      </c>
      <c r="AE35" s="7" t="s">
        <v>23</v>
      </c>
      <c r="AF35" s="36">
        <v>0</v>
      </c>
      <c r="AG35" s="36"/>
      <c r="AH35" s="36"/>
      <c r="AI35" s="36"/>
      <c r="AJ35" s="8" t="s">
        <v>31</v>
      </c>
      <c r="AL35" s="19"/>
      <c r="AM35" s="19"/>
      <c r="AN35" s="19"/>
    </row>
    <row r="36" spans="1:41">
      <c r="A36" s="1">
        <v>44488</v>
      </c>
      <c r="B36" s="56">
        <v>1600</v>
      </c>
      <c r="C36" s="55" cm="1">
        <f t="array" ref="C36">(SUM(VLOOKUP(H36:AE36,$AL$4:$AN$44,2,FALSE))+AF36*10)*IF(AJ36="是",$AW$4,$AW$3)</f>
        <v>1680</v>
      </c>
      <c r="D36" s="18">
        <f>SUM($B$4:B36)-SUM($C$4:C36)</f>
        <v>54</v>
      </c>
      <c r="E36" s="55" cm="1">
        <f t="array" ref="E36">SUM(VLOOKUP(H36:AE36,$AL$4:$AN$44,3,FALSE))</f>
        <v>610</v>
      </c>
      <c r="F36" s="55">
        <f>SUM($E$4:E36)+SUM($G$4:G36)</f>
        <v>20820</v>
      </c>
      <c r="G36" s="56">
        <v>100</v>
      </c>
      <c r="H36" s="23" t="s">
        <v>19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s="7" t="s">
        <v>23</v>
      </c>
      <c r="O36" s="7" t="s">
        <v>23</v>
      </c>
      <c r="P36" s="23" t="s">
        <v>19</v>
      </c>
      <c r="Q36" s="23" t="s">
        <v>19</v>
      </c>
      <c r="R36" s="23" t="s">
        <v>19</v>
      </c>
      <c r="S36" s="23" t="s">
        <v>19</v>
      </c>
      <c r="T36" t="s">
        <v>23</v>
      </c>
      <c r="U36" t="s">
        <v>23</v>
      </c>
      <c r="V36" s="7" t="s">
        <v>23</v>
      </c>
      <c r="W36" s="7" t="s">
        <v>23</v>
      </c>
      <c r="X36" s="25" t="s">
        <v>21</v>
      </c>
      <c r="Y36" s="25" t="s">
        <v>21</v>
      </c>
      <c r="Z36" s="25" t="s">
        <v>21</v>
      </c>
      <c r="AA36" s="25" t="s">
        <v>21</v>
      </c>
      <c r="AB36" s="25" t="s">
        <v>21</v>
      </c>
      <c r="AC36" s="25" t="s">
        <v>21</v>
      </c>
      <c r="AD36" s="7" t="s">
        <v>23</v>
      </c>
      <c r="AE36" s="7" t="s">
        <v>23</v>
      </c>
      <c r="AF36" s="36">
        <v>0</v>
      </c>
      <c r="AG36" s="36"/>
      <c r="AH36" s="36"/>
      <c r="AI36" s="36"/>
      <c r="AJ36" s="8" t="s">
        <v>31</v>
      </c>
      <c r="AL36" s="19"/>
      <c r="AM36" s="19"/>
      <c r="AN36" s="19"/>
    </row>
    <row r="37" spans="1:41">
      <c r="A37" s="1">
        <v>44489</v>
      </c>
      <c r="B37" s="56">
        <v>1600</v>
      </c>
      <c r="C37" s="55" cm="1">
        <f t="array" ref="C37">(SUM(VLOOKUP(H37:AE37,$AL$4:$AN$44,2,FALSE))+AF37*10)*IF(AJ37="是",$AW$4,$AW$3)</f>
        <v>1536</v>
      </c>
      <c r="D37" s="18">
        <f>SUM($B$4:B37)-SUM($C$4:C37)</f>
        <v>118</v>
      </c>
      <c r="E37" s="55" cm="1">
        <f t="array" ref="E37">SUM(VLOOKUP(H37:AE37,$AL$4:$AN$44,3,FALSE))</f>
        <v>560</v>
      </c>
      <c r="F37" s="55">
        <f>SUM($E$4:E37)+SUM($G$4:G37)</f>
        <v>21580</v>
      </c>
      <c r="G37" s="56">
        <v>200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s="7" t="s">
        <v>23</v>
      </c>
      <c r="O37" s="7" t="s">
        <v>23</v>
      </c>
      <c r="P37" s="23" t="s">
        <v>19</v>
      </c>
      <c r="Q37" s="23" t="s">
        <v>19</v>
      </c>
      <c r="R37" s="23" t="s">
        <v>19</v>
      </c>
      <c r="S37" s="23" t="s">
        <v>19</v>
      </c>
      <c r="T37" t="s">
        <v>23</v>
      </c>
      <c r="U37" t="s">
        <v>23</v>
      </c>
      <c r="V37" s="7" t="s">
        <v>23</v>
      </c>
      <c r="W37" s="7" t="s">
        <v>23</v>
      </c>
      <c r="X37" s="25" t="s">
        <v>21</v>
      </c>
      <c r="Y37" s="25" t="s">
        <v>21</v>
      </c>
      <c r="Z37" s="25" t="s">
        <v>21</v>
      </c>
      <c r="AA37" s="25" t="s">
        <v>21</v>
      </c>
      <c r="AB37" s="25" t="s">
        <v>21</v>
      </c>
      <c r="AC37" s="25" t="s">
        <v>21</v>
      </c>
      <c r="AD37" s="7" t="s">
        <v>23</v>
      </c>
      <c r="AE37" s="7" t="s">
        <v>23</v>
      </c>
      <c r="AF37" s="36">
        <v>0</v>
      </c>
      <c r="AG37" s="36"/>
      <c r="AH37" s="36"/>
      <c r="AI37" s="36"/>
      <c r="AJ37" s="8" t="s">
        <v>31</v>
      </c>
      <c r="AL37" s="19" t="s">
        <v>67</v>
      </c>
      <c r="AM37" s="19"/>
      <c r="AN37" s="19">
        <v>6</v>
      </c>
      <c r="AO37">
        <v>194</v>
      </c>
    </row>
    <row r="38" spans="1:41">
      <c r="A38" s="1">
        <v>44490</v>
      </c>
      <c r="B38" s="56">
        <v>1600</v>
      </c>
      <c r="C38" s="55" cm="1">
        <f t="array" ref="C38">(SUM(VLOOKUP(H38:AE38,$AL$4:$AN$44,2,FALSE))+AF38*10)*IF(AJ38="是",$AW$4,$AW$3)</f>
        <v>1688</v>
      </c>
      <c r="D38" s="18">
        <f>SUM($B$4:B38)-SUM($C$4:C38)</f>
        <v>30</v>
      </c>
      <c r="E38" s="55" cm="1">
        <f t="array" ref="E38">SUM(VLOOKUP(H38:AE38,$AL$4:$AN$44,3,FALSE))</f>
        <v>615</v>
      </c>
      <c r="F38" s="55">
        <f>SUM($E$4:E38)+SUM($G$4:G38)</f>
        <v>22195</v>
      </c>
      <c r="G38" s="56">
        <v>0</v>
      </c>
      <c r="H38" s="23" t="s">
        <v>19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s="7" t="s">
        <v>23</v>
      </c>
      <c r="O38" s="7" t="s">
        <v>23</v>
      </c>
      <c r="P38" s="23" t="s">
        <v>19</v>
      </c>
      <c r="Q38" s="23" t="s">
        <v>19</v>
      </c>
      <c r="R38" s="23" t="s">
        <v>19</v>
      </c>
      <c r="S38" s="24" t="s">
        <v>20</v>
      </c>
      <c r="T38" t="s">
        <v>23</v>
      </c>
      <c r="U38" t="s">
        <v>23</v>
      </c>
      <c r="V38" s="7" t="s">
        <v>23</v>
      </c>
      <c r="W38" s="7" t="s">
        <v>23</v>
      </c>
      <c r="X38" s="25" t="s">
        <v>21</v>
      </c>
      <c r="Y38" s="25" t="s">
        <v>21</v>
      </c>
      <c r="Z38" s="25" t="s">
        <v>21</v>
      </c>
      <c r="AA38" s="25" t="s">
        <v>21</v>
      </c>
      <c r="AB38" s="25" t="s">
        <v>21</v>
      </c>
      <c r="AC38" s="25" t="s">
        <v>21</v>
      </c>
      <c r="AD38" s="7" t="s">
        <v>23</v>
      </c>
      <c r="AE38" s="7" t="s">
        <v>23</v>
      </c>
      <c r="AF38" s="36">
        <v>0</v>
      </c>
      <c r="AG38" s="36"/>
      <c r="AH38" s="36"/>
      <c r="AI38" s="36"/>
      <c r="AJ38" s="8" t="s">
        <v>31</v>
      </c>
      <c r="AL38" s="19" t="s">
        <v>68</v>
      </c>
      <c r="AM38" s="19"/>
      <c r="AN38" s="19">
        <v>5</v>
      </c>
      <c r="AO38">
        <v>237</v>
      </c>
    </row>
    <row r="39" spans="1:41">
      <c r="A39" s="1">
        <v>44491</v>
      </c>
      <c r="B39" s="56">
        <v>1600</v>
      </c>
      <c r="C39" s="55" cm="1">
        <f t="array" ref="C39">(SUM(VLOOKUP(H39:AE39,$AL$4:$AN$44,2,FALSE))+AF39*10)*IF(AJ39="是",$AW$4,$AW$3)</f>
        <v>1552</v>
      </c>
      <c r="D39" s="18">
        <f>SUM($B$4:B39)-SUM($C$4:C39)</f>
        <v>78</v>
      </c>
      <c r="E39" s="55" cm="1">
        <f t="array" ref="E39">SUM(VLOOKUP(H39:AE39,$AL$4:$AN$44,3,FALSE))</f>
        <v>1500</v>
      </c>
      <c r="F39" s="55">
        <f>SUM($E$4:E39)+SUM($G$4:G39)</f>
        <v>23695</v>
      </c>
      <c r="G39" s="56">
        <v>0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s="7" t="s">
        <v>23</v>
      </c>
      <c r="O39" s="7" t="s">
        <v>23</v>
      </c>
      <c r="P39" s="23" t="s">
        <v>8</v>
      </c>
      <c r="Q39" s="23" t="s">
        <v>19</v>
      </c>
      <c r="R39" s="23" t="s">
        <v>19</v>
      </c>
      <c r="S39" s="23" t="s">
        <v>19</v>
      </c>
      <c r="T39" t="s">
        <v>23</v>
      </c>
      <c r="U39" t="s">
        <v>23</v>
      </c>
      <c r="V39" s="7" t="s">
        <v>23</v>
      </c>
      <c r="W39" s="7" t="s">
        <v>23</v>
      </c>
      <c r="X39" s="25" t="s">
        <v>21</v>
      </c>
      <c r="Y39" s="25" t="s">
        <v>21</v>
      </c>
      <c r="Z39" s="25" t="s">
        <v>21</v>
      </c>
      <c r="AA39" s="32" t="s">
        <v>15</v>
      </c>
      <c r="AB39" s="25" t="s">
        <v>21</v>
      </c>
      <c r="AC39" s="25" t="s">
        <v>21</v>
      </c>
      <c r="AD39" s="7" t="s">
        <v>23</v>
      </c>
      <c r="AE39" s="7" t="s">
        <v>23</v>
      </c>
      <c r="AF39" s="36">
        <v>0</v>
      </c>
      <c r="AG39" s="36"/>
      <c r="AH39" s="36"/>
      <c r="AI39" s="36"/>
      <c r="AJ39" s="8" t="s">
        <v>31</v>
      </c>
      <c r="AL39" s="19" t="s">
        <v>69</v>
      </c>
      <c r="AM39" s="19"/>
      <c r="AN39" s="19">
        <v>4</v>
      </c>
      <c r="AO39">
        <v>272</v>
      </c>
    </row>
    <row r="40" spans="1:41">
      <c r="A40" s="1">
        <v>44492</v>
      </c>
      <c r="B40" s="56">
        <v>1600</v>
      </c>
      <c r="C40" s="55" cm="1">
        <f t="array" ref="C40">(SUM(VLOOKUP(H40:AE40,$AL$4:$AN$44,2,FALSE))+AF40*10)*IF(AJ40="是",$AW$4,$AW$3)</f>
        <v>1544</v>
      </c>
      <c r="D40" s="18">
        <f>SUM($B$4:B40)-SUM($C$4:C40)</f>
        <v>134</v>
      </c>
      <c r="E40" s="55" cm="1">
        <f t="array" ref="E40">SUM(VLOOKUP(H40:AE40,$AL$4:$AN$44,3,FALSE))</f>
        <v>565</v>
      </c>
      <c r="F40" s="55">
        <f>SUM($E$4:E40)+SUM($G$4:G40)</f>
        <v>24260</v>
      </c>
      <c r="G40" s="56">
        <v>0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s="7" t="s">
        <v>23</v>
      </c>
      <c r="O40" s="7" t="s">
        <v>23</v>
      </c>
      <c r="P40" s="23" t="s">
        <v>19</v>
      </c>
      <c r="Q40" s="23" t="s">
        <v>19</v>
      </c>
      <c r="R40" s="23" t="s">
        <v>19</v>
      </c>
      <c r="S40" s="24" t="s">
        <v>20</v>
      </c>
      <c r="T40" t="s">
        <v>23</v>
      </c>
      <c r="U40" t="s">
        <v>23</v>
      </c>
      <c r="V40" s="7" t="s">
        <v>23</v>
      </c>
      <c r="W40" s="7" t="s">
        <v>23</v>
      </c>
      <c r="X40" s="25" t="s">
        <v>21</v>
      </c>
      <c r="Y40" s="25" t="s">
        <v>21</v>
      </c>
      <c r="Z40" s="25" t="s">
        <v>21</v>
      </c>
      <c r="AA40" s="25" t="s">
        <v>21</v>
      </c>
      <c r="AB40" s="25" t="s">
        <v>21</v>
      </c>
      <c r="AC40" s="25" t="s">
        <v>21</v>
      </c>
      <c r="AD40" s="7" t="s">
        <v>23</v>
      </c>
      <c r="AE40" s="7" t="s">
        <v>23</v>
      </c>
      <c r="AF40" s="36">
        <v>0</v>
      </c>
      <c r="AG40" s="36"/>
      <c r="AH40" s="36"/>
      <c r="AI40" s="36"/>
      <c r="AJ40" s="8" t="s">
        <v>31</v>
      </c>
      <c r="AL40" s="19" t="s">
        <v>70</v>
      </c>
      <c r="AM40" s="19"/>
      <c r="AN40" s="19">
        <v>3</v>
      </c>
      <c r="AO40">
        <v>358</v>
      </c>
    </row>
    <row r="41" spans="1:41">
      <c r="A41" s="1">
        <v>44493</v>
      </c>
      <c r="B41" s="56">
        <v>1600</v>
      </c>
      <c r="C41" s="55" cm="1">
        <f t="array" ref="C41">(SUM(VLOOKUP(H41:AE41,$AL$4:$AN$44,2,FALSE))+AF41*10)*IF(AJ41="是",$AW$4,$AW$3)</f>
        <v>1712</v>
      </c>
      <c r="D41" s="18">
        <f>SUM($B$4:B41)-SUM($C$4:C41)</f>
        <v>22</v>
      </c>
      <c r="E41" s="55" cm="1">
        <f t="array" ref="E41">SUM(VLOOKUP(H41:AE41,$AL$4:$AN$44,3,FALSE))</f>
        <v>630</v>
      </c>
      <c r="F41" s="55">
        <f>SUM($E$4:E41)+SUM($G$4:G41)</f>
        <v>24890</v>
      </c>
      <c r="G41" s="56">
        <v>0</v>
      </c>
      <c r="H41" s="23" t="s">
        <v>19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s="7" t="s">
        <v>23</v>
      </c>
      <c r="O41" s="7" t="s">
        <v>23</v>
      </c>
      <c r="P41" s="24" t="s">
        <v>20</v>
      </c>
      <c r="Q41" s="24" t="s">
        <v>20</v>
      </c>
      <c r="R41" s="24" t="s">
        <v>20</v>
      </c>
      <c r="S41" s="24" t="s">
        <v>20</v>
      </c>
      <c r="T41" t="s">
        <v>23</v>
      </c>
      <c r="U41" t="s">
        <v>23</v>
      </c>
      <c r="V41" s="7" t="s">
        <v>23</v>
      </c>
      <c r="W41" s="7" t="s">
        <v>23</v>
      </c>
      <c r="X41" s="25" t="s">
        <v>21</v>
      </c>
      <c r="Y41" s="25" t="s">
        <v>21</v>
      </c>
      <c r="Z41" s="25" t="s">
        <v>21</v>
      </c>
      <c r="AA41" s="25" t="s">
        <v>21</v>
      </c>
      <c r="AB41" s="25" t="s">
        <v>21</v>
      </c>
      <c r="AC41" s="25" t="s">
        <v>21</v>
      </c>
      <c r="AD41" s="7" t="s">
        <v>23</v>
      </c>
      <c r="AE41" s="7" t="s">
        <v>23</v>
      </c>
      <c r="AF41" s="36">
        <v>0</v>
      </c>
      <c r="AG41" s="36"/>
      <c r="AH41" s="36"/>
      <c r="AI41" s="36"/>
      <c r="AJ41" s="8" t="s">
        <v>31</v>
      </c>
      <c r="AL41" s="19"/>
      <c r="AM41" s="19"/>
      <c r="AN41" s="19"/>
      <c r="AO41">
        <f>SUM(AO37:AO40)</f>
        <v>1061</v>
      </c>
    </row>
    <row r="42" spans="1:41">
      <c r="A42" s="1">
        <v>44494</v>
      </c>
      <c r="B42" s="55">
        <v>1600</v>
      </c>
      <c r="C42" s="55" cm="1">
        <f t="array" ref="C42">(SUM(VLOOKUP(H42:AE42,$AL$4:$AN$44,2,FALSE))+AF42*10)*IF(AJ42="是",$AW$4,$AW$3)</f>
        <v>1600</v>
      </c>
      <c r="D42" s="57">
        <f>SUM($B$4:B42)-SUM($C$4:C42)</f>
        <v>22</v>
      </c>
      <c r="E42" s="55" cm="1">
        <f t="array" ref="E42">SUM(VLOOKUP(H42:AE42,$AL$4:$AN$44,3,FALSE))</f>
        <v>605</v>
      </c>
      <c r="F42" s="55">
        <f>SUM($E$4:E42)+SUM($G$4:G42)</f>
        <v>25795</v>
      </c>
      <c r="G42" s="55">
        <v>300</v>
      </c>
      <c r="H42" s="23" t="s">
        <v>19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s="7" t="s">
        <v>23</v>
      </c>
      <c r="O42" s="7" t="s">
        <v>23</v>
      </c>
      <c r="P42" s="28" t="s">
        <v>12</v>
      </c>
      <c r="Q42" s="24" t="s">
        <v>20</v>
      </c>
      <c r="R42" s="24" t="s">
        <v>20</v>
      </c>
      <c r="S42" s="24" t="s">
        <v>20</v>
      </c>
      <c r="T42" t="s">
        <v>23</v>
      </c>
      <c r="U42" t="s">
        <v>23</v>
      </c>
      <c r="V42" s="7" t="s">
        <v>23</v>
      </c>
      <c r="W42" s="7" t="s">
        <v>23</v>
      </c>
      <c r="X42" s="25" t="s">
        <v>21</v>
      </c>
      <c r="Y42" s="25" t="s">
        <v>21</v>
      </c>
      <c r="Z42" s="25" t="s">
        <v>21</v>
      </c>
      <c r="AA42" s="25" t="s">
        <v>21</v>
      </c>
      <c r="AB42" s="25" t="s">
        <v>21</v>
      </c>
      <c r="AC42" s="25" t="s">
        <v>21</v>
      </c>
      <c r="AD42" s="7" t="s">
        <v>23</v>
      </c>
      <c r="AE42" s="7" t="s">
        <v>23</v>
      </c>
      <c r="AF42" s="36">
        <v>0</v>
      </c>
      <c r="AG42" s="36"/>
      <c r="AH42" s="36"/>
      <c r="AI42" s="36"/>
      <c r="AJ42" s="8" t="s">
        <v>31</v>
      </c>
      <c r="AL42" s="19"/>
      <c r="AM42" s="19"/>
      <c r="AN42" s="19"/>
    </row>
    <row r="43" spans="1:41">
      <c r="A43" s="1">
        <v>44495</v>
      </c>
      <c r="B43" s="55">
        <v>1600</v>
      </c>
      <c r="C43" s="55" cm="1">
        <f t="array" ref="C43">(SUM(VLOOKUP(H43:AE43,$AL$4:$AN$44,2,FALSE))+AF43*10)*IF(AJ43="是",$AW$4,$AW$3)</f>
        <v>1568</v>
      </c>
      <c r="D43" s="57">
        <f>SUM($B$4:B43)-SUM($C$4:C43)</f>
        <v>54</v>
      </c>
      <c r="E43" s="55" cm="1">
        <f t="array" ref="E43">SUM(VLOOKUP(H43:AE43,$AL$4:$AN$44,3,FALSE))</f>
        <v>580</v>
      </c>
      <c r="F43" s="55">
        <f>SUM($E$4:E43)+SUM($G$4:G43)</f>
        <v>26375</v>
      </c>
      <c r="G43" s="55">
        <v>0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s="7" t="s">
        <v>23</v>
      </c>
      <c r="O43" s="7" t="s">
        <v>23</v>
      </c>
      <c r="P43" s="24" t="s">
        <v>20</v>
      </c>
      <c r="Q43" s="24" t="s">
        <v>20</v>
      </c>
      <c r="R43" s="24" t="s">
        <v>20</v>
      </c>
      <c r="S43" s="24" t="s">
        <v>20</v>
      </c>
      <c r="T43" t="s">
        <v>23</v>
      </c>
      <c r="U43" t="s">
        <v>23</v>
      </c>
      <c r="V43" s="7" t="s">
        <v>23</v>
      </c>
      <c r="W43" s="7" t="s">
        <v>23</v>
      </c>
      <c r="X43" s="25" t="s">
        <v>21</v>
      </c>
      <c r="Y43" s="25" t="s">
        <v>21</v>
      </c>
      <c r="Z43" s="25" t="s">
        <v>21</v>
      </c>
      <c r="AA43" s="25" t="s">
        <v>21</v>
      </c>
      <c r="AB43" s="25" t="s">
        <v>21</v>
      </c>
      <c r="AC43" s="25" t="s">
        <v>21</v>
      </c>
      <c r="AD43" s="7" t="s">
        <v>23</v>
      </c>
      <c r="AE43" s="7" t="s">
        <v>23</v>
      </c>
      <c r="AF43" s="36">
        <v>0</v>
      </c>
      <c r="AG43" s="36"/>
      <c r="AH43" s="36"/>
      <c r="AI43" s="36"/>
      <c r="AJ43" s="8" t="s">
        <v>31</v>
      </c>
      <c r="AL43" s="19"/>
      <c r="AM43" s="19"/>
      <c r="AN43" s="19"/>
    </row>
    <row r="44" spans="1:41">
      <c r="A44" s="1">
        <v>44496</v>
      </c>
      <c r="B44" s="55">
        <v>1600</v>
      </c>
      <c r="C44" s="55" cm="1">
        <f t="array" ref="C44">(SUM(VLOOKUP(H44:AE44,$AL$4:$AN$44,2,FALSE))+AF44*10)*IF(AJ44="是",$AW$4,$AW$3)</f>
        <v>1592</v>
      </c>
      <c r="D44" s="57">
        <f>SUM($B$4:B44)-SUM($C$4:C44)</f>
        <v>62</v>
      </c>
      <c r="E44" s="55" cm="1">
        <f t="array" ref="E44">SUM(VLOOKUP(H44:AE44,$AL$4:$AN$44,3,FALSE))</f>
        <v>595</v>
      </c>
      <c r="F44" s="55">
        <f>SUM($E$4:E44)+SUM($G$4:G44)</f>
        <v>27170</v>
      </c>
      <c r="G44" s="55">
        <v>200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s="7" t="s">
        <v>23</v>
      </c>
      <c r="O44" s="7" t="s">
        <v>23</v>
      </c>
      <c r="P44" s="24" t="s">
        <v>20</v>
      </c>
      <c r="Q44" s="25" t="s">
        <v>21</v>
      </c>
      <c r="R44" s="25" t="s">
        <v>21</v>
      </c>
      <c r="S44" s="25" t="s">
        <v>21</v>
      </c>
      <c r="T44" t="s">
        <v>23</v>
      </c>
      <c r="U44" t="s">
        <v>23</v>
      </c>
      <c r="V44" s="7" t="s">
        <v>23</v>
      </c>
      <c r="W44" s="7" t="s">
        <v>23</v>
      </c>
      <c r="X44" s="25" t="s">
        <v>21</v>
      </c>
      <c r="Y44" s="25" t="s">
        <v>21</v>
      </c>
      <c r="Z44" s="25" t="s">
        <v>21</v>
      </c>
      <c r="AA44" s="25" t="s">
        <v>21</v>
      </c>
      <c r="AB44" s="25" t="s">
        <v>21</v>
      </c>
      <c r="AC44" s="25" t="s">
        <v>21</v>
      </c>
      <c r="AD44" s="7" t="s">
        <v>23</v>
      </c>
      <c r="AE44" s="7" t="s">
        <v>23</v>
      </c>
      <c r="AF44" s="36">
        <v>0</v>
      </c>
      <c r="AG44" s="36"/>
      <c r="AH44" s="36"/>
      <c r="AI44" s="36"/>
      <c r="AJ44" s="8" t="s">
        <v>31</v>
      </c>
      <c r="AL44" s="19"/>
      <c r="AM44" s="19"/>
      <c r="AN44" s="19"/>
    </row>
    <row r="45" spans="1:41">
      <c r="A45" s="1">
        <v>44497</v>
      </c>
      <c r="B45" s="55">
        <v>1600</v>
      </c>
      <c r="C45" s="55" cm="1">
        <f t="array" ref="C45">(SUM(VLOOKUP(H45:AE45,$AL$4:$AN$44,2,FALSE))+AF45*10)*IF(AJ45="是",$AW$4,$AW$3)</f>
        <v>1600</v>
      </c>
      <c r="D45" s="57">
        <f>SUM($B$4:B45)-SUM($C$4:C45)</f>
        <v>62</v>
      </c>
      <c r="E45" s="55" cm="1">
        <f t="array" ref="E45">SUM(VLOOKUP(H45:AE45,$AL$4:$AN$44,3,FALSE))</f>
        <v>600</v>
      </c>
      <c r="F45" s="55">
        <f>SUM($E$4:E45)+SUM($G$4:G45)</f>
        <v>27770</v>
      </c>
      <c r="G45" s="55">
        <v>0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s="7" t="s">
        <v>23</v>
      </c>
      <c r="O45" s="7" t="s">
        <v>23</v>
      </c>
      <c r="P45" s="25" t="s">
        <v>21</v>
      </c>
      <c r="Q45" s="25" t="s">
        <v>21</v>
      </c>
      <c r="R45" s="25" t="s">
        <v>21</v>
      </c>
      <c r="S45" s="25" t="s">
        <v>21</v>
      </c>
      <c r="T45" t="s">
        <v>23</v>
      </c>
      <c r="U45" t="s">
        <v>23</v>
      </c>
      <c r="V45" s="7" t="s">
        <v>23</v>
      </c>
      <c r="W45" s="7" t="s">
        <v>23</v>
      </c>
      <c r="X45" s="25" t="s">
        <v>21</v>
      </c>
      <c r="Y45" s="25" t="s">
        <v>21</v>
      </c>
      <c r="Z45" s="25" t="s">
        <v>21</v>
      </c>
      <c r="AA45" s="25" t="s">
        <v>21</v>
      </c>
      <c r="AB45" s="25" t="s">
        <v>21</v>
      </c>
      <c r="AC45" s="25" t="s">
        <v>21</v>
      </c>
      <c r="AD45" s="7" t="s">
        <v>23</v>
      </c>
      <c r="AE45" s="7" t="s">
        <v>23</v>
      </c>
      <c r="AF45" s="36">
        <v>0</v>
      </c>
      <c r="AG45" s="36"/>
      <c r="AH45" s="36"/>
      <c r="AI45" s="36"/>
      <c r="AJ45" s="8" t="s">
        <v>31</v>
      </c>
    </row>
    <row r="46" spans="1:41">
      <c r="A46" s="1">
        <v>44498</v>
      </c>
      <c r="B46" s="55">
        <v>1600</v>
      </c>
      <c r="C46" s="55" cm="1">
        <f t="array" ref="C46">(SUM(VLOOKUP(H46:AE46,$AL$4:$AN$44,2,FALSE))+AF46*10)*IF(AJ46="是",$AW$4,$AW$3)</f>
        <v>1584</v>
      </c>
      <c r="D46" s="57">
        <f>SUM($B$4:B46)-SUM($C$4:C46)</f>
        <v>78</v>
      </c>
      <c r="E46" s="55" cm="1">
        <f t="array" ref="E46">SUM(VLOOKUP(H46:AE46,$AL$4:$AN$44,3,FALSE))</f>
        <v>650</v>
      </c>
      <c r="F46" s="55">
        <f>SUM($E$4:E46)+SUM($G$4:G46)</f>
        <v>28420</v>
      </c>
      <c r="G46" s="55">
        <v>0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s="7" t="s">
        <v>23</v>
      </c>
      <c r="O46" s="7" t="s">
        <v>23</v>
      </c>
      <c r="P46" s="25" t="s">
        <v>21</v>
      </c>
      <c r="Q46" s="24" t="s">
        <v>20</v>
      </c>
      <c r="R46" s="24" t="s">
        <v>20</v>
      </c>
      <c r="S46" s="25" t="s">
        <v>21</v>
      </c>
      <c r="T46" t="s">
        <v>23</v>
      </c>
      <c r="U46" t="s">
        <v>23</v>
      </c>
      <c r="V46" s="7" t="s">
        <v>23</v>
      </c>
      <c r="W46" s="7" t="s">
        <v>23</v>
      </c>
      <c r="X46" s="25" t="s">
        <v>21</v>
      </c>
      <c r="Y46" s="25" t="s">
        <v>21</v>
      </c>
      <c r="Z46" s="25" t="s">
        <v>21</v>
      </c>
      <c r="AA46" s="29" t="s">
        <v>47</v>
      </c>
      <c r="AB46" s="25" t="s">
        <v>21</v>
      </c>
      <c r="AC46" s="25" t="s">
        <v>21</v>
      </c>
      <c r="AD46" s="25" t="s">
        <v>21</v>
      </c>
      <c r="AE46" s="25" t="s">
        <v>21</v>
      </c>
      <c r="AF46" s="36">
        <v>0</v>
      </c>
      <c r="AG46" s="36"/>
      <c r="AH46" s="36"/>
      <c r="AI46" s="36"/>
      <c r="AJ46" s="8" t="s">
        <v>31</v>
      </c>
    </row>
    <row r="47" spans="1:41">
      <c r="A47" s="1">
        <v>44499</v>
      </c>
      <c r="B47" s="55">
        <v>1600</v>
      </c>
      <c r="C47" s="55" cm="1">
        <f t="array" ref="C47">(SUM(VLOOKUP(H47:AE47,$AL$4:$AN$44,2,FALSE))+AF47*10)*IF(AJ47="是",$AW$4,$AW$3)</f>
        <v>1592</v>
      </c>
      <c r="D47" s="57">
        <f>SUM($B$4:B47)-SUM($C$4:C47)</f>
        <v>86</v>
      </c>
      <c r="E47" s="55" cm="1">
        <f t="array" ref="E47">SUM(VLOOKUP(H47:AE47,$AL$4:$AN$44,3,FALSE))</f>
        <v>595</v>
      </c>
      <c r="F47" s="55">
        <f>SUM($E$4:E47)+SUM($G$4:G47)</f>
        <v>29015</v>
      </c>
      <c r="G47" s="55">
        <v>0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s="7" t="s">
        <v>23</v>
      </c>
      <c r="O47" s="7" t="s">
        <v>23</v>
      </c>
      <c r="P47" s="25" t="s">
        <v>21</v>
      </c>
      <c r="Q47" s="25" t="s">
        <v>21</v>
      </c>
      <c r="R47" s="24" t="s">
        <v>20</v>
      </c>
      <c r="S47" s="25" t="s">
        <v>21</v>
      </c>
      <c r="T47" t="s">
        <v>23</v>
      </c>
      <c r="U47" t="s">
        <v>23</v>
      </c>
      <c r="V47" s="7" t="s">
        <v>23</v>
      </c>
      <c r="W47" s="7" t="s">
        <v>23</v>
      </c>
      <c r="X47" s="25" t="s">
        <v>21</v>
      </c>
      <c r="Y47" s="25" t="s">
        <v>21</v>
      </c>
      <c r="Z47" s="25" t="s">
        <v>21</v>
      </c>
      <c r="AA47" s="25" t="s">
        <v>21</v>
      </c>
      <c r="AB47" s="25" t="s">
        <v>21</v>
      </c>
      <c r="AC47" s="25" t="s">
        <v>21</v>
      </c>
      <c r="AD47" s="7" t="s">
        <v>23</v>
      </c>
      <c r="AE47" s="7" t="s">
        <v>23</v>
      </c>
      <c r="AF47" s="36">
        <v>0</v>
      </c>
      <c r="AG47" s="36"/>
      <c r="AH47" s="36"/>
      <c r="AI47" s="36"/>
      <c r="AJ47" s="8" t="s">
        <v>31</v>
      </c>
    </row>
    <row r="48" spans="1:41">
      <c r="A48" s="1">
        <v>44500</v>
      </c>
      <c r="B48" s="55">
        <v>1600</v>
      </c>
      <c r="C48" s="55" cm="1">
        <f t="array" ref="C48">(SUM(VLOOKUP(H48:AE48,$AL$4:$AN$44,2,FALSE))+AF48*10)*IF(AJ48="是",$AW$4,$AW$3)</f>
        <v>1600</v>
      </c>
      <c r="D48" s="57">
        <f>SUM($B$4:B48)-SUM($C$4:C48)</f>
        <v>86</v>
      </c>
      <c r="E48" s="55" cm="1">
        <f t="array" ref="E48">SUM(VLOOKUP(H48:AE48,$AL$4:$AN$44,3,FALSE))</f>
        <v>600</v>
      </c>
      <c r="F48" s="55">
        <f>SUM($E$4:E48)+SUM($G$4:G48)</f>
        <v>29615</v>
      </c>
      <c r="G48" s="55">
        <v>0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s="7" t="s">
        <v>23</v>
      </c>
      <c r="O48" s="7" t="s">
        <v>23</v>
      </c>
      <c r="P48" s="25" t="s">
        <v>21</v>
      </c>
      <c r="Q48" s="25" t="s">
        <v>21</v>
      </c>
      <c r="R48" s="25" t="s">
        <v>21</v>
      </c>
      <c r="S48" s="25" t="s">
        <v>21</v>
      </c>
      <c r="T48" t="s">
        <v>23</v>
      </c>
      <c r="U48" t="s">
        <v>23</v>
      </c>
      <c r="V48" s="7" t="s">
        <v>23</v>
      </c>
      <c r="W48" s="7" t="s">
        <v>23</v>
      </c>
      <c r="X48" s="25" t="s">
        <v>21</v>
      </c>
      <c r="Y48" s="25" t="s">
        <v>21</v>
      </c>
      <c r="Z48" s="25" t="s">
        <v>21</v>
      </c>
      <c r="AA48" s="25" t="s">
        <v>21</v>
      </c>
      <c r="AB48" s="25" t="s">
        <v>21</v>
      </c>
      <c r="AC48" s="25" t="s">
        <v>21</v>
      </c>
      <c r="AD48" s="7" t="s">
        <v>23</v>
      </c>
      <c r="AE48" s="7" t="s">
        <v>23</v>
      </c>
      <c r="AF48" s="36">
        <v>0</v>
      </c>
      <c r="AG48" s="36"/>
      <c r="AH48" s="36"/>
      <c r="AI48" s="36"/>
      <c r="AJ48" s="8" t="s">
        <v>31</v>
      </c>
    </row>
    <row r="49" spans="1:36">
      <c r="A49" s="1">
        <v>44501</v>
      </c>
      <c r="B49" s="56">
        <v>1600</v>
      </c>
      <c r="C49" s="55" cm="1">
        <f t="array" ref="C49">(SUM(VLOOKUP(H49:AE49,$AL$4:$AN$44,2,FALSE))+AF49*10)*IF(AJ49="是",$AW$4,$AW$3)</f>
        <v>1600</v>
      </c>
      <c r="D49" s="18">
        <f>SUM($B$4:B49)-SUM($C$4:C49)</f>
        <v>86</v>
      </c>
      <c r="E49" s="55" cm="1">
        <f t="array" ref="E49">SUM(VLOOKUP(H49:AE49,$AL$4:$AN$44,3,FALSE))</f>
        <v>600</v>
      </c>
      <c r="F49" s="55">
        <f>SUM($E$4:E49)+SUM($G$4:G49)</f>
        <v>30415</v>
      </c>
      <c r="G49" s="56">
        <v>200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s="7" t="s">
        <v>23</v>
      </c>
      <c r="O49" s="7" t="s">
        <v>23</v>
      </c>
      <c r="P49" s="25" t="s">
        <v>21</v>
      </c>
      <c r="Q49" s="25" t="s">
        <v>21</v>
      </c>
      <c r="R49" s="25" t="s">
        <v>21</v>
      </c>
      <c r="S49" s="25" t="s">
        <v>21</v>
      </c>
      <c r="T49" t="s">
        <v>23</v>
      </c>
      <c r="U49" t="s">
        <v>23</v>
      </c>
      <c r="V49" s="7" t="s">
        <v>23</v>
      </c>
      <c r="W49" s="7" t="s">
        <v>23</v>
      </c>
      <c r="X49" s="25" t="s">
        <v>21</v>
      </c>
      <c r="Y49" s="25" t="s">
        <v>21</v>
      </c>
      <c r="Z49" s="25" t="s">
        <v>21</v>
      </c>
      <c r="AA49" s="25" t="s">
        <v>21</v>
      </c>
      <c r="AB49" s="25" t="s">
        <v>21</v>
      </c>
      <c r="AC49" s="25" t="s">
        <v>21</v>
      </c>
      <c r="AD49" s="7" t="s">
        <v>23</v>
      </c>
      <c r="AE49" s="7" t="s">
        <v>23</v>
      </c>
      <c r="AF49" s="36">
        <v>0</v>
      </c>
      <c r="AG49" s="36"/>
      <c r="AH49" s="36"/>
      <c r="AI49" s="36"/>
      <c r="AJ49" s="8" t="s">
        <v>31</v>
      </c>
    </row>
    <row r="50" spans="1:36">
      <c r="A50" s="1">
        <v>44502</v>
      </c>
      <c r="B50" s="56">
        <v>1600</v>
      </c>
      <c r="C50" s="55" cm="1">
        <f t="array" ref="C50">(SUM(VLOOKUP(H50:AE50,$AL$4:$AN$44,2,FALSE))+AF50*10)*IF(AJ50="是",$AW$4,$AW$3)</f>
        <v>1600</v>
      </c>
      <c r="D50" s="18">
        <f>SUM($B$4:B50)-SUM($C$4:C50)</f>
        <v>86</v>
      </c>
      <c r="E50" s="55" cm="1">
        <f t="array" ref="E50">SUM(VLOOKUP(H50:AE50,$AL$4:$AN$44,3,FALSE))</f>
        <v>600</v>
      </c>
      <c r="F50" s="55">
        <f>SUM($E$4:E50)+SUM($G$4:G50)</f>
        <v>31115</v>
      </c>
      <c r="G50" s="56">
        <v>100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s="7" t="s">
        <v>23</v>
      </c>
      <c r="O50" s="7" t="s">
        <v>23</v>
      </c>
      <c r="P50" s="25" t="s">
        <v>21</v>
      </c>
      <c r="Q50" s="25" t="s">
        <v>21</v>
      </c>
      <c r="R50" s="25" t="s">
        <v>21</v>
      </c>
      <c r="S50" s="25" t="s">
        <v>21</v>
      </c>
      <c r="T50" t="s">
        <v>23</v>
      </c>
      <c r="U50" t="s">
        <v>23</v>
      </c>
      <c r="V50" s="7" t="s">
        <v>23</v>
      </c>
      <c r="W50" s="7" t="s">
        <v>23</v>
      </c>
      <c r="X50" s="25" t="s">
        <v>21</v>
      </c>
      <c r="Y50" s="25" t="s">
        <v>21</v>
      </c>
      <c r="Z50" s="25" t="s">
        <v>21</v>
      </c>
      <c r="AA50" s="25" t="s">
        <v>21</v>
      </c>
      <c r="AB50" s="25" t="s">
        <v>21</v>
      </c>
      <c r="AC50" s="25" t="s">
        <v>21</v>
      </c>
      <c r="AD50" s="7" t="s">
        <v>23</v>
      </c>
      <c r="AE50" s="7" t="s">
        <v>23</v>
      </c>
      <c r="AF50" s="36">
        <v>0</v>
      </c>
      <c r="AG50" s="36"/>
      <c r="AH50" s="36"/>
      <c r="AI50" s="36"/>
      <c r="AJ50" s="8" t="s">
        <v>31</v>
      </c>
    </row>
    <row r="51" spans="1:36">
      <c r="A51" s="1">
        <v>44503</v>
      </c>
      <c r="B51" s="56">
        <v>1600</v>
      </c>
      <c r="C51" s="55" cm="1">
        <f t="array" ref="C51">(SUM(VLOOKUP(H51:AE51,$AL$4:$AN$44,2,FALSE))+AF51*10)*IF(AJ51="是",$AW$4,$AW$3)</f>
        <v>1600</v>
      </c>
      <c r="D51" s="18">
        <f>SUM($B$4:B51)-SUM($C$4:C51)</f>
        <v>86</v>
      </c>
      <c r="E51" s="55" cm="1">
        <f t="array" ref="E51">SUM(VLOOKUP(H51:AE51,$AL$4:$AN$44,3,FALSE))</f>
        <v>600</v>
      </c>
      <c r="F51" s="55">
        <f>SUM($E$4:E51)+SUM($G$4:G51)</f>
        <v>31915</v>
      </c>
      <c r="G51" s="56">
        <v>200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s="7" t="s">
        <v>23</v>
      </c>
      <c r="O51" s="7" t="s">
        <v>23</v>
      </c>
      <c r="P51" s="25" t="s">
        <v>21</v>
      </c>
      <c r="Q51" s="25" t="s">
        <v>21</v>
      </c>
      <c r="R51" s="25" t="s">
        <v>21</v>
      </c>
      <c r="S51" s="25" t="s">
        <v>21</v>
      </c>
      <c r="T51" t="s">
        <v>23</v>
      </c>
      <c r="U51" t="s">
        <v>23</v>
      </c>
      <c r="V51" s="7" t="s">
        <v>23</v>
      </c>
      <c r="W51" s="7" t="s">
        <v>23</v>
      </c>
      <c r="X51" s="25" t="s">
        <v>21</v>
      </c>
      <c r="Y51" s="25" t="s">
        <v>21</v>
      </c>
      <c r="Z51" s="25" t="s">
        <v>21</v>
      </c>
      <c r="AA51" s="25" t="s">
        <v>21</v>
      </c>
      <c r="AB51" s="25" t="s">
        <v>21</v>
      </c>
      <c r="AC51" s="25" t="s">
        <v>21</v>
      </c>
      <c r="AD51" s="7" t="s">
        <v>23</v>
      </c>
      <c r="AE51" s="7" t="s">
        <v>23</v>
      </c>
      <c r="AF51" s="36">
        <v>0</v>
      </c>
      <c r="AG51" s="36"/>
      <c r="AH51" s="36"/>
      <c r="AI51" s="36"/>
      <c r="AJ51" s="8" t="s">
        <v>31</v>
      </c>
    </row>
    <row r="52" spans="1:36">
      <c r="A52" s="1">
        <v>44504</v>
      </c>
      <c r="B52" s="56">
        <v>1600</v>
      </c>
      <c r="C52" s="55" cm="1">
        <f t="array" ref="C52">(SUM(VLOOKUP(H52:AE52,$AL$4:$AN$44,2,FALSE))+AF52*10)*IF(AJ52="是",$AW$4,$AW$3)</f>
        <v>1552</v>
      </c>
      <c r="D52" s="18">
        <f>SUM($B$4:B52)-SUM($C$4:C52)</f>
        <v>134</v>
      </c>
      <c r="E52" s="55" cm="1">
        <f t="array" ref="E52">SUM(VLOOKUP(H52:AE52,$AL$4:$AN$44,3,FALSE))</f>
        <v>595</v>
      </c>
      <c r="F52" s="55">
        <f>SUM($E$4:E52)+SUM($G$4:G52)</f>
        <v>32510</v>
      </c>
      <c r="G52" s="56">
        <v>0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s="7" t="s">
        <v>23</v>
      </c>
      <c r="O52" s="7" t="s">
        <v>23</v>
      </c>
      <c r="P52" s="24" t="s">
        <v>20</v>
      </c>
      <c r="Q52" s="25" t="s">
        <v>21</v>
      </c>
      <c r="R52" s="25" t="s">
        <v>21</v>
      </c>
      <c r="S52" s="25" t="s">
        <v>21</v>
      </c>
      <c r="T52" t="s">
        <v>23</v>
      </c>
      <c r="U52" t="s">
        <v>23</v>
      </c>
      <c r="V52" s="7" t="s">
        <v>23</v>
      </c>
      <c r="W52" s="7" t="s">
        <v>23</v>
      </c>
      <c r="X52" s="25" t="s">
        <v>21</v>
      </c>
      <c r="Y52" s="25" t="s">
        <v>21</v>
      </c>
      <c r="Z52" s="25" t="s">
        <v>21</v>
      </c>
      <c r="AA52" s="25" t="s">
        <v>10</v>
      </c>
      <c r="AB52" s="25" t="s">
        <v>21</v>
      </c>
      <c r="AC52" s="25" t="s">
        <v>21</v>
      </c>
      <c r="AD52" s="7" t="s">
        <v>23</v>
      </c>
      <c r="AE52" s="7" t="s">
        <v>23</v>
      </c>
      <c r="AF52" s="36">
        <v>0</v>
      </c>
      <c r="AG52" s="36"/>
      <c r="AH52" s="36"/>
      <c r="AI52" s="36"/>
      <c r="AJ52" s="8" t="s">
        <v>31</v>
      </c>
    </row>
    <row r="53" spans="1:36">
      <c r="A53" s="1">
        <v>44505</v>
      </c>
      <c r="B53" s="56">
        <v>1600</v>
      </c>
      <c r="C53" s="55" cm="1">
        <f t="array" ref="C53">(SUM(VLOOKUP(H53:AE53,$AL$4:$AN$44,2,FALSE))+AF53*10)*IF(AJ53="是",$AW$4,$AW$3)</f>
        <v>1696</v>
      </c>
      <c r="D53" s="18">
        <f>SUM($B$4:B53)-SUM($C$4:C53)</f>
        <v>38</v>
      </c>
      <c r="E53" s="55" cm="1">
        <f t="array" ref="E53">SUM(VLOOKUP(H53:AE53,$AL$4:$AN$44,3,FALSE))</f>
        <v>620</v>
      </c>
      <c r="F53" s="55">
        <f>SUM($E$4:E53)+SUM($G$4:G53)</f>
        <v>33130</v>
      </c>
      <c r="G53" s="56">
        <v>0</v>
      </c>
      <c r="H53" s="23" t="s">
        <v>19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s="7" t="s">
        <v>23</v>
      </c>
      <c r="O53" s="7" t="s">
        <v>23</v>
      </c>
      <c r="P53" s="25" t="s">
        <v>21</v>
      </c>
      <c r="Q53" s="25" t="s">
        <v>21</v>
      </c>
      <c r="R53" s="25" t="s">
        <v>21</v>
      </c>
      <c r="S53" s="25" t="s">
        <v>21</v>
      </c>
      <c r="T53" t="s">
        <v>23</v>
      </c>
      <c r="U53" t="s">
        <v>23</v>
      </c>
      <c r="V53" s="7" t="s">
        <v>23</v>
      </c>
      <c r="W53" s="7" t="s">
        <v>23</v>
      </c>
      <c r="X53" s="24" t="s">
        <v>20</v>
      </c>
      <c r="Y53" s="24" t="s">
        <v>20</v>
      </c>
      <c r="Z53" s="24" t="s">
        <v>20</v>
      </c>
      <c r="AA53" s="24" t="s">
        <v>20</v>
      </c>
      <c r="AB53" s="24" t="s">
        <v>20</v>
      </c>
      <c r="AC53" s="24" t="s">
        <v>20</v>
      </c>
      <c r="AD53" s="7" t="s">
        <v>23</v>
      </c>
      <c r="AE53" s="7" t="s">
        <v>23</v>
      </c>
      <c r="AF53" s="36">
        <v>0</v>
      </c>
      <c r="AG53" s="36"/>
      <c r="AH53" s="36"/>
      <c r="AI53" s="36"/>
      <c r="AJ53" s="8" t="s">
        <v>31</v>
      </c>
    </row>
    <row r="54" spans="1:36">
      <c r="A54" s="1">
        <v>44506</v>
      </c>
      <c r="B54" s="56">
        <v>1600</v>
      </c>
      <c r="C54" s="55" cm="1">
        <f t="array" ref="C54">(SUM(VLOOKUP(H54:AE54,$AL$4:$AN$44,2,FALSE))+AF54*10)*IF(AJ54="是",$AW$4,$AW$3)</f>
        <v>1568</v>
      </c>
      <c r="D54" s="18">
        <f>SUM($B$4:B54)-SUM($C$4:C54)</f>
        <v>70</v>
      </c>
      <c r="E54" s="55" cm="1">
        <f t="array" ref="E54">SUM(VLOOKUP(H54:AE54,$AL$4:$AN$44,3,FALSE))</f>
        <v>585</v>
      </c>
      <c r="F54" s="55">
        <f>SUM($E$4:E54)+SUM($G$4:G54)</f>
        <v>33715</v>
      </c>
      <c r="G54" s="56">
        <v>0</v>
      </c>
      <c r="H54" s="23" t="s">
        <v>19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s="7" t="s">
        <v>23</v>
      </c>
      <c r="O54" s="7" t="s">
        <v>23</v>
      </c>
      <c r="P54" s="25" t="s">
        <v>21</v>
      </c>
      <c r="Q54" s="25" t="s">
        <v>21</v>
      </c>
      <c r="R54" s="24" t="s">
        <v>20</v>
      </c>
      <c r="S54" s="24" t="s">
        <v>20</v>
      </c>
      <c r="T54" t="s">
        <v>23</v>
      </c>
      <c r="U54" t="s">
        <v>23</v>
      </c>
      <c r="V54" s="7" t="s">
        <v>23</v>
      </c>
      <c r="W54" s="7" t="s">
        <v>23</v>
      </c>
      <c r="X54" s="24" t="s">
        <v>20</v>
      </c>
      <c r="Y54" s="28" t="s">
        <v>12</v>
      </c>
      <c r="Z54" s="24" t="s">
        <v>20</v>
      </c>
      <c r="AA54" s="24" t="s">
        <v>20</v>
      </c>
      <c r="AB54" s="24" t="s">
        <v>20</v>
      </c>
      <c r="AC54" s="24" t="s">
        <v>20</v>
      </c>
      <c r="AD54" s="7" t="s">
        <v>23</v>
      </c>
      <c r="AE54" s="7" t="s">
        <v>23</v>
      </c>
      <c r="AF54" s="36">
        <v>0</v>
      </c>
      <c r="AG54" s="36"/>
      <c r="AH54" s="36"/>
      <c r="AI54" s="36"/>
      <c r="AJ54" s="8" t="s">
        <v>31</v>
      </c>
    </row>
    <row r="55" spans="1:36">
      <c r="A55" s="1">
        <v>44507</v>
      </c>
      <c r="B55" s="56">
        <v>1600</v>
      </c>
      <c r="C55" s="55" cm="1">
        <f t="array" ref="C55">(SUM(VLOOKUP(H55:AE55,$AL$4:$AN$44,2,FALSE))+AF55*10)*IF(AJ55="是",$AW$4,$AW$3)</f>
        <v>1632</v>
      </c>
      <c r="D55" s="18">
        <f>SUM($B$4:B55)-SUM($C$4:C55)</f>
        <v>38</v>
      </c>
      <c r="E55" s="55" cm="1">
        <f t="array" ref="E55">SUM(VLOOKUP(H55:AE55,$AL$4:$AN$44,3,FALSE))</f>
        <v>600</v>
      </c>
      <c r="F55" s="55">
        <f>SUM($E$4:E55)+SUM($G$4:G55)</f>
        <v>34315</v>
      </c>
      <c r="G55" s="56">
        <v>0</v>
      </c>
      <c r="H55" s="23" t="s">
        <v>19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s="7" t="s">
        <v>23</v>
      </c>
      <c r="O55" s="7" t="s">
        <v>23</v>
      </c>
      <c r="P55" s="24" t="s">
        <v>20</v>
      </c>
      <c r="Q55" s="24" t="s">
        <v>20</v>
      </c>
      <c r="R55" s="24" t="s">
        <v>9</v>
      </c>
      <c r="S55" s="24" t="s">
        <v>20</v>
      </c>
      <c r="T55" t="s">
        <v>23</v>
      </c>
      <c r="U55" t="s">
        <v>23</v>
      </c>
      <c r="V55" s="7" t="s">
        <v>23</v>
      </c>
      <c r="W55" s="7" t="s">
        <v>23</v>
      </c>
      <c r="X55" s="24" t="s">
        <v>20</v>
      </c>
      <c r="Y55" s="24" t="s">
        <v>20</v>
      </c>
      <c r="Z55" s="24" t="s">
        <v>20</v>
      </c>
      <c r="AA55" s="24" t="s">
        <v>20</v>
      </c>
      <c r="AB55" s="24" t="s">
        <v>20</v>
      </c>
      <c r="AC55" s="24" t="s">
        <v>20</v>
      </c>
      <c r="AD55" s="7" t="s">
        <v>23</v>
      </c>
      <c r="AE55" s="7" t="s">
        <v>23</v>
      </c>
      <c r="AF55" s="36">
        <v>0</v>
      </c>
      <c r="AG55" s="36"/>
      <c r="AH55" s="36"/>
      <c r="AI55" s="36"/>
      <c r="AJ55" s="8" t="s">
        <v>31</v>
      </c>
    </row>
    <row r="56" spans="1:36">
      <c r="A56" s="1">
        <v>44508</v>
      </c>
      <c r="B56" s="55">
        <v>1600</v>
      </c>
      <c r="C56" s="55" cm="1">
        <f t="array" ref="C56">(SUM(VLOOKUP(H56:AE56,$AL$4:$AN$44,2,FALSE))+AF56*10)*IF(AJ56="是",$AW$4,$AW$3)</f>
        <v>1536</v>
      </c>
      <c r="D56" s="57">
        <f>SUM($B$4:B56)-SUM($C$4:C56)</f>
        <v>102</v>
      </c>
      <c r="E56" s="55" cm="1">
        <f t="array" ref="E56">SUM(VLOOKUP(H56:AE56,$AL$4:$AN$44,3,FALSE))</f>
        <v>560</v>
      </c>
      <c r="F56" s="55">
        <f>SUM($E$4:E56)+SUM($G$4:G56)</f>
        <v>35175</v>
      </c>
      <c r="G56" s="55">
        <v>300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s="7" t="s">
        <v>23</v>
      </c>
      <c r="O56" s="7" t="s">
        <v>23</v>
      </c>
      <c r="P56" s="24" t="s">
        <v>20</v>
      </c>
      <c r="Q56" s="24" t="s">
        <v>20</v>
      </c>
      <c r="R56" s="25" t="s">
        <v>21</v>
      </c>
      <c r="S56" s="25" t="s">
        <v>21</v>
      </c>
      <c r="T56" t="s">
        <v>23</v>
      </c>
      <c r="U56" t="s">
        <v>23</v>
      </c>
      <c r="V56" s="7" t="s">
        <v>23</v>
      </c>
      <c r="W56" s="7" t="s">
        <v>23</v>
      </c>
      <c r="X56" s="24" t="s">
        <v>20</v>
      </c>
      <c r="Y56" s="24" t="s">
        <v>20</v>
      </c>
      <c r="Z56" s="24" t="s">
        <v>20</v>
      </c>
      <c r="AA56" s="24" t="s">
        <v>20</v>
      </c>
      <c r="AB56" s="24" t="s">
        <v>20</v>
      </c>
      <c r="AC56" s="24" t="s">
        <v>20</v>
      </c>
      <c r="AD56" s="7" t="s">
        <v>23</v>
      </c>
      <c r="AE56" s="7" t="s">
        <v>23</v>
      </c>
      <c r="AF56" s="36">
        <v>0</v>
      </c>
      <c r="AG56" s="36"/>
      <c r="AH56" s="36"/>
      <c r="AI56" s="36"/>
      <c r="AJ56" s="8" t="s">
        <v>31</v>
      </c>
    </row>
    <row r="57" spans="1:36">
      <c r="A57" s="1">
        <v>44509</v>
      </c>
      <c r="B57" s="55">
        <v>1600</v>
      </c>
      <c r="C57" s="55" cm="1">
        <f t="array" ref="C57">(SUM(VLOOKUP(H57:AE57,$AL$4:$AN$44,2,FALSE))+AF57*10)*IF(AJ57="是",$AW$4,$AW$3)</f>
        <v>1392</v>
      </c>
      <c r="D57" s="57">
        <f>SUM($B$4:B57)-SUM($C$4:C57)</f>
        <v>310</v>
      </c>
      <c r="E57" s="55" cm="1">
        <f t="array" ref="E57">SUM(VLOOKUP(H57:AE57,$AL$4:$AN$44,3,FALSE))</f>
        <v>570</v>
      </c>
      <c r="F57" s="55">
        <f>SUM($E$4:E57)+SUM($G$4:G57)</f>
        <v>35745</v>
      </c>
      <c r="G57" s="55">
        <v>0</v>
      </c>
      <c r="H57" s="23" t="s">
        <v>19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s="7" t="s">
        <v>23</v>
      </c>
      <c r="O57" s="7" t="s">
        <v>23</v>
      </c>
      <c r="P57" s="29" t="s">
        <v>47</v>
      </c>
      <c r="Q57" s="25" t="s">
        <v>21</v>
      </c>
      <c r="R57" s="25" t="s">
        <v>21</v>
      </c>
      <c r="S57" s="24" t="s">
        <v>20</v>
      </c>
      <c r="T57" t="s">
        <v>23</v>
      </c>
      <c r="U57" t="s">
        <v>23</v>
      </c>
      <c r="V57" s="7" t="s">
        <v>23</v>
      </c>
      <c r="W57" s="7" t="s">
        <v>23</v>
      </c>
      <c r="X57" s="24" t="s">
        <v>20</v>
      </c>
      <c r="Y57" s="24" t="s">
        <v>20</v>
      </c>
      <c r="Z57" s="24" t="s">
        <v>20</v>
      </c>
      <c r="AA57" s="25" t="s">
        <v>21</v>
      </c>
      <c r="AB57" s="25" t="s">
        <v>21</v>
      </c>
      <c r="AC57" s="25" t="s">
        <v>21</v>
      </c>
      <c r="AD57" s="7" t="s">
        <v>23</v>
      </c>
      <c r="AE57" s="7" t="s">
        <v>23</v>
      </c>
      <c r="AF57" s="36">
        <v>0</v>
      </c>
      <c r="AG57" s="36"/>
      <c r="AH57" s="36"/>
      <c r="AI57" s="36"/>
      <c r="AJ57" s="8" t="s">
        <v>31</v>
      </c>
    </row>
    <row r="58" spans="1:36">
      <c r="A58" s="1">
        <v>44510</v>
      </c>
      <c r="B58" s="55">
        <v>1600</v>
      </c>
      <c r="C58" s="55" cm="1">
        <f t="array" ref="C58">(SUM(VLOOKUP(H58:AE58,$AL$4:$AN$44,2,FALSE))+AF58*10)*IF(AJ58="是",$AW$4,$AW$3)</f>
        <v>1568</v>
      </c>
      <c r="D58" s="57">
        <f>SUM($B$4:B58)-SUM($C$4:C58)</f>
        <v>342</v>
      </c>
      <c r="E58" s="55" cm="1">
        <f t="array" ref="E58">SUM(VLOOKUP(H58:AE58,$AL$4:$AN$44,3,FALSE))</f>
        <v>580</v>
      </c>
      <c r="F58" s="55">
        <f>SUM($E$4:E58)+SUM($G$4:G58)</f>
        <v>36525</v>
      </c>
      <c r="G58" s="55">
        <v>200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s="7" t="s">
        <v>23</v>
      </c>
      <c r="O58" s="7" t="s">
        <v>23</v>
      </c>
      <c r="P58" s="24" t="s">
        <v>20</v>
      </c>
      <c r="Q58" s="24" t="s">
        <v>20</v>
      </c>
      <c r="R58" s="24" t="s">
        <v>20</v>
      </c>
      <c r="S58" s="24" t="s">
        <v>20</v>
      </c>
      <c r="T58" t="s">
        <v>23</v>
      </c>
      <c r="U58" t="s">
        <v>23</v>
      </c>
      <c r="V58" s="7" t="s">
        <v>23</v>
      </c>
      <c r="W58" s="7" t="s">
        <v>23</v>
      </c>
      <c r="X58" s="25" t="s">
        <v>21</v>
      </c>
      <c r="Y58" s="25" t="s">
        <v>21</v>
      </c>
      <c r="Z58" s="25" t="s">
        <v>21</v>
      </c>
      <c r="AA58" s="25" t="s">
        <v>21</v>
      </c>
      <c r="AB58" s="25" t="s">
        <v>21</v>
      </c>
      <c r="AC58" s="25" t="s">
        <v>21</v>
      </c>
      <c r="AD58" s="7" t="s">
        <v>23</v>
      </c>
      <c r="AE58" s="7" t="s">
        <v>23</v>
      </c>
      <c r="AF58" s="36">
        <v>0</v>
      </c>
      <c r="AG58" s="36"/>
      <c r="AH58" s="36"/>
      <c r="AI58" s="36"/>
      <c r="AJ58" s="8" t="s">
        <v>31</v>
      </c>
    </row>
    <row r="59" spans="1:36">
      <c r="A59" s="1">
        <v>44511</v>
      </c>
      <c r="B59" s="55">
        <v>1600</v>
      </c>
      <c r="C59" s="55" cm="1">
        <f t="array" ref="C59">(SUM(VLOOKUP(H59:AE59,$AL$4:$AN$44,2,FALSE))+AF59*10)*IF(AJ59="是",$AW$4,$AW$3)</f>
        <v>1440</v>
      </c>
      <c r="D59" s="57">
        <f>SUM($B$4:B59)-SUM($C$4:C59)</f>
        <v>502</v>
      </c>
      <c r="E59" s="55" cm="1">
        <f t="array" ref="E59">SUM(VLOOKUP(H59:AE59,$AL$4:$AN$44,3,FALSE))</f>
        <v>545</v>
      </c>
      <c r="F59" s="55">
        <f>SUM($E$4:E59)+SUM($G$4:G59)</f>
        <v>37070</v>
      </c>
      <c r="G59" s="55">
        <v>0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s="7" t="s">
        <v>23</v>
      </c>
      <c r="O59" s="7" t="s">
        <v>23</v>
      </c>
      <c r="P59" s="24" t="s">
        <v>20</v>
      </c>
      <c r="Q59" s="24" t="s">
        <v>20</v>
      </c>
      <c r="R59" s="28" t="s">
        <v>12</v>
      </c>
      <c r="S59" s="24" t="s">
        <v>20</v>
      </c>
      <c r="T59" t="s">
        <v>23</v>
      </c>
      <c r="U59" t="s">
        <v>23</v>
      </c>
      <c r="V59" s="7" t="s">
        <v>23</v>
      </c>
      <c r="W59" s="7" t="s">
        <v>23</v>
      </c>
      <c r="X59" s="25" t="s">
        <v>21</v>
      </c>
      <c r="Y59" s="25" t="s">
        <v>21</v>
      </c>
      <c r="Z59" s="25" t="s">
        <v>21</v>
      </c>
      <c r="AA59" s="25" t="s">
        <v>21</v>
      </c>
      <c r="AB59" s="24" t="s">
        <v>20</v>
      </c>
      <c r="AC59" s="24" t="s">
        <v>20</v>
      </c>
      <c r="AD59" s="7" t="s">
        <v>23</v>
      </c>
      <c r="AE59" s="7" t="s">
        <v>23</v>
      </c>
      <c r="AF59" s="36">
        <v>0</v>
      </c>
      <c r="AG59" s="36"/>
      <c r="AH59" s="36"/>
      <c r="AI59" s="36"/>
      <c r="AJ59" s="8" t="s">
        <v>31</v>
      </c>
    </row>
    <row r="60" spans="1:36">
      <c r="A60" s="1">
        <v>44512</v>
      </c>
      <c r="B60" s="55">
        <v>1600</v>
      </c>
      <c r="C60" s="55" cm="1">
        <f t="array" ref="C60">(SUM(VLOOKUP(H60:AE60,$AL$4:$AN$44,2,FALSE))+AF60*10)*IF(AJ60="是",$AW$4,$AW$3)</f>
        <v>1656</v>
      </c>
      <c r="D60" s="57">
        <f>SUM($B$4:B60)-SUM($C$4:C60)</f>
        <v>446</v>
      </c>
      <c r="E60" s="55" cm="1">
        <f t="array" ref="E60">SUM(VLOOKUP(H60:AE60,$AL$4:$AN$44,3,FALSE))</f>
        <v>595</v>
      </c>
      <c r="F60" s="55">
        <f>SUM($E$4:E60)+SUM($G$4:G60)</f>
        <v>37665</v>
      </c>
      <c r="G60" s="55">
        <v>0</v>
      </c>
      <c r="H60" s="22" t="s">
        <v>18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s="7" t="s">
        <v>23</v>
      </c>
      <c r="O60" s="7" t="s">
        <v>23</v>
      </c>
      <c r="P60" s="24" t="s">
        <v>20</v>
      </c>
      <c r="Q60" s="24" t="s">
        <v>20</v>
      </c>
      <c r="R60" s="24" t="s">
        <v>20</v>
      </c>
      <c r="S60" s="24" t="s">
        <v>20</v>
      </c>
      <c r="T60" t="s">
        <v>23</v>
      </c>
      <c r="U60" t="s">
        <v>23</v>
      </c>
      <c r="V60" s="7" t="s">
        <v>23</v>
      </c>
      <c r="W60" s="7" t="s">
        <v>23</v>
      </c>
      <c r="X60" s="24" t="s">
        <v>20</v>
      </c>
      <c r="Y60" s="24" t="s">
        <v>20</v>
      </c>
      <c r="Z60" s="24" t="s">
        <v>20</v>
      </c>
      <c r="AA60" s="24" t="s">
        <v>20</v>
      </c>
      <c r="AB60" s="24" t="s">
        <v>20</v>
      </c>
      <c r="AC60" s="24" t="s">
        <v>20</v>
      </c>
      <c r="AD60" s="7" t="s">
        <v>23</v>
      </c>
      <c r="AE60" s="7" t="s">
        <v>23</v>
      </c>
      <c r="AF60" s="36">
        <v>0</v>
      </c>
      <c r="AG60" s="36"/>
      <c r="AH60" s="36"/>
      <c r="AI60" s="36"/>
      <c r="AJ60" s="8" t="s">
        <v>31</v>
      </c>
    </row>
    <row r="61" spans="1:36">
      <c r="A61" s="1">
        <v>44513</v>
      </c>
      <c r="B61" s="55">
        <v>1600</v>
      </c>
      <c r="C61" s="55" cm="1">
        <f t="array" ref="C61">(SUM(VLOOKUP(H61:AE61,$AL$4:$AN$44,2,FALSE))+AF61*10)*IF(AJ61="是",$AW$4,$AW$3)</f>
        <v>1544</v>
      </c>
      <c r="D61" s="57">
        <f>SUM($B$4:B61)-SUM($C$4:C61)</f>
        <v>502</v>
      </c>
      <c r="E61" s="55" cm="1">
        <f t="array" ref="E61">SUM(VLOOKUP(H61:AE61,$AL$4:$AN$44,3,FALSE))</f>
        <v>570</v>
      </c>
      <c r="F61" s="55">
        <f>SUM($E$4:E61)+SUM($G$4:G61)</f>
        <v>38235</v>
      </c>
      <c r="G61" s="55">
        <v>0</v>
      </c>
      <c r="H61" s="22" t="s">
        <v>18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s="7" t="s">
        <v>23</v>
      </c>
      <c r="O61" s="7" t="s">
        <v>23</v>
      </c>
      <c r="P61" s="24" t="s">
        <v>20</v>
      </c>
      <c r="Q61" s="24" t="s">
        <v>20</v>
      </c>
      <c r="R61" s="24" t="s">
        <v>20</v>
      </c>
      <c r="S61" s="24" t="s">
        <v>20</v>
      </c>
      <c r="T61" t="s">
        <v>23</v>
      </c>
      <c r="U61" t="s">
        <v>23</v>
      </c>
      <c r="V61" s="7" t="s">
        <v>23</v>
      </c>
      <c r="W61" s="7" t="s">
        <v>23</v>
      </c>
      <c r="X61" s="28" t="s">
        <v>12</v>
      </c>
      <c r="Y61" s="24" t="s">
        <v>20</v>
      </c>
      <c r="Z61" s="24" t="s">
        <v>20</v>
      </c>
      <c r="AA61" s="24" t="s">
        <v>20</v>
      </c>
      <c r="AB61" s="24" t="s">
        <v>20</v>
      </c>
      <c r="AC61" s="24" t="s">
        <v>20</v>
      </c>
      <c r="AD61" s="7" t="s">
        <v>23</v>
      </c>
      <c r="AE61" s="7" t="s">
        <v>23</v>
      </c>
      <c r="AF61" s="36">
        <v>0</v>
      </c>
      <c r="AG61" s="36"/>
      <c r="AH61" s="36"/>
      <c r="AI61" s="36"/>
      <c r="AJ61" s="8" t="s">
        <v>31</v>
      </c>
    </row>
    <row r="62" spans="1:36">
      <c r="A62" s="1">
        <v>44514</v>
      </c>
      <c r="B62" s="55">
        <v>1600</v>
      </c>
      <c r="C62" s="55" cm="1">
        <f t="array" ref="C62">(SUM(VLOOKUP(H62:AE62,$AL$4:$AN$44,2,FALSE))+AF62*10)*IF(AJ62="是",$AW$4,$AW$3)</f>
        <v>1656</v>
      </c>
      <c r="D62" s="57">
        <f>SUM($B$4:B62)-SUM($C$4:C62)</f>
        <v>446</v>
      </c>
      <c r="E62" s="55" cm="1">
        <f t="array" ref="E62">SUM(VLOOKUP(H62:AE62,$AL$4:$AN$44,3,FALSE))</f>
        <v>595</v>
      </c>
      <c r="F62" s="55">
        <f>SUM($E$4:E62)+SUM($G$4:G62)</f>
        <v>38830</v>
      </c>
      <c r="G62" s="55">
        <v>0</v>
      </c>
      <c r="H62" s="22" t="s">
        <v>18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s="7" t="s">
        <v>23</v>
      </c>
      <c r="O62" s="7" t="s">
        <v>23</v>
      </c>
      <c r="P62" s="24" t="s">
        <v>20</v>
      </c>
      <c r="Q62" s="24" t="s">
        <v>20</v>
      </c>
      <c r="R62" s="24" t="s">
        <v>20</v>
      </c>
      <c r="S62" s="24" t="s">
        <v>20</v>
      </c>
      <c r="T62" t="s">
        <v>23</v>
      </c>
      <c r="U62" t="s">
        <v>23</v>
      </c>
      <c r="V62" s="7" t="s">
        <v>23</v>
      </c>
      <c r="W62" s="7" t="s">
        <v>23</v>
      </c>
      <c r="X62" s="24" t="s">
        <v>20</v>
      </c>
      <c r="Y62" s="24" t="s">
        <v>20</v>
      </c>
      <c r="Z62" s="24" t="s">
        <v>20</v>
      </c>
      <c r="AA62" s="24" t="s">
        <v>20</v>
      </c>
      <c r="AB62" s="24" t="s">
        <v>20</v>
      </c>
      <c r="AC62" s="24" t="s">
        <v>20</v>
      </c>
      <c r="AD62" s="7" t="s">
        <v>23</v>
      </c>
      <c r="AE62" s="7" t="s">
        <v>23</v>
      </c>
      <c r="AF62" s="36">
        <v>0</v>
      </c>
      <c r="AG62" s="36"/>
      <c r="AH62" s="36"/>
      <c r="AI62" s="36"/>
      <c r="AJ62" s="8" t="s">
        <v>31</v>
      </c>
    </row>
    <row r="63" spans="1:36">
      <c r="A63" s="1">
        <v>44515</v>
      </c>
      <c r="B63" s="56">
        <v>1600</v>
      </c>
      <c r="C63" s="55" cm="1">
        <f t="array" ref="C63">(SUM(VLOOKUP(H63:AE63,$AL$4:$AN$44,2,FALSE))+AF63*10)*IF(AJ63="是",$AW$4,$AW$3)</f>
        <v>1656</v>
      </c>
      <c r="D63" s="18">
        <f>SUM($B$4:B63)-SUM($C$4:C63)</f>
        <v>390</v>
      </c>
      <c r="E63" s="55" cm="1">
        <f t="array" ref="E63">SUM(VLOOKUP(H63:AE63,$AL$4:$AN$44,3,FALSE))</f>
        <v>595</v>
      </c>
      <c r="F63" s="55">
        <f>SUM($E$4:E63)+SUM($G$4:G63)</f>
        <v>39725</v>
      </c>
      <c r="G63" s="56">
        <v>300</v>
      </c>
      <c r="H63" s="22" t="s">
        <v>18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s="7" t="s">
        <v>23</v>
      </c>
      <c r="O63" s="7" t="s">
        <v>23</v>
      </c>
      <c r="P63" s="24" t="s">
        <v>20</v>
      </c>
      <c r="Q63" s="24" t="s">
        <v>20</v>
      </c>
      <c r="R63" s="24" t="s">
        <v>20</v>
      </c>
      <c r="S63" s="24" t="s">
        <v>20</v>
      </c>
      <c r="T63" t="s">
        <v>23</v>
      </c>
      <c r="U63" t="s">
        <v>23</v>
      </c>
      <c r="V63" s="7" t="s">
        <v>23</v>
      </c>
      <c r="W63" s="7" t="s">
        <v>23</v>
      </c>
      <c r="X63" s="24" t="s">
        <v>20</v>
      </c>
      <c r="Y63" s="24" t="s">
        <v>20</v>
      </c>
      <c r="Z63" s="24" t="s">
        <v>20</v>
      </c>
      <c r="AA63" s="24" t="s">
        <v>20</v>
      </c>
      <c r="AB63" s="24" t="s">
        <v>20</v>
      </c>
      <c r="AC63" s="24" t="s">
        <v>20</v>
      </c>
      <c r="AD63" s="7" t="s">
        <v>23</v>
      </c>
      <c r="AE63" s="7" t="s">
        <v>23</v>
      </c>
      <c r="AF63" s="36">
        <v>0</v>
      </c>
      <c r="AG63" s="36"/>
      <c r="AH63" s="36"/>
      <c r="AI63" s="36"/>
      <c r="AJ63" s="8" t="s">
        <v>31</v>
      </c>
    </row>
    <row r="64" spans="1:36">
      <c r="A64" s="1">
        <v>44516</v>
      </c>
      <c r="B64" s="56">
        <v>1600</v>
      </c>
      <c r="C64" s="55" cm="1">
        <f t="array" ref="C64">(SUM(VLOOKUP(H64:AE64,$AL$4:$AN$44,2,FALSE))+AF64*10)*IF(AJ64="是",$AW$4,$AW$3)</f>
        <v>1544</v>
      </c>
      <c r="D64" s="18">
        <f>SUM($B$4:B64)-SUM($C$4:C64)</f>
        <v>446</v>
      </c>
      <c r="E64" s="55" cm="1">
        <f t="array" ref="E64">SUM(VLOOKUP(H64:AE64,$AL$4:$AN$44,3,FALSE))</f>
        <v>570</v>
      </c>
      <c r="F64" s="55">
        <f>SUM($E$4:E64)+SUM($G$4:G64)</f>
        <v>40295</v>
      </c>
      <c r="G64" s="56">
        <v>0</v>
      </c>
      <c r="H64" s="22" t="s">
        <v>18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s="7" t="s">
        <v>23</v>
      </c>
      <c r="O64" s="7" t="s">
        <v>23</v>
      </c>
      <c r="P64" s="24" t="s">
        <v>20</v>
      </c>
      <c r="Q64" s="24" t="s">
        <v>20</v>
      </c>
      <c r="R64" s="24" t="s">
        <v>20</v>
      </c>
      <c r="S64" s="24" t="s">
        <v>20</v>
      </c>
      <c r="T64" t="s">
        <v>23</v>
      </c>
      <c r="U64" t="s">
        <v>23</v>
      </c>
      <c r="V64" s="7" t="s">
        <v>23</v>
      </c>
      <c r="W64" s="7" t="s">
        <v>23</v>
      </c>
      <c r="X64" s="24" t="s">
        <v>20</v>
      </c>
      <c r="Y64" s="24" t="s">
        <v>20</v>
      </c>
      <c r="Z64" s="24" t="s">
        <v>20</v>
      </c>
      <c r="AA64" s="24" t="s">
        <v>20</v>
      </c>
      <c r="AB64" s="28" t="s">
        <v>12</v>
      </c>
      <c r="AC64" s="24" t="s">
        <v>20</v>
      </c>
      <c r="AD64" s="7" t="s">
        <v>23</v>
      </c>
      <c r="AE64" s="7" t="s">
        <v>23</v>
      </c>
      <c r="AF64" s="36">
        <v>0</v>
      </c>
      <c r="AG64" s="36"/>
      <c r="AH64" s="36"/>
      <c r="AI64" s="36"/>
      <c r="AJ64" s="8" t="s">
        <v>31</v>
      </c>
    </row>
    <row r="65" spans="1:36">
      <c r="A65" s="1">
        <v>44517</v>
      </c>
      <c r="B65" s="56">
        <v>1600</v>
      </c>
      <c r="C65" s="55" cm="1">
        <f t="array" ref="C65">(SUM(VLOOKUP(H65:AE65,$AL$4:$AN$44,2,FALSE))+AF65*10)*IF(AJ65="是",$AW$4,$AW$3)</f>
        <v>1656</v>
      </c>
      <c r="D65" s="18">
        <f>SUM($B$4:B65)-SUM($C$4:C65)</f>
        <v>390</v>
      </c>
      <c r="E65" s="55" cm="1">
        <f t="array" ref="E65">SUM(VLOOKUP(H65:AE65,$AL$4:$AN$44,3,FALSE))</f>
        <v>595</v>
      </c>
      <c r="F65" s="55">
        <f>SUM($E$4:E65)+SUM($G$4:G65)</f>
        <v>41090</v>
      </c>
      <c r="G65" s="56">
        <v>200</v>
      </c>
      <c r="H65" s="22" t="s">
        <v>18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s="7" t="s">
        <v>23</v>
      </c>
      <c r="O65" s="7" t="s">
        <v>23</v>
      </c>
      <c r="P65" s="24" t="s">
        <v>20</v>
      </c>
      <c r="Q65" s="24" t="s">
        <v>20</v>
      </c>
      <c r="R65" s="24" t="s">
        <v>20</v>
      </c>
      <c r="S65" s="24" t="s">
        <v>20</v>
      </c>
      <c r="T65" t="s">
        <v>23</v>
      </c>
      <c r="U65" t="s">
        <v>23</v>
      </c>
      <c r="V65" s="7" t="s">
        <v>23</v>
      </c>
      <c r="W65" s="7" t="s">
        <v>23</v>
      </c>
      <c r="X65" s="24" t="s">
        <v>20</v>
      </c>
      <c r="Y65" s="24" t="s">
        <v>20</v>
      </c>
      <c r="Z65" s="24" t="s">
        <v>20</v>
      </c>
      <c r="AA65" s="24" t="s">
        <v>20</v>
      </c>
      <c r="AB65" s="24" t="s">
        <v>20</v>
      </c>
      <c r="AC65" s="24" t="s">
        <v>20</v>
      </c>
      <c r="AD65" s="7" t="s">
        <v>23</v>
      </c>
      <c r="AE65" s="7" t="s">
        <v>23</v>
      </c>
      <c r="AF65" s="36">
        <v>0</v>
      </c>
      <c r="AG65" s="36"/>
      <c r="AH65" s="36"/>
      <c r="AI65" s="36"/>
      <c r="AJ65" s="8" t="s">
        <v>31</v>
      </c>
    </row>
    <row r="66" spans="1:36">
      <c r="A66" s="1">
        <v>44518</v>
      </c>
      <c r="B66" s="56">
        <v>1600</v>
      </c>
      <c r="C66" s="55" cm="1">
        <f t="array" ref="C66">(SUM(VLOOKUP(H66:AE66,$AL$4:$AN$44,2,FALSE))+AF66*10)*IF(AJ66="是",$AW$4,$AW$3)</f>
        <v>1480</v>
      </c>
      <c r="D66" s="18">
        <f>SUM($B$4:B66)-SUM($C$4:C66)</f>
        <v>510</v>
      </c>
      <c r="E66" s="55" cm="1">
        <f t="array" ref="E66">SUM(VLOOKUP(H66:AE66,$AL$4:$AN$44,3,FALSE))</f>
        <v>585</v>
      </c>
      <c r="F66" s="55">
        <f>SUM($E$4:E66)+SUM($G$4:G66)</f>
        <v>41675</v>
      </c>
      <c r="G66" s="56">
        <v>0</v>
      </c>
      <c r="H66" s="22" t="s">
        <v>18</v>
      </c>
      <c r="I66" s="22" t="s">
        <v>18</v>
      </c>
      <c r="J66" t="s">
        <v>23</v>
      </c>
      <c r="K66" t="s">
        <v>23</v>
      </c>
      <c r="L66" t="s">
        <v>23</v>
      </c>
      <c r="M66" t="s">
        <v>23</v>
      </c>
      <c r="N66" s="7" t="s">
        <v>23</v>
      </c>
      <c r="O66" s="7" t="s">
        <v>23</v>
      </c>
      <c r="P66" s="29" t="s">
        <v>47</v>
      </c>
      <c r="Q66" s="24" t="s">
        <v>20</v>
      </c>
      <c r="R66" s="24" t="s">
        <v>20</v>
      </c>
      <c r="S66" s="24" t="s">
        <v>20</v>
      </c>
      <c r="T66" t="s">
        <v>23</v>
      </c>
      <c r="U66" t="s">
        <v>23</v>
      </c>
      <c r="V66" s="7" t="s">
        <v>23</v>
      </c>
      <c r="W66" s="7" t="s">
        <v>23</v>
      </c>
      <c r="X66" s="24" t="s">
        <v>20</v>
      </c>
      <c r="Y66" s="24" t="s">
        <v>20</v>
      </c>
      <c r="Z66" s="24" t="s">
        <v>20</v>
      </c>
      <c r="AA66" s="24" t="s">
        <v>20</v>
      </c>
      <c r="AB66" s="24" t="s">
        <v>20</v>
      </c>
      <c r="AC66" s="24" t="s">
        <v>20</v>
      </c>
      <c r="AD66" s="7" t="s">
        <v>23</v>
      </c>
      <c r="AE66" s="7" t="s">
        <v>23</v>
      </c>
      <c r="AF66" s="36">
        <v>0</v>
      </c>
      <c r="AG66" s="36"/>
      <c r="AH66" s="36"/>
      <c r="AI66" s="36"/>
      <c r="AJ66" s="8" t="s">
        <v>31</v>
      </c>
    </row>
    <row r="67" spans="1:36">
      <c r="A67" s="1">
        <v>44519</v>
      </c>
      <c r="B67" s="56">
        <v>1600</v>
      </c>
      <c r="C67" s="55" cm="1">
        <f t="array" ref="C67">(SUM(VLOOKUP(H67:AE67,$AL$4:$AN$44,2,FALSE))+AF67*10)*IF(AJ67="是",$AW$4,$AW$3)</f>
        <v>1656</v>
      </c>
      <c r="D67" s="18">
        <f>SUM($B$4:B67)-SUM($C$4:C67)</f>
        <v>454</v>
      </c>
      <c r="E67" s="55" cm="1">
        <f t="array" ref="E67">SUM(VLOOKUP(H67:AE67,$AL$4:$AN$44,3,FALSE))</f>
        <v>595</v>
      </c>
      <c r="F67" s="55">
        <f>SUM($E$4:E67)+SUM($G$4:G67)</f>
        <v>42270</v>
      </c>
      <c r="G67" s="56">
        <v>0</v>
      </c>
      <c r="H67" s="22" t="s">
        <v>18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s="7" t="s">
        <v>23</v>
      </c>
      <c r="O67" s="7" t="s">
        <v>23</v>
      </c>
      <c r="P67" s="24" t="s">
        <v>20</v>
      </c>
      <c r="Q67" s="24" t="s">
        <v>20</v>
      </c>
      <c r="R67" s="24" t="s">
        <v>20</v>
      </c>
      <c r="S67" s="24" t="s">
        <v>20</v>
      </c>
      <c r="T67" t="s">
        <v>23</v>
      </c>
      <c r="U67" t="s">
        <v>23</v>
      </c>
      <c r="V67" s="7" t="s">
        <v>23</v>
      </c>
      <c r="W67" s="7" t="s">
        <v>23</v>
      </c>
      <c r="X67" s="24" t="s">
        <v>20</v>
      </c>
      <c r="Y67" s="24" t="s">
        <v>20</v>
      </c>
      <c r="Z67" s="24" t="s">
        <v>20</v>
      </c>
      <c r="AA67" s="24" t="s">
        <v>20</v>
      </c>
      <c r="AB67" s="24" t="s">
        <v>20</v>
      </c>
      <c r="AC67" s="24" t="s">
        <v>20</v>
      </c>
      <c r="AD67" s="7" t="s">
        <v>23</v>
      </c>
      <c r="AE67" s="7" t="s">
        <v>23</v>
      </c>
      <c r="AF67" s="36">
        <v>0</v>
      </c>
      <c r="AG67" s="36"/>
      <c r="AH67" s="36"/>
      <c r="AI67" s="36"/>
      <c r="AJ67" s="8" t="s">
        <v>31</v>
      </c>
    </row>
    <row r="68" spans="1:36">
      <c r="A68" s="1">
        <v>44520</v>
      </c>
      <c r="B68" s="56">
        <v>1600</v>
      </c>
      <c r="C68" s="55" cm="1">
        <f t="array" ref="C68">(SUM(VLOOKUP(H68:AE68,$AL$4:$AN$44,2,FALSE))+AF68*10)*IF(AJ68="是",$AW$4,$AW$3)</f>
        <v>1784</v>
      </c>
      <c r="D68" s="18">
        <f>SUM($B$4:B68)-SUM($C$4:C68)</f>
        <v>270</v>
      </c>
      <c r="E68" s="55" cm="1">
        <f t="array" ref="E68">SUM(VLOOKUP(H68:AE68,$AL$4:$AN$44,3,FALSE))</f>
        <v>695</v>
      </c>
      <c r="F68" s="55">
        <f>SUM($E$4:E68)+SUM($G$4:G68)</f>
        <v>42965</v>
      </c>
      <c r="G68" s="56">
        <v>0</v>
      </c>
      <c r="H68" s="22" t="s">
        <v>18</v>
      </c>
      <c r="I68" s="22" t="s">
        <v>18</v>
      </c>
      <c r="J68" t="s">
        <v>23</v>
      </c>
      <c r="K68" t="s">
        <v>23</v>
      </c>
      <c r="L68" t="s">
        <v>23</v>
      </c>
      <c r="M68" t="s">
        <v>23</v>
      </c>
      <c r="N68" s="7" t="s">
        <v>23</v>
      </c>
      <c r="O68" s="7" t="s">
        <v>23</v>
      </c>
      <c r="P68" s="24" t="s">
        <v>20</v>
      </c>
      <c r="Q68" s="24" t="s">
        <v>20</v>
      </c>
      <c r="R68" s="24" t="s">
        <v>20</v>
      </c>
      <c r="S68" s="24" t="s">
        <v>20</v>
      </c>
      <c r="T68" t="s">
        <v>23</v>
      </c>
      <c r="U68" t="s">
        <v>23</v>
      </c>
      <c r="V68" s="7" t="s">
        <v>23</v>
      </c>
      <c r="W68" s="7" t="s">
        <v>23</v>
      </c>
      <c r="X68" s="24" t="s">
        <v>20</v>
      </c>
      <c r="Y68" s="29" t="s">
        <v>47</v>
      </c>
      <c r="Z68" s="24" t="s">
        <v>20</v>
      </c>
      <c r="AA68" s="24" t="s">
        <v>20</v>
      </c>
      <c r="AB68" s="24" t="s">
        <v>20</v>
      </c>
      <c r="AC68" s="24" t="s">
        <v>20</v>
      </c>
      <c r="AD68" s="24" t="s">
        <v>20</v>
      </c>
      <c r="AE68" s="24" t="s">
        <v>20</v>
      </c>
      <c r="AF68" s="36">
        <v>0</v>
      </c>
      <c r="AG68" s="36"/>
      <c r="AH68" s="36"/>
      <c r="AI68" s="36"/>
      <c r="AJ68" s="8" t="s">
        <v>31</v>
      </c>
    </row>
    <row r="69" spans="1:36">
      <c r="A69" s="1">
        <v>44521</v>
      </c>
      <c r="B69" s="56">
        <v>1600</v>
      </c>
      <c r="C69" s="55" cm="1">
        <f t="array" ref="C69">(SUM(VLOOKUP(H69:AE69,$AL$4:$AN$44,2,FALSE))+AF69*10)*IF(AJ69="是",$AW$4,$AW$3)</f>
        <v>1680</v>
      </c>
      <c r="D69" s="18">
        <f>SUM($B$4:B69)-SUM($C$4:C69)</f>
        <v>190</v>
      </c>
      <c r="E69" s="55" cm="1">
        <f t="array" ref="E69">SUM(VLOOKUP(H69:AE69,$AL$4:$AN$44,3,FALSE))</f>
        <v>1025</v>
      </c>
      <c r="F69" s="55">
        <f>SUM($E$4:E69)+SUM($G$4:G69)</f>
        <v>43990</v>
      </c>
      <c r="G69" s="56">
        <v>0</v>
      </c>
      <c r="H69" s="22" t="s">
        <v>18</v>
      </c>
      <c r="I69" s="22" t="s">
        <v>18</v>
      </c>
      <c r="J69" t="s">
        <v>23</v>
      </c>
      <c r="K69" t="s">
        <v>23</v>
      </c>
      <c r="L69" t="s">
        <v>23</v>
      </c>
      <c r="M69" t="s">
        <v>23</v>
      </c>
      <c r="N69" s="7" t="s">
        <v>23</v>
      </c>
      <c r="O69" s="7" t="s">
        <v>23</v>
      </c>
      <c r="P69" s="24" t="s">
        <v>20</v>
      </c>
      <c r="Q69" s="24" t="s">
        <v>20</v>
      </c>
      <c r="R69" s="24" t="s">
        <v>20</v>
      </c>
      <c r="S69" s="24" t="s">
        <v>20</v>
      </c>
      <c r="T69" t="s">
        <v>23</v>
      </c>
      <c r="U69" t="s">
        <v>23</v>
      </c>
      <c r="V69" s="7" t="s">
        <v>23</v>
      </c>
      <c r="W69" s="7" t="s">
        <v>23</v>
      </c>
      <c r="X69" s="34" t="s">
        <v>41</v>
      </c>
      <c r="Y69" s="24" t="s">
        <v>20</v>
      </c>
      <c r="Z69" s="24" t="s">
        <v>20</v>
      </c>
      <c r="AA69" s="24" t="s">
        <v>20</v>
      </c>
      <c r="AB69" s="23" t="s">
        <v>19</v>
      </c>
      <c r="AC69" t="s">
        <v>23</v>
      </c>
      <c r="AD69" s="7" t="s">
        <v>23</v>
      </c>
      <c r="AE69" s="7" t="s">
        <v>23</v>
      </c>
      <c r="AF69" s="36">
        <v>0</v>
      </c>
      <c r="AG69" s="36"/>
      <c r="AH69" s="36"/>
      <c r="AI69" s="36"/>
      <c r="AJ69" s="8" t="s">
        <v>31</v>
      </c>
    </row>
    <row r="70" spans="1:36">
      <c r="A70" s="1">
        <v>44522</v>
      </c>
      <c r="B70" s="55">
        <v>1600</v>
      </c>
      <c r="C70" s="55" cm="1">
        <f t="array" ref="C70">(SUM(VLOOKUP(H70:AE70,$AL$4:$AN$44,2,FALSE))+AF70*10)*IF(AJ70="是",$AW$4,$AW$3)</f>
        <v>1632</v>
      </c>
      <c r="D70" s="57">
        <f>SUM($B$4:B70)-SUM($C$4:C70)</f>
        <v>158</v>
      </c>
      <c r="E70" s="55" cm="1">
        <f t="array" ref="E70">SUM(VLOOKUP(H70:AE70,$AL$4:$AN$44,3,FALSE))</f>
        <v>580</v>
      </c>
      <c r="F70" s="55">
        <f>SUM($E$4:E70)+SUM($G$4:G70)</f>
        <v>44870</v>
      </c>
      <c r="G70" s="55">
        <v>300</v>
      </c>
      <c r="H70" s="22" t="s">
        <v>18</v>
      </c>
      <c r="I70" s="22" t="s">
        <v>18</v>
      </c>
      <c r="J70" t="s">
        <v>23</v>
      </c>
      <c r="K70" t="s">
        <v>23</v>
      </c>
      <c r="L70" t="s">
        <v>23</v>
      </c>
      <c r="M70" t="s">
        <v>23</v>
      </c>
      <c r="N70" s="7" t="s">
        <v>23</v>
      </c>
      <c r="O70" s="7" t="s">
        <v>23</v>
      </c>
      <c r="P70" s="24" t="s">
        <v>20</v>
      </c>
      <c r="Q70" s="24" t="s">
        <v>20</v>
      </c>
      <c r="R70" s="24" t="s">
        <v>20</v>
      </c>
      <c r="S70" s="24" t="s">
        <v>20</v>
      </c>
      <c r="T70" t="s">
        <v>23</v>
      </c>
      <c r="U70" t="s">
        <v>23</v>
      </c>
      <c r="V70" s="7" t="s">
        <v>23</v>
      </c>
      <c r="W70" s="7" t="s">
        <v>23</v>
      </c>
      <c r="X70" s="24" t="s">
        <v>20</v>
      </c>
      <c r="Y70" s="24" t="s">
        <v>20</v>
      </c>
      <c r="Z70" s="24" t="s">
        <v>20</v>
      </c>
      <c r="AA70" s="24" t="s">
        <v>20</v>
      </c>
      <c r="AB70" s="23" t="s">
        <v>19</v>
      </c>
      <c r="AC70" t="s">
        <v>23</v>
      </c>
      <c r="AD70" s="7" t="s">
        <v>23</v>
      </c>
      <c r="AE70" s="7" t="s">
        <v>23</v>
      </c>
      <c r="AF70" s="36">
        <v>0</v>
      </c>
      <c r="AG70" s="36"/>
      <c r="AH70" s="36"/>
      <c r="AI70" s="36"/>
      <c r="AJ70" s="8" t="s">
        <v>31</v>
      </c>
    </row>
    <row r="71" spans="1:36">
      <c r="A71" s="1">
        <v>44523</v>
      </c>
      <c r="B71" s="55">
        <v>1600</v>
      </c>
      <c r="C71" s="55" cm="1">
        <f t="array" ref="C71">(SUM(VLOOKUP(H71:AE71,$AL$4:$AN$44,2,FALSE))+AF71*10)*IF(AJ71="是",$AW$4,$AW$3)</f>
        <v>1600</v>
      </c>
      <c r="D71" s="57">
        <f>SUM($B$4:B71)-SUM($C$4:C71)</f>
        <v>158</v>
      </c>
      <c r="E71" s="55" cm="1">
        <f t="array" ref="E71">SUM(VLOOKUP(H71:AE71,$AL$4:$AN$44,3,FALSE))</f>
        <v>560</v>
      </c>
      <c r="F71" s="55">
        <f>SUM($E$4:E71)+SUM($G$4:G71)</f>
        <v>45430</v>
      </c>
      <c r="G71" s="55">
        <v>0</v>
      </c>
      <c r="H71" s="22" t="s">
        <v>18</v>
      </c>
      <c r="I71" s="22" t="s">
        <v>18</v>
      </c>
      <c r="J71" t="s">
        <v>23</v>
      </c>
      <c r="K71" t="s">
        <v>23</v>
      </c>
      <c r="L71" t="s">
        <v>23</v>
      </c>
      <c r="M71" t="s">
        <v>23</v>
      </c>
      <c r="N71" s="7" t="s">
        <v>23</v>
      </c>
      <c r="O71" s="7" t="s">
        <v>23</v>
      </c>
      <c r="P71" s="24" t="s">
        <v>20</v>
      </c>
      <c r="Q71" s="24" t="s">
        <v>20</v>
      </c>
      <c r="R71" s="24" t="s">
        <v>20</v>
      </c>
      <c r="S71" s="24" t="s">
        <v>20</v>
      </c>
      <c r="T71" t="s">
        <v>23</v>
      </c>
      <c r="U71" t="s">
        <v>23</v>
      </c>
      <c r="V71" s="7" t="s">
        <v>23</v>
      </c>
      <c r="W71" s="7" t="s">
        <v>23</v>
      </c>
      <c r="X71" s="23" t="s">
        <v>19</v>
      </c>
      <c r="Y71" s="23" t="s">
        <v>19</v>
      </c>
      <c r="Z71" s="23" t="s">
        <v>19</v>
      </c>
      <c r="AA71" s="23" t="s">
        <v>19</v>
      </c>
      <c r="AB71" s="23" t="s">
        <v>19</v>
      </c>
      <c r="AC71" t="s">
        <v>23</v>
      </c>
      <c r="AD71" s="7" t="s">
        <v>23</v>
      </c>
      <c r="AE71" s="7" t="s">
        <v>23</v>
      </c>
      <c r="AF71" s="36">
        <v>0</v>
      </c>
      <c r="AG71" s="36"/>
      <c r="AH71" s="36"/>
      <c r="AI71" s="36"/>
      <c r="AJ71" s="8" t="s">
        <v>31</v>
      </c>
    </row>
    <row r="72" spans="1:36">
      <c r="A72" s="1">
        <v>44524</v>
      </c>
      <c r="B72" s="55">
        <v>1600</v>
      </c>
      <c r="C72" s="55" cm="1">
        <f t="array" ref="C72">(SUM(VLOOKUP(H72:AE72,$AL$4:$AN$44,2,FALSE))+AF72*10)*IF(AJ72="是",$AW$4,$AW$3)</f>
        <v>1632</v>
      </c>
      <c r="D72" s="57">
        <f>SUM($B$4:B72)-SUM($C$4:C72)</f>
        <v>126</v>
      </c>
      <c r="E72" s="55" cm="1">
        <f t="array" ref="E72">SUM(VLOOKUP(H72:AE72,$AL$4:$AN$44,3,FALSE))</f>
        <v>585</v>
      </c>
      <c r="F72" s="55">
        <f>SUM($E$4:E72)+SUM($G$4:G72)</f>
        <v>46215</v>
      </c>
      <c r="G72" s="55">
        <v>200</v>
      </c>
      <c r="H72" s="22" t="s">
        <v>18</v>
      </c>
      <c r="I72" s="22" t="s">
        <v>18</v>
      </c>
      <c r="J72" s="23" t="s">
        <v>19</v>
      </c>
      <c r="K72" t="s">
        <v>23</v>
      </c>
      <c r="L72" t="s">
        <v>23</v>
      </c>
      <c r="M72" t="s">
        <v>23</v>
      </c>
      <c r="N72" s="7" t="s">
        <v>23</v>
      </c>
      <c r="O72" s="7" t="s">
        <v>23</v>
      </c>
      <c r="P72" s="28" t="s">
        <v>12</v>
      </c>
      <c r="Q72" s="24" t="s">
        <v>20</v>
      </c>
      <c r="R72" s="24" t="s">
        <v>20</v>
      </c>
      <c r="S72" s="24" t="s">
        <v>20</v>
      </c>
      <c r="T72" t="s">
        <v>23</v>
      </c>
      <c r="U72" t="s">
        <v>23</v>
      </c>
      <c r="V72" s="7" t="s">
        <v>23</v>
      </c>
      <c r="W72" s="7" t="s">
        <v>23</v>
      </c>
      <c r="X72" s="23" t="s">
        <v>19</v>
      </c>
      <c r="Y72" s="23" t="s">
        <v>19</v>
      </c>
      <c r="Z72" s="23" t="s">
        <v>19</v>
      </c>
      <c r="AA72" s="23" t="s">
        <v>19</v>
      </c>
      <c r="AB72" s="23" t="s">
        <v>19</v>
      </c>
      <c r="AC72" t="s">
        <v>23</v>
      </c>
      <c r="AD72" s="7" t="s">
        <v>23</v>
      </c>
      <c r="AE72" s="7" t="s">
        <v>23</v>
      </c>
      <c r="AF72" s="36">
        <v>0</v>
      </c>
      <c r="AG72" s="36"/>
      <c r="AH72" s="36"/>
      <c r="AI72" s="36"/>
      <c r="AJ72" s="8" t="s">
        <v>31</v>
      </c>
    </row>
    <row r="73" spans="1:36">
      <c r="A73" s="1">
        <v>44525</v>
      </c>
      <c r="B73" s="55">
        <v>1600</v>
      </c>
      <c r="C73" s="55" cm="1">
        <f t="array" ref="C73">(SUM(VLOOKUP(H73:AE73,$AL$4:$AN$44,2,FALSE))+AF73*10)*IF(AJ73="是",$AW$4,$AW$3)</f>
        <v>1512</v>
      </c>
      <c r="D73" s="57">
        <f>SUM($B$4:B73)-SUM($C$4:C73)</f>
        <v>214</v>
      </c>
      <c r="E73" s="55" cm="1">
        <f t="array" ref="E73">SUM(VLOOKUP(H73:AE73,$AL$4:$AN$44,3,FALSE))</f>
        <v>550</v>
      </c>
      <c r="F73" s="55">
        <f>SUM($E$4:E73)+SUM($G$4:G73)</f>
        <v>46765</v>
      </c>
      <c r="G73" s="55">
        <v>0</v>
      </c>
      <c r="H73" s="23" t="s">
        <v>19</v>
      </c>
      <c r="I73" s="23" t="s">
        <v>19</v>
      </c>
      <c r="J73" t="s">
        <v>23</v>
      </c>
      <c r="K73" t="s">
        <v>23</v>
      </c>
      <c r="L73" t="s">
        <v>23</v>
      </c>
      <c r="M73" t="s">
        <v>23</v>
      </c>
      <c r="N73" s="7" t="s">
        <v>23</v>
      </c>
      <c r="O73" s="7" t="s">
        <v>23</v>
      </c>
      <c r="P73" s="24" t="s">
        <v>20</v>
      </c>
      <c r="Q73" s="24" t="s">
        <v>20</v>
      </c>
      <c r="R73" s="24" t="s">
        <v>20</v>
      </c>
      <c r="S73" s="24" t="s">
        <v>20</v>
      </c>
      <c r="T73" t="s">
        <v>23</v>
      </c>
      <c r="U73" t="s">
        <v>23</v>
      </c>
      <c r="V73" s="7" t="s">
        <v>23</v>
      </c>
      <c r="W73" s="7" t="s">
        <v>23</v>
      </c>
      <c r="X73" s="23" t="s">
        <v>19</v>
      </c>
      <c r="Y73" s="23" t="s">
        <v>19</v>
      </c>
      <c r="Z73" s="23" t="s">
        <v>19</v>
      </c>
      <c r="AA73" s="23" t="s">
        <v>19</v>
      </c>
      <c r="AB73" s="28" t="s">
        <v>12</v>
      </c>
      <c r="AC73" t="s">
        <v>23</v>
      </c>
      <c r="AD73" s="7" t="s">
        <v>23</v>
      </c>
      <c r="AE73" s="7" t="s">
        <v>23</v>
      </c>
      <c r="AF73" s="36">
        <v>0</v>
      </c>
      <c r="AG73" s="36"/>
      <c r="AH73" s="36"/>
      <c r="AI73" s="36"/>
      <c r="AJ73" s="8" t="s">
        <v>31</v>
      </c>
    </row>
    <row r="74" spans="1:36">
      <c r="A74" s="1">
        <v>44526</v>
      </c>
      <c r="B74" s="55">
        <v>1600</v>
      </c>
      <c r="C74" s="55" cm="1">
        <f t="array" ref="C74">(SUM(VLOOKUP(H74:AE74,$AL$4:$AN$44,2,FALSE))+AF74*10)*IF(AJ74="是",$AW$4,$AW$3)</f>
        <v>1616</v>
      </c>
      <c r="D74" s="57">
        <f>SUM($B$4:B74)-SUM($C$4:C74)</f>
        <v>198</v>
      </c>
      <c r="E74" s="55" cm="1">
        <f t="array" ref="E74">SUM(VLOOKUP(H74:AE74,$AL$4:$AN$44,3,FALSE))</f>
        <v>570</v>
      </c>
      <c r="F74" s="55">
        <f>SUM($E$4:E74)+SUM($G$4:G74)</f>
        <v>47335</v>
      </c>
      <c r="G74" s="55">
        <v>0</v>
      </c>
      <c r="H74" s="23" t="s">
        <v>19</v>
      </c>
      <c r="I74" s="23" t="s">
        <v>19</v>
      </c>
      <c r="J74" t="s">
        <v>23</v>
      </c>
      <c r="K74" t="s">
        <v>23</v>
      </c>
      <c r="L74" t="s">
        <v>23</v>
      </c>
      <c r="M74" t="s">
        <v>23</v>
      </c>
      <c r="N74" s="7" t="s">
        <v>23</v>
      </c>
      <c r="O74" s="7" t="s">
        <v>23</v>
      </c>
      <c r="P74" s="24" t="s">
        <v>20</v>
      </c>
      <c r="Q74" s="24" t="s">
        <v>20</v>
      </c>
      <c r="R74" s="24" t="s">
        <v>20</v>
      </c>
      <c r="S74" s="24" t="s">
        <v>20</v>
      </c>
      <c r="T74" t="s">
        <v>23</v>
      </c>
      <c r="U74" t="s">
        <v>23</v>
      </c>
      <c r="V74" s="7" t="s">
        <v>23</v>
      </c>
      <c r="W74" s="7" t="s">
        <v>23</v>
      </c>
      <c r="X74" s="23" t="s">
        <v>19</v>
      </c>
      <c r="Y74" s="23" t="s">
        <v>19</v>
      </c>
      <c r="Z74" s="23" t="s">
        <v>19</v>
      </c>
      <c r="AA74" s="23" t="s">
        <v>19</v>
      </c>
      <c r="AB74" s="23" t="s">
        <v>19</v>
      </c>
      <c r="AC74" t="s">
        <v>23</v>
      </c>
      <c r="AD74" s="7" t="s">
        <v>23</v>
      </c>
      <c r="AE74" s="7" t="s">
        <v>23</v>
      </c>
      <c r="AF74" s="36">
        <v>0</v>
      </c>
      <c r="AG74" s="36"/>
      <c r="AH74" s="36"/>
      <c r="AI74" s="36"/>
      <c r="AJ74" s="8" t="s">
        <v>31</v>
      </c>
    </row>
    <row r="75" spans="1:36">
      <c r="A75" s="1">
        <v>44527</v>
      </c>
      <c r="B75" s="55">
        <v>1600</v>
      </c>
      <c r="C75" s="55" cm="1">
        <f t="array" ref="C75">(SUM(VLOOKUP(H75:AE75,$AL$4:$AN$44,2,FALSE))+AF75*10)*IF(AJ75="是",$AW$4,$AW$3)</f>
        <v>1616</v>
      </c>
      <c r="D75" s="57">
        <f>SUM($B$4:B75)-SUM($C$4:C75)</f>
        <v>182</v>
      </c>
      <c r="E75" s="55" cm="1">
        <f t="array" ref="E75">SUM(VLOOKUP(H75:AE75,$AL$4:$AN$44,3,FALSE))</f>
        <v>570</v>
      </c>
      <c r="F75" s="55">
        <f>SUM($E$4:E75)+SUM($G$4:G75)</f>
        <v>47905</v>
      </c>
      <c r="G75" s="55">
        <v>0</v>
      </c>
      <c r="H75" s="23" t="s">
        <v>19</v>
      </c>
      <c r="I75" s="23" t="s">
        <v>19</v>
      </c>
      <c r="J75" s="23" t="s">
        <v>19</v>
      </c>
      <c r="K75" t="s">
        <v>23</v>
      </c>
      <c r="L75" t="s">
        <v>23</v>
      </c>
      <c r="M75" t="s">
        <v>23</v>
      </c>
      <c r="N75" s="7" t="s">
        <v>23</v>
      </c>
      <c r="O75" s="7" t="s">
        <v>23</v>
      </c>
      <c r="P75" s="24" t="s">
        <v>20</v>
      </c>
      <c r="Q75" s="24" t="s">
        <v>20</v>
      </c>
      <c r="R75" s="24" t="s">
        <v>20</v>
      </c>
      <c r="S75" s="24" t="s">
        <v>20</v>
      </c>
      <c r="T75" t="s">
        <v>23</v>
      </c>
      <c r="U75" t="s">
        <v>23</v>
      </c>
      <c r="V75" s="7" t="s">
        <v>23</v>
      </c>
      <c r="W75" s="7" t="s">
        <v>23</v>
      </c>
      <c r="X75" s="23" t="s">
        <v>19</v>
      </c>
      <c r="Y75" s="23" t="s">
        <v>19</v>
      </c>
      <c r="Z75" s="23" t="s">
        <v>19</v>
      </c>
      <c r="AA75" s="23" t="s">
        <v>19</v>
      </c>
      <c r="AB75" t="s">
        <v>23</v>
      </c>
      <c r="AC75" t="s">
        <v>23</v>
      </c>
      <c r="AD75" s="7" t="s">
        <v>23</v>
      </c>
      <c r="AE75" s="7" t="s">
        <v>23</v>
      </c>
      <c r="AF75" s="36">
        <v>0</v>
      </c>
      <c r="AG75" s="36"/>
      <c r="AH75" s="36"/>
      <c r="AI75" s="36"/>
      <c r="AJ75" s="8" t="s">
        <v>31</v>
      </c>
    </row>
    <row r="76" spans="1:36">
      <c r="A76" s="1">
        <v>44528</v>
      </c>
      <c r="B76" s="55">
        <v>1600</v>
      </c>
      <c r="C76" s="55" cm="1">
        <f t="array" ref="C76">(SUM(VLOOKUP(H76:AE76,$AL$4:$AN$44,2,FALSE))+AF76*10)*IF(AJ76="是",$AW$4,$AW$3)</f>
        <v>1656</v>
      </c>
      <c r="D76" s="57">
        <f>SUM($B$4:B76)-SUM($C$4:C76)</f>
        <v>126</v>
      </c>
      <c r="E76" s="55" cm="1">
        <f t="array" ref="E76">SUM(VLOOKUP(H76:AE76,$AL$4:$AN$44,3,FALSE))</f>
        <v>600</v>
      </c>
      <c r="F76" s="55">
        <f>SUM($E$4:E76)+SUM($G$4:G76)</f>
        <v>48505</v>
      </c>
      <c r="G76" s="55">
        <v>0</v>
      </c>
      <c r="H76" s="28" t="s">
        <v>12</v>
      </c>
      <c r="I76" s="23" t="s">
        <v>19</v>
      </c>
      <c r="J76" s="23" t="s">
        <v>19</v>
      </c>
      <c r="K76" s="23" t="s">
        <v>19</v>
      </c>
      <c r="L76" t="s">
        <v>23</v>
      </c>
      <c r="M76" t="s">
        <v>23</v>
      </c>
      <c r="N76" s="7" t="s">
        <v>23</v>
      </c>
      <c r="O76" s="7" t="s">
        <v>23</v>
      </c>
      <c r="P76" s="24" t="s">
        <v>20</v>
      </c>
      <c r="Q76" s="24" t="s">
        <v>20</v>
      </c>
      <c r="R76" s="24" t="s">
        <v>20</v>
      </c>
      <c r="S76" s="24" t="s">
        <v>20</v>
      </c>
      <c r="T76" t="s">
        <v>23</v>
      </c>
      <c r="U76" t="s">
        <v>23</v>
      </c>
      <c r="V76" s="7" t="s">
        <v>23</v>
      </c>
      <c r="W76" s="7" t="s">
        <v>23</v>
      </c>
      <c r="X76" s="23" t="s">
        <v>19</v>
      </c>
      <c r="Y76" s="23" t="s">
        <v>19</v>
      </c>
      <c r="Z76" s="23" t="s">
        <v>19</v>
      </c>
      <c r="AA76" s="23" t="s">
        <v>19</v>
      </c>
      <c r="AB76" t="s">
        <v>23</v>
      </c>
      <c r="AC76" t="s">
        <v>23</v>
      </c>
      <c r="AD76" s="7" t="s">
        <v>23</v>
      </c>
      <c r="AE76" s="7" t="s">
        <v>23</v>
      </c>
      <c r="AF76" s="36">
        <v>0</v>
      </c>
      <c r="AG76" s="36"/>
      <c r="AH76" s="36"/>
      <c r="AI76" s="36"/>
      <c r="AJ76" s="8" t="s">
        <v>31</v>
      </c>
    </row>
    <row r="77" spans="1:36">
      <c r="A77" s="1">
        <v>44529</v>
      </c>
      <c r="B77" s="56">
        <v>1600</v>
      </c>
      <c r="C77" s="55" cm="1">
        <f t="array" ref="C77">(SUM(VLOOKUP(H77:AE77,$AL$4:$AN$44,2,FALSE))+AF77*10)*IF(AJ77="是",$AW$4,$AW$3)</f>
        <v>1472</v>
      </c>
      <c r="D77" s="18">
        <f>SUM($B$4:B77)-SUM($C$4:C77)</f>
        <v>254</v>
      </c>
      <c r="E77" s="55" cm="1">
        <f t="array" ref="E77">SUM(VLOOKUP(H77:AE77,$AL$4:$AN$44,3,FALSE))</f>
        <v>520</v>
      </c>
      <c r="F77" s="55">
        <f>SUM($E$4:E77)+SUM($G$4:G77)</f>
        <v>49225</v>
      </c>
      <c r="G77" s="56">
        <v>200</v>
      </c>
      <c r="H77" s="23" t="s">
        <v>19</v>
      </c>
      <c r="I77" s="23" t="s">
        <v>19</v>
      </c>
      <c r="J77" t="s">
        <v>23</v>
      </c>
      <c r="K77" t="s">
        <v>23</v>
      </c>
      <c r="L77" t="s">
        <v>23</v>
      </c>
      <c r="M77" t="s">
        <v>23</v>
      </c>
      <c r="N77" s="7" t="s">
        <v>23</v>
      </c>
      <c r="O77" s="7" t="s">
        <v>23</v>
      </c>
      <c r="P77" s="24" t="s">
        <v>20</v>
      </c>
      <c r="Q77" s="24" t="s">
        <v>20</v>
      </c>
      <c r="R77" s="24" t="s">
        <v>20</v>
      </c>
      <c r="S77" s="24" t="s">
        <v>20</v>
      </c>
      <c r="T77" t="s">
        <v>23</v>
      </c>
      <c r="U77" t="s">
        <v>23</v>
      </c>
      <c r="V77" s="7" t="s">
        <v>23</v>
      </c>
      <c r="W77" s="7" t="s">
        <v>23</v>
      </c>
      <c r="X77" s="23" t="s">
        <v>19</v>
      </c>
      <c r="Y77" s="23" t="s">
        <v>19</v>
      </c>
      <c r="Z77" s="23" t="s">
        <v>19</v>
      </c>
      <c r="AA77" s="23" t="s">
        <v>19</v>
      </c>
      <c r="AB77" t="s">
        <v>23</v>
      </c>
      <c r="AC77" t="s">
        <v>23</v>
      </c>
      <c r="AD77" s="7" t="s">
        <v>23</v>
      </c>
      <c r="AE77" s="7" t="s">
        <v>23</v>
      </c>
      <c r="AF77" s="36">
        <v>0</v>
      </c>
      <c r="AG77" s="36"/>
      <c r="AH77" s="36"/>
      <c r="AI77" s="36"/>
      <c r="AJ77" s="8" t="s">
        <v>31</v>
      </c>
    </row>
    <row r="78" spans="1:36">
      <c r="A78" s="1">
        <v>44530</v>
      </c>
      <c r="B78" s="56">
        <v>1600</v>
      </c>
      <c r="C78" s="55" cm="1">
        <f t="array" ref="C78">(SUM(VLOOKUP(H78:AE78,$AL$4:$AN$44,2,FALSE))+AF78*10)*IF(AJ78="是",$AW$4,$AW$3)</f>
        <v>1704</v>
      </c>
      <c r="D78" s="18">
        <f>SUM($B$4:B78)-SUM($C$4:C78)</f>
        <v>150</v>
      </c>
      <c r="E78" s="55" cm="1">
        <f t="array" ref="E78">SUM(VLOOKUP(H78:AE78,$AL$4:$AN$44,3,FALSE))</f>
        <v>620</v>
      </c>
      <c r="F78" s="55">
        <f>SUM($E$4:E78)+SUM($G$4:G78)</f>
        <v>49945</v>
      </c>
      <c r="G78" s="56">
        <v>100</v>
      </c>
      <c r="H78" s="23" t="s">
        <v>19</v>
      </c>
      <c r="I78" s="23" t="s">
        <v>19</v>
      </c>
      <c r="J78" s="23" t="s">
        <v>8</v>
      </c>
      <c r="K78" s="23" t="s">
        <v>19</v>
      </c>
      <c r="L78" t="s">
        <v>23</v>
      </c>
      <c r="M78" t="s">
        <v>23</v>
      </c>
      <c r="N78" s="7" t="s">
        <v>23</v>
      </c>
      <c r="O78" s="7" t="s">
        <v>23</v>
      </c>
      <c r="P78" s="24" t="s">
        <v>20</v>
      </c>
      <c r="Q78" s="24" t="s">
        <v>20</v>
      </c>
      <c r="R78" s="24" t="s">
        <v>9</v>
      </c>
      <c r="S78" s="24" t="s">
        <v>20</v>
      </c>
      <c r="T78" t="s">
        <v>23</v>
      </c>
      <c r="U78" t="s">
        <v>23</v>
      </c>
      <c r="V78" s="7" t="s">
        <v>23</v>
      </c>
      <c r="W78" s="7" t="s">
        <v>23</v>
      </c>
      <c r="X78" s="23" t="s">
        <v>19</v>
      </c>
      <c r="Y78" s="23" t="s">
        <v>19</v>
      </c>
      <c r="Z78" s="23" t="s">
        <v>19</v>
      </c>
      <c r="AA78" s="23" t="s">
        <v>19</v>
      </c>
      <c r="AB78" t="s">
        <v>23</v>
      </c>
      <c r="AC78" t="s">
        <v>23</v>
      </c>
      <c r="AD78" s="7" t="s">
        <v>23</v>
      </c>
      <c r="AE78" s="7" t="s">
        <v>23</v>
      </c>
      <c r="AF78" s="36">
        <v>0</v>
      </c>
      <c r="AG78" s="36"/>
      <c r="AH78" s="36"/>
      <c r="AI78" s="36"/>
      <c r="AJ78" s="8" t="s">
        <v>31</v>
      </c>
    </row>
    <row r="79" spans="1:36">
      <c r="A79" s="1">
        <v>44531</v>
      </c>
      <c r="B79" s="56">
        <v>1600</v>
      </c>
      <c r="C79" s="55" cm="1">
        <f t="array" ref="C79">(SUM(VLOOKUP(H79:AE79,$AL$4:$AN$44,2,FALSE))+AF79*10)*IF(AJ79="是",$AW$4,$AW$3)</f>
        <v>1616</v>
      </c>
      <c r="D79" s="18">
        <f>SUM($B$4:B79)-SUM($C$4:C79)</f>
        <v>134</v>
      </c>
      <c r="E79" s="55" cm="1">
        <f t="array" ref="E79">SUM(VLOOKUP(H79:AE79,$AL$4:$AN$44,3,FALSE))</f>
        <v>570</v>
      </c>
      <c r="F79" s="55">
        <f>SUM($E$4:E79)+SUM($G$4:G79)</f>
        <v>50715</v>
      </c>
      <c r="G79" s="56">
        <v>200</v>
      </c>
      <c r="H79" s="23" t="s">
        <v>19</v>
      </c>
      <c r="I79" s="23" t="s">
        <v>19</v>
      </c>
      <c r="J79" s="23" t="s">
        <v>19</v>
      </c>
      <c r="K79" t="s">
        <v>23</v>
      </c>
      <c r="L79" t="s">
        <v>23</v>
      </c>
      <c r="M79" t="s">
        <v>23</v>
      </c>
      <c r="N79" s="7" t="s">
        <v>23</v>
      </c>
      <c r="O79" s="7" t="s">
        <v>23</v>
      </c>
      <c r="P79" s="24" t="s">
        <v>20</v>
      </c>
      <c r="Q79" s="24" t="s">
        <v>20</v>
      </c>
      <c r="R79" s="24" t="s">
        <v>20</v>
      </c>
      <c r="S79" s="24" t="s">
        <v>20</v>
      </c>
      <c r="T79" t="s">
        <v>23</v>
      </c>
      <c r="U79" t="s">
        <v>23</v>
      </c>
      <c r="V79" s="7" t="s">
        <v>23</v>
      </c>
      <c r="W79" s="7" t="s">
        <v>23</v>
      </c>
      <c r="X79" s="23" t="s">
        <v>19</v>
      </c>
      <c r="Y79" s="23" t="s">
        <v>19</v>
      </c>
      <c r="Z79" s="23" t="s">
        <v>19</v>
      </c>
      <c r="AA79" s="23" t="s">
        <v>19</v>
      </c>
      <c r="AB79" t="s">
        <v>23</v>
      </c>
      <c r="AC79" t="s">
        <v>23</v>
      </c>
      <c r="AD79" s="7" t="s">
        <v>23</v>
      </c>
      <c r="AE79" s="7" t="s">
        <v>23</v>
      </c>
      <c r="AF79" s="36">
        <v>0</v>
      </c>
      <c r="AG79" s="36"/>
      <c r="AH79" s="36"/>
      <c r="AI79" s="36"/>
      <c r="AJ79" s="8" t="s">
        <v>31</v>
      </c>
    </row>
    <row r="80" spans="1:36">
      <c r="A80" s="1">
        <v>44532</v>
      </c>
      <c r="B80" s="56">
        <v>1600</v>
      </c>
      <c r="C80" s="55" cm="1">
        <f t="array" ref="C80">(SUM(VLOOKUP(H80:AE80,$AL$4:$AN$44,2,FALSE))+AF80*10)*IF(AJ80="是",$AW$4,$AW$3)</f>
        <v>1488</v>
      </c>
      <c r="D80" s="18">
        <f>SUM($B$4:B80)-SUM($C$4:C80)</f>
        <v>246</v>
      </c>
      <c r="E80" s="55" cm="1">
        <f t="array" ref="E80">SUM(VLOOKUP(H80:AE80,$AL$4:$AN$44,3,FALSE))</f>
        <v>595</v>
      </c>
      <c r="F80" s="55">
        <f>SUM($E$4:E80)+SUM($G$4:G80)</f>
        <v>51310</v>
      </c>
      <c r="G80" s="56">
        <v>0</v>
      </c>
      <c r="H80" s="23" t="s">
        <v>19</v>
      </c>
      <c r="I80" s="23" t="s">
        <v>19</v>
      </c>
      <c r="J80" s="23" t="s">
        <v>19</v>
      </c>
      <c r="K80" s="23" t="s">
        <v>19</v>
      </c>
      <c r="L80" s="23" t="s">
        <v>19</v>
      </c>
      <c r="M80" s="23" t="s">
        <v>19</v>
      </c>
      <c r="N80" s="7" t="s">
        <v>23</v>
      </c>
      <c r="O80" s="7" t="s">
        <v>23</v>
      </c>
      <c r="P80" s="24" t="s">
        <v>20</v>
      </c>
      <c r="Q80" s="29" t="s">
        <v>47</v>
      </c>
      <c r="R80" s="25" t="s">
        <v>21</v>
      </c>
      <c r="S80" t="s">
        <v>23</v>
      </c>
      <c r="T80" t="s">
        <v>23</v>
      </c>
      <c r="U80" t="s">
        <v>23</v>
      </c>
      <c r="V80" s="7" t="s">
        <v>23</v>
      </c>
      <c r="W80" s="7" t="s">
        <v>23</v>
      </c>
      <c r="X80" s="23" t="s">
        <v>19</v>
      </c>
      <c r="Y80" s="23" t="s">
        <v>19</v>
      </c>
      <c r="Z80" s="28" t="s">
        <v>12</v>
      </c>
      <c r="AA80" s="23" t="s">
        <v>19</v>
      </c>
      <c r="AB80" t="s">
        <v>23</v>
      </c>
      <c r="AC80" t="s">
        <v>23</v>
      </c>
      <c r="AD80" s="7" t="s">
        <v>23</v>
      </c>
      <c r="AE80" s="7" t="s">
        <v>23</v>
      </c>
      <c r="AF80" s="36">
        <v>0</v>
      </c>
      <c r="AG80" s="36"/>
      <c r="AH80" s="36"/>
      <c r="AI80" s="36"/>
      <c r="AJ80" s="8" t="s">
        <v>31</v>
      </c>
    </row>
    <row r="81" spans="1:36">
      <c r="A81" s="1">
        <v>44533</v>
      </c>
      <c r="B81" s="56">
        <v>1600</v>
      </c>
      <c r="C81" s="55" cm="1">
        <f t="array" ref="C81">(SUM(VLOOKUP(H81:AE81,$AL$4:$AN$44,2,FALSE))+AF81*10)*IF(AJ81="是",$AW$4,$AW$3)</f>
        <v>1624</v>
      </c>
      <c r="D81" s="18">
        <f>SUM($B$4:B81)-SUM($C$4:C81)</f>
        <v>222</v>
      </c>
      <c r="E81" s="55" cm="1">
        <f t="array" ref="E81">SUM(VLOOKUP(H81:AE81,$AL$4:$AN$44,3,FALSE))</f>
        <v>575</v>
      </c>
      <c r="F81" s="55">
        <f>SUM($E$4:E81)+SUM($G$4:G81)</f>
        <v>51885</v>
      </c>
      <c r="G81" s="56">
        <v>0</v>
      </c>
      <c r="H81" s="23" t="s">
        <v>19</v>
      </c>
      <c r="I81" s="23" t="s">
        <v>19</v>
      </c>
      <c r="J81" s="23" t="s">
        <v>19</v>
      </c>
      <c r="K81" s="22" t="s">
        <v>18</v>
      </c>
      <c r="L81" t="s">
        <v>23</v>
      </c>
      <c r="M81" t="s">
        <v>23</v>
      </c>
      <c r="N81" s="7" t="s">
        <v>23</v>
      </c>
      <c r="O81" s="7" t="s">
        <v>23</v>
      </c>
      <c r="P81" s="25" t="s">
        <v>21</v>
      </c>
      <c r="Q81" s="25" t="s">
        <v>21</v>
      </c>
      <c r="R81" s="25" t="s">
        <v>21</v>
      </c>
      <c r="S81" t="s">
        <v>23</v>
      </c>
      <c r="T81" t="s">
        <v>23</v>
      </c>
      <c r="U81" t="s">
        <v>23</v>
      </c>
      <c r="V81" s="7" t="s">
        <v>23</v>
      </c>
      <c r="W81" s="7" t="s">
        <v>23</v>
      </c>
      <c r="X81" s="23" t="s">
        <v>19</v>
      </c>
      <c r="Y81" s="23" t="s">
        <v>19</v>
      </c>
      <c r="Z81" s="23" t="s">
        <v>19</v>
      </c>
      <c r="AA81" s="23" t="s">
        <v>19</v>
      </c>
      <c r="AB81" t="s">
        <v>23</v>
      </c>
      <c r="AC81" t="s">
        <v>23</v>
      </c>
      <c r="AD81" s="7" t="s">
        <v>23</v>
      </c>
      <c r="AE81" s="7" t="s">
        <v>23</v>
      </c>
      <c r="AF81" s="36">
        <v>0</v>
      </c>
      <c r="AG81" s="36"/>
      <c r="AH81" s="36"/>
      <c r="AI81" s="36"/>
      <c r="AJ81" s="8" t="s">
        <v>31</v>
      </c>
    </row>
    <row r="82" spans="1:36">
      <c r="A82" s="1">
        <v>44534</v>
      </c>
      <c r="B82" s="56">
        <v>1600</v>
      </c>
      <c r="C82" s="55" cm="1">
        <f t="array" ref="C82">(SUM(VLOOKUP(H82:AE82,$AL$4:$AN$44,2,FALSE))+AF82*10)*IF(AJ82="是",$AW$4,$AW$3)</f>
        <v>1616</v>
      </c>
      <c r="D82" s="18">
        <f>SUM($B$4:B82)-SUM($C$4:C82)</f>
        <v>206</v>
      </c>
      <c r="E82" s="55" cm="1">
        <f t="array" ref="E82">SUM(VLOOKUP(H82:AE82,$AL$4:$AN$44,3,FALSE))</f>
        <v>590</v>
      </c>
      <c r="F82" s="55">
        <f>SUM($E$4:E82)+SUM($G$4:G82)</f>
        <v>52475</v>
      </c>
      <c r="G82" s="56">
        <v>0</v>
      </c>
      <c r="H82" s="22" t="s">
        <v>18</v>
      </c>
      <c r="I82" s="22" t="s">
        <v>18</v>
      </c>
      <c r="J82" s="22" t="s">
        <v>18</v>
      </c>
      <c r="K82" s="22" t="s">
        <v>18</v>
      </c>
      <c r="L82" s="28" t="s">
        <v>12</v>
      </c>
      <c r="M82" t="s">
        <v>23</v>
      </c>
      <c r="N82" s="7" t="s">
        <v>23</v>
      </c>
      <c r="O82" s="7" t="s">
        <v>23</v>
      </c>
      <c r="P82" s="25" t="s">
        <v>21</v>
      </c>
      <c r="Q82" s="25" t="s">
        <v>21</v>
      </c>
      <c r="R82" s="25" t="s">
        <v>21</v>
      </c>
      <c r="S82" t="s">
        <v>23</v>
      </c>
      <c r="T82" t="s">
        <v>23</v>
      </c>
      <c r="U82" t="s">
        <v>23</v>
      </c>
      <c r="V82" s="7" t="s">
        <v>23</v>
      </c>
      <c r="W82" s="7" t="s">
        <v>23</v>
      </c>
      <c r="X82" s="23" t="s">
        <v>8</v>
      </c>
      <c r="Y82" s="23" t="s">
        <v>19</v>
      </c>
      <c r="Z82" s="23" t="s">
        <v>19</v>
      </c>
      <c r="AA82" s="23" t="s">
        <v>19</v>
      </c>
      <c r="AB82" t="s">
        <v>23</v>
      </c>
      <c r="AC82" t="s">
        <v>23</v>
      </c>
      <c r="AD82" s="7" t="s">
        <v>23</v>
      </c>
      <c r="AE82" s="7" t="s">
        <v>23</v>
      </c>
      <c r="AF82" s="36">
        <v>0</v>
      </c>
      <c r="AG82" s="36"/>
      <c r="AH82" s="36"/>
      <c r="AI82" s="36"/>
      <c r="AJ82" s="8" t="s">
        <v>31</v>
      </c>
    </row>
    <row r="83" spans="1:36">
      <c r="A83" s="1">
        <v>44535</v>
      </c>
      <c r="B83" s="56">
        <v>1600</v>
      </c>
      <c r="C83" s="55" cm="1">
        <f t="array" ref="C83">(SUM(VLOOKUP(H83:AE83,$AL$4:$AN$44,2,FALSE))+AF83*10)*IF(AJ83="是",$AW$4,$AW$3)</f>
        <v>1632</v>
      </c>
      <c r="D83" s="18">
        <f>SUM($B$4:B83)-SUM($C$4:C83)</f>
        <v>174</v>
      </c>
      <c r="E83" s="55" cm="1">
        <f t="array" ref="E83">SUM(VLOOKUP(H83:AE83,$AL$4:$AN$44,3,FALSE))</f>
        <v>580</v>
      </c>
      <c r="F83" s="55">
        <f>SUM($E$4:E83)+SUM($G$4:G83)</f>
        <v>53055</v>
      </c>
      <c r="G83" s="56">
        <v>0</v>
      </c>
      <c r="H83" s="23" t="s">
        <v>19</v>
      </c>
      <c r="I83" s="23" t="s">
        <v>19</v>
      </c>
      <c r="J83" s="23" t="s">
        <v>19</v>
      </c>
      <c r="K83" s="23" t="s">
        <v>19</v>
      </c>
      <c r="L83" t="s">
        <v>23</v>
      </c>
      <c r="M83" t="s">
        <v>23</v>
      </c>
      <c r="N83" s="7" t="s">
        <v>23</v>
      </c>
      <c r="O83" s="7" t="s">
        <v>23</v>
      </c>
      <c r="P83" s="25" t="s">
        <v>21</v>
      </c>
      <c r="Q83" s="25" t="s">
        <v>21</v>
      </c>
      <c r="R83" s="25" t="s">
        <v>21</v>
      </c>
      <c r="S83" t="s">
        <v>23</v>
      </c>
      <c r="T83" t="s">
        <v>23</v>
      </c>
      <c r="U83" t="s">
        <v>23</v>
      </c>
      <c r="V83" s="7" t="s">
        <v>23</v>
      </c>
      <c r="W83" s="7" t="s">
        <v>23</v>
      </c>
      <c r="X83" s="23" t="s">
        <v>19</v>
      </c>
      <c r="Y83" s="23" t="s">
        <v>19</v>
      </c>
      <c r="Z83" s="23" t="s">
        <v>19</v>
      </c>
      <c r="AA83" s="23" t="s">
        <v>19</v>
      </c>
      <c r="AB83" t="s">
        <v>23</v>
      </c>
      <c r="AC83" t="s">
        <v>23</v>
      </c>
      <c r="AD83" s="7" t="s">
        <v>23</v>
      </c>
      <c r="AE83" s="7" t="s">
        <v>23</v>
      </c>
      <c r="AF83" s="36">
        <v>0</v>
      </c>
      <c r="AG83" s="36"/>
      <c r="AH83" s="36"/>
      <c r="AI83" s="36"/>
      <c r="AJ83" s="8" t="s">
        <v>31</v>
      </c>
    </row>
    <row r="84" spans="1:36">
      <c r="A84" s="1">
        <v>44536</v>
      </c>
      <c r="B84" s="55">
        <v>1600</v>
      </c>
      <c r="C84" s="55" cm="1">
        <f t="array" ref="C84">(SUM(VLOOKUP(H84:AE84,$AL$4:$AN$44,2,FALSE))+AF84*10)*IF(AJ84="是",$AW$4,$AW$3)</f>
        <v>1600</v>
      </c>
      <c r="D84" s="57">
        <f>SUM($B$4:B84)-SUM($C$4:C84)</f>
        <v>174</v>
      </c>
      <c r="E84" s="55" cm="1">
        <f t="array" ref="E84">SUM(VLOOKUP(H84:AE84,$AL$4:$AN$44,3,FALSE))</f>
        <v>680</v>
      </c>
      <c r="F84" s="55">
        <f>SUM($E$4:E84)+SUM($G$4:G84)</f>
        <v>54035</v>
      </c>
      <c r="G84" s="55">
        <v>300</v>
      </c>
      <c r="H84" s="23" t="s">
        <v>19</v>
      </c>
      <c r="I84" s="23" t="s">
        <v>19</v>
      </c>
      <c r="J84" s="23" t="s">
        <v>19</v>
      </c>
      <c r="K84" s="23" t="s">
        <v>19</v>
      </c>
      <c r="L84" s="23" t="s">
        <v>19</v>
      </c>
      <c r="M84" s="29" t="s">
        <v>47</v>
      </c>
      <c r="N84" s="23" t="s">
        <v>19</v>
      </c>
      <c r="O84" s="23" t="s">
        <v>19</v>
      </c>
      <c r="P84" s="24" t="s">
        <v>20</v>
      </c>
      <c r="Q84" s="25" t="s">
        <v>21</v>
      </c>
      <c r="R84" s="25" t="s">
        <v>21</v>
      </c>
      <c r="S84" t="s">
        <v>23</v>
      </c>
      <c r="T84" t="s">
        <v>23</v>
      </c>
      <c r="U84" t="s">
        <v>23</v>
      </c>
      <c r="V84" s="7" t="s">
        <v>23</v>
      </c>
      <c r="W84" s="7" t="s">
        <v>23</v>
      </c>
      <c r="X84" s="29" t="s">
        <v>47</v>
      </c>
      <c r="Y84" s="23" t="s">
        <v>19</v>
      </c>
      <c r="Z84" s="23" t="s">
        <v>19</v>
      </c>
      <c r="AA84" s="24" t="s">
        <v>20</v>
      </c>
      <c r="AB84" t="s">
        <v>23</v>
      </c>
      <c r="AC84" t="s">
        <v>23</v>
      </c>
      <c r="AD84" s="7" t="s">
        <v>23</v>
      </c>
      <c r="AE84" s="7" t="s">
        <v>23</v>
      </c>
      <c r="AF84" s="36">
        <v>0</v>
      </c>
      <c r="AG84" s="36"/>
      <c r="AH84" s="36"/>
      <c r="AI84" s="36"/>
      <c r="AJ84" s="8" t="s">
        <v>31</v>
      </c>
    </row>
    <row r="85" spans="1:36">
      <c r="A85" s="1">
        <v>44537</v>
      </c>
      <c r="B85" s="55">
        <v>1600</v>
      </c>
      <c r="C85" s="55" cm="1">
        <f t="array" ref="C85">(SUM(VLOOKUP(H85:AE85,$AL$4:$AN$44,2,FALSE))+AF85*10)*IF(AJ85="是",$AW$4,$AW$3)</f>
        <v>1528</v>
      </c>
      <c r="D85" s="57">
        <f>SUM($B$4:B85)-SUM($C$4:C85)</f>
        <v>246</v>
      </c>
      <c r="E85" s="55" cm="1">
        <f t="array" ref="E85">SUM(VLOOKUP(H85:AE85,$AL$4:$AN$44,3,FALSE))</f>
        <v>1470</v>
      </c>
      <c r="F85" s="55">
        <f>SUM($E$4:E85)+SUM($G$4:G85)</f>
        <v>55505</v>
      </c>
      <c r="G85" s="55">
        <v>0</v>
      </c>
      <c r="H85" s="23" t="s">
        <v>19</v>
      </c>
      <c r="I85" s="23" t="s">
        <v>19</v>
      </c>
      <c r="J85" s="23" t="s">
        <v>19</v>
      </c>
      <c r="K85" s="23" t="s">
        <v>19</v>
      </c>
      <c r="L85" t="s">
        <v>23</v>
      </c>
      <c r="M85" t="s">
        <v>23</v>
      </c>
      <c r="N85" s="7" t="s">
        <v>23</v>
      </c>
      <c r="O85" s="7" t="s">
        <v>23</v>
      </c>
      <c r="P85" s="32" t="s">
        <v>15</v>
      </c>
      <c r="Q85" s="25" t="s">
        <v>21</v>
      </c>
      <c r="R85" s="25" t="s">
        <v>21</v>
      </c>
      <c r="S85" t="s">
        <v>23</v>
      </c>
      <c r="T85" t="s">
        <v>23</v>
      </c>
      <c r="U85" t="s">
        <v>23</v>
      </c>
      <c r="V85" s="7" t="s">
        <v>23</v>
      </c>
      <c r="W85" s="7" t="s">
        <v>23</v>
      </c>
      <c r="X85" s="23" t="s">
        <v>19</v>
      </c>
      <c r="Y85" s="23" t="s">
        <v>19</v>
      </c>
      <c r="Z85" s="23" t="s">
        <v>19</v>
      </c>
      <c r="AA85" t="s">
        <v>23</v>
      </c>
      <c r="AB85" t="s">
        <v>23</v>
      </c>
      <c r="AC85" t="s">
        <v>23</v>
      </c>
      <c r="AD85" s="7" t="s">
        <v>23</v>
      </c>
      <c r="AE85" s="7" t="s">
        <v>23</v>
      </c>
      <c r="AF85" s="36">
        <v>0</v>
      </c>
      <c r="AG85" s="36"/>
      <c r="AH85" s="36"/>
      <c r="AI85" s="36"/>
      <c r="AJ85" s="8" t="s">
        <v>31</v>
      </c>
    </row>
    <row r="86" spans="1:36">
      <c r="A86" s="1">
        <v>44538</v>
      </c>
      <c r="B86" s="55">
        <v>1600</v>
      </c>
      <c r="C86" s="55" cm="1">
        <f t="array" ref="C86">(SUM(VLOOKUP(H86:AE86,$AL$4:$AN$44,2,FALSE))+AF86*10)*IF(AJ86="是",$AW$4,$AW$3)</f>
        <v>1568</v>
      </c>
      <c r="D86" s="57">
        <f>SUM($B$4:B86)-SUM($C$4:C86)</f>
        <v>278</v>
      </c>
      <c r="E86" s="55" cm="1">
        <f t="array" ref="E86">SUM(VLOOKUP(H86:AE86,$AL$4:$AN$44,3,FALSE))</f>
        <v>590</v>
      </c>
      <c r="F86" s="55">
        <f>SUM($E$4:E86)+SUM($G$4:G86)</f>
        <v>56295</v>
      </c>
      <c r="G86" s="55">
        <v>200</v>
      </c>
      <c r="H86" s="23" t="s">
        <v>19</v>
      </c>
      <c r="I86" s="23" t="s">
        <v>19</v>
      </c>
      <c r="J86" s="28" t="s">
        <v>12</v>
      </c>
      <c r="K86" s="23" t="s">
        <v>19</v>
      </c>
      <c r="L86" s="23" t="s">
        <v>19</v>
      </c>
      <c r="M86" s="23" t="s">
        <v>19</v>
      </c>
      <c r="N86" s="7" t="s">
        <v>23</v>
      </c>
      <c r="O86" s="7" t="s">
        <v>23</v>
      </c>
      <c r="P86" s="25" t="s">
        <v>21</v>
      </c>
      <c r="Q86" s="25" t="s">
        <v>21</v>
      </c>
      <c r="R86" s="25" t="s">
        <v>21</v>
      </c>
      <c r="S86" t="s">
        <v>23</v>
      </c>
      <c r="T86" t="s">
        <v>23</v>
      </c>
      <c r="U86" t="s">
        <v>23</v>
      </c>
      <c r="V86" s="7" t="s">
        <v>23</v>
      </c>
      <c r="W86" s="7" t="s">
        <v>23</v>
      </c>
      <c r="X86" s="23" t="s">
        <v>19</v>
      </c>
      <c r="Y86" s="23" t="s">
        <v>19</v>
      </c>
      <c r="Z86" s="28" t="s">
        <v>12</v>
      </c>
      <c r="AA86" t="s">
        <v>23</v>
      </c>
      <c r="AB86" t="s">
        <v>23</v>
      </c>
      <c r="AC86" t="s">
        <v>23</v>
      </c>
      <c r="AD86" s="7" t="s">
        <v>23</v>
      </c>
      <c r="AE86" s="7" t="s">
        <v>23</v>
      </c>
      <c r="AF86" s="36">
        <v>0</v>
      </c>
      <c r="AG86" s="36"/>
      <c r="AH86" s="36"/>
      <c r="AI86" s="36"/>
      <c r="AJ86" s="8" t="s">
        <v>31</v>
      </c>
    </row>
    <row r="87" spans="1:36">
      <c r="A87" s="1">
        <v>44539</v>
      </c>
      <c r="B87" s="55">
        <v>1600</v>
      </c>
      <c r="C87" s="55" cm="1">
        <f t="array" ref="C87">(SUM(VLOOKUP(H87:AE87,$AL$4:$AN$44,2,FALSE))+AF87*10)*IF(AJ87="是",$AW$4,$AW$3)</f>
        <v>1616</v>
      </c>
      <c r="D87" s="57">
        <f>SUM($B$4:B87)-SUM($C$4:C87)</f>
        <v>262</v>
      </c>
      <c r="E87" s="55" cm="1">
        <f t="array" ref="E87">SUM(VLOOKUP(H87:AE87,$AL$4:$AN$44,3,FALSE))</f>
        <v>570</v>
      </c>
      <c r="F87" s="55">
        <f>SUM($E$4:E87)+SUM($G$4:G87)</f>
        <v>56865</v>
      </c>
      <c r="G87" s="55">
        <v>0</v>
      </c>
      <c r="H87" s="23" t="s">
        <v>19</v>
      </c>
      <c r="I87" s="23" t="s">
        <v>19</v>
      </c>
      <c r="J87" s="23" t="s">
        <v>19</v>
      </c>
      <c r="K87" s="23" t="s">
        <v>19</v>
      </c>
      <c r="L87" s="23" t="s">
        <v>19</v>
      </c>
      <c r="M87" s="23" t="s">
        <v>19</v>
      </c>
      <c r="N87" s="7" t="s">
        <v>23</v>
      </c>
      <c r="O87" s="7" t="s">
        <v>23</v>
      </c>
      <c r="P87" s="25" t="s">
        <v>21</v>
      </c>
      <c r="Q87" s="25" t="s">
        <v>21</v>
      </c>
      <c r="R87" t="s">
        <v>23</v>
      </c>
      <c r="S87" t="s">
        <v>23</v>
      </c>
      <c r="T87" t="s">
        <v>23</v>
      </c>
      <c r="U87" t="s">
        <v>23</v>
      </c>
      <c r="V87" s="7" t="s">
        <v>23</v>
      </c>
      <c r="W87" s="7" t="s">
        <v>23</v>
      </c>
      <c r="X87" s="23" t="s">
        <v>19</v>
      </c>
      <c r="Y87" s="23" t="s">
        <v>19</v>
      </c>
      <c r="Z87" s="23" t="s">
        <v>19</v>
      </c>
      <c r="AA87" t="s">
        <v>23</v>
      </c>
      <c r="AB87" t="s">
        <v>23</v>
      </c>
      <c r="AC87" t="s">
        <v>23</v>
      </c>
      <c r="AD87" s="7" t="s">
        <v>23</v>
      </c>
      <c r="AE87" s="7" t="s">
        <v>23</v>
      </c>
      <c r="AF87" s="36">
        <v>0</v>
      </c>
      <c r="AG87" s="36"/>
      <c r="AH87" s="36"/>
      <c r="AI87" s="36"/>
      <c r="AJ87" s="8" t="s">
        <v>31</v>
      </c>
    </row>
    <row r="88" spans="1:36">
      <c r="A88" s="1">
        <v>44540</v>
      </c>
      <c r="B88" s="55">
        <v>1600</v>
      </c>
      <c r="C88" s="55" cm="1">
        <f t="array" ref="C88">(SUM(VLOOKUP(H88:AE88,$AL$4:$AN$44,2,FALSE))+AF88*10)*IF(AJ88="是",$AW$4,$AW$3)</f>
        <v>1616</v>
      </c>
      <c r="D88" s="57">
        <f>SUM($B$4:B88)-SUM($C$4:C88)</f>
        <v>246</v>
      </c>
      <c r="E88" s="55" cm="1">
        <f t="array" ref="E88">SUM(VLOOKUP(H88:AE88,$AL$4:$AN$44,3,FALSE))</f>
        <v>570</v>
      </c>
      <c r="F88" s="55">
        <f>SUM($E$4:E88)+SUM($G$4:G88)</f>
        <v>57435</v>
      </c>
      <c r="G88" s="55">
        <v>0</v>
      </c>
      <c r="H88" s="23" t="s">
        <v>19</v>
      </c>
      <c r="I88" s="23" t="s">
        <v>19</v>
      </c>
      <c r="J88" s="23" t="s">
        <v>19</v>
      </c>
      <c r="K88" s="23" t="s">
        <v>19</v>
      </c>
      <c r="L88" s="23" t="s">
        <v>19</v>
      </c>
      <c r="M88" s="23" t="s">
        <v>19</v>
      </c>
      <c r="N88" s="7" t="s">
        <v>23</v>
      </c>
      <c r="O88" s="7" t="s">
        <v>23</v>
      </c>
      <c r="P88" s="25" t="s">
        <v>21</v>
      </c>
      <c r="Q88" s="25" t="s">
        <v>21</v>
      </c>
      <c r="R88" t="s">
        <v>23</v>
      </c>
      <c r="S88" t="s">
        <v>23</v>
      </c>
      <c r="T88" t="s">
        <v>23</v>
      </c>
      <c r="U88" t="s">
        <v>23</v>
      </c>
      <c r="V88" s="7" t="s">
        <v>23</v>
      </c>
      <c r="W88" s="7" t="s">
        <v>23</v>
      </c>
      <c r="X88" s="23" t="s">
        <v>19</v>
      </c>
      <c r="Y88" s="23" t="s">
        <v>19</v>
      </c>
      <c r="Z88" s="23" t="s">
        <v>19</v>
      </c>
      <c r="AA88" t="s">
        <v>23</v>
      </c>
      <c r="AB88" t="s">
        <v>23</v>
      </c>
      <c r="AC88" t="s">
        <v>23</v>
      </c>
      <c r="AD88" s="7" t="s">
        <v>23</v>
      </c>
      <c r="AE88" s="7" t="s">
        <v>23</v>
      </c>
      <c r="AF88" s="36">
        <v>0</v>
      </c>
      <c r="AG88" s="36"/>
      <c r="AH88" s="36"/>
      <c r="AI88" s="36"/>
      <c r="AJ88" s="8" t="s">
        <v>31</v>
      </c>
    </row>
    <row r="89" spans="1:36">
      <c r="A89" s="1">
        <v>44541</v>
      </c>
      <c r="B89" s="55">
        <v>1600</v>
      </c>
      <c r="C89" s="55" cm="1">
        <f t="array" ref="C89">(SUM(VLOOKUP(H89:AE89,$AL$4:$AN$44,2,FALSE))+AF89*10)*IF(AJ89="是",$AW$4,$AW$3)</f>
        <v>1616</v>
      </c>
      <c r="D89" s="57">
        <f>SUM($B$4:B89)-SUM($C$4:C89)</f>
        <v>230</v>
      </c>
      <c r="E89" s="55" cm="1">
        <f t="array" ref="E89">SUM(VLOOKUP(H89:AE89,$AL$4:$AN$44,3,FALSE))</f>
        <v>570</v>
      </c>
      <c r="F89" s="55">
        <f>SUM($E$4:E89)+SUM($G$4:G89)</f>
        <v>58005</v>
      </c>
      <c r="G89" s="55">
        <v>0</v>
      </c>
      <c r="H89" s="23" t="s">
        <v>19</v>
      </c>
      <c r="I89" s="23" t="s">
        <v>19</v>
      </c>
      <c r="J89" s="23" t="s">
        <v>19</v>
      </c>
      <c r="K89" s="23" t="s">
        <v>19</v>
      </c>
      <c r="L89" s="23" t="s">
        <v>19</v>
      </c>
      <c r="M89" s="23" t="s">
        <v>19</v>
      </c>
      <c r="N89" s="7" t="s">
        <v>23</v>
      </c>
      <c r="O89" s="7" t="s">
        <v>23</v>
      </c>
      <c r="P89" s="25" t="s">
        <v>21</v>
      </c>
      <c r="Q89" s="25" t="s">
        <v>21</v>
      </c>
      <c r="R89" t="s">
        <v>23</v>
      </c>
      <c r="S89" t="s">
        <v>23</v>
      </c>
      <c r="T89" t="s">
        <v>23</v>
      </c>
      <c r="U89" t="s">
        <v>23</v>
      </c>
      <c r="V89" s="7" t="s">
        <v>23</v>
      </c>
      <c r="W89" s="7" t="s">
        <v>23</v>
      </c>
      <c r="X89" s="23" t="s">
        <v>19</v>
      </c>
      <c r="Y89" s="23" t="s">
        <v>19</v>
      </c>
      <c r="Z89" s="23" t="s">
        <v>19</v>
      </c>
      <c r="AA89" t="s">
        <v>23</v>
      </c>
      <c r="AB89" t="s">
        <v>23</v>
      </c>
      <c r="AC89" t="s">
        <v>23</v>
      </c>
      <c r="AD89" s="7" t="s">
        <v>23</v>
      </c>
      <c r="AE89" s="7" t="s">
        <v>23</v>
      </c>
      <c r="AF89" s="36">
        <v>0</v>
      </c>
      <c r="AG89" s="36"/>
      <c r="AH89" s="36"/>
      <c r="AI89" s="36"/>
      <c r="AJ89" s="8" t="s">
        <v>31</v>
      </c>
    </row>
    <row r="90" spans="1:36">
      <c r="A90" s="1">
        <v>44542</v>
      </c>
      <c r="B90" s="55">
        <v>1600</v>
      </c>
      <c r="C90" s="55" cm="1">
        <f t="array" ref="C90">(SUM(VLOOKUP(H90:AE90,$AL$4:$AN$44,2,FALSE))+AF90*10)*IF(AJ90="是",$AW$4,$AW$3)</f>
        <v>1472</v>
      </c>
      <c r="D90" s="57">
        <f>SUM($B$4:B90)-SUM($C$4:C90)</f>
        <v>358</v>
      </c>
      <c r="E90" s="55" cm="1">
        <f t="array" ref="E90">SUM(VLOOKUP(H90:AE90,$AL$4:$AN$44,3,FALSE))</f>
        <v>520</v>
      </c>
      <c r="F90" s="55">
        <f>SUM($E$4:E90)+SUM($G$4:G90)</f>
        <v>58525</v>
      </c>
      <c r="G90" s="55">
        <v>0</v>
      </c>
      <c r="H90" s="23" t="s">
        <v>19</v>
      </c>
      <c r="I90" s="23" t="s">
        <v>19</v>
      </c>
      <c r="J90" s="23" t="s">
        <v>19</v>
      </c>
      <c r="K90" s="23" t="s">
        <v>19</v>
      </c>
      <c r="L90" s="23" t="s">
        <v>19</v>
      </c>
      <c r="M90" s="23" t="s">
        <v>19</v>
      </c>
      <c r="N90" s="7" t="s">
        <v>23</v>
      </c>
      <c r="O90" s="7" t="s">
        <v>23</v>
      </c>
      <c r="P90" s="25" t="s">
        <v>21</v>
      </c>
      <c r="Q90" s="25" t="s">
        <v>21</v>
      </c>
      <c r="R90" t="s">
        <v>23</v>
      </c>
      <c r="S90" t="s">
        <v>23</v>
      </c>
      <c r="T90" t="s">
        <v>23</v>
      </c>
      <c r="U90" t="s">
        <v>23</v>
      </c>
      <c r="V90" s="7" t="s">
        <v>23</v>
      </c>
      <c r="W90" s="7" t="s">
        <v>23</v>
      </c>
      <c r="X90" s="23" t="s">
        <v>19</v>
      </c>
      <c r="Y90" s="23" t="s">
        <v>19</v>
      </c>
      <c r="Z90" t="s">
        <v>23</v>
      </c>
      <c r="AA90" t="s">
        <v>23</v>
      </c>
      <c r="AB90" t="s">
        <v>23</v>
      </c>
      <c r="AC90" t="s">
        <v>23</v>
      </c>
      <c r="AD90" s="7" t="s">
        <v>23</v>
      </c>
      <c r="AE90" s="7" t="s">
        <v>23</v>
      </c>
      <c r="AF90" s="36">
        <v>0</v>
      </c>
      <c r="AG90" s="36"/>
      <c r="AH90" s="36"/>
      <c r="AI90" s="36"/>
      <c r="AJ90" s="8" t="s">
        <v>31</v>
      </c>
    </row>
    <row r="91" spans="1:36">
      <c r="A91" s="1">
        <v>44543</v>
      </c>
      <c r="B91" s="56">
        <v>1600</v>
      </c>
      <c r="C91" s="55" cm="1">
        <f t="array" ref="C91">(SUM(VLOOKUP(H91:AE91,$AL$4:$AN$44,2,FALSE))+AF91*10)*IF(AJ91="是",$AW$4,$AW$3)</f>
        <v>1472</v>
      </c>
      <c r="D91" s="18">
        <f>SUM($B$4:B91)-SUM($C$4:C91)</f>
        <v>486</v>
      </c>
      <c r="E91" s="55" cm="1">
        <f t="array" ref="E91">SUM(VLOOKUP(H91:AE91,$AL$4:$AN$44,3,FALSE))</f>
        <v>520</v>
      </c>
      <c r="F91" s="55">
        <f>SUM($E$4:E91)+SUM($G$4:G91)</f>
        <v>59345</v>
      </c>
      <c r="G91" s="56">
        <v>300</v>
      </c>
      <c r="H91" s="23" t="s">
        <v>19</v>
      </c>
      <c r="I91" s="23" t="s">
        <v>19</v>
      </c>
      <c r="J91" s="23" t="s">
        <v>19</v>
      </c>
      <c r="K91" s="23" t="s">
        <v>19</v>
      </c>
      <c r="L91" s="23" t="s">
        <v>19</v>
      </c>
      <c r="M91" s="23" t="s">
        <v>19</v>
      </c>
      <c r="N91" s="7" t="s">
        <v>23</v>
      </c>
      <c r="O91" s="7" t="s">
        <v>23</v>
      </c>
      <c r="P91" s="25" t="s">
        <v>21</v>
      </c>
      <c r="Q91" s="25" t="s">
        <v>21</v>
      </c>
      <c r="R91" t="s">
        <v>23</v>
      </c>
      <c r="S91" t="s">
        <v>23</v>
      </c>
      <c r="T91" t="s">
        <v>23</v>
      </c>
      <c r="U91" t="s">
        <v>23</v>
      </c>
      <c r="V91" s="7" t="s">
        <v>23</v>
      </c>
      <c r="W91" s="7" t="s">
        <v>23</v>
      </c>
      <c r="X91" s="23" t="s">
        <v>19</v>
      </c>
      <c r="Y91" s="23" t="s">
        <v>19</v>
      </c>
      <c r="Z91" t="s">
        <v>23</v>
      </c>
      <c r="AA91" t="s">
        <v>23</v>
      </c>
      <c r="AB91" t="s">
        <v>23</v>
      </c>
      <c r="AC91" t="s">
        <v>23</v>
      </c>
      <c r="AD91" s="7" t="s">
        <v>23</v>
      </c>
      <c r="AE91" s="7" t="s">
        <v>23</v>
      </c>
      <c r="AF91" s="36">
        <v>0</v>
      </c>
      <c r="AG91" s="36"/>
      <c r="AH91" s="36"/>
      <c r="AI91" s="36"/>
      <c r="AJ91" s="8" t="s">
        <v>31</v>
      </c>
    </row>
    <row r="92" spans="1:36">
      <c r="A92" s="1">
        <v>44544</v>
      </c>
      <c r="B92" s="56">
        <v>1600</v>
      </c>
      <c r="C92" s="55" cm="1">
        <f t="array" ref="C92">(SUM(VLOOKUP(H92:AE92,$AL$4:$AN$44,2,FALSE))+AF92*10)*IF(AJ92="是",$AW$4,$AW$3)</f>
        <v>1616</v>
      </c>
      <c r="D92" s="18">
        <f>SUM($B$4:B92)-SUM($C$4:C92)</f>
        <v>470</v>
      </c>
      <c r="E92" s="55" cm="1">
        <f t="array" ref="E92">SUM(VLOOKUP(H92:AE92,$AL$4:$AN$44,3,FALSE))</f>
        <v>570</v>
      </c>
      <c r="F92" s="55">
        <f>SUM($E$4:E92)+SUM($G$4:G92)</f>
        <v>59915</v>
      </c>
      <c r="G92" s="56">
        <v>0</v>
      </c>
      <c r="H92" s="23" t="s">
        <v>19</v>
      </c>
      <c r="I92" s="23" t="s">
        <v>19</v>
      </c>
      <c r="J92" s="23" t="s">
        <v>19</v>
      </c>
      <c r="K92" s="23" t="s">
        <v>19</v>
      </c>
      <c r="L92" s="23" t="s">
        <v>19</v>
      </c>
      <c r="M92" s="23" t="s">
        <v>19</v>
      </c>
      <c r="N92" s="7" t="s">
        <v>23</v>
      </c>
      <c r="O92" s="7" t="s">
        <v>23</v>
      </c>
      <c r="P92" s="25" t="s">
        <v>21</v>
      </c>
      <c r="Q92" s="25" t="s">
        <v>21</v>
      </c>
      <c r="R92" t="s">
        <v>23</v>
      </c>
      <c r="S92" t="s">
        <v>23</v>
      </c>
      <c r="T92" t="s">
        <v>23</v>
      </c>
      <c r="U92" t="s">
        <v>23</v>
      </c>
      <c r="V92" s="7" t="s">
        <v>23</v>
      </c>
      <c r="W92" s="7" t="s">
        <v>23</v>
      </c>
      <c r="X92" s="23" t="s">
        <v>19</v>
      </c>
      <c r="Y92" s="23" t="s">
        <v>19</v>
      </c>
      <c r="Z92" s="23" t="s">
        <v>19</v>
      </c>
      <c r="AA92" t="s">
        <v>23</v>
      </c>
      <c r="AB92" t="s">
        <v>23</v>
      </c>
      <c r="AC92" t="s">
        <v>23</v>
      </c>
      <c r="AD92" s="7" t="s">
        <v>23</v>
      </c>
      <c r="AE92" s="7" t="s">
        <v>23</v>
      </c>
      <c r="AF92" s="36">
        <v>0</v>
      </c>
      <c r="AG92" s="36"/>
      <c r="AH92" s="36"/>
      <c r="AI92" s="36"/>
      <c r="AJ92" s="8" t="s">
        <v>31</v>
      </c>
    </row>
    <row r="93" spans="1:36">
      <c r="A93" s="1">
        <v>44545</v>
      </c>
      <c r="B93" s="56">
        <v>1600</v>
      </c>
      <c r="C93" s="55" cm="1">
        <f t="array" ref="C93">(SUM(VLOOKUP(H93:AE93,$AL$4:$AN$44,2,FALSE))+AF93*10)*IF(AJ93="是",$AW$4,$AW$3)</f>
        <v>1776</v>
      </c>
      <c r="D93" s="18">
        <f>SUM($B$4:B93)-SUM($C$4:C93)</f>
        <v>294</v>
      </c>
      <c r="E93" s="55" cm="1">
        <f t="array" ref="E93">SUM(VLOOKUP(H93:AE93,$AL$4:$AN$44,3,FALSE))</f>
        <v>630</v>
      </c>
      <c r="F93" s="55">
        <f>SUM($E$4:E93)+SUM($G$4:G93)</f>
        <v>60745</v>
      </c>
      <c r="G93" s="56">
        <v>200</v>
      </c>
      <c r="H93" s="23" t="s">
        <v>19</v>
      </c>
      <c r="I93" s="23" t="s">
        <v>19</v>
      </c>
      <c r="J93" s="23" t="s">
        <v>19</v>
      </c>
      <c r="K93" s="23" t="s">
        <v>19</v>
      </c>
      <c r="L93" s="23" t="s">
        <v>19</v>
      </c>
      <c r="M93" s="23" t="s">
        <v>19</v>
      </c>
      <c r="N93" s="7" t="s">
        <v>23</v>
      </c>
      <c r="O93" s="7" t="s">
        <v>23</v>
      </c>
      <c r="P93" s="25" t="s">
        <v>21</v>
      </c>
      <c r="Q93" s="25" t="s">
        <v>21</v>
      </c>
      <c r="R93" s="25" t="s">
        <v>21</v>
      </c>
      <c r="S93" t="s">
        <v>23</v>
      </c>
      <c r="T93" t="s">
        <v>23</v>
      </c>
      <c r="U93" t="s">
        <v>23</v>
      </c>
      <c r="V93" s="7" t="s">
        <v>23</v>
      </c>
      <c r="W93" s="7" t="s">
        <v>23</v>
      </c>
      <c r="X93" s="23" t="s">
        <v>19</v>
      </c>
      <c r="Y93" s="23" t="s">
        <v>19</v>
      </c>
      <c r="Z93" s="23" t="s">
        <v>19</v>
      </c>
      <c r="AA93" t="s">
        <v>23</v>
      </c>
      <c r="AB93" t="s">
        <v>23</v>
      </c>
      <c r="AC93" t="s">
        <v>23</v>
      </c>
      <c r="AD93" s="7" t="s">
        <v>23</v>
      </c>
      <c r="AE93" s="7" t="s">
        <v>23</v>
      </c>
      <c r="AF93" s="36">
        <v>0</v>
      </c>
      <c r="AG93" s="36"/>
      <c r="AH93" s="36"/>
      <c r="AI93" s="36"/>
      <c r="AJ93" s="8" t="s">
        <v>31</v>
      </c>
    </row>
    <row r="94" spans="1:36" ht="15.75" thickBot="1">
      <c r="A94" s="1">
        <v>44546</v>
      </c>
      <c r="B94">
        <v>1600</v>
      </c>
      <c r="C94" s="55" cm="1">
        <f t="array" ref="C94">(SUM(VLOOKUP(H94:AE94,$AL$4:$AN$44,2,FALSE))+AF94*10)*IF(AJ94="是",$AW$4,$AW$3)</f>
        <v>1776</v>
      </c>
      <c r="D94" s="18">
        <f>SUM($B$4:B94)-SUM($C$4:C94)</f>
        <v>118</v>
      </c>
      <c r="E94" s="55" cm="1">
        <f t="array" ref="E94">SUM(VLOOKUP(H94:AE94,$AL$4:$AN$44,3,FALSE))</f>
        <v>630</v>
      </c>
      <c r="F94" s="3">
        <f>SUM($E$4:E94)+SUM($G$4:G94)</f>
        <v>61375</v>
      </c>
      <c r="G94">
        <v>0</v>
      </c>
      <c r="H94" s="23" t="s">
        <v>19</v>
      </c>
      <c r="I94" s="23" t="s">
        <v>19</v>
      </c>
      <c r="J94" s="23" t="s">
        <v>19</v>
      </c>
      <c r="K94" s="23" t="s">
        <v>19</v>
      </c>
      <c r="L94" s="23" t="s">
        <v>19</v>
      </c>
      <c r="M94" s="23" t="s">
        <v>19</v>
      </c>
      <c r="N94" s="7" t="s">
        <v>23</v>
      </c>
      <c r="O94" s="7" t="s">
        <v>23</v>
      </c>
      <c r="P94" s="25" t="s">
        <v>21</v>
      </c>
      <c r="Q94" s="25" t="s">
        <v>21</v>
      </c>
      <c r="R94" s="25" t="s">
        <v>21</v>
      </c>
      <c r="S94" t="s">
        <v>23</v>
      </c>
      <c r="T94" t="s">
        <v>23</v>
      </c>
      <c r="U94" t="s">
        <v>23</v>
      </c>
      <c r="V94" s="7" t="s">
        <v>23</v>
      </c>
      <c r="W94" s="7" t="s">
        <v>23</v>
      </c>
      <c r="X94" s="23" t="s">
        <v>19</v>
      </c>
      <c r="Y94" s="23" t="s">
        <v>19</v>
      </c>
      <c r="Z94" s="23" t="s">
        <v>19</v>
      </c>
      <c r="AA94" t="s">
        <v>23</v>
      </c>
      <c r="AB94" t="s">
        <v>23</v>
      </c>
      <c r="AC94" t="s">
        <v>23</v>
      </c>
      <c r="AD94" s="7" t="s">
        <v>23</v>
      </c>
      <c r="AE94" s="7" t="s">
        <v>23</v>
      </c>
      <c r="AF94" s="36">
        <v>0</v>
      </c>
      <c r="AG94" s="36"/>
      <c r="AH94" s="36"/>
      <c r="AI94" s="36"/>
      <c r="AJ94" s="9" t="s">
        <v>31</v>
      </c>
    </row>
    <row r="95" spans="1:36">
      <c r="D95">
        <v>7350</v>
      </c>
    </row>
    <row r="96" spans="1:36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{C06C9F3B-BB47-4C6C-9F99-245C2EC24A73}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6C9F3B-BB47-4C6C-9F99-245C2EC24A7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ECA96-86B0-46B4-B07F-07EEA05C6DEF}">
  <dimension ref="A1:AY101"/>
  <sheetViews>
    <sheetView zoomScale="85" zoomScaleNormal="85" workbookViewId="0">
      <selection activeCell="AK10" sqref="AK10"/>
    </sheetView>
  </sheetViews>
  <sheetFormatPr defaultRowHeight="15"/>
  <cols>
    <col min="1" max="1" width="11.85546875" bestFit="1" customWidth="1"/>
    <col min="2" max="2" width="9" customWidth="1"/>
    <col min="3" max="3" width="5.7109375" bestFit="1" customWidth="1"/>
    <col min="4" max="4" width="6.42578125" customWidth="1"/>
    <col min="5" max="5" width="5.7109375" bestFit="1" customWidth="1"/>
    <col min="6" max="6" width="6.5703125" customWidth="1"/>
    <col min="7" max="7" width="5" bestFit="1" customWidth="1"/>
    <col min="8" max="14" width="7.28515625" customWidth="1"/>
    <col min="15" max="15" width="7.140625" customWidth="1"/>
    <col min="16" max="31" width="7.28515625" customWidth="1"/>
    <col min="32" max="32" width="5.140625" bestFit="1" customWidth="1"/>
    <col min="33" max="35" width="5.140625" customWidth="1"/>
    <col min="36" max="36" width="5.140625" bestFit="1" customWidth="1"/>
    <col min="41" max="41" width="10" bestFit="1" customWidth="1"/>
  </cols>
  <sheetData>
    <row r="1" spans="1:51" ht="28.15" customHeight="1" thickBot="1">
      <c r="A1" s="117">
        <f ca="1">(_xlfn.DAYS(TODAY(),A4)+2)/((_xlfn.DAYS(A94,A4))+1)</f>
        <v>0.69230769230769229</v>
      </c>
      <c r="B1" s="118"/>
      <c r="C1" s="118"/>
      <c r="D1" s="118"/>
      <c r="E1" s="118"/>
      <c r="F1" s="118"/>
      <c r="G1" s="119"/>
      <c r="H1" s="120" t="s">
        <v>37</v>
      </c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2"/>
      <c r="AG1" s="42"/>
      <c r="AH1" s="42"/>
      <c r="AI1" s="42"/>
      <c r="AL1" s="116" t="s">
        <v>42</v>
      </c>
      <c r="AM1" s="116"/>
      <c r="AN1" s="116"/>
    </row>
    <row r="2" spans="1:51" ht="16.149999999999999" customHeight="1" thickBot="1">
      <c r="A2" t="s">
        <v>62</v>
      </c>
      <c r="B2" s="51"/>
      <c r="C2" s="124" t="s">
        <v>35</v>
      </c>
      <c r="D2" s="125"/>
      <c r="E2" s="126">
        <f>SUM(E4:E94)+SUM(G4:G94)</f>
        <v>61245</v>
      </c>
      <c r="F2" s="126"/>
      <c r="G2" s="127"/>
      <c r="H2" s="128" t="s">
        <v>48</v>
      </c>
      <c r="I2" s="129"/>
      <c r="J2" s="54" t="s">
        <v>46</v>
      </c>
      <c r="K2" s="54">
        <f>COUNTIF(H4:O94,"&lt;&gt;空")</f>
        <v>406</v>
      </c>
      <c r="L2" s="129" t="s">
        <v>45</v>
      </c>
      <c r="M2" s="129"/>
      <c r="N2" s="129"/>
      <c r="O2" s="130"/>
      <c r="P2" s="132" t="s">
        <v>49</v>
      </c>
      <c r="Q2" s="133"/>
      <c r="R2" s="52" t="s">
        <v>46</v>
      </c>
      <c r="S2" s="52">
        <f>COUNTIF(P4:W94,"&lt;&gt;空")</f>
        <v>184</v>
      </c>
      <c r="T2" s="133" t="s">
        <v>45</v>
      </c>
      <c r="U2" s="133"/>
      <c r="V2" s="133"/>
      <c r="W2" s="134"/>
      <c r="X2" s="131" t="s">
        <v>33</v>
      </c>
      <c r="Y2" s="111"/>
      <c r="Z2" s="58" t="s">
        <v>44</v>
      </c>
      <c r="AA2" s="59">
        <f>COUNTIF(X4:AE94,"&lt;&gt;空")</f>
        <v>434</v>
      </c>
      <c r="AB2" s="111" t="s">
        <v>45</v>
      </c>
      <c r="AC2" s="111"/>
      <c r="AD2" s="111"/>
      <c r="AE2" s="112"/>
      <c r="AF2" s="41">
        <f>SUM(AF4:AF94)</f>
        <v>58</v>
      </c>
      <c r="AG2" s="41">
        <f t="shared" ref="AG2:AI2" si="0">SUM(AG4:AG94)</f>
        <v>20</v>
      </c>
      <c r="AH2" s="41">
        <f t="shared" si="0"/>
        <v>23</v>
      </c>
      <c r="AI2" s="41">
        <f t="shared" si="0"/>
        <v>15</v>
      </c>
      <c r="AJ2" s="113" t="s">
        <v>29</v>
      </c>
      <c r="AL2" s="123"/>
      <c r="AM2" s="123"/>
      <c r="AN2" s="123"/>
      <c r="AV2" s="10"/>
      <c r="AW2" s="11" t="s">
        <v>32</v>
      </c>
    </row>
    <row r="3" spans="1:51" ht="60.75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37">
        <v>1</v>
      </c>
      <c r="Q3" s="38">
        <v>2</v>
      </c>
      <c r="R3" s="38">
        <v>3</v>
      </c>
      <c r="S3" s="38">
        <v>4</v>
      </c>
      <c r="T3" s="38">
        <v>5</v>
      </c>
      <c r="U3" s="38">
        <v>6</v>
      </c>
      <c r="V3" s="38">
        <v>7</v>
      </c>
      <c r="W3" s="38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114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.75" thickBot="1">
      <c r="A4" s="1">
        <v>44456</v>
      </c>
      <c r="B4" s="55">
        <v>800</v>
      </c>
      <c r="C4" s="55" cm="1">
        <f t="array" ref="C4">(SUM(VLOOKUP(H4:AE4,$AL$4:$AN$44,2,FALSE))+AF4*10)*IF(AJ4="是",$AW$4,$AW$3)</f>
        <v>750</v>
      </c>
      <c r="D4" s="57">
        <f>SUM($B$4:B4)-SUM($C$4:C4)</f>
        <v>50</v>
      </c>
      <c r="E4" s="55" cm="1">
        <f t="array" ref="E4">SUM(VLOOKUP(H4:AE4,$AL$4:$AN$44,3,FALSE))</f>
        <v>175</v>
      </c>
      <c r="F4" s="55">
        <f>SUM($E$4:E4)+SUM($G$4:G4)</f>
        <v>175</v>
      </c>
      <c r="G4" s="55">
        <v>0</v>
      </c>
      <c r="H4" s="20" t="s">
        <v>16</v>
      </c>
      <c r="I4" s="20" t="s">
        <v>16</v>
      </c>
      <c r="J4" s="20" t="s">
        <v>16</v>
      </c>
      <c r="K4" s="20" t="s">
        <v>16</v>
      </c>
      <c r="L4" s="20" t="s">
        <v>16</v>
      </c>
      <c r="M4" t="s">
        <v>23</v>
      </c>
      <c r="N4" s="7" t="s">
        <v>23</v>
      </c>
      <c r="O4" s="7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s="7" t="s">
        <v>23</v>
      </c>
      <c r="W4" s="7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s="7" t="s">
        <v>23</v>
      </c>
      <c r="AE4" s="7" t="s">
        <v>23</v>
      </c>
      <c r="AF4" s="36">
        <v>0</v>
      </c>
      <c r="AG4" s="36"/>
      <c r="AH4" s="36"/>
      <c r="AI4" s="36"/>
      <c r="AJ4" s="8" t="s">
        <v>30</v>
      </c>
      <c r="AL4" s="20" t="s">
        <v>16</v>
      </c>
      <c r="AM4" s="19">
        <v>150</v>
      </c>
      <c r="AN4" s="19">
        <v>35</v>
      </c>
      <c r="AO4" s="19">
        <f>COUNTIF($H$4:$O$94,AL4)</f>
        <v>18</v>
      </c>
      <c r="AP4" s="19">
        <f>COUNTIF($P$4:$W$94,AL4)</f>
        <v>0</v>
      </c>
      <c r="AQ4" s="19">
        <f>COUNTIF($X$4:$AE$94,AL4)</f>
        <v>11</v>
      </c>
      <c r="AR4" s="19">
        <f>AO4+AP4+AQ4</f>
        <v>29</v>
      </c>
      <c r="AS4" s="50">
        <f>AO4*$AN4</f>
        <v>630</v>
      </c>
      <c r="AT4" s="50">
        <f t="shared" ref="AT4:AU19" si="1">AP4*$AN4</f>
        <v>0</v>
      </c>
      <c r="AU4" s="50">
        <f t="shared" si="1"/>
        <v>385</v>
      </c>
      <c r="AV4" s="45" t="s">
        <v>26</v>
      </c>
      <c r="AW4" s="15">
        <v>0.8</v>
      </c>
      <c r="AX4">
        <f>AN4/AY4</f>
        <v>0.29166666666666669</v>
      </c>
      <c r="AY4">
        <f>AM4*0.8</f>
        <v>120</v>
      </c>
    </row>
    <row r="5" spans="1:51">
      <c r="A5" s="1">
        <v>44457</v>
      </c>
      <c r="B5" s="55">
        <v>1600</v>
      </c>
      <c r="C5" s="55" cm="1">
        <f t="array" ref="C5">(SUM(VLOOKUP(H5:AE5,$AL$4:$AN$44,2,FALSE))+AF5*10)*IF(AJ5="是",$AW$4,$AW$3)</f>
        <v>900</v>
      </c>
      <c r="D5" s="57">
        <f>SUM($B$4:B5)-SUM($C$4:C5)</f>
        <v>750</v>
      </c>
      <c r="E5" s="55" cm="1">
        <f t="array" ref="E5">SUM(VLOOKUP(H5:AE5,$AL$4:$AN$44,3,FALSE))</f>
        <v>210</v>
      </c>
      <c r="F5" s="55">
        <f>SUM($E$4:E5)+SUM($G$4:G5)</f>
        <v>885</v>
      </c>
      <c r="G5" s="55">
        <v>500</v>
      </c>
      <c r="H5" s="20" t="s">
        <v>16</v>
      </c>
      <c r="I5" s="20" t="s">
        <v>16</v>
      </c>
      <c r="J5" s="20" t="s">
        <v>16</v>
      </c>
      <c r="K5" s="20" t="s">
        <v>16</v>
      </c>
      <c r="L5" s="20" t="s">
        <v>16</v>
      </c>
      <c r="M5" s="20" t="s">
        <v>16</v>
      </c>
      <c r="N5" s="7" t="s">
        <v>23</v>
      </c>
      <c r="O5" s="7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s="7" t="s">
        <v>23</v>
      </c>
      <c r="W5" s="7" t="s">
        <v>23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s="7" t="s">
        <v>23</v>
      </c>
      <c r="AE5" s="7" t="s">
        <v>23</v>
      </c>
      <c r="AF5" s="36">
        <v>0</v>
      </c>
      <c r="AG5" s="36"/>
      <c r="AH5" s="36"/>
      <c r="AI5" s="36"/>
      <c r="AJ5" s="8" t="s">
        <v>30</v>
      </c>
      <c r="AL5" s="21" t="s">
        <v>17</v>
      </c>
      <c r="AM5" s="19">
        <v>160</v>
      </c>
      <c r="AN5" s="19">
        <v>40</v>
      </c>
      <c r="AO5" s="19">
        <f t="shared" ref="AO5:AO26" si="2">COUNTIF($H$4:$O$94,AL5)</f>
        <v>16</v>
      </c>
      <c r="AP5" s="19">
        <f t="shared" ref="AP5:AP26" si="3">COUNTIF($P$4:$W$94,AL5)</f>
        <v>12</v>
      </c>
      <c r="AQ5" s="19">
        <f t="shared" ref="AQ5:AQ26" si="4">COUNTIF($X$4:$AE$94,AL5)</f>
        <v>16</v>
      </c>
      <c r="AR5" s="19">
        <f t="shared" ref="AR5:AR26" si="5">AO5+AP5+AQ5</f>
        <v>44</v>
      </c>
      <c r="AS5" s="50">
        <f t="shared" ref="AS5:AU28" si="6">AO5*$AN5</f>
        <v>640</v>
      </c>
      <c r="AT5" s="50">
        <f t="shared" si="1"/>
        <v>480</v>
      </c>
      <c r="AU5" s="50">
        <f t="shared" si="1"/>
        <v>640</v>
      </c>
      <c r="AV5" s="115" t="s">
        <v>34</v>
      </c>
      <c r="AW5" s="115"/>
      <c r="AX5">
        <f t="shared" ref="AX5:AX28" si="7">AN5/AY5</f>
        <v>0.3125</v>
      </c>
      <c r="AY5">
        <f t="shared" ref="AY5:AY28" si="8">AM5*0.8</f>
        <v>128</v>
      </c>
    </row>
    <row r="6" spans="1:51">
      <c r="A6" s="1">
        <v>44458</v>
      </c>
      <c r="B6" s="55">
        <v>1600</v>
      </c>
      <c r="C6" s="55" cm="1">
        <f t="array" ref="C6">(SUM(VLOOKUP(H6:AE6,$AL$4:$AN$44,2,FALSE))+AF6*10)*IF(AJ6="是",$AW$4,$AW$3)</f>
        <v>800</v>
      </c>
      <c r="D6" s="57">
        <f>SUM($B$4:B6)-SUM($C$4:C6)</f>
        <v>1550</v>
      </c>
      <c r="E6" s="55" cm="1">
        <f t="array" ref="E6">SUM(VLOOKUP(H6:AE6,$AL$4:$AN$44,3,FALSE))</f>
        <v>205</v>
      </c>
      <c r="F6" s="55">
        <f>SUM($E$4:E6)+SUM($G$4:G6)</f>
        <v>1090</v>
      </c>
      <c r="G6" s="55">
        <v>0</v>
      </c>
      <c r="H6" s="20" t="s">
        <v>16</v>
      </c>
      <c r="I6" s="20" t="s">
        <v>16</v>
      </c>
      <c r="J6" s="31" t="s">
        <v>38</v>
      </c>
      <c r="K6" s="20" t="s">
        <v>16</v>
      </c>
      <c r="L6" s="28" t="s">
        <v>12</v>
      </c>
      <c r="M6" s="20" t="s">
        <v>16</v>
      </c>
      <c r="N6" s="7" t="s">
        <v>23</v>
      </c>
      <c r="O6" s="7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s="7" t="s">
        <v>23</v>
      </c>
      <c r="W6" s="7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23</v>
      </c>
      <c r="AD6" s="7" t="s">
        <v>23</v>
      </c>
      <c r="AE6" s="7" t="s">
        <v>23</v>
      </c>
      <c r="AF6" s="36">
        <v>0</v>
      </c>
      <c r="AG6" s="36"/>
      <c r="AH6" s="36"/>
      <c r="AI6" s="36"/>
      <c r="AJ6" s="8" t="s">
        <v>30</v>
      </c>
      <c r="AL6" s="22" t="s">
        <v>18</v>
      </c>
      <c r="AM6" s="19">
        <v>170</v>
      </c>
      <c r="AN6" s="19">
        <v>45</v>
      </c>
      <c r="AO6" s="19">
        <f t="shared" si="2"/>
        <v>97</v>
      </c>
      <c r="AP6" s="19">
        <f t="shared" si="3"/>
        <v>46</v>
      </c>
      <c r="AQ6" s="19">
        <f t="shared" si="4"/>
        <v>22</v>
      </c>
      <c r="AR6" s="19">
        <f t="shared" si="5"/>
        <v>165</v>
      </c>
      <c r="AS6" s="50">
        <f t="shared" si="6"/>
        <v>4365</v>
      </c>
      <c r="AT6" s="50">
        <f t="shared" si="1"/>
        <v>2070</v>
      </c>
      <c r="AU6" s="50">
        <f t="shared" si="1"/>
        <v>990</v>
      </c>
      <c r="AV6" s="116"/>
      <c r="AW6" s="116"/>
      <c r="AX6">
        <f t="shared" si="7"/>
        <v>0.33088235294117646</v>
      </c>
      <c r="AY6">
        <f t="shared" si="8"/>
        <v>136</v>
      </c>
    </row>
    <row r="7" spans="1:51">
      <c r="A7" s="1">
        <v>44459</v>
      </c>
      <c r="B7" s="56">
        <v>1600</v>
      </c>
      <c r="C7" s="55" cm="1">
        <f t="array" ref="C7">(SUM(VLOOKUP(H7:AE7,$AL$4:$AN$44,2,FALSE))+AF7*10)*IF(AJ7="是",$AW$4,$AW$3)</f>
        <v>980</v>
      </c>
      <c r="D7" s="18">
        <f>SUM($B$4:B7)-SUM($C$4:C7)</f>
        <v>2170</v>
      </c>
      <c r="E7" s="55" cm="1">
        <f t="array" ref="E7">SUM(VLOOKUP(H7:AE7,$AL$4:$AN$44,3,FALSE))</f>
        <v>225</v>
      </c>
      <c r="F7" s="55">
        <f>SUM($E$4:E7)+SUM($G$4:G7)</f>
        <v>1515</v>
      </c>
      <c r="G7" s="56">
        <v>200</v>
      </c>
      <c r="H7" s="20" t="s">
        <v>16</v>
      </c>
      <c r="I7" s="20" t="s">
        <v>16</v>
      </c>
      <c r="J7" s="66" t="s">
        <v>16</v>
      </c>
      <c r="K7" s="67" t="s">
        <v>17</v>
      </c>
      <c r="L7" s="21" t="s">
        <v>17</v>
      </c>
      <c r="M7" s="21" t="s">
        <v>17</v>
      </c>
      <c r="N7" s="7" t="s">
        <v>23</v>
      </c>
      <c r="O7" s="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s="7" t="s">
        <v>23</v>
      </c>
      <c r="W7" s="7" t="s">
        <v>23</v>
      </c>
      <c r="X7" t="s">
        <v>23</v>
      </c>
      <c r="Y7" t="s">
        <v>23</v>
      </c>
      <c r="Z7" t="s">
        <v>23</v>
      </c>
      <c r="AA7" t="s">
        <v>23</v>
      </c>
      <c r="AB7" t="s">
        <v>23</v>
      </c>
      <c r="AC7" t="s">
        <v>23</v>
      </c>
      <c r="AD7" s="7" t="s">
        <v>23</v>
      </c>
      <c r="AE7" s="7" t="s">
        <v>23</v>
      </c>
      <c r="AF7" s="36">
        <v>5</v>
      </c>
      <c r="AG7" s="36">
        <v>5</v>
      </c>
      <c r="AH7" s="36"/>
      <c r="AI7" s="36"/>
      <c r="AJ7" s="8" t="s">
        <v>30</v>
      </c>
      <c r="AL7" s="23" t="s">
        <v>19</v>
      </c>
      <c r="AM7" s="19">
        <v>180</v>
      </c>
      <c r="AN7" s="19">
        <v>50</v>
      </c>
      <c r="AO7" s="19">
        <f t="shared" si="2"/>
        <v>45</v>
      </c>
      <c r="AP7" s="19">
        <f t="shared" si="3"/>
        <v>111</v>
      </c>
      <c r="AQ7" s="19">
        <f t="shared" si="4"/>
        <v>113</v>
      </c>
      <c r="AR7" s="71">
        <f t="shared" si="5"/>
        <v>269</v>
      </c>
      <c r="AS7" s="50">
        <f t="shared" si="6"/>
        <v>2250</v>
      </c>
      <c r="AT7" s="50">
        <f t="shared" si="1"/>
        <v>5550</v>
      </c>
      <c r="AU7" s="50">
        <f t="shared" si="1"/>
        <v>5650</v>
      </c>
      <c r="AV7" s="116"/>
      <c r="AW7" s="116"/>
      <c r="AX7">
        <f t="shared" si="7"/>
        <v>0.34722222222222221</v>
      </c>
      <c r="AY7">
        <f t="shared" si="8"/>
        <v>144</v>
      </c>
    </row>
    <row r="8" spans="1:51">
      <c r="A8" s="1">
        <v>44460</v>
      </c>
      <c r="B8" s="56">
        <v>1600</v>
      </c>
      <c r="C8" s="55" cm="1">
        <f t="array" ref="C8">(SUM(VLOOKUP(H8:AE8,$AL$4:$AN$44,2,FALSE))+AF8*10)*IF(AJ8="是",$AW$4,$AW$3)</f>
        <v>960</v>
      </c>
      <c r="D8" s="18">
        <f>SUM($B$4:B8)-SUM($C$4:C8)</f>
        <v>2810</v>
      </c>
      <c r="E8" s="55" cm="1">
        <f t="array" ref="E8">SUM(VLOOKUP(H8:AE8,$AL$4:$AN$44,3,FALSE))</f>
        <v>240</v>
      </c>
      <c r="F8" s="55">
        <f>SUM($E$4:E8)+SUM($G$4:G8)</f>
        <v>1855</v>
      </c>
      <c r="G8" s="56">
        <v>100</v>
      </c>
      <c r="H8" s="31" t="s">
        <v>40</v>
      </c>
      <c r="I8" s="21" t="s">
        <v>17</v>
      </c>
      <c r="J8" s="21" t="s">
        <v>17</v>
      </c>
      <c r="K8" s="21" t="s">
        <v>17</v>
      </c>
      <c r="L8" s="21" t="s">
        <v>17</v>
      </c>
      <c r="M8" s="21" t="s">
        <v>17</v>
      </c>
      <c r="N8" s="7" t="s">
        <v>23</v>
      </c>
      <c r="O8" s="7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s="7" t="s">
        <v>23</v>
      </c>
      <c r="W8" s="7" t="s">
        <v>23</v>
      </c>
      <c r="X8" t="s">
        <v>23</v>
      </c>
      <c r="Y8" t="s">
        <v>23</v>
      </c>
      <c r="Z8" t="s">
        <v>23</v>
      </c>
      <c r="AA8" t="s">
        <v>23</v>
      </c>
      <c r="AB8" t="s">
        <v>23</v>
      </c>
      <c r="AC8" t="s">
        <v>23</v>
      </c>
      <c r="AD8" s="7" t="s">
        <v>23</v>
      </c>
      <c r="AE8" s="7" t="s">
        <v>23</v>
      </c>
      <c r="AF8" s="36">
        <v>0</v>
      </c>
      <c r="AG8" s="36"/>
      <c r="AH8" s="36"/>
      <c r="AI8" s="36"/>
      <c r="AJ8" s="8" t="s">
        <v>30</v>
      </c>
      <c r="AL8" s="24" t="s">
        <v>20</v>
      </c>
      <c r="AM8" s="19">
        <v>190</v>
      </c>
      <c r="AN8" s="19">
        <v>55</v>
      </c>
      <c r="AO8" s="19">
        <f t="shared" si="2"/>
        <v>112</v>
      </c>
      <c r="AP8" s="19">
        <f t="shared" si="3"/>
        <v>0</v>
      </c>
      <c r="AQ8" s="19">
        <f t="shared" si="4"/>
        <v>124</v>
      </c>
      <c r="AR8" s="71">
        <f t="shared" si="5"/>
        <v>236</v>
      </c>
      <c r="AS8" s="50">
        <f t="shared" si="6"/>
        <v>6160</v>
      </c>
      <c r="AT8" s="50">
        <f t="shared" si="1"/>
        <v>0</v>
      </c>
      <c r="AU8" s="50">
        <f t="shared" si="1"/>
        <v>6820</v>
      </c>
      <c r="AV8" s="116"/>
      <c r="AW8" s="116"/>
      <c r="AX8">
        <f t="shared" si="7"/>
        <v>0.36184210526315791</v>
      </c>
      <c r="AY8">
        <f t="shared" si="8"/>
        <v>152</v>
      </c>
    </row>
    <row r="9" spans="1:51">
      <c r="A9" s="1">
        <v>44461</v>
      </c>
      <c r="B9" s="56">
        <v>1600</v>
      </c>
      <c r="C9" s="55" cm="1">
        <f t="array" ref="C9">(SUM(VLOOKUP(H9:AE9,$AL$4:$AN$44,2,FALSE))+AF9*10)*IF(AJ9="是",$AW$4,$AW$3)</f>
        <v>890</v>
      </c>
      <c r="D9" s="18">
        <f>SUM($B$4:B9)-SUM($C$4:C9)</f>
        <v>3520</v>
      </c>
      <c r="E9" s="55" cm="1">
        <f t="array" ref="E9">SUM(VLOOKUP(H9:AE9,$AL$4:$AN$44,3,FALSE))</f>
        <v>250</v>
      </c>
      <c r="F9" s="55">
        <f>SUM($E$4:E9)+SUM($G$4:G9)</f>
        <v>2305</v>
      </c>
      <c r="G9" s="56">
        <v>200</v>
      </c>
      <c r="H9" s="28" t="s">
        <v>12</v>
      </c>
      <c r="I9" s="21" t="s">
        <v>17</v>
      </c>
      <c r="J9" s="22" t="s">
        <v>18</v>
      </c>
      <c r="K9" s="22" t="s">
        <v>18</v>
      </c>
      <c r="L9" s="22" t="s">
        <v>18</v>
      </c>
      <c r="M9" s="22" t="s">
        <v>18</v>
      </c>
      <c r="N9" s="7" t="s">
        <v>23</v>
      </c>
      <c r="O9" s="7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s="7" t="s">
        <v>23</v>
      </c>
      <c r="W9" s="7" t="s">
        <v>23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23</v>
      </c>
      <c r="AD9" s="7" t="s">
        <v>23</v>
      </c>
      <c r="AE9" s="7" t="s">
        <v>23</v>
      </c>
      <c r="AF9" s="36">
        <v>0</v>
      </c>
      <c r="AG9" s="36"/>
      <c r="AH9" s="36"/>
      <c r="AI9" s="36"/>
      <c r="AJ9" s="8" t="s">
        <v>30</v>
      </c>
      <c r="AL9" s="25" t="s">
        <v>21</v>
      </c>
      <c r="AM9" s="19">
        <v>200</v>
      </c>
      <c r="AN9" s="19">
        <v>60</v>
      </c>
      <c r="AO9" s="19">
        <f t="shared" si="2"/>
        <v>76</v>
      </c>
      <c r="AP9" s="19">
        <f t="shared" si="3"/>
        <v>0</v>
      </c>
      <c r="AQ9" s="19">
        <f t="shared" si="4"/>
        <v>118</v>
      </c>
      <c r="AR9" s="71">
        <f t="shared" si="5"/>
        <v>194</v>
      </c>
      <c r="AS9" s="50">
        <f t="shared" si="6"/>
        <v>4560</v>
      </c>
      <c r="AT9" s="50">
        <f t="shared" si="1"/>
        <v>0</v>
      </c>
      <c r="AU9" s="50">
        <f t="shared" si="1"/>
        <v>7080</v>
      </c>
      <c r="AX9">
        <f t="shared" si="7"/>
        <v>0.375</v>
      </c>
      <c r="AY9">
        <f t="shared" si="8"/>
        <v>160</v>
      </c>
    </row>
    <row r="10" spans="1:51">
      <c r="A10" s="1">
        <v>44462</v>
      </c>
      <c r="B10" s="56">
        <v>1600</v>
      </c>
      <c r="C10" s="55" cm="1">
        <f t="array" ref="C10">(SUM(VLOOKUP(H10:AE10,$AL$4:$AN$44,2,FALSE))+AF10*10)*IF(AJ10="是",$AW$4,$AW$3)</f>
        <v>1020</v>
      </c>
      <c r="D10" s="18">
        <f>SUM($B$4:B10)-SUM($C$4:C10)</f>
        <v>4100</v>
      </c>
      <c r="E10" s="55" cm="1">
        <f t="array" ref="E10">SUM(VLOOKUP(H10:AE10,$AL$4:$AN$44,3,FALSE))</f>
        <v>270</v>
      </c>
      <c r="F10" s="55">
        <f>SUM($E$4:E10)+SUM($G$4:G10)</f>
        <v>2575</v>
      </c>
      <c r="G10" s="56">
        <v>0</v>
      </c>
      <c r="H10" s="30" t="s">
        <v>72</v>
      </c>
      <c r="I10" s="22" t="s">
        <v>18</v>
      </c>
      <c r="J10" s="22" t="s">
        <v>18</v>
      </c>
      <c r="K10" s="22" t="s">
        <v>18</v>
      </c>
      <c r="L10" s="22" t="s">
        <v>18</v>
      </c>
      <c r="M10" s="22" t="s">
        <v>18</v>
      </c>
      <c r="N10" s="7" t="s">
        <v>23</v>
      </c>
      <c r="O10" s="7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s="7" t="s">
        <v>23</v>
      </c>
      <c r="W10" s="7" t="s">
        <v>23</v>
      </c>
      <c r="X10" t="s">
        <v>23</v>
      </c>
      <c r="Y10" t="s">
        <v>23</v>
      </c>
      <c r="Z10" t="s">
        <v>23</v>
      </c>
      <c r="AA10" t="s">
        <v>23</v>
      </c>
      <c r="AB10" t="s">
        <v>23</v>
      </c>
      <c r="AC10" t="s">
        <v>23</v>
      </c>
      <c r="AD10" s="7" t="s">
        <v>23</v>
      </c>
      <c r="AE10" s="7" t="s">
        <v>23</v>
      </c>
      <c r="AF10" s="36">
        <v>0</v>
      </c>
      <c r="AG10" s="36"/>
      <c r="AH10" s="36"/>
      <c r="AI10" s="36"/>
      <c r="AJ10" s="8" t="s">
        <v>30</v>
      </c>
      <c r="AL10" s="20" t="s">
        <v>5</v>
      </c>
      <c r="AM10" s="19">
        <v>150</v>
      </c>
      <c r="AN10" s="19">
        <v>35</v>
      </c>
      <c r="AO10" s="19">
        <f t="shared" si="2"/>
        <v>0</v>
      </c>
      <c r="AP10" s="19">
        <f t="shared" si="3"/>
        <v>0</v>
      </c>
      <c r="AQ10" s="19">
        <f t="shared" si="4"/>
        <v>0</v>
      </c>
      <c r="AR10" s="19">
        <f t="shared" si="5"/>
        <v>0</v>
      </c>
      <c r="AS10" s="50">
        <f t="shared" si="6"/>
        <v>0</v>
      </c>
      <c r="AT10" s="50">
        <f t="shared" si="1"/>
        <v>0</v>
      </c>
      <c r="AU10" s="50">
        <f t="shared" si="1"/>
        <v>0</v>
      </c>
      <c r="AX10">
        <f t="shared" si="7"/>
        <v>0.29166666666666669</v>
      </c>
      <c r="AY10">
        <f t="shared" si="8"/>
        <v>120</v>
      </c>
    </row>
    <row r="11" spans="1:51">
      <c r="A11" s="1">
        <v>44463</v>
      </c>
      <c r="B11" s="56">
        <v>1600</v>
      </c>
      <c r="C11" s="55" cm="1">
        <f t="array" ref="C11">(SUM(VLOOKUP(H11:AE11,$AL$4:$AN$44,2,FALSE))+AF11*10)*IF(AJ11="是",$AW$4,$AW$3)</f>
        <v>1110</v>
      </c>
      <c r="D11" s="18">
        <f>SUM($B$4:B11)-SUM($C$4:C11)</f>
        <v>4590</v>
      </c>
      <c r="E11" s="55" cm="1">
        <f t="array" ref="E11">SUM(VLOOKUP(H11:AE11,$AL$4:$AN$44,3,FALSE))</f>
        <v>425</v>
      </c>
      <c r="F11" s="55">
        <f>SUM($E$4:E11)+SUM($G$4:G11)</f>
        <v>3000</v>
      </c>
      <c r="G11" s="56">
        <v>0</v>
      </c>
      <c r="H11" s="22" t="s">
        <v>18</v>
      </c>
      <c r="I11" s="22" t="s">
        <v>18</v>
      </c>
      <c r="J11" s="22" t="s">
        <v>18</v>
      </c>
      <c r="K11" s="22" t="s">
        <v>18</v>
      </c>
      <c r="L11" s="30" t="s">
        <v>71</v>
      </c>
      <c r="M11" s="68" t="s">
        <v>18</v>
      </c>
      <c r="N11" s="7" t="s">
        <v>23</v>
      </c>
      <c r="O11" s="7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s="7" t="s">
        <v>23</v>
      </c>
      <c r="W11" s="7" t="s">
        <v>23</v>
      </c>
      <c r="X11" t="s">
        <v>23</v>
      </c>
      <c r="Y11" t="s">
        <v>23</v>
      </c>
      <c r="Z11" t="s">
        <v>23</v>
      </c>
      <c r="AA11" t="s">
        <v>23</v>
      </c>
      <c r="AB11" t="s">
        <v>23</v>
      </c>
      <c r="AC11" t="s">
        <v>23</v>
      </c>
      <c r="AD11" s="7" t="s">
        <v>23</v>
      </c>
      <c r="AE11" s="7" t="s">
        <v>23</v>
      </c>
      <c r="AF11" s="36">
        <v>1</v>
      </c>
      <c r="AG11" s="36">
        <v>1</v>
      </c>
      <c r="AH11" s="36"/>
      <c r="AI11" s="36"/>
      <c r="AJ11" s="8" t="s">
        <v>30</v>
      </c>
      <c r="AL11" s="21" t="s">
        <v>6</v>
      </c>
      <c r="AM11" s="19">
        <v>150</v>
      </c>
      <c r="AN11" s="19">
        <v>40</v>
      </c>
      <c r="AO11" s="19">
        <f t="shared" si="2"/>
        <v>2</v>
      </c>
      <c r="AP11" s="19">
        <f t="shared" si="3"/>
        <v>1</v>
      </c>
      <c r="AQ11" s="19">
        <f t="shared" si="4"/>
        <v>2</v>
      </c>
      <c r="AR11" s="19">
        <f t="shared" si="5"/>
        <v>5</v>
      </c>
      <c r="AS11" s="50">
        <f t="shared" si="6"/>
        <v>80</v>
      </c>
      <c r="AT11" s="50">
        <f t="shared" si="1"/>
        <v>40</v>
      </c>
      <c r="AU11" s="50">
        <f t="shared" si="1"/>
        <v>80</v>
      </c>
      <c r="AX11">
        <f t="shared" si="7"/>
        <v>0.33333333333333331</v>
      </c>
      <c r="AY11">
        <f t="shared" si="8"/>
        <v>120</v>
      </c>
    </row>
    <row r="12" spans="1:51">
      <c r="A12" s="1">
        <v>44464</v>
      </c>
      <c r="B12" s="56">
        <v>1600</v>
      </c>
      <c r="C12" s="55" cm="1">
        <f t="array" ref="C12">(SUM(VLOOKUP(H12:AE12,$AL$4:$AN$44,2,FALSE))+AF12*10)*IF(AJ12="是",$AW$4,$AW$3)</f>
        <v>1000</v>
      </c>
      <c r="D12" s="18">
        <f>SUM($B$4:B12)-SUM($C$4:C12)</f>
        <v>5190</v>
      </c>
      <c r="E12" s="55" cm="1">
        <f t="array" ref="E12">SUM(VLOOKUP(H12:AE12,$AL$4:$AN$44,3,FALSE))</f>
        <v>270</v>
      </c>
      <c r="F12" s="55">
        <f>SUM($E$4:E12)+SUM($G$4:G12)</f>
        <v>3270</v>
      </c>
      <c r="G12" s="56">
        <v>0</v>
      </c>
      <c r="H12" s="22" t="s">
        <v>7</v>
      </c>
      <c r="I12" s="22" t="s">
        <v>18</v>
      </c>
      <c r="J12" s="22" t="s">
        <v>18</v>
      </c>
      <c r="K12" s="22" t="s">
        <v>18</v>
      </c>
      <c r="L12" s="30" t="s">
        <v>72</v>
      </c>
      <c r="M12" s="22" t="s">
        <v>18</v>
      </c>
      <c r="N12" s="7" t="s">
        <v>23</v>
      </c>
      <c r="O12" s="7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s="7" t="s">
        <v>23</v>
      </c>
      <c r="W12" s="7" t="s">
        <v>23</v>
      </c>
      <c r="X12" t="s">
        <v>23</v>
      </c>
      <c r="Y12" t="s">
        <v>23</v>
      </c>
      <c r="Z12" t="s">
        <v>23</v>
      </c>
      <c r="AA12" t="s">
        <v>23</v>
      </c>
      <c r="AB12" t="s">
        <v>23</v>
      </c>
      <c r="AC12" t="s">
        <v>23</v>
      </c>
      <c r="AD12" s="7" t="s">
        <v>23</v>
      </c>
      <c r="AE12" s="7" t="s">
        <v>23</v>
      </c>
      <c r="AF12" s="36">
        <v>0</v>
      </c>
      <c r="AG12" s="36"/>
      <c r="AH12" s="36"/>
      <c r="AI12" s="36"/>
      <c r="AJ12" s="8" t="s">
        <v>30</v>
      </c>
      <c r="AL12" s="22" t="s">
        <v>7</v>
      </c>
      <c r="AM12" s="19">
        <v>150</v>
      </c>
      <c r="AN12" s="19">
        <v>45</v>
      </c>
      <c r="AO12" s="19">
        <f t="shared" si="2"/>
        <v>3</v>
      </c>
      <c r="AP12" s="19">
        <f t="shared" si="3"/>
        <v>2</v>
      </c>
      <c r="AQ12" s="19">
        <f t="shared" si="4"/>
        <v>1</v>
      </c>
      <c r="AR12" s="19">
        <f t="shared" si="5"/>
        <v>6</v>
      </c>
      <c r="AS12" s="50">
        <f t="shared" si="6"/>
        <v>135</v>
      </c>
      <c r="AT12" s="50">
        <f t="shared" si="1"/>
        <v>90</v>
      </c>
      <c r="AU12" s="50">
        <f t="shared" si="1"/>
        <v>45</v>
      </c>
      <c r="AX12">
        <f t="shared" si="7"/>
        <v>0.375</v>
      </c>
      <c r="AY12">
        <f t="shared" si="8"/>
        <v>120</v>
      </c>
    </row>
    <row r="13" spans="1:51">
      <c r="A13" s="1">
        <v>44465</v>
      </c>
      <c r="B13" s="56">
        <v>1600</v>
      </c>
      <c r="C13" s="55" cm="1">
        <f t="array" ref="C13">(SUM(VLOOKUP(H13:AE13,$AL$4:$AN$44,2,FALSE))+AF13*10)*IF(AJ13="是",$AW$4,$AW$3)</f>
        <v>1020</v>
      </c>
      <c r="D13" s="18">
        <f>SUM($B$4:B13)-SUM($C$4:C13)</f>
        <v>5770</v>
      </c>
      <c r="E13" s="55" cm="1">
        <f t="array" ref="E13">SUM(VLOOKUP(H13:AE13,$AL$4:$AN$44,3,FALSE))</f>
        <v>270</v>
      </c>
      <c r="F13" s="55">
        <f>SUM($E$4:E13)+SUM($G$4:G13)</f>
        <v>3540</v>
      </c>
      <c r="G13" s="56">
        <v>0</v>
      </c>
      <c r="H13" s="22" t="s">
        <v>18</v>
      </c>
      <c r="I13" s="22" t="s">
        <v>18</v>
      </c>
      <c r="J13" s="22" t="s">
        <v>18</v>
      </c>
      <c r="K13" s="22" t="s">
        <v>18</v>
      </c>
      <c r="L13" s="22" t="s">
        <v>18</v>
      </c>
      <c r="M13" s="22" t="s">
        <v>18</v>
      </c>
      <c r="N13" s="7" t="s">
        <v>23</v>
      </c>
      <c r="O13" s="7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s="7" t="s">
        <v>23</v>
      </c>
      <c r="W13" s="7" t="s">
        <v>23</v>
      </c>
      <c r="X13" t="s">
        <v>23</v>
      </c>
      <c r="Y13" t="s">
        <v>23</v>
      </c>
      <c r="Z13" t="s">
        <v>23</v>
      </c>
      <c r="AA13" t="s">
        <v>23</v>
      </c>
      <c r="AB13" t="s">
        <v>23</v>
      </c>
      <c r="AC13" t="s">
        <v>23</v>
      </c>
      <c r="AD13" s="7" t="s">
        <v>23</v>
      </c>
      <c r="AE13" s="7" t="s">
        <v>23</v>
      </c>
      <c r="AF13" s="36">
        <v>0</v>
      </c>
      <c r="AG13" s="36"/>
      <c r="AH13" s="36"/>
      <c r="AI13" s="36"/>
      <c r="AJ13" s="8" t="s">
        <v>30</v>
      </c>
      <c r="AL13" s="23" t="s">
        <v>8</v>
      </c>
      <c r="AM13" s="19">
        <v>150</v>
      </c>
      <c r="AN13" s="19">
        <v>50</v>
      </c>
      <c r="AO13" s="19">
        <f t="shared" si="2"/>
        <v>2</v>
      </c>
      <c r="AP13" s="19">
        <f t="shared" si="3"/>
        <v>1</v>
      </c>
      <c r="AQ13" s="19">
        <f t="shared" si="4"/>
        <v>1</v>
      </c>
      <c r="AR13" s="19">
        <f t="shared" si="5"/>
        <v>4</v>
      </c>
      <c r="AS13" s="50">
        <f t="shared" si="6"/>
        <v>100</v>
      </c>
      <c r="AT13" s="50">
        <f t="shared" si="1"/>
        <v>50</v>
      </c>
      <c r="AU13" s="50">
        <f t="shared" si="1"/>
        <v>50</v>
      </c>
      <c r="AX13">
        <f t="shared" si="7"/>
        <v>0.41666666666666669</v>
      </c>
      <c r="AY13">
        <f t="shared" si="8"/>
        <v>120</v>
      </c>
    </row>
    <row r="14" spans="1:51">
      <c r="A14" s="1">
        <v>44466</v>
      </c>
      <c r="B14" s="55">
        <v>1600</v>
      </c>
      <c r="C14" s="55" cm="1">
        <f t="array" ref="C14">(SUM(VLOOKUP(H14:AE14,$AL$4:$AN$44,2,FALSE))+AF14*10)*IF(AJ14="是",$AW$4,$AW$3)</f>
        <v>980</v>
      </c>
      <c r="D14" s="57">
        <f>SUM($B$4:B14)-SUM($C$4:C14)</f>
        <v>6390</v>
      </c>
      <c r="E14" s="55" cm="1">
        <f t="array" ref="E14">SUM(VLOOKUP(H14:AE14,$AL$4:$AN$44,3,FALSE))</f>
        <v>410</v>
      </c>
      <c r="F14" s="55">
        <f>SUM($E$4:E14)+SUM($G$4:G14)</f>
        <v>4250</v>
      </c>
      <c r="G14" s="55">
        <v>300</v>
      </c>
      <c r="H14" s="22" t="s">
        <v>18</v>
      </c>
      <c r="I14" s="22" t="s">
        <v>18</v>
      </c>
      <c r="J14" s="28" t="s">
        <v>12</v>
      </c>
      <c r="K14" s="22" t="s">
        <v>18</v>
      </c>
      <c r="L14" s="22" t="s">
        <v>18</v>
      </c>
      <c r="M14" s="30" t="s">
        <v>71</v>
      </c>
      <c r="N14" s="7" t="s">
        <v>23</v>
      </c>
      <c r="O14" s="7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s="7" t="s">
        <v>23</v>
      </c>
      <c r="W14" s="7" t="s">
        <v>23</v>
      </c>
      <c r="X14" t="s">
        <v>23</v>
      </c>
      <c r="Y14" t="s">
        <v>23</v>
      </c>
      <c r="Z14" t="s">
        <v>23</v>
      </c>
      <c r="AA14" t="s">
        <v>23</v>
      </c>
      <c r="AB14" t="s">
        <v>23</v>
      </c>
      <c r="AC14" t="s">
        <v>23</v>
      </c>
      <c r="AD14" s="7" t="s">
        <v>23</v>
      </c>
      <c r="AE14" s="7" t="s">
        <v>23</v>
      </c>
      <c r="AF14" s="36">
        <v>0</v>
      </c>
      <c r="AG14" s="36"/>
      <c r="AH14" s="36"/>
      <c r="AI14" s="36"/>
      <c r="AJ14" s="8" t="s">
        <v>30</v>
      </c>
      <c r="AL14" s="24" t="s">
        <v>9</v>
      </c>
      <c r="AM14" s="19">
        <v>150</v>
      </c>
      <c r="AN14" s="19">
        <v>55</v>
      </c>
      <c r="AO14" s="19">
        <f t="shared" si="2"/>
        <v>2</v>
      </c>
      <c r="AP14" s="19">
        <f t="shared" si="3"/>
        <v>0</v>
      </c>
      <c r="AQ14" s="19">
        <f t="shared" si="4"/>
        <v>1</v>
      </c>
      <c r="AR14" s="19">
        <f t="shared" si="5"/>
        <v>3</v>
      </c>
      <c r="AS14" s="50">
        <f t="shared" si="6"/>
        <v>110</v>
      </c>
      <c r="AT14" s="50">
        <f t="shared" si="1"/>
        <v>0</v>
      </c>
      <c r="AU14" s="50">
        <f t="shared" si="1"/>
        <v>55</v>
      </c>
      <c r="AX14">
        <f t="shared" si="7"/>
        <v>0.45833333333333331</v>
      </c>
      <c r="AY14">
        <f t="shared" si="8"/>
        <v>120</v>
      </c>
    </row>
    <row r="15" spans="1:51">
      <c r="A15" s="1">
        <v>44467</v>
      </c>
      <c r="B15" s="55">
        <v>1600</v>
      </c>
      <c r="C15" s="55" cm="1">
        <f t="array" ref="C15">(SUM(VLOOKUP(H15:AE15,$AL$4:$AN$44,2,FALSE))+AF15*10)*IF(AJ15="是",$AW$4,$AW$3)</f>
        <v>1020</v>
      </c>
      <c r="D15" s="57">
        <f>SUM($B$4:B15)-SUM($C$4:C15)</f>
        <v>6970</v>
      </c>
      <c r="E15" s="55" cm="1">
        <f t="array" ref="E15">SUM(VLOOKUP(H15:AE15,$AL$4:$AN$44,3,FALSE))</f>
        <v>270</v>
      </c>
      <c r="F15" s="55">
        <f>SUM($E$4:E15)+SUM($G$4:G15)</f>
        <v>4520</v>
      </c>
      <c r="G15" s="55">
        <v>0</v>
      </c>
      <c r="H15" s="22" t="s">
        <v>18</v>
      </c>
      <c r="I15" s="22" t="s">
        <v>18</v>
      </c>
      <c r="J15" s="22" t="s">
        <v>18</v>
      </c>
      <c r="K15" s="22" t="s">
        <v>18</v>
      </c>
      <c r="L15" s="30" t="s">
        <v>72</v>
      </c>
      <c r="M15" s="22" t="s">
        <v>18</v>
      </c>
      <c r="N15" s="7" t="s">
        <v>23</v>
      </c>
      <c r="O15" s="7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s="7" t="s">
        <v>23</v>
      </c>
      <c r="W15" s="7" t="s">
        <v>23</v>
      </c>
      <c r="X15" t="s">
        <v>23</v>
      </c>
      <c r="Y15" t="s">
        <v>23</v>
      </c>
      <c r="Z15" t="s">
        <v>23</v>
      </c>
      <c r="AA15" t="s">
        <v>23</v>
      </c>
      <c r="AB15" t="s">
        <v>23</v>
      </c>
      <c r="AC15" t="s">
        <v>23</v>
      </c>
      <c r="AD15" s="7" t="s">
        <v>23</v>
      </c>
      <c r="AE15" s="7" t="s">
        <v>23</v>
      </c>
      <c r="AF15" s="36">
        <v>0</v>
      </c>
      <c r="AG15" s="36"/>
      <c r="AH15" s="36"/>
      <c r="AI15" s="36"/>
      <c r="AJ15" s="8" t="s">
        <v>30</v>
      </c>
      <c r="AL15" s="25" t="s">
        <v>10</v>
      </c>
      <c r="AM15" s="19">
        <v>150</v>
      </c>
      <c r="AN15" s="19">
        <v>60</v>
      </c>
      <c r="AO15" s="19">
        <f t="shared" si="2"/>
        <v>0</v>
      </c>
      <c r="AP15" s="19">
        <f t="shared" si="3"/>
        <v>0</v>
      </c>
      <c r="AQ15" s="19">
        <f t="shared" si="4"/>
        <v>1</v>
      </c>
      <c r="AR15" s="19">
        <f t="shared" si="5"/>
        <v>1</v>
      </c>
      <c r="AS15" s="50">
        <f t="shared" si="6"/>
        <v>0</v>
      </c>
      <c r="AT15" s="50">
        <f t="shared" si="1"/>
        <v>0</v>
      </c>
      <c r="AU15" s="50">
        <f t="shared" si="1"/>
        <v>60</v>
      </c>
      <c r="AX15">
        <f t="shared" si="7"/>
        <v>0.5</v>
      </c>
      <c r="AY15">
        <f t="shared" si="8"/>
        <v>120</v>
      </c>
    </row>
    <row r="16" spans="1:51">
      <c r="A16" s="1">
        <v>44468</v>
      </c>
      <c r="B16" s="55">
        <v>1600</v>
      </c>
      <c r="C16" s="55" cm="1">
        <f t="array" ref="C16">(SUM(VLOOKUP(H16:AE16,$AL$4:$AN$44,2,FALSE))+AF16*10)*IF(AJ16="是",$AW$4,$AW$3)</f>
        <v>1020</v>
      </c>
      <c r="D16" s="57">
        <f>SUM($B$4:B16)-SUM($C$4:C16)</f>
        <v>7550</v>
      </c>
      <c r="E16" s="55" cm="1">
        <f t="array" ref="E16">SUM(VLOOKUP(H16:AE16,$AL$4:$AN$44,3,FALSE))</f>
        <v>270</v>
      </c>
      <c r="F16" s="55">
        <f>SUM($E$4:E16)+SUM($G$4:G16)</f>
        <v>4990</v>
      </c>
      <c r="G16" s="55">
        <v>200</v>
      </c>
      <c r="H16" s="22" t="s">
        <v>18</v>
      </c>
      <c r="I16" s="22" t="s">
        <v>18</v>
      </c>
      <c r="J16" s="22" t="s">
        <v>18</v>
      </c>
      <c r="K16" s="22" t="s">
        <v>18</v>
      </c>
      <c r="L16" s="22" t="s">
        <v>18</v>
      </c>
      <c r="M16" s="22" t="s">
        <v>18</v>
      </c>
      <c r="N16" s="7" t="s">
        <v>23</v>
      </c>
      <c r="O16" s="7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s="7" t="s">
        <v>23</v>
      </c>
      <c r="W16" s="7" t="s">
        <v>23</v>
      </c>
      <c r="X16" t="s">
        <v>23</v>
      </c>
      <c r="Y16" t="s">
        <v>23</v>
      </c>
      <c r="Z16" t="s">
        <v>23</v>
      </c>
      <c r="AA16" t="s">
        <v>23</v>
      </c>
      <c r="AB16" t="s">
        <v>23</v>
      </c>
      <c r="AC16" t="s">
        <v>23</v>
      </c>
      <c r="AD16" s="7" t="s">
        <v>23</v>
      </c>
      <c r="AE16" s="7" t="s">
        <v>23</v>
      </c>
      <c r="AF16" s="36">
        <v>0</v>
      </c>
      <c r="AG16" s="36"/>
      <c r="AH16" s="36"/>
      <c r="AI16" s="36"/>
      <c r="AJ16" s="8" t="s">
        <v>30</v>
      </c>
      <c r="AL16" s="26" t="s">
        <v>11</v>
      </c>
      <c r="AM16" s="27">
        <v>150</v>
      </c>
      <c r="AN16" s="19">
        <v>35</v>
      </c>
      <c r="AO16" s="19">
        <f t="shared" si="2"/>
        <v>0</v>
      </c>
      <c r="AP16" s="19">
        <f t="shared" si="3"/>
        <v>0</v>
      </c>
      <c r="AQ16" s="19">
        <f t="shared" si="4"/>
        <v>0</v>
      </c>
      <c r="AR16" s="19">
        <f t="shared" si="5"/>
        <v>0</v>
      </c>
      <c r="AS16" s="50">
        <f t="shared" si="6"/>
        <v>0</v>
      </c>
      <c r="AT16" s="50">
        <f t="shared" si="1"/>
        <v>0</v>
      </c>
      <c r="AU16" s="50">
        <f t="shared" si="1"/>
        <v>0</v>
      </c>
      <c r="AX16">
        <f t="shared" si="7"/>
        <v>0.29166666666666669</v>
      </c>
      <c r="AY16">
        <f t="shared" si="8"/>
        <v>120</v>
      </c>
    </row>
    <row r="17" spans="1:51">
      <c r="A17" s="1">
        <v>44469</v>
      </c>
      <c r="B17" s="55">
        <v>1600</v>
      </c>
      <c r="C17" s="55" cm="1">
        <f t="array" ref="C17">(SUM(VLOOKUP(H17:AE17,$AL$4:$AN$44,2,FALSE))+AF17*10)*IF(AJ17="是",$AW$4,$AW$3)</f>
        <v>1120</v>
      </c>
      <c r="D17" s="57">
        <f>SUM($B$4:B17)-SUM($C$4:C17)</f>
        <v>8030</v>
      </c>
      <c r="E17" s="55" cm="1">
        <f t="array" ref="E17">SUM(VLOOKUP(H17:AE17,$AL$4:$AN$44,3,FALSE))</f>
        <v>465</v>
      </c>
      <c r="F17" s="55">
        <f>SUM($E$4:E17)+SUM($G$4:G17)</f>
        <v>5455</v>
      </c>
      <c r="G17" s="55">
        <v>0</v>
      </c>
      <c r="H17" s="22" t="s">
        <v>18</v>
      </c>
      <c r="I17" s="22" t="s">
        <v>18</v>
      </c>
      <c r="J17" s="30" t="s">
        <v>71</v>
      </c>
      <c r="K17" s="29" t="s">
        <v>13</v>
      </c>
      <c r="L17" s="22" t="s">
        <v>18</v>
      </c>
      <c r="M17" s="22" t="s">
        <v>18</v>
      </c>
      <c r="N17" s="21" t="s">
        <v>17</v>
      </c>
      <c r="O17" s="22" t="s">
        <v>18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s="7" t="s">
        <v>23</v>
      </c>
      <c r="W17" s="7" t="s">
        <v>23</v>
      </c>
      <c r="X17" t="s">
        <v>23</v>
      </c>
      <c r="Y17" t="s">
        <v>23</v>
      </c>
      <c r="Z17" t="s">
        <v>23</v>
      </c>
      <c r="AA17" t="s">
        <v>23</v>
      </c>
      <c r="AB17" t="s">
        <v>23</v>
      </c>
      <c r="AC17" t="s">
        <v>23</v>
      </c>
      <c r="AD17" s="7" t="s">
        <v>23</v>
      </c>
      <c r="AE17" s="7" t="s">
        <v>23</v>
      </c>
      <c r="AF17" s="36">
        <v>1</v>
      </c>
      <c r="AG17" s="36">
        <v>1</v>
      </c>
      <c r="AH17" s="36"/>
      <c r="AI17" s="36"/>
      <c r="AJ17" s="8" t="s">
        <v>30</v>
      </c>
      <c r="AL17" s="28" t="s">
        <v>12</v>
      </c>
      <c r="AM17" s="19">
        <v>50</v>
      </c>
      <c r="AN17" s="19">
        <v>30</v>
      </c>
      <c r="AO17" s="19">
        <f t="shared" si="2"/>
        <v>16</v>
      </c>
      <c r="AP17" s="19">
        <f t="shared" si="3"/>
        <v>9</v>
      </c>
      <c r="AQ17" s="19">
        <f t="shared" si="4"/>
        <v>13</v>
      </c>
      <c r="AR17" s="19">
        <f t="shared" si="5"/>
        <v>38</v>
      </c>
      <c r="AS17" s="50">
        <f t="shared" si="6"/>
        <v>480</v>
      </c>
      <c r="AT17" s="50">
        <f t="shared" si="1"/>
        <v>270</v>
      </c>
      <c r="AU17" s="50">
        <f t="shared" si="1"/>
        <v>390</v>
      </c>
      <c r="AX17">
        <f t="shared" si="7"/>
        <v>0.75</v>
      </c>
      <c r="AY17">
        <f t="shared" si="8"/>
        <v>40</v>
      </c>
    </row>
    <row r="18" spans="1:51">
      <c r="A18" s="1">
        <v>44470</v>
      </c>
      <c r="B18" s="55">
        <v>1600</v>
      </c>
      <c r="C18" s="55" cm="1">
        <f t="array" ref="C18">(SUM(VLOOKUP(H18:AE18,$AL$4:$AN$44,2,FALSE))+AF18*10)*IF(AJ18="是",$AW$4,$AW$3)</f>
        <v>920</v>
      </c>
      <c r="D18" s="57">
        <f>SUM($B$4:B18)-SUM($C$4:C18)</f>
        <v>8710</v>
      </c>
      <c r="E18" s="55" cm="1">
        <f t="array" ref="E18">SUM(VLOOKUP(H18:AE18,$AL$4:$AN$44,3,FALSE))</f>
        <v>250</v>
      </c>
      <c r="F18" s="55">
        <f>SUM($E$4:E18)+SUM($G$4:G18)</f>
        <v>5705</v>
      </c>
      <c r="G18" s="55">
        <v>0</v>
      </c>
      <c r="H18" s="22" t="s">
        <v>18</v>
      </c>
      <c r="I18" s="28" t="s">
        <v>12</v>
      </c>
      <c r="J18" s="22" t="s">
        <v>18</v>
      </c>
      <c r="K18" s="30" t="s">
        <v>72</v>
      </c>
      <c r="L18" s="21" t="s">
        <v>6</v>
      </c>
      <c r="M18" s="22" t="s">
        <v>18</v>
      </c>
      <c r="N18" s="7" t="s">
        <v>23</v>
      </c>
      <c r="O18" s="7" t="s">
        <v>23</v>
      </c>
      <c r="P18" t="s">
        <v>23</v>
      </c>
      <c r="Q18" t="s">
        <v>23</v>
      </c>
      <c r="R18" t="s">
        <v>23</v>
      </c>
      <c r="S18" t="s">
        <v>23</v>
      </c>
      <c r="T18" t="s">
        <v>23</v>
      </c>
      <c r="U18" t="s">
        <v>23</v>
      </c>
      <c r="V18" s="7" t="s">
        <v>23</v>
      </c>
      <c r="W18" s="7" t="s">
        <v>23</v>
      </c>
      <c r="X18" t="s">
        <v>23</v>
      </c>
      <c r="Y18" t="s">
        <v>23</v>
      </c>
      <c r="Z18" t="s">
        <v>23</v>
      </c>
      <c r="AA18" t="s">
        <v>23</v>
      </c>
      <c r="AB18" t="s">
        <v>23</v>
      </c>
      <c r="AC18" t="s">
        <v>23</v>
      </c>
      <c r="AD18" s="7" t="s">
        <v>23</v>
      </c>
      <c r="AE18" s="7" t="s">
        <v>23</v>
      </c>
      <c r="AF18" s="36">
        <v>4</v>
      </c>
      <c r="AG18" s="36">
        <v>4</v>
      </c>
      <c r="AH18" s="36"/>
      <c r="AI18" s="36"/>
      <c r="AJ18" s="8" t="s">
        <v>30</v>
      </c>
      <c r="AK18" s="12" t="s">
        <v>25</v>
      </c>
      <c r="AL18" s="29" t="s">
        <v>13</v>
      </c>
      <c r="AM18" s="19">
        <v>-150</v>
      </c>
      <c r="AN18" s="19">
        <v>0</v>
      </c>
      <c r="AO18" s="19">
        <f t="shared" si="2"/>
        <v>1</v>
      </c>
      <c r="AP18" s="19">
        <f t="shared" si="3"/>
        <v>0</v>
      </c>
      <c r="AQ18" s="19">
        <f t="shared" si="4"/>
        <v>0</v>
      </c>
      <c r="AR18" s="19">
        <f t="shared" si="5"/>
        <v>1</v>
      </c>
      <c r="AS18" s="50">
        <f t="shared" si="6"/>
        <v>0</v>
      </c>
      <c r="AT18" s="50">
        <f t="shared" si="1"/>
        <v>0</v>
      </c>
      <c r="AU18" s="50">
        <f t="shared" si="1"/>
        <v>0</v>
      </c>
      <c r="AX18">
        <f t="shared" si="7"/>
        <v>0</v>
      </c>
      <c r="AY18">
        <f t="shared" si="8"/>
        <v>-120</v>
      </c>
    </row>
    <row r="19" spans="1:51">
      <c r="A19" s="1">
        <v>44471</v>
      </c>
      <c r="B19" s="55">
        <v>1600</v>
      </c>
      <c r="C19" s="55" cm="1">
        <f t="array" ref="C19">(SUM(VLOOKUP(H19:AE19,$AL$4:$AN$44,2,FALSE))+AF19*10)*IF(AJ19="是",$AW$4,$AW$3)</f>
        <v>1020</v>
      </c>
      <c r="D19" s="57">
        <f>SUM($B$4:B19)-SUM($C$4:C19)</f>
        <v>9290</v>
      </c>
      <c r="E19" s="55" cm="1">
        <f t="array" ref="E19">SUM(VLOOKUP(H19:AE19,$AL$4:$AN$44,3,FALSE))</f>
        <v>270</v>
      </c>
      <c r="F19" s="55">
        <f>SUM($E$4:E19)+SUM($G$4:G19)</f>
        <v>5975</v>
      </c>
      <c r="G19" s="55">
        <v>0</v>
      </c>
      <c r="H19" s="22" t="s">
        <v>18</v>
      </c>
      <c r="I19" s="22" t="s">
        <v>18</v>
      </c>
      <c r="J19" s="22" t="s">
        <v>18</v>
      </c>
      <c r="K19" s="22" t="s">
        <v>18</v>
      </c>
      <c r="L19" s="22" t="s">
        <v>18</v>
      </c>
      <c r="M19" s="22" t="s">
        <v>18</v>
      </c>
      <c r="N19" s="7" t="s">
        <v>23</v>
      </c>
      <c r="O19" s="7" t="s">
        <v>23</v>
      </c>
      <c r="P19" t="s">
        <v>23</v>
      </c>
      <c r="Q19" t="s">
        <v>23</v>
      </c>
      <c r="R19" t="s">
        <v>23</v>
      </c>
      <c r="S19" t="s">
        <v>23</v>
      </c>
      <c r="T19" t="s">
        <v>23</v>
      </c>
      <c r="U19" t="s">
        <v>23</v>
      </c>
      <c r="V19" s="7" t="s">
        <v>23</v>
      </c>
      <c r="W19" s="7" t="s">
        <v>23</v>
      </c>
      <c r="X19" t="s">
        <v>23</v>
      </c>
      <c r="Y19" t="s">
        <v>23</v>
      </c>
      <c r="Z19" t="s">
        <v>23</v>
      </c>
      <c r="AA19" t="s">
        <v>23</v>
      </c>
      <c r="AB19" t="s">
        <v>23</v>
      </c>
      <c r="AC19" t="s">
        <v>23</v>
      </c>
      <c r="AD19" s="7" t="s">
        <v>23</v>
      </c>
      <c r="AE19" s="7" t="s">
        <v>23</v>
      </c>
      <c r="AF19" s="36">
        <v>0</v>
      </c>
      <c r="AG19" s="36"/>
      <c r="AH19" s="36"/>
      <c r="AI19" s="36"/>
      <c r="AJ19" s="8" t="s">
        <v>30</v>
      </c>
      <c r="AL19" s="30" t="s">
        <v>71</v>
      </c>
      <c r="AM19" s="19">
        <v>250</v>
      </c>
      <c r="AN19" s="19">
        <v>200</v>
      </c>
      <c r="AO19" s="19">
        <f t="shared" si="2"/>
        <v>3</v>
      </c>
      <c r="AP19" s="19">
        <f t="shared" si="3"/>
        <v>0</v>
      </c>
      <c r="AQ19" s="19">
        <f t="shared" si="4"/>
        <v>0</v>
      </c>
      <c r="AR19" s="19">
        <f t="shared" si="5"/>
        <v>3</v>
      </c>
      <c r="AS19" s="50">
        <f t="shared" si="6"/>
        <v>600</v>
      </c>
      <c r="AT19" s="50">
        <f t="shared" si="1"/>
        <v>0</v>
      </c>
      <c r="AU19" s="50">
        <f t="shared" si="1"/>
        <v>0</v>
      </c>
      <c r="AX19">
        <f t="shared" si="7"/>
        <v>1</v>
      </c>
      <c r="AY19">
        <f t="shared" si="8"/>
        <v>200</v>
      </c>
    </row>
    <row r="20" spans="1:51">
      <c r="A20" s="1">
        <v>44472</v>
      </c>
      <c r="B20" s="55">
        <v>1600</v>
      </c>
      <c r="C20" s="69" cm="1">
        <f t="array" ref="C20">(SUM(VLOOKUP(H20:AE20,$AL$4:$AN$44,2,FALSE))+AF20*10)*IF(AJ20="是",$AW$4,$AW$3)-420</f>
        <v>2360</v>
      </c>
      <c r="D20" s="57">
        <f>SUM($B$4:B20)-SUM($C$4:C20)</f>
        <v>8530</v>
      </c>
      <c r="E20" s="55" cm="1">
        <f t="array" ref="E20">SUM(VLOOKUP(H20:AE20,$AL$4:$AN$44,3,FALSE))</f>
        <v>695</v>
      </c>
      <c r="F20" s="55">
        <f>SUM($E$4:E20)+SUM($G$4:G20)</f>
        <v>6670</v>
      </c>
      <c r="G20" s="55">
        <v>0</v>
      </c>
      <c r="H20" s="22" t="s">
        <v>18</v>
      </c>
      <c r="I20" s="22" t="s">
        <v>18</v>
      </c>
      <c r="J20" s="22" t="s">
        <v>18</v>
      </c>
      <c r="K20" s="30" t="s">
        <v>72</v>
      </c>
      <c r="L20" s="22" t="s">
        <v>18</v>
      </c>
      <c r="M20" s="22" t="s">
        <v>18</v>
      </c>
      <c r="N20" s="7" t="s">
        <v>23</v>
      </c>
      <c r="O20" s="7" t="s">
        <v>23</v>
      </c>
      <c r="P20" s="28" t="s">
        <v>12</v>
      </c>
      <c r="Q20" s="21" t="s">
        <v>17</v>
      </c>
      <c r="R20" s="21" t="s">
        <v>17</v>
      </c>
      <c r="S20" s="21" t="s">
        <v>17</v>
      </c>
      <c r="T20" s="21" t="s">
        <v>17</v>
      </c>
      <c r="U20" s="28" t="s">
        <v>12</v>
      </c>
      <c r="V20" s="7" t="s">
        <v>23</v>
      </c>
      <c r="W20" s="7" t="s">
        <v>23</v>
      </c>
      <c r="X20" s="20" t="s">
        <v>16</v>
      </c>
      <c r="Y20" s="20" t="s">
        <v>16</v>
      </c>
      <c r="Z20" s="28" t="s">
        <v>12</v>
      </c>
      <c r="AA20" s="20" t="s">
        <v>16</v>
      </c>
      <c r="AB20" s="20" t="s">
        <v>16</v>
      </c>
      <c r="AC20" s="20" t="s">
        <v>16</v>
      </c>
      <c r="AD20" s="7" t="s">
        <v>23</v>
      </c>
      <c r="AE20" s="7" t="s">
        <v>23</v>
      </c>
      <c r="AF20" s="36">
        <v>22</v>
      </c>
      <c r="AG20" s="36"/>
      <c r="AH20" s="36">
        <v>20</v>
      </c>
      <c r="AI20" s="36">
        <v>2</v>
      </c>
      <c r="AJ20" s="8" t="s">
        <v>30</v>
      </c>
      <c r="AL20" s="30" t="s">
        <v>72</v>
      </c>
      <c r="AM20" s="19">
        <v>170</v>
      </c>
      <c r="AN20" s="19">
        <v>45</v>
      </c>
      <c r="AO20" s="19">
        <f t="shared" si="2"/>
        <v>5</v>
      </c>
      <c r="AP20" s="19">
        <f t="shared" si="3"/>
        <v>0</v>
      </c>
      <c r="AQ20" s="19">
        <f t="shared" si="4"/>
        <v>0</v>
      </c>
      <c r="AR20" s="19">
        <f t="shared" si="5"/>
        <v>5</v>
      </c>
      <c r="AS20" s="50">
        <f t="shared" si="6"/>
        <v>225</v>
      </c>
      <c r="AT20" s="50">
        <f t="shared" si="6"/>
        <v>0</v>
      </c>
      <c r="AU20" s="50">
        <f t="shared" si="6"/>
        <v>0</v>
      </c>
      <c r="AX20">
        <f t="shared" si="7"/>
        <v>0.33088235294117646</v>
      </c>
      <c r="AY20">
        <f t="shared" si="8"/>
        <v>136</v>
      </c>
    </row>
    <row r="21" spans="1:51">
      <c r="A21" s="1">
        <v>44473</v>
      </c>
      <c r="B21" s="56">
        <v>1600</v>
      </c>
      <c r="C21" s="55" cm="1">
        <f t="array" ref="C21">(SUM(VLOOKUP(H21:AE21,$AL$4:$AN$44,2,FALSE))+AF21*10)*IF(AJ21="是",$AW$4,$AW$3)</f>
        <v>2056</v>
      </c>
      <c r="D21" s="18">
        <f>SUM($B$4:B21)-SUM($C$4:C21)</f>
        <v>8074</v>
      </c>
      <c r="E21" s="55" cm="1">
        <f t="array" ref="E21">SUM(VLOOKUP(H21:AE21,$AL$4:$AN$44,3,FALSE))</f>
        <v>720</v>
      </c>
      <c r="F21" s="55">
        <f>SUM($E$4:E21)+SUM($G$4:G21)</f>
        <v>7590</v>
      </c>
      <c r="G21" s="56">
        <v>200</v>
      </c>
      <c r="H21" s="28" t="s">
        <v>12</v>
      </c>
      <c r="I21" s="22" t="s">
        <v>18</v>
      </c>
      <c r="J21" s="22" t="s">
        <v>18</v>
      </c>
      <c r="K21" s="21" t="s">
        <v>17</v>
      </c>
      <c r="L21" s="21" t="s">
        <v>6</v>
      </c>
      <c r="M21" s="21" t="s">
        <v>17</v>
      </c>
      <c r="N21" s="7" t="s">
        <v>23</v>
      </c>
      <c r="O21" s="7" t="s">
        <v>23</v>
      </c>
      <c r="P21" s="21" t="s">
        <v>17</v>
      </c>
      <c r="Q21" s="21" t="s">
        <v>17</v>
      </c>
      <c r="R21" s="21" t="s">
        <v>17</v>
      </c>
      <c r="S21" s="21" t="s">
        <v>17</v>
      </c>
      <c r="T21" s="21" t="s">
        <v>17</v>
      </c>
      <c r="U21" s="21" t="s">
        <v>17</v>
      </c>
      <c r="V21" s="7" t="s">
        <v>23</v>
      </c>
      <c r="W21" s="7" t="s">
        <v>23</v>
      </c>
      <c r="X21" s="20" t="s">
        <v>16</v>
      </c>
      <c r="Y21" s="20" t="s">
        <v>16</v>
      </c>
      <c r="Z21" s="20" t="s">
        <v>16</v>
      </c>
      <c r="AA21" s="28" t="s">
        <v>12</v>
      </c>
      <c r="AB21" s="20" t="s">
        <v>16</v>
      </c>
      <c r="AC21" s="29" t="s">
        <v>47</v>
      </c>
      <c r="AD21" s="20" t="s">
        <v>16</v>
      </c>
      <c r="AE21" s="20" t="s">
        <v>16</v>
      </c>
      <c r="AF21" s="36">
        <v>0</v>
      </c>
      <c r="AG21" s="36"/>
      <c r="AH21" s="36"/>
      <c r="AI21" s="36"/>
      <c r="AJ21" s="8" t="s">
        <v>31</v>
      </c>
      <c r="AL21" s="70" t="s">
        <v>14</v>
      </c>
      <c r="AM21" s="19">
        <v>250</v>
      </c>
      <c r="AN21" s="19">
        <v>200</v>
      </c>
      <c r="AO21" s="19">
        <f t="shared" si="2"/>
        <v>0</v>
      </c>
      <c r="AP21" s="19">
        <f t="shared" si="3"/>
        <v>0</v>
      </c>
      <c r="AQ21" s="19">
        <f t="shared" si="4"/>
        <v>0</v>
      </c>
      <c r="AR21" s="19">
        <f t="shared" si="5"/>
        <v>0</v>
      </c>
      <c r="AS21" s="50">
        <f t="shared" si="6"/>
        <v>0</v>
      </c>
      <c r="AT21" s="50">
        <f t="shared" si="6"/>
        <v>0</v>
      </c>
      <c r="AU21" s="50">
        <f t="shared" si="6"/>
        <v>0</v>
      </c>
      <c r="AX21">
        <f t="shared" si="7"/>
        <v>1</v>
      </c>
      <c r="AY21">
        <f t="shared" si="8"/>
        <v>200</v>
      </c>
    </row>
    <row r="22" spans="1:51">
      <c r="A22" s="1">
        <v>44474</v>
      </c>
      <c r="B22" s="56">
        <v>1600</v>
      </c>
      <c r="C22" s="55" cm="1">
        <f t="array" ref="C22">(SUM(VLOOKUP(H22:AE22,$AL$4:$AN$44,2,FALSE))+AF22*10)*IF(AJ22="是",$AW$4,$AW$3)</f>
        <v>2016</v>
      </c>
      <c r="D22" s="18">
        <f>SUM($B$4:B22)-SUM($C$4:C22)</f>
        <v>7658</v>
      </c>
      <c r="E22" s="55" cm="1">
        <f t="array" ref="E22">SUM(VLOOKUP(H22:AE22,$AL$4:$AN$44,3,FALSE))</f>
        <v>690</v>
      </c>
      <c r="F22" s="55">
        <f>SUM($E$4:E22)+SUM($G$4:G22)</f>
        <v>8380</v>
      </c>
      <c r="G22" s="56">
        <v>100</v>
      </c>
      <c r="H22" s="21" t="s">
        <v>17</v>
      </c>
      <c r="I22" s="28" t="s">
        <v>12</v>
      </c>
      <c r="J22" s="67" t="s">
        <v>17</v>
      </c>
      <c r="K22" s="21" t="s">
        <v>17</v>
      </c>
      <c r="L22" s="28" t="s">
        <v>12</v>
      </c>
      <c r="M22" s="21" t="s">
        <v>17</v>
      </c>
      <c r="N22" s="7" t="s">
        <v>23</v>
      </c>
      <c r="O22" s="7" t="s">
        <v>23</v>
      </c>
      <c r="P22" s="21" t="s">
        <v>17</v>
      </c>
      <c r="Q22" s="21" t="s">
        <v>17</v>
      </c>
      <c r="R22" s="28" t="s">
        <v>12</v>
      </c>
      <c r="S22" s="22" t="s">
        <v>18</v>
      </c>
      <c r="T22" s="22" t="s">
        <v>18</v>
      </c>
      <c r="U22" s="21" t="s">
        <v>6</v>
      </c>
      <c r="V22" s="7" t="s">
        <v>23</v>
      </c>
      <c r="W22" s="7" t="s">
        <v>23</v>
      </c>
      <c r="X22" s="21" t="s">
        <v>17</v>
      </c>
      <c r="Y22" s="21" t="s">
        <v>17</v>
      </c>
      <c r="Z22" s="31" t="s">
        <v>39</v>
      </c>
      <c r="AA22" s="21" t="s">
        <v>17</v>
      </c>
      <c r="AB22" s="21" t="s">
        <v>17</v>
      </c>
      <c r="AC22" s="28" t="s">
        <v>12</v>
      </c>
      <c r="AD22" s="7" t="s">
        <v>23</v>
      </c>
      <c r="AE22" s="7" t="s">
        <v>23</v>
      </c>
      <c r="AF22" s="36">
        <v>7</v>
      </c>
      <c r="AG22" s="36">
        <v>2</v>
      </c>
      <c r="AH22" s="36"/>
      <c r="AI22" s="36">
        <v>5</v>
      </c>
      <c r="AJ22" s="8" t="s">
        <v>31</v>
      </c>
      <c r="AL22" s="32" t="s">
        <v>15</v>
      </c>
      <c r="AM22" s="19">
        <v>250</v>
      </c>
      <c r="AN22" s="19">
        <v>1000</v>
      </c>
      <c r="AO22" s="19">
        <f t="shared" si="2"/>
        <v>1</v>
      </c>
      <c r="AP22" s="19">
        <f t="shared" si="3"/>
        <v>0</v>
      </c>
      <c r="AQ22" s="19">
        <f t="shared" si="4"/>
        <v>1</v>
      </c>
      <c r="AR22" s="19">
        <f t="shared" si="5"/>
        <v>2</v>
      </c>
      <c r="AS22" s="50">
        <f t="shared" si="6"/>
        <v>1000</v>
      </c>
      <c r="AT22" s="50">
        <f t="shared" si="6"/>
        <v>0</v>
      </c>
      <c r="AU22" s="50">
        <f t="shared" si="6"/>
        <v>1000</v>
      </c>
      <c r="AX22">
        <f t="shared" si="7"/>
        <v>5</v>
      </c>
      <c r="AY22">
        <f t="shared" si="8"/>
        <v>200</v>
      </c>
    </row>
    <row r="23" spans="1:51">
      <c r="A23" s="1">
        <v>44475</v>
      </c>
      <c r="B23" s="56">
        <v>1600</v>
      </c>
      <c r="C23" s="55" cm="1">
        <f t="array" ref="C23">(SUM(VLOOKUP(H23:AE23,$AL$4:$AN$44,2,FALSE))+AF23*10)*IF(AJ23="是",$AW$4,$AW$3)</f>
        <v>2280</v>
      </c>
      <c r="D23" s="18">
        <f>SUM($B$4:B23)-SUM($C$4:C23)</f>
        <v>6978</v>
      </c>
      <c r="E23" s="55" cm="1">
        <f t="array" ref="E23">SUM(VLOOKUP(H23:AE23,$AL$4:$AN$44,3,FALSE))</f>
        <v>815</v>
      </c>
      <c r="F23" s="55">
        <f>SUM($E$4:E23)+SUM($G$4:G23)</f>
        <v>9395</v>
      </c>
      <c r="G23" s="56">
        <v>200</v>
      </c>
      <c r="H23" s="29" t="s">
        <v>47</v>
      </c>
      <c r="I23" s="22" t="s">
        <v>18</v>
      </c>
      <c r="J23" s="68" t="s">
        <v>18</v>
      </c>
      <c r="K23" s="68" t="s">
        <v>7</v>
      </c>
      <c r="L23" s="22" t="s">
        <v>18</v>
      </c>
      <c r="M23" s="22" t="s">
        <v>18</v>
      </c>
      <c r="N23" s="22" t="s">
        <v>18</v>
      </c>
      <c r="O23" s="22" t="s">
        <v>18</v>
      </c>
      <c r="P23" s="22" t="s">
        <v>18</v>
      </c>
      <c r="Q23" s="22" t="s">
        <v>18</v>
      </c>
      <c r="R23" s="22" t="s">
        <v>18</v>
      </c>
      <c r="S23" s="22" t="s">
        <v>18</v>
      </c>
      <c r="T23" s="22" t="s">
        <v>18</v>
      </c>
      <c r="U23" s="22" t="s">
        <v>18</v>
      </c>
      <c r="V23" s="7" t="s">
        <v>23</v>
      </c>
      <c r="W23" s="7" t="s">
        <v>23</v>
      </c>
      <c r="X23" s="21" t="s">
        <v>17</v>
      </c>
      <c r="Y23" s="21" t="s">
        <v>17</v>
      </c>
      <c r="Z23" s="21" t="s">
        <v>17</v>
      </c>
      <c r="AA23" s="21" t="s">
        <v>17</v>
      </c>
      <c r="AB23" s="21" t="s">
        <v>17</v>
      </c>
      <c r="AC23" s="28" t="s">
        <v>12</v>
      </c>
      <c r="AD23" s="7" t="s">
        <v>23</v>
      </c>
      <c r="AE23" s="7" t="s">
        <v>23</v>
      </c>
      <c r="AF23" s="36">
        <v>1</v>
      </c>
      <c r="AG23" s="36">
        <v>1</v>
      </c>
      <c r="AH23" s="36"/>
      <c r="AI23" s="36"/>
      <c r="AJ23" s="8" t="s">
        <v>31</v>
      </c>
      <c r="AL23" s="34" t="s">
        <v>41</v>
      </c>
      <c r="AM23" s="19">
        <v>250</v>
      </c>
      <c r="AN23" s="19">
        <v>500</v>
      </c>
      <c r="AO23" s="19">
        <f t="shared" si="2"/>
        <v>0</v>
      </c>
      <c r="AP23" s="19">
        <f t="shared" si="3"/>
        <v>0</v>
      </c>
      <c r="AQ23" s="19">
        <f t="shared" si="4"/>
        <v>2</v>
      </c>
      <c r="AR23" s="19">
        <f t="shared" si="5"/>
        <v>2</v>
      </c>
      <c r="AS23" s="50">
        <f t="shared" si="6"/>
        <v>0</v>
      </c>
      <c r="AT23" s="50">
        <f t="shared" si="6"/>
        <v>0</v>
      </c>
      <c r="AU23" s="50">
        <f t="shared" si="6"/>
        <v>1000</v>
      </c>
      <c r="AX23">
        <f t="shared" si="7"/>
        <v>2.5</v>
      </c>
      <c r="AY23">
        <f t="shared" si="8"/>
        <v>200</v>
      </c>
    </row>
    <row r="24" spans="1:51">
      <c r="A24" s="1">
        <v>44476</v>
      </c>
      <c r="B24" s="56">
        <v>1600</v>
      </c>
      <c r="C24" s="55" cm="1">
        <f t="array" ref="C24">(SUM(VLOOKUP(H24:AE24,$AL$4:$AN$44,2,FALSE))+AF24*10)*IF(AJ24="是",$AW$4,$AW$3)</f>
        <v>2112</v>
      </c>
      <c r="D24" s="18">
        <f>SUM($B$4:B24)-SUM($C$4:C24)</f>
        <v>6466</v>
      </c>
      <c r="E24" s="55" cm="1">
        <f t="array" ref="E24">SUM(VLOOKUP(H24:AE24,$AL$4:$AN$44,3,FALSE))</f>
        <v>740</v>
      </c>
      <c r="F24" s="55">
        <f>SUM($E$4:E24)+SUM($G$4:G24)</f>
        <v>10135</v>
      </c>
      <c r="G24" s="56">
        <v>0</v>
      </c>
      <c r="H24" s="68" t="s">
        <v>18</v>
      </c>
      <c r="I24" s="68" t="s">
        <v>18</v>
      </c>
      <c r="J24" s="28" t="s">
        <v>12</v>
      </c>
      <c r="K24" s="22" t="s">
        <v>18</v>
      </c>
      <c r="L24" s="22" t="s">
        <v>18</v>
      </c>
      <c r="M24" s="22" t="s">
        <v>18</v>
      </c>
      <c r="N24" s="7" t="s">
        <v>23</v>
      </c>
      <c r="O24" s="7" t="s">
        <v>23</v>
      </c>
      <c r="P24" s="28" t="s">
        <v>12</v>
      </c>
      <c r="Q24" s="68" t="s">
        <v>7</v>
      </c>
      <c r="R24" s="22" t="s">
        <v>18</v>
      </c>
      <c r="S24" s="22" t="s">
        <v>18</v>
      </c>
      <c r="T24" s="22" t="s">
        <v>18</v>
      </c>
      <c r="U24" s="22" t="s">
        <v>18</v>
      </c>
      <c r="V24" s="7" t="s">
        <v>23</v>
      </c>
      <c r="W24" s="7" t="s">
        <v>23</v>
      </c>
      <c r="X24" s="21" t="s">
        <v>17</v>
      </c>
      <c r="Y24" s="21" t="s">
        <v>17</v>
      </c>
      <c r="Z24" s="21" t="s">
        <v>17</v>
      </c>
      <c r="AA24" s="21" t="s">
        <v>6</v>
      </c>
      <c r="AB24" s="21" t="s">
        <v>17</v>
      </c>
      <c r="AC24" s="28" t="s">
        <v>12</v>
      </c>
      <c r="AD24" s="7" t="s">
        <v>23</v>
      </c>
      <c r="AE24" s="7" t="s">
        <v>23</v>
      </c>
      <c r="AF24" s="36">
        <v>2</v>
      </c>
      <c r="AG24" s="36">
        <v>1</v>
      </c>
      <c r="AH24" s="36">
        <v>1</v>
      </c>
      <c r="AI24" s="36"/>
      <c r="AJ24" s="8" t="s">
        <v>31</v>
      </c>
      <c r="AL24" s="31" t="s">
        <v>39</v>
      </c>
      <c r="AM24" s="19">
        <v>160</v>
      </c>
      <c r="AN24" s="19">
        <v>40</v>
      </c>
      <c r="AO24" s="19">
        <f t="shared" si="2"/>
        <v>0</v>
      </c>
      <c r="AP24" s="19">
        <f t="shared" si="3"/>
        <v>0</v>
      </c>
      <c r="AQ24" s="19">
        <f t="shared" si="4"/>
        <v>1</v>
      </c>
      <c r="AR24" s="19">
        <f t="shared" si="5"/>
        <v>1</v>
      </c>
      <c r="AS24" s="50">
        <f t="shared" si="6"/>
        <v>0</v>
      </c>
      <c r="AT24" s="50">
        <f t="shared" si="6"/>
        <v>0</v>
      </c>
      <c r="AU24" s="50">
        <f t="shared" si="6"/>
        <v>40</v>
      </c>
      <c r="AX24">
        <f t="shared" si="7"/>
        <v>0.3125</v>
      </c>
      <c r="AY24">
        <f t="shared" si="8"/>
        <v>128</v>
      </c>
    </row>
    <row r="25" spans="1:51">
      <c r="A25" s="1">
        <v>44477</v>
      </c>
      <c r="B25" s="56">
        <v>1600</v>
      </c>
      <c r="C25" s="55" cm="1">
        <f t="array" ref="C25">(SUM(VLOOKUP(H25:AE25,$AL$4:$AN$44,2,FALSE))+AF25*10)*IF(AJ25="是",$AW$4,$AW$3)</f>
        <v>2360</v>
      </c>
      <c r="D25" s="18">
        <f>SUM($B$4:B25)-SUM($C$4:C25)</f>
        <v>5706</v>
      </c>
      <c r="E25" s="55" cm="1">
        <f t="array" ref="E25">SUM(VLOOKUP(H25:AE25,$AL$4:$AN$44,3,FALSE))</f>
        <v>820</v>
      </c>
      <c r="F25" s="55">
        <f>SUM($E$4:E25)+SUM($G$4:G25)</f>
        <v>10955</v>
      </c>
      <c r="G25" s="56">
        <v>0</v>
      </c>
      <c r="H25" s="68" t="s">
        <v>18</v>
      </c>
      <c r="I25" s="28" t="s">
        <v>12</v>
      </c>
      <c r="J25" s="22" t="s">
        <v>18</v>
      </c>
      <c r="K25" s="22" t="s">
        <v>18</v>
      </c>
      <c r="L25" s="68" t="s">
        <v>18</v>
      </c>
      <c r="M25" s="68" t="s">
        <v>18</v>
      </c>
      <c r="N25" s="7" t="s">
        <v>23</v>
      </c>
      <c r="O25" s="7" t="s">
        <v>23</v>
      </c>
      <c r="P25" s="22" t="s">
        <v>18</v>
      </c>
      <c r="Q25" s="68" t="s">
        <v>18</v>
      </c>
      <c r="R25" s="68" t="s">
        <v>18</v>
      </c>
      <c r="S25" s="29" t="s">
        <v>47</v>
      </c>
      <c r="T25" s="22" t="s">
        <v>18</v>
      </c>
      <c r="U25" s="22" t="s">
        <v>18</v>
      </c>
      <c r="V25" s="22" t="s">
        <v>18</v>
      </c>
      <c r="W25" s="22" t="s">
        <v>18</v>
      </c>
      <c r="X25" s="67" t="s">
        <v>17</v>
      </c>
      <c r="Y25" s="21" t="s">
        <v>17</v>
      </c>
      <c r="Z25" s="21" t="s">
        <v>17</v>
      </c>
      <c r="AA25" s="21" t="s">
        <v>6</v>
      </c>
      <c r="AB25" s="68" t="s">
        <v>18</v>
      </c>
      <c r="AC25" s="68" t="s">
        <v>18</v>
      </c>
      <c r="AD25" s="7" t="s">
        <v>23</v>
      </c>
      <c r="AE25" s="7" t="s">
        <v>23</v>
      </c>
      <c r="AF25" s="36">
        <v>9</v>
      </c>
      <c r="AG25" s="36">
        <v>2</v>
      </c>
      <c r="AH25" s="36">
        <v>2</v>
      </c>
      <c r="AI25" s="36">
        <v>5</v>
      </c>
      <c r="AJ25" s="8" t="s">
        <v>31</v>
      </c>
      <c r="AL25" s="31" t="s">
        <v>40</v>
      </c>
      <c r="AM25" s="19">
        <v>160</v>
      </c>
      <c r="AN25" s="19">
        <v>40</v>
      </c>
      <c r="AO25" s="19">
        <f t="shared" si="2"/>
        <v>1</v>
      </c>
      <c r="AP25" s="19">
        <f t="shared" si="3"/>
        <v>0</v>
      </c>
      <c r="AQ25" s="19">
        <f t="shared" si="4"/>
        <v>0</v>
      </c>
      <c r="AR25" s="19">
        <f t="shared" si="5"/>
        <v>1</v>
      </c>
      <c r="AS25" s="50">
        <f t="shared" si="6"/>
        <v>40</v>
      </c>
      <c r="AT25" s="50">
        <f t="shared" si="6"/>
        <v>0</v>
      </c>
      <c r="AU25" s="50">
        <f t="shared" si="6"/>
        <v>0</v>
      </c>
      <c r="AX25">
        <f t="shared" si="7"/>
        <v>0.3125</v>
      </c>
      <c r="AY25">
        <f t="shared" si="8"/>
        <v>128</v>
      </c>
    </row>
    <row r="26" spans="1:51">
      <c r="A26" s="1">
        <v>44478</v>
      </c>
      <c r="B26" s="56">
        <v>1600</v>
      </c>
      <c r="C26" s="55" cm="1">
        <f t="array" ref="C26">(SUM(VLOOKUP(H26:AE26,$AL$4:$AN$44,2,FALSE))+AF26*10)*IF(AJ26="是",$AW$4,$AW$3)</f>
        <v>2280</v>
      </c>
      <c r="D26" s="18">
        <f>SUM($B$4:B26)-SUM($C$4:C26)</f>
        <v>5026</v>
      </c>
      <c r="E26" s="55" cm="1">
        <f t="array" ref="E26">SUM(VLOOKUP(H26:AE26,$AL$4:$AN$44,3,FALSE))</f>
        <v>780</v>
      </c>
      <c r="F26" s="55">
        <f>SUM($E$4:E26)+SUM($G$4:G26)</f>
        <v>11735</v>
      </c>
      <c r="G26" s="56">
        <v>0</v>
      </c>
      <c r="H26" s="28" t="s">
        <v>12</v>
      </c>
      <c r="I26" s="22" t="s">
        <v>18</v>
      </c>
      <c r="J26" s="68" t="s">
        <v>18</v>
      </c>
      <c r="K26" s="68" t="s">
        <v>18</v>
      </c>
      <c r="L26" s="68" t="s">
        <v>18</v>
      </c>
      <c r="M26" s="22" t="s">
        <v>18</v>
      </c>
      <c r="N26" s="7" t="s">
        <v>23</v>
      </c>
      <c r="O26" s="7" t="s">
        <v>23</v>
      </c>
      <c r="P26" s="22" t="s">
        <v>18</v>
      </c>
      <c r="Q26" s="22" t="s">
        <v>18</v>
      </c>
      <c r="R26" s="22" t="s">
        <v>18</v>
      </c>
      <c r="S26" s="22" t="s">
        <v>18</v>
      </c>
      <c r="T26" s="22" t="s">
        <v>18</v>
      </c>
      <c r="U26" s="22" t="s">
        <v>18</v>
      </c>
      <c r="V26" s="7" t="s">
        <v>23</v>
      </c>
      <c r="W26" s="7" t="s">
        <v>23</v>
      </c>
      <c r="X26" s="22" t="s">
        <v>18</v>
      </c>
      <c r="Y26" s="28" t="s">
        <v>12</v>
      </c>
      <c r="Z26" s="22" t="s">
        <v>18</v>
      </c>
      <c r="AA26" s="68" t="s">
        <v>18</v>
      </c>
      <c r="AB26" s="68" t="s">
        <v>18</v>
      </c>
      <c r="AC26" s="22" t="s">
        <v>18</v>
      </c>
      <c r="AD26" s="7" t="s">
        <v>23</v>
      </c>
      <c r="AE26" s="7" t="s">
        <v>23</v>
      </c>
      <c r="AF26" s="36">
        <v>3</v>
      </c>
      <c r="AG26" s="36">
        <v>2</v>
      </c>
      <c r="AH26" s="36"/>
      <c r="AI26" s="36">
        <v>1</v>
      </c>
      <c r="AJ26" s="8" t="s">
        <v>31</v>
      </c>
      <c r="AL26" s="31" t="s">
        <v>38</v>
      </c>
      <c r="AM26" s="19">
        <v>150</v>
      </c>
      <c r="AN26" s="19">
        <v>35</v>
      </c>
      <c r="AO26" s="19">
        <f t="shared" si="2"/>
        <v>1</v>
      </c>
      <c r="AP26" s="19">
        <f t="shared" si="3"/>
        <v>0</v>
      </c>
      <c r="AQ26" s="19">
        <f t="shared" si="4"/>
        <v>0</v>
      </c>
      <c r="AR26" s="19">
        <f t="shared" si="5"/>
        <v>1</v>
      </c>
      <c r="AS26" s="50">
        <f t="shared" si="6"/>
        <v>35</v>
      </c>
      <c r="AT26" s="50">
        <f t="shared" si="6"/>
        <v>0</v>
      </c>
      <c r="AU26" s="50">
        <f t="shared" si="6"/>
        <v>0</v>
      </c>
      <c r="AX26">
        <f t="shared" si="7"/>
        <v>0.29166666666666669</v>
      </c>
      <c r="AY26">
        <f t="shared" si="8"/>
        <v>120</v>
      </c>
    </row>
    <row r="27" spans="1:51">
      <c r="A27" s="1">
        <v>44479</v>
      </c>
      <c r="B27" s="56">
        <v>1600</v>
      </c>
      <c r="C27" s="55" cm="1">
        <f t="array" ref="C27">(SUM(VLOOKUP(H27:AE27,$AL$4:$AN$44,2,FALSE))+AF27*10)*IF(AJ27="是",$AW$4,$AW$3)</f>
        <v>2320</v>
      </c>
      <c r="D27" s="18">
        <f>SUM($B$4:B27)-SUM($C$4:C27)</f>
        <v>4306</v>
      </c>
      <c r="E27" s="55" cm="1">
        <f t="array" ref="E27">SUM(VLOOKUP(H27:AE27,$AL$4:$AN$44,3,FALSE))</f>
        <v>840</v>
      </c>
      <c r="F27" s="55">
        <f>SUM($E$4:E27)+SUM($G$4:G27)</f>
        <v>12575</v>
      </c>
      <c r="G27" s="56">
        <v>0</v>
      </c>
      <c r="H27" s="22" t="s">
        <v>18</v>
      </c>
      <c r="I27" s="22" t="s">
        <v>18</v>
      </c>
      <c r="J27" s="22" t="s">
        <v>18</v>
      </c>
      <c r="K27" s="22" t="s">
        <v>18</v>
      </c>
      <c r="L27" s="68" t="s">
        <v>18</v>
      </c>
      <c r="M27" s="68" t="s">
        <v>18</v>
      </c>
      <c r="N27" s="7" t="s">
        <v>23</v>
      </c>
      <c r="O27" s="7" t="s">
        <v>23</v>
      </c>
      <c r="P27" s="28" t="s">
        <v>12</v>
      </c>
      <c r="Q27" s="22" t="s">
        <v>18</v>
      </c>
      <c r="R27" s="22" t="s">
        <v>18</v>
      </c>
      <c r="S27" s="22" t="s">
        <v>7</v>
      </c>
      <c r="T27" s="22" t="s">
        <v>18</v>
      </c>
      <c r="U27" s="22" t="s">
        <v>18</v>
      </c>
      <c r="V27" s="7" t="s">
        <v>23</v>
      </c>
      <c r="W27" s="7" t="s">
        <v>23</v>
      </c>
      <c r="X27" s="22" t="s">
        <v>18</v>
      </c>
      <c r="Y27" s="22" t="s">
        <v>18</v>
      </c>
      <c r="Z27" s="22" t="s">
        <v>18</v>
      </c>
      <c r="AA27" s="22" t="s">
        <v>18</v>
      </c>
      <c r="AB27" s="22" t="s">
        <v>18</v>
      </c>
      <c r="AC27" s="29" t="s">
        <v>47</v>
      </c>
      <c r="AD27" s="22" t="s">
        <v>18</v>
      </c>
      <c r="AE27" s="22" t="s">
        <v>18</v>
      </c>
      <c r="AF27" s="36">
        <v>1</v>
      </c>
      <c r="AG27" s="36">
        <v>1</v>
      </c>
      <c r="AH27" s="36"/>
      <c r="AI27" s="36"/>
      <c r="AJ27" s="8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6"/>
        <v>0</v>
      </c>
      <c r="AT27" s="50">
        <f t="shared" si="6"/>
        <v>0</v>
      </c>
      <c r="AU27" s="50">
        <f t="shared" si="6"/>
        <v>0</v>
      </c>
      <c r="AX27" t="e">
        <f t="shared" si="7"/>
        <v>#DIV/0!</v>
      </c>
      <c r="AY27">
        <f t="shared" si="8"/>
        <v>0</v>
      </c>
    </row>
    <row r="28" spans="1:51" ht="15.75" thickBot="1">
      <c r="A28" s="1">
        <v>44480</v>
      </c>
      <c r="B28" s="55">
        <v>1600</v>
      </c>
      <c r="C28" s="55" cm="1">
        <f t="array" ref="C28">(SUM(VLOOKUP(H28:AE28,$AL$4:$AN$44,2,FALSE))+AF28*10)*IF(AJ28="是",$AW$4,$AW$3)</f>
        <v>2008</v>
      </c>
      <c r="D28" s="57">
        <f>SUM($B$4:B28)-SUM($C$4:C28)</f>
        <v>3898</v>
      </c>
      <c r="E28" s="55" cm="1">
        <f t="array" ref="E28">SUM(VLOOKUP(H28:AE28,$AL$4:$AN$44,3,FALSE))</f>
        <v>755</v>
      </c>
      <c r="F28" s="55">
        <f>SUM($E$4:E28)+SUM($G$4:G28)</f>
        <v>13530</v>
      </c>
      <c r="G28" s="55">
        <v>200</v>
      </c>
      <c r="H28" s="22" t="s">
        <v>18</v>
      </c>
      <c r="I28" s="23" t="s">
        <v>19</v>
      </c>
      <c r="J28" s="22" t="s">
        <v>18</v>
      </c>
      <c r="K28" s="22" t="s">
        <v>18</v>
      </c>
      <c r="L28" t="s">
        <v>23</v>
      </c>
      <c r="M28" t="s">
        <v>23</v>
      </c>
      <c r="N28" s="7" t="s">
        <v>23</v>
      </c>
      <c r="O28" s="7" t="s">
        <v>23</v>
      </c>
      <c r="P28" s="28" t="s">
        <v>12</v>
      </c>
      <c r="Q28" s="22" t="s">
        <v>18</v>
      </c>
      <c r="R28" s="22" t="s">
        <v>18</v>
      </c>
      <c r="S28" s="23" t="s">
        <v>19</v>
      </c>
      <c r="T28" s="23" t="s">
        <v>19</v>
      </c>
      <c r="U28" s="23" t="s">
        <v>19</v>
      </c>
      <c r="V28" s="7" t="s">
        <v>23</v>
      </c>
      <c r="W28" s="7" t="s">
        <v>23</v>
      </c>
      <c r="X28" s="68" t="s">
        <v>18</v>
      </c>
      <c r="Y28" s="68" t="s">
        <v>18</v>
      </c>
      <c r="Z28" s="22" t="s">
        <v>18</v>
      </c>
      <c r="AA28" s="22" t="s">
        <v>18</v>
      </c>
      <c r="AB28" s="29" t="s">
        <v>47</v>
      </c>
      <c r="AC28" s="22" t="s">
        <v>18</v>
      </c>
      <c r="AD28" s="22" t="s">
        <v>18</v>
      </c>
      <c r="AE28" s="28" t="s">
        <v>12</v>
      </c>
      <c r="AF28" s="36">
        <v>2</v>
      </c>
      <c r="AG28" s="36"/>
      <c r="AH28" s="36"/>
      <c r="AI28" s="36">
        <v>2</v>
      </c>
      <c r="AJ28" s="8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5</v>
      </c>
      <c r="AP28" s="19">
        <f>COUNTIF($P$4:$W$94,AL28)</f>
        <v>2</v>
      </c>
      <c r="AQ28" s="19">
        <f>COUNTIF($X$4:$AE$94,AL28)</f>
        <v>7</v>
      </c>
      <c r="AR28" s="19">
        <f>AO28+AP28+AQ28</f>
        <v>14</v>
      </c>
      <c r="AS28" s="50">
        <f t="shared" si="6"/>
        <v>0</v>
      </c>
      <c r="AT28" s="50">
        <f t="shared" si="6"/>
        <v>0</v>
      </c>
      <c r="AU28" s="50">
        <f t="shared" si="6"/>
        <v>0</v>
      </c>
      <c r="AX28">
        <f t="shared" si="7"/>
        <v>0</v>
      </c>
      <c r="AY28">
        <f t="shared" si="8"/>
        <v>-160</v>
      </c>
    </row>
    <row r="29" spans="1:51">
      <c r="A29" s="1">
        <v>44481</v>
      </c>
      <c r="B29" s="55">
        <v>1600</v>
      </c>
      <c r="C29" s="55" cm="1">
        <f t="array" ref="C29">(SUM(VLOOKUP(H29:AE29,$AL$4:$AN$44,2,FALSE))+AF29*10)*IF(AJ29="是",$AW$4,$AW$3)</f>
        <v>1848</v>
      </c>
      <c r="D29" s="57">
        <f>SUM($B$4:B29)-SUM($C$4:C29)</f>
        <v>3650</v>
      </c>
      <c r="E29" s="55" cm="1">
        <f t="array" ref="E29">SUM(VLOOKUP(H29:AE29,$AL$4:$AN$44,3,FALSE))</f>
        <v>710</v>
      </c>
      <c r="F29" s="55">
        <f>SUM($E$4:E29)+SUM($G$4:G29)</f>
        <v>14340</v>
      </c>
      <c r="G29" s="55">
        <v>100</v>
      </c>
      <c r="H29" s="28" t="s">
        <v>12</v>
      </c>
      <c r="I29" s="22" t="s">
        <v>18</v>
      </c>
      <c r="J29" s="29" t="s">
        <v>47</v>
      </c>
      <c r="K29" s="23" t="s">
        <v>19</v>
      </c>
      <c r="L29" t="s">
        <v>23</v>
      </c>
      <c r="M29" t="s">
        <v>23</v>
      </c>
      <c r="N29" s="7" t="s">
        <v>23</v>
      </c>
      <c r="O29" s="7" t="s">
        <v>23</v>
      </c>
      <c r="P29" s="23" t="s">
        <v>19</v>
      </c>
      <c r="Q29" s="23" t="s">
        <v>19</v>
      </c>
      <c r="R29" s="23" t="s">
        <v>19</v>
      </c>
      <c r="S29" s="23" t="s">
        <v>19</v>
      </c>
      <c r="T29" s="23" t="s">
        <v>19</v>
      </c>
      <c r="U29" s="23" t="s">
        <v>19</v>
      </c>
      <c r="V29" s="7" t="s">
        <v>23</v>
      </c>
      <c r="W29" s="7" t="s">
        <v>23</v>
      </c>
      <c r="X29" s="22" t="s">
        <v>18</v>
      </c>
      <c r="Y29" s="22" t="s">
        <v>18</v>
      </c>
      <c r="Z29" s="23" t="s">
        <v>19</v>
      </c>
      <c r="AA29" s="23" t="s">
        <v>19</v>
      </c>
      <c r="AB29" s="23" t="s">
        <v>19</v>
      </c>
      <c r="AC29" s="22" t="s">
        <v>7</v>
      </c>
      <c r="AD29" s="7" t="s">
        <v>23</v>
      </c>
      <c r="AE29" s="7" t="s">
        <v>23</v>
      </c>
      <c r="AF29" s="36">
        <v>0</v>
      </c>
      <c r="AG29" s="36"/>
      <c r="AH29" s="36"/>
      <c r="AI29" s="36"/>
      <c r="AJ29" s="8" t="s">
        <v>31</v>
      </c>
      <c r="AL29" s="19"/>
      <c r="AM29" s="19"/>
      <c r="AN29" s="19"/>
      <c r="AQ29" t="s">
        <v>60</v>
      </c>
      <c r="AR29">
        <f>SUM(AR4:AR28)</f>
        <v>1024</v>
      </c>
      <c r="AT29" t="s">
        <v>61</v>
      </c>
      <c r="AU29" s="4">
        <f>SUM(AS4:AU28)+7000</f>
        <v>61245</v>
      </c>
    </row>
    <row r="30" spans="1:51">
      <c r="A30" s="1">
        <v>44482</v>
      </c>
      <c r="B30" s="55">
        <v>1600</v>
      </c>
      <c r="C30" s="55" cm="1">
        <f t="array" ref="C30">(SUM(VLOOKUP(H30:AE30,$AL$4:$AN$44,2,FALSE))+AF30*10)*IF(AJ30="是",$AW$4,$AW$3)</f>
        <v>2304</v>
      </c>
      <c r="D30" s="57">
        <f>SUM($B$4:B30)-SUM($C$4:C30)</f>
        <v>2946</v>
      </c>
      <c r="E30" s="55" cm="1">
        <f t="array" ref="E30">SUM(VLOOKUP(H30:AE30,$AL$4:$AN$44,3,FALSE))</f>
        <v>800</v>
      </c>
      <c r="F30" s="55">
        <f>SUM($E$4:E30)+SUM($G$4:G30)</f>
        <v>15340</v>
      </c>
      <c r="G30" s="55">
        <v>200</v>
      </c>
      <c r="H30" s="23" t="s">
        <v>19</v>
      </c>
      <c r="I30" s="23" t="s">
        <v>19</v>
      </c>
      <c r="J30" s="23" t="s">
        <v>19</v>
      </c>
      <c r="K30" s="23" t="s">
        <v>19</v>
      </c>
      <c r="L30" t="s">
        <v>23</v>
      </c>
      <c r="M30" t="s">
        <v>23</v>
      </c>
      <c r="N30" s="7" t="s">
        <v>23</v>
      </c>
      <c r="O30" s="7" t="s">
        <v>23</v>
      </c>
      <c r="P30" s="23" t="s">
        <v>19</v>
      </c>
      <c r="Q30" s="23" t="s">
        <v>19</v>
      </c>
      <c r="R30" s="23" t="s">
        <v>19</v>
      </c>
      <c r="S30" s="23" t="s">
        <v>19</v>
      </c>
      <c r="T30" s="23" t="s">
        <v>19</v>
      </c>
      <c r="U30" s="23" t="s">
        <v>19</v>
      </c>
      <c r="V30" s="7" t="s">
        <v>23</v>
      </c>
      <c r="W30" s="7" t="s">
        <v>23</v>
      </c>
      <c r="X30" s="23" t="s">
        <v>19</v>
      </c>
      <c r="Y30" s="23" t="s">
        <v>19</v>
      </c>
      <c r="Z30" s="23" t="s">
        <v>19</v>
      </c>
      <c r="AA30" s="23" t="s">
        <v>19</v>
      </c>
      <c r="AB30" s="23" t="s">
        <v>19</v>
      </c>
      <c r="AC30" s="23" t="s">
        <v>19</v>
      </c>
      <c r="AD30" s="7" t="s">
        <v>23</v>
      </c>
      <c r="AE30" s="7" t="s">
        <v>23</v>
      </c>
      <c r="AF30" s="36">
        <v>0</v>
      </c>
      <c r="AG30" s="36"/>
      <c r="AH30" s="36"/>
      <c r="AI30" s="36"/>
      <c r="AJ30" s="8" t="s">
        <v>31</v>
      </c>
      <c r="AL30" s="19"/>
      <c r="AM30" s="19"/>
      <c r="AN30" s="19"/>
    </row>
    <row r="31" spans="1:51">
      <c r="A31" s="1">
        <v>44483</v>
      </c>
      <c r="B31" s="55">
        <v>1600</v>
      </c>
      <c r="C31" s="55" cm="1">
        <f t="array" ref="C31">(SUM(VLOOKUP(H31:AE31,$AL$4:$AN$44,2,FALSE))+AF31*10)*IF(AJ31="是",$AW$4,$AW$3)</f>
        <v>2256</v>
      </c>
      <c r="D31" s="57">
        <f>SUM($B$4:B31)-SUM($C$4:C31)</f>
        <v>2290</v>
      </c>
      <c r="E31" s="55" cm="1">
        <f t="array" ref="E31">SUM(VLOOKUP(H31:AE31,$AL$4:$AN$44,3,FALSE))</f>
        <v>770</v>
      </c>
      <c r="F31" s="55">
        <f>SUM($E$4:E31)+SUM($G$4:G31)</f>
        <v>16110</v>
      </c>
      <c r="G31" s="55">
        <v>0</v>
      </c>
      <c r="H31" s="23" t="s">
        <v>19</v>
      </c>
      <c r="I31" s="23" t="s">
        <v>19</v>
      </c>
      <c r="J31" s="23" t="s">
        <v>19</v>
      </c>
      <c r="K31" s="23" t="s">
        <v>19</v>
      </c>
      <c r="L31" t="s">
        <v>23</v>
      </c>
      <c r="M31" t="s">
        <v>23</v>
      </c>
      <c r="N31" s="7" t="s">
        <v>23</v>
      </c>
      <c r="O31" s="7" t="s">
        <v>23</v>
      </c>
      <c r="P31" s="22" t="s">
        <v>18</v>
      </c>
      <c r="Q31" s="22" t="s">
        <v>18</v>
      </c>
      <c r="R31" s="22" t="s">
        <v>18</v>
      </c>
      <c r="S31" s="22" t="s">
        <v>18</v>
      </c>
      <c r="T31" s="22" t="s">
        <v>18</v>
      </c>
      <c r="U31" s="22" t="s">
        <v>18</v>
      </c>
      <c r="V31" s="7" t="s">
        <v>23</v>
      </c>
      <c r="W31" s="7" t="s">
        <v>23</v>
      </c>
      <c r="X31" s="23" t="s">
        <v>19</v>
      </c>
      <c r="Y31" s="23" t="s">
        <v>19</v>
      </c>
      <c r="Z31" s="23" t="s">
        <v>19</v>
      </c>
      <c r="AA31" s="23" t="s">
        <v>19</v>
      </c>
      <c r="AB31" s="23" t="s">
        <v>19</v>
      </c>
      <c r="AC31" s="23" t="s">
        <v>19</v>
      </c>
      <c r="AD31" s="7" t="s">
        <v>23</v>
      </c>
      <c r="AE31" s="7" t="s">
        <v>23</v>
      </c>
      <c r="AF31" s="36">
        <v>0</v>
      </c>
      <c r="AG31" s="36"/>
      <c r="AH31" s="36"/>
      <c r="AI31" s="36"/>
      <c r="AJ31" s="8" t="s">
        <v>31</v>
      </c>
      <c r="AL31" s="19"/>
      <c r="AM31" s="19"/>
      <c r="AN31" s="19"/>
    </row>
    <row r="32" spans="1:51">
      <c r="A32" s="1">
        <v>44484</v>
      </c>
      <c r="B32" s="55">
        <v>1600</v>
      </c>
      <c r="C32" s="55" cm="1">
        <f t="array" ref="C32">(SUM(VLOOKUP(H32:AE32,$AL$4:$AN$44,2,FALSE))+AF32*10)*IF(AJ32="是",$AW$4,$AW$3)</f>
        <v>1984</v>
      </c>
      <c r="D32" s="57">
        <f>SUM($B$4:B32)-SUM($C$4:C32)</f>
        <v>1906</v>
      </c>
      <c r="E32" s="55" cm="1">
        <f t="array" ref="E32">SUM(VLOOKUP(H32:AE32,$AL$4:$AN$44,3,FALSE))</f>
        <v>680</v>
      </c>
      <c r="F32" s="55">
        <f>SUM($E$4:E32)+SUM($G$4:G32)</f>
        <v>16790</v>
      </c>
      <c r="G32" s="55">
        <v>0</v>
      </c>
      <c r="H32" s="23" t="s">
        <v>19</v>
      </c>
      <c r="I32" s="23" t="s">
        <v>19</v>
      </c>
      <c r="J32" s="23" t="s">
        <v>19</v>
      </c>
      <c r="K32" s="23" t="s">
        <v>19</v>
      </c>
      <c r="L32" t="s">
        <v>23</v>
      </c>
      <c r="M32" t="s">
        <v>23</v>
      </c>
      <c r="N32" s="7" t="s">
        <v>23</v>
      </c>
      <c r="O32" s="7" t="s">
        <v>23</v>
      </c>
      <c r="P32" s="22" t="s">
        <v>18</v>
      </c>
      <c r="Q32" s="22" t="s">
        <v>18</v>
      </c>
      <c r="R32" s="22" t="s">
        <v>18</v>
      </c>
      <c r="S32" s="22" t="s">
        <v>18</v>
      </c>
      <c r="T32" t="s">
        <v>23</v>
      </c>
      <c r="U32" t="s">
        <v>23</v>
      </c>
      <c r="V32" s="7" t="s">
        <v>23</v>
      </c>
      <c r="W32" s="7" t="s">
        <v>23</v>
      </c>
      <c r="X32" s="23" t="s">
        <v>19</v>
      </c>
      <c r="Y32" s="23" t="s">
        <v>19</v>
      </c>
      <c r="Z32" s="23" t="s">
        <v>19</v>
      </c>
      <c r="AA32" s="23" t="s">
        <v>19</v>
      </c>
      <c r="AB32" s="23" t="s">
        <v>19</v>
      </c>
      <c r="AC32" s="23" t="s">
        <v>19</v>
      </c>
      <c r="AD32" s="7" t="s">
        <v>23</v>
      </c>
      <c r="AE32" s="7" t="s">
        <v>23</v>
      </c>
      <c r="AF32" s="36">
        <v>0</v>
      </c>
      <c r="AG32" s="36"/>
      <c r="AH32" s="36"/>
      <c r="AI32" s="36"/>
      <c r="AJ32" s="8" t="s">
        <v>31</v>
      </c>
      <c r="AL32" s="19"/>
      <c r="AM32" s="19"/>
      <c r="AN32" s="19"/>
    </row>
    <row r="33" spans="1:42">
      <c r="A33" s="1">
        <v>44485</v>
      </c>
      <c r="B33" s="55">
        <v>1600</v>
      </c>
      <c r="C33" s="55" cm="1">
        <f t="array" ref="C33">(SUM(VLOOKUP(H33:AE33,$AL$4:$AN$44,2,FALSE))+AF33*10)*IF(AJ33="是",$AW$4,$AW$3)</f>
        <v>2272</v>
      </c>
      <c r="D33" s="57">
        <f>SUM($B$4:B33)-SUM($C$4:C33)</f>
        <v>1234</v>
      </c>
      <c r="E33" s="55" cm="1">
        <f t="array" ref="E33">SUM(VLOOKUP(H33:AE33,$AL$4:$AN$44,3,FALSE))</f>
        <v>795</v>
      </c>
      <c r="F33" s="55">
        <f>SUM($E$4:E33)+SUM($G$4:G33)</f>
        <v>17585</v>
      </c>
      <c r="G33" s="55">
        <v>0</v>
      </c>
      <c r="H33" s="23" t="s">
        <v>8</v>
      </c>
      <c r="I33" s="23" t="s">
        <v>19</v>
      </c>
      <c r="J33" s="23" t="s">
        <v>19</v>
      </c>
      <c r="K33" s="22" t="s">
        <v>18</v>
      </c>
      <c r="L33" t="s">
        <v>23</v>
      </c>
      <c r="M33" t="s">
        <v>23</v>
      </c>
      <c r="N33" s="7" t="s">
        <v>23</v>
      </c>
      <c r="O33" s="7" t="s">
        <v>23</v>
      </c>
      <c r="P33" s="23" t="s">
        <v>19</v>
      </c>
      <c r="Q33" s="23" t="s">
        <v>19</v>
      </c>
      <c r="R33" s="23" t="s">
        <v>19</v>
      </c>
      <c r="S33" s="23" t="s">
        <v>19</v>
      </c>
      <c r="T33" s="23" t="s">
        <v>19</v>
      </c>
      <c r="U33" s="23" t="s">
        <v>19</v>
      </c>
      <c r="V33" s="7" t="s">
        <v>23</v>
      </c>
      <c r="W33" s="7" t="s">
        <v>23</v>
      </c>
      <c r="X33" s="23" t="s">
        <v>19</v>
      </c>
      <c r="Y33" s="23" t="s">
        <v>19</v>
      </c>
      <c r="Z33" s="23" t="s">
        <v>19</v>
      </c>
      <c r="AA33" s="23" t="s">
        <v>19</v>
      </c>
      <c r="AB33" s="23" t="s">
        <v>19</v>
      </c>
      <c r="AC33" s="23" t="s">
        <v>19</v>
      </c>
      <c r="AD33" s="7" t="s">
        <v>23</v>
      </c>
      <c r="AE33" s="7" t="s">
        <v>23</v>
      </c>
      <c r="AF33" s="36">
        <v>0</v>
      </c>
      <c r="AG33" s="36"/>
      <c r="AH33" s="36"/>
      <c r="AI33" s="36"/>
      <c r="AJ33" s="8" t="s">
        <v>31</v>
      </c>
      <c r="AL33" s="19"/>
      <c r="AM33" s="19"/>
      <c r="AN33" s="19"/>
    </row>
    <row r="34" spans="1:42">
      <c r="A34" s="1">
        <v>44486</v>
      </c>
      <c r="B34" s="55">
        <v>1600</v>
      </c>
      <c r="C34" s="55" cm="1">
        <f t="array" ref="C34">(SUM(VLOOKUP(H34:AE34,$AL$4:$AN$44,2,FALSE))+AF34*10)*IF(AJ34="是",$AW$4,$AW$3)</f>
        <v>2104</v>
      </c>
      <c r="D34" s="57">
        <f>SUM($B$4:B34)-SUM($C$4:C34)</f>
        <v>730</v>
      </c>
      <c r="E34" s="55" cm="1">
        <f t="array" ref="E34">SUM(VLOOKUP(H34:AE34,$AL$4:$AN$44,3,FALSE))</f>
        <v>765</v>
      </c>
      <c r="F34" s="55">
        <f>SUM($E$4:E34)+SUM($G$4:G34)</f>
        <v>18350</v>
      </c>
      <c r="G34" s="55">
        <v>0</v>
      </c>
      <c r="H34" s="22" t="s">
        <v>18</v>
      </c>
      <c r="I34" s="22" t="s">
        <v>18</v>
      </c>
      <c r="J34" s="28" t="s">
        <v>12</v>
      </c>
      <c r="K34" s="22" t="s">
        <v>18</v>
      </c>
      <c r="L34" t="s">
        <v>23</v>
      </c>
      <c r="M34" t="s">
        <v>23</v>
      </c>
      <c r="N34" s="7" t="s">
        <v>23</v>
      </c>
      <c r="O34" s="7" t="s">
        <v>23</v>
      </c>
      <c r="P34" s="23" t="s">
        <v>19</v>
      </c>
      <c r="Q34" s="23" t="s">
        <v>19</v>
      </c>
      <c r="R34" s="28" t="s">
        <v>12</v>
      </c>
      <c r="S34" s="23" t="s">
        <v>19</v>
      </c>
      <c r="T34" s="23" t="s">
        <v>19</v>
      </c>
      <c r="U34" s="23" t="s">
        <v>19</v>
      </c>
      <c r="V34" s="7" t="s">
        <v>23</v>
      </c>
      <c r="W34" s="7" t="s">
        <v>23</v>
      </c>
      <c r="X34" s="23" t="s">
        <v>19</v>
      </c>
      <c r="Y34" s="23" t="s">
        <v>19</v>
      </c>
      <c r="Z34" s="24" t="s">
        <v>20</v>
      </c>
      <c r="AA34" s="24" t="s">
        <v>20</v>
      </c>
      <c r="AB34" s="24" t="s">
        <v>20</v>
      </c>
      <c r="AC34" s="24" t="s">
        <v>20</v>
      </c>
      <c r="AD34" s="7" t="s">
        <v>23</v>
      </c>
      <c r="AE34" s="7" t="s">
        <v>23</v>
      </c>
      <c r="AF34" s="36">
        <v>0</v>
      </c>
      <c r="AG34" s="36"/>
      <c r="AH34" s="36"/>
      <c r="AI34" s="36"/>
      <c r="AJ34" s="8" t="s">
        <v>31</v>
      </c>
      <c r="AL34" s="19"/>
      <c r="AM34" s="19"/>
      <c r="AN34" s="19"/>
    </row>
    <row r="35" spans="1:42">
      <c r="A35" s="1">
        <v>44487</v>
      </c>
      <c r="B35" s="56">
        <v>1600</v>
      </c>
      <c r="C35" s="55" cm="1">
        <f t="array" ref="C35">(SUM(VLOOKUP(H35:AE35,$AL$4:$AN$44,2,FALSE))+AF35*10)*IF(AJ35="是",$AW$4,$AW$3)</f>
        <v>2168</v>
      </c>
      <c r="D35" s="18">
        <f>SUM($B$4:B35)-SUM($C$4:C35)</f>
        <v>162</v>
      </c>
      <c r="E35" s="55" cm="1">
        <f t="array" ref="E35">SUM(VLOOKUP(H35:AE35,$AL$4:$AN$44,3,FALSE))</f>
        <v>770</v>
      </c>
      <c r="F35" s="55">
        <f>SUM($E$4:E35)+SUM($G$4:G35)</f>
        <v>19320</v>
      </c>
      <c r="G35" s="56">
        <v>200</v>
      </c>
      <c r="H35" s="22" t="s">
        <v>18</v>
      </c>
      <c r="I35" s="22" t="s">
        <v>18</v>
      </c>
      <c r="J35" s="23" t="s">
        <v>19</v>
      </c>
      <c r="K35" s="23" t="s">
        <v>19</v>
      </c>
      <c r="L35" t="s">
        <v>23</v>
      </c>
      <c r="M35" t="s">
        <v>23</v>
      </c>
      <c r="N35" s="7" t="s">
        <v>23</v>
      </c>
      <c r="O35" s="7" t="s">
        <v>23</v>
      </c>
      <c r="P35" s="23" t="s">
        <v>19</v>
      </c>
      <c r="Q35" s="23" t="s">
        <v>19</v>
      </c>
      <c r="R35" s="23" t="s">
        <v>19</v>
      </c>
      <c r="S35" s="23" t="s">
        <v>19</v>
      </c>
      <c r="T35" s="23" t="s">
        <v>8</v>
      </c>
      <c r="U35" t="s">
        <v>23</v>
      </c>
      <c r="V35" s="7" t="s">
        <v>23</v>
      </c>
      <c r="W35" s="7" t="s">
        <v>23</v>
      </c>
      <c r="X35" s="24" t="s">
        <v>20</v>
      </c>
      <c r="Y35" s="24" t="s">
        <v>20</v>
      </c>
      <c r="Z35" s="24" t="s">
        <v>20</v>
      </c>
      <c r="AA35" s="24" t="s">
        <v>20</v>
      </c>
      <c r="AB35" s="24" t="s">
        <v>20</v>
      </c>
      <c r="AC35" s="24" t="s">
        <v>20</v>
      </c>
      <c r="AD35" s="7" t="s">
        <v>23</v>
      </c>
      <c r="AE35" s="7" t="s">
        <v>23</v>
      </c>
      <c r="AF35" s="36">
        <v>0</v>
      </c>
      <c r="AG35" s="36"/>
      <c r="AH35" s="36"/>
      <c r="AI35" s="36"/>
      <c r="AJ35" s="8" t="s">
        <v>31</v>
      </c>
      <c r="AL35" s="19"/>
      <c r="AM35" s="19"/>
      <c r="AN35" s="19"/>
    </row>
    <row r="36" spans="1:42">
      <c r="A36" s="1">
        <v>44488</v>
      </c>
      <c r="B36" s="56">
        <v>1600</v>
      </c>
      <c r="C36" s="55" cm="1">
        <f t="array" ref="C36">(SUM(VLOOKUP(H36:AE36,$AL$4:$AN$44,2,FALSE))+AF36*10)*IF(AJ36="是",$AW$4,$AW$3)</f>
        <v>1552</v>
      </c>
      <c r="D36" s="18">
        <f>SUM($B$4:B36)-SUM($C$4:C36)</f>
        <v>210</v>
      </c>
      <c r="E36" s="55" cm="1">
        <f t="array" ref="E36">SUM(VLOOKUP(H36:AE36,$AL$4:$AN$44,3,FALSE))</f>
        <v>1000</v>
      </c>
      <c r="F36" s="55">
        <f>SUM($E$4:E36)+SUM($G$4:G36)</f>
        <v>20420</v>
      </c>
      <c r="G36" s="56">
        <v>100</v>
      </c>
      <c r="H36" s="22" t="s">
        <v>7</v>
      </c>
      <c r="I36" s="23" t="s">
        <v>19</v>
      </c>
      <c r="J36" s="23" t="s">
        <v>19</v>
      </c>
      <c r="K36" s="28" t="s">
        <v>12</v>
      </c>
      <c r="L36" t="s">
        <v>23</v>
      </c>
      <c r="M36" t="s">
        <v>23</v>
      </c>
      <c r="N36" s="7" t="s">
        <v>23</v>
      </c>
      <c r="O36" s="7" t="s">
        <v>23</v>
      </c>
      <c r="P36" s="23" t="s">
        <v>19</v>
      </c>
      <c r="Q36" t="s">
        <v>23</v>
      </c>
      <c r="R36" t="s">
        <v>23</v>
      </c>
      <c r="S36" t="s">
        <v>23</v>
      </c>
      <c r="T36" t="s">
        <v>23</v>
      </c>
      <c r="U36" t="s">
        <v>23</v>
      </c>
      <c r="V36" s="7" t="s">
        <v>23</v>
      </c>
      <c r="W36" s="7" t="s">
        <v>23</v>
      </c>
      <c r="X36" s="24" t="s">
        <v>20</v>
      </c>
      <c r="Y36" s="24" t="s">
        <v>20</v>
      </c>
      <c r="Z36" s="34" t="s">
        <v>41</v>
      </c>
      <c r="AA36" s="24" t="s">
        <v>20</v>
      </c>
      <c r="AB36" s="24" t="s">
        <v>20</v>
      </c>
      <c r="AC36" s="24" t="s">
        <v>20</v>
      </c>
      <c r="AD36" s="7" t="s">
        <v>23</v>
      </c>
      <c r="AE36" s="7" t="s">
        <v>23</v>
      </c>
      <c r="AF36" s="36">
        <v>0</v>
      </c>
      <c r="AG36" s="36"/>
      <c r="AH36" s="36"/>
      <c r="AI36" s="36"/>
      <c r="AJ36" s="8" t="s">
        <v>31</v>
      </c>
      <c r="AL36" s="19"/>
      <c r="AM36" s="19"/>
      <c r="AN36" s="19"/>
    </row>
    <row r="37" spans="1:42">
      <c r="A37" s="1">
        <v>44489</v>
      </c>
      <c r="B37" s="56">
        <v>1600</v>
      </c>
      <c r="C37" s="55" cm="1">
        <f t="array" ref="C37">(SUM(VLOOKUP(H37:AE37,$AL$4:$AN$44,2,FALSE))+AF37*10)*IF(AJ37="是",$AW$4,$AW$3)</f>
        <v>1632</v>
      </c>
      <c r="D37" s="18">
        <f>SUM($B$4:B37)-SUM($C$4:C37)</f>
        <v>178</v>
      </c>
      <c r="E37" s="55" cm="1">
        <f t="array" ref="E37">SUM(VLOOKUP(H37:AE37,$AL$4:$AN$44,3,FALSE))</f>
        <v>580</v>
      </c>
      <c r="F37" s="55">
        <f>SUM($E$4:E37)+SUM($G$4:G37)</f>
        <v>21200</v>
      </c>
      <c r="G37" s="56">
        <v>200</v>
      </c>
      <c r="H37" s="23" t="s">
        <v>19</v>
      </c>
      <c r="I37" s="23" t="s">
        <v>19</v>
      </c>
      <c r="J37" s="23" t="s">
        <v>19</v>
      </c>
      <c r="K37" s="23" t="s">
        <v>19</v>
      </c>
      <c r="L37" t="s">
        <v>23</v>
      </c>
      <c r="M37" t="s">
        <v>23</v>
      </c>
      <c r="N37" s="7" t="s">
        <v>23</v>
      </c>
      <c r="O37" s="7" t="s">
        <v>23</v>
      </c>
      <c r="P37" s="23" t="s">
        <v>19</v>
      </c>
      <c r="Q37" t="s">
        <v>23</v>
      </c>
      <c r="R37" t="s">
        <v>23</v>
      </c>
      <c r="S37" t="s">
        <v>23</v>
      </c>
      <c r="T37" t="s">
        <v>23</v>
      </c>
      <c r="U37" t="s">
        <v>23</v>
      </c>
      <c r="V37" s="7" t="s">
        <v>23</v>
      </c>
      <c r="W37" s="7" t="s">
        <v>23</v>
      </c>
      <c r="X37" s="24" t="s">
        <v>20</v>
      </c>
      <c r="Y37" s="24" t="s">
        <v>20</v>
      </c>
      <c r="Z37" s="24" t="s">
        <v>20</v>
      </c>
      <c r="AA37" s="24" t="s">
        <v>20</v>
      </c>
      <c r="AB37" s="24" t="s">
        <v>20</v>
      </c>
      <c r="AC37" s="24" t="s">
        <v>20</v>
      </c>
      <c r="AD37" s="7" t="s">
        <v>23</v>
      </c>
      <c r="AE37" s="7" t="s">
        <v>23</v>
      </c>
      <c r="AF37" s="36">
        <v>0</v>
      </c>
      <c r="AG37" s="36"/>
      <c r="AH37" s="36"/>
      <c r="AI37" s="36"/>
      <c r="AJ37" s="8" t="s">
        <v>31</v>
      </c>
      <c r="AL37" s="19" t="s">
        <v>67</v>
      </c>
      <c r="AM37" s="19"/>
      <c r="AN37" s="19">
        <v>6</v>
      </c>
      <c r="AO37">
        <v>194</v>
      </c>
    </row>
    <row r="38" spans="1:42">
      <c r="A38" s="1">
        <v>44490</v>
      </c>
      <c r="B38" s="56">
        <v>1600</v>
      </c>
      <c r="C38" s="55" cm="1">
        <f t="array" ref="C38">(SUM(VLOOKUP(H38:AE38,$AL$4:$AN$44,2,FALSE))+AF38*10)*IF(AJ38="是",$AW$4,$AW$3)</f>
        <v>1624</v>
      </c>
      <c r="D38" s="18">
        <f>SUM($B$4:B38)-SUM($C$4:C38)</f>
        <v>154</v>
      </c>
      <c r="E38" s="55" cm="1">
        <f t="array" ref="E38">SUM(VLOOKUP(H38:AE38,$AL$4:$AN$44,3,FALSE))</f>
        <v>635</v>
      </c>
      <c r="F38" s="55">
        <f>SUM($E$4:E38)+SUM($G$4:G38)</f>
        <v>21835</v>
      </c>
      <c r="G38" s="56">
        <v>0</v>
      </c>
      <c r="H38" s="23" t="s">
        <v>19</v>
      </c>
      <c r="I38" s="23" t="s">
        <v>19</v>
      </c>
      <c r="J38" s="23" t="s">
        <v>19</v>
      </c>
      <c r="K38" s="23" t="s">
        <v>19</v>
      </c>
      <c r="L38" t="s">
        <v>23</v>
      </c>
      <c r="M38" t="s">
        <v>23</v>
      </c>
      <c r="N38" s="7" t="s">
        <v>23</v>
      </c>
      <c r="O38" s="7" t="s">
        <v>23</v>
      </c>
      <c r="P38" s="23" t="s">
        <v>19</v>
      </c>
      <c r="Q38" t="s">
        <v>23</v>
      </c>
      <c r="R38" t="s">
        <v>23</v>
      </c>
      <c r="S38" t="s">
        <v>23</v>
      </c>
      <c r="T38" t="s">
        <v>23</v>
      </c>
      <c r="U38" t="s">
        <v>23</v>
      </c>
      <c r="V38" s="7" t="s">
        <v>23</v>
      </c>
      <c r="W38" s="7" t="s">
        <v>23</v>
      </c>
      <c r="X38" s="24" t="s">
        <v>20</v>
      </c>
      <c r="Y38" s="29" t="s">
        <v>47</v>
      </c>
      <c r="Z38" s="24" t="s">
        <v>20</v>
      </c>
      <c r="AA38" s="24" t="s">
        <v>20</v>
      </c>
      <c r="AB38" s="24" t="s">
        <v>20</v>
      </c>
      <c r="AC38" s="24" t="s">
        <v>20</v>
      </c>
      <c r="AD38" s="24" t="s">
        <v>20</v>
      </c>
      <c r="AE38" s="24" t="s">
        <v>20</v>
      </c>
      <c r="AF38" s="36">
        <v>0</v>
      </c>
      <c r="AG38" s="36"/>
      <c r="AH38" s="36"/>
      <c r="AI38" s="36"/>
      <c r="AJ38" s="8" t="s">
        <v>31</v>
      </c>
      <c r="AL38" s="19" t="s">
        <v>68</v>
      </c>
      <c r="AM38" s="19"/>
      <c r="AN38" s="19">
        <v>5</v>
      </c>
      <c r="AO38">
        <v>236</v>
      </c>
    </row>
    <row r="39" spans="1:42">
      <c r="A39" s="1">
        <v>44491</v>
      </c>
      <c r="B39" s="56">
        <v>1600</v>
      </c>
      <c r="C39" s="55" cm="1">
        <f t="array" ref="C39">(SUM(VLOOKUP(H39:AE39,$AL$4:$AN$44,2,FALSE))+AF39*10)*IF(AJ39="是",$AW$4,$AW$3)</f>
        <v>1600</v>
      </c>
      <c r="D39" s="18">
        <f>SUM($B$4:B39)-SUM($C$4:C39)</f>
        <v>154</v>
      </c>
      <c r="E39" s="55" cm="1">
        <f t="array" ref="E39">SUM(VLOOKUP(H39:AE39,$AL$4:$AN$44,3,FALSE))</f>
        <v>580</v>
      </c>
      <c r="F39" s="55">
        <f>SUM($E$4:E39)+SUM($G$4:G39)</f>
        <v>22415</v>
      </c>
      <c r="G39" s="56">
        <v>0</v>
      </c>
      <c r="H39" s="23" t="s">
        <v>19</v>
      </c>
      <c r="I39" s="23" t="s">
        <v>19</v>
      </c>
      <c r="J39" s="23" t="s">
        <v>19</v>
      </c>
      <c r="K39" s="23" t="s">
        <v>19</v>
      </c>
      <c r="L39" t="s">
        <v>23</v>
      </c>
      <c r="M39" t="s">
        <v>23</v>
      </c>
      <c r="N39" s="7" t="s">
        <v>23</v>
      </c>
      <c r="O39" s="7" t="s">
        <v>23</v>
      </c>
      <c r="P39" s="23" t="s">
        <v>19</v>
      </c>
      <c r="Q39" t="s">
        <v>23</v>
      </c>
      <c r="R39" t="s">
        <v>23</v>
      </c>
      <c r="S39" t="s">
        <v>23</v>
      </c>
      <c r="T39" t="s">
        <v>23</v>
      </c>
      <c r="U39" t="s">
        <v>23</v>
      </c>
      <c r="V39" s="7" t="s">
        <v>23</v>
      </c>
      <c r="W39" s="7" t="s">
        <v>23</v>
      </c>
      <c r="X39" s="24" t="s">
        <v>20</v>
      </c>
      <c r="Y39" s="24" t="s">
        <v>20</v>
      </c>
      <c r="Z39" s="24" t="s">
        <v>9</v>
      </c>
      <c r="AA39" s="24" t="s">
        <v>20</v>
      </c>
      <c r="AB39" s="24" t="s">
        <v>20</v>
      </c>
      <c r="AC39" s="24" t="s">
        <v>20</v>
      </c>
      <c r="AD39" s="7" t="s">
        <v>23</v>
      </c>
      <c r="AE39" s="7" t="s">
        <v>23</v>
      </c>
      <c r="AF39" s="36">
        <v>0</v>
      </c>
      <c r="AG39" s="36"/>
      <c r="AH39" s="36"/>
      <c r="AI39" s="36"/>
      <c r="AJ39" s="8" t="s">
        <v>31</v>
      </c>
      <c r="AL39" s="19" t="s">
        <v>69</v>
      </c>
      <c r="AM39" s="19"/>
      <c r="AN39" s="19">
        <v>4</v>
      </c>
      <c r="AO39">
        <v>272</v>
      </c>
    </row>
    <row r="40" spans="1:42">
      <c r="A40" s="1">
        <v>44492</v>
      </c>
      <c r="B40" s="56">
        <v>1600</v>
      </c>
      <c r="C40" s="55" cm="1">
        <f t="array" ref="C40">(SUM(VLOOKUP(H40:AE40,$AL$4:$AN$44,2,FALSE))+AF40*10)*IF(AJ40="是",$AW$4,$AW$3)</f>
        <v>1520</v>
      </c>
      <c r="D40" s="18">
        <f>SUM($B$4:B40)-SUM($C$4:C40)</f>
        <v>234</v>
      </c>
      <c r="E40" s="55" cm="1">
        <f t="array" ref="E40">SUM(VLOOKUP(H40:AE40,$AL$4:$AN$44,3,FALSE))</f>
        <v>550</v>
      </c>
      <c r="F40" s="55">
        <f>SUM($E$4:E40)+SUM($G$4:G40)</f>
        <v>22965</v>
      </c>
      <c r="G40" s="56">
        <v>0</v>
      </c>
      <c r="H40" s="23" t="s">
        <v>19</v>
      </c>
      <c r="I40" s="23" t="s">
        <v>19</v>
      </c>
      <c r="J40" s="23" t="s">
        <v>19</v>
      </c>
      <c r="K40" s="23" t="s">
        <v>19</v>
      </c>
      <c r="L40" t="s">
        <v>23</v>
      </c>
      <c r="M40" t="s">
        <v>23</v>
      </c>
      <c r="N40" s="7" t="s">
        <v>23</v>
      </c>
      <c r="O40" s="7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  <c r="U40" t="s">
        <v>23</v>
      </c>
      <c r="V40" s="7" t="s">
        <v>23</v>
      </c>
      <c r="W40" s="7" t="s">
        <v>23</v>
      </c>
      <c r="X40" s="24" t="s">
        <v>20</v>
      </c>
      <c r="Y40" s="24" t="s">
        <v>20</v>
      </c>
      <c r="Z40" s="25" t="s">
        <v>21</v>
      </c>
      <c r="AA40" s="25" t="s">
        <v>21</v>
      </c>
      <c r="AB40" s="25" t="s">
        <v>21</v>
      </c>
      <c r="AC40" s="25" t="s">
        <v>21</v>
      </c>
      <c r="AD40" s="7" t="s">
        <v>23</v>
      </c>
      <c r="AE40" s="7" t="s">
        <v>23</v>
      </c>
      <c r="AF40" s="36">
        <v>0</v>
      </c>
      <c r="AG40" s="36"/>
      <c r="AH40" s="36"/>
      <c r="AI40" s="36"/>
      <c r="AJ40" s="8" t="s">
        <v>31</v>
      </c>
      <c r="AL40" s="19" t="s">
        <v>70</v>
      </c>
      <c r="AM40" s="19"/>
      <c r="AN40" s="19">
        <v>3</v>
      </c>
      <c r="AO40">
        <v>358</v>
      </c>
    </row>
    <row r="41" spans="1:42">
      <c r="A41" s="1">
        <v>44493</v>
      </c>
      <c r="B41" s="56">
        <v>1600</v>
      </c>
      <c r="C41" s="55" cm="1">
        <f t="array" ref="C41">(SUM(VLOOKUP(H41:AE41,$AL$4:$AN$44,2,FALSE))+AF41*10)*IF(AJ41="是",$AW$4,$AW$3)</f>
        <v>1688</v>
      </c>
      <c r="D41" s="18">
        <f>SUM($B$4:B41)-SUM($C$4:C41)</f>
        <v>146</v>
      </c>
      <c r="E41" s="55" cm="1">
        <f t="array" ref="E41">SUM(VLOOKUP(H41:AE41,$AL$4:$AN$44,3,FALSE))</f>
        <v>615</v>
      </c>
      <c r="F41" s="55">
        <f>SUM($E$4:E41)+SUM($G$4:G41)</f>
        <v>23580</v>
      </c>
      <c r="G41" s="56">
        <v>0</v>
      </c>
      <c r="H41" s="23" t="s">
        <v>19</v>
      </c>
      <c r="I41" s="23" t="s">
        <v>19</v>
      </c>
      <c r="J41" s="23" t="s">
        <v>19</v>
      </c>
      <c r="K41" s="24" t="s">
        <v>20</v>
      </c>
      <c r="L41" t="s">
        <v>23</v>
      </c>
      <c r="M41" t="s">
        <v>23</v>
      </c>
      <c r="N41" s="7" t="s">
        <v>23</v>
      </c>
      <c r="O41" s="7" t="s">
        <v>23</v>
      </c>
      <c r="P41" s="23" t="s">
        <v>19</v>
      </c>
      <c r="Q41" t="s">
        <v>23</v>
      </c>
      <c r="R41" t="s">
        <v>23</v>
      </c>
      <c r="S41" t="s">
        <v>23</v>
      </c>
      <c r="T41" t="s">
        <v>23</v>
      </c>
      <c r="U41" t="s">
        <v>23</v>
      </c>
      <c r="V41" s="7" t="s">
        <v>23</v>
      </c>
      <c r="W41" s="7" t="s">
        <v>23</v>
      </c>
      <c r="X41" s="25" t="s">
        <v>21</v>
      </c>
      <c r="Y41" s="25" t="s">
        <v>21</v>
      </c>
      <c r="Z41" s="25" t="s">
        <v>21</v>
      </c>
      <c r="AA41" s="25" t="s">
        <v>21</v>
      </c>
      <c r="AB41" s="25" t="s">
        <v>21</v>
      </c>
      <c r="AC41" s="25" t="s">
        <v>21</v>
      </c>
      <c r="AD41" s="7" t="s">
        <v>23</v>
      </c>
      <c r="AE41" s="7" t="s">
        <v>23</v>
      </c>
      <c r="AF41" s="36">
        <v>0</v>
      </c>
      <c r="AG41" s="36"/>
      <c r="AH41" s="36"/>
      <c r="AI41" s="36"/>
      <c r="AJ41" s="8" t="s">
        <v>31</v>
      </c>
      <c r="AL41" s="19"/>
      <c r="AM41" s="19"/>
      <c r="AN41" s="19">
        <v>456</v>
      </c>
      <c r="AO41">
        <f>SUM(AO37:AO39)</f>
        <v>702</v>
      </c>
    </row>
    <row r="42" spans="1:42">
      <c r="A42" s="1">
        <v>44494</v>
      </c>
      <c r="B42" s="55">
        <v>1600</v>
      </c>
      <c r="C42" s="55" cm="1">
        <f t="array" ref="C42">(SUM(VLOOKUP(H42:AE42,$AL$4:$AN$44,2,FALSE))+AF42*10)*IF(AJ42="是",$AW$4,$AW$3)</f>
        <v>1656</v>
      </c>
      <c r="D42" s="57">
        <f>SUM($B$4:B42)-SUM($C$4:C42)</f>
        <v>90</v>
      </c>
      <c r="E42" s="55" cm="1">
        <f t="array" ref="E42">SUM(VLOOKUP(H42:AE42,$AL$4:$AN$44,3,FALSE))</f>
        <v>610</v>
      </c>
      <c r="F42" s="55">
        <f>SUM($E$4:E42)+SUM($G$4:G42)</f>
        <v>24490</v>
      </c>
      <c r="G42" s="55">
        <v>300</v>
      </c>
      <c r="H42" s="23" t="s">
        <v>8</v>
      </c>
      <c r="I42" s="23" t="s">
        <v>19</v>
      </c>
      <c r="J42" s="23" t="s">
        <v>19</v>
      </c>
      <c r="K42" s="23" t="s">
        <v>19</v>
      </c>
      <c r="L42" t="s">
        <v>23</v>
      </c>
      <c r="M42" t="s">
        <v>23</v>
      </c>
      <c r="N42" s="7" t="s">
        <v>23</v>
      </c>
      <c r="O42" s="7" t="s">
        <v>23</v>
      </c>
      <c r="P42" s="23" t="s">
        <v>19</v>
      </c>
      <c r="Q42" t="s">
        <v>23</v>
      </c>
      <c r="R42" t="s">
        <v>23</v>
      </c>
      <c r="S42" t="s">
        <v>23</v>
      </c>
      <c r="T42" t="s">
        <v>23</v>
      </c>
      <c r="U42" t="s">
        <v>23</v>
      </c>
      <c r="V42" s="7" t="s">
        <v>23</v>
      </c>
      <c r="W42" s="7" t="s">
        <v>23</v>
      </c>
      <c r="X42" s="25" t="s">
        <v>21</v>
      </c>
      <c r="Y42" s="25" t="s">
        <v>21</v>
      </c>
      <c r="Z42" s="25" t="s">
        <v>21</v>
      </c>
      <c r="AA42" s="25" t="s">
        <v>21</v>
      </c>
      <c r="AB42" s="25" t="s">
        <v>21</v>
      </c>
      <c r="AC42" s="25" t="s">
        <v>21</v>
      </c>
      <c r="AD42" s="7" t="s">
        <v>23</v>
      </c>
      <c r="AE42" s="7" t="s">
        <v>23</v>
      </c>
      <c r="AF42" s="36">
        <v>0</v>
      </c>
      <c r="AG42" s="36"/>
      <c r="AH42" s="36"/>
      <c r="AI42" s="36"/>
      <c r="AJ42" s="8" t="s">
        <v>31</v>
      </c>
      <c r="AL42" s="19"/>
      <c r="AM42" s="19"/>
    </row>
    <row r="43" spans="1:42">
      <c r="A43" s="1">
        <v>44495</v>
      </c>
      <c r="B43" s="55">
        <v>1600</v>
      </c>
      <c r="C43" s="55" cm="1">
        <f t="array" ref="C43">(SUM(VLOOKUP(H43:AE43,$AL$4:$AN$44,2,FALSE))+AF43*10)*IF(AJ43="是",$AW$4,$AW$3)</f>
        <v>1544</v>
      </c>
      <c r="D43" s="57">
        <f>SUM($B$4:B43)-SUM($C$4:C43)</f>
        <v>146</v>
      </c>
      <c r="E43" s="55" cm="1">
        <f t="array" ref="E43">SUM(VLOOKUP(H43:AE43,$AL$4:$AN$44,3,FALSE))</f>
        <v>565</v>
      </c>
      <c r="F43" s="55">
        <f>SUM($E$4:E43)+SUM($G$4:G43)</f>
        <v>25055</v>
      </c>
      <c r="G43" s="55">
        <v>0</v>
      </c>
      <c r="H43" s="23" t="s">
        <v>19</v>
      </c>
      <c r="I43" s="23" t="s">
        <v>19</v>
      </c>
      <c r="J43" s="23" t="s">
        <v>19</v>
      </c>
      <c r="K43" s="24" t="s">
        <v>20</v>
      </c>
      <c r="L43" t="s">
        <v>23</v>
      </c>
      <c r="M43" t="s">
        <v>23</v>
      </c>
      <c r="N43" s="7" t="s">
        <v>23</v>
      </c>
      <c r="O43" s="7" t="s">
        <v>23</v>
      </c>
      <c r="P43" t="s">
        <v>23</v>
      </c>
      <c r="Q43" t="s">
        <v>23</v>
      </c>
      <c r="R43" t="s">
        <v>23</v>
      </c>
      <c r="S43" t="s">
        <v>23</v>
      </c>
      <c r="T43" t="s">
        <v>23</v>
      </c>
      <c r="U43" t="s">
        <v>23</v>
      </c>
      <c r="V43" s="7" t="s">
        <v>23</v>
      </c>
      <c r="W43" s="7" t="s">
        <v>23</v>
      </c>
      <c r="X43" s="25" t="s">
        <v>21</v>
      </c>
      <c r="Y43" s="25" t="s">
        <v>21</v>
      </c>
      <c r="Z43" s="25" t="s">
        <v>21</v>
      </c>
      <c r="AA43" s="25" t="s">
        <v>21</v>
      </c>
      <c r="AB43" s="25" t="s">
        <v>21</v>
      </c>
      <c r="AC43" s="25" t="s">
        <v>21</v>
      </c>
      <c r="AD43" s="7" t="s">
        <v>23</v>
      </c>
      <c r="AE43" s="7" t="s">
        <v>23</v>
      </c>
      <c r="AF43" s="36">
        <v>0</v>
      </c>
      <c r="AG43" s="36"/>
      <c r="AH43" s="36"/>
      <c r="AI43" s="36"/>
      <c r="AJ43" s="8" t="s">
        <v>31</v>
      </c>
      <c r="AL43" s="19"/>
      <c r="AM43" s="19"/>
      <c r="AN43" s="19"/>
      <c r="AP43">
        <v>67</v>
      </c>
    </row>
    <row r="44" spans="1:42">
      <c r="A44" s="1">
        <v>44496</v>
      </c>
      <c r="B44" s="55">
        <v>1600</v>
      </c>
      <c r="C44" s="55" cm="1">
        <f t="array" ref="C44">(SUM(VLOOKUP(H44:AE44,$AL$4:$AN$44,2,FALSE))+AF44*10)*IF(AJ44="是",$AW$4,$AW$3)</f>
        <v>1608</v>
      </c>
      <c r="D44" s="57">
        <f>SUM($B$4:B44)-SUM($C$4:C44)</f>
        <v>138</v>
      </c>
      <c r="E44" s="55" cm="1">
        <f t="array" ref="E44">SUM(VLOOKUP(H44:AE44,$AL$4:$AN$44,3,FALSE))</f>
        <v>1520</v>
      </c>
      <c r="F44" s="55">
        <f>SUM($E$4:E44)+SUM($G$4:G44)</f>
        <v>26775</v>
      </c>
      <c r="G44" s="55">
        <v>200</v>
      </c>
      <c r="H44" s="24" t="s">
        <v>20</v>
      </c>
      <c r="I44" s="24" t="s">
        <v>20</v>
      </c>
      <c r="J44" s="24" t="s">
        <v>20</v>
      </c>
      <c r="K44" s="24" t="s">
        <v>20</v>
      </c>
      <c r="L44" t="s">
        <v>23</v>
      </c>
      <c r="M44" t="s">
        <v>23</v>
      </c>
      <c r="N44" s="7" t="s">
        <v>23</v>
      </c>
      <c r="O44" s="7" t="s">
        <v>23</v>
      </c>
      <c r="P44" t="s">
        <v>23</v>
      </c>
      <c r="Q44" t="s">
        <v>23</v>
      </c>
      <c r="R44" t="s">
        <v>23</v>
      </c>
      <c r="S44" t="s">
        <v>23</v>
      </c>
      <c r="T44" t="s">
        <v>23</v>
      </c>
      <c r="U44" t="s">
        <v>23</v>
      </c>
      <c r="V44" s="7" t="s">
        <v>23</v>
      </c>
      <c r="W44" s="7" t="s">
        <v>23</v>
      </c>
      <c r="X44" s="25" t="s">
        <v>21</v>
      </c>
      <c r="Y44" s="25" t="s">
        <v>21</v>
      </c>
      <c r="Z44" s="25" t="s">
        <v>21</v>
      </c>
      <c r="AA44" s="32" t="s">
        <v>15</v>
      </c>
      <c r="AB44" s="25" t="s">
        <v>21</v>
      </c>
      <c r="AC44" s="25" t="s">
        <v>21</v>
      </c>
      <c r="AD44" s="7" t="s">
        <v>23</v>
      </c>
      <c r="AE44" s="7" t="s">
        <v>23</v>
      </c>
      <c r="AF44" s="36">
        <v>0</v>
      </c>
      <c r="AG44" s="36"/>
      <c r="AH44" s="36"/>
      <c r="AI44" s="36"/>
      <c r="AJ44" s="8" t="s">
        <v>31</v>
      </c>
      <c r="AL44" s="19"/>
      <c r="AM44" s="19"/>
      <c r="AN44" s="19"/>
    </row>
    <row r="45" spans="1:42">
      <c r="A45" s="1">
        <v>44497</v>
      </c>
      <c r="B45" s="55">
        <v>1600</v>
      </c>
      <c r="C45" s="55" cm="1">
        <f t="array" ref="C45">(SUM(VLOOKUP(H45:AE45,$AL$4:$AN$44,2,FALSE))+AF45*10)*IF(AJ45="是",$AW$4,$AW$3)</f>
        <v>1600</v>
      </c>
      <c r="D45" s="57">
        <f>SUM($B$4:B45)-SUM($C$4:C45)</f>
        <v>138</v>
      </c>
      <c r="E45" s="55" cm="1">
        <f t="array" ref="E45">SUM(VLOOKUP(H45:AE45,$AL$4:$AN$44,3,FALSE))</f>
        <v>605</v>
      </c>
      <c r="F45" s="55">
        <f>SUM($E$4:E45)+SUM($G$4:G45)</f>
        <v>27380</v>
      </c>
      <c r="G45" s="55">
        <v>0</v>
      </c>
      <c r="H45" s="28" t="s">
        <v>12</v>
      </c>
      <c r="I45" s="24" t="s">
        <v>20</v>
      </c>
      <c r="J45" s="24" t="s">
        <v>20</v>
      </c>
      <c r="K45" s="24" t="s">
        <v>20</v>
      </c>
      <c r="L45" t="s">
        <v>23</v>
      </c>
      <c r="M45" t="s">
        <v>23</v>
      </c>
      <c r="N45" s="7" t="s">
        <v>23</v>
      </c>
      <c r="O45" s="7" t="s">
        <v>23</v>
      </c>
      <c r="P45" s="23" t="s">
        <v>19</v>
      </c>
      <c r="Q45" t="s">
        <v>23</v>
      </c>
      <c r="R45" t="s">
        <v>23</v>
      </c>
      <c r="S45" t="s">
        <v>23</v>
      </c>
      <c r="T45" t="s">
        <v>23</v>
      </c>
      <c r="U45" t="s">
        <v>23</v>
      </c>
      <c r="V45" s="7" t="s">
        <v>23</v>
      </c>
      <c r="W45" s="7" t="s">
        <v>23</v>
      </c>
      <c r="X45" s="25" t="s">
        <v>21</v>
      </c>
      <c r="Y45" s="25" t="s">
        <v>21</v>
      </c>
      <c r="Z45" s="25" t="s">
        <v>21</v>
      </c>
      <c r="AA45" s="25" t="s">
        <v>21</v>
      </c>
      <c r="AB45" s="25" t="s">
        <v>21</v>
      </c>
      <c r="AC45" s="25" t="s">
        <v>21</v>
      </c>
      <c r="AD45" s="7" t="s">
        <v>23</v>
      </c>
      <c r="AE45" s="7" t="s">
        <v>23</v>
      </c>
      <c r="AF45" s="36">
        <v>0</v>
      </c>
      <c r="AG45" s="36"/>
      <c r="AH45" s="36"/>
      <c r="AI45" s="36"/>
      <c r="AJ45" s="8" t="s">
        <v>31</v>
      </c>
    </row>
    <row r="46" spans="1:42">
      <c r="A46" s="1">
        <v>44498</v>
      </c>
      <c r="B46" s="55">
        <v>1600</v>
      </c>
      <c r="C46" s="55" cm="1">
        <f t="array" ref="C46">(SUM(VLOOKUP(H46:AE46,$AL$4:$AN$44,2,FALSE))+AF46*10)*IF(AJ46="是",$AW$4,$AW$3)</f>
        <v>1712</v>
      </c>
      <c r="D46" s="57">
        <f>SUM($B$4:B46)-SUM($C$4:C46)</f>
        <v>26</v>
      </c>
      <c r="E46" s="55" cm="1">
        <f t="array" ref="E46">SUM(VLOOKUP(H46:AE46,$AL$4:$AN$44,3,FALSE))</f>
        <v>630</v>
      </c>
      <c r="F46" s="55">
        <f>SUM($E$4:E46)+SUM($G$4:G46)</f>
        <v>28010</v>
      </c>
      <c r="G46" s="55">
        <v>0</v>
      </c>
      <c r="H46" s="24" t="s">
        <v>20</v>
      </c>
      <c r="I46" s="24" t="s">
        <v>20</v>
      </c>
      <c r="J46" s="24" t="s">
        <v>20</v>
      </c>
      <c r="K46" s="24" t="s">
        <v>20</v>
      </c>
      <c r="L46" t="s">
        <v>23</v>
      </c>
      <c r="M46" t="s">
        <v>23</v>
      </c>
      <c r="N46" s="7" t="s">
        <v>23</v>
      </c>
      <c r="O46" s="7" t="s">
        <v>23</v>
      </c>
      <c r="P46" s="23" t="s">
        <v>19</v>
      </c>
      <c r="Q46" t="s">
        <v>23</v>
      </c>
      <c r="R46" t="s">
        <v>23</v>
      </c>
      <c r="S46" t="s">
        <v>23</v>
      </c>
      <c r="T46" t="s">
        <v>23</v>
      </c>
      <c r="U46" t="s">
        <v>23</v>
      </c>
      <c r="V46" s="7" t="s">
        <v>23</v>
      </c>
      <c r="W46" s="7" t="s">
        <v>23</v>
      </c>
      <c r="X46" s="25" t="s">
        <v>21</v>
      </c>
      <c r="Y46" s="25" t="s">
        <v>21</v>
      </c>
      <c r="Z46" s="25" t="s">
        <v>21</v>
      </c>
      <c r="AA46" s="25" t="s">
        <v>21</v>
      </c>
      <c r="AB46" s="25" t="s">
        <v>21</v>
      </c>
      <c r="AC46" s="25" t="s">
        <v>21</v>
      </c>
      <c r="AD46" s="7" t="s">
        <v>23</v>
      </c>
      <c r="AE46" s="7" t="s">
        <v>23</v>
      </c>
      <c r="AF46" s="36">
        <v>0</v>
      </c>
      <c r="AG46" s="36"/>
      <c r="AH46" s="36"/>
      <c r="AI46" s="36"/>
      <c r="AJ46" s="8" t="s">
        <v>31</v>
      </c>
    </row>
    <row r="47" spans="1:42">
      <c r="A47" s="1">
        <v>44499</v>
      </c>
      <c r="B47" s="55">
        <v>1600</v>
      </c>
      <c r="C47" s="55" cm="1">
        <f t="array" ref="C47">(SUM(VLOOKUP(H47:AE47,$AL$4:$AN$44,2,FALSE))+AF47*10)*IF(AJ47="是",$AW$4,$AW$3)</f>
        <v>1592</v>
      </c>
      <c r="D47" s="57">
        <f>SUM($B$4:B47)-SUM($C$4:C47)</f>
        <v>34</v>
      </c>
      <c r="E47" s="55" cm="1">
        <f t="array" ref="E47">SUM(VLOOKUP(H47:AE47,$AL$4:$AN$44,3,FALSE))</f>
        <v>595</v>
      </c>
      <c r="F47" s="55">
        <f>SUM($E$4:E47)+SUM($G$4:G47)</f>
        <v>28605</v>
      </c>
      <c r="G47" s="55">
        <v>0</v>
      </c>
      <c r="H47" s="24" t="s">
        <v>20</v>
      </c>
      <c r="I47" s="25" t="s">
        <v>21</v>
      </c>
      <c r="J47" s="25" t="s">
        <v>21</v>
      </c>
      <c r="K47" s="25" t="s">
        <v>21</v>
      </c>
      <c r="L47" t="s">
        <v>23</v>
      </c>
      <c r="M47" t="s">
        <v>23</v>
      </c>
      <c r="N47" s="7" t="s">
        <v>23</v>
      </c>
      <c r="O47" s="7" t="s">
        <v>23</v>
      </c>
      <c r="P47" t="s">
        <v>23</v>
      </c>
      <c r="Q47" t="s">
        <v>23</v>
      </c>
      <c r="R47" t="s">
        <v>23</v>
      </c>
      <c r="S47" t="s">
        <v>23</v>
      </c>
      <c r="T47" t="s">
        <v>23</v>
      </c>
      <c r="U47" t="s">
        <v>23</v>
      </c>
      <c r="V47" s="7" t="s">
        <v>23</v>
      </c>
      <c r="W47" s="7" t="s">
        <v>23</v>
      </c>
      <c r="X47" s="25" t="s">
        <v>21</v>
      </c>
      <c r="Y47" s="25" t="s">
        <v>21</v>
      </c>
      <c r="Z47" s="25" t="s">
        <v>21</v>
      </c>
      <c r="AA47" s="25" t="s">
        <v>21</v>
      </c>
      <c r="AB47" s="25" t="s">
        <v>21</v>
      </c>
      <c r="AC47" s="25" t="s">
        <v>21</v>
      </c>
      <c r="AD47" s="7" t="s">
        <v>23</v>
      </c>
      <c r="AE47" s="7" t="s">
        <v>23</v>
      </c>
      <c r="AF47" s="36">
        <v>0</v>
      </c>
      <c r="AG47" s="36"/>
      <c r="AH47" s="36"/>
      <c r="AI47" s="36"/>
      <c r="AJ47" s="8" t="s">
        <v>31</v>
      </c>
    </row>
    <row r="48" spans="1:42">
      <c r="A48" s="1">
        <v>44500</v>
      </c>
      <c r="B48" s="55">
        <v>1600</v>
      </c>
      <c r="C48" s="55" cm="1">
        <f t="array" ref="C48">(SUM(VLOOKUP(H48:AE48,$AL$4:$AN$44,2,FALSE))+AF48*10)*IF(AJ48="是",$AW$4,$AW$3)</f>
        <v>1600</v>
      </c>
      <c r="D48" s="57">
        <f>SUM($B$4:B48)-SUM($C$4:C48)</f>
        <v>34</v>
      </c>
      <c r="E48" s="55" cm="1">
        <f t="array" ref="E48">SUM(VLOOKUP(H48:AE48,$AL$4:$AN$44,3,FALSE))</f>
        <v>600</v>
      </c>
      <c r="F48" s="55">
        <f>SUM($E$4:E48)+SUM($G$4:G48)</f>
        <v>29205</v>
      </c>
      <c r="G48" s="55">
        <v>0</v>
      </c>
      <c r="H48" s="25" t="s">
        <v>21</v>
      </c>
      <c r="I48" s="25" t="s">
        <v>21</v>
      </c>
      <c r="J48" s="25" t="s">
        <v>21</v>
      </c>
      <c r="K48" s="25" t="s">
        <v>21</v>
      </c>
      <c r="L48" t="s">
        <v>23</v>
      </c>
      <c r="M48" t="s">
        <v>23</v>
      </c>
      <c r="N48" s="7" t="s">
        <v>23</v>
      </c>
      <c r="O48" s="7" t="s">
        <v>23</v>
      </c>
      <c r="P48" t="s">
        <v>23</v>
      </c>
      <c r="Q48" t="s">
        <v>23</v>
      </c>
      <c r="R48" t="s">
        <v>23</v>
      </c>
      <c r="S48" t="s">
        <v>23</v>
      </c>
      <c r="T48" t="s">
        <v>23</v>
      </c>
      <c r="U48" t="s">
        <v>23</v>
      </c>
      <c r="V48" s="7" t="s">
        <v>23</v>
      </c>
      <c r="W48" s="7" t="s">
        <v>23</v>
      </c>
      <c r="X48" s="25" t="s">
        <v>21</v>
      </c>
      <c r="Y48" s="25" t="s">
        <v>21</v>
      </c>
      <c r="Z48" s="25" t="s">
        <v>21</v>
      </c>
      <c r="AA48" s="25" t="s">
        <v>21</v>
      </c>
      <c r="AB48" s="25" t="s">
        <v>21</v>
      </c>
      <c r="AC48" s="25" t="s">
        <v>21</v>
      </c>
      <c r="AD48" s="7" t="s">
        <v>23</v>
      </c>
      <c r="AE48" s="7" t="s">
        <v>23</v>
      </c>
      <c r="AF48" s="36">
        <v>0</v>
      </c>
      <c r="AG48" s="36"/>
      <c r="AH48" s="36"/>
      <c r="AI48" s="36"/>
      <c r="AJ48" s="8" t="s">
        <v>31</v>
      </c>
    </row>
    <row r="49" spans="1:36">
      <c r="A49" s="1">
        <v>44501</v>
      </c>
      <c r="B49" s="56">
        <v>1600</v>
      </c>
      <c r="C49" s="55" cm="1">
        <f t="array" ref="C49">(SUM(VLOOKUP(H49:AE49,$AL$4:$AN$44,2,FALSE))+AF49*10)*IF(AJ49="是",$AW$4,$AW$3)</f>
        <v>1584</v>
      </c>
      <c r="D49" s="18">
        <f>SUM($B$4:B49)-SUM($C$4:C49)</f>
        <v>50</v>
      </c>
      <c r="E49" s="55" cm="1">
        <f t="array" ref="E49">SUM(VLOOKUP(H49:AE49,$AL$4:$AN$44,3,FALSE))</f>
        <v>590</v>
      </c>
      <c r="F49" s="55">
        <f>SUM($E$4:E49)+SUM($G$4:G49)</f>
        <v>29995</v>
      </c>
      <c r="G49" s="56">
        <v>200</v>
      </c>
      <c r="H49" s="25" t="s">
        <v>21</v>
      </c>
      <c r="I49" s="24" t="s">
        <v>20</v>
      </c>
      <c r="J49" s="24" t="s">
        <v>20</v>
      </c>
      <c r="K49" s="25" t="s">
        <v>21</v>
      </c>
      <c r="L49" t="s">
        <v>23</v>
      </c>
      <c r="M49" t="s">
        <v>23</v>
      </c>
      <c r="N49" s="7" t="s">
        <v>23</v>
      </c>
      <c r="O49" s="7" t="s">
        <v>23</v>
      </c>
      <c r="P49" t="s">
        <v>23</v>
      </c>
      <c r="Q49" t="s">
        <v>23</v>
      </c>
      <c r="R49" t="s">
        <v>23</v>
      </c>
      <c r="S49" t="s">
        <v>23</v>
      </c>
      <c r="T49" t="s">
        <v>23</v>
      </c>
      <c r="U49" t="s">
        <v>23</v>
      </c>
      <c r="V49" s="7" t="s">
        <v>23</v>
      </c>
      <c r="W49" s="7" t="s">
        <v>23</v>
      </c>
      <c r="X49" s="25" t="s">
        <v>21</v>
      </c>
      <c r="Y49" s="25" t="s">
        <v>21</v>
      </c>
      <c r="Z49" s="25" t="s">
        <v>21</v>
      </c>
      <c r="AA49" s="25" t="s">
        <v>21</v>
      </c>
      <c r="AB49" s="25" t="s">
        <v>21</v>
      </c>
      <c r="AC49" s="25" t="s">
        <v>21</v>
      </c>
      <c r="AD49" s="7" t="s">
        <v>23</v>
      </c>
      <c r="AE49" s="7" t="s">
        <v>23</v>
      </c>
      <c r="AF49" s="36">
        <v>0</v>
      </c>
      <c r="AG49" s="36"/>
      <c r="AH49" s="36"/>
      <c r="AI49" s="36"/>
      <c r="AJ49" s="8" t="s">
        <v>31</v>
      </c>
    </row>
    <row r="50" spans="1:36">
      <c r="A50" s="1">
        <v>44502</v>
      </c>
      <c r="B50" s="56">
        <v>1600</v>
      </c>
      <c r="C50" s="55" cm="1">
        <f t="array" ref="C50">(SUM(VLOOKUP(H50:AE50,$AL$4:$AN$44,2,FALSE))+AF50*10)*IF(AJ50="是",$AW$4,$AW$3)</f>
        <v>1592</v>
      </c>
      <c r="D50" s="18">
        <f>SUM($B$4:B50)-SUM($C$4:C50)</f>
        <v>58</v>
      </c>
      <c r="E50" s="55" cm="1">
        <f t="array" ref="E50">SUM(VLOOKUP(H50:AE50,$AL$4:$AN$44,3,FALSE))</f>
        <v>595</v>
      </c>
      <c r="F50" s="55">
        <f>SUM($E$4:E50)+SUM($G$4:G50)</f>
        <v>30690</v>
      </c>
      <c r="G50" s="56">
        <v>100</v>
      </c>
      <c r="H50" s="25" t="s">
        <v>21</v>
      </c>
      <c r="I50" s="25" t="s">
        <v>21</v>
      </c>
      <c r="J50" s="24" t="s">
        <v>20</v>
      </c>
      <c r="K50" s="25" t="s">
        <v>21</v>
      </c>
      <c r="L50" t="s">
        <v>23</v>
      </c>
      <c r="M50" t="s">
        <v>23</v>
      </c>
      <c r="N50" s="7" t="s">
        <v>23</v>
      </c>
      <c r="O50" s="7" t="s">
        <v>23</v>
      </c>
      <c r="P50" t="s">
        <v>23</v>
      </c>
      <c r="Q50" t="s">
        <v>23</v>
      </c>
      <c r="R50" t="s">
        <v>23</v>
      </c>
      <c r="S50" t="s">
        <v>23</v>
      </c>
      <c r="T50" t="s">
        <v>23</v>
      </c>
      <c r="U50" t="s">
        <v>23</v>
      </c>
      <c r="V50" s="7" t="s">
        <v>23</v>
      </c>
      <c r="W50" s="7" t="s">
        <v>23</v>
      </c>
      <c r="X50" s="25" t="s">
        <v>21</v>
      </c>
      <c r="Y50" s="25" t="s">
        <v>21</v>
      </c>
      <c r="Z50" s="25" t="s">
        <v>21</v>
      </c>
      <c r="AA50" s="25" t="s">
        <v>21</v>
      </c>
      <c r="AB50" s="25" t="s">
        <v>21</v>
      </c>
      <c r="AC50" s="25" t="s">
        <v>21</v>
      </c>
      <c r="AD50" s="7" t="s">
        <v>23</v>
      </c>
      <c r="AE50" s="7" t="s">
        <v>23</v>
      </c>
      <c r="AF50" s="36">
        <v>0</v>
      </c>
      <c r="AG50" s="36"/>
      <c r="AH50" s="36"/>
      <c r="AI50" s="36"/>
      <c r="AJ50" s="8" t="s">
        <v>31</v>
      </c>
    </row>
    <row r="51" spans="1:36">
      <c r="A51" s="1">
        <v>44503</v>
      </c>
      <c r="B51" s="56">
        <v>1600</v>
      </c>
      <c r="C51" s="55" cm="1">
        <f t="array" ref="C51">(SUM(VLOOKUP(H51:AE51,$AL$4:$AN$44,2,FALSE))+AF51*10)*IF(AJ51="是",$AW$4,$AW$3)</f>
        <v>1600</v>
      </c>
      <c r="D51" s="18">
        <f>SUM($B$4:B51)-SUM($C$4:C51)</f>
        <v>58</v>
      </c>
      <c r="E51" s="55" cm="1">
        <f t="array" ref="E51">SUM(VLOOKUP(H51:AE51,$AL$4:$AN$44,3,FALSE))</f>
        <v>660</v>
      </c>
      <c r="F51" s="55">
        <f>SUM($E$4:E51)+SUM($G$4:G51)</f>
        <v>31550</v>
      </c>
      <c r="G51" s="56">
        <v>200</v>
      </c>
      <c r="H51" s="25" t="s">
        <v>21</v>
      </c>
      <c r="I51" s="25" t="s">
        <v>21</v>
      </c>
      <c r="J51" s="25" t="s">
        <v>21</v>
      </c>
      <c r="K51" s="25" t="s">
        <v>21</v>
      </c>
      <c r="L51" t="s">
        <v>23</v>
      </c>
      <c r="M51" t="s">
        <v>23</v>
      </c>
      <c r="N51" s="7" t="s">
        <v>23</v>
      </c>
      <c r="O51" s="7" t="s">
        <v>23</v>
      </c>
      <c r="P51" t="s">
        <v>23</v>
      </c>
      <c r="Q51" t="s">
        <v>23</v>
      </c>
      <c r="R51" t="s">
        <v>23</v>
      </c>
      <c r="S51" t="s">
        <v>23</v>
      </c>
      <c r="T51" t="s">
        <v>23</v>
      </c>
      <c r="U51" t="s">
        <v>23</v>
      </c>
      <c r="V51" s="7" t="s">
        <v>23</v>
      </c>
      <c r="W51" s="7" t="s">
        <v>23</v>
      </c>
      <c r="X51" s="25" t="s">
        <v>21</v>
      </c>
      <c r="Y51" s="25" t="s">
        <v>21</v>
      </c>
      <c r="Z51" s="25" t="s">
        <v>21</v>
      </c>
      <c r="AA51" s="29" t="s">
        <v>47</v>
      </c>
      <c r="AB51" s="25" t="s">
        <v>21</v>
      </c>
      <c r="AC51" s="25" t="s">
        <v>21</v>
      </c>
      <c r="AD51" s="25" t="s">
        <v>21</v>
      </c>
      <c r="AE51" s="25" t="s">
        <v>21</v>
      </c>
      <c r="AF51" s="36">
        <v>0</v>
      </c>
      <c r="AG51" s="36"/>
      <c r="AH51" s="36"/>
      <c r="AI51" s="36"/>
      <c r="AJ51" s="8" t="s">
        <v>31</v>
      </c>
    </row>
    <row r="52" spans="1:36">
      <c r="A52" s="1">
        <v>44504</v>
      </c>
      <c r="B52" s="56">
        <v>1600</v>
      </c>
      <c r="C52" s="55" cm="1">
        <f t="array" ref="C52">(SUM(VLOOKUP(H52:AE52,$AL$4:$AN$44,2,FALSE))+AF52*10)*IF(AJ52="是",$AW$4,$AW$3)</f>
        <v>1600</v>
      </c>
      <c r="D52" s="18">
        <f>SUM($B$4:B52)-SUM($C$4:C52)</f>
        <v>58</v>
      </c>
      <c r="E52" s="55" cm="1">
        <f t="array" ref="E52">SUM(VLOOKUP(H52:AE52,$AL$4:$AN$44,3,FALSE))</f>
        <v>600</v>
      </c>
      <c r="F52" s="55">
        <f>SUM($E$4:E52)+SUM($G$4:G52)</f>
        <v>32150</v>
      </c>
      <c r="G52" s="56">
        <v>0</v>
      </c>
      <c r="H52" s="25" t="s">
        <v>21</v>
      </c>
      <c r="I52" s="25" t="s">
        <v>21</v>
      </c>
      <c r="J52" s="25" t="s">
        <v>21</v>
      </c>
      <c r="K52" s="25" t="s">
        <v>21</v>
      </c>
      <c r="L52" t="s">
        <v>23</v>
      </c>
      <c r="M52" t="s">
        <v>23</v>
      </c>
      <c r="N52" s="7" t="s">
        <v>23</v>
      </c>
      <c r="O52" s="7" t="s">
        <v>23</v>
      </c>
      <c r="P52" t="s">
        <v>23</v>
      </c>
      <c r="Q52" t="s">
        <v>23</v>
      </c>
      <c r="R52" t="s">
        <v>23</v>
      </c>
      <c r="S52" t="s">
        <v>23</v>
      </c>
      <c r="T52" t="s">
        <v>23</v>
      </c>
      <c r="U52" t="s">
        <v>23</v>
      </c>
      <c r="V52" s="7" t="s">
        <v>23</v>
      </c>
      <c r="W52" s="7" t="s">
        <v>23</v>
      </c>
      <c r="X52" s="25" t="s">
        <v>21</v>
      </c>
      <c r="Y52" s="25" t="s">
        <v>21</v>
      </c>
      <c r="Z52" s="25" t="s">
        <v>21</v>
      </c>
      <c r="AA52" s="25" t="s">
        <v>21</v>
      </c>
      <c r="AB52" s="25" t="s">
        <v>21</v>
      </c>
      <c r="AC52" s="25" t="s">
        <v>21</v>
      </c>
      <c r="AD52" s="7" t="s">
        <v>23</v>
      </c>
      <c r="AE52" s="7" t="s">
        <v>23</v>
      </c>
      <c r="AF52" s="36">
        <v>0</v>
      </c>
      <c r="AG52" s="36"/>
      <c r="AH52" s="36"/>
      <c r="AI52" s="36"/>
      <c r="AJ52" s="8" t="s">
        <v>31</v>
      </c>
    </row>
    <row r="53" spans="1:36">
      <c r="A53" s="1">
        <v>44505</v>
      </c>
      <c r="B53" s="56">
        <v>1600</v>
      </c>
      <c r="C53" s="55" cm="1">
        <f t="array" ref="C53">(SUM(VLOOKUP(H53:AE53,$AL$4:$AN$44,2,FALSE))+AF53*10)*IF(AJ53="是",$AW$4,$AW$3)</f>
        <v>1600</v>
      </c>
      <c r="D53" s="18">
        <f>SUM($B$4:B53)-SUM($C$4:C53)</f>
        <v>58</v>
      </c>
      <c r="E53" s="55" cm="1">
        <f t="array" ref="E53">SUM(VLOOKUP(H53:AE53,$AL$4:$AN$44,3,FALSE))</f>
        <v>600</v>
      </c>
      <c r="F53" s="55">
        <f>SUM($E$4:E53)+SUM($G$4:G53)</f>
        <v>32750</v>
      </c>
      <c r="G53" s="56">
        <v>0</v>
      </c>
      <c r="H53" s="25" t="s">
        <v>21</v>
      </c>
      <c r="I53" s="25" t="s">
        <v>21</v>
      </c>
      <c r="J53" s="25" t="s">
        <v>21</v>
      </c>
      <c r="K53" s="25" t="s">
        <v>21</v>
      </c>
      <c r="L53" t="s">
        <v>23</v>
      </c>
      <c r="M53" t="s">
        <v>23</v>
      </c>
      <c r="N53" s="7" t="s">
        <v>23</v>
      </c>
      <c r="O53" s="7" t="s">
        <v>23</v>
      </c>
      <c r="P53" t="s">
        <v>23</v>
      </c>
      <c r="Q53" t="s">
        <v>23</v>
      </c>
      <c r="R53" t="s">
        <v>23</v>
      </c>
      <c r="S53" t="s">
        <v>23</v>
      </c>
      <c r="T53" t="s">
        <v>23</v>
      </c>
      <c r="U53" t="s">
        <v>23</v>
      </c>
      <c r="V53" s="7" t="s">
        <v>23</v>
      </c>
      <c r="W53" s="7" t="s">
        <v>23</v>
      </c>
      <c r="X53" s="25" t="s">
        <v>21</v>
      </c>
      <c r="Y53" s="25" t="s">
        <v>21</v>
      </c>
      <c r="Z53" s="25" t="s">
        <v>21</v>
      </c>
      <c r="AA53" s="25" t="s">
        <v>21</v>
      </c>
      <c r="AB53" s="25" t="s">
        <v>21</v>
      </c>
      <c r="AC53" s="25" t="s">
        <v>21</v>
      </c>
      <c r="AD53" s="7" t="s">
        <v>23</v>
      </c>
      <c r="AE53" s="7" t="s">
        <v>23</v>
      </c>
      <c r="AF53" s="36">
        <v>0</v>
      </c>
      <c r="AG53" s="36"/>
      <c r="AH53" s="36"/>
      <c r="AI53" s="36"/>
      <c r="AJ53" s="8" t="s">
        <v>31</v>
      </c>
    </row>
    <row r="54" spans="1:36">
      <c r="A54" s="1">
        <v>44506</v>
      </c>
      <c r="B54" s="56">
        <v>1600</v>
      </c>
      <c r="C54" s="55" cm="1">
        <f t="array" ref="C54">(SUM(VLOOKUP(H54:AE54,$AL$4:$AN$44,2,FALSE))+AF54*10)*IF(AJ54="是",$AW$4,$AW$3)</f>
        <v>1600</v>
      </c>
      <c r="D54" s="18">
        <f>SUM($B$4:B54)-SUM($C$4:C54)</f>
        <v>58</v>
      </c>
      <c r="E54" s="55" cm="1">
        <f t="array" ref="E54">SUM(VLOOKUP(H54:AE54,$AL$4:$AN$44,3,FALSE))</f>
        <v>600</v>
      </c>
      <c r="F54" s="55">
        <f>SUM($E$4:E54)+SUM($G$4:G54)</f>
        <v>33350</v>
      </c>
      <c r="G54" s="56">
        <v>0</v>
      </c>
      <c r="H54" s="25" t="s">
        <v>21</v>
      </c>
      <c r="I54" s="25" t="s">
        <v>21</v>
      </c>
      <c r="J54" s="25" t="s">
        <v>21</v>
      </c>
      <c r="K54" s="25" t="s">
        <v>21</v>
      </c>
      <c r="L54" t="s">
        <v>23</v>
      </c>
      <c r="M54" t="s">
        <v>23</v>
      </c>
      <c r="N54" s="7" t="s">
        <v>23</v>
      </c>
      <c r="O54" s="7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  <c r="U54" t="s">
        <v>23</v>
      </c>
      <c r="V54" s="7" t="s">
        <v>23</v>
      </c>
      <c r="W54" s="7" t="s">
        <v>23</v>
      </c>
      <c r="X54" s="25" t="s">
        <v>21</v>
      </c>
      <c r="Y54" s="25" t="s">
        <v>21</v>
      </c>
      <c r="Z54" s="25" t="s">
        <v>21</v>
      </c>
      <c r="AA54" s="25" t="s">
        <v>21</v>
      </c>
      <c r="AB54" s="25" t="s">
        <v>21</v>
      </c>
      <c r="AC54" s="25" t="s">
        <v>21</v>
      </c>
      <c r="AD54" s="7" t="s">
        <v>23</v>
      </c>
      <c r="AE54" s="7" t="s">
        <v>23</v>
      </c>
      <c r="AF54" s="36">
        <v>0</v>
      </c>
      <c r="AG54" s="36"/>
      <c r="AH54" s="36"/>
      <c r="AI54" s="36"/>
      <c r="AJ54" s="8" t="s">
        <v>31</v>
      </c>
    </row>
    <row r="55" spans="1:36">
      <c r="A55" s="1">
        <v>44507</v>
      </c>
      <c r="B55" s="56">
        <v>1600</v>
      </c>
      <c r="C55" s="55" cm="1">
        <f t="array" ref="C55">(SUM(VLOOKUP(H55:AE55,$AL$4:$AN$44,2,FALSE))+AF55*10)*IF(AJ55="是",$AW$4,$AW$3)</f>
        <v>1592</v>
      </c>
      <c r="D55" s="18">
        <f>SUM($B$4:B55)-SUM($C$4:C55)</f>
        <v>66</v>
      </c>
      <c r="E55" s="55" cm="1">
        <f t="array" ref="E55">SUM(VLOOKUP(H55:AE55,$AL$4:$AN$44,3,FALSE))</f>
        <v>595</v>
      </c>
      <c r="F55" s="55">
        <f>SUM($E$4:E55)+SUM($G$4:G55)</f>
        <v>33945</v>
      </c>
      <c r="G55" s="56">
        <v>0</v>
      </c>
      <c r="H55" s="24" t="s">
        <v>20</v>
      </c>
      <c r="I55" s="25" t="s">
        <v>21</v>
      </c>
      <c r="J55" s="25" t="s">
        <v>21</v>
      </c>
      <c r="K55" s="25" t="s">
        <v>21</v>
      </c>
      <c r="L55" t="s">
        <v>23</v>
      </c>
      <c r="M55" t="s">
        <v>23</v>
      </c>
      <c r="N55" s="7" t="s">
        <v>23</v>
      </c>
      <c r="O55" s="7" t="s">
        <v>23</v>
      </c>
      <c r="P55" t="s">
        <v>23</v>
      </c>
      <c r="Q55" t="s">
        <v>23</v>
      </c>
      <c r="R55" t="s">
        <v>23</v>
      </c>
      <c r="S55" t="s">
        <v>23</v>
      </c>
      <c r="T55" t="s">
        <v>23</v>
      </c>
      <c r="U55" t="s">
        <v>23</v>
      </c>
      <c r="V55" s="7" t="s">
        <v>23</v>
      </c>
      <c r="W55" s="7" t="s">
        <v>23</v>
      </c>
      <c r="X55" s="25" t="s">
        <v>21</v>
      </c>
      <c r="Y55" s="25" t="s">
        <v>21</v>
      </c>
      <c r="Z55" s="25" t="s">
        <v>21</v>
      </c>
      <c r="AA55" s="25" t="s">
        <v>21</v>
      </c>
      <c r="AB55" s="25" t="s">
        <v>21</v>
      </c>
      <c r="AC55" s="25" t="s">
        <v>21</v>
      </c>
      <c r="AD55" s="7" t="s">
        <v>23</v>
      </c>
      <c r="AE55" s="7" t="s">
        <v>23</v>
      </c>
      <c r="AF55" s="36">
        <v>0</v>
      </c>
      <c r="AG55" s="36"/>
      <c r="AH55" s="36"/>
      <c r="AI55" s="36"/>
      <c r="AJ55" s="8" t="s">
        <v>31</v>
      </c>
    </row>
    <row r="56" spans="1:36">
      <c r="A56" s="1">
        <v>44508</v>
      </c>
      <c r="B56" s="55">
        <v>1600</v>
      </c>
      <c r="C56" s="55" cm="1">
        <f t="array" ref="C56">(SUM(VLOOKUP(H56:AE56,$AL$4:$AN$44,2,FALSE))+AF56*10)*IF(AJ56="是",$AW$4,$AW$3)</f>
        <v>1600</v>
      </c>
      <c r="D56" s="57">
        <f>SUM($B$4:B56)-SUM($C$4:C56)</f>
        <v>66</v>
      </c>
      <c r="E56" s="55" cm="1">
        <f t="array" ref="E56">SUM(VLOOKUP(H56:AE56,$AL$4:$AN$44,3,FALSE))</f>
        <v>600</v>
      </c>
      <c r="F56" s="55">
        <f>SUM($E$4:E56)+SUM($G$4:G56)</f>
        <v>34845</v>
      </c>
      <c r="G56" s="55">
        <v>300</v>
      </c>
      <c r="H56" s="25" t="s">
        <v>21</v>
      </c>
      <c r="I56" s="25" t="s">
        <v>21</v>
      </c>
      <c r="J56" s="25" t="s">
        <v>21</v>
      </c>
      <c r="K56" s="25" t="s">
        <v>21</v>
      </c>
      <c r="L56" t="s">
        <v>23</v>
      </c>
      <c r="M56" t="s">
        <v>23</v>
      </c>
      <c r="N56" s="7" t="s">
        <v>23</v>
      </c>
      <c r="O56" s="7" t="s">
        <v>23</v>
      </c>
      <c r="P56" t="s">
        <v>23</v>
      </c>
      <c r="Q56" t="s">
        <v>23</v>
      </c>
      <c r="R56" t="s">
        <v>23</v>
      </c>
      <c r="S56" t="s">
        <v>23</v>
      </c>
      <c r="T56" t="s">
        <v>23</v>
      </c>
      <c r="U56" t="s">
        <v>23</v>
      </c>
      <c r="V56" s="7" t="s">
        <v>23</v>
      </c>
      <c r="W56" s="7" t="s">
        <v>23</v>
      </c>
      <c r="X56" s="25" t="s">
        <v>21</v>
      </c>
      <c r="Y56" s="25" t="s">
        <v>21</v>
      </c>
      <c r="Z56" s="25" t="s">
        <v>21</v>
      </c>
      <c r="AA56" s="25" t="s">
        <v>21</v>
      </c>
      <c r="AB56" s="25" t="s">
        <v>21</v>
      </c>
      <c r="AC56" s="25" t="s">
        <v>21</v>
      </c>
      <c r="AD56" s="7" t="s">
        <v>23</v>
      </c>
      <c r="AE56" s="7" t="s">
        <v>23</v>
      </c>
      <c r="AF56" s="36">
        <v>0</v>
      </c>
      <c r="AG56" s="36"/>
      <c r="AH56" s="36"/>
      <c r="AI56" s="36"/>
      <c r="AJ56" s="8" t="s">
        <v>31</v>
      </c>
    </row>
    <row r="57" spans="1:36">
      <c r="A57" s="1">
        <v>44509</v>
      </c>
      <c r="B57" s="55">
        <v>1600</v>
      </c>
      <c r="C57" s="55" cm="1">
        <f t="array" ref="C57">(SUM(VLOOKUP(H57:AE57,$AL$4:$AN$44,2,FALSE))+AF57*10)*IF(AJ57="是",$AW$4,$AW$3)</f>
        <v>1544</v>
      </c>
      <c r="D57" s="57">
        <f>SUM($B$4:B57)-SUM($C$4:C57)</f>
        <v>122</v>
      </c>
      <c r="E57" s="55" cm="1">
        <f t="array" ref="E57">SUM(VLOOKUP(H57:AE57,$AL$4:$AN$44,3,FALSE))</f>
        <v>590</v>
      </c>
      <c r="F57" s="55">
        <f>SUM($E$4:E57)+SUM($G$4:G57)</f>
        <v>35435</v>
      </c>
      <c r="G57" s="55">
        <v>0</v>
      </c>
      <c r="H57" s="25" t="s">
        <v>21</v>
      </c>
      <c r="I57" s="25" t="s">
        <v>21</v>
      </c>
      <c r="J57" s="24" t="s">
        <v>20</v>
      </c>
      <c r="K57" s="24" t="s">
        <v>20</v>
      </c>
      <c r="L57" t="s">
        <v>23</v>
      </c>
      <c r="M57" t="s">
        <v>23</v>
      </c>
      <c r="N57" s="7" t="s">
        <v>23</v>
      </c>
      <c r="O57" s="7" t="s">
        <v>23</v>
      </c>
      <c r="P57" t="s">
        <v>23</v>
      </c>
      <c r="Q57" t="s">
        <v>23</v>
      </c>
      <c r="R57" t="s">
        <v>23</v>
      </c>
      <c r="S57" t="s">
        <v>23</v>
      </c>
      <c r="T57" t="s">
        <v>23</v>
      </c>
      <c r="U57" t="s">
        <v>23</v>
      </c>
      <c r="V57" s="7" t="s">
        <v>23</v>
      </c>
      <c r="W57" s="7" t="s">
        <v>23</v>
      </c>
      <c r="X57" s="25" t="s">
        <v>21</v>
      </c>
      <c r="Y57" s="25" t="s">
        <v>21</v>
      </c>
      <c r="Z57" s="25" t="s">
        <v>21</v>
      </c>
      <c r="AA57" s="25" t="s">
        <v>10</v>
      </c>
      <c r="AB57" s="25" t="s">
        <v>21</v>
      </c>
      <c r="AC57" s="25" t="s">
        <v>21</v>
      </c>
      <c r="AD57" s="7" t="s">
        <v>23</v>
      </c>
      <c r="AE57" s="7" t="s">
        <v>23</v>
      </c>
      <c r="AF57" s="36">
        <v>0</v>
      </c>
      <c r="AG57" s="36"/>
      <c r="AH57" s="36"/>
      <c r="AI57" s="36"/>
      <c r="AJ57" s="8" t="s">
        <v>31</v>
      </c>
    </row>
    <row r="58" spans="1:36">
      <c r="A58" s="1">
        <v>44510</v>
      </c>
      <c r="B58" s="55">
        <v>1600</v>
      </c>
      <c r="C58" s="55" cm="1">
        <f t="array" ref="C58">(SUM(VLOOKUP(H58:AE58,$AL$4:$AN$44,2,FALSE))+AF58*10)*IF(AJ58="是",$AW$4,$AW$3)</f>
        <v>1632</v>
      </c>
      <c r="D58" s="57">
        <f>SUM($B$4:B58)-SUM($C$4:C58)</f>
        <v>90</v>
      </c>
      <c r="E58" s="55" cm="1">
        <f t="array" ref="E58">SUM(VLOOKUP(H58:AE58,$AL$4:$AN$44,3,FALSE))</f>
        <v>600</v>
      </c>
      <c r="F58" s="55">
        <f>SUM($E$4:E58)+SUM($G$4:G58)</f>
        <v>36235</v>
      </c>
      <c r="G58" s="55">
        <v>200</v>
      </c>
      <c r="H58" s="24" t="s">
        <v>20</v>
      </c>
      <c r="I58" s="24" t="s">
        <v>20</v>
      </c>
      <c r="J58" s="24" t="s">
        <v>9</v>
      </c>
      <c r="K58" s="24" t="s">
        <v>20</v>
      </c>
      <c r="L58" t="s">
        <v>23</v>
      </c>
      <c r="M58" t="s">
        <v>23</v>
      </c>
      <c r="N58" s="7" t="s">
        <v>23</v>
      </c>
      <c r="O58" s="7" t="s">
        <v>23</v>
      </c>
      <c r="P58" s="23" t="s">
        <v>19</v>
      </c>
      <c r="Q58" t="s">
        <v>23</v>
      </c>
      <c r="R58" t="s">
        <v>23</v>
      </c>
      <c r="S58" t="s">
        <v>23</v>
      </c>
      <c r="T58" t="s">
        <v>23</v>
      </c>
      <c r="U58" t="s">
        <v>23</v>
      </c>
      <c r="V58" s="7" t="s">
        <v>23</v>
      </c>
      <c r="W58" s="7" t="s">
        <v>23</v>
      </c>
      <c r="X58" s="24" t="s">
        <v>20</v>
      </c>
      <c r="Y58" s="24" t="s">
        <v>20</v>
      </c>
      <c r="Z58" s="24" t="s">
        <v>20</v>
      </c>
      <c r="AA58" s="24" t="s">
        <v>20</v>
      </c>
      <c r="AB58" s="24" t="s">
        <v>20</v>
      </c>
      <c r="AC58" s="24" t="s">
        <v>20</v>
      </c>
      <c r="AD58" s="7" t="s">
        <v>23</v>
      </c>
      <c r="AE58" s="7" t="s">
        <v>23</v>
      </c>
      <c r="AF58" s="36">
        <v>0</v>
      </c>
      <c r="AG58" s="36"/>
      <c r="AH58" s="36"/>
      <c r="AI58" s="36"/>
      <c r="AJ58" s="8" t="s">
        <v>31</v>
      </c>
    </row>
    <row r="59" spans="1:36">
      <c r="A59" s="1">
        <v>44511</v>
      </c>
      <c r="B59" s="55">
        <v>1600</v>
      </c>
      <c r="C59" s="55" cm="1">
        <f t="array" ref="C59">(SUM(VLOOKUP(H59:AE59,$AL$4:$AN$44,2,FALSE))+AF59*10)*IF(AJ59="是",$AW$4,$AW$3)</f>
        <v>1568</v>
      </c>
      <c r="D59" s="57">
        <f>SUM($B$4:B59)-SUM($C$4:C59)</f>
        <v>122</v>
      </c>
      <c r="E59" s="55" cm="1">
        <f t="array" ref="E59">SUM(VLOOKUP(H59:AE59,$AL$4:$AN$44,3,FALSE))</f>
        <v>585</v>
      </c>
      <c r="F59" s="55">
        <f>SUM($E$4:E59)+SUM($G$4:G59)</f>
        <v>36820</v>
      </c>
      <c r="G59" s="55">
        <v>0</v>
      </c>
      <c r="H59" s="24" t="s">
        <v>20</v>
      </c>
      <c r="I59" s="24" t="s">
        <v>20</v>
      </c>
      <c r="J59" s="25" t="s">
        <v>21</v>
      </c>
      <c r="K59" s="25" t="s">
        <v>21</v>
      </c>
      <c r="L59" t="s">
        <v>23</v>
      </c>
      <c r="M59" t="s">
        <v>23</v>
      </c>
      <c r="N59" s="7" t="s">
        <v>23</v>
      </c>
      <c r="O59" s="7" t="s">
        <v>23</v>
      </c>
      <c r="P59" s="23" t="s">
        <v>19</v>
      </c>
      <c r="Q59" t="s">
        <v>23</v>
      </c>
      <c r="R59" t="s">
        <v>23</v>
      </c>
      <c r="S59" t="s">
        <v>23</v>
      </c>
      <c r="T59" t="s">
        <v>23</v>
      </c>
      <c r="U59" t="s">
        <v>23</v>
      </c>
      <c r="V59" s="7" t="s">
        <v>23</v>
      </c>
      <c r="W59" s="7" t="s">
        <v>23</v>
      </c>
      <c r="X59" s="24" t="s">
        <v>20</v>
      </c>
      <c r="Y59" s="28" t="s">
        <v>12</v>
      </c>
      <c r="Z59" s="24" t="s">
        <v>20</v>
      </c>
      <c r="AA59" s="24" t="s">
        <v>20</v>
      </c>
      <c r="AB59" s="24" t="s">
        <v>20</v>
      </c>
      <c r="AC59" s="24" t="s">
        <v>20</v>
      </c>
      <c r="AD59" s="7" t="s">
        <v>23</v>
      </c>
      <c r="AE59" s="7" t="s">
        <v>23</v>
      </c>
      <c r="AF59" s="36">
        <v>0</v>
      </c>
      <c r="AG59" s="36"/>
      <c r="AH59" s="36"/>
      <c r="AI59" s="36"/>
      <c r="AJ59" s="8" t="s">
        <v>31</v>
      </c>
    </row>
    <row r="60" spans="1:36">
      <c r="A60" s="1">
        <v>44512</v>
      </c>
      <c r="B60" s="55">
        <v>1600</v>
      </c>
      <c r="C60" s="55" cm="1">
        <f t="array" ref="C60">(SUM(VLOOKUP(H60:AE60,$AL$4:$AN$44,2,FALSE))+AF60*10)*IF(AJ60="是",$AW$4,$AW$3)</f>
        <v>1656</v>
      </c>
      <c r="D60" s="57">
        <f>SUM($B$4:B60)-SUM($C$4:C60)</f>
        <v>66</v>
      </c>
      <c r="E60" s="55" cm="1">
        <f t="array" ref="E60">SUM(VLOOKUP(H60:AE60,$AL$4:$AN$44,3,FALSE))</f>
        <v>655</v>
      </c>
      <c r="F60" s="55">
        <f>SUM($E$4:E60)+SUM($G$4:G60)</f>
        <v>37475</v>
      </c>
      <c r="G60" s="55">
        <v>0</v>
      </c>
      <c r="H60" s="29" t="s">
        <v>47</v>
      </c>
      <c r="I60" s="25" t="s">
        <v>21</v>
      </c>
      <c r="J60" s="25" t="s">
        <v>21</v>
      </c>
      <c r="K60" s="24" t="s">
        <v>20</v>
      </c>
      <c r="L60" t="s">
        <v>23</v>
      </c>
      <c r="M60" t="s">
        <v>23</v>
      </c>
      <c r="N60" s="7" t="s">
        <v>23</v>
      </c>
      <c r="O60" s="7" t="s">
        <v>23</v>
      </c>
      <c r="P60" s="23" t="s">
        <v>19</v>
      </c>
      <c r="Q60" s="23" t="s">
        <v>19</v>
      </c>
      <c r="R60" s="23" t="s">
        <v>19</v>
      </c>
      <c r="S60" t="s">
        <v>23</v>
      </c>
      <c r="T60" t="s">
        <v>23</v>
      </c>
      <c r="U60" t="s">
        <v>23</v>
      </c>
      <c r="V60" s="7" t="s">
        <v>23</v>
      </c>
      <c r="W60" s="7" t="s">
        <v>23</v>
      </c>
      <c r="X60" s="24" t="s">
        <v>20</v>
      </c>
      <c r="Y60" s="24" t="s">
        <v>20</v>
      </c>
      <c r="Z60" s="24" t="s">
        <v>20</v>
      </c>
      <c r="AA60" s="24" t="s">
        <v>20</v>
      </c>
      <c r="AB60" s="24" t="s">
        <v>20</v>
      </c>
      <c r="AC60" s="24" t="s">
        <v>20</v>
      </c>
      <c r="AD60" s="7" t="s">
        <v>23</v>
      </c>
      <c r="AE60" s="7" t="s">
        <v>23</v>
      </c>
      <c r="AF60" s="36">
        <v>0</v>
      </c>
      <c r="AG60" s="36"/>
      <c r="AH60" s="36"/>
      <c r="AI60" s="36"/>
      <c r="AJ60" s="8" t="s">
        <v>31</v>
      </c>
    </row>
    <row r="61" spans="1:36">
      <c r="A61" s="1">
        <v>44513</v>
      </c>
      <c r="B61" s="55">
        <v>1600</v>
      </c>
      <c r="C61" s="55" cm="1">
        <f t="array" ref="C61">(SUM(VLOOKUP(H61:AE61,$AL$4:$AN$44,2,FALSE))+AF61*10)*IF(AJ61="是",$AW$4,$AW$3)</f>
        <v>1656</v>
      </c>
      <c r="D61" s="57">
        <f>SUM($B$4:B61)-SUM($C$4:C61)</f>
        <v>10</v>
      </c>
      <c r="E61" s="55" cm="1">
        <f t="array" ref="E61">SUM(VLOOKUP(H61:AE61,$AL$4:$AN$44,3,FALSE))</f>
        <v>595</v>
      </c>
      <c r="F61" s="55">
        <f>SUM($E$4:E61)+SUM($G$4:G61)</f>
        <v>38070</v>
      </c>
      <c r="G61" s="55">
        <v>0</v>
      </c>
      <c r="H61" s="24" t="s">
        <v>20</v>
      </c>
      <c r="I61" s="24" t="s">
        <v>20</v>
      </c>
      <c r="J61" s="24" t="s">
        <v>20</v>
      </c>
      <c r="K61" s="24" t="s">
        <v>20</v>
      </c>
      <c r="L61" t="s">
        <v>23</v>
      </c>
      <c r="M61" t="s">
        <v>23</v>
      </c>
      <c r="N61" s="7" t="s">
        <v>23</v>
      </c>
      <c r="O61" s="7" t="s">
        <v>23</v>
      </c>
      <c r="P61" s="22" t="s">
        <v>18</v>
      </c>
      <c r="Q61" t="s">
        <v>23</v>
      </c>
      <c r="R61" t="s">
        <v>23</v>
      </c>
      <c r="S61" t="s">
        <v>23</v>
      </c>
      <c r="T61" t="s">
        <v>23</v>
      </c>
      <c r="U61" t="s">
        <v>23</v>
      </c>
      <c r="V61" s="7" t="s">
        <v>23</v>
      </c>
      <c r="W61" s="7" t="s">
        <v>23</v>
      </c>
      <c r="X61" s="24" t="s">
        <v>20</v>
      </c>
      <c r="Y61" s="24" t="s">
        <v>20</v>
      </c>
      <c r="Z61" s="24" t="s">
        <v>20</v>
      </c>
      <c r="AA61" s="24" t="s">
        <v>20</v>
      </c>
      <c r="AB61" s="24" t="s">
        <v>20</v>
      </c>
      <c r="AC61" s="24" t="s">
        <v>20</v>
      </c>
      <c r="AD61" s="7" t="s">
        <v>23</v>
      </c>
      <c r="AE61" s="7" t="s">
        <v>23</v>
      </c>
      <c r="AF61" s="36">
        <v>0</v>
      </c>
      <c r="AG61" s="36"/>
      <c r="AH61" s="36"/>
      <c r="AI61" s="36"/>
      <c r="AJ61" s="8" t="s">
        <v>31</v>
      </c>
    </row>
    <row r="62" spans="1:36">
      <c r="A62" s="1">
        <v>44514</v>
      </c>
      <c r="B62" s="55">
        <v>1600</v>
      </c>
      <c r="C62" s="55" cm="1">
        <f t="array" ref="C62">(SUM(VLOOKUP(H62:AE62,$AL$4:$AN$44,2,FALSE))+AF62*10)*IF(AJ62="是",$AW$4,$AW$3)</f>
        <v>1568</v>
      </c>
      <c r="D62" s="57">
        <f>SUM($B$4:B62)-SUM($C$4:C62)</f>
        <v>42</v>
      </c>
      <c r="E62" s="55" cm="1">
        <f t="array" ref="E62">SUM(VLOOKUP(H62:AE62,$AL$4:$AN$44,3,FALSE))</f>
        <v>585</v>
      </c>
      <c r="F62" s="55">
        <f>SUM($E$4:E62)+SUM($G$4:G62)</f>
        <v>38655</v>
      </c>
      <c r="G62" s="55">
        <v>0</v>
      </c>
      <c r="H62" s="24" t="s">
        <v>20</v>
      </c>
      <c r="I62" s="24" t="s">
        <v>20</v>
      </c>
      <c r="J62" s="28" t="s">
        <v>12</v>
      </c>
      <c r="K62" s="24" t="s">
        <v>20</v>
      </c>
      <c r="L62" t="s">
        <v>23</v>
      </c>
      <c r="M62" t="s">
        <v>23</v>
      </c>
      <c r="N62" s="7" t="s">
        <v>23</v>
      </c>
      <c r="O62" s="7" t="s">
        <v>23</v>
      </c>
      <c r="P62" s="22" t="s">
        <v>18</v>
      </c>
      <c r="Q62" t="s">
        <v>23</v>
      </c>
      <c r="R62" t="s">
        <v>23</v>
      </c>
      <c r="S62" t="s">
        <v>23</v>
      </c>
      <c r="T62" t="s">
        <v>23</v>
      </c>
      <c r="U62" t="s">
        <v>23</v>
      </c>
      <c r="V62" s="7" t="s">
        <v>23</v>
      </c>
      <c r="W62" s="7" t="s">
        <v>23</v>
      </c>
      <c r="X62" s="24" t="s">
        <v>20</v>
      </c>
      <c r="Y62" s="24" t="s">
        <v>20</v>
      </c>
      <c r="Z62" s="24" t="s">
        <v>20</v>
      </c>
      <c r="AA62" s="25" t="s">
        <v>21</v>
      </c>
      <c r="AB62" s="25" t="s">
        <v>21</v>
      </c>
      <c r="AC62" s="25" t="s">
        <v>21</v>
      </c>
      <c r="AD62" s="7" t="s">
        <v>23</v>
      </c>
      <c r="AE62" s="7" t="s">
        <v>23</v>
      </c>
      <c r="AF62" s="36">
        <v>0</v>
      </c>
      <c r="AG62" s="36"/>
      <c r="AH62" s="36"/>
      <c r="AI62" s="36"/>
      <c r="AJ62" s="8" t="s">
        <v>31</v>
      </c>
    </row>
    <row r="63" spans="1:36">
      <c r="A63" s="1">
        <v>44515</v>
      </c>
      <c r="B63" s="56">
        <v>1600</v>
      </c>
      <c r="C63" s="55" cm="1">
        <f t="array" ref="C63">(SUM(VLOOKUP(H63:AE63,$AL$4:$AN$44,2,FALSE))+AF63*10)*IF(AJ63="是",$AW$4,$AW$3)</f>
        <v>1568</v>
      </c>
      <c r="D63" s="18">
        <f>SUM($B$4:B63)-SUM($C$4:C63)</f>
        <v>74</v>
      </c>
      <c r="E63" s="55" cm="1">
        <f t="array" ref="E63">SUM(VLOOKUP(H63:AE63,$AL$4:$AN$44,3,FALSE))</f>
        <v>580</v>
      </c>
      <c r="F63" s="55">
        <f>SUM($E$4:E63)+SUM($G$4:G63)</f>
        <v>39535</v>
      </c>
      <c r="G63" s="56">
        <v>300</v>
      </c>
      <c r="H63" s="24" t="s">
        <v>20</v>
      </c>
      <c r="I63" s="24" t="s">
        <v>20</v>
      </c>
      <c r="J63" s="24" t="s">
        <v>20</v>
      </c>
      <c r="K63" s="24" t="s">
        <v>20</v>
      </c>
      <c r="L63" t="s">
        <v>23</v>
      </c>
      <c r="M63" t="s">
        <v>23</v>
      </c>
      <c r="N63" s="7" t="s">
        <v>23</v>
      </c>
      <c r="O63" s="7" t="s">
        <v>23</v>
      </c>
      <c r="P63" t="s">
        <v>23</v>
      </c>
      <c r="Q63" t="s">
        <v>23</v>
      </c>
      <c r="R63" t="s">
        <v>23</v>
      </c>
      <c r="S63" t="s">
        <v>23</v>
      </c>
      <c r="T63" t="s">
        <v>23</v>
      </c>
      <c r="U63" t="s">
        <v>23</v>
      </c>
      <c r="V63" s="7" t="s">
        <v>23</v>
      </c>
      <c r="W63" s="7" t="s">
        <v>23</v>
      </c>
      <c r="X63" s="25" t="s">
        <v>21</v>
      </c>
      <c r="Y63" s="25" t="s">
        <v>21</v>
      </c>
      <c r="Z63" s="25" t="s">
        <v>21</v>
      </c>
      <c r="AA63" s="25" t="s">
        <v>21</v>
      </c>
      <c r="AB63" s="25" t="s">
        <v>21</v>
      </c>
      <c r="AC63" s="25" t="s">
        <v>21</v>
      </c>
      <c r="AD63" s="7" t="s">
        <v>23</v>
      </c>
      <c r="AE63" s="7" t="s">
        <v>23</v>
      </c>
      <c r="AF63" s="36">
        <v>0</v>
      </c>
      <c r="AG63" s="36"/>
      <c r="AH63" s="36"/>
      <c r="AI63" s="36"/>
      <c r="AJ63" s="8" t="s">
        <v>31</v>
      </c>
    </row>
    <row r="64" spans="1:36">
      <c r="A64" s="1">
        <v>44516</v>
      </c>
      <c r="B64" s="56">
        <v>1600</v>
      </c>
      <c r="C64" s="55" cm="1">
        <f t="array" ref="C64">(SUM(VLOOKUP(H64:AE64,$AL$4:$AN$44,2,FALSE))+AF64*10)*IF(AJ64="是",$AW$4,$AW$3)</f>
        <v>1552</v>
      </c>
      <c r="D64" s="18">
        <f>SUM($B$4:B64)-SUM($C$4:C64)</f>
        <v>122</v>
      </c>
      <c r="E64" s="55" cm="1">
        <f t="array" ref="E64">SUM(VLOOKUP(H64:AE64,$AL$4:$AN$44,3,FALSE))</f>
        <v>570</v>
      </c>
      <c r="F64" s="55">
        <f>SUM($E$4:E64)+SUM($G$4:G64)</f>
        <v>40105</v>
      </c>
      <c r="G64" s="56">
        <v>0</v>
      </c>
      <c r="H64" s="24" t="s">
        <v>20</v>
      </c>
      <c r="I64" s="24" t="s">
        <v>20</v>
      </c>
      <c r="J64" s="24" t="s">
        <v>20</v>
      </c>
      <c r="K64" s="24" t="s">
        <v>20</v>
      </c>
      <c r="L64" t="s">
        <v>23</v>
      </c>
      <c r="M64" t="s">
        <v>23</v>
      </c>
      <c r="N64" s="7" t="s">
        <v>23</v>
      </c>
      <c r="O64" s="7" t="s">
        <v>23</v>
      </c>
      <c r="P64" t="s">
        <v>23</v>
      </c>
      <c r="Q64" t="s">
        <v>23</v>
      </c>
      <c r="R64" t="s">
        <v>23</v>
      </c>
      <c r="S64" t="s">
        <v>23</v>
      </c>
      <c r="T64" t="s">
        <v>23</v>
      </c>
      <c r="U64" t="s">
        <v>23</v>
      </c>
      <c r="V64" s="7" t="s">
        <v>23</v>
      </c>
      <c r="W64" s="7" t="s">
        <v>23</v>
      </c>
      <c r="X64" s="25" t="s">
        <v>21</v>
      </c>
      <c r="Y64" s="25" t="s">
        <v>21</v>
      </c>
      <c r="Z64" s="25" t="s">
        <v>21</v>
      </c>
      <c r="AA64" s="25" t="s">
        <v>21</v>
      </c>
      <c r="AB64" s="24" t="s">
        <v>20</v>
      </c>
      <c r="AC64" s="24" t="s">
        <v>20</v>
      </c>
      <c r="AD64" s="7" t="s">
        <v>23</v>
      </c>
      <c r="AE64" s="7" t="s">
        <v>23</v>
      </c>
      <c r="AF64" s="36">
        <v>0</v>
      </c>
      <c r="AG64" s="36"/>
      <c r="AH64" s="36"/>
      <c r="AI64" s="36"/>
      <c r="AJ64" s="8" t="s">
        <v>31</v>
      </c>
    </row>
    <row r="65" spans="1:36">
      <c r="A65" s="1">
        <v>44517</v>
      </c>
      <c r="B65" s="56">
        <v>1600</v>
      </c>
      <c r="C65" s="55" cm="1">
        <f t="array" ref="C65">(SUM(VLOOKUP(H65:AE65,$AL$4:$AN$44,2,FALSE))+AF65*10)*IF(AJ65="是",$AW$4,$AW$3)</f>
        <v>1656</v>
      </c>
      <c r="D65" s="18">
        <f>SUM($B$4:B65)-SUM($C$4:C65)</f>
        <v>66</v>
      </c>
      <c r="E65" s="55" cm="1">
        <f t="array" ref="E65">SUM(VLOOKUP(H65:AE65,$AL$4:$AN$44,3,FALSE))</f>
        <v>595</v>
      </c>
      <c r="F65" s="55">
        <f>SUM($E$4:E65)+SUM($G$4:G65)</f>
        <v>40900</v>
      </c>
      <c r="G65" s="56">
        <v>200</v>
      </c>
      <c r="H65" s="24" t="s">
        <v>20</v>
      </c>
      <c r="I65" s="24" t="s">
        <v>20</v>
      </c>
      <c r="J65" s="24" t="s">
        <v>20</v>
      </c>
      <c r="K65" s="24" t="s">
        <v>20</v>
      </c>
      <c r="L65" t="s">
        <v>23</v>
      </c>
      <c r="M65" t="s">
        <v>23</v>
      </c>
      <c r="N65" s="7" t="s">
        <v>23</v>
      </c>
      <c r="O65" s="7" t="s">
        <v>23</v>
      </c>
      <c r="P65" s="22" t="s">
        <v>18</v>
      </c>
      <c r="Q65" t="s">
        <v>23</v>
      </c>
      <c r="R65" t="s">
        <v>23</v>
      </c>
      <c r="S65" t="s">
        <v>23</v>
      </c>
      <c r="T65" t="s">
        <v>23</v>
      </c>
      <c r="U65" t="s">
        <v>23</v>
      </c>
      <c r="V65" s="7" t="s">
        <v>23</v>
      </c>
      <c r="W65" s="7" t="s">
        <v>23</v>
      </c>
      <c r="X65" s="24" t="s">
        <v>20</v>
      </c>
      <c r="Y65" s="24" t="s">
        <v>20</v>
      </c>
      <c r="Z65" s="24" t="s">
        <v>20</v>
      </c>
      <c r="AA65" s="24" t="s">
        <v>20</v>
      </c>
      <c r="AB65" s="24" t="s">
        <v>20</v>
      </c>
      <c r="AC65" s="24" t="s">
        <v>20</v>
      </c>
      <c r="AD65" s="7" t="s">
        <v>23</v>
      </c>
      <c r="AE65" s="7" t="s">
        <v>23</v>
      </c>
      <c r="AF65" s="36">
        <v>0</v>
      </c>
      <c r="AG65" s="36"/>
      <c r="AH65" s="36"/>
      <c r="AI65" s="36"/>
      <c r="AJ65" s="8" t="s">
        <v>31</v>
      </c>
    </row>
    <row r="66" spans="1:36">
      <c r="A66" s="1">
        <v>44518</v>
      </c>
      <c r="B66" s="56">
        <v>1600</v>
      </c>
      <c r="C66" s="55" cm="1">
        <f t="array" ref="C66">(SUM(VLOOKUP(H66:AE66,$AL$4:$AN$44,2,FALSE))+AF66*10)*IF(AJ66="是",$AW$4,$AW$3)</f>
        <v>1544</v>
      </c>
      <c r="D66" s="18">
        <f>SUM($B$4:B66)-SUM($C$4:C66)</f>
        <v>122</v>
      </c>
      <c r="E66" s="55" cm="1">
        <f t="array" ref="E66">SUM(VLOOKUP(H66:AE66,$AL$4:$AN$44,3,FALSE))</f>
        <v>570</v>
      </c>
      <c r="F66" s="55">
        <f>SUM($E$4:E66)+SUM($G$4:G66)</f>
        <v>41470</v>
      </c>
      <c r="G66" s="56">
        <v>0</v>
      </c>
      <c r="H66" s="24" t="s">
        <v>20</v>
      </c>
      <c r="I66" s="24" t="s">
        <v>20</v>
      </c>
      <c r="J66" s="24" t="s">
        <v>20</v>
      </c>
      <c r="K66" s="24" t="s">
        <v>20</v>
      </c>
      <c r="L66" t="s">
        <v>23</v>
      </c>
      <c r="M66" t="s">
        <v>23</v>
      </c>
      <c r="N66" s="7" t="s">
        <v>23</v>
      </c>
      <c r="O66" s="7" t="s">
        <v>23</v>
      </c>
      <c r="P66" s="22" t="s">
        <v>18</v>
      </c>
      <c r="Q66" t="s">
        <v>23</v>
      </c>
      <c r="R66" t="s">
        <v>23</v>
      </c>
      <c r="S66" t="s">
        <v>23</v>
      </c>
      <c r="T66" t="s">
        <v>23</v>
      </c>
      <c r="U66" t="s">
        <v>23</v>
      </c>
      <c r="V66" s="7" t="s">
        <v>23</v>
      </c>
      <c r="W66" s="7" t="s">
        <v>23</v>
      </c>
      <c r="X66" s="28" t="s">
        <v>12</v>
      </c>
      <c r="Y66" s="24" t="s">
        <v>20</v>
      </c>
      <c r="Z66" s="24" t="s">
        <v>20</v>
      </c>
      <c r="AA66" s="24" t="s">
        <v>20</v>
      </c>
      <c r="AB66" s="24" t="s">
        <v>20</v>
      </c>
      <c r="AC66" s="24" t="s">
        <v>20</v>
      </c>
      <c r="AD66" s="7" t="s">
        <v>23</v>
      </c>
      <c r="AE66" s="7" t="s">
        <v>23</v>
      </c>
      <c r="AF66" s="36">
        <v>0</v>
      </c>
      <c r="AG66" s="36"/>
      <c r="AH66" s="36"/>
      <c r="AI66" s="36"/>
      <c r="AJ66" s="8" t="s">
        <v>31</v>
      </c>
    </row>
    <row r="67" spans="1:36">
      <c r="A67" s="1">
        <v>44519</v>
      </c>
      <c r="B67" s="56">
        <v>1600</v>
      </c>
      <c r="C67" s="55" cm="1">
        <f t="array" ref="C67">(SUM(VLOOKUP(H67:AE67,$AL$4:$AN$44,2,FALSE))+AF67*10)*IF(AJ67="是",$AW$4,$AW$3)</f>
        <v>1696</v>
      </c>
      <c r="D67" s="18">
        <f>SUM($B$4:B67)-SUM($C$4:C67)</f>
        <v>26</v>
      </c>
      <c r="E67" s="55" cm="1">
        <f t="array" ref="E67">SUM(VLOOKUP(H67:AE67,$AL$4:$AN$44,3,FALSE))</f>
        <v>625</v>
      </c>
      <c r="F67" s="55">
        <f>SUM($E$4:E67)+SUM($G$4:G67)</f>
        <v>42095</v>
      </c>
      <c r="G67" s="56">
        <v>0</v>
      </c>
      <c r="H67" s="24" t="s">
        <v>20</v>
      </c>
      <c r="I67" s="24" t="s">
        <v>20</v>
      </c>
      <c r="J67" s="24" t="s">
        <v>20</v>
      </c>
      <c r="K67" s="24" t="s">
        <v>20</v>
      </c>
      <c r="L67" t="s">
        <v>23</v>
      </c>
      <c r="M67" t="s">
        <v>23</v>
      </c>
      <c r="N67" s="7" t="s">
        <v>23</v>
      </c>
      <c r="O67" s="7" t="s">
        <v>23</v>
      </c>
      <c r="P67" s="22" t="s">
        <v>18</v>
      </c>
      <c r="Q67" s="28" t="s">
        <v>12</v>
      </c>
      <c r="R67" t="s">
        <v>23</v>
      </c>
      <c r="S67" t="s">
        <v>23</v>
      </c>
      <c r="T67" t="s">
        <v>23</v>
      </c>
      <c r="U67" t="s">
        <v>23</v>
      </c>
      <c r="V67" s="7" t="s">
        <v>23</v>
      </c>
      <c r="W67" s="7" t="s">
        <v>23</v>
      </c>
      <c r="X67" s="24" t="s">
        <v>20</v>
      </c>
      <c r="Y67" s="24" t="s">
        <v>20</v>
      </c>
      <c r="Z67" s="24" t="s">
        <v>20</v>
      </c>
      <c r="AA67" s="24" t="s">
        <v>20</v>
      </c>
      <c r="AB67" s="24" t="s">
        <v>20</v>
      </c>
      <c r="AC67" s="24" t="s">
        <v>20</v>
      </c>
      <c r="AD67" s="7" t="s">
        <v>23</v>
      </c>
      <c r="AE67" s="7" t="s">
        <v>23</v>
      </c>
      <c r="AF67" s="36">
        <v>0</v>
      </c>
      <c r="AG67" s="36"/>
      <c r="AH67" s="36"/>
      <c r="AI67" s="36"/>
      <c r="AJ67" s="8" t="s">
        <v>31</v>
      </c>
    </row>
    <row r="68" spans="1:36">
      <c r="A68" s="1">
        <v>44520</v>
      </c>
      <c r="B68" s="56">
        <v>1600</v>
      </c>
      <c r="C68" s="55" cm="1">
        <f t="array" ref="C68">(SUM(VLOOKUP(H68:AE68,$AL$4:$AN$44,2,FALSE))+AF68*10)*IF(AJ68="是",$AW$4,$AW$3)</f>
        <v>1520</v>
      </c>
      <c r="D68" s="18">
        <f>SUM($B$4:B68)-SUM($C$4:C68)</f>
        <v>106</v>
      </c>
      <c r="E68" s="55" cm="1">
        <f t="array" ref="E68">SUM(VLOOKUP(H68:AE68,$AL$4:$AN$44,3,FALSE))</f>
        <v>550</v>
      </c>
      <c r="F68" s="55">
        <f>SUM($E$4:E68)+SUM($G$4:G68)</f>
        <v>42645</v>
      </c>
      <c r="G68" s="56">
        <v>0</v>
      </c>
      <c r="H68" s="24" t="s">
        <v>20</v>
      </c>
      <c r="I68" s="24" t="s">
        <v>20</v>
      </c>
      <c r="J68" s="24" t="s">
        <v>20</v>
      </c>
      <c r="K68" s="24" t="s">
        <v>20</v>
      </c>
      <c r="L68" t="s">
        <v>23</v>
      </c>
      <c r="M68" t="s">
        <v>23</v>
      </c>
      <c r="N68" s="7" t="s">
        <v>23</v>
      </c>
      <c r="O68" s="7" t="s">
        <v>23</v>
      </c>
      <c r="P68" t="s">
        <v>23</v>
      </c>
      <c r="Q68" t="s">
        <v>23</v>
      </c>
      <c r="R68" t="s">
        <v>23</v>
      </c>
      <c r="S68" t="s">
        <v>23</v>
      </c>
      <c r="T68" t="s">
        <v>23</v>
      </c>
      <c r="U68" t="s">
        <v>23</v>
      </c>
      <c r="V68" s="7" t="s">
        <v>23</v>
      </c>
      <c r="W68" s="7" t="s">
        <v>23</v>
      </c>
      <c r="X68" s="24" t="s">
        <v>20</v>
      </c>
      <c r="Y68" s="24" t="s">
        <v>20</v>
      </c>
      <c r="Z68" s="24" t="s">
        <v>20</v>
      </c>
      <c r="AA68" s="24" t="s">
        <v>20</v>
      </c>
      <c r="AB68" s="24" t="s">
        <v>20</v>
      </c>
      <c r="AC68" s="24" t="s">
        <v>20</v>
      </c>
      <c r="AD68" s="7" t="s">
        <v>23</v>
      </c>
      <c r="AE68" s="7" t="s">
        <v>23</v>
      </c>
      <c r="AF68" s="36">
        <v>0</v>
      </c>
      <c r="AG68" s="36"/>
      <c r="AH68" s="36"/>
      <c r="AI68" s="36"/>
      <c r="AJ68" s="8" t="s">
        <v>31</v>
      </c>
    </row>
    <row r="69" spans="1:36">
      <c r="A69" s="1">
        <v>44521</v>
      </c>
      <c r="B69" s="56">
        <v>1600</v>
      </c>
      <c r="C69" s="55" cm="1">
        <f t="array" ref="C69">(SUM(VLOOKUP(H69:AE69,$AL$4:$AN$44,2,FALSE))+AF69*10)*IF(AJ69="是",$AW$4,$AW$3)</f>
        <v>1672</v>
      </c>
      <c r="D69" s="18">
        <f>SUM($B$4:B69)-SUM($C$4:C69)</f>
        <v>34</v>
      </c>
      <c r="E69" s="55" cm="1">
        <f t="array" ref="E69">SUM(VLOOKUP(H69:AE69,$AL$4:$AN$44,3,FALSE))</f>
        <v>670</v>
      </c>
      <c r="F69" s="55">
        <f>SUM($E$4:E69)+SUM($G$4:G69)</f>
        <v>43315</v>
      </c>
      <c r="G69" s="56">
        <v>0</v>
      </c>
      <c r="H69" s="29" t="s">
        <v>47</v>
      </c>
      <c r="I69" s="24" t="s">
        <v>20</v>
      </c>
      <c r="J69" s="24" t="s">
        <v>20</v>
      </c>
      <c r="K69" s="24" t="s">
        <v>20</v>
      </c>
      <c r="L69" t="s">
        <v>23</v>
      </c>
      <c r="M69" t="s">
        <v>23</v>
      </c>
      <c r="N69" s="7" t="s">
        <v>23</v>
      </c>
      <c r="O69" s="7" t="s">
        <v>23</v>
      </c>
      <c r="P69" s="23" t="s">
        <v>19</v>
      </c>
      <c r="Q69" s="23" t="s">
        <v>19</v>
      </c>
      <c r="R69" s="23" t="s">
        <v>19</v>
      </c>
      <c r="S69" s="23" t="s">
        <v>19</v>
      </c>
      <c r="T69" t="s">
        <v>23</v>
      </c>
      <c r="U69" t="s">
        <v>23</v>
      </c>
      <c r="V69" s="7" t="s">
        <v>23</v>
      </c>
      <c r="W69" s="7" t="s">
        <v>23</v>
      </c>
      <c r="X69" s="24" t="s">
        <v>20</v>
      </c>
      <c r="Y69" s="24" t="s">
        <v>20</v>
      </c>
      <c r="Z69" s="24" t="s">
        <v>20</v>
      </c>
      <c r="AA69" s="24" t="s">
        <v>20</v>
      </c>
      <c r="AB69" s="28" t="s">
        <v>12</v>
      </c>
      <c r="AC69" s="24" t="s">
        <v>20</v>
      </c>
      <c r="AD69" s="7" t="s">
        <v>23</v>
      </c>
      <c r="AE69" s="7" t="s">
        <v>23</v>
      </c>
      <c r="AF69" s="36">
        <v>0</v>
      </c>
      <c r="AG69" s="36"/>
      <c r="AH69" s="36"/>
      <c r="AI69" s="36"/>
      <c r="AJ69" s="8" t="s">
        <v>31</v>
      </c>
    </row>
    <row r="70" spans="1:36">
      <c r="A70" s="1">
        <v>44522</v>
      </c>
      <c r="B70" s="55">
        <v>1600</v>
      </c>
      <c r="C70" s="55" cm="1">
        <f t="array" ref="C70">(SUM(VLOOKUP(H70:AE70,$AL$4:$AN$44,2,FALSE))+AF70*10)*IF(AJ70="是",$AW$4,$AW$3)</f>
        <v>1520</v>
      </c>
      <c r="D70" s="57">
        <f>SUM($B$4:B70)-SUM($C$4:C70)</f>
        <v>114</v>
      </c>
      <c r="E70" s="55" cm="1">
        <f t="array" ref="E70">SUM(VLOOKUP(H70:AE70,$AL$4:$AN$44,3,FALSE))</f>
        <v>550</v>
      </c>
      <c r="F70" s="55">
        <f>SUM($E$4:E70)+SUM($G$4:G70)</f>
        <v>44165</v>
      </c>
      <c r="G70" s="55">
        <v>300</v>
      </c>
      <c r="H70" s="24" t="s">
        <v>20</v>
      </c>
      <c r="I70" s="24" t="s">
        <v>20</v>
      </c>
      <c r="J70" s="24" t="s">
        <v>20</v>
      </c>
      <c r="K70" s="24" t="s">
        <v>20</v>
      </c>
      <c r="L70" t="s">
        <v>23</v>
      </c>
      <c r="M70" t="s">
        <v>23</v>
      </c>
      <c r="N70" s="7" t="s">
        <v>23</v>
      </c>
      <c r="O70" s="7" t="s">
        <v>23</v>
      </c>
      <c r="P70" t="s">
        <v>23</v>
      </c>
      <c r="Q70" t="s">
        <v>23</v>
      </c>
      <c r="R70" t="s">
        <v>23</v>
      </c>
      <c r="S70" t="s">
        <v>23</v>
      </c>
      <c r="T70" t="s">
        <v>23</v>
      </c>
      <c r="U70" t="s">
        <v>23</v>
      </c>
      <c r="V70" s="7" t="s">
        <v>23</v>
      </c>
      <c r="W70" s="7" t="s">
        <v>23</v>
      </c>
      <c r="X70" s="24" t="s">
        <v>20</v>
      </c>
      <c r="Y70" s="24" t="s">
        <v>20</v>
      </c>
      <c r="Z70" s="24" t="s">
        <v>20</v>
      </c>
      <c r="AA70" s="24" t="s">
        <v>20</v>
      </c>
      <c r="AB70" s="24" t="s">
        <v>20</v>
      </c>
      <c r="AC70" s="24" t="s">
        <v>20</v>
      </c>
      <c r="AD70" s="7" t="s">
        <v>23</v>
      </c>
      <c r="AE70" s="7" t="s">
        <v>23</v>
      </c>
      <c r="AF70" s="36">
        <v>0</v>
      </c>
      <c r="AG70" s="36"/>
      <c r="AH70" s="36"/>
      <c r="AI70" s="36"/>
      <c r="AJ70" s="8" t="s">
        <v>31</v>
      </c>
    </row>
    <row r="71" spans="1:36">
      <c r="A71" s="1">
        <v>44523</v>
      </c>
      <c r="B71" s="55">
        <v>1600</v>
      </c>
      <c r="C71" s="55" cm="1">
        <f t="array" ref="C71">(SUM(VLOOKUP(H71:AE71,$AL$4:$AN$44,2,FALSE))+AF71*10)*IF(AJ71="是",$AW$4,$AW$3)</f>
        <v>1664</v>
      </c>
      <c r="D71" s="57">
        <f>SUM($B$4:B71)-SUM($C$4:C71)</f>
        <v>50</v>
      </c>
      <c r="E71" s="55" cm="1">
        <f t="array" ref="E71">SUM(VLOOKUP(H71:AE71,$AL$4:$AN$44,3,FALSE))</f>
        <v>600</v>
      </c>
      <c r="F71" s="55">
        <f>SUM($E$4:E71)+SUM($G$4:G71)</f>
        <v>44765</v>
      </c>
      <c r="G71" s="55">
        <v>0</v>
      </c>
      <c r="H71" s="24" t="s">
        <v>20</v>
      </c>
      <c r="I71" s="24" t="s">
        <v>20</v>
      </c>
      <c r="J71" s="24" t="s">
        <v>20</v>
      </c>
      <c r="K71" s="24" t="s">
        <v>20</v>
      </c>
      <c r="L71" t="s">
        <v>23</v>
      </c>
      <c r="M71" t="s">
        <v>23</v>
      </c>
      <c r="N71" s="7" t="s">
        <v>23</v>
      </c>
      <c r="O71" s="7" t="s">
        <v>23</v>
      </c>
      <c r="P71" s="23" t="s">
        <v>19</v>
      </c>
      <c r="Q71" t="s">
        <v>23</v>
      </c>
      <c r="R71" t="s">
        <v>23</v>
      </c>
      <c r="S71" t="s">
        <v>23</v>
      </c>
      <c r="T71" t="s">
        <v>23</v>
      </c>
      <c r="U71" t="s">
        <v>23</v>
      </c>
      <c r="V71" s="7" t="s">
        <v>23</v>
      </c>
      <c r="W71" s="7" t="s">
        <v>23</v>
      </c>
      <c r="X71" s="24" t="s">
        <v>20</v>
      </c>
      <c r="Y71" s="24" t="s">
        <v>20</v>
      </c>
      <c r="Z71" s="24" t="s">
        <v>20</v>
      </c>
      <c r="AA71" s="24" t="s">
        <v>20</v>
      </c>
      <c r="AB71" s="24" t="s">
        <v>20</v>
      </c>
      <c r="AC71" s="24" t="s">
        <v>20</v>
      </c>
      <c r="AD71" s="7" t="s">
        <v>23</v>
      </c>
      <c r="AE71" s="7" t="s">
        <v>23</v>
      </c>
      <c r="AF71" s="36">
        <v>0</v>
      </c>
      <c r="AG71" s="36"/>
      <c r="AH71" s="36"/>
      <c r="AI71" s="36"/>
      <c r="AJ71" s="8" t="s">
        <v>31</v>
      </c>
    </row>
    <row r="72" spans="1:36">
      <c r="A72" s="1">
        <v>44524</v>
      </c>
      <c r="B72" s="55">
        <v>1600</v>
      </c>
      <c r="C72" s="55" cm="1">
        <f t="array" ref="C72">(SUM(VLOOKUP(H72:AE72,$AL$4:$AN$44,2,FALSE))+AF72*10)*IF(AJ72="是",$AW$4,$AW$3)</f>
        <v>1520</v>
      </c>
      <c r="D72" s="57">
        <f>SUM($B$4:B72)-SUM($C$4:C72)</f>
        <v>130</v>
      </c>
      <c r="E72" s="55" cm="1">
        <f t="array" ref="E72">SUM(VLOOKUP(H72:AE72,$AL$4:$AN$44,3,FALSE))</f>
        <v>550</v>
      </c>
      <c r="F72" s="55">
        <f>SUM($E$4:E72)+SUM($G$4:G72)</f>
        <v>45515</v>
      </c>
      <c r="G72" s="55">
        <v>200</v>
      </c>
      <c r="H72" s="24" t="s">
        <v>20</v>
      </c>
      <c r="I72" s="24" t="s">
        <v>20</v>
      </c>
      <c r="J72" s="24" t="s">
        <v>20</v>
      </c>
      <c r="K72" s="24" t="s">
        <v>20</v>
      </c>
      <c r="L72" t="s">
        <v>23</v>
      </c>
      <c r="M72" t="s">
        <v>23</v>
      </c>
      <c r="N72" s="7" t="s">
        <v>23</v>
      </c>
      <c r="O72" s="7" t="s">
        <v>23</v>
      </c>
      <c r="P72" t="s">
        <v>23</v>
      </c>
      <c r="Q72" t="s">
        <v>23</v>
      </c>
      <c r="R72" t="s">
        <v>23</v>
      </c>
      <c r="S72" t="s">
        <v>23</v>
      </c>
      <c r="T72" t="s">
        <v>23</v>
      </c>
      <c r="U72" t="s">
        <v>23</v>
      </c>
      <c r="V72" s="7" t="s">
        <v>23</v>
      </c>
      <c r="W72" s="7" t="s">
        <v>23</v>
      </c>
      <c r="X72" s="24" t="s">
        <v>20</v>
      </c>
      <c r="Y72" s="24" t="s">
        <v>20</v>
      </c>
      <c r="Z72" s="24" t="s">
        <v>20</v>
      </c>
      <c r="AA72" s="24" t="s">
        <v>20</v>
      </c>
      <c r="AB72" s="24" t="s">
        <v>20</v>
      </c>
      <c r="AC72" s="24" t="s">
        <v>20</v>
      </c>
      <c r="AD72" s="7" t="s">
        <v>23</v>
      </c>
      <c r="AE72" s="7" t="s">
        <v>23</v>
      </c>
      <c r="AF72" s="36">
        <v>0</v>
      </c>
      <c r="AG72" s="36"/>
      <c r="AH72" s="36"/>
      <c r="AI72" s="36"/>
      <c r="AJ72" s="8" t="s">
        <v>31</v>
      </c>
    </row>
    <row r="73" spans="1:36">
      <c r="A73" s="1">
        <v>44525</v>
      </c>
      <c r="B73" s="55">
        <v>1600</v>
      </c>
      <c r="C73" s="55" cm="1">
        <f t="array" ref="C73">(SUM(VLOOKUP(H73:AE73,$AL$4:$AN$44,2,FALSE))+AF73*10)*IF(AJ73="是",$AW$4,$AW$3)</f>
        <v>1656</v>
      </c>
      <c r="D73" s="57">
        <f>SUM($B$4:B73)-SUM($C$4:C73)</f>
        <v>74</v>
      </c>
      <c r="E73" s="55" cm="1">
        <f t="array" ref="E73">SUM(VLOOKUP(H73:AE73,$AL$4:$AN$44,3,FALSE))</f>
        <v>655</v>
      </c>
      <c r="F73" s="55">
        <f>SUM($E$4:E73)+SUM($G$4:G73)</f>
        <v>46170</v>
      </c>
      <c r="G73" s="55">
        <v>0</v>
      </c>
      <c r="H73" s="24" t="s">
        <v>20</v>
      </c>
      <c r="I73" s="24" t="s">
        <v>20</v>
      </c>
      <c r="J73" s="24" t="s">
        <v>20</v>
      </c>
      <c r="K73" s="24" t="s">
        <v>20</v>
      </c>
      <c r="L73" t="s">
        <v>23</v>
      </c>
      <c r="M73" t="s">
        <v>23</v>
      </c>
      <c r="N73" s="7" t="s">
        <v>23</v>
      </c>
      <c r="O73" s="7" t="s">
        <v>23</v>
      </c>
      <c r="P73" s="23" t="s">
        <v>19</v>
      </c>
      <c r="Q73" t="s">
        <v>23</v>
      </c>
      <c r="R73" t="s">
        <v>23</v>
      </c>
      <c r="S73" t="s">
        <v>23</v>
      </c>
      <c r="T73" t="s">
        <v>23</v>
      </c>
      <c r="U73" t="s">
        <v>23</v>
      </c>
      <c r="V73" s="7" t="s">
        <v>23</v>
      </c>
      <c r="W73" s="7" t="s">
        <v>23</v>
      </c>
      <c r="X73" s="24" t="s">
        <v>20</v>
      </c>
      <c r="Y73" s="29" t="s">
        <v>47</v>
      </c>
      <c r="Z73" s="24" t="s">
        <v>20</v>
      </c>
      <c r="AA73" s="24" t="s">
        <v>20</v>
      </c>
      <c r="AB73" s="24" t="s">
        <v>20</v>
      </c>
      <c r="AC73" s="24" t="s">
        <v>20</v>
      </c>
      <c r="AD73" s="24" t="s">
        <v>20</v>
      </c>
      <c r="AE73" s="24" t="s">
        <v>20</v>
      </c>
      <c r="AF73" s="36">
        <v>0</v>
      </c>
      <c r="AG73" s="36"/>
      <c r="AH73" s="36"/>
      <c r="AI73" s="36"/>
      <c r="AJ73" s="8" t="s">
        <v>31</v>
      </c>
    </row>
    <row r="74" spans="1:36">
      <c r="A74" s="1">
        <v>44526</v>
      </c>
      <c r="B74" s="55">
        <v>1600</v>
      </c>
      <c r="C74" s="55" cm="1">
        <f t="array" ref="C74">(SUM(VLOOKUP(H74:AE74,$AL$4:$AN$44,2,FALSE))+AF74*10)*IF(AJ74="是",$AW$4,$AW$3)</f>
        <v>1552</v>
      </c>
      <c r="D74" s="57">
        <f>SUM($B$4:B74)-SUM($C$4:C74)</f>
        <v>122</v>
      </c>
      <c r="E74" s="55" cm="1">
        <f t="array" ref="E74">SUM(VLOOKUP(H74:AE74,$AL$4:$AN$44,3,FALSE))</f>
        <v>985</v>
      </c>
      <c r="F74" s="55">
        <f>SUM($E$4:E74)+SUM($G$4:G74)</f>
        <v>47155</v>
      </c>
      <c r="G74" s="55">
        <v>0</v>
      </c>
      <c r="H74" s="24" t="s">
        <v>20</v>
      </c>
      <c r="I74" s="24" t="s">
        <v>20</v>
      </c>
      <c r="J74" s="24" t="s">
        <v>20</v>
      </c>
      <c r="K74" s="24" t="s">
        <v>20</v>
      </c>
      <c r="L74" t="s">
        <v>23</v>
      </c>
      <c r="M74" t="s">
        <v>23</v>
      </c>
      <c r="N74" s="7" t="s">
        <v>23</v>
      </c>
      <c r="O74" s="7" t="s">
        <v>23</v>
      </c>
      <c r="P74" s="23" t="s">
        <v>19</v>
      </c>
      <c r="Q74" t="s">
        <v>23</v>
      </c>
      <c r="R74" t="s">
        <v>23</v>
      </c>
      <c r="S74" t="s">
        <v>23</v>
      </c>
      <c r="T74" t="s">
        <v>23</v>
      </c>
      <c r="U74" t="s">
        <v>23</v>
      </c>
      <c r="V74" s="7" t="s">
        <v>23</v>
      </c>
      <c r="W74" s="7" t="s">
        <v>23</v>
      </c>
      <c r="X74" s="34" t="s">
        <v>41</v>
      </c>
      <c r="Y74" s="24" t="s">
        <v>20</v>
      </c>
      <c r="Z74" s="24" t="s">
        <v>20</v>
      </c>
      <c r="AA74" s="24" t="s">
        <v>20</v>
      </c>
      <c r="AB74" s="23" t="s">
        <v>19</v>
      </c>
      <c r="AC74" t="s">
        <v>23</v>
      </c>
      <c r="AD74" s="7" t="s">
        <v>23</v>
      </c>
      <c r="AE74" s="7" t="s">
        <v>23</v>
      </c>
      <c r="AF74" s="36">
        <v>0</v>
      </c>
      <c r="AG74" s="36"/>
      <c r="AH74" s="36"/>
      <c r="AI74" s="36"/>
      <c r="AJ74" s="8" t="s">
        <v>31</v>
      </c>
    </row>
    <row r="75" spans="1:36">
      <c r="A75" s="1">
        <v>44527</v>
      </c>
      <c r="B75" s="55">
        <v>1600</v>
      </c>
      <c r="C75" s="55" cm="1">
        <f t="array" ref="C75">(SUM(VLOOKUP(H75:AE75,$AL$4:$AN$44,2,FALSE))+AF75*10)*IF(AJ75="是",$AW$4,$AW$3)</f>
        <v>1664</v>
      </c>
      <c r="D75" s="57">
        <f>SUM($B$4:B75)-SUM($C$4:C75)</f>
        <v>58</v>
      </c>
      <c r="E75" s="55" cm="1">
        <f t="array" ref="E75">SUM(VLOOKUP(H75:AE75,$AL$4:$AN$44,3,FALSE))</f>
        <v>665</v>
      </c>
      <c r="F75" s="55">
        <f>SUM($E$4:E75)+SUM($G$4:G75)</f>
        <v>47820</v>
      </c>
      <c r="G75" s="55">
        <v>0</v>
      </c>
      <c r="H75" s="28" t="s">
        <v>12</v>
      </c>
      <c r="I75" s="24" t="s">
        <v>20</v>
      </c>
      <c r="J75" s="24" t="s">
        <v>20</v>
      </c>
      <c r="K75" s="24" t="s">
        <v>20</v>
      </c>
      <c r="L75" t="s">
        <v>23</v>
      </c>
      <c r="M75" t="s">
        <v>23</v>
      </c>
      <c r="N75" s="7" t="s">
        <v>23</v>
      </c>
      <c r="O75" s="7" t="s">
        <v>23</v>
      </c>
      <c r="P75" s="23" t="s">
        <v>19</v>
      </c>
      <c r="Q75" s="23" t="s">
        <v>19</v>
      </c>
      <c r="R75" s="29" t="s">
        <v>47</v>
      </c>
      <c r="S75" s="23" t="s">
        <v>19</v>
      </c>
      <c r="T75" s="23" t="s">
        <v>19</v>
      </c>
      <c r="U75" t="s">
        <v>23</v>
      </c>
      <c r="V75" s="7" t="s">
        <v>23</v>
      </c>
      <c r="W75" s="7" t="s">
        <v>23</v>
      </c>
      <c r="X75" s="24" t="s">
        <v>20</v>
      </c>
      <c r="Y75" s="24" t="s">
        <v>20</v>
      </c>
      <c r="Z75" s="24" t="s">
        <v>20</v>
      </c>
      <c r="AA75" s="24" t="s">
        <v>20</v>
      </c>
      <c r="AB75" s="23" t="s">
        <v>19</v>
      </c>
      <c r="AC75" t="s">
        <v>23</v>
      </c>
      <c r="AD75" s="7" t="s">
        <v>23</v>
      </c>
      <c r="AE75" s="7" t="s">
        <v>23</v>
      </c>
      <c r="AF75" s="36">
        <v>0</v>
      </c>
      <c r="AG75" s="36"/>
      <c r="AH75" s="36"/>
      <c r="AI75" s="36"/>
      <c r="AJ75" s="8" t="s">
        <v>31</v>
      </c>
    </row>
    <row r="76" spans="1:36">
      <c r="A76" s="1">
        <v>44528</v>
      </c>
      <c r="B76" s="55">
        <v>1600</v>
      </c>
      <c r="C76" s="55" cm="1">
        <f t="array" ref="C76">(SUM(VLOOKUP(H76:AE76,$AL$4:$AN$44,2,FALSE))+AF76*10)*IF(AJ76="是",$AW$4,$AW$3)</f>
        <v>1616</v>
      </c>
      <c r="D76" s="57">
        <f>SUM($B$4:B76)-SUM($C$4:C76)</f>
        <v>42</v>
      </c>
      <c r="E76" s="55" cm="1">
        <f t="array" ref="E76">SUM(VLOOKUP(H76:AE76,$AL$4:$AN$44,3,FALSE))</f>
        <v>570</v>
      </c>
      <c r="F76" s="55">
        <f>SUM($E$4:E76)+SUM($G$4:G76)</f>
        <v>48390</v>
      </c>
      <c r="G76" s="55">
        <v>0</v>
      </c>
      <c r="H76" s="24" t="s">
        <v>20</v>
      </c>
      <c r="I76" s="24" t="s">
        <v>20</v>
      </c>
      <c r="J76" s="24" t="s">
        <v>20</v>
      </c>
      <c r="K76" s="24" t="s">
        <v>20</v>
      </c>
      <c r="L76" t="s">
        <v>23</v>
      </c>
      <c r="M76" t="s">
        <v>23</v>
      </c>
      <c r="N76" s="7" t="s">
        <v>23</v>
      </c>
      <c r="O76" s="7" t="s">
        <v>23</v>
      </c>
      <c r="P76" s="23" t="s">
        <v>19</v>
      </c>
      <c r="Q76" s="23" t="s">
        <v>19</v>
      </c>
      <c r="R76" t="s">
        <v>23</v>
      </c>
      <c r="S76" t="s">
        <v>23</v>
      </c>
      <c r="T76" t="s">
        <v>23</v>
      </c>
      <c r="U76" t="s">
        <v>23</v>
      </c>
      <c r="V76" s="7" t="s">
        <v>23</v>
      </c>
      <c r="W76" s="7" t="s">
        <v>23</v>
      </c>
      <c r="X76" s="23" t="s">
        <v>19</v>
      </c>
      <c r="Y76" s="23" t="s">
        <v>19</v>
      </c>
      <c r="Z76" s="23" t="s">
        <v>19</v>
      </c>
      <c r="AA76" s="23" t="s">
        <v>19</v>
      </c>
      <c r="AB76" s="23" t="s">
        <v>19</v>
      </c>
      <c r="AC76" t="s">
        <v>23</v>
      </c>
      <c r="AD76" s="7" t="s">
        <v>23</v>
      </c>
      <c r="AE76" s="7" t="s">
        <v>23</v>
      </c>
      <c r="AF76" s="36">
        <v>0</v>
      </c>
      <c r="AG76" s="36"/>
      <c r="AH76" s="36"/>
      <c r="AI76" s="36"/>
      <c r="AJ76" s="8" t="s">
        <v>31</v>
      </c>
    </row>
    <row r="77" spans="1:36">
      <c r="A77" s="1">
        <v>44529</v>
      </c>
      <c r="B77" s="56">
        <v>1600</v>
      </c>
      <c r="C77" s="55" cm="1">
        <f t="array" ref="C77">(SUM(VLOOKUP(H77:AE77,$AL$4:$AN$44,2,FALSE))+AF77*10)*IF(AJ77="是",$AW$4,$AW$3)</f>
        <v>1616</v>
      </c>
      <c r="D77" s="18">
        <f>SUM($B$4:B77)-SUM($C$4:C77)</f>
        <v>26</v>
      </c>
      <c r="E77" s="55" cm="1">
        <f t="array" ref="E77">SUM(VLOOKUP(H77:AE77,$AL$4:$AN$44,3,FALSE))</f>
        <v>570</v>
      </c>
      <c r="F77" s="55">
        <f>SUM($E$4:E77)+SUM($G$4:G77)</f>
        <v>49160</v>
      </c>
      <c r="G77" s="56">
        <v>200</v>
      </c>
      <c r="H77" s="24" t="s">
        <v>20</v>
      </c>
      <c r="I77" s="24" t="s">
        <v>20</v>
      </c>
      <c r="J77" s="24" t="s">
        <v>20</v>
      </c>
      <c r="K77" s="24" t="s">
        <v>20</v>
      </c>
      <c r="L77" t="s">
        <v>23</v>
      </c>
      <c r="M77" t="s">
        <v>23</v>
      </c>
      <c r="N77" s="7" t="s">
        <v>23</v>
      </c>
      <c r="O77" s="7" t="s">
        <v>23</v>
      </c>
      <c r="P77" s="23" t="s">
        <v>19</v>
      </c>
      <c r="Q77" s="23" t="s">
        <v>19</v>
      </c>
      <c r="R77" t="s">
        <v>23</v>
      </c>
      <c r="S77" t="s">
        <v>23</v>
      </c>
      <c r="T77" t="s">
        <v>23</v>
      </c>
      <c r="U77" t="s">
        <v>23</v>
      </c>
      <c r="V77" s="7" t="s">
        <v>23</v>
      </c>
      <c r="W77" s="7" t="s">
        <v>23</v>
      </c>
      <c r="X77" s="23" t="s">
        <v>19</v>
      </c>
      <c r="Y77" s="23" t="s">
        <v>19</v>
      </c>
      <c r="Z77" s="23" t="s">
        <v>19</v>
      </c>
      <c r="AA77" s="23" t="s">
        <v>19</v>
      </c>
      <c r="AB77" s="23" t="s">
        <v>19</v>
      </c>
      <c r="AC77" t="s">
        <v>23</v>
      </c>
      <c r="AD77" s="7" t="s">
        <v>23</v>
      </c>
      <c r="AE77" s="7" t="s">
        <v>23</v>
      </c>
      <c r="AF77" s="36">
        <v>0</v>
      </c>
      <c r="AG77" s="36"/>
      <c r="AH77" s="36"/>
      <c r="AI77" s="36"/>
      <c r="AJ77" s="8" t="s">
        <v>31</v>
      </c>
    </row>
    <row r="78" spans="1:36">
      <c r="A78" s="1">
        <v>44530</v>
      </c>
      <c r="B78" s="56">
        <v>1600</v>
      </c>
      <c r="C78" s="55" cm="1">
        <f t="array" ref="C78">(SUM(VLOOKUP(H78:AE78,$AL$4:$AN$44,2,FALSE))+AF78*10)*IF(AJ78="是",$AW$4,$AW$3)</f>
        <v>1552</v>
      </c>
      <c r="D78" s="18">
        <f>SUM($B$4:B78)-SUM($C$4:C78)</f>
        <v>74</v>
      </c>
      <c r="E78" s="55" cm="1">
        <f t="array" ref="E78">SUM(VLOOKUP(H78:AE78,$AL$4:$AN$44,3,FALSE))</f>
        <v>580</v>
      </c>
      <c r="F78" s="55">
        <f>SUM($E$4:E78)+SUM($G$4:G78)</f>
        <v>49840</v>
      </c>
      <c r="G78" s="56">
        <v>100</v>
      </c>
      <c r="H78" s="24" t="s">
        <v>20</v>
      </c>
      <c r="I78" s="24" t="s">
        <v>20</v>
      </c>
      <c r="J78" s="24" t="s">
        <v>20</v>
      </c>
      <c r="K78" s="24" t="s">
        <v>20</v>
      </c>
      <c r="L78" t="s">
        <v>23</v>
      </c>
      <c r="M78" t="s">
        <v>23</v>
      </c>
      <c r="N78" s="7" t="s">
        <v>23</v>
      </c>
      <c r="O78" s="7" t="s">
        <v>23</v>
      </c>
      <c r="P78" s="23" t="s">
        <v>19</v>
      </c>
      <c r="Q78" s="23" t="s">
        <v>19</v>
      </c>
      <c r="R78" s="28" t="s">
        <v>12</v>
      </c>
      <c r="S78" t="s">
        <v>23</v>
      </c>
      <c r="T78" t="s">
        <v>23</v>
      </c>
      <c r="U78" t="s">
        <v>23</v>
      </c>
      <c r="V78" s="7" t="s">
        <v>23</v>
      </c>
      <c r="W78" s="7" t="s">
        <v>23</v>
      </c>
      <c r="X78" s="23" t="s">
        <v>19</v>
      </c>
      <c r="Y78" s="23" t="s">
        <v>19</v>
      </c>
      <c r="Z78" s="23" t="s">
        <v>19</v>
      </c>
      <c r="AA78" s="23" t="s">
        <v>19</v>
      </c>
      <c r="AB78" s="28" t="s">
        <v>12</v>
      </c>
      <c r="AC78" t="s">
        <v>23</v>
      </c>
      <c r="AD78" s="7" t="s">
        <v>23</v>
      </c>
      <c r="AE78" s="7" t="s">
        <v>23</v>
      </c>
      <c r="AF78" s="36">
        <v>0</v>
      </c>
      <c r="AG78" s="36"/>
      <c r="AH78" s="36"/>
      <c r="AI78" s="36"/>
      <c r="AJ78" s="8" t="s">
        <v>31</v>
      </c>
    </row>
    <row r="79" spans="1:36">
      <c r="A79" s="1">
        <v>44531</v>
      </c>
      <c r="B79" s="56">
        <v>1600</v>
      </c>
      <c r="C79" s="55" cm="1">
        <f t="array" ref="C79">(SUM(VLOOKUP(H79:AE79,$AL$4:$AN$44,2,FALSE))+AF79*10)*IF(AJ79="是",$AW$4,$AW$3)</f>
        <v>1616</v>
      </c>
      <c r="D79" s="18">
        <f>SUM($B$4:B79)-SUM($C$4:C79)</f>
        <v>58</v>
      </c>
      <c r="E79" s="55" cm="1">
        <f t="array" ref="E79">SUM(VLOOKUP(H79:AE79,$AL$4:$AN$44,3,FALSE))</f>
        <v>570</v>
      </c>
      <c r="F79" s="55">
        <f>SUM($E$4:E79)+SUM($G$4:G79)</f>
        <v>50610</v>
      </c>
      <c r="G79" s="56">
        <v>200</v>
      </c>
      <c r="H79" s="24" t="s">
        <v>20</v>
      </c>
      <c r="I79" s="24" t="s">
        <v>20</v>
      </c>
      <c r="J79" s="24" t="s">
        <v>20</v>
      </c>
      <c r="K79" s="24" t="s">
        <v>20</v>
      </c>
      <c r="L79" t="s">
        <v>23</v>
      </c>
      <c r="M79" t="s">
        <v>23</v>
      </c>
      <c r="N79" s="7" t="s">
        <v>23</v>
      </c>
      <c r="O79" s="7" t="s">
        <v>23</v>
      </c>
      <c r="P79" s="23" t="s">
        <v>19</v>
      </c>
      <c r="Q79" s="23" t="s">
        <v>19</v>
      </c>
      <c r="R79" t="s">
        <v>23</v>
      </c>
      <c r="S79" t="s">
        <v>23</v>
      </c>
      <c r="T79" t="s">
        <v>23</v>
      </c>
      <c r="U79" t="s">
        <v>23</v>
      </c>
      <c r="V79" s="7" t="s">
        <v>23</v>
      </c>
      <c r="W79" s="7" t="s">
        <v>23</v>
      </c>
      <c r="X79" s="23" t="s">
        <v>19</v>
      </c>
      <c r="Y79" s="23" t="s">
        <v>19</v>
      </c>
      <c r="Z79" s="23" t="s">
        <v>19</v>
      </c>
      <c r="AA79" s="23" t="s">
        <v>19</v>
      </c>
      <c r="AB79" s="23" t="s">
        <v>19</v>
      </c>
      <c r="AC79" t="s">
        <v>23</v>
      </c>
      <c r="AD79" s="7" t="s">
        <v>23</v>
      </c>
      <c r="AE79" s="7" t="s">
        <v>23</v>
      </c>
      <c r="AF79" s="36">
        <v>0</v>
      </c>
      <c r="AG79" s="36"/>
      <c r="AH79" s="36"/>
      <c r="AI79" s="36"/>
      <c r="AJ79" s="8" t="s">
        <v>31</v>
      </c>
    </row>
    <row r="80" spans="1:36">
      <c r="A80" s="1">
        <v>44532</v>
      </c>
      <c r="B80" s="56">
        <v>1600</v>
      </c>
      <c r="C80" s="55" cm="1">
        <f t="array" ref="C80">(SUM(VLOOKUP(H80:AE80,$AL$4:$AN$44,2,FALSE))+AF80*10)*IF(AJ80="是",$AW$4,$AW$3)</f>
        <v>1616</v>
      </c>
      <c r="D80" s="18">
        <f>SUM($B$4:B80)-SUM($C$4:C80)</f>
        <v>42</v>
      </c>
      <c r="E80" s="55" cm="1">
        <f t="array" ref="E80">SUM(VLOOKUP(H80:AE80,$AL$4:$AN$44,3,FALSE))</f>
        <v>570</v>
      </c>
      <c r="F80" s="55">
        <f>SUM($E$4:E80)+SUM($G$4:G80)</f>
        <v>51180</v>
      </c>
      <c r="G80" s="56">
        <v>0</v>
      </c>
      <c r="H80" s="24" t="s">
        <v>20</v>
      </c>
      <c r="I80" s="24" t="s">
        <v>20</v>
      </c>
      <c r="J80" s="24" t="s">
        <v>20</v>
      </c>
      <c r="K80" s="24" t="s">
        <v>20</v>
      </c>
      <c r="L80" t="s">
        <v>23</v>
      </c>
      <c r="M80" t="s">
        <v>23</v>
      </c>
      <c r="N80" s="7" t="s">
        <v>23</v>
      </c>
      <c r="O80" s="7" t="s">
        <v>23</v>
      </c>
      <c r="P80" s="23" t="s">
        <v>19</v>
      </c>
      <c r="Q80" s="23" t="s">
        <v>19</v>
      </c>
      <c r="R80" t="s">
        <v>23</v>
      </c>
      <c r="S80" t="s">
        <v>23</v>
      </c>
      <c r="T80" t="s">
        <v>23</v>
      </c>
      <c r="U80" t="s">
        <v>23</v>
      </c>
      <c r="V80" s="7" t="s">
        <v>23</v>
      </c>
      <c r="W80" s="7" t="s">
        <v>23</v>
      </c>
      <c r="X80" s="23" t="s">
        <v>19</v>
      </c>
      <c r="Y80" s="23" t="s">
        <v>19</v>
      </c>
      <c r="Z80" s="23" t="s">
        <v>19</v>
      </c>
      <c r="AA80" s="23" t="s">
        <v>19</v>
      </c>
      <c r="AB80" s="23" t="s">
        <v>19</v>
      </c>
      <c r="AC80" t="s">
        <v>23</v>
      </c>
      <c r="AD80" s="7" t="s">
        <v>23</v>
      </c>
      <c r="AE80" s="7" t="s">
        <v>23</v>
      </c>
      <c r="AF80" s="36">
        <v>0</v>
      </c>
      <c r="AG80" s="36"/>
      <c r="AH80" s="36"/>
      <c r="AI80" s="36"/>
      <c r="AJ80" s="8" t="s">
        <v>31</v>
      </c>
    </row>
    <row r="81" spans="1:36">
      <c r="A81" s="1">
        <v>44533</v>
      </c>
      <c r="B81" s="56">
        <v>1600</v>
      </c>
      <c r="C81" s="55" cm="1">
        <f t="array" ref="C81">(SUM(VLOOKUP(H81:AE81,$AL$4:$AN$44,2,FALSE))+AF81*10)*IF(AJ81="是",$AW$4,$AW$3)</f>
        <v>1584</v>
      </c>
      <c r="D81" s="18">
        <f>SUM($B$4:B81)-SUM($C$4:C81)</f>
        <v>58</v>
      </c>
      <c r="E81" s="55" cm="1">
        <f t="array" ref="E81">SUM(VLOOKUP(H81:AE81,$AL$4:$AN$44,3,FALSE))</f>
        <v>570</v>
      </c>
      <c r="F81" s="55">
        <f>SUM($E$4:E81)+SUM($G$4:G81)</f>
        <v>51750</v>
      </c>
      <c r="G81" s="56">
        <v>0</v>
      </c>
      <c r="H81" s="24" t="s">
        <v>20</v>
      </c>
      <c r="I81" s="24" t="s">
        <v>20</v>
      </c>
      <c r="J81" s="24" t="s">
        <v>9</v>
      </c>
      <c r="K81" s="24" t="s">
        <v>20</v>
      </c>
      <c r="L81" t="s">
        <v>23</v>
      </c>
      <c r="M81" t="s">
        <v>23</v>
      </c>
      <c r="N81" s="7" t="s">
        <v>23</v>
      </c>
      <c r="O81" s="7" t="s">
        <v>23</v>
      </c>
      <c r="P81" s="23" t="s">
        <v>19</v>
      </c>
      <c r="Q81" s="23" t="s">
        <v>19</v>
      </c>
      <c r="R81" t="s">
        <v>23</v>
      </c>
      <c r="S81" t="s">
        <v>23</v>
      </c>
      <c r="T81" t="s">
        <v>23</v>
      </c>
      <c r="U81" t="s">
        <v>23</v>
      </c>
      <c r="V81" s="7" t="s">
        <v>23</v>
      </c>
      <c r="W81" s="7" t="s">
        <v>23</v>
      </c>
      <c r="X81" s="23" t="s">
        <v>19</v>
      </c>
      <c r="Y81" s="23" t="s">
        <v>19</v>
      </c>
      <c r="Z81" s="23" t="s">
        <v>19</v>
      </c>
      <c r="AA81" s="23" t="s">
        <v>19</v>
      </c>
      <c r="AB81" s="23" t="s">
        <v>19</v>
      </c>
      <c r="AC81" t="s">
        <v>23</v>
      </c>
      <c r="AD81" s="7" t="s">
        <v>23</v>
      </c>
      <c r="AE81" s="7" t="s">
        <v>23</v>
      </c>
      <c r="AF81" s="36">
        <v>0</v>
      </c>
      <c r="AG81" s="36"/>
      <c r="AH81" s="36"/>
      <c r="AI81" s="36"/>
      <c r="AJ81" s="8" t="s">
        <v>31</v>
      </c>
    </row>
    <row r="82" spans="1:36">
      <c r="A82" s="1">
        <v>44534</v>
      </c>
      <c r="B82" s="56">
        <v>1600</v>
      </c>
      <c r="C82" s="55" cm="1">
        <f t="array" ref="C82">(SUM(VLOOKUP(H82:AE82,$AL$4:$AN$44,2,FALSE))+AF82*10)*IF(AJ82="是",$AW$4,$AW$3)</f>
        <v>1616</v>
      </c>
      <c r="D82" s="18">
        <f>SUM($B$4:B82)-SUM($C$4:C82)</f>
        <v>42</v>
      </c>
      <c r="E82" s="55" cm="1">
        <f t="array" ref="E82">SUM(VLOOKUP(H82:AE82,$AL$4:$AN$44,3,FALSE))</f>
        <v>570</v>
      </c>
      <c r="F82" s="55">
        <f>SUM($E$4:E82)+SUM($G$4:G82)</f>
        <v>52320</v>
      </c>
      <c r="G82" s="56">
        <v>0</v>
      </c>
      <c r="H82" s="24" t="s">
        <v>20</v>
      </c>
      <c r="I82" s="24" t="s">
        <v>20</v>
      </c>
      <c r="J82" s="24" t="s">
        <v>20</v>
      </c>
      <c r="K82" s="24" t="s">
        <v>20</v>
      </c>
      <c r="L82" t="s">
        <v>23</v>
      </c>
      <c r="M82" t="s">
        <v>23</v>
      </c>
      <c r="N82" s="7" t="s">
        <v>23</v>
      </c>
      <c r="O82" s="7" t="s">
        <v>23</v>
      </c>
      <c r="P82" s="23" t="s">
        <v>19</v>
      </c>
      <c r="Q82" s="23" t="s">
        <v>19</v>
      </c>
      <c r="R82" t="s">
        <v>23</v>
      </c>
      <c r="S82" t="s">
        <v>23</v>
      </c>
      <c r="T82" t="s">
        <v>23</v>
      </c>
      <c r="U82" t="s">
        <v>23</v>
      </c>
      <c r="V82" s="7" t="s">
        <v>23</v>
      </c>
      <c r="W82" s="7" t="s">
        <v>23</v>
      </c>
      <c r="X82" s="23" t="s">
        <v>19</v>
      </c>
      <c r="Y82" s="23" t="s">
        <v>19</v>
      </c>
      <c r="Z82" s="23" t="s">
        <v>19</v>
      </c>
      <c r="AA82" s="23" t="s">
        <v>19</v>
      </c>
      <c r="AB82" s="23" t="s">
        <v>19</v>
      </c>
      <c r="AC82" t="s">
        <v>23</v>
      </c>
      <c r="AD82" s="7" t="s">
        <v>23</v>
      </c>
      <c r="AE82" s="7" t="s">
        <v>23</v>
      </c>
      <c r="AF82" s="36">
        <v>0</v>
      </c>
      <c r="AG82" s="36"/>
      <c r="AH82" s="36"/>
      <c r="AI82" s="36"/>
      <c r="AJ82" s="8" t="s">
        <v>31</v>
      </c>
    </row>
    <row r="83" spans="1:36">
      <c r="A83" s="1">
        <v>44535</v>
      </c>
      <c r="B83" s="56">
        <v>1600</v>
      </c>
      <c r="C83" s="55" cm="1">
        <f t="array" ref="C83">(SUM(VLOOKUP(H83:AE83,$AL$4:$AN$44,2,FALSE))+AF83*10)*IF(AJ83="是",$AW$4,$AW$3)</f>
        <v>1608</v>
      </c>
      <c r="D83" s="18">
        <f>SUM($B$4:B83)-SUM($C$4:C83)</f>
        <v>34</v>
      </c>
      <c r="E83" s="55" cm="1">
        <f t="array" ref="E83">SUM(VLOOKUP(H83:AE83,$AL$4:$AN$44,3,FALSE))</f>
        <v>625</v>
      </c>
      <c r="F83" s="55">
        <f>SUM($E$4:E83)+SUM($G$4:G83)</f>
        <v>52945</v>
      </c>
      <c r="G83" s="56">
        <v>0</v>
      </c>
      <c r="H83" s="24" t="s">
        <v>20</v>
      </c>
      <c r="I83" s="29" t="s">
        <v>47</v>
      </c>
      <c r="J83" s="25" t="s">
        <v>21</v>
      </c>
      <c r="K83" s="25" t="s">
        <v>21</v>
      </c>
      <c r="L83" t="s">
        <v>23</v>
      </c>
      <c r="M83" t="s">
        <v>23</v>
      </c>
      <c r="N83" s="7" t="s">
        <v>23</v>
      </c>
      <c r="O83" s="7" t="s">
        <v>23</v>
      </c>
      <c r="P83" s="23" t="s">
        <v>19</v>
      </c>
      <c r="Q83" s="23" t="s">
        <v>19</v>
      </c>
      <c r="R83" s="23" t="s">
        <v>19</v>
      </c>
      <c r="S83" s="23" t="s">
        <v>19</v>
      </c>
      <c r="T83" t="s">
        <v>23</v>
      </c>
      <c r="U83" t="s">
        <v>23</v>
      </c>
      <c r="V83" s="7" t="s">
        <v>23</v>
      </c>
      <c r="W83" s="7" t="s">
        <v>23</v>
      </c>
      <c r="X83" s="23" t="s">
        <v>19</v>
      </c>
      <c r="Y83" s="23" t="s">
        <v>19</v>
      </c>
      <c r="Z83" s="23" t="s">
        <v>19</v>
      </c>
      <c r="AA83" s="23" t="s">
        <v>19</v>
      </c>
      <c r="AB83" s="23" t="s">
        <v>19</v>
      </c>
      <c r="AC83" t="s">
        <v>23</v>
      </c>
      <c r="AD83" s="7" t="s">
        <v>23</v>
      </c>
      <c r="AE83" s="7" t="s">
        <v>23</v>
      </c>
      <c r="AF83" s="36">
        <v>0</v>
      </c>
      <c r="AG83" s="36"/>
      <c r="AH83" s="36"/>
      <c r="AI83" s="36"/>
      <c r="AJ83" s="8" t="s">
        <v>31</v>
      </c>
    </row>
    <row r="84" spans="1:36">
      <c r="A84" s="1">
        <v>44536</v>
      </c>
      <c r="B84" s="55">
        <v>1600</v>
      </c>
      <c r="C84" s="55" cm="1">
        <f t="array" ref="C84">(SUM(VLOOKUP(H84:AE84,$AL$4:$AN$44,2,FALSE))+AF84*10)*IF(AJ84="是",$AW$4,$AW$3)</f>
        <v>1544</v>
      </c>
      <c r="D84" s="57">
        <f>SUM($B$4:B84)-SUM($C$4:C84)</f>
        <v>90</v>
      </c>
      <c r="E84" s="55" cm="1">
        <f t="array" ref="E84">SUM(VLOOKUP(H84:AE84,$AL$4:$AN$44,3,FALSE))</f>
        <v>570</v>
      </c>
      <c r="F84" s="55">
        <f>SUM($E$4:E84)+SUM($G$4:G84)</f>
        <v>53815</v>
      </c>
      <c r="G84" s="55">
        <v>300</v>
      </c>
      <c r="H84" s="25" t="s">
        <v>21</v>
      </c>
      <c r="I84" s="25" t="s">
        <v>21</v>
      </c>
      <c r="J84" s="25" t="s">
        <v>21</v>
      </c>
      <c r="K84" s="25" t="s">
        <v>21</v>
      </c>
      <c r="L84" t="s">
        <v>23</v>
      </c>
      <c r="M84" t="s">
        <v>23</v>
      </c>
      <c r="N84" s="7" t="s">
        <v>23</v>
      </c>
      <c r="O84" s="7" t="s">
        <v>23</v>
      </c>
      <c r="P84" s="23" t="s">
        <v>19</v>
      </c>
      <c r="Q84" s="23" t="s">
        <v>19</v>
      </c>
      <c r="R84" t="s">
        <v>23</v>
      </c>
      <c r="S84" t="s">
        <v>23</v>
      </c>
      <c r="T84" t="s">
        <v>23</v>
      </c>
      <c r="U84" t="s">
        <v>23</v>
      </c>
      <c r="V84" s="7" t="s">
        <v>23</v>
      </c>
      <c r="W84" s="7" t="s">
        <v>23</v>
      </c>
      <c r="X84" s="23" t="s">
        <v>19</v>
      </c>
      <c r="Y84" s="23" t="s">
        <v>19</v>
      </c>
      <c r="Z84" s="28" t="s">
        <v>12</v>
      </c>
      <c r="AA84" s="23" t="s">
        <v>19</v>
      </c>
      <c r="AB84" s="23" t="s">
        <v>19</v>
      </c>
      <c r="AC84" t="s">
        <v>23</v>
      </c>
      <c r="AD84" s="7" t="s">
        <v>23</v>
      </c>
      <c r="AE84" s="7" t="s">
        <v>23</v>
      </c>
      <c r="AF84" s="36">
        <v>0</v>
      </c>
      <c r="AG84" s="36"/>
      <c r="AH84" s="36"/>
      <c r="AI84" s="36"/>
      <c r="AJ84" s="8" t="s">
        <v>31</v>
      </c>
    </row>
    <row r="85" spans="1:36">
      <c r="A85" s="1">
        <v>44537</v>
      </c>
      <c r="B85" s="55">
        <v>1600</v>
      </c>
      <c r="C85" s="55" cm="1">
        <f t="array" ref="C85">(SUM(VLOOKUP(H85:AE85,$AL$4:$AN$44,2,FALSE))+AF85*10)*IF(AJ85="是",$AW$4,$AW$3)</f>
        <v>1624</v>
      </c>
      <c r="D85" s="57">
        <f>SUM($B$4:B85)-SUM($C$4:C85)</f>
        <v>66</v>
      </c>
      <c r="E85" s="55" cm="1">
        <f t="array" ref="E85">SUM(VLOOKUP(H85:AE85,$AL$4:$AN$44,3,FALSE))</f>
        <v>590</v>
      </c>
      <c r="F85" s="55">
        <f>SUM($E$4:E85)+SUM($G$4:G85)</f>
        <v>54405</v>
      </c>
      <c r="G85" s="55">
        <v>0</v>
      </c>
      <c r="H85" s="25" t="s">
        <v>21</v>
      </c>
      <c r="I85" s="25" t="s">
        <v>21</v>
      </c>
      <c r="J85" s="25" t="s">
        <v>21</v>
      </c>
      <c r="K85" s="25" t="s">
        <v>21</v>
      </c>
      <c r="L85" t="s">
        <v>23</v>
      </c>
      <c r="M85" t="s">
        <v>23</v>
      </c>
      <c r="N85" s="7" t="s">
        <v>23</v>
      </c>
      <c r="O85" s="7" t="s">
        <v>23</v>
      </c>
      <c r="P85" s="23" t="s">
        <v>19</v>
      </c>
      <c r="Q85" s="23" t="s">
        <v>19</v>
      </c>
      <c r="R85" t="s">
        <v>23</v>
      </c>
      <c r="S85" t="s">
        <v>23</v>
      </c>
      <c r="T85" t="s">
        <v>23</v>
      </c>
      <c r="U85" t="s">
        <v>23</v>
      </c>
      <c r="V85" s="7" t="s">
        <v>23</v>
      </c>
      <c r="W85" s="7" t="s">
        <v>23</v>
      </c>
      <c r="X85" s="23" t="s">
        <v>19</v>
      </c>
      <c r="Y85" s="23" t="s">
        <v>19</v>
      </c>
      <c r="Z85" s="23" t="s">
        <v>19</v>
      </c>
      <c r="AA85" s="23" t="s">
        <v>8</v>
      </c>
      <c r="AB85" s="23" t="s">
        <v>19</v>
      </c>
      <c r="AC85" t="s">
        <v>23</v>
      </c>
      <c r="AD85" s="7" t="s">
        <v>23</v>
      </c>
      <c r="AE85" s="7" t="s">
        <v>23</v>
      </c>
      <c r="AF85" s="36">
        <v>0</v>
      </c>
      <c r="AG85" s="36"/>
      <c r="AH85" s="36"/>
      <c r="AI85" s="36"/>
      <c r="AJ85" s="8" t="s">
        <v>31</v>
      </c>
    </row>
    <row r="86" spans="1:36">
      <c r="A86" s="1">
        <v>44538</v>
      </c>
      <c r="B86" s="55">
        <v>1600</v>
      </c>
      <c r="C86" s="55" cm="1">
        <f t="array" ref="C86">(SUM(VLOOKUP(H86:AE86,$AL$4:$AN$44,2,FALSE))+AF86*10)*IF(AJ86="是",$AW$4,$AW$3)</f>
        <v>1536</v>
      </c>
      <c r="D86" s="57">
        <f>SUM($B$4:B86)-SUM($C$4:C86)</f>
        <v>130</v>
      </c>
      <c r="E86" s="55" cm="1">
        <f t="array" ref="E86">SUM(VLOOKUP(H86:AE86,$AL$4:$AN$44,3,FALSE))</f>
        <v>1475</v>
      </c>
      <c r="F86" s="55">
        <f>SUM($E$4:E86)+SUM($G$4:G86)</f>
        <v>56080</v>
      </c>
      <c r="G86" s="55">
        <v>200</v>
      </c>
      <c r="H86" s="24" t="s">
        <v>20</v>
      </c>
      <c r="I86" s="25" t="s">
        <v>21</v>
      </c>
      <c r="J86" s="25" t="s">
        <v>21</v>
      </c>
      <c r="K86" s="32" t="s">
        <v>15</v>
      </c>
      <c r="L86" t="s">
        <v>23</v>
      </c>
      <c r="M86" t="s">
        <v>23</v>
      </c>
      <c r="N86" s="7" t="s">
        <v>23</v>
      </c>
      <c r="O86" s="7" t="s">
        <v>23</v>
      </c>
      <c r="P86" s="23" t="s">
        <v>19</v>
      </c>
      <c r="Q86" t="s">
        <v>23</v>
      </c>
      <c r="R86" t="s">
        <v>23</v>
      </c>
      <c r="S86" t="s">
        <v>23</v>
      </c>
      <c r="T86" t="s">
        <v>23</v>
      </c>
      <c r="U86" t="s">
        <v>23</v>
      </c>
      <c r="V86" s="7" t="s">
        <v>23</v>
      </c>
      <c r="W86" s="7" t="s">
        <v>23</v>
      </c>
      <c r="X86" s="23" t="s">
        <v>19</v>
      </c>
      <c r="Y86" s="23" t="s">
        <v>19</v>
      </c>
      <c r="Z86" s="23" t="s">
        <v>19</v>
      </c>
      <c r="AA86" s="23" t="s">
        <v>19</v>
      </c>
      <c r="AB86" s="23" t="s">
        <v>19</v>
      </c>
      <c r="AC86" t="s">
        <v>23</v>
      </c>
      <c r="AD86" s="7" t="s">
        <v>23</v>
      </c>
      <c r="AE86" s="7" t="s">
        <v>23</v>
      </c>
      <c r="AF86" s="36">
        <v>0</v>
      </c>
      <c r="AG86" s="36"/>
      <c r="AH86" s="36"/>
      <c r="AI86" s="36"/>
      <c r="AJ86" s="8" t="s">
        <v>31</v>
      </c>
    </row>
    <row r="87" spans="1:36">
      <c r="A87" s="1">
        <v>44539</v>
      </c>
      <c r="B87" s="55">
        <v>1600</v>
      </c>
      <c r="C87" s="55" cm="1">
        <f t="array" ref="C87">(SUM(VLOOKUP(H87:AE87,$AL$4:$AN$44,2,FALSE))+AF87*10)*IF(AJ87="是",$AW$4,$AW$3)</f>
        <v>1640</v>
      </c>
      <c r="D87" s="57">
        <f>SUM($B$4:B87)-SUM($C$4:C87)</f>
        <v>90</v>
      </c>
      <c r="E87" s="55" cm="1">
        <f t="array" ref="E87">SUM(VLOOKUP(H87:AE87,$AL$4:$AN$44,3,FALSE))</f>
        <v>645</v>
      </c>
      <c r="F87" s="55">
        <f>SUM($E$4:E87)+SUM($G$4:G87)</f>
        <v>56725</v>
      </c>
      <c r="G87" s="55">
        <v>0</v>
      </c>
      <c r="H87" s="25" t="s">
        <v>21</v>
      </c>
      <c r="I87" s="25" t="s">
        <v>21</v>
      </c>
      <c r="J87" s="25" t="s">
        <v>21</v>
      </c>
      <c r="K87" s="25" t="s">
        <v>21</v>
      </c>
      <c r="L87" t="s">
        <v>23</v>
      </c>
      <c r="M87" t="s">
        <v>23</v>
      </c>
      <c r="N87" s="7" t="s">
        <v>23</v>
      </c>
      <c r="O87" s="7" t="s">
        <v>23</v>
      </c>
      <c r="P87" s="23" t="s">
        <v>19</v>
      </c>
      <c r="Q87" s="23" t="s">
        <v>19</v>
      </c>
      <c r="R87" s="23" t="s">
        <v>19</v>
      </c>
      <c r="S87" s="23" t="s">
        <v>19</v>
      </c>
      <c r="T87" t="s">
        <v>23</v>
      </c>
      <c r="U87" t="s">
        <v>23</v>
      </c>
      <c r="V87" s="7" t="s">
        <v>23</v>
      </c>
      <c r="W87" s="7" t="s">
        <v>23</v>
      </c>
      <c r="X87" s="23" t="s">
        <v>19</v>
      </c>
      <c r="Y87" s="29" t="s">
        <v>47</v>
      </c>
      <c r="Z87" s="23" t="s">
        <v>19</v>
      </c>
      <c r="AA87" s="23" t="s">
        <v>19</v>
      </c>
      <c r="AB87" s="24" t="s">
        <v>20</v>
      </c>
      <c r="AC87" t="s">
        <v>23</v>
      </c>
      <c r="AD87" s="7" t="s">
        <v>23</v>
      </c>
      <c r="AE87" s="7" t="s">
        <v>23</v>
      </c>
      <c r="AF87" s="36">
        <v>0</v>
      </c>
      <c r="AG87" s="36"/>
      <c r="AH87" s="36"/>
      <c r="AI87" s="36"/>
      <c r="AJ87" s="8" t="s">
        <v>31</v>
      </c>
    </row>
    <row r="88" spans="1:36">
      <c r="A88" s="1">
        <v>44540</v>
      </c>
      <c r="B88" s="55">
        <v>1600</v>
      </c>
      <c r="C88" s="55" cm="1">
        <f t="array" ref="C88">(SUM(VLOOKUP(H88:AE88,$AL$4:$AN$44,2,FALSE))+AF88*10)*IF(AJ88="是",$AW$4,$AW$3)</f>
        <v>1648</v>
      </c>
      <c r="D88" s="57">
        <f>SUM($B$4:B88)-SUM($C$4:C88)</f>
        <v>42</v>
      </c>
      <c r="E88" s="55" cm="1">
        <f t="array" ref="E88">SUM(VLOOKUP(H88:AE88,$AL$4:$AN$44,3,FALSE))</f>
        <v>590</v>
      </c>
      <c r="F88" s="55">
        <f>SUM($E$4:E88)+SUM($G$4:G88)</f>
        <v>57315</v>
      </c>
      <c r="G88" s="55">
        <v>0</v>
      </c>
      <c r="H88" s="25" t="s">
        <v>21</v>
      </c>
      <c r="I88" s="25" t="s">
        <v>21</v>
      </c>
      <c r="J88" s="25" t="s">
        <v>21</v>
      </c>
      <c r="K88" s="25" t="s">
        <v>21</v>
      </c>
      <c r="L88" t="s">
        <v>23</v>
      </c>
      <c r="M88" t="s">
        <v>23</v>
      </c>
      <c r="N88" s="7" t="s">
        <v>23</v>
      </c>
      <c r="O88" s="7" t="s">
        <v>23</v>
      </c>
      <c r="P88" s="23" t="s">
        <v>19</v>
      </c>
      <c r="Q88" s="23" t="s">
        <v>19</v>
      </c>
      <c r="R88" t="s">
        <v>23</v>
      </c>
      <c r="S88" t="s">
        <v>23</v>
      </c>
      <c r="T88" t="s">
        <v>23</v>
      </c>
      <c r="U88" t="s">
        <v>23</v>
      </c>
      <c r="V88" s="7" t="s">
        <v>23</v>
      </c>
      <c r="W88" s="7" t="s">
        <v>23</v>
      </c>
      <c r="X88" s="23" t="s">
        <v>19</v>
      </c>
      <c r="Y88" s="23" t="s">
        <v>19</v>
      </c>
      <c r="Z88" s="23" t="s">
        <v>19</v>
      </c>
      <c r="AA88" s="23" t="s">
        <v>19</v>
      </c>
      <c r="AB88" s="23" t="s">
        <v>19</v>
      </c>
      <c r="AC88" t="s">
        <v>23</v>
      </c>
      <c r="AD88" s="7" t="s">
        <v>23</v>
      </c>
      <c r="AE88" s="7" t="s">
        <v>23</v>
      </c>
      <c r="AF88" s="36">
        <v>0</v>
      </c>
      <c r="AG88" s="36"/>
      <c r="AH88" s="36"/>
      <c r="AI88" s="36"/>
      <c r="AJ88" s="8" t="s">
        <v>31</v>
      </c>
    </row>
    <row r="89" spans="1:36">
      <c r="A89" s="1">
        <v>44541</v>
      </c>
      <c r="B89" s="55">
        <v>1600</v>
      </c>
      <c r="C89" s="55" cm="1">
        <f t="array" ref="C89">(SUM(VLOOKUP(H89:AE89,$AL$4:$AN$44,2,FALSE))+AF89*10)*IF(AJ89="是",$AW$4,$AW$3)</f>
        <v>1528</v>
      </c>
      <c r="D89" s="57">
        <f>SUM($B$4:B89)-SUM($C$4:C89)</f>
        <v>114</v>
      </c>
      <c r="E89" s="55" cm="1">
        <f t="array" ref="E89">SUM(VLOOKUP(H89:AE89,$AL$4:$AN$44,3,FALSE))</f>
        <v>560</v>
      </c>
      <c r="F89" s="55">
        <f>SUM($E$4:E89)+SUM($G$4:G89)</f>
        <v>57875</v>
      </c>
      <c r="G89" s="55">
        <v>0</v>
      </c>
      <c r="H89" s="25" t="s">
        <v>21</v>
      </c>
      <c r="I89" s="25" t="s">
        <v>21</v>
      </c>
      <c r="J89" s="25" t="s">
        <v>21</v>
      </c>
      <c r="K89" t="s">
        <v>23</v>
      </c>
      <c r="L89" t="s">
        <v>23</v>
      </c>
      <c r="M89" t="s">
        <v>23</v>
      </c>
      <c r="N89" s="7" t="s">
        <v>23</v>
      </c>
      <c r="O89" s="7" t="s">
        <v>23</v>
      </c>
      <c r="P89" s="23" t="s">
        <v>19</v>
      </c>
      <c r="Q89" s="23" t="s">
        <v>19</v>
      </c>
      <c r="R89" s="23" t="s">
        <v>19</v>
      </c>
      <c r="S89" t="s">
        <v>23</v>
      </c>
      <c r="T89" t="s">
        <v>23</v>
      </c>
      <c r="U89" t="s">
        <v>23</v>
      </c>
      <c r="V89" s="7" t="s">
        <v>23</v>
      </c>
      <c r="W89" s="7" t="s">
        <v>23</v>
      </c>
      <c r="X89" s="28" t="s">
        <v>12</v>
      </c>
      <c r="Y89" s="23" t="s">
        <v>19</v>
      </c>
      <c r="Z89" s="23" t="s">
        <v>19</v>
      </c>
      <c r="AA89" s="23" t="s">
        <v>19</v>
      </c>
      <c r="AB89" s="23" t="s">
        <v>19</v>
      </c>
      <c r="AC89" t="s">
        <v>23</v>
      </c>
      <c r="AD89" s="7" t="s">
        <v>23</v>
      </c>
      <c r="AE89" s="7" t="s">
        <v>23</v>
      </c>
      <c r="AF89" s="36">
        <v>0</v>
      </c>
      <c r="AG89" s="36"/>
      <c r="AH89" s="36"/>
      <c r="AI89" s="36"/>
      <c r="AJ89" s="8" t="s">
        <v>31</v>
      </c>
    </row>
    <row r="90" spans="1:36">
      <c r="A90" s="1">
        <v>44542</v>
      </c>
      <c r="B90" s="55">
        <v>1600</v>
      </c>
      <c r="C90" s="55" cm="1">
        <f t="array" ref="C90">(SUM(VLOOKUP(H90:AE90,$AL$4:$AN$44,2,FALSE))+AF90*10)*IF(AJ90="是",$AW$4,$AW$3)</f>
        <v>1632</v>
      </c>
      <c r="D90" s="57">
        <f>SUM($B$4:B90)-SUM($C$4:C90)</f>
        <v>82</v>
      </c>
      <c r="E90" s="55" cm="1">
        <f t="array" ref="E90">SUM(VLOOKUP(H90:AE90,$AL$4:$AN$44,3,FALSE))</f>
        <v>580</v>
      </c>
      <c r="F90" s="55">
        <f>SUM($E$4:E90)+SUM($G$4:G90)</f>
        <v>58455</v>
      </c>
      <c r="G90" s="55">
        <v>0</v>
      </c>
      <c r="H90" s="25" t="s">
        <v>21</v>
      </c>
      <c r="I90" s="25" t="s">
        <v>21</v>
      </c>
      <c r="J90" s="25" t="s">
        <v>21</v>
      </c>
      <c r="K90" t="s">
        <v>23</v>
      </c>
      <c r="L90" t="s">
        <v>23</v>
      </c>
      <c r="M90" t="s">
        <v>23</v>
      </c>
      <c r="N90" s="7" t="s">
        <v>23</v>
      </c>
      <c r="O90" s="7" t="s">
        <v>23</v>
      </c>
      <c r="P90" s="23" t="s">
        <v>19</v>
      </c>
      <c r="Q90" s="23" t="s">
        <v>19</v>
      </c>
      <c r="R90" s="23" t="s">
        <v>19</v>
      </c>
      <c r="S90" t="s">
        <v>23</v>
      </c>
      <c r="T90" t="s">
        <v>23</v>
      </c>
      <c r="U90" t="s">
        <v>23</v>
      </c>
      <c r="V90" s="7" t="s">
        <v>23</v>
      </c>
      <c r="W90" s="7" t="s">
        <v>23</v>
      </c>
      <c r="X90" s="23" t="s">
        <v>19</v>
      </c>
      <c r="Y90" s="23" t="s">
        <v>19</v>
      </c>
      <c r="Z90" s="23" t="s">
        <v>19</v>
      </c>
      <c r="AA90" s="23" t="s">
        <v>19</v>
      </c>
      <c r="AB90" s="23" t="s">
        <v>19</v>
      </c>
      <c r="AC90" t="s">
        <v>23</v>
      </c>
      <c r="AD90" s="7" t="s">
        <v>23</v>
      </c>
      <c r="AE90" s="7" t="s">
        <v>23</v>
      </c>
      <c r="AF90" s="36">
        <v>0</v>
      </c>
      <c r="AG90" s="36"/>
      <c r="AH90" s="36"/>
      <c r="AI90" s="36"/>
      <c r="AJ90" s="8" t="s">
        <v>31</v>
      </c>
    </row>
    <row r="91" spans="1:36">
      <c r="A91" s="1">
        <v>44543</v>
      </c>
      <c r="B91" s="56">
        <v>1600</v>
      </c>
      <c r="C91" s="55" cm="1">
        <f t="array" ref="C91">(SUM(VLOOKUP(H91:AE91,$AL$4:$AN$44,2,FALSE))+AF91*10)*IF(AJ91="是",$AW$4,$AW$3)</f>
        <v>1616</v>
      </c>
      <c r="D91" s="18">
        <f>SUM($B$4:B91)-SUM($C$4:C91)</f>
        <v>66</v>
      </c>
      <c r="E91" s="55" cm="1">
        <f t="array" ref="E91">SUM(VLOOKUP(H91:AE91,$AL$4:$AN$44,3,FALSE))</f>
        <v>570</v>
      </c>
      <c r="F91" s="55">
        <f>SUM($E$4:E91)+SUM($G$4:G91)</f>
        <v>59325</v>
      </c>
      <c r="G91" s="56">
        <v>300</v>
      </c>
      <c r="H91" s="25" t="s">
        <v>21</v>
      </c>
      <c r="I91" s="25" t="s">
        <v>21</v>
      </c>
      <c r="J91" t="s">
        <v>23</v>
      </c>
      <c r="K91" t="s">
        <v>23</v>
      </c>
      <c r="L91" t="s">
        <v>23</v>
      </c>
      <c r="M91" t="s">
        <v>23</v>
      </c>
      <c r="N91" s="7" t="s">
        <v>23</v>
      </c>
      <c r="O91" s="7" t="s">
        <v>23</v>
      </c>
      <c r="P91" s="23" t="s">
        <v>19</v>
      </c>
      <c r="Q91" s="23" t="s">
        <v>19</v>
      </c>
      <c r="R91" s="23" t="s">
        <v>19</v>
      </c>
      <c r="S91" s="23" t="s">
        <v>19</v>
      </c>
      <c r="T91" t="s">
        <v>23</v>
      </c>
      <c r="U91" t="s">
        <v>23</v>
      </c>
      <c r="V91" s="7" t="s">
        <v>23</v>
      </c>
      <c r="W91" s="7" t="s">
        <v>23</v>
      </c>
      <c r="X91" s="23" t="s">
        <v>19</v>
      </c>
      <c r="Y91" s="23" t="s">
        <v>19</v>
      </c>
      <c r="Z91" s="23" t="s">
        <v>19</v>
      </c>
      <c r="AA91" s="23" t="s">
        <v>19</v>
      </c>
      <c r="AB91" s="23" t="s">
        <v>19</v>
      </c>
      <c r="AC91" t="s">
        <v>23</v>
      </c>
      <c r="AD91" s="7" t="s">
        <v>23</v>
      </c>
      <c r="AE91" s="7" t="s">
        <v>23</v>
      </c>
      <c r="AF91" s="36">
        <v>0</v>
      </c>
      <c r="AG91" s="36"/>
      <c r="AH91" s="36"/>
      <c r="AI91" s="36"/>
      <c r="AJ91" s="8" t="s">
        <v>31</v>
      </c>
    </row>
    <row r="92" spans="1:36">
      <c r="A92" s="1">
        <v>44544</v>
      </c>
      <c r="B92" s="56">
        <v>1600</v>
      </c>
      <c r="C92" s="55" cm="1">
        <f t="array" ref="C92">(SUM(VLOOKUP(H92:AE92,$AL$4:$AN$44,2,FALSE))+AF92*10)*IF(AJ92="是",$AW$4,$AW$3)</f>
        <v>1616</v>
      </c>
      <c r="D92" s="18">
        <f>SUM($B$4:B92)-SUM($C$4:C92)</f>
        <v>50</v>
      </c>
      <c r="E92" s="55" cm="1">
        <f t="array" ref="E92">SUM(VLOOKUP(H92:AE92,$AL$4:$AN$44,3,FALSE))</f>
        <v>570</v>
      </c>
      <c r="F92" s="55">
        <f>SUM($E$4:E92)+SUM($G$4:G92)</f>
        <v>59895</v>
      </c>
      <c r="G92" s="56">
        <v>0</v>
      </c>
      <c r="H92" s="25" t="s">
        <v>21</v>
      </c>
      <c r="I92" s="25" t="s">
        <v>21</v>
      </c>
      <c r="J92" t="s">
        <v>23</v>
      </c>
      <c r="K92" t="s">
        <v>23</v>
      </c>
      <c r="L92" t="s">
        <v>23</v>
      </c>
      <c r="M92" t="s">
        <v>23</v>
      </c>
      <c r="N92" s="7" t="s">
        <v>23</v>
      </c>
      <c r="O92" s="7" t="s">
        <v>23</v>
      </c>
      <c r="P92" s="23" t="s">
        <v>19</v>
      </c>
      <c r="Q92" s="23" t="s">
        <v>19</v>
      </c>
      <c r="R92" s="23" t="s">
        <v>19</v>
      </c>
      <c r="S92" s="23" t="s">
        <v>19</v>
      </c>
      <c r="T92" s="23" t="s">
        <v>19</v>
      </c>
      <c r="U92" s="23" t="s">
        <v>19</v>
      </c>
      <c r="V92" s="7" t="s">
        <v>23</v>
      </c>
      <c r="W92" s="7" t="s">
        <v>23</v>
      </c>
      <c r="X92" s="23" t="s">
        <v>19</v>
      </c>
      <c r="Y92" s="23" t="s">
        <v>19</v>
      </c>
      <c r="Z92" s="23" t="s">
        <v>19</v>
      </c>
      <c r="AA92" t="s">
        <v>23</v>
      </c>
      <c r="AB92" t="s">
        <v>23</v>
      </c>
      <c r="AC92" t="s">
        <v>23</v>
      </c>
      <c r="AD92" s="7" t="s">
        <v>23</v>
      </c>
      <c r="AE92" s="7" t="s">
        <v>23</v>
      </c>
      <c r="AF92" s="36">
        <v>0</v>
      </c>
      <c r="AG92" s="36"/>
      <c r="AH92" s="36"/>
      <c r="AI92" s="36"/>
      <c r="AJ92" s="8" t="s">
        <v>31</v>
      </c>
    </row>
    <row r="93" spans="1:36">
      <c r="A93" s="1">
        <v>44545</v>
      </c>
      <c r="B93" s="56">
        <v>1600</v>
      </c>
      <c r="C93" s="55" cm="1">
        <f t="array" ref="C93">(SUM(VLOOKUP(H93:AE93,$AL$4:$AN$44,2,FALSE))+AF93*10)*IF(AJ93="是",$AW$4,$AW$3)</f>
        <v>1616</v>
      </c>
      <c r="D93" s="18">
        <f>SUM($B$4:B93)-SUM($C$4:C93)</f>
        <v>34</v>
      </c>
      <c r="E93" s="55" cm="1">
        <f t="array" ref="E93">SUM(VLOOKUP(H93:AE93,$AL$4:$AN$44,3,FALSE))</f>
        <v>570</v>
      </c>
      <c r="F93" s="55">
        <f>SUM($E$4:E93)+SUM($G$4:G93)</f>
        <v>60665</v>
      </c>
      <c r="G93" s="56">
        <v>200</v>
      </c>
      <c r="H93" s="25" t="s">
        <v>21</v>
      </c>
      <c r="I93" s="25" t="s">
        <v>21</v>
      </c>
      <c r="J93" t="s">
        <v>23</v>
      </c>
      <c r="K93" t="s">
        <v>23</v>
      </c>
      <c r="L93" t="s">
        <v>23</v>
      </c>
      <c r="M93" t="s">
        <v>23</v>
      </c>
      <c r="N93" s="7" t="s">
        <v>23</v>
      </c>
      <c r="O93" s="7" t="s">
        <v>23</v>
      </c>
      <c r="P93" s="23" t="s">
        <v>19</v>
      </c>
      <c r="Q93" s="23" t="s">
        <v>19</v>
      </c>
      <c r="R93" s="23" t="s">
        <v>19</v>
      </c>
      <c r="S93" s="23" t="s">
        <v>19</v>
      </c>
      <c r="T93" s="23" t="s">
        <v>19</v>
      </c>
      <c r="U93" s="23" t="s">
        <v>19</v>
      </c>
      <c r="V93" s="7" t="s">
        <v>23</v>
      </c>
      <c r="W93" s="7" t="s">
        <v>23</v>
      </c>
      <c r="X93" s="23" t="s">
        <v>19</v>
      </c>
      <c r="Y93" s="23" t="s">
        <v>19</v>
      </c>
      <c r="Z93" s="23" t="s">
        <v>19</v>
      </c>
      <c r="AA93" t="s">
        <v>23</v>
      </c>
      <c r="AB93" t="s">
        <v>23</v>
      </c>
      <c r="AC93" t="s">
        <v>23</v>
      </c>
      <c r="AD93" s="7" t="s">
        <v>23</v>
      </c>
      <c r="AE93" s="7" t="s">
        <v>23</v>
      </c>
      <c r="AF93" s="36">
        <v>0</v>
      </c>
      <c r="AG93" s="36"/>
      <c r="AH93" s="36"/>
      <c r="AI93" s="36"/>
      <c r="AJ93" s="8" t="s">
        <v>31</v>
      </c>
    </row>
    <row r="94" spans="1:36" ht="15.75" thickBot="1">
      <c r="A94" s="1">
        <v>44546</v>
      </c>
      <c r="B94">
        <v>1600</v>
      </c>
      <c r="C94" s="55" cm="1">
        <f t="array" ref="C94">(SUM(VLOOKUP(H94:AE94,$AL$4:$AN$44,2,FALSE))+AF94*10)*IF(AJ94="是",$AW$4,$AW$3)</f>
        <v>1632</v>
      </c>
      <c r="D94" s="18">
        <f>SUM($B$4:B94)-SUM($C$4:C94)</f>
        <v>2</v>
      </c>
      <c r="E94" s="55" cm="1">
        <f t="array" ref="E94">SUM(VLOOKUP(H94:AE94,$AL$4:$AN$44,3,FALSE))</f>
        <v>580</v>
      </c>
      <c r="F94" s="3">
        <f>SUM($E$4:E94)+SUM($G$4:G94)</f>
        <v>61245</v>
      </c>
      <c r="G94">
        <v>0</v>
      </c>
      <c r="H94" s="25" t="s">
        <v>21</v>
      </c>
      <c r="I94" s="25" t="s">
        <v>21</v>
      </c>
      <c r="J94" s="25" t="s">
        <v>21</v>
      </c>
      <c r="K94" t="s">
        <v>23</v>
      </c>
      <c r="L94" t="s">
        <v>23</v>
      </c>
      <c r="M94" t="s">
        <v>23</v>
      </c>
      <c r="N94" s="7" t="s">
        <v>23</v>
      </c>
      <c r="O94" s="7" t="s">
        <v>23</v>
      </c>
      <c r="P94" s="23" t="s">
        <v>19</v>
      </c>
      <c r="Q94" s="23" t="s">
        <v>19</v>
      </c>
      <c r="R94" s="23" t="s">
        <v>19</v>
      </c>
      <c r="S94" s="23" t="s">
        <v>19</v>
      </c>
      <c r="T94" s="23" t="s">
        <v>19</v>
      </c>
      <c r="U94" s="23" t="s">
        <v>19</v>
      </c>
      <c r="V94" s="7" t="s">
        <v>23</v>
      </c>
      <c r="W94" s="7" t="s">
        <v>23</v>
      </c>
      <c r="X94" s="23" t="s">
        <v>19</v>
      </c>
      <c r="Y94" s="23" t="s">
        <v>19</v>
      </c>
      <c r="Z94" t="s">
        <v>23</v>
      </c>
      <c r="AA94" t="s">
        <v>23</v>
      </c>
      <c r="AB94" t="s">
        <v>23</v>
      </c>
      <c r="AC94" t="s">
        <v>23</v>
      </c>
      <c r="AD94" s="7" t="s">
        <v>23</v>
      </c>
      <c r="AE94" s="7" t="s">
        <v>23</v>
      </c>
      <c r="AF94" s="36">
        <v>0</v>
      </c>
      <c r="AG94" s="36"/>
      <c r="AH94" s="36"/>
      <c r="AI94" s="36"/>
      <c r="AJ94" s="9" t="s">
        <v>31</v>
      </c>
    </row>
    <row r="96" spans="1:36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{7B7216AA-99C0-468C-843E-734E5A9895BE}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B7216AA-99C0-468C-843E-734E5A9895B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7480F-7F2C-4F72-A9D6-9153BE5E88C4}">
  <dimension ref="A1:O92"/>
  <sheetViews>
    <sheetView workbookViewId="0">
      <selection activeCell="B1" sqref="B1:D1"/>
    </sheetView>
  </sheetViews>
  <sheetFormatPr defaultRowHeight="15"/>
  <sheetData>
    <row r="1" spans="1:15">
      <c r="A1" t="s">
        <v>63</v>
      </c>
      <c r="B1" t="s">
        <v>75</v>
      </c>
      <c r="C1" t="s">
        <v>76</v>
      </c>
      <c r="D1" t="s">
        <v>77</v>
      </c>
      <c r="F1" s="19"/>
      <c r="G1" t="s">
        <v>75</v>
      </c>
      <c r="H1" t="s">
        <v>76</v>
      </c>
      <c r="I1" t="s">
        <v>77</v>
      </c>
      <c r="J1" s="19" t="s">
        <v>65</v>
      </c>
      <c r="K1" s="19" t="s">
        <v>66</v>
      </c>
      <c r="N1" s="2"/>
      <c r="O1" s="19" t="s">
        <v>2</v>
      </c>
    </row>
    <row r="2" spans="1:15">
      <c r="A2">
        <v>1</v>
      </c>
      <c r="B2" s="79" t="s">
        <v>18</v>
      </c>
      <c r="C2" t="s">
        <v>23</v>
      </c>
      <c r="D2" t="s">
        <v>23</v>
      </c>
      <c r="F2" s="19" t="s">
        <v>64</v>
      </c>
      <c r="G2" s="19">
        <v>2</v>
      </c>
      <c r="H2" s="19">
        <v>0</v>
      </c>
      <c r="I2" s="19">
        <v>0</v>
      </c>
      <c r="J2" s="19">
        <f>SUM(G2:I2)</f>
        <v>2</v>
      </c>
      <c r="K2" s="19">
        <f>J4/J3</f>
        <v>0.25431034482758619</v>
      </c>
      <c r="O2" s="20" t="s">
        <v>16</v>
      </c>
    </row>
    <row r="3" spans="1:15">
      <c r="A3">
        <v>2</v>
      </c>
      <c r="B3" s="79" t="s">
        <v>18</v>
      </c>
      <c r="C3" t="s">
        <v>23</v>
      </c>
      <c r="D3" t="s">
        <v>23</v>
      </c>
      <c r="F3" s="19" t="s">
        <v>22</v>
      </c>
      <c r="G3" s="19" cm="1">
        <f t="array" ref="G3">(SUM(VLOOKUP(B2:B92,'102.5.1.01'!$AL$4:$AN$44,2,FALSE))+八卦前规划1!G2*10)</f>
        <v>1160</v>
      </c>
      <c r="H3" s="19" cm="1">
        <f t="array" ref="H3">(SUM(VLOOKUP(C2:C92,'102.5.1.01'!$AL$4:$AN$44,2,FALSE))+八卦前规划1!H2*10)</f>
        <v>0</v>
      </c>
      <c r="I3" s="19" cm="1">
        <f t="array" ref="I3">(SUM(VLOOKUP(D2:D92,'102.5.1.01'!$AL$4:$AN$44,2,FALSE))+八卦前规划1!I2*10)</f>
        <v>0</v>
      </c>
      <c r="J3" s="19">
        <f t="shared" ref="J3:J5" si="0">SUM(G3:I3)</f>
        <v>1160</v>
      </c>
      <c r="K3" s="19"/>
      <c r="O3" s="21" t="s">
        <v>17</v>
      </c>
    </row>
    <row r="4" spans="1:15">
      <c r="A4">
        <v>3</v>
      </c>
      <c r="B4" s="7" t="s">
        <v>23</v>
      </c>
      <c r="C4" t="s">
        <v>23</v>
      </c>
      <c r="D4" t="s">
        <v>23</v>
      </c>
      <c r="F4" s="19" t="s">
        <v>24</v>
      </c>
      <c r="G4" s="19" cm="1">
        <f t="array" ref="G4">(SUM(VLOOKUP(B2:B92,'102.5.1.01'!$AL$4:$AN$44,3,FALSE)))</f>
        <v>295</v>
      </c>
      <c r="H4" s="19" cm="1">
        <f t="array" ref="H4">(SUM(VLOOKUP(C2:C92,'102.5.1.01'!$AL$4:$AN$44,3,FALSE)))</f>
        <v>0</v>
      </c>
      <c r="I4" s="19" cm="1">
        <f t="array" ref="I4">(SUM(VLOOKUP(D2:D92,'102.5.1.01'!$AL$4:$AN$44,3,FALSE)))</f>
        <v>0</v>
      </c>
      <c r="J4" s="19">
        <f t="shared" si="0"/>
        <v>295</v>
      </c>
      <c r="K4" s="19"/>
      <c r="O4" s="22" t="s">
        <v>18</v>
      </c>
    </row>
    <row r="5" spans="1:15">
      <c r="A5">
        <v>4</v>
      </c>
      <c r="B5" s="7" t="s">
        <v>23</v>
      </c>
      <c r="C5" t="s">
        <v>23</v>
      </c>
      <c r="D5" t="s">
        <v>23</v>
      </c>
      <c r="F5" s="19" t="s">
        <v>46</v>
      </c>
      <c r="G5" s="19">
        <f>COUNTIF(B2:B92,"&lt;&gt;空")</f>
        <v>8</v>
      </c>
      <c r="H5" s="19">
        <f t="shared" ref="H5:I5" si="1">COUNTIF(C2:C92,"&lt;&gt;空")</f>
        <v>0</v>
      </c>
      <c r="I5" s="19">
        <f t="shared" si="1"/>
        <v>0</v>
      </c>
      <c r="J5" s="19">
        <f t="shared" si="0"/>
        <v>8</v>
      </c>
      <c r="K5" s="19"/>
      <c r="O5" s="23" t="s">
        <v>19</v>
      </c>
    </row>
    <row r="6" spans="1:15">
      <c r="A6">
        <v>5</v>
      </c>
      <c r="B6" s="26" t="s">
        <v>11</v>
      </c>
      <c r="C6" t="s">
        <v>23</v>
      </c>
      <c r="D6" t="s">
        <v>23</v>
      </c>
      <c r="F6" s="19" t="s">
        <v>66</v>
      </c>
      <c r="G6">
        <f>G4/G3</f>
        <v>0.25431034482758619</v>
      </c>
      <c r="H6" t="e">
        <f t="shared" ref="H6:J6" si="2">H4/H3</f>
        <v>#DIV/0!</v>
      </c>
      <c r="I6" t="e">
        <f t="shared" si="2"/>
        <v>#DIV/0!</v>
      </c>
      <c r="J6">
        <f t="shared" si="2"/>
        <v>0.25431034482758619</v>
      </c>
      <c r="O6" s="24" t="s">
        <v>20</v>
      </c>
    </row>
    <row r="7" spans="1:15">
      <c r="A7">
        <v>6</v>
      </c>
      <c r="B7" s="83" t="s">
        <v>16</v>
      </c>
      <c r="C7" t="s">
        <v>23</v>
      </c>
      <c r="D7" t="s">
        <v>23</v>
      </c>
      <c r="O7" s="25" t="s">
        <v>21</v>
      </c>
    </row>
    <row r="8" spans="1:15">
      <c r="A8">
        <v>7</v>
      </c>
      <c r="B8" s="77" t="s">
        <v>12</v>
      </c>
      <c r="C8" t="s">
        <v>23</v>
      </c>
      <c r="D8" t="s">
        <v>23</v>
      </c>
      <c r="O8" s="20" t="s">
        <v>5</v>
      </c>
    </row>
    <row r="9" spans="1:15">
      <c r="A9">
        <v>8</v>
      </c>
      <c r="B9" s="83" t="s">
        <v>16</v>
      </c>
      <c r="C9" t="s">
        <v>23</v>
      </c>
      <c r="D9" t="s">
        <v>23</v>
      </c>
      <c r="O9" s="21" t="s">
        <v>6</v>
      </c>
    </row>
    <row r="10" spans="1:15">
      <c r="A10">
        <v>9</v>
      </c>
      <c r="B10" s="83" t="s">
        <v>16</v>
      </c>
      <c r="C10" t="s">
        <v>23</v>
      </c>
      <c r="D10" t="s">
        <v>23</v>
      </c>
      <c r="O10" s="22" t="s">
        <v>7</v>
      </c>
    </row>
    <row r="11" spans="1:15">
      <c r="A11">
        <v>10</v>
      </c>
      <c r="B11" s="83" t="s">
        <v>16</v>
      </c>
      <c r="C11" t="s">
        <v>23</v>
      </c>
      <c r="D11" t="s">
        <v>23</v>
      </c>
      <c r="O11" s="23" t="s">
        <v>8</v>
      </c>
    </row>
    <row r="12" spans="1:15">
      <c r="A12">
        <v>11</v>
      </c>
      <c r="B12" t="s">
        <v>23</v>
      </c>
      <c r="C12" t="s">
        <v>23</v>
      </c>
      <c r="D12" t="s">
        <v>23</v>
      </c>
      <c r="O12" s="24" t="s">
        <v>9</v>
      </c>
    </row>
    <row r="13" spans="1:15">
      <c r="A13">
        <v>12</v>
      </c>
      <c r="B13" t="s">
        <v>23</v>
      </c>
      <c r="C13" t="s">
        <v>23</v>
      </c>
      <c r="D13" t="s">
        <v>23</v>
      </c>
      <c r="O13" s="25" t="s">
        <v>10</v>
      </c>
    </row>
    <row r="14" spans="1:15">
      <c r="A14">
        <v>13</v>
      </c>
      <c r="B14" t="s">
        <v>23</v>
      </c>
      <c r="C14" t="s">
        <v>23</v>
      </c>
      <c r="D14" t="s">
        <v>23</v>
      </c>
      <c r="O14" s="26" t="s">
        <v>11</v>
      </c>
    </row>
    <row r="15" spans="1:15">
      <c r="A15">
        <v>14</v>
      </c>
      <c r="B15" t="s">
        <v>23</v>
      </c>
      <c r="C15" t="s">
        <v>23</v>
      </c>
      <c r="D15" t="s">
        <v>23</v>
      </c>
      <c r="O15" s="28" t="s">
        <v>12</v>
      </c>
    </row>
    <row r="16" spans="1:15">
      <c r="A16">
        <v>15</v>
      </c>
      <c r="B16" t="s">
        <v>23</v>
      </c>
      <c r="C16" t="s">
        <v>23</v>
      </c>
      <c r="D16" t="s">
        <v>23</v>
      </c>
      <c r="N16" s="12" t="s">
        <v>25</v>
      </c>
      <c r="O16" s="29" t="s">
        <v>13</v>
      </c>
    </row>
    <row r="17" spans="1:15">
      <c r="A17">
        <v>16</v>
      </c>
      <c r="B17" t="s">
        <v>23</v>
      </c>
      <c r="C17" t="s">
        <v>23</v>
      </c>
      <c r="D17" t="s">
        <v>23</v>
      </c>
      <c r="O17" s="30" t="s">
        <v>71</v>
      </c>
    </row>
    <row r="18" spans="1:15">
      <c r="A18">
        <v>17</v>
      </c>
      <c r="B18" t="s">
        <v>23</v>
      </c>
      <c r="C18" t="s">
        <v>23</v>
      </c>
      <c r="D18" t="s">
        <v>23</v>
      </c>
      <c r="O18" s="30" t="s">
        <v>72</v>
      </c>
    </row>
    <row r="19" spans="1:15">
      <c r="A19">
        <v>18</v>
      </c>
      <c r="B19" t="s">
        <v>23</v>
      </c>
      <c r="C19" t="s">
        <v>23</v>
      </c>
      <c r="D19" t="s">
        <v>23</v>
      </c>
      <c r="O19" s="34" t="s">
        <v>14</v>
      </c>
    </row>
    <row r="20" spans="1:15">
      <c r="A20">
        <v>19</v>
      </c>
      <c r="B20" t="s">
        <v>23</v>
      </c>
      <c r="C20" t="s">
        <v>23</v>
      </c>
      <c r="D20" t="s">
        <v>23</v>
      </c>
      <c r="O20" s="32" t="s">
        <v>15</v>
      </c>
    </row>
    <row r="21" spans="1:15">
      <c r="A21">
        <v>20</v>
      </c>
      <c r="B21" t="s">
        <v>23</v>
      </c>
      <c r="C21" t="s">
        <v>23</v>
      </c>
      <c r="D21" t="s">
        <v>23</v>
      </c>
      <c r="O21" s="35" t="s">
        <v>41</v>
      </c>
    </row>
    <row r="22" spans="1:15">
      <c r="A22">
        <v>21</v>
      </c>
      <c r="B22" t="s">
        <v>23</v>
      </c>
      <c r="C22" t="s">
        <v>23</v>
      </c>
      <c r="D22" t="s">
        <v>23</v>
      </c>
      <c r="O22" s="31" t="s">
        <v>39</v>
      </c>
    </row>
    <row r="23" spans="1:15">
      <c r="A23">
        <v>22</v>
      </c>
      <c r="B23" t="s">
        <v>23</v>
      </c>
      <c r="C23" t="s">
        <v>23</v>
      </c>
      <c r="D23" t="s">
        <v>23</v>
      </c>
      <c r="O23" s="31" t="s">
        <v>40</v>
      </c>
    </row>
    <row r="24" spans="1:15">
      <c r="A24">
        <v>23</v>
      </c>
      <c r="B24" t="s">
        <v>23</v>
      </c>
      <c r="C24" t="s">
        <v>23</v>
      </c>
      <c r="D24" t="s">
        <v>23</v>
      </c>
      <c r="O24" s="31" t="s">
        <v>38</v>
      </c>
    </row>
    <row r="25" spans="1:15">
      <c r="A25">
        <v>24</v>
      </c>
      <c r="B25" t="s">
        <v>23</v>
      </c>
      <c r="C25" t="s">
        <v>23</v>
      </c>
      <c r="D25" t="s">
        <v>23</v>
      </c>
      <c r="O25" s="33" t="s">
        <v>23</v>
      </c>
    </row>
    <row r="26" spans="1:15" ht="15.75" thickBot="1">
      <c r="A26">
        <v>25</v>
      </c>
      <c r="B26" t="s">
        <v>23</v>
      </c>
      <c r="C26" t="s">
        <v>23</v>
      </c>
      <c r="D26" t="s">
        <v>23</v>
      </c>
      <c r="N26" s="14" t="s">
        <v>26</v>
      </c>
      <c r="O26" s="29" t="s">
        <v>47</v>
      </c>
    </row>
    <row r="27" spans="1:15">
      <c r="A27">
        <v>26</v>
      </c>
      <c r="B27" t="s">
        <v>23</v>
      </c>
      <c r="C27" t="s">
        <v>23</v>
      </c>
      <c r="D27" t="s">
        <v>23</v>
      </c>
    </row>
    <row r="28" spans="1:15">
      <c r="A28">
        <v>27</v>
      </c>
      <c r="B28" t="s">
        <v>23</v>
      </c>
      <c r="C28" t="s">
        <v>23</v>
      </c>
      <c r="D28" t="s">
        <v>23</v>
      </c>
    </row>
    <row r="29" spans="1:15">
      <c r="A29">
        <v>28</v>
      </c>
      <c r="B29" t="s">
        <v>23</v>
      </c>
      <c r="C29" t="s">
        <v>23</v>
      </c>
      <c r="D29" t="s">
        <v>23</v>
      </c>
    </row>
    <row r="30" spans="1:15">
      <c r="A30">
        <v>29</v>
      </c>
      <c r="B30" t="s">
        <v>23</v>
      </c>
      <c r="C30" t="s">
        <v>23</v>
      </c>
      <c r="D30" t="s">
        <v>23</v>
      </c>
    </row>
    <row r="31" spans="1:15">
      <c r="A31">
        <v>30</v>
      </c>
      <c r="B31" t="s">
        <v>23</v>
      </c>
      <c r="C31" t="s">
        <v>23</v>
      </c>
      <c r="D31" t="s">
        <v>23</v>
      </c>
    </row>
    <row r="32" spans="1:15">
      <c r="A32">
        <v>31</v>
      </c>
      <c r="B32" t="s">
        <v>23</v>
      </c>
      <c r="C32" t="s">
        <v>23</v>
      </c>
      <c r="D32" t="s">
        <v>23</v>
      </c>
    </row>
    <row r="33" spans="1:4">
      <c r="A33">
        <v>32</v>
      </c>
      <c r="B33" t="s">
        <v>23</v>
      </c>
      <c r="C33" t="s">
        <v>23</v>
      </c>
      <c r="D33" t="s">
        <v>23</v>
      </c>
    </row>
    <row r="34" spans="1:4">
      <c r="A34">
        <v>33</v>
      </c>
      <c r="B34" t="s">
        <v>23</v>
      </c>
      <c r="C34" t="s">
        <v>23</v>
      </c>
      <c r="D34" t="s">
        <v>23</v>
      </c>
    </row>
    <row r="35" spans="1:4">
      <c r="A35">
        <v>34</v>
      </c>
      <c r="B35" t="s">
        <v>23</v>
      </c>
      <c r="C35" t="s">
        <v>23</v>
      </c>
      <c r="D35" t="s">
        <v>23</v>
      </c>
    </row>
    <row r="36" spans="1:4">
      <c r="A36">
        <v>35</v>
      </c>
      <c r="B36" t="s">
        <v>23</v>
      </c>
      <c r="C36" t="s">
        <v>23</v>
      </c>
      <c r="D36" t="s">
        <v>23</v>
      </c>
    </row>
    <row r="37" spans="1:4">
      <c r="A37">
        <v>36</v>
      </c>
      <c r="B37" t="s">
        <v>23</v>
      </c>
      <c r="C37" t="s">
        <v>23</v>
      </c>
      <c r="D37" t="s">
        <v>23</v>
      </c>
    </row>
    <row r="38" spans="1:4">
      <c r="A38">
        <v>37</v>
      </c>
      <c r="B38" t="s">
        <v>23</v>
      </c>
      <c r="C38" t="s">
        <v>23</v>
      </c>
      <c r="D38" t="s">
        <v>23</v>
      </c>
    </row>
    <row r="39" spans="1:4">
      <c r="A39">
        <v>38</v>
      </c>
      <c r="B39" t="s">
        <v>23</v>
      </c>
      <c r="C39" t="s">
        <v>23</v>
      </c>
      <c r="D39" t="s">
        <v>23</v>
      </c>
    </row>
    <row r="40" spans="1:4">
      <c r="A40">
        <v>39</v>
      </c>
      <c r="B40" t="s">
        <v>23</v>
      </c>
      <c r="C40" t="s">
        <v>23</v>
      </c>
      <c r="D40" t="s">
        <v>23</v>
      </c>
    </row>
    <row r="41" spans="1:4">
      <c r="A41">
        <v>40</v>
      </c>
      <c r="B41" t="s">
        <v>23</v>
      </c>
      <c r="C41" t="s">
        <v>23</v>
      </c>
      <c r="D41" t="s">
        <v>23</v>
      </c>
    </row>
    <row r="42" spans="1:4">
      <c r="A42">
        <v>41</v>
      </c>
      <c r="B42" t="s">
        <v>23</v>
      </c>
      <c r="C42" t="s">
        <v>23</v>
      </c>
      <c r="D42" t="s">
        <v>23</v>
      </c>
    </row>
    <row r="43" spans="1:4">
      <c r="A43">
        <v>42</v>
      </c>
      <c r="B43" t="s">
        <v>23</v>
      </c>
      <c r="C43" t="s">
        <v>23</v>
      </c>
      <c r="D43" t="s">
        <v>23</v>
      </c>
    </row>
    <row r="44" spans="1:4">
      <c r="A44">
        <v>43</v>
      </c>
      <c r="B44" t="s">
        <v>23</v>
      </c>
      <c r="C44" t="s">
        <v>23</v>
      </c>
      <c r="D44" t="s">
        <v>23</v>
      </c>
    </row>
    <row r="45" spans="1:4">
      <c r="A45">
        <v>44</v>
      </c>
      <c r="B45" t="s">
        <v>23</v>
      </c>
      <c r="C45" t="s">
        <v>23</v>
      </c>
      <c r="D45" t="s">
        <v>23</v>
      </c>
    </row>
    <row r="46" spans="1:4">
      <c r="A46">
        <v>45</v>
      </c>
      <c r="B46" t="s">
        <v>23</v>
      </c>
      <c r="C46" t="s">
        <v>23</v>
      </c>
      <c r="D46" t="s">
        <v>23</v>
      </c>
    </row>
    <row r="47" spans="1:4">
      <c r="A47">
        <v>46</v>
      </c>
      <c r="B47" t="s">
        <v>23</v>
      </c>
      <c r="C47" t="s">
        <v>23</v>
      </c>
      <c r="D47" t="s">
        <v>23</v>
      </c>
    </row>
    <row r="48" spans="1:4">
      <c r="A48">
        <v>47</v>
      </c>
      <c r="B48" t="s">
        <v>23</v>
      </c>
      <c r="C48" t="s">
        <v>23</v>
      </c>
      <c r="D48" t="s">
        <v>23</v>
      </c>
    </row>
    <row r="49" spans="1:4">
      <c r="A49">
        <v>48</v>
      </c>
      <c r="B49" t="s">
        <v>23</v>
      </c>
      <c r="C49" t="s">
        <v>23</v>
      </c>
      <c r="D49" t="s">
        <v>23</v>
      </c>
    </row>
    <row r="50" spans="1:4">
      <c r="A50">
        <v>49</v>
      </c>
      <c r="B50" t="s">
        <v>23</v>
      </c>
      <c r="C50" t="s">
        <v>23</v>
      </c>
      <c r="D50" t="s">
        <v>23</v>
      </c>
    </row>
    <row r="51" spans="1:4">
      <c r="A51">
        <v>50</v>
      </c>
      <c r="B51" t="s">
        <v>23</v>
      </c>
      <c r="C51" t="s">
        <v>23</v>
      </c>
      <c r="D51" t="s">
        <v>23</v>
      </c>
    </row>
    <row r="52" spans="1:4">
      <c r="A52">
        <v>51</v>
      </c>
      <c r="B52" t="s">
        <v>23</v>
      </c>
      <c r="C52" t="s">
        <v>23</v>
      </c>
      <c r="D52" t="s">
        <v>23</v>
      </c>
    </row>
    <row r="53" spans="1:4">
      <c r="A53">
        <v>52</v>
      </c>
      <c r="B53" t="s">
        <v>23</v>
      </c>
      <c r="C53" t="s">
        <v>23</v>
      </c>
      <c r="D53" t="s">
        <v>23</v>
      </c>
    </row>
    <row r="54" spans="1:4">
      <c r="A54">
        <v>53</v>
      </c>
      <c r="B54" t="s">
        <v>23</v>
      </c>
      <c r="C54" t="s">
        <v>23</v>
      </c>
      <c r="D54" t="s">
        <v>23</v>
      </c>
    </row>
    <row r="55" spans="1:4">
      <c r="A55">
        <v>54</v>
      </c>
      <c r="B55" t="s">
        <v>23</v>
      </c>
      <c r="C55" t="s">
        <v>23</v>
      </c>
      <c r="D55" t="s">
        <v>23</v>
      </c>
    </row>
    <row r="56" spans="1:4">
      <c r="A56">
        <v>55</v>
      </c>
      <c r="B56" t="s">
        <v>23</v>
      </c>
      <c r="C56" t="s">
        <v>23</v>
      </c>
      <c r="D56" t="s">
        <v>23</v>
      </c>
    </row>
    <row r="57" spans="1:4">
      <c r="A57">
        <v>56</v>
      </c>
      <c r="B57" t="s">
        <v>23</v>
      </c>
      <c r="C57" t="s">
        <v>23</v>
      </c>
      <c r="D57" t="s">
        <v>23</v>
      </c>
    </row>
    <row r="58" spans="1:4">
      <c r="A58">
        <v>57</v>
      </c>
      <c r="B58" t="s">
        <v>23</v>
      </c>
      <c r="C58" t="s">
        <v>23</v>
      </c>
      <c r="D58" t="s">
        <v>23</v>
      </c>
    </row>
    <row r="59" spans="1:4">
      <c r="A59">
        <v>58</v>
      </c>
      <c r="B59" t="s">
        <v>23</v>
      </c>
      <c r="C59" t="s">
        <v>23</v>
      </c>
      <c r="D59" t="s">
        <v>23</v>
      </c>
    </row>
    <row r="60" spans="1:4">
      <c r="A60">
        <v>59</v>
      </c>
      <c r="B60" t="s">
        <v>23</v>
      </c>
      <c r="C60" t="s">
        <v>23</v>
      </c>
      <c r="D60" t="s">
        <v>23</v>
      </c>
    </row>
    <row r="61" spans="1:4">
      <c r="A61">
        <v>60</v>
      </c>
      <c r="B61" t="s">
        <v>23</v>
      </c>
      <c r="C61" t="s">
        <v>23</v>
      </c>
      <c r="D61" t="s">
        <v>23</v>
      </c>
    </row>
    <row r="62" spans="1:4">
      <c r="A62">
        <v>61</v>
      </c>
      <c r="B62" t="s">
        <v>23</v>
      </c>
      <c r="C62" t="s">
        <v>23</v>
      </c>
      <c r="D62" t="s">
        <v>23</v>
      </c>
    </row>
    <row r="63" spans="1:4">
      <c r="A63">
        <v>62</v>
      </c>
      <c r="B63" t="s">
        <v>23</v>
      </c>
      <c r="C63" t="s">
        <v>23</v>
      </c>
      <c r="D63" t="s">
        <v>23</v>
      </c>
    </row>
    <row r="64" spans="1:4">
      <c r="A64">
        <v>63</v>
      </c>
      <c r="B64" t="s">
        <v>23</v>
      </c>
      <c r="C64" t="s">
        <v>23</v>
      </c>
      <c r="D64" t="s">
        <v>23</v>
      </c>
    </row>
    <row r="65" spans="1:4">
      <c r="A65">
        <v>64</v>
      </c>
      <c r="B65" t="s">
        <v>23</v>
      </c>
      <c r="C65" t="s">
        <v>23</v>
      </c>
      <c r="D65" t="s">
        <v>23</v>
      </c>
    </row>
    <row r="66" spans="1:4">
      <c r="A66">
        <v>65</v>
      </c>
      <c r="B66" t="s">
        <v>23</v>
      </c>
      <c r="C66" t="s">
        <v>23</v>
      </c>
      <c r="D66" t="s">
        <v>23</v>
      </c>
    </row>
    <row r="67" spans="1:4">
      <c r="A67">
        <v>66</v>
      </c>
      <c r="B67" t="s">
        <v>23</v>
      </c>
      <c r="C67" t="s">
        <v>23</v>
      </c>
      <c r="D67" t="s">
        <v>23</v>
      </c>
    </row>
    <row r="68" spans="1:4">
      <c r="A68">
        <v>67</v>
      </c>
      <c r="B68" t="s">
        <v>23</v>
      </c>
      <c r="C68" t="s">
        <v>23</v>
      </c>
      <c r="D68" t="s">
        <v>23</v>
      </c>
    </row>
    <row r="69" spans="1:4">
      <c r="A69">
        <v>68</v>
      </c>
      <c r="B69" t="s">
        <v>23</v>
      </c>
      <c r="C69" t="s">
        <v>23</v>
      </c>
      <c r="D69" t="s">
        <v>23</v>
      </c>
    </row>
    <row r="70" spans="1:4">
      <c r="A70">
        <v>69</v>
      </c>
      <c r="B70" t="s">
        <v>23</v>
      </c>
      <c r="C70" t="s">
        <v>23</v>
      </c>
      <c r="D70" t="s">
        <v>23</v>
      </c>
    </row>
    <row r="71" spans="1:4">
      <c r="A71">
        <v>70</v>
      </c>
      <c r="B71" t="s">
        <v>23</v>
      </c>
      <c r="C71" t="s">
        <v>23</v>
      </c>
      <c r="D71" t="s">
        <v>23</v>
      </c>
    </row>
    <row r="72" spans="1:4">
      <c r="A72">
        <v>71</v>
      </c>
      <c r="B72" t="s">
        <v>23</v>
      </c>
      <c r="C72" t="s">
        <v>23</v>
      </c>
      <c r="D72" t="s">
        <v>23</v>
      </c>
    </row>
    <row r="73" spans="1:4">
      <c r="A73">
        <v>72</v>
      </c>
      <c r="B73" t="s">
        <v>23</v>
      </c>
      <c r="C73" t="s">
        <v>23</v>
      </c>
      <c r="D73" t="s">
        <v>23</v>
      </c>
    </row>
    <row r="74" spans="1:4">
      <c r="A74">
        <v>73</v>
      </c>
      <c r="B74" t="s">
        <v>23</v>
      </c>
      <c r="C74" t="s">
        <v>23</v>
      </c>
      <c r="D74" t="s">
        <v>23</v>
      </c>
    </row>
    <row r="75" spans="1:4">
      <c r="A75">
        <v>74</v>
      </c>
      <c r="B75" t="s">
        <v>23</v>
      </c>
      <c r="C75" t="s">
        <v>23</v>
      </c>
      <c r="D75" t="s">
        <v>23</v>
      </c>
    </row>
    <row r="76" spans="1:4">
      <c r="A76">
        <v>75</v>
      </c>
      <c r="B76" t="s">
        <v>23</v>
      </c>
      <c r="C76" t="s">
        <v>23</v>
      </c>
      <c r="D76" t="s">
        <v>23</v>
      </c>
    </row>
    <row r="77" spans="1:4">
      <c r="A77">
        <v>76</v>
      </c>
      <c r="B77" t="s">
        <v>23</v>
      </c>
      <c r="C77" t="s">
        <v>23</v>
      </c>
      <c r="D77" t="s">
        <v>23</v>
      </c>
    </row>
    <row r="78" spans="1:4">
      <c r="A78">
        <v>77</v>
      </c>
      <c r="B78" t="s">
        <v>23</v>
      </c>
      <c r="C78" t="s">
        <v>23</v>
      </c>
      <c r="D78" t="s">
        <v>23</v>
      </c>
    </row>
    <row r="79" spans="1:4">
      <c r="A79">
        <v>78</v>
      </c>
      <c r="B79" t="s">
        <v>23</v>
      </c>
      <c r="C79" t="s">
        <v>23</v>
      </c>
      <c r="D79" t="s">
        <v>23</v>
      </c>
    </row>
    <row r="80" spans="1:4">
      <c r="A80">
        <v>79</v>
      </c>
      <c r="B80" t="s">
        <v>23</v>
      </c>
      <c r="C80" t="s">
        <v>23</v>
      </c>
      <c r="D80" t="s">
        <v>23</v>
      </c>
    </row>
    <row r="81" spans="1:4">
      <c r="A81">
        <v>80</v>
      </c>
      <c r="B81" t="s">
        <v>23</v>
      </c>
      <c r="C81" t="s">
        <v>23</v>
      </c>
      <c r="D81" t="s">
        <v>23</v>
      </c>
    </row>
    <row r="82" spans="1:4">
      <c r="A82">
        <v>81</v>
      </c>
      <c r="B82" t="s">
        <v>23</v>
      </c>
      <c r="C82" t="s">
        <v>23</v>
      </c>
      <c r="D82" t="s">
        <v>23</v>
      </c>
    </row>
    <row r="83" spans="1:4">
      <c r="A83">
        <v>82</v>
      </c>
      <c r="B83" t="s">
        <v>23</v>
      </c>
      <c r="C83" t="s">
        <v>23</v>
      </c>
      <c r="D83" t="s">
        <v>23</v>
      </c>
    </row>
    <row r="84" spans="1:4">
      <c r="A84">
        <v>83</v>
      </c>
      <c r="B84" t="s">
        <v>23</v>
      </c>
      <c r="C84" t="s">
        <v>23</v>
      </c>
      <c r="D84" t="s">
        <v>23</v>
      </c>
    </row>
    <row r="85" spans="1:4">
      <c r="A85">
        <v>84</v>
      </c>
      <c r="B85" t="s">
        <v>23</v>
      </c>
      <c r="C85" t="s">
        <v>23</v>
      </c>
      <c r="D85" t="s">
        <v>23</v>
      </c>
    </row>
    <row r="86" spans="1:4">
      <c r="A86">
        <v>85</v>
      </c>
      <c r="B86" t="s">
        <v>23</v>
      </c>
      <c r="C86" t="s">
        <v>23</v>
      </c>
      <c r="D86" t="s">
        <v>23</v>
      </c>
    </row>
    <row r="87" spans="1:4">
      <c r="A87">
        <v>86</v>
      </c>
      <c r="B87" t="s">
        <v>23</v>
      </c>
      <c r="C87" t="s">
        <v>23</v>
      </c>
      <c r="D87" t="s">
        <v>23</v>
      </c>
    </row>
    <row r="88" spans="1:4">
      <c r="A88">
        <v>87</v>
      </c>
      <c r="B88" t="s">
        <v>23</v>
      </c>
      <c r="C88" t="s">
        <v>23</v>
      </c>
      <c r="D88" t="s">
        <v>23</v>
      </c>
    </row>
    <row r="89" spans="1:4">
      <c r="A89">
        <v>88</v>
      </c>
      <c r="B89" t="s">
        <v>23</v>
      </c>
      <c r="C89" t="s">
        <v>23</v>
      </c>
      <c r="D89" t="s">
        <v>23</v>
      </c>
    </row>
    <row r="90" spans="1:4">
      <c r="A90">
        <v>89</v>
      </c>
      <c r="B90" t="s">
        <v>23</v>
      </c>
      <c r="C90" t="s">
        <v>23</v>
      </c>
      <c r="D90" t="s">
        <v>23</v>
      </c>
    </row>
    <row r="91" spans="1:4">
      <c r="A91">
        <v>90</v>
      </c>
      <c r="B91" t="s">
        <v>23</v>
      </c>
      <c r="C91" t="s">
        <v>23</v>
      </c>
      <c r="D91" t="s">
        <v>23</v>
      </c>
    </row>
    <row r="92" spans="1:4">
      <c r="A92">
        <v>91</v>
      </c>
      <c r="B92" t="s">
        <v>23</v>
      </c>
      <c r="C92" t="s">
        <v>23</v>
      </c>
      <c r="D92" t="s">
        <v>23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6476F-6EEC-4F0A-A9F9-3FA1F43849AC}">
  <dimension ref="A1:O92"/>
  <sheetViews>
    <sheetView workbookViewId="0">
      <selection activeCell="C9" sqref="C9"/>
    </sheetView>
  </sheetViews>
  <sheetFormatPr defaultRowHeight="15"/>
  <cols>
    <col min="11" max="11" width="11" bestFit="1" customWidth="1"/>
  </cols>
  <sheetData>
    <row r="1" spans="1:15">
      <c r="A1" t="s">
        <v>63</v>
      </c>
      <c r="B1" t="s">
        <v>75</v>
      </c>
      <c r="C1" t="s">
        <v>76</v>
      </c>
      <c r="D1" t="s">
        <v>77</v>
      </c>
      <c r="F1" s="19"/>
      <c r="G1" t="s">
        <v>75</v>
      </c>
      <c r="H1" t="s">
        <v>76</v>
      </c>
      <c r="I1" t="s">
        <v>77</v>
      </c>
      <c r="J1" s="19" t="s">
        <v>65</v>
      </c>
      <c r="K1" s="19"/>
      <c r="N1" s="2"/>
      <c r="O1" s="19" t="s">
        <v>2</v>
      </c>
    </row>
    <row r="2" spans="1:15">
      <c r="A2">
        <v>1</v>
      </c>
      <c r="B2" s="22" t="s">
        <v>18</v>
      </c>
      <c r="C2" s="22" t="s">
        <v>18</v>
      </c>
      <c r="D2" t="s">
        <v>23</v>
      </c>
      <c r="F2" s="19" t="s">
        <v>64</v>
      </c>
      <c r="G2" s="19">
        <v>0</v>
      </c>
      <c r="H2" s="19">
        <v>0</v>
      </c>
      <c r="I2" s="19">
        <v>0</v>
      </c>
      <c r="J2" s="19">
        <f>SUM(G2:I2)</f>
        <v>0</v>
      </c>
      <c r="K2" s="19"/>
      <c r="O2" s="20" t="s">
        <v>16</v>
      </c>
    </row>
    <row r="3" spans="1:15">
      <c r="A3">
        <v>2</v>
      </c>
      <c r="B3" s="22" t="s">
        <v>18</v>
      </c>
      <c r="C3" s="22" t="s">
        <v>18</v>
      </c>
      <c r="D3" t="s">
        <v>23</v>
      </c>
      <c r="F3" s="19" t="s">
        <v>22</v>
      </c>
      <c r="G3" s="19" cm="1">
        <f t="array" ref="G3">(SUM(VLOOKUP(B2:B92,'102.5.1.01'!$AL$4:$AN$44,2,FALSE))+八卦后规划1!G2*10)*0.8</f>
        <v>816</v>
      </c>
      <c r="H3" s="19" cm="1">
        <f t="array" ref="H3">(SUM(VLOOKUP(C2:C92,'102.5.1.01'!$AL$4:$AN$44,2,FALSE))+八卦后规划1!H2*10)*0.8</f>
        <v>816</v>
      </c>
      <c r="I3" s="19" cm="1">
        <f t="array" ref="I3">(SUM(VLOOKUP(D2:D92,'102.5.1.01'!$AL$4:$AN$44,2,FALSE))+八卦后规划1!I2*10)*0.8</f>
        <v>0</v>
      </c>
      <c r="J3" s="19">
        <f t="shared" ref="J3:J5" si="0">SUM(G3:I3)</f>
        <v>1632</v>
      </c>
      <c r="K3" s="19"/>
      <c r="O3" s="21" t="s">
        <v>17</v>
      </c>
    </row>
    <row r="4" spans="1:15">
      <c r="A4">
        <v>3</v>
      </c>
      <c r="B4" s="22" t="s">
        <v>18</v>
      </c>
      <c r="C4" s="22" t="s">
        <v>18</v>
      </c>
      <c r="D4" t="s">
        <v>23</v>
      </c>
      <c r="F4" s="19" t="s">
        <v>24</v>
      </c>
      <c r="G4" s="19" cm="1">
        <f t="array" ref="G4">(SUM(VLOOKUP(B2:B92,'102.5.1.01'!$AL$4:$AN$44,3,FALSE)))</f>
        <v>270</v>
      </c>
      <c r="H4" s="19" cm="1">
        <f t="array" ref="H4">(SUM(VLOOKUP(C2:C92,'102.5.1.01'!$AL$4:$AN$44,3,FALSE)))</f>
        <v>270</v>
      </c>
      <c r="I4" s="19" cm="1">
        <f t="array" ref="I4">(SUM(VLOOKUP(D2:D92,'102.5.1.01'!$AL$4:$AN$44,3,FALSE)))</f>
        <v>0</v>
      </c>
      <c r="J4" s="71">
        <f t="shared" si="0"/>
        <v>540</v>
      </c>
      <c r="K4" s="19"/>
      <c r="O4" s="22" t="s">
        <v>18</v>
      </c>
    </row>
    <row r="5" spans="1:15">
      <c r="A5">
        <v>4</v>
      </c>
      <c r="B5" s="22" t="s">
        <v>18</v>
      </c>
      <c r="C5" s="22" t="s">
        <v>18</v>
      </c>
      <c r="D5" t="s">
        <v>23</v>
      </c>
      <c r="F5" s="19" t="s">
        <v>46</v>
      </c>
      <c r="G5" s="19">
        <f>COUNTIF(B2:B92,"&lt;&gt;空")</f>
        <v>6</v>
      </c>
      <c r="H5" s="19">
        <f t="shared" ref="H5:I5" si="1">COUNTIF(C2:C92,"&lt;&gt;空")</f>
        <v>6</v>
      </c>
      <c r="I5" s="19">
        <f t="shared" si="1"/>
        <v>0</v>
      </c>
      <c r="J5" s="19">
        <f t="shared" si="0"/>
        <v>12</v>
      </c>
      <c r="K5" s="19"/>
      <c r="O5" s="23" t="s">
        <v>19</v>
      </c>
    </row>
    <row r="6" spans="1:15">
      <c r="A6">
        <v>5</v>
      </c>
      <c r="B6" s="22" t="s">
        <v>18</v>
      </c>
      <c r="C6" s="22" t="s">
        <v>18</v>
      </c>
      <c r="D6" t="s">
        <v>23</v>
      </c>
      <c r="F6" s="19" t="s">
        <v>66</v>
      </c>
      <c r="G6">
        <f>G4/G3</f>
        <v>0.33088235294117646</v>
      </c>
      <c r="H6">
        <f t="shared" ref="H6:J6" si="2">H4/H3</f>
        <v>0.33088235294117646</v>
      </c>
      <c r="I6" t="e">
        <f t="shared" si="2"/>
        <v>#DIV/0!</v>
      </c>
      <c r="J6">
        <f t="shared" si="2"/>
        <v>0.33088235294117646</v>
      </c>
      <c r="O6" s="24" t="s">
        <v>20</v>
      </c>
    </row>
    <row r="7" spans="1:15">
      <c r="A7">
        <v>6</v>
      </c>
      <c r="B7" s="22" t="s">
        <v>18</v>
      </c>
      <c r="C7" s="22" t="s">
        <v>18</v>
      </c>
      <c r="D7" t="s">
        <v>23</v>
      </c>
      <c r="O7" s="25" t="s">
        <v>21</v>
      </c>
    </row>
    <row r="8" spans="1:15">
      <c r="A8">
        <v>7</v>
      </c>
      <c r="B8" t="s">
        <v>23</v>
      </c>
      <c r="C8" t="s">
        <v>23</v>
      </c>
      <c r="D8" t="s">
        <v>23</v>
      </c>
      <c r="O8" s="20" t="s">
        <v>5</v>
      </c>
    </row>
    <row r="9" spans="1:15">
      <c r="A9">
        <v>8</v>
      </c>
      <c r="B9" t="s">
        <v>23</v>
      </c>
      <c r="C9" t="s">
        <v>23</v>
      </c>
      <c r="D9" t="s">
        <v>23</v>
      </c>
      <c r="O9" s="21" t="s">
        <v>6</v>
      </c>
    </row>
    <row r="10" spans="1:15">
      <c r="A10">
        <v>9</v>
      </c>
      <c r="B10" t="s">
        <v>23</v>
      </c>
      <c r="C10" t="s">
        <v>23</v>
      </c>
      <c r="D10" t="s">
        <v>23</v>
      </c>
      <c r="O10" s="22" t="s">
        <v>7</v>
      </c>
    </row>
    <row r="11" spans="1:15">
      <c r="A11">
        <v>10</v>
      </c>
      <c r="B11" t="s">
        <v>23</v>
      </c>
      <c r="C11" t="s">
        <v>23</v>
      </c>
      <c r="D11" t="s">
        <v>23</v>
      </c>
      <c r="O11" s="23" t="s">
        <v>8</v>
      </c>
    </row>
    <row r="12" spans="1:15">
      <c r="A12">
        <v>11</v>
      </c>
      <c r="B12" t="s">
        <v>23</v>
      </c>
      <c r="C12" t="s">
        <v>23</v>
      </c>
      <c r="D12" t="s">
        <v>23</v>
      </c>
      <c r="O12" s="24" t="s">
        <v>9</v>
      </c>
    </row>
    <row r="13" spans="1:15">
      <c r="A13">
        <v>12</v>
      </c>
      <c r="B13" t="s">
        <v>23</v>
      </c>
      <c r="C13" t="s">
        <v>23</v>
      </c>
      <c r="D13" t="s">
        <v>23</v>
      </c>
      <c r="O13" s="25" t="s">
        <v>10</v>
      </c>
    </row>
    <row r="14" spans="1:15">
      <c r="A14">
        <v>13</v>
      </c>
      <c r="B14" t="s">
        <v>23</v>
      </c>
      <c r="C14" t="s">
        <v>23</v>
      </c>
      <c r="D14" t="s">
        <v>23</v>
      </c>
      <c r="O14" s="26" t="s">
        <v>11</v>
      </c>
    </row>
    <row r="15" spans="1:15">
      <c r="A15">
        <v>14</v>
      </c>
      <c r="B15" t="s">
        <v>23</v>
      </c>
      <c r="C15" t="s">
        <v>23</v>
      </c>
      <c r="D15" t="s">
        <v>23</v>
      </c>
      <c r="O15" s="28" t="s">
        <v>12</v>
      </c>
    </row>
    <row r="16" spans="1:15">
      <c r="A16">
        <v>15</v>
      </c>
      <c r="B16" t="s">
        <v>23</v>
      </c>
      <c r="C16" t="s">
        <v>23</v>
      </c>
      <c r="D16" t="s">
        <v>23</v>
      </c>
      <c r="N16" s="12" t="s">
        <v>25</v>
      </c>
      <c r="O16" s="29" t="s">
        <v>13</v>
      </c>
    </row>
    <row r="17" spans="1:15">
      <c r="A17">
        <v>16</v>
      </c>
      <c r="B17" t="s">
        <v>23</v>
      </c>
      <c r="C17" t="s">
        <v>23</v>
      </c>
      <c r="D17" t="s">
        <v>23</v>
      </c>
      <c r="O17" s="30" t="s">
        <v>71</v>
      </c>
    </row>
    <row r="18" spans="1:15">
      <c r="A18">
        <v>17</v>
      </c>
      <c r="B18" t="s">
        <v>23</v>
      </c>
      <c r="C18" t="s">
        <v>23</v>
      </c>
      <c r="D18" t="s">
        <v>23</v>
      </c>
      <c r="O18" s="30" t="s">
        <v>72</v>
      </c>
    </row>
    <row r="19" spans="1:15">
      <c r="A19">
        <v>18</v>
      </c>
      <c r="B19" t="s">
        <v>23</v>
      </c>
      <c r="C19" t="s">
        <v>23</v>
      </c>
      <c r="D19" t="s">
        <v>23</v>
      </c>
      <c r="O19" s="34" t="s">
        <v>14</v>
      </c>
    </row>
    <row r="20" spans="1:15">
      <c r="A20">
        <v>19</v>
      </c>
      <c r="B20" t="s">
        <v>23</v>
      </c>
      <c r="C20" t="s">
        <v>23</v>
      </c>
      <c r="D20" t="s">
        <v>23</v>
      </c>
      <c r="O20" s="32" t="s">
        <v>15</v>
      </c>
    </row>
    <row r="21" spans="1:15">
      <c r="A21">
        <v>20</v>
      </c>
      <c r="B21" t="s">
        <v>23</v>
      </c>
      <c r="C21" t="s">
        <v>23</v>
      </c>
      <c r="D21" t="s">
        <v>23</v>
      </c>
      <c r="O21" s="35" t="s">
        <v>41</v>
      </c>
    </row>
    <row r="22" spans="1:15">
      <c r="A22">
        <v>21</v>
      </c>
      <c r="B22" t="s">
        <v>23</v>
      </c>
      <c r="C22" t="s">
        <v>23</v>
      </c>
      <c r="D22" t="s">
        <v>23</v>
      </c>
      <c r="O22" s="31" t="s">
        <v>39</v>
      </c>
    </row>
    <row r="23" spans="1:15">
      <c r="A23">
        <v>22</v>
      </c>
      <c r="B23" t="s">
        <v>23</v>
      </c>
      <c r="C23" t="s">
        <v>23</v>
      </c>
      <c r="D23" t="s">
        <v>23</v>
      </c>
      <c r="O23" s="31" t="s">
        <v>40</v>
      </c>
    </row>
    <row r="24" spans="1:15">
      <c r="A24">
        <v>23</v>
      </c>
      <c r="B24" t="s">
        <v>23</v>
      </c>
      <c r="C24" t="s">
        <v>23</v>
      </c>
      <c r="D24" t="s">
        <v>23</v>
      </c>
      <c r="O24" s="31" t="s">
        <v>38</v>
      </c>
    </row>
    <row r="25" spans="1:15">
      <c r="A25">
        <v>24</v>
      </c>
      <c r="B25" t="s">
        <v>23</v>
      </c>
      <c r="C25" t="s">
        <v>23</v>
      </c>
      <c r="D25" t="s">
        <v>23</v>
      </c>
      <c r="O25" s="33" t="s">
        <v>23</v>
      </c>
    </row>
    <row r="26" spans="1:15" ht="15.75" thickBot="1">
      <c r="A26">
        <v>25</v>
      </c>
      <c r="B26" t="s">
        <v>23</v>
      </c>
      <c r="C26" t="s">
        <v>23</v>
      </c>
      <c r="D26" t="s">
        <v>23</v>
      </c>
      <c r="N26" s="14" t="s">
        <v>26</v>
      </c>
      <c r="O26" s="29" t="s">
        <v>47</v>
      </c>
    </row>
    <row r="27" spans="1:15">
      <c r="A27">
        <v>26</v>
      </c>
      <c r="B27" t="s">
        <v>23</v>
      </c>
      <c r="C27" t="s">
        <v>23</v>
      </c>
      <c r="D27" t="s">
        <v>23</v>
      </c>
    </row>
    <row r="28" spans="1:15">
      <c r="A28">
        <v>27</v>
      </c>
      <c r="B28" t="s">
        <v>23</v>
      </c>
      <c r="C28" t="s">
        <v>23</v>
      </c>
      <c r="D28" t="s">
        <v>23</v>
      </c>
    </row>
    <row r="29" spans="1:15">
      <c r="A29">
        <v>28</v>
      </c>
      <c r="B29" t="s">
        <v>23</v>
      </c>
      <c r="C29" t="s">
        <v>23</v>
      </c>
      <c r="D29" t="s">
        <v>23</v>
      </c>
    </row>
    <row r="30" spans="1:15">
      <c r="A30">
        <v>29</v>
      </c>
      <c r="B30" t="s">
        <v>23</v>
      </c>
      <c r="C30" t="s">
        <v>23</v>
      </c>
      <c r="D30" t="s">
        <v>23</v>
      </c>
    </row>
    <row r="31" spans="1:15">
      <c r="A31">
        <v>30</v>
      </c>
      <c r="B31" t="s">
        <v>23</v>
      </c>
      <c r="C31" t="s">
        <v>23</v>
      </c>
      <c r="D31" t="s">
        <v>23</v>
      </c>
    </row>
    <row r="32" spans="1:15">
      <c r="A32">
        <v>31</v>
      </c>
      <c r="B32" t="s">
        <v>23</v>
      </c>
      <c r="C32" t="s">
        <v>23</v>
      </c>
      <c r="D32" t="s">
        <v>23</v>
      </c>
    </row>
    <row r="33" spans="1:4">
      <c r="A33">
        <v>32</v>
      </c>
      <c r="B33" t="s">
        <v>23</v>
      </c>
      <c r="C33" t="s">
        <v>23</v>
      </c>
      <c r="D33" t="s">
        <v>23</v>
      </c>
    </row>
    <row r="34" spans="1:4">
      <c r="A34">
        <v>33</v>
      </c>
      <c r="B34" t="s">
        <v>23</v>
      </c>
      <c r="C34" t="s">
        <v>23</v>
      </c>
      <c r="D34" t="s">
        <v>23</v>
      </c>
    </row>
    <row r="35" spans="1:4">
      <c r="A35">
        <v>34</v>
      </c>
      <c r="B35" t="s">
        <v>23</v>
      </c>
      <c r="C35" t="s">
        <v>23</v>
      </c>
      <c r="D35" t="s">
        <v>23</v>
      </c>
    </row>
    <row r="36" spans="1:4">
      <c r="A36">
        <v>35</v>
      </c>
      <c r="B36" t="s">
        <v>23</v>
      </c>
      <c r="C36" t="s">
        <v>23</v>
      </c>
      <c r="D36" t="s">
        <v>23</v>
      </c>
    </row>
    <row r="37" spans="1:4">
      <c r="A37">
        <v>36</v>
      </c>
      <c r="B37" t="s">
        <v>23</v>
      </c>
      <c r="C37" t="s">
        <v>23</v>
      </c>
      <c r="D37" t="s">
        <v>23</v>
      </c>
    </row>
    <row r="38" spans="1:4">
      <c r="A38">
        <v>37</v>
      </c>
      <c r="B38" t="s">
        <v>23</v>
      </c>
      <c r="C38" t="s">
        <v>23</v>
      </c>
      <c r="D38" t="s">
        <v>23</v>
      </c>
    </row>
    <row r="39" spans="1:4">
      <c r="A39">
        <v>38</v>
      </c>
      <c r="B39" t="s">
        <v>23</v>
      </c>
      <c r="C39" t="s">
        <v>23</v>
      </c>
      <c r="D39" t="s">
        <v>23</v>
      </c>
    </row>
    <row r="40" spans="1:4">
      <c r="A40">
        <v>39</v>
      </c>
      <c r="B40" t="s">
        <v>23</v>
      </c>
      <c r="C40" t="s">
        <v>23</v>
      </c>
      <c r="D40" t="s">
        <v>23</v>
      </c>
    </row>
    <row r="41" spans="1:4">
      <c r="A41">
        <v>40</v>
      </c>
      <c r="B41" t="s">
        <v>23</v>
      </c>
      <c r="C41" t="s">
        <v>23</v>
      </c>
      <c r="D41" t="s">
        <v>23</v>
      </c>
    </row>
    <row r="42" spans="1:4">
      <c r="A42">
        <v>41</v>
      </c>
      <c r="B42" t="s">
        <v>23</v>
      </c>
      <c r="C42" t="s">
        <v>23</v>
      </c>
      <c r="D42" t="s">
        <v>23</v>
      </c>
    </row>
    <row r="43" spans="1:4">
      <c r="A43">
        <v>42</v>
      </c>
      <c r="B43" t="s">
        <v>23</v>
      </c>
      <c r="C43" t="s">
        <v>23</v>
      </c>
      <c r="D43" t="s">
        <v>23</v>
      </c>
    </row>
    <row r="44" spans="1:4">
      <c r="A44">
        <v>43</v>
      </c>
      <c r="B44" t="s">
        <v>23</v>
      </c>
      <c r="C44" t="s">
        <v>23</v>
      </c>
      <c r="D44" t="s">
        <v>23</v>
      </c>
    </row>
    <row r="45" spans="1:4">
      <c r="A45">
        <v>44</v>
      </c>
      <c r="B45" t="s">
        <v>23</v>
      </c>
      <c r="C45" t="s">
        <v>23</v>
      </c>
      <c r="D45" t="s">
        <v>23</v>
      </c>
    </row>
    <row r="46" spans="1:4">
      <c r="A46">
        <v>45</v>
      </c>
      <c r="B46" t="s">
        <v>23</v>
      </c>
      <c r="C46" t="s">
        <v>23</v>
      </c>
      <c r="D46" t="s">
        <v>23</v>
      </c>
    </row>
    <row r="47" spans="1:4">
      <c r="A47">
        <v>46</v>
      </c>
      <c r="B47" t="s">
        <v>23</v>
      </c>
      <c r="C47" t="s">
        <v>23</v>
      </c>
      <c r="D47" t="s">
        <v>23</v>
      </c>
    </row>
    <row r="48" spans="1:4">
      <c r="A48">
        <v>47</v>
      </c>
      <c r="B48" t="s">
        <v>23</v>
      </c>
      <c r="C48" t="s">
        <v>23</v>
      </c>
      <c r="D48" t="s">
        <v>23</v>
      </c>
    </row>
    <row r="49" spans="1:4">
      <c r="A49">
        <v>48</v>
      </c>
      <c r="B49" t="s">
        <v>23</v>
      </c>
      <c r="C49" t="s">
        <v>23</v>
      </c>
      <c r="D49" t="s">
        <v>23</v>
      </c>
    </row>
    <row r="50" spans="1:4">
      <c r="A50">
        <v>49</v>
      </c>
      <c r="B50" t="s">
        <v>23</v>
      </c>
      <c r="C50" t="s">
        <v>23</v>
      </c>
      <c r="D50" t="s">
        <v>23</v>
      </c>
    </row>
    <row r="51" spans="1:4">
      <c r="A51">
        <v>50</v>
      </c>
      <c r="B51" t="s">
        <v>23</v>
      </c>
      <c r="C51" t="s">
        <v>23</v>
      </c>
      <c r="D51" t="s">
        <v>23</v>
      </c>
    </row>
    <row r="52" spans="1:4">
      <c r="A52">
        <v>51</v>
      </c>
      <c r="B52" t="s">
        <v>23</v>
      </c>
      <c r="C52" t="s">
        <v>23</v>
      </c>
      <c r="D52" t="s">
        <v>23</v>
      </c>
    </row>
    <row r="53" spans="1:4">
      <c r="A53">
        <v>52</v>
      </c>
      <c r="B53" t="s">
        <v>23</v>
      </c>
      <c r="C53" t="s">
        <v>23</v>
      </c>
      <c r="D53" t="s">
        <v>23</v>
      </c>
    </row>
    <row r="54" spans="1:4">
      <c r="A54">
        <v>53</v>
      </c>
      <c r="B54" t="s">
        <v>23</v>
      </c>
      <c r="C54" t="s">
        <v>23</v>
      </c>
      <c r="D54" t="s">
        <v>23</v>
      </c>
    </row>
    <row r="55" spans="1:4">
      <c r="A55">
        <v>54</v>
      </c>
      <c r="B55" t="s">
        <v>23</v>
      </c>
      <c r="C55" t="s">
        <v>23</v>
      </c>
      <c r="D55" t="s">
        <v>23</v>
      </c>
    </row>
    <row r="56" spans="1:4">
      <c r="A56">
        <v>55</v>
      </c>
      <c r="B56" t="s">
        <v>23</v>
      </c>
      <c r="C56" t="s">
        <v>23</v>
      </c>
      <c r="D56" t="s">
        <v>23</v>
      </c>
    </row>
    <row r="57" spans="1:4">
      <c r="A57">
        <v>56</v>
      </c>
      <c r="B57" t="s">
        <v>23</v>
      </c>
      <c r="C57" t="s">
        <v>23</v>
      </c>
      <c r="D57" t="s">
        <v>23</v>
      </c>
    </row>
    <row r="58" spans="1:4">
      <c r="A58">
        <v>57</v>
      </c>
      <c r="B58" t="s">
        <v>23</v>
      </c>
      <c r="C58" t="s">
        <v>23</v>
      </c>
      <c r="D58" t="s">
        <v>23</v>
      </c>
    </row>
    <row r="59" spans="1:4">
      <c r="A59">
        <v>58</v>
      </c>
      <c r="B59" t="s">
        <v>23</v>
      </c>
      <c r="C59" t="s">
        <v>23</v>
      </c>
      <c r="D59" t="s">
        <v>23</v>
      </c>
    </row>
    <row r="60" spans="1:4">
      <c r="A60">
        <v>59</v>
      </c>
      <c r="B60" t="s">
        <v>23</v>
      </c>
      <c r="C60" t="s">
        <v>23</v>
      </c>
      <c r="D60" t="s">
        <v>23</v>
      </c>
    </row>
    <row r="61" spans="1:4">
      <c r="A61">
        <v>60</v>
      </c>
      <c r="B61" t="s">
        <v>23</v>
      </c>
      <c r="C61" t="s">
        <v>23</v>
      </c>
      <c r="D61" t="s">
        <v>23</v>
      </c>
    </row>
    <row r="62" spans="1:4">
      <c r="A62">
        <v>61</v>
      </c>
      <c r="B62" t="s">
        <v>23</v>
      </c>
      <c r="C62" t="s">
        <v>23</v>
      </c>
      <c r="D62" t="s">
        <v>23</v>
      </c>
    </row>
    <row r="63" spans="1:4">
      <c r="A63">
        <v>62</v>
      </c>
      <c r="B63" t="s">
        <v>23</v>
      </c>
      <c r="C63" t="s">
        <v>23</v>
      </c>
      <c r="D63" t="s">
        <v>23</v>
      </c>
    </row>
    <row r="64" spans="1:4">
      <c r="A64">
        <v>63</v>
      </c>
      <c r="B64" t="s">
        <v>23</v>
      </c>
      <c r="C64" t="s">
        <v>23</v>
      </c>
      <c r="D64" t="s">
        <v>23</v>
      </c>
    </row>
    <row r="65" spans="1:4">
      <c r="A65">
        <v>64</v>
      </c>
      <c r="B65" t="s">
        <v>23</v>
      </c>
      <c r="C65" t="s">
        <v>23</v>
      </c>
      <c r="D65" t="s">
        <v>23</v>
      </c>
    </row>
    <row r="66" spans="1:4">
      <c r="A66">
        <v>65</v>
      </c>
      <c r="B66" t="s">
        <v>23</v>
      </c>
      <c r="C66" t="s">
        <v>23</v>
      </c>
      <c r="D66" t="s">
        <v>23</v>
      </c>
    </row>
    <row r="67" spans="1:4">
      <c r="A67">
        <v>66</v>
      </c>
      <c r="B67" t="s">
        <v>23</v>
      </c>
      <c r="C67" t="s">
        <v>23</v>
      </c>
      <c r="D67" t="s">
        <v>23</v>
      </c>
    </row>
    <row r="68" spans="1:4">
      <c r="A68">
        <v>67</v>
      </c>
      <c r="B68" t="s">
        <v>23</v>
      </c>
      <c r="C68" t="s">
        <v>23</v>
      </c>
      <c r="D68" t="s">
        <v>23</v>
      </c>
    </row>
    <row r="69" spans="1:4">
      <c r="A69">
        <v>68</v>
      </c>
      <c r="B69" t="s">
        <v>23</v>
      </c>
      <c r="C69" t="s">
        <v>23</v>
      </c>
      <c r="D69" t="s">
        <v>23</v>
      </c>
    </row>
    <row r="70" spans="1:4">
      <c r="A70">
        <v>69</v>
      </c>
      <c r="B70" t="s">
        <v>23</v>
      </c>
      <c r="C70" t="s">
        <v>23</v>
      </c>
      <c r="D70" t="s">
        <v>23</v>
      </c>
    </row>
    <row r="71" spans="1:4">
      <c r="A71">
        <v>70</v>
      </c>
      <c r="B71" t="s">
        <v>23</v>
      </c>
      <c r="C71" t="s">
        <v>23</v>
      </c>
      <c r="D71" t="s">
        <v>23</v>
      </c>
    </row>
    <row r="72" spans="1:4">
      <c r="A72">
        <v>71</v>
      </c>
      <c r="B72" t="s">
        <v>23</v>
      </c>
      <c r="C72" t="s">
        <v>23</v>
      </c>
      <c r="D72" t="s">
        <v>23</v>
      </c>
    </row>
    <row r="73" spans="1:4">
      <c r="A73">
        <v>72</v>
      </c>
      <c r="B73" t="s">
        <v>23</v>
      </c>
      <c r="C73" t="s">
        <v>23</v>
      </c>
      <c r="D73" t="s">
        <v>23</v>
      </c>
    </row>
    <row r="74" spans="1:4">
      <c r="A74">
        <v>73</v>
      </c>
      <c r="B74" t="s">
        <v>23</v>
      </c>
      <c r="C74" t="s">
        <v>23</v>
      </c>
      <c r="D74" t="s">
        <v>23</v>
      </c>
    </row>
    <row r="75" spans="1:4">
      <c r="A75">
        <v>74</v>
      </c>
      <c r="B75" t="s">
        <v>23</v>
      </c>
      <c r="C75" t="s">
        <v>23</v>
      </c>
      <c r="D75" t="s">
        <v>23</v>
      </c>
    </row>
    <row r="76" spans="1:4">
      <c r="A76">
        <v>75</v>
      </c>
      <c r="B76" t="s">
        <v>23</v>
      </c>
      <c r="C76" t="s">
        <v>23</v>
      </c>
      <c r="D76" t="s">
        <v>23</v>
      </c>
    </row>
    <row r="77" spans="1:4">
      <c r="A77">
        <v>76</v>
      </c>
      <c r="B77" t="s">
        <v>23</v>
      </c>
      <c r="C77" t="s">
        <v>23</v>
      </c>
      <c r="D77" t="s">
        <v>23</v>
      </c>
    </row>
    <row r="78" spans="1:4">
      <c r="A78">
        <v>77</v>
      </c>
      <c r="B78" t="s">
        <v>23</v>
      </c>
      <c r="C78" t="s">
        <v>23</v>
      </c>
      <c r="D78" t="s">
        <v>23</v>
      </c>
    </row>
    <row r="79" spans="1:4">
      <c r="A79">
        <v>78</v>
      </c>
      <c r="B79" t="s">
        <v>23</v>
      </c>
      <c r="C79" t="s">
        <v>23</v>
      </c>
      <c r="D79" t="s">
        <v>23</v>
      </c>
    </row>
    <row r="80" spans="1:4">
      <c r="A80">
        <v>79</v>
      </c>
      <c r="B80" t="s">
        <v>23</v>
      </c>
      <c r="C80" t="s">
        <v>23</v>
      </c>
      <c r="D80" t="s">
        <v>23</v>
      </c>
    </row>
    <row r="81" spans="1:4">
      <c r="A81">
        <v>80</v>
      </c>
      <c r="B81" t="s">
        <v>23</v>
      </c>
      <c r="C81" t="s">
        <v>23</v>
      </c>
      <c r="D81" t="s">
        <v>23</v>
      </c>
    </row>
    <row r="82" spans="1:4">
      <c r="A82">
        <v>81</v>
      </c>
      <c r="B82" t="s">
        <v>23</v>
      </c>
      <c r="C82" t="s">
        <v>23</v>
      </c>
      <c r="D82" t="s">
        <v>23</v>
      </c>
    </row>
    <row r="83" spans="1:4">
      <c r="A83">
        <v>82</v>
      </c>
      <c r="B83" t="s">
        <v>23</v>
      </c>
      <c r="C83" t="s">
        <v>23</v>
      </c>
      <c r="D83" t="s">
        <v>23</v>
      </c>
    </row>
    <row r="84" spans="1:4">
      <c r="A84">
        <v>83</v>
      </c>
      <c r="B84" t="s">
        <v>23</v>
      </c>
      <c r="C84" t="s">
        <v>23</v>
      </c>
      <c r="D84" t="s">
        <v>23</v>
      </c>
    </row>
    <row r="85" spans="1:4">
      <c r="A85">
        <v>84</v>
      </c>
      <c r="B85" t="s">
        <v>23</v>
      </c>
      <c r="C85" t="s">
        <v>23</v>
      </c>
      <c r="D85" t="s">
        <v>23</v>
      </c>
    </row>
    <row r="86" spans="1:4">
      <c r="A86">
        <v>85</v>
      </c>
      <c r="B86" t="s">
        <v>23</v>
      </c>
      <c r="C86" t="s">
        <v>23</v>
      </c>
      <c r="D86" t="s">
        <v>23</v>
      </c>
    </row>
    <row r="87" spans="1:4">
      <c r="A87">
        <v>86</v>
      </c>
      <c r="B87" t="s">
        <v>23</v>
      </c>
      <c r="C87" t="s">
        <v>23</v>
      </c>
      <c r="D87" t="s">
        <v>23</v>
      </c>
    </row>
    <row r="88" spans="1:4">
      <c r="A88">
        <v>87</v>
      </c>
      <c r="B88" t="s">
        <v>23</v>
      </c>
      <c r="C88" t="s">
        <v>23</v>
      </c>
      <c r="D88" t="s">
        <v>23</v>
      </c>
    </row>
    <row r="89" spans="1:4">
      <c r="A89">
        <v>88</v>
      </c>
      <c r="B89" t="s">
        <v>23</v>
      </c>
      <c r="C89" t="s">
        <v>23</v>
      </c>
      <c r="D89" t="s">
        <v>23</v>
      </c>
    </row>
    <row r="90" spans="1:4">
      <c r="A90">
        <v>89</v>
      </c>
      <c r="B90" t="s">
        <v>23</v>
      </c>
      <c r="C90" t="s">
        <v>23</v>
      </c>
      <c r="D90" t="s">
        <v>23</v>
      </c>
    </row>
    <row r="91" spans="1:4">
      <c r="A91">
        <v>90</v>
      </c>
      <c r="B91" t="s">
        <v>23</v>
      </c>
      <c r="C91" t="s">
        <v>23</v>
      </c>
      <c r="D91" t="s">
        <v>23</v>
      </c>
    </row>
    <row r="92" spans="1:4">
      <c r="A92">
        <v>91</v>
      </c>
      <c r="B92" t="s">
        <v>23</v>
      </c>
      <c r="C92" t="s">
        <v>23</v>
      </c>
      <c r="D92" t="s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83D75-3857-437B-833E-EFB72F463F7E}">
  <dimension ref="A1:O92"/>
  <sheetViews>
    <sheetView workbookViewId="0">
      <selection activeCell="O36" sqref="O36"/>
    </sheetView>
  </sheetViews>
  <sheetFormatPr defaultRowHeight="15"/>
  <cols>
    <col min="11" max="11" width="11" bestFit="1" customWidth="1"/>
  </cols>
  <sheetData>
    <row r="1" spans="1:15">
      <c r="A1" t="s">
        <v>63</v>
      </c>
      <c r="B1" t="s">
        <v>75</v>
      </c>
      <c r="C1" t="s">
        <v>76</v>
      </c>
      <c r="D1" t="s">
        <v>77</v>
      </c>
      <c r="F1" s="19"/>
      <c r="G1" t="s">
        <v>75</v>
      </c>
      <c r="H1" t="s">
        <v>76</v>
      </c>
      <c r="I1" t="s">
        <v>77</v>
      </c>
      <c r="J1" s="19" t="s">
        <v>65</v>
      </c>
      <c r="K1" s="19"/>
      <c r="N1" s="2"/>
      <c r="O1" s="19" t="s">
        <v>2</v>
      </c>
    </row>
    <row r="2" spans="1:15">
      <c r="A2">
        <v>1</v>
      </c>
      <c r="B2" s="21" t="s">
        <v>17</v>
      </c>
      <c r="C2" s="21" t="s">
        <v>17</v>
      </c>
      <c r="D2" t="s">
        <v>23</v>
      </c>
      <c r="F2" s="19" t="s">
        <v>64</v>
      </c>
      <c r="G2" s="19">
        <v>1</v>
      </c>
      <c r="H2" s="19">
        <v>3</v>
      </c>
      <c r="I2" s="19">
        <v>0</v>
      </c>
      <c r="J2" s="19">
        <f>SUM(G2:I2)</f>
        <v>4</v>
      </c>
      <c r="K2" s="19"/>
      <c r="O2" s="20" t="s">
        <v>16</v>
      </c>
    </row>
    <row r="3" spans="1:15">
      <c r="A3">
        <v>2</v>
      </c>
      <c r="B3" s="28" t="s">
        <v>12</v>
      </c>
      <c r="C3" s="28" t="s">
        <v>12</v>
      </c>
      <c r="D3" t="s">
        <v>23</v>
      </c>
      <c r="F3" s="19" t="s">
        <v>22</v>
      </c>
      <c r="G3" s="19" cm="1">
        <f t="array" ref="G3">(SUM(VLOOKUP(B2:B92,'102.5.1.01'!$AL$4:$AN$44,2,FALSE))+八卦后规划2!G2*10)*0.8</f>
        <v>1832</v>
      </c>
      <c r="H3" s="19" cm="1">
        <f t="array" ref="H3">(SUM(VLOOKUP(C2:C92,'102.5.1.01'!$AL$4:$AN$44,2,FALSE))+八卦后规划2!H2*10)*0.8</f>
        <v>1848</v>
      </c>
      <c r="I3" s="19" cm="1">
        <f t="array" ref="I3">(SUM(VLOOKUP(D2:D92,'102.5.1.01'!$AL$4:$AN$44,2,FALSE))+八卦后规划2!I2*10)*0.8</f>
        <v>0</v>
      </c>
      <c r="J3" s="19">
        <f t="shared" ref="J3:J5" si="0">SUM(G3:I3)</f>
        <v>3680</v>
      </c>
      <c r="K3" s="19"/>
      <c r="O3" s="21" t="s">
        <v>17</v>
      </c>
    </row>
    <row r="4" spans="1:15">
      <c r="A4">
        <v>3</v>
      </c>
      <c r="B4" s="21" t="s">
        <v>17</v>
      </c>
      <c r="C4" s="22" t="s">
        <v>18</v>
      </c>
      <c r="D4" t="s">
        <v>23</v>
      </c>
      <c r="F4" s="19" t="s">
        <v>24</v>
      </c>
      <c r="G4" s="19" cm="1">
        <f t="array" ref="G4">(SUM(VLOOKUP(B2:B92,'102.5.1.01'!$AL$4:$AN$44,3,FALSE)))</f>
        <v>630</v>
      </c>
      <c r="H4" s="19" cm="1">
        <f t="array" ref="H4">(SUM(VLOOKUP(C2:C92,'102.5.1.01'!$AL$4:$AN$44,3,FALSE)))</f>
        <v>630</v>
      </c>
      <c r="I4" s="19" cm="1">
        <f t="array" ref="I4">(SUM(VLOOKUP(D2:D92,'102.5.1.01'!$AL$4:$AN$44,3,FALSE)))</f>
        <v>0</v>
      </c>
      <c r="J4" s="71">
        <f t="shared" si="0"/>
        <v>1260</v>
      </c>
      <c r="K4" s="19"/>
      <c r="O4" s="22" t="s">
        <v>18</v>
      </c>
    </row>
    <row r="5" spans="1:15">
      <c r="A5">
        <v>4</v>
      </c>
      <c r="B5" s="21" t="s">
        <v>17</v>
      </c>
      <c r="C5" s="22" t="s">
        <v>18</v>
      </c>
      <c r="D5" t="s">
        <v>23</v>
      </c>
      <c r="F5" s="19" t="s">
        <v>46</v>
      </c>
      <c r="G5" s="19">
        <f>COUNTIF(B2:B92,"&lt;&gt;空")</f>
        <v>15</v>
      </c>
      <c r="H5" s="19">
        <f t="shared" ref="H5:I5" si="1">COUNTIF(C2:C92,"&lt;&gt;空")</f>
        <v>15</v>
      </c>
      <c r="I5" s="19">
        <f t="shared" si="1"/>
        <v>0</v>
      </c>
      <c r="J5" s="19">
        <f t="shared" si="0"/>
        <v>30</v>
      </c>
      <c r="K5" s="19"/>
      <c r="O5" s="23" t="s">
        <v>19</v>
      </c>
    </row>
    <row r="6" spans="1:15">
      <c r="A6">
        <v>5</v>
      </c>
      <c r="B6" s="22" t="s">
        <v>18</v>
      </c>
      <c r="C6" s="22" t="s">
        <v>18</v>
      </c>
      <c r="D6" t="s">
        <v>23</v>
      </c>
      <c r="F6" s="19" t="s">
        <v>66</v>
      </c>
      <c r="G6">
        <f>G4/G3</f>
        <v>0.34388646288209607</v>
      </c>
      <c r="H6">
        <f t="shared" ref="H6:J6" si="2">H4/H3</f>
        <v>0.34090909090909088</v>
      </c>
      <c r="I6" t="e">
        <f t="shared" si="2"/>
        <v>#DIV/0!</v>
      </c>
      <c r="J6">
        <f t="shared" si="2"/>
        <v>0.34239130434782611</v>
      </c>
      <c r="O6" s="24" t="s">
        <v>20</v>
      </c>
    </row>
    <row r="7" spans="1:15">
      <c r="A7">
        <v>6</v>
      </c>
      <c r="B7" s="22" t="s">
        <v>18</v>
      </c>
      <c r="C7" s="22" t="s">
        <v>18</v>
      </c>
      <c r="D7" t="s">
        <v>23</v>
      </c>
      <c r="O7" s="25" t="s">
        <v>21</v>
      </c>
    </row>
    <row r="8" spans="1:15">
      <c r="A8">
        <v>7</v>
      </c>
      <c r="B8" s="22" t="s">
        <v>18</v>
      </c>
      <c r="C8" s="22" t="s">
        <v>18</v>
      </c>
      <c r="D8" t="s">
        <v>23</v>
      </c>
      <c r="O8" s="20" t="s">
        <v>5</v>
      </c>
    </row>
    <row r="9" spans="1:15">
      <c r="A9">
        <v>8</v>
      </c>
      <c r="B9" s="22" t="s">
        <v>18</v>
      </c>
      <c r="C9" s="22" t="s">
        <v>18</v>
      </c>
      <c r="D9" t="s">
        <v>23</v>
      </c>
      <c r="O9" s="21" t="s">
        <v>6</v>
      </c>
    </row>
    <row r="10" spans="1:15">
      <c r="A10">
        <v>9</v>
      </c>
      <c r="B10" s="28" t="s">
        <v>12</v>
      </c>
      <c r="C10" s="22" t="s">
        <v>18</v>
      </c>
      <c r="D10" t="s">
        <v>23</v>
      </c>
      <c r="O10" s="22" t="s">
        <v>7</v>
      </c>
    </row>
    <row r="11" spans="1:15">
      <c r="A11">
        <v>10</v>
      </c>
      <c r="B11" s="22" t="s">
        <v>18</v>
      </c>
      <c r="C11" s="22" t="s">
        <v>18</v>
      </c>
      <c r="D11" t="s">
        <v>23</v>
      </c>
      <c r="O11" s="23" t="s">
        <v>8</v>
      </c>
    </row>
    <row r="12" spans="1:15">
      <c r="A12">
        <v>11</v>
      </c>
      <c r="B12" s="22" t="s">
        <v>18</v>
      </c>
      <c r="C12" s="22" t="s">
        <v>18</v>
      </c>
      <c r="D12" t="s">
        <v>23</v>
      </c>
      <c r="O12" s="24" t="s">
        <v>9</v>
      </c>
    </row>
    <row r="13" spans="1:15">
      <c r="A13">
        <v>12</v>
      </c>
      <c r="B13" s="22" t="s">
        <v>18</v>
      </c>
      <c r="C13" s="22" t="s">
        <v>18</v>
      </c>
      <c r="D13" t="s">
        <v>23</v>
      </c>
      <c r="O13" s="25" t="s">
        <v>10</v>
      </c>
    </row>
    <row r="14" spans="1:15">
      <c r="A14">
        <v>13</v>
      </c>
      <c r="B14" s="22" t="s">
        <v>18</v>
      </c>
      <c r="C14" s="22" t="s">
        <v>18</v>
      </c>
      <c r="D14" t="s">
        <v>23</v>
      </c>
      <c r="O14" s="26" t="s">
        <v>11</v>
      </c>
    </row>
    <row r="15" spans="1:15">
      <c r="A15">
        <v>14</v>
      </c>
      <c r="B15" s="22" t="s">
        <v>18</v>
      </c>
      <c r="C15" s="28" t="s">
        <v>12</v>
      </c>
      <c r="D15" t="s">
        <v>23</v>
      </c>
      <c r="O15" s="28" t="s">
        <v>12</v>
      </c>
    </row>
    <row r="16" spans="1:15">
      <c r="A16">
        <v>15</v>
      </c>
      <c r="B16" s="22" t="s">
        <v>18</v>
      </c>
      <c r="C16" s="26" t="s">
        <v>11</v>
      </c>
      <c r="D16" t="s">
        <v>23</v>
      </c>
      <c r="N16" s="12" t="s">
        <v>25</v>
      </c>
      <c r="O16" s="29" t="s">
        <v>13</v>
      </c>
    </row>
    <row r="17" spans="1:15">
      <c r="A17">
        <v>16</v>
      </c>
      <c r="B17" t="s">
        <v>23</v>
      </c>
      <c r="C17" t="s">
        <v>23</v>
      </c>
      <c r="D17" t="s">
        <v>23</v>
      </c>
      <c r="O17" s="30" t="s">
        <v>71</v>
      </c>
    </row>
    <row r="18" spans="1:15">
      <c r="A18">
        <v>17</v>
      </c>
      <c r="B18" t="s">
        <v>23</v>
      </c>
      <c r="C18" t="s">
        <v>23</v>
      </c>
      <c r="D18" t="s">
        <v>23</v>
      </c>
      <c r="O18" s="30" t="s">
        <v>72</v>
      </c>
    </row>
    <row r="19" spans="1:15">
      <c r="A19">
        <v>18</v>
      </c>
      <c r="B19" t="s">
        <v>23</v>
      </c>
      <c r="C19" t="s">
        <v>23</v>
      </c>
      <c r="D19" t="s">
        <v>23</v>
      </c>
      <c r="O19" s="34" t="s">
        <v>14</v>
      </c>
    </row>
    <row r="20" spans="1:15">
      <c r="A20">
        <v>19</v>
      </c>
      <c r="B20" t="s">
        <v>23</v>
      </c>
      <c r="C20" t="s">
        <v>23</v>
      </c>
      <c r="D20" t="s">
        <v>23</v>
      </c>
      <c r="O20" s="32" t="s">
        <v>15</v>
      </c>
    </row>
    <row r="21" spans="1:15">
      <c r="A21">
        <v>20</v>
      </c>
      <c r="B21" t="s">
        <v>23</v>
      </c>
      <c r="C21" t="s">
        <v>23</v>
      </c>
      <c r="D21" t="s">
        <v>23</v>
      </c>
      <c r="O21" s="35" t="s">
        <v>41</v>
      </c>
    </row>
    <row r="22" spans="1:15">
      <c r="A22">
        <v>21</v>
      </c>
      <c r="B22" t="s">
        <v>23</v>
      </c>
      <c r="C22" t="s">
        <v>23</v>
      </c>
      <c r="D22" t="s">
        <v>23</v>
      </c>
      <c r="O22" s="31" t="s">
        <v>39</v>
      </c>
    </row>
    <row r="23" spans="1:15">
      <c r="A23">
        <v>22</v>
      </c>
      <c r="B23" t="s">
        <v>23</v>
      </c>
      <c r="C23" t="s">
        <v>23</v>
      </c>
      <c r="D23" t="s">
        <v>23</v>
      </c>
      <c r="O23" s="31" t="s">
        <v>40</v>
      </c>
    </row>
    <row r="24" spans="1:15">
      <c r="A24">
        <v>23</v>
      </c>
      <c r="B24" t="s">
        <v>23</v>
      </c>
      <c r="C24" t="s">
        <v>23</v>
      </c>
      <c r="D24" t="s">
        <v>23</v>
      </c>
      <c r="O24" s="31" t="s">
        <v>38</v>
      </c>
    </row>
    <row r="25" spans="1:15">
      <c r="A25">
        <v>24</v>
      </c>
      <c r="B25" t="s">
        <v>23</v>
      </c>
      <c r="C25" t="s">
        <v>23</v>
      </c>
      <c r="D25" t="s">
        <v>23</v>
      </c>
      <c r="O25" s="33" t="s">
        <v>23</v>
      </c>
    </row>
    <row r="26" spans="1:15" ht="15.75" thickBot="1">
      <c r="A26">
        <v>25</v>
      </c>
      <c r="B26" t="s">
        <v>23</v>
      </c>
      <c r="C26" t="s">
        <v>23</v>
      </c>
      <c r="D26" t="s">
        <v>23</v>
      </c>
      <c r="N26" s="14" t="s">
        <v>26</v>
      </c>
      <c r="O26" s="29" t="s">
        <v>47</v>
      </c>
    </row>
    <row r="27" spans="1:15">
      <c r="A27">
        <v>26</v>
      </c>
      <c r="B27" t="s">
        <v>23</v>
      </c>
      <c r="C27" t="s">
        <v>23</v>
      </c>
      <c r="D27" t="s">
        <v>23</v>
      </c>
    </row>
    <row r="28" spans="1:15">
      <c r="A28">
        <v>27</v>
      </c>
      <c r="B28" t="s">
        <v>23</v>
      </c>
      <c r="C28" t="s">
        <v>23</v>
      </c>
      <c r="D28" t="s">
        <v>23</v>
      </c>
    </row>
    <row r="29" spans="1:15">
      <c r="A29">
        <v>28</v>
      </c>
      <c r="B29" t="s">
        <v>23</v>
      </c>
      <c r="C29" t="s">
        <v>23</v>
      </c>
      <c r="D29" t="s">
        <v>23</v>
      </c>
    </row>
    <row r="30" spans="1:15">
      <c r="A30">
        <v>29</v>
      </c>
      <c r="B30" t="s">
        <v>23</v>
      </c>
      <c r="C30" t="s">
        <v>23</v>
      </c>
      <c r="D30" t="s">
        <v>23</v>
      </c>
    </row>
    <row r="31" spans="1:15">
      <c r="A31">
        <v>30</v>
      </c>
      <c r="B31" t="s">
        <v>23</v>
      </c>
      <c r="C31" t="s">
        <v>23</v>
      </c>
      <c r="D31" t="s">
        <v>23</v>
      </c>
    </row>
    <row r="32" spans="1:15">
      <c r="A32">
        <v>31</v>
      </c>
      <c r="B32" t="s">
        <v>23</v>
      </c>
      <c r="C32" t="s">
        <v>23</v>
      </c>
      <c r="D32" t="s">
        <v>23</v>
      </c>
    </row>
    <row r="33" spans="1:4">
      <c r="A33">
        <v>32</v>
      </c>
      <c r="B33" t="s">
        <v>23</v>
      </c>
      <c r="C33" t="s">
        <v>23</v>
      </c>
      <c r="D33" t="s">
        <v>23</v>
      </c>
    </row>
    <row r="34" spans="1:4">
      <c r="A34">
        <v>33</v>
      </c>
      <c r="B34" t="s">
        <v>23</v>
      </c>
      <c r="C34" t="s">
        <v>23</v>
      </c>
      <c r="D34" t="s">
        <v>23</v>
      </c>
    </row>
    <row r="35" spans="1:4">
      <c r="A35">
        <v>34</v>
      </c>
      <c r="B35" t="s">
        <v>23</v>
      </c>
      <c r="C35" t="s">
        <v>23</v>
      </c>
      <c r="D35" t="s">
        <v>23</v>
      </c>
    </row>
    <row r="36" spans="1:4">
      <c r="A36">
        <v>35</v>
      </c>
      <c r="B36" t="s">
        <v>23</v>
      </c>
      <c r="C36" t="s">
        <v>23</v>
      </c>
      <c r="D36" t="s">
        <v>23</v>
      </c>
    </row>
    <row r="37" spans="1:4">
      <c r="A37">
        <v>36</v>
      </c>
      <c r="B37" t="s">
        <v>23</v>
      </c>
      <c r="C37" t="s">
        <v>23</v>
      </c>
      <c r="D37" t="s">
        <v>23</v>
      </c>
    </row>
    <row r="38" spans="1:4">
      <c r="A38">
        <v>37</v>
      </c>
      <c r="B38" t="s">
        <v>23</v>
      </c>
      <c r="C38" t="s">
        <v>23</v>
      </c>
      <c r="D38" t="s">
        <v>23</v>
      </c>
    </row>
    <row r="39" spans="1:4">
      <c r="A39">
        <v>38</v>
      </c>
      <c r="B39" t="s">
        <v>23</v>
      </c>
      <c r="C39" t="s">
        <v>23</v>
      </c>
      <c r="D39" t="s">
        <v>23</v>
      </c>
    </row>
    <row r="40" spans="1:4">
      <c r="A40">
        <v>39</v>
      </c>
      <c r="B40" t="s">
        <v>23</v>
      </c>
      <c r="C40" t="s">
        <v>23</v>
      </c>
      <c r="D40" t="s">
        <v>23</v>
      </c>
    </row>
    <row r="41" spans="1:4">
      <c r="A41">
        <v>40</v>
      </c>
      <c r="B41" t="s">
        <v>23</v>
      </c>
      <c r="C41" t="s">
        <v>23</v>
      </c>
      <c r="D41" t="s">
        <v>23</v>
      </c>
    </row>
    <row r="42" spans="1:4">
      <c r="A42">
        <v>41</v>
      </c>
      <c r="B42" t="s">
        <v>23</v>
      </c>
      <c r="C42" t="s">
        <v>23</v>
      </c>
      <c r="D42" t="s">
        <v>23</v>
      </c>
    </row>
    <row r="43" spans="1:4">
      <c r="A43">
        <v>42</v>
      </c>
      <c r="B43" t="s">
        <v>23</v>
      </c>
      <c r="C43" t="s">
        <v>23</v>
      </c>
      <c r="D43" t="s">
        <v>23</v>
      </c>
    </row>
    <row r="44" spans="1:4">
      <c r="A44">
        <v>43</v>
      </c>
      <c r="B44" t="s">
        <v>23</v>
      </c>
      <c r="C44" t="s">
        <v>23</v>
      </c>
      <c r="D44" t="s">
        <v>23</v>
      </c>
    </row>
    <row r="45" spans="1:4">
      <c r="A45">
        <v>44</v>
      </c>
      <c r="B45" t="s">
        <v>23</v>
      </c>
      <c r="C45" t="s">
        <v>23</v>
      </c>
      <c r="D45" t="s">
        <v>23</v>
      </c>
    </row>
    <row r="46" spans="1:4">
      <c r="A46">
        <v>45</v>
      </c>
      <c r="B46" t="s">
        <v>23</v>
      </c>
      <c r="C46" t="s">
        <v>23</v>
      </c>
      <c r="D46" t="s">
        <v>23</v>
      </c>
    </row>
    <row r="47" spans="1:4">
      <c r="A47">
        <v>46</v>
      </c>
      <c r="B47" t="s">
        <v>23</v>
      </c>
      <c r="C47" t="s">
        <v>23</v>
      </c>
      <c r="D47" t="s">
        <v>23</v>
      </c>
    </row>
    <row r="48" spans="1:4">
      <c r="A48">
        <v>47</v>
      </c>
      <c r="B48" t="s">
        <v>23</v>
      </c>
      <c r="C48" t="s">
        <v>23</v>
      </c>
      <c r="D48" t="s">
        <v>23</v>
      </c>
    </row>
    <row r="49" spans="1:4">
      <c r="A49">
        <v>48</v>
      </c>
      <c r="B49" t="s">
        <v>23</v>
      </c>
      <c r="C49" t="s">
        <v>23</v>
      </c>
      <c r="D49" t="s">
        <v>23</v>
      </c>
    </row>
    <row r="50" spans="1:4">
      <c r="A50">
        <v>49</v>
      </c>
      <c r="B50" t="s">
        <v>23</v>
      </c>
      <c r="C50" t="s">
        <v>23</v>
      </c>
      <c r="D50" t="s">
        <v>23</v>
      </c>
    </row>
    <row r="51" spans="1:4">
      <c r="A51">
        <v>50</v>
      </c>
      <c r="B51" t="s">
        <v>23</v>
      </c>
      <c r="C51" t="s">
        <v>23</v>
      </c>
      <c r="D51" t="s">
        <v>23</v>
      </c>
    </row>
    <row r="52" spans="1:4">
      <c r="A52">
        <v>51</v>
      </c>
      <c r="B52" t="s">
        <v>23</v>
      </c>
      <c r="C52" t="s">
        <v>23</v>
      </c>
      <c r="D52" t="s">
        <v>23</v>
      </c>
    </row>
    <row r="53" spans="1:4">
      <c r="A53">
        <v>52</v>
      </c>
      <c r="B53" t="s">
        <v>23</v>
      </c>
      <c r="C53" t="s">
        <v>23</v>
      </c>
      <c r="D53" t="s">
        <v>23</v>
      </c>
    </row>
    <row r="54" spans="1:4">
      <c r="A54">
        <v>53</v>
      </c>
      <c r="B54" t="s">
        <v>23</v>
      </c>
      <c r="C54" t="s">
        <v>23</v>
      </c>
      <c r="D54" t="s">
        <v>23</v>
      </c>
    </row>
    <row r="55" spans="1:4">
      <c r="A55">
        <v>54</v>
      </c>
      <c r="B55" t="s">
        <v>23</v>
      </c>
      <c r="C55" t="s">
        <v>23</v>
      </c>
      <c r="D55" t="s">
        <v>23</v>
      </c>
    </row>
    <row r="56" spans="1:4">
      <c r="A56">
        <v>55</v>
      </c>
      <c r="B56" t="s">
        <v>23</v>
      </c>
      <c r="C56" t="s">
        <v>23</v>
      </c>
      <c r="D56" t="s">
        <v>23</v>
      </c>
    </row>
    <row r="57" spans="1:4">
      <c r="A57">
        <v>56</v>
      </c>
      <c r="B57" t="s">
        <v>23</v>
      </c>
      <c r="C57" t="s">
        <v>23</v>
      </c>
      <c r="D57" t="s">
        <v>23</v>
      </c>
    </row>
    <row r="58" spans="1:4">
      <c r="A58">
        <v>57</v>
      </c>
      <c r="B58" t="s">
        <v>23</v>
      </c>
      <c r="C58" t="s">
        <v>23</v>
      </c>
      <c r="D58" t="s">
        <v>23</v>
      </c>
    </row>
    <row r="59" spans="1:4">
      <c r="A59">
        <v>58</v>
      </c>
      <c r="B59" t="s">
        <v>23</v>
      </c>
      <c r="C59" t="s">
        <v>23</v>
      </c>
      <c r="D59" t="s">
        <v>23</v>
      </c>
    </row>
    <row r="60" spans="1:4">
      <c r="A60">
        <v>59</v>
      </c>
      <c r="B60" t="s">
        <v>23</v>
      </c>
      <c r="C60" t="s">
        <v>23</v>
      </c>
      <c r="D60" t="s">
        <v>23</v>
      </c>
    </row>
    <row r="61" spans="1:4">
      <c r="A61">
        <v>60</v>
      </c>
      <c r="B61" t="s">
        <v>23</v>
      </c>
      <c r="C61" t="s">
        <v>23</v>
      </c>
      <c r="D61" t="s">
        <v>23</v>
      </c>
    </row>
    <row r="62" spans="1:4">
      <c r="A62">
        <v>61</v>
      </c>
      <c r="B62" t="s">
        <v>23</v>
      </c>
      <c r="C62" t="s">
        <v>23</v>
      </c>
      <c r="D62" t="s">
        <v>23</v>
      </c>
    </row>
    <row r="63" spans="1:4">
      <c r="A63">
        <v>62</v>
      </c>
      <c r="B63" t="s">
        <v>23</v>
      </c>
      <c r="C63" t="s">
        <v>23</v>
      </c>
      <c r="D63" t="s">
        <v>23</v>
      </c>
    </row>
    <row r="64" spans="1:4">
      <c r="A64">
        <v>63</v>
      </c>
      <c r="B64" t="s">
        <v>23</v>
      </c>
      <c r="C64" t="s">
        <v>23</v>
      </c>
      <c r="D64" t="s">
        <v>23</v>
      </c>
    </row>
    <row r="65" spans="1:4">
      <c r="A65">
        <v>64</v>
      </c>
      <c r="B65" t="s">
        <v>23</v>
      </c>
      <c r="C65" t="s">
        <v>23</v>
      </c>
      <c r="D65" t="s">
        <v>23</v>
      </c>
    </row>
    <row r="66" spans="1:4">
      <c r="A66">
        <v>65</v>
      </c>
      <c r="B66" t="s">
        <v>23</v>
      </c>
      <c r="C66" t="s">
        <v>23</v>
      </c>
      <c r="D66" t="s">
        <v>23</v>
      </c>
    </row>
    <row r="67" spans="1:4">
      <c r="A67">
        <v>66</v>
      </c>
      <c r="B67" t="s">
        <v>23</v>
      </c>
      <c r="C67" t="s">
        <v>23</v>
      </c>
      <c r="D67" t="s">
        <v>23</v>
      </c>
    </row>
    <row r="68" spans="1:4">
      <c r="A68">
        <v>67</v>
      </c>
      <c r="B68" t="s">
        <v>23</v>
      </c>
      <c r="C68" t="s">
        <v>23</v>
      </c>
      <c r="D68" t="s">
        <v>23</v>
      </c>
    </row>
    <row r="69" spans="1:4">
      <c r="A69">
        <v>68</v>
      </c>
      <c r="B69" t="s">
        <v>23</v>
      </c>
      <c r="C69" t="s">
        <v>23</v>
      </c>
      <c r="D69" t="s">
        <v>23</v>
      </c>
    </row>
    <row r="70" spans="1:4">
      <c r="A70">
        <v>69</v>
      </c>
      <c r="B70" t="s">
        <v>23</v>
      </c>
      <c r="C70" t="s">
        <v>23</v>
      </c>
      <c r="D70" t="s">
        <v>23</v>
      </c>
    </row>
    <row r="71" spans="1:4">
      <c r="A71">
        <v>70</v>
      </c>
      <c r="B71" t="s">
        <v>23</v>
      </c>
      <c r="C71" t="s">
        <v>23</v>
      </c>
      <c r="D71" t="s">
        <v>23</v>
      </c>
    </row>
    <row r="72" spans="1:4">
      <c r="A72">
        <v>71</v>
      </c>
      <c r="B72" t="s">
        <v>23</v>
      </c>
      <c r="C72" t="s">
        <v>23</v>
      </c>
      <c r="D72" t="s">
        <v>23</v>
      </c>
    </row>
    <row r="73" spans="1:4">
      <c r="A73">
        <v>72</v>
      </c>
      <c r="B73" t="s">
        <v>23</v>
      </c>
      <c r="C73" t="s">
        <v>23</v>
      </c>
      <c r="D73" t="s">
        <v>23</v>
      </c>
    </row>
    <row r="74" spans="1:4">
      <c r="A74">
        <v>73</v>
      </c>
      <c r="B74" t="s">
        <v>23</v>
      </c>
      <c r="C74" t="s">
        <v>23</v>
      </c>
      <c r="D74" t="s">
        <v>23</v>
      </c>
    </row>
    <row r="75" spans="1:4">
      <c r="A75">
        <v>74</v>
      </c>
      <c r="B75" t="s">
        <v>23</v>
      </c>
      <c r="C75" t="s">
        <v>23</v>
      </c>
      <c r="D75" t="s">
        <v>23</v>
      </c>
    </row>
    <row r="76" spans="1:4">
      <c r="A76">
        <v>75</v>
      </c>
      <c r="B76" t="s">
        <v>23</v>
      </c>
      <c r="C76" t="s">
        <v>23</v>
      </c>
      <c r="D76" t="s">
        <v>23</v>
      </c>
    </row>
    <row r="77" spans="1:4">
      <c r="A77">
        <v>76</v>
      </c>
      <c r="B77" t="s">
        <v>23</v>
      </c>
      <c r="C77" t="s">
        <v>23</v>
      </c>
      <c r="D77" t="s">
        <v>23</v>
      </c>
    </row>
    <row r="78" spans="1:4">
      <c r="A78">
        <v>77</v>
      </c>
      <c r="B78" t="s">
        <v>23</v>
      </c>
      <c r="C78" t="s">
        <v>23</v>
      </c>
      <c r="D78" t="s">
        <v>23</v>
      </c>
    </row>
    <row r="79" spans="1:4">
      <c r="A79">
        <v>78</v>
      </c>
      <c r="B79" t="s">
        <v>23</v>
      </c>
      <c r="C79" t="s">
        <v>23</v>
      </c>
      <c r="D79" t="s">
        <v>23</v>
      </c>
    </row>
    <row r="80" spans="1:4">
      <c r="A80">
        <v>79</v>
      </c>
      <c r="B80" t="s">
        <v>23</v>
      </c>
      <c r="C80" t="s">
        <v>23</v>
      </c>
      <c r="D80" t="s">
        <v>23</v>
      </c>
    </row>
    <row r="81" spans="1:4">
      <c r="A81">
        <v>80</v>
      </c>
      <c r="B81" t="s">
        <v>23</v>
      </c>
      <c r="C81" t="s">
        <v>23</v>
      </c>
      <c r="D81" t="s">
        <v>23</v>
      </c>
    </row>
    <row r="82" spans="1:4">
      <c r="A82">
        <v>81</v>
      </c>
      <c r="B82" t="s">
        <v>23</v>
      </c>
      <c r="C82" t="s">
        <v>23</v>
      </c>
      <c r="D82" t="s">
        <v>23</v>
      </c>
    </row>
    <row r="83" spans="1:4">
      <c r="A83">
        <v>82</v>
      </c>
      <c r="B83" t="s">
        <v>23</v>
      </c>
      <c r="C83" t="s">
        <v>23</v>
      </c>
      <c r="D83" t="s">
        <v>23</v>
      </c>
    </row>
    <row r="84" spans="1:4">
      <c r="A84">
        <v>83</v>
      </c>
      <c r="B84" t="s">
        <v>23</v>
      </c>
      <c r="C84" t="s">
        <v>23</v>
      </c>
      <c r="D84" t="s">
        <v>23</v>
      </c>
    </row>
    <row r="85" spans="1:4">
      <c r="A85">
        <v>84</v>
      </c>
      <c r="B85" t="s">
        <v>23</v>
      </c>
      <c r="C85" t="s">
        <v>23</v>
      </c>
      <c r="D85" t="s">
        <v>23</v>
      </c>
    </row>
    <row r="86" spans="1:4">
      <c r="A86">
        <v>85</v>
      </c>
      <c r="B86" t="s">
        <v>23</v>
      </c>
      <c r="C86" t="s">
        <v>23</v>
      </c>
      <c r="D86" t="s">
        <v>23</v>
      </c>
    </row>
    <row r="87" spans="1:4">
      <c r="A87">
        <v>86</v>
      </c>
      <c r="B87" t="s">
        <v>23</v>
      </c>
      <c r="C87" t="s">
        <v>23</v>
      </c>
      <c r="D87" t="s">
        <v>23</v>
      </c>
    </row>
    <row r="88" spans="1:4">
      <c r="A88">
        <v>87</v>
      </c>
      <c r="B88" t="s">
        <v>23</v>
      </c>
      <c r="C88" t="s">
        <v>23</v>
      </c>
      <c r="D88" t="s">
        <v>23</v>
      </c>
    </row>
    <row r="89" spans="1:4">
      <c r="A89">
        <v>88</v>
      </c>
      <c r="B89" t="s">
        <v>23</v>
      </c>
      <c r="C89" t="s">
        <v>23</v>
      </c>
      <c r="D89" t="s">
        <v>23</v>
      </c>
    </row>
    <row r="90" spans="1:4">
      <c r="A90">
        <v>89</v>
      </c>
      <c r="B90" t="s">
        <v>23</v>
      </c>
      <c r="C90" t="s">
        <v>23</v>
      </c>
      <c r="D90" t="s">
        <v>23</v>
      </c>
    </row>
    <row r="91" spans="1:4">
      <c r="A91">
        <v>90</v>
      </c>
      <c r="B91" t="s">
        <v>23</v>
      </c>
      <c r="C91" t="s">
        <v>23</v>
      </c>
      <c r="D91" t="s">
        <v>23</v>
      </c>
    </row>
    <row r="92" spans="1:4">
      <c r="A92">
        <v>91</v>
      </c>
      <c r="B92" t="s">
        <v>23</v>
      </c>
      <c r="C92" t="s">
        <v>23</v>
      </c>
      <c r="D9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102.5.1.05qq test 2</vt:lpstr>
      <vt:lpstr>102.5.1.05qq test</vt:lpstr>
      <vt:lpstr>102.5.1.05qq</vt:lpstr>
      <vt:lpstr>102.5.1.05</vt:lpstr>
      <vt:lpstr>102.5.1.04</vt:lpstr>
      <vt:lpstr>102.5.1.01</vt:lpstr>
      <vt:lpstr>八卦前规划1</vt:lpstr>
      <vt:lpstr>八卦后规划1</vt:lpstr>
      <vt:lpstr>八卦后规划2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2021-06-17T16:09:24Z</dcterms:created>
  <dcterms:modified xsi:type="dcterms:W3CDTF">2021-11-17T21:11:51Z</dcterms:modified>
</cp:coreProperties>
</file>