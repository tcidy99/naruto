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127"/>
  <workbookPr/>
  <mc:AlternateContent xmlns:mc="http://schemas.openxmlformats.org/markup-compatibility/2006">
    <mc:Choice Requires="x15">
      <x15ac:absPath xmlns:x15ac="http://schemas.microsoft.com/office/spreadsheetml/2010/11/ac" url="C:\utility\naruto\"/>
    </mc:Choice>
  </mc:AlternateContent>
  <xr:revisionPtr revIDLastSave="0" documentId="13_ncr:1_{AE018588-8E01-47AE-BDFF-6B05531C5736}" xr6:coauthVersionLast="45" xr6:coauthVersionMax="47" xr10:uidLastSave="{00000000-0000-0000-0000-000000000000}"/>
  <bookViews>
    <workbookView xWindow="-135" yWindow="-135" windowWidth="29070" windowHeight="17670" xr2:uid="{00000000-000D-0000-FFFF-FFFF00000000}"/>
  </bookViews>
  <sheets>
    <sheet name="102 5.1.00" sheetId="12" r:id="rId1"/>
    <sheet name="粮草" sheetId="14" state="hidden" r:id="rId2"/>
    <sheet name="经验" sheetId="15" state="hidden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24" i="12" l="1"/>
  <c r="AH2" i="12" l="1"/>
  <c r="AG2" i="12"/>
  <c r="AF2" i="12"/>
  <c r="X94" i="15" l="1"/>
  <c r="W94" i="15"/>
  <c r="V94" i="15"/>
  <c r="U94" i="15"/>
  <c r="T94" i="15"/>
  <c r="S94" i="15"/>
  <c r="R94" i="15"/>
  <c r="Q94" i="15"/>
  <c r="P94" i="15"/>
  <c r="O94" i="15"/>
  <c r="N94" i="15"/>
  <c r="M94" i="15"/>
  <c r="L94" i="15"/>
  <c r="K94" i="15"/>
  <c r="J94" i="15"/>
  <c r="I94" i="15"/>
  <c r="H94" i="15"/>
  <c r="G94" i="15"/>
  <c r="F94" i="15"/>
  <c r="E94" i="15"/>
  <c r="D94" i="15"/>
  <c r="C94" i="15"/>
  <c r="B94" i="15"/>
  <c r="A94" i="15"/>
  <c r="X93" i="15"/>
  <c r="W93" i="15"/>
  <c r="V93" i="15"/>
  <c r="U93" i="15"/>
  <c r="T93" i="15"/>
  <c r="S93" i="15"/>
  <c r="R93" i="15"/>
  <c r="Q93" i="15"/>
  <c r="P93" i="15"/>
  <c r="O93" i="15"/>
  <c r="N93" i="15"/>
  <c r="M93" i="15"/>
  <c r="L93" i="15"/>
  <c r="K93" i="15"/>
  <c r="J93" i="15"/>
  <c r="I93" i="15"/>
  <c r="H93" i="15"/>
  <c r="G93" i="15"/>
  <c r="F93" i="15"/>
  <c r="E93" i="15"/>
  <c r="D93" i="15"/>
  <c r="C93" i="15"/>
  <c r="B93" i="15"/>
  <c r="A93" i="15"/>
  <c r="X92" i="15"/>
  <c r="W92" i="15"/>
  <c r="V92" i="15"/>
  <c r="U92" i="15"/>
  <c r="T92" i="15"/>
  <c r="S92" i="15"/>
  <c r="R92" i="15"/>
  <c r="Q92" i="15"/>
  <c r="P92" i="15"/>
  <c r="O92" i="15"/>
  <c r="N92" i="15"/>
  <c r="M92" i="15"/>
  <c r="L92" i="15"/>
  <c r="K92" i="15"/>
  <c r="J92" i="15"/>
  <c r="I92" i="15"/>
  <c r="H92" i="15"/>
  <c r="G92" i="15"/>
  <c r="F92" i="15"/>
  <c r="E92" i="15"/>
  <c r="D92" i="15"/>
  <c r="C92" i="15"/>
  <c r="B92" i="15"/>
  <c r="A92" i="15"/>
  <c r="X91" i="15"/>
  <c r="W91" i="15"/>
  <c r="V91" i="15"/>
  <c r="U91" i="15"/>
  <c r="T91" i="15"/>
  <c r="S91" i="15"/>
  <c r="R91" i="15"/>
  <c r="Q91" i="15"/>
  <c r="P91" i="15"/>
  <c r="O91" i="15"/>
  <c r="N91" i="15"/>
  <c r="M91" i="15"/>
  <c r="L91" i="15"/>
  <c r="K91" i="15"/>
  <c r="J91" i="15"/>
  <c r="I91" i="15"/>
  <c r="H91" i="15"/>
  <c r="G91" i="15"/>
  <c r="F91" i="15"/>
  <c r="E91" i="15"/>
  <c r="D91" i="15"/>
  <c r="C91" i="15"/>
  <c r="B91" i="15"/>
  <c r="A91" i="15"/>
  <c r="X90" i="15"/>
  <c r="W90" i="15"/>
  <c r="V90" i="15"/>
  <c r="U90" i="15"/>
  <c r="T90" i="15"/>
  <c r="S90" i="15"/>
  <c r="R90" i="15"/>
  <c r="Q90" i="15"/>
  <c r="P90" i="15"/>
  <c r="O90" i="15"/>
  <c r="N90" i="15"/>
  <c r="M90" i="15"/>
  <c r="L90" i="15"/>
  <c r="K90" i="15"/>
  <c r="J90" i="15"/>
  <c r="I90" i="15"/>
  <c r="H90" i="15"/>
  <c r="G90" i="15"/>
  <c r="F90" i="15"/>
  <c r="E90" i="15"/>
  <c r="D90" i="15"/>
  <c r="C90" i="15"/>
  <c r="B90" i="15"/>
  <c r="A90" i="15"/>
  <c r="X89" i="15"/>
  <c r="W89" i="15"/>
  <c r="V89" i="15"/>
  <c r="U89" i="15"/>
  <c r="T89" i="15"/>
  <c r="S89" i="15"/>
  <c r="R89" i="15"/>
  <c r="Q89" i="15"/>
  <c r="P89" i="15"/>
  <c r="O89" i="15"/>
  <c r="N89" i="15"/>
  <c r="M89" i="15"/>
  <c r="L89" i="15"/>
  <c r="K89" i="15"/>
  <c r="J89" i="15"/>
  <c r="I89" i="15"/>
  <c r="H89" i="15"/>
  <c r="G89" i="15"/>
  <c r="F89" i="15"/>
  <c r="E89" i="15"/>
  <c r="D89" i="15"/>
  <c r="C89" i="15"/>
  <c r="B89" i="15"/>
  <c r="A89" i="15"/>
  <c r="X88" i="15"/>
  <c r="W88" i="15"/>
  <c r="V88" i="15"/>
  <c r="U88" i="15"/>
  <c r="T88" i="15"/>
  <c r="S88" i="15"/>
  <c r="R88" i="15"/>
  <c r="Q88" i="15"/>
  <c r="P88" i="15"/>
  <c r="O88" i="15"/>
  <c r="N88" i="15"/>
  <c r="M88" i="15"/>
  <c r="L88" i="15"/>
  <c r="K88" i="15"/>
  <c r="J88" i="15"/>
  <c r="I88" i="15"/>
  <c r="H88" i="15"/>
  <c r="G88" i="15"/>
  <c r="F88" i="15"/>
  <c r="E88" i="15"/>
  <c r="D88" i="15"/>
  <c r="C88" i="15"/>
  <c r="B88" i="15"/>
  <c r="A88" i="15"/>
  <c r="X87" i="15"/>
  <c r="W87" i="15"/>
  <c r="V87" i="15"/>
  <c r="U87" i="15"/>
  <c r="T87" i="15"/>
  <c r="S87" i="15"/>
  <c r="R87" i="15"/>
  <c r="Q87" i="15"/>
  <c r="P87" i="15"/>
  <c r="O87" i="15"/>
  <c r="N87" i="15"/>
  <c r="M87" i="15"/>
  <c r="L87" i="15"/>
  <c r="K87" i="15"/>
  <c r="J87" i="15"/>
  <c r="I87" i="15"/>
  <c r="H87" i="15"/>
  <c r="G87" i="15"/>
  <c r="F87" i="15"/>
  <c r="E87" i="15"/>
  <c r="D87" i="15"/>
  <c r="C87" i="15"/>
  <c r="B87" i="15"/>
  <c r="A87" i="15"/>
  <c r="X86" i="15"/>
  <c r="W86" i="15"/>
  <c r="V86" i="15"/>
  <c r="U86" i="15"/>
  <c r="T86" i="15"/>
  <c r="S86" i="15"/>
  <c r="R86" i="15"/>
  <c r="Q86" i="15"/>
  <c r="P86" i="15"/>
  <c r="O86" i="15"/>
  <c r="N86" i="15"/>
  <c r="M86" i="15"/>
  <c r="L86" i="15"/>
  <c r="K86" i="15"/>
  <c r="J86" i="15"/>
  <c r="I86" i="15"/>
  <c r="H86" i="15"/>
  <c r="G86" i="15"/>
  <c r="F86" i="15"/>
  <c r="E86" i="15"/>
  <c r="D86" i="15"/>
  <c r="C86" i="15"/>
  <c r="B86" i="15"/>
  <c r="A86" i="15"/>
  <c r="X85" i="15"/>
  <c r="W85" i="15"/>
  <c r="V85" i="15"/>
  <c r="U85" i="15"/>
  <c r="T85" i="15"/>
  <c r="S85" i="15"/>
  <c r="R85" i="15"/>
  <c r="Q85" i="15"/>
  <c r="P85" i="15"/>
  <c r="O85" i="15"/>
  <c r="N85" i="15"/>
  <c r="M85" i="15"/>
  <c r="L85" i="15"/>
  <c r="K85" i="15"/>
  <c r="J85" i="15"/>
  <c r="I85" i="15"/>
  <c r="H85" i="15"/>
  <c r="G85" i="15"/>
  <c r="F85" i="15"/>
  <c r="E85" i="15"/>
  <c r="D85" i="15"/>
  <c r="C85" i="15"/>
  <c r="B85" i="15"/>
  <c r="A85" i="15"/>
  <c r="X84" i="15"/>
  <c r="W84" i="15"/>
  <c r="V84" i="15"/>
  <c r="U84" i="15"/>
  <c r="T84" i="15"/>
  <c r="S84" i="15"/>
  <c r="R84" i="15"/>
  <c r="Q84" i="15"/>
  <c r="P84" i="15"/>
  <c r="O84" i="15"/>
  <c r="N84" i="15"/>
  <c r="M84" i="15"/>
  <c r="L84" i="15"/>
  <c r="K84" i="15"/>
  <c r="J84" i="15"/>
  <c r="I84" i="15"/>
  <c r="H84" i="15"/>
  <c r="G84" i="15"/>
  <c r="F84" i="15"/>
  <c r="E84" i="15"/>
  <c r="D84" i="15"/>
  <c r="C84" i="15"/>
  <c r="B84" i="15"/>
  <c r="A84" i="15"/>
  <c r="X83" i="15"/>
  <c r="W83" i="15"/>
  <c r="V83" i="15"/>
  <c r="U83" i="15"/>
  <c r="T83" i="15"/>
  <c r="S83" i="15"/>
  <c r="R83" i="15"/>
  <c r="Q83" i="15"/>
  <c r="P83" i="15"/>
  <c r="O83" i="15"/>
  <c r="N83" i="15"/>
  <c r="M83" i="15"/>
  <c r="L83" i="15"/>
  <c r="K83" i="15"/>
  <c r="J83" i="15"/>
  <c r="I83" i="15"/>
  <c r="H83" i="15"/>
  <c r="G83" i="15"/>
  <c r="F83" i="15"/>
  <c r="E83" i="15"/>
  <c r="D83" i="15"/>
  <c r="C83" i="15"/>
  <c r="B83" i="15"/>
  <c r="A83" i="15"/>
  <c r="X82" i="15"/>
  <c r="W82" i="15"/>
  <c r="V82" i="15"/>
  <c r="U82" i="15"/>
  <c r="T82" i="15"/>
  <c r="S82" i="15"/>
  <c r="R82" i="15"/>
  <c r="Q82" i="15"/>
  <c r="P82" i="15"/>
  <c r="O82" i="15"/>
  <c r="N82" i="15"/>
  <c r="M82" i="15"/>
  <c r="L82" i="15"/>
  <c r="K82" i="15"/>
  <c r="J82" i="15"/>
  <c r="I82" i="15"/>
  <c r="H82" i="15"/>
  <c r="G82" i="15"/>
  <c r="F82" i="15"/>
  <c r="E82" i="15"/>
  <c r="D82" i="15"/>
  <c r="C82" i="15"/>
  <c r="B82" i="15"/>
  <c r="A82" i="15"/>
  <c r="X81" i="15"/>
  <c r="W81" i="15"/>
  <c r="V81" i="15"/>
  <c r="U81" i="15"/>
  <c r="T81" i="15"/>
  <c r="S81" i="15"/>
  <c r="R81" i="15"/>
  <c r="Q81" i="15"/>
  <c r="P81" i="15"/>
  <c r="O81" i="15"/>
  <c r="N81" i="15"/>
  <c r="M81" i="15"/>
  <c r="L81" i="15"/>
  <c r="K81" i="15"/>
  <c r="J81" i="15"/>
  <c r="I81" i="15"/>
  <c r="H81" i="15"/>
  <c r="G81" i="15"/>
  <c r="F81" i="15"/>
  <c r="E81" i="15"/>
  <c r="D81" i="15"/>
  <c r="C81" i="15"/>
  <c r="B81" i="15"/>
  <c r="A81" i="15"/>
  <c r="X80" i="15"/>
  <c r="W80" i="15"/>
  <c r="V80" i="15"/>
  <c r="U80" i="15"/>
  <c r="T80" i="15"/>
  <c r="S80" i="15"/>
  <c r="R80" i="15"/>
  <c r="Q80" i="15"/>
  <c r="P80" i="15"/>
  <c r="O80" i="15"/>
  <c r="N80" i="15"/>
  <c r="M80" i="15"/>
  <c r="L80" i="15"/>
  <c r="K80" i="15"/>
  <c r="J80" i="15"/>
  <c r="I80" i="15"/>
  <c r="H80" i="15"/>
  <c r="G80" i="15"/>
  <c r="F80" i="15"/>
  <c r="E80" i="15"/>
  <c r="D80" i="15"/>
  <c r="C80" i="15"/>
  <c r="B80" i="15"/>
  <c r="A80" i="15"/>
  <c r="X79" i="15"/>
  <c r="W79" i="15"/>
  <c r="V79" i="15"/>
  <c r="U79" i="15"/>
  <c r="T79" i="15"/>
  <c r="S79" i="15"/>
  <c r="R79" i="15"/>
  <c r="Q79" i="15"/>
  <c r="P79" i="15"/>
  <c r="O79" i="15"/>
  <c r="N79" i="15"/>
  <c r="M79" i="15"/>
  <c r="L79" i="15"/>
  <c r="K79" i="15"/>
  <c r="J79" i="15"/>
  <c r="I79" i="15"/>
  <c r="H79" i="15"/>
  <c r="G79" i="15"/>
  <c r="F79" i="15"/>
  <c r="E79" i="15"/>
  <c r="D79" i="15"/>
  <c r="C79" i="15"/>
  <c r="B79" i="15"/>
  <c r="A79" i="15"/>
  <c r="X78" i="15"/>
  <c r="W78" i="15"/>
  <c r="V78" i="15"/>
  <c r="U78" i="15"/>
  <c r="T78" i="15"/>
  <c r="S78" i="15"/>
  <c r="R78" i="15"/>
  <c r="Q78" i="15"/>
  <c r="P78" i="15"/>
  <c r="O78" i="15"/>
  <c r="N78" i="15"/>
  <c r="M78" i="15"/>
  <c r="L78" i="15"/>
  <c r="K78" i="15"/>
  <c r="J78" i="15"/>
  <c r="I78" i="15"/>
  <c r="H78" i="15"/>
  <c r="G78" i="15"/>
  <c r="F78" i="15"/>
  <c r="E78" i="15"/>
  <c r="D78" i="15"/>
  <c r="C78" i="15"/>
  <c r="B78" i="15"/>
  <c r="A78" i="15"/>
  <c r="X77" i="15"/>
  <c r="W77" i="15"/>
  <c r="V77" i="15"/>
  <c r="U77" i="15"/>
  <c r="T77" i="15"/>
  <c r="S77" i="15"/>
  <c r="R77" i="15"/>
  <c r="Q77" i="15"/>
  <c r="P77" i="15"/>
  <c r="O77" i="15"/>
  <c r="N77" i="15"/>
  <c r="M77" i="15"/>
  <c r="L77" i="15"/>
  <c r="K77" i="15"/>
  <c r="J77" i="15"/>
  <c r="I77" i="15"/>
  <c r="H77" i="15"/>
  <c r="G77" i="15"/>
  <c r="F77" i="15"/>
  <c r="E77" i="15"/>
  <c r="D77" i="15"/>
  <c r="C77" i="15"/>
  <c r="B77" i="15"/>
  <c r="A77" i="15"/>
  <c r="X76" i="15"/>
  <c r="W76" i="15"/>
  <c r="V76" i="15"/>
  <c r="U76" i="15"/>
  <c r="T76" i="15"/>
  <c r="S76" i="15"/>
  <c r="R76" i="15"/>
  <c r="Q76" i="15"/>
  <c r="P76" i="15"/>
  <c r="O76" i="15"/>
  <c r="N76" i="15"/>
  <c r="M76" i="15"/>
  <c r="L76" i="15"/>
  <c r="K76" i="15"/>
  <c r="J76" i="15"/>
  <c r="I76" i="15"/>
  <c r="H76" i="15"/>
  <c r="G76" i="15"/>
  <c r="F76" i="15"/>
  <c r="E76" i="15"/>
  <c r="D76" i="15"/>
  <c r="C76" i="15"/>
  <c r="B76" i="15"/>
  <c r="A76" i="15"/>
  <c r="X75" i="15"/>
  <c r="W75" i="15"/>
  <c r="V75" i="15"/>
  <c r="U75" i="15"/>
  <c r="T75" i="15"/>
  <c r="S75" i="15"/>
  <c r="R75" i="15"/>
  <c r="Q75" i="15"/>
  <c r="P75" i="15"/>
  <c r="O75" i="15"/>
  <c r="N75" i="15"/>
  <c r="M75" i="15"/>
  <c r="L75" i="15"/>
  <c r="K75" i="15"/>
  <c r="J75" i="15"/>
  <c r="I75" i="15"/>
  <c r="H75" i="15"/>
  <c r="G75" i="15"/>
  <c r="F75" i="15"/>
  <c r="E75" i="15"/>
  <c r="D75" i="15"/>
  <c r="C75" i="15"/>
  <c r="B75" i="15"/>
  <c r="A75" i="15"/>
  <c r="X74" i="15"/>
  <c r="W74" i="15"/>
  <c r="V74" i="15"/>
  <c r="U74" i="15"/>
  <c r="T74" i="15"/>
  <c r="S74" i="15"/>
  <c r="R74" i="15"/>
  <c r="Q74" i="15"/>
  <c r="P74" i="15"/>
  <c r="O74" i="15"/>
  <c r="N74" i="15"/>
  <c r="M74" i="15"/>
  <c r="L74" i="15"/>
  <c r="K74" i="15"/>
  <c r="J74" i="15"/>
  <c r="I74" i="15"/>
  <c r="H74" i="15"/>
  <c r="G74" i="15"/>
  <c r="F74" i="15"/>
  <c r="E74" i="15"/>
  <c r="D74" i="15"/>
  <c r="C74" i="15"/>
  <c r="B74" i="15"/>
  <c r="A74" i="15"/>
  <c r="X73" i="15"/>
  <c r="W73" i="15"/>
  <c r="V73" i="15"/>
  <c r="U73" i="15"/>
  <c r="T73" i="15"/>
  <c r="S73" i="15"/>
  <c r="R73" i="15"/>
  <c r="Q73" i="15"/>
  <c r="P73" i="15"/>
  <c r="O73" i="15"/>
  <c r="N73" i="15"/>
  <c r="M73" i="15"/>
  <c r="L73" i="15"/>
  <c r="K73" i="15"/>
  <c r="J73" i="15"/>
  <c r="I73" i="15"/>
  <c r="H73" i="15"/>
  <c r="G73" i="15"/>
  <c r="F73" i="15"/>
  <c r="E73" i="15"/>
  <c r="D73" i="15"/>
  <c r="C73" i="15"/>
  <c r="B73" i="15"/>
  <c r="A73" i="15"/>
  <c r="X72" i="15"/>
  <c r="W72" i="15"/>
  <c r="V72" i="15"/>
  <c r="U72" i="15"/>
  <c r="T72" i="15"/>
  <c r="S72" i="15"/>
  <c r="R72" i="15"/>
  <c r="Q72" i="15"/>
  <c r="P72" i="15"/>
  <c r="O72" i="15"/>
  <c r="N72" i="15"/>
  <c r="M72" i="15"/>
  <c r="L72" i="15"/>
  <c r="K72" i="15"/>
  <c r="J72" i="15"/>
  <c r="I72" i="15"/>
  <c r="H72" i="15"/>
  <c r="G72" i="15"/>
  <c r="F72" i="15"/>
  <c r="E72" i="15"/>
  <c r="D72" i="15"/>
  <c r="C72" i="15"/>
  <c r="B72" i="15"/>
  <c r="A72" i="15"/>
  <c r="X71" i="15"/>
  <c r="W71" i="15"/>
  <c r="V71" i="15"/>
  <c r="U71" i="15"/>
  <c r="T71" i="15"/>
  <c r="S71" i="15"/>
  <c r="R71" i="15"/>
  <c r="Q71" i="15"/>
  <c r="P71" i="15"/>
  <c r="O71" i="15"/>
  <c r="N71" i="15"/>
  <c r="M71" i="15"/>
  <c r="L71" i="15"/>
  <c r="K71" i="15"/>
  <c r="J71" i="15"/>
  <c r="I71" i="15"/>
  <c r="H71" i="15"/>
  <c r="G71" i="15"/>
  <c r="F71" i="15"/>
  <c r="E71" i="15"/>
  <c r="D71" i="15"/>
  <c r="C71" i="15"/>
  <c r="B71" i="15"/>
  <c r="A71" i="15"/>
  <c r="X70" i="15"/>
  <c r="W70" i="15"/>
  <c r="V70" i="15"/>
  <c r="U70" i="15"/>
  <c r="T70" i="15"/>
  <c r="S70" i="15"/>
  <c r="R70" i="15"/>
  <c r="Q70" i="15"/>
  <c r="P70" i="15"/>
  <c r="O70" i="15"/>
  <c r="N70" i="15"/>
  <c r="M70" i="15"/>
  <c r="L70" i="15"/>
  <c r="K70" i="15"/>
  <c r="J70" i="15"/>
  <c r="I70" i="15"/>
  <c r="H70" i="15"/>
  <c r="G70" i="15"/>
  <c r="F70" i="15"/>
  <c r="E70" i="15"/>
  <c r="D70" i="15"/>
  <c r="C70" i="15"/>
  <c r="B70" i="15"/>
  <c r="A70" i="15"/>
  <c r="X69" i="15"/>
  <c r="W69" i="15"/>
  <c r="V69" i="15"/>
  <c r="U69" i="15"/>
  <c r="T69" i="15"/>
  <c r="S69" i="15"/>
  <c r="R69" i="15"/>
  <c r="Q69" i="15"/>
  <c r="P69" i="15"/>
  <c r="O69" i="15"/>
  <c r="N69" i="15"/>
  <c r="M69" i="15"/>
  <c r="L69" i="15"/>
  <c r="K69" i="15"/>
  <c r="J69" i="15"/>
  <c r="I69" i="15"/>
  <c r="H69" i="15"/>
  <c r="G69" i="15"/>
  <c r="F69" i="15"/>
  <c r="E69" i="15"/>
  <c r="D69" i="15"/>
  <c r="C69" i="15"/>
  <c r="B69" i="15"/>
  <c r="A69" i="15"/>
  <c r="X68" i="15"/>
  <c r="W68" i="15"/>
  <c r="V68" i="15"/>
  <c r="U68" i="15"/>
  <c r="T68" i="15"/>
  <c r="S68" i="15"/>
  <c r="R68" i="15"/>
  <c r="Q68" i="15"/>
  <c r="P68" i="15"/>
  <c r="O68" i="15"/>
  <c r="N68" i="15"/>
  <c r="M68" i="15"/>
  <c r="L68" i="15"/>
  <c r="K68" i="15"/>
  <c r="J68" i="15"/>
  <c r="I68" i="15"/>
  <c r="H68" i="15"/>
  <c r="G68" i="15"/>
  <c r="F68" i="15"/>
  <c r="E68" i="15"/>
  <c r="D68" i="15"/>
  <c r="C68" i="15"/>
  <c r="B68" i="15"/>
  <c r="A68" i="15"/>
  <c r="X67" i="15"/>
  <c r="W67" i="15"/>
  <c r="V67" i="15"/>
  <c r="U67" i="15"/>
  <c r="T67" i="15"/>
  <c r="S67" i="15"/>
  <c r="R67" i="15"/>
  <c r="Q67" i="15"/>
  <c r="P67" i="15"/>
  <c r="O67" i="15"/>
  <c r="N67" i="15"/>
  <c r="M67" i="15"/>
  <c r="L67" i="15"/>
  <c r="K67" i="15"/>
  <c r="J67" i="15"/>
  <c r="I67" i="15"/>
  <c r="H67" i="15"/>
  <c r="G67" i="15"/>
  <c r="F67" i="15"/>
  <c r="E67" i="15"/>
  <c r="D67" i="15"/>
  <c r="C67" i="15"/>
  <c r="B67" i="15"/>
  <c r="A67" i="15"/>
  <c r="X66" i="15"/>
  <c r="W66" i="15"/>
  <c r="V66" i="15"/>
  <c r="U66" i="15"/>
  <c r="T66" i="15"/>
  <c r="S66" i="15"/>
  <c r="R66" i="15"/>
  <c r="Q66" i="15"/>
  <c r="P66" i="15"/>
  <c r="O66" i="15"/>
  <c r="N66" i="15"/>
  <c r="M66" i="15"/>
  <c r="L66" i="15"/>
  <c r="K66" i="15"/>
  <c r="J66" i="15"/>
  <c r="I66" i="15"/>
  <c r="H66" i="15"/>
  <c r="G66" i="15"/>
  <c r="F66" i="15"/>
  <c r="E66" i="15"/>
  <c r="D66" i="15"/>
  <c r="C66" i="15"/>
  <c r="B66" i="15"/>
  <c r="A66" i="15"/>
  <c r="X65" i="15"/>
  <c r="W65" i="15"/>
  <c r="V65" i="15"/>
  <c r="U65" i="15"/>
  <c r="T65" i="15"/>
  <c r="S65" i="15"/>
  <c r="R65" i="15"/>
  <c r="Q65" i="15"/>
  <c r="P65" i="15"/>
  <c r="O65" i="15"/>
  <c r="N65" i="15"/>
  <c r="M65" i="15"/>
  <c r="L65" i="15"/>
  <c r="K65" i="15"/>
  <c r="J65" i="15"/>
  <c r="I65" i="15"/>
  <c r="H65" i="15"/>
  <c r="G65" i="15"/>
  <c r="F65" i="15"/>
  <c r="E65" i="15"/>
  <c r="D65" i="15"/>
  <c r="C65" i="15"/>
  <c r="B65" i="15"/>
  <c r="A65" i="15"/>
  <c r="X64" i="15"/>
  <c r="W64" i="15"/>
  <c r="V64" i="15"/>
  <c r="U64" i="15"/>
  <c r="T64" i="15"/>
  <c r="S64" i="15"/>
  <c r="R64" i="15"/>
  <c r="Q64" i="15"/>
  <c r="P64" i="15"/>
  <c r="O64" i="15"/>
  <c r="N64" i="15"/>
  <c r="M64" i="15"/>
  <c r="L64" i="15"/>
  <c r="K64" i="15"/>
  <c r="J64" i="15"/>
  <c r="I64" i="15"/>
  <c r="H64" i="15"/>
  <c r="G64" i="15"/>
  <c r="F64" i="15"/>
  <c r="E64" i="15"/>
  <c r="D64" i="15"/>
  <c r="C64" i="15"/>
  <c r="B64" i="15"/>
  <c r="A64" i="15"/>
  <c r="X63" i="15"/>
  <c r="W63" i="15"/>
  <c r="V63" i="15"/>
  <c r="U63" i="15"/>
  <c r="T63" i="15"/>
  <c r="S63" i="15"/>
  <c r="R63" i="15"/>
  <c r="Q63" i="15"/>
  <c r="P63" i="15"/>
  <c r="O63" i="15"/>
  <c r="N63" i="15"/>
  <c r="M63" i="15"/>
  <c r="L63" i="15"/>
  <c r="K63" i="15"/>
  <c r="J63" i="15"/>
  <c r="I63" i="15"/>
  <c r="H63" i="15"/>
  <c r="G63" i="15"/>
  <c r="F63" i="15"/>
  <c r="E63" i="15"/>
  <c r="D63" i="15"/>
  <c r="C63" i="15"/>
  <c r="B63" i="15"/>
  <c r="A63" i="15"/>
  <c r="X62" i="15"/>
  <c r="W62" i="15"/>
  <c r="V62" i="15"/>
  <c r="U62" i="15"/>
  <c r="T62" i="15"/>
  <c r="S62" i="15"/>
  <c r="R62" i="15"/>
  <c r="Q62" i="15"/>
  <c r="P62" i="15"/>
  <c r="O62" i="15"/>
  <c r="N62" i="15"/>
  <c r="M62" i="15"/>
  <c r="L62" i="15"/>
  <c r="K62" i="15"/>
  <c r="J62" i="15"/>
  <c r="I62" i="15"/>
  <c r="H62" i="15"/>
  <c r="G62" i="15"/>
  <c r="F62" i="15"/>
  <c r="E62" i="15"/>
  <c r="D62" i="15"/>
  <c r="C62" i="15"/>
  <c r="B62" i="15"/>
  <c r="A62" i="15"/>
  <c r="X61" i="15"/>
  <c r="W61" i="15"/>
  <c r="V61" i="15"/>
  <c r="U61" i="15"/>
  <c r="T61" i="15"/>
  <c r="S61" i="15"/>
  <c r="R61" i="15"/>
  <c r="Q61" i="15"/>
  <c r="P61" i="15"/>
  <c r="O61" i="15"/>
  <c r="N61" i="15"/>
  <c r="M61" i="15"/>
  <c r="L61" i="15"/>
  <c r="K61" i="15"/>
  <c r="J61" i="15"/>
  <c r="I61" i="15"/>
  <c r="H61" i="15"/>
  <c r="G61" i="15"/>
  <c r="F61" i="15"/>
  <c r="E61" i="15"/>
  <c r="D61" i="15"/>
  <c r="C61" i="15"/>
  <c r="B61" i="15"/>
  <c r="A61" i="15"/>
  <c r="X60" i="15"/>
  <c r="W60" i="15"/>
  <c r="V60" i="15"/>
  <c r="U60" i="15"/>
  <c r="T60" i="15"/>
  <c r="S60" i="15"/>
  <c r="R60" i="15"/>
  <c r="Q60" i="15"/>
  <c r="P60" i="15"/>
  <c r="O60" i="15"/>
  <c r="N60" i="15"/>
  <c r="M60" i="15"/>
  <c r="L60" i="15"/>
  <c r="K60" i="15"/>
  <c r="J60" i="15"/>
  <c r="I60" i="15"/>
  <c r="H60" i="15"/>
  <c r="G60" i="15"/>
  <c r="F60" i="15"/>
  <c r="E60" i="15"/>
  <c r="D60" i="15"/>
  <c r="C60" i="15"/>
  <c r="B60" i="15"/>
  <c r="A60" i="15"/>
  <c r="X59" i="15"/>
  <c r="W59" i="15"/>
  <c r="V59" i="15"/>
  <c r="U59" i="15"/>
  <c r="T59" i="15"/>
  <c r="S59" i="15"/>
  <c r="R59" i="15"/>
  <c r="Q59" i="15"/>
  <c r="P59" i="15"/>
  <c r="O59" i="15"/>
  <c r="N59" i="15"/>
  <c r="M59" i="15"/>
  <c r="L59" i="15"/>
  <c r="K59" i="15"/>
  <c r="J59" i="15"/>
  <c r="I59" i="15"/>
  <c r="H59" i="15"/>
  <c r="G59" i="15"/>
  <c r="F59" i="15"/>
  <c r="E59" i="15"/>
  <c r="D59" i="15"/>
  <c r="C59" i="15"/>
  <c r="B59" i="15"/>
  <c r="A59" i="15"/>
  <c r="X58" i="15"/>
  <c r="W58" i="15"/>
  <c r="V58" i="15"/>
  <c r="U58" i="15"/>
  <c r="T58" i="15"/>
  <c r="S58" i="15"/>
  <c r="R58" i="15"/>
  <c r="Q58" i="15"/>
  <c r="P58" i="15"/>
  <c r="O58" i="15"/>
  <c r="N58" i="15"/>
  <c r="M58" i="15"/>
  <c r="L58" i="15"/>
  <c r="K58" i="15"/>
  <c r="J58" i="15"/>
  <c r="I58" i="15"/>
  <c r="H58" i="15"/>
  <c r="G58" i="15"/>
  <c r="F58" i="15"/>
  <c r="E58" i="15"/>
  <c r="D58" i="15"/>
  <c r="C58" i="15"/>
  <c r="B58" i="15"/>
  <c r="A58" i="15"/>
  <c r="X57" i="15"/>
  <c r="W57" i="15"/>
  <c r="V57" i="15"/>
  <c r="U57" i="15"/>
  <c r="T57" i="15"/>
  <c r="S57" i="15"/>
  <c r="R57" i="15"/>
  <c r="Q57" i="15"/>
  <c r="P57" i="15"/>
  <c r="O57" i="15"/>
  <c r="N57" i="15"/>
  <c r="M57" i="15"/>
  <c r="L57" i="15"/>
  <c r="K57" i="15"/>
  <c r="J57" i="15"/>
  <c r="I57" i="15"/>
  <c r="H57" i="15"/>
  <c r="G57" i="15"/>
  <c r="F57" i="15"/>
  <c r="E57" i="15"/>
  <c r="D57" i="15"/>
  <c r="C57" i="15"/>
  <c r="B57" i="15"/>
  <c r="A57" i="15"/>
  <c r="X56" i="15"/>
  <c r="W56" i="15"/>
  <c r="V56" i="15"/>
  <c r="U56" i="15"/>
  <c r="T56" i="15"/>
  <c r="S56" i="15"/>
  <c r="R56" i="15"/>
  <c r="Q56" i="15"/>
  <c r="P56" i="15"/>
  <c r="O56" i="15"/>
  <c r="N56" i="15"/>
  <c r="M56" i="15"/>
  <c r="L56" i="15"/>
  <c r="K56" i="15"/>
  <c r="J56" i="15"/>
  <c r="I56" i="15"/>
  <c r="H56" i="15"/>
  <c r="G56" i="15"/>
  <c r="F56" i="15"/>
  <c r="E56" i="15"/>
  <c r="D56" i="15"/>
  <c r="C56" i="15"/>
  <c r="B56" i="15"/>
  <c r="A56" i="15"/>
  <c r="X55" i="15"/>
  <c r="W55" i="15"/>
  <c r="V55" i="15"/>
  <c r="U55" i="15"/>
  <c r="T55" i="15"/>
  <c r="S55" i="15"/>
  <c r="R55" i="15"/>
  <c r="Q55" i="15"/>
  <c r="P55" i="15"/>
  <c r="O55" i="15"/>
  <c r="N55" i="15"/>
  <c r="M55" i="15"/>
  <c r="L55" i="15"/>
  <c r="K55" i="15"/>
  <c r="J55" i="15"/>
  <c r="I55" i="15"/>
  <c r="H55" i="15"/>
  <c r="G55" i="15"/>
  <c r="F55" i="15"/>
  <c r="E55" i="15"/>
  <c r="D55" i="15"/>
  <c r="C55" i="15"/>
  <c r="B55" i="15"/>
  <c r="A55" i="15"/>
  <c r="X54" i="15"/>
  <c r="W54" i="15"/>
  <c r="V54" i="15"/>
  <c r="U54" i="15"/>
  <c r="T54" i="15"/>
  <c r="S54" i="15"/>
  <c r="R54" i="15"/>
  <c r="Q54" i="15"/>
  <c r="P54" i="15"/>
  <c r="O54" i="15"/>
  <c r="N54" i="15"/>
  <c r="M54" i="15"/>
  <c r="L54" i="15"/>
  <c r="K54" i="15"/>
  <c r="J54" i="15"/>
  <c r="I54" i="15"/>
  <c r="H54" i="15"/>
  <c r="G54" i="15"/>
  <c r="F54" i="15"/>
  <c r="E54" i="15"/>
  <c r="D54" i="15"/>
  <c r="C54" i="15"/>
  <c r="B54" i="15"/>
  <c r="A54" i="15"/>
  <c r="X53" i="15"/>
  <c r="W53" i="15"/>
  <c r="V53" i="15"/>
  <c r="U53" i="15"/>
  <c r="T53" i="15"/>
  <c r="S53" i="15"/>
  <c r="R53" i="15"/>
  <c r="Q53" i="15"/>
  <c r="P53" i="15"/>
  <c r="O53" i="15"/>
  <c r="N53" i="15"/>
  <c r="M53" i="15"/>
  <c r="L53" i="15"/>
  <c r="K53" i="15"/>
  <c r="J53" i="15"/>
  <c r="I53" i="15"/>
  <c r="H53" i="15"/>
  <c r="G53" i="15"/>
  <c r="F53" i="15"/>
  <c r="E53" i="15"/>
  <c r="D53" i="15"/>
  <c r="C53" i="15"/>
  <c r="B53" i="15"/>
  <c r="A53" i="15"/>
  <c r="X52" i="15"/>
  <c r="W52" i="15"/>
  <c r="V52" i="15"/>
  <c r="U52" i="15"/>
  <c r="T52" i="15"/>
  <c r="S52" i="15"/>
  <c r="R52" i="15"/>
  <c r="Q52" i="15"/>
  <c r="P52" i="15"/>
  <c r="O52" i="15"/>
  <c r="N52" i="15"/>
  <c r="M52" i="15"/>
  <c r="L52" i="15"/>
  <c r="K52" i="15"/>
  <c r="J52" i="15"/>
  <c r="I52" i="15"/>
  <c r="H52" i="15"/>
  <c r="G52" i="15"/>
  <c r="F52" i="15"/>
  <c r="E52" i="15"/>
  <c r="D52" i="15"/>
  <c r="C52" i="15"/>
  <c r="B52" i="15"/>
  <c r="A52" i="15"/>
  <c r="X51" i="15"/>
  <c r="W51" i="15"/>
  <c r="V51" i="15"/>
  <c r="U51" i="15"/>
  <c r="T51" i="15"/>
  <c r="S51" i="15"/>
  <c r="R51" i="15"/>
  <c r="Q51" i="15"/>
  <c r="P51" i="15"/>
  <c r="O51" i="15"/>
  <c r="N51" i="15"/>
  <c r="M51" i="15"/>
  <c r="L51" i="15"/>
  <c r="K51" i="15"/>
  <c r="J51" i="15"/>
  <c r="I51" i="15"/>
  <c r="H51" i="15"/>
  <c r="G51" i="15"/>
  <c r="F51" i="15"/>
  <c r="E51" i="15"/>
  <c r="D51" i="15"/>
  <c r="C51" i="15"/>
  <c r="B51" i="15"/>
  <c r="A51" i="15"/>
  <c r="X50" i="15"/>
  <c r="W50" i="15"/>
  <c r="V50" i="15"/>
  <c r="U50" i="15"/>
  <c r="T50" i="15"/>
  <c r="S50" i="15"/>
  <c r="R50" i="15"/>
  <c r="Q50" i="15"/>
  <c r="P50" i="15"/>
  <c r="O50" i="15"/>
  <c r="N50" i="15"/>
  <c r="M50" i="15"/>
  <c r="L50" i="15"/>
  <c r="K50" i="15"/>
  <c r="J50" i="15"/>
  <c r="I50" i="15"/>
  <c r="H50" i="15"/>
  <c r="G50" i="15"/>
  <c r="F50" i="15"/>
  <c r="E50" i="15"/>
  <c r="D50" i="15"/>
  <c r="C50" i="15"/>
  <c r="B50" i="15"/>
  <c r="A50" i="15"/>
  <c r="X49" i="15"/>
  <c r="W49" i="15"/>
  <c r="V49" i="15"/>
  <c r="U49" i="15"/>
  <c r="T49" i="15"/>
  <c r="S49" i="15"/>
  <c r="R49" i="15"/>
  <c r="Q49" i="15"/>
  <c r="P49" i="15"/>
  <c r="O49" i="15"/>
  <c r="N49" i="15"/>
  <c r="M49" i="15"/>
  <c r="L49" i="15"/>
  <c r="K49" i="15"/>
  <c r="J49" i="15"/>
  <c r="I49" i="15"/>
  <c r="H49" i="15"/>
  <c r="G49" i="15"/>
  <c r="F49" i="15"/>
  <c r="E49" i="15"/>
  <c r="D49" i="15"/>
  <c r="C49" i="15"/>
  <c r="B49" i="15"/>
  <c r="A49" i="15"/>
  <c r="X48" i="15"/>
  <c r="W48" i="15"/>
  <c r="V48" i="15"/>
  <c r="U48" i="15"/>
  <c r="T48" i="15"/>
  <c r="S48" i="15"/>
  <c r="R48" i="15"/>
  <c r="Q48" i="15"/>
  <c r="P48" i="15"/>
  <c r="O48" i="15"/>
  <c r="N48" i="15"/>
  <c r="M48" i="15"/>
  <c r="L48" i="15"/>
  <c r="K48" i="15"/>
  <c r="J48" i="15"/>
  <c r="I48" i="15"/>
  <c r="H48" i="15"/>
  <c r="G48" i="15"/>
  <c r="F48" i="15"/>
  <c r="E48" i="15"/>
  <c r="D48" i="15"/>
  <c r="C48" i="15"/>
  <c r="B48" i="15"/>
  <c r="A48" i="15"/>
  <c r="X47" i="15"/>
  <c r="W47" i="15"/>
  <c r="V47" i="15"/>
  <c r="U47" i="15"/>
  <c r="T47" i="15"/>
  <c r="S47" i="15"/>
  <c r="R47" i="15"/>
  <c r="Q47" i="15"/>
  <c r="P47" i="15"/>
  <c r="O47" i="15"/>
  <c r="N47" i="15"/>
  <c r="M47" i="15"/>
  <c r="L47" i="15"/>
  <c r="K47" i="15"/>
  <c r="J47" i="15"/>
  <c r="I47" i="15"/>
  <c r="H47" i="15"/>
  <c r="G47" i="15"/>
  <c r="F47" i="15"/>
  <c r="E47" i="15"/>
  <c r="D47" i="15"/>
  <c r="C47" i="15"/>
  <c r="B47" i="15"/>
  <c r="A47" i="15"/>
  <c r="X46" i="15"/>
  <c r="W46" i="15"/>
  <c r="V46" i="15"/>
  <c r="U46" i="15"/>
  <c r="T46" i="15"/>
  <c r="S46" i="15"/>
  <c r="R46" i="15"/>
  <c r="Q46" i="15"/>
  <c r="P46" i="15"/>
  <c r="O46" i="15"/>
  <c r="N46" i="15"/>
  <c r="M46" i="15"/>
  <c r="L46" i="15"/>
  <c r="K46" i="15"/>
  <c r="J46" i="15"/>
  <c r="I46" i="15"/>
  <c r="H46" i="15"/>
  <c r="G46" i="15"/>
  <c r="F46" i="15"/>
  <c r="E46" i="15"/>
  <c r="D46" i="15"/>
  <c r="C46" i="15"/>
  <c r="B46" i="15"/>
  <c r="A46" i="15"/>
  <c r="X45" i="15"/>
  <c r="W45" i="15"/>
  <c r="V45" i="15"/>
  <c r="U45" i="15"/>
  <c r="T45" i="15"/>
  <c r="S45" i="15"/>
  <c r="R45" i="15"/>
  <c r="Q45" i="15"/>
  <c r="P45" i="15"/>
  <c r="O45" i="15"/>
  <c r="N45" i="15"/>
  <c r="M45" i="15"/>
  <c r="L45" i="15"/>
  <c r="K45" i="15"/>
  <c r="J45" i="15"/>
  <c r="I45" i="15"/>
  <c r="H45" i="15"/>
  <c r="G45" i="15"/>
  <c r="F45" i="15"/>
  <c r="E45" i="15"/>
  <c r="D45" i="15"/>
  <c r="C45" i="15"/>
  <c r="B45" i="15"/>
  <c r="A45" i="15"/>
  <c r="X44" i="15"/>
  <c r="W44" i="15"/>
  <c r="V44" i="15"/>
  <c r="U44" i="15"/>
  <c r="T44" i="15"/>
  <c r="S44" i="15"/>
  <c r="R44" i="15"/>
  <c r="Q44" i="15"/>
  <c r="P44" i="15"/>
  <c r="O44" i="15"/>
  <c r="N44" i="15"/>
  <c r="M44" i="15"/>
  <c r="L44" i="15"/>
  <c r="K44" i="15"/>
  <c r="J44" i="15"/>
  <c r="I44" i="15"/>
  <c r="H44" i="15"/>
  <c r="G44" i="15"/>
  <c r="F44" i="15"/>
  <c r="E44" i="15"/>
  <c r="D44" i="15"/>
  <c r="C44" i="15"/>
  <c r="B44" i="15"/>
  <c r="A44" i="15"/>
  <c r="X43" i="15"/>
  <c r="W43" i="15"/>
  <c r="V43" i="15"/>
  <c r="U43" i="15"/>
  <c r="T43" i="15"/>
  <c r="S43" i="15"/>
  <c r="R43" i="15"/>
  <c r="Q43" i="15"/>
  <c r="P43" i="15"/>
  <c r="O43" i="15"/>
  <c r="N43" i="15"/>
  <c r="M43" i="15"/>
  <c r="L43" i="15"/>
  <c r="K43" i="15"/>
  <c r="J43" i="15"/>
  <c r="I43" i="15"/>
  <c r="H43" i="15"/>
  <c r="G43" i="15"/>
  <c r="F43" i="15"/>
  <c r="E43" i="15"/>
  <c r="D43" i="15"/>
  <c r="C43" i="15"/>
  <c r="B43" i="15"/>
  <c r="A43" i="15"/>
  <c r="X42" i="15"/>
  <c r="W42" i="15"/>
  <c r="V42" i="15"/>
  <c r="U42" i="15"/>
  <c r="T42" i="15"/>
  <c r="S42" i="15"/>
  <c r="R42" i="15"/>
  <c r="Q42" i="15"/>
  <c r="P42" i="15"/>
  <c r="O42" i="15"/>
  <c r="N42" i="15"/>
  <c r="M42" i="15"/>
  <c r="L42" i="15"/>
  <c r="K42" i="15"/>
  <c r="J42" i="15"/>
  <c r="I42" i="15"/>
  <c r="H42" i="15"/>
  <c r="G42" i="15"/>
  <c r="F42" i="15"/>
  <c r="E42" i="15"/>
  <c r="D42" i="15"/>
  <c r="C42" i="15"/>
  <c r="B42" i="15"/>
  <c r="A42" i="15"/>
  <c r="X41" i="15"/>
  <c r="W41" i="15"/>
  <c r="V41" i="15"/>
  <c r="U41" i="15"/>
  <c r="T41" i="15"/>
  <c r="S41" i="15"/>
  <c r="R41" i="15"/>
  <c r="Q41" i="15"/>
  <c r="P41" i="15"/>
  <c r="O41" i="15"/>
  <c r="N41" i="15"/>
  <c r="M41" i="15"/>
  <c r="L41" i="15"/>
  <c r="K41" i="15"/>
  <c r="J41" i="15"/>
  <c r="I41" i="15"/>
  <c r="H41" i="15"/>
  <c r="G41" i="15"/>
  <c r="F41" i="15"/>
  <c r="E41" i="15"/>
  <c r="D41" i="15"/>
  <c r="C41" i="15"/>
  <c r="B41" i="15"/>
  <c r="A41" i="15"/>
  <c r="X40" i="15"/>
  <c r="W40" i="15"/>
  <c r="V40" i="15"/>
  <c r="U40" i="15"/>
  <c r="T40" i="15"/>
  <c r="S40" i="15"/>
  <c r="R40" i="15"/>
  <c r="Q40" i="15"/>
  <c r="P40" i="15"/>
  <c r="O40" i="15"/>
  <c r="N40" i="15"/>
  <c r="M40" i="15"/>
  <c r="L40" i="15"/>
  <c r="K40" i="15"/>
  <c r="J40" i="15"/>
  <c r="I40" i="15"/>
  <c r="H40" i="15"/>
  <c r="G40" i="15"/>
  <c r="F40" i="15"/>
  <c r="E40" i="15"/>
  <c r="D40" i="15"/>
  <c r="C40" i="15"/>
  <c r="B40" i="15"/>
  <c r="A40" i="15"/>
  <c r="X39" i="15"/>
  <c r="W39" i="15"/>
  <c r="V39" i="15"/>
  <c r="U39" i="15"/>
  <c r="T39" i="15"/>
  <c r="S39" i="15"/>
  <c r="R39" i="15"/>
  <c r="Q39" i="15"/>
  <c r="P39" i="15"/>
  <c r="O39" i="15"/>
  <c r="N39" i="15"/>
  <c r="M39" i="15"/>
  <c r="L39" i="15"/>
  <c r="K39" i="15"/>
  <c r="J39" i="15"/>
  <c r="I39" i="15"/>
  <c r="H39" i="15"/>
  <c r="G39" i="15"/>
  <c r="F39" i="15"/>
  <c r="E39" i="15"/>
  <c r="D39" i="15"/>
  <c r="C39" i="15"/>
  <c r="B39" i="15"/>
  <c r="A39" i="15"/>
  <c r="X38" i="15"/>
  <c r="W38" i="15"/>
  <c r="V38" i="15"/>
  <c r="U38" i="15"/>
  <c r="T38" i="15"/>
  <c r="S38" i="15"/>
  <c r="R38" i="15"/>
  <c r="Q38" i="15"/>
  <c r="P38" i="15"/>
  <c r="O38" i="15"/>
  <c r="N38" i="15"/>
  <c r="M38" i="15"/>
  <c r="L38" i="15"/>
  <c r="K38" i="15"/>
  <c r="J38" i="15"/>
  <c r="I38" i="15"/>
  <c r="H38" i="15"/>
  <c r="G38" i="15"/>
  <c r="F38" i="15"/>
  <c r="E38" i="15"/>
  <c r="D38" i="15"/>
  <c r="C38" i="15"/>
  <c r="B38" i="15"/>
  <c r="A38" i="15"/>
  <c r="X37" i="15"/>
  <c r="W37" i="15"/>
  <c r="V37" i="15"/>
  <c r="U37" i="15"/>
  <c r="T37" i="15"/>
  <c r="S37" i="15"/>
  <c r="R37" i="15"/>
  <c r="Q37" i="15"/>
  <c r="P37" i="15"/>
  <c r="O37" i="15"/>
  <c r="N37" i="15"/>
  <c r="M37" i="15"/>
  <c r="L37" i="15"/>
  <c r="K37" i="15"/>
  <c r="J37" i="15"/>
  <c r="I37" i="15"/>
  <c r="H37" i="15"/>
  <c r="G37" i="15"/>
  <c r="F37" i="15"/>
  <c r="E37" i="15"/>
  <c r="D37" i="15"/>
  <c r="C37" i="15"/>
  <c r="B37" i="15"/>
  <c r="A37" i="15"/>
  <c r="X36" i="15"/>
  <c r="W36" i="15"/>
  <c r="V36" i="15"/>
  <c r="U36" i="15"/>
  <c r="T36" i="15"/>
  <c r="S36" i="15"/>
  <c r="R36" i="15"/>
  <c r="Q36" i="15"/>
  <c r="P36" i="15"/>
  <c r="O36" i="15"/>
  <c r="N36" i="15"/>
  <c r="M36" i="15"/>
  <c r="L36" i="15"/>
  <c r="K36" i="15"/>
  <c r="J36" i="15"/>
  <c r="I36" i="15"/>
  <c r="H36" i="15"/>
  <c r="G36" i="15"/>
  <c r="F36" i="15"/>
  <c r="E36" i="15"/>
  <c r="D36" i="15"/>
  <c r="C36" i="15"/>
  <c r="B36" i="15"/>
  <c r="A36" i="15"/>
  <c r="X35" i="15"/>
  <c r="W35" i="15"/>
  <c r="V35" i="15"/>
  <c r="U35" i="15"/>
  <c r="T35" i="15"/>
  <c r="S35" i="15"/>
  <c r="R35" i="15"/>
  <c r="Q35" i="15"/>
  <c r="P35" i="15"/>
  <c r="O35" i="15"/>
  <c r="N35" i="15"/>
  <c r="M35" i="15"/>
  <c r="L35" i="15"/>
  <c r="K35" i="15"/>
  <c r="J35" i="15"/>
  <c r="I35" i="15"/>
  <c r="H35" i="15"/>
  <c r="G35" i="15"/>
  <c r="F35" i="15"/>
  <c r="E35" i="15"/>
  <c r="D35" i="15"/>
  <c r="C35" i="15"/>
  <c r="B35" i="15"/>
  <c r="A35" i="15"/>
  <c r="X34" i="15"/>
  <c r="W34" i="15"/>
  <c r="V34" i="15"/>
  <c r="U34" i="15"/>
  <c r="T34" i="15"/>
  <c r="S34" i="15"/>
  <c r="R34" i="15"/>
  <c r="Q34" i="15"/>
  <c r="P34" i="15"/>
  <c r="O34" i="15"/>
  <c r="N34" i="15"/>
  <c r="M34" i="15"/>
  <c r="L34" i="15"/>
  <c r="K34" i="15"/>
  <c r="J34" i="15"/>
  <c r="I34" i="15"/>
  <c r="H34" i="15"/>
  <c r="G34" i="15"/>
  <c r="F34" i="15"/>
  <c r="E34" i="15"/>
  <c r="D34" i="15"/>
  <c r="C34" i="15"/>
  <c r="B34" i="15"/>
  <c r="A34" i="15"/>
  <c r="X33" i="15"/>
  <c r="W33" i="15"/>
  <c r="V33" i="15"/>
  <c r="U33" i="15"/>
  <c r="T33" i="15"/>
  <c r="S33" i="15"/>
  <c r="R33" i="15"/>
  <c r="Q33" i="15"/>
  <c r="P33" i="15"/>
  <c r="O33" i="15"/>
  <c r="N33" i="15"/>
  <c r="M33" i="15"/>
  <c r="L33" i="15"/>
  <c r="K33" i="15"/>
  <c r="J33" i="15"/>
  <c r="I33" i="15"/>
  <c r="H33" i="15"/>
  <c r="G33" i="15"/>
  <c r="F33" i="15"/>
  <c r="E33" i="15"/>
  <c r="D33" i="15"/>
  <c r="C33" i="15"/>
  <c r="B33" i="15"/>
  <c r="A33" i="15"/>
  <c r="X32" i="15"/>
  <c r="W32" i="15"/>
  <c r="V32" i="15"/>
  <c r="U32" i="15"/>
  <c r="T32" i="15"/>
  <c r="S32" i="15"/>
  <c r="R32" i="15"/>
  <c r="Q32" i="15"/>
  <c r="P32" i="15"/>
  <c r="O32" i="15"/>
  <c r="N32" i="15"/>
  <c r="M32" i="15"/>
  <c r="L32" i="15"/>
  <c r="K32" i="15"/>
  <c r="J32" i="15"/>
  <c r="I32" i="15"/>
  <c r="H32" i="15"/>
  <c r="G32" i="15"/>
  <c r="F32" i="15"/>
  <c r="E32" i="15"/>
  <c r="D32" i="15"/>
  <c r="C32" i="15"/>
  <c r="B32" i="15"/>
  <c r="A32" i="15"/>
  <c r="X31" i="15"/>
  <c r="W31" i="15"/>
  <c r="V31" i="15"/>
  <c r="U31" i="15"/>
  <c r="T31" i="15"/>
  <c r="S31" i="15"/>
  <c r="R31" i="15"/>
  <c r="Q31" i="15"/>
  <c r="P31" i="15"/>
  <c r="O31" i="15"/>
  <c r="N31" i="15"/>
  <c r="M31" i="15"/>
  <c r="L31" i="15"/>
  <c r="K31" i="15"/>
  <c r="J31" i="15"/>
  <c r="I31" i="15"/>
  <c r="H31" i="15"/>
  <c r="G31" i="15"/>
  <c r="F31" i="15"/>
  <c r="E31" i="15"/>
  <c r="D31" i="15"/>
  <c r="C31" i="15"/>
  <c r="B31" i="15"/>
  <c r="A31" i="15"/>
  <c r="X30" i="15"/>
  <c r="W30" i="15"/>
  <c r="V30" i="15"/>
  <c r="U30" i="15"/>
  <c r="T30" i="15"/>
  <c r="S30" i="15"/>
  <c r="R30" i="15"/>
  <c r="Q30" i="15"/>
  <c r="P30" i="15"/>
  <c r="O30" i="15"/>
  <c r="N30" i="15"/>
  <c r="M30" i="15"/>
  <c r="L30" i="15"/>
  <c r="K30" i="15"/>
  <c r="J30" i="15"/>
  <c r="I30" i="15"/>
  <c r="H30" i="15"/>
  <c r="G30" i="15"/>
  <c r="F30" i="15"/>
  <c r="E30" i="15"/>
  <c r="D30" i="15"/>
  <c r="C30" i="15"/>
  <c r="B30" i="15"/>
  <c r="A30" i="15"/>
  <c r="X29" i="15"/>
  <c r="W29" i="15"/>
  <c r="V29" i="15"/>
  <c r="U29" i="15"/>
  <c r="T29" i="15"/>
  <c r="S29" i="15"/>
  <c r="R29" i="15"/>
  <c r="Q29" i="15"/>
  <c r="P29" i="15"/>
  <c r="O29" i="15"/>
  <c r="N29" i="15"/>
  <c r="M29" i="15"/>
  <c r="L29" i="15"/>
  <c r="K29" i="15"/>
  <c r="J29" i="15"/>
  <c r="I29" i="15"/>
  <c r="H29" i="15"/>
  <c r="G29" i="15"/>
  <c r="F29" i="15"/>
  <c r="E29" i="15"/>
  <c r="D29" i="15"/>
  <c r="C29" i="15"/>
  <c r="B29" i="15"/>
  <c r="A29" i="15"/>
  <c r="X28" i="15"/>
  <c r="W28" i="15"/>
  <c r="V28" i="15"/>
  <c r="U28" i="15"/>
  <c r="T28" i="15"/>
  <c r="S28" i="15"/>
  <c r="R28" i="15"/>
  <c r="Q28" i="15"/>
  <c r="P28" i="15"/>
  <c r="O28" i="15"/>
  <c r="N28" i="15"/>
  <c r="M28" i="15"/>
  <c r="L28" i="15"/>
  <c r="K28" i="15"/>
  <c r="J28" i="15"/>
  <c r="I28" i="15"/>
  <c r="H28" i="15"/>
  <c r="G28" i="15"/>
  <c r="F28" i="15"/>
  <c r="E28" i="15"/>
  <c r="D28" i="15"/>
  <c r="C28" i="15"/>
  <c r="B28" i="15"/>
  <c r="A28" i="15"/>
  <c r="X27" i="15"/>
  <c r="W27" i="15"/>
  <c r="V27" i="15"/>
  <c r="U27" i="15"/>
  <c r="T27" i="15"/>
  <c r="S27" i="15"/>
  <c r="R27" i="15"/>
  <c r="Q27" i="15"/>
  <c r="P27" i="15"/>
  <c r="O27" i="15"/>
  <c r="N27" i="15"/>
  <c r="M27" i="15"/>
  <c r="L27" i="15"/>
  <c r="K27" i="15"/>
  <c r="J27" i="15"/>
  <c r="I27" i="15"/>
  <c r="H27" i="15"/>
  <c r="G27" i="15"/>
  <c r="F27" i="15"/>
  <c r="E27" i="15"/>
  <c r="D27" i="15"/>
  <c r="C27" i="15"/>
  <c r="B27" i="15"/>
  <c r="A27" i="15"/>
  <c r="X26" i="15"/>
  <c r="W26" i="15"/>
  <c r="V26" i="15"/>
  <c r="U26" i="15"/>
  <c r="T26" i="15"/>
  <c r="S26" i="15"/>
  <c r="R26" i="15"/>
  <c r="Q26" i="15"/>
  <c r="P26" i="15"/>
  <c r="O26" i="15"/>
  <c r="N26" i="15"/>
  <c r="M26" i="15"/>
  <c r="L26" i="15"/>
  <c r="K26" i="15"/>
  <c r="J26" i="15"/>
  <c r="I26" i="15"/>
  <c r="H26" i="15"/>
  <c r="G26" i="15"/>
  <c r="F26" i="15"/>
  <c r="E26" i="15"/>
  <c r="D26" i="15"/>
  <c r="C26" i="15"/>
  <c r="B26" i="15"/>
  <c r="A26" i="15"/>
  <c r="X25" i="15"/>
  <c r="W25" i="15"/>
  <c r="V25" i="15"/>
  <c r="U25" i="15"/>
  <c r="T25" i="15"/>
  <c r="S25" i="15"/>
  <c r="R25" i="15"/>
  <c r="Q25" i="15"/>
  <c r="P25" i="15"/>
  <c r="O25" i="15"/>
  <c r="N25" i="15"/>
  <c r="M25" i="15"/>
  <c r="L25" i="15"/>
  <c r="K25" i="15"/>
  <c r="J25" i="15"/>
  <c r="I25" i="15"/>
  <c r="H25" i="15"/>
  <c r="G25" i="15"/>
  <c r="F25" i="15"/>
  <c r="E25" i="15"/>
  <c r="D25" i="15"/>
  <c r="C25" i="15"/>
  <c r="B25" i="15"/>
  <c r="A25" i="15"/>
  <c r="X24" i="15"/>
  <c r="W24" i="15"/>
  <c r="V24" i="15"/>
  <c r="U24" i="15"/>
  <c r="T24" i="15"/>
  <c r="S24" i="15"/>
  <c r="R24" i="15"/>
  <c r="Q24" i="15"/>
  <c r="P24" i="15"/>
  <c r="O24" i="15"/>
  <c r="N24" i="15"/>
  <c r="M24" i="15"/>
  <c r="L24" i="15"/>
  <c r="K24" i="15"/>
  <c r="J24" i="15"/>
  <c r="I24" i="15"/>
  <c r="H24" i="15"/>
  <c r="G24" i="15"/>
  <c r="F24" i="15"/>
  <c r="E24" i="15"/>
  <c r="D24" i="15"/>
  <c r="C24" i="15"/>
  <c r="B24" i="15"/>
  <c r="A24" i="15"/>
  <c r="X23" i="15"/>
  <c r="W23" i="15"/>
  <c r="V23" i="15"/>
  <c r="U23" i="15"/>
  <c r="T23" i="15"/>
  <c r="S23" i="15"/>
  <c r="R23" i="15"/>
  <c r="Q23" i="15"/>
  <c r="P23" i="15"/>
  <c r="O23" i="15"/>
  <c r="N23" i="15"/>
  <c r="M23" i="15"/>
  <c r="L23" i="15"/>
  <c r="K23" i="15"/>
  <c r="J23" i="15"/>
  <c r="I23" i="15"/>
  <c r="H23" i="15"/>
  <c r="G23" i="15"/>
  <c r="F23" i="15"/>
  <c r="E23" i="15"/>
  <c r="D23" i="15"/>
  <c r="C23" i="15"/>
  <c r="B23" i="15"/>
  <c r="A23" i="15"/>
  <c r="X22" i="15"/>
  <c r="W22" i="15"/>
  <c r="V22" i="15"/>
  <c r="U22" i="15"/>
  <c r="T22" i="15"/>
  <c r="S22" i="15"/>
  <c r="R22" i="15"/>
  <c r="Q22" i="15"/>
  <c r="P22" i="15"/>
  <c r="O22" i="15"/>
  <c r="N22" i="15"/>
  <c r="M22" i="15"/>
  <c r="L22" i="15"/>
  <c r="K22" i="15"/>
  <c r="J22" i="15"/>
  <c r="I22" i="15"/>
  <c r="H22" i="15"/>
  <c r="G22" i="15"/>
  <c r="F22" i="15"/>
  <c r="E22" i="15"/>
  <c r="D22" i="15"/>
  <c r="C22" i="15"/>
  <c r="B22" i="15"/>
  <c r="A22" i="15"/>
  <c r="X21" i="15"/>
  <c r="W21" i="15"/>
  <c r="V21" i="15"/>
  <c r="U21" i="15"/>
  <c r="T21" i="15"/>
  <c r="S21" i="15"/>
  <c r="R21" i="15"/>
  <c r="Q21" i="15"/>
  <c r="P21" i="15"/>
  <c r="O21" i="15"/>
  <c r="N21" i="15"/>
  <c r="M21" i="15"/>
  <c r="L21" i="15"/>
  <c r="K21" i="15"/>
  <c r="J21" i="15"/>
  <c r="I21" i="15"/>
  <c r="H21" i="15"/>
  <c r="G21" i="15"/>
  <c r="F21" i="15"/>
  <c r="E21" i="15"/>
  <c r="D21" i="15"/>
  <c r="C21" i="15"/>
  <c r="B21" i="15"/>
  <c r="A21" i="15"/>
  <c r="X20" i="15"/>
  <c r="W20" i="15"/>
  <c r="V20" i="15"/>
  <c r="U20" i="15"/>
  <c r="T20" i="15"/>
  <c r="S20" i="15"/>
  <c r="R20" i="15"/>
  <c r="Q20" i="15"/>
  <c r="P20" i="15"/>
  <c r="O20" i="15"/>
  <c r="N20" i="15"/>
  <c r="M20" i="15"/>
  <c r="L20" i="15"/>
  <c r="K20" i="15"/>
  <c r="J20" i="15"/>
  <c r="I20" i="15"/>
  <c r="H20" i="15"/>
  <c r="G20" i="15"/>
  <c r="F20" i="15"/>
  <c r="E20" i="15"/>
  <c r="D20" i="15"/>
  <c r="C20" i="15"/>
  <c r="B20" i="15"/>
  <c r="A20" i="15"/>
  <c r="X19" i="15"/>
  <c r="W19" i="15"/>
  <c r="V19" i="15"/>
  <c r="U19" i="15"/>
  <c r="T19" i="15"/>
  <c r="S19" i="15"/>
  <c r="R19" i="15"/>
  <c r="Q19" i="15"/>
  <c r="P19" i="15"/>
  <c r="O19" i="15"/>
  <c r="N19" i="15"/>
  <c r="M19" i="15"/>
  <c r="L19" i="15"/>
  <c r="K19" i="15"/>
  <c r="J19" i="15"/>
  <c r="I19" i="15"/>
  <c r="H19" i="15"/>
  <c r="G19" i="15"/>
  <c r="F19" i="15"/>
  <c r="E19" i="15"/>
  <c r="D19" i="15"/>
  <c r="C19" i="15"/>
  <c r="B19" i="15"/>
  <c r="A19" i="15"/>
  <c r="X18" i="15"/>
  <c r="W18" i="15"/>
  <c r="V18" i="15"/>
  <c r="U18" i="15"/>
  <c r="T18" i="15"/>
  <c r="S18" i="15"/>
  <c r="R18" i="15"/>
  <c r="Q18" i="15"/>
  <c r="P18" i="15"/>
  <c r="O18" i="15"/>
  <c r="N18" i="15"/>
  <c r="M18" i="15"/>
  <c r="L18" i="15"/>
  <c r="K18" i="15"/>
  <c r="J18" i="15"/>
  <c r="I18" i="15"/>
  <c r="H18" i="15"/>
  <c r="G18" i="15"/>
  <c r="F18" i="15"/>
  <c r="E18" i="15"/>
  <c r="D18" i="15"/>
  <c r="C18" i="15"/>
  <c r="B18" i="15"/>
  <c r="A18" i="15"/>
  <c r="X17" i="15"/>
  <c r="W17" i="15"/>
  <c r="V17" i="15"/>
  <c r="U17" i="15"/>
  <c r="T17" i="15"/>
  <c r="S17" i="15"/>
  <c r="R17" i="15"/>
  <c r="Q17" i="15"/>
  <c r="P17" i="15"/>
  <c r="O17" i="15"/>
  <c r="N17" i="15"/>
  <c r="M17" i="15"/>
  <c r="L17" i="15"/>
  <c r="K17" i="15"/>
  <c r="J17" i="15"/>
  <c r="I17" i="15"/>
  <c r="H17" i="15"/>
  <c r="G17" i="15"/>
  <c r="F17" i="15"/>
  <c r="E17" i="15"/>
  <c r="D17" i="15"/>
  <c r="C17" i="15"/>
  <c r="B17" i="15"/>
  <c r="A17" i="15"/>
  <c r="X16" i="15"/>
  <c r="W16" i="15"/>
  <c r="V16" i="15"/>
  <c r="U16" i="15"/>
  <c r="T16" i="15"/>
  <c r="S16" i="15"/>
  <c r="R16" i="15"/>
  <c r="Q16" i="15"/>
  <c r="P16" i="15"/>
  <c r="O16" i="15"/>
  <c r="N16" i="15"/>
  <c r="M16" i="15"/>
  <c r="L16" i="15"/>
  <c r="K16" i="15"/>
  <c r="J16" i="15"/>
  <c r="I16" i="15"/>
  <c r="H16" i="15"/>
  <c r="G16" i="15"/>
  <c r="F16" i="15"/>
  <c r="E16" i="15"/>
  <c r="D16" i="15"/>
  <c r="C16" i="15"/>
  <c r="B16" i="15"/>
  <c r="A16" i="15"/>
  <c r="X15" i="15"/>
  <c r="W15" i="15"/>
  <c r="V15" i="15"/>
  <c r="U15" i="15"/>
  <c r="T15" i="15"/>
  <c r="S15" i="15"/>
  <c r="R15" i="15"/>
  <c r="Q15" i="15"/>
  <c r="P15" i="15"/>
  <c r="O15" i="15"/>
  <c r="N15" i="15"/>
  <c r="M15" i="15"/>
  <c r="L15" i="15"/>
  <c r="K15" i="15"/>
  <c r="J15" i="15"/>
  <c r="I15" i="15"/>
  <c r="H15" i="15"/>
  <c r="G15" i="15"/>
  <c r="F15" i="15"/>
  <c r="E15" i="15"/>
  <c r="D15" i="15"/>
  <c r="C15" i="15"/>
  <c r="B15" i="15"/>
  <c r="A15" i="15"/>
  <c r="X14" i="15"/>
  <c r="W14" i="15"/>
  <c r="V14" i="15"/>
  <c r="U14" i="15"/>
  <c r="T14" i="15"/>
  <c r="S14" i="15"/>
  <c r="R14" i="15"/>
  <c r="Q14" i="15"/>
  <c r="P14" i="15"/>
  <c r="O14" i="15"/>
  <c r="N14" i="15"/>
  <c r="M14" i="15"/>
  <c r="L14" i="15"/>
  <c r="K14" i="15"/>
  <c r="J14" i="15"/>
  <c r="I14" i="15"/>
  <c r="H14" i="15"/>
  <c r="G14" i="15"/>
  <c r="F14" i="15"/>
  <c r="E14" i="15"/>
  <c r="D14" i="15"/>
  <c r="C14" i="15"/>
  <c r="B14" i="15"/>
  <c r="A14" i="15"/>
  <c r="X13" i="15"/>
  <c r="W13" i="15"/>
  <c r="V13" i="15"/>
  <c r="U13" i="15"/>
  <c r="T13" i="15"/>
  <c r="S13" i="15"/>
  <c r="R13" i="15"/>
  <c r="Q13" i="15"/>
  <c r="P13" i="15"/>
  <c r="O13" i="15"/>
  <c r="N13" i="15"/>
  <c r="M13" i="15"/>
  <c r="L13" i="15"/>
  <c r="K13" i="15"/>
  <c r="J13" i="15"/>
  <c r="I13" i="15"/>
  <c r="H13" i="15"/>
  <c r="G13" i="15"/>
  <c r="F13" i="15"/>
  <c r="E13" i="15"/>
  <c r="D13" i="15"/>
  <c r="C13" i="15"/>
  <c r="B13" i="15"/>
  <c r="A13" i="15"/>
  <c r="X12" i="15"/>
  <c r="W12" i="15"/>
  <c r="V12" i="15"/>
  <c r="U12" i="15"/>
  <c r="T12" i="15"/>
  <c r="S12" i="15"/>
  <c r="R12" i="15"/>
  <c r="Q12" i="15"/>
  <c r="P12" i="15"/>
  <c r="O12" i="15"/>
  <c r="N12" i="15"/>
  <c r="M12" i="15"/>
  <c r="L12" i="15"/>
  <c r="K12" i="15"/>
  <c r="J12" i="15"/>
  <c r="I12" i="15"/>
  <c r="H12" i="15"/>
  <c r="G12" i="15"/>
  <c r="F12" i="15"/>
  <c r="E12" i="15"/>
  <c r="D12" i="15"/>
  <c r="C12" i="15"/>
  <c r="B12" i="15"/>
  <c r="A12" i="15"/>
  <c r="X11" i="15"/>
  <c r="W11" i="15"/>
  <c r="V11" i="15"/>
  <c r="U11" i="15"/>
  <c r="T11" i="15"/>
  <c r="S11" i="15"/>
  <c r="R11" i="15"/>
  <c r="Q11" i="15"/>
  <c r="P11" i="15"/>
  <c r="O11" i="15"/>
  <c r="N11" i="15"/>
  <c r="M11" i="15"/>
  <c r="L11" i="15"/>
  <c r="K11" i="15"/>
  <c r="J11" i="15"/>
  <c r="I11" i="15"/>
  <c r="H11" i="15"/>
  <c r="G11" i="15"/>
  <c r="F11" i="15"/>
  <c r="E11" i="15"/>
  <c r="D11" i="15"/>
  <c r="C11" i="15"/>
  <c r="B11" i="15"/>
  <c r="A11" i="15"/>
  <c r="X10" i="15"/>
  <c r="W10" i="15"/>
  <c r="V10" i="15"/>
  <c r="U10" i="15"/>
  <c r="T10" i="15"/>
  <c r="S10" i="15"/>
  <c r="R10" i="15"/>
  <c r="Q10" i="15"/>
  <c r="P10" i="15"/>
  <c r="O10" i="15"/>
  <c r="N10" i="15"/>
  <c r="M10" i="15"/>
  <c r="L10" i="15"/>
  <c r="K10" i="15"/>
  <c r="J10" i="15"/>
  <c r="I10" i="15"/>
  <c r="H10" i="15"/>
  <c r="G10" i="15"/>
  <c r="F10" i="15"/>
  <c r="E10" i="15"/>
  <c r="D10" i="15"/>
  <c r="C10" i="15"/>
  <c r="B10" i="15"/>
  <c r="A10" i="15"/>
  <c r="X9" i="15"/>
  <c r="W9" i="15"/>
  <c r="V9" i="15"/>
  <c r="U9" i="15"/>
  <c r="T9" i="15"/>
  <c r="S9" i="15"/>
  <c r="R9" i="15"/>
  <c r="Q9" i="15"/>
  <c r="P9" i="15"/>
  <c r="O9" i="15"/>
  <c r="N9" i="15"/>
  <c r="M9" i="15"/>
  <c r="L9" i="15"/>
  <c r="K9" i="15"/>
  <c r="J9" i="15"/>
  <c r="I9" i="15"/>
  <c r="H9" i="15"/>
  <c r="G9" i="15"/>
  <c r="F9" i="15"/>
  <c r="E9" i="15"/>
  <c r="D9" i="15"/>
  <c r="C9" i="15"/>
  <c r="B9" i="15"/>
  <c r="A9" i="15"/>
  <c r="X8" i="15"/>
  <c r="W8" i="15"/>
  <c r="V8" i="15"/>
  <c r="U8" i="15"/>
  <c r="T8" i="15"/>
  <c r="S8" i="15"/>
  <c r="R8" i="15"/>
  <c r="Q8" i="15"/>
  <c r="P8" i="15"/>
  <c r="O8" i="15"/>
  <c r="N8" i="15"/>
  <c r="M8" i="15"/>
  <c r="L8" i="15"/>
  <c r="K8" i="15"/>
  <c r="J8" i="15"/>
  <c r="I8" i="15"/>
  <c r="H8" i="15"/>
  <c r="G8" i="15"/>
  <c r="F8" i="15"/>
  <c r="E8" i="15"/>
  <c r="D8" i="15"/>
  <c r="C8" i="15"/>
  <c r="B8" i="15"/>
  <c r="A8" i="15"/>
  <c r="X7" i="15"/>
  <c r="W7" i="15"/>
  <c r="V7" i="15"/>
  <c r="U7" i="15"/>
  <c r="T7" i="15"/>
  <c r="S7" i="15"/>
  <c r="R7" i="15"/>
  <c r="Q7" i="15"/>
  <c r="P7" i="15"/>
  <c r="O7" i="15"/>
  <c r="N7" i="15"/>
  <c r="M7" i="15"/>
  <c r="L7" i="15"/>
  <c r="K7" i="15"/>
  <c r="J7" i="15"/>
  <c r="I7" i="15"/>
  <c r="H7" i="15"/>
  <c r="G7" i="15"/>
  <c r="F7" i="15"/>
  <c r="E7" i="15"/>
  <c r="D7" i="15"/>
  <c r="C7" i="15"/>
  <c r="B7" i="15"/>
  <c r="A7" i="15"/>
  <c r="X6" i="15"/>
  <c r="W6" i="15"/>
  <c r="V6" i="15"/>
  <c r="U6" i="15"/>
  <c r="T6" i="15"/>
  <c r="S6" i="15"/>
  <c r="R6" i="15"/>
  <c r="Q6" i="15"/>
  <c r="P6" i="15"/>
  <c r="O6" i="15"/>
  <c r="N6" i="15"/>
  <c r="M6" i="15"/>
  <c r="L6" i="15"/>
  <c r="K6" i="15"/>
  <c r="J6" i="15"/>
  <c r="I6" i="15"/>
  <c r="H6" i="15"/>
  <c r="G6" i="15"/>
  <c r="F6" i="15"/>
  <c r="E6" i="15"/>
  <c r="D6" i="15"/>
  <c r="C6" i="15"/>
  <c r="B6" i="15"/>
  <c r="A6" i="15"/>
  <c r="X5" i="15"/>
  <c r="W5" i="15"/>
  <c r="V5" i="15"/>
  <c r="U5" i="15"/>
  <c r="T5" i="15"/>
  <c r="S5" i="15"/>
  <c r="R5" i="15"/>
  <c r="Q5" i="15"/>
  <c r="P5" i="15"/>
  <c r="O5" i="15"/>
  <c r="N5" i="15"/>
  <c r="M5" i="15"/>
  <c r="L5" i="15"/>
  <c r="K5" i="15"/>
  <c r="J5" i="15"/>
  <c r="I5" i="15"/>
  <c r="H5" i="15"/>
  <c r="G5" i="15"/>
  <c r="F5" i="15"/>
  <c r="E5" i="15"/>
  <c r="D5" i="15"/>
  <c r="C5" i="15"/>
  <c r="B5" i="15"/>
  <c r="A5" i="15"/>
  <c r="X4" i="15"/>
  <c r="W4" i="15"/>
  <c r="V4" i="15"/>
  <c r="U4" i="15"/>
  <c r="T4" i="15"/>
  <c r="S4" i="15"/>
  <c r="R4" i="15"/>
  <c r="Q4" i="15"/>
  <c r="P4" i="15"/>
  <c r="O4" i="15"/>
  <c r="N4" i="15"/>
  <c r="M4" i="15"/>
  <c r="L4" i="15"/>
  <c r="K4" i="15"/>
  <c r="J4" i="15"/>
  <c r="I4" i="15"/>
  <c r="H4" i="15"/>
  <c r="G4" i="15"/>
  <c r="F4" i="15"/>
  <c r="E4" i="15"/>
  <c r="D4" i="15"/>
  <c r="C4" i="15"/>
  <c r="B4" i="15"/>
  <c r="A4" i="15"/>
  <c r="X94" i="14"/>
  <c r="W94" i="14"/>
  <c r="V94" i="14"/>
  <c r="U94" i="14"/>
  <c r="T94" i="14"/>
  <c r="S94" i="14"/>
  <c r="R94" i="14"/>
  <c r="Q94" i="14"/>
  <c r="O94" i="14"/>
  <c r="N94" i="14"/>
  <c r="M94" i="14"/>
  <c r="E94" i="14"/>
  <c r="D94" i="14"/>
  <c r="C94" i="14"/>
  <c r="B94" i="14"/>
  <c r="A94" i="14"/>
  <c r="X93" i="14"/>
  <c r="W93" i="14"/>
  <c r="V93" i="14"/>
  <c r="U93" i="14"/>
  <c r="T93" i="14"/>
  <c r="S93" i="14"/>
  <c r="R93" i="14"/>
  <c r="Q93" i="14"/>
  <c r="O93" i="14"/>
  <c r="N93" i="14"/>
  <c r="M93" i="14"/>
  <c r="E93" i="14"/>
  <c r="D93" i="14"/>
  <c r="C93" i="14"/>
  <c r="B93" i="14"/>
  <c r="A93" i="14"/>
  <c r="X92" i="14"/>
  <c r="W92" i="14"/>
  <c r="V92" i="14"/>
  <c r="U92" i="14"/>
  <c r="T92" i="14"/>
  <c r="S92" i="14"/>
  <c r="R92" i="14"/>
  <c r="Q92" i="14"/>
  <c r="O92" i="14"/>
  <c r="N92" i="14"/>
  <c r="M92" i="14"/>
  <c r="E92" i="14"/>
  <c r="D92" i="14"/>
  <c r="C92" i="14"/>
  <c r="B92" i="14"/>
  <c r="A92" i="14"/>
  <c r="X91" i="14"/>
  <c r="W91" i="14"/>
  <c r="V91" i="14"/>
  <c r="U91" i="14"/>
  <c r="T91" i="14"/>
  <c r="S91" i="14"/>
  <c r="R91" i="14"/>
  <c r="Q91" i="14"/>
  <c r="O91" i="14"/>
  <c r="N91" i="14"/>
  <c r="M91" i="14"/>
  <c r="E91" i="14"/>
  <c r="D91" i="14"/>
  <c r="C91" i="14"/>
  <c r="B91" i="14"/>
  <c r="A91" i="14"/>
  <c r="X90" i="14"/>
  <c r="W90" i="14"/>
  <c r="V90" i="14"/>
  <c r="U90" i="14"/>
  <c r="T90" i="14"/>
  <c r="S90" i="14"/>
  <c r="R90" i="14"/>
  <c r="Q90" i="14"/>
  <c r="O90" i="14"/>
  <c r="N90" i="14"/>
  <c r="M90" i="14"/>
  <c r="E90" i="14"/>
  <c r="D90" i="14"/>
  <c r="C90" i="14"/>
  <c r="B90" i="14"/>
  <c r="A90" i="14"/>
  <c r="X89" i="14"/>
  <c r="W89" i="14"/>
  <c r="V89" i="14"/>
  <c r="U89" i="14"/>
  <c r="T89" i="14"/>
  <c r="S89" i="14"/>
  <c r="R89" i="14"/>
  <c r="Q89" i="14"/>
  <c r="O89" i="14"/>
  <c r="N89" i="14"/>
  <c r="M89" i="14"/>
  <c r="E89" i="14"/>
  <c r="D89" i="14"/>
  <c r="C89" i="14"/>
  <c r="B89" i="14"/>
  <c r="A89" i="14"/>
  <c r="X88" i="14"/>
  <c r="W88" i="14"/>
  <c r="V88" i="14"/>
  <c r="U88" i="14"/>
  <c r="T88" i="14"/>
  <c r="S88" i="14"/>
  <c r="R88" i="14"/>
  <c r="Q88" i="14"/>
  <c r="O88" i="14"/>
  <c r="N88" i="14"/>
  <c r="M88" i="14"/>
  <c r="E88" i="14"/>
  <c r="D88" i="14"/>
  <c r="C88" i="14"/>
  <c r="B88" i="14"/>
  <c r="A88" i="14"/>
  <c r="X87" i="14"/>
  <c r="W87" i="14"/>
  <c r="V87" i="14"/>
  <c r="U87" i="14"/>
  <c r="T87" i="14"/>
  <c r="S87" i="14"/>
  <c r="R87" i="14"/>
  <c r="Q87" i="14"/>
  <c r="O87" i="14"/>
  <c r="N87" i="14"/>
  <c r="M87" i="14"/>
  <c r="E87" i="14"/>
  <c r="D87" i="14"/>
  <c r="C87" i="14"/>
  <c r="B87" i="14"/>
  <c r="A87" i="14"/>
  <c r="X86" i="14"/>
  <c r="W86" i="14"/>
  <c r="V86" i="14"/>
  <c r="U86" i="14"/>
  <c r="T86" i="14"/>
  <c r="S86" i="14"/>
  <c r="R86" i="14"/>
  <c r="Q86" i="14"/>
  <c r="O86" i="14"/>
  <c r="N86" i="14"/>
  <c r="M86" i="14"/>
  <c r="E86" i="14"/>
  <c r="D86" i="14"/>
  <c r="C86" i="14"/>
  <c r="B86" i="14"/>
  <c r="A86" i="14"/>
  <c r="X85" i="14"/>
  <c r="W85" i="14"/>
  <c r="V85" i="14"/>
  <c r="U85" i="14"/>
  <c r="T85" i="14"/>
  <c r="S85" i="14"/>
  <c r="R85" i="14"/>
  <c r="Q85" i="14"/>
  <c r="O85" i="14"/>
  <c r="N85" i="14"/>
  <c r="M85" i="14"/>
  <c r="E85" i="14"/>
  <c r="D85" i="14"/>
  <c r="C85" i="14"/>
  <c r="B85" i="14"/>
  <c r="A85" i="14"/>
  <c r="X84" i="14"/>
  <c r="W84" i="14"/>
  <c r="V84" i="14"/>
  <c r="U84" i="14"/>
  <c r="T84" i="14"/>
  <c r="S84" i="14"/>
  <c r="R84" i="14"/>
  <c r="Q84" i="14"/>
  <c r="O84" i="14"/>
  <c r="N84" i="14"/>
  <c r="M84" i="14"/>
  <c r="E84" i="14"/>
  <c r="D84" i="14"/>
  <c r="C84" i="14"/>
  <c r="B84" i="14"/>
  <c r="A84" i="14"/>
  <c r="X83" i="14"/>
  <c r="W83" i="14"/>
  <c r="V83" i="14"/>
  <c r="U83" i="14"/>
  <c r="T83" i="14"/>
  <c r="S83" i="14"/>
  <c r="R83" i="14"/>
  <c r="Q83" i="14"/>
  <c r="O83" i="14"/>
  <c r="N83" i="14"/>
  <c r="M83" i="14"/>
  <c r="E83" i="14"/>
  <c r="D83" i="14"/>
  <c r="C83" i="14"/>
  <c r="B83" i="14"/>
  <c r="A83" i="14"/>
  <c r="X82" i="14"/>
  <c r="W82" i="14"/>
  <c r="V82" i="14"/>
  <c r="U82" i="14"/>
  <c r="T82" i="14"/>
  <c r="S82" i="14"/>
  <c r="R82" i="14"/>
  <c r="Q82" i="14"/>
  <c r="O82" i="14"/>
  <c r="N82" i="14"/>
  <c r="M82" i="14"/>
  <c r="E82" i="14"/>
  <c r="D82" i="14"/>
  <c r="C82" i="14"/>
  <c r="B82" i="14"/>
  <c r="A82" i="14"/>
  <c r="X81" i="14"/>
  <c r="W81" i="14"/>
  <c r="V81" i="14"/>
  <c r="U81" i="14"/>
  <c r="T81" i="14"/>
  <c r="S81" i="14"/>
  <c r="R81" i="14"/>
  <c r="Q81" i="14"/>
  <c r="O81" i="14"/>
  <c r="N81" i="14"/>
  <c r="M81" i="14"/>
  <c r="E81" i="14"/>
  <c r="D81" i="14"/>
  <c r="C81" i="14"/>
  <c r="B81" i="14"/>
  <c r="A81" i="14"/>
  <c r="X80" i="14"/>
  <c r="W80" i="14"/>
  <c r="V80" i="14"/>
  <c r="U80" i="14"/>
  <c r="T80" i="14"/>
  <c r="S80" i="14"/>
  <c r="R80" i="14"/>
  <c r="Q80" i="14"/>
  <c r="O80" i="14"/>
  <c r="N80" i="14"/>
  <c r="M80" i="14"/>
  <c r="E80" i="14"/>
  <c r="D80" i="14"/>
  <c r="C80" i="14"/>
  <c r="B80" i="14"/>
  <c r="A80" i="14"/>
  <c r="X79" i="14"/>
  <c r="W79" i="14"/>
  <c r="V79" i="14"/>
  <c r="U79" i="14"/>
  <c r="T79" i="14"/>
  <c r="S79" i="14"/>
  <c r="R79" i="14"/>
  <c r="Q79" i="14"/>
  <c r="O79" i="14"/>
  <c r="N79" i="14"/>
  <c r="M79" i="14"/>
  <c r="E79" i="14"/>
  <c r="D79" i="14"/>
  <c r="C79" i="14"/>
  <c r="B79" i="14"/>
  <c r="A79" i="14"/>
  <c r="X78" i="14"/>
  <c r="W78" i="14"/>
  <c r="V78" i="14"/>
  <c r="U78" i="14"/>
  <c r="T78" i="14"/>
  <c r="S78" i="14"/>
  <c r="R78" i="14"/>
  <c r="Q78" i="14"/>
  <c r="O78" i="14"/>
  <c r="N78" i="14"/>
  <c r="M78" i="14"/>
  <c r="E78" i="14"/>
  <c r="D78" i="14"/>
  <c r="C78" i="14"/>
  <c r="B78" i="14"/>
  <c r="A78" i="14"/>
  <c r="X77" i="14"/>
  <c r="W77" i="14"/>
  <c r="V77" i="14"/>
  <c r="U77" i="14"/>
  <c r="T77" i="14"/>
  <c r="S77" i="14"/>
  <c r="R77" i="14"/>
  <c r="Q77" i="14"/>
  <c r="O77" i="14"/>
  <c r="N77" i="14"/>
  <c r="M77" i="14"/>
  <c r="E77" i="14"/>
  <c r="D77" i="14"/>
  <c r="C77" i="14"/>
  <c r="B77" i="14"/>
  <c r="A77" i="14"/>
  <c r="X76" i="14"/>
  <c r="W76" i="14"/>
  <c r="V76" i="14"/>
  <c r="U76" i="14"/>
  <c r="T76" i="14"/>
  <c r="S76" i="14"/>
  <c r="R76" i="14"/>
  <c r="Q76" i="14"/>
  <c r="O76" i="14"/>
  <c r="N76" i="14"/>
  <c r="M76" i="14"/>
  <c r="E76" i="14"/>
  <c r="D76" i="14"/>
  <c r="C76" i="14"/>
  <c r="B76" i="14"/>
  <c r="A76" i="14"/>
  <c r="X75" i="14"/>
  <c r="W75" i="14"/>
  <c r="V75" i="14"/>
  <c r="U75" i="14"/>
  <c r="T75" i="14"/>
  <c r="S75" i="14"/>
  <c r="R75" i="14"/>
  <c r="Q75" i="14"/>
  <c r="O75" i="14"/>
  <c r="N75" i="14"/>
  <c r="M75" i="14"/>
  <c r="E75" i="14"/>
  <c r="D75" i="14"/>
  <c r="C75" i="14"/>
  <c r="B75" i="14"/>
  <c r="A75" i="14"/>
  <c r="X74" i="14"/>
  <c r="W74" i="14"/>
  <c r="V74" i="14"/>
  <c r="U74" i="14"/>
  <c r="T74" i="14"/>
  <c r="S74" i="14"/>
  <c r="R74" i="14"/>
  <c r="Q74" i="14"/>
  <c r="O74" i="14"/>
  <c r="N74" i="14"/>
  <c r="M74" i="14"/>
  <c r="E74" i="14"/>
  <c r="D74" i="14"/>
  <c r="C74" i="14"/>
  <c r="B74" i="14"/>
  <c r="A74" i="14"/>
  <c r="X73" i="14"/>
  <c r="W73" i="14"/>
  <c r="V73" i="14"/>
  <c r="U73" i="14"/>
  <c r="T73" i="14"/>
  <c r="S73" i="14"/>
  <c r="R73" i="14"/>
  <c r="Q73" i="14"/>
  <c r="O73" i="14"/>
  <c r="N73" i="14"/>
  <c r="M73" i="14"/>
  <c r="E73" i="14"/>
  <c r="D73" i="14"/>
  <c r="C73" i="14"/>
  <c r="B73" i="14"/>
  <c r="A73" i="14"/>
  <c r="X72" i="14"/>
  <c r="W72" i="14"/>
  <c r="V72" i="14"/>
  <c r="U72" i="14"/>
  <c r="T72" i="14"/>
  <c r="S72" i="14"/>
  <c r="R72" i="14"/>
  <c r="Q72" i="14"/>
  <c r="O72" i="14"/>
  <c r="N72" i="14"/>
  <c r="M72" i="14"/>
  <c r="E72" i="14"/>
  <c r="D72" i="14"/>
  <c r="C72" i="14"/>
  <c r="B72" i="14"/>
  <c r="A72" i="14"/>
  <c r="X71" i="14"/>
  <c r="W71" i="14"/>
  <c r="V71" i="14"/>
  <c r="U71" i="14"/>
  <c r="T71" i="14"/>
  <c r="S71" i="14"/>
  <c r="R71" i="14"/>
  <c r="Q71" i="14"/>
  <c r="O71" i="14"/>
  <c r="N71" i="14"/>
  <c r="M71" i="14"/>
  <c r="E71" i="14"/>
  <c r="D71" i="14"/>
  <c r="C71" i="14"/>
  <c r="B71" i="14"/>
  <c r="A71" i="14"/>
  <c r="X70" i="14"/>
  <c r="W70" i="14"/>
  <c r="V70" i="14"/>
  <c r="U70" i="14"/>
  <c r="T70" i="14"/>
  <c r="S70" i="14"/>
  <c r="R70" i="14"/>
  <c r="Q70" i="14"/>
  <c r="O70" i="14"/>
  <c r="N70" i="14"/>
  <c r="M70" i="14"/>
  <c r="E70" i="14"/>
  <c r="D70" i="14"/>
  <c r="C70" i="14"/>
  <c r="B70" i="14"/>
  <c r="A70" i="14"/>
  <c r="X69" i="14"/>
  <c r="W69" i="14"/>
  <c r="V69" i="14"/>
  <c r="U69" i="14"/>
  <c r="T69" i="14"/>
  <c r="S69" i="14"/>
  <c r="R69" i="14"/>
  <c r="Q69" i="14"/>
  <c r="O69" i="14"/>
  <c r="N69" i="14"/>
  <c r="M69" i="14"/>
  <c r="E69" i="14"/>
  <c r="D69" i="14"/>
  <c r="C69" i="14"/>
  <c r="B69" i="14"/>
  <c r="A69" i="14"/>
  <c r="X68" i="14"/>
  <c r="W68" i="14"/>
  <c r="V68" i="14"/>
  <c r="U68" i="14"/>
  <c r="T68" i="14"/>
  <c r="S68" i="14"/>
  <c r="R68" i="14"/>
  <c r="Q68" i="14"/>
  <c r="O68" i="14"/>
  <c r="N68" i="14"/>
  <c r="M68" i="14"/>
  <c r="E68" i="14"/>
  <c r="D68" i="14"/>
  <c r="C68" i="14"/>
  <c r="B68" i="14"/>
  <c r="A68" i="14"/>
  <c r="X67" i="14"/>
  <c r="W67" i="14"/>
  <c r="V67" i="14"/>
  <c r="U67" i="14"/>
  <c r="T67" i="14"/>
  <c r="S67" i="14"/>
  <c r="R67" i="14"/>
  <c r="Q67" i="14"/>
  <c r="O67" i="14"/>
  <c r="N67" i="14"/>
  <c r="M67" i="14"/>
  <c r="E67" i="14"/>
  <c r="D67" i="14"/>
  <c r="C67" i="14"/>
  <c r="B67" i="14"/>
  <c r="A67" i="14"/>
  <c r="X66" i="14"/>
  <c r="W66" i="14"/>
  <c r="V66" i="14"/>
  <c r="U66" i="14"/>
  <c r="T66" i="14"/>
  <c r="S66" i="14"/>
  <c r="R66" i="14"/>
  <c r="Q66" i="14"/>
  <c r="O66" i="14"/>
  <c r="N66" i="14"/>
  <c r="M66" i="14"/>
  <c r="E66" i="14"/>
  <c r="D66" i="14"/>
  <c r="C66" i="14"/>
  <c r="B66" i="14"/>
  <c r="A66" i="14"/>
  <c r="X65" i="14"/>
  <c r="W65" i="14"/>
  <c r="V65" i="14"/>
  <c r="U65" i="14"/>
  <c r="T65" i="14"/>
  <c r="S65" i="14"/>
  <c r="R65" i="14"/>
  <c r="Q65" i="14"/>
  <c r="O65" i="14"/>
  <c r="N65" i="14"/>
  <c r="M65" i="14"/>
  <c r="E65" i="14"/>
  <c r="D65" i="14"/>
  <c r="C65" i="14"/>
  <c r="B65" i="14"/>
  <c r="A65" i="14"/>
  <c r="X64" i="14"/>
  <c r="W64" i="14"/>
  <c r="V64" i="14"/>
  <c r="U64" i="14"/>
  <c r="T64" i="14"/>
  <c r="S64" i="14"/>
  <c r="R64" i="14"/>
  <c r="Q64" i="14"/>
  <c r="O64" i="14"/>
  <c r="N64" i="14"/>
  <c r="M64" i="14"/>
  <c r="E64" i="14"/>
  <c r="D64" i="14"/>
  <c r="C64" i="14"/>
  <c r="B64" i="14"/>
  <c r="A64" i="14"/>
  <c r="X63" i="14"/>
  <c r="W63" i="14"/>
  <c r="V63" i="14"/>
  <c r="U63" i="14"/>
  <c r="T63" i="14"/>
  <c r="S63" i="14"/>
  <c r="R63" i="14"/>
  <c r="Q63" i="14"/>
  <c r="O63" i="14"/>
  <c r="N63" i="14"/>
  <c r="M63" i="14"/>
  <c r="E63" i="14"/>
  <c r="D63" i="14"/>
  <c r="C63" i="14"/>
  <c r="B63" i="14"/>
  <c r="A63" i="14"/>
  <c r="X62" i="14"/>
  <c r="W62" i="14"/>
  <c r="V62" i="14"/>
  <c r="U62" i="14"/>
  <c r="T62" i="14"/>
  <c r="S62" i="14"/>
  <c r="R62" i="14"/>
  <c r="Q62" i="14"/>
  <c r="O62" i="14"/>
  <c r="N62" i="14"/>
  <c r="M62" i="14"/>
  <c r="E62" i="14"/>
  <c r="D62" i="14"/>
  <c r="C62" i="14"/>
  <c r="B62" i="14"/>
  <c r="A62" i="14"/>
  <c r="X61" i="14"/>
  <c r="W61" i="14"/>
  <c r="V61" i="14"/>
  <c r="U61" i="14"/>
  <c r="T61" i="14"/>
  <c r="S61" i="14"/>
  <c r="R61" i="14"/>
  <c r="Q61" i="14"/>
  <c r="O61" i="14"/>
  <c r="N61" i="14"/>
  <c r="M61" i="14"/>
  <c r="E61" i="14"/>
  <c r="D61" i="14"/>
  <c r="C61" i="14"/>
  <c r="B61" i="14"/>
  <c r="A61" i="14"/>
  <c r="X60" i="14"/>
  <c r="W60" i="14"/>
  <c r="V60" i="14"/>
  <c r="U60" i="14"/>
  <c r="T60" i="14"/>
  <c r="S60" i="14"/>
  <c r="R60" i="14"/>
  <c r="Q60" i="14"/>
  <c r="O60" i="14"/>
  <c r="N60" i="14"/>
  <c r="M60" i="14"/>
  <c r="E60" i="14"/>
  <c r="D60" i="14"/>
  <c r="C60" i="14"/>
  <c r="B60" i="14"/>
  <c r="A60" i="14"/>
  <c r="X59" i="14"/>
  <c r="W59" i="14"/>
  <c r="V59" i="14"/>
  <c r="U59" i="14"/>
  <c r="T59" i="14"/>
  <c r="S59" i="14"/>
  <c r="R59" i="14"/>
  <c r="Q59" i="14"/>
  <c r="O59" i="14"/>
  <c r="N59" i="14"/>
  <c r="M59" i="14"/>
  <c r="E59" i="14"/>
  <c r="D59" i="14"/>
  <c r="C59" i="14"/>
  <c r="B59" i="14"/>
  <c r="A59" i="14"/>
  <c r="X58" i="14"/>
  <c r="W58" i="14"/>
  <c r="V58" i="14"/>
  <c r="U58" i="14"/>
  <c r="T58" i="14"/>
  <c r="S58" i="14"/>
  <c r="R58" i="14"/>
  <c r="Q58" i="14"/>
  <c r="O58" i="14"/>
  <c r="N58" i="14"/>
  <c r="M58" i="14"/>
  <c r="E58" i="14"/>
  <c r="D58" i="14"/>
  <c r="C58" i="14"/>
  <c r="B58" i="14"/>
  <c r="A58" i="14"/>
  <c r="X57" i="14"/>
  <c r="W57" i="14"/>
  <c r="V57" i="14"/>
  <c r="U57" i="14"/>
  <c r="T57" i="14"/>
  <c r="S57" i="14"/>
  <c r="R57" i="14"/>
  <c r="Q57" i="14"/>
  <c r="O57" i="14"/>
  <c r="N57" i="14"/>
  <c r="M57" i="14"/>
  <c r="E57" i="14"/>
  <c r="D57" i="14"/>
  <c r="C57" i="14"/>
  <c r="B57" i="14"/>
  <c r="A57" i="14"/>
  <c r="X56" i="14"/>
  <c r="W56" i="14"/>
  <c r="V56" i="14"/>
  <c r="U56" i="14"/>
  <c r="T56" i="14"/>
  <c r="S56" i="14"/>
  <c r="R56" i="14"/>
  <c r="Q56" i="14"/>
  <c r="O56" i="14"/>
  <c r="N56" i="14"/>
  <c r="M56" i="14"/>
  <c r="E56" i="14"/>
  <c r="D56" i="14"/>
  <c r="C56" i="14"/>
  <c r="B56" i="14"/>
  <c r="A56" i="14"/>
  <c r="X55" i="14"/>
  <c r="W55" i="14"/>
  <c r="V55" i="14"/>
  <c r="U55" i="14"/>
  <c r="T55" i="14"/>
  <c r="S55" i="14"/>
  <c r="R55" i="14"/>
  <c r="Q55" i="14"/>
  <c r="O55" i="14"/>
  <c r="N55" i="14"/>
  <c r="M55" i="14"/>
  <c r="E55" i="14"/>
  <c r="D55" i="14"/>
  <c r="C55" i="14"/>
  <c r="B55" i="14"/>
  <c r="A55" i="14"/>
  <c r="X54" i="14"/>
  <c r="W54" i="14"/>
  <c r="V54" i="14"/>
  <c r="U54" i="14"/>
  <c r="T54" i="14"/>
  <c r="S54" i="14"/>
  <c r="R54" i="14"/>
  <c r="Q54" i="14"/>
  <c r="O54" i="14"/>
  <c r="N54" i="14"/>
  <c r="M54" i="14"/>
  <c r="E54" i="14"/>
  <c r="D54" i="14"/>
  <c r="C54" i="14"/>
  <c r="B54" i="14"/>
  <c r="A54" i="14"/>
  <c r="X53" i="14"/>
  <c r="W53" i="14"/>
  <c r="V53" i="14"/>
  <c r="U53" i="14"/>
  <c r="T53" i="14"/>
  <c r="S53" i="14"/>
  <c r="R53" i="14"/>
  <c r="Q53" i="14"/>
  <c r="O53" i="14"/>
  <c r="N53" i="14"/>
  <c r="M53" i="14"/>
  <c r="E53" i="14"/>
  <c r="D53" i="14"/>
  <c r="C53" i="14"/>
  <c r="B53" i="14"/>
  <c r="A53" i="14"/>
  <c r="X52" i="14"/>
  <c r="W52" i="14"/>
  <c r="V52" i="14"/>
  <c r="U52" i="14"/>
  <c r="T52" i="14"/>
  <c r="S52" i="14"/>
  <c r="R52" i="14"/>
  <c r="Q52" i="14"/>
  <c r="O52" i="14"/>
  <c r="N52" i="14"/>
  <c r="M52" i="14"/>
  <c r="E52" i="14"/>
  <c r="D52" i="14"/>
  <c r="C52" i="14"/>
  <c r="B52" i="14"/>
  <c r="A52" i="14"/>
  <c r="X51" i="14"/>
  <c r="W51" i="14"/>
  <c r="V51" i="14"/>
  <c r="U51" i="14"/>
  <c r="T51" i="14"/>
  <c r="S51" i="14"/>
  <c r="R51" i="14"/>
  <c r="Q51" i="14"/>
  <c r="O51" i="14"/>
  <c r="N51" i="14"/>
  <c r="M51" i="14"/>
  <c r="E51" i="14"/>
  <c r="D51" i="14"/>
  <c r="C51" i="14"/>
  <c r="B51" i="14"/>
  <c r="A51" i="14"/>
  <c r="X50" i="14"/>
  <c r="W50" i="14"/>
  <c r="V50" i="14"/>
  <c r="U50" i="14"/>
  <c r="T50" i="14"/>
  <c r="S50" i="14"/>
  <c r="R50" i="14"/>
  <c r="Q50" i="14"/>
  <c r="O50" i="14"/>
  <c r="N50" i="14"/>
  <c r="M50" i="14"/>
  <c r="E50" i="14"/>
  <c r="D50" i="14"/>
  <c r="C50" i="14"/>
  <c r="B50" i="14"/>
  <c r="A50" i="14"/>
  <c r="X49" i="14"/>
  <c r="W49" i="14"/>
  <c r="V49" i="14"/>
  <c r="U49" i="14"/>
  <c r="T49" i="14"/>
  <c r="S49" i="14"/>
  <c r="R49" i="14"/>
  <c r="Q49" i="14"/>
  <c r="O49" i="14"/>
  <c r="N49" i="14"/>
  <c r="M49" i="14"/>
  <c r="E49" i="14"/>
  <c r="D49" i="14"/>
  <c r="C49" i="14"/>
  <c r="B49" i="14"/>
  <c r="A49" i="14"/>
  <c r="X48" i="14"/>
  <c r="W48" i="14"/>
  <c r="V48" i="14"/>
  <c r="U48" i="14"/>
  <c r="T48" i="14"/>
  <c r="S48" i="14"/>
  <c r="R48" i="14"/>
  <c r="Q48" i="14"/>
  <c r="O48" i="14"/>
  <c r="N48" i="14"/>
  <c r="M48" i="14"/>
  <c r="E48" i="14"/>
  <c r="D48" i="14"/>
  <c r="C48" i="14"/>
  <c r="B48" i="14"/>
  <c r="A48" i="14"/>
  <c r="X47" i="14"/>
  <c r="W47" i="14"/>
  <c r="V47" i="14"/>
  <c r="U47" i="14"/>
  <c r="T47" i="14"/>
  <c r="S47" i="14"/>
  <c r="R47" i="14"/>
  <c r="Q47" i="14"/>
  <c r="O47" i="14"/>
  <c r="N47" i="14"/>
  <c r="M47" i="14"/>
  <c r="E47" i="14"/>
  <c r="D47" i="14"/>
  <c r="C47" i="14"/>
  <c r="B47" i="14"/>
  <c r="A47" i="14"/>
  <c r="X46" i="14"/>
  <c r="W46" i="14"/>
  <c r="V46" i="14"/>
  <c r="U46" i="14"/>
  <c r="T46" i="14"/>
  <c r="S46" i="14"/>
  <c r="R46" i="14"/>
  <c r="Q46" i="14"/>
  <c r="O46" i="14"/>
  <c r="N46" i="14"/>
  <c r="M46" i="14"/>
  <c r="E46" i="14"/>
  <c r="D46" i="14"/>
  <c r="C46" i="14"/>
  <c r="B46" i="14"/>
  <c r="A46" i="14"/>
  <c r="X45" i="14"/>
  <c r="W45" i="14"/>
  <c r="V45" i="14"/>
  <c r="U45" i="14"/>
  <c r="T45" i="14"/>
  <c r="S45" i="14"/>
  <c r="R45" i="14"/>
  <c r="Q45" i="14"/>
  <c r="O45" i="14"/>
  <c r="N45" i="14"/>
  <c r="M45" i="14"/>
  <c r="E45" i="14"/>
  <c r="D45" i="14"/>
  <c r="C45" i="14"/>
  <c r="B45" i="14"/>
  <c r="A45" i="14"/>
  <c r="X44" i="14"/>
  <c r="W44" i="14"/>
  <c r="V44" i="14"/>
  <c r="U44" i="14"/>
  <c r="T44" i="14"/>
  <c r="S44" i="14"/>
  <c r="R44" i="14"/>
  <c r="Q44" i="14"/>
  <c r="O44" i="14"/>
  <c r="N44" i="14"/>
  <c r="M44" i="14"/>
  <c r="E44" i="14"/>
  <c r="D44" i="14"/>
  <c r="C44" i="14"/>
  <c r="B44" i="14"/>
  <c r="A44" i="14"/>
  <c r="X43" i="14"/>
  <c r="W43" i="14"/>
  <c r="V43" i="14"/>
  <c r="U43" i="14"/>
  <c r="T43" i="14"/>
  <c r="S43" i="14"/>
  <c r="R43" i="14"/>
  <c r="Q43" i="14"/>
  <c r="O43" i="14"/>
  <c r="N43" i="14"/>
  <c r="M43" i="14"/>
  <c r="E43" i="14"/>
  <c r="D43" i="14"/>
  <c r="C43" i="14"/>
  <c r="B43" i="14"/>
  <c r="A43" i="14"/>
  <c r="X42" i="14"/>
  <c r="W42" i="14"/>
  <c r="V42" i="14"/>
  <c r="U42" i="14"/>
  <c r="T42" i="14"/>
  <c r="S42" i="14"/>
  <c r="R42" i="14"/>
  <c r="Q42" i="14"/>
  <c r="O42" i="14"/>
  <c r="N42" i="14"/>
  <c r="M42" i="14"/>
  <c r="E42" i="14"/>
  <c r="D42" i="14"/>
  <c r="C42" i="14"/>
  <c r="B42" i="14"/>
  <c r="A42" i="14"/>
  <c r="X41" i="14"/>
  <c r="W41" i="14"/>
  <c r="V41" i="14"/>
  <c r="U41" i="14"/>
  <c r="T41" i="14"/>
  <c r="S41" i="14"/>
  <c r="R41" i="14"/>
  <c r="Q41" i="14"/>
  <c r="O41" i="14"/>
  <c r="N41" i="14"/>
  <c r="M41" i="14"/>
  <c r="E41" i="14"/>
  <c r="D41" i="14"/>
  <c r="C41" i="14"/>
  <c r="B41" i="14"/>
  <c r="A41" i="14"/>
  <c r="X40" i="14"/>
  <c r="W40" i="14"/>
  <c r="V40" i="14"/>
  <c r="U40" i="14"/>
  <c r="T40" i="14"/>
  <c r="S40" i="14"/>
  <c r="R40" i="14"/>
  <c r="Q40" i="14"/>
  <c r="O40" i="14"/>
  <c r="N40" i="14"/>
  <c r="M40" i="14"/>
  <c r="E40" i="14"/>
  <c r="D40" i="14"/>
  <c r="C40" i="14"/>
  <c r="B40" i="14"/>
  <c r="A40" i="14"/>
  <c r="X39" i="14"/>
  <c r="W39" i="14"/>
  <c r="V39" i="14"/>
  <c r="U39" i="14"/>
  <c r="T39" i="14"/>
  <c r="S39" i="14"/>
  <c r="R39" i="14"/>
  <c r="Q39" i="14"/>
  <c r="O39" i="14"/>
  <c r="N39" i="14"/>
  <c r="M39" i="14"/>
  <c r="E39" i="14"/>
  <c r="D39" i="14"/>
  <c r="C39" i="14"/>
  <c r="B39" i="14"/>
  <c r="A39" i="14"/>
  <c r="X38" i="14"/>
  <c r="W38" i="14"/>
  <c r="V38" i="14"/>
  <c r="U38" i="14"/>
  <c r="T38" i="14"/>
  <c r="S38" i="14"/>
  <c r="R38" i="14"/>
  <c r="Q38" i="14"/>
  <c r="O38" i="14"/>
  <c r="N38" i="14"/>
  <c r="M38" i="14"/>
  <c r="E38" i="14"/>
  <c r="D38" i="14"/>
  <c r="C38" i="14"/>
  <c r="B38" i="14"/>
  <c r="A38" i="14"/>
  <c r="X37" i="14"/>
  <c r="W37" i="14"/>
  <c r="V37" i="14"/>
  <c r="U37" i="14"/>
  <c r="T37" i="14"/>
  <c r="S37" i="14"/>
  <c r="R37" i="14"/>
  <c r="Q37" i="14"/>
  <c r="O37" i="14"/>
  <c r="N37" i="14"/>
  <c r="M37" i="14"/>
  <c r="E37" i="14"/>
  <c r="D37" i="14"/>
  <c r="C37" i="14"/>
  <c r="B37" i="14"/>
  <c r="A37" i="14"/>
  <c r="X36" i="14"/>
  <c r="W36" i="14"/>
  <c r="V36" i="14"/>
  <c r="U36" i="14"/>
  <c r="T36" i="14"/>
  <c r="S36" i="14"/>
  <c r="R36" i="14"/>
  <c r="Q36" i="14"/>
  <c r="O36" i="14"/>
  <c r="N36" i="14"/>
  <c r="M36" i="14"/>
  <c r="E36" i="14"/>
  <c r="D36" i="14"/>
  <c r="C36" i="14"/>
  <c r="B36" i="14"/>
  <c r="A36" i="14"/>
  <c r="X35" i="14"/>
  <c r="W35" i="14"/>
  <c r="V35" i="14"/>
  <c r="U35" i="14"/>
  <c r="T35" i="14"/>
  <c r="S35" i="14"/>
  <c r="R35" i="14"/>
  <c r="Q35" i="14"/>
  <c r="O35" i="14"/>
  <c r="N35" i="14"/>
  <c r="M35" i="14"/>
  <c r="E35" i="14"/>
  <c r="D35" i="14"/>
  <c r="C35" i="14"/>
  <c r="B35" i="14"/>
  <c r="A35" i="14"/>
  <c r="X34" i="14"/>
  <c r="W34" i="14"/>
  <c r="V34" i="14"/>
  <c r="U34" i="14"/>
  <c r="T34" i="14"/>
  <c r="S34" i="14"/>
  <c r="R34" i="14"/>
  <c r="Q34" i="14"/>
  <c r="O34" i="14"/>
  <c r="N34" i="14"/>
  <c r="M34" i="14"/>
  <c r="E34" i="14"/>
  <c r="D34" i="14"/>
  <c r="C34" i="14"/>
  <c r="B34" i="14"/>
  <c r="A34" i="14"/>
  <c r="X33" i="14"/>
  <c r="W33" i="14"/>
  <c r="V33" i="14"/>
  <c r="U33" i="14"/>
  <c r="T33" i="14"/>
  <c r="S33" i="14"/>
  <c r="R33" i="14"/>
  <c r="Q33" i="14"/>
  <c r="O33" i="14"/>
  <c r="N33" i="14"/>
  <c r="M33" i="14"/>
  <c r="E33" i="14"/>
  <c r="D33" i="14"/>
  <c r="C33" i="14"/>
  <c r="B33" i="14"/>
  <c r="A33" i="14"/>
  <c r="X32" i="14"/>
  <c r="W32" i="14"/>
  <c r="V32" i="14"/>
  <c r="U32" i="14"/>
  <c r="T32" i="14"/>
  <c r="S32" i="14"/>
  <c r="R32" i="14"/>
  <c r="Q32" i="14"/>
  <c r="O32" i="14"/>
  <c r="N32" i="14"/>
  <c r="M32" i="14"/>
  <c r="E32" i="14"/>
  <c r="D32" i="14"/>
  <c r="C32" i="14"/>
  <c r="B32" i="14"/>
  <c r="A32" i="14"/>
  <c r="X31" i="14"/>
  <c r="W31" i="14"/>
  <c r="V31" i="14"/>
  <c r="U31" i="14"/>
  <c r="T31" i="14"/>
  <c r="S31" i="14"/>
  <c r="R31" i="14"/>
  <c r="Q31" i="14"/>
  <c r="O31" i="14"/>
  <c r="N31" i="14"/>
  <c r="M31" i="14"/>
  <c r="E31" i="14"/>
  <c r="D31" i="14"/>
  <c r="C31" i="14"/>
  <c r="B31" i="14"/>
  <c r="A31" i="14"/>
  <c r="X30" i="14"/>
  <c r="W30" i="14"/>
  <c r="V30" i="14"/>
  <c r="U30" i="14"/>
  <c r="T30" i="14"/>
  <c r="S30" i="14"/>
  <c r="R30" i="14"/>
  <c r="Q30" i="14"/>
  <c r="O30" i="14"/>
  <c r="N30" i="14"/>
  <c r="M30" i="14"/>
  <c r="E30" i="14"/>
  <c r="D30" i="14"/>
  <c r="C30" i="14"/>
  <c r="B30" i="14"/>
  <c r="A30" i="14"/>
  <c r="X29" i="14"/>
  <c r="W29" i="14"/>
  <c r="V29" i="14"/>
  <c r="U29" i="14"/>
  <c r="T29" i="14"/>
  <c r="S29" i="14"/>
  <c r="R29" i="14"/>
  <c r="Q29" i="14"/>
  <c r="O29" i="14"/>
  <c r="N29" i="14"/>
  <c r="M29" i="14"/>
  <c r="E29" i="14"/>
  <c r="D29" i="14"/>
  <c r="C29" i="14"/>
  <c r="B29" i="14"/>
  <c r="A29" i="14"/>
  <c r="X28" i="14"/>
  <c r="W28" i="14"/>
  <c r="V28" i="14"/>
  <c r="U28" i="14"/>
  <c r="T28" i="14"/>
  <c r="S28" i="14"/>
  <c r="R28" i="14"/>
  <c r="Q28" i="14"/>
  <c r="O28" i="14"/>
  <c r="N28" i="14"/>
  <c r="M28" i="14"/>
  <c r="E28" i="14"/>
  <c r="D28" i="14"/>
  <c r="C28" i="14"/>
  <c r="B28" i="14"/>
  <c r="A28" i="14"/>
  <c r="X27" i="14"/>
  <c r="W27" i="14"/>
  <c r="V27" i="14"/>
  <c r="U27" i="14"/>
  <c r="T27" i="14"/>
  <c r="S27" i="14"/>
  <c r="R27" i="14"/>
  <c r="Q27" i="14"/>
  <c r="O27" i="14"/>
  <c r="N27" i="14"/>
  <c r="M27" i="14"/>
  <c r="E27" i="14"/>
  <c r="D27" i="14"/>
  <c r="C27" i="14"/>
  <c r="B27" i="14"/>
  <c r="A27" i="14"/>
  <c r="X26" i="14"/>
  <c r="W26" i="14"/>
  <c r="V26" i="14"/>
  <c r="U26" i="14"/>
  <c r="T26" i="14"/>
  <c r="S26" i="14"/>
  <c r="R26" i="14"/>
  <c r="Q26" i="14"/>
  <c r="O26" i="14"/>
  <c r="N26" i="14"/>
  <c r="M26" i="14"/>
  <c r="E26" i="14"/>
  <c r="D26" i="14"/>
  <c r="C26" i="14"/>
  <c r="B26" i="14"/>
  <c r="A26" i="14"/>
  <c r="X25" i="14"/>
  <c r="W25" i="14"/>
  <c r="V25" i="14"/>
  <c r="U25" i="14"/>
  <c r="T25" i="14"/>
  <c r="S25" i="14"/>
  <c r="R25" i="14"/>
  <c r="Q25" i="14"/>
  <c r="O25" i="14"/>
  <c r="N25" i="14"/>
  <c r="M25" i="14"/>
  <c r="E25" i="14"/>
  <c r="D25" i="14"/>
  <c r="C25" i="14"/>
  <c r="B25" i="14"/>
  <c r="A25" i="14"/>
  <c r="X24" i="14"/>
  <c r="W24" i="14"/>
  <c r="V24" i="14"/>
  <c r="U24" i="14"/>
  <c r="T24" i="14"/>
  <c r="S24" i="14"/>
  <c r="R24" i="14"/>
  <c r="Q24" i="14"/>
  <c r="O24" i="14"/>
  <c r="N24" i="14"/>
  <c r="M24" i="14"/>
  <c r="E24" i="14"/>
  <c r="D24" i="14"/>
  <c r="C24" i="14"/>
  <c r="B24" i="14"/>
  <c r="A24" i="14"/>
  <c r="X23" i="14"/>
  <c r="W23" i="14"/>
  <c r="V23" i="14"/>
  <c r="U23" i="14"/>
  <c r="T23" i="14"/>
  <c r="S23" i="14"/>
  <c r="R23" i="14"/>
  <c r="Q23" i="14"/>
  <c r="O23" i="14"/>
  <c r="N23" i="14"/>
  <c r="M23" i="14"/>
  <c r="E23" i="14"/>
  <c r="D23" i="14"/>
  <c r="C23" i="14"/>
  <c r="B23" i="14"/>
  <c r="A23" i="14"/>
  <c r="X22" i="14"/>
  <c r="W22" i="14"/>
  <c r="V22" i="14"/>
  <c r="U22" i="14"/>
  <c r="T22" i="14"/>
  <c r="S22" i="14"/>
  <c r="R22" i="14"/>
  <c r="Q22" i="14"/>
  <c r="O22" i="14"/>
  <c r="N22" i="14"/>
  <c r="M22" i="14"/>
  <c r="E22" i="14"/>
  <c r="D22" i="14"/>
  <c r="C22" i="14"/>
  <c r="B22" i="14"/>
  <c r="A22" i="14"/>
  <c r="X21" i="14"/>
  <c r="W21" i="14"/>
  <c r="V21" i="14"/>
  <c r="U21" i="14"/>
  <c r="T21" i="14"/>
  <c r="S21" i="14"/>
  <c r="R21" i="14"/>
  <c r="Q21" i="14"/>
  <c r="O21" i="14"/>
  <c r="N21" i="14"/>
  <c r="M21" i="14"/>
  <c r="E21" i="14"/>
  <c r="D21" i="14"/>
  <c r="C21" i="14"/>
  <c r="B21" i="14"/>
  <c r="A21" i="14"/>
  <c r="X20" i="14"/>
  <c r="W20" i="14"/>
  <c r="V20" i="14"/>
  <c r="U20" i="14"/>
  <c r="T20" i="14"/>
  <c r="S20" i="14"/>
  <c r="R20" i="14"/>
  <c r="Q20" i="14"/>
  <c r="O20" i="14"/>
  <c r="N20" i="14"/>
  <c r="M20" i="14"/>
  <c r="E20" i="14"/>
  <c r="D20" i="14"/>
  <c r="C20" i="14"/>
  <c r="B20" i="14"/>
  <c r="A20" i="14"/>
  <c r="X19" i="14"/>
  <c r="W19" i="14"/>
  <c r="V19" i="14"/>
  <c r="U19" i="14"/>
  <c r="T19" i="14"/>
  <c r="S19" i="14"/>
  <c r="R19" i="14"/>
  <c r="Q19" i="14"/>
  <c r="O19" i="14"/>
  <c r="N19" i="14"/>
  <c r="M19" i="14"/>
  <c r="E19" i="14"/>
  <c r="D19" i="14"/>
  <c r="C19" i="14"/>
  <c r="B19" i="14"/>
  <c r="A19" i="14"/>
  <c r="X18" i="14"/>
  <c r="W18" i="14"/>
  <c r="V18" i="14"/>
  <c r="U18" i="14"/>
  <c r="T18" i="14"/>
  <c r="S18" i="14"/>
  <c r="R18" i="14"/>
  <c r="Q18" i="14"/>
  <c r="O18" i="14"/>
  <c r="N18" i="14"/>
  <c r="M18" i="14"/>
  <c r="E18" i="14"/>
  <c r="D18" i="14"/>
  <c r="C18" i="14"/>
  <c r="B18" i="14"/>
  <c r="A18" i="14"/>
  <c r="X17" i="14"/>
  <c r="W17" i="14"/>
  <c r="V17" i="14"/>
  <c r="U17" i="14"/>
  <c r="T17" i="14"/>
  <c r="S17" i="14"/>
  <c r="R17" i="14"/>
  <c r="Q17" i="14"/>
  <c r="O17" i="14"/>
  <c r="N17" i="14"/>
  <c r="M17" i="14"/>
  <c r="E17" i="14"/>
  <c r="D17" i="14"/>
  <c r="C17" i="14"/>
  <c r="B17" i="14"/>
  <c r="A17" i="14"/>
  <c r="X16" i="14"/>
  <c r="W16" i="14"/>
  <c r="V16" i="14"/>
  <c r="U16" i="14"/>
  <c r="T16" i="14"/>
  <c r="S16" i="14"/>
  <c r="R16" i="14"/>
  <c r="Q16" i="14"/>
  <c r="O16" i="14"/>
  <c r="N16" i="14"/>
  <c r="M16" i="14"/>
  <c r="E16" i="14"/>
  <c r="D16" i="14"/>
  <c r="C16" i="14"/>
  <c r="B16" i="14"/>
  <c r="A16" i="14"/>
  <c r="X15" i="14"/>
  <c r="W15" i="14"/>
  <c r="V15" i="14"/>
  <c r="U15" i="14"/>
  <c r="T15" i="14"/>
  <c r="S15" i="14"/>
  <c r="R15" i="14"/>
  <c r="Q15" i="14"/>
  <c r="O15" i="14"/>
  <c r="N15" i="14"/>
  <c r="M15" i="14"/>
  <c r="E15" i="14"/>
  <c r="D15" i="14"/>
  <c r="C15" i="14"/>
  <c r="B15" i="14"/>
  <c r="A15" i="14"/>
  <c r="X14" i="14"/>
  <c r="W14" i="14"/>
  <c r="V14" i="14"/>
  <c r="U14" i="14"/>
  <c r="T14" i="14"/>
  <c r="S14" i="14"/>
  <c r="R14" i="14"/>
  <c r="Q14" i="14"/>
  <c r="O14" i="14"/>
  <c r="N14" i="14"/>
  <c r="M14" i="14"/>
  <c r="E14" i="14"/>
  <c r="D14" i="14"/>
  <c r="C14" i="14"/>
  <c r="B14" i="14"/>
  <c r="A14" i="14"/>
  <c r="X13" i="14"/>
  <c r="W13" i="14"/>
  <c r="V13" i="14"/>
  <c r="U13" i="14"/>
  <c r="T13" i="14"/>
  <c r="S13" i="14"/>
  <c r="R13" i="14"/>
  <c r="Q13" i="14"/>
  <c r="O13" i="14"/>
  <c r="N13" i="14"/>
  <c r="M13" i="14"/>
  <c r="E13" i="14"/>
  <c r="D13" i="14"/>
  <c r="C13" i="14"/>
  <c r="B13" i="14"/>
  <c r="A13" i="14"/>
  <c r="X12" i="14"/>
  <c r="W12" i="14"/>
  <c r="V12" i="14"/>
  <c r="U12" i="14"/>
  <c r="T12" i="14"/>
  <c r="S12" i="14"/>
  <c r="R12" i="14"/>
  <c r="Q12" i="14"/>
  <c r="O12" i="14"/>
  <c r="N12" i="14"/>
  <c r="M12" i="14"/>
  <c r="E12" i="14"/>
  <c r="D12" i="14"/>
  <c r="C12" i="14"/>
  <c r="B12" i="14"/>
  <c r="A12" i="14"/>
  <c r="X11" i="14"/>
  <c r="W11" i="14"/>
  <c r="V11" i="14"/>
  <c r="U11" i="14"/>
  <c r="T11" i="14"/>
  <c r="S11" i="14"/>
  <c r="R11" i="14"/>
  <c r="Q11" i="14"/>
  <c r="O11" i="14"/>
  <c r="N11" i="14"/>
  <c r="M11" i="14"/>
  <c r="E11" i="14"/>
  <c r="D11" i="14"/>
  <c r="C11" i="14"/>
  <c r="B11" i="14"/>
  <c r="A11" i="14"/>
  <c r="X10" i="14"/>
  <c r="W10" i="14"/>
  <c r="V10" i="14"/>
  <c r="U10" i="14"/>
  <c r="T10" i="14"/>
  <c r="S10" i="14"/>
  <c r="R10" i="14"/>
  <c r="Q10" i="14"/>
  <c r="O10" i="14"/>
  <c r="N10" i="14"/>
  <c r="M10" i="14"/>
  <c r="E10" i="14"/>
  <c r="D10" i="14"/>
  <c r="C10" i="14"/>
  <c r="B10" i="14"/>
  <c r="A10" i="14"/>
  <c r="X9" i="14"/>
  <c r="W9" i="14"/>
  <c r="V9" i="14"/>
  <c r="U9" i="14"/>
  <c r="T9" i="14"/>
  <c r="S9" i="14"/>
  <c r="R9" i="14"/>
  <c r="Q9" i="14"/>
  <c r="O9" i="14"/>
  <c r="N9" i="14"/>
  <c r="M9" i="14"/>
  <c r="E9" i="14"/>
  <c r="D9" i="14"/>
  <c r="C9" i="14"/>
  <c r="B9" i="14"/>
  <c r="A9" i="14"/>
  <c r="X8" i="14"/>
  <c r="W8" i="14"/>
  <c r="V8" i="14"/>
  <c r="U8" i="14"/>
  <c r="T8" i="14"/>
  <c r="S8" i="14"/>
  <c r="R8" i="14"/>
  <c r="Q8" i="14"/>
  <c r="O8" i="14"/>
  <c r="N8" i="14"/>
  <c r="M8" i="14"/>
  <c r="E8" i="14"/>
  <c r="D8" i="14"/>
  <c r="C8" i="14"/>
  <c r="B8" i="14"/>
  <c r="A8" i="14"/>
  <c r="X7" i="14"/>
  <c r="W7" i="14"/>
  <c r="V7" i="14"/>
  <c r="U7" i="14"/>
  <c r="T7" i="14"/>
  <c r="S7" i="14"/>
  <c r="R7" i="14"/>
  <c r="Q7" i="14"/>
  <c r="O7" i="14"/>
  <c r="N7" i="14"/>
  <c r="M7" i="14"/>
  <c r="E7" i="14"/>
  <c r="D7" i="14"/>
  <c r="C7" i="14"/>
  <c r="B7" i="14"/>
  <c r="A7" i="14"/>
  <c r="X6" i="14"/>
  <c r="W6" i="14"/>
  <c r="V6" i="14"/>
  <c r="U6" i="14"/>
  <c r="T6" i="14"/>
  <c r="S6" i="14"/>
  <c r="R6" i="14"/>
  <c r="Q6" i="14"/>
  <c r="O6" i="14"/>
  <c r="N6" i="14"/>
  <c r="M6" i="14"/>
  <c r="E6" i="14"/>
  <c r="D6" i="14"/>
  <c r="C6" i="14"/>
  <c r="B6" i="14"/>
  <c r="A6" i="14"/>
  <c r="X5" i="14"/>
  <c r="W5" i="14"/>
  <c r="V5" i="14"/>
  <c r="U5" i="14"/>
  <c r="T5" i="14"/>
  <c r="S5" i="14"/>
  <c r="R5" i="14"/>
  <c r="Q5" i="14"/>
  <c r="O5" i="14"/>
  <c r="N5" i="14"/>
  <c r="M5" i="14"/>
  <c r="E5" i="14"/>
  <c r="D5" i="14"/>
  <c r="C5" i="14"/>
  <c r="B5" i="14"/>
  <c r="A5" i="14"/>
  <c r="X4" i="14"/>
  <c r="W4" i="14"/>
  <c r="V4" i="14"/>
  <c r="U4" i="14"/>
  <c r="T4" i="14"/>
  <c r="S4" i="14"/>
  <c r="R4" i="14"/>
  <c r="Q4" i="14"/>
  <c r="O4" i="14"/>
  <c r="N4" i="14"/>
  <c r="M4" i="14"/>
  <c r="E4" i="14"/>
  <c r="D4" i="14"/>
  <c r="C4" i="14"/>
  <c r="B4" i="14"/>
  <c r="A4" i="14"/>
  <c r="AY28" i="12"/>
  <c r="AQ28" i="12"/>
  <c r="AU28" i="12" s="1"/>
  <c r="AP28" i="12"/>
  <c r="AT28" i="12" s="1"/>
  <c r="AO28" i="12"/>
  <c r="AY27" i="12"/>
  <c r="AU27" i="12"/>
  <c r="AT27" i="12"/>
  <c r="AS27" i="12"/>
  <c r="AY26" i="12"/>
  <c r="AQ26" i="12"/>
  <c r="AU26" i="12" s="1"/>
  <c r="AP26" i="12"/>
  <c r="AT26" i="12" s="1"/>
  <c r="AO26" i="12"/>
  <c r="AS26" i="12" s="1"/>
  <c r="AY25" i="12"/>
  <c r="AQ25" i="12"/>
  <c r="AU25" i="12" s="1"/>
  <c r="AP25" i="12"/>
  <c r="AT25" i="12" s="1"/>
  <c r="AO25" i="12"/>
  <c r="AY24" i="12"/>
  <c r="AQ24" i="12"/>
  <c r="AU24" i="12" s="1"/>
  <c r="AP24" i="12"/>
  <c r="AT24" i="12" s="1"/>
  <c r="AO24" i="12"/>
  <c r="AS24" i="12" s="1"/>
  <c r="AY23" i="12"/>
  <c r="AQ23" i="12"/>
  <c r="AU23" i="12" s="1"/>
  <c r="AP23" i="12"/>
  <c r="AT23" i="12" s="1"/>
  <c r="AO23" i="12"/>
  <c r="AY22" i="12"/>
  <c r="AQ22" i="12"/>
  <c r="AU22" i="12" s="1"/>
  <c r="AP22" i="12"/>
  <c r="AT22" i="12" s="1"/>
  <c r="AO22" i="12"/>
  <c r="AS22" i="12" s="1"/>
  <c r="AY21" i="12"/>
  <c r="AQ21" i="12"/>
  <c r="AU21" i="12" s="1"/>
  <c r="AP21" i="12"/>
  <c r="AT21" i="12" s="1"/>
  <c r="AO21" i="12"/>
  <c r="AY20" i="12"/>
  <c r="AQ20" i="12"/>
  <c r="AU20" i="12" s="1"/>
  <c r="AP20" i="12"/>
  <c r="AT20" i="12" s="1"/>
  <c r="AO20" i="12"/>
  <c r="AS20" i="12" s="1"/>
  <c r="AY19" i="12"/>
  <c r="AQ19" i="12"/>
  <c r="AU19" i="12" s="1"/>
  <c r="AP19" i="12"/>
  <c r="AT19" i="12" s="1"/>
  <c r="AO19" i="12"/>
  <c r="AY18" i="12"/>
  <c r="AQ18" i="12"/>
  <c r="AU18" i="12" s="1"/>
  <c r="AP18" i="12"/>
  <c r="AT18" i="12" s="1"/>
  <c r="AO18" i="12"/>
  <c r="AS18" i="12" s="1"/>
  <c r="AY17" i="12"/>
  <c r="AQ17" i="12"/>
  <c r="AU17" i="12" s="1"/>
  <c r="AP17" i="12"/>
  <c r="AT17" i="12" s="1"/>
  <c r="AO17" i="12"/>
  <c r="AY16" i="12"/>
  <c r="AQ16" i="12"/>
  <c r="AU16" i="12" s="1"/>
  <c r="AP16" i="12"/>
  <c r="AT16" i="12" s="1"/>
  <c r="AO16" i="12"/>
  <c r="AY15" i="12"/>
  <c r="AQ15" i="12"/>
  <c r="AU15" i="12" s="1"/>
  <c r="AP15" i="12"/>
  <c r="AT15" i="12" s="1"/>
  <c r="AO15" i="12"/>
  <c r="AY14" i="12"/>
  <c r="AQ14" i="12"/>
  <c r="AU14" i="12" s="1"/>
  <c r="AP14" i="12"/>
  <c r="AT14" i="12" s="1"/>
  <c r="AO14" i="12"/>
  <c r="AY13" i="12"/>
  <c r="AQ13" i="12"/>
  <c r="AU13" i="12" s="1"/>
  <c r="AP13" i="12"/>
  <c r="AT13" i="12" s="1"/>
  <c r="AO13" i="12"/>
  <c r="AY12" i="12"/>
  <c r="AQ12" i="12"/>
  <c r="AU12" i="12" s="1"/>
  <c r="AP12" i="12"/>
  <c r="AT12" i="12" s="1"/>
  <c r="AO12" i="12"/>
  <c r="AY11" i="12"/>
  <c r="AQ11" i="12"/>
  <c r="AU11" i="12" s="1"/>
  <c r="AP11" i="12"/>
  <c r="AT11" i="12" s="1"/>
  <c r="AO11" i="12"/>
  <c r="AS11" i="12" s="1"/>
  <c r="AY10" i="12"/>
  <c r="AQ10" i="12"/>
  <c r="AU10" i="12" s="1"/>
  <c r="AP10" i="12"/>
  <c r="AO10" i="12"/>
  <c r="AS10" i="12" s="1"/>
  <c r="AY9" i="12"/>
  <c r="AQ9" i="12"/>
  <c r="AU9" i="12" s="1"/>
  <c r="AP9" i="12"/>
  <c r="AT9" i="12" s="1"/>
  <c r="AO9" i="12"/>
  <c r="AS9" i="12" s="1"/>
  <c r="AY8" i="12"/>
  <c r="AQ8" i="12"/>
  <c r="AU8" i="12" s="1"/>
  <c r="AP8" i="12"/>
  <c r="AT8" i="12" s="1"/>
  <c r="AO8" i="12"/>
  <c r="AS8" i="12" s="1"/>
  <c r="AY7" i="12"/>
  <c r="AQ7" i="12"/>
  <c r="AU7" i="12" s="1"/>
  <c r="AP7" i="12"/>
  <c r="AT7" i="12" s="1"/>
  <c r="AO7" i="12"/>
  <c r="AY6" i="12"/>
  <c r="AQ6" i="12"/>
  <c r="AU6" i="12" s="1"/>
  <c r="AP6" i="12"/>
  <c r="AT6" i="12" s="1"/>
  <c r="AO6" i="12"/>
  <c r="AS6" i="12" s="1"/>
  <c r="AY5" i="12"/>
  <c r="AQ5" i="12"/>
  <c r="AU5" i="12" s="1"/>
  <c r="AP5" i="12"/>
  <c r="AT5" i="12" s="1"/>
  <c r="AO5" i="12"/>
  <c r="AS5" i="12" s="1"/>
  <c r="AY4" i="12"/>
  <c r="AQ4" i="12"/>
  <c r="AP4" i="12"/>
  <c r="AO4" i="12"/>
  <c r="AI2" i="12"/>
  <c r="AA2" i="12"/>
  <c r="S2" i="12"/>
  <c r="K2" i="12"/>
  <c r="A1" i="12"/>
  <c r="E6" i="12" l="1"/>
  <c r="E10" i="12"/>
  <c r="E14" i="12"/>
  <c r="E91" i="12"/>
  <c r="E93" i="12"/>
  <c r="E89" i="12"/>
  <c r="E79" i="12"/>
  <c r="E94" i="12"/>
  <c r="E92" i="12"/>
  <c r="E90" i="12"/>
  <c r="E87" i="12"/>
  <c r="E88" i="12"/>
  <c r="E83" i="12"/>
  <c r="E85" i="12"/>
  <c r="E86" i="12"/>
  <c r="D2" i="15"/>
  <c r="T2" i="15"/>
  <c r="E5" i="12"/>
  <c r="E7" i="12"/>
  <c r="E8" i="12"/>
  <c r="E9" i="12"/>
  <c r="E11" i="12"/>
  <c r="E12" i="12"/>
  <c r="E13" i="12"/>
  <c r="E15" i="12"/>
  <c r="E16" i="12"/>
  <c r="E17" i="12"/>
  <c r="E19" i="12"/>
  <c r="E18" i="12"/>
  <c r="E4" i="12"/>
  <c r="T2" i="14"/>
  <c r="E84" i="12"/>
  <c r="E82" i="12"/>
  <c r="E81" i="12"/>
  <c r="E80" i="12"/>
  <c r="E78" i="12"/>
  <c r="E77" i="12"/>
  <c r="E76" i="12"/>
  <c r="E71" i="12"/>
  <c r="E70" i="12"/>
  <c r="E68" i="12"/>
  <c r="E66" i="12"/>
  <c r="E65" i="12"/>
  <c r="E64" i="12"/>
  <c r="E62" i="12"/>
  <c r="E61" i="12"/>
  <c r="E60" i="12"/>
  <c r="E58" i="12"/>
  <c r="E57" i="12"/>
  <c r="E56" i="12"/>
  <c r="E54" i="12"/>
  <c r="E53" i="12"/>
  <c r="E52" i="12"/>
  <c r="E50" i="12"/>
  <c r="E49" i="12"/>
  <c r="E48" i="12"/>
  <c r="E46" i="12"/>
  <c r="E45" i="12"/>
  <c r="E44" i="12"/>
  <c r="E42" i="12"/>
  <c r="E41" i="12"/>
  <c r="E40" i="12"/>
  <c r="E38" i="12"/>
  <c r="E37" i="12"/>
  <c r="E36" i="12"/>
  <c r="E34" i="12"/>
  <c r="E33" i="12"/>
  <c r="E32" i="12"/>
  <c r="E29" i="12"/>
  <c r="E28" i="12"/>
  <c r="E26" i="12"/>
  <c r="E25" i="12"/>
  <c r="E24" i="12"/>
  <c r="E23" i="12"/>
  <c r="E22" i="12"/>
  <c r="E21" i="12"/>
  <c r="E20" i="12"/>
  <c r="AR10" i="12"/>
  <c r="E27" i="12"/>
  <c r="E31" i="12"/>
  <c r="E35" i="12"/>
  <c r="E39" i="12"/>
  <c r="E43" i="12"/>
  <c r="E47" i="12"/>
  <c r="E51" i="12"/>
  <c r="E55" i="12"/>
  <c r="E59" i="12"/>
  <c r="E69" i="12"/>
  <c r="E72" i="12"/>
  <c r="E63" i="12"/>
  <c r="E73" i="12"/>
  <c r="E74" i="12"/>
  <c r="E75" i="12"/>
  <c r="E67" i="12"/>
  <c r="E30" i="12"/>
  <c r="L2" i="15"/>
  <c r="AR7" i="12"/>
  <c r="AR25" i="12"/>
  <c r="F94" i="14"/>
  <c r="F93" i="14"/>
  <c r="F92" i="14"/>
  <c r="F91" i="14"/>
  <c r="F90" i="14"/>
  <c r="F89" i="14"/>
  <c r="F88" i="14"/>
  <c r="F87" i="14"/>
  <c r="F86" i="14"/>
  <c r="F85" i="14"/>
  <c r="F84" i="14"/>
  <c r="F83" i="14"/>
  <c r="F82" i="14"/>
  <c r="F81" i="14"/>
  <c r="F80" i="14"/>
  <c r="F79" i="14"/>
  <c r="F78" i="14"/>
  <c r="F77" i="14"/>
  <c r="F76" i="14"/>
  <c r="F75" i="14"/>
  <c r="F74" i="14"/>
  <c r="F73" i="14"/>
  <c r="F72" i="14"/>
  <c r="F68" i="14"/>
  <c r="F64" i="14"/>
  <c r="F60" i="14"/>
  <c r="F56" i="14"/>
  <c r="F50" i="14"/>
  <c r="F71" i="14"/>
  <c r="F67" i="14"/>
  <c r="F63" i="14"/>
  <c r="F59" i="14"/>
  <c r="F55" i="14"/>
  <c r="F51" i="14"/>
  <c r="F70" i="14"/>
  <c r="F66" i="14"/>
  <c r="F62" i="14"/>
  <c r="F58" i="14"/>
  <c r="F54" i="14"/>
  <c r="F52" i="14"/>
  <c r="F69" i="14"/>
  <c r="F65" i="14"/>
  <c r="F61" i="14"/>
  <c r="F57" i="14"/>
  <c r="F49" i="14"/>
  <c r="F47" i="14"/>
  <c r="F45" i="14"/>
  <c r="F43" i="14"/>
  <c r="F41" i="14"/>
  <c r="F39" i="14"/>
  <c r="F37" i="14"/>
  <c r="F35" i="14"/>
  <c r="F31" i="14"/>
  <c r="F30" i="14"/>
  <c r="F29" i="14"/>
  <c r="F28" i="14"/>
  <c r="F27" i="14"/>
  <c r="F26" i="14"/>
  <c r="F25" i="14"/>
  <c r="F24" i="14"/>
  <c r="F23" i="14"/>
  <c r="F22" i="14"/>
  <c r="F21" i="14"/>
  <c r="F20" i="14"/>
  <c r="F19" i="14"/>
  <c r="F18" i="14"/>
  <c r="F17" i="14"/>
  <c r="F16" i="14"/>
  <c r="F15" i="14"/>
  <c r="F14" i="14"/>
  <c r="F13" i="14"/>
  <c r="F12" i="14"/>
  <c r="F11" i="14"/>
  <c r="F10" i="14"/>
  <c r="F9" i="14"/>
  <c r="F8" i="14"/>
  <c r="F7" i="14"/>
  <c r="F6" i="14"/>
  <c r="F5" i="14"/>
  <c r="F4" i="14"/>
  <c r="F53" i="14"/>
  <c r="F34" i="14"/>
  <c r="F48" i="14"/>
  <c r="F46" i="14"/>
  <c r="F44" i="14"/>
  <c r="F42" i="14"/>
  <c r="F40" i="14"/>
  <c r="F38" i="14"/>
  <c r="F33" i="14"/>
  <c r="F36" i="14"/>
  <c r="F32" i="14"/>
  <c r="AS4" i="12"/>
  <c r="AS7" i="12"/>
  <c r="H94" i="14"/>
  <c r="H93" i="14"/>
  <c r="H92" i="14"/>
  <c r="H91" i="14"/>
  <c r="H90" i="14"/>
  <c r="H89" i="14"/>
  <c r="H88" i="14"/>
  <c r="H87" i="14"/>
  <c r="H86" i="14"/>
  <c r="H85" i="14"/>
  <c r="H84" i="14"/>
  <c r="H83" i="14"/>
  <c r="H82" i="14"/>
  <c r="H81" i="14"/>
  <c r="H80" i="14"/>
  <c r="H79" i="14"/>
  <c r="H78" i="14"/>
  <c r="H77" i="14"/>
  <c r="H76" i="14"/>
  <c r="H75" i="14"/>
  <c r="H74" i="14"/>
  <c r="H72" i="14"/>
  <c r="H71" i="14"/>
  <c r="H67" i="14"/>
  <c r="H63" i="14"/>
  <c r="H59" i="14"/>
  <c r="H55" i="14"/>
  <c r="H52" i="14"/>
  <c r="H73" i="14"/>
  <c r="H70" i="14"/>
  <c r="H66" i="14"/>
  <c r="H62" i="14"/>
  <c r="H58" i="14"/>
  <c r="H54" i="14"/>
  <c r="H49" i="14"/>
  <c r="H48" i="14"/>
  <c r="H47" i="14"/>
  <c r="H46" i="14"/>
  <c r="H45" i="14"/>
  <c r="H44" i="14"/>
  <c r="H43" i="14"/>
  <c r="H42" i="14"/>
  <c r="H41" i="14"/>
  <c r="H40" i="14"/>
  <c r="H39" i="14"/>
  <c r="H38" i="14"/>
  <c r="H37" i="14"/>
  <c r="H36" i="14"/>
  <c r="H35" i="14"/>
  <c r="H34" i="14"/>
  <c r="H33" i="14"/>
  <c r="H32" i="14"/>
  <c r="H31" i="14"/>
  <c r="H69" i="14"/>
  <c r="H65" i="14"/>
  <c r="H61" i="14"/>
  <c r="H57" i="14"/>
  <c r="H53" i="14"/>
  <c r="H50" i="14"/>
  <c r="H68" i="14"/>
  <c r="H64" i="14"/>
  <c r="H60" i="14"/>
  <c r="H56" i="14"/>
  <c r="H30" i="14"/>
  <c r="H29" i="14"/>
  <c r="H28" i="14"/>
  <c r="H27" i="14"/>
  <c r="H26" i="14"/>
  <c r="H25" i="14"/>
  <c r="H24" i="14"/>
  <c r="H23" i="14"/>
  <c r="H22" i="14"/>
  <c r="H21" i="14"/>
  <c r="H20" i="14"/>
  <c r="H19" i="14"/>
  <c r="H51" i="14"/>
  <c r="H18" i="14"/>
  <c r="H14" i="14"/>
  <c r="H10" i="14"/>
  <c r="H6" i="14"/>
  <c r="H17" i="14"/>
  <c r="H13" i="14"/>
  <c r="H9" i="14"/>
  <c r="H5" i="14"/>
  <c r="H16" i="14"/>
  <c r="H12" i="14"/>
  <c r="H8" i="14"/>
  <c r="H15" i="14"/>
  <c r="H11" i="14"/>
  <c r="H7" i="14"/>
  <c r="H4" i="14"/>
  <c r="AU4" i="12"/>
  <c r="AR4" i="12"/>
  <c r="P94" i="14"/>
  <c r="P93" i="14"/>
  <c r="P92" i="14"/>
  <c r="P91" i="14"/>
  <c r="P90" i="14"/>
  <c r="P89" i="14"/>
  <c r="P88" i="14"/>
  <c r="P87" i="14"/>
  <c r="P86" i="14"/>
  <c r="P85" i="14"/>
  <c r="P84" i="14"/>
  <c r="P83" i="14"/>
  <c r="P82" i="14"/>
  <c r="P81" i="14"/>
  <c r="P80" i="14"/>
  <c r="P79" i="14"/>
  <c r="P78" i="14"/>
  <c r="P77" i="14"/>
  <c r="P76" i="14"/>
  <c r="P75" i="14"/>
  <c r="P74" i="14"/>
  <c r="P73" i="14"/>
  <c r="P69" i="14"/>
  <c r="P65" i="14"/>
  <c r="P61" i="14"/>
  <c r="P57" i="14"/>
  <c r="P53" i="14"/>
  <c r="P51" i="14"/>
  <c r="P68" i="14"/>
  <c r="P64" i="14"/>
  <c r="P60" i="14"/>
  <c r="P56" i="14"/>
  <c r="P52" i="14"/>
  <c r="P48" i="14"/>
  <c r="P47" i="14"/>
  <c r="P46" i="14"/>
  <c r="P45" i="14"/>
  <c r="P44" i="14"/>
  <c r="P43" i="14"/>
  <c r="P42" i="14"/>
  <c r="P41" i="14"/>
  <c r="P40" i="14"/>
  <c r="P39" i="14"/>
  <c r="P38" i="14"/>
  <c r="P37" i="14"/>
  <c r="P36" i="14"/>
  <c r="P35" i="14"/>
  <c r="P34" i="14"/>
  <c r="P33" i="14"/>
  <c r="P32" i="14"/>
  <c r="P31" i="14"/>
  <c r="P71" i="14"/>
  <c r="P67" i="14"/>
  <c r="P63" i="14"/>
  <c r="P59" i="14"/>
  <c r="P55" i="14"/>
  <c r="P49" i="14"/>
  <c r="P72" i="14"/>
  <c r="P70" i="14"/>
  <c r="P66" i="14"/>
  <c r="P62" i="14"/>
  <c r="P58" i="14"/>
  <c r="P54" i="14"/>
  <c r="P50" i="14"/>
  <c r="P30" i="14"/>
  <c r="P29" i="14"/>
  <c r="P28" i="14"/>
  <c r="P27" i="14"/>
  <c r="P26" i="14"/>
  <c r="P25" i="14"/>
  <c r="P24" i="14"/>
  <c r="P23" i="14"/>
  <c r="P22" i="14"/>
  <c r="P21" i="14"/>
  <c r="P20" i="14"/>
  <c r="P19" i="14"/>
  <c r="P16" i="14"/>
  <c r="P12" i="14"/>
  <c r="P8" i="14"/>
  <c r="P4" i="14"/>
  <c r="P15" i="14"/>
  <c r="P11" i="14"/>
  <c r="P7" i="14"/>
  <c r="P18" i="14"/>
  <c r="P14" i="14"/>
  <c r="P10" i="14"/>
  <c r="P6" i="14"/>
  <c r="P17" i="14"/>
  <c r="P13" i="14"/>
  <c r="P9" i="14"/>
  <c r="P5" i="14"/>
  <c r="F5" i="12"/>
  <c r="AR5" i="12"/>
  <c r="AR6" i="12"/>
  <c r="AR8" i="12"/>
  <c r="AR9" i="12"/>
  <c r="AT10" i="12"/>
  <c r="AR11" i="12"/>
  <c r="AR13" i="12"/>
  <c r="AS13" i="12"/>
  <c r="AR17" i="12"/>
  <c r="AS17" i="12"/>
  <c r="AR12" i="12"/>
  <c r="AS12" i="12"/>
  <c r="AR16" i="12"/>
  <c r="AS16" i="12"/>
  <c r="AR19" i="12"/>
  <c r="AS19" i="12"/>
  <c r="AR15" i="12"/>
  <c r="AS15" i="12"/>
  <c r="AR21" i="12"/>
  <c r="AS21" i="12"/>
  <c r="AR23" i="12"/>
  <c r="AS23" i="12"/>
  <c r="G94" i="14"/>
  <c r="G93" i="14"/>
  <c r="G92" i="14"/>
  <c r="G91" i="14"/>
  <c r="G90" i="14"/>
  <c r="G89" i="14"/>
  <c r="G88" i="14"/>
  <c r="G87" i="14"/>
  <c r="G86" i="14"/>
  <c r="G85" i="14"/>
  <c r="G84" i="14"/>
  <c r="G83" i="14"/>
  <c r="G82" i="14"/>
  <c r="G81" i="14"/>
  <c r="G80" i="14"/>
  <c r="G79" i="14"/>
  <c r="G78" i="14"/>
  <c r="G77" i="14"/>
  <c r="G76" i="14"/>
  <c r="G75" i="14"/>
  <c r="G74" i="14"/>
  <c r="G73" i="14"/>
  <c r="G72" i="14"/>
  <c r="G71" i="14"/>
  <c r="G70" i="14"/>
  <c r="G69" i="14"/>
  <c r="G68" i="14"/>
  <c r="G67" i="14"/>
  <c r="G66" i="14"/>
  <c r="G65" i="14"/>
  <c r="G64" i="14"/>
  <c r="G63" i="14"/>
  <c r="G62" i="14"/>
  <c r="G61" i="14"/>
  <c r="G60" i="14"/>
  <c r="G59" i="14"/>
  <c r="G58" i="14"/>
  <c r="G57" i="14"/>
  <c r="G56" i="14"/>
  <c r="G55" i="14"/>
  <c r="G54" i="14"/>
  <c r="G53" i="14"/>
  <c r="G51" i="14"/>
  <c r="G52" i="14"/>
  <c r="G49" i="14"/>
  <c r="G48" i="14"/>
  <c r="G47" i="14"/>
  <c r="G46" i="14"/>
  <c r="G45" i="14"/>
  <c r="G44" i="14"/>
  <c r="G43" i="14"/>
  <c r="G42" i="14"/>
  <c r="G41" i="14"/>
  <c r="G40" i="14"/>
  <c r="G39" i="14"/>
  <c r="G38" i="14"/>
  <c r="G37" i="14"/>
  <c r="G36" i="14"/>
  <c r="G34" i="14"/>
  <c r="G33" i="14"/>
  <c r="G50" i="14"/>
  <c r="G32" i="14"/>
  <c r="G35" i="14"/>
  <c r="G31" i="14"/>
  <c r="G30" i="14"/>
  <c r="G29" i="14"/>
  <c r="G28" i="14"/>
  <c r="G27" i="14"/>
  <c r="G26" i="14"/>
  <c r="G25" i="14"/>
  <c r="G24" i="14"/>
  <c r="G23" i="14"/>
  <c r="G21" i="14"/>
  <c r="G19" i="14"/>
  <c r="G15" i="14"/>
  <c r="G11" i="14"/>
  <c r="G7" i="14"/>
  <c r="G4" i="14"/>
  <c r="G18" i="14"/>
  <c r="G14" i="14"/>
  <c r="G10" i="14"/>
  <c r="G6" i="14"/>
  <c r="G22" i="14"/>
  <c r="G20" i="14"/>
  <c r="G17" i="14"/>
  <c r="G13" i="14"/>
  <c r="G9" i="14"/>
  <c r="G5" i="14"/>
  <c r="G16" i="14"/>
  <c r="G12" i="14"/>
  <c r="G8" i="14"/>
  <c r="AT4" i="12"/>
  <c r="AR14" i="12"/>
  <c r="AS14" i="12"/>
  <c r="AS25" i="12"/>
  <c r="AR28" i="12"/>
  <c r="AR18" i="12"/>
  <c r="AR20" i="12"/>
  <c r="AR22" i="12"/>
  <c r="AR24" i="12"/>
  <c r="AR26" i="12"/>
  <c r="AS28" i="12"/>
  <c r="F12" i="12" l="1"/>
  <c r="F4" i="12"/>
  <c r="F6" i="12"/>
  <c r="F10" i="12"/>
  <c r="F11" i="12"/>
  <c r="F18" i="12"/>
  <c r="F8" i="12"/>
  <c r="F15" i="12"/>
  <c r="F7" i="12"/>
  <c r="F16" i="12"/>
  <c r="F9" i="12"/>
  <c r="F21" i="12"/>
  <c r="F13" i="12"/>
  <c r="F17" i="12"/>
  <c r="F14" i="12"/>
  <c r="F20" i="12"/>
  <c r="F19" i="12"/>
  <c r="F22" i="12"/>
  <c r="F27" i="12"/>
  <c r="F26" i="12"/>
  <c r="F28" i="12"/>
  <c r="F25" i="12"/>
  <c r="F29" i="12"/>
  <c r="F41" i="12"/>
  <c r="F42" i="12"/>
  <c r="F46" i="12"/>
  <c r="F45" i="12"/>
  <c r="F48" i="12"/>
  <c r="F44" i="12"/>
  <c r="F43" i="12"/>
  <c r="F63" i="12"/>
  <c r="F47" i="12"/>
  <c r="F62" i="12"/>
  <c r="F64" i="12"/>
  <c r="F72" i="12"/>
  <c r="F61" i="12"/>
  <c r="F89" i="12"/>
  <c r="F69" i="12"/>
  <c r="F85" i="12"/>
  <c r="F87" i="12"/>
  <c r="F90" i="12"/>
  <c r="F86" i="12"/>
  <c r="F92" i="12"/>
  <c r="F71" i="12"/>
  <c r="F91" i="12"/>
  <c r="F70" i="12"/>
  <c r="E2" i="12"/>
  <c r="F88" i="12"/>
  <c r="F32" i="12"/>
  <c r="F56" i="12"/>
  <c r="F76" i="12"/>
  <c r="F31" i="12"/>
  <c r="F55" i="12"/>
  <c r="F75" i="12"/>
  <c r="F30" i="12"/>
  <c r="F54" i="12"/>
  <c r="F74" i="12"/>
  <c r="F94" i="12"/>
  <c r="F53" i="12"/>
  <c r="F73" i="12"/>
  <c r="F93" i="12"/>
  <c r="F40" i="12"/>
  <c r="F60" i="12"/>
  <c r="F80" i="12"/>
  <c r="F39" i="12"/>
  <c r="F59" i="12"/>
  <c r="F79" i="12"/>
  <c r="F38" i="12"/>
  <c r="F58" i="12"/>
  <c r="F78" i="12"/>
  <c r="F37" i="12"/>
  <c r="F57" i="12"/>
  <c r="F77" i="12"/>
  <c r="F36" i="12"/>
  <c r="F52" i="12"/>
  <c r="F68" i="12"/>
  <c r="F84" i="12"/>
  <c r="F35" i="12"/>
  <c r="F51" i="12"/>
  <c r="F67" i="12"/>
  <c r="F83" i="12"/>
  <c r="F34" i="12"/>
  <c r="F50" i="12"/>
  <c r="F66" i="12"/>
  <c r="F82" i="12"/>
  <c r="F33" i="12"/>
  <c r="F49" i="12"/>
  <c r="F65" i="12"/>
  <c r="F81" i="12"/>
  <c r="D2" i="14"/>
  <c r="L94" i="14"/>
  <c r="L93" i="14"/>
  <c r="L92" i="14"/>
  <c r="L91" i="14"/>
  <c r="L90" i="14"/>
  <c r="L89" i="14"/>
  <c r="L88" i="14"/>
  <c r="L87" i="14"/>
  <c r="L86" i="14"/>
  <c r="L85" i="14"/>
  <c r="L84" i="14"/>
  <c r="L83" i="14"/>
  <c r="L82" i="14"/>
  <c r="L81" i="14"/>
  <c r="L80" i="14"/>
  <c r="L79" i="14"/>
  <c r="L78" i="14"/>
  <c r="L77" i="14"/>
  <c r="L76" i="14"/>
  <c r="L75" i="14"/>
  <c r="L74" i="14"/>
  <c r="L73" i="14"/>
  <c r="L69" i="14"/>
  <c r="L65" i="14"/>
  <c r="L61" i="14"/>
  <c r="L57" i="14"/>
  <c r="L53" i="14"/>
  <c r="L51" i="14"/>
  <c r="L68" i="14"/>
  <c r="L64" i="14"/>
  <c r="L60" i="14"/>
  <c r="L56" i="14"/>
  <c r="L52" i="14"/>
  <c r="L48" i="14"/>
  <c r="L47" i="14"/>
  <c r="L46" i="14"/>
  <c r="L45" i="14"/>
  <c r="L44" i="14"/>
  <c r="L43" i="14"/>
  <c r="L42" i="14"/>
  <c r="L41" i="14"/>
  <c r="L40" i="14"/>
  <c r="L39" i="14"/>
  <c r="L38" i="14"/>
  <c r="L37" i="14"/>
  <c r="L36" i="14"/>
  <c r="L35" i="14"/>
  <c r="L34" i="14"/>
  <c r="L33" i="14"/>
  <c r="L32" i="14"/>
  <c r="L31" i="14"/>
  <c r="L71" i="14"/>
  <c r="L67" i="14"/>
  <c r="L63" i="14"/>
  <c r="L59" i="14"/>
  <c r="L55" i="14"/>
  <c r="L49" i="14"/>
  <c r="L72" i="14"/>
  <c r="L70" i="14"/>
  <c r="L66" i="14"/>
  <c r="L62" i="14"/>
  <c r="L58" i="14"/>
  <c r="L54" i="14"/>
  <c r="L50" i="14"/>
  <c r="L30" i="14"/>
  <c r="L29" i="14"/>
  <c r="L28" i="14"/>
  <c r="L27" i="14"/>
  <c r="L26" i="14"/>
  <c r="L25" i="14"/>
  <c r="L24" i="14"/>
  <c r="L23" i="14"/>
  <c r="L22" i="14"/>
  <c r="L21" i="14"/>
  <c r="L20" i="14"/>
  <c r="L19" i="14"/>
  <c r="L16" i="14"/>
  <c r="L12" i="14"/>
  <c r="L8" i="14"/>
  <c r="L4" i="14"/>
  <c r="L15" i="14"/>
  <c r="L11" i="14"/>
  <c r="L7" i="14"/>
  <c r="L18" i="14"/>
  <c r="L14" i="14"/>
  <c r="L10" i="14"/>
  <c r="L6" i="14"/>
  <c r="L17" i="14"/>
  <c r="L13" i="14"/>
  <c r="L9" i="14"/>
  <c r="L5" i="14"/>
  <c r="J94" i="14"/>
  <c r="J93" i="14"/>
  <c r="J92" i="14"/>
  <c r="J91" i="14"/>
  <c r="J90" i="14"/>
  <c r="J89" i="14"/>
  <c r="J88" i="14"/>
  <c r="J87" i="14"/>
  <c r="J86" i="14"/>
  <c r="J85" i="14"/>
  <c r="J84" i="14"/>
  <c r="J83" i="14"/>
  <c r="J82" i="14"/>
  <c r="J81" i="14"/>
  <c r="J80" i="14"/>
  <c r="J79" i="14"/>
  <c r="J78" i="14"/>
  <c r="J77" i="14"/>
  <c r="J76" i="14"/>
  <c r="J75" i="14"/>
  <c r="J74" i="14"/>
  <c r="J73" i="14"/>
  <c r="J72" i="14"/>
  <c r="J70" i="14"/>
  <c r="J66" i="14"/>
  <c r="J62" i="14"/>
  <c r="J58" i="14"/>
  <c r="J54" i="14"/>
  <c r="J49" i="14"/>
  <c r="J69" i="14"/>
  <c r="J65" i="14"/>
  <c r="J61" i="14"/>
  <c r="J57" i="14"/>
  <c r="J53" i="14"/>
  <c r="J50" i="14"/>
  <c r="J68" i="14"/>
  <c r="J64" i="14"/>
  <c r="J60" i="14"/>
  <c r="J56" i="14"/>
  <c r="J51" i="14"/>
  <c r="J71" i="14"/>
  <c r="J67" i="14"/>
  <c r="J63" i="14"/>
  <c r="J59" i="14"/>
  <c r="J55" i="14"/>
  <c r="J32" i="14"/>
  <c r="J30" i="14"/>
  <c r="J29" i="14"/>
  <c r="J28" i="14"/>
  <c r="J27" i="14"/>
  <c r="J26" i="14"/>
  <c r="J25" i="14"/>
  <c r="J24" i="14"/>
  <c r="J23" i="14"/>
  <c r="J22" i="14"/>
  <c r="J21" i="14"/>
  <c r="J20" i="14"/>
  <c r="J19" i="14"/>
  <c r="J18" i="14"/>
  <c r="J17" i="14"/>
  <c r="J16" i="14"/>
  <c r="J15" i="14"/>
  <c r="J14" i="14"/>
  <c r="J13" i="14"/>
  <c r="J12" i="14"/>
  <c r="J11" i="14"/>
  <c r="J10" i="14"/>
  <c r="J9" i="14"/>
  <c r="J8" i="14"/>
  <c r="J7" i="14"/>
  <c r="J6" i="14"/>
  <c r="J5" i="14"/>
  <c r="J4" i="14"/>
  <c r="J48" i="14"/>
  <c r="J46" i="14"/>
  <c r="J44" i="14"/>
  <c r="J42" i="14"/>
  <c r="J40" i="14"/>
  <c r="J38" i="14"/>
  <c r="J36" i="14"/>
  <c r="J35" i="14"/>
  <c r="J31" i="14"/>
  <c r="J52" i="14"/>
  <c r="J34" i="14"/>
  <c r="J47" i="14"/>
  <c r="J45" i="14"/>
  <c r="J43" i="14"/>
  <c r="J41" i="14"/>
  <c r="J39" i="14"/>
  <c r="J37" i="14"/>
  <c r="J33" i="14"/>
  <c r="AU29" i="12"/>
  <c r="K94" i="14"/>
  <c r="K93" i="14"/>
  <c r="K92" i="14"/>
  <c r="K91" i="14"/>
  <c r="K90" i="14"/>
  <c r="K89" i="14"/>
  <c r="K88" i="14"/>
  <c r="K87" i="14"/>
  <c r="K86" i="14"/>
  <c r="K85" i="14"/>
  <c r="K84" i="14"/>
  <c r="K83" i="14"/>
  <c r="K82" i="14"/>
  <c r="K81" i="14"/>
  <c r="K80" i="14"/>
  <c r="K79" i="14"/>
  <c r="K78" i="14"/>
  <c r="K77" i="14"/>
  <c r="K76" i="14"/>
  <c r="K75" i="14"/>
  <c r="K74" i="14"/>
  <c r="K73" i="14"/>
  <c r="K72" i="14"/>
  <c r="K71" i="14"/>
  <c r="K70" i="14"/>
  <c r="K69" i="14"/>
  <c r="K68" i="14"/>
  <c r="K67" i="14"/>
  <c r="K66" i="14"/>
  <c r="K65" i="14"/>
  <c r="K64" i="14"/>
  <c r="K63" i="14"/>
  <c r="K62" i="14"/>
  <c r="K61" i="14"/>
  <c r="K60" i="14"/>
  <c r="K59" i="14"/>
  <c r="K58" i="14"/>
  <c r="K57" i="14"/>
  <c r="K56" i="14"/>
  <c r="K55" i="14"/>
  <c r="K54" i="14"/>
  <c r="K53" i="14"/>
  <c r="K50" i="14"/>
  <c r="K51" i="14"/>
  <c r="K52" i="14"/>
  <c r="K48" i="14"/>
  <c r="K47" i="14"/>
  <c r="K46" i="14"/>
  <c r="K45" i="14"/>
  <c r="K44" i="14"/>
  <c r="K43" i="14"/>
  <c r="K42" i="14"/>
  <c r="K41" i="14"/>
  <c r="K40" i="14"/>
  <c r="K39" i="14"/>
  <c r="K38" i="14"/>
  <c r="K37" i="14"/>
  <c r="K36" i="14"/>
  <c r="K35" i="14"/>
  <c r="K31" i="14"/>
  <c r="K34" i="14"/>
  <c r="K33" i="14"/>
  <c r="K49" i="14"/>
  <c r="K32" i="14"/>
  <c r="K30" i="14"/>
  <c r="K29" i="14"/>
  <c r="K28" i="14"/>
  <c r="K27" i="14"/>
  <c r="K26" i="14"/>
  <c r="K25" i="14"/>
  <c r="K24" i="14"/>
  <c r="K17" i="14"/>
  <c r="K13" i="14"/>
  <c r="K9" i="14"/>
  <c r="K5" i="14"/>
  <c r="K22" i="14"/>
  <c r="K20" i="14"/>
  <c r="K16" i="14"/>
  <c r="K12" i="14"/>
  <c r="K8" i="14"/>
  <c r="K4" i="14"/>
  <c r="K15" i="14"/>
  <c r="K11" i="14"/>
  <c r="K7" i="14"/>
  <c r="K23" i="14"/>
  <c r="K21" i="14"/>
  <c r="K19" i="14"/>
  <c r="K18" i="14"/>
  <c r="K14" i="14"/>
  <c r="K10" i="14"/>
  <c r="K6" i="14"/>
  <c r="I94" i="14"/>
  <c r="C94" i="12" s="1"/>
  <c r="I93" i="14"/>
  <c r="C93" i="12" s="1"/>
  <c r="I92" i="14"/>
  <c r="C92" i="12" s="1"/>
  <c r="I91" i="14"/>
  <c r="C91" i="12" s="1"/>
  <c r="I90" i="14"/>
  <c r="C90" i="12" s="1"/>
  <c r="I89" i="14"/>
  <c r="C89" i="12" s="1"/>
  <c r="I88" i="14"/>
  <c r="C88" i="12" s="1"/>
  <c r="I87" i="14"/>
  <c r="C87" i="12" s="1"/>
  <c r="I86" i="14"/>
  <c r="C86" i="12" s="1"/>
  <c r="I85" i="14"/>
  <c r="C85" i="12" s="1"/>
  <c r="I84" i="14"/>
  <c r="C84" i="12" s="1"/>
  <c r="I83" i="14"/>
  <c r="I82" i="14"/>
  <c r="C82" i="12" s="1"/>
  <c r="I81" i="14"/>
  <c r="C81" i="12" s="1"/>
  <c r="I80" i="14"/>
  <c r="C80" i="12" s="1"/>
  <c r="I79" i="14"/>
  <c r="C79" i="12" s="1"/>
  <c r="I78" i="14"/>
  <c r="C78" i="12" s="1"/>
  <c r="I77" i="14"/>
  <c r="C77" i="12" s="1"/>
  <c r="I76" i="14"/>
  <c r="C76" i="12" s="1"/>
  <c r="I75" i="14"/>
  <c r="C75" i="12" s="1"/>
  <c r="I74" i="14"/>
  <c r="C74" i="12" s="1"/>
  <c r="I73" i="14"/>
  <c r="C73" i="12" s="1"/>
  <c r="I72" i="14"/>
  <c r="C72" i="12" s="1"/>
  <c r="I71" i="14"/>
  <c r="C71" i="12" s="1"/>
  <c r="I70" i="14"/>
  <c r="C70" i="12" s="1"/>
  <c r="I69" i="14"/>
  <c r="C69" i="12" s="1"/>
  <c r="I68" i="14"/>
  <c r="I67" i="14"/>
  <c r="C67" i="12" s="1"/>
  <c r="I66" i="14"/>
  <c r="C66" i="12" s="1"/>
  <c r="I65" i="14"/>
  <c r="C65" i="12" s="1"/>
  <c r="I64" i="14"/>
  <c r="C64" i="12" s="1"/>
  <c r="I63" i="14"/>
  <c r="C63" i="12" s="1"/>
  <c r="I62" i="14"/>
  <c r="C62" i="12" s="1"/>
  <c r="I61" i="14"/>
  <c r="C61" i="12" s="1"/>
  <c r="I60" i="14"/>
  <c r="C60" i="12" s="1"/>
  <c r="I59" i="14"/>
  <c r="C59" i="12" s="1"/>
  <c r="I58" i="14"/>
  <c r="C58" i="12" s="1"/>
  <c r="I57" i="14"/>
  <c r="C57" i="12" s="1"/>
  <c r="I56" i="14"/>
  <c r="C56" i="12" s="1"/>
  <c r="I55" i="14"/>
  <c r="C55" i="12" s="1"/>
  <c r="I54" i="14"/>
  <c r="C54" i="12" s="1"/>
  <c r="I53" i="14"/>
  <c r="C53" i="12" s="1"/>
  <c r="I52" i="14"/>
  <c r="C52" i="12" s="1"/>
  <c r="I51" i="14"/>
  <c r="C51" i="12" s="1"/>
  <c r="I50" i="14"/>
  <c r="C50" i="12" s="1"/>
  <c r="I49" i="14"/>
  <c r="C49" i="12" s="1"/>
  <c r="I48" i="14"/>
  <c r="C48" i="12" s="1"/>
  <c r="I47" i="14"/>
  <c r="C47" i="12" s="1"/>
  <c r="I46" i="14"/>
  <c r="C46" i="12" s="1"/>
  <c r="I45" i="14"/>
  <c r="C45" i="12" s="1"/>
  <c r="I44" i="14"/>
  <c r="C44" i="12" s="1"/>
  <c r="I43" i="14"/>
  <c r="C43" i="12" s="1"/>
  <c r="I42" i="14"/>
  <c r="I41" i="14"/>
  <c r="C41" i="12" s="1"/>
  <c r="I40" i="14"/>
  <c r="C40" i="12" s="1"/>
  <c r="I39" i="14"/>
  <c r="C39" i="12" s="1"/>
  <c r="I38" i="14"/>
  <c r="C38" i="12" s="1"/>
  <c r="I37" i="14"/>
  <c r="C37" i="12" s="1"/>
  <c r="I33" i="14"/>
  <c r="C33" i="12" s="1"/>
  <c r="I32" i="14"/>
  <c r="C32" i="12" s="1"/>
  <c r="I30" i="14"/>
  <c r="C30" i="12" s="1"/>
  <c r="I29" i="14"/>
  <c r="I28" i="14"/>
  <c r="C28" i="12" s="1"/>
  <c r="I27" i="14"/>
  <c r="C27" i="12" s="1"/>
  <c r="I26" i="14"/>
  <c r="C26" i="12" s="1"/>
  <c r="I25" i="14"/>
  <c r="C25" i="12" s="1"/>
  <c r="I24" i="14"/>
  <c r="C24" i="12" s="1"/>
  <c r="D24" i="12" s="1"/>
  <c r="I23" i="14"/>
  <c r="C23" i="12" s="1"/>
  <c r="I22" i="14"/>
  <c r="C22" i="12" s="1"/>
  <c r="I21" i="14"/>
  <c r="C21" i="12" s="1"/>
  <c r="I20" i="14"/>
  <c r="C20" i="12" s="1"/>
  <c r="I19" i="14"/>
  <c r="C19" i="12" s="1"/>
  <c r="I18" i="14"/>
  <c r="C18" i="12" s="1"/>
  <c r="I17" i="14"/>
  <c r="I16" i="14"/>
  <c r="I15" i="14"/>
  <c r="I14" i="14"/>
  <c r="I13" i="14"/>
  <c r="I12" i="14"/>
  <c r="I11" i="14"/>
  <c r="I10" i="14"/>
  <c r="I9" i="14"/>
  <c r="I8" i="14"/>
  <c r="I7" i="14"/>
  <c r="I6" i="14"/>
  <c r="I5" i="14"/>
  <c r="I36" i="14"/>
  <c r="C36" i="12" s="1"/>
  <c r="I35" i="14"/>
  <c r="C35" i="12" s="1"/>
  <c r="I31" i="14"/>
  <c r="C31" i="12" s="1"/>
  <c r="I34" i="14"/>
  <c r="AR29" i="12"/>
  <c r="I4" i="14"/>
  <c r="C29" i="12" l="1"/>
  <c r="C34" i="12"/>
  <c r="C68" i="12"/>
  <c r="C42" i="12"/>
  <c r="C83" i="12"/>
  <c r="C16" i="12"/>
  <c r="C13" i="12"/>
  <c r="C11" i="12"/>
  <c r="C4" i="12"/>
  <c r="D4" i="12" s="1"/>
  <c r="C14" i="12"/>
  <c r="C10" i="12"/>
  <c r="C9" i="12"/>
  <c r="C15" i="12"/>
  <c r="C6" i="12"/>
  <c r="C12" i="12"/>
  <c r="C5" i="12"/>
  <c r="C7" i="12"/>
  <c r="C8" i="12"/>
  <c r="C17" i="12"/>
  <c r="L2" i="14"/>
  <c r="D6" i="12" l="1"/>
  <c r="D7" i="12"/>
  <c r="D30" i="12"/>
  <c r="D46" i="12"/>
  <c r="D29" i="12"/>
  <c r="D17" i="12"/>
  <c r="D38" i="12"/>
  <c r="D45" i="12"/>
  <c r="D19" i="12"/>
  <c r="D33" i="12"/>
  <c r="D41" i="12"/>
  <c r="D50" i="12"/>
  <c r="D10" i="12"/>
  <c r="D8" i="12"/>
  <c r="D12" i="12"/>
  <c r="D21" i="12"/>
  <c r="D34" i="12"/>
  <c r="D42" i="12"/>
  <c r="D89" i="12"/>
  <c r="D14" i="12"/>
  <c r="D13" i="12"/>
  <c r="D27" i="12"/>
  <c r="D37" i="12"/>
  <c r="D87" i="12"/>
  <c r="D49" i="12"/>
  <c r="D93" i="12"/>
  <c r="D75" i="12"/>
  <c r="D18" i="12"/>
  <c r="D9" i="12"/>
  <c r="D20" i="12"/>
  <c r="D16" i="12"/>
  <c r="D26" i="12"/>
  <c r="D31" i="12"/>
  <c r="D35" i="12"/>
  <c r="D39" i="12"/>
  <c r="D43" i="12"/>
  <c r="D47" i="12"/>
  <c r="D59" i="12"/>
  <c r="D15" i="12"/>
  <c r="D11" i="12"/>
  <c r="D5" i="12"/>
  <c r="D22" i="12"/>
  <c r="D28" i="12"/>
  <c r="D25" i="12"/>
  <c r="D32" i="12"/>
  <c r="D36" i="12"/>
  <c r="D40" i="12"/>
  <c r="D44" i="12"/>
  <c r="D48" i="12"/>
  <c r="D63" i="12"/>
  <c r="D79" i="12"/>
  <c r="D51" i="12"/>
  <c r="D67" i="12"/>
  <c r="D83" i="12"/>
  <c r="D55" i="12"/>
  <c r="D71" i="12"/>
  <c r="D52" i="12"/>
  <c r="D56" i="12"/>
  <c r="D60" i="12"/>
  <c r="D64" i="12"/>
  <c r="D68" i="12"/>
  <c r="D72" i="12"/>
  <c r="D76" i="12"/>
  <c r="D80" i="12"/>
  <c r="D84" i="12"/>
  <c r="D90" i="12"/>
  <c r="D53" i="12"/>
  <c r="D57" i="12"/>
  <c r="D61" i="12"/>
  <c r="D65" i="12"/>
  <c r="D69" i="12"/>
  <c r="D73" i="12"/>
  <c r="D77" i="12"/>
  <c r="D81" i="12"/>
  <c r="D85" i="12"/>
  <c r="D91" i="12"/>
  <c r="D54" i="12"/>
  <c r="D58" i="12"/>
  <c r="D62" i="12"/>
  <c r="D66" i="12"/>
  <c r="D70" i="12"/>
  <c r="D74" i="12"/>
  <c r="D78" i="12"/>
  <c r="D82" i="12"/>
  <c r="D86" i="12"/>
  <c r="D94" i="12"/>
  <c r="D88" i="12"/>
  <c r="D92" i="12"/>
  <c r="D96" i="12" l="1"/>
</calcChain>
</file>

<file path=xl/sharedStrings.xml><?xml version="1.0" encoding="utf-8"?>
<sst xmlns="http://schemas.openxmlformats.org/spreadsheetml/2006/main" count="2362" uniqueCount="66">
  <si>
    <t>工作区</t>
  </si>
  <si>
    <t>使用方法：按自己规划的路线，将下表中的地块名复制粘贴至工作区。初次使用传送门，当天跳步次数+5。重复使用传送门，当天跳步次数+1</t>
  </si>
  <si>
    <t>version 5.1.00</t>
  </si>
  <si>
    <t>合计经验</t>
  </si>
  <si>
    <t>队伍一 火</t>
  </si>
  <si>
    <t>步数</t>
  </si>
  <si>
    <t>(不算跳步和传送)</t>
  </si>
  <si>
    <t>队伍二 雷</t>
  </si>
  <si>
    <t>队伍三</t>
  </si>
  <si>
    <t>总步数</t>
  </si>
  <si>
    <t>八卦全开</t>
  </si>
  <si>
    <t>粮草系数</t>
  </si>
  <si>
    <t>日期</t>
  </si>
  <si>
    <t>获得粮草</t>
  </si>
  <si>
    <t>消耗粮草</t>
  </si>
  <si>
    <t>剩余粮草</t>
  </si>
  <si>
    <t>获得经验</t>
  </si>
  <si>
    <t>累计经验</t>
  </si>
  <si>
    <t>任务经验</t>
  </si>
  <si>
    <t>跳步次数</t>
  </si>
  <si>
    <t>1队跳步</t>
  </si>
  <si>
    <t>2队跳步</t>
  </si>
  <si>
    <t>3队跳步</t>
  </si>
  <si>
    <t>地块</t>
  </si>
  <si>
    <t>粮草</t>
  </si>
  <si>
    <t>经验</t>
  </si>
  <si>
    <t>一队地块</t>
  </si>
  <si>
    <t>二队地块</t>
  </si>
  <si>
    <t>三队地块</t>
  </si>
  <si>
    <t>总地块</t>
  </si>
  <si>
    <t>一队经验</t>
  </si>
  <si>
    <t>二队经验</t>
  </si>
  <si>
    <t>三队经验</t>
  </si>
  <si>
    <t>八卦前</t>
  </si>
  <si>
    <t>1级</t>
  </si>
  <si>
    <t>空</t>
  </si>
  <si>
    <t>否</t>
  </si>
  <si>
    <t>八卦后</t>
  </si>
  <si>
    <t>2级</t>
  </si>
  <si>
    <t>Note：开完八卦当天可能需要手动计算粮草</t>
  </si>
  <si>
    <t>商人</t>
  </si>
  <si>
    <t>3级</t>
  </si>
  <si>
    <t>塔2</t>
  </si>
  <si>
    <t>4级</t>
  </si>
  <si>
    <t>艮震巽坎乾</t>
  </si>
  <si>
    <t>5级</t>
  </si>
  <si>
    <t>6级</t>
  </si>
  <si>
    <t>塔1</t>
  </si>
  <si>
    <t>营地</t>
  </si>
  <si>
    <t>离兑坤</t>
  </si>
  <si>
    <t>塔3</t>
  </si>
  <si>
    <t>塔4</t>
  </si>
  <si>
    <t>塔5</t>
  </si>
  <si>
    <t>塔6</t>
  </si>
  <si>
    <t>遗迹</t>
  </si>
  <si>
    <t>是</t>
  </si>
  <si>
    <t>小boss</t>
  </si>
  <si>
    <t>大boss</t>
  </si>
  <si>
    <t>中boss</t>
  </si>
  <si>
    <t>奈良</t>
  </si>
  <si>
    <t>山中</t>
  </si>
  <si>
    <t>秋道</t>
  </si>
  <si>
    <t>营地+</t>
  </si>
  <si>
    <t>总经验</t>
  </si>
  <si>
    <t>负粮草</t>
  </si>
  <si>
    <t>队伍一 风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</si>
</sst>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charset val="134"/>
      <scheme val="minor"/>
    </font>
    <font>
      <b/>
      <sz val="11"/>
      <color theme="1"/>
      <name val="Calibri"/>
      <family val="3"/>
      <charset val="134"/>
      <scheme val="minor"/>
    </font>
    <font>
      <sz val="11"/>
      <color theme="1" tint="4.9989318521683403E-2"/>
      <name val="Calibri"/>
      <family val="3"/>
      <charset val="134"/>
      <scheme val="minor"/>
    </font>
    <font>
      <b/>
      <sz val="18"/>
      <color theme="1"/>
      <name val="Calibri"/>
      <family val="3"/>
      <charset val="134"/>
      <scheme val="minor"/>
    </font>
    <font>
      <b/>
      <sz val="12"/>
      <color rgb="FFC00000"/>
      <name val="Calibri"/>
      <family val="3"/>
      <charset val="134"/>
      <scheme val="minor"/>
    </font>
    <font>
      <sz val="11"/>
      <color rgb="FFFF0000"/>
      <name val="Calibri"/>
      <family val="3"/>
      <charset val="134"/>
      <scheme val="minor"/>
    </font>
    <font>
      <sz val="9"/>
      <name val="Calibri"/>
      <family val="3"/>
      <charset val="134"/>
      <scheme val="minor"/>
    </font>
    <font>
      <sz val="11"/>
      <color theme="0" tint="-0.499984740745262"/>
      <name val="Calibri"/>
      <family val="3"/>
      <charset val="134"/>
      <scheme val="minor"/>
    </font>
    <font>
      <b/>
      <sz val="11"/>
      <color theme="0" tint="-0.499984740745262"/>
      <name val="Calibri"/>
      <family val="3"/>
      <charset val="134"/>
      <scheme val="minor"/>
    </font>
    <font>
      <b/>
      <sz val="11"/>
      <color theme="1"/>
      <name val="Calibri"/>
      <family val="2"/>
      <scheme val="minor"/>
    </font>
    <font>
      <sz val="11"/>
      <color theme="0" tint="-0.34998626667073579"/>
      <name val="Calibri"/>
      <family val="2"/>
      <scheme val="minor"/>
    </font>
    <font>
      <b/>
      <sz val="11"/>
      <color theme="0" tint="-0.34998626667073579"/>
      <name val="Calibri"/>
      <family val="2"/>
      <scheme val="minor"/>
    </font>
  </fonts>
  <fills count="25">
    <fill>
      <patternFill patternType="none"/>
    </fill>
    <fill>
      <patternFill patternType="gray125"/>
    </fill>
    <fill>
      <patternFill patternType="solid">
        <fgColor theme="5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24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lightGrid">
        <fgColor theme="4" tint="-0.24994659260841701"/>
        <bgColor indexed="65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darkGray">
        <fgColor theme="9" tint="0.39991454817346722"/>
        <bgColor indexed="65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CC66FF"/>
        <bgColor indexed="64"/>
      </patternFill>
    </fill>
    <fill>
      <patternFill patternType="lightDown">
        <fgColor rgb="FFFF0000"/>
      </patternFill>
    </fill>
    <fill>
      <patternFill patternType="solid">
        <fgColor rgb="FFFFCCFF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14999847407452621"/>
        <bgColor indexed="64"/>
      </patternFill>
    </fill>
  </fills>
  <borders count="1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117">
    <xf numFmtId="0" fontId="0" fillId="0" borderId="0" xfId="0"/>
    <xf numFmtId="0" fontId="1" fillId="2" borderId="2" xfId="0" applyFont="1" applyFill="1" applyBorder="1" applyAlignment="1">
      <alignment horizontal="center"/>
    </xf>
    <xf numFmtId="0" fontId="0" fillId="2" borderId="4" xfId="0" applyFill="1" applyBorder="1"/>
    <xf numFmtId="0" fontId="0" fillId="2" borderId="0" xfId="0" applyFill="1" applyBorder="1"/>
    <xf numFmtId="0" fontId="2" fillId="0" borderId="0" xfId="0" applyFont="1" applyFill="1" applyBorder="1"/>
    <xf numFmtId="0" fontId="2" fillId="3" borderId="0" xfId="0" applyFont="1" applyFill="1" applyBorder="1"/>
    <xf numFmtId="0" fontId="1" fillId="4" borderId="2" xfId="0" applyFont="1" applyFill="1" applyBorder="1" applyAlignment="1">
      <alignment horizontal="center"/>
    </xf>
    <xf numFmtId="0" fontId="0" fillId="4" borderId="4" xfId="0" applyFill="1" applyBorder="1"/>
    <xf numFmtId="0" fontId="0" fillId="4" borderId="0" xfId="0" applyFill="1" applyBorder="1"/>
    <xf numFmtId="0" fontId="1" fillId="5" borderId="2" xfId="0" applyFont="1" applyFill="1" applyBorder="1" applyAlignment="1">
      <alignment horizontal="center"/>
    </xf>
    <xf numFmtId="0" fontId="1" fillId="5" borderId="2" xfId="0" applyFont="1" applyFill="1" applyBorder="1" applyAlignment="1"/>
    <xf numFmtId="0" fontId="0" fillId="5" borderId="4" xfId="0" applyFill="1" applyBorder="1"/>
    <xf numFmtId="0" fontId="0" fillId="5" borderId="0" xfId="0" applyFill="1" applyBorder="1"/>
    <xf numFmtId="0" fontId="0" fillId="5" borderId="5" xfId="0" applyFill="1" applyBorder="1"/>
    <xf numFmtId="10" fontId="0" fillId="0" borderId="0" xfId="0" applyNumberFormat="1"/>
    <xf numFmtId="0" fontId="0" fillId="3" borderId="0" xfId="0" applyFill="1" applyAlignment="1">
      <alignment horizontal="center" vertical="center" wrapText="1"/>
    </xf>
    <xf numFmtId="0" fontId="0" fillId="3" borderId="0" xfId="0" applyFill="1" applyAlignment="1">
      <alignment wrapText="1"/>
    </xf>
    <xf numFmtId="0" fontId="0" fillId="7" borderId="12" xfId="0" applyFill="1" applyBorder="1" applyAlignment="1">
      <alignment wrapText="1"/>
    </xf>
    <xf numFmtId="14" fontId="0" fillId="0" borderId="0" xfId="0" applyNumberFormat="1" applyFill="1"/>
    <xf numFmtId="0" fontId="2" fillId="3" borderId="0" xfId="0" applyFont="1" applyFill="1"/>
    <xf numFmtId="0" fontId="5" fillId="3" borderId="0" xfId="0" applyFont="1" applyFill="1"/>
    <xf numFmtId="0" fontId="2" fillId="0" borderId="0" xfId="0" applyFont="1"/>
    <xf numFmtId="0" fontId="5" fillId="0" borderId="0" xfId="0" applyFont="1"/>
    <xf numFmtId="0" fontId="1" fillId="9" borderId="13" xfId="0" applyFont="1" applyFill="1" applyBorder="1"/>
    <xf numFmtId="0" fontId="0" fillId="10" borderId="13" xfId="0" applyFont="1" applyFill="1" applyBorder="1" applyAlignment="1">
      <alignment vertical="top"/>
    </xf>
    <xf numFmtId="0" fontId="1" fillId="11" borderId="13" xfId="0" applyFont="1" applyFill="1" applyBorder="1"/>
    <xf numFmtId="0" fontId="0" fillId="0" borderId="0" xfId="0" applyFont="1"/>
    <xf numFmtId="0" fontId="0" fillId="12" borderId="5" xfId="0" applyFill="1" applyBorder="1"/>
    <xf numFmtId="0" fontId="0" fillId="13" borderId="13" xfId="0" applyFont="1" applyFill="1" applyBorder="1" applyAlignment="1">
      <alignment vertical="top"/>
    </xf>
    <xf numFmtId="0" fontId="1" fillId="14" borderId="13" xfId="0" applyFont="1" applyFill="1" applyBorder="1"/>
    <xf numFmtId="0" fontId="0" fillId="12" borderId="5" xfId="0" applyFont="1" applyFill="1" applyBorder="1"/>
    <xf numFmtId="0" fontId="1" fillId="10" borderId="14" xfId="0" applyFont="1" applyFill="1" applyBorder="1" applyAlignment="1">
      <alignment horizontal="center" wrapText="1"/>
    </xf>
    <xf numFmtId="0" fontId="1" fillId="15" borderId="15" xfId="0" applyFont="1" applyFill="1" applyBorder="1" applyAlignment="1">
      <alignment horizontal="center"/>
    </xf>
    <xf numFmtId="0" fontId="0" fillId="6" borderId="0" xfId="0" applyFill="1" applyBorder="1" applyAlignment="1">
      <alignment horizontal="center" vertical="center"/>
    </xf>
    <xf numFmtId="0" fontId="1" fillId="10" borderId="15" xfId="0" applyFont="1" applyFill="1" applyBorder="1" applyAlignment="1">
      <alignment wrapText="1"/>
    </xf>
    <xf numFmtId="0" fontId="1" fillId="0" borderId="0" xfId="0" applyFont="1"/>
    <xf numFmtId="0" fontId="0" fillId="0" borderId="13" xfId="0" applyBorder="1"/>
    <xf numFmtId="0" fontId="0" fillId="0" borderId="15" xfId="0" applyBorder="1"/>
    <xf numFmtId="0" fontId="0" fillId="8" borderId="13" xfId="0" applyFont="1" applyFill="1" applyBorder="1" applyAlignment="1">
      <alignment vertical="top"/>
    </xf>
    <xf numFmtId="0" fontId="0" fillId="16" borderId="13" xfId="0" applyFont="1" applyFill="1" applyBorder="1" applyAlignment="1">
      <alignment vertical="top"/>
    </xf>
    <xf numFmtId="0" fontId="0" fillId="17" borderId="13" xfId="0" applyFont="1" applyFill="1" applyBorder="1" applyAlignment="1">
      <alignment vertical="top"/>
    </xf>
    <xf numFmtId="0" fontId="0" fillId="2" borderId="13" xfId="0" applyFont="1" applyFill="1" applyBorder="1" applyAlignment="1">
      <alignment vertical="top"/>
    </xf>
    <xf numFmtId="0" fontId="1" fillId="18" borderId="13" xfId="0" applyFont="1" applyFill="1" applyBorder="1"/>
    <xf numFmtId="0" fontId="0" fillId="0" borderId="13" xfId="0" applyFill="1" applyBorder="1"/>
    <xf numFmtId="0" fontId="0" fillId="11" borderId="4" xfId="0" applyFill="1" applyBorder="1"/>
    <xf numFmtId="0" fontId="1" fillId="19" borderId="13" xfId="0" applyFont="1" applyFill="1" applyBorder="1"/>
    <xf numFmtId="0" fontId="1" fillId="20" borderId="13" xfId="0" applyFont="1" applyFill="1" applyBorder="1"/>
    <xf numFmtId="0" fontId="1" fillId="21" borderId="13" xfId="0" applyFont="1" applyFill="1" applyBorder="1"/>
    <xf numFmtId="0" fontId="1" fillId="5" borderId="13" xfId="0" applyFont="1" applyFill="1" applyBorder="1"/>
    <xf numFmtId="0" fontId="1" fillId="0" borderId="13" xfId="0" applyFont="1" applyBorder="1"/>
    <xf numFmtId="0" fontId="0" fillId="11" borderId="9" xfId="0" applyFill="1" applyBorder="1"/>
    <xf numFmtId="0" fontId="0" fillId="11" borderId="1" xfId="0" applyFill="1" applyBorder="1"/>
    <xf numFmtId="0" fontId="0" fillId="2" borderId="13" xfId="0" applyFill="1" applyBorder="1"/>
    <xf numFmtId="0" fontId="0" fillId="4" borderId="13" xfId="0" applyFill="1" applyBorder="1"/>
    <xf numFmtId="0" fontId="0" fillId="5" borderId="13" xfId="0" applyFill="1" applyBorder="1"/>
    <xf numFmtId="0" fontId="0" fillId="8" borderId="13" xfId="0" applyFill="1" applyBorder="1"/>
    <xf numFmtId="0" fontId="0" fillId="11" borderId="0" xfId="0" applyFill="1" applyBorder="1"/>
    <xf numFmtId="0" fontId="0" fillId="0" borderId="0" xfId="0" applyBorder="1"/>
    <xf numFmtId="0" fontId="0" fillId="0" borderId="0" xfId="0" applyFill="1" applyBorder="1"/>
    <xf numFmtId="0" fontId="0" fillId="11" borderId="3" xfId="0" applyFill="1" applyBorder="1"/>
    <xf numFmtId="0" fontId="0" fillId="11" borderId="5" xfId="0" applyFill="1" applyBorder="1"/>
    <xf numFmtId="0" fontId="0" fillId="3" borderId="0" xfId="0" applyFill="1"/>
    <xf numFmtId="0" fontId="0" fillId="0" borderId="17" xfId="0" applyBorder="1"/>
    <xf numFmtId="0" fontId="7" fillId="8" borderId="13" xfId="0" applyFont="1" applyFill="1" applyBorder="1" applyAlignment="1">
      <alignment vertical="top"/>
    </xf>
    <xf numFmtId="0" fontId="7" fillId="0" borderId="0" xfId="0" applyFont="1"/>
    <xf numFmtId="0" fontId="7" fillId="0" borderId="13" xfId="0" applyFont="1" applyBorder="1"/>
    <xf numFmtId="0" fontId="7" fillId="0" borderId="0" xfId="0" applyFont="1" applyBorder="1"/>
    <xf numFmtId="0" fontId="7" fillId="11" borderId="10" xfId="0" applyFont="1" applyFill="1" applyBorder="1"/>
    <xf numFmtId="0" fontId="7" fillId="11" borderId="11" xfId="0" applyFont="1" applyFill="1" applyBorder="1"/>
    <xf numFmtId="0" fontId="7" fillId="13" borderId="13" xfId="0" applyFont="1" applyFill="1" applyBorder="1" applyAlignment="1">
      <alignment vertical="top"/>
    </xf>
    <xf numFmtId="0" fontId="7" fillId="10" borderId="13" xfId="0" applyFont="1" applyFill="1" applyBorder="1" applyAlignment="1">
      <alignment vertical="top"/>
    </xf>
    <xf numFmtId="0" fontId="10" fillId="0" borderId="0" xfId="0" applyFont="1"/>
    <xf numFmtId="0" fontId="10" fillId="12" borderId="5" xfId="0" applyFont="1" applyFill="1" applyBorder="1"/>
    <xf numFmtId="0" fontId="11" fillId="15" borderId="15" xfId="0" applyFont="1" applyFill="1" applyBorder="1" applyAlignment="1">
      <alignment horizontal="center"/>
    </xf>
    <xf numFmtId="0" fontId="9" fillId="22" borderId="14" xfId="0" applyFont="1" applyFill="1" applyBorder="1" applyAlignment="1">
      <alignment horizontal="center" wrapText="1"/>
    </xf>
    <xf numFmtId="0" fontId="9" fillId="22" borderId="14" xfId="0" applyFont="1" applyFill="1" applyBorder="1" applyAlignment="1">
      <alignment wrapText="1"/>
    </xf>
    <xf numFmtId="0" fontId="9" fillId="22" borderId="15" xfId="0" applyFont="1" applyFill="1" applyBorder="1" applyAlignment="1">
      <alignment wrapText="1"/>
    </xf>
    <xf numFmtId="0" fontId="0" fillId="11" borderId="14" xfId="0" applyFill="1" applyBorder="1" applyAlignment="1">
      <alignment horizontal="center" wrapText="1"/>
    </xf>
    <xf numFmtId="0" fontId="0" fillId="11" borderId="15" xfId="0" applyFill="1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16" xfId="0" applyBorder="1" applyAlignment="1">
      <alignment horizontal="center" wrapText="1"/>
    </xf>
    <xf numFmtId="10" fontId="0" fillId="0" borderId="6" xfId="0" applyNumberFormat="1" applyBorder="1" applyAlignment="1">
      <alignment horizontal="center"/>
    </xf>
    <xf numFmtId="10" fontId="0" fillId="0" borderId="7" xfId="0" applyNumberFormat="1" applyBorder="1" applyAlignment="1">
      <alignment horizontal="center"/>
    </xf>
    <xf numFmtId="10" fontId="0" fillId="0" borderId="8" xfId="0" applyNumberFormat="1" applyBorder="1" applyAlignment="1">
      <alignment horizontal="center"/>
    </xf>
    <xf numFmtId="0" fontId="3" fillId="6" borderId="6" xfId="0" applyFont="1" applyFill="1" applyBorder="1" applyAlignment="1">
      <alignment horizontal="center" vertical="center"/>
    </xf>
    <xf numFmtId="0" fontId="0" fillId="6" borderId="7" xfId="0" applyFill="1" applyBorder="1" applyAlignment="1">
      <alignment horizontal="center" vertical="center"/>
    </xf>
    <xf numFmtId="0" fontId="0" fillId="6" borderId="8" xfId="0" applyFill="1" applyBorder="1" applyAlignment="1">
      <alignment horizontal="center" vertical="center"/>
    </xf>
    <xf numFmtId="0" fontId="0" fillId="7" borderId="9" xfId="0" applyFill="1" applyBorder="1" applyAlignment="1">
      <alignment horizontal="center" vertical="center"/>
    </xf>
    <xf numFmtId="0" fontId="0" fillId="7" borderId="10" xfId="0" applyFill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0" fontId="4" fillId="7" borderId="1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14" fontId="7" fillId="23" borderId="0" xfId="0" applyNumberFormat="1" applyFont="1" applyFill="1"/>
    <xf numFmtId="14" fontId="0" fillId="23" borderId="0" xfId="0" applyNumberFormat="1" applyFill="1"/>
    <xf numFmtId="0" fontId="7" fillId="24" borderId="0" xfId="0" applyFont="1" applyFill="1"/>
    <xf numFmtId="0" fontId="10" fillId="24" borderId="0" xfId="0" applyFont="1" applyFill="1"/>
    <xf numFmtId="0" fontId="10" fillId="24" borderId="5" xfId="0" applyFont="1" applyFill="1" applyBorder="1"/>
    <xf numFmtId="0" fontId="7" fillId="24" borderId="5" xfId="0" applyFont="1" applyFill="1" applyBorder="1"/>
    <xf numFmtId="0" fontId="11" fillId="24" borderId="15" xfId="0" applyFont="1" applyFill="1" applyBorder="1" applyAlignment="1">
      <alignment horizontal="center"/>
    </xf>
    <xf numFmtId="0" fontId="8" fillId="24" borderId="15" xfId="0" applyFont="1" applyFill="1" applyBorder="1" applyAlignment="1">
      <alignment horizontal="center"/>
    </xf>
    <xf numFmtId="0" fontId="7" fillId="24" borderId="15" xfId="0" applyFont="1" applyFill="1" applyBorder="1"/>
    <xf numFmtId="0" fontId="2" fillId="24" borderId="0" xfId="0" applyFont="1" applyFill="1"/>
    <xf numFmtId="0" fontId="5" fillId="24" borderId="0" xfId="0" applyFont="1" applyFill="1"/>
    <xf numFmtId="0" fontId="0" fillId="24" borderId="0" xfId="0" applyFont="1" applyFill="1"/>
    <xf numFmtId="0" fontId="0" fillId="24" borderId="5" xfId="0" applyFont="1" applyFill="1" applyBorder="1"/>
    <xf numFmtId="0" fontId="1" fillId="24" borderId="15" xfId="0" applyFont="1" applyFill="1" applyBorder="1" applyAlignment="1">
      <alignment horizontal="center"/>
    </xf>
    <xf numFmtId="0" fontId="0" fillId="24" borderId="15" xfId="0" applyFill="1" applyBorder="1"/>
    <xf numFmtId="0" fontId="0" fillId="24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243"/>
      <color rgb="FFFFCC00"/>
      <color rgb="FFFFCCFF"/>
      <color rgb="FF99FFCC"/>
      <color rgb="FFFF99FF"/>
      <color rgb="FFCC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96"/>
  <sheetViews>
    <sheetView tabSelected="1" zoomScaleNormal="100" workbookViewId="0">
      <pane ySplit="3" topLeftCell="A25" activePane="bottomLeft" state="frozen"/>
      <selection pane="bottomLeft" activeCell="J30" sqref="J30"/>
    </sheetView>
  </sheetViews>
  <sheetFormatPr defaultColWidth="9" defaultRowHeight="15"/>
  <cols>
    <col min="1" max="1" width="11.85546875" customWidth="1"/>
    <col min="2" max="2" width="9" customWidth="1"/>
    <col min="3" max="3" width="5.7109375" customWidth="1"/>
    <col min="4" max="4" width="6.42578125" customWidth="1"/>
    <col min="5" max="5" width="5.7109375" customWidth="1"/>
    <col min="6" max="6" width="6.5703125" customWidth="1"/>
    <col min="7" max="7" width="5" customWidth="1"/>
    <col min="8" max="14" width="7.28515625" customWidth="1"/>
    <col min="15" max="15" width="7.140625" customWidth="1"/>
    <col min="16" max="23" width="7.28515625" customWidth="1"/>
    <col min="24" max="31" width="7.28515625" hidden="1" customWidth="1"/>
    <col min="32" max="34" width="5.140625" customWidth="1"/>
    <col min="35" max="35" width="5.140625" hidden="1" customWidth="1"/>
    <col min="36" max="36" width="5.140625" customWidth="1"/>
  </cols>
  <sheetData>
    <row r="1" spans="1:51" ht="28.15" customHeight="1" thickBot="1">
      <c r="A1" s="82">
        <f ca="1">(_xlfn.DAYS(TODAY(),A4)+1)/((_xlfn.DAYS(A94,A4))+1)</f>
        <v>0.21978021978021978</v>
      </c>
      <c r="B1" s="83"/>
      <c r="C1" s="83"/>
      <c r="D1" s="83"/>
      <c r="E1" s="83"/>
      <c r="F1" s="83"/>
      <c r="G1" s="84"/>
      <c r="H1" s="85" t="s">
        <v>0</v>
      </c>
      <c r="I1" s="86"/>
      <c r="J1" s="86"/>
      <c r="K1" s="86"/>
      <c r="L1" s="86"/>
      <c r="M1" s="86"/>
      <c r="N1" s="86"/>
      <c r="O1" s="86"/>
      <c r="P1" s="86"/>
      <c r="Q1" s="86"/>
      <c r="R1" s="86"/>
      <c r="S1" s="86"/>
      <c r="T1" s="86"/>
      <c r="U1" s="86"/>
      <c r="V1" s="86"/>
      <c r="W1" s="86"/>
      <c r="X1" s="86"/>
      <c r="Y1" s="86"/>
      <c r="Z1" s="86"/>
      <c r="AA1" s="86"/>
      <c r="AB1" s="86"/>
      <c r="AC1" s="86"/>
      <c r="AD1" s="86"/>
      <c r="AE1" s="86"/>
      <c r="AF1" s="87"/>
      <c r="AG1" s="33"/>
      <c r="AH1" s="33"/>
      <c r="AI1" s="33"/>
      <c r="AL1" s="80" t="s">
        <v>1</v>
      </c>
      <c r="AM1" s="80"/>
      <c r="AN1" s="80"/>
    </row>
    <row r="2" spans="1:51" ht="16.149999999999999" customHeight="1" thickBot="1">
      <c r="A2" t="s">
        <v>2</v>
      </c>
      <c r="B2" s="14"/>
      <c r="C2" s="88" t="s">
        <v>3</v>
      </c>
      <c r="D2" s="89"/>
      <c r="E2" s="90">
        <f>SUM(E4:E94)+SUM(G4:G94)</f>
        <v>7000</v>
      </c>
      <c r="F2" s="90"/>
      <c r="G2" s="91"/>
      <c r="H2" s="92" t="s">
        <v>4</v>
      </c>
      <c r="I2" s="93"/>
      <c r="J2" s="1" t="s">
        <v>5</v>
      </c>
      <c r="K2" s="1">
        <f>COUNTIF(H4:O94,"&lt;&gt;空")</f>
        <v>0</v>
      </c>
      <c r="L2" s="93" t="s">
        <v>6</v>
      </c>
      <c r="M2" s="93"/>
      <c r="N2" s="93"/>
      <c r="O2" s="94"/>
      <c r="P2" s="95" t="s">
        <v>7</v>
      </c>
      <c r="Q2" s="96"/>
      <c r="R2" s="6" t="s">
        <v>5</v>
      </c>
      <c r="S2" s="6">
        <f>COUNTIF(P4:W94,"&lt;&gt;空")</f>
        <v>0</v>
      </c>
      <c r="T2" s="96" t="s">
        <v>6</v>
      </c>
      <c r="U2" s="96"/>
      <c r="V2" s="96"/>
      <c r="W2" s="97"/>
      <c r="X2" s="98" t="s">
        <v>8</v>
      </c>
      <c r="Y2" s="99"/>
      <c r="Z2" s="10" t="s">
        <v>9</v>
      </c>
      <c r="AA2" s="9">
        <f>COUNTIF(X4:AE94,"&lt;&gt;空")</f>
        <v>0</v>
      </c>
      <c r="AB2" s="99" t="s">
        <v>6</v>
      </c>
      <c r="AC2" s="99"/>
      <c r="AD2" s="99"/>
      <c r="AE2" s="100"/>
      <c r="AF2" s="74">
        <f>SUM(AF4:AF94)</f>
        <v>0</v>
      </c>
      <c r="AG2" s="74">
        <f t="shared" ref="AG2" si="0">SUM(AG4:AG94)</f>
        <v>0</v>
      </c>
      <c r="AH2" s="74">
        <f>SUM(AH4:AH94)</f>
        <v>0</v>
      </c>
      <c r="AI2" s="31">
        <f t="shared" ref="AI2" si="1">SUM(AI4:AI94)</f>
        <v>0</v>
      </c>
      <c r="AJ2" s="77" t="s">
        <v>10</v>
      </c>
      <c r="AL2" s="81"/>
      <c r="AM2" s="81"/>
      <c r="AN2" s="81"/>
      <c r="AV2" s="51"/>
      <c r="AW2" s="59" t="s">
        <v>11</v>
      </c>
    </row>
    <row r="3" spans="1:51" ht="60.75" thickBot="1">
      <c r="A3" s="15" t="s">
        <v>12</v>
      </c>
      <c r="B3" s="16" t="s">
        <v>13</v>
      </c>
      <c r="C3" s="16" t="s">
        <v>14</v>
      </c>
      <c r="D3" s="16" t="s">
        <v>15</v>
      </c>
      <c r="E3" s="17" t="s">
        <v>16</v>
      </c>
      <c r="F3" s="17" t="s">
        <v>17</v>
      </c>
      <c r="G3" s="17" t="s">
        <v>18</v>
      </c>
      <c r="H3" s="2">
        <v>1</v>
      </c>
      <c r="I3" s="3">
        <v>2</v>
      </c>
      <c r="J3" s="3">
        <v>3</v>
      </c>
      <c r="K3" s="3">
        <v>4</v>
      </c>
      <c r="L3" s="3">
        <v>5</v>
      </c>
      <c r="M3" s="3">
        <v>6</v>
      </c>
      <c r="N3" s="3">
        <v>7</v>
      </c>
      <c r="O3" s="3">
        <v>8</v>
      </c>
      <c r="P3" s="7">
        <v>1</v>
      </c>
      <c r="Q3" s="8">
        <v>2</v>
      </c>
      <c r="R3" s="8">
        <v>3</v>
      </c>
      <c r="S3" s="8">
        <v>4</v>
      </c>
      <c r="T3" s="8">
        <v>5</v>
      </c>
      <c r="U3" s="8">
        <v>6</v>
      </c>
      <c r="V3" s="8">
        <v>7</v>
      </c>
      <c r="W3" s="8">
        <v>8</v>
      </c>
      <c r="X3" s="11">
        <v>1</v>
      </c>
      <c r="Y3" s="12">
        <v>2</v>
      </c>
      <c r="Z3" s="12">
        <v>3</v>
      </c>
      <c r="AA3" s="12">
        <v>4</v>
      </c>
      <c r="AB3" s="12">
        <v>5</v>
      </c>
      <c r="AC3" s="12">
        <v>6</v>
      </c>
      <c r="AD3" s="12">
        <v>7</v>
      </c>
      <c r="AE3" s="13">
        <v>8</v>
      </c>
      <c r="AF3" s="75" t="s">
        <v>19</v>
      </c>
      <c r="AG3" s="76" t="s">
        <v>20</v>
      </c>
      <c r="AH3" s="76" t="s">
        <v>21</v>
      </c>
      <c r="AI3" s="34" t="s">
        <v>22</v>
      </c>
      <c r="AJ3" s="78"/>
      <c r="AK3" s="35"/>
      <c r="AL3" s="36" t="s">
        <v>23</v>
      </c>
      <c r="AM3" s="36" t="s">
        <v>24</v>
      </c>
      <c r="AN3" s="36" t="s">
        <v>25</v>
      </c>
      <c r="AO3" s="52" t="s">
        <v>26</v>
      </c>
      <c r="AP3" s="53" t="s">
        <v>27</v>
      </c>
      <c r="AQ3" s="54" t="s">
        <v>28</v>
      </c>
      <c r="AR3" s="55" t="s">
        <v>29</v>
      </c>
      <c r="AS3" s="52" t="s">
        <v>30</v>
      </c>
      <c r="AT3" s="53" t="s">
        <v>31</v>
      </c>
      <c r="AU3" s="54" t="s">
        <v>32</v>
      </c>
      <c r="AV3" s="56" t="s">
        <v>33</v>
      </c>
      <c r="AW3" s="60">
        <v>1</v>
      </c>
    </row>
    <row r="4" spans="1:51" s="64" customFormat="1" ht="15.75" thickBot="1">
      <c r="A4" s="101">
        <v>44456</v>
      </c>
      <c r="B4" s="103">
        <v>800</v>
      </c>
      <c r="C4" s="103">
        <f>(SUM(粮草!A4:X4)+AF4*10)*IF(AJ4="是",$AW$4,$AW$3)</f>
        <v>0</v>
      </c>
      <c r="D4" s="103">
        <f>SUM($B$4:B4)-SUM($C$4:C4)</f>
        <v>800</v>
      </c>
      <c r="E4" s="103">
        <f>SUM(经验!A4:X4)</f>
        <v>0</v>
      </c>
      <c r="F4" s="103">
        <f>SUM($E$4:E4)+SUM($G$4:G4)</f>
        <v>0</v>
      </c>
      <c r="G4" s="103">
        <v>0</v>
      </c>
      <c r="H4" s="104" t="s">
        <v>35</v>
      </c>
      <c r="I4" s="104" t="s">
        <v>35</v>
      </c>
      <c r="J4" s="104" t="s">
        <v>35</v>
      </c>
      <c r="K4" s="104" t="s">
        <v>35</v>
      </c>
      <c r="L4" s="104" t="s">
        <v>35</v>
      </c>
      <c r="M4" s="104" t="s">
        <v>35</v>
      </c>
      <c r="N4" s="105" t="s">
        <v>35</v>
      </c>
      <c r="O4" s="105" t="s">
        <v>35</v>
      </c>
      <c r="P4" s="104" t="s">
        <v>35</v>
      </c>
      <c r="Q4" s="104" t="s">
        <v>35</v>
      </c>
      <c r="R4" s="104" t="s">
        <v>35</v>
      </c>
      <c r="S4" s="104" t="s">
        <v>35</v>
      </c>
      <c r="T4" s="104" t="s">
        <v>35</v>
      </c>
      <c r="U4" s="104" t="s">
        <v>35</v>
      </c>
      <c r="V4" s="105" t="s">
        <v>35</v>
      </c>
      <c r="W4" s="105" t="s">
        <v>35</v>
      </c>
      <c r="X4" s="103" t="s">
        <v>35</v>
      </c>
      <c r="Y4" s="103" t="s">
        <v>35</v>
      </c>
      <c r="Z4" s="103" t="s">
        <v>35</v>
      </c>
      <c r="AA4" s="103" t="s">
        <v>35</v>
      </c>
      <c r="AB4" s="103" t="s">
        <v>35</v>
      </c>
      <c r="AC4" s="103" t="s">
        <v>35</v>
      </c>
      <c r="AD4" s="106" t="s">
        <v>35</v>
      </c>
      <c r="AE4" s="106" t="s">
        <v>35</v>
      </c>
      <c r="AF4" s="107">
        <v>0</v>
      </c>
      <c r="AG4" s="107"/>
      <c r="AH4" s="107"/>
      <c r="AI4" s="108"/>
      <c r="AJ4" s="109" t="s">
        <v>36</v>
      </c>
      <c r="AL4" s="63" t="s">
        <v>34</v>
      </c>
      <c r="AM4" s="65">
        <v>150</v>
      </c>
      <c r="AN4" s="65">
        <v>35</v>
      </c>
      <c r="AO4" s="65">
        <f>COUNTIF($H$4:$O$94,AL4)</f>
        <v>0</v>
      </c>
      <c r="AP4" s="65">
        <f>COUNTIF($P$4:$W$94,AL4)</f>
        <v>0</v>
      </c>
      <c r="AQ4" s="65">
        <f>COUNTIF($X$4:$AE$94,AL4)</f>
        <v>0</v>
      </c>
      <c r="AR4" s="65">
        <f>AO4+AP4+AQ4</f>
        <v>0</v>
      </c>
      <c r="AS4" s="66">
        <f>AO4*$AN4</f>
        <v>0</v>
      </c>
      <c r="AT4" s="66">
        <f t="shared" ref="AT4:AU19" si="2">AP4*$AN4</f>
        <v>0</v>
      </c>
      <c r="AU4" s="66">
        <f t="shared" si="2"/>
        <v>0</v>
      </c>
      <c r="AV4" s="67" t="s">
        <v>37</v>
      </c>
      <c r="AW4" s="68">
        <v>0.8</v>
      </c>
      <c r="AY4" s="64">
        <f>AM4*0.8</f>
        <v>120</v>
      </c>
    </row>
    <row r="5" spans="1:51" s="64" customFormat="1">
      <c r="A5" s="101">
        <v>44457</v>
      </c>
      <c r="B5" s="103">
        <v>1600</v>
      </c>
      <c r="C5" s="103">
        <f>(SUM(粮草!A5:X5)+AF5*10)*IF(AJ5="是",$AW$4,$AW$3)</f>
        <v>0</v>
      </c>
      <c r="D5" s="103">
        <f>SUM($B$4:B5)-SUM($C$4:C5)</f>
        <v>2400</v>
      </c>
      <c r="E5" s="103">
        <f>SUM(经验!A5:X5)</f>
        <v>0</v>
      </c>
      <c r="F5" s="103">
        <f>SUM($E$4:E5)+SUM($G$4:G5)</f>
        <v>500</v>
      </c>
      <c r="G5" s="103">
        <v>500</v>
      </c>
      <c r="H5" s="104" t="s">
        <v>35</v>
      </c>
      <c r="I5" s="104" t="s">
        <v>35</v>
      </c>
      <c r="J5" s="104" t="s">
        <v>35</v>
      </c>
      <c r="K5" s="104" t="s">
        <v>35</v>
      </c>
      <c r="L5" s="104" t="s">
        <v>35</v>
      </c>
      <c r="M5" s="104" t="s">
        <v>35</v>
      </c>
      <c r="N5" s="105" t="s">
        <v>35</v>
      </c>
      <c r="O5" s="105" t="s">
        <v>35</v>
      </c>
      <c r="P5" s="104" t="s">
        <v>35</v>
      </c>
      <c r="Q5" s="104" t="s">
        <v>35</v>
      </c>
      <c r="R5" s="104" t="s">
        <v>35</v>
      </c>
      <c r="S5" s="104" t="s">
        <v>35</v>
      </c>
      <c r="T5" s="104" t="s">
        <v>35</v>
      </c>
      <c r="U5" s="104" t="s">
        <v>35</v>
      </c>
      <c r="V5" s="105" t="s">
        <v>35</v>
      </c>
      <c r="W5" s="105" t="s">
        <v>35</v>
      </c>
      <c r="X5" s="103" t="s">
        <v>35</v>
      </c>
      <c r="Y5" s="103" t="s">
        <v>35</v>
      </c>
      <c r="Z5" s="103" t="s">
        <v>35</v>
      </c>
      <c r="AA5" s="103" t="s">
        <v>35</v>
      </c>
      <c r="AB5" s="103" t="s">
        <v>35</v>
      </c>
      <c r="AC5" s="103" t="s">
        <v>35</v>
      </c>
      <c r="AD5" s="106" t="s">
        <v>35</v>
      </c>
      <c r="AE5" s="106" t="s">
        <v>35</v>
      </c>
      <c r="AF5" s="107">
        <v>0</v>
      </c>
      <c r="AG5" s="107"/>
      <c r="AH5" s="107"/>
      <c r="AI5" s="108"/>
      <c r="AJ5" s="109" t="s">
        <v>36</v>
      </c>
      <c r="AL5" s="69" t="s">
        <v>38</v>
      </c>
      <c r="AM5" s="65">
        <v>160</v>
      </c>
      <c r="AN5" s="65">
        <v>40</v>
      </c>
      <c r="AO5" s="65">
        <f t="shared" ref="AO5:AO26" si="3">COUNTIF($H$4:$O$94,AL5)</f>
        <v>0</v>
      </c>
      <c r="AP5" s="65">
        <f t="shared" ref="AP5:AP26" si="4">COUNTIF($P$4:$W$94,AL5)</f>
        <v>0</v>
      </c>
      <c r="AQ5" s="65">
        <f t="shared" ref="AQ5:AQ26" si="5">COUNTIF($X$4:$AE$94,AL5)</f>
        <v>0</v>
      </c>
      <c r="AR5" s="65">
        <f t="shared" ref="AR5:AR26" si="6">AO5+AP5+AQ5</f>
        <v>0</v>
      </c>
      <c r="AS5" s="66">
        <f t="shared" ref="AS5:AU28" si="7">AO5*$AN5</f>
        <v>0</v>
      </c>
      <c r="AT5" s="66">
        <f t="shared" si="2"/>
        <v>0</v>
      </c>
      <c r="AU5" s="66">
        <f t="shared" si="2"/>
        <v>0</v>
      </c>
      <c r="AV5" s="79" t="s">
        <v>39</v>
      </c>
      <c r="AW5" s="79"/>
      <c r="AY5" s="64">
        <f t="shared" ref="AY5:AY28" si="8">AM5*0.8</f>
        <v>128</v>
      </c>
    </row>
    <row r="6" spans="1:51" s="64" customFormat="1">
      <c r="A6" s="101">
        <v>44458</v>
      </c>
      <c r="B6" s="103">
        <v>1600</v>
      </c>
      <c r="C6" s="103">
        <f>(SUM(粮草!A6:X6)+AF6*10)*IF(AJ6="是",$AW$4,$AW$3)</f>
        <v>0</v>
      </c>
      <c r="D6" s="103">
        <f>SUM($B$4:B6)-SUM($C$4:C6)</f>
        <v>4000</v>
      </c>
      <c r="E6" s="103">
        <f>SUM(经验!A6:X6)</f>
        <v>0</v>
      </c>
      <c r="F6" s="103">
        <f>SUM($E$4:E6)+SUM($G$4:G6)</f>
        <v>500</v>
      </c>
      <c r="G6" s="103">
        <v>0</v>
      </c>
      <c r="H6" s="104" t="s">
        <v>35</v>
      </c>
      <c r="I6" s="104" t="s">
        <v>35</v>
      </c>
      <c r="J6" s="104" t="s">
        <v>35</v>
      </c>
      <c r="K6" s="104" t="s">
        <v>35</v>
      </c>
      <c r="L6" s="104" t="s">
        <v>35</v>
      </c>
      <c r="M6" s="104" t="s">
        <v>35</v>
      </c>
      <c r="N6" s="105" t="s">
        <v>35</v>
      </c>
      <c r="O6" s="105" t="s">
        <v>35</v>
      </c>
      <c r="P6" s="104" t="s">
        <v>35</v>
      </c>
      <c r="Q6" s="104" t="s">
        <v>35</v>
      </c>
      <c r="R6" s="104" t="s">
        <v>35</v>
      </c>
      <c r="S6" s="104" t="s">
        <v>35</v>
      </c>
      <c r="T6" s="104" t="s">
        <v>35</v>
      </c>
      <c r="U6" s="104" t="s">
        <v>35</v>
      </c>
      <c r="V6" s="105" t="s">
        <v>35</v>
      </c>
      <c r="W6" s="105" t="s">
        <v>35</v>
      </c>
      <c r="X6" s="103" t="s">
        <v>35</v>
      </c>
      <c r="Y6" s="103" t="s">
        <v>35</v>
      </c>
      <c r="Z6" s="103" t="s">
        <v>35</v>
      </c>
      <c r="AA6" s="103" t="s">
        <v>35</v>
      </c>
      <c r="AB6" s="103" t="s">
        <v>35</v>
      </c>
      <c r="AC6" s="103" t="s">
        <v>35</v>
      </c>
      <c r="AD6" s="106" t="s">
        <v>35</v>
      </c>
      <c r="AE6" s="106" t="s">
        <v>35</v>
      </c>
      <c r="AF6" s="107">
        <v>0</v>
      </c>
      <c r="AG6" s="107"/>
      <c r="AH6" s="107"/>
      <c r="AI6" s="108"/>
      <c r="AJ6" s="109" t="s">
        <v>36</v>
      </c>
      <c r="AL6" s="70" t="s">
        <v>41</v>
      </c>
      <c r="AM6" s="65">
        <v>170</v>
      </c>
      <c r="AN6" s="65">
        <v>45</v>
      </c>
      <c r="AO6" s="65">
        <f t="shared" si="3"/>
        <v>0</v>
      </c>
      <c r="AP6" s="65">
        <f t="shared" si="4"/>
        <v>0</v>
      </c>
      <c r="AQ6" s="65">
        <f t="shared" si="5"/>
        <v>0</v>
      </c>
      <c r="AR6" s="65">
        <f t="shared" si="6"/>
        <v>0</v>
      </c>
      <c r="AS6" s="66">
        <f t="shared" si="7"/>
        <v>0</v>
      </c>
      <c r="AT6" s="66">
        <f t="shared" si="2"/>
        <v>0</v>
      </c>
      <c r="AU6" s="66">
        <f t="shared" si="2"/>
        <v>0</v>
      </c>
      <c r="AV6" s="80"/>
      <c r="AW6" s="80"/>
      <c r="AY6" s="64">
        <f t="shared" si="8"/>
        <v>136</v>
      </c>
    </row>
    <row r="7" spans="1:51">
      <c r="A7" s="102">
        <v>44459</v>
      </c>
      <c r="B7" s="110">
        <v>1600</v>
      </c>
      <c r="C7" s="110">
        <f>(SUM(粮草!A7:X7)+AF7*10)*IF(AJ7="是",$AW$4,$AW$3)</f>
        <v>0</v>
      </c>
      <c r="D7" s="111">
        <f>SUM($B$4:B7)-SUM($C$4:C7)</f>
        <v>5600</v>
      </c>
      <c r="E7" s="110">
        <f>SUM(经验!A7:X7)</f>
        <v>0</v>
      </c>
      <c r="F7" s="110">
        <f>SUM($E$4:E7)+SUM($G$4:G7)</f>
        <v>700</v>
      </c>
      <c r="G7" s="110">
        <v>200</v>
      </c>
      <c r="H7" s="104" t="s">
        <v>35</v>
      </c>
      <c r="I7" s="104" t="s">
        <v>35</v>
      </c>
      <c r="J7" s="104" t="s">
        <v>35</v>
      </c>
      <c r="K7" s="104" t="s">
        <v>35</v>
      </c>
      <c r="L7" s="104" t="s">
        <v>35</v>
      </c>
      <c r="M7" s="104" t="s">
        <v>35</v>
      </c>
      <c r="N7" s="105" t="s">
        <v>35</v>
      </c>
      <c r="O7" s="105" t="s">
        <v>35</v>
      </c>
      <c r="P7" s="104" t="s">
        <v>35</v>
      </c>
      <c r="Q7" s="104" t="s">
        <v>35</v>
      </c>
      <c r="R7" s="104" t="s">
        <v>35</v>
      </c>
      <c r="S7" s="104" t="s">
        <v>35</v>
      </c>
      <c r="T7" s="104" t="s">
        <v>35</v>
      </c>
      <c r="U7" s="104" t="s">
        <v>35</v>
      </c>
      <c r="V7" s="105" t="s">
        <v>35</v>
      </c>
      <c r="W7" s="105" t="s">
        <v>35</v>
      </c>
      <c r="X7" s="112" t="s">
        <v>35</v>
      </c>
      <c r="Y7" s="112" t="s">
        <v>35</v>
      </c>
      <c r="Z7" s="112" t="s">
        <v>35</v>
      </c>
      <c r="AA7" s="112" t="s">
        <v>35</v>
      </c>
      <c r="AB7" s="112" t="s">
        <v>35</v>
      </c>
      <c r="AC7" s="112" t="s">
        <v>35</v>
      </c>
      <c r="AD7" s="113" t="s">
        <v>35</v>
      </c>
      <c r="AE7" s="113" t="s">
        <v>35</v>
      </c>
      <c r="AF7" s="107">
        <v>0</v>
      </c>
      <c r="AG7" s="107"/>
      <c r="AH7" s="107"/>
      <c r="AI7" s="114"/>
      <c r="AJ7" s="115" t="s">
        <v>36</v>
      </c>
      <c r="AL7" s="39" t="s">
        <v>43</v>
      </c>
      <c r="AM7" s="36">
        <v>180</v>
      </c>
      <c r="AN7" s="36">
        <v>50</v>
      </c>
      <c r="AO7" s="36">
        <f t="shared" si="3"/>
        <v>0</v>
      </c>
      <c r="AP7" s="36">
        <f t="shared" si="4"/>
        <v>0</v>
      </c>
      <c r="AQ7" s="36">
        <f t="shared" si="5"/>
        <v>0</v>
      </c>
      <c r="AR7" s="36">
        <f t="shared" si="6"/>
        <v>0</v>
      </c>
      <c r="AS7" s="57">
        <f t="shared" si="7"/>
        <v>0</v>
      </c>
      <c r="AT7" s="57">
        <f t="shared" si="2"/>
        <v>0</v>
      </c>
      <c r="AU7" s="57">
        <f t="shared" si="2"/>
        <v>0</v>
      </c>
      <c r="AV7" s="80"/>
      <c r="AW7" s="80"/>
      <c r="AY7">
        <f t="shared" si="8"/>
        <v>144</v>
      </c>
    </row>
    <row r="8" spans="1:51">
      <c r="A8" s="102">
        <v>44460</v>
      </c>
      <c r="B8" s="110">
        <v>1600</v>
      </c>
      <c r="C8" s="110">
        <f>(SUM(粮草!A8:X8)+AF8*10)*IF(AJ8="是",$AW$4,$AW$3)</f>
        <v>0</v>
      </c>
      <c r="D8" s="111">
        <f>SUM($B$4:B8)-SUM($C$4:C8)</f>
        <v>7200</v>
      </c>
      <c r="E8" s="110">
        <f>SUM(经验!A8:X8)</f>
        <v>0</v>
      </c>
      <c r="F8" s="110">
        <f>SUM($E$4:E8)+SUM($G$4:G8)</f>
        <v>800</v>
      </c>
      <c r="G8" s="110">
        <v>100</v>
      </c>
      <c r="H8" s="104" t="s">
        <v>35</v>
      </c>
      <c r="I8" s="104" t="s">
        <v>35</v>
      </c>
      <c r="J8" s="104" t="s">
        <v>35</v>
      </c>
      <c r="K8" s="104" t="s">
        <v>35</v>
      </c>
      <c r="L8" s="104" t="s">
        <v>35</v>
      </c>
      <c r="M8" s="104" t="s">
        <v>35</v>
      </c>
      <c r="N8" s="105" t="s">
        <v>35</v>
      </c>
      <c r="O8" s="105" t="s">
        <v>35</v>
      </c>
      <c r="P8" s="104" t="s">
        <v>35</v>
      </c>
      <c r="Q8" s="104" t="s">
        <v>35</v>
      </c>
      <c r="R8" s="104" t="s">
        <v>35</v>
      </c>
      <c r="S8" s="104" t="s">
        <v>35</v>
      </c>
      <c r="T8" s="104" t="s">
        <v>35</v>
      </c>
      <c r="U8" s="104" t="s">
        <v>35</v>
      </c>
      <c r="V8" s="105" t="s">
        <v>35</v>
      </c>
      <c r="W8" s="105" t="s">
        <v>35</v>
      </c>
      <c r="X8" s="112" t="s">
        <v>35</v>
      </c>
      <c r="Y8" s="112" t="s">
        <v>35</v>
      </c>
      <c r="Z8" s="112" t="s">
        <v>35</v>
      </c>
      <c r="AA8" s="112" t="s">
        <v>35</v>
      </c>
      <c r="AB8" s="112" t="s">
        <v>35</v>
      </c>
      <c r="AC8" s="112" t="s">
        <v>35</v>
      </c>
      <c r="AD8" s="113" t="s">
        <v>35</v>
      </c>
      <c r="AE8" s="113" t="s">
        <v>35</v>
      </c>
      <c r="AF8" s="107">
        <v>0</v>
      </c>
      <c r="AG8" s="107"/>
      <c r="AH8" s="107"/>
      <c r="AI8" s="114"/>
      <c r="AJ8" s="115" t="s">
        <v>36</v>
      </c>
      <c r="AL8" s="40" t="s">
        <v>45</v>
      </c>
      <c r="AM8" s="36">
        <v>190</v>
      </c>
      <c r="AN8" s="36">
        <v>55</v>
      </c>
      <c r="AO8" s="36">
        <f t="shared" si="3"/>
        <v>0</v>
      </c>
      <c r="AP8" s="36">
        <f t="shared" si="4"/>
        <v>0</v>
      </c>
      <c r="AQ8" s="36">
        <f t="shared" si="5"/>
        <v>0</v>
      </c>
      <c r="AR8" s="36">
        <f t="shared" si="6"/>
        <v>0</v>
      </c>
      <c r="AS8" s="57">
        <f t="shared" si="7"/>
        <v>0</v>
      </c>
      <c r="AT8" s="57">
        <f t="shared" si="2"/>
        <v>0</v>
      </c>
      <c r="AU8" s="57">
        <f t="shared" si="2"/>
        <v>0</v>
      </c>
      <c r="AV8" s="80"/>
      <c r="AW8" s="80"/>
      <c r="AY8">
        <f t="shared" si="8"/>
        <v>152</v>
      </c>
    </row>
    <row r="9" spans="1:51">
      <c r="A9" s="102">
        <v>44461</v>
      </c>
      <c r="B9" s="110">
        <v>1600</v>
      </c>
      <c r="C9" s="110">
        <f>(SUM(粮草!A9:X9)+AF9*10)*IF(AJ9="是",$AW$4,$AW$3)</f>
        <v>0</v>
      </c>
      <c r="D9" s="111">
        <f>SUM($B$4:B9)-SUM($C$4:C9)</f>
        <v>8800</v>
      </c>
      <c r="E9" s="110">
        <f>SUM(经验!A9:X9)</f>
        <v>0</v>
      </c>
      <c r="F9" s="110">
        <f>SUM($E$4:E9)+SUM($G$4:G9)</f>
        <v>1000</v>
      </c>
      <c r="G9" s="110">
        <v>200</v>
      </c>
      <c r="H9" s="104" t="s">
        <v>35</v>
      </c>
      <c r="I9" s="104" t="s">
        <v>35</v>
      </c>
      <c r="J9" s="104" t="s">
        <v>35</v>
      </c>
      <c r="K9" s="104" t="s">
        <v>35</v>
      </c>
      <c r="L9" s="104" t="s">
        <v>35</v>
      </c>
      <c r="M9" s="104" t="s">
        <v>35</v>
      </c>
      <c r="N9" s="105" t="s">
        <v>35</v>
      </c>
      <c r="O9" s="105" t="s">
        <v>35</v>
      </c>
      <c r="P9" s="104" t="s">
        <v>35</v>
      </c>
      <c r="Q9" s="104" t="s">
        <v>35</v>
      </c>
      <c r="R9" s="104" t="s">
        <v>35</v>
      </c>
      <c r="S9" s="104" t="s">
        <v>35</v>
      </c>
      <c r="T9" s="104" t="s">
        <v>35</v>
      </c>
      <c r="U9" s="104" t="s">
        <v>35</v>
      </c>
      <c r="V9" s="105" t="s">
        <v>35</v>
      </c>
      <c r="W9" s="105" t="s">
        <v>35</v>
      </c>
      <c r="X9" s="112" t="s">
        <v>35</v>
      </c>
      <c r="Y9" s="112" t="s">
        <v>35</v>
      </c>
      <c r="Z9" s="112" t="s">
        <v>35</v>
      </c>
      <c r="AA9" s="112" t="s">
        <v>35</v>
      </c>
      <c r="AB9" s="112" t="s">
        <v>35</v>
      </c>
      <c r="AC9" s="112" t="s">
        <v>35</v>
      </c>
      <c r="AD9" s="113" t="s">
        <v>35</v>
      </c>
      <c r="AE9" s="113" t="s">
        <v>35</v>
      </c>
      <c r="AF9" s="107">
        <v>0</v>
      </c>
      <c r="AG9" s="107"/>
      <c r="AH9" s="107"/>
      <c r="AI9" s="114"/>
      <c r="AJ9" s="115" t="s">
        <v>36</v>
      </c>
      <c r="AL9" s="41" t="s">
        <v>46</v>
      </c>
      <c r="AM9" s="36">
        <v>200</v>
      </c>
      <c r="AN9" s="36">
        <v>60</v>
      </c>
      <c r="AO9" s="36">
        <f t="shared" si="3"/>
        <v>0</v>
      </c>
      <c r="AP9" s="36">
        <f t="shared" si="4"/>
        <v>0</v>
      </c>
      <c r="AQ9" s="36">
        <f t="shared" si="5"/>
        <v>0</v>
      </c>
      <c r="AR9" s="36">
        <f t="shared" si="6"/>
        <v>0</v>
      </c>
      <c r="AS9" s="57">
        <f t="shared" si="7"/>
        <v>0</v>
      </c>
      <c r="AT9" s="57">
        <f t="shared" si="2"/>
        <v>0</v>
      </c>
      <c r="AU9" s="57">
        <f t="shared" si="2"/>
        <v>0</v>
      </c>
      <c r="AY9">
        <f t="shared" si="8"/>
        <v>160</v>
      </c>
    </row>
    <row r="10" spans="1:51">
      <c r="A10" s="102">
        <v>44462</v>
      </c>
      <c r="B10" s="110">
        <v>1600</v>
      </c>
      <c r="C10" s="110">
        <f>(SUM(粮草!A10:X10)+AF10*10)*IF(AJ10="是",$AW$4,$AW$3)</f>
        <v>0</v>
      </c>
      <c r="D10" s="111">
        <f>SUM($B$4:B10)-SUM($C$4:C10)</f>
        <v>10400</v>
      </c>
      <c r="E10" s="110">
        <f>SUM(经验!A10:X10)</f>
        <v>0</v>
      </c>
      <c r="F10" s="110">
        <f>SUM($E$4:E10)+SUM($G$4:G10)</f>
        <v>1000</v>
      </c>
      <c r="G10" s="110">
        <v>0</v>
      </c>
      <c r="H10" s="104" t="s">
        <v>35</v>
      </c>
      <c r="I10" s="104" t="s">
        <v>35</v>
      </c>
      <c r="J10" s="104" t="s">
        <v>35</v>
      </c>
      <c r="K10" s="104" t="s">
        <v>35</v>
      </c>
      <c r="L10" s="104" t="s">
        <v>35</v>
      </c>
      <c r="M10" s="104" t="s">
        <v>35</v>
      </c>
      <c r="N10" s="105" t="s">
        <v>35</v>
      </c>
      <c r="O10" s="105" t="s">
        <v>35</v>
      </c>
      <c r="P10" s="104" t="s">
        <v>35</v>
      </c>
      <c r="Q10" s="104" t="s">
        <v>35</v>
      </c>
      <c r="R10" s="104" t="s">
        <v>35</v>
      </c>
      <c r="S10" s="104" t="s">
        <v>35</v>
      </c>
      <c r="T10" s="104" t="s">
        <v>35</v>
      </c>
      <c r="U10" s="104" t="s">
        <v>35</v>
      </c>
      <c r="V10" s="105" t="s">
        <v>35</v>
      </c>
      <c r="W10" s="105" t="s">
        <v>35</v>
      </c>
      <c r="X10" s="112" t="s">
        <v>35</v>
      </c>
      <c r="Y10" s="112" t="s">
        <v>35</v>
      </c>
      <c r="Z10" s="112" t="s">
        <v>35</v>
      </c>
      <c r="AA10" s="112" t="s">
        <v>35</v>
      </c>
      <c r="AB10" s="112" t="s">
        <v>35</v>
      </c>
      <c r="AC10" s="112" t="s">
        <v>35</v>
      </c>
      <c r="AD10" s="113" t="s">
        <v>35</v>
      </c>
      <c r="AE10" s="113" t="s">
        <v>35</v>
      </c>
      <c r="AF10" s="107">
        <v>0</v>
      </c>
      <c r="AG10" s="107"/>
      <c r="AH10" s="107"/>
      <c r="AI10" s="114"/>
      <c r="AJ10" s="115" t="s">
        <v>36</v>
      </c>
      <c r="AL10" s="38" t="s">
        <v>47</v>
      </c>
      <c r="AM10" s="36">
        <v>150</v>
      </c>
      <c r="AN10" s="36">
        <v>35</v>
      </c>
      <c r="AO10" s="36">
        <f t="shared" si="3"/>
        <v>0</v>
      </c>
      <c r="AP10" s="36">
        <f t="shared" si="4"/>
        <v>0</v>
      </c>
      <c r="AQ10" s="36">
        <f t="shared" si="5"/>
        <v>0</v>
      </c>
      <c r="AR10" s="36">
        <f t="shared" si="6"/>
        <v>0</v>
      </c>
      <c r="AS10" s="57">
        <f t="shared" si="7"/>
        <v>0</v>
      </c>
      <c r="AT10" s="57">
        <f t="shared" si="2"/>
        <v>0</v>
      </c>
      <c r="AU10" s="57">
        <f t="shared" si="2"/>
        <v>0</v>
      </c>
      <c r="AY10">
        <f t="shared" si="8"/>
        <v>120</v>
      </c>
    </row>
    <row r="11" spans="1:51">
      <c r="A11" s="102">
        <v>44463</v>
      </c>
      <c r="B11" s="110">
        <v>1600</v>
      </c>
      <c r="C11" s="110">
        <f>(SUM(粮草!A11:X11)+AF11*10)*IF(AJ11="是",$AW$4,$AW$3)</f>
        <v>0</v>
      </c>
      <c r="D11" s="111">
        <f>SUM($B$4:B11)-SUM($C$4:C11)</f>
        <v>12000</v>
      </c>
      <c r="E11" s="110">
        <f>SUM(经验!A11:X11)</f>
        <v>0</v>
      </c>
      <c r="F11" s="110">
        <f>SUM($E$4:E11)+SUM($G$4:G11)</f>
        <v>1000</v>
      </c>
      <c r="G11" s="110">
        <v>0</v>
      </c>
      <c r="H11" s="104" t="s">
        <v>35</v>
      </c>
      <c r="I11" s="104" t="s">
        <v>35</v>
      </c>
      <c r="J11" s="104" t="s">
        <v>35</v>
      </c>
      <c r="K11" s="104" t="s">
        <v>35</v>
      </c>
      <c r="L11" s="104" t="s">
        <v>35</v>
      </c>
      <c r="M11" s="104" t="s">
        <v>35</v>
      </c>
      <c r="N11" s="105" t="s">
        <v>35</v>
      </c>
      <c r="O11" s="105" t="s">
        <v>35</v>
      </c>
      <c r="P11" s="104" t="s">
        <v>35</v>
      </c>
      <c r="Q11" s="104" t="s">
        <v>35</v>
      </c>
      <c r="R11" s="104" t="s">
        <v>35</v>
      </c>
      <c r="S11" s="104" t="s">
        <v>35</v>
      </c>
      <c r="T11" s="104" t="s">
        <v>35</v>
      </c>
      <c r="U11" s="104" t="s">
        <v>35</v>
      </c>
      <c r="V11" s="105" t="s">
        <v>35</v>
      </c>
      <c r="W11" s="105" t="s">
        <v>35</v>
      </c>
      <c r="X11" s="112" t="s">
        <v>35</v>
      </c>
      <c r="Y11" s="112" t="s">
        <v>35</v>
      </c>
      <c r="Z11" s="112" t="s">
        <v>35</v>
      </c>
      <c r="AA11" s="112" t="s">
        <v>35</v>
      </c>
      <c r="AB11" s="112" t="s">
        <v>35</v>
      </c>
      <c r="AC11" s="112" t="s">
        <v>35</v>
      </c>
      <c r="AD11" s="113" t="s">
        <v>35</v>
      </c>
      <c r="AE11" s="113" t="s">
        <v>35</v>
      </c>
      <c r="AF11" s="107">
        <v>0</v>
      </c>
      <c r="AG11" s="107"/>
      <c r="AH11" s="107"/>
      <c r="AI11" s="114"/>
      <c r="AJ11" s="115" t="s">
        <v>36</v>
      </c>
      <c r="AL11" s="28" t="s">
        <v>42</v>
      </c>
      <c r="AM11" s="36">
        <v>150</v>
      </c>
      <c r="AN11" s="36">
        <v>40</v>
      </c>
      <c r="AO11" s="36">
        <f t="shared" si="3"/>
        <v>0</v>
      </c>
      <c r="AP11" s="36">
        <f t="shared" si="4"/>
        <v>0</v>
      </c>
      <c r="AQ11" s="36">
        <f t="shared" si="5"/>
        <v>0</v>
      </c>
      <c r="AR11" s="36">
        <f t="shared" si="6"/>
        <v>0</v>
      </c>
      <c r="AS11" s="57">
        <f t="shared" si="7"/>
        <v>0</v>
      </c>
      <c r="AT11" s="57">
        <f t="shared" si="2"/>
        <v>0</v>
      </c>
      <c r="AU11" s="57">
        <f t="shared" si="2"/>
        <v>0</v>
      </c>
      <c r="AY11">
        <f t="shared" si="8"/>
        <v>120</v>
      </c>
    </row>
    <row r="12" spans="1:51">
      <c r="A12" s="102">
        <v>44464</v>
      </c>
      <c r="B12" s="110">
        <v>1600</v>
      </c>
      <c r="C12" s="110">
        <f>(SUM(粮草!A12:X12)+AF12*10)*IF(AJ12="是",$AW$4,$AW$3)</f>
        <v>0</v>
      </c>
      <c r="D12" s="111">
        <f>SUM($B$4:B12)-SUM($C$4:C12)</f>
        <v>13600</v>
      </c>
      <c r="E12" s="110">
        <f>SUM(经验!A12:X12)</f>
        <v>0</v>
      </c>
      <c r="F12" s="110">
        <f>SUM($E$4:E12)+SUM($G$4:G12)</f>
        <v>1000</v>
      </c>
      <c r="G12" s="110">
        <v>0</v>
      </c>
      <c r="H12" s="104" t="s">
        <v>35</v>
      </c>
      <c r="I12" s="104" t="s">
        <v>35</v>
      </c>
      <c r="J12" s="104" t="s">
        <v>35</v>
      </c>
      <c r="K12" s="104" t="s">
        <v>35</v>
      </c>
      <c r="L12" s="104" t="s">
        <v>35</v>
      </c>
      <c r="M12" s="104" t="s">
        <v>35</v>
      </c>
      <c r="N12" s="105" t="s">
        <v>35</v>
      </c>
      <c r="O12" s="105" t="s">
        <v>35</v>
      </c>
      <c r="P12" s="116" t="s">
        <v>35</v>
      </c>
      <c r="Q12" s="116" t="s">
        <v>35</v>
      </c>
      <c r="R12" s="116" t="s">
        <v>35</v>
      </c>
      <c r="S12" s="116" t="s">
        <v>35</v>
      </c>
      <c r="T12" s="116" t="s">
        <v>35</v>
      </c>
      <c r="U12" s="116" t="s">
        <v>35</v>
      </c>
      <c r="V12" s="105" t="s">
        <v>35</v>
      </c>
      <c r="W12" s="105" t="s">
        <v>35</v>
      </c>
      <c r="X12" s="112" t="s">
        <v>35</v>
      </c>
      <c r="Y12" s="112" t="s">
        <v>35</v>
      </c>
      <c r="Z12" s="112" t="s">
        <v>35</v>
      </c>
      <c r="AA12" s="112" t="s">
        <v>35</v>
      </c>
      <c r="AB12" s="112" t="s">
        <v>35</v>
      </c>
      <c r="AC12" s="112" t="s">
        <v>35</v>
      </c>
      <c r="AD12" s="113" t="s">
        <v>35</v>
      </c>
      <c r="AE12" s="113" t="s">
        <v>35</v>
      </c>
      <c r="AF12" s="107">
        <v>0</v>
      </c>
      <c r="AG12" s="107"/>
      <c r="AH12" s="107"/>
      <c r="AI12" s="114"/>
      <c r="AJ12" s="115" t="s">
        <v>36</v>
      </c>
      <c r="AL12" s="24" t="s">
        <v>50</v>
      </c>
      <c r="AM12" s="36">
        <v>150</v>
      </c>
      <c r="AN12" s="36">
        <v>45</v>
      </c>
      <c r="AO12" s="36">
        <f t="shared" si="3"/>
        <v>0</v>
      </c>
      <c r="AP12" s="36">
        <f t="shared" si="4"/>
        <v>0</v>
      </c>
      <c r="AQ12" s="36">
        <f t="shared" si="5"/>
        <v>0</v>
      </c>
      <c r="AR12" s="36">
        <f t="shared" si="6"/>
        <v>0</v>
      </c>
      <c r="AS12" s="57">
        <f t="shared" si="7"/>
        <v>0</v>
      </c>
      <c r="AT12" s="57">
        <f t="shared" si="2"/>
        <v>0</v>
      </c>
      <c r="AU12" s="57">
        <f t="shared" si="2"/>
        <v>0</v>
      </c>
      <c r="AY12">
        <f t="shared" si="8"/>
        <v>120</v>
      </c>
    </row>
    <row r="13" spans="1:51">
      <c r="A13" s="102">
        <v>44465</v>
      </c>
      <c r="B13" s="110">
        <v>1600</v>
      </c>
      <c r="C13" s="110">
        <f>(SUM(粮草!A13:X13)+AF13*10)*IF(AJ13="是",$AW$4,$AW$3)</f>
        <v>0</v>
      </c>
      <c r="D13" s="111">
        <f>SUM($B$4:B13)-SUM($C$4:C13)</f>
        <v>15200</v>
      </c>
      <c r="E13" s="110">
        <f>SUM(经验!A13:X13)</f>
        <v>0</v>
      </c>
      <c r="F13" s="110">
        <f>SUM($E$4:E13)+SUM($G$4:G13)</f>
        <v>1000</v>
      </c>
      <c r="G13" s="110">
        <v>0</v>
      </c>
      <c r="H13" s="104" t="s">
        <v>35</v>
      </c>
      <c r="I13" s="104" t="s">
        <v>35</v>
      </c>
      <c r="J13" s="104" t="s">
        <v>35</v>
      </c>
      <c r="K13" s="104" t="s">
        <v>35</v>
      </c>
      <c r="L13" s="104" t="s">
        <v>35</v>
      </c>
      <c r="M13" s="104" t="s">
        <v>35</v>
      </c>
      <c r="N13" s="105" t="s">
        <v>35</v>
      </c>
      <c r="O13" s="105" t="s">
        <v>35</v>
      </c>
      <c r="P13" s="116" t="s">
        <v>35</v>
      </c>
      <c r="Q13" s="116" t="s">
        <v>35</v>
      </c>
      <c r="R13" s="116" t="s">
        <v>35</v>
      </c>
      <c r="S13" s="116" t="s">
        <v>35</v>
      </c>
      <c r="T13" s="116" t="s">
        <v>35</v>
      </c>
      <c r="U13" s="116" t="s">
        <v>35</v>
      </c>
      <c r="V13" s="105" t="s">
        <v>35</v>
      </c>
      <c r="W13" s="105" t="s">
        <v>35</v>
      </c>
      <c r="X13" s="112" t="s">
        <v>35</v>
      </c>
      <c r="Y13" s="112" t="s">
        <v>35</v>
      </c>
      <c r="Z13" s="112" t="s">
        <v>35</v>
      </c>
      <c r="AA13" s="112" t="s">
        <v>35</v>
      </c>
      <c r="AB13" s="112" t="s">
        <v>35</v>
      </c>
      <c r="AC13" s="112" t="s">
        <v>35</v>
      </c>
      <c r="AD13" s="113" t="s">
        <v>35</v>
      </c>
      <c r="AE13" s="113" t="s">
        <v>35</v>
      </c>
      <c r="AF13" s="107">
        <v>0</v>
      </c>
      <c r="AG13" s="107"/>
      <c r="AH13" s="107"/>
      <c r="AI13" s="114"/>
      <c r="AJ13" s="115" t="s">
        <v>36</v>
      </c>
      <c r="AL13" s="39" t="s">
        <v>51</v>
      </c>
      <c r="AM13" s="36">
        <v>150</v>
      </c>
      <c r="AN13" s="36">
        <v>50</v>
      </c>
      <c r="AO13" s="36">
        <f t="shared" si="3"/>
        <v>0</v>
      </c>
      <c r="AP13" s="36">
        <f t="shared" si="4"/>
        <v>0</v>
      </c>
      <c r="AQ13" s="36">
        <f t="shared" si="5"/>
        <v>0</v>
      </c>
      <c r="AR13" s="36">
        <f t="shared" si="6"/>
        <v>0</v>
      </c>
      <c r="AS13" s="57">
        <f t="shared" si="7"/>
        <v>0</v>
      </c>
      <c r="AT13" s="57">
        <f t="shared" si="2"/>
        <v>0</v>
      </c>
      <c r="AU13" s="57">
        <f t="shared" si="2"/>
        <v>0</v>
      </c>
      <c r="AY13">
        <f t="shared" si="8"/>
        <v>120</v>
      </c>
    </row>
    <row r="14" spans="1:51">
      <c r="A14" s="102">
        <v>44466</v>
      </c>
      <c r="B14" s="110">
        <v>1600</v>
      </c>
      <c r="C14" s="110">
        <f>(SUM(粮草!A14:X14)+AF14*10)*IF(AJ14="是",$AW$4,$AW$3)</f>
        <v>0</v>
      </c>
      <c r="D14" s="111">
        <f>SUM($B$4:B14)-SUM($C$4:C14)</f>
        <v>16800</v>
      </c>
      <c r="E14" s="110">
        <f>SUM(经验!A14:X14)</f>
        <v>0</v>
      </c>
      <c r="F14" s="110">
        <f>SUM($E$4:E14)+SUM($G$4:G14)</f>
        <v>1300</v>
      </c>
      <c r="G14" s="110">
        <v>300</v>
      </c>
      <c r="H14" s="104" t="s">
        <v>35</v>
      </c>
      <c r="I14" s="104" t="s">
        <v>35</v>
      </c>
      <c r="J14" s="104" t="s">
        <v>35</v>
      </c>
      <c r="K14" s="104" t="s">
        <v>35</v>
      </c>
      <c r="L14" s="104" t="s">
        <v>35</v>
      </c>
      <c r="M14" s="104" t="s">
        <v>35</v>
      </c>
      <c r="N14" s="105" t="s">
        <v>35</v>
      </c>
      <c r="O14" s="105" t="s">
        <v>35</v>
      </c>
      <c r="P14" s="116" t="s">
        <v>35</v>
      </c>
      <c r="Q14" s="116" t="s">
        <v>35</v>
      </c>
      <c r="R14" s="116" t="s">
        <v>35</v>
      </c>
      <c r="S14" s="116" t="s">
        <v>35</v>
      </c>
      <c r="T14" s="116" t="s">
        <v>35</v>
      </c>
      <c r="U14" s="116" t="s">
        <v>35</v>
      </c>
      <c r="V14" s="105" t="s">
        <v>35</v>
      </c>
      <c r="W14" s="105" t="s">
        <v>35</v>
      </c>
      <c r="X14" s="112" t="s">
        <v>35</v>
      </c>
      <c r="Y14" s="112" t="s">
        <v>35</v>
      </c>
      <c r="Z14" s="112" t="s">
        <v>35</v>
      </c>
      <c r="AA14" s="112" t="s">
        <v>35</v>
      </c>
      <c r="AB14" s="112" t="s">
        <v>35</v>
      </c>
      <c r="AC14" s="112" t="s">
        <v>35</v>
      </c>
      <c r="AD14" s="113" t="s">
        <v>35</v>
      </c>
      <c r="AE14" s="113" t="s">
        <v>35</v>
      </c>
      <c r="AF14" s="107">
        <v>0</v>
      </c>
      <c r="AG14" s="107"/>
      <c r="AH14" s="107"/>
      <c r="AI14" s="114"/>
      <c r="AJ14" s="115" t="s">
        <v>36</v>
      </c>
      <c r="AL14" s="40" t="s">
        <v>52</v>
      </c>
      <c r="AM14" s="36">
        <v>150</v>
      </c>
      <c r="AN14" s="36">
        <v>55</v>
      </c>
      <c r="AO14" s="36">
        <f t="shared" si="3"/>
        <v>0</v>
      </c>
      <c r="AP14" s="36">
        <f t="shared" si="4"/>
        <v>0</v>
      </c>
      <c r="AQ14" s="36">
        <f t="shared" si="5"/>
        <v>0</v>
      </c>
      <c r="AR14" s="36">
        <f t="shared" si="6"/>
        <v>0</v>
      </c>
      <c r="AS14" s="57">
        <f t="shared" si="7"/>
        <v>0</v>
      </c>
      <c r="AT14" s="57">
        <f t="shared" si="2"/>
        <v>0</v>
      </c>
      <c r="AU14" s="57">
        <f t="shared" si="2"/>
        <v>0</v>
      </c>
      <c r="AY14">
        <f t="shared" si="8"/>
        <v>120</v>
      </c>
    </row>
    <row r="15" spans="1:51">
      <c r="A15" s="102">
        <v>44467</v>
      </c>
      <c r="B15" s="110">
        <v>1600</v>
      </c>
      <c r="C15" s="110">
        <f>(SUM(粮草!A15:X15)+AF15*10)*IF(AJ15="是",$AW$4,$AW$3)</f>
        <v>0</v>
      </c>
      <c r="D15" s="111">
        <f>SUM($B$4:B15)-SUM($C$4:C15)</f>
        <v>18400</v>
      </c>
      <c r="E15" s="110">
        <f>SUM(经验!A15:X15)</f>
        <v>0</v>
      </c>
      <c r="F15" s="110">
        <f>SUM($E$4:E15)+SUM($G$4:G15)</f>
        <v>1300</v>
      </c>
      <c r="G15" s="110">
        <v>0</v>
      </c>
      <c r="H15" s="104" t="s">
        <v>35</v>
      </c>
      <c r="I15" s="104" t="s">
        <v>35</v>
      </c>
      <c r="J15" s="104" t="s">
        <v>35</v>
      </c>
      <c r="K15" s="104" t="s">
        <v>35</v>
      </c>
      <c r="L15" s="104" t="s">
        <v>35</v>
      </c>
      <c r="M15" s="104" t="s">
        <v>35</v>
      </c>
      <c r="N15" s="105" t="s">
        <v>35</v>
      </c>
      <c r="O15" s="105" t="s">
        <v>35</v>
      </c>
      <c r="P15" s="116" t="s">
        <v>35</v>
      </c>
      <c r="Q15" s="116" t="s">
        <v>35</v>
      </c>
      <c r="R15" s="116" t="s">
        <v>35</v>
      </c>
      <c r="S15" s="116" t="s">
        <v>35</v>
      </c>
      <c r="T15" s="116" t="s">
        <v>35</v>
      </c>
      <c r="U15" s="116" t="s">
        <v>35</v>
      </c>
      <c r="V15" s="105" t="s">
        <v>35</v>
      </c>
      <c r="W15" s="105" t="s">
        <v>35</v>
      </c>
      <c r="X15" s="112" t="s">
        <v>35</v>
      </c>
      <c r="Y15" s="112" t="s">
        <v>35</v>
      </c>
      <c r="Z15" s="112" t="s">
        <v>35</v>
      </c>
      <c r="AA15" s="112" t="s">
        <v>35</v>
      </c>
      <c r="AB15" s="112" t="s">
        <v>35</v>
      </c>
      <c r="AC15" s="112" t="s">
        <v>35</v>
      </c>
      <c r="AD15" s="113" t="s">
        <v>35</v>
      </c>
      <c r="AE15" s="113" t="s">
        <v>35</v>
      </c>
      <c r="AF15" s="107">
        <v>0</v>
      </c>
      <c r="AG15" s="107"/>
      <c r="AH15" s="107"/>
      <c r="AI15" s="114"/>
      <c r="AJ15" s="115" t="s">
        <v>36</v>
      </c>
      <c r="AL15" s="41" t="s">
        <v>53</v>
      </c>
      <c r="AM15" s="36">
        <v>150</v>
      </c>
      <c r="AN15" s="36">
        <v>60</v>
      </c>
      <c r="AO15" s="36">
        <f t="shared" si="3"/>
        <v>0</v>
      </c>
      <c r="AP15" s="36">
        <f t="shared" si="4"/>
        <v>0</v>
      </c>
      <c r="AQ15" s="36">
        <f t="shared" si="5"/>
        <v>0</v>
      </c>
      <c r="AR15" s="36">
        <f t="shared" si="6"/>
        <v>0</v>
      </c>
      <c r="AS15" s="57">
        <f t="shared" si="7"/>
        <v>0</v>
      </c>
      <c r="AT15" s="57">
        <f t="shared" si="2"/>
        <v>0</v>
      </c>
      <c r="AU15" s="57">
        <f t="shared" si="2"/>
        <v>0</v>
      </c>
      <c r="AY15">
        <f t="shared" si="8"/>
        <v>120</v>
      </c>
    </row>
    <row r="16" spans="1:51">
      <c r="A16" s="102">
        <v>44468</v>
      </c>
      <c r="B16" s="110">
        <v>1600</v>
      </c>
      <c r="C16" s="110">
        <f>(SUM(粮草!A16:X16)+AF16*10)*IF(AJ16="是",$AW$4,$AW$3)</f>
        <v>0</v>
      </c>
      <c r="D16" s="111">
        <f>SUM($B$4:B16)-SUM($C$4:C16)</f>
        <v>20000</v>
      </c>
      <c r="E16" s="110">
        <f>SUM(经验!A16:X16)</f>
        <v>0</v>
      </c>
      <c r="F16" s="110">
        <f>SUM($E$4:E16)+SUM($G$4:G16)</f>
        <v>1500</v>
      </c>
      <c r="G16" s="110">
        <v>200</v>
      </c>
      <c r="H16" s="104" t="s">
        <v>35</v>
      </c>
      <c r="I16" s="104" t="s">
        <v>35</v>
      </c>
      <c r="J16" s="104" t="s">
        <v>35</v>
      </c>
      <c r="K16" s="104" t="s">
        <v>35</v>
      </c>
      <c r="L16" s="104" t="s">
        <v>35</v>
      </c>
      <c r="M16" s="104" t="s">
        <v>35</v>
      </c>
      <c r="N16" s="105" t="s">
        <v>35</v>
      </c>
      <c r="O16" s="105" t="s">
        <v>35</v>
      </c>
      <c r="P16" s="116" t="s">
        <v>35</v>
      </c>
      <c r="Q16" s="116" t="s">
        <v>35</v>
      </c>
      <c r="R16" s="116" t="s">
        <v>35</v>
      </c>
      <c r="S16" s="116" t="s">
        <v>35</v>
      </c>
      <c r="T16" s="116" t="s">
        <v>35</v>
      </c>
      <c r="U16" s="116" t="s">
        <v>35</v>
      </c>
      <c r="V16" s="105" t="s">
        <v>35</v>
      </c>
      <c r="W16" s="105" t="s">
        <v>35</v>
      </c>
      <c r="X16" s="112" t="s">
        <v>35</v>
      </c>
      <c r="Y16" s="112" t="s">
        <v>35</v>
      </c>
      <c r="Z16" s="112" t="s">
        <v>35</v>
      </c>
      <c r="AA16" s="112" t="s">
        <v>35</v>
      </c>
      <c r="AB16" s="112" t="s">
        <v>35</v>
      </c>
      <c r="AC16" s="112" t="s">
        <v>35</v>
      </c>
      <c r="AD16" s="113" t="s">
        <v>35</v>
      </c>
      <c r="AE16" s="113" t="s">
        <v>35</v>
      </c>
      <c r="AF16" s="107">
        <v>0</v>
      </c>
      <c r="AG16" s="107"/>
      <c r="AH16" s="107"/>
      <c r="AI16" s="114"/>
      <c r="AJ16" s="115" t="s">
        <v>36</v>
      </c>
      <c r="AL16" s="42" t="s">
        <v>54</v>
      </c>
      <c r="AM16" s="43">
        <v>150</v>
      </c>
      <c r="AN16" s="36">
        <v>35</v>
      </c>
      <c r="AO16" s="36">
        <f t="shared" si="3"/>
        <v>0</v>
      </c>
      <c r="AP16" s="36">
        <f t="shared" si="4"/>
        <v>0</v>
      </c>
      <c r="AQ16" s="36">
        <f t="shared" si="5"/>
        <v>0</v>
      </c>
      <c r="AR16" s="36">
        <f t="shared" si="6"/>
        <v>0</v>
      </c>
      <c r="AS16" s="57">
        <f t="shared" si="7"/>
        <v>0</v>
      </c>
      <c r="AT16" s="57">
        <f t="shared" si="2"/>
        <v>0</v>
      </c>
      <c r="AU16" s="57">
        <f t="shared" si="2"/>
        <v>0</v>
      </c>
      <c r="AY16">
        <f t="shared" si="8"/>
        <v>120</v>
      </c>
    </row>
    <row r="17" spans="1:51">
      <c r="A17" s="102">
        <v>44469</v>
      </c>
      <c r="B17" s="110">
        <v>1600</v>
      </c>
      <c r="C17" s="110">
        <f>(SUM(粮草!A17:X17)+AF17*10)*IF(AJ17="是",$AW$4,$AW$3)</f>
        <v>0</v>
      </c>
      <c r="D17" s="111">
        <f>SUM($B$4:B17)-SUM($C$4:C17)</f>
        <v>21600</v>
      </c>
      <c r="E17" s="110">
        <f>SUM(经验!A17:X17)</f>
        <v>0</v>
      </c>
      <c r="F17" s="110">
        <f>SUM($E$4:E17)+SUM($G$4:G17)</f>
        <v>1500</v>
      </c>
      <c r="G17" s="110">
        <v>0</v>
      </c>
      <c r="H17" s="104" t="s">
        <v>35</v>
      </c>
      <c r="I17" s="104" t="s">
        <v>35</v>
      </c>
      <c r="J17" s="104" t="s">
        <v>35</v>
      </c>
      <c r="K17" s="104" t="s">
        <v>35</v>
      </c>
      <c r="L17" s="104" t="s">
        <v>35</v>
      </c>
      <c r="M17" s="104" t="s">
        <v>35</v>
      </c>
      <c r="N17" s="105" t="s">
        <v>35</v>
      </c>
      <c r="O17" s="105" t="s">
        <v>35</v>
      </c>
      <c r="P17" s="104" t="s">
        <v>35</v>
      </c>
      <c r="Q17" s="104" t="s">
        <v>35</v>
      </c>
      <c r="R17" s="104" t="s">
        <v>35</v>
      </c>
      <c r="S17" s="104" t="s">
        <v>35</v>
      </c>
      <c r="T17" s="104" t="s">
        <v>35</v>
      </c>
      <c r="U17" s="104" t="s">
        <v>35</v>
      </c>
      <c r="V17" s="105" t="s">
        <v>35</v>
      </c>
      <c r="W17" s="105" t="s">
        <v>35</v>
      </c>
      <c r="X17" s="112" t="s">
        <v>35</v>
      </c>
      <c r="Y17" s="112" t="s">
        <v>35</v>
      </c>
      <c r="Z17" s="112" t="s">
        <v>35</v>
      </c>
      <c r="AA17" s="112" t="s">
        <v>35</v>
      </c>
      <c r="AB17" s="112" t="s">
        <v>35</v>
      </c>
      <c r="AC17" s="112" t="s">
        <v>35</v>
      </c>
      <c r="AD17" s="113" t="s">
        <v>35</v>
      </c>
      <c r="AE17" s="113" t="s">
        <v>35</v>
      </c>
      <c r="AF17" s="107">
        <v>0</v>
      </c>
      <c r="AG17" s="107"/>
      <c r="AH17" s="107"/>
      <c r="AI17" s="114"/>
      <c r="AJ17" s="115" t="s">
        <v>36</v>
      </c>
      <c r="AL17" s="23" t="s">
        <v>40</v>
      </c>
      <c r="AM17" s="36">
        <v>50</v>
      </c>
      <c r="AN17" s="36">
        <v>30</v>
      </c>
      <c r="AO17" s="36">
        <f t="shared" si="3"/>
        <v>0</v>
      </c>
      <c r="AP17" s="36">
        <f t="shared" si="4"/>
        <v>0</v>
      </c>
      <c r="AQ17" s="36">
        <f t="shared" si="5"/>
        <v>0</v>
      </c>
      <c r="AR17" s="36">
        <f t="shared" si="6"/>
        <v>0</v>
      </c>
      <c r="AS17" s="57">
        <f t="shared" si="7"/>
        <v>0</v>
      </c>
      <c r="AT17" s="57">
        <f t="shared" si="2"/>
        <v>0</v>
      </c>
      <c r="AU17" s="57">
        <f t="shared" si="2"/>
        <v>0</v>
      </c>
      <c r="AY17">
        <f t="shared" si="8"/>
        <v>40</v>
      </c>
    </row>
    <row r="18" spans="1:51">
      <c r="A18" s="102">
        <v>44470</v>
      </c>
      <c r="B18" s="110">
        <v>1600</v>
      </c>
      <c r="C18" s="110">
        <f>(SUM(粮草!A18:X18)+AF18*10)*IF(AJ18="是",$AW$4,$AW$3)</f>
        <v>0</v>
      </c>
      <c r="D18" s="111">
        <f>SUM($B$4:B18)-SUM($C$4:C18)</f>
        <v>23200</v>
      </c>
      <c r="E18" s="110">
        <f>SUM(经验!A18:X18)</f>
        <v>0</v>
      </c>
      <c r="F18" s="110">
        <f>SUM($E$4:E18)+SUM($G$4:G18)</f>
        <v>1500</v>
      </c>
      <c r="G18" s="110">
        <v>0</v>
      </c>
      <c r="H18" s="104" t="s">
        <v>35</v>
      </c>
      <c r="I18" s="104" t="s">
        <v>35</v>
      </c>
      <c r="J18" s="104" t="s">
        <v>35</v>
      </c>
      <c r="K18" s="104" t="s">
        <v>35</v>
      </c>
      <c r="L18" s="104" t="s">
        <v>35</v>
      </c>
      <c r="M18" s="104" t="s">
        <v>35</v>
      </c>
      <c r="N18" s="105" t="s">
        <v>35</v>
      </c>
      <c r="O18" s="105" t="s">
        <v>35</v>
      </c>
      <c r="P18" s="104" t="s">
        <v>35</v>
      </c>
      <c r="Q18" s="104" t="s">
        <v>35</v>
      </c>
      <c r="R18" s="104" t="s">
        <v>35</v>
      </c>
      <c r="S18" s="104" t="s">
        <v>35</v>
      </c>
      <c r="T18" s="104" t="s">
        <v>35</v>
      </c>
      <c r="U18" s="104" t="s">
        <v>35</v>
      </c>
      <c r="V18" s="105" t="s">
        <v>35</v>
      </c>
      <c r="W18" s="105" t="s">
        <v>35</v>
      </c>
      <c r="X18" s="112" t="s">
        <v>35</v>
      </c>
      <c r="Y18" s="112" t="s">
        <v>35</v>
      </c>
      <c r="Z18" s="112" t="s">
        <v>35</v>
      </c>
      <c r="AA18" s="112" t="s">
        <v>35</v>
      </c>
      <c r="AB18" s="112" t="s">
        <v>35</v>
      </c>
      <c r="AC18" s="112" t="s">
        <v>35</v>
      </c>
      <c r="AD18" s="113" t="s">
        <v>35</v>
      </c>
      <c r="AE18" s="113" t="s">
        <v>35</v>
      </c>
      <c r="AF18" s="107">
        <v>0</v>
      </c>
      <c r="AG18" s="107"/>
      <c r="AH18" s="107"/>
      <c r="AI18" s="114"/>
      <c r="AJ18" s="115" t="s">
        <v>36</v>
      </c>
      <c r="AK18" s="44" t="s">
        <v>33</v>
      </c>
      <c r="AL18" s="29" t="s">
        <v>48</v>
      </c>
      <c r="AM18" s="36">
        <v>-150</v>
      </c>
      <c r="AN18" s="36">
        <v>0</v>
      </c>
      <c r="AO18" s="36">
        <f t="shared" si="3"/>
        <v>0</v>
      </c>
      <c r="AP18" s="36">
        <f t="shared" si="4"/>
        <v>0</v>
      </c>
      <c r="AQ18" s="36">
        <f t="shared" si="5"/>
        <v>0</v>
      </c>
      <c r="AR18" s="36">
        <f t="shared" si="6"/>
        <v>0</v>
      </c>
      <c r="AS18" s="57">
        <f t="shared" si="7"/>
        <v>0</v>
      </c>
      <c r="AT18" s="57">
        <f t="shared" si="2"/>
        <v>0</v>
      </c>
      <c r="AU18" s="57">
        <f t="shared" si="2"/>
        <v>0</v>
      </c>
      <c r="AY18">
        <f t="shared" si="8"/>
        <v>-120</v>
      </c>
    </row>
    <row r="19" spans="1:51">
      <c r="A19" s="102">
        <v>44471</v>
      </c>
      <c r="B19" s="110">
        <v>1600</v>
      </c>
      <c r="C19" s="110">
        <f>(SUM(粮草!A19:X19)+AF19*10)*IF(AJ19="是",$AW$4,$AW$3)</f>
        <v>0</v>
      </c>
      <c r="D19" s="111">
        <f>SUM($B$4:B19)-SUM($C$4:C19)</f>
        <v>24800</v>
      </c>
      <c r="E19" s="110">
        <f>SUM(经验!A19:X19)</f>
        <v>0</v>
      </c>
      <c r="F19" s="110">
        <f>SUM($E$4:E19)+SUM($G$4:G19)</f>
        <v>1500</v>
      </c>
      <c r="G19" s="110">
        <v>0</v>
      </c>
      <c r="H19" s="104" t="s">
        <v>35</v>
      </c>
      <c r="I19" s="104" t="s">
        <v>35</v>
      </c>
      <c r="J19" s="104" t="s">
        <v>35</v>
      </c>
      <c r="K19" s="104" t="s">
        <v>35</v>
      </c>
      <c r="L19" s="104" t="s">
        <v>35</v>
      </c>
      <c r="M19" s="104" t="s">
        <v>35</v>
      </c>
      <c r="N19" s="105" t="s">
        <v>35</v>
      </c>
      <c r="O19" s="105" t="s">
        <v>35</v>
      </c>
      <c r="P19" s="104" t="s">
        <v>35</v>
      </c>
      <c r="Q19" s="104" t="s">
        <v>35</v>
      </c>
      <c r="R19" s="104" t="s">
        <v>35</v>
      </c>
      <c r="S19" s="104" t="s">
        <v>35</v>
      </c>
      <c r="T19" s="104" t="s">
        <v>35</v>
      </c>
      <c r="U19" s="104" t="s">
        <v>35</v>
      </c>
      <c r="V19" s="105" t="s">
        <v>35</v>
      </c>
      <c r="W19" s="105" t="s">
        <v>35</v>
      </c>
      <c r="X19" s="112" t="s">
        <v>35</v>
      </c>
      <c r="Y19" s="112" t="s">
        <v>35</v>
      </c>
      <c r="Z19" s="112" t="s">
        <v>35</v>
      </c>
      <c r="AA19" s="112" t="s">
        <v>35</v>
      </c>
      <c r="AB19" s="112" t="s">
        <v>35</v>
      </c>
      <c r="AC19" s="112" t="s">
        <v>35</v>
      </c>
      <c r="AD19" s="113" t="s">
        <v>35</v>
      </c>
      <c r="AE19" s="113" t="s">
        <v>35</v>
      </c>
      <c r="AF19" s="107">
        <v>0</v>
      </c>
      <c r="AG19" s="107"/>
      <c r="AH19" s="107"/>
      <c r="AI19" s="114"/>
      <c r="AJ19" s="115" t="s">
        <v>55</v>
      </c>
      <c r="AL19" s="25" t="s">
        <v>49</v>
      </c>
      <c r="AM19" s="36">
        <v>250</v>
      </c>
      <c r="AN19" s="36">
        <v>200</v>
      </c>
      <c r="AO19" s="36">
        <f t="shared" si="3"/>
        <v>0</v>
      </c>
      <c r="AP19" s="36">
        <f t="shared" si="4"/>
        <v>0</v>
      </c>
      <c r="AQ19" s="36">
        <f t="shared" si="5"/>
        <v>0</v>
      </c>
      <c r="AR19" s="36">
        <f t="shared" si="6"/>
        <v>0</v>
      </c>
      <c r="AS19" s="57">
        <f t="shared" si="7"/>
        <v>0</v>
      </c>
      <c r="AT19" s="57">
        <f t="shared" si="2"/>
        <v>0</v>
      </c>
      <c r="AU19" s="57">
        <f t="shared" si="2"/>
        <v>0</v>
      </c>
      <c r="AY19">
        <f t="shared" si="8"/>
        <v>200</v>
      </c>
    </row>
    <row r="20" spans="1:51">
      <c r="A20" s="102">
        <v>44472</v>
      </c>
      <c r="B20" s="110">
        <v>1600</v>
      </c>
      <c r="C20" s="110">
        <f>(SUM(粮草!A20:X20)+AF20*10)*IF(AJ20="是",$AW$4,$AW$3)</f>
        <v>0</v>
      </c>
      <c r="D20" s="111">
        <f>SUM($B$4:B20)-SUM($C$4:C20)</f>
        <v>26400</v>
      </c>
      <c r="E20" s="110">
        <f>SUM(经验!A20:X20)</f>
        <v>0</v>
      </c>
      <c r="F20" s="110">
        <f>SUM($E$4:E20)+SUM($G$4:G20)</f>
        <v>1500</v>
      </c>
      <c r="G20" s="110">
        <v>0</v>
      </c>
      <c r="H20" s="104" t="s">
        <v>35</v>
      </c>
      <c r="I20" s="104" t="s">
        <v>35</v>
      </c>
      <c r="J20" s="104" t="s">
        <v>35</v>
      </c>
      <c r="K20" s="104" t="s">
        <v>35</v>
      </c>
      <c r="L20" s="104" t="s">
        <v>35</v>
      </c>
      <c r="M20" s="104" t="s">
        <v>35</v>
      </c>
      <c r="N20" s="105" t="s">
        <v>35</v>
      </c>
      <c r="O20" s="105" t="s">
        <v>35</v>
      </c>
      <c r="P20" s="104" t="s">
        <v>35</v>
      </c>
      <c r="Q20" s="104" t="s">
        <v>35</v>
      </c>
      <c r="R20" s="104" t="s">
        <v>35</v>
      </c>
      <c r="S20" s="104" t="s">
        <v>35</v>
      </c>
      <c r="T20" s="104" t="s">
        <v>35</v>
      </c>
      <c r="U20" s="104" t="s">
        <v>35</v>
      </c>
      <c r="V20" s="105" t="s">
        <v>35</v>
      </c>
      <c r="W20" s="105" t="s">
        <v>35</v>
      </c>
      <c r="X20" s="112" t="s">
        <v>35</v>
      </c>
      <c r="Y20" s="112" t="s">
        <v>35</v>
      </c>
      <c r="Z20" s="112" t="s">
        <v>35</v>
      </c>
      <c r="AA20" s="112" t="s">
        <v>35</v>
      </c>
      <c r="AB20" s="112" t="s">
        <v>35</v>
      </c>
      <c r="AC20" s="112" t="s">
        <v>35</v>
      </c>
      <c r="AD20" s="113" t="s">
        <v>35</v>
      </c>
      <c r="AE20" s="113" t="s">
        <v>35</v>
      </c>
      <c r="AF20" s="107">
        <v>0</v>
      </c>
      <c r="AG20" s="107"/>
      <c r="AH20" s="107"/>
      <c r="AI20" s="114"/>
      <c r="AJ20" s="115" t="s">
        <v>55</v>
      </c>
      <c r="AL20" s="25" t="s">
        <v>44</v>
      </c>
      <c r="AM20" s="36">
        <v>170</v>
      </c>
      <c r="AN20" s="36">
        <v>45</v>
      </c>
      <c r="AO20" s="36">
        <f t="shared" si="3"/>
        <v>0</v>
      </c>
      <c r="AP20" s="36">
        <f t="shared" si="4"/>
        <v>0</v>
      </c>
      <c r="AQ20" s="36">
        <f t="shared" si="5"/>
        <v>0</v>
      </c>
      <c r="AR20" s="36">
        <f t="shared" si="6"/>
        <v>0</v>
      </c>
      <c r="AS20" s="57">
        <f t="shared" si="7"/>
        <v>0</v>
      </c>
      <c r="AT20" s="57">
        <f t="shared" si="7"/>
        <v>0</v>
      </c>
      <c r="AU20" s="57">
        <f t="shared" si="7"/>
        <v>0</v>
      </c>
      <c r="AY20">
        <f t="shared" si="8"/>
        <v>136</v>
      </c>
    </row>
    <row r="21" spans="1:51">
      <c r="A21" s="102">
        <v>44473</v>
      </c>
      <c r="B21" s="110">
        <v>1600</v>
      </c>
      <c r="C21" s="110">
        <f>(SUM(粮草!A21:X21)+AF21*10)*IF(AJ21="是",$AW$4,$AW$3)</f>
        <v>0</v>
      </c>
      <c r="D21" s="111">
        <f>SUM($B$4:B21)-SUM($C$4:C21)</f>
        <v>28000</v>
      </c>
      <c r="E21" s="110">
        <f>SUM(经验!A21:X21)</f>
        <v>0</v>
      </c>
      <c r="F21" s="110">
        <f>SUM($E$4:E21)+SUM($G$4:G21)</f>
        <v>1700</v>
      </c>
      <c r="G21" s="110">
        <v>200</v>
      </c>
      <c r="H21" s="104" t="s">
        <v>35</v>
      </c>
      <c r="I21" s="104" t="s">
        <v>35</v>
      </c>
      <c r="J21" s="104" t="s">
        <v>35</v>
      </c>
      <c r="K21" s="104" t="s">
        <v>35</v>
      </c>
      <c r="L21" s="104" t="s">
        <v>35</v>
      </c>
      <c r="M21" s="104" t="s">
        <v>35</v>
      </c>
      <c r="N21" s="105" t="s">
        <v>35</v>
      </c>
      <c r="O21" s="105" t="s">
        <v>35</v>
      </c>
      <c r="P21" s="104" t="s">
        <v>35</v>
      </c>
      <c r="Q21" s="104" t="s">
        <v>35</v>
      </c>
      <c r="R21" s="104" t="s">
        <v>35</v>
      </c>
      <c r="S21" s="104" t="s">
        <v>35</v>
      </c>
      <c r="T21" s="104" t="s">
        <v>35</v>
      </c>
      <c r="U21" s="104" t="s">
        <v>35</v>
      </c>
      <c r="V21" s="105" t="s">
        <v>35</v>
      </c>
      <c r="W21" s="105" t="s">
        <v>35</v>
      </c>
      <c r="X21" s="112" t="s">
        <v>35</v>
      </c>
      <c r="Y21" s="112" t="s">
        <v>35</v>
      </c>
      <c r="Z21" s="112" t="s">
        <v>35</v>
      </c>
      <c r="AA21" s="112" t="s">
        <v>35</v>
      </c>
      <c r="AB21" s="112" t="s">
        <v>35</v>
      </c>
      <c r="AC21" s="112" t="s">
        <v>35</v>
      </c>
      <c r="AD21" s="113" t="s">
        <v>35</v>
      </c>
      <c r="AE21" s="113" t="s">
        <v>35</v>
      </c>
      <c r="AF21" s="107">
        <v>0</v>
      </c>
      <c r="AG21" s="107"/>
      <c r="AH21" s="107"/>
      <c r="AI21" s="114"/>
      <c r="AJ21" s="115" t="s">
        <v>55</v>
      </c>
      <c r="AL21" s="45" t="s">
        <v>56</v>
      </c>
      <c r="AM21" s="36">
        <v>250</v>
      </c>
      <c r="AN21" s="36">
        <v>200</v>
      </c>
      <c r="AO21" s="36">
        <f t="shared" si="3"/>
        <v>0</v>
      </c>
      <c r="AP21" s="36">
        <f t="shared" si="4"/>
        <v>0</v>
      </c>
      <c r="AQ21" s="36">
        <f t="shared" si="5"/>
        <v>0</v>
      </c>
      <c r="AR21" s="36">
        <f t="shared" si="6"/>
        <v>0</v>
      </c>
      <c r="AS21" s="57">
        <f t="shared" si="7"/>
        <v>0</v>
      </c>
      <c r="AT21" s="57">
        <f t="shared" si="7"/>
        <v>0</v>
      </c>
      <c r="AU21" s="57">
        <f t="shared" si="7"/>
        <v>0</v>
      </c>
      <c r="AY21">
        <f t="shared" si="8"/>
        <v>200</v>
      </c>
    </row>
    <row r="22" spans="1:51">
      <c r="A22" s="102">
        <v>44474</v>
      </c>
      <c r="B22" s="110">
        <v>1600</v>
      </c>
      <c r="C22" s="110">
        <f>(SUM(粮草!A22:X22)+AF22*10)*IF(AJ22="是",$AW$4,$AW$3)</f>
        <v>0</v>
      </c>
      <c r="D22" s="111">
        <f>SUM($B$4:B22)-SUM($C$4:C22)</f>
        <v>29600</v>
      </c>
      <c r="E22" s="110">
        <f>SUM(经验!A22:X22)</f>
        <v>0</v>
      </c>
      <c r="F22" s="110">
        <f>SUM($E$4:E22)+SUM($G$4:G22)</f>
        <v>1800</v>
      </c>
      <c r="G22" s="110">
        <v>100</v>
      </c>
      <c r="H22" s="104" t="s">
        <v>35</v>
      </c>
      <c r="I22" s="104" t="s">
        <v>35</v>
      </c>
      <c r="J22" s="104" t="s">
        <v>35</v>
      </c>
      <c r="K22" s="104" t="s">
        <v>35</v>
      </c>
      <c r="L22" s="104" t="s">
        <v>35</v>
      </c>
      <c r="M22" s="104" t="s">
        <v>35</v>
      </c>
      <c r="N22" s="105" t="s">
        <v>35</v>
      </c>
      <c r="O22" s="105" t="s">
        <v>35</v>
      </c>
      <c r="P22" s="104" t="s">
        <v>35</v>
      </c>
      <c r="Q22" s="104" t="s">
        <v>35</v>
      </c>
      <c r="R22" s="104" t="s">
        <v>35</v>
      </c>
      <c r="S22" s="104" t="s">
        <v>35</v>
      </c>
      <c r="T22" s="104" t="s">
        <v>35</v>
      </c>
      <c r="U22" s="104" t="s">
        <v>35</v>
      </c>
      <c r="V22" s="105" t="s">
        <v>35</v>
      </c>
      <c r="W22" s="105" t="s">
        <v>35</v>
      </c>
      <c r="X22" s="112" t="s">
        <v>35</v>
      </c>
      <c r="Y22" s="112" t="s">
        <v>35</v>
      </c>
      <c r="Z22" s="112" t="s">
        <v>35</v>
      </c>
      <c r="AA22" s="112" t="s">
        <v>35</v>
      </c>
      <c r="AB22" s="112" t="s">
        <v>35</v>
      </c>
      <c r="AC22" s="112" t="s">
        <v>35</v>
      </c>
      <c r="AD22" s="113" t="s">
        <v>35</v>
      </c>
      <c r="AE22" s="113" t="s">
        <v>35</v>
      </c>
      <c r="AF22" s="107">
        <v>0</v>
      </c>
      <c r="AG22" s="107"/>
      <c r="AH22" s="107"/>
      <c r="AI22" s="114"/>
      <c r="AJ22" s="115" t="s">
        <v>55</v>
      </c>
      <c r="AL22" s="46" t="s">
        <v>57</v>
      </c>
      <c r="AM22" s="36">
        <v>250</v>
      </c>
      <c r="AN22" s="36">
        <v>1000</v>
      </c>
      <c r="AO22" s="36">
        <f t="shared" si="3"/>
        <v>0</v>
      </c>
      <c r="AP22" s="36">
        <f t="shared" si="4"/>
        <v>0</v>
      </c>
      <c r="AQ22" s="36">
        <f t="shared" si="5"/>
        <v>0</v>
      </c>
      <c r="AR22" s="36">
        <f t="shared" si="6"/>
        <v>0</v>
      </c>
      <c r="AS22" s="57">
        <f t="shared" si="7"/>
        <v>0</v>
      </c>
      <c r="AT22" s="57">
        <f t="shared" si="7"/>
        <v>0</v>
      </c>
      <c r="AU22" s="57">
        <f t="shared" si="7"/>
        <v>0</v>
      </c>
      <c r="AY22">
        <f t="shared" si="8"/>
        <v>200</v>
      </c>
    </row>
    <row r="23" spans="1:51">
      <c r="A23" s="102">
        <v>44475</v>
      </c>
      <c r="B23" s="110">
        <v>1600</v>
      </c>
      <c r="C23" s="110">
        <f>(SUM(粮草!A23:X23)+AF23*10)*IF(AJ23="是",$AW$4,$AW$3)</f>
        <v>0</v>
      </c>
      <c r="D23" s="111">
        <v>4672</v>
      </c>
      <c r="E23" s="110">
        <f>SUM(经验!A23:X23)</f>
        <v>0</v>
      </c>
      <c r="F23" s="110">
        <v>9070</v>
      </c>
      <c r="G23" s="110">
        <v>200</v>
      </c>
      <c r="H23" s="104" t="s">
        <v>35</v>
      </c>
      <c r="I23" s="104" t="s">
        <v>35</v>
      </c>
      <c r="J23" s="104" t="s">
        <v>35</v>
      </c>
      <c r="K23" s="104" t="s">
        <v>35</v>
      </c>
      <c r="L23" s="104" t="s">
        <v>35</v>
      </c>
      <c r="M23" s="104" t="s">
        <v>35</v>
      </c>
      <c r="N23" s="105" t="s">
        <v>35</v>
      </c>
      <c r="O23" s="105" t="s">
        <v>35</v>
      </c>
      <c r="P23" s="104" t="s">
        <v>35</v>
      </c>
      <c r="Q23" s="104" t="s">
        <v>35</v>
      </c>
      <c r="R23" s="104" t="s">
        <v>35</v>
      </c>
      <c r="S23" s="104" t="s">
        <v>35</v>
      </c>
      <c r="T23" s="104" t="s">
        <v>35</v>
      </c>
      <c r="U23" s="104" t="s">
        <v>35</v>
      </c>
      <c r="V23" s="105" t="s">
        <v>35</v>
      </c>
      <c r="W23" s="105" t="s">
        <v>35</v>
      </c>
      <c r="X23" s="112" t="s">
        <v>35</v>
      </c>
      <c r="Y23" s="112" t="s">
        <v>35</v>
      </c>
      <c r="Z23" s="112" t="s">
        <v>35</v>
      </c>
      <c r="AA23" s="112" t="s">
        <v>35</v>
      </c>
      <c r="AB23" s="112" t="s">
        <v>35</v>
      </c>
      <c r="AC23" s="112" t="s">
        <v>35</v>
      </c>
      <c r="AD23" s="113" t="s">
        <v>35</v>
      </c>
      <c r="AE23" s="113" t="s">
        <v>35</v>
      </c>
      <c r="AF23" s="107">
        <v>0</v>
      </c>
      <c r="AG23" s="107"/>
      <c r="AH23" s="107"/>
      <c r="AI23" s="114"/>
      <c r="AJ23" s="115" t="s">
        <v>55</v>
      </c>
      <c r="AL23" s="47" t="s">
        <v>58</v>
      </c>
      <c r="AM23" s="36">
        <v>250</v>
      </c>
      <c r="AN23" s="36">
        <v>500</v>
      </c>
      <c r="AO23" s="36">
        <f t="shared" si="3"/>
        <v>0</v>
      </c>
      <c r="AP23" s="36">
        <f t="shared" si="4"/>
        <v>0</v>
      </c>
      <c r="AQ23" s="36">
        <f t="shared" si="5"/>
        <v>0</v>
      </c>
      <c r="AR23" s="36">
        <f t="shared" si="6"/>
        <v>0</v>
      </c>
      <c r="AS23" s="57">
        <f t="shared" si="7"/>
        <v>0</v>
      </c>
      <c r="AT23" s="57">
        <f t="shared" si="7"/>
        <v>0</v>
      </c>
      <c r="AU23" s="57">
        <f t="shared" si="7"/>
        <v>0</v>
      </c>
      <c r="AY23">
        <f t="shared" si="8"/>
        <v>200</v>
      </c>
    </row>
    <row r="24" spans="1:51">
      <c r="A24" s="18">
        <v>44476</v>
      </c>
      <c r="B24" s="21">
        <v>1600</v>
      </c>
      <c r="C24" s="19">
        <f>(SUM(粮草!A24:X24)+AF24*10)*IF(AJ24="是",$AW$4,$AW$3)</f>
        <v>0</v>
      </c>
      <c r="D24" s="22">
        <f>SUM($B$24:B24)-SUM($C$24:C24)+$D$23</f>
        <v>6272</v>
      </c>
      <c r="E24" s="19">
        <f>SUM(经验!A24:X24)</f>
        <v>0</v>
      </c>
      <c r="F24" s="19">
        <f>SUM($E$24:E24)+SUM($G$24:G24)+$F$23</f>
        <v>9070</v>
      </c>
      <c r="G24" s="21">
        <v>0</v>
      </c>
      <c r="H24" s="71" t="s">
        <v>35</v>
      </c>
      <c r="I24" s="71" t="s">
        <v>35</v>
      </c>
      <c r="J24" s="71" t="s">
        <v>35</v>
      </c>
      <c r="K24" s="71" t="s">
        <v>35</v>
      </c>
      <c r="L24" s="71" t="s">
        <v>35</v>
      </c>
      <c r="M24" s="71" t="s">
        <v>35</v>
      </c>
      <c r="N24" s="72" t="s">
        <v>35</v>
      </c>
      <c r="O24" s="72" t="s">
        <v>35</v>
      </c>
      <c r="P24" s="71" t="s">
        <v>35</v>
      </c>
      <c r="Q24" s="71" t="s">
        <v>35</v>
      </c>
      <c r="R24" s="71" t="s">
        <v>35</v>
      </c>
      <c r="S24" s="71" t="s">
        <v>35</v>
      </c>
      <c r="T24" s="71" t="s">
        <v>35</v>
      </c>
      <c r="U24" s="71" t="s">
        <v>35</v>
      </c>
      <c r="V24" s="72" t="s">
        <v>35</v>
      </c>
      <c r="W24" s="72" t="s">
        <v>35</v>
      </c>
      <c r="X24" s="26" t="s">
        <v>35</v>
      </c>
      <c r="Y24" s="26" t="s">
        <v>35</v>
      </c>
      <c r="Z24" s="26" t="s">
        <v>35</v>
      </c>
      <c r="AA24" s="26" t="s">
        <v>35</v>
      </c>
      <c r="AB24" s="26" t="s">
        <v>35</v>
      </c>
      <c r="AC24" s="26" t="s">
        <v>35</v>
      </c>
      <c r="AD24" s="30" t="s">
        <v>35</v>
      </c>
      <c r="AE24" s="30" t="s">
        <v>35</v>
      </c>
      <c r="AF24" s="73">
        <v>0</v>
      </c>
      <c r="AG24" s="73"/>
      <c r="AH24" s="73"/>
      <c r="AI24" s="32"/>
      <c r="AJ24" s="37" t="s">
        <v>55</v>
      </c>
      <c r="AL24" s="48" t="s">
        <v>59</v>
      </c>
      <c r="AM24" s="36">
        <v>160</v>
      </c>
      <c r="AN24" s="36">
        <v>40</v>
      </c>
      <c r="AO24" s="36">
        <f t="shared" si="3"/>
        <v>0</v>
      </c>
      <c r="AP24" s="36">
        <f t="shared" si="4"/>
        <v>0</v>
      </c>
      <c r="AQ24" s="36">
        <f t="shared" si="5"/>
        <v>0</v>
      </c>
      <c r="AR24" s="36">
        <f t="shared" si="6"/>
        <v>0</v>
      </c>
      <c r="AS24" s="57">
        <f t="shared" si="7"/>
        <v>0</v>
      </c>
      <c r="AT24" s="57">
        <f t="shared" si="7"/>
        <v>0</v>
      </c>
      <c r="AU24" s="57">
        <f t="shared" si="7"/>
        <v>0</v>
      </c>
      <c r="AY24">
        <f t="shared" si="8"/>
        <v>128</v>
      </c>
    </row>
    <row r="25" spans="1:51">
      <c r="A25" s="18">
        <v>44477</v>
      </c>
      <c r="B25" s="21">
        <v>1600</v>
      </c>
      <c r="C25" s="19">
        <f>(SUM(粮草!A25:X25)+AF25*10)*IF(AJ25="是",$AW$4,$AW$3)</f>
        <v>0</v>
      </c>
      <c r="D25" s="22">
        <f>SUM($B$4:B25)-SUM($C$4:C25)</f>
        <v>34400</v>
      </c>
      <c r="E25" s="19">
        <f>SUM(经验!A25:X25)</f>
        <v>0</v>
      </c>
      <c r="F25" s="19">
        <f>SUM($E$4:E25)+SUM($G$4:G25)</f>
        <v>2000</v>
      </c>
      <c r="G25" s="21">
        <v>0</v>
      </c>
      <c r="H25" s="71" t="s">
        <v>35</v>
      </c>
      <c r="I25" s="71" t="s">
        <v>35</v>
      </c>
      <c r="J25" s="71" t="s">
        <v>35</v>
      </c>
      <c r="K25" s="71" t="s">
        <v>35</v>
      </c>
      <c r="L25" s="71" t="s">
        <v>35</v>
      </c>
      <c r="M25" s="71" t="s">
        <v>35</v>
      </c>
      <c r="N25" s="72" t="s">
        <v>35</v>
      </c>
      <c r="O25" s="72" t="s">
        <v>35</v>
      </c>
      <c r="P25" s="71" t="s">
        <v>35</v>
      </c>
      <c r="Q25" s="71" t="s">
        <v>35</v>
      </c>
      <c r="R25" s="71" t="s">
        <v>35</v>
      </c>
      <c r="S25" s="71" t="s">
        <v>35</v>
      </c>
      <c r="T25" s="71" t="s">
        <v>35</v>
      </c>
      <c r="U25" s="71" t="s">
        <v>35</v>
      </c>
      <c r="V25" s="72" t="s">
        <v>35</v>
      </c>
      <c r="W25" s="72" t="s">
        <v>35</v>
      </c>
      <c r="X25" s="26" t="s">
        <v>35</v>
      </c>
      <c r="Y25" s="26" t="s">
        <v>35</v>
      </c>
      <c r="Z25" s="26" t="s">
        <v>35</v>
      </c>
      <c r="AA25" s="26" t="s">
        <v>35</v>
      </c>
      <c r="AB25" s="26" t="s">
        <v>35</v>
      </c>
      <c r="AC25" s="26" t="s">
        <v>35</v>
      </c>
      <c r="AD25" s="30" t="s">
        <v>35</v>
      </c>
      <c r="AE25" s="30" t="s">
        <v>35</v>
      </c>
      <c r="AF25" s="73">
        <v>0</v>
      </c>
      <c r="AG25" s="73"/>
      <c r="AH25" s="73"/>
      <c r="AI25" s="32"/>
      <c r="AJ25" s="37" t="s">
        <v>55</v>
      </c>
      <c r="AL25" s="48" t="s">
        <v>60</v>
      </c>
      <c r="AM25" s="36">
        <v>160</v>
      </c>
      <c r="AN25" s="36">
        <v>40</v>
      </c>
      <c r="AO25" s="36">
        <f t="shared" si="3"/>
        <v>0</v>
      </c>
      <c r="AP25" s="36">
        <f t="shared" si="4"/>
        <v>0</v>
      </c>
      <c r="AQ25" s="36">
        <f t="shared" si="5"/>
        <v>0</v>
      </c>
      <c r="AR25" s="36">
        <f t="shared" si="6"/>
        <v>0</v>
      </c>
      <c r="AS25" s="57">
        <f t="shared" si="7"/>
        <v>0</v>
      </c>
      <c r="AT25" s="57">
        <f t="shared" si="7"/>
        <v>0</v>
      </c>
      <c r="AU25" s="57">
        <f t="shared" si="7"/>
        <v>0</v>
      </c>
      <c r="AY25">
        <f t="shared" si="8"/>
        <v>128</v>
      </c>
    </row>
    <row r="26" spans="1:51">
      <c r="A26" s="18">
        <v>44478</v>
      </c>
      <c r="B26" s="21">
        <v>1600</v>
      </c>
      <c r="C26" s="19">
        <f>(SUM(粮草!A26:X26)+AF26*10)*IF(AJ26="是",$AW$4,$AW$3)</f>
        <v>0</v>
      </c>
      <c r="D26" s="22">
        <f>SUM($B$4:B26)-SUM($C$4:C26)</f>
        <v>36000</v>
      </c>
      <c r="E26" s="19">
        <f>SUM(经验!A26:X26)</f>
        <v>0</v>
      </c>
      <c r="F26" s="19">
        <f>SUM($E$4:E26)+SUM($G$4:G26)</f>
        <v>2000</v>
      </c>
      <c r="G26" s="21">
        <v>0</v>
      </c>
      <c r="H26" s="71" t="s">
        <v>35</v>
      </c>
      <c r="I26" s="71" t="s">
        <v>35</v>
      </c>
      <c r="J26" s="71" t="s">
        <v>35</v>
      </c>
      <c r="K26" s="71" t="s">
        <v>35</v>
      </c>
      <c r="L26" s="71" t="s">
        <v>35</v>
      </c>
      <c r="M26" s="71" t="s">
        <v>35</v>
      </c>
      <c r="N26" s="72" t="s">
        <v>35</v>
      </c>
      <c r="O26" s="72" t="s">
        <v>35</v>
      </c>
      <c r="P26" s="71" t="s">
        <v>35</v>
      </c>
      <c r="Q26" s="71" t="s">
        <v>35</v>
      </c>
      <c r="R26" s="71" t="s">
        <v>35</v>
      </c>
      <c r="S26" s="71" t="s">
        <v>35</v>
      </c>
      <c r="T26" s="71" t="s">
        <v>35</v>
      </c>
      <c r="U26" s="71" t="s">
        <v>35</v>
      </c>
      <c r="V26" s="72" t="s">
        <v>35</v>
      </c>
      <c r="W26" s="72" t="s">
        <v>35</v>
      </c>
      <c r="X26" s="26" t="s">
        <v>35</v>
      </c>
      <c r="Y26" s="26" t="s">
        <v>35</v>
      </c>
      <c r="Z26" s="26" t="s">
        <v>35</v>
      </c>
      <c r="AA26" s="26" t="s">
        <v>35</v>
      </c>
      <c r="AB26" s="26" t="s">
        <v>35</v>
      </c>
      <c r="AC26" s="26" t="s">
        <v>35</v>
      </c>
      <c r="AD26" s="30" t="s">
        <v>35</v>
      </c>
      <c r="AE26" s="30" t="s">
        <v>35</v>
      </c>
      <c r="AF26" s="73">
        <v>0</v>
      </c>
      <c r="AG26" s="73"/>
      <c r="AH26" s="73"/>
      <c r="AI26" s="32"/>
      <c r="AJ26" s="37" t="s">
        <v>55</v>
      </c>
      <c r="AL26" s="48" t="s">
        <v>61</v>
      </c>
      <c r="AM26" s="36">
        <v>150</v>
      </c>
      <c r="AN26" s="36">
        <v>35</v>
      </c>
      <c r="AO26" s="36">
        <f t="shared" si="3"/>
        <v>0</v>
      </c>
      <c r="AP26" s="36">
        <f t="shared" si="4"/>
        <v>0</v>
      </c>
      <c r="AQ26" s="36">
        <f t="shared" si="5"/>
        <v>0</v>
      </c>
      <c r="AR26" s="36">
        <f t="shared" si="6"/>
        <v>0</v>
      </c>
      <c r="AS26" s="57">
        <f t="shared" si="7"/>
        <v>0</v>
      </c>
      <c r="AT26" s="57">
        <f t="shared" si="7"/>
        <v>0</v>
      </c>
      <c r="AU26" s="57">
        <f t="shared" si="7"/>
        <v>0</v>
      </c>
      <c r="AY26">
        <f t="shared" si="8"/>
        <v>120</v>
      </c>
    </row>
    <row r="27" spans="1:51">
      <c r="A27" s="18">
        <v>44479</v>
      </c>
      <c r="B27" s="21">
        <v>1600</v>
      </c>
      <c r="C27" s="19">
        <f>(SUM(粮草!A27:X27)+AF27*10)*IF(AJ27="是",$AW$4,$AW$3)</f>
        <v>0</v>
      </c>
      <c r="D27" s="22">
        <f>SUM($B$4:B27)-SUM($C$4:C27)</f>
        <v>37600</v>
      </c>
      <c r="E27" s="19">
        <f>SUM(经验!A27:X27)</f>
        <v>0</v>
      </c>
      <c r="F27" s="19">
        <f>SUM($E$4:E27)+SUM($G$4:G27)</f>
        <v>2000</v>
      </c>
      <c r="G27" s="21">
        <v>0</v>
      </c>
      <c r="H27" s="71" t="s">
        <v>35</v>
      </c>
      <c r="I27" s="71" t="s">
        <v>35</v>
      </c>
      <c r="J27" s="71" t="s">
        <v>35</v>
      </c>
      <c r="K27" s="71" t="s">
        <v>35</v>
      </c>
      <c r="L27" s="71" t="s">
        <v>35</v>
      </c>
      <c r="M27" s="71" t="s">
        <v>35</v>
      </c>
      <c r="N27" s="72" t="s">
        <v>35</v>
      </c>
      <c r="O27" s="72" t="s">
        <v>35</v>
      </c>
      <c r="P27" s="71" t="s">
        <v>35</v>
      </c>
      <c r="Q27" s="71" t="s">
        <v>35</v>
      </c>
      <c r="R27" s="71" t="s">
        <v>35</v>
      </c>
      <c r="S27" s="71" t="s">
        <v>35</v>
      </c>
      <c r="T27" s="71" t="s">
        <v>35</v>
      </c>
      <c r="U27" s="71" t="s">
        <v>35</v>
      </c>
      <c r="V27" s="72" t="s">
        <v>35</v>
      </c>
      <c r="W27" s="72" t="s">
        <v>35</v>
      </c>
      <c r="X27" s="26" t="s">
        <v>35</v>
      </c>
      <c r="Y27" s="26" t="s">
        <v>35</v>
      </c>
      <c r="Z27" s="26" t="s">
        <v>35</v>
      </c>
      <c r="AA27" s="26" t="s">
        <v>35</v>
      </c>
      <c r="AB27" s="26" t="s">
        <v>35</v>
      </c>
      <c r="AC27" s="26" t="s">
        <v>35</v>
      </c>
      <c r="AD27" s="30" t="s">
        <v>35</v>
      </c>
      <c r="AE27" s="30" t="s">
        <v>35</v>
      </c>
      <c r="AF27" s="73">
        <v>0</v>
      </c>
      <c r="AG27" s="73"/>
      <c r="AH27" s="73"/>
      <c r="AI27" s="32"/>
      <c r="AJ27" s="37" t="s">
        <v>55</v>
      </c>
      <c r="AL27" s="49" t="s">
        <v>35</v>
      </c>
      <c r="AM27" s="36">
        <v>0</v>
      </c>
      <c r="AN27" s="36">
        <v>0</v>
      </c>
      <c r="AO27" s="36"/>
      <c r="AP27" s="36"/>
      <c r="AQ27" s="36"/>
      <c r="AR27" s="36"/>
      <c r="AS27" s="57">
        <f t="shared" si="7"/>
        <v>0</v>
      </c>
      <c r="AT27" s="57">
        <f t="shared" si="7"/>
        <v>0</v>
      </c>
      <c r="AU27" s="57">
        <f t="shared" si="7"/>
        <v>0</v>
      </c>
      <c r="AY27">
        <f t="shared" si="8"/>
        <v>0</v>
      </c>
    </row>
    <row r="28" spans="1:51" ht="15.75" thickBot="1">
      <c r="A28" s="18">
        <v>44480</v>
      </c>
      <c r="B28" s="19">
        <v>1600</v>
      </c>
      <c r="C28" s="19">
        <f>(SUM(粮草!A28:X28)+AF28*10)*IF(AJ28="是",$AW$4,$AW$3)</f>
        <v>0</v>
      </c>
      <c r="D28" s="20">
        <f>SUM($B$4:B28)-SUM($C$4:C28)</f>
        <v>39200</v>
      </c>
      <c r="E28" s="19">
        <f>SUM(经验!A28:X28)</f>
        <v>0</v>
      </c>
      <c r="F28" s="19">
        <f>SUM($E$4:E28)+SUM($G$4:G28)</f>
        <v>2200</v>
      </c>
      <c r="G28" s="19">
        <v>200</v>
      </c>
      <c r="H28" s="71" t="s">
        <v>35</v>
      </c>
      <c r="I28" s="71" t="s">
        <v>35</v>
      </c>
      <c r="J28" s="71" t="s">
        <v>35</v>
      </c>
      <c r="K28" s="71" t="s">
        <v>35</v>
      </c>
      <c r="L28" s="71" t="s">
        <v>35</v>
      </c>
      <c r="M28" s="71" t="s">
        <v>35</v>
      </c>
      <c r="N28" s="72" t="s">
        <v>35</v>
      </c>
      <c r="O28" s="72" t="s">
        <v>35</v>
      </c>
      <c r="P28" s="71" t="s">
        <v>35</v>
      </c>
      <c r="Q28" s="71" t="s">
        <v>35</v>
      </c>
      <c r="R28" s="71" t="s">
        <v>35</v>
      </c>
      <c r="S28" s="71" t="s">
        <v>35</v>
      </c>
      <c r="T28" s="71" t="s">
        <v>35</v>
      </c>
      <c r="U28" s="71" t="s">
        <v>35</v>
      </c>
      <c r="V28" s="72" t="s">
        <v>35</v>
      </c>
      <c r="W28" s="72" t="s">
        <v>35</v>
      </c>
      <c r="X28" s="26" t="s">
        <v>35</v>
      </c>
      <c r="Y28" s="26" t="s">
        <v>35</v>
      </c>
      <c r="Z28" s="26" t="s">
        <v>35</v>
      </c>
      <c r="AA28" s="26" t="s">
        <v>35</v>
      </c>
      <c r="AB28" s="26" t="s">
        <v>35</v>
      </c>
      <c r="AC28" s="26" t="s">
        <v>35</v>
      </c>
      <c r="AD28" s="30" t="s">
        <v>35</v>
      </c>
      <c r="AE28" s="30" t="s">
        <v>35</v>
      </c>
      <c r="AF28" s="73">
        <v>0</v>
      </c>
      <c r="AG28" s="73"/>
      <c r="AH28" s="73"/>
      <c r="AI28" s="32"/>
      <c r="AJ28" s="37" t="s">
        <v>55</v>
      </c>
      <c r="AK28" s="50" t="s">
        <v>37</v>
      </c>
      <c r="AL28" s="29" t="s">
        <v>62</v>
      </c>
      <c r="AM28" s="36">
        <v>-200</v>
      </c>
      <c r="AN28" s="36">
        <v>0</v>
      </c>
      <c r="AO28" s="36">
        <f>COUNTIF($H$4:$O$94,AL28)</f>
        <v>0</v>
      </c>
      <c r="AP28" s="36">
        <f>COUNTIF($P$4:$W$94,AL28)</f>
        <v>0</v>
      </c>
      <c r="AQ28" s="36">
        <f>COUNTIF($X$4:$AE$94,AL28)</f>
        <v>0</v>
      </c>
      <c r="AR28" s="36">
        <f>AO28+AP28+AQ28</f>
        <v>0</v>
      </c>
      <c r="AS28" s="57">
        <f t="shared" si="7"/>
        <v>0</v>
      </c>
      <c r="AT28" s="57">
        <f t="shared" si="7"/>
        <v>0</v>
      </c>
      <c r="AU28" s="57">
        <f t="shared" si="7"/>
        <v>0</v>
      </c>
      <c r="AY28">
        <f t="shared" si="8"/>
        <v>-160</v>
      </c>
    </row>
    <row r="29" spans="1:51">
      <c r="A29" s="18">
        <v>44481</v>
      </c>
      <c r="B29" s="19">
        <v>1600</v>
      </c>
      <c r="C29" s="19">
        <f>(SUM(粮草!A29:X29)+AF29*10)*IF(AJ29="是",$AW$4,$AW$3)</f>
        <v>0</v>
      </c>
      <c r="D29" s="20">
        <f>SUM($B$4:B29)-SUM($C$4:C29)</f>
        <v>40800</v>
      </c>
      <c r="E29" s="19">
        <f>SUM(经验!A29:X29)</f>
        <v>0</v>
      </c>
      <c r="F29" s="19">
        <f>SUM($E$4:E29)+SUM($G$4:G29)</f>
        <v>2300</v>
      </c>
      <c r="G29" s="19">
        <v>100</v>
      </c>
      <c r="H29" s="71" t="s">
        <v>35</v>
      </c>
      <c r="I29" s="71" t="s">
        <v>35</v>
      </c>
      <c r="J29" s="71" t="s">
        <v>35</v>
      </c>
      <c r="K29" s="71" t="s">
        <v>35</v>
      </c>
      <c r="L29" s="71" t="s">
        <v>35</v>
      </c>
      <c r="M29" s="71" t="s">
        <v>35</v>
      </c>
      <c r="N29" s="72" t="s">
        <v>35</v>
      </c>
      <c r="O29" s="72" t="s">
        <v>35</v>
      </c>
      <c r="P29" s="71" t="s">
        <v>35</v>
      </c>
      <c r="Q29" s="71" t="s">
        <v>35</v>
      </c>
      <c r="R29" s="71" t="s">
        <v>35</v>
      </c>
      <c r="S29" s="71" t="s">
        <v>35</v>
      </c>
      <c r="T29" s="71" t="s">
        <v>35</v>
      </c>
      <c r="U29" s="71" t="s">
        <v>35</v>
      </c>
      <c r="V29" s="72" t="s">
        <v>35</v>
      </c>
      <c r="W29" s="72" t="s">
        <v>35</v>
      </c>
      <c r="X29" s="26" t="s">
        <v>35</v>
      </c>
      <c r="Y29" s="26" t="s">
        <v>35</v>
      </c>
      <c r="Z29" s="26" t="s">
        <v>35</v>
      </c>
      <c r="AA29" s="26" t="s">
        <v>35</v>
      </c>
      <c r="AB29" s="26" t="s">
        <v>35</v>
      </c>
      <c r="AC29" s="26" t="s">
        <v>35</v>
      </c>
      <c r="AD29" s="30" t="s">
        <v>35</v>
      </c>
      <c r="AE29" s="30" t="s">
        <v>35</v>
      </c>
      <c r="AF29" s="73">
        <v>0</v>
      </c>
      <c r="AG29" s="73"/>
      <c r="AH29" s="73"/>
      <c r="AI29" s="32"/>
      <c r="AJ29" s="37" t="s">
        <v>55</v>
      </c>
      <c r="AL29" s="36"/>
      <c r="AM29" s="36"/>
      <c r="AN29" s="36"/>
      <c r="AQ29" t="s">
        <v>29</v>
      </c>
      <c r="AR29">
        <f>SUM(AR4:AR28)</f>
        <v>0</v>
      </c>
      <c r="AT29" t="s">
        <v>63</v>
      </c>
      <c r="AU29" s="58">
        <f>SUM(AS4:AU28)+7000</f>
        <v>7000</v>
      </c>
    </row>
    <row r="30" spans="1:51">
      <c r="A30" s="18">
        <v>44482</v>
      </c>
      <c r="B30" s="19">
        <v>1600</v>
      </c>
      <c r="C30" s="19">
        <f>(SUM(粮草!A30:X30)+AF30*10)*IF(AJ30="是",$AW$4,$AW$3)</f>
        <v>0</v>
      </c>
      <c r="D30" s="20">
        <f>SUM($B$4:B30)-SUM($C$4:C30)</f>
        <v>42400</v>
      </c>
      <c r="E30" s="19">
        <f>SUM(经验!A30:X30)</f>
        <v>0</v>
      </c>
      <c r="F30" s="19">
        <f>SUM($E$4:E30)+SUM($G$4:G30)</f>
        <v>2500</v>
      </c>
      <c r="G30" s="19">
        <v>200</v>
      </c>
      <c r="H30" s="71" t="s">
        <v>35</v>
      </c>
      <c r="I30" s="71" t="s">
        <v>35</v>
      </c>
      <c r="J30" s="71" t="s">
        <v>35</v>
      </c>
      <c r="K30" s="71" t="s">
        <v>35</v>
      </c>
      <c r="L30" s="71" t="s">
        <v>35</v>
      </c>
      <c r="M30" s="71" t="s">
        <v>35</v>
      </c>
      <c r="N30" s="72" t="s">
        <v>35</v>
      </c>
      <c r="O30" s="72" t="s">
        <v>35</v>
      </c>
      <c r="P30" s="71" t="s">
        <v>35</v>
      </c>
      <c r="Q30" s="71" t="s">
        <v>35</v>
      </c>
      <c r="R30" s="71" t="s">
        <v>35</v>
      </c>
      <c r="S30" s="71" t="s">
        <v>35</v>
      </c>
      <c r="T30" s="71" t="s">
        <v>35</v>
      </c>
      <c r="U30" s="71" t="s">
        <v>35</v>
      </c>
      <c r="V30" s="72" t="s">
        <v>35</v>
      </c>
      <c r="W30" s="72" t="s">
        <v>35</v>
      </c>
      <c r="X30" s="26" t="s">
        <v>35</v>
      </c>
      <c r="Y30" s="26" t="s">
        <v>35</v>
      </c>
      <c r="Z30" s="26" t="s">
        <v>35</v>
      </c>
      <c r="AA30" s="26" t="s">
        <v>35</v>
      </c>
      <c r="AB30" s="26" t="s">
        <v>35</v>
      </c>
      <c r="AC30" s="26" t="s">
        <v>35</v>
      </c>
      <c r="AD30" s="30" t="s">
        <v>35</v>
      </c>
      <c r="AE30" s="30" t="s">
        <v>35</v>
      </c>
      <c r="AF30" s="73">
        <v>0</v>
      </c>
      <c r="AG30" s="73"/>
      <c r="AH30" s="73"/>
      <c r="AI30" s="32"/>
      <c r="AJ30" s="37" t="s">
        <v>55</v>
      </c>
      <c r="AL30" s="36"/>
      <c r="AM30" s="36"/>
      <c r="AN30" s="36"/>
    </row>
    <row r="31" spans="1:51">
      <c r="A31" s="18">
        <v>44483</v>
      </c>
      <c r="B31" s="19">
        <v>1600</v>
      </c>
      <c r="C31" s="19">
        <f>(SUM(粮草!A31:X31)+AF31*10)*IF(AJ31="是",$AW$4,$AW$3)</f>
        <v>0</v>
      </c>
      <c r="D31" s="20">
        <f>SUM($B$4:B31)-SUM($C$4:C31)</f>
        <v>44000</v>
      </c>
      <c r="E31" s="19">
        <f>SUM(经验!A31:X31)</f>
        <v>0</v>
      </c>
      <c r="F31" s="19">
        <f>SUM($E$4:E31)+SUM($G$4:G31)</f>
        <v>2500</v>
      </c>
      <c r="G31" s="19">
        <v>0</v>
      </c>
      <c r="H31" s="71" t="s">
        <v>35</v>
      </c>
      <c r="I31" s="71" t="s">
        <v>35</v>
      </c>
      <c r="J31" s="71" t="s">
        <v>35</v>
      </c>
      <c r="K31" s="71" t="s">
        <v>35</v>
      </c>
      <c r="L31" s="71" t="s">
        <v>35</v>
      </c>
      <c r="M31" s="71" t="s">
        <v>35</v>
      </c>
      <c r="N31" s="72" t="s">
        <v>35</v>
      </c>
      <c r="O31" s="72" t="s">
        <v>35</v>
      </c>
      <c r="P31" s="71" t="s">
        <v>35</v>
      </c>
      <c r="Q31" s="71" t="s">
        <v>35</v>
      </c>
      <c r="R31" s="71" t="s">
        <v>35</v>
      </c>
      <c r="S31" s="71" t="s">
        <v>35</v>
      </c>
      <c r="T31" s="71" t="s">
        <v>35</v>
      </c>
      <c r="U31" s="71" t="s">
        <v>35</v>
      </c>
      <c r="V31" s="72" t="s">
        <v>35</v>
      </c>
      <c r="W31" s="72" t="s">
        <v>35</v>
      </c>
      <c r="X31" s="26" t="s">
        <v>35</v>
      </c>
      <c r="Y31" s="26" t="s">
        <v>35</v>
      </c>
      <c r="Z31" s="26" t="s">
        <v>35</v>
      </c>
      <c r="AA31" s="26" t="s">
        <v>35</v>
      </c>
      <c r="AB31" s="26" t="s">
        <v>35</v>
      </c>
      <c r="AC31" s="26" t="s">
        <v>35</v>
      </c>
      <c r="AD31" s="30" t="s">
        <v>35</v>
      </c>
      <c r="AE31" s="30" t="s">
        <v>35</v>
      </c>
      <c r="AF31" s="73">
        <v>0</v>
      </c>
      <c r="AG31" s="73"/>
      <c r="AH31" s="73"/>
      <c r="AI31" s="32"/>
      <c r="AJ31" s="37" t="s">
        <v>55</v>
      </c>
      <c r="AL31" s="36"/>
      <c r="AM31" s="36"/>
      <c r="AN31" s="36"/>
    </row>
    <row r="32" spans="1:51">
      <c r="A32" s="18">
        <v>44484</v>
      </c>
      <c r="B32" s="19">
        <v>1600</v>
      </c>
      <c r="C32" s="19">
        <f>(SUM(粮草!A32:X32)+AF32*10)*IF(AJ32="是",$AW$4,$AW$3)</f>
        <v>0</v>
      </c>
      <c r="D32" s="20">
        <f>SUM($B$4:B32)-SUM($C$4:C32)</f>
        <v>45600</v>
      </c>
      <c r="E32" s="19">
        <f>SUM(经验!A32:X32)</f>
        <v>0</v>
      </c>
      <c r="F32" s="19">
        <f>SUM($E$4:E32)+SUM($G$4:G32)</f>
        <v>2500</v>
      </c>
      <c r="G32" s="19">
        <v>0</v>
      </c>
      <c r="H32" s="71" t="s">
        <v>35</v>
      </c>
      <c r="I32" s="71" t="s">
        <v>35</v>
      </c>
      <c r="J32" s="71" t="s">
        <v>35</v>
      </c>
      <c r="K32" s="71" t="s">
        <v>35</v>
      </c>
      <c r="L32" s="71" t="s">
        <v>35</v>
      </c>
      <c r="M32" s="71" t="s">
        <v>35</v>
      </c>
      <c r="N32" s="72" t="s">
        <v>35</v>
      </c>
      <c r="O32" s="72" t="s">
        <v>35</v>
      </c>
      <c r="P32" s="71" t="s">
        <v>35</v>
      </c>
      <c r="Q32" s="71" t="s">
        <v>35</v>
      </c>
      <c r="R32" s="71" t="s">
        <v>35</v>
      </c>
      <c r="S32" s="71" t="s">
        <v>35</v>
      </c>
      <c r="T32" s="71" t="s">
        <v>35</v>
      </c>
      <c r="U32" s="71" t="s">
        <v>35</v>
      </c>
      <c r="V32" s="72" t="s">
        <v>35</v>
      </c>
      <c r="W32" s="72" t="s">
        <v>35</v>
      </c>
      <c r="X32" s="26" t="s">
        <v>35</v>
      </c>
      <c r="Y32" s="26" t="s">
        <v>35</v>
      </c>
      <c r="Z32" s="26" t="s">
        <v>35</v>
      </c>
      <c r="AA32" s="26" t="s">
        <v>35</v>
      </c>
      <c r="AB32" s="26" t="s">
        <v>35</v>
      </c>
      <c r="AC32" s="26" t="s">
        <v>35</v>
      </c>
      <c r="AD32" s="30" t="s">
        <v>35</v>
      </c>
      <c r="AE32" s="30" t="s">
        <v>35</v>
      </c>
      <c r="AF32" s="73">
        <v>0</v>
      </c>
      <c r="AG32" s="73"/>
      <c r="AH32" s="73"/>
      <c r="AI32" s="32"/>
      <c r="AJ32" s="37" t="s">
        <v>55</v>
      </c>
      <c r="AL32" s="36"/>
      <c r="AM32" s="36"/>
      <c r="AN32" s="36"/>
    </row>
    <row r="33" spans="1:40">
      <c r="A33" s="18">
        <v>44485</v>
      </c>
      <c r="B33" s="19">
        <v>1600</v>
      </c>
      <c r="C33" s="19">
        <f>(SUM(粮草!A33:X33)+AF33*10)*IF(AJ33="是",$AW$4,$AW$3)</f>
        <v>0</v>
      </c>
      <c r="D33" s="20">
        <f>SUM($B$4:B33)-SUM($C$4:C33)</f>
        <v>47200</v>
      </c>
      <c r="E33" s="19">
        <f>SUM(经验!A33:X33)</f>
        <v>0</v>
      </c>
      <c r="F33" s="19">
        <f>SUM($E$4:E33)+SUM($G$4:G33)</f>
        <v>2500</v>
      </c>
      <c r="G33" s="19">
        <v>0</v>
      </c>
      <c r="H33" s="71" t="s">
        <v>35</v>
      </c>
      <c r="I33" s="71" t="s">
        <v>35</v>
      </c>
      <c r="J33" s="71" t="s">
        <v>35</v>
      </c>
      <c r="K33" s="71" t="s">
        <v>35</v>
      </c>
      <c r="L33" s="71" t="s">
        <v>35</v>
      </c>
      <c r="M33" s="71" t="s">
        <v>35</v>
      </c>
      <c r="N33" s="72" t="s">
        <v>35</v>
      </c>
      <c r="O33" s="72" t="s">
        <v>35</v>
      </c>
      <c r="P33" s="71" t="s">
        <v>35</v>
      </c>
      <c r="Q33" s="71" t="s">
        <v>35</v>
      </c>
      <c r="R33" s="71" t="s">
        <v>35</v>
      </c>
      <c r="S33" s="71" t="s">
        <v>35</v>
      </c>
      <c r="T33" s="71" t="s">
        <v>35</v>
      </c>
      <c r="U33" s="71" t="s">
        <v>35</v>
      </c>
      <c r="V33" s="72" t="s">
        <v>35</v>
      </c>
      <c r="W33" s="72" t="s">
        <v>35</v>
      </c>
      <c r="X33" s="26" t="s">
        <v>35</v>
      </c>
      <c r="Y33" s="26" t="s">
        <v>35</v>
      </c>
      <c r="Z33" s="26" t="s">
        <v>35</v>
      </c>
      <c r="AA33" s="26" t="s">
        <v>35</v>
      </c>
      <c r="AB33" s="26" t="s">
        <v>35</v>
      </c>
      <c r="AC33" s="26" t="s">
        <v>35</v>
      </c>
      <c r="AD33" s="30" t="s">
        <v>35</v>
      </c>
      <c r="AE33" s="30" t="s">
        <v>35</v>
      </c>
      <c r="AF33" s="73">
        <v>0</v>
      </c>
      <c r="AG33" s="73"/>
      <c r="AH33" s="73"/>
      <c r="AI33" s="32"/>
      <c r="AJ33" s="37" t="s">
        <v>55</v>
      </c>
      <c r="AL33" s="36"/>
      <c r="AM33" s="36"/>
      <c r="AN33" s="36"/>
    </row>
    <row r="34" spans="1:40">
      <c r="A34" s="18">
        <v>44486</v>
      </c>
      <c r="B34" s="19">
        <v>1600</v>
      </c>
      <c r="C34" s="19">
        <f>(SUM(粮草!A34:X34)+AF34*10)*IF(AJ34="是",$AW$4,$AW$3)</f>
        <v>0</v>
      </c>
      <c r="D34" s="20">
        <f>SUM($B$4:B34)-SUM($C$4:C34)</f>
        <v>48800</v>
      </c>
      <c r="E34" s="19">
        <f>SUM(经验!A34:X34)</f>
        <v>0</v>
      </c>
      <c r="F34" s="19">
        <f>SUM($E$4:E34)+SUM($G$4:G34)</f>
        <v>2500</v>
      </c>
      <c r="G34" s="19">
        <v>0</v>
      </c>
      <c r="H34" s="71" t="s">
        <v>35</v>
      </c>
      <c r="I34" s="71" t="s">
        <v>35</v>
      </c>
      <c r="J34" s="71" t="s">
        <v>35</v>
      </c>
      <c r="K34" s="71" t="s">
        <v>35</v>
      </c>
      <c r="L34" s="71" t="s">
        <v>35</v>
      </c>
      <c r="M34" s="71" t="s">
        <v>35</v>
      </c>
      <c r="N34" s="72" t="s">
        <v>35</v>
      </c>
      <c r="O34" s="72" t="s">
        <v>35</v>
      </c>
      <c r="P34" s="71" t="s">
        <v>35</v>
      </c>
      <c r="Q34" s="71" t="s">
        <v>35</v>
      </c>
      <c r="R34" s="71" t="s">
        <v>35</v>
      </c>
      <c r="S34" s="71" t="s">
        <v>35</v>
      </c>
      <c r="T34" s="71" t="s">
        <v>35</v>
      </c>
      <c r="U34" s="71" t="s">
        <v>35</v>
      </c>
      <c r="V34" s="72" t="s">
        <v>35</v>
      </c>
      <c r="W34" s="72" t="s">
        <v>35</v>
      </c>
      <c r="X34" s="26" t="s">
        <v>35</v>
      </c>
      <c r="Y34" s="26" t="s">
        <v>35</v>
      </c>
      <c r="Z34" s="26" t="s">
        <v>35</v>
      </c>
      <c r="AA34" s="26" t="s">
        <v>35</v>
      </c>
      <c r="AB34" s="26" t="s">
        <v>35</v>
      </c>
      <c r="AC34" s="26" t="s">
        <v>35</v>
      </c>
      <c r="AD34" s="30" t="s">
        <v>35</v>
      </c>
      <c r="AE34" s="30" t="s">
        <v>35</v>
      </c>
      <c r="AF34" s="73">
        <v>0</v>
      </c>
      <c r="AG34" s="73"/>
      <c r="AH34" s="73"/>
      <c r="AI34" s="32"/>
      <c r="AJ34" s="37" t="s">
        <v>55</v>
      </c>
      <c r="AL34" s="36"/>
      <c r="AM34" s="36"/>
      <c r="AN34" s="36"/>
    </row>
    <row r="35" spans="1:40">
      <c r="A35" s="18">
        <v>44487</v>
      </c>
      <c r="B35" s="21">
        <v>1600</v>
      </c>
      <c r="C35" s="19">
        <f>(SUM(粮草!A35:X35)+AF35*10)*IF(AJ35="是",$AW$4,$AW$3)</f>
        <v>0</v>
      </c>
      <c r="D35" s="22">
        <f>SUM($B$4:B35)-SUM($C$4:C35)</f>
        <v>50400</v>
      </c>
      <c r="E35" s="19">
        <f>SUM(经验!A35:X35)</f>
        <v>0</v>
      </c>
      <c r="F35" s="19">
        <f>SUM($E$4:E35)+SUM($G$4:G35)</f>
        <v>2700</v>
      </c>
      <c r="G35" s="21">
        <v>200</v>
      </c>
      <c r="H35" s="71" t="s">
        <v>35</v>
      </c>
      <c r="I35" s="71" t="s">
        <v>35</v>
      </c>
      <c r="J35" s="71" t="s">
        <v>35</v>
      </c>
      <c r="K35" s="71" t="s">
        <v>35</v>
      </c>
      <c r="L35" s="71" t="s">
        <v>35</v>
      </c>
      <c r="M35" s="71" t="s">
        <v>35</v>
      </c>
      <c r="N35" s="72" t="s">
        <v>35</v>
      </c>
      <c r="O35" s="72" t="s">
        <v>35</v>
      </c>
      <c r="P35" s="71" t="s">
        <v>35</v>
      </c>
      <c r="Q35" s="71" t="s">
        <v>35</v>
      </c>
      <c r="R35" s="71" t="s">
        <v>35</v>
      </c>
      <c r="S35" s="71" t="s">
        <v>35</v>
      </c>
      <c r="T35" s="71" t="s">
        <v>35</v>
      </c>
      <c r="U35" s="71" t="s">
        <v>35</v>
      </c>
      <c r="V35" s="72" t="s">
        <v>35</v>
      </c>
      <c r="W35" s="72" t="s">
        <v>35</v>
      </c>
      <c r="X35" s="26" t="s">
        <v>35</v>
      </c>
      <c r="Y35" s="26" t="s">
        <v>35</v>
      </c>
      <c r="Z35" s="26" t="s">
        <v>35</v>
      </c>
      <c r="AA35" s="26" t="s">
        <v>35</v>
      </c>
      <c r="AB35" s="26" t="s">
        <v>35</v>
      </c>
      <c r="AC35" s="26" t="s">
        <v>35</v>
      </c>
      <c r="AD35" s="30" t="s">
        <v>35</v>
      </c>
      <c r="AE35" s="30" t="s">
        <v>35</v>
      </c>
      <c r="AF35" s="73">
        <v>0</v>
      </c>
      <c r="AG35" s="73"/>
      <c r="AH35" s="73"/>
      <c r="AI35" s="32"/>
      <c r="AJ35" s="37" t="s">
        <v>55</v>
      </c>
      <c r="AL35" s="36"/>
      <c r="AM35" s="36"/>
      <c r="AN35" s="36"/>
    </row>
    <row r="36" spans="1:40">
      <c r="A36" s="18">
        <v>44488</v>
      </c>
      <c r="B36" s="21">
        <v>1600</v>
      </c>
      <c r="C36" s="19">
        <f>(SUM(粮草!A36:X36)+AF36*10)*IF(AJ36="是",$AW$4,$AW$3)</f>
        <v>0</v>
      </c>
      <c r="D36" s="22">
        <f>SUM($B$4:B36)-SUM($C$4:C36)</f>
        <v>52000</v>
      </c>
      <c r="E36" s="19">
        <f>SUM(经验!A36:X36)</f>
        <v>0</v>
      </c>
      <c r="F36" s="19">
        <f>SUM($E$4:E36)+SUM($G$4:G36)</f>
        <v>2800</v>
      </c>
      <c r="G36" s="21">
        <v>100</v>
      </c>
      <c r="H36" s="71" t="s">
        <v>35</v>
      </c>
      <c r="I36" s="71" t="s">
        <v>35</v>
      </c>
      <c r="J36" s="71" t="s">
        <v>35</v>
      </c>
      <c r="K36" s="71" t="s">
        <v>35</v>
      </c>
      <c r="L36" s="71" t="s">
        <v>35</v>
      </c>
      <c r="M36" s="71" t="s">
        <v>35</v>
      </c>
      <c r="N36" s="72" t="s">
        <v>35</v>
      </c>
      <c r="O36" s="72" t="s">
        <v>35</v>
      </c>
      <c r="P36" s="71" t="s">
        <v>35</v>
      </c>
      <c r="Q36" s="71" t="s">
        <v>35</v>
      </c>
      <c r="R36" s="71" t="s">
        <v>35</v>
      </c>
      <c r="S36" s="71" t="s">
        <v>35</v>
      </c>
      <c r="T36" s="71" t="s">
        <v>35</v>
      </c>
      <c r="U36" s="71" t="s">
        <v>35</v>
      </c>
      <c r="V36" s="72" t="s">
        <v>35</v>
      </c>
      <c r="W36" s="72" t="s">
        <v>35</v>
      </c>
      <c r="X36" s="26" t="s">
        <v>35</v>
      </c>
      <c r="Y36" s="26" t="s">
        <v>35</v>
      </c>
      <c r="Z36" s="26" t="s">
        <v>35</v>
      </c>
      <c r="AA36" s="26" t="s">
        <v>35</v>
      </c>
      <c r="AB36" s="26" t="s">
        <v>35</v>
      </c>
      <c r="AC36" s="26" t="s">
        <v>35</v>
      </c>
      <c r="AD36" s="30" t="s">
        <v>35</v>
      </c>
      <c r="AE36" s="30" t="s">
        <v>35</v>
      </c>
      <c r="AF36" s="73">
        <v>0</v>
      </c>
      <c r="AG36" s="73"/>
      <c r="AH36" s="73"/>
      <c r="AI36" s="32"/>
      <c r="AJ36" s="37" t="s">
        <v>55</v>
      </c>
      <c r="AL36" s="36"/>
      <c r="AM36" s="36"/>
      <c r="AN36" s="36"/>
    </row>
    <row r="37" spans="1:40">
      <c r="A37" s="18">
        <v>44489</v>
      </c>
      <c r="B37" s="21">
        <v>1600</v>
      </c>
      <c r="C37" s="19">
        <f>(SUM(粮草!A37:X37)+AF37*10)*IF(AJ37="是",$AW$4,$AW$3)</f>
        <v>0</v>
      </c>
      <c r="D37" s="22">
        <f>SUM($B$4:B37)-SUM($C$4:C37)</f>
        <v>53600</v>
      </c>
      <c r="E37" s="19">
        <f>SUM(经验!A37:X37)</f>
        <v>0</v>
      </c>
      <c r="F37" s="19">
        <f>SUM($E$4:E37)+SUM($G$4:G37)</f>
        <v>3000</v>
      </c>
      <c r="G37" s="21">
        <v>200</v>
      </c>
      <c r="H37" s="71" t="s">
        <v>35</v>
      </c>
      <c r="I37" s="71" t="s">
        <v>35</v>
      </c>
      <c r="J37" s="71" t="s">
        <v>35</v>
      </c>
      <c r="K37" s="71" t="s">
        <v>35</v>
      </c>
      <c r="L37" s="71" t="s">
        <v>35</v>
      </c>
      <c r="M37" s="71" t="s">
        <v>35</v>
      </c>
      <c r="N37" s="72" t="s">
        <v>35</v>
      </c>
      <c r="O37" s="72" t="s">
        <v>35</v>
      </c>
      <c r="P37" s="71" t="s">
        <v>35</v>
      </c>
      <c r="Q37" s="71" t="s">
        <v>35</v>
      </c>
      <c r="R37" s="71" t="s">
        <v>35</v>
      </c>
      <c r="S37" s="71" t="s">
        <v>35</v>
      </c>
      <c r="T37" s="71" t="s">
        <v>35</v>
      </c>
      <c r="U37" s="71" t="s">
        <v>35</v>
      </c>
      <c r="V37" s="72" t="s">
        <v>35</v>
      </c>
      <c r="W37" s="72" t="s">
        <v>35</v>
      </c>
      <c r="X37" s="26" t="s">
        <v>35</v>
      </c>
      <c r="Y37" s="26" t="s">
        <v>35</v>
      </c>
      <c r="Z37" s="26" t="s">
        <v>35</v>
      </c>
      <c r="AA37" s="26" t="s">
        <v>35</v>
      </c>
      <c r="AB37" s="26" t="s">
        <v>35</v>
      </c>
      <c r="AC37" s="26" t="s">
        <v>35</v>
      </c>
      <c r="AD37" s="30" t="s">
        <v>35</v>
      </c>
      <c r="AE37" s="30" t="s">
        <v>35</v>
      </c>
      <c r="AF37" s="73">
        <v>0</v>
      </c>
      <c r="AG37" s="73"/>
      <c r="AH37" s="73"/>
      <c r="AI37" s="32"/>
      <c r="AJ37" s="37" t="s">
        <v>55</v>
      </c>
      <c r="AL37" s="36"/>
      <c r="AM37" s="36"/>
      <c r="AN37" s="36"/>
    </row>
    <row r="38" spans="1:40">
      <c r="A38" s="18">
        <v>44490</v>
      </c>
      <c r="B38" s="21">
        <v>1600</v>
      </c>
      <c r="C38" s="19">
        <f>(SUM(粮草!A38:X38)+AF38*10)*IF(AJ38="是",$AW$4,$AW$3)</f>
        <v>0</v>
      </c>
      <c r="D38" s="22">
        <f>SUM($B$4:B38)-SUM($C$4:C38)</f>
        <v>55200</v>
      </c>
      <c r="E38" s="19">
        <f>SUM(经验!A38:X38)</f>
        <v>0</v>
      </c>
      <c r="F38" s="19">
        <f>SUM($E$4:E38)+SUM($G$4:G38)</f>
        <v>3000</v>
      </c>
      <c r="G38" s="21">
        <v>0</v>
      </c>
      <c r="H38" s="71" t="s">
        <v>35</v>
      </c>
      <c r="I38" s="71" t="s">
        <v>35</v>
      </c>
      <c r="J38" s="71" t="s">
        <v>35</v>
      </c>
      <c r="K38" s="71" t="s">
        <v>35</v>
      </c>
      <c r="L38" s="71" t="s">
        <v>35</v>
      </c>
      <c r="M38" s="71" t="s">
        <v>35</v>
      </c>
      <c r="N38" s="72" t="s">
        <v>35</v>
      </c>
      <c r="O38" s="72" t="s">
        <v>35</v>
      </c>
      <c r="P38" s="71" t="s">
        <v>35</v>
      </c>
      <c r="Q38" s="71" t="s">
        <v>35</v>
      </c>
      <c r="R38" s="71" t="s">
        <v>35</v>
      </c>
      <c r="S38" s="71" t="s">
        <v>35</v>
      </c>
      <c r="T38" s="71" t="s">
        <v>35</v>
      </c>
      <c r="U38" s="71" t="s">
        <v>35</v>
      </c>
      <c r="V38" s="72" t="s">
        <v>35</v>
      </c>
      <c r="W38" s="72" t="s">
        <v>35</v>
      </c>
      <c r="X38" s="26" t="s">
        <v>35</v>
      </c>
      <c r="Y38" s="26" t="s">
        <v>35</v>
      </c>
      <c r="Z38" s="26" t="s">
        <v>35</v>
      </c>
      <c r="AA38" s="26" t="s">
        <v>35</v>
      </c>
      <c r="AB38" s="26" t="s">
        <v>35</v>
      </c>
      <c r="AC38" s="26" t="s">
        <v>35</v>
      </c>
      <c r="AD38" s="30" t="s">
        <v>35</v>
      </c>
      <c r="AE38" s="30" t="s">
        <v>35</v>
      </c>
      <c r="AF38" s="73">
        <v>0</v>
      </c>
      <c r="AG38" s="73"/>
      <c r="AH38" s="73"/>
      <c r="AI38" s="32"/>
      <c r="AJ38" s="37" t="s">
        <v>55</v>
      </c>
      <c r="AL38" s="36"/>
      <c r="AM38" s="36"/>
      <c r="AN38" s="36"/>
    </row>
    <row r="39" spans="1:40">
      <c r="A39" s="18">
        <v>44491</v>
      </c>
      <c r="B39" s="21">
        <v>1600</v>
      </c>
      <c r="C39" s="19">
        <f>(SUM(粮草!A39:X39)+AF39*10)*IF(AJ39="是",$AW$4,$AW$3)</f>
        <v>0</v>
      </c>
      <c r="D39" s="22">
        <f>SUM($B$4:B39)-SUM($C$4:C39)</f>
        <v>56800</v>
      </c>
      <c r="E39" s="19">
        <f>SUM(经验!A39:X39)</f>
        <v>0</v>
      </c>
      <c r="F39" s="19">
        <f>SUM($E$4:E39)+SUM($G$4:G39)</f>
        <v>3000</v>
      </c>
      <c r="G39" s="21">
        <v>0</v>
      </c>
      <c r="H39" s="71" t="s">
        <v>35</v>
      </c>
      <c r="I39" s="71" t="s">
        <v>35</v>
      </c>
      <c r="J39" s="71" t="s">
        <v>35</v>
      </c>
      <c r="K39" s="71" t="s">
        <v>35</v>
      </c>
      <c r="L39" s="71" t="s">
        <v>35</v>
      </c>
      <c r="M39" s="71" t="s">
        <v>35</v>
      </c>
      <c r="N39" s="72" t="s">
        <v>35</v>
      </c>
      <c r="O39" s="72" t="s">
        <v>35</v>
      </c>
      <c r="P39" s="71" t="s">
        <v>35</v>
      </c>
      <c r="Q39" s="71" t="s">
        <v>35</v>
      </c>
      <c r="R39" s="71" t="s">
        <v>35</v>
      </c>
      <c r="S39" s="71" t="s">
        <v>35</v>
      </c>
      <c r="T39" s="71" t="s">
        <v>35</v>
      </c>
      <c r="U39" s="71" t="s">
        <v>35</v>
      </c>
      <c r="V39" s="72" t="s">
        <v>35</v>
      </c>
      <c r="W39" s="72" t="s">
        <v>35</v>
      </c>
      <c r="X39" s="26" t="s">
        <v>35</v>
      </c>
      <c r="Y39" s="26" t="s">
        <v>35</v>
      </c>
      <c r="Z39" s="26" t="s">
        <v>35</v>
      </c>
      <c r="AA39" s="26" t="s">
        <v>35</v>
      </c>
      <c r="AB39" s="26" t="s">
        <v>35</v>
      </c>
      <c r="AC39" s="26" t="s">
        <v>35</v>
      </c>
      <c r="AD39" s="30" t="s">
        <v>35</v>
      </c>
      <c r="AE39" s="30" t="s">
        <v>35</v>
      </c>
      <c r="AF39" s="73">
        <v>0</v>
      </c>
      <c r="AG39" s="73"/>
      <c r="AH39" s="73"/>
      <c r="AI39" s="32"/>
      <c r="AJ39" s="37" t="s">
        <v>55</v>
      </c>
      <c r="AL39" s="36"/>
      <c r="AM39" s="36"/>
      <c r="AN39" s="36"/>
    </row>
    <row r="40" spans="1:40">
      <c r="A40" s="18">
        <v>44492</v>
      </c>
      <c r="B40" s="21">
        <v>1600</v>
      </c>
      <c r="C40" s="19">
        <f>(SUM(粮草!A40:X40)+AF40*10)*IF(AJ40="是",$AW$4,$AW$3)</f>
        <v>0</v>
      </c>
      <c r="D40" s="22">
        <f>SUM($B$4:B40)-SUM($C$4:C40)</f>
        <v>58400</v>
      </c>
      <c r="E40" s="19">
        <f>SUM(经验!A40:X40)</f>
        <v>0</v>
      </c>
      <c r="F40" s="19">
        <f>SUM($E$4:E40)+SUM($G$4:G40)</f>
        <v>3000</v>
      </c>
      <c r="G40" s="21">
        <v>0</v>
      </c>
      <c r="H40" s="71" t="s">
        <v>35</v>
      </c>
      <c r="I40" s="71" t="s">
        <v>35</v>
      </c>
      <c r="J40" s="71" t="s">
        <v>35</v>
      </c>
      <c r="K40" s="71" t="s">
        <v>35</v>
      </c>
      <c r="L40" s="71" t="s">
        <v>35</v>
      </c>
      <c r="M40" s="71" t="s">
        <v>35</v>
      </c>
      <c r="N40" s="72" t="s">
        <v>35</v>
      </c>
      <c r="O40" s="72" t="s">
        <v>35</v>
      </c>
      <c r="P40" s="71" t="s">
        <v>35</v>
      </c>
      <c r="Q40" s="71" t="s">
        <v>35</v>
      </c>
      <c r="R40" s="71" t="s">
        <v>35</v>
      </c>
      <c r="S40" s="71" t="s">
        <v>35</v>
      </c>
      <c r="T40" s="71" t="s">
        <v>35</v>
      </c>
      <c r="U40" s="71" t="s">
        <v>35</v>
      </c>
      <c r="V40" s="72" t="s">
        <v>35</v>
      </c>
      <c r="W40" s="72" t="s">
        <v>35</v>
      </c>
      <c r="X40" s="26" t="s">
        <v>35</v>
      </c>
      <c r="Y40" s="26" t="s">
        <v>35</v>
      </c>
      <c r="Z40" s="26" t="s">
        <v>35</v>
      </c>
      <c r="AA40" s="26" t="s">
        <v>35</v>
      </c>
      <c r="AB40" s="26" t="s">
        <v>35</v>
      </c>
      <c r="AC40" s="26" t="s">
        <v>35</v>
      </c>
      <c r="AD40" s="30" t="s">
        <v>35</v>
      </c>
      <c r="AE40" s="30" t="s">
        <v>35</v>
      </c>
      <c r="AF40" s="73">
        <v>0</v>
      </c>
      <c r="AG40" s="73"/>
      <c r="AH40" s="73"/>
      <c r="AI40" s="32"/>
      <c r="AJ40" s="37" t="s">
        <v>55</v>
      </c>
      <c r="AL40" s="36"/>
      <c r="AM40" s="36"/>
      <c r="AN40" s="36"/>
    </row>
    <row r="41" spans="1:40">
      <c r="A41" s="18">
        <v>44493</v>
      </c>
      <c r="B41" s="21">
        <v>1600</v>
      </c>
      <c r="C41" s="19">
        <f>(SUM(粮草!A41:X41)+AF41*10)*IF(AJ41="是",$AW$4,$AW$3)</f>
        <v>0</v>
      </c>
      <c r="D41" s="22">
        <f>SUM($B$4:B41)-SUM($C$4:C41)</f>
        <v>60000</v>
      </c>
      <c r="E41" s="19">
        <f>SUM(经验!A41:X41)</f>
        <v>0</v>
      </c>
      <c r="F41" s="19">
        <f>SUM($E$4:E41)+SUM($G$4:G41)</f>
        <v>3000</v>
      </c>
      <c r="G41" s="21">
        <v>0</v>
      </c>
      <c r="H41" s="71" t="s">
        <v>35</v>
      </c>
      <c r="I41" s="71" t="s">
        <v>35</v>
      </c>
      <c r="J41" s="71" t="s">
        <v>35</v>
      </c>
      <c r="K41" s="71" t="s">
        <v>35</v>
      </c>
      <c r="L41" s="71" t="s">
        <v>35</v>
      </c>
      <c r="M41" s="71" t="s">
        <v>35</v>
      </c>
      <c r="N41" s="72" t="s">
        <v>35</v>
      </c>
      <c r="O41" s="72" t="s">
        <v>35</v>
      </c>
      <c r="P41" s="71" t="s">
        <v>35</v>
      </c>
      <c r="Q41" s="71" t="s">
        <v>35</v>
      </c>
      <c r="R41" s="71" t="s">
        <v>35</v>
      </c>
      <c r="S41" s="71" t="s">
        <v>35</v>
      </c>
      <c r="T41" s="71" t="s">
        <v>35</v>
      </c>
      <c r="U41" s="71" t="s">
        <v>35</v>
      </c>
      <c r="V41" s="72" t="s">
        <v>35</v>
      </c>
      <c r="W41" s="72" t="s">
        <v>35</v>
      </c>
      <c r="X41" s="26" t="s">
        <v>35</v>
      </c>
      <c r="Y41" s="26" t="s">
        <v>35</v>
      </c>
      <c r="Z41" s="26" t="s">
        <v>35</v>
      </c>
      <c r="AA41" s="26" t="s">
        <v>35</v>
      </c>
      <c r="AB41" s="26" t="s">
        <v>35</v>
      </c>
      <c r="AC41" s="26" t="s">
        <v>35</v>
      </c>
      <c r="AD41" s="30" t="s">
        <v>35</v>
      </c>
      <c r="AE41" s="30" t="s">
        <v>35</v>
      </c>
      <c r="AF41" s="73">
        <v>0</v>
      </c>
      <c r="AG41" s="73"/>
      <c r="AH41" s="73"/>
      <c r="AI41" s="32"/>
      <c r="AJ41" s="37" t="s">
        <v>55</v>
      </c>
      <c r="AL41" s="36"/>
      <c r="AM41" s="36"/>
      <c r="AN41" s="36"/>
    </row>
    <row r="42" spans="1:40">
      <c r="A42" s="18">
        <v>44494</v>
      </c>
      <c r="B42" s="19">
        <v>1600</v>
      </c>
      <c r="C42" s="19">
        <f>(SUM(粮草!A42:X42)+AF42*10)*IF(AJ42="是",$AW$4,$AW$3)</f>
        <v>0</v>
      </c>
      <c r="D42" s="20">
        <f>SUM($B$4:B42)-SUM($C$4:C42)</f>
        <v>61600</v>
      </c>
      <c r="E42" s="19">
        <f>SUM(经验!A42:X42)</f>
        <v>0</v>
      </c>
      <c r="F42" s="19">
        <f>SUM($E$4:E42)+SUM($G$4:G42)</f>
        <v>3300</v>
      </c>
      <c r="G42" s="19">
        <v>300</v>
      </c>
      <c r="H42" s="71" t="s">
        <v>35</v>
      </c>
      <c r="I42" s="71" t="s">
        <v>35</v>
      </c>
      <c r="J42" s="71" t="s">
        <v>35</v>
      </c>
      <c r="K42" s="71" t="s">
        <v>35</v>
      </c>
      <c r="L42" s="71" t="s">
        <v>35</v>
      </c>
      <c r="M42" s="71" t="s">
        <v>35</v>
      </c>
      <c r="N42" s="72" t="s">
        <v>35</v>
      </c>
      <c r="O42" s="72" t="s">
        <v>35</v>
      </c>
      <c r="P42" s="71" t="s">
        <v>35</v>
      </c>
      <c r="Q42" s="71" t="s">
        <v>35</v>
      </c>
      <c r="R42" s="71" t="s">
        <v>35</v>
      </c>
      <c r="S42" s="71" t="s">
        <v>35</v>
      </c>
      <c r="T42" s="71" t="s">
        <v>35</v>
      </c>
      <c r="U42" s="71" t="s">
        <v>35</v>
      </c>
      <c r="V42" s="72" t="s">
        <v>35</v>
      </c>
      <c r="W42" s="72" t="s">
        <v>35</v>
      </c>
      <c r="X42" s="26" t="s">
        <v>35</v>
      </c>
      <c r="Y42" s="26" t="s">
        <v>35</v>
      </c>
      <c r="Z42" s="26" t="s">
        <v>35</v>
      </c>
      <c r="AA42" s="26" t="s">
        <v>35</v>
      </c>
      <c r="AB42" s="26" t="s">
        <v>35</v>
      </c>
      <c r="AC42" s="26" t="s">
        <v>35</v>
      </c>
      <c r="AD42" s="30" t="s">
        <v>35</v>
      </c>
      <c r="AE42" s="30" t="s">
        <v>35</v>
      </c>
      <c r="AF42" s="73">
        <v>0</v>
      </c>
      <c r="AG42" s="73"/>
      <c r="AH42" s="73"/>
      <c r="AI42" s="32"/>
      <c r="AJ42" s="37" t="s">
        <v>55</v>
      </c>
      <c r="AL42" s="36"/>
      <c r="AM42" s="36"/>
      <c r="AN42" s="36"/>
    </row>
    <row r="43" spans="1:40">
      <c r="A43" s="18">
        <v>44495</v>
      </c>
      <c r="B43" s="19">
        <v>1600</v>
      </c>
      <c r="C43" s="19">
        <f>(SUM(粮草!A43:X43)+AF43*10)*IF(AJ43="是",$AW$4,$AW$3)</f>
        <v>0</v>
      </c>
      <c r="D43" s="20">
        <f>SUM($B$4:B43)-SUM($C$4:C43)</f>
        <v>63200</v>
      </c>
      <c r="E43" s="19">
        <f>SUM(经验!A43:X43)</f>
        <v>0</v>
      </c>
      <c r="F43" s="19">
        <f>SUM($E$4:E43)+SUM($G$4:G43)</f>
        <v>3300</v>
      </c>
      <c r="G43" s="19">
        <v>0</v>
      </c>
      <c r="H43" s="71" t="s">
        <v>35</v>
      </c>
      <c r="I43" s="71" t="s">
        <v>35</v>
      </c>
      <c r="J43" s="71" t="s">
        <v>35</v>
      </c>
      <c r="K43" s="71" t="s">
        <v>35</v>
      </c>
      <c r="L43" s="71" t="s">
        <v>35</v>
      </c>
      <c r="M43" s="71" t="s">
        <v>35</v>
      </c>
      <c r="N43" s="72" t="s">
        <v>35</v>
      </c>
      <c r="O43" s="72" t="s">
        <v>35</v>
      </c>
      <c r="P43" s="71" t="s">
        <v>35</v>
      </c>
      <c r="Q43" s="71" t="s">
        <v>35</v>
      </c>
      <c r="R43" s="71" t="s">
        <v>35</v>
      </c>
      <c r="S43" s="71" t="s">
        <v>35</v>
      </c>
      <c r="T43" s="71" t="s">
        <v>35</v>
      </c>
      <c r="U43" s="71" t="s">
        <v>35</v>
      </c>
      <c r="V43" s="72" t="s">
        <v>35</v>
      </c>
      <c r="W43" s="72" t="s">
        <v>35</v>
      </c>
      <c r="X43" s="26" t="s">
        <v>35</v>
      </c>
      <c r="Y43" s="26" t="s">
        <v>35</v>
      </c>
      <c r="Z43" s="26" t="s">
        <v>35</v>
      </c>
      <c r="AA43" s="26" t="s">
        <v>35</v>
      </c>
      <c r="AB43" s="26" t="s">
        <v>35</v>
      </c>
      <c r="AC43" s="26" t="s">
        <v>35</v>
      </c>
      <c r="AD43" s="30" t="s">
        <v>35</v>
      </c>
      <c r="AE43" s="30" t="s">
        <v>35</v>
      </c>
      <c r="AF43" s="73">
        <v>0</v>
      </c>
      <c r="AG43" s="73"/>
      <c r="AH43" s="73"/>
      <c r="AI43" s="32"/>
      <c r="AJ43" s="37" t="s">
        <v>55</v>
      </c>
      <c r="AL43" s="36"/>
      <c r="AM43" s="36"/>
      <c r="AN43" s="36"/>
    </row>
    <row r="44" spans="1:40">
      <c r="A44" s="18">
        <v>44496</v>
      </c>
      <c r="B44" s="19">
        <v>1600</v>
      </c>
      <c r="C44" s="19">
        <f>(SUM(粮草!A44:X44)+AF44*10)*IF(AJ44="是",$AW$4,$AW$3)</f>
        <v>0</v>
      </c>
      <c r="D44" s="20">
        <f>SUM($B$4:B44)-SUM($C$4:C44)</f>
        <v>64800</v>
      </c>
      <c r="E44" s="19">
        <f>SUM(经验!A44:X44)</f>
        <v>0</v>
      </c>
      <c r="F44" s="19">
        <f>SUM($E$4:E44)+SUM($G$4:G44)</f>
        <v>3500</v>
      </c>
      <c r="G44" s="19">
        <v>200</v>
      </c>
      <c r="H44" s="71" t="s">
        <v>35</v>
      </c>
      <c r="I44" s="71" t="s">
        <v>35</v>
      </c>
      <c r="J44" s="71" t="s">
        <v>35</v>
      </c>
      <c r="K44" s="71" t="s">
        <v>35</v>
      </c>
      <c r="L44" s="71" t="s">
        <v>35</v>
      </c>
      <c r="M44" s="71" t="s">
        <v>35</v>
      </c>
      <c r="N44" s="72" t="s">
        <v>35</v>
      </c>
      <c r="O44" s="72" t="s">
        <v>35</v>
      </c>
      <c r="P44" s="71" t="s">
        <v>35</v>
      </c>
      <c r="Q44" s="71" t="s">
        <v>35</v>
      </c>
      <c r="R44" s="71" t="s">
        <v>35</v>
      </c>
      <c r="S44" s="71" t="s">
        <v>35</v>
      </c>
      <c r="T44" s="71" t="s">
        <v>35</v>
      </c>
      <c r="U44" s="71" t="s">
        <v>35</v>
      </c>
      <c r="V44" s="72" t="s">
        <v>35</v>
      </c>
      <c r="W44" s="72" t="s">
        <v>35</v>
      </c>
      <c r="X44" s="26" t="s">
        <v>35</v>
      </c>
      <c r="Y44" s="26" t="s">
        <v>35</v>
      </c>
      <c r="Z44" s="26" t="s">
        <v>35</v>
      </c>
      <c r="AA44" s="26" t="s">
        <v>35</v>
      </c>
      <c r="AB44" s="26" t="s">
        <v>35</v>
      </c>
      <c r="AC44" s="26" t="s">
        <v>35</v>
      </c>
      <c r="AD44" s="30" t="s">
        <v>35</v>
      </c>
      <c r="AE44" s="30" t="s">
        <v>35</v>
      </c>
      <c r="AF44" s="73">
        <v>0</v>
      </c>
      <c r="AG44" s="73"/>
      <c r="AH44" s="73"/>
      <c r="AI44" s="32"/>
      <c r="AJ44" s="37" t="s">
        <v>55</v>
      </c>
      <c r="AL44" s="36"/>
      <c r="AM44" s="36"/>
      <c r="AN44" s="36"/>
    </row>
    <row r="45" spans="1:40">
      <c r="A45" s="18">
        <v>44497</v>
      </c>
      <c r="B45" s="19">
        <v>1600</v>
      </c>
      <c r="C45" s="19">
        <f>(SUM(粮草!A45:X45)+AF45*10)*IF(AJ45="是",$AW$4,$AW$3)</f>
        <v>0</v>
      </c>
      <c r="D45" s="20">
        <f>SUM($B$4:B45)-SUM($C$4:C45)</f>
        <v>66400</v>
      </c>
      <c r="E45" s="19">
        <f>SUM(经验!A45:X45)</f>
        <v>0</v>
      </c>
      <c r="F45" s="19">
        <f>SUM($E$4:E45)+SUM($G$4:G45)</f>
        <v>3500</v>
      </c>
      <c r="G45" s="19">
        <v>0</v>
      </c>
      <c r="H45" s="71" t="s">
        <v>35</v>
      </c>
      <c r="I45" s="71" t="s">
        <v>35</v>
      </c>
      <c r="J45" s="71" t="s">
        <v>35</v>
      </c>
      <c r="K45" s="71" t="s">
        <v>35</v>
      </c>
      <c r="L45" s="71" t="s">
        <v>35</v>
      </c>
      <c r="M45" s="71" t="s">
        <v>35</v>
      </c>
      <c r="N45" s="72" t="s">
        <v>35</v>
      </c>
      <c r="O45" s="72" t="s">
        <v>35</v>
      </c>
      <c r="P45" s="71" t="s">
        <v>35</v>
      </c>
      <c r="Q45" s="71" t="s">
        <v>35</v>
      </c>
      <c r="R45" s="71" t="s">
        <v>35</v>
      </c>
      <c r="S45" s="71" t="s">
        <v>35</v>
      </c>
      <c r="T45" s="71" t="s">
        <v>35</v>
      </c>
      <c r="U45" s="71" t="s">
        <v>35</v>
      </c>
      <c r="V45" s="72" t="s">
        <v>35</v>
      </c>
      <c r="W45" s="72" t="s">
        <v>35</v>
      </c>
      <c r="X45" s="26" t="s">
        <v>35</v>
      </c>
      <c r="Y45" s="26" t="s">
        <v>35</v>
      </c>
      <c r="Z45" s="26" t="s">
        <v>35</v>
      </c>
      <c r="AA45" s="26" t="s">
        <v>35</v>
      </c>
      <c r="AB45" s="26" t="s">
        <v>35</v>
      </c>
      <c r="AC45" s="26" t="s">
        <v>35</v>
      </c>
      <c r="AD45" s="30" t="s">
        <v>35</v>
      </c>
      <c r="AE45" s="30" t="s">
        <v>35</v>
      </c>
      <c r="AF45" s="73">
        <v>0</v>
      </c>
      <c r="AG45" s="73"/>
      <c r="AH45" s="73"/>
      <c r="AI45" s="32"/>
      <c r="AJ45" s="37" t="s">
        <v>55</v>
      </c>
    </row>
    <row r="46" spans="1:40">
      <c r="A46" s="18">
        <v>44498</v>
      </c>
      <c r="B46" s="19">
        <v>1600</v>
      </c>
      <c r="C46" s="19">
        <f>(SUM(粮草!A46:X46)+AF46*10)*IF(AJ46="是",$AW$4,$AW$3)</f>
        <v>0</v>
      </c>
      <c r="D46" s="20">
        <f>SUM($B$4:B46)-SUM($C$4:C46)</f>
        <v>68000</v>
      </c>
      <c r="E46" s="19">
        <f>SUM(经验!A46:X46)</f>
        <v>0</v>
      </c>
      <c r="F46" s="19">
        <f>SUM($E$4:E46)+SUM($G$4:G46)</f>
        <v>3500</v>
      </c>
      <c r="G46" s="19">
        <v>0</v>
      </c>
      <c r="H46" s="71" t="s">
        <v>35</v>
      </c>
      <c r="I46" s="71" t="s">
        <v>35</v>
      </c>
      <c r="J46" s="71" t="s">
        <v>35</v>
      </c>
      <c r="K46" s="71" t="s">
        <v>35</v>
      </c>
      <c r="L46" s="71" t="s">
        <v>35</v>
      </c>
      <c r="M46" s="71" t="s">
        <v>35</v>
      </c>
      <c r="N46" s="72" t="s">
        <v>35</v>
      </c>
      <c r="O46" s="72" t="s">
        <v>35</v>
      </c>
      <c r="P46" s="71" t="s">
        <v>35</v>
      </c>
      <c r="Q46" s="71" t="s">
        <v>35</v>
      </c>
      <c r="R46" s="71" t="s">
        <v>35</v>
      </c>
      <c r="S46" s="71" t="s">
        <v>35</v>
      </c>
      <c r="T46" s="71" t="s">
        <v>35</v>
      </c>
      <c r="U46" s="71" t="s">
        <v>35</v>
      </c>
      <c r="V46" s="72" t="s">
        <v>35</v>
      </c>
      <c r="W46" s="72" t="s">
        <v>35</v>
      </c>
      <c r="X46" s="26" t="s">
        <v>35</v>
      </c>
      <c r="Y46" s="26" t="s">
        <v>35</v>
      </c>
      <c r="Z46" s="26" t="s">
        <v>35</v>
      </c>
      <c r="AA46" s="26" t="s">
        <v>35</v>
      </c>
      <c r="AB46" s="26" t="s">
        <v>35</v>
      </c>
      <c r="AC46" s="26" t="s">
        <v>35</v>
      </c>
      <c r="AD46" s="30" t="s">
        <v>35</v>
      </c>
      <c r="AE46" s="30" t="s">
        <v>35</v>
      </c>
      <c r="AF46" s="73">
        <v>0</v>
      </c>
      <c r="AG46" s="73"/>
      <c r="AH46" s="73"/>
      <c r="AI46" s="32"/>
      <c r="AJ46" s="37" t="s">
        <v>55</v>
      </c>
    </row>
    <row r="47" spans="1:40">
      <c r="A47" s="18">
        <v>44499</v>
      </c>
      <c r="B47" s="19">
        <v>1600</v>
      </c>
      <c r="C47" s="19">
        <f>(SUM(粮草!A47:X47)+AF47*10)*IF(AJ47="是",$AW$4,$AW$3)</f>
        <v>0</v>
      </c>
      <c r="D47" s="20">
        <f>SUM($B$4:B47)-SUM($C$4:C47)</f>
        <v>69600</v>
      </c>
      <c r="E47" s="19">
        <f>SUM(经验!A47:X47)</f>
        <v>0</v>
      </c>
      <c r="F47" s="19">
        <f>SUM($E$4:E47)+SUM($G$4:G47)</f>
        <v>3500</v>
      </c>
      <c r="G47" s="19">
        <v>0</v>
      </c>
      <c r="H47" s="71" t="s">
        <v>35</v>
      </c>
      <c r="I47" s="71" t="s">
        <v>35</v>
      </c>
      <c r="J47" s="71" t="s">
        <v>35</v>
      </c>
      <c r="K47" s="71" t="s">
        <v>35</v>
      </c>
      <c r="L47" s="71" t="s">
        <v>35</v>
      </c>
      <c r="M47" s="71" t="s">
        <v>35</v>
      </c>
      <c r="N47" s="72" t="s">
        <v>35</v>
      </c>
      <c r="O47" s="72" t="s">
        <v>35</v>
      </c>
      <c r="P47" s="71" t="s">
        <v>35</v>
      </c>
      <c r="Q47" s="71" t="s">
        <v>35</v>
      </c>
      <c r="R47" s="71" t="s">
        <v>35</v>
      </c>
      <c r="S47" s="71" t="s">
        <v>35</v>
      </c>
      <c r="T47" s="71" t="s">
        <v>35</v>
      </c>
      <c r="U47" s="71" t="s">
        <v>35</v>
      </c>
      <c r="V47" s="72" t="s">
        <v>35</v>
      </c>
      <c r="W47" s="72" t="s">
        <v>35</v>
      </c>
      <c r="X47" s="26" t="s">
        <v>35</v>
      </c>
      <c r="Y47" s="26" t="s">
        <v>35</v>
      </c>
      <c r="Z47" s="26" t="s">
        <v>35</v>
      </c>
      <c r="AA47" s="26" t="s">
        <v>35</v>
      </c>
      <c r="AB47" s="26" t="s">
        <v>35</v>
      </c>
      <c r="AC47" s="26" t="s">
        <v>35</v>
      </c>
      <c r="AD47" s="30" t="s">
        <v>35</v>
      </c>
      <c r="AE47" s="30" t="s">
        <v>35</v>
      </c>
      <c r="AF47" s="73">
        <v>0</v>
      </c>
      <c r="AG47" s="73"/>
      <c r="AH47" s="73"/>
      <c r="AI47" s="32"/>
      <c r="AJ47" s="37" t="s">
        <v>55</v>
      </c>
    </row>
    <row r="48" spans="1:40">
      <c r="A48" s="18">
        <v>44500</v>
      </c>
      <c r="B48" s="19">
        <v>1600</v>
      </c>
      <c r="C48" s="19">
        <f>(SUM(粮草!A48:X48)+AF48*10)*IF(AJ48="是",$AW$4,$AW$3)</f>
        <v>0</v>
      </c>
      <c r="D48" s="20">
        <f>SUM($B$4:B48)-SUM($C$4:C48)</f>
        <v>71200</v>
      </c>
      <c r="E48" s="19">
        <f>SUM(经验!A48:X48)</f>
        <v>0</v>
      </c>
      <c r="F48" s="19">
        <f>SUM($E$4:E48)+SUM($G$4:G48)</f>
        <v>3500</v>
      </c>
      <c r="G48" s="19">
        <v>0</v>
      </c>
      <c r="H48" s="71" t="s">
        <v>35</v>
      </c>
      <c r="I48" s="71" t="s">
        <v>35</v>
      </c>
      <c r="J48" s="71" t="s">
        <v>35</v>
      </c>
      <c r="K48" s="71" t="s">
        <v>35</v>
      </c>
      <c r="L48" s="71" t="s">
        <v>35</v>
      </c>
      <c r="M48" s="71" t="s">
        <v>35</v>
      </c>
      <c r="N48" s="72" t="s">
        <v>35</v>
      </c>
      <c r="O48" s="72" t="s">
        <v>35</v>
      </c>
      <c r="P48" s="71" t="s">
        <v>35</v>
      </c>
      <c r="Q48" s="71" t="s">
        <v>35</v>
      </c>
      <c r="R48" s="71" t="s">
        <v>35</v>
      </c>
      <c r="S48" s="71" t="s">
        <v>35</v>
      </c>
      <c r="T48" s="71" t="s">
        <v>35</v>
      </c>
      <c r="U48" s="71" t="s">
        <v>35</v>
      </c>
      <c r="V48" s="72" t="s">
        <v>35</v>
      </c>
      <c r="W48" s="72" t="s">
        <v>35</v>
      </c>
      <c r="X48" s="26" t="s">
        <v>35</v>
      </c>
      <c r="Y48" s="26" t="s">
        <v>35</v>
      </c>
      <c r="Z48" s="26" t="s">
        <v>35</v>
      </c>
      <c r="AA48" s="26" t="s">
        <v>35</v>
      </c>
      <c r="AB48" s="26" t="s">
        <v>35</v>
      </c>
      <c r="AC48" s="26" t="s">
        <v>35</v>
      </c>
      <c r="AD48" s="30" t="s">
        <v>35</v>
      </c>
      <c r="AE48" s="30" t="s">
        <v>35</v>
      </c>
      <c r="AF48" s="73">
        <v>0</v>
      </c>
      <c r="AG48" s="73"/>
      <c r="AH48" s="73"/>
      <c r="AI48" s="32"/>
      <c r="AJ48" s="37" t="s">
        <v>55</v>
      </c>
    </row>
    <row r="49" spans="1:36">
      <c r="A49" s="18">
        <v>44501</v>
      </c>
      <c r="B49" s="21">
        <v>1600</v>
      </c>
      <c r="C49" s="19">
        <f>(SUM(粮草!A49:X49)+AF49*10)*IF(AJ49="是",$AW$4,$AW$3)</f>
        <v>0</v>
      </c>
      <c r="D49" s="22">
        <f>SUM($B$4:B49)-SUM($C$4:C49)</f>
        <v>72800</v>
      </c>
      <c r="E49" s="19">
        <f>SUM(经验!A49:X49)</f>
        <v>0</v>
      </c>
      <c r="F49" s="19">
        <f>SUM($E$4:E49)+SUM($G$4:G49)</f>
        <v>3700</v>
      </c>
      <c r="G49" s="21">
        <v>200</v>
      </c>
      <c r="H49" s="71" t="s">
        <v>35</v>
      </c>
      <c r="I49" s="71" t="s">
        <v>35</v>
      </c>
      <c r="J49" s="71" t="s">
        <v>35</v>
      </c>
      <c r="K49" s="71" t="s">
        <v>35</v>
      </c>
      <c r="L49" s="71" t="s">
        <v>35</v>
      </c>
      <c r="M49" s="71" t="s">
        <v>35</v>
      </c>
      <c r="N49" s="72" t="s">
        <v>35</v>
      </c>
      <c r="O49" s="72" t="s">
        <v>35</v>
      </c>
      <c r="P49" s="71" t="s">
        <v>35</v>
      </c>
      <c r="Q49" s="71" t="s">
        <v>35</v>
      </c>
      <c r="R49" s="71" t="s">
        <v>35</v>
      </c>
      <c r="S49" s="71" t="s">
        <v>35</v>
      </c>
      <c r="T49" s="71" t="s">
        <v>35</v>
      </c>
      <c r="U49" s="71" t="s">
        <v>35</v>
      </c>
      <c r="V49" s="72" t="s">
        <v>35</v>
      </c>
      <c r="W49" s="72" t="s">
        <v>35</v>
      </c>
      <c r="X49" s="26" t="s">
        <v>35</v>
      </c>
      <c r="Y49" s="26" t="s">
        <v>35</v>
      </c>
      <c r="Z49" s="26" t="s">
        <v>35</v>
      </c>
      <c r="AA49" s="26" t="s">
        <v>35</v>
      </c>
      <c r="AB49" s="26" t="s">
        <v>35</v>
      </c>
      <c r="AC49" s="26" t="s">
        <v>35</v>
      </c>
      <c r="AD49" s="30" t="s">
        <v>35</v>
      </c>
      <c r="AE49" s="30" t="s">
        <v>35</v>
      </c>
      <c r="AF49" s="73">
        <v>0</v>
      </c>
      <c r="AG49" s="73"/>
      <c r="AH49" s="73"/>
      <c r="AI49" s="32"/>
      <c r="AJ49" s="37" t="s">
        <v>55</v>
      </c>
    </row>
    <row r="50" spans="1:36">
      <c r="A50" s="18">
        <v>44502</v>
      </c>
      <c r="B50" s="21">
        <v>1600</v>
      </c>
      <c r="C50" s="19">
        <f>(SUM(粮草!A50:X50)+AF50*10)*IF(AJ50="是",$AW$4,$AW$3)</f>
        <v>0</v>
      </c>
      <c r="D50" s="22">
        <f>SUM($B$4:B50)-SUM($C$4:C50)</f>
        <v>74400</v>
      </c>
      <c r="E50" s="19">
        <f>SUM(经验!A50:X50)</f>
        <v>0</v>
      </c>
      <c r="F50" s="19">
        <f>SUM($E$4:E50)+SUM($G$4:G50)</f>
        <v>3800</v>
      </c>
      <c r="G50" s="21">
        <v>100</v>
      </c>
      <c r="H50" s="71" t="s">
        <v>35</v>
      </c>
      <c r="I50" s="71" t="s">
        <v>35</v>
      </c>
      <c r="J50" s="71" t="s">
        <v>35</v>
      </c>
      <c r="K50" s="71" t="s">
        <v>35</v>
      </c>
      <c r="L50" s="71" t="s">
        <v>35</v>
      </c>
      <c r="M50" s="71" t="s">
        <v>35</v>
      </c>
      <c r="N50" s="72" t="s">
        <v>35</v>
      </c>
      <c r="O50" s="72" t="s">
        <v>35</v>
      </c>
      <c r="P50" s="71" t="s">
        <v>35</v>
      </c>
      <c r="Q50" s="71" t="s">
        <v>35</v>
      </c>
      <c r="R50" s="71" t="s">
        <v>35</v>
      </c>
      <c r="S50" s="71" t="s">
        <v>35</v>
      </c>
      <c r="T50" s="71" t="s">
        <v>35</v>
      </c>
      <c r="U50" s="71" t="s">
        <v>35</v>
      </c>
      <c r="V50" s="72" t="s">
        <v>35</v>
      </c>
      <c r="W50" s="72" t="s">
        <v>35</v>
      </c>
      <c r="X50" s="26" t="s">
        <v>35</v>
      </c>
      <c r="Y50" s="26" t="s">
        <v>35</v>
      </c>
      <c r="Z50" s="26" t="s">
        <v>35</v>
      </c>
      <c r="AA50" s="26" t="s">
        <v>35</v>
      </c>
      <c r="AB50" s="26" t="s">
        <v>35</v>
      </c>
      <c r="AC50" s="26" t="s">
        <v>35</v>
      </c>
      <c r="AD50" s="30" t="s">
        <v>35</v>
      </c>
      <c r="AE50" s="30" t="s">
        <v>35</v>
      </c>
      <c r="AF50" s="73">
        <v>0</v>
      </c>
      <c r="AG50" s="73"/>
      <c r="AH50" s="73"/>
      <c r="AI50" s="32"/>
      <c r="AJ50" s="37" t="s">
        <v>55</v>
      </c>
    </row>
    <row r="51" spans="1:36">
      <c r="A51" s="18">
        <v>44503</v>
      </c>
      <c r="B51" s="21">
        <v>1600</v>
      </c>
      <c r="C51" s="19">
        <f>(SUM(粮草!A51:X51)+AF51*10)*IF(AJ51="是",$AW$4,$AW$3)</f>
        <v>0</v>
      </c>
      <c r="D51" s="22">
        <f>SUM($B$4:B51)-SUM($C$4:C51)</f>
        <v>76000</v>
      </c>
      <c r="E51" s="19">
        <f>SUM(经验!A51:X51)</f>
        <v>0</v>
      </c>
      <c r="F51" s="19">
        <f>SUM($E$4:E51)+SUM($G$4:G51)</f>
        <v>4000</v>
      </c>
      <c r="G51" s="21">
        <v>200</v>
      </c>
      <c r="H51" s="71" t="s">
        <v>35</v>
      </c>
      <c r="I51" s="71" t="s">
        <v>35</v>
      </c>
      <c r="J51" s="71" t="s">
        <v>35</v>
      </c>
      <c r="K51" s="71" t="s">
        <v>35</v>
      </c>
      <c r="L51" s="71" t="s">
        <v>35</v>
      </c>
      <c r="M51" s="71" t="s">
        <v>35</v>
      </c>
      <c r="N51" s="72" t="s">
        <v>35</v>
      </c>
      <c r="O51" s="72" t="s">
        <v>35</v>
      </c>
      <c r="P51" s="71" t="s">
        <v>35</v>
      </c>
      <c r="Q51" s="71" t="s">
        <v>35</v>
      </c>
      <c r="R51" s="71" t="s">
        <v>35</v>
      </c>
      <c r="S51" s="71" t="s">
        <v>35</v>
      </c>
      <c r="T51" s="71" t="s">
        <v>35</v>
      </c>
      <c r="U51" s="71" t="s">
        <v>35</v>
      </c>
      <c r="V51" s="72" t="s">
        <v>35</v>
      </c>
      <c r="W51" s="72" t="s">
        <v>35</v>
      </c>
      <c r="X51" s="26" t="s">
        <v>35</v>
      </c>
      <c r="Y51" s="26" t="s">
        <v>35</v>
      </c>
      <c r="Z51" s="26" t="s">
        <v>35</v>
      </c>
      <c r="AA51" s="26" t="s">
        <v>35</v>
      </c>
      <c r="AB51" s="26" t="s">
        <v>35</v>
      </c>
      <c r="AC51" s="26" t="s">
        <v>35</v>
      </c>
      <c r="AD51" s="30" t="s">
        <v>35</v>
      </c>
      <c r="AE51" s="30" t="s">
        <v>35</v>
      </c>
      <c r="AF51" s="73">
        <v>0</v>
      </c>
      <c r="AG51" s="73"/>
      <c r="AH51" s="73"/>
      <c r="AI51" s="32"/>
      <c r="AJ51" s="37" t="s">
        <v>55</v>
      </c>
    </row>
    <row r="52" spans="1:36">
      <c r="A52" s="18">
        <v>44504</v>
      </c>
      <c r="B52" s="21">
        <v>1600</v>
      </c>
      <c r="C52" s="19">
        <f>(SUM(粮草!A52:X52)+AF52*10)*IF(AJ52="是",$AW$4,$AW$3)</f>
        <v>0</v>
      </c>
      <c r="D52" s="22">
        <f>SUM($B$4:B52)-SUM($C$4:C52)</f>
        <v>77600</v>
      </c>
      <c r="E52" s="19">
        <f>SUM(经验!A52:X52)</f>
        <v>0</v>
      </c>
      <c r="F52" s="19">
        <f>SUM($E$4:E52)+SUM($G$4:G52)</f>
        <v>4000</v>
      </c>
      <c r="G52" s="21">
        <v>0</v>
      </c>
      <c r="H52" s="71" t="s">
        <v>35</v>
      </c>
      <c r="I52" s="71" t="s">
        <v>35</v>
      </c>
      <c r="J52" s="71" t="s">
        <v>35</v>
      </c>
      <c r="K52" s="71" t="s">
        <v>35</v>
      </c>
      <c r="L52" s="71" t="s">
        <v>35</v>
      </c>
      <c r="M52" s="71" t="s">
        <v>35</v>
      </c>
      <c r="N52" s="72" t="s">
        <v>35</v>
      </c>
      <c r="O52" s="72" t="s">
        <v>35</v>
      </c>
      <c r="P52" s="71" t="s">
        <v>35</v>
      </c>
      <c r="Q52" s="71" t="s">
        <v>35</v>
      </c>
      <c r="R52" s="71" t="s">
        <v>35</v>
      </c>
      <c r="S52" s="71" t="s">
        <v>35</v>
      </c>
      <c r="T52" s="71" t="s">
        <v>35</v>
      </c>
      <c r="U52" s="71" t="s">
        <v>35</v>
      </c>
      <c r="V52" s="72" t="s">
        <v>35</v>
      </c>
      <c r="W52" s="72" t="s">
        <v>35</v>
      </c>
      <c r="X52" s="26" t="s">
        <v>35</v>
      </c>
      <c r="Y52" s="26" t="s">
        <v>35</v>
      </c>
      <c r="Z52" s="26" t="s">
        <v>35</v>
      </c>
      <c r="AA52" s="26" t="s">
        <v>35</v>
      </c>
      <c r="AB52" s="26" t="s">
        <v>35</v>
      </c>
      <c r="AC52" s="26" t="s">
        <v>35</v>
      </c>
      <c r="AD52" s="30" t="s">
        <v>35</v>
      </c>
      <c r="AE52" s="30" t="s">
        <v>35</v>
      </c>
      <c r="AF52" s="73">
        <v>0</v>
      </c>
      <c r="AG52" s="73"/>
      <c r="AH52" s="73"/>
      <c r="AI52" s="32"/>
      <c r="AJ52" s="37" t="s">
        <v>55</v>
      </c>
    </row>
    <row r="53" spans="1:36">
      <c r="A53" s="18">
        <v>44505</v>
      </c>
      <c r="B53" s="21">
        <v>1600</v>
      </c>
      <c r="C53" s="19">
        <f>(SUM(粮草!A53:X53)+AF53*10)*IF(AJ53="是",$AW$4,$AW$3)</f>
        <v>0</v>
      </c>
      <c r="D53" s="22">
        <f>SUM($B$4:B53)-SUM($C$4:C53)</f>
        <v>79200</v>
      </c>
      <c r="E53" s="19">
        <f>SUM(经验!A53:X53)</f>
        <v>0</v>
      </c>
      <c r="F53" s="19">
        <f>SUM($E$4:E53)+SUM($G$4:G53)</f>
        <v>4000</v>
      </c>
      <c r="G53" s="21">
        <v>0</v>
      </c>
      <c r="H53" s="71" t="s">
        <v>35</v>
      </c>
      <c r="I53" s="71" t="s">
        <v>35</v>
      </c>
      <c r="J53" s="71" t="s">
        <v>35</v>
      </c>
      <c r="K53" s="71" t="s">
        <v>35</v>
      </c>
      <c r="L53" s="71" t="s">
        <v>35</v>
      </c>
      <c r="M53" s="71" t="s">
        <v>35</v>
      </c>
      <c r="N53" s="72" t="s">
        <v>35</v>
      </c>
      <c r="O53" s="72" t="s">
        <v>35</v>
      </c>
      <c r="P53" s="71" t="s">
        <v>35</v>
      </c>
      <c r="Q53" s="71" t="s">
        <v>35</v>
      </c>
      <c r="R53" s="71" t="s">
        <v>35</v>
      </c>
      <c r="S53" s="71" t="s">
        <v>35</v>
      </c>
      <c r="T53" s="71" t="s">
        <v>35</v>
      </c>
      <c r="U53" s="71" t="s">
        <v>35</v>
      </c>
      <c r="V53" s="72" t="s">
        <v>35</v>
      </c>
      <c r="W53" s="72" t="s">
        <v>35</v>
      </c>
      <c r="X53" s="26" t="s">
        <v>35</v>
      </c>
      <c r="Y53" s="26" t="s">
        <v>35</v>
      </c>
      <c r="Z53" s="26" t="s">
        <v>35</v>
      </c>
      <c r="AA53" s="26" t="s">
        <v>35</v>
      </c>
      <c r="AB53" s="26" t="s">
        <v>35</v>
      </c>
      <c r="AC53" s="26" t="s">
        <v>35</v>
      </c>
      <c r="AD53" s="30" t="s">
        <v>35</v>
      </c>
      <c r="AE53" s="30" t="s">
        <v>35</v>
      </c>
      <c r="AF53" s="73">
        <v>0</v>
      </c>
      <c r="AG53" s="73"/>
      <c r="AH53" s="73"/>
      <c r="AI53" s="32"/>
      <c r="AJ53" s="37" t="s">
        <v>55</v>
      </c>
    </row>
    <row r="54" spans="1:36">
      <c r="A54" s="18">
        <v>44506</v>
      </c>
      <c r="B54" s="21">
        <v>1600</v>
      </c>
      <c r="C54" s="19">
        <f>(SUM(粮草!A54:X54)+AF54*10)*IF(AJ54="是",$AW$4,$AW$3)</f>
        <v>0</v>
      </c>
      <c r="D54" s="22">
        <f>SUM($B$4:B54)-SUM($C$4:C54)</f>
        <v>80800</v>
      </c>
      <c r="E54" s="19">
        <f>SUM(经验!A54:X54)</f>
        <v>0</v>
      </c>
      <c r="F54" s="19">
        <f>SUM($E$4:E54)+SUM($G$4:G54)</f>
        <v>4000</v>
      </c>
      <c r="G54" s="21">
        <v>0</v>
      </c>
      <c r="H54" s="71" t="s">
        <v>35</v>
      </c>
      <c r="I54" s="71" t="s">
        <v>35</v>
      </c>
      <c r="J54" s="71" t="s">
        <v>35</v>
      </c>
      <c r="K54" s="71" t="s">
        <v>35</v>
      </c>
      <c r="L54" s="71" t="s">
        <v>35</v>
      </c>
      <c r="M54" s="71" t="s">
        <v>35</v>
      </c>
      <c r="N54" s="72" t="s">
        <v>35</v>
      </c>
      <c r="O54" s="72" t="s">
        <v>35</v>
      </c>
      <c r="P54" s="71" t="s">
        <v>35</v>
      </c>
      <c r="Q54" s="71" t="s">
        <v>35</v>
      </c>
      <c r="R54" s="71" t="s">
        <v>35</v>
      </c>
      <c r="S54" s="71" t="s">
        <v>35</v>
      </c>
      <c r="T54" s="71" t="s">
        <v>35</v>
      </c>
      <c r="U54" s="71" t="s">
        <v>35</v>
      </c>
      <c r="V54" s="72" t="s">
        <v>35</v>
      </c>
      <c r="W54" s="72" t="s">
        <v>35</v>
      </c>
      <c r="X54" s="26" t="s">
        <v>35</v>
      </c>
      <c r="Y54" s="26" t="s">
        <v>35</v>
      </c>
      <c r="Z54" s="26" t="s">
        <v>35</v>
      </c>
      <c r="AA54" s="26" t="s">
        <v>35</v>
      </c>
      <c r="AB54" s="26" t="s">
        <v>35</v>
      </c>
      <c r="AC54" s="26" t="s">
        <v>35</v>
      </c>
      <c r="AD54" s="30" t="s">
        <v>35</v>
      </c>
      <c r="AE54" s="30" t="s">
        <v>35</v>
      </c>
      <c r="AF54" s="73">
        <v>0</v>
      </c>
      <c r="AG54" s="73"/>
      <c r="AH54" s="73"/>
      <c r="AI54" s="32"/>
      <c r="AJ54" s="37" t="s">
        <v>55</v>
      </c>
    </row>
    <row r="55" spans="1:36">
      <c r="A55" s="18">
        <v>44507</v>
      </c>
      <c r="B55" s="21">
        <v>1600</v>
      </c>
      <c r="C55" s="19">
        <f>(SUM(粮草!A55:X55)+AF55*10)*IF(AJ55="是",$AW$4,$AW$3)</f>
        <v>0</v>
      </c>
      <c r="D55" s="22">
        <f>SUM($B$4:B55)-SUM($C$4:C55)</f>
        <v>82400</v>
      </c>
      <c r="E55" s="19">
        <f>SUM(经验!A55:X55)</f>
        <v>0</v>
      </c>
      <c r="F55" s="19">
        <f>SUM($E$4:E55)+SUM($G$4:G55)</f>
        <v>4000</v>
      </c>
      <c r="G55" s="21">
        <v>0</v>
      </c>
      <c r="H55" s="71" t="s">
        <v>35</v>
      </c>
      <c r="I55" s="71" t="s">
        <v>35</v>
      </c>
      <c r="J55" s="71" t="s">
        <v>35</v>
      </c>
      <c r="K55" s="71" t="s">
        <v>35</v>
      </c>
      <c r="L55" s="71" t="s">
        <v>35</v>
      </c>
      <c r="M55" s="71" t="s">
        <v>35</v>
      </c>
      <c r="N55" s="72" t="s">
        <v>35</v>
      </c>
      <c r="O55" s="72" t="s">
        <v>35</v>
      </c>
      <c r="P55" s="71" t="s">
        <v>35</v>
      </c>
      <c r="Q55" s="71" t="s">
        <v>35</v>
      </c>
      <c r="R55" s="71" t="s">
        <v>35</v>
      </c>
      <c r="S55" s="71" t="s">
        <v>35</v>
      </c>
      <c r="T55" s="71" t="s">
        <v>35</v>
      </c>
      <c r="U55" s="71" t="s">
        <v>35</v>
      </c>
      <c r="V55" s="72" t="s">
        <v>35</v>
      </c>
      <c r="W55" s="72" t="s">
        <v>35</v>
      </c>
      <c r="X55" s="26" t="s">
        <v>35</v>
      </c>
      <c r="Y55" s="26" t="s">
        <v>35</v>
      </c>
      <c r="Z55" s="26" t="s">
        <v>35</v>
      </c>
      <c r="AA55" s="26" t="s">
        <v>35</v>
      </c>
      <c r="AB55" s="26" t="s">
        <v>35</v>
      </c>
      <c r="AC55" s="26" t="s">
        <v>35</v>
      </c>
      <c r="AD55" s="30" t="s">
        <v>35</v>
      </c>
      <c r="AE55" s="30" t="s">
        <v>35</v>
      </c>
      <c r="AF55" s="73">
        <v>0</v>
      </c>
      <c r="AG55" s="73"/>
      <c r="AH55" s="73"/>
      <c r="AI55" s="32"/>
      <c r="AJ55" s="37" t="s">
        <v>55</v>
      </c>
    </row>
    <row r="56" spans="1:36">
      <c r="A56" s="18">
        <v>44508</v>
      </c>
      <c r="B56" s="19">
        <v>1600</v>
      </c>
      <c r="C56" s="19">
        <f>(SUM(粮草!A56:X56)+AF56*10)*IF(AJ56="是",$AW$4,$AW$3)</f>
        <v>0</v>
      </c>
      <c r="D56" s="20">
        <f>SUM($B$4:B56)-SUM($C$4:C56)</f>
        <v>84000</v>
      </c>
      <c r="E56" s="19">
        <f>SUM(经验!A56:X56)</f>
        <v>0</v>
      </c>
      <c r="F56" s="19">
        <f>SUM($E$4:E56)+SUM($G$4:G56)</f>
        <v>4300</v>
      </c>
      <c r="G56" s="19">
        <v>300</v>
      </c>
      <c r="H56" s="71" t="s">
        <v>35</v>
      </c>
      <c r="I56" s="71" t="s">
        <v>35</v>
      </c>
      <c r="J56" s="71" t="s">
        <v>35</v>
      </c>
      <c r="K56" s="71" t="s">
        <v>35</v>
      </c>
      <c r="L56" s="71" t="s">
        <v>35</v>
      </c>
      <c r="M56" s="71" t="s">
        <v>35</v>
      </c>
      <c r="N56" s="72" t="s">
        <v>35</v>
      </c>
      <c r="O56" s="72" t="s">
        <v>35</v>
      </c>
      <c r="P56" s="71" t="s">
        <v>35</v>
      </c>
      <c r="Q56" s="71" t="s">
        <v>35</v>
      </c>
      <c r="R56" s="71" t="s">
        <v>35</v>
      </c>
      <c r="S56" s="71" t="s">
        <v>35</v>
      </c>
      <c r="T56" s="71" t="s">
        <v>35</v>
      </c>
      <c r="U56" s="71" t="s">
        <v>35</v>
      </c>
      <c r="V56" s="72" t="s">
        <v>35</v>
      </c>
      <c r="W56" s="72" t="s">
        <v>35</v>
      </c>
      <c r="X56" s="26" t="s">
        <v>35</v>
      </c>
      <c r="Y56" s="26" t="s">
        <v>35</v>
      </c>
      <c r="Z56" s="26" t="s">
        <v>35</v>
      </c>
      <c r="AA56" s="26" t="s">
        <v>35</v>
      </c>
      <c r="AB56" s="26" t="s">
        <v>35</v>
      </c>
      <c r="AC56" s="26" t="s">
        <v>35</v>
      </c>
      <c r="AD56" s="30" t="s">
        <v>35</v>
      </c>
      <c r="AE56" s="30" t="s">
        <v>35</v>
      </c>
      <c r="AF56" s="73">
        <v>0</v>
      </c>
      <c r="AG56" s="73"/>
      <c r="AH56" s="73"/>
      <c r="AI56" s="32"/>
      <c r="AJ56" s="37" t="s">
        <v>55</v>
      </c>
    </row>
    <row r="57" spans="1:36">
      <c r="A57" s="18">
        <v>44509</v>
      </c>
      <c r="B57" s="19">
        <v>1600</v>
      </c>
      <c r="C57" s="19">
        <f>(SUM(粮草!A57:X57)+AF57*10)*IF(AJ57="是",$AW$4,$AW$3)</f>
        <v>0</v>
      </c>
      <c r="D57" s="20">
        <f>SUM($B$4:B57)-SUM($C$4:C57)</f>
        <v>85600</v>
      </c>
      <c r="E57" s="19">
        <f>SUM(经验!A57:X57)</f>
        <v>0</v>
      </c>
      <c r="F57" s="19">
        <f>SUM($E$4:E57)+SUM($G$4:G57)</f>
        <v>4300</v>
      </c>
      <c r="G57" s="19">
        <v>0</v>
      </c>
      <c r="H57" s="71" t="s">
        <v>35</v>
      </c>
      <c r="I57" s="71" t="s">
        <v>35</v>
      </c>
      <c r="J57" s="71" t="s">
        <v>35</v>
      </c>
      <c r="K57" s="71" t="s">
        <v>35</v>
      </c>
      <c r="L57" s="71" t="s">
        <v>35</v>
      </c>
      <c r="M57" s="71" t="s">
        <v>35</v>
      </c>
      <c r="N57" s="72" t="s">
        <v>35</v>
      </c>
      <c r="O57" s="72" t="s">
        <v>35</v>
      </c>
      <c r="P57" s="71" t="s">
        <v>35</v>
      </c>
      <c r="Q57" s="71" t="s">
        <v>35</v>
      </c>
      <c r="R57" s="71" t="s">
        <v>35</v>
      </c>
      <c r="S57" s="71" t="s">
        <v>35</v>
      </c>
      <c r="T57" s="71" t="s">
        <v>35</v>
      </c>
      <c r="U57" s="71" t="s">
        <v>35</v>
      </c>
      <c r="V57" s="72" t="s">
        <v>35</v>
      </c>
      <c r="W57" s="72" t="s">
        <v>35</v>
      </c>
      <c r="X57" s="26" t="s">
        <v>35</v>
      </c>
      <c r="Y57" s="26" t="s">
        <v>35</v>
      </c>
      <c r="Z57" s="26" t="s">
        <v>35</v>
      </c>
      <c r="AA57" s="26" t="s">
        <v>35</v>
      </c>
      <c r="AB57" s="26" t="s">
        <v>35</v>
      </c>
      <c r="AC57" s="26" t="s">
        <v>35</v>
      </c>
      <c r="AD57" s="30" t="s">
        <v>35</v>
      </c>
      <c r="AE57" s="30" t="s">
        <v>35</v>
      </c>
      <c r="AF57" s="73">
        <v>0</v>
      </c>
      <c r="AG57" s="73"/>
      <c r="AH57" s="73"/>
      <c r="AI57" s="32"/>
      <c r="AJ57" s="37" t="s">
        <v>55</v>
      </c>
    </row>
    <row r="58" spans="1:36">
      <c r="A58" s="18">
        <v>44510</v>
      </c>
      <c r="B58" s="19">
        <v>1600</v>
      </c>
      <c r="C58" s="19">
        <f>(SUM(粮草!A58:X58)+AF58*10)*IF(AJ58="是",$AW$4,$AW$3)</f>
        <v>0</v>
      </c>
      <c r="D58" s="20">
        <f>SUM($B$4:B58)-SUM($C$4:C58)</f>
        <v>87200</v>
      </c>
      <c r="E58" s="19">
        <f>SUM(经验!A58:X58)</f>
        <v>0</v>
      </c>
      <c r="F58" s="19">
        <f>SUM($E$4:E58)+SUM($G$4:G58)</f>
        <v>4500</v>
      </c>
      <c r="G58" s="19">
        <v>200</v>
      </c>
      <c r="H58" s="71" t="s">
        <v>35</v>
      </c>
      <c r="I58" s="71" t="s">
        <v>35</v>
      </c>
      <c r="J58" s="71" t="s">
        <v>35</v>
      </c>
      <c r="K58" s="71" t="s">
        <v>35</v>
      </c>
      <c r="L58" s="71" t="s">
        <v>35</v>
      </c>
      <c r="M58" s="71" t="s">
        <v>35</v>
      </c>
      <c r="N58" s="72" t="s">
        <v>35</v>
      </c>
      <c r="O58" s="72" t="s">
        <v>35</v>
      </c>
      <c r="P58" s="71" t="s">
        <v>35</v>
      </c>
      <c r="Q58" s="71" t="s">
        <v>35</v>
      </c>
      <c r="R58" s="71" t="s">
        <v>35</v>
      </c>
      <c r="S58" s="71" t="s">
        <v>35</v>
      </c>
      <c r="T58" s="71" t="s">
        <v>35</v>
      </c>
      <c r="U58" s="71" t="s">
        <v>35</v>
      </c>
      <c r="V58" s="72" t="s">
        <v>35</v>
      </c>
      <c r="W58" s="72" t="s">
        <v>35</v>
      </c>
      <c r="X58" s="26" t="s">
        <v>35</v>
      </c>
      <c r="Y58" s="26" t="s">
        <v>35</v>
      </c>
      <c r="Z58" s="26" t="s">
        <v>35</v>
      </c>
      <c r="AA58" s="26" t="s">
        <v>35</v>
      </c>
      <c r="AB58" s="26" t="s">
        <v>35</v>
      </c>
      <c r="AC58" s="26" t="s">
        <v>35</v>
      </c>
      <c r="AD58" s="30" t="s">
        <v>35</v>
      </c>
      <c r="AE58" s="30" t="s">
        <v>35</v>
      </c>
      <c r="AF58" s="73">
        <v>0</v>
      </c>
      <c r="AG58" s="73"/>
      <c r="AH58" s="73"/>
      <c r="AI58" s="32"/>
      <c r="AJ58" s="37" t="s">
        <v>55</v>
      </c>
    </row>
    <row r="59" spans="1:36">
      <c r="A59" s="18">
        <v>44511</v>
      </c>
      <c r="B59" s="19">
        <v>1600</v>
      </c>
      <c r="C59" s="19">
        <f>(SUM(粮草!A59:X59)+AF59*10)*IF(AJ59="是",$AW$4,$AW$3)</f>
        <v>0</v>
      </c>
      <c r="D59" s="20">
        <f>SUM($B$4:B59)-SUM($C$4:C59)</f>
        <v>88800</v>
      </c>
      <c r="E59" s="19">
        <f>SUM(经验!A59:X59)</f>
        <v>0</v>
      </c>
      <c r="F59" s="19">
        <f>SUM($E$4:E59)+SUM($G$4:G59)</f>
        <v>4500</v>
      </c>
      <c r="G59" s="19">
        <v>0</v>
      </c>
      <c r="H59" s="71" t="s">
        <v>35</v>
      </c>
      <c r="I59" s="71" t="s">
        <v>35</v>
      </c>
      <c r="J59" s="71" t="s">
        <v>35</v>
      </c>
      <c r="K59" s="71" t="s">
        <v>35</v>
      </c>
      <c r="L59" s="71" t="s">
        <v>35</v>
      </c>
      <c r="M59" s="71" t="s">
        <v>35</v>
      </c>
      <c r="N59" s="72" t="s">
        <v>35</v>
      </c>
      <c r="O59" s="72" t="s">
        <v>35</v>
      </c>
      <c r="P59" s="71" t="s">
        <v>35</v>
      </c>
      <c r="Q59" s="71" t="s">
        <v>35</v>
      </c>
      <c r="R59" s="71" t="s">
        <v>35</v>
      </c>
      <c r="S59" s="71" t="s">
        <v>35</v>
      </c>
      <c r="T59" s="71" t="s">
        <v>35</v>
      </c>
      <c r="U59" s="71" t="s">
        <v>35</v>
      </c>
      <c r="V59" s="72" t="s">
        <v>35</v>
      </c>
      <c r="W59" s="72" t="s">
        <v>35</v>
      </c>
      <c r="X59" s="26" t="s">
        <v>35</v>
      </c>
      <c r="Y59" s="26" t="s">
        <v>35</v>
      </c>
      <c r="Z59" s="26" t="s">
        <v>35</v>
      </c>
      <c r="AA59" s="26" t="s">
        <v>35</v>
      </c>
      <c r="AB59" s="26" t="s">
        <v>35</v>
      </c>
      <c r="AC59" s="26" t="s">
        <v>35</v>
      </c>
      <c r="AD59" s="30" t="s">
        <v>35</v>
      </c>
      <c r="AE59" s="30" t="s">
        <v>35</v>
      </c>
      <c r="AF59" s="73">
        <v>0</v>
      </c>
      <c r="AG59" s="73"/>
      <c r="AH59" s="73"/>
      <c r="AI59" s="32"/>
      <c r="AJ59" s="37" t="s">
        <v>55</v>
      </c>
    </row>
    <row r="60" spans="1:36">
      <c r="A60" s="18">
        <v>44512</v>
      </c>
      <c r="B60" s="19">
        <v>1600</v>
      </c>
      <c r="C60" s="19">
        <f>(SUM(粮草!A60:X60)+AF60*10)*IF(AJ60="是",$AW$4,$AW$3)</f>
        <v>0</v>
      </c>
      <c r="D60" s="20">
        <f>SUM($B$4:B60)-SUM($C$4:C60)</f>
        <v>90400</v>
      </c>
      <c r="E60" s="19">
        <f>SUM(经验!A60:X60)</f>
        <v>0</v>
      </c>
      <c r="F60" s="19">
        <f>SUM($E$4:E60)+SUM($G$4:G60)</f>
        <v>4500</v>
      </c>
      <c r="G60" s="19">
        <v>0</v>
      </c>
      <c r="H60" s="71" t="s">
        <v>35</v>
      </c>
      <c r="I60" s="71" t="s">
        <v>35</v>
      </c>
      <c r="J60" s="71" t="s">
        <v>35</v>
      </c>
      <c r="K60" s="71" t="s">
        <v>35</v>
      </c>
      <c r="L60" s="71" t="s">
        <v>35</v>
      </c>
      <c r="M60" s="71" t="s">
        <v>35</v>
      </c>
      <c r="N60" s="72" t="s">
        <v>35</v>
      </c>
      <c r="O60" s="72" t="s">
        <v>35</v>
      </c>
      <c r="P60" s="71" t="s">
        <v>35</v>
      </c>
      <c r="Q60" s="71" t="s">
        <v>35</v>
      </c>
      <c r="R60" s="71" t="s">
        <v>35</v>
      </c>
      <c r="S60" s="71" t="s">
        <v>35</v>
      </c>
      <c r="T60" s="71" t="s">
        <v>35</v>
      </c>
      <c r="U60" s="71" t="s">
        <v>35</v>
      </c>
      <c r="V60" s="72" t="s">
        <v>35</v>
      </c>
      <c r="W60" s="72" t="s">
        <v>35</v>
      </c>
      <c r="X60" s="26" t="s">
        <v>35</v>
      </c>
      <c r="Y60" s="26" t="s">
        <v>35</v>
      </c>
      <c r="Z60" s="26" t="s">
        <v>35</v>
      </c>
      <c r="AA60" s="26" t="s">
        <v>35</v>
      </c>
      <c r="AB60" s="26" t="s">
        <v>35</v>
      </c>
      <c r="AC60" s="26" t="s">
        <v>35</v>
      </c>
      <c r="AD60" s="30" t="s">
        <v>35</v>
      </c>
      <c r="AE60" s="30" t="s">
        <v>35</v>
      </c>
      <c r="AF60" s="73">
        <v>0</v>
      </c>
      <c r="AG60" s="73"/>
      <c r="AH60" s="73"/>
      <c r="AI60" s="32"/>
      <c r="AJ60" s="37" t="s">
        <v>55</v>
      </c>
    </row>
    <row r="61" spans="1:36">
      <c r="A61" s="18">
        <v>44513</v>
      </c>
      <c r="B61" s="19">
        <v>1600</v>
      </c>
      <c r="C61" s="19">
        <f>(SUM(粮草!A61:X61)+AF61*10)*IF(AJ61="是",$AW$4,$AW$3)</f>
        <v>0</v>
      </c>
      <c r="D61" s="20">
        <f>SUM($B$4:B61)-SUM($C$4:C61)</f>
        <v>92000</v>
      </c>
      <c r="E61" s="19">
        <f>SUM(经验!A61:X61)</f>
        <v>0</v>
      </c>
      <c r="F61" s="19">
        <f>SUM($E$4:E61)+SUM($G$4:G61)</f>
        <v>4500</v>
      </c>
      <c r="G61" s="19">
        <v>0</v>
      </c>
      <c r="H61" s="71" t="s">
        <v>35</v>
      </c>
      <c r="I61" s="71" t="s">
        <v>35</v>
      </c>
      <c r="J61" s="71" t="s">
        <v>35</v>
      </c>
      <c r="K61" s="71" t="s">
        <v>35</v>
      </c>
      <c r="L61" s="71" t="s">
        <v>35</v>
      </c>
      <c r="M61" s="71" t="s">
        <v>35</v>
      </c>
      <c r="N61" s="72" t="s">
        <v>35</v>
      </c>
      <c r="O61" s="72" t="s">
        <v>35</v>
      </c>
      <c r="P61" s="71" t="s">
        <v>35</v>
      </c>
      <c r="Q61" s="71" t="s">
        <v>35</v>
      </c>
      <c r="R61" s="71" t="s">
        <v>35</v>
      </c>
      <c r="S61" s="71" t="s">
        <v>35</v>
      </c>
      <c r="T61" s="71" t="s">
        <v>35</v>
      </c>
      <c r="U61" s="71" t="s">
        <v>35</v>
      </c>
      <c r="V61" s="72" t="s">
        <v>35</v>
      </c>
      <c r="W61" s="72" t="s">
        <v>35</v>
      </c>
      <c r="X61" s="26" t="s">
        <v>35</v>
      </c>
      <c r="Y61" s="26" t="s">
        <v>35</v>
      </c>
      <c r="Z61" s="26" t="s">
        <v>35</v>
      </c>
      <c r="AA61" s="26" t="s">
        <v>35</v>
      </c>
      <c r="AB61" s="26" t="s">
        <v>35</v>
      </c>
      <c r="AC61" s="26" t="s">
        <v>35</v>
      </c>
      <c r="AD61" s="30" t="s">
        <v>35</v>
      </c>
      <c r="AE61" s="30" t="s">
        <v>35</v>
      </c>
      <c r="AF61" s="73">
        <v>0</v>
      </c>
      <c r="AG61" s="73"/>
      <c r="AH61" s="73"/>
      <c r="AI61" s="32"/>
      <c r="AJ61" s="37" t="s">
        <v>55</v>
      </c>
    </row>
    <row r="62" spans="1:36">
      <c r="A62" s="18">
        <v>44514</v>
      </c>
      <c r="B62" s="19">
        <v>1600</v>
      </c>
      <c r="C62" s="19">
        <f>(SUM(粮草!A62:X62)+AF62*10)*IF(AJ62="是",$AW$4,$AW$3)</f>
        <v>0</v>
      </c>
      <c r="D62" s="20">
        <f>SUM($B$4:B62)-SUM($C$4:C62)</f>
        <v>93600</v>
      </c>
      <c r="E62" s="19">
        <f>SUM(经验!A62:X62)</f>
        <v>0</v>
      </c>
      <c r="F62" s="19">
        <f>SUM($E$4:E62)+SUM($G$4:G62)</f>
        <v>4500</v>
      </c>
      <c r="G62" s="19">
        <v>0</v>
      </c>
      <c r="H62" s="71" t="s">
        <v>35</v>
      </c>
      <c r="I62" s="71" t="s">
        <v>35</v>
      </c>
      <c r="J62" s="71" t="s">
        <v>35</v>
      </c>
      <c r="K62" s="71" t="s">
        <v>35</v>
      </c>
      <c r="L62" s="71" t="s">
        <v>35</v>
      </c>
      <c r="M62" s="71" t="s">
        <v>35</v>
      </c>
      <c r="N62" s="72" t="s">
        <v>35</v>
      </c>
      <c r="O62" s="72" t="s">
        <v>35</v>
      </c>
      <c r="P62" s="71" t="s">
        <v>35</v>
      </c>
      <c r="Q62" s="71" t="s">
        <v>35</v>
      </c>
      <c r="R62" s="71" t="s">
        <v>35</v>
      </c>
      <c r="S62" s="71" t="s">
        <v>35</v>
      </c>
      <c r="T62" s="71" t="s">
        <v>35</v>
      </c>
      <c r="U62" s="71" t="s">
        <v>35</v>
      </c>
      <c r="V62" s="72" t="s">
        <v>35</v>
      </c>
      <c r="W62" s="72" t="s">
        <v>35</v>
      </c>
      <c r="X62" s="26" t="s">
        <v>35</v>
      </c>
      <c r="Y62" s="26" t="s">
        <v>35</v>
      </c>
      <c r="Z62" s="26" t="s">
        <v>35</v>
      </c>
      <c r="AA62" s="26" t="s">
        <v>35</v>
      </c>
      <c r="AB62" s="26" t="s">
        <v>35</v>
      </c>
      <c r="AC62" s="26" t="s">
        <v>35</v>
      </c>
      <c r="AD62" s="30" t="s">
        <v>35</v>
      </c>
      <c r="AE62" s="30" t="s">
        <v>35</v>
      </c>
      <c r="AF62" s="73">
        <v>0</v>
      </c>
      <c r="AG62" s="73"/>
      <c r="AH62" s="73"/>
      <c r="AI62" s="32"/>
      <c r="AJ62" s="37" t="s">
        <v>55</v>
      </c>
    </row>
    <row r="63" spans="1:36">
      <c r="A63" s="18">
        <v>44515</v>
      </c>
      <c r="B63" s="21">
        <v>1600</v>
      </c>
      <c r="C63" s="19">
        <f>(SUM(粮草!A63:X63)+AF63*10)*IF(AJ63="是",$AW$4,$AW$3)</f>
        <v>0</v>
      </c>
      <c r="D63" s="22">
        <f>SUM($B$4:B63)-SUM($C$4:C63)</f>
        <v>95200</v>
      </c>
      <c r="E63" s="19">
        <f>SUM(经验!A63:X63)</f>
        <v>0</v>
      </c>
      <c r="F63" s="19">
        <f>SUM($E$4:E63)+SUM($G$4:G63)</f>
        <v>4800</v>
      </c>
      <c r="G63" s="21">
        <v>300</v>
      </c>
      <c r="H63" s="71" t="s">
        <v>35</v>
      </c>
      <c r="I63" s="71" t="s">
        <v>35</v>
      </c>
      <c r="J63" s="71" t="s">
        <v>35</v>
      </c>
      <c r="K63" s="71" t="s">
        <v>35</v>
      </c>
      <c r="L63" s="71" t="s">
        <v>35</v>
      </c>
      <c r="M63" s="71" t="s">
        <v>35</v>
      </c>
      <c r="N63" s="72" t="s">
        <v>35</v>
      </c>
      <c r="O63" s="72" t="s">
        <v>35</v>
      </c>
      <c r="P63" s="71" t="s">
        <v>35</v>
      </c>
      <c r="Q63" s="71" t="s">
        <v>35</v>
      </c>
      <c r="R63" s="71" t="s">
        <v>35</v>
      </c>
      <c r="S63" s="71" t="s">
        <v>35</v>
      </c>
      <c r="T63" s="71" t="s">
        <v>35</v>
      </c>
      <c r="U63" s="71" t="s">
        <v>35</v>
      </c>
      <c r="V63" s="72" t="s">
        <v>35</v>
      </c>
      <c r="W63" s="72" t="s">
        <v>35</v>
      </c>
      <c r="X63" s="26" t="s">
        <v>35</v>
      </c>
      <c r="Y63" s="26" t="s">
        <v>35</v>
      </c>
      <c r="Z63" s="26" t="s">
        <v>35</v>
      </c>
      <c r="AA63" s="26" t="s">
        <v>35</v>
      </c>
      <c r="AB63" s="26" t="s">
        <v>35</v>
      </c>
      <c r="AC63" s="26" t="s">
        <v>35</v>
      </c>
      <c r="AD63" s="30" t="s">
        <v>35</v>
      </c>
      <c r="AE63" s="30" t="s">
        <v>35</v>
      </c>
      <c r="AF63" s="73">
        <v>0</v>
      </c>
      <c r="AG63" s="73"/>
      <c r="AH63" s="73"/>
      <c r="AI63" s="32"/>
      <c r="AJ63" s="37" t="s">
        <v>55</v>
      </c>
    </row>
    <row r="64" spans="1:36">
      <c r="A64" s="18">
        <v>44516</v>
      </c>
      <c r="B64" s="21">
        <v>1600</v>
      </c>
      <c r="C64" s="19">
        <f>(SUM(粮草!A64:X64)+AF64*10)*IF(AJ64="是",$AW$4,$AW$3)</f>
        <v>0</v>
      </c>
      <c r="D64" s="22">
        <f>SUM($B$4:B64)-SUM($C$4:C64)</f>
        <v>96800</v>
      </c>
      <c r="E64" s="19">
        <f>SUM(经验!A64:X64)</f>
        <v>0</v>
      </c>
      <c r="F64" s="19">
        <f>SUM($E$4:E64)+SUM($G$4:G64)</f>
        <v>4800</v>
      </c>
      <c r="G64" s="21">
        <v>0</v>
      </c>
      <c r="H64" s="71" t="s">
        <v>35</v>
      </c>
      <c r="I64" s="71" t="s">
        <v>35</v>
      </c>
      <c r="J64" s="71" t="s">
        <v>35</v>
      </c>
      <c r="K64" s="71" t="s">
        <v>35</v>
      </c>
      <c r="L64" s="71" t="s">
        <v>35</v>
      </c>
      <c r="M64" s="71" t="s">
        <v>35</v>
      </c>
      <c r="N64" s="72" t="s">
        <v>35</v>
      </c>
      <c r="O64" s="72" t="s">
        <v>35</v>
      </c>
      <c r="P64" s="71" t="s">
        <v>35</v>
      </c>
      <c r="Q64" s="71" t="s">
        <v>35</v>
      </c>
      <c r="R64" s="71" t="s">
        <v>35</v>
      </c>
      <c r="S64" s="71" t="s">
        <v>35</v>
      </c>
      <c r="T64" s="71" t="s">
        <v>35</v>
      </c>
      <c r="U64" s="71" t="s">
        <v>35</v>
      </c>
      <c r="V64" s="72" t="s">
        <v>35</v>
      </c>
      <c r="W64" s="72" t="s">
        <v>35</v>
      </c>
      <c r="X64" s="26" t="s">
        <v>35</v>
      </c>
      <c r="Y64" s="26" t="s">
        <v>35</v>
      </c>
      <c r="Z64" s="26" t="s">
        <v>35</v>
      </c>
      <c r="AA64" s="26" t="s">
        <v>35</v>
      </c>
      <c r="AB64" s="26" t="s">
        <v>35</v>
      </c>
      <c r="AC64" s="26" t="s">
        <v>35</v>
      </c>
      <c r="AD64" s="30" t="s">
        <v>35</v>
      </c>
      <c r="AE64" s="30" t="s">
        <v>35</v>
      </c>
      <c r="AF64" s="73">
        <v>0</v>
      </c>
      <c r="AG64" s="73"/>
      <c r="AH64" s="73"/>
      <c r="AI64" s="32"/>
      <c r="AJ64" s="37" t="s">
        <v>55</v>
      </c>
    </row>
    <row r="65" spans="1:36">
      <c r="A65" s="18">
        <v>44517</v>
      </c>
      <c r="B65" s="21">
        <v>1600</v>
      </c>
      <c r="C65" s="19">
        <f>(SUM(粮草!A65:X65)+AF65*10)*IF(AJ65="是",$AW$4,$AW$3)</f>
        <v>0</v>
      </c>
      <c r="D65" s="22">
        <f>SUM($B$4:B65)-SUM($C$4:C65)</f>
        <v>98400</v>
      </c>
      <c r="E65" s="19">
        <f>SUM(经验!A65:X65)</f>
        <v>0</v>
      </c>
      <c r="F65" s="19">
        <f>SUM($E$4:E65)+SUM($G$4:G65)</f>
        <v>5000</v>
      </c>
      <c r="G65" s="21">
        <v>200</v>
      </c>
      <c r="H65" s="71" t="s">
        <v>35</v>
      </c>
      <c r="I65" s="71" t="s">
        <v>35</v>
      </c>
      <c r="J65" s="71" t="s">
        <v>35</v>
      </c>
      <c r="K65" s="71" t="s">
        <v>35</v>
      </c>
      <c r="L65" s="71" t="s">
        <v>35</v>
      </c>
      <c r="M65" s="71" t="s">
        <v>35</v>
      </c>
      <c r="N65" s="72" t="s">
        <v>35</v>
      </c>
      <c r="O65" s="72" t="s">
        <v>35</v>
      </c>
      <c r="P65" s="71" t="s">
        <v>35</v>
      </c>
      <c r="Q65" s="71" t="s">
        <v>35</v>
      </c>
      <c r="R65" s="71" t="s">
        <v>35</v>
      </c>
      <c r="S65" s="71" t="s">
        <v>35</v>
      </c>
      <c r="T65" s="71" t="s">
        <v>35</v>
      </c>
      <c r="U65" s="71" t="s">
        <v>35</v>
      </c>
      <c r="V65" s="72" t="s">
        <v>35</v>
      </c>
      <c r="W65" s="72" t="s">
        <v>35</v>
      </c>
      <c r="X65" s="26" t="s">
        <v>35</v>
      </c>
      <c r="Y65" s="26" t="s">
        <v>35</v>
      </c>
      <c r="Z65" s="26" t="s">
        <v>35</v>
      </c>
      <c r="AA65" s="26" t="s">
        <v>35</v>
      </c>
      <c r="AB65" s="26" t="s">
        <v>35</v>
      </c>
      <c r="AC65" s="26" t="s">
        <v>35</v>
      </c>
      <c r="AD65" s="30" t="s">
        <v>35</v>
      </c>
      <c r="AE65" s="30" t="s">
        <v>35</v>
      </c>
      <c r="AF65" s="73">
        <v>0</v>
      </c>
      <c r="AG65" s="73"/>
      <c r="AH65" s="73"/>
      <c r="AI65" s="32"/>
      <c r="AJ65" s="37" t="s">
        <v>55</v>
      </c>
    </row>
    <row r="66" spans="1:36">
      <c r="A66" s="18">
        <v>44518</v>
      </c>
      <c r="B66" s="21">
        <v>1600</v>
      </c>
      <c r="C66" s="19">
        <f>(SUM(粮草!A66:X66)+AF66*10)*IF(AJ66="是",$AW$4,$AW$3)</f>
        <v>0</v>
      </c>
      <c r="D66" s="22">
        <f>SUM($B$4:B66)-SUM($C$4:C66)</f>
        <v>100000</v>
      </c>
      <c r="E66" s="19">
        <f>SUM(经验!A66:X66)</f>
        <v>0</v>
      </c>
      <c r="F66" s="19">
        <f>SUM($E$4:E66)+SUM($G$4:G66)</f>
        <v>5000</v>
      </c>
      <c r="G66" s="21">
        <v>0</v>
      </c>
      <c r="H66" s="71" t="s">
        <v>35</v>
      </c>
      <c r="I66" s="71" t="s">
        <v>35</v>
      </c>
      <c r="J66" s="71" t="s">
        <v>35</v>
      </c>
      <c r="K66" s="71" t="s">
        <v>35</v>
      </c>
      <c r="L66" s="71" t="s">
        <v>35</v>
      </c>
      <c r="M66" s="71" t="s">
        <v>35</v>
      </c>
      <c r="N66" s="72" t="s">
        <v>35</v>
      </c>
      <c r="O66" s="72" t="s">
        <v>35</v>
      </c>
      <c r="P66" s="71" t="s">
        <v>35</v>
      </c>
      <c r="Q66" s="71" t="s">
        <v>35</v>
      </c>
      <c r="R66" s="71" t="s">
        <v>35</v>
      </c>
      <c r="S66" s="71" t="s">
        <v>35</v>
      </c>
      <c r="T66" s="71" t="s">
        <v>35</v>
      </c>
      <c r="U66" s="71" t="s">
        <v>35</v>
      </c>
      <c r="V66" s="72" t="s">
        <v>35</v>
      </c>
      <c r="W66" s="72" t="s">
        <v>35</v>
      </c>
      <c r="X66" s="26" t="s">
        <v>35</v>
      </c>
      <c r="Y66" s="26" t="s">
        <v>35</v>
      </c>
      <c r="Z66" s="26" t="s">
        <v>35</v>
      </c>
      <c r="AA66" s="26" t="s">
        <v>35</v>
      </c>
      <c r="AB66" s="26" t="s">
        <v>35</v>
      </c>
      <c r="AC66" s="26" t="s">
        <v>35</v>
      </c>
      <c r="AD66" s="30" t="s">
        <v>35</v>
      </c>
      <c r="AE66" s="30" t="s">
        <v>35</v>
      </c>
      <c r="AF66" s="73">
        <v>0</v>
      </c>
      <c r="AG66" s="73"/>
      <c r="AH66" s="73"/>
      <c r="AI66" s="32"/>
      <c r="AJ66" s="37" t="s">
        <v>55</v>
      </c>
    </row>
    <row r="67" spans="1:36">
      <c r="A67" s="18">
        <v>44519</v>
      </c>
      <c r="B67" s="21">
        <v>1600</v>
      </c>
      <c r="C67" s="19">
        <f>(SUM(粮草!A67:X67)+AF67*10)*IF(AJ67="是",$AW$4,$AW$3)</f>
        <v>0</v>
      </c>
      <c r="D67" s="22">
        <f>SUM($B$4:B67)-SUM($C$4:C67)</f>
        <v>101600</v>
      </c>
      <c r="E67" s="19">
        <f>SUM(经验!A67:X67)</f>
        <v>0</v>
      </c>
      <c r="F67" s="19">
        <f>SUM($E$4:E67)+SUM($G$4:G67)</f>
        <v>5000</v>
      </c>
      <c r="G67" s="21">
        <v>0</v>
      </c>
      <c r="H67" s="71" t="s">
        <v>35</v>
      </c>
      <c r="I67" s="71" t="s">
        <v>35</v>
      </c>
      <c r="J67" s="71" t="s">
        <v>35</v>
      </c>
      <c r="K67" s="71" t="s">
        <v>35</v>
      </c>
      <c r="L67" s="71" t="s">
        <v>35</v>
      </c>
      <c r="M67" s="71" t="s">
        <v>35</v>
      </c>
      <c r="N67" s="72" t="s">
        <v>35</v>
      </c>
      <c r="O67" s="72" t="s">
        <v>35</v>
      </c>
      <c r="P67" s="71" t="s">
        <v>35</v>
      </c>
      <c r="Q67" s="71" t="s">
        <v>35</v>
      </c>
      <c r="R67" s="71" t="s">
        <v>35</v>
      </c>
      <c r="S67" s="71" t="s">
        <v>35</v>
      </c>
      <c r="T67" s="71" t="s">
        <v>35</v>
      </c>
      <c r="U67" s="71" t="s">
        <v>35</v>
      </c>
      <c r="V67" s="72" t="s">
        <v>35</v>
      </c>
      <c r="W67" s="72" t="s">
        <v>35</v>
      </c>
      <c r="X67" s="26" t="s">
        <v>35</v>
      </c>
      <c r="Y67" s="26" t="s">
        <v>35</v>
      </c>
      <c r="Z67" s="26" t="s">
        <v>35</v>
      </c>
      <c r="AA67" s="26" t="s">
        <v>35</v>
      </c>
      <c r="AB67" s="26" t="s">
        <v>35</v>
      </c>
      <c r="AC67" s="26" t="s">
        <v>35</v>
      </c>
      <c r="AD67" s="30" t="s">
        <v>35</v>
      </c>
      <c r="AE67" s="30" t="s">
        <v>35</v>
      </c>
      <c r="AF67" s="73">
        <v>0</v>
      </c>
      <c r="AG67" s="73"/>
      <c r="AH67" s="73"/>
      <c r="AI67" s="32"/>
      <c r="AJ67" s="37" t="s">
        <v>55</v>
      </c>
    </row>
    <row r="68" spans="1:36">
      <c r="A68" s="18">
        <v>44520</v>
      </c>
      <c r="B68" s="21">
        <v>1600</v>
      </c>
      <c r="C68" s="19">
        <f>(SUM(粮草!A68:X68)+AF68*10)*IF(AJ68="是",$AW$4,$AW$3)</f>
        <v>0</v>
      </c>
      <c r="D68" s="22">
        <f>SUM($B$4:B68)-SUM($C$4:C68)</f>
        <v>103200</v>
      </c>
      <c r="E68" s="19">
        <f>SUM(经验!A68:X68)</f>
        <v>0</v>
      </c>
      <c r="F68" s="19">
        <f>SUM($E$4:E68)+SUM($G$4:G68)</f>
        <v>5000</v>
      </c>
      <c r="G68" s="21">
        <v>0</v>
      </c>
      <c r="H68" s="71" t="s">
        <v>35</v>
      </c>
      <c r="I68" s="71" t="s">
        <v>35</v>
      </c>
      <c r="J68" s="71" t="s">
        <v>35</v>
      </c>
      <c r="K68" s="71" t="s">
        <v>35</v>
      </c>
      <c r="L68" s="71" t="s">
        <v>35</v>
      </c>
      <c r="M68" s="71" t="s">
        <v>35</v>
      </c>
      <c r="N68" s="72" t="s">
        <v>35</v>
      </c>
      <c r="O68" s="72" t="s">
        <v>35</v>
      </c>
      <c r="P68" s="71" t="s">
        <v>35</v>
      </c>
      <c r="Q68" s="71" t="s">
        <v>35</v>
      </c>
      <c r="R68" s="71" t="s">
        <v>35</v>
      </c>
      <c r="S68" s="71" t="s">
        <v>35</v>
      </c>
      <c r="T68" s="71" t="s">
        <v>35</v>
      </c>
      <c r="U68" s="71" t="s">
        <v>35</v>
      </c>
      <c r="V68" s="72" t="s">
        <v>35</v>
      </c>
      <c r="W68" s="72" t="s">
        <v>35</v>
      </c>
      <c r="X68" s="26" t="s">
        <v>35</v>
      </c>
      <c r="Y68" s="26" t="s">
        <v>35</v>
      </c>
      <c r="Z68" s="26" t="s">
        <v>35</v>
      </c>
      <c r="AA68" s="26" t="s">
        <v>35</v>
      </c>
      <c r="AB68" s="26" t="s">
        <v>35</v>
      </c>
      <c r="AC68" s="26" t="s">
        <v>35</v>
      </c>
      <c r="AD68" s="30" t="s">
        <v>35</v>
      </c>
      <c r="AE68" s="30" t="s">
        <v>35</v>
      </c>
      <c r="AF68" s="73">
        <v>0</v>
      </c>
      <c r="AG68" s="73"/>
      <c r="AH68" s="73"/>
      <c r="AI68" s="32"/>
      <c r="AJ68" s="37" t="s">
        <v>55</v>
      </c>
    </row>
    <row r="69" spans="1:36">
      <c r="A69" s="18">
        <v>44521</v>
      </c>
      <c r="B69" s="21">
        <v>1600</v>
      </c>
      <c r="C69" s="19">
        <f>(SUM(粮草!A69:X69)+AF69*10)*IF(AJ69="是",$AW$4,$AW$3)</f>
        <v>0</v>
      </c>
      <c r="D69" s="22">
        <f>SUM($B$4:B69)-SUM($C$4:C69)</f>
        <v>104800</v>
      </c>
      <c r="E69" s="19">
        <f>SUM(经验!A69:X69)</f>
        <v>0</v>
      </c>
      <c r="F69" s="19">
        <f>SUM($E$4:E69)+SUM($G$4:G69)</f>
        <v>5000</v>
      </c>
      <c r="G69" s="21">
        <v>0</v>
      </c>
      <c r="H69" s="71" t="s">
        <v>35</v>
      </c>
      <c r="I69" s="71" t="s">
        <v>35</v>
      </c>
      <c r="J69" s="71" t="s">
        <v>35</v>
      </c>
      <c r="K69" s="71" t="s">
        <v>35</v>
      </c>
      <c r="L69" s="71" t="s">
        <v>35</v>
      </c>
      <c r="M69" s="71" t="s">
        <v>35</v>
      </c>
      <c r="N69" s="72" t="s">
        <v>35</v>
      </c>
      <c r="O69" s="72" t="s">
        <v>35</v>
      </c>
      <c r="P69" s="71" t="s">
        <v>35</v>
      </c>
      <c r="Q69" s="71" t="s">
        <v>35</v>
      </c>
      <c r="R69" s="71" t="s">
        <v>35</v>
      </c>
      <c r="S69" s="71" t="s">
        <v>35</v>
      </c>
      <c r="T69" s="71" t="s">
        <v>35</v>
      </c>
      <c r="U69" s="71" t="s">
        <v>35</v>
      </c>
      <c r="V69" s="72" t="s">
        <v>35</v>
      </c>
      <c r="W69" s="72" t="s">
        <v>35</v>
      </c>
      <c r="X69" s="26" t="s">
        <v>35</v>
      </c>
      <c r="Y69" s="26" t="s">
        <v>35</v>
      </c>
      <c r="Z69" s="26" t="s">
        <v>35</v>
      </c>
      <c r="AA69" s="26" t="s">
        <v>35</v>
      </c>
      <c r="AB69" s="26" t="s">
        <v>35</v>
      </c>
      <c r="AC69" s="26" t="s">
        <v>35</v>
      </c>
      <c r="AD69" s="30" t="s">
        <v>35</v>
      </c>
      <c r="AE69" s="30" t="s">
        <v>35</v>
      </c>
      <c r="AF69" s="73">
        <v>0</v>
      </c>
      <c r="AG69" s="73"/>
      <c r="AH69" s="73"/>
      <c r="AI69" s="32"/>
      <c r="AJ69" s="37" t="s">
        <v>55</v>
      </c>
    </row>
    <row r="70" spans="1:36">
      <c r="A70" s="18">
        <v>44522</v>
      </c>
      <c r="B70" s="19">
        <v>1600</v>
      </c>
      <c r="C70" s="19">
        <f>(SUM(粮草!A70:X70)+AF70*10)*IF(AJ70="是",$AW$4,$AW$3)</f>
        <v>0</v>
      </c>
      <c r="D70" s="20">
        <f>SUM($B$4:B70)-SUM($C$4:C70)</f>
        <v>106400</v>
      </c>
      <c r="E70" s="19">
        <f>SUM(经验!A70:X70)</f>
        <v>0</v>
      </c>
      <c r="F70" s="19">
        <f>SUM($E$4:E70)+SUM($G$4:G70)</f>
        <v>5300</v>
      </c>
      <c r="G70" s="19">
        <v>300</v>
      </c>
      <c r="H70" s="71" t="s">
        <v>35</v>
      </c>
      <c r="I70" s="71" t="s">
        <v>35</v>
      </c>
      <c r="J70" s="71" t="s">
        <v>35</v>
      </c>
      <c r="K70" s="71" t="s">
        <v>35</v>
      </c>
      <c r="L70" s="71" t="s">
        <v>35</v>
      </c>
      <c r="M70" s="71" t="s">
        <v>35</v>
      </c>
      <c r="N70" s="72" t="s">
        <v>35</v>
      </c>
      <c r="O70" s="72" t="s">
        <v>35</v>
      </c>
      <c r="P70" s="71" t="s">
        <v>35</v>
      </c>
      <c r="Q70" s="71" t="s">
        <v>35</v>
      </c>
      <c r="R70" s="71" t="s">
        <v>35</v>
      </c>
      <c r="S70" s="71" t="s">
        <v>35</v>
      </c>
      <c r="T70" s="71" t="s">
        <v>35</v>
      </c>
      <c r="U70" s="71" t="s">
        <v>35</v>
      </c>
      <c r="V70" s="72" t="s">
        <v>35</v>
      </c>
      <c r="W70" s="72" t="s">
        <v>35</v>
      </c>
      <c r="X70" s="26" t="s">
        <v>35</v>
      </c>
      <c r="Y70" s="26" t="s">
        <v>35</v>
      </c>
      <c r="Z70" s="26" t="s">
        <v>35</v>
      </c>
      <c r="AA70" s="26" t="s">
        <v>35</v>
      </c>
      <c r="AB70" s="26" t="s">
        <v>35</v>
      </c>
      <c r="AC70" s="26" t="s">
        <v>35</v>
      </c>
      <c r="AD70" s="30" t="s">
        <v>35</v>
      </c>
      <c r="AE70" s="30" t="s">
        <v>35</v>
      </c>
      <c r="AF70" s="73">
        <v>0</v>
      </c>
      <c r="AG70" s="73"/>
      <c r="AH70" s="73"/>
      <c r="AI70" s="32"/>
      <c r="AJ70" s="37" t="s">
        <v>55</v>
      </c>
    </row>
    <row r="71" spans="1:36">
      <c r="A71" s="18">
        <v>44523</v>
      </c>
      <c r="B71" s="19">
        <v>1600</v>
      </c>
      <c r="C71" s="19">
        <f>(SUM(粮草!A71:X71)+AF71*10)*IF(AJ71="是",$AW$4,$AW$3)</f>
        <v>0</v>
      </c>
      <c r="D71" s="20">
        <f>SUM($B$4:B71)-SUM($C$4:C71)</f>
        <v>108000</v>
      </c>
      <c r="E71" s="19">
        <f>SUM(经验!A71:X71)</f>
        <v>0</v>
      </c>
      <c r="F71" s="19">
        <f>SUM($E$4:E71)+SUM($G$4:G71)</f>
        <v>5300</v>
      </c>
      <c r="G71" s="19">
        <v>0</v>
      </c>
      <c r="H71" s="71" t="s">
        <v>35</v>
      </c>
      <c r="I71" s="71" t="s">
        <v>35</v>
      </c>
      <c r="J71" s="71" t="s">
        <v>35</v>
      </c>
      <c r="K71" s="71" t="s">
        <v>35</v>
      </c>
      <c r="L71" s="71" t="s">
        <v>35</v>
      </c>
      <c r="M71" s="71" t="s">
        <v>35</v>
      </c>
      <c r="N71" s="72" t="s">
        <v>35</v>
      </c>
      <c r="O71" s="72" t="s">
        <v>35</v>
      </c>
      <c r="P71" s="71" t="s">
        <v>35</v>
      </c>
      <c r="Q71" s="71" t="s">
        <v>35</v>
      </c>
      <c r="R71" s="71" t="s">
        <v>35</v>
      </c>
      <c r="S71" s="71" t="s">
        <v>35</v>
      </c>
      <c r="T71" s="71" t="s">
        <v>35</v>
      </c>
      <c r="U71" s="71" t="s">
        <v>35</v>
      </c>
      <c r="V71" s="72" t="s">
        <v>35</v>
      </c>
      <c r="W71" s="72" t="s">
        <v>35</v>
      </c>
      <c r="X71" s="26" t="s">
        <v>35</v>
      </c>
      <c r="Y71" s="26" t="s">
        <v>35</v>
      </c>
      <c r="Z71" s="26" t="s">
        <v>35</v>
      </c>
      <c r="AA71" s="26" t="s">
        <v>35</v>
      </c>
      <c r="AB71" s="26" t="s">
        <v>35</v>
      </c>
      <c r="AC71" s="26" t="s">
        <v>35</v>
      </c>
      <c r="AD71" s="30" t="s">
        <v>35</v>
      </c>
      <c r="AE71" s="30" t="s">
        <v>35</v>
      </c>
      <c r="AF71" s="73">
        <v>0</v>
      </c>
      <c r="AG71" s="73"/>
      <c r="AH71" s="73"/>
      <c r="AI71" s="32"/>
      <c r="AJ71" s="37" t="s">
        <v>55</v>
      </c>
    </row>
    <row r="72" spans="1:36">
      <c r="A72" s="18">
        <v>44524</v>
      </c>
      <c r="B72" s="19">
        <v>1600</v>
      </c>
      <c r="C72" s="19">
        <f>(SUM(粮草!A72:X72)+AF72*10)*IF(AJ72="是",$AW$4,$AW$3)</f>
        <v>0</v>
      </c>
      <c r="D72" s="20">
        <f>SUM($B$4:B72)-SUM($C$4:C72)</f>
        <v>109600</v>
      </c>
      <c r="E72" s="19">
        <f>SUM(经验!A72:X72)</f>
        <v>0</v>
      </c>
      <c r="F72" s="19">
        <f>SUM($E$4:E72)+SUM($G$4:G72)</f>
        <v>5500</v>
      </c>
      <c r="G72" s="19">
        <v>200</v>
      </c>
      <c r="H72" s="71" t="s">
        <v>35</v>
      </c>
      <c r="I72" s="71" t="s">
        <v>35</v>
      </c>
      <c r="J72" s="71" t="s">
        <v>35</v>
      </c>
      <c r="K72" s="71" t="s">
        <v>35</v>
      </c>
      <c r="L72" s="71" t="s">
        <v>35</v>
      </c>
      <c r="M72" s="71" t="s">
        <v>35</v>
      </c>
      <c r="N72" s="72" t="s">
        <v>35</v>
      </c>
      <c r="O72" s="72" t="s">
        <v>35</v>
      </c>
      <c r="P72" s="71" t="s">
        <v>35</v>
      </c>
      <c r="Q72" s="71" t="s">
        <v>35</v>
      </c>
      <c r="R72" s="71" t="s">
        <v>35</v>
      </c>
      <c r="S72" s="71" t="s">
        <v>35</v>
      </c>
      <c r="T72" s="71" t="s">
        <v>35</v>
      </c>
      <c r="U72" s="71" t="s">
        <v>35</v>
      </c>
      <c r="V72" s="72" t="s">
        <v>35</v>
      </c>
      <c r="W72" s="72" t="s">
        <v>35</v>
      </c>
      <c r="X72" s="26" t="s">
        <v>35</v>
      </c>
      <c r="Y72" s="26" t="s">
        <v>35</v>
      </c>
      <c r="Z72" s="26" t="s">
        <v>35</v>
      </c>
      <c r="AA72" s="26" t="s">
        <v>35</v>
      </c>
      <c r="AB72" s="26" t="s">
        <v>35</v>
      </c>
      <c r="AC72" s="26" t="s">
        <v>35</v>
      </c>
      <c r="AD72" s="30" t="s">
        <v>35</v>
      </c>
      <c r="AE72" s="30" t="s">
        <v>35</v>
      </c>
      <c r="AF72" s="73">
        <v>0</v>
      </c>
      <c r="AG72" s="73"/>
      <c r="AH72" s="73"/>
      <c r="AI72" s="32"/>
      <c r="AJ72" s="37" t="s">
        <v>55</v>
      </c>
    </row>
    <row r="73" spans="1:36">
      <c r="A73" s="18">
        <v>44525</v>
      </c>
      <c r="B73" s="19">
        <v>1600</v>
      </c>
      <c r="C73" s="19">
        <f>(SUM(粮草!A73:X73)+AF73*10)*IF(AJ73="是",$AW$4,$AW$3)</f>
        <v>0</v>
      </c>
      <c r="D73" s="20">
        <f>SUM($B$4:B73)-SUM($C$4:C73)</f>
        <v>111200</v>
      </c>
      <c r="E73" s="19">
        <f>SUM(经验!A73:X73)</f>
        <v>0</v>
      </c>
      <c r="F73" s="19">
        <f>SUM($E$4:E73)+SUM($G$4:G73)</f>
        <v>5500</v>
      </c>
      <c r="G73" s="19">
        <v>0</v>
      </c>
      <c r="H73" s="71" t="s">
        <v>35</v>
      </c>
      <c r="I73" s="71" t="s">
        <v>35</v>
      </c>
      <c r="J73" s="71" t="s">
        <v>35</v>
      </c>
      <c r="K73" s="71" t="s">
        <v>35</v>
      </c>
      <c r="L73" s="71" t="s">
        <v>35</v>
      </c>
      <c r="M73" s="71" t="s">
        <v>35</v>
      </c>
      <c r="N73" s="72" t="s">
        <v>35</v>
      </c>
      <c r="O73" s="72" t="s">
        <v>35</v>
      </c>
      <c r="P73" s="71" t="s">
        <v>35</v>
      </c>
      <c r="Q73" s="71" t="s">
        <v>35</v>
      </c>
      <c r="R73" s="71" t="s">
        <v>35</v>
      </c>
      <c r="S73" s="71" t="s">
        <v>35</v>
      </c>
      <c r="T73" s="71" t="s">
        <v>35</v>
      </c>
      <c r="U73" s="71" t="s">
        <v>35</v>
      </c>
      <c r="V73" s="72" t="s">
        <v>35</v>
      </c>
      <c r="W73" s="72" t="s">
        <v>35</v>
      </c>
      <c r="X73" s="26" t="s">
        <v>35</v>
      </c>
      <c r="Y73" s="26" t="s">
        <v>35</v>
      </c>
      <c r="Z73" s="26" t="s">
        <v>35</v>
      </c>
      <c r="AA73" s="26" t="s">
        <v>35</v>
      </c>
      <c r="AB73" s="26" t="s">
        <v>35</v>
      </c>
      <c r="AC73" s="26" t="s">
        <v>35</v>
      </c>
      <c r="AD73" s="30" t="s">
        <v>35</v>
      </c>
      <c r="AE73" s="30" t="s">
        <v>35</v>
      </c>
      <c r="AF73" s="73">
        <v>0</v>
      </c>
      <c r="AG73" s="73"/>
      <c r="AH73" s="73"/>
      <c r="AI73" s="32"/>
      <c r="AJ73" s="37" t="s">
        <v>55</v>
      </c>
    </row>
    <row r="74" spans="1:36">
      <c r="A74" s="18">
        <v>44526</v>
      </c>
      <c r="B74" s="19">
        <v>1600</v>
      </c>
      <c r="C74" s="19">
        <f>(SUM(粮草!A74:X74)+AF74*10)*IF(AJ74="是",$AW$4,$AW$3)</f>
        <v>0</v>
      </c>
      <c r="D74" s="20">
        <f>SUM($B$4:B74)-SUM($C$4:C74)</f>
        <v>112800</v>
      </c>
      <c r="E74" s="19">
        <f>SUM(经验!A74:X74)</f>
        <v>0</v>
      </c>
      <c r="F74" s="19">
        <f>SUM($E$4:E74)+SUM($G$4:G74)</f>
        <v>5500</v>
      </c>
      <c r="G74" s="19">
        <v>0</v>
      </c>
      <c r="H74" s="71" t="s">
        <v>35</v>
      </c>
      <c r="I74" s="71" t="s">
        <v>35</v>
      </c>
      <c r="J74" s="71" t="s">
        <v>35</v>
      </c>
      <c r="K74" s="71" t="s">
        <v>35</v>
      </c>
      <c r="L74" s="71" t="s">
        <v>35</v>
      </c>
      <c r="M74" s="71" t="s">
        <v>35</v>
      </c>
      <c r="N74" s="72" t="s">
        <v>35</v>
      </c>
      <c r="O74" s="72" t="s">
        <v>35</v>
      </c>
      <c r="P74" s="71" t="s">
        <v>35</v>
      </c>
      <c r="Q74" s="71" t="s">
        <v>35</v>
      </c>
      <c r="R74" s="71" t="s">
        <v>35</v>
      </c>
      <c r="S74" s="71" t="s">
        <v>35</v>
      </c>
      <c r="T74" s="71" t="s">
        <v>35</v>
      </c>
      <c r="U74" s="71" t="s">
        <v>35</v>
      </c>
      <c r="V74" s="72" t="s">
        <v>35</v>
      </c>
      <c r="W74" s="72" t="s">
        <v>35</v>
      </c>
      <c r="X74" s="26" t="s">
        <v>35</v>
      </c>
      <c r="Y74" s="26" t="s">
        <v>35</v>
      </c>
      <c r="Z74" s="26" t="s">
        <v>35</v>
      </c>
      <c r="AA74" s="26" t="s">
        <v>35</v>
      </c>
      <c r="AB74" s="26" t="s">
        <v>35</v>
      </c>
      <c r="AC74" s="26" t="s">
        <v>35</v>
      </c>
      <c r="AD74" s="30" t="s">
        <v>35</v>
      </c>
      <c r="AE74" s="30" t="s">
        <v>35</v>
      </c>
      <c r="AF74" s="73">
        <v>0</v>
      </c>
      <c r="AG74" s="73"/>
      <c r="AH74" s="73"/>
      <c r="AI74" s="32"/>
      <c r="AJ74" s="37" t="s">
        <v>55</v>
      </c>
    </row>
    <row r="75" spans="1:36">
      <c r="A75" s="18">
        <v>44527</v>
      </c>
      <c r="B75" s="19">
        <v>1600</v>
      </c>
      <c r="C75" s="19">
        <f>(SUM(粮草!A75:X75)+AF75*10)*IF(AJ75="是",$AW$4,$AW$3)</f>
        <v>0</v>
      </c>
      <c r="D75" s="20">
        <f>SUM($B$4:B75)-SUM($C$4:C75)</f>
        <v>114400</v>
      </c>
      <c r="E75" s="19">
        <f>SUM(经验!A75:X75)</f>
        <v>0</v>
      </c>
      <c r="F75" s="19">
        <f>SUM($E$4:E75)+SUM($G$4:G75)</f>
        <v>5500</v>
      </c>
      <c r="G75" s="19">
        <v>0</v>
      </c>
      <c r="H75" s="71" t="s">
        <v>35</v>
      </c>
      <c r="I75" s="71" t="s">
        <v>35</v>
      </c>
      <c r="J75" s="71" t="s">
        <v>35</v>
      </c>
      <c r="K75" s="71" t="s">
        <v>35</v>
      </c>
      <c r="L75" s="71" t="s">
        <v>35</v>
      </c>
      <c r="M75" s="71" t="s">
        <v>35</v>
      </c>
      <c r="N75" s="72" t="s">
        <v>35</v>
      </c>
      <c r="O75" s="72" t="s">
        <v>35</v>
      </c>
      <c r="P75" s="71" t="s">
        <v>35</v>
      </c>
      <c r="Q75" s="71" t="s">
        <v>35</v>
      </c>
      <c r="R75" s="71" t="s">
        <v>35</v>
      </c>
      <c r="S75" s="71" t="s">
        <v>35</v>
      </c>
      <c r="T75" s="71" t="s">
        <v>35</v>
      </c>
      <c r="U75" s="71" t="s">
        <v>35</v>
      </c>
      <c r="V75" s="72" t="s">
        <v>35</v>
      </c>
      <c r="W75" s="72" t="s">
        <v>35</v>
      </c>
      <c r="X75" s="26" t="s">
        <v>35</v>
      </c>
      <c r="Y75" s="26" t="s">
        <v>35</v>
      </c>
      <c r="Z75" s="26" t="s">
        <v>35</v>
      </c>
      <c r="AA75" s="26" t="s">
        <v>35</v>
      </c>
      <c r="AB75" s="26" t="s">
        <v>35</v>
      </c>
      <c r="AC75" s="26" t="s">
        <v>35</v>
      </c>
      <c r="AD75" s="30" t="s">
        <v>35</v>
      </c>
      <c r="AE75" s="30" t="s">
        <v>35</v>
      </c>
      <c r="AF75" s="73">
        <v>0</v>
      </c>
      <c r="AG75" s="73"/>
      <c r="AH75" s="73"/>
      <c r="AI75" s="32"/>
      <c r="AJ75" s="37" t="s">
        <v>55</v>
      </c>
    </row>
    <row r="76" spans="1:36">
      <c r="A76" s="18">
        <v>44528</v>
      </c>
      <c r="B76" s="19">
        <v>1600</v>
      </c>
      <c r="C76" s="19">
        <f>(SUM(粮草!A76:X76)+AF76*10)*IF(AJ76="是",$AW$4,$AW$3)</f>
        <v>0</v>
      </c>
      <c r="D76" s="20">
        <f>SUM($B$4:B76)-SUM($C$4:C76)</f>
        <v>116000</v>
      </c>
      <c r="E76" s="19">
        <f>SUM(经验!A76:X76)</f>
        <v>0</v>
      </c>
      <c r="F76" s="19">
        <f>SUM($E$4:E76)+SUM($G$4:G76)</f>
        <v>5500</v>
      </c>
      <c r="G76" s="19">
        <v>0</v>
      </c>
      <c r="H76" s="71" t="s">
        <v>35</v>
      </c>
      <c r="I76" s="71" t="s">
        <v>35</v>
      </c>
      <c r="J76" s="71" t="s">
        <v>35</v>
      </c>
      <c r="K76" s="71" t="s">
        <v>35</v>
      </c>
      <c r="L76" s="71" t="s">
        <v>35</v>
      </c>
      <c r="M76" s="71" t="s">
        <v>35</v>
      </c>
      <c r="N76" s="72" t="s">
        <v>35</v>
      </c>
      <c r="O76" s="72" t="s">
        <v>35</v>
      </c>
      <c r="P76" s="71" t="s">
        <v>35</v>
      </c>
      <c r="Q76" s="71" t="s">
        <v>35</v>
      </c>
      <c r="R76" s="71" t="s">
        <v>35</v>
      </c>
      <c r="S76" s="71" t="s">
        <v>35</v>
      </c>
      <c r="T76" s="71" t="s">
        <v>35</v>
      </c>
      <c r="U76" s="71" t="s">
        <v>35</v>
      </c>
      <c r="V76" s="72" t="s">
        <v>35</v>
      </c>
      <c r="W76" s="72" t="s">
        <v>35</v>
      </c>
      <c r="X76" s="26" t="s">
        <v>35</v>
      </c>
      <c r="Y76" s="26" t="s">
        <v>35</v>
      </c>
      <c r="Z76" s="26" t="s">
        <v>35</v>
      </c>
      <c r="AA76" s="26" t="s">
        <v>35</v>
      </c>
      <c r="AB76" s="26" t="s">
        <v>35</v>
      </c>
      <c r="AC76" s="26" t="s">
        <v>35</v>
      </c>
      <c r="AD76" s="30" t="s">
        <v>35</v>
      </c>
      <c r="AE76" s="30" t="s">
        <v>35</v>
      </c>
      <c r="AF76" s="73">
        <v>0</v>
      </c>
      <c r="AG76" s="73"/>
      <c r="AH76" s="73"/>
      <c r="AI76" s="32"/>
      <c r="AJ76" s="37" t="s">
        <v>55</v>
      </c>
    </row>
    <row r="77" spans="1:36">
      <c r="A77" s="18">
        <v>44529</v>
      </c>
      <c r="B77" s="21">
        <v>1600</v>
      </c>
      <c r="C77" s="19">
        <f>(SUM(粮草!A77:X77)+AF77*10)*IF(AJ77="是",$AW$4,$AW$3)</f>
        <v>0</v>
      </c>
      <c r="D77" s="22">
        <f>SUM($B$4:B77)-SUM($C$4:C77)</f>
        <v>117600</v>
      </c>
      <c r="E77" s="19">
        <f>SUM(经验!A77:X77)</f>
        <v>0</v>
      </c>
      <c r="F77" s="19">
        <f>SUM($E$4:E77)+SUM($G$4:G77)</f>
        <v>5700</v>
      </c>
      <c r="G77" s="21">
        <v>200</v>
      </c>
      <c r="H77" s="71" t="s">
        <v>35</v>
      </c>
      <c r="I77" s="71" t="s">
        <v>35</v>
      </c>
      <c r="J77" s="71" t="s">
        <v>35</v>
      </c>
      <c r="K77" s="71" t="s">
        <v>35</v>
      </c>
      <c r="L77" s="71" t="s">
        <v>35</v>
      </c>
      <c r="M77" s="71" t="s">
        <v>35</v>
      </c>
      <c r="N77" s="72" t="s">
        <v>35</v>
      </c>
      <c r="O77" s="72" t="s">
        <v>35</v>
      </c>
      <c r="P77" s="71" t="s">
        <v>35</v>
      </c>
      <c r="Q77" s="71" t="s">
        <v>35</v>
      </c>
      <c r="R77" s="71" t="s">
        <v>35</v>
      </c>
      <c r="S77" s="71" t="s">
        <v>35</v>
      </c>
      <c r="T77" s="71" t="s">
        <v>35</v>
      </c>
      <c r="U77" s="71" t="s">
        <v>35</v>
      </c>
      <c r="V77" s="72" t="s">
        <v>35</v>
      </c>
      <c r="W77" s="72" t="s">
        <v>35</v>
      </c>
      <c r="X77" s="26" t="s">
        <v>35</v>
      </c>
      <c r="Y77" s="26" t="s">
        <v>35</v>
      </c>
      <c r="Z77" s="26" t="s">
        <v>35</v>
      </c>
      <c r="AA77" s="26" t="s">
        <v>35</v>
      </c>
      <c r="AB77" s="26" t="s">
        <v>35</v>
      </c>
      <c r="AC77" s="26" t="s">
        <v>35</v>
      </c>
      <c r="AD77" s="30" t="s">
        <v>35</v>
      </c>
      <c r="AE77" s="30" t="s">
        <v>35</v>
      </c>
      <c r="AF77" s="73">
        <v>0</v>
      </c>
      <c r="AG77" s="73"/>
      <c r="AH77" s="73"/>
      <c r="AI77" s="32"/>
      <c r="AJ77" s="37" t="s">
        <v>55</v>
      </c>
    </row>
    <row r="78" spans="1:36">
      <c r="A78" s="18">
        <v>44530</v>
      </c>
      <c r="B78" s="21">
        <v>1600</v>
      </c>
      <c r="C78" s="19">
        <f>(SUM(粮草!A78:X78)+AF78*10)*IF(AJ78="是",$AW$4,$AW$3)</f>
        <v>0</v>
      </c>
      <c r="D78" s="22">
        <f>SUM($B$4:B78)-SUM($C$4:C78)</f>
        <v>119200</v>
      </c>
      <c r="E78" s="19">
        <f>SUM(经验!A78:X78)</f>
        <v>0</v>
      </c>
      <c r="F78" s="19">
        <f>SUM($E$4:E78)+SUM($G$4:G78)</f>
        <v>5800</v>
      </c>
      <c r="G78" s="21">
        <v>100</v>
      </c>
      <c r="H78" s="71" t="s">
        <v>35</v>
      </c>
      <c r="I78" s="71" t="s">
        <v>35</v>
      </c>
      <c r="J78" s="71" t="s">
        <v>35</v>
      </c>
      <c r="K78" s="71" t="s">
        <v>35</v>
      </c>
      <c r="L78" s="71" t="s">
        <v>35</v>
      </c>
      <c r="M78" s="71" t="s">
        <v>35</v>
      </c>
      <c r="N78" s="72" t="s">
        <v>35</v>
      </c>
      <c r="O78" s="72" t="s">
        <v>35</v>
      </c>
      <c r="P78" s="71" t="s">
        <v>35</v>
      </c>
      <c r="Q78" s="71" t="s">
        <v>35</v>
      </c>
      <c r="R78" s="71" t="s">
        <v>35</v>
      </c>
      <c r="S78" s="71" t="s">
        <v>35</v>
      </c>
      <c r="T78" s="71" t="s">
        <v>35</v>
      </c>
      <c r="U78" s="71" t="s">
        <v>35</v>
      </c>
      <c r="V78" s="72" t="s">
        <v>35</v>
      </c>
      <c r="W78" s="72" t="s">
        <v>35</v>
      </c>
      <c r="X78" s="26" t="s">
        <v>35</v>
      </c>
      <c r="Y78" s="26" t="s">
        <v>35</v>
      </c>
      <c r="Z78" s="26" t="s">
        <v>35</v>
      </c>
      <c r="AA78" s="26" t="s">
        <v>35</v>
      </c>
      <c r="AB78" s="26" t="s">
        <v>35</v>
      </c>
      <c r="AC78" s="26" t="s">
        <v>35</v>
      </c>
      <c r="AD78" s="30" t="s">
        <v>35</v>
      </c>
      <c r="AE78" s="30" t="s">
        <v>35</v>
      </c>
      <c r="AF78" s="73">
        <v>0</v>
      </c>
      <c r="AG78" s="73"/>
      <c r="AH78" s="73"/>
      <c r="AI78" s="32"/>
      <c r="AJ78" s="37" t="s">
        <v>55</v>
      </c>
    </row>
    <row r="79" spans="1:36">
      <c r="A79" s="18">
        <v>44531</v>
      </c>
      <c r="B79">
        <v>1600</v>
      </c>
      <c r="C79" s="19">
        <f>(SUM(粮草!A79:X79)+AF79*10)*IF(AJ79="是",$AW$4,$AW$3)</f>
        <v>0</v>
      </c>
      <c r="D79" s="22">
        <f>SUM($B$4:B79)-SUM($C$4:C79)</f>
        <v>120800</v>
      </c>
      <c r="E79" s="19">
        <f>SUM(经验!A79:X79)</f>
        <v>0</v>
      </c>
      <c r="F79" s="61">
        <f>SUM($E$4:E79)+SUM($G$4:G79)</f>
        <v>6000</v>
      </c>
      <c r="G79">
        <v>200</v>
      </c>
      <c r="H79" s="71" t="s">
        <v>35</v>
      </c>
      <c r="I79" s="71" t="s">
        <v>35</v>
      </c>
      <c r="J79" s="71" t="s">
        <v>35</v>
      </c>
      <c r="K79" s="71" t="s">
        <v>35</v>
      </c>
      <c r="L79" s="71" t="s">
        <v>35</v>
      </c>
      <c r="M79" s="71" t="s">
        <v>35</v>
      </c>
      <c r="N79" s="72" t="s">
        <v>35</v>
      </c>
      <c r="O79" s="72" t="s">
        <v>35</v>
      </c>
      <c r="P79" s="71" t="s">
        <v>35</v>
      </c>
      <c r="Q79" s="71" t="s">
        <v>35</v>
      </c>
      <c r="R79" s="71" t="s">
        <v>35</v>
      </c>
      <c r="S79" s="71" t="s">
        <v>35</v>
      </c>
      <c r="T79" s="71" t="s">
        <v>35</v>
      </c>
      <c r="U79" s="71" t="s">
        <v>35</v>
      </c>
      <c r="V79" s="72" t="s">
        <v>35</v>
      </c>
      <c r="W79" s="72" t="s">
        <v>35</v>
      </c>
      <c r="X79" s="26" t="s">
        <v>35</v>
      </c>
      <c r="Y79" s="26" t="s">
        <v>35</v>
      </c>
      <c r="Z79" s="26" t="s">
        <v>35</v>
      </c>
      <c r="AA79" s="26" t="s">
        <v>35</v>
      </c>
      <c r="AB79" s="26" t="s">
        <v>35</v>
      </c>
      <c r="AC79" s="26" t="s">
        <v>35</v>
      </c>
      <c r="AD79" s="30" t="s">
        <v>35</v>
      </c>
      <c r="AE79" s="30" t="s">
        <v>35</v>
      </c>
      <c r="AF79" s="73">
        <v>0</v>
      </c>
      <c r="AG79" s="73"/>
      <c r="AH79" s="73"/>
      <c r="AI79" s="32"/>
      <c r="AJ79" s="37" t="s">
        <v>55</v>
      </c>
    </row>
    <row r="80" spans="1:36">
      <c r="A80" s="18">
        <v>44532</v>
      </c>
      <c r="B80">
        <v>1600</v>
      </c>
      <c r="C80" s="19">
        <f>(SUM(粮草!A80:X80)+AF80*10)*IF(AJ80="是",$AW$4,$AW$3)</f>
        <v>0</v>
      </c>
      <c r="D80" s="22">
        <f>SUM($B$4:B80)-SUM($C$4:C80)</f>
        <v>122400</v>
      </c>
      <c r="E80" s="19">
        <f>SUM(经验!A80:X80)</f>
        <v>0</v>
      </c>
      <c r="F80" s="61">
        <f>SUM($E$4:E80)+SUM($G$4:G80)</f>
        <v>6000</v>
      </c>
      <c r="G80">
        <v>0</v>
      </c>
      <c r="H80" s="71" t="s">
        <v>35</v>
      </c>
      <c r="I80" s="71" t="s">
        <v>35</v>
      </c>
      <c r="J80" s="71" t="s">
        <v>35</v>
      </c>
      <c r="K80" s="71" t="s">
        <v>35</v>
      </c>
      <c r="L80" s="71" t="s">
        <v>35</v>
      </c>
      <c r="M80" s="71" t="s">
        <v>35</v>
      </c>
      <c r="N80" s="72" t="s">
        <v>35</v>
      </c>
      <c r="O80" s="72" t="s">
        <v>35</v>
      </c>
      <c r="P80" s="71" t="s">
        <v>35</v>
      </c>
      <c r="Q80" s="71" t="s">
        <v>35</v>
      </c>
      <c r="R80" s="71" t="s">
        <v>35</v>
      </c>
      <c r="S80" s="71" t="s">
        <v>35</v>
      </c>
      <c r="T80" s="71" t="s">
        <v>35</v>
      </c>
      <c r="U80" s="71" t="s">
        <v>35</v>
      </c>
      <c r="V80" s="72" t="s">
        <v>35</v>
      </c>
      <c r="W80" s="72" t="s">
        <v>35</v>
      </c>
      <c r="X80" s="26" t="s">
        <v>35</v>
      </c>
      <c r="Y80" s="26" t="s">
        <v>35</v>
      </c>
      <c r="Z80" s="26" t="s">
        <v>35</v>
      </c>
      <c r="AA80" s="26" t="s">
        <v>35</v>
      </c>
      <c r="AB80" s="26" t="s">
        <v>35</v>
      </c>
      <c r="AC80" s="26" t="s">
        <v>35</v>
      </c>
      <c r="AD80" s="30" t="s">
        <v>35</v>
      </c>
      <c r="AE80" s="30" t="s">
        <v>35</v>
      </c>
      <c r="AF80" s="73">
        <v>0</v>
      </c>
      <c r="AG80" s="73"/>
      <c r="AH80" s="73"/>
      <c r="AI80" s="32"/>
      <c r="AJ80" s="37" t="s">
        <v>55</v>
      </c>
    </row>
    <row r="81" spans="1:36">
      <c r="A81" s="18">
        <v>44533</v>
      </c>
      <c r="B81">
        <v>1600</v>
      </c>
      <c r="C81" s="19">
        <f>(SUM(粮草!A81:X81)+AF81*10)*IF(AJ81="是",$AW$4,$AW$3)</f>
        <v>0</v>
      </c>
      <c r="D81" s="22">
        <f>SUM($B$4:B81)-SUM($C$4:C81)</f>
        <v>124000</v>
      </c>
      <c r="E81" s="19">
        <f>SUM(经验!A81:X81)</f>
        <v>0</v>
      </c>
      <c r="F81" s="61">
        <f>SUM($E$4:E81)+SUM($G$4:G81)</f>
        <v>6000</v>
      </c>
      <c r="G81">
        <v>0</v>
      </c>
      <c r="H81" s="71" t="s">
        <v>35</v>
      </c>
      <c r="I81" s="71" t="s">
        <v>35</v>
      </c>
      <c r="J81" s="71" t="s">
        <v>35</v>
      </c>
      <c r="K81" s="71" t="s">
        <v>35</v>
      </c>
      <c r="L81" s="71" t="s">
        <v>35</v>
      </c>
      <c r="M81" s="71" t="s">
        <v>35</v>
      </c>
      <c r="N81" s="72" t="s">
        <v>35</v>
      </c>
      <c r="O81" s="72" t="s">
        <v>35</v>
      </c>
      <c r="P81" s="71" t="s">
        <v>35</v>
      </c>
      <c r="Q81" s="71" t="s">
        <v>35</v>
      </c>
      <c r="R81" s="71" t="s">
        <v>35</v>
      </c>
      <c r="S81" s="71" t="s">
        <v>35</v>
      </c>
      <c r="T81" s="71" t="s">
        <v>35</v>
      </c>
      <c r="U81" s="71" t="s">
        <v>35</v>
      </c>
      <c r="V81" s="72" t="s">
        <v>35</v>
      </c>
      <c r="W81" s="72" t="s">
        <v>35</v>
      </c>
      <c r="X81" s="26" t="s">
        <v>35</v>
      </c>
      <c r="Y81" s="26" t="s">
        <v>35</v>
      </c>
      <c r="Z81" s="26" t="s">
        <v>35</v>
      </c>
      <c r="AA81" s="26" t="s">
        <v>35</v>
      </c>
      <c r="AB81" s="26" t="s">
        <v>35</v>
      </c>
      <c r="AC81" s="26" t="s">
        <v>35</v>
      </c>
      <c r="AD81" s="30" t="s">
        <v>35</v>
      </c>
      <c r="AE81" s="30" t="s">
        <v>35</v>
      </c>
      <c r="AF81" s="73">
        <v>0</v>
      </c>
      <c r="AG81" s="73"/>
      <c r="AH81" s="73"/>
      <c r="AI81" s="32"/>
      <c r="AJ81" s="37" t="s">
        <v>55</v>
      </c>
    </row>
    <row r="82" spans="1:36">
      <c r="A82" s="18">
        <v>44534</v>
      </c>
      <c r="B82">
        <v>1600</v>
      </c>
      <c r="C82" s="19">
        <f>(SUM(粮草!A82:X82)+AF82*10)*IF(AJ82="是",$AW$4,$AW$3)</f>
        <v>0</v>
      </c>
      <c r="D82" s="22">
        <f>SUM($B$4:B82)-SUM($C$4:C82)</f>
        <v>125600</v>
      </c>
      <c r="E82" s="19">
        <f>SUM(经验!A82:X82)</f>
        <v>0</v>
      </c>
      <c r="F82" s="61">
        <f>SUM($E$4:E82)+SUM($G$4:G82)</f>
        <v>6000</v>
      </c>
      <c r="G82">
        <v>0</v>
      </c>
      <c r="H82" s="71" t="s">
        <v>35</v>
      </c>
      <c r="I82" s="71" t="s">
        <v>35</v>
      </c>
      <c r="J82" s="71" t="s">
        <v>35</v>
      </c>
      <c r="K82" s="71" t="s">
        <v>35</v>
      </c>
      <c r="L82" s="71" t="s">
        <v>35</v>
      </c>
      <c r="M82" s="71" t="s">
        <v>35</v>
      </c>
      <c r="N82" s="72" t="s">
        <v>35</v>
      </c>
      <c r="O82" s="72" t="s">
        <v>35</v>
      </c>
      <c r="P82" s="71" t="s">
        <v>35</v>
      </c>
      <c r="Q82" s="71" t="s">
        <v>35</v>
      </c>
      <c r="R82" s="71" t="s">
        <v>35</v>
      </c>
      <c r="S82" s="71" t="s">
        <v>35</v>
      </c>
      <c r="T82" s="71" t="s">
        <v>35</v>
      </c>
      <c r="U82" s="71" t="s">
        <v>35</v>
      </c>
      <c r="V82" s="72" t="s">
        <v>35</v>
      </c>
      <c r="W82" s="72" t="s">
        <v>35</v>
      </c>
      <c r="X82" s="26" t="s">
        <v>35</v>
      </c>
      <c r="Y82" s="26" t="s">
        <v>35</v>
      </c>
      <c r="Z82" s="26" t="s">
        <v>35</v>
      </c>
      <c r="AA82" s="26" t="s">
        <v>35</v>
      </c>
      <c r="AB82" s="26" t="s">
        <v>35</v>
      </c>
      <c r="AC82" s="26" t="s">
        <v>35</v>
      </c>
      <c r="AD82" s="30" t="s">
        <v>35</v>
      </c>
      <c r="AE82" s="30" t="s">
        <v>35</v>
      </c>
      <c r="AF82" s="73">
        <v>0</v>
      </c>
      <c r="AG82" s="73"/>
      <c r="AH82" s="73"/>
      <c r="AI82" s="32"/>
      <c r="AJ82" s="37" t="s">
        <v>55</v>
      </c>
    </row>
    <row r="83" spans="1:36">
      <c r="A83" s="18">
        <v>44535</v>
      </c>
      <c r="B83">
        <v>1600</v>
      </c>
      <c r="C83" s="19">
        <f>(SUM(粮草!A83:X83)+AF83*10)*IF(AJ83="是",$AW$4,$AW$3)</f>
        <v>0</v>
      </c>
      <c r="D83" s="22">
        <f>SUM($B$4:B83)-SUM($C$4:C83)</f>
        <v>127200</v>
      </c>
      <c r="E83" s="19">
        <f>SUM(经验!A83:X83)</f>
        <v>0</v>
      </c>
      <c r="F83" s="61">
        <f>SUM($E$4:E83)+SUM($G$4:G83)</f>
        <v>6000</v>
      </c>
      <c r="G83">
        <v>0</v>
      </c>
      <c r="H83" s="71" t="s">
        <v>35</v>
      </c>
      <c r="I83" s="71" t="s">
        <v>35</v>
      </c>
      <c r="J83" s="71" t="s">
        <v>35</v>
      </c>
      <c r="K83" s="71" t="s">
        <v>35</v>
      </c>
      <c r="L83" s="71" t="s">
        <v>35</v>
      </c>
      <c r="M83" s="71" t="s">
        <v>35</v>
      </c>
      <c r="N83" s="72" t="s">
        <v>35</v>
      </c>
      <c r="O83" s="72" t="s">
        <v>35</v>
      </c>
      <c r="P83" s="71" t="s">
        <v>35</v>
      </c>
      <c r="Q83" s="71" t="s">
        <v>35</v>
      </c>
      <c r="R83" s="71" t="s">
        <v>35</v>
      </c>
      <c r="S83" s="71" t="s">
        <v>35</v>
      </c>
      <c r="T83" s="71" t="s">
        <v>35</v>
      </c>
      <c r="U83" s="71" t="s">
        <v>35</v>
      </c>
      <c r="V83" s="72" t="s">
        <v>35</v>
      </c>
      <c r="W83" s="72" t="s">
        <v>35</v>
      </c>
      <c r="X83" s="26" t="s">
        <v>35</v>
      </c>
      <c r="Y83" s="26" t="s">
        <v>35</v>
      </c>
      <c r="Z83" s="26" t="s">
        <v>35</v>
      </c>
      <c r="AA83" s="26" t="s">
        <v>35</v>
      </c>
      <c r="AB83" s="26" t="s">
        <v>35</v>
      </c>
      <c r="AC83" s="26" t="s">
        <v>35</v>
      </c>
      <c r="AD83" s="30" t="s">
        <v>35</v>
      </c>
      <c r="AE83" s="30" t="s">
        <v>35</v>
      </c>
      <c r="AF83" s="73">
        <v>0</v>
      </c>
      <c r="AG83" s="73"/>
      <c r="AH83" s="73"/>
      <c r="AI83" s="32"/>
      <c r="AJ83" s="37" t="s">
        <v>55</v>
      </c>
    </row>
    <row r="84" spans="1:36">
      <c r="A84" s="18">
        <v>44536</v>
      </c>
      <c r="B84" s="61">
        <v>1600</v>
      </c>
      <c r="C84" s="19">
        <f>(SUM(粮草!A84:X84)+AF84*10)*IF(AJ84="是",$AW$4,$AW$3)</f>
        <v>0</v>
      </c>
      <c r="D84" s="20">
        <f>SUM($B$4:B84)-SUM($C$4:C84)</f>
        <v>128800</v>
      </c>
      <c r="E84" s="19">
        <f>SUM(经验!A84:X84)</f>
        <v>0</v>
      </c>
      <c r="F84" s="61">
        <f>SUM($E$4:E84)+SUM($G$4:G84)</f>
        <v>6200</v>
      </c>
      <c r="G84" s="61">
        <v>200</v>
      </c>
      <c r="H84" s="71" t="s">
        <v>35</v>
      </c>
      <c r="I84" s="71" t="s">
        <v>35</v>
      </c>
      <c r="J84" s="71" t="s">
        <v>35</v>
      </c>
      <c r="K84" s="71" t="s">
        <v>35</v>
      </c>
      <c r="L84" s="71" t="s">
        <v>35</v>
      </c>
      <c r="M84" s="71" t="s">
        <v>35</v>
      </c>
      <c r="N84" s="72" t="s">
        <v>35</v>
      </c>
      <c r="O84" s="72" t="s">
        <v>35</v>
      </c>
      <c r="P84" s="71" t="s">
        <v>35</v>
      </c>
      <c r="Q84" s="71" t="s">
        <v>35</v>
      </c>
      <c r="R84" s="71" t="s">
        <v>35</v>
      </c>
      <c r="S84" s="71" t="s">
        <v>35</v>
      </c>
      <c r="T84" s="71" t="s">
        <v>35</v>
      </c>
      <c r="U84" s="71" t="s">
        <v>35</v>
      </c>
      <c r="V84" s="72" t="s">
        <v>35</v>
      </c>
      <c r="W84" s="72" t="s">
        <v>35</v>
      </c>
      <c r="X84" s="26" t="s">
        <v>35</v>
      </c>
      <c r="Y84" s="26" t="s">
        <v>35</v>
      </c>
      <c r="Z84" s="26" t="s">
        <v>35</v>
      </c>
      <c r="AA84" s="26" t="s">
        <v>35</v>
      </c>
      <c r="AB84" s="26" t="s">
        <v>35</v>
      </c>
      <c r="AC84" s="26" t="s">
        <v>35</v>
      </c>
      <c r="AD84" s="30" t="s">
        <v>35</v>
      </c>
      <c r="AE84" s="30" t="s">
        <v>35</v>
      </c>
      <c r="AF84" s="73">
        <v>0</v>
      </c>
      <c r="AG84" s="73"/>
      <c r="AH84" s="73"/>
      <c r="AI84" s="32"/>
      <c r="AJ84" s="37" t="s">
        <v>55</v>
      </c>
    </row>
    <row r="85" spans="1:36">
      <c r="A85" s="18">
        <v>44537</v>
      </c>
      <c r="B85" s="61">
        <v>1600</v>
      </c>
      <c r="C85" s="19">
        <f>(SUM(粮草!A85:X85)+AF85*10)*IF(AJ85="是",$AW$4,$AW$3)</f>
        <v>0</v>
      </c>
      <c r="D85" s="20">
        <f>SUM($B$4:B85)-SUM($C$4:C85)</f>
        <v>130400</v>
      </c>
      <c r="E85" s="19">
        <f>SUM(经验!A85:X85)</f>
        <v>0</v>
      </c>
      <c r="F85" s="61">
        <f>SUM($E$4:E85)+SUM($G$4:G85)</f>
        <v>6200</v>
      </c>
      <c r="G85" s="61">
        <v>0</v>
      </c>
      <c r="H85" s="71" t="s">
        <v>35</v>
      </c>
      <c r="I85" s="71" t="s">
        <v>35</v>
      </c>
      <c r="J85" s="71" t="s">
        <v>35</v>
      </c>
      <c r="K85" s="71" t="s">
        <v>35</v>
      </c>
      <c r="L85" s="71" t="s">
        <v>35</v>
      </c>
      <c r="M85" s="71" t="s">
        <v>35</v>
      </c>
      <c r="N85" s="72" t="s">
        <v>35</v>
      </c>
      <c r="O85" s="72" t="s">
        <v>35</v>
      </c>
      <c r="P85" s="71" t="s">
        <v>35</v>
      </c>
      <c r="Q85" s="71" t="s">
        <v>35</v>
      </c>
      <c r="R85" s="71" t="s">
        <v>35</v>
      </c>
      <c r="S85" s="71" t="s">
        <v>35</v>
      </c>
      <c r="T85" s="71" t="s">
        <v>35</v>
      </c>
      <c r="U85" s="71" t="s">
        <v>35</v>
      </c>
      <c r="V85" s="72" t="s">
        <v>35</v>
      </c>
      <c r="W85" s="72" t="s">
        <v>35</v>
      </c>
      <c r="X85" s="26" t="s">
        <v>35</v>
      </c>
      <c r="Y85" s="26" t="s">
        <v>35</v>
      </c>
      <c r="Z85" s="26" t="s">
        <v>35</v>
      </c>
      <c r="AA85" s="26" t="s">
        <v>35</v>
      </c>
      <c r="AB85" s="26" t="s">
        <v>35</v>
      </c>
      <c r="AC85" s="26" t="s">
        <v>35</v>
      </c>
      <c r="AD85" s="30" t="s">
        <v>35</v>
      </c>
      <c r="AE85" s="30" t="s">
        <v>35</v>
      </c>
      <c r="AF85" s="73">
        <v>0</v>
      </c>
      <c r="AG85" s="73"/>
      <c r="AH85" s="73"/>
      <c r="AI85" s="32"/>
      <c r="AJ85" s="37" t="s">
        <v>55</v>
      </c>
    </row>
    <row r="86" spans="1:36">
      <c r="A86" s="18">
        <v>44538</v>
      </c>
      <c r="B86" s="61">
        <v>1600</v>
      </c>
      <c r="C86" s="19">
        <f>(SUM(粮草!A86:X86)+AF86*10)*IF(AJ86="是",$AW$4,$AW$3)</f>
        <v>0</v>
      </c>
      <c r="D86" s="20">
        <f>SUM($B$4:B86)-SUM($C$4:C86)</f>
        <v>132000</v>
      </c>
      <c r="E86" s="19">
        <f>SUM(经验!A86:X86)</f>
        <v>0</v>
      </c>
      <c r="F86" s="61">
        <f>SUM($E$4:E86)+SUM($G$4:G86)</f>
        <v>6500</v>
      </c>
      <c r="G86" s="61">
        <v>300</v>
      </c>
      <c r="H86" s="71" t="s">
        <v>35</v>
      </c>
      <c r="I86" s="71" t="s">
        <v>35</v>
      </c>
      <c r="J86" s="71" t="s">
        <v>35</v>
      </c>
      <c r="K86" s="71" t="s">
        <v>35</v>
      </c>
      <c r="L86" s="71" t="s">
        <v>35</v>
      </c>
      <c r="M86" s="71" t="s">
        <v>35</v>
      </c>
      <c r="N86" s="72" t="s">
        <v>35</v>
      </c>
      <c r="O86" s="72" t="s">
        <v>35</v>
      </c>
      <c r="P86" s="71" t="s">
        <v>35</v>
      </c>
      <c r="Q86" s="71" t="s">
        <v>35</v>
      </c>
      <c r="R86" s="71" t="s">
        <v>35</v>
      </c>
      <c r="S86" s="71" t="s">
        <v>35</v>
      </c>
      <c r="T86" s="71" t="s">
        <v>35</v>
      </c>
      <c r="U86" s="71" t="s">
        <v>35</v>
      </c>
      <c r="V86" s="72" t="s">
        <v>35</v>
      </c>
      <c r="W86" s="72" t="s">
        <v>35</v>
      </c>
      <c r="X86" s="26" t="s">
        <v>35</v>
      </c>
      <c r="Y86" s="26" t="s">
        <v>35</v>
      </c>
      <c r="Z86" s="26" t="s">
        <v>35</v>
      </c>
      <c r="AA86" s="26" t="s">
        <v>35</v>
      </c>
      <c r="AB86" s="26" t="s">
        <v>35</v>
      </c>
      <c r="AC86" s="26" t="s">
        <v>35</v>
      </c>
      <c r="AD86" s="30" t="s">
        <v>35</v>
      </c>
      <c r="AE86" s="30" t="s">
        <v>35</v>
      </c>
      <c r="AF86" s="73">
        <v>0</v>
      </c>
      <c r="AG86" s="73"/>
      <c r="AH86" s="73"/>
      <c r="AI86" s="32"/>
      <c r="AJ86" s="37" t="s">
        <v>55</v>
      </c>
    </row>
    <row r="87" spans="1:36">
      <c r="A87" s="18">
        <v>44539</v>
      </c>
      <c r="B87" s="61">
        <v>1600</v>
      </c>
      <c r="C87" s="19">
        <f>(SUM(粮草!A87:X87)+AF87*10)*IF(AJ87="是",$AW$4,$AW$3)</f>
        <v>0</v>
      </c>
      <c r="D87" s="20">
        <f>SUM($B$4:B87)-SUM($C$4:C87)</f>
        <v>133600</v>
      </c>
      <c r="E87" s="19">
        <f>SUM(经验!A87:X87)</f>
        <v>0</v>
      </c>
      <c r="F87" s="61">
        <f>SUM($E$4:E87)+SUM($G$4:G87)</f>
        <v>6500</v>
      </c>
      <c r="G87" s="61">
        <v>0</v>
      </c>
      <c r="H87" s="71" t="s">
        <v>35</v>
      </c>
      <c r="I87" s="71" t="s">
        <v>35</v>
      </c>
      <c r="J87" s="71" t="s">
        <v>35</v>
      </c>
      <c r="K87" s="71" t="s">
        <v>35</v>
      </c>
      <c r="L87" s="71" t="s">
        <v>35</v>
      </c>
      <c r="M87" s="71" t="s">
        <v>35</v>
      </c>
      <c r="N87" s="72" t="s">
        <v>35</v>
      </c>
      <c r="O87" s="72" t="s">
        <v>35</v>
      </c>
      <c r="P87" s="71" t="s">
        <v>35</v>
      </c>
      <c r="Q87" s="71" t="s">
        <v>35</v>
      </c>
      <c r="R87" s="71" t="s">
        <v>35</v>
      </c>
      <c r="S87" s="71" t="s">
        <v>35</v>
      </c>
      <c r="T87" s="71" t="s">
        <v>35</v>
      </c>
      <c r="U87" s="71" t="s">
        <v>35</v>
      </c>
      <c r="V87" s="72" t="s">
        <v>35</v>
      </c>
      <c r="W87" s="72" t="s">
        <v>35</v>
      </c>
      <c r="X87" s="26" t="s">
        <v>35</v>
      </c>
      <c r="Y87" s="26" t="s">
        <v>35</v>
      </c>
      <c r="Z87" s="26" t="s">
        <v>35</v>
      </c>
      <c r="AA87" s="26" t="s">
        <v>35</v>
      </c>
      <c r="AB87" s="26" t="s">
        <v>35</v>
      </c>
      <c r="AC87" s="26" t="s">
        <v>35</v>
      </c>
      <c r="AD87" s="30" t="s">
        <v>35</v>
      </c>
      <c r="AE87" s="30" t="s">
        <v>35</v>
      </c>
      <c r="AF87" s="73">
        <v>0</v>
      </c>
      <c r="AG87" s="73"/>
      <c r="AH87" s="73"/>
      <c r="AI87" s="32"/>
      <c r="AJ87" s="37" t="s">
        <v>55</v>
      </c>
    </row>
    <row r="88" spans="1:36">
      <c r="A88" s="18">
        <v>44540</v>
      </c>
      <c r="B88" s="61">
        <v>1600</v>
      </c>
      <c r="C88" s="19">
        <f>(SUM(粮草!A88:X88)+AF88*10)*IF(AJ88="是",$AW$4,$AW$3)</f>
        <v>0</v>
      </c>
      <c r="D88" s="20">
        <f>SUM($B$4:B88)-SUM($C$4:C88)</f>
        <v>135200</v>
      </c>
      <c r="E88" s="19">
        <f>SUM(经验!A88:X88)</f>
        <v>0</v>
      </c>
      <c r="F88" s="61">
        <f>SUM($E$4:E88)+SUM($G$4:G88)</f>
        <v>6500</v>
      </c>
      <c r="G88" s="61">
        <v>0</v>
      </c>
      <c r="H88" s="71" t="s">
        <v>35</v>
      </c>
      <c r="I88" s="71" t="s">
        <v>35</v>
      </c>
      <c r="J88" s="71" t="s">
        <v>35</v>
      </c>
      <c r="K88" s="71" t="s">
        <v>35</v>
      </c>
      <c r="L88" s="71" t="s">
        <v>35</v>
      </c>
      <c r="M88" s="71" t="s">
        <v>35</v>
      </c>
      <c r="N88" s="72" t="s">
        <v>35</v>
      </c>
      <c r="O88" s="72" t="s">
        <v>35</v>
      </c>
      <c r="P88" s="71" t="s">
        <v>35</v>
      </c>
      <c r="Q88" s="71" t="s">
        <v>35</v>
      </c>
      <c r="R88" s="71" t="s">
        <v>35</v>
      </c>
      <c r="S88" s="71" t="s">
        <v>35</v>
      </c>
      <c r="T88" s="71" t="s">
        <v>35</v>
      </c>
      <c r="U88" s="71" t="s">
        <v>35</v>
      </c>
      <c r="V88" s="72" t="s">
        <v>35</v>
      </c>
      <c r="W88" s="72" t="s">
        <v>35</v>
      </c>
      <c r="X88" s="26" t="s">
        <v>35</v>
      </c>
      <c r="Y88" s="26" t="s">
        <v>35</v>
      </c>
      <c r="Z88" s="26" t="s">
        <v>35</v>
      </c>
      <c r="AA88" s="26" t="s">
        <v>35</v>
      </c>
      <c r="AB88" s="26" t="s">
        <v>35</v>
      </c>
      <c r="AC88" s="26" t="s">
        <v>35</v>
      </c>
      <c r="AD88" s="30" t="s">
        <v>35</v>
      </c>
      <c r="AE88" s="30" t="s">
        <v>35</v>
      </c>
      <c r="AF88" s="73">
        <v>0</v>
      </c>
      <c r="AG88" s="73"/>
      <c r="AH88" s="73"/>
      <c r="AI88" s="32"/>
      <c r="AJ88" s="37" t="s">
        <v>55</v>
      </c>
    </row>
    <row r="89" spans="1:36">
      <c r="A89" s="18">
        <v>44541</v>
      </c>
      <c r="B89" s="61">
        <v>1600</v>
      </c>
      <c r="C89" s="19">
        <f>(SUM(粮草!A89:X89)+AF89*10)*IF(AJ89="是",$AW$4,$AW$3)</f>
        <v>0</v>
      </c>
      <c r="D89" s="20">
        <f>SUM($B$4:B89)-SUM($C$4:C89)</f>
        <v>136800</v>
      </c>
      <c r="E89" s="19">
        <f>SUM(经验!A89:X89)</f>
        <v>0</v>
      </c>
      <c r="F89" s="61">
        <f>SUM($E$4:E89)+SUM($G$4:G89)</f>
        <v>6500</v>
      </c>
      <c r="G89" s="61">
        <v>0</v>
      </c>
      <c r="H89" s="71" t="s">
        <v>35</v>
      </c>
      <c r="I89" s="71" t="s">
        <v>35</v>
      </c>
      <c r="J89" s="71" t="s">
        <v>35</v>
      </c>
      <c r="K89" s="71" t="s">
        <v>35</v>
      </c>
      <c r="L89" s="71" t="s">
        <v>35</v>
      </c>
      <c r="M89" s="71" t="s">
        <v>35</v>
      </c>
      <c r="N89" s="72" t="s">
        <v>35</v>
      </c>
      <c r="O89" s="72" t="s">
        <v>35</v>
      </c>
      <c r="P89" s="71" t="s">
        <v>35</v>
      </c>
      <c r="Q89" s="71" t="s">
        <v>35</v>
      </c>
      <c r="R89" s="71" t="s">
        <v>35</v>
      </c>
      <c r="S89" s="71" t="s">
        <v>35</v>
      </c>
      <c r="T89" s="71" t="s">
        <v>35</v>
      </c>
      <c r="U89" s="71" t="s">
        <v>35</v>
      </c>
      <c r="V89" s="72" t="s">
        <v>35</v>
      </c>
      <c r="W89" s="72" t="s">
        <v>35</v>
      </c>
      <c r="X89" s="26" t="s">
        <v>35</v>
      </c>
      <c r="Y89" s="26" t="s">
        <v>35</v>
      </c>
      <c r="Z89" s="26" t="s">
        <v>35</v>
      </c>
      <c r="AA89" s="26" t="s">
        <v>35</v>
      </c>
      <c r="AB89" s="26" t="s">
        <v>35</v>
      </c>
      <c r="AC89" s="26" t="s">
        <v>35</v>
      </c>
      <c r="AD89" s="30" t="s">
        <v>35</v>
      </c>
      <c r="AE89" s="30" t="s">
        <v>35</v>
      </c>
      <c r="AF89" s="73">
        <v>0</v>
      </c>
      <c r="AG89" s="73"/>
      <c r="AH89" s="73"/>
      <c r="AI89" s="32"/>
      <c r="AJ89" s="37" t="s">
        <v>55</v>
      </c>
    </row>
    <row r="90" spans="1:36">
      <c r="A90" s="18">
        <v>44542</v>
      </c>
      <c r="B90" s="61">
        <v>1600</v>
      </c>
      <c r="C90" s="19">
        <f>(SUM(粮草!A90:X90)+AF90*10)*IF(AJ90="是",$AW$4,$AW$3)</f>
        <v>0</v>
      </c>
      <c r="D90" s="20">
        <f>SUM($B$4:B90)-SUM($C$4:C90)</f>
        <v>138400</v>
      </c>
      <c r="E90" s="19">
        <f>SUM(经验!A90:X90)</f>
        <v>0</v>
      </c>
      <c r="F90" s="61">
        <f>SUM($E$4:E90)+SUM($G$4:G90)</f>
        <v>6500</v>
      </c>
      <c r="G90" s="61">
        <v>0</v>
      </c>
      <c r="H90" s="71" t="s">
        <v>35</v>
      </c>
      <c r="I90" s="71" t="s">
        <v>35</v>
      </c>
      <c r="J90" s="71" t="s">
        <v>35</v>
      </c>
      <c r="K90" s="71" t="s">
        <v>35</v>
      </c>
      <c r="L90" s="71" t="s">
        <v>35</v>
      </c>
      <c r="M90" s="71" t="s">
        <v>35</v>
      </c>
      <c r="N90" s="72" t="s">
        <v>35</v>
      </c>
      <c r="O90" s="72" t="s">
        <v>35</v>
      </c>
      <c r="P90" s="71" t="s">
        <v>35</v>
      </c>
      <c r="Q90" s="71" t="s">
        <v>35</v>
      </c>
      <c r="R90" s="71" t="s">
        <v>35</v>
      </c>
      <c r="S90" s="71" t="s">
        <v>35</v>
      </c>
      <c r="T90" s="71" t="s">
        <v>35</v>
      </c>
      <c r="U90" s="71" t="s">
        <v>35</v>
      </c>
      <c r="V90" s="72" t="s">
        <v>35</v>
      </c>
      <c r="W90" s="72" t="s">
        <v>35</v>
      </c>
      <c r="X90" s="26" t="s">
        <v>35</v>
      </c>
      <c r="Y90" s="26" t="s">
        <v>35</v>
      </c>
      <c r="Z90" s="26" t="s">
        <v>35</v>
      </c>
      <c r="AA90" s="26" t="s">
        <v>35</v>
      </c>
      <c r="AB90" s="26" t="s">
        <v>35</v>
      </c>
      <c r="AC90" s="26" t="s">
        <v>35</v>
      </c>
      <c r="AD90" s="30" t="s">
        <v>35</v>
      </c>
      <c r="AE90" s="30" t="s">
        <v>35</v>
      </c>
      <c r="AF90" s="73">
        <v>0</v>
      </c>
      <c r="AG90" s="73"/>
      <c r="AH90" s="73"/>
      <c r="AI90" s="32"/>
      <c r="AJ90" s="37" t="s">
        <v>55</v>
      </c>
    </row>
    <row r="91" spans="1:36">
      <c r="A91" s="18">
        <v>44543</v>
      </c>
      <c r="B91">
        <v>1600</v>
      </c>
      <c r="C91" s="19">
        <f>(SUM(粮草!A91:X91)+AF91*10)*IF(AJ91="是",$AW$4,$AW$3)</f>
        <v>0</v>
      </c>
      <c r="D91" s="22">
        <f>SUM($B$4:B91)-SUM($C$4:C91)</f>
        <v>140000</v>
      </c>
      <c r="E91" s="19">
        <f>SUM(经验!A91:X91)</f>
        <v>0</v>
      </c>
      <c r="F91" s="61">
        <f>SUM($E$4:E91)+SUM($G$4:G91)</f>
        <v>6700</v>
      </c>
      <c r="G91">
        <v>200</v>
      </c>
      <c r="H91" s="71" t="s">
        <v>35</v>
      </c>
      <c r="I91" s="71" t="s">
        <v>35</v>
      </c>
      <c r="J91" s="71" t="s">
        <v>35</v>
      </c>
      <c r="K91" s="71" t="s">
        <v>35</v>
      </c>
      <c r="L91" s="71" t="s">
        <v>35</v>
      </c>
      <c r="M91" s="71" t="s">
        <v>35</v>
      </c>
      <c r="N91" s="72" t="s">
        <v>35</v>
      </c>
      <c r="O91" s="72" t="s">
        <v>35</v>
      </c>
      <c r="P91" s="71" t="s">
        <v>35</v>
      </c>
      <c r="Q91" s="71" t="s">
        <v>35</v>
      </c>
      <c r="R91" s="71" t="s">
        <v>35</v>
      </c>
      <c r="S91" s="71" t="s">
        <v>35</v>
      </c>
      <c r="T91" s="71" t="s">
        <v>35</v>
      </c>
      <c r="U91" s="71" t="s">
        <v>35</v>
      </c>
      <c r="V91" s="72" t="s">
        <v>35</v>
      </c>
      <c r="W91" s="72" t="s">
        <v>35</v>
      </c>
      <c r="X91" s="26" t="s">
        <v>35</v>
      </c>
      <c r="Y91" s="26" t="s">
        <v>35</v>
      </c>
      <c r="Z91" s="26" t="s">
        <v>35</v>
      </c>
      <c r="AA91" s="26" t="s">
        <v>35</v>
      </c>
      <c r="AB91" s="26" t="s">
        <v>35</v>
      </c>
      <c r="AC91" s="26" t="s">
        <v>35</v>
      </c>
      <c r="AD91" s="30" t="s">
        <v>35</v>
      </c>
      <c r="AE91" s="30" t="s">
        <v>35</v>
      </c>
      <c r="AF91" s="73">
        <v>0</v>
      </c>
      <c r="AG91" s="73"/>
      <c r="AH91" s="73"/>
      <c r="AI91" s="32"/>
      <c r="AJ91" s="37" t="s">
        <v>55</v>
      </c>
    </row>
    <row r="92" spans="1:36">
      <c r="A92" s="18">
        <v>44544</v>
      </c>
      <c r="B92">
        <v>1600</v>
      </c>
      <c r="C92" s="19">
        <f>(SUM(粮草!A92:X92)+AF92*10)*IF(AJ92="是",$AW$4,$AW$3)</f>
        <v>0</v>
      </c>
      <c r="D92" s="22">
        <f>SUM($B$4:B92)-SUM($C$4:C92)</f>
        <v>141600</v>
      </c>
      <c r="E92" s="19">
        <f>SUM(经验!A92:X92)</f>
        <v>0</v>
      </c>
      <c r="F92" s="61">
        <f>SUM($E$4:E92)+SUM($G$4:G92)</f>
        <v>6800</v>
      </c>
      <c r="G92">
        <v>100</v>
      </c>
      <c r="H92" s="71" t="s">
        <v>35</v>
      </c>
      <c r="I92" s="71" t="s">
        <v>35</v>
      </c>
      <c r="J92" s="71" t="s">
        <v>35</v>
      </c>
      <c r="K92" s="71" t="s">
        <v>35</v>
      </c>
      <c r="L92" s="71" t="s">
        <v>35</v>
      </c>
      <c r="M92" s="71" t="s">
        <v>35</v>
      </c>
      <c r="N92" s="72" t="s">
        <v>35</v>
      </c>
      <c r="O92" s="72" t="s">
        <v>35</v>
      </c>
      <c r="P92" s="71" t="s">
        <v>35</v>
      </c>
      <c r="Q92" s="71" t="s">
        <v>35</v>
      </c>
      <c r="R92" s="71" t="s">
        <v>35</v>
      </c>
      <c r="S92" s="71" t="s">
        <v>35</v>
      </c>
      <c r="T92" s="71" t="s">
        <v>35</v>
      </c>
      <c r="U92" s="71" t="s">
        <v>35</v>
      </c>
      <c r="V92" s="72" t="s">
        <v>35</v>
      </c>
      <c r="W92" s="72" t="s">
        <v>35</v>
      </c>
      <c r="X92" s="26" t="s">
        <v>35</v>
      </c>
      <c r="Y92" s="26" t="s">
        <v>35</v>
      </c>
      <c r="Z92" s="26" t="s">
        <v>35</v>
      </c>
      <c r="AA92" s="26" t="s">
        <v>35</v>
      </c>
      <c r="AB92" s="26" t="s">
        <v>35</v>
      </c>
      <c r="AC92" s="26" t="s">
        <v>35</v>
      </c>
      <c r="AD92" s="30" t="s">
        <v>35</v>
      </c>
      <c r="AE92" s="30" t="s">
        <v>35</v>
      </c>
      <c r="AF92" s="73">
        <v>0</v>
      </c>
      <c r="AG92" s="73"/>
      <c r="AH92" s="73"/>
      <c r="AI92" s="32"/>
      <c r="AJ92" s="37" t="s">
        <v>55</v>
      </c>
    </row>
    <row r="93" spans="1:36">
      <c r="A93" s="18">
        <v>44545</v>
      </c>
      <c r="B93">
        <v>1600</v>
      </c>
      <c r="C93" s="19">
        <f>(SUM(粮草!A93:X93)+AF93*10)*IF(AJ93="是",$AW$4,$AW$3)</f>
        <v>0</v>
      </c>
      <c r="D93" s="22">
        <f>SUM($B$4:B93)-SUM($C$4:C93)</f>
        <v>143200</v>
      </c>
      <c r="E93" s="19">
        <f>SUM(经验!A93:X93)</f>
        <v>0</v>
      </c>
      <c r="F93" s="61">
        <f>SUM($E$4:E93)+SUM($G$4:G93)</f>
        <v>7000</v>
      </c>
      <c r="G93">
        <v>200</v>
      </c>
      <c r="H93" s="71" t="s">
        <v>35</v>
      </c>
      <c r="I93" s="71" t="s">
        <v>35</v>
      </c>
      <c r="J93" s="71" t="s">
        <v>35</v>
      </c>
      <c r="K93" s="71" t="s">
        <v>35</v>
      </c>
      <c r="L93" s="71" t="s">
        <v>35</v>
      </c>
      <c r="M93" s="71" t="s">
        <v>35</v>
      </c>
      <c r="N93" s="72" t="s">
        <v>35</v>
      </c>
      <c r="O93" s="72" t="s">
        <v>35</v>
      </c>
      <c r="P93" s="71" t="s">
        <v>35</v>
      </c>
      <c r="Q93" s="71" t="s">
        <v>35</v>
      </c>
      <c r="R93" s="71" t="s">
        <v>35</v>
      </c>
      <c r="S93" s="71" t="s">
        <v>35</v>
      </c>
      <c r="T93" s="71" t="s">
        <v>35</v>
      </c>
      <c r="U93" s="71" t="s">
        <v>35</v>
      </c>
      <c r="V93" s="72" t="s">
        <v>35</v>
      </c>
      <c r="W93" s="72" t="s">
        <v>35</v>
      </c>
      <c r="X93" s="26" t="s">
        <v>35</v>
      </c>
      <c r="Y93" s="26" t="s">
        <v>35</v>
      </c>
      <c r="Z93" s="26" t="s">
        <v>35</v>
      </c>
      <c r="AA93" s="26" t="s">
        <v>35</v>
      </c>
      <c r="AB93" s="26" t="s">
        <v>35</v>
      </c>
      <c r="AC93" s="26" t="s">
        <v>35</v>
      </c>
      <c r="AD93" s="30" t="s">
        <v>35</v>
      </c>
      <c r="AE93" s="30" t="s">
        <v>35</v>
      </c>
      <c r="AF93" s="73">
        <v>0</v>
      </c>
      <c r="AG93" s="73"/>
      <c r="AH93" s="73"/>
      <c r="AI93" s="32"/>
      <c r="AJ93" s="37" t="s">
        <v>55</v>
      </c>
    </row>
    <row r="94" spans="1:36">
      <c r="A94" s="18">
        <v>44546</v>
      </c>
      <c r="B94">
        <v>1600</v>
      </c>
      <c r="C94" s="19">
        <f>(SUM(粮草!A94:X94)+AF94*10)*IF(AJ94="是",$AW$4,$AW$3)</f>
        <v>0</v>
      </c>
      <c r="D94" s="22">
        <f>SUM($B$4:B94)-SUM($C$4:C94)</f>
        <v>144800</v>
      </c>
      <c r="E94" s="19">
        <f>SUM(经验!A94:X94)</f>
        <v>0</v>
      </c>
      <c r="F94" s="61">
        <f>SUM($E$4:E94)+SUM($G$4:G94)</f>
        <v>7000</v>
      </c>
      <c r="G94">
        <v>0</v>
      </c>
      <c r="H94" s="71" t="s">
        <v>35</v>
      </c>
      <c r="I94" s="71" t="s">
        <v>35</v>
      </c>
      <c r="J94" s="71" t="s">
        <v>35</v>
      </c>
      <c r="K94" s="71" t="s">
        <v>35</v>
      </c>
      <c r="L94" s="71" t="s">
        <v>35</v>
      </c>
      <c r="M94" s="71" t="s">
        <v>35</v>
      </c>
      <c r="N94" s="27" t="s">
        <v>35</v>
      </c>
      <c r="O94" s="27" t="s">
        <v>35</v>
      </c>
      <c r="P94" s="71" t="s">
        <v>35</v>
      </c>
      <c r="Q94" s="71" t="s">
        <v>35</v>
      </c>
      <c r="R94" s="71" t="s">
        <v>35</v>
      </c>
      <c r="S94" s="71" t="s">
        <v>35</v>
      </c>
      <c r="T94" s="71" t="s">
        <v>35</v>
      </c>
      <c r="U94" s="71" t="s">
        <v>35</v>
      </c>
      <c r="V94" s="72" t="s">
        <v>35</v>
      </c>
      <c r="W94" s="72" t="s">
        <v>35</v>
      </c>
      <c r="X94" s="26" t="s">
        <v>35</v>
      </c>
      <c r="Y94" s="26" t="s">
        <v>35</v>
      </c>
      <c r="Z94" s="26" t="s">
        <v>35</v>
      </c>
      <c r="AA94" s="26" t="s">
        <v>35</v>
      </c>
      <c r="AB94" s="26" t="s">
        <v>35</v>
      </c>
      <c r="AC94" s="26" t="s">
        <v>35</v>
      </c>
      <c r="AD94" s="30" t="s">
        <v>35</v>
      </c>
      <c r="AE94" s="30" t="s">
        <v>35</v>
      </c>
      <c r="AF94" s="73">
        <v>0</v>
      </c>
      <c r="AG94" s="73"/>
      <c r="AH94" s="73"/>
      <c r="AI94" s="32"/>
      <c r="AJ94" s="62" t="s">
        <v>55</v>
      </c>
    </row>
    <row r="96" spans="1:36">
      <c r="C96" t="s">
        <v>64</v>
      </c>
      <c r="D96" s="22">
        <f>COUNTIF(D4:D94,"&lt;0")</f>
        <v>0</v>
      </c>
    </row>
  </sheetData>
  <mergeCells count="13">
    <mergeCell ref="AJ2:AJ3"/>
    <mergeCell ref="AV5:AW8"/>
    <mergeCell ref="AL1:AN2"/>
    <mergeCell ref="A1:G1"/>
    <mergeCell ref="H1:AF1"/>
    <mergeCell ref="C2:D2"/>
    <mergeCell ref="E2:G2"/>
    <mergeCell ref="H2:I2"/>
    <mergeCell ref="L2:O2"/>
    <mergeCell ref="P2:Q2"/>
    <mergeCell ref="T2:W2"/>
    <mergeCell ref="X2:Y2"/>
    <mergeCell ref="AB2:AE2"/>
  </mergeCells>
  <phoneticPr fontId="6" type="noConversion"/>
  <conditionalFormatting sqref="A1:G1">
    <cfRule type="dataBar" priority="1">
      <dataBar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{34A813B2-B8EE-4758-B4A7-DE62FC05F043}</x14:id>
        </ext>
      </extLst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4A813B2-B8EE-4758-B4A7-DE62FC05F04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A1:G1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X94"/>
  <sheetViews>
    <sheetView topLeftCell="A52" workbookViewId="0">
      <selection activeCell="F89" sqref="F89"/>
    </sheetView>
  </sheetViews>
  <sheetFormatPr defaultColWidth="9" defaultRowHeight="15"/>
  <sheetData>
    <row r="2" spans="1:24">
      <c r="A2" s="92" t="s">
        <v>65</v>
      </c>
      <c r="B2" s="93"/>
      <c r="C2" s="1" t="s">
        <v>5</v>
      </c>
      <c r="D2" s="1">
        <f>COUNTIF(A4:H94,"&lt;&gt;空")</f>
        <v>728</v>
      </c>
      <c r="E2" s="93" t="s">
        <v>6</v>
      </c>
      <c r="F2" s="93"/>
      <c r="G2" s="93"/>
      <c r="H2" s="94"/>
      <c r="I2" s="95" t="s">
        <v>7</v>
      </c>
      <c r="J2" s="96"/>
      <c r="K2" s="6" t="s">
        <v>5</v>
      </c>
      <c r="L2" s="6">
        <f>COUNTIF(I4:P94,"&lt;&gt;空")</f>
        <v>728</v>
      </c>
      <c r="M2" s="96" t="s">
        <v>6</v>
      </c>
      <c r="N2" s="96"/>
      <c r="O2" s="96"/>
      <c r="P2" s="97"/>
      <c r="Q2" s="98" t="s">
        <v>8</v>
      </c>
      <c r="R2" s="99"/>
      <c r="S2" s="10" t="s">
        <v>9</v>
      </c>
      <c r="T2" s="9">
        <f>COUNTIF(Q4:X94,"&lt;&gt;空")</f>
        <v>728</v>
      </c>
      <c r="U2" s="99" t="s">
        <v>6</v>
      </c>
      <c r="V2" s="99"/>
      <c r="W2" s="99"/>
      <c r="X2" s="100"/>
    </row>
    <row r="3" spans="1:24">
      <c r="A3" s="2">
        <v>1</v>
      </c>
      <c r="B3" s="3">
        <v>2</v>
      </c>
      <c r="C3" s="3">
        <v>3</v>
      </c>
      <c r="D3" s="3">
        <v>4</v>
      </c>
      <c r="E3" s="3">
        <v>5</v>
      </c>
      <c r="F3" s="3">
        <v>6</v>
      </c>
      <c r="G3" s="3">
        <v>7</v>
      </c>
      <c r="H3" s="3">
        <v>8</v>
      </c>
      <c r="I3" s="7">
        <v>1</v>
      </c>
      <c r="J3" s="8">
        <v>2</v>
      </c>
      <c r="K3" s="8">
        <v>3</v>
      </c>
      <c r="L3" s="8">
        <v>4</v>
      </c>
      <c r="M3" s="8">
        <v>5</v>
      </c>
      <c r="N3" s="8">
        <v>6</v>
      </c>
      <c r="O3" s="8">
        <v>7</v>
      </c>
      <c r="P3" s="8">
        <v>8</v>
      </c>
      <c r="Q3" s="11">
        <v>1</v>
      </c>
      <c r="R3" s="12">
        <v>2</v>
      </c>
      <c r="S3" s="12">
        <v>3</v>
      </c>
      <c r="T3" s="12">
        <v>4</v>
      </c>
      <c r="U3" s="12">
        <v>5</v>
      </c>
      <c r="V3" s="12">
        <v>6</v>
      </c>
      <c r="W3" s="12">
        <v>7</v>
      </c>
      <c r="X3" s="13">
        <v>8</v>
      </c>
    </row>
    <row r="4" spans="1:24">
      <c r="A4" s="4">
        <f>(VLOOKUP('102 5.1.00'!H4,'102 5.1.00'!$AL$4:$AN$55,2,FALSE))*IF('102 5.1.00'!AJ$4="是",'102 5.1.00'!$AW$4,'102 5.1.00'!$AW$3)</f>
        <v>0</v>
      </c>
      <c r="B4" s="4">
        <f>(VLOOKUP('102 5.1.00'!I4,'102 5.1.00'!$AL$4:$AN$55,2,FALSE))*IF('102 5.1.00'!AK$4="是",'102 5.1.00'!$AW$4,'102 5.1.00'!$AW$3)</f>
        <v>0</v>
      </c>
      <c r="C4" s="4">
        <f>(VLOOKUP('102 5.1.00'!J4,'102 5.1.00'!$AL$4:$AN$55,2,FALSE))*IF('102 5.1.00'!AL$4="是",'102 5.1.00'!$AW$4,'102 5.1.00'!$AW$3)</f>
        <v>0</v>
      </c>
      <c r="D4" s="4">
        <f>(VLOOKUP('102 5.1.00'!K4,'102 5.1.00'!$AL$4:$AN$55,2,FALSE))*IF('102 5.1.00'!AM$4="是",'102 5.1.00'!$AW$4,'102 5.1.00'!$AW$3)</f>
        <v>0</v>
      </c>
      <c r="E4" s="4">
        <f>(VLOOKUP('102 5.1.00'!L4,'102 5.1.00'!$AL$4:$AN$55,2,FALSE))*IF('102 5.1.00'!AN$4="是",'102 5.1.00'!$AW$4,'102 5.1.00'!$AW$3)</f>
        <v>0</v>
      </c>
      <c r="F4" s="4">
        <f>(VLOOKUP('102 5.1.00'!M4,'102 5.1.00'!$AL$4:$AN$55,2,FALSE))*IF('102 5.1.00'!AO$4="是",'102 5.1.00'!$AW$4,'102 5.1.00'!$AW$3)</f>
        <v>0</v>
      </c>
      <c r="G4" s="5">
        <f>(VLOOKUP('102 5.1.00'!N4,'102 5.1.00'!$AL$4:$AN$55,2,FALSE))*IF('102 5.1.00'!AP$4="是",'102 5.1.00'!$AW$4,'102 5.1.00'!$AW$3)</f>
        <v>0</v>
      </c>
      <c r="H4" s="5">
        <f>(VLOOKUP('102 5.1.00'!O4,'102 5.1.00'!$AL$4:$AN$55,2,FALSE))*IF('102 5.1.00'!AQ$4="是",'102 5.1.00'!$AW$4,'102 5.1.00'!$AW$3)</f>
        <v>0</v>
      </c>
      <c r="I4" s="4">
        <f>(VLOOKUP('102 5.1.00'!P4,'102 5.1.00'!$AL$4:$AN$55,2,FALSE))*IF('102 5.1.00'!AR$4="是",'102 5.1.00'!$AW$4,'102 5.1.00'!$AW$3)</f>
        <v>0</v>
      </c>
      <c r="J4" s="4">
        <f>(VLOOKUP('102 5.1.00'!Q4,'102 5.1.00'!$AL$4:$AN$55,2,FALSE))*IF('102 5.1.00'!AS$4="是",'102 5.1.00'!$AW$4,'102 5.1.00'!$AW$3)</f>
        <v>0</v>
      </c>
      <c r="K4" s="4">
        <f>(VLOOKUP('102 5.1.00'!R4,'102 5.1.00'!$AL$4:$AN$55,2,FALSE))*IF('102 5.1.00'!AT$4="是",'102 5.1.00'!$AW$4,'102 5.1.00'!$AW$3)</f>
        <v>0</v>
      </c>
      <c r="L4" s="4">
        <f>(VLOOKUP('102 5.1.00'!S4,'102 5.1.00'!$AL$4:$AN$55,2,FALSE))*IF('102 5.1.00'!AU$4="是",'102 5.1.00'!$AW$4,'102 5.1.00'!$AW$3)</f>
        <v>0</v>
      </c>
      <c r="M4" s="4">
        <f>(VLOOKUP('102 5.1.00'!T4,'102 5.1.00'!$AL$4:$AN$55,2,FALSE))*IF('102 5.1.00'!AV$4="是",'102 5.1.00'!$AW$4,'102 5.1.00'!$AW$3)</f>
        <v>0</v>
      </c>
      <c r="N4" s="4">
        <f>(VLOOKUP('102 5.1.00'!U4,'102 5.1.00'!$AL$4:$AN$55,2,FALSE))*IF('102 5.1.00'!AW$4="是",'102 5.1.00'!$AW$4,'102 5.1.00'!$AW$3)</f>
        <v>0</v>
      </c>
      <c r="O4" s="5">
        <f>(VLOOKUP('102 5.1.00'!V4,'102 5.1.00'!$AL$4:$AN$55,2,FALSE))*IF('102 5.1.00'!AX$4="是",'102 5.1.00'!$AW$4,'102 5.1.00'!$AW$3)</f>
        <v>0</v>
      </c>
      <c r="P4" s="5">
        <f>(VLOOKUP('102 5.1.00'!W4,'102 5.1.00'!$AL$4:$AN$55,2,FALSE))*IF('102 5.1.00'!AY$4="是",'102 5.1.00'!$AW$4,'102 5.1.00'!$AW$3)</f>
        <v>0</v>
      </c>
      <c r="Q4" s="4">
        <f>(VLOOKUP('102 5.1.00'!X4,'102 5.1.00'!$AL$4:$AN$55,2,FALSE))*IF('102 5.1.00'!AZ$4="是",'102 5.1.00'!$AW$4,'102 5.1.00'!$AW$3)</f>
        <v>0</v>
      </c>
      <c r="R4" s="4">
        <f>(VLOOKUP('102 5.1.00'!Y4,'102 5.1.00'!$AL$4:$AN$55,2,FALSE))*IF('102 5.1.00'!BA$4="是",'102 5.1.00'!$AW$4,'102 5.1.00'!$AW$3)</f>
        <v>0</v>
      </c>
      <c r="S4" s="4">
        <f>(VLOOKUP('102 5.1.00'!Z4,'102 5.1.00'!$AL$4:$AN$55,2,FALSE))*IF('102 5.1.00'!BB$4="是",'102 5.1.00'!$AW$4,'102 5.1.00'!$AW$3)</f>
        <v>0</v>
      </c>
      <c r="T4" s="4">
        <f>(VLOOKUP('102 5.1.00'!AA4,'102 5.1.00'!$AL$4:$AN$55,2,FALSE))*IF('102 5.1.00'!BC$4="是",'102 5.1.00'!$AW$4,'102 5.1.00'!$AW$3)</f>
        <v>0</v>
      </c>
      <c r="U4" s="4">
        <f>(VLOOKUP('102 5.1.00'!AB4,'102 5.1.00'!$AL$4:$AN$55,2,FALSE))*IF('102 5.1.00'!BD$4="是",'102 5.1.00'!$AW$4,'102 5.1.00'!$AW$3)</f>
        <v>0</v>
      </c>
      <c r="V4" s="4">
        <f>(VLOOKUP('102 5.1.00'!AC4,'102 5.1.00'!$AL$4:$AN$55,2,FALSE))*IF('102 5.1.00'!BE$4="是",'102 5.1.00'!$AW$4,'102 5.1.00'!$AW$3)</f>
        <v>0</v>
      </c>
      <c r="W4" s="5">
        <f>(VLOOKUP('102 5.1.00'!AD4,'102 5.1.00'!$AL$4:$AN$55,2,FALSE))*IF('102 5.1.00'!BF$4="是",'102 5.1.00'!$AW$4,'102 5.1.00'!$AW$3)</f>
        <v>0</v>
      </c>
      <c r="X4" s="5">
        <f>(VLOOKUP('102 5.1.00'!AE4,'102 5.1.00'!$AL$4:$AN$55,2,FALSE))*IF('102 5.1.00'!BG$4="是",'102 5.1.00'!$AW$4,'102 5.1.00'!$AW$3)</f>
        <v>0</v>
      </c>
    </row>
    <row r="5" spans="1:24">
      <c r="A5" s="4">
        <f>(VLOOKUP('102 5.1.00'!H5,'102 5.1.00'!$AL$4:$AN$55,2,FALSE))*IF('102 5.1.00'!AJ$4="是",'102 5.1.00'!$AW$4,'102 5.1.00'!$AW$3)</f>
        <v>0</v>
      </c>
      <c r="B5" s="4">
        <f>(VLOOKUP('102 5.1.00'!I5,'102 5.1.00'!$AL$4:$AN$55,2,FALSE))*IF('102 5.1.00'!AK$4="是",'102 5.1.00'!$AW$4,'102 5.1.00'!$AW$3)</f>
        <v>0</v>
      </c>
      <c r="C5" s="4">
        <f>(VLOOKUP('102 5.1.00'!J5,'102 5.1.00'!$AL$4:$AN$55,2,FALSE))*IF('102 5.1.00'!AL$4="是",'102 5.1.00'!$AW$4,'102 5.1.00'!$AW$3)</f>
        <v>0</v>
      </c>
      <c r="D5" s="4">
        <f>(VLOOKUP('102 5.1.00'!K5,'102 5.1.00'!$AL$4:$AN$55,2,FALSE))*IF('102 5.1.00'!AM$4="是",'102 5.1.00'!$AW$4,'102 5.1.00'!$AW$3)</f>
        <v>0</v>
      </c>
      <c r="E5" s="4">
        <f>(VLOOKUP('102 5.1.00'!L5,'102 5.1.00'!$AL$4:$AN$55,2,FALSE))*IF('102 5.1.00'!AN$4="是",'102 5.1.00'!$AW$4,'102 5.1.00'!$AW$3)</f>
        <v>0</v>
      </c>
      <c r="F5" s="4">
        <f>(VLOOKUP('102 5.1.00'!M5,'102 5.1.00'!$AL$4:$AN$55,2,FALSE))*IF('102 5.1.00'!AO$4="是",'102 5.1.00'!$AW$4,'102 5.1.00'!$AW$3)</f>
        <v>0</v>
      </c>
      <c r="G5" s="5">
        <f>(VLOOKUP('102 5.1.00'!N5,'102 5.1.00'!$AL$4:$AN$55,2,FALSE))*IF('102 5.1.00'!AP$4="是",'102 5.1.00'!$AW$4,'102 5.1.00'!$AW$3)</f>
        <v>0</v>
      </c>
      <c r="H5" s="5">
        <f>(VLOOKUP('102 5.1.00'!O5,'102 5.1.00'!$AL$4:$AN$55,2,FALSE))*IF('102 5.1.00'!AQ$4="是",'102 5.1.00'!$AW$4,'102 5.1.00'!$AW$3)</f>
        <v>0</v>
      </c>
      <c r="I5" s="4">
        <f>(VLOOKUP('102 5.1.00'!P5,'102 5.1.00'!$AL$4:$AN$55,2,FALSE))*IF('102 5.1.00'!AR$4="是",'102 5.1.00'!$AW$4,'102 5.1.00'!$AW$3)</f>
        <v>0</v>
      </c>
      <c r="J5" s="4">
        <f>(VLOOKUP('102 5.1.00'!Q5,'102 5.1.00'!$AL$4:$AN$55,2,FALSE))*IF('102 5.1.00'!AS$4="是",'102 5.1.00'!$AW$4,'102 5.1.00'!$AW$3)</f>
        <v>0</v>
      </c>
      <c r="K5" s="4">
        <f>(VLOOKUP('102 5.1.00'!R5,'102 5.1.00'!$AL$4:$AN$55,2,FALSE))*IF('102 5.1.00'!AT$4="是",'102 5.1.00'!$AW$4,'102 5.1.00'!$AW$3)</f>
        <v>0</v>
      </c>
      <c r="L5" s="4">
        <f>(VLOOKUP('102 5.1.00'!S5,'102 5.1.00'!$AL$4:$AN$55,2,FALSE))*IF('102 5.1.00'!AU$4="是",'102 5.1.00'!$AW$4,'102 5.1.00'!$AW$3)</f>
        <v>0</v>
      </c>
      <c r="M5" s="4">
        <f>(VLOOKUP('102 5.1.00'!T5,'102 5.1.00'!$AL$4:$AN$55,2,FALSE))*IF('102 5.1.00'!AV$4="是",'102 5.1.00'!$AW$4,'102 5.1.00'!$AW$3)</f>
        <v>0</v>
      </c>
      <c r="N5" s="4">
        <f>(VLOOKUP('102 5.1.00'!U5,'102 5.1.00'!$AL$4:$AN$55,2,FALSE))*IF('102 5.1.00'!AW$4="是",'102 5.1.00'!$AW$4,'102 5.1.00'!$AW$3)</f>
        <v>0</v>
      </c>
      <c r="O5" s="5">
        <f>(VLOOKUP('102 5.1.00'!V5,'102 5.1.00'!$AL$4:$AN$55,2,FALSE))*IF('102 5.1.00'!AX$4="是",'102 5.1.00'!$AW$4,'102 5.1.00'!$AW$3)</f>
        <v>0</v>
      </c>
      <c r="P5" s="5">
        <f>(VLOOKUP('102 5.1.00'!W5,'102 5.1.00'!$AL$4:$AN$55,2,FALSE))*IF('102 5.1.00'!AY$4="是",'102 5.1.00'!$AW$4,'102 5.1.00'!$AW$3)</f>
        <v>0</v>
      </c>
      <c r="Q5" s="4">
        <f>(VLOOKUP('102 5.1.00'!X5,'102 5.1.00'!$AL$4:$AN$55,2,FALSE))*IF('102 5.1.00'!AZ$4="是",'102 5.1.00'!$AW$4,'102 5.1.00'!$AW$3)</f>
        <v>0</v>
      </c>
      <c r="R5" s="4">
        <f>(VLOOKUP('102 5.1.00'!Y5,'102 5.1.00'!$AL$4:$AN$55,2,FALSE))*IF('102 5.1.00'!BA$4="是",'102 5.1.00'!$AW$4,'102 5.1.00'!$AW$3)</f>
        <v>0</v>
      </c>
      <c r="S5" s="4">
        <f>(VLOOKUP('102 5.1.00'!Z5,'102 5.1.00'!$AL$4:$AN$55,2,FALSE))*IF('102 5.1.00'!BB$4="是",'102 5.1.00'!$AW$4,'102 5.1.00'!$AW$3)</f>
        <v>0</v>
      </c>
      <c r="T5" s="4">
        <f>(VLOOKUP('102 5.1.00'!AA5,'102 5.1.00'!$AL$4:$AN$55,2,FALSE))*IF('102 5.1.00'!BC$4="是",'102 5.1.00'!$AW$4,'102 5.1.00'!$AW$3)</f>
        <v>0</v>
      </c>
      <c r="U5" s="4">
        <f>(VLOOKUP('102 5.1.00'!AB5,'102 5.1.00'!$AL$4:$AN$55,2,FALSE))*IF('102 5.1.00'!BD$4="是",'102 5.1.00'!$AW$4,'102 5.1.00'!$AW$3)</f>
        <v>0</v>
      </c>
      <c r="V5" s="4">
        <f>(VLOOKUP('102 5.1.00'!AC5,'102 5.1.00'!$AL$4:$AN$55,2,FALSE))*IF('102 5.1.00'!BE$4="是",'102 5.1.00'!$AW$4,'102 5.1.00'!$AW$3)</f>
        <v>0</v>
      </c>
      <c r="W5" s="5">
        <f>(VLOOKUP('102 5.1.00'!AD5,'102 5.1.00'!$AL$4:$AN$55,2,FALSE))*IF('102 5.1.00'!BF$4="是",'102 5.1.00'!$AW$4,'102 5.1.00'!$AW$3)</f>
        <v>0</v>
      </c>
      <c r="X5" s="5">
        <f>(VLOOKUP('102 5.1.00'!AE5,'102 5.1.00'!$AL$4:$AN$55,2,FALSE))*IF('102 5.1.00'!BG$4="是",'102 5.1.00'!$AW$4,'102 5.1.00'!$AW$3)</f>
        <v>0</v>
      </c>
    </row>
    <row r="6" spans="1:24">
      <c r="A6" s="4">
        <f>(VLOOKUP('102 5.1.00'!H6,'102 5.1.00'!$AL$4:$AN$55,2,FALSE))*IF('102 5.1.00'!AJ$4="是",'102 5.1.00'!$AW$4,'102 5.1.00'!$AW$3)</f>
        <v>0</v>
      </c>
      <c r="B6" s="4">
        <f>(VLOOKUP('102 5.1.00'!I6,'102 5.1.00'!$AL$4:$AN$55,2,FALSE))*IF('102 5.1.00'!AK$4="是",'102 5.1.00'!$AW$4,'102 5.1.00'!$AW$3)</f>
        <v>0</v>
      </c>
      <c r="C6" s="4">
        <f>(VLOOKUP('102 5.1.00'!J6,'102 5.1.00'!$AL$4:$AN$55,2,FALSE))*IF('102 5.1.00'!AL$4="是",'102 5.1.00'!$AW$4,'102 5.1.00'!$AW$3)</f>
        <v>0</v>
      </c>
      <c r="D6" s="4">
        <f>(VLOOKUP('102 5.1.00'!K6,'102 5.1.00'!$AL$4:$AN$55,2,FALSE))*IF('102 5.1.00'!AM$4="是",'102 5.1.00'!$AW$4,'102 5.1.00'!$AW$3)</f>
        <v>0</v>
      </c>
      <c r="E6" s="4">
        <f>(VLOOKUP('102 5.1.00'!L6,'102 5.1.00'!$AL$4:$AN$55,2,FALSE))*IF('102 5.1.00'!AN$4="是",'102 5.1.00'!$AW$4,'102 5.1.00'!$AW$3)</f>
        <v>0</v>
      </c>
      <c r="F6" s="4">
        <f>(VLOOKUP('102 5.1.00'!M6,'102 5.1.00'!$AL$4:$AN$55,2,FALSE))*IF('102 5.1.00'!AO$4="是",'102 5.1.00'!$AW$4,'102 5.1.00'!$AW$3)</f>
        <v>0</v>
      </c>
      <c r="G6" s="5">
        <f>(VLOOKUP('102 5.1.00'!N6,'102 5.1.00'!$AL$4:$AN$55,2,FALSE))*IF('102 5.1.00'!AP$4="是",'102 5.1.00'!$AW$4,'102 5.1.00'!$AW$3)</f>
        <v>0</v>
      </c>
      <c r="H6" s="5">
        <f>(VLOOKUP('102 5.1.00'!O6,'102 5.1.00'!$AL$4:$AN$55,2,FALSE))*IF('102 5.1.00'!AQ$4="是",'102 5.1.00'!$AW$4,'102 5.1.00'!$AW$3)</f>
        <v>0</v>
      </c>
      <c r="I6" s="4">
        <f>(VLOOKUP('102 5.1.00'!P6,'102 5.1.00'!$AL$4:$AN$55,2,FALSE))*IF('102 5.1.00'!AR$4="是",'102 5.1.00'!$AW$4,'102 5.1.00'!$AW$3)</f>
        <v>0</v>
      </c>
      <c r="J6" s="4">
        <f>(VLOOKUP('102 5.1.00'!Q6,'102 5.1.00'!$AL$4:$AN$55,2,FALSE))*IF('102 5.1.00'!AS$4="是",'102 5.1.00'!$AW$4,'102 5.1.00'!$AW$3)</f>
        <v>0</v>
      </c>
      <c r="K6" s="4">
        <f>(VLOOKUP('102 5.1.00'!R6,'102 5.1.00'!$AL$4:$AN$55,2,FALSE))*IF('102 5.1.00'!AT$4="是",'102 5.1.00'!$AW$4,'102 5.1.00'!$AW$3)</f>
        <v>0</v>
      </c>
      <c r="L6" s="4">
        <f>(VLOOKUP('102 5.1.00'!S6,'102 5.1.00'!$AL$4:$AN$55,2,FALSE))*IF('102 5.1.00'!AU$4="是",'102 5.1.00'!$AW$4,'102 5.1.00'!$AW$3)</f>
        <v>0</v>
      </c>
      <c r="M6" s="4">
        <f>(VLOOKUP('102 5.1.00'!T6,'102 5.1.00'!$AL$4:$AN$55,2,FALSE))*IF('102 5.1.00'!AV$4="是",'102 5.1.00'!$AW$4,'102 5.1.00'!$AW$3)</f>
        <v>0</v>
      </c>
      <c r="N6" s="4">
        <f>(VLOOKUP('102 5.1.00'!U6,'102 5.1.00'!$AL$4:$AN$55,2,FALSE))*IF('102 5.1.00'!AW$4="是",'102 5.1.00'!$AW$4,'102 5.1.00'!$AW$3)</f>
        <v>0</v>
      </c>
      <c r="O6" s="5">
        <f>(VLOOKUP('102 5.1.00'!V6,'102 5.1.00'!$AL$4:$AN$55,2,FALSE))*IF('102 5.1.00'!AX$4="是",'102 5.1.00'!$AW$4,'102 5.1.00'!$AW$3)</f>
        <v>0</v>
      </c>
      <c r="P6" s="5">
        <f>(VLOOKUP('102 5.1.00'!W6,'102 5.1.00'!$AL$4:$AN$55,2,FALSE))*IF('102 5.1.00'!AY$4="是",'102 5.1.00'!$AW$4,'102 5.1.00'!$AW$3)</f>
        <v>0</v>
      </c>
      <c r="Q6" s="4">
        <f>(VLOOKUP('102 5.1.00'!X6,'102 5.1.00'!$AL$4:$AN$55,2,FALSE))*IF('102 5.1.00'!AZ$4="是",'102 5.1.00'!$AW$4,'102 5.1.00'!$AW$3)</f>
        <v>0</v>
      </c>
      <c r="R6" s="4">
        <f>(VLOOKUP('102 5.1.00'!Y6,'102 5.1.00'!$AL$4:$AN$55,2,FALSE))*IF('102 5.1.00'!BA$4="是",'102 5.1.00'!$AW$4,'102 5.1.00'!$AW$3)</f>
        <v>0</v>
      </c>
      <c r="S6" s="4">
        <f>(VLOOKUP('102 5.1.00'!Z6,'102 5.1.00'!$AL$4:$AN$55,2,FALSE))*IF('102 5.1.00'!BB$4="是",'102 5.1.00'!$AW$4,'102 5.1.00'!$AW$3)</f>
        <v>0</v>
      </c>
      <c r="T6" s="4">
        <f>(VLOOKUP('102 5.1.00'!AA6,'102 5.1.00'!$AL$4:$AN$55,2,FALSE))*IF('102 5.1.00'!BC$4="是",'102 5.1.00'!$AW$4,'102 5.1.00'!$AW$3)</f>
        <v>0</v>
      </c>
      <c r="U6" s="4">
        <f>(VLOOKUP('102 5.1.00'!AB6,'102 5.1.00'!$AL$4:$AN$55,2,FALSE))*IF('102 5.1.00'!BD$4="是",'102 5.1.00'!$AW$4,'102 5.1.00'!$AW$3)</f>
        <v>0</v>
      </c>
      <c r="V6" s="4">
        <f>(VLOOKUP('102 5.1.00'!AC6,'102 5.1.00'!$AL$4:$AN$55,2,FALSE))*IF('102 5.1.00'!BE$4="是",'102 5.1.00'!$AW$4,'102 5.1.00'!$AW$3)</f>
        <v>0</v>
      </c>
      <c r="W6" s="5">
        <f>(VLOOKUP('102 5.1.00'!AD6,'102 5.1.00'!$AL$4:$AN$55,2,FALSE))*IF('102 5.1.00'!BF$4="是",'102 5.1.00'!$AW$4,'102 5.1.00'!$AW$3)</f>
        <v>0</v>
      </c>
      <c r="X6" s="5">
        <f>(VLOOKUP('102 5.1.00'!AE6,'102 5.1.00'!$AL$4:$AN$55,2,FALSE))*IF('102 5.1.00'!BG$4="是",'102 5.1.00'!$AW$4,'102 5.1.00'!$AW$3)</f>
        <v>0</v>
      </c>
    </row>
    <row r="7" spans="1:24">
      <c r="A7" s="4">
        <f>(VLOOKUP('102 5.1.00'!H7,'102 5.1.00'!$AL$4:$AN$55,2,FALSE))*IF('102 5.1.00'!AJ$4="是",'102 5.1.00'!$AW$4,'102 5.1.00'!$AW$3)</f>
        <v>0</v>
      </c>
      <c r="B7" s="4">
        <f>(VLOOKUP('102 5.1.00'!I7,'102 5.1.00'!$AL$4:$AN$55,2,FALSE))*IF('102 5.1.00'!AK$4="是",'102 5.1.00'!$AW$4,'102 5.1.00'!$AW$3)</f>
        <v>0</v>
      </c>
      <c r="C7" s="4">
        <f>(VLOOKUP('102 5.1.00'!J7,'102 5.1.00'!$AL$4:$AN$55,2,FALSE))*IF('102 5.1.00'!AL$4="是",'102 5.1.00'!$AW$4,'102 5.1.00'!$AW$3)</f>
        <v>0</v>
      </c>
      <c r="D7" s="4">
        <f>(VLOOKUP('102 5.1.00'!K7,'102 5.1.00'!$AL$4:$AN$55,2,FALSE))*IF('102 5.1.00'!AM$4="是",'102 5.1.00'!$AW$4,'102 5.1.00'!$AW$3)</f>
        <v>0</v>
      </c>
      <c r="E7" s="4">
        <f>(VLOOKUP('102 5.1.00'!L7,'102 5.1.00'!$AL$4:$AN$55,2,FALSE))*IF('102 5.1.00'!AN$4="是",'102 5.1.00'!$AW$4,'102 5.1.00'!$AW$3)</f>
        <v>0</v>
      </c>
      <c r="F7" s="4">
        <f>(VLOOKUP('102 5.1.00'!M7,'102 5.1.00'!$AL$4:$AN$55,2,FALSE))*IF('102 5.1.00'!AO$4="是",'102 5.1.00'!$AW$4,'102 5.1.00'!$AW$3)</f>
        <v>0</v>
      </c>
      <c r="G7" s="5">
        <f>(VLOOKUP('102 5.1.00'!N7,'102 5.1.00'!$AL$4:$AN$55,2,FALSE))*IF('102 5.1.00'!AP$4="是",'102 5.1.00'!$AW$4,'102 5.1.00'!$AW$3)</f>
        <v>0</v>
      </c>
      <c r="H7" s="5">
        <f>(VLOOKUP('102 5.1.00'!O7,'102 5.1.00'!$AL$4:$AN$55,2,FALSE))*IF('102 5.1.00'!AQ$4="是",'102 5.1.00'!$AW$4,'102 5.1.00'!$AW$3)</f>
        <v>0</v>
      </c>
      <c r="I7" s="4">
        <f>(VLOOKUP('102 5.1.00'!P7,'102 5.1.00'!$AL$4:$AN$55,2,FALSE))*IF('102 5.1.00'!AR$4="是",'102 5.1.00'!$AW$4,'102 5.1.00'!$AW$3)</f>
        <v>0</v>
      </c>
      <c r="J7" s="4">
        <f>(VLOOKUP('102 5.1.00'!Q7,'102 5.1.00'!$AL$4:$AN$55,2,FALSE))*IF('102 5.1.00'!AS$4="是",'102 5.1.00'!$AW$4,'102 5.1.00'!$AW$3)</f>
        <v>0</v>
      </c>
      <c r="K7" s="4">
        <f>(VLOOKUP('102 5.1.00'!R7,'102 5.1.00'!$AL$4:$AN$55,2,FALSE))*IF('102 5.1.00'!AT$4="是",'102 5.1.00'!$AW$4,'102 5.1.00'!$AW$3)</f>
        <v>0</v>
      </c>
      <c r="L7" s="4">
        <f>(VLOOKUP('102 5.1.00'!S7,'102 5.1.00'!$AL$4:$AN$55,2,FALSE))*IF('102 5.1.00'!AU$4="是",'102 5.1.00'!$AW$4,'102 5.1.00'!$AW$3)</f>
        <v>0</v>
      </c>
      <c r="M7" s="4">
        <f>(VLOOKUP('102 5.1.00'!T7,'102 5.1.00'!$AL$4:$AN$55,2,FALSE))*IF('102 5.1.00'!AV$4="是",'102 5.1.00'!$AW$4,'102 5.1.00'!$AW$3)</f>
        <v>0</v>
      </c>
      <c r="N7" s="4">
        <f>(VLOOKUP('102 5.1.00'!U7,'102 5.1.00'!$AL$4:$AN$55,2,FALSE))*IF('102 5.1.00'!AW$4="是",'102 5.1.00'!$AW$4,'102 5.1.00'!$AW$3)</f>
        <v>0</v>
      </c>
      <c r="O7" s="5">
        <f>(VLOOKUP('102 5.1.00'!V7,'102 5.1.00'!$AL$4:$AN$55,2,FALSE))*IF('102 5.1.00'!AX$4="是",'102 5.1.00'!$AW$4,'102 5.1.00'!$AW$3)</f>
        <v>0</v>
      </c>
      <c r="P7" s="5">
        <f>(VLOOKUP('102 5.1.00'!W7,'102 5.1.00'!$AL$4:$AN$55,2,FALSE))*IF('102 5.1.00'!AY$4="是",'102 5.1.00'!$AW$4,'102 5.1.00'!$AW$3)</f>
        <v>0</v>
      </c>
      <c r="Q7" s="4">
        <f>(VLOOKUP('102 5.1.00'!X7,'102 5.1.00'!$AL$4:$AN$55,2,FALSE))*IF('102 5.1.00'!AZ$4="是",'102 5.1.00'!$AW$4,'102 5.1.00'!$AW$3)</f>
        <v>0</v>
      </c>
      <c r="R7" s="4">
        <f>(VLOOKUP('102 5.1.00'!Y7,'102 5.1.00'!$AL$4:$AN$55,2,FALSE))*IF('102 5.1.00'!BA$4="是",'102 5.1.00'!$AW$4,'102 5.1.00'!$AW$3)</f>
        <v>0</v>
      </c>
      <c r="S7" s="4">
        <f>(VLOOKUP('102 5.1.00'!Z7,'102 5.1.00'!$AL$4:$AN$55,2,FALSE))*IF('102 5.1.00'!BB$4="是",'102 5.1.00'!$AW$4,'102 5.1.00'!$AW$3)</f>
        <v>0</v>
      </c>
      <c r="T7" s="4">
        <f>(VLOOKUP('102 5.1.00'!AA7,'102 5.1.00'!$AL$4:$AN$55,2,FALSE))*IF('102 5.1.00'!BC$4="是",'102 5.1.00'!$AW$4,'102 5.1.00'!$AW$3)</f>
        <v>0</v>
      </c>
      <c r="U7" s="4">
        <f>(VLOOKUP('102 5.1.00'!AB7,'102 5.1.00'!$AL$4:$AN$55,2,FALSE))*IF('102 5.1.00'!BD$4="是",'102 5.1.00'!$AW$4,'102 5.1.00'!$AW$3)</f>
        <v>0</v>
      </c>
      <c r="V7" s="4">
        <f>(VLOOKUP('102 5.1.00'!AC7,'102 5.1.00'!$AL$4:$AN$55,2,FALSE))*IF('102 5.1.00'!BE$4="是",'102 5.1.00'!$AW$4,'102 5.1.00'!$AW$3)</f>
        <v>0</v>
      </c>
      <c r="W7" s="5">
        <f>(VLOOKUP('102 5.1.00'!AD7,'102 5.1.00'!$AL$4:$AN$55,2,FALSE))*IF('102 5.1.00'!BF$4="是",'102 5.1.00'!$AW$4,'102 5.1.00'!$AW$3)</f>
        <v>0</v>
      </c>
      <c r="X7" s="5">
        <f>(VLOOKUP('102 5.1.00'!AE7,'102 5.1.00'!$AL$4:$AN$55,2,FALSE))*IF('102 5.1.00'!BG$4="是",'102 5.1.00'!$AW$4,'102 5.1.00'!$AW$3)</f>
        <v>0</v>
      </c>
    </row>
    <row r="8" spans="1:24">
      <c r="A8" s="4">
        <f>(VLOOKUP('102 5.1.00'!H8,'102 5.1.00'!$AL$4:$AN$55,2,FALSE))*IF('102 5.1.00'!AJ$4="是",'102 5.1.00'!$AW$4,'102 5.1.00'!$AW$3)</f>
        <v>0</v>
      </c>
      <c r="B8" s="4">
        <f>(VLOOKUP('102 5.1.00'!I8,'102 5.1.00'!$AL$4:$AN$55,2,FALSE))*IF('102 5.1.00'!AK$4="是",'102 5.1.00'!$AW$4,'102 5.1.00'!$AW$3)</f>
        <v>0</v>
      </c>
      <c r="C8" s="4">
        <f>(VLOOKUP('102 5.1.00'!J8,'102 5.1.00'!$AL$4:$AN$55,2,FALSE))*IF('102 5.1.00'!AL$4="是",'102 5.1.00'!$AW$4,'102 5.1.00'!$AW$3)</f>
        <v>0</v>
      </c>
      <c r="D8" s="4">
        <f>(VLOOKUP('102 5.1.00'!K8,'102 5.1.00'!$AL$4:$AN$55,2,FALSE))*IF('102 5.1.00'!AM$4="是",'102 5.1.00'!$AW$4,'102 5.1.00'!$AW$3)</f>
        <v>0</v>
      </c>
      <c r="E8" s="4">
        <f>(VLOOKUP('102 5.1.00'!L8,'102 5.1.00'!$AL$4:$AN$55,2,FALSE))*IF('102 5.1.00'!AN$4="是",'102 5.1.00'!$AW$4,'102 5.1.00'!$AW$3)</f>
        <v>0</v>
      </c>
      <c r="F8" s="4">
        <f>(VLOOKUP('102 5.1.00'!M8,'102 5.1.00'!$AL$4:$AN$55,2,FALSE))*IF('102 5.1.00'!AO$4="是",'102 5.1.00'!$AW$4,'102 5.1.00'!$AW$3)</f>
        <v>0</v>
      </c>
      <c r="G8" s="5">
        <f>(VLOOKUP('102 5.1.00'!N8,'102 5.1.00'!$AL$4:$AN$55,2,FALSE))*IF('102 5.1.00'!AP$4="是",'102 5.1.00'!$AW$4,'102 5.1.00'!$AW$3)</f>
        <v>0</v>
      </c>
      <c r="H8" s="5">
        <f>(VLOOKUP('102 5.1.00'!O8,'102 5.1.00'!$AL$4:$AN$55,2,FALSE))*IF('102 5.1.00'!AQ$4="是",'102 5.1.00'!$AW$4,'102 5.1.00'!$AW$3)</f>
        <v>0</v>
      </c>
      <c r="I8" s="4">
        <f>(VLOOKUP('102 5.1.00'!P8,'102 5.1.00'!$AL$4:$AN$55,2,FALSE))*IF('102 5.1.00'!AR$4="是",'102 5.1.00'!$AW$4,'102 5.1.00'!$AW$3)</f>
        <v>0</v>
      </c>
      <c r="J8" s="4">
        <f>(VLOOKUP('102 5.1.00'!Q8,'102 5.1.00'!$AL$4:$AN$55,2,FALSE))*IF('102 5.1.00'!AS$4="是",'102 5.1.00'!$AW$4,'102 5.1.00'!$AW$3)</f>
        <v>0</v>
      </c>
      <c r="K8" s="4">
        <f>(VLOOKUP('102 5.1.00'!R8,'102 5.1.00'!$AL$4:$AN$55,2,FALSE))*IF('102 5.1.00'!AT$4="是",'102 5.1.00'!$AW$4,'102 5.1.00'!$AW$3)</f>
        <v>0</v>
      </c>
      <c r="L8" s="4">
        <f>(VLOOKUP('102 5.1.00'!S8,'102 5.1.00'!$AL$4:$AN$55,2,FALSE))*IF('102 5.1.00'!AU$4="是",'102 5.1.00'!$AW$4,'102 5.1.00'!$AW$3)</f>
        <v>0</v>
      </c>
      <c r="M8" s="4">
        <f>(VLOOKUP('102 5.1.00'!T8,'102 5.1.00'!$AL$4:$AN$55,2,FALSE))*IF('102 5.1.00'!AV$4="是",'102 5.1.00'!$AW$4,'102 5.1.00'!$AW$3)</f>
        <v>0</v>
      </c>
      <c r="N8" s="4">
        <f>(VLOOKUP('102 5.1.00'!U8,'102 5.1.00'!$AL$4:$AN$55,2,FALSE))*IF('102 5.1.00'!AW$4="是",'102 5.1.00'!$AW$4,'102 5.1.00'!$AW$3)</f>
        <v>0</v>
      </c>
      <c r="O8" s="5">
        <f>(VLOOKUP('102 5.1.00'!V8,'102 5.1.00'!$AL$4:$AN$55,2,FALSE))*IF('102 5.1.00'!AX$4="是",'102 5.1.00'!$AW$4,'102 5.1.00'!$AW$3)</f>
        <v>0</v>
      </c>
      <c r="P8" s="5">
        <f>(VLOOKUP('102 5.1.00'!W8,'102 5.1.00'!$AL$4:$AN$55,2,FALSE))*IF('102 5.1.00'!AY$4="是",'102 5.1.00'!$AW$4,'102 5.1.00'!$AW$3)</f>
        <v>0</v>
      </c>
      <c r="Q8" s="4">
        <f>(VLOOKUP('102 5.1.00'!X8,'102 5.1.00'!$AL$4:$AN$55,2,FALSE))*IF('102 5.1.00'!AZ$4="是",'102 5.1.00'!$AW$4,'102 5.1.00'!$AW$3)</f>
        <v>0</v>
      </c>
      <c r="R8" s="4">
        <f>(VLOOKUP('102 5.1.00'!Y8,'102 5.1.00'!$AL$4:$AN$55,2,FALSE))*IF('102 5.1.00'!BA$4="是",'102 5.1.00'!$AW$4,'102 5.1.00'!$AW$3)</f>
        <v>0</v>
      </c>
      <c r="S8" s="4">
        <f>(VLOOKUP('102 5.1.00'!Z8,'102 5.1.00'!$AL$4:$AN$55,2,FALSE))*IF('102 5.1.00'!BB$4="是",'102 5.1.00'!$AW$4,'102 5.1.00'!$AW$3)</f>
        <v>0</v>
      </c>
      <c r="T8" s="4">
        <f>(VLOOKUP('102 5.1.00'!AA8,'102 5.1.00'!$AL$4:$AN$55,2,FALSE))*IF('102 5.1.00'!BC$4="是",'102 5.1.00'!$AW$4,'102 5.1.00'!$AW$3)</f>
        <v>0</v>
      </c>
      <c r="U8" s="4">
        <f>(VLOOKUP('102 5.1.00'!AB8,'102 5.1.00'!$AL$4:$AN$55,2,FALSE))*IF('102 5.1.00'!BD$4="是",'102 5.1.00'!$AW$4,'102 5.1.00'!$AW$3)</f>
        <v>0</v>
      </c>
      <c r="V8" s="4">
        <f>(VLOOKUP('102 5.1.00'!AC8,'102 5.1.00'!$AL$4:$AN$55,2,FALSE))*IF('102 5.1.00'!BE$4="是",'102 5.1.00'!$AW$4,'102 5.1.00'!$AW$3)</f>
        <v>0</v>
      </c>
      <c r="W8" s="5">
        <f>(VLOOKUP('102 5.1.00'!AD8,'102 5.1.00'!$AL$4:$AN$55,2,FALSE))*IF('102 5.1.00'!BF$4="是",'102 5.1.00'!$AW$4,'102 5.1.00'!$AW$3)</f>
        <v>0</v>
      </c>
      <c r="X8" s="5">
        <f>(VLOOKUP('102 5.1.00'!AE8,'102 5.1.00'!$AL$4:$AN$55,2,FALSE))*IF('102 5.1.00'!BG$4="是",'102 5.1.00'!$AW$4,'102 5.1.00'!$AW$3)</f>
        <v>0</v>
      </c>
    </row>
    <row r="9" spans="1:24">
      <c r="A9" s="4">
        <f>(VLOOKUP('102 5.1.00'!H9,'102 5.1.00'!$AL$4:$AN$55,2,FALSE))*IF('102 5.1.00'!AJ$4="是",'102 5.1.00'!$AW$4,'102 5.1.00'!$AW$3)</f>
        <v>0</v>
      </c>
      <c r="B9" s="4">
        <f>(VLOOKUP('102 5.1.00'!I9,'102 5.1.00'!$AL$4:$AN$55,2,FALSE))*IF('102 5.1.00'!AK$4="是",'102 5.1.00'!$AW$4,'102 5.1.00'!$AW$3)</f>
        <v>0</v>
      </c>
      <c r="C9" s="4">
        <f>(VLOOKUP('102 5.1.00'!J9,'102 5.1.00'!$AL$4:$AN$55,2,FALSE))*IF('102 5.1.00'!AL$4="是",'102 5.1.00'!$AW$4,'102 5.1.00'!$AW$3)</f>
        <v>0</v>
      </c>
      <c r="D9" s="4">
        <f>(VLOOKUP('102 5.1.00'!K9,'102 5.1.00'!$AL$4:$AN$55,2,FALSE))*IF('102 5.1.00'!AM$4="是",'102 5.1.00'!$AW$4,'102 5.1.00'!$AW$3)</f>
        <v>0</v>
      </c>
      <c r="E9" s="4">
        <f>(VLOOKUP('102 5.1.00'!L9,'102 5.1.00'!$AL$4:$AN$55,2,FALSE))*IF('102 5.1.00'!AN$4="是",'102 5.1.00'!$AW$4,'102 5.1.00'!$AW$3)</f>
        <v>0</v>
      </c>
      <c r="F9" s="4">
        <f>(VLOOKUP('102 5.1.00'!M9,'102 5.1.00'!$AL$4:$AN$55,2,FALSE))*IF('102 5.1.00'!AO$4="是",'102 5.1.00'!$AW$4,'102 5.1.00'!$AW$3)</f>
        <v>0</v>
      </c>
      <c r="G9" s="5">
        <f>(VLOOKUP('102 5.1.00'!N9,'102 5.1.00'!$AL$4:$AN$55,2,FALSE))*IF('102 5.1.00'!AP$4="是",'102 5.1.00'!$AW$4,'102 5.1.00'!$AW$3)</f>
        <v>0</v>
      </c>
      <c r="H9" s="5">
        <f>(VLOOKUP('102 5.1.00'!O9,'102 5.1.00'!$AL$4:$AN$55,2,FALSE))*IF('102 5.1.00'!AQ$4="是",'102 5.1.00'!$AW$4,'102 5.1.00'!$AW$3)</f>
        <v>0</v>
      </c>
      <c r="I9" s="4">
        <f>(VLOOKUP('102 5.1.00'!P9,'102 5.1.00'!$AL$4:$AN$55,2,FALSE))*IF('102 5.1.00'!AR$4="是",'102 5.1.00'!$AW$4,'102 5.1.00'!$AW$3)</f>
        <v>0</v>
      </c>
      <c r="J9" s="4">
        <f>(VLOOKUP('102 5.1.00'!Q9,'102 5.1.00'!$AL$4:$AN$55,2,FALSE))*IF('102 5.1.00'!AS$4="是",'102 5.1.00'!$AW$4,'102 5.1.00'!$AW$3)</f>
        <v>0</v>
      </c>
      <c r="K9" s="4">
        <f>(VLOOKUP('102 5.1.00'!R9,'102 5.1.00'!$AL$4:$AN$55,2,FALSE))*IF('102 5.1.00'!AT$4="是",'102 5.1.00'!$AW$4,'102 5.1.00'!$AW$3)</f>
        <v>0</v>
      </c>
      <c r="L9" s="4">
        <f>(VLOOKUP('102 5.1.00'!S9,'102 5.1.00'!$AL$4:$AN$55,2,FALSE))*IF('102 5.1.00'!AU$4="是",'102 5.1.00'!$AW$4,'102 5.1.00'!$AW$3)</f>
        <v>0</v>
      </c>
      <c r="M9" s="4">
        <f>(VLOOKUP('102 5.1.00'!T9,'102 5.1.00'!$AL$4:$AN$55,2,FALSE))*IF('102 5.1.00'!AV$4="是",'102 5.1.00'!$AW$4,'102 5.1.00'!$AW$3)</f>
        <v>0</v>
      </c>
      <c r="N9" s="4">
        <f>(VLOOKUP('102 5.1.00'!U9,'102 5.1.00'!$AL$4:$AN$55,2,FALSE))*IF('102 5.1.00'!AW$4="是",'102 5.1.00'!$AW$4,'102 5.1.00'!$AW$3)</f>
        <v>0</v>
      </c>
      <c r="O9" s="5">
        <f>(VLOOKUP('102 5.1.00'!V9,'102 5.1.00'!$AL$4:$AN$55,2,FALSE))*IF('102 5.1.00'!AX$4="是",'102 5.1.00'!$AW$4,'102 5.1.00'!$AW$3)</f>
        <v>0</v>
      </c>
      <c r="P9" s="5">
        <f>(VLOOKUP('102 5.1.00'!W9,'102 5.1.00'!$AL$4:$AN$55,2,FALSE))*IF('102 5.1.00'!AY$4="是",'102 5.1.00'!$AW$4,'102 5.1.00'!$AW$3)</f>
        <v>0</v>
      </c>
      <c r="Q9" s="4">
        <f>(VLOOKUP('102 5.1.00'!X9,'102 5.1.00'!$AL$4:$AN$55,2,FALSE))*IF('102 5.1.00'!AZ$4="是",'102 5.1.00'!$AW$4,'102 5.1.00'!$AW$3)</f>
        <v>0</v>
      </c>
      <c r="R9" s="4">
        <f>(VLOOKUP('102 5.1.00'!Y9,'102 5.1.00'!$AL$4:$AN$55,2,FALSE))*IF('102 5.1.00'!BA$4="是",'102 5.1.00'!$AW$4,'102 5.1.00'!$AW$3)</f>
        <v>0</v>
      </c>
      <c r="S9" s="4">
        <f>(VLOOKUP('102 5.1.00'!Z9,'102 5.1.00'!$AL$4:$AN$55,2,FALSE))*IF('102 5.1.00'!BB$4="是",'102 5.1.00'!$AW$4,'102 5.1.00'!$AW$3)</f>
        <v>0</v>
      </c>
      <c r="T9" s="4">
        <f>(VLOOKUP('102 5.1.00'!AA9,'102 5.1.00'!$AL$4:$AN$55,2,FALSE))*IF('102 5.1.00'!BC$4="是",'102 5.1.00'!$AW$4,'102 5.1.00'!$AW$3)</f>
        <v>0</v>
      </c>
      <c r="U9" s="4">
        <f>(VLOOKUP('102 5.1.00'!AB9,'102 5.1.00'!$AL$4:$AN$55,2,FALSE))*IF('102 5.1.00'!BD$4="是",'102 5.1.00'!$AW$4,'102 5.1.00'!$AW$3)</f>
        <v>0</v>
      </c>
      <c r="V9" s="4">
        <f>(VLOOKUP('102 5.1.00'!AC9,'102 5.1.00'!$AL$4:$AN$55,2,FALSE))*IF('102 5.1.00'!BE$4="是",'102 5.1.00'!$AW$4,'102 5.1.00'!$AW$3)</f>
        <v>0</v>
      </c>
      <c r="W9" s="5">
        <f>(VLOOKUP('102 5.1.00'!AD9,'102 5.1.00'!$AL$4:$AN$55,2,FALSE))*IF('102 5.1.00'!BF$4="是",'102 5.1.00'!$AW$4,'102 5.1.00'!$AW$3)</f>
        <v>0</v>
      </c>
      <c r="X9" s="5">
        <f>(VLOOKUP('102 5.1.00'!AE9,'102 5.1.00'!$AL$4:$AN$55,2,FALSE))*IF('102 5.1.00'!BG$4="是",'102 5.1.00'!$AW$4,'102 5.1.00'!$AW$3)</f>
        <v>0</v>
      </c>
    </row>
    <row r="10" spans="1:24">
      <c r="A10" s="4">
        <f>(VLOOKUP('102 5.1.00'!H10,'102 5.1.00'!$AL$4:$AN$55,2,FALSE))*IF('102 5.1.00'!AJ$4="是",'102 5.1.00'!$AW$4,'102 5.1.00'!$AW$3)</f>
        <v>0</v>
      </c>
      <c r="B10" s="4">
        <f>(VLOOKUP('102 5.1.00'!I10,'102 5.1.00'!$AL$4:$AN$55,2,FALSE))*IF('102 5.1.00'!AK$4="是",'102 5.1.00'!$AW$4,'102 5.1.00'!$AW$3)</f>
        <v>0</v>
      </c>
      <c r="C10" s="4">
        <f>(VLOOKUP('102 5.1.00'!J10,'102 5.1.00'!$AL$4:$AN$55,2,FALSE))*IF('102 5.1.00'!AL$4="是",'102 5.1.00'!$AW$4,'102 5.1.00'!$AW$3)</f>
        <v>0</v>
      </c>
      <c r="D10" s="4">
        <f>(VLOOKUP('102 5.1.00'!K10,'102 5.1.00'!$AL$4:$AN$55,2,FALSE))*IF('102 5.1.00'!AM$4="是",'102 5.1.00'!$AW$4,'102 5.1.00'!$AW$3)</f>
        <v>0</v>
      </c>
      <c r="E10" s="4">
        <f>(VLOOKUP('102 5.1.00'!L10,'102 5.1.00'!$AL$4:$AN$55,2,FALSE))*IF('102 5.1.00'!AN$4="是",'102 5.1.00'!$AW$4,'102 5.1.00'!$AW$3)</f>
        <v>0</v>
      </c>
      <c r="F10" s="4">
        <f>(VLOOKUP('102 5.1.00'!M10,'102 5.1.00'!$AL$4:$AN$55,2,FALSE))*IF('102 5.1.00'!AO$4="是",'102 5.1.00'!$AW$4,'102 5.1.00'!$AW$3)</f>
        <v>0</v>
      </c>
      <c r="G10" s="5">
        <f>(VLOOKUP('102 5.1.00'!N10,'102 5.1.00'!$AL$4:$AN$55,2,FALSE))*IF('102 5.1.00'!AP$4="是",'102 5.1.00'!$AW$4,'102 5.1.00'!$AW$3)</f>
        <v>0</v>
      </c>
      <c r="H10" s="5">
        <f>(VLOOKUP('102 5.1.00'!O10,'102 5.1.00'!$AL$4:$AN$55,2,FALSE))*IF('102 5.1.00'!AQ$4="是",'102 5.1.00'!$AW$4,'102 5.1.00'!$AW$3)</f>
        <v>0</v>
      </c>
      <c r="I10" s="4">
        <f>(VLOOKUP('102 5.1.00'!P10,'102 5.1.00'!$AL$4:$AN$55,2,FALSE))*IF('102 5.1.00'!AR$4="是",'102 5.1.00'!$AW$4,'102 5.1.00'!$AW$3)</f>
        <v>0</v>
      </c>
      <c r="J10" s="4">
        <f>(VLOOKUP('102 5.1.00'!Q10,'102 5.1.00'!$AL$4:$AN$55,2,FALSE))*IF('102 5.1.00'!AS$4="是",'102 5.1.00'!$AW$4,'102 5.1.00'!$AW$3)</f>
        <v>0</v>
      </c>
      <c r="K10" s="4">
        <f>(VLOOKUP('102 5.1.00'!R10,'102 5.1.00'!$AL$4:$AN$55,2,FALSE))*IF('102 5.1.00'!AT$4="是",'102 5.1.00'!$AW$4,'102 5.1.00'!$AW$3)</f>
        <v>0</v>
      </c>
      <c r="L10" s="4">
        <f>(VLOOKUP('102 5.1.00'!S10,'102 5.1.00'!$AL$4:$AN$55,2,FALSE))*IF('102 5.1.00'!AU$4="是",'102 5.1.00'!$AW$4,'102 5.1.00'!$AW$3)</f>
        <v>0</v>
      </c>
      <c r="M10" s="4">
        <f>(VLOOKUP('102 5.1.00'!T10,'102 5.1.00'!$AL$4:$AN$55,2,FALSE))*IF('102 5.1.00'!AV$4="是",'102 5.1.00'!$AW$4,'102 5.1.00'!$AW$3)</f>
        <v>0</v>
      </c>
      <c r="N10" s="4">
        <f>(VLOOKUP('102 5.1.00'!U10,'102 5.1.00'!$AL$4:$AN$55,2,FALSE))*IF('102 5.1.00'!AW$4="是",'102 5.1.00'!$AW$4,'102 5.1.00'!$AW$3)</f>
        <v>0</v>
      </c>
      <c r="O10" s="5">
        <f>(VLOOKUP('102 5.1.00'!V10,'102 5.1.00'!$AL$4:$AN$55,2,FALSE))*IF('102 5.1.00'!AX$4="是",'102 5.1.00'!$AW$4,'102 5.1.00'!$AW$3)</f>
        <v>0</v>
      </c>
      <c r="P10" s="5">
        <f>(VLOOKUP('102 5.1.00'!W10,'102 5.1.00'!$AL$4:$AN$55,2,FALSE))*IF('102 5.1.00'!AY$4="是",'102 5.1.00'!$AW$4,'102 5.1.00'!$AW$3)</f>
        <v>0</v>
      </c>
      <c r="Q10" s="4">
        <f>(VLOOKUP('102 5.1.00'!X10,'102 5.1.00'!$AL$4:$AN$55,2,FALSE))*IF('102 5.1.00'!AZ$4="是",'102 5.1.00'!$AW$4,'102 5.1.00'!$AW$3)</f>
        <v>0</v>
      </c>
      <c r="R10" s="4">
        <f>(VLOOKUP('102 5.1.00'!Y10,'102 5.1.00'!$AL$4:$AN$55,2,FALSE))*IF('102 5.1.00'!BA$4="是",'102 5.1.00'!$AW$4,'102 5.1.00'!$AW$3)</f>
        <v>0</v>
      </c>
      <c r="S10" s="4">
        <f>(VLOOKUP('102 5.1.00'!Z10,'102 5.1.00'!$AL$4:$AN$55,2,FALSE))*IF('102 5.1.00'!BB$4="是",'102 5.1.00'!$AW$4,'102 5.1.00'!$AW$3)</f>
        <v>0</v>
      </c>
      <c r="T10" s="4">
        <f>(VLOOKUP('102 5.1.00'!AA10,'102 5.1.00'!$AL$4:$AN$55,2,FALSE))*IF('102 5.1.00'!BC$4="是",'102 5.1.00'!$AW$4,'102 5.1.00'!$AW$3)</f>
        <v>0</v>
      </c>
      <c r="U10" s="4">
        <f>(VLOOKUP('102 5.1.00'!AB10,'102 5.1.00'!$AL$4:$AN$55,2,FALSE))*IF('102 5.1.00'!BD$4="是",'102 5.1.00'!$AW$4,'102 5.1.00'!$AW$3)</f>
        <v>0</v>
      </c>
      <c r="V10" s="4">
        <f>(VLOOKUP('102 5.1.00'!AC10,'102 5.1.00'!$AL$4:$AN$55,2,FALSE))*IF('102 5.1.00'!BE$4="是",'102 5.1.00'!$AW$4,'102 5.1.00'!$AW$3)</f>
        <v>0</v>
      </c>
      <c r="W10" s="5">
        <f>(VLOOKUP('102 5.1.00'!AD10,'102 5.1.00'!$AL$4:$AN$55,2,FALSE))*IF('102 5.1.00'!BF$4="是",'102 5.1.00'!$AW$4,'102 5.1.00'!$AW$3)</f>
        <v>0</v>
      </c>
      <c r="X10" s="5">
        <f>(VLOOKUP('102 5.1.00'!AE10,'102 5.1.00'!$AL$4:$AN$55,2,FALSE))*IF('102 5.1.00'!BG$4="是",'102 5.1.00'!$AW$4,'102 5.1.00'!$AW$3)</f>
        <v>0</v>
      </c>
    </row>
    <row r="11" spans="1:24">
      <c r="A11" s="4">
        <f>(VLOOKUP('102 5.1.00'!H11,'102 5.1.00'!$AL$4:$AN$55,2,FALSE))*IF('102 5.1.00'!AJ$4="是",'102 5.1.00'!$AW$4,'102 5.1.00'!$AW$3)</f>
        <v>0</v>
      </c>
      <c r="B11" s="4">
        <f>(VLOOKUP('102 5.1.00'!I11,'102 5.1.00'!$AL$4:$AN$55,2,FALSE))*IF('102 5.1.00'!AK$4="是",'102 5.1.00'!$AW$4,'102 5.1.00'!$AW$3)</f>
        <v>0</v>
      </c>
      <c r="C11" s="4">
        <f>(VLOOKUP('102 5.1.00'!J11,'102 5.1.00'!$AL$4:$AN$55,2,FALSE))*IF('102 5.1.00'!AL$4="是",'102 5.1.00'!$AW$4,'102 5.1.00'!$AW$3)</f>
        <v>0</v>
      </c>
      <c r="D11" s="4">
        <f>(VLOOKUP('102 5.1.00'!K11,'102 5.1.00'!$AL$4:$AN$55,2,FALSE))*IF('102 5.1.00'!AM$4="是",'102 5.1.00'!$AW$4,'102 5.1.00'!$AW$3)</f>
        <v>0</v>
      </c>
      <c r="E11" s="4">
        <f>(VLOOKUP('102 5.1.00'!L11,'102 5.1.00'!$AL$4:$AN$55,2,FALSE))*IF('102 5.1.00'!AN$4="是",'102 5.1.00'!$AW$4,'102 5.1.00'!$AW$3)</f>
        <v>0</v>
      </c>
      <c r="F11" s="4">
        <f>(VLOOKUP('102 5.1.00'!M11,'102 5.1.00'!$AL$4:$AN$55,2,FALSE))*IF('102 5.1.00'!AO$4="是",'102 5.1.00'!$AW$4,'102 5.1.00'!$AW$3)</f>
        <v>0</v>
      </c>
      <c r="G11" s="5">
        <f>(VLOOKUP('102 5.1.00'!N11,'102 5.1.00'!$AL$4:$AN$55,2,FALSE))*IF('102 5.1.00'!AP$4="是",'102 5.1.00'!$AW$4,'102 5.1.00'!$AW$3)</f>
        <v>0</v>
      </c>
      <c r="H11" s="5">
        <f>(VLOOKUP('102 5.1.00'!O11,'102 5.1.00'!$AL$4:$AN$55,2,FALSE))*IF('102 5.1.00'!AQ$4="是",'102 5.1.00'!$AW$4,'102 5.1.00'!$AW$3)</f>
        <v>0</v>
      </c>
      <c r="I11" s="4">
        <f>(VLOOKUP('102 5.1.00'!P11,'102 5.1.00'!$AL$4:$AN$55,2,FALSE))*IF('102 5.1.00'!AR$4="是",'102 5.1.00'!$AW$4,'102 5.1.00'!$AW$3)</f>
        <v>0</v>
      </c>
      <c r="J11" s="4">
        <f>(VLOOKUP('102 5.1.00'!Q11,'102 5.1.00'!$AL$4:$AN$55,2,FALSE))*IF('102 5.1.00'!AS$4="是",'102 5.1.00'!$AW$4,'102 5.1.00'!$AW$3)</f>
        <v>0</v>
      </c>
      <c r="K11" s="4">
        <f>(VLOOKUP('102 5.1.00'!R11,'102 5.1.00'!$AL$4:$AN$55,2,FALSE))*IF('102 5.1.00'!AT$4="是",'102 5.1.00'!$AW$4,'102 5.1.00'!$AW$3)</f>
        <v>0</v>
      </c>
      <c r="L11" s="4">
        <f>(VLOOKUP('102 5.1.00'!S11,'102 5.1.00'!$AL$4:$AN$55,2,FALSE))*IF('102 5.1.00'!AU$4="是",'102 5.1.00'!$AW$4,'102 5.1.00'!$AW$3)</f>
        <v>0</v>
      </c>
      <c r="M11" s="4">
        <f>(VLOOKUP('102 5.1.00'!T11,'102 5.1.00'!$AL$4:$AN$55,2,FALSE))*IF('102 5.1.00'!AV$4="是",'102 5.1.00'!$AW$4,'102 5.1.00'!$AW$3)</f>
        <v>0</v>
      </c>
      <c r="N11" s="4">
        <f>(VLOOKUP('102 5.1.00'!U11,'102 5.1.00'!$AL$4:$AN$55,2,FALSE))*IF('102 5.1.00'!AW$4="是",'102 5.1.00'!$AW$4,'102 5.1.00'!$AW$3)</f>
        <v>0</v>
      </c>
      <c r="O11" s="5">
        <f>(VLOOKUP('102 5.1.00'!V11,'102 5.1.00'!$AL$4:$AN$55,2,FALSE))*IF('102 5.1.00'!AX$4="是",'102 5.1.00'!$AW$4,'102 5.1.00'!$AW$3)</f>
        <v>0</v>
      </c>
      <c r="P11" s="5">
        <f>(VLOOKUP('102 5.1.00'!W11,'102 5.1.00'!$AL$4:$AN$55,2,FALSE))*IF('102 5.1.00'!AY$4="是",'102 5.1.00'!$AW$4,'102 5.1.00'!$AW$3)</f>
        <v>0</v>
      </c>
      <c r="Q11" s="4">
        <f>(VLOOKUP('102 5.1.00'!X11,'102 5.1.00'!$AL$4:$AN$55,2,FALSE))*IF('102 5.1.00'!AZ$4="是",'102 5.1.00'!$AW$4,'102 5.1.00'!$AW$3)</f>
        <v>0</v>
      </c>
      <c r="R11" s="4">
        <f>(VLOOKUP('102 5.1.00'!Y11,'102 5.1.00'!$AL$4:$AN$55,2,FALSE))*IF('102 5.1.00'!BA$4="是",'102 5.1.00'!$AW$4,'102 5.1.00'!$AW$3)</f>
        <v>0</v>
      </c>
      <c r="S11" s="4">
        <f>(VLOOKUP('102 5.1.00'!Z11,'102 5.1.00'!$AL$4:$AN$55,2,FALSE))*IF('102 5.1.00'!BB$4="是",'102 5.1.00'!$AW$4,'102 5.1.00'!$AW$3)</f>
        <v>0</v>
      </c>
      <c r="T11" s="4">
        <f>(VLOOKUP('102 5.1.00'!AA11,'102 5.1.00'!$AL$4:$AN$55,2,FALSE))*IF('102 5.1.00'!BC$4="是",'102 5.1.00'!$AW$4,'102 5.1.00'!$AW$3)</f>
        <v>0</v>
      </c>
      <c r="U11" s="4">
        <f>(VLOOKUP('102 5.1.00'!AB11,'102 5.1.00'!$AL$4:$AN$55,2,FALSE))*IF('102 5.1.00'!BD$4="是",'102 5.1.00'!$AW$4,'102 5.1.00'!$AW$3)</f>
        <v>0</v>
      </c>
      <c r="V11" s="4">
        <f>(VLOOKUP('102 5.1.00'!AC11,'102 5.1.00'!$AL$4:$AN$55,2,FALSE))*IF('102 5.1.00'!BE$4="是",'102 5.1.00'!$AW$4,'102 5.1.00'!$AW$3)</f>
        <v>0</v>
      </c>
      <c r="W11" s="5">
        <f>(VLOOKUP('102 5.1.00'!AD11,'102 5.1.00'!$AL$4:$AN$55,2,FALSE))*IF('102 5.1.00'!BF$4="是",'102 5.1.00'!$AW$4,'102 5.1.00'!$AW$3)</f>
        <v>0</v>
      </c>
      <c r="X11" s="5">
        <f>(VLOOKUP('102 5.1.00'!AE11,'102 5.1.00'!$AL$4:$AN$55,2,FALSE))*IF('102 5.1.00'!BG$4="是",'102 5.1.00'!$AW$4,'102 5.1.00'!$AW$3)</f>
        <v>0</v>
      </c>
    </row>
    <row r="12" spans="1:24">
      <c r="A12" s="4">
        <f>(VLOOKUP('102 5.1.00'!H12,'102 5.1.00'!$AL$4:$AN$55,2,FALSE))*IF('102 5.1.00'!AJ$4="是",'102 5.1.00'!$AW$4,'102 5.1.00'!$AW$3)</f>
        <v>0</v>
      </c>
      <c r="B12" s="4">
        <f>(VLOOKUP('102 5.1.00'!I12,'102 5.1.00'!$AL$4:$AN$55,2,FALSE))*IF('102 5.1.00'!AK$4="是",'102 5.1.00'!$AW$4,'102 5.1.00'!$AW$3)</f>
        <v>0</v>
      </c>
      <c r="C12" s="4">
        <f>(VLOOKUP('102 5.1.00'!J12,'102 5.1.00'!$AL$4:$AN$55,2,FALSE))*IF('102 5.1.00'!AL$4="是",'102 5.1.00'!$AW$4,'102 5.1.00'!$AW$3)</f>
        <v>0</v>
      </c>
      <c r="D12" s="4">
        <f>(VLOOKUP('102 5.1.00'!K12,'102 5.1.00'!$AL$4:$AN$55,2,FALSE))*IF('102 5.1.00'!AM$4="是",'102 5.1.00'!$AW$4,'102 5.1.00'!$AW$3)</f>
        <v>0</v>
      </c>
      <c r="E12" s="4">
        <f>(VLOOKUP('102 5.1.00'!L12,'102 5.1.00'!$AL$4:$AN$55,2,FALSE))*IF('102 5.1.00'!AN$4="是",'102 5.1.00'!$AW$4,'102 5.1.00'!$AW$3)</f>
        <v>0</v>
      </c>
      <c r="F12" s="4">
        <f>(VLOOKUP('102 5.1.00'!M12,'102 5.1.00'!$AL$4:$AN$55,2,FALSE))*IF('102 5.1.00'!AO$4="是",'102 5.1.00'!$AW$4,'102 5.1.00'!$AW$3)</f>
        <v>0</v>
      </c>
      <c r="G12" s="5">
        <f>(VLOOKUP('102 5.1.00'!N12,'102 5.1.00'!$AL$4:$AN$55,2,FALSE))*IF('102 5.1.00'!AP$4="是",'102 5.1.00'!$AW$4,'102 5.1.00'!$AW$3)</f>
        <v>0</v>
      </c>
      <c r="H12" s="5">
        <f>(VLOOKUP('102 5.1.00'!O12,'102 5.1.00'!$AL$4:$AN$55,2,FALSE))*IF('102 5.1.00'!AQ$4="是",'102 5.1.00'!$AW$4,'102 5.1.00'!$AW$3)</f>
        <v>0</v>
      </c>
      <c r="I12" s="4">
        <f>(VLOOKUP('102 5.1.00'!P12,'102 5.1.00'!$AL$4:$AN$55,2,FALSE))*IF('102 5.1.00'!AR$4="是",'102 5.1.00'!$AW$4,'102 5.1.00'!$AW$3)</f>
        <v>0</v>
      </c>
      <c r="J12" s="4">
        <f>(VLOOKUP('102 5.1.00'!Q12,'102 5.1.00'!$AL$4:$AN$55,2,FALSE))*IF('102 5.1.00'!AS$4="是",'102 5.1.00'!$AW$4,'102 5.1.00'!$AW$3)</f>
        <v>0</v>
      </c>
      <c r="K12" s="4">
        <f>(VLOOKUP('102 5.1.00'!R12,'102 5.1.00'!$AL$4:$AN$55,2,FALSE))*IF('102 5.1.00'!AT$4="是",'102 5.1.00'!$AW$4,'102 5.1.00'!$AW$3)</f>
        <v>0</v>
      </c>
      <c r="L12" s="4">
        <f>(VLOOKUP('102 5.1.00'!S12,'102 5.1.00'!$AL$4:$AN$55,2,FALSE))*IF('102 5.1.00'!AU$4="是",'102 5.1.00'!$AW$4,'102 5.1.00'!$AW$3)</f>
        <v>0</v>
      </c>
      <c r="M12" s="4">
        <f>(VLOOKUP('102 5.1.00'!T12,'102 5.1.00'!$AL$4:$AN$55,2,FALSE))*IF('102 5.1.00'!AV$4="是",'102 5.1.00'!$AW$4,'102 5.1.00'!$AW$3)</f>
        <v>0</v>
      </c>
      <c r="N12" s="4">
        <f>(VLOOKUP('102 5.1.00'!U12,'102 5.1.00'!$AL$4:$AN$55,2,FALSE))*IF('102 5.1.00'!AW$4="是",'102 5.1.00'!$AW$4,'102 5.1.00'!$AW$3)</f>
        <v>0</v>
      </c>
      <c r="O12" s="5">
        <f>(VLOOKUP('102 5.1.00'!V12,'102 5.1.00'!$AL$4:$AN$55,2,FALSE))*IF('102 5.1.00'!AX$4="是",'102 5.1.00'!$AW$4,'102 5.1.00'!$AW$3)</f>
        <v>0</v>
      </c>
      <c r="P12" s="5">
        <f>(VLOOKUP('102 5.1.00'!W12,'102 5.1.00'!$AL$4:$AN$55,2,FALSE))*IF('102 5.1.00'!AY$4="是",'102 5.1.00'!$AW$4,'102 5.1.00'!$AW$3)</f>
        <v>0</v>
      </c>
      <c r="Q12" s="4">
        <f>(VLOOKUP('102 5.1.00'!X12,'102 5.1.00'!$AL$4:$AN$55,2,FALSE))*IF('102 5.1.00'!AZ$4="是",'102 5.1.00'!$AW$4,'102 5.1.00'!$AW$3)</f>
        <v>0</v>
      </c>
      <c r="R12" s="4">
        <f>(VLOOKUP('102 5.1.00'!Y12,'102 5.1.00'!$AL$4:$AN$55,2,FALSE))*IF('102 5.1.00'!BA$4="是",'102 5.1.00'!$AW$4,'102 5.1.00'!$AW$3)</f>
        <v>0</v>
      </c>
      <c r="S12" s="4">
        <f>(VLOOKUP('102 5.1.00'!Z12,'102 5.1.00'!$AL$4:$AN$55,2,FALSE))*IF('102 5.1.00'!BB$4="是",'102 5.1.00'!$AW$4,'102 5.1.00'!$AW$3)</f>
        <v>0</v>
      </c>
      <c r="T12" s="4">
        <f>(VLOOKUP('102 5.1.00'!AA12,'102 5.1.00'!$AL$4:$AN$55,2,FALSE))*IF('102 5.1.00'!BC$4="是",'102 5.1.00'!$AW$4,'102 5.1.00'!$AW$3)</f>
        <v>0</v>
      </c>
      <c r="U12" s="4">
        <f>(VLOOKUP('102 5.1.00'!AB12,'102 5.1.00'!$AL$4:$AN$55,2,FALSE))*IF('102 5.1.00'!BD$4="是",'102 5.1.00'!$AW$4,'102 5.1.00'!$AW$3)</f>
        <v>0</v>
      </c>
      <c r="V12" s="4">
        <f>(VLOOKUP('102 5.1.00'!AC12,'102 5.1.00'!$AL$4:$AN$55,2,FALSE))*IF('102 5.1.00'!BE$4="是",'102 5.1.00'!$AW$4,'102 5.1.00'!$AW$3)</f>
        <v>0</v>
      </c>
      <c r="W12" s="5">
        <f>(VLOOKUP('102 5.1.00'!AD12,'102 5.1.00'!$AL$4:$AN$55,2,FALSE))*IF('102 5.1.00'!BF$4="是",'102 5.1.00'!$AW$4,'102 5.1.00'!$AW$3)</f>
        <v>0</v>
      </c>
      <c r="X12" s="5">
        <f>(VLOOKUP('102 5.1.00'!AE12,'102 5.1.00'!$AL$4:$AN$55,2,FALSE))*IF('102 5.1.00'!BG$4="是",'102 5.1.00'!$AW$4,'102 5.1.00'!$AW$3)</f>
        <v>0</v>
      </c>
    </row>
    <row r="13" spans="1:24">
      <c r="A13" s="4">
        <f>(VLOOKUP('102 5.1.00'!H13,'102 5.1.00'!$AL$4:$AN$55,2,FALSE))*IF('102 5.1.00'!AJ$4="是",'102 5.1.00'!$AW$4,'102 5.1.00'!$AW$3)</f>
        <v>0</v>
      </c>
      <c r="B13" s="4">
        <f>(VLOOKUP('102 5.1.00'!I13,'102 5.1.00'!$AL$4:$AN$55,2,FALSE))*IF('102 5.1.00'!AK$4="是",'102 5.1.00'!$AW$4,'102 5.1.00'!$AW$3)</f>
        <v>0</v>
      </c>
      <c r="C13" s="4">
        <f>(VLOOKUP('102 5.1.00'!J13,'102 5.1.00'!$AL$4:$AN$55,2,FALSE))*IF('102 5.1.00'!AL$4="是",'102 5.1.00'!$AW$4,'102 5.1.00'!$AW$3)</f>
        <v>0</v>
      </c>
      <c r="D13" s="4">
        <f>(VLOOKUP('102 5.1.00'!K13,'102 5.1.00'!$AL$4:$AN$55,2,FALSE))*IF('102 5.1.00'!AM$4="是",'102 5.1.00'!$AW$4,'102 5.1.00'!$AW$3)</f>
        <v>0</v>
      </c>
      <c r="E13" s="4">
        <f>(VLOOKUP('102 5.1.00'!L13,'102 5.1.00'!$AL$4:$AN$55,2,FALSE))*IF('102 5.1.00'!AN$4="是",'102 5.1.00'!$AW$4,'102 5.1.00'!$AW$3)</f>
        <v>0</v>
      </c>
      <c r="F13" s="4">
        <f>(VLOOKUP('102 5.1.00'!M13,'102 5.1.00'!$AL$4:$AN$55,2,FALSE))*IF('102 5.1.00'!AO$4="是",'102 5.1.00'!$AW$4,'102 5.1.00'!$AW$3)</f>
        <v>0</v>
      </c>
      <c r="G13" s="5">
        <f>(VLOOKUP('102 5.1.00'!N13,'102 5.1.00'!$AL$4:$AN$55,2,FALSE))*IF('102 5.1.00'!AP$4="是",'102 5.1.00'!$AW$4,'102 5.1.00'!$AW$3)</f>
        <v>0</v>
      </c>
      <c r="H13" s="5">
        <f>(VLOOKUP('102 5.1.00'!O13,'102 5.1.00'!$AL$4:$AN$55,2,FALSE))*IF('102 5.1.00'!AQ$4="是",'102 5.1.00'!$AW$4,'102 5.1.00'!$AW$3)</f>
        <v>0</v>
      </c>
      <c r="I13" s="4">
        <f>(VLOOKUP('102 5.1.00'!P13,'102 5.1.00'!$AL$4:$AN$55,2,FALSE))*IF('102 5.1.00'!AR$4="是",'102 5.1.00'!$AW$4,'102 5.1.00'!$AW$3)</f>
        <v>0</v>
      </c>
      <c r="J13" s="4">
        <f>(VLOOKUP('102 5.1.00'!Q13,'102 5.1.00'!$AL$4:$AN$55,2,FALSE))*IF('102 5.1.00'!AS$4="是",'102 5.1.00'!$AW$4,'102 5.1.00'!$AW$3)</f>
        <v>0</v>
      </c>
      <c r="K13" s="4">
        <f>(VLOOKUP('102 5.1.00'!R13,'102 5.1.00'!$AL$4:$AN$55,2,FALSE))*IF('102 5.1.00'!AT$4="是",'102 5.1.00'!$AW$4,'102 5.1.00'!$AW$3)</f>
        <v>0</v>
      </c>
      <c r="L13" s="4">
        <f>(VLOOKUP('102 5.1.00'!S13,'102 5.1.00'!$AL$4:$AN$55,2,FALSE))*IF('102 5.1.00'!AU$4="是",'102 5.1.00'!$AW$4,'102 5.1.00'!$AW$3)</f>
        <v>0</v>
      </c>
      <c r="M13" s="4">
        <f>(VLOOKUP('102 5.1.00'!T13,'102 5.1.00'!$AL$4:$AN$55,2,FALSE))*IF('102 5.1.00'!AV$4="是",'102 5.1.00'!$AW$4,'102 5.1.00'!$AW$3)</f>
        <v>0</v>
      </c>
      <c r="N13" s="4">
        <f>(VLOOKUP('102 5.1.00'!U13,'102 5.1.00'!$AL$4:$AN$55,2,FALSE))*IF('102 5.1.00'!AW$4="是",'102 5.1.00'!$AW$4,'102 5.1.00'!$AW$3)</f>
        <v>0</v>
      </c>
      <c r="O13" s="5">
        <f>(VLOOKUP('102 5.1.00'!V13,'102 5.1.00'!$AL$4:$AN$55,2,FALSE))*IF('102 5.1.00'!AX$4="是",'102 5.1.00'!$AW$4,'102 5.1.00'!$AW$3)</f>
        <v>0</v>
      </c>
      <c r="P13" s="5">
        <f>(VLOOKUP('102 5.1.00'!W13,'102 5.1.00'!$AL$4:$AN$55,2,FALSE))*IF('102 5.1.00'!AY$4="是",'102 5.1.00'!$AW$4,'102 5.1.00'!$AW$3)</f>
        <v>0</v>
      </c>
      <c r="Q13" s="4">
        <f>(VLOOKUP('102 5.1.00'!X13,'102 5.1.00'!$AL$4:$AN$55,2,FALSE))*IF('102 5.1.00'!AZ$4="是",'102 5.1.00'!$AW$4,'102 5.1.00'!$AW$3)</f>
        <v>0</v>
      </c>
      <c r="R13" s="4">
        <f>(VLOOKUP('102 5.1.00'!Y13,'102 5.1.00'!$AL$4:$AN$55,2,FALSE))*IF('102 5.1.00'!BA$4="是",'102 5.1.00'!$AW$4,'102 5.1.00'!$AW$3)</f>
        <v>0</v>
      </c>
      <c r="S13" s="4">
        <f>(VLOOKUP('102 5.1.00'!Z13,'102 5.1.00'!$AL$4:$AN$55,2,FALSE))*IF('102 5.1.00'!BB$4="是",'102 5.1.00'!$AW$4,'102 5.1.00'!$AW$3)</f>
        <v>0</v>
      </c>
      <c r="T13" s="4">
        <f>(VLOOKUP('102 5.1.00'!AA13,'102 5.1.00'!$AL$4:$AN$55,2,FALSE))*IF('102 5.1.00'!BC$4="是",'102 5.1.00'!$AW$4,'102 5.1.00'!$AW$3)</f>
        <v>0</v>
      </c>
      <c r="U13" s="4">
        <f>(VLOOKUP('102 5.1.00'!AB13,'102 5.1.00'!$AL$4:$AN$55,2,FALSE))*IF('102 5.1.00'!BD$4="是",'102 5.1.00'!$AW$4,'102 5.1.00'!$AW$3)</f>
        <v>0</v>
      </c>
      <c r="V13" s="4">
        <f>(VLOOKUP('102 5.1.00'!AC13,'102 5.1.00'!$AL$4:$AN$55,2,FALSE))*IF('102 5.1.00'!BE$4="是",'102 5.1.00'!$AW$4,'102 5.1.00'!$AW$3)</f>
        <v>0</v>
      </c>
      <c r="W13" s="5">
        <f>(VLOOKUP('102 5.1.00'!AD13,'102 5.1.00'!$AL$4:$AN$55,2,FALSE))*IF('102 5.1.00'!BF$4="是",'102 5.1.00'!$AW$4,'102 5.1.00'!$AW$3)</f>
        <v>0</v>
      </c>
      <c r="X13" s="5">
        <f>(VLOOKUP('102 5.1.00'!AE13,'102 5.1.00'!$AL$4:$AN$55,2,FALSE))*IF('102 5.1.00'!BG$4="是",'102 5.1.00'!$AW$4,'102 5.1.00'!$AW$3)</f>
        <v>0</v>
      </c>
    </row>
    <row r="14" spans="1:24">
      <c r="A14" s="4">
        <f>(VLOOKUP('102 5.1.00'!H14,'102 5.1.00'!$AL$4:$AN$55,2,FALSE))*IF('102 5.1.00'!AJ$4="是",'102 5.1.00'!$AW$4,'102 5.1.00'!$AW$3)</f>
        <v>0</v>
      </c>
      <c r="B14" s="4">
        <f>(VLOOKUP('102 5.1.00'!I14,'102 5.1.00'!$AL$4:$AN$55,2,FALSE))*IF('102 5.1.00'!AK$4="是",'102 5.1.00'!$AW$4,'102 5.1.00'!$AW$3)</f>
        <v>0</v>
      </c>
      <c r="C14" s="4">
        <f>(VLOOKUP('102 5.1.00'!J14,'102 5.1.00'!$AL$4:$AN$55,2,FALSE))*IF('102 5.1.00'!AL$4="是",'102 5.1.00'!$AW$4,'102 5.1.00'!$AW$3)</f>
        <v>0</v>
      </c>
      <c r="D14" s="4">
        <f>(VLOOKUP('102 5.1.00'!K14,'102 5.1.00'!$AL$4:$AN$55,2,FALSE))*IF('102 5.1.00'!AM$4="是",'102 5.1.00'!$AW$4,'102 5.1.00'!$AW$3)</f>
        <v>0</v>
      </c>
      <c r="E14" s="4">
        <f>(VLOOKUP('102 5.1.00'!L14,'102 5.1.00'!$AL$4:$AN$55,2,FALSE))*IF('102 5.1.00'!AN$4="是",'102 5.1.00'!$AW$4,'102 5.1.00'!$AW$3)</f>
        <v>0</v>
      </c>
      <c r="F14" s="4">
        <f>(VLOOKUP('102 5.1.00'!M14,'102 5.1.00'!$AL$4:$AN$55,2,FALSE))*IF('102 5.1.00'!AO$4="是",'102 5.1.00'!$AW$4,'102 5.1.00'!$AW$3)</f>
        <v>0</v>
      </c>
      <c r="G14" s="5">
        <f>(VLOOKUP('102 5.1.00'!N14,'102 5.1.00'!$AL$4:$AN$55,2,FALSE))*IF('102 5.1.00'!AP$4="是",'102 5.1.00'!$AW$4,'102 5.1.00'!$AW$3)</f>
        <v>0</v>
      </c>
      <c r="H14" s="5">
        <f>(VLOOKUP('102 5.1.00'!O14,'102 5.1.00'!$AL$4:$AN$55,2,FALSE))*IF('102 5.1.00'!AQ$4="是",'102 5.1.00'!$AW$4,'102 5.1.00'!$AW$3)</f>
        <v>0</v>
      </c>
      <c r="I14" s="4">
        <f>(VLOOKUP('102 5.1.00'!P14,'102 5.1.00'!$AL$4:$AN$55,2,FALSE))*IF('102 5.1.00'!AR$4="是",'102 5.1.00'!$AW$4,'102 5.1.00'!$AW$3)</f>
        <v>0</v>
      </c>
      <c r="J14" s="4">
        <f>(VLOOKUP('102 5.1.00'!Q14,'102 5.1.00'!$AL$4:$AN$55,2,FALSE))*IF('102 5.1.00'!AS$4="是",'102 5.1.00'!$AW$4,'102 5.1.00'!$AW$3)</f>
        <v>0</v>
      </c>
      <c r="K14" s="4">
        <f>(VLOOKUP('102 5.1.00'!R14,'102 5.1.00'!$AL$4:$AN$55,2,FALSE))*IF('102 5.1.00'!AT$4="是",'102 5.1.00'!$AW$4,'102 5.1.00'!$AW$3)</f>
        <v>0</v>
      </c>
      <c r="L14" s="4">
        <f>(VLOOKUP('102 5.1.00'!S14,'102 5.1.00'!$AL$4:$AN$55,2,FALSE))*IF('102 5.1.00'!AU$4="是",'102 5.1.00'!$AW$4,'102 5.1.00'!$AW$3)</f>
        <v>0</v>
      </c>
      <c r="M14" s="4">
        <f>(VLOOKUP('102 5.1.00'!T14,'102 5.1.00'!$AL$4:$AN$55,2,FALSE))*IF('102 5.1.00'!AV$4="是",'102 5.1.00'!$AW$4,'102 5.1.00'!$AW$3)</f>
        <v>0</v>
      </c>
      <c r="N14" s="4">
        <f>(VLOOKUP('102 5.1.00'!U14,'102 5.1.00'!$AL$4:$AN$55,2,FALSE))*IF('102 5.1.00'!AW$4="是",'102 5.1.00'!$AW$4,'102 5.1.00'!$AW$3)</f>
        <v>0</v>
      </c>
      <c r="O14" s="5">
        <f>(VLOOKUP('102 5.1.00'!V14,'102 5.1.00'!$AL$4:$AN$55,2,FALSE))*IF('102 5.1.00'!AX$4="是",'102 5.1.00'!$AW$4,'102 5.1.00'!$AW$3)</f>
        <v>0</v>
      </c>
      <c r="P14" s="5">
        <f>(VLOOKUP('102 5.1.00'!W14,'102 5.1.00'!$AL$4:$AN$55,2,FALSE))*IF('102 5.1.00'!AY$4="是",'102 5.1.00'!$AW$4,'102 5.1.00'!$AW$3)</f>
        <v>0</v>
      </c>
      <c r="Q14" s="4">
        <f>(VLOOKUP('102 5.1.00'!X14,'102 5.1.00'!$AL$4:$AN$55,2,FALSE))*IF('102 5.1.00'!AZ$4="是",'102 5.1.00'!$AW$4,'102 5.1.00'!$AW$3)</f>
        <v>0</v>
      </c>
      <c r="R14" s="4">
        <f>(VLOOKUP('102 5.1.00'!Y14,'102 5.1.00'!$AL$4:$AN$55,2,FALSE))*IF('102 5.1.00'!BA$4="是",'102 5.1.00'!$AW$4,'102 5.1.00'!$AW$3)</f>
        <v>0</v>
      </c>
      <c r="S14" s="4">
        <f>(VLOOKUP('102 5.1.00'!Z14,'102 5.1.00'!$AL$4:$AN$55,2,FALSE))*IF('102 5.1.00'!BB$4="是",'102 5.1.00'!$AW$4,'102 5.1.00'!$AW$3)</f>
        <v>0</v>
      </c>
      <c r="T14" s="4">
        <f>(VLOOKUP('102 5.1.00'!AA14,'102 5.1.00'!$AL$4:$AN$55,2,FALSE))*IF('102 5.1.00'!BC$4="是",'102 5.1.00'!$AW$4,'102 5.1.00'!$AW$3)</f>
        <v>0</v>
      </c>
      <c r="U14" s="4">
        <f>(VLOOKUP('102 5.1.00'!AB14,'102 5.1.00'!$AL$4:$AN$55,2,FALSE))*IF('102 5.1.00'!BD$4="是",'102 5.1.00'!$AW$4,'102 5.1.00'!$AW$3)</f>
        <v>0</v>
      </c>
      <c r="V14" s="4">
        <f>(VLOOKUP('102 5.1.00'!AC14,'102 5.1.00'!$AL$4:$AN$55,2,FALSE))*IF('102 5.1.00'!BE$4="是",'102 5.1.00'!$AW$4,'102 5.1.00'!$AW$3)</f>
        <v>0</v>
      </c>
      <c r="W14" s="5">
        <f>(VLOOKUP('102 5.1.00'!AD14,'102 5.1.00'!$AL$4:$AN$55,2,FALSE))*IF('102 5.1.00'!BF$4="是",'102 5.1.00'!$AW$4,'102 5.1.00'!$AW$3)</f>
        <v>0</v>
      </c>
      <c r="X14" s="5">
        <f>(VLOOKUP('102 5.1.00'!AE14,'102 5.1.00'!$AL$4:$AN$55,2,FALSE))*IF('102 5.1.00'!BG$4="是",'102 5.1.00'!$AW$4,'102 5.1.00'!$AW$3)</f>
        <v>0</v>
      </c>
    </row>
    <row r="15" spans="1:24">
      <c r="A15" s="4">
        <f>(VLOOKUP('102 5.1.00'!H15,'102 5.1.00'!$AL$4:$AN$55,2,FALSE))*IF('102 5.1.00'!AJ$4="是",'102 5.1.00'!$AW$4,'102 5.1.00'!$AW$3)</f>
        <v>0</v>
      </c>
      <c r="B15" s="4">
        <f>(VLOOKUP('102 5.1.00'!I15,'102 5.1.00'!$AL$4:$AN$55,2,FALSE))*IF('102 5.1.00'!AK$4="是",'102 5.1.00'!$AW$4,'102 5.1.00'!$AW$3)</f>
        <v>0</v>
      </c>
      <c r="C15" s="4">
        <f>(VLOOKUP('102 5.1.00'!J15,'102 5.1.00'!$AL$4:$AN$55,2,FALSE))*IF('102 5.1.00'!AL$4="是",'102 5.1.00'!$AW$4,'102 5.1.00'!$AW$3)</f>
        <v>0</v>
      </c>
      <c r="D15" s="4">
        <f>(VLOOKUP('102 5.1.00'!K15,'102 5.1.00'!$AL$4:$AN$55,2,FALSE))*IF('102 5.1.00'!AM$4="是",'102 5.1.00'!$AW$4,'102 5.1.00'!$AW$3)</f>
        <v>0</v>
      </c>
      <c r="E15" s="4">
        <f>(VLOOKUP('102 5.1.00'!L15,'102 5.1.00'!$AL$4:$AN$55,2,FALSE))*IF('102 5.1.00'!AN$4="是",'102 5.1.00'!$AW$4,'102 5.1.00'!$AW$3)</f>
        <v>0</v>
      </c>
      <c r="F15" s="4">
        <f>(VLOOKUP('102 5.1.00'!M15,'102 5.1.00'!$AL$4:$AN$55,2,FALSE))*IF('102 5.1.00'!AO$4="是",'102 5.1.00'!$AW$4,'102 5.1.00'!$AW$3)</f>
        <v>0</v>
      </c>
      <c r="G15" s="5">
        <f>(VLOOKUP('102 5.1.00'!N15,'102 5.1.00'!$AL$4:$AN$55,2,FALSE))*IF('102 5.1.00'!AP$4="是",'102 5.1.00'!$AW$4,'102 5.1.00'!$AW$3)</f>
        <v>0</v>
      </c>
      <c r="H15" s="5">
        <f>(VLOOKUP('102 5.1.00'!O15,'102 5.1.00'!$AL$4:$AN$55,2,FALSE))*IF('102 5.1.00'!AQ$4="是",'102 5.1.00'!$AW$4,'102 5.1.00'!$AW$3)</f>
        <v>0</v>
      </c>
      <c r="I15" s="4">
        <f>(VLOOKUP('102 5.1.00'!P15,'102 5.1.00'!$AL$4:$AN$55,2,FALSE))*IF('102 5.1.00'!AR$4="是",'102 5.1.00'!$AW$4,'102 5.1.00'!$AW$3)</f>
        <v>0</v>
      </c>
      <c r="J15" s="4">
        <f>(VLOOKUP('102 5.1.00'!Q15,'102 5.1.00'!$AL$4:$AN$55,2,FALSE))*IF('102 5.1.00'!AS$4="是",'102 5.1.00'!$AW$4,'102 5.1.00'!$AW$3)</f>
        <v>0</v>
      </c>
      <c r="K15" s="4">
        <f>(VLOOKUP('102 5.1.00'!R15,'102 5.1.00'!$AL$4:$AN$55,2,FALSE))*IF('102 5.1.00'!AT$4="是",'102 5.1.00'!$AW$4,'102 5.1.00'!$AW$3)</f>
        <v>0</v>
      </c>
      <c r="L15" s="4">
        <f>(VLOOKUP('102 5.1.00'!S15,'102 5.1.00'!$AL$4:$AN$55,2,FALSE))*IF('102 5.1.00'!AU$4="是",'102 5.1.00'!$AW$4,'102 5.1.00'!$AW$3)</f>
        <v>0</v>
      </c>
      <c r="M15" s="4">
        <f>(VLOOKUP('102 5.1.00'!T15,'102 5.1.00'!$AL$4:$AN$55,2,FALSE))*IF('102 5.1.00'!AV$4="是",'102 5.1.00'!$AW$4,'102 5.1.00'!$AW$3)</f>
        <v>0</v>
      </c>
      <c r="N15" s="4">
        <f>(VLOOKUP('102 5.1.00'!U15,'102 5.1.00'!$AL$4:$AN$55,2,FALSE))*IF('102 5.1.00'!AW$4="是",'102 5.1.00'!$AW$4,'102 5.1.00'!$AW$3)</f>
        <v>0</v>
      </c>
      <c r="O15" s="5">
        <f>(VLOOKUP('102 5.1.00'!V15,'102 5.1.00'!$AL$4:$AN$55,2,FALSE))*IF('102 5.1.00'!AX$4="是",'102 5.1.00'!$AW$4,'102 5.1.00'!$AW$3)</f>
        <v>0</v>
      </c>
      <c r="P15" s="5">
        <f>(VLOOKUP('102 5.1.00'!W15,'102 5.1.00'!$AL$4:$AN$55,2,FALSE))*IF('102 5.1.00'!AY$4="是",'102 5.1.00'!$AW$4,'102 5.1.00'!$AW$3)</f>
        <v>0</v>
      </c>
      <c r="Q15" s="4">
        <f>(VLOOKUP('102 5.1.00'!X15,'102 5.1.00'!$AL$4:$AN$55,2,FALSE))*IF('102 5.1.00'!AZ$4="是",'102 5.1.00'!$AW$4,'102 5.1.00'!$AW$3)</f>
        <v>0</v>
      </c>
      <c r="R15" s="4">
        <f>(VLOOKUP('102 5.1.00'!Y15,'102 5.1.00'!$AL$4:$AN$55,2,FALSE))*IF('102 5.1.00'!BA$4="是",'102 5.1.00'!$AW$4,'102 5.1.00'!$AW$3)</f>
        <v>0</v>
      </c>
      <c r="S15" s="4">
        <f>(VLOOKUP('102 5.1.00'!Z15,'102 5.1.00'!$AL$4:$AN$55,2,FALSE))*IF('102 5.1.00'!BB$4="是",'102 5.1.00'!$AW$4,'102 5.1.00'!$AW$3)</f>
        <v>0</v>
      </c>
      <c r="T15" s="4">
        <f>(VLOOKUP('102 5.1.00'!AA15,'102 5.1.00'!$AL$4:$AN$55,2,FALSE))*IF('102 5.1.00'!BC$4="是",'102 5.1.00'!$AW$4,'102 5.1.00'!$AW$3)</f>
        <v>0</v>
      </c>
      <c r="U15" s="4">
        <f>(VLOOKUP('102 5.1.00'!AB15,'102 5.1.00'!$AL$4:$AN$55,2,FALSE))*IF('102 5.1.00'!BD$4="是",'102 5.1.00'!$AW$4,'102 5.1.00'!$AW$3)</f>
        <v>0</v>
      </c>
      <c r="V15" s="4">
        <f>(VLOOKUP('102 5.1.00'!AC15,'102 5.1.00'!$AL$4:$AN$55,2,FALSE))*IF('102 5.1.00'!BE$4="是",'102 5.1.00'!$AW$4,'102 5.1.00'!$AW$3)</f>
        <v>0</v>
      </c>
      <c r="W15" s="5">
        <f>(VLOOKUP('102 5.1.00'!AD15,'102 5.1.00'!$AL$4:$AN$55,2,FALSE))*IF('102 5.1.00'!BF$4="是",'102 5.1.00'!$AW$4,'102 5.1.00'!$AW$3)</f>
        <v>0</v>
      </c>
      <c r="X15" s="5">
        <f>(VLOOKUP('102 5.1.00'!AE15,'102 5.1.00'!$AL$4:$AN$55,2,FALSE))*IF('102 5.1.00'!BG$4="是",'102 5.1.00'!$AW$4,'102 5.1.00'!$AW$3)</f>
        <v>0</v>
      </c>
    </row>
    <row r="16" spans="1:24">
      <c r="A16" s="4">
        <f>(VLOOKUP('102 5.1.00'!H16,'102 5.1.00'!$AL$4:$AN$55,2,FALSE))*IF('102 5.1.00'!AJ$4="是",'102 5.1.00'!$AW$4,'102 5.1.00'!$AW$3)</f>
        <v>0</v>
      </c>
      <c r="B16" s="4">
        <f>(VLOOKUP('102 5.1.00'!I16,'102 5.1.00'!$AL$4:$AN$55,2,FALSE))*IF('102 5.1.00'!AK$4="是",'102 5.1.00'!$AW$4,'102 5.1.00'!$AW$3)</f>
        <v>0</v>
      </c>
      <c r="C16" s="4">
        <f>(VLOOKUP('102 5.1.00'!J16,'102 5.1.00'!$AL$4:$AN$55,2,FALSE))*IF('102 5.1.00'!AL$4="是",'102 5.1.00'!$AW$4,'102 5.1.00'!$AW$3)</f>
        <v>0</v>
      </c>
      <c r="D16" s="4">
        <f>(VLOOKUP('102 5.1.00'!K16,'102 5.1.00'!$AL$4:$AN$55,2,FALSE))*IF('102 5.1.00'!AM$4="是",'102 5.1.00'!$AW$4,'102 5.1.00'!$AW$3)</f>
        <v>0</v>
      </c>
      <c r="E16" s="4">
        <f>(VLOOKUP('102 5.1.00'!L16,'102 5.1.00'!$AL$4:$AN$55,2,FALSE))*IF('102 5.1.00'!AN$4="是",'102 5.1.00'!$AW$4,'102 5.1.00'!$AW$3)</f>
        <v>0</v>
      </c>
      <c r="F16" s="4">
        <f>(VLOOKUP('102 5.1.00'!M16,'102 5.1.00'!$AL$4:$AN$55,2,FALSE))*IF('102 5.1.00'!AO$4="是",'102 5.1.00'!$AW$4,'102 5.1.00'!$AW$3)</f>
        <v>0</v>
      </c>
      <c r="G16" s="5">
        <f>(VLOOKUP('102 5.1.00'!N16,'102 5.1.00'!$AL$4:$AN$55,2,FALSE))*IF('102 5.1.00'!AP$4="是",'102 5.1.00'!$AW$4,'102 5.1.00'!$AW$3)</f>
        <v>0</v>
      </c>
      <c r="H16" s="5">
        <f>(VLOOKUP('102 5.1.00'!O16,'102 5.1.00'!$AL$4:$AN$55,2,FALSE))*IF('102 5.1.00'!AQ$4="是",'102 5.1.00'!$AW$4,'102 5.1.00'!$AW$3)</f>
        <v>0</v>
      </c>
      <c r="I16" s="4">
        <f>(VLOOKUP('102 5.1.00'!P16,'102 5.1.00'!$AL$4:$AN$55,2,FALSE))*IF('102 5.1.00'!AR$4="是",'102 5.1.00'!$AW$4,'102 5.1.00'!$AW$3)</f>
        <v>0</v>
      </c>
      <c r="J16" s="4">
        <f>(VLOOKUP('102 5.1.00'!Q16,'102 5.1.00'!$AL$4:$AN$55,2,FALSE))*IF('102 5.1.00'!AS$4="是",'102 5.1.00'!$AW$4,'102 5.1.00'!$AW$3)</f>
        <v>0</v>
      </c>
      <c r="K16" s="4">
        <f>(VLOOKUP('102 5.1.00'!R16,'102 5.1.00'!$AL$4:$AN$55,2,FALSE))*IF('102 5.1.00'!AT$4="是",'102 5.1.00'!$AW$4,'102 5.1.00'!$AW$3)</f>
        <v>0</v>
      </c>
      <c r="L16" s="4">
        <f>(VLOOKUP('102 5.1.00'!S16,'102 5.1.00'!$AL$4:$AN$55,2,FALSE))*IF('102 5.1.00'!AU$4="是",'102 5.1.00'!$AW$4,'102 5.1.00'!$AW$3)</f>
        <v>0</v>
      </c>
      <c r="M16" s="4">
        <f>(VLOOKUP('102 5.1.00'!T16,'102 5.1.00'!$AL$4:$AN$55,2,FALSE))*IF('102 5.1.00'!AV$4="是",'102 5.1.00'!$AW$4,'102 5.1.00'!$AW$3)</f>
        <v>0</v>
      </c>
      <c r="N16" s="4">
        <f>(VLOOKUP('102 5.1.00'!U16,'102 5.1.00'!$AL$4:$AN$55,2,FALSE))*IF('102 5.1.00'!AW$4="是",'102 5.1.00'!$AW$4,'102 5.1.00'!$AW$3)</f>
        <v>0</v>
      </c>
      <c r="O16" s="5">
        <f>(VLOOKUP('102 5.1.00'!V16,'102 5.1.00'!$AL$4:$AN$55,2,FALSE))*IF('102 5.1.00'!AX$4="是",'102 5.1.00'!$AW$4,'102 5.1.00'!$AW$3)</f>
        <v>0</v>
      </c>
      <c r="P16" s="5">
        <f>(VLOOKUP('102 5.1.00'!W16,'102 5.1.00'!$AL$4:$AN$55,2,FALSE))*IF('102 5.1.00'!AY$4="是",'102 5.1.00'!$AW$4,'102 5.1.00'!$AW$3)</f>
        <v>0</v>
      </c>
      <c r="Q16" s="4">
        <f>(VLOOKUP('102 5.1.00'!X16,'102 5.1.00'!$AL$4:$AN$55,2,FALSE))*IF('102 5.1.00'!AZ$4="是",'102 5.1.00'!$AW$4,'102 5.1.00'!$AW$3)</f>
        <v>0</v>
      </c>
      <c r="R16" s="4">
        <f>(VLOOKUP('102 5.1.00'!Y16,'102 5.1.00'!$AL$4:$AN$55,2,FALSE))*IF('102 5.1.00'!BA$4="是",'102 5.1.00'!$AW$4,'102 5.1.00'!$AW$3)</f>
        <v>0</v>
      </c>
      <c r="S16" s="4">
        <f>(VLOOKUP('102 5.1.00'!Z16,'102 5.1.00'!$AL$4:$AN$55,2,FALSE))*IF('102 5.1.00'!BB$4="是",'102 5.1.00'!$AW$4,'102 5.1.00'!$AW$3)</f>
        <v>0</v>
      </c>
      <c r="T16" s="4">
        <f>(VLOOKUP('102 5.1.00'!AA16,'102 5.1.00'!$AL$4:$AN$55,2,FALSE))*IF('102 5.1.00'!BC$4="是",'102 5.1.00'!$AW$4,'102 5.1.00'!$AW$3)</f>
        <v>0</v>
      </c>
      <c r="U16" s="4">
        <f>(VLOOKUP('102 5.1.00'!AB16,'102 5.1.00'!$AL$4:$AN$55,2,FALSE))*IF('102 5.1.00'!BD$4="是",'102 5.1.00'!$AW$4,'102 5.1.00'!$AW$3)</f>
        <v>0</v>
      </c>
      <c r="V16" s="4">
        <f>(VLOOKUP('102 5.1.00'!AC16,'102 5.1.00'!$AL$4:$AN$55,2,FALSE))*IF('102 5.1.00'!BE$4="是",'102 5.1.00'!$AW$4,'102 5.1.00'!$AW$3)</f>
        <v>0</v>
      </c>
      <c r="W16" s="5">
        <f>(VLOOKUP('102 5.1.00'!AD16,'102 5.1.00'!$AL$4:$AN$55,2,FALSE))*IF('102 5.1.00'!BF$4="是",'102 5.1.00'!$AW$4,'102 5.1.00'!$AW$3)</f>
        <v>0</v>
      </c>
      <c r="X16" s="5">
        <f>(VLOOKUP('102 5.1.00'!AE16,'102 5.1.00'!$AL$4:$AN$55,2,FALSE))*IF('102 5.1.00'!BG$4="是",'102 5.1.00'!$AW$4,'102 5.1.00'!$AW$3)</f>
        <v>0</v>
      </c>
    </row>
    <row r="17" spans="1:24">
      <c r="A17" s="4">
        <f>(VLOOKUP('102 5.1.00'!H17,'102 5.1.00'!$AL$4:$AN$55,2,FALSE))*IF('102 5.1.00'!AJ$4="是",'102 5.1.00'!$AW$4,'102 5.1.00'!$AW$3)</f>
        <v>0</v>
      </c>
      <c r="B17" s="4">
        <f>(VLOOKUP('102 5.1.00'!I17,'102 5.1.00'!$AL$4:$AN$55,2,FALSE))*IF('102 5.1.00'!AK$4="是",'102 5.1.00'!$AW$4,'102 5.1.00'!$AW$3)</f>
        <v>0</v>
      </c>
      <c r="C17" s="4">
        <f>(VLOOKUP('102 5.1.00'!J17,'102 5.1.00'!$AL$4:$AN$55,2,FALSE))*IF('102 5.1.00'!AL$4="是",'102 5.1.00'!$AW$4,'102 5.1.00'!$AW$3)</f>
        <v>0</v>
      </c>
      <c r="D17" s="4">
        <f>(VLOOKUP('102 5.1.00'!K17,'102 5.1.00'!$AL$4:$AN$55,2,FALSE))*IF('102 5.1.00'!AM$4="是",'102 5.1.00'!$AW$4,'102 5.1.00'!$AW$3)</f>
        <v>0</v>
      </c>
      <c r="E17" s="4">
        <f>(VLOOKUP('102 5.1.00'!L17,'102 5.1.00'!$AL$4:$AN$55,2,FALSE))*IF('102 5.1.00'!AN$4="是",'102 5.1.00'!$AW$4,'102 5.1.00'!$AW$3)</f>
        <v>0</v>
      </c>
      <c r="F17" s="4">
        <f>(VLOOKUP('102 5.1.00'!M17,'102 5.1.00'!$AL$4:$AN$55,2,FALSE))*IF('102 5.1.00'!AO$4="是",'102 5.1.00'!$AW$4,'102 5.1.00'!$AW$3)</f>
        <v>0</v>
      </c>
      <c r="G17" s="5">
        <f>(VLOOKUP('102 5.1.00'!N17,'102 5.1.00'!$AL$4:$AN$55,2,FALSE))*IF('102 5.1.00'!AP$4="是",'102 5.1.00'!$AW$4,'102 5.1.00'!$AW$3)</f>
        <v>0</v>
      </c>
      <c r="H17" s="5">
        <f>(VLOOKUP('102 5.1.00'!O17,'102 5.1.00'!$AL$4:$AN$55,2,FALSE))*IF('102 5.1.00'!AQ$4="是",'102 5.1.00'!$AW$4,'102 5.1.00'!$AW$3)</f>
        <v>0</v>
      </c>
      <c r="I17" s="4">
        <f>(VLOOKUP('102 5.1.00'!P17,'102 5.1.00'!$AL$4:$AN$55,2,FALSE))*IF('102 5.1.00'!AR$4="是",'102 5.1.00'!$AW$4,'102 5.1.00'!$AW$3)</f>
        <v>0</v>
      </c>
      <c r="J17" s="4">
        <f>(VLOOKUP('102 5.1.00'!Q17,'102 5.1.00'!$AL$4:$AN$55,2,FALSE))*IF('102 5.1.00'!AS$4="是",'102 5.1.00'!$AW$4,'102 5.1.00'!$AW$3)</f>
        <v>0</v>
      </c>
      <c r="K17" s="4">
        <f>(VLOOKUP('102 5.1.00'!R17,'102 5.1.00'!$AL$4:$AN$55,2,FALSE))*IF('102 5.1.00'!AT$4="是",'102 5.1.00'!$AW$4,'102 5.1.00'!$AW$3)</f>
        <v>0</v>
      </c>
      <c r="L17" s="4">
        <f>(VLOOKUP('102 5.1.00'!S17,'102 5.1.00'!$AL$4:$AN$55,2,FALSE))*IF('102 5.1.00'!AU$4="是",'102 5.1.00'!$AW$4,'102 5.1.00'!$AW$3)</f>
        <v>0</v>
      </c>
      <c r="M17" s="4">
        <f>(VLOOKUP('102 5.1.00'!T17,'102 5.1.00'!$AL$4:$AN$55,2,FALSE))*IF('102 5.1.00'!AV$4="是",'102 5.1.00'!$AW$4,'102 5.1.00'!$AW$3)</f>
        <v>0</v>
      </c>
      <c r="N17" s="4">
        <f>(VLOOKUP('102 5.1.00'!U17,'102 5.1.00'!$AL$4:$AN$55,2,FALSE))*IF('102 5.1.00'!AW$4="是",'102 5.1.00'!$AW$4,'102 5.1.00'!$AW$3)</f>
        <v>0</v>
      </c>
      <c r="O17" s="5">
        <f>(VLOOKUP('102 5.1.00'!V17,'102 5.1.00'!$AL$4:$AN$55,2,FALSE))*IF('102 5.1.00'!AX$4="是",'102 5.1.00'!$AW$4,'102 5.1.00'!$AW$3)</f>
        <v>0</v>
      </c>
      <c r="P17" s="5">
        <f>(VLOOKUP('102 5.1.00'!W17,'102 5.1.00'!$AL$4:$AN$55,2,FALSE))*IF('102 5.1.00'!AY$4="是",'102 5.1.00'!$AW$4,'102 5.1.00'!$AW$3)</f>
        <v>0</v>
      </c>
      <c r="Q17" s="4">
        <f>(VLOOKUP('102 5.1.00'!X17,'102 5.1.00'!$AL$4:$AN$55,2,FALSE))*IF('102 5.1.00'!AZ$4="是",'102 5.1.00'!$AW$4,'102 5.1.00'!$AW$3)</f>
        <v>0</v>
      </c>
      <c r="R17" s="4">
        <f>(VLOOKUP('102 5.1.00'!Y17,'102 5.1.00'!$AL$4:$AN$55,2,FALSE))*IF('102 5.1.00'!BA$4="是",'102 5.1.00'!$AW$4,'102 5.1.00'!$AW$3)</f>
        <v>0</v>
      </c>
      <c r="S17" s="4">
        <f>(VLOOKUP('102 5.1.00'!Z17,'102 5.1.00'!$AL$4:$AN$55,2,FALSE))*IF('102 5.1.00'!BB$4="是",'102 5.1.00'!$AW$4,'102 5.1.00'!$AW$3)</f>
        <v>0</v>
      </c>
      <c r="T17" s="4">
        <f>(VLOOKUP('102 5.1.00'!AA17,'102 5.1.00'!$AL$4:$AN$55,2,FALSE))*IF('102 5.1.00'!BC$4="是",'102 5.1.00'!$AW$4,'102 5.1.00'!$AW$3)</f>
        <v>0</v>
      </c>
      <c r="U17" s="4">
        <f>(VLOOKUP('102 5.1.00'!AB17,'102 5.1.00'!$AL$4:$AN$55,2,FALSE))*IF('102 5.1.00'!BD$4="是",'102 5.1.00'!$AW$4,'102 5.1.00'!$AW$3)</f>
        <v>0</v>
      </c>
      <c r="V17" s="4">
        <f>(VLOOKUP('102 5.1.00'!AC17,'102 5.1.00'!$AL$4:$AN$55,2,FALSE))*IF('102 5.1.00'!BE$4="是",'102 5.1.00'!$AW$4,'102 5.1.00'!$AW$3)</f>
        <v>0</v>
      </c>
      <c r="W17" s="5">
        <f>(VLOOKUP('102 5.1.00'!AD17,'102 5.1.00'!$AL$4:$AN$55,2,FALSE))*IF('102 5.1.00'!BF$4="是",'102 5.1.00'!$AW$4,'102 5.1.00'!$AW$3)</f>
        <v>0</v>
      </c>
      <c r="X17" s="5">
        <f>(VLOOKUP('102 5.1.00'!AE17,'102 5.1.00'!$AL$4:$AN$55,2,FALSE))*IF('102 5.1.00'!BG$4="是",'102 5.1.00'!$AW$4,'102 5.1.00'!$AW$3)</f>
        <v>0</v>
      </c>
    </row>
    <row r="18" spans="1:24">
      <c r="A18" s="4">
        <f>(VLOOKUP('102 5.1.00'!H18,'102 5.1.00'!$AL$4:$AN$55,2,FALSE))*IF('102 5.1.00'!AJ$4="是",'102 5.1.00'!$AW$4,'102 5.1.00'!$AW$3)</f>
        <v>0</v>
      </c>
      <c r="B18" s="4">
        <f>(VLOOKUP('102 5.1.00'!I18,'102 5.1.00'!$AL$4:$AN$55,2,FALSE))*IF('102 5.1.00'!AK$4="是",'102 5.1.00'!$AW$4,'102 5.1.00'!$AW$3)</f>
        <v>0</v>
      </c>
      <c r="C18" s="4">
        <f>(VLOOKUP('102 5.1.00'!J18,'102 5.1.00'!$AL$4:$AN$55,2,FALSE))*IF('102 5.1.00'!AL$4="是",'102 5.1.00'!$AW$4,'102 5.1.00'!$AW$3)</f>
        <v>0</v>
      </c>
      <c r="D18" s="4">
        <f>(VLOOKUP('102 5.1.00'!K18,'102 5.1.00'!$AL$4:$AN$55,2,FALSE))*IF('102 5.1.00'!AM$4="是",'102 5.1.00'!$AW$4,'102 5.1.00'!$AW$3)</f>
        <v>0</v>
      </c>
      <c r="E18" s="4">
        <f>(VLOOKUP('102 5.1.00'!L18,'102 5.1.00'!$AL$4:$AN$55,2,FALSE))*IF('102 5.1.00'!AN$4="是",'102 5.1.00'!$AW$4,'102 5.1.00'!$AW$3)</f>
        <v>0</v>
      </c>
      <c r="F18" s="4">
        <f>(VLOOKUP('102 5.1.00'!M18,'102 5.1.00'!$AL$4:$AN$55,2,FALSE))*IF('102 5.1.00'!AO$4="是",'102 5.1.00'!$AW$4,'102 5.1.00'!$AW$3)</f>
        <v>0</v>
      </c>
      <c r="G18" s="5">
        <f>(VLOOKUP('102 5.1.00'!N18,'102 5.1.00'!$AL$4:$AN$55,2,FALSE))*IF('102 5.1.00'!AP$4="是",'102 5.1.00'!$AW$4,'102 5.1.00'!$AW$3)</f>
        <v>0</v>
      </c>
      <c r="H18" s="5">
        <f>(VLOOKUP('102 5.1.00'!O18,'102 5.1.00'!$AL$4:$AN$55,2,FALSE))*IF('102 5.1.00'!AQ$4="是",'102 5.1.00'!$AW$4,'102 5.1.00'!$AW$3)</f>
        <v>0</v>
      </c>
      <c r="I18" s="4">
        <f>(VLOOKUP('102 5.1.00'!P18,'102 5.1.00'!$AL$4:$AN$55,2,FALSE))*IF('102 5.1.00'!AR$4="是",'102 5.1.00'!$AW$4,'102 5.1.00'!$AW$3)</f>
        <v>0</v>
      </c>
      <c r="J18" s="4">
        <f>(VLOOKUP('102 5.1.00'!Q18,'102 5.1.00'!$AL$4:$AN$55,2,FALSE))*IF('102 5.1.00'!AS$4="是",'102 5.1.00'!$AW$4,'102 5.1.00'!$AW$3)</f>
        <v>0</v>
      </c>
      <c r="K18" s="4">
        <f>(VLOOKUP('102 5.1.00'!R18,'102 5.1.00'!$AL$4:$AN$55,2,FALSE))*IF('102 5.1.00'!AT$4="是",'102 5.1.00'!$AW$4,'102 5.1.00'!$AW$3)</f>
        <v>0</v>
      </c>
      <c r="L18" s="4">
        <f>(VLOOKUP('102 5.1.00'!S18,'102 5.1.00'!$AL$4:$AN$55,2,FALSE))*IF('102 5.1.00'!AU$4="是",'102 5.1.00'!$AW$4,'102 5.1.00'!$AW$3)</f>
        <v>0</v>
      </c>
      <c r="M18" s="4">
        <f>(VLOOKUP('102 5.1.00'!T18,'102 5.1.00'!$AL$4:$AN$55,2,FALSE))*IF('102 5.1.00'!AV$4="是",'102 5.1.00'!$AW$4,'102 5.1.00'!$AW$3)</f>
        <v>0</v>
      </c>
      <c r="N18" s="4">
        <f>(VLOOKUP('102 5.1.00'!U18,'102 5.1.00'!$AL$4:$AN$55,2,FALSE))*IF('102 5.1.00'!AW$4="是",'102 5.1.00'!$AW$4,'102 5.1.00'!$AW$3)</f>
        <v>0</v>
      </c>
      <c r="O18" s="5">
        <f>(VLOOKUP('102 5.1.00'!V18,'102 5.1.00'!$AL$4:$AN$55,2,FALSE))*IF('102 5.1.00'!AX$4="是",'102 5.1.00'!$AW$4,'102 5.1.00'!$AW$3)</f>
        <v>0</v>
      </c>
      <c r="P18" s="5">
        <f>(VLOOKUP('102 5.1.00'!W18,'102 5.1.00'!$AL$4:$AN$55,2,FALSE))*IF('102 5.1.00'!AY$4="是",'102 5.1.00'!$AW$4,'102 5.1.00'!$AW$3)</f>
        <v>0</v>
      </c>
      <c r="Q18" s="4">
        <f>(VLOOKUP('102 5.1.00'!X18,'102 5.1.00'!$AL$4:$AN$55,2,FALSE))*IF('102 5.1.00'!AZ$4="是",'102 5.1.00'!$AW$4,'102 5.1.00'!$AW$3)</f>
        <v>0</v>
      </c>
      <c r="R18" s="4">
        <f>(VLOOKUP('102 5.1.00'!Y18,'102 5.1.00'!$AL$4:$AN$55,2,FALSE))*IF('102 5.1.00'!BA$4="是",'102 5.1.00'!$AW$4,'102 5.1.00'!$AW$3)</f>
        <v>0</v>
      </c>
      <c r="S18" s="4">
        <f>(VLOOKUP('102 5.1.00'!Z18,'102 5.1.00'!$AL$4:$AN$55,2,FALSE))*IF('102 5.1.00'!BB$4="是",'102 5.1.00'!$AW$4,'102 5.1.00'!$AW$3)</f>
        <v>0</v>
      </c>
      <c r="T18" s="4">
        <f>(VLOOKUP('102 5.1.00'!AA18,'102 5.1.00'!$AL$4:$AN$55,2,FALSE))*IF('102 5.1.00'!BC$4="是",'102 5.1.00'!$AW$4,'102 5.1.00'!$AW$3)</f>
        <v>0</v>
      </c>
      <c r="U18" s="4">
        <f>(VLOOKUP('102 5.1.00'!AB18,'102 5.1.00'!$AL$4:$AN$55,2,FALSE))*IF('102 5.1.00'!BD$4="是",'102 5.1.00'!$AW$4,'102 5.1.00'!$AW$3)</f>
        <v>0</v>
      </c>
      <c r="V18" s="4">
        <f>(VLOOKUP('102 5.1.00'!AC18,'102 5.1.00'!$AL$4:$AN$55,2,FALSE))*IF('102 5.1.00'!BE$4="是",'102 5.1.00'!$AW$4,'102 5.1.00'!$AW$3)</f>
        <v>0</v>
      </c>
      <c r="W18" s="5">
        <f>(VLOOKUP('102 5.1.00'!AD18,'102 5.1.00'!$AL$4:$AN$55,2,FALSE))*IF('102 5.1.00'!BF$4="是",'102 5.1.00'!$AW$4,'102 5.1.00'!$AW$3)</f>
        <v>0</v>
      </c>
      <c r="X18" s="5">
        <f>(VLOOKUP('102 5.1.00'!AE18,'102 5.1.00'!$AL$4:$AN$55,2,FALSE))*IF('102 5.1.00'!BG$4="是",'102 5.1.00'!$AW$4,'102 5.1.00'!$AW$3)</f>
        <v>0</v>
      </c>
    </row>
    <row r="19" spans="1:24">
      <c r="A19" s="4">
        <f>(VLOOKUP('102 5.1.00'!H19,'102 5.1.00'!$AL$4:$AN$55,2,FALSE))*IF('102 5.1.00'!AJ$4="是",'102 5.1.00'!$AW$4,'102 5.1.00'!$AW$3)</f>
        <v>0</v>
      </c>
      <c r="B19" s="4">
        <f>(VLOOKUP('102 5.1.00'!I19,'102 5.1.00'!$AL$4:$AN$55,2,FALSE))*IF('102 5.1.00'!AK$4="是",'102 5.1.00'!$AW$4,'102 5.1.00'!$AW$3)</f>
        <v>0</v>
      </c>
      <c r="C19" s="4">
        <f>(VLOOKUP('102 5.1.00'!J19,'102 5.1.00'!$AL$4:$AN$55,2,FALSE))*IF('102 5.1.00'!AL$4="是",'102 5.1.00'!$AW$4,'102 5.1.00'!$AW$3)</f>
        <v>0</v>
      </c>
      <c r="D19" s="4">
        <f>(VLOOKUP('102 5.1.00'!K19,'102 5.1.00'!$AL$4:$AN$55,2,FALSE))*IF('102 5.1.00'!AM$4="是",'102 5.1.00'!$AW$4,'102 5.1.00'!$AW$3)</f>
        <v>0</v>
      </c>
      <c r="E19" s="4">
        <f>(VLOOKUP('102 5.1.00'!L19,'102 5.1.00'!$AL$4:$AN$55,2,FALSE))*IF('102 5.1.00'!AN$4="是",'102 5.1.00'!$AW$4,'102 5.1.00'!$AW$3)</f>
        <v>0</v>
      </c>
      <c r="F19" s="4">
        <f>(VLOOKUP('102 5.1.00'!M19,'102 5.1.00'!$AL$4:$AN$55,2,FALSE))*IF('102 5.1.00'!AO$4="是",'102 5.1.00'!$AW$4,'102 5.1.00'!$AW$3)</f>
        <v>0</v>
      </c>
      <c r="G19" s="5">
        <f>(VLOOKUP('102 5.1.00'!N19,'102 5.1.00'!$AL$4:$AN$55,2,FALSE))*IF('102 5.1.00'!AP$4="是",'102 5.1.00'!$AW$4,'102 5.1.00'!$AW$3)</f>
        <v>0</v>
      </c>
      <c r="H19" s="5">
        <f>(VLOOKUP('102 5.1.00'!O19,'102 5.1.00'!$AL$4:$AN$55,2,FALSE))*IF('102 5.1.00'!AQ$4="是",'102 5.1.00'!$AW$4,'102 5.1.00'!$AW$3)</f>
        <v>0</v>
      </c>
      <c r="I19" s="4">
        <f>(VLOOKUP('102 5.1.00'!P19,'102 5.1.00'!$AL$4:$AN$55,2,FALSE))*IF('102 5.1.00'!AR$4="是",'102 5.1.00'!$AW$4,'102 5.1.00'!$AW$3)</f>
        <v>0</v>
      </c>
      <c r="J19" s="4">
        <f>(VLOOKUP('102 5.1.00'!Q19,'102 5.1.00'!$AL$4:$AN$55,2,FALSE))*IF('102 5.1.00'!AS$4="是",'102 5.1.00'!$AW$4,'102 5.1.00'!$AW$3)</f>
        <v>0</v>
      </c>
      <c r="K19" s="4">
        <f>(VLOOKUP('102 5.1.00'!R19,'102 5.1.00'!$AL$4:$AN$55,2,FALSE))*IF('102 5.1.00'!AT$4="是",'102 5.1.00'!$AW$4,'102 5.1.00'!$AW$3)</f>
        <v>0</v>
      </c>
      <c r="L19" s="4">
        <f>(VLOOKUP('102 5.1.00'!S19,'102 5.1.00'!$AL$4:$AN$55,2,FALSE))*IF('102 5.1.00'!AU$4="是",'102 5.1.00'!$AW$4,'102 5.1.00'!$AW$3)</f>
        <v>0</v>
      </c>
      <c r="M19" s="4">
        <f>(VLOOKUP('102 5.1.00'!T19,'102 5.1.00'!$AL$4:$AN$55,2,FALSE))*IF('102 5.1.00'!AV$4="是",'102 5.1.00'!$AW$4,'102 5.1.00'!$AW$3)</f>
        <v>0</v>
      </c>
      <c r="N19" s="4">
        <f>(VLOOKUP('102 5.1.00'!U19,'102 5.1.00'!$AL$4:$AN$55,2,FALSE))*IF('102 5.1.00'!AW$4="是",'102 5.1.00'!$AW$4,'102 5.1.00'!$AW$3)</f>
        <v>0</v>
      </c>
      <c r="O19" s="5">
        <f>(VLOOKUP('102 5.1.00'!V19,'102 5.1.00'!$AL$4:$AN$55,2,FALSE))*IF('102 5.1.00'!AX$4="是",'102 5.1.00'!$AW$4,'102 5.1.00'!$AW$3)</f>
        <v>0</v>
      </c>
      <c r="P19" s="5">
        <f>(VLOOKUP('102 5.1.00'!W19,'102 5.1.00'!$AL$4:$AN$55,2,FALSE))*IF('102 5.1.00'!AY$4="是",'102 5.1.00'!$AW$4,'102 5.1.00'!$AW$3)</f>
        <v>0</v>
      </c>
      <c r="Q19" s="4">
        <f>(VLOOKUP('102 5.1.00'!X19,'102 5.1.00'!$AL$4:$AN$55,2,FALSE))*IF('102 5.1.00'!AZ$4="是",'102 5.1.00'!$AW$4,'102 5.1.00'!$AW$3)</f>
        <v>0</v>
      </c>
      <c r="R19" s="4">
        <f>(VLOOKUP('102 5.1.00'!Y19,'102 5.1.00'!$AL$4:$AN$55,2,FALSE))*IF('102 5.1.00'!BA$4="是",'102 5.1.00'!$AW$4,'102 5.1.00'!$AW$3)</f>
        <v>0</v>
      </c>
      <c r="S19" s="4">
        <f>(VLOOKUP('102 5.1.00'!Z19,'102 5.1.00'!$AL$4:$AN$55,2,FALSE))*IF('102 5.1.00'!BB$4="是",'102 5.1.00'!$AW$4,'102 5.1.00'!$AW$3)</f>
        <v>0</v>
      </c>
      <c r="T19" s="4">
        <f>(VLOOKUP('102 5.1.00'!AA19,'102 5.1.00'!$AL$4:$AN$55,2,FALSE))*IF('102 5.1.00'!BC$4="是",'102 5.1.00'!$AW$4,'102 5.1.00'!$AW$3)</f>
        <v>0</v>
      </c>
      <c r="U19" s="4">
        <f>(VLOOKUP('102 5.1.00'!AB19,'102 5.1.00'!$AL$4:$AN$55,2,FALSE))*IF('102 5.1.00'!BD$4="是",'102 5.1.00'!$AW$4,'102 5.1.00'!$AW$3)</f>
        <v>0</v>
      </c>
      <c r="V19" s="4">
        <f>(VLOOKUP('102 5.1.00'!AC19,'102 5.1.00'!$AL$4:$AN$55,2,FALSE))*IF('102 5.1.00'!BE$4="是",'102 5.1.00'!$AW$4,'102 5.1.00'!$AW$3)</f>
        <v>0</v>
      </c>
      <c r="W19" s="5">
        <f>(VLOOKUP('102 5.1.00'!AD19,'102 5.1.00'!$AL$4:$AN$55,2,FALSE))*IF('102 5.1.00'!BF$4="是",'102 5.1.00'!$AW$4,'102 5.1.00'!$AW$3)</f>
        <v>0</v>
      </c>
      <c r="X19" s="5">
        <f>(VLOOKUP('102 5.1.00'!AE19,'102 5.1.00'!$AL$4:$AN$55,2,FALSE))*IF('102 5.1.00'!BG$4="是",'102 5.1.00'!$AW$4,'102 5.1.00'!$AW$3)</f>
        <v>0</v>
      </c>
    </row>
    <row r="20" spans="1:24">
      <c r="A20" s="4">
        <f>(VLOOKUP('102 5.1.00'!H20,'102 5.1.00'!$AL$4:$AN$55,2,FALSE))*IF('102 5.1.00'!AJ$4="是",'102 5.1.00'!$AW$4,'102 5.1.00'!$AW$3)</f>
        <v>0</v>
      </c>
      <c r="B20" s="4">
        <f>(VLOOKUP('102 5.1.00'!I20,'102 5.1.00'!$AL$4:$AN$55,2,FALSE))*IF('102 5.1.00'!AK$4="是",'102 5.1.00'!$AW$4,'102 5.1.00'!$AW$3)</f>
        <v>0</v>
      </c>
      <c r="C20" s="4">
        <f>(VLOOKUP('102 5.1.00'!J20,'102 5.1.00'!$AL$4:$AN$55,2,FALSE))*IF('102 5.1.00'!AL$4="是",'102 5.1.00'!$AW$4,'102 5.1.00'!$AW$3)</f>
        <v>0</v>
      </c>
      <c r="D20" s="4">
        <f>(VLOOKUP('102 5.1.00'!K20,'102 5.1.00'!$AL$4:$AN$55,2,FALSE))*IF('102 5.1.00'!AM$4="是",'102 5.1.00'!$AW$4,'102 5.1.00'!$AW$3)</f>
        <v>0</v>
      </c>
      <c r="E20" s="4">
        <f>(VLOOKUP('102 5.1.00'!L20,'102 5.1.00'!$AL$4:$AN$55,2,FALSE))*IF('102 5.1.00'!AN$4="是",'102 5.1.00'!$AW$4,'102 5.1.00'!$AW$3)</f>
        <v>0</v>
      </c>
      <c r="F20" s="4">
        <f>(VLOOKUP('102 5.1.00'!M20,'102 5.1.00'!$AL$4:$AN$55,2,FALSE))*IF('102 5.1.00'!AO$4="是",'102 5.1.00'!$AW$4,'102 5.1.00'!$AW$3)</f>
        <v>0</v>
      </c>
      <c r="G20" s="5">
        <f>(VLOOKUP('102 5.1.00'!N20,'102 5.1.00'!$AL$4:$AN$55,2,FALSE))*IF('102 5.1.00'!AP$4="是",'102 5.1.00'!$AW$4,'102 5.1.00'!$AW$3)</f>
        <v>0</v>
      </c>
      <c r="H20" s="5">
        <f>(VLOOKUP('102 5.1.00'!O20,'102 5.1.00'!$AL$4:$AN$55,2,FALSE))*IF('102 5.1.00'!AQ$4="是",'102 5.1.00'!$AW$4,'102 5.1.00'!$AW$3)</f>
        <v>0</v>
      </c>
      <c r="I20" s="4">
        <f>(VLOOKUP('102 5.1.00'!P20,'102 5.1.00'!$AL$4:$AN$55,2,FALSE))*IF('102 5.1.00'!AR$4="是",'102 5.1.00'!$AW$4,'102 5.1.00'!$AW$3)</f>
        <v>0</v>
      </c>
      <c r="J20" s="4">
        <f>(VLOOKUP('102 5.1.00'!Q20,'102 5.1.00'!$AL$4:$AN$55,2,FALSE))*IF('102 5.1.00'!AS$4="是",'102 5.1.00'!$AW$4,'102 5.1.00'!$AW$3)</f>
        <v>0</v>
      </c>
      <c r="K20" s="4">
        <f>(VLOOKUP('102 5.1.00'!R20,'102 5.1.00'!$AL$4:$AN$55,2,FALSE))*IF('102 5.1.00'!AT$4="是",'102 5.1.00'!$AW$4,'102 5.1.00'!$AW$3)</f>
        <v>0</v>
      </c>
      <c r="L20" s="4">
        <f>(VLOOKUP('102 5.1.00'!S20,'102 5.1.00'!$AL$4:$AN$55,2,FALSE))*IF('102 5.1.00'!AU$4="是",'102 5.1.00'!$AW$4,'102 5.1.00'!$AW$3)</f>
        <v>0</v>
      </c>
      <c r="M20" s="4">
        <f>(VLOOKUP('102 5.1.00'!T20,'102 5.1.00'!$AL$4:$AN$55,2,FALSE))*IF('102 5.1.00'!AV$4="是",'102 5.1.00'!$AW$4,'102 5.1.00'!$AW$3)</f>
        <v>0</v>
      </c>
      <c r="N20" s="4">
        <f>(VLOOKUP('102 5.1.00'!U20,'102 5.1.00'!$AL$4:$AN$55,2,FALSE))*IF('102 5.1.00'!AW$4="是",'102 5.1.00'!$AW$4,'102 5.1.00'!$AW$3)</f>
        <v>0</v>
      </c>
      <c r="O20" s="5">
        <f>(VLOOKUP('102 5.1.00'!V20,'102 5.1.00'!$AL$4:$AN$55,2,FALSE))*IF('102 5.1.00'!AX$4="是",'102 5.1.00'!$AW$4,'102 5.1.00'!$AW$3)</f>
        <v>0</v>
      </c>
      <c r="P20" s="5">
        <f>(VLOOKUP('102 5.1.00'!W20,'102 5.1.00'!$AL$4:$AN$55,2,FALSE))*IF('102 5.1.00'!AY$4="是",'102 5.1.00'!$AW$4,'102 5.1.00'!$AW$3)</f>
        <v>0</v>
      </c>
      <c r="Q20" s="4">
        <f>(VLOOKUP('102 5.1.00'!X20,'102 5.1.00'!$AL$4:$AN$55,2,FALSE))*IF('102 5.1.00'!AZ$4="是",'102 5.1.00'!$AW$4,'102 5.1.00'!$AW$3)</f>
        <v>0</v>
      </c>
      <c r="R20" s="4">
        <f>(VLOOKUP('102 5.1.00'!Y20,'102 5.1.00'!$AL$4:$AN$55,2,FALSE))*IF('102 5.1.00'!BA$4="是",'102 5.1.00'!$AW$4,'102 5.1.00'!$AW$3)</f>
        <v>0</v>
      </c>
      <c r="S20" s="4">
        <f>(VLOOKUP('102 5.1.00'!Z20,'102 5.1.00'!$AL$4:$AN$55,2,FALSE))*IF('102 5.1.00'!BB$4="是",'102 5.1.00'!$AW$4,'102 5.1.00'!$AW$3)</f>
        <v>0</v>
      </c>
      <c r="T20" s="4">
        <f>(VLOOKUP('102 5.1.00'!AA20,'102 5.1.00'!$AL$4:$AN$55,2,FALSE))*IF('102 5.1.00'!BC$4="是",'102 5.1.00'!$AW$4,'102 5.1.00'!$AW$3)</f>
        <v>0</v>
      </c>
      <c r="U20" s="4">
        <f>(VLOOKUP('102 5.1.00'!AB20,'102 5.1.00'!$AL$4:$AN$55,2,FALSE))*IF('102 5.1.00'!BD$4="是",'102 5.1.00'!$AW$4,'102 5.1.00'!$AW$3)</f>
        <v>0</v>
      </c>
      <c r="V20" s="4">
        <f>(VLOOKUP('102 5.1.00'!AC20,'102 5.1.00'!$AL$4:$AN$55,2,FALSE))*IF('102 5.1.00'!BE$4="是",'102 5.1.00'!$AW$4,'102 5.1.00'!$AW$3)</f>
        <v>0</v>
      </c>
      <c r="W20" s="5">
        <f>(VLOOKUP('102 5.1.00'!AD20,'102 5.1.00'!$AL$4:$AN$55,2,FALSE))*IF('102 5.1.00'!BF$4="是",'102 5.1.00'!$AW$4,'102 5.1.00'!$AW$3)</f>
        <v>0</v>
      </c>
      <c r="X20" s="5">
        <f>(VLOOKUP('102 5.1.00'!AE20,'102 5.1.00'!$AL$4:$AN$55,2,FALSE))*IF('102 5.1.00'!BG$4="是",'102 5.1.00'!$AW$4,'102 5.1.00'!$AW$3)</f>
        <v>0</v>
      </c>
    </row>
    <row r="21" spans="1:24">
      <c r="A21" s="4">
        <f>(VLOOKUP('102 5.1.00'!H21,'102 5.1.00'!$AL$4:$AN$55,2,FALSE))*IF('102 5.1.00'!AJ$4="是",'102 5.1.00'!$AW$4,'102 5.1.00'!$AW$3)</f>
        <v>0</v>
      </c>
      <c r="B21" s="4">
        <f>(VLOOKUP('102 5.1.00'!I21,'102 5.1.00'!$AL$4:$AN$55,2,FALSE))*IF('102 5.1.00'!AK$4="是",'102 5.1.00'!$AW$4,'102 5.1.00'!$AW$3)</f>
        <v>0</v>
      </c>
      <c r="C21" s="4">
        <f>(VLOOKUP('102 5.1.00'!J21,'102 5.1.00'!$AL$4:$AN$55,2,FALSE))*IF('102 5.1.00'!AL$4="是",'102 5.1.00'!$AW$4,'102 5.1.00'!$AW$3)</f>
        <v>0</v>
      </c>
      <c r="D21" s="4">
        <f>(VLOOKUP('102 5.1.00'!K21,'102 5.1.00'!$AL$4:$AN$55,2,FALSE))*IF('102 5.1.00'!AM$4="是",'102 5.1.00'!$AW$4,'102 5.1.00'!$AW$3)</f>
        <v>0</v>
      </c>
      <c r="E21" s="4">
        <f>(VLOOKUP('102 5.1.00'!L21,'102 5.1.00'!$AL$4:$AN$55,2,FALSE))*IF('102 5.1.00'!AN$4="是",'102 5.1.00'!$AW$4,'102 5.1.00'!$AW$3)</f>
        <v>0</v>
      </c>
      <c r="F21" s="4">
        <f>(VLOOKUP('102 5.1.00'!M21,'102 5.1.00'!$AL$4:$AN$55,2,FALSE))*IF('102 5.1.00'!AO$4="是",'102 5.1.00'!$AW$4,'102 5.1.00'!$AW$3)</f>
        <v>0</v>
      </c>
      <c r="G21" s="5">
        <f>(VLOOKUP('102 5.1.00'!N21,'102 5.1.00'!$AL$4:$AN$55,2,FALSE))*IF('102 5.1.00'!AP$4="是",'102 5.1.00'!$AW$4,'102 5.1.00'!$AW$3)</f>
        <v>0</v>
      </c>
      <c r="H21" s="5">
        <f>(VLOOKUP('102 5.1.00'!O21,'102 5.1.00'!$AL$4:$AN$55,2,FALSE))*IF('102 5.1.00'!AQ$4="是",'102 5.1.00'!$AW$4,'102 5.1.00'!$AW$3)</f>
        <v>0</v>
      </c>
      <c r="I21" s="4">
        <f>(VLOOKUP('102 5.1.00'!P21,'102 5.1.00'!$AL$4:$AN$55,2,FALSE))*IF('102 5.1.00'!AR$4="是",'102 5.1.00'!$AW$4,'102 5.1.00'!$AW$3)</f>
        <v>0</v>
      </c>
      <c r="J21" s="4">
        <f>(VLOOKUP('102 5.1.00'!Q21,'102 5.1.00'!$AL$4:$AN$55,2,FALSE))*IF('102 5.1.00'!AS$4="是",'102 5.1.00'!$AW$4,'102 5.1.00'!$AW$3)</f>
        <v>0</v>
      </c>
      <c r="K21" s="4">
        <f>(VLOOKUP('102 5.1.00'!R21,'102 5.1.00'!$AL$4:$AN$55,2,FALSE))*IF('102 5.1.00'!AT$4="是",'102 5.1.00'!$AW$4,'102 5.1.00'!$AW$3)</f>
        <v>0</v>
      </c>
      <c r="L21" s="4">
        <f>(VLOOKUP('102 5.1.00'!S21,'102 5.1.00'!$AL$4:$AN$55,2,FALSE))*IF('102 5.1.00'!AU$4="是",'102 5.1.00'!$AW$4,'102 5.1.00'!$AW$3)</f>
        <v>0</v>
      </c>
      <c r="M21" s="4">
        <f>(VLOOKUP('102 5.1.00'!T21,'102 5.1.00'!$AL$4:$AN$55,2,FALSE))*IF('102 5.1.00'!AV$4="是",'102 5.1.00'!$AW$4,'102 5.1.00'!$AW$3)</f>
        <v>0</v>
      </c>
      <c r="N21" s="4">
        <f>(VLOOKUP('102 5.1.00'!U21,'102 5.1.00'!$AL$4:$AN$55,2,FALSE))*IF('102 5.1.00'!AW$4="是",'102 5.1.00'!$AW$4,'102 5.1.00'!$AW$3)</f>
        <v>0</v>
      </c>
      <c r="O21" s="5">
        <f>(VLOOKUP('102 5.1.00'!V21,'102 5.1.00'!$AL$4:$AN$55,2,FALSE))*IF('102 5.1.00'!AX$4="是",'102 5.1.00'!$AW$4,'102 5.1.00'!$AW$3)</f>
        <v>0</v>
      </c>
      <c r="P21" s="5">
        <f>(VLOOKUP('102 5.1.00'!W21,'102 5.1.00'!$AL$4:$AN$55,2,FALSE))*IF('102 5.1.00'!AY$4="是",'102 5.1.00'!$AW$4,'102 5.1.00'!$AW$3)</f>
        <v>0</v>
      </c>
      <c r="Q21" s="4">
        <f>(VLOOKUP('102 5.1.00'!X21,'102 5.1.00'!$AL$4:$AN$55,2,FALSE))*IF('102 5.1.00'!AZ$4="是",'102 5.1.00'!$AW$4,'102 5.1.00'!$AW$3)</f>
        <v>0</v>
      </c>
      <c r="R21" s="4">
        <f>(VLOOKUP('102 5.1.00'!Y21,'102 5.1.00'!$AL$4:$AN$55,2,FALSE))*IF('102 5.1.00'!BA$4="是",'102 5.1.00'!$AW$4,'102 5.1.00'!$AW$3)</f>
        <v>0</v>
      </c>
      <c r="S21" s="4">
        <f>(VLOOKUP('102 5.1.00'!Z21,'102 5.1.00'!$AL$4:$AN$55,2,FALSE))*IF('102 5.1.00'!BB$4="是",'102 5.1.00'!$AW$4,'102 5.1.00'!$AW$3)</f>
        <v>0</v>
      </c>
      <c r="T21" s="4">
        <f>(VLOOKUP('102 5.1.00'!AA21,'102 5.1.00'!$AL$4:$AN$55,2,FALSE))*IF('102 5.1.00'!BC$4="是",'102 5.1.00'!$AW$4,'102 5.1.00'!$AW$3)</f>
        <v>0</v>
      </c>
      <c r="U21" s="4">
        <f>(VLOOKUP('102 5.1.00'!AB21,'102 5.1.00'!$AL$4:$AN$55,2,FALSE))*IF('102 5.1.00'!BD$4="是",'102 5.1.00'!$AW$4,'102 5.1.00'!$AW$3)</f>
        <v>0</v>
      </c>
      <c r="V21" s="4">
        <f>(VLOOKUP('102 5.1.00'!AC21,'102 5.1.00'!$AL$4:$AN$55,2,FALSE))*IF('102 5.1.00'!BE$4="是",'102 5.1.00'!$AW$4,'102 5.1.00'!$AW$3)</f>
        <v>0</v>
      </c>
      <c r="W21" s="5">
        <f>(VLOOKUP('102 5.1.00'!AD21,'102 5.1.00'!$AL$4:$AN$55,2,FALSE))*IF('102 5.1.00'!BF$4="是",'102 5.1.00'!$AW$4,'102 5.1.00'!$AW$3)</f>
        <v>0</v>
      </c>
      <c r="X21" s="5">
        <f>(VLOOKUP('102 5.1.00'!AE21,'102 5.1.00'!$AL$4:$AN$55,2,FALSE))*IF('102 5.1.00'!BG$4="是",'102 5.1.00'!$AW$4,'102 5.1.00'!$AW$3)</f>
        <v>0</v>
      </c>
    </row>
    <row r="22" spans="1:24">
      <c r="A22" s="4">
        <f>(VLOOKUP('102 5.1.00'!H22,'102 5.1.00'!$AL$4:$AN$55,2,FALSE))*IF('102 5.1.00'!AJ$4="是",'102 5.1.00'!$AW$4,'102 5.1.00'!$AW$3)</f>
        <v>0</v>
      </c>
      <c r="B22" s="4">
        <f>(VLOOKUP('102 5.1.00'!I22,'102 5.1.00'!$AL$4:$AN$55,2,FALSE))*IF('102 5.1.00'!AK$4="是",'102 5.1.00'!$AW$4,'102 5.1.00'!$AW$3)</f>
        <v>0</v>
      </c>
      <c r="C22" s="4">
        <f>(VLOOKUP('102 5.1.00'!J22,'102 5.1.00'!$AL$4:$AN$55,2,FALSE))*IF('102 5.1.00'!AL$4="是",'102 5.1.00'!$AW$4,'102 5.1.00'!$AW$3)</f>
        <v>0</v>
      </c>
      <c r="D22" s="4">
        <f>(VLOOKUP('102 5.1.00'!K22,'102 5.1.00'!$AL$4:$AN$55,2,FALSE))*IF('102 5.1.00'!AM$4="是",'102 5.1.00'!$AW$4,'102 5.1.00'!$AW$3)</f>
        <v>0</v>
      </c>
      <c r="E22" s="4">
        <f>(VLOOKUP('102 5.1.00'!L22,'102 5.1.00'!$AL$4:$AN$55,2,FALSE))*IF('102 5.1.00'!AN$4="是",'102 5.1.00'!$AW$4,'102 5.1.00'!$AW$3)</f>
        <v>0</v>
      </c>
      <c r="F22" s="4">
        <f>(VLOOKUP('102 5.1.00'!M22,'102 5.1.00'!$AL$4:$AN$55,2,FALSE))*IF('102 5.1.00'!AO$4="是",'102 5.1.00'!$AW$4,'102 5.1.00'!$AW$3)</f>
        <v>0</v>
      </c>
      <c r="G22" s="5">
        <f>(VLOOKUP('102 5.1.00'!N22,'102 5.1.00'!$AL$4:$AN$55,2,FALSE))*IF('102 5.1.00'!AP$4="是",'102 5.1.00'!$AW$4,'102 5.1.00'!$AW$3)</f>
        <v>0</v>
      </c>
      <c r="H22" s="5">
        <f>(VLOOKUP('102 5.1.00'!O22,'102 5.1.00'!$AL$4:$AN$55,2,FALSE))*IF('102 5.1.00'!AQ$4="是",'102 5.1.00'!$AW$4,'102 5.1.00'!$AW$3)</f>
        <v>0</v>
      </c>
      <c r="I22" s="4">
        <f>(VLOOKUP('102 5.1.00'!P22,'102 5.1.00'!$AL$4:$AN$55,2,FALSE))*IF('102 5.1.00'!AR$4="是",'102 5.1.00'!$AW$4,'102 5.1.00'!$AW$3)</f>
        <v>0</v>
      </c>
      <c r="J22" s="4">
        <f>(VLOOKUP('102 5.1.00'!Q22,'102 5.1.00'!$AL$4:$AN$55,2,FALSE))*IF('102 5.1.00'!AS$4="是",'102 5.1.00'!$AW$4,'102 5.1.00'!$AW$3)</f>
        <v>0</v>
      </c>
      <c r="K22" s="4">
        <f>(VLOOKUP('102 5.1.00'!R22,'102 5.1.00'!$AL$4:$AN$55,2,FALSE))*IF('102 5.1.00'!AT$4="是",'102 5.1.00'!$AW$4,'102 5.1.00'!$AW$3)</f>
        <v>0</v>
      </c>
      <c r="L22" s="4">
        <f>(VLOOKUP('102 5.1.00'!S22,'102 5.1.00'!$AL$4:$AN$55,2,FALSE))*IF('102 5.1.00'!AU$4="是",'102 5.1.00'!$AW$4,'102 5.1.00'!$AW$3)</f>
        <v>0</v>
      </c>
      <c r="M22" s="4">
        <f>(VLOOKUP('102 5.1.00'!T22,'102 5.1.00'!$AL$4:$AN$55,2,FALSE))*IF('102 5.1.00'!AV$4="是",'102 5.1.00'!$AW$4,'102 5.1.00'!$AW$3)</f>
        <v>0</v>
      </c>
      <c r="N22" s="4">
        <f>(VLOOKUP('102 5.1.00'!U22,'102 5.1.00'!$AL$4:$AN$55,2,FALSE))*IF('102 5.1.00'!AW$4="是",'102 5.1.00'!$AW$4,'102 5.1.00'!$AW$3)</f>
        <v>0</v>
      </c>
      <c r="O22" s="5">
        <f>(VLOOKUP('102 5.1.00'!V22,'102 5.1.00'!$AL$4:$AN$55,2,FALSE))*IF('102 5.1.00'!AX$4="是",'102 5.1.00'!$AW$4,'102 5.1.00'!$AW$3)</f>
        <v>0</v>
      </c>
      <c r="P22" s="5">
        <f>(VLOOKUP('102 5.1.00'!W22,'102 5.1.00'!$AL$4:$AN$55,2,FALSE))*IF('102 5.1.00'!AY$4="是",'102 5.1.00'!$AW$4,'102 5.1.00'!$AW$3)</f>
        <v>0</v>
      </c>
      <c r="Q22" s="4">
        <f>(VLOOKUP('102 5.1.00'!X22,'102 5.1.00'!$AL$4:$AN$55,2,FALSE))*IF('102 5.1.00'!AZ$4="是",'102 5.1.00'!$AW$4,'102 5.1.00'!$AW$3)</f>
        <v>0</v>
      </c>
      <c r="R22" s="4">
        <f>(VLOOKUP('102 5.1.00'!Y22,'102 5.1.00'!$AL$4:$AN$55,2,FALSE))*IF('102 5.1.00'!BA$4="是",'102 5.1.00'!$AW$4,'102 5.1.00'!$AW$3)</f>
        <v>0</v>
      </c>
      <c r="S22" s="4">
        <f>(VLOOKUP('102 5.1.00'!Z22,'102 5.1.00'!$AL$4:$AN$55,2,FALSE))*IF('102 5.1.00'!BB$4="是",'102 5.1.00'!$AW$4,'102 5.1.00'!$AW$3)</f>
        <v>0</v>
      </c>
      <c r="T22" s="4">
        <f>(VLOOKUP('102 5.1.00'!AA22,'102 5.1.00'!$AL$4:$AN$55,2,FALSE))*IF('102 5.1.00'!BC$4="是",'102 5.1.00'!$AW$4,'102 5.1.00'!$AW$3)</f>
        <v>0</v>
      </c>
      <c r="U22" s="4">
        <f>(VLOOKUP('102 5.1.00'!AB22,'102 5.1.00'!$AL$4:$AN$55,2,FALSE))*IF('102 5.1.00'!BD$4="是",'102 5.1.00'!$AW$4,'102 5.1.00'!$AW$3)</f>
        <v>0</v>
      </c>
      <c r="V22" s="4">
        <f>(VLOOKUP('102 5.1.00'!AC22,'102 5.1.00'!$AL$4:$AN$55,2,FALSE))*IF('102 5.1.00'!BE$4="是",'102 5.1.00'!$AW$4,'102 5.1.00'!$AW$3)</f>
        <v>0</v>
      </c>
      <c r="W22" s="5">
        <f>(VLOOKUP('102 5.1.00'!AD22,'102 5.1.00'!$AL$4:$AN$55,2,FALSE))*IF('102 5.1.00'!BF$4="是",'102 5.1.00'!$AW$4,'102 5.1.00'!$AW$3)</f>
        <v>0</v>
      </c>
      <c r="X22" s="5">
        <f>(VLOOKUP('102 5.1.00'!AE22,'102 5.1.00'!$AL$4:$AN$55,2,FALSE))*IF('102 5.1.00'!BG$4="是",'102 5.1.00'!$AW$4,'102 5.1.00'!$AW$3)</f>
        <v>0</v>
      </c>
    </row>
    <row r="23" spans="1:24">
      <c r="A23" s="4">
        <f>(VLOOKUP('102 5.1.00'!H23,'102 5.1.00'!$AL$4:$AN$55,2,FALSE))*IF('102 5.1.00'!AJ$4="是",'102 5.1.00'!$AW$4,'102 5.1.00'!$AW$3)</f>
        <v>0</v>
      </c>
      <c r="B23" s="4">
        <f>(VLOOKUP('102 5.1.00'!I23,'102 5.1.00'!$AL$4:$AN$55,2,FALSE))*IF('102 5.1.00'!AK$4="是",'102 5.1.00'!$AW$4,'102 5.1.00'!$AW$3)</f>
        <v>0</v>
      </c>
      <c r="C23" s="4">
        <f>(VLOOKUP('102 5.1.00'!J23,'102 5.1.00'!$AL$4:$AN$55,2,FALSE))*IF('102 5.1.00'!AL$4="是",'102 5.1.00'!$AW$4,'102 5.1.00'!$AW$3)</f>
        <v>0</v>
      </c>
      <c r="D23" s="4">
        <f>(VLOOKUP('102 5.1.00'!K23,'102 5.1.00'!$AL$4:$AN$55,2,FALSE))*IF('102 5.1.00'!AM$4="是",'102 5.1.00'!$AW$4,'102 5.1.00'!$AW$3)</f>
        <v>0</v>
      </c>
      <c r="E23" s="4">
        <f>(VLOOKUP('102 5.1.00'!L23,'102 5.1.00'!$AL$4:$AN$55,2,FALSE))*IF('102 5.1.00'!AN$4="是",'102 5.1.00'!$AW$4,'102 5.1.00'!$AW$3)</f>
        <v>0</v>
      </c>
      <c r="F23" s="4">
        <f>(VLOOKUP('102 5.1.00'!M23,'102 5.1.00'!$AL$4:$AN$55,2,FALSE))*IF('102 5.1.00'!AO$4="是",'102 5.1.00'!$AW$4,'102 5.1.00'!$AW$3)</f>
        <v>0</v>
      </c>
      <c r="G23" s="5">
        <f>(VLOOKUP('102 5.1.00'!N23,'102 5.1.00'!$AL$4:$AN$55,2,FALSE))*IF('102 5.1.00'!AP$4="是",'102 5.1.00'!$AW$4,'102 5.1.00'!$AW$3)</f>
        <v>0</v>
      </c>
      <c r="H23" s="5">
        <f>(VLOOKUP('102 5.1.00'!O23,'102 5.1.00'!$AL$4:$AN$55,2,FALSE))*IF('102 5.1.00'!AQ$4="是",'102 5.1.00'!$AW$4,'102 5.1.00'!$AW$3)</f>
        <v>0</v>
      </c>
      <c r="I23" s="4">
        <f>(VLOOKUP('102 5.1.00'!P23,'102 5.1.00'!$AL$4:$AN$55,2,FALSE))*IF('102 5.1.00'!AR$4="是",'102 5.1.00'!$AW$4,'102 5.1.00'!$AW$3)</f>
        <v>0</v>
      </c>
      <c r="J23" s="4">
        <f>(VLOOKUP('102 5.1.00'!Q23,'102 5.1.00'!$AL$4:$AN$55,2,FALSE))*IF('102 5.1.00'!AS$4="是",'102 5.1.00'!$AW$4,'102 5.1.00'!$AW$3)</f>
        <v>0</v>
      </c>
      <c r="K23" s="4">
        <f>(VLOOKUP('102 5.1.00'!R23,'102 5.1.00'!$AL$4:$AN$55,2,FALSE))*IF('102 5.1.00'!AT$4="是",'102 5.1.00'!$AW$4,'102 5.1.00'!$AW$3)</f>
        <v>0</v>
      </c>
      <c r="L23" s="4">
        <f>(VLOOKUP('102 5.1.00'!S23,'102 5.1.00'!$AL$4:$AN$55,2,FALSE))*IF('102 5.1.00'!AU$4="是",'102 5.1.00'!$AW$4,'102 5.1.00'!$AW$3)</f>
        <v>0</v>
      </c>
      <c r="M23" s="4">
        <f>(VLOOKUP('102 5.1.00'!T23,'102 5.1.00'!$AL$4:$AN$55,2,FALSE))*IF('102 5.1.00'!AV$4="是",'102 5.1.00'!$AW$4,'102 5.1.00'!$AW$3)</f>
        <v>0</v>
      </c>
      <c r="N23" s="4">
        <f>(VLOOKUP('102 5.1.00'!U23,'102 5.1.00'!$AL$4:$AN$55,2,FALSE))*IF('102 5.1.00'!AW$4="是",'102 5.1.00'!$AW$4,'102 5.1.00'!$AW$3)</f>
        <v>0</v>
      </c>
      <c r="O23" s="5">
        <f>(VLOOKUP('102 5.1.00'!V23,'102 5.1.00'!$AL$4:$AN$55,2,FALSE))*IF('102 5.1.00'!AX$4="是",'102 5.1.00'!$AW$4,'102 5.1.00'!$AW$3)</f>
        <v>0</v>
      </c>
      <c r="P23" s="5">
        <f>(VLOOKUP('102 5.1.00'!W23,'102 5.1.00'!$AL$4:$AN$55,2,FALSE))*IF('102 5.1.00'!AY$4="是",'102 5.1.00'!$AW$4,'102 5.1.00'!$AW$3)</f>
        <v>0</v>
      </c>
      <c r="Q23" s="4">
        <f>(VLOOKUP('102 5.1.00'!X23,'102 5.1.00'!$AL$4:$AN$55,2,FALSE))*IF('102 5.1.00'!AZ$4="是",'102 5.1.00'!$AW$4,'102 5.1.00'!$AW$3)</f>
        <v>0</v>
      </c>
      <c r="R23" s="4">
        <f>(VLOOKUP('102 5.1.00'!Y23,'102 5.1.00'!$AL$4:$AN$55,2,FALSE))*IF('102 5.1.00'!BA$4="是",'102 5.1.00'!$AW$4,'102 5.1.00'!$AW$3)</f>
        <v>0</v>
      </c>
      <c r="S23" s="4">
        <f>(VLOOKUP('102 5.1.00'!Z23,'102 5.1.00'!$AL$4:$AN$55,2,FALSE))*IF('102 5.1.00'!BB$4="是",'102 5.1.00'!$AW$4,'102 5.1.00'!$AW$3)</f>
        <v>0</v>
      </c>
      <c r="T23" s="4">
        <f>(VLOOKUP('102 5.1.00'!AA23,'102 5.1.00'!$AL$4:$AN$55,2,FALSE))*IF('102 5.1.00'!BC$4="是",'102 5.1.00'!$AW$4,'102 5.1.00'!$AW$3)</f>
        <v>0</v>
      </c>
      <c r="U23" s="4">
        <f>(VLOOKUP('102 5.1.00'!AB23,'102 5.1.00'!$AL$4:$AN$55,2,FALSE))*IF('102 5.1.00'!BD$4="是",'102 5.1.00'!$AW$4,'102 5.1.00'!$AW$3)</f>
        <v>0</v>
      </c>
      <c r="V23" s="4">
        <f>(VLOOKUP('102 5.1.00'!AC23,'102 5.1.00'!$AL$4:$AN$55,2,FALSE))*IF('102 5.1.00'!BE$4="是",'102 5.1.00'!$AW$4,'102 5.1.00'!$AW$3)</f>
        <v>0</v>
      </c>
      <c r="W23" s="5">
        <f>(VLOOKUP('102 5.1.00'!AD23,'102 5.1.00'!$AL$4:$AN$55,2,FALSE))*IF('102 5.1.00'!BF$4="是",'102 5.1.00'!$AW$4,'102 5.1.00'!$AW$3)</f>
        <v>0</v>
      </c>
      <c r="X23" s="5">
        <f>(VLOOKUP('102 5.1.00'!AE23,'102 5.1.00'!$AL$4:$AN$55,2,FALSE))*IF('102 5.1.00'!BG$4="是",'102 5.1.00'!$AW$4,'102 5.1.00'!$AW$3)</f>
        <v>0</v>
      </c>
    </row>
    <row r="24" spans="1:24">
      <c r="A24" s="4">
        <f>(VLOOKUP('102 5.1.00'!H24,'102 5.1.00'!$AL$4:$AN$55,2,FALSE))*IF('102 5.1.00'!AJ$4="是",'102 5.1.00'!$AW$4,'102 5.1.00'!$AW$3)</f>
        <v>0</v>
      </c>
      <c r="B24" s="4">
        <f>(VLOOKUP('102 5.1.00'!I24,'102 5.1.00'!$AL$4:$AN$55,2,FALSE))*IF('102 5.1.00'!AK$4="是",'102 5.1.00'!$AW$4,'102 5.1.00'!$AW$3)</f>
        <v>0</v>
      </c>
      <c r="C24" s="4">
        <f>(VLOOKUP('102 5.1.00'!J24,'102 5.1.00'!$AL$4:$AN$55,2,FALSE))*IF('102 5.1.00'!AL$4="是",'102 5.1.00'!$AW$4,'102 5.1.00'!$AW$3)</f>
        <v>0</v>
      </c>
      <c r="D24" s="4">
        <f>(VLOOKUP('102 5.1.00'!K24,'102 5.1.00'!$AL$4:$AN$55,2,FALSE))*IF('102 5.1.00'!AM$4="是",'102 5.1.00'!$AW$4,'102 5.1.00'!$AW$3)</f>
        <v>0</v>
      </c>
      <c r="E24" s="4">
        <f>(VLOOKUP('102 5.1.00'!L24,'102 5.1.00'!$AL$4:$AN$55,2,FALSE))*IF('102 5.1.00'!AN$4="是",'102 5.1.00'!$AW$4,'102 5.1.00'!$AW$3)</f>
        <v>0</v>
      </c>
      <c r="F24" s="4">
        <f>(VLOOKUP('102 5.1.00'!M24,'102 5.1.00'!$AL$4:$AN$55,2,FALSE))*IF('102 5.1.00'!AO$4="是",'102 5.1.00'!$AW$4,'102 5.1.00'!$AW$3)</f>
        <v>0</v>
      </c>
      <c r="G24" s="5">
        <f>(VLOOKUP('102 5.1.00'!N24,'102 5.1.00'!$AL$4:$AN$55,2,FALSE))*IF('102 5.1.00'!AP$4="是",'102 5.1.00'!$AW$4,'102 5.1.00'!$AW$3)</f>
        <v>0</v>
      </c>
      <c r="H24" s="5">
        <f>(VLOOKUP('102 5.1.00'!O24,'102 5.1.00'!$AL$4:$AN$55,2,FALSE))*IF('102 5.1.00'!AQ$4="是",'102 5.1.00'!$AW$4,'102 5.1.00'!$AW$3)</f>
        <v>0</v>
      </c>
      <c r="I24" s="4">
        <f>(VLOOKUP('102 5.1.00'!P24,'102 5.1.00'!$AL$4:$AN$55,2,FALSE))*IF('102 5.1.00'!AR$4="是",'102 5.1.00'!$AW$4,'102 5.1.00'!$AW$3)</f>
        <v>0</v>
      </c>
      <c r="J24" s="4">
        <f>(VLOOKUP('102 5.1.00'!Q24,'102 5.1.00'!$AL$4:$AN$55,2,FALSE))*IF('102 5.1.00'!AS$4="是",'102 5.1.00'!$AW$4,'102 5.1.00'!$AW$3)</f>
        <v>0</v>
      </c>
      <c r="K24" s="4">
        <f>(VLOOKUP('102 5.1.00'!R24,'102 5.1.00'!$AL$4:$AN$55,2,FALSE))*IF('102 5.1.00'!AT$4="是",'102 5.1.00'!$AW$4,'102 5.1.00'!$AW$3)</f>
        <v>0</v>
      </c>
      <c r="L24" s="4">
        <f>(VLOOKUP('102 5.1.00'!S24,'102 5.1.00'!$AL$4:$AN$55,2,FALSE))*IF('102 5.1.00'!AU$4="是",'102 5.1.00'!$AW$4,'102 5.1.00'!$AW$3)</f>
        <v>0</v>
      </c>
      <c r="M24" s="4">
        <f>(VLOOKUP('102 5.1.00'!T24,'102 5.1.00'!$AL$4:$AN$55,2,FALSE))*IF('102 5.1.00'!AV$4="是",'102 5.1.00'!$AW$4,'102 5.1.00'!$AW$3)</f>
        <v>0</v>
      </c>
      <c r="N24" s="4">
        <f>(VLOOKUP('102 5.1.00'!U24,'102 5.1.00'!$AL$4:$AN$55,2,FALSE))*IF('102 5.1.00'!AW$4="是",'102 5.1.00'!$AW$4,'102 5.1.00'!$AW$3)</f>
        <v>0</v>
      </c>
      <c r="O24" s="5">
        <f>(VLOOKUP('102 5.1.00'!V24,'102 5.1.00'!$AL$4:$AN$55,2,FALSE))*IF('102 5.1.00'!AX$4="是",'102 5.1.00'!$AW$4,'102 5.1.00'!$AW$3)</f>
        <v>0</v>
      </c>
      <c r="P24" s="5">
        <f>(VLOOKUP('102 5.1.00'!W24,'102 5.1.00'!$AL$4:$AN$55,2,FALSE))*IF('102 5.1.00'!AY$4="是",'102 5.1.00'!$AW$4,'102 5.1.00'!$AW$3)</f>
        <v>0</v>
      </c>
      <c r="Q24" s="4">
        <f>(VLOOKUP('102 5.1.00'!X24,'102 5.1.00'!$AL$4:$AN$55,2,FALSE))*IF('102 5.1.00'!AZ$4="是",'102 5.1.00'!$AW$4,'102 5.1.00'!$AW$3)</f>
        <v>0</v>
      </c>
      <c r="R24" s="4">
        <f>(VLOOKUP('102 5.1.00'!Y24,'102 5.1.00'!$AL$4:$AN$55,2,FALSE))*IF('102 5.1.00'!BA$4="是",'102 5.1.00'!$AW$4,'102 5.1.00'!$AW$3)</f>
        <v>0</v>
      </c>
      <c r="S24" s="4">
        <f>(VLOOKUP('102 5.1.00'!Z24,'102 5.1.00'!$AL$4:$AN$55,2,FALSE))*IF('102 5.1.00'!BB$4="是",'102 5.1.00'!$AW$4,'102 5.1.00'!$AW$3)</f>
        <v>0</v>
      </c>
      <c r="T24" s="4">
        <f>(VLOOKUP('102 5.1.00'!AA24,'102 5.1.00'!$AL$4:$AN$55,2,FALSE))*IF('102 5.1.00'!BC$4="是",'102 5.1.00'!$AW$4,'102 5.1.00'!$AW$3)</f>
        <v>0</v>
      </c>
      <c r="U24" s="4">
        <f>(VLOOKUP('102 5.1.00'!AB24,'102 5.1.00'!$AL$4:$AN$55,2,FALSE))*IF('102 5.1.00'!BD$4="是",'102 5.1.00'!$AW$4,'102 5.1.00'!$AW$3)</f>
        <v>0</v>
      </c>
      <c r="V24" s="4">
        <f>(VLOOKUP('102 5.1.00'!AC24,'102 5.1.00'!$AL$4:$AN$55,2,FALSE))*IF('102 5.1.00'!BE$4="是",'102 5.1.00'!$AW$4,'102 5.1.00'!$AW$3)</f>
        <v>0</v>
      </c>
      <c r="W24" s="5">
        <f>(VLOOKUP('102 5.1.00'!AD24,'102 5.1.00'!$AL$4:$AN$55,2,FALSE))*IF('102 5.1.00'!BF$4="是",'102 5.1.00'!$AW$4,'102 5.1.00'!$AW$3)</f>
        <v>0</v>
      </c>
      <c r="X24" s="5">
        <f>(VLOOKUP('102 5.1.00'!AE24,'102 5.1.00'!$AL$4:$AN$55,2,FALSE))*IF('102 5.1.00'!BG$4="是",'102 5.1.00'!$AW$4,'102 5.1.00'!$AW$3)</f>
        <v>0</v>
      </c>
    </row>
    <row r="25" spans="1:24">
      <c r="A25" s="4">
        <f>(VLOOKUP('102 5.1.00'!H25,'102 5.1.00'!$AL$4:$AN$55,2,FALSE))*IF('102 5.1.00'!AJ$4="是",'102 5.1.00'!$AW$4,'102 5.1.00'!$AW$3)</f>
        <v>0</v>
      </c>
      <c r="B25" s="4">
        <f>(VLOOKUP('102 5.1.00'!I25,'102 5.1.00'!$AL$4:$AN$55,2,FALSE))*IF('102 5.1.00'!AK$4="是",'102 5.1.00'!$AW$4,'102 5.1.00'!$AW$3)</f>
        <v>0</v>
      </c>
      <c r="C25" s="4">
        <f>(VLOOKUP('102 5.1.00'!J25,'102 5.1.00'!$AL$4:$AN$55,2,FALSE))*IF('102 5.1.00'!AL$4="是",'102 5.1.00'!$AW$4,'102 5.1.00'!$AW$3)</f>
        <v>0</v>
      </c>
      <c r="D25" s="4">
        <f>(VLOOKUP('102 5.1.00'!K25,'102 5.1.00'!$AL$4:$AN$55,2,FALSE))*IF('102 5.1.00'!AM$4="是",'102 5.1.00'!$AW$4,'102 5.1.00'!$AW$3)</f>
        <v>0</v>
      </c>
      <c r="E25" s="4">
        <f>(VLOOKUP('102 5.1.00'!L25,'102 5.1.00'!$AL$4:$AN$55,2,FALSE))*IF('102 5.1.00'!AN$4="是",'102 5.1.00'!$AW$4,'102 5.1.00'!$AW$3)</f>
        <v>0</v>
      </c>
      <c r="F25" s="4">
        <f>(VLOOKUP('102 5.1.00'!M25,'102 5.1.00'!$AL$4:$AN$55,2,FALSE))*IF('102 5.1.00'!AO$4="是",'102 5.1.00'!$AW$4,'102 5.1.00'!$AW$3)</f>
        <v>0</v>
      </c>
      <c r="G25" s="5">
        <f>(VLOOKUP('102 5.1.00'!N25,'102 5.1.00'!$AL$4:$AN$55,2,FALSE))*IF('102 5.1.00'!AP$4="是",'102 5.1.00'!$AW$4,'102 5.1.00'!$AW$3)</f>
        <v>0</v>
      </c>
      <c r="H25" s="5">
        <f>(VLOOKUP('102 5.1.00'!O25,'102 5.1.00'!$AL$4:$AN$55,2,FALSE))*IF('102 5.1.00'!AQ$4="是",'102 5.1.00'!$AW$4,'102 5.1.00'!$AW$3)</f>
        <v>0</v>
      </c>
      <c r="I25" s="4">
        <f>(VLOOKUP('102 5.1.00'!P25,'102 5.1.00'!$AL$4:$AN$55,2,FALSE))*IF('102 5.1.00'!AR$4="是",'102 5.1.00'!$AW$4,'102 5.1.00'!$AW$3)</f>
        <v>0</v>
      </c>
      <c r="J25" s="4">
        <f>(VLOOKUP('102 5.1.00'!Q25,'102 5.1.00'!$AL$4:$AN$55,2,FALSE))*IF('102 5.1.00'!AS$4="是",'102 5.1.00'!$AW$4,'102 5.1.00'!$AW$3)</f>
        <v>0</v>
      </c>
      <c r="K25" s="4">
        <f>(VLOOKUP('102 5.1.00'!R25,'102 5.1.00'!$AL$4:$AN$55,2,FALSE))*IF('102 5.1.00'!AT$4="是",'102 5.1.00'!$AW$4,'102 5.1.00'!$AW$3)</f>
        <v>0</v>
      </c>
      <c r="L25" s="4">
        <f>(VLOOKUP('102 5.1.00'!S25,'102 5.1.00'!$AL$4:$AN$55,2,FALSE))*IF('102 5.1.00'!AU$4="是",'102 5.1.00'!$AW$4,'102 5.1.00'!$AW$3)</f>
        <v>0</v>
      </c>
      <c r="M25" s="4">
        <f>(VLOOKUP('102 5.1.00'!T25,'102 5.1.00'!$AL$4:$AN$55,2,FALSE))*IF('102 5.1.00'!AV$4="是",'102 5.1.00'!$AW$4,'102 5.1.00'!$AW$3)</f>
        <v>0</v>
      </c>
      <c r="N25" s="4">
        <f>(VLOOKUP('102 5.1.00'!U25,'102 5.1.00'!$AL$4:$AN$55,2,FALSE))*IF('102 5.1.00'!AW$4="是",'102 5.1.00'!$AW$4,'102 5.1.00'!$AW$3)</f>
        <v>0</v>
      </c>
      <c r="O25" s="5">
        <f>(VLOOKUP('102 5.1.00'!V25,'102 5.1.00'!$AL$4:$AN$55,2,FALSE))*IF('102 5.1.00'!AX$4="是",'102 5.1.00'!$AW$4,'102 5.1.00'!$AW$3)</f>
        <v>0</v>
      </c>
      <c r="P25" s="5">
        <f>(VLOOKUP('102 5.1.00'!W25,'102 5.1.00'!$AL$4:$AN$55,2,FALSE))*IF('102 5.1.00'!AY$4="是",'102 5.1.00'!$AW$4,'102 5.1.00'!$AW$3)</f>
        <v>0</v>
      </c>
      <c r="Q25" s="4">
        <f>(VLOOKUP('102 5.1.00'!X25,'102 5.1.00'!$AL$4:$AN$55,2,FALSE))*IF('102 5.1.00'!AZ$4="是",'102 5.1.00'!$AW$4,'102 5.1.00'!$AW$3)</f>
        <v>0</v>
      </c>
      <c r="R25" s="4">
        <f>(VLOOKUP('102 5.1.00'!Y25,'102 5.1.00'!$AL$4:$AN$55,2,FALSE))*IF('102 5.1.00'!BA$4="是",'102 5.1.00'!$AW$4,'102 5.1.00'!$AW$3)</f>
        <v>0</v>
      </c>
      <c r="S25" s="4">
        <f>(VLOOKUP('102 5.1.00'!Z25,'102 5.1.00'!$AL$4:$AN$55,2,FALSE))*IF('102 5.1.00'!BB$4="是",'102 5.1.00'!$AW$4,'102 5.1.00'!$AW$3)</f>
        <v>0</v>
      </c>
      <c r="T25" s="4">
        <f>(VLOOKUP('102 5.1.00'!AA25,'102 5.1.00'!$AL$4:$AN$55,2,FALSE))*IF('102 5.1.00'!BC$4="是",'102 5.1.00'!$AW$4,'102 5.1.00'!$AW$3)</f>
        <v>0</v>
      </c>
      <c r="U25" s="4">
        <f>(VLOOKUP('102 5.1.00'!AB25,'102 5.1.00'!$AL$4:$AN$55,2,FALSE))*IF('102 5.1.00'!BD$4="是",'102 5.1.00'!$AW$4,'102 5.1.00'!$AW$3)</f>
        <v>0</v>
      </c>
      <c r="V25" s="4">
        <f>(VLOOKUP('102 5.1.00'!AC25,'102 5.1.00'!$AL$4:$AN$55,2,FALSE))*IF('102 5.1.00'!BE$4="是",'102 5.1.00'!$AW$4,'102 5.1.00'!$AW$3)</f>
        <v>0</v>
      </c>
      <c r="W25" s="5">
        <f>(VLOOKUP('102 5.1.00'!AD25,'102 5.1.00'!$AL$4:$AN$55,2,FALSE))*IF('102 5.1.00'!BF$4="是",'102 5.1.00'!$AW$4,'102 5.1.00'!$AW$3)</f>
        <v>0</v>
      </c>
      <c r="X25" s="5">
        <f>(VLOOKUP('102 5.1.00'!AE25,'102 5.1.00'!$AL$4:$AN$55,2,FALSE))*IF('102 5.1.00'!BG$4="是",'102 5.1.00'!$AW$4,'102 5.1.00'!$AW$3)</f>
        <v>0</v>
      </c>
    </row>
    <row r="26" spans="1:24">
      <c r="A26" s="4">
        <f>(VLOOKUP('102 5.1.00'!H26,'102 5.1.00'!$AL$4:$AN$55,2,FALSE))*IF('102 5.1.00'!AJ$4="是",'102 5.1.00'!$AW$4,'102 5.1.00'!$AW$3)</f>
        <v>0</v>
      </c>
      <c r="B26" s="4">
        <f>(VLOOKUP('102 5.1.00'!I26,'102 5.1.00'!$AL$4:$AN$55,2,FALSE))*IF('102 5.1.00'!AK$4="是",'102 5.1.00'!$AW$4,'102 5.1.00'!$AW$3)</f>
        <v>0</v>
      </c>
      <c r="C26" s="4">
        <f>(VLOOKUP('102 5.1.00'!J26,'102 5.1.00'!$AL$4:$AN$55,2,FALSE))*IF('102 5.1.00'!AL$4="是",'102 5.1.00'!$AW$4,'102 5.1.00'!$AW$3)</f>
        <v>0</v>
      </c>
      <c r="D26" s="4">
        <f>(VLOOKUP('102 5.1.00'!K26,'102 5.1.00'!$AL$4:$AN$55,2,FALSE))*IF('102 5.1.00'!AM$4="是",'102 5.1.00'!$AW$4,'102 5.1.00'!$AW$3)</f>
        <v>0</v>
      </c>
      <c r="E26" s="4">
        <f>(VLOOKUP('102 5.1.00'!L26,'102 5.1.00'!$AL$4:$AN$55,2,FALSE))*IF('102 5.1.00'!AN$4="是",'102 5.1.00'!$AW$4,'102 5.1.00'!$AW$3)</f>
        <v>0</v>
      </c>
      <c r="F26" s="4">
        <f>(VLOOKUP('102 5.1.00'!M26,'102 5.1.00'!$AL$4:$AN$55,2,FALSE))*IF('102 5.1.00'!AO$4="是",'102 5.1.00'!$AW$4,'102 5.1.00'!$AW$3)</f>
        <v>0</v>
      </c>
      <c r="G26" s="5">
        <f>(VLOOKUP('102 5.1.00'!N26,'102 5.1.00'!$AL$4:$AN$55,2,FALSE))*IF('102 5.1.00'!AP$4="是",'102 5.1.00'!$AW$4,'102 5.1.00'!$AW$3)</f>
        <v>0</v>
      </c>
      <c r="H26" s="5">
        <f>(VLOOKUP('102 5.1.00'!O26,'102 5.1.00'!$AL$4:$AN$55,2,FALSE))*IF('102 5.1.00'!AQ$4="是",'102 5.1.00'!$AW$4,'102 5.1.00'!$AW$3)</f>
        <v>0</v>
      </c>
      <c r="I26" s="4">
        <f>(VLOOKUP('102 5.1.00'!P26,'102 5.1.00'!$AL$4:$AN$55,2,FALSE))*IF('102 5.1.00'!AR$4="是",'102 5.1.00'!$AW$4,'102 5.1.00'!$AW$3)</f>
        <v>0</v>
      </c>
      <c r="J26" s="4">
        <f>(VLOOKUP('102 5.1.00'!Q26,'102 5.1.00'!$AL$4:$AN$55,2,FALSE))*IF('102 5.1.00'!AS$4="是",'102 5.1.00'!$AW$4,'102 5.1.00'!$AW$3)</f>
        <v>0</v>
      </c>
      <c r="K26" s="4">
        <f>(VLOOKUP('102 5.1.00'!R26,'102 5.1.00'!$AL$4:$AN$55,2,FALSE))*IF('102 5.1.00'!AT$4="是",'102 5.1.00'!$AW$4,'102 5.1.00'!$AW$3)</f>
        <v>0</v>
      </c>
      <c r="L26" s="4">
        <f>(VLOOKUP('102 5.1.00'!S26,'102 5.1.00'!$AL$4:$AN$55,2,FALSE))*IF('102 5.1.00'!AU$4="是",'102 5.1.00'!$AW$4,'102 5.1.00'!$AW$3)</f>
        <v>0</v>
      </c>
      <c r="M26" s="4">
        <f>(VLOOKUP('102 5.1.00'!T26,'102 5.1.00'!$AL$4:$AN$55,2,FALSE))*IF('102 5.1.00'!AV$4="是",'102 5.1.00'!$AW$4,'102 5.1.00'!$AW$3)</f>
        <v>0</v>
      </c>
      <c r="N26" s="4">
        <f>(VLOOKUP('102 5.1.00'!U26,'102 5.1.00'!$AL$4:$AN$55,2,FALSE))*IF('102 5.1.00'!AW$4="是",'102 5.1.00'!$AW$4,'102 5.1.00'!$AW$3)</f>
        <v>0</v>
      </c>
      <c r="O26" s="5">
        <f>(VLOOKUP('102 5.1.00'!V26,'102 5.1.00'!$AL$4:$AN$55,2,FALSE))*IF('102 5.1.00'!AX$4="是",'102 5.1.00'!$AW$4,'102 5.1.00'!$AW$3)</f>
        <v>0</v>
      </c>
      <c r="P26" s="5">
        <f>(VLOOKUP('102 5.1.00'!W26,'102 5.1.00'!$AL$4:$AN$55,2,FALSE))*IF('102 5.1.00'!AY$4="是",'102 5.1.00'!$AW$4,'102 5.1.00'!$AW$3)</f>
        <v>0</v>
      </c>
      <c r="Q26" s="4">
        <f>(VLOOKUP('102 5.1.00'!X26,'102 5.1.00'!$AL$4:$AN$55,2,FALSE))*IF('102 5.1.00'!AZ$4="是",'102 5.1.00'!$AW$4,'102 5.1.00'!$AW$3)</f>
        <v>0</v>
      </c>
      <c r="R26" s="4">
        <f>(VLOOKUP('102 5.1.00'!Y26,'102 5.1.00'!$AL$4:$AN$55,2,FALSE))*IF('102 5.1.00'!BA$4="是",'102 5.1.00'!$AW$4,'102 5.1.00'!$AW$3)</f>
        <v>0</v>
      </c>
      <c r="S26" s="4">
        <f>(VLOOKUP('102 5.1.00'!Z26,'102 5.1.00'!$AL$4:$AN$55,2,FALSE))*IF('102 5.1.00'!BB$4="是",'102 5.1.00'!$AW$4,'102 5.1.00'!$AW$3)</f>
        <v>0</v>
      </c>
      <c r="T26" s="4">
        <f>(VLOOKUP('102 5.1.00'!AA26,'102 5.1.00'!$AL$4:$AN$55,2,FALSE))*IF('102 5.1.00'!BC$4="是",'102 5.1.00'!$AW$4,'102 5.1.00'!$AW$3)</f>
        <v>0</v>
      </c>
      <c r="U26" s="4">
        <f>(VLOOKUP('102 5.1.00'!AB26,'102 5.1.00'!$AL$4:$AN$55,2,FALSE))*IF('102 5.1.00'!BD$4="是",'102 5.1.00'!$AW$4,'102 5.1.00'!$AW$3)</f>
        <v>0</v>
      </c>
      <c r="V26" s="4">
        <f>(VLOOKUP('102 5.1.00'!AC26,'102 5.1.00'!$AL$4:$AN$55,2,FALSE))*IF('102 5.1.00'!BE$4="是",'102 5.1.00'!$AW$4,'102 5.1.00'!$AW$3)</f>
        <v>0</v>
      </c>
      <c r="W26" s="5">
        <f>(VLOOKUP('102 5.1.00'!AD26,'102 5.1.00'!$AL$4:$AN$55,2,FALSE))*IF('102 5.1.00'!BF$4="是",'102 5.1.00'!$AW$4,'102 5.1.00'!$AW$3)</f>
        <v>0</v>
      </c>
      <c r="X26" s="5">
        <f>(VLOOKUP('102 5.1.00'!AE26,'102 5.1.00'!$AL$4:$AN$55,2,FALSE))*IF('102 5.1.00'!BG$4="是",'102 5.1.00'!$AW$4,'102 5.1.00'!$AW$3)</f>
        <v>0</v>
      </c>
    </row>
    <row r="27" spans="1:24">
      <c r="A27" s="4">
        <f>(VLOOKUP('102 5.1.00'!H27,'102 5.1.00'!$AL$4:$AN$55,2,FALSE))*IF('102 5.1.00'!AJ$4="是",'102 5.1.00'!$AW$4,'102 5.1.00'!$AW$3)</f>
        <v>0</v>
      </c>
      <c r="B27" s="4">
        <f>(VLOOKUP('102 5.1.00'!I27,'102 5.1.00'!$AL$4:$AN$55,2,FALSE))*IF('102 5.1.00'!AK$4="是",'102 5.1.00'!$AW$4,'102 5.1.00'!$AW$3)</f>
        <v>0</v>
      </c>
      <c r="C27" s="4">
        <f>(VLOOKUP('102 5.1.00'!J27,'102 5.1.00'!$AL$4:$AN$55,2,FALSE))*IF('102 5.1.00'!AL$4="是",'102 5.1.00'!$AW$4,'102 5.1.00'!$AW$3)</f>
        <v>0</v>
      </c>
      <c r="D27" s="4">
        <f>(VLOOKUP('102 5.1.00'!K27,'102 5.1.00'!$AL$4:$AN$55,2,FALSE))*IF('102 5.1.00'!AM$4="是",'102 5.1.00'!$AW$4,'102 5.1.00'!$AW$3)</f>
        <v>0</v>
      </c>
      <c r="E27" s="4">
        <f>(VLOOKUP('102 5.1.00'!L27,'102 5.1.00'!$AL$4:$AN$55,2,FALSE))*IF('102 5.1.00'!AN$4="是",'102 5.1.00'!$AW$4,'102 5.1.00'!$AW$3)</f>
        <v>0</v>
      </c>
      <c r="F27" s="4">
        <f>(VLOOKUP('102 5.1.00'!M27,'102 5.1.00'!$AL$4:$AN$55,2,FALSE))*IF('102 5.1.00'!AO$4="是",'102 5.1.00'!$AW$4,'102 5.1.00'!$AW$3)</f>
        <v>0</v>
      </c>
      <c r="G27" s="5">
        <f>(VLOOKUP('102 5.1.00'!N27,'102 5.1.00'!$AL$4:$AN$55,2,FALSE))*IF('102 5.1.00'!AP$4="是",'102 5.1.00'!$AW$4,'102 5.1.00'!$AW$3)</f>
        <v>0</v>
      </c>
      <c r="H27" s="5">
        <f>(VLOOKUP('102 5.1.00'!O27,'102 5.1.00'!$AL$4:$AN$55,2,FALSE))*IF('102 5.1.00'!AQ$4="是",'102 5.1.00'!$AW$4,'102 5.1.00'!$AW$3)</f>
        <v>0</v>
      </c>
      <c r="I27" s="4">
        <f>(VLOOKUP('102 5.1.00'!P27,'102 5.1.00'!$AL$4:$AN$55,2,FALSE))*IF('102 5.1.00'!AR$4="是",'102 5.1.00'!$AW$4,'102 5.1.00'!$AW$3)</f>
        <v>0</v>
      </c>
      <c r="J27" s="4">
        <f>(VLOOKUP('102 5.1.00'!Q27,'102 5.1.00'!$AL$4:$AN$55,2,FALSE))*IF('102 5.1.00'!AS$4="是",'102 5.1.00'!$AW$4,'102 5.1.00'!$AW$3)</f>
        <v>0</v>
      </c>
      <c r="K27" s="4">
        <f>(VLOOKUP('102 5.1.00'!R27,'102 5.1.00'!$AL$4:$AN$55,2,FALSE))*IF('102 5.1.00'!AT$4="是",'102 5.1.00'!$AW$4,'102 5.1.00'!$AW$3)</f>
        <v>0</v>
      </c>
      <c r="L27" s="4">
        <f>(VLOOKUP('102 5.1.00'!S27,'102 5.1.00'!$AL$4:$AN$55,2,FALSE))*IF('102 5.1.00'!AU$4="是",'102 5.1.00'!$AW$4,'102 5.1.00'!$AW$3)</f>
        <v>0</v>
      </c>
      <c r="M27" s="4">
        <f>(VLOOKUP('102 5.1.00'!T27,'102 5.1.00'!$AL$4:$AN$55,2,FALSE))*IF('102 5.1.00'!AV$4="是",'102 5.1.00'!$AW$4,'102 5.1.00'!$AW$3)</f>
        <v>0</v>
      </c>
      <c r="N27" s="4">
        <f>(VLOOKUP('102 5.1.00'!U27,'102 5.1.00'!$AL$4:$AN$55,2,FALSE))*IF('102 5.1.00'!AW$4="是",'102 5.1.00'!$AW$4,'102 5.1.00'!$AW$3)</f>
        <v>0</v>
      </c>
      <c r="O27" s="5">
        <f>(VLOOKUP('102 5.1.00'!V27,'102 5.1.00'!$AL$4:$AN$55,2,FALSE))*IF('102 5.1.00'!AX$4="是",'102 5.1.00'!$AW$4,'102 5.1.00'!$AW$3)</f>
        <v>0</v>
      </c>
      <c r="P27" s="5">
        <f>(VLOOKUP('102 5.1.00'!W27,'102 5.1.00'!$AL$4:$AN$55,2,FALSE))*IF('102 5.1.00'!AY$4="是",'102 5.1.00'!$AW$4,'102 5.1.00'!$AW$3)</f>
        <v>0</v>
      </c>
      <c r="Q27" s="4">
        <f>(VLOOKUP('102 5.1.00'!X27,'102 5.1.00'!$AL$4:$AN$55,2,FALSE))*IF('102 5.1.00'!AZ$4="是",'102 5.1.00'!$AW$4,'102 5.1.00'!$AW$3)</f>
        <v>0</v>
      </c>
      <c r="R27" s="4">
        <f>(VLOOKUP('102 5.1.00'!Y27,'102 5.1.00'!$AL$4:$AN$55,2,FALSE))*IF('102 5.1.00'!BA$4="是",'102 5.1.00'!$AW$4,'102 5.1.00'!$AW$3)</f>
        <v>0</v>
      </c>
      <c r="S27" s="4">
        <f>(VLOOKUP('102 5.1.00'!Z27,'102 5.1.00'!$AL$4:$AN$55,2,FALSE))*IF('102 5.1.00'!BB$4="是",'102 5.1.00'!$AW$4,'102 5.1.00'!$AW$3)</f>
        <v>0</v>
      </c>
      <c r="T27" s="4">
        <f>(VLOOKUP('102 5.1.00'!AA27,'102 5.1.00'!$AL$4:$AN$55,2,FALSE))*IF('102 5.1.00'!BC$4="是",'102 5.1.00'!$AW$4,'102 5.1.00'!$AW$3)</f>
        <v>0</v>
      </c>
      <c r="U27" s="4">
        <f>(VLOOKUP('102 5.1.00'!AB27,'102 5.1.00'!$AL$4:$AN$55,2,FALSE))*IF('102 5.1.00'!BD$4="是",'102 5.1.00'!$AW$4,'102 5.1.00'!$AW$3)</f>
        <v>0</v>
      </c>
      <c r="V27" s="4">
        <f>(VLOOKUP('102 5.1.00'!AC27,'102 5.1.00'!$AL$4:$AN$55,2,FALSE))*IF('102 5.1.00'!BE$4="是",'102 5.1.00'!$AW$4,'102 5.1.00'!$AW$3)</f>
        <v>0</v>
      </c>
      <c r="W27" s="5">
        <f>(VLOOKUP('102 5.1.00'!AD27,'102 5.1.00'!$AL$4:$AN$55,2,FALSE))*IF('102 5.1.00'!BF$4="是",'102 5.1.00'!$AW$4,'102 5.1.00'!$AW$3)</f>
        <v>0</v>
      </c>
      <c r="X27" s="5">
        <f>(VLOOKUP('102 5.1.00'!AE27,'102 5.1.00'!$AL$4:$AN$55,2,FALSE))*IF('102 5.1.00'!BG$4="是",'102 5.1.00'!$AW$4,'102 5.1.00'!$AW$3)</f>
        <v>0</v>
      </c>
    </row>
    <row r="28" spans="1:24">
      <c r="A28" s="4">
        <f>(VLOOKUP('102 5.1.00'!H28,'102 5.1.00'!$AL$4:$AN$55,2,FALSE))*IF('102 5.1.00'!AJ$4="是",'102 5.1.00'!$AW$4,'102 5.1.00'!$AW$3)</f>
        <v>0</v>
      </c>
      <c r="B28" s="4">
        <f>(VLOOKUP('102 5.1.00'!I28,'102 5.1.00'!$AL$4:$AN$55,2,FALSE))*IF('102 5.1.00'!AK$4="是",'102 5.1.00'!$AW$4,'102 5.1.00'!$AW$3)</f>
        <v>0</v>
      </c>
      <c r="C28" s="4">
        <f>(VLOOKUP('102 5.1.00'!J28,'102 5.1.00'!$AL$4:$AN$55,2,FALSE))*IF('102 5.1.00'!AL$4="是",'102 5.1.00'!$AW$4,'102 5.1.00'!$AW$3)</f>
        <v>0</v>
      </c>
      <c r="D28" s="4">
        <f>(VLOOKUP('102 5.1.00'!K28,'102 5.1.00'!$AL$4:$AN$55,2,FALSE))*IF('102 5.1.00'!AM$4="是",'102 5.1.00'!$AW$4,'102 5.1.00'!$AW$3)</f>
        <v>0</v>
      </c>
      <c r="E28" s="4">
        <f>(VLOOKUP('102 5.1.00'!L28,'102 5.1.00'!$AL$4:$AN$55,2,FALSE))*IF('102 5.1.00'!AN$4="是",'102 5.1.00'!$AW$4,'102 5.1.00'!$AW$3)</f>
        <v>0</v>
      </c>
      <c r="F28" s="4">
        <f>(VLOOKUP('102 5.1.00'!M28,'102 5.1.00'!$AL$4:$AN$55,2,FALSE))*IF('102 5.1.00'!AO$4="是",'102 5.1.00'!$AW$4,'102 5.1.00'!$AW$3)</f>
        <v>0</v>
      </c>
      <c r="G28" s="5">
        <f>(VLOOKUP('102 5.1.00'!N28,'102 5.1.00'!$AL$4:$AN$55,2,FALSE))*IF('102 5.1.00'!AP$4="是",'102 5.1.00'!$AW$4,'102 5.1.00'!$AW$3)</f>
        <v>0</v>
      </c>
      <c r="H28" s="5">
        <f>(VLOOKUP('102 5.1.00'!O28,'102 5.1.00'!$AL$4:$AN$55,2,FALSE))*IF('102 5.1.00'!AQ$4="是",'102 5.1.00'!$AW$4,'102 5.1.00'!$AW$3)</f>
        <v>0</v>
      </c>
      <c r="I28" s="4">
        <f>(VLOOKUP('102 5.1.00'!P28,'102 5.1.00'!$AL$4:$AN$55,2,FALSE))*IF('102 5.1.00'!AR$4="是",'102 5.1.00'!$AW$4,'102 5.1.00'!$AW$3)</f>
        <v>0</v>
      </c>
      <c r="J28" s="4">
        <f>(VLOOKUP('102 5.1.00'!Q28,'102 5.1.00'!$AL$4:$AN$55,2,FALSE))*IF('102 5.1.00'!AS$4="是",'102 5.1.00'!$AW$4,'102 5.1.00'!$AW$3)</f>
        <v>0</v>
      </c>
      <c r="K28" s="4">
        <f>(VLOOKUP('102 5.1.00'!R28,'102 5.1.00'!$AL$4:$AN$55,2,FALSE))*IF('102 5.1.00'!AT$4="是",'102 5.1.00'!$AW$4,'102 5.1.00'!$AW$3)</f>
        <v>0</v>
      </c>
      <c r="L28" s="4">
        <f>(VLOOKUP('102 5.1.00'!S28,'102 5.1.00'!$AL$4:$AN$55,2,FALSE))*IF('102 5.1.00'!AU$4="是",'102 5.1.00'!$AW$4,'102 5.1.00'!$AW$3)</f>
        <v>0</v>
      </c>
      <c r="M28" s="4">
        <f>(VLOOKUP('102 5.1.00'!T28,'102 5.1.00'!$AL$4:$AN$55,2,FALSE))*IF('102 5.1.00'!AV$4="是",'102 5.1.00'!$AW$4,'102 5.1.00'!$AW$3)</f>
        <v>0</v>
      </c>
      <c r="N28" s="4">
        <f>(VLOOKUP('102 5.1.00'!U28,'102 5.1.00'!$AL$4:$AN$55,2,FALSE))*IF('102 5.1.00'!AW$4="是",'102 5.1.00'!$AW$4,'102 5.1.00'!$AW$3)</f>
        <v>0</v>
      </c>
      <c r="O28" s="5">
        <f>(VLOOKUP('102 5.1.00'!V28,'102 5.1.00'!$AL$4:$AN$55,2,FALSE))*IF('102 5.1.00'!AX$4="是",'102 5.1.00'!$AW$4,'102 5.1.00'!$AW$3)</f>
        <v>0</v>
      </c>
      <c r="P28" s="5">
        <f>(VLOOKUP('102 5.1.00'!W28,'102 5.1.00'!$AL$4:$AN$55,2,FALSE))*IF('102 5.1.00'!AY$4="是",'102 5.1.00'!$AW$4,'102 5.1.00'!$AW$3)</f>
        <v>0</v>
      </c>
      <c r="Q28" s="4">
        <f>(VLOOKUP('102 5.1.00'!X28,'102 5.1.00'!$AL$4:$AN$55,2,FALSE))*IF('102 5.1.00'!AZ$4="是",'102 5.1.00'!$AW$4,'102 5.1.00'!$AW$3)</f>
        <v>0</v>
      </c>
      <c r="R28" s="4">
        <f>(VLOOKUP('102 5.1.00'!Y28,'102 5.1.00'!$AL$4:$AN$55,2,FALSE))*IF('102 5.1.00'!BA$4="是",'102 5.1.00'!$AW$4,'102 5.1.00'!$AW$3)</f>
        <v>0</v>
      </c>
      <c r="S28" s="4">
        <f>(VLOOKUP('102 5.1.00'!Z28,'102 5.1.00'!$AL$4:$AN$55,2,FALSE))*IF('102 5.1.00'!BB$4="是",'102 5.1.00'!$AW$4,'102 5.1.00'!$AW$3)</f>
        <v>0</v>
      </c>
      <c r="T28" s="4">
        <f>(VLOOKUP('102 5.1.00'!AA28,'102 5.1.00'!$AL$4:$AN$55,2,FALSE))*IF('102 5.1.00'!BC$4="是",'102 5.1.00'!$AW$4,'102 5.1.00'!$AW$3)</f>
        <v>0</v>
      </c>
      <c r="U28" s="4">
        <f>(VLOOKUP('102 5.1.00'!AB28,'102 5.1.00'!$AL$4:$AN$55,2,FALSE))*IF('102 5.1.00'!BD$4="是",'102 5.1.00'!$AW$4,'102 5.1.00'!$AW$3)</f>
        <v>0</v>
      </c>
      <c r="V28" s="4">
        <f>(VLOOKUP('102 5.1.00'!AC28,'102 5.1.00'!$AL$4:$AN$55,2,FALSE))*IF('102 5.1.00'!BE$4="是",'102 5.1.00'!$AW$4,'102 5.1.00'!$AW$3)</f>
        <v>0</v>
      </c>
      <c r="W28" s="5">
        <f>(VLOOKUP('102 5.1.00'!AD28,'102 5.1.00'!$AL$4:$AN$55,2,FALSE))*IF('102 5.1.00'!BF$4="是",'102 5.1.00'!$AW$4,'102 5.1.00'!$AW$3)</f>
        <v>0</v>
      </c>
      <c r="X28" s="5">
        <f>(VLOOKUP('102 5.1.00'!AE28,'102 5.1.00'!$AL$4:$AN$55,2,FALSE))*IF('102 5.1.00'!BG$4="是",'102 5.1.00'!$AW$4,'102 5.1.00'!$AW$3)</f>
        <v>0</v>
      </c>
    </row>
    <row r="29" spans="1:24">
      <c r="A29" s="4">
        <f>(VLOOKUP('102 5.1.00'!H29,'102 5.1.00'!$AL$4:$AN$55,2,FALSE))*IF('102 5.1.00'!AJ$4="是",'102 5.1.00'!$AW$4,'102 5.1.00'!$AW$3)</f>
        <v>0</v>
      </c>
      <c r="B29" s="4">
        <f>(VLOOKUP('102 5.1.00'!I29,'102 5.1.00'!$AL$4:$AN$55,2,FALSE))*IF('102 5.1.00'!AK$4="是",'102 5.1.00'!$AW$4,'102 5.1.00'!$AW$3)</f>
        <v>0</v>
      </c>
      <c r="C29" s="4">
        <f>(VLOOKUP('102 5.1.00'!J29,'102 5.1.00'!$AL$4:$AN$55,2,FALSE))*IF('102 5.1.00'!AL$4="是",'102 5.1.00'!$AW$4,'102 5.1.00'!$AW$3)</f>
        <v>0</v>
      </c>
      <c r="D29" s="4">
        <f>(VLOOKUP('102 5.1.00'!K29,'102 5.1.00'!$AL$4:$AN$55,2,FALSE))*IF('102 5.1.00'!AM$4="是",'102 5.1.00'!$AW$4,'102 5.1.00'!$AW$3)</f>
        <v>0</v>
      </c>
      <c r="E29" s="4">
        <f>(VLOOKUP('102 5.1.00'!L29,'102 5.1.00'!$AL$4:$AN$55,2,FALSE))*IF('102 5.1.00'!AN$4="是",'102 5.1.00'!$AW$4,'102 5.1.00'!$AW$3)</f>
        <v>0</v>
      </c>
      <c r="F29" s="4">
        <f>(VLOOKUP('102 5.1.00'!M29,'102 5.1.00'!$AL$4:$AN$55,2,FALSE))*IF('102 5.1.00'!AO$4="是",'102 5.1.00'!$AW$4,'102 5.1.00'!$AW$3)</f>
        <v>0</v>
      </c>
      <c r="G29" s="5">
        <f>(VLOOKUP('102 5.1.00'!N29,'102 5.1.00'!$AL$4:$AN$55,2,FALSE))*IF('102 5.1.00'!AP$4="是",'102 5.1.00'!$AW$4,'102 5.1.00'!$AW$3)</f>
        <v>0</v>
      </c>
      <c r="H29" s="5">
        <f>(VLOOKUP('102 5.1.00'!O29,'102 5.1.00'!$AL$4:$AN$55,2,FALSE))*IF('102 5.1.00'!AQ$4="是",'102 5.1.00'!$AW$4,'102 5.1.00'!$AW$3)</f>
        <v>0</v>
      </c>
      <c r="I29" s="4">
        <f>(VLOOKUP('102 5.1.00'!P29,'102 5.1.00'!$AL$4:$AN$55,2,FALSE))*IF('102 5.1.00'!AR$4="是",'102 5.1.00'!$AW$4,'102 5.1.00'!$AW$3)</f>
        <v>0</v>
      </c>
      <c r="J29" s="4">
        <f>(VLOOKUP('102 5.1.00'!Q29,'102 5.1.00'!$AL$4:$AN$55,2,FALSE))*IF('102 5.1.00'!AS$4="是",'102 5.1.00'!$AW$4,'102 5.1.00'!$AW$3)</f>
        <v>0</v>
      </c>
      <c r="K29" s="4">
        <f>(VLOOKUP('102 5.1.00'!R29,'102 5.1.00'!$AL$4:$AN$55,2,FALSE))*IF('102 5.1.00'!AT$4="是",'102 5.1.00'!$AW$4,'102 5.1.00'!$AW$3)</f>
        <v>0</v>
      </c>
      <c r="L29" s="4">
        <f>(VLOOKUP('102 5.1.00'!S29,'102 5.1.00'!$AL$4:$AN$55,2,FALSE))*IF('102 5.1.00'!AU$4="是",'102 5.1.00'!$AW$4,'102 5.1.00'!$AW$3)</f>
        <v>0</v>
      </c>
      <c r="M29" s="4">
        <f>(VLOOKUP('102 5.1.00'!T29,'102 5.1.00'!$AL$4:$AN$55,2,FALSE))*IF('102 5.1.00'!AV$4="是",'102 5.1.00'!$AW$4,'102 5.1.00'!$AW$3)</f>
        <v>0</v>
      </c>
      <c r="N29" s="4">
        <f>(VLOOKUP('102 5.1.00'!U29,'102 5.1.00'!$AL$4:$AN$55,2,FALSE))*IF('102 5.1.00'!AW$4="是",'102 5.1.00'!$AW$4,'102 5.1.00'!$AW$3)</f>
        <v>0</v>
      </c>
      <c r="O29" s="5">
        <f>(VLOOKUP('102 5.1.00'!V29,'102 5.1.00'!$AL$4:$AN$55,2,FALSE))*IF('102 5.1.00'!AX$4="是",'102 5.1.00'!$AW$4,'102 5.1.00'!$AW$3)</f>
        <v>0</v>
      </c>
      <c r="P29" s="5">
        <f>(VLOOKUP('102 5.1.00'!W29,'102 5.1.00'!$AL$4:$AN$55,2,FALSE))*IF('102 5.1.00'!AY$4="是",'102 5.1.00'!$AW$4,'102 5.1.00'!$AW$3)</f>
        <v>0</v>
      </c>
      <c r="Q29" s="4">
        <f>(VLOOKUP('102 5.1.00'!X29,'102 5.1.00'!$AL$4:$AN$55,2,FALSE))*IF('102 5.1.00'!AZ$4="是",'102 5.1.00'!$AW$4,'102 5.1.00'!$AW$3)</f>
        <v>0</v>
      </c>
      <c r="R29" s="4">
        <f>(VLOOKUP('102 5.1.00'!Y29,'102 5.1.00'!$AL$4:$AN$55,2,FALSE))*IF('102 5.1.00'!BA$4="是",'102 5.1.00'!$AW$4,'102 5.1.00'!$AW$3)</f>
        <v>0</v>
      </c>
      <c r="S29" s="4">
        <f>(VLOOKUP('102 5.1.00'!Z29,'102 5.1.00'!$AL$4:$AN$55,2,FALSE))*IF('102 5.1.00'!BB$4="是",'102 5.1.00'!$AW$4,'102 5.1.00'!$AW$3)</f>
        <v>0</v>
      </c>
      <c r="T29" s="4">
        <f>(VLOOKUP('102 5.1.00'!AA29,'102 5.1.00'!$AL$4:$AN$55,2,FALSE))*IF('102 5.1.00'!BC$4="是",'102 5.1.00'!$AW$4,'102 5.1.00'!$AW$3)</f>
        <v>0</v>
      </c>
      <c r="U29" s="4">
        <f>(VLOOKUP('102 5.1.00'!AB29,'102 5.1.00'!$AL$4:$AN$55,2,FALSE))*IF('102 5.1.00'!BD$4="是",'102 5.1.00'!$AW$4,'102 5.1.00'!$AW$3)</f>
        <v>0</v>
      </c>
      <c r="V29" s="4">
        <f>(VLOOKUP('102 5.1.00'!AC29,'102 5.1.00'!$AL$4:$AN$55,2,FALSE))*IF('102 5.1.00'!BE$4="是",'102 5.1.00'!$AW$4,'102 5.1.00'!$AW$3)</f>
        <v>0</v>
      </c>
      <c r="W29" s="5">
        <f>(VLOOKUP('102 5.1.00'!AD29,'102 5.1.00'!$AL$4:$AN$55,2,FALSE))*IF('102 5.1.00'!BF$4="是",'102 5.1.00'!$AW$4,'102 5.1.00'!$AW$3)</f>
        <v>0</v>
      </c>
      <c r="X29" s="5">
        <f>(VLOOKUP('102 5.1.00'!AE29,'102 5.1.00'!$AL$4:$AN$55,2,FALSE))*IF('102 5.1.00'!BG$4="是",'102 5.1.00'!$AW$4,'102 5.1.00'!$AW$3)</f>
        <v>0</v>
      </c>
    </row>
    <row r="30" spans="1:24">
      <c r="A30" s="4">
        <f>(VLOOKUP('102 5.1.00'!H30,'102 5.1.00'!$AL$4:$AN$55,2,FALSE))*IF('102 5.1.00'!AJ$4="是",'102 5.1.00'!$AW$4,'102 5.1.00'!$AW$3)</f>
        <v>0</v>
      </c>
      <c r="B30" s="4">
        <f>(VLOOKUP('102 5.1.00'!I30,'102 5.1.00'!$AL$4:$AN$55,2,FALSE))*IF('102 5.1.00'!AK$4="是",'102 5.1.00'!$AW$4,'102 5.1.00'!$AW$3)</f>
        <v>0</v>
      </c>
      <c r="C30" s="4">
        <f>(VLOOKUP('102 5.1.00'!J30,'102 5.1.00'!$AL$4:$AN$55,2,FALSE))*IF('102 5.1.00'!AL$4="是",'102 5.1.00'!$AW$4,'102 5.1.00'!$AW$3)</f>
        <v>0</v>
      </c>
      <c r="D30" s="4">
        <f>(VLOOKUP('102 5.1.00'!K30,'102 5.1.00'!$AL$4:$AN$55,2,FALSE))*IF('102 5.1.00'!AM$4="是",'102 5.1.00'!$AW$4,'102 5.1.00'!$AW$3)</f>
        <v>0</v>
      </c>
      <c r="E30" s="4">
        <f>(VLOOKUP('102 5.1.00'!L30,'102 5.1.00'!$AL$4:$AN$55,2,FALSE))*IF('102 5.1.00'!AN$4="是",'102 5.1.00'!$AW$4,'102 5.1.00'!$AW$3)</f>
        <v>0</v>
      </c>
      <c r="F30" s="4">
        <f>(VLOOKUP('102 5.1.00'!M30,'102 5.1.00'!$AL$4:$AN$55,2,FALSE))*IF('102 5.1.00'!AO$4="是",'102 5.1.00'!$AW$4,'102 5.1.00'!$AW$3)</f>
        <v>0</v>
      </c>
      <c r="G30" s="5">
        <f>(VLOOKUP('102 5.1.00'!N30,'102 5.1.00'!$AL$4:$AN$55,2,FALSE))*IF('102 5.1.00'!AP$4="是",'102 5.1.00'!$AW$4,'102 5.1.00'!$AW$3)</f>
        <v>0</v>
      </c>
      <c r="H30" s="5">
        <f>(VLOOKUP('102 5.1.00'!O30,'102 5.1.00'!$AL$4:$AN$55,2,FALSE))*IF('102 5.1.00'!AQ$4="是",'102 5.1.00'!$AW$4,'102 5.1.00'!$AW$3)</f>
        <v>0</v>
      </c>
      <c r="I30" s="4">
        <f>(VLOOKUP('102 5.1.00'!P30,'102 5.1.00'!$AL$4:$AN$55,2,FALSE))*IF('102 5.1.00'!AR$4="是",'102 5.1.00'!$AW$4,'102 5.1.00'!$AW$3)</f>
        <v>0</v>
      </c>
      <c r="J30" s="4">
        <f>(VLOOKUP('102 5.1.00'!Q30,'102 5.1.00'!$AL$4:$AN$55,2,FALSE))*IF('102 5.1.00'!AS$4="是",'102 5.1.00'!$AW$4,'102 5.1.00'!$AW$3)</f>
        <v>0</v>
      </c>
      <c r="K30" s="4">
        <f>(VLOOKUP('102 5.1.00'!R30,'102 5.1.00'!$AL$4:$AN$55,2,FALSE))*IF('102 5.1.00'!AT$4="是",'102 5.1.00'!$AW$4,'102 5.1.00'!$AW$3)</f>
        <v>0</v>
      </c>
      <c r="L30" s="4">
        <f>(VLOOKUP('102 5.1.00'!S30,'102 5.1.00'!$AL$4:$AN$55,2,FALSE))*IF('102 5.1.00'!AU$4="是",'102 5.1.00'!$AW$4,'102 5.1.00'!$AW$3)</f>
        <v>0</v>
      </c>
      <c r="M30" s="4">
        <f>(VLOOKUP('102 5.1.00'!T30,'102 5.1.00'!$AL$4:$AN$55,2,FALSE))*IF('102 5.1.00'!AV$4="是",'102 5.1.00'!$AW$4,'102 5.1.00'!$AW$3)</f>
        <v>0</v>
      </c>
      <c r="N30" s="4">
        <f>(VLOOKUP('102 5.1.00'!U30,'102 5.1.00'!$AL$4:$AN$55,2,FALSE))*IF('102 5.1.00'!AW$4="是",'102 5.1.00'!$AW$4,'102 5.1.00'!$AW$3)</f>
        <v>0</v>
      </c>
      <c r="O30" s="5">
        <f>(VLOOKUP('102 5.1.00'!V30,'102 5.1.00'!$AL$4:$AN$55,2,FALSE))*IF('102 5.1.00'!AX$4="是",'102 5.1.00'!$AW$4,'102 5.1.00'!$AW$3)</f>
        <v>0</v>
      </c>
      <c r="P30" s="5">
        <f>(VLOOKUP('102 5.1.00'!W30,'102 5.1.00'!$AL$4:$AN$55,2,FALSE))*IF('102 5.1.00'!AY$4="是",'102 5.1.00'!$AW$4,'102 5.1.00'!$AW$3)</f>
        <v>0</v>
      </c>
      <c r="Q30" s="4">
        <f>(VLOOKUP('102 5.1.00'!X30,'102 5.1.00'!$AL$4:$AN$55,2,FALSE))*IF('102 5.1.00'!AZ$4="是",'102 5.1.00'!$AW$4,'102 5.1.00'!$AW$3)</f>
        <v>0</v>
      </c>
      <c r="R30" s="4">
        <f>(VLOOKUP('102 5.1.00'!Y30,'102 5.1.00'!$AL$4:$AN$55,2,FALSE))*IF('102 5.1.00'!BA$4="是",'102 5.1.00'!$AW$4,'102 5.1.00'!$AW$3)</f>
        <v>0</v>
      </c>
      <c r="S30" s="4">
        <f>(VLOOKUP('102 5.1.00'!Z30,'102 5.1.00'!$AL$4:$AN$55,2,FALSE))*IF('102 5.1.00'!BB$4="是",'102 5.1.00'!$AW$4,'102 5.1.00'!$AW$3)</f>
        <v>0</v>
      </c>
      <c r="T30" s="4">
        <f>(VLOOKUP('102 5.1.00'!AA30,'102 5.1.00'!$AL$4:$AN$55,2,FALSE))*IF('102 5.1.00'!BC$4="是",'102 5.1.00'!$AW$4,'102 5.1.00'!$AW$3)</f>
        <v>0</v>
      </c>
      <c r="U30" s="4">
        <f>(VLOOKUP('102 5.1.00'!AB30,'102 5.1.00'!$AL$4:$AN$55,2,FALSE))*IF('102 5.1.00'!BD$4="是",'102 5.1.00'!$AW$4,'102 5.1.00'!$AW$3)</f>
        <v>0</v>
      </c>
      <c r="V30" s="4">
        <f>(VLOOKUP('102 5.1.00'!AC30,'102 5.1.00'!$AL$4:$AN$55,2,FALSE))*IF('102 5.1.00'!BE$4="是",'102 5.1.00'!$AW$4,'102 5.1.00'!$AW$3)</f>
        <v>0</v>
      </c>
      <c r="W30" s="5">
        <f>(VLOOKUP('102 5.1.00'!AD30,'102 5.1.00'!$AL$4:$AN$55,2,FALSE))*IF('102 5.1.00'!BF$4="是",'102 5.1.00'!$AW$4,'102 5.1.00'!$AW$3)</f>
        <v>0</v>
      </c>
      <c r="X30" s="5">
        <f>(VLOOKUP('102 5.1.00'!AE30,'102 5.1.00'!$AL$4:$AN$55,2,FALSE))*IF('102 5.1.00'!BG$4="是",'102 5.1.00'!$AW$4,'102 5.1.00'!$AW$3)</f>
        <v>0</v>
      </c>
    </row>
    <row r="31" spans="1:24">
      <c r="A31" s="4">
        <f>(VLOOKUP('102 5.1.00'!H31,'102 5.1.00'!$AL$4:$AN$55,2,FALSE))*IF('102 5.1.00'!AJ$4="是",'102 5.1.00'!$AW$4,'102 5.1.00'!$AW$3)</f>
        <v>0</v>
      </c>
      <c r="B31" s="4">
        <f>(VLOOKUP('102 5.1.00'!I31,'102 5.1.00'!$AL$4:$AN$55,2,FALSE))*IF('102 5.1.00'!AK$4="是",'102 5.1.00'!$AW$4,'102 5.1.00'!$AW$3)</f>
        <v>0</v>
      </c>
      <c r="C31" s="4">
        <f>(VLOOKUP('102 5.1.00'!J31,'102 5.1.00'!$AL$4:$AN$55,2,FALSE))*IF('102 5.1.00'!AL$4="是",'102 5.1.00'!$AW$4,'102 5.1.00'!$AW$3)</f>
        <v>0</v>
      </c>
      <c r="D31" s="4">
        <f>(VLOOKUP('102 5.1.00'!K31,'102 5.1.00'!$AL$4:$AN$55,2,FALSE))*IF('102 5.1.00'!AM$4="是",'102 5.1.00'!$AW$4,'102 5.1.00'!$AW$3)</f>
        <v>0</v>
      </c>
      <c r="E31" s="4">
        <f>(VLOOKUP('102 5.1.00'!L31,'102 5.1.00'!$AL$4:$AN$55,2,FALSE))*IF('102 5.1.00'!AN$4="是",'102 5.1.00'!$AW$4,'102 5.1.00'!$AW$3)</f>
        <v>0</v>
      </c>
      <c r="F31" s="4">
        <f>(VLOOKUP('102 5.1.00'!M31,'102 5.1.00'!$AL$4:$AN$55,2,FALSE))*IF('102 5.1.00'!AO$4="是",'102 5.1.00'!$AW$4,'102 5.1.00'!$AW$3)</f>
        <v>0</v>
      </c>
      <c r="G31" s="5">
        <f>(VLOOKUP('102 5.1.00'!N31,'102 5.1.00'!$AL$4:$AN$55,2,FALSE))*IF('102 5.1.00'!AP$4="是",'102 5.1.00'!$AW$4,'102 5.1.00'!$AW$3)</f>
        <v>0</v>
      </c>
      <c r="H31" s="5">
        <f>(VLOOKUP('102 5.1.00'!O31,'102 5.1.00'!$AL$4:$AN$55,2,FALSE))*IF('102 5.1.00'!AQ$4="是",'102 5.1.00'!$AW$4,'102 5.1.00'!$AW$3)</f>
        <v>0</v>
      </c>
      <c r="I31" s="4">
        <f>(VLOOKUP('102 5.1.00'!P31,'102 5.1.00'!$AL$4:$AN$55,2,FALSE))*IF('102 5.1.00'!AR$4="是",'102 5.1.00'!$AW$4,'102 5.1.00'!$AW$3)</f>
        <v>0</v>
      </c>
      <c r="J31" s="4">
        <f>(VLOOKUP('102 5.1.00'!Q31,'102 5.1.00'!$AL$4:$AN$55,2,FALSE))*IF('102 5.1.00'!AS$4="是",'102 5.1.00'!$AW$4,'102 5.1.00'!$AW$3)</f>
        <v>0</v>
      </c>
      <c r="K31" s="4">
        <f>(VLOOKUP('102 5.1.00'!R31,'102 5.1.00'!$AL$4:$AN$55,2,FALSE))*IF('102 5.1.00'!AT$4="是",'102 5.1.00'!$AW$4,'102 5.1.00'!$AW$3)</f>
        <v>0</v>
      </c>
      <c r="L31" s="4">
        <f>(VLOOKUP('102 5.1.00'!S31,'102 5.1.00'!$AL$4:$AN$55,2,FALSE))*IF('102 5.1.00'!AU$4="是",'102 5.1.00'!$AW$4,'102 5.1.00'!$AW$3)</f>
        <v>0</v>
      </c>
      <c r="M31" s="4">
        <f>(VLOOKUP('102 5.1.00'!T31,'102 5.1.00'!$AL$4:$AN$55,2,FALSE))*IF('102 5.1.00'!AV$4="是",'102 5.1.00'!$AW$4,'102 5.1.00'!$AW$3)</f>
        <v>0</v>
      </c>
      <c r="N31" s="4">
        <f>(VLOOKUP('102 5.1.00'!U31,'102 5.1.00'!$AL$4:$AN$55,2,FALSE))*IF('102 5.1.00'!AW$4="是",'102 5.1.00'!$AW$4,'102 5.1.00'!$AW$3)</f>
        <v>0</v>
      </c>
      <c r="O31" s="5">
        <f>(VLOOKUP('102 5.1.00'!V31,'102 5.1.00'!$AL$4:$AN$55,2,FALSE))*IF('102 5.1.00'!AX$4="是",'102 5.1.00'!$AW$4,'102 5.1.00'!$AW$3)</f>
        <v>0</v>
      </c>
      <c r="P31" s="5">
        <f>(VLOOKUP('102 5.1.00'!W31,'102 5.1.00'!$AL$4:$AN$55,2,FALSE))*IF('102 5.1.00'!AY$4="是",'102 5.1.00'!$AW$4,'102 5.1.00'!$AW$3)</f>
        <v>0</v>
      </c>
      <c r="Q31" s="4">
        <f>(VLOOKUP('102 5.1.00'!X31,'102 5.1.00'!$AL$4:$AN$55,2,FALSE))*IF('102 5.1.00'!AZ$4="是",'102 5.1.00'!$AW$4,'102 5.1.00'!$AW$3)</f>
        <v>0</v>
      </c>
      <c r="R31" s="4">
        <f>(VLOOKUP('102 5.1.00'!Y31,'102 5.1.00'!$AL$4:$AN$55,2,FALSE))*IF('102 5.1.00'!BA$4="是",'102 5.1.00'!$AW$4,'102 5.1.00'!$AW$3)</f>
        <v>0</v>
      </c>
      <c r="S31" s="4">
        <f>(VLOOKUP('102 5.1.00'!Z31,'102 5.1.00'!$AL$4:$AN$55,2,FALSE))*IF('102 5.1.00'!BB$4="是",'102 5.1.00'!$AW$4,'102 5.1.00'!$AW$3)</f>
        <v>0</v>
      </c>
      <c r="T31" s="4">
        <f>(VLOOKUP('102 5.1.00'!AA31,'102 5.1.00'!$AL$4:$AN$55,2,FALSE))*IF('102 5.1.00'!BC$4="是",'102 5.1.00'!$AW$4,'102 5.1.00'!$AW$3)</f>
        <v>0</v>
      </c>
      <c r="U31" s="4">
        <f>(VLOOKUP('102 5.1.00'!AB31,'102 5.1.00'!$AL$4:$AN$55,2,FALSE))*IF('102 5.1.00'!BD$4="是",'102 5.1.00'!$AW$4,'102 5.1.00'!$AW$3)</f>
        <v>0</v>
      </c>
      <c r="V31" s="4">
        <f>(VLOOKUP('102 5.1.00'!AC31,'102 5.1.00'!$AL$4:$AN$55,2,FALSE))*IF('102 5.1.00'!BE$4="是",'102 5.1.00'!$AW$4,'102 5.1.00'!$AW$3)</f>
        <v>0</v>
      </c>
      <c r="W31" s="5">
        <f>(VLOOKUP('102 5.1.00'!AD31,'102 5.1.00'!$AL$4:$AN$55,2,FALSE))*IF('102 5.1.00'!BF$4="是",'102 5.1.00'!$AW$4,'102 5.1.00'!$AW$3)</f>
        <v>0</v>
      </c>
      <c r="X31" s="5">
        <f>(VLOOKUP('102 5.1.00'!AE31,'102 5.1.00'!$AL$4:$AN$55,2,FALSE))*IF('102 5.1.00'!BG$4="是",'102 5.1.00'!$AW$4,'102 5.1.00'!$AW$3)</f>
        <v>0</v>
      </c>
    </row>
    <row r="32" spans="1:24">
      <c r="A32" s="4">
        <f>(VLOOKUP('102 5.1.00'!H32,'102 5.1.00'!$AL$4:$AN$55,2,FALSE))*IF('102 5.1.00'!AJ$4="是",'102 5.1.00'!$AW$4,'102 5.1.00'!$AW$3)</f>
        <v>0</v>
      </c>
      <c r="B32" s="4">
        <f>(VLOOKUP('102 5.1.00'!I32,'102 5.1.00'!$AL$4:$AN$55,2,FALSE))*IF('102 5.1.00'!AK$4="是",'102 5.1.00'!$AW$4,'102 5.1.00'!$AW$3)</f>
        <v>0</v>
      </c>
      <c r="C32" s="4">
        <f>(VLOOKUP('102 5.1.00'!J32,'102 5.1.00'!$AL$4:$AN$55,2,FALSE))*IF('102 5.1.00'!AL$4="是",'102 5.1.00'!$AW$4,'102 5.1.00'!$AW$3)</f>
        <v>0</v>
      </c>
      <c r="D32" s="4">
        <f>(VLOOKUP('102 5.1.00'!K32,'102 5.1.00'!$AL$4:$AN$55,2,FALSE))*IF('102 5.1.00'!AM$4="是",'102 5.1.00'!$AW$4,'102 5.1.00'!$AW$3)</f>
        <v>0</v>
      </c>
      <c r="E32" s="4">
        <f>(VLOOKUP('102 5.1.00'!L32,'102 5.1.00'!$AL$4:$AN$55,2,FALSE))*IF('102 5.1.00'!AN$4="是",'102 5.1.00'!$AW$4,'102 5.1.00'!$AW$3)</f>
        <v>0</v>
      </c>
      <c r="F32" s="4">
        <f>(VLOOKUP('102 5.1.00'!M32,'102 5.1.00'!$AL$4:$AN$55,2,FALSE))*IF('102 5.1.00'!AO$4="是",'102 5.1.00'!$AW$4,'102 5.1.00'!$AW$3)</f>
        <v>0</v>
      </c>
      <c r="G32" s="5">
        <f>(VLOOKUP('102 5.1.00'!N32,'102 5.1.00'!$AL$4:$AN$55,2,FALSE))*IF('102 5.1.00'!AP$4="是",'102 5.1.00'!$AW$4,'102 5.1.00'!$AW$3)</f>
        <v>0</v>
      </c>
      <c r="H32" s="5">
        <f>(VLOOKUP('102 5.1.00'!O32,'102 5.1.00'!$AL$4:$AN$55,2,FALSE))*IF('102 5.1.00'!AQ$4="是",'102 5.1.00'!$AW$4,'102 5.1.00'!$AW$3)</f>
        <v>0</v>
      </c>
      <c r="I32" s="4">
        <f>(VLOOKUP('102 5.1.00'!P32,'102 5.1.00'!$AL$4:$AN$55,2,FALSE))*IF('102 5.1.00'!AR$4="是",'102 5.1.00'!$AW$4,'102 5.1.00'!$AW$3)</f>
        <v>0</v>
      </c>
      <c r="J32" s="4">
        <f>(VLOOKUP('102 5.1.00'!Q32,'102 5.1.00'!$AL$4:$AN$55,2,FALSE))*IF('102 5.1.00'!AS$4="是",'102 5.1.00'!$AW$4,'102 5.1.00'!$AW$3)</f>
        <v>0</v>
      </c>
      <c r="K32" s="4">
        <f>(VLOOKUP('102 5.1.00'!R32,'102 5.1.00'!$AL$4:$AN$55,2,FALSE))*IF('102 5.1.00'!AT$4="是",'102 5.1.00'!$AW$4,'102 5.1.00'!$AW$3)</f>
        <v>0</v>
      </c>
      <c r="L32" s="4">
        <f>(VLOOKUP('102 5.1.00'!S32,'102 5.1.00'!$AL$4:$AN$55,2,FALSE))*IF('102 5.1.00'!AU$4="是",'102 5.1.00'!$AW$4,'102 5.1.00'!$AW$3)</f>
        <v>0</v>
      </c>
      <c r="M32" s="4">
        <f>(VLOOKUP('102 5.1.00'!T32,'102 5.1.00'!$AL$4:$AN$55,2,FALSE))*IF('102 5.1.00'!AV$4="是",'102 5.1.00'!$AW$4,'102 5.1.00'!$AW$3)</f>
        <v>0</v>
      </c>
      <c r="N32" s="4">
        <f>(VLOOKUP('102 5.1.00'!U32,'102 5.1.00'!$AL$4:$AN$55,2,FALSE))*IF('102 5.1.00'!AW$4="是",'102 5.1.00'!$AW$4,'102 5.1.00'!$AW$3)</f>
        <v>0</v>
      </c>
      <c r="O32" s="5">
        <f>(VLOOKUP('102 5.1.00'!V32,'102 5.1.00'!$AL$4:$AN$55,2,FALSE))*IF('102 5.1.00'!AX$4="是",'102 5.1.00'!$AW$4,'102 5.1.00'!$AW$3)</f>
        <v>0</v>
      </c>
      <c r="P32" s="5">
        <f>(VLOOKUP('102 5.1.00'!W32,'102 5.1.00'!$AL$4:$AN$55,2,FALSE))*IF('102 5.1.00'!AY$4="是",'102 5.1.00'!$AW$4,'102 5.1.00'!$AW$3)</f>
        <v>0</v>
      </c>
      <c r="Q32" s="4">
        <f>(VLOOKUP('102 5.1.00'!X32,'102 5.1.00'!$AL$4:$AN$55,2,FALSE))*IF('102 5.1.00'!AZ$4="是",'102 5.1.00'!$AW$4,'102 5.1.00'!$AW$3)</f>
        <v>0</v>
      </c>
      <c r="R32" s="4">
        <f>(VLOOKUP('102 5.1.00'!Y32,'102 5.1.00'!$AL$4:$AN$55,2,FALSE))*IF('102 5.1.00'!BA$4="是",'102 5.1.00'!$AW$4,'102 5.1.00'!$AW$3)</f>
        <v>0</v>
      </c>
      <c r="S32" s="4">
        <f>(VLOOKUP('102 5.1.00'!Z32,'102 5.1.00'!$AL$4:$AN$55,2,FALSE))*IF('102 5.1.00'!BB$4="是",'102 5.1.00'!$AW$4,'102 5.1.00'!$AW$3)</f>
        <v>0</v>
      </c>
      <c r="T32" s="4">
        <f>(VLOOKUP('102 5.1.00'!AA32,'102 5.1.00'!$AL$4:$AN$55,2,FALSE))*IF('102 5.1.00'!BC$4="是",'102 5.1.00'!$AW$4,'102 5.1.00'!$AW$3)</f>
        <v>0</v>
      </c>
      <c r="U32" s="4">
        <f>(VLOOKUP('102 5.1.00'!AB32,'102 5.1.00'!$AL$4:$AN$55,2,FALSE))*IF('102 5.1.00'!BD$4="是",'102 5.1.00'!$AW$4,'102 5.1.00'!$AW$3)</f>
        <v>0</v>
      </c>
      <c r="V32" s="4">
        <f>(VLOOKUP('102 5.1.00'!AC32,'102 5.1.00'!$AL$4:$AN$55,2,FALSE))*IF('102 5.1.00'!BE$4="是",'102 5.1.00'!$AW$4,'102 5.1.00'!$AW$3)</f>
        <v>0</v>
      </c>
      <c r="W32" s="5">
        <f>(VLOOKUP('102 5.1.00'!AD32,'102 5.1.00'!$AL$4:$AN$55,2,FALSE))*IF('102 5.1.00'!BF$4="是",'102 5.1.00'!$AW$4,'102 5.1.00'!$AW$3)</f>
        <v>0</v>
      </c>
      <c r="X32" s="5">
        <f>(VLOOKUP('102 5.1.00'!AE32,'102 5.1.00'!$AL$4:$AN$55,2,FALSE))*IF('102 5.1.00'!BG$4="是",'102 5.1.00'!$AW$4,'102 5.1.00'!$AW$3)</f>
        <v>0</v>
      </c>
    </row>
    <row r="33" spans="1:24">
      <c r="A33" s="4">
        <f>(VLOOKUP('102 5.1.00'!H33,'102 5.1.00'!$AL$4:$AN$55,2,FALSE))*IF('102 5.1.00'!AJ$4="是",'102 5.1.00'!$AW$4,'102 5.1.00'!$AW$3)</f>
        <v>0</v>
      </c>
      <c r="B33" s="4">
        <f>(VLOOKUP('102 5.1.00'!I33,'102 5.1.00'!$AL$4:$AN$55,2,FALSE))*IF('102 5.1.00'!AK$4="是",'102 5.1.00'!$AW$4,'102 5.1.00'!$AW$3)</f>
        <v>0</v>
      </c>
      <c r="C33" s="4">
        <f>(VLOOKUP('102 5.1.00'!J33,'102 5.1.00'!$AL$4:$AN$55,2,FALSE))*IF('102 5.1.00'!AL$4="是",'102 5.1.00'!$AW$4,'102 5.1.00'!$AW$3)</f>
        <v>0</v>
      </c>
      <c r="D33" s="4">
        <f>(VLOOKUP('102 5.1.00'!K33,'102 5.1.00'!$AL$4:$AN$55,2,FALSE))*IF('102 5.1.00'!AM$4="是",'102 5.1.00'!$AW$4,'102 5.1.00'!$AW$3)</f>
        <v>0</v>
      </c>
      <c r="E33" s="4">
        <f>(VLOOKUP('102 5.1.00'!L33,'102 5.1.00'!$AL$4:$AN$55,2,FALSE))*IF('102 5.1.00'!AN$4="是",'102 5.1.00'!$AW$4,'102 5.1.00'!$AW$3)</f>
        <v>0</v>
      </c>
      <c r="F33" s="4">
        <f>(VLOOKUP('102 5.1.00'!M33,'102 5.1.00'!$AL$4:$AN$55,2,FALSE))*IF('102 5.1.00'!AO$4="是",'102 5.1.00'!$AW$4,'102 5.1.00'!$AW$3)</f>
        <v>0</v>
      </c>
      <c r="G33" s="5">
        <f>(VLOOKUP('102 5.1.00'!N33,'102 5.1.00'!$AL$4:$AN$55,2,FALSE))*IF('102 5.1.00'!AP$4="是",'102 5.1.00'!$AW$4,'102 5.1.00'!$AW$3)</f>
        <v>0</v>
      </c>
      <c r="H33" s="5">
        <f>(VLOOKUP('102 5.1.00'!O33,'102 5.1.00'!$AL$4:$AN$55,2,FALSE))*IF('102 5.1.00'!AQ$4="是",'102 5.1.00'!$AW$4,'102 5.1.00'!$AW$3)</f>
        <v>0</v>
      </c>
      <c r="I33" s="4">
        <f>(VLOOKUP('102 5.1.00'!P33,'102 5.1.00'!$AL$4:$AN$55,2,FALSE))*IF('102 5.1.00'!AR$4="是",'102 5.1.00'!$AW$4,'102 5.1.00'!$AW$3)</f>
        <v>0</v>
      </c>
      <c r="J33" s="4">
        <f>(VLOOKUP('102 5.1.00'!Q33,'102 5.1.00'!$AL$4:$AN$55,2,FALSE))*IF('102 5.1.00'!AS$4="是",'102 5.1.00'!$AW$4,'102 5.1.00'!$AW$3)</f>
        <v>0</v>
      </c>
      <c r="K33" s="4">
        <f>(VLOOKUP('102 5.1.00'!R33,'102 5.1.00'!$AL$4:$AN$55,2,FALSE))*IF('102 5.1.00'!AT$4="是",'102 5.1.00'!$AW$4,'102 5.1.00'!$AW$3)</f>
        <v>0</v>
      </c>
      <c r="L33" s="4">
        <f>(VLOOKUP('102 5.1.00'!S33,'102 5.1.00'!$AL$4:$AN$55,2,FALSE))*IF('102 5.1.00'!AU$4="是",'102 5.1.00'!$AW$4,'102 5.1.00'!$AW$3)</f>
        <v>0</v>
      </c>
      <c r="M33" s="4">
        <f>(VLOOKUP('102 5.1.00'!T33,'102 5.1.00'!$AL$4:$AN$55,2,FALSE))*IF('102 5.1.00'!AV$4="是",'102 5.1.00'!$AW$4,'102 5.1.00'!$AW$3)</f>
        <v>0</v>
      </c>
      <c r="N33" s="4">
        <f>(VLOOKUP('102 5.1.00'!U33,'102 5.1.00'!$AL$4:$AN$55,2,FALSE))*IF('102 5.1.00'!AW$4="是",'102 5.1.00'!$AW$4,'102 5.1.00'!$AW$3)</f>
        <v>0</v>
      </c>
      <c r="O33" s="5">
        <f>(VLOOKUP('102 5.1.00'!V33,'102 5.1.00'!$AL$4:$AN$55,2,FALSE))*IF('102 5.1.00'!AX$4="是",'102 5.1.00'!$AW$4,'102 5.1.00'!$AW$3)</f>
        <v>0</v>
      </c>
      <c r="P33" s="5">
        <f>(VLOOKUP('102 5.1.00'!W33,'102 5.1.00'!$AL$4:$AN$55,2,FALSE))*IF('102 5.1.00'!AY$4="是",'102 5.1.00'!$AW$4,'102 5.1.00'!$AW$3)</f>
        <v>0</v>
      </c>
      <c r="Q33" s="4">
        <f>(VLOOKUP('102 5.1.00'!X33,'102 5.1.00'!$AL$4:$AN$55,2,FALSE))*IF('102 5.1.00'!AZ$4="是",'102 5.1.00'!$AW$4,'102 5.1.00'!$AW$3)</f>
        <v>0</v>
      </c>
      <c r="R33" s="4">
        <f>(VLOOKUP('102 5.1.00'!Y33,'102 5.1.00'!$AL$4:$AN$55,2,FALSE))*IF('102 5.1.00'!BA$4="是",'102 5.1.00'!$AW$4,'102 5.1.00'!$AW$3)</f>
        <v>0</v>
      </c>
      <c r="S33" s="4">
        <f>(VLOOKUP('102 5.1.00'!Z33,'102 5.1.00'!$AL$4:$AN$55,2,FALSE))*IF('102 5.1.00'!BB$4="是",'102 5.1.00'!$AW$4,'102 5.1.00'!$AW$3)</f>
        <v>0</v>
      </c>
      <c r="T33" s="4">
        <f>(VLOOKUP('102 5.1.00'!AA33,'102 5.1.00'!$AL$4:$AN$55,2,FALSE))*IF('102 5.1.00'!BC$4="是",'102 5.1.00'!$AW$4,'102 5.1.00'!$AW$3)</f>
        <v>0</v>
      </c>
      <c r="U33" s="4">
        <f>(VLOOKUP('102 5.1.00'!AB33,'102 5.1.00'!$AL$4:$AN$55,2,FALSE))*IF('102 5.1.00'!BD$4="是",'102 5.1.00'!$AW$4,'102 5.1.00'!$AW$3)</f>
        <v>0</v>
      </c>
      <c r="V33" s="4">
        <f>(VLOOKUP('102 5.1.00'!AC33,'102 5.1.00'!$AL$4:$AN$55,2,FALSE))*IF('102 5.1.00'!BE$4="是",'102 5.1.00'!$AW$4,'102 5.1.00'!$AW$3)</f>
        <v>0</v>
      </c>
      <c r="W33" s="5">
        <f>(VLOOKUP('102 5.1.00'!AD33,'102 5.1.00'!$AL$4:$AN$55,2,FALSE))*IF('102 5.1.00'!BF$4="是",'102 5.1.00'!$AW$4,'102 5.1.00'!$AW$3)</f>
        <v>0</v>
      </c>
      <c r="X33" s="5">
        <f>(VLOOKUP('102 5.1.00'!AE33,'102 5.1.00'!$AL$4:$AN$55,2,FALSE))*IF('102 5.1.00'!BG$4="是",'102 5.1.00'!$AW$4,'102 5.1.00'!$AW$3)</f>
        <v>0</v>
      </c>
    </row>
    <row r="34" spans="1:24">
      <c r="A34" s="4">
        <f>(VLOOKUP('102 5.1.00'!H34,'102 5.1.00'!$AL$4:$AN$55,2,FALSE))*IF('102 5.1.00'!AJ$4="是",'102 5.1.00'!$AW$4,'102 5.1.00'!$AW$3)</f>
        <v>0</v>
      </c>
      <c r="B34" s="4">
        <f>(VLOOKUP('102 5.1.00'!I34,'102 5.1.00'!$AL$4:$AN$55,2,FALSE))*IF('102 5.1.00'!AK$4="是",'102 5.1.00'!$AW$4,'102 5.1.00'!$AW$3)</f>
        <v>0</v>
      </c>
      <c r="C34" s="4">
        <f>(VLOOKUP('102 5.1.00'!J34,'102 5.1.00'!$AL$4:$AN$55,2,FALSE))*IF('102 5.1.00'!AL$4="是",'102 5.1.00'!$AW$4,'102 5.1.00'!$AW$3)</f>
        <v>0</v>
      </c>
      <c r="D34" s="4">
        <f>(VLOOKUP('102 5.1.00'!K34,'102 5.1.00'!$AL$4:$AN$55,2,FALSE))*IF('102 5.1.00'!AM$4="是",'102 5.1.00'!$AW$4,'102 5.1.00'!$AW$3)</f>
        <v>0</v>
      </c>
      <c r="E34" s="4">
        <f>(VLOOKUP('102 5.1.00'!L34,'102 5.1.00'!$AL$4:$AN$55,2,FALSE))*IF('102 5.1.00'!AN$4="是",'102 5.1.00'!$AW$4,'102 5.1.00'!$AW$3)</f>
        <v>0</v>
      </c>
      <c r="F34" s="4">
        <f>(VLOOKUP('102 5.1.00'!M34,'102 5.1.00'!$AL$4:$AN$55,2,FALSE))*IF('102 5.1.00'!AO$4="是",'102 5.1.00'!$AW$4,'102 5.1.00'!$AW$3)</f>
        <v>0</v>
      </c>
      <c r="G34" s="5">
        <f>(VLOOKUP('102 5.1.00'!N34,'102 5.1.00'!$AL$4:$AN$55,2,FALSE))*IF('102 5.1.00'!AP$4="是",'102 5.1.00'!$AW$4,'102 5.1.00'!$AW$3)</f>
        <v>0</v>
      </c>
      <c r="H34" s="5">
        <f>(VLOOKUP('102 5.1.00'!O34,'102 5.1.00'!$AL$4:$AN$55,2,FALSE))*IF('102 5.1.00'!AQ$4="是",'102 5.1.00'!$AW$4,'102 5.1.00'!$AW$3)</f>
        <v>0</v>
      </c>
      <c r="I34" s="4">
        <f>(VLOOKUP('102 5.1.00'!P34,'102 5.1.00'!$AL$4:$AN$55,2,FALSE))*IF('102 5.1.00'!AR$4="是",'102 5.1.00'!$AW$4,'102 5.1.00'!$AW$3)</f>
        <v>0</v>
      </c>
      <c r="J34" s="4">
        <f>(VLOOKUP('102 5.1.00'!Q34,'102 5.1.00'!$AL$4:$AN$55,2,FALSE))*IF('102 5.1.00'!AS$4="是",'102 5.1.00'!$AW$4,'102 5.1.00'!$AW$3)</f>
        <v>0</v>
      </c>
      <c r="K34" s="4">
        <f>(VLOOKUP('102 5.1.00'!R34,'102 5.1.00'!$AL$4:$AN$55,2,FALSE))*IF('102 5.1.00'!AT$4="是",'102 5.1.00'!$AW$4,'102 5.1.00'!$AW$3)</f>
        <v>0</v>
      </c>
      <c r="L34" s="4">
        <f>(VLOOKUP('102 5.1.00'!S34,'102 5.1.00'!$AL$4:$AN$55,2,FALSE))*IF('102 5.1.00'!AU$4="是",'102 5.1.00'!$AW$4,'102 5.1.00'!$AW$3)</f>
        <v>0</v>
      </c>
      <c r="M34" s="4">
        <f>(VLOOKUP('102 5.1.00'!T34,'102 5.1.00'!$AL$4:$AN$55,2,FALSE))*IF('102 5.1.00'!AV$4="是",'102 5.1.00'!$AW$4,'102 5.1.00'!$AW$3)</f>
        <v>0</v>
      </c>
      <c r="N34" s="4">
        <f>(VLOOKUP('102 5.1.00'!U34,'102 5.1.00'!$AL$4:$AN$55,2,FALSE))*IF('102 5.1.00'!AW$4="是",'102 5.1.00'!$AW$4,'102 5.1.00'!$AW$3)</f>
        <v>0</v>
      </c>
      <c r="O34" s="5">
        <f>(VLOOKUP('102 5.1.00'!V34,'102 5.1.00'!$AL$4:$AN$55,2,FALSE))*IF('102 5.1.00'!AX$4="是",'102 5.1.00'!$AW$4,'102 5.1.00'!$AW$3)</f>
        <v>0</v>
      </c>
      <c r="P34" s="5">
        <f>(VLOOKUP('102 5.1.00'!W34,'102 5.1.00'!$AL$4:$AN$55,2,FALSE))*IF('102 5.1.00'!AY$4="是",'102 5.1.00'!$AW$4,'102 5.1.00'!$AW$3)</f>
        <v>0</v>
      </c>
      <c r="Q34" s="4">
        <f>(VLOOKUP('102 5.1.00'!X34,'102 5.1.00'!$AL$4:$AN$55,2,FALSE))*IF('102 5.1.00'!AZ$4="是",'102 5.1.00'!$AW$4,'102 5.1.00'!$AW$3)</f>
        <v>0</v>
      </c>
      <c r="R34" s="4">
        <f>(VLOOKUP('102 5.1.00'!Y34,'102 5.1.00'!$AL$4:$AN$55,2,FALSE))*IF('102 5.1.00'!BA$4="是",'102 5.1.00'!$AW$4,'102 5.1.00'!$AW$3)</f>
        <v>0</v>
      </c>
      <c r="S34" s="4">
        <f>(VLOOKUP('102 5.1.00'!Z34,'102 5.1.00'!$AL$4:$AN$55,2,FALSE))*IF('102 5.1.00'!BB$4="是",'102 5.1.00'!$AW$4,'102 5.1.00'!$AW$3)</f>
        <v>0</v>
      </c>
      <c r="T34" s="4">
        <f>(VLOOKUP('102 5.1.00'!AA34,'102 5.1.00'!$AL$4:$AN$55,2,FALSE))*IF('102 5.1.00'!BC$4="是",'102 5.1.00'!$AW$4,'102 5.1.00'!$AW$3)</f>
        <v>0</v>
      </c>
      <c r="U34" s="4">
        <f>(VLOOKUP('102 5.1.00'!AB34,'102 5.1.00'!$AL$4:$AN$55,2,FALSE))*IF('102 5.1.00'!BD$4="是",'102 5.1.00'!$AW$4,'102 5.1.00'!$AW$3)</f>
        <v>0</v>
      </c>
      <c r="V34" s="4">
        <f>(VLOOKUP('102 5.1.00'!AC34,'102 5.1.00'!$AL$4:$AN$55,2,FALSE))*IF('102 5.1.00'!BE$4="是",'102 5.1.00'!$AW$4,'102 5.1.00'!$AW$3)</f>
        <v>0</v>
      </c>
      <c r="W34" s="5">
        <f>(VLOOKUP('102 5.1.00'!AD34,'102 5.1.00'!$AL$4:$AN$55,2,FALSE))*IF('102 5.1.00'!BF$4="是",'102 5.1.00'!$AW$4,'102 5.1.00'!$AW$3)</f>
        <v>0</v>
      </c>
      <c r="X34" s="5">
        <f>(VLOOKUP('102 5.1.00'!AE34,'102 5.1.00'!$AL$4:$AN$55,2,FALSE))*IF('102 5.1.00'!BG$4="是",'102 5.1.00'!$AW$4,'102 5.1.00'!$AW$3)</f>
        <v>0</v>
      </c>
    </row>
    <row r="35" spans="1:24">
      <c r="A35" s="4">
        <f>(VLOOKUP('102 5.1.00'!H35,'102 5.1.00'!$AL$4:$AN$55,2,FALSE))*IF('102 5.1.00'!AJ$4="是",'102 5.1.00'!$AW$4,'102 5.1.00'!$AW$3)</f>
        <v>0</v>
      </c>
      <c r="B35" s="4">
        <f>(VLOOKUP('102 5.1.00'!I35,'102 5.1.00'!$AL$4:$AN$55,2,FALSE))*IF('102 5.1.00'!AK$4="是",'102 5.1.00'!$AW$4,'102 5.1.00'!$AW$3)</f>
        <v>0</v>
      </c>
      <c r="C35" s="4">
        <f>(VLOOKUP('102 5.1.00'!J35,'102 5.1.00'!$AL$4:$AN$55,2,FALSE))*IF('102 5.1.00'!AL$4="是",'102 5.1.00'!$AW$4,'102 5.1.00'!$AW$3)</f>
        <v>0</v>
      </c>
      <c r="D35" s="4">
        <f>(VLOOKUP('102 5.1.00'!K35,'102 5.1.00'!$AL$4:$AN$55,2,FALSE))*IF('102 5.1.00'!AM$4="是",'102 5.1.00'!$AW$4,'102 5.1.00'!$AW$3)</f>
        <v>0</v>
      </c>
      <c r="E35" s="4">
        <f>(VLOOKUP('102 5.1.00'!L35,'102 5.1.00'!$AL$4:$AN$55,2,FALSE))*IF('102 5.1.00'!AN$4="是",'102 5.1.00'!$AW$4,'102 5.1.00'!$AW$3)</f>
        <v>0</v>
      </c>
      <c r="F35" s="4">
        <f>(VLOOKUP('102 5.1.00'!M35,'102 5.1.00'!$AL$4:$AN$55,2,FALSE))*IF('102 5.1.00'!AO$4="是",'102 5.1.00'!$AW$4,'102 5.1.00'!$AW$3)</f>
        <v>0</v>
      </c>
      <c r="G35" s="5">
        <f>(VLOOKUP('102 5.1.00'!N35,'102 5.1.00'!$AL$4:$AN$55,2,FALSE))*IF('102 5.1.00'!AP$4="是",'102 5.1.00'!$AW$4,'102 5.1.00'!$AW$3)</f>
        <v>0</v>
      </c>
      <c r="H35" s="5">
        <f>(VLOOKUP('102 5.1.00'!O35,'102 5.1.00'!$AL$4:$AN$55,2,FALSE))*IF('102 5.1.00'!AQ$4="是",'102 5.1.00'!$AW$4,'102 5.1.00'!$AW$3)</f>
        <v>0</v>
      </c>
      <c r="I35" s="4">
        <f>(VLOOKUP('102 5.1.00'!P35,'102 5.1.00'!$AL$4:$AN$55,2,FALSE))*IF('102 5.1.00'!AR$4="是",'102 5.1.00'!$AW$4,'102 5.1.00'!$AW$3)</f>
        <v>0</v>
      </c>
      <c r="J35" s="4">
        <f>(VLOOKUP('102 5.1.00'!Q35,'102 5.1.00'!$AL$4:$AN$55,2,FALSE))*IF('102 5.1.00'!AS$4="是",'102 5.1.00'!$AW$4,'102 5.1.00'!$AW$3)</f>
        <v>0</v>
      </c>
      <c r="K35" s="4">
        <f>(VLOOKUP('102 5.1.00'!R35,'102 5.1.00'!$AL$4:$AN$55,2,FALSE))*IF('102 5.1.00'!AT$4="是",'102 5.1.00'!$AW$4,'102 5.1.00'!$AW$3)</f>
        <v>0</v>
      </c>
      <c r="L35" s="4">
        <f>(VLOOKUP('102 5.1.00'!S35,'102 5.1.00'!$AL$4:$AN$55,2,FALSE))*IF('102 5.1.00'!AU$4="是",'102 5.1.00'!$AW$4,'102 5.1.00'!$AW$3)</f>
        <v>0</v>
      </c>
      <c r="M35" s="4">
        <f>(VLOOKUP('102 5.1.00'!T35,'102 5.1.00'!$AL$4:$AN$55,2,FALSE))*IF('102 5.1.00'!AV$4="是",'102 5.1.00'!$AW$4,'102 5.1.00'!$AW$3)</f>
        <v>0</v>
      </c>
      <c r="N35" s="4">
        <f>(VLOOKUP('102 5.1.00'!U35,'102 5.1.00'!$AL$4:$AN$55,2,FALSE))*IF('102 5.1.00'!AW$4="是",'102 5.1.00'!$AW$4,'102 5.1.00'!$AW$3)</f>
        <v>0</v>
      </c>
      <c r="O35" s="5">
        <f>(VLOOKUP('102 5.1.00'!V35,'102 5.1.00'!$AL$4:$AN$55,2,FALSE))*IF('102 5.1.00'!AX$4="是",'102 5.1.00'!$AW$4,'102 5.1.00'!$AW$3)</f>
        <v>0</v>
      </c>
      <c r="P35" s="5">
        <f>(VLOOKUP('102 5.1.00'!W35,'102 5.1.00'!$AL$4:$AN$55,2,FALSE))*IF('102 5.1.00'!AY$4="是",'102 5.1.00'!$AW$4,'102 5.1.00'!$AW$3)</f>
        <v>0</v>
      </c>
      <c r="Q35" s="4">
        <f>(VLOOKUP('102 5.1.00'!X35,'102 5.1.00'!$AL$4:$AN$55,2,FALSE))*IF('102 5.1.00'!AZ$4="是",'102 5.1.00'!$AW$4,'102 5.1.00'!$AW$3)</f>
        <v>0</v>
      </c>
      <c r="R35" s="4">
        <f>(VLOOKUP('102 5.1.00'!Y35,'102 5.1.00'!$AL$4:$AN$55,2,FALSE))*IF('102 5.1.00'!BA$4="是",'102 5.1.00'!$AW$4,'102 5.1.00'!$AW$3)</f>
        <v>0</v>
      </c>
      <c r="S35" s="4">
        <f>(VLOOKUP('102 5.1.00'!Z35,'102 5.1.00'!$AL$4:$AN$55,2,FALSE))*IF('102 5.1.00'!BB$4="是",'102 5.1.00'!$AW$4,'102 5.1.00'!$AW$3)</f>
        <v>0</v>
      </c>
      <c r="T35" s="4">
        <f>(VLOOKUP('102 5.1.00'!AA35,'102 5.1.00'!$AL$4:$AN$55,2,FALSE))*IF('102 5.1.00'!BC$4="是",'102 5.1.00'!$AW$4,'102 5.1.00'!$AW$3)</f>
        <v>0</v>
      </c>
      <c r="U35" s="4">
        <f>(VLOOKUP('102 5.1.00'!AB35,'102 5.1.00'!$AL$4:$AN$55,2,FALSE))*IF('102 5.1.00'!BD$4="是",'102 5.1.00'!$AW$4,'102 5.1.00'!$AW$3)</f>
        <v>0</v>
      </c>
      <c r="V35" s="4">
        <f>(VLOOKUP('102 5.1.00'!AC35,'102 5.1.00'!$AL$4:$AN$55,2,FALSE))*IF('102 5.1.00'!BE$4="是",'102 5.1.00'!$AW$4,'102 5.1.00'!$AW$3)</f>
        <v>0</v>
      </c>
      <c r="W35" s="5">
        <f>(VLOOKUP('102 5.1.00'!AD35,'102 5.1.00'!$AL$4:$AN$55,2,FALSE))*IF('102 5.1.00'!BF$4="是",'102 5.1.00'!$AW$4,'102 5.1.00'!$AW$3)</f>
        <v>0</v>
      </c>
      <c r="X35" s="5">
        <f>(VLOOKUP('102 5.1.00'!AE35,'102 5.1.00'!$AL$4:$AN$55,2,FALSE))*IF('102 5.1.00'!BG$4="是",'102 5.1.00'!$AW$4,'102 5.1.00'!$AW$3)</f>
        <v>0</v>
      </c>
    </row>
    <row r="36" spans="1:24">
      <c r="A36" s="4">
        <f>(VLOOKUP('102 5.1.00'!H36,'102 5.1.00'!$AL$4:$AN$55,2,FALSE))*IF('102 5.1.00'!AJ$4="是",'102 5.1.00'!$AW$4,'102 5.1.00'!$AW$3)</f>
        <v>0</v>
      </c>
      <c r="B36" s="4">
        <f>(VLOOKUP('102 5.1.00'!I36,'102 5.1.00'!$AL$4:$AN$55,2,FALSE))*IF('102 5.1.00'!AK$4="是",'102 5.1.00'!$AW$4,'102 5.1.00'!$AW$3)</f>
        <v>0</v>
      </c>
      <c r="C36" s="4">
        <f>(VLOOKUP('102 5.1.00'!J36,'102 5.1.00'!$AL$4:$AN$55,2,FALSE))*IF('102 5.1.00'!AL$4="是",'102 5.1.00'!$AW$4,'102 5.1.00'!$AW$3)</f>
        <v>0</v>
      </c>
      <c r="D36" s="4">
        <f>(VLOOKUP('102 5.1.00'!K36,'102 5.1.00'!$AL$4:$AN$55,2,FALSE))*IF('102 5.1.00'!AM$4="是",'102 5.1.00'!$AW$4,'102 5.1.00'!$AW$3)</f>
        <v>0</v>
      </c>
      <c r="E36" s="4">
        <f>(VLOOKUP('102 5.1.00'!L36,'102 5.1.00'!$AL$4:$AN$55,2,FALSE))*IF('102 5.1.00'!AN$4="是",'102 5.1.00'!$AW$4,'102 5.1.00'!$AW$3)</f>
        <v>0</v>
      </c>
      <c r="F36" s="4">
        <f>(VLOOKUP('102 5.1.00'!M36,'102 5.1.00'!$AL$4:$AN$55,2,FALSE))*IF('102 5.1.00'!AO$4="是",'102 5.1.00'!$AW$4,'102 5.1.00'!$AW$3)</f>
        <v>0</v>
      </c>
      <c r="G36" s="5">
        <f>(VLOOKUP('102 5.1.00'!N36,'102 5.1.00'!$AL$4:$AN$55,2,FALSE))*IF('102 5.1.00'!AP$4="是",'102 5.1.00'!$AW$4,'102 5.1.00'!$AW$3)</f>
        <v>0</v>
      </c>
      <c r="H36" s="5">
        <f>(VLOOKUP('102 5.1.00'!O36,'102 5.1.00'!$AL$4:$AN$55,2,FALSE))*IF('102 5.1.00'!AQ$4="是",'102 5.1.00'!$AW$4,'102 5.1.00'!$AW$3)</f>
        <v>0</v>
      </c>
      <c r="I36" s="4">
        <f>(VLOOKUP('102 5.1.00'!P36,'102 5.1.00'!$AL$4:$AN$55,2,FALSE))*IF('102 5.1.00'!AR$4="是",'102 5.1.00'!$AW$4,'102 5.1.00'!$AW$3)</f>
        <v>0</v>
      </c>
      <c r="J36" s="4">
        <f>(VLOOKUP('102 5.1.00'!Q36,'102 5.1.00'!$AL$4:$AN$55,2,FALSE))*IF('102 5.1.00'!AS$4="是",'102 5.1.00'!$AW$4,'102 5.1.00'!$AW$3)</f>
        <v>0</v>
      </c>
      <c r="K36" s="4">
        <f>(VLOOKUP('102 5.1.00'!R36,'102 5.1.00'!$AL$4:$AN$55,2,FALSE))*IF('102 5.1.00'!AT$4="是",'102 5.1.00'!$AW$4,'102 5.1.00'!$AW$3)</f>
        <v>0</v>
      </c>
      <c r="L36" s="4">
        <f>(VLOOKUP('102 5.1.00'!S36,'102 5.1.00'!$AL$4:$AN$55,2,FALSE))*IF('102 5.1.00'!AU$4="是",'102 5.1.00'!$AW$4,'102 5.1.00'!$AW$3)</f>
        <v>0</v>
      </c>
      <c r="M36" s="4">
        <f>(VLOOKUP('102 5.1.00'!T36,'102 5.1.00'!$AL$4:$AN$55,2,FALSE))*IF('102 5.1.00'!AV$4="是",'102 5.1.00'!$AW$4,'102 5.1.00'!$AW$3)</f>
        <v>0</v>
      </c>
      <c r="N36" s="4">
        <f>(VLOOKUP('102 5.1.00'!U36,'102 5.1.00'!$AL$4:$AN$55,2,FALSE))*IF('102 5.1.00'!AW$4="是",'102 5.1.00'!$AW$4,'102 5.1.00'!$AW$3)</f>
        <v>0</v>
      </c>
      <c r="O36" s="5">
        <f>(VLOOKUP('102 5.1.00'!V36,'102 5.1.00'!$AL$4:$AN$55,2,FALSE))*IF('102 5.1.00'!AX$4="是",'102 5.1.00'!$AW$4,'102 5.1.00'!$AW$3)</f>
        <v>0</v>
      </c>
      <c r="P36" s="5">
        <f>(VLOOKUP('102 5.1.00'!W36,'102 5.1.00'!$AL$4:$AN$55,2,FALSE))*IF('102 5.1.00'!AY$4="是",'102 5.1.00'!$AW$4,'102 5.1.00'!$AW$3)</f>
        <v>0</v>
      </c>
      <c r="Q36" s="4">
        <f>(VLOOKUP('102 5.1.00'!X36,'102 5.1.00'!$AL$4:$AN$55,2,FALSE))*IF('102 5.1.00'!AZ$4="是",'102 5.1.00'!$AW$4,'102 5.1.00'!$AW$3)</f>
        <v>0</v>
      </c>
      <c r="R36" s="4">
        <f>(VLOOKUP('102 5.1.00'!Y36,'102 5.1.00'!$AL$4:$AN$55,2,FALSE))*IF('102 5.1.00'!BA$4="是",'102 5.1.00'!$AW$4,'102 5.1.00'!$AW$3)</f>
        <v>0</v>
      </c>
      <c r="S36" s="4">
        <f>(VLOOKUP('102 5.1.00'!Z36,'102 5.1.00'!$AL$4:$AN$55,2,FALSE))*IF('102 5.1.00'!BB$4="是",'102 5.1.00'!$AW$4,'102 5.1.00'!$AW$3)</f>
        <v>0</v>
      </c>
      <c r="T36" s="4">
        <f>(VLOOKUP('102 5.1.00'!AA36,'102 5.1.00'!$AL$4:$AN$55,2,FALSE))*IF('102 5.1.00'!BC$4="是",'102 5.1.00'!$AW$4,'102 5.1.00'!$AW$3)</f>
        <v>0</v>
      </c>
      <c r="U36" s="4">
        <f>(VLOOKUP('102 5.1.00'!AB36,'102 5.1.00'!$AL$4:$AN$55,2,FALSE))*IF('102 5.1.00'!BD$4="是",'102 5.1.00'!$AW$4,'102 5.1.00'!$AW$3)</f>
        <v>0</v>
      </c>
      <c r="V36" s="4">
        <f>(VLOOKUP('102 5.1.00'!AC36,'102 5.1.00'!$AL$4:$AN$55,2,FALSE))*IF('102 5.1.00'!BE$4="是",'102 5.1.00'!$AW$4,'102 5.1.00'!$AW$3)</f>
        <v>0</v>
      </c>
      <c r="W36" s="5">
        <f>(VLOOKUP('102 5.1.00'!AD36,'102 5.1.00'!$AL$4:$AN$55,2,FALSE))*IF('102 5.1.00'!BF$4="是",'102 5.1.00'!$AW$4,'102 5.1.00'!$AW$3)</f>
        <v>0</v>
      </c>
      <c r="X36" s="5">
        <f>(VLOOKUP('102 5.1.00'!AE36,'102 5.1.00'!$AL$4:$AN$55,2,FALSE))*IF('102 5.1.00'!BG$4="是",'102 5.1.00'!$AW$4,'102 5.1.00'!$AW$3)</f>
        <v>0</v>
      </c>
    </row>
    <row r="37" spans="1:24">
      <c r="A37" s="4">
        <f>(VLOOKUP('102 5.1.00'!H37,'102 5.1.00'!$AL$4:$AN$55,2,FALSE))*IF('102 5.1.00'!AJ$4="是",'102 5.1.00'!$AW$4,'102 5.1.00'!$AW$3)</f>
        <v>0</v>
      </c>
      <c r="B37" s="4">
        <f>(VLOOKUP('102 5.1.00'!I37,'102 5.1.00'!$AL$4:$AN$55,2,FALSE))*IF('102 5.1.00'!AK$4="是",'102 5.1.00'!$AW$4,'102 5.1.00'!$AW$3)</f>
        <v>0</v>
      </c>
      <c r="C37" s="4">
        <f>(VLOOKUP('102 5.1.00'!J37,'102 5.1.00'!$AL$4:$AN$55,2,FALSE))*IF('102 5.1.00'!AL$4="是",'102 5.1.00'!$AW$4,'102 5.1.00'!$AW$3)</f>
        <v>0</v>
      </c>
      <c r="D37" s="4">
        <f>(VLOOKUP('102 5.1.00'!K37,'102 5.1.00'!$AL$4:$AN$55,2,FALSE))*IF('102 5.1.00'!AM$4="是",'102 5.1.00'!$AW$4,'102 5.1.00'!$AW$3)</f>
        <v>0</v>
      </c>
      <c r="E37" s="4">
        <f>(VLOOKUP('102 5.1.00'!L37,'102 5.1.00'!$AL$4:$AN$55,2,FALSE))*IF('102 5.1.00'!AN$4="是",'102 5.1.00'!$AW$4,'102 5.1.00'!$AW$3)</f>
        <v>0</v>
      </c>
      <c r="F37" s="4">
        <f>(VLOOKUP('102 5.1.00'!M37,'102 5.1.00'!$AL$4:$AN$55,2,FALSE))*IF('102 5.1.00'!AO$4="是",'102 5.1.00'!$AW$4,'102 5.1.00'!$AW$3)</f>
        <v>0</v>
      </c>
      <c r="G37" s="5">
        <f>(VLOOKUP('102 5.1.00'!N37,'102 5.1.00'!$AL$4:$AN$55,2,FALSE))*IF('102 5.1.00'!AP$4="是",'102 5.1.00'!$AW$4,'102 5.1.00'!$AW$3)</f>
        <v>0</v>
      </c>
      <c r="H37" s="5">
        <f>(VLOOKUP('102 5.1.00'!O37,'102 5.1.00'!$AL$4:$AN$55,2,FALSE))*IF('102 5.1.00'!AQ$4="是",'102 5.1.00'!$AW$4,'102 5.1.00'!$AW$3)</f>
        <v>0</v>
      </c>
      <c r="I37" s="4">
        <f>(VLOOKUP('102 5.1.00'!P37,'102 5.1.00'!$AL$4:$AN$55,2,FALSE))*IF('102 5.1.00'!AR$4="是",'102 5.1.00'!$AW$4,'102 5.1.00'!$AW$3)</f>
        <v>0</v>
      </c>
      <c r="J37" s="4">
        <f>(VLOOKUP('102 5.1.00'!Q37,'102 5.1.00'!$AL$4:$AN$55,2,FALSE))*IF('102 5.1.00'!AS$4="是",'102 5.1.00'!$AW$4,'102 5.1.00'!$AW$3)</f>
        <v>0</v>
      </c>
      <c r="K37" s="4">
        <f>(VLOOKUP('102 5.1.00'!R37,'102 5.1.00'!$AL$4:$AN$55,2,FALSE))*IF('102 5.1.00'!AT$4="是",'102 5.1.00'!$AW$4,'102 5.1.00'!$AW$3)</f>
        <v>0</v>
      </c>
      <c r="L37" s="4">
        <f>(VLOOKUP('102 5.1.00'!S37,'102 5.1.00'!$AL$4:$AN$55,2,FALSE))*IF('102 5.1.00'!AU$4="是",'102 5.1.00'!$AW$4,'102 5.1.00'!$AW$3)</f>
        <v>0</v>
      </c>
      <c r="M37" s="4">
        <f>(VLOOKUP('102 5.1.00'!T37,'102 5.1.00'!$AL$4:$AN$55,2,FALSE))*IF('102 5.1.00'!AV$4="是",'102 5.1.00'!$AW$4,'102 5.1.00'!$AW$3)</f>
        <v>0</v>
      </c>
      <c r="N37" s="4">
        <f>(VLOOKUP('102 5.1.00'!U37,'102 5.1.00'!$AL$4:$AN$55,2,FALSE))*IF('102 5.1.00'!AW$4="是",'102 5.1.00'!$AW$4,'102 5.1.00'!$AW$3)</f>
        <v>0</v>
      </c>
      <c r="O37" s="5">
        <f>(VLOOKUP('102 5.1.00'!V37,'102 5.1.00'!$AL$4:$AN$55,2,FALSE))*IF('102 5.1.00'!AX$4="是",'102 5.1.00'!$AW$4,'102 5.1.00'!$AW$3)</f>
        <v>0</v>
      </c>
      <c r="P37" s="5">
        <f>(VLOOKUP('102 5.1.00'!W37,'102 5.1.00'!$AL$4:$AN$55,2,FALSE))*IF('102 5.1.00'!AY$4="是",'102 5.1.00'!$AW$4,'102 5.1.00'!$AW$3)</f>
        <v>0</v>
      </c>
      <c r="Q37" s="4">
        <f>(VLOOKUP('102 5.1.00'!X37,'102 5.1.00'!$AL$4:$AN$55,2,FALSE))*IF('102 5.1.00'!AZ$4="是",'102 5.1.00'!$AW$4,'102 5.1.00'!$AW$3)</f>
        <v>0</v>
      </c>
      <c r="R37" s="4">
        <f>(VLOOKUP('102 5.1.00'!Y37,'102 5.1.00'!$AL$4:$AN$55,2,FALSE))*IF('102 5.1.00'!BA$4="是",'102 5.1.00'!$AW$4,'102 5.1.00'!$AW$3)</f>
        <v>0</v>
      </c>
      <c r="S37" s="4">
        <f>(VLOOKUP('102 5.1.00'!Z37,'102 5.1.00'!$AL$4:$AN$55,2,FALSE))*IF('102 5.1.00'!BB$4="是",'102 5.1.00'!$AW$4,'102 5.1.00'!$AW$3)</f>
        <v>0</v>
      </c>
      <c r="T37" s="4">
        <f>(VLOOKUP('102 5.1.00'!AA37,'102 5.1.00'!$AL$4:$AN$55,2,FALSE))*IF('102 5.1.00'!BC$4="是",'102 5.1.00'!$AW$4,'102 5.1.00'!$AW$3)</f>
        <v>0</v>
      </c>
      <c r="U37" s="4">
        <f>(VLOOKUP('102 5.1.00'!AB37,'102 5.1.00'!$AL$4:$AN$55,2,FALSE))*IF('102 5.1.00'!BD$4="是",'102 5.1.00'!$AW$4,'102 5.1.00'!$AW$3)</f>
        <v>0</v>
      </c>
      <c r="V37" s="4">
        <f>(VLOOKUP('102 5.1.00'!AC37,'102 5.1.00'!$AL$4:$AN$55,2,FALSE))*IF('102 5.1.00'!BE$4="是",'102 5.1.00'!$AW$4,'102 5.1.00'!$AW$3)</f>
        <v>0</v>
      </c>
      <c r="W37" s="5">
        <f>(VLOOKUP('102 5.1.00'!AD37,'102 5.1.00'!$AL$4:$AN$55,2,FALSE))*IF('102 5.1.00'!BF$4="是",'102 5.1.00'!$AW$4,'102 5.1.00'!$AW$3)</f>
        <v>0</v>
      </c>
      <c r="X37" s="5">
        <f>(VLOOKUP('102 5.1.00'!AE37,'102 5.1.00'!$AL$4:$AN$55,2,FALSE))*IF('102 5.1.00'!BG$4="是",'102 5.1.00'!$AW$4,'102 5.1.00'!$AW$3)</f>
        <v>0</v>
      </c>
    </row>
    <row r="38" spans="1:24">
      <c r="A38" s="4">
        <f>(VLOOKUP('102 5.1.00'!H38,'102 5.1.00'!$AL$4:$AN$55,2,FALSE))*IF('102 5.1.00'!AJ$4="是",'102 5.1.00'!$AW$4,'102 5.1.00'!$AW$3)</f>
        <v>0</v>
      </c>
      <c r="B38" s="4">
        <f>(VLOOKUP('102 5.1.00'!I38,'102 5.1.00'!$AL$4:$AN$55,2,FALSE))*IF('102 5.1.00'!AK$4="是",'102 5.1.00'!$AW$4,'102 5.1.00'!$AW$3)</f>
        <v>0</v>
      </c>
      <c r="C38" s="4">
        <f>(VLOOKUP('102 5.1.00'!J38,'102 5.1.00'!$AL$4:$AN$55,2,FALSE))*IF('102 5.1.00'!AL$4="是",'102 5.1.00'!$AW$4,'102 5.1.00'!$AW$3)</f>
        <v>0</v>
      </c>
      <c r="D38" s="4">
        <f>(VLOOKUP('102 5.1.00'!K38,'102 5.1.00'!$AL$4:$AN$55,2,FALSE))*IF('102 5.1.00'!AM$4="是",'102 5.1.00'!$AW$4,'102 5.1.00'!$AW$3)</f>
        <v>0</v>
      </c>
      <c r="E38" s="4">
        <f>(VLOOKUP('102 5.1.00'!L38,'102 5.1.00'!$AL$4:$AN$55,2,FALSE))*IF('102 5.1.00'!AN$4="是",'102 5.1.00'!$AW$4,'102 5.1.00'!$AW$3)</f>
        <v>0</v>
      </c>
      <c r="F38" s="4">
        <f>(VLOOKUP('102 5.1.00'!M38,'102 5.1.00'!$AL$4:$AN$55,2,FALSE))*IF('102 5.1.00'!AO$4="是",'102 5.1.00'!$AW$4,'102 5.1.00'!$AW$3)</f>
        <v>0</v>
      </c>
      <c r="G38" s="5">
        <f>(VLOOKUP('102 5.1.00'!N38,'102 5.1.00'!$AL$4:$AN$55,2,FALSE))*IF('102 5.1.00'!AP$4="是",'102 5.1.00'!$AW$4,'102 5.1.00'!$AW$3)</f>
        <v>0</v>
      </c>
      <c r="H38" s="5">
        <f>(VLOOKUP('102 5.1.00'!O38,'102 5.1.00'!$AL$4:$AN$55,2,FALSE))*IF('102 5.1.00'!AQ$4="是",'102 5.1.00'!$AW$4,'102 5.1.00'!$AW$3)</f>
        <v>0</v>
      </c>
      <c r="I38" s="4">
        <f>(VLOOKUP('102 5.1.00'!P38,'102 5.1.00'!$AL$4:$AN$55,2,FALSE))*IF('102 5.1.00'!AR$4="是",'102 5.1.00'!$AW$4,'102 5.1.00'!$AW$3)</f>
        <v>0</v>
      </c>
      <c r="J38" s="4">
        <f>(VLOOKUP('102 5.1.00'!Q38,'102 5.1.00'!$AL$4:$AN$55,2,FALSE))*IF('102 5.1.00'!AS$4="是",'102 5.1.00'!$AW$4,'102 5.1.00'!$AW$3)</f>
        <v>0</v>
      </c>
      <c r="K38" s="4">
        <f>(VLOOKUP('102 5.1.00'!R38,'102 5.1.00'!$AL$4:$AN$55,2,FALSE))*IF('102 5.1.00'!AT$4="是",'102 5.1.00'!$AW$4,'102 5.1.00'!$AW$3)</f>
        <v>0</v>
      </c>
      <c r="L38" s="4">
        <f>(VLOOKUP('102 5.1.00'!S38,'102 5.1.00'!$AL$4:$AN$55,2,FALSE))*IF('102 5.1.00'!AU$4="是",'102 5.1.00'!$AW$4,'102 5.1.00'!$AW$3)</f>
        <v>0</v>
      </c>
      <c r="M38" s="4">
        <f>(VLOOKUP('102 5.1.00'!T38,'102 5.1.00'!$AL$4:$AN$55,2,FALSE))*IF('102 5.1.00'!AV$4="是",'102 5.1.00'!$AW$4,'102 5.1.00'!$AW$3)</f>
        <v>0</v>
      </c>
      <c r="N38" s="4">
        <f>(VLOOKUP('102 5.1.00'!U38,'102 5.1.00'!$AL$4:$AN$55,2,FALSE))*IF('102 5.1.00'!AW$4="是",'102 5.1.00'!$AW$4,'102 5.1.00'!$AW$3)</f>
        <v>0</v>
      </c>
      <c r="O38" s="5">
        <f>(VLOOKUP('102 5.1.00'!V38,'102 5.1.00'!$AL$4:$AN$55,2,FALSE))*IF('102 5.1.00'!AX$4="是",'102 5.1.00'!$AW$4,'102 5.1.00'!$AW$3)</f>
        <v>0</v>
      </c>
      <c r="P38" s="5">
        <f>(VLOOKUP('102 5.1.00'!W38,'102 5.1.00'!$AL$4:$AN$55,2,FALSE))*IF('102 5.1.00'!AY$4="是",'102 5.1.00'!$AW$4,'102 5.1.00'!$AW$3)</f>
        <v>0</v>
      </c>
      <c r="Q38" s="4">
        <f>(VLOOKUP('102 5.1.00'!X38,'102 5.1.00'!$AL$4:$AN$55,2,FALSE))*IF('102 5.1.00'!AZ$4="是",'102 5.1.00'!$AW$4,'102 5.1.00'!$AW$3)</f>
        <v>0</v>
      </c>
      <c r="R38" s="4">
        <f>(VLOOKUP('102 5.1.00'!Y38,'102 5.1.00'!$AL$4:$AN$55,2,FALSE))*IF('102 5.1.00'!BA$4="是",'102 5.1.00'!$AW$4,'102 5.1.00'!$AW$3)</f>
        <v>0</v>
      </c>
      <c r="S38" s="4">
        <f>(VLOOKUP('102 5.1.00'!Z38,'102 5.1.00'!$AL$4:$AN$55,2,FALSE))*IF('102 5.1.00'!BB$4="是",'102 5.1.00'!$AW$4,'102 5.1.00'!$AW$3)</f>
        <v>0</v>
      </c>
      <c r="T38" s="4">
        <f>(VLOOKUP('102 5.1.00'!AA38,'102 5.1.00'!$AL$4:$AN$55,2,FALSE))*IF('102 5.1.00'!BC$4="是",'102 5.1.00'!$AW$4,'102 5.1.00'!$AW$3)</f>
        <v>0</v>
      </c>
      <c r="U38" s="4">
        <f>(VLOOKUP('102 5.1.00'!AB38,'102 5.1.00'!$AL$4:$AN$55,2,FALSE))*IF('102 5.1.00'!BD$4="是",'102 5.1.00'!$AW$4,'102 5.1.00'!$AW$3)</f>
        <v>0</v>
      </c>
      <c r="V38" s="4">
        <f>(VLOOKUP('102 5.1.00'!AC38,'102 5.1.00'!$AL$4:$AN$55,2,FALSE))*IF('102 5.1.00'!BE$4="是",'102 5.1.00'!$AW$4,'102 5.1.00'!$AW$3)</f>
        <v>0</v>
      </c>
      <c r="W38" s="5">
        <f>(VLOOKUP('102 5.1.00'!AD38,'102 5.1.00'!$AL$4:$AN$55,2,FALSE))*IF('102 5.1.00'!BF$4="是",'102 5.1.00'!$AW$4,'102 5.1.00'!$AW$3)</f>
        <v>0</v>
      </c>
      <c r="X38" s="5">
        <f>(VLOOKUP('102 5.1.00'!AE38,'102 5.1.00'!$AL$4:$AN$55,2,FALSE))*IF('102 5.1.00'!BG$4="是",'102 5.1.00'!$AW$4,'102 5.1.00'!$AW$3)</f>
        <v>0</v>
      </c>
    </row>
    <row r="39" spans="1:24">
      <c r="A39" s="4">
        <f>(VLOOKUP('102 5.1.00'!H39,'102 5.1.00'!$AL$4:$AN$55,2,FALSE))*IF('102 5.1.00'!AJ$4="是",'102 5.1.00'!$AW$4,'102 5.1.00'!$AW$3)</f>
        <v>0</v>
      </c>
      <c r="B39" s="4">
        <f>(VLOOKUP('102 5.1.00'!I39,'102 5.1.00'!$AL$4:$AN$55,2,FALSE))*IF('102 5.1.00'!AK$4="是",'102 5.1.00'!$AW$4,'102 5.1.00'!$AW$3)</f>
        <v>0</v>
      </c>
      <c r="C39" s="4">
        <f>(VLOOKUP('102 5.1.00'!J39,'102 5.1.00'!$AL$4:$AN$55,2,FALSE))*IF('102 5.1.00'!AL$4="是",'102 5.1.00'!$AW$4,'102 5.1.00'!$AW$3)</f>
        <v>0</v>
      </c>
      <c r="D39" s="4">
        <f>(VLOOKUP('102 5.1.00'!K39,'102 5.1.00'!$AL$4:$AN$55,2,FALSE))*IF('102 5.1.00'!AM$4="是",'102 5.1.00'!$AW$4,'102 5.1.00'!$AW$3)</f>
        <v>0</v>
      </c>
      <c r="E39" s="4">
        <f>(VLOOKUP('102 5.1.00'!L39,'102 5.1.00'!$AL$4:$AN$55,2,FALSE))*IF('102 5.1.00'!AN$4="是",'102 5.1.00'!$AW$4,'102 5.1.00'!$AW$3)</f>
        <v>0</v>
      </c>
      <c r="F39" s="4">
        <f>(VLOOKUP('102 5.1.00'!M39,'102 5.1.00'!$AL$4:$AN$55,2,FALSE))*IF('102 5.1.00'!AO$4="是",'102 5.1.00'!$AW$4,'102 5.1.00'!$AW$3)</f>
        <v>0</v>
      </c>
      <c r="G39" s="5">
        <f>(VLOOKUP('102 5.1.00'!N39,'102 5.1.00'!$AL$4:$AN$55,2,FALSE))*IF('102 5.1.00'!AP$4="是",'102 5.1.00'!$AW$4,'102 5.1.00'!$AW$3)</f>
        <v>0</v>
      </c>
      <c r="H39" s="5">
        <f>(VLOOKUP('102 5.1.00'!O39,'102 5.1.00'!$AL$4:$AN$55,2,FALSE))*IF('102 5.1.00'!AQ$4="是",'102 5.1.00'!$AW$4,'102 5.1.00'!$AW$3)</f>
        <v>0</v>
      </c>
      <c r="I39" s="4">
        <f>(VLOOKUP('102 5.1.00'!P39,'102 5.1.00'!$AL$4:$AN$55,2,FALSE))*IF('102 5.1.00'!AR$4="是",'102 5.1.00'!$AW$4,'102 5.1.00'!$AW$3)</f>
        <v>0</v>
      </c>
      <c r="J39" s="4">
        <f>(VLOOKUP('102 5.1.00'!Q39,'102 5.1.00'!$AL$4:$AN$55,2,FALSE))*IF('102 5.1.00'!AS$4="是",'102 5.1.00'!$AW$4,'102 5.1.00'!$AW$3)</f>
        <v>0</v>
      </c>
      <c r="K39" s="4">
        <f>(VLOOKUP('102 5.1.00'!R39,'102 5.1.00'!$AL$4:$AN$55,2,FALSE))*IF('102 5.1.00'!AT$4="是",'102 5.1.00'!$AW$4,'102 5.1.00'!$AW$3)</f>
        <v>0</v>
      </c>
      <c r="L39" s="4">
        <f>(VLOOKUP('102 5.1.00'!S39,'102 5.1.00'!$AL$4:$AN$55,2,FALSE))*IF('102 5.1.00'!AU$4="是",'102 5.1.00'!$AW$4,'102 5.1.00'!$AW$3)</f>
        <v>0</v>
      </c>
      <c r="M39" s="4">
        <f>(VLOOKUP('102 5.1.00'!T39,'102 5.1.00'!$AL$4:$AN$55,2,FALSE))*IF('102 5.1.00'!AV$4="是",'102 5.1.00'!$AW$4,'102 5.1.00'!$AW$3)</f>
        <v>0</v>
      </c>
      <c r="N39" s="4">
        <f>(VLOOKUP('102 5.1.00'!U39,'102 5.1.00'!$AL$4:$AN$55,2,FALSE))*IF('102 5.1.00'!AW$4="是",'102 5.1.00'!$AW$4,'102 5.1.00'!$AW$3)</f>
        <v>0</v>
      </c>
      <c r="O39" s="5">
        <f>(VLOOKUP('102 5.1.00'!V39,'102 5.1.00'!$AL$4:$AN$55,2,FALSE))*IF('102 5.1.00'!AX$4="是",'102 5.1.00'!$AW$4,'102 5.1.00'!$AW$3)</f>
        <v>0</v>
      </c>
      <c r="P39" s="5">
        <f>(VLOOKUP('102 5.1.00'!W39,'102 5.1.00'!$AL$4:$AN$55,2,FALSE))*IF('102 5.1.00'!AY$4="是",'102 5.1.00'!$AW$4,'102 5.1.00'!$AW$3)</f>
        <v>0</v>
      </c>
      <c r="Q39" s="4">
        <f>(VLOOKUP('102 5.1.00'!X39,'102 5.1.00'!$AL$4:$AN$55,2,FALSE))*IF('102 5.1.00'!AZ$4="是",'102 5.1.00'!$AW$4,'102 5.1.00'!$AW$3)</f>
        <v>0</v>
      </c>
      <c r="R39" s="4">
        <f>(VLOOKUP('102 5.1.00'!Y39,'102 5.1.00'!$AL$4:$AN$55,2,FALSE))*IF('102 5.1.00'!BA$4="是",'102 5.1.00'!$AW$4,'102 5.1.00'!$AW$3)</f>
        <v>0</v>
      </c>
      <c r="S39" s="4">
        <f>(VLOOKUP('102 5.1.00'!Z39,'102 5.1.00'!$AL$4:$AN$55,2,FALSE))*IF('102 5.1.00'!BB$4="是",'102 5.1.00'!$AW$4,'102 5.1.00'!$AW$3)</f>
        <v>0</v>
      </c>
      <c r="T39" s="4">
        <f>(VLOOKUP('102 5.1.00'!AA39,'102 5.1.00'!$AL$4:$AN$55,2,FALSE))*IF('102 5.1.00'!BC$4="是",'102 5.1.00'!$AW$4,'102 5.1.00'!$AW$3)</f>
        <v>0</v>
      </c>
      <c r="U39" s="4">
        <f>(VLOOKUP('102 5.1.00'!AB39,'102 5.1.00'!$AL$4:$AN$55,2,FALSE))*IF('102 5.1.00'!BD$4="是",'102 5.1.00'!$AW$4,'102 5.1.00'!$AW$3)</f>
        <v>0</v>
      </c>
      <c r="V39" s="4">
        <f>(VLOOKUP('102 5.1.00'!AC39,'102 5.1.00'!$AL$4:$AN$55,2,FALSE))*IF('102 5.1.00'!BE$4="是",'102 5.1.00'!$AW$4,'102 5.1.00'!$AW$3)</f>
        <v>0</v>
      </c>
      <c r="W39" s="5">
        <f>(VLOOKUP('102 5.1.00'!AD39,'102 5.1.00'!$AL$4:$AN$55,2,FALSE))*IF('102 5.1.00'!BF$4="是",'102 5.1.00'!$AW$4,'102 5.1.00'!$AW$3)</f>
        <v>0</v>
      </c>
      <c r="X39" s="5">
        <f>(VLOOKUP('102 5.1.00'!AE39,'102 5.1.00'!$AL$4:$AN$55,2,FALSE))*IF('102 5.1.00'!BG$4="是",'102 5.1.00'!$AW$4,'102 5.1.00'!$AW$3)</f>
        <v>0</v>
      </c>
    </row>
    <row r="40" spans="1:24">
      <c r="A40" s="4">
        <f>(VLOOKUP('102 5.1.00'!H40,'102 5.1.00'!$AL$4:$AN$55,2,FALSE))*IF('102 5.1.00'!AJ$4="是",'102 5.1.00'!$AW$4,'102 5.1.00'!$AW$3)</f>
        <v>0</v>
      </c>
      <c r="B40" s="4">
        <f>(VLOOKUP('102 5.1.00'!I40,'102 5.1.00'!$AL$4:$AN$55,2,FALSE))*IF('102 5.1.00'!AK$4="是",'102 5.1.00'!$AW$4,'102 5.1.00'!$AW$3)</f>
        <v>0</v>
      </c>
      <c r="C40" s="4">
        <f>(VLOOKUP('102 5.1.00'!J40,'102 5.1.00'!$AL$4:$AN$55,2,FALSE))*IF('102 5.1.00'!AL$4="是",'102 5.1.00'!$AW$4,'102 5.1.00'!$AW$3)</f>
        <v>0</v>
      </c>
      <c r="D40" s="4">
        <f>(VLOOKUP('102 5.1.00'!K40,'102 5.1.00'!$AL$4:$AN$55,2,FALSE))*IF('102 5.1.00'!AM$4="是",'102 5.1.00'!$AW$4,'102 5.1.00'!$AW$3)</f>
        <v>0</v>
      </c>
      <c r="E40" s="4">
        <f>(VLOOKUP('102 5.1.00'!L40,'102 5.1.00'!$AL$4:$AN$55,2,FALSE))*IF('102 5.1.00'!AN$4="是",'102 5.1.00'!$AW$4,'102 5.1.00'!$AW$3)</f>
        <v>0</v>
      </c>
      <c r="F40" s="4">
        <f>(VLOOKUP('102 5.1.00'!M40,'102 5.1.00'!$AL$4:$AN$55,2,FALSE))*IF('102 5.1.00'!AO$4="是",'102 5.1.00'!$AW$4,'102 5.1.00'!$AW$3)</f>
        <v>0</v>
      </c>
      <c r="G40" s="5">
        <f>(VLOOKUP('102 5.1.00'!N40,'102 5.1.00'!$AL$4:$AN$55,2,FALSE))*IF('102 5.1.00'!AP$4="是",'102 5.1.00'!$AW$4,'102 5.1.00'!$AW$3)</f>
        <v>0</v>
      </c>
      <c r="H40" s="5">
        <f>(VLOOKUP('102 5.1.00'!O40,'102 5.1.00'!$AL$4:$AN$55,2,FALSE))*IF('102 5.1.00'!AQ$4="是",'102 5.1.00'!$AW$4,'102 5.1.00'!$AW$3)</f>
        <v>0</v>
      </c>
      <c r="I40" s="4">
        <f>(VLOOKUP('102 5.1.00'!P40,'102 5.1.00'!$AL$4:$AN$55,2,FALSE))*IF('102 5.1.00'!AR$4="是",'102 5.1.00'!$AW$4,'102 5.1.00'!$AW$3)</f>
        <v>0</v>
      </c>
      <c r="J40" s="4">
        <f>(VLOOKUP('102 5.1.00'!Q40,'102 5.1.00'!$AL$4:$AN$55,2,FALSE))*IF('102 5.1.00'!AS$4="是",'102 5.1.00'!$AW$4,'102 5.1.00'!$AW$3)</f>
        <v>0</v>
      </c>
      <c r="K40" s="4">
        <f>(VLOOKUP('102 5.1.00'!R40,'102 5.1.00'!$AL$4:$AN$55,2,FALSE))*IF('102 5.1.00'!AT$4="是",'102 5.1.00'!$AW$4,'102 5.1.00'!$AW$3)</f>
        <v>0</v>
      </c>
      <c r="L40" s="4">
        <f>(VLOOKUP('102 5.1.00'!S40,'102 5.1.00'!$AL$4:$AN$55,2,FALSE))*IF('102 5.1.00'!AU$4="是",'102 5.1.00'!$AW$4,'102 5.1.00'!$AW$3)</f>
        <v>0</v>
      </c>
      <c r="M40" s="4">
        <f>(VLOOKUP('102 5.1.00'!T40,'102 5.1.00'!$AL$4:$AN$55,2,FALSE))*IF('102 5.1.00'!AV$4="是",'102 5.1.00'!$AW$4,'102 5.1.00'!$AW$3)</f>
        <v>0</v>
      </c>
      <c r="N40" s="4">
        <f>(VLOOKUP('102 5.1.00'!U40,'102 5.1.00'!$AL$4:$AN$55,2,FALSE))*IF('102 5.1.00'!AW$4="是",'102 5.1.00'!$AW$4,'102 5.1.00'!$AW$3)</f>
        <v>0</v>
      </c>
      <c r="O40" s="5">
        <f>(VLOOKUP('102 5.1.00'!V40,'102 5.1.00'!$AL$4:$AN$55,2,FALSE))*IF('102 5.1.00'!AX$4="是",'102 5.1.00'!$AW$4,'102 5.1.00'!$AW$3)</f>
        <v>0</v>
      </c>
      <c r="P40" s="5">
        <f>(VLOOKUP('102 5.1.00'!W40,'102 5.1.00'!$AL$4:$AN$55,2,FALSE))*IF('102 5.1.00'!AY$4="是",'102 5.1.00'!$AW$4,'102 5.1.00'!$AW$3)</f>
        <v>0</v>
      </c>
      <c r="Q40" s="4">
        <f>(VLOOKUP('102 5.1.00'!X40,'102 5.1.00'!$AL$4:$AN$55,2,FALSE))*IF('102 5.1.00'!AZ$4="是",'102 5.1.00'!$AW$4,'102 5.1.00'!$AW$3)</f>
        <v>0</v>
      </c>
      <c r="R40" s="4">
        <f>(VLOOKUP('102 5.1.00'!Y40,'102 5.1.00'!$AL$4:$AN$55,2,FALSE))*IF('102 5.1.00'!BA$4="是",'102 5.1.00'!$AW$4,'102 5.1.00'!$AW$3)</f>
        <v>0</v>
      </c>
      <c r="S40" s="4">
        <f>(VLOOKUP('102 5.1.00'!Z40,'102 5.1.00'!$AL$4:$AN$55,2,FALSE))*IF('102 5.1.00'!BB$4="是",'102 5.1.00'!$AW$4,'102 5.1.00'!$AW$3)</f>
        <v>0</v>
      </c>
      <c r="T40" s="4">
        <f>(VLOOKUP('102 5.1.00'!AA40,'102 5.1.00'!$AL$4:$AN$55,2,FALSE))*IF('102 5.1.00'!BC$4="是",'102 5.1.00'!$AW$4,'102 5.1.00'!$AW$3)</f>
        <v>0</v>
      </c>
      <c r="U40" s="4">
        <f>(VLOOKUP('102 5.1.00'!AB40,'102 5.1.00'!$AL$4:$AN$55,2,FALSE))*IF('102 5.1.00'!BD$4="是",'102 5.1.00'!$AW$4,'102 5.1.00'!$AW$3)</f>
        <v>0</v>
      </c>
      <c r="V40" s="4">
        <f>(VLOOKUP('102 5.1.00'!AC40,'102 5.1.00'!$AL$4:$AN$55,2,FALSE))*IF('102 5.1.00'!BE$4="是",'102 5.1.00'!$AW$4,'102 5.1.00'!$AW$3)</f>
        <v>0</v>
      </c>
      <c r="W40" s="5">
        <f>(VLOOKUP('102 5.1.00'!AD40,'102 5.1.00'!$AL$4:$AN$55,2,FALSE))*IF('102 5.1.00'!BF$4="是",'102 5.1.00'!$AW$4,'102 5.1.00'!$AW$3)</f>
        <v>0</v>
      </c>
      <c r="X40" s="5">
        <f>(VLOOKUP('102 5.1.00'!AE40,'102 5.1.00'!$AL$4:$AN$55,2,FALSE))*IF('102 5.1.00'!BG$4="是",'102 5.1.00'!$AW$4,'102 5.1.00'!$AW$3)</f>
        <v>0</v>
      </c>
    </row>
    <row r="41" spans="1:24">
      <c r="A41" s="4">
        <f>(VLOOKUP('102 5.1.00'!H41,'102 5.1.00'!$AL$4:$AN$55,2,FALSE))*IF('102 5.1.00'!AJ$4="是",'102 5.1.00'!$AW$4,'102 5.1.00'!$AW$3)</f>
        <v>0</v>
      </c>
      <c r="B41" s="4">
        <f>(VLOOKUP('102 5.1.00'!I41,'102 5.1.00'!$AL$4:$AN$55,2,FALSE))*IF('102 5.1.00'!AK$4="是",'102 5.1.00'!$AW$4,'102 5.1.00'!$AW$3)</f>
        <v>0</v>
      </c>
      <c r="C41" s="4">
        <f>(VLOOKUP('102 5.1.00'!J41,'102 5.1.00'!$AL$4:$AN$55,2,FALSE))*IF('102 5.1.00'!AL$4="是",'102 5.1.00'!$AW$4,'102 5.1.00'!$AW$3)</f>
        <v>0</v>
      </c>
      <c r="D41" s="4">
        <f>(VLOOKUP('102 5.1.00'!K41,'102 5.1.00'!$AL$4:$AN$55,2,FALSE))*IF('102 5.1.00'!AM$4="是",'102 5.1.00'!$AW$4,'102 5.1.00'!$AW$3)</f>
        <v>0</v>
      </c>
      <c r="E41" s="4">
        <f>(VLOOKUP('102 5.1.00'!L41,'102 5.1.00'!$AL$4:$AN$55,2,FALSE))*IF('102 5.1.00'!AN$4="是",'102 5.1.00'!$AW$4,'102 5.1.00'!$AW$3)</f>
        <v>0</v>
      </c>
      <c r="F41" s="4">
        <f>(VLOOKUP('102 5.1.00'!M41,'102 5.1.00'!$AL$4:$AN$55,2,FALSE))*IF('102 5.1.00'!AO$4="是",'102 5.1.00'!$AW$4,'102 5.1.00'!$AW$3)</f>
        <v>0</v>
      </c>
      <c r="G41" s="5">
        <f>(VLOOKUP('102 5.1.00'!N41,'102 5.1.00'!$AL$4:$AN$55,2,FALSE))*IF('102 5.1.00'!AP$4="是",'102 5.1.00'!$AW$4,'102 5.1.00'!$AW$3)</f>
        <v>0</v>
      </c>
      <c r="H41" s="5">
        <f>(VLOOKUP('102 5.1.00'!O41,'102 5.1.00'!$AL$4:$AN$55,2,FALSE))*IF('102 5.1.00'!AQ$4="是",'102 5.1.00'!$AW$4,'102 5.1.00'!$AW$3)</f>
        <v>0</v>
      </c>
      <c r="I41" s="4">
        <f>(VLOOKUP('102 5.1.00'!P41,'102 5.1.00'!$AL$4:$AN$55,2,FALSE))*IF('102 5.1.00'!AR$4="是",'102 5.1.00'!$AW$4,'102 5.1.00'!$AW$3)</f>
        <v>0</v>
      </c>
      <c r="J41" s="4">
        <f>(VLOOKUP('102 5.1.00'!Q41,'102 5.1.00'!$AL$4:$AN$55,2,FALSE))*IF('102 5.1.00'!AS$4="是",'102 5.1.00'!$AW$4,'102 5.1.00'!$AW$3)</f>
        <v>0</v>
      </c>
      <c r="K41" s="4">
        <f>(VLOOKUP('102 5.1.00'!R41,'102 5.1.00'!$AL$4:$AN$55,2,FALSE))*IF('102 5.1.00'!AT$4="是",'102 5.1.00'!$AW$4,'102 5.1.00'!$AW$3)</f>
        <v>0</v>
      </c>
      <c r="L41" s="4">
        <f>(VLOOKUP('102 5.1.00'!S41,'102 5.1.00'!$AL$4:$AN$55,2,FALSE))*IF('102 5.1.00'!AU$4="是",'102 5.1.00'!$AW$4,'102 5.1.00'!$AW$3)</f>
        <v>0</v>
      </c>
      <c r="M41" s="4">
        <f>(VLOOKUP('102 5.1.00'!T41,'102 5.1.00'!$AL$4:$AN$55,2,FALSE))*IF('102 5.1.00'!AV$4="是",'102 5.1.00'!$AW$4,'102 5.1.00'!$AW$3)</f>
        <v>0</v>
      </c>
      <c r="N41" s="4">
        <f>(VLOOKUP('102 5.1.00'!U41,'102 5.1.00'!$AL$4:$AN$55,2,FALSE))*IF('102 5.1.00'!AW$4="是",'102 5.1.00'!$AW$4,'102 5.1.00'!$AW$3)</f>
        <v>0</v>
      </c>
      <c r="O41" s="5">
        <f>(VLOOKUP('102 5.1.00'!V41,'102 5.1.00'!$AL$4:$AN$55,2,FALSE))*IF('102 5.1.00'!AX$4="是",'102 5.1.00'!$AW$4,'102 5.1.00'!$AW$3)</f>
        <v>0</v>
      </c>
      <c r="P41" s="5">
        <f>(VLOOKUP('102 5.1.00'!W41,'102 5.1.00'!$AL$4:$AN$55,2,FALSE))*IF('102 5.1.00'!AY$4="是",'102 5.1.00'!$AW$4,'102 5.1.00'!$AW$3)</f>
        <v>0</v>
      </c>
      <c r="Q41" s="4">
        <f>(VLOOKUP('102 5.1.00'!X41,'102 5.1.00'!$AL$4:$AN$55,2,FALSE))*IF('102 5.1.00'!AZ$4="是",'102 5.1.00'!$AW$4,'102 5.1.00'!$AW$3)</f>
        <v>0</v>
      </c>
      <c r="R41" s="4">
        <f>(VLOOKUP('102 5.1.00'!Y41,'102 5.1.00'!$AL$4:$AN$55,2,FALSE))*IF('102 5.1.00'!BA$4="是",'102 5.1.00'!$AW$4,'102 5.1.00'!$AW$3)</f>
        <v>0</v>
      </c>
      <c r="S41" s="4">
        <f>(VLOOKUP('102 5.1.00'!Z41,'102 5.1.00'!$AL$4:$AN$55,2,FALSE))*IF('102 5.1.00'!BB$4="是",'102 5.1.00'!$AW$4,'102 5.1.00'!$AW$3)</f>
        <v>0</v>
      </c>
      <c r="T41" s="4">
        <f>(VLOOKUP('102 5.1.00'!AA41,'102 5.1.00'!$AL$4:$AN$55,2,FALSE))*IF('102 5.1.00'!BC$4="是",'102 5.1.00'!$AW$4,'102 5.1.00'!$AW$3)</f>
        <v>0</v>
      </c>
      <c r="U41" s="4">
        <f>(VLOOKUP('102 5.1.00'!AB41,'102 5.1.00'!$AL$4:$AN$55,2,FALSE))*IF('102 5.1.00'!BD$4="是",'102 5.1.00'!$AW$4,'102 5.1.00'!$AW$3)</f>
        <v>0</v>
      </c>
      <c r="V41" s="4">
        <f>(VLOOKUP('102 5.1.00'!AC41,'102 5.1.00'!$AL$4:$AN$55,2,FALSE))*IF('102 5.1.00'!BE$4="是",'102 5.1.00'!$AW$4,'102 5.1.00'!$AW$3)</f>
        <v>0</v>
      </c>
      <c r="W41" s="5">
        <f>(VLOOKUP('102 5.1.00'!AD41,'102 5.1.00'!$AL$4:$AN$55,2,FALSE))*IF('102 5.1.00'!BF$4="是",'102 5.1.00'!$AW$4,'102 5.1.00'!$AW$3)</f>
        <v>0</v>
      </c>
      <c r="X41" s="5">
        <f>(VLOOKUP('102 5.1.00'!AE41,'102 5.1.00'!$AL$4:$AN$55,2,FALSE))*IF('102 5.1.00'!BG$4="是",'102 5.1.00'!$AW$4,'102 5.1.00'!$AW$3)</f>
        <v>0</v>
      </c>
    </row>
    <row r="42" spans="1:24">
      <c r="A42" s="4">
        <f>(VLOOKUP('102 5.1.00'!H42,'102 5.1.00'!$AL$4:$AN$55,2,FALSE))*IF('102 5.1.00'!AJ$4="是",'102 5.1.00'!$AW$4,'102 5.1.00'!$AW$3)</f>
        <v>0</v>
      </c>
      <c r="B42" s="4">
        <f>(VLOOKUP('102 5.1.00'!I42,'102 5.1.00'!$AL$4:$AN$55,2,FALSE))*IF('102 5.1.00'!AK$4="是",'102 5.1.00'!$AW$4,'102 5.1.00'!$AW$3)</f>
        <v>0</v>
      </c>
      <c r="C42" s="4">
        <f>(VLOOKUP('102 5.1.00'!J42,'102 5.1.00'!$AL$4:$AN$55,2,FALSE))*IF('102 5.1.00'!AL$4="是",'102 5.1.00'!$AW$4,'102 5.1.00'!$AW$3)</f>
        <v>0</v>
      </c>
      <c r="D42" s="4">
        <f>(VLOOKUP('102 5.1.00'!K42,'102 5.1.00'!$AL$4:$AN$55,2,FALSE))*IF('102 5.1.00'!AM$4="是",'102 5.1.00'!$AW$4,'102 5.1.00'!$AW$3)</f>
        <v>0</v>
      </c>
      <c r="E42" s="4">
        <f>(VLOOKUP('102 5.1.00'!L42,'102 5.1.00'!$AL$4:$AN$55,2,FALSE))*IF('102 5.1.00'!AN$4="是",'102 5.1.00'!$AW$4,'102 5.1.00'!$AW$3)</f>
        <v>0</v>
      </c>
      <c r="F42" s="4">
        <f>(VLOOKUP('102 5.1.00'!M42,'102 5.1.00'!$AL$4:$AN$55,2,FALSE))*IF('102 5.1.00'!AO$4="是",'102 5.1.00'!$AW$4,'102 5.1.00'!$AW$3)</f>
        <v>0</v>
      </c>
      <c r="G42" s="5">
        <f>(VLOOKUP('102 5.1.00'!N42,'102 5.1.00'!$AL$4:$AN$55,2,FALSE))*IF('102 5.1.00'!AP$4="是",'102 5.1.00'!$AW$4,'102 5.1.00'!$AW$3)</f>
        <v>0</v>
      </c>
      <c r="H42" s="5">
        <f>(VLOOKUP('102 5.1.00'!O42,'102 5.1.00'!$AL$4:$AN$55,2,FALSE))*IF('102 5.1.00'!AQ$4="是",'102 5.1.00'!$AW$4,'102 5.1.00'!$AW$3)</f>
        <v>0</v>
      </c>
      <c r="I42" s="4">
        <f>(VLOOKUP('102 5.1.00'!P42,'102 5.1.00'!$AL$4:$AN$55,2,FALSE))*IF('102 5.1.00'!AR$4="是",'102 5.1.00'!$AW$4,'102 5.1.00'!$AW$3)</f>
        <v>0</v>
      </c>
      <c r="J42" s="4">
        <f>(VLOOKUP('102 5.1.00'!Q42,'102 5.1.00'!$AL$4:$AN$55,2,FALSE))*IF('102 5.1.00'!AS$4="是",'102 5.1.00'!$AW$4,'102 5.1.00'!$AW$3)</f>
        <v>0</v>
      </c>
      <c r="K42" s="4">
        <f>(VLOOKUP('102 5.1.00'!R42,'102 5.1.00'!$AL$4:$AN$55,2,FALSE))*IF('102 5.1.00'!AT$4="是",'102 5.1.00'!$AW$4,'102 5.1.00'!$AW$3)</f>
        <v>0</v>
      </c>
      <c r="L42" s="4">
        <f>(VLOOKUP('102 5.1.00'!S42,'102 5.1.00'!$AL$4:$AN$55,2,FALSE))*IF('102 5.1.00'!AU$4="是",'102 5.1.00'!$AW$4,'102 5.1.00'!$AW$3)</f>
        <v>0</v>
      </c>
      <c r="M42" s="4">
        <f>(VLOOKUP('102 5.1.00'!T42,'102 5.1.00'!$AL$4:$AN$55,2,FALSE))*IF('102 5.1.00'!AV$4="是",'102 5.1.00'!$AW$4,'102 5.1.00'!$AW$3)</f>
        <v>0</v>
      </c>
      <c r="N42" s="4">
        <f>(VLOOKUP('102 5.1.00'!U42,'102 5.1.00'!$AL$4:$AN$55,2,FALSE))*IF('102 5.1.00'!AW$4="是",'102 5.1.00'!$AW$4,'102 5.1.00'!$AW$3)</f>
        <v>0</v>
      </c>
      <c r="O42" s="5">
        <f>(VLOOKUP('102 5.1.00'!V42,'102 5.1.00'!$AL$4:$AN$55,2,FALSE))*IF('102 5.1.00'!AX$4="是",'102 5.1.00'!$AW$4,'102 5.1.00'!$AW$3)</f>
        <v>0</v>
      </c>
      <c r="P42" s="5">
        <f>(VLOOKUP('102 5.1.00'!W42,'102 5.1.00'!$AL$4:$AN$55,2,FALSE))*IF('102 5.1.00'!AY$4="是",'102 5.1.00'!$AW$4,'102 5.1.00'!$AW$3)</f>
        <v>0</v>
      </c>
      <c r="Q42" s="4">
        <f>(VLOOKUP('102 5.1.00'!X42,'102 5.1.00'!$AL$4:$AN$55,2,FALSE))*IF('102 5.1.00'!AZ$4="是",'102 5.1.00'!$AW$4,'102 5.1.00'!$AW$3)</f>
        <v>0</v>
      </c>
      <c r="R42" s="4">
        <f>(VLOOKUP('102 5.1.00'!Y42,'102 5.1.00'!$AL$4:$AN$55,2,FALSE))*IF('102 5.1.00'!BA$4="是",'102 5.1.00'!$AW$4,'102 5.1.00'!$AW$3)</f>
        <v>0</v>
      </c>
      <c r="S42" s="4">
        <f>(VLOOKUP('102 5.1.00'!Z42,'102 5.1.00'!$AL$4:$AN$55,2,FALSE))*IF('102 5.1.00'!BB$4="是",'102 5.1.00'!$AW$4,'102 5.1.00'!$AW$3)</f>
        <v>0</v>
      </c>
      <c r="T42" s="4">
        <f>(VLOOKUP('102 5.1.00'!AA42,'102 5.1.00'!$AL$4:$AN$55,2,FALSE))*IF('102 5.1.00'!BC$4="是",'102 5.1.00'!$AW$4,'102 5.1.00'!$AW$3)</f>
        <v>0</v>
      </c>
      <c r="U42" s="4">
        <f>(VLOOKUP('102 5.1.00'!AB42,'102 5.1.00'!$AL$4:$AN$55,2,FALSE))*IF('102 5.1.00'!BD$4="是",'102 5.1.00'!$AW$4,'102 5.1.00'!$AW$3)</f>
        <v>0</v>
      </c>
      <c r="V42" s="4">
        <f>(VLOOKUP('102 5.1.00'!AC42,'102 5.1.00'!$AL$4:$AN$55,2,FALSE))*IF('102 5.1.00'!BE$4="是",'102 5.1.00'!$AW$4,'102 5.1.00'!$AW$3)</f>
        <v>0</v>
      </c>
      <c r="W42" s="5">
        <f>(VLOOKUP('102 5.1.00'!AD42,'102 5.1.00'!$AL$4:$AN$55,2,FALSE))*IF('102 5.1.00'!BF$4="是",'102 5.1.00'!$AW$4,'102 5.1.00'!$AW$3)</f>
        <v>0</v>
      </c>
      <c r="X42" s="5">
        <f>(VLOOKUP('102 5.1.00'!AE42,'102 5.1.00'!$AL$4:$AN$55,2,FALSE))*IF('102 5.1.00'!BG$4="是",'102 5.1.00'!$AW$4,'102 5.1.00'!$AW$3)</f>
        <v>0</v>
      </c>
    </row>
    <row r="43" spans="1:24">
      <c r="A43" s="4">
        <f>(VLOOKUP('102 5.1.00'!H43,'102 5.1.00'!$AL$4:$AN$55,2,FALSE))*IF('102 5.1.00'!AJ$4="是",'102 5.1.00'!$AW$4,'102 5.1.00'!$AW$3)</f>
        <v>0</v>
      </c>
      <c r="B43" s="4">
        <f>(VLOOKUP('102 5.1.00'!I43,'102 5.1.00'!$AL$4:$AN$55,2,FALSE))*IF('102 5.1.00'!AK$4="是",'102 5.1.00'!$AW$4,'102 5.1.00'!$AW$3)</f>
        <v>0</v>
      </c>
      <c r="C43" s="4">
        <f>(VLOOKUP('102 5.1.00'!J43,'102 5.1.00'!$AL$4:$AN$55,2,FALSE))*IF('102 5.1.00'!AL$4="是",'102 5.1.00'!$AW$4,'102 5.1.00'!$AW$3)</f>
        <v>0</v>
      </c>
      <c r="D43" s="4">
        <f>(VLOOKUP('102 5.1.00'!K43,'102 5.1.00'!$AL$4:$AN$55,2,FALSE))*IF('102 5.1.00'!AM$4="是",'102 5.1.00'!$AW$4,'102 5.1.00'!$AW$3)</f>
        <v>0</v>
      </c>
      <c r="E43" s="4">
        <f>(VLOOKUP('102 5.1.00'!L43,'102 5.1.00'!$AL$4:$AN$55,2,FALSE))*IF('102 5.1.00'!AN$4="是",'102 5.1.00'!$AW$4,'102 5.1.00'!$AW$3)</f>
        <v>0</v>
      </c>
      <c r="F43" s="4">
        <f>(VLOOKUP('102 5.1.00'!M43,'102 5.1.00'!$AL$4:$AN$55,2,FALSE))*IF('102 5.1.00'!AO$4="是",'102 5.1.00'!$AW$4,'102 5.1.00'!$AW$3)</f>
        <v>0</v>
      </c>
      <c r="G43" s="5">
        <f>(VLOOKUP('102 5.1.00'!N43,'102 5.1.00'!$AL$4:$AN$55,2,FALSE))*IF('102 5.1.00'!AP$4="是",'102 5.1.00'!$AW$4,'102 5.1.00'!$AW$3)</f>
        <v>0</v>
      </c>
      <c r="H43" s="5">
        <f>(VLOOKUP('102 5.1.00'!O43,'102 5.1.00'!$AL$4:$AN$55,2,FALSE))*IF('102 5.1.00'!AQ$4="是",'102 5.1.00'!$AW$4,'102 5.1.00'!$AW$3)</f>
        <v>0</v>
      </c>
      <c r="I43" s="4">
        <f>(VLOOKUP('102 5.1.00'!P43,'102 5.1.00'!$AL$4:$AN$55,2,FALSE))*IF('102 5.1.00'!AR$4="是",'102 5.1.00'!$AW$4,'102 5.1.00'!$AW$3)</f>
        <v>0</v>
      </c>
      <c r="J43" s="4">
        <f>(VLOOKUP('102 5.1.00'!Q43,'102 5.1.00'!$AL$4:$AN$55,2,FALSE))*IF('102 5.1.00'!AS$4="是",'102 5.1.00'!$AW$4,'102 5.1.00'!$AW$3)</f>
        <v>0</v>
      </c>
      <c r="K43" s="4">
        <f>(VLOOKUP('102 5.1.00'!R43,'102 5.1.00'!$AL$4:$AN$55,2,FALSE))*IF('102 5.1.00'!AT$4="是",'102 5.1.00'!$AW$4,'102 5.1.00'!$AW$3)</f>
        <v>0</v>
      </c>
      <c r="L43" s="4">
        <f>(VLOOKUP('102 5.1.00'!S43,'102 5.1.00'!$AL$4:$AN$55,2,FALSE))*IF('102 5.1.00'!AU$4="是",'102 5.1.00'!$AW$4,'102 5.1.00'!$AW$3)</f>
        <v>0</v>
      </c>
      <c r="M43" s="4">
        <f>(VLOOKUP('102 5.1.00'!T43,'102 5.1.00'!$AL$4:$AN$55,2,FALSE))*IF('102 5.1.00'!AV$4="是",'102 5.1.00'!$AW$4,'102 5.1.00'!$AW$3)</f>
        <v>0</v>
      </c>
      <c r="N43" s="4">
        <f>(VLOOKUP('102 5.1.00'!U43,'102 5.1.00'!$AL$4:$AN$55,2,FALSE))*IF('102 5.1.00'!AW$4="是",'102 5.1.00'!$AW$4,'102 5.1.00'!$AW$3)</f>
        <v>0</v>
      </c>
      <c r="O43" s="5">
        <f>(VLOOKUP('102 5.1.00'!V43,'102 5.1.00'!$AL$4:$AN$55,2,FALSE))*IF('102 5.1.00'!AX$4="是",'102 5.1.00'!$AW$4,'102 5.1.00'!$AW$3)</f>
        <v>0</v>
      </c>
      <c r="P43" s="5">
        <f>(VLOOKUP('102 5.1.00'!W43,'102 5.1.00'!$AL$4:$AN$55,2,FALSE))*IF('102 5.1.00'!AY$4="是",'102 5.1.00'!$AW$4,'102 5.1.00'!$AW$3)</f>
        <v>0</v>
      </c>
      <c r="Q43" s="4">
        <f>(VLOOKUP('102 5.1.00'!X43,'102 5.1.00'!$AL$4:$AN$55,2,FALSE))*IF('102 5.1.00'!AZ$4="是",'102 5.1.00'!$AW$4,'102 5.1.00'!$AW$3)</f>
        <v>0</v>
      </c>
      <c r="R43" s="4">
        <f>(VLOOKUP('102 5.1.00'!Y43,'102 5.1.00'!$AL$4:$AN$55,2,FALSE))*IF('102 5.1.00'!BA$4="是",'102 5.1.00'!$AW$4,'102 5.1.00'!$AW$3)</f>
        <v>0</v>
      </c>
      <c r="S43" s="4">
        <f>(VLOOKUP('102 5.1.00'!Z43,'102 5.1.00'!$AL$4:$AN$55,2,FALSE))*IF('102 5.1.00'!BB$4="是",'102 5.1.00'!$AW$4,'102 5.1.00'!$AW$3)</f>
        <v>0</v>
      </c>
      <c r="T43" s="4">
        <f>(VLOOKUP('102 5.1.00'!AA43,'102 5.1.00'!$AL$4:$AN$55,2,FALSE))*IF('102 5.1.00'!BC$4="是",'102 5.1.00'!$AW$4,'102 5.1.00'!$AW$3)</f>
        <v>0</v>
      </c>
      <c r="U43" s="4">
        <f>(VLOOKUP('102 5.1.00'!AB43,'102 5.1.00'!$AL$4:$AN$55,2,FALSE))*IF('102 5.1.00'!BD$4="是",'102 5.1.00'!$AW$4,'102 5.1.00'!$AW$3)</f>
        <v>0</v>
      </c>
      <c r="V43" s="4">
        <f>(VLOOKUP('102 5.1.00'!AC43,'102 5.1.00'!$AL$4:$AN$55,2,FALSE))*IF('102 5.1.00'!BE$4="是",'102 5.1.00'!$AW$4,'102 5.1.00'!$AW$3)</f>
        <v>0</v>
      </c>
      <c r="W43" s="5">
        <f>(VLOOKUP('102 5.1.00'!AD43,'102 5.1.00'!$AL$4:$AN$55,2,FALSE))*IF('102 5.1.00'!BF$4="是",'102 5.1.00'!$AW$4,'102 5.1.00'!$AW$3)</f>
        <v>0</v>
      </c>
      <c r="X43" s="5">
        <f>(VLOOKUP('102 5.1.00'!AE43,'102 5.1.00'!$AL$4:$AN$55,2,FALSE))*IF('102 5.1.00'!BG$4="是",'102 5.1.00'!$AW$4,'102 5.1.00'!$AW$3)</f>
        <v>0</v>
      </c>
    </row>
    <row r="44" spans="1:24">
      <c r="A44" s="4">
        <f>(VLOOKUP('102 5.1.00'!H44,'102 5.1.00'!$AL$4:$AN$55,2,FALSE))*IF('102 5.1.00'!AJ$4="是",'102 5.1.00'!$AW$4,'102 5.1.00'!$AW$3)</f>
        <v>0</v>
      </c>
      <c r="B44" s="4">
        <f>(VLOOKUP('102 5.1.00'!I44,'102 5.1.00'!$AL$4:$AN$55,2,FALSE))*IF('102 5.1.00'!AK$4="是",'102 5.1.00'!$AW$4,'102 5.1.00'!$AW$3)</f>
        <v>0</v>
      </c>
      <c r="C44" s="4">
        <f>(VLOOKUP('102 5.1.00'!J44,'102 5.1.00'!$AL$4:$AN$55,2,FALSE))*IF('102 5.1.00'!AL$4="是",'102 5.1.00'!$AW$4,'102 5.1.00'!$AW$3)</f>
        <v>0</v>
      </c>
      <c r="D44" s="4">
        <f>(VLOOKUP('102 5.1.00'!K44,'102 5.1.00'!$AL$4:$AN$55,2,FALSE))*IF('102 5.1.00'!AM$4="是",'102 5.1.00'!$AW$4,'102 5.1.00'!$AW$3)</f>
        <v>0</v>
      </c>
      <c r="E44" s="4">
        <f>(VLOOKUP('102 5.1.00'!L44,'102 5.1.00'!$AL$4:$AN$55,2,FALSE))*IF('102 5.1.00'!AN$4="是",'102 5.1.00'!$AW$4,'102 5.1.00'!$AW$3)</f>
        <v>0</v>
      </c>
      <c r="F44" s="4">
        <f>(VLOOKUP('102 5.1.00'!M44,'102 5.1.00'!$AL$4:$AN$55,2,FALSE))*IF('102 5.1.00'!AO$4="是",'102 5.1.00'!$AW$4,'102 5.1.00'!$AW$3)</f>
        <v>0</v>
      </c>
      <c r="G44" s="5">
        <f>(VLOOKUP('102 5.1.00'!N44,'102 5.1.00'!$AL$4:$AN$55,2,FALSE))*IF('102 5.1.00'!AP$4="是",'102 5.1.00'!$AW$4,'102 5.1.00'!$AW$3)</f>
        <v>0</v>
      </c>
      <c r="H44" s="5">
        <f>(VLOOKUP('102 5.1.00'!O44,'102 5.1.00'!$AL$4:$AN$55,2,FALSE))*IF('102 5.1.00'!AQ$4="是",'102 5.1.00'!$AW$4,'102 5.1.00'!$AW$3)</f>
        <v>0</v>
      </c>
      <c r="I44" s="4">
        <f>(VLOOKUP('102 5.1.00'!P44,'102 5.1.00'!$AL$4:$AN$55,2,FALSE))*IF('102 5.1.00'!AR$4="是",'102 5.1.00'!$AW$4,'102 5.1.00'!$AW$3)</f>
        <v>0</v>
      </c>
      <c r="J44" s="4">
        <f>(VLOOKUP('102 5.1.00'!Q44,'102 5.1.00'!$AL$4:$AN$55,2,FALSE))*IF('102 5.1.00'!AS$4="是",'102 5.1.00'!$AW$4,'102 5.1.00'!$AW$3)</f>
        <v>0</v>
      </c>
      <c r="K44" s="4">
        <f>(VLOOKUP('102 5.1.00'!R44,'102 5.1.00'!$AL$4:$AN$55,2,FALSE))*IF('102 5.1.00'!AT$4="是",'102 5.1.00'!$AW$4,'102 5.1.00'!$AW$3)</f>
        <v>0</v>
      </c>
      <c r="L44" s="4">
        <f>(VLOOKUP('102 5.1.00'!S44,'102 5.1.00'!$AL$4:$AN$55,2,FALSE))*IF('102 5.1.00'!AU$4="是",'102 5.1.00'!$AW$4,'102 5.1.00'!$AW$3)</f>
        <v>0</v>
      </c>
      <c r="M44" s="4">
        <f>(VLOOKUP('102 5.1.00'!T44,'102 5.1.00'!$AL$4:$AN$55,2,FALSE))*IF('102 5.1.00'!AV$4="是",'102 5.1.00'!$AW$4,'102 5.1.00'!$AW$3)</f>
        <v>0</v>
      </c>
      <c r="N44" s="4">
        <f>(VLOOKUP('102 5.1.00'!U44,'102 5.1.00'!$AL$4:$AN$55,2,FALSE))*IF('102 5.1.00'!AW$4="是",'102 5.1.00'!$AW$4,'102 5.1.00'!$AW$3)</f>
        <v>0</v>
      </c>
      <c r="O44" s="5">
        <f>(VLOOKUP('102 5.1.00'!V44,'102 5.1.00'!$AL$4:$AN$55,2,FALSE))*IF('102 5.1.00'!AX$4="是",'102 5.1.00'!$AW$4,'102 5.1.00'!$AW$3)</f>
        <v>0</v>
      </c>
      <c r="P44" s="5">
        <f>(VLOOKUP('102 5.1.00'!W44,'102 5.1.00'!$AL$4:$AN$55,2,FALSE))*IF('102 5.1.00'!AY$4="是",'102 5.1.00'!$AW$4,'102 5.1.00'!$AW$3)</f>
        <v>0</v>
      </c>
      <c r="Q44" s="4">
        <f>(VLOOKUP('102 5.1.00'!X44,'102 5.1.00'!$AL$4:$AN$55,2,FALSE))*IF('102 5.1.00'!AZ$4="是",'102 5.1.00'!$AW$4,'102 5.1.00'!$AW$3)</f>
        <v>0</v>
      </c>
      <c r="R44" s="4">
        <f>(VLOOKUP('102 5.1.00'!Y44,'102 5.1.00'!$AL$4:$AN$55,2,FALSE))*IF('102 5.1.00'!BA$4="是",'102 5.1.00'!$AW$4,'102 5.1.00'!$AW$3)</f>
        <v>0</v>
      </c>
      <c r="S44" s="4">
        <f>(VLOOKUP('102 5.1.00'!Z44,'102 5.1.00'!$AL$4:$AN$55,2,FALSE))*IF('102 5.1.00'!BB$4="是",'102 5.1.00'!$AW$4,'102 5.1.00'!$AW$3)</f>
        <v>0</v>
      </c>
      <c r="T44" s="4">
        <f>(VLOOKUP('102 5.1.00'!AA44,'102 5.1.00'!$AL$4:$AN$55,2,FALSE))*IF('102 5.1.00'!BC$4="是",'102 5.1.00'!$AW$4,'102 5.1.00'!$AW$3)</f>
        <v>0</v>
      </c>
      <c r="U44" s="4">
        <f>(VLOOKUP('102 5.1.00'!AB44,'102 5.1.00'!$AL$4:$AN$55,2,FALSE))*IF('102 5.1.00'!BD$4="是",'102 5.1.00'!$AW$4,'102 5.1.00'!$AW$3)</f>
        <v>0</v>
      </c>
      <c r="V44" s="4">
        <f>(VLOOKUP('102 5.1.00'!AC44,'102 5.1.00'!$AL$4:$AN$55,2,FALSE))*IF('102 5.1.00'!BE$4="是",'102 5.1.00'!$AW$4,'102 5.1.00'!$AW$3)</f>
        <v>0</v>
      </c>
      <c r="W44" s="5">
        <f>(VLOOKUP('102 5.1.00'!AD44,'102 5.1.00'!$AL$4:$AN$55,2,FALSE))*IF('102 5.1.00'!BF$4="是",'102 5.1.00'!$AW$4,'102 5.1.00'!$AW$3)</f>
        <v>0</v>
      </c>
      <c r="X44" s="5">
        <f>(VLOOKUP('102 5.1.00'!AE44,'102 5.1.00'!$AL$4:$AN$55,2,FALSE))*IF('102 5.1.00'!BG$4="是",'102 5.1.00'!$AW$4,'102 5.1.00'!$AW$3)</f>
        <v>0</v>
      </c>
    </row>
    <row r="45" spans="1:24">
      <c r="A45" s="4">
        <f>(VLOOKUP('102 5.1.00'!H45,'102 5.1.00'!$AL$4:$AN$55,2,FALSE))*IF('102 5.1.00'!AJ$4="是",'102 5.1.00'!$AW$4,'102 5.1.00'!$AW$3)</f>
        <v>0</v>
      </c>
      <c r="B45" s="4">
        <f>(VLOOKUP('102 5.1.00'!I45,'102 5.1.00'!$AL$4:$AN$55,2,FALSE))*IF('102 5.1.00'!AK$4="是",'102 5.1.00'!$AW$4,'102 5.1.00'!$AW$3)</f>
        <v>0</v>
      </c>
      <c r="C45" s="4">
        <f>(VLOOKUP('102 5.1.00'!J45,'102 5.1.00'!$AL$4:$AN$55,2,FALSE))*IF('102 5.1.00'!AL$4="是",'102 5.1.00'!$AW$4,'102 5.1.00'!$AW$3)</f>
        <v>0</v>
      </c>
      <c r="D45" s="4">
        <f>(VLOOKUP('102 5.1.00'!K45,'102 5.1.00'!$AL$4:$AN$55,2,FALSE))*IF('102 5.1.00'!AM$4="是",'102 5.1.00'!$AW$4,'102 5.1.00'!$AW$3)</f>
        <v>0</v>
      </c>
      <c r="E45" s="4">
        <f>(VLOOKUP('102 5.1.00'!L45,'102 5.1.00'!$AL$4:$AN$55,2,FALSE))*IF('102 5.1.00'!AN$4="是",'102 5.1.00'!$AW$4,'102 5.1.00'!$AW$3)</f>
        <v>0</v>
      </c>
      <c r="F45" s="4">
        <f>(VLOOKUP('102 5.1.00'!M45,'102 5.1.00'!$AL$4:$AN$55,2,FALSE))*IF('102 5.1.00'!AO$4="是",'102 5.1.00'!$AW$4,'102 5.1.00'!$AW$3)</f>
        <v>0</v>
      </c>
      <c r="G45" s="5">
        <f>(VLOOKUP('102 5.1.00'!N45,'102 5.1.00'!$AL$4:$AN$55,2,FALSE))*IF('102 5.1.00'!AP$4="是",'102 5.1.00'!$AW$4,'102 5.1.00'!$AW$3)</f>
        <v>0</v>
      </c>
      <c r="H45" s="5">
        <f>(VLOOKUP('102 5.1.00'!O45,'102 5.1.00'!$AL$4:$AN$55,2,FALSE))*IF('102 5.1.00'!AQ$4="是",'102 5.1.00'!$AW$4,'102 5.1.00'!$AW$3)</f>
        <v>0</v>
      </c>
      <c r="I45" s="4">
        <f>(VLOOKUP('102 5.1.00'!P45,'102 5.1.00'!$AL$4:$AN$55,2,FALSE))*IF('102 5.1.00'!AR$4="是",'102 5.1.00'!$AW$4,'102 5.1.00'!$AW$3)</f>
        <v>0</v>
      </c>
      <c r="J45" s="4">
        <f>(VLOOKUP('102 5.1.00'!Q45,'102 5.1.00'!$AL$4:$AN$55,2,FALSE))*IF('102 5.1.00'!AS$4="是",'102 5.1.00'!$AW$4,'102 5.1.00'!$AW$3)</f>
        <v>0</v>
      </c>
      <c r="K45" s="4">
        <f>(VLOOKUP('102 5.1.00'!R45,'102 5.1.00'!$AL$4:$AN$55,2,FALSE))*IF('102 5.1.00'!AT$4="是",'102 5.1.00'!$AW$4,'102 5.1.00'!$AW$3)</f>
        <v>0</v>
      </c>
      <c r="L45" s="4">
        <f>(VLOOKUP('102 5.1.00'!S45,'102 5.1.00'!$AL$4:$AN$55,2,FALSE))*IF('102 5.1.00'!AU$4="是",'102 5.1.00'!$AW$4,'102 5.1.00'!$AW$3)</f>
        <v>0</v>
      </c>
      <c r="M45" s="4">
        <f>(VLOOKUP('102 5.1.00'!T45,'102 5.1.00'!$AL$4:$AN$55,2,FALSE))*IF('102 5.1.00'!AV$4="是",'102 5.1.00'!$AW$4,'102 5.1.00'!$AW$3)</f>
        <v>0</v>
      </c>
      <c r="N45" s="4">
        <f>(VLOOKUP('102 5.1.00'!U45,'102 5.1.00'!$AL$4:$AN$55,2,FALSE))*IF('102 5.1.00'!AW$4="是",'102 5.1.00'!$AW$4,'102 5.1.00'!$AW$3)</f>
        <v>0</v>
      </c>
      <c r="O45" s="5">
        <f>(VLOOKUP('102 5.1.00'!V45,'102 5.1.00'!$AL$4:$AN$55,2,FALSE))*IF('102 5.1.00'!AX$4="是",'102 5.1.00'!$AW$4,'102 5.1.00'!$AW$3)</f>
        <v>0</v>
      </c>
      <c r="P45" s="5">
        <f>(VLOOKUP('102 5.1.00'!W45,'102 5.1.00'!$AL$4:$AN$55,2,FALSE))*IF('102 5.1.00'!AY$4="是",'102 5.1.00'!$AW$4,'102 5.1.00'!$AW$3)</f>
        <v>0</v>
      </c>
      <c r="Q45" s="4">
        <f>(VLOOKUP('102 5.1.00'!X45,'102 5.1.00'!$AL$4:$AN$55,2,FALSE))*IF('102 5.1.00'!AZ$4="是",'102 5.1.00'!$AW$4,'102 5.1.00'!$AW$3)</f>
        <v>0</v>
      </c>
      <c r="R45" s="4">
        <f>(VLOOKUP('102 5.1.00'!Y45,'102 5.1.00'!$AL$4:$AN$55,2,FALSE))*IF('102 5.1.00'!BA$4="是",'102 5.1.00'!$AW$4,'102 5.1.00'!$AW$3)</f>
        <v>0</v>
      </c>
      <c r="S45" s="4">
        <f>(VLOOKUP('102 5.1.00'!Z45,'102 5.1.00'!$AL$4:$AN$55,2,FALSE))*IF('102 5.1.00'!BB$4="是",'102 5.1.00'!$AW$4,'102 5.1.00'!$AW$3)</f>
        <v>0</v>
      </c>
      <c r="T45" s="4">
        <f>(VLOOKUP('102 5.1.00'!AA45,'102 5.1.00'!$AL$4:$AN$55,2,FALSE))*IF('102 5.1.00'!BC$4="是",'102 5.1.00'!$AW$4,'102 5.1.00'!$AW$3)</f>
        <v>0</v>
      </c>
      <c r="U45" s="4">
        <f>(VLOOKUP('102 5.1.00'!AB45,'102 5.1.00'!$AL$4:$AN$55,2,FALSE))*IF('102 5.1.00'!BD$4="是",'102 5.1.00'!$AW$4,'102 5.1.00'!$AW$3)</f>
        <v>0</v>
      </c>
      <c r="V45" s="4">
        <f>(VLOOKUP('102 5.1.00'!AC45,'102 5.1.00'!$AL$4:$AN$55,2,FALSE))*IF('102 5.1.00'!BE$4="是",'102 5.1.00'!$AW$4,'102 5.1.00'!$AW$3)</f>
        <v>0</v>
      </c>
      <c r="W45" s="5">
        <f>(VLOOKUP('102 5.1.00'!AD45,'102 5.1.00'!$AL$4:$AN$55,2,FALSE))*IF('102 5.1.00'!BF$4="是",'102 5.1.00'!$AW$4,'102 5.1.00'!$AW$3)</f>
        <v>0</v>
      </c>
      <c r="X45" s="5">
        <f>(VLOOKUP('102 5.1.00'!AE45,'102 5.1.00'!$AL$4:$AN$55,2,FALSE))*IF('102 5.1.00'!BG$4="是",'102 5.1.00'!$AW$4,'102 5.1.00'!$AW$3)</f>
        <v>0</v>
      </c>
    </row>
    <row r="46" spans="1:24">
      <c r="A46" s="4">
        <f>(VLOOKUP('102 5.1.00'!H46,'102 5.1.00'!$AL$4:$AN$55,2,FALSE))*IF('102 5.1.00'!AJ$4="是",'102 5.1.00'!$AW$4,'102 5.1.00'!$AW$3)</f>
        <v>0</v>
      </c>
      <c r="B46" s="4">
        <f>(VLOOKUP('102 5.1.00'!I46,'102 5.1.00'!$AL$4:$AN$55,2,FALSE))*IF('102 5.1.00'!AK$4="是",'102 5.1.00'!$AW$4,'102 5.1.00'!$AW$3)</f>
        <v>0</v>
      </c>
      <c r="C46" s="4">
        <f>(VLOOKUP('102 5.1.00'!J46,'102 5.1.00'!$AL$4:$AN$55,2,FALSE))*IF('102 5.1.00'!AL$4="是",'102 5.1.00'!$AW$4,'102 5.1.00'!$AW$3)</f>
        <v>0</v>
      </c>
      <c r="D46" s="4">
        <f>(VLOOKUP('102 5.1.00'!K46,'102 5.1.00'!$AL$4:$AN$55,2,FALSE))*IF('102 5.1.00'!AM$4="是",'102 5.1.00'!$AW$4,'102 5.1.00'!$AW$3)</f>
        <v>0</v>
      </c>
      <c r="E46" s="4">
        <f>(VLOOKUP('102 5.1.00'!L46,'102 5.1.00'!$AL$4:$AN$55,2,FALSE))*IF('102 5.1.00'!AN$4="是",'102 5.1.00'!$AW$4,'102 5.1.00'!$AW$3)</f>
        <v>0</v>
      </c>
      <c r="F46" s="4">
        <f>(VLOOKUP('102 5.1.00'!M46,'102 5.1.00'!$AL$4:$AN$55,2,FALSE))*IF('102 5.1.00'!AO$4="是",'102 5.1.00'!$AW$4,'102 5.1.00'!$AW$3)</f>
        <v>0</v>
      </c>
      <c r="G46" s="5">
        <f>(VLOOKUP('102 5.1.00'!N46,'102 5.1.00'!$AL$4:$AN$55,2,FALSE))*IF('102 5.1.00'!AP$4="是",'102 5.1.00'!$AW$4,'102 5.1.00'!$AW$3)</f>
        <v>0</v>
      </c>
      <c r="H46" s="5">
        <f>(VLOOKUP('102 5.1.00'!O46,'102 5.1.00'!$AL$4:$AN$55,2,FALSE))*IF('102 5.1.00'!AQ$4="是",'102 5.1.00'!$AW$4,'102 5.1.00'!$AW$3)</f>
        <v>0</v>
      </c>
      <c r="I46" s="4">
        <f>(VLOOKUP('102 5.1.00'!P46,'102 5.1.00'!$AL$4:$AN$55,2,FALSE))*IF('102 5.1.00'!AR$4="是",'102 5.1.00'!$AW$4,'102 5.1.00'!$AW$3)</f>
        <v>0</v>
      </c>
      <c r="J46" s="4">
        <f>(VLOOKUP('102 5.1.00'!Q46,'102 5.1.00'!$AL$4:$AN$55,2,FALSE))*IF('102 5.1.00'!AS$4="是",'102 5.1.00'!$AW$4,'102 5.1.00'!$AW$3)</f>
        <v>0</v>
      </c>
      <c r="K46" s="4">
        <f>(VLOOKUP('102 5.1.00'!R46,'102 5.1.00'!$AL$4:$AN$55,2,FALSE))*IF('102 5.1.00'!AT$4="是",'102 5.1.00'!$AW$4,'102 5.1.00'!$AW$3)</f>
        <v>0</v>
      </c>
      <c r="L46" s="4">
        <f>(VLOOKUP('102 5.1.00'!S46,'102 5.1.00'!$AL$4:$AN$55,2,FALSE))*IF('102 5.1.00'!AU$4="是",'102 5.1.00'!$AW$4,'102 5.1.00'!$AW$3)</f>
        <v>0</v>
      </c>
      <c r="M46" s="4">
        <f>(VLOOKUP('102 5.1.00'!T46,'102 5.1.00'!$AL$4:$AN$55,2,FALSE))*IF('102 5.1.00'!AV$4="是",'102 5.1.00'!$AW$4,'102 5.1.00'!$AW$3)</f>
        <v>0</v>
      </c>
      <c r="N46" s="4">
        <f>(VLOOKUP('102 5.1.00'!U46,'102 5.1.00'!$AL$4:$AN$55,2,FALSE))*IF('102 5.1.00'!AW$4="是",'102 5.1.00'!$AW$4,'102 5.1.00'!$AW$3)</f>
        <v>0</v>
      </c>
      <c r="O46" s="5">
        <f>(VLOOKUP('102 5.1.00'!V46,'102 5.1.00'!$AL$4:$AN$55,2,FALSE))*IF('102 5.1.00'!AX$4="是",'102 5.1.00'!$AW$4,'102 5.1.00'!$AW$3)</f>
        <v>0</v>
      </c>
      <c r="P46" s="5">
        <f>(VLOOKUP('102 5.1.00'!W46,'102 5.1.00'!$AL$4:$AN$55,2,FALSE))*IF('102 5.1.00'!AY$4="是",'102 5.1.00'!$AW$4,'102 5.1.00'!$AW$3)</f>
        <v>0</v>
      </c>
      <c r="Q46" s="4">
        <f>(VLOOKUP('102 5.1.00'!X46,'102 5.1.00'!$AL$4:$AN$55,2,FALSE))*IF('102 5.1.00'!AZ$4="是",'102 5.1.00'!$AW$4,'102 5.1.00'!$AW$3)</f>
        <v>0</v>
      </c>
      <c r="R46" s="4">
        <f>(VLOOKUP('102 5.1.00'!Y46,'102 5.1.00'!$AL$4:$AN$55,2,FALSE))*IF('102 5.1.00'!BA$4="是",'102 5.1.00'!$AW$4,'102 5.1.00'!$AW$3)</f>
        <v>0</v>
      </c>
      <c r="S46" s="4">
        <f>(VLOOKUP('102 5.1.00'!Z46,'102 5.1.00'!$AL$4:$AN$55,2,FALSE))*IF('102 5.1.00'!BB$4="是",'102 5.1.00'!$AW$4,'102 5.1.00'!$AW$3)</f>
        <v>0</v>
      </c>
      <c r="T46" s="4">
        <f>(VLOOKUP('102 5.1.00'!AA46,'102 5.1.00'!$AL$4:$AN$55,2,FALSE))*IF('102 5.1.00'!BC$4="是",'102 5.1.00'!$AW$4,'102 5.1.00'!$AW$3)</f>
        <v>0</v>
      </c>
      <c r="U46" s="4">
        <f>(VLOOKUP('102 5.1.00'!AB46,'102 5.1.00'!$AL$4:$AN$55,2,FALSE))*IF('102 5.1.00'!BD$4="是",'102 5.1.00'!$AW$4,'102 5.1.00'!$AW$3)</f>
        <v>0</v>
      </c>
      <c r="V46" s="4">
        <f>(VLOOKUP('102 5.1.00'!AC46,'102 5.1.00'!$AL$4:$AN$55,2,FALSE))*IF('102 5.1.00'!BE$4="是",'102 5.1.00'!$AW$4,'102 5.1.00'!$AW$3)</f>
        <v>0</v>
      </c>
      <c r="W46" s="5">
        <f>(VLOOKUP('102 5.1.00'!AD46,'102 5.1.00'!$AL$4:$AN$55,2,FALSE))*IF('102 5.1.00'!BF$4="是",'102 5.1.00'!$AW$4,'102 5.1.00'!$AW$3)</f>
        <v>0</v>
      </c>
      <c r="X46" s="5">
        <f>(VLOOKUP('102 5.1.00'!AE46,'102 5.1.00'!$AL$4:$AN$55,2,FALSE))*IF('102 5.1.00'!BG$4="是",'102 5.1.00'!$AW$4,'102 5.1.00'!$AW$3)</f>
        <v>0</v>
      </c>
    </row>
    <row r="47" spans="1:24">
      <c r="A47" s="4">
        <f>(VLOOKUP('102 5.1.00'!H47,'102 5.1.00'!$AL$4:$AN$55,2,FALSE))*IF('102 5.1.00'!AJ$4="是",'102 5.1.00'!$AW$4,'102 5.1.00'!$AW$3)</f>
        <v>0</v>
      </c>
      <c r="B47" s="4">
        <f>(VLOOKUP('102 5.1.00'!I47,'102 5.1.00'!$AL$4:$AN$55,2,FALSE))*IF('102 5.1.00'!AK$4="是",'102 5.1.00'!$AW$4,'102 5.1.00'!$AW$3)</f>
        <v>0</v>
      </c>
      <c r="C47" s="4">
        <f>(VLOOKUP('102 5.1.00'!J47,'102 5.1.00'!$AL$4:$AN$55,2,FALSE))*IF('102 5.1.00'!AL$4="是",'102 5.1.00'!$AW$4,'102 5.1.00'!$AW$3)</f>
        <v>0</v>
      </c>
      <c r="D47" s="4">
        <f>(VLOOKUP('102 5.1.00'!K47,'102 5.1.00'!$AL$4:$AN$55,2,FALSE))*IF('102 5.1.00'!AM$4="是",'102 5.1.00'!$AW$4,'102 5.1.00'!$AW$3)</f>
        <v>0</v>
      </c>
      <c r="E47" s="4">
        <f>(VLOOKUP('102 5.1.00'!L47,'102 5.1.00'!$AL$4:$AN$55,2,FALSE))*IF('102 5.1.00'!AN$4="是",'102 5.1.00'!$AW$4,'102 5.1.00'!$AW$3)</f>
        <v>0</v>
      </c>
      <c r="F47" s="4">
        <f>(VLOOKUP('102 5.1.00'!M47,'102 5.1.00'!$AL$4:$AN$55,2,FALSE))*IF('102 5.1.00'!AO$4="是",'102 5.1.00'!$AW$4,'102 5.1.00'!$AW$3)</f>
        <v>0</v>
      </c>
      <c r="G47" s="5">
        <f>(VLOOKUP('102 5.1.00'!N47,'102 5.1.00'!$AL$4:$AN$55,2,FALSE))*IF('102 5.1.00'!AP$4="是",'102 5.1.00'!$AW$4,'102 5.1.00'!$AW$3)</f>
        <v>0</v>
      </c>
      <c r="H47" s="5">
        <f>(VLOOKUP('102 5.1.00'!O47,'102 5.1.00'!$AL$4:$AN$55,2,FALSE))*IF('102 5.1.00'!AQ$4="是",'102 5.1.00'!$AW$4,'102 5.1.00'!$AW$3)</f>
        <v>0</v>
      </c>
      <c r="I47" s="4">
        <f>(VLOOKUP('102 5.1.00'!P47,'102 5.1.00'!$AL$4:$AN$55,2,FALSE))*IF('102 5.1.00'!AR$4="是",'102 5.1.00'!$AW$4,'102 5.1.00'!$AW$3)</f>
        <v>0</v>
      </c>
      <c r="J47" s="4">
        <f>(VLOOKUP('102 5.1.00'!Q47,'102 5.1.00'!$AL$4:$AN$55,2,FALSE))*IF('102 5.1.00'!AS$4="是",'102 5.1.00'!$AW$4,'102 5.1.00'!$AW$3)</f>
        <v>0</v>
      </c>
      <c r="K47" s="4">
        <f>(VLOOKUP('102 5.1.00'!R47,'102 5.1.00'!$AL$4:$AN$55,2,FALSE))*IF('102 5.1.00'!AT$4="是",'102 5.1.00'!$AW$4,'102 5.1.00'!$AW$3)</f>
        <v>0</v>
      </c>
      <c r="L47" s="4">
        <f>(VLOOKUP('102 5.1.00'!S47,'102 5.1.00'!$AL$4:$AN$55,2,FALSE))*IF('102 5.1.00'!AU$4="是",'102 5.1.00'!$AW$4,'102 5.1.00'!$AW$3)</f>
        <v>0</v>
      </c>
      <c r="M47" s="4">
        <f>(VLOOKUP('102 5.1.00'!T47,'102 5.1.00'!$AL$4:$AN$55,2,FALSE))*IF('102 5.1.00'!AV$4="是",'102 5.1.00'!$AW$4,'102 5.1.00'!$AW$3)</f>
        <v>0</v>
      </c>
      <c r="N47" s="4">
        <f>(VLOOKUP('102 5.1.00'!U47,'102 5.1.00'!$AL$4:$AN$55,2,FALSE))*IF('102 5.1.00'!AW$4="是",'102 5.1.00'!$AW$4,'102 5.1.00'!$AW$3)</f>
        <v>0</v>
      </c>
      <c r="O47" s="5">
        <f>(VLOOKUP('102 5.1.00'!V47,'102 5.1.00'!$AL$4:$AN$55,2,FALSE))*IF('102 5.1.00'!AX$4="是",'102 5.1.00'!$AW$4,'102 5.1.00'!$AW$3)</f>
        <v>0</v>
      </c>
      <c r="P47" s="5">
        <f>(VLOOKUP('102 5.1.00'!W47,'102 5.1.00'!$AL$4:$AN$55,2,FALSE))*IF('102 5.1.00'!AY$4="是",'102 5.1.00'!$AW$4,'102 5.1.00'!$AW$3)</f>
        <v>0</v>
      </c>
      <c r="Q47" s="4">
        <f>(VLOOKUP('102 5.1.00'!X47,'102 5.1.00'!$AL$4:$AN$55,2,FALSE))*IF('102 5.1.00'!AZ$4="是",'102 5.1.00'!$AW$4,'102 5.1.00'!$AW$3)</f>
        <v>0</v>
      </c>
      <c r="R47" s="4">
        <f>(VLOOKUP('102 5.1.00'!Y47,'102 5.1.00'!$AL$4:$AN$55,2,FALSE))*IF('102 5.1.00'!BA$4="是",'102 5.1.00'!$AW$4,'102 5.1.00'!$AW$3)</f>
        <v>0</v>
      </c>
      <c r="S47" s="4">
        <f>(VLOOKUP('102 5.1.00'!Z47,'102 5.1.00'!$AL$4:$AN$55,2,FALSE))*IF('102 5.1.00'!BB$4="是",'102 5.1.00'!$AW$4,'102 5.1.00'!$AW$3)</f>
        <v>0</v>
      </c>
      <c r="T47" s="4">
        <f>(VLOOKUP('102 5.1.00'!AA47,'102 5.1.00'!$AL$4:$AN$55,2,FALSE))*IF('102 5.1.00'!BC$4="是",'102 5.1.00'!$AW$4,'102 5.1.00'!$AW$3)</f>
        <v>0</v>
      </c>
      <c r="U47" s="4">
        <f>(VLOOKUP('102 5.1.00'!AB47,'102 5.1.00'!$AL$4:$AN$55,2,FALSE))*IF('102 5.1.00'!BD$4="是",'102 5.1.00'!$AW$4,'102 5.1.00'!$AW$3)</f>
        <v>0</v>
      </c>
      <c r="V47" s="4">
        <f>(VLOOKUP('102 5.1.00'!AC47,'102 5.1.00'!$AL$4:$AN$55,2,FALSE))*IF('102 5.1.00'!BE$4="是",'102 5.1.00'!$AW$4,'102 5.1.00'!$AW$3)</f>
        <v>0</v>
      </c>
      <c r="W47" s="5">
        <f>(VLOOKUP('102 5.1.00'!AD47,'102 5.1.00'!$AL$4:$AN$55,2,FALSE))*IF('102 5.1.00'!BF$4="是",'102 5.1.00'!$AW$4,'102 5.1.00'!$AW$3)</f>
        <v>0</v>
      </c>
      <c r="X47" s="5">
        <f>(VLOOKUP('102 5.1.00'!AE47,'102 5.1.00'!$AL$4:$AN$55,2,FALSE))*IF('102 5.1.00'!BG$4="是",'102 5.1.00'!$AW$4,'102 5.1.00'!$AW$3)</f>
        <v>0</v>
      </c>
    </row>
    <row r="48" spans="1:24">
      <c r="A48" s="4">
        <f>(VLOOKUP('102 5.1.00'!H48,'102 5.1.00'!$AL$4:$AN$55,2,FALSE))*IF('102 5.1.00'!AJ$4="是",'102 5.1.00'!$AW$4,'102 5.1.00'!$AW$3)</f>
        <v>0</v>
      </c>
      <c r="B48" s="4">
        <f>(VLOOKUP('102 5.1.00'!I48,'102 5.1.00'!$AL$4:$AN$55,2,FALSE))*IF('102 5.1.00'!AK$4="是",'102 5.1.00'!$AW$4,'102 5.1.00'!$AW$3)</f>
        <v>0</v>
      </c>
      <c r="C48" s="4">
        <f>(VLOOKUP('102 5.1.00'!J48,'102 5.1.00'!$AL$4:$AN$55,2,FALSE))*IF('102 5.1.00'!AL$4="是",'102 5.1.00'!$AW$4,'102 5.1.00'!$AW$3)</f>
        <v>0</v>
      </c>
      <c r="D48" s="4">
        <f>(VLOOKUP('102 5.1.00'!K48,'102 5.1.00'!$AL$4:$AN$55,2,FALSE))*IF('102 5.1.00'!AM$4="是",'102 5.1.00'!$AW$4,'102 5.1.00'!$AW$3)</f>
        <v>0</v>
      </c>
      <c r="E48" s="4">
        <f>(VLOOKUP('102 5.1.00'!L48,'102 5.1.00'!$AL$4:$AN$55,2,FALSE))*IF('102 5.1.00'!AN$4="是",'102 5.1.00'!$AW$4,'102 5.1.00'!$AW$3)</f>
        <v>0</v>
      </c>
      <c r="F48" s="4">
        <f>(VLOOKUP('102 5.1.00'!M48,'102 5.1.00'!$AL$4:$AN$55,2,FALSE))*IF('102 5.1.00'!AO$4="是",'102 5.1.00'!$AW$4,'102 5.1.00'!$AW$3)</f>
        <v>0</v>
      </c>
      <c r="G48" s="5">
        <f>(VLOOKUP('102 5.1.00'!N48,'102 5.1.00'!$AL$4:$AN$55,2,FALSE))*IF('102 5.1.00'!AP$4="是",'102 5.1.00'!$AW$4,'102 5.1.00'!$AW$3)</f>
        <v>0</v>
      </c>
      <c r="H48" s="5">
        <f>(VLOOKUP('102 5.1.00'!O48,'102 5.1.00'!$AL$4:$AN$55,2,FALSE))*IF('102 5.1.00'!AQ$4="是",'102 5.1.00'!$AW$4,'102 5.1.00'!$AW$3)</f>
        <v>0</v>
      </c>
      <c r="I48" s="4">
        <f>(VLOOKUP('102 5.1.00'!P48,'102 5.1.00'!$AL$4:$AN$55,2,FALSE))*IF('102 5.1.00'!AR$4="是",'102 5.1.00'!$AW$4,'102 5.1.00'!$AW$3)</f>
        <v>0</v>
      </c>
      <c r="J48" s="4">
        <f>(VLOOKUP('102 5.1.00'!Q48,'102 5.1.00'!$AL$4:$AN$55,2,FALSE))*IF('102 5.1.00'!AS$4="是",'102 5.1.00'!$AW$4,'102 5.1.00'!$AW$3)</f>
        <v>0</v>
      </c>
      <c r="K48" s="4">
        <f>(VLOOKUP('102 5.1.00'!R48,'102 5.1.00'!$AL$4:$AN$55,2,FALSE))*IF('102 5.1.00'!AT$4="是",'102 5.1.00'!$AW$4,'102 5.1.00'!$AW$3)</f>
        <v>0</v>
      </c>
      <c r="L48" s="4">
        <f>(VLOOKUP('102 5.1.00'!S48,'102 5.1.00'!$AL$4:$AN$55,2,FALSE))*IF('102 5.1.00'!AU$4="是",'102 5.1.00'!$AW$4,'102 5.1.00'!$AW$3)</f>
        <v>0</v>
      </c>
      <c r="M48" s="4">
        <f>(VLOOKUP('102 5.1.00'!T48,'102 5.1.00'!$AL$4:$AN$55,2,FALSE))*IF('102 5.1.00'!AV$4="是",'102 5.1.00'!$AW$4,'102 5.1.00'!$AW$3)</f>
        <v>0</v>
      </c>
      <c r="N48" s="4">
        <f>(VLOOKUP('102 5.1.00'!U48,'102 5.1.00'!$AL$4:$AN$55,2,FALSE))*IF('102 5.1.00'!AW$4="是",'102 5.1.00'!$AW$4,'102 5.1.00'!$AW$3)</f>
        <v>0</v>
      </c>
      <c r="O48" s="5">
        <f>(VLOOKUP('102 5.1.00'!V48,'102 5.1.00'!$AL$4:$AN$55,2,FALSE))*IF('102 5.1.00'!AX$4="是",'102 5.1.00'!$AW$4,'102 5.1.00'!$AW$3)</f>
        <v>0</v>
      </c>
      <c r="P48" s="5">
        <f>(VLOOKUP('102 5.1.00'!W48,'102 5.1.00'!$AL$4:$AN$55,2,FALSE))*IF('102 5.1.00'!AY$4="是",'102 5.1.00'!$AW$4,'102 5.1.00'!$AW$3)</f>
        <v>0</v>
      </c>
      <c r="Q48" s="4">
        <f>(VLOOKUP('102 5.1.00'!X48,'102 5.1.00'!$AL$4:$AN$55,2,FALSE))*IF('102 5.1.00'!AZ$4="是",'102 5.1.00'!$AW$4,'102 5.1.00'!$AW$3)</f>
        <v>0</v>
      </c>
      <c r="R48" s="4">
        <f>(VLOOKUP('102 5.1.00'!Y48,'102 5.1.00'!$AL$4:$AN$55,2,FALSE))*IF('102 5.1.00'!BA$4="是",'102 5.1.00'!$AW$4,'102 5.1.00'!$AW$3)</f>
        <v>0</v>
      </c>
      <c r="S48" s="4">
        <f>(VLOOKUP('102 5.1.00'!Z48,'102 5.1.00'!$AL$4:$AN$55,2,FALSE))*IF('102 5.1.00'!BB$4="是",'102 5.1.00'!$AW$4,'102 5.1.00'!$AW$3)</f>
        <v>0</v>
      </c>
      <c r="T48" s="4">
        <f>(VLOOKUP('102 5.1.00'!AA48,'102 5.1.00'!$AL$4:$AN$55,2,FALSE))*IF('102 5.1.00'!BC$4="是",'102 5.1.00'!$AW$4,'102 5.1.00'!$AW$3)</f>
        <v>0</v>
      </c>
      <c r="U48" s="4">
        <f>(VLOOKUP('102 5.1.00'!AB48,'102 5.1.00'!$AL$4:$AN$55,2,FALSE))*IF('102 5.1.00'!BD$4="是",'102 5.1.00'!$AW$4,'102 5.1.00'!$AW$3)</f>
        <v>0</v>
      </c>
      <c r="V48" s="4">
        <f>(VLOOKUP('102 5.1.00'!AC48,'102 5.1.00'!$AL$4:$AN$55,2,FALSE))*IF('102 5.1.00'!BE$4="是",'102 5.1.00'!$AW$4,'102 5.1.00'!$AW$3)</f>
        <v>0</v>
      </c>
      <c r="W48" s="5">
        <f>(VLOOKUP('102 5.1.00'!AD48,'102 5.1.00'!$AL$4:$AN$55,2,FALSE))*IF('102 5.1.00'!BF$4="是",'102 5.1.00'!$AW$4,'102 5.1.00'!$AW$3)</f>
        <v>0</v>
      </c>
      <c r="X48" s="5">
        <f>(VLOOKUP('102 5.1.00'!AE48,'102 5.1.00'!$AL$4:$AN$55,2,FALSE))*IF('102 5.1.00'!BG$4="是",'102 5.1.00'!$AW$4,'102 5.1.00'!$AW$3)</f>
        <v>0</v>
      </c>
    </row>
    <row r="49" spans="1:24">
      <c r="A49" s="4">
        <f>(VLOOKUP('102 5.1.00'!H49,'102 5.1.00'!$AL$4:$AN$55,2,FALSE))*IF('102 5.1.00'!AJ$4="是",'102 5.1.00'!$AW$4,'102 5.1.00'!$AW$3)</f>
        <v>0</v>
      </c>
      <c r="B49" s="4">
        <f>(VLOOKUP('102 5.1.00'!I49,'102 5.1.00'!$AL$4:$AN$55,2,FALSE))*IF('102 5.1.00'!AK$4="是",'102 5.1.00'!$AW$4,'102 5.1.00'!$AW$3)</f>
        <v>0</v>
      </c>
      <c r="C49" s="4">
        <f>(VLOOKUP('102 5.1.00'!J49,'102 5.1.00'!$AL$4:$AN$55,2,FALSE))*IF('102 5.1.00'!AL$4="是",'102 5.1.00'!$AW$4,'102 5.1.00'!$AW$3)</f>
        <v>0</v>
      </c>
      <c r="D49" s="4">
        <f>(VLOOKUP('102 5.1.00'!K49,'102 5.1.00'!$AL$4:$AN$55,2,FALSE))*IF('102 5.1.00'!AM$4="是",'102 5.1.00'!$AW$4,'102 5.1.00'!$AW$3)</f>
        <v>0</v>
      </c>
      <c r="E49" s="4">
        <f>(VLOOKUP('102 5.1.00'!L49,'102 5.1.00'!$AL$4:$AN$55,2,FALSE))*IF('102 5.1.00'!AN$4="是",'102 5.1.00'!$AW$4,'102 5.1.00'!$AW$3)</f>
        <v>0</v>
      </c>
      <c r="F49" s="4">
        <f>(VLOOKUP('102 5.1.00'!M49,'102 5.1.00'!$AL$4:$AN$55,2,FALSE))*IF('102 5.1.00'!AO$4="是",'102 5.1.00'!$AW$4,'102 5.1.00'!$AW$3)</f>
        <v>0</v>
      </c>
      <c r="G49" s="5">
        <f>(VLOOKUP('102 5.1.00'!N49,'102 5.1.00'!$AL$4:$AN$55,2,FALSE))*IF('102 5.1.00'!AP$4="是",'102 5.1.00'!$AW$4,'102 5.1.00'!$AW$3)</f>
        <v>0</v>
      </c>
      <c r="H49" s="5">
        <f>(VLOOKUP('102 5.1.00'!O49,'102 5.1.00'!$AL$4:$AN$55,2,FALSE))*IF('102 5.1.00'!AQ$4="是",'102 5.1.00'!$AW$4,'102 5.1.00'!$AW$3)</f>
        <v>0</v>
      </c>
      <c r="I49" s="4">
        <f>(VLOOKUP('102 5.1.00'!P49,'102 5.1.00'!$AL$4:$AN$55,2,FALSE))*IF('102 5.1.00'!AR$4="是",'102 5.1.00'!$AW$4,'102 5.1.00'!$AW$3)</f>
        <v>0</v>
      </c>
      <c r="J49" s="4">
        <f>(VLOOKUP('102 5.1.00'!Q49,'102 5.1.00'!$AL$4:$AN$55,2,FALSE))*IF('102 5.1.00'!AS$4="是",'102 5.1.00'!$AW$4,'102 5.1.00'!$AW$3)</f>
        <v>0</v>
      </c>
      <c r="K49" s="4">
        <f>(VLOOKUP('102 5.1.00'!R49,'102 5.1.00'!$AL$4:$AN$55,2,FALSE))*IF('102 5.1.00'!AT$4="是",'102 5.1.00'!$AW$4,'102 5.1.00'!$AW$3)</f>
        <v>0</v>
      </c>
      <c r="L49" s="4">
        <f>(VLOOKUP('102 5.1.00'!S49,'102 5.1.00'!$AL$4:$AN$55,2,FALSE))*IF('102 5.1.00'!AU$4="是",'102 5.1.00'!$AW$4,'102 5.1.00'!$AW$3)</f>
        <v>0</v>
      </c>
      <c r="M49" s="4">
        <f>(VLOOKUP('102 5.1.00'!T49,'102 5.1.00'!$AL$4:$AN$55,2,FALSE))*IF('102 5.1.00'!AV$4="是",'102 5.1.00'!$AW$4,'102 5.1.00'!$AW$3)</f>
        <v>0</v>
      </c>
      <c r="N49" s="4">
        <f>(VLOOKUP('102 5.1.00'!U49,'102 5.1.00'!$AL$4:$AN$55,2,FALSE))*IF('102 5.1.00'!AW$4="是",'102 5.1.00'!$AW$4,'102 5.1.00'!$AW$3)</f>
        <v>0</v>
      </c>
      <c r="O49" s="5">
        <f>(VLOOKUP('102 5.1.00'!V49,'102 5.1.00'!$AL$4:$AN$55,2,FALSE))*IF('102 5.1.00'!AX$4="是",'102 5.1.00'!$AW$4,'102 5.1.00'!$AW$3)</f>
        <v>0</v>
      </c>
      <c r="P49" s="5">
        <f>(VLOOKUP('102 5.1.00'!W49,'102 5.1.00'!$AL$4:$AN$55,2,FALSE))*IF('102 5.1.00'!AY$4="是",'102 5.1.00'!$AW$4,'102 5.1.00'!$AW$3)</f>
        <v>0</v>
      </c>
      <c r="Q49" s="4">
        <f>(VLOOKUP('102 5.1.00'!X49,'102 5.1.00'!$AL$4:$AN$55,2,FALSE))*IF('102 5.1.00'!AZ$4="是",'102 5.1.00'!$AW$4,'102 5.1.00'!$AW$3)</f>
        <v>0</v>
      </c>
      <c r="R49" s="4">
        <f>(VLOOKUP('102 5.1.00'!Y49,'102 5.1.00'!$AL$4:$AN$55,2,FALSE))*IF('102 5.1.00'!BA$4="是",'102 5.1.00'!$AW$4,'102 5.1.00'!$AW$3)</f>
        <v>0</v>
      </c>
      <c r="S49" s="4">
        <f>(VLOOKUP('102 5.1.00'!Z49,'102 5.1.00'!$AL$4:$AN$55,2,FALSE))*IF('102 5.1.00'!BB$4="是",'102 5.1.00'!$AW$4,'102 5.1.00'!$AW$3)</f>
        <v>0</v>
      </c>
      <c r="T49" s="4">
        <f>(VLOOKUP('102 5.1.00'!AA49,'102 5.1.00'!$AL$4:$AN$55,2,FALSE))*IF('102 5.1.00'!BC$4="是",'102 5.1.00'!$AW$4,'102 5.1.00'!$AW$3)</f>
        <v>0</v>
      </c>
      <c r="U49" s="4">
        <f>(VLOOKUP('102 5.1.00'!AB49,'102 5.1.00'!$AL$4:$AN$55,2,FALSE))*IF('102 5.1.00'!BD$4="是",'102 5.1.00'!$AW$4,'102 5.1.00'!$AW$3)</f>
        <v>0</v>
      </c>
      <c r="V49" s="4">
        <f>(VLOOKUP('102 5.1.00'!AC49,'102 5.1.00'!$AL$4:$AN$55,2,FALSE))*IF('102 5.1.00'!BE$4="是",'102 5.1.00'!$AW$4,'102 5.1.00'!$AW$3)</f>
        <v>0</v>
      </c>
      <c r="W49" s="5">
        <f>(VLOOKUP('102 5.1.00'!AD49,'102 5.1.00'!$AL$4:$AN$55,2,FALSE))*IF('102 5.1.00'!BF$4="是",'102 5.1.00'!$AW$4,'102 5.1.00'!$AW$3)</f>
        <v>0</v>
      </c>
      <c r="X49" s="5">
        <f>(VLOOKUP('102 5.1.00'!AE49,'102 5.1.00'!$AL$4:$AN$55,2,FALSE))*IF('102 5.1.00'!BG$4="是",'102 5.1.00'!$AW$4,'102 5.1.00'!$AW$3)</f>
        <v>0</v>
      </c>
    </row>
    <row r="50" spans="1:24">
      <c r="A50" s="4">
        <f>(VLOOKUP('102 5.1.00'!H50,'102 5.1.00'!$AL$4:$AN$55,2,FALSE))*IF('102 5.1.00'!AJ$4="是",'102 5.1.00'!$AW$4,'102 5.1.00'!$AW$3)</f>
        <v>0</v>
      </c>
      <c r="B50" s="4">
        <f>(VLOOKUP('102 5.1.00'!I50,'102 5.1.00'!$AL$4:$AN$55,2,FALSE))*IF('102 5.1.00'!AK$4="是",'102 5.1.00'!$AW$4,'102 5.1.00'!$AW$3)</f>
        <v>0</v>
      </c>
      <c r="C50" s="4">
        <f>(VLOOKUP('102 5.1.00'!J50,'102 5.1.00'!$AL$4:$AN$55,2,FALSE))*IF('102 5.1.00'!AL$4="是",'102 5.1.00'!$AW$4,'102 5.1.00'!$AW$3)</f>
        <v>0</v>
      </c>
      <c r="D50" s="4">
        <f>(VLOOKUP('102 5.1.00'!K50,'102 5.1.00'!$AL$4:$AN$55,2,FALSE))*IF('102 5.1.00'!AM$4="是",'102 5.1.00'!$AW$4,'102 5.1.00'!$AW$3)</f>
        <v>0</v>
      </c>
      <c r="E50" s="4">
        <f>(VLOOKUP('102 5.1.00'!L50,'102 5.1.00'!$AL$4:$AN$55,2,FALSE))*IF('102 5.1.00'!AN$4="是",'102 5.1.00'!$AW$4,'102 5.1.00'!$AW$3)</f>
        <v>0</v>
      </c>
      <c r="F50" s="4">
        <f>(VLOOKUP('102 5.1.00'!M50,'102 5.1.00'!$AL$4:$AN$55,2,FALSE))*IF('102 5.1.00'!AO$4="是",'102 5.1.00'!$AW$4,'102 5.1.00'!$AW$3)</f>
        <v>0</v>
      </c>
      <c r="G50" s="5">
        <f>(VLOOKUP('102 5.1.00'!N50,'102 5.1.00'!$AL$4:$AN$55,2,FALSE))*IF('102 5.1.00'!AP$4="是",'102 5.1.00'!$AW$4,'102 5.1.00'!$AW$3)</f>
        <v>0</v>
      </c>
      <c r="H50" s="5">
        <f>(VLOOKUP('102 5.1.00'!O50,'102 5.1.00'!$AL$4:$AN$55,2,FALSE))*IF('102 5.1.00'!AQ$4="是",'102 5.1.00'!$AW$4,'102 5.1.00'!$AW$3)</f>
        <v>0</v>
      </c>
      <c r="I50" s="4">
        <f>(VLOOKUP('102 5.1.00'!P50,'102 5.1.00'!$AL$4:$AN$55,2,FALSE))*IF('102 5.1.00'!AR$4="是",'102 5.1.00'!$AW$4,'102 5.1.00'!$AW$3)</f>
        <v>0</v>
      </c>
      <c r="J50" s="4">
        <f>(VLOOKUP('102 5.1.00'!Q50,'102 5.1.00'!$AL$4:$AN$55,2,FALSE))*IF('102 5.1.00'!AS$4="是",'102 5.1.00'!$AW$4,'102 5.1.00'!$AW$3)</f>
        <v>0</v>
      </c>
      <c r="K50" s="4">
        <f>(VLOOKUP('102 5.1.00'!R50,'102 5.1.00'!$AL$4:$AN$55,2,FALSE))*IF('102 5.1.00'!AT$4="是",'102 5.1.00'!$AW$4,'102 5.1.00'!$AW$3)</f>
        <v>0</v>
      </c>
      <c r="L50" s="4">
        <f>(VLOOKUP('102 5.1.00'!S50,'102 5.1.00'!$AL$4:$AN$55,2,FALSE))*IF('102 5.1.00'!AU$4="是",'102 5.1.00'!$AW$4,'102 5.1.00'!$AW$3)</f>
        <v>0</v>
      </c>
      <c r="M50" s="4">
        <f>(VLOOKUP('102 5.1.00'!T50,'102 5.1.00'!$AL$4:$AN$55,2,FALSE))*IF('102 5.1.00'!AV$4="是",'102 5.1.00'!$AW$4,'102 5.1.00'!$AW$3)</f>
        <v>0</v>
      </c>
      <c r="N50" s="4">
        <f>(VLOOKUP('102 5.1.00'!U50,'102 5.1.00'!$AL$4:$AN$55,2,FALSE))*IF('102 5.1.00'!AW$4="是",'102 5.1.00'!$AW$4,'102 5.1.00'!$AW$3)</f>
        <v>0</v>
      </c>
      <c r="O50" s="5">
        <f>(VLOOKUP('102 5.1.00'!V50,'102 5.1.00'!$AL$4:$AN$55,2,FALSE))*IF('102 5.1.00'!AX$4="是",'102 5.1.00'!$AW$4,'102 5.1.00'!$AW$3)</f>
        <v>0</v>
      </c>
      <c r="P50" s="5">
        <f>(VLOOKUP('102 5.1.00'!W50,'102 5.1.00'!$AL$4:$AN$55,2,FALSE))*IF('102 5.1.00'!AY$4="是",'102 5.1.00'!$AW$4,'102 5.1.00'!$AW$3)</f>
        <v>0</v>
      </c>
      <c r="Q50" s="4">
        <f>(VLOOKUP('102 5.1.00'!X50,'102 5.1.00'!$AL$4:$AN$55,2,FALSE))*IF('102 5.1.00'!AZ$4="是",'102 5.1.00'!$AW$4,'102 5.1.00'!$AW$3)</f>
        <v>0</v>
      </c>
      <c r="R50" s="4">
        <f>(VLOOKUP('102 5.1.00'!Y50,'102 5.1.00'!$AL$4:$AN$55,2,FALSE))*IF('102 5.1.00'!BA$4="是",'102 5.1.00'!$AW$4,'102 5.1.00'!$AW$3)</f>
        <v>0</v>
      </c>
      <c r="S50" s="4">
        <f>(VLOOKUP('102 5.1.00'!Z50,'102 5.1.00'!$AL$4:$AN$55,2,FALSE))*IF('102 5.1.00'!BB$4="是",'102 5.1.00'!$AW$4,'102 5.1.00'!$AW$3)</f>
        <v>0</v>
      </c>
      <c r="T50" s="4">
        <f>(VLOOKUP('102 5.1.00'!AA50,'102 5.1.00'!$AL$4:$AN$55,2,FALSE))*IF('102 5.1.00'!BC$4="是",'102 5.1.00'!$AW$4,'102 5.1.00'!$AW$3)</f>
        <v>0</v>
      </c>
      <c r="U50" s="4">
        <f>(VLOOKUP('102 5.1.00'!AB50,'102 5.1.00'!$AL$4:$AN$55,2,FALSE))*IF('102 5.1.00'!BD$4="是",'102 5.1.00'!$AW$4,'102 5.1.00'!$AW$3)</f>
        <v>0</v>
      </c>
      <c r="V50" s="4">
        <f>(VLOOKUP('102 5.1.00'!AC50,'102 5.1.00'!$AL$4:$AN$55,2,FALSE))*IF('102 5.1.00'!BE$4="是",'102 5.1.00'!$AW$4,'102 5.1.00'!$AW$3)</f>
        <v>0</v>
      </c>
      <c r="W50" s="5">
        <f>(VLOOKUP('102 5.1.00'!AD50,'102 5.1.00'!$AL$4:$AN$55,2,FALSE))*IF('102 5.1.00'!BF$4="是",'102 5.1.00'!$AW$4,'102 5.1.00'!$AW$3)</f>
        <v>0</v>
      </c>
      <c r="X50" s="5">
        <f>(VLOOKUP('102 5.1.00'!AE50,'102 5.1.00'!$AL$4:$AN$55,2,FALSE))*IF('102 5.1.00'!BG$4="是",'102 5.1.00'!$AW$4,'102 5.1.00'!$AW$3)</f>
        <v>0</v>
      </c>
    </row>
    <row r="51" spans="1:24">
      <c r="A51" s="4">
        <f>(VLOOKUP('102 5.1.00'!H51,'102 5.1.00'!$AL$4:$AN$55,2,FALSE))*IF('102 5.1.00'!AJ$4="是",'102 5.1.00'!$AW$4,'102 5.1.00'!$AW$3)</f>
        <v>0</v>
      </c>
      <c r="B51" s="4">
        <f>(VLOOKUP('102 5.1.00'!I51,'102 5.1.00'!$AL$4:$AN$55,2,FALSE))*IF('102 5.1.00'!AK$4="是",'102 5.1.00'!$AW$4,'102 5.1.00'!$AW$3)</f>
        <v>0</v>
      </c>
      <c r="C51" s="4">
        <f>(VLOOKUP('102 5.1.00'!J51,'102 5.1.00'!$AL$4:$AN$55,2,FALSE))*IF('102 5.1.00'!AL$4="是",'102 5.1.00'!$AW$4,'102 5.1.00'!$AW$3)</f>
        <v>0</v>
      </c>
      <c r="D51" s="4">
        <f>(VLOOKUP('102 5.1.00'!K51,'102 5.1.00'!$AL$4:$AN$55,2,FALSE))*IF('102 5.1.00'!AM$4="是",'102 5.1.00'!$AW$4,'102 5.1.00'!$AW$3)</f>
        <v>0</v>
      </c>
      <c r="E51" s="4">
        <f>(VLOOKUP('102 5.1.00'!L51,'102 5.1.00'!$AL$4:$AN$55,2,FALSE))*IF('102 5.1.00'!AN$4="是",'102 5.1.00'!$AW$4,'102 5.1.00'!$AW$3)</f>
        <v>0</v>
      </c>
      <c r="F51" s="4">
        <f>(VLOOKUP('102 5.1.00'!M51,'102 5.1.00'!$AL$4:$AN$55,2,FALSE))*IF('102 5.1.00'!AO$4="是",'102 5.1.00'!$AW$4,'102 5.1.00'!$AW$3)</f>
        <v>0</v>
      </c>
      <c r="G51" s="5">
        <f>(VLOOKUP('102 5.1.00'!N51,'102 5.1.00'!$AL$4:$AN$55,2,FALSE))*IF('102 5.1.00'!AP$4="是",'102 5.1.00'!$AW$4,'102 5.1.00'!$AW$3)</f>
        <v>0</v>
      </c>
      <c r="H51" s="5">
        <f>(VLOOKUP('102 5.1.00'!O51,'102 5.1.00'!$AL$4:$AN$55,2,FALSE))*IF('102 5.1.00'!AQ$4="是",'102 5.1.00'!$AW$4,'102 5.1.00'!$AW$3)</f>
        <v>0</v>
      </c>
      <c r="I51" s="4">
        <f>(VLOOKUP('102 5.1.00'!P51,'102 5.1.00'!$AL$4:$AN$55,2,FALSE))*IF('102 5.1.00'!AR$4="是",'102 5.1.00'!$AW$4,'102 5.1.00'!$AW$3)</f>
        <v>0</v>
      </c>
      <c r="J51" s="4">
        <f>(VLOOKUP('102 5.1.00'!Q51,'102 5.1.00'!$AL$4:$AN$55,2,FALSE))*IF('102 5.1.00'!AS$4="是",'102 5.1.00'!$AW$4,'102 5.1.00'!$AW$3)</f>
        <v>0</v>
      </c>
      <c r="K51" s="4">
        <f>(VLOOKUP('102 5.1.00'!R51,'102 5.1.00'!$AL$4:$AN$55,2,FALSE))*IF('102 5.1.00'!AT$4="是",'102 5.1.00'!$AW$4,'102 5.1.00'!$AW$3)</f>
        <v>0</v>
      </c>
      <c r="L51" s="4">
        <f>(VLOOKUP('102 5.1.00'!S51,'102 5.1.00'!$AL$4:$AN$55,2,FALSE))*IF('102 5.1.00'!AU$4="是",'102 5.1.00'!$AW$4,'102 5.1.00'!$AW$3)</f>
        <v>0</v>
      </c>
      <c r="M51" s="4">
        <f>(VLOOKUP('102 5.1.00'!T51,'102 5.1.00'!$AL$4:$AN$55,2,FALSE))*IF('102 5.1.00'!AV$4="是",'102 5.1.00'!$AW$4,'102 5.1.00'!$AW$3)</f>
        <v>0</v>
      </c>
      <c r="N51" s="4">
        <f>(VLOOKUP('102 5.1.00'!U51,'102 5.1.00'!$AL$4:$AN$55,2,FALSE))*IF('102 5.1.00'!AW$4="是",'102 5.1.00'!$AW$4,'102 5.1.00'!$AW$3)</f>
        <v>0</v>
      </c>
      <c r="O51" s="5">
        <f>(VLOOKUP('102 5.1.00'!V51,'102 5.1.00'!$AL$4:$AN$55,2,FALSE))*IF('102 5.1.00'!AX$4="是",'102 5.1.00'!$AW$4,'102 5.1.00'!$AW$3)</f>
        <v>0</v>
      </c>
      <c r="P51" s="5">
        <f>(VLOOKUP('102 5.1.00'!W51,'102 5.1.00'!$AL$4:$AN$55,2,FALSE))*IF('102 5.1.00'!AY$4="是",'102 5.1.00'!$AW$4,'102 5.1.00'!$AW$3)</f>
        <v>0</v>
      </c>
      <c r="Q51" s="4">
        <f>(VLOOKUP('102 5.1.00'!X51,'102 5.1.00'!$AL$4:$AN$55,2,FALSE))*IF('102 5.1.00'!AZ$4="是",'102 5.1.00'!$AW$4,'102 5.1.00'!$AW$3)</f>
        <v>0</v>
      </c>
      <c r="R51" s="4">
        <f>(VLOOKUP('102 5.1.00'!Y51,'102 5.1.00'!$AL$4:$AN$55,2,FALSE))*IF('102 5.1.00'!BA$4="是",'102 5.1.00'!$AW$4,'102 5.1.00'!$AW$3)</f>
        <v>0</v>
      </c>
      <c r="S51" s="4">
        <f>(VLOOKUP('102 5.1.00'!Z51,'102 5.1.00'!$AL$4:$AN$55,2,FALSE))*IF('102 5.1.00'!BB$4="是",'102 5.1.00'!$AW$4,'102 5.1.00'!$AW$3)</f>
        <v>0</v>
      </c>
      <c r="T51" s="4">
        <f>(VLOOKUP('102 5.1.00'!AA51,'102 5.1.00'!$AL$4:$AN$55,2,FALSE))*IF('102 5.1.00'!BC$4="是",'102 5.1.00'!$AW$4,'102 5.1.00'!$AW$3)</f>
        <v>0</v>
      </c>
      <c r="U51" s="4">
        <f>(VLOOKUP('102 5.1.00'!AB51,'102 5.1.00'!$AL$4:$AN$55,2,FALSE))*IF('102 5.1.00'!BD$4="是",'102 5.1.00'!$AW$4,'102 5.1.00'!$AW$3)</f>
        <v>0</v>
      </c>
      <c r="V51" s="4">
        <f>(VLOOKUP('102 5.1.00'!AC51,'102 5.1.00'!$AL$4:$AN$55,2,FALSE))*IF('102 5.1.00'!BE$4="是",'102 5.1.00'!$AW$4,'102 5.1.00'!$AW$3)</f>
        <v>0</v>
      </c>
      <c r="W51" s="5">
        <f>(VLOOKUP('102 5.1.00'!AD51,'102 5.1.00'!$AL$4:$AN$55,2,FALSE))*IF('102 5.1.00'!BF$4="是",'102 5.1.00'!$AW$4,'102 5.1.00'!$AW$3)</f>
        <v>0</v>
      </c>
      <c r="X51" s="5">
        <f>(VLOOKUP('102 5.1.00'!AE51,'102 5.1.00'!$AL$4:$AN$55,2,FALSE))*IF('102 5.1.00'!BG$4="是",'102 5.1.00'!$AW$4,'102 5.1.00'!$AW$3)</f>
        <v>0</v>
      </c>
    </row>
    <row r="52" spans="1:24">
      <c r="A52" s="4">
        <f>(VLOOKUP('102 5.1.00'!H52,'102 5.1.00'!$AL$4:$AN$55,2,FALSE))*IF('102 5.1.00'!AJ$4="是",'102 5.1.00'!$AW$4,'102 5.1.00'!$AW$3)</f>
        <v>0</v>
      </c>
      <c r="B52" s="4">
        <f>(VLOOKUP('102 5.1.00'!I52,'102 5.1.00'!$AL$4:$AN$55,2,FALSE))*IF('102 5.1.00'!AK$4="是",'102 5.1.00'!$AW$4,'102 5.1.00'!$AW$3)</f>
        <v>0</v>
      </c>
      <c r="C52" s="4">
        <f>(VLOOKUP('102 5.1.00'!J52,'102 5.1.00'!$AL$4:$AN$55,2,FALSE))*IF('102 5.1.00'!AL$4="是",'102 5.1.00'!$AW$4,'102 5.1.00'!$AW$3)</f>
        <v>0</v>
      </c>
      <c r="D52" s="4">
        <f>(VLOOKUP('102 5.1.00'!K52,'102 5.1.00'!$AL$4:$AN$55,2,FALSE))*IF('102 5.1.00'!AM$4="是",'102 5.1.00'!$AW$4,'102 5.1.00'!$AW$3)</f>
        <v>0</v>
      </c>
      <c r="E52" s="4">
        <f>(VLOOKUP('102 5.1.00'!L52,'102 5.1.00'!$AL$4:$AN$55,2,FALSE))*IF('102 5.1.00'!AN$4="是",'102 5.1.00'!$AW$4,'102 5.1.00'!$AW$3)</f>
        <v>0</v>
      </c>
      <c r="F52" s="4">
        <f>(VLOOKUP('102 5.1.00'!M52,'102 5.1.00'!$AL$4:$AN$55,2,FALSE))*IF('102 5.1.00'!AO$4="是",'102 5.1.00'!$AW$4,'102 5.1.00'!$AW$3)</f>
        <v>0</v>
      </c>
      <c r="G52" s="5">
        <f>(VLOOKUP('102 5.1.00'!N52,'102 5.1.00'!$AL$4:$AN$55,2,FALSE))*IF('102 5.1.00'!AP$4="是",'102 5.1.00'!$AW$4,'102 5.1.00'!$AW$3)</f>
        <v>0</v>
      </c>
      <c r="H52" s="5">
        <f>(VLOOKUP('102 5.1.00'!O52,'102 5.1.00'!$AL$4:$AN$55,2,FALSE))*IF('102 5.1.00'!AQ$4="是",'102 5.1.00'!$AW$4,'102 5.1.00'!$AW$3)</f>
        <v>0</v>
      </c>
      <c r="I52" s="4">
        <f>(VLOOKUP('102 5.1.00'!P52,'102 5.1.00'!$AL$4:$AN$55,2,FALSE))*IF('102 5.1.00'!AR$4="是",'102 5.1.00'!$AW$4,'102 5.1.00'!$AW$3)</f>
        <v>0</v>
      </c>
      <c r="J52" s="4">
        <f>(VLOOKUP('102 5.1.00'!Q52,'102 5.1.00'!$AL$4:$AN$55,2,FALSE))*IF('102 5.1.00'!AS$4="是",'102 5.1.00'!$AW$4,'102 5.1.00'!$AW$3)</f>
        <v>0</v>
      </c>
      <c r="K52" s="4">
        <f>(VLOOKUP('102 5.1.00'!R52,'102 5.1.00'!$AL$4:$AN$55,2,FALSE))*IF('102 5.1.00'!AT$4="是",'102 5.1.00'!$AW$4,'102 5.1.00'!$AW$3)</f>
        <v>0</v>
      </c>
      <c r="L52" s="4">
        <f>(VLOOKUP('102 5.1.00'!S52,'102 5.1.00'!$AL$4:$AN$55,2,FALSE))*IF('102 5.1.00'!AU$4="是",'102 5.1.00'!$AW$4,'102 5.1.00'!$AW$3)</f>
        <v>0</v>
      </c>
      <c r="M52" s="4">
        <f>(VLOOKUP('102 5.1.00'!T52,'102 5.1.00'!$AL$4:$AN$55,2,FALSE))*IF('102 5.1.00'!AV$4="是",'102 5.1.00'!$AW$4,'102 5.1.00'!$AW$3)</f>
        <v>0</v>
      </c>
      <c r="N52" s="4">
        <f>(VLOOKUP('102 5.1.00'!U52,'102 5.1.00'!$AL$4:$AN$55,2,FALSE))*IF('102 5.1.00'!AW$4="是",'102 5.1.00'!$AW$4,'102 5.1.00'!$AW$3)</f>
        <v>0</v>
      </c>
      <c r="O52" s="5">
        <f>(VLOOKUP('102 5.1.00'!V52,'102 5.1.00'!$AL$4:$AN$55,2,FALSE))*IF('102 5.1.00'!AX$4="是",'102 5.1.00'!$AW$4,'102 5.1.00'!$AW$3)</f>
        <v>0</v>
      </c>
      <c r="P52" s="5">
        <f>(VLOOKUP('102 5.1.00'!W52,'102 5.1.00'!$AL$4:$AN$55,2,FALSE))*IF('102 5.1.00'!AY$4="是",'102 5.1.00'!$AW$4,'102 5.1.00'!$AW$3)</f>
        <v>0</v>
      </c>
      <c r="Q52" s="4">
        <f>(VLOOKUP('102 5.1.00'!X52,'102 5.1.00'!$AL$4:$AN$55,2,FALSE))*IF('102 5.1.00'!AZ$4="是",'102 5.1.00'!$AW$4,'102 5.1.00'!$AW$3)</f>
        <v>0</v>
      </c>
      <c r="R52" s="4">
        <f>(VLOOKUP('102 5.1.00'!Y52,'102 5.1.00'!$AL$4:$AN$55,2,FALSE))*IF('102 5.1.00'!BA$4="是",'102 5.1.00'!$AW$4,'102 5.1.00'!$AW$3)</f>
        <v>0</v>
      </c>
      <c r="S52" s="4">
        <f>(VLOOKUP('102 5.1.00'!Z52,'102 5.1.00'!$AL$4:$AN$55,2,FALSE))*IF('102 5.1.00'!BB$4="是",'102 5.1.00'!$AW$4,'102 5.1.00'!$AW$3)</f>
        <v>0</v>
      </c>
      <c r="T52" s="4">
        <f>(VLOOKUP('102 5.1.00'!AA52,'102 5.1.00'!$AL$4:$AN$55,2,FALSE))*IF('102 5.1.00'!BC$4="是",'102 5.1.00'!$AW$4,'102 5.1.00'!$AW$3)</f>
        <v>0</v>
      </c>
      <c r="U52" s="4">
        <f>(VLOOKUP('102 5.1.00'!AB52,'102 5.1.00'!$AL$4:$AN$55,2,FALSE))*IF('102 5.1.00'!BD$4="是",'102 5.1.00'!$AW$4,'102 5.1.00'!$AW$3)</f>
        <v>0</v>
      </c>
      <c r="V52" s="4">
        <f>(VLOOKUP('102 5.1.00'!AC52,'102 5.1.00'!$AL$4:$AN$55,2,FALSE))*IF('102 5.1.00'!BE$4="是",'102 5.1.00'!$AW$4,'102 5.1.00'!$AW$3)</f>
        <v>0</v>
      </c>
      <c r="W52" s="5">
        <f>(VLOOKUP('102 5.1.00'!AD52,'102 5.1.00'!$AL$4:$AN$55,2,FALSE))*IF('102 5.1.00'!BF$4="是",'102 5.1.00'!$AW$4,'102 5.1.00'!$AW$3)</f>
        <v>0</v>
      </c>
      <c r="X52" s="5">
        <f>(VLOOKUP('102 5.1.00'!AE52,'102 5.1.00'!$AL$4:$AN$55,2,FALSE))*IF('102 5.1.00'!BG$4="是",'102 5.1.00'!$AW$4,'102 5.1.00'!$AW$3)</f>
        <v>0</v>
      </c>
    </row>
    <row r="53" spans="1:24">
      <c r="A53" s="4">
        <f>(VLOOKUP('102 5.1.00'!H53,'102 5.1.00'!$AL$4:$AN$55,2,FALSE))*IF('102 5.1.00'!AJ$4="是",'102 5.1.00'!$AW$4,'102 5.1.00'!$AW$3)</f>
        <v>0</v>
      </c>
      <c r="B53" s="4">
        <f>(VLOOKUP('102 5.1.00'!I53,'102 5.1.00'!$AL$4:$AN$55,2,FALSE))*IF('102 5.1.00'!AK$4="是",'102 5.1.00'!$AW$4,'102 5.1.00'!$AW$3)</f>
        <v>0</v>
      </c>
      <c r="C53" s="4">
        <f>(VLOOKUP('102 5.1.00'!J53,'102 5.1.00'!$AL$4:$AN$55,2,FALSE))*IF('102 5.1.00'!AL$4="是",'102 5.1.00'!$AW$4,'102 5.1.00'!$AW$3)</f>
        <v>0</v>
      </c>
      <c r="D53" s="4">
        <f>(VLOOKUP('102 5.1.00'!K53,'102 5.1.00'!$AL$4:$AN$55,2,FALSE))*IF('102 5.1.00'!AM$4="是",'102 5.1.00'!$AW$4,'102 5.1.00'!$AW$3)</f>
        <v>0</v>
      </c>
      <c r="E53" s="4">
        <f>(VLOOKUP('102 5.1.00'!L53,'102 5.1.00'!$AL$4:$AN$55,2,FALSE))*IF('102 5.1.00'!AN$4="是",'102 5.1.00'!$AW$4,'102 5.1.00'!$AW$3)</f>
        <v>0</v>
      </c>
      <c r="F53" s="4">
        <f>(VLOOKUP('102 5.1.00'!M53,'102 5.1.00'!$AL$4:$AN$55,2,FALSE))*IF('102 5.1.00'!AO$4="是",'102 5.1.00'!$AW$4,'102 5.1.00'!$AW$3)</f>
        <v>0</v>
      </c>
      <c r="G53" s="5">
        <f>(VLOOKUP('102 5.1.00'!N53,'102 5.1.00'!$AL$4:$AN$55,2,FALSE))*IF('102 5.1.00'!AP$4="是",'102 5.1.00'!$AW$4,'102 5.1.00'!$AW$3)</f>
        <v>0</v>
      </c>
      <c r="H53" s="5">
        <f>(VLOOKUP('102 5.1.00'!O53,'102 5.1.00'!$AL$4:$AN$55,2,FALSE))*IF('102 5.1.00'!AQ$4="是",'102 5.1.00'!$AW$4,'102 5.1.00'!$AW$3)</f>
        <v>0</v>
      </c>
      <c r="I53" s="4">
        <f>(VLOOKUP('102 5.1.00'!P53,'102 5.1.00'!$AL$4:$AN$55,2,FALSE))*IF('102 5.1.00'!AR$4="是",'102 5.1.00'!$AW$4,'102 5.1.00'!$AW$3)</f>
        <v>0</v>
      </c>
      <c r="J53" s="4">
        <f>(VLOOKUP('102 5.1.00'!Q53,'102 5.1.00'!$AL$4:$AN$55,2,FALSE))*IF('102 5.1.00'!AS$4="是",'102 5.1.00'!$AW$4,'102 5.1.00'!$AW$3)</f>
        <v>0</v>
      </c>
      <c r="K53" s="4">
        <f>(VLOOKUP('102 5.1.00'!R53,'102 5.1.00'!$AL$4:$AN$55,2,FALSE))*IF('102 5.1.00'!AT$4="是",'102 5.1.00'!$AW$4,'102 5.1.00'!$AW$3)</f>
        <v>0</v>
      </c>
      <c r="L53" s="4">
        <f>(VLOOKUP('102 5.1.00'!S53,'102 5.1.00'!$AL$4:$AN$55,2,FALSE))*IF('102 5.1.00'!AU$4="是",'102 5.1.00'!$AW$4,'102 5.1.00'!$AW$3)</f>
        <v>0</v>
      </c>
      <c r="M53" s="4">
        <f>(VLOOKUP('102 5.1.00'!T53,'102 5.1.00'!$AL$4:$AN$55,2,FALSE))*IF('102 5.1.00'!AV$4="是",'102 5.1.00'!$AW$4,'102 5.1.00'!$AW$3)</f>
        <v>0</v>
      </c>
      <c r="N53" s="4">
        <f>(VLOOKUP('102 5.1.00'!U53,'102 5.1.00'!$AL$4:$AN$55,2,FALSE))*IF('102 5.1.00'!AW$4="是",'102 5.1.00'!$AW$4,'102 5.1.00'!$AW$3)</f>
        <v>0</v>
      </c>
      <c r="O53" s="5">
        <f>(VLOOKUP('102 5.1.00'!V53,'102 5.1.00'!$AL$4:$AN$55,2,FALSE))*IF('102 5.1.00'!AX$4="是",'102 5.1.00'!$AW$4,'102 5.1.00'!$AW$3)</f>
        <v>0</v>
      </c>
      <c r="P53" s="5">
        <f>(VLOOKUP('102 5.1.00'!W53,'102 5.1.00'!$AL$4:$AN$55,2,FALSE))*IF('102 5.1.00'!AY$4="是",'102 5.1.00'!$AW$4,'102 5.1.00'!$AW$3)</f>
        <v>0</v>
      </c>
      <c r="Q53" s="4">
        <f>(VLOOKUP('102 5.1.00'!X53,'102 5.1.00'!$AL$4:$AN$55,2,FALSE))*IF('102 5.1.00'!AZ$4="是",'102 5.1.00'!$AW$4,'102 5.1.00'!$AW$3)</f>
        <v>0</v>
      </c>
      <c r="R53" s="4">
        <f>(VLOOKUP('102 5.1.00'!Y53,'102 5.1.00'!$AL$4:$AN$55,2,FALSE))*IF('102 5.1.00'!BA$4="是",'102 5.1.00'!$AW$4,'102 5.1.00'!$AW$3)</f>
        <v>0</v>
      </c>
      <c r="S53" s="4">
        <f>(VLOOKUP('102 5.1.00'!Z53,'102 5.1.00'!$AL$4:$AN$55,2,FALSE))*IF('102 5.1.00'!BB$4="是",'102 5.1.00'!$AW$4,'102 5.1.00'!$AW$3)</f>
        <v>0</v>
      </c>
      <c r="T53" s="4">
        <f>(VLOOKUP('102 5.1.00'!AA53,'102 5.1.00'!$AL$4:$AN$55,2,FALSE))*IF('102 5.1.00'!BC$4="是",'102 5.1.00'!$AW$4,'102 5.1.00'!$AW$3)</f>
        <v>0</v>
      </c>
      <c r="U53" s="4">
        <f>(VLOOKUP('102 5.1.00'!AB53,'102 5.1.00'!$AL$4:$AN$55,2,FALSE))*IF('102 5.1.00'!BD$4="是",'102 5.1.00'!$AW$4,'102 5.1.00'!$AW$3)</f>
        <v>0</v>
      </c>
      <c r="V53" s="4">
        <f>(VLOOKUP('102 5.1.00'!AC53,'102 5.1.00'!$AL$4:$AN$55,2,FALSE))*IF('102 5.1.00'!BE$4="是",'102 5.1.00'!$AW$4,'102 5.1.00'!$AW$3)</f>
        <v>0</v>
      </c>
      <c r="W53" s="5">
        <f>(VLOOKUP('102 5.1.00'!AD53,'102 5.1.00'!$AL$4:$AN$55,2,FALSE))*IF('102 5.1.00'!BF$4="是",'102 5.1.00'!$AW$4,'102 5.1.00'!$AW$3)</f>
        <v>0</v>
      </c>
      <c r="X53" s="5">
        <f>(VLOOKUP('102 5.1.00'!AE53,'102 5.1.00'!$AL$4:$AN$55,2,FALSE))*IF('102 5.1.00'!BG$4="是",'102 5.1.00'!$AW$4,'102 5.1.00'!$AW$3)</f>
        <v>0</v>
      </c>
    </row>
    <row r="54" spans="1:24">
      <c r="A54" s="4">
        <f>(VLOOKUP('102 5.1.00'!H54,'102 5.1.00'!$AL$4:$AN$55,2,FALSE))*IF('102 5.1.00'!AJ$4="是",'102 5.1.00'!$AW$4,'102 5.1.00'!$AW$3)</f>
        <v>0</v>
      </c>
      <c r="B54" s="4">
        <f>(VLOOKUP('102 5.1.00'!I54,'102 5.1.00'!$AL$4:$AN$55,2,FALSE))*IF('102 5.1.00'!AK$4="是",'102 5.1.00'!$AW$4,'102 5.1.00'!$AW$3)</f>
        <v>0</v>
      </c>
      <c r="C54" s="4">
        <f>(VLOOKUP('102 5.1.00'!J54,'102 5.1.00'!$AL$4:$AN$55,2,FALSE))*IF('102 5.1.00'!AL$4="是",'102 5.1.00'!$AW$4,'102 5.1.00'!$AW$3)</f>
        <v>0</v>
      </c>
      <c r="D54" s="4">
        <f>(VLOOKUP('102 5.1.00'!K54,'102 5.1.00'!$AL$4:$AN$55,2,FALSE))*IF('102 5.1.00'!AM$4="是",'102 5.1.00'!$AW$4,'102 5.1.00'!$AW$3)</f>
        <v>0</v>
      </c>
      <c r="E54" s="4">
        <f>(VLOOKUP('102 5.1.00'!L54,'102 5.1.00'!$AL$4:$AN$55,2,FALSE))*IF('102 5.1.00'!AN$4="是",'102 5.1.00'!$AW$4,'102 5.1.00'!$AW$3)</f>
        <v>0</v>
      </c>
      <c r="F54" s="4">
        <f>(VLOOKUP('102 5.1.00'!M54,'102 5.1.00'!$AL$4:$AN$55,2,FALSE))*IF('102 5.1.00'!AO$4="是",'102 5.1.00'!$AW$4,'102 5.1.00'!$AW$3)</f>
        <v>0</v>
      </c>
      <c r="G54" s="5">
        <f>(VLOOKUP('102 5.1.00'!N54,'102 5.1.00'!$AL$4:$AN$55,2,FALSE))*IF('102 5.1.00'!AP$4="是",'102 5.1.00'!$AW$4,'102 5.1.00'!$AW$3)</f>
        <v>0</v>
      </c>
      <c r="H54" s="5">
        <f>(VLOOKUP('102 5.1.00'!O54,'102 5.1.00'!$AL$4:$AN$55,2,FALSE))*IF('102 5.1.00'!AQ$4="是",'102 5.1.00'!$AW$4,'102 5.1.00'!$AW$3)</f>
        <v>0</v>
      </c>
      <c r="I54" s="4">
        <f>(VLOOKUP('102 5.1.00'!P54,'102 5.1.00'!$AL$4:$AN$55,2,FALSE))*IF('102 5.1.00'!AR$4="是",'102 5.1.00'!$AW$4,'102 5.1.00'!$AW$3)</f>
        <v>0</v>
      </c>
      <c r="J54" s="4">
        <f>(VLOOKUP('102 5.1.00'!Q54,'102 5.1.00'!$AL$4:$AN$55,2,FALSE))*IF('102 5.1.00'!AS$4="是",'102 5.1.00'!$AW$4,'102 5.1.00'!$AW$3)</f>
        <v>0</v>
      </c>
      <c r="K54" s="4">
        <f>(VLOOKUP('102 5.1.00'!R54,'102 5.1.00'!$AL$4:$AN$55,2,FALSE))*IF('102 5.1.00'!AT$4="是",'102 5.1.00'!$AW$4,'102 5.1.00'!$AW$3)</f>
        <v>0</v>
      </c>
      <c r="L54" s="4">
        <f>(VLOOKUP('102 5.1.00'!S54,'102 5.1.00'!$AL$4:$AN$55,2,FALSE))*IF('102 5.1.00'!AU$4="是",'102 5.1.00'!$AW$4,'102 5.1.00'!$AW$3)</f>
        <v>0</v>
      </c>
      <c r="M54" s="4">
        <f>(VLOOKUP('102 5.1.00'!T54,'102 5.1.00'!$AL$4:$AN$55,2,FALSE))*IF('102 5.1.00'!AV$4="是",'102 5.1.00'!$AW$4,'102 5.1.00'!$AW$3)</f>
        <v>0</v>
      </c>
      <c r="N54" s="4">
        <f>(VLOOKUP('102 5.1.00'!U54,'102 5.1.00'!$AL$4:$AN$55,2,FALSE))*IF('102 5.1.00'!AW$4="是",'102 5.1.00'!$AW$4,'102 5.1.00'!$AW$3)</f>
        <v>0</v>
      </c>
      <c r="O54" s="5">
        <f>(VLOOKUP('102 5.1.00'!V54,'102 5.1.00'!$AL$4:$AN$55,2,FALSE))*IF('102 5.1.00'!AX$4="是",'102 5.1.00'!$AW$4,'102 5.1.00'!$AW$3)</f>
        <v>0</v>
      </c>
      <c r="P54" s="5">
        <f>(VLOOKUP('102 5.1.00'!W54,'102 5.1.00'!$AL$4:$AN$55,2,FALSE))*IF('102 5.1.00'!AY$4="是",'102 5.1.00'!$AW$4,'102 5.1.00'!$AW$3)</f>
        <v>0</v>
      </c>
      <c r="Q54" s="4">
        <f>(VLOOKUP('102 5.1.00'!X54,'102 5.1.00'!$AL$4:$AN$55,2,FALSE))*IF('102 5.1.00'!AZ$4="是",'102 5.1.00'!$AW$4,'102 5.1.00'!$AW$3)</f>
        <v>0</v>
      </c>
      <c r="R54" s="4">
        <f>(VLOOKUP('102 5.1.00'!Y54,'102 5.1.00'!$AL$4:$AN$55,2,FALSE))*IF('102 5.1.00'!BA$4="是",'102 5.1.00'!$AW$4,'102 5.1.00'!$AW$3)</f>
        <v>0</v>
      </c>
      <c r="S54" s="4">
        <f>(VLOOKUP('102 5.1.00'!Z54,'102 5.1.00'!$AL$4:$AN$55,2,FALSE))*IF('102 5.1.00'!BB$4="是",'102 5.1.00'!$AW$4,'102 5.1.00'!$AW$3)</f>
        <v>0</v>
      </c>
      <c r="T54" s="4">
        <f>(VLOOKUP('102 5.1.00'!AA54,'102 5.1.00'!$AL$4:$AN$55,2,FALSE))*IF('102 5.1.00'!BC$4="是",'102 5.1.00'!$AW$4,'102 5.1.00'!$AW$3)</f>
        <v>0</v>
      </c>
      <c r="U54" s="4">
        <f>(VLOOKUP('102 5.1.00'!AB54,'102 5.1.00'!$AL$4:$AN$55,2,FALSE))*IF('102 5.1.00'!BD$4="是",'102 5.1.00'!$AW$4,'102 5.1.00'!$AW$3)</f>
        <v>0</v>
      </c>
      <c r="V54" s="4">
        <f>(VLOOKUP('102 5.1.00'!AC54,'102 5.1.00'!$AL$4:$AN$55,2,FALSE))*IF('102 5.1.00'!BE$4="是",'102 5.1.00'!$AW$4,'102 5.1.00'!$AW$3)</f>
        <v>0</v>
      </c>
      <c r="W54" s="5">
        <f>(VLOOKUP('102 5.1.00'!AD54,'102 5.1.00'!$AL$4:$AN$55,2,FALSE))*IF('102 5.1.00'!BF$4="是",'102 5.1.00'!$AW$4,'102 5.1.00'!$AW$3)</f>
        <v>0</v>
      </c>
      <c r="X54" s="5">
        <f>(VLOOKUP('102 5.1.00'!AE54,'102 5.1.00'!$AL$4:$AN$55,2,FALSE))*IF('102 5.1.00'!BG$4="是",'102 5.1.00'!$AW$4,'102 5.1.00'!$AW$3)</f>
        <v>0</v>
      </c>
    </row>
    <row r="55" spans="1:24">
      <c r="A55" s="4">
        <f>(VLOOKUP('102 5.1.00'!H55,'102 5.1.00'!$AL$4:$AN$55,2,FALSE))*IF('102 5.1.00'!AJ$4="是",'102 5.1.00'!$AW$4,'102 5.1.00'!$AW$3)</f>
        <v>0</v>
      </c>
      <c r="B55" s="4">
        <f>(VLOOKUP('102 5.1.00'!I55,'102 5.1.00'!$AL$4:$AN$55,2,FALSE))*IF('102 5.1.00'!AK$4="是",'102 5.1.00'!$AW$4,'102 5.1.00'!$AW$3)</f>
        <v>0</v>
      </c>
      <c r="C55" s="4">
        <f>(VLOOKUP('102 5.1.00'!J55,'102 5.1.00'!$AL$4:$AN$55,2,FALSE))*IF('102 5.1.00'!AL$4="是",'102 5.1.00'!$AW$4,'102 5.1.00'!$AW$3)</f>
        <v>0</v>
      </c>
      <c r="D55" s="4">
        <f>(VLOOKUP('102 5.1.00'!K55,'102 5.1.00'!$AL$4:$AN$55,2,FALSE))*IF('102 5.1.00'!AM$4="是",'102 5.1.00'!$AW$4,'102 5.1.00'!$AW$3)</f>
        <v>0</v>
      </c>
      <c r="E55" s="4">
        <f>(VLOOKUP('102 5.1.00'!L55,'102 5.1.00'!$AL$4:$AN$55,2,FALSE))*IF('102 5.1.00'!AN$4="是",'102 5.1.00'!$AW$4,'102 5.1.00'!$AW$3)</f>
        <v>0</v>
      </c>
      <c r="F55" s="4">
        <f>(VLOOKUP('102 5.1.00'!M55,'102 5.1.00'!$AL$4:$AN$55,2,FALSE))*IF('102 5.1.00'!AO$4="是",'102 5.1.00'!$AW$4,'102 5.1.00'!$AW$3)</f>
        <v>0</v>
      </c>
      <c r="G55" s="5">
        <f>(VLOOKUP('102 5.1.00'!N55,'102 5.1.00'!$AL$4:$AN$55,2,FALSE))*IF('102 5.1.00'!AP$4="是",'102 5.1.00'!$AW$4,'102 5.1.00'!$AW$3)</f>
        <v>0</v>
      </c>
      <c r="H55" s="5">
        <f>(VLOOKUP('102 5.1.00'!O55,'102 5.1.00'!$AL$4:$AN$55,2,FALSE))*IF('102 5.1.00'!AQ$4="是",'102 5.1.00'!$AW$4,'102 5.1.00'!$AW$3)</f>
        <v>0</v>
      </c>
      <c r="I55" s="4">
        <f>(VLOOKUP('102 5.1.00'!P55,'102 5.1.00'!$AL$4:$AN$55,2,FALSE))*IF('102 5.1.00'!AR$4="是",'102 5.1.00'!$AW$4,'102 5.1.00'!$AW$3)</f>
        <v>0</v>
      </c>
      <c r="J55" s="4">
        <f>(VLOOKUP('102 5.1.00'!Q55,'102 5.1.00'!$AL$4:$AN$55,2,FALSE))*IF('102 5.1.00'!AS$4="是",'102 5.1.00'!$AW$4,'102 5.1.00'!$AW$3)</f>
        <v>0</v>
      </c>
      <c r="K55" s="4">
        <f>(VLOOKUP('102 5.1.00'!R55,'102 5.1.00'!$AL$4:$AN$55,2,FALSE))*IF('102 5.1.00'!AT$4="是",'102 5.1.00'!$AW$4,'102 5.1.00'!$AW$3)</f>
        <v>0</v>
      </c>
      <c r="L55" s="4">
        <f>(VLOOKUP('102 5.1.00'!S55,'102 5.1.00'!$AL$4:$AN$55,2,FALSE))*IF('102 5.1.00'!AU$4="是",'102 5.1.00'!$AW$4,'102 5.1.00'!$AW$3)</f>
        <v>0</v>
      </c>
      <c r="M55" s="4">
        <f>(VLOOKUP('102 5.1.00'!T55,'102 5.1.00'!$AL$4:$AN$55,2,FALSE))*IF('102 5.1.00'!AV$4="是",'102 5.1.00'!$AW$4,'102 5.1.00'!$AW$3)</f>
        <v>0</v>
      </c>
      <c r="N55" s="4">
        <f>(VLOOKUP('102 5.1.00'!U55,'102 5.1.00'!$AL$4:$AN$55,2,FALSE))*IF('102 5.1.00'!AW$4="是",'102 5.1.00'!$AW$4,'102 5.1.00'!$AW$3)</f>
        <v>0</v>
      </c>
      <c r="O55" s="5">
        <f>(VLOOKUP('102 5.1.00'!V55,'102 5.1.00'!$AL$4:$AN$55,2,FALSE))*IF('102 5.1.00'!AX$4="是",'102 5.1.00'!$AW$4,'102 5.1.00'!$AW$3)</f>
        <v>0</v>
      </c>
      <c r="P55" s="5">
        <f>(VLOOKUP('102 5.1.00'!W55,'102 5.1.00'!$AL$4:$AN$55,2,FALSE))*IF('102 5.1.00'!AY$4="是",'102 5.1.00'!$AW$4,'102 5.1.00'!$AW$3)</f>
        <v>0</v>
      </c>
      <c r="Q55" s="4">
        <f>(VLOOKUP('102 5.1.00'!X55,'102 5.1.00'!$AL$4:$AN$55,2,FALSE))*IF('102 5.1.00'!AZ$4="是",'102 5.1.00'!$AW$4,'102 5.1.00'!$AW$3)</f>
        <v>0</v>
      </c>
      <c r="R55" s="4">
        <f>(VLOOKUP('102 5.1.00'!Y55,'102 5.1.00'!$AL$4:$AN$55,2,FALSE))*IF('102 5.1.00'!BA$4="是",'102 5.1.00'!$AW$4,'102 5.1.00'!$AW$3)</f>
        <v>0</v>
      </c>
      <c r="S55" s="4">
        <f>(VLOOKUP('102 5.1.00'!Z55,'102 5.1.00'!$AL$4:$AN$55,2,FALSE))*IF('102 5.1.00'!BB$4="是",'102 5.1.00'!$AW$4,'102 5.1.00'!$AW$3)</f>
        <v>0</v>
      </c>
      <c r="T55" s="4">
        <f>(VLOOKUP('102 5.1.00'!AA55,'102 5.1.00'!$AL$4:$AN$55,2,FALSE))*IF('102 5.1.00'!BC$4="是",'102 5.1.00'!$AW$4,'102 5.1.00'!$AW$3)</f>
        <v>0</v>
      </c>
      <c r="U55" s="4">
        <f>(VLOOKUP('102 5.1.00'!AB55,'102 5.1.00'!$AL$4:$AN$55,2,FALSE))*IF('102 5.1.00'!BD$4="是",'102 5.1.00'!$AW$4,'102 5.1.00'!$AW$3)</f>
        <v>0</v>
      </c>
      <c r="V55" s="4">
        <f>(VLOOKUP('102 5.1.00'!AC55,'102 5.1.00'!$AL$4:$AN$55,2,FALSE))*IF('102 5.1.00'!BE$4="是",'102 5.1.00'!$AW$4,'102 5.1.00'!$AW$3)</f>
        <v>0</v>
      </c>
      <c r="W55" s="5">
        <f>(VLOOKUP('102 5.1.00'!AD55,'102 5.1.00'!$AL$4:$AN$55,2,FALSE))*IF('102 5.1.00'!BF$4="是",'102 5.1.00'!$AW$4,'102 5.1.00'!$AW$3)</f>
        <v>0</v>
      </c>
      <c r="X55" s="5">
        <f>(VLOOKUP('102 5.1.00'!AE55,'102 5.1.00'!$AL$4:$AN$55,2,FALSE))*IF('102 5.1.00'!BG$4="是",'102 5.1.00'!$AW$4,'102 5.1.00'!$AW$3)</f>
        <v>0</v>
      </c>
    </row>
    <row r="56" spans="1:24">
      <c r="A56" s="4">
        <f>(VLOOKUP('102 5.1.00'!H56,'102 5.1.00'!$AL$4:$AN$55,2,FALSE))*IF('102 5.1.00'!AJ$4="是",'102 5.1.00'!$AW$4,'102 5.1.00'!$AW$3)</f>
        <v>0</v>
      </c>
      <c r="B56" s="4">
        <f>(VLOOKUP('102 5.1.00'!I56,'102 5.1.00'!$AL$4:$AN$55,2,FALSE))*IF('102 5.1.00'!AK$4="是",'102 5.1.00'!$AW$4,'102 5.1.00'!$AW$3)</f>
        <v>0</v>
      </c>
      <c r="C56" s="4">
        <f>(VLOOKUP('102 5.1.00'!J56,'102 5.1.00'!$AL$4:$AN$55,2,FALSE))*IF('102 5.1.00'!AL$4="是",'102 5.1.00'!$AW$4,'102 5.1.00'!$AW$3)</f>
        <v>0</v>
      </c>
      <c r="D56" s="4">
        <f>(VLOOKUP('102 5.1.00'!K56,'102 5.1.00'!$AL$4:$AN$55,2,FALSE))*IF('102 5.1.00'!AM$4="是",'102 5.1.00'!$AW$4,'102 5.1.00'!$AW$3)</f>
        <v>0</v>
      </c>
      <c r="E56" s="4">
        <f>(VLOOKUP('102 5.1.00'!L56,'102 5.1.00'!$AL$4:$AN$55,2,FALSE))*IF('102 5.1.00'!AN$4="是",'102 5.1.00'!$AW$4,'102 5.1.00'!$AW$3)</f>
        <v>0</v>
      </c>
      <c r="F56" s="4">
        <f>(VLOOKUP('102 5.1.00'!M56,'102 5.1.00'!$AL$4:$AN$55,2,FALSE))*IF('102 5.1.00'!AO$4="是",'102 5.1.00'!$AW$4,'102 5.1.00'!$AW$3)</f>
        <v>0</v>
      </c>
      <c r="G56" s="5">
        <f>(VLOOKUP('102 5.1.00'!N56,'102 5.1.00'!$AL$4:$AN$55,2,FALSE))*IF('102 5.1.00'!AP$4="是",'102 5.1.00'!$AW$4,'102 5.1.00'!$AW$3)</f>
        <v>0</v>
      </c>
      <c r="H56" s="5">
        <f>(VLOOKUP('102 5.1.00'!O56,'102 5.1.00'!$AL$4:$AN$55,2,FALSE))*IF('102 5.1.00'!AQ$4="是",'102 5.1.00'!$AW$4,'102 5.1.00'!$AW$3)</f>
        <v>0</v>
      </c>
      <c r="I56" s="4">
        <f>(VLOOKUP('102 5.1.00'!P56,'102 5.1.00'!$AL$4:$AN$55,2,FALSE))*IF('102 5.1.00'!AR$4="是",'102 5.1.00'!$AW$4,'102 5.1.00'!$AW$3)</f>
        <v>0</v>
      </c>
      <c r="J56" s="4">
        <f>(VLOOKUP('102 5.1.00'!Q56,'102 5.1.00'!$AL$4:$AN$55,2,FALSE))*IF('102 5.1.00'!AS$4="是",'102 5.1.00'!$AW$4,'102 5.1.00'!$AW$3)</f>
        <v>0</v>
      </c>
      <c r="K56" s="4">
        <f>(VLOOKUP('102 5.1.00'!R56,'102 5.1.00'!$AL$4:$AN$55,2,FALSE))*IF('102 5.1.00'!AT$4="是",'102 5.1.00'!$AW$4,'102 5.1.00'!$AW$3)</f>
        <v>0</v>
      </c>
      <c r="L56" s="4">
        <f>(VLOOKUP('102 5.1.00'!S56,'102 5.1.00'!$AL$4:$AN$55,2,FALSE))*IF('102 5.1.00'!AU$4="是",'102 5.1.00'!$AW$4,'102 5.1.00'!$AW$3)</f>
        <v>0</v>
      </c>
      <c r="M56" s="4">
        <f>(VLOOKUP('102 5.1.00'!T56,'102 5.1.00'!$AL$4:$AN$55,2,FALSE))*IF('102 5.1.00'!AV$4="是",'102 5.1.00'!$AW$4,'102 5.1.00'!$AW$3)</f>
        <v>0</v>
      </c>
      <c r="N56" s="4">
        <f>(VLOOKUP('102 5.1.00'!U56,'102 5.1.00'!$AL$4:$AN$55,2,FALSE))*IF('102 5.1.00'!AW$4="是",'102 5.1.00'!$AW$4,'102 5.1.00'!$AW$3)</f>
        <v>0</v>
      </c>
      <c r="O56" s="5">
        <f>(VLOOKUP('102 5.1.00'!V56,'102 5.1.00'!$AL$4:$AN$55,2,FALSE))*IF('102 5.1.00'!AX$4="是",'102 5.1.00'!$AW$4,'102 5.1.00'!$AW$3)</f>
        <v>0</v>
      </c>
      <c r="P56" s="5">
        <f>(VLOOKUP('102 5.1.00'!W56,'102 5.1.00'!$AL$4:$AN$55,2,FALSE))*IF('102 5.1.00'!AY$4="是",'102 5.1.00'!$AW$4,'102 5.1.00'!$AW$3)</f>
        <v>0</v>
      </c>
      <c r="Q56" s="4">
        <f>(VLOOKUP('102 5.1.00'!X56,'102 5.1.00'!$AL$4:$AN$55,2,FALSE))*IF('102 5.1.00'!AZ$4="是",'102 5.1.00'!$AW$4,'102 5.1.00'!$AW$3)</f>
        <v>0</v>
      </c>
      <c r="R56" s="4">
        <f>(VLOOKUP('102 5.1.00'!Y56,'102 5.1.00'!$AL$4:$AN$55,2,FALSE))*IF('102 5.1.00'!BA$4="是",'102 5.1.00'!$AW$4,'102 5.1.00'!$AW$3)</f>
        <v>0</v>
      </c>
      <c r="S56" s="4">
        <f>(VLOOKUP('102 5.1.00'!Z56,'102 5.1.00'!$AL$4:$AN$55,2,FALSE))*IF('102 5.1.00'!BB$4="是",'102 5.1.00'!$AW$4,'102 5.1.00'!$AW$3)</f>
        <v>0</v>
      </c>
      <c r="T56" s="4">
        <f>(VLOOKUP('102 5.1.00'!AA56,'102 5.1.00'!$AL$4:$AN$55,2,FALSE))*IF('102 5.1.00'!BC$4="是",'102 5.1.00'!$AW$4,'102 5.1.00'!$AW$3)</f>
        <v>0</v>
      </c>
      <c r="U56" s="4">
        <f>(VLOOKUP('102 5.1.00'!AB56,'102 5.1.00'!$AL$4:$AN$55,2,FALSE))*IF('102 5.1.00'!BD$4="是",'102 5.1.00'!$AW$4,'102 5.1.00'!$AW$3)</f>
        <v>0</v>
      </c>
      <c r="V56" s="4">
        <f>(VLOOKUP('102 5.1.00'!AC56,'102 5.1.00'!$AL$4:$AN$55,2,FALSE))*IF('102 5.1.00'!BE$4="是",'102 5.1.00'!$AW$4,'102 5.1.00'!$AW$3)</f>
        <v>0</v>
      </c>
      <c r="W56" s="5">
        <f>(VLOOKUP('102 5.1.00'!AD56,'102 5.1.00'!$AL$4:$AN$55,2,FALSE))*IF('102 5.1.00'!BF$4="是",'102 5.1.00'!$AW$4,'102 5.1.00'!$AW$3)</f>
        <v>0</v>
      </c>
      <c r="X56" s="5">
        <f>(VLOOKUP('102 5.1.00'!AE56,'102 5.1.00'!$AL$4:$AN$55,2,FALSE))*IF('102 5.1.00'!BG$4="是",'102 5.1.00'!$AW$4,'102 5.1.00'!$AW$3)</f>
        <v>0</v>
      </c>
    </row>
    <row r="57" spans="1:24">
      <c r="A57" s="4">
        <f>(VLOOKUP('102 5.1.00'!H57,'102 5.1.00'!$AL$4:$AN$55,2,FALSE))*IF('102 5.1.00'!AJ$4="是",'102 5.1.00'!$AW$4,'102 5.1.00'!$AW$3)</f>
        <v>0</v>
      </c>
      <c r="B57" s="4">
        <f>(VLOOKUP('102 5.1.00'!I57,'102 5.1.00'!$AL$4:$AN$55,2,FALSE))*IF('102 5.1.00'!AK$4="是",'102 5.1.00'!$AW$4,'102 5.1.00'!$AW$3)</f>
        <v>0</v>
      </c>
      <c r="C57" s="4">
        <f>(VLOOKUP('102 5.1.00'!J57,'102 5.1.00'!$AL$4:$AN$55,2,FALSE))*IF('102 5.1.00'!AL$4="是",'102 5.1.00'!$AW$4,'102 5.1.00'!$AW$3)</f>
        <v>0</v>
      </c>
      <c r="D57" s="4">
        <f>(VLOOKUP('102 5.1.00'!K57,'102 5.1.00'!$AL$4:$AN$55,2,FALSE))*IF('102 5.1.00'!AM$4="是",'102 5.1.00'!$AW$4,'102 5.1.00'!$AW$3)</f>
        <v>0</v>
      </c>
      <c r="E57" s="4">
        <f>(VLOOKUP('102 5.1.00'!L57,'102 5.1.00'!$AL$4:$AN$55,2,FALSE))*IF('102 5.1.00'!AN$4="是",'102 5.1.00'!$AW$4,'102 5.1.00'!$AW$3)</f>
        <v>0</v>
      </c>
      <c r="F57" s="4">
        <f>(VLOOKUP('102 5.1.00'!M57,'102 5.1.00'!$AL$4:$AN$55,2,FALSE))*IF('102 5.1.00'!AO$4="是",'102 5.1.00'!$AW$4,'102 5.1.00'!$AW$3)</f>
        <v>0</v>
      </c>
      <c r="G57" s="5">
        <f>(VLOOKUP('102 5.1.00'!N57,'102 5.1.00'!$AL$4:$AN$55,2,FALSE))*IF('102 5.1.00'!AP$4="是",'102 5.1.00'!$AW$4,'102 5.1.00'!$AW$3)</f>
        <v>0</v>
      </c>
      <c r="H57" s="5">
        <f>(VLOOKUP('102 5.1.00'!O57,'102 5.1.00'!$AL$4:$AN$55,2,FALSE))*IF('102 5.1.00'!AQ$4="是",'102 5.1.00'!$AW$4,'102 5.1.00'!$AW$3)</f>
        <v>0</v>
      </c>
      <c r="I57" s="4">
        <f>(VLOOKUP('102 5.1.00'!P57,'102 5.1.00'!$AL$4:$AN$55,2,FALSE))*IF('102 5.1.00'!AR$4="是",'102 5.1.00'!$AW$4,'102 5.1.00'!$AW$3)</f>
        <v>0</v>
      </c>
      <c r="J57" s="4">
        <f>(VLOOKUP('102 5.1.00'!Q57,'102 5.1.00'!$AL$4:$AN$55,2,FALSE))*IF('102 5.1.00'!AS$4="是",'102 5.1.00'!$AW$4,'102 5.1.00'!$AW$3)</f>
        <v>0</v>
      </c>
      <c r="K57" s="4">
        <f>(VLOOKUP('102 5.1.00'!R57,'102 5.1.00'!$AL$4:$AN$55,2,FALSE))*IF('102 5.1.00'!AT$4="是",'102 5.1.00'!$AW$4,'102 5.1.00'!$AW$3)</f>
        <v>0</v>
      </c>
      <c r="L57" s="4">
        <f>(VLOOKUP('102 5.1.00'!S57,'102 5.1.00'!$AL$4:$AN$55,2,FALSE))*IF('102 5.1.00'!AU$4="是",'102 5.1.00'!$AW$4,'102 5.1.00'!$AW$3)</f>
        <v>0</v>
      </c>
      <c r="M57" s="4">
        <f>(VLOOKUP('102 5.1.00'!T57,'102 5.1.00'!$AL$4:$AN$55,2,FALSE))*IF('102 5.1.00'!AV$4="是",'102 5.1.00'!$AW$4,'102 5.1.00'!$AW$3)</f>
        <v>0</v>
      </c>
      <c r="N57" s="4">
        <f>(VLOOKUP('102 5.1.00'!U57,'102 5.1.00'!$AL$4:$AN$55,2,FALSE))*IF('102 5.1.00'!AW$4="是",'102 5.1.00'!$AW$4,'102 5.1.00'!$AW$3)</f>
        <v>0</v>
      </c>
      <c r="O57" s="5">
        <f>(VLOOKUP('102 5.1.00'!V57,'102 5.1.00'!$AL$4:$AN$55,2,FALSE))*IF('102 5.1.00'!AX$4="是",'102 5.1.00'!$AW$4,'102 5.1.00'!$AW$3)</f>
        <v>0</v>
      </c>
      <c r="P57" s="5">
        <f>(VLOOKUP('102 5.1.00'!W57,'102 5.1.00'!$AL$4:$AN$55,2,FALSE))*IF('102 5.1.00'!AY$4="是",'102 5.1.00'!$AW$4,'102 5.1.00'!$AW$3)</f>
        <v>0</v>
      </c>
      <c r="Q57" s="4">
        <f>(VLOOKUP('102 5.1.00'!X57,'102 5.1.00'!$AL$4:$AN$55,2,FALSE))*IF('102 5.1.00'!AZ$4="是",'102 5.1.00'!$AW$4,'102 5.1.00'!$AW$3)</f>
        <v>0</v>
      </c>
      <c r="R57" s="4">
        <f>(VLOOKUP('102 5.1.00'!Y57,'102 5.1.00'!$AL$4:$AN$55,2,FALSE))*IF('102 5.1.00'!BA$4="是",'102 5.1.00'!$AW$4,'102 5.1.00'!$AW$3)</f>
        <v>0</v>
      </c>
      <c r="S57" s="4">
        <f>(VLOOKUP('102 5.1.00'!Z57,'102 5.1.00'!$AL$4:$AN$55,2,FALSE))*IF('102 5.1.00'!BB$4="是",'102 5.1.00'!$AW$4,'102 5.1.00'!$AW$3)</f>
        <v>0</v>
      </c>
      <c r="T57" s="4">
        <f>(VLOOKUP('102 5.1.00'!AA57,'102 5.1.00'!$AL$4:$AN$55,2,FALSE))*IF('102 5.1.00'!BC$4="是",'102 5.1.00'!$AW$4,'102 5.1.00'!$AW$3)</f>
        <v>0</v>
      </c>
      <c r="U57" s="4">
        <f>(VLOOKUP('102 5.1.00'!AB57,'102 5.1.00'!$AL$4:$AN$55,2,FALSE))*IF('102 5.1.00'!BD$4="是",'102 5.1.00'!$AW$4,'102 5.1.00'!$AW$3)</f>
        <v>0</v>
      </c>
      <c r="V57" s="4">
        <f>(VLOOKUP('102 5.1.00'!AC57,'102 5.1.00'!$AL$4:$AN$55,2,FALSE))*IF('102 5.1.00'!BE$4="是",'102 5.1.00'!$AW$4,'102 5.1.00'!$AW$3)</f>
        <v>0</v>
      </c>
      <c r="W57" s="5">
        <f>(VLOOKUP('102 5.1.00'!AD57,'102 5.1.00'!$AL$4:$AN$55,2,FALSE))*IF('102 5.1.00'!BF$4="是",'102 5.1.00'!$AW$4,'102 5.1.00'!$AW$3)</f>
        <v>0</v>
      </c>
      <c r="X57" s="5">
        <f>(VLOOKUP('102 5.1.00'!AE57,'102 5.1.00'!$AL$4:$AN$55,2,FALSE))*IF('102 5.1.00'!BG$4="是",'102 5.1.00'!$AW$4,'102 5.1.00'!$AW$3)</f>
        <v>0</v>
      </c>
    </row>
    <row r="58" spans="1:24">
      <c r="A58" s="4">
        <f>(VLOOKUP('102 5.1.00'!H58,'102 5.1.00'!$AL$4:$AN$55,2,FALSE))*IF('102 5.1.00'!AJ$4="是",'102 5.1.00'!$AW$4,'102 5.1.00'!$AW$3)</f>
        <v>0</v>
      </c>
      <c r="B58" s="4">
        <f>(VLOOKUP('102 5.1.00'!I58,'102 5.1.00'!$AL$4:$AN$55,2,FALSE))*IF('102 5.1.00'!AK$4="是",'102 5.1.00'!$AW$4,'102 5.1.00'!$AW$3)</f>
        <v>0</v>
      </c>
      <c r="C58" s="4">
        <f>(VLOOKUP('102 5.1.00'!J58,'102 5.1.00'!$AL$4:$AN$55,2,FALSE))*IF('102 5.1.00'!AL$4="是",'102 5.1.00'!$AW$4,'102 5.1.00'!$AW$3)</f>
        <v>0</v>
      </c>
      <c r="D58" s="4">
        <f>(VLOOKUP('102 5.1.00'!K58,'102 5.1.00'!$AL$4:$AN$55,2,FALSE))*IF('102 5.1.00'!AM$4="是",'102 5.1.00'!$AW$4,'102 5.1.00'!$AW$3)</f>
        <v>0</v>
      </c>
      <c r="E58" s="4">
        <f>(VLOOKUP('102 5.1.00'!L58,'102 5.1.00'!$AL$4:$AN$55,2,FALSE))*IF('102 5.1.00'!AN$4="是",'102 5.1.00'!$AW$4,'102 5.1.00'!$AW$3)</f>
        <v>0</v>
      </c>
      <c r="F58" s="4">
        <f>(VLOOKUP('102 5.1.00'!M58,'102 5.1.00'!$AL$4:$AN$55,2,FALSE))*IF('102 5.1.00'!AO$4="是",'102 5.1.00'!$AW$4,'102 5.1.00'!$AW$3)</f>
        <v>0</v>
      </c>
      <c r="G58" s="5">
        <f>(VLOOKUP('102 5.1.00'!N58,'102 5.1.00'!$AL$4:$AN$55,2,FALSE))*IF('102 5.1.00'!AP$4="是",'102 5.1.00'!$AW$4,'102 5.1.00'!$AW$3)</f>
        <v>0</v>
      </c>
      <c r="H58" s="5">
        <f>(VLOOKUP('102 5.1.00'!O58,'102 5.1.00'!$AL$4:$AN$55,2,FALSE))*IF('102 5.1.00'!AQ$4="是",'102 5.1.00'!$AW$4,'102 5.1.00'!$AW$3)</f>
        <v>0</v>
      </c>
      <c r="I58" s="4">
        <f>(VLOOKUP('102 5.1.00'!P58,'102 5.1.00'!$AL$4:$AN$55,2,FALSE))*IF('102 5.1.00'!AR$4="是",'102 5.1.00'!$AW$4,'102 5.1.00'!$AW$3)</f>
        <v>0</v>
      </c>
      <c r="J58" s="4">
        <f>(VLOOKUP('102 5.1.00'!Q58,'102 5.1.00'!$AL$4:$AN$55,2,FALSE))*IF('102 5.1.00'!AS$4="是",'102 5.1.00'!$AW$4,'102 5.1.00'!$AW$3)</f>
        <v>0</v>
      </c>
      <c r="K58" s="4">
        <f>(VLOOKUP('102 5.1.00'!R58,'102 5.1.00'!$AL$4:$AN$55,2,FALSE))*IF('102 5.1.00'!AT$4="是",'102 5.1.00'!$AW$4,'102 5.1.00'!$AW$3)</f>
        <v>0</v>
      </c>
      <c r="L58" s="4">
        <f>(VLOOKUP('102 5.1.00'!S58,'102 5.1.00'!$AL$4:$AN$55,2,FALSE))*IF('102 5.1.00'!AU$4="是",'102 5.1.00'!$AW$4,'102 5.1.00'!$AW$3)</f>
        <v>0</v>
      </c>
      <c r="M58" s="4">
        <f>(VLOOKUP('102 5.1.00'!T58,'102 5.1.00'!$AL$4:$AN$55,2,FALSE))*IF('102 5.1.00'!AV$4="是",'102 5.1.00'!$AW$4,'102 5.1.00'!$AW$3)</f>
        <v>0</v>
      </c>
      <c r="N58" s="4">
        <f>(VLOOKUP('102 5.1.00'!U58,'102 5.1.00'!$AL$4:$AN$55,2,FALSE))*IF('102 5.1.00'!AW$4="是",'102 5.1.00'!$AW$4,'102 5.1.00'!$AW$3)</f>
        <v>0</v>
      </c>
      <c r="O58" s="5">
        <f>(VLOOKUP('102 5.1.00'!V58,'102 5.1.00'!$AL$4:$AN$55,2,FALSE))*IF('102 5.1.00'!AX$4="是",'102 5.1.00'!$AW$4,'102 5.1.00'!$AW$3)</f>
        <v>0</v>
      </c>
      <c r="P58" s="5">
        <f>(VLOOKUP('102 5.1.00'!W58,'102 5.1.00'!$AL$4:$AN$55,2,FALSE))*IF('102 5.1.00'!AY$4="是",'102 5.1.00'!$AW$4,'102 5.1.00'!$AW$3)</f>
        <v>0</v>
      </c>
      <c r="Q58" s="4">
        <f>(VLOOKUP('102 5.1.00'!X58,'102 5.1.00'!$AL$4:$AN$55,2,FALSE))*IF('102 5.1.00'!AZ$4="是",'102 5.1.00'!$AW$4,'102 5.1.00'!$AW$3)</f>
        <v>0</v>
      </c>
      <c r="R58" s="4">
        <f>(VLOOKUP('102 5.1.00'!Y58,'102 5.1.00'!$AL$4:$AN$55,2,FALSE))*IF('102 5.1.00'!BA$4="是",'102 5.1.00'!$AW$4,'102 5.1.00'!$AW$3)</f>
        <v>0</v>
      </c>
      <c r="S58" s="4">
        <f>(VLOOKUP('102 5.1.00'!Z58,'102 5.1.00'!$AL$4:$AN$55,2,FALSE))*IF('102 5.1.00'!BB$4="是",'102 5.1.00'!$AW$4,'102 5.1.00'!$AW$3)</f>
        <v>0</v>
      </c>
      <c r="T58" s="4">
        <f>(VLOOKUP('102 5.1.00'!AA58,'102 5.1.00'!$AL$4:$AN$55,2,FALSE))*IF('102 5.1.00'!BC$4="是",'102 5.1.00'!$AW$4,'102 5.1.00'!$AW$3)</f>
        <v>0</v>
      </c>
      <c r="U58" s="4">
        <f>(VLOOKUP('102 5.1.00'!AB58,'102 5.1.00'!$AL$4:$AN$55,2,FALSE))*IF('102 5.1.00'!BD$4="是",'102 5.1.00'!$AW$4,'102 5.1.00'!$AW$3)</f>
        <v>0</v>
      </c>
      <c r="V58" s="4">
        <f>(VLOOKUP('102 5.1.00'!AC58,'102 5.1.00'!$AL$4:$AN$55,2,FALSE))*IF('102 5.1.00'!BE$4="是",'102 5.1.00'!$AW$4,'102 5.1.00'!$AW$3)</f>
        <v>0</v>
      </c>
      <c r="W58" s="5">
        <f>(VLOOKUP('102 5.1.00'!AD58,'102 5.1.00'!$AL$4:$AN$55,2,FALSE))*IF('102 5.1.00'!BF$4="是",'102 5.1.00'!$AW$4,'102 5.1.00'!$AW$3)</f>
        <v>0</v>
      </c>
      <c r="X58" s="5">
        <f>(VLOOKUP('102 5.1.00'!AE58,'102 5.1.00'!$AL$4:$AN$55,2,FALSE))*IF('102 5.1.00'!BG$4="是",'102 5.1.00'!$AW$4,'102 5.1.00'!$AW$3)</f>
        <v>0</v>
      </c>
    </row>
    <row r="59" spans="1:24">
      <c r="A59" s="4">
        <f>(VLOOKUP('102 5.1.00'!H59,'102 5.1.00'!$AL$4:$AN$55,2,FALSE))*IF('102 5.1.00'!AJ$4="是",'102 5.1.00'!$AW$4,'102 5.1.00'!$AW$3)</f>
        <v>0</v>
      </c>
      <c r="B59" s="4">
        <f>(VLOOKUP('102 5.1.00'!I59,'102 5.1.00'!$AL$4:$AN$55,2,FALSE))*IF('102 5.1.00'!AK$4="是",'102 5.1.00'!$AW$4,'102 5.1.00'!$AW$3)</f>
        <v>0</v>
      </c>
      <c r="C59" s="4">
        <f>(VLOOKUP('102 5.1.00'!J59,'102 5.1.00'!$AL$4:$AN$55,2,FALSE))*IF('102 5.1.00'!AL$4="是",'102 5.1.00'!$AW$4,'102 5.1.00'!$AW$3)</f>
        <v>0</v>
      </c>
      <c r="D59" s="4">
        <f>(VLOOKUP('102 5.1.00'!K59,'102 5.1.00'!$AL$4:$AN$55,2,FALSE))*IF('102 5.1.00'!AM$4="是",'102 5.1.00'!$AW$4,'102 5.1.00'!$AW$3)</f>
        <v>0</v>
      </c>
      <c r="E59" s="4">
        <f>(VLOOKUP('102 5.1.00'!L59,'102 5.1.00'!$AL$4:$AN$55,2,FALSE))*IF('102 5.1.00'!AN$4="是",'102 5.1.00'!$AW$4,'102 5.1.00'!$AW$3)</f>
        <v>0</v>
      </c>
      <c r="F59" s="4">
        <f>(VLOOKUP('102 5.1.00'!M59,'102 5.1.00'!$AL$4:$AN$55,2,FALSE))*IF('102 5.1.00'!AO$4="是",'102 5.1.00'!$AW$4,'102 5.1.00'!$AW$3)</f>
        <v>0</v>
      </c>
      <c r="G59" s="5">
        <f>(VLOOKUP('102 5.1.00'!N59,'102 5.1.00'!$AL$4:$AN$55,2,FALSE))*IF('102 5.1.00'!AP$4="是",'102 5.1.00'!$AW$4,'102 5.1.00'!$AW$3)</f>
        <v>0</v>
      </c>
      <c r="H59" s="5">
        <f>(VLOOKUP('102 5.1.00'!O59,'102 5.1.00'!$AL$4:$AN$55,2,FALSE))*IF('102 5.1.00'!AQ$4="是",'102 5.1.00'!$AW$4,'102 5.1.00'!$AW$3)</f>
        <v>0</v>
      </c>
      <c r="I59" s="4">
        <f>(VLOOKUP('102 5.1.00'!P59,'102 5.1.00'!$AL$4:$AN$55,2,FALSE))*IF('102 5.1.00'!AR$4="是",'102 5.1.00'!$AW$4,'102 5.1.00'!$AW$3)</f>
        <v>0</v>
      </c>
      <c r="J59" s="4">
        <f>(VLOOKUP('102 5.1.00'!Q59,'102 5.1.00'!$AL$4:$AN$55,2,FALSE))*IF('102 5.1.00'!AS$4="是",'102 5.1.00'!$AW$4,'102 5.1.00'!$AW$3)</f>
        <v>0</v>
      </c>
      <c r="K59" s="4">
        <f>(VLOOKUP('102 5.1.00'!R59,'102 5.1.00'!$AL$4:$AN$55,2,FALSE))*IF('102 5.1.00'!AT$4="是",'102 5.1.00'!$AW$4,'102 5.1.00'!$AW$3)</f>
        <v>0</v>
      </c>
      <c r="L59" s="4">
        <f>(VLOOKUP('102 5.1.00'!S59,'102 5.1.00'!$AL$4:$AN$55,2,FALSE))*IF('102 5.1.00'!AU$4="是",'102 5.1.00'!$AW$4,'102 5.1.00'!$AW$3)</f>
        <v>0</v>
      </c>
      <c r="M59" s="4">
        <f>(VLOOKUP('102 5.1.00'!T59,'102 5.1.00'!$AL$4:$AN$55,2,FALSE))*IF('102 5.1.00'!AV$4="是",'102 5.1.00'!$AW$4,'102 5.1.00'!$AW$3)</f>
        <v>0</v>
      </c>
      <c r="N59" s="4">
        <f>(VLOOKUP('102 5.1.00'!U59,'102 5.1.00'!$AL$4:$AN$55,2,FALSE))*IF('102 5.1.00'!AW$4="是",'102 5.1.00'!$AW$4,'102 5.1.00'!$AW$3)</f>
        <v>0</v>
      </c>
      <c r="O59" s="5">
        <f>(VLOOKUP('102 5.1.00'!V59,'102 5.1.00'!$AL$4:$AN$55,2,FALSE))*IF('102 5.1.00'!AX$4="是",'102 5.1.00'!$AW$4,'102 5.1.00'!$AW$3)</f>
        <v>0</v>
      </c>
      <c r="P59" s="5">
        <f>(VLOOKUP('102 5.1.00'!W59,'102 5.1.00'!$AL$4:$AN$55,2,FALSE))*IF('102 5.1.00'!AY$4="是",'102 5.1.00'!$AW$4,'102 5.1.00'!$AW$3)</f>
        <v>0</v>
      </c>
      <c r="Q59" s="4">
        <f>(VLOOKUP('102 5.1.00'!X59,'102 5.1.00'!$AL$4:$AN$55,2,FALSE))*IF('102 5.1.00'!AZ$4="是",'102 5.1.00'!$AW$4,'102 5.1.00'!$AW$3)</f>
        <v>0</v>
      </c>
      <c r="R59" s="4">
        <f>(VLOOKUP('102 5.1.00'!Y59,'102 5.1.00'!$AL$4:$AN$55,2,FALSE))*IF('102 5.1.00'!BA$4="是",'102 5.1.00'!$AW$4,'102 5.1.00'!$AW$3)</f>
        <v>0</v>
      </c>
      <c r="S59" s="4">
        <f>(VLOOKUP('102 5.1.00'!Z59,'102 5.1.00'!$AL$4:$AN$55,2,FALSE))*IF('102 5.1.00'!BB$4="是",'102 5.1.00'!$AW$4,'102 5.1.00'!$AW$3)</f>
        <v>0</v>
      </c>
      <c r="T59" s="4">
        <f>(VLOOKUP('102 5.1.00'!AA59,'102 5.1.00'!$AL$4:$AN$55,2,FALSE))*IF('102 5.1.00'!BC$4="是",'102 5.1.00'!$AW$4,'102 5.1.00'!$AW$3)</f>
        <v>0</v>
      </c>
      <c r="U59" s="4">
        <f>(VLOOKUP('102 5.1.00'!AB59,'102 5.1.00'!$AL$4:$AN$55,2,FALSE))*IF('102 5.1.00'!BD$4="是",'102 5.1.00'!$AW$4,'102 5.1.00'!$AW$3)</f>
        <v>0</v>
      </c>
      <c r="V59" s="4">
        <f>(VLOOKUP('102 5.1.00'!AC59,'102 5.1.00'!$AL$4:$AN$55,2,FALSE))*IF('102 5.1.00'!BE$4="是",'102 5.1.00'!$AW$4,'102 5.1.00'!$AW$3)</f>
        <v>0</v>
      </c>
      <c r="W59" s="5">
        <f>(VLOOKUP('102 5.1.00'!AD59,'102 5.1.00'!$AL$4:$AN$55,2,FALSE))*IF('102 5.1.00'!BF$4="是",'102 5.1.00'!$AW$4,'102 5.1.00'!$AW$3)</f>
        <v>0</v>
      </c>
      <c r="X59" s="5">
        <f>(VLOOKUP('102 5.1.00'!AE59,'102 5.1.00'!$AL$4:$AN$55,2,FALSE))*IF('102 5.1.00'!BG$4="是",'102 5.1.00'!$AW$4,'102 5.1.00'!$AW$3)</f>
        <v>0</v>
      </c>
    </row>
    <row r="60" spans="1:24">
      <c r="A60" s="4">
        <f>(VLOOKUP('102 5.1.00'!H60,'102 5.1.00'!$AL$4:$AN$55,2,FALSE))*IF('102 5.1.00'!AJ$4="是",'102 5.1.00'!$AW$4,'102 5.1.00'!$AW$3)</f>
        <v>0</v>
      </c>
      <c r="B60" s="4">
        <f>(VLOOKUP('102 5.1.00'!I60,'102 5.1.00'!$AL$4:$AN$55,2,FALSE))*IF('102 5.1.00'!AK$4="是",'102 5.1.00'!$AW$4,'102 5.1.00'!$AW$3)</f>
        <v>0</v>
      </c>
      <c r="C60" s="4">
        <f>(VLOOKUP('102 5.1.00'!J60,'102 5.1.00'!$AL$4:$AN$55,2,FALSE))*IF('102 5.1.00'!AL$4="是",'102 5.1.00'!$AW$4,'102 5.1.00'!$AW$3)</f>
        <v>0</v>
      </c>
      <c r="D60" s="4">
        <f>(VLOOKUP('102 5.1.00'!K60,'102 5.1.00'!$AL$4:$AN$55,2,FALSE))*IF('102 5.1.00'!AM$4="是",'102 5.1.00'!$AW$4,'102 5.1.00'!$AW$3)</f>
        <v>0</v>
      </c>
      <c r="E60" s="4">
        <f>(VLOOKUP('102 5.1.00'!L60,'102 5.1.00'!$AL$4:$AN$55,2,FALSE))*IF('102 5.1.00'!AN$4="是",'102 5.1.00'!$AW$4,'102 5.1.00'!$AW$3)</f>
        <v>0</v>
      </c>
      <c r="F60" s="4">
        <f>(VLOOKUP('102 5.1.00'!M60,'102 5.1.00'!$AL$4:$AN$55,2,FALSE))*IF('102 5.1.00'!AO$4="是",'102 5.1.00'!$AW$4,'102 5.1.00'!$AW$3)</f>
        <v>0</v>
      </c>
      <c r="G60" s="5">
        <f>(VLOOKUP('102 5.1.00'!N60,'102 5.1.00'!$AL$4:$AN$55,2,FALSE))*IF('102 5.1.00'!AP$4="是",'102 5.1.00'!$AW$4,'102 5.1.00'!$AW$3)</f>
        <v>0</v>
      </c>
      <c r="H60" s="5">
        <f>(VLOOKUP('102 5.1.00'!O60,'102 5.1.00'!$AL$4:$AN$55,2,FALSE))*IF('102 5.1.00'!AQ$4="是",'102 5.1.00'!$AW$4,'102 5.1.00'!$AW$3)</f>
        <v>0</v>
      </c>
      <c r="I60" s="4">
        <f>(VLOOKUP('102 5.1.00'!P60,'102 5.1.00'!$AL$4:$AN$55,2,FALSE))*IF('102 5.1.00'!AR$4="是",'102 5.1.00'!$AW$4,'102 5.1.00'!$AW$3)</f>
        <v>0</v>
      </c>
      <c r="J60" s="4">
        <f>(VLOOKUP('102 5.1.00'!Q60,'102 5.1.00'!$AL$4:$AN$55,2,FALSE))*IF('102 5.1.00'!AS$4="是",'102 5.1.00'!$AW$4,'102 5.1.00'!$AW$3)</f>
        <v>0</v>
      </c>
      <c r="K60" s="4">
        <f>(VLOOKUP('102 5.1.00'!R60,'102 5.1.00'!$AL$4:$AN$55,2,FALSE))*IF('102 5.1.00'!AT$4="是",'102 5.1.00'!$AW$4,'102 5.1.00'!$AW$3)</f>
        <v>0</v>
      </c>
      <c r="L60" s="4">
        <f>(VLOOKUP('102 5.1.00'!S60,'102 5.1.00'!$AL$4:$AN$55,2,FALSE))*IF('102 5.1.00'!AU$4="是",'102 5.1.00'!$AW$4,'102 5.1.00'!$AW$3)</f>
        <v>0</v>
      </c>
      <c r="M60" s="4">
        <f>(VLOOKUP('102 5.1.00'!T60,'102 5.1.00'!$AL$4:$AN$55,2,FALSE))*IF('102 5.1.00'!AV$4="是",'102 5.1.00'!$AW$4,'102 5.1.00'!$AW$3)</f>
        <v>0</v>
      </c>
      <c r="N60" s="4">
        <f>(VLOOKUP('102 5.1.00'!U60,'102 5.1.00'!$AL$4:$AN$55,2,FALSE))*IF('102 5.1.00'!AW$4="是",'102 5.1.00'!$AW$4,'102 5.1.00'!$AW$3)</f>
        <v>0</v>
      </c>
      <c r="O60" s="5">
        <f>(VLOOKUP('102 5.1.00'!V60,'102 5.1.00'!$AL$4:$AN$55,2,FALSE))*IF('102 5.1.00'!AX$4="是",'102 5.1.00'!$AW$4,'102 5.1.00'!$AW$3)</f>
        <v>0</v>
      </c>
      <c r="P60" s="5">
        <f>(VLOOKUP('102 5.1.00'!W60,'102 5.1.00'!$AL$4:$AN$55,2,FALSE))*IF('102 5.1.00'!AY$4="是",'102 5.1.00'!$AW$4,'102 5.1.00'!$AW$3)</f>
        <v>0</v>
      </c>
      <c r="Q60" s="4">
        <f>(VLOOKUP('102 5.1.00'!X60,'102 5.1.00'!$AL$4:$AN$55,2,FALSE))*IF('102 5.1.00'!AZ$4="是",'102 5.1.00'!$AW$4,'102 5.1.00'!$AW$3)</f>
        <v>0</v>
      </c>
      <c r="R60" s="4">
        <f>(VLOOKUP('102 5.1.00'!Y60,'102 5.1.00'!$AL$4:$AN$55,2,FALSE))*IF('102 5.1.00'!BA$4="是",'102 5.1.00'!$AW$4,'102 5.1.00'!$AW$3)</f>
        <v>0</v>
      </c>
      <c r="S60" s="4">
        <f>(VLOOKUP('102 5.1.00'!Z60,'102 5.1.00'!$AL$4:$AN$55,2,FALSE))*IF('102 5.1.00'!BB$4="是",'102 5.1.00'!$AW$4,'102 5.1.00'!$AW$3)</f>
        <v>0</v>
      </c>
      <c r="T60" s="4">
        <f>(VLOOKUP('102 5.1.00'!AA60,'102 5.1.00'!$AL$4:$AN$55,2,FALSE))*IF('102 5.1.00'!BC$4="是",'102 5.1.00'!$AW$4,'102 5.1.00'!$AW$3)</f>
        <v>0</v>
      </c>
      <c r="U60" s="4">
        <f>(VLOOKUP('102 5.1.00'!AB60,'102 5.1.00'!$AL$4:$AN$55,2,FALSE))*IF('102 5.1.00'!BD$4="是",'102 5.1.00'!$AW$4,'102 5.1.00'!$AW$3)</f>
        <v>0</v>
      </c>
      <c r="V60" s="4">
        <f>(VLOOKUP('102 5.1.00'!AC60,'102 5.1.00'!$AL$4:$AN$55,2,FALSE))*IF('102 5.1.00'!BE$4="是",'102 5.1.00'!$AW$4,'102 5.1.00'!$AW$3)</f>
        <v>0</v>
      </c>
      <c r="W60" s="5">
        <f>(VLOOKUP('102 5.1.00'!AD60,'102 5.1.00'!$AL$4:$AN$55,2,FALSE))*IF('102 5.1.00'!BF$4="是",'102 5.1.00'!$AW$4,'102 5.1.00'!$AW$3)</f>
        <v>0</v>
      </c>
      <c r="X60" s="5">
        <f>(VLOOKUP('102 5.1.00'!AE60,'102 5.1.00'!$AL$4:$AN$55,2,FALSE))*IF('102 5.1.00'!BG$4="是",'102 5.1.00'!$AW$4,'102 5.1.00'!$AW$3)</f>
        <v>0</v>
      </c>
    </row>
    <row r="61" spans="1:24">
      <c r="A61" s="4">
        <f>(VLOOKUP('102 5.1.00'!H61,'102 5.1.00'!$AL$4:$AN$55,2,FALSE))*IF('102 5.1.00'!AJ$4="是",'102 5.1.00'!$AW$4,'102 5.1.00'!$AW$3)</f>
        <v>0</v>
      </c>
      <c r="B61" s="4">
        <f>(VLOOKUP('102 5.1.00'!I61,'102 5.1.00'!$AL$4:$AN$55,2,FALSE))*IF('102 5.1.00'!AK$4="是",'102 5.1.00'!$AW$4,'102 5.1.00'!$AW$3)</f>
        <v>0</v>
      </c>
      <c r="C61" s="4">
        <f>(VLOOKUP('102 5.1.00'!J61,'102 5.1.00'!$AL$4:$AN$55,2,FALSE))*IF('102 5.1.00'!AL$4="是",'102 5.1.00'!$AW$4,'102 5.1.00'!$AW$3)</f>
        <v>0</v>
      </c>
      <c r="D61" s="4">
        <f>(VLOOKUP('102 5.1.00'!K61,'102 5.1.00'!$AL$4:$AN$55,2,FALSE))*IF('102 5.1.00'!AM$4="是",'102 5.1.00'!$AW$4,'102 5.1.00'!$AW$3)</f>
        <v>0</v>
      </c>
      <c r="E61" s="4">
        <f>(VLOOKUP('102 5.1.00'!L61,'102 5.1.00'!$AL$4:$AN$55,2,FALSE))*IF('102 5.1.00'!AN$4="是",'102 5.1.00'!$AW$4,'102 5.1.00'!$AW$3)</f>
        <v>0</v>
      </c>
      <c r="F61" s="4">
        <f>(VLOOKUP('102 5.1.00'!M61,'102 5.1.00'!$AL$4:$AN$55,2,FALSE))*IF('102 5.1.00'!AO$4="是",'102 5.1.00'!$AW$4,'102 5.1.00'!$AW$3)</f>
        <v>0</v>
      </c>
      <c r="G61" s="5">
        <f>(VLOOKUP('102 5.1.00'!N61,'102 5.1.00'!$AL$4:$AN$55,2,FALSE))*IF('102 5.1.00'!AP$4="是",'102 5.1.00'!$AW$4,'102 5.1.00'!$AW$3)</f>
        <v>0</v>
      </c>
      <c r="H61" s="5">
        <f>(VLOOKUP('102 5.1.00'!O61,'102 5.1.00'!$AL$4:$AN$55,2,FALSE))*IF('102 5.1.00'!AQ$4="是",'102 5.1.00'!$AW$4,'102 5.1.00'!$AW$3)</f>
        <v>0</v>
      </c>
      <c r="I61" s="4">
        <f>(VLOOKUP('102 5.1.00'!P61,'102 5.1.00'!$AL$4:$AN$55,2,FALSE))*IF('102 5.1.00'!AR$4="是",'102 5.1.00'!$AW$4,'102 5.1.00'!$AW$3)</f>
        <v>0</v>
      </c>
      <c r="J61" s="4">
        <f>(VLOOKUP('102 5.1.00'!Q61,'102 5.1.00'!$AL$4:$AN$55,2,FALSE))*IF('102 5.1.00'!AS$4="是",'102 5.1.00'!$AW$4,'102 5.1.00'!$AW$3)</f>
        <v>0</v>
      </c>
      <c r="K61" s="4">
        <f>(VLOOKUP('102 5.1.00'!R61,'102 5.1.00'!$AL$4:$AN$55,2,FALSE))*IF('102 5.1.00'!AT$4="是",'102 5.1.00'!$AW$4,'102 5.1.00'!$AW$3)</f>
        <v>0</v>
      </c>
      <c r="L61" s="4">
        <f>(VLOOKUP('102 5.1.00'!S61,'102 5.1.00'!$AL$4:$AN$55,2,FALSE))*IF('102 5.1.00'!AU$4="是",'102 5.1.00'!$AW$4,'102 5.1.00'!$AW$3)</f>
        <v>0</v>
      </c>
      <c r="M61" s="4">
        <f>(VLOOKUP('102 5.1.00'!T61,'102 5.1.00'!$AL$4:$AN$55,2,FALSE))*IF('102 5.1.00'!AV$4="是",'102 5.1.00'!$AW$4,'102 5.1.00'!$AW$3)</f>
        <v>0</v>
      </c>
      <c r="N61" s="4">
        <f>(VLOOKUP('102 5.1.00'!U61,'102 5.1.00'!$AL$4:$AN$55,2,FALSE))*IF('102 5.1.00'!AW$4="是",'102 5.1.00'!$AW$4,'102 5.1.00'!$AW$3)</f>
        <v>0</v>
      </c>
      <c r="O61" s="5">
        <f>(VLOOKUP('102 5.1.00'!V61,'102 5.1.00'!$AL$4:$AN$55,2,FALSE))*IF('102 5.1.00'!AX$4="是",'102 5.1.00'!$AW$4,'102 5.1.00'!$AW$3)</f>
        <v>0</v>
      </c>
      <c r="P61" s="5">
        <f>(VLOOKUP('102 5.1.00'!W61,'102 5.1.00'!$AL$4:$AN$55,2,FALSE))*IF('102 5.1.00'!AY$4="是",'102 5.1.00'!$AW$4,'102 5.1.00'!$AW$3)</f>
        <v>0</v>
      </c>
      <c r="Q61" s="4">
        <f>(VLOOKUP('102 5.1.00'!X61,'102 5.1.00'!$AL$4:$AN$55,2,FALSE))*IF('102 5.1.00'!AZ$4="是",'102 5.1.00'!$AW$4,'102 5.1.00'!$AW$3)</f>
        <v>0</v>
      </c>
      <c r="R61" s="4">
        <f>(VLOOKUP('102 5.1.00'!Y61,'102 5.1.00'!$AL$4:$AN$55,2,FALSE))*IF('102 5.1.00'!BA$4="是",'102 5.1.00'!$AW$4,'102 5.1.00'!$AW$3)</f>
        <v>0</v>
      </c>
      <c r="S61" s="4">
        <f>(VLOOKUP('102 5.1.00'!Z61,'102 5.1.00'!$AL$4:$AN$55,2,FALSE))*IF('102 5.1.00'!BB$4="是",'102 5.1.00'!$AW$4,'102 5.1.00'!$AW$3)</f>
        <v>0</v>
      </c>
      <c r="T61" s="4">
        <f>(VLOOKUP('102 5.1.00'!AA61,'102 5.1.00'!$AL$4:$AN$55,2,FALSE))*IF('102 5.1.00'!BC$4="是",'102 5.1.00'!$AW$4,'102 5.1.00'!$AW$3)</f>
        <v>0</v>
      </c>
      <c r="U61" s="4">
        <f>(VLOOKUP('102 5.1.00'!AB61,'102 5.1.00'!$AL$4:$AN$55,2,FALSE))*IF('102 5.1.00'!BD$4="是",'102 5.1.00'!$AW$4,'102 5.1.00'!$AW$3)</f>
        <v>0</v>
      </c>
      <c r="V61" s="4">
        <f>(VLOOKUP('102 5.1.00'!AC61,'102 5.1.00'!$AL$4:$AN$55,2,FALSE))*IF('102 5.1.00'!BE$4="是",'102 5.1.00'!$AW$4,'102 5.1.00'!$AW$3)</f>
        <v>0</v>
      </c>
      <c r="W61" s="5">
        <f>(VLOOKUP('102 5.1.00'!AD61,'102 5.1.00'!$AL$4:$AN$55,2,FALSE))*IF('102 5.1.00'!BF$4="是",'102 5.1.00'!$AW$4,'102 5.1.00'!$AW$3)</f>
        <v>0</v>
      </c>
      <c r="X61" s="5">
        <f>(VLOOKUP('102 5.1.00'!AE61,'102 5.1.00'!$AL$4:$AN$55,2,FALSE))*IF('102 5.1.00'!BG$4="是",'102 5.1.00'!$AW$4,'102 5.1.00'!$AW$3)</f>
        <v>0</v>
      </c>
    </row>
    <row r="62" spans="1:24">
      <c r="A62" s="4">
        <f>(VLOOKUP('102 5.1.00'!H62,'102 5.1.00'!$AL$4:$AN$55,2,FALSE))*IF('102 5.1.00'!AJ$4="是",'102 5.1.00'!$AW$4,'102 5.1.00'!$AW$3)</f>
        <v>0</v>
      </c>
      <c r="B62" s="4">
        <f>(VLOOKUP('102 5.1.00'!I62,'102 5.1.00'!$AL$4:$AN$55,2,FALSE))*IF('102 5.1.00'!AK$4="是",'102 5.1.00'!$AW$4,'102 5.1.00'!$AW$3)</f>
        <v>0</v>
      </c>
      <c r="C62" s="4">
        <f>(VLOOKUP('102 5.1.00'!J62,'102 5.1.00'!$AL$4:$AN$55,2,FALSE))*IF('102 5.1.00'!AL$4="是",'102 5.1.00'!$AW$4,'102 5.1.00'!$AW$3)</f>
        <v>0</v>
      </c>
      <c r="D62" s="4">
        <f>(VLOOKUP('102 5.1.00'!K62,'102 5.1.00'!$AL$4:$AN$55,2,FALSE))*IF('102 5.1.00'!AM$4="是",'102 5.1.00'!$AW$4,'102 5.1.00'!$AW$3)</f>
        <v>0</v>
      </c>
      <c r="E62" s="4">
        <f>(VLOOKUP('102 5.1.00'!L62,'102 5.1.00'!$AL$4:$AN$55,2,FALSE))*IF('102 5.1.00'!AN$4="是",'102 5.1.00'!$AW$4,'102 5.1.00'!$AW$3)</f>
        <v>0</v>
      </c>
      <c r="F62" s="4">
        <f>(VLOOKUP('102 5.1.00'!M62,'102 5.1.00'!$AL$4:$AN$55,2,FALSE))*IF('102 5.1.00'!AO$4="是",'102 5.1.00'!$AW$4,'102 5.1.00'!$AW$3)</f>
        <v>0</v>
      </c>
      <c r="G62" s="5">
        <f>(VLOOKUP('102 5.1.00'!N62,'102 5.1.00'!$AL$4:$AN$55,2,FALSE))*IF('102 5.1.00'!AP$4="是",'102 5.1.00'!$AW$4,'102 5.1.00'!$AW$3)</f>
        <v>0</v>
      </c>
      <c r="H62" s="5">
        <f>(VLOOKUP('102 5.1.00'!O62,'102 5.1.00'!$AL$4:$AN$55,2,FALSE))*IF('102 5.1.00'!AQ$4="是",'102 5.1.00'!$AW$4,'102 5.1.00'!$AW$3)</f>
        <v>0</v>
      </c>
      <c r="I62" s="4">
        <f>(VLOOKUP('102 5.1.00'!P62,'102 5.1.00'!$AL$4:$AN$55,2,FALSE))*IF('102 5.1.00'!AR$4="是",'102 5.1.00'!$AW$4,'102 5.1.00'!$AW$3)</f>
        <v>0</v>
      </c>
      <c r="J62" s="4">
        <f>(VLOOKUP('102 5.1.00'!Q62,'102 5.1.00'!$AL$4:$AN$55,2,FALSE))*IF('102 5.1.00'!AS$4="是",'102 5.1.00'!$AW$4,'102 5.1.00'!$AW$3)</f>
        <v>0</v>
      </c>
      <c r="K62" s="4">
        <f>(VLOOKUP('102 5.1.00'!R62,'102 5.1.00'!$AL$4:$AN$55,2,FALSE))*IF('102 5.1.00'!AT$4="是",'102 5.1.00'!$AW$4,'102 5.1.00'!$AW$3)</f>
        <v>0</v>
      </c>
      <c r="L62" s="4">
        <f>(VLOOKUP('102 5.1.00'!S62,'102 5.1.00'!$AL$4:$AN$55,2,FALSE))*IF('102 5.1.00'!AU$4="是",'102 5.1.00'!$AW$4,'102 5.1.00'!$AW$3)</f>
        <v>0</v>
      </c>
      <c r="M62" s="4">
        <f>(VLOOKUP('102 5.1.00'!T62,'102 5.1.00'!$AL$4:$AN$55,2,FALSE))*IF('102 5.1.00'!AV$4="是",'102 5.1.00'!$AW$4,'102 5.1.00'!$AW$3)</f>
        <v>0</v>
      </c>
      <c r="N62" s="4">
        <f>(VLOOKUP('102 5.1.00'!U62,'102 5.1.00'!$AL$4:$AN$55,2,FALSE))*IF('102 5.1.00'!AW$4="是",'102 5.1.00'!$AW$4,'102 5.1.00'!$AW$3)</f>
        <v>0</v>
      </c>
      <c r="O62" s="5">
        <f>(VLOOKUP('102 5.1.00'!V62,'102 5.1.00'!$AL$4:$AN$55,2,FALSE))*IF('102 5.1.00'!AX$4="是",'102 5.1.00'!$AW$4,'102 5.1.00'!$AW$3)</f>
        <v>0</v>
      </c>
      <c r="P62" s="5">
        <f>(VLOOKUP('102 5.1.00'!W62,'102 5.1.00'!$AL$4:$AN$55,2,FALSE))*IF('102 5.1.00'!AY$4="是",'102 5.1.00'!$AW$4,'102 5.1.00'!$AW$3)</f>
        <v>0</v>
      </c>
      <c r="Q62" s="4">
        <f>(VLOOKUP('102 5.1.00'!X62,'102 5.1.00'!$AL$4:$AN$55,2,FALSE))*IF('102 5.1.00'!AZ$4="是",'102 5.1.00'!$AW$4,'102 5.1.00'!$AW$3)</f>
        <v>0</v>
      </c>
      <c r="R62" s="4">
        <f>(VLOOKUP('102 5.1.00'!Y62,'102 5.1.00'!$AL$4:$AN$55,2,FALSE))*IF('102 5.1.00'!BA$4="是",'102 5.1.00'!$AW$4,'102 5.1.00'!$AW$3)</f>
        <v>0</v>
      </c>
      <c r="S62" s="4">
        <f>(VLOOKUP('102 5.1.00'!Z62,'102 5.1.00'!$AL$4:$AN$55,2,FALSE))*IF('102 5.1.00'!BB$4="是",'102 5.1.00'!$AW$4,'102 5.1.00'!$AW$3)</f>
        <v>0</v>
      </c>
      <c r="T62" s="4">
        <f>(VLOOKUP('102 5.1.00'!AA62,'102 5.1.00'!$AL$4:$AN$55,2,FALSE))*IF('102 5.1.00'!BC$4="是",'102 5.1.00'!$AW$4,'102 5.1.00'!$AW$3)</f>
        <v>0</v>
      </c>
      <c r="U62" s="4">
        <f>(VLOOKUP('102 5.1.00'!AB62,'102 5.1.00'!$AL$4:$AN$55,2,FALSE))*IF('102 5.1.00'!BD$4="是",'102 5.1.00'!$AW$4,'102 5.1.00'!$AW$3)</f>
        <v>0</v>
      </c>
      <c r="V62" s="4">
        <f>(VLOOKUP('102 5.1.00'!AC62,'102 5.1.00'!$AL$4:$AN$55,2,FALSE))*IF('102 5.1.00'!BE$4="是",'102 5.1.00'!$AW$4,'102 5.1.00'!$AW$3)</f>
        <v>0</v>
      </c>
      <c r="W62" s="5">
        <f>(VLOOKUP('102 5.1.00'!AD62,'102 5.1.00'!$AL$4:$AN$55,2,FALSE))*IF('102 5.1.00'!BF$4="是",'102 5.1.00'!$AW$4,'102 5.1.00'!$AW$3)</f>
        <v>0</v>
      </c>
      <c r="X62" s="5">
        <f>(VLOOKUP('102 5.1.00'!AE62,'102 5.1.00'!$AL$4:$AN$55,2,FALSE))*IF('102 5.1.00'!BG$4="是",'102 5.1.00'!$AW$4,'102 5.1.00'!$AW$3)</f>
        <v>0</v>
      </c>
    </row>
    <row r="63" spans="1:24">
      <c r="A63" s="4">
        <f>(VLOOKUP('102 5.1.00'!H63,'102 5.1.00'!$AL$4:$AN$55,2,FALSE))*IF('102 5.1.00'!AJ$4="是",'102 5.1.00'!$AW$4,'102 5.1.00'!$AW$3)</f>
        <v>0</v>
      </c>
      <c r="B63" s="4">
        <f>(VLOOKUP('102 5.1.00'!I63,'102 5.1.00'!$AL$4:$AN$55,2,FALSE))*IF('102 5.1.00'!AK$4="是",'102 5.1.00'!$AW$4,'102 5.1.00'!$AW$3)</f>
        <v>0</v>
      </c>
      <c r="C63" s="4">
        <f>(VLOOKUP('102 5.1.00'!J63,'102 5.1.00'!$AL$4:$AN$55,2,FALSE))*IF('102 5.1.00'!AL$4="是",'102 5.1.00'!$AW$4,'102 5.1.00'!$AW$3)</f>
        <v>0</v>
      </c>
      <c r="D63" s="4">
        <f>(VLOOKUP('102 5.1.00'!K63,'102 5.1.00'!$AL$4:$AN$55,2,FALSE))*IF('102 5.1.00'!AM$4="是",'102 5.1.00'!$AW$4,'102 5.1.00'!$AW$3)</f>
        <v>0</v>
      </c>
      <c r="E63" s="4">
        <f>(VLOOKUP('102 5.1.00'!L63,'102 5.1.00'!$AL$4:$AN$55,2,FALSE))*IF('102 5.1.00'!AN$4="是",'102 5.1.00'!$AW$4,'102 5.1.00'!$AW$3)</f>
        <v>0</v>
      </c>
      <c r="F63" s="4">
        <f>(VLOOKUP('102 5.1.00'!M63,'102 5.1.00'!$AL$4:$AN$55,2,FALSE))*IF('102 5.1.00'!AO$4="是",'102 5.1.00'!$AW$4,'102 5.1.00'!$AW$3)</f>
        <v>0</v>
      </c>
      <c r="G63" s="5">
        <f>(VLOOKUP('102 5.1.00'!N63,'102 5.1.00'!$AL$4:$AN$55,2,FALSE))*IF('102 5.1.00'!AP$4="是",'102 5.1.00'!$AW$4,'102 5.1.00'!$AW$3)</f>
        <v>0</v>
      </c>
      <c r="H63" s="5">
        <f>(VLOOKUP('102 5.1.00'!O63,'102 5.1.00'!$AL$4:$AN$55,2,FALSE))*IF('102 5.1.00'!AQ$4="是",'102 5.1.00'!$AW$4,'102 5.1.00'!$AW$3)</f>
        <v>0</v>
      </c>
      <c r="I63" s="4">
        <f>(VLOOKUP('102 5.1.00'!P63,'102 5.1.00'!$AL$4:$AN$55,2,FALSE))*IF('102 5.1.00'!AR$4="是",'102 5.1.00'!$AW$4,'102 5.1.00'!$AW$3)</f>
        <v>0</v>
      </c>
      <c r="J63" s="4">
        <f>(VLOOKUP('102 5.1.00'!Q63,'102 5.1.00'!$AL$4:$AN$55,2,FALSE))*IF('102 5.1.00'!AS$4="是",'102 5.1.00'!$AW$4,'102 5.1.00'!$AW$3)</f>
        <v>0</v>
      </c>
      <c r="K63" s="4">
        <f>(VLOOKUP('102 5.1.00'!R63,'102 5.1.00'!$AL$4:$AN$55,2,FALSE))*IF('102 5.1.00'!AT$4="是",'102 5.1.00'!$AW$4,'102 5.1.00'!$AW$3)</f>
        <v>0</v>
      </c>
      <c r="L63" s="4">
        <f>(VLOOKUP('102 5.1.00'!S63,'102 5.1.00'!$AL$4:$AN$55,2,FALSE))*IF('102 5.1.00'!AU$4="是",'102 5.1.00'!$AW$4,'102 5.1.00'!$AW$3)</f>
        <v>0</v>
      </c>
      <c r="M63" s="4">
        <f>(VLOOKUP('102 5.1.00'!T63,'102 5.1.00'!$AL$4:$AN$55,2,FALSE))*IF('102 5.1.00'!AV$4="是",'102 5.1.00'!$AW$4,'102 5.1.00'!$AW$3)</f>
        <v>0</v>
      </c>
      <c r="N63" s="4">
        <f>(VLOOKUP('102 5.1.00'!U63,'102 5.1.00'!$AL$4:$AN$55,2,FALSE))*IF('102 5.1.00'!AW$4="是",'102 5.1.00'!$AW$4,'102 5.1.00'!$AW$3)</f>
        <v>0</v>
      </c>
      <c r="O63" s="5">
        <f>(VLOOKUP('102 5.1.00'!V63,'102 5.1.00'!$AL$4:$AN$55,2,FALSE))*IF('102 5.1.00'!AX$4="是",'102 5.1.00'!$AW$4,'102 5.1.00'!$AW$3)</f>
        <v>0</v>
      </c>
      <c r="P63" s="5">
        <f>(VLOOKUP('102 5.1.00'!W63,'102 5.1.00'!$AL$4:$AN$55,2,FALSE))*IF('102 5.1.00'!AY$4="是",'102 5.1.00'!$AW$4,'102 5.1.00'!$AW$3)</f>
        <v>0</v>
      </c>
      <c r="Q63" s="4">
        <f>(VLOOKUP('102 5.1.00'!X63,'102 5.1.00'!$AL$4:$AN$55,2,FALSE))*IF('102 5.1.00'!AZ$4="是",'102 5.1.00'!$AW$4,'102 5.1.00'!$AW$3)</f>
        <v>0</v>
      </c>
      <c r="R63" s="4">
        <f>(VLOOKUP('102 5.1.00'!Y63,'102 5.1.00'!$AL$4:$AN$55,2,FALSE))*IF('102 5.1.00'!BA$4="是",'102 5.1.00'!$AW$4,'102 5.1.00'!$AW$3)</f>
        <v>0</v>
      </c>
      <c r="S63" s="4">
        <f>(VLOOKUP('102 5.1.00'!Z63,'102 5.1.00'!$AL$4:$AN$55,2,FALSE))*IF('102 5.1.00'!BB$4="是",'102 5.1.00'!$AW$4,'102 5.1.00'!$AW$3)</f>
        <v>0</v>
      </c>
      <c r="T63" s="4">
        <f>(VLOOKUP('102 5.1.00'!AA63,'102 5.1.00'!$AL$4:$AN$55,2,FALSE))*IF('102 5.1.00'!BC$4="是",'102 5.1.00'!$AW$4,'102 5.1.00'!$AW$3)</f>
        <v>0</v>
      </c>
      <c r="U63" s="4">
        <f>(VLOOKUP('102 5.1.00'!AB63,'102 5.1.00'!$AL$4:$AN$55,2,FALSE))*IF('102 5.1.00'!BD$4="是",'102 5.1.00'!$AW$4,'102 5.1.00'!$AW$3)</f>
        <v>0</v>
      </c>
      <c r="V63" s="4">
        <f>(VLOOKUP('102 5.1.00'!AC63,'102 5.1.00'!$AL$4:$AN$55,2,FALSE))*IF('102 5.1.00'!BE$4="是",'102 5.1.00'!$AW$4,'102 5.1.00'!$AW$3)</f>
        <v>0</v>
      </c>
      <c r="W63" s="5">
        <f>(VLOOKUP('102 5.1.00'!AD63,'102 5.1.00'!$AL$4:$AN$55,2,FALSE))*IF('102 5.1.00'!BF$4="是",'102 5.1.00'!$AW$4,'102 5.1.00'!$AW$3)</f>
        <v>0</v>
      </c>
      <c r="X63" s="5">
        <f>(VLOOKUP('102 5.1.00'!AE63,'102 5.1.00'!$AL$4:$AN$55,2,FALSE))*IF('102 5.1.00'!BG$4="是",'102 5.1.00'!$AW$4,'102 5.1.00'!$AW$3)</f>
        <v>0</v>
      </c>
    </row>
    <row r="64" spans="1:24">
      <c r="A64" s="4">
        <f>(VLOOKUP('102 5.1.00'!H64,'102 5.1.00'!$AL$4:$AN$55,2,FALSE))*IF('102 5.1.00'!AJ$4="是",'102 5.1.00'!$AW$4,'102 5.1.00'!$AW$3)</f>
        <v>0</v>
      </c>
      <c r="B64" s="4">
        <f>(VLOOKUP('102 5.1.00'!I64,'102 5.1.00'!$AL$4:$AN$55,2,FALSE))*IF('102 5.1.00'!AK$4="是",'102 5.1.00'!$AW$4,'102 5.1.00'!$AW$3)</f>
        <v>0</v>
      </c>
      <c r="C64" s="4">
        <f>(VLOOKUP('102 5.1.00'!J64,'102 5.1.00'!$AL$4:$AN$55,2,FALSE))*IF('102 5.1.00'!AL$4="是",'102 5.1.00'!$AW$4,'102 5.1.00'!$AW$3)</f>
        <v>0</v>
      </c>
      <c r="D64" s="4">
        <f>(VLOOKUP('102 5.1.00'!K64,'102 5.1.00'!$AL$4:$AN$55,2,FALSE))*IF('102 5.1.00'!AM$4="是",'102 5.1.00'!$AW$4,'102 5.1.00'!$AW$3)</f>
        <v>0</v>
      </c>
      <c r="E64" s="4">
        <f>(VLOOKUP('102 5.1.00'!L64,'102 5.1.00'!$AL$4:$AN$55,2,FALSE))*IF('102 5.1.00'!AN$4="是",'102 5.1.00'!$AW$4,'102 5.1.00'!$AW$3)</f>
        <v>0</v>
      </c>
      <c r="F64" s="4">
        <f>(VLOOKUP('102 5.1.00'!M64,'102 5.1.00'!$AL$4:$AN$55,2,FALSE))*IF('102 5.1.00'!AO$4="是",'102 5.1.00'!$AW$4,'102 5.1.00'!$AW$3)</f>
        <v>0</v>
      </c>
      <c r="G64" s="5">
        <f>(VLOOKUP('102 5.1.00'!N64,'102 5.1.00'!$AL$4:$AN$55,2,FALSE))*IF('102 5.1.00'!AP$4="是",'102 5.1.00'!$AW$4,'102 5.1.00'!$AW$3)</f>
        <v>0</v>
      </c>
      <c r="H64" s="5">
        <f>(VLOOKUP('102 5.1.00'!O64,'102 5.1.00'!$AL$4:$AN$55,2,FALSE))*IF('102 5.1.00'!AQ$4="是",'102 5.1.00'!$AW$4,'102 5.1.00'!$AW$3)</f>
        <v>0</v>
      </c>
      <c r="I64" s="4">
        <f>(VLOOKUP('102 5.1.00'!P64,'102 5.1.00'!$AL$4:$AN$55,2,FALSE))*IF('102 5.1.00'!AR$4="是",'102 5.1.00'!$AW$4,'102 5.1.00'!$AW$3)</f>
        <v>0</v>
      </c>
      <c r="J64" s="4">
        <f>(VLOOKUP('102 5.1.00'!Q64,'102 5.1.00'!$AL$4:$AN$55,2,FALSE))*IF('102 5.1.00'!AS$4="是",'102 5.1.00'!$AW$4,'102 5.1.00'!$AW$3)</f>
        <v>0</v>
      </c>
      <c r="K64" s="4">
        <f>(VLOOKUP('102 5.1.00'!R64,'102 5.1.00'!$AL$4:$AN$55,2,FALSE))*IF('102 5.1.00'!AT$4="是",'102 5.1.00'!$AW$4,'102 5.1.00'!$AW$3)</f>
        <v>0</v>
      </c>
      <c r="L64" s="4">
        <f>(VLOOKUP('102 5.1.00'!S64,'102 5.1.00'!$AL$4:$AN$55,2,FALSE))*IF('102 5.1.00'!AU$4="是",'102 5.1.00'!$AW$4,'102 5.1.00'!$AW$3)</f>
        <v>0</v>
      </c>
      <c r="M64" s="4">
        <f>(VLOOKUP('102 5.1.00'!T64,'102 5.1.00'!$AL$4:$AN$55,2,FALSE))*IF('102 5.1.00'!AV$4="是",'102 5.1.00'!$AW$4,'102 5.1.00'!$AW$3)</f>
        <v>0</v>
      </c>
      <c r="N64" s="4">
        <f>(VLOOKUP('102 5.1.00'!U64,'102 5.1.00'!$AL$4:$AN$55,2,FALSE))*IF('102 5.1.00'!AW$4="是",'102 5.1.00'!$AW$4,'102 5.1.00'!$AW$3)</f>
        <v>0</v>
      </c>
      <c r="O64" s="5">
        <f>(VLOOKUP('102 5.1.00'!V64,'102 5.1.00'!$AL$4:$AN$55,2,FALSE))*IF('102 5.1.00'!AX$4="是",'102 5.1.00'!$AW$4,'102 5.1.00'!$AW$3)</f>
        <v>0</v>
      </c>
      <c r="P64" s="5">
        <f>(VLOOKUP('102 5.1.00'!W64,'102 5.1.00'!$AL$4:$AN$55,2,FALSE))*IF('102 5.1.00'!AY$4="是",'102 5.1.00'!$AW$4,'102 5.1.00'!$AW$3)</f>
        <v>0</v>
      </c>
      <c r="Q64" s="4">
        <f>(VLOOKUP('102 5.1.00'!X64,'102 5.1.00'!$AL$4:$AN$55,2,FALSE))*IF('102 5.1.00'!AZ$4="是",'102 5.1.00'!$AW$4,'102 5.1.00'!$AW$3)</f>
        <v>0</v>
      </c>
      <c r="R64" s="4">
        <f>(VLOOKUP('102 5.1.00'!Y64,'102 5.1.00'!$AL$4:$AN$55,2,FALSE))*IF('102 5.1.00'!BA$4="是",'102 5.1.00'!$AW$4,'102 5.1.00'!$AW$3)</f>
        <v>0</v>
      </c>
      <c r="S64" s="4">
        <f>(VLOOKUP('102 5.1.00'!Z64,'102 5.1.00'!$AL$4:$AN$55,2,FALSE))*IF('102 5.1.00'!BB$4="是",'102 5.1.00'!$AW$4,'102 5.1.00'!$AW$3)</f>
        <v>0</v>
      </c>
      <c r="T64" s="4">
        <f>(VLOOKUP('102 5.1.00'!AA64,'102 5.1.00'!$AL$4:$AN$55,2,FALSE))*IF('102 5.1.00'!BC$4="是",'102 5.1.00'!$AW$4,'102 5.1.00'!$AW$3)</f>
        <v>0</v>
      </c>
      <c r="U64" s="4">
        <f>(VLOOKUP('102 5.1.00'!AB64,'102 5.1.00'!$AL$4:$AN$55,2,FALSE))*IF('102 5.1.00'!BD$4="是",'102 5.1.00'!$AW$4,'102 5.1.00'!$AW$3)</f>
        <v>0</v>
      </c>
      <c r="V64" s="4">
        <f>(VLOOKUP('102 5.1.00'!AC64,'102 5.1.00'!$AL$4:$AN$55,2,FALSE))*IF('102 5.1.00'!BE$4="是",'102 5.1.00'!$AW$4,'102 5.1.00'!$AW$3)</f>
        <v>0</v>
      </c>
      <c r="W64" s="5">
        <f>(VLOOKUP('102 5.1.00'!AD64,'102 5.1.00'!$AL$4:$AN$55,2,FALSE))*IF('102 5.1.00'!BF$4="是",'102 5.1.00'!$AW$4,'102 5.1.00'!$AW$3)</f>
        <v>0</v>
      </c>
      <c r="X64" s="5">
        <f>(VLOOKUP('102 5.1.00'!AE64,'102 5.1.00'!$AL$4:$AN$55,2,FALSE))*IF('102 5.1.00'!BG$4="是",'102 5.1.00'!$AW$4,'102 5.1.00'!$AW$3)</f>
        <v>0</v>
      </c>
    </row>
    <row r="65" spans="1:24">
      <c r="A65" s="4">
        <f>(VLOOKUP('102 5.1.00'!H65,'102 5.1.00'!$AL$4:$AN$55,2,FALSE))*IF('102 5.1.00'!AJ$4="是",'102 5.1.00'!$AW$4,'102 5.1.00'!$AW$3)</f>
        <v>0</v>
      </c>
      <c r="B65" s="4">
        <f>(VLOOKUP('102 5.1.00'!I65,'102 5.1.00'!$AL$4:$AN$55,2,FALSE))*IF('102 5.1.00'!AK$4="是",'102 5.1.00'!$AW$4,'102 5.1.00'!$AW$3)</f>
        <v>0</v>
      </c>
      <c r="C65" s="4">
        <f>(VLOOKUP('102 5.1.00'!J65,'102 5.1.00'!$AL$4:$AN$55,2,FALSE))*IF('102 5.1.00'!AL$4="是",'102 5.1.00'!$AW$4,'102 5.1.00'!$AW$3)</f>
        <v>0</v>
      </c>
      <c r="D65" s="4">
        <f>(VLOOKUP('102 5.1.00'!K65,'102 5.1.00'!$AL$4:$AN$55,2,FALSE))*IF('102 5.1.00'!AM$4="是",'102 5.1.00'!$AW$4,'102 5.1.00'!$AW$3)</f>
        <v>0</v>
      </c>
      <c r="E65" s="4">
        <f>(VLOOKUP('102 5.1.00'!L65,'102 5.1.00'!$AL$4:$AN$55,2,FALSE))*IF('102 5.1.00'!AN$4="是",'102 5.1.00'!$AW$4,'102 5.1.00'!$AW$3)</f>
        <v>0</v>
      </c>
      <c r="F65" s="4">
        <f>(VLOOKUP('102 5.1.00'!M65,'102 5.1.00'!$AL$4:$AN$55,2,FALSE))*IF('102 5.1.00'!AO$4="是",'102 5.1.00'!$AW$4,'102 5.1.00'!$AW$3)</f>
        <v>0</v>
      </c>
      <c r="G65" s="5">
        <f>(VLOOKUP('102 5.1.00'!N65,'102 5.1.00'!$AL$4:$AN$55,2,FALSE))*IF('102 5.1.00'!AP$4="是",'102 5.1.00'!$AW$4,'102 5.1.00'!$AW$3)</f>
        <v>0</v>
      </c>
      <c r="H65" s="5">
        <f>(VLOOKUP('102 5.1.00'!O65,'102 5.1.00'!$AL$4:$AN$55,2,FALSE))*IF('102 5.1.00'!AQ$4="是",'102 5.1.00'!$AW$4,'102 5.1.00'!$AW$3)</f>
        <v>0</v>
      </c>
      <c r="I65" s="4">
        <f>(VLOOKUP('102 5.1.00'!P65,'102 5.1.00'!$AL$4:$AN$55,2,FALSE))*IF('102 5.1.00'!AR$4="是",'102 5.1.00'!$AW$4,'102 5.1.00'!$AW$3)</f>
        <v>0</v>
      </c>
      <c r="J65" s="4">
        <f>(VLOOKUP('102 5.1.00'!Q65,'102 5.1.00'!$AL$4:$AN$55,2,FALSE))*IF('102 5.1.00'!AS$4="是",'102 5.1.00'!$AW$4,'102 5.1.00'!$AW$3)</f>
        <v>0</v>
      </c>
      <c r="K65" s="4">
        <f>(VLOOKUP('102 5.1.00'!R65,'102 5.1.00'!$AL$4:$AN$55,2,FALSE))*IF('102 5.1.00'!AT$4="是",'102 5.1.00'!$AW$4,'102 5.1.00'!$AW$3)</f>
        <v>0</v>
      </c>
      <c r="L65" s="4">
        <f>(VLOOKUP('102 5.1.00'!S65,'102 5.1.00'!$AL$4:$AN$55,2,FALSE))*IF('102 5.1.00'!AU$4="是",'102 5.1.00'!$AW$4,'102 5.1.00'!$AW$3)</f>
        <v>0</v>
      </c>
      <c r="M65" s="4">
        <f>(VLOOKUP('102 5.1.00'!T65,'102 5.1.00'!$AL$4:$AN$55,2,FALSE))*IF('102 5.1.00'!AV$4="是",'102 5.1.00'!$AW$4,'102 5.1.00'!$AW$3)</f>
        <v>0</v>
      </c>
      <c r="N65" s="4">
        <f>(VLOOKUP('102 5.1.00'!U65,'102 5.1.00'!$AL$4:$AN$55,2,FALSE))*IF('102 5.1.00'!AW$4="是",'102 5.1.00'!$AW$4,'102 5.1.00'!$AW$3)</f>
        <v>0</v>
      </c>
      <c r="O65" s="5">
        <f>(VLOOKUP('102 5.1.00'!V65,'102 5.1.00'!$AL$4:$AN$55,2,FALSE))*IF('102 5.1.00'!AX$4="是",'102 5.1.00'!$AW$4,'102 5.1.00'!$AW$3)</f>
        <v>0</v>
      </c>
      <c r="P65" s="5">
        <f>(VLOOKUP('102 5.1.00'!W65,'102 5.1.00'!$AL$4:$AN$55,2,FALSE))*IF('102 5.1.00'!AY$4="是",'102 5.1.00'!$AW$4,'102 5.1.00'!$AW$3)</f>
        <v>0</v>
      </c>
      <c r="Q65" s="4">
        <f>(VLOOKUP('102 5.1.00'!X65,'102 5.1.00'!$AL$4:$AN$55,2,FALSE))*IF('102 5.1.00'!AZ$4="是",'102 5.1.00'!$AW$4,'102 5.1.00'!$AW$3)</f>
        <v>0</v>
      </c>
      <c r="R65" s="4">
        <f>(VLOOKUP('102 5.1.00'!Y65,'102 5.1.00'!$AL$4:$AN$55,2,FALSE))*IF('102 5.1.00'!BA$4="是",'102 5.1.00'!$AW$4,'102 5.1.00'!$AW$3)</f>
        <v>0</v>
      </c>
      <c r="S65" s="4">
        <f>(VLOOKUP('102 5.1.00'!Z65,'102 5.1.00'!$AL$4:$AN$55,2,FALSE))*IF('102 5.1.00'!BB$4="是",'102 5.1.00'!$AW$4,'102 5.1.00'!$AW$3)</f>
        <v>0</v>
      </c>
      <c r="T65" s="4">
        <f>(VLOOKUP('102 5.1.00'!AA65,'102 5.1.00'!$AL$4:$AN$55,2,FALSE))*IF('102 5.1.00'!BC$4="是",'102 5.1.00'!$AW$4,'102 5.1.00'!$AW$3)</f>
        <v>0</v>
      </c>
      <c r="U65" s="4">
        <f>(VLOOKUP('102 5.1.00'!AB65,'102 5.1.00'!$AL$4:$AN$55,2,FALSE))*IF('102 5.1.00'!BD$4="是",'102 5.1.00'!$AW$4,'102 5.1.00'!$AW$3)</f>
        <v>0</v>
      </c>
      <c r="V65" s="4">
        <f>(VLOOKUP('102 5.1.00'!AC65,'102 5.1.00'!$AL$4:$AN$55,2,FALSE))*IF('102 5.1.00'!BE$4="是",'102 5.1.00'!$AW$4,'102 5.1.00'!$AW$3)</f>
        <v>0</v>
      </c>
      <c r="W65" s="5">
        <f>(VLOOKUP('102 5.1.00'!AD65,'102 5.1.00'!$AL$4:$AN$55,2,FALSE))*IF('102 5.1.00'!BF$4="是",'102 5.1.00'!$AW$4,'102 5.1.00'!$AW$3)</f>
        <v>0</v>
      </c>
      <c r="X65" s="5">
        <f>(VLOOKUP('102 5.1.00'!AE65,'102 5.1.00'!$AL$4:$AN$55,2,FALSE))*IF('102 5.1.00'!BG$4="是",'102 5.1.00'!$AW$4,'102 5.1.00'!$AW$3)</f>
        <v>0</v>
      </c>
    </row>
    <row r="66" spans="1:24">
      <c r="A66" s="4">
        <f>(VLOOKUP('102 5.1.00'!H66,'102 5.1.00'!$AL$4:$AN$55,2,FALSE))*IF('102 5.1.00'!AJ$4="是",'102 5.1.00'!$AW$4,'102 5.1.00'!$AW$3)</f>
        <v>0</v>
      </c>
      <c r="B66" s="4">
        <f>(VLOOKUP('102 5.1.00'!I66,'102 5.1.00'!$AL$4:$AN$55,2,FALSE))*IF('102 5.1.00'!AK$4="是",'102 5.1.00'!$AW$4,'102 5.1.00'!$AW$3)</f>
        <v>0</v>
      </c>
      <c r="C66" s="4">
        <f>(VLOOKUP('102 5.1.00'!J66,'102 5.1.00'!$AL$4:$AN$55,2,FALSE))*IF('102 5.1.00'!AL$4="是",'102 5.1.00'!$AW$4,'102 5.1.00'!$AW$3)</f>
        <v>0</v>
      </c>
      <c r="D66" s="4">
        <f>(VLOOKUP('102 5.1.00'!K66,'102 5.1.00'!$AL$4:$AN$55,2,FALSE))*IF('102 5.1.00'!AM$4="是",'102 5.1.00'!$AW$4,'102 5.1.00'!$AW$3)</f>
        <v>0</v>
      </c>
      <c r="E66" s="4">
        <f>(VLOOKUP('102 5.1.00'!L66,'102 5.1.00'!$AL$4:$AN$55,2,FALSE))*IF('102 5.1.00'!AN$4="是",'102 5.1.00'!$AW$4,'102 5.1.00'!$AW$3)</f>
        <v>0</v>
      </c>
      <c r="F66" s="4">
        <f>(VLOOKUP('102 5.1.00'!M66,'102 5.1.00'!$AL$4:$AN$55,2,FALSE))*IF('102 5.1.00'!AO$4="是",'102 5.1.00'!$AW$4,'102 5.1.00'!$AW$3)</f>
        <v>0</v>
      </c>
      <c r="G66" s="5">
        <f>(VLOOKUP('102 5.1.00'!N66,'102 5.1.00'!$AL$4:$AN$55,2,FALSE))*IF('102 5.1.00'!AP$4="是",'102 5.1.00'!$AW$4,'102 5.1.00'!$AW$3)</f>
        <v>0</v>
      </c>
      <c r="H66" s="5">
        <f>(VLOOKUP('102 5.1.00'!O66,'102 5.1.00'!$AL$4:$AN$55,2,FALSE))*IF('102 5.1.00'!AQ$4="是",'102 5.1.00'!$AW$4,'102 5.1.00'!$AW$3)</f>
        <v>0</v>
      </c>
      <c r="I66" s="4">
        <f>(VLOOKUP('102 5.1.00'!P66,'102 5.1.00'!$AL$4:$AN$55,2,FALSE))*IF('102 5.1.00'!AR$4="是",'102 5.1.00'!$AW$4,'102 5.1.00'!$AW$3)</f>
        <v>0</v>
      </c>
      <c r="J66" s="4">
        <f>(VLOOKUP('102 5.1.00'!Q66,'102 5.1.00'!$AL$4:$AN$55,2,FALSE))*IF('102 5.1.00'!AS$4="是",'102 5.1.00'!$AW$4,'102 5.1.00'!$AW$3)</f>
        <v>0</v>
      </c>
      <c r="K66" s="4">
        <f>(VLOOKUP('102 5.1.00'!R66,'102 5.1.00'!$AL$4:$AN$55,2,FALSE))*IF('102 5.1.00'!AT$4="是",'102 5.1.00'!$AW$4,'102 5.1.00'!$AW$3)</f>
        <v>0</v>
      </c>
      <c r="L66" s="4">
        <f>(VLOOKUP('102 5.1.00'!S66,'102 5.1.00'!$AL$4:$AN$55,2,FALSE))*IF('102 5.1.00'!AU$4="是",'102 5.1.00'!$AW$4,'102 5.1.00'!$AW$3)</f>
        <v>0</v>
      </c>
      <c r="M66" s="4">
        <f>(VLOOKUP('102 5.1.00'!T66,'102 5.1.00'!$AL$4:$AN$55,2,FALSE))*IF('102 5.1.00'!AV$4="是",'102 5.1.00'!$AW$4,'102 5.1.00'!$AW$3)</f>
        <v>0</v>
      </c>
      <c r="N66" s="4">
        <f>(VLOOKUP('102 5.1.00'!U66,'102 5.1.00'!$AL$4:$AN$55,2,FALSE))*IF('102 5.1.00'!AW$4="是",'102 5.1.00'!$AW$4,'102 5.1.00'!$AW$3)</f>
        <v>0</v>
      </c>
      <c r="O66" s="5">
        <f>(VLOOKUP('102 5.1.00'!V66,'102 5.1.00'!$AL$4:$AN$55,2,FALSE))*IF('102 5.1.00'!AX$4="是",'102 5.1.00'!$AW$4,'102 5.1.00'!$AW$3)</f>
        <v>0</v>
      </c>
      <c r="P66" s="5">
        <f>(VLOOKUP('102 5.1.00'!W66,'102 5.1.00'!$AL$4:$AN$55,2,FALSE))*IF('102 5.1.00'!AY$4="是",'102 5.1.00'!$AW$4,'102 5.1.00'!$AW$3)</f>
        <v>0</v>
      </c>
      <c r="Q66" s="4">
        <f>(VLOOKUP('102 5.1.00'!X66,'102 5.1.00'!$AL$4:$AN$55,2,FALSE))*IF('102 5.1.00'!AZ$4="是",'102 5.1.00'!$AW$4,'102 5.1.00'!$AW$3)</f>
        <v>0</v>
      </c>
      <c r="R66" s="4">
        <f>(VLOOKUP('102 5.1.00'!Y66,'102 5.1.00'!$AL$4:$AN$55,2,FALSE))*IF('102 5.1.00'!BA$4="是",'102 5.1.00'!$AW$4,'102 5.1.00'!$AW$3)</f>
        <v>0</v>
      </c>
      <c r="S66" s="4">
        <f>(VLOOKUP('102 5.1.00'!Z66,'102 5.1.00'!$AL$4:$AN$55,2,FALSE))*IF('102 5.1.00'!BB$4="是",'102 5.1.00'!$AW$4,'102 5.1.00'!$AW$3)</f>
        <v>0</v>
      </c>
      <c r="T66" s="4">
        <f>(VLOOKUP('102 5.1.00'!AA66,'102 5.1.00'!$AL$4:$AN$55,2,FALSE))*IF('102 5.1.00'!BC$4="是",'102 5.1.00'!$AW$4,'102 5.1.00'!$AW$3)</f>
        <v>0</v>
      </c>
      <c r="U66" s="4">
        <f>(VLOOKUP('102 5.1.00'!AB66,'102 5.1.00'!$AL$4:$AN$55,2,FALSE))*IF('102 5.1.00'!BD$4="是",'102 5.1.00'!$AW$4,'102 5.1.00'!$AW$3)</f>
        <v>0</v>
      </c>
      <c r="V66" s="4">
        <f>(VLOOKUP('102 5.1.00'!AC66,'102 5.1.00'!$AL$4:$AN$55,2,FALSE))*IF('102 5.1.00'!BE$4="是",'102 5.1.00'!$AW$4,'102 5.1.00'!$AW$3)</f>
        <v>0</v>
      </c>
      <c r="W66" s="5">
        <f>(VLOOKUP('102 5.1.00'!AD66,'102 5.1.00'!$AL$4:$AN$55,2,FALSE))*IF('102 5.1.00'!BF$4="是",'102 5.1.00'!$AW$4,'102 5.1.00'!$AW$3)</f>
        <v>0</v>
      </c>
      <c r="X66" s="5">
        <f>(VLOOKUP('102 5.1.00'!AE66,'102 5.1.00'!$AL$4:$AN$55,2,FALSE))*IF('102 5.1.00'!BG$4="是",'102 5.1.00'!$AW$4,'102 5.1.00'!$AW$3)</f>
        <v>0</v>
      </c>
    </row>
    <row r="67" spans="1:24">
      <c r="A67" s="4">
        <f>(VLOOKUP('102 5.1.00'!H67,'102 5.1.00'!$AL$4:$AN$55,2,FALSE))*IF('102 5.1.00'!AJ$4="是",'102 5.1.00'!$AW$4,'102 5.1.00'!$AW$3)</f>
        <v>0</v>
      </c>
      <c r="B67" s="4">
        <f>(VLOOKUP('102 5.1.00'!I67,'102 5.1.00'!$AL$4:$AN$55,2,FALSE))*IF('102 5.1.00'!AK$4="是",'102 5.1.00'!$AW$4,'102 5.1.00'!$AW$3)</f>
        <v>0</v>
      </c>
      <c r="C67" s="4">
        <f>(VLOOKUP('102 5.1.00'!J67,'102 5.1.00'!$AL$4:$AN$55,2,FALSE))*IF('102 5.1.00'!AL$4="是",'102 5.1.00'!$AW$4,'102 5.1.00'!$AW$3)</f>
        <v>0</v>
      </c>
      <c r="D67" s="4">
        <f>(VLOOKUP('102 5.1.00'!K67,'102 5.1.00'!$AL$4:$AN$55,2,FALSE))*IF('102 5.1.00'!AM$4="是",'102 5.1.00'!$AW$4,'102 5.1.00'!$AW$3)</f>
        <v>0</v>
      </c>
      <c r="E67" s="4">
        <f>(VLOOKUP('102 5.1.00'!L67,'102 5.1.00'!$AL$4:$AN$55,2,FALSE))*IF('102 5.1.00'!AN$4="是",'102 5.1.00'!$AW$4,'102 5.1.00'!$AW$3)</f>
        <v>0</v>
      </c>
      <c r="F67" s="4">
        <f>(VLOOKUP('102 5.1.00'!M67,'102 5.1.00'!$AL$4:$AN$55,2,FALSE))*IF('102 5.1.00'!AO$4="是",'102 5.1.00'!$AW$4,'102 5.1.00'!$AW$3)</f>
        <v>0</v>
      </c>
      <c r="G67" s="5">
        <f>(VLOOKUP('102 5.1.00'!N67,'102 5.1.00'!$AL$4:$AN$55,2,FALSE))*IF('102 5.1.00'!AP$4="是",'102 5.1.00'!$AW$4,'102 5.1.00'!$AW$3)</f>
        <v>0</v>
      </c>
      <c r="H67" s="5">
        <f>(VLOOKUP('102 5.1.00'!O67,'102 5.1.00'!$AL$4:$AN$55,2,FALSE))*IF('102 5.1.00'!AQ$4="是",'102 5.1.00'!$AW$4,'102 5.1.00'!$AW$3)</f>
        <v>0</v>
      </c>
      <c r="I67" s="4">
        <f>(VLOOKUP('102 5.1.00'!P67,'102 5.1.00'!$AL$4:$AN$55,2,FALSE))*IF('102 5.1.00'!AR$4="是",'102 5.1.00'!$AW$4,'102 5.1.00'!$AW$3)</f>
        <v>0</v>
      </c>
      <c r="J67" s="4">
        <f>(VLOOKUP('102 5.1.00'!Q67,'102 5.1.00'!$AL$4:$AN$55,2,FALSE))*IF('102 5.1.00'!AS$4="是",'102 5.1.00'!$AW$4,'102 5.1.00'!$AW$3)</f>
        <v>0</v>
      </c>
      <c r="K67" s="4">
        <f>(VLOOKUP('102 5.1.00'!R67,'102 5.1.00'!$AL$4:$AN$55,2,FALSE))*IF('102 5.1.00'!AT$4="是",'102 5.1.00'!$AW$4,'102 5.1.00'!$AW$3)</f>
        <v>0</v>
      </c>
      <c r="L67" s="4">
        <f>(VLOOKUP('102 5.1.00'!S67,'102 5.1.00'!$AL$4:$AN$55,2,FALSE))*IF('102 5.1.00'!AU$4="是",'102 5.1.00'!$AW$4,'102 5.1.00'!$AW$3)</f>
        <v>0</v>
      </c>
      <c r="M67" s="4">
        <f>(VLOOKUP('102 5.1.00'!T67,'102 5.1.00'!$AL$4:$AN$55,2,FALSE))*IF('102 5.1.00'!AV$4="是",'102 5.1.00'!$AW$4,'102 5.1.00'!$AW$3)</f>
        <v>0</v>
      </c>
      <c r="N67" s="4">
        <f>(VLOOKUP('102 5.1.00'!U67,'102 5.1.00'!$AL$4:$AN$55,2,FALSE))*IF('102 5.1.00'!AW$4="是",'102 5.1.00'!$AW$4,'102 5.1.00'!$AW$3)</f>
        <v>0</v>
      </c>
      <c r="O67" s="5">
        <f>(VLOOKUP('102 5.1.00'!V67,'102 5.1.00'!$AL$4:$AN$55,2,FALSE))*IF('102 5.1.00'!AX$4="是",'102 5.1.00'!$AW$4,'102 5.1.00'!$AW$3)</f>
        <v>0</v>
      </c>
      <c r="P67" s="5">
        <f>(VLOOKUP('102 5.1.00'!W67,'102 5.1.00'!$AL$4:$AN$55,2,FALSE))*IF('102 5.1.00'!AY$4="是",'102 5.1.00'!$AW$4,'102 5.1.00'!$AW$3)</f>
        <v>0</v>
      </c>
      <c r="Q67" s="4">
        <f>(VLOOKUP('102 5.1.00'!X67,'102 5.1.00'!$AL$4:$AN$55,2,FALSE))*IF('102 5.1.00'!AZ$4="是",'102 5.1.00'!$AW$4,'102 5.1.00'!$AW$3)</f>
        <v>0</v>
      </c>
      <c r="R67" s="4">
        <f>(VLOOKUP('102 5.1.00'!Y67,'102 5.1.00'!$AL$4:$AN$55,2,FALSE))*IF('102 5.1.00'!BA$4="是",'102 5.1.00'!$AW$4,'102 5.1.00'!$AW$3)</f>
        <v>0</v>
      </c>
      <c r="S67" s="4">
        <f>(VLOOKUP('102 5.1.00'!Z67,'102 5.1.00'!$AL$4:$AN$55,2,FALSE))*IF('102 5.1.00'!BB$4="是",'102 5.1.00'!$AW$4,'102 5.1.00'!$AW$3)</f>
        <v>0</v>
      </c>
      <c r="T67" s="4">
        <f>(VLOOKUP('102 5.1.00'!AA67,'102 5.1.00'!$AL$4:$AN$55,2,FALSE))*IF('102 5.1.00'!BC$4="是",'102 5.1.00'!$AW$4,'102 5.1.00'!$AW$3)</f>
        <v>0</v>
      </c>
      <c r="U67" s="4">
        <f>(VLOOKUP('102 5.1.00'!AB67,'102 5.1.00'!$AL$4:$AN$55,2,FALSE))*IF('102 5.1.00'!BD$4="是",'102 5.1.00'!$AW$4,'102 5.1.00'!$AW$3)</f>
        <v>0</v>
      </c>
      <c r="V67" s="4">
        <f>(VLOOKUP('102 5.1.00'!AC67,'102 5.1.00'!$AL$4:$AN$55,2,FALSE))*IF('102 5.1.00'!BE$4="是",'102 5.1.00'!$AW$4,'102 5.1.00'!$AW$3)</f>
        <v>0</v>
      </c>
      <c r="W67" s="5">
        <f>(VLOOKUP('102 5.1.00'!AD67,'102 5.1.00'!$AL$4:$AN$55,2,FALSE))*IF('102 5.1.00'!BF$4="是",'102 5.1.00'!$AW$4,'102 5.1.00'!$AW$3)</f>
        <v>0</v>
      </c>
      <c r="X67" s="5">
        <f>(VLOOKUP('102 5.1.00'!AE67,'102 5.1.00'!$AL$4:$AN$55,2,FALSE))*IF('102 5.1.00'!BG$4="是",'102 5.1.00'!$AW$4,'102 5.1.00'!$AW$3)</f>
        <v>0</v>
      </c>
    </row>
    <row r="68" spans="1:24">
      <c r="A68" s="4">
        <f>(VLOOKUP('102 5.1.00'!H68,'102 5.1.00'!$AL$4:$AN$55,2,FALSE))*IF('102 5.1.00'!AJ$4="是",'102 5.1.00'!$AW$4,'102 5.1.00'!$AW$3)</f>
        <v>0</v>
      </c>
      <c r="B68" s="4">
        <f>(VLOOKUP('102 5.1.00'!I68,'102 5.1.00'!$AL$4:$AN$55,2,FALSE))*IF('102 5.1.00'!AK$4="是",'102 5.1.00'!$AW$4,'102 5.1.00'!$AW$3)</f>
        <v>0</v>
      </c>
      <c r="C68" s="4">
        <f>(VLOOKUP('102 5.1.00'!J68,'102 5.1.00'!$AL$4:$AN$55,2,FALSE))*IF('102 5.1.00'!AL$4="是",'102 5.1.00'!$AW$4,'102 5.1.00'!$AW$3)</f>
        <v>0</v>
      </c>
      <c r="D68" s="4">
        <f>(VLOOKUP('102 5.1.00'!K68,'102 5.1.00'!$AL$4:$AN$55,2,FALSE))*IF('102 5.1.00'!AM$4="是",'102 5.1.00'!$AW$4,'102 5.1.00'!$AW$3)</f>
        <v>0</v>
      </c>
      <c r="E68" s="4">
        <f>(VLOOKUP('102 5.1.00'!L68,'102 5.1.00'!$AL$4:$AN$55,2,FALSE))*IF('102 5.1.00'!AN$4="是",'102 5.1.00'!$AW$4,'102 5.1.00'!$AW$3)</f>
        <v>0</v>
      </c>
      <c r="F68" s="4">
        <f>(VLOOKUP('102 5.1.00'!M68,'102 5.1.00'!$AL$4:$AN$55,2,FALSE))*IF('102 5.1.00'!AO$4="是",'102 5.1.00'!$AW$4,'102 5.1.00'!$AW$3)</f>
        <v>0</v>
      </c>
      <c r="G68" s="5">
        <f>(VLOOKUP('102 5.1.00'!N68,'102 5.1.00'!$AL$4:$AN$55,2,FALSE))*IF('102 5.1.00'!AP$4="是",'102 5.1.00'!$AW$4,'102 5.1.00'!$AW$3)</f>
        <v>0</v>
      </c>
      <c r="H68" s="5">
        <f>(VLOOKUP('102 5.1.00'!O68,'102 5.1.00'!$AL$4:$AN$55,2,FALSE))*IF('102 5.1.00'!AQ$4="是",'102 5.1.00'!$AW$4,'102 5.1.00'!$AW$3)</f>
        <v>0</v>
      </c>
      <c r="I68" s="4">
        <f>(VLOOKUP('102 5.1.00'!P68,'102 5.1.00'!$AL$4:$AN$55,2,FALSE))*IF('102 5.1.00'!AR$4="是",'102 5.1.00'!$AW$4,'102 5.1.00'!$AW$3)</f>
        <v>0</v>
      </c>
      <c r="J68" s="4">
        <f>(VLOOKUP('102 5.1.00'!Q68,'102 5.1.00'!$AL$4:$AN$55,2,FALSE))*IF('102 5.1.00'!AS$4="是",'102 5.1.00'!$AW$4,'102 5.1.00'!$AW$3)</f>
        <v>0</v>
      </c>
      <c r="K68" s="4">
        <f>(VLOOKUP('102 5.1.00'!R68,'102 5.1.00'!$AL$4:$AN$55,2,FALSE))*IF('102 5.1.00'!AT$4="是",'102 5.1.00'!$AW$4,'102 5.1.00'!$AW$3)</f>
        <v>0</v>
      </c>
      <c r="L68" s="4">
        <f>(VLOOKUP('102 5.1.00'!S68,'102 5.1.00'!$AL$4:$AN$55,2,FALSE))*IF('102 5.1.00'!AU$4="是",'102 5.1.00'!$AW$4,'102 5.1.00'!$AW$3)</f>
        <v>0</v>
      </c>
      <c r="M68" s="4">
        <f>(VLOOKUP('102 5.1.00'!T68,'102 5.1.00'!$AL$4:$AN$55,2,FALSE))*IF('102 5.1.00'!AV$4="是",'102 5.1.00'!$AW$4,'102 5.1.00'!$AW$3)</f>
        <v>0</v>
      </c>
      <c r="N68" s="4">
        <f>(VLOOKUP('102 5.1.00'!U68,'102 5.1.00'!$AL$4:$AN$55,2,FALSE))*IF('102 5.1.00'!AW$4="是",'102 5.1.00'!$AW$4,'102 5.1.00'!$AW$3)</f>
        <v>0</v>
      </c>
      <c r="O68" s="5">
        <f>(VLOOKUP('102 5.1.00'!V68,'102 5.1.00'!$AL$4:$AN$55,2,FALSE))*IF('102 5.1.00'!AX$4="是",'102 5.1.00'!$AW$4,'102 5.1.00'!$AW$3)</f>
        <v>0</v>
      </c>
      <c r="P68" s="5">
        <f>(VLOOKUP('102 5.1.00'!W68,'102 5.1.00'!$AL$4:$AN$55,2,FALSE))*IF('102 5.1.00'!AY$4="是",'102 5.1.00'!$AW$4,'102 5.1.00'!$AW$3)</f>
        <v>0</v>
      </c>
      <c r="Q68" s="4">
        <f>(VLOOKUP('102 5.1.00'!X68,'102 5.1.00'!$AL$4:$AN$55,2,FALSE))*IF('102 5.1.00'!AZ$4="是",'102 5.1.00'!$AW$4,'102 5.1.00'!$AW$3)</f>
        <v>0</v>
      </c>
      <c r="R68" s="4">
        <f>(VLOOKUP('102 5.1.00'!Y68,'102 5.1.00'!$AL$4:$AN$55,2,FALSE))*IF('102 5.1.00'!BA$4="是",'102 5.1.00'!$AW$4,'102 5.1.00'!$AW$3)</f>
        <v>0</v>
      </c>
      <c r="S68" s="4">
        <f>(VLOOKUP('102 5.1.00'!Z68,'102 5.1.00'!$AL$4:$AN$55,2,FALSE))*IF('102 5.1.00'!BB$4="是",'102 5.1.00'!$AW$4,'102 5.1.00'!$AW$3)</f>
        <v>0</v>
      </c>
      <c r="T68" s="4">
        <f>(VLOOKUP('102 5.1.00'!AA68,'102 5.1.00'!$AL$4:$AN$55,2,FALSE))*IF('102 5.1.00'!BC$4="是",'102 5.1.00'!$AW$4,'102 5.1.00'!$AW$3)</f>
        <v>0</v>
      </c>
      <c r="U68" s="4">
        <f>(VLOOKUP('102 5.1.00'!AB68,'102 5.1.00'!$AL$4:$AN$55,2,FALSE))*IF('102 5.1.00'!BD$4="是",'102 5.1.00'!$AW$4,'102 5.1.00'!$AW$3)</f>
        <v>0</v>
      </c>
      <c r="V68" s="4">
        <f>(VLOOKUP('102 5.1.00'!AC68,'102 5.1.00'!$AL$4:$AN$55,2,FALSE))*IF('102 5.1.00'!BE$4="是",'102 5.1.00'!$AW$4,'102 5.1.00'!$AW$3)</f>
        <v>0</v>
      </c>
      <c r="W68" s="5">
        <f>(VLOOKUP('102 5.1.00'!AD68,'102 5.1.00'!$AL$4:$AN$55,2,FALSE))*IF('102 5.1.00'!BF$4="是",'102 5.1.00'!$AW$4,'102 5.1.00'!$AW$3)</f>
        <v>0</v>
      </c>
      <c r="X68" s="5">
        <f>(VLOOKUP('102 5.1.00'!AE68,'102 5.1.00'!$AL$4:$AN$55,2,FALSE))*IF('102 5.1.00'!BG$4="是",'102 5.1.00'!$AW$4,'102 5.1.00'!$AW$3)</f>
        <v>0</v>
      </c>
    </row>
    <row r="69" spans="1:24">
      <c r="A69" s="4">
        <f>(VLOOKUP('102 5.1.00'!H69,'102 5.1.00'!$AL$4:$AN$55,2,FALSE))*IF('102 5.1.00'!AJ$4="是",'102 5.1.00'!$AW$4,'102 5.1.00'!$AW$3)</f>
        <v>0</v>
      </c>
      <c r="B69" s="4">
        <f>(VLOOKUP('102 5.1.00'!I69,'102 5.1.00'!$AL$4:$AN$55,2,FALSE))*IF('102 5.1.00'!AK$4="是",'102 5.1.00'!$AW$4,'102 5.1.00'!$AW$3)</f>
        <v>0</v>
      </c>
      <c r="C69" s="4">
        <f>(VLOOKUP('102 5.1.00'!J69,'102 5.1.00'!$AL$4:$AN$55,2,FALSE))*IF('102 5.1.00'!AL$4="是",'102 5.1.00'!$AW$4,'102 5.1.00'!$AW$3)</f>
        <v>0</v>
      </c>
      <c r="D69" s="4">
        <f>(VLOOKUP('102 5.1.00'!K69,'102 5.1.00'!$AL$4:$AN$55,2,FALSE))*IF('102 5.1.00'!AM$4="是",'102 5.1.00'!$AW$4,'102 5.1.00'!$AW$3)</f>
        <v>0</v>
      </c>
      <c r="E69" s="4">
        <f>(VLOOKUP('102 5.1.00'!L69,'102 5.1.00'!$AL$4:$AN$55,2,FALSE))*IF('102 5.1.00'!AN$4="是",'102 5.1.00'!$AW$4,'102 5.1.00'!$AW$3)</f>
        <v>0</v>
      </c>
      <c r="F69" s="4">
        <f>(VLOOKUP('102 5.1.00'!M69,'102 5.1.00'!$AL$4:$AN$55,2,FALSE))*IF('102 5.1.00'!AO$4="是",'102 5.1.00'!$AW$4,'102 5.1.00'!$AW$3)</f>
        <v>0</v>
      </c>
      <c r="G69" s="5">
        <f>(VLOOKUP('102 5.1.00'!N69,'102 5.1.00'!$AL$4:$AN$55,2,FALSE))*IF('102 5.1.00'!AP$4="是",'102 5.1.00'!$AW$4,'102 5.1.00'!$AW$3)</f>
        <v>0</v>
      </c>
      <c r="H69" s="5">
        <f>(VLOOKUP('102 5.1.00'!O69,'102 5.1.00'!$AL$4:$AN$55,2,FALSE))*IF('102 5.1.00'!AQ$4="是",'102 5.1.00'!$AW$4,'102 5.1.00'!$AW$3)</f>
        <v>0</v>
      </c>
      <c r="I69" s="4">
        <f>(VLOOKUP('102 5.1.00'!P69,'102 5.1.00'!$AL$4:$AN$55,2,FALSE))*IF('102 5.1.00'!AR$4="是",'102 5.1.00'!$AW$4,'102 5.1.00'!$AW$3)</f>
        <v>0</v>
      </c>
      <c r="J69" s="4">
        <f>(VLOOKUP('102 5.1.00'!Q69,'102 5.1.00'!$AL$4:$AN$55,2,FALSE))*IF('102 5.1.00'!AS$4="是",'102 5.1.00'!$AW$4,'102 5.1.00'!$AW$3)</f>
        <v>0</v>
      </c>
      <c r="K69" s="4">
        <f>(VLOOKUP('102 5.1.00'!R69,'102 5.1.00'!$AL$4:$AN$55,2,FALSE))*IF('102 5.1.00'!AT$4="是",'102 5.1.00'!$AW$4,'102 5.1.00'!$AW$3)</f>
        <v>0</v>
      </c>
      <c r="L69" s="4">
        <f>(VLOOKUP('102 5.1.00'!S69,'102 5.1.00'!$AL$4:$AN$55,2,FALSE))*IF('102 5.1.00'!AU$4="是",'102 5.1.00'!$AW$4,'102 5.1.00'!$AW$3)</f>
        <v>0</v>
      </c>
      <c r="M69" s="4">
        <f>(VLOOKUP('102 5.1.00'!T69,'102 5.1.00'!$AL$4:$AN$55,2,FALSE))*IF('102 5.1.00'!AV$4="是",'102 5.1.00'!$AW$4,'102 5.1.00'!$AW$3)</f>
        <v>0</v>
      </c>
      <c r="N69" s="4">
        <f>(VLOOKUP('102 5.1.00'!U69,'102 5.1.00'!$AL$4:$AN$55,2,FALSE))*IF('102 5.1.00'!AW$4="是",'102 5.1.00'!$AW$4,'102 5.1.00'!$AW$3)</f>
        <v>0</v>
      </c>
      <c r="O69" s="5">
        <f>(VLOOKUP('102 5.1.00'!V69,'102 5.1.00'!$AL$4:$AN$55,2,FALSE))*IF('102 5.1.00'!AX$4="是",'102 5.1.00'!$AW$4,'102 5.1.00'!$AW$3)</f>
        <v>0</v>
      </c>
      <c r="P69" s="5">
        <f>(VLOOKUP('102 5.1.00'!W69,'102 5.1.00'!$AL$4:$AN$55,2,FALSE))*IF('102 5.1.00'!AY$4="是",'102 5.1.00'!$AW$4,'102 5.1.00'!$AW$3)</f>
        <v>0</v>
      </c>
      <c r="Q69" s="4">
        <f>(VLOOKUP('102 5.1.00'!X69,'102 5.1.00'!$AL$4:$AN$55,2,FALSE))*IF('102 5.1.00'!AZ$4="是",'102 5.1.00'!$AW$4,'102 5.1.00'!$AW$3)</f>
        <v>0</v>
      </c>
      <c r="R69" s="4">
        <f>(VLOOKUP('102 5.1.00'!Y69,'102 5.1.00'!$AL$4:$AN$55,2,FALSE))*IF('102 5.1.00'!BA$4="是",'102 5.1.00'!$AW$4,'102 5.1.00'!$AW$3)</f>
        <v>0</v>
      </c>
      <c r="S69" s="4">
        <f>(VLOOKUP('102 5.1.00'!Z69,'102 5.1.00'!$AL$4:$AN$55,2,FALSE))*IF('102 5.1.00'!BB$4="是",'102 5.1.00'!$AW$4,'102 5.1.00'!$AW$3)</f>
        <v>0</v>
      </c>
      <c r="T69" s="4">
        <f>(VLOOKUP('102 5.1.00'!AA69,'102 5.1.00'!$AL$4:$AN$55,2,FALSE))*IF('102 5.1.00'!BC$4="是",'102 5.1.00'!$AW$4,'102 5.1.00'!$AW$3)</f>
        <v>0</v>
      </c>
      <c r="U69" s="4">
        <f>(VLOOKUP('102 5.1.00'!AB69,'102 5.1.00'!$AL$4:$AN$55,2,FALSE))*IF('102 5.1.00'!BD$4="是",'102 5.1.00'!$AW$4,'102 5.1.00'!$AW$3)</f>
        <v>0</v>
      </c>
      <c r="V69" s="4">
        <f>(VLOOKUP('102 5.1.00'!AC69,'102 5.1.00'!$AL$4:$AN$55,2,FALSE))*IF('102 5.1.00'!BE$4="是",'102 5.1.00'!$AW$4,'102 5.1.00'!$AW$3)</f>
        <v>0</v>
      </c>
      <c r="W69" s="5">
        <f>(VLOOKUP('102 5.1.00'!AD69,'102 5.1.00'!$AL$4:$AN$55,2,FALSE))*IF('102 5.1.00'!BF$4="是",'102 5.1.00'!$AW$4,'102 5.1.00'!$AW$3)</f>
        <v>0</v>
      </c>
      <c r="X69" s="5">
        <f>(VLOOKUP('102 5.1.00'!AE69,'102 5.1.00'!$AL$4:$AN$55,2,FALSE))*IF('102 5.1.00'!BG$4="是",'102 5.1.00'!$AW$4,'102 5.1.00'!$AW$3)</f>
        <v>0</v>
      </c>
    </row>
    <row r="70" spans="1:24">
      <c r="A70" s="4">
        <f>(VLOOKUP('102 5.1.00'!H70,'102 5.1.00'!$AL$4:$AN$55,2,FALSE))*IF('102 5.1.00'!AJ$4="是",'102 5.1.00'!$AW$4,'102 5.1.00'!$AW$3)</f>
        <v>0</v>
      </c>
      <c r="B70" s="4">
        <f>(VLOOKUP('102 5.1.00'!I70,'102 5.1.00'!$AL$4:$AN$55,2,FALSE))*IF('102 5.1.00'!AK$4="是",'102 5.1.00'!$AW$4,'102 5.1.00'!$AW$3)</f>
        <v>0</v>
      </c>
      <c r="C70" s="4">
        <f>(VLOOKUP('102 5.1.00'!J70,'102 5.1.00'!$AL$4:$AN$55,2,FALSE))*IF('102 5.1.00'!AL$4="是",'102 5.1.00'!$AW$4,'102 5.1.00'!$AW$3)</f>
        <v>0</v>
      </c>
      <c r="D70" s="4">
        <f>(VLOOKUP('102 5.1.00'!K70,'102 5.1.00'!$AL$4:$AN$55,2,FALSE))*IF('102 5.1.00'!AM$4="是",'102 5.1.00'!$AW$4,'102 5.1.00'!$AW$3)</f>
        <v>0</v>
      </c>
      <c r="E70" s="4">
        <f>(VLOOKUP('102 5.1.00'!L70,'102 5.1.00'!$AL$4:$AN$55,2,FALSE))*IF('102 5.1.00'!AN$4="是",'102 5.1.00'!$AW$4,'102 5.1.00'!$AW$3)</f>
        <v>0</v>
      </c>
      <c r="F70" s="4">
        <f>(VLOOKUP('102 5.1.00'!M70,'102 5.1.00'!$AL$4:$AN$55,2,FALSE))*IF('102 5.1.00'!AO$4="是",'102 5.1.00'!$AW$4,'102 5.1.00'!$AW$3)</f>
        <v>0</v>
      </c>
      <c r="G70" s="5">
        <f>(VLOOKUP('102 5.1.00'!N70,'102 5.1.00'!$AL$4:$AN$55,2,FALSE))*IF('102 5.1.00'!AP$4="是",'102 5.1.00'!$AW$4,'102 5.1.00'!$AW$3)</f>
        <v>0</v>
      </c>
      <c r="H70" s="5">
        <f>(VLOOKUP('102 5.1.00'!O70,'102 5.1.00'!$AL$4:$AN$55,2,FALSE))*IF('102 5.1.00'!AQ$4="是",'102 5.1.00'!$AW$4,'102 5.1.00'!$AW$3)</f>
        <v>0</v>
      </c>
      <c r="I70" s="4">
        <f>(VLOOKUP('102 5.1.00'!P70,'102 5.1.00'!$AL$4:$AN$55,2,FALSE))*IF('102 5.1.00'!AR$4="是",'102 5.1.00'!$AW$4,'102 5.1.00'!$AW$3)</f>
        <v>0</v>
      </c>
      <c r="J70" s="4">
        <f>(VLOOKUP('102 5.1.00'!Q70,'102 5.1.00'!$AL$4:$AN$55,2,FALSE))*IF('102 5.1.00'!AS$4="是",'102 5.1.00'!$AW$4,'102 5.1.00'!$AW$3)</f>
        <v>0</v>
      </c>
      <c r="K70" s="4">
        <f>(VLOOKUP('102 5.1.00'!R70,'102 5.1.00'!$AL$4:$AN$55,2,FALSE))*IF('102 5.1.00'!AT$4="是",'102 5.1.00'!$AW$4,'102 5.1.00'!$AW$3)</f>
        <v>0</v>
      </c>
      <c r="L70" s="4">
        <f>(VLOOKUP('102 5.1.00'!S70,'102 5.1.00'!$AL$4:$AN$55,2,FALSE))*IF('102 5.1.00'!AU$4="是",'102 5.1.00'!$AW$4,'102 5.1.00'!$AW$3)</f>
        <v>0</v>
      </c>
      <c r="M70" s="4">
        <f>(VLOOKUP('102 5.1.00'!T70,'102 5.1.00'!$AL$4:$AN$55,2,FALSE))*IF('102 5.1.00'!AV$4="是",'102 5.1.00'!$AW$4,'102 5.1.00'!$AW$3)</f>
        <v>0</v>
      </c>
      <c r="N70" s="4">
        <f>(VLOOKUP('102 5.1.00'!U70,'102 5.1.00'!$AL$4:$AN$55,2,FALSE))*IF('102 5.1.00'!AW$4="是",'102 5.1.00'!$AW$4,'102 5.1.00'!$AW$3)</f>
        <v>0</v>
      </c>
      <c r="O70" s="5">
        <f>(VLOOKUP('102 5.1.00'!V70,'102 5.1.00'!$AL$4:$AN$55,2,FALSE))*IF('102 5.1.00'!AX$4="是",'102 5.1.00'!$AW$4,'102 5.1.00'!$AW$3)</f>
        <v>0</v>
      </c>
      <c r="P70" s="5">
        <f>(VLOOKUP('102 5.1.00'!W70,'102 5.1.00'!$AL$4:$AN$55,2,FALSE))*IF('102 5.1.00'!AY$4="是",'102 5.1.00'!$AW$4,'102 5.1.00'!$AW$3)</f>
        <v>0</v>
      </c>
      <c r="Q70" s="4">
        <f>(VLOOKUP('102 5.1.00'!X70,'102 5.1.00'!$AL$4:$AN$55,2,FALSE))*IF('102 5.1.00'!AZ$4="是",'102 5.1.00'!$AW$4,'102 5.1.00'!$AW$3)</f>
        <v>0</v>
      </c>
      <c r="R70" s="4">
        <f>(VLOOKUP('102 5.1.00'!Y70,'102 5.1.00'!$AL$4:$AN$55,2,FALSE))*IF('102 5.1.00'!BA$4="是",'102 5.1.00'!$AW$4,'102 5.1.00'!$AW$3)</f>
        <v>0</v>
      </c>
      <c r="S70" s="4">
        <f>(VLOOKUP('102 5.1.00'!Z70,'102 5.1.00'!$AL$4:$AN$55,2,FALSE))*IF('102 5.1.00'!BB$4="是",'102 5.1.00'!$AW$4,'102 5.1.00'!$AW$3)</f>
        <v>0</v>
      </c>
      <c r="T70" s="4">
        <f>(VLOOKUP('102 5.1.00'!AA70,'102 5.1.00'!$AL$4:$AN$55,2,FALSE))*IF('102 5.1.00'!BC$4="是",'102 5.1.00'!$AW$4,'102 5.1.00'!$AW$3)</f>
        <v>0</v>
      </c>
      <c r="U70" s="4">
        <f>(VLOOKUP('102 5.1.00'!AB70,'102 5.1.00'!$AL$4:$AN$55,2,FALSE))*IF('102 5.1.00'!BD$4="是",'102 5.1.00'!$AW$4,'102 5.1.00'!$AW$3)</f>
        <v>0</v>
      </c>
      <c r="V70" s="4">
        <f>(VLOOKUP('102 5.1.00'!AC70,'102 5.1.00'!$AL$4:$AN$55,2,FALSE))*IF('102 5.1.00'!BE$4="是",'102 5.1.00'!$AW$4,'102 5.1.00'!$AW$3)</f>
        <v>0</v>
      </c>
      <c r="W70" s="5">
        <f>(VLOOKUP('102 5.1.00'!AD70,'102 5.1.00'!$AL$4:$AN$55,2,FALSE))*IF('102 5.1.00'!BF$4="是",'102 5.1.00'!$AW$4,'102 5.1.00'!$AW$3)</f>
        <v>0</v>
      </c>
      <c r="X70" s="5">
        <f>(VLOOKUP('102 5.1.00'!AE70,'102 5.1.00'!$AL$4:$AN$55,2,FALSE))*IF('102 5.1.00'!BG$4="是",'102 5.1.00'!$AW$4,'102 5.1.00'!$AW$3)</f>
        <v>0</v>
      </c>
    </row>
    <row r="71" spans="1:24">
      <c r="A71" s="4">
        <f>(VLOOKUP('102 5.1.00'!H71,'102 5.1.00'!$AL$4:$AN$55,2,FALSE))*IF('102 5.1.00'!AJ$4="是",'102 5.1.00'!$AW$4,'102 5.1.00'!$AW$3)</f>
        <v>0</v>
      </c>
      <c r="B71" s="4">
        <f>(VLOOKUP('102 5.1.00'!I71,'102 5.1.00'!$AL$4:$AN$55,2,FALSE))*IF('102 5.1.00'!AK$4="是",'102 5.1.00'!$AW$4,'102 5.1.00'!$AW$3)</f>
        <v>0</v>
      </c>
      <c r="C71" s="4">
        <f>(VLOOKUP('102 5.1.00'!J71,'102 5.1.00'!$AL$4:$AN$55,2,FALSE))*IF('102 5.1.00'!AL$4="是",'102 5.1.00'!$AW$4,'102 5.1.00'!$AW$3)</f>
        <v>0</v>
      </c>
      <c r="D71" s="4">
        <f>(VLOOKUP('102 5.1.00'!K71,'102 5.1.00'!$AL$4:$AN$55,2,FALSE))*IF('102 5.1.00'!AM$4="是",'102 5.1.00'!$AW$4,'102 5.1.00'!$AW$3)</f>
        <v>0</v>
      </c>
      <c r="E71" s="4">
        <f>(VLOOKUP('102 5.1.00'!L71,'102 5.1.00'!$AL$4:$AN$55,2,FALSE))*IF('102 5.1.00'!AN$4="是",'102 5.1.00'!$AW$4,'102 5.1.00'!$AW$3)</f>
        <v>0</v>
      </c>
      <c r="F71" s="4">
        <f>(VLOOKUP('102 5.1.00'!M71,'102 5.1.00'!$AL$4:$AN$55,2,FALSE))*IF('102 5.1.00'!AO$4="是",'102 5.1.00'!$AW$4,'102 5.1.00'!$AW$3)</f>
        <v>0</v>
      </c>
      <c r="G71" s="5">
        <f>(VLOOKUP('102 5.1.00'!N71,'102 5.1.00'!$AL$4:$AN$55,2,FALSE))*IF('102 5.1.00'!AP$4="是",'102 5.1.00'!$AW$4,'102 5.1.00'!$AW$3)</f>
        <v>0</v>
      </c>
      <c r="H71" s="5">
        <f>(VLOOKUP('102 5.1.00'!O71,'102 5.1.00'!$AL$4:$AN$55,2,FALSE))*IF('102 5.1.00'!AQ$4="是",'102 5.1.00'!$AW$4,'102 5.1.00'!$AW$3)</f>
        <v>0</v>
      </c>
      <c r="I71" s="4">
        <f>(VLOOKUP('102 5.1.00'!P71,'102 5.1.00'!$AL$4:$AN$55,2,FALSE))*IF('102 5.1.00'!AR$4="是",'102 5.1.00'!$AW$4,'102 5.1.00'!$AW$3)</f>
        <v>0</v>
      </c>
      <c r="J71" s="4">
        <f>(VLOOKUP('102 5.1.00'!Q71,'102 5.1.00'!$AL$4:$AN$55,2,FALSE))*IF('102 5.1.00'!AS$4="是",'102 5.1.00'!$AW$4,'102 5.1.00'!$AW$3)</f>
        <v>0</v>
      </c>
      <c r="K71" s="4">
        <f>(VLOOKUP('102 5.1.00'!R71,'102 5.1.00'!$AL$4:$AN$55,2,FALSE))*IF('102 5.1.00'!AT$4="是",'102 5.1.00'!$AW$4,'102 5.1.00'!$AW$3)</f>
        <v>0</v>
      </c>
      <c r="L71" s="4">
        <f>(VLOOKUP('102 5.1.00'!S71,'102 5.1.00'!$AL$4:$AN$55,2,FALSE))*IF('102 5.1.00'!AU$4="是",'102 5.1.00'!$AW$4,'102 5.1.00'!$AW$3)</f>
        <v>0</v>
      </c>
      <c r="M71" s="4">
        <f>(VLOOKUP('102 5.1.00'!T71,'102 5.1.00'!$AL$4:$AN$55,2,FALSE))*IF('102 5.1.00'!AV$4="是",'102 5.1.00'!$AW$4,'102 5.1.00'!$AW$3)</f>
        <v>0</v>
      </c>
      <c r="N71" s="4">
        <f>(VLOOKUP('102 5.1.00'!U71,'102 5.1.00'!$AL$4:$AN$55,2,FALSE))*IF('102 5.1.00'!AW$4="是",'102 5.1.00'!$AW$4,'102 5.1.00'!$AW$3)</f>
        <v>0</v>
      </c>
      <c r="O71" s="5">
        <f>(VLOOKUP('102 5.1.00'!V71,'102 5.1.00'!$AL$4:$AN$55,2,FALSE))*IF('102 5.1.00'!AX$4="是",'102 5.1.00'!$AW$4,'102 5.1.00'!$AW$3)</f>
        <v>0</v>
      </c>
      <c r="P71" s="5">
        <f>(VLOOKUP('102 5.1.00'!W71,'102 5.1.00'!$AL$4:$AN$55,2,FALSE))*IF('102 5.1.00'!AY$4="是",'102 5.1.00'!$AW$4,'102 5.1.00'!$AW$3)</f>
        <v>0</v>
      </c>
      <c r="Q71" s="4">
        <f>(VLOOKUP('102 5.1.00'!X71,'102 5.1.00'!$AL$4:$AN$55,2,FALSE))*IF('102 5.1.00'!AZ$4="是",'102 5.1.00'!$AW$4,'102 5.1.00'!$AW$3)</f>
        <v>0</v>
      </c>
      <c r="R71" s="4">
        <f>(VLOOKUP('102 5.1.00'!Y71,'102 5.1.00'!$AL$4:$AN$55,2,FALSE))*IF('102 5.1.00'!BA$4="是",'102 5.1.00'!$AW$4,'102 5.1.00'!$AW$3)</f>
        <v>0</v>
      </c>
      <c r="S71" s="4">
        <f>(VLOOKUP('102 5.1.00'!Z71,'102 5.1.00'!$AL$4:$AN$55,2,FALSE))*IF('102 5.1.00'!BB$4="是",'102 5.1.00'!$AW$4,'102 5.1.00'!$AW$3)</f>
        <v>0</v>
      </c>
      <c r="T71" s="4">
        <f>(VLOOKUP('102 5.1.00'!AA71,'102 5.1.00'!$AL$4:$AN$55,2,FALSE))*IF('102 5.1.00'!BC$4="是",'102 5.1.00'!$AW$4,'102 5.1.00'!$AW$3)</f>
        <v>0</v>
      </c>
      <c r="U71" s="4">
        <f>(VLOOKUP('102 5.1.00'!AB71,'102 5.1.00'!$AL$4:$AN$55,2,FALSE))*IF('102 5.1.00'!BD$4="是",'102 5.1.00'!$AW$4,'102 5.1.00'!$AW$3)</f>
        <v>0</v>
      </c>
      <c r="V71" s="4">
        <f>(VLOOKUP('102 5.1.00'!AC71,'102 5.1.00'!$AL$4:$AN$55,2,FALSE))*IF('102 5.1.00'!BE$4="是",'102 5.1.00'!$AW$4,'102 5.1.00'!$AW$3)</f>
        <v>0</v>
      </c>
      <c r="W71" s="5">
        <f>(VLOOKUP('102 5.1.00'!AD71,'102 5.1.00'!$AL$4:$AN$55,2,FALSE))*IF('102 5.1.00'!BF$4="是",'102 5.1.00'!$AW$4,'102 5.1.00'!$AW$3)</f>
        <v>0</v>
      </c>
      <c r="X71" s="5">
        <f>(VLOOKUP('102 5.1.00'!AE71,'102 5.1.00'!$AL$4:$AN$55,2,FALSE))*IF('102 5.1.00'!BG$4="是",'102 5.1.00'!$AW$4,'102 5.1.00'!$AW$3)</f>
        <v>0</v>
      </c>
    </row>
    <row r="72" spans="1:24">
      <c r="A72" s="4">
        <f>(VLOOKUP('102 5.1.00'!H72,'102 5.1.00'!$AL$4:$AN$55,2,FALSE))*IF('102 5.1.00'!AJ$4="是",'102 5.1.00'!$AW$4,'102 5.1.00'!$AW$3)</f>
        <v>0</v>
      </c>
      <c r="B72" s="4">
        <f>(VLOOKUP('102 5.1.00'!I72,'102 5.1.00'!$AL$4:$AN$55,2,FALSE))*IF('102 5.1.00'!AK$4="是",'102 5.1.00'!$AW$4,'102 5.1.00'!$AW$3)</f>
        <v>0</v>
      </c>
      <c r="C72" s="4">
        <f>(VLOOKUP('102 5.1.00'!J72,'102 5.1.00'!$AL$4:$AN$55,2,FALSE))*IF('102 5.1.00'!AL$4="是",'102 5.1.00'!$AW$4,'102 5.1.00'!$AW$3)</f>
        <v>0</v>
      </c>
      <c r="D72" s="4">
        <f>(VLOOKUP('102 5.1.00'!K72,'102 5.1.00'!$AL$4:$AN$55,2,FALSE))*IF('102 5.1.00'!AM$4="是",'102 5.1.00'!$AW$4,'102 5.1.00'!$AW$3)</f>
        <v>0</v>
      </c>
      <c r="E72" s="4">
        <f>(VLOOKUP('102 5.1.00'!L72,'102 5.1.00'!$AL$4:$AN$55,2,FALSE))*IF('102 5.1.00'!AN$4="是",'102 5.1.00'!$AW$4,'102 5.1.00'!$AW$3)</f>
        <v>0</v>
      </c>
      <c r="F72" s="4">
        <f>(VLOOKUP('102 5.1.00'!M72,'102 5.1.00'!$AL$4:$AN$55,2,FALSE))*IF('102 5.1.00'!AO$4="是",'102 5.1.00'!$AW$4,'102 5.1.00'!$AW$3)</f>
        <v>0</v>
      </c>
      <c r="G72" s="5">
        <f>(VLOOKUP('102 5.1.00'!N72,'102 5.1.00'!$AL$4:$AN$55,2,FALSE))*IF('102 5.1.00'!AP$4="是",'102 5.1.00'!$AW$4,'102 5.1.00'!$AW$3)</f>
        <v>0</v>
      </c>
      <c r="H72" s="5">
        <f>(VLOOKUP('102 5.1.00'!O72,'102 5.1.00'!$AL$4:$AN$55,2,FALSE))*IF('102 5.1.00'!AQ$4="是",'102 5.1.00'!$AW$4,'102 5.1.00'!$AW$3)</f>
        <v>0</v>
      </c>
      <c r="I72" s="4">
        <f>(VLOOKUP('102 5.1.00'!P72,'102 5.1.00'!$AL$4:$AN$55,2,FALSE))*IF('102 5.1.00'!AR$4="是",'102 5.1.00'!$AW$4,'102 5.1.00'!$AW$3)</f>
        <v>0</v>
      </c>
      <c r="J72" s="4">
        <f>(VLOOKUP('102 5.1.00'!Q72,'102 5.1.00'!$AL$4:$AN$55,2,FALSE))*IF('102 5.1.00'!AS$4="是",'102 5.1.00'!$AW$4,'102 5.1.00'!$AW$3)</f>
        <v>0</v>
      </c>
      <c r="K72" s="4">
        <f>(VLOOKUP('102 5.1.00'!R72,'102 5.1.00'!$AL$4:$AN$55,2,FALSE))*IF('102 5.1.00'!AT$4="是",'102 5.1.00'!$AW$4,'102 5.1.00'!$AW$3)</f>
        <v>0</v>
      </c>
      <c r="L72" s="4">
        <f>(VLOOKUP('102 5.1.00'!S72,'102 5.1.00'!$AL$4:$AN$55,2,FALSE))*IF('102 5.1.00'!AU$4="是",'102 5.1.00'!$AW$4,'102 5.1.00'!$AW$3)</f>
        <v>0</v>
      </c>
      <c r="M72" s="4">
        <f>(VLOOKUP('102 5.1.00'!T72,'102 5.1.00'!$AL$4:$AN$55,2,FALSE))*IF('102 5.1.00'!AV$4="是",'102 5.1.00'!$AW$4,'102 5.1.00'!$AW$3)</f>
        <v>0</v>
      </c>
      <c r="N72" s="4">
        <f>(VLOOKUP('102 5.1.00'!U72,'102 5.1.00'!$AL$4:$AN$55,2,FALSE))*IF('102 5.1.00'!AW$4="是",'102 5.1.00'!$AW$4,'102 5.1.00'!$AW$3)</f>
        <v>0</v>
      </c>
      <c r="O72" s="5">
        <f>(VLOOKUP('102 5.1.00'!V72,'102 5.1.00'!$AL$4:$AN$55,2,FALSE))*IF('102 5.1.00'!AX$4="是",'102 5.1.00'!$AW$4,'102 5.1.00'!$AW$3)</f>
        <v>0</v>
      </c>
      <c r="P72" s="5">
        <f>(VLOOKUP('102 5.1.00'!W72,'102 5.1.00'!$AL$4:$AN$55,2,FALSE))*IF('102 5.1.00'!AY$4="是",'102 5.1.00'!$AW$4,'102 5.1.00'!$AW$3)</f>
        <v>0</v>
      </c>
      <c r="Q72" s="4">
        <f>(VLOOKUP('102 5.1.00'!X72,'102 5.1.00'!$AL$4:$AN$55,2,FALSE))*IF('102 5.1.00'!AZ$4="是",'102 5.1.00'!$AW$4,'102 5.1.00'!$AW$3)</f>
        <v>0</v>
      </c>
      <c r="R72" s="4">
        <f>(VLOOKUP('102 5.1.00'!Y72,'102 5.1.00'!$AL$4:$AN$55,2,FALSE))*IF('102 5.1.00'!BA$4="是",'102 5.1.00'!$AW$4,'102 5.1.00'!$AW$3)</f>
        <v>0</v>
      </c>
      <c r="S72" s="4">
        <f>(VLOOKUP('102 5.1.00'!Z72,'102 5.1.00'!$AL$4:$AN$55,2,FALSE))*IF('102 5.1.00'!BB$4="是",'102 5.1.00'!$AW$4,'102 5.1.00'!$AW$3)</f>
        <v>0</v>
      </c>
      <c r="T72" s="4">
        <f>(VLOOKUP('102 5.1.00'!AA72,'102 5.1.00'!$AL$4:$AN$55,2,FALSE))*IF('102 5.1.00'!BC$4="是",'102 5.1.00'!$AW$4,'102 5.1.00'!$AW$3)</f>
        <v>0</v>
      </c>
      <c r="U72" s="4">
        <f>(VLOOKUP('102 5.1.00'!AB72,'102 5.1.00'!$AL$4:$AN$55,2,FALSE))*IF('102 5.1.00'!BD$4="是",'102 5.1.00'!$AW$4,'102 5.1.00'!$AW$3)</f>
        <v>0</v>
      </c>
      <c r="V72" s="4">
        <f>(VLOOKUP('102 5.1.00'!AC72,'102 5.1.00'!$AL$4:$AN$55,2,FALSE))*IF('102 5.1.00'!BE$4="是",'102 5.1.00'!$AW$4,'102 5.1.00'!$AW$3)</f>
        <v>0</v>
      </c>
      <c r="W72" s="5">
        <f>(VLOOKUP('102 5.1.00'!AD72,'102 5.1.00'!$AL$4:$AN$55,2,FALSE))*IF('102 5.1.00'!BF$4="是",'102 5.1.00'!$AW$4,'102 5.1.00'!$AW$3)</f>
        <v>0</v>
      </c>
      <c r="X72" s="5">
        <f>(VLOOKUP('102 5.1.00'!AE72,'102 5.1.00'!$AL$4:$AN$55,2,FALSE))*IF('102 5.1.00'!BG$4="是",'102 5.1.00'!$AW$4,'102 5.1.00'!$AW$3)</f>
        <v>0</v>
      </c>
    </row>
    <row r="73" spans="1:24">
      <c r="A73" s="4">
        <f>(VLOOKUP('102 5.1.00'!H73,'102 5.1.00'!$AL$4:$AN$55,2,FALSE))*IF('102 5.1.00'!AJ$4="是",'102 5.1.00'!$AW$4,'102 5.1.00'!$AW$3)</f>
        <v>0</v>
      </c>
      <c r="B73" s="4">
        <f>(VLOOKUP('102 5.1.00'!I73,'102 5.1.00'!$AL$4:$AN$55,2,FALSE))*IF('102 5.1.00'!AK$4="是",'102 5.1.00'!$AW$4,'102 5.1.00'!$AW$3)</f>
        <v>0</v>
      </c>
      <c r="C73" s="4">
        <f>(VLOOKUP('102 5.1.00'!J73,'102 5.1.00'!$AL$4:$AN$55,2,FALSE))*IF('102 5.1.00'!AL$4="是",'102 5.1.00'!$AW$4,'102 5.1.00'!$AW$3)</f>
        <v>0</v>
      </c>
      <c r="D73" s="4">
        <f>(VLOOKUP('102 5.1.00'!K73,'102 5.1.00'!$AL$4:$AN$55,2,FALSE))*IF('102 5.1.00'!AM$4="是",'102 5.1.00'!$AW$4,'102 5.1.00'!$AW$3)</f>
        <v>0</v>
      </c>
      <c r="E73" s="4">
        <f>(VLOOKUP('102 5.1.00'!L73,'102 5.1.00'!$AL$4:$AN$55,2,FALSE))*IF('102 5.1.00'!AN$4="是",'102 5.1.00'!$AW$4,'102 5.1.00'!$AW$3)</f>
        <v>0</v>
      </c>
      <c r="F73" s="4">
        <f>(VLOOKUP('102 5.1.00'!M73,'102 5.1.00'!$AL$4:$AN$55,2,FALSE))*IF('102 5.1.00'!AO$4="是",'102 5.1.00'!$AW$4,'102 5.1.00'!$AW$3)</f>
        <v>0</v>
      </c>
      <c r="G73" s="5">
        <f>(VLOOKUP('102 5.1.00'!N73,'102 5.1.00'!$AL$4:$AN$55,2,FALSE))*IF('102 5.1.00'!AP$4="是",'102 5.1.00'!$AW$4,'102 5.1.00'!$AW$3)</f>
        <v>0</v>
      </c>
      <c r="H73" s="5">
        <f>(VLOOKUP('102 5.1.00'!O73,'102 5.1.00'!$AL$4:$AN$55,2,FALSE))*IF('102 5.1.00'!AQ$4="是",'102 5.1.00'!$AW$4,'102 5.1.00'!$AW$3)</f>
        <v>0</v>
      </c>
      <c r="I73" s="4">
        <f>(VLOOKUP('102 5.1.00'!P73,'102 5.1.00'!$AL$4:$AN$55,2,FALSE))*IF('102 5.1.00'!AR$4="是",'102 5.1.00'!$AW$4,'102 5.1.00'!$AW$3)</f>
        <v>0</v>
      </c>
      <c r="J73" s="4">
        <f>(VLOOKUP('102 5.1.00'!Q73,'102 5.1.00'!$AL$4:$AN$55,2,FALSE))*IF('102 5.1.00'!AS$4="是",'102 5.1.00'!$AW$4,'102 5.1.00'!$AW$3)</f>
        <v>0</v>
      </c>
      <c r="K73" s="4">
        <f>(VLOOKUP('102 5.1.00'!R73,'102 5.1.00'!$AL$4:$AN$55,2,FALSE))*IF('102 5.1.00'!AT$4="是",'102 5.1.00'!$AW$4,'102 5.1.00'!$AW$3)</f>
        <v>0</v>
      </c>
      <c r="L73" s="4">
        <f>(VLOOKUP('102 5.1.00'!S73,'102 5.1.00'!$AL$4:$AN$55,2,FALSE))*IF('102 5.1.00'!AU$4="是",'102 5.1.00'!$AW$4,'102 5.1.00'!$AW$3)</f>
        <v>0</v>
      </c>
      <c r="M73" s="4">
        <f>(VLOOKUP('102 5.1.00'!T73,'102 5.1.00'!$AL$4:$AN$55,2,FALSE))*IF('102 5.1.00'!AV$4="是",'102 5.1.00'!$AW$4,'102 5.1.00'!$AW$3)</f>
        <v>0</v>
      </c>
      <c r="N73" s="4">
        <f>(VLOOKUP('102 5.1.00'!U73,'102 5.1.00'!$AL$4:$AN$55,2,FALSE))*IF('102 5.1.00'!AW$4="是",'102 5.1.00'!$AW$4,'102 5.1.00'!$AW$3)</f>
        <v>0</v>
      </c>
      <c r="O73" s="5">
        <f>(VLOOKUP('102 5.1.00'!V73,'102 5.1.00'!$AL$4:$AN$55,2,FALSE))*IF('102 5.1.00'!AX$4="是",'102 5.1.00'!$AW$4,'102 5.1.00'!$AW$3)</f>
        <v>0</v>
      </c>
      <c r="P73" s="5">
        <f>(VLOOKUP('102 5.1.00'!W73,'102 5.1.00'!$AL$4:$AN$55,2,FALSE))*IF('102 5.1.00'!AY$4="是",'102 5.1.00'!$AW$4,'102 5.1.00'!$AW$3)</f>
        <v>0</v>
      </c>
      <c r="Q73" s="4">
        <f>(VLOOKUP('102 5.1.00'!X73,'102 5.1.00'!$AL$4:$AN$55,2,FALSE))*IF('102 5.1.00'!AZ$4="是",'102 5.1.00'!$AW$4,'102 5.1.00'!$AW$3)</f>
        <v>0</v>
      </c>
      <c r="R73" s="4">
        <f>(VLOOKUP('102 5.1.00'!Y73,'102 5.1.00'!$AL$4:$AN$55,2,FALSE))*IF('102 5.1.00'!BA$4="是",'102 5.1.00'!$AW$4,'102 5.1.00'!$AW$3)</f>
        <v>0</v>
      </c>
      <c r="S73" s="4">
        <f>(VLOOKUP('102 5.1.00'!Z73,'102 5.1.00'!$AL$4:$AN$55,2,FALSE))*IF('102 5.1.00'!BB$4="是",'102 5.1.00'!$AW$4,'102 5.1.00'!$AW$3)</f>
        <v>0</v>
      </c>
      <c r="T73" s="4">
        <f>(VLOOKUP('102 5.1.00'!AA73,'102 5.1.00'!$AL$4:$AN$55,2,FALSE))*IF('102 5.1.00'!BC$4="是",'102 5.1.00'!$AW$4,'102 5.1.00'!$AW$3)</f>
        <v>0</v>
      </c>
      <c r="U73" s="4">
        <f>(VLOOKUP('102 5.1.00'!AB73,'102 5.1.00'!$AL$4:$AN$55,2,FALSE))*IF('102 5.1.00'!BD$4="是",'102 5.1.00'!$AW$4,'102 5.1.00'!$AW$3)</f>
        <v>0</v>
      </c>
      <c r="V73" s="4">
        <f>(VLOOKUP('102 5.1.00'!AC73,'102 5.1.00'!$AL$4:$AN$55,2,FALSE))*IF('102 5.1.00'!BE$4="是",'102 5.1.00'!$AW$4,'102 5.1.00'!$AW$3)</f>
        <v>0</v>
      </c>
      <c r="W73" s="5">
        <f>(VLOOKUP('102 5.1.00'!AD73,'102 5.1.00'!$AL$4:$AN$55,2,FALSE))*IF('102 5.1.00'!BF$4="是",'102 5.1.00'!$AW$4,'102 5.1.00'!$AW$3)</f>
        <v>0</v>
      </c>
      <c r="X73" s="5">
        <f>(VLOOKUP('102 5.1.00'!AE73,'102 5.1.00'!$AL$4:$AN$55,2,FALSE))*IF('102 5.1.00'!BG$4="是",'102 5.1.00'!$AW$4,'102 5.1.00'!$AW$3)</f>
        <v>0</v>
      </c>
    </row>
    <row r="74" spans="1:24">
      <c r="A74" s="4">
        <f>(VLOOKUP('102 5.1.00'!H74,'102 5.1.00'!$AL$4:$AN$55,2,FALSE))*IF('102 5.1.00'!AJ$4="是",'102 5.1.00'!$AW$4,'102 5.1.00'!$AW$3)</f>
        <v>0</v>
      </c>
      <c r="B74" s="4">
        <f>(VLOOKUP('102 5.1.00'!I74,'102 5.1.00'!$AL$4:$AN$55,2,FALSE))*IF('102 5.1.00'!AK$4="是",'102 5.1.00'!$AW$4,'102 5.1.00'!$AW$3)</f>
        <v>0</v>
      </c>
      <c r="C74" s="4">
        <f>(VLOOKUP('102 5.1.00'!J74,'102 5.1.00'!$AL$4:$AN$55,2,FALSE))*IF('102 5.1.00'!AL$4="是",'102 5.1.00'!$AW$4,'102 5.1.00'!$AW$3)</f>
        <v>0</v>
      </c>
      <c r="D74" s="4">
        <f>(VLOOKUP('102 5.1.00'!K74,'102 5.1.00'!$AL$4:$AN$55,2,FALSE))*IF('102 5.1.00'!AM$4="是",'102 5.1.00'!$AW$4,'102 5.1.00'!$AW$3)</f>
        <v>0</v>
      </c>
      <c r="E74" s="4">
        <f>(VLOOKUP('102 5.1.00'!L74,'102 5.1.00'!$AL$4:$AN$55,2,FALSE))*IF('102 5.1.00'!AN$4="是",'102 5.1.00'!$AW$4,'102 5.1.00'!$AW$3)</f>
        <v>0</v>
      </c>
      <c r="F74" s="4">
        <f>(VLOOKUP('102 5.1.00'!M74,'102 5.1.00'!$AL$4:$AN$55,2,FALSE))*IF('102 5.1.00'!AO$4="是",'102 5.1.00'!$AW$4,'102 5.1.00'!$AW$3)</f>
        <v>0</v>
      </c>
      <c r="G74" s="5">
        <f>(VLOOKUP('102 5.1.00'!N74,'102 5.1.00'!$AL$4:$AN$55,2,FALSE))*IF('102 5.1.00'!AP$4="是",'102 5.1.00'!$AW$4,'102 5.1.00'!$AW$3)</f>
        <v>0</v>
      </c>
      <c r="H74" s="5">
        <f>(VLOOKUP('102 5.1.00'!O74,'102 5.1.00'!$AL$4:$AN$55,2,FALSE))*IF('102 5.1.00'!AQ$4="是",'102 5.1.00'!$AW$4,'102 5.1.00'!$AW$3)</f>
        <v>0</v>
      </c>
      <c r="I74" s="4">
        <f>(VLOOKUP('102 5.1.00'!P74,'102 5.1.00'!$AL$4:$AN$55,2,FALSE))*IF('102 5.1.00'!AR$4="是",'102 5.1.00'!$AW$4,'102 5.1.00'!$AW$3)</f>
        <v>0</v>
      </c>
      <c r="J74" s="4">
        <f>(VLOOKUP('102 5.1.00'!Q74,'102 5.1.00'!$AL$4:$AN$55,2,FALSE))*IF('102 5.1.00'!AS$4="是",'102 5.1.00'!$AW$4,'102 5.1.00'!$AW$3)</f>
        <v>0</v>
      </c>
      <c r="K74" s="4">
        <f>(VLOOKUP('102 5.1.00'!R74,'102 5.1.00'!$AL$4:$AN$55,2,FALSE))*IF('102 5.1.00'!AT$4="是",'102 5.1.00'!$AW$4,'102 5.1.00'!$AW$3)</f>
        <v>0</v>
      </c>
      <c r="L74" s="4">
        <f>(VLOOKUP('102 5.1.00'!S74,'102 5.1.00'!$AL$4:$AN$55,2,FALSE))*IF('102 5.1.00'!AU$4="是",'102 5.1.00'!$AW$4,'102 5.1.00'!$AW$3)</f>
        <v>0</v>
      </c>
      <c r="M74" s="4">
        <f>(VLOOKUP('102 5.1.00'!T74,'102 5.1.00'!$AL$4:$AN$55,2,FALSE))*IF('102 5.1.00'!AV$4="是",'102 5.1.00'!$AW$4,'102 5.1.00'!$AW$3)</f>
        <v>0</v>
      </c>
      <c r="N74" s="4">
        <f>(VLOOKUP('102 5.1.00'!U74,'102 5.1.00'!$AL$4:$AN$55,2,FALSE))*IF('102 5.1.00'!AW$4="是",'102 5.1.00'!$AW$4,'102 5.1.00'!$AW$3)</f>
        <v>0</v>
      </c>
      <c r="O74" s="5">
        <f>(VLOOKUP('102 5.1.00'!V74,'102 5.1.00'!$AL$4:$AN$55,2,FALSE))*IF('102 5.1.00'!AX$4="是",'102 5.1.00'!$AW$4,'102 5.1.00'!$AW$3)</f>
        <v>0</v>
      </c>
      <c r="P74" s="5">
        <f>(VLOOKUP('102 5.1.00'!W74,'102 5.1.00'!$AL$4:$AN$55,2,FALSE))*IF('102 5.1.00'!AY$4="是",'102 5.1.00'!$AW$4,'102 5.1.00'!$AW$3)</f>
        <v>0</v>
      </c>
      <c r="Q74" s="4">
        <f>(VLOOKUP('102 5.1.00'!X74,'102 5.1.00'!$AL$4:$AN$55,2,FALSE))*IF('102 5.1.00'!AZ$4="是",'102 5.1.00'!$AW$4,'102 5.1.00'!$AW$3)</f>
        <v>0</v>
      </c>
      <c r="R74" s="4">
        <f>(VLOOKUP('102 5.1.00'!Y74,'102 5.1.00'!$AL$4:$AN$55,2,FALSE))*IF('102 5.1.00'!BA$4="是",'102 5.1.00'!$AW$4,'102 5.1.00'!$AW$3)</f>
        <v>0</v>
      </c>
      <c r="S74" s="4">
        <f>(VLOOKUP('102 5.1.00'!Z74,'102 5.1.00'!$AL$4:$AN$55,2,FALSE))*IF('102 5.1.00'!BB$4="是",'102 5.1.00'!$AW$4,'102 5.1.00'!$AW$3)</f>
        <v>0</v>
      </c>
      <c r="T74" s="4">
        <f>(VLOOKUP('102 5.1.00'!AA74,'102 5.1.00'!$AL$4:$AN$55,2,FALSE))*IF('102 5.1.00'!BC$4="是",'102 5.1.00'!$AW$4,'102 5.1.00'!$AW$3)</f>
        <v>0</v>
      </c>
      <c r="U74" s="4">
        <f>(VLOOKUP('102 5.1.00'!AB74,'102 5.1.00'!$AL$4:$AN$55,2,FALSE))*IF('102 5.1.00'!BD$4="是",'102 5.1.00'!$AW$4,'102 5.1.00'!$AW$3)</f>
        <v>0</v>
      </c>
      <c r="V74" s="4">
        <f>(VLOOKUP('102 5.1.00'!AC74,'102 5.1.00'!$AL$4:$AN$55,2,FALSE))*IF('102 5.1.00'!BE$4="是",'102 5.1.00'!$AW$4,'102 5.1.00'!$AW$3)</f>
        <v>0</v>
      </c>
      <c r="W74" s="5">
        <f>(VLOOKUP('102 5.1.00'!AD74,'102 5.1.00'!$AL$4:$AN$55,2,FALSE))*IF('102 5.1.00'!BF$4="是",'102 5.1.00'!$AW$4,'102 5.1.00'!$AW$3)</f>
        <v>0</v>
      </c>
      <c r="X74" s="5">
        <f>(VLOOKUP('102 5.1.00'!AE74,'102 5.1.00'!$AL$4:$AN$55,2,FALSE))*IF('102 5.1.00'!BG$4="是",'102 5.1.00'!$AW$4,'102 5.1.00'!$AW$3)</f>
        <v>0</v>
      </c>
    </row>
    <row r="75" spans="1:24">
      <c r="A75" s="4">
        <f>(VLOOKUP('102 5.1.00'!H75,'102 5.1.00'!$AL$4:$AN$55,2,FALSE))*IF('102 5.1.00'!AJ$4="是",'102 5.1.00'!$AW$4,'102 5.1.00'!$AW$3)</f>
        <v>0</v>
      </c>
      <c r="B75" s="4">
        <f>(VLOOKUP('102 5.1.00'!I75,'102 5.1.00'!$AL$4:$AN$55,2,FALSE))*IF('102 5.1.00'!AK$4="是",'102 5.1.00'!$AW$4,'102 5.1.00'!$AW$3)</f>
        <v>0</v>
      </c>
      <c r="C75" s="4">
        <f>(VLOOKUP('102 5.1.00'!J75,'102 5.1.00'!$AL$4:$AN$55,2,FALSE))*IF('102 5.1.00'!AL$4="是",'102 5.1.00'!$AW$4,'102 5.1.00'!$AW$3)</f>
        <v>0</v>
      </c>
      <c r="D75" s="4">
        <f>(VLOOKUP('102 5.1.00'!K75,'102 5.1.00'!$AL$4:$AN$55,2,FALSE))*IF('102 5.1.00'!AM$4="是",'102 5.1.00'!$AW$4,'102 5.1.00'!$AW$3)</f>
        <v>0</v>
      </c>
      <c r="E75" s="4">
        <f>(VLOOKUP('102 5.1.00'!L75,'102 5.1.00'!$AL$4:$AN$55,2,FALSE))*IF('102 5.1.00'!AN$4="是",'102 5.1.00'!$AW$4,'102 5.1.00'!$AW$3)</f>
        <v>0</v>
      </c>
      <c r="F75" s="4">
        <f>(VLOOKUP('102 5.1.00'!M75,'102 5.1.00'!$AL$4:$AN$55,2,FALSE))*IF('102 5.1.00'!AO$4="是",'102 5.1.00'!$AW$4,'102 5.1.00'!$AW$3)</f>
        <v>0</v>
      </c>
      <c r="G75" s="5">
        <f>(VLOOKUP('102 5.1.00'!N75,'102 5.1.00'!$AL$4:$AN$55,2,FALSE))*IF('102 5.1.00'!AP$4="是",'102 5.1.00'!$AW$4,'102 5.1.00'!$AW$3)</f>
        <v>0</v>
      </c>
      <c r="H75" s="5">
        <f>(VLOOKUP('102 5.1.00'!O75,'102 5.1.00'!$AL$4:$AN$55,2,FALSE))*IF('102 5.1.00'!AQ$4="是",'102 5.1.00'!$AW$4,'102 5.1.00'!$AW$3)</f>
        <v>0</v>
      </c>
      <c r="I75" s="4">
        <f>(VLOOKUP('102 5.1.00'!P75,'102 5.1.00'!$AL$4:$AN$55,2,FALSE))*IF('102 5.1.00'!AR$4="是",'102 5.1.00'!$AW$4,'102 5.1.00'!$AW$3)</f>
        <v>0</v>
      </c>
      <c r="J75" s="4">
        <f>(VLOOKUP('102 5.1.00'!Q75,'102 5.1.00'!$AL$4:$AN$55,2,FALSE))*IF('102 5.1.00'!AS$4="是",'102 5.1.00'!$AW$4,'102 5.1.00'!$AW$3)</f>
        <v>0</v>
      </c>
      <c r="K75" s="4">
        <f>(VLOOKUP('102 5.1.00'!R75,'102 5.1.00'!$AL$4:$AN$55,2,FALSE))*IF('102 5.1.00'!AT$4="是",'102 5.1.00'!$AW$4,'102 5.1.00'!$AW$3)</f>
        <v>0</v>
      </c>
      <c r="L75" s="4">
        <f>(VLOOKUP('102 5.1.00'!S75,'102 5.1.00'!$AL$4:$AN$55,2,FALSE))*IF('102 5.1.00'!AU$4="是",'102 5.1.00'!$AW$4,'102 5.1.00'!$AW$3)</f>
        <v>0</v>
      </c>
      <c r="M75" s="4">
        <f>(VLOOKUP('102 5.1.00'!T75,'102 5.1.00'!$AL$4:$AN$55,2,FALSE))*IF('102 5.1.00'!AV$4="是",'102 5.1.00'!$AW$4,'102 5.1.00'!$AW$3)</f>
        <v>0</v>
      </c>
      <c r="N75" s="4">
        <f>(VLOOKUP('102 5.1.00'!U75,'102 5.1.00'!$AL$4:$AN$55,2,FALSE))*IF('102 5.1.00'!AW$4="是",'102 5.1.00'!$AW$4,'102 5.1.00'!$AW$3)</f>
        <v>0</v>
      </c>
      <c r="O75" s="5">
        <f>(VLOOKUP('102 5.1.00'!V75,'102 5.1.00'!$AL$4:$AN$55,2,FALSE))*IF('102 5.1.00'!AX$4="是",'102 5.1.00'!$AW$4,'102 5.1.00'!$AW$3)</f>
        <v>0</v>
      </c>
      <c r="P75" s="5">
        <f>(VLOOKUP('102 5.1.00'!W75,'102 5.1.00'!$AL$4:$AN$55,2,FALSE))*IF('102 5.1.00'!AY$4="是",'102 5.1.00'!$AW$4,'102 5.1.00'!$AW$3)</f>
        <v>0</v>
      </c>
      <c r="Q75" s="4">
        <f>(VLOOKUP('102 5.1.00'!X75,'102 5.1.00'!$AL$4:$AN$55,2,FALSE))*IF('102 5.1.00'!AZ$4="是",'102 5.1.00'!$AW$4,'102 5.1.00'!$AW$3)</f>
        <v>0</v>
      </c>
      <c r="R75" s="4">
        <f>(VLOOKUP('102 5.1.00'!Y75,'102 5.1.00'!$AL$4:$AN$55,2,FALSE))*IF('102 5.1.00'!BA$4="是",'102 5.1.00'!$AW$4,'102 5.1.00'!$AW$3)</f>
        <v>0</v>
      </c>
      <c r="S75" s="4">
        <f>(VLOOKUP('102 5.1.00'!Z75,'102 5.1.00'!$AL$4:$AN$55,2,FALSE))*IF('102 5.1.00'!BB$4="是",'102 5.1.00'!$AW$4,'102 5.1.00'!$AW$3)</f>
        <v>0</v>
      </c>
      <c r="T75" s="4">
        <f>(VLOOKUP('102 5.1.00'!AA75,'102 5.1.00'!$AL$4:$AN$55,2,FALSE))*IF('102 5.1.00'!BC$4="是",'102 5.1.00'!$AW$4,'102 5.1.00'!$AW$3)</f>
        <v>0</v>
      </c>
      <c r="U75" s="4">
        <f>(VLOOKUP('102 5.1.00'!AB75,'102 5.1.00'!$AL$4:$AN$55,2,FALSE))*IF('102 5.1.00'!BD$4="是",'102 5.1.00'!$AW$4,'102 5.1.00'!$AW$3)</f>
        <v>0</v>
      </c>
      <c r="V75" s="4">
        <f>(VLOOKUP('102 5.1.00'!AC75,'102 5.1.00'!$AL$4:$AN$55,2,FALSE))*IF('102 5.1.00'!BE$4="是",'102 5.1.00'!$AW$4,'102 5.1.00'!$AW$3)</f>
        <v>0</v>
      </c>
      <c r="W75" s="5">
        <f>(VLOOKUP('102 5.1.00'!AD75,'102 5.1.00'!$AL$4:$AN$55,2,FALSE))*IF('102 5.1.00'!BF$4="是",'102 5.1.00'!$AW$4,'102 5.1.00'!$AW$3)</f>
        <v>0</v>
      </c>
      <c r="X75" s="5">
        <f>(VLOOKUP('102 5.1.00'!AE75,'102 5.1.00'!$AL$4:$AN$55,2,FALSE))*IF('102 5.1.00'!BG$4="是",'102 5.1.00'!$AW$4,'102 5.1.00'!$AW$3)</f>
        <v>0</v>
      </c>
    </row>
    <row r="76" spans="1:24">
      <c r="A76" s="4">
        <f>(VLOOKUP('102 5.1.00'!H76,'102 5.1.00'!$AL$4:$AN$55,2,FALSE))*IF('102 5.1.00'!AJ$4="是",'102 5.1.00'!$AW$4,'102 5.1.00'!$AW$3)</f>
        <v>0</v>
      </c>
      <c r="B76" s="4">
        <f>(VLOOKUP('102 5.1.00'!I76,'102 5.1.00'!$AL$4:$AN$55,2,FALSE))*IF('102 5.1.00'!AK$4="是",'102 5.1.00'!$AW$4,'102 5.1.00'!$AW$3)</f>
        <v>0</v>
      </c>
      <c r="C76" s="4">
        <f>(VLOOKUP('102 5.1.00'!J76,'102 5.1.00'!$AL$4:$AN$55,2,FALSE))*IF('102 5.1.00'!AL$4="是",'102 5.1.00'!$AW$4,'102 5.1.00'!$AW$3)</f>
        <v>0</v>
      </c>
      <c r="D76" s="4">
        <f>(VLOOKUP('102 5.1.00'!K76,'102 5.1.00'!$AL$4:$AN$55,2,FALSE))*IF('102 5.1.00'!AM$4="是",'102 5.1.00'!$AW$4,'102 5.1.00'!$AW$3)</f>
        <v>0</v>
      </c>
      <c r="E76" s="4">
        <f>(VLOOKUP('102 5.1.00'!L76,'102 5.1.00'!$AL$4:$AN$55,2,FALSE))*IF('102 5.1.00'!AN$4="是",'102 5.1.00'!$AW$4,'102 5.1.00'!$AW$3)</f>
        <v>0</v>
      </c>
      <c r="F76" s="4">
        <f>(VLOOKUP('102 5.1.00'!M76,'102 5.1.00'!$AL$4:$AN$55,2,FALSE))*IF('102 5.1.00'!AO$4="是",'102 5.1.00'!$AW$4,'102 5.1.00'!$AW$3)</f>
        <v>0</v>
      </c>
      <c r="G76" s="5">
        <f>(VLOOKUP('102 5.1.00'!N76,'102 5.1.00'!$AL$4:$AN$55,2,FALSE))*IF('102 5.1.00'!AP$4="是",'102 5.1.00'!$AW$4,'102 5.1.00'!$AW$3)</f>
        <v>0</v>
      </c>
      <c r="H76" s="5">
        <f>(VLOOKUP('102 5.1.00'!O76,'102 5.1.00'!$AL$4:$AN$55,2,FALSE))*IF('102 5.1.00'!AQ$4="是",'102 5.1.00'!$AW$4,'102 5.1.00'!$AW$3)</f>
        <v>0</v>
      </c>
      <c r="I76" s="4">
        <f>(VLOOKUP('102 5.1.00'!P76,'102 5.1.00'!$AL$4:$AN$55,2,FALSE))*IF('102 5.1.00'!AR$4="是",'102 5.1.00'!$AW$4,'102 5.1.00'!$AW$3)</f>
        <v>0</v>
      </c>
      <c r="J76" s="4">
        <f>(VLOOKUP('102 5.1.00'!Q76,'102 5.1.00'!$AL$4:$AN$55,2,FALSE))*IF('102 5.1.00'!AS$4="是",'102 5.1.00'!$AW$4,'102 5.1.00'!$AW$3)</f>
        <v>0</v>
      </c>
      <c r="K76" s="4">
        <f>(VLOOKUP('102 5.1.00'!R76,'102 5.1.00'!$AL$4:$AN$55,2,FALSE))*IF('102 5.1.00'!AT$4="是",'102 5.1.00'!$AW$4,'102 5.1.00'!$AW$3)</f>
        <v>0</v>
      </c>
      <c r="L76" s="4">
        <f>(VLOOKUP('102 5.1.00'!S76,'102 5.1.00'!$AL$4:$AN$55,2,FALSE))*IF('102 5.1.00'!AU$4="是",'102 5.1.00'!$AW$4,'102 5.1.00'!$AW$3)</f>
        <v>0</v>
      </c>
      <c r="M76" s="4">
        <f>(VLOOKUP('102 5.1.00'!T76,'102 5.1.00'!$AL$4:$AN$55,2,FALSE))*IF('102 5.1.00'!AV$4="是",'102 5.1.00'!$AW$4,'102 5.1.00'!$AW$3)</f>
        <v>0</v>
      </c>
      <c r="N76" s="4">
        <f>(VLOOKUP('102 5.1.00'!U76,'102 5.1.00'!$AL$4:$AN$55,2,FALSE))*IF('102 5.1.00'!AW$4="是",'102 5.1.00'!$AW$4,'102 5.1.00'!$AW$3)</f>
        <v>0</v>
      </c>
      <c r="O76" s="5">
        <f>(VLOOKUP('102 5.1.00'!V76,'102 5.1.00'!$AL$4:$AN$55,2,FALSE))*IF('102 5.1.00'!AX$4="是",'102 5.1.00'!$AW$4,'102 5.1.00'!$AW$3)</f>
        <v>0</v>
      </c>
      <c r="P76" s="5">
        <f>(VLOOKUP('102 5.1.00'!W76,'102 5.1.00'!$AL$4:$AN$55,2,FALSE))*IF('102 5.1.00'!AY$4="是",'102 5.1.00'!$AW$4,'102 5.1.00'!$AW$3)</f>
        <v>0</v>
      </c>
      <c r="Q76" s="4">
        <f>(VLOOKUP('102 5.1.00'!X76,'102 5.1.00'!$AL$4:$AN$55,2,FALSE))*IF('102 5.1.00'!AZ$4="是",'102 5.1.00'!$AW$4,'102 5.1.00'!$AW$3)</f>
        <v>0</v>
      </c>
      <c r="R76" s="4">
        <f>(VLOOKUP('102 5.1.00'!Y76,'102 5.1.00'!$AL$4:$AN$55,2,FALSE))*IF('102 5.1.00'!BA$4="是",'102 5.1.00'!$AW$4,'102 5.1.00'!$AW$3)</f>
        <v>0</v>
      </c>
      <c r="S76" s="4">
        <f>(VLOOKUP('102 5.1.00'!Z76,'102 5.1.00'!$AL$4:$AN$55,2,FALSE))*IF('102 5.1.00'!BB$4="是",'102 5.1.00'!$AW$4,'102 5.1.00'!$AW$3)</f>
        <v>0</v>
      </c>
      <c r="T76" s="4">
        <f>(VLOOKUP('102 5.1.00'!AA76,'102 5.1.00'!$AL$4:$AN$55,2,FALSE))*IF('102 5.1.00'!BC$4="是",'102 5.1.00'!$AW$4,'102 5.1.00'!$AW$3)</f>
        <v>0</v>
      </c>
      <c r="U76" s="4">
        <f>(VLOOKUP('102 5.1.00'!AB76,'102 5.1.00'!$AL$4:$AN$55,2,FALSE))*IF('102 5.1.00'!BD$4="是",'102 5.1.00'!$AW$4,'102 5.1.00'!$AW$3)</f>
        <v>0</v>
      </c>
      <c r="V76" s="4">
        <f>(VLOOKUP('102 5.1.00'!AC76,'102 5.1.00'!$AL$4:$AN$55,2,FALSE))*IF('102 5.1.00'!BE$4="是",'102 5.1.00'!$AW$4,'102 5.1.00'!$AW$3)</f>
        <v>0</v>
      </c>
      <c r="W76" s="5">
        <f>(VLOOKUP('102 5.1.00'!AD76,'102 5.1.00'!$AL$4:$AN$55,2,FALSE))*IF('102 5.1.00'!BF$4="是",'102 5.1.00'!$AW$4,'102 5.1.00'!$AW$3)</f>
        <v>0</v>
      </c>
      <c r="X76" s="5">
        <f>(VLOOKUP('102 5.1.00'!AE76,'102 5.1.00'!$AL$4:$AN$55,2,FALSE))*IF('102 5.1.00'!BG$4="是",'102 5.1.00'!$AW$4,'102 5.1.00'!$AW$3)</f>
        <v>0</v>
      </c>
    </row>
    <row r="77" spans="1:24">
      <c r="A77" s="4">
        <f>(VLOOKUP('102 5.1.00'!H77,'102 5.1.00'!$AL$4:$AN$55,2,FALSE))*IF('102 5.1.00'!AJ$4="是",'102 5.1.00'!$AW$4,'102 5.1.00'!$AW$3)</f>
        <v>0</v>
      </c>
      <c r="B77" s="4">
        <f>(VLOOKUP('102 5.1.00'!I77,'102 5.1.00'!$AL$4:$AN$55,2,FALSE))*IF('102 5.1.00'!AK$4="是",'102 5.1.00'!$AW$4,'102 5.1.00'!$AW$3)</f>
        <v>0</v>
      </c>
      <c r="C77" s="4">
        <f>(VLOOKUP('102 5.1.00'!J77,'102 5.1.00'!$AL$4:$AN$55,2,FALSE))*IF('102 5.1.00'!AL$4="是",'102 5.1.00'!$AW$4,'102 5.1.00'!$AW$3)</f>
        <v>0</v>
      </c>
      <c r="D77" s="4">
        <f>(VLOOKUP('102 5.1.00'!K77,'102 5.1.00'!$AL$4:$AN$55,2,FALSE))*IF('102 5.1.00'!AM$4="是",'102 5.1.00'!$AW$4,'102 5.1.00'!$AW$3)</f>
        <v>0</v>
      </c>
      <c r="E77" s="4">
        <f>(VLOOKUP('102 5.1.00'!L77,'102 5.1.00'!$AL$4:$AN$55,2,FALSE))*IF('102 5.1.00'!AN$4="是",'102 5.1.00'!$AW$4,'102 5.1.00'!$AW$3)</f>
        <v>0</v>
      </c>
      <c r="F77" s="4">
        <f>(VLOOKUP('102 5.1.00'!M77,'102 5.1.00'!$AL$4:$AN$55,2,FALSE))*IF('102 5.1.00'!AO$4="是",'102 5.1.00'!$AW$4,'102 5.1.00'!$AW$3)</f>
        <v>0</v>
      </c>
      <c r="G77" s="5">
        <f>(VLOOKUP('102 5.1.00'!N77,'102 5.1.00'!$AL$4:$AN$55,2,FALSE))*IF('102 5.1.00'!AP$4="是",'102 5.1.00'!$AW$4,'102 5.1.00'!$AW$3)</f>
        <v>0</v>
      </c>
      <c r="H77" s="5">
        <f>(VLOOKUP('102 5.1.00'!O77,'102 5.1.00'!$AL$4:$AN$55,2,FALSE))*IF('102 5.1.00'!AQ$4="是",'102 5.1.00'!$AW$4,'102 5.1.00'!$AW$3)</f>
        <v>0</v>
      </c>
      <c r="I77" s="4">
        <f>(VLOOKUP('102 5.1.00'!P77,'102 5.1.00'!$AL$4:$AN$55,2,FALSE))*IF('102 5.1.00'!AR$4="是",'102 5.1.00'!$AW$4,'102 5.1.00'!$AW$3)</f>
        <v>0</v>
      </c>
      <c r="J77" s="4">
        <f>(VLOOKUP('102 5.1.00'!Q77,'102 5.1.00'!$AL$4:$AN$55,2,FALSE))*IF('102 5.1.00'!AS$4="是",'102 5.1.00'!$AW$4,'102 5.1.00'!$AW$3)</f>
        <v>0</v>
      </c>
      <c r="K77" s="4">
        <f>(VLOOKUP('102 5.1.00'!R77,'102 5.1.00'!$AL$4:$AN$55,2,FALSE))*IF('102 5.1.00'!AT$4="是",'102 5.1.00'!$AW$4,'102 5.1.00'!$AW$3)</f>
        <v>0</v>
      </c>
      <c r="L77" s="4">
        <f>(VLOOKUP('102 5.1.00'!S77,'102 5.1.00'!$AL$4:$AN$55,2,FALSE))*IF('102 5.1.00'!AU$4="是",'102 5.1.00'!$AW$4,'102 5.1.00'!$AW$3)</f>
        <v>0</v>
      </c>
      <c r="M77" s="4">
        <f>(VLOOKUP('102 5.1.00'!T77,'102 5.1.00'!$AL$4:$AN$55,2,FALSE))*IF('102 5.1.00'!AV$4="是",'102 5.1.00'!$AW$4,'102 5.1.00'!$AW$3)</f>
        <v>0</v>
      </c>
      <c r="N77" s="4">
        <f>(VLOOKUP('102 5.1.00'!U77,'102 5.1.00'!$AL$4:$AN$55,2,FALSE))*IF('102 5.1.00'!AW$4="是",'102 5.1.00'!$AW$4,'102 5.1.00'!$AW$3)</f>
        <v>0</v>
      </c>
      <c r="O77" s="5">
        <f>(VLOOKUP('102 5.1.00'!V77,'102 5.1.00'!$AL$4:$AN$55,2,FALSE))*IF('102 5.1.00'!AX$4="是",'102 5.1.00'!$AW$4,'102 5.1.00'!$AW$3)</f>
        <v>0</v>
      </c>
      <c r="P77" s="5">
        <f>(VLOOKUP('102 5.1.00'!W77,'102 5.1.00'!$AL$4:$AN$55,2,FALSE))*IF('102 5.1.00'!AY$4="是",'102 5.1.00'!$AW$4,'102 5.1.00'!$AW$3)</f>
        <v>0</v>
      </c>
      <c r="Q77" s="4">
        <f>(VLOOKUP('102 5.1.00'!X77,'102 5.1.00'!$AL$4:$AN$55,2,FALSE))*IF('102 5.1.00'!AZ$4="是",'102 5.1.00'!$AW$4,'102 5.1.00'!$AW$3)</f>
        <v>0</v>
      </c>
      <c r="R77" s="4">
        <f>(VLOOKUP('102 5.1.00'!Y77,'102 5.1.00'!$AL$4:$AN$55,2,FALSE))*IF('102 5.1.00'!BA$4="是",'102 5.1.00'!$AW$4,'102 5.1.00'!$AW$3)</f>
        <v>0</v>
      </c>
      <c r="S77" s="4">
        <f>(VLOOKUP('102 5.1.00'!Z77,'102 5.1.00'!$AL$4:$AN$55,2,FALSE))*IF('102 5.1.00'!BB$4="是",'102 5.1.00'!$AW$4,'102 5.1.00'!$AW$3)</f>
        <v>0</v>
      </c>
      <c r="T77" s="4">
        <f>(VLOOKUP('102 5.1.00'!AA77,'102 5.1.00'!$AL$4:$AN$55,2,FALSE))*IF('102 5.1.00'!BC$4="是",'102 5.1.00'!$AW$4,'102 5.1.00'!$AW$3)</f>
        <v>0</v>
      </c>
      <c r="U77" s="4">
        <f>(VLOOKUP('102 5.1.00'!AB77,'102 5.1.00'!$AL$4:$AN$55,2,FALSE))*IF('102 5.1.00'!BD$4="是",'102 5.1.00'!$AW$4,'102 5.1.00'!$AW$3)</f>
        <v>0</v>
      </c>
      <c r="V77" s="4">
        <f>(VLOOKUP('102 5.1.00'!AC77,'102 5.1.00'!$AL$4:$AN$55,2,FALSE))*IF('102 5.1.00'!BE$4="是",'102 5.1.00'!$AW$4,'102 5.1.00'!$AW$3)</f>
        <v>0</v>
      </c>
      <c r="W77" s="5">
        <f>(VLOOKUP('102 5.1.00'!AD77,'102 5.1.00'!$AL$4:$AN$55,2,FALSE))*IF('102 5.1.00'!BF$4="是",'102 5.1.00'!$AW$4,'102 5.1.00'!$AW$3)</f>
        <v>0</v>
      </c>
      <c r="X77" s="5">
        <f>(VLOOKUP('102 5.1.00'!AE77,'102 5.1.00'!$AL$4:$AN$55,2,FALSE))*IF('102 5.1.00'!BG$4="是",'102 5.1.00'!$AW$4,'102 5.1.00'!$AW$3)</f>
        <v>0</v>
      </c>
    </row>
    <row r="78" spans="1:24">
      <c r="A78" s="4">
        <f>(VLOOKUP('102 5.1.00'!H78,'102 5.1.00'!$AL$4:$AN$55,2,FALSE))*IF('102 5.1.00'!AJ$4="是",'102 5.1.00'!$AW$4,'102 5.1.00'!$AW$3)</f>
        <v>0</v>
      </c>
      <c r="B78" s="4">
        <f>(VLOOKUP('102 5.1.00'!I78,'102 5.1.00'!$AL$4:$AN$55,2,FALSE))*IF('102 5.1.00'!AK$4="是",'102 5.1.00'!$AW$4,'102 5.1.00'!$AW$3)</f>
        <v>0</v>
      </c>
      <c r="C78" s="4">
        <f>(VLOOKUP('102 5.1.00'!J78,'102 5.1.00'!$AL$4:$AN$55,2,FALSE))*IF('102 5.1.00'!AL$4="是",'102 5.1.00'!$AW$4,'102 5.1.00'!$AW$3)</f>
        <v>0</v>
      </c>
      <c r="D78" s="4">
        <f>(VLOOKUP('102 5.1.00'!K78,'102 5.1.00'!$AL$4:$AN$55,2,FALSE))*IF('102 5.1.00'!AM$4="是",'102 5.1.00'!$AW$4,'102 5.1.00'!$AW$3)</f>
        <v>0</v>
      </c>
      <c r="E78" s="4">
        <f>(VLOOKUP('102 5.1.00'!L78,'102 5.1.00'!$AL$4:$AN$55,2,FALSE))*IF('102 5.1.00'!AN$4="是",'102 5.1.00'!$AW$4,'102 5.1.00'!$AW$3)</f>
        <v>0</v>
      </c>
      <c r="F78" s="4">
        <f>(VLOOKUP('102 5.1.00'!M78,'102 5.1.00'!$AL$4:$AN$55,2,FALSE))*IF('102 5.1.00'!AO$4="是",'102 5.1.00'!$AW$4,'102 5.1.00'!$AW$3)</f>
        <v>0</v>
      </c>
      <c r="G78" s="5">
        <f>(VLOOKUP('102 5.1.00'!N78,'102 5.1.00'!$AL$4:$AN$55,2,FALSE))*IF('102 5.1.00'!AP$4="是",'102 5.1.00'!$AW$4,'102 5.1.00'!$AW$3)</f>
        <v>0</v>
      </c>
      <c r="H78" s="5">
        <f>(VLOOKUP('102 5.1.00'!O78,'102 5.1.00'!$AL$4:$AN$55,2,FALSE))*IF('102 5.1.00'!AQ$4="是",'102 5.1.00'!$AW$4,'102 5.1.00'!$AW$3)</f>
        <v>0</v>
      </c>
      <c r="I78" s="4">
        <f>(VLOOKUP('102 5.1.00'!P78,'102 5.1.00'!$AL$4:$AN$55,2,FALSE))*IF('102 5.1.00'!AR$4="是",'102 5.1.00'!$AW$4,'102 5.1.00'!$AW$3)</f>
        <v>0</v>
      </c>
      <c r="J78" s="4">
        <f>(VLOOKUP('102 5.1.00'!Q78,'102 5.1.00'!$AL$4:$AN$55,2,FALSE))*IF('102 5.1.00'!AS$4="是",'102 5.1.00'!$AW$4,'102 5.1.00'!$AW$3)</f>
        <v>0</v>
      </c>
      <c r="K78" s="4">
        <f>(VLOOKUP('102 5.1.00'!R78,'102 5.1.00'!$AL$4:$AN$55,2,FALSE))*IF('102 5.1.00'!AT$4="是",'102 5.1.00'!$AW$4,'102 5.1.00'!$AW$3)</f>
        <v>0</v>
      </c>
      <c r="L78" s="4">
        <f>(VLOOKUP('102 5.1.00'!S78,'102 5.1.00'!$AL$4:$AN$55,2,FALSE))*IF('102 5.1.00'!AU$4="是",'102 5.1.00'!$AW$4,'102 5.1.00'!$AW$3)</f>
        <v>0</v>
      </c>
      <c r="M78" s="4">
        <f>(VLOOKUP('102 5.1.00'!T78,'102 5.1.00'!$AL$4:$AN$55,2,FALSE))*IF('102 5.1.00'!AV$4="是",'102 5.1.00'!$AW$4,'102 5.1.00'!$AW$3)</f>
        <v>0</v>
      </c>
      <c r="N78" s="4">
        <f>(VLOOKUP('102 5.1.00'!U78,'102 5.1.00'!$AL$4:$AN$55,2,FALSE))*IF('102 5.1.00'!AW$4="是",'102 5.1.00'!$AW$4,'102 5.1.00'!$AW$3)</f>
        <v>0</v>
      </c>
      <c r="O78" s="5">
        <f>(VLOOKUP('102 5.1.00'!V78,'102 5.1.00'!$AL$4:$AN$55,2,FALSE))*IF('102 5.1.00'!AX$4="是",'102 5.1.00'!$AW$4,'102 5.1.00'!$AW$3)</f>
        <v>0</v>
      </c>
      <c r="P78" s="5">
        <f>(VLOOKUP('102 5.1.00'!W78,'102 5.1.00'!$AL$4:$AN$55,2,FALSE))*IF('102 5.1.00'!AY$4="是",'102 5.1.00'!$AW$4,'102 5.1.00'!$AW$3)</f>
        <v>0</v>
      </c>
      <c r="Q78" s="4">
        <f>(VLOOKUP('102 5.1.00'!X78,'102 5.1.00'!$AL$4:$AN$55,2,FALSE))*IF('102 5.1.00'!AZ$4="是",'102 5.1.00'!$AW$4,'102 5.1.00'!$AW$3)</f>
        <v>0</v>
      </c>
      <c r="R78" s="4">
        <f>(VLOOKUP('102 5.1.00'!Y78,'102 5.1.00'!$AL$4:$AN$55,2,FALSE))*IF('102 5.1.00'!BA$4="是",'102 5.1.00'!$AW$4,'102 5.1.00'!$AW$3)</f>
        <v>0</v>
      </c>
      <c r="S78" s="4">
        <f>(VLOOKUP('102 5.1.00'!Z78,'102 5.1.00'!$AL$4:$AN$55,2,FALSE))*IF('102 5.1.00'!BB$4="是",'102 5.1.00'!$AW$4,'102 5.1.00'!$AW$3)</f>
        <v>0</v>
      </c>
      <c r="T78" s="4">
        <f>(VLOOKUP('102 5.1.00'!AA78,'102 5.1.00'!$AL$4:$AN$55,2,FALSE))*IF('102 5.1.00'!BC$4="是",'102 5.1.00'!$AW$4,'102 5.1.00'!$AW$3)</f>
        <v>0</v>
      </c>
      <c r="U78" s="4">
        <f>(VLOOKUP('102 5.1.00'!AB78,'102 5.1.00'!$AL$4:$AN$55,2,FALSE))*IF('102 5.1.00'!BD$4="是",'102 5.1.00'!$AW$4,'102 5.1.00'!$AW$3)</f>
        <v>0</v>
      </c>
      <c r="V78" s="4">
        <f>(VLOOKUP('102 5.1.00'!AC78,'102 5.1.00'!$AL$4:$AN$55,2,FALSE))*IF('102 5.1.00'!BE$4="是",'102 5.1.00'!$AW$4,'102 5.1.00'!$AW$3)</f>
        <v>0</v>
      </c>
      <c r="W78" s="5">
        <f>(VLOOKUP('102 5.1.00'!AD78,'102 5.1.00'!$AL$4:$AN$55,2,FALSE))*IF('102 5.1.00'!BF$4="是",'102 5.1.00'!$AW$4,'102 5.1.00'!$AW$3)</f>
        <v>0</v>
      </c>
      <c r="X78" s="5">
        <f>(VLOOKUP('102 5.1.00'!AE78,'102 5.1.00'!$AL$4:$AN$55,2,FALSE))*IF('102 5.1.00'!BG$4="是",'102 5.1.00'!$AW$4,'102 5.1.00'!$AW$3)</f>
        <v>0</v>
      </c>
    </row>
    <row r="79" spans="1:24">
      <c r="A79" s="4">
        <f>(VLOOKUP('102 5.1.00'!H79,'102 5.1.00'!$AL$4:$AN$55,2,FALSE))*IF('102 5.1.00'!AJ$4="是",'102 5.1.00'!$AW$4,'102 5.1.00'!$AW$3)</f>
        <v>0</v>
      </c>
      <c r="B79" s="4">
        <f>(VLOOKUP('102 5.1.00'!I79,'102 5.1.00'!$AL$4:$AN$55,2,FALSE))*IF('102 5.1.00'!AK$4="是",'102 5.1.00'!$AW$4,'102 5.1.00'!$AW$3)</f>
        <v>0</v>
      </c>
      <c r="C79" s="4">
        <f>(VLOOKUP('102 5.1.00'!J79,'102 5.1.00'!$AL$4:$AN$55,2,FALSE))*IF('102 5.1.00'!AL$4="是",'102 5.1.00'!$AW$4,'102 5.1.00'!$AW$3)</f>
        <v>0</v>
      </c>
      <c r="D79" s="4">
        <f>(VLOOKUP('102 5.1.00'!K79,'102 5.1.00'!$AL$4:$AN$55,2,FALSE))*IF('102 5.1.00'!AM$4="是",'102 5.1.00'!$AW$4,'102 5.1.00'!$AW$3)</f>
        <v>0</v>
      </c>
      <c r="E79" s="4">
        <f>(VLOOKUP('102 5.1.00'!L79,'102 5.1.00'!$AL$4:$AN$55,2,FALSE))*IF('102 5.1.00'!AN$4="是",'102 5.1.00'!$AW$4,'102 5.1.00'!$AW$3)</f>
        <v>0</v>
      </c>
      <c r="F79" s="4">
        <f>(VLOOKUP('102 5.1.00'!M79,'102 5.1.00'!$AL$4:$AN$55,2,FALSE))*IF('102 5.1.00'!AO$4="是",'102 5.1.00'!$AW$4,'102 5.1.00'!$AW$3)</f>
        <v>0</v>
      </c>
      <c r="G79" s="5">
        <f>(VLOOKUP('102 5.1.00'!N79,'102 5.1.00'!$AL$4:$AN$55,2,FALSE))*IF('102 5.1.00'!AP$4="是",'102 5.1.00'!$AW$4,'102 5.1.00'!$AW$3)</f>
        <v>0</v>
      </c>
      <c r="H79" s="5">
        <f>(VLOOKUP('102 5.1.00'!O79,'102 5.1.00'!$AL$4:$AN$55,2,FALSE))*IF('102 5.1.00'!AQ$4="是",'102 5.1.00'!$AW$4,'102 5.1.00'!$AW$3)</f>
        <v>0</v>
      </c>
      <c r="I79" s="4">
        <f>(VLOOKUP('102 5.1.00'!P79,'102 5.1.00'!$AL$4:$AN$55,2,FALSE))*IF('102 5.1.00'!AR$4="是",'102 5.1.00'!$AW$4,'102 5.1.00'!$AW$3)</f>
        <v>0</v>
      </c>
      <c r="J79" s="4">
        <f>(VLOOKUP('102 5.1.00'!Q79,'102 5.1.00'!$AL$4:$AN$55,2,FALSE))*IF('102 5.1.00'!AS$4="是",'102 5.1.00'!$AW$4,'102 5.1.00'!$AW$3)</f>
        <v>0</v>
      </c>
      <c r="K79" s="4">
        <f>(VLOOKUP('102 5.1.00'!R79,'102 5.1.00'!$AL$4:$AN$55,2,FALSE))*IF('102 5.1.00'!AT$4="是",'102 5.1.00'!$AW$4,'102 5.1.00'!$AW$3)</f>
        <v>0</v>
      </c>
      <c r="L79" s="4">
        <f>(VLOOKUP('102 5.1.00'!S79,'102 5.1.00'!$AL$4:$AN$55,2,FALSE))*IF('102 5.1.00'!AU$4="是",'102 5.1.00'!$AW$4,'102 5.1.00'!$AW$3)</f>
        <v>0</v>
      </c>
      <c r="M79" s="4">
        <f>(VLOOKUP('102 5.1.00'!T79,'102 5.1.00'!$AL$4:$AN$55,2,FALSE))*IF('102 5.1.00'!AV$4="是",'102 5.1.00'!$AW$4,'102 5.1.00'!$AW$3)</f>
        <v>0</v>
      </c>
      <c r="N79" s="4">
        <f>(VLOOKUP('102 5.1.00'!U79,'102 5.1.00'!$AL$4:$AN$55,2,FALSE))*IF('102 5.1.00'!AW$4="是",'102 5.1.00'!$AW$4,'102 5.1.00'!$AW$3)</f>
        <v>0</v>
      </c>
      <c r="O79" s="5">
        <f>(VLOOKUP('102 5.1.00'!V79,'102 5.1.00'!$AL$4:$AN$55,2,FALSE))*IF('102 5.1.00'!AX$4="是",'102 5.1.00'!$AW$4,'102 5.1.00'!$AW$3)</f>
        <v>0</v>
      </c>
      <c r="P79" s="5">
        <f>(VLOOKUP('102 5.1.00'!W79,'102 5.1.00'!$AL$4:$AN$55,2,FALSE))*IF('102 5.1.00'!AY$4="是",'102 5.1.00'!$AW$4,'102 5.1.00'!$AW$3)</f>
        <v>0</v>
      </c>
      <c r="Q79" s="4">
        <f>(VLOOKUP('102 5.1.00'!X79,'102 5.1.00'!$AL$4:$AN$55,2,FALSE))*IF('102 5.1.00'!AZ$4="是",'102 5.1.00'!$AW$4,'102 5.1.00'!$AW$3)</f>
        <v>0</v>
      </c>
      <c r="R79" s="4">
        <f>(VLOOKUP('102 5.1.00'!Y79,'102 5.1.00'!$AL$4:$AN$55,2,FALSE))*IF('102 5.1.00'!BA$4="是",'102 5.1.00'!$AW$4,'102 5.1.00'!$AW$3)</f>
        <v>0</v>
      </c>
      <c r="S79" s="4">
        <f>(VLOOKUP('102 5.1.00'!Z79,'102 5.1.00'!$AL$4:$AN$55,2,FALSE))*IF('102 5.1.00'!BB$4="是",'102 5.1.00'!$AW$4,'102 5.1.00'!$AW$3)</f>
        <v>0</v>
      </c>
      <c r="T79" s="4">
        <f>(VLOOKUP('102 5.1.00'!AA79,'102 5.1.00'!$AL$4:$AN$55,2,FALSE))*IF('102 5.1.00'!BC$4="是",'102 5.1.00'!$AW$4,'102 5.1.00'!$AW$3)</f>
        <v>0</v>
      </c>
      <c r="U79" s="4">
        <f>(VLOOKUP('102 5.1.00'!AB79,'102 5.1.00'!$AL$4:$AN$55,2,FALSE))*IF('102 5.1.00'!BD$4="是",'102 5.1.00'!$AW$4,'102 5.1.00'!$AW$3)</f>
        <v>0</v>
      </c>
      <c r="V79" s="4">
        <f>(VLOOKUP('102 5.1.00'!AC79,'102 5.1.00'!$AL$4:$AN$55,2,FALSE))*IF('102 5.1.00'!BE$4="是",'102 5.1.00'!$AW$4,'102 5.1.00'!$AW$3)</f>
        <v>0</v>
      </c>
      <c r="W79" s="5">
        <f>(VLOOKUP('102 5.1.00'!AD79,'102 5.1.00'!$AL$4:$AN$55,2,FALSE))*IF('102 5.1.00'!BF$4="是",'102 5.1.00'!$AW$4,'102 5.1.00'!$AW$3)</f>
        <v>0</v>
      </c>
      <c r="X79" s="5">
        <f>(VLOOKUP('102 5.1.00'!AE79,'102 5.1.00'!$AL$4:$AN$55,2,FALSE))*IF('102 5.1.00'!BG$4="是",'102 5.1.00'!$AW$4,'102 5.1.00'!$AW$3)</f>
        <v>0</v>
      </c>
    </row>
    <row r="80" spans="1:24">
      <c r="A80" s="4">
        <f>(VLOOKUP('102 5.1.00'!H80,'102 5.1.00'!$AL$4:$AN$55,2,FALSE))*IF('102 5.1.00'!AJ$4="是",'102 5.1.00'!$AW$4,'102 5.1.00'!$AW$3)</f>
        <v>0</v>
      </c>
      <c r="B80" s="4">
        <f>(VLOOKUP('102 5.1.00'!I80,'102 5.1.00'!$AL$4:$AN$55,2,FALSE))*IF('102 5.1.00'!AK$4="是",'102 5.1.00'!$AW$4,'102 5.1.00'!$AW$3)</f>
        <v>0</v>
      </c>
      <c r="C80" s="4">
        <f>(VLOOKUP('102 5.1.00'!J80,'102 5.1.00'!$AL$4:$AN$55,2,FALSE))*IF('102 5.1.00'!AL$4="是",'102 5.1.00'!$AW$4,'102 5.1.00'!$AW$3)</f>
        <v>0</v>
      </c>
      <c r="D80" s="4">
        <f>(VLOOKUP('102 5.1.00'!K80,'102 5.1.00'!$AL$4:$AN$55,2,FALSE))*IF('102 5.1.00'!AM$4="是",'102 5.1.00'!$AW$4,'102 5.1.00'!$AW$3)</f>
        <v>0</v>
      </c>
      <c r="E80" s="4">
        <f>(VLOOKUP('102 5.1.00'!L80,'102 5.1.00'!$AL$4:$AN$55,2,FALSE))*IF('102 5.1.00'!AN$4="是",'102 5.1.00'!$AW$4,'102 5.1.00'!$AW$3)</f>
        <v>0</v>
      </c>
      <c r="F80" s="4">
        <f>(VLOOKUP('102 5.1.00'!M80,'102 5.1.00'!$AL$4:$AN$55,2,FALSE))*IF('102 5.1.00'!AO$4="是",'102 5.1.00'!$AW$4,'102 5.1.00'!$AW$3)</f>
        <v>0</v>
      </c>
      <c r="G80" s="5">
        <f>(VLOOKUP('102 5.1.00'!N80,'102 5.1.00'!$AL$4:$AN$55,2,FALSE))*IF('102 5.1.00'!AP$4="是",'102 5.1.00'!$AW$4,'102 5.1.00'!$AW$3)</f>
        <v>0</v>
      </c>
      <c r="H80" s="5">
        <f>(VLOOKUP('102 5.1.00'!O80,'102 5.1.00'!$AL$4:$AN$55,2,FALSE))*IF('102 5.1.00'!AQ$4="是",'102 5.1.00'!$AW$4,'102 5.1.00'!$AW$3)</f>
        <v>0</v>
      </c>
      <c r="I80" s="4">
        <f>(VLOOKUP('102 5.1.00'!P80,'102 5.1.00'!$AL$4:$AN$55,2,FALSE))*IF('102 5.1.00'!AR$4="是",'102 5.1.00'!$AW$4,'102 5.1.00'!$AW$3)</f>
        <v>0</v>
      </c>
      <c r="J80" s="4">
        <f>(VLOOKUP('102 5.1.00'!Q80,'102 5.1.00'!$AL$4:$AN$55,2,FALSE))*IF('102 5.1.00'!AS$4="是",'102 5.1.00'!$AW$4,'102 5.1.00'!$AW$3)</f>
        <v>0</v>
      </c>
      <c r="K80" s="4">
        <f>(VLOOKUP('102 5.1.00'!R80,'102 5.1.00'!$AL$4:$AN$55,2,FALSE))*IF('102 5.1.00'!AT$4="是",'102 5.1.00'!$AW$4,'102 5.1.00'!$AW$3)</f>
        <v>0</v>
      </c>
      <c r="L80" s="4">
        <f>(VLOOKUP('102 5.1.00'!S80,'102 5.1.00'!$AL$4:$AN$55,2,FALSE))*IF('102 5.1.00'!AU$4="是",'102 5.1.00'!$AW$4,'102 5.1.00'!$AW$3)</f>
        <v>0</v>
      </c>
      <c r="M80" s="4">
        <f>(VLOOKUP('102 5.1.00'!T80,'102 5.1.00'!$AL$4:$AN$55,2,FALSE))*IF('102 5.1.00'!AV$4="是",'102 5.1.00'!$AW$4,'102 5.1.00'!$AW$3)</f>
        <v>0</v>
      </c>
      <c r="N80" s="4">
        <f>(VLOOKUP('102 5.1.00'!U80,'102 5.1.00'!$AL$4:$AN$55,2,FALSE))*IF('102 5.1.00'!AW$4="是",'102 5.1.00'!$AW$4,'102 5.1.00'!$AW$3)</f>
        <v>0</v>
      </c>
      <c r="O80" s="5">
        <f>(VLOOKUP('102 5.1.00'!V80,'102 5.1.00'!$AL$4:$AN$55,2,FALSE))*IF('102 5.1.00'!AX$4="是",'102 5.1.00'!$AW$4,'102 5.1.00'!$AW$3)</f>
        <v>0</v>
      </c>
      <c r="P80" s="5">
        <f>(VLOOKUP('102 5.1.00'!W80,'102 5.1.00'!$AL$4:$AN$55,2,FALSE))*IF('102 5.1.00'!AY$4="是",'102 5.1.00'!$AW$4,'102 5.1.00'!$AW$3)</f>
        <v>0</v>
      </c>
      <c r="Q80" s="4">
        <f>(VLOOKUP('102 5.1.00'!X80,'102 5.1.00'!$AL$4:$AN$55,2,FALSE))*IF('102 5.1.00'!AZ$4="是",'102 5.1.00'!$AW$4,'102 5.1.00'!$AW$3)</f>
        <v>0</v>
      </c>
      <c r="R80" s="4">
        <f>(VLOOKUP('102 5.1.00'!Y80,'102 5.1.00'!$AL$4:$AN$55,2,FALSE))*IF('102 5.1.00'!BA$4="是",'102 5.1.00'!$AW$4,'102 5.1.00'!$AW$3)</f>
        <v>0</v>
      </c>
      <c r="S80" s="4">
        <f>(VLOOKUP('102 5.1.00'!Z80,'102 5.1.00'!$AL$4:$AN$55,2,FALSE))*IF('102 5.1.00'!BB$4="是",'102 5.1.00'!$AW$4,'102 5.1.00'!$AW$3)</f>
        <v>0</v>
      </c>
      <c r="T80" s="4">
        <f>(VLOOKUP('102 5.1.00'!AA80,'102 5.1.00'!$AL$4:$AN$55,2,FALSE))*IF('102 5.1.00'!BC$4="是",'102 5.1.00'!$AW$4,'102 5.1.00'!$AW$3)</f>
        <v>0</v>
      </c>
      <c r="U80" s="4">
        <f>(VLOOKUP('102 5.1.00'!AB80,'102 5.1.00'!$AL$4:$AN$55,2,FALSE))*IF('102 5.1.00'!BD$4="是",'102 5.1.00'!$AW$4,'102 5.1.00'!$AW$3)</f>
        <v>0</v>
      </c>
      <c r="V80" s="4">
        <f>(VLOOKUP('102 5.1.00'!AC80,'102 5.1.00'!$AL$4:$AN$55,2,FALSE))*IF('102 5.1.00'!BE$4="是",'102 5.1.00'!$AW$4,'102 5.1.00'!$AW$3)</f>
        <v>0</v>
      </c>
      <c r="W80" s="5">
        <f>(VLOOKUP('102 5.1.00'!AD80,'102 5.1.00'!$AL$4:$AN$55,2,FALSE))*IF('102 5.1.00'!BF$4="是",'102 5.1.00'!$AW$4,'102 5.1.00'!$AW$3)</f>
        <v>0</v>
      </c>
      <c r="X80" s="5">
        <f>(VLOOKUP('102 5.1.00'!AE80,'102 5.1.00'!$AL$4:$AN$55,2,FALSE))*IF('102 5.1.00'!BG$4="是",'102 5.1.00'!$AW$4,'102 5.1.00'!$AW$3)</f>
        <v>0</v>
      </c>
    </row>
    <row r="81" spans="1:24">
      <c r="A81" s="4">
        <f>(VLOOKUP('102 5.1.00'!H81,'102 5.1.00'!$AL$4:$AN$55,2,FALSE))*IF('102 5.1.00'!AJ$4="是",'102 5.1.00'!$AW$4,'102 5.1.00'!$AW$3)</f>
        <v>0</v>
      </c>
      <c r="B81" s="4">
        <f>(VLOOKUP('102 5.1.00'!I81,'102 5.1.00'!$AL$4:$AN$55,2,FALSE))*IF('102 5.1.00'!AK$4="是",'102 5.1.00'!$AW$4,'102 5.1.00'!$AW$3)</f>
        <v>0</v>
      </c>
      <c r="C81" s="4">
        <f>(VLOOKUP('102 5.1.00'!J81,'102 5.1.00'!$AL$4:$AN$55,2,FALSE))*IF('102 5.1.00'!AL$4="是",'102 5.1.00'!$AW$4,'102 5.1.00'!$AW$3)</f>
        <v>0</v>
      </c>
      <c r="D81" s="4">
        <f>(VLOOKUP('102 5.1.00'!K81,'102 5.1.00'!$AL$4:$AN$55,2,FALSE))*IF('102 5.1.00'!AM$4="是",'102 5.1.00'!$AW$4,'102 5.1.00'!$AW$3)</f>
        <v>0</v>
      </c>
      <c r="E81" s="4">
        <f>(VLOOKUP('102 5.1.00'!L81,'102 5.1.00'!$AL$4:$AN$55,2,FALSE))*IF('102 5.1.00'!AN$4="是",'102 5.1.00'!$AW$4,'102 5.1.00'!$AW$3)</f>
        <v>0</v>
      </c>
      <c r="F81" s="4">
        <f>(VLOOKUP('102 5.1.00'!M81,'102 5.1.00'!$AL$4:$AN$55,2,FALSE))*IF('102 5.1.00'!AO$4="是",'102 5.1.00'!$AW$4,'102 5.1.00'!$AW$3)</f>
        <v>0</v>
      </c>
      <c r="G81" s="5">
        <f>(VLOOKUP('102 5.1.00'!N81,'102 5.1.00'!$AL$4:$AN$55,2,FALSE))*IF('102 5.1.00'!AP$4="是",'102 5.1.00'!$AW$4,'102 5.1.00'!$AW$3)</f>
        <v>0</v>
      </c>
      <c r="H81" s="5">
        <f>(VLOOKUP('102 5.1.00'!O81,'102 5.1.00'!$AL$4:$AN$55,2,FALSE))*IF('102 5.1.00'!AQ$4="是",'102 5.1.00'!$AW$4,'102 5.1.00'!$AW$3)</f>
        <v>0</v>
      </c>
      <c r="I81" s="4">
        <f>(VLOOKUP('102 5.1.00'!P81,'102 5.1.00'!$AL$4:$AN$55,2,FALSE))*IF('102 5.1.00'!AR$4="是",'102 5.1.00'!$AW$4,'102 5.1.00'!$AW$3)</f>
        <v>0</v>
      </c>
      <c r="J81" s="4">
        <f>(VLOOKUP('102 5.1.00'!Q81,'102 5.1.00'!$AL$4:$AN$55,2,FALSE))*IF('102 5.1.00'!AS$4="是",'102 5.1.00'!$AW$4,'102 5.1.00'!$AW$3)</f>
        <v>0</v>
      </c>
      <c r="K81" s="4">
        <f>(VLOOKUP('102 5.1.00'!R81,'102 5.1.00'!$AL$4:$AN$55,2,FALSE))*IF('102 5.1.00'!AT$4="是",'102 5.1.00'!$AW$4,'102 5.1.00'!$AW$3)</f>
        <v>0</v>
      </c>
      <c r="L81" s="4">
        <f>(VLOOKUP('102 5.1.00'!S81,'102 5.1.00'!$AL$4:$AN$55,2,FALSE))*IF('102 5.1.00'!AU$4="是",'102 5.1.00'!$AW$4,'102 5.1.00'!$AW$3)</f>
        <v>0</v>
      </c>
      <c r="M81" s="4">
        <f>(VLOOKUP('102 5.1.00'!T81,'102 5.1.00'!$AL$4:$AN$55,2,FALSE))*IF('102 5.1.00'!AV$4="是",'102 5.1.00'!$AW$4,'102 5.1.00'!$AW$3)</f>
        <v>0</v>
      </c>
      <c r="N81" s="4">
        <f>(VLOOKUP('102 5.1.00'!U81,'102 5.1.00'!$AL$4:$AN$55,2,FALSE))*IF('102 5.1.00'!AW$4="是",'102 5.1.00'!$AW$4,'102 5.1.00'!$AW$3)</f>
        <v>0</v>
      </c>
      <c r="O81" s="5">
        <f>(VLOOKUP('102 5.1.00'!V81,'102 5.1.00'!$AL$4:$AN$55,2,FALSE))*IF('102 5.1.00'!AX$4="是",'102 5.1.00'!$AW$4,'102 5.1.00'!$AW$3)</f>
        <v>0</v>
      </c>
      <c r="P81" s="5">
        <f>(VLOOKUP('102 5.1.00'!W81,'102 5.1.00'!$AL$4:$AN$55,2,FALSE))*IF('102 5.1.00'!AY$4="是",'102 5.1.00'!$AW$4,'102 5.1.00'!$AW$3)</f>
        <v>0</v>
      </c>
      <c r="Q81" s="4">
        <f>(VLOOKUP('102 5.1.00'!X81,'102 5.1.00'!$AL$4:$AN$55,2,FALSE))*IF('102 5.1.00'!AZ$4="是",'102 5.1.00'!$AW$4,'102 5.1.00'!$AW$3)</f>
        <v>0</v>
      </c>
      <c r="R81" s="4">
        <f>(VLOOKUP('102 5.1.00'!Y81,'102 5.1.00'!$AL$4:$AN$55,2,FALSE))*IF('102 5.1.00'!BA$4="是",'102 5.1.00'!$AW$4,'102 5.1.00'!$AW$3)</f>
        <v>0</v>
      </c>
      <c r="S81" s="4">
        <f>(VLOOKUP('102 5.1.00'!Z81,'102 5.1.00'!$AL$4:$AN$55,2,FALSE))*IF('102 5.1.00'!BB$4="是",'102 5.1.00'!$AW$4,'102 5.1.00'!$AW$3)</f>
        <v>0</v>
      </c>
      <c r="T81" s="4">
        <f>(VLOOKUP('102 5.1.00'!AA81,'102 5.1.00'!$AL$4:$AN$55,2,FALSE))*IF('102 5.1.00'!BC$4="是",'102 5.1.00'!$AW$4,'102 5.1.00'!$AW$3)</f>
        <v>0</v>
      </c>
      <c r="U81" s="4">
        <f>(VLOOKUP('102 5.1.00'!AB81,'102 5.1.00'!$AL$4:$AN$55,2,FALSE))*IF('102 5.1.00'!BD$4="是",'102 5.1.00'!$AW$4,'102 5.1.00'!$AW$3)</f>
        <v>0</v>
      </c>
      <c r="V81" s="4">
        <f>(VLOOKUP('102 5.1.00'!AC81,'102 5.1.00'!$AL$4:$AN$55,2,FALSE))*IF('102 5.1.00'!BE$4="是",'102 5.1.00'!$AW$4,'102 5.1.00'!$AW$3)</f>
        <v>0</v>
      </c>
      <c r="W81" s="5">
        <f>(VLOOKUP('102 5.1.00'!AD81,'102 5.1.00'!$AL$4:$AN$55,2,FALSE))*IF('102 5.1.00'!BF$4="是",'102 5.1.00'!$AW$4,'102 5.1.00'!$AW$3)</f>
        <v>0</v>
      </c>
      <c r="X81" s="5">
        <f>(VLOOKUP('102 5.1.00'!AE81,'102 5.1.00'!$AL$4:$AN$55,2,FALSE))*IF('102 5.1.00'!BG$4="是",'102 5.1.00'!$AW$4,'102 5.1.00'!$AW$3)</f>
        <v>0</v>
      </c>
    </row>
    <row r="82" spans="1:24">
      <c r="A82" s="4">
        <f>(VLOOKUP('102 5.1.00'!H82,'102 5.1.00'!$AL$4:$AN$55,2,FALSE))*IF('102 5.1.00'!AJ$4="是",'102 5.1.00'!$AW$4,'102 5.1.00'!$AW$3)</f>
        <v>0</v>
      </c>
      <c r="B82" s="4">
        <f>(VLOOKUP('102 5.1.00'!I82,'102 5.1.00'!$AL$4:$AN$55,2,FALSE))*IF('102 5.1.00'!AK$4="是",'102 5.1.00'!$AW$4,'102 5.1.00'!$AW$3)</f>
        <v>0</v>
      </c>
      <c r="C82" s="4">
        <f>(VLOOKUP('102 5.1.00'!J82,'102 5.1.00'!$AL$4:$AN$55,2,FALSE))*IF('102 5.1.00'!AL$4="是",'102 5.1.00'!$AW$4,'102 5.1.00'!$AW$3)</f>
        <v>0</v>
      </c>
      <c r="D82" s="4">
        <f>(VLOOKUP('102 5.1.00'!K82,'102 5.1.00'!$AL$4:$AN$55,2,FALSE))*IF('102 5.1.00'!AM$4="是",'102 5.1.00'!$AW$4,'102 5.1.00'!$AW$3)</f>
        <v>0</v>
      </c>
      <c r="E82" s="4">
        <f>(VLOOKUP('102 5.1.00'!L82,'102 5.1.00'!$AL$4:$AN$55,2,FALSE))*IF('102 5.1.00'!AN$4="是",'102 5.1.00'!$AW$4,'102 5.1.00'!$AW$3)</f>
        <v>0</v>
      </c>
      <c r="F82" s="4">
        <f>(VLOOKUP('102 5.1.00'!M82,'102 5.1.00'!$AL$4:$AN$55,2,FALSE))*IF('102 5.1.00'!AO$4="是",'102 5.1.00'!$AW$4,'102 5.1.00'!$AW$3)</f>
        <v>0</v>
      </c>
      <c r="G82" s="5">
        <f>(VLOOKUP('102 5.1.00'!N82,'102 5.1.00'!$AL$4:$AN$55,2,FALSE))*IF('102 5.1.00'!AP$4="是",'102 5.1.00'!$AW$4,'102 5.1.00'!$AW$3)</f>
        <v>0</v>
      </c>
      <c r="H82" s="5">
        <f>(VLOOKUP('102 5.1.00'!O82,'102 5.1.00'!$AL$4:$AN$55,2,FALSE))*IF('102 5.1.00'!AQ$4="是",'102 5.1.00'!$AW$4,'102 5.1.00'!$AW$3)</f>
        <v>0</v>
      </c>
      <c r="I82" s="4">
        <f>(VLOOKUP('102 5.1.00'!P82,'102 5.1.00'!$AL$4:$AN$55,2,FALSE))*IF('102 5.1.00'!AR$4="是",'102 5.1.00'!$AW$4,'102 5.1.00'!$AW$3)</f>
        <v>0</v>
      </c>
      <c r="J82" s="4">
        <f>(VLOOKUP('102 5.1.00'!Q82,'102 5.1.00'!$AL$4:$AN$55,2,FALSE))*IF('102 5.1.00'!AS$4="是",'102 5.1.00'!$AW$4,'102 5.1.00'!$AW$3)</f>
        <v>0</v>
      </c>
      <c r="K82" s="4">
        <f>(VLOOKUP('102 5.1.00'!R82,'102 5.1.00'!$AL$4:$AN$55,2,FALSE))*IF('102 5.1.00'!AT$4="是",'102 5.1.00'!$AW$4,'102 5.1.00'!$AW$3)</f>
        <v>0</v>
      </c>
      <c r="L82" s="4">
        <f>(VLOOKUP('102 5.1.00'!S82,'102 5.1.00'!$AL$4:$AN$55,2,FALSE))*IF('102 5.1.00'!AU$4="是",'102 5.1.00'!$AW$4,'102 5.1.00'!$AW$3)</f>
        <v>0</v>
      </c>
      <c r="M82" s="4">
        <f>(VLOOKUP('102 5.1.00'!T82,'102 5.1.00'!$AL$4:$AN$55,2,FALSE))*IF('102 5.1.00'!AV$4="是",'102 5.1.00'!$AW$4,'102 5.1.00'!$AW$3)</f>
        <v>0</v>
      </c>
      <c r="N82" s="4">
        <f>(VLOOKUP('102 5.1.00'!U82,'102 5.1.00'!$AL$4:$AN$55,2,FALSE))*IF('102 5.1.00'!AW$4="是",'102 5.1.00'!$AW$4,'102 5.1.00'!$AW$3)</f>
        <v>0</v>
      </c>
      <c r="O82" s="5">
        <f>(VLOOKUP('102 5.1.00'!V82,'102 5.1.00'!$AL$4:$AN$55,2,FALSE))*IF('102 5.1.00'!AX$4="是",'102 5.1.00'!$AW$4,'102 5.1.00'!$AW$3)</f>
        <v>0</v>
      </c>
      <c r="P82" s="5">
        <f>(VLOOKUP('102 5.1.00'!W82,'102 5.1.00'!$AL$4:$AN$55,2,FALSE))*IF('102 5.1.00'!AY$4="是",'102 5.1.00'!$AW$4,'102 5.1.00'!$AW$3)</f>
        <v>0</v>
      </c>
      <c r="Q82" s="4">
        <f>(VLOOKUP('102 5.1.00'!X82,'102 5.1.00'!$AL$4:$AN$55,2,FALSE))*IF('102 5.1.00'!AZ$4="是",'102 5.1.00'!$AW$4,'102 5.1.00'!$AW$3)</f>
        <v>0</v>
      </c>
      <c r="R82" s="4">
        <f>(VLOOKUP('102 5.1.00'!Y82,'102 5.1.00'!$AL$4:$AN$55,2,FALSE))*IF('102 5.1.00'!BA$4="是",'102 5.1.00'!$AW$4,'102 5.1.00'!$AW$3)</f>
        <v>0</v>
      </c>
      <c r="S82" s="4">
        <f>(VLOOKUP('102 5.1.00'!Z82,'102 5.1.00'!$AL$4:$AN$55,2,FALSE))*IF('102 5.1.00'!BB$4="是",'102 5.1.00'!$AW$4,'102 5.1.00'!$AW$3)</f>
        <v>0</v>
      </c>
      <c r="T82" s="4">
        <f>(VLOOKUP('102 5.1.00'!AA82,'102 5.1.00'!$AL$4:$AN$55,2,FALSE))*IF('102 5.1.00'!BC$4="是",'102 5.1.00'!$AW$4,'102 5.1.00'!$AW$3)</f>
        <v>0</v>
      </c>
      <c r="U82" s="4">
        <f>(VLOOKUP('102 5.1.00'!AB82,'102 5.1.00'!$AL$4:$AN$55,2,FALSE))*IF('102 5.1.00'!BD$4="是",'102 5.1.00'!$AW$4,'102 5.1.00'!$AW$3)</f>
        <v>0</v>
      </c>
      <c r="V82" s="4">
        <f>(VLOOKUP('102 5.1.00'!AC82,'102 5.1.00'!$AL$4:$AN$55,2,FALSE))*IF('102 5.1.00'!BE$4="是",'102 5.1.00'!$AW$4,'102 5.1.00'!$AW$3)</f>
        <v>0</v>
      </c>
      <c r="W82" s="5">
        <f>(VLOOKUP('102 5.1.00'!AD82,'102 5.1.00'!$AL$4:$AN$55,2,FALSE))*IF('102 5.1.00'!BF$4="是",'102 5.1.00'!$AW$4,'102 5.1.00'!$AW$3)</f>
        <v>0</v>
      </c>
      <c r="X82" s="5">
        <f>(VLOOKUP('102 5.1.00'!AE82,'102 5.1.00'!$AL$4:$AN$55,2,FALSE))*IF('102 5.1.00'!BG$4="是",'102 5.1.00'!$AW$4,'102 5.1.00'!$AW$3)</f>
        <v>0</v>
      </c>
    </row>
    <row r="83" spans="1:24">
      <c r="A83" s="4">
        <f>(VLOOKUP('102 5.1.00'!H83,'102 5.1.00'!$AL$4:$AN$55,2,FALSE))*IF('102 5.1.00'!AJ$4="是",'102 5.1.00'!$AW$4,'102 5.1.00'!$AW$3)</f>
        <v>0</v>
      </c>
      <c r="B83" s="4">
        <f>(VLOOKUP('102 5.1.00'!I83,'102 5.1.00'!$AL$4:$AN$55,2,FALSE))*IF('102 5.1.00'!AK$4="是",'102 5.1.00'!$AW$4,'102 5.1.00'!$AW$3)</f>
        <v>0</v>
      </c>
      <c r="C83" s="4">
        <f>(VLOOKUP('102 5.1.00'!J83,'102 5.1.00'!$AL$4:$AN$55,2,FALSE))*IF('102 5.1.00'!AL$4="是",'102 5.1.00'!$AW$4,'102 5.1.00'!$AW$3)</f>
        <v>0</v>
      </c>
      <c r="D83" s="4">
        <f>(VLOOKUP('102 5.1.00'!K83,'102 5.1.00'!$AL$4:$AN$55,2,FALSE))*IF('102 5.1.00'!AM$4="是",'102 5.1.00'!$AW$4,'102 5.1.00'!$AW$3)</f>
        <v>0</v>
      </c>
      <c r="E83" s="4">
        <f>(VLOOKUP('102 5.1.00'!L83,'102 5.1.00'!$AL$4:$AN$55,2,FALSE))*IF('102 5.1.00'!AN$4="是",'102 5.1.00'!$AW$4,'102 5.1.00'!$AW$3)</f>
        <v>0</v>
      </c>
      <c r="F83" s="4">
        <f>(VLOOKUP('102 5.1.00'!M83,'102 5.1.00'!$AL$4:$AN$55,2,FALSE))*IF('102 5.1.00'!AO$4="是",'102 5.1.00'!$AW$4,'102 5.1.00'!$AW$3)</f>
        <v>0</v>
      </c>
      <c r="G83" s="5">
        <f>(VLOOKUP('102 5.1.00'!N83,'102 5.1.00'!$AL$4:$AN$55,2,FALSE))*IF('102 5.1.00'!AP$4="是",'102 5.1.00'!$AW$4,'102 5.1.00'!$AW$3)</f>
        <v>0</v>
      </c>
      <c r="H83" s="5">
        <f>(VLOOKUP('102 5.1.00'!O83,'102 5.1.00'!$AL$4:$AN$55,2,FALSE))*IF('102 5.1.00'!AQ$4="是",'102 5.1.00'!$AW$4,'102 5.1.00'!$AW$3)</f>
        <v>0</v>
      </c>
      <c r="I83" s="4">
        <f>(VLOOKUP('102 5.1.00'!P83,'102 5.1.00'!$AL$4:$AN$55,2,FALSE))*IF('102 5.1.00'!AR$4="是",'102 5.1.00'!$AW$4,'102 5.1.00'!$AW$3)</f>
        <v>0</v>
      </c>
      <c r="J83" s="4">
        <f>(VLOOKUP('102 5.1.00'!Q83,'102 5.1.00'!$AL$4:$AN$55,2,FALSE))*IF('102 5.1.00'!AS$4="是",'102 5.1.00'!$AW$4,'102 5.1.00'!$AW$3)</f>
        <v>0</v>
      </c>
      <c r="K83" s="4">
        <f>(VLOOKUP('102 5.1.00'!R83,'102 5.1.00'!$AL$4:$AN$55,2,FALSE))*IF('102 5.1.00'!AT$4="是",'102 5.1.00'!$AW$4,'102 5.1.00'!$AW$3)</f>
        <v>0</v>
      </c>
      <c r="L83" s="4">
        <f>(VLOOKUP('102 5.1.00'!S83,'102 5.1.00'!$AL$4:$AN$55,2,FALSE))*IF('102 5.1.00'!AU$4="是",'102 5.1.00'!$AW$4,'102 5.1.00'!$AW$3)</f>
        <v>0</v>
      </c>
      <c r="M83" s="4">
        <f>(VLOOKUP('102 5.1.00'!T83,'102 5.1.00'!$AL$4:$AN$55,2,FALSE))*IF('102 5.1.00'!AV$4="是",'102 5.1.00'!$AW$4,'102 5.1.00'!$AW$3)</f>
        <v>0</v>
      </c>
      <c r="N83" s="4">
        <f>(VLOOKUP('102 5.1.00'!U83,'102 5.1.00'!$AL$4:$AN$55,2,FALSE))*IF('102 5.1.00'!AW$4="是",'102 5.1.00'!$AW$4,'102 5.1.00'!$AW$3)</f>
        <v>0</v>
      </c>
      <c r="O83" s="5">
        <f>(VLOOKUP('102 5.1.00'!V83,'102 5.1.00'!$AL$4:$AN$55,2,FALSE))*IF('102 5.1.00'!AX$4="是",'102 5.1.00'!$AW$4,'102 5.1.00'!$AW$3)</f>
        <v>0</v>
      </c>
      <c r="P83" s="5">
        <f>(VLOOKUP('102 5.1.00'!W83,'102 5.1.00'!$AL$4:$AN$55,2,FALSE))*IF('102 5.1.00'!AY$4="是",'102 5.1.00'!$AW$4,'102 5.1.00'!$AW$3)</f>
        <v>0</v>
      </c>
      <c r="Q83" s="4">
        <f>(VLOOKUP('102 5.1.00'!X83,'102 5.1.00'!$AL$4:$AN$55,2,FALSE))*IF('102 5.1.00'!AZ$4="是",'102 5.1.00'!$AW$4,'102 5.1.00'!$AW$3)</f>
        <v>0</v>
      </c>
      <c r="R83" s="4">
        <f>(VLOOKUP('102 5.1.00'!Y83,'102 5.1.00'!$AL$4:$AN$55,2,FALSE))*IF('102 5.1.00'!BA$4="是",'102 5.1.00'!$AW$4,'102 5.1.00'!$AW$3)</f>
        <v>0</v>
      </c>
      <c r="S83" s="4">
        <f>(VLOOKUP('102 5.1.00'!Z83,'102 5.1.00'!$AL$4:$AN$55,2,FALSE))*IF('102 5.1.00'!BB$4="是",'102 5.1.00'!$AW$4,'102 5.1.00'!$AW$3)</f>
        <v>0</v>
      </c>
      <c r="T83" s="4">
        <f>(VLOOKUP('102 5.1.00'!AA83,'102 5.1.00'!$AL$4:$AN$55,2,FALSE))*IF('102 5.1.00'!BC$4="是",'102 5.1.00'!$AW$4,'102 5.1.00'!$AW$3)</f>
        <v>0</v>
      </c>
      <c r="U83" s="4">
        <f>(VLOOKUP('102 5.1.00'!AB83,'102 5.1.00'!$AL$4:$AN$55,2,FALSE))*IF('102 5.1.00'!BD$4="是",'102 5.1.00'!$AW$4,'102 5.1.00'!$AW$3)</f>
        <v>0</v>
      </c>
      <c r="V83" s="4">
        <f>(VLOOKUP('102 5.1.00'!AC83,'102 5.1.00'!$AL$4:$AN$55,2,FALSE))*IF('102 5.1.00'!BE$4="是",'102 5.1.00'!$AW$4,'102 5.1.00'!$AW$3)</f>
        <v>0</v>
      </c>
      <c r="W83" s="5">
        <f>(VLOOKUP('102 5.1.00'!AD83,'102 5.1.00'!$AL$4:$AN$55,2,FALSE))*IF('102 5.1.00'!BF$4="是",'102 5.1.00'!$AW$4,'102 5.1.00'!$AW$3)</f>
        <v>0</v>
      </c>
      <c r="X83" s="5">
        <f>(VLOOKUP('102 5.1.00'!AE83,'102 5.1.00'!$AL$4:$AN$55,2,FALSE))*IF('102 5.1.00'!BG$4="是",'102 5.1.00'!$AW$4,'102 5.1.00'!$AW$3)</f>
        <v>0</v>
      </c>
    </row>
    <row r="84" spans="1:24">
      <c r="A84" s="4">
        <f>(VLOOKUP('102 5.1.00'!H84,'102 5.1.00'!$AL$4:$AN$55,2,FALSE))*IF('102 5.1.00'!AJ$4="是",'102 5.1.00'!$AW$4,'102 5.1.00'!$AW$3)</f>
        <v>0</v>
      </c>
      <c r="B84" s="4">
        <f>(VLOOKUP('102 5.1.00'!I84,'102 5.1.00'!$AL$4:$AN$55,2,FALSE))*IF('102 5.1.00'!AK$4="是",'102 5.1.00'!$AW$4,'102 5.1.00'!$AW$3)</f>
        <v>0</v>
      </c>
      <c r="C84" s="4">
        <f>(VLOOKUP('102 5.1.00'!J84,'102 5.1.00'!$AL$4:$AN$55,2,FALSE))*IF('102 5.1.00'!AL$4="是",'102 5.1.00'!$AW$4,'102 5.1.00'!$AW$3)</f>
        <v>0</v>
      </c>
      <c r="D84" s="4">
        <f>(VLOOKUP('102 5.1.00'!K84,'102 5.1.00'!$AL$4:$AN$55,2,FALSE))*IF('102 5.1.00'!AM$4="是",'102 5.1.00'!$AW$4,'102 5.1.00'!$AW$3)</f>
        <v>0</v>
      </c>
      <c r="E84" s="4">
        <f>(VLOOKUP('102 5.1.00'!L84,'102 5.1.00'!$AL$4:$AN$55,2,FALSE))*IF('102 5.1.00'!AN$4="是",'102 5.1.00'!$AW$4,'102 5.1.00'!$AW$3)</f>
        <v>0</v>
      </c>
      <c r="F84" s="4">
        <f>(VLOOKUP('102 5.1.00'!M84,'102 5.1.00'!$AL$4:$AN$55,2,FALSE))*IF('102 5.1.00'!AO$4="是",'102 5.1.00'!$AW$4,'102 5.1.00'!$AW$3)</f>
        <v>0</v>
      </c>
      <c r="G84" s="5">
        <f>(VLOOKUP('102 5.1.00'!N84,'102 5.1.00'!$AL$4:$AN$55,2,FALSE))*IF('102 5.1.00'!AP$4="是",'102 5.1.00'!$AW$4,'102 5.1.00'!$AW$3)</f>
        <v>0</v>
      </c>
      <c r="H84" s="5">
        <f>(VLOOKUP('102 5.1.00'!O84,'102 5.1.00'!$AL$4:$AN$55,2,FALSE))*IF('102 5.1.00'!AQ$4="是",'102 5.1.00'!$AW$4,'102 5.1.00'!$AW$3)</f>
        <v>0</v>
      </c>
      <c r="I84" s="4">
        <f>(VLOOKUP('102 5.1.00'!P84,'102 5.1.00'!$AL$4:$AN$55,2,FALSE))*IF('102 5.1.00'!AR$4="是",'102 5.1.00'!$AW$4,'102 5.1.00'!$AW$3)</f>
        <v>0</v>
      </c>
      <c r="J84" s="4">
        <f>(VLOOKUP('102 5.1.00'!Q84,'102 5.1.00'!$AL$4:$AN$55,2,FALSE))*IF('102 5.1.00'!AS$4="是",'102 5.1.00'!$AW$4,'102 5.1.00'!$AW$3)</f>
        <v>0</v>
      </c>
      <c r="K84" s="4">
        <f>(VLOOKUP('102 5.1.00'!R84,'102 5.1.00'!$AL$4:$AN$55,2,FALSE))*IF('102 5.1.00'!AT$4="是",'102 5.1.00'!$AW$4,'102 5.1.00'!$AW$3)</f>
        <v>0</v>
      </c>
      <c r="L84" s="4">
        <f>(VLOOKUP('102 5.1.00'!S84,'102 5.1.00'!$AL$4:$AN$55,2,FALSE))*IF('102 5.1.00'!AU$4="是",'102 5.1.00'!$AW$4,'102 5.1.00'!$AW$3)</f>
        <v>0</v>
      </c>
      <c r="M84" s="4">
        <f>(VLOOKUP('102 5.1.00'!T84,'102 5.1.00'!$AL$4:$AN$55,2,FALSE))*IF('102 5.1.00'!AV$4="是",'102 5.1.00'!$AW$4,'102 5.1.00'!$AW$3)</f>
        <v>0</v>
      </c>
      <c r="N84" s="4">
        <f>(VLOOKUP('102 5.1.00'!U84,'102 5.1.00'!$AL$4:$AN$55,2,FALSE))*IF('102 5.1.00'!AW$4="是",'102 5.1.00'!$AW$4,'102 5.1.00'!$AW$3)</f>
        <v>0</v>
      </c>
      <c r="O84" s="5">
        <f>(VLOOKUP('102 5.1.00'!V84,'102 5.1.00'!$AL$4:$AN$55,2,FALSE))*IF('102 5.1.00'!AX$4="是",'102 5.1.00'!$AW$4,'102 5.1.00'!$AW$3)</f>
        <v>0</v>
      </c>
      <c r="P84" s="5">
        <f>(VLOOKUP('102 5.1.00'!W84,'102 5.1.00'!$AL$4:$AN$55,2,FALSE))*IF('102 5.1.00'!AY$4="是",'102 5.1.00'!$AW$4,'102 5.1.00'!$AW$3)</f>
        <v>0</v>
      </c>
      <c r="Q84" s="4">
        <f>(VLOOKUP('102 5.1.00'!X84,'102 5.1.00'!$AL$4:$AN$55,2,FALSE))*IF('102 5.1.00'!AZ$4="是",'102 5.1.00'!$AW$4,'102 5.1.00'!$AW$3)</f>
        <v>0</v>
      </c>
      <c r="R84" s="4">
        <f>(VLOOKUP('102 5.1.00'!Y84,'102 5.1.00'!$AL$4:$AN$55,2,FALSE))*IF('102 5.1.00'!BA$4="是",'102 5.1.00'!$AW$4,'102 5.1.00'!$AW$3)</f>
        <v>0</v>
      </c>
      <c r="S84" s="4">
        <f>(VLOOKUP('102 5.1.00'!Z84,'102 5.1.00'!$AL$4:$AN$55,2,FALSE))*IF('102 5.1.00'!BB$4="是",'102 5.1.00'!$AW$4,'102 5.1.00'!$AW$3)</f>
        <v>0</v>
      </c>
      <c r="T84" s="4">
        <f>(VLOOKUP('102 5.1.00'!AA84,'102 5.1.00'!$AL$4:$AN$55,2,FALSE))*IF('102 5.1.00'!BC$4="是",'102 5.1.00'!$AW$4,'102 5.1.00'!$AW$3)</f>
        <v>0</v>
      </c>
      <c r="U84" s="4">
        <f>(VLOOKUP('102 5.1.00'!AB84,'102 5.1.00'!$AL$4:$AN$55,2,FALSE))*IF('102 5.1.00'!BD$4="是",'102 5.1.00'!$AW$4,'102 5.1.00'!$AW$3)</f>
        <v>0</v>
      </c>
      <c r="V84" s="4">
        <f>(VLOOKUP('102 5.1.00'!AC84,'102 5.1.00'!$AL$4:$AN$55,2,FALSE))*IF('102 5.1.00'!BE$4="是",'102 5.1.00'!$AW$4,'102 5.1.00'!$AW$3)</f>
        <v>0</v>
      </c>
      <c r="W84" s="5">
        <f>(VLOOKUP('102 5.1.00'!AD84,'102 5.1.00'!$AL$4:$AN$55,2,FALSE))*IF('102 5.1.00'!BF$4="是",'102 5.1.00'!$AW$4,'102 5.1.00'!$AW$3)</f>
        <v>0</v>
      </c>
      <c r="X84" s="5">
        <f>(VLOOKUP('102 5.1.00'!AE84,'102 5.1.00'!$AL$4:$AN$55,2,FALSE))*IF('102 5.1.00'!BG$4="是",'102 5.1.00'!$AW$4,'102 5.1.00'!$AW$3)</f>
        <v>0</v>
      </c>
    </row>
    <row r="85" spans="1:24">
      <c r="A85" s="4">
        <f>(VLOOKUP('102 5.1.00'!H85,'102 5.1.00'!$AL$4:$AN$55,2,FALSE))*IF('102 5.1.00'!AJ$4="是",'102 5.1.00'!$AW$4,'102 5.1.00'!$AW$3)</f>
        <v>0</v>
      </c>
      <c r="B85" s="4">
        <f>(VLOOKUP('102 5.1.00'!I85,'102 5.1.00'!$AL$4:$AN$55,2,FALSE))*IF('102 5.1.00'!AK$4="是",'102 5.1.00'!$AW$4,'102 5.1.00'!$AW$3)</f>
        <v>0</v>
      </c>
      <c r="C85" s="4">
        <f>(VLOOKUP('102 5.1.00'!J85,'102 5.1.00'!$AL$4:$AN$55,2,FALSE))*IF('102 5.1.00'!AL$4="是",'102 5.1.00'!$AW$4,'102 5.1.00'!$AW$3)</f>
        <v>0</v>
      </c>
      <c r="D85" s="4">
        <f>(VLOOKUP('102 5.1.00'!K85,'102 5.1.00'!$AL$4:$AN$55,2,FALSE))*IF('102 5.1.00'!AM$4="是",'102 5.1.00'!$AW$4,'102 5.1.00'!$AW$3)</f>
        <v>0</v>
      </c>
      <c r="E85" s="4">
        <f>(VLOOKUP('102 5.1.00'!L85,'102 5.1.00'!$AL$4:$AN$55,2,FALSE))*IF('102 5.1.00'!AN$4="是",'102 5.1.00'!$AW$4,'102 5.1.00'!$AW$3)</f>
        <v>0</v>
      </c>
      <c r="F85" s="4">
        <f>(VLOOKUP('102 5.1.00'!M85,'102 5.1.00'!$AL$4:$AN$55,2,FALSE))*IF('102 5.1.00'!AO$4="是",'102 5.1.00'!$AW$4,'102 5.1.00'!$AW$3)</f>
        <v>0</v>
      </c>
      <c r="G85" s="5">
        <f>(VLOOKUP('102 5.1.00'!N85,'102 5.1.00'!$AL$4:$AN$55,2,FALSE))*IF('102 5.1.00'!AP$4="是",'102 5.1.00'!$AW$4,'102 5.1.00'!$AW$3)</f>
        <v>0</v>
      </c>
      <c r="H85" s="5">
        <f>(VLOOKUP('102 5.1.00'!O85,'102 5.1.00'!$AL$4:$AN$55,2,FALSE))*IF('102 5.1.00'!AQ$4="是",'102 5.1.00'!$AW$4,'102 5.1.00'!$AW$3)</f>
        <v>0</v>
      </c>
      <c r="I85" s="4">
        <f>(VLOOKUP('102 5.1.00'!P85,'102 5.1.00'!$AL$4:$AN$55,2,FALSE))*IF('102 5.1.00'!AR$4="是",'102 5.1.00'!$AW$4,'102 5.1.00'!$AW$3)</f>
        <v>0</v>
      </c>
      <c r="J85" s="4">
        <f>(VLOOKUP('102 5.1.00'!Q85,'102 5.1.00'!$AL$4:$AN$55,2,FALSE))*IF('102 5.1.00'!AS$4="是",'102 5.1.00'!$AW$4,'102 5.1.00'!$AW$3)</f>
        <v>0</v>
      </c>
      <c r="K85" s="4">
        <f>(VLOOKUP('102 5.1.00'!R85,'102 5.1.00'!$AL$4:$AN$55,2,FALSE))*IF('102 5.1.00'!AT$4="是",'102 5.1.00'!$AW$4,'102 5.1.00'!$AW$3)</f>
        <v>0</v>
      </c>
      <c r="L85" s="4">
        <f>(VLOOKUP('102 5.1.00'!S85,'102 5.1.00'!$AL$4:$AN$55,2,FALSE))*IF('102 5.1.00'!AU$4="是",'102 5.1.00'!$AW$4,'102 5.1.00'!$AW$3)</f>
        <v>0</v>
      </c>
      <c r="M85" s="4">
        <f>(VLOOKUP('102 5.1.00'!T85,'102 5.1.00'!$AL$4:$AN$55,2,FALSE))*IF('102 5.1.00'!AV$4="是",'102 5.1.00'!$AW$4,'102 5.1.00'!$AW$3)</f>
        <v>0</v>
      </c>
      <c r="N85" s="4">
        <f>(VLOOKUP('102 5.1.00'!U85,'102 5.1.00'!$AL$4:$AN$55,2,FALSE))*IF('102 5.1.00'!AW$4="是",'102 5.1.00'!$AW$4,'102 5.1.00'!$AW$3)</f>
        <v>0</v>
      </c>
      <c r="O85" s="5">
        <f>(VLOOKUP('102 5.1.00'!V85,'102 5.1.00'!$AL$4:$AN$55,2,FALSE))*IF('102 5.1.00'!AX$4="是",'102 5.1.00'!$AW$4,'102 5.1.00'!$AW$3)</f>
        <v>0</v>
      </c>
      <c r="P85" s="5">
        <f>(VLOOKUP('102 5.1.00'!W85,'102 5.1.00'!$AL$4:$AN$55,2,FALSE))*IF('102 5.1.00'!AY$4="是",'102 5.1.00'!$AW$4,'102 5.1.00'!$AW$3)</f>
        <v>0</v>
      </c>
      <c r="Q85" s="4">
        <f>(VLOOKUP('102 5.1.00'!X85,'102 5.1.00'!$AL$4:$AN$55,2,FALSE))*IF('102 5.1.00'!AZ$4="是",'102 5.1.00'!$AW$4,'102 5.1.00'!$AW$3)</f>
        <v>0</v>
      </c>
      <c r="R85" s="4">
        <f>(VLOOKUP('102 5.1.00'!Y85,'102 5.1.00'!$AL$4:$AN$55,2,FALSE))*IF('102 5.1.00'!BA$4="是",'102 5.1.00'!$AW$4,'102 5.1.00'!$AW$3)</f>
        <v>0</v>
      </c>
      <c r="S85" s="4">
        <f>(VLOOKUP('102 5.1.00'!Z85,'102 5.1.00'!$AL$4:$AN$55,2,FALSE))*IF('102 5.1.00'!BB$4="是",'102 5.1.00'!$AW$4,'102 5.1.00'!$AW$3)</f>
        <v>0</v>
      </c>
      <c r="T85" s="4">
        <f>(VLOOKUP('102 5.1.00'!AA85,'102 5.1.00'!$AL$4:$AN$55,2,FALSE))*IF('102 5.1.00'!BC$4="是",'102 5.1.00'!$AW$4,'102 5.1.00'!$AW$3)</f>
        <v>0</v>
      </c>
      <c r="U85" s="4">
        <f>(VLOOKUP('102 5.1.00'!AB85,'102 5.1.00'!$AL$4:$AN$55,2,FALSE))*IF('102 5.1.00'!BD$4="是",'102 5.1.00'!$AW$4,'102 5.1.00'!$AW$3)</f>
        <v>0</v>
      </c>
      <c r="V85" s="4">
        <f>(VLOOKUP('102 5.1.00'!AC85,'102 5.1.00'!$AL$4:$AN$55,2,FALSE))*IF('102 5.1.00'!BE$4="是",'102 5.1.00'!$AW$4,'102 5.1.00'!$AW$3)</f>
        <v>0</v>
      </c>
      <c r="W85" s="5">
        <f>(VLOOKUP('102 5.1.00'!AD85,'102 5.1.00'!$AL$4:$AN$55,2,FALSE))*IF('102 5.1.00'!BF$4="是",'102 5.1.00'!$AW$4,'102 5.1.00'!$AW$3)</f>
        <v>0</v>
      </c>
      <c r="X85" s="5">
        <f>(VLOOKUP('102 5.1.00'!AE85,'102 5.1.00'!$AL$4:$AN$55,2,FALSE))*IF('102 5.1.00'!BG$4="是",'102 5.1.00'!$AW$4,'102 5.1.00'!$AW$3)</f>
        <v>0</v>
      </c>
    </row>
    <row r="86" spans="1:24">
      <c r="A86" s="4">
        <f>(VLOOKUP('102 5.1.00'!H86,'102 5.1.00'!$AL$4:$AN$55,2,FALSE))*IF('102 5.1.00'!AJ$4="是",'102 5.1.00'!$AW$4,'102 5.1.00'!$AW$3)</f>
        <v>0</v>
      </c>
      <c r="B86" s="4">
        <f>(VLOOKUP('102 5.1.00'!I86,'102 5.1.00'!$AL$4:$AN$55,2,FALSE))*IF('102 5.1.00'!AK$4="是",'102 5.1.00'!$AW$4,'102 5.1.00'!$AW$3)</f>
        <v>0</v>
      </c>
      <c r="C86" s="4">
        <f>(VLOOKUP('102 5.1.00'!J86,'102 5.1.00'!$AL$4:$AN$55,2,FALSE))*IF('102 5.1.00'!AL$4="是",'102 5.1.00'!$AW$4,'102 5.1.00'!$AW$3)</f>
        <v>0</v>
      </c>
      <c r="D86" s="4">
        <f>(VLOOKUP('102 5.1.00'!K86,'102 5.1.00'!$AL$4:$AN$55,2,FALSE))*IF('102 5.1.00'!AM$4="是",'102 5.1.00'!$AW$4,'102 5.1.00'!$AW$3)</f>
        <v>0</v>
      </c>
      <c r="E86" s="4">
        <f>(VLOOKUP('102 5.1.00'!L86,'102 5.1.00'!$AL$4:$AN$55,2,FALSE))*IF('102 5.1.00'!AN$4="是",'102 5.1.00'!$AW$4,'102 5.1.00'!$AW$3)</f>
        <v>0</v>
      </c>
      <c r="F86" s="4">
        <f>(VLOOKUP('102 5.1.00'!M86,'102 5.1.00'!$AL$4:$AN$55,2,FALSE))*IF('102 5.1.00'!AO$4="是",'102 5.1.00'!$AW$4,'102 5.1.00'!$AW$3)</f>
        <v>0</v>
      </c>
      <c r="G86" s="5">
        <f>(VLOOKUP('102 5.1.00'!N86,'102 5.1.00'!$AL$4:$AN$55,2,FALSE))*IF('102 5.1.00'!AP$4="是",'102 5.1.00'!$AW$4,'102 5.1.00'!$AW$3)</f>
        <v>0</v>
      </c>
      <c r="H86" s="5">
        <f>(VLOOKUP('102 5.1.00'!O86,'102 5.1.00'!$AL$4:$AN$55,2,FALSE))*IF('102 5.1.00'!AQ$4="是",'102 5.1.00'!$AW$4,'102 5.1.00'!$AW$3)</f>
        <v>0</v>
      </c>
      <c r="I86" s="4">
        <f>(VLOOKUP('102 5.1.00'!P86,'102 5.1.00'!$AL$4:$AN$55,2,FALSE))*IF('102 5.1.00'!AR$4="是",'102 5.1.00'!$AW$4,'102 5.1.00'!$AW$3)</f>
        <v>0</v>
      </c>
      <c r="J86" s="4">
        <f>(VLOOKUP('102 5.1.00'!Q86,'102 5.1.00'!$AL$4:$AN$55,2,FALSE))*IF('102 5.1.00'!AS$4="是",'102 5.1.00'!$AW$4,'102 5.1.00'!$AW$3)</f>
        <v>0</v>
      </c>
      <c r="K86" s="4">
        <f>(VLOOKUP('102 5.1.00'!R86,'102 5.1.00'!$AL$4:$AN$55,2,FALSE))*IF('102 5.1.00'!AT$4="是",'102 5.1.00'!$AW$4,'102 5.1.00'!$AW$3)</f>
        <v>0</v>
      </c>
      <c r="L86" s="4">
        <f>(VLOOKUP('102 5.1.00'!S86,'102 5.1.00'!$AL$4:$AN$55,2,FALSE))*IF('102 5.1.00'!AU$4="是",'102 5.1.00'!$AW$4,'102 5.1.00'!$AW$3)</f>
        <v>0</v>
      </c>
      <c r="M86" s="4">
        <f>(VLOOKUP('102 5.1.00'!T86,'102 5.1.00'!$AL$4:$AN$55,2,FALSE))*IF('102 5.1.00'!AV$4="是",'102 5.1.00'!$AW$4,'102 5.1.00'!$AW$3)</f>
        <v>0</v>
      </c>
      <c r="N86" s="4">
        <f>(VLOOKUP('102 5.1.00'!U86,'102 5.1.00'!$AL$4:$AN$55,2,FALSE))*IF('102 5.1.00'!AW$4="是",'102 5.1.00'!$AW$4,'102 5.1.00'!$AW$3)</f>
        <v>0</v>
      </c>
      <c r="O86" s="5">
        <f>(VLOOKUP('102 5.1.00'!V86,'102 5.1.00'!$AL$4:$AN$55,2,FALSE))*IF('102 5.1.00'!AX$4="是",'102 5.1.00'!$AW$4,'102 5.1.00'!$AW$3)</f>
        <v>0</v>
      </c>
      <c r="P86" s="5">
        <f>(VLOOKUP('102 5.1.00'!W86,'102 5.1.00'!$AL$4:$AN$55,2,FALSE))*IF('102 5.1.00'!AY$4="是",'102 5.1.00'!$AW$4,'102 5.1.00'!$AW$3)</f>
        <v>0</v>
      </c>
      <c r="Q86" s="4">
        <f>(VLOOKUP('102 5.1.00'!X86,'102 5.1.00'!$AL$4:$AN$55,2,FALSE))*IF('102 5.1.00'!AZ$4="是",'102 5.1.00'!$AW$4,'102 5.1.00'!$AW$3)</f>
        <v>0</v>
      </c>
      <c r="R86" s="4">
        <f>(VLOOKUP('102 5.1.00'!Y86,'102 5.1.00'!$AL$4:$AN$55,2,FALSE))*IF('102 5.1.00'!BA$4="是",'102 5.1.00'!$AW$4,'102 5.1.00'!$AW$3)</f>
        <v>0</v>
      </c>
      <c r="S86" s="4">
        <f>(VLOOKUP('102 5.1.00'!Z86,'102 5.1.00'!$AL$4:$AN$55,2,FALSE))*IF('102 5.1.00'!BB$4="是",'102 5.1.00'!$AW$4,'102 5.1.00'!$AW$3)</f>
        <v>0</v>
      </c>
      <c r="T86" s="4">
        <f>(VLOOKUP('102 5.1.00'!AA86,'102 5.1.00'!$AL$4:$AN$55,2,FALSE))*IF('102 5.1.00'!BC$4="是",'102 5.1.00'!$AW$4,'102 5.1.00'!$AW$3)</f>
        <v>0</v>
      </c>
      <c r="U86" s="4">
        <f>(VLOOKUP('102 5.1.00'!AB86,'102 5.1.00'!$AL$4:$AN$55,2,FALSE))*IF('102 5.1.00'!BD$4="是",'102 5.1.00'!$AW$4,'102 5.1.00'!$AW$3)</f>
        <v>0</v>
      </c>
      <c r="V86" s="4">
        <f>(VLOOKUP('102 5.1.00'!AC86,'102 5.1.00'!$AL$4:$AN$55,2,FALSE))*IF('102 5.1.00'!BE$4="是",'102 5.1.00'!$AW$4,'102 5.1.00'!$AW$3)</f>
        <v>0</v>
      </c>
      <c r="W86" s="5">
        <f>(VLOOKUP('102 5.1.00'!AD86,'102 5.1.00'!$AL$4:$AN$55,2,FALSE))*IF('102 5.1.00'!BF$4="是",'102 5.1.00'!$AW$4,'102 5.1.00'!$AW$3)</f>
        <v>0</v>
      </c>
      <c r="X86" s="5">
        <f>(VLOOKUP('102 5.1.00'!AE86,'102 5.1.00'!$AL$4:$AN$55,2,FALSE))*IF('102 5.1.00'!BG$4="是",'102 5.1.00'!$AW$4,'102 5.1.00'!$AW$3)</f>
        <v>0</v>
      </c>
    </row>
    <row r="87" spans="1:24">
      <c r="A87" s="4">
        <f>(VLOOKUP('102 5.1.00'!H87,'102 5.1.00'!$AL$4:$AN$55,2,FALSE))*IF('102 5.1.00'!AJ$4="是",'102 5.1.00'!$AW$4,'102 5.1.00'!$AW$3)</f>
        <v>0</v>
      </c>
      <c r="B87" s="4">
        <f>(VLOOKUP('102 5.1.00'!I87,'102 5.1.00'!$AL$4:$AN$55,2,FALSE))*IF('102 5.1.00'!AK$4="是",'102 5.1.00'!$AW$4,'102 5.1.00'!$AW$3)</f>
        <v>0</v>
      </c>
      <c r="C87" s="4">
        <f>(VLOOKUP('102 5.1.00'!J87,'102 5.1.00'!$AL$4:$AN$55,2,FALSE))*IF('102 5.1.00'!AL$4="是",'102 5.1.00'!$AW$4,'102 5.1.00'!$AW$3)</f>
        <v>0</v>
      </c>
      <c r="D87" s="4">
        <f>(VLOOKUP('102 5.1.00'!K87,'102 5.1.00'!$AL$4:$AN$55,2,FALSE))*IF('102 5.1.00'!AM$4="是",'102 5.1.00'!$AW$4,'102 5.1.00'!$AW$3)</f>
        <v>0</v>
      </c>
      <c r="E87" s="4">
        <f>(VLOOKUP('102 5.1.00'!L87,'102 5.1.00'!$AL$4:$AN$55,2,FALSE))*IF('102 5.1.00'!AN$4="是",'102 5.1.00'!$AW$4,'102 5.1.00'!$AW$3)</f>
        <v>0</v>
      </c>
      <c r="F87" s="4">
        <f>(VLOOKUP('102 5.1.00'!M87,'102 5.1.00'!$AL$4:$AN$55,2,FALSE))*IF('102 5.1.00'!AO$4="是",'102 5.1.00'!$AW$4,'102 5.1.00'!$AW$3)</f>
        <v>0</v>
      </c>
      <c r="G87" s="5">
        <f>(VLOOKUP('102 5.1.00'!N87,'102 5.1.00'!$AL$4:$AN$55,2,FALSE))*IF('102 5.1.00'!AP$4="是",'102 5.1.00'!$AW$4,'102 5.1.00'!$AW$3)</f>
        <v>0</v>
      </c>
      <c r="H87" s="5">
        <f>(VLOOKUP('102 5.1.00'!O87,'102 5.1.00'!$AL$4:$AN$55,2,FALSE))*IF('102 5.1.00'!AQ$4="是",'102 5.1.00'!$AW$4,'102 5.1.00'!$AW$3)</f>
        <v>0</v>
      </c>
      <c r="I87" s="4">
        <f>(VLOOKUP('102 5.1.00'!P87,'102 5.1.00'!$AL$4:$AN$55,2,FALSE))*IF('102 5.1.00'!AR$4="是",'102 5.1.00'!$AW$4,'102 5.1.00'!$AW$3)</f>
        <v>0</v>
      </c>
      <c r="J87" s="4">
        <f>(VLOOKUP('102 5.1.00'!Q87,'102 5.1.00'!$AL$4:$AN$55,2,FALSE))*IF('102 5.1.00'!AS$4="是",'102 5.1.00'!$AW$4,'102 5.1.00'!$AW$3)</f>
        <v>0</v>
      </c>
      <c r="K87" s="4">
        <f>(VLOOKUP('102 5.1.00'!R87,'102 5.1.00'!$AL$4:$AN$55,2,FALSE))*IF('102 5.1.00'!AT$4="是",'102 5.1.00'!$AW$4,'102 5.1.00'!$AW$3)</f>
        <v>0</v>
      </c>
      <c r="L87" s="4">
        <f>(VLOOKUP('102 5.1.00'!S87,'102 5.1.00'!$AL$4:$AN$55,2,FALSE))*IF('102 5.1.00'!AU$4="是",'102 5.1.00'!$AW$4,'102 5.1.00'!$AW$3)</f>
        <v>0</v>
      </c>
      <c r="M87" s="4">
        <f>(VLOOKUP('102 5.1.00'!T87,'102 5.1.00'!$AL$4:$AN$55,2,FALSE))*IF('102 5.1.00'!AV$4="是",'102 5.1.00'!$AW$4,'102 5.1.00'!$AW$3)</f>
        <v>0</v>
      </c>
      <c r="N87" s="4">
        <f>(VLOOKUP('102 5.1.00'!U87,'102 5.1.00'!$AL$4:$AN$55,2,FALSE))*IF('102 5.1.00'!AW$4="是",'102 5.1.00'!$AW$4,'102 5.1.00'!$AW$3)</f>
        <v>0</v>
      </c>
      <c r="O87" s="5">
        <f>(VLOOKUP('102 5.1.00'!V87,'102 5.1.00'!$AL$4:$AN$55,2,FALSE))*IF('102 5.1.00'!AX$4="是",'102 5.1.00'!$AW$4,'102 5.1.00'!$AW$3)</f>
        <v>0</v>
      </c>
      <c r="P87" s="5">
        <f>(VLOOKUP('102 5.1.00'!W87,'102 5.1.00'!$AL$4:$AN$55,2,FALSE))*IF('102 5.1.00'!AY$4="是",'102 5.1.00'!$AW$4,'102 5.1.00'!$AW$3)</f>
        <v>0</v>
      </c>
      <c r="Q87" s="4">
        <f>(VLOOKUP('102 5.1.00'!X87,'102 5.1.00'!$AL$4:$AN$55,2,FALSE))*IF('102 5.1.00'!AZ$4="是",'102 5.1.00'!$AW$4,'102 5.1.00'!$AW$3)</f>
        <v>0</v>
      </c>
      <c r="R87" s="4">
        <f>(VLOOKUP('102 5.1.00'!Y87,'102 5.1.00'!$AL$4:$AN$55,2,FALSE))*IF('102 5.1.00'!BA$4="是",'102 5.1.00'!$AW$4,'102 5.1.00'!$AW$3)</f>
        <v>0</v>
      </c>
      <c r="S87" s="4">
        <f>(VLOOKUP('102 5.1.00'!Z87,'102 5.1.00'!$AL$4:$AN$55,2,FALSE))*IF('102 5.1.00'!BB$4="是",'102 5.1.00'!$AW$4,'102 5.1.00'!$AW$3)</f>
        <v>0</v>
      </c>
      <c r="T87" s="4">
        <f>(VLOOKUP('102 5.1.00'!AA87,'102 5.1.00'!$AL$4:$AN$55,2,FALSE))*IF('102 5.1.00'!BC$4="是",'102 5.1.00'!$AW$4,'102 5.1.00'!$AW$3)</f>
        <v>0</v>
      </c>
      <c r="U87" s="4">
        <f>(VLOOKUP('102 5.1.00'!AB87,'102 5.1.00'!$AL$4:$AN$55,2,FALSE))*IF('102 5.1.00'!BD$4="是",'102 5.1.00'!$AW$4,'102 5.1.00'!$AW$3)</f>
        <v>0</v>
      </c>
      <c r="V87" s="4">
        <f>(VLOOKUP('102 5.1.00'!AC87,'102 5.1.00'!$AL$4:$AN$55,2,FALSE))*IF('102 5.1.00'!BE$4="是",'102 5.1.00'!$AW$4,'102 5.1.00'!$AW$3)</f>
        <v>0</v>
      </c>
      <c r="W87" s="5">
        <f>(VLOOKUP('102 5.1.00'!AD87,'102 5.1.00'!$AL$4:$AN$55,2,FALSE))*IF('102 5.1.00'!BF$4="是",'102 5.1.00'!$AW$4,'102 5.1.00'!$AW$3)</f>
        <v>0</v>
      </c>
      <c r="X87" s="5">
        <f>(VLOOKUP('102 5.1.00'!AE87,'102 5.1.00'!$AL$4:$AN$55,2,FALSE))*IF('102 5.1.00'!BG$4="是",'102 5.1.00'!$AW$4,'102 5.1.00'!$AW$3)</f>
        <v>0</v>
      </c>
    </row>
    <row r="88" spans="1:24">
      <c r="A88" s="4">
        <f>(VLOOKUP('102 5.1.00'!H88,'102 5.1.00'!$AL$4:$AN$55,2,FALSE))*IF('102 5.1.00'!AJ$4="是",'102 5.1.00'!$AW$4,'102 5.1.00'!$AW$3)</f>
        <v>0</v>
      </c>
      <c r="B88" s="4">
        <f>(VLOOKUP('102 5.1.00'!I88,'102 5.1.00'!$AL$4:$AN$55,2,FALSE))*IF('102 5.1.00'!AK$4="是",'102 5.1.00'!$AW$4,'102 5.1.00'!$AW$3)</f>
        <v>0</v>
      </c>
      <c r="C88" s="4">
        <f>(VLOOKUP('102 5.1.00'!J88,'102 5.1.00'!$AL$4:$AN$55,2,FALSE))*IF('102 5.1.00'!AL$4="是",'102 5.1.00'!$AW$4,'102 5.1.00'!$AW$3)</f>
        <v>0</v>
      </c>
      <c r="D88" s="4">
        <f>(VLOOKUP('102 5.1.00'!K88,'102 5.1.00'!$AL$4:$AN$55,2,FALSE))*IF('102 5.1.00'!AM$4="是",'102 5.1.00'!$AW$4,'102 5.1.00'!$AW$3)</f>
        <v>0</v>
      </c>
      <c r="E88" s="4">
        <f>(VLOOKUP('102 5.1.00'!L88,'102 5.1.00'!$AL$4:$AN$55,2,FALSE))*IF('102 5.1.00'!AN$4="是",'102 5.1.00'!$AW$4,'102 5.1.00'!$AW$3)</f>
        <v>0</v>
      </c>
      <c r="F88" s="4">
        <f>(VLOOKUP('102 5.1.00'!M88,'102 5.1.00'!$AL$4:$AN$55,2,FALSE))*IF('102 5.1.00'!AO$4="是",'102 5.1.00'!$AW$4,'102 5.1.00'!$AW$3)</f>
        <v>0</v>
      </c>
      <c r="G88" s="5">
        <f>(VLOOKUP('102 5.1.00'!N88,'102 5.1.00'!$AL$4:$AN$55,2,FALSE))*IF('102 5.1.00'!AP$4="是",'102 5.1.00'!$AW$4,'102 5.1.00'!$AW$3)</f>
        <v>0</v>
      </c>
      <c r="H88" s="5">
        <f>(VLOOKUP('102 5.1.00'!O88,'102 5.1.00'!$AL$4:$AN$55,2,FALSE))*IF('102 5.1.00'!AQ$4="是",'102 5.1.00'!$AW$4,'102 5.1.00'!$AW$3)</f>
        <v>0</v>
      </c>
      <c r="I88" s="4">
        <f>(VLOOKUP('102 5.1.00'!P88,'102 5.1.00'!$AL$4:$AN$55,2,FALSE))*IF('102 5.1.00'!AR$4="是",'102 5.1.00'!$AW$4,'102 5.1.00'!$AW$3)</f>
        <v>0</v>
      </c>
      <c r="J88" s="4">
        <f>(VLOOKUP('102 5.1.00'!Q88,'102 5.1.00'!$AL$4:$AN$55,2,FALSE))*IF('102 5.1.00'!AS$4="是",'102 5.1.00'!$AW$4,'102 5.1.00'!$AW$3)</f>
        <v>0</v>
      </c>
      <c r="K88" s="4">
        <f>(VLOOKUP('102 5.1.00'!R88,'102 5.1.00'!$AL$4:$AN$55,2,FALSE))*IF('102 5.1.00'!AT$4="是",'102 5.1.00'!$AW$4,'102 5.1.00'!$AW$3)</f>
        <v>0</v>
      </c>
      <c r="L88" s="4">
        <f>(VLOOKUP('102 5.1.00'!S88,'102 5.1.00'!$AL$4:$AN$55,2,FALSE))*IF('102 5.1.00'!AU$4="是",'102 5.1.00'!$AW$4,'102 5.1.00'!$AW$3)</f>
        <v>0</v>
      </c>
      <c r="M88" s="4">
        <f>(VLOOKUP('102 5.1.00'!T88,'102 5.1.00'!$AL$4:$AN$55,2,FALSE))*IF('102 5.1.00'!AV$4="是",'102 5.1.00'!$AW$4,'102 5.1.00'!$AW$3)</f>
        <v>0</v>
      </c>
      <c r="N88" s="4">
        <f>(VLOOKUP('102 5.1.00'!U88,'102 5.1.00'!$AL$4:$AN$55,2,FALSE))*IF('102 5.1.00'!AW$4="是",'102 5.1.00'!$AW$4,'102 5.1.00'!$AW$3)</f>
        <v>0</v>
      </c>
      <c r="O88" s="5">
        <f>(VLOOKUP('102 5.1.00'!V88,'102 5.1.00'!$AL$4:$AN$55,2,FALSE))*IF('102 5.1.00'!AX$4="是",'102 5.1.00'!$AW$4,'102 5.1.00'!$AW$3)</f>
        <v>0</v>
      </c>
      <c r="P88" s="5">
        <f>(VLOOKUP('102 5.1.00'!W88,'102 5.1.00'!$AL$4:$AN$55,2,FALSE))*IF('102 5.1.00'!AY$4="是",'102 5.1.00'!$AW$4,'102 5.1.00'!$AW$3)</f>
        <v>0</v>
      </c>
      <c r="Q88" s="4">
        <f>(VLOOKUP('102 5.1.00'!X88,'102 5.1.00'!$AL$4:$AN$55,2,FALSE))*IF('102 5.1.00'!AZ$4="是",'102 5.1.00'!$AW$4,'102 5.1.00'!$AW$3)</f>
        <v>0</v>
      </c>
      <c r="R88" s="4">
        <f>(VLOOKUP('102 5.1.00'!Y88,'102 5.1.00'!$AL$4:$AN$55,2,FALSE))*IF('102 5.1.00'!BA$4="是",'102 5.1.00'!$AW$4,'102 5.1.00'!$AW$3)</f>
        <v>0</v>
      </c>
      <c r="S88" s="4">
        <f>(VLOOKUP('102 5.1.00'!Z88,'102 5.1.00'!$AL$4:$AN$55,2,FALSE))*IF('102 5.1.00'!BB$4="是",'102 5.1.00'!$AW$4,'102 5.1.00'!$AW$3)</f>
        <v>0</v>
      </c>
      <c r="T88" s="4">
        <f>(VLOOKUP('102 5.1.00'!AA88,'102 5.1.00'!$AL$4:$AN$55,2,FALSE))*IF('102 5.1.00'!BC$4="是",'102 5.1.00'!$AW$4,'102 5.1.00'!$AW$3)</f>
        <v>0</v>
      </c>
      <c r="U88" s="4">
        <f>(VLOOKUP('102 5.1.00'!AB88,'102 5.1.00'!$AL$4:$AN$55,2,FALSE))*IF('102 5.1.00'!BD$4="是",'102 5.1.00'!$AW$4,'102 5.1.00'!$AW$3)</f>
        <v>0</v>
      </c>
      <c r="V88" s="4">
        <f>(VLOOKUP('102 5.1.00'!AC88,'102 5.1.00'!$AL$4:$AN$55,2,FALSE))*IF('102 5.1.00'!BE$4="是",'102 5.1.00'!$AW$4,'102 5.1.00'!$AW$3)</f>
        <v>0</v>
      </c>
      <c r="W88" s="5">
        <f>(VLOOKUP('102 5.1.00'!AD88,'102 5.1.00'!$AL$4:$AN$55,2,FALSE))*IF('102 5.1.00'!BF$4="是",'102 5.1.00'!$AW$4,'102 5.1.00'!$AW$3)</f>
        <v>0</v>
      </c>
      <c r="X88" s="5">
        <f>(VLOOKUP('102 5.1.00'!AE88,'102 5.1.00'!$AL$4:$AN$55,2,FALSE))*IF('102 5.1.00'!BG$4="是",'102 5.1.00'!$AW$4,'102 5.1.00'!$AW$3)</f>
        <v>0</v>
      </c>
    </row>
    <row r="89" spans="1:24">
      <c r="A89" s="4">
        <f>(VLOOKUP('102 5.1.00'!H89,'102 5.1.00'!$AL$4:$AN$55,2,FALSE))*IF('102 5.1.00'!AJ$4="是",'102 5.1.00'!$AW$4,'102 5.1.00'!$AW$3)</f>
        <v>0</v>
      </c>
      <c r="B89" s="4">
        <f>(VLOOKUP('102 5.1.00'!I89,'102 5.1.00'!$AL$4:$AN$55,2,FALSE))*IF('102 5.1.00'!AK$4="是",'102 5.1.00'!$AW$4,'102 5.1.00'!$AW$3)</f>
        <v>0</v>
      </c>
      <c r="C89" s="4">
        <f>(VLOOKUP('102 5.1.00'!J89,'102 5.1.00'!$AL$4:$AN$55,2,FALSE))*IF('102 5.1.00'!AL$4="是",'102 5.1.00'!$AW$4,'102 5.1.00'!$AW$3)</f>
        <v>0</v>
      </c>
      <c r="D89" s="4">
        <f>(VLOOKUP('102 5.1.00'!K89,'102 5.1.00'!$AL$4:$AN$55,2,FALSE))*IF('102 5.1.00'!AM$4="是",'102 5.1.00'!$AW$4,'102 5.1.00'!$AW$3)</f>
        <v>0</v>
      </c>
      <c r="E89" s="4">
        <f>(VLOOKUP('102 5.1.00'!L89,'102 5.1.00'!$AL$4:$AN$55,2,FALSE))*IF('102 5.1.00'!AN$4="是",'102 5.1.00'!$AW$4,'102 5.1.00'!$AW$3)</f>
        <v>0</v>
      </c>
      <c r="F89" s="4">
        <f>(VLOOKUP('102 5.1.00'!M89,'102 5.1.00'!$AL$4:$AN$55,2,FALSE))*IF('102 5.1.00'!AO$4="是",'102 5.1.00'!$AW$4,'102 5.1.00'!$AW$3)</f>
        <v>0</v>
      </c>
      <c r="G89" s="5">
        <f>(VLOOKUP('102 5.1.00'!N89,'102 5.1.00'!$AL$4:$AN$55,2,FALSE))*IF('102 5.1.00'!AP$4="是",'102 5.1.00'!$AW$4,'102 5.1.00'!$AW$3)</f>
        <v>0</v>
      </c>
      <c r="H89" s="5">
        <f>(VLOOKUP('102 5.1.00'!O89,'102 5.1.00'!$AL$4:$AN$55,2,FALSE))*IF('102 5.1.00'!AQ$4="是",'102 5.1.00'!$AW$4,'102 5.1.00'!$AW$3)</f>
        <v>0</v>
      </c>
      <c r="I89" s="4">
        <f>(VLOOKUP('102 5.1.00'!P89,'102 5.1.00'!$AL$4:$AN$55,2,FALSE))*IF('102 5.1.00'!AR$4="是",'102 5.1.00'!$AW$4,'102 5.1.00'!$AW$3)</f>
        <v>0</v>
      </c>
      <c r="J89" s="4">
        <f>(VLOOKUP('102 5.1.00'!Q89,'102 5.1.00'!$AL$4:$AN$55,2,FALSE))*IF('102 5.1.00'!AS$4="是",'102 5.1.00'!$AW$4,'102 5.1.00'!$AW$3)</f>
        <v>0</v>
      </c>
      <c r="K89" s="4">
        <f>(VLOOKUP('102 5.1.00'!R89,'102 5.1.00'!$AL$4:$AN$55,2,FALSE))*IF('102 5.1.00'!AT$4="是",'102 5.1.00'!$AW$4,'102 5.1.00'!$AW$3)</f>
        <v>0</v>
      </c>
      <c r="L89" s="4">
        <f>(VLOOKUP('102 5.1.00'!S89,'102 5.1.00'!$AL$4:$AN$55,2,FALSE))*IF('102 5.1.00'!AU$4="是",'102 5.1.00'!$AW$4,'102 5.1.00'!$AW$3)</f>
        <v>0</v>
      </c>
      <c r="M89" s="4">
        <f>(VLOOKUP('102 5.1.00'!T89,'102 5.1.00'!$AL$4:$AN$55,2,FALSE))*IF('102 5.1.00'!AV$4="是",'102 5.1.00'!$AW$4,'102 5.1.00'!$AW$3)</f>
        <v>0</v>
      </c>
      <c r="N89" s="4">
        <f>(VLOOKUP('102 5.1.00'!U89,'102 5.1.00'!$AL$4:$AN$55,2,FALSE))*IF('102 5.1.00'!AW$4="是",'102 5.1.00'!$AW$4,'102 5.1.00'!$AW$3)</f>
        <v>0</v>
      </c>
      <c r="O89" s="5">
        <f>(VLOOKUP('102 5.1.00'!V89,'102 5.1.00'!$AL$4:$AN$55,2,FALSE))*IF('102 5.1.00'!AX$4="是",'102 5.1.00'!$AW$4,'102 5.1.00'!$AW$3)</f>
        <v>0</v>
      </c>
      <c r="P89" s="5">
        <f>(VLOOKUP('102 5.1.00'!W89,'102 5.1.00'!$AL$4:$AN$55,2,FALSE))*IF('102 5.1.00'!AY$4="是",'102 5.1.00'!$AW$4,'102 5.1.00'!$AW$3)</f>
        <v>0</v>
      </c>
      <c r="Q89" s="4">
        <f>(VLOOKUP('102 5.1.00'!X89,'102 5.1.00'!$AL$4:$AN$55,2,FALSE))*IF('102 5.1.00'!AZ$4="是",'102 5.1.00'!$AW$4,'102 5.1.00'!$AW$3)</f>
        <v>0</v>
      </c>
      <c r="R89" s="4">
        <f>(VLOOKUP('102 5.1.00'!Y89,'102 5.1.00'!$AL$4:$AN$55,2,FALSE))*IF('102 5.1.00'!BA$4="是",'102 5.1.00'!$AW$4,'102 5.1.00'!$AW$3)</f>
        <v>0</v>
      </c>
      <c r="S89" s="4">
        <f>(VLOOKUP('102 5.1.00'!Z89,'102 5.1.00'!$AL$4:$AN$55,2,FALSE))*IF('102 5.1.00'!BB$4="是",'102 5.1.00'!$AW$4,'102 5.1.00'!$AW$3)</f>
        <v>0</v>
      </c>
      <c r="T89" s="4">
        <f>(VLOOKUP('102 5.1.00'!AA89,'102 5.1.00'!$AL$4:$AN$55,2,FALSE))*IF('102 5.1.00'!BC$4="是",'102 5.1.00'!$AW$4,'102 5.1.00'!$AW$3)</f>
        <v>0</v>
      </c>
      <c r="U89" s="4">
        <f>(VLOOKUP('102 5.1.00'!AB89,'102 5.1.00'!$AL$4:$AN$55,2,FALSE))*IF('102 5.1.00'!BD$4="是",'102 5.1.00'!$AW$4,'102 5.1.00'!$AW$3)</f>
        <v>0</v>
      </c>
      <c r="V89" s="4">
        <f>(VLOOKUP('102 5.1.00'!AC89,'102 5.1.00'!$AL$4:$AN$55,2,FALSE))*IF('102 5.1.00'!BE$4="是",'102 5.1.00'!$AW$4,'102 5.1.00'!$AW$3)</f>
        <v>0</v>
      </c>
      <c r="W89" s="5">
        <f>(VLOOKUP('102 5.1.00'!AD89,'102 5.1.00'!$AL$4:$AN$55,2,FALSE))*IF('102 5.1.00'!BF$4="是",'102 5.1.00'!$AW$4,'102 5.1.00'!$AW$3)</f>
        <v>0</v>
      </c>
      <c r="X89" s="5">
        <f>(VLOOKUP('102 5.1.00'!AE89,'102 5.1.00'!$AL$4:$AN$55,2,FALSE))*IF('102 5.1.00'!BG$4="是",'102 5.1.00'!$AW$4,'102 5.1.00'!$AW$3)</f>
        <v>0</v>
      </c>
    </row>
    <row r="90" spans="1:24">
      <c r="A90" s="4">
        <f>(VLOOKUP('102 5.1.00'!H90,'102 5.1.00'!$AL$4:$AN$55,2,FALSE))*IF('102 5.1.00'!AJ$4="是",'102 5.1.00'!$AW$4,'102 5.1.00'!$AW$3)</f>
        <v>0</v>
      </c>
      <c r="B90" s="4">
        <f>(VLOOKUP('102 5.1.00'!I90,'102 5.1.00'!$AL$4:$AN$55,2,FALSE))*IF('102 5.1.00'!AK$4="是",'102 5.1.00'!$AW$4,'102 5.1.00'!$AW$3)</f>
        <v>0</v>
      </c>
      <c r="C90" s="4">
        <f>(VLOOKUP('102 5.1.00'!J90,'102 5.1.00'!$AL$4:$AN$55,2,FALSE))*IF('102 5.1.00'!AL$4="是",'102 5.1.00'!$AW$4,'102 5.1.00'!$AW$3)</f>
        <v>0</v>
      </c>
      <c r="D90" s="4">
        <f>(VLOOKUP('102 5.1.00'!K90,'102 5.1.00'!$AL$4:$AN$55,2,FALSE))*IF('102 5.1.00'!AM$4="是",'102 5.1.00'!$AW$4,'102 5.1.00'!$AW$3)</f>
        <v>0</v>
      </c>
      <c r="E90" s="4">
        <f>(VLOOKUP('102 5.1.00'!L90,'102 5.1.00'!$AL$4:$AN$55,2,FALSE))*IF('102 5.1.00'!AN$4="是",'102 5.1.00'!$AW$4,'102 5.1.00'!$AW$3)</f>
        <v>0</v>
      </c>
      <c r="F90" s="4">
        <f>(VLOOKUP('102 5.1.00'!M90,'102 5.1.00'!$AL$4:$AN$55,2,FALSE))*IF('102 5.1.00'!AO$4="是",'102 5.1.00'!$AW$4,'102 5.1.00'!$AW$3)</f>
        <v>0</v>
      </c>
      <c r="G90" s="5">
        <f>(VLOOKUP('102 5.1.00'!N90,'102 5.1.00'!$AL$4:$AN$55,2,FALSE))*IF('102 5.1.00'!AP$4="是",'102 5.1.00'!$AW$4,'102 5.1.00'!$AW$3)</f>
        <v>0</v>
      </c>
      <c r="H90" s="5">
        <f>(VLOOKUP('102 5.1.00'!O90,'102 5.1.00'!$AL$4:$AN$55,2,FALSE))*IF('102 5.1.00'!AQ$4="是",'102 5.1.00'!$AW$4,'102 5.1.00'!$AW$3)</f>
        <v>0</v>
      </c>
      <c r="I90" s="4">
        <f>(VLOOKUP('102 5.1.00'!P90,'102 5.1.00'!$AL$4:$AN$55,2,FALSE))*IF('102 5.1.00'!AR$4="是",'102 5.1.00'!$AW$4,'102 5.1.00'!$AW$3)</f>
        <v>0</v>
      </c>
      <c r="J90" s="4">
        <f>(VLOOKUP('102 5.1.00'!Q90,'102 5.1.00'!$AL$4:$AN$55,2,FALSE))*IF('102 5.1.00'!AS$4="是",'102 5.1.00'!$AW$4,'102 5.1.00'!$AW$3)</f>
        <v>0</v>
      </c>
      <c r="K90" s="4">
        <f>(VLOOKUP('102 5.1.00'!R90,'102 5.1.00'!$AL$4:$AN$55,2,FALSE))*IF('102 5.1.00'!AT$4="是",'102 5.1.00'!$AW$4,'102 5.1.00'!$AW$3)</f>
        <v>0</v>
      </c>
      <c r="L90" s="4">
        <f>(VLOOKUP('102 5.1.00'!S90,'102 5.1.00'!$AL$4:$AN$55,2,FALSE))*IF('102 5.1.00'!AU$4="是",'102 5.1.00'!$AW$4,'102 5.1.00'!$AW$3)</f>
        <v>0</v>
      </c>
      <c r="M90" s="4">
        <f>(VLOOKUP('102 5.1.00'!T90,'102 5.1.00'!$AL$4:$AN$55,2,FALSE))*IF('102 5.1.00'!AV$4="是",'102 5.1.00'!$AW$4,'102 5.1.00'!$AW$3)</f>
        <v>0</v>
      </c>
      <c r="N90" s="4">
        <f>(VLOOKUP('102 5.1.00'!U90,'102 5.1.00'!$AL$4:$AN$55,2,FALSE))*IF('102 5.1.00'!AW$4="是",'102 5.1.00'!$AW$4,'102 5.1.00'!$AW$3)</f>
        <v>0</v>
      </c>
      <c r="O90" s="5">
        <f>(VLOOKUP('102 5.1.00'!V90,'102 5.1.00'!$AL$4:$AN$55,2,FALSE))*IF('102 5.1.00'!AX$4="是",'102 5.1.00'!$AW$4,'102 5.1.00'!$AW$3)</f>
        <v>0</v>
      </c>
      <c r="P90" s="5">
        <f>(VLOOKUP('102 5.1.00'!W90,'102 5.1.00'!$AL$4:$AN$55,2,FALSE))*IF('102 5.1.00'!AY$4="是",'102 5.1.00'!$AW$4,'102 5.1.00'!$AW$3)</f>
        <v>0</v>
      </c>
      <c r="Q90" s="4">
        <f>(VLOOKUP('102 5.1.00'!X90,'102 5.1.00'!$AL$4:$AN$55,2,FALSE))*IF('102 5.1.00'!AZ$4="是",'102 5.1.00'!$AW$4,'102 5.1.00'!$AW$3)</f>
        <v>0</v>
      </c>
      <c r="R90" s="4">
        <f>(VLOOKUP('102 5.1.00'!Y90,'102 5.1.00'!$AL$4:$AN$55,2,FALSE))*IF('102 5.1.00'!BA$4="是",'102 5.1.00'!$AW$4,'102 5.1.00'!$AW$3)</f>
        <v>0</v>
      </c>
      <c r="S90" s="4">
        <f>(VLOOKUP('102 5.1.00'!Z90,'102 5.1.00'!$AL$4:$AN$55,2,FALSE))*IF('102 5.1.00'!BB$4="是",'102 5.1.00'!$AW$4,'102 5.1.00'!$AW$3)</f>
        <v>0</v>
      </c>
      <c r="T90" s="4">
        <f>(VLOOKUP('102 5.1.00'!AA90,'102 5.1.00'!$AL$4:$AN$55,2,FALSE))*IF('102 5.1.00'!BC$4="是",'102 5.1.00'!$AW$4,'102 5.1.00'!$AW$3)</f>
        <v>0</v>
      </c>
      <c r="U90" s="4">
        <f>(VLOOKUP('102 5.1.00'!AB90,'102 5.1.00'!$AL$4:$AN$55,2,FALSE))*IF('102 5.1.00'!BD$4="是",'102 5.1.00'!$AW$4,'102 5.1.00'!$AW$3)</f>
        <v>0</v>
      </c>
      <c r="V90" s="4">
        <f>(VLOOKUP('102 5.1.00'!AC90,'102 5.1.00'!$AL$4:$AN$55,2,FALSE))*IF('102 5.1.00'!BE$4="是",'102 5.1.00'!$AW$4,'102 5.1.00'!$AW$3)</f>
        <v>0</v>
      </c>
      <c r="W90" s="5">
        <f>(VLOOKUP('102 5.1.00'!AD90,'102 5.1.00'!$AL$4:$AN$55,2,FALSE))*IF('102 5.1.00'!BF$4="是",'102 5.1.00'!$AW$4,'102 5.1.00'!$AW$3)</f>
        <v>0</v>
      </c>
      <c r="X90" s="5">
        <f>(VLOOKUP('102 5.1.00'!AE90,'102 5.1.00'!$AL$4:$AN$55,2,FALSE))*IF('102 5.1.00'!BG$4="是",'102 5.1.00'!$AW$4,'102 5.1.00'!$AW$3)</f>
        <v>0</v>
      </c>
    </row>
    <row r="91" spans="1:24">
      <c r="A91" s="4">
        <f>(VLOOKUP('102 5.1.00'!H91,'102 5.1.00'!$AL$4:$AN$55,2,FALSE))*IF('102 5.1.00'!AJ$4="是",'102 5.1.00'!$AW$4,'102 5.1.00'!$AW$3)</f>
        <v>0</v>
      </c>
      <c r="B91" s="4">
        <f>(VLOOKUP('102 5.1.00'!I91,'102 5.1.00'!$AL$4:$AN$55,2,FALSE))*IF('102 5.1.00'!AK$4="是",'102 5.1.00'!$AW$4,'102 5.1.00'!$AW$3)</f>
        <v>0</v>
      </c>
      <c r="C91" s="4">
        <f>(VLOOKUP('102 5.1.00'!J91,'102 5.1.00'!$AL$4:$AN$55,2,FALSE))*IF('102 5.1.00'!AL$4="是",'102 5.1.00'!$AW$4,'102 5.1.00'!$AW$3)</f>
        <v>0</v>
      </c>
      <c r="D91" s="4">
        <f>(VLOOKUP('102 5.1.00'!K91,'102 5.1.00'!$AL$4:$AN$55,2,FALSE))*IF('102 5.1.00'!AM$4="是",'102 5.1.00'!$AW$4,'102 5.1.00'!$AW$3)</f>
        <v>0</v>
      </c>
      <c r="E91" s="4">
        <f>(VLOOKUP('102 5.1.00'!L91,'102 5.1.00'!$AL$4:$AN$55,2,FALSE))*IF('102 5.1.00'!AN$4="是",'102 5.1.00'!$AW$4,'102 5.1.00'!$AW$3)</f>
        <v>0</v>
      </c>
      <c r="F91" s="4">
        <f>(VLOOKUP('102 5.1.00'!M91,'102 5.1.00'!$AL$4:$AN$55,2,FALSE))*IF('102 5.1.00'!AO$4="是",'102 5.1.00'!$AW$4,'102 5.1.00'!$AW$3)</f>
        <v>0</v>
      </c>
      <c r="G91" s="5">
        <f>(VLOOKUP('102 5.1.00'!N91,'102 5.1.00'!$AL$4:$AN$55,2,FALSE))*IF('102 5.1.00'!AP$4="是",'102 5.1.00'!$AW$4,'102 5.1.00'!$AW$3)</f>
        <v>0</v>
      </c>
      <c r="H91" s="5">
        <f>(VLOOKUP('102 5.1.00'!O91,'102 5.1.00'!$AL$4:$AN$55,2,FALSE))*IF('102 5.1.00'!AQ$4="是",'102 5.1.00'!$AW$4,'102 5.1.00'!$AW$3)</f>
        <v>0</v>
      </c>
      <c r="I91" s="4">
        <f>(VLOOKUP('102 5.1.00'!P91,'102 5.1.00'!$AL$4:$AN$55,2,FALSE))*IF('102 5.1.00'!AR$4="是",'102 5.1.00'!$AW$4,'102 5.1.00'!$AW$3)</f>
        <v>0</v>
      </c>
      <c r="J91" s="4">
        <f>(VLOOKUP('102 5.1.00'!Q91,'102 5.1.00'!$AL$4:$AN$55,2,FALSE))*IF('102 5.1.00'!AS$4="是",'102 5.1.00'!$AW$4,'102 5.1.00'!$AW$3)</f>
        <v>0</v>
      </c>
      <c r="K91" s="4">
        <f>(VLOOKUP('102 5.1.00'!R91,'102 5.1.00'!$AL$4:$AN$55,2,FALSE))*IF('102 5.1.00'!AT$4="是",'102 5.1.00'!$AW$4,'102 5.1.00'!$AW$3)</f>
        <v>0</v>
      </c>
      <c r="L91" s="4">
        <f>(VLOOKUP('102 5.1.00'!S91,'102 5.1.00'!$AL$4:$AN$55,2,FALSE))*IF('102 5.1.00'!AU$4="是",'102 5.1.00'!$AW$4,'102 5.1.00'!$AW$3)</f>
        <v>0</v>
      </c>
      <c r="M91" s="4">
        <f>(VLOOKUP('102 5.1.00'!T91,'102 5.1.00'!$AL$4:$AN$55,2,FALSE))*IF('102 5.1.00'!AV$4="是",'102 5.1.00'!$AW$4,'102 5.1.00'!$AW$3)</f>
        <v>0</v>
      </c>
      <c r="N91" s="4">
        <f>(VLOOKUP('102 5.1.00'!U91,'102 5.1.00'!$AL$4:$AN$55,2,FALSE))*IF('102 5.1.00'!AW$4="是",'102 5.1.00'!$AW$4,'102 5.1.00'!$AW$3)</f>
        <v>0</v>
      </c>
      <c r="O91" s="5">
        <f>(VLOOKUP('102 5.1.00'!V91,'102 5.1.00'!$AL$4:$AN$55,2,FALSE))*IF('102 5.1.00'!AX$4="是",'102 5.1.00'!$AW$4,'102 5.1.00'!$AW$3)</f>
        <v>0</v>
      </c>
      <c r="P91" s="5">
        <f>(VLOOKUP('102 5.1.00'!W91,'102 5.1.00'!$AL$4:$AN$55,2,FALSE))*IF('102 5.1.00'!AY$4="是",'102 5.1.00'!$AW$4,'102 5.1.00'!$AW$3)</f>
        <v>0</v>
      </c>
      <c r="Q91" s="4">
        <f>(VLOOKUP('102 5.1.00'!X91,'102 5.1.00'!$AL$4:$AN$55,2,FALSE))*IF('102 5.1.00'!AZ$4="是",'102 5.1.00'!$AW$4,'102 5.1.00'!$AW$3)</f>
        <v>0</v>
      </c>
      <c r="R91" s="4">
        <f>(VLOOKUP('102 5.1.00'!Y91,'102 5.1.00'!$AL$4:$AN$55,2,FALSE))*IF('102 5.1.00'!BA$4="是",'102 5.1.00'!$AW$4,'102 5.1.00'!$AW$3)</f>
        <v>0</v>
      </c>
      <c r="S91" s="4">
        <f>(VLOOKUP('102 5.1.00'!Z91,'102 5.1.00'!$AL$4:$AN$55,2,FALSE))*IF('102 5.1.00'!BB$4="是",'102 5.1.00'!$AW$4,'102 5.1.00'!$AW$3)</f>
        <v>0</v>
      </c>
      <c r="T91" s="4">
        <f>(VLOOKUP('102 5.1.00'!AA91,'102 5.1.00'!$AL$4:$AN$55,2,FALSE))*IF('102 5.1.00'!BC$4="是",'102 5.1.00'!$AW$4,'102 5.1.00'!$AW$3)</f>
        <v>0</v>
      </c>
      <c r="U91" s="4">
        <f>(VLOOKUP('102 5.1.00'!AB91,'102 5.1.00'!$AL$4:$AN$55,2,FALSE))*IF('102 5.1.00'!BD$4="是",'102 5.1.00'!$AW$4,'102 5.1.00'!$AW$3)</f>
        <v>0</v>
      </c>
      <c r="V91" s="4">
        <f>(VLOOKUP('102 5.1.00'!AC91,'102 5.1.00'!$AL$4:$AN$55,2,FALSE))*IF('102 5.1.00'!BE$4="是",'102 5.1.00'!$AW$4,'102 5.1.00'!$AW$3)</f>
        <v>0</v>
      </c>
      <c r="W91" s="5">
        <f>(VLOOKUP('102 5.1.00'!AD91,'102 5.1.00'!$AL$4:$AN$55,2,FALSE))*IF('102 5.1.00'!BF$4="是",'102 5.1.00'!$AW$4,'102 5.1.00'!$AW$3)</f>
        <v>0</v>
      </c>
      <c r="X91" s="5">
        <f>(VLOOKUP('102 5.1.00'!AE91,'102 5.1.00'!$AL$4:$AN$55,2,FALSE))*IF('102 5.1.00'!BG$4="是",'102 5.1.00'!$AW$4,'102 5.1.00'!$AW$3)</f>
        <v>0</v>
      </c>
    </row>
    <row r="92" spans="1:24">
      <c r="A92" s="4">
        <f>(VLOOKUP('102 5.1.00'!H92,'102 5.1.00'!$AL$4:$AN$55,2,FALSE))*IF('102 5.1.00'!AJ$4="是",'102 5.1.00'!$AW$4,'102 5.1.00'!$AW$3)</f>
        <v>0</v>
      </c>
      <c r="B92" s="4">
        <f>(VLOOKUP('102 5.1.00'!I92,'102 5.1.00'!$AL$4:$AN$55,2,FALSE))*IF('102 5.1.00'!AK$4="是",'102 5.1.00'!$AW$4,'102 5.1.00'!$AW$3)</f>
        <v>0</v>
      </c>
      <c r="C92" s="4">
        <f>(VLOOKUP('102 5.1.00'!J92,'102 5.1.00'!$AL$4:$AN$55,2,FALSE))*IF('102 5.1.00'!AL$4="是",'102 5.1.00'!$AW$4,'102 5.1.00'!$AW$3)</f>
        <v>0</v>
      </c>
      <c r="D92" s="4">
        <f>(VLOOKUP('102 5.1.00'!K92,'102 5.1.00'!$AL$4:$AN$55,2,FALSE))*IF('102 5.1.00'!AM$4="是",'102 5.1.00'!$AW$4,'102 5.1.00'!$AW$3)</f>
        <v>0</v>
      </c>
      <c r="E92" s="4">
        <f>(VLOOKUP('102 5.1.00'!L92,'102 5.1.00'!$AL$4:$AN$55,2,FALSE))*IF('102 5.1.00'!AN$4="是",'102 5.1.00'!$AW$4,'102 5.1.00'!$AW$3)</f>
        <v>0</v>
      </c>
      <c r="F92" s="4">
        <f>(VLOOKUP('102 5.1.00'!M92,'102 5.1.00'!$AL$4:$AN$55,2,FALSE))*IF('102 5.1.00'!AO$4="是",'102 5.1.00'!$AW$4,'102 5.1.00'!$AW$3)</f>
        <v>0</v>
      </c>
      <c r="G92" s="5">
        <f>(VLOOKUP('102 5.1.00'!N92,'102 5.1.00'!$AL$4:$AN$55,2,FALSE))*IF('102 5.1.00'!AP$4="是",'102 5.1.00'!$AW$4,'102 5.1.00'!$AW$3)</f>
        <v>0</v>
      </c>
      <c r="H92" s="5">
        <f>(VLOOKUP('102 5.1.00'!O92,'102 5.1.00'!$AL$4:$AN$55,2,FALSE))*IF('102 5.1.00'!AQ$4="是",'102 5.1.00'!$AW$4,'102 5.1.00'!$AW$3)</f>
        <v>0</v>
      </c>
      <c r="I92" s="4">
        <f>(VLOOKUP('102 5.1.00'!P92,'102 5.1.00'!$AL$4:$AN$55,2,FALSE))*IF('102 5.1.00'!AR$4="是",'102 5.1.00'!$AW$4,'102 5.1.00'!$AW$3)</f>
        <v>0</v>
      </c>
      <c r="J92" s="4">
        <f>(VLOOKUP('102 5.1.00'!Q92,'102 5.1.00'!$AL$4:$AN$55,2,FALSE))*IF('102 5.1.00'!AS$4="是",'102 5.1.00'!$AW$4,'102 5.1.00'!$AW$3)</f>
        <v>0</v>
      </c>
      <c r="K92" s="4">
        <f>(VLOOKUP('102 5.1.00'!R92,'102 5.1.00'!$AL$4:$AN$55,2,FALSE))*IF('102 5.1.00'!AT$4="是",'102 5.1.00'!$AW$4,'102 5.1.00'!$AW$3)</f>
        <v>0</v>
      </c>
      <c r="L92" s="4">
        <f>(VLOOKUP('102 5.1.00'!S92,'102 5.1.00'!$AL$4:$AN$55,2,FALSE))*IF('102 5.1.00'!AU$4="是",'102 5.1.00'!$AW$4,'102 5.1.00'!$AW$3)</f>
        <v>0</v>
      </c>
      <c r="M92" s="4">
        <f>(VLOOKUP('102 5.1.00'!T92,'102 5.1.00'!$AL$4:$AN$55,2,FALSE))*IF('102 5.1.00'!AV$4="是",'102 5.1.00'!$AW$4,'102 5.1.00'!$AW$3)</f>
        <v>0</v>
      </c>
      <c r="N92" s="4">
        <f>(VLOOKUP('102 5.1.00'!U92,'102 5.1.00'!$AL$4:$AN$55,2,FALSE))*IF('102 5.1.00'!AW$4="是",'102 5.1.00'!$AW$4,'102 5.1.00'!$AW$3)</f>
        <v>0</v>
      </c>
      <c r="O92" s="5">
        <f>(VLOOKUP('102 5.1.00'!V92,'102 5.1.00'!$AL$4:$AN$55,2,FALSE))*IF('102 5.1.00'!AX$4="是",'102 5.1.00'!$AW$4,'102 5.1.00'!$AW$3)</f>
        <v>0</v>
      </c>
      <c r="P92" s="5">
        <f>(VLOOKUP('102 5.1.00'!W92,'102 5.1.00'!$AL$4:$AN$55,2,FALSE))*IF('102 5.1.00'!AY$4="是",'102 5.1.00'!$AW$4,'102 5.1.00'!$AW$3)</f>
        <v>0</v>
      </c>
      <c r="Q92" s="4">
        <f>(VLOOKUP('102 5.1.00'!X92,'102 5.1.00'!$AL$4:$AN$55,2,FALSE))*IF('102 5.1.00'!AZ$4="是",'102 5.1.00'!$AW$4,'102 5.1.00'!$AW$3)</f>
        <v>0</v>
      </c>
      <c r="R92" s="4">
        <f>(VLOOKUP('102 5.1.00'!Y92,'102 5.1.00'!$AL$4:$AN$55,2,FALSE))*IF('102 5.1.00'!BA$4="是",'102 5.1.00'!$AW$4,'102 5.1.00'!$AW$3)</f>
        <v>0</v>
      </c>
      <c r="S92" s="4">
        <f>(VLOOKUP('102 5.1.00'!Z92,'102 5.1.00'!$AL$4:$AN$55,2,FALSE))*IF('102 5.1.00'!BB$4="是",'102 5.1.00'!$AW$4,'102 5.1.00'!$AW$3)</f>
        <v>0</v>
      </c>
      <c r="T92" s="4">
        <f>(VLOOKUP('102 5.1.00'!AA92,'102 5.1.00'!$AL$4:$AN$55,2,FALSE))*IF('102 5.1.00'!BC$4="是",'102 5.1.00'!$AW$4,'102 5.1.00'!$AW$3)</f>
        <v>0</v>
      </c>
      <c r="U92" s="4">
        <f>(VLOOKUP('102 5.1.00'!AB92,'102 5.1.00'!$AL$4:$AN$55,2,FALSE))*IF('102 5.1.00'!BD$4="是",'102 5.1.00'!$AW$4,'102 5.1.00'!$AW$3)</f>
        <v>0</v>
      </c>
      <c r="V92" s="4">
        <f>(VLOOKUP('102 5.1.00'!AC92,'102 5.1.00'!$AL$4:$AN$55,2,FALSE))*IF('102 5.1.00'!BE$4="是",'102 5.1.00'!$AW$4,'102 5.1.00'!$AW$3)</f>
        <v>0</v>
      </c>
      <c r="W92" s="5">
        <f>(VLOOKUP('102 5.1.00'!AD92,'102 5.1.00'!$AL$4:$AN$55,2,FALSE))*IF('102 5.1.00'!BF$4="是",'102 5.1.00'!$AW$4,'102 5.1.00'!$AW$3)</f>
        <v>0</v>
      </c>
      <c r="X92" s="5">
        <f>(VLOOKUP('102 5.1.00'!AE92,'102 5.1.00'!$AL$4:$AN$55,2,FALSE))*IF('102 5.1.00'!BG$4="是",'102 5.1.00'!$AW$4,'102 5.1.00'!$AW$3)</f>
        <v>0</v>
      </c>
    </row>
    <row r="93" spans="1:24">
      <c r="A93" s="4">
        <f>(VLOOKUP('102 5.1.00'!H93,'102 5.1.00'!$AL$4:$AN$55,2,FALSE))*IF('102 5.1.00'!AJ$4="是",'102 5.1.00'!$AW$4,'102 5.1.00'!$AW$3)</f>
        <v>0</v>
      </c>
      <c r="B93" s="4">
        <f>(VLOOKUP('102 5.1.00'!I93,'102 5.1.00'!$AL$4:$AN$55,2,FALSE))*IF('102 5.1.00'!AK$4="是",'102 5.1.00'!$AW$4,'102 5.1.00'!$AW$3)</f>
        <v>0</v>
      </c>
      <c r="C93" s="4">
        <f>(VLOOKUP('102 5.1.00'!J93,'102 5.1.00'!$AL$4:$AN$55,2,FALSE))*IF('102 5.1.00'!AL$4="是",'102 5.1.00'!$AW$4,'102 5.1.00'!$AW$3)</f>
        <v>0</v>
      </c>
      <c r="D93" s="4">
        <f>(VLOOKUP('102 5.1.00'!K93,'102 5.1.00'!$AL$4:$AN$55,2,FALSE))*IF('102 5.1.00'!AM$4="是",'102 5.1.00'!$AW$4,'102 5.1.00'!$AW$3)</f>
        <v>0</v>
      </c>
      <c r="E93" s="4">
        <f>(VLOOKUP('102 5.1.00'!L93,'102 5.1.00'!$AL$4:$AN$55,2,FALSE))*IF('102 5.1.00'!AN$4="是",'102 5.1.00'!$AW$4,'102 5.1.00'!$AW$3)</f>
        <v>0</v>
      </c>
      <c r="F93" s="4">
        <f>(VLOOKUP('102 5.1.00'!M93,'102 5.1.00'!$AL$4:$AN$55,2,FALSE))*IF('102 5.1.00'!AO$4="是",'102 5.1.00'!$AW$4,'102 5.1.00'!$AW$3)</f>
        <v>0</v>
      </c>
      <c r="G93" s="5">
        <f>(VLOOKUP('102 5.1.00'!N93,'102 5.1.00'!$AL$4:$AN$55,2,FALSE))*IF('102 5.1.00'!AP$4="是",'102 5.1.00'!$AW$4,'102 5.1.00'!$AW$3)</f>
        <v>0</v>
      </c>
      <c r="H93" s="5">
        <f>(VLOOKUP('102 5.1.00'!O93,'102 5.1.00'!$AL$4:$AN$55,2,FALSE))*IF('102 5.1.00'!AQ$4="是",'102 5.1.00'!$AW$4,'102 5.1.00'!$AW$3)</f>
        <v>0</v>
      </c>
      <c r="I93" s="4">
        <f>(VLOOKUP('102 5.1.00'!P93,'102 5.1.00'!$AL$4:$AN$55,2,FALSE))*IF('102 5.1.00'!AR$4="是",'102 5.1.00'!$AW$4,'102 5.1.00'!$AW$3)</f>
        <v>0</v>
      </c>
      <c r="J93" s="4">
        <f>(VLOOKUP('102 5.1.00'!Q93,'102 5.1.00'!$AL$4:$AN$55,2,FALSE))*IF('102 5.1.00'!AS$4="是",'102 5.1.00'!$AW$4,'102 5.1.00'!$AW$3)</f>
        <v>0</v>
      </c>
      <c r="K93" s="4">
        <f>(VLOOKUP('102 5.1.00'!R93,'102 5.1.00'!$AL$4:$AN$55,2,FALSE))*IF('102 5.1.00'!AT$4="是",'102 5.1.00'!$AW$4,'102 5.1.00'!$AW$3)</f>
        <v>0</v>
      </c>
      <c r="L93" s="4">
        <f>(VLOOKUP('102 5.1.00'!S93,'102 5.1.00'!$AL$4:$AN$55,2,FALSE))*IF('102 5.1.00'!AU$4="是",'102 5.1.00'!$AW$4,'102 5.1.00'!$AW$3)</f>
        <v>0</v>
      </c>
      <c r="M93" s="4">
        <f>(VLOOKUP('102 5.1.00'!T93,'102 5.1.00'!$AL$4:$AN$55,2,FALSE))*IF('102 5.1.00'!AV$4="是",'102 5.1.00'!$AW$4,'102 5.1.00'!$AW$3)</f>
        <v>0</v>
      </c>
      <c r="N93" s="4">
        <f>(VLOOKUP('102 5.1.00'!U93,'102 5.1.00'!$AL$4:$AN$55,2,FALSE))*IF('102 5.1.00'!AW$4="是",'102 5.1.00'!$AW$4,'102 5.1.00'!$AW$3)</f>
        <v>0</v>
      </c>
      <c r="O93" s="5">
        <f>(VLOOKUP('102 5.1.00'!V93,'102 5.1.00'!$AL$4:$AN$55,2,FALSE))*IF('102 5.1.00'!AX$4="是",'102 5.1.00'!$AW$4,'102 5.1.00'!$AW$3)</f>
        <v>0</v>
      </c>
      <c r="P93" s="5">
        <f>(VLOOKUP('102 5.1.00'!W93,'102 5.1.00'!$AL$4:$AN$55,2,FALSE))*IF('102 5.1.00'!AY$4="是",'102 5.1.00'!$AW$4,'102 5.1.00'!$AW$3)</f>
        <v>0</v>
      </c>
      <c r="Q93" s="4">
        <f>(VLOOKUP('102 5.1.00'!X93,'102 5.1.00'!$AL$4:$AN$55,2,FALSE))*IF('102 5.1.00'!AZ$4="是",'102 5.1.00'!$AW$4,'102 5.1.00'!$AW$3)</f>
        <v>0</v>
      </c>
      <c r="R93" s="4">
        <f>(VLOOKUP('102 5.1.00'!Y93,'102 5.1.00'!$AL$4:$AN$55,2,FALSE))*IF('102 5.1.00'!BA$4="是",'102 5.1.00'!$AW$4,'102 5.1.00'!$AW$3)</f>
        <v>0</v>
      </c>
      <c r="S93" s="4">
        <f>(VLOOKUP('102 5.1.00'!Z93,'102 5.1.00'!$AL$4:$AN$55,2,FALSE))*IF('102 5.1.00'!BB$4="是",'102 5.1.00'!$AW$4,'102 5.1.00'!$AW$3)</f>
        <v>0</v>
      </c>
      <c r="T93" s="4">
        <f>(VLOOKUP('102 5.1.00'!AA93,'102 5.1.00'!$AL$4:$AN$55,2,FALSE))*IF('102 5.1.00'!BC$4="是",'102 5.1.00'!$AW$4,'102 5.1.00'!$AW$3)</f>
        <v>0</v>
      </c>
      <c r="U93" s="4">
        <f>(VLOOKUP('102 5.1.00'!AB93,'102 5.1.00'!$AL$4:$AN$55,2,FALSE))*IF('102 5.1.00'!BD$4="是",'102 5.1.00'!$AW$4,'102 5.1.00'!$AW$3)</f>
        <v>0</v>
      </c>
      <c r="V93" s="4">
        <f>(VLOOKUP('102 5.1.00'!AC93,'102 5.1.00'!$AL$4:$AN$55,2,FALSE))*IF('102 5.1.00'!BE$4="是",'102 5.1.00'!$AW$4,'102 5.1.00'!$AW$3)</f>
        <v>0</v>
      </c>
      <c r="W93" s="5">
        <f>(VLOOKUP('102 5.1.00'!AD93,'102 5.1.00'!$AL$4:$AN$55,2,FALSE))*IF('102 5.1.00'!BF$4="是",'102 5.1.00'!$AW$4,'102 5.1.00'!$AW$3)</f>
        <v>0</v>
      </c>
      <c r="X93" s="5">
        <f>(VLOOKUP('102 5.1.00'!AE93,'102 5.1.00'!$AL$4:$AN$55,2,FALSE))*IF('102 5.1.00'!BG$4="是",'102 5.1.00'!$AW$4,'102 5.1.00'!$AW$3)</f>
        <v>0</v>
      </c>
    </row>
    <row r="94" spans="1:24">
      <c r="A94" s="4">
        <f>(VLOOKUP('102 5.1.00'!H94,'102 5.1.00'!$AL$4:$AN$55,2,FALSE))*IF('102 5.1.00'!AJ$4="是",'102 5.1.00'!$AW$4,'102 5.1.00'!$AW$3)</f>
        <v>0</v>
      </c>
      <c r="B94" s="4">
        <f>(VLOOKUP('102 5.1.00'!I94,'102 5.1.00'!$AL$4:$AN$55,2,FALSE))*IF('102 5.1.00'!AK$4="是",'102 5.1.00'!$AW$4,'102 5.1.00'!$AW$3)</f>
        <v>0</v>
      </c>
      <c r="C94" s="4">
        <f>(VLOOKUP('102 5.1.00'!J94,'102 5.1.00'!$AL$4:$AN$55,2,FALSE))*IF('102 5.1.00'!AL$4="是",'102 5.1.00'!$AW$4,'102 5.1.00'!$AW$3)</f>
        <v>0</v>
      </c>
      <c r="D94" s="4">
        <f>(VLOOKUP('102 5.1.00'!K94,'102 5.1.00'!$AL$4:$AN$55,2,FALSE))*IF('102 5.1.00'!AM$4="是",'102 5.1.00'!$AW$4,'102 5.1.00'!$AW$3)</f>
        <v>0</v>
      </c>
      <c r="E94" s="4">
        <f>(VLOOKUP('102 5.1.00'!L94,'102 5.1.00'!$AL$4:$AN$55,2,FALSE))*IF('102 5.1.00'!AN$4="是",'102 5.1.00'!$AW$4,'102 5.1.00'!$AW$3)</f>
        <v>0</v>
      </c>
      <c r="F94" s="4">
        <f>(VLOOKUP('102 5.1.00'!M94,'102 5.1.00'!$AL$4:$AN$55,2,FALSE))*IF('102 5.1.00'!AO$4="是",'102 5.1.00'!$AW$4,'102 5.1.00'!$AW$3)</f>
        <v>0</v>
      </c>
      <c r="G94" s="5">
        <f>(VLOOKUP('102 5.1.00'!N94,'102 5.1.00'!$AL$4:$AN$55,2,FALSE))*IF('102 5.1.00'!AP$4="是",'102 5.1.00'!$AW$4,'102 5.1.00'!$AW$3)</f>
        <v>0</v>
      </c>
      <c r="H94" s="5">
        <f>(VLOOKUP('102 5.1.00'!O94,'102 5.1.00'!$AL$4:$AN$55,2,FALSE))*IF('102 5.1.00'!AQ$4="是",'102 5.1.00'!$AW$4,'102 5.1.00'!$AW$3)</f>
        <v>0</v>
      </c>
      <c r="I94" s="4">
        <f>(VLOOKUP('102 5.1.00'!P94,'102 5.1.00'!$AL$4:$AN$55,2,FALSE))*IF('102 5.1.00'!AR$4="是",'102 5.1.00'!$AW$4,'102 5.1.00'!$AW$3)</f>
        <v>0</v>
      </c>
      <c r="J94" s="4">
        <f>(VLOOKUP('102 5.1.00'!Q94,'102 5.1.00'!$AL$4:$AN$55,2,FALSE))*IF('102 5.1.00'!AS$4="是",'102 5.1.00'!$AW$4,'102 5.1.00'!$AW$3)</f>
        <v>0</v>
      </c>
      <c r="K94" s="4">
        <f>(VLOOKUP('102 5.1.00'!R94,'102 5.1.00'!$AL$4:$AN$55,2,FALSE))*IF('102 5.1.00'!AT$4="是",'102 5.1.00'!$AW$4,'102 5.1.00'!$AW$3)</f>
        <v>0</v>
      </c>
      <c r="L94" s="4">
        <f>(VLOOKUP('102 5.1.00'!S94,'102 5.1.00'!$AL$4:$AN$55,2,FALSE))*IF('102 5.1.00'!AU$4="是",'102 5.1.00'!$AW$4,'102 5.1.00'!$AW$3)</f>
        <v>0</v>
      </c>
      <c r="M94" s="4">
        <f>(VLOOKUP('102 5.1.00'!T94,'102 5.1.00'!$AL$4:$AN$55,2,FALSE))*IF('102 5.1.00'!AV$4="是",'102 5.1.00'!$AW$4,'102 5.1.00'!$AW$3)</f>
        <v>0</v>
      </c>
      <c r="N94" s="4">
        <f>(VLOOKUP('102 5.1.00'!U94,'102 5.1.00'!$AL$4:$AN$55,2,FALSE))*IF('102 5.1.00'!AW$4="是",'102 5.1.00'!$AW$4,'102 5.1.00'!$AW$3)</f>
        <v>0</v>
      </c>
      <c r="O94" s="5">
        <f>(VLOOKUP('102 5.1.00'!V94,'102 5.1.00'!$AL$4:$AN$55,2,FALSE))*IF('102 5.1.00'!AX$4="是",'102 5.1.00'!$AW$4,'102 5.1.00'!$AW$3)</f>
        <v>0</v>
      </c>
      <c r="P94" s="5">
        <f>(VLOOKUP('102 5.1.00'!W94,'102 5.1.00'!$AL$4:$AN$55,2,FALSE))*IF('102 5.1.00'!AY$4="是",'102 5.1.00'!$AW$4,'102 5.1.00'!$AW$3)</f>
        <v>0</v>
      </c>
      <c r="Q94" s="4">
        <f>(VLOOKUP('102 5.1.00'!X94,'102 5.1.00'!$AL$4:$AN$55,2,FALSE))*IF('102 5.1.00'!AZ$4="是",'102 5.1.00'!$AW$4,'102 5.1.00'!$AW$3)</f>
        <v>0</v>
      </c>
      <c r="R94" s="4">
        <f>(VLOOKUP('102 5.1.00'!Y94,'102 5.1.00'!$AL$4:$AN$55,2,FALSE))*IF('102 5.1.00'!BA$4="是",'102 5.1.00'!$AW$4,'102 5.1.00'!$AW$3)</f>
        <v>0</v>
      </c>
      <c r="S94" s="4">
        <f>(VLOOKUP('102 5.1.00'!Z94,'102 5.1.00'!$AL$4:$AN$55,2,FALSE))*IF('102 5.1.00'!BB$4="是",'102 5.1.00'!$AW$4,'102 5.1.00'!$AW$3)</f>
        <v>0</v>
      </c>
      <c r="T94" s="4">
        <f>(VLOOKUP('102 5.1.00'!AA94,'102 5.1.00'!$AL$4:$AN$55,2,FALSE))*IF('102 5.1.00'!BC$4="是",'102 5.1.00'!$AW$4,'102 5.1.00'!$AW$3)</f>
        <v>0</v>
      </c>
      <c r="U94" s="4">
        <f>(VLOOKUP('102 5.1.00'!AB94,'102 5.1.00'!$AL$4:$AN$55,2,FALSE))*IF('102 5.1.00'!BD$4="是",'102 5.1.00'!$AW$4,'102 5.1.00'!$AW$3)</f>
        <v>0</v>
      </c>
      <c r="V94" s="4">
        <f>(VLOOKUP('102 5.1.00'!AC94,'102 5.1.00'!$AL$4:$AN$55,2,FALSE))*IF('102 5.1.00'!BE$4="是",'102 5.1.00'!$AW$4,'102 5.1.00'!$AW$3)</f>
        <v>0</v>
      </c>
      <c r="W94" s="5">
        <f>(VLOOKUP('102 5.1.00'!AD94,'102 5.1.00'!$AL$4:$AN$55,2,FALSE))*IF('102 5.1.00'!BF$4="是",'102 5.1.00'!$AW$4,'102 5.1.00'!$AW$3)</f>
        <v>0</v>
      </c>
      <c r="X94" s="5">
        <f>(VLOOKUP('102 5.1.00'!AE94,'102 5.1.00'!$AL$4:$AN$55,2,FALSE))*IF('102 5.1.00'!BG$4="是",'102 5.1.00'!$AW$4,'102 5.1.00'!$AW$3)</f>
        <v>0</v>
      </c>
    </row>
  </sheetData>
  <mergeCells count="6">
    <mergeCell ref="U2:X2"/>
    <mergeCell ref="A2:B2"/>
    <mergeCell ref="E2:H2"/>
    <mergeCell ref="I2:J2"/>
    <mergeCell ref="M2:P2"/>
    <mergeCell ref="Q2:R2"/>
  </mergeCells>
  <phoneticPr fontId="6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X94"/>
  <sheetViews>
    <sheetView workbookViewId="0">
      <selection activeCell="K11" sqref="K11"/>
    </sheetView>
  </sheetViews>
  <sheetFormatPr defaultColWidth="9" defaultRowHeight="15"/>
  <sheetData>
    <row r="2" spans="1:24">
      <c r="A2" s="92" t="s">
        <v>65</v>
      </c>
      <c r="B2" s="93"/>
      <c r="C2" s="1" t="s">
        <v>5</v>
      </c>
      <c r="D2" s="1">
        <f>COUNTIF(A4:H94,"&lt;&gt;空")</f>
        <v>728</v>
      </c>
      <c r="E2" s="93" t="s">
        <v>6</v>
      </c>
      <c r="F2" s="93"/>
      <c r="G2" s="93"/>
      <c r="H2" s="94"/>
      <c r="I2" s="95" t="s">
        <v>7</v>
      </c>
      <c r="J2" s="96"/>
      <c r="K2" s="6" t="s">
        <v>5</v>
      </c>
      <c r="L2" s="6">
        <f>COUNTIF(I4:P94,"&lt;&gt;空")</f>
        <v>728</v>
      </c>
      <c r="M2" s="96" t="s">
        <v>6</v>
      </c>
      <c r="N2" s="96"/>
      <c r="O2" s="96"/>
      <c r="P2" s="97"/>
      <c r="Q2" s="98" t="s">
        <v>8</v>
      </c>
      <c r="R2" s="99"/>
      <c r="S2" s="10" t="s">
        <v>9</v>
      </c>
      <c r="T2" s="9">
        <f>COUNTIF(Q4:X94,"&lt;&gt;空")</f>
        <v>728</v>
      </c>
      <c r="U2" s="99" t="s">
        <v>6</v>
      </c>
      <c r="V2" s="99"/>
      <c r="W2" s="99"/>
      <c r="X2" s="100"/>
    </row>
    <row r="3" spans="1:24">
      <c r="A3" s="2">
        <v>1</v>
      </c>
      <c r="B3" s="3">
        <v>2</v>
      </c>
      <c r="C3" s="3">
        <v>3</v>
      </c>
      <c r="D3" s="3">
        <v>4</v>
      </c>
      <c r="E3" s="3">
        <v>5</v>
      </c>
      <c r="F3" s="3">
        <v>6</v>
      </c>
      <c r="G3" s="3">
        <v>7</v>
      </c>
      <c r="H3" s="3">
        <v>8</v>
      </c>
      <c r="I3" s="7">
        <v>1</v>
      </c>
      <c r="J3" s="8">
        <v>2</v>
      </c>
      <c r="K3" s="8">
        <v>3</v>
      </c>
      <c r="L3" s="8">
        <v>4</v>
      </c>
      <c r="M3" s="8">
        <v>5</v>
      </c>
      <c r="N3" s="8">
        <v>6</v>
      </c>
      <c r="O3" s="8">
        <v>7</v>
      </c>
      <c r="P3" s="8">
        <v>8</v>
      </c>
      <c r="Q3" s="11">
        <v>1</v>
      </c>
      <c r="R3" s="12">
        <v>2</v>
      </c>
      <c r="S3" s="12">
        <v>3</v>
      </c>
      <c r="T3" s="12">
        <v>4</v>
      </c>
      <c r="U3" s="12">
        <v>5</v>
      </c>
      <c r="V3" s="12">
        <v>6</v>
      </c>
      <c r="W3" s="12">
        <v>7</v>
      </c>
      <c r="X3" s="13">
        <v>8</v>
      </c>
    </row>
    <row r="4" spans="1:24">
      <c r="A4" s="4">
        <f>(VLOOKUP('102 5.1.00'!H4,'102 5.1.00'!$AL$4:$AN$55,3,FALSE))</f>
        <v>0</v>
      </c>
      <c r="B4" s="4">
        <f>(VLOOKUP('102 5.1.00'!I4,'102 5.1.00'!$AL$4:$AN$55,3,FALSE))</f>
        <v>0</v>
      </c>
      <c r="C4" s="4">
        <f>(VLOOKUP('102 5.1.00'!J4,'102 5.1.00'!$AL$4:$AN$55,3,FALSE))</f>
        <v>0</v>
      </c>
      <c r="D4" s="4">
        <f>(VLOOKUP('102 5.1.00'!K4,'102 5.1.00'!$AL$4:$AN$55,3,FALSE))</f>
        <v>0</v>
      </c>
      <c r="E4" s="4">
        <f>(VLOOKUP('102 5.1.00'!L4,'102 5.1.00'!$AL$4:$AN$55,3,FALSE))</f>
        <v>0</v>
      </c>
      <c r="F4" s="4">
        <f>(VLOOKUP('102 5.1.00'!M4,'102 5.1.00'!$AL$4:$AN$55,3,FALSE))</f>
        <v>0</v>
      </c>
      <c r="G4" s="5">
        <f>(VLOOKUP('102 5.1.00'!N4,'102 5.1.00'!$AL$4:$AN$55,3,FALSE))</f>
        <v>0</v>
      </c>
      <c r="H4" s="5">
        <f>(VLOOKUP('102 5.1.00'!O4,'102 5.1.00'!$AL$4:$AN$55,3,FALSE))</f>
        <v>0</v>
      </c>
      <c r="I4" s="4">
        <f>(VLOOKUP('102 5.1.00'!P4,'102 5.1.00'!$AL$4:$AN$55,3,FALSE))</f>
        <v>0</v>
      </c>
      <c r="J4" s="4">
        <f>(VLOOKUP('102 5.1.00'!Q4,'102 5.1.00'!$AL$4:$AN$55,3,FALSE))</f>
        <v>0</v>
      </c>
      <c r="K4" s="4">
        <f>(VLOOKUP('102 5.1.00'!R4,'102 5.1.00'!$AL$4:$AN$55,3,FALSE))</f>
        <v>0</v>
      </c>
      <c r="L4" s="4">
        <f>(VLOOKUP('102 5.1.00'!S4,'102 5.1.00'!$AL$4:$AN$55,3,FALSE))</f>
        <v>0</v>
      </c>
      <c r="M4" s="4">
        <f>(VLOOKUP('102 5.1.00'!T4,'102 5.1.00'!$AL$4:$AN$55,3,FALSE))</f>
        <v>0</v>
      </c>
      <c r="N4" s="4">
        <f>(VLOOKUP('102 5.1.00'!U4,'102 5.1.00'!$AL$4:$AN$55,3,FALSE))</f>
        <v>0</v>
      </c>
      <c r="O4" s="5">
        <f>(VLOOKUP('102 5.1.00'!V4,'102 5.1.00'!$AL$4:$AN$55,3,FALSE))</f>
        <v>0</v>
      </c>
      <c r="P4" s="5">
        <f>(VLOOKUP('102 5.1.00'!W4,'102 5.1.00'!$AL$4:$AN$55,3,FALSE))</f>
        <v>0</v>
      </c>
      <c r="Q4" s="4">
        <f>(VLOOKUP('102 5.1.00'!X4,'102 5.1.00'!$AL$4:$AN$55,3,FALSE))</f>
        <v>0</v>
      </c>
      <c r="R4" s="4">
        <f>(VLOOKUP('102 5.1.00'!Y4,'102 5.1.00'!$AL$4:$AN$55,3,FALSE))</f>
        <v>0</v>
      </c>
      <c r="S4" s="4">
        <f>(VLOOKUP('102 5.1.00'!Z4,'102 5.1.00'!$AL$4:$AN$55,3,FALSE))</f>
        <v>0</v>
      </c>
      <c r="T4" s="4">
        <f>(VLOOKUP('102 5.1.00'!AA4,'102 5.1.00'!$AL$4:$AN$55,3,FALSE))</f>
        <v>0</v>
      </c>
      <c r="U4" s="4">
        <f>(VLOOKUP('102 5.1.00'!AB4,'102 5.1.00'!$AL$4:$AN$55,3,FALSE))</f>
        <v>0</v>
      </c>
      <c r="V4" s="4">
        <f>(VLOOKUP('102 5.1.00'!AC4,'102 5.1.00'!$AL$4:$AN$55,3,FALSE))</f>
        <v>0</v>
      </c>
      <c r="W4" s="5">
        <f>(VLOOKUP('102 5.1.00'!AD4,'102 5.1.00'!$AL$4:$AN$55,3,FALSE))</f>
        <v>0</v>
      </c>
      <c r="X4" s="5">
        <f>(VLOOKUP('102 5.1.00'!AE4,'102 5.1.00'!$AL$4:$AN$55,3,FALSE))</f>
        <v>0</v>
      </c>
    </row>
    <row r="5" spans="1:24">
      <c r="A5" s="4">
        <f>(VLOOKUP('102 5.1.00'!H5,'102 5.1.00'!$AL$4:$AN$55,3,FALSE))</f>
        <v>0</v>
      </c>
      <c r="B5" s="4">
        <f>(VLOOKUP('102 5.1.00'!I5,'102 5.1.00'!$AL$4:$AN$55,3,FALSE))</f>
        <v>0</v>
      </c>
      <c r="C5" s="4">
        <f>(VLOOKUP('102 5.1.00'!J5,'102 5.1.00'!$AL$4:$AN$55,3,FALSE))</f>
        <v>0</v>
      </c>
      <c r="D5" s="4">
        <f>(VLOOKUP('102 5.1.00'!K5,'102 5.1.00'!$AL$4:$AN$55,3,FALSE))</f>
        <v>0</v>
      </c>
      <c r="E5" s="4">
        <f>(VLOOKUP('102 5.1.00'!L5,'102 5.1.00'!$AL$4:$AN$55,3,FALSE))</f>
        <v>0</v>
      </c>
      <c r="F5" s="4">
        <f>(VLOOKUP('102 5.1.00'!M5,'102 5.1.00'!$AL$4:$AN$55,3,FALSE))</f>
        <v>0</v>
      </c>
      <c r="G5" s="5">
        <f>(VLOOKUP('102 5.1.00'!N5,'102 5.1.00'!$AL$4:$AN$55,3,FALSE))</f>
        <v>0</v>
      </c>
      <c r="H5" s="5">
        <f>(VLOOKUP('102 5.1.00'!O5,'102 5.1.00'!$AL$4:$AN$55,3,FALSE))</f>
        <v>0</v>
      </c>
      <c r="I5" s="4">
        <f>(VLOOKUP('102 5.1.00'!P5,'102 5.1.00'!$AL$4:$AN$55,3,FALSE))</f>
        <v>0</v>
      </c>
      <c r="J5" s="4">
        <f>(VLOOKUP('102 5.1.00'!Q5,'102 5.1.00'!$AL$4:$AN$55,3,FALSE))</f>
        <v>0</v>
      </c>
      <c r="K5" s="4">
        <f>(VLOOKUP('102 5.1.00'!R5,'102 5.1.00'!$AL$4:$AN$55,3,FALSE))</f>
        <v>0</v>
      </c>
      <c r="L5" s="4">
        <f>(VLOOKUP('102 5.1.00'!S5,'102 5.1.00'!$AL$4:$AN$55,3,FALSE))</f>
        <v>0</v>
      </c>
      <c r="M5" s="4">
        <f>(VLOOKUP('102 5.1.00'!T5,'102 5.1.00'!$AL$4:$AN$55,3,FALSE))</f>
        <v>0</v>
      </c>
      <c r="N5" s="4">
        <f>(VLOOKUP('102 5.1.00'!U5,'102 5.1.00'!$AL$4:$AN$55,3,FALSE))</f>
        <v>0</v>
      </c>
      <c r="O5" s="5">
        <f>(VLOOKUP('102 5.1.00'!V5,'102 5.1.00'!$AL$4:$AN$55,3,FALSE))</f>
        <v>0</v>
      </c>
      <c r="P5" s="5">
        <f>(VLOOKUP('102 5.1.00'!W5,'102 5.1.00'!$AL$4:$AN$55,3,FALSE))</f>
        <v>0</v>
      </c>
      <c r="Q5" s="4">
        <f>(VLOOKUP('102 5.1.00'!X5,'102 5.1.00'!$AL$4:$AN$55,3,FALSE))</f>
        <v>0</v>
      </c>
      <c r="R5" s="4">
        <f>(VLOOKUP('102 5.1.00'!Y5,'102 5.1.00'!$AL$4:$AN$55,3,FALSE))</f>
        <v>0</v>
      </c>
      <c r="S5" s="4">
        <f>(VLOOKUP('102 5.1.00'!Z5,'102 5.1.00'!$AL$4:$AN$55,3,FALSE))</f>
        <v>0</v>
      </c>
      <c r="T5" s="4">
        <f>(VLOOKUP('102 5.1.00'!AA5,'102 5.1.00'!$AL$4:$AN$55,3,FALSE))</f>
        <v>0</v>
      </c>
      <c r="U5" s="4">
        <f>(VLOOKUP('102 5.1.00'!AB5,'102 5.1.00'!$AL$4:$AN$55,3,FALSE))</f>
        <v>0</v>
      </c>
      <c r="V5" s="4">
        <f>(VLOOKUP('102 5.1.00'!AC5,'102 5.1.00'!$AL$4:$AN$55,3,FALSE))</f>
        <v>0</v>
      </c>
      <c r="W5" s="5">
        <f>(VLOOKUP('102 5.1.00'!AD5,'102 5.1.00'!$AL$4:$AN$55,3,FALSE))</f>
        <v>0</v>
      </c>
      <c r="X5" s="5">
        <f>(VLOOKUP('102 5.1.00'!AE5,'102 5.1.00'!$AL$4:$AN$55,3,FALSE))</f>
        <v>0</v>
      </c>
    </row>
    <row r="6" spans="1:24">
      <c r="A6" s="4">
        <f>(VLOOKUP('102 5.1.00'!H6,'102 5.1.00'!$AL$4:$AN$55,3,FALSE))</f>
        <v>0</v>
      </c>
      <c r="B6" s="4">
        <f>(VLOOKUP('102 5.1.00'!I6,'102 5.1.00'!$AL$4:$AN$55,3,FALSE))</f>
        <v>0</v>
      </c>
      <c r="C6" s="4">
        <f>(VLOOKUP('102 5.1.00'!J6,'102 5.1.00'!$AL$4:$AN$55,3,FALSE))</f>
        <v>0</v>
      </c>
      <c r="D6" s="4">
        <f>(VLOOKUP('102 5.1.00'!K6,'102 5.1.00'!$AL$4:$AN$55,3,FALSE))</f>
        <v>0</v>
      </c>
      <c r="E6" s="4">
        <f>(VLOOKUP('102 5.1.00'!L6,'102 5.1.00'!$AL$4:$AN$55,3,FALSE))</f>
        <v>0</v>
      </c>
      <c r="F6" s="4">
        <f>(VLOOKUP('102 5.1.00'!M6,'102 5.1.00'!$AL$4:$AN$55,3,FALSE))</f>
        <v>0</v>
      </c>
      <c r="G6" s="5">
        <f>(VLOOKUP('102 5.1.00'!N6,'102 5.1.00'!$AL$4:$AN$55,3,FALSE))</f>
        <v>0</v>
      </c>
      <c r="H6" s="5">
        <f>(VLOOKUP('102 5.1.00'!O6,'102 5.1.00'!$AL$4:$AN$55,3,FALSE))</f>
        <v>0</v>
      </c>
      <c r="I6" s="4">
        <f>(VLOOKUP('102 5.1.00'!P6,'102 5.1.00'!$AL$4:$AN$55,3,FALSE))</f>
        <v>0</v>
      </c>
      <c r="J6" s="4">
        <f>(VLOOKUP('102 5.1.00'!Q6,'102 5.1.00'!$AL$4:$AN$55,3,FALSE))</f>
        <v>0</v>
      </c>
      <c r="K6" s="4">
        <f>(VLOOKUP('102 5.1.00'!R6,'102 5.1.00'!$AL$4:$AN$55,3,FALSE))</f>
        <v>0</v>
      </c>
      <c r="L6" s="4">
        <f>(VLOOKUP('102 5.1.00'!S6,'102 5.1.00'!$AL$4:$AN$55,3,FALSE))</f>
        <v>0</v>
      </c>
      <c r="M6" s="4">
        <f>(VLOOKUP('102 5.1.00'!T6,'102 5.1.00'!$AL$4:$AN$55,3,FALSE))</f>
        <v>0</v>
      </c>
      <c r="N6" s="4">
        <f>(VLOOKUP('102 5.1.00'!U6,'102 5.1.00'!$AL$4:$AN$55,3,FALSE))</f>
        <v>0</v>
      </c>
      <c r="O6" s="5">
        <f>(VLOOKUP('102 5.1.00'!V6,'102 5.1.00'!$AL$4:$AN$55,3,FALSE))</f>
        <v>0</v>
      </c>
      <c r="P6" s="5">
        <f>(VLOOKUP('102 5.1.00'!W6,'102 5.1.00'!$AL$4:$AN$55,3,FALSE))</f>
        <v>0</v>
      </c>
      <c r="Q6" s="4">
        <f>(VLOOKUP('102 5.1.00'!X6,'102 5.1.00'!$AL$4:$AN$55,3,FALSE))</f>
        <v>0</v>
      </c>
      <c r="R6" s="4">
        <f>(VLOOKUP('102 5.1.00'!Y6,'102 5.1.00'!$AL$4:$AN$55,3,FALSE))</f>
        <v>0</v>
      </c>
      <c r="S6" s="4">
        <f>(VLOOKUP('102 5.1.00'!Z6,'102 5.1.00'!$AL$4:$AN$55,3,FALSE))</f>
        <v>0</v>
      </c>
      <c r="T6" s="4">
        <f>(VLOOKUP('102 5.1.00'!AA6,'102 5.1.00'!$AL$4:$AN$55,3,FALSE))</f>
        <v>0</v>
      </c>
      <c r="U6" s="4">
        <f>(VLOOKUP('102 5.1.00'!AB6,'102 5.1.00'!$AL$4:$AN$55,3,FALSE))</f>
        <v>0</v>
      </c>
      <c r="V6" s="4">
        <f>(VLOOKUP('102 5.1.00'!AC6,'102 5.1.00'!$AL$4:$AN$55,3,FALSE))</f>
        <v>0</v>
      </c>
      <c r="W6" s="5">
        <f>(VLOOKUP('102 5.1.00'!AD6,'102 5.1.00'!$AL$4:$AN$55,3,FALSE))</f>
        <v>0</v>
      </c>
      <c r="X6" s="5">
        <f>(VLOOKUP('102 5.1.00'!AE6,'102 5.1.00'!$AL$4:$AN$55,3,FALSE))</f>
        <v>0</v>
      </c>
    </row>
    <row r="7" spans="1:24">
      <c r="A7" s="4">
        <f>(VLOOKUP('102 5.1.00'!H7,'102 5.1.00'!$AL$4:$AN$55,3,FALSE))</f>
        <v>0</v>
      </c>
      <c r="B7" s="4">
        <f>(VLOOKUP('102 5.1.00'!I7,'102 5.1.00'!$AL$4:$AN$55,3,FALSE))</f>
        <v>0</v>
      </c>
      <c r="C7" s="4">
        <f>(VLOOKUP('102 5.1.00'!J7,'102 5.1.00'!$AL$4:$AN$55,3,FALSE))</f>
        <v>0</v>
      </c>
      <c r="D7" s="4">
        <f>(VLOOKUP('102 5.1.00'!K7,'102 5.1.00'!$AL$4:$AN$55,3,FALSE))</f>
        <v>0</v>
      </c>
      <c r="E7" s="4">
        <f>(VLOOKUP('102 5.1.00'!L7,'102 5.1.00'!$AL$4:$AN$55,3,FALSE))</f>
        <v>0</v>
      </c>
      <c r="F7" s="4">
        <f>(VLOOKUP('102 5.1.00'!M7,'102 5.1.00'!$AL$4:$AN$55,3,FALSE))</f>
        <v>0</v>
      </c>
      <c r="G7" s="5">
        <f>(VLOOKUP('102 5.1.00'!N7,'102 5.1.00'!$AL$4:$AN$55,3,FALSE))</f>
        <v>0</v>
      </c>
      <c r="H7" s="5">
        <f>(VLOOKUP('102 5.1.00'!O7,'102 5.1.00'!$AL$4:$AN$55,3,FALSE))</f>
        <v>0</v>
      </c>
      <c r="I7" s="4">
        <f>(VLOOKUP('102 5.1.00'!P7,'102 5.1.00'!$AL$4:$AN$55,3,FALSE))</f>
        <v>0</v>
      </c>
      <c r="J7" s="4">
        <f>(VLOOKUP('102 5.1.00'!Q7,'102 5.1.00'!$AL$4:$AN$55,3,FALSE))</f>
        <v>0</v>
      </c>
      <c r="K7" s="4">
        <f>(VLOOKUP('102 5.1.00'!R7,'102 5.1.00'!$AL$4:$AN$55,3,FALSE))</f>
        <v>0</v>
      </c>
      <c r="L7" s="4">
        <f>(VLOOKUP('102 5.1.00'!S7,'102 5.1.00'!$AL$4:$AN$55,3,FALSE))</f>
        <v>0</v>
      </c>
      <c r="M7" s="4">
        <f>(VLOOKUP('102 5.1.00'!T7,'102 5.1.00'!$AL$4:$AN$55,3,FALSE))</f>
        <v>0</v>
      </c>
      <c r="N7" s="4">
        <f>(VLOOKUP('102 5.1.00'!U7,'102 5.1.00'!$AL$4:$AN$55,3,FALSE))</f>
        <v>0</v>
      </c>
      <c r="O7" s="5">
        <f>(VLOOKUP('102 5.1.00'!V7,'102 5.1.00'!$AL$4:$AN$55,3,FALSE))</f>
        <v>0</v>
      </c>
      <c r="P7" s="5">
        <f>(VLOOKUP('102 5.1.00'!W7,'102 5.1.00'!$AL$4:$AN$55,3,FALSE))</f>
        <v>0</v>
      </c>
      <c r="Q7" s="4">
        <f>(VLOOKUP('102 5.1.00'!X7,'102 5.1.00'!$AL$4:$AN$55,3,FALSE))</f>
        <v>0</v>
      </c>
      <c r="R7" s="4">
        <f>(VLOOKUP('102 5.1.00'!Y7,'102 5.1.00'!$AL$4:$AN$55,3,FALSE))</f>
        <v>0</v>
      </c>
      <c r="S7" s="4">
        <f>(VLOOKUP('102 5.1.00'!Z7,'102 5.1.00'!$AL$4:$AN$55,3,FALSE))</f>
        <v>0</v>
      </c>
      <c r="T7" s="4">
        <f>(VLOOKUP('102 5.1.00'!AA7,'102 5.1.00'!$AL$4:$AN$55,3,FALSE))</f>
        <v>0</v>
      </c>
      <c r="U7" s="4">
        <f>(VLOOKUP('102 5.1.00'!AB7,'102 5.1.00'!$AL$4:$AN$55,3,FALSE))</f>
        <v>0</v>
      </c>
      <c r="V7" s="4">
        <f>(VLOOKUP('102 5.1.00'!AC7,'102 5.1.00'!$AL$4:$AN$55,3,FALSE))</f>
        <v>0</v>
      </c>
      <c r="W7" s="5">
        <f>(VLOOKUP('102 5.1.00'!AD7,'102 5.1.00'!$AL$4:$AN$55,3,FALSE))</f>
        <v>0</v>
      </c>
      <c r="X7" s="5">
        <f>(VLOOKUP('102 5.1.00'!AE7,'102 5.1.00'!$AL$4:$AN$55,3,FALSE))</f>
        <v>0</v>
      </c>
    </row>
    <row r="8" spans="1:24">
      <c r="A8" s="4">
        <f>(VLOOKUP('102 5.1.00'!H8,'102 5.1.00'!$AL$4:$AN$55,3,FALSE))</f>
        <v>0</v>
      </c>
      <c r="B8" s="4">
        <f>(VLOOKUP('102 5.1.00'!I8,'102 5.1.00'!$AL$4:$AN$55,3,FALSE))</f>
        <v>0</v>
      </c>
      <c r="C8" s="4">
        <f>(VLOOKUP('102 5.1.00'!J8,'102 5.1.00'!$AL$4:$AN$55,3,FALSE))</f>
        <v>0</v>
      </c>
      <c r="D8" s="4">
        <f>(VLOOKUP('102 5.1.00'!K8,'102 5.1.00'!$AL$4:$AN$55,3,FALSE))</f>
        <v>0</v>
      </c>
      <c r="E8" s="4">
        <f>(VLOOKUP('102 5.1.00'!L8,'102 5.1.00'!$AL$4:$AN$55,3,FALSE))</f>
        <v>0</v>
      </c>
      <c r="F8" s="4">
        <f>(VLOOKUP('102 5.1.00'!M8,'102 5.1.00'!$AL$4:$AN$55,3,FALSE))</f>
        <v>0</v>
      </c>
      <c r="G8" s="5">
        <f>(VLOOKUP('102 5.1.00'!N8,'102 5.1.00'!$AL$4:$AN$55,3,FALSE))</f>
        <v>0</v>
      </c>
      <c r="H8" s="5">
        <f>(VLOOKUP('102 5.1.00'!O8,'102 5.1.00'!$AL$4:$AN$55,3,FALSE))</f>
        <v>0</v>
      </c>
      <c r="I8" s="4">
        <f>(VLOOKUP('102 5.1.00'!P8,'102 5.1.00'!$AL$4:$AN$55,3,FALSE))</f>
        <v>0</v>
      </c>
      <c r="J8" s="4">
        <f>(VLOOKUP('102 5.1.00'!Q8,'102 5.1.00'!$AL$4:$AN$55,3,FALSE))</f>
        <v>0</v>
      </c>
      <c r="K8" s="4">
        <f>(VLOOKUP('102 5.1.00'!R8,'102 5.1.00'!$AL$4:$AN$55,3,FALSE))</f>
        <v>0</v>
      </c>
      <c r="L8" s="4">
        <f>(VLOOKUP('102 5.1.00'!S8,'102 5.1.00'!$AL$4:$AN$55,3,FALSE))</f>
        <v>0</v>
      </c>
      <c r="M8" s="4">
        <f>(VLOOKUP('102 5.1.00'!T8,'102 5.1.00'!$AL$4:$AN$55,3,FALSE))</f>
        <v>0</v>
      </c>
      <c r="N8" s="4">
        <f>(VLOOKUP('102 5.1.00'!U8,'102 5.1.00'!$AL$4:$AN$55,3,FALSE))</f>
        <v>0</v>
      </c>
      <c r="O8" s="5">
        <f>(VLOOKUP('102 5.1.00'!V8,'102 5.1.00'!$AL$4:$AN$55,3,FALSE))</f>
        <v>0</v>
      </c>
      <c r="P8" s="5">
        <f>(VLOOKUP('102 5.1.00'!W8,'102 5.1.00'!$AL$4:$AN$55,3,FALSE))</f>
        <v>0</v>
      </c>
      <c r="Q8" s="4">
        <f>(VLOOKUP('102 5.1.00'!X8,'102 5.1.00'!$AL$4:$AN$55,3,FALSE))</f>
        <v>0</v>
      </c>
      <c r="R8" s="4">
        <f>(VLOOKUP('102 5.1.00'!Y8,'102 5.1.00'!$AL$4:$AN$55,3,FALSE))</f>
        <v>0</v>
      </c>
      <c r="S8" s="4">
        <f>(VLOOKUP('102 5.1.00'!Z8,'102 5.1.00'!$AL$4:$AN$55,3,FALSE))</f>
        <v>0</v>
      </c>
      <c r="T8" s="4">
        <f>(VLOOKUP('102 5.1.00'!AA8,'102 5.1.00'!$AL$4:$AN$55,3,FALSE))</f>
        <v>0</v>
      </c>
      <c r="U8" s="4">
        <f>(VLOOKUP('102 5.1.00'!AB8,'102 5.1.00'!$AL$4:$AN$55,3,FALSE))</f>
        <v>0</v>
      </c>
      <c r="V8" s="4">
        <f>(VLOOKUP('102 5.1.00'!AC8,'102 5.1.00'!$AL$4:$AN$55,3,FALSE))</f>
        <v>0</v>
      </c>
      <c r="W8" s="5">
        <f>(VLOOKUP('102 5.1.00'!AD8,'102 5.1.00'!$AL$4:$AN$55,3,FALSE))</f>
        <v>0</v>
      </c>
      <c r="X8" s="5">
        <f>(VLOOKUP('102 5.1.00'!AE8,'102 5.1.00'!$AL$4:$AN$55,3,FALSE))</f>
        <v>0</v>
      </c>
    </row>
    <row r="9" spans="1:24">
      <c r="A9" s="4">
        <f>(VLOOKUP('102 5.1.00'!H9,'102 5.1.00'!$AL$4:$AN$55,3,FALSE))</f>
        <v>0</v>
      </c>
      <c r="B9" s="4">
        <f>(VLOOKUP('102 5.1.00'!I9,'102 5.1.00'!$AL$4:$AN$55,3,FALSE))</f>
        <v>0</v>
      </c>
      <c r="C9" s="4">
        <f>(VLOOKUP('102 5.1.00'!J9,'102 5.1.00'!$AL$4:$AN$55,3,FALSE))</f>
        <v>0</v>
      </c>
      <c r="D9" s="4">
        <f>(VLOOKUP('102 5.1.00'!K9,'102 5.1.00'!$AL$4:$AN$55,3,FALSE))</f>
        <v>0</v>
      </c>
      <c r="E9" s="4">
        <f>(VLOOKUP('102 5.1.00'!L9,'102 5.1.00'!$AL$4:$AN$55,3,FALSE))</f>
        <v>0</v>
      </c>
      <c r="F9" s="4">
        <f>(VLOOKUP('102 5.1.00'!M9,'102 5.1.00'!$AL$4:$AN$55,3,FALSE))</f>
        <v>0</v>
      </c>
      <c r="G9" s="5">
        <f>(VLOOKUP('102 5.1.00'!N9,'102 5.1.00'!$AL$4:$AN$55,3,FALSE))</f>
        <v>0</v>
      </c>
      <c r="H9" s="5">
        <f>(VLOOKUP('102 5.1.00'!O9,'102 5.1.00'!$AL$4:$AN$55,3,FALSE))</f>
        <v>0</v>
      </c>
      <c r="I9" s="4">
        <f>(VLOOKUP('102 5.1.00'!P9,'102 5.1.00'!$AL$4:$AN$55,3,FALSE))</f>
        <v>0</v>
      </c>
      <c r="J9" s="4">
        <f>(VLOOKUP('102 5.1.00'!Q9,'102 5.1.00'!$AL$4:$AN$55,3,FALSE))</f>
        <v>0</v>
      </c>
      <c r="K9" s="4">
        <f>(VLOOKUP('102 5.1.00'!R9,'102 5.1.00'!$AL$4:$AN$55,3,FALSE))</f>
        <v>0</v>
      </c>
      <c r="L9" s="4">
        <f>(VLOOKUP('102 5.1.00'!S9,'102 5.1.00'!$AL$4:$AN$55,3,FALSE))</f>
        <v>0</v>
      </c>
      <c r="M9" s="4">
        <f>(VLOOKUP('102 5.1.00'!T9,'102 5.1.00'!$AL$4:$AN$55,3,FALSE))</f>
        <v>0</v>
      </c>
      <c r="N9" s="4">
        <f>(VLOOKUP('102 5.1.00'!U9,'102 5.1.00'!$AL$4:$AN$55,3,FALSE))</f>
        <v>0</v>
      </c>
      <c r="O9" s="5">
        <f>(VLOOKUP('102 5.1.00'!V9,'102 5.1.00'!$AL$4:$AN$55,3,FALSE))</f>
        <v>0</v>
      </c>
      <c r="P9" s="5">
        <f>(VLOOKUP('102 5.1.00'!W9,'102 5.1.00'!$AL$4:$AN$55,3,FALSE))</f>
        <v>0</v>
      </c>
      <c r="Q9" s="4">
        <f>(VLOOKUP('102 5.1.00'!X9,'102 5.1.00'!$AL$4:$AN$55,3,FALSE))</f>
        <v>0</v>
      </c>
      <c r="R9" s="4">
        <f>(VLOOKUP('102 5.1.00'!Y9,'102 5.1.00'!$AL$4:$AN$55,3,FALSE))</f>
        <v>0</v>
      </c>
      <c r="S9" s="4">
        <f>(VLOOKUP('102 5.1.00'!Z9,'102 5.1.00'!$AL$4:$AN$55,3,FALSE))</f>
        <v>0</v>
      </c>
      <c r="T9" s="4">
        <f>(VLOOKUP('102 5.1.00'!AA9,'102 5.1.00'!$AL$4:$AN$55,3,FALSE))</f>
        <v>0</v>
      </c>
      <c r="U9" s="4">
        <f>(VLOOKUP('102 5.1.00'!AB9,'102 5.1.00'!$AL$4:$AN$55,3,FALSE))</f>
        <v>0</v>
      </c>
      <c r="V9" s="4">
        <f>(VLOOKUP('102 5.1.00'!AC9,'102 5.1.00'!$AL$4:$AN$55,3,FALSE))</f>
        <v>0</v>
      </c>
      <c r="W9" s="5">
        <f>(VLOOKUP('102 5.1.00'!AD9,'102 5.1.00'!$AL$4:$AN$55,3,FALSE))</f>
        <v>0</v>
      </c>
      <c r="X9" s="5">
        <f>(VLOOKUP('102 5.1.00'!AE9,'102 5.1.00'!$AL$4:$AN$55,3,FALSE))</f>
        <v>0</v>
      </c>
    </row>
    <row r="10" spans="1:24">
      <c r="A10" s="4">
        <f>(VLOOKUP('102 5.1.00'!H10,'102 5.1.00'!$AL$4:$AN$55,3,FALSE))</f>
        <v>0</v>
      </c>
      <c r="B10" s="4">
        <f>(VLOOKUP('102 5.1.00'!I10,'102 5.1.00'!$AL$4:$AN$55,3,FALSE))</f>
        <v>0</v>
      </c>
      <c r="C10" s="4">
        <f>(VLOOKUP('102 5.1.00'!J10,'102 5.1.00'!$AL$4:$AN$55,3,FALSE))</f>
        <v>0</v>
      </c>
      <c r="D10" s="4">
        <f>(VLOOKUP('102 5.1.00'!K10,'102 5.1.00'!$AL$4:$AN$55,3,FALSE))</f>
        <v>0</v>
      </c>
      <c r="E10" s="4">
        <f>(VLOOKUP('102 5.1.00'!L10,'102 5.1.00'!$AL$4:$AN$55,3,FALSE))</f>
        <v>0</v>
      </c>
      <c r="F10" s="4">
        <f>(VLOOKUP('102 5.1.00'!M10,'102 5.1.00'!$AL$4:$AN$55,3,FALSE))</f>
        <v>0</v>
      </c>
      <c r="G10" s="5">
        <f>(VLOOKUP('102 5.1.00'!N10,'102 5.1.00'!$AL$4:$AN$55,3,FALSE))</f>
        <v>0</v>
      </c>
      <c r="H10" s="5">
        <f>(VLOOKUP('102 5.1.00'!O10,'102 5.1.00'!$AL$4:$AN$55,3,FALSE))</f>
        <v>0</v>
      </c>
      <c r="I10" s="4">
        <f>(VLOOKUP('102 5.1.00'!P10,'102 5.1.00'!$AL$4:$AN$55,3,FALSE))</f>
        <v>0</v>
      </c>
      <c r="J10" s="4">
        <f>(VLOOKUP('102 5.1.00'!Q10,'102 5.1.00'!$AL$4:$AN$55,3,FALSE))</f>
        <v>0</v>
      </c>
      <c r="K10" s="4">
        <f>(VLOOKUP('102 5.1.00'!R10,'102 5.1.00'!$AL$4:$AN$55,3,FALSE))</f>
        <v>0</v>
      </c>
      <c r="L10" s="4">
        <f>(VLOOKUP('102 5.1.00'!S10,'102 5.1.00'!$AL$4:$AN$55,3,FALSE))</f>
        <v>0</v>
      </c>
      <c r="M10" s="4">
        <f>(VLOOKUP('102 5.1.00'!T10,'102 5.1.00'!$AL$4:$AN$55,3,FALSE))</f>
        <v>0</v>
      </c>
      <c r="N10" s="4">
        <f>(VLOOKUP('102 5.1.00'!U10,'102 5.1.00'!$AL$4:$AN$55,3,FALSE))</f>
        <v>0</v>
      </c>
      <c r="O10" s="5">
        <f>(VLOOKUP('102 5.1.00'!V10,'102 5.1.00'!$AL$4:$AN$55,3,FALSE))</f>
        <v>0</v>
      </c>
      <c r="P10" s="5">
        <f>(VLOOKUP('102 5.1.00'!W10,'102 5.1.00'!$AL$4:$AN$55,3,FALSE))</f>
        <v>0</v>
      </c>
      <c r="Q10" s="4">
        <f>(VLOOKUP('102 5.1.00'!X10,'102 5.1.00'!$AL$4:$AN$55,3,FALSE))</f>
        <v>0</v>
      </c>
      <c r="R10" s="4">
        <f>(VLOOKUP('102 5.1.00'!Y10,'102 5.1.00'!$AL$4:$AN$55,3,FALSE))</f>
        <v>0</v>
      </c>
      <c r="S10" s="4">
        <f>(VLOOKUP('102 5.1.00'!Z10,'102 5.1.00'!$AL$4:$AN$55,3,FALSE))</f>
        <v>0</v>
      </c>
      <c r="T10" s="4">
        <f>(VLOOKUP('102 5.1.00'!AA10,'102 5.1.00'!$AL$4:$AN$55,3,FALSE))</f>
        <v>0</v>
      </c>
      <c r="U10" s="4">
        <f>(VLOOKUP('102 5.1.00'!AB10,'102 5.1.00'!$AL$4:$AN$55,3,FALSE))</f>
        <v>0</v>
      </c>
      <c r="V10" s="4">
        <f>(VLOOKUP('102 5.1.00'!AC10,'102 5.1.00'!$AL$4:$AN$55,3,FALSE))</f>
        <v>0</v>
      </c>
      <c r="W10" s="5">
        <f>(VLOOKUP('102 5.1.00'!AD10,'102 5.1.00'!$AL$4:$AN$55,3,FALSE))</f>
        <v>0</v>
      </c>
      <c r="X10" s="5">
        <f>(VLOOKUP('102 5.1.00'!AE10,'102 5.1.00'!$AL$4:$AN$55,3,FALSE))</f>
        <v>0</v>
      </c>
    </row>
    <row r="11" spans="1:24">
      <c r="A11" s="4">
        <f>(VLOOKUP('102 5.1.00'!H11,'102 5.1.00'!$AL$4:$AN$55,3,FALSE))</f>
        <v>0</v>
      </c>
      <c r="B11" s="4">
        <f>(VLOOKUP('102 5.1.00'!I11,'102 5.1.00'!$AL$4:$AN$55,3,FALSE))</f>
        <v>0</v>
      </c>
      <c r="C11" s="4">
        <f>(VLOOKUP('102 5.1.00'!J11,'102 5.1.00'!$AL$4:$AN$55,3,FALSE))</f>
        <v>0</v>
      </c>
      <c r="D11" s="4">
        <f>(VLOOKUP('102 5.1.00'!K11,'102 5.1.00'!$AL$4:$AN$55,3,FALSE))</f>
        <v>0</v>
      </c>
      <c r="E11" s="4">
        <f>(VLOOKUP('102 5.1.00'!L11,'102 5.1.00'!$AL$4:$AN$55,3,FALSE))</f>
        <v>0</v>
      </c>
      <c r="F11" s="4">
        <f>(VLOOKUP('102 5.1.00'!M11,'102 5.1.00'!$AL$4:$AN$55,3,FALSE))</f>
        <v>0</v>
      </c>
      <c r="G11" s="5">
        <f>(VLOOKUP('102 5.1.00'!N11,'102 5.1.00'!$AL$4:$AN$55,3,FALSE))</f>
        <v>0</v>
      </c>
      <c r="H11" s="5">
        <f>(VLOOKUP('102 5.1.00'!O11,'102 5.1.00'!$AL$4:$AN$55,3,FALSE))</f>
        <v>0</v>
      </c>
      <c r="I11" s="4">
        <f>(VLOOKUP('102 5.1.00'!P11,'102 5.1.00'!$AL$4:$AN$55,3,FALSE))</f>
        <v>0</v>
      </c>
      <c r="J11" s="4">
        <f>(VLOOKUP('102 5.1.00'!Q11,'102 5.1.00'!$AL$4:$AN$55,3,FALSE))</f>
        <v>0</v>
      </c>
      <c r="K11" s="4">
        <f>(VLOOKUP('102 5.1.00'!R11,'102 5.1.00'!$AL$4:$AN$55,3,FALSE))</f>
        <v>0</v>
      </c>
      <c r="L11" s="4">
        <f>(VLOOKUP('102 5.1.00'!S11,'102 5.1.00'!$AL$4:$AN$55,3,FALSE))</f>
        <v>0</v>
      </c>
      <c r="M11" s="4">
        <f>(VLOOKUP('102 5.1.00'!T11,'102 5.1.00'!$AL$4:$AN$55,3,FALSE))</f>
        <v>0</v>
      </c>
      <c r="N11" s="4">
        <f>(VLOOKUP('102 5.1.00'!U11,'102 5.1.00'!$AL$4:$AN$55,3,FALSE))</f>
        <v>0</v>
      </c>
      <c r="O11" s="5">
        <f>(VLOOKUP('102 5.1.00'!V11,'102 5.1.00'!$AL$4:$AN$55,3,FALSE))</f>
        <v>0</v>
      </c>
      <c r="P11" s="5">
        <f>(VLOOKUP('102 5.1.00'!W11,'102 5.1.00'!$AL$4:$AN$55,3,FALSE))</f>
        <v>0</v>
      </c>
      <c r="Q11" s="4">
        <f>(VLOOKUP('102 5.1.00'!X11,'102 5.1.00'!$AL$4:$AN$55,3,FALSE))</f>
        <v>0</v>
      </c>
      <c r="R11" s="4">
        <f>(VLOOKUP('102 5.1.00'!Y11,'102 5.1.00'!$AL$4:$AN$55,3,FALSE))</f>
        <v>0</v>
      </c>
      <c r="S11" s="4">
        <f>(VLOOKUP('102 5.1.00'!Z11,'102 5.1.00'!$AL$4:$AN$55,3,FALSE))</f>
        <v>0</v>
      </c>
      <c r="T11" s="4">
        <f>(VLOOKUP('102 5.1.00'!AA11,'102 5.1.00'!$AL$4:$AN$55,3,FALSE))</f>
        <v>0</v>
      </c>
      <c r="U11" s="4">
        <f>(VLOOKUP('102 5.1.00'!AB11,'102 5.1.00'!$AL$4:$AN$55,3,FALSE))</f>
        <v>0</v>
      </c>
      <c r="V11" s="4">
        <f>(VLOOKUP('102 5.1.00'!AC11,'102 5.1.00'!$AL$4:$AN$55,3,FALSE))</f>
        <v>0</v>
      </c>
      <c r="W11" s="5">
        <f>(VLOOKUP('102 5.1.00'!AD11,'102 5.1.00'!$AL$4:$AN$55,3,FALSE))</f>
        <v>0</v>
      </c>
      <c r="X11" s="5">
        <f>(VLOOKUP('102 5.1.00'!AE11,'102 5.1.00'!$AL$4:$AN$55,3,FALSE))</f>
        <v>0</v>
      </c>
    </row>
    <row r="12" spans="1:24">
      <c r="A12" s="4">
        <f>(VLOOKUP('102 5.1.00'!H12,'102 5.1.00'!$AL$4:$AN$55,3,FALSE))</f>
        <v>0</v>
      </c>
      <c r="B12" s="4">
        <f>(VLOOKUP('102 5.1.00'!I12,'102 5.1.00'!$AL$4:$AN$55,3,FALSE))</f>
        <v>0</v>
      </c>
      <c r="C12" s="4">
        <f>(VLOOKUP('102 5.1.00'!J12,'102 5.1.00'!$AL$4:$AN$55,3,FALSE))</f>
        <v>0</v>
      </c>
      <c r="D12" s="4">
        <f>(VLOOKUP('102 5.1.00'!K12,'102 5.1.00'!$AL$4:$AN$55,3,FALSE))</f>
        <v>0</v>
      </c>
      <c r="E12" s="4">
        <f>(VLOOKUP('102 5.1.00'!L12,'102 5.1.00'!$AL$4:$AN$55,3,FALSE))</f>
        <v>0</v>
      </c>
      <c r="F12" s="4">
        <f>(VLOOKUP('102 5.1.00'!M12,'102 5.1.00'!$AL$4:$AN$55,3,FALSE))</f>
        <v>0</v>
      </c>
      <c r="G12" s="5">
        <f>(VLOOKUP('102 5.1.00'!N12,'102 5.1.00'!$AL$4:$AN$55,3,FALSE))</f>
        <v>0</v>
      </c>
      <c r="H12" s="5">
        <f>(VLOOKUP('102 5.1.00'!O12,'102 5.1.00'!$AL$4:$AN$55,3,FALSE))</f>
        <v>0</v>
      </c>
      <c r="I12" s="4">
        <f>(VLOOKUP('102 5.1.00'!P12,'102 5.1.00'!$AL$4:$AN$55,3,FALSE))</f>
        <v>0</v>
      </c>
      <c r="J12" s="4">
        <f>(VLOOKUP('102 5.1.00'!Q12,'102 5.1.00'!$AL$4:$AN$55,3,FALSE))</f>
        <v>0</v>
      </c>
      <c r="K12" s="4">
        <f>(VLOOKUP('102 5.1.00'!R12,'102 5.1.00'!$AL$4:$AN$55,3,FALSE))</f>
        <v>0</v>
      </c>
      <c r="L12" s="4">
        <f>(VLOOKUP('102 5.1.00'!S12,'102 5.1.00'!$AL$4:$AN$55,3,FALSE))</f>
        <v>0</v>
      </c>
      <c r="M12" s="4">
        <f>(VLOOKUP('102 5.1.00'!T12,'102 5.1.00'!$AL$4:$AN$55,3,FALSE))</f>
        <v>0</v>
      </c>
      <c r="N12" s="4">
        <f>(VLOOKUP('102 5.1.00'!U12,'102 5.1.00'!$AL$4:$AN$55,3,FALSE))</f>
        <v>0</v>
      </c>
      <c r="O12" s="5">
        <f>(VLOOKUP('102 5.1.00'!V12,'102 5.1.00'!$AL$4:$AN$55,3,FALSE))</f>
        <v>0</v>
      </c>
      <c r="P12" s="5">
        <f>(VLOOKUP('102 5.1.00'!W12,'102 5.1.00'!$AL$4:$AN$55,3,FALSE))</f>
        <v>0</v>
      </c>
      <c r="Q12" s="4">
        <f>(VLOOKUP('102 5.1.00'!X12,'102 5.1.00'!$AL$4:$AN$55,3,FALSE))</f>
        <v>0</v>
      </c>
      <c r="R12" s="4">
        <f>(VLOOKUP('102 5.1.00'!Y12,'102 5.1.00'!$AL$4:$AN$55,3,FALSE))</f>
        <v>0</v>
      </c>
      <c r="S12" s="4">
        <f>(VLOOKUP('102 5.1.00'!Z12,'102 5.1.00'!$AL$4:$AN$55,3,FALSE))</f>
        <v>0</v>
      </c>
      <c r="T12" s="4">
        <f>(VLOOKUP('102 5.1.00'!AA12,'102 5.1.00'!$AL$4:$AN$55,3,FALSE))</f>
        <v>0</v>
      </c>
      <c r="U12" s="4">
        <f>(VLOOKUP('102 5.1.00'!AB12,'102 5.1.00'!$AL$4:$AN$55,3,FALSE))</f>
        <v>0</v>
      </c>
      <c r="V12" s="4">
        <f>(VLOOKUP('102 5.1.00'!AC12,'102 5.1.00'!$AL$4:$AN$55,3,FALSE))</f>
        <v>0</v>
      </c>
      <c r="W12" s="5">
        <f>(VLOOKUP('102 5.1.00'!AD12,'102 5.1.00'!$AL$4:$AN$55,3,FALSE))</f>
        <v>0</v>
      </c>
      <c r="X12" s="5">
        <f>(VLOOKUP('102 5.1.00'!AE12,'102 5.1.00'!$AL$4:$AN$55,3,FALSE))</f>
        <v>0</v>
      </c>
    </row>
    <row r="13" spans="1:24">
      <c r="A13" s="4">
        <f>(VLOOKUP('102 5.1.00'!H13,'102 5.1.00'!$AL$4:$AN$55,3,FALSE))</f>
        <v>0</v>
      </c>
      <c r="B13" s="4">
        <f>(VLOOKUP('102 5.1.00'!I13,'102 5.1.00'!$AL$4:$AN$55,3,FALSE))</f>
        <v>0</v>
      </c>
      <c r="C13" s="4">
        <f>(VLOOKUP('102 5.1.00'!J13,'102 5.1.00'!$AL$4:$AN$55,3,FALSE))</f>
        <v>0</v>
      </c>
      <c r="D13" s="4">
        <f>(VLOOKUP('102 5.1.00'!K13,'102 5.1.00'!$AL$4:$AN$55,3,FALSE))</f>
        <v>0</v>
      </c>
      <c r="E13" s="4">
        <f>(VLOOKUP('102 5.1.00'!L13,'102 5.1.00'!$AL$4:$AN$55,3,FALSE))</f>
        <v>0</v>
      </c>
      <c r="F13" s="4">
        <f>(VLOOKUP('102 5.1.00'!M13,'102 5.1.00'!$AL$4:$AN$55,3,FALSE))</f>
        <v>0</v>
      </c>
      <c r="G13" s="5">
        <f>(VLOOKUP('102 5.1.00'!N13,'102 5.1.00'!$AL$4:$AN$55,3,FALSE))</f>
        <v>0</v>
      </c>
      <c r="H13" s="5">
        <f>(VLOOKUP('102 5.1.00'!O13,'102 5.1.00'!$AL$4:$AN$55,3,FALSE))</f>
        <v>0</v>
      </c>
      <c r="I13" s="4">
        <f>(VLOOKUP('102 5.1.00'!P13,'102 5.1.00'!$AL$4:$AN$55,3,FALSE))</f>
        <v>0</v>
      </c>
      <c r="J13" s="4">
        <f>(VLOOKUP('102 5.1.00'!Q13,'102 5.1.00'!$AL$4:$AN$55,3,FALSE))</f>
        <v>0</v>
      </c>
      <c r="K13" s="4">
        <f>(VLOOKUP('102 5.1.00'!R13,'102 5.1.00'!$AL$4:$AN$55,3,FALSE))</f>
        <v>0</v>
      </c>
      <c r="L13" s="4">
        <f>(VLOOKUP('102 5.1.00'!S13,'102 5.1.00'!$AL$4:$AN$55,3,FALSE))</f>
        <v>0</v>
      </c>
      <c r="M13" s="4">
        <f>(VLOOKUP('102 5.1.00'!T13,'102 5.1.00'!$AL$4:$AN$55,3,FALSE))</f>
        <v>0</v>
      </c>
      <c r="N13" s="4">
        <f>(VLOOKUP('102 5.1.00'!U13,'102 5.1.00'!$AL$4:$AN$55,3,FALSE))</f>
        <v>0</v>
      </c>
      <c r="O13" s="5">
        <f>(VLOOKUP('102 5.1.00'!V13,'102 5.1.00'!$AL$4:$AN$55,3,FALSE))</f>
        <v>0</v>
      </c>
      <c r="P13" s="5">
        <f>(VLOOKUP('102 5.1.00'!W13,'102 5.1.00'!$AL$4:$AN$55,3,FALSE))</f>
        <v>0</v>
      </c>
      <c r="Q13" s="4">
        <f>(VLOOKUP('102 5.1.00'!X13,'102 5.1.00'!$AL$4:$AN$55,3,FALSE))</f>
        <v>0</v>
      </c>
      <c r="R13" s="4">
        <f>(VLOOKUP('102 5.1.00'!Y13,'102 5.1.00'!$AL$4:$AN$55,3,FALSE))</f>
        <v>0</v>
      </c>
      <c r="S13" s="4">
        <f>(VLOOKUP('102 5.1.00'!Z13,'102 5.1.00'!$AL$4:$AN$55,3,FALSE))</f>
        <v>0</v>
      </c>
      <c r="T13" s="4">
        <f>(VLOOKUP('102 5.1.00'!AA13,'102 5.1.00'!$AL$4:$AN$55,3,FALSE))</f>
        <v>0</v>
      </c>
      <c r="U13" s="4">
        <f>(VLOOKUP('102 5.1.00'!AB13,'102 5.1.00'!$AL$4:$AN$55,3,FALSE))</f>
        <v>0</v>
      </c>
      <c r="V13" s="4">
        <f>(VLOOKUP('102 5.1.00'!AC13,'102 5.1.00'!$AL$4:$AN$55,3,FALSE))</f>
        <v>0</v>
      </c>
      <c r="W13" s="5">
        <f>(VLOOKUP('102 5.1.00'!AD13,'102 5.1.00'!$AL$4:$AN$55,3,FALSE))</f>
        <v>0</v>
      </c>
      <c r="X13" s="5">
        <f>(VLOOKUP('102 5.1.00'!AE13,'102 5.1.00'!$AL$4:$AN$55,3,FALSE))</f>
        <v>0</v>
      </c>
    </row>
    <row r="14" spans="1:24">
      <c r="A14" s="4">
        <f>(VLOOKUP('102 5.1.00'!H14,'102 5.1.00'!$AL$4:$AN$55,3,FALSE))</f>
        <v>0</v>
      </c>
      <c r="B14" s="4">
        <f>(VLOOKUP('102 5.1.00'!I14,'102 5.1.00'!$AL$4:$AN$55,3,FALSE))</f>
        <v>0</v>
      </c>
      <c r="C14" s="4">
        <f>(VLOOKUP('102 5.1.00'!J14,'102 5.1.00'!$AL$4:$AN$55,3,FALSE))</f>
        <v>0</v>
      </c>
      <c r="D14" s="4">
        <f>(VLOOKUP('102 5.1.00'!K14,'102 5.1.00'!$AL$4:$AN$55,3,FALSE))</f>
        <v>0</v>
      </c>
      <c r="E14" s="4">
        <f>(VLOOKUP('102 5.1.00'!L14,'102 5.1.00'!$AL$4:$AN$55,3,FALSE))</f>
        <v>0</v>
      </c>
      <c r="F14" s="4">
        <f>(VLOOKUP('102 5.1.00'!M14,'102 5.1.00'!$AL$4:$AN$55,3,FALSE))</f>
        <v>0</v>
      </c>
      <c r="G14" s="5">
        <f>(VLOOKUP('102 5.1.00'!N14,'102 5.1.00'!$AL$4:$AN$55,3,FALSE))</f>
        <v>0</v>
      </c>
      <c r="H14" s="5">
        <f>(VLOOKUP('102 5.1.00'!O14,'102 5.1.00'!$AL$4:$AN$55,3,FALSE))</f>
        <v>0</v>
      </c>
      <c r="I14" s="4">
        <f>(VLOOKUP('102 5.1.00'!P14,'102 5.1.00'!$AL$4:$AN$55,3,FALSE))</f>
        <v>0</v>
      </c>
      <c r="J14" s="4">
        <f>(VLOOKUP('102 5.1.00'!Q14,'102 5.1.00'!$AL$4:$AN$55,3,FALSE))</f>
        <v>0</v>
      </c>
      <c r="K14" s="4">
        <f>(VLOOKUP('102 5.1.00'!R14,'102 5.1.00'!$AL$4:$AN$55,3,FALSE))</f>
        <v>0</v>
      </c>
      <c r="L14" s="4">
        <f>(VLOOKUP('102 5.1.00'!S14,'102 5.1.00'!$AL$4:$AN$55,3,FALSE))</f>
        <v>0</v>
      </c>
      <c r="M14" s="4">
        <f>(VLOOKUP('102 5.1.00'!T14,'102 5.1.00'!$AL$4:$AN$55,3,FALSE))</f>
        <v>0</v>
      </c>
      <c r="N14" s="4">
        <f>(VLOOKUP('102 5.1.00'!U14,'102 5.1.00'!$AL$4:$AN$55,3,FALSE))</f>
        <v>0</v>
      </c>
      <c r="O14" s="5">
        <f>(VLOOKUP('102 5.1.00'!V14,'102 5.1.00'!$AL$4:$AN$55,3,FALSE))</f>
        <v>0</v>
      </c>
      <c r="P14" s="5">
        <f>(VLOOKUP('102 5.1.00'!W14,'102 5.1.00'!$AL$4:$AN$55,3,FALSE))</f>
        <v>0</v>
      </c>
      <c r="Q14" s="4">
        <f>(VLOOKUP('102 5.1.00'!X14,'102 5.1.00'!$AL$4:$AN$55,3,FALSE))</f>
        <v>0</v>
      </c>
      <c r="R14" s="4">
        <f>(VLOOKUP('102 5.1.00'!Y14,'102 5.1.00'!$AL$4:$AN$55,3,FALSE))</f>
        <v>0</v>
      </c>
      <c r="S14" s="4">
        <f>(VLOOKUP('102 5.1.00'!Z14,'102 5.1.00'!$AL$4:$AN$55,3,FALSE))</f>
        <v>0</v>
      </c>
      <c r="T14" s="4">
        <f>(VLOOKUP('102 5.1.00'!AA14,'102 5.1.00'!$AL$4:$AN$55,3,FALSE))</f>
        <v>0</v>
      </c>
      <c r="U14" s="4">
        <f>(VLOOKUP('102 5.1.00'!AB14,'102 5.1.00'!$AL$4:$AN$55,3,FALSE))</f>
        <v>0</v>
      </c>
      <c r="V14" s="4">
        <f>(VLOOKUP('102 5.1.00'!AC14,'102 5.1.00'!$AL$4:$AN$55,3,FALSE))</f>
        <v>0</v>
      </c>
      <c r="W14" s="5">
        <f>(VLOOKUP('102 5.1.00'!AD14,'102 5.1.00'!$AL$4:$AN$55,3,FALSE))</f>
        <v>0</v>
      </c>
      <c r="X14" s="5">
        <f>(VLOOKUP('102 5.1.00'!AE14,'102 5.1.00'!$AL$4:$AN$55,3,FALSE))</f>
        <v>0</v>
      </c>
    </row>
    <row r="15" spans="1:24">
      <c r="A15" s="4">
        <f>(VLOOKUP('102 5.1.00'!H15,'102 5.1.00'!$AL$4:$AN$55,3,FALSE))</f>
        <v>0</v>
      </c>
      <c r="B15" s="4">
        <f>(VLOOKUP('102 5.1.00'!I15,'102 5.1.00'!$AL$4:$AN$55,3,FALSE))</f>
        <v>0</v>
      </c>
      <c r="C15" s="4">
        <f>(VLOOKUP('102 5.1.00'!J15,'102 5.1.00'!$AL$4:$AN$55,3,FALSE))</f>
        <v>0</v>
      </c>
      <c r="D15" s="4">
        <f>(VLOOKUP('102 5.1.00'!K15,'102 5.1.00'!$AL$4:$AN$55,3,FALSE))</f>
        <v>0</v>
      </c>
      <c r="E15" s="4">
        <f>(VLOOKUP('102 5.1.00'!L15,'102 5.1.00'!$AL$4:$AN$55,3,FALSE))</f>
        <v>0</v>
      </c>
      <c r="F15" s="4">
        <f>(VLOOKUP('102 5.1.00'!M15,'102 5.1.00'!$AL$4:$AN$55,3,FALSE))</f>
        <v>0</v>
      </c>
      <c r="G15" s="5">
        <f>(VLOOKUP('102 5.1.00'!N15,'102 5.1.00'!$AL$4:$AN$55,3,FALSE))</f>
        <v>0</v>
      </c>
      <c r="H15" s="5">
        <f>(VLOOKUP('102 5.1.00'!O15,'102 5.1.00'!$AL$4:$AN$55,3,FALSE))</f>
        <v>0</v>
      </c>
      <c r="I15" s="4">
        <f>(VLOOKUP('102 5.1.00'!P15,'102 5.1.00'!$AL$4:$AN$55,3,FALSE))</f>
        <v>0</v>
      </c>
      <c r="J15" s="4">
        <f>(VLOOKUP('102 5.1.00'!Q15,'102 5.1.00'!$AL$4:$AN$55,3,FALSE))</f>
        <v>0</v>
      </c>
      <c r="K15" s="4">
        <f>(VLOOKUP('102 5.1.00'!R15,'102 5.1.00'!$AL$4:$AN$55,3,FALSE))</f>
        <v>0</v>
      </c>
      <c r="L15" s="4">
        <f>(VLOOKUP('102 5.1.00'!S15,'102 5.1.00'!$AL$4:$AN$55,3,FALSE))</f>
        <v>0</v>
      </c>
      <c r="M15" s="4">
        <f>(VLOOKUP('102 5.1.00'!T15,'102 5.1.00'!$AL$4:$AN$55,3,FALSE))</f>
        <v>0</v>
      </c>
      <c r="N15" s="4">
        <f>(VLOOKUP('102 5.1.00'!U15,'102 5.1.00'!$AL$4:$AN$55,3,FALSE))</f>
        <v>0</v>
      </c>
      <c r="O15" s="5">
        <f>(VLOOKUP('102 5.1.00'!V15,'102 5.1.00'!$AL$4:$AN$55,3,FALSE))</f>
        <v>0</v>
      </c>
      <c r="P15" s="5">
        <f>(VLOOKUP('102 5.1.00'!W15,'102 5.1.00'!$AL$4:$AN$55,3,FALSE))</f>
        <v>0</v>
      </c>
      <c r="Q15" s="4">
        <f>(VLOOKUP('102 5.1.00'!X15,'102 5.1.00'!$AL$4:$AN$55,3,FALSE))</f>
        <v>0</v>
      </c>
      <c r="R15" s="4">
        <f>(VLOOKUP('102 5.1.00'!Y15,'102 5.1.00'!$AL$4:$AN$55,3,FALSE))</f>
        <v>0</v>
      </c>
      <c r="S15" s="4">
        <f>(VLOOKUP('102 5.1.00'!Z15,'102 5.1.00'!$AL$4:$AN$55,3,FALSE))</f>
        <v>0</v>
      </c>
      <c r="T15" s="4">
        <f>(VLOOKUP('102 5.1.00'!AA15,'102 5.1.00'!$AL$4:$AN$55,3,FALSE))</f>
        <v>0</v>
      </c>
      <c r="U15" s="4">
        <f>(VLOOKUP('102 5.1.00'!AB15,'102 5.1.00'!$AL$4:$AN$55,3,FALSE))</f>
        <v>0</v>
      </c>
      <c r="V15" s="4">
        <f>(VLOOKUP('102 5.1.00'!AC15,'102 5.1.00'!$AL$4:$AN$55,3,FALSE))</f>
        <v>0</v>
      </c>
      <c r="W15" s="5">
        <f>(VLOOKUP('102 5.1.00'!AD15,'102 5.1.00'!$AL$4:$AN$55,3,FALSE))</f>
        <v>0</v>
      </c>
      <c r="X15" s="5">
        <f>(VLOOKUP('102 5.1.00'!AE15,'102 5.1.00'!$AL$4:$AN$55,3,FALSE))</f>
        <v>0</v>
      </c>
    </row>
    <row r="16" spans="1:24">
      <c r="A16" s="4">
        <f>(VLOOKUP('102 5.1.00'!H16,'102 5.1.00'!$AL$4:$AN$55,3,FALSE))</f>
        <v>0</v>
      </c>
      <c r="B16" s="4">
        <f>(VLOOKUP('102 5.1.00'!I16,'102 5.1.00'!$AL$4:$AN$55,3,FALSE))</f>
        <v>0</v>
      </c>
      <c r="C16" s="4">
        <f>(VLOOKUP('102 5.1.00'!J16,'102 5.1.00'!$AL$4:$AN$55,3,FALSE))</f>
        <v>0</v>
      </c>
      <c r="D16" s="4">
        <f>(VLOOKUP('102 5.1.00'!K16,'102 5.1.00'!$AL$4:$AN$55,3,FALSE))</f>
        <v>0</v>
      </c>
      <c r="E16" s="4">
        <f>(VLOOKUP('102 5.1.00'!L16,'102 5.1.00'!$AL$4:$AN$55,3,FALSE))</f>
        <v>0</v>
      </c>
      <c r="F16" s="4">
        <f>(VLOOKUP('102 5.1.00'!M16,'102 5.1.00'!$AL$4:$AN$55,3,FALSE))</f>
        <v>0</v>
      </c>
      <c r="G16" s="5">
        <f>(VLOOKUP('102 5.1.00'!N16,'102 5.1.00'!$AL$4:$AN$55,3,FALSE))</f>
        <v>0</v>
      </c>
      <c r="H16" s="5">
        <f>(VLOOKUP('102 5.1.00'!O16,'102 5.1.00'!$AL$4:$AN$55,3,FALSE))</f>
        <v>0</v>
      </c>
      <c r="I16" s="4">
        <f>(VLOOKUP('102 5.1.00'!P16,'102 5.1.00'!$AL$4:$AN$55,3,FALSE))</f>
        <v>0</v>
      </c>
      <c r="J16" s="4">
        <f>(VLOOKUP('102 5.1.00'!Q16,'102 5.1.00'!$AL$4:$AN$55,3,FALSE))</f>
        <v>0</v>
      </c>
      <c r="K16" s="4">
        <f>(VLOOKUP('102 5.1.00'!R16,'102 5.1.00'!$AL$4:$AN$55,3,FALSE))</f>
        <v>0</v>
      </c>
      <c r="L16" s="4">
        <f>(VLOOKUP('102 5.1.00'!S16,'102 5.1.00'!$AL$4:$AN$55,3,FALSE))</f>
        <v>0</v>
      </c>
      <c r="M16" s="4">
        <f>(VLOOKUP('102 5.1.00'!T16,'102 5.1.00'!$AL$4:$AN$55,3,FALSE))</f>
        <v>0</v>
      </c>
      <c r="N16" s="4">
        <f>(VLOOKUP('102 5.1.00'!U16,'102 5.1.00'!$AL$4:$AN$55,3,FALSE))</f>
        <v>0</v>
      </c>
      <c r="O16" s="5">
        <f>(VLOOKUP('102 5.1.00'!V16,'102 5.1.00'!$AL$4:$AN$55,3,FALSE))</f>
        <v>0</v>
      </c>
      <c r="P16" s="5">
        <f>(VLOOKUP('102 5.1.00'!W16,'102 5.1.00'!$AL$4:$AN$55,3,FALSE))</f>
        <v>0</v>
      </c>
      <c r="Q16" s="4">
        <f>(VLOOKUP('102 5.1.00'!X16,'102 5.1.00'!$AL$4:$AN$55,3,FALSE))</f>
        <v>0</v>
      </c>
      <c r="R16" s="4">
        <f>(VLOOKUP('102 5.1.00'!Y16,'102 5.1.00'!$AL$4:$AN$55,3,FALSE))</f>
        <v>0</v>
      </c>
      <c r="S16" s="4">
        <f>(VLOOKUP('102 5.1.00'!Z16,'102 5.1.00'!$AL$4:$AN$55,3,FALSE))</f>
        <v>0</v>
      </c>
      <c r="T16" s="4">
        <f>(VLOOKUP('102 5.1.00'!AA16,'102 5.1.00'!$AL$4:$AN$55,3,FALSE))</f>
        <v>0</v>
      </c>
      <c r="U16" s="4">
        <f>(VLOOKUP('102 5.1.00'!AB16,'102 5.1.00'!$AL$4:$AN$55,3,FALSE))</f>
        <v>0</v>
      </c>
      <c r="V16" s="4">
        <f>(VLOOKUP('102 5.1.00'!AC16,'102 5.1.00'!$AL$4:$AN$55,3,FALSE))</f>
        <v>0</v>
      </c>
      <c r="W16" s="5">
        <f>(VLOOKUP('102 5.1.00'!AD16,'102 5.1.00'!$AL$4:$AN$55,3,FALSE))</f>
        <v>0</v>
      </c>
      <c r="X16" s="5">
        <f>(VLOOKUP('102 5.1.00'!AE16,'102 5.1.00'!$AL$4:$AN$55,3,FALSE))</f>
        <v>0</v>
      </c>
    </row>
    <row r="17" spans="1:24">
      <c r="A17" s="4">
        <f>(VLOOKUP('102 5.1.00'!H17,'102 5.1.00'!$AL$4:$AN$55,3,FALSE))</f>
        <v>0</v>
      </c>
      <c r="B17" s="4">
        <f>(VLOOKUP('102 5.1.00'!I17,'102 5.1.00'!$AL$4:$AN$55,3,FALSE))</f>
        <v>0</v>
      </c>
      <c r="C17" s="4">
        <f>(VLOOKUP('102 5.1.00'!J17,'102 5.1.00'!$AL$4:$AN$55,3,FALSE))</f>
        <v>0</v>
      </c>
      <c r="D17" s="4">
        <f>(VLOOKUP('102 5.1.00'!K17,'102 5.1.00'!$AL$4:$AN$55,3,FALSE))</f>
        <v>0</v>
      </c>
      <c r="E17" s="4">
        <f>(VLOOKUP('102 5.1.00'!L17,'102 5.1.00'!$AL$4:$AN$55,3,FALSE))</f>
        <v>0</v>
      </c>
      <c r="F17" s="4">
        <f>(VLOOKUP('102 5.1.00'!M17,'102 5.1.00'!$AL$4:$AN$55,3,FALSE))</f>
        <v>0</v>
      </c>
      <c r="G17" s="5">
        <f>(VLOOKUP('102 5.1.00'!N17,'102 5.1.00'!$AL$4:$AN$55,3,FALSE))</f>
        <v>0</v>
      </c>
      <c r="H17" s="5">
        <f>(VLOOKUP('102 5.1.00'!O17,'102 5.1.00'!$AL$4:$AN$55,3,FALSE))</f>
        <v>0</v>
      </c>
      <c r="I17" s="4">
        <f>(VLOOKUP('102 5.1.00'!P17,'102 5.1.00'!$AL$4:$AN$55,3,FALSE))</f>
        <v>0</v>
      </c>
      <c r="J17" s="4">
        <f>(VLOOKUP('102 5.1.00'!Q17,'102 5.1.00'!$AL$4:$AN$55,3,FALSE))</f>
        <v>0</v>
      </c>
      <c r="K17" s="4">
        <f>(VLOOKUP('102 5.1.00'!R17,'102 5.1.00'!$AL$4:$AN$55,3,FALSE))</f>
        <v>0</v>
      </c>
      <c r="L17" s="4">
        <f>(VLOOKUP('102 5.1.00'!S17,'102 5.1.00'!$AL$4:$AN$55,3,FALSE))</f>
        <v>0</v>
      </c>
      <c r="M17" s="4">
        <f>(VLOOKUP('102 5.1.00'!T17,'102 5.1.00'!$AL$4:$AN$55,3,FALSE))</f>
        <v>0</v>
      </c>
      <c r="N17" s="4">
        <f>(VLOOKUP('102 5.1.00'!U17,'102 5.1.00'!$AL$4:$AN$55,3,FALSE))</f>
        <v>0</v>
      </c>
      <c r="O17" s="5">
        <f>(VLOOKUP('102 5.1.00'!V17,'102 5.1.00'!$AL$4:$AN$55,3,FALSE))</f>
        <v>0</v>
      </c>
      <c r="P17" s="5">
        <f>(VLOOKUP('102 5.1.00'!W17,'102 5.1.00'!$AL$4:$AN$55,3,FALSE))</f>
        <v>0</v>
      </c>
      <c r="Q17" s="4">
        <f>(VLOOKUP('102 5.1.00'!X17,'102 5.1.00'!$AL$4:$AN$55,3,FALSE))</f>
        <v>0</v>
      </c>
      <c r="R17" s="4">
        <f>(VLOOKUP('102 5.1.00'!Y17,'102 5.1.00'!$AL$4:$AN$55,3,FALSE))</f>
        <v>0</v>
      </c>
      <c r="S17" s="4">
        <f>(VLOOKUP('102 5.1.00'!Z17,'102 5.1.00'!$AL$4:$AN$55,3,FALSE))</f>
        <v>0</v>
      </c>
      <c r="T17" s="4">
        <f>(VLOOKUP('102 5.1.00'!AA17,'102 5.1.00'!$AL$4:$AN$55,3,FALSE))</f>
        <v>0</v>
      </c>
      <c r="U17" s="4">
        <f>(VLOOKUP('102 5.1.00'!AB17,'102 5.1.00'!$AL$4:$AN$55,3,FALSE))</f>
        <v>0</v>
      </c>
      <c r="V17" s="4">
        <f>(VLOOKUP('102 5.1.00'!AC17,'102 5.1.00'!$AL$4:$AN$55,3,FALSE))</f>
        <v>0</v>
      </c>
      <c r="W17" s="5">
        <f>(VLOOKUP('102 5.1.00'!AD17,'102 5.1.00'!$AL$4:$AN$55,3,FALSE))</f>
        <v>0</v>
      </c>
      <c r="X17" s="5">
        <f>(VLOOKUP('102 5.1.00'!AE17,'102 5.1.00'!$AL$4:$AN$55,3,FALSE))</f>
        <v>0</v>
      </c>
    </row>
    <row r="18" spans="1:24">
      <c r="A18" s="4">
        <f>(VLOOKUP('102 5.1.00'!H18,'102 5.1.00'!$AL$4:$AN$55,3,FALSE))</f>
        <v>0</v>
      </c>
      <c r="B18" s="4">
        <f>(VLOOKUP('102 5.1.00'!I18,'102 5.1.00'!$AL$4:$AN$55,3,FALSE))</f>
        <v>0</v>
      </c>
      <c r="C18" s="4">
        <f>(VLOOKUP('102 5.1.00'!J18,'102 5.1.00'!$AL$4:$AN$55,3,FALSE))</f>
        <v>0</v>
      </c>
      <c r="D18" s="4">
        <f>(VLOOKUP('102 5.1.00'!K18,'102 5.1.00'!$AL$4:$AN$55,3,FALSE))</f>
        <v>0</v>
      </c>
      <c r="E18" s="4">
        <f>(VLOOKUP('102 5.1.00'!L18,'102 5.1.00'!$AL$4:$AN$55,3,FALSE))</f>
        <v>0</v>
      </c>
      <c r="F18" s="4">
        <f>(VLOOKUP('102 5.1.00'!M18,'102 5.1.00'!$AL$4:$AN$55,3,FALSE))</f>
        <v>0</v>
      </c>
      <c r="G18" s="5">
        <f>(VLOOKUP('102 5.1.00'!N18,'102 5.1.00'!$AL$4:$AN$55,3,FALSE))</f>
        <v>0</v>
      </c>
      <c r="H18" s="5">
        <f>(VLOOKUP('102 5.1.00'!O18,'102 5.1.00'!$AL$4:$AN$55,3,FALSE))</f>
        <v>0</v>
      </c>
      <c r="I18" s="4">
        <f>(VLOOKUP('102 5.1.00'!P18,'102 5.1.00'!$AL$4:$AN$55,3,FALSE))</f>
        <v>0</v>
      </c>
      <c r="J18" s="4">
        <f>(VLOOKUP('102 5.1.00'!Q18,'102 5.1.00'!$AL$4:$AN$55,3,FALSE))</f>
        <v>0</v>
      </c>
      <c r="K18" s="4">
        <f>(VLOOKUP('102 5.1.00'!R18,'102 5.1.00'!$AL$4:$AN$55,3,FALSE))</f>
        <v>0</v>
      </c>
      <c r="L18" s="4">
        <f>(VLOOKUP('102 5.1.00'!S18,'102 5.1.00'!$AL$4:$AN$55,3,FALSE))</f>
        <v>0</v>
      </c>
      <c r="M18" s="4">
        <f>(VLOOKUP('102 5.1.00'!T18,'102 5.1.00'!$AL$4:$AN$55,3,FALSE))</f>
        <v>0</v>
      </c>
      <c r="N18" s="4">
        <f>(VLOOKUP('102 5.1.00'!U18,'102 5.1.00'!$AL$4:$AN$55,3,FALSE))</f>
        <v>0</v>
      </c>
      <c r="O18" s="5">
        <f>(VLOOKUP('102 5.1.00'!V18,'102 5.1.00'!$AL$4:$AN$55,3,FALSE))</f>
        <v>0</v>
      </c>
      <c r="P18" s="5">
        <f>(VLOOKUP('102 5.1.00'!W18,'102 5.1.00'!$AL$4:$AN$55,3,FALSE))</f>
        <v>0</v>
      </c>
      <c r="Q18" s="4">
        <f>(VLOOKUP('102 5.1.00'!X18,'102 5.1.00'!$AL$4:$AN$55,3,FALSE))</f>
        <v>0</v>
      </c>
      <c r="R18" s="4">
        <f>(VLOOKUP('102 5.1.00'!Y18,'102 5.1.00'!$AL$4:$AN$55,3,FALSE))</f>
        <v>0</v>
      </c>
      <c r="S18" s="4">
        <f>(VLOOKUP('102 5.1.00'!Z18,'102 5.1.00'!$AL$4:$AN$55,3,FALSE))</f>
        <v>0</v>
      </c>
      <c r="T18" s="4">
        <f>(VLOOKUP('102 5.1.00'!AA18,'102 5.1.00'!$AL$4:$AN$55,3,FALSE))</f>
        <v>0</v>
      </c>
      <c r="U18" s="4">
        <f>(VLOOKUP('102 5.1.00'!AB18,'102 5.1.00'!$AL$4:$AN$55,3,FALSE))</f>
        <v>0</v>
      </c>
      <c r="V18" s="4">
        <f>(VLOOKUP('102 5.1.00'!AC18,'102 5.1.00'!$AL$4:$AN$55,3,FALSE))</f>
        <v>0</v>
      </c>
      <c r="W18" s="5">
        <f>(VLOOKUP('102 5.1.00'!AD18,'102 5.1.00'!$AL$4:$AN$55,3,FALSE))</f>
        <v>0</v>
      </c>
      <c r="X18" s="5">
        <f>(VLOOKUP('102 5.1.00'!AE18,'102 5.1.00'!$AL$4:$AN$55,3,FALSE))</f>
        <v>0</v>
      </c>
    </row>
    <row r="19" spans="1:24">
      <c r="A19" s="4">
        <f>(VLOOKUP('102 5.1.00'!H19,'102 5.1.00'!$AL$4:$AN$55,3,FALSE))</f>
        <v>0</v>
      </c>
      <c r="B19" s="4">
        <f>(VLOOKUP('102 5.1.00'!I19,'102 5.1.00'!$AL$4:$AN$55,3,FALSE))</f>
        <v>0</v>
      </c>
      <c r="C19" s="4">
        <f>(VLOOKUP('102 5.1.00'!J19,'102 5.1.00'!$AL$4:$AN$55,3,FALSE))</f>
        <v>0</v>
      </c>
      <c r="D19" s="4">
        <f>(VLOOKUP('102 5.1.00'!K19,'102 5.1.00'!$AL$4:$AN$55,3,FALSE))</f>
        <v>0</v>
      </c>
      <c r="E19" s="4">
        <f>(VLOOKUP('102 5.1.00'!L19,'102 5.1.00'!$AL$4:$AN$55,3,FALSE))</f>
        <v>0</v>
      </c>
      <c r="F19" s="4">
        <f>(VLOOKUP('102 5.1.00'!M19,'102 5.1.00'!$AL$4:$AN$55,3,FALSE))</f>
        <v>0</v>
      </c>
      <c r="G19" s="5">
        <f>(VLOOKUP('102 5.1.00'!N19,'102 5.1.00'!$AL$4:$AN$55,3,FALSE))</f>
        <v>0</v>
      </c>
      <c r="H19" s="5">
        <f>(VLOOKUP('102 5.1.00'!O19,'102 5.1.00'!$AL$4:$AN$55,3,FALSE))</f>
        <v>0</v>
      </c>
      <c r="I19" s="4">
        <f>(VLOOKUP('102 5.1.00'!P19,'102 5.1.00'!$AL$4:$AN$55,3,FALSE))</f>
        <v>0</v>
      </c>
      <c r="J19" s="4">
        <f>(VLOOKUP('102 5.1.00'!Q19,'102 5.1.00'!$AL$4:$AN$55,3,FALSE))</f>
        <v>0</v>
      </c>
      <c r="K19" s="4">
        <f>(VLOOKUP('102 5.1.00'!R19,'102 5.1.00'!$AL$4:$AN$55,3,FALSE))</f>
        <v>0</v>
      </c>
      <c r="L19" s="4">
        <f>(VLOOKUP('102 5.1.00'!S19,'102 5.1.00'!$AL$4:$AN$55,3,FALSE))</f>
        <v>0</v>
      </c>
      <c r="M19" s="4">
        <f>(VLOOKUP('102 5.1.00'!T19,'102 5.1.00'!$AL$4:$AN$55,3,FALSE))</f>
        <v>0</v>
      </c>
      <c r="N19" s="4">
        <f>(VLOOKUP('102 5.1.00'!U19,'102 5.1.00'!$AL$4:$AN$55,3,FALSE))</f>
        <v>0</v>
      </c>
      <c r="O19" s="5">
        <f>(VLOOKUP('102 5.1.00'!V19,'102 5.1.00'!$AL$4:$AN$55,3,FALSE))</f>
        <v>0</v>
      </c>
      <c r="P19" s="5">
        <f>(VLOOKUP('102 5.1.00'!W19,'102 5.1.00'!$AL$4:$AN$55,3,FALSE))</f>
        <v>0</v>
      </c>
      <c r="Q19" s="4">
        <f>(VLOOKUP('102 5.1.00'!X19,'102 5.1.00'!$AL$4:$AN$55,3,FALSE))</f>
        <v>0</v>
      </c>
      <c r="R19" s="4">
        <f>(VLOOKUP('102 5.1.00'!Y19,'102 5.1.00'!$AL$4:$AN$55,3,FALSE))</f>
        <v>0</v>
      </c>
      <c r="S19" s="4">
        <f>(VLOOKUP('102 5.1.00'!Z19,'102 5.1.00'!$AL$4:$AN$55,3,FALSE))</f>
        <v>0</v>
      </c>
      <c r="T19" s="4">
        <f>(VLOOKUP('102 5.1.00'!AA19,'102 5.1.00'!$AL$4:$AN$55,3,FALSE))</f>
        <v>0</v>
      </c>
      <c r="U19" s="4">
        <f>(VLOOKUP('102 5.1.00'!AB19,'102 5.1.00'!$AL$4:$AN$55,3,FALSE))</f>
        <v>0</v>
      </c>
      <c r="V19" s="4">
        <f>(VLOOKUP('102 5.1.00'!AC19,'102 5.1.00'!$AL$4:$AN$55,3,FALSE))</f>
        <v>0</v>
      </c>
      <c r="W19" s="5">
        <f>(VLOOKUP('102 5.1.00'!AD19,'102 5.1.00'!$AL$4:$AN$55,3,FALSE))</f>
        <v>0</v>
      </c>
      <c r="X19" s="5">
        <f>(VLOOKUP('102 5.1.00'!AE19,'102 5.1.00'!$AL$4:$AN$55,3,FALSE))</f>
        <v>0</v>
      </c>
    </row>
    <row r="20" spans="1:24">
      <c r="A20" s="4">
        <f>(VLOOKUP('102 5.1.00'!H20,'102 5.1.00'!$AL$4:$AN$55,3,FALSE))</f>
        <v>0</v>
      </c>
      <c r="B20" s="4">
        <f>(VLOOKUP('102 5.1.00'!I20,'102 5.1.00'!$AL$4:$AN$55,3,FALSE))</f>
        <v>0</v>
      </c>
      <c r="C20" s="4">
        <f>(VLOOKUP('102 5.1.00'!J20,'102 5.1.00'!$AL$4:$AN$55,3,FALSE))</f>
        <v>0</v>
      </c>
      <c r="D20" s="4">
        <f>(VLOOKUP('102 5.1.00'!K20,'102 5.1.00'!$AL$4:$AN$55,3,FALSE))</f>
        <v>0</v>
      </c>
      <c r="E20" s="4">
        <f>(VLOOKUP('102 5.1.00'!L20,'102 5.1.00'!$AL$4:$AN$55,3,FALSE))</f>
        <v>0</v>
      </c>
      <c r="F20" s="4">
        <f>(VLOOKUP('102 5.1.00'!M20,'102 5.1.00'!$AL$4:$AN$55,3,FALSE))</f>
        <v>0</v>
      </c>
      <c r="G20" s="5">
        <f>(VLOOKUP('102 5.1.00'!N20,'102 5.1.00'!$AL$4:$AN$55,3,FALSE))</f>
        <v>0</v>
      </c>
      <c r="H20" s="5">
        <f>(VLOOKUP('102 5.1.00'!O20,'102 5.1.00'!$AL$4:$AN$55,3,FALSE))</f>
        <v>0</v>
      </c>
      <c r="I20" s="4">
        <f>(VLOOKUP('102 5.1.00'!P20,'102 5.1.00'!$AL$4:$AN$55,3,FALSE))</f>
        <v>0</v>
      </c>
      <c r="J20" s="4">
        <f>(VLOOKUP('102 5.1.00'!Q20,'102 5.1.00'!$AL$4:$AN$55,3,FALSE))</f>
        <v>0</v>
      </c>
      <c r="K20" s="4">
        <f>(VLOOKUP('102 5.1.00'!R20,'102 5.1.00'!$AL$4:$AN$55,3,FALSE))</f>
        <v>0</v>
      </c>
      <c r="L20" s="4">
        <f>(VLOOKUP('102 5.1.00'!S20,'102 5.1.00'!$AL$4:$AN$55,3,FALSE))</f>
        <v>0</v>
      </c>
      <c r="M20" s="4">
        <f>(VLOOKUP('102 5.1.00'!T20,'102 5.1.00'!$AL$4:$AN$55,3,FALSE))</f>
        <v>0</v>
      </c>
      <c r="N20" s="4">
        <f>(VLOOKUP('102 5.1.00'!U20,'102 5.1.00'!$AL$4:$AN$55,3,FALSE))</f>
        <v>0</v>
      </c>
      <c r="O20" s="5">
        <f>(VLOOKUP('102 5.1.00'!V20,'102 5.1.00'!$AL$4:$AN$55,3,FALSE))</f>
        <v>0</v>
      </c>
      <c r="P20" s="5">
        <f>(VLOOKUP('102 5.1.00'!W20,'102 5.1.00'!$AL$4:$AN$55,3,FALSE))</f>
        <v>0</v>
      </c>
      <c r="Q20" s="4">
        <f>(VLOOKUP('102 5.1.00'!X20,'102 5.1.00'!$AL$4:$AN$55,3,FALSE))</f>
        <v>0</v>
      </c>
      <c r="R20" s="4">
        <f>(VLOOKUP('102 5.1.00'!Y20,'102 5.1.00'!$AL$4:$AN$55,3,FALSE))</f>
        <v>0</v>
      </c>
      <c r="S20" s="4">
        <f>(VLOOKUP('102 5.1.00'!Z20,'102 5.1.00'!$AL$4:$AN$55,3,FALSE))</f>
        <v>0</v>
      </c>
      <c r="T20" s="4">
        <f>(VLOOKUP('102 5.1.00'!AA20,'102 5.1.00'!$AL$4:$AN$55,3,FALSE))</f>
        <v>0</v>
      </c>
      <c r="U20" s="4">
        <f>(VLOOKUP('102 5.1.00'!AB20,'102 5.1.00'!$AL$4:$AN$55,3,FALSE))</f>
        <v>0</v>
      </c>
      <c r="V20" s="4">
        <f>(VLOOKUP('102 5.1.00'!AC20,'102 5.1.00'!$AL$4:$AN$55,3,FALSE))</f>
        <v>0</v>
      </c>
      <c r="W20" s="5">
        <f>(VLOOKUP('102 5.1.00'!AD20,'102 5.1.00'!$AL$4:$AN$55,3,FALSE))</f>
        <v>0</v>
      </c>
      <c r="X20" s="5">
        <f>(VLOOKUP('102 5.1.00'!AE20,'102 5.1.00'!$AL$4:$AN$55,3,FALSE))</f>
        <v>0</v>
      </c>
    </row>
    <row r="21" spans="1:24">
      <c r="A21" s="4">
        <f>(VLOOKUP('102 5.1.00'!H21,'102 5.1.00'!$AL$4:$AN$55,3,FALSE))</f>
        <v>0</v>
      </c>
      <c r="B21" s="4">
        <f>(VLOOKUP('102 5.1.00'!I21,'102 5.1.00'!$AL$4:$AN$55,3,FALSE))</f>
        <v>0</v>
      </c>
      <c r="C21" s="4">
        <f>(VLOOKUP('102 5.1.00'!J21,'102 5.1.00'!$AL$4:$AN$55,3,FALSE))</f>
        <v>0</v>
      </c>
      <c r="D21" s="4">
        <f>(VLOOKUP('102 5.1.00'!K21,'102 5.1.00'!$AL$4:$AN$55,3,FALSE))</f>
        <v>0</v>
      </c>
      <c r="E21" s="4">
        <f>(VLOOKUP('102 5.1.00'!L21,'102 5.1.00'!$AL$4:$AN$55,3,FALSE))</f>
        <v>0</v>
      </c>
      <c r="F21" s="4">
        <f>(VLOOKUP('102 5.1.00'!M21,'102 5.1.00'!$AL$4:$AN$55,3,FALSE))</f>
        <v>0</v>
      </c>
      <c r="G21" s="5">
        <f>(VLOOKUP('102 5.1.00'!N21,'102 5.1.00'!$AL$4:$AN$55,3,FALSE))</f>
        <v>0</v>
      </c>
      <c r="H21" s="5">
        <f>(VLOOKUP('102 5.1.00'!O21,'102 5.1.00'!$AL$4:$AN$55,3,FALSE))</f>
        <v>0</v>
      </c>
      <c r="I21" s="4">
        <f>(VLOOKUP('102 5.1.00'!P21,'102 5.1.00'!$AL$4:$AN$55,3,FALSE))</f>
        <v>0</v>
      </c>
      <c r="J21" s="4">
        <f>(VLOOKUP('102 5.1.00'!Q21,'102 5.1.00'!$AL$4:$AN$55,3,FALSE))</f>
        <v>0</v>
      </c>
      <c r="K21" s="4">
        <f>(VLOOKUP('102 5.1.00'!R21,'102 5.1.00'!$AL$4:$AN$55,3,FALSE))</f>
        <v>0</v>
      </c>
      <c r="L21" s="4">
        <f>(VLOOKUP('102 5.1.00'!S21,'102 5.1.00'!$AL$4:$AN$55,3,FALSE))</f>
        <v>0</v>
      </c>
      <c r="M21" s="4">
        <f>(VLOOKUP('102 5.1.00'!T21,'102 5.1.00'!$AL$4:$AN$55,3,FALSE))</f>
        <v>0</v>
      </c>
      <c r="N21" s="4">
        <f>(VLOOKUP('102 5.1.00'!U21,'102 5.1.00'!$AL$4:$AN$55,3,FALSE))</f>
        <v>0</v>
      </c>
      <c r="O21" s="5">
        <f>(VLOOKUP('102 5.1.00'!V21,'102 5.1.00'!$AL$4:$AN$55,3,FALSE))</f>
        <v>0</v>
      </c>
      <c r="P21" s="5">
        <f>(VLOOKUP('102 5.1.00'!W21,'102 5.1.00'!$AL$4:$AN$55,3,FALSE))</f>
        <v>0</v>
      </c>
      <c r="Q21" s="4">
        <f>(VLOOKUP('102 5.1.00'!X21,'102 5.1.00'!$AL$4:$AN$55,3,FALSE))</f>
        <v>0</v>
      </c>
      <c r="R21" s="4">
        <f>(VLOOKUP('102 5.1.00'!Y21,'102 5.1.00'!$AL$4:$AN$55,3,FALSE))</f>
        <v>0</v>
      </c>
      <c r="S21" s="4">
        <f>(VLOOKUP('102 5.1.00'!Z21,'102 5.1.00'!$AL$4:$AN$55,3,FALSE))</f>
        <v>0</v>
      </c>
      <c r="T21" s="4">
        <f>(VLOOKUP('102 5.1.00'!AA21,'102 5.1.00'!$AL$4:$AN$55,3,FALSE))</f>
        <v>0</v>
      </c>
      <c r="U21" s="4">
        <f>(VLOOKUP('102 5.1.00'!AB21,'102 5.1.00'!$AL$4:$AN$55,3,FALSE))</f>
        <v>0</v>
      </c>
      <c r="V21" s="4">
        <f>(VLOOKUP('102 5.1.00'!AC21,'102 5.1.00'!$AL$4:$AN$55,3,FALSE))</f>
        <v>0</v>
      </c>
      <c r="W21" s="5">
        <f>(VLOOKUP('102 5.1.00'!AD21,'102 5.1.00'!$AL$4:$AN$55,3,FALSE))</f>
        <v>0</v>
      </c>
      <c r="X21" s="5">
        <f>(VLOOKUP('102 5.1.00'!AE21,'102 5.1.00'!$AL$4:$AN$55,3,FALSE))</f>
        <v>0</v>
      </c>
    </row>
    <row r="22" spans="1:24">
      <c r="A22" s="4">
        <f>(VLOOKUP('102 5.1.00'!H22,'102 5.1.00'!$AL$4:$AN$55,3,FALSE))</f>
        <v>0</v>
      </c>
      <c r="B22" s="4">
        <f>(VLOOKUP('102 5.1.00'!I22,'102 5.1.00'!$AL$4:$AN$55,3,FALSE))</f>
        <v>0</v>
      </c>
      <c r="C22" s="4">
        <f>(VLOOKUP('102 5.1.00'!J22,'102 5.1.00'!$AL$4:$AN$55,3,FALSE))</f>
        <v>0</v>
      </c>
      <c r="D22" s="4">
        <f>(VLOOKUP('102 5.1.00'!K22,'102 5.1.00'!$AL$4:$AN$55,3,FALSE))</f>
        <v>0</v>
      </c>
      <c r="E22" s="4">
        <f>(VLOOKUP('102 5.1.00'!L22,'102 5.1.00'!$AL$4:$AN$55,3,FALSE))</f>
        <v>0</v>
      </c>
      <c r="F22" s="4">
        <f>(VLOOKUP('102 5.1.00'!M22,'102 5.1.00'!$AL$4:$AN$55,3,FALSE))</f>
        <v>0</v>
      </c>
      <c r="G22" s="5">
        <f>(VLOOKUP('102 5.1.00'!N22,'102 5.1.00'!$AL$4:$AN$55,3,FALSE))</f>
        <v>0</v>
      </c>
      <c r="H22" s="5">
        <f>(VLOOKUP('102 5.1.00'!O22,'102 5.1.00'!$AL$4:$AN$55,3,FALSE))</f>
        <v>0</v>
      </c>
      <c r="I22" s="4">
        <f>(VLOOKUP('102 5.1.00'!P22,'102 5.1.00'!$AL$4:$AN$55,3,FALSE))</f>
        <v>0</v>
      </c>
      <c r="J22" s="4">
        <f>(VLOOKUP('102 5.1.00'!Q22,'102 5.1.00'!$AL$4:$AN$55,3,FALSE))</f>
        <v>0</v>
      </c>
      <c r="K22" s="4">
        <f>(VLOOKUP('102 5.1.00'!R22,'102 5.1.00'!$AL$4:$AN$55,3,FALSE))</f>
        <v>0</v>
      </c>
      <c r="L22" s="4">
        <f>(VLOOKUP('102 5.1.00'!S22,'102 5.1.00'!$AL$4:$AN$55,3,FALSE))</f>
        <v>0</v>
      </c>
      <c r="M22" s="4">
        <f>(VLOOKUP('102 5.1.00'!T22,'102 5.1.00'!$AL$4:$AN$55,3,FALSE))</f>
        <v>0</v>
      </c>
      <c r="N22" s="4">
        <f>(VLOOKUP('102 5.1.00'!U22,'102 5.1.00'!$AL$4:$AN$55,3,FALSE))</f>
        <v>0</v>
      </c>
      <c r="O22" s="5">
        <f>(VLOOKUP('102 5.1.00'!V22,'102 5.1.00'!$AL$4:$AN$55,3,FALSE))</f>
        <v>0</v>
      </c>
      <c r="P22" s="5">
        <f>(VLOOKUP('102 5.1.00'!W22,'102 5.1.00'!$AL$4:$AN$55,3,FALSE))</f>
        <v>0</v>
      </c>
      <c r="Q22" s="4">
        <f>(VLOOKUP('102 5.1.00'!X22,'102 5.1.00'!$AL$4:$AN$55,3,FALSE))</f>
        <v>0</v>
      </c>
      <c r="R22" s="4">
        <f>(VLOOKUP('102 5.1.00'!Y22,'102 5.1.00'!$AL$4:$AN$55,3,FALSE))</f>
        <v>0</v>
      </c>
      <c r="S22" s="4">
        <f>(VLOOKUP('102 5.1.00'!Z22,'102 5.1.00'!$AL$4:$AN$55,3,FALSE))</f>
        <v>0</v>
      </c>
      <c r="T22" s="4">
        <f>(VLOOKUP('102 5.1.00'!AA22,'102 5.1.00'!$AL$4:$AN$55,3,FALSE))</f>
        <v>0</v>
      </c>
      <c r="U22" s="4">
        <f>(VLOOKUP('102 5.1.00'!AB22,'102 5.1.00'!$AL$4:$AN$55,3,FALSE))</f>
        <v>0</v>
      </c>
      <c r="V22" s="4">
        <f>(VLOOKUP('102 5.1.00'!AC22,'102 5.1.00'!$AL$4:$AN$55,3,FALSE))</f>
        <v>0</v>
      </c>
      <c r="W22" s="5">
        <f>(VLOOKUP('102 5.1.00'!AD22,'102 5.1.00'!$AL$4:$AN$55,3,FALSE))</f>
        <v>0</v>
      </c>
      <c r="X22" s="5">
        <f>(VLOOKUP('102 5.1.00'!AE22,'102 5.1.00'!$AL$4:$AN$55,3,FALSE))</f>
        <v>0</v>
      </c>
    </row>
    <row r="23" spans="1:24">
      <c r="A23" s="4">
        <f>(VLOOKUP('102 5.1.00'!H23,'102 5.1.00'!$AL$4:$AN$55,3,FALSE))</f>
        <v>0</v>
      </c>
      <c r="B23" s="4">
        <f>(VLOOKUP('102 5.1.00'!I23,'102 5.1.00'!$AL$4:$AN$55,3,FALSE))</f>
        <v>0</v>
      </c>
      <c r="C23" s="4">
        <f>(VLOOKUP('102 5.1.00'!J23,'102 5.1.00'!$AL$4:$AN$55,3,FALSE))</f>
        <v>0</v>
      </c>
      <c r="D23" s="4">
        <f>(VLOOKUP('102 5.1.00'!K23,'102 5.1.00'!$AL$4:$AN$55,3,FALSE))</f>
        <v>0</v>
      </c>
      <c r="E23" s="4">
        <f>(VLOOKUP('102 5.1.00'!L23,'102 5.1.00'!$AL$4:$AN$55,3,FALSE))</f>
        <v>0</v>
      </c>
      <c r="F23" s="4">
        <f>(VLOOKUP('102 5.1.00'!M23,'102 5.1.00'!$AL$4:$AN$55,3,FALSE))</f>
        <v>0</v>
      </c>
      <c r="G23" s="5">
        <f>(VLOOKUP('102 5.1.00'!N23,'102 5.1.00'!$AL$4:$AN$55,3,FALSE))</f>
        <v>0</v>
      </c>
      <c r="H23" s="5">
        <f>(VLOOKUP('102 5.1.00'!O23,'102 5.1.00'!$AL$4:$AN$55,3,FALSE))</f>
        <v>0</v>
      </c>
      <c r="I23" s="4">
        <f>(VLOOKUP('102 5.1.00'!P23,'102 5.1.00'!$AL$4:$AN$55,3,FALSE))</f>
        <v>0</v>
      </c>
      <c r="J23" s="4">
        <f>(VLOOKUP('102 5.1.00'!Q23,'102 5.1.00'!$AL$4:$AN$55,3,FALSE))</f>
        <v>0</v>
      </c>
      <c r="K23" s="4">
        <f>(VLOOKUP('102 5.1.00'!R23,'102 5.1.00'!$AL$4:$AN$55,3,FALSE))</f>
        <v>0</v>
      </c>
      <c r="L23" s="4">
        <f>(VLOOKUP('102 5.1.00'!S23,'102 5.1.00'!$AL$4:$AN$55,3,FALSE))</f>
        <v>0</v>
      </c>
      <c r="M23" s="4">
        <f>(VLOOKUP('102 5.1.00'!T23,'102 5.1.00'!$AL$4:$AN$55,3,FALSE))</f>
        <v>0</v>
      </c>
      <c r="N23" s="4">
        <f>(VLOOKUP('102 5.1.00'!U23,'102 5.1.00'!$AL$4:$AN$55,3,FALSE))</f>
        <v>0</v>
      </c>
      <c r="O23" s="5">
        <f>(VLOOKUP('102 5.1.00'!V23,'102 5.1.00'!$AL$4:$AN$55,3,FALSE))</f>
        <v>0</v>
      </c>
      <c r="P23" s="5">
        <f>(VLOOKUP('102 5.1.00'!W23,'102 5.1.00'!$AL$4:$AN$55,3,FALSE))</f>
        <v>0</v>
      </c>
      <c r="Q23" s="4">
        <f>(VLOOKUP('102 5.1.00'!X23,'102 5.1.00'!$AL$4:$AN$55,3,FALSE))</f>
        <v>0</v>
      </c>
      <c r="R23" s="4">
        <f>(VLOOKUP('102 5.1.00'!Y23,'102 5.1.00'!$AL$4:$AN$55,3,FALSE))</f>
        <v>0</v>
      </c>
      <c r="S23" s="4">
        <f>(VLOOKUP('102 5.1.00'!Z23,'102 5.1.00'!$AL$4:$AN$55,3,FALSE))</f>
        <v>0</v>
      </c>
      <c r="T23" s="4">
        <f>(VLOOKUP('102 5.1.00'!AA23,'102 5.1.00'!$AL$4:$AN$55,3,FALSE))</f>
        <v>0</v>
      </c>
      <c r="U23" s="4">
        <f>(VLOOKUP('102 5.1.00'!AB23,'102 5.1.00'!$AL$4:$AN$55,3,FALSE))</f>
        <v>0</v>
      </c>
      <c r="V23" s="4">
        <f>(VLOOKUP('102 5.1.00'!AC23,'102 5.1.00'!$AL$4:$AN$55,3,FALSE))</f>
        <v>0</v>
      </c>
      <c r="W23" s="5">
        <f>(VLOOKUP('102 5.1.00'!AD23,'102 5.1.00'!$AL$4:$AN$55,3,FALSE))</f>
        <v>0</v>
      </c>
      <c r="X23" s="5">
        <f>(VLOOKUP('102 5.1.00'!AE23,'102 5.1.00'!$AL$4:$AN$55,3,FALSE))</f>
        <v>0</v>
      </c>
    </row>
    <row r="24" spans="1:24">
      <c r="A24" s="4">
        <f>(VLOOKUP('102 5.1.00'!H24,'102 5.1.00'!$AL$4:$AN$55,3,FALSE))</f>
        <v>0</v>
      </c>
      <c r="B24" s="4">
        <f>(VLOOKUP('102 5.1.00'!I24,'102 5.1.00'!$AL$4:$AN$55,3,FALSE))</f>
        <v>0</v>
      </c>
      <c r="C24" s="4">
        <f>(VLOOKUP('102 5.1.00'!J24,'102 5.1.00'!$AL$4:$AN$55,3,FALSE))</f>
        <v>0</v>
      </c>
      <c r="D24" s="4">
        <f>(VLOOKUP('102 5.1.00'!K24,'102 5.1.00'!$AL$4:$AN$55,3,FALSE))</f>
        <v>0</v>
      </c>
      <c r="E24" s="4">
        <f>(VLOOKUP('102 5.1.00'!L24,'102 5.1.00'!$AL$4:$AN$55,3,FALSE))</f>
        <v>0</v>
      </c>
      <c r="F24" s="4">
        <f>(VLOOKUP('102 5.1.00'!M24,'102 5.1.00'!$AL$4:$AN$55,3,FALSE))</f>
        <v>0</v>
      </c>
      <c r="G24" s="5">
        <f>(VLOOKUP('102 5.1.00'!N24,'102 5.1.00'!$AL$4:$AN$55,3,FALSE))</f>
        <v>0</v>
      </c>
      <c r="H24" s="5">
        <f>(VLOOKUP('102 5.1.00'!O24,'102 5.1.00'!$AL$4:$AN$55,3,FALSE))</f>
        <v>0</v>
      </c>
      <c r="I24" s="4">
        <f>(VLOOKUP('102 5.1.00'!P24,'102 5.1.00'!$AL$4:$AN$55,3,FALSE))</f>
        <v>0</v>
      </c>
      <c r="J24" s="4">
        <f>(VLOOKUP('102 5.1.00'!Q24,'102 5.1.00'!$AL$4:$AN$55,3,FALSE))</f>
        <v>0</v>
      </c>
      <c r="K24" s="4">
        <f>(VLOOKUP('102 5.1.00'!R24,'102 5.1.00'!$AL$4:$AN$55,3,FALSE))</f>
        <v>0</v>
      </c>
      <c r="L24" s="4">
        <f>(VLOOKUP('102 5.1.00'!S24,'102 5.1.00'!$AL$4:$AN$55,3,FALSE))</f>
        <v>0</v>
      </c>
      <c r="M24" s="4">
        <f>(VLOOKUP('102 5.1.00'!T24,'102 5.1.00'!$AL$4:$AN$55,3,FALSE))</f>
        <v>0</v>
      </c>
      <c r="N24" s="4">
        <f>(VLOOKUP('102 5.1.00'!U24,'102 5.1.00'!$AL$4:$AN$55,3,FALSE))</f>
        <v>0</v>
      </c>
      <c r="O24" s="5">
        <f>(VLOOKUP('102 5.1.00'!V24,'102 5.1.00'!$AL$4:$AN$55,3,FALSE))</f>
        <v>0</v>
      </c>
      <c r="P24" s="5">
        <f>(VLOOKUP('102 5.1.00'!W24,'102 5.1.00'!$AL$4:$AN$55,3,FALSE))</f>
        <v>0</v>
      </c>
      <c r="Q24" s="4">
        <f>(VLOOKUP('102 5.1.00'!X24,'102 5.1.00'!$AL$4:$AN$55,3,FALSE))</f>
        <v>0</v>
      </c>
      <c r="R24" s="4">
        <f>(VLOOKUP('102 5.1.00'!Y24,'102 5.1.00'!$AL$4:$AN$55,3,FALSE))</f>
        <v>0</v>
      </c>
      <c r="S24" s="4">
        <f>(VLOOKUP('102 5.1.00'!Z24,'102 5.1.00'!$AL$4:$AN$55,3,FALSE))</f>
        <v>0</v>
      </c>
      <c r="T24" s="4">
        <f>(VLOOKUP('102 5.1.00'!AA24,'102 5.1.00'!$AL$4:$AN$55,3,FALSE))</f>
        <v>0</v>
      </c>
      <c r="U24" s="4">
        <f>(VLOOKUP('102 5.1.00'!AB24,'102 5.1.00'!$AL$4:$AN$55,3,FALSE))</f>
        <v>0</v>
      </c>
      <c r="V24" s="4">
        <f>(VLOOKUP('102 5.1.00'!AC24,'102 5.1.00'!$AL$4:$AN$55,3,FALSE))</f>
        <v>0</v>
      </c>
      <c r="W24" s="5">
        <f>(VLOOKUP('102 5.1.00'!AD24,'102 5.1.00'!$AL$4:$AN$55,3,FALSE))</f>
        <v>0</v>
      </c>
      <c r="X24" s="5">
        <f>(VLOOKUP('102 5.1.00'!AE24,'102 5.1.00'!$AL$4:$AN$55,3,FALSE))</f>
        <v>0</v>
      </c>
    </row>
    <row r="25" spans="1:24">
      <c r="A25" s="4">
        <f>(VLOOKUP('102 5.1.00'!H25,'102 5.1.00'!$AL$4:$AN$55,3,FALSE))</f>
        <v>0</v>
      </c>
      <c r="B25" s="4">
        <f>(VLOOKUP('102 5.1.00'!I25,'102 5.1.00'!$AL$4:$AN$55,3,FALSE))</f>
        <v>0</v>
      </c>
      <c r="C25" s="4">
        <f>(VLOOKUP('102 5.1.00'!J25,'102 5.1.00'!$AL$4:$AN$55,3,FALSE))</f>
        <v>0</v>
      </c>
      <c r="D25" s="4">
        <f>(VLOOKUP('102 5.1.00'!K25,'102 5.1.00'!$AL$4:$AN$55,3,FALSE))</f>
        <v>0</v>
      </c>
      <c r="E25" s="4">
        <f>(VLOOKUP('102 5.1.00'!L25,'102 5.1.00'!$AL$4:$AN$55,3,FALSE))</f>
        <v>0</v>
      </c>
      <c r="F25" s="4">
        <f>(VLOOKUP('102 5.1.00'!M25,'102 5.1.00'!$AL$4:$AN$55,3,FALSE))</f>
        <v>0</v>
      </c>
      <c r="G25" s="5">
        <f>(VLOOKUP('102 5.1.00'!N25,'102 5.1.00'!$AL$4:$AN$55,3,FALSE))</f>
        <v>0</v>
      </c>
      <c r="H25" s="5">
        <f>(VLOOKUP('102 5.1.00'!O25,'102 5.1.00'!$AL$4:$AN$55,3,FALSE))</f>
        <v>0</v>
      </c>
      <c r="I25" s="4">
        <f>(VLOOKUP('102 5.1.00'!P25,'102 5.1.00'!$AL$4:$AN$55,3,FALSE))</f>
        <v>0</v>
      </c>
      <c r="J25" s="4">
        <f>(VLOOKUP('102 5.1.00'!Q25,'102 5.1.00'!$AL$4:$AN$55,3,FALSE))</f>
        <v>0</v>
      </c>
      <c r="K25" s="4">
        <f>(VLOOKUP('102 5.1.00'!R25,'102 5.1.00'!$AL$4:$AN$55,3,FALSE))</f>
        <v>0</v>
      </c>
      <c r="L25" s="4">
        <f>(VLOOKUP('102 5.1.00'!S25,'102 5.1.00'!$AL$4:$AN$55,3,FALSE))</f>
        <v>0</v>
      </c>
      <c r="M25" s="4">
        <f>(VLOOKUP('102 5.1.00'!T25,'102 5.1.00'!$AL$4:$AN$55,3,FALSE))</f>
        <v>0</v>
      </c>
      <c r="N25" s="4">
        <f>(VLOOKUP('102 5.1.00'!U25,'102 5.1.00'!$AL$4:$AN$55,3,FALSE))</f>
        <v>0</v>
      </c>
      <c r="O25" s="5">
        <f>(VLOOKUP('102 5.1.00'!V25,'102 5.1.00'!$AL$4:$AN$55,3,FALSE))</f>
        <v>0</v>
      </c>
      <c r="P25" s="5">
        <f>(VLOOKUP('102 5.1.00'!W25,'102 5.1.00'!$AL$4:$AN$55,3,FALSE))</f>
        <v>0</v>
      </c>
      <c r="Q25" s="4">
        <f>(VLOOKUP('102 5.1.00'!X25,'102 5.1.00'!$AL$4:$AN$55,3,FALSE))</f>
        <v>0</v>
      </c>
      <c r="R25" s="4">
        <f>(VLOOKUP('102 5.1.00'!Y25,'102 5.1.00'!$AL$4:$AN$55,3,FALSE))</f>
        <v>0</v>
      </c>
      <c r="S25" s="4">
        <f>(VLOOKUP('102 5.1.00'!Z25,'102 5.1.00'!$AL$4:$AN$55,3,FALSE))</f>
        <v>0</v>
      </c>
      <c r="T25" s="4">
        <f>(VLOOKUP('102 5.1.00'!AA25,'102 5.1.00'!$AL$4:$AN$55,3,FALSE))</f>
        <v>0</v>
      </c>
      <c r="U25" s="4">
        <f>(VLOOKUP('102 5.1.00'!AB25,'102 5.1.00'!$AL$4:$AN$55,3,FALSE))</f>
        <v>0</v>
      </c>
      <c r="V25" s="4">
        <f>(VLOOKUP('102 5.1.00'!AC25,'102 5.1.00'!$AL$4:$AN$55,3,FALSE))</f>
        <v>0</v>
      </c>
      <c r="W25" s="5">
        <f>(VLOOKUP('102 5.1.00'!AD25,'102 5.1.00'!$AL$4:$AN$55,3,FALSE))</f>
        <v>0</v>
      </c>
      <c r="X25" s="5">
        <f>(VLOOKUP('102 5.1.00'!AE25,'102 5.1.00'!$AL$4:$AN$55,3,FALSE))</f>
        <v>0</v>
      </c>
    </row>
    <row r="26" spans="1:24">
      <c r="A26" s="4">
        <f>(VLOOKUP('102 5.1.00'!H26,'102 5.1.00'!$AL$4:$AN$55,3,FALSE))</f>
        <v>0</v>
      </c>
      <c r="B26" s="4">
        <f>(VLOOKUP('102 5.1.00'!I26,'102 5.1.00'!$AL$4:$AN$55,3,FALSE))</f>
        <v>0</v>
      </c>
      <c r="C26" s="4">
        <f>(VLOOKUP('102 5.1.00'!J26,'102 5.1.00'!$AL$4:$AN$55,3,FALSE))</f>
        <v>0</v>
      </c>
      <c r="D26" s="4">
        <f>(VLOOKUP('102 5.1.00'!K26,'102 5.1.00'!$AL$4:$AN$55,3,FALSE))</f>
        <v>0</v>
      </c>
      <c r="E26" s="4">
        <f>(VLOOKUP('102 5.1.00'!L26,'102 5.1.00'!$AL$4:$AN$55,3,FALSE))</f>
        <v>0</v>
      </c>
      <c r="F26" s="4">
        <f>(VLOOKUP('102 5.1.00'!M26,'102 5.1.00'!$AL$4:$AN$55,3,FALSE))</f>
        <v>0</v>
      </c>
      <c r="G26" s="5">
        <f>(VLOOKUP('102 5.1.00'!N26,'102 5.1.00'!$AL$4:$AN$55,3,FALSE))</f>
        <v>0</v>
      </c>
      <c r="H26" s="5">
        <f>(VLOOKUP('102 5.1.00'!O26,'102 5.1.00'!$AL$4:$AN$55,3,FALSE))</f>
        <v>0</v>
      </c>
      <c r="I26" s="4">
        <f>(VLOOKUP('102 5.1.00'!P26,'102 5.1.00'!$AL$4:$AN$55,3,FALSE))</f>
        <v>0</v>
      </c>
      <c r="J26" s="4">
        <f>(VLOOKUP('102 5.1.00'!Q26,'102 5.1.00'!$AL$4:$AN$55,3,FALSE))</f>
        <v>0</v>
      </c>
      <c r="K26" s="4">
        <f>(VLOOKUP('102 5.1.00'!R26,'102 5.1.00'!$AL$4:$AN$55,3,FALSE))</f>
        <v>0</v>
      </c>
      <c r="L26" s="4">
        <f>(VLOOKUP('102 5.1.00'!S26,'102 5.1.00'!$AL$4:$AN$55,3,FALSE))</f>
        <v>0</v>
      </c>
      <c r="M26" s="4">
        <f>(VLOOKUP('102 5.1.00'!T26,'102 5.1.00'!$AL$4:$AN$55,3,FALSE))</f>
        <v>0</v>
      </c>
      <c r="N26" s="4">
        <f>(VLOOKUP('102 5.1.00'!U26,'102 5.1.00'!$AL$4:$AN$55,3,FALSE))</f>
        <v>0</v>
      </c>
      <c r="O26" s="5">
        <f>(VLOOKUP('102 5.1.00'!V26,'102 5.1.00'!$AL$4:$AN$55,3,FALSE))</f>
        <v>0</v>
      </c>
      <c r="P26" s="5">
        <f>(VLOOKUP('102 5.1.00'!W26,'102 5.1.00'!$AL$4:$AN$55,3,FALSE))</f>
        <v>0</v>
      </c>
      <c r="Q26" s="4">
        <f>(VLOOKUP('102 5.1.00'!X26,'102 5.1.00'!$AL$4:$AN$55,3,FALSE))</f>
        <v>0</v>
      </c>
      <c r="R26" s="4">
        <f>(VLOOKUP('102 5.1.00'!Y26,'102 5.1.00'!$AL$4:$AN$55,3,FALSE))</f>
        <v>0</v>
      </c>
      <c r="S26" s="4">
        <f>(VLOOKUP('102 5.1.00'!Z26,'102 5.1.00'!$AL$4:$AN$55,3,FALSE))</f>
        <v>0</v>
      </c>
      <c r="T26" s="4">
        <f>(VLOOKUP('102 5.1.00'!AA26,'102 5.1.00'!$AL$4:$AN$55,3,FALSE))</f>
        <v>0</v>
      </c>
      <c r="U26" s="4">
        <f>(VLOOKUP('102 5.1.00'!AB26,'102 5.1.00'!$AL$4:$AN$55,3,FALSE))</f>
        <v>0</v>
      </c>
      <c r="V26" s="4">
        <f>(VLOOKUP('102 5.1.00'!AC26,'102 5.1.00'!$AL$4:$AN$55,3,FALSE))</f>
        <v>0</v>
      </c>
      <c r="W26" s="5">
        <f>(VLOOKUP('102 5.1.00'!AD26,'102 5.1.00'!$AL$4:$AN$55,3,FALSE))</f>
        <v>0</v>
      </c>
      <c r="X26" s="5">
        <f>(VLOOKUP('102 5.1.00'!AE26,'102 5.1.00'!$AL$4:$AN$55,3,FALSE))</f>
        <v>0</v>
      </c>
    </row>
    <row r="27" spans="1:24">
      <c r="A27" s="4">
        <f>(VLOOKUP('102 5.1.00'!H27,'102 5.1.00'!$AL$4:$AN$55,3,FALSE))</f>
        <v>0</v>
      </c>
      <c r="B27" s="4">
        <f>(VLOOKUP('102 5.1.00'!I27,'102 5.1.00'!$AL$4:$AN$55,3,FALSE))</f>
        <v>0</v>
      </c>
      <c r="C27" s="4">
        <f>(VLOOKUP('102 5.1.00'!J27,'102 5.1.00'!$AL$4:$AN$55,3,FALSE))</f>
        <v>0</v>
      </c>
      <c r="D27" s="4">
        <f>(VLOOKUP('102 5.1.00'!K27,'102 5.1.00'!$AL$4:$AN$55,3,FALSE))</f>
        <v>0</v>
      </c>
      <c r="E27" s="4">
        <f>(VLOOKUP('102 5.1.00'!L27,'102 5.1.00'!$AL$4:$AN$55,3,FALSE))</f>
        <v>0</v>
      </c>
      <c r="F27" s="4">
        <f>(VLOOKUP('102 5.1.00'!M27,'102 5.1.00'!$AL$4:$AN$55,3,FALSE))</f>
        <v>0</v>
      </c>
      <c r="G27" s="5">
        <f>(VLOOKUP('102 5.1.00'!N27,'102 5.1.00'!$AL$4:$AN$55,3,FALSE))</f>
        <v>0</v>
      </c>
      <c r="H27" s="5">
        <f>(VLOOKUP('102 5.1.00'!O27,'102 5.1.00'!$AL$4:$AN$55,3,FALSE))</f>
        <v>0</v>
      </c>
      <c r="I27" s="4">
        <f>(VLOOKUP('102 5.1.00'!P27,'102 5.1.00'!$AL$4:$AN$55,3,FALSE))</f>
        <v>0</v>
      </c>
      <c r="J27" s="4">
        <f>(VLOOKUP('102 5.1.00'!Q27,'102 5.1.00'!$AL$4:$AN$55,3,FALSE))</f>
        <v>0</v>
      </c>
      <c r="K27" s="4">
        <f>(VLOOKUP('102 5.1.00'!R27,'102 5.1.00'!$AL$4:$AN$55,3,FALSE))</f>
        <v>0</v>
      </c>
      <c r="L27" s="4">
        <f>(VLOOKUP('102 5.1.00'!S27,'102 5.1.00'!$AL$4:$AN$55,3,FALSE))</f>
        <v>0</v>
      </c>
      <c r="M27" s="4">
        <f>(VLOOKUP('102 5.1.00'!T27,'102 5.1.00'!$AL$4:$AN$55,3,FALSE))</f>
        <v>0</v>
      </c>
      <c r="N27" s="4">
        <f>(VLOOKUP('102 5.1.00'!U27,'102 5.1.00'!$AL$4:$AN$55,3,FALSE))</f>
        <v>0</v>
      </c>
      <c r="O27" s="5">
        <f>(VLOOKUP('102 5.1.00'!V27,'102 5.1.00'!$AL$4:$AN$55,3,FALSE))</f>
        <v>0</v>
      </c>
      <c r="P27" s="5">
        <f>(VLOOKUP('102 5.1.00'!W27,'102 5.1.00'!$AL$4:$AN$55,3,FALSE))</f>
        <v>0</v>
      </c>
      <c r="Q27" s="4">
        <f>(VLOOKUP('102 5.1.00'!X27,'102 5.1.00'!$AL$4:$AN$55,3,FALSE))</f>
        <v>0</v>
      </c>
      <c r="R27" s="4">
        <f>(VLOOKUP('102 5.1.00'!Y27,'102 5.1.00'!$AL$4:$AN$55,3,FALSE))</f>
        <v>0</v>
      </c>
      <c r="S27" s="4">
        <f>(VLOOKUP('102 5.1.00'!Z27,'102 5.1.00'!$AL$4:$AN$55,3,FALSE))</f>
        <v>0</v>
      </c>
      <c r="T27" s="4">
        <f>(VLOOKUP('102 5.1.00'!AA27,'102 5.1.00'!$AL$4:$AN$55,3,FALSE))</f>
        <v>0</v>
      </c>
      <c r="U27" s="4">
        <f>(VLOOKUP('102 5.1.00'!AB27,'102 5.1.00'!$AL$4:$AN$55,3,FALSE))</f>
        <v>0</v>
      </c>
      <c r="V27" s="4">
        <f>(VLOOKUP('102 5.1.00'!AC27,'102 5.1.00'!$AL$4:$AN$55,3,FALSE))</f>
        <v>0</v>
      </c>
      <c r="W27" s="5">
        <f>(VLOOKUP('102 5.1.00'!AD27,'102 5.1.00'!$AL$4:$AN$55,3,FALSE))</f>
        <v>0</v>
      </c>
      <c r="X27" s="5">
        <f>(VLOOKUP('102 5.1.00'!AE27,'102 5.1.00'!$AL$4:$AN$55,3,FALSE))</f>
        <v>0</v>
      </c>
    </row>
    <row r="28" spans="1:24">
      <c r="A28" s="4">
        <f>(VLOOKUP('102 5.1.00'!H28,'102 5.1.00'!$AL$4:$AN$55,3,FALSE))</f>
        <v>0</v>
      </c>
      <c r="B28" s="4">
        <f>(VLOOKUP('102 5.1.00'!I28,'102 5.1.00'!$AL$4:$AN$55,3,FALSE))</f>
        <v>0</v>
      </c>
      <c r="C28" s="4">
        <f>(VLOOKUP('102 5.1.00'!J28,'102 5.1.00'!$AL$4:$AN$55,3,FALSE))</f>
        <v>0</v>
      </c>
      <c r="D28" s="4">
        <f>(VLOOKUP('102 5.1.00'!K28,'102 5.1.00'!$AL$4:$AN$55,3,FALSE))</f>
        <v>0</v>
      </c>
      <c r="E28" s="4">
        <f>(VLOOKUP('102 5.1.00'!L28,'102 5.1.00'!$AL$4:$AN$55,3,FALSE))</f>
        <v>0</v>
      </c>
      <c r="F28" s="4">
        <f>(VLOOKUP('102 5.1.00'!M28,'102 5.1.00'!$AL$4:$AN$55,3,FALSE))</f>
        <v>0</v>
      </c>
      <c r="G28" s="5">
        <f>(VLOOKUP('102 5.1.00'!N28,'102 5.1.00'!$AL$4:$AN$55,3,FALSE))</f>
        <v>0</v>
      </c>
      <c r="H28" s="5">
        <f>(VLOOKUP('102 5.1.00'!O28,'102 5.1.00'!$AL$4:$AN$55,3,FALSE))</f>
        <v>0</v>
      </c>
      <c r="I28" s="4">
        <f>(VLOOKUP('102 5.1.00'!P28,'102 5.1.00'!$AL$4:$AN$55,3,FALSE))</f>
        <v>0</v>
      </c>
      <c r="J28" s="4">
        <f>(VLOOKUP('102 5.1.00'!Q28,'102 5.1.00'!$AL$4:$AN$55,3,FALSE))</f>
        <v>0</v>
      </c>
      <c r="K28" s="4">
        <f>(VLOOKUP('102 5.1.00'!R28,'102 5.1.00'!$AL$4:$AN$55,3,FALSE))</f>
        <v>0</v>
      </c>
      <c r="L28" s="4">
        <f>(VLOOKUP('102 5.1.00'!S28,'102 5.1.00'!$AL$4:$AN$55,3,FALSE))</f>
        <v>0</v>
      </c>
      <c r="M28" s="4">
        <f>(VLOOKUP('102 5.1.00'!T28,'102 5.1.00'!$AL$4:$AN$55,3,FALSE))</f>
        <v>0</v>
      </c>
      <c r="N28" s="4">
        <f>(VLOOKUP('102 5.1.00'!U28,'102 5.1.00'!$AL$4:$AN$55,3,FALSE))</f>
        <v>0</v>
      </c>
      <c r="O28" s="5">
        <f>(VLOOKUP('102 5.1.00'!V28,'102 5.1.00'!$AL$4:$AN$55,3,FALSE))</f>
        <v>0</v>
      </c>
      <c r="P28" s="5">
        <f>(VLOOKUP('102 5.1.00'!W28,'102 5.1.00'!$AL$4:$AN$55,3,FALSE))</f>
        <v>0</v>
      </c>
      <c r="Q28" s="4">
        <f>(VLOOKUP('102 5.1.00'!X28,'102 5.1.00'!$AL$4:$AN$55,3,FALSE))</f>
        <v>0</v>
      </c>
      <c r="R28" s="4">
        <f>(VLOOKUP('102 5.1.00'!Y28,'102 5.1.00'!$AL$4:$AN$55,3,FALSE))</f>
        <v>0</v>
      </c>
      <c r="S28" s="4">
        <f>(VLOOKUP('102 5.1.00'!Z28,'102 5.1.00'!$AL$4:$AN$55,3,FALSE))</f>
        <v>0</v>
      </c>
      <c r="T28" s="4">
        <f>(VLOOKUP('102 5.1.00'!AA28,'102 5.1.00'!$AL$4:$AN$55,3,FALSE))</f>
        <v>0</v>
      </c>
      <c r="U28" s="4">
        <f>(VLOOKUP('102 5.1.00'!AB28,'102 5.1.00'!$AL$4:$AN$55,3,FALSE))</f>
        <v>0</v>
      </c>
      <c r="V28" s="4">
        <f>(VLOOKUP('102 5.1.00'!AC28,'102 5.1.00'!$AL$4:$AN$55,3,FALSE))</f>
        <v>0</v>
      </c>
      <c r="W28" s="5">
        <f>(VLOOKUP('102 5.1.00'!AD28,'102 5.1.00'!$AL$4:$AN$55,3,FALSE))</f>
        <v>0</v>
      </c>
      <c r="X28" s="5">
        <f>(VLOOKUP('102 5.1.00'!AE28,'102 5.1.00'!$AL$4:$AN$55,3,FALSE))</f>
        <v>0</v>
      </c>
    </row>
    <row r="29" spans="1:24">
      <c r="A29" s="4">
        <f>(VLOOKUP('102 5.1.00'!H29,'102 5.1.00'!$AL$4:$AN$55,3,FALSE))</f>
        <v>0</v>
      </c>
      <c r="B29" s="4">
        <f>(VLOOKUP('102 5.1.00'!I29,'102 5.1.00'!$AL$4:$AN$55,3,FALSE))</f>
        <v>0</v>
      </c>
      <c r="C29" s="4">
        <f>(VLOOKUP('102 5.1.00'!J29,'102 5.1.00'!$AL$4:$AN$55,3,FALSE))</f>
        <v>0</v>
      </c>
      <c r="D29" s="4">
        <f>(VLOOKUP('102 5.1.00'!K29,'102 5.1.00'!$AL$4:$AN$55,3,FALSE))</f>
        <v>0</v>
      </c>
      <c r="E29" s="4">
        <f>(VLOOKUP('102 5.1.00'!L29,'102 5.1.00'!$AL$4:$AN$55,3,FALSE))</f>
        <v>0</v>
      </c>
      <c r="F29" s="4">
        <f>(VLOOKUP('102 5.1.00'!M29,'102 5.1.00'!$AL$4:$AN$55,3,FALSE))</f>
        <v>0</v>
      </c>
      <c r="G29" s="5">
        <f>(VLOOKUP('102 5.1.00'!N29,'102 5.1.00'!$AL$4:$AN$55,3,FALSE))</f>
        <v>0</v>
      </c>
      <c r="H29" s="5">
        <f>(VLOOKUP('102 5.1.00'!O29,'102 5.1.00'!$AL$4:$AN$55,3,FALSE))</f>
        <v>0</v>
      </c>
      <c r="I29" s="4">
        <f>(VLOOKUP('102 5.1.00'!P29,'102 5.1.00'!$AL$4:$AN$55,3,FALSE))</f>
        <v>0</v>
      </c>
      <c r="J29" s="4">
        <f>(VLOOKUP('102 5.1.00'!Q29,'102 5.1.00'!$AL$4:$AN$55,3,FALSE))</f>
        <v>0</v>
      </c>
      <c r="K29" s="4">
        <f>(VLOOKUP('102 5.1.00'!R29,'102 5.1.00'!$AL$4:$AN$55,3,FALSE))</f>
        <v>0</v>
      </c>
      <c r="L29" s="4">
        <f>(VLOOKUP('102 5.1.00'!S29,'102 5.1.00'!$AL$4:$AN$55,3,FALSE))</f>
        <v>0</v>
      </c>
      <c r="M29" s="4">
        <f>(VLOOKUP('102 5.1.00'!T29,'102 5.1.00'!$AL$4:$AN$55,3,FALSE))</f>
        <v>0</v>
      </c>
      <c r="N29" s="4">
        <f>(VLOOKUP('102 5.1.00'!U29,'102 5.1.00'!$AL$4:$AN$55,3,FALSE))</f>
        <v>0</v>
      </c>
      <c r="O29" s="5">
        <f>(VLOOKUP('102 5.1.00'!V29,'102 5.1.00'!$AL$4:$AN$55,3,FALSE))</f>
        <v>0</v>
      </c>
      <c r="P29" s="5">
        <f>(VLOOKUP('102 5.1.00'!W29,'102 5.1.00'!$AL$4:$AN$55,3,FALSE))</f>
        <v>0</v>
      </c>
      <c r="Q29" s="4">
        <f>(VLOOKUP('102 5.1.00'!X29,'102 5.1.00'!$AL$4:$AN$55,3,FALSE))</f>
        <v>0</v>
      </c>
      <c r="R29" s="4">
        <f>(VLOOKUP('102 5.1.00'!Y29,'102 5.1.00'!$AL$4:$AN$55,3,FALSE))</f>
        <v>0</v>
      </c>
      <c r="S29" s="4">
        <f>(VLOOKUP('102 5.1.00'!Z29,'102 5.1.00'!$AL$4:$AN$55,3,FALSE))</f>
        <v>0</v>
      </c>
      <c r="T29" s="4">
        <f>(VLOOKUP('102 5.1.00'!AA29,'102 5.1.00'!$AL$4:$AN$55,3,FALSE))</f>
        <v>0</v>
      </c>
      <c r="U29" s="4">
        <f>(VLOOKUP('102 5.1.00'!AB29,'102 5.1.00'!$AL$4:$AN$55,3,FALSE))</f>
        <v>0</v>
      </c>
      <c r="V29" s="4">
        <f>(VLOOKUP('102 5.1.00'!AC29,'102 5.1.00'!$AL$4:$AN$55,3,FALSE))</f>
        <v>0</v>
      </c>
      <c r="W29" s="5">
        <f>(VLOOKUP('102 5.1.00'!AD29,'102 5.1.00'!$AL$4:$AN$55,3,FALSE))</f>
        <v>0</v>
      </c>
      <c r="X29" s="5">
        <f>(VLOOKUP('102 5.1.00'!AE29,'102 5.1.00'!$AL$4:$AN$55,3,FALSE))</f>
        <v>0</v>
      </c>
    </row>
    <row r="30" spans="1:24">
      <c r="A30" s="4">
        <f>(VLOOKUP('102 5.1.00'!H30,'102 5.1.00'!$AL$4:$AN$55,3,FALSE))</f>
        <v>0</v>
      </c>
      <c r="B30" s="4">
        <f>(VLOOKUP('102 5.1.00'!I30,'102 5.1.00'!$AL$4:$AN$55,3,FALSE))</f>
        <v>0</v>
      </c>
      <c r="C30" s="4">
        <f>(VLOOKUP('102 5.1.00'!J30,'102 5.1.00'!$AL$4:$AN$55,3,FALSE))</f>
        <v>0</v>
      </c>
      <c r="D30" s="4">
        <f>(VLOOKUP('102 5.1.00'!K30,'102 5.1.00'!$AL$4:$AN$55,3,FALSE))</f>
        <v>0</v>
      </c>
      <c r="E30" s="4">
        <f>(VLOOKUP('102 5.1.00'!L30,'102 5.1.00'!$AL$4:$AN$55,3,FALSE))</f>
        <v>0</v>
      </c>
      <c r="F30" s="4">
        <f>(VLOOKUP('102 5.1.00'!M30,'102 5.1.00'!$AL$4:$AN$55,3,FALSE))</f>
        <v>0</v>
      </c>
      <c r="G30" s="5">
        <f>(VLOOKUP('102 5.1.00'!N30,'102 5.1.00'!$AL$4:$AN$55,3,FALSE))</f>
        <v>0</v>
      </c>
      <c r="H30" s="5">
        <f>(VLOOKUP('102 5.1.00'!O30,'102 5.1.00'!$AL$4:$AN$55,3,FALSE))</f>
        <v>0</v>
      </c>
      <c r="I30" s="4">
        <f>(VLOOKUP('102 5.1.00'!P30,'102 5.1.00'!$AL$4:$AN$55,3,FALSE))</f>
        <v>0</v>
      </c>
      <c r="J30" s="4">
        <f>(VLOOKUP('102 5.1.00'!Q30,'102 5.1.00'!$AL$4:$AN$55,3,FALSE))</f>
        <v>0</v>
      </c>
      <c r="K30" s="4">
        <f>(VLOOKUP('102 5.1.00'!R30,'102 5.1.00'!$AL$4:$AN$55,3,FALSE))</f>
        <v>0</v>
      </c>
      <c r="L30" s="4">
        <f>(VLOOKUP('102 5.1.00'!S30,'102 5.1.00'!$AL$4:$AN$55,3,FALSE))</f>
        <v>0</v>
      </c>
      <c r="M30" s="4">
        <f>(VLOOKUP('102 5.1.00'!T30,'102 5.1.00'!$AL$4:$AN$55,3,FALSE))</f>
        <v>0</v>
      </c>
      <c r="N30" s="4">
        <f>(VLOOKUP('102 5.1.00'!U30,'102 5.1.00'!$AL$4:$AN$55,3,FALSE))</f>
        <v>0</v>
      </c>
      <c r="O30" s="5">
        <f>(VLOOKUP('102 5.1.00'!V30,'102 5.1.00'!$AL$4:$AN$55,3,FALSE))</f>
        <v>0</v>
      </c>
      <c r="P30" s="5">
        <f>(VLOOKUP('102 5.1.00'!W30,'102 5.1.00'!$AL$4:$AN$55,3,FALSE))</f>
        <v>0</v>
      </c>
      <c r="Q30" s="4">
        <f>(VLOOKUP('102 5.1.00'!X30,'102 5.1.00'!$AL$4:$AN$55,3,FALSE))</f>
        <v>0</v>
      </c>
      <c r="R30" s="4">
        <f>(VLOOKUP('102 5.1.00'!Y30,'102 5.1.00'!$AL$4:$AN$55,3,FALSE))</f>
        <v>0</v>
      </c>
      <c r="S30" s="4">
        <f>(VLOOKUP('102 5.1.00'!Z30,'102 5.1.00'!$AL$4:$AN$55,3,FALSE))</f>
        <v>0</v>
      </c>
      <c r="T30" s="4">
        <f>(VLOOKUP('102 5.1.00'!AA30,'102 5.1.00'!$AL$4:$AN$55,3,FALSE))</f>
        <v>0</v>
      </c>
      <c r="U30" s="4">
        <f>(VLOOKUP('102 5.1.00'!AB30,'102 5.1.00'!$AL$4:$AN$55,3,FALSE))</f>
        <v>0</v>
      </c>
      <c r="V30" s="4">
        <f>(VLOOKUP('102 5.1.00'!AC30,'102 5.1.00'!$AL$4:$AN$55,3,FALSE))</f>
        <v>0</v>
      </c>
      <c r="W30" s="5">
        <f>(VLOOKUP('102 5.1.00'!AD30,'102 5.1.00'!$AL$4:$AN$55,3,FALSE))</f>
        <v>0</v>
      </c>
      <c r="X30" s="5">
        <f>(VLOOKUP('102 5.1.00'!AE30,'102 5.1.00'!$AL$4:$AN$55,3,FALSE))</f>
        <v>0</v>
      </c>
    </row>
    <row r="31" spans="1:24">
      <c r="A31" s="4">
        <f>(VLOOKUP('102 5.1.00'!H31,'102 5.1.00'!$AL$4:$AN$55,3,FALSE))</f>
        <v>0</v>
      </c>
      <c r="B31" s="4">
        <f>(VLOOKUP('102 5.1.00'!I31,'102 5.1.00'!$AL$4:$AN$55,3,FALSE))</f>
        <v>0</v>
      </c>
      <c r="C31" s="4">
        <f>(VLOOKUP('102 5.1.00'!J31,'102 5.1.00'!$AL$4:$AN$55,3,FALSE))</f>
        <v>0</v>
      </c>
      <c r="D31" s="4">
        <f>(VLOOKUP('102 5.1.00'!K31,'102 5.1.00'!$AL$4:$AN$55,3,FALSE))</f>
        <v>0</v>
      </c>
      <c r="E31" s="4">
        <f>(VLOOKUP('102 5.1.00'!L31,'102 5.1.00'!$AL$4:$AN$55,3,FALSE))</f>
        <v>0</v>
      </c>
      <c r="F31" s="4">
        <f>(VLOOKUP('102 5.1.00'!M31,'102 5.1.00'!$AL$4:$AN$55,3,FALSE))</f>
        <v>0</v>
      </c>
      <c r="G31" s="5">
        <f>(VLOOKUP('102 5.1.00'!N31,'102 5.1.00'!$AL$4:$AN$55,3,FALSE))</f>
        <v>0</v>
      </c>
      <c r="H31" s="5">
        <f>(VLOOKUP('102 5.1.00'!O31,'102 5.1.00'!$AL$4:$AN$55,3,FALSE))</f>
        <v>0</v>
      </c>
      <c r="I31" s="4">
        <f>(VLOOKUP('102 5.1.00'!P31,'102 5.1.00'!$AL$4:$AN$55,3,FALSE))</f>
        <v>0</v>
      </c>
      <c r="J31" s="4">
        <f>(VLOOKUP('102 5.1.00'!Q31,'102 5.1.00'!$AL$4:$AN$55,3,FALSE))</f>
        <v>0</v>
      </c>
      <c r="K31" s="4">
        <f>(VLOOKUP('102 5.1.00'!R31,'102 5.1.00'!$AL$4:$AN$55,3,FALSE))</f>
        <v>0</v>
      </c>
      <c r="L31" s="4">
        <f>(VLOOKUP('102 5.1.00'!S31,'102 5.1.00'!$AL$4:$AN$55,3,FALSE))</f>
        <v>0</v>
      </c>
      <c r="M31" s="4">
        <f>(VLOOKUP('102 5.1.00'!T31,'102 5.1.00'!$AL$4:$AN$55,3,FALSE))</f>
        <v>0</v>
      </c>
      <c r="N31" s="4">
        <f>(VLOOKUP('102 5.1.00'!U31,'102 5.1.00'!$AL$4:$AN$55,3,FALSE))</f>
        <v>0</v>
      </c>
      <c r="O31" s="5">
        <f>(VLOOKUP('102 5.1.00'!V31,'102 5.1.00'!$AL$4:$AN$55,3,FALSE))</f>
        <v>0</v>
      </c>
      <c r="P31" s="5">
        <f>(VLOOKUP('102 5.1.00'!W31,'102 5.1.00'!$AL$4:$AN$55,3,FALSE))</f>
        <v>0</v>
      </c>
      <c r="Q31" s="4">
        <f>(VLOOKUP('102 5.1.00'!X31,'102 5.1.00'!$AL$4:$AN$55,3,FALSE))</f>
        <v>0</v>
      </c>
      <c r="R31" s="4">
        <f>(VLOOKUP('102 5.1.00'!Y31,'102 5.1.00'!$AL$4:$AN$55,3,FALSE))</f>
        <v>0</v>
      </c>
      <c r="S31" s="4">
        <f>(VLOOKUP('102 5.1.00'!Z31,'102 5.1.00'!$AL$4:$AN$55,3,FALSE))</f>
        <v>0</v>
      </c>
      <c r="T31" s="4">
        <f>(VLOOKUP('102 5.1.00'!AA31,'102 5.1.00'!$AL$4:$AN$55,3,FALSE))</f>
        <v>0</v>
      </c>
      <c r="U31" s="4">
        <f>(VLOOKUP('102 5.1.00'!AB31,'102 5.1.00'!$AL$4:$AN$55,3,FALSE))</f>
        <v>0</v>
      </c>
      <c r="V31" s="4">
        <f>(VLOOKUP('102 5.1.00'!AC31,'102 5.1.00'!$AL$4:$AN$55,3,FALSE))</f>
        <v>0</v>
      </c>
      <c r="W31" s="5">
        <f>(VLOOKUP('102 5.1.00'!AD31,'102 5.1.00'!$AL$4:$AN$55,3,FALSE))</f>
        <v>0</v>
      </c>
      <c r="X31" s="5">
        <f>(VLOOKUP('102 5.1.00'!AE31,'102 5.1.00'!$AL$4:$AN$55,3,FALSE))</f>
        <v>0</v>
      </c>
    </row>
    <row r="32" spans="1:24">
      <c r="A32" s="4">
        <f>(VLOOKUP('102 5.1.00'!H32,'102 5.1.00'!$AL$4:$AN$55,3,FALSE))</f>
        <v>0</v>
      </c>
      <c r="B32" s="4">
        <f>(VLOOKUP('102 5.1.00'!I32,'102 5.1.00'!$AL$4:$AN$55,3,FALSE))</f>
        <v>0</v>
      </c>
      <c r="C32" s="4">
        <f>(VLOOKUP('102 5.1.00'!J32,'102 5.1.00'!$AL$4:$AN$55,3,FALSE))</f>
        <v>0</v>
      </c>
      <c r="D32" s="4">
        <f>(VLOOKUP('102 5.1.00'!K32,'102 5.1.00'!$AL$4:$AN$55,3,FALSE))</f>
        <v>0</v>
      </c>
      <c r="E32" s="4">
        <f>(VLOOKUP('102 5.1.00'!L32,'102 5.1.00'!$AL$4:$AN$55,3,FALSE))</f>
        <v>0</v>
      </c>
      <c r="F32" s="4">
        <f>(VLOOKUP('102 5.1.00'!M32,'102 5.1.00'!$AL$4:$AN$55,3,FALSE))</f>
        <v>0</v>
      </c>
      <c r="G32" s="5">
        <f>(VLOOKUP('102 5.1.00'!N32,'102 5.1.00'!$AL$4:$AN$55,3,FALSE))</f>
        <v>0</v>
      </c>
      <c r="H32" s="5">
        <f>(VLOOKUP('102 5.1.00'!O32,'102 5.1.00'!$AL$4:$AN$55,3,FALSE))</f>
        <v>0</v>
      </c>
      <c r="I32" s="4">
        <f>(VLOOKUP('102 5.1.00'!P32,'102 5.1.00'!$AL$4:$AN$55,3,FALSE))</f>
        <v>0</v>
      </c>
      <c r="J32" s="4">
        <f>(VLOOKUP('102 5.1.00'!Q32,'102 5.1.00'!$AL$4:$AN$55,3,FALSE))</f>
        <v>0</v>
      </c>
      <c r="K32" s="4">
        <f>(VLOOKUP('102 5.1.00'!R32,'102 5.1.00'!$AL$4:$AN$55,3,FALSE))</f>
        <v>0</v>
      </c>
      <c r="L32" s="4">
        <f>(VLOOKUP('102 5.1.00'!S32,'102 5.1.00'!$AL$4:$AN$55,3,FALSE))</f>
        <v>0</v>
      </c>
      <c r="M32" s="4">
        <f>(VLOOKUP('102 5.1.00'!T32,'102 5.1.00'!$AL$4:$AN$55,3,FALSE))</f>
        <v>0</v>
      </c>
      <c r="N32" s="4">
        <f>(VLOOKUP('102 5.1.00'!U32,'102 5.1.00'!$AL$4:$AN$55,3,FALSE))</f>
        <v>0</v>
      </c>
      <c r="O32" s="5">
        <f>(VLOOKUP('102 5.1.00'!V32,'102 5.1.00'!$AL$4:$AN$55,3,FALSE))</f>
        <v>0</v>
      </c>
      <c r="P32" s="5">
        <f>(VLOOKUP('102 5.1.00'!W32,'102 5.1.00'!$AL$4:$AN$55,3,FALSE))</f>
        <v>0</v>
      </c>
      <c r="Q32" s="4">
        <f>(VLOOKUP('102 5.1.00'!X32,'102 5.1.00'!$AL$4:$AN$55,3,FALSE))</f>
        <v>0</v>
      </c>
      <c r="R32" s="4">
        <f>(VLOOKUP('102 5.1.00'!Y32,'102 5.1.00'!$AL$4:$AN$55,3,FALSE))</f>
        <v>0</v>
      </c>
      <c r="S32" s="4">
        <f>(VLOOKUP('102 5.1.00'!Z32,'102 5.1.00'!$AL$4:$AN$55,3,FALSE))</f>
        <v>0</v>
      </c>
      <c r="T32" s="4">
        <f>(VLOOKUP('102 5.1.00'!AA32,'102 5.1.00'!$AL$4:$AN$55,3,FALSE))</f>
        <v>0</v>
      </c>
      <c r="U32" s="4">
        <f>(VLOOKUP('102 5.1.00'!AB32,'102 5.1.00'!$AL$4:$AN$55,3,FALSE))</f>
        <v>0</v>
      </c>
      <c r="V32" s="4">
        <f>(VLOOKUP('102 5.1.00'!AC32,'102 5.1.00'!$AL$4:$AN$55,3,FALSE))</f>
        <v>0</v>
      </c>
      <c r="W32" s="5">
        <f>(VLOOKUP('102 5.1.00'!AD32,'102 5.1.00'!$AL$4:$AN$55,3,FALSE))</f>
        <v>0</v>
      </c>
      <c r="X32" s="5">
        <f>(VLOOKUP('102 5.1.00'!AE32,'102 5.1.00'!$AL$4:$AN$55,3,FALSE))</f>
        <v>0</v>
      </c>
    </row>
    <row r="33" spans="1:24">
      <c r="A33" s="4">
        <f>(VLOOKUP('102 5.1.00'!H33,'102 5.1.00'!$AL$4:$AN$55,3,FALSE))</f>
        <v>0</v>
      </c>
      <c r="B33" s="4">
        <f>(VLOOKUP('102 5.1.00'!I33,'102 5.1.00'!$AL$4:$AN$55,3,FALSE))</f>
        <v>0</v>
      </c>
      <c r="C33" s="4">
        <f>(VLOOKUP('102 5.1.00'!J33,'102 5.1.00'!$AL$4:$AN$55,3,FALSE))</f>
        <v>0</v>
      </c>
      <c r="D33" s="4">
        <f>(VLOOKUP('102 5.1.00'!K33,'102 5.1.00'!$AL$4:$AN$55,3,FALSE))</f>
        <v>0</v>
      </c>
      <c r="E33" s="4">
        <f>(VLOOKUP('102 5.1.00'!L33,'102 5.1.00'!$AL$4:$AN$55,3,FALSE))</f>
        <v>0</v>
      </c>
      <c r="F33" s="4">
        <f>(VLOOKUP('102 5.1.00'!M33,'102 5.1.00'!$AL$4:$AN$55,3,FALSE))</f>
        <v>0</v>
      </c>
      <c r="G33" s="5">
        <f>(VLOOKUP('102 5.1.00'!N33,'102 5.1.00'!$AL$4:$AN$55,3,FALSE))</f>
        <v>0</v>
      </c>
      <c r="H33" s="5">
        <f>(VLOOKUP('102 5.1.00'!O33,'102 5.1.00'!$AL$4:$AN$55,3,FALSE))</f>
        <v>0</v>
      </c>
      <c r="I33" s="4">
        <f>(VLOOKUP('102 5.1.00'!P33,'102 5.1.00'!$AL$4:$AN$55,3,FALSE))</f>
        <v>0</v>
      </c>
      <c r="J33" s="4">
        <f>(VLOOKUP('102 5.1.00'!Q33,'102 5.1.00'!$AL$4:$AN$55,3,FALSE))</f>
        <v>0</v>
      </c>
      <c r="K33" s="4">
        <f>(VLOOKUP('102 5.1.00'!R33,'102 5.1.00'!$AL$4:$AN$55,3,FALSE))</f>
        <v>0</v>
      </c>
      <c r="L33" s="4">
        <f>(VLOOKUP('102 5.1.00'!S33,'102 5.1.00'!$AL$4:$AN$55,3,FALSE))</f>
        <v>0</v>
      </c>
      <c r="M33" s="4">
        <f>(VLOOKUP('102 5.1.00'!T33,'102 5.1.00'!$AL$4:$AN$55,3,FALSE))</f>
        <v>0</v>
      </c>
      <c r="N33" s="4">
        <f>(VLOOKUP('102 5.1.00'!U33,'102 5.1.00'!$AL$4:$AN$55,3,FALSE))</f>
        <v>0</v>
      </c>
      <c r="O33" s="5">
        <f>(VLOOKUP('102 5.1.00'!V33,'102 5.1.00'!$AL$4:$AN$55,3,FALSE))</f>
        <v>0</v>
      </c>
      <c r="P33" s="5">
        <f>(VLOOKUP('102 5.1.00'!W33,'102 5.1.00'!$AL$4:$AN$55,3,FALSE))</f>
        <v>0</v>
      </c>
      <c r="Q33" s="4">
        <f>(VLOOKUP('102 5.1.00'!X33,'102 5.1.00'!$AL$4:$AN$55,3,FALSE))</f>
        <v>0</v>
      </c>
      <c r="R33" s="4">
        <f>(VLOOKUP('102 5.1.00'!Y33,'102 5.1.00'!$AL$4:$AN$55,3,FALSE))</f>
        <v>0</v>
      </c>
      <c r="S33" s="4">
        <f>(VLOOKUP('102 5.1.00'!Z33,'102 5.1.00'!$AL$4:$AN$55,3,FALSE))</f>
        <v>0</v>
      </c>
      <c r="T33" s="4">
        <f>(VLOOKUP('102 5.1.00'!AA33,'102 5.1.00'!$AL$4:$AN$55,3,FALSE))</f>
        <v>0</v>
      </c>
      <c r="U33" s="4">
        <f>(VLOOKUP('102 5.1.00'!AB33,'102 5.1.00'!$AL$4:$AN$55,3,FALSE))</f>
        <v>0</v>
      </c>
      <c r="V33" s="4">
        <f>(VLOOKUP('102 5.1.00'!AC33,'102 5.1.00'!$AL$4:$AN$55,3,FALSE))</f>
        <v>0</v>
      </c>
      <c r="W33" s="5">
        <f>(VLOOKUP('102 5.1.00'!AD33,'102 5.1.00'!$AL$4:$AN$55,3,FALSE))</f>
        <v>0</v>
      </c>
      <c r="X33" s="5">
        <f>(VLOOKUP('102 5.1.00'!AE33,'102 5.1.00'!$AL$4:$AN$55,3,FALSE))</f>
        <v>0</v>
      </c>
    </row>
    <row r="34" spans="1:24">
      <c r="A34" s="4">
        <f>(VLOOKUP('102 5.1.00'!H34,'102 5.1.00'!$AL$4:$AN$55,3,FALSE))</f>
        <v>0</v>
      </c>
      <c r="B34" s="4">
        <f>(VLOOKUP('102 5.1.00'!I34,'102 5.1.00'!$AL$4:$AN$55,3,FALSE))</f>
        <v>0</v>
      </c>
      <c r="C34" s="4">
        <f>(VLOOKUP('102 5.1.00'!J34,'102 5.1.00'!$AL$4:$AN$55,3,FALSE))</f>
        <v>0</v>
      </c>
      <c r="D34" s="4">
        <f>(VLOOKUP('102 5.1.00'!K34,'102 5.1.00'!$AL$4:$AN$55,3,FALSE))</f>
        <v>0</v>
      </c>
      <c r="E34" s="4">
        <f>(VLOOKUP('102 5.1.00'!L34,'102 5.1.00'!$AL$4:$AN$55,3,FALSE))</f>
        <v>0</v>
      </c>
      <c r="F34" s="4">
        <f>(VLOOKUP('102 5.1.00'!M34,'102 5.1.00'!$AL$4:$AN$55,3,FALSE))</f>
        <v>0</v>
      </c>
      <c r="G34" s="5">
        <f>(VLOOKUP('102 5.1.00'!N34,'102 5.1.00'!$AL$4:$AN$55,3,FALSE))</f>
        <v>0</v>
      </c>
      <c r="H34" s="5">
        <f>(VLOOKUP('102 5.1.00'!O34,'102 5.1.00'!$AL$4:$AN$55,3,FALSE))</f>
        <v>0</v>
      </c>
      <c r="I34" s="4">
        <f>(VLOOKUP('102 5.1.00'!P34,'102 5.1.00'!$AL$4:$AN$55,3,FALSE))</f>
        <v>0</v>
      </c>
      <c r="J34" s="4">
        <f>(VLOOKUP('102 5.1.00'!Q34,'102 5.1.00'!$AL$4:$AN$55,3,FALSE))</f>
        <v>0</v>
      </c>
      <c r="K34" s="4">
        <f>(VLOOKUP('102 5.1.00'!R34,'102 5.1.00'!$AL$4:$AN$55,3,FALSE))</f>
        <v>0</v>
      </c>
      <c r="L34" s="4">
        <f>(VLOOKUP('102 5.1.00'!S34,'102 5.1.00'!$AL$4:$AN$55,3,FALSE))</f>
        <v>0</v>
      </c>
      <c r="M34" s="4">
        <f>(VLOOKUP('102 5.1.00'!T34,'102 5.1.00'!$AL$4:$AN$55,3,FALSE))</f>
        <v>0</v>
      </c>
      <c r="N34" s="4">
        <f>(VLOOKUP('102 5.1.00'!U34,'102 5.1.00'!$AL$4:$AN$55,3,FALSE))</f>
        <v>0</v>
      </c>
      <c r="O34" s="5">
        <f>(VLOOKUP('102 5.1.00'!V34,'102 5.1.00'!$AL$4:$AN$55,3,FALSE))</f>
        <v>0</v>
      </c>
      <c r="P34" s="5">
        <f>(VLOOKUP('102 5.1.00'!W34,'102 5.1.00'!$AL$4:$AN$55,3,FALSE))</f>
        <v>0</v>
      </c>
      <c r="Q34" s="4">
        <f>(VLOOKUP('102 5.1.00'!X34,'102 5.1.00'!$AL$4:$AN$55,3,FALSE))</f>
        <v>0</v>
      </c>
      <c r="R34" s="4">
        <f>(VLOOKUP('102 5.1.00'!Y34,'102 5.1.00'!$AL$4:$AN$55,3,FALSE))</f>
        <v>0</v>
      </c>
      <c r="S34" s="4">
        <f>(VLOOKUP('102 5.1.00'!Z34,'102 5.1.00'!$AL$4:$AN$55,3,FALSE))</f>
        <v>0</v>
      </c>
      <c r="T34" s="4">
        <f>(VLOOKUP('102 5.1.00'!AA34,'102 5.1.00'!$AL$4:$AN$55,3,FALSE))</f>
        <v>0</v>
      </c>
      <c r="U34" s="4">
        <f>(VLOOKUP('102 5.1.00'!AB34,'102 5.1.00'!$AL$4:$AN$55,3,FALSE))</f>
        <v>0</v>
      </c>
      <c r="V34" s="4">
        <f>(VLOOKUP('102 5.1.00'!AC34,'102 5.1.00'!$AL$4:$AN$55,3,FALSE))</f>
        <v>0</v>
      </c>
      <c r="W34" s="5">
        <f>(VLOOKUP('102 5.1.00'!AD34,'102 5.1.00'!$AL$4:$AN$55,3,FALSE))</f>
        <v>0</v>
      </c>
      <c r="X34" s="5">
        <f>(VLOOKUP('102 5.1.00'!AE34,'102 5.1.00'!$AL$4:$AN$55,3,FALSE))</f>
        <v>0</v>
      </c>
    </row>
    <row r="35" spans="1:24">
      <c r="A35" s="4">
        <f>(VLOOKUP('102 5.1.00'!H35,'102 5.1.00'!$AL$4:$AN$55,3,FALSE))</f>
        <v>0</v>
      </c>
      <c r="B35" s="4">
        <f>(VLOOKUP('102 5.1.00'!I35,'102 5.1.00'!$AL$4:$AN$55,3,FALSE))</f>
        <v>0</v>
      </c>
      <c r="C35" s="4">
        <f>(VLOOKUP('102 5.1.00'!J35,'102 5.1.00'!$AL$4:$AN$55,3,FALSE))</f>
        <v>0</v>
      </c>
      <c r="D35" s="4">
        <f>(VLOOKUP('102 5.1.00'!K35,'102 5.1.00'!$AL$4:$AN$55,3,FALSE))</f>
        <v>0</v>
      </c>
      <c r="E35" s="4">
        <f>(VLOOKUP('102 5.1.00'!L35,'102 5.1.00'!$AL$4:$AN$55,3,FALSE))</f>
        <v>0</v>
      </c>
      <c r="F35" s="4">
        <f>(VLOOKUP('102 5.1.00'!M35,'102 5.1.00'!$AL$4:$AN$55,3,FALSE))</f>
        <v>0</v>
      </c>
      <c r="G35" s="5">
        <f>(VLOOKUP('102 5.1.00'!N35,'102 5.1.00'!$AL$4:$AN$55,3,FALSE))</f>
        <v>0</v>
      </c>
      <c r="H35" s="5">
        <f>(VLOOKUP('102 5.1.00'!O35,'102 5.1.00'!$AL$4:$AN$55,3,FALSE))</f>
        <v>0</v>
      </c>
      <c r="I35" s="4">
        <f>(VLOOKUP('102 5.1.00'!P35,'102 5.1.00'!$AL$4:$AN$55,3,FALSE))</f>
        <v>0</v>
      </c>
      <c r="J35" s="4">
        <f>(VLOOKUP('102 5.1.00'!Q35,'102 5.1.00'!$AL$4:$AN$55,3,FALSE))</f>
        <v>0</v>
      </c>
      <c r="K35" s="4">
        <f>(VLOOKUP('102 5.1.00'!R35,'102 5.1.00'!$AL$4:$AN$55,3,FALSE))</f>
        <v>0</v>
      </c>
      <c r="L35" s="4">
        <f>(VLOOKUP('102 5.1.00'!S35,'102 5.1.00'!$AL$4:$AN$55,3,FALSE))</f>
        <v>0</v>
      </c>
      <c r="M35" s="4">
        <f>(VLOOKUP('102 5.1.00'!T35,'102 5.1.00'!$AL$4:$AN$55,3,FALSE))</f>
        <v>0</v>
      </c>
      <c r="N35" s="4">
        <f>(VLOOKUP('102 5.1.00'!U35,'102 5.1.00'!$AL$4:$AN$55,3,FALSE))</f>
        <v>0</v>
      </c>
      <c r="O35" s="5">
        <f>(VLOOKUP('102 5.1.00'!V35,'102 5.1.00'!$AL$4:$AN$55,3,FALSE))</f>
        <v>0</v>
      </c>
      <c r="P35" s="5">
        <f>(VLOOKUP('102 5.1.00'!W35,'102 5.1.00'!$AL$4:$AN$55,3,FALSE))</f>
        <v>0</v>
      </c>
      <c r="Q35" s="4">
        <f>(VLOOKUP('102 5.1.00'!X35,'102 5.1.00'!$AL$4:$AN$55,3,FALSE))</f>
        <v>0</v>
      </c>
      <c r="R35" s="4">
        <f>(VLOOKUP('102 5.1.00'!Y35,'102 5.1.00'!$AL$4:$AN$55,3,FALSE))</f>
        <v>0</v>
      </c>
      <c r="S35" s="4">
        <f>(VLOOKUP('102 5.1.00'!Z35,'102 5.1.00'!$AL$4:$AN$55,3,FALSE))</f>
        <v>0</v>
      </c>
      <c r="T35" s="4">
        <f>(VLOOKUP('102 5.1.00'!AA35,'102 5.1.00'!$AL$4:$AN$55,3,FALSE))</f>
        <v>0</v>
      </c>
      <c r="U35" s="4">
        <f>(VLOOKUP('102 5.1.00'!AB35,'102 5.1.00'!$AL$4:$AN$55,3,FALSE))</f>
        <v>0</v>
      </c>
      <c r="V35" s="4">
        <f>(VLOOKUP('102 5.1.00'!AC35,'102 5.1.00'!$AL$4:$AN$55,3,FALSE))</f>
        <v>0</v>
      </c>
      <c r="W35" s="5">
        <f>(VLOOKUP('102 5.1.00'!AD35,'102 5.1.00'!$AL$4:$AN$55,3,FALSE))</f>
        <v>0</v>
      </c>
      <c r="X35" s="5">
        <f>(VLOOKUP('102 5.1.00'!AE35,'102 5.1.00'!$AL$4:$AN$55,3,FALSE))</f>
        <v>0</v>
      </c>
    </row>
    <row r="36" spans="1:24">
      <c r="A36" s="4">
        <f>(VLOOKUP('102 5.1.00'!H36,'102 5.1.00'!$AL$4:$AN$55,3,FALSE))</f>
        <v>0</v>
      </c>
      <c r="B36" s="4">
        <f>(VLOOKUP('102 5.1.00'!I36,'102 5.1.00'!$AL$4:$AN$55,3,FALSE))</f>
        <v>0</v>
      </c>
      <c r="C36" s="4">
        <f>(VLOOKUP('102 5.1.00'!J36,'102 5.1.00'!$AL$4:$AN$55,3,FALSE))</f>
        <v>0</v>
      </c>
      <c r="D36" s="4">
        <f>(VLOOKUP('102 5.1.00'!K36,'102 5.1.00'!$AL$4:$AN$55,3,FALSE))</f>
        <v>0</v>
      </c>
      <c r="E36" s="4">
        <f>(VLOOKUP('102 5.1.00'!L36,'102 5.1.00'!$AL$4:$AN$55,3,FALSE))</f>
        <v>0</v>
      </c>
      <c r="F36" s="4">
        <f>(VLOOKUP('102 5.1.00'!M36,'102 5.1.00'!$AL$4:$AN$55,3,FALSE))</f>
        <v>0</v>
      </c>
      <c r="G36" s="5">
        <f>(VLOOKUP('102 5.1.00'!N36,'102 5.1.00'!$AL$4:$AN$55,3,FALSE))</f>
        <v>0</v>
      </c>
      <c r="H36" s="5">
        <f>(VLOOKUP('102 5.1.00'!O36,'102 5.1.00'!$AL$4:$AN$55,3,FALSE))</f>
        <v>0</v>
      </c>
      <c r="I36" s="4">
        <f>(VLOOKUP('102 5.1.00'!P36,'102 5.1.00'!$AL$4:$AN$55,3,FALSE))</f>
        <v>0</v>
      </c>
      <c r="J36" s="4">
        <f>(VLOOKUP('102 5.1.00'!Q36,'102 5.1.00'!$AL$4:$AN$55,3,FALSE))</f>
        <v>0</v>
      </c>
      <c r="K36" s="4">
        <f>(VLOOKUP('102 5.1.00'!R36,'102 5.1.00'!$AL$4:$AN$55,3,FALSE))</f>
        <v>0</v>
      </c>
      <c r="L36" s="4">
        <f>(VLOOKUP('102 5.1.00'!S36,'102 5.1.00'!$AL$4:$AN$55,3,FALSE))</f>
        <v>0</v>
      </c>
      <c r="M36" s="4">
        <f>(VLOOKUP('102 5.1.00'!T36,'102 5.1.00'!$AL$4:$AN$55,3,FALSE))</f>
        <v>0</v>
      </c>
      <c r="N36" s="4">
        <f>(VLOOKUP('102 5.1.00'!U36,'102 5.1.00'!$AL$4:$AN$55,3,FALSE))</f>
        <v>0</v>
      </c>
      <c r="O36" s="5">
        <f>(VLOOKUP('102 5.1.00'!V36,'102 5.1.00'!$AL$4:$AN$55,3,FALSE))</f>
        <v>0</v>
      </c>
      <c r="P36" s="5">
        <f>(VLOOKUP('102 5.1.00'!W36,'102 5.1.00'!$AL$4:$AN$55,3,FALSE))</f>
        <v>0</v>
      </c>
      <c r="Q36" s="4">
        <f>(VLOOKUP('102 5.1.00'!X36,'102 5.1.00'!$AL$4:$AN$55,3,FALSE))</f>
        <v>0</v>
      </c>
      <c r="R36" s="4">
        <f>(VLOOKUP('102 5.1.00'!Y36,'102 5.1.00'!$AL$4:$AN$55,3,FALSE))</f>
        <v>0</v>
      </c>
      <c r="S36" s="4">
        <f>(VLOOKUP('102 5.1.00'!Z36,'102 5.1.00'!$AL$4:$AN$55,3,FALSE))</f>
        <v>0</v>
      </c>
      <c r="T36" s="4">
        <f>(VLOOKUP('102 5.1.00'!AA36,'102 5.1.00'!$AL$4:$AN$55,3,FALSE))</f>
        <v>0</v>
      </c>
      <c r="U36" s="4">
        <f>(VLOOKUP('102 5.1.00'!AB36,'102 5.1.00'!$AL$4:$AN$55,3,FALSE))</f>
        <v>0</v>
      </c>
      <c r="V36" s="4">
        <f>(VLOOKUP('102 5.1.00'!AC36,'102 5.1.00'!$AL$4:$AN$55,3,FALSE))</f>
        <v>0</v>
      </c>
      <c r="W36" s="5">
        <f>(VLOOKUP('102 5.1.00'!AD36,'102 5.1.00'!$AL$4:$AN$55,3,FALSE))</f>
        <v>0</v>
      </c>
      <c r="X36" s="5">
        <f>(VLOOKUP('102 5.1.00'!AE36,'102 5.1.00'!$AL$4:$AN$55,3,FALSE))</f>
        <v>0</v>
      </c>
    </row>
    <row r="37" spans="1:24">
      <c r="A37" s="4">
        <f>(VLOOKUP('102 5.1.00'!H37,'102 5.1.00'!$AL$4:$AN$55,3,FALSE))</f>
        <v>0</v>
      </c>
      <c r="B37" s="4">
        <f>(VLOOKUP('102 5.1.00'!I37,'102 5.1.00'!$AL$4:$AN$55,3,FALSE))</f>
        <v>0</v>
      </c>
      <c r="C37" s="4">
        <f>(VLOOKUP('102 5.1.00'!J37,'102 5.1.00'!$AL$4:$AN$55,3,FALSE))</f>
        <v>0</v>
      </c>
      <c r="D37" s="4">
        <f>(VLOOKUP('102 5.1.00'!K37,'102 5.1.00'!$AL$4:$AN$55,3,FALSE))</f>
        <v>0</v>
      </c>
      <c r="E37" s="4">
        <f>(VLOOKUP('102 5.1.00'!L37,'102 5.1.00'!$AL$4:$AN$55,3,FALSE))</f>
        <v>0</v>
      </c>
      <c r="F37" s="4">
        <f>(VLOOKUP('102 5.1.00'!M37,'102 5.1.00'!$AL$4:$AN$55,3,FALSE))</f>
        <v>0</v>
      </c>
      <c r="G37" s="5">
        <f>(VLOOKUP('102 5.1.00'!N37,'102 5.1.00'!$AL$4:$AN$55,3,FALSE))</f>
        <v>0</v>
      </c>
      <c r="H37" s="5">
        <f>(VLOOKUP('102 5.1.00'!O37,'102 5.1.00'!$AL$4:$AN$55,3,FALSE))</f>
        <v>0</v>
      </c>
      <c r="I37" s="4">
        <f>(VLOOKUP('102 5.1.00'!P37,'102 5.1.00'!$AL$4:$AN$55,3,FALSE))</f>
        <v>0</v>
      </c>
      <c r="J37" s="4">
        <f>(VLOOKUP('102 5.1.00'!Q37,'102 5.1.00'!$AL$4:$AN$55,3,FALSE))</f>
        <v>0</v>
      </c>
      <c r="K37" s="4">
        <f>(VLOOKUP('102 5.1.00'!R37,'102 5.1.00'!$AL$4:$AN$55,3,FALSE))</f>
        <v>0</v>
      </c>
      <c r="L37" s="4">
        <f>(VLOOKUP('102 5.1.00'!S37,'102 5.1.00'!$AL$4:$AN$55,3,FALSE))</f>
        <v>0</v>
      </c>
      <c r="M37" s="4">
        <f>(VLOOKUP('102 5.1.00'!T37,'102 5.1.00'!$AL$4:$AN$55,3,FALSE))</f>
        <v>0</v>
      </c>
      <c r="N37" s="4">
        <f>(VLOOKUP('102 5.1.00'!U37,'102 5.1.00'!$AL$4:$AN$55,3,FALSE))</f>
        <v>0</v>
      </c>
      <c r="O37" s="5">
        <f>(VLOOKUP('102 5.1.00'!V37,'102 5.1.00'!$AL$4:$AN$55,3,FALSE))</f>
        <v>0</v>
      </c>
      <c r="P37" s="5">
        <f>(VLOOKUP('102 5.1.00'!W37,'102 5.1.00'!$AL$4:$AN$55,3,FALSE))</f>
        <v>0</v>
      </c>
      <c r="Q37" s="4">
        <f>(VLOOKUP('102 5.1.00'!X37,'102 5.1.00'!$AL$4:$AN$55,3,FALSE))</f>
        <v>0</v>
      </c>
      <c r="R37" s="4">
        <f>(VLOOKUP('102 5.1.00'!Y37,'102 5.1.00'!$AL$4:$AN$55,3,FALSE))</f>
        <v>0</v>
      </c>
      <c r="S37" s="4">
        <f>(VLOOKUP('102 5.1.00'!Z37,'102 5.1.00'!$AL$4:$AN$55,3,FALSE))</f>
        <v>0</v>
      </c>
      <c r="T37" s="4">
        <f>(VLOOKUP('102 5.1.00'!AA37,'102 5.1.00'!$AL$4:$AN$55,3,FALSE))</f>
        <v>0</v>
      </c>
      <c r="U37" s="4">
        <f>(VLOOKUP('102 5.1.00'!AB37,'102 5.1.00'!$AL$4:$AN$55,3,FALSE))</f>
        <v>0</v>
      </c>
      <c r="V37" s="4">
        <f>(VLOOKUP('102 5.1.00'!AC37,'102 5.1.00'!$AL$4:$AN$55,3,FALSE))</f>
        <v>0</v>
      </c>
      <c r="W37" s="5">
        <f>(VLOOKUP('102 5.1.00'!AD37,'102 5.1.00'!$AL$4:$AN$55,3,FALSE))</f>
        <v>0</v>
      </c>
      <c r="X37" s="5">
        <f>(VLOOKUP('102 5.1.00'!AE37,'102 5.1.00'!$AL$4:$AN$55,3,FALSE))</f>
        <v>0</v>
      </c>
    </row>
    <row r="38" spans="1:24">
      <c r="A38" s="4">
        <f>(VLOOKUP('102 5.1.00'!H38,'102 5.1.00'!$AL$4:$AN$55,3,FALSE))</f>
        <v>0</v>
      </c>
      <c r="B38" s="4">
        <f>(VLOOKUP('102 5.1.00'!I38,'102 5.1.00'!$AL$4:$AN$55,3,FALSE))</f>
        <v>0</v>
      </c>
      <c r="C38" s="4">
        <f>(VLOOKUP('102 5.1.00'!J38,'102 5.1.00'!$AL$4:$AN$55,3,FALSE))</f>
        <v>0</v>
      </c>
      <c r="D38" s="4">
        <f>(VLOOKUP('102 5.1.00'!K38,'102 5.1.00'!$AL$4:$AN$55,3,FALSE))</f>
        <v>0</v>
      </c>
      <c r="E38" s="4">
        <f>(VLOOKUP('102 5.1.00'!L38,'102 5.1.00'!$AL$4:$AN$55,3,FALSE))</f>
        <v>0</v>
      </c>
      <c r="F38" s="4">
        <f>(VLOOKUP('102 5.1.00'!M38,'102 5.1.00'!$AL$4:$AN$55,3,FALSE))</f>
        <v>0</v>
      </c>
      <c r="G38" s="5">
        <f>(VLOOKUP('102 5.1.00'!N38,'102 5.1.00'!$AL$4:$AN$55,3,FALSE))</f>
        <v>0</v>
      </c>
      <c r="H38" s="5">
        <f>(VLOOKUP('102 5.1.00'!O38,'102 5.1.00'!$AL$4:$AN$55,3,FALSE))</f>
        <v>0</v>
      </c>
      <c r="I38" s="4">
        <f>(VLOOKUP('102 5.1.00'!P38,'102 5.1.00'!$AL$4:$AN$55,3,FALSE))</f>
        <v>0</v>
      </c>
      <c r="J38" s="4">
        <f>(VLOOKUP('102 5.1.00'!Q38,'102 5.1.00'!$AL$4:$AN$55,3,FALSE))</f>
        <v>0</v>
      </c>
      <c r="K38" s="4">
        <f>(VLOOKUP('102 5.1.00'!R38,'102 5.1.00'!$AL$4:$AN$55,3,FALSE))</f>
        <v>0</v>
      </c>
      <c r="L38" s="4">
        <f>(VLOOKUP('102 5.1.00'!S38,'102 5.1.00'!$AL$4:$AN$55,3,FALSE))</f>
        <v>0</v>
      </c>
      <c r="M38" s="4">
        <f>(VLOOKUP('102 5.1.00'!T38,'102 5.1.00'!$AL$4:$AN$55,3,FALSE))</f>
        <v>0</v>
      </c>
      <c r="N38" s="4">
        <f>(VLOOKUP('102 5.1.00'!U38,'102 5.1.00'!$AL$4:$AN$55,3,FALSE))</f>
        <v>0</v>
      </c>
      <c r="O38" s="5">
        <f>(VLOOKUP('102 5.1.00'!V38,'102 5.1.00'!$AL$4:$AN$55,3,FALSE))</f>
        <v>0</v>
      </c>
      <c r="P38" s="5">
        <f>(VLOOKUP('102 5.1.00'!W38,'102 5.1.00'!$AL$4:$AN$55,3,FALSE))</f>
        <v>0</v>
      </c>
      <c r="Q38" s="4">
        <f>(VLOOKUP('102 5.1.00'!X38,'102 5.1.00'!$AL$4:$AN$55,3,FALSE))</f>
        <v>0</v>
      </c>
      <c r="R38" s="4">
        <f>(VLOOKUP('102 5.1.00'!Y38,'102 5.1.00'!$AL$4:$AN$55,3,FALSE))</f>
        <v>0</v>
      </c>
      <c r="S38" s="4">
        <f>(VLOOKUP('102 5.1.00'!Z38,'102 5.1.00'!$AL$4:$AN$55,3,FALSE))</f>
        <v>0</v>
      </c>
      <c r="T38" s="4">
        <f>(VLOOKUP('102 5.1.00'!AA38,'102 5.1.00'!$AL$4:$AN$55,3,FALSE))</f>
        <v>0</v>
      </c>
      <c r="U38" s="4">
        <f>(VLOOKUP('102 5.1.00'!AB38,'102 5.1.00'!$AL$4:$AN$55,3,FALSE))</f>
        <v>0</v>
      </c>
      <c r="V38" s="4">
        <f>(VLOOKUP('102 5.1.00'!AC38,'102 5.1.00'!$AL$4:$AN$55,3,FALSE))</f>
        <v>0</v>
      </c>
      <c r="W38" s="5">
        <f>(VLOOKUP('102 5.1.00'!AD38,'102 5.1.00'!$AL$4:$AN$55,3,FALSE))</f>
        <v>0</v>
      </c>
      <c r="X38" s="5">
        <f>(VLOOKUP('102 5.1.00'!AE38,'102 5.1.00'!$AL$4:$AN$55,3,FALSE))</f>
        <v>0</v>
      </c>
    </row>
    <row r="39" spans="1:24">
      <c r="A39" s="4">
        <f>(VLOOKUP('102 5.1.00'!H39,'102 5.1.00'!$AL$4:$AN$55,3,FALSE))</f>
        <v>0</v>
      </c>
      <c r="B39" s="4">
        <f>(VLOOKUP('102 5.1.00'!I39,'102 5.1.00'!$AL$4:$AN$55,3,FALSE))</f>
        <v>0</v>
      </c>
      <c r="C39" s="4">
        <f>(VLOOKUP('102 5.1.00'!J39,'102 5.1.00'!$AL$4:$AN$55,3,FALSE))</f>
        <v>0</v>
      </c>
      <c r="D39" s="4">
        <f>(VLOOKUP('102 5.1.00'!K39,'102 5.1.00'!$AL$4:$AN$55,3,FALSE))</f>
        <v>0</v>
      </c>
      <c r="E39" s="4">
        <f>(VLOOKUP('102 5.1.00'!L39,'102 5.1.00'!$AL$4:$AN$55,3,FALSE))</f>
        <v>0</v>
      </c>
      <c r="F39" s="4">
        <f>(VLOOKUP('102 5.1.00'!M39,'102 5.1.00'!$AL$4:$AN$55,3,FALSE))</f>
        <v>0</v>
      </c>
      <c r="G39" s="5">
        <f>(VLOOKUP('102 5.1.00'!N39,'102 5.1.00'!$AL$4:$AN$55,3,FALSE))</f>
        <v>0</v>
      </c>
      <c r="H39" s="5">
        <f>(VLOOKUP('102 5.1.00'!O39,'102 5.1.00'!$AL$4:$AN$55,3,FALSE))</f>
        <v>0</v>
      </c>
      <c r="I39" s="4">
        <f>(VLOOKUP('102 5.1.00'!P39,'102 5.1.00'!$AL$4:$AN$55,3,FALSE))</f>
        <v>0</v>
      </c>
      <c r="J39" s="4">
        <f>(VLOOKUP('102 5.1.00'!Q39,'102 5.1.00'!$AL$4:$AN$55,3,FALSE))</f>
        <v>0</v>
      </c>
      <c r="K39" s="4">
        <f>(VLOOKUP('102 5.1.00'!R39,'102 5.1.00'!$AL$4:$AN$55,3,FALSE))</f>
        <v>0</v>
      </c>
      <c r="L39" s="4">
        <f>(VLOOKUP('102 5.1.00'!S39,'102 5.1.00'!$AL$4:$AN$55,3,FALSE))</f>
        <v>0</v>
      </c>
      <c r="M39" s="4">
        <f>(VLOOKUP('102 5.1.00'!T39,'102 5.1.00'!$AL$4:$AN$55,3,FALSE))</f>
        <v>0</v>
      </c>
      <c r="N39" s="4">
        <f>(VLOOKUP('102 5.1.00'!U39,'102 5.1.00'!$AL$4:$AN$55,3,FALSE))</f>
        <v>0</v>
      </c>
      <c r="O39" s="5">
        <f>(VLOOKUP('102 5.1.00'!V39,'102 5.1.00'!$AL$4:$AN$55,3,FALSE))</f>
        <v>0</v>
      </c>
      <c r="P39" s="5">
        <f>(VLOOKUP('102 5.1.00'!W39,'102 5.1.00'!$AL$4:$AN$55,3,FALSE))</f>
        <v>0</v>
      </c>
      <c r="Q39" s="4">
        <f>(VLOOKUP('102 5.1.00'!X39,'102 5.1.00'!$AL$4:$AN$55,3,FALSE))</f>
        <v>0</v>
      </c>
      <c r="R39" s="4">
        <f>(VLOOKUP('102 5.1.00'!Y39,'102 5.1.00'!$AL$4:$AN$55,3,FALSE))</f>
        <v>0</v>
      </c>
      <c r="S39" s="4">
        <f>(VLOOKUP('102 5.1.00'!Z39,'102 5.1.00'!$AL$4:$AN$55,3,FALSE))</f>
        <v>0</v>
      </c>
      <c r="T39" s="4">
        <f>(VLOOKUP('102 5.1.00'!AA39,'102 5.1.00'!$AL$4:$AN$55,3,FALSE))</f>
        <v>0</v>
      </c>
      <c r="U39" s="4">
        <f>(VLOOKUP('102 5.1.00'!AB39,'102 5.1.00'!$AL$4:$AN$55,3,FALSE))</f>
        <v>0</v>
      </c>
      <c r="V39" s="4">
        <f>(VLOOKUP('102 5.1.00'!AC39,'102 5.1.00'!$AL$4:$AN$55,3,FALSE))</f>
        <v>0</v>
      </c>
      <c r="W39" s="5">
        <f>(VLOOKUP('102 5.1.00'!AD39,'102 5.1.00'!$AL$4:$AN$55,3,FALSE))</f>
        <v>0</v>
      </c>
      <c r="X39" s="5">
        <f>(VLOOKUP('102 5.1.00'!AE39,'102 5.1.00'!$AL$4:$AN$55,3,FALSE))</f>
        <v>0</v>
      </c>
    </row>
    <row r="40" spans="1:24">
      <c r="A40" s="4">
        <f>(VLOOKUP('102 5.1.00'!H40,'102 5.1.00'!$AL$4:$AN$55,3,FALSE))</f>
        <v>0</v>
      </c>
      <c r="B40" s="4">
        <f>(VLOOKUP('102 5.1.00'!I40,'102 5.1.00'!$AL$4:$AN$55,3,FALSE))</f>
        <v>0</v>
      </c>
      <c r="C40" s="4">
        <f>(VLOOKUP('102 5.1.00'!J40,'102 5.1.00'!$AL$4:$AN$55,3,FALSE))</f>
        <v>0</v>
      </c>
      <c r="D40" s="4">
        <f>(VLOOKUP('102 5.1.00'!K40,'102 5.1.00'!$AL$4:$AN$55,3,FALSE))</f>
        <v>0</v>
      </c>
      <c r="E40" s="4">
        <f>(VLOOKUP('102 5.1.00'!L40,'102 5.1.00'!$AL$4:$AN$55,3,FALSE))</f>
        <v>0</v>
      </c>
      <c r="F40" s="4">
        <f>(VLOOKUP('102 5.1.00'!M40,'102 5.1.00'!$AL$4:$AN$55,3,FALSE))</f>
        <v>0</v>
      </c>
      <c r="G40" s="5">
        <f>(VLOOKUP('102 5.1.00'!N40,'102 5.1.00'!$AL$4:$AN$55,3,FALSE))</f>
        <v>0</v>
      </c>
      <c r="H40" s="5">
        <f>(VLOOKUP('102 5.1.00'!O40,'102 5.1.00'!$AL$4:$AN$55,3,FALSE))</f>
        <v>0</v>
      </c>
      <c r="I40" s="4">
        <f>(VLOOKUP('102 5.1.00'!P40,'102 5.1.00'!$AL$4:$AN$55,3,FALSE))</f>
        <v>0</v>
      </c>
      <c r="J40" s="4">
        <f>(VLOOKUP('102 5.1.00'!Q40,'102 5.1.00'!$AL$4:$AN$55,3,FALSE))</f>
        <v>0</v>
      </c>
      <c r="K40" s="4">
        <f>(VLOOKUP('102 5.1.00'!R40,'102 5.1.00'!$AL$4:$AN$55,3,FALSE))</f>
        <v>0</v>
      </c>
      <c r="L40" s="4">
        <f>(VLOOKUP('102 5.1.00'!S40,'102 5.1.00'!$AL$4:$AN$55,3,FALSE))</f>
        <v>0</v>
      </c>
      <c r="M40" s="4">
        <f>(VLOOKUP('102 5.1.00'!T40,'102 5.1.00'!$AL$4:$AN$55,3,FALSE))</f>
        <v>0</v>
      </c>
      <c r="N40" s="4">
        <f>(VLOOKUP('102 5.1.00'!U40,'102 5.1.00'!$AL$4:$AN$55,3,FALSE))</f>
        <v>0</v>
      </c>
      <c r="O40" s="5">
        <f>(VLOOKUP('102 5.1.00'!V40,'102 5.1.00'!$AL$4:$AN$55,3,FALSE))</f>
        <v>0</v>
      </c>
      <c r="P40" s="5">
        <f>(VLOOKUP('102 5.1.00'!W40,'102 5.1.00'!$AL$4:$AN$55,3,FALSE))</f>
        <v>0</v>
      </c>
      <c r="Q40" s="4">
        <f>(VLOOKUP('102 5.1.00'!X40,'102 5.1.00'!$AL$4:$AN$55,3,FALSE))</f>
        <v>0</v>
      </c>
      <c r="R40" s="4">
        <f>(VLOOKUP('102 5.1.00'!Y40,'102 5.1.00'!$AL$4:$AN$55,3,FALSE))</f>
        <v>0</v>
      </c>
      <c r="S40" s="4">
        <f>(VLOOKUP('102 5.1.00'!Z40,'102 5.1.00'!$AL$4:$AN$55,3,FALSE))</f>
        <v>0</v>
      </c>
      <c r="T40" s="4">
        <f>(VLOOKUP('102 5.1.00'!AA40,'102 5.1.00'!$AL$4:$AN$55,3,FALSE))</f>
        <v>0</v>
      </c>
      <c r="U40" s="4">
        <f>(VLOOKUP('102 5.1.00'!AB40,'102 5.1.00'!$AL$4:$AN$55,3,FALSE))</f>
        <v>0</v>
      </c>
      <c r="V40" s="4">
        <f>(VLOOKUP('102 5.1.00'!AC40,'102 5.1.00'!$AL$4:$AN$55,3,FALSE))</f>
        <v>0</v>
      </c>
      <c r="W40" s="5">
        <f>(VLOOKUP('102 5.1.00'!AD40,'102 5.1.00'!$AL$4:$AN$55,3,FALSE))</f>
        <v>0</v>
      </c>
      <c r="X40" s="5">
        <f>(VLOOKUP('102 5.1.00'!AE40,'102 5.1.00'!$AL$4:$AN$55,3,FALSE))</f>
        <v>0</v>
      </c>
    </row>
    <row r="41" spans="1:24">
      <c r="A41" s="4">
        <f>(VLOOKUP('102 5.1.00'!H41,'102 5.1.00'!$AL$4:$AN$55,3,FALSE))</f>
        <v>0</v>
      </c>
      <c r="B41" s="4">
        <f>(VLOOKUP('102 5.1.00'!I41,'102 5.1.00'!$AL$4:$AN$55,3,FALSE))</f>
        <v>0</v>
      </c>
      <c r="C41" s="4">
        <f>(VLOOKUP('102 5.1.00'!J41,'102 5.1.00'!$AL$4:$AN$55,3,FALSE))</f>
        <v>0</v>
      </c>
      <c r="D41" s="4">
        <f>(VLOOKUP('102 5.1.00'!K41,'102 5.1.00'!$AL$4:$AN$55,3,FALSE))</f>
        <v>0</v>
      </c>
      <c r="E41" s="4">
        <f>(VLOOKUP('102 5.1.00'!L41,'102 5.1.00'!$AL$4:$AN$55,3,FALSE))</f>
        <v>0</v>
      </c>
      <c r="F41" s="4">
        <f>(VLOOKUP('102 5.1.00'!M41,'102 5.1.00'!$AL$4:$AN$55,3,FALSE))</f>
        <v>0</v>
      </c>
      <c r="G41" s="5">
        <f>(VLOOKUP('102 5.1.00'!N41,'102 5.1.00'!$AL$4:$AN$55,3,FALSE))</f>
        <v>0</v>
      </c>
      <c r="H41" s="5">
        <f>(VLOOKUP('102 5.1.00'!O41,'102 5.1.00'!$AL$4:$AN$55,3,FALSE))</f>
        <v>0</v>
      </c>
      <c r="I41" s="4">
        <f>(VLOOKUP('102 5.1.00'!P41,'102 5.1.00'!$AL$4:$AN$55,3,FALSE))</f>
        <v>0</v>
      </c>
      <c r="J41" s="4">
        <f>(VLOOKUP('102 5.1.00'!Q41,'102 5.1.00'!$AL$4:$AN$55,3,FALSE))</f>
        <v>0</v>
      </c>
      <c r="K41" s="4">
        <f>(VLOOKUP('102 5.1.00'!R41,'102 5.1.00'!$AL$4:$AN$55,3,FALSE))</f>
        <v>0</v>
      </c>
      <c r="L41" s="4">
        <f>(VLOOKUP('102 5.1.00'!S41,'102 5.1.00'!$AL$4:$AN$55,3,FALSE))</f>
        <v>0</v>
      </c>
      <c r="M41" s="4">
        <f>(VLOOKUP('102 5.1.00'!T41,'102 5.1.00'!$AL$4:$AN$55,3,FALSE))</f>
        <v>0</v>
      </c>
      <c r="N41" s="4">
        <f>(VLOOKUP('102 5.1.00'!U41,'102 5.1.00'!$AL$4:$AN$55,3,FALSE))</f>
        <v>0</v>
      </c>
      <c r="O41" s="5">
        <f>(VLOOKUP('102 5.1.00'!V41,'102 5.1.00'!$AL$4:$AN$55,3,FALSE))</f>
        <v>0</v>
      </c>
      <c r="P41" s="5">
        <f>(VLOOKUP('102 5.1.00'!W41,'102 5.1.00'!$AL$4:$AN$55,3,FALSE))</f>
        <v>0</v>
      </c>
      <c r="Q41" s="4">
        <f>(VLOOKUP('102 5.1.00'!X41,'102 5.1.00'!$AL$4:$AN$55,3,FALSE))</f>
        <v>0</v>
      </c>
      <c r="R41" s="4">
        <f>(VLOOKUP('102 5.1.00'!Y41,'102 5.1.00'!$AL$4:$AN$55,3,FALSE))</f>
        <v>0</v>
      </c>
      <c r="S41" s="4">
        <f>(VLOOKUP('102 5.1.00'!Z41,'102 5.1.00'!$AL$4:$AN$55,3,FALSE))</f>
        <v>0</v>
      </c>
      <c r="T41" s="4">
        <f>(VLOOKUP('102 5.1.00'!AA41,'102 5.1.00'!$AL$4:$AN$55,3,FALSE))</f>
        <v>0</v>
      </c>
      <c r="U41" s="4">
        <f>(VLOOKUP('102 5.1.00'!AB41,'102 5.1.00'!$AL$4:$AN$55,3,FALSE))</f>
        <v>0</v>
      </c>
      <c r="V41" s="4">
        <f>(VLOOKUP('102 5.1.00'!AC41,'102 5.1.00'!$AL$4:$AN$55,3,FALSE))</f>
        <v>0</v>
      </c>
      <c r="W41" s="5">
        <f>(VLOOKUP('102 5.1.00'!AD41,'102 5.1.00'!$AL$4:$AN$55,3,FALSE))</f>
        <v>0</v>
      </c>
      <c r="X41" s="5">
        <f>(VLOOKUP('102 5.1.00'!AE41,'102 5.1.00'!$AL$4:$AN$55,3,FALSE))</f>
        <v>0</v>
      </c>
    </row>
    <row r="42" spans="1:24">
      <c r="A42" s="4">
        <f>(VLOOKUP('102 5.1.00'!H42,'102 5.1.00'!$AL$4:$AN$55,3,FALSE))</f>
        <v>0</v>
      </c>
      <c r="B42" s="4">
        <f>(VLOOKUP('102 5.1.00'!I42,'102 5.1.00'!$AL$4:$AN$55,3,FALSE))</f>
        <v>0</v>
      </c>
      <c r="C42" s="4">
        <f>(VLOOKUP('102 5.1.00'!J42,'102 5.1.00'!$AL$4:$AN$55,3,FALSE))</f>
        <v>0</v>
      </c>
      <c r="D42" s="4">
        <f>(VLOOKUP('102 5.1.00'!K42,'102 5.1.00'!$AL$4:$AN$55,3,FALSE))</f>
        <v>0</v>
      </c>
      <c r="E42" s="4">
        <f>(VLOOKUP('102 5.1.00'!L42,'102 5.1.00'!$AL$4:$AN$55,3,FALSE))</f>
        <v>0</v>
      </c>
      <c r="F42" s="4">
        <f>(VLOOKUP('102 5.1.00'!M42,'102 5.1.00'!$AL$4:$AN$55,3,FALSE))</f>
        <v>0</v>
      </c>
      <c r="G42" s="5">
        <f>(VLOOKUP('102 5.1.00'!N42,'102 5.1.00'!$AL$4:$AN$55,3,FALSE))</f>
        <v>0</v>
      </c>
      <c r="H42" s="5">
        <f>(VLOOKUP('102 5.1.00'!O42,'102 5.1.00'!$AL$4:$AN$55,3,FALSE))</f>
        <v>0</v>
      </c>
      <c r="I42" s="4">
        <f>(VLOOKUP('102 5.1.00'!P42,'102 5.1.00'!$AL$4:$AN$55,3,FALSE))</f>
        <v>0</v>
      </c>
      <c r="J42" s="4">
        <f>(VLOOKUP('102 5.1.00'!Q42,'102 5.1.00'!$AL$4:$AN$55,3,FALSE))</f>
        <v>0</v>
      </c>
      <c r="K42" s="4">
        <f>(VLOOKUP('102 5.1.00'!R42,'102 5.1.00'!$AL$4:$AN$55,3,FALSE))</f>
        <v>0</v>
      </c>
      <c r="L42" s="4">
        <f>(VLOOKUP('102 5.1.00'!S42,'102 5.1.00'!$AL$4:$AN$55,3,FALSE))</f>
        <v>0</v>
      </c>
      <c r="M42" s="4">
        <f>(VLOOKUP('102 5.1.00'!T42,'102 5.1.00'!$AL$4:$AN$55,3,FALSE))</f>
        <v>0</v>
      </c>
      <c r="N42" s="4">
        <f>(VLOOKUP('102 5.1.00'!U42,'102 5.1.00'!$AL$4:$AN$55,3,FALSE))</f>
        <v>0</v>
      </c>
      <c r="O42" s="5">
        <f>(VLOOKUP('102 5.1.00'!V42,'102 5.1.00'!$AL$4:$AN$55,3,FALSE))</f>
        <v>0</v>
      </c>
      <c r="P42" s="5">
        <f>(VLOOKUP('102 5.1.00'!W42,'102 5.1.00'!$AL$4:$AN$55,3,FALSE))</f>
        <v>0</v>
      </c>
      <c r="Q42" s="4">
        <f>(VLOOKUP('102 5.1.00'!X42,'102 5.1.00'!$AL$4:$AN$55,3,FALSE))</f>
        <v>0</v>
      </c>
      <c r="R42" s="4">
        <f>(VLOOKUP('102 5.1.00'!Y42,'102 5.1.00'!$AL$4:$AN$55,3,FALSE))</f>
        <v>0</v>
      </c>
      <c r="S42" s="4">
        <f>(VLOOKUP('102 5.1.00'!Z42,'102 5.1.00'!$AL$4:$AN$55,3,FALSE))</f>
        <v>0</v>
      </c>
      <c r="T42" s="4">
        <f>(VLOOKUP('102 5.1.00'!AA42,'102 5.1.00'!$AL$4:$AN$55,3,FALSE))</f>
        <v>0</v>
      </c>
      <c r="U42" s="4">
        <f>(VLOOKUP('102 5.1.00'!AB42,'102 5.1.00'!$AL$4:$AN$55,3,FALSE))</f>
        <v>0</v>
      </c>
      <c r="V42" s="4">
        <f>(VLOOKUP('102 5.1.00'!AC42,'102 5.1.00'!$AL$4:$AN$55,3,FALSE))</f>
        <v>0</v>
      </c>
      <c r="W42" s="5">
        <f>(VLOOKUP('102 5.1.00'!AD42,'102 5.1.00'!$AL$4:$AN$55,3,FALSE))</f>
        <v>0</v>
      </c>
      <c r="X42" s="5">
        <f>(VLOOKUP('102 5.1.00'!AE42,'102 5.1.00'!$AL$4:$AN$55,3,FALSE))</f>
        <v>0</v>
      </c>
    </row>
    <row r="43" spans="1:24">
      <c r="A43" s="4">
        <f>(VLOOKUP('102 5.1.00'!H43,'102 5.1.00'!$AL$4:$AN$55,3,FALSE))</f>
        <v>0</v>
      </c>
      <c r="B43" s="4">
        <f>(VLOOKUP('102 5.1.00'!I43,'102 5.1.00'!$AL$4:$AN$55,3,FALSE))</f>
        <v>0</v>
      </c>
      <c r="C43" s="4">
        <f>(VLOOKUP('102 5.1.00'!J43,'102 5.1.00'!$AL$4:$AN$55,3,FALSE))</f>
        <v>0</v>
      </c>
      <c r="D43" s="4">
        <f>(VLOOKUP('102 5.1.00'!K43,'102 5.1.00'!$AL$4:$AN$55,3,FALSE))</f>
        <v>0</v>
      </c>
      <c r="E43" s="4">
        <f>(VLOOKUP('102 5.1.00'!L43,'102 5.1.00'!$AL$4:$AN$55,3,FALSE))</f>
        <v>0</v>
      </c>
      <c r="F43" s="4">
        <f>(VLOOKUP('102 5.1.00'!M43,'102 5.1.00'!$AL$4:$AN$55,3,FALSE))</f>
        <v>0</v>
      </c>
      <c r="G43" s="5">
        <f>(VLOOKUP('102 5.1.00'!N43,'102 5.1.00'!$AL$4:$AN$55,3,FALSE))</f>
        <v>0</v>
      </c>
      <c r="H43" s="5">
        <f>(VLOOKUP('102 5.1.00'!O43,'102 5.1.00'!$AL$4:$AN$55,3,FALSE))</f>
        <v>0</v>
      </c>
      <c r="I43" s="4">
        <f>(VLOOKUP('102 5.1.00'!P43,'102 5.1.00'!$AL$4:$AN$55,3,FALSE))</f>
        <v>0</v>
      </c>
      <c r="J43" s="4">
        <f>(VLOOKUP('102 5.1.00'!Q43,'102 5.1.00'!$AL$4:$AN$55,3,FALSE))</f>
        <v>0</v>
      </c>
      <c r="K43" s="4">
        <f>(VLOOKUP('102 5.1.00'!R43,'102 5.1.00'!$AL$4:$AN$55,3,FALSE))</f>
        <v>0</v>
      </c>
      <c r="L43" s="4">
        <f>(VLOOKUP('102 5.1.00'!S43,'102 5.1.00'!$AL$4:$AN$55,3,FALSE))</f>
        <v>0</v>
      </c>
      <c r="M43" s="4">
        <f>(VLOOKUP('102 5.1.00'!T43,'102 5.1.00'!$AL$4:$AN$55,3,FALSE))</f>
        <v>0</v>
      </c>
      <c r="N43" s="4">
        <f>(VLOOKUP('102 5.1.00'!U43,'102 5.1.00'!$AL$4:$AN$55,3,FALSE))</f>
        <v>0</v>
      </c>
      <c r="O43" s="5">
        <f>(VLOOKUP('102 5.1.00'!V43,'102 5.1.00'!$AL$4:$AN$55,3,FALSE))</f>
        <v>0</v>
      </c>
      <c r="P43" s="5">
        <f>(VLOOKUP('102 5.1.00'!W43,'102 5.1.00'!$AL$4:$AN$55,3,FALSE))</f>
        <v>0</v>
      </c>
      <c r="Q43" s="4">
        <f>(VLOOKUP('102 5.1.00'!X43,'102 5.1.00'!$AL$4:$AN$55,3,FALSE))</f>
        <v>0</v>
      </c>
      <c r="R43" s="4">
        <f>(VLOOKUP('102 5.1.00'!Y43,'102 5.1.00'!$AL$4:$AN$55,3,FALSE))</f>
        <v>0</v>
      </c>
      <c r="S43" s="4">
        <f>(VLOOKUP('102 5.1.00'!Z43,'102 5.1.00'!$AL$4:$AN$55,3,FALSE))</f>
        <v>0</v>
      </c>
      <c r="T43" s="4">
        <f>(VLOOKUP('102 5.1.00'!AA43,'102 5.1.00'!$AL$4:$AN$55,3,FALSE))</f>
        <v>0</v>
      </c>
      <c r="U43" s="4">
        <f>(VLOOKUP('102 5.1.00'!AB43,'102 5.1.00'!$AL$4:$AN$55,3,FALSE))</f>
        <v>0</v>
      </c>
      <c r="V43" s="4">
        <f>(VLOOKUP('102 5.1.00'!AC43,'102 5.1.00'!$AL$4:$AN$55,3,FALSE))</f>
        <v>0</v>
      </c>
      <c r="W43" s="5">
        <f>(VLOOKUP('102 5.1.00'!AD43,'102 5.1.00'!$AL$4:$AN$55,3,FALSE))</f>
        <v>0</v>
      </c>
      <c r="X43" s="5">
        <f>(VLOOKUP('102 5.1.00'!AE43,'102 5.1.00'!$AL$4:$AN$55,3,FALSE))</f>
        <v>0</v>
      </c>
    </row>
    <row r="44" spans="1:24">
      <c r="A44" s="4">
        <f>(VLOOKUP('102 5.1.00'!H44,'102 5.1.00'!$AL$4:$AN$55,3,FALSE))</f>
        <v>0</v>
      </c>
      <c r="B44" s="4">
        <f>(VLOOKUP('102 5.1.00'!I44,'102 5.1.00'!$AL$4:$AN$55,3,FALSE))</f>
        <v>0</v>
      </c>
      <c r="C44" s="4">
        <f>(VLOOKUP('102 5.1.00'!J44,'102 5.1.00'!$AL$4:$AN$55,3,FALSE))</f>
        <v>0</v>
      </c>
      <c r="D44" s="4">
        <f>(VLOOKUP('102 5.1.00'!K44,'102 5.1.00'!$AL$4:$AN$55,3,FALSE))</f>
        <v>0</v>
      </c>
      <c r="E44" s="4">
        <f>(VLOOKUP('102 5.1.00'!L44,'102 5.1.00'!$AL$4:$AN$55,3,FALSE))</f>
        <v>0</v>
      </c>
      <c r="F44" s="4">
        <f>(VLOOKUP('102 5.1.00'!M44,'102 5.1.00'!$AL$4:$AN$55,3,FALSE))</f>
        <v>0</v>
      </c>
      <c r="G44" s="5">
        <f>(VLOOKUP('102 5.1.00'!N44,'102 5.1.00'!$AL$4:$AN$55,3,FALSE))</f>
        <v>0</v>
      </c>
      <c r="H44" s="5">
        <f>(VLOOKUP('102 5.1.00'!O44,'102 5.1.00'!$AL$4:$AN$55,3,FALSE))</f>
        <v>0</v>
      </c>
      <c r="I44" s="4">
        <f>(VLOOKUP('102 5.1.00'!P44,'102 5.1.00'!$AL$4:$AN$55,3,FALSE))</f>
        <v>0</v>
      </c>
      <c r="J44" s="4">
        <f>(VLOOKUP('102 5.1.00'!Q44,'102 5.1.00'!$AL$4:$AN$55,3,FALSE))</f>
        <v>0</v>
      </c>
      <c r="K44" s="4">
        <f>(VLOOKUP('102 5.1.00'!R44,'102 5.1.00'!$AL$4:$AN$55,3,FALSE))</f>
        <v>0</v>
      </c>
      <c r="L44" s="4">
        <f>(VLOOKUP('102 5.1.00'!S44,'102 5.1.00'!$AL$4:$AN$55,3,FALSE))</f>
        <v>0</v>
      </c>
      <c r="M44" s="4">
        <f>(VLOOKUP('102 5.1.00'!T44,'102 5.1.00'!$AL$4:$AN$55,3,FALSE))</f>
        <v>0</v>
      </c>
      <c r="N44" s="4">
        <f>(VLOOKUP('102 5.1.00'!U44,'102 5.1.00'!$AL$4:$AN$55,3,FALSE))</f>
        <v>0</v>
      </c>
      <c r="O44" s="5">
        <f>(VLOOKUP('102 5.1.00'!V44,'102 5.1.00'!$AL$4:$AN$55,3,FALSE))</f>
        <v>0</v>
      </c>
      <c r="P44" s="5">
        <f>(VLOOKUP('102 5.1.00'!W44,'102 5.1.00'!$AL$4:$AN$55,3,FALSE))</f>
        <v>0</v>
      </c>
      <c r="Q44" s="4">
        <f>(VLOOKUP('102 5.1.00'!X44,'102 5.1.00'!$AL$4:$AN$55,3,FALSE))</f>
        <v>0</v>
      </c>
      <c r="R44" s="4">
        <f>(VLOOKUP('102 5.1.00'!Y44,'102 5.1.00'!$AL$4:$AN$55,3,FALSE))</f>
        <v>0</v>
      </c>
      <c r="S44" s="4">
        <f>(VLOOKUP('102 5.1.00'!Z44,'102 5.1.00'!$AL$4:$AN$55,3,FALSE))</f>
        <v>0</v>
      </c>
      <c r="T44" s="4">
        <f>(VLOOKUP('102 5.1.00'!AA44,'102 5.1.00'!$AL$4:$AN$55,3,FALSE))</f>
        <v>0</v>
      </c>
      <c r="U44" s="4">
        <f>(VLOOKUP('102 5.1.00'!AB44,'102 5.1.00'!$AL$4:$AN$55,3,FALSE))</f>
        <v>0</v>
      </c>
      <c r="V44" s="4">
        <f>(VLOOKUP('102 5.1.00'!AC44,'102 5.1.00'!$AL$4:$AN$55,3,FALSE))</f>
        <v>0</v>
      </c>
      <c r="W44" s="5">
        <f>(VLOOKUP('102 5.1.00'!AD44,'102 5.1.00'!$AL$4:$AN$55,3,FALSE))</f>
        <v>0</v>
      </c>
      <c r="X44" s="5">
        <f>(VLOOKUP('102 5.1.00'!AE44,'102 5.1.00'!$AL$4:$AN$55,3,FALSE))</f>
        <v>0</v>
      </c>
    </row>
    <row r="45" spans="1:24">
      <c r="A45" s="4">
        <f>(VLOOKUP('102 5.1.00'!H45,'102 5.1.00'!$AL$4:$AN$55,3,FALSE))</f>
        <v>0</v>
      </c>
      <c r="B45" s="4">
        <f>(VLOOKUP('102 5.1.00'!I45,'102 5.1.00'!$AL$4:$AN$55,3,FALSE))</f>
        <v>0</v>
      </c>
      <c r="C45" s="4">
        <f>(VLOOKUP('102 5.1.00'!J45,'102 5.1.00'!$AL$4:$AN$55,3,FALSE))</f>
        <v>0</v>
      </c>
      <c r="D45" s="4">
        <f>(VLOOKUP('102 5.1.00'!K45,'102 5.1.00'!$AL$4:$AN$55,3,FALSE))</f>
        <v>0</v>
      </c>
      <c r="E45" s="4">
        <f>(VLOOKUP('102 5.1.00'!L45,'102 5.1.00'!$AL$4:$AN$55,3,FALSE))</f>
        <v>0</v>
      </c>
      <c r="F45" s="4">
        <f>(VLOOKUP('102 5.1.00'!M45,'102 5.1.00'!$AL$4:$AN$55,3,FALSE))</f>
        <v>0</v>
      </c>
      <c r="G45" s="5">
        <f>(VLOOKUP('102 5.1.00'!N45,'102 5.1.00'!$AL$4:$AN$55,3,FALSE))</f>
        <v>0</v>
      </c>
      <c r="H45" s="5">
        <f>(VLOOKUP('102 5.1.00'!O45,'102 5.1.00'!$AL$4:$AN$55,3,FALSE))</f>
        <v>0</v>
      </c>
      <c r="I45" s="4">
        <f>(VLOOKUP('102 5.1.00'!P45,'102 5.1.00'!$AL$4:$AN$55,3,FALSE))</f>
        <v>0</v>
      </c>
      <c r="J45" s="4">
        <f>(VLOOKUP('102 5.1.00'!Q45,'102 5.1.00'!$AL$4:$AN$55,3,FALSE))</f>
        <v>0</v>
      </c>
      <c r="K45" s="4">
        <f>(VLOOKUP('102 5.1.00'!R45,'102 5.1.00'!$AL$4:$AN$55,3,FALSE))</f>
        <v>0</v>
      </c>
      <c r="L45" s="4">
        <f>(VLOOKUP('102 5.1.00'!S45,'102 5.1.00'!$AL$4:$AN$55,3,FALSE))</f>
        <v>0</v>
      </c>
      <c r="M45" s="4">
        <f>(VLOOKUP('102 5.1.00'!T45,'102 5.1.00'!$AL$4:$AN$55,3,FALSE))</f>
        <v>0</v>
      </c>
      <c r="N45" s="4">
        <f>(VLOOKUP('102 5.1.00'!U45,'102 5.1.00'!$AL$4:$AN$55,3,FALSE))</f>
        <v>0</v>
      </c>
      <c r="O45" s="5">
        <f>(VLOOKUP('102 5.1.00'!V45,'102 5.1.00'!$AL$4:$AN$55,3,FALSE))</f>
        <v>0</v>
      </c>
      <c r="P45" s="5">
        <f>(VLOOKUP('102 5.1.00'!W45,'102 5.1.00'!$AL$4:$AN$55,3,FALSE))</f>
        <v>0</v>
      </c>
      <c r="Q45" s="4">
        <f>(VLOOKUP('102 5.1.00'!X45,'102 5.1.00'!$AL$4:$AN$55,3,FALSE))</f>
        <v>0</v>
      </c>
      <c r="R45" s="4">
        <f>(VLOOKUP('102 5.1.00'!Y45,'102 5.1.00'!$AL$4:$AN$55,3,FALSE))</f>
        <v>0</v>
      </c>
      <c r="S45" s="4">
        <f>(VLOOKUP('102 5.1.00'!Z45,'102 5.1.00'!$AL$4:$AN$55,3,FALSE))</f>
        <v>0</v>
      </c>
      <c r="T45" s="4">
        <f>(VLOOKUP('102 5.1.00'!AA45,'102 5.1.00'!$AL$4:$AN$55,3,FALSE))</f>
        <v>0</v>
      </c>
      <c r="U45" s="4">
        <f>(VLOOKUP('102 5.1.00'!AB45,'102 5.1.00'!$AL$4:$AN$55,3,FALSE))</f>
        <v>0</v>
      </c>
      <c r="V45" s="4">
        <f>(VLOOKUP('102 5.1.00'!AC45,'102 5.1.00'!$AL$4:$AN$55,3,FALSE))</f>
        <v>0</v>
      </c>
      <c r="W45" s="5">
        <f>(VLOOKUP('102 5.1.00'!AD45,'102 5.1.00'!$AL$4:$AN$55,3,FALSE))</f>
        <v>0</v>
      </c>
      <c r="X45" s="5">
        <f>(VLOOKUP('102 5.1.00'!AE45,'102 5.1.00'!$AL$4:$AN$55,3,FALSE))</f>
        <v>0</v>
      </c>
    </row>
    <row r="46" spans="1:24">
      <c r="A46" s="4">
        <f>(VLOOKUP('102 5.1.00'!H46,'102 5.1.00'!$AL$4:$AN$55,3,FALSE))</f>
        <v>0</v>
      </c>
      <c r="B46" s="4">
        <f>(VLOOKUP('102 5.1.00'!I46,'102 5.1.00'!$AL$4:$AN$55,3,FALSE))</f>
        <v>0</v>
      </c>
      <c r="C46" s="4">
        <f>(VLOOKUP('102 5.1.00'!J46,'102 5.1.00'!$AL$4:$AN$55,3,FALSE))</f>
        <v>0</v>
      </c>
      <c r="D46" s="4">
        <f>(VLOOKUP('102 5.1.00'!K46,'102 5.1.00'!$AL$4:$AN$55,3,FALSE))</f>
        <v>0</v>
      </c>
      <c r="E46" s="4">
        <f>(VLOOKUP('102 5.1.00'!L46,'102 5.1.00'!$AL$4:$AN$55,3,FALSE))</f>
        <v>0</v>
      </c>
      <c r="F46" s="4">
        <f>(VLOOKUP('102 5.1.00'!M46,'102 5.1.00'!$AL$4:$AN$55,3,FALSE))</f>
        <v>0</v>
      </c>
      <c r="G46" s="5">
        <f>(VLOOKUP('102 5.1.00'!N46,'102 5.1.00'!$AL$4:$AN$55,3,FALSE))</f>
        <v>0</v>
      </c>
      <c r="H46" s="5">
        <f>(VLOOKUP('102 5.1.00'!O46,'102 5.1.00'!$AL$4:$AN$55,3,FALSE))</f>
        <v>0</v>
      </c>
      <c r="I46" s="4">
        <f>(VLOOKUP('102 5.1.00'!P46,'102 5.1.00'!$AL$4:$AN$55,3,FALSE))</f>
        <v>0</v>
      </c>
      <c r="J46" s="4">
        <f>(VLOOKUP('102 5.1.00'!Q46,'102 5.1.00'!$AL$4:$AN$55,3,FALSE))</f>
        <v>0</v>
      </c>
      <c r="K46" s="4">
        <f>(VLOOKUP('102 5.1.00'!R46,'102 5.1.00'!$AL$4:$AN$55,3,FALSE))</f>
        <v>0</v>
      </c>
      <c r="L46" s="4">
        <f>(VLOOKUP('102 5.1.00'!S46,'102 5.1.00'!$AL$4:$AN$55,3,FALSE))</f>
        <v>0</v>
      </c>
      <c r="M46" s="4">
        <f>(VLOOKUP('102 5.1.00'!T46,'102 5.1.00'!$AL$4:$AN$55,3,FALSE))</f>
        <v>0</v>
      </c>
      <c r="N46" s="4">
        <f>(VLOOKUP('102 5.1.00'!U46,'102 5.1.00'!$AL$4:$AN$55,3,FALSE))</f>
        <v>0</v>
      </c>
      <c r="O46" s="5">
        <f>(VLOOKUP('102 5.1.00'!V46,'102 5.1.00'!$AL$4:$AN$55,3,FALSE))</f>
        <v>0</v>
      </c>
      <c r="P46" s="5">
        <f>(VLOOKUP('102 5.1.00'!W46,'102 5.1.00'!$AL$4:$AN$55,3,FALSE))</f>
        <v>0</v>
      </c>
      <c r="Q46" s="4">
        <f>(VLOOKUP('102 5.1.00'!X46,'102 5.1.00'!$AL$4:$AN$55,3,FALSE))</f>
        <v>0</v>
      </c>
      <c r="R46" s="4">
        <f>(VLOOKUP('102 5.1.00'!Y46,'102 5.1.00'!$AL$4:$AN$55,3,FALSE))</f>
        <v>0</v>
      </c>
      <c r="S46" s="4">
        <f>(VLOOKUP('102 5.1.00'!Z46,'102 5.1.00'!$AL$4:$AN$55,3,FALSE))</f>
        <v>0</v>
      </c>
      <c r="T46" s="4">
        <f>(VLOOKUP('102 5.1.00'!AA46,'102 5.1.00'!$AL$4:$AN$55,3,FALSE))</f>
        <v>0</v>
      </c>
      <c r="U46" s="4">
        <f>(VLOOKUP('102 5.1.00'!AB46,'102 5.1.00'!$AL$4:$AN$55,3,FALSE))</f>
        <v>0</v>
      </c>
      <c r="V46" s="4">
        <f>(VLOOKUP('102 5.1.00'!AC46,'102 5.1.00'!$AL$4:$AN$55,3,FALSE))</f>
        <v>0</v>
      </c>
      <c r="W46" s="5">
        <f>(VLOOKUP('102 5.1.00'!AD46,'102 5.1.00'!$AL$4:$AN$55,3,FALSE))</f>
        <v>0</v>
      </c>
      <c r="X46" s="5">
        <f>(VLOOKUP('102 5.1.00'!AE46,'102 5.1.00'!$AL$4:$AN$55,3,FALSE))</f>
        <v>0</v>
      </c>
    </row>
    <row r="47" spans="1:24">
      <c r="A47" s="4">
        <f>(VLOOKUP('102 5.1.00'!H47,'102 5.1.00'!$AL$4:$AN$55,3,FALSE))</f>
        <v>0</v>
      </c>
      <c r="B47" s="4">
        <f>(VLOOKUP('102 5.1.00'!I47,'102 5.1.00'!$AL$4:$AN$55,3,FALSE))</f>
        <v>0</v>
      </c>
      <c r="C47" s="4">
        <f>(VLOOKUP('102 5.1.00'!J47,'102 5.1.00'!$AL$4:$AN$55,3,FALSE))</f>
        <v>0</v>
      </c>
      <c r="D47" s="4">
        <f>(VLOOKUP('102 5.1.00'!K47,'102 5.1.00'!$AL$4:$AN$55,3,FALSE))</f>
        <v>0</v>
      </c>
      <c r="E47" s="4">
        <f>(VLOOKUP('102 5.1.00'!L47,'102 5.1.00'!$AL$4:$AN$55,3,FALSE))</f>
        <v>0</v>
      </c>
      <c r="F47" s="4">
        <f>(VLOOKUP('102 5.1.00'!M47,'102 5.1.00'!$AL$4:$AN$55,3,FALSE))</f>
        <v>0</v>
      </c>
      <c r="G47" s="5">
        <f>(VLOOKUP('102 5.1.00'!N47,'102 5.1.00'!$AL$4:$AN$55,3,FALSE))</f>
        <v>0</v>
      </c>
      <c r="H47" s="5">
        <f>(VLOOKUP('102 5.1.00'!O47,'102 5.1.00'!$AL$4:$AN$55,3,FALSE))</f>
        <v>0</v>
      </c>
      <c r="I47" s="4">
        <f>(VLOOKUP('102 5.1.00'!P47,'102 5.1.00'!$AL$4:$AN$55,3,FALSE))</f>
        <v>0</v>
      </c>
      <c r="J47" s="4">
        <f>(VLOOKUP('102 5.1.00'!Q47,'102 5.1.00'!$AL$4:$AN$55,3,FALSE))</f>
        <v>0</v>
      </c>
      <c r="K47" s="4">
        <f>(VLOOKUP('102 5.1.00'!R47,'102 5.1.00'!$AL$4:$AN$55,3,FALSE))</f>
        <v>0</v>
      </c>
      <c r="L47" s="4">
        <f>(VLOOKUP('102 5.1.00'!S47,'102 5.1.00'!$AL$4:$AN$55,3,FALSE))</f>
        <v>0</v>
      </c>
      <c r="M47" s="4">
        <f>(VLOOKUP('102 5.1.00'!T47,'102 5.1.00'!$AL$4:$AN$55,3,FALSE))</f>
        <v>0</v>
      </c>
      <c r="N47" s="4">
        <f>(VLOOKUP('102 5.1.00'!U47,'102 5.1.00'!$AL$4:$AN$55,3,FALSE))</f>
        <v>0</v>
      </c>
      <c r="O47" s="5">
        <f>(VLOOKUP('102 5.1.00'!V47,'102 5.1.00'!$AL$4:$AN$55,3,FALSE))</f>
        <v>0</v>
      </c>
      <c r="P47" s="5">
        <f>(VLOOKUP('102 5.1.00'!W47,'102 5.1.00'!$AL$4:$AN$55,3,FALSE))</f>
        <v>0</v>
      </c>
      <c r="Q47" s="4">
        <f>(VLOOKUP('102 5.1.00'!X47,'102 5.1.00'!$AL$4:$AN$55,3,FALSE))</f>
        <v>0</v>
      </c>
      <c r="R47" s="4">
        <f>(VLOOKUP('102 5.1.00'!Y47,'102 5.1.00'!$AL$4:$AN$55,3,FALSE))</f>
        <v>0</v>
      </c>
      <c r="S47" s="4">
        <f>(VLOOKUP('102 5.1.00'!Z47,'102 5.1.00'!$AL$4:$AN$55,3,FALSE))</f>
        <v>0</v>
      </c>
      <c r="T47" s="4">
        <f>(VLOOKUP('102 5.1.00'!AA47,'102 5.1.00'!$AL$4:$AN$55,3,FALSE))</f>
        <v>0</v>
      </c>
      <c r="U47" s="4">
        <f>(VLOOKUP('102 5.1.00'!AB47,'102 5.1.00'!$AL$4:$AN$55,3,FALSE))</f>
        <v>0</v>
      </c>
      <c r="V47" s="4">
        <f>(VLOOKUP('102 5.1.00'!AC47,'102 5.1.00'!$AL$4:$AN$55,3,FALSE))</f>
        <v>0</v>
      </c>
      <c r="W47" s="5">
        <f>(VLOOKUP('102 5.1.00'!AD47,'102 5.1.00'!$AL$4:$AN$55,3,FALSE))</f>
        <v>0</v>
      </c>
      <c r="X47" s="5">
        <f>(VLOOKUP('102 5.1.00'!AE47,'102 5.1.00'!$AL$4:$AN$55,3,FALSE))</f>
        <v>0</v>
      </c>
    </row>
    <row r="48" spans="1:24">
      <c r="A48" s="4">
        <f>(VLOOKUP('102 5.1.00'!H48,'102 5.1.00'!$AL$4:$AN$55,3,FALSE))</f>
        <v>0</v>
      </c>
      <c r="B48" s="4">
        <f>(VLOOKUP('102 5.1.00'!I48,'102 5.1.00'!$AL$4:$AN$55,3,FALSE))</f>
        <v>0</v>
      </c>
      <c r="C48" s="4">
        <f>(VLOOKUP('102 5.1.00'!J48,'102 5.1.00'!$AL$4:$AN$55,3,FALSE))</f>
        <v>0</v>
      </c>
      <c r="D48" s="4">
        <f>(VLOOKUP('102 5.1.00'!K48,'102 5.1.00'!$AL$4:$AN$55,3,FALSE))</f>
        <v>0</v>
      </c>
      <c r="E48" s="4">
        <f>(VLOOKUP('102 5.1.00'!L48,'102 5.1.00'!$AL$4:$AN$55,3,FALSE))</f>
        <v>0</v>
      </c>
      <c r="F48" s="4">
        <f>(VLOOKUP('102 5.1.00'!M48,'102 5.1.00'!$AL$4:$AN$55,3,FALSE))</f>
        <v>0</v>
      </c>
      <c r="G48" s="5">
        <f>(VLOOKUP('102 5.1.00'!N48,'102 5.1.00'!$AL$4:$AN$55,3,FALSE))</f>
        <v>0</v>
      </c>
      <c r="H48" s="5">
        <f>(VLOOKUP('102 5.1.00'!O48,'102 5.1.00'!$AL$4:$AN$55,3,FALSE))</f>
        <v>0</v>
      </c>
      <c r="I48" s="4">
        <f>(VLOOKUP('102 5.1.00'!P48,'102 5.1.00'!$AL$4:$AN$55,3,FALSE))</f>
        <v>0</v>
      </c>
      <c r="J48" s="4">
        <f>(VLOOKUP('102 5.1.00'!Q48,'102 5.1.00'!$AL$4:$AN$55,3,FALSE))</f>
        <v>0</v>
      </c>
      <c r="K48" s="4">
        <f>(VLOOKUP('102 5.1.00'!R48,'102 5.1.00'!$AL$4:$AN$55,3,FALSE))</f>
        <v>0</v>
      </c>
      <c r="L48" s="4">
        <f>(VLOOKUP('102 5.1.00'!S48,'102 5.1.00'!$AL$4:$AN$55,3,FALSE))</f>
        <v>0</v>
      </c>
      <c r="M48" s="4">
        <f>(VLOOKUP('102 5.1.00'!T48,'102 5.1.00'!$AL$4:$AN$55,3,FALSE))</f>
        <v>0</v>
      </c>
      <c r="N48" s="4">
        <f>(VLOOKUP('102 5.1.00'!U48,'102 5.1.00'!$AL$4:$AN$55,3,FALSE))</f>
        <v>0</v>
      </c>
      <c r="O48" s="5">
        <f>(VLOOKUP('102 5.1.00'!V48,'102 5.1.00'!$AL$4:$AN$55,3,FALSE))</f>
        <v>0</v>
      </c>
      <c r="P48" s="5">
        <f>(VLOOKUP('102 5.1.00'!W48,'102 5.1.00'!$AL$4:$AN$55,3,FALSE))</f>
        <v>0</v>
      </c>
      <c r="Q48" s="4">
        <f>(VLOOKUP('102 5.1.00'!X48,'102 5.1.00'!$AL$4:$AN$55,3,FALSE))</f>
        <v>0</v>
      </c>
      <c r="R48" s="4">
        <f>(VLOOKUP('102 5.1.00'!Y48,'102 5.1.00'!$AL$4:$AN$55,3,FALSE))</f>
        <v>0</v>
      </c>
      <c r="S48" s="4">
        <f>(VLOOKUP('102 5.1.00'!Z48,'102 5.1.00'!$AL$4:$AN$55,3,FALSE))</f>
        <v>0</v>
      </c>
      <c r="T48" s="4">
        <f>(VLOOKUP('102 5.1.00'!AA48,'102 5.1.00'!$AL$4:$AN$55,3,FALSE))</f>
        <v>0</v>
      </c>
      <c r="U48" s="4">
        <f>(VLOOKUP('102 5.1.00'!AB48,'102 5.1.00'!$AL$4:$AN$55,3,FALSE))</f>
        <v>0</v>
      </c>
      <c r="V48" s="4">
        <f>(VLOOKUP('102 5.1.00'!AC48,'102 5.1.00'!$AL$4:$AN$55,3,FALSE))</f>
        <v>0</v>
      </c>
      <c r="W48" s="5">
        <f>(VLOOKUP('102 5.1.00'!AD48,'102 5.1.00'!$AL$4:$AN$55,3,FALSE))</f>
        <v>0</v>
      </c>
      <c r="X48" s="5">
        <f>(VLOOKUP('102 5.1.00'!AE48,'102 5.1.00'!$AL$4:$AN$55,3,FALSE))</f>
        <v>0</v>
      </c>
    </row>
    <row r="49" spans="1:24">
      <c r="A49" s="4">
        <f>(VLOOKUP('102 5.1.00'!H49,'102 5.1.00'!$AL$4:$AN$55,3,FALSE))</f>
        <v>0</v>
      </c>
      <c r="B49" s="4">
        <f>(VLOOKUP('102 5.1.00'!I49,'102 5.1.00'!$AL$4:$AN$55,3,FALSE))</f>
        <v>0</v>
      </c>
      <c r="C49" s="4">
        <f>(VLOOKUP('102 5.1.00'!J49,'102 5.1.00'!$AL$4:$AN$55,3,FALSE))</f>
        <v>0</v>
      </c>
      <c r="D49" s="4">
        <f>(VLOOKUP('102 5.1.00'!K49,'102 5.1.00'!$AL$4:$AN$55,3,FALSE))</f>
        <v>0</v>
      </c>
      <c r="E49" s="4">
        <f>(VLOOKUP('102 5.1.00'!L49,'102 5.1.00'!$AL$4:$AN$55,3,FALSE))</f>
        <v>0</v>
      </c>
      <c r="F49" s="4">
        <f>(VLOOKUP('102 5.1.00'!M49,'102 5.1.00'!$AL$4:$AN$55,3,FALSE))</f>
        <v>0</v>
      </c>
      <c r="G49" s="5">
        <f>(VLOOKUP('102 5.1.00'!N49,'102 5.1.00'!$AL$4:$AN$55,3,FALSE))</f>
        <v>0</v>
      </c>
      <c r="H49" s="5">
        <f>(VLOOKUP('102 5.1.00'!O49,'102 5.1.00'!$AL$4:$AN$55,3,FALSE))</f>
        <v>0</v>
      </c>
      <c r="I49" s="4">
        <f>(VLOOKUP('102 5.1.00'!P49,'102 5.1.00'!$AL$4:$AN$55,3,FALSE))</f>
        <v>0</v>
      </c>
      <c r="J49" s="4">
        <f>(VLOOKUP('102 5.1.00'!Q49,'102 5.1.00'!$AL$4:$AN$55,3,FALSE))</f>
        <v>0</v>
      </c>
      <c r="K49" s="4">
        <f>(VLOOKUP('102 5.1.00'!R49,'102 5.1.00'!$AL$4:$AN$55,3,FALSE))</f>
        <v>0</v>
      </c>
      <c r="L49" s="4">
        <f>(VLOOKUP('102 5.1.00'!S49,'102 5.1.00'!$AL$4:$AN$55,3,FALSE))</f>
        <v>0</v>
      </c>
      <c r="M49" s="4">
        <f>(VLOOKUP('102 5.1.00'!T49,'102 5.1.00'!$AL$4:$AN$55,3,FALSE))</f>
        <v>0</v>
      </c>
      <c r="N49" s="4">
        <f>(VLOOKUP('102 5.1.00'!U49,'102 5.1.00'!$AL$4:$AN$55,3,FALSE))</f>
        <v>0</v>
      </c>
      <c r="O49" s="5">
        <f>(VLOOKUP('102 5.1.00'!V49,'102 5.1.00'!$AL$4:$AN$55,3,FALSE))</f>
        <v>0</v>
      </c>
      <c r="P49" s="5">
        <f>(VLOOKUP('102 5.1.00'!W49,'102 5.1.00'!$AL$4:$AN$55,3,FALSE))</f>
        <v>0</v>
      </c>
      <c r="Q49" s="4">
        <f>(VLOOKUP('102 5.1.00'!X49,'102 5.1.00'!$AL$4:$AN$55,3,FALSE))</f>
        <v>0</v>
      </c>
      <c r="R49" s="4">
        <f>(VLOOKUP('102 5.1.00'!Y49,'102 5.1.00'!$AL$4:$AN$55,3,FALSE))</f>
        <v>0</v>
      </c>
      <c r="S49" s="4">
        <f>(VLOOKUP('102 5.1.00'!Z49,'102 5.1.00'!$AL$4:$AN$55,3,FALSE))</f>
        <v>0</v>
      </c>
      <c r="T49" s="4">
        <f>(VLOOKUP('102 5.1.00'!AA49,'102 5.1.00'!$AL$4:$AN$55,3,FALSE))</f>
        <v>0</v>
      </c>
      <c r="U49" s="4">
        <f>(VLOOKUP('102 5.1.00'!AB49,'102 5.1.00'!$AL$4:$AN$55,3,FALSE))</f>
        <v>0</v>
      </c>
      <c r="V49" s="4">
        <f>(VLOOKUP('102 5.1.00'!AC49,'102 5.1.00'!$AL$4:$AN$55,3,FALSE))</f>
        <v>0</v>
      </c>
      <c r="W49" s="5">
        <f>(VLOOKUP('102 5.1.00'!AD49,'102 5.1.00'!$AL$4:$AN$55,3,FALSE))</f>
        <v>0</v>
      </c>
      <c r="X49" s="5">
        <f>(VLOOKUP('102 5.1.00'!AE49,'102 5.1.00'!$AL$4:$AN$55,3,FALSE))</f>
        <v>0</v>
      </c>
    </row>
    <row r="50" spans="1:24">
      <c r="A50" s="4">
        <f>(VLOOKUP('102 5.1.00'!H50,'102 5.1.00'!$AL$4:$AN$55,3,FALSE))</f>
        <v>0</v>
      </c>
      <c r="B50" s="4">
        <f>(VLOOKUP('102 5.1.00'!I50,'102 5.1.00'!$AL$4:$AN$55,3,FALSE))</f>
        <v>0</v>
      </c>
      <c r="C50" s="4">
        <f>(VLOOKUP('102 5.1.00'!J50,'102 5.1.00'!$AL$4:$AN$55,3,FALSE))</f>
        <v>0</v>
      </c>
      <c r="D50" s="4">
        <f>(VLOOKUP('102 5.1.00'!K50,'102 5.1.00'!$AL$4:$AN$55,3,FALSE))</f>
        <v>0</v>
      </c>
      <c r="E50" s="4">
        <f>(VLOOKUP('102 5.1.00'!L50,'102 5.1.00'!$AL$4:$AN$55,3,FALSE))</f>
        <v>0</v>
      </c>
      <c r="F50" s="4">
        <f>(VLOOKUP('102 5.1.00'!M50,'102 5.1.00'!$AL$4:$AN$55,3,FALSE))</f>
        <v>0</v>
      </c>
      <c r="G50" s="5">
        <f>(VLOOKUP('102 5.1.00'!N50,'102 5.1.00'!$AL$4:$AN$55,3,FALSE))</f>
        <v>0</v>
      </c>
      <c r="H50" s="5">
        <f>(VLOOKUP('102 5.1.00'!O50,'102 5.1.00'!$AL$4:$AN$55,3,FALSE))</f>
        <v>0</v>
      </c>
      <c r="I50" s="4">
        <f>(VLOOKUP('102 5.1.00'!P50,'102 5.1.00'!$AL$4:$AN$55,3,FALSE))</f>
        <v>0</v>
      </c>
      <c r="J50" s="4">
        <f>(VLOOKUP('102 5.1.00'!Q50,'102 5.1.00'!$AL$4:$AN$55,3,FALSE))</f>
        <v>0</v>
      </c>
      <c r="K50" s="4">
        <f>(VLOOKUP('102 5.1.00'!R50,'102 5.1.00'!$AL$4:$AN$55,3,FALSE))</f>
        <v>0</v>
      </c>
      <c r="L50" s="4">
        <f>(VLOOKUP('102 5.1.00'!S50,'102 5.1.00'!$AL$4:$AN$55,3,FALSE))</f>
        <v>0</v>
      </c>
      <c r="M50" s="4">
        <f>(VLOOKUP('102 5.1.00'!T50,'102 5.1.00'!$AL$4:$AN$55,3,FALSE))</f>
        <v>0</v>
      </c>
      <c r="N50" s="4">
        <f>(VLOOKUP('102 5.1.00'!U50,'102 5.1.00'!$AL$4:$AN$55,3,FALSE))</f>
        <v>0</v>
      </c>
      <c r="O50" s="5">
        <f>(VLOOKUP('102 5.1.00'!V50,'102 5.1.00'!$AL$4:$AN$55,3,FALSE))</f>
        <v>0</v>
      </c>
      <c r="P50" s="5">
        <f>(VLOOKUP('102 5.1.00'!W50,'102 5.1.00'!$AL$4:$AN$55,3,FALSE))</f>
        <v>0</v>
      </c>
      <c r="Q50" s="4">
        <f>(VLOOKUP('102 5.1.00'!X50,'102 5.1.00'!$AL$4:$AN$55,3,FALSE))</f>
        <v>0</v>
      </c>
      <c r="R50" s="4">
        <f>(VLOOKUP('102 5.1.00'!Y50,'102 5.1.00'!$AL$4:$AN$55,3,FALSE))</f>
        <v>0</v>
      </c>
      <c r="S50" s="4">
        <f>(VLOOKUP('102 5.1.00'!Z50,'102 5.1.00'!$AL$4:$AN$55,3,FALSE))</f>
        <v>0</v>
      </c>
      <c r="T50" s="4">
        <f>(VLOOKUP('102 5.1.00'!AA50,'102 5.1.00'!$AL$4:$AN$55,3,FALSE))</f>
        <v>0</v>
      </c>
      <c r="U50" s="4">
        <f>(VLOOKUP('102 5.1.00'!AB50,'102 5.1.00'!$AL$4:$AN$55,3,FALSE))</f>
        <v>0</v>
      </c>
      <c r="V50" s="4">
        <f>(VLOOKUP('102 5.1.00'!AC50,'102 5.1.00'!$AL$4:$AN$55,3,FALSE))</f>
        <v>0</v>
      </c>
      <c r="W50" s="5">
        <f>(VLOOKUP('102 5.1.00'!AD50,'102 5.1.00'!$AL$4:$AN$55,3,FALSE))</f>
        <v>0</v>
      </c>
      <c r="X50" s="5">
        <f>(VLOOKUP('102 5.1.00'!AE50,'102 5.1.00'!$AL$4:$AN$55,3,FALSE))</f>
        <v>0</v>
      </c>
    </row>
    <row r="51" spans="1:24">
      <c r="A51" s="4">
        <f>(VLOOKUP('102 5.1.00'!H51,'102 5.1.00'!$AL$4:$AN$55,3,FALSE))</f>
        <v>0</v>
      </c>
      <c r="B51" s="4">
        <f>(VLOOKUP('102 5.1.00'!I51,'102 5.1.00'!$AL$4:$AN$55,3,FALSE))</f>
        <v>0</v>
      </c>
      <c r="C51" s="4">
        <f>(VLOOKUP('102 5.1.00'!J51,'102 5.1.00'!$AL$4:$AN$55,3,FALSE))</f>
        <v>0</v>
      </c>
      <c r="D51" s="4">
        <f>(VLOOKUP('102 5.1.00'!K51,'102 5.1.00'!$AL$4:$AN$55,3,FALSE))</f>
        <v>0</v>
      </c>
      <c r="E51" s="4">
        <f>(VLOOKUP('102 5.1.00'!L51,'102 5.1.00'!$AL$4:$AN$55,3,FALSE))</f>
        <v>0</v>
      </c>
      <c r="F51" s="4">
        <f>(VLOOKUP('102 5.1.00'!M51,'102 5.1.00'!$AL$4:$AN$55,3,FALSE))</f>
        <v>0</v>
      </c>
      <c r="G51" s="5">
        <f>(VLOOKUP('102 5.1.00'!N51,'102 5.1.00'!$AL$4:$AN$55,3,FALSE))</f>
        <v>0</v>
      </c>
      <c r="H51" s="5">
        <f>(VLOOKUP('102 5.1.00'!O51,'102 5.1.00'!$AL$4:$AN$55,3,FALSE))</f>
        <v>0</v>
      </c>
      <c r="I51" s="4">
        <f>(VLOOKUP('102 5.1.00'!P51,'102 5.1.00'!$AL$4:$AN$55,3,FALSE))</f>
        <v>0</v>
      </c>
      <c r="J51" s="4">
        <f>(VLOOKUP('102 5.1.00'!Q51,'102 5.1.00'!$AL$4:$AN$55,3,FALSE))</f>
        <v>0</v>
      </c>
      <c r="K51" s="4">
        <f>(VLOOKUP('102 5.1.00'!R51,'102 5.1.00'!$AL$4:$AN$55,3,FALSE))</f>
        <v>0</v>
      </c>
      <c r="L51" s="4">
        <f>(VLOOKUP('102 5.1.00'!S51,'102 5.1.00'!$AL$4:$AN$55,3,FALSE))</f>
        <v>0</v>
      </c>
      <c r="M51" s="4">
        <f>(VLOOKUP('102 5.1.00'!T51,'102 5.1.00'!$AL$4:$AN$55,3,FALSE))</f>
        <v>0</v>
      </c>
      <c r="N51" s="4">
        <f>(VLOOKUP('102 5.1.00'!U51,'102 5.1.00'!$AL$4:$AN$55,3,FALSE))</f>
        <v>0</v>
      </c>
      <c r="O51" s="5">
        <f>(VLOOKUP('102 5.1.00'!V51,'102 5.1.00'!$AL$4:$AN$55,3,FALSE))</f>
        <v>0</v>
      </c>
      <c r="P51" s="5">
        <f>(VLOOKUP('102 5.1.00'!W51,'102 5.1.00'!$AL$4:$AN$55,3,FALSE))</f>
        <v>0</v>
      </c>
      <c r="Q51" s="4">
        <f>(VLOOKUP('102 5.1.00'!X51,'102 5.1.00'!$AL$4:$AN$55,3,FALSE))</f>
        <v>0</v>
      </c>
      <c r="R51" s="4">
        <f>(VLOOKUP('102 5.1.00'!Y51,'102 5.1.00'!$AL$4:$AN$55,3,FALSE))</f>
        <v>0</v>
      </c>
      <c r="S51" s="4">
        <f>(VLOOKUP('102 5.1.00'!Z51,'102 5.1.00'!$AL$4:$AN$55,3,FALSE))</f>
        <v>0</v>
      </c>
      <c r="T51" s="4">
        <f>(VLOOKUP('102 5.1.00'!AA51,'102 5.1.00'!$AL$4:$AN$55,3,FALSE))</f>
        <v>0</v>
      </c>
      <c r="U51" s="4">
        <f>(VLOOKUP('102 5.1.00'!AB51,'102 5.1.00'!$AL$4:$AN$55,3,FALSE))</f>
        <v>0</v>
      </c>
      <c r="V51" s="4">
        <f>(VLOOKUP('102 5.1.00'!AC51,'102 5.1.00'!$AL$4:$AN$55,3,FALSE))</f>
        <v>0</v>
      </c>
      <c r="W51" s="5">
        <f>(VLOOKUP('102 5.1.00'!AD51,'102 5.1.00'!$AL$4:$AN$55,3,FALSE))</f>
        <v>0</v>
      </c>
      <c r="X51" s="5">
        <f>(VLOOKUP('102 5.1.00'!AE51,'102 5.1.00'!$AL$4:$AN$55,3,FALSE))</f>
        <v>0</v>
      </c>
    </row>
    <row r="52" spans="1:24">
      <c r="A52" s="4">
        <f>(VLOOKUP('102 5.1.00'!H52,'102 5.1.00'!$AL$4:$AN$55,3,FALSE))</f>
        <v>0</v>
      </c>
      <c r="B52" s="4">
        <f>(VLOOKUP('102 5.1.00'!I52,'102 5.1.00'!$AL$4:$AN$55,3,FALSE))</f>
        <v>0</v>
      </c>
      <c r="C52" s="4">
        <f>(VLOOKUP('102 5.1.00'!J52,'102 5.1.00'!$AL$4:$AN$55,3,FALSE))</f>
        <v>0</v>
      </c>
      <c r="D52" s="4">
        <f>(VLOOKUP('102 5.1.00'!K52,'102 5.1.00'!$AL$4:$AN$55,3,FALSE))</f>
        <v>0</v>
      </c>
      <c r="E52" s="4">
        <f>(VLOOKUP('102 5.1.00'!L52,'102 5.1.00'!$AL$4:$AN$55,3,FALSE))</f>
        <v>0</v>
      </c>
      <c r="F52" s="4">
        <f>(VLOOKUP('102 5.1.00'!M52,'102 5.1.00'!$AL$4:$AN$55,3,FALSE))</f>
        <v>0</v>
      </c>
      <c r="G52" s="5">
        <f>(VLOOKUP('102 5.1.00'!N52,'102 5.1.00'!$AL$4:$AN$55,3,FALSE))</f>
        <v>0</v>
      </c>
      <c r="H52" s="5">
        <f>(VLOOKUP('102 5.1.00'!O52,'102 5.1.00'!$AL$4:$AN$55,3,FALSE))</f>
        <v>0</v>
      </c>
      <c r="I52" s="4">
        <f>(VLOOKUP('102 5.1.00'!P52,'102 5.1.00'!$AL$4:$AN$55,3,FALSE))</f>
        <v>0</v>
      </c>
      <c r="J52" s="4">
        <f>(VLOOKUP('102 5.1.00'!Q52,'102 5.1.00'!$AL$4:$AN$55,3,FALSE))</f>
        <v>0</v>
      </c>
      <c r="K52" s="4">
        <f>(VLOOKUP('102 5.1.00'!R52,'102 5.1.00'!$AL$4:$AN$55,3,FALSE))</f>
        <v>0</v>
      </c>
      <c r="L52" s="4">
        <f>(VLOOKUP('102 5.1.00'!S52,'102 5.1.00'!$AL$4:$AN$55,3,FALSE))</f>
        <v>0</v>
      </c>
      <c r="M52" s="4">
        <f>(VLOOKUP('102 5.1.00'!T52,'102 5.1.00'!$AL$4:$AN$55,3,FALSE))</f>
        <v>0</v>
      </c>
      <c r="N52" s="4">
        <f>(VLOOKUP('102 5.1.00'!U52,'102 5.1.00'!$AL$4:$AN$55,3,FALSE))</f>
        <v>0</v>
      </c>
      <c r="O52" s="5">
        <f>(VLOOKUP('102 5.1.00'!V52,'102 5.1.00'!$AL$4:$AN$55,3,FALSE))</f>
        <v>0</v>
      </c>
      <c r="P52" s="5">
        <f>(VLOOKUP('102 5.1.00'!W52,'102 5.1.00'!$AL$4:$AN$55,3,FALSE))</f>
        <v>0</v>
      </c>
      <c r="Q52" s="4">
        <f>(VLOOKUP('102 5.1.00'!X52,'102 5.1.00'!$AL$4:$AN$55,3,FALSE))</f>
        <v>0</v>
      </c>
      <c r="R52" s="4">
        <f>(VLOOKUP('102 5.1.00'!Y52,'102 5.1.00'!$AL$4:$AN$55,3,FALSE))</f>
        <v>0</v>
      </c>
      <c r="S52" s="4">
        <f>(VLOOKUP('102 5.1.00'!Z52,'102 5.1.00'!$AL$4:$AN$55,3,FALSE))</f>
        <v>0</v>
      </c>
      <c r="T52" s="4">
        <f>(VLOOKUP('102 5.1.00'!AA52,'102 5.1.00'!$AL$4:$AN$55,3,FALSE))</f>
        <v>0</v>
      </c>
      <c r="U52" s="4">
        <f>(VLOOKUP('102 5.1.00'!AB52,'102 5.1.00'!$AL$4:$AN$55,3,FALSE))</f>
        <v>0</v>
      </c>
      <c r="V52" s="4">
        <f>(VLOOKUP('102 5.1.00'!AC52,'102 5.1.00'!$AL$4:$AN$55,3,FALSE))</f>
        <v>0</v>
      </c>
      <c r="W52" s="5">
        <f>(VLOOKUP('102 5.1.00'!AD52,'102 5.1.00'!$AL$4:$AN$55,3,FALSE))</f>
        <v>0</v>
      </c>
      <c r="X52" s="5">
        <f>(VLOOKUP('102 5.1.00'!AE52,'102 5.1.00'!$AL$4:$AN$55,3,FALSE))</f>
        <v>0</v>
      </c>
    </row>
    <row r="53" spans="1:24">
      <c r="A53" s="4">
        <f>(VLOOKUP('102 5.1.00'!H53,'102 5.1.00'!$AL$4:$AN$55,3,FALSE))</f>
        <v>0</v>
      </c>
      <c r="B53" s="4">
        <f>(VLOOKUP('102 5.1.00'!I53,'102 5.1.00'!$AL$4:$AN$55,3,FALSE))</f>
        <v>0</v>
      </c>
      <c r="C53" s="4">
        <f>(VLOOKUP('102 5.1.00'!J53,'102 5.1.00'!$AL$4:$AN$55,3,FALSE))</f>
        <v>0</v>
      </c>
      <c r="D53" s="4">
        <f>(VLOOKUP('102 5.1.00'!K53,'102 5.1.00'!$AL$4:$AN$55,3,FALSE))</f>
        <v>0</v>
      </c>
      <c r="E53" s="4">
        <f>(VLOOKUP('102 5.1.00'!L53,'102 5.1.00'!$AL$4:$AN$55,3,FALSE))</f>
        <v>0</v>
      </c>
      <c r="F53" s="4">
        <f>(VLOOKUP('102 5.1.00'!M53,'102 5.1.00'!$AL$4:$AN$55,3,FALSE))</f>
        <v>0</v>
      </c>
      <c r="G53" s="5">
        <f>(VLOOKUP('102 5.1.00'!N53,'102 5.1.00'!$AL$4:$AN$55,3,FALSE))</f>
        <v>0</v>
      </c>
      <c r="H53" s="5">
        <f>(VLOOKUP('102 5.1.00'!O53,'102 5.1.00'!$AL$4:$AN$55,3,FALSE))</f>
        <v>0</v>
      </c>
      <c r="I53" s="4">
        <f>(VLOOKUP('102 5.1.00'!P53,'102 5.1.00'!$AL$4:$AN$55,3,FALSE))</f>
        <v>0</v>
      </c>
      <c r="J53" s="4">
        <f>(VLOOKUP('102 5.1.00'!Q53,'102 5.1.00'!$AL$4:$AN$55,3,FALSE))</f>
        <v>0</v>
      </c>
      <c r="K53" s="4">
        <f>(VLOOKUP('102 5.1.00'!R53,'102 5.1.00'!$AL$4:$AN$55,3,FALSE))</f>
        <v>0</v>
      </c>
      <c r="L53" s="4">
        <f>(VLOOKUP('102 5.1.00'!S53,'102 5.1.00'!$AL$4:$AN$55,3,FALSE))</f>
        <v>0</v>
      </c>
      <c r="M53" s="4">
        <f>(VLOOKUP('102 5.1.00'!T53,'102 5.1.00'!$AL$4:$AN$55,3,FALSE))</f>
        <v>0</v>
      </c>
      <c r="N53" s="4">
        <f>(VLOOKUP('102 5.1.00'!U53,'102 5.1.00'!$AL$4:$AN$55,3,FALSE))</f>
        <v>0</v>
      </c>
      <c r="O53" s="5">
        <f>(VLOOKUP('102 5.1.00'!V53,'102 5.1.00'!$AL$4:$AN$55,3,FALSE))</f>
        <v>0</v>
      </c>
      <c r="P53" s="5">
        <f>(VLOOKUP('102 5.1.00'!W53,'102 5.1.00'!$AL$4:$AN$55,3,FALSE))</f>
        <v>0</v>
      </c>
      <c r="Q53" s="4">
        <f>(VLOOKUP('102 5.1.00'!X53,'102 5.1.00'!$AL$4:$AN$55,3,FALSE))</f>
        <v>0</v>
      </c>
      <c r="R53" s="4">
        <f>(VLOOKUP('102 5.1.00'!Y53,'102 5.1.00'!$AL$4:$AN$55,3,FALSE))</f>
        <v>0</v>
      </c>
      <c r="S53" s="4">
        <f>(VLOOKUP('102 5.1.00'!Z53,'102 5.1.00'!$AL$4:$AN$55,3,FALSE))</f>
        <v>0</v>
      </c>
      <c r="T53" s="4">
        <f>(VLOOKUP('102 5.1.00'!AA53,'102 5.1.00'!$AL$4:$AN$55,3,FALSE))</f>
        <v>0</v>
      </c>
      <c r="U53" s="4">
        <f>(VLOOKUP('102 5.1.00'!AB53,'102 5.1.00'!$AL$4:$AN$55,3,FALSE))</f>
        <v>0</v>
      </c>
      <c r="V53" s="4">
        <f>(VLOOKUP('102 5.1.00'!AC53,'102 5.1.00'!$AL$4:$AN$55,3,FALSE))</f>
        <v>0</v>
      </c>
      <c r="W53" s="5">
        <f>(VLOOKUP('102 5.1.00'!AD53,'102 5.1.00'!$AL$4:$AN$55,3,FALSE))</f>
        <v>0</v>
      </c>
      <c r="X53" s="5">
        <f>(VLOOKUP('102 5.1.00'!AE53,'102 5.1.00'!$AL$4:$AN$55,3,FALSE))</f>
        <v>0</v>
      </c>
    </row>
    <row r="54" spans="1:24">
      <c r="A54" s="4">
        <f>(VLOOKUP('102 5.1.00'!H54,'102 5.1.00'!$AL$4:$AN$55,3,FALSE))</f>
        <v>0</v>
      </c>
      <c r="B54" s="4">
        <f>(VLOOKUP('102 5.1.00'!I54,'102 5.1.00'!$AL$4:$AN$55,3,FALSE))</f>
        <v>0</v>
      </c>
      <c r="C54" s="4">
        <f>(VLOOKUP('102 5.1.00'!J54,'102 5.1.00'!$AL$4:$AN$55,3,FALSE))</f>
        <v>0</v>
      </c>
      <c r="D54" s="4">
        <f>(VLOOKUP('102 5.1.00'!K54,'102 5.1.00'!$AL$4:$AN$55,3,FALSE))</f>
        <v>0</v>
      </c>
      <c r="E54" s="4">
        <f>(VLOOKUP('102 5.1.00'!L54,'102 5.1.00'!$AL$4:$AN$55,3,FALSE))</f>
        <v>0</v>
      </c>
      <c r="F54" s="4">
        <f>(VLOOKUP('102 5.1.00'!M54,'102 5.1.00'!$AL$4:$AN$55,3,FALSE))</f>
        <v>0</v>
      </c>
      <c r="G54" s="5">
        <f>(VLOOKUP('102 5.1.00'!N54,'102 5.1.00'!$AL$4:$AN$55,3,FALSE))</f>
        <v>0</v>
      </c>
      <c r="H54" s="5">
        <f>(VLOOKUP('102 5.1.00'!O54,'102 5.1.00'!$AL$4:$AN$55,3,FALSE))</f>
        <v>0</v>
      </c>
      <c r="I54" s="4">
        <f>(VLOOKUP('102 5.1.00'!P54,'102 5.1.00'!$AL$4:$AN$55,3,FALSE))</f>
        <v>0</v>
      </c>
      <c r="J54" s="4">
        <f>(VLOOKUP('102 5.1.00'!Q54,'102 5.1.00'!$AL$4:$AN$55,3,FALSE))</f>
        <v>0</v>
      </c>
      <c r="K54" s="4">
        <f>(VLOOKUP('102 5.1.00'!R54,'102 5.1.00'!$AL$4:$AN$55,3,FALSE))</f>
        <v>0</v>
      </c>
      <c r="L54" s="4">
        <f>(VLOOKUP('102 5.1.00'!S54,'102 5.1.00'!$AL$4:$AN$55,3,FALSE))</f>
        <v>0</v>
      </c>
      <c r="M54" s="4">
        <f>(VLOOKUP('102 5.1.00'!T54,'102 5.1.00'!$AL$4:$AN$55,3,FALSE))</f>
        <v>0</v>
      </c>
      <c r="N54" s="4">
        <f>(VLOOKUP('102 5.1.00'!U54,'102 5.1.00'!$AL$4:$AN$55,3,FALSE))</f>
        <v>0</v>
      </c>
      <c r="O54" s="5">
        <f>(VLOOKUP('102 5.1.00'!V54,'102 5.1.00'!$AL$4:$AN$55,3,FALSE))</f>
        <v>0</v>
      </c>
      <c r="P54" s="5">
        <f>(VLOOKUP('102 5.1.00'!W54,'102 5.1.00'!$AL$4:$AN$55,3,FALSE))</f>
        <v>0</v>
      </c>
      <c r="Q54" s="4">
        <f>(VLOOKUP('102 5.1.00'!X54,'102 5.1.00'!$AL$4:$AN$55,3,FALSE))</f>
        <v>0</v>
      </c>
      <c r="R54" s="4">
        <f>(VLOOKUP('102 5.1.00'!Y54,'102 5.1.00'!$AL$4:$AN$55,3,FALSE))</f>
        <v>0</v>
      </c>
      <c r="S54" s="4">
        <f>(VLOOKUP('102 5.1.00'!Z54,'102 5.1.00'!$AL$4:$AN$55,3,FALSE))</f>
        <v>0</v>
      </c>
      <c r="T54" s="4">
        <f>(VLOOKUP('102 5.1.00'!AA54,'102 5.1.00'!$AL$4:$AN$55,3,FALSE))</f>
        <v>0</v>
      </c>
      <c r="U54" s="4">
        <f>(VLOOKUP('102 5.1.00'!AB54,'102 5.1.00'!$AL$4:$AN$55,3,FALSE))</f>
        <v>0</v>
      </c>
      <c r="V54" s="4">
        <f>(VLOOKUP('102 5.1.00'!AC54,'102 5.1.00'!$AL$4:$AN$55,3,FALSE))</f>
        <v>0</v>
      </c>
      <c r="W54" s="5">
        <f>(VLOOKUP('102 5.1.00'!AD54,'102 5.1.00'!$AL$4:$AN$55,3,FALSE))</f>
        <v>0</v>
      </c>
      <c r="X54" s="5">
        <f>(VLOOKUP('102 5.1.00'!AE54,'102 5.1.00'!$AL$4:$AN$55,3,FALSE))</f>
        <v>0</v>
      </c>
    </row>
    <row r="55" spans="1:24">
      <c r="A55" s="4">
        <f>(VLOOKUP('102 5.1.00'!H55,'102 5.1.00'!$AL$4:$AN$55,3,FALSE))</f>
        <v>0</v>
      </c>
      <c r="B55" s="4">
        <f>(VLOOKUP('102 5.1.00'!I55,'102 5.1.00'!$AL$4:$AN$55,3,FALSE))</f>
        <v>0</v>
      </c>
      <c r="C55" s="4">
        <f>(VLOOKUP('102 5.1.00'!J55,'102 5.1.00'!$AL$4:$AN$55,3,FALSE))</f>
        <v>0</v>
      </c>
      <c r="D55" s="4">
        <f>(VLOOKUP('102 5.1.00'!K55,'102 5.1.00'!$AL$4:$AN$55,3,FALSE))</f>
        <v>0</v>
      </c>
      <c r="E55" s="4">
        <f>(VLOOKUP('102 5.1.00'!L55,'102 5.1.00'!$AL$4:$AN$55,3,FALSE))</f>
        <v>0</v>
      </c>
      <c r="F55" s="4">
        <f>(VLOOKUP('102 5.1.00'!M55,'102 5.1.00'!$AL$4:$AN$55,3,FALSE))</f>
        <v>0</v>
      </c>
      <c r="G55" s="5">
        <f>(VLOOKUP('102 5.1.00'!N55,'102 5.1.00'!$AL$4:$AN$55,3,FALSE))</f>
        <v>0</v>
      </c>
      <c r="H55" s="5">
        <f>(VLOOKUP('102 5.1.00'!O55,'102 5.1.00'!$AL$4:$AN$55,3,FALSE))</f>
        <v>0</v>
      </c>
      <c r="I55" s="4">
        <f>(VLOOKUP('102 5.1.00'!P55,'102 5.1.00'!$AL$4:$AN$55,3,FALSE))</f>
        <v>0</v>
      </c>
      <c r="J55" s="4">
        <f>(VLOOKUP('102 5.1.00'!Q55,'102 5.1.00'!$AL$4:$AN$55,3,FALSE))</f>
        <v>0</v>
      </c>
      <c r="K55" s="4">
        <f>(VLOOKUP('102 5.1.00'!R55,'102 5.1.00'!$AL$4:$AN$55,3,FALSE))</f>
        <v>0</v>
      </c>
      <c r="L55" s="4">
        <f>(VLOOKUP('102 5.1.00'!S55,'102 5.1.00'!$AL$4:$AN$55,3,FALSE))</f>
        <v>0</v>
      </c>
      <c r="M55" s="4">
        <f>(VLOOKUP('102 5.1.00'!T55,'102 5.1.00'!$AL$4:$AN$55,3,FALSE))</f>
        <v>0</v>
      </c>
      <c r="N55" s="4">
        <f>(VLOOKUP('102 5.1.00'!U55,'102 5.1.00'!$AL$4:$AN$55,3,FALSE))</f>
        <v>0</v>
      </c>
      <c r="O55" s="5">
        <f>(VLOOKUP('102 5.1.00'!V55,'102 5.1.00'!$AL$4:$AN$55,3,FALSE))</f>
        <v>0</v>
      </c>
      <c r="P55" s="5">
        <f>(VLOOKUP('102 5.1.00'!W55,'102 5.1.00'!$AL$4:$AN$55,3,FALSE))</f>
        <v>0</v>
      </c>
      <c r="Q55" s="4">
        <f>(VLOOKUP('102 5.1.00'!X55,'102 5.1.00'!$AL$4:$AN$55,3,FALSE))</f>
        <v>0</v>
      </c>
      <c r="R55" s="4">
        <f>(VLOOKUP('102 5.1.00'!Y55,'102 5.1.00'!$AL$4:$AN$55,3,FALSE))</f>
        <v>0</v>
      </c>
      <c r="S55" s="4">
        <f>(VLOOKUP('102 5.1.00'!Z55,'102 5.1.00'!$AL$4:$AN$55,3,FALSE))</f>
        <v>0</v>
      </c>
      <c r="T55" s="4">
        <f>(VLOOKUP('102 5.1.00'!AA55,'102 5.1.00'!$AL$4:$AN$55,3,FALSE))</f>
        <v>0</v>
      </c>
      <c r="U55" s="4">
        <f>(VLOOKUP('102 5.1.00'!AB55,'102 5.1.00'!$AL$4:$AN$55,3,FALSE))</f>
        <v>0</v>
      </c>
      <c r="V55" s="4">
        <f>(VLOOKUP('102 5.1.00'!AC55,'102 5.1.00'!$AL$4:$AN$55,3,FALSE))</f>
        <v>0</v>
      </c>
      <c r="W55" s="5">
        <f>(VLOOKUP('102 5.1.00'!AD55,'102 5.1.00'!$AL$4:$AN$55,3,FALSE))</f>
        <v>0</v>
      </c>
      <c r="X55" s="5">
        <f>(VLOOKUP('102 5.1.00'!AE55,'102 5.1.00'!$AL$4:$AN$55,3,FALSE))</f>
        <v>0</v>
      </c>
    </row>
    <row r="56" spans="1:24">
      <c r="A56" s="4">
        <f>(VLOOKUP('102 5.1.00'!H56,'102 5.1.00'!$AL$4:$AN$55,3,FALSE))</f>
        <v>0</v>
      </c>
      <c r="B56" s="4">
        <f>(VLOOKUP('102 5.1.00'!I56,'102 5.1.00'!$AL$4:$AN$55,3,FALSE))</f>
        <v>0</v>
      </c>
      <c r="C56" s="4">
        <f>(VLOOKUP('102 5.1.00'!J56,'102 5.1.00'!$AL$4:$AN$55,3,FALSE))</f>
        <v>0</v>
      </c>
      <c r="D56" s="4">
        <f>(VLOOKUP('102 5.1.00'!K56,'102 5.1.00'!$AL$4:$AN$55,3,FALSE))</f>
        <v>0</v>
      </c>
      <c r="E56" s="4">
        <f>(VLOOKUP('102 5.1.00'!L56,'102 5.1.00'!$AL$4:$AN$55,3,FALSE))</f>
        <v>0</v>
      </c>
      <c r="F56" s="4">
        <f>(VLOOKUP('102 5.1.00'!M56,'102 5.1.00'!$AL$4:$AN$55,3,FALSE))</f>
        <v>0</v>
      </c>
      <c r="G56" s="5">
        <f>(VLOOKUP('102 5.1.00'!N56,'102 5.1.00'!$AL$4:$AN$55,3,FALSE))</f>
        <v>0</v>
      </c>
      <c r="H56" s="5">
        <f>(VLOOKUP('102 5.1.00'!O56,'102 5.1.00'!$AL$4:$AN$55,3,FALSE))</f>
        <v>0</v>
      </c>
      <c r="I56" s="4">
        <f>(VLOOKUP('102 5.1.00'!P56,'102 5.1.00'!$AL$4:$AN$55,3,FALSE))</f>
        <v>0</v>
      </c>
      <c r="J56" s="4">
        <f>(VLOOKUP('102 5.1.00'!Q56,'102 5.1.00'!$AL$4:$AN$55,3,FALSE))</f>
        <v>0</v>
      </c>
      <c r="K56" s="4">
        <f>(VLOOKUP('102 5.1.00'!R56,'102 5.1.00'!$AL$4:$AN$55,3,FALSE))</f>
        <v>0</v>
      </c>
      <c r="L56" s="4">
        <f>(VLOOKUP('102 5.1.00'!S56,'102 5.1.00'!$AL$4:$AN$55,3,FALSE))</f>
        <v>0</v>
      </c>
      <c r="M56" s="4">
        <f>(VLOOKUP('102 5.1.00'!T56,'102 5.1.00'!$AL$4:$AN$55,3,FALSE))</f>
        <v>0</v>
      </c>
      <c r="N56" s="4">
        <f>(VLOOKUP('102 5.1.00'!U56,'102 5.1.00'!$AL$4:$AN$55,3,FALSE))</f>
        <v>0</v>
      </c>
      <c r="O56" s="5">
        <f>(VLOOKUP('102 5.1.00'!V56,'102 5.1.00'!$AL$4:$AN$55,3,FALSE))</f>
        <v>0</v>
      </c>
      <c r="P56" s="5">
        <f>(VLOOKUP('102 5.1.00'!W56,'102 5.1.00'!$AL$4:$AN$55,3,FALSE))</f>
        <v>0</v>
      </c>
      <c r="Q56" s="4">
        <f>(VLOOKUP('102 5.1.00'!X56,'102 5.1.00'!$AL$4:$AN$55,3,FALSE))</f>
        <v>0</v>
      </c>
      <c r="R56" s="4">
        <f>(VLOOKUP('102 5.1.00'!Y56,'102 5.1.00'!$AL$4:$AN$55,3,FALSE))</f>
        <v>0</v>
      </c>
      <c r="S56" s="4">
        <f>(VLOOKUP('102 5.1.00'!Z56,'102 5.1.00'!$AL$4:$AN$55,3,FALSE))</f>
        <v>0</v>
      </c>
      <c r="T56" s="4">
        <f>(VLOOKUP('102 5.1.00'!AA56,'102 5.1.00'!$AL$4:$AN$55,3,FALSE))</f>
        <v>0</v>
      </c>
      <c r="U56" s="4">
        <f>(VLOOKUP('102 5.1.00'!AB56,'102 5.1.00'!$AL$4:$AN$55,3,FALSE))</f>
        <v>0</v>
      </c>
      <c r="V56" s="4">
        <f>(VLOOKUP('102 5.1.00'!AC56,'102 5.1.00'!$AL$4:$AN$55,3,FALSE))</f>
        <v>0</v>
      </c>
      <c r="W56" s="5">
        <f>(VLOOKUP('102 5.1.00'!AD56,'102 5.1.00'!$AL$4:$AN$55,3,FALSE))</f>
        <v>0</v>
      </c>
      <c r="X56" s="5">
        <f>(VLOOKUP('102 5.1.00'!AE56,'102 5.1.00'!$AL$4:$AN$55,3,FALSE))</f>
        <v>0</v>
      </c>
    </row>
    <row r="57" spans="1:24">
      <c r="A57" s="4">
        <f>(VLOOKUP('102 5.1.00'!H57,'102 5.1.00'!$AL$4:$AN$55,3,FALSE))</f>
        <v>0</v>
      </c>
      <c r="B57" s="4">
        <f>(VLOOKUP('102 5.1.00'!I57,'102 5.1.00'!$AL$4:$AN$55,3,FALSE))</f>
        <v>0</v>
      </c>
      <c r="C57" s="4">
        <f>(VLOOKUP('102 5.1.00'!J57,'102 5.1.00'!$AL$4:$AN$55,3,FALSE))</f>
        <v>0</v>
      </c>
      <c r="D57" s="4">
        <f>(VLOOKUP('102 5.1.00'!K57,'102 5.1.00'!$AL$4:$AN$55,3,FALSE))</f>
        <v>0</v>
      </c>
      <c r="E57" s="4">
        <f>(VLOOKUP('102 5.1.00'!L57,'102 5.1.00'!$AL$4:$AN$55,3,FALSE))</f>
        <v>0</v>
      </c>
      <c r="F57" s="4">
        <f>(VLOOKUP('102 5.1.00'!M57,'102 5.1.00'!$AL$4:$AN$55,3,FALSE))</f>
        <v>0</v>
      </c>
      <c r="G57" s="5">
        <f>(VLOOKUP('102 5.1.00'!N57,'102 5.1.00'!$AL$4:$AN$55,3,FALSE))</f>
        <v>0</v>
      </c>
      <c r="H57" s="5">
        <f>(VLOOKUP('102 5.1.00'!O57,'102 5.1.00'!$AL$4:$AN$55,3,FALSE))</f>
        <v>0</v>
      </c>
      <c r="I57" s="4">
        <f>(VLOOKUP('102 5.1.00'!P57,'102 5.1.00'!$AL$4:$AN$55,3,FALSE))</f>
        <v>0</v>
      </c>
      <c r="J57" s="4">
        <f>(VLOOKUP('102 5.1.00'!Q57,'102 5.1.00'!$AL$4:$AN$55,3,FALSE))</f>
        <v>0</v>
      </c>
      <c r="K57" s="4">
        <f>(VLOOKUP('102 5.1.00'!R57,'102 5.1.00'!$AL$4:$AN$55,3,FALSE))</f>
        <v>0</v>
      </c>
      <c r="L57" s="4">
        <f>(VLOOKUP('102 5.1.00'!S57,'102 5.1.00'!$AL$4:$AN$55,3,FALSE))</f>
        <v>0</v>
      </c>
      <c r="M57" s="4">
        <f>(VLOOKUP('102 5.1.00'!T57,'102 5.1.00'!$AL$4:$AN$55,3,FALSE))</f>
        <v>0</v>
      </c>
      <c r="N57" s="4">
        <f>(VLOOKUP('102 5.1.00'!U57,'102 5.1.00'!$AL$4:$AN$55,3,FALSE))</f>
        <v>0</v>
      </c>
      <c r="O57" s="5">
        <f>(VLOOKUP('102 5.1.00'!V57,'102 5.1.00'!$AL$4:$AN$55,3,FALSE))</f>
        <v>0</v>
      </c>
      <c r="P57" s="5">
        <f>(VLOOKUP('102 5.1.00'!W57,'102 5.1.00'!$AL$4:$AN$55,3,FALSE))</f>
        <v>0</v>
      </c>
      <c r="Q57" s="4">
        <f>(VLOOKUP('102 5.1.00'!X57,'102 5.1.00'!$AL$4:$AN$55,3,FALSE))</f>
        <v>0</v>
      </c>
      <c r="R57" s="4">
        <f>(VLOOKUP('102 5.1.00'!Y57,'102 5.1.00'!$AL$4:$AN$55,3,FALSE))</f>
        <v>0</v>
      </c>
      <c r="S57" s="4">
        <f>(VLOOKUP('102 5.1.00'!Z57,'102 5.1.00'!$AL$4:$AN$55,3,FALSE))</f>
        <v>0</v>
      </c>
      <c r="T57" s="4">
        <f>(VLOOKUP('102 5.1.00'!AA57,'102 5.1.00'!$AL$4:$AN$55,3,FALSE))</f>
        <v>0</v>
      </c>
      <c r="U57" s="4">
        <f>(VLOOKUP('102 5.1.00'!AB57,'102 5.1.00'!$AL$4:$AN$55,3,FALSE))</f>
        <v>0</v>
      </c>
      <c r="V57" s="4">
        <f>(VLOOKUP('102 5.1.00'!AC57,'102 5.1.00'!$AL$4:$AN$55,3,FALSE))</f>
        <v>0</v>
      </c>
      <c r="W57" s="5">
        <f>(VLOOKUP('102 5.1.00'!AD57,'102 5.1.00'!$AL$4:$AN$55,3,FALSE))</f>
        <v>0</v>
      </c>
      <c r="X57" s="5">
        <f>(VLOOKUP('102 5.1.00'!AE57,'102 5.1.00'!$AL$4:$AN$55,3,FALSE))</f>
        <v>0</v>
      </c>
    </row>
    <row r="58" spans="1:24">
      <c r="A58" s="4">
        <f>(VLOOKUP('102 5.1.00'!H58,'102 5.1.00'!$AL$4:$AN$55,3,FALSE))</f>
        <v>0</v>
      </c>
      <c r="B58" s="4">
        <f>(VLOOKUP('102 5.1.00'!I58,'102 5.1.00'!$AL$4:$AN$55,3,FALSE))</f>
        <v>0</v>
      </c>
      <c r="C58" s="4">
        <f>(VLOOKUP('102 5.1.00'!J58,'102 5.1.00'!$AL$4:$AN$55,3,FALSE))</f>
        <v>0</v>
      </c>
      <c r="D58" s="4">
        <f>(VLOOKUP('102 5.1.00'!K58,'102 5.1.00'!$AL$4:$AN$55,3,FALSE))</f>
        <v>0</v>
      </c>
      <c r="E58" s="4">
        <f>(VLOOKUP('102 5.1.00'!L58,'102 5.1.00'!$AL$4:$AN$55,3,FALSE))</f>
        <v>0</v>
      </c>
      <c r="F58" s="4">
        <f>(VLOOKUP('102 5.1.00'!M58,'102 5.1.00'!$AL$4:$AN$55,3,FALSE))</f>
        <v>0</v>
      </c>
      <c r="G58" s="5">
        <f>(VLOOKUP('102 5.1.00'!N58,'102 5.1.00'!$AL$4:$AN$55,3,FALSE))</f>
        <v>0</v>
      </c>
      <c r="H58" s="5">
        <f>(VLOOKUP('102 5.1.00'!O58,'102 5.1.00'!$AL$4:$AN$55,3,FALSE))</f>
        <v>0</v>
      </c>
      <c r="I58" s="4">
        <f>(VLOOKUP('102 5.1.00'!P58,'102 5.1.00'!$AL$4:$AN$55,3,FALSE))</f>
        <v>0</v>
      </c>
      <c r="J58" s="4">
        <f>(VLOOKUP('102 5.1.00'!Q58,'102 5.1.00'!$AL$4:$AN$55,3,FALSE))</f>
        <v>0</v>
      </c>
      <c r="K58" s="4">
        <f>(VLOOKUP('102 5.1.00'!R58,'102 5.1.00'!$AL$4:$AN$55,3,FALSE))</f>
        <v>0</v>
      </c>
      <c r="L58" s="4">
        <f>(VLOOKUP('102 5.1.00'!S58,'102 5.1.00'!$AL$4:$AN$55,3,FALSE))</f>
        <v>0</v>
      </c>
      <c r="M58" s="4">
        <f>(VLOOKUP('102 5.1.00'!T58,'102 5.1.00'!$AL$4:$AN$55,3,FALSE))</f>
        <v>0</v>
      </c>
      <c r="N58" s="4">
        <f>(VLOOKUP('102 5.1.00'!U58,'102 5.1.00'!$AL$4:$AN$55,3,FALSE))</f>
        <v>0</v>
      </c>
      <c r="O58" s="5">
        <f>(VLOOKUP('102 5.1.00'!V58,'102 5.1.00'!$AL$4:$AN$55,3,FALSE))</f>
        <v>0</v>
      </c>
      <c r="P58" s="5">
        <f>(VLOOKUP('102 5.1.00'!W58,'102 5.1.00'!$AL$4:$AN$55,3,FALSE))</f>
        <v>0</v>
      </c>
      <c r="Q58" s="4">
        <f>(VLOOKUP('102 5.1.00'!X58,'102 5.1.00'!$AL$4:$AN$55,3,FALSE))</f>
        <v>0</v>
      </c>
      <c r="R58" s="4">
        <f>(VLOOKUP('102 5.1.00'!Y58,'102 5.1.00'!$AL$4:$AN$55,3,FALSE))</f>
        <v>0</v>
      </c>
      <c r="S58" s="4">
        <f>(VLOOKUP('102 5.1.00'!Z58,'102 5.1.00'!$AL$4:$AN$55,3,FALSE))</f>
        <v>0</v>
      </c>
      <c r="T58" s="4">
        <f>(VLOOKUP('102 5.1.00'!AA58,'102 5.1.00'!$AL$4:$AN$55,3,FALSE))</f>
        <v>0</v>
      </c>
      <c r="U58" s="4">
        <f>(VLOOKUP('102 5.1.00'!AB58,'102 5.1.00'!$AL$4:$AN$55,3,FALSE))</f>
        <v>0</v>
      </c>
      <c r="V58" s="4">
        <f>(VLOOKUP('102 5.1.00'!AC58,'102 5.1.00'!$AL$4:$AN$55,3,FALSE))</f>
        <v>0</v>
      </c>
      <c r="W58" s="5">
        <f>(VLOOKUP('102 5.1.00'!AD58,'102 5.1.00'!$AL$4:$AN$55,3,FALSE))</f>
        <v>0</v>
      </c>
      <c r="X58" s="5">
        <f>(VLOOKUP('102 5.1.00'!AE58,'102 5.1.00'!$AL$4:$AN$55,3,FALSE))</f>
        <v>0</v>
      </c>
    </row>
    <row r="59" spans="1:24">
      <c r="A59" s="4">
        <f>(VLOOKUP('102 5.1.00'!H59,'102 5.1.00'!$AL$4:$AN$55,3,FALSE))</f>
        <v>0</v>
      </c>
      <c r="B59" s="4">
        <f>(VLOOKUP('102 5.1.00'!I59,'102 5.1.00'!$AL$4:$AN$55,3,FALSE))</f>
        <v>0</v>
      </c>
      <c r="C59" s="4">
        <f>(VLOOKUP('102 5.1.00'!J59,'102 5.1.00'!$AL$4:$AN$55,3,FALSE))</f>
        <v>0</v>
      </c>
      <c r="D59" s="4">
        <f>(VLOOKUP('102 5.1.00'!K59,'102 5.1.00'!$AL$4:$AN$55,3,FALSE))</f>
        <v>0</v>
      </c>
      <c r="E59" s="4">
        <f>(VLOOKUP('102 5.1.00'!L59,'102 5.1.00'!$AL$4:$AN$55,3,FALSE))</f>
        <v>0</v>
      </c>
      <c r="F59" s="4">
        <f>(VLOOKUP('102 5.1.00'!M59,'102 5.1.00'!$AL$4:$AN$55,3,FALSE))</f>
        <v>0</v>
      </c>
      <c r="G59" s="5">
        <f>(VLOOKUP('102 5.1.00'!N59,'102 5.1.00'!$AL$4:$AN$55,3,FALSE))</f>
        <v>0</v>
      </c>
      <c r="H59" s="5">
        <f>(VLOOKUP('102 5.1.00'!O59,'102 5.1.00'!$AL$4:$AN$55,3,FALSE))</f>
        <v>0</v>
      </c>
      <c r="I59" s="4">
        <f>(VLOOKUP('102 5.1.00'!P59,'102 5.1.00'!$AL$4:$AN$55,3,FALSE))</f>
        <v>0</v>
      </c>
      <c r="J59" s="4">
        <f>(VLOOKUP('102 5.1.00'!Q59,'102 5.1.00'!$AL$4:$AN$55,3,FALSE))</f>
        <v>0</v>
      </c>
      <c r="K59" s="4">
        <f>(VLOOKUP('102 5.1.00'!R59,'102 5.1.00'!$AL$4:$AN$55,3,FALSE))</f>
        <v>0</v>
      </c>
      <c r="L59" s="4">
        <f>(VLOOKUP('102 5.1.00'!S59,'102 5.1.00'!$AL$4:$AN$55,3,FALSE))</f>
        <v>0</v>
      </c>
      <c r="M59" s="4">
        <f>(VLOOKUP('102 5.1.00'!T59,'102 5.1.00'!$AL$4:$AN$55,3,FALSE))</f>
        <v>0</v>
      </c>
      <c r="N59" s="4">
        <f>(VLOOKUP('102 5.1.00'!U59,'102 5.1.00'!$AL$4:$AN$55,3,FALSE))</f>
        <v>0</v>
      </c>
      <c r="O59" s="5">
        <f>(VLOOKUP('102 5.1.00'!V59,'102 5.1.00'!$AL$4:$AN$55,3,FALSE))</f>
        <v>0</v>
      </c>
      <c r="P59" s="5">
        <f>(VLOOKUP('102 5.1.00'!W59,'102 5.1.00'!$AL$4:$AN$55,3,FALSE))</f>
        <v>0</v>
      </c>
      <c r="Q59" s="4">
        <f>(VLOOKUP('102 5.1.00'!X59,'102 5.1.00'!$AL$4:$AN$55,3,FALSE))</f>
        <v>0</v>
      </c>
      <c r="R59" s="4">
        <f>(VLOOKUP('102 5.1.00'!Y59,'102 5.1.00'!$AL$4:$AN$55,3,FALSE))</f>
        <v>0</v>
      </c>
      <c r="S59" s="4">
        <f>(VLOOKUP('102 5.1.00'!Z59,'102 5.1.00'!$AL$4:$AN$55,3,FALSE))</f>
        <v>0</v>
      </c>
      <c r="T59" s="4">
        <f>(VLOOKUP('102 5.1.00'!AA59,'102 5.1.00'!$AL$4:$AN$55,3,FALSE))</f>
        <v>0</v>
      </c>
      <c r="U59" s="4">
        <f>(VLOOKUP('102 5.1.00'!AB59,'102 5.1.00'!$AL$4:$AN$55,3,FALSE))</f>
        <v>0</v>
      </c>
      <c r="V59" s="4">
        <f>(VLOOKUP('102 5.1.00'!AC59,'102 5.1.00'!$AL$4:$AN$55,3,FALSE))</f>
        <v>0</v>
      </c>
      <c r="W59" s="5">
        <f>(VLOOKUP('102 5.1.00'!AD59,'102 5.1.00'!$AL$4:$AN$55,3,FALSE))</f>
        <v>0</v>
      </c>
      <c r="X59" s="5">
        <f>(VLOOKUP('102 5.1.00'!AE59,'102 5.1.00'!$AL$4:$AN$55,3,FALSE))</f>
        <v>0</v>
      </c>
    </row>
    <row r="60" spans="1:24">
      <c r="A60" s="4">
        <f>(VLOOKUP('102 5.1.00'!H60,'102 5.1.00'!$AL$4:$AN$55,3,FALSE))</f>
        <v>0</v>
      </c>
      <c r="B60" s="4">
        <f>(VLOOKUP('102 5.1.00'!I60,'102 5.1.00'!$AL$4:$AN$55,3,FALSE))</f>
        <v>0</v>
      </c>
      <c r="C60" s="4">
        <f>(VLOOKUP('102 5.1.00'!J60,'102 5.1.00'!$AL$4:$AN$55,3,FALSE))</f>
        <v>0</v>
      </c>
      <c r="D60" s="4">
        <f>(VLOOKUP('102 5.1.00'!K60,'102 5.1.00'!$AL$4:$AN$55,3,FALSE))</f>
        <v>0</v>
      </c>
      <c r="E60" s="4">
        <f>(VLOOKUP('102 5.1.00'!L60,'102 5.1.00'!$AL$4:$AN$55,3,FALSE))</f>
        <v>0</v>
      </c>
      <c r="F60" s="4">
        <f>(VLOOKUP('102 5.1.00'!M60,'102 5.1.00'!$AL$4:$AN$55,3,FALSE))</f>
        <v>0</v>
      </c>
      <c r="G60" s="5">
        <f>(VLOOKUP('102 5.1.00'!N60,'102 5.1.00'!$AL$4:$AN$55,3,FALSE))</f>
        <v>0</v>
      </c>
      <c r="H60" s="5">
        <f>(VLOOKUP('102 5.1.00'!O60,'102 5.1.00'!$AL$4:$AN$55,3,FALSE))</f>
        <v>0</v>
      </c>
      <c r="I60" s="4">
        <f>(VLOOKUP('102 5.1.00'!P60,'102 5.1.00'!$AL$4:$AN$55,3,FALSE))</f>
        <v>0</v>
      </c>
      <c r="J60" s="4">
        <f>(VLOOKUP('102 5.1.00'!Q60,'102 5.1.00'!$AL$4:$AN$55,3,FALSE))</f>
        <v>0</v>
      </c>
      <c r="K60" s="4">
        <f>(VLOOKUP('102 5.1.00'!R60,'102 5.1.00'!$AL$4:$AN$55,3,FALSE))</f>
        <v>0</v>
      </c>
      <c r="L60" s="4">
        <f>(VLOOKUP('102 5.1.00'!S60,'102 5.1.00'!$AL$4:$AN$55,3,FALSE))</f>
        <v>0</v>
      </c>
      <c r="M60" s="4">
        <f>(VLOOKUP('102 5.1.00'!T60,'102 5.1.00'!$AL$4:$AN$55,3,FALSE))</f>
        <v>0</v>
      </c>
      <c r="N60" s="4">
        <f>(VLOOKUP('102 5.1.00'!U60,'102 5.1.00'!$AL$4:$AN$55,3,FALSE))</f>
        <v>0</v>
      </c>
      <c r="O60" s="5">
        <f>(VLOOKUP('102 5.1.00'!V60,'102 5.1.00'!$AL$4:$AN$55,3,FALSE))</f>
        <v>0</v>
      </c>
      <c r="P60" s="5">
        <f>(VLOOKUP('102 5.1.00'!W60,'102 5.1.00'!$AL$4:$AN$55,3,FALSE))</f>
        <v>0</v>
      </c>
      <c r="Q60" s="4">
        <f>(VLOOKUP('102 5.1.00'!X60,'102 5.1.00'!$AL$4:$AN$55,3,FALSE))</f>
        <v>0</v>
      </c>
      <c r="R60" s="4">
        <f>(VLOOKUP('102 5.1.00'!Y60,'102 5.1.00'!$AL$4:$AN$55,3,FALSE))</f>
        <v>0</v>
      </c>
      <c r="S60" s="4">
        <f>(VLOOKUP('102 5.1.00'!Z60,'102 5.1.00'!$AL$4:$AN$55,3,FALSE))</f>
        <v>0</v>
      </c>
      <c r="T60" s="4">
        <f>(VLOOKUP('102 5.1.00'!AA60,'102 5.1.00'!$AL$4:$AN$55,3,FALSE))</f>
        <v>0</v>
      </c>
      <c r="U60" s="4">
        <f>(VLOOKUP('102 5.1.00'!AB60,'102 5.1.00'!$AL$4:$AN$55,3,FALSE))</f>
        <v>0</v>
      </c>
      <c r="V60" s="4">
        <f>(VLOOKUP('102 5.1.00'!AC60,'102 5.1.00'!$AL$4:$AN$55,3,FALSE))</f>
        <v>0</v>
      </c>
      <c r="W60" s="5">
        <f>(VLOOKUP('102 5.1.00'!AD60,'102 5.1.00'!$AL$4:$AN$55,3,FALSE))</f>
        <v>0</v>
      </c>
      <c r="X60" s="5">
        <f>(VLOOKUP('102 5.1.00'!AE60,'102 5.1.00'!$AL$4:$AN$55,3,FALSE))</f>
        <v>0</v>
      </c>
    </row>
    <row r="61" spans="1:24">
      <c r="A61" s="4">
        <f>(VLOOKUP('102 5.1.00'!H61,'102 5.1.00'!$AL$4:$AN$55,3,FALSE))</f>
        <v>0</v>
      </c>
      <c r="B61" s="4">
        <f>(VLOOKUP('102 5.1.00'!I61,'102 5.1.00'!$AL$4:$AN$55,3,FALSE))</f>
        <v>0</v>
      </c>
      <c r="C61" s="4">
        <f>(VLOOKUP('102 5.1.00'!J61,'102 5.1.00'!$AL$4:$AN$55,3,FALSE))</f>
        <v>0</v>
      </c>
      <c r="D61" s="4">
        <f>(VLOOKUP('102 5.1.00'!K61,'102 5.1.00'!$AL$4:$AN$55,3,FALSE))</f>
        <v>0</v>
      </c>
      <c r="E61" s="4">
        <f>(VLOOKUP('102 5.1.00'!L61,'102 5.1.00'!$AL$4:$AN$55,3,FALSE))</f>
        <v>0</v>
      </c>
      <c r="F61" s="4">
        <f>(VLOOKUP('102 5.1.00'!M61,'102 5.1.00'!$AL$4:$AN$55,3,FALSE))</f>
        <v>0</v>
      </c>
      <c r="G61" s="5">
        <f>(VLOOKUP('102 5.1.00'!N61,'102 5.1.00'!$AL$4:$AN$55,3,FALSE))</f>
        <v>0</v>
      </c>
      <c r="H61" s="5">
        <f>(VLOOKUP('102 5.1.00'!O61,'102 5.1.00'!$AL$4:$AN$55,3,FALSE))</f>
        <v>0</v>
      </c>
      <c r="I61" s="4">
        <f>(VLOOKUP('102 5.1.00'!P61,'102 5.1.00'!$AL$4:$AN$55,3,FALSE))</f>
        <v>0</v>
      </c>
      <c r="J61" s="4">
        <f>(VLOOKUP('102 5.1.00'!Q61,'102 5.1.00'!$AL$4:$AN$55,3,FALSE))</f>
        <v>0</v>
      </c>
      <c r="K61" s="4">
        <f>(VLOOKUP('102 5.1.00'!R61,'102 5.1.00'!$AL$4:$AN$55,3,FALSE))</f>
        <v>0</v>
      </c>
      <c r="L61" s="4">
        <f>(VLOOKUP('102 5.1.00'!S61,'102 5.1.00'!$AL$4:$AN$55,3,FALSE))</f>
        <v>0</v>
      </c>
      <c r="M61" s="4">
        <f>(VLOOKUP('102 5.1.00'!T61,'102 5.1.00'!$AL$4:$AN$55,3,FALSE))</f>
        <v>0</v>
      </c>
      <c r="N61" s="4">
        <f>(VLOOKUP('102 5.1.00'!U61,'102 5.1.00'!$AL$4:$AN$55,3,FALSE))</f>
        <v>0</v>
      </c>
      <c r="O61" s="5">
        <f>(VLOOKUP('102 5.1.00'!V61,'102 5.1.00'!$AL$4:$AN$55,3,FALSE))</f>
        <v>0</v>
      </c>
      <c r="P61" s="5">
        <f>(VLOOKUP('102 5.1.00'!W61,'102 5.1.00'!$AL$4:$AN$55,3,FALSE))</f>
        <v>0</v>
      </c>
      <c r="Q61" s="4">
        <f>(VLOOKUP('102 5.1.00'!X61,'102 5.1.00'!$AL$4:$AN$55,3,FALSE))</f>
        <v>0</v>
      </c>
      <c r="R61" s="4">
        <f>(VLOOKUP('102 5.1.00'!Y61,'102 5.1.00'!$AL$4:$AN$55,3,FALSE))</f>
        <v>0</v>
      </c>
      <c r="S61" s="4">
        <f>(VLOOKUP('102 5.1.00'!Z61,'102 5.1.00'!$AL$4:$AN$55,3,FALSE))</f>
        <v>0</v>
      </c>
      <c r="T61" s="4">
        <f>(VLOOKUP('102 5.1.00'!AA61,'102 5.1.00'!$AL$4:$AN$55,3,FALSE))</f>
        <v>0</v>
      </c>
      <c r="U61" s="4">
        <f>(VLOOKUP('102 5.1.00'!AB61,'102 5.1.00'!$AL$4:$AN$55,3,FALSE))</f>
        <v>0</v>
      </c>
      <c r="V61" s="4">
        <f>(VLOOKUP('102 5.1.00'!AC61,'102 5.1.00'!$AL$4:$AN$55,3,FALSE))</f>
        <v>0</v>
      </c>
      <c r="W61" s="5">
        <f>(VLOOKUP('102 5.1.00'!AD61,'102 5.1.00'!$AL$4:$AN$55,3,FALSE))</f>
        <v>0</v>
      </c>
      <c r="X61" s="5">
        <f>(VLOOKUP('102 5.1.00'!AE61,'102 5.1.00'!$AL$4:$AN$55,3,FALSE))</f>
        <v>0</v>
      </c>
    </row>
    <row r="62" spans="1:24">
      <c r="A62" s="4">
        <f>(VLOOKUP('102 5.1.00'!H62,'102 5.1.00'!$AL$4:$AN$55,3,FALSE))</f>
        <v>0</v>
      </c>
      <c r="B62" s="4">
        <f>(VLOOKUP('102 5.1.00'!I62,'102 5.1.00'!$AL$4:$AN$55,3,FALSE))</f>
        <v>0</v>
      </c>
      <c r="C62" s="4">
        <f>(VLOOKUP('102 5.1.00'!J62,'102 5.1.00'!$AL$4:$AN$55,3,FALSE))</f>
        <v>0</v>
      </c>
      <c r="D62" s="4">
        <f>(VLOOKUP('102 5.1.00'!K62,'102 5.1.00'!$AL$4:$AN$55,3,FALSE))</f>
        <v>0</v>
      </c>
      <c r="E62" s="4">
        <f>(VLOOKUP('102 5.1.00'!L62,'102 5.1.00'!$AL$4:$AN$55,3,FALSE))</f>
        <v>0</v>
      </c>
      <c r="F62" s="4">
        <f>(VLOOKUP('102 5.1.00'!M62,'102 5.1.00'!$AL$4:$AN$55,3,FALSE))</f>
        <v>0</v>
      </c>
      <c r="G62" s="5">
        <f>(VLOOKUP('102 5.1.00'!N62,'102 5.1.00'!$AL$4:$AN$55,3,FALSE))</f>
        <v>0</v>
      </c>
      <c r="H62" s="5">
        <f>(VLOOKUP('102 5.1.00'!O62,'102 5.1.00'!$AL$4:$AN$55,3,FALSE))</f>
        <v>0</v>
      </c>
      <c r="I62" s="4">
        <f>(VLOOKUP('102 5.1.00'!P62,'102 5.1.00'!$AL$4:$AN$55,3,FALSE))</f>
        <v>0</v>
      </c>
      <c r="J62" s="4">
        <f>(VLOOKUP('102 5.1.00'!Q62,'102 5.1.00'!$AL$4:$AN$55,3,FALSE))</f>
        <v>0</v>
      </c>
      <c r="K62" s="4">
        <f>(VLOOKUP('102 5.1.00'!R62,'102 5.1.00'!$AL$4:$AN$55,3,FALSE))</f>
        <v>0</v>
      </c>
      <c r="L62" s="4">
        <f>(VLOOKUP('102 5.1.00'!S62,'102 5.1.00'!$AL$4:$AN$55,3,FALSE))</f>
        <v>0</v>
      </c>
      <c r="M62" s="4">
        <f>(VLOOKUP('102 5.1.00'!T62,'102 5.1.00'!$AL$4:$AN$55,3,FALSE))</f>
        <v>0</v>
      </c>
      <c r="N62" s="4">
        <f>(VLOOKUP('102 5.1.00'!U62,'102 5.1.00'!$AL$4:$AN$55,3,FALSE))</f>
        <v>0</v>
      </c>
      <c r="O62" s="5">
        <f>(VLOOKUP('102 5.1.00'!V62,'102 5.1.00'!$AL$4:$AN$55,3,FALSE))</f>
        <v>0</v>
      </c>
      <c r="P62" s="5">
        <f>(VLOOKUP('102 5.1.00'!W62,'102 5.1.00'!$AL$4:$AN$55,3,FALSE))</f>
        <v>0</v>
      </c>
      <c r="Q62" s="4">
        <f>(VLOOKUP('102 5.1.00'!X62,'102 5.1.00'!$AL$4:$AN$55,3,FALSE))</f>
        <v>0</v>
      </c>
      <c r="R62" s="4">
        <f>(VLOOKUP('102 5.1.00'!Y62,'102 5.1.00'!$AL$4:$AN$55,3,FALSE))</f>
        <v>0</v>
      </c>
      <c r="S62" s="4">
        <f>(VLOOKUP('102 5.1.00'!Z62,'102 5.1.00'!$AL$4:$AN$55,3,FALSE))</f>
        <v>0</v>
      </c>
      <c r="T62" s="4">
        <f>(VLOOKUP('102 5.1.00'!AA62,'102 5.1.00'!$AL$4:$AN$55,3,FALSE))</f>
        <v>0</v>
      </c>
      <c r="U62" s="4">
        <f>(VLOOKUP('102 5.1.00'!AB62,'102 5.1.00'!$AL$4:$AN$55,3,FALSE))</f>
        <v>0</v>
      </c>
      <c r="V62" s="4">
        <f>(VLOOKUP('102 5.1.00'!AC62,'102 5.1.00'!$AL$4:$AN$55,3,FALSE))</f>
        <v>0</v>
      </c>
      <c r="W62" s="5">
        <f>(VLOOKUP('102 5.1.00'!AD62,'102 5.1.00'!$AL$4:$AN$55,3,FALSE))</f>
        <v>0</v>
      </c>
      <c r="X62" s="5">
        <f>(VLOOKUP('102 5.1.00'!AE62,'102 5.1.00'!$AL$4:$AN$55,3,FALSE))</f>
        <v>0</v>
      </c>
    </row>
    <row r="63" spans="1:24">
      <c r="A63" s="4">
        <f>(VLOOKUP('102 5.1.00'!H63,'102 5.1.00'!$AL$4:$AN$55,3,FALSE))</f>
        <v>0</v>
      </c>
      <c r="B63" s="4">
        <f>(VLOOKUP('102 5.1.00'!I63,'102 5.1.00'!$AL$4:$AN$55,3,FALSE))</f>
        <v>0</v>
      </c>
      <c r="C63" s="4">
        <f>(VLOOKUP('102 5.1.00'!J63,'102 5.1.00'!$AL$4:$AN$55,3,FALSE))</f>
        <v>0</v>
      </c>
      <c r="D63" s="4">
        <f>(VLOOKUP('102 5.1.00'!K63,'102 5.1.00'!$AL$4:$AN$55,3,FALSE))</f>
        <v>0</v>
      </c>
      <c r="E63" s="4">
        <f>(VLOOKUP('102 5.1.00'!L63,'102 5.1.00'!$AL$4:$AN$55,3,FALSE))</f>
        <v>0</v>
      </c>
      <c r="F63" s="4">
        <f>(VLOOKUP('102 5.1.00'!M63,'102 5.1.00'!$AL$4:$AN$55,3,FALSE))</f>
        <v>0</v>
      </c>
      <c r="G63" s="5">
        <f>(VLOOKUP('102 5.1.00'!N63,'102 5.1.00'!$AL$4:$AN$55,3,FALSE))</f>
        <v>0</v>
      </c>
      <c r="H63" s="5">
        <f>(VLOOKUP('102 5.1.00'!O63,'102 5.1.00'!$AL$4:$AN$55,3,FALSE))</f>
        <v>0</v>
      </c>
      <c r="I63" s="4">
        <f>(VLOOKUP('102 5.1.00'!P63,'102 5.1.00'!$AL$4:$AN$55,3,FALSE))</f>
        <v>0</v>
      </c>
      <c r="J63" s="4">
        <f>(VLOOKUP('102 5.1.00'!Q63,'102 5.1.00'!$AL$4:$AN$55,3,FALSE))</f>
        <v>0</v>
      </c>
      <c r="K63" s="4">
        <f>(VLOOKUP('102 5.1.00'!R63,'102 5.1.00'!$AL$4:$AN$55,3,FALSE))</f>
        <v>0</v>
      </c>
      <c r="L63" s="4">
        <f>(VLOOKUP('102 5.1.00'!S63,'102 5.1.00'!$AL$4:$AN$55,3,FALSE))</f>
        <v>0</v>
      </c>
      <c r="M63" s="4">
        <f>(VLOOKUP('102 5.1.00'!T63,'102 5.1.00'!$AL$4:$AN$55,3,FALSE))</f>
        <v>0</v>
      </c>
      <c r="N63" s="4">
        <f>(VLOOKUP('102 5.1.00'!U63,'102 5.1.00'!$AL$4:$AN$55,3,FALSE))</f>
        <v>0</v>
      </c>
      <c r="O63" s="5">
        <f>(VLOOKUP('102 5.1.00'!V63,'102 5.1.00'!$AL$4:$AN$55,3,FALSE))</f>
        <v>0</v>
      </c>
      <c r="P63" s="5">
        <f>(VLOOKUP('102 5.1.00'!W63,'102 5.1.00'!$AL$4:$AN$55,3,FALSE))</f>
        <v>0</v>
      </c>
      <c r="Q63" s="4">
        <f>(VLOOKUP('102 5.1.00'!X63,'102 5.1.00'!$AL$4:$AN$55,3,FALSE))</f>
        <v>0</v>
      </c>
      <c r="R63" s="4">
        <f>(VLOOKUP('102 5.1.00'!Y63,'102 5.1.00'!$AL$4:$AN$55,3,FALSE))</f>
        <v>0</v>
      </c>
      <c r="S63" s="4">
        <f>(VLOOKUP('102 5.1.00'!Z63,'102 5.1.00'!$AL$4:$AN$55,3,FALSE))</f>
        <v>0</v>
      </c>
      <c r="T63" s="4">
        <f>(VLOOKUP('102 5.1.00'!AA63,'102 5.1.00'!$AL$4:$AN$55,3,FALSE))</f>
        <v>0</v>
      </c>
      <c r="U63" s="4">
        <f>(VLOOKUP('102 5.1.00'!AB63,'102 5.1.00'!$AL$4:$AN$55,3,FALSE))</f>
        <v>0</v>
      </c>
      <c r="V63" s="4">
        <f>(VLOOKUP('102 5.1.00'!AC63,'102 5.1.00'!$AL$4:$AN$55,3,FALSE))</f>
        <v>0</v>
      </c>
      <c r="W63" s="5">
        <f>(VLOOKUP('102 5.1.00'!AD63,'102 5.1.00'!$AL$4:$AN$55,3,FALSE))</f>
        <v>0</v>
      </c>
      <c r="X63" s="5">
        <f>(VLOOKUP('102 5.1.00'!AE63,'102 5.1.00'!$AL$4:$AN$55,3,FALSE))</f>
        <v>0</v>
      </c>
    </row>
    <row r="64" spans="1:24">
      <c r="A64" s="4">
        <f>(VLOOKUP('102 5.1.00'!H64,'102 5.1.00'!$AL$4:$AN$55,3,FALSE))</f>
        <v>0</v>
      </c>
      <c r="B64" s="4">
        <f>(VLOOKUP('102 5.1.00'!I64,'102 5.1.00'!$AL$4:$AN$55,3,FALSE))</f>
        <v>0</v>
      </c>
      <c r="C64" s="4">
        <f>(VLOOKUP('102 5.1.00'!J64,'102 5.1.00'!$AL$4:$AN$55,3,FALSE))</f>
        <v>0</v>
      </c>
      <c r="D64" s="4">
        <f>(VLOOKUP('102 5.1.00'!K64,'102 5.1.00'!$AL$4:$AN$55,3,FALSE))</f>
        <v>0</v>
      </c>
      <c r="E64" s="4">
        <f>(VLOOKUP('102 5.1.00'!L64,'102 5.1.00'!$AL$4:$AN$55,3,FALSE))</f>
        <v>0</v>
      </c>
      <c r="F64" s="4">
        <f>(VLOOKUP('102 5.1.00'!M64,'102 5.1.00'!$AL$4:$AN$55,3,FALSE))</f>
        <v>0</v>
      </c>
      <c r="G64" s="5">
        <f>(VLOOKUP('102 5.1.00'!N64,'102 5.1.00'!$AL$4:$AN$55,3,FALSE))</f>
        <v>0</v>
      </c>
      <c r="H64" s="5">
        <f>(VLOOKUP('102 5.1.00'!O64,'102 5.1.00'!$AL$4:$AN$55,3,FALSE))</f>
        <v>0</v>
      </c>
      <c r="I64" s="4">
        <f>(VLOOKUP('102 5.1.00'!P64,'102 5.1.00'!$AL$4:$AN$55,3,FALSE))</f>
        <v>0</v>
      </c>
      <c r="J64" s="4">
        <f>(VLOOKUP('102 5.1.00'!Q64,'102 5.1.00'!$AL$4:$AN$55,3,FALSE))</f>
        <v>0</v>
      </c>
      <c r="K64" s="4">
        <f>(VLOOKUP('102 5.1.00'!R64,'102 5.1.00'!$AL$4:$AN$55,3,FALSE))</f>
        <v>0</v>
      </c>
      <c r="L64" s="4">
        <f>(VLOOKUP('102 5.1.00'!S64,'102 5.1.00'!$AL$4:$AN$55,3,FALSE))</f>
        <v>0</v>
      </c>
      <c r="M64" s="4">
        <f>(VLOOKUP('102 5.1.00'!T64,'102 5.1.00'!$AL$4:$AN$55,3,FALSE))</f>
        <v>0</v>
      </c>
      <c r="N64" s="4">
        <f>(VLOOKUP('102 5.1.00'!U64,'102 5.1.00'!$AL$4:$AN$55,3,FALSE))</f>
        <v>0</v>
      </c>
      <c r="O64" s="5">
        <f>(VLOOKUP('102 5.1.00'!V64,'102 5.1.00'!$AL$4:$AN$55,3,FALSE))</f>
        <v>0</v>
      </c>
      <c r="P64" s="5">
        <f>(VLOOKUP('102 5.1.00'!W64,'102 5.1.00'!$AL$4:$AN$55,3,FALSE))</f>
        <v>0</v>
      </c>
      <c r="Q64" s="4">
        <f>(VLOOKUP('102 5.1.00'!X64,'102 5.1.00'!$AL$4:$AN$55,3,FALSE))</f>
        <v>0</v>
      </c>
      <c r="R64" s="4">
        <f>(VLOOKUP('102 5.1.00'!Y64,'102 5.1.00'!$AL$4:$AN$55,3,FALSE))</f>
        <v>0</v>
      </c>
      <c r="S64" s="4">
        <f>(VLOOKUP('102 5.1.00'!Z64,'102 5.1.00'!$AL$4:$AN$55,3,FALSE))</f>
        <v>0</v>
      </c>
      <c r="T64" s="4">
        <f>(VLOOKUP('102 5.1.00'!AA64,'102 5.1.00'!$AL$4:$AN$55,3,FALSE))</f>
        <v>0</v>
      </c>
      <c r="U64" s="4">
        <f>(VLOOKUP('102 5.1.00'!AB64,'102 5.1.00'!$AL$4:$AN$55,3,FALSE))</f>
        <v>0</v>
      </c>
      <c r="V64" s="4">
        <f>(VLOOKUP('102 5.1.00'!AC64,'102 5.1.00'!$AL$4:$AN$55,3,FALSE))</f>
        <v>0</v>
      </c>
      <c r="W64" s="5">
        <f>(VLOOKUP('102 5.1.00'!AD64,'102 5.1.00'!$AL$4:$AN$55,3,FALSE))</f>
        <v>0</v>
      </c>
      <c r="X64" s="5">
        <f>(VLOOKUP('102 5.1.00'!AE64,'102 5.1.00'!$AL$4:$AN$55,3,FALSE))</f>
        <v>0</v>
      </c>
    </row>
    <row r="65" spans="1:24">
      <c r="A65" s="4">
        <f>(VLOOKUP('102 5.1.00'!H65,'102 5.1.00'!$AL$4:$AN$55,3,FALSE))</f>
        <v>0</v>
      </c>
      <c r="B65" s="4">
        <f>(VLOOKUP('102 5.1.00'!I65,'102 5.1.00'!$AL$4:$AN$55,3,FALSE))</f>
        <v>0</v>
      </c>
      <c r="C65" s="4">
        <f>(VLOOKUP('102 5.1.00'!J65,'102 5.1.00'!$AL$4:$AN$55,3,FALSE))</f>
        <v>0</v>
      </c>
      <c r="D65" s="4">
        <f>(VLOOKUP('102 5.1.00'!K65,'102 5.1.00'!$AL$4:$AN$55,3,FALSE))</f>
        <v>0</v>
      </c>
      <c r="E65" s="4">
        <f>(VLOOKUP('102 5.1.00'!L65,'102 5.1.00'!$AL$4:$AN$55,3,FALSE))</f>
        <v>0</v>
      </c>
      <c r="F65" s="4">
        <f>(VLOOKUP('102 5.1.00'!M65,'102 5.1.00'!$AL$4:$AN$55,3,FALSE))</f>
        <v>0</v>
      </c>
      <c r="G65" s="5">
        <f>(VLOOKUP('102 5.1.00'!N65,'102 5.1.00'!$AL$4:$AN$55,3,FALSE))</f>
        <v>0</v>
      </c>
      <c r="H65" s="5">
        <f>(VLOOKUP('102 5.1.00'!O65,'102 5.1.00'!$AL$4:$AN$55,3,FALSE))</f>
        <v>0</v>
      </c>
      <c r="I65" s="4">
        <f>(VLOOKUP('102 5.1.00'!P65,'102 5.1.00'!$AL$4:$AN$55,3,FALSE))</f>
        <v>0</v>
      </c>
      <c r="J65" s="4">
        <f>(VLOOKUP('102 5.1.00'!Q65,'102 5.1.00'!$AL$4:$AN$55,3,FALSE))</f>
        <v>0</v>
      </c>
      <c r="K65" s="4">
        <f>(VLOOKUP('102 5.1.00'!R65,'102 5.1.00'!$AL$4:$AN$55,3,FALSE))</f>
        <v>0</v>
      </c>
      <c r="L65" s="4">
        <f>(VLOOKUP('102 5.1.00'!S65,'102 5.1.00'!$AL$4:$AN$55,3,FALSE))</f>
        <v>0</v>
      </c>
      <c r="M65" s="4">
        <f>(VLOOKUP('102 5.1.00'!T65,'102 5.1.00'!$AL$4:$AN$55,3,FALSE))</f>
        <v>0</v>
      </c>
      <c r="N65" s="4">
        <f>(VLOOKUP('102 5.1.00'!U65,'102 5.1.00'!$AL$4:$AN$55,3,FALSE))</f>
        <v>0</v>
      </c>
      <c r="O65" s="5">
        <f>(VLOOKUP('102 5.1.00'!V65,'102 5.1.00'!$AL$4:$AN$55,3,FALSE))</f>
        <v>0</v>
      </c>
      <c r="P65" s="5">
        <f>(VLOOKUP('102 5.1.00'!W65,'102 5.1.00'!$AL$4:$AN$55,3,FALSE))</f>
        <v>0</v>
      </c>
      <c r="Q65" s="4">
        <f>(VLOOKUP('102 5.1.00'!X65,'102 5.1.00'!$AL$4:$AN$55,3,FALSE))</f>
        <v>0</v>
      </c>
      <c r="R65" s="4">
        <f>(VLOOKUP('102 5.1.00'!Y65,'102 5.1.00'!$AL$4:$AN$55,3,FALSE))</f>
        <v>0</v>
      </c>
      <c r="S65" s="4">
        <f>(VLOOKUP('102 5.1.00'!Z65,'102 5.1.00'!$AL$4:$AN$55,3,FALSE))</f>
        <v>0</v>
      </c>
      <c r="T65" s="4">
        <f>(VLOOKUP('102 5.1.00'!AA65,'102 5.1.00'!$AL$4:$AN$55,3,FALSE))</f>
        <v>0</v>
      </c>
      <c r="U65" s="4">
        <f>(VLOOKUP('102 5.1.00'!AB65,'102 5.1.00'!$AL$4:$AN$55,3,FALSE))</f>
        <v>0</v>
      </c>
      <c r="V65" s="4">
        <f>(VLOOKUP('102 5.1.00'!AC65,'102 5.1.00'!$AL$4:$AN$55,3,FALSE))</f>
        <v>0</v>
      </c>
      <c r="W65" s="5">
        <f>(VLOOKUP('102 5.1.00'!AD65,'102 5.1.00'!$AL$4:$AN$55,3,FALSE))</f>
        <v>0</v>
      </c>
      <c r="X65" s="5">
        <f>(VLOOKUP('102 5.1.00'!AE65,'102 5.1.00'!$AL$4:$AN$55,3,FALSE))</f>
        <v>0</v>
      </c>
    </row>
    <row r="66" spans="1:24">
      <c r="A66" s="4">
        <f>(VLOOKUP('102 5.1.00'!H66,'102 5.1.00'!$AL$4:$AN$55,3,FALSE))</f>
        <v>0</v>
      </c>
      <c r="B66" s="4">
        <f>(VLOOKUP('102 5.1.00'!I66,'102 5.1.00'!$AL$4:$AN$55,3,FALSE))</f>
        <v>0</v>
      </c>
      <c r="C66" s="4">
        <f>(VLOOKUP('102 5.1.00'!J66,'102 5.1.00'!$AL$4:$AN$55,3,FALSE))</f>
        <v>0</v>
      </c>
      <c r="D66" s="4">
        <f>(VLOOKUP('102 5.1.00'!K66,'102 5.1.00'!$AL$4:$AN$55,3,FALSE))</f>
        <v>0</v>
      </c>
      <c r="E66" s="4">
        <f>(VLOOKUP('102 5.1.00'!L66,'102 5.1.00'!$AL$4:$AN$55,3,FALSE))</f>
        <v>0</v>
      </c>
      <c r="F66" s="4">
        <f>(VLOOKUP('102 5.1.00'!M66,'102 5.1.00'!$AL$4:$AN$55,3,FALSE))</f>
        <v>0</v>
      </c>
      <c r="G66" s="5">
        <f>(VLOOKUP('102 5.1.00'!N66,'102 5.1.00'!$AL$4:$AN$55,3,FALSE))</f>
        <v>0</v>
      </c>
      <c r="H66" s="5">
        <f>(VLOOKUP('102 5.1.00'!O66,'102 5.1.00'!$AL$4:$AN$55,3,FALSE))</f>
        <v>0</v>
      </c>
      <c r="I66" s="4">
        <f>(VLOOKUP('102 5.1.00'!P66,'102 5.1.00'!$AL$4:$AN$55,3,FALSE))</f>
        <v>0</v>
      </c>
      <c r="J66" s="4">
        <f>(VLOOKUP('102 5.1.00'!Q66,'102 5.1.00'!$AL$4:$AN$55,3,FALSE))</f>
        <v>0</v>
      </c>
      <c r="K66" s="4">
        <f>(VLOOKUP('102 5.1.00'!R66,'102 5.1.00'!$AL$4:$AN$55,3,FALSE))</f>
        <v>0</v>
      </c>
      <c r="L66" s="4">
        <f>(VLOOKUP('102 5.1.00'!S66,'102 5.1.00'!$AL$4:$AN$55,3,FALSE))</f>
        <v>0</v>
      </c>
      <c r="M66" s="4">
        <f>(VLOOKUP('102 5.1.00'!T66,'102 5.1.00'!$AL$4:$AN$55,3,FALSE))</f>
        <v>0</v>
      </c>
      <c r="N66" s="4">
        <f>(VLOOKUP('102 5.1.00'!U66,'102 5.1.00'!$AL$4:$AN$55,3,FALSE))</f>
        <v>0</v>
      </c>
      <c r="O66" s="5">
        <f>(VLOOKUP('102 5.1.00'!V66,'102 5.1.00'!$AL$4:$AN$55,3,FALSE))</f>
        <v>0</v>
      </c>
      <c r="P66" s="5">
        <f>(VLOOKUP('102 5.1.00'!W66,'102 5.1.00'!$AL$4:$AN$55,3,FALSE))</f>
        <v>0</v>
      </c>
      <c r="Q66" s="4">
        <f>(VLOOKUP('102 5.1.00'!X66,'102 5.1.00'!$AL$4:$AN$55,3,FALSE))</f>
        <v>0</v>
      </c>
      <c r="R66" s="4">
        <f>(VLOOKUP('102 5.1.00'!Y66,'102 5.1.00'!$AL$4:$AN$55,3,FALSE))</f>
        <v>0</v>
      </c>
      <c r="S66" s="4">
        <f>(VLOOKUP('102 5.1.00'!Z66,'102 5.1.00'!$AL$4:$AN$55,3,FALSE))</f>
        <v>0</v>
      </c>
      <c r="T66" s="4">
        <f>(VLOOKUP('102 5.1.00'!AA66,'102 5.1.00'!$AL$4:$AN$55,3,FALSE))</f>
        <v>0</v>
      </c>
      <c r="U66" s="4">
        <f>(VLOOKUP('102 5.1.00'!AB66,'102 5.1.00'!$AL$4:$AN$55,3,FALSE))</f>
        <v>0</v>
      </c>
      <c r="V66" s="4">
        <f>(VLOOKUP('102 5.1.00'!AC66,'102 5.1.00'!$AL$4:$AN$55,3,FALSE))</f>
        <v>0</v>
      </c>
      <c r="W66" s="5">
        <f>(VLOOKUP('102 5.1.00'!AD66,'102 5.1.00'!$AL$4:$AN$55,3,FALSE))</f>
        <v>0</v>
      </c>
      <c r="X66" s="5">
        <f>(VLOOKUP('102 5.1.00'!AE66,'102 5.1.00'!$AL$4:$AN$55,3,FALSE))</f>
        <v>0</v>
      </c>
    </row>
    <row r="67" spans="1:24">
      <c r="A67" s="4">
        <f>(VLOOKUP('102 5.1.00'!H67,'102 5.1.00'!$AL$4:$AN$55,3,FALSE))</f>
        <v>0</v>
      </c>
      <c r="B67" s="4">
        <f>(VLOOKUP('102 5.1.00'!I67,'102 5.1.00'!$AL$4:$AN$55,3,FALSE))</f>
        <v>0</v>
      </c>
      <c r="C67" s="4">
        <f>(VLOOKUP('102 5.1.00'!J67,'102 5.1.00'!$AL$4:$AN$55,3,FALSE))</f>
        <v>0</v>
      </c>
      <c r="D67" s="4">
        <f>(VLOOKUP('102 5.1.00'!K67,'102 5.1.00'!$AL$4:$AN$55,3,FALSE))</f>
        <v>0</v>
      </c>
      <c r="E67" s="4">
        <f>(VLOOKUP('102 5.1.00'!L67,'102 5.1.00'!$AL$4:$AN$55,3,FALSE))</f>
        <v>0</v>
      </c>
      <c r="F67" s="4">
        <f>(VLOOKUP('102 5.1.00'!M67,'102 5.1.00'!$AL$4:$AN$55,3,FALSE))</f>
        <v>0</v>
      </c>
      <c r="G67" s="5">
        <f>(VLOOKUP('102 5.1.00'!N67,'102 5.1.00'!$AL$4:$AN$55,3,FALSE))</f>
        <v>0</v>
      </c>
      <c r="H67" s="5">
        <f>(VLOOKUP('102 5.1.00'!O67,'102 5.1.00'!$AL$4:$AN$55,3,FALSE))</f>
        <v>0</v>
      </c>
      <c r="I67" s="4">
        <f>(VLOOKUP('102 5.1.00'!P67,'102 5.1.00'!$AL$4:$AN$55,3,FALSE))</f>
        <v>0</v>
      </c>
      <c r="J67" s="4">
        <f>(VLOOKUP('102 5.1.00'!Q67,'102 5.1.00'!$AL$4:$AN$55,3,FALSE))</f>
        <v>0</v>
      </c>
      <c r="K67" s="4">
        <f>(VLOOKUP('102 5.1.00'!R67,'102 5.1.00'!$AL$4:$AN$55,3,FALSE))</f>
        <v>0</v>
      </c>
      <c r="L67" s="4">
        <f>(VLOOKUP('102 5.1.00'!S67,'102 5.1.00'!$AL$4:$AN$55,3,FALSE))</f>
        <v>0</v>
      </c>
      <c r="M67" s="4">
        <f>(VLOOKUP('102 5.1.00'!T67,'102 5.1.00'!$AL$4:$AN$55,3,FALSE))</f>
        <v>0</v>
      </c>
      <c r="N67" s="4">
        <f>(VLOOKUP('102 5.1.00'!U67,'102 5.1.00'!$AL$4:$AN$55,3,FALSE))</f>
        <v>0</v>
      </c>
      <c r="O67" s="5">
        <f>(VLOOKUP('102 5.1.00'!V67,'102 5.1.00'!$AL$4:$AN$55,3,FALSE))</f>
        <v>0</v>
      </c>
      <c r="P67" s="5">
        <f>(VLOOKUP('102 5.1.00'!W67,'102 5.1.00'!$AL$4:$AN$55,3,FALSE))</f>
        <v>0</v>
      </c>
      <c r="Q67" s="4">
        <f>(VLOOKUP('102 5.1.00'!X67,'102 5.1.00'!$AL$4:$AN$55,3,FALSE))</f>
        <v>0</v>
      </c>
      <c r="R67" s="4">
        <f>(VLOOKUP('102 5.1.00'!Y67,'102 5.1.00'!$AL$4:$AN$55,3,FALSE))</f>
        <v>0</v>
      </c>
      <c r="S67" s="4">
        <f>(VLOOKUP('102 5.1.00'!Z67,'102 5.1.00'!$AL$4:$AN$55,3,FALSE))</f>
        <v>0</v>
      </c>
      <c r="T67" s="4">
        <f>(VLOOKUP('102 5.1.00'!AA67,'102 5.1.00'!$AL$4:$AN$55,3,FALSE))</f>
        <v>0</v>
      </c>
      <c r="U67" s="4">
        <f>(VLOOKUP('102 5.1.00'!AB67,'102 5.1.00'!$AL$4:$AN$55,3,FALSE))</f>
        <v>0</v>
      </c>
      <c r="V67" s="4">
        <f>(VLOOKUP('102 5.1.00'!AC67,'102 5.1.00'!$AL$4:$AN$55,3,FALSE))</f>
        <v>0</v>
      </c>
      <c r="W67" s="5">
        <f>(VLOOKUP('102 5.1.00'!AD67,'102 5.1.00'!$AL$4:$AN$55,3,FALSE))</f>
        <v>0</v>
      </c>
      <c r="X67" s="5">
        <f>(VLOOKUP('102 5.1.00'!AE67,'102 5.1.00'!$AL$4:$AN$55,3,FALSE))</f>
        <v>0</v>
      </c>
    </row>
    <row r="68" spans="1:24">
      <c r="A68" s="4">
        <f>(VLOOKUP('102 5.1.00'!H68,'102 5.1.00'!$AL$4:$AN$55,3,FALSE))</f>
        <v>0</v>
      </c>
      <c r="B68" s="4">
        <f>(VLOOKUP('102 5.1.00'!I68,'102 5.1.00'!$AL$4:$AN$55,3,FALSE))</f>
        <v>0</v>
      </c>
      <c r="C68" s="4">
        <f>(VLOOKUP('102 5.1.00'!J68,'102 5.1.00'!$AL$4:$AN$55,3,FALSE))</f>
        <v>0</v>
      </c>
      <c r="D68" s="4">
        <f>(VLOOKUP('102 5.1.00'!K68,'102 5.1.00'!$AL$4:$AN$55,3,FALSE))</f>
        <v>0</v>
      </c>
      <c r="E68" s="4">
        <f>(VLOOKUP('102 5.1.00'!L68,'102 5.1.00'!$AL$4:$AN$55,3,FALSE))</f>
        <v>0</v>
      </c>
      <c r="F68" s="4">
        <f>(VLOOKUP('102 5.1.00'!M68,'102 5.1.00'!$AL$4:$AN$55,3,FALSE))</f>
        <v>0</v>
      </c>
      <c r="G68" s="5">
        <f>(VLOOKUP('102 5.1.00'!N68,'102 5.1.00'!$AL$4:$AN$55,3,FALSE))</f>
        <v>0</v>
      </c>
      <c r="H68" s="5">
        <f>(VLOOKUP('102 5.1.00'!O68,'102 5.1.00'!$AL$4:$AN$55,3,FALSE))</f>
        <v>0</v>
      </c>
      <c r="I68" s="4">
        <f>(VLOOKUP('102 5.1.00'!P68,'102 5.1.00'!$AL$4:$AN$55,3,FALSE))</f>
        <v>0</v>
      </c>
      <c r="J68" s="4">
        <f>(VLOOKUP('102 5.1.00'!Q68,'102 5.1.00'!$AL$4:$AN$55,3,FALSE))</f>
        <v>0</v>
      </c>
      <c r="K68" s="4">
        <f>(VLOOKUP('102 5.1.00'!R68,'102 5.1.00'!$AL$4:$AN$55,3,FALSE))</f>
        <v>0</v>
      </c>
      <c r="L68" s="4">
        <f>(VLOOKUP('102 5.1.00'!S68,'102 5.1.00'!$AL$4:$AN$55,3,FALSE))</f>
        <v>0</v>
      </c>
      <c r="M68" s="4">
        <f>(VLOOKUP('102 5.1.00'!T68,'102 5.1.00'!$AL$4:$AN$55,3,FALSE))</f>
        <v>0</v>
      </c>
      <c r="N68" s="4">
        <f>(VLOOKUP('102 5.1.00'!U68,'102 5.1.00'!$AL$4:$AN$55,3,FALSE))</f>
        <v>0</v>
      </c>
      <c r="O68" s="5">
        <f>(VLOOKUP('102 5.1.00'!V68,'102 5.1.00'!$AL$4:$AN$55,3,FALSE))</f>
        <v>0</v>
      </c>
      <c r="P68" s="5">
        <f>(VLOOKUP('102 5.1.00'!W68,'102 5.1.00'!$AL$4:$AN$55,3,FALSE))</f>
        <v>0</v>
      </c>
      <c r="Q68" s="4">
        <f>(VLOOKUP('102 5.1.00'!X68,'102 5.1.00'!$AL$4:$AN$55,3,FALSE))</f>
        <v>0</v>
      </c>
      <c r="R68" s="4">
        <f>(VLOOKUP('102 5.1.00'!Y68,'102 5.1.00'!$AL$4:$AN$55,3,FALSE))</f>
        <v>0</v>
      </c>
      <c r="S68" s="4">
        <f>(VLOOKUP('102 5.1.00'!Z68,'102 5.1.00'!$AL$4:$AN$55,3,FALSE))</f>
        <v>0</v>
      </c>
      <c r="T68" s="4">
        <f>(VLOOKUP('102 5.1.00'!AA68,'102 5.1.00'!$AL$4:$AN$55,3,FALSE))</f>
        <v>0</v>
      </c>
      <c r="U68" s="4">
        <f>(VLOOKUP('102 5.1.00'!AB68,'102 5.1.00'!$AL$4:$AN$55,3,FALSE))</f>
        <v>0</v>
      </c>
      <c r="V68" s="4">
        <f>(VLOOKUP('102 5.1.00'!AC68,'102 5.1.00'!$AL$4:$AN$55,3,FALSE))</f>
        <v>0</v>
      </c>
      <c r="W68" s="5">
        <f>(VLOOKUP('102 5.1.00'!AD68,'102 5.1.00'!$AL$4:$AN$55,3,FALSE))</f>
        <v>0</v>
      </c>
      <c r="X68" s="5">
        <f>(VLOOKUP('102 5.1.00'!AE68,'102 5.1.00'!$AL$4:$AN$55,3,FALSE))</f>
        <v>0</v>
      </c>
    </row>
    <row r="69" spans="1:24">
      <c r="A69" s="4">
        <f>(VLOOKUP('102 5.1.00'!H69,'102 5.1.00'!$AL$4:$AN$55,3,FALSE))</f>
        <v>0</v>
      </c>
      <c r="B69" s="4">
        <f>(VLOOKUP('102 5.1.00'!I69,'102 5.1.00'!$AL$4:$AN$55,3,FALSE))</f>
        <v>0</v>
      </c>
      <c r="C69" s="4">
        <f>(VLOOKUP('102 5.1.00'!J69,'102 5.1.00'!$AL$4:$AN$55,3,FALSE))</f>
        <v>0</v>
      </c>
      <c r="D69" s="4">
        <f>(VLOOKUP('102 5.1.00'!K69,'102 5.1.00'!$AL$4:$AN$55,3,FALSE))</f>
        <v>0</v>
      </c>
      <c r="E69" s="4">
        <f>(VLOOKUP('102 5.1.00'!L69,'102 5.1.00'!$AL$4:$AN$55,3,FALSE))</f>
        <v>0</v>
      </c>
      <c r="F69" s="4">
        <f>(VLOOKUP('102 5.1.00'!M69,'102 5.1.00'!$AL$4:$AN$55,3,FALSE))</f>
        <v>0</v>
      </c>
      <c r="G69" s="5">
        <f>(VLOOKUP('102 5.1.00'!N69,'102 5.1.00'!$AL$4:$AN$55,3,FALSE))</f>
        <v>0</v>
      </c>
      <c r="H69" s="5">
        <f>(VLOOKUP('102 5.1.00'!O69,'102 5.1.00'!$AL$4:$AN$55,3,FALSE))</f>
        <v>0</v>
      </c>
      <c r="I69" s="4">
        <f>(VLOOKUP('102 5.1.00'!P69,'102 5.1.00'!$AL$4:$AN$55,3,FALSE))</f>
        <v>0</v>
      </c>
      <c r="J69" s="4">
        <f>(VLOOKUP('102 5.1.00'!Q69,'102 5.1.00'!$AL$4:$AN$55,3,FALSE))</f>
        <v>0</v>
      </c>
      <c r="K69" s="4">
        <f>(VLOOKUP('102 5.1.00'!R69,'102 5.1.00'!$AL$4:$AN$55,3,FALSE))</f>
        <v>0</v>
      </c>
      <c r="L69" s="4">
        <f>(VLOOKUP('102 5.1.00'!S69,'102 5.1.00'!$AL$4:$AN$55,3,FALSE))</f>
        <v>0</v>
      </c>
      <c r="M69" s="4">
        <f>(VLOOKUP('102 5.1.00'!T69,'102 5.1.00'!$AL$4:$AN$55,3,FALSE))</f>
        <v>0</v>
      </c>
      <c r="N69" s="4">
        <f>(VLOOKUP('102 5.1.00'!U69,'102 5.1.00'!$AL$4:$AN$55,3,FALSE))</f>
        <v>0</v>
      </c>
      <c r="O69" s="5">
        <f>(VLOOKUP('102 5.1.00'!V69,'102 5.1.00'!$AL$4:$AN$55,3,FALSE))</f>
        <v>0</v>
      </c>
      <c r="P69" s="5">
        <f>(VLOOKUP('102 5.1.00'!W69,'102 5.1.00'!$AL$4:$AN$55,3,FALSE))</f>
        <v>0</v>
      </c>
      <c r="Q69" s="4">
        <f>(VLOOKUP('102 5.1.00'!X69,'102 5.1.00'!$AL$4:$AN$55,3,FALSE))</f>
        <v>0</v>
      </c>
      <c r="R69" s="4">
        <f>(VLOOKUP('102 5.1.00'!Y69,'102 5.1.00'!$AL$4:$AN$55,3,FALSE))</f>
        <v>0</v>
      </c>
      <c r="S69" s="4">
        <f>(VLOOKUP('102 5.1.00'!Z69,'102 5.1.00'!$AL$4:$AN$55,3,FALSE))</f>
        <v>0</v>
      </c>
      <c r="T69" s="4">
        <f>(VLOOKUP('102 5.1.00'!AA69,'102 5.1.00'!$AL$4:$AN$55,3,FALSE))</f>
        <v>0</v>
      </c>
      <c r="U69" s="4">
        <f>(VLOOKUP('102 5.1.00'!AB69,'102 5.1.00'!$AL$4:$AN$55,3,FALSE))</f>
        <v>0</v>
      </c>
      <c r="V69" s="4">
        <f>(VLOOKUP('102 5.1.00'!AC69,'102 5.1.00'!$AL$4:$AN$55,3,FALSE))</f>
        <v>0</v>
      </c>
      <c r="W69" s="5">
        <f>(VLOOKUP('102 5.1.00'!AD69,'102 5.1.00'!$AL$4:$AN$55,3,FALSE))</f>
        <v>0</v>
      </c>
      <c r="X69" s="5">
        <f>(VLOOKUP('102 5.1.00'!AE69,'102 5.1.00'!$AL$4:$AN$55,3,FALSE))</f>
        <v>0</v>
      </c>
    </row>
    <row r="70" spans="1:24">
      <c r="A70" s="4">
        <f>(VLOOKUP('102 5.1.00'!H70,'102 5.1.00'!$AL$4:$AN$55,3,FALSE))</f>
        <v>0</v>
      </c>
      <c r="B70" s="4">
        <f>(VLOOKUP('102 5.1.00'!I70,'102 5.1.00'!$AL$4:$AN$55,3,FALSE))</f>
        <v>0</v>
      </c>
      <c r="C70" s="4">
        <f>(VLOOKUP('102 5.1.00'!J70,'102 5.1.00'!$AL$4:$AN$55,3,FALSE))</f>
        <v>0</v>
      </c>
      <c r="D70" s="4">
        <f>(VLOOKUP('102 5.1.00'!K70,'102 5.1.00'!$AL$4:$AN$55,3,FALSE))</f>
        <v>0</v>
      </c>
      <c r="E70" s="4">
        <f>(VLOOKUP('102 5.1.00'!L70,'102 5.1.00'!$AL$4:$AN$55,3,FALSE))</f>
        <v>0</v>
      </c>
      <c r="F70" s="4">
        <f>(VLOOKUP('102 5.1.00'!M70,'102 5.1.00'!$AL$4:$AN$55,3,FALSE))</f>
        <v>0</v>
      </c>
      <c r="G70" s="5">
        <f>(VLOOKUP('102 5.1.00'!N70,'102 5.1.00'!$AL$4:$AN$55,3,FALSE))</f>
        <v>0</v>
      </c>
      <c r="H70" s="5">
        <f>(VLOOKUP('102 5.1.00'!O70,'102 5.1.00'!$AL$4:$AN$55,3,FALSE))</f>
        <v>0</v>
      </c>
      <c r="I70" s="4">
        <f>(VLOOKUP('102 5.1.00'!P70,'102 5.1.00'!$AL$4:$AN$55,3,FALSE))</f>
        <v>0</v>
      </c>
      <c r="J70" s="4">
        <f>(VLOOKUP('102 5.1.00'!Q70,'102 5.1.00'!$AL$4:$AN$55,3,FALSE))</f>
        <v>0</v>
      </c>
      <c r="K70" s="4">
        <f>(VLOOKUP('102 5.1.00'!R70,'102 5.1.00'!$AL$4:$AN$55,3,FALSE))</f>
        <v>0</v>
      </c>
      <c r="L70" s="4">
        <f>(VLOOKUP('102 5.1.00'!S70,'102 5.1.00'!$AL$4:$AN$55,3,FALSE))</f>
        <v>0</v>
      </c>
      <c r="M70" s="4">
        <f>(VLOOKUP('102 5.1.00'!T70,'102 5.1.00'!$AL$4:$AN$55,3,FALSE))</f>
        <v>0</v>
      </c>
      <c r="N70" s="4">
        <f>(VLOOKUP('102 5.1.00'!U70,'102 5.1.00'!$AL$4:$AN$55,3,FALSE))</f>
        <v>0</v>
      </c>
      <c r="O70" s="5">
        <f>(VLOOKUP('102 5.1.00'!V70,'102 5.1.00'!$AL$4:$AN$55,3,FALSE))</f>
        <v>0</v>
      </c>
      <c r="P70" s="5">
        <f>(VLOOKUP('102 5.1.00'!W70,'102 5.1.00'!$AL$4:$AN$55,3,FALSE))</f>
        <v>0</v>
      </c>
      <c r="Q70" s="4">
        <f>(VLOOKUP('102 5.1.00'!X70,'102 5.1.00'!$AL$4:$AN$55,3,FALSE))</f>
        <v>0</v>
      </c>
      <c r="R70" s="4">
        <f>(VLOOKUP('102 5.1.00'!Y70,'102 5.1.00'!$AL$4:$AN$55,3,FALSE))</f>
        <v>0</v>
      </c>
      <c r="S70" s="4">
        <f>(VLOOKUP('102 5.1.00'!Z70,'102 5.1.00'!$AL$4:$AN$55,3,FALSE))</f>
        <v>0</v>
      </c>
      <c r="T70" s="4">
        <f>(VLOOKUP('102 5.1.00'!AA70,'102 5.1.00'!$AL$4:$AN$55,3,FALSE))</f>
        <v>0</v>
      </c>
      <c r="U70" s="4">
        <f>(VLOOKUP('102 5.1.00'!AB70,'102 5.1.00'!$AL$4:$AN$55,3,FALSE))</f>
        <v>0</v>
      </c>
      <c r="V70" s="4">
        <f>(VLOOKUP('102 5.1.00'!AC70,'102 5.1.00'!$AL$4:$AN$55,3,FALSE))</f>
        <v>0</v>
      </c>
      <c r="W70" s="5">
        <f>(VLOOKUP('102 5.1.00'!AD70,'102 5.1.00'!$AL$4:$AN$55,3,FALSE))</f>
        <v>0</v>
      </c>
      <c r="X70" s="5">
        <f>(VLOOKUP('102 5.1.00'!AE70,'102 5.1.00'!$AL$4:$AN$55,3,FALSE))</f>
        <v>0</v>
      </c>
    </row>
    <row r="71" spans="1:24">
      <c r="A71" s="4">
        <f>(VLOOKUP('102 5.1.00'!H71,'102 5.1.00'!$AL$4:$AN$55,3,FALSE))</f>
        <v>0</v>
      </c>
      <c r="B71" s="4">
        <f>(VLOOKUP('102 5.1.00'!I71,'102 5.1.00'!$AL$4:$AN$55,3,FALSE))</f>
        <v>0</v>
      </c>
      <c r="C71" s="4">
        <f>(VLOOKUP('102 5.1.00'!J71,'102 5.1.00'!$AL$4:$AN$55,3,FALSE))</f>
        <v>0</v>
      </c>
      <c r="D71" s="4">
        <f>(VLOOKUP('102 5.1.00'!K71,'102 5.1.00'!$AL$4:$AN$55,3,FALSE))</f>
        <v>0</v>
      </c>
      <c r="E71" s="4">
        <f>(VLOOKUP('102 5.1.00'!L71,'102 5.1.00'!$AL$4:$AN$55,3,FALSE))</f>
        <v>0</v>
      </c>
      <c r="F71" s="4">
        <f>(VLOOKUP('102 5.1.00'!M71,'102 5.1.00'!$AL$4:$AN$55,3,FALSE))</f>
        <v>0</v>
      </c>
      <c r="G71" s="5">
        <f>(VLOOKUP('102 5.1.00'!N71,'102 5.1.00'!$AL$4:$AN$55,3,FALSE))</f>
        <v>0</v>
      </c>
      <c r="H71" s="5">
        <f>(VLOOKUP('102 5.1.00'!O71,'102 5.1.00'!$AL$4:$AN$55,3,FALSE))</f>
        <v>0</v>
      </c>
      <c r="I71" s="4">
        <f>(VLOOKUP('102 5.1.00'!P71,'102 5.1.00'!$AL$4:$AN$55,3,FALSE))</f>
        <v>0</v>
      </c>
      <c r="J71" s="4">
        <f>(VLOOKUP('102 5.1.00'!Q71,'102 5.1.00'!$AL$4:$AN$55,3,FALSE))</f>
        <v>0</v>
      </c>
      <c r="K71" s="4">
        <f>(VLOOKUP('102 5.1.00'!R71,'102 5.1.00'!$AL$4:$AN$55,3,FALSE))</f>
        <v>0</v>
      </c>
      <c r="L71" s="4">
        <f>(VLOOKUP('102 5.1.00'!S71,'102 5.1.00'!$AL$4:$AN$55,3,FALSE))</f>
        <v>0</v>
      </c>
      <c r="M71" s="4">
        <f>(VLOOKUP('102 5.1.00'!T71,'102 5.1.00'!$AL$4:$AN$55,3,FALSE))</f>
        <v>0</v>
      </c>
      <c r="N71" s="4">
        <f>(VLOOKUP('102 5.1.00'!U71,'102 5.1.00'!$AL$4:$AN$55,3,FALSE))</f>
        <v>0</v>
      </c>
      <c r="O71" s="5">
        <f>(VLOOKUP('102 5.1.00'!V71,'102 5.1.00'!$AL$4:$AN$55,3,FALSE))</f>
        <v>0</v>
      </c>
      <c r="P71" s="5">
        <f>(VLOOKUP('102 5.1.00'!W71,'102 5.1.00'!$AL$4:$AN$55,3,FALSE))</f>
        <v>0</v>
      </c>
      <c r="Q71" s="4">
        <f>(VLOOKUP('102 5.1.00'!X71,'102 5.1.00'!$AL$4:$AN$55,3,FALSE))</f>
        <v>0</v>
      </c>
      <c r="R71" s="4">
        <f>(VLOOKUP('102 5.1.00'!Y71,'102 5.1.00'!$AL$4:$AN$55,3,FALSE))</f>
        <v>0</v>
      </c>
      <c r="S71" s="4">
        <f>(VLOOKUP('102 5.1.00'!Z71,'102 5.1.00'!$AL$4:$AN$55,3,FALSE))</f>
        <v>0</v>
      </c>
      <c r="T71" s="4">
        <f>(VLOOKUP('102 5.1.00'!AA71,'102 5.1.00'!$AL$4:$AN$55,3,FALSE))</f>
        <v>0</v>
      </c>
      <c r="U71" s="4">
        <f>(VLOOKUP('102 5.1.00'!AB71,'102 5.1.00'!$AL$4:$AN$55,3,FALSE))</f>
        <v>0</v>
      </c>
      <c r="V71" s="4">
        <f>(VLOOKUP('102 5.1.00'!AC71,'102 5.1.00'!$AL$4:$AN$55,3,FALSE))</f>
        <v>0</v>
      </c>
      <c r="W71" s="5">
        <f>(VLOOKUP('102 5.1.00'!AD71,'102 5.1.00'!$AL$4:$AN$55,3,FALSE))</f>
        <v>0</v>
      </c>
      <c r="X71" s="5">
        <f>(VLOOKUP('102 5.1.00'!AE71,'102 5.1.00'!$AL$4:$AN$55,3,FALSE))</f>
        <v>0</v>
      </c>
    </row>
    <row r="72" spans="1:24">
      <c r="A72" s="4">
        <f>(VLOOKUP('102 5.1.00'!H72,'102 5.1.00'!$AL$4:$AN$55,3,FALSE))</f>
        <v>0</v>
      </c>
      <c r="B72" s="4">
        <f>(VLOOKUP('102 5.1.00'!I72,'102 5.1.00'!$AL$4:$AN$55,3,FALSE))</f>
        <v>0</v>
      </c>
      <c r="C72" s="4">
        <f>(VLOOKUP('102 5.1.00'!J72,'102 5.1.00'!$AL$4:$AN$55,3,FALSE))</f>
        <v>0</v>
      </c>
      <c r="D72" s="4">
        <f>(VLOOKUP('102 5.1.00'!K72,'102 5.1.00'!$AL$4:$AN$55,3,FALSE))</f>
        <v>0</v>
      </c>
      <c r="E72" s="4">
        <f>(VLOOKUP('102 5.1.00'!L72,'102 5.1.00'!$AL$4:$AN$55,3,FALSE))</f>
        <v>0</v>
      </c>
      <c r="F72" s="4">
        <f>(VLOOKUP('102 5.1.00'!M72,'102 5.1.00'!$AL$4:$AN$55,3,FALSE))</f>
        <v>0</v>
      </c>
      <c r="G72" s="5">
        <f>(VLOOKUP('102 5.1.00'!N72,'102 5.1.00'!$AL$4:$AN$55,3,FALSE))</f>
        <v>0</v>
      </c>
      <c r="H72" s="5">
        <f>(VLOOKUP('102 5.1.00'!O72,'102 5.1.00'!$AL$4:$AN$55,3,FALSE))</f>
        <v>0</v>
      </c>
      <c r="I72" s="4">
        <f>(VLOOKUP('102 5.1.00'!P72,'102 5.1.00'!$AL$4:$AN$55,3,FALSE))</f>
        <v>0</v>
      </c>
      <c r="J72" s="4">
        <f>(VLOOKUP('102 5.1.00'!Q72,'102 5.1.00'!$AL$4:$AN$55,3,FALSE))</f>
        <v>0</v>
      </c>
      <c r="K72" s="4">
        <f>(VLOOKUP('102 5.1.00'!R72,'102 5.1.00'!$AL$4:$AN$55,3,FALSE))</f>
        <v>0</v>
      </c>
      <c r="L72" s="4">
        <f>(VLOOKUP('102 5.1.00'!S72,'102 5.1.00'!$AL$4:$AN$55,3,FALSE))</f>
        <v>0</v>
      </c>
      <c r="M72" s="4">
        <f>(VLOOKUP('102 5.1.00'!T72,'102 5.1.00'!$AL$4:$AN$55,3,FALSE))</f>
        <v>0</v>
      </c>
      <c r="N72" s="4">
        <f>(VLOOKUP('102 5.1.00'!U72,'102 5.1.00'!$AL$4:$AN$55,3,FALSE))</f>
        <v>0</v>
      </c>
      <c r="O72" s="5">
        <f>(VLOOKUP('102 5.1.00'!V72,'102 5.1.00'!$AL$4:$AN$55,3,FALSE))</f>
        <v>0</v>
      </c>
      <c r="P72" s="5">
        <f>(VLOOKUP('102 5.1.00'!W72,'102 5.1.00'!$AL$4:$AN$55,3,FALSE))</f>
        <v>0</v>
      </c>
      <c r="Q72" s="4">
        <f>(VLOOKUP('102 5.1.00'!X72,'102 5.1.00'!$AL$4:$AN$55,3,FALSE))</f>
        <v>0</v>
      </c>
      <c r="R72" s="4">
        <f>(VLOOKUP('102 5.1.00'!Y72,'102 5.1.00'!$AL$4:$AN$55,3,FALSE))</f>
        <v>0</v>
      </c>
      <c r="S72" s="4">
        <f>(VLOOKUP('102 5.1.00'!Z72,'102 5.1.00'!$AL$4:$AN$55,3,FALSE))</f>
        <v>0</v>
      </c>
      <c r="T72" s="4">
        <f>(VLOOKUP('102 5.1.00'!AA72,'102 5.1.00'!$AL$4:$AN$55,3,FALSE))</f>
        <v>0</v>
      </c>
      <c r="U72" s="4">
        <f>(VLOOKUP('102 5.1.00'!AB72,'102 5.1.00'!$AL$4:$AN$55,3,FALSE))</f>
        <v>0</v>
      </c>
      <c r="V72" s="4">
        <f>(VLOOKUP('102 5.1.00'!AC72,'102 5.1.00'!$AL$4:$AN$55,3,FALSE))</f>
        <v>0</v>
      </c>
      <c r="W72" s="5">
        <f>(VLOOKUP('102 5.1.00'!AD72,'102 5.1.00'!$AL$4:$AN$55,3,FALSE))</f>
        <v>0</v>
      </c>
      <c r="X72" s="5">
        <f>(VLOOKUP('102 5.1.00'!AE72,'102 5.1.00'!$AL$4:$AN$55,3,FALSE))</f>
        <v>0</v>
      </c>
    </row>
    <row r="73" spans="1:24">
      <c r="A73" s="4">
        <f>(VLOOKUP('102 5.1.00'!H73,'102 5.1.00'!$AL$4:$AN$55,3,FALSE))</f>
        <v>0</v>
      </c>
      <c r="B73" s="4">
        <f>(VLOOKUP('102 5.1.00'!I73,'102 5.1.00'!$AL$4:$AN$55,3,FALSE))</f>
        <v>0</v>
      </c>
      <c r="C73" s="4">
        <f>(VLOOKUP('102 5.1.00'!J73,'102 5.1.00'!$AL$4:$AN$55,3,FALSE))</f>
        <v>0</v>
      </c>
      <c r="D73" s="4">
        <f>(VLOOKUP('102 5.1.00'!K73,'102 5.1.00'!$AL$4:$AN$55,3,FALSE))</f>
        <v>0</v>
      </c>
      <c r="E73" s="4">
        <f>(VLOOKUP('102 5.1.00'!L73,'102 5.1.00'!$AL$4:$AN$55,3,FALSE))</f>
        <v>0</v>
      </c>
      <c r="F73" s="4">
        <f>(VLOOKUP('102 5.1.00'!M73,'102 5.1.00'!$AL$4:$AN$55,3,FALSE))</f>
        <v>0</v>
      </c>
      <c r="G73" s="5">
        <f>(VLOOKUP('102 5.1.00'!N73,'102 5.1.00'!$AL$4:$AN$55,3,FALSE))</f>
        <v>0</v>
      </c>
      <c r="H73" s="5">
        <f>(VLOOKUP('102 5.1.00'!O73,'102 5.1.00'!$AL$4:$AN$55,3,FALSE))</f>
        <v>0</v>
      </c>
      <c r="I73" s="4">
        <f>(VLOOKUP('102 5.1.00'!P73,'102 5.1.00'!$AL$4:$AN$55,3,FALSE))</f>
        <v>0</v>
      </c>
      <c r="J73" s="4">
        <f>(VLOOKUP('102 5.1.00'!Q73,'102 5.1.00'!$AL$4:$AN$55,3,FALSE))</f>
        <v>0</v>
      </c>
      <c r="K73" s="4">
        <f>(VLOOKUP('102 5.1.00'!R73,'102 5.1.00'!$AL$4:$AN$55,3,FALSE))</f>
        <v>0</v>
      </c>
      <c r="L73" s="4">
        <f>(VLOOKUP('102 5.1.00'!S73,'102 5.1.00'!$AL$4:$AN$55,3,FALSE))</f>
        <v>0</v>
      </c>
      <c r="M73" s="4">
        <f>(VLOOKUP('102 5.1.00'!T73,'102 5.1.00'!$AL$4:$AN$55,3,FALSE))</f>
        <v>0</v>
      </c>
      <c r="N73" s="4">
        <f>(VLOOKUP('102 5.1.00'!U73,'102 5.1.00'!$AL$4:$AN$55,3,FALSE))</f>
        <v>0</v>
      </c>
      <c r="O73" s="5">
        <f>(VLOOKUP('102 5.1.00'!V73,'102 5.1.00'!$AL$4:$AN$55,3,FALSE))</f>
        <v>0</v>
      </c>
      <c r="P73" s="5">
        <f>(VLOOKUP('102 5.1.00'!W73,'102 5.1.00'!$AL$4:$AN$55,3,FALSE))</f>
        <v>0</v>
      </c>
      <c r="Q73" s="4">
        <f>(VLOOKUP('102 5.1.00'!X73,'102 5.1.00'!$AL$4:$AN$55,3,FALSE))</f>
        <v>0</v>
      </c>
      <c r="R73" s="4">
        <f>(VLOOKUP('102 5.1.00'!Y73,'102 5.1.00'!$AL$4:$AN$55,3,FALSE))</f>
        <v>0</v>
      </c>
      <c r="S73" s="4">
        <f>(VLOOKUP('102 5.1.00'!Z73,'102 5.1.00'!$AL$4:$AN$55,3,FALSE))</f>
        <v>0</v>
      </c>
      <c r="T73" s="4">
        <f>(VLOOKUP('102 5.1.00'!AA73,'102 5.1.00'!$AL$4:$AN$55,3,FALSE))</f>
        <v>0</v>
      </c>
      <c r="U73" s="4">
        <f>(VLOOKUP('102 5.1.00'!AB73,'102 5.1.00'!$AL$4:$AN$55,3,FALSE))</f>
        <v>0</v>
      </c>
      <c r="V73" s="4">
        <f>(VLOOKUP('102 5.1.00'!AC73,'102 5.1.00'!$AL$4:$AN$55,3,FALSE))</f>
        <v>0</v>
      </c>
      <c r="W73" s="5">
        <f>(VLOOKUP('102 5.1.00'!AD73,'102 5.1.00'!$AL$4:$AN$55,3,FALSE))</f>
        <v>0</v>
      </c>
      <c r="X73" s="5">
        <f>(VLOOKUP('102 5.1.00'!AE73,'102 5.1.00'!$AL$4:$AN$55,3,FALSE))</f>
        <v>0</v>
      </c>
    </row>
    <row r="74" spans="1:24">
      <c r="A74" s="4">
        <f>(VLOOKUP('102 5.1.00'!H74,'102 5.1.00'!$AL$4:$AN$55,3,FALSE))</f>
        <v>0</v>
      </c>
      <c r="B74" s="4">
        <f>(VLOOKUP('102 5.1.00'!I74,'102 5.1.00'!$AL$4:$AN$55,3,FALSE))</f>
        <v>0</v>
      </c>
      <c r="C74" s="4">
        <f>(VLOOKUP('102 5.1.00'!J74,'102 5.1.00'!$AL$4:$AN$55,3,FALSE))</f>
        <v>0</v>
      </c>
      <c r="D74" s="4">
        <f>(VLOOKUP('102 5.1.00'!K74,'102 5.1.00'!$AL$4:$AN$55,3,FALSE))</f>
        <v>0</v>
      </c>
      <c r="E74" s="4">
        <f>(VLOOKUP('102 5.1.00'!L74,'102 5.1.00'!$AL$4:$AN$55,3,FALSE))</f>
        <v>0</v>
      </c>
      <c r="F74" s="4">
        <f>(VLOOKUP('102 5.1.00'!M74,'102 5.1.00'!$AL$4:$AN$55,3,FALSE))</f>
        <v>0</v>
      </c>
      <c r="G74" s="5">
        <f>(VLOOKUP('102 5.1.00'!N74,'102 5.1.00'!$AL$4:$AN$55,3,FALSE))</f>
        <v>0</v>
      </c>
      <c r="H74" s="5">
        <f>(VLOOKUP('102 5.1.00'!O74,'102 5.1.00'!$AL$4:$AN$55,3,FALSE))</f>
        <v>0</v>
      </c>
      <c r="I74" s="4">
        <f>(VLOOKUP('102 5.1.00'!P74,'102 5.1.00'!$AL$4:$AN$55,3,FALSE))</f>
        <v>0</v>
      </c>
      <c r="J74" s="4">
        <f>(VLOOKUP('102 5.1.00'!Q74,'102 5.1.00'!$AL$4:$AN$55,3,FALSE))</f>
        <v>0</v>
      </c>
      <c r="K74" s="4">
        <f>(VLOOKUP('102 5.1.00'!R74,'102 5.1.00'!$AL$4:$AN$55,3,FALSE))</f>
        <v>0</v>
      </c>
      <c r="L74" s="4">
        <f>(VLOOKUP('102 5.1.00'!S74,'102 5.1.00'!$AL$4:$AN$55,3,FALSE))</f>
        <v>0</v>
      </c>
      <c r="M74" s="4">
        <f>(VLOOKUP('102 5.1.00'!T74,'102 5.1.00'!$AL$4:$AN$55,3,FALSE))</f>
        <v>0</v>
      </c>
      <c r="N74" s="4">
        <f>(VLOOKUP('102 5.1.00'!U74,'102 5.1.00'!$AL$4:$AN$55,3,FALSE))</f>
        <v>0</v>
      </c>
      <c r="O74" s="5">
        <f>(VLOOKUP('102 5.1.00'!V74,'102 5.1.00'!$AL$4:$AN$55,3,FALSE))</f>
        <v>0</v>
      </c>
      <c r="P74" s="5">
        <f>(VLOOKUP('102 5.1.00'!W74,'102 5.1.00'!$AL$4:$AN$55,3,FALSE))</f>
        <v>0</v>
      </c>
      <c r="Q74" s="4">
        <f>(VLOOKUP('102 5.1.00'!X74,'102 5.1.00'!$AL$4:$AN$55,3,FALSE))</f>
        <v>0</v>
      </c>
      <c r="R74" s="4">
        <f>(VLOOKUP('102 5.1.00'!Y74,'102 5.1.00'!$AL$4:$AN$55,3,FALSE))</f>
        <v>0</v>
      </c>
      <c r="S74" s="4">
        <f>(VLOOKUP('102 5.1.00'!Z74,'102 5.1.00'!$AL$4:$AN$55,3,FALSE))</f>
        <v>0</v>
      </c>
      <c r="T74" s="4">
        <f>(VLOOKUP('102 5.1.00'!AA74,'102 5.1.00'!$AL$4:$AN$55,3,FALSE))</f>
        <v>0</v>
      </c>
      <c r="U74" s="4">
        <f>(VLOOKUP('102 5.1.00'!AB74,'102 5.1.00'!$AL$4:$AN$55,3,FALSE))</f>
        <v>0</v>
      </c>
      <c r="V74" s="4">
        <f>(VLOOKUP('102 5.1.00'!AC74,'102 5.1.00'!$AL$4:$AN$55,3,FALSE))</f>
        <v>0</v>
      </c>
      <c r="W74" s="5">
        <f>(VLOOKUP('102 5.1.00'!AD74,'102 5.1.00'!$AL$4:$AN$55,3,FALSE))</f>
        <v>0</v>
      </c>
      <c r="X74" s="5">
        <f>(VLOOKUP('102 5.1.00'!AE74,'102 5.1.00'!$AL$4:$AN$55,3,FALSE))</f>
        <v>0</v>
      </c>
    </row>
    <row r="75" spans="1:24">
      <c r="A75" s="4">
        <f>(VLOOKUP('102 5.1.00'!H75,'102 5.1.00'!$AL$4:$AN$55,3,FALSE))</f>
        <v>0</v>
      </c>
      <c r="B75" s="4">
        <f>(VLOOKUP('102 5.1.00'!I75,'102 5.1.00'!$AL$4:$AN$55,3,FALSE))</f>
        <v>0</v>
      </c>
      <c r="C75" s="4">
        <f>(VLOOKUP('102 5.1.00'!J75,'102 5.1.00'!$AL$4:$AN$55,3,FALSE))</f>
        <v>0</v>
      </c>
      <c r="D75" s="4">
        <f>(VLOOKUP('102 5.1.00'!K75,'102 5.1.00'!$AL$4:$AN$55,3,FALSE))</f>
        <v>0</v>
      </c>
      <c r="E75" s="4">
        <f>(VLOOKUP('102 5.1.00'!L75,'102 5.1.00'!$AL$4:$AN$55,3,FALSE))</f>
        <v>0</v>
      </c>
      <c r="F75" s="4">
        <f>(VLOOKUP('102 5.1.00'!M75,'102 5.1.00'!$AL$4:$AN$55,3,FALSE))</f>
        <v>0</v>
      </c>
      <c r="G75" s="5">
        <f>(VLOOKUP('102 5.1.00'!N75,'102 5.1.00'!$AL$4:$AN$55,3,FALSE))</f>
        <v>0</v>
      </c>
      <c r="H75" s="5">
        <f>(VLOOKUP('102 5.1.00'!O75,'102 5.1.00'!$AL$4:$AN$55,3,FALSE))</f>
        <v>0</v>
      </c>
      <c r="I75" s="4">
        <f>(VLOOKUP('102 5.1.00'!P75,'102 5.1.00'!$AL$4:$AN$55,3,FALSE))</f>
        <v>0</v>
      </c>
      <c r="J75" s="4">
        <f>(VLOOKUP('102 5.1.00'!Q75,'102 5.1.00'!$AL$4:$AN$55,3,FALSE))</f>
        <v>0</v>
      </c>
      <c r="K75" s="4">
        <f>(VLOOKUP('102 5.1.00'!R75,'102 5.1.00'!$AL$4:$AN$55,3,FALSE))</f>
        <v>0</v>
      </c>
      <c r="L75" s="4">
        <f>(VLOOKUP('102 5.1.00'!S75,'102 5.1.00'!$AL$4:$AN$55,3,FALSE))</f>
        <v>0</v>
      </c>
      <c r="M75" s="4">
        <f>(VLOOKUP('102 5.1.00'!T75,'102 5.1.00'!$AL$4:$AN$55,3,FALSE))</f>
        <v>0</v>
      </c>
      <c r="N75" s="4">
        <f>(VLOOKUP('102 5.1.00'!U75,'102 5.1.00'!$AL$4:$AN$55,3,FALSE))</f>
        <v>0</v>
      </c>
      <c r="O75" s="5">
        <f>(VLOOKUP('102 5.1.00'!V75,'102 5.1.00'!$AL$4:$AN$55,3,FALSE))</f>
        <v>0</v>
      </c>
      <c r="P75" s="5">
        <f>(VLOOKUP('102 5.1.00'!W75,'102 5.1.00'!$AL$4:$AN$55,3,FALSE))</f>
        <v>0</v>
      </c>
      <c r="Q75" s="4">
        <f>(VLOOKUP('102 5.1.00'!X75,'102 5.1.00'!$AL$4:$AN$55,3,FALSE))</f>
        <v>0</v>
      </c>
      <c r="R75" s="4">
        <f>(VLOOKUP('102 5.1.00'!Y75,'102 5.1.00'!$AL$4:$AN$55,3,FALSE))</f>
        <v>0</v>
      </c>
      <c r="S75" s="4">
        <f>(VLOOKUP('102 5.1.00'!Z75,'102 5.1.00'!$AL$4:$AN$55,3,FALSE))</f>
        <v>0</v>
      </c>
      <c r="T75" s="4">
        <f>(VLOOKUP('102 5.1.00'!AA75,'102 5.1.00'!$AL$4:$AN$55,3,FALSE))</f>
        <v>0</v>
      </c>
      <c r="U75" s="4">
        <f>(VLOOKUP('102 5.1.00'!AB75,'102 5.1.00'!$AL$4:$AN$55,3,FALSE))</f>
        <v>0</v>
      </c>
      <c r="V75" s="4">
        <f>(VLOOKUP('102 5.1.00'!AC75,'102 5.1.00'!$AL$4:$AN$55,3,FALSE))</f>
        <v>0</v>
      </c>
      <c r="W75" s="5">
        <f>(VLOOKUP('102 5.1.00'!AD75,'102 5.1.00'!$AL$4:$AN$55,3,FALSE))</f>
        <v>0</v>
      </c>
      <c r="X75" s="5">
        <f>(VLOOKUP('102 5.1.00'!AE75,'102 5.1.00'!$AL$4:$AN$55,3,FALSE))</f>
        <v>0</v>
      </c>
    </row>
    <row r="76" spans="1:24">
      <c r="A76" s="4">
        <f>(VLOOKUP('102 5.1.00'!H76,'102 5.1.00'!$AL$4:$AN$55,3,FALSE))</f>
        <v>0</v>
      </c>
      <c r="B76" s="4">
        <f>(VLOOKUP('102 5.1.00'!I76,'102 5.1.00'!$AL$4:$AN$55,3,FALSE))</f>
        <v>0</v>
      </c>
      <c r="C76" s="4">
        <f>(VLOOKUP('102 5.1.00'!J76,'102 5.1.00'!$AL$4:$AN$55,3,FALSE))</f>
        <v>0</v>
      </c>
      <c r="D76" s="4">
        <f>(VLOOKUP('102 5.1.00'!K76,'102 5.1.00'!$AL$4:$AN$55,3,FALSE))</f>
        <v>0</v>
      </c>
      <c r="E76" s="4">
        <f>(VLOOKUP('102 5.1.00'!L76,'102 5.1.00'!$AL$4:$AN$55,3,FALSE))</f>
        <v>0</v>
      </c>
      <c r="F76" s="4">
        <f>(VLOOKUP('102 5.1.00'!M76,'102 5.1.00'!$AL$4:$AN$55,3,FALSE))</f>
        <v>0</v>
      </c>
      <c r="G76" s="5">
        <f>(VLOOKUP('102 5.1.00'!N76,'102 5.1.00'!$AL$4:$AN$55,3,FALSE))</f>
        <v>0</v>
      </c>
      <c r="H76" s="5">
        <f>(VLOOKUP('102 5.1.00'!O76,'102 5.1.00'!$AL$4:$AN$55,3,FALSE))</f>
        <v>0</v>
      </c>
      <c r="I76" s="4">
        <f>(VLOOKUP('102 5.1.00'!P76,'102 5.1.00'!$AL$4:$AN$55,3,FALSE))</f>
        <v>0</v>
      </c>
      <c r="J76" s="4">
        <f>(VLOOKUP('102 5.1.00'!Q76,'102 5.1.00'!$AL$4:$AN$55,3,FALSE))</f>
        <v>0</v>
      </c>
      <c r="K76" s="4">
        <f>(VLOOKUP('102 5.1.00'!R76,'102 5.1.00'!$AL$4:$AN$55,3,FALSE))</f>
        <v>0</v>
      </c>
      <c r="L76" s="4">
        <f>(VLOOKUP('102 5.1.00'!S76,'102 5.1.00'!$AL$4:$AN$55,3,FALSE))</f>
        <v>0</v>
      </c>
      <c r="M76" s="4">
        <f>(VLOOKUP('102 5.1.00'!T76,'102 5.1.00'!$AL$4:$AN$55,3,FALSE))</f>
        <v>0</v>
      </c>
      <c r="N76" s="4">
        <f>(VLOOKUP('102 5.1.00'!U76,'102 5.1.00'!$AL$4:$AN$55,3,FALSE))</f>
        <v>0</v>
      </c>
      <c r="O76" s="5">
        <f>(VLOOKUP('102 5.1.00'!V76,'102 5.1.00'!$AL$4:$AN$55,3,FALSE))</f>
        <v>0</v>
      </c>
      <c r="P76" s="5">
        <f>(VLOOKUP('102 5.1.00'!W76,'102 5.1.00'!$AL$4:$AN$55,3,FALSE))</f>
        <v>0</v>
      </c>
      <c r="Q76" s="4">
        <f>(VLOOKUP('102 5.1.00'!X76,'102 5.1.00'!$AL$4:$AN$55,3,FALSE))</f>
        <v>0</v>
      </c>
      <c r="R76" s="4">
        <f>(VLOOKUP('102 5.1.00'!Y76,'102 5.1.00'!$AL$4:$AN$55,3,FALSE))</f>
        <v>0</v>
      </c>
      <c r="S76" s="4">
        <f>(VLOOKUP('102 5.1.00'!Z76,'102 5.1.00'!$AL$4:$AN$55,3,FALSE))</f>
        <v>0</v>
      </c>
      <c r="T76" s="4">
        <f>(VLOOKUP('102 5.1.00'!AA76,'102 5.1.00'!$AL$4:$AN$55,3,FALSE))</f>
        <v>0</v>
      </c>
      <c r="U76" s="4">
        <f>(VLOOKUP('102 5.1.00'!AB76,'102 5.1.00'!$AL$4:$AN$55,3,FALSE))</f>
        <v>0</v>
      </c>
      <c r="V76" s="4">
        <f>(VLOOKUP('102 5.1.00'!AC76,'102 5.1.00'!$AL$4:$AN$55,3,FALSE))</f>
        <v>0</v>
      </c>
      <c r="W76" s="5">
        <f>(VLOOKUP('102 5.1.00'!AD76,'102 5.1.00'!$AL$4:$AN$55,3,FALSE))</f>
        <v>0</v>
      </c>
      <c r="X76" s="5">
        <f>(VLOOKUP('102 5.1.00'!AE76,'102 5.1.00'!$AL$4:$AN$55,3,FALSE))</f>
        <v>0</v>
      </c>
    </row>
    <row r="77" spans="1:24">
      <c r="A77" s="4">
        <f>(VLOOKUP('102 5.1.00'!H77,'102 5.1.00'!$AL$4:$AN$55,3,FALSE))</f>
        <v>0</v>
      </c>
      <c r="B77" s="4">
        <f>(VLOOKUP('102 5.1.00'!I77,'102 5.1.00'!$AL$4:$AN$55,3,FALSE))</f>
        <v>0</v>
      </c>
      <c r="C77" s="4">
        <f>(VLOOKUP('102 5.1.00'!J77,'102 5.1.00'!$AL$4:$AN$55,3,FALSE))</f>
        <v>0</v>
      </c>
      <c r="D77" s="4">
        <f>(VLOOKUP('102 5.1.00'!K77,'102 5.1.00'!$AL$4:$AN$55,3,FALSE))</f>
        <v>0</v>
      </c>
      <c r="E77" s="4">
        <f>(VLOOKUP('102 5.1.00'!L77,'102 5.1.00'!$AL$4:$AN$55,3,FALSE))</f>
        <v>0</v>
      </c>
      <c r="F77" s="4">
        <f>(VLOOKUP('102 5.1.00'!M77,'102 5.1.00'!$AL$4:$AN$55,3,FALSE))</f>
        <v>0</v>
      </c>
      <c r="G77" s="5">
        <f>(VLOOKUP('102 5.1.00'!N77,'102 5.1.00'!$AL$4:$AN$55,3,FALSE))</f>
        <v>0</v>
      </c>
      <c r="H77" s="5">
        <f>(VLOOKUP('102 5.1.00'!O77,'102 5.1.00'!$AL$4:$AN$55,3,FALSE))</f>
        <v>0</v>
      </c>
      <c r="I77" s="4">
        <f>(VLOOKUP('102 5.1.00'!P77,'102 5.1.00'!$AL$4:$AN$55,3,FALSE))</f>
        <v>0</v>
      </c>
      <c r="J77" s="4">
        <f>(VLOOKUP('102 5.1.00'!Q77,'102 5.1.00'!$AL$4:$AN$55,3,FALSE))</f>
        <v>0</v>
      </c>
      <c r="K77" s="4">
        <f>(VLOOKUP('102 5.1.00'!R77,'102 5.1.00'!$AL$4:$AN$55,3,FALSE))</f>
        <v>0</v>
      </c>
      <c r="L77" s="4">
        <f>(VLOOKUP('102 5.1.00'!S77,'102 5.1.00'!$AL$4:$AN$55,3,FALSE))</f>
        <v>0</v>
      </c>
      <c r="M77" s="4">
        <f>(VLOOKUP('102 5.1.00'!T77,'102 5.1.00'!$AL$4:$AN$55,3,FALSE))</f>
        <v>0</v>
      </c>
      <c r="N77" s="4">
        <f>(VLOOKUP('102 5.1.00'!U77,'102 5.1.00'!$AL$4:$AN$55,3,FALSE))</f>
        <v>0</v>
      </c>
      <c r="O77" s="5">
        <f>(VLOOKUP('102 5.1.00'!V77,'102 5.1.00'!$AL$4:$AN$55,3,FALSE))</f>
        <v>0</v>
      </c>
      <c r="P77" s="5">
        <f>(VLOOKUP('102 5.1.00'!W77,'102 5.1.00'!$AL$4:$AN$55,3,FALSE))</f>
        <v>0</v>
      </c>
      <c r="Q77" s="4">
        <f>(VLOOKUP('102 5.1.00'!X77,'102 5.1.00'!$AL$4:$AN$55,3,FALSE))</f>
        <v>0</v>
      </c>
      <c r="R77" s="4">
        <f>(VLOOKUP('102 5.1.00'!Y77,'102 5.1.00'!$AL$4:$AN$55,3,FALSE))</f>
        <v>0</v>
      </c>
      <c r="S77" s="4">
        <f>(VLOOKUP('102 5.1.00'!Z77,'102 5.1.00'!$AL$4:$AN$55,3,FALSE))</f>
        <v>0</v>
      </c>
      <c r="T77" s="4">
        <f>(VLOOKUP('102 5.1.00'!AA77,'102 5.1.00'!$AL$4:$AN$55,3,FALSE))</f>
        <v>0</v>
      </c>
      <c r="U77" s="4">
        <f>(VLOOKUP('102 5.1.00'!AB77,'102 5.1.00'!$AL$4:$AN$55,3,FALSE))</f>
        <v>0</v>
      </c>
      <c r="V77" s="4">
        <f>(VLOOKUP('102 5.1.00'!AC77,'102 5.1.00'!$AL$4:$AN$55,3,FALSE))</f>
        <v>0</v>
      </c>
      <c r="W77" s="5">
        <f>(VLOOKUP('102 5.1.00'!AD77,'102 5.1.00'!$AL$4:$AN$55,3,FALSE))</f>
        <v>0</v>
      </c>
      <c r="X77" s="5">
        <f>(VLOOKUP('102 5.1.00'!AE77,'102 5.1.00'!$AL$4:$AN$55,3,FALSE))</f>
        <v>0</v>
      </c>
    </row>
    <row r="78" spans="1:24">
      <c r="A78" s="4">
        <f>(VLOOKUP('102 5.1.00'!H78,'102 5.1.00'!$AL$4:$AN$55,3,FALSE))</f>
        <v>0</v>
      </c>
      <c r="B78" s="4">
        <f>(VLOOKUP('102 5.1.00'!I78,'102 5.1.00'!$AL$4:$AN$55,3,FALSE))</f>
        <v>0</v>
      </c>
      <c r="C78" s="4">
        <f>(VLOOKUP('102 5.1.00'!J78,'102 5.1.00'!$AL$4:$AN$55,3,FALSE))</f>
        <v>0</v>
      </c>
      <c r="D78" s="4">
        <f>(VLOOKUP('102 5.1.00'!K78,'102 5.1.00'!$AL$4:$AN$55,3,FALSE))</f>
        <v>0</v>
      </c>
      <c r="E78" s="4">
        <f>(VLOOKUP('102 5.1.00'!L78,'102 5.1.00'!$AL$4:$AN$55,3,FALSE))</f>
        <v>0</v>
      </c>
      <c r="F78" s="4">
        <f>(VLOOKUP('102 5.1.00'!M78,'102 5.1.00'!$AL$4:$AN$55,3,FALSE))</f>
        <v>0</v>
      </c>
      <c r="G78" s="5">
        <f>(VLOOKUP('102 5.1.00'!N78,'102 5.1.00'!$AL$4:$AN$55,3,FALSE))</f>
        <v>0</v>
      </c>
      <c r="H78" s="5">
        <f>(VLOOKUP('102 5.1.00'!O78,'102 5.1.00'!$AL$4:$AN$55,3,FALSE))</f>
        <v>0</v>
      </c>
      <c r="I78" s="4">
        <f>(VLOOKUP('102 5.1.00'!P78,'102 5.1.00'!$AL$4:$AN$55,3,FALSE))</f>
        <v>0</v>
      </c>
      <c r="J78" s="4">
        <f>(VLOOKUP('102 5.1.00'!Q78,'102 5.1.00'!$AL$4:$AN$55,3,FALSE))</f>
        <v>0</v>
      </c>
      <c r="K78" s="4">
        <f>(VLOOKUP('102 5.1.00'!R78,'102 5.1.00'!$AL$4:$AN$55,3,FALSE))</f>
        <v>0</v>
      </c>
      <c r="L78" s="4">
        <f>(VLOOKUP('102 5.1.00'!S78,'102 5.1.00'!$AL$4:$AN$55,3,FALSE))</f>
        <v>0</v>
      </c>
      <c r="M78" s="4">
        <f>(VLOOKUP('102 5.1.00'!T78,'102 5.1.00'!$AL$4:$AN$55,3,FALSE))</f>
        <v>0</v>
      </c>
      <c r="N78" s="4">
        <f>(VLOOKUP('102 5.1.00'!U78,'102 5.1.00'!$AL$4:$AN$55,3,FALSE))</f>
        <v>0</v>
      </c>
      <c r="O78" s="5">
        <f>(VLOOKUP('102 5.1.00'!V78,'102 5.1.00'!$AL$4:$AN$55,3,FALSE))</f>
        <v>0</v>
      </c>
      <c r="P78" s="5">
        <f>(VLOOKUP('102 5.1.00'!W78,'102 5.1.00'!$AL$4:$AN$55,3,FALSE))</f>
        <v>0</v>
      </c>
      <c r="Q78" s="4">
        <f>(VLOOKUP('102 5.1.00'!X78,'102 5.1.00'!$AL$4:$AN$55,3,FALSE))</f>
        <v>0</v>
      </c>
      <c r="R78" s="4">
        <f>(VLOOKUP('102 5.1.00'!Y78,'102 5.1.00'!$AL$4:$AN$55,3,FALSE))</f>
        <v>0</v>
      </c>
      <c r="S78" s="4">
        <f>(VLOOKUP('102 5.1.00'!Z78,'102 5.1.00'!$AL$4:$AN$55,3,FALSE))</f>
        <v>0</v>
      </c>
      <c r="T78" s="4">
        <f>(VLOOKUP('102 5.1.00'!AA78,'102 5.1.00'!$AL$4:$AN$55,3,FALSE))</f>
        <v>0</v>
      </c>
      <c r="U78" s="4">
        <f>(VLOOKUP('102 5.1.00'!AB78,'102 5.1.00'!$AL$4:$AN$55,3,FALSE))</f>
        <v>0</v>
      </c>
      <c r="V78" s="4">
        <f>(VLOOKUP('102 5.1.00'!AC78,'102 5.1.00'!$AL$4:$AN$55,3,FALSE))</f>
        <v>0</v>
      </c>
      <c r="W78" s="5">
        <f>(VLOOKUP('102 5.1.00'!AD78,'102 5.1.00'!$AL$4:$AN$55,3,FALSE))</f>
        <v>0</v>
      </c>
      <c r="X78" s="5">
        <f>(VLOOKUP('102 5.1.00'!AE78,'102 5.1.00'!$AL$4:$AN$55,3,FALSE))</f>
        <v>0</v>
      </c>
    </row>
    <row r="79" spans="1:24">
      <c r="A79" s="4">
        <f>(VLOOKUP('102 5.1.00'!H79,'102 5.1.00'!$AL$4:$AN$55,3,FALSE))</f>
        <v>0</v>
      </c>
      <c r="B79" s="4">
        <f>(VLOOKUP('102 5.1.00'!I79,'102 5.1.00'!$AL$4:$AN$55,3,FALSE))</f>
        <v>0</v>
      </c>
      <c r="C79" s="4">
        <f>(VLOOKUP('102 5.1.00'!J79,'102 5.1.00'!$AL$4:$AN$55,3,FALSE))</f>
        <v>0</v>
      </c>
      <c r="D79" s="4">
        <f>(VLOOKUP('102 5.1.00'!K79,'102 5.1.00'!$AL$4:$AN$55,3,FALSE))</f>
        <v>0</v>
      </c>
      <c r="E79" s="4">
        <f>(VLOOKUP('102 5.1.00'!L79,'102 5.1.00'!$AL$4:$AN$55,3,FALSE))</f>
        <v>0</v>
      </c>
      <c r="F79" s="4">
        <f>(VLOOKUP('102 5.1.00'!M79,'102 5.1.00'!$AL$4:$AN$55,3,FALSE))</f>
        <v>0</v>
      </c>
      <c r="G79" s="5">
        <f>(VLOOKUP('102 5.1.00'!N79,'102 5.1.00'!$AL$4:$AN$55,3,FALSE))</f>
        <v>0</v>
      </c>
      <c r="H79" s="5">
        <f>(VLOOKUP('102 5.1.00'!O79,'102 5.1.00'!$AL$4:$AN$55,3,FALSE))</f>
        <v>0</v>
      </c>
      <c r="I79" s="4">
        <f>(VLOOKUP('102 5.1.00'!P79,'102 5.1.00'!$AL$4:$AN$55,3,FALSE))</f>
        <v>0</v>
      </c>
      <c r="J79" s="4">
        <f>(VLOOKUP('102 5.1.00'!Q79,'102 5.1.00'!$AL$4:$AN$55,3,FALSE))</f>
        <v>0</v>
      </c>
      <c r="K79" s="4">
        <f>(VLOOKUP('102 5.1.00'!R79,'102 5.1.00'!$AL$4:$AN$55,3,FALSE))</f>
        <v>0</v>
      </c>
      <c r="L79" s="4">
        <f>(VLOOKUP('102 5.1.00'!S79,'102 5.1.00'!$AL$4:$AN$55,3,FALSE))</f>
        <v>0</v>
      </c>
      <c r="M79" s="4">
        <f>(VLOOKUP('102 5.1.00'!T79,'102 5.1.00'!$AL$4:$AN$55,3,FALSE))</f>
        <v>0</v>
      </c>
      <c r="N79" s="4">
        <f>(VLOOKUP('102 5.1.00'!U79,'102 5.1.00'!$AL$4:$AN$55,3,FALSE))</f>
        <v>0</v>
      </c>
      <c r="O79" s="5">
        <f>(VLOOKUP('102 5.1.00'!V79,'102 5.1.00'!$AL$4:$AN$55,3,FALSE))</f>
        <v>0</v>
      </c>
      <c r="P79" s="5">
        <f>(VLOOKUP('102 5.1.00'!W79,'102 5.1.00'!$AL$4:$AN$55,3,FALSE))</f>
        <v>0</v>
      </c>
      <c r="Q79" s="4">
        <f>(VLOOKUP('102 5.1.00'!X79,'102 5.1.00'!$AL$4:$AN$55,3,FALSE))</f>
        <v>0</v>
      </c>
      <c r="R79" s="4">
        <f>(VLOOKUP('102 5.1.00'!Y79,'102 5.1.00'!$AL$4:$AN$55,3,FALSE))</f>
        <v>0</v>
      </c>
      <c r="S79" s="4">
        <f>(VLOOKUP('102 5.1.00'!Z79,'102 5.1.00'!$AL$4:$AN$55,3,FALSE))</f>
        <v>0</v>
      </c>
      <c r="T79" s="4">
        <f>(VLOOKUP('102 5.1.00'!AA79,'102 5.1.00'!$AL$4:$AN$55,3,FALSE))</f>
        <v>0</v>
      </c>
      <c r="U79" s="4">
        <f>(VLOOKUP('102 5.1.00'!AB79,'102 5.1.00'!$AL$4:$AN$55,3,FALSE))</f>
        <v>0</v>
      </c>
      <c r="V79" s="4">
        <f>(VLOOKUP('102 5.1.00'!AC79,'102 5.1.00'!$AL$4:$AN$55,3,FALSE))</f>
        <v>0</v>
      </c>
      <c r="W79" s="5">
        <f>(VLOOKUP('102 5.1.00'!AD79,'102 5.1.00'!$AL$4:$AN$55,3,FALSE))</f>
        <v>0</v>
      </c>
      <c r="X79" s="5">
        <f>(VLOOKUP('102 5.1.00'!AE79,'102 5.1.00'!$AL$4:$AN$55,3,FALSE))</f>
        <v>0</v>
      </c>
    </row>
    <row r="80" spans="1:24">
      <c r="A80" s="4">
        <f>(VLOOKUP('102 5.1.00'!H80,'102 5.1.00'!$AL$4:$AN$55,3,FALSE))</f>
        <v>0</v>
      </c>
      <c r="B80" s="4">
        <f>(VLOOKUP('102 5.1.00'!I80,'102 5.1.00'!$AL$4:$AN$55,3,FALSE))</f>
        <v>0</v>
      </c>
      <c r="C80" s="4">
        <f>(VLOOKUP('102 5.1.00'!J80,'102 5.1.00'!$AL$4:$AN$55,3,FALSE))</f>
        <v>0</v>
      </c>
      <c r="D80" s="4">
        <f>(VLOOKUP('102 5.1.00'!K80,'102 5.1.00'!$AL$4:$AN$55,3,FALSE))</f>
        <v>0</v>
      </c>
      <c r="E80" s="4">
        <f>(VLOOKUP('102 5.1.00'!L80,'102 5.1.00'!$AL$4:$AN$55,3,FALSE))</f>
        <v>0</v>
      </c>
      <c r="F80" s="4">
        <f>(VLOOKUP('102 5.1.00'!M80,'102 5.1.00'!$AL$4:$AN$55,3,FALSE))</f>
        <v>0</v>
      </c>
      <c r="G80" s="5">
        <f>(VLOOKUP('102 5.1.00'!N80,'102 5.1.00'!$AL$4:$AN$55,3,FALSE))</f>
        <v>0</v>
      </c>
      <c r="H80" s="5">
        <f>(VLOOKUP('102 5.1.00'!O80,'102 5.1.00'!$AL$4:$AN$55,3,FALSE))</f>
        <v>0</v>
      </c>
      <c r="I80" s="4">
        <f>(VLOOKUP('102 5.1.00'!P80,'102 5.1.00'!$AL$4:$AN$55,3,FALSE))</f>
        <v>0</v>
      </c>
      <c r="J80" s="4">
        <f>(VLOOKUP('102 5.1.00'!Q80,'102 5.1.00'!$AL$4:$AN$55,3,FALSE))</f>
        <v>0</v>
      </c>
      <c r="K80" s="4">
        <f>(VLOOKUP('102 5.1.00'!R80,'102 5.1.00'!$AL$4:$AN$55,3,FALSE))</f>
        <v>0</v>
      </c>
      <c r="L80" s="4">
        <f>(VLOOKUP('102 5.1.00'!S80,'102 5.1.00'!$AL$4:$AN$55,3,FALSE))</f>
        <v>0</v>
      </c>
      <c r="M80" s="4">
        <f>(VLOOKUP('102 5.1.00'!T80,'102 5.1.00'!$AL$4:$AN$55,3,FALSE))</f>
        <v>0</v>
      </c>
      <c r="N80" s="4">
        <f>(VLOOKUP('102 5.1.00'!U80,'102 5.1.00'!$AL$4:$AN$55,3,FALSE))</f>
        <v>0</v>
      </c>
      <c r="O80" s="5">
        <f>(VLOOKUP('102 5.1.00'!V80,'102 5.1.00'!$AL$4:$AN$55,3,FALSE))</f>
        <v>0</v>
      </c>
      <c r="P80" s="5">
        <f>(VLOOKUP('102 5.1.00'!W80,'102 5.1.00'!$AL$4:$AN$55,3,FALSE))</f>
        <v>0</v>
      </c>
      <c r="Q80" s="4">
        <f>(VLOOKUP('102 5.1.00'!X80,'102 5.1.00'!$AL$4:$AN$55,3,FALSE))</f>
        <v>0</v>
      </c>
      <c r="R80" s="4">
        <f>(VLOOKUP('102 5.1.00'!Y80,'102 5.1.00'!$AL$4:$AN$55,3,FALSE))</f>
        <v>0</v>
      </c>
      <c r="S80" s="4">
        <f>(VLOOKUP('102 5.1.00'!Z80,'102 5.1.00'!$AL$4:$AN$55,3,FALSE))</f>
        <v>0</v>
      </c>
      <c r="T80" s="4">
        <f>(VLOOKUP('102 5.1.00'!AA80,'102 5.1.00'!$AL$4:$AN$55,3,FALSE))</f>
        <v>0</v>
      </c>
      <c r="U80" s="4">
        <f>(VLOOKUP('102 5.1.00'!AB80,'102 5.1.00'!$AL$4:$AN$55,3,FALSE))</f>
        <v>0</v>
      </c>
      <c r="V80" s="4">
        <f>(VLOOKUP('102 5.1.00'!AC80,'102 5.1.00'!$AL$4:$AN$55,3,FALSE))</f>
        <v>0</v>
      </c>
      <c r="W80" s="5">
        <f>(VLOOKUP('102 5.1.00'!AD80,'102 5.1.00'!$AL$4:$AN$55,3,FALSE))</f>
        <v>0</v>
      </c>
      <c r="X80" s="5">
        <f>(VLOOKUP('102 5.1.00'!AE80,'102 5.1.00'!$AL$4:$AN$55,3,FALSE))</f>
        <v>0</v>
      </c>
    </row>
    <row r="81" spans="1:24">
      <c r="A81" s="4">
        <f>(VLOOKUP('102 5.1.00'!H81,'102 5.1.00'!$AL$4:$AN$55,3,FALSE))</f>
        <v>0</v>
      </c>
      <c r="B81" s="4">
        <f>(VLOOKUP('102 5.1.00'!I81,'102 5.1.00'!$AL$4:$AN$55,3,FALSE))</f>
        <v>0</v>
      </c>
      <c r="C81" s="4">
        <f>(VLOOKUP('102 5.1.00'!J81,'102 5.1.00'!$AL$4:$AN$55,3,FALSE))</f>
        <v>0</v>
      </c>
      <c r="D81" s="4">
        <f>(VLOOKUP('102 5.1.00'!K81,'102 5.1.00'!$AL$4:$AN$55,3,FALSE))</f>
        <v>0</v>
      </c>
      <c r="E81" s="4">
        <f>(VLOOKUP('102 5.1.00'!L81,'102 5.1.00'!$AL$4:$AN$55,3,FALSE))</f>
        <v>0</v>
      </c>
      <c r="F81" s="4">
        <f>(VLOOKUP('102 5.1.00'!M81,'102 5.1.00'!$AL$4:$AN$55,3,FALSE))</f>
        <v>0</v>
      </c>
      <c r="G81" s="5">
        <f>(VLOOKUP('102 5.1.00'!N81,'102 5.1.00'!$AL$4:$AN$55,3,FALSE))</f>
        <v>0</v>
      </c>
      <c r="H81" s="5">
        <f>(VLOOKUP('102 5.1.00'!O81,'102 5.1.00'!$AL$4:$AN$55,3,FALSE))</f>
        <v>0</v>
      </c>
      <c r="I81" s="4">
        <f>(VLOOKUP('102 5.1.00'!P81,'102 5.1.00'!$AL$4:$AN$55,3,FALSE))</f>
        <v>0</v>
      </c>
      <c r="J81" s="4">
        <f>(VLOOKUP('102 5.1.00'!Q81,'102 5.1.00'!$AL$4:$AN$55,3,FALSE))</f>
        <v>0</v>
      </c>
      <c r="K81" s="4">
        <f>(VLOOKUP('102 5.1.00'!R81,'102 5.1.00'!$AL$4:$AN$55,3,FALSE))</f>
        <v>0</v>
      </c>
      <c r="L81" s="4">
        <f>(VLOOKUP('102 5.1.00'!S81,'102 5.1.00'!$AL$4:$AN$55,3,FALSE))</f>
        <v>0</v>
      </c>
      <c r="M81" s="4">
        <f>(VLOOKUP('102 5.1.00'!T81,'102 5.1.00'!$AL$4:$AN$55,3,FALSE))</f>
        <v>0</v>
      </c>
      <c r="N81" s="4">
        <f>(VLOOKUP('102 5.1.00'!U81,'102 5.1.00'!$AL$4:$AN$55,3,FALSE))</f>
        <v>0</v>
      </c>
      <c r="O81" s="5">
        <f>(VLOOKUP('102 5.1.00'!V81,'102 5.1.00'!$AL$4:$AN$55,3,FALSE))</f>
        <v>0</v>
      </c>
      <c r="P81" s="5">
        <f>(VLOOKUP('102 5.1.00'!W81,'102 5.1.00'!$AL$4:$AN$55,3,FALSE))</f>
        <v>0</v>
      </c>
      <c r="Q81" s="4">
        <f>(VLOOKUP('102 5.1.00'!X81,'102 5.1.00'!$AL$4:$AN$55,3,FALSE))</f>
        <v>0</v>
      </c>
      <c r="R81" s="4">
        <f>(VLOOKUP('102 5.1.00'!Y81,'102 5.1.00'!$AL$4:$AN$55,3,FALSE))</f>
        <v>0</v>
      </c>
      <c r="S81" s="4">
        <f>(VLOOKUP('102 5.1.00'!Z81,'102 5.1.00'!$AL$4:$AN$55,3,FALSE))</f>
        <v>0</v>
      </c>
      <c r="T81" s="4">
        <f>(VLOOKUP('102 5.1.00'!AA81,'102 5.1.00'!$AL$4:$AN$55,3,FALSE))</f>
        <v>0</v>
      </c>
      <c r="U81" s="4">
        <f>(VLOOKUP('102 5.1.00'!AB81,'102 5.1.00'!$AL$4:$AN$55,3,FALSE))</f>
        <v>0</v>
      </c>
      <c r="V81" s="4">
        <f>(VLOOKUP('102 5.1.00'!AC81,'102 5.1.00'!$AL$4:$AN$55,3,FALSE))</f>
        <v>0</v>
      </c>
      <c r="W81" s="5">
        <f>(VLOOKUP('102 5.1.00'!AD81,'102 5.1.00'!$AL$4:$AN$55,3,FALSE))</f>
        <v>0</v>
      </c>
      <c r="X81" s="5">
        <f>(VLOOKUP('102 5.1.00'!AE81,'102 5.1.00'!$AL$4:$AN$55,3,FALSE))</f>
        <v>0</v>
      </c>
    </row>
    <row r="82" spans="1:24">
      <c r="A82" s="4">
        <f>(VLOOKUP('102 5.1.00'!H82,'102 5.1.00'!$AL$4:$AN$55,3,FALSE))</f>
        <v>0</v>
      </c>
      <c r="B82" s="4">
        <f>(VLOOKUP('102 5.1.00'!I82,'102 5.1.00'!$AL$4:$AN$55,3,FALSE))</f>
        <v>0</v>
      </c>
      <c r="C82" s="4">
        <f>(VLOOKUP('102 5.1.00'!J82,'102 5.1.00'!$AL$4:$AN$55,3,FALSE))</f>
        <v>0</v>
      </c>
      <c r="D82" s="4">
        <f>(VLOOKUP('102 5.1.00'!K82,'102 5.1.00'!$AL$4:$AN$55,3,FALSE))</f>
        <v>0</v>
      </c>
      <c r="E82" s="4">
        <f>(VLOOKUP('102 5.1.00'!L82,'102 5.1.00'!$AL$4:$AN$55,3,FALSE))</f>
        <v>0</v>
      </c>
      <c r="F82" s="4">
        <f>(VLOOKUP('102 5.1.00'!M82,'102 5.1.00'!$AL$4:$AN$55,3,FALSE))</f>
        <v>0</v>
      </c>
      <c r="G82" s="5">
        <f>(VLOOKUP('102 5.1.00'!N82,'102 5.1.00'!$AL$4:$AN$55,3,FALSE))</f>
        <v>0</v>
      </c>
      <c r="H82" s="5">
        <f>(VLOOKUP('102 5.1.00'!O82,'102 5.1.00'!$AL$4:$AN$55,3,FALSE))</f>
        <v>0</v>
      </c>
      <c r="I82" s="4">
        <f>(VLOOKUP('102 5.1.00'!P82,'102 5.1.00'!$AL$4:$AN$55,3,FALSE))</f>
        <v>0</v>
      </c>
      <c r="J82" s="4">
        <f>(VLOOKUP('102 5.1.00'!Q82,'102 5.1.00'!$AL$4:$AN$55,3,FALSE))</f>
        <v>0</v>
      </c>
      <c r="K82" s="4">
        <f>(VLOOKUP('102 5.1.00'!R82,'102 5.1.00'!$AL$4:$AN$55,3,FALSE))</f>
        <v>0</v>
      </c>
      <c r="L82" s="4">
        <f>(VLOOKUP('102 5.1.00'!S82,'102 5.1.00'!$AL$4:$AN$55,3,FALSE))</f>
        <v>0</v>
      </c>
      <c r="M82" s="4">
        <f>(VLOOKUP('102 5.1.00'!T82,'102 5.1.00'!$AL$4:$AN$55,3,FALSE))</f>
        <v>0</v>
      </c>
      <c r="N82" s="4">
        <f>(VLOOKUP('102 5.1.00'!U82,'102 5.1.00'!$AL$4:$AN$55,3,FALSE))</f>
        <v>0</v>
      </c>
      <c r="O82" s="5">
        <f>(VLOOKUP('102 5.1.00'!V82,'102 5.1.00'!$AL$4:$AN$55,3,FALSE))</f>
        <v>0</v>
      </c>
      <c r="P82" s="5">
        <f>(VLOOKUP('102 5.1.00'!W82,'102 5.1.00'!$AL$4:$AN$55,3,FALSE))</f>
        <v>0</v>
      </c>
      <c r="Q82" s="4">
        <f>(VLOOKUP('102 5.1.00'!X82,'102 5.1.00'!$AL$4:$AN$55,3,FALSE))</f>
        <v>0</v>
      </c>
      <c r="R82" s="4">
        <f>(VLOOKUP('102 5.1.00'!Y82,'102 5.1.00'!$AL$4:$AN$55,3,FALSE))</f>
        <v>0</v>
      </c>
      <c r="S82" s="4">
        <f>(VLOOKUP('102 5.1.00'!Z82,'102 5.1.00'!$AL$4:$AN$55,3,FALSE))</f>
        <v>0</v>
      </c>
      <c r="T82" s="4">
        <f>(VLOOKUP('102 5.1.00'!AA82,'102 5.1.00'!$AL$4:$AN$55,3,FALSE))</f>
        <v>0</v>
      </c>
      <c r="U82" s="4">
        <f>(VLOOKUP('102 5.1.00'!AB82,'102 5.1.00'!$AL$4:$AN$55,3,FALSE))</f>
        <v>0</v>
      </c>
      <c r="V82" s="4">
        <f>(VLOOKUP('102 5.1.00'!AC82,'102 5.1.00'!$AL$4:$AN$55,3,FALSE))</f>
        <v>0</v>
      </c>
      <c r="W82" s="5">
        <f>(VLOOKUP('102 5.1.00'!AD82,'102 5.1.00'!$AL$4:$AN$55,3,FALSE))</f>
        <v>0</v>
      </c>
      <c r="X82" s="5">
        <f>(VLOOKUP('102 5.1.00'!AE82,'102 5.1.00'!$AL$4:$AN$55,3,FALSE))</f>
        <v>0</v>
      </c>
    </row>
    <row r="83" spans="1:24">
      <c r="A83" s="4">
        <f>(VLOOKUP('102 5.1.00'!H83,'102 5.1.00'!$AL$4:$AN$55,3,FALSE))</f>
        <v>0</v>
      </c>
      <c r="B83" s="4">
        <f>(VLOOKUP('102 5.1.00'!I83,'102 5.1.00'!$AL$4:$AN$55,3,FALSE))</f>
        <v>0</v>
      </c>
      <c r="C83" s="4">
        <f>(VLOOKUP('102 5.1.00'!J83,'102 5.1.00'!$AL$4:$AN$55,3,FALSE))</f>
        <v>0</v>
      </c>
      <c r="D83" s="4">
        <f>(VLOOKUP('102 5.1.00'!K83,'102 5.1.00'!$AL$4:$AN$55,3,FALSE))</f>
        <v>0</v>
      </c>
      <c r="E83" s="4">
        <f>(VLOOKUP('102 5.1.00'!L83,'102 5.1.00'!$AL$4:$AN$55,3,FALSE))</f>
        <v>0</v>
      </c>
      <c r="F83" s="4">
        <f>(VLOOKUP('102 5.1.00'!M83,'102 5.1.00'!$AL$4:$AN$55,3,FALSE))</f>
        <v>0</v>
      </c>
      <c r="G83" s="5">
        <f>(VLOOKUP('102 5.1.00'!N83,'102 5.1.00'!$AL$4:$AN$55,3,FALSE))</f>
        <v>0</v>
      </c>
      <c r="H83" s="5">
        <f>(VLOOKUP('102 5.1.00'!O83,'102 5.1.00'!$AL$4:$AN$55,3,FALSE))</f>
        <v>0</v>
      </c>
      <c r="I83" s="4">
        <f>(VLOOKUP('102 5.1.00'!P83,'102 5.1.00'!$AL$4:$AN$55,3,FALSE))</f>
        <v>0</v>
      </c>
      <c r="J83" s="4">
        <f>(VLOOKUP('102 5.1.00'!Q83,'102 5.1.00'!$AL$4:$AN$55,3,FALSE))</f>
        <v>0</v>
      </c>
      <c r="K83" s="4">
        <f>(VLOOKUP('102 5.1.00'!R83,'102 5.1.00'!$AL$4:$AN$55,3,FALSE))</f>
        <v>0</v>
      </c>
      <c r="L83" s="4">
        <f>(VLOOKUP('102 5.1.00'!S83,'102 5.1.00'!$AL$4:$AN$55,3,FALSE))</f>
        <v>0</v>
      </c>
      <c r="M83" s="4">
        <f>(VLOOKUP('102 5.1.00'!T83,'102 5.1.00'!$AL$4:$AN$55,3,FALSE))</f>
        <v>0</v>
      </c>
      <c r="N83" s="4">
        <f>(VLOOKUP('102 5.1.00'!U83,'102 5.1.00'!$AL$4:$AN$55,3,FALSE))</f>
        <v>0</v>
      </c>
      <c r="O83" s="5">
        <f>(VLOOKUP('102 5.1.00'!V83,'102 5.1.00'!$AL$4:$AN$55,3,FALSE))</f>
        <v>0</v>
      </c>
      <c r="P83" s="5">
        <f>(VLOOKUP('102 5.1.00'!W83,'102 5.1.00'!$AL$4:$AN$55,3,FALSE))</f>
        <v>0</v>
      </c>
      <c r="Q83" s="4">
        <f>(VLOOKUP('102 5.1.00'!X83,'102 5.1.00'!$AL$4:$AN$55,3,FALSE))</f>
        <v>0</v>
      </c>
      <c r="R83" s="4">
        <f>(VLOOKUP('102 5.1.00'!Y83,'102 5.1.00'!$AL$4:$AN$55,3,FALSE))</f>
        <v>0</v>
      </c>
      <c r="S83" s="4">
        <f>(VLOOKUP('102 5.1.00'!Z83,'102 5.1.00'!$AL$4:$AN$55,3,FALSE))</f>
        <v>0</v>
      </c>
      <c r="T83" s="4">
        <f>(VLOOKUP('102 5.1.00'!AA83,'102 5.1.00'!$AL$4:$AN$55,3,FALSE))</f>
        <v>0</v>
      </c>
      <c r="U83" s="4">
        <f>(VLOOKUP('102 5.1.00'!AB83,'102 5.1.00'!$AL$4:$AN$55,3,FALSE))</f>
        <v>0</v>
      </c>
      <c r="V83" s="4">
        <f>(VLOOKUP('102 5.1.00'!AC83,'102 5.1.00'!$AL$4:$AN$55,3,FALSE))</f>
        <v>0</v>
      </c>
      <c r="W83" s="5">
        <f>(VLOOKUP('102 5.1.00'!AD83,'102 5.1.00'!$AL$4:$AN$55,3,FALSE))</f>
        <v>0</v>
      </c>
      <c r="X83" s="5">
        <f>(VLOOKUP('102 5.1.00'!AE83,'102 5.1.00'!$AL$4:$AN$55,3,FALSE))</f>
        <v>0</v>
      </c>
    </row>
    <row r="84" spans="1:24">
      <c r="A84" s="4">
        <f>(VLOOKUP('102 5.1.00'!H84,'102 5.1.00'!$AL$4:$AN$55,3,FALSE))</f>
        <v>0</v>
      </c>
      <c r="B84" s="4">
        <f>(VLOOKUP('102 5.1.00'!I84,'102 5.1.00'!$AL$4:$AN$55,3,FALSE))</f>
        <v>0</v>
      </c>
      <c r="C84" s="4">
        <f>(VLOOKUP('102 5.1.00'!J84,'102 5.1.00'!$AL$4:$AN$55,3,FALSE))</f>
        <v>0</v>
      </c>
      <c r="D84" s="4">
        <f>(VLOOKUP('102 5.1.00'!K84,'102 5.1.00'!$AL$4:$AN$55,3,FALSE))</f>
        <v>0</v>
      </c>
      <c r="E84" s="4">
        <f>(VLOOKUP('102 5.1.00'!L84,'102 5.1.00'!$AL$4:$AN$55,3,FALSE))</f>
        <v>0</v>
      </c>
      <c r="F84" s="4">
        <f>(VLOOKUP('102 5.1.00'!M84,'102 5.1.00'!$AL$4:$AN$55,3,FALSE))</f>
        <v>0</v>
      </c>
      <c r="G84" s="5">
        <f>(VLOOKUP('102 5.1.00'!N84,'102 5.1.00'!$AL$4:$AN$55,3,FALSE))</f>
        <v>0</v>
      </c>
      <c r="H84" s="5">
        <f>(VLOOKUP('102 5.1.00'!O84,'102 5.1.00'!$AL$4:$AN$55,3,FALSE))</f>
        <v>0</v>
      </c>
      <c r="I84" s="4">
        <f>(VLOOKUP('102 5.1.00'!P84,'102 5.1.00'!$AL$4:$AN$55,3,FALSE))</f>
        <v>0</v>
      </c>
      <c r="J84" s="4">
        <f>(VLOOKUP('102 5.1.00'!Q84,'102 5.1.00'!$AL$4:$AN$55,3,FALSE))</f>
        <v>0</v>
      </c>
      <c r="K84" s="4">
        <f>(VLOOKUP('102 5.1.00'!R84,'102 5.1.00'!$AL$4:$AN$55,3,FALSE))</f>
        <v>0</v>
      </c>
      <c r="L84" s="4">
        <f>(VLOOKUP('102 5.1.00'!S84,'102 5.1.00'!$AL$4:$AN$55,3,FALSE))</f>
        <v>0</v>
      </c>
      <c r="M84" s="4">
        <f>(VLOOKUP('102 5.1.00'!T84,'102 5.1.00'!$AL$4:$AN$55,3,FALSE))</f>
        <v>0</v>
      </c>
      <c r="N84" s="4">
        <f>(VLOOKUP('102 5.1.00'!U84,'102 5.1.00'!$AL$4:$AN$55,3,FALSE))</f>
        <v>0</v>
      </c>
      <c r="O84" s="5">
        <f>(VLOOKUP('102 5.1.00'!V84,'102 5.1.00'!$AL$4:$AN$55,3,FALSE))</f>
        <v>0</v>
      </c>
      <c r="P84" s="5">
        <f>(VLOOKUP('102 5.1.00'!W84,'102 5.1.00'!$AL$4:$AN$55,3,FALSE))</f>
        <v>0</v>
      </c>
      <c r="Q84" s="4">
        <f>(VLOOKUP('102 5.1.00'!X84,'102 5.1.00'!$AL$4:$AN$55,3,FALSE))</f>
        <v>0</v>
      </c>
      <c r="R84" s="4">
        <f>(VLOOKUP('102 5.1.00'!Y84,'102 5.1.00'!$AL$4:$AN$55,3,FALSE))</f>
        <v>0</v>
      </c>
      <c r="S84" s="4">
        <f>(VLOOKUP('102 5.1.00'!Z84,'102 5.1.00'!$AL$4:$AN$55,3,FALSE))</f>
        <v>0</v>
      </c>
      <c r="T84" s="4">
        <f>(VLOOKUP('102 5.1.00'!AA84,'102 5.1.00'!$AL$4:$AN$55,3,FALSE))</f>
        <v>0</v>
      </c>
      <c r="U84" s="4">
        <f>(VLOOKUP('102 5.1.00'!AB84,'102 5.1.00'!$AL$4:$AN$55,3,FALSE))</f>
        <v>0</v>
      </c>
      <c r="V84" s="4">
        <f>(VLOOKUP('102 5.1.00'!AC84,'102 5.1.00'!$AL$4:$AN$55,3,FALSE))</f>
        <v>0</v>
      </c>
      <c r="W84" s="5">
        <f>(VLOOKUP('102 5.1.00'!AD84,'102 5.1.00'!$AL$4:$AN$55,3,FALSE))</f>
        <v>0</v>
      </c>
      <c r="X84" s="5">
        <f>(VLOOKUP('102 5.1.00'!AE84,'102 5.1.00'!$AL$4:$AN$55,3,FALSE))</f>
        <v>0</v>
      </c>
    </row>
    <row r="85" spans="1:24">
      <c r="A85" s="4">
        <f>(VLOOKUP('102 5.1.00'!H85,'102 5.1.00'!$AL$4:$AN$55,3,FALSE))</f>
        <v>0</v>
      </c>
      <c r="B85" s="4">
        <f>(VLOOKUP('102 5.1.00'!I85,'102 5.1.00'!$AL$4:$AN$55,3,FALSE))</f>
        <v>0</v>
      </c>
      <c r="C85" s="4">
        <f>(VLOOKUP('102 5.1.00'!J85,'102 5.1.00'!$AL$4:$AN$55,3,FALSE))</f>
        <v>0</v>
      </c>
      <c r="D85" s="4">
        <f>(VLOOKUP('102 5.1.00'!K85,'102 5.1.00'!$AL$4:$AN$55,3,FALSE))</f>
        <v>0</v>
      </c>
      <c r="E85" s="4">
        <f>(VLOOKUP('102 5.1.00'!L85,'102 5.1.00'!$AL$4:$AN$55,3,FALSE))</f>
        <v>0</v>
      </c>
      <c r="F85" s="4">
        <f>(VLOOKUP('102 5.1.00'!M85,'102 5.1.00'!$AL$4:$AN$55,3,FALSE))</f>
        <v>0</v>
      </c>
      <c r="G85" s="5">
        <f>(VLOOKUP('102 5.1.00'!N85,'102 5.1.00'!$AL$4:$AN$55,3,FALSE))</f>
        <v>0</v>
      </c>
      <c r="H85" s="5">
        <f>(VLOOKUP('102 5.1.00'!O85,'102 5.1.00'!$AL$4:$AN$55,3,FALSE))</f>
        <v>0</v>
      </c>
      <c r="I85" s="4">
        <f>(VLOOKUP('102 5.1.00'!P85,'102 5.1.00'!$AL$4:$AN$55,3,FALSE))</f>
        <v>0</v>
      </c>
      <c r="J85" s="4">
        <f>(VLOOKUP('102 5.1.00'!Q85,'102 5.1.00'!$AL$4:$AN$55,3,FALSE))</f>
        <v>0</v>
      </c>
      <c r="K85" s="4">
        <f>(VLOOKUP('102 5.1.00'!R85,'102 5.1.00'!$AL$4:$AN$55,3,FALSE))</f>
        <v>0</v>
      </c>
      <c r="L85" s="4">
        <f>(VLOOKUP('102 5.1.00'!S85,'102 5.1.00'!$AL$4:$AN$55,3,FALSE))</f>
        <v>0</v>
      </c>
      <c r="M85" s="4">
        <f>(VLOOKUP('102 5.1.00'!T85,'102 5.1.00'!$AL$4:$AN$55,3,FALSE))</f>
        <v>0</v>
      </c>
      <c r="N85" s="4">
        <f>(VLOOKUP('102 5.1.00'!U85,'102 5.1.00'!$AL$4:$AN$55,3,FALSE))</f>
        <v>0</v>
      </c>
      <c r="O85" s="5">
        <f>(VLOOKUP('102 5.1.00'!V85,'102 5.1.00'!$AL$4:$AN$55,3,FALSE))</f>
        <v>0</v>
      </c>
      <c r="P85" s="5">
        <f>(VLOOKUP('102 5.1.00'!W85,'102 5.1.00'!$AL$4:$AN$55,3,FALSE))</f>
        <v>0</v>
      </c>
      <c r="Q85" s="4">
        <f>(VLOOKUP('102 5.1.00'!X85,'102 5.1.00'!$AL$4:$AN$55,3,FALSE))</f>
        <v>0</v>
      </c>
      <c r="R85" s="4">
        <f>(VLOOKUP('102 5.1.00'!Y85,'102 5.1.00'!$AL$4:$AN$55,3,FALSE))</f>
        <v>0</v>
      </c>
      <c r="S85" s="4">
        <f>(VLOOKUP('102 5.1.00'!Z85,'102 5.1.00'!$AL$4:$AN$55,3,FALSE))</f>
        <v>0</v>
      </c>
      <c r="T85" s="4">
        <f>(VLOOKUP('102 5.1.00'!AA85,'102 5.1.00'!$AL$4:$AN$55,3,FALSE))</f>
        <v>0</v>
      </c>
      <c r="U85" s="4">
        <f>(VLOOKUP('102 5.1.00'!AB85,'102 5.1.00'!$AL$4:$AN$55,3,FALSE))</f>
        <v>0</v>
      </c>
      <c r="V85" s="4">
        <f>(VLOOKUP('102 5.1.00'!AC85,'102 5.1.00'!$AL$4:$AN$55,3,FALSE))</f>
        <v>0</v>
      </c>
      <c r="W85" s="5">
        <f>(VLOOKUP('102 5.1.00'!AD85,'102 5.1.00'!$AL$4:$AN$55,3,FALSE))</f>
        <v>0</v>
      </c>
      <c r="X85" s="5">
        <f>(VLOOKUP('102 5.1.00'!AE85,'102 5.1.00'!$AL$4:$AN$55,3,FALSE))</f>
        <v>0</v>
      </c>
    </row>
    <row r="86" spans="1:24">
      <c r="A86" s="4">
        <f>(VLOOKUP('102 5.1.00'!H86,'102 5.1.00'!$AL$4:$AN$55,3,FALSE))</f>
        <v>0</v>
      </c>
      <c r="B86" s="4">
        <f>(VLOOKUP('102 5.1.00'!I86,'102 5.1.00'!$AL$4:$AN$55,3,FALSE))</f>
        <v>0</v>
      </c>
      <c r="C86" s="4">
        <f>(VLOOKUP('102 5.1.00'!J86,'102 5.1.00'!$AL$4:$AN$55,3,FALSE))</f>
        <v>0</v>
      </c>
      <c r="D86" s="4">
        <f>(VLOOKUP('102 5.1.00'!K86,'102 5.1.00'!$AL$4:$AN$55,3,FALSE))</f>
        <v>0</v>
      </c>
      <c r="E86" s="4">
        <f>(VLOOKUP('102 5.1.00'!L86,'102 5.1.00'!$AL$4:$AN$55,3,FALSE))</f>
        <v>0</v>
      </c>
      <c r="F86" s="4">
        <f>(VLOOKUP('102 5.1.00'!M86,'102 5.1.00'!$AL$4:$AN$55,3,FALSE))</f>
        <v>0</v>
      </c>
      <c r="G86" s="5">
        <f>(VLOOKUP('102 5.1.00'!N86,'102 5.1.00'!$AL$4:$AN$55,3,FALSE))</f>
        <v>0</v>
      </c>
      <c r="H86" s="5">
        <f>(VLOOKUP('102 5.1.00'!O86,'102 5.1.00'!$AL$4:$AN$55,3,FALSE))</f>
        <v>0</v>
      </c>
      <c r="I86" s="4">
        <f>(VLOOKUP('102 5.1.00'!P86,'102 5.1.00'!$AL$4:$AN$55,3,FALSE))</f>
        <v>0</v>
      </c>
      <c r="J86" s="4">
        <f>(VLOOKUP('102 5.1.00'!Q86,'102 5.1.00'!$AL$4:$AN$55,3,FALSE))</f>
        <v>0</v>
      </c>
      <c r="K86" s="4">
        <f>(VLOOKUP('102 5.1.00'!R86,'102 5.1.00'!$AL$4:$AN$55,3,FALSE))</f>
        <v>0</v>
      </c>
      <c r="L86" s="4">
        <f>(VLOOKUP('102 5.1.00'!S86,'102 5.1.00'!$AL$4:$AN$55,3,FALSE))</f>
        <v>0</v>
      </c>
      <c r="M86" s="4">
        <f>(VLOOKUP('102 5.1.00'!T86,'102 5.1.00'!$AL$4:$AN$55,3,FALSE))</f>
        <v>0</v>
      </c>
      <c r="N86" s="4">
        <f>(VLOOKUP('102 5.1.00'!U86,'102 5.1.00'!$AL$4:$AN$55,3,FALSE))</f>
        <v>0</v>
      </c>
      <c r="O86" s="5">
        <f>(VLOOKUP('102 5.1.00'!V86,'102 5.1.00'!$AL$4:$AN$55,3,FALSE))</f>
        <v>0</v>
      </c>
      <c r="P86" s="5">
        <f>(VLOOKUP('102 5.1.00'!W86,'102 5.1.00'!$AL$4:$AN$55,3,FALSE))</f>
        <v>0</v>
      </c>
      <c r="Q86" s="4">
        <f>(VLOOKUP('102 5.1.00'!X86,'102 5.1.00'!$AL$4:$AN$55,3,FALSE))</f>
        <v>0</v>
      </c>
      <c r="R86" s="4">
        <f>(VLOOKUP('102 5.1.00'!Y86,'102 5.1.00'!$AL$4:$AN$55,3,FALSE))</f>
        <v>0</v>
      </c>
      <c r="S86" s="4">
        <f>(VLOOKUP('102 5.1.00'!Z86,'102 5.1.00'!$AL$4:$AN$55,3,FALSE))</f>
        <v>0</v>
      </c>
      <c r="T86" s="4">
        <f>(VLOOKUP('102 5.1.00'!AA86,'102 5.1.00'!$AL$4:$AN$55,3,FALSE))</f>
        <v>0</v>
      </c>
      <c r="U86" s="4">
        <f>(VLOOKUP('102 5.1.00'!AB86,'102 5.1.00'!$AL$4:$AN$55,3,FALSE))</f>
        <v>0</v>
      </c>
      <c r="V86" s="4">
        <f>(VLOOKUP('102 5.1.00'!AC86,'102 5.1.00'!$AL$4:$AN$55,3,FALSE))</f>
        <v>0</v>
      </c>
      <c r="W86" s="5">
        <f>(VLOOKUP('102 5.1.00'!AD86,'102 5.1.00'!$AL$4:$AN$55,3,FALSE))</f>
        <v>0</v>
      </c>
      <c r="X86" s="5">
        <f>(VLOOKUP('102 5.1.00'!AE86,'102 5.1.00'!$AL$4:$AN$55,3,FALSE))</f>
        <v>0</v>
      </c>
    </row>
    <row r="87" spans="1:24">
      <c r="A87" s="4">
        <f>(VLOOKUP('102 5.1.00'!H87,'102 5.1.00'!$AL$4:$AN$55,3,FALSE))</f>
        <v>0</v>
      </c>
      <c r="B87" s="4">
        <f>(VLOOKUP('102 5.1.00'!I87,'102 5.1.00'!$AL$4:$AN$55,3,FALSE))</f>
        <v>0</v>
      </c>
      <c r="C87" s="4">
        <f>(VLOOKUP('102 5.1.00'!J87,'102 5.1.00'!$AL$4:$AN$55,3,FALSE))</f>
        <v>0</v>
      </c>
      <c r="D87" s="4">
        <f>(VLOOKUP('102 5.1.00'!K87,'102 5.1.00'!$AL$4:$AN$55,3,FALSE))</f>
        <v>0</v>
      </c>
      <c r="E87" s="4">
        <f>(VLOOKUP('102 5.1.00'!L87,'102 5.1.00'!$AL$4:$AN$55,3,FALSE))</f>
        <v>0</v>
      </c>
      <c r="F87" s="4">
        <f>(VLOOKUP('102 5.1.00'!M87,'102 5.1.00'!$AL$4:$AN$55,3,FALSE))</f>
        <v>0</v>
      </c>
      <c r="G87" s="5">
        <f>(VLOOKUP('102 5.1.00'!N87,'102 5.1.00'!$AL$4:$AN$55,3,FALSE))</f>
        <v>0</v>
      </c>
      <c r="H87" s="5">
        <f>(VLOOKUP('102 5.1.00'!O87,'102 5.1.00'!$AL$4:$AN$55,3,FALSE))</f>
        <v>0</v>
      </c>
      <c r="I87" s="4">
        <f>(VLOOKUP('102 5.1.00'!P87,'102 5.1.00'!$AL$4:$AN$55,3,FALSE))</f>
        <v>0</v>
      </c>
      <c r="J87" s="4">
        <f>(VLOOKUP('102 5.1.00'!Q87,'102 5.1.00'!$AL$4:$AN$55,3,FALSE))</f>
        <v>0</v>
      </c>
      <c r="K87" s="4">
        <f>(VLOOKUP('102 5.1.00'!R87,'102 5.1.00'!$AL$4:$AN$55,3,FALSE))</f>
        <v>0</v>
      </c>
      <c r="L87" s="4">
        <f>(VLOOKUP('102 5.1.00'!S87,'102 5.1.00'!$AL$4:$AN$55,3,FALSE))</f>
        <v>0</v>
      </c>
      <c r="M87" s="4">
        <f>(VLOOKUP('102 5.1.00'!T87,'102 5.1.00'!$AL$4:$AN$55,3,FALSE))</f>
        <v>0</v>
      </c>
      <c r="N87" s="4">
        <f>(VLOOKUP('102 5.1.00'!U87,'102 5.1.00'!$AL$4:$AN$55,3,FALSE))</f>
        <v>0</v>
      </c>
      <c r="O87" s="5">
        <f>(VLOOKUP('102 5.1.00'!V87,'102 5.1.00'!$AL$4:$AN$55,3,FALSE))</f>
        <v>0</v>
      </c>
      <c r="P87" s="5">
        <f>(VLOOKUP('102 5.1.00'!W87,'102 5.1.00'!$AL$4:$AN$55,3,FALSE))</f>
        <v>0</v>
      </c>
      <c r="Q87" s="4">
        <f>(VLOOKUP('102 5.1.00'!X87,'102 5.1.00'!$AL$4:$AN$55,3,FALSE))</f>
        <v>0</v>
      </c>
      <c r="R87" s="4">
        <f>(VLOOKUP('102 5.1.00'!Y87,'102 5.1.00'!$AL$4:$AN$55,3,FALSE))</f>
        <v>0</v>
      </c>
      <c r="S87" s="4">
        <f>(VLOOKUP('102 5.1.00'!Z87,'102 5.1.00'!$AL$4:$AN$55,3,FALSE))</f>
        <v>0</v>
      </c>
      <c r="T87" s="4">
        <f>(VLOOKUP('102 5.1.00'!AA87,'102 5.1.00'!$AL$4:$AN$55,3,FALSE))</f>
        <v>0</v>
      </c>
      <c r="U87" s="4">
        <f>(VLOOKUP('102 5.1.00'!AB87,'102 5.1.00'!$AL$4:$AN$55,3,FALSE))</f>
        <v>0</v>
      </c>
      <c r="V87" s="4">
        <f>(VLOOKUP('102 5.1.00'!AC87,'102 5.1.00'!$AL$4:$AN$55,3,FALSE))</f>
        <v>0</v>
      </c>
      <c r="W87" s="5">
        <f>(VLOOKUP('102 5.1.00'!AD87,'102 5.1.00'!$AL$4:$AN$55,3,FALSE))</f>
        <v>0</v>
      </c>
      <c r="X87" s="5">
        <f>(VLOOKUP('102 5.1.00'!AE87,'102 5.1.00'!$AL$4:$AN$55,3,FALSE))</f>
        <v>0</v>
      </c>
    </row>
    <row r="88" spans="1:24">
      <c r="A88" s="4">
        <f>(VLOOKUP('102 5.1.00'!H88,'102 5.1.00'!$AL$4:$AN$55,3,FALSE))</f>
        <v>0</v>
      </c>
      <c r="B88" s="4">
        <f>(VLOOKUP('102 5.1.00'!I88,'102 5.1.00'!$AL$4:$AN$55,3,FALSE))</f>
        <v>0</v>
      </c>
      <c r="C88" s="4">
        <f>(VLOOKUP('102 5.1.00'!J88,'102 5.1.00'!$AL$4:$AN$55,3,FALSE))</f>
        <v>0</v>
      </c>
      <c r="D88" s="4">
        <f>(VLOOKUP('102 5.1.00'!K88,'102 5.1.00'!$AL$4:$AN$55,3,FALSE))</f>
        <v>0</v>
      </c>
      <c r="E88" s="4">
        <f>(VLOOKUP('102 5.1.00'!L88,'102 5.1.00'!$AL$4:$AN$55,3,FALSE))</f>
        <v>0</v>
      </c>
      <c r="F88" s="4">
        <f>(VLOOKUP('102 5.1.00'!M88,'102 5.1.00'!$AL$4:$AN$55,3,FALSE))</f>
        <v>0</v>
      </c>
      <c r="G88" s="5">
        <f>(VLOOKUP('102 5.1.00'!N88,'102 5.1.00'!$AL$4:$AN$55,3,FALSE))</f>
        <v>0</v>
      </c>
      <c r="H88" s="5">
        <f>(VLOOKUP('102 5.1.00'!O88,'102 5.1.00'!$AL$4:$AN$55,3,FALSE))</f>
        <v>0</v>
      </c>
      <c r="I88" s="4">
        <f>(VLOOKUP('102 5.1.00'!P88,'102 5.1.00'!$AL$4:$AN$55,3,FALSE))</f>
        <v>0</v>
      </c>
      <c r="J88" s="4">
        <f>(VLOOKUP('102 5.1.00'!Q88,'102 5.1.00'!$AL$4:$AN$55,3,FALSE))</f>
        <v>0</v>
      </c>
      <c r="K88" s="4">
        <f>(VLOOKUP('102 5.1.00'!R88,'102 5.1.00'!$AL$4:$AN$55,3,FALSE))</f>
        <v>0</v>
      </c>
      <c r="L88" s="4">
        <f>(VLOOKUP('102 5.1.00'!S88,'102 5.1.00'!$AL$4:$AN$55,3,FALSE))</f>
        <v>0</v>
      </c>
      <c r="M88" s="4">
        <f>(VLOOKUP('102 5.1.00'!T88,'102 5.1.00'!$AL$4:$AN$55,3,FALSE))</f>
        <v>0</v>
      </c>
      <c r="N88" s="4">
        <f>(VLOOKUP('102 5.1.00'!U88,'102 5.1.00'!$AL$4:$AN$55,3,FALSE))</f>
        <v>0</v>
      </c>
      <c r="O88" s="5">
        <f>(VLOOKUP('102 5.1.00'!V88,'102 5.1.00'!$AL$4:$AN$55,3,FALSE))</f>
        <v>0</v>
      </c>
      <c r="P88" s="5">
        <f>(VLOOKUP('102 5.1.00'!W88,'102 5.1.00'!$AL$4:$AN$55,3,FALSE))</f>
        <v>0</v>
      </c>
      <c r="Q88" s="4">
        <f>(VLOOKUP('102 5.1.00'!X88,'102 5.1.00'!$AL$4:$AN$55,3,FALSE))</f>
        <v>0</v>
      </c>
      <c r="R88" s="4">
        <f>(VLOOKUP('102 5.1.00'!Y88,'102 5.1.00'!$AL$4:$AN$55,3,FALSE))</f>
        <v>0</v>
      </c>
      <c r="S88" s="4">
        <f>(VLOOKUP('102 5.1.00'!Z88,'102 5.1.00'!$AL$4:$AN$55,3,FALSE))</f>
        <v>0</v>
      </c>
      <c r="T88" s="4">
        <f>(VLOOKUP('102 5.1.00'!AA88,'102 5.1.00'!$AL$4:$AN$55,3,FALSE))</f>
        <v>0</v>
      </c>
      <c r="U88" s="4">
        <f>(VLOOKUP('102 5.1.00'!AB88,'102 5.1.00'!$AL$4:$AN$55,3,FALSE))</f>
        <v>0</v>
      </c>
      <c r="V88" s="4">
        <f>(VLOOKUP('102 5.1.00'!AC88,'102 5.1.00'!$AL$4:$AN$55,3,FALSE))</f>
        <v>0</v>
      </c>
      <c r="W88" s="5">
        <f>(VLOOKUP('102 5.1.00'!AD88,'102 5.1.00'!$AL$4:$AN$55,3,FALSE))</f>
        <v>0</v>
      </c>
      <c r="X88" s="5">
        <f>(VLOOKUP('102 5.1.00'!AE88,'102 5.1.00'!$AL$4:$AN$55,3,FALSE))</f>
        <v>0</v>
      </c>
    </row>
    <row r="89" spans="1:24">
      <c r="A89" s="4">
        <f>(VLOOKUP('102 5.1.00'!H89,'102 5.1.00'!$AL$4:$AN$55,3,FALSE))</f>
        <v>0</v>
      </c>
      <c r="B89" s="4">
        <f>(VLOOKUP('102 5.1.00'!I89,'102 5.1.00'!$AL$4:$AN$55,3,FALSE))</f>
        <v>0</v>
      </c>
      <c r="C89" s="4">
        <f>(VLOOKUP('102 5.1.00'!J89,'102 5.1.00'!$AL$4:$AN$55,3,FALSE))</f>
        <v>0</v>
      </c>
      <c r="D89" s="4">
        <f>(VLOOKUP('102 5.1.00'!K89,'102 5.1.00'!$AL$4:$AN$55,3,FALSE))</f>
        <v>0</v>
      </c>
      <c r="E89" s="4">
        <f>(VLOOKUP('102 5.1.00'!L89,'102 5.1.00'!$AL$4:$AN$55,3,FALSE))</f>
        <v>0</v>
      </c>
      <c r="F89" s="4">
        <f>(VLOOKUP('102 5.1.00'!M89,'102 5.1.00'!$AL$4:$AN$55,3,FALSE))</f>
        <v>0</v>
      </c>
      <c r="G89" s="5">
        <f>(VLOOKUP('102 5.1.00'!N89,'102 5.1.00'!$AL$4:$AN$55,3,FALSE))</f>
        <v>0</v>
      </c>
      <c r="H89" s="5">
        <f>(VLOOKUP('102 5.1.00'!O89,'102 5.1.00'!$AL$4:$AN$55,3,FALSE))</f>
        <v>0</v>
      </c>
      <c r="I89" s="4">
        <f>(VLOOKUP('102 5.1.00'!P89,'102 5.1.00'!$AL$4:$AN$55,3,FALSE))</f>
        <v>0</v>
      </c>
      <c r="J89" s="4">
        <f>(VLOOKUP('102 5.1.00'!Q89,'102 5.1.00'!$AL$4:$AN$55,3,FALSE))</f>
        <v>0</v>
      </c>
      <c r="K89" s="4">
        <f>(VLOOKUP('102 5.1.00'!R89,'102 5.1.00'!$AL$4:$AN$55,3,FALSE))</f>
        <v>0</v>
      </c>
      <c r="L89" s="4">
        <f>(VLOOKUP('102 5.1.00'!S89,'102 5.1.00'!$AL$4:$AN$55,3,FALSE))</f>
        <v>0</v>
      </c>
      <c r="M89" s="4">
        <f>(VLOOKUP('102 5.1.00'!T89,'102 5.1.00'!$AL$4:$AN$55,3,FALSE))</f>
        <v>0</v>
      </c>
      <c r="N89" s="4">
        <f>(VLOOKUP('102 5.1.00'!U89,'102 5.1.00'!$AL$4:$AN$55,3,FALSE))</f>
        <v>0</v>
      </c>
      <c r="O89" s="5">
        <f>(VLOOKUP('102 5.1.00'!V89,'102 5.1.00'!$AL$4:$AN$55,3,FALSE))</f>
        <v>0</v>
      </c>
      <c r="P89" s="5">
        <f>(VLOOKUP('102 5.1.00'!W89,'102 5.1.00'!$AL$4:$AN$55,3,FALSE))</f>
        <v>0</v>
      </c>
      <c r="Q89" s="4">
        <f>(VLOOKUP('102 5.1.00'!X89,'102 5.1.00'!$AL$4:$AN$55,3,FALSE))</f>
        <v>0</v>
      </c>
      <c r="R89" s="4">
        <f>(VLOOKUP('102 5.1.00'!Y89,'102 5.1.00'!$AL$4:$AN$55,3,FALSE))</f>
        <v>0</v>
      </c>
      <c r="S89" s="4">
        <f>(VLOOKUP('102 5.1.00'!Z89,'102 5.1.00'!$AL$4:$AN$55,3,FALSE))</f>
        <v>0</v>
      </c>
      <c r="T89" s="4">
        <f>(VLOOKUP('102 5.1.00'!AA89,'102 5.1.00'!$AL$4:$AN$55,3,FALSE))</f>
        <v>0</v>
      </c>
      <c r="U89" s="4">
        <f>(VLOOKUP('102 5.1.00'!AB89,'102 5.1.00'!$AL$4:$AN$55,3,FALSE))</f>
        <v>0</v>
      </c>
      <c r="V89" s="4">
        <f>(VLOOKUP('102 5.1.00'!AC89,'102 5.1.00'!$AL$4:$AN$55,3,FALSE))</f>
        <v>0</v>
      </c>
      <c r="W89" s="5">
        <f>(VLOOKUP('102 5.1.00'!AD89,'102 5.1.00'!$AL$4:$AN$55,3,FALSE))</f>
        <v>0</v>
      </c>
      <c r="X89" s="5">
        <f>(VLOOKUP('102 5.1.00'!AE89,'102 5.1.00'!$AL$4:$AN$55,3,FALSE))</f>
        <v>0</v>
      </c>
    </row>
    <row r="90" spans="1:24">
      <c r="A90" s="4">
        <f>(VLOOKUP('102 5.1.00'!H90,'102 5.1.00'!$AL$4:$AN$55,3,FALSE))</f>
        <v>0</v>
      </c>
      <c r="B90" s="4">
        <f>(VLOOKUP('102 5.1.00'!I90,'102 5.1.00'!$AL$4:$AN$55,3,FALSE))</f>
        <v>0</v>
      </c>
      <c r="C90" s="4">
        <f>(VLOOKUP('102 5.1.00'!J90,'102 5.1.00'!$AL$4:$AN$55,3,FALSE))</f>
        <v>0</v>
      </c>
      <c r="D90" s="4">
        <f>(VLOOKUP('102 5.1.00'!K90,'102 5.1.00'!$AL$4:$AN$55,3,FALSE))</f>
        <v>0</v>
      </c>
      <c r="E90" s="4">
        <f>(VLOOKUP('102 5.1.00'!L90,'102 5.1.00'!$AL$4:$AN$55,3,FALSE))</f>
        <v>0</v>
      </c>
      <c r="F90" s="4">
        <f>(VLOOKUP('102 5.1.00'!M90,'102 5.1.00'!$AL$4:$AN$55,3,FALSE))</f>
        <v>0</v>
      </c>
      <c r="G90" s="5">
        <f>(VLOOKUP('102 5.1.00'!N90,'102 5.1.00'!$AL$4:$AN$55,3,FALSE))</f>
        <v>0</v>
      </c>
      <c r="H90" s="5">
        <f>(VLOOKUP('102 5.1.00'!O90,'102 5.1.00'!$AL$4:$AN$55,3,FALSE))</f>
        <v>0</v>
      </c>
      <c r="I90" s="4">
        <f>(VLOOKUP('102 5.1.00'!P90,'102 5.1.00'!$AL$4:$AN$55,3,FALSE))</f>
        <v>0</v>
      </c>
      <c r="J90" s="4">
        <f>(VLOOKUP('102 5.1.00'!Q90,'102 5.1.00'!$AL$4:$AN$55,3,FALSE))</f>
        <v>0</v>
      </c>
      <c r="K90" s="4">
        <f>(VLOOKUP('102 5.1.00'!R90,'102 5.1.00'!$AL$4:$AN$55,3,FALSE))</f>
        <v>0</v>
      </c>
      <c r="L90" s="4">
        <f>(VLOOKUP('102 5.1.00'!S90,'102 5.1.00'!$AL$4:$AN$55,3,FALSE))</f>
        <v>0</v>
      </c>
      <c r="M90" s="4">
        <f>(VLOOKUP('102 5.1.00'!T90,'102 5.1.00'!$AL$4:$AN$55,3,FALSE))</f>
        <v>0</v>
      </c>
      <c r="N90" s="4">
        <f>(VLOOKUP('102 5.1.00'!U90,'102 5.1.00'!$AL$4:$AN$55,3,FALSE))</f>
        <v>0</v>
      </c>
      <c r="O90" s="5">
        <f>(VLOOKUP('102 5.1.00'!V90,'102 5.1.00'!$AL$4:$AN$55,3,FALSE))</f>
        <v>0</v>
      </c>
      <c r="P90" s="5">
        <f>(VLOOKUP('102 5.1.00'!W90,'102 5.1.00'!$AL$4:$AN$55,3,FALSE))</f>
        <v>0</v>
      </c>
      <c r="Q90" s="4">
        <f>(VLOOKUP('102 5.1.00'!X90,'102 5.1.00'!$AL$4:$AN$55,3,FALSE))</f>
        <v>0</v>
      </c>
      <c r="R90" s="4">
        <f>(VLOOKUP('102 5.1.00'!Y90,'102 5.1.00'!$AL$4:$AN$55,3,FALSE))</f>
        <v>0</v>
      </c>
      <c r="S90" s="4">
        <f>(VLOOKUP('102 5.1.00'!Z90,'102 5.1.00'!$AL$4:$AN$55,3,FALSE))</f>
        <v>0</v>
      </c>
      <c r="T90" s="4">
        <f>(VLOOKUP('102 5.1.00'!AA90,'102 5.1.00'!$AL$4:$AN$55,3,FALSE))</f>
        <v>0</v>
      </c>
      <c r="U90" s="4">
        <f>(VLOOKUP('102 5.1.00'!AB90,'102 5.1.00'!$AL$4:$AN$55,3,FALSE))</f>
        <v>0</v>
      </c>
      <c r="V90" s="4">
        <f>(VLOOKUP('102 5.1.00'!AC90,'102 5.1.00'!$AL$4:$AN$55,3,FALSE))</f>
        <v>0</v>
      </c>
      <c r="W90" s="5">
        <f>(VLOOKUP('102 5.1.00'!AD90,'102 5.1.00'!$AL$4:$AN$55,3,FALSE))</f>
        <v>0</v>
      </c>
      <c r="X90" s="5">
        <f>(VLOOKUP('102 5.1.00'!AE90,'102 5.1.00'!$AL$4:$AN$55,3,FALSE))</f>
        <v>0</v>
      </c>
    </row>
    <row r="91" spans="1:24">
      <c r="A91" s="4">
        <f>(VLOOKUP('102 5.1.00'!H91,'102 5.1.00'!$AL$4:$AN$55,3,FALSE))</f>
        <v>0</v>
      </c>
      <c r="B91" s="4">
        <f>(VLOOKUP('102 5.1.00'!I91,'102 5.1.00'!$AL$4:$AN$55,3,FALSE))</f>
        <v>0</v>
      </c>
      <c r="C91" s="4">
        <f>(VLOOKUP('102 5.1.00'!J91,'102 5.1.00'!$AL$4:$AN$55,3,FALSE))</f>
        <v>0</v>
      </c>
      <c r="D91" s="4">
        <f>(VLOOKUP('102 5.1.00'!K91,'102 5.1.00'!$AL$4:$AN$55,3,FALSE))</f>
        <v>0</v>
      </c>
      <c r="E91" s="4">
        <f>(VLOOKUP('102 5.1.00'!L91,'102 5.1.00'!$AL$4:$AN$55,3,FALSE))</f>
        <v>0</v>
      </c>
      <c r="F91" s="4">
        <f>(VLOOKUP('102 5.1.00'!M91,'102 5.1.00'!$AL$4:$AN$55,3,FALSE))</f>
        <v>0</v>
      </c>
      <c r="G91" s="5">
        <f>(VLOOKUP('102 5.1.00'!N91,'102 5.1.00'!$AL$4:$AN$55,3,FALSE))</f>
        <v>0</v>
      </c>
      <c r="H91" s="5">
        <f>(VLOOKUP('102 5.1.00'!O91,'102 5.1.00'!$AL$4:$AN$55,3,FALSE))</f>
        <v>0</v>
      </c>
      <c r="I91" s="4">
        <f>(VLOOKUP('102 5.1.00'!P91,'102 5.1.00'!$AL$4:$AN$55,3,FALSE))</f>
        <v>0</v>
      </c>
      <c r="J91" s="4">
        <f>(VLOOKUP('102 5.1.00'!Q91,'102 5.1.00'!$AL$4:$AN$55,3,FALSE))</f>
        <v>0</v>
      </c>
      <c r="K91" s="4">
        <f>(VLOOKUP('102 5.1.00'!R91,'102 5.1.00'!$AL$4:$AN$55,3,FALSE))</f>
        <v>0</v>
      </c>
      <c r="L91" s="4">
        <f>(VLOOKUP('102 5.1.00'!S91,'102 5.1.00'!$AL$4:$AN$55,3,FALSE))</f>
        <v>0</v>
      </c>
      <c r="M91" s="4">
        <f>(VLOOKUP('102 5.1.00'!T91,'102 5.1.00'!$AL$4:$AN$55,3,FALSE))</f>
        <v>0</v>
      </c>
      <c r="N91" s="4">
        <f>(VLOOKUP('102 5.1.00'!U91,'102 5.1.00'!$AL$4:$AN$55,3,FALSE))</f>
        <v>0</v>
      </c>
      <c r="O91" s="5">
        <f>(VLOOKUP('102 5.1.00'!V91,'102 5.1.00'!$AL$4:$AN$55,3,FALSE))</f>
        <v>0</v>
      </c>
      <c r="P91" s="5">
        <f>(VLOOKUP('102 5.1.00'!W91,'102 5.1.00'!$AL$4:$AN$55,3,FALSE))</f>
        <v>0</v>
      </c>
      <c r="Q91" s="4">
        <f>(VLOOKUP('102 5.1.00'!X91,'102 5.1.00'!$AL$4:$AN$55,3,FALSE))</f>
        <v>0</v>
      </c>
      <c r="R91" s="4">
        <f>(VLOOKUP('102 5.1.00'!Y91,'102 5.1.00'!$AL$4:$AN$55,3,FALSE))</f>
        <v>0</v>
      </c>
      <c r="S91" s="4">
        <f>(VLOOKUP('102 5.1.00'!Z91,'102 5.1.00'!$AL$4:$AN$55,3,FALSE))</f>
        <v>0</v>
      </c>
      <c r="T91" s="4">
        <f>(VLOOKUP('102 5.1.00'!AA91,'102 5.1.00'!$AL$4:$AN$55,3,FALSE))</f>
        <v>0</v>
      </c>
      <c r="U91" s="4">
        <f>(VLOOKUP('102 5.1.00'!AB91,'102 5.1.00'!$AL$4:$AN$55,3,FALSE))</f>
        <v>0</v>
      </c>
      <c r="V91" s="4">
        <f>(VLOOKUP('102 5.1.00'!AC91,'102 5.1.00'!$AL$4:$AN$55,3,FALSE))</f>
        <v>0</v>
      </c>
      <c r="W91" s="5">
        <f>(VLOOKUP('102 5.1.00'!AD91,'102 5.1.00'!$AL$4:$AN$55,3,FALSE))</f>
        <v>0</v>
      </c>
      <c r="X91" s="5">
        <f>(VLOOKUP('102 5.1.00'!AE91,'102 5.1.00'!$AL$4:$AN$55,3,FALSE))</f>
        <v>0</v>
      </c>
    </row>
    <row r="92" spans="1:24">
      <c r="A92" s="4">
        <f>(VLOOKUP('102 5.1.00'!H92,'102 5.1.00'!$AL$4:$AN$55,3,FALSE))</f>
        <v>0</v>
      </c>
      <c r="B92" s="4">
        <f>(VLOOKUP('102 5.1.00'!I92,'102 5.1.00'!$AL$4:$AN$55,3,FALSE))</f>
        <v>0</v>
      </c>
      <c r="C92" s="4">
        <f>(VLOOKUP('102 5.1.00'!J92,'102 5.1.00'!$AL$4:$AN$55,3,FALSE))</f>
        <v>0</v>
      </c>
      <c r="D92" s="4">
        <f>(VLOOKUP('102 5.1.00'!K92,'102 5.1.00'!$AL$4:$AN$55,3,FALSE))</f>
        <v>0</v>
      </c>
      <c r="E92" s="4">
        <f>(VLOOKUP('102 5.1.00'!L92,'102 5.1.00'!$AL$4:$AN$55,3,FALSE))</f>
        <v>0</v>
      </c>
      <c r="F92" s="4">
        <f>(VLOOKUP('102 5.1.00'!M92,'102 5.1.00'!$AL$4:$AN$55,3,FALSE))</f>
        <v>0</v>
      </c>
      <c r="G92" s="5">
        <f>(VLOOKUP('102 5.1.00'!N92,'102 5.1.00'!$AL$4:$AN$55,3,FALSE))</f>
        <v>0</v>
      </c>
      <c r="H92" s="5">
        <f>(VLOOKUP('102 5.1.00'!O92,'102 5.1.00'!$AL$4:$AN$55,3,FALSE))</f>
        <v>0</v>
      </c>
      <c r="I92" s="4">
        <f>(VLOOKUP('102 5.1.00'!P92,'102 5.1.00'!$AL$4:$AN$55,3,FALSE))</f>
        <v>0</v>
      </c>
      <c r="J92" s="4">
        <f>(VLOOKUP('102 5.1.00'!Q92,'102 5.1.00'!$AL$4:$AN$55,3,FALSE))</f>
        <v>0</v>
      </c>
      <c r="K92" s="4">
        <f>(VLOOKUP('102 5.1.00'!R92,'102 5.1.00'!$AL$4:$AN$55,3,FALSE))</f>
        <v>0</v>
      </c>
      <c r="L92" s="4">
        <f>(VLOOKUP('102 5.1.00'!S92,'102 5.1.00'!$AL$4:$AN$55,3,FALSE))</f>
        <v>0</v>
      </c>
      <c r="M92" s="4">
        <f>(VLOOKUP('102 5.1.00'!T92,'102 5.1.00'!$AL$4:$AN$55,3,FALSE))</f>
        <v>0</v>
      </c>
      <c r="N92" s="4">
        <f>(VLOOKUP('102 5.1.00'!U92,'102 5.1.00'!$AL$4:$AN$55,3,FALSE))</f>
        <v>0</v>
      </c>
      <c r="O92" s="5">
        <f>(VLOOKUP('102 5.1.00'!V92,'102 5.1.00'!$AL$4:$AN$55,3,FALSE))</f>
        <v>0</v>
      </c>
      <c r="P92" s="5">
        <f>(VLOOKUP('102 5.1.00'!W92,'102 5.1.00'!$AL$4:$AN$55,3,FALSE))</f>
        <v>0</v>
      </c>
      <c r="Q92" s="4">
        <f>(VLOOKUP('102 5.1.00'!X92,'102 5.1.00'!$AL$4:$AN$55,3,FALSE))</f>
        <v>0</v>
      </c>
      <c r="R92" s="4">
        <f>(VLOOKUP('102 5.1.00'!Y92,'102 5.1.00'!$AL$4:$AN$55,3,FALSE))</f>
        <v>0</v>
      </c>
      <c r="S92" s="4">
        <f>(VLOOKUP('102 5.1.00'!Z92,'102 5.1.00'!$AL$4:$AN$55,3,FALSE))</f>
        <v>0</v>
      </c>
      <c r="T92" s="4">
        <f>(VLOOKUP('102 5.1.00'!AA92,'102 5.1.00'!$AL$4:$AN$55,3,FALSE))</f>
        <v>0</v>
      </c>
      <c r="U92" s="4">
        <f>(VLOOKUP('102 5.1.00'!AB92,'102 5.1.00'!$AL$4:$AN$55,3,FALSE))</f>
        <v>0</v>
      </c>
      <c r="V92" s="4">
        <f>(VLOOKUP('102 5.1.00'!AC92,'102 5.1.00'!$AL$4:$AN$55,3,FALSE))</f>
        <v>0</v>
      </c>
      <c r="W92" s="5">
        <f>(VLOOKUP('102 5.1.00'!AD92,'102 5.1.00'!$AL$4:$AN$55,3,FALSE))</f>
        <v>0</v>
      </c>
      <c r="X92" s="5">
        <f>(VLOOKUP('102 5.1.00'!AE92,'102 5.1.00'!$AL$4:$AN$55,3,FALSE))</f>
        <v>0</v>
      </c>
    </row>
    <row r="93" spans="1:24">
      <c r="A93" s="4">
        <f>(VLOOKUP('102 5.1.00'!H93,'102 5.1.00'!$AL$4:$AN$55,3,FALSE))</f>
        <v>0</v>
      </c>
      <c r="B93" s="4">
        <f>(VLOOKUP('102 5.1.00'!I93,'102 5.1.00'!$AL$4:$AN$55,3,FALSE))</f>
        <v>0</v>
      </c>
      <c r="C93" s="4">
        <f>(VLOOKUP('102 5.1.00'!J93,'102 5.1.00'!$AL$4:$AN$55,3,FALSE))</f>
        <v>0</v>
      </c>
      <c r="D93" s="4">
        <f>(VLOOKUP('102 5.1.00'!K93,'102 5.1.00'!$AL$4:$AN$55,3,FALSE))</f>
        <v>0</v>
      </c>
      <c r="E93" s="4">
        <f>(VLOOKUP('102 5.1.00'!L93,'102 5.1.00'!$AL$4:$AN$55,3,FALSE))</f>
        <v>0</v>
      </c>
      <c r="F93" s="4">
        <f>(VLOOKUP('102 5.1.00'!M93,'102 5.1.00'!$AL$4:$AN$55,3,FALSE))</f>
        <v>0</v>
      </c>
      <c r="G93" s="5">
        <f>(VLOOKUP('102 5.1.00'!N93,'102 5.1.00'!$AL$4:$AN$55,3,FALSE))</f>
        <v>0</v>
      </c>
      <c r="H93" s="5">
        <f>(VLOOKUP('102 5.1.00'!O93,'102 5.1.00'!$AL$4:$AN$55,3,FALSE))</f>
        <v>0</v>
      </c>
      <c r="I93" s="4">
        <f>(VLOOKUP('102 5.1.00'!P93,'102 5.1.00'!$AL$4:$AN$55,3,FALSE))</f>
        <v>0</v>
      </c>
      <c r="J93" s="4">
        <f>(VLOOKUP('102 5.1.00'!Q93,'102 5.1.00'!$AL$4:$AN$55,3,FALSE))</f>
        <v>0</v>
      </c>
      <c r="K93" s="4">
        <f>(VLOOKUP('102 5.1.00'!R93,'102 5.1.00'!$AL$4:$AN$55,3,FALSE))</f>
        <v>0</v>
      </c>
      <c r="L93" s="4">
        <f>(VLOOKUP('102 5.1.00'!S93,'102 5.1.00'!$AL$4:$AN$55,3,FALSE))</f>
        <v>0</v>
      </c>
      <c r="M93" s="4">
        <f>(VLOOKUP('102 5.1.00'!T93,'102 5.1.00'!$AL$4:$AN$55,3,FALSE))</f>
        <v>0</v>
      </c>
      <c r="N93" s="4">
        <f>(VLOOKUP('102 5.1.00'!U93,'102 5.1.00'!$AL$4:$AN$55,3,FALSE))</f>
        <v>0</v>
      </c>
      <c r="O93" s="5">
        <f>(VLOOKUP('102 5.1.00'!V93,'102 5.1.00'!$AL$4:$AN$55,3,FALSE))</f>
        <v>0</v>
      </c>
      <c r="P93" s="5">
        <f>(VLOOKUP('102 5.1.00'!W93,'102 5.1.00'!$AL$4:$AN$55,3,FALSE))</f>
        <v>0</v>
      </c>
      <c r="Q93" s="4">
        <f>(VLOOKUP('102 5.1.00'!X93,'102 5.1.00'!$AL$4:$AN$55,3,FALSE))</f>
        <v>0</v>
      </c>
      <c r="R93" s="4">
        <f>(VLOOKUP('102 5.1.00'!Y93,'102 5.1.00'!$AL$4:$AN$55,3,FALSE))</f>
        <v>0</v>
      </c>
      <c r="S93" s="4">
        <f>(VLOOKUP('102 5.1.00'!Z93,'102 5.1.00'!$AL$4:$AN$55,3,FALSE))</f>
        <v>0</v>
      </c>
      <c r="T93" s="4">
        <f>(VLOOKUP('102 5.1.00'!AA93,'102 5.1.00'!$AL$4:$AN$55,3,FALSE))</f>
        <v>0</v>
      </c>
      <c r="U93" s="4">
        <f>(VLOOKUP('102 5.1.00'!AB93,'102 5.1.00'!$AL$4:$AN$55,3,FALSE))</f>
        <v>0</v>
      </c>
      <c r="V93" s="4">
        <f>(VLOOKUP('102 5.1.00'!AC93,'102 5.1.00'!$AL$4:$AN$55,3,FALSE))</f>
        <v>0</v>
      </c>
      <c r="W93" s="5">
        <f>(VLOOKUP('102 5.1.00'!AD93,'102 5.1.00'!$AL$4:$AN$55,3,FALSE))</f>
        <v>0</v>
      </c>
      <c r="X93" s="5">
        <f>(VLOOKUP('102 5.1.00'!AE93,'102 5.1.00'!$AL$4:$AN$55,3,FALSE))</f>
        <v>0</v>
      </c>
    </row>
    <row r="94" spans="1:24">
      <c r="A94" s="4">
        <f>(VLOOKUP('102 5.1.00'!H94,'102 5.1.00'!$AL$4:$AN$55,3,FALSE))</f>
        <v>0</v>
      </c>
      <c r="B94" s="4">
        <f>(VLOOKUP('102 5.1.00'!I94,'102 5.1.00'!$AL$4:$AN$55,3,FALSE))</f>
        <v>0</v>
      </c>
      <c r="C94" s="4">
        <f>(VLOOKUP('102 5.1.00'!J94,'102 5.1.00'!$AL$4:$AN$55,3,FALSE))</f>
        <v>0</v>
      </c>
      <c r="D94" s="4">
        <f>(VLOOKUP('102 5.1.00'!K94,'102 5.1.00'!$AL$4:$AN$55,3,FALSE))</f>
        <v>0</v>
      </c>
      <c r="E94" s="4">
        <f>(VLOOKUP('102 5.1.00'!L94,'102 5.1.00'!$AL$4:$AN$55,3,FALSE))</f>
        <v>0</v>
      </c>
      <c r="F94" s="4">
        <f>(VLOOKUP('102 5.1.00'!M94,'102 5.1.00'!$AL$4:$AN$55,3,FALSE))</f>
        <v>0</v>
      </c>
      <c r="G94" s="5">
        <f>(VLOOKUP('102 5.1.00'!N94,'102 5.1.00'!$AL$4:$AN$55,3,FALSE))</f>
        <v>0</v>
      </c>
      <c r="H94" s="5">
        <f>(VLOOKUP('102 5.1.00'!O94,'102 5.1.00'!$AL$4:$AN$55,3,FALSE))</f>
        <v>0</v>
      </c>
      <c r="I94" s="4">
        <f>(VLOOKUP('102 5.1.00'!P94,'102 5.1.00'!$AL$4:$AN$55,3,FALSE))</f>
        <v>0</v>
      </c>
      <c r="J94" s="4">
        <f>(VLOOKUP('102 5.1.00'!Q94,'102 5.1.00'!$AL$4:$AN$55,3,FALSE))</f>
        <v>0</v>
      </c>
      <c r="K94" s="4">
        <f>(VLOOKUP('102 5.1.00'!R94,'102 5.1.00'!$AL$4:$AN$55,3,FALSE))</f>
        <v>0</v>
      </c>
      <c r="L94" s="4">
        <f>(VLOOKUP('102 5.1.00'!S94,'102 5.1.00'!$AL$4:$AN$55,3,FALSE))</f>
        <v>0</v>
      </c>
      <c r="M94" s="4">
        <f>(VLOOKUP('102 5.1.00'!T94,'102 5.1.00'!$AL$4:$AN$55,3,FALSE))</f>
        <v>0</v>
      </c>
      <c r="N94" s="4">
        <f>(VLOOKUP('102 5.1.00'!U94,'102 5.1.00'!$AL$4:$AN$55,3,FALSE))</f>
        <v>0</v>
      </c>
      <c r="O94" s="5">
        <f>(VLOOKUP('102 5.1.00'!V94,'102 5.1.00'!$AL$4:$AN$55,3,FALSE))</f>
        <v>0</v>
      </c>
      <c r="P94" s="5">
        <f>(VLOOKUP('102 5.1.00'!W94,'102 5.1.00'!$AL$4:$AN$55,3,FALSE))</f>
        <v>0</v>
      </c>
      <c r="Q94" s="4">
        <f>(VLOOKUP('102 5.1.00'!X94,'102 5.1.00'!$AL$4:$AN$55,3,FALSE))</f>
        <v>0</v>
      </c>
      <c r="R94" s="4">
        <f>(VLOOKUP('102 5.1.00'!Y94,'102 5.1.00'!$AL$4:$AN$55,3,FALSE))</f>
        <v>0</v>
      </c>
      <c r="S94" s="4">
        <f>(VLOOKUP('102 5.1.00'!Z94,'102 5.1.00'!$AL$4:$AN$55,3,FALSE))</f>
        <v>0</v>
      </c>
      <c r="T94" s="4">
        <f>(VLOOKUP('102 5.1.00'!AA94,'102 5.1.00'!$AL$4:$AN$55,3,FALSE))</f>
        <v>0</v>
      </c>
      <c r="U94" s="4">
        <f>(VLOOKUP('102 5.1.00'!AB94,'102 5.1.00'!$AL$4:$AN$55,3,FALSE))</f>
        <v>0</v>
      </c>
      <c r="V94" s="4">
        <f>(VLOOKUP('102 5.1.00'!AC94,'102 5.1.00'!$AL$4:$AN$55,3,FALSE))</f>
        <v>0</v>
      </c>
      <c r="W94" s="5">
        <f>(VLOOKUP('102 5.1.00'!AD94,'102 5.1.00'!$AL$4:$AN$55,3,FALSE))</f>
        <v>0</v>
      </c>
      <c r="X94" s="5">
        <f>(VLOOKUP('102 5.1.00'!AE94,'102 5.1.00'!$AL$4:$AN$55,3,FALSE))</f>
        <v>0</v>
      </c>
    </row>
  </sheetData>
  <mergeCells count="6">
    <mergeCell ref="U2:X2"/>
    <mergeCell ref="A2:B2"/>
    <mergeCell ref="E2:H2"/>
    <mergeCell ref="I2:J2"/>
    <mergeCell ref="M2:P2"/>
    <mergeCell ref="Q2:R2"/>
  </mergeCells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102 5.1.00</vt:lpstr>
      <vt:lpstr>粮草</vt:lpstr>
      <vt:lpstr>经验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Jiang, Ruoli</dc:creator>
  <cp:lastModifiedBy>Jiang, Ruoli</cp:lastModifiedBy>
  <dcterms:created xsi:type="dcterms:W3CDTF">2021-06-17T16:09:00Z</dcterms:created>
  <dcterms:modified xsi:type="dcterms:W3CDTF">2021-10-06T18:49:35Z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2052-11.1.0.10314</vt:lpwstr>
  </property>
</Properties>
</file>