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0531D515-E8C8-4C2B-BB55-8324EDFA09A9}" xr6:coauthVersionLast="47" xr6:coauthVersionMax="47" xr10:uidLastSave="{00000000-0000-0000-0000-000000000000}"/>
  <bookViews>
    <workbookView xWindow="-28920" yWindow="-120" windowWidth="29040" windowHeight="15840" firstSheet="6" activeTab="12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2.07" sheetId="58" r:id="rId7"/>
    <sheet name="12.07_demo" sheetId="57" r:id="rId8"/>
    <sheet name="12.06" sheetId="59" r:id="rId9"/>
    <sheet name="八卦前规划1" sheetId="14" r:id="rId10"/>
    <sheet name="八卦后规划1" sheetId="15" r:id="rId11"/>
    <sheet name="八卦后规划2" sheetId="31" r:id="rId12"/>
    <sheet name="八卦后规划3" sheetId="4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59" l="1"/>
  <c r="F93" i="59" a="1"/>
  <c r="F93" i="59" s="1"/>
  <c r="D93" i="59" a="1"/>
  <c r="D93" i="59" s="1"/>
  <c r="AG92" i="59"/>
  <c r="D92" i="59" s="1" a="1"/>
  <c r="D92" i="59" s="1"/>
  <c r="F92" i="59" a="1"/>
  <c r="F92" i="59" s="1"/>
  <c r="AG91" i="59"/>
  <c r="D91" i="59" s="1" a="1"/>
  <c r="D91" i="59" s="1"/>
  <c r="F91" i="59" a="1"/>
  <c r="F91" i="59" s="1"/>
  <c r="AG90" i="59"/>
  <c r="D90" i="59" s="1" a="1"/>
  <c r="D90" i="59" s="1"/>
  <c r="F90" i="59" a="1"/>
  <c r="F90" i="59" s="1"/>
  <c r="AG89" i="59"/>
  <c r="F89" i="59" a="1"/>
  <c r="F89" i="59" s="1"/>
  <c r="D89" i="59" a="1"/>
  <c r="D89" i="59" s="1"/>
  <c r="AG88" i="59"/>
  <c r="D88" i="59" s="1" a="1"/>
  <c r="D88" i="59" s="1"/>
  <c r="F88" i="59" a="1"/>
  <c r="F88" i="59" s="1"/>
  <c r="AG87" i="59"/>
  <c r="D87" i="59" s="1" a="1"/>
  <c r="D87" i="59" s="1"/>
  <c r="F87" i="59" a="1"/>
  <c r="F87" i="59" s="1"/>
  <c r="AG86" i="59"/>
  <c r="F86" i="59" a="1"/>
  <c r="F86" i="59" s="1"/>
  <c r="D86" i="59" a="1"/>
  <c r="D86" i="59" s="1"/>
  <c r="AG85" i="59"/>
  <c r="F85" i="59" a="1"/>
  <c r="F85" i="59" s="1"/>
  <c r="D85" i="59" a="1"/>
  <c r="D85" i="59" s="1"/>
  <c r="AG84" i="59"/>
  <c r="F84" i="59" a="1"/>
  <c r="F84" i="59" s="1"/>
  <c r="D84" i="59" a="1"/>
  <c r="D84" i="59" s="1"/>
  <c r="AG83" i="59"/>
  <c r="F83" i="59" a="1"/>
  <c r="F83" i="59" s="1"/>
  <c r="D83" i="59" a="1"/>
  <c r="D83" i="59" s="1"/>
  <c r="AG82" i="59"/>
  <c r="D82" i="59" s="1" a="1"/>
  <c r="D82" i="59" s="1"/>
  <c r="F82" i="59" a="1"/>
  <c r="F82" i="59" s="1"/>
  <c r="AG81" i="59"/>
  <c r="D81" i="59" s="1" a="1"/>
  <c r="D81" i="59" s="1"/>
  <c r="F81" i="59" a="1"/>
  <c r="F81" i="59" s="1"/>
  <c r="AG80" i="59"/>
  <c r="D80" i="59" s="1" a="1"/>
  <c r="D80" i="59" s="1"/>
  <c r="F80" i="59" a="1"/>
  <c r="F80" i="59" s="1"/>
  <c r="AG79" i="59"/>
  <c r="D79" i="59" s="1" a="1"/>
  <c r="D79" i="59" s="1"/>
  <c r="F79" i="59" a="1"/>
  <c r="F79" i="59" s="1"/>
  <c r="AG78" i="59"/>
  <c r="D78" i="59" s="1" a="1"/>
  <c r="D78" i="59" s="1"/>
  <c r="F78" i="59" a="1"/>
  <c r="F78" i="59" s="1"/>
  <c r="AG77" i="59"/>
  <c r="D77" i="59" s="1" a="1"/>
  <c r="D77" i="59" s="1"/>
  <c r="F77" i="59" a="1"/>
  <c r="F77" i="59" s="1"/>
  <c r="AG76" i="59"/>
  <c r="F76" i="59" a="1"/>
  <c r="F76" i="59" s="1"/>
  <c r="D76" i="59" a="1"/>
  <c r="D76" i="59" s="1"/>
  <c r="AG75" i="59"/>
  <c r="F75" i="59" a="1"/>
  <c r="F75" i="59" s="1"/>
  <c r="D75" i="59" a="1"/>
  <c r="D75" i="59" s="1"/>
  <c r="AG74" i="59"/>
  <c r="F74" i="59" a="1"/>
  <c r="F74" i="59" s="1"/>
  <c r="D74" i="59" a="1"/>
  <c r="D74" i="59" s="1"/>
  <c r="AG73" i="59"/>
  <c r="F73" i="59" a="1"/>
  <c r="F73" i="59" s="1"/>
  <c r="D73" i="59" a="1"/>
  <c r="D73" i="59" s="1"/>
  <c r="AG72" i="59"/>
  <c r="F72" i="59" a="1"/>
  <c r="F72" i="59" s="1"/>
  <c r="D72" i="59" a="1"/>
  <c r="D72" i="59" s="1"/>
  <c r="AG71" i="59"/>
  <c r="D71" i="59" s="1" a="1"/>
  <c r="D71" i="59" s="1"/>
  <c r="F71" i="59" a="1"/>
  <c r="F71" i="59" s="1"/>
  <c r="AG70" i="59"/>
  <c r="D70" i="59" s="1" a="1"/>
  <c r="D70" i="59" s="1"/>
  <c r="F70" i="59" a="1"/>
  <c r="F70" i="59" s="1"/>
  <c r="AG69" i="59"/>
  <c r="D69" i="59" s="1" a="1"/>
  <c r="D69" i="59" s="1"/>
  <c r="F69" i="59" a="1"/>
  <c r="F69" i="59" s="1"/>
  <c r="AG68" i="59"/>
  <c r="D68" i="59" s="1" a="1"/>
  <c r="D68" i="59" s="1"/>
  <c r="F68" i="59" a="1"/>
  <c r="F68" i="59" s="1"/>
  <c r="AG67" i="59"/>
  <c r="F67" i="59" a="1"/>
  <c r="F67" i="59" s="1"/>
  <c r="D67" i="59" a="1"/>
  <c r="D67" i="59" s="1"/>
  <c r="AG66" i="59"/>
  <c r="D66" i="59" s="1" a="1"/>
  <c r="D66" i="59" s="1"/>
  <c r="F66" i="59" a="1"/>
  <c r="F66" i="59" s="1"/>
  <c r="AG65" i="59"/>
  <c r="F65" i="59" a="1"/>
  <c r="F65" i="59" s="1"/>
  <c r="D65" i="59" a="1"/>
  <c r="D65" i="59" s="1"/>
  <c r="AG64" i="59"/>
  <c r="D64" i="59" s="1" a="1"/>
  <c r="D64" i="59" s="1"/>
  <c r="F64" i="59" a="1"/>
  <c r="F64" i="59" s="1"/>
  <c r="AG63" i="59"/>
  <c r="D63" i="59" s="1" a="1"/>
  <c r="D63" i="59" s="1"/>
  <c r="F63" i="59" a="1"/>
  <c r="F63" i="59" s="1"/>
  <c r="AG62" i="59"/>
  <c r="D62" i="59" s="1" a="1"/>
  <c r="D62" i="59" s="1"/>
  <c r="F62" i="59" a="1"/>
  <c r="F62" i="59" s="1"/>
  <c r="AG61" i="59"/>
  <c r="F61" i="59" a="1"/>
  <c r="F61" i="59" s="1"/>
  <c r="D61" i="59" a="1"/>
  <c r="D61" i="59" s="1"/>
  <c r="AG60" i="59"/>
  <c r="F60" i="59" a="1"/>
  <c r="F60" i="59" s="1"/>
  <c r="D60" i="59" a="1"/>
  <c r="D60" i="59" s="1"/>
  <c r="AG59" i="59"/>
  <c r="D59" i="59" s="1" a="1"/>
  <c r="D59" i="59" s="1"/>
  <c r="F59" i="59" a="1"/>
  <c r="F59" i="59" s="1"/>
  <c r="AG58" i="59"/>
  <c r="D58" i="59" s="1" a="1"/>
  <c r="D58" i="59" s="1"/>
  <c r="F58" i="59" a="1"/>
  <c r="F58" i="59" s="1"/>
  <c r="AG57" i="59"/>
  <c r="D57" i="59" s="1" a="1"/>
  <c r="D57" i="59" s="1"/>
  <c r="F57" i="59" a="1"/>
  <c r="F57" i="59" s="1"/>
  <c r="AG56" i="59"/>
  <c r="D56" i="59" s="1" a="1"/>
  <c r="D56" i="59" s="1"/>
  <c r="F56" i="59" a="1"/>
  <c r="F56" i="59" s="1"/>
  <c r="AG55" i="59"/>
  <c r="D55" i="59" s="1" a="1"/>
  <c r="D55" i="59" s="1"/>
  <c r="F55" i="59" a="1"/>
  <c r="F55" i="59" s="1"/>
  <c r="AG54" i="59"/>
  <c r="D54" i="59" s="1" a="1"/>
  <c r="D54" i="59" s="1"/>
  <c r="F54" i="59" a="1"/>
  <c r="F54" i="59" s="1"/>
  <c r="AG53" i="59"/>
  <c r="D53" i="59" s="1" a="1"/>
  <c r="D53" i="59" s="1"/>
  <c r="F53" i="59" a="1"/>
  <c r="F53" i="59" s="1"/>
  <c r="AG52" i="59"/>
  <c r="D52" i="59" s="1" a="1"/>
  <c r="D52" i="59" s="1"/>
  <c r="F52" i="59" a="1"/>
  <c r="F52" i="59" s="1"/>
  <c r="AG51" i="59"/>
  <c r="F51" i="59" a="1"/>
  <c r="F51" i="59" s="1"/>
  <c r="D51" i="59" a="1"/>
  <c r="D51" i="59" s="1"/>
  <c r="AG50" i="59"/>
  <c r="F50" i="59" a="1"/>
  <c r="F50" i="59" s="1"/>
  <c r="D50" i="59" a="1"/>
  <c r="D50" i="59" s="1"/>
  <c r="AG49" i="59"/>
  <c r="D49" i="59" s="1" a="1"/>
  <c r="D49" i="59" s="1"/>
  <c r="F49" i="59" a="1"/>
  <c r="F49" i="59" s="1"/>
  <c r="AG48" i="59"/>
  <c r="F48" i="59" a="1"/>
  <c r="F48" i="59" s="1"/>
  <c r="D48" i="59" a="1"/>
  <c r="D48" i="59" s="1"/>
  <c r="AG47" i="59"/>
  <c r="D47" i="59" s="1" a="1"/>
  <c r="D47" i="59" s="1"/>
  <c r="F47" i="59" a="1"/>
  <c r="F47" i="59" s="1"/>
  <c r="AG46" i="59"/>
  <c r="D46" i="59" s="1" a="1"/>
  <c r="D46" i="59" s="1"/>
  <c r="F46" i="59" a="1"/>
  <c r="F46" i="59" s="1"/>
  <c r="AG45" i="59"/>
  <c r="D45" i="59" s="1" a="1"/>
  <c r="D45" i="59" s="1"/>
  <c r="F45" i="59" a="1"/>
  <c r="F45" i="59" s="1"/>
  <c r="AG44" i="59"/>
  <c r="D44" i="59" s="1" a="1"/>
  <c r="D44" i="59" s="1"/>
  <c r="F44" i="59" a="1"/>
  <c r="F44" i="59" s="1"/>
  <c r="AG43" i="59"/>
  <c r="F43" i="59" a="1"/>
  <c r="F43" i="59" s="1"/>
  <c r="D43" i="59" a="1"/>
  <c r="D43" i="59" s="1"/>
  <c r="AG42" i="59"/>
  <c r="D42" i="59" s="1" a="1"/>
  <c r="D42" i="59" s="1"/>
  <c r="F42" i="59" a="1"/>
  <c r="F42" i="59" s="1"/>
  <c r="AS41" i="59"/>
  <c r="AR41" i="59"/>
  <c r="AG41" i="59"/>
  <c r="D41" i="59" s="1" a="1"/>
  <c r="D41" i="59" s="1"/>
  <c r="F41" i="59" a="1"/>
  <c r="F41" i="59" s="1"/>
  <c r="AG40" i="59"/>
  <c r="D40" i="59" s="1" a="1"/>
  <c r="D40" i="59" s="1"/>
  <c r="F40" i="59" a="1"/>
  <c r="F40" i="59" s="1"/>
  <c r="BC39" i="59"/>
  <c r="AG39" i="59"/>
  <c r="D39" i="59" s="1" a="1"/>
  <c r="D39" i="59" s="1"/>
  <c r="F39" i="59" a="1"/>
  <c r="F39" i="59" s="1"/>
  <c r="AG38" i="59"/>
  <c r="D38" i="59" s="1" a="1"/>
  <c r="D38" i="59" s="1"/>
  <c r="F38" i="59" a="1"/>
  <c r="F38" i="59" s="1"/>
  <c r="AG37" i="59"/>
  <c r="D37" i="59" s="1" a="1"/>
  <c r="D37" i="59" s="1"/>
  <c r="F37" i="59" a="1"/>
  <c r="F37" i="59" s="1"/>
  <c r="AG36" i="59"/>
  <c r="D36" i="59" s="1" a="1"/>
  <c r="D36" i="59" s="1"/>
  <c r="F36" i="59" a="1"/>
  <c r="F36" i="59" s="1"/>
  <c r="AG35" i="59"/>
  <c r="F35" i="59" a="1"/>
  <c r="F35" i="59" s="1"/>
  <c r="D35" i="59" a="1"/>
  <c r="D35" i="59" s="1"/>
  <c r="AG34" i="59"/>
  <c r="D34" i="59" s="1" a="1"/>
  <c r="D34" i="59" s="1"/>
  <c r="F34" i="59" a="1"/>
  <c r="F34" i="59" s="1"/>
  <c r="AG33" i="59"/>
  <c r="D33" i="59" s="1" a="1"/>
  <c r="D33" i="59" s="1"/>
  <c r="F33" i="59" a="1"/>
  <c r="F33" i="59" s="1"/>
  <c r="AG32" i="59"/>
  <c r="D32" i="59" s="1" a="1"/>
  <c r="D32" i="59" s="1"/>
  <c r="F32" i="59" a="1"/>
  <c r="F32" i="59" s="1"/>
  <c r="AG31" i="59"/>
  <c r="D31" i="59" s="1" a="1"/>
  <c r="D31" i="59" s="1"/>
  <c r="F31" i="59" a="1"/>
  <c r="F31" i="59" s="1"/>
  <c r="AG30" i="59"/>
  <c r="D30" i="59" s="1" a="1"/>
  <c r="D30" i="59" s="1"/>
  <c r="F30" i="59" a="1"/>
  <c r="F30" i="59" s="1"/>
  <c r="BB29" i="59"/>
  <c r="AT29" i="59"/>
  <c r="AX29" i="59" s="1"/>
  <c r="AS29" i="59"/>
  <c r="AW29" i="59" s="1"/>
  <c r="AR29" i="59"/>
  <c r="AG29" i="59"/>
  <c r="D29" i="59" s="1" a="1"/>
  <c r="D29" i="59" s="1"/>
  <c r="F29" i="59" a="1"/>
  <c r="F29" i="59" s="1"/>
  <c r="BB28" i="59"/>
  <c r="AT28" i="59"/>
  <c r="AX28" i="59" s="1"/>
  <c r="AS28" i="59"/>
  <c r="AW28" i="59" s="1"/>
  <c r="AR28" i="59"/>
  <c r="AV28" i="59" s="1"/>
  <c r="AG28" i="59"/>
  <c r="F28" i="59" a="1"/>
  <c r="F28" i="59" s="1"/>
  <c r="D28" i="59" a="1"/>
  <c r="D28" i="59" s="1"/>
  <c r="BB27" i="59"/>
  <c r="AX27" i="59"/>
  <c r="AW27" i="59"/>
  <c r="AV27" i="59"/>
  <c r="AP27" i="59"/>
  <c r="AG27" i="59"/>
  <c r="D27" i="59" s="1" a="1"/>
  <c r="D27" i="59" s="1"/>
  <c r="F27" i="59" a="1"/>
  <c r="F27" i="59" s="1"/>
  <c r="BB26" i="59"/>
  <c r="BA26" i="59" s="1"/>
  <c r="AT26" i="59"/>
  <c r="AX26" i="59" s="1"/>
  <c r="AS26" i="59"/>
  <c r="AW26" i="59" s="1"/>
  <c r="AR26" i="59"/>
  <c r="AV26" i="59" s="1"/>
  <c r="AP26" i="59"/>
  <c r="AG26" i="59"/>
  <c r="D26" i="59" s="1" a="1"/>
  <c r="D26" i="59" s="1"/>
  <c r="F26" i="59" a="1"/>
  <c r="F26" i="59" s="1"/>
  <c r="BB25" i="59"/>
  <c r="BA25" i="59"/>
  <c r="AT25" i="59"/>
  <c r="AX25" i="59" s="1"/>
  <c r="AS25" i="59"/>
  <c r="AW25" i="59" s="1"/>
  <c r="AR25" i="59"/>
  <c r="AP25" i="59"/>
  <c r="AG25" i="59"/>
  <c r="D25" i="59" s="1" a="1"/>
  <c r="D25" i="59" s="1"/>
  <c r="F25" i="59" a="1"/>
  <c r="F25" i="59" s="1"/>
  <c r="BB24" i="59"/>
  <c r="BA24" i="59"/>
  <c r="AT24" i="59"/>
  <c r="AX24" i="59" s="1"/>
  <c r="AS24" i="59"/>
  <c r="AW24" i="59" s="1"/>
  <c r="AR24" i="59"/>
  <c r="AV24" i="59" s="1"/>
  <c r="AP24" i="59"/>
  <c r="AG24" i="59"/>
  <c r="D24" i="59" s="1" a="1"/>
  <c r="D24" i="59" s="1"/>
  <c r="F24" i="59" a="1"/>
  <c r="F24" i="59" s="1"/>
  <c r="BB23" i="59"/>
  <c r="BA23" i="59"/>
  <c r="AT23" i="59"/>
  <c r="AX23" i="59" s="1"/>
  <c r="AS23" i="59"/>
  <c r="AW23" i="59" s="1"/>
  <c r="AR23" i="59"/>
  <c r="AV23" i="59" s="1"/>
  <c r="AG23" i="59"/>
  <c r="F23" i="59" a="1"/>
  <c r="F23" i="59" s="1"/>
  <c r="D23" i="59" a="1"/>
  <c r="D23" i="59" s="1"/>
  <c r="BB22" i="59"/>
  <c r="BA22" i="59" s="1"/>
  <c r="AT22" i="59"/>
  <c r="AX22" i="59" s="1"/>
  <c r="AS22" i="59"/>
  <c r="AW22" i="59" s="1"/>
  <c r="AR22" i="59"/>
  <c r="AG22" i="59"/>
  <c r="D22" i="59" s="1" a="1"/>
  <c r="D22" i="59" s="1"/>
  <c r="F22" i="59" a="1"/>
  <c r="F22" i="59" s="1"/>
  <c r="BB21" i="59"/>
  <c r="BA21" i="59" s="1"/>
  <c r="AT21" i="59"/>
  <c r="AX21" i="59" s="1"/>
  <c r="AS21" i="59"/>
  <c r="AW21" i="59" s="1"/>
  <c r="AR21" i="59"/>
  <c r="AV21" i="59" s="1"/>
  <c r="AG21" i="59"/>
  <c r="D21" i="59" s="1" a="1"/>
  <c r="D21" i="59" s="1"/>
  <c r="F21" i="59" a="1"/>
  <c r="F21" i="59" s="1"/>
  <c r="BB20" i="59"/>
  <c r="BA20" i="59" s="1"/>
  <c r="AT20" i="59"/>
  <c r="AX20" i="59" s="1"/>
  <c r="AS20" i="59"/>
  <c r="AW20" i="59" s="1"/>
  <c r="AR20" i="59"/>
  <c r="AV20" i="59" s="1"/>
  <c r="AG20" i="59"/>
  <c r="D20" i="59" s="1" a="1"/>
  <c r="D20" i="59" s="1"/>
  <c r="F20" i="59" a="1"/>
  <c r="F20" i="59" s="1"/>
  <c r="BB19" i="59"/>
  <c r="BA19" i="59"/>
  <c r="AT19" i="59"/>
  <c r="AX19" i="59" s="1"/>
  <c r="AS19" i="59"/>
  <c r="AW19" i="59" s="1"/>
  <c r="AR19" i="59"/>
  <c r="AV19" i="59" s="1"/>
  <c r="AG19" i="59"/>
  <c r="D19" i="59" s="1" a="1"/>
  <c r="D19" i="59" s="1"/>
  <c r="F19" i="59" a="1"/>
  <c r="F19" i="59" s="1"/>
  <c r="BB18" i="59"/>
  <c r="BA18" i="59" s="1"/>
  <c r="AT18" i="59"/>
  <c r="AX18" i="59" s="1"/>
  <c r="AS18" i="59"/>
  <c r="AW18" i="59" s="1"/>
  <c r="AR18" i="59"/>
  <c r="AV18" i="59" s="1"/>
  <c r="AG18" i="59"/>
  <c r="D18" i="59" s="1" a="1"/>
  <c r="D18" i="59" s="1"/>
  <c r="F18" i="59" a="1"/>
  <c r="F18" i="59" s="1"/>
  <c r="BB17" i="59"/>
  <c r="BA17" i="59" s="1"/>
  <c r="AT17" i="59"/>
  <c r="AX17" i="59" s="1"/>
  <c r="AS17" i="59"/>
  <c r="AW17" i="59" s="1"/>
  <c r="AR17" i="59"/>
  <c r="AV17" i="59" s="1"/>
  <c r="AG17" i="59"/>
  <c r="D17" i="59" s="1" a="1"/>
  <c r="D17" i="59" s="1"/>
  <c r="F17" i="59" a="1"/>
  <c r="F17" i="59" s="1"/>
  <c r="BB16" i="59"/>
  <c r="BA16" i="59"/>
  <c r="AT16" i="59"/>
  <c r="AX16" i="59" s="1"/>
  <c r="AS16" i="59"/>
  <c r="AW16" i="59" s="1"/>
  <c r="AR16" i="59"/>
  <c r="AP16" i="59"/>
  <c r="AG16" i="59"/>
  <c r="D16" i="59" s="1" a="1"/>
  <c r="D16" i="59" s="1"/>
  <c r="F16" i="59" a="1"/>
  <c r="F16" i="59" s="1"/>
  <c r="BB15" i="59"/>
  <c r="BA15" i="59" s="1"/>
  <c r="AT15" i="59"/>
  <c r="AX15" i="59" s="1"/>
  <c r="AS15" i="59"/>
  <c r="AW15" i="59" s="1"/>
  <c r="AR15" i="59"/>
  <c r="AV15" i="59" s="1"/>
  <c r="AG15" i="59"/>
  <c r="D15" i="59" s="1" a="1"/>
  <c r="D15" i="59" s="1"/>
  <c r="F15" i="59" a="1"/>
  <c r="F15" i="59" s="1"/>
  <c r="BB14" i="59"/>
  <c r="BA14" i="59" s="1"/>
  <c r="AT14" i="59"/>
  <c r="AX14" i="59" s="1"/>
  <c r="AS14" i="59"/>
  <c r="AW14" i="59" s="1"/>
  <c r="AR14" i="59"/>
  <c r="AG14" i="59"/>
  <c r="D14" i="59" s="1" a="1"/>
  <c r="D14" i="59" s="1"/>
  <c r="F14" i="59" a="1"/>
  <c r="F14" i="59" s="1"/>
  <c r="BB13" i="59"/>
  <c r="BA13" i="59" s="1"/>
  <c r="AT13" i="59"/>
  <c r="AS13" i="59"/>
  <c r="AW13" i="59" s="1"/>
  <c r="AR13" i="59"/>
  <c r="AV13" i="59" s="1"/>
  <c r="AG13" i="59"/>
  <c r="D13" i="59" s="1" a="1"/>
  <c r="D13" i="59" s="1"/>
  <c r="F13" i="59" a="1"/>
  <c r="F13" i="59" s="1"/>
  <c r="BB12" i="59"/>
  <c r="BA12" i="59"/>
  <c r="AT12" i="59"/>
  <c r="AX12" i="59" s="1"/>
  <c r="AS12" i="59"/>
  <c r="AW12" i="59" s="1"/>
  <c r="AR12" i="59"/>
  <c r="AV12" i="59" s="1"/>
  <c r="AP12" i="59"/>
  <c r="AG12" i="59"/>
  <c r="D12" i="59" s="1" a="1"/>
  <c r="D12" i="59" s="1"/>
  <c r="F12" i="59" a="1"/>
  <c r="F12" i="59" s="1"/>
  <c r="BB11" i="59"/>
  <c r="BA11" i="59"/>
  <c r="AT11" i="59"/>
  <c r="AX11" i="59" s="1"/>
  <c r="AS11" i="59"/>
  <c r="AW11" i="59" s="1"/>
  <c r="AR11" i="59"/>
  <c r="AV11" i="59" s="1"/>
  <c r="AQ11" i="59"/>
  <c r="AP11" i="59"/>
  <c r="AG11" i="59"/>
  <c r="D11" i="59" s="1" a="1"/>
  <c r="D11" i="59" s="1"/>
  <c r="F11" i="59" a="1"/>
  <c r="F11" i="59" s="1"/>
  <c r="BB10" i="59"/>
  <c r="BA10" i="59" s="1"/>
  <c r="AT10" i="59"/>
  <c r="AX10" i="59" s="1"/>
  <c r="AS10" i="59"/>
  <c r="AW10" i="59" s="1"/>
  <c r="AR10" i="59"/>
  <c r="AV10" i="59" s="1"/>
  <c r="AP10" i="59"/>
  <c r="AG10" i="59"/>
  <c r="D10" i="59" s="1" a="1"/>
  <c r="D10" i="59" s="1"/>
  <c r="F10" i="59" a="1"/>
  <c r="F10" i="59" s="1"/>
  <c r="BB9" i="59"/>
  <c r="BA9" i="59" s="1"/>
  <c r="AT9" i="59"/>
  <c r="AX9" i="59" s="1"/>
  <c r="AS9" i="59"/>
  <c r="AW9" i="59" s="1"/>
  <c r="AR9" i="59"/>
  <c r="AG9" i="59"/>
  <c r="D9" i="59" s="1" a="1"/>
  <c r="D9" i="59" s="1"/>
  <c r="F9" i="59" a="1"/>
  <c r="F9" i="59" s="1"/>
  <c r="BB8" i="59"/>
  <c r="BA8" i="59" s="1"/>
  <c r="AT8" i="59"/>
  <c r="AX8" i="59" s="1"/>
  <c r="AS8" i="59"/>
  <c r="AR8" i="59"/>
  <c r="AV8" i="59" s="1"/>
  <c r="AG8" i="59"/>
  <c r="D8" i="59" s="1" a="1"/>
  <c r="D8" i="59" s="1"/>
  <c r="F8" i="59" a="1"/>
  <c r="F8" i="59" s="1"/>
  <c r="BB7" i="59"/>
  <c r="BA7" i="59"/>
  <c r="AT7" i="59"/>
  <c r="AX7" i="59" s="1"/>
  <c r="AS7" i="59"/>
  <c r="AW7" i="59" s="1"/>
  <c r="AR7" i="59"/>
  <c r="AV7" i="59" s="1"/>
  <c r="AG7" i="59"/>
  <c r="D7" i="59" s="1" a="1"/>
  <c r="D7" i="59" s="1"/>
  <c r="F7" i="59" a="1"/>
  <c r="F7" i="59" s="1"/>
  <c r="BB6" i="59"/>
  <c r="BA6" i="59" s="1"/>
  <c r="AT6" i="59"/>
  <c r="AX6" i="59" s="1"/>
  <c r="AS6" i="59"/>
  <c r="AW6" i="59" s="1"/>
  <c r="AR6" i="59"/>
  <c r="AG6" i="59"/>
  <c r="D6" i="59" s="1" a="1"/>
  <c r="D6" i="59" s="1"/>
  <c r="F6" i="59" a="1"/>
  <c r="F6" i="59" s="1"/>
  <c r="BB5" i="59"/>
  <c r="AQ5" i="59" s="1"/>
  <c r="AT5" i="59"/>
  <c r="AX5" i="59" s="1"/>
  <c r="AS5" i="59"/>
  <c r="AW5" i="59" s="1"/>
  <c r="AR5" i="59"/>
  <c r="AV5" i="59" s="1"/>
  <c r="AP5" i="59"/>
  <c r="AG5" i="59"/>
  <c r="F5" i="59" a="1"/>
  <c r="F5" i="59" s="1"/>
  <c r="D5" i="59" a="1"/>
  <c r="D5" i="59" s="1"/>
  <c r="BB4" i="59"/>
  <c r="AQ4" i="59" s="1"/>
  <c r="BA4" i="59"/>
  <c r="AT4" i="59"/>
  <c r="AX4" i="59" s="1"/>
  <c r="AS4" i="59"/>
  <c r="AW4" i="59" s="1"/>
  <c r="AR4" i="59"/>
  <c r="AV4" i="59" s="1"/>
  <c r="AP4" i="59"/>
  <c r="C2" i="59" s="1" a="1"/>
  <c r="C2" i="59" s="1"/>
  <c r="AG4" i="59"/>
  <c r="F4" i="59" a="1"/>
  <c r="F4" i="59" s="1"/>
  <c r="D4" i="59" a="1"/>
  <c r="D4" i="59" s="1"/>
  <c r="AJ2" i="59"/>
  <c r="AI2" i="59"/>
  <c r="AH2" i="59"/>
  <c r="AB2" i="59"/>
  <c r="T2" i="59"/>
  <c r="L2" i="59"/>
  <c r="A1" i="59"/>
  <c r="F94" i="58" a="1"/>
  <c r="F94" i="58" s="1"/>
  <c r="D97" i="58" a="1"/>
  <c r="D97" i="58" s="1"/>
  <c r="F97" i="58" a="1"/>
  <c r="F97" i="58" s="1"/>
  <c r="AG95" i="58"/>
  <c r="AG96" i="58"/>
  <c r="AG14" i="58"/>
  <c r="AG15" i="58"/>
  <c r="F13" i="58" a="1"/>
  <c r="F13" i="58" s="1"/>
  <c r="AG2" i="59" l="1"/>
  <c r="AU6" i="59"/>
  <c r="AU18" i="59"/>
  <c r="AU22" i="59"/>
  <c r="AU9" i="59"/>
  <c r="AU16" i="59"/>
  <c r="AU25" i="59"/>
  <c r="AU29" i="59"/>
  <c r="AU14" i="59"/>
  <c r="AU19" i="59"/>
  <c r="AU8" i="59"/>
  <c r="AU23" i="59"/>
  <c r="AU21" i="59"/>
  <c r="AV22" i="59"/>
  <c r="AV16" i="59"/>
  <c r="AV14" i="59"/>
  <c r="AV6" i="59"/>
  <c r="AU13" i="59"/>
  <c r="AU28" i="59"/>
  <c r="AV9" i="59"/>
  <c r="E92" i="59"/>
  <c r="E80" i="59"/>
  <c r="E68" i="59"/>
  <c r="E56" i="59"/>
  <c r="E44" i="59"/>
  <c r="E5" i="59"/>
  <c r="E85" i="59"/>
  <c r="E73" i="59"/>
  <c r="E61" i="59"/>
  <c r="E49" i="59"/>
  <c r="E34" i="59"/>
  <c r="E90" i="59"/>
  <c r="E78" i="59"/>
  <c r="E66" i="59"/>
  <c r="E54" i="59"/>
  <c r="E42" i="59"/>
  <c r="E39" i="59"/>
  <c r="E24" i="59"/>
  <c r="E21" i="59"/>
  <c r="E18" i="59"/>
  <c r="E10" i="59"/>
  <c r="E7" i="59"/>
  <c r="E83" i="59"/>
  <c r="E71" i="59"/>
  <c r="E59" i="59"/>
  <c r="E47" i="59"/>
  <c r="E32" i="59"/>
  <c r="E15" i="59"/>
  <c r="E88" i="59"/>
  <c r="E76" i="59"/>
  <c r="E64" i="59"/>
  <c r="E52" i="59"/>
  <c r="E37" i="59"/>
  <c r="E26" i="59"/>
  <c r="E93" i="59"/>
  <c r="E81" i="59"/>
  <c r="E69" i="59"/>
  <c r="E57" i="59"/>
  <c r="E45" i="59"/>
  <c r="E30" i="59"/>
  <c r="E86" i="59"/>
  <c r="E74" i="59"/>
  <c r="E62" i="59"/>
  <c r="E50" i="59"/>
  <c r="E40" i="59"/>
  <c r="E35" i="59"/>
  <c r="E23" i="59"/>
  <c r="E20" i="59"/>
  <c r="E17" i="59"/>
  <c r="E91" i="59"/>
  <c r="E79" i="59"/>
  <c r="E67" i="59"/>
  <c r="E55" i="59"/>
  <c r="E43" i="59"/>
  <c r="E14" i="59"/>
  <c r="E9" i="59"/>
  <c r="E6" i="59"/>
  <c r="E4" i="59"/>
  <c r="E12" i="59"/>
  <c r="E84" i="59"/>
  <c r="E72" i="59"/>
  <c r="E60" i="59"/>
  <c r="E48" i="59"/>
  <c r="E33" i="59"/>
  <c r="E29" i="59"/>
  <c r="E89" i="59"/>
  <c r="E77" i="59"/>
  <c r="E65" i="59"/>
  <c r="E53" i="59"/>
  <c r="E38" i="59"/>
  <c r="E25" i="59"/>
  <c r="E82" i="59"/>
  <c r="E70" i="59"/>
  <c r="E58" i="59"/>
  <c r="E46" i="59"/>
  <c r="E31" i="59"/>
  <c r="E22" i="59"/>
  <c r="E19" i="59"/>
  <c r="E11" i="59"/>
  <c r="E87" i="59"/>
  <c r="E75" i="59"/>
  <c r="E63" i="59"/>
  <c r="E51" i="59"/>
  <c r="E41" i="59"/>
  <c r="E36" i="59"/>
  <c r="E28" i="59"/>
  <c r="E27" i="59"/>
  <c r="E16" i="59"/>
  <c r="E13" i="59"/>
  <c r="E8" i="59"/>
  <c r="G83" i="59"/>
  <c r="AW8" i="59"/>
  <c r="G7" i="59"/>
  <c r="AU11" i="59"/>
  <c r="AX13" i="59"/>
  <c r="BA5" i="59"/>
  <c r="G18" i="59"/>
  <c r="G21" i="59"/>
  <c r="G24" i="59"/>
  <c r="AV25" i="59"/>
  <c r="AV29" i="59"/>
  <c r="G39" i="59"/>
  <c r="G42" i="59"/>
  <c r="G54" i="59"/>
  <c r="G66" i="59"/>
  <c r="G78" i="59"/>
  <c r="G90" i="59"/>
  <c r="G5" i="59"/>
  <c r="AU17" i="59"/>
  <c r="AU20" i="59"/>
  <c r="G34" i="59"/>
  <c r="G49" i="59"/>
  <c r="G61" i="59"/>
  <c r="G73" i="59"/>
  <c r="G85" i="59"/>
  <c r="G44" i="59"/>
  <c r="G56" i="59"/>
  <c r="G68" i="59"/>
  <c r="G80" i="59"/>
  <c r="G92" i="59"/>
  <c r="G8" i="59"/>
  <c r="G13" i="59"/>
  <c r="G27" i="59"/>
  <c r="G28" i="59"/>
  <c r="G36" i="59"/>
  <c r="G41" i="59"/>
  <c r="G51" i="59"/>
  <c r="G63" i="59"/>
  <c r="G75" i="59"/>
  <c r="G87" i="59"/>
  <c r="G9" i="59"/>
  <c r="G14" i="59"/>
  <c r="G16" i="59"/>
  <c r="F2" i="59"/>
  <c r="AU7" i="59"/>
  <c r="G11" i="59"/>
  <c r="AU12" i="59"/>
  <c r="AU15" i="59"/>
  <c r="G19" i="59"/>
  <c r="G22" i="59"/>
  <c r="AU26" i="59"/>
  <c r="G31" i="59"/>
  <c r="G46" i="59"/>
  <c r="G58" i="59"/>
  <c r="G70" i="59"/>
  <c r="G82" i="59"/>
  <c r="G6" i="59"/>
  <c r="AU4" i="59"/>
  <c r="AU10" i="59"/>
  <c r="G25" i="59"/>
  <c r="G38" i="59"/>
  <c r="G53" i="59"/>
  <c r="G65" i="59"/>
  <c r="G77" i="59"/>
  <c r="G89" i="59"/>
  <c r="AU24" i="59"/>
  <c r="G29" i="59"/>
  <c r="G33" i="59"/>
  <c r="G48" i="59"/>
  <c r="G60" i="59"/>
  <c r="G72" i="59"/>
  <c r="G84" i="59"/>
  <c r="G43" i="59"/>
  <c r="G55" i="59"/>
  <c r="G67" i="59"/>
  <c r="G79" i="59"/>
  <c r="G91" i="59"/>
  <c r="G17" i="59"/>
  <c r="G20" i="59"/>
  <c r="G23" i="59"/>
  <c r="G35" i="59"/>
  <c r="G40" i="59"/>
  <c r="G50" i="59"/>
  <c r="G62" i="59"/>
  <c r="G74" i="59"/>
  <c r="G86" i="59"/>
  <c r="AU5" i="59"/>
  <c r="G30" i="59"/>
  <c r="G45" i="59"/>
  <c r="G57" i="59"/>
  <c r="G69" i="59"/>
  <c r="G81" i="59"/>
  <c r="G93" i="59"/>
  <c r="G26" i="59"/>
  <c r="G37" i="59"/>
  <c r="G52" i="59"/>
  <c r="G64" i="59"/>
  <c r="G76" i="59"/>
  <c r="G88" i="59"/>
  <c r="G4" i="59"/>
  <c r="G12" i="59"/>
  <c r="G10" i="59"/>
  <c r="G15" i="59"/>
  <c r="G32" i="59"/>
  <c r="G47" i="59"/>
  <c r="G59" i="59"/>
  <c r="G71" i="59"/>
  <c r="AG97" i="58"/>
  <c r="AG94" i="58"/>
  <c r="D94" i="58" s="1" a="1"/>
  <c r="D94" i="58" s="1"/>
  <c r="AG93" i="58"/>
  <c r="F93" i="58" a="1"/>
  <c r="F93" i="58" s="1"/>
  <c r="D93" i="58" a="1"/>
  <c r="D93" i="58" s="1"/>
  <c r="AG92" i="58"/>
  <c r="D92" i="58" s="1" a="1"/>
  <c r="D92" i="58" s="1"/>
  <c r="F92" i="58" a="1"/>
  <c r="F92" i="58" s="1"/>
  <c r="AG91" i="58"/>
  <c r="F91" i="58" a="1"/>
  <c r="F91" i="58" s="1"/>
  <c r="D91" i="58" a="1"/>
  <c r="D91" i="58" s="1"/>
  <c r="AG90" i="58"/>
  <c r="F90" i="58" a="1"/>
  <c r="F90" i="58" s="1"/>
  <c r="D90" i="58" a="1"/>
  <c r="D90" i="58" s="1"/>
  <c r="AG89" i="58"/>
  <c r="D89" i="58" s="1" a="1"/>
  <c r="D89" i="58" s="1"/>
  <c r="F89" i="58" a="1"/>
  <c r="F89" i="58" s="1"/>
  <c r="AG88" i="58"/>
  <c r="F88" i="58" a="1"/>
  <c r="F88" i="58" s="1"/>
  <c r="D88" i="58" a="1"/>
  <c r="D88" i="58" s="1"/>
  <c r="AG87" i="58"/>
  <c r="F87" i="58" a="1"/>
  <c r="F87" i="58" s="1"/>
  <c r="D87" i="58" a="1"/>
  <c r="D87" i="58" s="1"/>
  <c r="AG86" i="58"/>
  <c r="F86" i="58" a="1"/>
  <c r="F86" i="58" s="1"/>
  <c r="D86" i="58" a="1"/>
  <c r="D86" i="58" s="1"/>
  <c r="AG85" i="58"/>
  <c r="D85" i="58" s="1" a="1"/>
  <c r="D85" i="58" s="1"/>
  <c r="F85" i="58" a="1"/>
  <c r="F85" i="58" s="1"/>
  <c r="AG84" i="58"/>
  <c r="D84" i="58" s="1" a="1"/>
  <c r="D84" i="58" s="1"/>
  <c r="F84" i="58" a="1"/>
  <c r="F84" i="58" s="1"/>
  <c r="AG83" i="58"/>
  <c r="D83" i="58" s="1" a="1"/>
  <c r="D83" i="58" s="1"/>
  <c r="F83" i="58" a="1"/>
  <c r="F83" i="58" s="1"/>
  <c r="AG82" i="58"/>
  <c r="D82" i="58" s="1" a="1"/>
  <c r="D82" i="58" s="1"/>
  <c r="F82" i="58" a="1"/>
  <c r="F82" i="58" s="1"/>
  <c r="AG81" i="58"/>
  <c r="D81" i="58" s="1" a="1"/>
  <c r="D81" i="58" s="1"/>
  <c r="F81" i="58" a="1"/>
  <c r="F81" i="58" s="1"/>
  <c r="AG80" i="58"/>
  <c r="D80" i="58" s="1" a="1"/>
  <c r="D80" i="58" s="1"/>
  <c r="F80" i="58" a="1"/>
  <c r="F80" i="58" s="1"/>
  <c r="AG79" i="58"/>
  <c r="D79" i="58" s="1" a="1"/>
  <c r="D79" i="58" s="1"/>
  <c r="F79" i="58" a="1"/>
  <c r="F79" i="58" s="1"/>
  <c r="AG78" i="58"/>
  <c r="D78" i="58" s="1" a="1"/>
  <c r="D78" i="58" s="1"/>
  <c r="F78" i="58" a="1"/>
  <c r="F78" i="58" s="1"/>
  <c r="AG77" i="58"/>
  <c r="D77" i="58" s="1" a="1"/>
  <c r="D77" i="58" s="1"/>
  <c r="F77" i="58" a="1"/>
  <c r="F77" i="58" s="1"/>
  <c r="AG76" i="58"/>
  <c r="D76" i="58" s="1" a="1"/>
  <c r="D76" i="58" s="1"/>
  <c r="F76" i="58" a="1"/>
  <c r="F76" i="58" s="1"/>
  <c r="AG75" i="58"/>
  <c r="D75" i="58" s="1" a="1"/>
  <c r="D75" i="58" s="1"/>
  <c r="F75" i="58" a="1"/>
  <c r="F75" i="58" s="1"/>
  <c r="AG74" i="58"/>
  <c r="D74" i="58" s="1" a="1"/>
  <c r="D74" i="58" s="1"/>
  <c r="F74" i="58" a="1"/>
  <c r="F74" i="58" s="1"/>
  <c r="AG73" i="58"/>
  <c r="D73" i="58" s="1" a="1"/>
  <c r="D73" i="58" s="1"/>
  <c r="F73" i="58" a="1"/>
  <c r="F73" i="58" s="1"/>
  <c r="AG72" i="58"/>
  <c r="D72" i="58" s="1" a="1"/>
  <c r="D72" i="58" s="1"/>
  <c r="F72" i="58" a="1"/>
  <c r="F72" i="58" s="1"/>
  <c r="AG71" i="58"/>
  <c r="F71" i="58" a="1"/>
  <c r="F71" i="58" s="1"/>
  <c r="D71" i="58" a="1"/>
  <c r="D71" i="58" s="1"/>
  <c r="AG70" i="58"/>
  <c r="F70" i="58" a="1"/>
  <c r="F70" i="58" s="1"/>
  <c r="D70" i="58" a="1"/>
  <c r="D70" i="58" s="1"/>
  <c r="AG69" i="58"/>
  <c r="D69" i="58" s="1" a="1"/>
  <c r="D69" i="58" s="1"/>
  <c r="F69" i="58" a="1"/>
  <c r="F69" i="58" s="1"/>
  <c r="AG68" i="58"/>
  <c r="D68" i="58" s="1" a="1"/>
  <c r="D68" i="58" s="1"/>
  <c r="F68" i="58" a="1"/>
  <c r="F68" i="58" s="1"/>
  <c r="AG67" i="58"/>
  <c r="D67" i="58" s="1" a="1"/>
  <c r="D67" i="58" s="1"/>
  <c r="F67" i="58" a="1"/>
  <c r="F67" i="58" s="1"/>
  <c r="AG66" i="58"/>
  <c r="D66" i="58" s="1" a="1"/>
  <c r="D66" i="58" s="1"/>
  <c r="F66" i="58" a="1"/>
  <c r="F66" i="58" s="1"/>
  <c r="AG65" i="58"/>
  <c r="D65" i="58" s="1" a="1"/>
  <c r="D65" i="58" s="1"/>
  <c r="F65" i="58" a="1"/>
  <c r="F65" i="58" s="1"/>
  <c r="AG64" i="58"/>
  <c r="D64" i="58" s="1" a="1"/>
  <c r="D64" i="58" s="1"/>
  <c r="F64" i="58" a="1"/>
  <c r="F64" i="58" s="1"/>
  <c r="AG63" i="58"/>
  <c r="D63" i="58" s="1" a="1"/>
  <c r="D63" i="58" s="1"/>
  <c r="F63" i="58" a="1"/>
  <c r="F63" i="58" s="1"/>
  <c r="AG62" i="58"/>
  <c r="D62" i="58" s="1" a="1"/>
  <c r="D62" i="58" s="1"/>
  <c r="F62" i="58" a="1"/>
  <c r="F62" i="58" s="1"/>
  <c r="AG61" i="58"/>
  <c r="D61" i="58" s="1" a="1"/>
  <c r="D61" i="58" s="1"/>
  <c r="F61" i="58" a="1"/>
  <c r="F61" i="58" s="1"/>
  <c r="AG60" i="58"/>
  <c r="D60" i="58" s="1" a="1"/>
  <c r="D60" i="58" s="1"/>
  <c r="F60" i="58" a="1"/>
  <c r="F60" i="58" s="1"/>
  <c r="AG59" i="58"/>
  <c r="D59" i="58" s="1" a="1"/>
  <c r="D59" i="58" s="1"/>
  <c r="F59" i="58" a="1"/>
  <c r="F59" i="58" s="1"/>
  <c r="AG58" i="58"/>
  <c r="D58" i="58" s="1" a="1"/>
  <c r="D58" i="58" s="1"/>
  <c r="F58" i="58" a="1"/>
  <c r="F58" i="58" s="1"/>
  <c r="AG57" i="58"/>
  <c r="D57" i="58" s="1" a="1"/>
  <c r="D57" i="58" s="1"/>
  <c r="F57" i="58" a="1"/>
  <c r="F57" i="58" s="1"/>
  <c r="AG56" i="58"/>
  <c r="D56" i="58" s="1" a="1"/>
  <c r="D56" i="58" s="1"/>
  <c r="F56" i="58" a="1"/>
  <c r="F56" i="58" s="1"/>
  <c r="AG55" i="58"/>
  <c r="D55" i="58" s="1" a="1"/>
  <c r="D55" i="58" s="1"/>
  <c r="F55" i="58" a="1"/>
  <c r="F55" i="58" s="1"/>
  <c r="AG54" i="58"/>
  <c r="D54" i="58" s="1" a="1"/>
  <c r="D54" i="58" s="1"/>
  <c r="F54" i="58" a="1"/>
  <c r="F54" i="58" s="1"/>
  <c r="AG53" i="58"/>
  <c r="D53" i="58" s="1" a="1"/>
  <c r="D53" i="58" s="1"/>
  <c r="F53" i="58" a="1"/>
  <c r="F53" i="58" s="1"/>
  <c r="AG52" i="58"/>
  <c r="D52" i="58" s="1" a="1"/>
  <c r="D52" i="58" s="1"/>
  <c r="F52" i="58" a="1"/>
  <c r="F52" i="58" s="1"/>
  <c r="AG51" i="58"/>
  <c r="D51" i="58" s="1" a="1"/>
  <c r="D51" i="58" s="1"/>
  <c r="F51" i="58" a="1"/>
  <c r="F51" i="58" s="1"/>
  <c r="AG50" i="58"/>
  <c r="D50" i="58" s="1" a="1"/>
  <c r="D50" i="58" s="1"/>
  <c r="F50" i="58" a="1"/>
  <c r="F50" i="58" s="1"/>
  <c r="AG49" i="58"/>
  <c r="D49" i="58" s="1" a="1"/>
  <c r="D49" i="58" s="1"/>
  <c r="F49" i="58" a="1"/>
  <c r="F49" i="58" s="1"/>
  <c r="AG48" i="58"/>
  <c r="D48" i="58" s="1" a="1"/>
  <c r="D48" i="58" s="1"/>
  <c r="F48" i="58" a="1"/>
  <c r="F48" i="58" s="1"/>
  <c r="AG47" i="58"/>
  <c r="D47" i="58" s="1" a="1"/>
  <c r="D47" i="58" s="1"/>
  <c r="F47" i="58" a="1"/>
  <c r="F47" i="58" s="1"/>
  <c r="AG46" i="58"/>
  <c r="D46" i="58" s="1" a="1"/>
  <c r="D46" i="58" s="1"/>
  <c r="F46" i="58" a="1"/>
  <c r="F46" i="58" s="1"/>
  <c r="AG45" i="58"/>
  <c r="D45" i="58" s="1" a="1"/>
  <c r="D45" i="58" s="1"/>
  <c r="F45" i="58" a="1"/>
  <c r="F45" i="58" s="1"/>
  <c r="AG44" i="58"/>
  <c r="D44" i="58" s="1" a="1"/>
  <c r="D44" i="58" s="1"/>
  <c r="F44" i="58" a="1"/>
  <c r="F44" i="58" s="1"/>
  <c r="AS43" i="58"/>
  <c r="AR43" i="58"/>
  <c r="AG43" i="58"/>
  <c r="D43" i="58" s="1" a="1"/>
  <c r="D43" i="58" s="1"/>
  <c r="F43" i="58" a="1"/>
  <c r="F43" i="58" s="1"/>
  <c r="AG42" i="58"/>
  <c r="D42" i="58" s="1" a="1"/>
  <c r="D42" i="58" s="1"/>
  <c r="F42" i="58" a="1"/>
  <c r="F42" i="58" s="1"/>
  <c r="BC41" i="58"/>
  <c r="AG41" i="58"/>
  <c r="D41" i="58" s="1" a="1"/>
  <c r="D41" i="58" s="1"/>
  <c r="F41" i="58" a="1"/>
  <c r="F41" i="58" s="1"/>
  <c r="AG40" i="58"/>
  <c r="D40" i="58" s="1" a="1"/>
  <c r="D40" i="58" s="1"/>
  <c r="F40" i="58" a="1"/>
  <c r="F40" i="58" s="1"/>
  <c r="AG39" i="58"/>
  <c r="D39" i="58" s="1" a="1"/>
  <c r="D39" i="58" s="1"/>
  <c r="F39" i="58" a="1"/>
  <c r="F39" i="58" s="1"/>
  <c r="AG38" i="58"/>
  <c r="F38" i="58" a="1"/>
  <c r="F38" i="58" s="1"/>
  <c r="D38" i="58" a="1"/>
  <c r="D38" i="58" s="1"/>
  <c r="AG37" i="58"/>
  <c r="D37" i="58" s="1" a="1"/>
  <c r="D37" i="58" s="1"/>
  <c r="F37" i="58" a="1"/>
  <c r="F37" i="58" s="1"/>
  <c r="AG36" i="58"/>
  <c r="D36" i="58" s="1" a="1"/>
  <c r="D36" i="58" s="1"/>
  <c r="F36" i="58" a="1"/>
  <c r="F36" i="58" s="1"/>
  <c r="AG35" i="58"/>
  <c r="D35" i="58" s="1" a="1"/>
  <c r="D35" i="58" s="1"/>
  <c r="F35" i="58" a="1"/>
  <c r="F35" i="58" s="1"/>
  <c r="AG34" i="58"/>
  <c r="D34" i="58" s="1" a="1"/>
  <c r="D34" i="58" s="1"/>
  <c r="F34" i="58" a="1"/>
  <c r="F34" i="58" s="1"/>
  <c r="AG33" i="58"/>
  <c r="D33" i="58" s="1" a="1"/>
  <c r="D33" i="58" s="1"/>
  <c r="F33" i="58" a="1"/>
  <c r="F33" i="58" s="1"/>
  <c r="AG32" i="58"/>
  <c r="D32" i="58" s="1" a="1"/>
  <c r="D32" i="58" s="1"/>
  <c r="F32" i="58" a="1"/>
  <c r="F32" i="58" s="1"/>
  <c r="BB31" i="58"/>
  <c r="AT31" i="58"/>
  <c r="AX31" i="58" s="1"/>
  <c r="AS31" i="58"/>
  <c r="AW31" i="58" s="1"/>
  <c r="AR31" i="58"/>
  <c r="AG31" i="58"/>
  <c r="D31" i="58" s="1" a="1"/>
  <c r="D31" i="58" s="1"/>
  <c r="F31" i="58" a="1"/>
  <c r="F31" i="58" s="1"/>
  <c r="BB30" i="58"/>
  <c r="AT30" i="58"/>
  <c r="AX30" i="58" s="1"/>
  <c r="AS30" i="58"/>
  <c r="AW30" i="58" s="1"/>
  <c r="AR30" i="58"/>
  <c r="AV30" i="58" s="1"/>
  <c r="AG30" i="58"/>
  <c r="D30" i="58" s="1" a="1"/>
  <c r="D30" i="58" s="1"/>
  <c r="F30" i="58" a="1"/>
  <c r="F30" i="58" s="1"/>
  <c r="BB29" i="58"/>
  <c r="AX29" i="58"/>
  <c r="AW29" i="58"/>
  <c r="AV29" i="58"/>
  <c r="AP29" i="58"/>
  <c r="AG29" i="58"/>
  <c r="D29" i="58" s="1" a="1"/>
  <c r="D29" i="58" s="1"/>
  <c r="F29" i="58" a="1"/>
  <c r="F29" i="58" s="1"/>
  <c r="BB28" i="58"/>
  <c r="BA28" i="58" s="1"/>
  <c r="AT28" i="58"/>
  <c r="AX28" i="58" s="1"/>
  <c r="AS28" i="58"/>
  <c r="AW28" i="58" s="1"/>
  <c r="AR28" i="58"/>
  <c r="AV28" i="58" s="1"/>
  <c r="AP28" i="58"/>
  <c r="AG28" i="58"/>
  <c r="D28" i="58" s="1" a="1"/>
  <c r="D28" i="58" s="1"/>
  <c r="F28" i="58" a="1"/>
  <c r="F28" i="58" s="1"/>
  <c r="BB27" i="58"/>
  <c r="BA27" i="58" s="1"/>
  <c r="AT27" i="58"/>
  <c r="AX27" i="58" s="1"/>
  <c r="AS27" i="58"/>
  <c r="AW27" i="58" s="1"/>
  <c r="AR27" i="58"/>
  <c r="AP27" i="58"/>
  <c r="AG27" i="58"/>
  <c r="D27" i="58" s="1" a="1"/>
  <c r="D27" i="58" s="1"/>
  <c r="F27" i="58" a="1"/>
  <c r="F27" i="58" s="1"/>
  <c r="BB26" i="58"/>
  <c r="BA26" i="58" s="1"/>
  <c r="AT26" i="58"/>
  <c r="AX26" i="58" s="1"/>
  <c r="AS26" i="58"/>
  <c r="AW26" i="58" s="1"/>
  <c r="AR26" i="58"/>
  <c r="AV26" i="58" s="1"/>
  <c r="AP26" i="58"/>
  <c r="AG26" i="58"/>
  <c r="D26" i="58" s="1" a="1"/>
  <c r="D26" i="58" s="1"/>
  <c r="F26" i="58" a="1"/>
  <c r="F26" i="58" s="1"/>
  <c r="BB25" i="58"/>
  <c r="BA25" i="58" s="1"/>
  <c r="AT25" i="58"/>
  <c r="AX25" i="58" s="1"/>
  <c r="AS25" i="58"/>
  <c r="AW25" i="58" s="1"/>
  <c r="AR25" i="58"/>
  <c r="AV25" i="58" s="1"/>
  <c r="AG25" i="58"/>
  <c r="D25" i="58" s="1" a="1"/>
  <c r="D25" i="58" s="1"/>
  <c r="F25" i="58" a="1"/>
  <c r="F25" i="58" s="1"/>
  <c r="BB24" i="58"/>
  <c r="BA24" i="58" s="1"/>
  <c r="AT24" i="58"/>
  <c r="AX24" i="58" s="1"/>
  <c r="AS24" i="58"/>
  <c r="AW24" i="58" s="1"/>
  <c r="AR24" i="58"/>
  <c r="AV24" i="58" s="1"/>
  <c r="AG24" i="58"/>
  <c r="D24" i="58" s="1" a="1"/>
  <c r="D24" i="58" s="1"/>
  <c r="F24" i="58" a="1"/>
  <c r="F24" i="58" s="1"/>
  <c r="BB23" i="58"/>
  <c r="BA23" i="58" s="1"/>
  <c r="AT23" i="58"/>
  <c r="AX23" i="58" s="1"/>
  <c r="AS23" i="58"/>
  <c r="AW23" i="58" s="1"/>
  <c r="AR23" i="58"/>
  <c r="AV23" i="58" s="1"/>
  <c r="AG23" i="58"/>
  <c r="D23" i="58" s="1" a="1"/>
  <c r="D23" i="58" s="1"/>
  <c r="F23" i="58" a="1"/>
  <c r="F23" i="58" s="1"/>
  <c r="BB22" i="58"/>
  <c r="BA22" i="58" s="1"/>
  <c r="AT22" i="58"/>
  <c r="AX22" i="58" s="1"/>
  <c r="AS22" i="58"/>
  <c r="AW22" i="58" s="1"/>
  <c r="AR22" i="58"/>
  <c r="AV22" i="58" s="1"/>
  <c r="AG22" i="58"/>
  <c r="D22" i="58" s="1" a="1"/>
  <c r="D22" i="58" s="1"/>
  <c r="F22" i="58" a="1"/>
  <c r="F22" i="58" s="1"/>
  <c r="BB21" i="58"/>
  <c r="BA21" i="58" s="1"/>
  <c r="AT21" i="58"/>
  <c r="AX21" i="58" s="1"/>
  <c r="AS21" i="58"/>
  <c r="AW21" i="58" s="1"/>
  <c r="AR21" i="58"/>
  <c r="AV21" i="58" s="1"/>
  <c r="AG21" i="58"/>
  <c r="D21" i="58" s="1" a="1"/>
  <c r="D21" i="58" s="1"/>
  <c r="F21" i="58" a="1"/>
  <c r="F21" i="58" s="1"/>
  <c r="BB20" i="58"/>
  <c r="BA20" i="58" s="1"/>
  <c r="AT20" i="58"/>
  <c r="AX20" i="58" s="1"/>
  <c r="AS20" i="58"/>
  <c r="AW20" i="58" s="1"/>
  <c r="AR20" i="58"/>
  <c r="AV20" i="58" s="1"/>
  <c r="AG20" i="58"/>
  <c r="D20" i="58" s="1" a="1"/>
  <c r="D20" i="58" s="1"/>
  <c r="F20" i="58" a="1"/>
  <c r="F20" i="58" s="1"/>
  <c r="BB19" i="58"/>
  <c r="BA19" i="58" s="1"/>
  <c r="AT19" i="58"/>
  <c r="AX19" i="58" s="1"/>
  <c r="AS19" i="58"/>
  <c r="AW19" i="58" s="1"/>
  <c r="AR19" i="58"/>
  <c r="AV19" i="58" s="1"/>
  <c r="AG19" i="58"/>
  <c r="D19" i="58" s="1" a="1"/>
  <c r="D19" i="58" s="1"/>
  <c r="F19" i="58" a="1"/>
  <c r="F19" i="58" s="1"/>
  <c r="BB18" i="58"/>
  <c r="BA18" i="58" s="1"/>
  <c r="AT18" i="58"/>
  <c r="AX18" i="58" s="1"/>
  <c r="AS18" i="58"/>
  <c r="AW18" i="58" s="1"/>
  <c r="AR18" i="58"/>
  <c r="AV18" i="58" s="1"/>
  <c r="AP18" i="58"/>
  <c r="AG18" i="58"/>
  <c r="D18" i="58" s="1" a="1"/>
  <c r="D18" i="58" s="1"/>
  <c r="F18" i="58" a="1"/>
  <c r="F18" i="58" s="1"/>
  <c r="BB17" i="58"/>
  <c r="BA17" i="58" s="1"/>
  <c r="AT17" i="58"/>
  <c r="AX17" i="58" s="1"/>
  <c r="AS17" i="58"/>
  <c r="AW17" i="58" s="1"/>
  <c r="AR17" i="58"/>
  <c r="AV17" i="58" s="1"/>
  <c r="AG17" i="58"/>
  <c r="F17" i="58" a="1"/>
  <c r="F17" i="58" s="1"/>
  <c r="D17" i="58" a="1"/>
  <c r="D17" i="58" s="1"/>
  <c r="BB16" i="58"/>
  <c r="BA16" i="58" s="1"/>
  <c r="AT16" i="58"/>
  <c r="AX16" i="58" s="1"/>
  <c r="AS16" i="58"/>
  <c r="AW16" i="58" s="1"/>
  <c r="AR16" i="58"/>
  <c r="AV16" i="58" s="1"/>
  <c r="AG16" i="58"/>
  <c r="D16" i="58" s="1" a="1"/>
  <c r="D16" i="58" s="1"/>
  <c r="F16" i="58" a="1"/>
  <c r="F16" i="58" s="1"/>
  <c r="BB13" i="58"/>
  <c r="BA13" i="58" s="1"/>
  <c r="AT13" i="58"/>
  <c r="AX13" i="58" s="1"/>
  <c r="AS13" i="58"/>
  <c r="AW13" i="58" s="1"/>
  <c r="AR13" i="58"/>
  <c r="AV13" i="58" s="1"/>
  <c r="AG13" i="58"/>
  <c r="D13" i="58" s="1" a="1"/>
  <c r="D13" i="58" s="1"/>
  <c r="BB12" i="58"/>
  <c r="BA12" i="58" s="1"/>
  <c r="AT12" i="58"/>
  <c r="AX12" i="58" s="1"/>
  <c r="AS12" i="58"/>
  <c r="AW12" i="58" s="1"/>
  <c r="AR12" i="58"/>
  <c r="AV12" i="58" s="1"/>
  <c r="AP12" i="58"/>
  <c r="AG12" i="58"/>
  <c r="D12" i="58" s="1" a="1"/>
  <c r="D12" i="58" s="1"/>
  <c r="F12" i="58" a="1"/>
  <c r="F12" i="58" s="1"/>
  <c r="BB11" i="58"/>
  <c r="AQ11" i="58" s="1"/>
  <c r="AT11" i="58"/>
  <c r="AX11" i="58" s="1"/>
  <c r="AS11" i="58"/>
  <c r="AW11" i="58" s="1"/>
  <c r="AR11" i="58"/>
  <c r="AV11" i="58" s="1"/>
  <c r="AP11" i="58"/>
  <c r="AG11" i="58"/>
  <c r="D11" i="58" s="1" a="1"/>
  <c r="D11" i="58" s="1"/>
  <c r="F11" i="58" a="1"/>
  <c r="F11" i="58" s="1"/>
  <c r="BB10" i="58"/>
  <c r="BA10" i="58" s="1"/>
  <c r="AT10" i="58"/>
  <c r="AX10" i="58" s="1"/>
  <c r="AS10" i="58"/>
  <c r="AW10" i="58" s="1"/>
  <c r="AR10" i="58"/>
  <c r="AV10" i="58" s="1"/>
  <c r="AP10" i="58"/>
  <c r="AG10" i="58"/>
  <c r="D10" i="58" s="1" a="1"/>
  <c r="D10" i="58" s="1"/>
  <c r="F10" i="58" a="1"/>
  <c r="F10" i="58" s="1"/>
  <c r="BB9" i="58"/>
  <c r="BA9" i="58" s="1"/>
  <c r="AT9" i="58"/>
  <c r="AX9" i="58" s="1"/>
  <c r="AS9" i="58"/>
  <c r="AW9" i="58" s="1"/>
  <c r="AR9" i="58"/>
  <c r="AV9" i="58" s="1"/>
  <c r="AG9" i="58"/>
  <c r="D9" i="58" s="1" a="1"/>
  <c r="D9" i="58" s="1"/>
  <c r="F9" i="58" a="1"/>
  <c r="F9" i="58" s="1"/>
  <c r="BB8" i="58"/>
  <c r="BA8" i="58" s="1"/>
  <c r="AT8" i="58"/>
  <c r="AX8" i="58" s="1"/>
  <c r="AS8" i="58"/>
  <c r="AR8" i="58"/>
  <c r="AV8" i="58" s="1"/>
  <c r="AG8" i="58"/>
  <c r="D8" i="58" s="1" a="1"/>
  <c r="D8" i="58" s="1"/>
  <c r="F8" i="58" a="1"/>
  <c r="F8" i="58" s="1"/>
  <c r="BB7" i="58"/>
  <c r="BA7" i="58" s="1"/>
  <c r="AT7" i="58"/>
  <c r="AX7" i="58" s="1"/>
  <c r="AS7" i="58"/>
  <c r="AW7" i="58" s="1"/>
  <c r="AR7" i="58"/>
  <c r="AV7" i="58" s="1"/>
  <c r="AG7" i="58"/>
  <c r="D7" i="58" s="1" a="1"/>
  <c r="D7" i="58" s="1"/>
  <c r="F7" i="58" a="1"/>
  <c r="F7" i="58" s="1"/>
  <c r="BB6" i="58"/>
  <c r="BA6" i="58" s="1"/>
  <c r="AT6" i="58"/>
  <c r="AX6" i="58" s="1"/>
  <c r="AS6" i="58"/>
  <c r="AW6" i="58" s="1"/>
  <c r="AR6" i="58"/>
  <c r="AV6" i="58" s="1"/>
  <c r="AG6" i="58"/>
  <c r="D6" i="58" s="1" a="1"/>
  <c r="D6" i="58" s="1"/>
  <c r="F6" i="58" a="1"/>
  <c r="F6" i="58" s="1"/>
  <c r="BB5" i="58"/>
  <c r="AQ5" i="58" s="1"/>
  <c r="AT5" i="58"/>
  <c r="AX5" i="58" s="1"/>
  <c r="AS5" i="58"/>
  <c r="AW5" i="58" s="1"/>
  <c r="AR5" i="58"/>
  <c r="AV5" i="58" s="1"/>
  <c r="AP5" i="58"/>
  <c r="AG5" i="58"/>
  <c r="F5" i="58" a="1"/>
  <c r="F5" i="58" s="1"/>
  <c r="BB4" i="58"/>
  <c r="BA4" i="58" s="1"/>
  <c r="AT4" i="58"/>
  <c r="AX4" i="58" s="1"/>
  <c r="AS4" i="58"/>
  <c r="AW4" i="58" s="1"/>
  <c r="AR4" i="58"/>
  <c r="AV4" i="58" s="1"/>
  <c r="AP4" i="58"/>
  <c r="C2" i="58" s="1" a="1"/>
  <c r="C2" i="58" s="1"/>
  <c r="AG4" i="58"/>
  <c r="D4" i="58" s="1" a="1"/>
  <c r="D4" i="58" s="1"/>
  <c r="F4" i="58" a="1"/>
  <c r="F4" i="58" s="1"/>
  <c r="AJ2" i="58"/>
  <c r="AI2" i="58"/>
  <c r="AH2" i="58"/>
  <c r="AB2" i="58"/>
  <c r="T2" i="58"/>
  <c r="L2" i="58"/>
  <c r="A1" i="58"/>
  <c r="C2" i="57" a="1"/>
  <c r="C2" i="57" s="1"/>
  <c r="A1" i="57"/>
  <c r="AU1" i="59" l="1"/>
  <c r="AX2" i="59"/>
  <c r="E95" i="59"/>
  <c r="AU2" i="59"/>
  <c r="E97" i="58"/>
  <c r="BA11" i="58"/>
  <c r="AQ4" i="58"/>
  <c r="AG2" i="58"/>
  <c r="AU27" i="58"/>
  <c r="AU9" i="58"/>
  <c r="AU10" i="58"/>
  <c r="AU25" i="58"/>
  <c r="AU8" i="58"/>
  <c r="AU31" i="58"/>
  <c r="AU19" i="58"/>
  <c r="AU6" i="58"/>
  <c r="AU21" i="58"/>
  <c r="AU22" i="58"/>
  <c r="AU5" i="58"/>
  <c r="AU16" i="58"/>
  <c r="AU24" i="58"/>
  <c r="G85" i="58"/>
  <c r="E4" i="58"/>
  <c r="G8" i="58"/>
  <c r="G13" i="58"/>
  <c r="G5" i="58"/>
  <c r="G18" i="58"/>
  <c r="AW8" i="58"/>
  <c r="G10" i="58"/>
  <c r="AU11" i="58"/>
  <c r="BA5" i="58"/>
  <c r="G20" i="58"/>
  <c r="G23" i="58"/>
  <c r="G26" i="58"/>
  <c r="AV27" i="58"/>
  <c r="AV31" i="58"/>
  <c r="G41" i="58"/>
  <c r="G44" i="58"/>
  <c r="G56" i="58"/>
  <c r="G68" i="58"/>
  <c r="G80" i="58"/>
  <c r="G92" i="58"/>
  <c r="G36" i="58"/>
  <c r="G51" i="58"/>
  <c r="G63" i="58"/>
  <c r="G75" i="58"/>
  <c r="G87" i="58"/>
  <c r="G46" i="58"/>
  <c r="G58" i="58"/>
  <c r="G70" i="58"/>
  <c r="G82" i="58"/>
  <c r="G94" i="58"/>
  <c r="AU4" i="58"/>
  <c r="G29" i="58"/>
  <c r="G30" i="58"/>
  <c r="G38" i="58"/>
  <c r="G43" i="58"/>
  <c r="G53" i="58"/>
  <c r="G65" i="58"/>
  <c r="G77" i="58"/>
  <c r="G89" i="58"/>
  <c r="F2" i="58"/>
  <c r="AU7" i="58"/>
  <c r="G21" i="58"/>
  <c r="G24" i="58"/>
  <c r="AU28" i="58"/>
  <c r="G33" i="58"/>
  <c r="G48" i="58"/>
  <c r="G60" i="58"/>
  <c r="G72" i="58"/>
  <c r="G84" i="58"/>
  <c r="G11" i="58"/>
  <c r="AU12" i="58"/>
  <c r="AU17" i="58"/>
  <c r="AU20" i="58"/>
  <c r="AU23" i="58"/>
  <c r="G27" i="58"/>
  <c r="G40" i="58"/>
  <c r="G55" i="58"/>
  <c r="G67" i="58"/>
  <c r="G79" i="58"/>
  <c r="G91" i="58"/>
  <c r="AU26" i="58"/>
  <c r="G31" i="58"/>
  <c r="G35" i="58"/>
  <c r="G50" i="58"/>
  <c r="G62" i="58"/>
  <c r="G74" i="58"/>
  <c r="G86" i="58"/>
  <c r="G9" i="58"/>
  <c r="G16" i="58"/>
  <c r="G45" i="58"/>
  <c r="G57" i="58"/>
  <c r="G69" i="58"/>
  <c r="G81" i="58"/>
  <c r="G93" i="58"/>
  <c r="G4" i="58"/>
  <c r="D5" i="58" a="1"/>
  <c r="D5" i="58" s="1"/>
  <c r="E92" i="58" s="1"/>
  <c r="AU13" i="58"/>
  <c r="G19" i="58"/>
  <c r="G22" i="58"/>
  <c r="G25" i="58"/>
  <c r="AU30" i="58"/>
  <c r="G37" i="58"/>
  <c r="G42" i="58"/>
  <c r="G52" i="58"/>
  <c r="G64" i="58"/>
  <c r="G76" i="58"/>
  <c r="G88" i="58"/>
  <c r="G6" i="58"/>
  <c r="AU18" i="58"/>
  <c r="G32" i="58"/>
  <c r="G47" i="58"/>
  <c r="G59" i="58"/>
  <c r="G71" i="58"/>
  <c r="G83" i="58"/>
  <c r="G97" i="58"/>
  <c r="G12" i="58"/>
  <c r="G28" i="58"/>
  <c r="G39" i="58"/>
  <c r="G54" i="58"/>
  <c r="G66" i="58"/>
  <c r="G78" i="58"/>
  <c r="G90" i="58"/>
  <c r="G7" i="58"/>
  <c r="G17" i="58"/>
  <c r="G34" i="58"/>
  <c r="G49" i="58"/>
  <c r="G61" i="58"/>
  <c r="G73" i="58"/>
  <c r="AX2" i="58" l="1"/>
  <c r="E94" i="58"/>
  <c r="E84" i="58"/>
  <c r="E25" i="58"/>
  <c r="E80" i="58"/>
  <c r="AU1" i="58"/>
  <c r="E53" i="58"/>
  <c r="E40" i="58"/>
  <c r="E6" i="58"/>
  <c r="E42" i="58"/>
  <c r="E12" i="58"/>
  <c r="E61" i="58"/>
  <c r="E36" i="58"/>
  <c r="E72" i="58"/>
  <c r="E65" i="58"/>
  <c r="E9" i="58"/>
  <c r="E28" i="58"/>
  <c r="E73" i="58"/>
  <c r="E77" i="58"/>
  <c r="E67" i="58"/>
  <c r="E45" i="58"/>
  <c r="E64" i="58"/>
  <c r="E39" i="58"/>
  <c r="E85" i="58"/>
  <c r="E63" i="58"/>
  <c r="E30" i="58"/>
  <c r="E55" i="58"/>
  <c r="E52" i="58"/>
  <c r="E51" i="58"/>
  <c r="E89" i="58"/>
  <c r="E79" i="58"/>
  <c r="E57" i="58"/>
  <c r="E76" i="58"/>
  <c r="E54" i="58"/>
  <c r="E20" i="58"/>
  <c r="E75" i="58"/>
  <c r="E21" i="58"/>
  <c r="E91" i="58"/>
  <c r="E88" i="58"/>
  <c r="E66" i="58"/>
  <c r="E23" i="58"/>
  <c r="E87" i="58"/>
  <c r="E8" i="58"/>
  <c r="E24" i="58"/>
  <c r="E31" i="58"/>
  <c r="E81" i="58"/>
  <c r="E32" i="58"/>
  <c r="E78" i="58"/>
  <c r="E26" i="58"/>
  <c r="E46" i="58"/>
  <c r="E74" i="58"/>
  <c r="E5" i="58"/>
  <c r="E69" i="58"/>
  <c r="E13" i="58"/>
  <c r="E33" i="58"/>
  <c r="E35" i="58"/>
  <c r="E93" i="58"/>
  <c r="E47" i="58"/>
  <c r="E90" i="58"/>
  <c r="E41" i="58"/>
  <c r="E58" i="58"/>
  <c r="E18" i="58"/>
  <c r="E48" i="58"/>
  <c r="E50" i="58"/>
  <c r="E16" i="58"/>
  <c r="E59" i="58"/>
  <c r="E7" i="58"/>
  <c r="E44" i="58"/>
  <c r="E70" i="58"/>
  <c r="E29" i="58"/>
  <c r="E60" i="58"/>
  <c r="E62" i="58"/>
  <c r="E19" i="58"/>
  <c r="E71" i="58"/>
  <c r="E10" i="58"/>
  <c r="E56" i="58"/>
  <c r="E82" i="58"/>
  <c r="E83" i="58"/>
  <c r="E17" i="58"/>
  <c r="E38" i="58"/>
  <c r="E22" i="58"/>
  <c r="E68" i="58"/>
  <c r="AU2" i="58"/>
  <c r="E86" i="58"/>
  <c r="E34" i="58"/>
  <c r="E43" i="58"/>
  <c r="E27" i="58"/>
  <c r="E37" i="58"/>
  <c r="E11" i="58"/>
  <c r="E49" i="58"/>
  <c r="E99" i="58" l="1"/>
  <c r="I11" i="14" l="1"/>
  <c r="AG93" i="57" l="1"/>
  <c r="F93" i="57" a="1"/>
  <c r="F93" i="57" s="1"/>
  <c r="D93" i="57" a="1"/>
  <c r="D93" i="57" s="1"/>
  <c r="AG92" i="57"/>
  <c r="F92" i="57" a="1"/>
  <c r="F92" i="57" s="1"/>
  <c r="D92" i="57" a="1"/>
  <c r="D92" i="57" s="1"/>
  <c r="AG91" i="57"/>
  <c r="D91" i="57" s="1" a="1"/>
  <c r="D91" i="57" s="1"/>
  <c r="F91" i="57" a="1"/>
  <c r="F91" i="57" s="1"/>
  <c r="AG90" i="57"/>
  <c r="D90" i="57" s="1" a="1"/>
  <c r="D90" i="57" s="1"/>
  <c r="F90" i="57" a="1"/>
  <c r="F90" i="57" s="1"/>
  <c r="AG89" i="57"/>
  <c r="D89" i="57" s="1" a="1"/>
  <c r="D89" i="57" s="1"/>
  <c r="F89" i="57" a="1"/>
  <c r="F89" i="57" s="1"/>
  <c r="AG88" i="57"/>
  <c r="D88" i="57" s="1" a="1"/>
  <c r="D88" i="57" s="1"/>
  <c r="F88" i="57" a="1"/>
  <c r="F88" i="57" s="1"/>
  <c r="AG87" i="57"/>
  <c r="D87" i="57" s="1" a="1"/>
  <c r="D87" i="57" s="1"/>
  <c r="F87" i="57" a="1"/>
  <c r="F87" i="57" s="1"/>
  <c r="AG86" i="57"/>
  <c r="D86" i="57" s="1" a="1"/>
  <c r="D86" i="57" s="1"/>
  <c r="F86" i="57" a="1"/>
  <c r="F86" i="57" s="1"/>
  <c r="AG85" i="57"/>
  <c r="D85" i="57" s="1" a="1"/>
  <c r="D85" i="57" s="1"/>
  <c r="F85" i="57" a="1"/>
  <c r="F85" i="57" s="1"/>
  <c r="AG84" i="57"/>
  <c r="D84" i="57" s="1" a="1"/>
  <c r="D84" i="57" s="1"/>
  <c r="F84" i="57" a="1"/>
  <c r="F84" i="57" s="1"/>
  <c r="AG83" i="57"/>
  <c r="D83" i="57" s="1" a="1"/>
  <c r="D83" i="57" s="1"/>
  <c r="F83" i="57" a="1"/>
  <c r="F83" i="57" s="1"/>
  <c r="AG82" i="57"/>
  <c r="F82" i="57" a="1"/>
  <c r="F82" i="57" s="1"/>
  <c r="D82" i="57" a="1"/>
  <c r="D82" i="57" s="1"/>
  <c r="AG81" i="57"/>
  <c r="D81" i="57" s="1" a="1"/>
  <c r="D81" i="57" s="1"/>
  <c r="F81" i="57" a="1"/>
  <c r="F81" i="57" s="1"/>
  <c r="AG80" i="57"/>
  <c r="F80" i="57" a="1"/>
  <c r="F80" i="57" s="1"/>
  <c r="D80" i="57" a="1"/>
  <c r="D80" i="57" s="1"/>
  <c r="AG79" i="57"/>
  <c r="D79" i="57" s="1" a="1"/>
  <c r="D79" i="57" s="1"/>
  <c r="F79" i="57" a="1"/>
  <c r="F79" i="57" s="1"/>
  <c r="AG78" i="57"/>
  <c r="D78" i="57" s="1" a="1"/>
  <c r="D78" i="57" s="1"/>
  <c r="F78" i="57" a="1"/>
  <c r="F78" i="57" s="1"/>
  <c r="AG77" i="57"/>
  <c r="D77" i="57" s="1" a="1"/>
  <c r="D77" i="57" s="1"/>
  <c r="F77" i="57" a="1"/>
  <c r="F77" i="57" s="1"/>
  <c r="AG76" i="57"/>
  <c r="D76" i="57" s="1" a="1"/>
  <c r="D76" i="57" s="1"/>
  <c r="F76" i="57" a="1"/>
  <c r="F76" i="57" s="1"/>
  <c r="AG75" i="57"/>
  <c r="D75" i="57" s="1" a="1"/>
  <c r="D75" i="57" s="1"/>
  <c r="F75" i="57" a="1"/>
  <c r="F75" i="57" s="1"/>
  <c r="AG74" i="57"/>
  <c r="D74" i="57" s="1" a="1"/>
  <c r="D74" i="57" s="1"/>
  <c r="F74" i="57" a="1"/>
  <c r="F74" i="57" s="1"/>
  <c r="AG73" i="57"/>
  <c r="D73" i="57" s="1" a="1"/>
  <c r="D73" i="57" s="1"/>
  <c r="F73" i="57" a="1"/>
  <c r="F73" i="57" s="1"/>
  <c r="AG72" i="57"/>
  <c r="D72" i="57" s="1" a="1"/>
  <c r="D72" i="57" s="1"/>
  <c r="F72" i="57" a="1"/>
  <c r="F72" i="57" s="1"/>
  <c r="AG71" i="57"/>
  <c r="F71" i="57" a="1"/>
  <c r="F71" i="57" s="1"/>
  <c r="D71" i="57" a="1"/>
  <c r="D71" i="57" s="1"/>
  <c r="AG70" i="57"/>
  <c r="F70" i="57" a="1"/>
  <c r="F70" i="57" s="1"/>
  <c r="D70" i="57" a="1"/>
  <c r="D70" i="57" s="1"/>
  <c r="AG69" i="57"/>
  <c r="F69" i="57" a="1"/>
  <c r="F69" i="57" s="1"/>
  <c r="D69" i="57" a="1"/>
  <c r="D69" i="57" s="1"/>
  <c r="AG68" i="57"/>
  <c r="F68" i="57" a="1"/>
  <c r="F68" i="57" s="1"/>
  <c r="D68" i="57" a="1"/>
  <c r="D68" i="57" s="1"/>
  <c r="AG67" i="57"/>
  <c r="D67" i="57" s="1" a="1"/>
  <c r="D67" i="57" s="1"/>
  <c r="F67" i="57" a="1"/>
  <c r="F67" i="57" s="1"/>
  <c r="AG66" i="57"/>
  <c r="F66" i="57" a="1"/>
  <c r="F66" i="57" s="1"/>
  <c r="D66" i="57" a="1"/>
  <c r="D66" i="57" s="1"/>
  <c r="AG65" i="57"/>
  <c r="D65" i="57" s="1" a="1"/>
  <c r="D65" i="57" s="1"/>
  <c r="F65" i="57" a="1"/>
  <c r="F65" i="57" s="1"/>
  <c r="AG64" i="57"/>
  <c r="F64" i="57" a="1"/>
  <c r="F64" i="57" s="1"/>
  <c r="D64" i="57" a="1"/>
  <c r="D64" i="57" s="1"/>
  <c r="AG63" i="57"/>
  <c r="D63" i="57" s="1" a="1"/>
  <c r="D63" i="57" s="1"/>
  <c r="F63" i="57" a="1"/>
  <c r="F63" i="57" s="1"/>
  <c r="AG62" i="57"/>
  <c r="D62" i="57" s="1" a="1"/>
  <c r="D62" i="57" s="1"/>
  <c r="F62" i="57" a="1"/>
  <c r="F62" i="57" s="1"/>
  <c r="AG61" i="57"/>
  <c r="D61" i="57" s="1" a="1"/>
  <c r="D61" i="57" s="1"/>
  <c r="F61" i="57" a="1"/>
  <c r="F61" i="57" s="1"/>
  <c r="AG60" i="57"/>
  <c r="D60" i="57" s="1" a="1"/>
  <c r="D60" i="57" s="1"/>
  <c r="F60" i="57" a="1"/>
  <c r="F60" i="57" s="1"/>
  <c r="AG59" i="57"/>
  <c r="F59" i="57" a="1"/>
  <c r="F59" i="57" s="1"/>
  <c r="D59" i="57" a="1"/>
  <c r="D59" i="57" s="1"/>
  <c r="AG58" i="57"/>
  <c r="F58" i="57" a="1"/>
  <c r="F58" i="57" s="1"/>
  <c r="D58" i="57" a="1"/>
  <c r="D58" i="57" s="1"/>
  <c r="AG57" i="57"/>
  <c r="F57" i="57" a="1"/>
  <c r="F57" i="57" s="1"/>
  <c r="D57" i="57" a="1"/>
  <c r="D57" i="57" s="1"/>
  <c r="AG56" i="57"/>
  <c r="F56" i="57" a="1"/>
  <c r="F56" i="57" s="1"/>
  <c r="D56" i="57" a="1"/>
  <c r="D56" i="57" s="1"/>
  <c r="AG55" i="57"/>
  <c r="D55" i="57" s="1" a="1"/>
  <c r="D55" i="57" s="1"/>
  <c r="F55" i="57" a="1"/>
  <c r="F55" i="57" s="1"/>
  <c r="AG54" i="57"/>
  <c r="D54" i="57" s="1" a="1"/>
  <c r="D54" i="57" s="1"/>
  <c r="F54" i="57" a="1"/>
  <c r="F54" i="57" s="1"/>
  <c r="AG53" i="57"/>
  <c r="D53" i="57" s="1" a="1"/>
  <c r="D53" i="57" s="1"/>
  <c r="F53" i="57" a="1"/>
  <c r="F53" i="57" s="1"/>
  <c r="AG52" i="57"/>
  <c r="D52" i="57" s="1" a="1"/>
  <c r="D52" i="57" s="1"/>
  <c r="F52" i="57" a="1"/>
  <c r="F52" i="57" s="1"/>
  <c r="AG51" i="57"/>
  <c r="F51" i="57" a="1"/>
  <c r="F51" i="57" s="1"/>
  <c r="D51" i="57" a="1"/>
  <c r="D51" i="57" s="1"/>
  <c r="AG50" i="57"/>
  <c r="D50" i="57" s="1" a="1"/>
  <c r="D50" i="57" s="1"/>
  <c r="F50" i="57" a="1"/>
  <c r="F50" i="57" s="1"/>
  <c r="AG49" i="57"/>
  <c r="F49" i="57" a="1"/>
  <c r="F49" i="57" s="1"/>
  <c r="D49" i="57" a="1"/>
  <c r="D49" i="57" s="1"/>
  <c r="AG48" i="57"/>
  <c r="D48" i="57" s="1" a="1"/>
  <c r="D48" i="57" s="1"/>
  <c r="F48" i="57" a="1"/>
  <c r="F48" i="57" s="1"/>
  <c r="AG47" i="57"/>
  <c r="D47" i="57" s="1" a="1"/>
  <c r="D47" i="57" s="1"/>
  <c r="F47" i="57" a="1"/>
  <c r="F47" i="57" s="1"/>
  <c r="AG46" i="57"/>
  <c r="D46" i="57" s="1" a="1"/>
  <c r="D46" i="57" s="1"/>
  <c r="F46" i="57" a="1"/>
  <c r="F46" i="57" s="1"/>
  <c r="AG45" i="57"/>
  <c r="F45" i="57" a="1"/>
  <c r="F45" i="57" s="1"/>
  <c r="D45" i="57" a="1"/>
  <c r="D45" i="57" s="1"/>
  <c r="AG44" i="57"/>
  <c r="D44" i="57" s="1" a="1"/>
  <c r="D44" i="57" s="1"/>
  <c r="F44" i="57" a="1"/>
  <c r="F44" i="57" s="1"/>
  <c r="AG43" i="57"/>
  <c r="D43" i="57" s="1" a="1"/>
  <c r="D43" i="57" s="1"/>
  <c r="F43" i="57" a="1"/>
  <c r="F43" i="57" s="1"/>
  <c r="AG42" i="57"/>
  <c r="F42" i="57" a="1"/>
  <c r="F42" i="57" s="1"/>
  <c r="D42" i="57" a="1"/>
  <c r="D42" i="57" s="1"/>
  <c r="AS41" i="57"/>
  <c r="AR41" i="57"/>
  <c r="AG41" i="57"/>
  <c r="F41" i="57" a="1"/>
  <c r="F41" i="57" s="1"/>
  <c r="D41" i="57" a="1"/>
  <c r="D41" i="57" s="1"/>
  <c r="AG40" i="57"/>
  <c r="D40" i="57" s="1" a="1"/>
  <c r="D40" i="57" s="1"/>
  <c r="F40" i="57" a="1"/>
  <c r="F40" i="57" s="1"/>
  <c r="BC39" i="57"/>
  <c r="AG39" i="57"/>
  <c r="D39" i="57" s="1" a="1"/>
  <c r="D39" i="57" s="1"/>
  <c r="F39" i="57" a="1"/>
  <c r="F39" i="57" s="1"/>
  <c r="AG38" i="57"/>
  <c r="D38" i="57" s="1" a="1"/>
  <c r="D38" i="57" s="1"/>
  <c r="F38" i="57" a="1"/>
  <c r="F38" i="57" s="1"/>
  <c r="AG37" i="57"/>
  <c r="F37" i="57" a="1"/>
  <c r="F37" i="57" s="1"/>
  <c r="D37" i="57" a="1"/>
  <c r="D37" i="57" s="1"/>
  <c r="AG36" i="57"/>
  <c r="D36" i="57" s="1" a="1"/>
  <c r="D36" i="57" s="1"/>
  <c r="F36" i="57" a="1"/>
  <c r="F36" i="57" s="1"/>
  <c r="AG35" i="57"/>
  <c r="D35" i="57" s="1" a="1"/>
  <c r="D35" i="57" s="1"/>
  <c r="F35" i="57" a="1"/>
  <c r="F35" i="57" s="1"/>
  <c r="AG34" i="57"/>
  <c r="D34" i="57" s="1" a="1"/>
  <c r="D34" i="57" s="1"/>
  <c r="F34" i="57" a="1"/>
  <c r="F34" i="57" s="1"/>
  <c r="AG33" i="57"/>
  <c r="D33" i="57" s="1" a="1"/>
  <c r="D33" i="57" s="1"/>
  <c r="F33" i="57" a="1"/>
  <c r="F33" i="57" s="1"/>
  <c r="AG32" i="57"/>
  <c r="D32" i="57" s="1" a="1"/>
  <c r="D32" i="57" s="1"/>
  <c r="F32" i="57" a="1"/>
  <c r="F32" i="57" s="1"/>
  <c r="AG31" i="57"/>
  <c r="F31" i="57" a="1"/>
  <c r="F31" i="57" s="1"/>
  <c r="D31" i="57" a="1"/>
  <c r="D31" i="57" s="1"/>
  <c r="AG30" i="57"/>
  <c r="D30" i="57" s="1" a="1"/>
  <c r="D30" i="57" s="1"/>
  <c r="F30" i="57" a="1"/>
  <c r="F30" i="57" s="1"/>
  <c r="BB29" i="57"/>
  <c r="AT29" i="57"/>
  <c r="AX29" i="57" s="1"/>
  <c r="AS29" i="57"/>
  <c r="AW29" i="57" s="1"/>
  <c r="AR29" i="57"/>
  <c r="AV29" i="57" s="1"/>
  <c r="AG29" i="57"/>
  <c r="D29" i="57" s="1" a="1"/>
  <c r="D29" i="57" s="1"/>
  <c r="F29" i="57" a="1"/>
  <c r="F29" i="57" s="1"/>
  <c r="BB28" i="57"/>
  <c r="AT28" i="57"/>
  <c r="AX28" i="57" s="1"/>
  <c r="AS28" i="57"/>
  <c r="AR28" i="57"/>
  <c r="AV28" i="57" s="1"/>
  <c r="AG28" i="57"/>
  <c r="D28" i="57" s="1" a="1"/>
  <c r="D28" i="57" s="1"/>
  <c r="F28" i="57" a="1"/>
  <c r="F28" i="57" s="1"/>
  <c r="BB27" i="57"/>
  <c r="AX27" i="57"/>
  <c r="AW27" i="57"/>
  <c r="AV27" i="57"/>
  <c r="AP27" i="57"/>
  <c r="AG27" i="57"/>
  <c r="D27" i="57" s="1" a="1"/>
  <c r="D27" i="57" s="1"/>
  <c r="F27" i="57" a="1"/>
  <c r="F27" i="57" s="1"/>
  <c r="BB26" i="57"/>
  <c r="BA26" i="57"/>
  <c r="AT26" i="57"/>
  <c r="AX26" i="57" s="1"/>
  <c r="AS26" i="57"/>
  <c r="AW26" i="57" s="1"/>
  <c r="AR26" i="57"/>
  <c r="AV26" i="57" s="1"/>
  <c r="AP26" i="57"/>
  <c r="AG26" i="57"/>
  <c r="D26" i="57" s="1" a="1"/>
  <c r="D26" i="57" s="1"/>
  <c r="F26" i="57" a="1"/>
  <c r="F26" i="57" s="1"/>
  <c r="BB25" i="57"/>
  <c r="BA25" i="57"/>
  <c r="AT25" i="57"/>
  <c r="AX25" i="57" s="1"/>
  <c r="AS25" i="57"/>
  <c r="AW25" i="57" s="1"/>
  <c r="AR25" i="57"/>
  <c r="AV25" i="57" s="1"/>
  <c r="AP25" i="57"/>
  <c r="AG25" i="57"/>
  <c r="D25" i="57" s="1" a="1"/>
  <c r="D25" i="57" s="1"/>
  <c r="F25" i="57" a="1"/>
  <c r="F25" i="57" s="1"/>
  <c r="BB24" i="57"/>
  <c r="BA24" i="57" s="1"/>
  <c r="AT24" i="57"/>
  <c r="AX24" i="57" s="1"/>
  <c r="AS24" i="57"/>
  <c r="AW24" i="57" s="1"/>
  <c r="AR24" i="57"/>
  <c r="AP24" i="57"/>
  <c r="AG24" i="57"/>
  <c r="F24" i="57" a="1"/>
  <c r="F24" i="57" s="1"/>
  <c r="D24" i="57" a="1"/>
  <c r="D24" i="57" s="1"/>
  <c r="BB23" i="57"/>
  <c r="BA23" i="57" s="1"/>
  <c r="AT23" i="57"/>
  <c r="AX23" i="57" s="1"/>
  <c r="AS23" i="57"/>
  <c r="AW23" i="57" s="1"/>
  <c r="AR23" i="57"/>
  <c r="AV23" i="57" s="1"/>
  <c r="AG23" i="57"/>
  <c r="F23" i="57" a="1"/>
  <c r="F23" i="57" s="1"/>
  <c r="D23" i="57" a="1"/>
  <c r="D23" i="57" s="1"/>
  <c r="BB22" i="57"/>
  <c r="BA22" i="57" s="1"/>
  <c r="AT22" i="57"/>
  <c r="AX22" i="57" s="1"/>
  <c r="AS22" i="57"/>
  <c r="AW22" i="57" s="1"/>
  <c r="AR22" i="57"/>
  <c r="AV22" i="57" s="1"/>
  <c r="AG22" i="57"/>
  <c r="D22" i="57" s="1" a="1"/>
  <c r="D22" i="57" s="1"/>
  <c r="F22" i="57" a="1"/>
  <c r="F22" i="57" s="1"/>
  <c r="BB21" i="57"/>
  <c r="BA21" i="57" s="1"/>
  <c r="AT21" i="57"/>
  <c r="AX21" i="57" s="1"/>
  <c r="AS21" i="57"/>
  <c r="AW21" i="57" s="1"/>
  <c r="AR21" i="57"/>
  <c r="AV21" i="57" s="1"/>
  <c r="AG21" i="57"/>
  <c r="D21" i="57" s="1" a="1"/>
  <c r="D21" i="57" s="1"/>
  <c r="F21" i="57" a="1"/>
  <c r="F21" i="57" s="1"/>
  <c r="BB20" i="57"/>
  <c r="BA20" i="57" s="1"/>
  <c r="AT20" i="57"/>
  <c r="AX20" i="57" s="1"/>
  <c r="AS20" i="57"/>
  <c r="AW20" i="57" s="1"/>
  <c r="AR20" i="57"/>
  <c r="AV20" i="57" s="1"/>
  <c r="AG20" i="57"/>
  <c r="D20" i="57" s="1" a="1"/>
  <c r="D20" i="57" s="1"/>
  <c r="F20" i="57" a="1"/>
  <c r="F20" i="57" s="1"/>
  <c r="BB19" i="57"/>
  <c r="BA19" i="57" s="1"/>
  <c r="AT19" i="57"/>
  <c r="AX19" i="57" s="1"/>
  <c r="AS19" i="57"/>
  <c r="AW19" i="57" s="1"/>
  <c r="AR19" i="57"/>
  <c r="AV19" i="57" s="1"/>
  <c r="AG19" i="57"/>
  <c r="D19" i="57" s="1" a="1"/>
  <c r="D19" i="57" s="1"/>
  <c r="F19" i="57" a="1"/>
  <c r="F19" i="57" s="1"/>
  <c r="BB18" i="57"/>
  <c r="BA18" i="57" s="1"/>
  <c r="AT18" i="57"/>
  <c r="AX18" i="57" s="1"/>
  <c r="AS18" i="57"/>
  <c r="AW18" i="57" s="1"/>
  <c r="AR18" i="57"/>
  <c r="AV18" i="57" s="1"/>
  <c r="AG18" i="57"/>
  <c r="F18" i="57" a="1"/>
  <c r="F18" i="57" s="1"/>
  <c r="D18" i="57" a="1"/>
  <c r="D18" i="57" s="1"/>
  <c r="BB17" i="57"/>
  <c r="BA17" i="57" s="1"/>
  <c r="AT17" i="57"/>
  <c r="AX17" i="57" s="1"/>
  <c r="AS17" i="57"/>
  <c r="AW17" i="57" s="1"/>
  <c r="AR17" i="57"/>
  <c r="AV17" i="57" s="1"/>
  <c r="AG17" i="57"/>
  <c r="F17" i="57" a="1"/>
  <c r="F17" i="57" s="1"/>
  <c r="D17" i="57" a="1"/>
  <c r="D17" i="57" s="1"/>
  <c r="BB16" i="57"/>
  <c r="BA16" i="57" s="1"/>
  <c r="AT16" i="57"/>
  <c r="AX16" i="57" s="1"/>
  <c r="AS16" i="57"/>
  <c r="AW16" i="57" s="1"/>
  <c r="AR16" i="57"/>
  <c r="AV16" i="57" s="1"/>
  <c r="AP16" i="57"/>
  <c r="AG16" i="57"/>
  <c r="D16" i="57" s="1" a="1"/>
  <c r="D16" i="57" s="1"/>
  <c r="F16" i="57" a="1"/>
  <c r="F16" i="57" s="1"/>
  <c r="BB15" i="57"/>
  <c r="BA15" i="57"/>
  <c r="AT15" i="57"/>
  <c r="AX15" i="57" s="1"/>
  <c r="AS15" i="57"/>
  <c r="AR15" i="57"/>
  <c r="AV15" i="57" s="1"/>
  <c r="AG15" i="57"/>
  <c r="D15" i="57" s="1" a="1"/>
  <c r="D15" i="57" s="1"/>
  <c r="F15" i="57" a="1"/>
  <c r="F15" i="57" s="1"/>
  <c r="BB14" i="57"/>
  <c r="BA14" i="57"/>
  <c r="AT14" i="57"/>
  <c r="AX14" i="57" s="1"/>
  <c r="AS14" i="57"/>
  <c r="AW14" i="57" s="1"/>
  <c r="AR14" i="57"/>
  <c r="AV14" i="57" s="1"/>
  <c r="AG14" i="57"/>
  <c r="D14" i="57" s="1" a="1"/>
  <c r="D14" i="57" s="1"/>
  <c r="F14" i="57" a="1"/>
  <c r="F14" i="57" s="1"/>
  <c r="BB13" i="57"/>
  <c r="BA13" i="57" s="1"/>
  <c r="AT13" i="57"/>
  <c r="AX13" i="57" s="1"/>
  <c r="AS13" i="57"/>
  <c r="AW13" i="57" s="1"/>
  <c r="AR13" i="57"/>
  <c r="AV13" i="57" s="1"/>
  <c r="AG13" i="57"/>
  <c r="D13" i="57" s="1" a="1"/>
  <c r="D13" i="57" s="1"/>
  <c r="F13" i="57" a="1"/>
  <c r="F13" i="57" s="1"/>
  <c r="BB12" i="57"/>
  <c r="BA12" i="57"/>
  <c r="AT12" i="57"/>
  <c r="AX12" i="57" s="1"/>
  <c r="AS12" i="57"/>
  <c r="AW12" i="57" s="1"/>
  <c r="AR12" i="57"/>
  <c r="AV12" i="57" s="1"/>
  <c r="AP12" i="57"/>
  <c r="AG12" i="57"/>
  <c r="D12" i="57" s="1" a="1"/>
  <c r="D12" i="57" s="1"/>
  <c r="F12" i="57" a="1"/>
  <c r="F12" i="57" s="1"/>
  <c r="BB11" i="57"/>
  <c r="BA11" i="57" s="1"/>
  <c r="AT11" i="57"/>
  <c r="AX11" i="57" s="1"/>
  <c r="AS11" i="57"/>
  <c r="AW11" i="57" s="1"/>
  <c r="AR11" i="57"/>
  <c r="AV11" i="57" s="1"/>
  <c r="AP11" i="57"/>
  <c r="AG11" i="57"/>
  <c r="D11" i="57" s="1" a="1"/>
  <c r="D11" i="57" s="1"/>
  <c r="F11" i="57" a="1"/>
  <c r="F11" i="57" s="1"/>
  <c r="BB10" i="57"/>
  <c r="BA10" i="57" s="1"/>
  <c r="AT10" i="57"/>
  <c r="AX10" i="57" s="1"/>
  <c r="AS10" i="57"/>
  <c r="AW10" i="57" s="1"/>
  <c r="AR10" i="57"/>
  <c r="AV10" i="57" s="1"/>
  <c r="AP10" i="57"/>
  <c r="AG10" i="57"/>
  <c r="F10" i="57" a="1"/>
  <c r="F10" i="57" s="1"/>
  <c r="D10" i="57" a="1"/>
  <c r="D10" i="57" s="1"/>
  <c r="BB9" i="57"/>
  <c r="BA9" i="57" s="1"/>
  <c r="AT9" i="57"/>
  <c r="AX9" i="57" s="1"/>
  <c r="AS9" i="57"/>
  <c r="AW9" i="57" s="1"/>
  <c r="AR9" i="57"/>
  <c r="AV9" i="57" s="1"/>
  <c r="AG9" i="57"/>
  <c r="D9" i="57" s="1" a="1"/>
  <c r="D9" i="57" s="1"/>
  <c r="F9" i="57" a="1"/>
  <c r="F9" i="57" s="1"/>
  <c r="BB8" i="57"/>
  <c r="BA8" i="57" s="1"/>
  <c r="AT8" i="57"/>
  <c r="AX8" i="57" s="1"/>
  <c r="AS8" i="57"/>
  <c r="AW8" i="57" s="1"/>
  <c r="AR8" i="57"/>
  <c r="AV8" i="57" s="1"/>
  <c r="AG8" i="57"/>
  <c r="D8" i="57" s="1" a="1"/>
  <c r="D8" i="57" s="1"/>
  <c r="F8" i="57" a="1"/>
  <c r="F8" i="57" s="1"/>
  <c r="BB7" i="57"/>
  <c r="BA7" i="57"/>
  <c r="AT7" i="57"/>
  <c r="AX7" i="57" s="1"/>
  <c r="AS7" i="57"/>
  <c r="AR7" i="57"/>
  <c r="AV7" i="57" s="1"/>
  <c r="AG7" i="57"/>
  <c r="D7" i="57" s="1" a="1"/>
  <c r="D7" i="57" s="1"/>
  <c r="F7" i="57" a="1"/>
  <c r="F7" i="57" s="1"/>
  <c r="BB6" i="57"/>
  <c r="BA6" i="57"/>
  <c r="AT6" i="57"/>
  <c r="AX6" i="57" s="1"/>
  <c r="AS6" i="57"/>
  <c r="AW6" i="57" s="1"/>
  <c r="AR6" i="57"/>
  <c r="AV6" i="57" s="1"/>
  <c r="AG6" i="57"/>
  <c r="D6" i="57" s="1" a="1"/>
  <c r="D6" i="57" s="1"/>
  <c r="F6" i="57" a="1"/>
  <c r="F6" i="57" s="1"/>
  <c r="BB5" i="57"/>
  <c r="BA5" i="57" s="1"/>
  <c r="AT5" i="57"/>
  <c r="AX5" i="57" s="1"/>
  <c r="AS5" i="57"/>
  <c r="AW5" i="57" s="1"/>
  <c r="AR5" i="57"/>
  <c r="AV5" i="57" s="1"/>
  <c r="AQ5" i="57"/>
  <c r="AP5" i="57"/>
  <c r="AG5" i="57"/>
  <c r="D5" i="57" s="1" a="1"/>
  <c r="D5" i="57" s="1"/>
  <c r="F5" i="57" a="1"/>
  <c r="F5" i="57" s="1"/>
  <c r="BB4" i="57"/>
  <c r="AQ4" i="57" s="1"/>
  <c r="AT4" i="57"/>
  <c r="AX4" i="57" s="1"/>
  <c r="AS4" i="57"/>
  <c r="AW4" i="57" s="1"/>
  <c r="AR4" i="57"/>
  <c r="AV4" i="57" s="1"/>
  <c r="AP4" i="57"/>
  <c r="AG4" i="57"/>
  <c r="F4" i="57" a="1"/>
  <c r="F4" i="57" s="1"/>
  <c r="AJ2" i="57"/>
  <c r="AI2" i="57"/>
  <c r="AH2" i="57"/>
  <c r="AB2" i="57"/>
  <c r="T2" i="57"/>
  <c r="L2" i="57"/>
  <c r="F2" i="57" l="1"/>
  <c r="BA4" i="57"/>
  <c r="AQ11" i="57"/>
  <c r="D4" i="57" a="1"/>
  <c r="D4" i="57" s="1"/>
  <c r="E86" i="57" s="1"/>
  <c r="AG2" i="57"/>
  <c r="AU15" i="57"/>
  <c r="AU7" i="57"/>
  <c r="AU13" i="57"/>
  <c r="AU28" i="57"/>
  <c r="AW7" i="57"/>
  <c r="AU10" i="57"/>
  <c r="AU19" i="57"/>
  <c r="AW28" i="57"/>
  <c r="AU8" i="57"/>
  <c r="AW15" i="57"/>
  <c r="AU18" i="57"/>
  <c r="AU24" i="57"/>
  <c r="AU22" i="57"/>
  <c r="AU9" i="57"/>
  <c r="AU16" i="57"/>
  <c r="AU21" i="57"/>
  <c r="G84" i="57"/>
  <c r="G4" i="57"/>
  <c r="G6" i="57"/>
  <c r="G9" i="57"/>
  <c r="G14" i="57"/>
  <c r="AV24" i="57"/>
  <c r="G43" i="57"/>
  <c r="G55" i="57"/>
  <c r="G67" i="57"/>
  <c r="G79" i="57"/>
  <c r="G91" i="57"/>
  <c r="G40" i="57"/>
  <c r="G50" i="57"/>
  <c r="G62" i="57"/>
  <c r="G74" i="57"/>
  <c r="G86" i="57"/>
  <c r="AU5" i="57"/>
  <c r="G23" i="57"/>
  <c r="G35" i="57"/>
  <c r="G30" i="57"/>
  <c r="G45" i="57"/>
  <c r="G57" i="57"/>
  <c r="G69" i="57"/>
  <c r="G81" i="57"/>
  <c r="G93" i="57"/>
  <c r="G20" i="57"/>
  <c r="G26" i="57"/>
  <c r="G37" i="57"/>
  <c r="G52" i="57"/>
  <c r="G64" i="57"/>
  <c r="G76" i="57"/>
  <c r="G88" i="57"/>
  <c r="G12" i="57"/>
  <c r="G7" i="57"/>
  <c r="G10" i="57"/>
  <c r="AU11" i="57"/>
  <c r="G15" i="57"/>
  <c r="AU25" i="57"/>
  <c r="AU29" i="57"/>
  <c r="G32" i="57"/>
  <c r="G47" i="57"/>
  <c r="G59" i="57"/>
  <c r="G71" i="57"/>
  <c r="G83" i="57"/>
  <c r="AU6" i="57"/>
  <c r="AU14" i="57"/>
  <c r="G18" i="57"/>
  <c r="G21" i="57"/>
  <c r="G24" i="57"/>
  <c r="G39" i="57"/>
  <c r="G42" i="57"/>
  <c r="G54" i="57"/>
  <c r="G66" i="57"/>
  <c r="G78" i="57"/>
  <c r="G90" i="57"/>
  <c r="G5" i="57"/>
  <c r="AU17" i="57"/>
  <c r="AU20" i="57"/>
  <c r="AU23" i="57"/>
  <c r="G34" i="57"/>
  <c r="G49" i="57"/>
  <c r="G61" i="57"/>
  <c r="G73" i="57"/>
  <c r="G85" i="57"/>
  <c r="G44" i="57"/>
  <c r="G56" i="57"/>
  <c r="G68" i="57"/>
  <c r="G80" i="57"/>
  <c r="G92" i="57"/>
  <c r="AU4" i="57"/>
  <c r="G13" i="57"/>
  <c r="G16" i="57"/>
  <c r="G27" i="57"/>
  <c r="G28" i="57"/>
  <c r="G36" i="57"/>
  <c r="G41" i="57"/>
  <c r="G51" i="57"/>
  <c r="G63" i="57"/>
  <c r="G75" i="57"/>
  <c r="G87" i="57"/>
  <c r="G17" i="57"/>
  <c r="G11" i="57"/>
  <c r="AU12" i="57"/>
  <c r="G19" i="57"/>
  <c r="G22" i="57"/>
  <c r="AU26" i="57"/>
  <c r="G31" i="57"/>
  <c r="G46" i="57"/>
  <c r="G58" i="57"/>
  <c r="G70" i="57"/>
  <c r="G82" i="57"/>
  <c r="G8" i="57"/>
  <c r="G25" i="57"/>
  <c r="G38" i="57"/>
  <c r="G53" i="57"/>
  <c r="G65" i="57"/>
  <c r="G77" i="57"/>
  <c r="G89" i="57"/>
  <c r="G29" i="57"/>
  <c r="G33" i="57"/>
  <c r="G48" i="57"/>
  <c r="G60" i="57"/>
  <c r="G72" i="57"/>
  <c r="E37" i="57" l="1"/>
  <c r="E18" i="57"/>
  <c r="E73" i="57"/>
  <c r="E36" i="57"/>
  <c r="E58" i="57"/>
  <c r="E33" i="57"/>
  <c r="E6" i="57"/>
  <c r="E45" i="57"/>
  <c r="E26" i="57"/>
  <c r="E10" i="57"/>
  <c r="E61" i="57"/>
  <c r="E28" i="57"/>
  <c r="E46" i="57"/>
  <c r="E29" i="57"/>
  <c r="E4" i="57"/>
  <c r="E30" i="57"/>
  <c r="E52" i="57"/>
  <c r="E21" i="57"/>
  <c r="E85" i="57"/>
  <c r="E41" i="57"/>
  <c r="E70" i="57"/>
  <c r="E48" i="57"/>
  <c r="E9" i="57"/>
  <c r="E57" i="57"/>
  <c r="E78" i="57"/>
  <c r="E55" i="57"/>
  <c r="E90" i="57"/>
  <c r="E65" i="57"/>
  <c r="E7" i="57"/>
  <c r="E24" i="57"/>
  <c r="E51" i="57"/>
  <c r="E60" i="57"/>
  <c r="E63" i="57"/>
  <c r="E82" i="57"/>
  <c r="E17" i="57"/>
  <c r="E56" i="57"/>
  <c r="E53" i="57"/>
  <c r="E71" i="57"/>
  <c r="E19" i="57"/>
  <c r="E62" i="57"/>
  <c r="E64" i="57"/>
  <c r="E44" i="57"/>
  <c r="E69" i="57"/>
  <c r="E76" i="57"/>
  <c r="E39" i="57"/>
  <c r="E72" i="57"/>
  <c r="E20" i="57"/>
  <c r="E81" i="57"/>
  <c r="E88" i="57"/>
  <c r="E42" i="57"/>
  <c r="E68" i="57"/>
  <c r="E75" i="57"/>
  <c r="E15" i="57"/>
  <c r="E84" i="57"/>
  <c r="E23" i="57"/>
  <c r="E93" i="57"/>
  <c r="E32" i="57"/>
  <c r="E54" i="57"/>
  <c r="E80" i="57"/>
  <c r="E87" i="57"/>
  <c r="E25" i="57"/>
  <c r="E14" i="57"/>
  <c r="E35" i="57"/>
  <c r="E47" i="57"/>
  <c r="E66" i="57"/>
  <c r="E92" i="57"/>
  <c r="E5" i="57"/>
  <c r="E38" i="57"/>
  <c r="E43" i="57"/>
  <c r="E40" i="57"/>
  <c r="E59" i="57"/>
  <c r="E11" i="57"/>
  <c r="E50" i="57"/>
  <c r="E13" i="57"/>
  <c r="E67" i="57"/>
  <c r="E83" i="57"/>
  <c r="E34" i="57"/>
  <c r="E16" i="57"/>
  <c r="E22" i="57"/>
  <c r="E77" i="57"/>
  <c r="E79" i="57"/>
  <c r="E74" i="57"/>
  <c r="E8" i="57"/>
  <c r="E12" i="57"/>
  <c r="E49" i="57"/>
  <c r="E27" i="57"/>
  <c r="E31" i="57"/>
  <c r="E89" i="57"/>
  <c r="E91" i="57"/>
  <c r="AU2" i="57"/>
  <c r="AX2" i="57"/>
  <c r="AU1" i="57"/>
  <c r="E95" i="57" l="1"/>
  <c r="I24" i="3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<sst xmlns="http://schemas.openxmlformats.org/spreadsheetml/2006/main" count="22490" uniqueCount="106">
  <si>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</si>
  <si>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</si>
  <si>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</si>
  <si>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</si>
  <si>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</si>
  <si>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</si>
  <si>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</si>
  <si>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</si>
  <si>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</si>
  <si>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</si>
  <si>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</si>
  <si>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</si>
  <si>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</si>
  <si>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</si>
  <si>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</si>
  <si>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</si>
  <si>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</si>
  <si>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</si>
  <si>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</si>
  <si>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</si>
  <si>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</si>
  <si>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</si>
  <si>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</si>
  <si>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</si>
  <si>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</si>
  <si>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</si>
  <si>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</si>
  <si>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</si>
  <si>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</si>
  <si>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</si>
  <si>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</si>
  <si>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</si>
  <si>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</si>
  <si>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</si>
  <si>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</si>
  <si>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</si>
  <si>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</si>
  <si>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</si>
  <si>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</si>
  <si>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</si>
  <si>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</si>
  <si>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</si>
  <si>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</si>
  <si>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</si>
  <si>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</si>
  <si>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</si>
  <si>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</si>
  <si>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</si>
  <si>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</si>
  <si>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</si>
  <si>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</si>
  <si>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</si>
  <si>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</si>
  <si>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</si>
  <si>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</si>
  <si>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</si>
  <si>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</si>
  <si>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</si>
  <si>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</si>
  <si>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</si>
  <si>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</si>
  <si>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</si>
  <si>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</si>
  <si>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</si>
  <si>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</si>
  <si>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</si>
  <si>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</si>
  <si>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</si>
  <si>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</si>
  <si>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</si>
  <si>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</si>
  <si>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</si>
  <si>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</si>
  <si>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</si>
  <si>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</si>
  <si>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</si>
  <si>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</si>
  <si>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</si>
  <si>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</si>
  <si>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</si>
  <si>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</si>
  <si>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</si>
  <si>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</si>
  <si>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</si>
  <si>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</si>
  <si>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</si>
  <si>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</si>
  <si>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</si>
  <si>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</si>
  <si>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</si>
  <si>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</si>
  <si>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</si>
  <si>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</si>
  <si>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</si>
  <si>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</si>
  <si>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</si>
  <si>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</si>
  <si>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</si>
  <si>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</si>
  <si>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</si>
  <si>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</si>
  <si>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</si>
  <si>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</si>
  <si>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</si>
  <si>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version 11.07</t>
  </si>
  <si>
    <t>粮草调整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</si>
</sst>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1" fillId="19" borderId="2" xfId="0" applyFont="1" applyFill="1" applyBorder="1" applyAlignment="1"/>
    <xf numFmtId="0" fontId="0" fillId="19" borderId="5" xfId="0" applyFill="1" applyBorder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18" fillId="14" borderId="0" xfId="0" applyFont="1" applyFill="1"/>
    <xf numFmtId="0" fontId="0" fillId="0" borderId="0" xfId="0" applyAlignment="1">
      <alignment horizontal="center" wrapText="1"/>
    </xf>
    <xf numFmtId="0" fontId="1" fillId="19" borderId="2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1" fillId="5" borderId="2" xfId="0" applyFont="1" applyFill="1" applyBorder="1" applyAlignment="1">
      <alignment horizontal="center"/>
    </xf>
    <xf numFmtId="0" fontId="0" fillId="5" borderId="4" xfId="0" applyFill="1" applyBorder="1"/>
    <xf numFmtId="0" fontId="0" fillId="5" borderId="0" xfId="0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1" fillId="16" borderId="13" xfId="0" applyFont="1" applyFill="1" applyBorder="1"/>
    <xf numFmtId="0" fontId="1" fillId="10" borderId="19" xfId="0" applyFont="1" applyFill="1" applyBorder="1"/>
    <xf numFmtId="0" fontId="0" fillId="8" borderId="20" xfId="0" applyFont="1" applyFill="1" applyBorder="1" applyAlignment="1">
      <alignment vertical="top"/>
    </xf>
    <xf numFmtId="0" fontId="0" fillId="7" borderId="20" xfId="0" applyFont="1" applyFill="1" applyBorder="1" applyAlignment="1">
      <alignment vertical="top"/>
    </xf>
    <xf numFmtId="14" fontId="0" fillId="37" borderId="1" xfId="0" applyNumberFormat="1" applyFill="1" applyBorder="1"/>
    <xf numFmtId="0" fontId="11" fillId="0" borderId="2" xfId="0" applyFont="1" applyBorder="1"/>
    <xf numFmtId="0" fontId="11" fillId="15" borderId="3" xfId="0" applyFont="1" applyFill="1" applyBorder="1"/>
    <xf numFmtId="0" fontId="0" fillId="7" borderId="21" xfId="0" applyFont="1" applyFill="1" applyBorder="1" applyAlignment="1">
      <alignment vertical="top"/>
    </xf>
    <xf numFmtId="14" fontId="0" fillId="37" borderId="4" xfId="0" applyNumberFormat="1" applyFill="1" applyBorder="1"/>
    <xf numFmtId="14" fontId="0" fillId="37" borderId="6" xfId="0" applyNumberFormat="1" applyFill="1" applyBorder="1"/>
    <xf numFmtId="0" fontId="11" fillId="0" borderId="7" xfId="0" applyFont="1" applyBorder="1"/>
    <xf numFmtId="0" fontId="11" fillId="15" borderId="8" xfId="0" applyFont="1" applyFill="1" applyBorder="1"/>
    <xf numFmtId="0" fontId="0" fillId="8" borderId="22" xfId="0" applyFont="1" applyFill="1" applyBorder="1" applyAlignment="1">
      <alignment vertical="top"/>
    </xf>
    <xf numFmtId="0" fontId="0" fillId="7" borderId="22" xfId="0" applyFont="1" applyFill="1" applyBorder="1" applyAlignment="1">
      <alignment vertical="top"/>
    </xf>
    <xf numFmtId="0" fontId="1" fillId="10" borderId="22" xfId="0" applyFont="1" applyFill="1" applyBorder="1"/>
    <xf numFmtId="0" fontId="0" fillId="5" borderId="19" xfId="0" applyFont="1" applyFill="1" applyBorder="1" applyAlignment="1">
      <alignment vertical="top"/>
    </xf>
    <xf numFmtId="0" fontId="1" fillId="11" borderId="19" xfId="0" applyFont="1" applyFill="1" applyBorder="1"/>
    <xf numFmtId="0" fontId="0" fillId="6" borderId="20" xfId="0" applyFont="1" applyFill="1" applyBorder="1" applyAlignment="1">
      <alignment vertical="top"/>
    </xf>
    <xf numFmtId="0" fontId="1" fillId="10" borderId="20" xfId="0" applyFont="1" applyFill="1" applyBorder="1"/>
    <xf numFmtId="0" fontId="0" fillId="5" borderId="20" xfId="0" applyFont="1" applyFill="1" applyBorder="1" applyAlignment="1">
      <alignment vertical="top"/>
    </xf>
    <xf numFmtId="0" fontId="0" fillId="2" borderId="20" xfId="0" applyFont="1" applyFill="1" applyBorder="1" applyAlignment="1">
      <alignment vertical="top"/>
    </xf>
    <xf numFmtId="0" fontId="1" fillId="11" borderId="20" xfId="0" applyFont="1" applyFill="1" applyBorder="1"/>
    <xf numFmtId="0" fontId="16" fillId="5" borderId="20" xfId="0" applyFont="1" applyFill="1" applyBorder="1" applyAlignment="1">
      <alignment vertical="top"/>
    </xf>
    <xf numFmtId="0" fontId="1" fillId="10" borderId="21" xfId="0" applyFont="1" applyFill="1" applyBorder="1"/>
    <xf numFmtId="0" fontId="0" fillId="5" borderId="21" xfId="0" applyFont="1" applyFill="1" applyBorder="1" applyAlignment="1">
      <alignment vertical="top"/>
    </xf>
    <xf numFmtId="0" fontId="16" fillId="5" borderId="22" xfId="0" applyFont="1" applyFill="1" applyBorder="1" applyAlignment="1">
      <alignment vertical="top"/>
    </xf>
    <xf numFmtId="14" fontId="0" fillId="35" borderId="0" xfId="0" applyNumberFormat="1" applyFill="1"/>
    <xf numFmtId="0" fontId="8" fillId="10" borderId="15" xfId="0" applyFont="1" applyFill="1" applyBorder="1"/>
    <xf numFmtId="0" fontId="7" fillId="16" borderId="13" xfId="0" applyFont="1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11" borderId="15" xfId="0" applyFont="1" applyFill="1" applyBorder="1"/>
    <xf numFmtId="0" fontId="7" fillId="2" borderId="21" xfId="0" applyFont="1" applyFill="1" applyBorder="1" applyAlignment="1">
      <alignment vertical="top"/>
    </xf>
    <xf numFmtId="0" fontId="7" fillId="7" borderId="21" xfId="0" applyFont="1" applyFill="1" applyBorder="1" applyAlignment="1">
      <alignment vertical="top"/>
    </xf>
    <xf numFmtId="0" fontId="7" fillId="15" borderId="3" xfId="0" applyFont="1" applyFill="1" applyBorder="1"/>
    <xf numFmtId="0" fontId="7" fillId="2" borderId="19" xfId="0" applyFont="1" applyFill="1" applyBorder="1" applyAlignment="1">
      <alignment vertical="top"/>
    </xf>
    <xf numFmtId="0" fontId="8" fillId="12" borderId="19" xfId="0" applyFont="1" applyFill="1" applyBorder="1"/>
    <xf numFmtId="0" fontId="8" fillId="10" borderId="19" xfId="0" applyFont="1" applyFill="1" applyBorder="1"/>
    <xf numFmtId="0" fontId="7" fillId="0" borderId="2" xfId="0" applyFont="1" applyBorder="1"/>
    <xf numFmtId="0" fontId="7" fillId="14" borderId="2" xfId="0" applyFont="1" applyFill="1" applyBorder="1"/>
    <xf numFmtId="0" fontId="8" fillId="25" borderId="12" xfId="0" applyFont="1" applyFill="1" applyBorder="1" applyAlignment="1">
      <alignment horizontal="center"/>
    </xf>
    <xf numFmtId="0" fontId="7" fillId="0" borderId="12" xfId="0" applyFont="1" applyBorder="1"/>
    <xf numFmtId="0" fontId="7" fillId="0" borderId="0" xfId="0" applyFont="1" applyBorder="1"/>
    <xf numFmtId="0" fontId="7" fillId="14" borderId="0" xfId="0" applyFont="1" applyFill="1" applyBorder="1"/>
    <xf numFmtId="0" fontId="7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7" fillId="0" borderId="7" xfId="0" applyFont="1" applyBorder="1"/>
    <xf numFmtId="0" fontId="7" fillId="14" borderId="7" xfId="0" applyFont="1" applyFill="1" applyBorder="1"/>
    <xf numFmtId="0" fontId="7" fillId="15" borderId="8" xfId="0" applyFont="1" applyFill="1" applyBorder="1"/>
    <xf numFmtId="0" fontId="7" fillId="8" borderId="22" xfId="0" applyFont="1" applyFill="1" applyBorder="1" applyAlignment="1">
      <alignment vertical="top"/>
    </xf>
    <xf numFmtId="0" fontId="8" fillId="25" borderId="14" xfId="0" applyFont="1" applyFill="1" applyBorder="1" applyAlignment="1">
      <alignment horizontal="center"/>
    </xf>
    <xf numFmtId="0" fontId="7" fillId="0" borderId="14" xfId="0" applyFont="1" applyBorder="1"/>
    <xf numFmtId="0" fontId="7" fillId="8" borderId="20" xfId="0" applyFont="1" applyFill="1" applyBorder="1" applyAlignment="1">
      <alignment vertical="top"/>
    </xf>
    <xf numFmtId="0" fontId="7" fillId="7" borderId="22" xfId="0" applyFont="1" applyFill="1" applyBorder="1" applyAlignment="1">
      <alignment vertical="top"/>
    </xf>
    <xf numFmtId="0" fontId="8" fillId="10" borderId="22" xfId="0" applyFont="1" applyFill="1" applyBorder="1"/>
    <xf numFmtId="0" fontId="7" fillId="7" borderId="20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8" fillId="8" borderId="15" xfId="0" applyFont="1" applyFill="1" applyBorder="1" applyAlignment="1">
      <alignment vertical="top"/>
    </xf>
    <xf numFmtId="0" fontId="8" fillId="19" borderId="15" xfId="0" applyFont="1" applyFill="1" applyBorder="1"/>
    <xf numFmtId="0" fontId="8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33" borderId="15" xfId="0" applyFont="1" applyFill="1" applyBorder="1"/>
    <xf numFmtId="0" fontId="8" fillId="10" borderId="21" xfId="0" applyFont="1" applyFill="1" applyBorder="1"/>
    <xf numFmtId="0" fontId="7" fillId="5" borderId="21" xfId="0" applyFont="1" applyFill="1" applyBorder="1" applyAlignment="1">
      <alignment vertical="top"/>
    </xf>
    <xf numFmtId="0" fontId="8" fillId="2" borderId="19" xfId="0" applyFont="1" applyFill="1" applyBorder="1" applyAlignment="1">
      <alignment vertical="top"/>
    </xf>
    <xf numFmtId="0" fontId="7" fillId="6" borderId="21" xfId="0" applyFont="1" applyFill="1" applyBorder="1" applyAlignment="1">
      <alignment vertical="top"/>
    </xf>
    <xf numFmtId="0" fontId="8" fillId="11" borderId="21" xfId="0" applyFont="1" applyFill="1" applyBorder="1"/>
    <xf numFmtId="0" fontId="7" fillId="5" borderId="19" xfId="0" applyFont="1" applyFill="1" applyBorder="1" applyAlignment="1">
      <alignment vertical="top"/>
    </xf>
    <xf numFmtId="0" fontId="8" fillId="11" borderId="19" xfId="0" applyFont="1" applyFill="1" applyBorder="1"/>
    <xf numFmtId="0" fontId="7" fillId="6" borderId="20" xfId="0" applyFont="1" applyFill="1" applyBorder="1" applyAlignment="1">
      <alignment vertical="top"/>
    </xf>
    <xf numFmtId="0" fontId="8" fillId="10" borderId="20" xfId="0" applyFont="1" applyFill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324970</xdr:colOff>
      <xdr:row>2</xdr:row>
      <xdr:rowOff>471745</xdr:rowOff>
    </xdr:from>
    <xdr:to>
      <xdr:col>52</xdr:col>
      <xdr:colOff>561974</xdr:colOff>
      <xdr:row>31</xdr:row>
      <xdr:rowOff>73036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04977-FA45-4B72-BCB2-E328D9F1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646" y="1020833"/>
          <a:ext cx="3262593" cy="5749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96</xdr:row>
      <xdr:rowOff>0</xdr:rowOff>
    </xdr:from>
    <xdr:to>
      <xdr:col>41</xdr:col>
      <xdr:colOff>56768</xdr:colOff>
      <xdr:row>124</xdr:row>
      <xdr:rowOff>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04C85-00C5-BF49-E071-65B5245A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19050000"/>
          <a:ext cx="3057143" cy="5342857"/>
        </a:xfrm>
        <a:prstGeom prst="rect">
          <a:avLst/>
        </a:prstGeom>
      </xdr:spPr>
    </xdr:pic>
    <xdr:clientData/>
  </xdr:twoCellAnchor>
  <xdr:twoCellAnchor editAs="oneCell">
    <xdr:from>
      <xdr:col>50</xdr:col>
      <xdr:colOff>523876</xdr:colOff>
      <xdr:row>2</xdr:row>
      <xdr:rowOff>447675</xdr:rowOff>
    </xdr:from>
    <xdr:to>
      <xdr:col>55</xdr:col>
      <xdr:colOff>371475</xdr:colOff>
      <xdr:row>28</xdr:row>
      <xdr:rowOff>181061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28CEB9-835C-36A1-F496-41225EE0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50551" y="1000125"/>
          <a:ext cx="3019424" cy="52769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86846</xdr:colOff>
      <xdr:row>2</xdr:row>
      <xdr:rowOff>671792</xdr:rowOff>
    </xdr:from>
    <xdr:to>
      <xdr:col>56</xdr:col>
      <xdr:colOff>552898</xdr:colOff>
      <xdr:row>29</xdr:row>
      <xdr:rowOff>173664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CC4B0-DA2B-40AC-A2EA-761C9C007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13111" y="1220880"/>
          <a:ext cx="2996452" cy="5280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59">
        <f ca="1">(_xlfn.DAYS(TODAY(),A4)+2)/((_xlfn.DAYS(A94,A4))+1)</f>
        <v>7.9890109890109891</v>
      </c>
      <c r="B1" s="260"/>
      <c r="C1" s="260"/>
      <c r="D1" s="260"/>
      <c r="E1" s="260"/>
      <c r="F1" s="260"/>
      <c r="G1" s="261"/>
      <c r="H1" s="262" t="s">
        <v>37</v>
      </c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4"/>
      <c r="AG1" s="42"/>
      <c r="AH1" s="42"/>
      <c r="AI1" s="42"/>
      <c r="AL1" s="258" t="s">
        <v>42</v>
      </c>
      <c r="AM1" s="258"/>
      <c r="AN1" s="258"/>
    </row>
    <row r="2" spans="1:51" ht="16.149999999999999" customHeight="1" thickBot="1">
      <c r="A2" t="s">
        <v>74</v>
      </c>
      <c r="B2" s="51"/>
      <c r="C2" s="266" t="s">
        <v>35</v>
      </c>
      <c r="D2" s="267"/>
      <c r="E2" s="268">
        <f>SUM(E4:E94)+SUM(G4:G94)</f>
        <v>61465</v>
      </c>
      <c r="F2" s="268"/>
      <c r="G2" s="269"/>
      <c r="H2" s="270" t="s">
        <v>48</v>
      </c>
      <c r="I2" s="271"/>
      <c r="J2" s="100" t="s">
        <v>46</v>
      </c>
      <c r="K2" s="100">
        <f>COUNTIF(H4:O94,"&lt;&gt;空")-3</f>
        <v>553</v>
      </c>
      <c r="L2" s="271" t="s">
        <v>45</v>
      </c>
      <c r="M2" s="271"/>
      <c r="N2" s="271"/>
      <c r="O2" s="272"/>
      <c r="P2" s="273" t="s">
        <v>49</v>
      </c>
      <c r="Q2" s="253"/>
      <c r="R2" s="99" t="s">
        <v>46</v>
      </c>
      <c r="S2" s="99">
        <f>COUNTIF(P4:W94,"&lt;&gt;空")</f>
        <v>470</v>
      </c>
      <c r="T2" s="253" t="s">
        <v>45</v>
      </c>
      <c r="U2" s="253"/>
      <c r="V2" s="253"/>
      <c r="W2" s="254"/>
      <c r="X2" s="273" t="s">
        <v>33</v>
      </c>
      <c r="Y2" s="253"/>
      <c r="Z2" s="58" t="s">
        <v>44</v>
      </c>
      <c r="AA2" s="99">
        <f>COUNTIF(X4:AE94,"&lt;&gt;空")</f>
        <v>0</v>
      </c>
      <c r="AB2" s="253" t="s">
        <v>45</v>
      </c>
      <c r="AC2" s="253"/>
      <c r="AD2" s="253"/>
      <c r="AE2" s="254"/>
      <c r="AF2" s="41">
        <f>SUM(AF4:AF94)</f>
        <v>33</v>
      </c>
      <c r="AG2" s="41">
        <f>SUM(AG4:AG94)</f>
        <v>14</v>
      </c>
      <c r="AH2" s="41">
        <f>SUM(AH4:AH94)</f>
        <v>19</v>
      </c>
      <c r="AI2" s="41">
        <f>SUM(AI4:AI94)</f>
        <v>0</v>
      </c>
      <c r="AJ2" s="255" t="s">
        <v>29</v>
      </c>
      <c r="AL2" s="265"/>
      <c r="AM2" s="265"/>
      <c r="AN2" s="265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5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1">AP4*$AN4</f>
        <v>350</v>
      </c>
      <c r="AU4" s="50">
        <f t="shared" si="1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0"/>
        <v>20</v>
      </c>
      <c r="AP5" s="19">
        <f t="shared" ref="AP5:AP26" si="2">COUNTIF($P$4:$W$94,AL5)</f>
        <v>11</v>
      </c>
      <c r="AQ5" s="19">
        <f t="shared" ref="AQ5:AQ26" si="3">COUNTIF($X$4:$AE$94,AL5)</f>
        <v>0</v>
      </c>
      <c r="AR5" s="19">
        <f t="shared" ref="AR5:AR26" si="4">AO5+AP5+AQ5</f>
        <v>31</v>
      </c>
      <c r="AS5" s="50">
        <f t="shared" ref="AS5:AU28" si="5">AO5*$AN5</f>
        <v>800</v>
      </c>
      <c r="AT5" s="50">
        <f t="shared" si="1"/>
        <v>440</v>
      </c>
      <c r="AU5" s="50">
        <f t="shared" si="1"/>
        <v>0</v>
      </c>
      <c r="AV5" s="257" t="s">
        <v>34</v>
      </c>
      <c r="AW5" s="257"/>
      <c r="AY5">
        <f t="shared" ref="AY5:AY28" si="6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0"/>
        <v>105</v>
      </c>
      <c r="AP6" s="19">
        <f t="shared" si="2"/>
        <v>84</v>
      </c>
      <c r="AQ6" s="19">
        <f t="shared" si="3"/>
        <v>0</v>
      </c>
      <c r="AR6" s="19">
        <f t="shared" si="4"/>
        <v>189</v>
      </c>
      <c r="AS6" s="50">
        <f t="shared" si="5"/>
        <v>4725</v>
      </c>
      <c r="AT6" s="50">
        <f t="shared" si="1"/>
        <v>3780</v>
      </c>
      <c r="AU6" s="50">
        <f t="shared" si="1"/>
        <v>0</v>
      </c>
      <c r="AV6" s="258"/>
      <c r="AW6" s="258"/>
      <c r="AY6">
        <f t="shared" si="6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0"/>
        <v>137</v>
      </c>
      <c r="AP7" s="19">
        <f t="shared" si="2"/>
        <v>130</v>
      </c>
      <c r="AQ7" s="19">
        <f t="shared" si="3"/>
        <v>0</v>
      </c>
      <c r="AR7" s="71">
        <f t="shared" si="4"/>
        <v>267</v>
      </c>
      <c r="AS7" s="50">
        <f t="shared" si="5"/>
        <v>6850</v>
      </c>
      <c r="AT7" s="50">
        <f t="shared" si="1"/>
        <v>6500</v>
      </c>
      <c r="AU7" s="50">
        <f t="shared" si="1"/>
        <v>0</v>
      </c>
      <c r="AV7" s="258"/>
      <c r="AW7" s="258"/>
      <c r="AY7">
        <f t="shared" si="6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0"/>
        <v>116</v>
      </c>
      <c r="AP8" s="19">
        <f t="shared" si="2"/>
        <v>120</v>
      </c>
      <c r="AQ8" s="19">
        <f t="shared" si="3"/>
        <v>0</v>
      </c>
      <c r="AR8" s="71">
        <f t="shared" si="4"/>
        <v>236</v>
      </c>
      <c r="AS8" s="50">
        <f t="shared" si="5"/>
        <v>6380</v>
      </c>
      <c r="AT8" s="50">
        <f t="shared" si="1"/>
        <v>6600</v>
      </c>
      <c r="AU8" s="50">
        <f t="shared" si="1"/>
        <v>0</v>
      </c>
      <c r="AV8" s="258"/>
      <c r="AW8" s="258"/>
      <c r="AY8">
        <f t="shared" si="6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0"/>
        <v>118</v>
      </c>
      <c r="AP9" s="19">
        <f t="shared" si="2"/>
        <v>76</v>
      </c>
      <c r="AQ9" s="19">
        <f t="shared" si="3"/>
        <v>0</v>
      </c>
      <c r="AR9" s="71">
        <f t="shared" si="4"/>
        <v>194</v>
      </c>
      <c r="AS9" s="50">
        <f t="shared" si="5"/>
        <v>7080</v>
      </c>
      <c r="AT9" s="50">
        <f t="shared" si="1"/>
        <v>4560</v>
      </c>
      <c r="AU9" s="50">
        <f t="shared" si="1"/>
        <v>0</v>
      </c>
      <c r="AY9">
        <f t="shared" si="6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0"/>
        <v>5</v>
      </c>
      <c r="AP11" s="19">
        <f t="shared" si="2"/>
        <v>1</v>
      </c>
      <c r="AQ11" s="19">
        <f t="shared" si="3"/>
        <v>0</v>
      </c>
      <c r="AR11" s="19">
        <f t="shared" si="4"/>
        <v>6</v>
      </c>
      <c r="AS11" s="50">
        <f t="shared" si="5"/>
        <v>200</v>
      </c>
      <c r="AT11" s="50">
        <f t="shared" si="1"/>
        <v>40</v>
      </c>
      <c r="AU11" s="50">
        <f t="shared" si="1"/>
        <v>0</v>
      </c>
      <c r="AY11">
        <f t="shared" si="6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0"/>
        <v>4</v>
      </c>
      <c r="AP12" s="19">
        <f t="shared" si="2"/>
        <v>2</v>
      </c>
      <c r="AQ12" s="19">
        <f t="shared" si="3"/>
        <v>0</v>
      </c>
      <c r="AR12" s="19">
        <f t="shared" si="4"/>
        <v>6</v>
      </c>
      <c r="AS12" s="50">
        <f t="shared" si="5"/>
        <v>180</v>
      </c>
      <c r="AT12" s="50">
        <f t="shared" si="1"/>
        <v>90</v>
      </c>
      <c r="AU12" s="50">
        <f t="shared" si="1"/>
        <v>0</v>
      </c>
      <c r="AY12">
        <f t="shared" si="6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3</v>
      </c>
      <c r="AQ13" s="19">
        <f t="shared" si="3"/>
        <v>0</v>
      </c>
      <c r="AR13" s="19">
        <f t="shared" si="4"/>
        <v>4</v>
      </c>
      <c r="AS13" s="50">
        <f t="shared" si="5"/>
        <v>50</v>
      </c>
      <c r="AT13" s="50">
        <f t="shared" si="1"/>
        <v>150</v>
      </c>
      <c r="AU13" s="50">
        <f t="shared" si="1"/>
        <v>0</v>
      </c>
      <c r="AY13">
        <f t="shared" si="6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0"/>
        <v>1</v>
      </c>
      <c r="AP14" s="19">
        <f t="shared" si="2"/>
        <v>2</v>
      </c>
      <c r="AQ14" s="19">
        <f t="shared" si="3"/>
        <v>0</v>
      </c>
      <c r="AR14" s="19">
        <f t="shared" si="4"/>
        <v>3</v>
      </c>
      <c r="AS14" s="50">
        <f t="shared" si="5"/>
        <v>55</v>
      </c>
      <c r="AT14" s="50">
        <f t="shared" si="1"/>
        <v>110</v>
      </c>
      <c r="AU14" s="50">
        <f t="shared" si="1"/>
        <v>0</v>
      </c>
      <c r="AY14">
        <f t="shared" si="6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0"/>
        <v>1</v>
      </c>
      <c r="AP15" s="19">
        <f t="shared" si="2"/>
        <v>0</v>
      </c>
      <c r="AQ15" s="19">
        <f t="shared" si="3"/>
        <v>0</v>
      </c>
      <c r="AR15" s="19">
        <f t="shared" si="4"/>
        <v>1</v>
      </c>
      <c r="AS15" s="50">
        <f t="shared" si="5"/>
        <v>60</v>
      </c>
      <c r="AT15" s="50">
        <f t="shared" si="1"/>
        <v>0</v>
      </c>
      <c r="AU15" s="50">
        <f t="shared" si="1"/>
        <v>0</v>
      </c>
      <c r="AY15">
        <f t="shared" si="6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2</v>
      </c>
      <c r="AQ16" s="19">
        <f t="shared" si="3"/>
        <v>0</v>
      </c>
      <c r="AR16" s="19">
        <f t="shared" si="4"/>
        <v>2</v>
      </c>
      <c r="AS16" s="50">
        <f t="shared" si="5"/>
        <v>0</v>
      </c>
      <c r="AT16" s="50">
        <f t="shared" si="1"/>
        <v>70</v>
      </c>
      <c r="AU16" s="50">
        <f t="shared" si="1"/>
        <v>0</v>
      </c>
      <c r="AY16">
        <f t="shared" si="6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0"/>
        <v>18</v>
      </c>
      <c r="AP17" s="19">
        <f t="shared" si="2"/>
        <v>18</v>
      </c>
      <c r="AQ17" s="19">
        <f t="shared" si="3"/>
        <v>0</v>
      </c>
      <c r="AR17" s="19">
        <f t="shared" si="4"/>
        <v>36</v>
      </c>
      <c r="AS17" s="50">
        <f t="shared" si="5"/>
        <v>540</v>
      </c>
      <c r="AT17" s="50">
        <f t="shared" si="1"/>
        <v>540</v>
      </c>
      <c r="AU17" s="50">
        <f t="shared" si="1"/>
        <v>0</v>
      </c>
      <c r="AY17">
        <f t="shared" si="6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1</v>
      </c>
      <c r="AP22" s="19">
        <f t="shared" si="2"/>
        <v>1</v>
      </c>
      <c r="AQ22" s="19">
        <f t="shared" si="3"/>
        <v>0</v>
      </c>
      <c r="AR22" s="19">
        <f t="shared" si="4"/>
        <v>2</v>
      </c>
      <c r="AS22" s="50">
        <f t="shared" si="5"/>
        <v>1000</v>
      </c>
      <c r="AT22" s="50">
        <f t="shared" si="5"/>
        <v>1000</v>
      </c>
      <c r="AU22" s="50">
        <f t="shared" si="5"/>
        <v>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1</v>
      </c>
      <c r="AP23" s="19">
        <f t="shared" si="2"/>
        <v>1</v>
      </c>
      <c r="AQ23" s="19">
        <f t="shared" si="3"/>
        <v>0</v>
      </c>
      <c r="AR23" s="19">
        <f t="shared" si="4"/>
        <v>2</v>
      </c>
      <c r="AS23" s="50">
        <f t="shared" si="5"/>
        <v>500</v>
      </c>
      <c r="AT23" s="50">
        <f t="shared" si="5"/>
        <v>500</v>
      </c>
      <c r="AU23" s="50">
        <f t="shared" si="5"/>
        <v>0</v>
      </c>
      <c r="AY23">
        <f t="shared" si="6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0</v>
      </c>
      <c r="AR24" s="19">
        <f t="shared" si="4"/>
        <v>0</v>
      </c>
      <c r="AS24" s="50">
        <f t="shared" si="5"/>
        <v>0</v>
      </c>
      <c r="AT24" s="50">
        <f t="shared" si="5"/>
        <v>0</v>
      </c>
      <c r="AU24" s="50">
        <f t="shared" si="5"/>
        <v>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59">
        <f ca="1">(_xlfn.DAYS(TODAY(),A4)+2)/((_xlfn.DAYS(A94,A4))+1)</f>
        <v>7.9890109890109891</v>
      </c>
      <c r="B1" s="260"/>
      <c r="C1" s="260"/>
      <c r="D1" s="260"/>
      <c r="E1" s="260"/>
      <c r="F1" s="260"/>
      <c r="G1" s="261"/>
      <c r="H1" s="262" t="s">
        <v>37</v>
      </c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4"/>
      <c r="AG1" s="42"/>
      <c r="AH1" s="42"/>
      <c r="AI1" s="42"/>
      <c r="AL1" s="258" t="s">
        <v>42</v>
      </c>
      <c r="AM1" s="258"/>
      <c r="AN1" s="258"/>
    </row>
    <row r="2" spans="1:51" ht="16.149999999999999" customHeight="1" thickBot="1">
      <c r="A2" t="s">
        <v>73</v>
      </c>
      <c r="B2" s="51"/>
      <c r="C2" s="266" t="s">
        <v>35</v>
      </c>
      <c r="D2" s="267"/>
      <c r="E2" s="268">
        <f>SUM(E4:E94)+SUM(G4:G94)</f>
        <v>61405</v>
      </c>
      <c r="F2" s="268"/>
      <c r="G2" s="269"/>
      <c r="H2" s="270" t="s">
        <v>48</v>
      </c>
      <c r="I2" s="271"/>
      <c r="J2" s="73" t="s">
        <v>46</v>
      </c>
      <c r="K2" s="73">
        <f>COUNTIF(H18:O94,"&lt;&gt;空")-3</f>
        <v>221</v>
      </c>
      <c r="L2" s="271" t="s">
        <v>45</v>
      </c>
      <c r="M2" s="271"/>
      <c r="N2" s="271"/>
      <c r="O2" s="272"/>
      <c r="P2" s="274" t="s">
        <v>49</v>
      </c>
      <c r="Q2" s="275"/>
      <c r="R2" s="74" t="s">
        <v>46</v>
      </c>
      <c r="S2" s="74">
        <f>COUNTIF(P4:W94,"&lt;&gt;空")</f>
        <v>303</v>
      </c>
      <c r="T2" s="275" t="s">
        <v>45</v>
      </c>
      <c r="U2" s="275"/>
      <c r="V2" s="275"/>
      <c r="W2" s="276"/>
      <c r="X2" s="273" t="s">
        <v>33</v>
      </c>
      <c r="Y2" s="253"/>
      <c r="Z2" s="58" t="s">
        <v>44</v>
      </c>
      <c r="AA2" s="72">
        <f>COUNTIF(X4:AE94,"&lt;&gt;空")</f>
        <v>412</v>
      </c>
      <c r="AB2" s="253" t="s">
        <v>45</v>
      </c>
      <c r="AC2" s="253"/>
      <c r="AD2" s="253"/>
      <c r="AE2" s="254"/>
      <c r="AF2" s="41">
        <f>SUM(AF4:AF94)</f>
        <v>50</v>
      </c>
      <c r="AG2" s="41">
        <f>SUM(AG4:AG94)</f>
        <v>17</v>
      </c>
      <c r="AH2" s="41">
        <f>SUM(AH4:AH94)</f>
        <v>25</v>
      </c>
      <c r="AI2" s="41">
        <f>SUM(AI4:AI94)</f>
        <v>8</v>
      </c>
      <c r="AJ2" s="255" t="s">
        <v>29</v>
      </c>
      <c r="AL2" s="265"/>
      <c r="AM2" s="265"/>
      <c r="AN2" s="265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5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1">AP4*$AN4</f>
        <v>0</v>
      </c>
      <c r="AU4" s="50">
        <f t="shared" si="1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0"/>
        <v>17</v>
      </c>
      <c r="AP5" s="19">
        <f t="shared" ref="AP5:AP26" si="2">COUNTIF($P$4:$W$94,AL5)</f>
        <v>1</v>
      </c>
      <c r="AQ5" s="19">
        <f t="shared" ref="AQ5:AQ26" si="3">COUNTIF($X$4:$AE$94,AL5)</f>
        <v>9</v>
      </c>
      <c r="AR5" s="19">
        <f t="shared" ref="AR5:AR26" si="4">AO5+AP5+AQ5</f>
        <v>27</v>
      </c>
      <c r="AS5" s="50">
        <f t="shared" ref="AS5:AU28" si="5">AO5*$AN5</f>
        <v>680</v>
      </c>
      <c r="AT5" s="50">
        <f t="shared" si="1"/>
        <v>40</v>
      </c>
      <c r="AU5" s="50">
        <f t="shared" si="1"/>
        <v>360</v>
      </c>
      <c r="AV5" s="257" t="s">
        <v>34</v>
      </c>
      <c r="AW5" s="257"/>
      <c r="AY5">
        <f t="shared" ref="AY5:AY28" si="6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0"/>
        <v>136</v>
      </c>
      <c r="AP6" s="19">
        <f t="shared" si="2"/>
        <v>44</v>
      </c>
      <c r="AQ6" s="19">
        <f t="shared" si="3"/>
        <v>10</v>
      </c>
      <c r="AR6" s="19">
        <f t="shared" si="4"/>
        <v>190</v>
      </c>
      <c r="AS6" s="50">
        <f t="shared" si="5"/>
        <v>6120</v>
      </c>
      <c r="AT6" s="50">
        <f t="shared" si="1"/>
        <v>1980</v>
      </c>
      <c r="AU6" s="50">
        <f t="shared" si="1"/>
        <v>450</v>
      </c>
      <c r="AV6" s="258"/>
      <c r="AW6" s="258"/>
      <c r="AY6">
        <f t="shared" si="6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0"/>
        <v>111</v>
      </c>
      <c r="AP7" s="19">
        <f t="shared" si="2"/>
        <v>45</v>
      </c>
      <c r="AQ7" s="19">
        <f t="shared" si="3"/>
        <v>113</v>
      </c>
      <c r="AR7" s="71">
        <f t="shared" si="4"/>
        <v>269</v>
      </c>
      <c r="AS7" s="50">
        <f t="shared" si="5"/>
        <v>5550</v>
      </c>
      <c r="AT7" s="50">
        <f t="shared" si="1"/>
        <v>2250</v>
      </c>
      <c r="AU7" s="50">
        <f t="shared" si="1"/>
        <v>5650</v>
      </c>
      <c r="AV7" s="258"/>
      <c r="AW7" s="258"/>
      <c r="AY7">
        <f t="shared" si="6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0"/>
        <v>0</v>
      </c>
      <c r="AP8" s="19">
        <f t="shared" si="2"/>
        <v>112</v>
      </c>
      <c r="AQ8" s="19">
        <f t="shared" si="3"/>
        <v>124</v>
      </c>
      <c r="AR8" s="71">
        <f t="shared" si="4"/>
        <v>236</v>
      </c>
      <c r="AS8" s="50">
        <f t="shared" si="5"/>
        <v>0</v>
      </c>
      <c r="AT8" s="50">
        <f t="shared" si="1"/>
        <v>6160</v>
      </c>
      <c r="AU8" s="50">
        <f t="shared" si="1"/>
        <v>6820</v>
      </c>
      <c r="AV8" s="258"/>
      <c r="AW8" s="258"/>
      <c r="AY8">
        <f t="shared" si="6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0"/>
        <v>0</v>
      </c>
      <c r="AP9" s="19">
        <f t="shared" si="2"/>
        <v>76</v>
      </c>
      <c r="AQ9" s="19">
        <f t="shared" si="3"/>
        <v>118</v>
      </c>
      <c r="AR9" s="71">
        <f t="shared" si="4"/>
        <v>194</v>
      </c>
      <c r="AS9" s="50">
        <f t="shared" si="5"/>
        <v>0</v>
      </c>
      <c r="AT9" s="50">
        <f t="shared" si="1"/>
        <v>4560</v>
      </c>
      <c r="AU9" s="50">
        <f t="shared" si="1"/>
        <v>7080</v>
      </c>
      <c r="AY9">
        <f t="shared" si="6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0"/>
        <v>4</v>
      </c>
      <c r="AP11" s="19">
        <f t="shared" si="2"/>
        <v>0</v>
      </c>
      <c r="AQ11" s="19">
        <f t="shared" si="3"/>
        <v>1</v>
      </c>
      <c r="AR11" s="19">
        <f t="shared" si="4"/>
        <v>5</v>
      </c>
      <c r="AS11" s="50">
        <f t="shared" si="5"/>
        <v>160</v>
      </c>
      <c r="AT11" s="50">
        <f t="shared" si="1"/>
        <v>0</v>
      </c>
      <c r="AU11" s="50">
        <f t="shared" si="1"/>
        <v>40</v>
      </c>
      <c r="AY11">
        <f t="shared" si="6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0"/>
        <v>2</v>
      </c>
      <c r="AP12" s="19">
        <f t="shared" si="2"/>
        <v>2</v>
      </c>
      <c r="AQ12" s="19">
        <f t="shared" si="3"/>
        <v>1</v>
      </c>
      <c r="AR12" s="19">
        <f t="shared" si="4"/>
        <v>5</v>
      </c>
      <c r="AS12" s="50">
        <f t="shared" si="5"/>
        <v>90</v>
      </c>
      <c r="AT12" s="50">
        <f t="shared" si="1"/>
        <v>90</v>
      </c>
      <c r="AU12" s="50">
        <f t="shared" si="1"/>
        <v>45</v>
      </c>
      <c r="AY12">
        <f t="shared" si="6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2</v>
      </c>
      <c r="AQ13" s="19">
        <f t="shared" si="3"/>
        <v>1</v>
      </c>
      <c r="AR13" s="19">
        <f t="shared" si="4"/>
        <v>4</v>
      </c>
      <c r="AS13" s="50">
        <f t="shared" si="5"/>
        <v>50</v>
      </c>
      <c r="AT13" s="50">
        <f t="shared" si="1"/>
        <v>100</v>
      </c>
      <c r="AU13" s="50">
        <f t="shared" si="1"/>
        <v>50</v>
      </c>
      <c r="AY13">
        <f t="shared" si="6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0"/>
        <v>0</v>
      </c>
      <c r="AP14" s="19">
        <f t="shared" si="2"/>
        <v>2</v>
      </c>
      <c r="AQ14" s="19">
        <f t="shared" si="3"/>
        <v>1</v>
      </c>
      <c r="AR14" s="19">
        <f t="shared" si="4"/>
        <v>3</v>
      </c>
      <c r="AS14" s="50">
        <f t="shared" si="5"/>
        <v>0</v>
      </c>
      <c r="AT14" s="50">
        <f t="shared" si="1"/>
        <v>110</v>
      </c>
      <c r="AU14" s="50">
        <f t="shared" si="1"/>
        <v>55</v>
      </c>
      <c r="AY14">
        <f t="shared" si="6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0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1"/>
        <v>0</v>
      </c>
      <c r="AU15" s="50">
        <f t="shared" si="1"/>
        <v>60</v>
      </c>
      <c r="AY15">
        <f t="shared" si="6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1"/>
        <v>0</v>
      </c>
      <c r="AU16" s="50">
        <f t="shared" si="1"/>
        <v>0</v>
      </c>
      <c r="AY16">
        <f t="shared" si="6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0"/>
        <v>13</v>
      </c>
      <c r="AP17" s="19">
        <f t="shared" si="2"/>
        <v>13</v>
      </c>
      <c r="AQ17" s="19">
        <f t="shared" si="3"/>
        <v>10</v>
      </c>
      <c r="AR17" s="19">
        <f t="shared" si="4"/>
        <v>36</v>
      </c>
      <c r="AS17" s="50">
        <f t="shared" si="5"/>
        <v>390</v>
      </c>
      <c r="AT17" s="50">
        <f t="shared" si="1"/>
        <v>390</v>
      </c>
      <c r="AU17" s="50">
        <f t="shared" si="1"/>
        <v>300</v>
      </c>
      <c r="AY17">
        <f t="shared" si="6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0</v>
      </c>
      <c r="AP22" s="19">
        <f t="shared" si="2"/>
        <v>1</v>
      </c>
      <c r="AQ22" s="19">
        <f t="shared" si="3"/>
        <v>1</v>
      </c>
      <c r="AR22" s="19">
        <f t="shared" si="4"/>
        <v>2</v>
      </c>
      <c r="AS22" s="50">
        <f t="shared" si="5"/>
        <v>0</v>
      </c>
      <c r="AT22" s="50">
        <f t="shared" si="5"/>
        <v>1000</v>
      </c>
      <c r="AU22" s="50">
        <f t="shared" si="5"/>
        <v>1000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Y23">
        <f t="shared" si="6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59">
        <f ca="1">(_xlfn.DAYS(TODAY(),A4)+2)/((_xlfn.DAYS(A94,A4))+1)</f>
        <v>7.9890109890109891</v>
      </c>
      <c r="B1" s="260"/>
      <c r="C1" s="260"/>
      <c r="D1" s="260"/>
      <c r="E1" s="260"/>
      <c r="F1" s="260"/>
      <c r="G1" s="261"/>
      <c r="H1" s="262" t="s">
        <v>37</v>
      </c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4"/>
      <c r="AG1" s="42"/>
      <c r="AH1" s="42"/>
      <c r="AI1" s="42"/>
      <c r="AL1" s="258" t="s">
        <v>42</v>
      </c>
      <c r="AM1" s="258"/>
      <c r="AN1" s="258"/>
    </row>
    <row r="2" spans="1:51" ht="16.149999999999999" customHeight="1" thickBot="1">
      <c r="A2" t="s">
        <v>62</v>
      </c>
      <c r="B2" s="51"/>
      <c r="C2" s="266" t="s">
        <v>35</v>
      </c>
      <c r="D2" s="267"/>
      <c r="E2" s="268">
        <f>SUM(E4:E94)+SUM(G4:G94)</f>
        <v>61375</v>
      </c>
      <c r="F2" s="268"/>
      <c r="G2" s="269"/>
      <c r="H2" s="270" t="s">
        <v>48</v>
      </c>
      <c r="I2" s="271"/>
      <c r="J2" s="64" t="s">
        <v>46</v>
      </c>
      <c r="K2" s="64">
        <f>COUNTIF(H4:O94,"&lt;&gt;空")</f>
        <v>309</v>
      </c>
      <c r="L2" s="271" t="s">
        <v>45</v>
      </c>
      <c r="M2" s="271"/>
      <c r="N2" s="271"/>
      <c r="O2" s="272"/>
      <c r="P2" s="274" t="s">
        <v>49</v>
      </c>
      <c r="Q2" s="275"/>
      <c r="R2" s="65" t="s">
        <v>46</v>
      </c>
      <c r="S2" s="65">
        <f>COUNTIF(P4:W94,"&lt;&gt;空")</f>
        <v>302</v>
      </c>
      <c r="T2" s="275" t="s">
        <v>45</v>
      </c>
      <c r="U2" s="275"/>
      <c r="V2" s="275"/>
      <c r="W2" s="276"/>
      <c r="X2" s="273" t="s">
        <v>33</v>
      </c>
      <c r="Y2" s="253"/>
      <c r="Z2" s="58" t="s">
        <v>44</v>
      </c>
      <c r="AA2" s="63">
        <f>COUNTIF(X4:AE94,"&lt;&gt;空")</f>
        <v>412</v>
      </c>
      <c r="AB2" s="253" t="s">
        <v>45</v>
      </c>
      <c r="AC2" s="253"/>
      <c r="AD2" s="253"/>
      <c r="AE2" s="254"/>
      <c r="AF2" s="41">
        <f>SUM(AF4:AF94)</f>
        <v>46</v>
      </c>
      <c r="AG2" s="41">
        <f>SUM(AG4:AG94)</f>
        <v>14</v>
      </c>
      <c r="AH2" s="41">
        <f>SUM(AH4:AH94)</f>
        <v>24</v>
      </c>
      <c r="AI2" s="41">
        <f>SUM(AI4:AI94)</f>
        <v>8</v>
      </c>
      <c r="AJ2" s="255" t="s">
        <v>29</v>
      </c>
      <c r="AL2" s="265"/>
      <c r="AM2" s="265"/>
      <c r="AN2" s="265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5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1">AP4*$AN4</f>
        <v>0</v>
      </c>
      <c r="AU4" s="50">
        <f t="shared" si="1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0"/>
        <v>16</v>
      </c>
      <c r="AP5" s="19">
        <f t="shared" ref="AP5:AP26" si="2">COUNTIF($P$4:$W$94,AL5)</f>
        <v>1</v>
      </c>
      <c r="AQ5" s="19">
        <f t="shared" ref="AQ5:AQ26" si="3">COUNTIF($X$4:$AE$94,AL5)</f>
        <v>9</v>
      </c>
      <c r="AR5" s="19">
        <f t="shared" ref="AR5:AR26" si="4">AO5+AP5+AQ5</f>
        <v>26</v>
      </c>
      <c r="AS5" s="50">
        <f t="shared" ref="AS5:AU28" si="5">AO5*$AN5</f>
        <v>640</v>
      </c>
      <c r="AT5" s="50">
        <f t="shared" si="1"/>
        <v>40</v>
      </c>
      <c r="AU5" s="50">
        <f t="shared" si="1"/>
        <v>360</v>
      </c>
      <c r="AV5" s="257" t="s">
        <v>34</v>
      </c>
      <c r="AW5" s="257"/>
      <c r="AY5">
        <f t="shared" ref="AY5:AY28" si="6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0"/>
        <v>136</v>
      </c>
      <c r="AP6" s="19">
        <f t="shared" si="2"/>
        <v>44</v>
      </c>
      <c r="AQ6" s="19">
        <f t="shared" si="3"/>
        <v>10</v>
      </c>
      <c r="AR6" s="19">
        <f t="shared" si="4"/>
        <v>190</v>
      </c>
      <c r="AS6" s="50">
        <f t="shared" si="5"/>
        <v>6120</v>
      </c>
      <c r="AT6" s="50">
        <f t="shared" si="1"/>
        <v>1980</v>
      </c>
      <c r="AU6" s="50">
        <f t="shared" si="1"/>
        <v>450</v>
      </c>
      <c r="AV6" s="258"/>
      <c r="AW6" s="258"/>
      <c r="AY6">
        <f t="shared" si="6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0"/>
        <v>111</v>
      </c>
      <c r="AP7" s="19">
        <f t="shared" si="2"/>
        <v>45</v>
      </c>
      <c r="AQ7" s="19">
        <f t="shared" si="3"/>
        <v>113</v>
      </c>
      <c r="AR7" s="71">
        <f t="shared" si="4"/>
        <v>269</v>
      </c>
      <c r="AS7" s="50">
        <f t="shared" si="5"/>
        <v>5550</v>
      </c>
      <c r="AT7" s="50">
        <f t="shared" si="1"/>
        <v>2250</v>
      </c>
      <c r="AU7" s="50">
        <f t="shared" si="1"/>
        <v>5650</v>
      </c>
      <c r="AV7" s="258"/>
      <c r="AW7" s="258"/>
      <c r="AY7">
        <f t="shared" si="6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0"/>
        <v>0</v>
      </c>
      <c r="AP8" s="19">
        <f t="shared" si="2"/>
        <v>112</v>
      </c>
      <c r="AQ8" s="19">
        <f t="shared" si="3"/>
        <v>124</v>
      </c>
      <c r="AR8" s="71">
        <f t="shared" si="4"/>
        <v>236</v>
      </c>
      <c r="AS8" s="50">
        <f t="shared" si="5"/>
        <v>0</v>
      </c>
      <c r="AT8" s="50">
        <f t="shared" si="1"/>
        <v>6160</v>
      </c>
      <c r="AU8" s="50">
        <f t="shared" si="1"/>
        <v>6820</v>
      </c>
      <c r="AV8" s="258"/>
      <c r="AW8" s="258"/>
      <c r="AY8">
        <f t="shared" si="6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0"/>
        <v>0</v>
      </c>
      <c r="AP9" s="19">
        <f t="shared" si="2"/>
        <v>76</v>
      </c>
      <c r="AQ9" s="19">
        <f t="shared" si="3"/>
        <v>118</v>
      </c>
      <c r="AR9" s="71">
        <f t="shared" si="4"/>
        <v>194</v>
      </c>
      <c r="AS9" s="50">
        <f t="shared" si="5"/>
        <v>0</v>
      </c>
      <c r="AT9" s="50">
        <f t="shared" si="1"/>
        <v>4560</v>
      </c>
      <c r="AU9" s="50">
        <f t="shared" si="1"/>
        <v>7080</v>
      </c>
      <c r="AY9">
        <f t="shared" si="6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0"/>
        <v>5</v>
      </c>
      <c r="AP11" s="19">
        <f t="shared" si="2"/>
        <v>0</v>
      </c>
      <c r="AQ11" s="19">
        <f t="shared" si="3"/>
        <v>1</v>
      </c>
      <c r="AR11" s="19">
        <f t="shared" si="4"/>
        <v>6</v>
      </c>
      <c r="AS11" s="50">
        <f t="shared" si="5"/>
        <v>200</v>
      </c>
      <c r="AT11" s="50">
        <f t="shared" si="1"/>
        <v>0</v>
      </c>
      <c r="AU11" s="50">
        <f t="shared" si="1"/>
        <v>40</v>
      </c>
      <c r="AY11">
        <f t="shared" si="6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0"/>
        <v>2</v>
      </c>
      <c r="AP12" s="19">
        <f t="shared" si="2"/>
        <v>2</v>
      </c>
      <c r="AQ12" s="19">
        <f t="shared" si="3"/>
        <v>1</v>
      </c>
      <c r="AR12" s="19">
        <f t="shared" si="4"/>
        <v>5</v>
      </c>
      <c r="AS12" s="50">
        <f t="shared" si="5"/>
        <v>90</v>
      </c>
      <c r="AT12" s="50">
        <f t="shared" si="1"/>
        <v>90</v>
      </c>
      <c r="AU12" s="50">
        <f t="shared" si="1"/>
        <v>45</v>
      </c>
      <c r="AY12">
        <f t="shared" si="6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2</v>
      </c>
      <c r="AQ13" s="19">
        <f t="shared" si="3"/>
        <v>1</v>
      </c>
      <c r="AR13" s="19">
        <f t="shared" si="4"/>
        <v>4</v>
      </c>
      <c r="AS13" s="50">
        <f t="shared" si="5"/>
        <v>50</v>
      </c>
      <c r="AT13" s="50">
        <f t="shared" si="1"/>
        <v>100</v>
      </c>
      <c r="AU13" s="50">
        <f t="shared" si="1"/>
        <v>50</v>
      </c>
      <c r="AY13">
        <f t="shared" si="6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0"/>
        <v>0</v>
      </c>
      <c r="AP14" s="19">
        <f t="shared" si="2"/>
        <v>2</v>
      </c>
      <c r="AQ14" s="19">
        <f t="shared" si="3"/>
        <v>1</v>
      </c>
      <c r="AR14" s="19">
        <f t="shared" si="4"/>
        <v>3</v>
      </c>
      <c r="AS14" s="50">
        <f t="shared" si="5"/>
        <v>0</v>
      </c>
      <c r="AT14" s="50">
        <f t="shared" si="1"/>
        <v>110</v>
      </c>
      <c r="AU14" s="50">
        <f t="shared" si="1"/>
        <v>55</v>
      </c>
      <c r="AY14">
        <f t="shared" si="6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0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1"/>
        <v>0</v>
      </c>
      <c r="AU15" s="50">
        <f t="shared" si="1"/>
        <v>60</v>
      </c>
      <c r="AY15">
        <f t="shared" si="6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1"/>
        <v>0</v>
      </c>
      <c r="AU16" s="50">
        <f t="shared" si="1"/>
        <v>0</v>
      </c>
      <c r="AY16">
        <f t="shared" si="6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0"/>
        <v>13</v>
      </c>
      <c r="AP17" s="19">
        <f t="shared" si="2"/>
        <v>12</v>
      </c>
      <c r="AQ17" s="19">
        <f t="shared" si="3"/>
        <v>10</v>
      </c>
      <c r="AR17" s="19">
        <f t="shared" si="4"/>
        <v>35</v>
      </c>
      <c r="AS17" s="50">
        <f t="shared" si="5"/>
        <v>390</v>
      </c>
      <c r="AT17" s="50">
        <f t="shared" si="1"/>
        <v>360</v>
      </c>
      <c r="AU17" s="50">
        <f t="shared" si="1"/>
        <v>300</v>
      </c>
      <c r="AY17">
        <f t="shared" si="6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0</v>
      </c>
      <c r="AP22" s="19">
        <f t="shared" si="2"/>
        <v>1</v>
      </c>
      <c r="AQ22" s="19">
        <f t="shared" si="3"/>
        <v>1</v>
      </c>
      <c r="AR22" s="19">
        <f t="shared" si="4"/>
        <v>2</v>
      </c>
      <c r="AS22" s="50">
        <f t="shared" si="5"/>
        <v>0</v>
      </c>
      <c r="AT22" s="50">
        <f t="shared" si="5"/>
        <v>1000</v>
      </c>
      <c r="AU22" s="50">
        <f t="shared" si="5"/>
        <v>1000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Y23">
        <f t="shared" si="6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59">
        <f ca="1">(_xlfn.DAYS(TODAY(),A4)+2)/((_xlfn.DAYS(A94,A4))+1)</f>
        <v>7.9890109890109891</v>
      </c>
      <c r="B1" s="260"/>
      <c r="C1" s="260"/>
      <c r="D1" s="260"/>
      <c r="E1" s="260"/>
      <c r="F1" s="260"/>
      <c r="G1" s="261"/>
      <c r="H1" s="262" t="s">
        <v>37</v>
      </c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4"/>
      <c r="AG1" s="42"/>
      <c r="AH1" s="42"/>
      <c r="AI1" s="42"/>
      <c r="AL1" s="258" t="s">
        <v>42</v>
      </c>
      <c r="AM1" s="258"/>
      <c r="AN1" s="258"/>
    </row>
    <row r="2" spans="1:51" ht="16.149999999999999" customHeight="1" thickBot="1">
      <c r="A2" t="s">
        <v>62</v>
      </c>
      <c r="B2" s="51"/>
      <c r="C2" s="266" t="s">
        <v>35</v>
      </c>
      <c r="D2" s="267"/>
      <c r="E2" s="268">
        <f>SUM(E4:E94)+SUM(G4:G94)</f>
        <v>61245</v>
      </c>
      <c r="F2" s="268"/>
      <c r="G2" s="269"/>
      <c r="H2" s="270" t="s">
        <v>48</v>
      </c>
      <c r="I2" s="271"/>
      <c r="J2" s="54" t="s">
        <v>46</v>
      </c>
      <c r="K2" s="54">
        <f>COUNTIF(H4:O94,"&lt;&gt;空")</f>
        <v>406</v>
      </c>
      <c r="L2" s="271" t="s">
        <v>45</v>
      </c>
      <c r="M2" s="271"/>
      <c r="N2" s="271"/>
      <c r="O2" s="272"/>
      <c r="P2" s="274" t="s">
        <v>49</v>
      </c>
      <c r="Q2" s="275"/>
      <c r="R2" s="52" t="s">
        <v>46</v>
      </c>
      <c r="S2" s="52">
        <f>COUNTIF(P4:W94,"&lt;&gt;空")</f>
        <v>184</v>
      </c>
      <c r="T2" s="275" t="s">
        <v>45</v>
      </c>
      <c r="U2" s="275"/>
      <c r="V2" s="275"/>
      <c r="W2" s="276"/>
      <c r="X2" s="273" t="s">
        <v>33</v>
      </c>
      <c r="Y2" s="253"/>
      <c r="Z2" s="58" t="s">
        <v>44</v>
      </c>
      <c r="AA2" s="59">
        <f>COUNTIF(X4:AE94,"&lt;&gt;空")</f>
        <v>434</v>
      </c>
      <c r="AB2" s="253" t="s">
        <v>45</v>
      </c>
      <c r="AC2" s="253"/>
      <c r="AD2" s="253"/>
      <c r="AE2" s="254"/>
      <c r="AF2" s="41">
        <f>SUM(AF4:AF94)</f>
        <v>58</v>
      </c>
      <c r="AG2" s="41">
        <f>SUM(AG4:AG94)</f>
        <v>20</v>
      </c>
      <c r="AH2" s="41">
        <f>SUM(AH4:AH94)</f>
        <v>23</v>
      </c>
      <c r="AI2" s="41">
        <f>SUM(AI4:AI94)</f>
        <v>15</v>
      </c>
      <c r="AJ2" s="255" t="s">
        <v>29</v>
      </c>
      <c r="AL2" s="265"/>
      <c r="AM2" s="265"/>
      <c r="AN2" s="265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5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0">AP4*$AN4</f>
        <v>0</v>
      </c>
      <c r="AU4" s="50">
        <f t="shared" si="0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1">COUNTIF($H$4:$O$94,AL5)</f>
        <v>16</v>
      </c>
      <c r="AP5" s="19">
        <f t="shared" ref="AP5:AP26" si="2">COUNTIF($P$4:$W$94,AL5)</f>
        <v>12</v>
      </c>
      <c r="AQ5" s="19">
        <f t="shared" ref="AQ5:AQ26" si="3">COUNTIF($X$4:$AE$94,AL5)</f>
        <v>16</v>
      </c>
      <c r="AR5" s="19">
        <f t="shared" ref="AR5:AR26" si="4">AO5+AP5+AQ5</f>
        <v>44</v>
      </c>
      <c r="AS5" s="50">
        <f t="shared" ref="AS5:AU28" si="5">AO5*$AN5</f>
        <v>640</v>
      </c>
      <c r="AT5" s="50">
        <f t="shared" si="0"/>
        <v>480</v>
      </c>
      <c r="AU5" s="50">
        <f t="shared" si="0"/>
        <v>640</v>
      </c>
      <c r="AV5" s="257" t="s">
        <v>34</v>
      </c>
      <c r="AW5" s="257"/>
      <c r="AX5">
        <f t="shared" ref="AX5:AX28" si="6">AN5/AY5</f>
        <v>0.3125</v>
      </c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97</v>
      </c>
      <c r="AP6" s="19">
        <f t="shared" si="2"/>
        <v>46</v>
      </c>
      <c r="AQ6" s="19">
        <f t="shared" si="3"/>
        <v>22</v>
      </c>
      <c r="AR6" s="19">
        <f t="shared" si="4"/>
        <v>165</v>
      </c>
      <c r="AS6" s="50">
        <f t="shared" si="5"/>
        <v>4365</v>
      </c>
      <c r="AT6" s="50">
        <f t="shared" si="0"/>
        <v>2070</v>
      </c>
      <c r="AU6" s="50">
        <f t="shared" si="0"/>
        <v>990</v>
      </c>
      <c r="AV6" s="258"/>
      <c r="AW6" s="258"/>
      <c r="AX6">
        <f t="shared" si="6"/>
        <v>0.33088235294117646</v>
      </c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45</v>
      </c>
      <c r="AP7" s="19">
        <f t="shared" si="2"/>
        <v>111</v>
      </c>
      <c r="AQ7" s="19">
        <f t="shared" si="3"/>
        <v>113</v>
      </c>
      <c r="AR7" s="71">
        <f t="shared" si="4"/>
        <v>269</v>
      </c>
      <c r="AS7" s="50">
        <f t="shared" si="5"/>
        <v>2250</v>
      </c>
      <c r="AT7" s="50">
        <f t="shared" si="0"/>
        <v>5550</v>
      </c>
      <c r="AU7" s="50">
        <f t="shared" si="0"/>
        <v>5650</v>
      </c>
      <c r="AV7" s="258"/>
      <c r="AW7" s="258"/>
      <c r="AX7">
        <f t="shared" si="6"/>
        <v>0.34722222222222221</v>
      </c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112</v>
      </c>
      <c r="AP8" s="19">
        <f t="shared" si="2"/>
        <v>0</v>
      </c>
      <c r="AQ8" s="19">
        <f t="shared" si="3"/>
        <v>124</v>
      </c>
      <c r="AR8" s="71">
        <f t="shared" si="4"/>
        <v>236</v>
      </c>
      <c r="AS8" s="50">
        <f t="shared" si="5"/>
        <v>6160</v>
      </c>
      <c r="AT8" s="50">
        <f t="shared" si="0"/>
        <v>0</v>
      </c>
      <c r="AU8" s="50">
        <f t="shared" si="0"/>
        <v>6820</v>
      </c>
      <c r="AV8" s="258"/>
      <c r="AW8" s="258"/>
      <c r="AX8">
        <f t="shared" si="6"/>
        <v>0.36184210526315791</v>
      </c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76</v>
      </c>
      <c r="AP9" s="19">
        <f t="shared" si="2"/>
        <v>0</v>
      </c>
      <c r="AQ9" s="19">
        <f t="shared" si="3"/>
        <v>118</v>
      </c>
      <c r="AR9" s="71">
        <f t="shared" si="4"/>
        <v>194</v>
      </c>
      <c r="AS9" s="50">
        <f t="shared" si="5"/>
        <v>4560</v>
      </c>
      <c r="AT9" s="50">
        <f t="shared" si="0"/>
        <v>0</v>
      </c>
      <c r="AU9" s="50">
        <f t="shared" si="0"/>
        <v>7080</v>
      </c>
      <c r="AX9">
        <f t="shared" si="6"/>
        <v>0.375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0"/>
        <v>0</v>
      </c>
      <c r="AU10" s="50">
        <f t="shared" si="0"/>
        <v>0</v>
      </c>
      <c r="AX10">
        <f t="shared" si="6"/>
        <v>0.29166666666666669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2</v>
      </c>
      <c r="AP11" s="19">
        <f t="shared" si="2"/>
        <v>1</v>
      </c>
      <c r="AQ11" s="19">
        <f t="shared" si="3"/>
        <v>2</v>
      </c>
      <c r="AR11" s="19">
        <f t="shared" si="4"/>
        <v>5</v>
      </c>
      <c r="AS11" s="50">
        <f t="shared" si="5"/>
        <v>80</v>
      </c>
      <c r="AT11" s="50">
        <f t="shared" si="0"/>
        <v>40</v>
      </c>
      <c r="AU11" s="50">
        <f t="shared" si="0"/>
        <v>80</v>
      </c>
      <c r="AX11">
        <f t="shared" si="6"/>
        <v>0.33333333333333331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3</v>
      </c>
      <c r="AP12" s="19">
        <f t="shared" si="2"/>
        <v>2</v>
      </c>
      <c r="AQ12" s="19">
        <f t="shared" si="3"/>
        <v>1</v>
      </c>
      <c r="AR12" s="19">
        <f t="shared" si="4"/>
        <v>6</v>
      </c>
      <c r="AS12" s="50">
        <f t="shared" si="5"/>
        <v>135</v>
      </c>
      <c r="AT12" s="50">
        <f t="shared" si="0"/>
        <v>90</v>
      </c>
      <c r="AU12" s="50">
        <f t="shared" si="0"/>
        <v>45</v>
      </c>
      <c r="AX12">
        <f t="shared" si="6"/>
        <v>0.375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2</v>
      </c>
      <c r="AP13" s="19">
        <f t="shared" si="2"/>
        <v>1</v>
      </c>
      <c r="AQ13" s="19">
        <f t="shared" si="3"/>
        <v>1</v>
      </c>
      <c r="AR13" s="19">
        <f t="shared" si="4"/>
        <v>4</v>
      </c>
      <c r="AS13" s="50">
        <f t="shared" si="5"/>
        <v>100</v>
      </c>
      <c r="AT13" s="50">
        <f t="shared" si="0"/>
        <v>50</v>
      </c>
      <c r="AU13" s="50">
        <f t="shared" si="0"/>
        <v>50</v>
      </c>
      <c r="AX13">
        <f t="shared" si="6"/>
        <v>0.41666666666666669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2</v>
      </c>
      <c r="AP14" s="19">
        <f t="shared" si="2"/>
        <v>0</v>
      </c>
      <c r="AQ14" s="19">
        <f t="shared" si="3"/>
        <v>1</v>
      </c>
      <c r="AR14" s="19">
        <f t="shared" si="4"/>
        <v>3</v>
      </c>
      <c r="AS14" s="50">
        <f t="shared" si="5"/>
        <v>110</v>
      </c>
      <c r="AT14" s="50">
        <f t="shared" si="0"/>
        <v>0</v>
      </c>
      <c r="AU14" s="50">
        <f t="shared" si="0"/>
        <v>55</v>
      </c>
      <c r="AX14">
        <f t="shared" si="6"/>
        <v>0.45833333333333331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0"/>
        <v>0</v>
      </c>
      <c r="AU15" s="50">
        <f t="shared" si="0"/>
        <v>60</v>
      </c>
      <c r="AX15">
        <f t="shared" si="6"/>
        <v>0.5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0"/>
        <v>0</v>
      </c>
      <c r="AU16" s="50">
        <f t="shared" si="0"/>
        <v>0</v>
      </c>
      <c r="AX16">
        <f t="shared" si="6"/>
        <v>0.29166666666666669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16</v>
      </c>
      <c r="AP17" s="19">
        <f t="shared" si="2"/>
        <v>9</v>
      </c>
      <c r="AQ17" s="19">
        <f t="shared" si="3"/>
        <v>13</v>
      </c>
      <c r="AR17" s="19">
        <f t="shared" si="4"/>
        <v>38</v>
      </c>
      <c r="AS17" s="50">
        <f t="shared" si="5"/>
        <v>480</v>
      </c>
      <c r="AT17" s="50">
        <f t="shared" si="0"/>
        <v>270</v>
      </c>
      <c r="AU17" s="50">
        <f t="shared" si="0"/>
        <v>390</v>
      </c>
      <c r="AX17">
        <f t="shared" si="6"/>
        <v>0.75</v>
      </c>
      <c r="AY17">
        <f t="shared" si="7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0"/>
        <v>0</v>
      </c>
      <c r="AU18" s="50">
        <f t="shared" si="0"/>
        <v>0</v>
      </c>
      <c r="AX18">
        <f t="shared" si="6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0"/>
        <v>0</v>
      </c>
      <c r="AU19" s="50">
        <f t="shared" si="0"/>
        <v>0</v>
      </c>
      <c r="AX19">
        <f t="shared" si="6"/>
        <v>1</v>
      </c>
      <c r="AY19">
        <f t="shared" si="7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X20">
        <f t="shared" si="6"/>
        <v>0.33088235294117646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X21">
        <f t="shared" si="6"/>
        <v>1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2"/>
        <v>0</v>
      </c>
      <c r="AQ22" s="19">
        <f t="shared" si="3"/>
        <v>1</v>
      </c>
      <c r="AR22" s="19">
        <f t="shared" si="4"/>
        <v>2</v>
      </c>
      <c r="AS22" s="50">
        <f t="shared" si="5"/>
        <v>1000</v>
      </c>
      <c r="AT22" s="50">
        <f t="shared" si="5"/>
        <v>0</v>
      </c>
      <c r="AU22" s="50">
        <f t="shared" si="5"/>
        <v>1000</v>
      </c>
      <c r="AX22">
        <f t="shared" si="6"/>
        <v>5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X23">
        <f t="shared" si="6"/>
        <v>2.5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X24">
        <f t="shared" si="6"/>
        <v>0.3125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1</v>
      </c>
      <c r="AP25" s="19">
        <f t="shared" si="2"/>
        <v>0</v>
      </c>
      <c r="AQ25" s="19">
        <f t="shared" si="3"/>
        <v>0</v>
      </c>
      <c r="AR25" s="19">
        <f t="shared" si="4"/>
        <v>1</v>
      </c>
      <c r="AS25" s="50">
        <f t="shared" si="5"/>
        <v>40</v>
      </c>
      <c r="AT25" s="50">
        <f t="shared" si="5"/>
        <v>0</v>
      </c>
      <c r="AU25" s="50">
        <f t="shared" si="5"/>
        <v>0</v>
      </c>
      <c r="AX25">
        <f t="shared" si="6"/>
        <v>0.3125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1</v>
      </c>
      <c r="AP26" s="19">
        <f t="shared" si="2"/>
        <v>0</v>
      </c>
      <c r="AQ26" s="19">
        <f t="shared" si="3"/>
        <v>0</v>
      </c>
      <c r="AR26" s="19">
        <f t="shared" si="4"/>
        <v>1</v>
      </c>
      <c r="AS26" s="50">
        <f t="shared" si="5"/>
        <v>35</v>
      </c>
      <c r="AT26" s="50">
        <f t="shared" si="5"/>
        <v>0</v>
      </c>
      <c r="AU26" s="50">
        <f t="shared" si="5"/>
        <v>0</v>
      </c>
      <c r="AX26">
        <f t="shared" si="6"/>
        <v>0.29166666666666669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X27" t="e">
        <f t="shared" si="6"/>
        <v>#DIV/0!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X28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59">
        <f ca="1">(_xlfn.DAYS(TODAY(),A4)+2)/((_xlfn.DAYS(A94,A4))+1)</f>
        <v>5.9890109890109891</v>
      </c>
      <c r="B1" s="260"/>
      <c r="C1" s="260"/>
      <c r="D1" s="260"/>
      <c r="E1" s="260"/>
      <c r="F1" s="260"/>
      <c r="G1" s="260"/>
      <c r="H1" s="261"/>
      <c r="I1" s="262" t="s">
        <v>37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42"/>
      <c r="AI1" s="42"/>
      <c r="AJ1" s="42"/>
      <c r="AM1" s="258" t="s">
        <v>42</v>
      </c>
      <c r="AN1" s="258"/>
      <c r="AO1" s="258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66" t="s">
        <v>35</v>
      </c>
      <c r="E2" s="267"/>
      <c r="F2" s="268">
        <f>SUM(F4:F94)+SUM(H4:H94)</f>
        <v>11730</v>
      </c>
      <c r="G2" s="268"/>
      <c r="H2" s="269"/>
      <c r="I2" s="279" t="s">
        <v>48</v>
      </c>
      <c r="J2" s="280"/>
      <c r="K2" s="140" t="s">
        <v>46</v>
      </c>
      <c r="L2" s="140">
        <f>COUNTIF(I4:P94,"&lt;&gt;空")</f>
        <v>26</v>
      </c>
      <c r="M2" s="280" t="s">
        <v>45</v>
      </c>
      <c r="N2" s="280"/>
      <c r="O2" s="280"/>
      <c r="P2" s="281"/>
      <c r="Q2" s="282" t="s">
        <v>49</v>
      </c>
      <c r="R2" s="283"/>
      <c r="S2" s="141" t="s">
        <v>46</v>
      </c>
      <c r="T2" s="141">
        <f>COUNTIF(Q4:X94,"&lt;&gt;空")</f>
        <v>42</v>
      </c>
      <c r="U2" s="283" t="s">
        <v>45</v>
      </c>
      <c r="V2" s="283"/>
      <c r="W2" s="283"/>
      <c r="X2" s="284"/>
      <c r="Y2" s="285" t="s">
        <v>33</v>
      </c>
      <c r="Z2" s="277"/>
      <c r="AA2" s="134" t="s">
        <v>44</v>
      </c>
      <c r="AB2" s="139">
        <f>COUNTIF(Y4:AF94,"&lt;&gt;空")</f>
        <v>36</v>
      </c>
      <c r="AC2" s="277" t="s">
        <v>45</v>
      </c>
      <c r="AD2" s="277"/>
      <c r="AE2" s="277"/>
      <c r="AF2" s="278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55" t="s">
        <v>29</v>
      </c>
      <c r="AL2" s="142">
        <f>L2+T2+AB2</f>
        <v>104</v>
      </c>
      <c r="AM2" s="265"/>
      <c r="AN2" s="265"/>
      <c r="AO2" s="265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5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COUNTIF($I$4:$P$94,AM4)</f>
        <v>5</v>
      </c>
      <c r="AR4" s="19">
        <f t="shared" ref="AR4:AR26" si="0">COUNTIF($Q$4:$X$94,AM4)</f>
        <v>2</v>
      </c>
      <c r="AS4" s="19">
        <f t="shared" ref="AS4:AS26" si="1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2">AR4*$AO4</f>
        <v>70</v>
      </c>
      <c r="AW4" s="50">
        <f t="shared" si="2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COUNTIF($I$4:$P$94,AM5)</f>
        <v>0</v>
      </c>
      <c r="AR5" s="19">
        <f t="shared" si="0"/>
        <v>13</v>
      </c>
      <c r="AS5" s="19">
        <f t="shared" si="1"/>
        <v>12</v>
      </c>
      <c r="AT5" s="19">
        <f t="shared" ref="AT5:AT26" si="3">AQ5+AR5+AS5</f>
        <v>25</v>
      </c>
      <c r="AU5" s="50">
        <f t="shared" ref="AU5:AW29" si="4">AQ5*$AO5</f>
        <v>0</v>
      </c>
      <c r="AV5" s="50">
        <f t="shared" si="2"/>
        <v>520</v>
      </c>
      <c r="AW5" s="50">
        <f t="shared" si="2"/>
        <v>480</v>
      </c>
      <c r="AX5" s="257" t="s">
        <v>34</v>
      </c>
      <c r="AY5" s="257"/>
      <c r="AZ5" s="53">
        <f>AO5/BA5</f>
        <v>0.3125</v>
      </c>
      <c r="BA5">
        <f t="shared" ref="BA5:BA29" si="5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>COUNTIF($I$4:$P$94,AM6)</f>
        <v>7</v>
      </c>
      <c r="AR6" s="19">
        <f t="shared" si="0"/>
        <v>18</v>
      </c>
      <c r="AS6" s="19">
        <f t="shared" si="1"/>
        <v>16</v>
      </c>
      <c r="AT6" s="19">
        <f t="shared" si="3"/>
        <v>41</v>
      </c>
      <c r="AU6" s="50">
        <f t="shared" si="4"/>
        <v>315</v>
      </c>
      <c r="AV6" s="50">
        <f t="shared" si="2"/>
        <v>810</v>
      </c>
      <c r="AW6" s="50">
        <f t="shared" si="2"/>
        <v>720</v>
      </c>
      <c r="AX6" s="258"/>
      <c r="AY6" s="258"/>
      <c r="AZ6" s="53">
        <f>AO6/BA6</f>
        <v>0.33088235294117646</v>
      </c>
      <c r="BA6">
        <f t="shared" si="5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0"/>
        <v>0</v>
      </c>
      <c r="AS7" s="19">
        <f t="shared" si="1"/>
        <v>0</v>
      </c>
      <c r="AT7" s="71">
        <f t="shared" si="3"/>
        <v>9</v>
      </c>
      <c r="AU7" s="50">
        <f t="shared" si="4"/>
        <v>450</v>
      </c>
      <c r="AV7" s="50">
        <f t="shared" si="2"/>
        <v>0</v>
      </c>
      <c r="AW7" s="50">
        <f t="shared" si="2"/>
        <v>0</v>
      </c>
      <c r="AX7" s="258"/>
      <c r="AY7" s="258"/>
      <c r="AZ7" s="53">
        <f t="shared" ref="AZ7:AZ26" si="6">AO7/BA7</f>
        <v>0.34722222222222221</v>
      </c>
      <c r="BA7">
        <f t="shared" si="5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7">COUNTIF($I$4:$P$94,AM8)</f>
        <v>0</v>
      </c>
      <c r="AR8" s="19">
        <f t="shared" si="0"/>
        <v>0</v>
      </c>
      <c r="AS8" s="19">
        <f t="shared" si="1"/>
        <v>0</v>
      </c>
      <c r="AT8" s="71">
        <f t="shared" si="3"/>
        <v>0</v>
      </c>
      <c r="AU8" s="50">
        <f t="shared" si="4"/>
        <v>0</v>
      </c>
      <c r="AV8" s="50">
        <f t="shared" si="2"/>
        <v>0</v>
      </c>
      <c r="AW8" s="50">
        <f t="shared" si="2"/>
        <v>0</v>
      </c>
      <c r="AX8" s="258"/>
      <c r="AY8" s="258"/>
      <c r="AZ8" s="53">
        <f t="shared" si="6"/>
        <v>0.36184210526315791</v>
      </c>
      <c r="BA8">
        <f t="shared" si="5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7"/>
        <v>0</v>
      </c>
      <c r="AR9" s="19">
        <f t="shared" si="0"/>
        <v>0</v>
      </c>
      <c r="AS9" s="19">
        <f t="shared" si="1"/>
        <v>0</v>
      </c>
      <c r="AT9" s="71">
        <f t="shared" si="3"/>
        <v>0</v>
      </c>
      <c r="AU9" s="50">
        <f t="shared" si="4"/>
        <v>0</v>
      </c>
      <c r="AV9" s="50">
        <f t="shared" si="2"/>
        <v>0</v>
      </c>
      <c r="AW9" s="50">
        <f t="shared" si="2"/>
        <v>0</v>
      </c>
      <c r="AZ9" s="53">
        <f t="shared" si="6"/>
        <v>0.375</v>
      </c>
      <c r="BA9">
        <f t="shared" si="5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>AN10-AO10/0.330882</f>
        <v>44.222109392472248</v>
      </c>
      <c r="AQ10" s="19">
        <f t="shared" si="7"/>
        <v>0</v>
      </c>
      <c r="AR10" s="19">
        <f t="shared" si="0"/>
        <v>0</v>
      </c>
      <c r="AS10" s="19">
        <f t="shared" si="1"/>
        <v>0</v>
      </c>
      <c r="AT10" s="19">
        <f t="shared" si="3"/>
        <v>0</v>
      </c>
      <c r="AU10" s="50">
        <f t="shared" si="4"/>
        <v>0</v>
      </c>
      <c r="AV10" s="50">
        <f t="shared" si="2"/>
        <v>0</v>
      </c>
      <c r="AW10" s="50">
        <f t="shared" si="2"/>
        <v>0</v>
      </c>
      <c r="AZ10" s="53">
        <f t="shared" si="6"/>
        <v>0.29166666666666669</v>
      </c>
      <c r="BA10">
        <f t="shared" si="5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 t="shared" si="7"/>
        <v>0</v>
      </c>
      <c r="AR11" s="19">
        <f t="shared" si="0"/>
        <v>2</v>
      </c>
      <c r="AS11" s="19">
        <f t="shared" si="1"/>
        <v>1</v>
      </c>
      <c r="AT11" s="19">
        <f t="shared" si="3"/>
        <v>3</v>
      </c>
      <c r="AU11" s="50">
        <f t="shared" si="4"/>
        <v>0</v>
      </c>
      <c r="AV11" s="50">
        <f t="shared" si="2"/>
        <v>80</v>
      </c>
      <c r="AW11" s="50">
        <f t="shared" si="2"/>
        <v>40</v>
      </c>
      <c r="AZ11" s="53">
        <f t="shared" si="6"/>
        <v>0.33333333333333331</v>
      </c>
      <c r="BA11">
        <f t="shared" si="5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>AN12-AO12/0.330882</f>
        <v>13.999854933178597</v>
      </c>
      <c r="AQ12" s="19">
        <f t="shared" si="7"/>
        <v>0</v>
      </c>
      <c r="AR12" s="19">
        <f t="shared" si="0"/>
        <v>1</v>
      </c>
      <c r="AS12" s="19">
        <f t="shared" si="1"/>
        <v>1</v>
      </c>
      <c r="AT12" s="19">
        <f t="shared" si="3"/>
        <v>2</v>
      </c>
      <c r="AU12" s="50">
        <f t="shared" si="4"/>
        <v>0</v>
      </c>
      <c r="AV12" s="50">
        <f t="shared" si="2"/>
        <v>45</v>
      </c>
      <c r="AW12" s="50">
        <f t="shared" si="2"/>
        <v>45</v>
      </c>
      <c r="AZ12" s="53">
        <f t="shared" si="6"/>
        <v>0.375</v>
      </c>
      <c r="BA12">
        <f t="shared" si="5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7"/>
        <v>0</v>
      </c>
      <c r="AR13" s="19">
        <f t="shared" si="0"/>
        <v>0</v>
      </c>
      <c r="AS13" s="19">
        <f t="shared" si="1"/>
        <v>0</v>
      </c>
      <c r="AT13" s="19">
        <f t="shared" si="3"/>
        <v>0</v>
      </c>
      <c r="AU13" s="50">
        <f t="shared" si="4"/>
        <v>0</v>
      </c>
      <c r="AV13" s="50">
        <f t="shared" si="2"/>
        <v>0</v>
      </c>
      <c r="AW13" s="50">
        <f t="shared" si="2"/>
        <v>0</v>
      </c>
      <c r="AZ13" s="53">
        <f t="shared" si="6"/>
        <v>0.41666666666666669</v>
      </c>
      <c r="BA13">
        <f t="shared" si="5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7"/>
        <v>0</v>
      </c>
      <c r="AR14" s="19">
        <f t="shared" si="0"/>
        <v>0</v>
      </c>
      <c r="AS14" s="19">
        <f t="shared" si="1"/>
        <v>0</v>
      </c>
      <c r="AT14" s="19">
        <f t="shared" si="3"/>
        <v>0</v>
      </c>
      <c r="AU14" s="50">
        <f t="shared" si="4"/>
        <v>0</v>
      </c>
      <c r="AV14" s="50">
        <f t="shared" si="2"/>
        <v>0</v>
      </c>
      <c r="AW14" s="50">
        <f t="shared" si="2"/>
        <v>0</v>
      </c>
      <c r="AZ14" s="53">
        <f t="shared" si="6"/>
        <v>0.45833333333333331</v>
      </c>
      <c r="BA14">
        <f t="shared" si="5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7"/>
        <v>0</v>
      </c>
      <c r="AR15" s="19">
        <f t="shared" si="0"/>
        <v>0</v>
      </c>
      <c r="AS15" s="19">
        <f t="shared" si="1"/>
        <v>0</v>
      </c>
      <c r="AT15" s="19">
        <f t="shared" si="3"/>
        <v>0</v>
      </c>
      <c r="AU15" s="50">
        <f t="shared" si="4"/>
        <v>0</v>
      </c>
      <c r="AV15" s="50">
        <f t="shared" si="2"/>
        <v>0</v>
      </c>
      <c r="AW15" s="50">
        <f t="shared" si="2"/>
        <v>0</v>
      </c>
      <c r="AZ15" s="53">
        <f t="shared" si="6"/>
        <v>0.5</v>
      </c>
      <c r="BA15">
        <f t="shared" si="5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>
        <f t="shared" si="7"/>
        <v>0</v>
      </c>
      <c r="AR16" s="19">
        <f t="shared" si="0"/>
        <v>1</v>
      </c>
      <c r="AS16" s="19">
        <f t="shared" si="1"/>
        <v>0</v>
      </c>
      <c r="AT16" s="19">
        <f t="shared" si="3"/>
        <v>1</v>
      </c>
      <c r="AU16" s="50">
        <f t="shared" si="4"/>
        <v>0</v>
      </c>
      <c r="AV16" s="50">
        <f t="shared" si="2"/>
        <v>35</v>
      </c>
      <c r="AW16" s="50">
        <f t="shared" si="2"/>
        <v>0</v>
      </c>
      <c r="AZ16" s="53">
        <f t="shared" si="6"/>
        <v>0.29166666666666669</v>
      </c>
      <c r="BA16">
        <f t="shared" si="5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7"/>
        <v>2</v>
      </c>
      <c r="AR17" s="19">
        <f t="shared" si="0"/>
        <v>0</v>
      </c>
      <c r="AS17" s="19">
        <f t="shared" si="1"/>
        <v>2</v>
      </c>
      <c r="AT17" s="19">
        <f t="shared" si="3"/>
        <v>4</v>
      </c>
      <c r="AU17" s="50">
        <f t="shared" si="4"/>
        <v>60</v>
      </c>
      <c r="AV17" s="50">
        <f t="shared" si="2"/>
        <v>0</v>
      </c>
      <c r="AW17" s="50">
        <f t="shared" si="2"/>
        <v>60</v>
      </c>
      <c r="AZ17" s="53">
        <f t="shared" si="6"/>
        <v>0.75</v>
      </c>
      <c r="BA17">
        <f t="shared" si="5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7"/>
        <v>1</v>
      </c>
      <c r="AR18" s="19">
        <f t="shared" si="0"/>
        <v>2</v>
      </c>
      <c r="AS18" s="19">
        <f t="shared" si="1"/>
        <v>1</v>
      </c>
      <c r="AT18" s="19">
        <f t="shared" si="3"/>
        <v>4</v>
      </c>
      <c r="AU18" s="50">
        <f t="shared" si="4"/>
        <v>0</v>
      </c>
      <c r="AV18" s="50">
        <f t="shared" si="2"/>
        <v>0</v>
      </c>
      <c r="AW18" s="50">
        <f t="shared" si="2"/>
        <v>0</v>
      </c>
      <c r="AZ18" s="53">
        <f t="shared" si="6"/>
        <v>0</v>
      </c>
      <c r="BA18">
        <f t="shared" si="5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7"/>
        <v>1</v>
      </c>
      <c r="AR19" s="19">
        <f t="shared" si="0"/>
        <v>1</v>
      </c>
      <c r="AS19" s="19">
        <f t="shared" si="1"/>
        <v>1</v>
      </c>
      <c r="AT19" s="19">
        <f t="shared" si="3"/>
        <v>3</v>
      </c>
      <c r="AU19" s="50">
        <f t="shared" si="4"/>
        <v>200</v>
      </c>
      <c r="AV19" s="50">
        <f t="shared" si="2"/>
        <v>200</v>
      </c>
      <c r="AW19" s="50">
        <f t="shared" si="2"/>
        <v>200</v>
      </c>
      <c r="AZ19" s="53">
        <f t="shared" si="6"/>
        <v>1</v>
      </c>
      <c r="BA19">
        <f t="shared" si="5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7"/>
        <v>1</v>
      </c>
      <c r="AR20" s="19">
        <f t="shared" si="0"/>
        <v>2</v>
      </c>
      <c r="AS20" s="19">
        <f t="shared" si="1"/>
        <v>2</v>
      </c>
      <c r="AT20" s="19">
        <f t="shared" si="3"/>
        <v>5</v>
      </c>
      <c r="AU20" s="50">
        <f t="shared" si="4"/>
        <v>45</v>
      </c>
      <c r="AV20" s="50">
        <f t="shared" si="4"/>
        <v>90</v>
      </c>
      <c r="AW20" s="50">
        <f t="shared" si="4"/>
        <v>90</v>
      </c>
      <c r="AZ20" s="53">
        <f t="shared" si="6"/>
        <v>0.33088235294117646</v>
      </c>
      <c r="BA20">
        <f t="shared" si="5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7"/>
        <v>0</v>
      </c>
      <c r="AR21" s="19">
        <f t="shared" si="0"/>
        <v>0</v>
      </c>
      <c r="AS21" s="19">
        <f t="shared" si="1"/>
        <v>0</v>
      </c>
      <c r="AT21" s="19">
        <f t="shared" si="3"/>
        <v>0</v>
      </c>
      <c r="AU21" s="50">
        <f t="shared" si="4"/>
        <v>0</v>
      </c>
      <c r="AV21" s="50">
        <f t="shared" si="4"/>
        <v>0</v>
      </c>
      <c r="AW21" s="50">
        <f t="shared" si="4"/>
        <v>0</v>
      </c>
      <c r="AZ21" s="53">
        <f t="shared" si="6"/>
        <v>1</v>
      </c>
      <c r="BA21">
        <f t="shared" si="5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7"/>
        <v>0</v>
      </c>
      <c r="AR22" s="19">
        <f t="shared" si="0"/>
        <v>0</v>
      </c>
      <c r="AS22" s="19">
        <f t="shared" si="1"/>
        <v>0</v>
      </c>
      <c r="AT22" s="19">
        <f t="shared" si="3"/>
        <v>0</v>
      </c>
      <c r="AU22" s="50">
        <f t="shared" si="4"/>
        <v>0</v>
      </c>
      <c r="AV22" s="50">
        <f t="shared" si="4"/>
        <v>0</v>
      </c>
      <c r="AW22" s="50">
        <f t="shared" si="4"/>
        <v>0</v>
      </c>
      <c r="AZ22" s="53">
        <f t="shared" si="6"/>
        <v>5</v>
      </c>
      <c r="BA22">
        <f t="shared" si="5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7"/>
        <v>0</v>
      </c>
      <c r="AR23" s="19">
        <f t="shared" si="0"/>
        <v>0</v>
      </c>
      <c r="AS23" s="19">
        <f t="shared" si="1"/>
        <v>0</v>
      </c>
      <c r="AT23" s="19">
        <f t="shared" si="3"/>
        <v>0</v>
      </c>
      <c r="AU23" s="50">
        <f t="shared" si="4"/>
        <v>0</v>
      </c>
      <c r="AV23" s="50">
        <f t="shared" si="4"/>
        <v>0</v>
      </c>
      <c r="AW23" s="50">
        <f t="shared" si="4"/>
        <v>0</v>
      </c>
      <c r="AZ23" s="53">
        <f t="shared" si="6"/>
        <v>2.5</v>
      </c>
      <c r="BA23">
        <f t="shared" si="5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>
        <f t="shared" si="7"/>
        <v>0</v>
      </c>
      <c r="AR24" s="19">
        <f t="shared" si="0"/>
        <v>0</v>
      </c>
      <c r="AS24" s="19">
        <f t="shared" si="1"/>
        <v>0</v>
      </c>
      <c r="AT24" s="19">
        <f t="shared" si="3"/>
        <v>0</v>
      </c>
      <c r="AU24" s="50">
        <f t="shared" si="4"/>
        <v>0</v>
      </c>
      <c r="AV24" s="50">
        <f t="shared" si="4"/>
        <v>0</v>
      </c>
      <c r="AW24" s="50">
        <f t="shared" si="4"/>
        <v>0</v>
      </c>
      <c r="AZ24" s="53">
        <f t="shared" si="6"/>
        <v>0.3125</v>
      </c>
      <c r="BA24">
        <f t="shared" si="5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>
        <f t="shared" si="7"/>
        <v>0</v>
      </c>
      <c r="AR25" s="19">
        <f t="shared" si="0"/>
        <v>0</v>
      </c>
      <c r="AS25" s="19">
        <f t="shared" si="1"/>
        <v>0</v>
      </c>
      <c r="AT25" s="19">
        <f t="shared" si="3"/>
        <v>0</v>
      </c>
      <c r="AU25" s="50">
        <f t="shared" si="4"/>
        <v>0</v>
      </c>
      <c r="AV25" s="50">
        <f t="shared" si="4"/>
        <v>0</v>
      </c>
      <c r="AW25" s="50">
        <f t="shared" si="4"/>
        <v>0</v>
      </c>
      <c r="AZ25" s="53">
        <f t="shared" si="6"/>
        <v>0.3125</v>
      </c>
      <c r="BA25">
        <f t="shared" si="5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>
        <f t="shared" si="7"/>
        <v>0</v>
      </c>
      <c r="AR26" s="19">
        <f t="shared" si="0"/>
        <v>0</v>
      </c>
      <c r="AS26" s="19">
        <f t="shared" si="1"/>
        <v>0</v>
      </c>
      <c r="AT26" s="19">
        <f t="shared" si="3"/>
        <v>0</v>
      </c>
      <c r="AU26" s="50">
        <f t="shared" si="4"/>
        <v>0</v>
      </c>
      <c r="AV26" s="50">
        <f t="shared" si="4"/>
        <v>0</v>
      </c>
      <c r="AW26" s="50">
        <f t="shared" si="4"/>
        <v>0</v>
      </c>
      <c r="AZ26" s="53">
        <f t="shared" si="6"/>
        <v>0.29166666666666669</v>
      </c>
      <c r="BA26">
        <f t="shared" si="5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50">
        <f t="shared" si="4"/>
        <v>0</v>
      </c>
      <c r="AV27" s="50">
        <f t="shared" si="4"/>
        <v>0</v>
      </c>
      <c r="AW27" s="50">
        <f t="shared" si="4"/>
        <v>0</v>
      </c>
      <c r="BA27">
        <f t="shared" si="5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4"/>
        <v>0</v>
      </c>
      <c r="AV28" s="50">
        <f t="shared" si="4"/>
        <v>0</v>
      </c>
      <c r="AW28" s="50">
        <f t="shared" si="4"/>
        <v>0</v>
      </c>
      <c r="BA28">
        <f t="shared" si="5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4"/>
        <v>0</v>
      </c>
      <c r="AV29" s="4">
        <f t="shared" si="4"/>
        <v>0</v>
      </c>
      <c r="AW29" s="4">
        <f t="shared" si="4"/>
        <v>0</v>
      </c>
      <c r="BA29">
        <f t="shared" si="5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59">
        <f ca="1">(_xlfn.DAYS(TODAY(),A4)+2)/((_xlfn.DAYS(A94,A4))+1)</f>
        <v>5.9890109890109891</v>
      </c>
      <c r="B1" s="260"/>
      <c r="C1" s="260"/>
      <c r="D1" s="260"/>
      <c r="E1" s="260"/>
      <c r="F1" s="260"/>
      <c r="G1" s="260"/>
      <c r="H1" s="261"/>
      <c r="I1" s="262" t="s">
        <v>37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42"/>
      <c r="AI1" s="42"/>
      <c r="AJ1" s="42"/>
      <c r="AM1" s="258" t="s">
        <v>42</v>
      </c>
      <c r="AN1" s="258"/>
      <c r="AO1" s="258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66" t="s">
        <v>35</v>
      </c>
      <c r="E2" s="267"/>
      <c r="F2" s="268">
        <f>SUM(F4:F94)+SUM(H4:H94)</f>
        <v>11730</v>
      </c>
      <c r="G2" s="268"/>
      <c r="H2" s="269"/>
      <c r="I2" s="279" t="s">
        <v>48</v>
      </c>
      <c r="J2" s="280"/>
      <c r="K2" s="140" t="s">
        <v>46</v>
      </c>
      <c r="L2" s="140">
        <f>COUNTIF(I4:P94,"&lt;&gt;空")</f>
        <v>35</v>
      </c>
      <c r="M2" s="280" t="s">
        <v>45</v>
      </c>
      <c r="N2" s="280"/>
      <c r="O2" s="280"/>
      <c r="P2" s="281"/>
      <c r="Q2" s="282" t="s">
        <v>49</v>
      </c>
      <c r="R2" s="283"/>
      <c r="S2" s="141" t="s">
        <v>46</v>
      </c>
      <c r="T2" s="141">
        <f>COUNTIF(Q4:X94,"&lt;&gt;空")</f>
        <v>42</v>
      </c>
      <c r="U2" s="283" t="s">
        <v>45</v>
      </c>
      <c r="V2" s="283"/>
      <c r="W2" s="283"/>
      <c r="X2" s="284"/>
      <c r="Y2" s="285" t="s">
        <v>33</v>
      </c>
      <c r="Z2" s="277"/>
      <c r="AA2" s="134" t="s">
        <v>44</v>
      </c>
      <c r="AB2" s="139">
        <f>COUNTIF(Y4:AF94,"&lt;&gt;空")</f>
        <v>16</v>
      </c>
      <c r="AC2" s="277" t="s">
        <v>45</v>
      </c>
      <c r="AD2" s="277"/>
      <c r="AE2" s="277"/>
      <c r="AF2" s="278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55" t="s">
        <v>29</v>
      </c>
      <c r="AL2" s="142">
        <f>L2+T2+AB2</f>
        <v>93</v>
      </c>
      <c r="AM2" s="265"/>
      <c r="AN2" s="265"/>
      <c r="AO2" s="265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5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COUNTIF($I$4:$P$94,AM4)</f>
        <v>5</v>
      </c>
      <c r="AR4" s="19">
        <f t="shared" ref="AR4:AR26" si="0">COUNTIF($Q$4:$X$94,AM4)</f>
        <v>2</v>
      </c>
      <c r="AS4" s="19">
        <f t="shared" ref="AS4:AS26" si="1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2">AR4*$AO4</f>
        <v>70</v>
      </c>
      <c r="AW4" s="50">
        <f t="shared" si="2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COUNTIF($I$4:$P$94,AM5)</f>
        <v>6</v>
      </c>
      <c r="AR5" s="19">
        <f t="shared" si="0"/>
        <v>13</v>
      </c>
      <c r="AS5" s="19">
        <f t="shared" si="1"/>
        <v>5</v>
      </c>
      <c r="AT5" s="19">
        <f t="shared" ref="AT5:AT26" si="3">AQ5+AR5+AS5</f>
        <v>24</v>
      </c>
      <c r="AU5" s="50">
        <f t="shared" ref="AU5:AW29" si="4">AQ5*$AO5</f>
        <v>240</v>
      </c>
      <c r="AV5" s="50">
        <f t="shared" si="2"/>
        <v>520</v>
      </c>
      <c r="AW5" s="50">
        <f t="shared" si="2"/>
        <v>200</v>
      </c>
      <c r="AX5" s="257" t="s">
        <v>34</v>
      </c>
      <c r="AY5" s="257"/>
      <c r="AZ5" s="53">
        <f>AO5/BA5</f>
        <v>0.3125</v>
      </c>
      <c r="BA5">
        <f t="shared" ref="BA5:BA29" si="5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>COUNTIF($I$4:$P$94,AM6)</f>
        <v>16</v>
      </c>
      <c r="AR6" s="19">
        <f t="shared" si="0"/>
        <v>18</v>
      </c>
      <c r="AS6" s="19">
        <f t="shared" si="1"/>
        <v>4</v>
      </c>
      <c r="AT6" s="19">
        <f t="shared" si="3"/>
        <v>38</v>
      </c>
      <c r="AU6" s="50">
        <f t="shared" si="4"/>
        <v>720</v>
      </c>
      <c r="AV6" s="50">
        <f t="shared" si="2"/>
        <v>810</v>
      </c>
      <c r="AW6" s="50">
        <f t="shared" si="2"/>
        <v>180</v>
      </c>
      <c r="AX6" s="258"/>
      <c r="AY6" s="258"/>
      <c r="AZ6" s="53">
        <f>AO6/BA6</f>
        <v>0.33088235294117646</v>
      </c>
      <c r="BA6">
        <f t="shared" si="5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0"/>
        <v>0</v>
      </c>
      <c r="AS7" s="19">
        <f t="shared" si="1"/>
        <v>2</v>
      </c>
      <c r="AT7" s="71">
        <f t="shared" si="3"/>
        <v>2</v>
      </c>
      <c r="AU7" s="50">
        <f t="shared" si="4"/>
        <v>0</v>
      </c>
      <c r="AV7" s="50">
        <f t="shared" si="2"/>
        <v>0</v>
      </c>
      <c r="AW7" s="50">
        <f t="shared" si="2"/>
        <v>100</v>
      </c>
      <c r="AX7" s="258"/>
      <c r="AY7" s="258"/>
      <c r="AZ7" s="53">
        <f t="shared" ref="AZ7:AZ26" si="6">AO7/BA7</f>
        <v>0.34722222222222221</v>
      </c>
      <c r="BA7">
        <f t="shared" si="5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7">COUNTIF($I$4:$P$94,AM8)</f>
        <v>0</v>
      </c>
      <c r="AR8" s="19">
        <f t="shared" si="0"/>
        <v>0</v>
      </c>
      <c r="AS8" s="19">
        <f t="shared" si="1"/>
        <v>0</v>
      </c>
      <c r="AT8" s="71">
        <f t="shared" si="3"/>
        <v>0</v>
      </c>
      <c r="AU8" s="50">
        <f t="shared" si="4"/>
        <v>0</v>
      </c>
      <c r="AV8" s="50">
        <f t="shared" si="2"/>
        <v>0</v>
      </c>
      <c r="AW8" s="50">
        <f t="shared" si="2"/>
        <v>0</v>
      </c>
      <c r="AX8" s="258"/>
      <c r="AY8" s="258"/>
      <c r="AZ8" s="53">
        <f t="shared" si="6"/>
        <v>0.36184210526315791</v>
      </c>
      <c r="BA8">
        <f t="shared" si="5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7"/>
        <v>0</v>
      </c>
      <c r="AR9" s="19">
        <f t="shared" si="0"/>
        <v>0</v>
      </c>
      <c r="AS9" s="19">
        <f t="shared" si="1"/>
        <v>0</v>
      </c>
      <c r="AT9" s="71">
        <f t="shared" si="3"/>
        <v>0</v>
      </c>
      <c r="AU9" s="50">
        <f t="shared" si="4"/>
        <v>0</v>
      </c>
      <c r="AV9" s="50">
        <f t="shared" si="2"/>
        <v>0</v>
      </c>
      <c r="AW9" s="50">
        <f t="shared" si="2"/>
        <v>0</v>
      </c>
      <c r="AZ9" s="53">
        <f t="shared" si="6"/>
        <v>0.375</v>
      </c>
      <c r="BA9">
        <f t="shared" si="5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>AN10-AO10/0.330882</f>
        <v>44.222109392472248</v>
      </c>
      <c r="AQ10" s="19">
        <f t="shared" si="7"/>
        <v>0</v>
      </c>
      <c r="AR10" s="19">
        <f t="shared" si="0"/>
        <v>0</v>
      </c>
      <c r="AS10" s="19">
        <f t="shared" si="1"/>
        <v>0</v>
      </c>
      <c r="AT10" s="19">
        <f t="shared" si="3"/>
        <v>0</v>
      </c>
      <c r="AU10" s="50">
        <f t="shared" si="4"/>
        <v>0</v>
      </c>
      <c r="AV10" s="50">
        <f t="shared" si="2"/>
        <v>0</v>
      </c>
      <c r="AW10" s="50">
        <f t="shared" si="2"/>
        <v>0</v>
      </c>
      <c r="AZ10" s="53">
        <f t="shared" si="6"/>
        <v>0.29166666666666669</v>
      </c>
      <c r="BA10">
        <f t="shared" si="5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 t="shared" si="7"/>
        <v>1</v>
      </c>
      <c r="AR11" s="19">
        <f t="shared" si="0"/>
        <v>2</v>
      </c>
      <c r="AS11" s="19">
        <f t="shared" si="1"/>
        <v>0</v>
      </c>
      <c r="AT11" s="19">
        <f t="shared" si="3"/>
        <v>3</v>
      </c>
      <c r="AU11" s="50">
        <f t="shared" si="4"/>
        <v>40</v>
      </c>
      <c r="AV11" s="50">
        <f t="shared" si="2"/>
        <v>80</v>
      </c>
      <c r="AW11" s="50">
        <f t="shared" si="2"/>
        <v>0</v>
      </c>
      <c r="AZ11" s="53">
        <f t="shared" si="6"/>
        <v>0.33333333333333331</v>
      </c>
      <c r="BA11">
        <f t="shared" si="5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>AN12-AO12/0.330882</f>
        <v>13.999854933178597</v>
      </c>
      <c r="AQ12" s="19">
        <f t="shared" si="7"/>
        <v>1</v>
      </c>
      <c r="AR12" s="19">
        <f t="shared" si="0"/>
        <v>1</v>
      </c>
      <c r="AS12" s="19">
        <f t="shared" si="1"/>
        <v>0</v>
      </c>
      <c r="AT12" s="19">
        <f t="shared" si="3"/>
        <v>2</v>
      </c>
      <c r="AU12" s="50">
        <f t="shared" si="4"/>
        <v>45</v>
      </c>
      <c r="AV12" s="50">
        <f t="shared" si="2"/>
        <v>45</v>
      </c>
      <c r="AW12" s="50">
        <f t="shared" si="2"/>
        <v>0</v>
      </c>
      <c r="AZ12" s="53">
        <f t="shared" si="6"/>
        <v>0.375</v>
      </c>
      <c r="BA12">
        <f t="shared" si="5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7"/>
        <v>0</v>
      </c>
      <c r="AR13" s="19">
        <f t="shared" si="0"/>
        <v>0</v>
      </c>
      <c r="AS13" s="19">
        <f t="shared" si="1"/>
        <v>0</v>
      </c>
      <c r="AT13" s="19">
        <f t="shared" si="3"/>
        <v>0</v>
      </c>
      <c r="AU13" s="50">
        <f t="shared" si="4"/>
        <v>0</v>
      </c>
      <c r="AV13" s="50">
        <f t="shared" si="2"/>
        <v>0</v>
      </c>
      <c r="AW13" s="50">
        <f t="shared" si="2"/>
        <v>0</v>
      </c>
      <c r="AZ13" s="53">
        <f t="shared" si="6"/>
        <v>0.41666666666666669</v>
      </c>
      <c r="BA13">
        <f t="shared" si="5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7"/>
        <v>0</v>
      </c>
      <c r="AR14" s="19">
        <f t="shared" si="0"/>
        <v>0</v>
      </c>
      <c r="AS14" s="19">
        <f t="shared" si="1"/>
        <v>0</v>
      </c>
      <c r="AT14" s="19">
        <f t="shared" si="3"/>
        <v>0</v>
      </c>
      <c r="AU14" s="50">
        <f t="shared" si="4"/>
        <v>0</v>
      </c>
      <c r="AV14" s="50">
        <f t="shared" si="2"/>
        <v>0</v>
      </c>
      <c r="AW14" s="50">
        <f t="shared" si="2"/>
        <v>0</v>
      </c>
      <c r="AZ14" s="53">
        <f t="shared" si="6"/>
        <v>0.45833333333333331</v>
      </c>
      <c r="BA14">
        <f t="shared" si="5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7"/>
        <v>0</v>
      </c>
      <c r="AR15" s="19">
        <f t="shared" si="0"/>
        <v>0</v>
      </c>
      <c r="AS15" s="19">
        <f t="shared" si="1"/>
        <v>0</v>
      </c>
      <c r="AT15" s="19">
        <f t="shared" si="3"/>
        <v>0</v>
      </c>
      <c r="AU15" s="50">
        <f t="shared" si="4"/>
        <v>0</v>
      </c>
      <c r="AV15" s="50">
        <f t="shared" si="2"/>
        <v>0</v>
      </c>
      <c r="AW15" s="50">
        <f t="shared" si="2"/>
        <v>0</v>
      </c>
      <c r="AZ15" s="53">
        <f t="shared" si="6"/>
        <v>0.5</v>
      </c>
      <c r="BA15">
        <f t="shared" si="5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>
        <f t="shared" si="7"/>
        <v>0</v>
      </c>
      <c r="AR16" s="19">
        <f t="shared" si="0"/>
        <v>1</v>
      </c>
      <c r="AS16" s="19">
        <f t="shared" si="1"/>
        <v>1</v>
      </c>
      <c r="AT16" s="19">
        <f t="shared" si="3"/>
        <v>2</v>
      </c>
      <c r="AU16" s="50">
        <f t="shared" si="4"/>
        <v>0</v>
      </c>
      <c r="AV16" s="50">
        <f t="shared" si="2"/>
        <v>35</v>
      </c>
      <c r="AW16" s="50">
        <f t="shared" si="2"/>
        <v>35</v>
      </c>
      <c r="AZ16" s="53">
        <f t="shared" si="6"/>
        <v>0.29166666666666669</v>
      </c>
      <c r="BA16">
        <f t="shared" si="5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7"/>
        <v>3</v>
      </c>
      <c r="AR17" s="19">
        <f t="shared" si="0"/>
        <v>0</v>
      </c>
      <c r="AS17" s="19">
        <f t="shared" si="1"/>
        <v>0</v>
      </c>
      <c r="AT17" s="19">
        <f t="shared" si="3"/>
        <v>3</v>
      </c>
      <c r="AU17" s="50">
        <f t="shared" si="4"/>
        <v>90</v>
      </c>
      <c r="AV17" s="50">
        <f t="shared" si="2"/>
        <v>0</v>
      </c>
      <c r="AW17" s="50">
        <f t="shared" si="2"/>
        <v>0</v>
      </c>
      <c r="AZ17" s="53">
        <f t="shared" si="6"/>
        <v>0.75</v>
      </c>
      <c r="BA17">
        <f t="shared" si="5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7"/>
        <v>0</v>
      </c>
      <c r="AR18" s="19">
        <f t="shared" si="0"/>
        <v>2</v>
      </c>
      <c r="AS18" s="19">
        <f t="shared" si="1"/>
        <v>1</v>
      </c>
      <c r="AT18" s="19">
        <f t="shared" si="3"/>
        <v>3</v>
      </c>
      <c r="AU18" s="50">
        <f t="shared" si="4"/>
        <v>0</v>
      </c>
      <c r="AV18" s="50">
        <f t="shared" si="2"/>
        <v>0</v>
      </c>
      <c r="AW18" s="50">
        <f t="shared" si="2"/>
        <v>0</v>
      </c>
      <c r="AZ18" s="53">
        <f t="shared" si="6"/>
        <v>0</v>
      </c>
      <c r="BA18">
        <f t="shared" si="5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7"/>
        <v>1</v>
      </c>
      <c r="AR19" s="19">
        <f t="shared" si="0"/>
        <v>1</v>
      </c>
      <c r="AS19" s="19">
        <f t="shared" si="1"/>
        <v>1</v>
      </c>
      <c r="AT19" s="19">
        <f t="shared" si="3"/>
        <v>3</v>
      </c>
      <c r="AU19" s="50">
        <f t="shared" si="4"/>
        <v>200</v>
      </c>
      <c r="AV19" s="50">
        <f t="shared" si="2"/>
        <v>200</v>
      </c>
      <c r="AW19" s="50">
        <f t="shared" si="2"/>
        <v>200</v>
      </c>
      <c r="AZ19" s="53">
        <f t="shared" si="6"/>
        <v>1</v>
      </c>
      <c r="BA19">
        <f t="shared" si="5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7"/>
        <v>2</v>
      </c>
      <c r="AR20" s="19">
        <f t="shared" si="0"/>
        <v>2</v>
      </c>
      <c r="AS20" s="19">
        <f t="shared" si="1"/>
        <v>1</v>
      </c>
      <c r="AT20" s="19">
        <f t="shared" si="3"/>
        <v>5</v>
      </c>
      <c r="AU20" s="50">
        <f t="shared" si="4"/>
        <v>90</v>
      </c>
      <c r="AV20" s="50">
        <f t="shared" si="4"/>
        <v>90</v>
      </c>
      <c r="AW20" s="50">
        <f t="shared" si="4"/>
        <v>45</v>
      </c>
      <c r="AZ20" s="53">
        <f t="shared" si="6"/>
        <v>0.33088235294117646</v>
      </c>
      <c r="BA20">
        <f t="shared" si="5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7"/>
        <v>0</v>
      </c>
      <c r="AR21" s="19">
        <f t="shared" si="0"/>
        <v>0</v>
      </c>
      <c r="AS21" s="19">
        <f t="shared" si="1"/>
        <v>0</v>
      </c>
      <c r="AT21" s="19">
        <f t="shared" si="3"/>
        <v>0</v>
      </c>
      <c r="AU21" s="50">
        <f t="shared" si="4"/>
        <v>0</v>
      </c>
      <c r="AV21" s="50">
        <f t="shared" si="4"/>
        <v>0</v>
      </c>
      <c r="AW21" s="50">
        <f t="shared" si="4"/>
        <v>0</v>
      </c>
      <c r="AZ21" s="53">
        <f t="shared" si="6"/>
        <v>1</v>
      </c>
      <c r="BA21">
        <f t="shared" si="5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7"/>
        <v>0</v>
      </c>
      <c r="AR22" s="19">
        <f t="shared" si="0"/>
        <v>0</v>
      </c>
      <c r="AS22" s="19">
        <f t="shared" si="1"/>
        <v>0</v>
      </c>
      <c r="AT22" s="19">
        <f t="shared" si="3"/>
        <v>0</v>
      </c>
      <c r="AU22" s="50">
        <f t="shared" si="4"/>
        <v>0</v>
      </c>
      <c r="AV22" s="50">
        <f t="shared" si="4"/>
        <v>0</v>
      </c>
      <c r="AW22" s="50">
        <f t="shared" si="4"/>
        <v>0</v>
      </c>
      <c r="AZ22" s="53">
        <f t="shared" si="6"/>
        <v>5</v>
      </c>
      <c r="BA22">
        <f t="shared" si="5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7"/>
        <v>0</v>
      </c>
      <c r="AR23" s="19">
        <f t="shared" si="0"/>
        <v>0</v>
      </c>
      <c r="AS23" s="19">
        <f t="shared" si="1"/>
        <v>0</v>
      </c>
      <c r="AT23" s="19">
        <f t="shared" si="3"/>
        <v>0</v>
      </c>
      <c r="AU23" s="50">
        <f t="shared" si="4"/>
        <v>0</v>
      </c>
      <c r="AV23" s="50">
        <f t="shared" si="4"/>
        <v>0</v>
      </c>
      <c r="AW23" s="50">
        <f t="shared" si="4"/>
        <v>0</v>
      </c>
      <c r="AZ23" s="53">
        <f t="shared" si="6"/>
        <v>2.5</v>
      </c>
      <c r="BA23">
        <f t="shared" si="5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>
        <f t="shared" si="7"/>
        <v>0</v>
      </c>
      <c r="AR24" s="19">
        <f t="shared" si="0"/>
        <v>0</v>
      </c>
      <c r="AS24" s="19">
        <f t="shared" si="1"/>
        <v>0</v>
      </c>
      <c r="AT24" s="19">
        <f t="shared" si="3"/>
        <v>0</v>
      </c>
      <c r="AU24" s="50">
        <f t="shared" si="4"/>
        <v>0</v>
      </c>
      <c r="AV24" s="50">
        <f t="shared" si="4"/>
        <v>0</v>
      </c>
      <c r="AW24" s="50">
        <f t="shared" si="4"/>
        <v>0</v>
      </c>
      <c r="AZ24" s="53">
        <f t="shared" si="6"/>
        <v>0.3125</v>
      </c>
      <c r="BA24">
        <f t="shared" si="5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>
        <f t="shared" si="7"/>
        <v>0</v>
      </c>
      <c r="AR25" s="19">
        <f t="shared" si="0"/>
        <v>0</v>
      </c>
      <c r="AS25" s="19">
        <f t="shared" si="1"/>
        <v>0</v>
      </c>
      <c r="AT25" s="19">
        <f t="shared" si="3"/>
        <v>0</v>
      </c>
      <c r="AU25" s="50">
        <f t="shared" si="4"/>
        <v>0</v>
      </c>
      <c r="AV25" s="50">
        <f t="shared" si="4"/>
        <v>0</v>
      </c>
      <c r="AW25" s="50">
        <f t="shared" si="4"/>
        <v>0</v>
      </c>
      <c r="AZ25" s="53">
        <f t="shared" si="6"/>
        <v>0.3125</v>
      </c>
      <c r="BA25">
        <f t="shared" si="5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>
        <f t="shared" si="7"/>
        <v>0</v>
      </c>
      <c r="AR26" s="19">
        <f t="shared" si="0"/>
        <v>0</v>
      </c>
      <c r="AS26" s="19">
        <f t="shared" si="1"/>
        <v>0</v>
      </c>
      <c r="AT26" s="19">
        <f t="shared" si="3"/>
        <v>0</v>
      </c>
      <c r="AU26" s="50">
        <f t="shared" si="4"/>
        <v>0</v>
      </c>
      <c r="AV26" s="50">
        <f t="shared" si="4"/>
        <v>0</v>
      </c>
      <c r="AW26" s="50">
        <f t="shared" si="4"/>
        <v>0</v>
      </c>
      <c r="AZ26" s="53">
        <f t="shared" si="6"/>
        <v>0.29166666666666669</v>
      </c>
      <c r="BA26">
        <f t="shared" si="5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50">
        <f t="shared" si="4"/>
        <v>0</v>
      </c>
      <c r="AV27" s="50">
        <f t="shared" si="4"/>
        <v>0</v>
      </c>
      <c r="AW27" s="50">
        <f t="shared" si="4"/>
        <v>0</v>
      </c>
      <c r="BA27">
        <f t="shared" si="5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4"/>
        <v>0</v>
      </c>
      <c r="AV28" s="50">
        <f t="shared" si="4"/>
        <v>0</v>
      </c>
      <c r="AW28" s="50">
        <f t="shared" si="4"/>
        <v>0</v>
      </c>
      <c r="BA28">
        <f t="shared" si="5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4"/>
        <v>0</v>
      </c>
      <c r="AV29" s="4">
        <f t="shared" si="4"/>
        <v>0</v>
      </c>
      <c r="AW29" s="4">
        <f t="shared" si="4"/>
        <v>520</v>
      </c>
      <c r="BA29">
        <f t="shared" si="5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E24A-6CD8-48F0-BF95-809C0C60323E}">
  <dimension ref="A1:BC99"/>
  <sheetViews>
    <sheetView zoomScale="85" zoomScaleNormal="85" workbookViewId="0">
      <pane xSplit="8" ySplit="3" topLeftCell="I82" activePane="bottomRight" state="frozen"/>
      <selection pane="topRight" activeCell="I1" sqref="I1"/>
      <selection pane="bottomLeft" activeCell="A4" sqref="A4"/>
      <selection pane="bottomRight" activeCell="M101" sqref="M101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59">
        <f ca="1">(_xlfn.DAYS(TODAY(),A4)+2)/((_xlfn.DAYS(A97,A4))+1)</f>
        <v>1</v>
      </c>
      <c r="B1" s="260"/>
      <c r="C1" s="260"/>
      <c r="D1" s="260"/>
      <c r="E1" s="260"/>
      <c r="F1" s="260"/>
      <c r="G1" s="260"/>
      <c r="H1" s="261"/>
      <c r="I1" s="262" t="s">
        <v>37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42"/>
      <c r="AI1" s="42"/>
      <c r="AJ1" s="42"/>
      <c r="AM1" s="258" t="s">
        <v>42</v>
      </c>
      <c r="AN1" s="258"/>
      <c r="AO1" s="258"/>
      <c r="AP1" s="174"/>
      <c r="AQ1" s="174"/>
      <c r="AT1" t="s">
        <v>82</v>
      </c>
      <c r="AU1">
        <f>SUM(D4:D97)+150*AU20+160*AU30</f>
        <v>151702</v>
      </c>
    </row>
    <row r="2" spans="1:55" ht="16.149999999999999" customHeight="1" thickBot="1">
      <c r="A2" t="s">
        <v>104</v>
      </c>
      <c r="B2" s="120" t="s">
        <v>84</v>
      </c>
      <c r="C2" s="119" cm="1">
        <f t="array" ref="C2">SUM(VLOOKUP(I4:P12,$AM$4:$AP$46,4,FALSE))+SUM(VLOOKUP(Q4:AF12,$AM$4:$AP$46,4,FALSE))+SUM(AG4:AG12)*10</f>
        <v>3033.9973887972146</v>
      </c>
      <c r="D2" s="266" t="s">
        <v>35</v>
      </c>
      <c r="E2" s="267"/>
      <c r="F2" s="268">
        <f>SUM(F4:F97)+SUM(H4:H97)</f>
        <v>64845</v>
      </c>
      <c r="G2" s="268"/>
      <c r="H2" s="269"/>
      <c r="I2" s="286" t="s">
        <v>48</v>
      </c>
      <c r="J2" s="287"/>
      <c r="K2" s="177" t="s">
        <v>46</v>
      </c>
      <c r="L2" s="177">
        <f>COUNTIF(I4:P97,"&lt;&gt;空")</f>
        <v>24</v>
      </c>
      <c r="M2" s="287" t="s">
        <v>45</v>
      </c>
      <c r="N2" s="287"/>
      <c r="O2" s="287"/>
      <c r="P2" s="288"/>
      <c r="Q2" s="279" t="s">
        <v>49</v>
      </c>
      <c r="R2" s="280"/>
      <c r="S2" s="175" t="s">
        <v>46</v>
      </c>
      <c r="T2" s="175">
        <f>COUNTIF(Q4:X97,"&lt;&gt;空")</f>
        <v>517</v>
      </c>
      <c r="U2" s="280" t="s">
        <v>45</v>
      </c>
      <c r="V2" s="280"/>
      <c r="W2" s="280"/>
      <c r="X2" s="281"/>
      <c r="Y2" s="282" t="s">
        <v>33</v>
      </c>
      <c r="Z2" s="283"/>
      <c r="AA2" s="153" t="s">
        <v>44</v>
      </c>
      <c r="AB2" s="176">
        <f>COUNTIF(Y4:AF97,"&lt;&gt;空")</f>
        <v>521</v>
      </c>
      <c r="AC2" s="283" t="s">
        <v>45</v>
      </c>
      <c r="AD2" s="283"/>
      <c r="AE2" s="283"/>
      <c r="AF2" s="284"/>
      <c r="AG2" s="41">
        <f>SUM(AG4:AG97)</f>
        <v>11</v>
      </c>
      <c r="AH2" s="41">
        <f>SUM(AH4:AH97)</f>
        <v>0</v>
      </c>
      <c r="AI2" s="41">
        <f>SUM(AI4:AI97)</f>
        <v>10</v>
      </c>
      <c r="AJ2" s="41">
        <f>SUM(AJ4:AJ97)</f>
        <v>1</v>
      </c>
      <c r="AK2" s="255" t="s">
        <v>29</v>
      </c>
      <c r="AM2" s="265"/>
      <c r="AN2" s="265"/>
      <c r="AO2" s="265"/>
      <c r="AP2" s="117"/>
      <c r="AQ2" s="117"/>
      <c r="AT2" t="s">
        <v>60</v>
      </c>
      <c r="AU2">
        <f>SUM(AU4:AU31)</f>
        <v>1062</v>
      </c>
      <c r="AW2" t="s">
        <v>61</v>
      </c>
      <c r="AX2" s="4">
        <f>SUM(AV4:AX31)+7000</f>
        <v>64845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5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4">
        <v>45093</v>
      </c>
      <c r="B4" s="89">
        <v>800</v>
      </c>
      <c r="C4" s="89">
        <v>4800</v>
      </c>
      <c r="D4" s="89" cm="1">
        <f t="array" ref="D4">(SUM(VLOOKUP(I4:AF4,$AM$4:$AO$46,2,FALSE))+AG4*10)*IF(AK4="是",$AZ$4,$AZ$3)</f>
        <v>1850</v>
      </c>
      <c r="E4" s="89">
        <f>SUM($B$4:B4)+SUM($C$4:C4)-SUM($D$4:D4)</f>
        <v>3750</v>
      </c>
      <c r="F4" s="89" cm="1">
        <f t="array" ref="F4">SUM(VLOOKUP(I4:AF4,$AM$4:$AO$46,3,FALSE))</f>
        <v>450</v>
      </c>
      <c r="G4" s="89">
        <f>SUM($F$4:F4)+SUM($H$4:H4)</f>
        <v>550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95" t="s">
        <v>16</v>
      </c>
      <c r="S4" s="95" t="s">
        <v>16</v>
      </c>
      <c r="T4" s="88" t="s">
        <v>23</v>
      </c>
      <c r="U4" s="88" t="s">
        <v>23</v>
      </c>
      <c r="V4" s="88" t="s">
        <v>23</v>
      </c>
      <c r="W4" s="92" t="s">
        <v>23</v>
      </c>
      <c r="X4" s="92" t="s">
        <v>23</v>
      </c>
      <c r="Y4" s="205" t="s">
        <v>12</v>
      </c>
      <c r="Z4" s="95" t="s">
        <v>16</v>
      </c>
      <c r="AA4" s="95" t="s">
        <v>16</v>
      </c>
      <c r="AB4" s="95" t="s">
        <v>16</v>
      </c>
      <c r="AC4" s="95" t="s">
        <v>16</v>
      </c>
      <c r="AD4" s="95" t="s">
        <v>16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206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3" si="0">COUNTIF($I$4:$P$97,AM4)</f>
        <v>8</v>
      </c>
      <c r="AS4" s="19">
        <f t="shared" ref="AS4:AS13" si="1">COUNTIF($Q$4:$X$97,AM4)</f>
        <v>5</v>
      </c>
      <c r="AT4" s="19">
        <f t="shared" ref="AT4:AT13" si="2">COUNTIF($Y$4:$AF$97,AM4)</f>
        <v>7</v>
      </c>
      <c r="AU4" s="19">
        <f>AR4+AS4+AT4</f>
        <v>20</v>
      </c>
      <c r="AV4" s="50">
        <f>AR4*$AO4</f>
        <v>280</v>
      </c>
      <c r="AW4" s="50">
        <f t="shared" ref="AW4:AX21" si="3">AS4*$AO4</f>
        <v>175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45094</v>
      </c>
      <c r="B5" s="89">
        <v>1600</v>
      </c>
      <c r="C5" s="89">
        <v>1200</v>
      </c>
      <c r="D5" s="89" cm="1">
        <f t="array" ref="D5">(SUM(VLOOKUP(I5:AF5,$AM$4:$AO$46,2,FALSE))+AG5*10)*IF(AK5="是",$AZ$4,$AZ$3)</f>
        <v>850</v>
      </c>
      <c r="E5" s="89">
        <f>SUM($B$4:B5)+SUM($C$4:C5)-SUM($D$4:D5)</f>
        <v>5700</v>
      </c>
      <c r="F5" s="89" cm="1">
        <f t="array" ref="F5">SUM(VLOOKUP(I5:AF5,$AM$4:$AO$46,3,FALSE))</f>
        <v>230</v>
      </c>
      <c r="G5" s="89">
        <f>SUM($F$4:F5)+SUM($H$4:H5)</f>
        <v>1180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04" t="s">
        <v>17</v>
      </c>
      <c r="AA5" s="205" t="s">
        <v>12</v>
      </c>
      <c r="AB5" s="104" t="s">
        <v>17</v>
      </c>
      <c r="AC5" s="104" t="s">
        <v>17</v>
      </c>
      <c r="AD5" s="104" t="s">
        <v>17</v>
      </c>
      <c r="AE5" s="92" t="s">
        <v>23</v>
      </c>
      <c r="AF5" s="92" t="s">
        <v>23</v>
      </c>
      <c r="AG5" s="93">
        <f t="shared" ref="AG5:AG70" si="4">AH5+AI5+AJ5</f>
        <v>0</v>
      </c>
      <c r="AH5" s="93"/>
      <c r="AI5" s="93"/>
      <c r="AJ5" s="93"/>
      <c r="AK5" s="206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6</v>
      </c>
      <c r="AT5" s="19">
        <f t="shared" si="2"/>
        <v>17</v>
      </c>
      <c r="AU5" s="19">
        <f t="shared" ref="AU5:AU28" si="5">AR5+AS5+AT5</f>
        <v>29</v>
      </c>
      <c r="AV5" s="50">
        <f t="shared" ref="AV5:AX31" si="6">AR5*$AO5</f>
        <v>240</v>
      </c>
      <c r="AW5" s="50">
        <f t="shared" si="3"/>
        <v>240</v>
      </c>
      <c r="AX5" s="50">
        <f t="shared" si="3"/>
        <v>680</v>
      </c>
      <c r="AY5" s="257" t="s">
        <v>34</v>
      </c>
      <c r="AZ5" s="257"/>
      <c r="BA5" s="53">
        <f>AO5/BB5</f>
        <v>0.3125</v>
      </c>
      <c r="BB5">
        <f t="shared" ref="BB5:BB31" si="7">AN5*0.8</f>
        <v>128</v>
      </c>
      <c r="BC5">
        <v>40</v>
      </c>
    </row>
    <row r="6" spans="1:55">
      <c r="A6" s="204">
        <v>45095</v>
      </c>
      <c r="B6" s="89">
        <v>1600</v>
      </c>
      <c r="C6" s="89"/>
      <c r="D6" s="89" cm="1">
        <f t="array" ref="D6">(SUM(VLOOKUP(I6:AF6,$AM$4:$AO$46,2,FALSE))+AG6*10)*IF(AK6="是",$AZ$4,$AZ$3)</f>
        <v>860</v>
      </c>
      <c r="E6" s="89">
        <f>SUM($B$4:B6)+SUM($C$4:C6)-SUM($D$4:D6)</f>
        <v>6440</v>
      </c>
      <c r="F6" s="89" cm="1">
        <f t="array" ref="F6">SUM(VLOOKUP(I6:AF6,$AM$4:$AO$46,3,FALSE))</f>
        <v>240</v>
      </c>
      <c r="G6" s="89">
        <f>SUM($F$4:F6)+SUM($H$4:H6)</f>
        <v>1420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04" t="s">
        <v>17</v>
      </c>
      <c r="Z6" s="104" t="s">
        <v>17</v>
      </c>
      <c r="AA6" s="170" t="s">
        <v>6</v>
      </c>
      <c r="AB6" s="169" t="s">
        <v>18</v>
      </c>
      <c r="AC6" s="169" t="s">
        <v>18</v>
      </c>
      <c r="AD6" s="205" t="s">
        <v>12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206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6</v>
      </c>
      <c r="AS6" s="19">
        <f t="shared" si="1"/>
        <v>177</v>
      </c>
      <c r="AT6" s="19">
        <f t="shared" si="2"/>
        <v>48</v>
      </c>
      <c r="AU6" s="19">
        <f t="shared" si="5"/>
        <v>231</v>
      </c>
      <c r="AV6" s="50">
        <f t="shared" si="6"/>
        <v>270</v>
      </c>
      <c r="AW6" s="50">
        <f t="shared" si="3"/>
        <v>7965</v>
      </c>
      <c r="AX6" s="50">
        <f t="shared" si="3"/>
        <v>2160</v>
      </c>
      <c r="AY6" s="258"/>
      <c r="AZ6" s="258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204">
        <v>45096</v>
      </c>
      <c r="B7" s="88">
        <v>1600</v>
      </c>
      <c r="C7" s="88">
        <v>50</v>
      </c>
      <c r="D7" s="89" cm="1">
        <f t="array" ref="D7">(SUM(VLOOKUP(I7:AF7,$AM$4:$AO$46,2,FALSE))+AG7*10)*IF(AK7="是",$AZ$4,$AZ$3)</f>
        <v>1920</v>
      </c>
      <c r="E7" s="89">
        <f>SUM($B$4:B7)+SUM($C$4:C7)-SUM($D$4:D7)</f>
        <v>6170</v>
      </c>
      <c r="F7" s="89" cm="1">
        <f t="array" ref="F7">SUM(VLOOKUP(I7:AF7,$AM$4:$AO$46,3,FALSE))</f>
        <v>525</v>
      </c>
      <c r="G7" s="89">
        <f>SUM($F$4:F7)+SUM($H$4:H7)</f>
        <v>2245</v>
      </c>
      <c r="H7" s="88">
        <v>300</v>
      </c>
      <c r="I7" s="88" t="s">
        <v>23</v>
      </c>
      <c r="J7" s="88" t="s">
        <v>23</v>
      </c>
      <c r="K7" s="88" t="s">
        <v>23</v>
      </c>
      <c r="L7" s="88" t="s">
        <v>23</v>
      </c>
      <c r="M7" s="88" t="s">
        <v>23</v>
      </c>
      <c r="N7" s="88" t="s">
        <v>23</v>
      </c>
      <c r="O7" s="92" t="s">
        <v>23</v>
      </c>
      <c r="P7" s="92" t="s">
        <v>23</v>
      </c>
      <c r="Q7" s="169" t="s">
        <v>18</v>
      </c>
      <c r="R7" s="169" t="s">
        <v>18</v>
      </c>
      <c r="S7" s="205" t="s">
        <v>12</v>
      </c>
      <c r="T7" s="169" t="s">
        <v>18</v>
      </c>
      <c r="U7" s="169" t="s">
        <v>18</v>
      </c>
      <c r="V7" s="169" t="s">
        <v>18</v>
      </c>
      <c r="W7" s="92" t="s">
        <v>23</v>
      </c>
      <c r="X7" s="92" t="s">
        <v>23</v>
      </c>
      <c r="Y7" s="169" t="s">
        <v>18</v>
      </c>
      <c r="Z7" s="169" t="s">
        <v>18</v>
      </c>
      <c r="AA7" s="98" t="s">
        <v>89</v>
      </c>
      <c r="AB7" s="169" t="s">
        <v>18</v>
      </c>
      <c r="AC7" s="169" t="s">
        <v>18</v>
      </c>
      <c r="AD7" s="169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206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48</v>
      </c>
      <c r="AT7" s="19">
        <f t="shared" si="2"/>
        <v>219</v>
      </c>
      <c r="AU7" s="143">
        <f t="shared" si="5"/>
        <v>267</v>
      </c>
      <c r="AV7" s="50">
        <f t="shared" si="6"/>
        <v>0</v>
      </c>
      <c r="AW7" s="50">
        <f t="shared" si="3"/>
        <v>2400</v>
      </c>
      <c r="AX7" s="50">
        <f t="shared" si="3"/>
        <v>10950</v>
      </c>
      <c r="AY7" s="258"/>
      <c r="AZ7" s="258"/>
      <c r="BA7" s="53">
        <f t="shared" ref="BA7:BA28" si="8">AO7/BB7</f>
        <v>0.34722222222222221</v>
      </c>
      <c r="BB7">
        <f t="shared" si="7"/>
        <v>144</v>
      </c>
      <c r="BC7">
        <v>266</v>
      </c>
    </row>
    <row r="8" spans="1:55">
      <c r="A8" s="204">
        <v>45097</v>
      </c>
      <c r="B8" s="88">
        <v>1600</v>
      </c>
      <c r="C8" s="88"/>
      <c r="D8" s="89" cm="1">
        <f t="array" ref="D8">(SUM(VLOOKUP(I8:AF8,$AM$4:$AO$46,2,FALSE))+AG8*10)*IF(AK8="是",$AZ$4,$AZ$3)</f>
        <v>2090</v>
      </c>
      <c r="E8" s="89">
        <f>SUM($B$4:B8)+SUM($C$4:C8)-SUM($D$4:D8)</f>
        <v>5680</v>
      </c>
      <c r="F8" s="89" cm="1">
        <f t="array" ref="F8">SUM(VLOOKUP(I8:AF8,$AM$4:$AO$46,3,FALSE))</f>
        <v>585</v>
      </c>
      <c r="G8" s="89">
        <f>SUM($F$4:F8)+SUM($H$4:H8)</f>
        <v>2830</v>
      </c>
      <c r="H8" s="88">
        <v>0</v>
      </c>
      <c r="I8" s="88" t="s">
        <v>23</v>
      </c>
      <c r="J8" s="88" t="s">
        <v>23</v>
      </c>
      <c r="K8" s="88" t="s">
        <v>23</v>
      </c>
      <c r="L8" s="88" t="s">
        <v>23</v>
      </c>
      <c r="M8" s="88" t="s">
        <v>23</v>
      </c>
      <c r="N8" s="88" t="s">
        <v>23</v>
      </c>
      <c r="O8" s="92" t="s">
        <v>23</v>
      </c>
      <c r="P8" s="92" t="s">
        <v>23</v>
      </c>
      <c r="Q8" s="169" t="s">
        <v>18</v>
      </c>
      <c r="R8" s="211" t="s">
        <v>13</v>
      </c>
      <c r="S8" s="169" t="s">
        <v>18</v>
      </c>
      <c r="T8" s="98" t="s">
        <v>89</v>
      </c>
      <c r="U8" s="169" t="s">
        <v>18</v>
      </c>
      <c r="V8" s="169" t="s">
        <v>18</v>
      </c>
      <c r="W8" s="169" t="s">
        <v>18</v>
      </c>
      <c r="X8" s="169" t="s">
        <v>18</v>
      </c>
      <c r="Y8" s="169" t="s">
        <v>18</v>
      </c>
      <c r="Z8" s="169" t="s">
        <v>18</v>
      </c>
      <c r="AA8" s="169" t="s">
        <v>18</v>
      </c>
      <c r="AB8" s="169" t="s">
        <v>18</v>
      </c>
      <c r="AC8" s="169" t="s">
        <v>18</v>
      </c>
      <c r="AD8" s="98" t="s">
        <v>89</v>
      </c>
      <c r="AE8" s="92" t="s">
        <v>23</v>
      </c>
      <c r="AF8" s="92" t="s">
        <v>23</v>
      </c>
      <c r="AG8" s="93">
        <f t="shared" si="4"/>
        <v>3</v>
      </c>
      <c r="AH8" s="93"/>
      <c r="AI8" s="93">
        <v>3</v>
      </c>
      <c r="AJ8" s="93"/>
      <c r="AK8" s="206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132</v>
      </c>
      <c r="AT8" s="19">
        <f t="shared" si="2"/>
        <v>104</v>
      </c>
      <c r="AU8" s="143">
        <f t="shared" si="5"/>
        <v>236</v>
      </c>
      <c r="AV8" s="50">
        <f t="shared" si="6"/>
        <v>0</v>
      </c>
      <c r="AW8" s="50">
        <f t="shared" si="3"/>
        <v>7260</v>
      </c>
      <c r="AX8" s="50">
        <f t="shared" si="3"/>
        <v>5720</v>
      </c>
      <c r="AY8" s="258"/>
      <c r="AZ8" s="258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204">
        <v>45098</v>
      </c>
      <c r="B9" s="88">
        <v>1600</v>
      </c>
      <c r="C9" s="88"/>
      <c r="D9" s="89" cm="1">
        <f t="array" ref="D9">(SUM(VLOOKUP(I9:AF9,$AM$4:$AO$46,2,FALSE))+AG9*10)*IF(AK9="是",$AZ$4,$AZ$3)</f>
        <v>1900</v>
      </c>
      <c r="E9" s="89">
        <f>SUM($B$4:B9)+SUM($C$4:C9)-SUM($D$4:D9)</f>
        <v>5380</v>
      </c>
      <c r="F9" s="89" cm="1">
        <f t="array" ref="F9">SUM(VLOOKUP(I9:AF9,$AM$4:$AO$46,3,FALSE))</f>
        <v>765</v>
      </c>
      <c r="G9" s="89">
        <f>SUM($F$4:F9)+SUM($H$4:H9)</f>
        <v>3795</v>
      </c>
      <c r="H9" s="88">
        <v>200</v>
      </c>
      <c r="I9" s="88" t="s">
        <v>23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169" t="s">
        <v>18</v>
      </c>
      <c r="R9" s="169" t="s">
        <v>18</v>
      </c>
      <c r="S9" s="169" t="s">
        <v>18</v>
      </c>
      <c r="T9" s="98" t="s">
        <v>88</v>
      </c>
      <c r="U9" s="169" t="s">
        <v>18</v>
      </c>
      <c r="V9" s="205" t="s">
        <v>12</v>
      </c>
      <c r="W9" s="92" t="s">
        <v>23</v>
      </c>
      <c r="X9" s="92" t="s">
        <v>23</v>
      </c>
      <c r="Y9" s="169" t="s">
        <v>18</v>
      </c>
      <c r="Z9" s="169" t="s">
        <v>18</v>
      </c>
      <c r="AA9" s="169" t="s">
        <v>18</v>
      </c>
      <c r="AB9" s="169" t="s">
        <v>18</v>
      </c>
      <c r="AC9" s="205" t="s">
        <v>12</v>
      </c>
      <c r="AD9" s="169" t="s">
        <v>18</v>
      </c>
      <c r="AE9" s="92" t="s">
        <v>23</v>
      </c>
      <c r="AF9" s="92" t="s">
        <v>23</v>
      </c>
      <c r="AG9" s="93">
        <f t="shared" si="4"/>
        <v>2</v>
      </c>
      <c r="AH9" s="93"/>
      <c r="AI9" s="93">
        <v>2</v>
      </c>
      <c r="AJ9" s="93"/>
      <c r="AK9" s="206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112</v>
      </c>
      <c r="AT9" s="19">
        <f t="shared" si="2"/>
        <v>82</v>
      </c>
      <c r="AU9" s="143">
        <f t="shared" si="5"/>
        <v>194</v>
      </c>
      <c r="AV9" s="50">
        <f t="shared" si="6"/>
        <v>0</v>
      </c>
      <c r="AW9" s="50">
        <f t="shared" si="3"/>
        <v>6720</v>
      </c>
      <c r="AX9" s="50">
        <f t="shared" si="3"/>
        <v>4920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204">
        <v>45099</v>
      </c>
      <c r="B10" s="88">
        <v>1600</v>
      </c>
      <c r="C10" s="88"/>
      <c r="D10" s="89" cm="1">
        <f t="array" ref="D10">(SUM(VLOOKUP(I10:AF10,$AM$4:$AO$46,2,FALSE))+AG10*10)*IF(AK10="是",$AZ$4,$AZ$3)</f>
        <v>2120</v>
      </c>
      <c r="E10" s="89">
        <f>SUM($B$4:B10)+SUM($C$4:C10)-SUM($D$4:D10)</f>
        <v>4860</v>
      </c>
      <c r="F10" s="89" cm="1">
        <f t="array" ref="F10">SUM(VLOOKUP(I10:AF10,$AM$4:$AO$46,3,FALSE))</f>
        <v>830</v>
      </c>
      <c r="G10" s="89">
        <f>SUM($F$4:F10)+SUM($H$4:H10)</f>
        <v>4625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169" t="s">
        <v>18</v>
      </c>
      <c r="R10" s="169" t="s">
        <v>18</v>
      </c>
      <c r="S10" s="95" t="s">
        <v>16</v>
      </c>
      <c r="T10" s="169" t="s">
        <v>18</v>
      </c>
      <c r="U10" s="169" t="s">
        <v>18</v>
      </c>
      <c r="V10" s="98" t="s">
        <v>88</v>
      </c>
      <c r="W10" s="92" t="s">
        <v>23</v>
      </c>
      <c r="X10" s="92" t="s">
        <v>23</v>
      </c>
      <c r="Y10" s="169" t="s">
        <v>18</v>
      </c>
      <c r="Z10" s="169" t="s">
        <v>18</v>
      </c>
      <c r="AA10" s="211" t="s">
        <v>13</v>
      </c>
      <c r="AB10" s="169" t="s">
        <v>18</v>
      </c>
      <c r="AC10" s="169" t="s">
        <v>18</v>
      </c>
      <c r="AD10" s="169" t="s">
        <v>18</v>
      </c>
      <c r="AE10" s="98" t="s">
        <v>89</v>
      </c>
      <c r="AF10" s="169" t="s">
        <v>18</v>
      </c>
      <c r="AG10" s="93">
        <f t="shared" si="4"/>
        <v>0</v>
      </c>
      <c r="AH10" s="93"/>
      <c r="AI10" s="93"/>
      <c r="AJ10" s="93"/>
      <c r="AK10" s="206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204">
        <v>45100</v>
      </c>
      <c r="B11" s="88">
        <v>1600</v>
      </c>
      <c r="C11" s="88"/>
      <c r="D11" s="89" cm="1">
        <f t="array" ref="D11">(SUM(VLOOKUP(I11:AF11,$AM$4:$AO$46,2,FALSE))+AG11*10)*IF(AK11="是",$AZ$4,$AZ$3)</f>
        <v>2020</v>
      </c>
      <c r="E11" s="89">
        <f>SUM($B$4:B11)+SUM($C$4:C11)-SUM($D$4:D11)</f>
        <v>4440</v>
      </c>
      <c r="F11" s="89" cm="1">
        <f t="array" ref="F11">SUM(VLOOKUP(I11:AF11,$AM$4:$AO$46,3,FALSE))</f>
        <v>530</v>
      </c>
      <c r="G11" s="89">
        <f>SUM($F$4:F11)+SUM($H$4:H11)</f>
        <v>5155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169" t="s">
        <v>18</v>
      </c>
      <c r="R11" s="169" t="s">
        <v>18</v>
      </c>
      <c r="S11" s="169" t="s">
        <v>18</v>
      </c>
      <c r="T11" s="169" t="s">
        <v>18</v>
      </c>
      <c r="U11" s="95" t="s">
        <v>16</v>
      </c>
      <c r="V11" s="169" t="s">
        <v>18</v>
      </c>
      <c r="W11" s="92" t="s">
        <v>23</v>
      </c>
      <c r="X11" s="92" t="s">
        <v>23</v>
      </c>
      <c r="Y11" s="169" t="s">
        <v>18</v>
      </c>
      <c r="Z11" s="169" t="s">
        <v>18</v>
      </c>
      <c r="AA11" s="169" t="s">
        <v>18</v>
      </c>
      <c r="AB11" s="169" t="s">
        <v>18</v>
      </c>
      <c r="AC11" s="169" t="s">
        <v>18</v>
      </c>
      <c r="AD11" s="169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206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2</v>
      </c>
      <c r="AU11" s="143">
        <f t="shared" si="5"/>
        <v>3</v>
      </c>
      <c r="AV11" s="50">
        <f t="shared" si="6"/>
        <v>0</v>
      </c>
      <c r="AW11" s="50">
        <f t="shared" si="3"/>
        <v>40</v>
      </c>
      <c r="AX11" s="50">
        <f t="shared" si="3"/>
        <v>80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 ht="15.75" thickBot="1">
      <c r="A12" s="204">
        <v>45101</v>
      </c>
      <c r="B12" s="88">
        <v>1600</v>
      </c>
      <c r="C12" s="88"/>
      <c r="D12" s="89" cm="1">
        <f t="array" ref="D12">(SUM(VLOOKUP(I12:AF12,$AM$4:$AO$46,2,FALSE))+AG12*10)*IF(AK12="是",$AZ$4,$AZ$3)</f>
        <v>1320</v>
      </c>
      <c r="E12" s="89">
        <f>SUM($B$4:B12)+SUM($C$4:C12)-SUM($D$4:D12)</f>
        <v>4720</v>
      </c>
      <c r="F12" s="89" cm="1">
        <f t="array" ref="F12">SUM(VLOOKUP(I12:AF12,$AM$4:$AO$46,3,FALSE))</f>
        <v>600</v>
      </c>
      <c r="G12" s="89">
        <f>SUM($F$4:F12)+SUM($H$4:H12)</f>
        <v>5755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215" t="s">
        <v>18</v>
      </c>
      <c r="R12" s="215" t="s">
        <v>18</v>
      </c>
      <c r="S12" s="216" t="s">
        <v>89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217" t="s">
        <v>12</v>
      </c>
      <c r="Z12" s="215" t="s">
        <v>18</v>
      </c>
      <c r="AA12" s="215" t="s">
        <v>18</v>
      </c>
      <c r="AB12" s="215" t="s">
        <v>18</v>
      </c>
      <c r="AC12" s="216" t="s">
        <v>88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206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0</v>
      </c>
      <c r="AS12" s="19">
        <f t="shared" si="1"/>
        <v>3</v>
      </c>
      <c r="AT12" s="19">
        <f t="shared" si="2"/>
        <v>3</v>
      </c>
      <c r="AU12" s="143">
        <f t="shared" si="5"/>
        <v>6</v>
      </c>
      <c r="AV12" s="50">
        <f t="shared" si="6"/>
        <v>0</v>
      </c>
      <c r="AW12" s="50">
        <f t="shared" si="3"/>
        <v>135</v>
      </c>
      <c r="AX12" s="50">
        <f t="shared" si="3"/>
        <v>135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82">
        <v>45102</v>
      </c>
      <c r="B13" s="218">
        <v>1600</v>
      </c>
      <c r="C13" s="218"/>
      <c r="D13" s="219" cm="1">
        <f t="array" ref="D13">(SUM(VLOOKUP(I13:AF15,$AM$4:$AO$46,2,FALSE))+AG13*10)*IF(AK13="是",$AZ$4,$AZ$3)</f>
        <v>3488</v>
      </c>
      <c r="E13" s="219">
        <f>SUM($B$4:B13)+SUM($C$4:C13)-SUM($D$4:D13)</f>
        <v>2832</v>
      </c>
      <c r="F13" s="219" cm="1">
        <f t="array" ref="F13">SUM(VLOOKUP(I13:AF15,$AM$4:$AO$46,3,FALSE))</f>
        <v>1220</v>
      </c>
      <c r="G13" s="219">
        <f>SUM($F$4:F13)+SUM($H$4:H13)</f>
        <v>6975</v>
      </c>
      <c r="H13" s="218">
        <v>0</v>
      </c>
      <c r="I13" s="218" t="s">
        <v>23</v>
      </c>
      <c r="J13" s="218" t="s">
        <v>23</v>
      </c>
      <c r="K13" s="218" t="s">
        <v>23</v>
      </c>
      <c r="L13" s="218" t="s">
        <v>23</v>
      </c>
      <c r="M13" s="218" t="s">
        <v>23</v>
      </c>
      <c r="N13" s="218" t="s">
        <v>23</v>
      </c>
      <c r="O13" s="214" t="s">
        <v>23</v>
      </c>
      <c r="P13" s="214" t="s">
        <v>23</v>
      </c>
      <c r="Q13" s="212" t="s">
        <v>18</v>
      </c>
      <c r="R13" s="212" t="s">
        <v>18</v>
      </c>
      <c r="S13" s="212" t="s">
        <v>18</v>
      </c>
      <c r="T13" s="212" t="s">
        <v>18</v>
      </c>
      <c r="U13" s="213" t="s">
        <v>19</v>
      </c>
      <c r="V13" s="213" t="s">
        <v>19</v>
      </c>
      <c r="W13" s="214" t="s">
        <v>23</v>
      </c>
      <c r="X13" s="214" t="s">
        <v>23</v>
      </c>
      <c r="Y13" s="213" t="s">
        <v>19</v>
      </c>
      <c r="Z13" s="213" t="s">
        <v>19</v>
      </c>
      <c r="AA13" s="213" t="s">
        <v>19</v>
      </c>
      <c r="AB13" s="213" t="s">
        <v>19</v>
      </c>
      <c r="AC13" s="213" t="s">
        <v>19</v>
      </c>
      <c r="AD13" s="213" t="s">
        <v>19</v>
      </c>
      <c r="AE13" s="214" t="s">
        <v>23</v>
      </c>
      <c r="AF13" s="214" t="s">
        <v>23</v>
      </c>
      <c r="AG13" s="220">
        <f t="shared" si="4"/>
        <v>0</v>
      </c>
      <c r="AH13" s="220"/>
      <c r="AI13" s="220"/>
      <c r="AJ13" s="220"/>
      <c r="AK13" s="221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0</v>
      </c>
      <c r="AT13" s="19">
        <f t="shared" si="2"/>
        <v>3</v>
      </c>
      <c r="AU13" s="143">
        <f t="shared" si="5"/>
        <v>3</v>
      </c>
      <c r="AV13" s="50">
        <f t="shared" si="6"/>
        <v>0</v>
      </c>
      <c r="AW13" s="50">
        <f t="shared" si="3"/>
        <v>0</v>
      </c>
      <c r="AX13" s="50">
        <f t="shared" si="3"/>
        <v>150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 ht="15.75" thickBot="1">
      <c r="A14" s="186">
        <v>45102</v>
      </c>
      <c r="B14" s="222"/>
      <c r="C14" s="222"/>
      <c r="D14" s="223"/>
      <c r="E14" s="223"/>
      <c r="F14" s="223"/>
      <c r="G14" s="223"/>
      <c r="H14" s="222"/>
      <c r="I14" s="222" t="s">
        <v>23</v>
      </c>
      <c r="J14" s="222" t="s">
        <v>23</v>
      </c>
      <c r="K14" s="222" t="s">
        <v>23</v>
      </c>
      <c r="L14" s="222" t="s">
        <v>23</v>
      </c>
      <c r="M14" s="222" t="s">
        <v>23</v>
      </c>
      <c r="N14" s="222" t="s">
        <v>23</v>
      </c>
      <c r="O14" s="92" t="s">
        <v>23</v>
      </c>
      <c r="P14" s="92" t="s">
        <v>23</v>
      </c>
      <c r="Q14" s="224" t="s">
        <v>19</v>
      </c>
      <c r="R14" s="224" t="s">
        <v>19</v>
      </c>
      <c r="S14" s="224" t="s">
        <v>19</v>
      </c>
      <c r="T14" s="224" t="s">
        <v>19</v>
      </c>
      <c r="U14" s="225" t="s">
        <v>20</v>
      </c>
      <c r="V14" s="225" t="s">
        <v>20</v>
      </c>
      <c r="W14" s="92" t="s">
        <v>23</v>
      </c>
      <c r="X14" s="92" t="s">
        <v>23</v>
      </c>
      <c r="Y14" s="226" t="s">
        <v>23</v>
      </c>
      <c r="Z14" s="226" t="s">
        <v>23</v>
      </c>
      <c r="AA14" s="226" t="s">
        <v>23</v>
      </c>
      <c r="AB14" s="226" t="s">
        <v>23</v>
      </c>
      <c r="AC14" s="226" t="s">
        <v>23</v>
      </c>
      <c r="AD14" s="226" t="s">
        <v>23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47"/>
      <c r="AN14" s="19"/>
      <c r="AO14" s="19"/>
      <c r="AP14" s="19"/>
      <c r="AQ14" s="19"/>
      <c r="AR14" s="19"/>
      <c r="AS14" s="19"/>
      <c r="AT14" s="19"/>
      <c r="AU14" s="143"/>
      <c r="AV14" s="50"/>
      <c r="AW14" s="50"/>
      <c r="AX14" s="50"/>
      <c r="BA14" s="53"/>
    </row>
    <row r="15" spans="1:55" ht="15.75" thickBot="1">
      <c r="A15" s="187">
        <v>45102</v>
      </c>
      <c r="B15" s="226"/>
      <c r="C15" s="226"/>
      <c r="D15" s="227"/>
      <c r="E15" s="227"/>
      <c r="F15" s="227"/>
      <c r="G15" s="227"/>
      <c r="H15" s="226"/>
      <c r="I15" s="226" t="s">
        <v>23</v>
      </c>
      <c r="J15" s="226" t="s">
        <v>23</v>
      </c>
      <c r="K15" s="226" t="s">
        <v>23</v>
      </c>
      <c r="L15" s="226" t="s">
        <v>23</v>
      </c>
      <c r="M15" s="226" t="s">
        <v>23</v>
      </c>
      <c r="N15" s="226" t="s">
        <v>23</v>
      </c>
      <c r="O15" s="228" t="s">
        <v>23</v>
      </c>
      <c r="P15" s="228" t="s">
        <v>23</v>
      </c>
      <c r="Q15" s="229" t="s">
        <v>20</v>
      </c>
      <c r="R15" s="229" t="s">
        <v>20</v>
      </c>
      <c r="S15" s="229" t="s">
        <v>20</v>
      </c>
      <c r="T15" s="229" t="s">
        <v>20</v>
      </c>
      <c r="U15" s="229" t="s">
        <v>20</v>
      </c>
      <c r="V15" s="229" t="s">
        <v>20</v>
      </c>
      <c r="W15" s="228" t="s">
        <v>23</v>
      </c>
      <c r="X15" s="228" t="s">
        <v>23</v>
      </c>
      <c r="Y15" s="226" t="s">
        <v>23</v>
      </c>
      <c r="Z15" s="226" t="s">
        <v>23</v>
      </c>
      <c r="AA15" s="226" t="s">
        <v>23</v>
      </c>
      <c r="AB15" s="226" t="s">
        <v>23</v>
      </c>
      <c r="AC15" s="226" t="s">
        <v>23</v>
      </c>
      <c r="AD15" s="226" t="s">
        <v>23</v>
      </c>
      <c r="AE15" s="228" t="s">
        <v>23</v>
      </c>
      <c r="AF15" s="228" t="s">
        <v>23</v>
      </c>
      <c r="AG15" s="230">
        <f t="shared" si="4"/>
        <v>0</v>
      </c>
      <c r="AH15" s="230"/>
      <c r="AI15" s="230"/>
      <c r="AJ15" s="230"/>
      <c r="AK15" s="231" t="s">
        <v>31</v>
      </c>
      <c r="AM15" s="147"/>
      <c r="AN15" s="19"/>
      <c r="AO15" s="19"/>
      <c r="AP15" s="19"/>
      <c r="AQ15" s="19"/>
      <c r="AR15" s="19"/>
      <c r="AS15" s="19"/>
      <c r="AT15" s="19"/>
      <c r="AU15" s="143"/>
      <c r="AV15" s="50"/>
      <c r="AW15" s="50"/>
      <c r="AX15" s="50"/>
      <c r="BA15" s="53"/>
    </row>
    <row r="16" spans="1:55">
      <c r="A16" s="204">
        <v>45103</v>
      </c>
      <c r="B16" s="89">
        <v>1600</v>
      </c>
      <c r="C16" s="89"/>
      <c r="D16" s="89" cm="1">
        <f t="array" ref="D16">(SUM(VLOOKUP(I16:AF16,$AM$4:$AO$46,2,FALSE))+AG16*10)*IF(AK16="是",$AZ$4,$AZ$3)</f>
        <v>1776</v>
      </c>
      <c r="E16" s="89">
        <f>SUM($B$4:B16)+SUM($C$4:C16)-SUM($D$4:D16)</f>
        <v>2656</v>
      </c>
      <c r="F16" s="89" cm="1">
        <f t="array" ref="F16">SUM(VLOOKUP(I16:AF16,$AM$4:$AO$46,3,FALSE))</f>
        <v>630</v>
      </c>
      <c r="G16" s="89">
        <f>SUM($F$4:F16)+SUM($H$4:H16)</f>
        <v>7905</v>
      </c>
      <c r="H16" s="89">
        <v>300</v>
      </c>
      <c r="I16" s="88" t="s">
        <v>23</v>
      </c>
      <c r="J16" s="88" t="s">
        <v>23</v>
      </c>
      <c r="K16" s="88" t="s">
        <v>23</v>
      </c>
      <c r="L16" s="88" t="s">
        <v>23</v>
      </c>
      <c r="M16" s="88" t="s">
        <v>23</v>
      </c>
      <c r="N16" s="88" t="s">
        <v>23</v>
      </c>
      <c r="O16" s="92" t="s">
        <v>23</v>
      </c>
      <c r="P16" s="92" t="s">
        <v>23</v>
      </c>
      <c r="Q16" s="232" t="s">
        <v>20</v>
      </c>
      <c r="R16" s="232" t="s">
        <v>20</v>
      </c>
      <c r="S16" s="232" t="s">
        <v>20</v>
      </c>
      <c r="T16" s="232" t="s">
        <v>20</v>
      </c>
      <c r="U16" s="232" t="s">
        <v>20</v>
      </c>
      <c r="V16" s="232" t="s">
        <v>20</v>
      </c>
      <c r="W16" s="92" t="s">
        <v>23</v>
      </c>
      <c r="X16" s="92" t="s">
        <v>23</v>
      </c>
      <c r="Y16" s="224" t="s">
        <v>19</v>
      </c>
      <c r="Z16" s="224" t="s">
        <v>19</v>
      </c>
      <c r="AA16" s="224" t="s">
        <v>19</v>
      </c>
      <c r="AB16" s="224" t="s">
        <v>19</v>
      </c>
      <c r="AC16" s="224" t="s">
        <v>19</v>
      </c>
      <c r="AD16" s="224" t="s">
        <v>19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148" t="s">
        <v>9</v>
      </c>
      <c r="AN16" s="19">
        <v>150</v>
      </c>
      <c r="AO16" s="19">
        <v>55</v>
      </c>
      <c r="AP16" s="19"/>
      <c r="AQ16" s="19"/>
      <c r="AR16" s="19">
        <f t="shared" ref="AR16:AR28" si="9">COUNTIF($I$4:$P$97,AM16)</f>
        <v>0</v>
      </c>
      <c r="AS16" s="19">
        <f t="shared" ref="AS16:AS28" si="10">COUNTIF($Q$4:$X$97,AM16)</f>
        <v>2</v>
      </c>
      <c r="AT16" s="19">
        <f t="shared" ref="AT16:AT28" si="11">COUNTIF($Y$4:$AF$97,AM16)</f>
        <v>1</v>
      </c>
      <c r="AU16" s="143">
        <f t="shared" si="5"/>
        <v>3</v>
      </c>
      <c r="AV16" s="50">
        <f t="shared" si="6"/>
        <v>0</v>
      </c>
      <c r="AW16" s="50">
        <f t="shared" si="3"/>
        <v>110</v>
      </c>
      <c r="AX16" s="50">
        <f t="shared" si="3"/>
        <v>55</v>
      </c>
      <c r="BA16" s="53">
        <f t="shared" si="8"/>
        <v>0.45833333333333331</v>
      </c>
      <c r="BB16">
        <f t="shared" si="7"/>
        <v>120</v>
      </c>
      <c r="BC16">
        <v>3</v>
      </c>
    </row>
    <row r="17" spans="1:55" ht="15.75" thickBot="1">
      <c r="A17" s="204">
        <v>45104</v>
      </c>
      <c r="B17" s="89">
        <v>1600</v>
      </c>
      <c r="C17" s="89"/>
      <c r="D17" s="89" cm="1">
        <f t="array" ref="D17">(SUM(VLOOKUP(I17:AF17,$AM$4:$AO$46,2,FALSE))+AG17*10)*IF(AK17="是",$AZ$4,$AZ$3)</f>
        <v>1528</v>
      </c>
      <c r="E17" s="89">
        <f>SUM($B$4:B17)+SUM($C$4:C17)-SUM($D$4:D17)</f>
        <v>2728</v>
      </c>
      <c r="F17" s="89" cm="1">
        <f t="array" ref="F17">SUM(VLOOKUP(I17:AF17,$AM$4:$AO$46,3,FALSE))</f>
        <v>560</v>
      </c>
      <c r="G17" s="89">
        <f>SUM($F$4:F17)+SUM($H$4:H17)</f>
        <v>8465</v>
      </c>
      <c r="H17" s="89">
        <v>0</v>
      </c>
      <c r="I17" s="88" t="s">
        <v>23</v>
      </c>
      <c r="J17" s="88" t="s">
        <v>23</v>
      </c>
      <c r="K17" s="88" t="s">
        <v>23</v>
      </c>
      <c r="L17" s="88" t="s">
        <v>23</v>
      </c>
      <c r="M17" s="88" t="s">
        <v>23</v>
      </c>
      <c r="N17" s="88" t="s">
        <v>23</v>
      </c>
      <c r="O17" s="92" t="s">
        <v>23</v>
      </c>
      <c r="P17" s="92" t="s">
        <v>23</v>
      </c>
      <c r="Q17" s="225" t="s">
        <v>20</v>
      </c>
      <c r="R17" s="225" t="s">
        <v>20</v>
      </c>
      <c r="S17" s="225" t="s">
        <v>20</v>
      </c>
      <c r="T17" s="225" t="s">
        <v>20</v>
      </c>
      <c r="U17" s="225" t="s">
        <v>20</v>
      </c>
      <c r="V17" s="225" t="s">
        <v>20</v>
      </c>
      <c r="W17" s="92" t="s">
        <v>23</v>
      </c>
      <c r="X17" s="92" t="s">
        <v>23</v>
      </c>
      <c r="Y17" s="233" t="s">
        <v>19</v>
      </c>
      <c r="Z17" s="233" t="s">
        <v>19</v>
      </c>
      <c r="AA17" s="233" t="s">
        <v>19</v>
      </c>
      <c r="AB17" s="233" t="s">
        <v>19</v>
      </c>
      <c r="AC17" s="234" t="s">
        <v>12</v>
      </c>
      <c r="AD17" s="226" t="s">
        <v>23</v>
      </c>
      <c r="AE17" s="228" t="s">
        <v>23</v>
      </c>
      <c r="AF17" s="228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149" t="s">
        <v>10</v>
      </c>
      <c r="AN17" s="19">
        <v>150</v>
      </c>
      <c r="AO17" s="19">
        <v>60</v>
      </c>
      <c r="AP17" s="19"/>
      <c r="AQ17" s="19"/>
      <c r="AR17" s="19">
        <f t="shared" si="9"/>
        <v>0</v>
      </c>
      <c r="AS17" s="19">
        <f t="shared" si="10"/>
        <v>1</v>
      </c>
      <c r="AT17" s="19">
        <f t="shared" si="11"/>
        <v>0</v>
      </c>
      <c r="AU17" s="143">
        <f t="shared" si="5"/>
        <v>1</v>
      </c>
      <c r="AV17" s="50">
        <f t="shared" si="6"/>
        <v>0</v>
      </c>
      <c r="AW17" s="50">
        <f t="shared" si="3"/>
        <v>60</v>
      </c>
      <c r="AX17" s="50">
        <f t="shared" si="3"/>
        <v>0</v>
      </c>
      <c r="BA17" s="53">
        <f t="shared" si="8"/>
        <v>0.5</v>
      </c>
      <c r="BB17">
        <f t="shared" si="7"/>
        <v>120</v>
      </c>
      <c r="BC17">
        <v>1</v>
      </c>
    </row>
    <row r="18" spans="1:55">
      <c r="A18" s="204">
        <v>45105</v>
      </c>
      <c r="B18" s="89">
        <v>1600</v>
      </c>
      <c r="C18" s="89"/>
      <c r="D18" s="89" cm="1">
        <f t="array" ref="D18">(SUM(VLOOKUP(I18:AF18,$AM$4:$AO$46,2,FALSE))+AG18*10)*IF(AK18="是",$AZ$4,$AZ$3)</f>
        <v>1776</v>
      </c>
      <c r="E18" s="89">
        <f>SUM($B$4:B18)+SUM($C$4:C18)-SUM($D$4:D18)</f>
        <v>2552</v>
      </c>
      <c r="F18" s="89" cm="1">
        <f t="array" ref="F18">SUM(VLOOKUP(I18:AF18,$AM$4:$AO$46,3,FALSE))</f>
        <v>630</v>
      </c>
      <c r="G18" s="89">
        <f>SUM($F$4:F18)+SUM($H$4:H18)</f>
        <v>9295</v>
      </c>
      <c r="H18" s="89">
        <v>200</v>
      </c>
      <c r="I18" s="88" t="s">
        <v>23</v>
      </c>
      <c r="J18" s="88" t="s">
        <v>23</v>
      </c>
      <c r="K18" s="88" t="s">
        <v>23</v>
      </c>
      <c r="L18" s="88" t="s">
        <v>23</v>
      </c>
      <c r="M18" s="88" t="s">
        <v>23</v>
      </c>
      <c r="N18" s="88" t="s">
        <v>23</v>
      </c>
      <c r="O18" s="92" t="s">
        <v>23</v>
      </c>
      <c r="P18" s="92" t="s">
        <v>23</v>
      </c>
      <c r="Q18" s="225" t="s">
        <v>20</v>
      </c>
      <c r="R18" s="225" t="s">
        <v>20</v>
      </c>
      <c r="S18" s="225" t="s">
        <v>20</v>
      </c>
      <c r="T18" s="225" t="s">
        <v>20</v>
      </c>
      <c r="U18" s="225" t="s">
        <v>20</v>
      </c>
      <c r="V18" s="225" t="s">
        <v>20</v>
      </c>
      <c r="W18" s="92" t="s">
        <v>23</v>
      </c>
      <c r="X18" s="92" t="s">
        <v>23</v>
      </c>
      <c r="Y18" s="235" t="s">
        <v>19</v>
      </c>
      <c r="Z18" s="235" t="s">
        <v>19</v>
      </c>
      <c r="AA18" s="235" t="s">
        <v>19</v>
      </c>
      <c r="AB18" s="235" t="s">
        <v>19</v>
      </c>
      <c r="AC18" s="235" t="s">
        <v>19</v>
      </c>
      <c r="AD18" s="235" t="s">
        <v>19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M18" s="26" t="s">
        <v>11</v>
      </c>
      <c r="AN18" s="27">
        <v>150</v>
      </c>
      <c r="AO18" s="19">
        <v>35</v>
      </c>
      <c r="AP18" s="19">
        <f>AN18-AO18/0.330882</f>
        <v>44.222109392472248</v>
      </c>
      <c r="AQ18" s="19"/>
      <c r="AR18" s="19">
        <f t="shared" si="9"/>
        <v>0</v>
      </c>
      <c r="AS18" s="19">
        <f t="shared" si="10"/>
        <v>0</v>
      </c>
      <c r="AT18" s="19">
        <f t="shared" si="11"/>
        <v>0</v>
      </c>
      <c r="AU18" s="19">
        <f t="shared" si="5"/>
        <v>0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0.29166666666666669</v>
      </c>
      <c r="BB18">
        <f t="shared" si="7"/>
        <v>120</v>
      </c>
      <c r="BC18">
        <v>0</v>
      </c>
    </row>
    <row r="19" spans="1:55">
      <c r="A19" s="204">
        <v>45106</v>
      </c>
      <c r="B19" s="89">
        <v>1600</v>
      </c>
      <c r="C19" s="89"/>
      <c r="D19" s="89" cm="1">
        <f t="array" ref="D19">(SUM(VLOOKUP(I19:AF19,$AM$4:$AO$46,2,FALSE))+AG19*10)*IF(AK19="是",$AZ$4,$AZ$3)</f>
        <v>1776</v>
      </c>
      <c r="E19" s="89">
        <f>SUM($B$4:B19)+SUM($C$4:C19)-SUM($D$4:D19)</f>
        <v>2376</v>
      </c>
      <c r="F19" s="89" cm="1">
        <f t="array" ref="F19">SUM(VLOOKUP(I19:AF19,$AM$4:$AO$46,3,FALSE))</f>
        <v>630</v>
      </c>
      <c r="G19" s="89">
        <f>SUM($F$4:F19)+SUM($H$4:H19)</f>
        <v>9925</v>
      </c>
      <c r="H19" s="89">
        <v>0</v>
      </c>
      <c r="I19" s="88" t="s">
        <v>23</v>
      </c>
      <c r="J19" s="88" t="s">
        <v>23</v>
      </c>
      <c r="K19" s="88" t="s">
        <v>23</v>
      </c>
      <c r="L19" s="88" t="s">
        <v>23</v>
      </c>
      <c r="M19" s="88" t="s">
        <v>23</v>
      </c>
      <c r="N19" s="88" t="s">
        <v>23</v>
      </c>
      <c r="O19" s="92" t="s">
        <v>23</v>
      </c>
      <c r="P19" s="92" t="s">
        <v>23</v>
      </c>
      <c r="Q19" s="225" t="s">
        <v>20</v>
      </c>
      <c r="R19" s="225" t="s">
        <v>20</v>
      </c>
      <c r="S19" s="225" t="s">
        <v>20</v>
      </c>
      <c r="T19" s="225" t="s">
        <v>20</v>
      </c>
      <c r="U19" s="225" t="s">
        <v>20</v>
      </c>
      <c r="V19" s="225" t="s">
        <v>20</v>
      </c>
      <c r="W19" s="92" t="s">
        <v>23</v>
      </c>
      <c r="X19" s="92" t="s">
        <v>23</v>
      </c>
      <c r="Y19" s="224" t="s">
        <v>19</v>
      </c>
      <c r="Z19" s="224" t="s">
        <v>19</v>
      </c>
      <c r="AA19" s="224" t="s">
        <v>19</v>
      </c>
      <c r="AB19" s="224" t="s">
        <v>19</v>
      </c>
      <c r="AC19" s="224" t="s">
        <v>19</v>
      </c>
      <c r="AD19" s="224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28" t="s">
        <v>12</v>
      </c>
      <c r="AN19" s="19">
        <v>50</v>
      </c>
      <c r="AO19" s="19">
        <v>30</v>
      </c>
      <c r="AP19" s="19">
        <v>10</v>
      </c>
      <c r="AQ19" s="19"/>
      <c r="AR19" s="19">
        <f t="shared" si="9"/>
        <v>3</v>
      </c>
      <c r="AS19" s="19">
        <f t="shared" si="10"/>
        <v>16</v>
      </c>
      <c r="AT19" s="19">
        <f t="shared" si="11"/>
        <v>20</v>
      </c>
      <c r="AU19" s="143">
        <f t="shared" si="5"/>
        <v>39</v>
      </c>
      <c r="AV19" s="50">
        <f t="shared" si="6"/>
        <v>90</v>
      </c>
      <c r="AW19" s="50">
        <f t="shared" si="3"/>
        <v>480</v>
      </c>
      <c r="AX19" s="50">
        <f t="shared" si="3"/>
        <v>600</v>
      </c>
      <c r="BA19" s="53">
        <f t="shared" si="8"/>
        <v>0.75</v>
      </c>
      <c r="BB19">
        <f t="shared" si="7"/>
        <v>40</v>
      </c>
      <c r="BC19">
        <v>40</v>
      </c>
    </row>
    <row r="20" spans="1:55">
      <c r="A20" s="204">
        <v>45107</v>
      </c>
      <c r="B20" s="89">
        <v>1600</v>
      </c>
      <c r="C20" s="89"/>
      <c r="D20" s="89" cm="1">
        <f t="array" ref="D20">(SUM(VLOOKUP(I20:AF20,$AM$4:$AO$46,2,FALSE))+AG20*10)*IF(AK20="是",$AZ$4,$AZ$3)</f>
        <v>1776</v>
      </c>
      <c r="E20" s="89">
        <f>SUM($B$4:B20)+SUM($C$4:C20)-SUM($D$4:D20)</f>
        <v>2200</v>
      </c>
      <c r="F20" s="89" cm="1">
        <f t="array" ref="F20">SUM(VLOOKUP(I20:AF20,$AM$4:$AO$46,3,FALSE))</f>
        <v>630</v>
      </c>
      <c r="G20" s="89">
        <f>SUM($F$4:F20)+SUM($H$4:H20)</f>
        <v>10555</v>
      </c>
      <c r="H20" s="89">
        <v>0</v>
      </c>
      <c r="I20" s="88" t="s">
        <v>23</v>
      </c>
      <c r="J20" s="88" t="s">
        <v>23</v>
      </c>
      <c r="K20" s="88" t="s">
        <v>23</v>
      </c>
      <c r="L20" s="88" t="s">
        <v>23</v>
      </c>
      <c r="M20" s="88" t="s">
        <v>23</v>
      </c>
      <c r="N20" s="88" t="s">
        <v>23</v>
      </c>
      <c r="O20" s="92" t="s">
        <v>23</v>
      </c>
      <c r="P20" s="92" t="s">
        <v>23</v>
      </c>
      <c r="Q20" s="225" t="s">
        <v>20</v>
      </c>
      <c r="R20" s="225" t="s">
        <v>20</v>
      </c>
      <c r="S20" s="225" t="s">
        <v>20</v>
      </c>
      <c r="T20" s="225" t="s">
        <v>20</v>
      </c>
      <c r="U20" s="225" t="s">
        <v>20</v>
      </c>
      <c r="V20" s="225" t="s">
        <v>20</v>
      </c>
      <c r="W20" s="92" t="s">
        <v>23</v>
      </c>
      <c r="X20" s="92" t="s">
        <v>23</v>
      </c>
      <c r="Y20" s="224" t="s">
        <v>19</v>
      </c>
      <c r="Z20" s="224" t="s">
        <v>19</v>
      </c>
      <c r="AA20" s="224" t="s">
        <v>19</v>
      </c>
      <c r="AB20" s="224" t="s">
        <v>19</v>
      </c>
      <c r="AC20" s="224" t="s">
        <v>19</v>
      </c>
      <c r="AD20" s="224" t="s">
        <v>19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L20" s="12"/>
      <c r="AM20" s="29" t="s">
        <v>13</v>
      </c>
      <c r="AN20" s="19">
        <v>-150</v>
      </c>
      <c r="AO20" s="19">
        <v>0</v>
      </c>
      <c r="AP20" s="19">
        <v>10</v>
      </c>
      <c r="AQ20" s="19"/>
      <c r="AR20" s="19">
        <f t="shared" si="9"/>
        <v>0</v>
      </c>
      <c r="AS20" s="19">
        <f t="shared" si="10"/>
        <v>1</v>
      </c>
      <c r="AT20" s="19">
        <f t="shared" si="11"/>
        <v>1</v>
      </c>
      <c r="AU20" s="143">
        <f t="shared" si="5"/>
        <v>2</v>
      </c>
      <c r="AV20" s="50">
        <f t="shared" si="6"/>
        <v>0</v>
      </c>
      <c r="AW20" s="50">
        <f t="shared" si="3"/>
        <v>0</v>
      </c>
      <c r="AX20" s="50">
        <f t="shared" si="3"/>
        <v>0</v>
      </c>
      <c r="BA20" s="53">
        <f t="shared" si="8"/>
        <v>0</v>
      </c>
      <c r="BB20">
        <f t="shared" si="7"/>
        <v>-120</v>
      </c>
      <c r="BC20">
        <v>3</v>
      </c>
    </row>
    <row r="21" spans="1:55">
      <c r="A21" s="204">
        <v>45108</v>
      </c>
      <c r="B21" s="89">
        <v>1600</v>
      </c>
      <c r="C21" s="89"/>
      <c r="D21" s="89" cm="1">
        <f t="array" ref="D21">(SUM(VLOOKUP(I21:AF21,$AM$4:$AO$46,2,FALSE))+AG21*10)*IF(AK21="是",$AZ$4,$AZ$3)</f>
        <v>1768</v>
      </c>
      <c r="E21" s="89">
        <f>SUM($B$4:B21)+SUM($C$4:C21)-SUM($D$4:D21)</f>
        <v>2032</v>
      </c>
      <c r="F21" s="89" cm="1">
        <f t="array" ref="F21">SUM(VLOOKUP(I21:AF21,$AM$4:$AO$46,3,FALSE))</f>
        <v>625</v>
      </c>
      <c r="G21" s="89">
        <f>SUM($F$4:F21)+SUM($H$4:H21)</f>
        <v>11180</v>
      </c>
      <c r="H21" s="89">
        <v>0</v>
      </c>
      <c r="I21" s="88" t="s">
        <v>23</v>
      </c>
      <c r="J21" s="88" t="s">
        <v>23</v>
      </c>
      <c r="K21" s="88" t="s">
        <v>23</v>
      </c>
      <c r="L21" s="88" t="s">
        <v>23</v>
      </c>
      <c r="M21" s="88" t="s">
        <v>23</v>
      </c>
      <c r="N21" s="88" t="s">
        <v>23</v>
      </c>
      <c r="O21" s="92" t="s">
        <v>23</v>
      </c>
      <c r="P21" s="92" t="s">
        <v>23</v>
      </c>
      <c r="Q21" s="225" t="s">
        <v>20</v>
      </c>
      <c r="R21" s="225" t="s">
        <v>20</v>
      </c>
      <c r="S21" s="225" t="s">
        <v>20</v>
      </c>
      <c r="T21" s="225" t="s">
        <v>20</v>
      </c>
      <c r="U21" s="225" t="s">
        <v>20</v>
      </c>
      <c r="V21" s="225" t="s">
        <v>20</v>
      </c>
      <c r="W21" s="92" t="s">
        <v>23</v>
      </c>
      <c r="X21" s="92" t="s">
        <v>23</v>
      </c>
      <c r="Y21" s="224" t="s">
        <v>19</v>
      </c>
      <c r="Z21" s="224" t="s">
        <v>19</v>
      </c>
      <c r="AA21" s="224" t="s">
        <v>19</v>
      </c>
      <c r="AB21" s="169" t="s">
        <v>18</v>
      </c>
      <c r="AC21" s="224" t="s">
        <v>19</v>
      </c>
      <c r="AD21" s="224" t="s">
        <v>19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30" t="s">
        <v>88</v>
      </c>
      <c r="AN21" s="19">
        <v>250</v>
      </c>
      <c r="AO21" s="19">
        <v>300</v>
      </c>
      <c r="AP21" s="19"/>
      <c r="AQ21" s="19"/>
      <c r="AR21" s="19">
        <f t="shared" si="9"/>
        <v>0</v>
      </c>
      <c r="AS21" s="19">
        <f t="shared" si="10"/>
        <v>2</v>
      </c>
      <c r="AT21" s="19">
        <f t="shared" si="11"/>
        <v>1</v>
      </c>
      <c r="AU21" s="143">
        <f t="shared" si="5"/>
        <v>3</v>
      </c>
      <c r="AV21" s="50">
        <f t="shared" si="6"/>
        <v>0</v>
      </c>
      <c r="AW21" s="50">
        <f t="shared" si="3"/>
        <v>600</v>
      </c>
      <c r="AX21" s="50">
        <f t="shared" si="3"/>
        <v>300</v>
      </c>
      <c r="BA21" s="53">
        <f t="shared" si="8"/>
        <v>1.5</v>
      </c>
      <c r="BB21">
        <f t="shared" si="7"/>
        <v>200</v>
      </c>
      <c r="BC21">
        <v>3</v>
      </c>
    </row>
    <row r="22" spans="1:55">
      <c r="A22" s="204">
        <v>45109</v>
      </c>
      <c r="B22" s="89">
        <v>1600</v>
      </c>
      <c r="C22" s="89"/>
      <c r="D22" s="89" cm="1">
        <f t="array" ref="D22">(SUM(VLOOKUP(I22:AF22,$AM$4:$AO$46,2,FALSE))+AG22*10)*IF(AK22="是",$AZ$4,$AZ$3)</f>
        <v>1664</v>
      </c>
      <c r="E22" s="89">
        <f>SUM($B$4:B22)+SUM($C$4:C22)-SUM($D$4:D22)</f>
        <v>1968</v>
      </c>
      <c r="F22" s="89" cm="1">
        <f t="array" ref="F22">SUM(VLOOKUP(I22:AF22,$AM$4:$AO$46,3,FALSE))</f>
        <v>605</v>
      </c>
      <c r="G22" s="89">
        <f>SUM($F$4:F22)+SUM($H$4:H22)</f>
        <v>11785</v>
      </c>
      <c r="H22" s="89">
        <v>0</v>
      </c>
      <c r="I22" s="88" t="s">
        <v>23</v>
      </c>
      <c r="J22" s="88" t="s">
        <v>23</v>
      </c>
      <c r="K22" s="88" t="s">
        <v>23</v>
      </c>
      <c r="L22" s="88" t="s">
        <v>23</v>
      </c>
      <c r="M22" s="88" t="s">
        <v>23</v>
      </c>
      <c r="N22" s="88" t="s">
        <v>23</v>
      </c>
      <c r="O22" s="92" t="s">
        <v>23</v>
      </c>
      <c r="P22" s="92" t="s">
        <v>23</v>
      </c>
      <c r="Q22" s="225" t="s">
        <v>20</v>
      </c>
      <c r="R22" s="225" t="s">
        <v>20</v>
      </c>
      <c r="S22" s="205" t="s">
        <v>12</v>
      </c>
      <c r="T22" s="225" t="s">
        <v>20</v>
      </c>
      <c r="U22" s="225" t="s">
        <v>20</v>
      </c>
      <c r="V22" s="225" t="s">
        <v>20</v>
      </c>
      <c r="W22" s="92" t="s">
        <v>23</v>
      </c>
      <c r="X22" s="92" t="s">
        <v>23</v>
      </c>
      <c r="Y22" s="224" t="s">
        <v>19</v>
      </c>
      <c r="Z22" s="224" t="s">
        <v>19</v>
      </c>
      <c r="AA22" s="224" t="s">
        <v>19</v>
      </c>
      <c r="AB22" s="224" t="s">
        <v>19</v>
      </c>
      <c r="AC22" s="224" t="s">
        <v>19</v>
      </c>
      <c r="AD22" s="224" t="s">
        <v>19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0" t="s">
        <v>89</v>
      </c>
      <c r="AN22" s="19">
        <v>170</v>
      </c>
      <c r="AO22" s="19">
        <v>45</v>
      </c>
      <c r="AP22" s="19"/>
      <c r="AQ22" s="19"/>
      <c r="AR22" s="19">
        <f t="shared" si="9"/>
        <v>0</v>
      </c>
      <c r="AS22" s="19">
        <f t="shared" si="10"/>
        <v>2</v>
      </c>
      <c r="AT22" s="19">
        <f t="shared" si="11"/>
        <v>3</v>
      </c>
      <c r="AU22" s="143">
        <f t="shared" si="5"/>
        <v>5</v>
      </c>
      <c r="AV22" s="50">
        <f t="shared" si="6"/>
        <v>0</v>
      </c>
      <c r="AW22" s="50">
        <f t="shared" si="6"/>
        <v>90</v>
      </c>
      <c r="AX22" s="50">
        <f t="shared" si="6"/>
        <v>135</v>
      </c>
      <c r="BA22" s="53">
        <f t="shared" si="8"/>
        <v>0.33088235294117646</v>
      </c>
      <c r="BB22">
        <f t="shared" si="7"/>
        <v>136</v>
      </c>
      <c r="BC22">
        <v>5</v>
      </c>
    </row>
    <row r="23" spans="1:55">
      <c r="A23" s="204">
        <v>45110</v>
      </c>
      <c r="B23" s="88">
        <v>1600</v>
      </c>
      <c r="C23" s="88"/>
      <c r="D23" s="89" cm="1">
        <f t="array" ref="D23">(SUM(VLOOKUP(I23:AF23,$AM$4:$AO$46,2,FALSE))+AG23*10)*IF(AK23="是",$AZ$4,$AZ$3)</f>
        <v>1720</v>
      </c>
      <c r="E23" s="89">
        <f>SUM($B$4:B23)+SUM($C$4:C23)-SUM($D$4:D23)</f>
        <v>1848</v>
      </c>
      <c r="F23" s="89" cm="1">
        <f t="array" ref="F23">SUM(VLOOKUP(I23:AF23,$AM$4:$AO$46,3,FALSE))</f>
        <v>605</v>
      </c>
      <c r="G23" s="89">
        <f>SUM($F$4:F23)+SUM($H$4:H23)</f>
        <v>12590</v>
      </c>
      <c r="H23" s="88">
        <v>200</v>
      </c>
      <c r="I23" s="88" t="s">
        <v>23</v>
      </c>
      <c r="J23" s="88" t="s">
        <v>23</v>
      </c>
      <c r="K23" s="88" t="s">
        <v>23</v>
      </c>
      <c r="L23" s="88" t="s">
        <v>23</v>
      </c>
      <c r="M23" s="88" t="s">
        <v>23</v>
      </c>
      <c r="N23" s="88" t="s">
        <v>23</v>
      </c>
      <c r="O23" s="92" t="s">
        <v>23</v>
      </c>
      <c r="P23" s="92" t="s">
        <v>23</v>
      </c>
      <c r="Q23" s="225" t="s">
        <v>20</v>
      </c>
      <c r="R23" s="225" t="s">
        <v>20</v>
      </c>
      <c r="S23" s="225" t="s">
        <v>20</v>
      </c>
      <c r="T23" s="225" t="s">
        <v>20</v>
      </c>
      <c r="U23" s="225" t="s">
        <v>20</v>
      </c>
      <c r="V23" s="225" t="s">
        <v>20</v>
      </c>
      <c r="W23" s="92" t="s">
        <v>23</v>
      </c>
      <c r="X23" s="92" t="s">
        <v>23</v>
      </c>
      <c r="Y23" s="224" t="s">
        <v>19</v>
      </c>
      <c r="Z23" s="236" t="s">
        <v>7</v>
      </c>
      <c r="AA23" s="169" t="s">
        <v>18</v>
      </c>
      <c r="AB23" s="169" t="s">
        <v>18</v>
      </c>
      <c r="AC23" s="169" t="s">
        <v>18</v>
      </c>
      <c r="AD23" s="169" t="s">
        <v>18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121" t="s">
        <v>14</v>
      </c>
      <c r="AN23" s="19">
        <v>250</v>
      </c>
      <c r="AO23" s="19">
        <v>200</v>
      </c>
      <c r="AP23" s="19"/>
      <c r="AQ23" s="19"/>
      <c r="AR23" s="19">
        <f t="shared" si="9"/>
        <v>0</v>
      </c>
      <c r="AS23" s="19">
        <f t="shared" si="10"/>
        <v>0</v>
      </c>
      <c r="AT23" s="19">
        <f t="shared" si="11"/>
        <v>0</v>
      </c>
      <c r="AU23" s="19">
        <f t="shared" si="5"/>
        <v>0</v>
      </c>
      <c r="AV23" s="50">
        <f t="shared" si="6"/>
        <v>0</v>
      </c>
      <c r="AW23" s="50">
        <f t="shared" si="6"/>
        <v>0</v>
      </c>
      <c r="AX23" s="50">
        <f t="shared" si="6"/>
        <v>0</v>
      </c>
      <c r="BA23" s="53">
        <f t="shared" si="8"/>
        <v>1</v>
      </c>
      <c r="BB23">
        <f t="shared" si="7"/>
        <v>200</v>
      </c>
      <c r="BC23">
        <v>0</v>
      </c>
    </row>
    <row r="24" spans="1:55">
      <c r="A24" s="204">
        <v>45111</v>
      </c>
      <c r="B24" s="88">
        <v>1600</v>
      </c>
      <c r="C24" s="88"/>
      <c r="D24" s="89" cm="1">
        <f t="array" ref="D24">(SUM(VLOOKUP(I24:AF24,$AM$4:$AO$46,2,FALSE))+AG24*10)*IF(AK24="是",$AZ$4,$AZ$3)</f>
        <v>1768</v>
      </c>
      <c r="E24" s="89">
        <f>SUM($B$4:B24)+SUM($C$4:C24)-SUM($D$4:D24)</f>
        <v>1680</v>
      </c>
      <c r="F24" s="89" cm="1">
        <f t="array" ref="F24">SUM(VLOOKUP(I24:AF24,$AM$4:$AO$46,3,FALSE))</f>
        <v>625</v>
      </c>
      <c r="G24" s="89">
        <f>SUM($F$4:F24)+SUM($H$4:H24)</f>
        <v>13315</v>
      </c>
      <c r="H24" s="88">
        <v>100</v>
      </c>
      <c r="I24" s="88" t="s">
        <v>23</v>
      </c>
      <c r="J24" s="88" t="s">
        <v>23</v>
      </c>
      <c r="K24" s="88" t="s">
        <v>23</v>
      </c>
      <c r="L24" s="88" t="s">
        <v>23</v>
      </c>
      <c r="M24" s="88" t="s">
        <v>23</v>
      </c>
      <c r="N24" s="88" t="s">
        <v>23</v>
      </c>
      <c r="O24" s="92" t="s">
        <v>23</v>
      </c>
      <c r="P24" s="92" t="s">
        <v>23</v>
      </c>
      <c r="Q24" s="225" t="s">
        <v>20</v>
      </c>
      <c r="R24" s="225" t="s">
        <v>20</v>
      </c>
      <c r="S24" s="225" t="s">
        <v>20</v>
      </c>
      <c r="T24" s="225" t="s">
        <v>20</v>
      </c>
      <c r="U24" s="225" t="s">
        <v>20</v>
      </c>
      <c r="V24" s="225" t="s">
        <v>20</v>
      </c>
      <c r="W24" s="92" t="s">
        <v>23</v>
      </c>
      <c r="X24" s="92" t="s">
        <v>23</v>
      </c>
      <c r="Y24" s="169" t="s">
        <v>18</v>
      </c>
      <c r="Z24" s="224" t="s">
        <v>19</v>
      </c>
      <c r="AA24" s="224" t="s">
        <v>19</v>
      </c>
      <c r="AB24" s="224" t="s">
        <v>19</v>
      </c>
      <c r="AC24" s="224" t="s">
        <v>19</v>
      </c>
      <c r="AD24" s="224" t="s">
        <v>19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2" t="s">
        <v>15</v>
      </c>
      <c r="AN24" s="19">
        <v>250</v>
      </c>
      <c r="AO24" s="19">
        <v>1000</v>
      </c>
      <c r="AP24" s="19"/>
      <c r="AQ24" s="19"/>
      <c r="AR24" s="19">
        <f t="shared" si="9"/>
        <v>0</v>
      </c>
      <c r="AS24" s="19">
        <f t="shared" si="10"/>
        <v>1</v>
      </c>
      <c r="AT24" s="19">
        <f t="shared" si="11"/>
        <v>1</v>
      </c>
      <c r="AU24" s="143">
        <f t="shared" si="5"/>
        <v>2</v>
      </c>
      <c r="AV24" s="50">
        <f t="shared" si="6"/>
        <v>0</v>
      </c>
      <c r="AW24" s="50">
        <f t="shared" si="6"/>
        <v>1000</v>
      </c>
      <c r="AX24" s="50">
        <f t="shared" si="6"/>
        <v>1000</v>
      </c>
      <c r="BA24" s="53">
        <f t="shared" si="8"/>
        <v>5</v>
      </c>
      <c r="BB24">
        <f t="shared" si="7"/>
        <v>200</v>
      </c>
      <c r="BC24">
        <v>2</v>
      </c>
    </row>
    <row r="25" spans="1:55">
      <c r="A25" s="204">
        <v>45112</v>
      </c>
      <c r="B25" s="88">
        <v>1600</v>
      </c>
      <c r="C25" s="88"/>
      <c r="D25" s="89" cm="1">
        <f t="array" ref="D25">(SUM(VLOOKUP(I25:AF25,$AM$4:$AO$46,2,FALSE))+AG25*10)*IF(AK25="是",$AZ$4,$AZ$3)</f>
        <v>1672</v>
      </c>
      <c r="E25" s="89">
        <f>SUM($B$4:B25)+SUM($C$4:C25)-SUM($D$4:D25)</f>
        <v>1608</v>
      </c>
      <c r="F25" s="89" cm="1">
        <f t="array" ref="F25">SUM(VLOOKUP(I25:AF25,$AM$4:$AO$46,3,FALSE))</f>
        <v>670</v>
      </c>
      <c r="G25" s="89">
        <f>SUM($F$4:F25)+SUM($H$4:H25)</f>
        <v>14185</v>
      </c>
      <c r="H25" s="88">
        <v>200</v>
      </c>
      <c r="I25" s="88" t="s">
        <v>23</v>
      </c>
      <c r="J25" s="88" t="s">
        <v>23</v>
      </c>
      <c r="K25" s="88" t="s">
        <v>23</v>
      </c>
      <c r="L25" s="88" t="s">
        <v>23</v>
      </c>
      <c r="M25" s="88" t="s">
        <v>23</v>
      </c>
      <c r="N25" s="88" t="s">
        <v>23</v>
      </c>
      <c r="O25" s="92" t="s">
        <v>23</v>
      </c>
      <c r="P25" s="92" t="s">
        <v>23</v>
      </c>
      <c r="Q25" s="225" t="s">
        <v>20</v>
      </c>
      <c r="R25" s="225" t="s">
        <v>20</v>
      </c>
      <c r="S25" s="211" t="s">
        <v>47</v>
      </c>
      <c r="T25" s="237" t="s">
        <v>21</v>
      </c>
      <c r="U25" s="225" t="s">
        <v>20</v>
      </c>
      <c r="V25" s="225" t="s">
        <v>20</v>
      </c>
      <c r="W25" s="225" t="s">
        <v>20</v>
      </c>
      <c r="X25" s="225" t="s">
        <v>20</v>
      </c>
      <c r="Y25" s="224" t="s">
        <v>19</v>
      </c>
      <c r="Z25" s="224" t="s">
        <v>19</v>
      </c>
      <c r="AA25" s="224" t="s">
        <v>19</v>
      </c>
      <c r="AB25" s="224" t="s">
        <v>19</v>
      </c>
      <c r="AC25" s="224" t="s">
        <v>19</v>
      </c>
      <c r="AD25" s="205" t="s">
        <v>12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4" t="s">
        <v>41</v>
      </c>
      <c r="AN25" s="19">
        <v>250</v>
      </c>
      <c r="AO25" s="19">
        <v>500</v>
      </c>
      <c r="AP25" s="19"/>
      <c r="AQ25" s="19"/>
      <c r="AR25" s="19">
        <f t="shared" si="9"/>
        <v>0</v>
      </c>
      <c r="AS25" s="19">
        <f t="shared" si="10"/>
        <v>1</v>
      </c>
      <c r="AT25" s="19">
        <f t="shared" si="11"/>
        <v>1</v>
      </c>
      <c r="AU25" s="143">
        <f t="shared" si="5"/>
        <v>2</v>
      </c>
      <c r="AV25" s="50">
        <f t="shared" si="6"/>
        <v>0</v>
      </c>
      <c r="AW25" s="50">
        <f t="shared" si="6"/>
        <v>500</v>
      </c>
      <c r="AX25" s="50">
        <f t="shared" si="6"/>
        <v>500</v>
      </c>
      <c r="BA25" s="53">
        <f t="shared" si="8"/>
        <v>2.5</v>
      </c>
      <c r="BB25">
        <f t="shared" si="7"/>
        <v>200</v>
      </c>
      <c r="BC25">
        <v>2</v>
      </c>
    </row>
    <row r="26" spans="1:55" ht="14.25" customHeight="1">
      <c r="A26" s="204">
        <v>45113</v>
      </c>
      <c r="B26" s="88">
        <v>1600</v>
      </c>
      <c r="C26" s="88"/>
      <c r="D26" s="89" cm="1">
        <f t="array" ref="D26">(SUM(VLOOKUP(I26:AF26,$AM$4:$AO$46,2,FALSE))+AG26*10)*IF(AK26="是",$AZ$4,$AZ$3)</f>
        <v>1776</v>
      </c>
      <c r="E26" s="89">
        <f>SUM($B$4:B26)+SUM($C$4:C26)-SUM($D$4:D26)</f>
        <v>1432</v>
      </c>
      <c r="F26" s="89" cm="1">
        <f t="array" ref="F26">SUM(VLOOKUP(I26:AF26,$AM$4:$AO$46,3,FALSE))</f>
        <v>630</v>
      </c>
      <c r="G26" s="89">
        <f>SUM($F$4:F26)+SUM($H$4:H26)</f>
        <v>14815</v>
      </c>
      <c r="H26" s="88">
        <v>0</v>
      </c>
      <c r="I26" s="88" t="s">
        <v>23</v>
      </c>
      <c r="J26" s="88" t="s">
        <v>23</v>
      </c>
      <c r="K26" s="88" t="s">
        <v>23</v>
      </c>
      <c r="L26" s="88" t="s">
        <v>23</v>
      </c>
      <c r="M26" s="88" t="s">
        <v>23</v>
      </c>
      <c r="N26" s="88" t="s">
        <v>23</v>
      </c>
      <c r="O26" s="92" t="s">
        <v>23</v>
      </c>
      <c r="P26" s="92" t="s">
        <v>23</v>
      </c>
      <c r="Q26" s="225" t="s">
        <v>20</v>
      </c>
      <c r="R26" s="225" t="s">
        <v>20</v>
      </c>
      <c r="S26" s="225" t="s">
        <v>20</v>
      </c>
      <c r="T26" s="225" t="s">
        <v>20</v>
      </c>
      <c r="U26" s="225" t="s">
        <v>20</v>
      </c>
      <c r="V26" s="225" t="s">
        <v>20</v>
      </c>
      <c r="W26" s="92" t="s">
        <v>23</v>
      </c>
      <c r="X26" s="92" t="s">
        <v>23</v>
      </c>
      <c r="Y26" s="224" t="s">
        <v>19</v>
      </c>
      <c r="Z26" s="224" t="s">
        <v>19</v>
      </c>
      <c r="AA26" s="224" t="s">
        <v>19</v>
      </c>
      <c r="AB26" s="224" t="s">
        <v>19</v>
      </c>
      <c r="AC26" s="224" t="s">
        <v>19</v>
      </c>
      <c r="AD26" s="224" t="s">
        <v>19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39</v>
      </c>
      <c r="AN26" s="19">
        <v>160</v>
      </c>
      <c r="AO26" s="19">
        <v>40</v>
      </c>
      <c r="AP26" s="19">
        <f>AN26-AO26/0.330882</f>
        <v>39.110982162825422</v>
      </c>
      <c r="AQ26" s="19"/>
      <c r="AR26" s="19">
        <f t="shared" si="9"/>
        <v>0</v>
      </c>
      <c r="AS26" s="19">
        <f t="shared" si="10"/>
        <v>0</v>
      </c>
      <c r="AT26" s="19">
        <f t="shared" si="11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0.3125</v>
      </c>
      <c r="BB26">
        <f t="shared" si="7"/>
        <v>128</v>
      </c>
      <c r="BC26">
        <v>0</v>
      </c>
    </row>
    <row r="27" spans="1:55">
      <c r="A27" s="204">
        <v>45114</v>
      </c>
      <c r="B27" s="88">
        <v>1600</v>
      </c>
      <c r="C27" s="88"/>
      <c r="D27" s="89" cm="1">
        <f t="array" ref="D27">(SUM(VLOOKUP(I27:AF27,$AM$4:$AO$46,2,FALSE))+AG27*10)*IF(AK27="是",$AZ$4,$AZ$3)</f>
        <v>1632</v>
      </c>
      <c r="E27" s="89">
        <f>SUM($B$4:B27)+SUM($C$4:C27)-SUM($D$4:D27)</f>
        <v>1400</v>
      </c>
      <c r="F27" s="89" cm="1">
        <f t="array" ref="F27">SUM(VLOOKUP(I27:AF27,$AM$4:$AO$46,3,FALSE))</f>
        <v>580</v>
      </c>
      <c r="G27" s="89">
        <f>SUM($F$4:F27)+SUM($H$4:H27)</f>
        <v>15395</v>
      </c>
      <c r="H27" s="88">
        <v>0</v>
      </c>
      <c r="I27" s="88" t="s">
        <v>23</v>
      </c>
      <c r="J27" s="88" t="s">
        <v>23</v>
      </c>
      <c r="K27" s="88" t="s">
        <v>23</v>
      </c>
      <c r="L27" s="88" t="s">
        <v>23</v>
      </c>
      <c r="M27" s="88" t="s">
        <v>23</v>
      </c>
      <c r="N27" s="88" t="s">
        <v>23</v>
      </c>
      <c r="O27" s="92" t="s">
        <v>23</v>
      </c>
      <c r="P27" s="92" t="s">
        <v>23</v>
      </c>
      <c r="Q27" s="225" t="s">
        <v>20</v>
      </c>
      <c r="R27" s="225" t="s">
        <v>20</v>
      </c>
      <c r="S27" s="225" t="s">
        <v>20</v>
      </c>
      <c r="T27" s="225" t="s">
        <v>20</v>
      </c>
      <c r="U27" s="225" t="s">
        <v>20</v>
      </c>
      <c r="V27" s="225" t="s">
        <v>20</v>
      </c>
      <c r="W27" s="92" t="s">
        <v>23</v>
      </c>
      <c r="X27" s="92" t="s">
        <v>23</v>
      </c>
      <c r="Y27" s="224" t="s">
        <v>19</v>
      </c>
      <c r="Z27" s="224" t="s">
        <v>19</v>
      </c>
      <c r="AA27" s="224" t="s">
        <v>19</v>
      </c>
      <c r="AB27" s="224" t="s">
        <v>19</v>
      </c>
      <c r="AC27" s="224" t="s">
        <v>19</v>
      </c>
      <c r="AD27" s="88" t="s">
        <v>23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1" t="s">
        <v>40</v>
      </c>
      <c r="AN27" s="19">
        <v>160</v>
      </c>
      <c r="AO27" s="19">
        <v>40</v>
      </c>
      <c r="AP27" s="19">
        <f>AN27-AO27/0.330882</f>
        <v>39.110982162825422</v>
      </c>
      <c r="AQ27" s="19"/>
      <c r="AR27" s="19">
        <f t="shared" si="9"/>
        <v>0</v>
      </c>
      <c r="AS27" s="19">
        <f t="shared" si="10"/>
        <v>0</v>
      </c>
      <c r="AT27" s="19">
        <f t="shared" si="11"/>
        <v>0</v>
      </c>
      <c r="AU27" s="19">
        <f t="shared" si="5"/>
        <v>0</v>
      </c>
      <c r="AV27" s="50">
        <f t="shared" si="6"/>
        <v>0</v>
      </c>
      <c r="AW27" s="50">
        <f t="shared" si="6"/>
        <v>0</v>
      </c>
      <c r="AX27" s="50">
        <f t="shared" si="6"/>
        <v>0</v>
      </c>
      <c r="BA27" s="53">
        <f t="shared" si="8"/>
        <v>0.3125</v>
      </c>
      <c r="BB27">
        <f t="shared" si="7"/>
        <v>128</v>
      </c>
      <c r="BC27">
        <v>0</v>
      </c>
    </row>
    <row r="28" spans="1:55">
      <c r="A28" s="204">
        <v>45115</v>
      </c>
      <c r="B28" s="88">
        <v>1600</v>
      </c>
      <c r="C28" s="88"/>
      <c r="D28" s="89" cm="1">
        <f t="array" ref="D28">(SUM(VLOOKUP(I28:AF28,$AM$4:$AO$46,2,FALSE))+AG28*10)*IF(AK28="是",$AZ$4,$AZ$3)</f>
        <v>1488</v>
      </c>
      <c r="E28" s="89">
        <f>SUM($B$4:B28)+SUM($C$4:C28)-SUM($D$4:D28)</f>
        <v>1512</v>
      </c>
      <c r="F28" s="89" cm="1">
        <f t="array" ref="F28">SUM(VLOOKUP(I28:AF28,$AM$4:$AO$46,3,FALSE))</f>
        <v>590</v>
      </c>
      <c r="G28" s="89">
        <f>SUM($F$4:F28)+SUM($H$4:H28)</f>
        <v>15985</v>
      </c>
      <c r="H28" s="88">
        <v>0</v>
      </c>
      <c r="I28" s="88" t="s">
        <v>23</v>
      </c>
      <c r="J28" s="88" t="s">
        <v>23</v>
      </c>
      <c r="K28" s="88" t="s">
        <v>23</v>
      </c>
      <c r="L28" s="88" t="s">
        <v>23</v>
      </c>
      <c r="M28" s="88" t="s">
        <v>23</v>
      </c>
      <c r="N28" s="88" t="s">
        <v>23</v>
      </c>
      <c r="O28" s="92" t="s">
        <v>23</v>
      </c>
      <c r="P28" s="92" t="s">
        <v>23</v>
      </c>
      <c r="Q28" s="225" t="s">
        <v>20</v>
      </c>
      <c r="R28" s="225" t="s">
        <v>20</v>
      </c>
      <c r="S28" s="237" t="s">
        <v>21</v>
      </c>
      <c r="T28" s="237" t="s">
        <v>21</v>
      </c>
      <c r="U28" s="237" t="s">
        <v>21</v>
      </c>
      <c r="V28" s="88" t="s">
        <v>23</v>
      </c>
      <c r="W28" s="92" t="s">
        <v>23</v>
      </c>
      <c r="X28" s="92" t="s">
        <v>23</v>
      </c>
      <c r="Y28" s="224" t="s">
        <v>19</v>
      </c>
      <c r="Z28" s="224" t="s">
        <v>19</v>
      </c>
      <c r="AA28" s="224" t="s">
        <v>19</v>
      </c>
      <c r="AB28" s="224" t="s">
        <v>19</v>
      </c>
      <c r="AC28" s="211" t="s">
        <v>47</v>
      </c>
      <c r="AD28" s="224" t="s">
        <v>19</v>
      </c>
      <c r="AE28" s="224" t="s">
        <v>19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M28" s="31" t="s">
        <v>38</v>
      </c>
      <c r="AN28" s="19">
        <v>150</v>
      </c>
      <c r="AO28" s="19">
        <v>35</v>
      </c>
      <c r="AP28" s="19">
        <f>AN28-AO28/0.330882</f>
        <v>44.222109392472248</v>
      </c>
      <c r="AQ28" s="19"/>
      <c r="AR28" s="19">
        <f t="shared" si="9"/>
        <v>0</v>
      </c>
      <c r="AS28" s="19">
        <f t="shared" si="10"/>
        <v>0</v>
      </c>
      <c r="AT28" s="19">
        <f t="shared" si="11"/>
        <v>0</v>
      </c>
      <c r="AU28" s="19">
        <f t="shared" si="5"/>
        <v>0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A28" s="53">
        <f t="shared" si="8"/>
        <v>0.29166666666666669</v>
      </c>
      <c r="BB28">
        <f t="shared" si="7"/>
        <v>120</v>
      </c>
      <c r="BC28">
        <v>0</v>
      </c>
    </row>
    <row r="29" spans="1:55">
      <c r="A29" s="204">
        <v>45116</v>
      </c>
      <c r="B29" s="88">
        <v>1600</v>
      </c>
      <c r="C29" s="88"/>
      <c r="D29" s="89" cm="1">
        <f t="array" ref="D29">(SUM(VLOOKUP(I29:AF29,$AM$4:$AO$46,2,FALSE))+AG29*10)*IF(AK29="是",$AZ$4,$AZ$3)</f>
        <v>1496</v>
      </c>
      <c r="E29" s="89">
        <f>SUM($B$4:B29)+SUM($C$4:C29)-SUM($D$4:D29)</f>
        <v>1616</v>
      </c>
      <c r="F29" s="89" cm="1">
        <f t="array" ref="F29">SUM(VLOOKUP(I29:AF29,$AM$4:$AO$46,3,FALSE))</f>
        <v>550</v>
      </c>
      <c r="G29" s="89">
        <f>SUM($F$4:F29)+SUM($H$4:H29)</f>
        <v>16535</v>
      </c>
      <c r="H29" s="88">
        <v>0</v>
      </c>
      <c r="I29" s="88" t="s">
        <v>23</v>
      </c>
      <c r="J29" s="88" t="s">
        <v>23</v>
      </c>
      <c r="K29" s="88" t="s">
        <v>23</v>
      </c>
      <c r="L29" s="88" t="s">
        <v>23</v>
      </c>
      <c r="M29" s="88" t="s">
        <v>23</v>
      </c>
      <c r="N29" s="88" t="s">
        <v>23</v>
      </c>
      <c r="O29" s="92" t="s">
        <v>23</v>
      </c>
      <c r="P29" s="92" t="s">
        <v>23</v>
      </c>
      <c r="Q29" s="237" t="s">
        <v>21</v>
      </c>
      <c r="R29" s="237" t="s">
        <v>21</v>
      </c>
      <c r="S29" s="237" t="s">
        <v>21</v>
      </c>
      <c r="T29" s="237" t="s">
        <v>21</v>
      </c>
      <c r="U29" s="237" t="s">
        <v>21</v>
      </c>
      <c r="V29" s="88" t="s">
        <v>23</v>
      </c>
      <c r="W29" s="92" t="s">
        <v>23</v>
      </c>
      <c r="X29" s="92" t="s">
        <v>23</v>
      </c>
      <c r="Y29" s="238" t="s">
        <v>8</v>
      </c>
      <c r="Z29" s="224" t="s">
        <v>19</v>
      </c>
      <c r="AA29" s="224" t="s">
        <v>19</v>
      </c>
      <c r="AB29" s="224" t="s">
        <v>19</v>
      </c>
      <c r="AC29" s="224" t="s">
        <v>19</v>
      </c>
      <c r="AD29" s="88" t="s">
        <v>23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33" t="s">
        <v>23</v>
      </c>
      <c r="AN29" s="19">
        <v>0</v>
      </c>
      <c r="AO29" s="19">
        <v>0</v>
      </c>
      <c r="AP29" s="19">
        <f>AN29-AO29/0.330882</f>
        <v>0</v>
      </c>
      <c r="AQ29" s="19"/>
      <c r="AR29" s="19"/>
      <c r="AS29" s="19"/>
      <c r="AT29" s="19"/>
      <c r="AU29" s="19"/>
      <c r="AV29" s="50">
        <f t="shared" si="6"/>
        <v>0</v>
      </c>
      <c r="AW29" s="50">
        <f t="shared" si="6"/>
        <v>0</v>
      </c>
      <c r="AX29" s="50">
        <f t="shared" si="6"/>
        <v>0</v>
      </c>
      <c r="BB29">
        <f t="shared" si="7"/>
        <v>0</v>
      </c>
      <c r="BC29">
        <v>0</v>
      </c>
    </row>
    <row r="30" spans="1:55" ht="15.75" thickBot="1">
      <c r="A30" s="204">
        <v>45117</v>
      </c>
      <c r="B30" s="89">
        <v>1600</v>
      </c>
      <c r="C30" s="89"/>
      <c r="D30" s="89" cm="1">
        <f t="array" ref="D30">(SUM(VLOOKUP(I30:AF30,$AM$4:$AO$46,2,FALSE))+AG30*10)*IF(AK30="是",$AZ$4,$AZ$3)</f>
        <v>1656</v>
      </c>
      <c r="E30" s="89">
        <f>SUM($B$4:B30)+SUM($C$4:C30)-SUM($D$4:D30)</f>
        <v>1560</v>
      </c>
      <c r="F30" s="89" cm="1">
        <f t="array" ref="F30">SUM(VLOOKUP(I30:AF30,$AM$4:$AO$46,3,FALSE))</f>
        <v>620</v>
      </c>
      <c r="G30" s="89">
        <f>SUM($F$4:F30)+SUM($H$4:H30)</f>
        <v>17455</v>
      </c>
      <c r="H30" s="89">
        <v>300</v>
      </c>
      <c r="I30" s="88" t="s">
        <v>23</v>
      </c>
      <c r="J30" s="88" t="s">
        <v>23</v>
      </c>
      <c r="K30" s="88" t="s">
        <v>23</v>
      </c>
      <c r="L30" s="88" t="s">
        <v>23</v>
      </c>
      <c r="M30" s="88" t="s">
        <v>23</v>
      </c>
      <c r="N30" s="88" t="s">
        <v>23</v>
      </c>
      <c r="O30" s="92" t="s">
        <v>23</v>
      </c>
      <c r="P30" s="92" t="s">
        <v>23</v>
      </c>
      <c r="Q30" s="237" t="s">
        <v>21</v>
      </c>
      <c r="R30" s="237" t="s">
        <v>21</v>
      </c>
      <c r="S30" s="225" t="s">
        <v>20</v>
      </c>
      <c r="T30" s="239" t="s">
        <v>9</v>
      </c>
      <c r="U30" s="225" t="s">
        <v>20</v>
      </c>
      <c r="V30" s="225" t="s">
        <v>20</v>
      </c>
      <c r="W30" s="92" t="s">
        <v>23</v>
      </c>
      <c r="X30" s="92" t="s">
        <v>23</v>
      </c>
      <c r="Y30" s="224" t="s">
        <v>19</v>
      </c>
      <c r="Z30" s="224" t="s">
        <v>19</v>
      </c>
      <c r="AA30" s="224" t="s">
        <v>19</v>
      </c>
      <c r="AB30" s="224" t="s">
        <v>19</v>
      </c>
      <c r="AC30" s="224" t="s">
        <v>19</v>
      </c>
      <c r="AD30" s="205" t="s">
        <v>12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L30" s="14" t="s">
        <v>26</v>
      </c>
      <c r="AM30" s="29" t="s">
        <v>47</v>
      </c>
      <c r="AN30" s="19">
        <v>-200</v>
      </c>
      <c r="AO30" s="19">
        <v>0</v>
      </c>
      <c r="AP30" s="19"/>
      <c r="AQ30" s="19"/>
      <c r="AR30" s="19">
        <f>COUNTIF($I$4:$P$97,AM30)</f>
        <v>1</v>
      </c>
      <c r="AS30" s="19">
        <f>COUNTIF($Q$4:$X$97,AM30)</f>
        <v>5</v>
      </c>
      <c r="AT30" s="19">
        <f>COUNTIF($Y$4:$AF$97,AM30)</f>
        <v>7</v>
      </c>
      <c r="AU30" s="143">
        <f>AR30+AS30+AT30</f>
        <v>13</v>
      </c>
      <c r="AV30" s="50">
        <f t="shared" si="6"/>
        <v>0</v>
      </c>
      <c r="AW30" s="50">
        <f t="shared" si="6"/>
        <v>0</v>
      </c>
      <c r="AX30" s="50">
        <f t="shared" si="6"/>
        <v>0</v>
      </c>
      <c r="BB30">
        <f t="shared" si="7"/>
        <v>-160</v>
      </c>
      <c r="BC30">
        <v>12</v>
      </c>
    </row>
    <row r="31" spans="1:55">
      <c r="A31" s="204">
        <v>45118</v>
      </c>
      <c r="B31" s="89">
        <v>1600</v>
      </c>
      <c r="C31" s="89"/>
      <c r="D31" s="89" cm="1">
        <f t="array" ref="D31">(SUM(VLOOKUP(I31:AF31,$AM$4:$AO$46,2,FALSE))+AG31*10)*IF(AK31="是",$AZ$4,$AZ$3)</f>
        <v>1720</v>
      </c>
      <c r="E31" s="89">
        <f>SUM($B$4:B31)+SUM($C$4:C31)-SUM($D$4:D31)</f>
        <v>1440</v>
      </c>
      <c r="F31" s="89" cm="1">
        <f t="array" ref="F31">SUM(VLOOKUP(I31:AF31,$AM$4:$AO$46,3,FALSE))</f>
        <v>1055</v>
      </c>
      <c r="G31" s="89">
        <f>SUM($F$4:F31)+SUM($H$4:H31)</f>
        <v>18510</v>
      </c>
      <c r="H31" s="89">
        <v>0</v>
      </c>
      <c r="I31" s="88" t="s">
        <v>23</v>
      </c>
      <c r="J31" s="88" t="s">
        <v>23</v>
      </c>
      <c r="K31" s="88" t="s">
        <v>23</v>
      </c>
      <c r="L31" s="88" t="s">
        <v>23</v>
      </c>
      <c r="M31" s="88" t="s">
        <v>23</v>
      </c>
      <c r="N31" s="88" t="s">
        <v>23</v>
      </c>
      <c r="O31" s="92" t="s">
        <v>23</v>
      </c>
      <c r="P31" s="92" t="s">
        <v>23</v>
      </c>
      <c r="Q31" s="240" t="s">
        <v>41</v>
      </c>
      <c r="R31" s="225" t="s">
        <v>20</v>
      </c>
      <c r="S31" s="225" t="s">
        <v>20</v>
      </c>
      <c r="T31" s="225" t="s">
        <v>20</v>
      </c>
      <c r="U31" s="225" t="s">
        <v>20</v>
      </c>
      <c r="V31" s="225" t="s">
        <v>20</v>
      </c>
      <c r="W31" s="205" t="s">
        <v>12</v>
      </c>
      <c r="X31" s="92" t="s">
        <v>23</v>
      </c>
      <c r="Y31" s="224" t="s">
        <v>19</v>
      </c>
      <c r="Z31" s="224" t="s">
        <v>19</v>
      </c>
      <c r="AA31" s="224" t="s">
        <v>19</v>
      </c>
      <c r="AB31" s="224" t="s">
        <v>19</v>
      </c>
      <c r="AC31" s="224" t="s">
        <v>19</v>
      </c>
      <c r="AD31" s="88" t="s">
        <v>23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24" t="s">
        <v>87</v>
      </c>
      <c r="AN31" s="19">
        <v>50</v>
      </c>
      <c r="AO31" s="19">
        <v>520</v>
      </c>
      <c r="AP31" s="50"/>
      <c r="AQ31" s="50"/>
      <c r="AR31" s="123">
        <f>COUNTIF($I$4:$P$97,AM31)</f>
        <v>0</v>
      </c>
      <c r="AS31" s="123">
        <f>COUNTIF($Q$4:$X$97,AM31)</f>
        <v>2</v>
      </c>
      <c r="AT31" s="123">
        <f>COUNTIF($Y$4:$AF$97,AM31)</f>
        <v>1</v>
      </c>
      <c r="AU31" s="123">
        <f>AR31+AS31+AT31</f>
        <v>3</v>
      </c>
      <c r="AV31" s="4">
        <f t="shared" si="6"/>
        <v>0</v>
      </c>
      <c r="AW31" s="4">
        <f t="shared" si="6"/>
        <v>1040</v>
      </c>
      <c r="AX31" s="4">
        <f t="shared" si="6"/>
        <v>520</v>
      </c>
      <c r="BB31">
        <f t="shared" si="7"/>
        <v>40</v>
      </c>
      <c r="BC31">
        <v>3</v>
      </c>
    </row>
    <row r="32" spans="1:55">
      <c r="A32" s="204">
        <v>45119</v>
      </c>
      <c r="B32" s="89">
        <v>1600</v>
      </c>
      <c r="C32" s="89"/>
      <c r="D32" s="89" cm="1">
        <f t="array" ref="D32">(SUM(VLOOKUP(I32:AF32,$AM$4:$AO$46,2,FALSE))+AG32*10)*IF(AK32="是",$AZ$4,$AZ$3)</f>
        <v>1480</v>
      </c>
      <c r="E32" s="89">
        <f>SUM($B$4:B32)+SUM($C$4:C32)-SUM($D$4:D32)</f>
        <v>1560</v>
      </c>
      <c r="F32" s="89" cm="1">
        <f t="array" ref="F32">SUM(VLOOKUP(I32:AF32,$AM$4:$AO$46,3,FALSE))</f>
        <v>525</v>
      </c>
      <c r="G32" s="89">
        <f>SUM($F$4:F32)+SUM($H$4:H32)</f>
        <v>19235</v>
      </c>
      <c r="H32" s="89">
        <v>200</v>
      </c>
      <c r="I32" s="88" t="s">
        <v>23</v>
      </c>
      <c r="J32" s="88" t="s">
        <v>23</v>
      </c>
      <c r="K32" s="88" t="s">
        <v>23</v>
      </c>
      <c r="L32" s="88" t="s">
        <v>23</v>
      </c>
      <c r="M32" s="88" t="s">
        <v>23</v>
      </c>
      <c r="N32" s="88" t="s">
        <v>23</v>
      </c>
      <c r="O32" s="92" t="s">
        <v>23</v>
      </c>
      <c r="P32" s="92" t="s">
        <v>23</v>
      </c>
      <c r="Q32" s="225" t="s">
        <v>20</v>
      </c>
      <c r="R32" s="225" t="s">
        <v>20</v>
      </c>
      <c r="S32" s="225" t="s">
        <v>20</v>
      </c>
      <c r="T32" s="225" t="s">
        <v>20</v>
      </c>
      <c r="U32" s="225" t="s">
        <v>20</v>
      </c>
      <c r="V32" s="88" t="s">
        <v>23</v>
      </c>
      <c r="W32" s="92" t="s">
        <v>23</v>
      </c>
      <c r="X32" s="92" t="s">
        <v>23</v>
      </c>
      <c r="Y32" s="224" t="s">
        <v>19</v>
      </c>
      <c r="Z32" s="224" t="s">
        <v>19</v>
      </c>
      <c r="AA32" s="224" t="s">
        <v>19</v>
      </c>
      <c r="AB32" s="224" t="s">
        <v>19</v>
      </c>
      <c r="AC32" s="224" t="s">
        <v>19</v>
      </c>
      <c r="AD32" s="88" t="s">
        <v>23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  <c r="AQ32" s="50"/>
    </row>
    <row r="33" spans="1:55">
      <c r="A33" s="204">
        <v>45120</v>
      </c>
      <c r="B33" s="89">
        <v>1600</v>
      </c>
      <c r="C33" s="89"/>
      <c r="D33" s="89" cm="1">
        <f t="array" ref="D33">(SUM(VLOOKUP(I33:AF33,$AM$4:$AO$46,2,FALSE))+AG33*10)*IF(AK33="是",$AZ$4,$AZ$3)</f>
        <v>1664</v>
      </c>
      <c r="E33" s="89">
        <f>SUM($B$4:B33)+SUM($C$4:C33)-SUM($D$4:D33)</f>
        <v>1496</v>
      </c>
      <c r="F33" s="89" cm="1">
        <f t="array" ref="F33">SUM(VLOOKUP(I33:AF33,$AM$4:$AO$46,3,FALSE))</f>
        <v>600</v>
      </c>
      <c r="G33" s="89">
        <f>SUM($F$4:F33)+SUM($H$4:H33)</f>
        <v>19835</v>
      </c>
      <c r="H33" s="89">
        <v>0</v>
      </c>
      <c r="I33" s="88" t="s">
        <v>23</v>
      </c>
      <c r="J33" s="88" t="s">
        <v>23</v>
      </c>
      <c r="K33" s="88" t="s">
        <v>23</v>
      </c>
      <c r="L33" s="88" t="s">
        <v>23</v>
      </c>
      <c r="M33" s="88" t="s">
        <v>23</v>
      </c>
      <c r="N33" s="88" t="s">
        <v>23</v>
      </c>
      <c r="O33" s="92" t="s">
        <v>23</v>
      </c>
      <c r="P33" s="92" t="s">
        <v>23</v>
      </c>
      <c r="Q33" s="225" t="s">
        <v>20</v>
      </c>
      <c r="R33" s="225" t="s">
        <v>20</v>
      </c>
      <c r="S33" s="237" t="s">
        <v>21</v>
      </c>
      <c r="T33" s="237" t="s">
        <v>21</v>
      </c>
      <c r="U33" s="237" t="s">
        <v>21</v>
      </c>
      <c r="V33" s="237" t="s">
        <v>21</v>
      </c>
      <c r="W33" s="92" t="s">
        <v>23</v>
      </c>
      <c r="X33" s="92" t="s">
        <v>23</v>
      </c>
      <c r="Y33" s="224" t="s">
        <v>19</v>
      </c>
      <c r="Z33" s="224" t="s">
        <v>19</v>
      </c>
      <c r="AA33" s="224" t="s">
        <v>19</v>
      </c>
      <c r="AB33" s="224" t="s">
        <v>19</v>
      </c>
      <c r="AC33" s="224" t="s">
        <v>19</v>
      </c>
      <c r="AD33" s="88" t="s">
        <v>23</v>
      </c>
      <c r="AE33" s="92" t="s">
        <v>23</v>
      </c>
      <c r="AF33" s="92" t="s">
        <v>23</v>
      </c>
      <c r="AG33" s="93">
        <f t="shared" si="4"/>
        <v>0</v>
      </c>
      <c r="AH33" s="93"/>
      <c r="AI33" s="93"/>
      <c r="AJ33" s="93"/>
      <c r="AK33" s="94" t="s">
        <v>31</v>
      </c>
      <c r="AM33" s="19"/>
      <c r="AN33" s="19"/>
      <c r="AO33" s="19"/>
      <c r="AP33" s="50"/>
      <c r="AQ33" s="50"/>
    </row>
    <row r="34" spans="1:55">
      <c r="A34" s="204">
        <v>45121</v>
      </c>
      <c r="B34" s="89">
        <v>1600</v>
      </c>
      <c r="C34" s="89"/>
      <c r="D34" s="89" cm="1">
        <f t="array" ref="D34">(SUM(VLOOKUP(I34:AF34,$AM$4:$AO$46,2,FALSE))+AG34*10)*IF(AK34="是",$AZ$4,$AZ$3)</f>
        <v>1520</v>
      </c>
      <c r="E34" s="89">
        <f>SUM($B$4:B34)+SUM($C$4:C34)-SUM($D$4:D34)</f>
        <v>1576</v>
      </c>
      <c r="F34" s="89" cm="1">
        <f t="array" ref="F34">SUM(VLOOKUP(I34:AF34,$AM$4:$AO$46,3,FALSE))</f>
        <v>550</v>
      </c>
      <c r="G34" s="89">
        <f>SUM($F$4:F34)+SUM($H$4:H34)</f>
        <v>20385</v>
      </c>
      <c r="H34" s="89">
        <v>0</v>
      </c>
      <c r="I34" s="88" t="s">
        <v>23</v>
      </c>
      <c r="J34" s="88" t="s">
        <v>23</v>
      </c>
      <c r="K34" s="88" t="s">
        <v>23</v>
      </c>
      <c r="L34" s="88" t="s">
        <v>23</v>
      </c>
      <c r="M34" s="88" t="s">
        <v>23</v>
      </c>
      <c r="N34" s="88" t="s">
        <v>23</v>
      </c>
      <c r="O34" s="92" t="s">
        <v>23</v>
      </c>
      <c r="P34" s="92" t="s">
        <v>23</v>
      </c>
      <c r="Q34" s="237" t="s">
        <v>21</v>
      </c>
      <c r="R34" s="237" t="s">
        <v>21</v>
      </c>
      <c r="S34" s="237" t="s">
        <v>21</v>
      </c>
      <c r="T34" s="237" t="s">
        <v>21</v>
      </c>
      <c r="U34" s="237" t="s">
        <v>21</v>
      </c>
      <c r="V34" s="88" t="s">
        <v>23</v>
      </c>
      <c r="W34" s="92" t="s">
        <v>23</v>
      </c>
      <c r="X34" s="92" t="s">
        <v>23</v>
      </c>
      <c r="Y34" s="224" t="s">
        <v>19</v>
      </c>
      <c r="Z34" s="224" t="s">
        <v>19</v>
      </c>
      <c r="AA34" s="224" t="s">
        <v>19</v>
      </c>
      <c r="AB34" s="224" t="s">
        <v>19</v>
      </c>
      <c r="AC34" s="224" t="s">
        <v>19</v>
      </c>
      <c r="AD34" s="88" t="s">
        <v>23</v>
      </c>
      <c r="AE34" s="92" t="s">
        <v>23</v>
      </c>
      <c r="AF34" s="92" t="s">
        <v>23</v>
      </c>
      <c r="AG34" s="93">
        <f t="shared" si="4"/>
        <v>0</v>
      </c>
      <c r="AH34" s="93"/>
      <c r="AI34" s="93"/>
      <c r="AJ34" s="93"/>
      <c r="AK34" s="94" t="s">
        <v>31</v>
      </c>
      <c r="AM34" s="19"/>
      <c r="AN34" s="19"/>
      <c r="AO34" s="19"/>
      <c r="AP34" s="50"/>
      <c r="AQ34" s="50"/>
    </row>
    <row r="35" spans="1:55">
      <c r="A35" s="204">
        <v>45122</v>
      </c>
      <c r="B35" s="89">
        <v>1600</v>
      </c>
      <c r="C35" s="89"/>
      <c r="D35" s="89" cm="1">
        <f t="array" ref="D35">(SUM(VLOOKUP(I35:AF35,$AM$4:$AO$46,2,FALSE))+AG35*10)*IF(AK35="是",$AZ$4,$AZ$3)</f>
        <v>1536</v>
      </c>
      <c r="E35" s="89">
        <f>SUM($B$4:B35)+SUM($C$4:C35)-SUM($D$4:D35)</f>
        <v>1640</v>
      </c>
      <c r="F35" s="89" cm="1">
        <f t="array" ref="F35">SUM(VLOOKUP(I35:AF35,$AM$4:$AO$46,3,FALSE))</f>
        <v>565</v>
      </c>
      <c r="G35" s="89">
        <f>SUM($F$4:F35)+SUM($H$4:H35)</f>
        <v>20950</v>
      </c>
      <c r="H35" s="89">
        <v>0</v>
      </c>
      <c r="I35" s="88" t="s">
        <v>23</v>
      </c>
      <c r="J35" s="88" t="s">
        <v>23</v>
      </c>
      <c r="K35" s="88" t="s">
        <v>23</v>
      </c>
      <c r="L35" s="88" t="s">
        <v>23</v>
      </c>
      <c r="M35" s="88" t="s">
        <v>23</v>
      </c>
      <c r="N35" s="88" t="s">
        <v>23</v>
      </c>
      <c r="O35" s="92" t="s">
        <v>23</v>
      </c>
      <c r="P35" s="92" t="s">
        <v>23</v>
      </c>
      <c r="Q35" s="237" t="s">
        <v>21</v>
      </c>
      <c r="R35" s="237" t="s">
        <v>21</v>
      </c>
      <c r="S35" s="225" t="s">
        <v>20</v>
      </c>
      <c r="T35" s="225" t="s">
        <v>20</v>
      </c>
      <c r="U35" s="205" t="s">
        <v>12</v>
      </c>
      <c r="V35" s="225" t="s">
        <v>20</v>
      </c>
      <c r="W35" s="92" t="s">
        <v>23</v>
      </c>
      <c r="X35" s="92" t="s">
        <v>23</v>
      </c>
      <c r="Y35" s="224" t="s">
        <v>19</v>
      </c>
      <c r="Z35" s="224" t="s">
        <v>19</v>
      </c>
      <c r="AA35" s="224" t="s">
        <v>19</v>
      </c>
      <c r="AB35" s="224" t="s">
        <v>19</v>
      </c>
      <c r="AC35" s="224" t="s">
        <v>19</v>
      </c>
      <c r="AD35" s="88" t="s">
        <v>23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204">
        <v>45123</v>
      </c>
      <c r="B36" s="89">
        <v>1600</v>
      </c>
      <c r="C36" s="89"/>
      <c r="D36" s="89" cm="1">
        <f t="array" ref="D36">(SUM(VLOOKUP(I36:AF36,$AM$4:$AO$46,2,FALSE))+AG36*10)*IF(AK36="是",$AZ$4,$AZ$3)</f>
        <v>1640</v>
      </c>
      <c r="E36" s="89">
        <f>SUM($B$4:B36)+SUM($C$4:C36)-SUM($D$4:D36)</f>
        <v>1600</v>
      </c>
      <c r="F36" s="89" cm="1">
        <f t="array" ref="F36">SUM(VLOOKUP(I36:AF36,$AM$4:$AO$46,3,FALSE))</f>
        <v>585</v>
      </c>
      <c r="G36" s="89">
        <f>SUM($F$4:F36)+SUM($H$4:H36)</f>
        <v>21535</v>
      </c>
      <c r="H36" s="89">
        <v>0</v>
      </c>
      <c r="I36" s="88" t="s">
        <v>23</v>
      </c>
      <c r="J36" s="88" t="s">
        <v>23</v>
      </c>
      <c r="K36" s="88" t="s">
        <v>23</v>
      </c>
      <c r="L36" s="88" t="s">
        <v>23</v>
      </c>
      <c r="M36" s="88" t="s">
        <v>23</v>
      </c>
      <c r="N36" s="88" t="s">
        <v>23</v>
      </c>
      <c r="O36" s="92" t="s">
        <v>23</v>
      </c>
      <c r="P36" s="92" t="s">
        <v>23</v>
      </c>
      <c r="Q36" s="225" t="s">
        <v>20</v>
      </c>
      <c r="R36" s="225" t="s">
        <v>20</v>
      </c>
      <c r="S36" s="225" t="s">
        <v>20</v>
      </c>
      <c r="T36" s="225" t="s">
        <v>20</v>
      </c>
      <c r="U36" s="225" t="s">
        <v>20</v>
      </c>
      <c r="V36" s="225" t="s">
        <v>20</v>
      </c>
      <c r="W36" s="92" t="s">
        <v>23</v>
      </c>
      <c r="X36" s="92" t="s">
        <v>23</v>
      </c>
      <c r="Y36" s="224" t="s">
        <v>19</v>
      </c>
      <c r="Z36" s="224" t="s">
        <v>19</v>
      </c>
      <c r="AA36" s="224" t="s">
        <v>19</v>
      </c>
      <c r="AB36" s="224" t="s">
        <v>19</v>
      </c>
      <c r="AC36" s="225" t="s">
        <v>20</v>
      </c>
      <c r="AD36" s="88" t="s">
        <v>23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/>
      <c r="AP36" s="50"/>
      <c r="AQ36" s="50"/>
    </row>
    <row r="37" spans="1:55">
      <c r="A37" s="204">
        <v>45124</v>
      </c>
      <c r="B37" s="88">
        <v>1600</v>
      </c>
      <c r="C37" s="88"/>
      <c r="D37" s="89" cm="1">
        <f t="array" ref="D37">(SUM(VLOOKUP(I37:AF37,$AM$4:$AO$46,2,FALSE))+AG37*10)*IF(AK37="是",$AZ$4,$AZ$3)</f>
        <v>1712</v>
      </c>
      <c r="E37" s="89">
        <f>SUM($B$4:B37)+SUM($C$4:C37)-SUM($D$4:D37)</f>
        <v>1488</v>
      </c>
      <c r="F37" s="89" cm="1">
        <f t="array" ref="F37">SUM(VLOOKUP(I37:AF37,$AM$4:$AO$46,3,FALSE))</f>
        <v>635</v>
      </c>
      <c r="G37" s="89">
        <f>SUM($F$4:F37)+SUM($H$4:H37)</f>
        <v>22370</v>
      </c>
      <c r="H37" s="88">
        <v>200</v>
      </c>
      <c r="I37" s="88" t="s">
        <v>23</v>
      </c>
      <c r="J37" s="88" t="s">
        <v>23</v>
      </c>
      <c r="K37" s="88" t="s">
        <v>23</v>
      </c>
      <c r="L37" s="88" t="s">
        <v>23</v>
      </c>
      <c r="M37" s="88" t="s">
        <v>23</v>
      </c>
      <c r="N37" s="88" t="s">
        <v>23</v>
      </c>
      <c r="O37" s="92" t="s">
        <v>23</v>
      </c>
      <c r="P37" s="92" t="s">
        <v>23</v>
      </c>
      <c r="Q37" s="225" t="s">
        <v>20</v>
      </c>
      <c r="R37" s="225" t="s">
        <v>20</v>
      </c>
      <c r="S37" s="225" t="s">
        <v>20</v>
      </c>
      <c r="T37" s="225" t="s">
        <v>20</v>
      </c>
      <c r="U37" s="237" t="s">
        <v>21</v>
      </c>
      <c r="V37" s="237" t="s">
        <v>21</v>
      </c>
      <c r="W37" s="92" t="s">
        <v>23</v>
      </c>
      <c r="X37" s="92" t="s">
        <v>23</v>
      </c>
      <c r="Y37" s="224" t="s">
        <v>19</v>
      </c>
      <c r="Z37" s="225" t="s">
        <v>20</v>
      </c>
      <c r="AA37" s="225" t="s">
        <v>20</v>
      </c>
      <c r="AB37" s="225" t="s">
        <v>20</v>
      </c>
      <c r="AC37" s="224" t="s">
        <v>19</v>
      </c>
      <c r="AD37" s="205" t="s">
        <v>12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M37" s="19"/>
      <c r="AN37" s="19"/>
      <c r="AO37" s="19"/>
      <c r="AP37" s="50"/>
      <c r="AQ37" s="50"/>
    </row>
    <row r="38" spans="1:55">
      <c r="A38" s="204">
        <v>45125</v>
      </c>
      <c r="B38" s="88">
        <v>1600</v>
      </c>
      <c r="C38" s="88"/>
      <c r="D38" s="89" cm="1">
        <f t="array" ref="D38">(SUM(VLOOKUP(I38:AF38,$AM$4:$AO$46,2,FALSE))+AG38*10)*IF(AK38="是",$AZ$4,$AZ$3)</f>
        <v>1680</v>
      </c>
      <c r="E38" s="89">
        <f>SUM($B$4:B38)+SUM($C$4:C38)-SUM($D$4:D38)</f>
        <v>1408</v>
      </c>
      <c r="F38" s="89" cm="1">
        <f t="array" ref="F38">SUM(VLOOKUP(I38:AF38,$AM$4:$AO$46,3,FALSE))</f>
        <v>610</v>
      </c>
      <c r="G38" s="89">
        <f>SUM($F$4:F38)+SUM($H$4:H38)</f>
        <v>23080</v>
      </c>
      <c r="H38" s="88">
        <v>100</v>
      </c>
      <c r="I38" s="88" t="s">
        <v>23</v>
      </c>
      <c r="J38" s="88" t="s">
        <v>23</v>
      </c>
      <c r="K38" s="88" t="s">
        <v>23</v>
      </c>
      <c r="L38" s="88" t="s">
        <v>23</v>
      </c>
      <c r="M38" s="88" t="s">
        <v>23</v>
      </c>
      <c r="N38" s="88" t="s">
        <v>23</v>
      </c>
      <c r="O38" s="92" t="s">
        <v>23</v>
      </c>
      <c r="P38" s="92" t="s">
        <v>23</v>
      </c>
      <c r="Q38" s="237" t="s">
        <v>21</v>
      </c>
      <c r="R38" s="237" t="s">
        <v>21</v>
      </c>
      <c r="S38" s="237" t="s">
        <v>21</v>
      </c>
      <c r="T38" s="237" t="s">
        <v>21</v>
      </c>
      <c r="U38" s="237" t="s">
        <v>21</v>
      </c>
      <c r="V38" s="237" t="s">
        <v>21</v>
      </c>
      <c r="W38" s="92" t="s">
        <v>23</v>
      </c>
      <c r="X38" s="92" t="s">
        <v>23</v>
      </c>
      <c r="Y38" s="224" t="s">
        <v>19</v>
      </c>
      <c r="Z38" s="224" t="s">
        <v>19</v>
      </c>
      <c r="AA38" s="224" t="s">
        <v>19</v>
      </c>
      <c r="AB38" s="224" t="s">
        <v>19</v>
      </c>
      <c r="AC38" s="224" t="s">
        <v>19</v>
      </c>
      <c r="AD38" s="88" t="s">
        <v>23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M38" s="19"/>
      <c r="AN38" s="19"/>
      <c r="AO38" s="19" t="s">
        <v>81</v>
      </c>
      <c r="AP38" s="50"/>
      <c r="AQ38" s="50"/>
      <c r="AR38" t="s">
        <v>79</v>
      </c>
      <c r="AS38" t="s">
        <v>80</v>
      </c>
      <c r="AT38" t="s">
        <v>99</v>
      </c>
      <c r="AU38" t="s">
        <v>100</v>
      </c>
      <c r="AW38" s="19"/>
      <c r="AX38" s="20" t="s">
        <v>5</v>
      </c>
      <c r="AY38" s="21" t="s">
        <v>6</v>
      </c>
      <c r="AZ38" s="22" t="s">
        <v>7</v>
      </c>
      <c r="BA38" s="23" t="s">
        <v>8</v>
      </c>
      <c r="BB38" s="24" t="s">
        <v>9</v>
      </c>
      <c r="BC38" s="25" t="s">
        <v>10</v>
      </c>
    </row>
    <row r="39" spans="1:55">
      <c r="A39" s="204">
        <v>45126</v>
      </c>
      <c r="B39" s="88">
        <v>1600</v>
      </c>
      <c r="C39" s="88"/>
      <c r="D39" s="89" cm="1">
        <f t="array" ref="D39">(SUM(VLOOKUP(I39:AF39,$AM$4:$AO$46,2,FALSE))+AG39*10)*IF(AK39="是",$AZ$4,$AZ$3)</f>
        <v>1640</v>
      </c>
      <c r="E39" s="89">
        <f>SUM($B$4:B39)+SUM($C$4:C39)-SUM($D$4:D39)</f>
        <v>1368</v>
      </c>
      <c r="F39" s="89" cm="1">
        <f t="array" ref="F39">SUM(VLOOKUP(I39:AF39,$AM$4:$AO$46,3,FALSE))</f>
        <v>610</v>
      </c>
      <c r="G39" s="89">
        <f>SUM($F$4:F39)+SUM($H$4:H39)</f>
        <v>23890</v>
      </c>
      <c r="H39" s="88">
        <v>200</v>
      </c>
      <c r="I39" s="88" t="s">
        <v>23</v>
      </c>
      <c r="J39" s="88" t="s">
        <v>23</v>
      </c>
      <c r="K39" s="88" t="s">
        <v>23</v>
      </c>
      <c r="L39" s="88" t="s">
        <v>23</v>
      </c>
      <c r="M39" s="88" t="s">
        <v>23</v>
      </c>
      <c r="N39" s="88" t="s">
        <v>23</v>
      </c>
      <c r="O39" s="92" t="s">
        <v>23</v>
      </c>
      <c r="P39" s="92" t="s">
        <v>23</v>
      </c>
      <c r="Q39" s="237" t="s">
        <v>21</v>
      </c>
      <c r="R39" s="237" t="s">
        <v>21</v>
      </c>
      <c r="S39" s="237" t="s">
        <v>21</v>
      </c>
      <c r="T39" s="241" t="s">
        <v>10</v>
      </c>
      <c r="U39" s="237" t="s">
        <v>21</v>
      </c>
      <c r="V39" s="237" t="s">
        <v>21</v>
      </c>
      <c r="W39" s="92" t="s">
        <v>23</v>
      </c>
      <c r="X39" s="92" t="s">
        <v>23</v>
      </c>
      <c r="Y39" s="224" t="s">
        <v>19</v>
      </c>
      <c r="Z39" s="224" t="s">
        <v>19</v>
      </c>
      <c r="AA39" s="224" t="s">
        <v>19</v>
      </c>
      <c r="AB39" s="224" t="s">
        <v>19</v>
      </c>
      <c r="AC39" s="224" t="s">
        <v>19</v>
      </c>
      <c r="AD39" s="88" t="s">
        <v>23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67</v>
      </c>
      <c r="AN39" s="19"/>
      <c r="AO39" s="19">
        <v>6</v>
      </c>
      <c r="AP39" s="50"/>
      <c r="AQ39" s="50"/>
      <c r="AR39">
        <v>194</v>
      </c>
      <c r="AS39">
        <v>194</v>
      </c>
      <c r="AW39" s="19" t="s">
        <v>95</v>
      </c>
      <c r="AX39" s="19"/>
      <c r="AY39" s="19">
        <v>3</v>
      </c>
      <c r="AZ39" s="19">
        <v>2</v>
      </c>
      <c r="BA39" s="19">
        <v>1</v>
      </c>
      <c r="BB39" s="19"/>
      <c r="BC39" s="19"/>
    </row>
    <row r="40" spans="1:55">
      <c r="A40" s="204">
        <v>45127</v>
      </c>
      <c r="B40" s="88">
        <v>1600</v>
      </c>
      <c r="C40" s="88"/>
      <c r="D40" s="89" cm="1">
        <f t="array" ref="D40">(SUM(VLOOKUP(I40:AF40,$AM$4:$AO$46,2,FALSE))+AG40*10)*IF(AK40="是",$AZ$4,$AZ$3)</f>
        <v>1504</v>
      </c>
      <c r="E40" s="89">
        <f>SUM($B$4:B40)+SUM($C$4:C40)-SUM($D$4:D40)</f>
        <v>1464</v>
      </c>
      <c r="F40" s="89" cm="1">
        <f t="array" ref="F40">SUM(VLOOKUP(I40:AF40,$AM$4:$AO$46,3,FALSE))</f>
        <v>600</v>
      </c>
      <c r="G40" s="89">
        <f>SUM($F$4:F40)+SUM($H$4:H40)</f>
        <v>24490</v>
      </c>
      <c r="H40" s="88">
        <v>0</v>
      </c>
      <c r="I40" s="88" t="s">
        <v>23</v>
      </c>
      <c r="J40" s="88" t="s">
        <v>23</v>
      </c>
      <c r="K40" s="88" t="s">
        <v>23</v>
      </c>
      <c r="L40" s="88" t="s">
        <v>23</v>
      </c>
      <c r="M40" s="88" t="s">
        <v>23</v>
      </c>
      <c r="N40" s="88" t="s">
        <v>23</v>
      </c>
      <c r="O40" s="92" t="s">
        <v>23</v>
      </c>
      <c r="P40" s="92" t="s">
        <v>23</v>
      </c>
      <c r="Q40" s="237" t="s">
        <v>21</v>
      </c>
      <c r="R40" s="237" t="s">
        <v>21</v>
      </c>
      <c r="S40" s="237" t="s">
        <v>21</v>
      </c>
      <c r="T40" s="237" t="s">
        <v>21</v>
      </c>
      <c r="U40" s="225" t="s">
        <v>20</v>
      </c>
      <c r="V40" s="225" t="s">
        <v>20</v>
      </c>
      <c r="W40" s="92" t="s">
        <v>23</v>
      </c>
      <c r="X40" s="92" t="s">
        <v>23</v>
      </c>
      <c r="Y40" s="224" t="s">
        <v>19</v>
      </c>
      <c r="Z40" s="211" t="s">
        <v>47</v>
      </c>
      <c r="AA40" s="224" t="s">
        <v>19</v>
      </c>
      <c r="AB40" s="224" t="s">
        <v>19</v>
      </c>
      <c r="AC40" s="224" t="s">
        <v>19</v>
      </c>
      <c r="AD40" s="224" t="s">
        <v>19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92</v>
      </c>
      <c r="AN40" s="19"/>
      <c r="AO40" s="19">
        <v>5</v>
      </c>
      <c r="AP40" s="50"/>
      <c r="AQ40" s="50"/>
      <c r="AR40">
        <v>236</v>
      </c>
      <c r="AS40">
        <v>237</v>
      </c>
      <c r="AW40" s="19" t="s">
        <v>96</v>
      </c>
      <c r="AX40" s="19">
        <v>3</v>
      </c>
      <c r="AY40" s="19">
        <v>4</v>
      </c>
      <c r="AZ40" s="19">
        <v>4</v>
      </c>
      <c r="BA40" s="19">
        <v>3</v>
      </c>
      <c r="BB40" s="19">
        <v>3</v>
      </c>
      <c r="BC40" s="19">
        <v>1</v>
      </c>
    </row>
    <row r="41" spans="1:55">
      <c r="A41" s="204">
        <v>45128</v>
      </c>
      <c r="B41" s="88">
        <v>1600</v>
      </c>
      <c r="C41" s="88"/>
      <c r="D41" s="89" cm="1">
        <f t="array" ref="D41">(SUM(VLOOKUP(I41:AF41,$AM$4:$AO$46,2,FALSE))+AG41*10)*IF(AK41="是",$AZ$4,$AZ$3)</f>
        <v>1680</v>
      </c>
      <c r="E41" s="89">
        <f>SUM($B$4:B41)+SUM($C$4:C41)-SUM($D$4:D41)</f>
        <v>1384</v>
      </c>
      <c r="F41" s="89" cm="1">
        <f t="array" ref="F41">SUM(VLOOKUP(I41:AF41,$AM$4:$AO$46,3,FALSE))</f>
        <v>615</v>
      </c>
      <c r="G41" s="89">
        <f>SUM($F$4:F41)+SUM($H$4:H41)</f>
        <v>25105</v>
      </c>
      <c r="H41" s="88">
        <v>0</v>
      </c>
      <c r="I41" s="88" t="s">
        <v>23</v>
      </c>
      <c r="J41" s="88" t="s">
        <v>23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225" t="s">
        <v>20</v>
      </c>
      <c r="R41" s="225" t="s">
        <v>20</v>
      </c>
      <c r="S41" s="225" t="s">
        <v>20</v>
      </c>
      <c r="T41" s="225" t="s">
        <v>20</v>
      </c>
      <c r="U41" s="225" t="s">
        <v>20</v>
      </c>
      <c r="V41" s="237" t="s">
        <v>21</v>
      </c>
      <c r="W41" s="92" t="s">
        <v>23</v>
      </c>
      <c r="X41" s="92" t="s">
        <v>23</v>
      </c>
      <c r="Y41" s="224" t="s">
        <v>19</v>
      </c>
      <c r="Z41" s="224" t="s">
        <v>19</v>
      </c>
      <c r="AA41" s="205" t="s">
        <v>12</v>
      </c>
      <c r="AB41" s="224" t="s">
        <v>19</v>
      </c>
      <c r="AC41" s="224" t="s">
        <v>19</v>
      </c>
      <c r="AD41" s="224" t="s">
        <v>19</v>
      </c>
      <c r="AE41" s="92" t="s">
        <v>23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 t="s">
        <v>93</v>
      </c>
      <c r="AN41" s="19"/>
      <c r="AO41" s="19">
        <v>4</v>
      </c>
      <c r="AP41" s="50"/>
      <c r="AQ41" s="50"/>
      <c r="AR41">
        <v>269</v>
      </c>
      <c r="AS41">
        <v>272</v>
      </c>
      <c r="BC41">
        <f>SUM(AX39:BC40)</f>
        <v>24</v>
      </c>
    </row>
    <row r="42" spans="1:55">
      <c r="A42" s="204">
        <v>45129</v>
      </c>
      <c r="B42" s="88">
        <v>1600</v>
      </c>
      <c r="C42" s="88"/>
      <c r="D42" s="89" cm="1">
        <f t="array" ref="D42">(SUM(VLOOKUP(I42:AF42,$AM$4:$AO$46,2,FALSE))+AG42*10)*IF(AK42="是",$AZ$4,$AZ$3)</f>
        <v>1680</v>
      </c>
      <c r="E42" s="89">
        <f>SUM($B$4:B42)+SUM($C$4:C42)-SUM($D$4:D42)</f>
        <v>1304</v>
      </c>
      <c r="F42" s="89" cm="1">
        <f t="array" ref="F42">SUM(VLOOKUP(I42:AF42,$AM$4:$AO$46,3,FALSE))</f>
        <v>610</v>
      </c>
      <c r="G42" s="89">
        <f>SUM($F$4:F42)+SUM($H$4:H42)</f>
        <v>25715</v>
      </c>
      <c r="H42" s="88">
        <v>0</v>
      </c>
      <c r="I42" s="88" t="s">
        <v>23</v>
      </c>
      <c r="J42" s="88" t="s">
        <v>23</v>
      </c>
      <c r="K42" s="88" t="s">
        <v>23</v>
      </c>
      <c r="L42" s="88" t="s">
        <v>23</v>
      </c>
      <c r="M42" s="88" t="s">
        <v>23</v>
      </c>
      <c r="N42" s="88" t="s">
        <v>23</v>
      </c>
      <c r="O42" s="92" t="s">
        <v>23</v>
      </c>
      <c r="P42" s="92" t="s">
        <v>23</v>
      </c>
      <c r="Q42" s="237" t="s">
        <v>21</v>
      </c>
      <c r="R42" s="237" t="s">
        <v>21</v>
      </c>
      <c r="S42" s="237" t="s">
        <v>21</v>
      </c>
      <c r="T42" s="237" t="s">
        <v>21</v>
      </c>
      <c r="U42" s="237" t="s">
        <v>21</v>
      </c>
      <c r="V42" s="237" t="s">
        <v>21</v>
      </c>
      <c r="W42" s="92" t="s">
        <v>23</v>
      </c>
      <c r="X42" s="92" t="s">
        <v>23</v>
      </c>
      <c r="Y42" s="224" t="s">
        <v>19</v>
      </c>
      <c r="Z42" s="224" t="s">
        <v>19</v>
      </c>
      <c r="AA42" s="224" t="s">
        <v>19</v>
      </c>
      <c r="AB42" s="224" t="s">
        <v>19</v>
      </c>
      <c r="AC42" s="224" t="s">
        <v>19</v>
      </c>
      <c r="AD42" s="88" t="s">
        <v>23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  <c r="AM42" s="19" t="s">
        <v>94</v>
      </c>
      <c r="AN42" s="19"/>
      <c r="AO42" s="19">
        <v>3</v>
      </c>
      <c r="AP42" s="50"/>
      <c r="AQ42" s="50"/>
      <c r="AR42">
        <v>358</v>
      </c>
      <c r="AS42">
        <v>358</v>
      </c>
    </row>
    <row r="43" spans="1:55">
      <c r="A43" s="204">
        <v>45130</v>
      </c>
      <c r="B43" s="88">
        <v>1600</v>
      </c>
      <c r="C43" s="88"/>
      <c r="D43" s="89" cm="1">
        <f t="array" ref="D43">(SUM(VLOOKUP(I43:AF43,$AM$4:$AO$46,2,FALSE))+AG43*10)*IF(AK43="是",$AZ$4,$AZ$3)</f>
        <v>1536</v>
      </c>
      <c r="E43" s="89">
        <f>SUM($B$4:B43)+SUM($C$4:C43)-SUM($D$4:D43)</f>
        <v>1368</v>
      </c>
      <c r="F43" s="89" cm="1">
        <f t="array" ref="F43">SUM(VLOOKUP(I43:AF43,$AM$4:$AO$46,3,FALSE))</f>
        <v>560</v>
      </c>
      <c r="G43" s="89">
        <f>SUM($F$4:F43)+SUM($H$4:H43)</f>
        <v>26275</v>
      </c>
      <c r="H43" s="88">
        <v>0</v>
      </c>
      <c r="I43" s="88" t="s">
        <v>23</v>
      </c>
      <c r="J43" s="88" t="s">
        <v>23</v>
      </c>
      <c r="K43" s="88" t="s">
        <v>23</v>
      </c>
      <c r="L43" s="88" t="s">
        <v>23</v>
      </c>
      <c r="M43" s="88" t="s">
        <v>23</v>
      </c>
      <c r="N43" s="88" t="s">
        <v>23</v>
      </c>
      <c r="O43" s="92" t="s">
        <v>23</v>
      </c>
      <c r="P43" s="92" t="s">
        <v>23</v>
      </c>
      <c r="Q43" s="237" t="s">
        <v>21</v>
      </c>
      <c r="R43" s="237" t="s">
        <v>21</v>
      </c>
      <c r="S43" s="237" t="s">
        <v>21</v>
      </c>
      <c r="T43" s="237" t="s">
        <v>21</v>
      </c>
      <c r="U43" s="237" t="s">
        <v>21</v>
      </c>
      <c r="V43" s="237" t="s">
        <v>21</v>
      </c>
      <c r="W43" s="92" t="s">
        <v>23</v>
      </c>
      <c r="X43" s="92" t="s">
        <v>23</v>
      </c>
      <c r="Y43" s="224" t="s">
        <v>19</v>
      </c>
      <c r="Z43" s="224" t="s">
        <v>19</v>
      </c>
      <c r="AA43" s="224" t="s">
        <v>19</v>
      </c>
      <c r="AB43" s="224" t="s">
        <v>19</v>
      </c>
      <c r="AC43" s="88" t="s">
        <v>23</v>
      </c>
      <c r="AD43" s="88" t="s">
        <v>23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  <c r="AM43" s="19"/>
      <c r="AN43" s="19"/>
      <c r="AO43" s="19"/>
      <c r="AP43" s="50"/>
      <c r="AQ43" s="50"/>
      <c r="AR43">
        <f>SUM(AR39:AR42)</f>
        <v>1057</v>
      </c>
      <c r="AS43">
        <f>SUM(AS39:AS42)</f>
        <v>1061</v>
      </c>
    </row>
    <row r="44" spans="1:55">
      <c r="A44" s="204">
        <v>45131</v>
      </c>
      <c r="B44" s="89">
        <v>1600</v>
      </c>
      <c r="C44" s="89"/>
      <c r="D44" s="89" cm="1">
        <f t="array" ref="D44">(SUM(VLOOKUP(I44:AF44,$AM$4:$AO$46,2,FALSE))+AG44*10)*IF(AK44="是",$AZ$4,$AZ$3)</f>
        <v>1680</v>
      </c>
      <c r="E44" s="89">
        <f>SUM($B$4:B44)+SUM($C$4:C44)-SUM($D$4:D44)</f>
        <v>1288</v>
      </c>
      <c r="F44" s="89" cm="1">
        <f t="array" ref="F44">SUM(VLOOKUP(I44:AF44,$AM$4:$AO$46,3,FALSE))</f>
        <v>610</v>
      </c>
      <c r="G44" s="89">
        <f>SUM($F$4:F44)+SUM($H$4:H44)</f>
        <v>27185</v>
      </c>
      <c r="H44" s="89">
        <v>300</v>
      </c>
      <c r="I44" s="88" t="s">
        <v>23</v>
      </c>
      <c r="J44" s="88" t="s">
        <v>23</v>
      </c>
      <c r="K44" s="88" t="s">
        <v>23</v>
      </c>
      <c r="L44" s="88" t="s">
        <v>23</v>
      </c>
      <c r="M44" s="88" t="s">
        <v>23</v>
      </c>
      <c r="N44" s="88" t="s">
        <v>23</v>
      </c>
      <c r="O44" s="92" t="s">
        <v>23</v>
      </c>
      <c r="P44" s="92" t="s">
        <v>23</v>
      </c>
      <c r="Q44" s="237" t="s">
        <v>21</v>
      </c>
      <c r="R44" s="237" t="s">
        <v>21</v>
      </c>
      <c r="S44" s="237" t="s">
        <v>21</v>
      </c>
      <c r="T44" s="237" t="s">
        <v>21</v>
      </c>
      <c r="U44" s="237" t="s">
        <v>21</v>
      </c>
      <c r="V44" s="237" t="s">
        <v>21</v>
      </c>
      <c r="W44" s="92" t="s">
        <v>23</v>
      </c>
      <c r="X44" s="92" t="s">
        <v>23</v>
      </c>
      <c r="Y44" s="224" t="s">
        <v>19</v>
      </c>
      <c r="Z44" s="224" t="s">
        <v>19</v>
      </c>
      <c r="AA44" s="224" t="s">
        <v>19</v>
      </c>
      <c r="AB44" s="224" t="s">
        <v>19</v>
      </c>
      <c r="AC44" s="224" t="s">
        <v>19</v>
      </c>
      <c r="AD44" s="88" t="s">
        <v>23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204">
        <v>45132</v>
      </c>
      <c r="B45" s="89">
        <v>1600</v>
      </c>
      <c r="C45" s="89"/>
      <c r="D45" s="89" cm="1">
        <f t="array" ref="D45">(SUM(VLOOKUP(I45:AF45,$AM$4:$AO$46,2,FALSE))+AG45*10)*IF(AK45="是",$AZ$4,$AZ$3)</f>
        <v>1368</v>
      </c>
      <c r="E45" s="89">
        <f>SUM($B$4:B45)+SUM($C$4:C45)-SUM($D$4:D45)</f>
        <v>1520</v>
      </c>
      <c r="F45" s="89" cm="1">
        <f t="array" ref="F45">SUM(VLOOKUP(I45:AF45,$AM$4:$AO$46,3,FALSE))</f>
        <v>495</v>
      </c>
      <c r="G45" s="89">
        <f>SUM($F$4:F45)+SUM($H$4:H45)</f>
        <v>27680</v>
      </c>
      <c r="H45" s="89">
        <v>0</v>
      </c>
      <c r="I45" s="88" t="s">
        <v>23</v>
      </c>
      <c r="J45" s="88" t="s">
        <v>23</v>
      </c>
      <c r="K45" s="88" t="s">
        <v>23</v>
      </c>
      <c r="L45" s="88" t="s">
        <v>23</v>
      </c>
      <c r="M45" s="88" t="s">
        <v>23</v>
      </c>
      <c r="N45" s="88" t="s">
        <v>23</v>
      </c>
      <c r="O45" s="92" t="s">
        <v>23</v>
      </c>
      <c r="P45" s="92" t="s">
        <v>23</v>
      </c>
      <c r="Q45" s="237" t="s">
        <v>21</v>
      </c>
      <c r="R45" s="237" t="s">
        <v>21</v>
      </c>
      <c r="S45" s="237" t="s">
        <v>21</v>
      </c>
      <c r="T45" s="237" t="s">
        <v>21</v>
      </c>
      <c r="U45" s="225" t="s">
        <v>20</v>
      </c>
      <c r="V45" s="88" t="s">
        <v>23</v>
      </c>
      <c r="W45" s="92" t="s">
        <v>23</v>
      </c>
      <c r="X45" s="92" t="s">
        <v>23</v>
      </c>
      <c r="Y45" s="224" t="s">
        <v>19</v>
      </c>
      <c r="Z45" s="224" t="s">
        <v>19</v>
      </c>
      <c r="AA45" s="224" t="s">
        <v>19</v>
      </c>
      <c r="AB45" s="224" t="s">
        <v>19</v>
      </c>
      <c r="AC45" s="88" t="s">
        <v>23</v>
      </c>
      <c r="AD45" s="88" t="s">
        <v>23</v>
      </c>
      <c r="AE45" s="92" t="s">
        <v>23</v>
      </c>
      <c r="AF45" s="92" t="s">
        <v>23</v>
      </c>
      <c r="AG45" s="93">
        <f t="shared" si="4"/>
        <v>0</v>
      </c>
      <c r="AH45" s="93"/>
      <c r="AI45" s="93"/>
      <c r="AJ45" s="93"/>
      <c r="AK45" s="94" t="s">
        <v>31</v>
      </c>
      <c r="AL45" s="107"/>
    </row>
    <row r="46" spans="1:55">
      <c r="A46" s="204">
        <v>45133</v>
      </c>
      <c r="B46" s="89">
        <v>1600</v>
      </c>
      <c r="C46" s="89"/>
      <c r="D46" s="89" cm="1">
        <f t="array" ref="D46">(SUM(VLOOKUP(I46:AF46,$AM$4:$AO$46,2,FALSE))+AG46*10)*IF(AK46="是",$AZ$4,$AZ$3)</f>
        <v>1584</v>
      </c>
      <c r="E46" s="89">
        <f>SUM($B$4:B46)+SUM($C$4:C46)-SUM($D$4:D46)</f>
        <v>1536</v>
      </c>
      <c r="F46" s="89" cm="1">
        <f t="array" ref="F46">SUM(VLOOKUP(I46:AF46,$AM$4:$AO$46,3,FALSE))</f>
        <v>585</v>
      </c>
      <c r="G46" s="89">
        <f>SUM($F$4:F46)+SUM($H$4:H46)</f>
        <v>28465</v>
      </c>
      <c r="H46" s="89">
        <v>200</v>
      </c>
      <c r="I46" s="88" t="s">
        <v>23</v>
      </c>
      <c r="J46" s="88" t="s">
        <v>23</v>
      </c>
      <c r="K46" s="88" t="s">
        <v>23</v>
      </c>
      <c r="L46" s="88" t="s">
        <v>23</v>
      </c>
      <c r="M46" s="88" t="s">
        <v>23</v>
      </c>
      <c r="N46" s="88" t="s">
        <v>23</v>
      </c>
      <c r="O46" s="92" t="s">
        <v>23</v>
      </c>
      <c r="P46" s="92" t="s">
        <v>23</v>
      </c>
      <c r="Q46" s="239" t="s">
        <v>9</v>
      </c>
      <c r="R46" s="225" t="s">
        <v>20</v>
      </c>
      <c r="S46" s="225" t="s">
        <v>20</v>
      </c>
      <c r="T46" s="225" t="s">
        <v>20</v>
      </c>
      <c r="U46" s="225" t="s">
        <v>20</v>
      </c>
      <c r="V46" s="237" t="s">
        <v>21</v>
      </c>
      <c r="W46" s="92" t="s">
        <v>23</v>
      </c>
      <c r="X46" s="92" t="s">
        <v>23</v>
      </c>
      <c r="Y46" s="224" t="s">
        <v>19</v>
      </c>
      <c r="Z46" s="224" t="s">
        <v>19</v>
      </c>
      <c r="AA46" s="238" t="s">
        <v>8</v>
      </c>
      <c r="AB46" s="224" t="s">
        <v>19</v>
      </c>
      <c r="AC46" s="224" t="s">
        <v>19</v>
      </c>
      <c r="AD46" s="88" t="s">
        <v>23</v>
      </c>
      <c r="AE46" s="92" t="s">
        <v>23</v>
      </c>
      <c r="AF46" s="92" t="s">
        <v>23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204">
        <v>45134</v>
      </c>
      <c r="B47" s="89">
        <v>1600</v>
      </c>
      <c r="C47" s="89"/>
      <c r="D47" s="89" cm="1">
        <f t="array" ref="D47">(SUM(VLOOKUP(I47:AF47,$AM$4:$AO$46,2,FALSE))+AG47*10)*IF(AK47="是",$AZ$4,$AZ$3)</f>
        <v>1696</v>
      </c>
      <c r="E47" s="89">
        <f>SUM($B$4:B47)+SUM($C$4:C47)-SUM($D$4:D47)</f>
        <v>1440</v>
      </c>
      <c r="F47" s="89" cm="1">
        <f t="array" ref="F47">SUM(VLOOKUP(I47:AF47,$AM$4:$AO$46,3,FALSE))</f>
        <v>620</v>
      </c>
      <c r="G47" s="89">
        <f>SUM($F$4:F47)+SUM($H$4:H47)</f>
        <v>29085</v>
      </c>
      <c r="H47" s="89">
        <v>0</v>
      </c>
      <c r="I47" s="88" t="s">
        <v>23</v>
      </c>
      <c r="J47" s="88" t="s">
        <v>23</v>
      </c>
      <c r="K47" s="88" t="s">
        <v>23</v>
      </c>
      <c r="L47" s="88" t="s">
        <v>23</v>
      </c>
      <c r="M47" s="88" t="s">
        <v>23</v>
      </c>
      <c r="N47" s="88" t="s">
        <v>23</v>
      </c>
      <c r="O47" s="92" t="s">
        <v>23</v>
      </c>
      <c r="P47" s="92" t="s">
        <v>23</v>
      </c>
      <c r="Q47" s="237" t="s">
        <v>21</v>
      </c>
      <c r="R47" s="237" t="s">
        <v>21</v>
      </c>
      <c r="S47" s="237" t="s">
        <v>21</v>
      </c>
      <c r="T47" s="237" t="s">
        <v>21</v>
      </c>
      <c r="U47" s="237" t="s">
        <v>21</v>
      </c>
      <c r="V47" s="237" t="s">
        <v>21</v>
      </c>
      <c r="W47" s="92" t="s">
        <v>23</v>
      </c>
      <c r="X47" s="92" t="s">
        <v>23</v>
      </c>
      <c r="Y47" s="225" t="s">
        <v>20</v>
      </c>
      <c r="Z47" s="225" t="s">
        <v>20</v>
      </c>
      <c r="AA47" s="224" t="s">
        <v>19</v>
      </c>
      <c r="AB47" s="224" t="s">
        <v>19</v>
      </c>
      <c r="AC47" s="224" t="s">
        <v>19</v>
      </c>
      <c r="AD47" s="88" t="s">
        <v>23</v>
      </c>
      <c r="AE47" s="92" t="s">
        <v>23</v>
      </c>
      <c r="AF47" s="92" t="s">
        <v>23</v>
      </c>
      <c r="AG47" s="93">
        <f t="shared" si="4"/>
        <v>0</v>
      </c>
      <c r="AH47" s="93"/>
      <c r="AI47" s="93"/>
      <c r="AJ47" s="93"/>
      <c r="AK47" s="94" t="s">
        <v>31</v>
      </c>
      <c r="AL47" s="107"/>
    </row>
    <row r="48" spans="1:55">
      <c r="A48" s="204">
        <v>45135</v>
      </c>
      <c r="B48" s="89">
        <v>1600</v>
      </c>
      <c r="C48" s="89"/>
      <c r="D48" s="89" cm="1">
        <f t="array" ref="D48">(SUM(VLOOKUP(I48:AF48,$AM$4:$AO$46,2,FALSE))+AG48*10)*IF(AK48="是",$AZ$4,$AZ$3)</f>
        <v>1712</v>
      </c>
      <c r="E48" s="89">
        <f>SUM($B$4:B48)+SUM($C$4:C48)-SUM($D$4:D48)</f>
        <v>1328</v>
      </c>
      <c r="F48" s="89" cm="1">
        <f t="array" ref="F48">SUM(VLOOKUP(I48:AF48,$AM$4:$AO$46,3,FALSE))</f>
        <v>690</v>
      </c>
      <c r="G48" s="89">
        <f>SUM($F$4:F48)+SUM($H$4:H48)</f>
        <v>29775</v>
      </c>
      <c r="H48" s="89">
        <v>0</v>
      </c>
      <c r="I48" s="88" t="s">
        <v>23</v>
      </c>
      <c r="J48" s="88" t="s">
        <v>23</v>
      </c>
      <c r="K48" s="88" t="s">
        <v>23</v>
      </c>
      <c r="L48" s="88" t="s">
        <v>23</v>
      </c>
      <c r="M48" s="88" t="s">
        <v>23</v>
      </c>
      <c r="N48" s="88" t="s">
        <v>23</v>
      </c>
      <c r="O48" s="92" t="s">
        <v>23</v>
      </c>
      <c r="P48" s="92" t="s">
        <v>23</v>
      </c>
      <c r="Q48" s="237" t="s">
        <v>21</v>
      </c>
      <c r="R48" s="237" t="s">
        <v>21</v>
      </c>
      <c r="S48" s="211" t="s">
        <v>47</v>
      </c>
      <c r="T48" s="237" t="s">
        <v>21</v>
      </c>
      <c r="U48" s="237" t="s">
        <v>21</v>
      </c>
      <c r="V48" s="237" t="s">
        <v>21</v>
      </c>
      <c r="W48" s="237" t="s">
        <v>21</v>
      </c>
      <c r="X48" s="237" t="s">
        <v>21</v>
      </c>
      <c r="Y48" s="224" t="s">
        <v>19</v>
      </c>
      <c r="Z48" s="225" t="s">
        <v>20</v>
      </c>
      <c r="AA48" s="225" t="s">
        <v>20</v>
      </c>
      <c r="AB48" s="225" t="s">
        <v>20</v>
      </c>
      <c r="AC48" s="225" t="s">
        <v>20</v>
      </c>
      <c r="AD48" s="88" t="s">
        <v>23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204">
        <v>45136</v>
      </c>
      <c r="B49" s="89">
        <v>1600</v>
      </c>
      <c r="C49" s="89"/>
      <c r="D49" s="89" cm="1">
        <f t="array" ref="D49">(SUM(VLOOKUP(I49:AF49,$AM$4:$AO$46,2,FALSE))+AG49*10)*IF(AK49="是",$AZ$4,$AZ$3)</f>
        <v>1568</v>
      </c>
      <c r="E49" s="89">
        <f>SUM($B$4:B49)+SUM($C$4:C49)-SUM($D$4:D49)</f>
        <v>1360</v>
      </c>
      <c r="F49" s="89" cm="1">
        <f t="array" ref="F49">SUM(VLOOKUP(I49:AF49,$AM$4:$AO$46,3,FALSE))</f>
        <v>580</v>
      </c>
      <c r="G49" s="89">
        <f>SUM($F$4:F49)+SUM($H$4:H49)</f>
        <v>30355</v>
      </c>
      <c r="H49" s="89">
        <v>0</v>
      </c>
      <c r="I49" s="88" t="s">
        <v>23</v>
      </c>
      <c r="J49" s="88" t="s">
        <v>23</v>
      </c>
      <c r="K49" s="88" t="s">
        <v>23</v>
      </c>
      <c r="L49" s="88" t="s">
        <v>23</v>
      </c>
      <c r="M49" s="88" t="s">
        <v>23</v>
      </c>
      <c r="N49" s="88" t="s">
        <v>23</v>
      </c>
      <c r="O49" s="92" t="s">
        <v>23</v>
      </c>
      <c r="P49" s="92" t="s">
        <v>23</v>
      </c>
      <c r="Q49" s="237" t="s">
        <v>21</v>
      </c>
      <c r="R49" s="237" t="s">
        <v>21</v>
      </c>
      <c r="S49" s="237" t="s">
        <v>21</v>
      </c>
      <c r="T49" s="237" t="s">
        <v>21</v>
      </c>
      <c r="U49" s="237" t="s">
        <v>21</v>
      </c>
      <c r="V49" s="237" t="s">
        <v>21</v>
      </c>
      <c r="W49" s="92" t="s">
        <v>23</v>
      </c>
      <c r="X49" s="92" t="s">
        <v>23</v>
      </c>
      <c r="Y49" s="225" t="s">
        <v>20</v>
      </c>
      <c r="Z49" s="225" t="s">
        <v>20</v>
      </c>
      <c r="AA49" s="225" t="s">
        <v>20</v>
      </c>
      <c r="AB49" s="225" t="s">
        <v>20</v>
      </c>
      <c r="AC49" s="88" t="s">
        <v>23</v>
      </c>
      <c r="AD49" s="88" t="s">
        <v>23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204">
        <v>45137</v>
      </c>
      <c r="B50" s="89">
        <v>1600</v>
      </c>
      <c r="C50" s="89"/>
      <c r="D50" s="89" cm="1">
        <f t="array" ref="D50">(SUM(VLOOKUP(I50:AF50,$AM$4:$AO$46,2,FALSE))+AG50*10)*IF(AK50="是",$AZ$4,$AZ$3)</f>
        <v>1616</v>
      </c>
      <c r="E50" s="89">
        <f>SUM($B$4:B50)+SUM($C$4:C50)-SUM($D$4:D50)</f>
        <v>1344</v>
      </c>
      <c r="F50" s="89" cm="1">
        <f t="array" ref="F50">SUM(VLOOKUP(I50:AF50,$AM$4:$AO$46,3,FALSE))</f>
        <v>1025</v>
      </c>
      <c r="G50" s="89">
        <f>SUM($F$4:F50)+SUM($H$4:H50)</f>
        <v>31380</v>
      </c>
      <c r="H50" s="89">
        <v>0</v>
      </c>
      <c r="I50" s="88" t="s">
        <v>23</v>
      </c>
      <c r="J50" s="88" t="s">
        <v>23</v>
      </c>
      <c r="K50" s="88" t="s">
        <v>23</v>
      </c>
      <c r="L50" s="88" t="s">
        <v>23</v>
      </c>
      <c r="M50" s="88" t="s">
        <v>23</v>
      </c>
      <c r="N50" s="88" t="s">
        <v>23</v>
      </c>
      <c r="O50" s="92" t="s">
        <v>23</v>
      </c>
      <c r="P50" s="92" t="s">
        <v>23</v>
      </c>
      <c r="Q50" s="237" t="s">
        <v>21</v>
      </c>
      <c r="R50" s="237" t="s">
        <v>21</v>
      </c>
      <c r="S50" s="237" t="s">
        <v>21</v>
      </c>
      <c r="T50" s="237" t="s">
        <v>21</v>
      </c>
      <c r="U50" s="237" t="s">
        <v>21</v>
      </c>
      <c r="V50" s="237" t="s">
        <v>21</v>
      </c>
      <c r="W50" s="92" t="s">
        <v>23</v>
      </c>
      <c r="X50" s="92" t="s">
        <v>23</v>
      </c>
      <c r="Y50" s="225" t="s">
        <v>20</v>
      </c>
      <c r="Z50" s="240" t="s">
        <v>41</v>
      </c>
      <c r="AA50" s="225" t="s">
        <v>20</v>
      </c>
      <c r="AB50" s="225" t="s">
        <v>20</v>
      </c>
      <c r="AC50" s="88" t="s">
        <v>23</v>
      </c>
      <c r="AD50" s="88" t="s">
        <v>23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204">
        <v>45138</v>
      </c>
      <c r="B51" s="88">
        <v>1600</v>
      </c>
      <c r="C51" s="88"/>
      <c r="D51" s="89" cm="1">
        <f t="array" ref="D51">(SUM(VLOOKUP(I51:AF51,$AM$4:$AO$46,2,FALSE))+AG51*10)*IF(AK51="是",$AZ$4,$AZ$3)</f>
        <v>1440</v>
      </c>
      <c r="E51" s="89">
        <f>SUM($B$4:B51)+SUM($C$4:C51)-SUM($D$4:D51)</f>
        <v>1504</v>
      </c>
      <c r="F51" s="89" cm="1">
        <f t="array" ref="F51">SUM(VLOOKUP(I51:AF51,$AM$4:$AO$46,3,FALSE))</f>
        <v>1515</v>
      </c>
      <c r="G51" s="89">
        <f>SUM($F$4:F51)+SUM($H$4:H51)</f>
        <v>33095</v>
      </c>
      <c r="H51" s="88">
        <v>200</v>
      </c>
      <c r="I51" s="88" t="s">
        <v>23</v>
      </c>
      <c r="J51" s="88" t="s">
        <v>23</v>
      </c>
      <c r="K51" s="88" t="s">
        <v>23</v>
      </c>
      <c r="L51" s="88" t="s">
        <v>23</v>
      </c>
      <c r="M51" s="88" t="s">
        <v>23</v>
      </c>
      <c r="N51" s="88" t="s">
        <v>23</v>
      </c>
      <c r="O51" s="92" t="s">
        <v>23</v>
      </c>
      <c r="P51" s="92" t="s">
        <v>23</v>
      </c>
      <c r="Q51" s="237" t="s">
        <v>21</v>
      </c>
      <c r="R51" s="242" t="s">
        <v>15</v>
      </c>
      <c r="S51" s="237" t="s">
        <v>21</v>
      </c>
      <c r="T51" s="237" t="s">
        <v>21</v>
      </c>
      <c r="U51" s="237" t="s">
        <v>21</v>
      </c>
      <c r="V51" s="88" t="s">
        <v>23</v>
      </c>
      <c r="W51" s="92" t="s">
        <v>23</v>
      </c>
      <c r="X51" s="92" t="s">
        <v>23</v>
      </c>
      <c r="Y51" s="225" t="s">
        <v>20</v>
      </c>
      <c r="Z51" s="225" t="s">
        <v>20</v>
      </c>
      <c r="AA51" s="225" t="s">
        <v>20</v>
      </c>
      <c r="AB51" s="211" t="s">
        <v>47</v>
      </c>
      <c r="AC51" s="225" t="s">
        <v>20</v>
      </c>
      <c r="AD51" s="225" t="s">
        <v>20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204">
        <v>45139</v>
      </c>
      <c r="B52" s="88">
        <v>1600</v>
      </c>
      <c r="C52" s="88"/>
      <c r="D52" s="89" cm="1">
        <f t="array" ref="D52">(SUM(VLOOKUP(I52:AF52,$AM$4:$AO$46,2,FALSE))+AG52*10)*IF(AK52="是",$AZ$4,$AZ$3)</f>
        <v>1704</v>
      </c>
      <c r="E52" s="89">
        <f>SUM($B$4:B52)+SUM($C$4:C52)-SUM($D$4:D52)</f>
        <v>1400</v>
      </c>
      <c r="F52" s="89" cm="1">
        <f t="array" ref="F52">SUM(VLOOKUP(I52:AF52,$AM$4:$AO$46,3,FALSE))</f>
        <v>625</v>
      </c>
      <c r="G52" s="89">
        <f>SUM($F$4:F52)+SUM($H$4:H52)</f>
        <v>33820</v>
      </c>
      <c r="H52" s="88">
        <v>100</v>
      </c>
      <c r="I52" s="88" t="s">
        <v>23</v>
      </c>
      <c r="J52" s="88" t="s">
        <v>23</v>
      </c>
      <c r="K52" s="88" t="s">
        <v>23</v>
      </c>
      <c r="L52" s="88" t="s">
        <v>23</v>
      </c>
      <c r="M52" s="88" t="s">
        <v>23</v>
      </c>
      <c r="N52" s="88" t="s">
        <v>23</v>
      </c>
      <c r="O52" s="92" t="s">
        <v>23</v>
      </c>
      <c r="P52" s="92" t="s">
        <v>23</v>
      </c>
      <c r="Q52" s="237" t="s">
        <v>21</v>
      </c>
      <c r="R52" s="237" t="s">
        <v>21</v>
      </c>
      <c r="S52" s="237" t="s">
        <v>21</v>
      </c>
      <c r="T52" s="237" t="s">
        <v>21</v>
      </c>
      <c r="U52" s="237" t="s">
        <v>21</v>
      </c>
      <c r="V52" s="237" t="s">
        <v>21</v>
      </c>
      <c r="W52" s="92" t="s">
        <v>23</v>
      </c>
      <c r="X52" s="92" t="s">
        <v>23</v>
      </c>
      <c r="Y52" s="225" t="s">
        <v>20</v>
      </c>
      <c r="Z52" s="225" t="s">
        <v>20</v>
      </c>
      <c r="AA52" s="224" t="s">
        <v>19</v>
      </c>
      <c r="AB52" s="225" t="s">
        <v>20</v>
      </c>
      <c r="AC52" s="224" t="s">
        <v>19</v>
      </c>
      <c r="AD52" s="88" t="s">
        <v>23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204">
        <v>45140</v>
      </c>
      <c r="B53" s="88">
        <v>1600</v>
      </c>
      <c r="C53" s="88"/>
      <c r="D53" s="89" cm="1">
        <f t="array" ref="D53">(SUM(VLOOKUP(I53:AF53,$AM$4:$AO$46,2,FALSE))+AG53*10)*IF(AK53="是",$AZ$4,$AZ$3)</f>
        <v>1592</v>
      </c>
      <c r="E53" s="89">
        <f>SUM($B$4:B53)+SUM($C$4:C53)-SUM($D$4:D53)</f>
        <v>1408</v>
      </c>
      <c r="F53" s="89" cm="1">
        <f t="array" ref="F53">SUM(VLOOKUP(I53:AF53,$AM$4:$AO$46,3,FALSE))</f>
        <v>600</v>
      </c>
      <c r="G53" s="89">
        <f>SUM($F$4:F53)+SUM($H$4:H53)</f>
        <v>34620</v>
      </c>
      <c r="H53" s="88">
        <v>200</v>
      </c>
      <c r="I53" s="88" t="s">
        <v>23</v>
      </c>
      <c r="J53" s="88" t="s">
        <v>23</v>
      </c>
      <c r="K53" s="88" t="s">
        <v>23</v>
      </c>
      <c r="L53" s="88" t="s">
        <v>23</v>
      </c>
      <c r="M53" s="88" t="s">
        <v>23</v>
      </c>
      <c r="N53" s="88" t="s">
        <v>23</v>
      </c>
      <c r="O53" s="92" t="s">
        <v>23</v>
      </c>
      <c r="P53" s="92" t="s">
        <v>23</v>
      </c>
      <c r="Q53" s="237" t="s">
        <v>21</v>
      </c>
      <c r="R53" s="237" t="s">
        <v>21</v>
      </c>
      <c r="S53" s="237" t="s">
        <v>21</v>
      </c>
      <c r="T53" s="237" t="s">
        <v>21</v>
      </c>
      <c r="U53" s="237" t="s">
        <v>21</v>
      </c>
      <c r="V53" s="237" t="s">
        <v>21</v>
      </c>
      <c r="W53" s="92" t="s">
        <v>23</v>
      </c>
      <c r="X53" s="92" t="s">
        <v>23</v>
      </c>
      <c r="Y53" s="205" t="s">
        <v>12</v>
      </c>
      <c r="Z53" s="224" t="s">
        <v>19</v>
      </c>
      <c r="AA53" s="224" t="s">
        <v>19</v>
      </c>
      <c r="AB53" s="225" t="s">
        <v>20</v>
      </c>
      <c r="AC53" s="225" t="s">
        <v>20</v>
      </c>
      <c r="AD53" s="88" t="s">
        <v>23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204">
        <v>45141</v>
      </c>
      <c r="B54" s="88">
        <v>1600</v>
      </c>
      <c r="C54" s="88"/>
      <c r="D54" s="89" cm="1">
        <f t="array" ref="D54">(SUM(VLOOKUP(I54:AF54,$AM$4:$AO$46,2,FALSE))+AG54*10)*IF(AK54="是",$AZ$4,$AZ$3)</f>
        <v>1544</v>
      </c>
      <c r="E54" s="89">
        <f>SUM($B$4:B54)+SUM($C$4:C54)-SUM($D$4:D54)</f>
        <v>1464</v>
      </c>
      <c r="F54" s="89" cm="1">
        <f t="array" ref="F54">SUM(VLOOKUP(I54:AF54,$AM$4:$AO$46,3,FALSE))</f>
        <v>565</v>
      </c>
      <c r="G54" s="89">
        <f>SUM($F$4:F54)+SUM($H$4:H54)</f>
        <v>35185</v>
      </c>
      <c r="H54" s="88">
        <v>0</v>
      </c>
      <c r="I54" s="88" t="s">
        <v>23</v>
      </c>
      <c r="J54" s="88" t="s">
        <v>23</v>
      </c>
      <c r="K54" s="88" t="s">
        <v>23</v>
      </c>
      <c r="L54" s="88" t="s">
        <v>23</v>
      </c>
      <c r="M54" s="88" t="s">
        <v>23</v>
      </c>
      <c r="N54" s="88" t="s">
        <v>23</v>
      </c>
      <c r="O54" s="92" t="s">
        <v>23</v>
      </c>
      <c r="P54" s="92" t="s">
        <v>23</v>
      </c>
      <c r="Q54" s="237" t="s">
        <v>21</v>
      </c>
      <c r="R54" s="237" t="s">
        <v>21</v>
      </c>
      <c r="S54" s="237" t="s">
        <v>21</v>
      </c>
      <c r="T54" s="237" t="s">
        <v>21</v>
      </c>
      <c r="U54" s="237" t="s">
        <v>21</v>
      </c>
      <c r="V54" s="88" t="s">
        <v>23</v>
      </c>
      <c r="W54" s="92" t="s">
        <v>23</v>
      </c>
      <c r="X54" s="92" t="s">
        <v>23</v>
      </c>
      <c r="Y54" s="224" t="s">
        <v>19</v>
      </c>
      <c r="Z54" s="224" t="s">
        <v>19</v>
      </c>
      <c r="AA54" s="225" t="s">
        <v>20</v>
      </c>
      <c r="AB54" s="225" t="s">
        <v>20</v>
      </c>
      <c r="AC54" s="225" t="s">
        <v>20</v>
      </c>
      <c r="AD54" s="88" t="s">
        <v>23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204">
        <v>45142</v>
      </c>
      <c r="B55" s="88">
        <v>1600</v>
      </c>
      <c r="C55" s="88"/>
      <c r="D55" s="89" cm="1">
        <f t="array" ref="D55">(SUM(VLOOKUP(I55:AF55,$AM$4:$AO$46,2,FALSE))+AG55*10)*IF(AK55="是",$AZ$4,$AZ$3)</f>
        <v>1544</v>
      </c>
      <c r="E55" s="89">
        <f>SUM($B$4:B55)+SUM($C$4:C55)-SUM($D$4:D55)</f>
        <v>1520</v>
      </c>
      <c r="F55" s="89" cm="1">
        <f t="array" ref="F55">SUM(VLOOKUP(I55:AF55,$AM$4:$AO$46,3,FALSE))</f>
        <v>565</v>
      </c>
      <c r="G55" s="89">
        <f>SUM($F$4:F55)+SUM($H$4:H55)</f>
        <v>35750</v>
      </c>
      <c r="H55" s="88">
        <v>0</v>
      </c>
      <c r="I55" s="88" t="s">
        <v>23</v>
      </c>
      <c r="J55" s="88" t="s">
        <v>23</v>
      </c>
      <c r="K55" s="88" t="s">
        <v>23</v>
      </c>
      <c r="L55" s="88" t="s">
        <v>23</v>
      </c>
      <c r="M55" s="88" t="s">
        <v>23</v>
      </c>
      <c r="N55" s="88" t="s">
        <v>23</v>
      </c>
      <c r="O55" s="92" t="s">
        <v>23</v>
      </c>
      <c r="P55" s="92" t="s">
        <v>23</v>
      </c>
      <c r="Q55" s="237" t="s">
        <v>21</v>
      </c>
      <c r="R55" s="237" t="s">
        <v>21</v>
      </c>
      <c r="S55" s="237" t="s">
        <v>21</v>
      </c>
      <c r="T55" s="225" t="s">
        <v>20</v>
      </c>
      <c r="U55" s="225" t="s">
        <v>20</v>
      </c>
      <c r="V55" s="88" t="s">
        <v>23</v>
      </c>
      <c r="W55" s="92" t="s">
        <v>23</v>
      </c>
      <c r="X55" s="92" t="s">
        <v>23</v>
      </c>
      <c r="Y55" s="225" t="s">
        <v>20</v>
      </c>
      <c r="Z55" s="225" t="s">
        <v>20</v>
      </c>
      <c r="AA55" s="225" t="s">
        <v>20</v>
      </c>
      <c r="AB55" s="225" t="s">
        <v>20</v>
      </c>
      <c r="AC55" s="225" t="s">
        <v>20</v>
      </c>
      <c r="AD55" s="88" t="s">
        <v>23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204">
        <v>45143</v>
      </c>
      <c r="B56" s="88">
        <v>1600</v>
      </c>
      <c r="C56" s="88"/>
      <c r="D56" s="89" cm="1">
        <f t="array" ref="D56">(SUM(VLOOKUP(I56:AF56,$AM$4:$AO$46,2,FALSE))+AG56*10)*IF(AK56="是",$AZ$4,$AZ$3)</f>
        <v>1256</v>
      </c>
      <c r="E56" s="89">
        <f>SUM($B$4:B56)+SUM($C$4:C56)-SUM($D$4:D56)</f>
        <v>1864</v>
      </c>
      <c r="F56" s="89" cm="1">
        <f t="array" ref="F56">SUM(VLOOKUP(I56:AF56,$AM$4:$AO$46,3,FALSE))</f>
        <v>960</v>
      </c>
      <c r="G56" s="89">
        <f>SUM($F$4:F56)+SUM($H$4:H56)</f>
        <v>36710</v>
      </c>
      <c r="H56" s="88">
        <v>0</v>
      </c>
      <c r="I56" s="88" t="s">
        <v>23</v>
      </c>
      <c r="J56" s="88" t="s">
        <v>23</v>
      </c>
      <c r="K56" s="88" t="s">
        <v>23</v>
      </c>
      <c r="L56" s="88" t="s">
        <v>23</v>
      </c>
      <c r="M56" s="88" t="s">
        <v>23</v>
      </c>
      <c r="N56" s="88" t="s">
        <v>23</v>
      </c>
      <c r="O56" s="92" t="s">
        <v>23</v>
      </c>
      <c r="P56" s="92" t="s">
        <v>23</v>
      </c>
      <c r="Q56" s="225" t="s">
        <v>20</v>
      </c>
      <c r="R56" s="225" t="s">
        <v>20</v>
      </c>
      <c r="S56" s="225" t="s">
        <v>20</v>
      </c>
      <c r="T56" s="225" t="s">
        <v>20</v>
      </c>
      <c r="U56" s="243" t="s">
        <v>87</v>
      </c>
      <c r="V56" s="88" t="s">
        <v>23</v>
      </c>
      <c r="W56" s="92" t="s">
        <v>23</v>
      </c>
      <c r="X56" s="92" t="s">
        <v>23</v>
      </c>
      <c r="Y56" s="225" t="s">
        <v>20</v>
      </c>
      <c r="Z56" s="225" t="s">
        <v>20</v>
      </c>
      <c r="AA56" s="225" t="s">
        <v>20</v>
      </c>
      <c r="AB56" s="225" t="s">
        <v>20</v>
      </c>
      <c r="AC56" s="88" t="s">
        <v>23</v>
      </c>
      <c r="AD56" s="88" t="s">
        <v>23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204">
        <v>45144</v>
      </c>
      <c r="B57" s="88">
        <v>1600</v>
      </c>
      <c r="C57" s="88"/>
      <c r="D57" s="89" cm="1">
        <f t="array" ref="D57">(SUM(VLOOKUP(I57:AF57,$AM$4:$AO$46,2,FALSE))+AG57*10)*IF(AK57="是",$AZ$4,$AZ$3)</f>
        <v>1816</v>
      </c>
      <c r="E57" s="89">
        <f>SUM($B$4:B57)+SUM($C$4:C57)-SUM($D$4:D57)</f>
        <v>1648</v>
      </c>
      <c r="F57" s="89" cm="1">
        <f t="array" ref="F57">SUM(VLOOKUP(I57:AF57,$AM$4:$AO$46,3,FALSE))</f>
        <v>655</v>
      </c>
      <c r="G57" s="89">
        <f>SUM($F$4:F57)+SUM($H$4:H57)</f>
        <v>37365</v>
      </c>
      <c r="H57" s="88">
        <v>0</v>
      </c>
      <c r="I57" s="88" t="s">
        <v>23</v>
      </c>
      <c r="J57" s="88" t="s">
        <v>23</v>
      </c>
      <c r="K57" s="88" t="s">
        <v>23</v>
      </c>
      <c r="L57" s="88" t="s">
        <v>23</v>
      </c>
      <c r="M57" s="88" t="s">
        <v>23</v>
      </c>
      <c r="N57" s="88" t="s">
        <v>23</v>
      </c>
      <c r="O57" s="92" t="s">
        <v>23</v>
      </c>
      <c r="P57" s="92" t="s">
        <v>23</v>
      </c>
      <c r="Q57" s="225" t="s">
        <v>20</v>
      </c>
      <c r="R57" s="225" t="s">
        <v>20</v>
      </c>
      <c r="S57" s="225" t="s">
        <v>20</v>
      </c>
      <c r="T57" s="225" t="s">
        <v>20</v>
      </c>
      <c r="U57" s="225" t="s">
        <v>20</v>
      </c>
      <c r="V57" s="224" t="s">
        <v>19</v>
      </c>
      <c r="W57" s="92" t="s">
        <v>23</v>
      </c>
      <c r="X57" s="92" t="s">
        <v>23</v>
      </c>
      <c r="Y57" s="225" t="s">
        <v>20</v>
      </c>
      <c r="Z57" s="225" t="s">
        <v>20</v>
      </c>
      <c r="AA57" s="225" t="s">
        <v>20</v>
      </c>
      <c r="AB57" s="225" t="s">
        <v>20</v>
      </c>
      <c r="AC57" s="225" t="s">
        <v>20</v>
      </c>
      <c r="AD57" s="225" t="s">
        <v>20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204">
        <v>45145</v>
      </c>
      <c r="B58" s="89">
        <v>1600</v>
      </c>
      <c r="C58" s="89"/>
      <c r="D58" s="89" cm="1">
        <f t="array" ref="D58">(SUM(VLOOKUP(I58:AF58,$AM$4:$AO$46,2,FALSE))+AG58*10)*IF(AK58="是",$AZ$4,$AZ$3)</f>
        <v>1632</v>
      </c>
      <c r="E58" s="89">
        <f>SUM($B$4:B58)+SUM($C$4:C58)-SUM($D$4:D58)</f>
        <v>1616</v>
      </c>
      <c r="F58" s="89" cm="1">
        <f t="array" ref="F58">SUM(VLOOKUP(I58:AF58,$AM$4:$AO$46,3,FALSE))</f>
        <v>580</v>
      </c>
      <c r="G58" s="89">
        <f>SUM($F$4:F58)+SUM($H$4:H58)</f>
        <v>38245</v>
      </c>
      <c r="H58" s="89">
        <v>300</v>
      </c>
      <c r="I58" s="88" t="s">
        <v>23</v>
      </c>
      <c r="J58" s="88" t="s">
        <v>23</v>
      </c>
      <c r="K58" s="88" t="s">
        <v>23</v>
      </c>
      <c r="L58" s="88" t="s">
        <v>23</v>
      </c>
      <c r="M58" s="88" t="s">
        <v>23</v>
      </c>
      <c r="N58" s="88" t="s">
        <v>23</v>
      </c>
      <c r="O58" s="92" t="s">
        <v>23</v>
      </c>
      <c r="P58" s="92" t="s">
        <v>23</v>
      </c>
      <c r="Q58" s="224" t="s">
        <v>19</v>
      </c>
      <c r="R58" s="224" t="s">
        <v>19</v>
      </c>
      <c r="S58" s="224" t="s">
        <v>19</v>
      </c>
      <c r="T58" s="224" t="s">
        <v>19</v>
      </c>
      <c r="U58" s="224" t="s">
        <v>19</v>
      </c>
      <c r="V58" s="88" t="s">
        <v>23</v>
      </c>
      <c r="W58" s="92" t="s">
        <v>23</v>
      </c>
      <c r="X58" s="92" t="s">
        <v>23</v>
      </c>
      <c r="Y58" s="225" t="s">
        <v>20</v>
      </c>
      <c r="Z58" s="225" t="s">
        <v>20</v>
      </c>
      <c r="AA58" s="225" t="s">
        <v>20</v>
      </c>
      <c r="AB58" s="225" t="s">
        <v>20</v>
      </c>
      <c r="AC58" s="225" t="s">
        <v>20</v>
      </c>
      <c r="AD58" s="225" t="s">
        <v>20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204">
        <v>45146</v>
      </c>
      <c r="B59" s="89">
        <v>1600</v>
      </c>
      <c r="C59" s="89"/>
      <c r="D59" s="89" cm="1">
        <f t="array" ref="D59">(SUM(VLOOKUP(I59:AF59,$AM$4:$AO$46,2,FALSE))+AG59*10)*IF(AK59="是",$AZ$4,$AZ$3)</f>
        <v>1368</v>
      </c>
      <c r="E59" s="89">
        <f>SUM($B$4:B59)+SUM($C$4:C59)-SUM($D$4:D59)</f>
        <v>1848</v>
      </c>
      <c r="F59" s="89" cm="1">
        <f t="array" ref="F59">SUM(VLOOKUP(I59:AF59,$AM$4:$AO$46,3,FALSE))</f>
        <v>990</v>
      </c>
      <c r="G59" s="89">
        <f>SUM($F$4:F59)+SUM($H$4:H59)</f>
        <v>39235</v>
      </c>
      <c r="H59" s="89">
        <v>0</v>
      </c>
      <c r="I59" s="88" t="s">
        <v>23</v>
      </c>
      <c r="J59" s="88" t="s">
        <v>23</v>
      </c>
      <c r="K59" s="88" t="s">
        <v>23</v>
      </c>
      <c r="L59" s="88" t="s">
        <v>23</v>
      </c>
      <c r="M59" s="88" t="s">
        <v>23</v>
      </c>
      <c r="N59" s="88" t="s">
        <v>23</v>
      </c>
      <c r="O59" s="92" t="s">
        <v>23</v>
      </c>
      <c r="P59" s="92" t="s">
        <v>23</v>
      </c>
      <c r="Q59" s="224" t="s">
        <v>19</v>
      </c>
      <c r="R59" s="224" t="s">
        <v>19</v>
      </c>
      <c r="S59" s="224" t="s">
        <v>19</v>
      </c>
      <c r="T59" s="224" t="s">
        <v>19</v>
      </c>
      <c r="U59" s="224" t="s">
        <v>19</v>
      </c>
      <c r="V59" s="88" t="s">
        <v>23</v>
      </c>
      <c r="W59" s="92" t="s">
        <v>23</v>
      </c>
      <c r="X59" s="92" t="s">
        <v>23</v>
      </c>
      <c r="Y59" s="225" t="s">
        <v>20</v>
      </c>
      <c r="Z59" s="225" t="s">
        <v>20</v>
      </c>
      <c r="AA59" s="225" t="s">
        <v>20</v>
      </c>
      <c r="AB59" s="225" t="s">
        <v>20</v>
      </c>
      <c r="AC59" s="243" t="s">
        <v>87</v>
      </c>
      <c r="AD59" s="88" t="s">
        <v>23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204">
        <v>45147</v>
      </c>
      <c r="B60" s="89">
        <v>1600</v>
      </c>
      <c r="C60" s="89"/>
      <c r="D60" s="89" cm="1">
        <f t="array" ref="D60">(SUM(VLOOKUP(I60:AF60,$AM$4:$AO$46,2,FALSE))+AG60*10)*IF(AK60="是",$AZ$4,$AZ$3)</f>
        <v>1624</v>
      </c>
      <c r="E60" s="89">
        <f>SUM($B$4:B60)+SUM($C$4:C60)-SUM($D$4:D60)</f>
        <v>1824</v>
      </c>
      <c r="F60" s="89" cm="1">
        <f t="array" ref="F60">SUM(VLOOKUP(I60:AF60,$AM$4:$AO$46,3,FALSE))</f>
        <v>635</v>
      </c>
      <c r="G60" s="89">
        <f>SUM($F$4:F60)+SUM($H$4:H60)</f>
        <v>40070</v>
      </c>
      <c r="H60" s="89">
        <v>200</v>
      </c>
      <c r="I60" s="88" t="s">
        <v>23</v>
      </c>
      <c r="J60" s="88" t="s">
        <v>23</v>
      </c>
      <c r="K60" s="88" t="s">
        <v>23</v>
      </c>
      <c r="L60" s="88" t="s">
        <v>23</v>
      </c>
      <c r="M60" s="88" t="s">
        <v>23</v>
      </c>
      <c r="N60" s="88" t="s">
        <v>23</v>
      </c>
      <c r="O60" s="92" t="s">
        <v>23</v>
      </c>
      <c r="P60" s="92" t="s">
        <v>23</v>
      </c>
      <c r="Q60" s="224" t="s">
        <v>19</v>
      </c>
      <c r="R60" s="224" t="s">
        <v>19</v>
      </c>
      <c r="S60" s="224" t="s">
        <v>19</v>
      </c>
      <c r="T60" s="224" t="s">
        <v>19</v>
      </c>
      <c r="U60" s="224" t="s">
        <v>19</v>
      </c>
      <c r="V60" s="88" t="s">
        <v>23</v>
      </c>
      <c r="W60" s="92" t="s">
        <v>23</v>
      </c>
      <c r="X60" s="92" t="s">
        <v>23</v>
      </c>
      <c r="Y60" s="225" t="s">
        <v>20</v>
      </c>
      <c r="Z60" s="225" t="s">
        <v>20</v>
      </c>
      <c r="AA60" s="225" t="s">
        <v>20</v>
      </c>
      <c r="AB60" s="225" t="s">
        <v>20</v>
      </c>
      <c r="AC60" s="211" t="s">
        <v>47</v>
      </c>
      <c r="AD60" s="225" t="s">
        <v>20</v>
      </c>
      <c r="AE60" s="225" t="s">
        <v>20</v>
      </c>
      <c r="AF60" s="225" t="s">
        <v>20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204">
        <v>45148</v>
      </c>
      <c r="B61" s="89">
        <v>1600</v>
      </c>
      <c r="C61" s="89"/>
      <c r="D61" s="89" cm="1">
        <f t="array" ref="D61">(SUM(VLOOKUP(I61:AF61,$AM$4:$AO$46,2,FALSE))+AG61*10)*IF(AK61="是",$AZ$4,$AZ$3)</f>
        <v>1616</v>
      </c>
      <c r="E61" s="89">
        <f>SUM($B$4:B61)+SUM($C$4:C61)-SUM($D$4:D61)</f>
        <v>1808</v>
      </c>
      <c r="F61" s="89" cm="1">
        <f t="array" ref="F61">SUM(VLOOKUP(I61:AF61,$AM$4:$AO$46,3,FALSE))</f>
        <v>630</v>
      </c>
      <c r="G61" s="89">
        <f>SUM($F$4:F61)+SUM($H$4:H61)</f>
        <v>40700</v>
      </c>
      <c r="H61" s="89">
        <v>0</v>
      </c>
      <c r="I61" s="88" t="s">
        <v>23</v>
      </c>
      <c r="J61" s="88" t="s">
        <v>23</v>
      </c>
      <c r="K61" s="88" t="s">
        <v>23</v>
      </c>
      <c r="L61" s="88" t="s">
        <v>23</v>
      </c>
      <c r="M61" s="88" t="s">
        <v>23</v>
      </c>
      <c r="N61" s="88" t="s">
        <v>23</v>
      </c>
      <c r="O61" s="92" t="s">
        <v>23</v>
      </c>
      <c r="P61" s="92" t="s">
        <v>23</v>
      </c>
      <c r="Q61" s="224" t="s">
        <v>19</v>
      </c>
      <c r="R61" s="224" t="s">
        <v>19</v>
      </c>
      <c r="S61" s="224" t="s">
        <v>19</v>
      </c>
      <c r="T61" s="224" t="s">
        <v>19</v>
      </c>
      <c r="U61" s="224" t="s">
        <v>19</v>
      </c>
      <c r="V61" s="211" t="s">
        <v>47</v>
      </c>
      <c r="W61" s="224" t="s">
        <v>19</v>
      </c>
      <c r="X61" s="92" t="s">
        <v>23</v>
      </c>
      <c r="Y61" s="225" t="s">
        <v>20</v>
      </c>
      <c r="Z61" s="225" t="s">
        <v>20</v>
      </c>
      <c r="AA61" s="225" t="s">
        <v>20</v>
      </c>
      <c r="AB61" s="225" t="s">
        <v>20</v>
      </c>
      <c r="AC61" s="225" t="s">
        <v>20</v>
      </c>
      <c r="AD61" s="225" t="s">
        <v>20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204">
        <v>45149</v>
      </c>
      <c r="B62" s="89">
        <v>1600</v>
      </c>
      <c r="C62" s="89"/>
      <c r="D62" s="89" cm="1">
        <f t="array" ref="D62">(SUM(VLOOKUP(I62:AF62,$AM$4:$AO$46,2,FALSE))+AG62*10)*IF(AK62="是",$AZ$4,$AZ$3)</f>
        <v>1672</v>
      </c>
      <c r="E62" s="89">
        <f>SUM($B$4:B62)+SUM($C$4:C62)-SUM($D$4:D62)</f>
        <v>1736</v>
      </c>
      <c r="F62" s="89" cm="1">
        <f t="array" ref="F62">SUM(VLOOKUP(I62:AF62,$AM$4:$AO$46,3,FALSE))</f>
        <v>610</v>
      </c>
      <c r="G62" s="89">
        <f>SUM($F$4:F62)+SUM($H$4:H62)</f>
        <v>41310</v>
      </c>
      <c r="H62" s="89">
        <v>0</v>
      </c>
      <c r="I62" s="88" t="s">
        <v>23</v>
      </c>
      <c r="J62" s="88" t="s">
        <v>23</v>
      </c>
      <c r="K62" s="88" t="s">
        <v>23</v>
      </c>
      <c r="L62" s="88" t="s">
        <v>23</v>
      </c>
      <c r="M62" s="88" t="s">
        <v>23</v>
      </c>
      <c r="N62" s="88" t="s">
        <v>23</v>
      </c>
      <c r="O62" s="92" t="s">
        <v>23</v>
      </c>
      <c r="P62" s="92" t="s">
        <v>23</v>
      </c>
      <c r="Q62" s="224" t="s">
        <v>19</v>
      </c>
      <c r="R62" s="224" t="s">
        <v>19</v>
      </c>
      <c r="S62" s="224" t="s">
        <v>19</v>
      </c>
      <c r="T62" s="224" t="s">
        <v>19</v>
      </c>
      <c r="U62" s="224" t="s">
        <v>19</v>
      </c>
      <c r="V62" s="205" t="s">
        <v>12</v>
      </c>
      <c r="W62" s="92" t="s">
        <v>23</v>
      </c>
      <c r="X62" s="92" t="s">
        <v>23</v>
      </c>
      <c r="Y62" s="225" t="s">
        <v>20</v>
      </c>
      <c r="Z62" s="225" t="s">
        <v>20</v>
      </c>
      <c r="AA62" s="225" t="s">
        <v>20</v>
      </c>
      <c r="AB62" s="225" t="s">
        <v>20</v>
      </c>
      <c r="AC62" s="225" t="s">
        <v>20</v>
      </c>
      <c r="AD62" s="225" t="s">
        <v>20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204">
        <v>45150</v>
      </c>
      <c r="B63" s="89">
        <v>1600</v>
      </c>
      <c r="C63" s="89"/>
      <c r="D63" s="89" cm="1">
        <f t="array" ref="D63">(SUM(VLOOKUP(I63:AF63,$AM$4:$AO$46,2,FALSE))+AG63*10)*IF(AK63="是",$AZ$4,$AZ$3)</f>
        <v>1672</v>
      </c>
      <c r="E63" s="89">
        <f>SUM($B$4:B63)+SUM($C$4:C63)-SUM($D$4:D63)</f>
        <v>1664</v>
      </c>
      <c r="F63" s="89" cm="1">
        <f t="array" ref="F63">SUM(VLOOKUP(I63:AF63,$AM$4:$AO$46,3,FALSE))</f>
        <v>605</v>
      </c>
      <c r="G63" s="89">
        <f>SUM($F$4:F63)+SUM($H$4:H63)</f>
        <v>41915</v>
      </c>
      <c r="H63" s="89">
        <v>0</v>
      </c>
      <c r="I63" s="88" t="s">
        <v>23</v>
      </c>
      <c r="J63" s="88" t="s">
        <v>23</v>
      </c>
      <c r="K63" s="88" t="s">
        <v>23</v>
      </c>
      <c r="L63" s="88" t="s">
        <v>23</v>
      </c>
      <c r="M63" s="88" t="s">
        <v>23</v>
      </c>
      <c r="N63" s="88" t="s">
        <v>23</v>
      </c>
      <c r="O63" s="92" t="s">
        <v>23</v>
      </c>
      <c r="P63" s="92" t="s">
        <v>23</v>
      </c>
      <c r="Q63" s="224" t="s">
        <v>19</v>
      </c>
      <c r="R63" s="224" t="s">
        <v>19</v>
      </c>
      <c r="S63" s="224" t="s">
        <v>19</v>
      </c>
      <c r="T63" s="224" t="s">
        <v>19</v>
      </c>
      <c r="U63" s="224" t="s">
        <v>19</v>
      </c>
      <c r="V63" s="224" t="s">
        <v>19</v>
      </c>
      <c r="W63" s="92" t="s">
        <v>23</v>
      </c>
      <c r="X63" s="92" t="s">
        <v>23</v>
      </c>
      <c r="Y63" s="205" t="s">
        <v>12</v>
      </c>
      <c r="Z63" s="225" t="s">
        <v>20</v>
      </c>
      <c r="AA63" s="225" t="s">
        <v>20</v>
      </c>
      <c r="AB63" s="225" t="s">
        <v>20</v>
      </c>
      <c r="AC63" s="225" t="s">
        <v>20</v>
      </c>
      <c r="AD63" s="225" t="s">
        <v>20</v>
      </c>
      <c r="AE63" s="92" t="s">
        <v>23</v>
      </c>
      <c r="AF63" s="92" t="s">
        <v>23</v>
      </c>
      <c r="AG63" s="93">
        <f t="shared" si="4"/>
        <v>1</v>
      </c>
      <c r="AH63" s="93"/>
      <c r="AI63" s="93">
        <v>1</v>
      </c>
      <c r="AJ63" s="93"/>
      <c r="AK63" s="94" t="s">
        <v>31</v>
      </c>
      <c r="AL63" s="107"/>
    </row>
    <row r="64" spans="1:38">
      <c r="A64" s="204">
        <v>45151</v>
      </c>
      <c r="B64" s="89">
        <v>1600</v>
      </c>
      <c r="C64" s="89"/>
      <c r="D64" s="89" cm="1">
        <f t="array" ref="D64">(SUM(VLOOKUP(I64:AF64,$AM$4:$AO$46,2,FALSE))+AG64*10)*IF(AK64="是",$AZ$4,$AZ$3)</f>
        <v>1456</v>
      </c>
      <c r="E64" s="89">
        <f>SUM($B$4:B64)+SUM($C$4:C64)-SUM($D$4:D64)</f>
        <v>1808</v>
      </c>
      <c r="F64" s="89" cm="1">
        <f t="array" ref="F64">SUM(VLOOKUP(I64:AF64,$AM$4:$AO$46,3,FALSE))</f>
        <v>530</v>
      </c>
      <c r="G64" s="89">
        <f>SUM($F$4:F64)+SUM($H$4:H64)</f>
        <v>42445</v>
      </c>
      <c r="H64" s="89">
        <v>0</v>
      </c>
      <c r="I64" s="88" t="s">
        <v>23</v>
      </c>
      <c r="J64" s="88" t="s">
        <v>23</v>
      </c>
      <c r="K64" s="88" t="s">
        <v>23</v>
      </c>
      <c r="L64" s="88" t="s">
        <v>23</v>
      </c>
      <c r="M64" s="88" t="s">
        <v>23</v>
      </c>
      <c r="N64" s="88" t="s">
        <v>23</v>
      </c>
      <c r="O64" s="92" t="s">
        <v>23</v>
      </c>
      <c r="P64" s="92" t="s">
        <v>23</v>
      </c>
      <c r="Q64" s="224" t="s">
        <v>19</v>
      </c>
      <c r="R64" s="224" t="s">
        <v>19</v>
      </c>
      <c r="S64" s="224" t="s">
        <v>19</v>
      </c>
      <c r="T64" s="224" t="s">
        <v>19</v>
      </c>
      <c r="U64" s="88" t="s">
        <v>23</v>
      </c>
      <c r="V64" s="88" t="s">
        <v>23</v>
      </c>
      <c r="W64" s="92" t="s">
        <v>23</v>
      </c>
      <c r="X64" s="92" t="s">
        <v>23</v>
      </c>
      <c r="Y64" s="225" t="s">
        <v>20</v>
      </c>
      <c r="Z64" s="239" t="s">
        <v>9</v>
      </c>
      <c r="AA64" s="225" t="s">
        <v>20</v>
      </c>
      <c r="AB64" s="225" t="s">
        <v>20</v>
      </c>
      <c r="AC64" s="225" t="s">
        <v>20</v>
      </c>
      <c r="AD64" s="225" t="s">
        <v>20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204">
        <v>45152</v>
      </c>
      <c r="B65" s="88">
        <v>1600</v>
      </c>
      <c r="C65" s="88"/>
      <c r="D65" s="89" cm="1">
        <f t="array" ref="D65">(SUM(VLOOKUP(I65:AF65,$AM$4:$AO$46,2,FALSE))+AG65*10)*IF(AK65="是",$AZ$4,$AZ$3)</f>
        <v>1632</v>
      </c>
      <c r="E65" s="89">
        <f>SUM($B$4:B65)+SUM($C$4:C65)-SUM($D$4:D65)</f>
        <v>1776</v>
      </c>
      <c r="F65" s="89" cm="1">
        <f t="array" ref="F65">SUM(VLOOKUP(I65:AF65,$AM$4:$AO$46,3,FALSE))</f>
        <v>580</v>
      </c>
      <c r="G65" s="89">
        <f>SUM($F$4:F65)+SUM($H$4:H65)</f>
        <v>43325</v>
      </c>
      <c r="H65" s="88">
        <v>300</v>
      </c>
      <c r="I65" s="88" t="s">
        <v>23</v>
      </c>
      <c r="J65" s="88" t="s">
        <v>23</v>
      </c>
      <c r="K65" s="88" t="s">
        <v>23</v>
      </c>
      <c r="L65" s="88" t="s">
        <v>23</v>
      </c>
      <c r="M65" s="88" t="s">
        <v>23</v>
      </c>
      <c r="N65" s="88" t="s">
        <v>23</v>
      </c>
      <c r="O65" s="92" t="s">
        <v>23</v>
      </c>
      <c r="P65" s="92" t="s">
        <v>23</v>
      </c>
      <c r="Q65" s="224" t="s">
        <v>19</v>
      </c>
      <c r="R65" s="224" t="s">
        <v>19</v>
      </c>
      <c r="S65" s="224" t="s">
        <v>19</v>
      </c>
      <c r="T65" s="224" t="s">
        <v>19</v>
      </c>
      <c r="U65" s="224" t="s">
        <v>19</v>
      </c>
      <c r="V65" s="88" t="s">
        <v>23</v>
      </c>
      <c r="W65" s="92" t="s">
        <v>23</v>
      </c>
      <c r="X65" s="92" t="s">
        <v>23</v>
      </c>
      <c r="Y65" s="225" t="s">
        <v>20</v>
      </c>
      <c r="Z65" s="225" t="s">
        <v>20</v>
      </c>
      <c r="AA65" s="225" t="s">
        <v>20</v>
      </c>
      <c r="AB65" s="225" t="s">
        <v>20</v>
      </c>
      <c r="AC65" s="225" t="s">
        <v>20</v>
      </c>
      <c r="AD65" s="225" t="s">
        <v>20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204">
        <v>45153</v>
      </c>
      <c r="B66" s="88">
        <v>1600</v>
      </c>
      <c r="C66" s="88"/>
      <c r="D66" s="89" cm="1">
        <f t="array" ref="D66">(SUM(VLOOKUP(I66:AF66,$AM$4:$AO$46,2,FALSE))+AG66*10)*IF(AK66="是",$AZ$4,$AZ$3)</f>
        <v>1608</v>
      </c>
      <c r="E66" s="89">
        <f>SUM($B$4:B66)+SUM($C$4:C66)-SUM($D$4:D66)</f>
        <v>1768</v>
      </c>
      <c r="F66" s="89" cm="1">
        <f t="array" ref="F66">SUM(VLOOKUP(I66:AF66,$AM$4:$AO$46,3,FALSE))</f>
        <v>555</v>
      </c>
      <c r="G66" s="89">
        <f>SUM($F$4:F66)+SUM($H$4:H66)</f>
        <v>43880</v>
      </c>
      <c r="H66" s="88">
        <v>0</v>
      </c>
      <c r="I66" s="88" t="s">
        <v>23</v>
      </c>
      <c r="J66" s="88" t="s">
        <v>23</v>
      </c>
      <c r="K66" s="88" t="s">
        <v>23</v>
      </c>
      <c r="L66" s="88" t="s">
        <v>23</v>
      </c>
      <c r="M66" s="88" t="s">
        <v>23</v>
      </c>
      <c r="N66" s="88" t="s">
        <v>23</v>
      </c>
      <c r="O66" s="92" t="s">
        <v>23</v>
      </c>
      <c r="P66" s="92" t="s">
        <v>23</v>
      </c>
      <c r="Q66" s="169" t="s">
        <v>18</v>
      </c>
      <c r="R66" s="169" t="s">
        <v>18</v>
      </c>
      <c r="S66" s="169" t="s">
        <v>18</v>
      </c>
      <c r="T66" s="169" t="s">
        <v>18</v>
      </c>
      <c r="U66" s="169" t="s">
        <v>18</v>
      </c>
      <c r="V66" s="169" t="s">
        <v>18</v>
      </c>
      <c r="W66" s="92" t="s">
        <v>23</v>
      </c>
      <c r="X66" s="92" t="s">
        <v>23</v>
      </c>
      <c r="Y66" s="225" t="s">
        <v>20</v>
      </c>
      <c r="Z66" s="225" t="s">
        <v>20</v>
      </c>
      <c r="AA66" s="225" t="s">
        <v>20</v>
      </c>
      <c r="AB66" s="237" t="s">
        <v>21</v>
      </c>
      <c r="AC66" s="237" t="s">
        <v>21</v>
      </c>
      <c r="AD66" s="88" t="s">
        <v>23</v>
      </c>
      <c r="AE66" s="92" t="s">
        <v>23</v>
      </c>
      <c r="AF66" s="92" t="s">
        <v>23</v>
      </c>
      <c r="AG66" s="93">
        <f t="shared" si="4"/>
        <v>2</v>
      </c>
      <c r="AH66" s="93"/>
      <c r="AI66" s="93">
        <v>2</v>
      </c>
      <c r="AJ66" s="93"/>
      <c r="AK66" s="94" t="s">
        <v>31</v>
      </c>
      <c r="AL66" s="107"/>
    </row>
    <row r="67" spans="1:38">
      <c r="A67" s="204">
        <v>45154</v>
      </c>
      <c r="B67" s="88">
        <v>1600</v>
      </c>
      <c r="C67" s="88"/>
      <c r="D67" s="89" cm="1">
        <f t="array" ref="D67">(SUM(VLOOKUP(I67:AF67,$AM$4:$AO$46,2,FALSE))+AG67*10)*IF(AK67="是",$AZ$4,$AZ$3)</f>
        <v>1504</v>
      </c>
      <c r="E67" s="89">
        <f>SUM($B$4:B67)+SUM($C$4:C67)-SUM($D$4:D67)</f>
        <v>1864</v>
      </c>
      <c r="F67" s="89" cm="1">
        <f t="array" ref="F67">SUM(VLOOKUP(I67:AF67,$AM$4:$AO$46,3,FALSE))</f>
        <v>540</v>
      </c>
      <c r="G67" s="89">
        <f>SUM($F$4:F67)+SUM($H$4:H67)</f>
        <v>44620</v>
      </c>
      <c r="H67" s="88">
        <v>200</v>
      </c>
      <c r="I67" s="88" t="s">
        <v>23</v>
      </c>
      <c r="J67" s="88" t="s">
        <v>23</v>
      </c>
      <c r="K67" s="88" t="s">
        <v>23</v>
      </c>
      <c r="L67" s="88" t="s">
        <v>23</v>
      </c>
      <c r="M67" s="88" t="s">
        <v>23</v>
      </c>
      <c r="N67" s="88" t="s">
        <v>23</v>
      </c>
      <c r="O67" s="92" t="s">
        <v>23</v>
      </c>
      <c r="P67" s="92" t="s">
        <v>23</v>
      </c>
      <c r="Q67" s="169" t="s">
        <v>18</v>
      </c>
      <c r="R67" s="169" t="s">
        <v>18</v>
      </c>
      <c r="S67" s="169" t="s">
        <v>18</v>
      </c>
      <c r="T67" s="169" t="s">
        <v>18</v>
      </c>
      <c r="U67" s="88" t="s">
        <v>23</v>
      </c>
      <c r="V67" s="88" t="s">
        <v>23</v>
      </c>
      <c r="W67" s="92" t="s">
        <v>23</v>
      </c>
      <c r="X67" s="92" t="s">
        <v>23</v>
      </c>
      <c r="Y67" s="237" t="s">
        <v>21</v>
      </c>
      <c r="Z67" s="237" t="s">
        <v>21</v>
      </c>
      <c r="AA67" s="237" t="s">
        <v>21</v>
      </c>
      <c r="AB67" s="237" t="s">
        <v>21</v>
      </c>
      <c r="AC67" s="237" t="s">
        <v>21</v>
      </c>
      <c r="AD67" s="237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204">
        <v>45155</v>
      </c>
      <c r="B68" s="88">
        <v>1600</v>
      </c>
      <c r="C68" s="88"/>
      <c r="D68" s="89" cm="1">
        <f t="array" ref="D68">(SUM(VLOOKUP(I68:AF68,$AM$4:$AO$46,2,FALSE))+AG68*10)*IF(AK68="是",$AZ$4,$AZ$3)</f>
        <v>1440</v>
      </c>
      <c r="E68" s="89">
        <f>SUM($B$4:B68)+SUM($C$4:C68)-SUM($D$4:D68)</f>
        <v>2024</v>
      </c>
      <c r="F68" s="89" cm="1">
        <f t="array" ref="F68">SUM(VLOOKUP(I68:AF68,$AM$4:$AO$46,3,FALSE))</f>
        <v>570</v>
      </c>
      <c r="G68" s="89">
        <f>SUM($F$4:F68)+SUM($H$4:H68)</f>
        <v>45190</v>
      </c>
      <c r="H68" s="88">
        <v>0</v>
      </c>
      <c r="I68" s="88" t="s">
        <v>23</v>
      </c>
      <c r="J68" s="88" t="s">
        <v>23</v>
      </c>
      <c r="K68" s="88" t="s">
        <v>23</v>
      </c>
      <c r="L68" s="88" t="s">
        <v>23</v>
      </c>
      <c r="M68" s="88" t="s">
        <v>23</v>
      </c>
      <c r="N68" s="88" t="s">
        <v>23</v>
      </c>
      <c r="O68" s="92" t="s">
        <v>23</v>
      </c>
      <c r="P68" s="92" t="s">
        <v>23</v>
      </c>
      <c r="Q68" s="169" t="s">
        <v>18</v>
      </c>
      <c r="R68" s="211" t="s">
        <v>47</v>
      </c>
      <c r="S68" s="169" t="s">
        <v>18</v>
      </c>
      <c r="T68" s="169" t="s">
        <v>18</v>
      </c>
      <c r="U68" s="169" t="s">
        <v>18</v>
      </c>
      <c r="V68" s="236" t="s">
        <v>7</v>
      </c>
      <c r="W68" s="169" t="s">
        <v>18</v>
      </c>
      <c r="X68" s="92" t="s">
        <v>23</v>
      </c>
      <c r="Y68" s="237" t="s">
        <v>21</v>
      </c>
      <c r="Z68" s="237" t="s">
        <v>21</v>
      </c>
      <c r="AA68" s="237" t="s">
        <v>21</v>
      </c>
      <c r="AB68" s="237" t="s">
        <v>21</v>
      </c>
      <c r="AC68" s="237" t="s">
        <v>21</v>
      </c>
      <c r="AD68" s="88" t="s">
        <v>23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204">
        <v>45156</v>
      </c>
      <c r="B69" s="88">
        <v>1600</v>
      </c>
      <c r="C69" s="88"/>
      <c r="D69" s="89" cm="1">
        <f t="array" ref="D69">(SUM(VLOOKUP(I69:AF69,$AM$4:$AO$46,2,FALSE))+AG69*10)*IF(AK69="是",$AZ$4,$AZ$3)</f>
        <v>1640</v>
      </c>
      <c r="E69" s="89">
        <f>SUM($B$4:B69)+SUM($C$4:C69)-SUM($D$4:D69)</f>
        <v>1984</v>
      </c>
      <c r="F69" s="89" cm="1">
        <f t="array" ref="F69">SUM(VLOOKUP(I69:AF69,$AM$4:$AO$46,3,FALSE))</f>
        <v>585</v>
      </c>
      <c r="G69" s="89">
        <f>SUM($F$4:F69)+SUM($H$4:H69)</f>
        <v>45775</v>
      </c>
      <c r="H69" s="88">
        <v>0</v>
      </c>
      <c r="I69" s="88" t="s">
        <v>23</v>
      </c>
      <c r="J69" s="88" t="s">
        <v>23</v>
      </c>
      <c r="K69" s="88" t="s">
        <v>23</v>
      </c>
      <c r="L69" s="88" t="s">
        <v>23</v>
      </c>
      <c r="M69" s="88" t="s">
        <v>23</v>
      </c>
      <c r="N69" s="88" t="s">
        <v>23</v>
      </c>
      <c r="O69" s="92" t="s">
        <v>23</v>
      </c>
      <c r="P69" s="92" t="s">
        <v>23</v>
      </c>
      <c r="Q69" s="169" t="s">
        <v>18</v>
      </c>
      <c r="R69" s="169" t="s">
        <v>18</v>
      </c>
      <c r="S69" s="169" t="s">
        <v>18</v>
      </c>
      <c r="T69" s="169" t="s">
        <v>18</v>
      </c>
      <c r="U69" s="169" t="s">
        <v>18</v>
      </c>
      <c r="V69" s="88" t="s">
        <v>23</v>
      </c>
      <c r="W69" s="92" t="s">
        <v>23</v>
      </c>
      <c r="X69" s="92" t="s">
        <v>23</v>
      </c>
      <c r="Y69" s="237" t="s">
        <v>21</v>
      </c>
      <c r="Z69" s="237" t="s">
        <v>21</v>
      </c>
      <c r="AA69" s="237" t="s">
        <v>21</v>
      </c>
      <c r="AB69" s="237" t="s">
        <v>21</v>
      </c>
      <c r="AC69" s="237" t="s">
        <v>21</v>
      </c>
      <c r="AD69" s="237" t="s">
        <v>21</v>
      </c>
      <c r="AE69" s="92" t="s">
        <v>23</v>
      </c>
      <c r="AF69" s="92" t="s">
        <v>23</v>
      </c>
      <c r="AG69" s="93">
        <f t="shared" si="4"/>
        <v>0</v>
      </c>
      <c r="AH69" s="93"/>
      <c r="AI69" s="93"/>
      <c r="AJ69" s="93"/>
      <c r="AK69" s="94" t="s">
        <v>31</v>
      </c>
      <c r="AL69" s="107"/>
    </row>
    <row r="70" spans="1:38">
      <c r="A70" s="204">
        <v>45157</v>
      </c>
      <c r="B70" s="88">
        <v>1600</v>
      </c>
      <c r="C70" s="88"/>
      <c r="D70" s="89" cm="1">
        <f t="array" ref="D70">(SUM(VLOOKUP(I70:AF70,$AM$4:$AO$46,2,FALSE))+AG70*10)*IF(AK70="是",$AZ$4,$AZ$3)</f>
        <v>1640</v>
      </c>
      <c r="E70" s="89">
        <f>SUM($B$4:B70)+SUM($C$4:C70)-SUM($D$4:D70)</f>
        <v>1944</v>
      </c>
      <c r="F70" s="89" cm="1">
        <f t="array" ref="F70">SUM(VLOOKUP(I70:AF70,$AM$4:$AO$46,3,FALSE))</f>
        <v>585</v>
      </c>
      <c r="G70" s="89">
        <f>SUM($F$4:F70)+SUM($H$4:H70)</f>
        <v>46360</v>
      </c>
      <c r="H70" s="88">
        <v>0</v>
      </c>
      <c r="I70" s="88" t="s">
        <v>23</v>
      </c>
      <c r="J70" s="88" t="s">
        <v>23</v>
      </c>
      <c r="K70" s="88" t="s">
        <v>23</v>
      </c>
      <c r="L70" s="88" t="s">
        <v>23</v>
      </c>
      <c r="M70" s="88" t="s">
        <v>23</v>
      </c>
      <c r="N70" s="88" t="s">
        <v>23</v>
      </c>
      <c r="O70" s="92" t="s">
        <v>23</v>
      </c>
      <c r="P70" s="92" t="s">
        <v>23</v>
      </c>
      <c r="Q70" s="169" t="s">
        <v>18</v>
      </c>
      <c r="R70" s="169" t="s">
        <v>18</v>
      </c>
      <c r="S70" s="169" t="s">
        <v>18</v>
      </c>
      <c r="T70" s="169" t="s">
        <v>18</v>
      </c>
      <c r="U70" s="169" t="s">
        <v>18</v>
      </c>
      <c r="V70" s="88" t="s">
        <v>23</v>
      </c>
      <c r="W70" s="92" t="s">
        <v>23</v>
      </c>
      <c r="X70" s="92" t="s">
        <v>23</v>
      </c>
      <c r="Y70" s="237" t="s">
        <v>21</v>
      </c>
      <c r="Z70" s="237" t="s">
        <v>21</v>
      </c>
      <c r="AA70" s="237" t="s">
        <v>21</v>
      </c>
      <c r="AB70" s="237" t="s">
        <v>21</v>
      </c>
      <c r="AC70" s="237" t="s">
        <v>21</v>
      </c>
      <c r="AD70" s="237" t="s">
        <v>21</v>
      </c>
      <c r="AE70" s="92" t="s">
        <v>23</v>
      </c>
      <c r="AF70" s="92" t="s">
        <v>23</v>
      </c>
      <c r="AG70" s="93">
        <f t="shared" si="4"/>
        <v>0</v>
      </c>
      <c r="AH70" s="93"/>
      <c r="AI70" s="93"/>
      <c r="AJ70" s="93"/>
      <c r="AK70" s="94" t="s">
        <v>31</v>
      </c>
      <c r="AL70" s="107"/>
    </row>
    <row r="71" spans="1:38">
      <c r="A71" s="204">
        <v>45158</v>
      </c>
      <c r="B71" s="88">
        <v>1600</v>
      </c>
      <c r="C71" s="88"/>
      <c r="D71" s="89" cm="1">
        <f t="array" ref="D71">(SUM(VLOOKUP(I71:AF71,$AM$4:$AO$46,2,FALSE))+AG71*10)*IF(AK71="是",$AZ$4,$AZ$3)</f>
        <v>1640</v>
      </c>
      <c r="E71" s="89">
        <f>SUM($B$4:B71)+SUM($C$4:C71)-SUM($D$4:D71)</f>
        <v>1904</v>
      </c>
      <c r="F71" s="89" cm="1">
        <f t="array" ref="F71">SUM(VLOOKUP(I71:AF71,$AM$4:$AO$46,3,FALSE))</f>
        <v>585</v>
      </c>
      <c r="G71" s="89">
        <f>SUM($F$4:F71)+SUM($H$4:H71)</f>
        <v>46945</v>
      </c>
      <c r="H71" s="88">
        <v>0</v>
      </c>
      <c r="I71" s="88" t="s">
        <v>23</v>
      </c>
      <c r="J71" s="88" t="s">
        <v>23</v>
      </c>
      <c r="K71" s="88" t="s">
        <v>23</v>
      </c>
      <c r="L71" s="88" t="s">
        <v>23</v>
      </c>
      <c r="M71" s="88" t="s">
        <v>23</v>
      </c>
      <c r="N71" s="88" t="s">
        <v>23</v>
      </c>
      <c r="O71" s="92" t="s">
        <v>23</v>
      </c>
      <c r="P71" s="92" t="s">
        <v>23</v>
      </c>
      <c r="Q71" s="169" t="s">
        <v>18</v>
      </c>
      <c r="R71" s="169" t="s">
        <v>18</v>
      </c>
      <c r="S71" s="169" t="s">
        <v>18</v>
      </c>
      <c r="T71" s="169" t="s">
        <v>18</v>
      </c>
      <c r="U71" s="169" t="s">
        <v>18</v>
      </c>
      <c r="V71" s="88" t="s">
        <v>23</v>
      </c>
      <c r="W71" s="92" t="s">
        <v>23</v>
      </c>
      <c r="X71" s="92" t="s">
        <v>23</v>
      </c>
      <c r="Y71" s="237" t="s">
        <v>21</v>
      </c>
      <c r="Z71" s="237" t="s">
        <v>21</v>
      </c>
      <c r="AA71" s="237" t="s">
        <v>21</v>
      </c>
      <c r="AB71" s="237" t="s">
        <v>21</v>
      </c>
      <c r="AC71" s="237" t="s">
        <v>21</v>
      </c>
      <c r="AD71" s="237" t="s">
        <v>21</v>
      </c>
      <c r="AE71" s="92" t="s">
        <v>23</v>
      </c>
      <c r="AF71" s="92" t="s">
        <v>23</v>
      </c>
      <c r="AG71" s="93">
        <f t="shared" ref="AG71:AG97" si="12">AH71+AI71+AJ71</f>
        <v>0</v>
      </c>
      <c r="AH71" s="93"/>
      <c r="AI71" s="93"/>
      <c r="AJ71" s="93"/>
      <c r="AK71" s="94" t="s">
        <v>31</v>
      </c>
      <c r="AL71" s="107"/>
    </row>
    <row r="72" spans="1:38">
      <c r="A72" s="204">
        <v>45159</v>
      </c>
      <c r="B72" s="89">
        <v>1600</v>
      </c>
      <c r="C72" s="89"/>
      <c r="D72" s="89" cm="1">
        <f t="array" ref="D72">(SUM(VLOOKUP(I72:AF72,$AM$4:$AO$46,2,FALSE))+AG72*10)*IF(AK72="是",$AZ$4,$AZ$3)</f>
        <v>1632</v>
      </c>
      <c r="E72" s="89">
        <f>SUM($B$4:B72)+SUM($C$4:C72)-SUM($D$4:D72)</f>
        <v>1872</v>
      </c>
      <c r="F72" s="89" cm="1">
        <f t="array" ref="F72">SUM(VLOOKUP(I72:AF72,$AM$4:$AO$46,3,FALSE))</f>
        <v>580</v>
      </c>
      <c r="G72" s="89">
        <f>SUM($F$4:F72)+SUM($H$4:H72)</f>
        <v>47825</v>
      </c>
      <c r="H72" s="89">
        <v>300</v>
      </c>
      <c r="I72" s="88" t="s">
        <v>23</v>
      </c>
      <c r="J72" s="88" t="s">
        <v>23</v>
      </c>
      <c r="K72" s="88" t="s">
        <v>23</v>
      </c>
      <c r="L72" s="88" t="s">
        <v>23</v>
      </c>
      <c r="M72" s="88" t="s">
        <v>23</v>
      </c>
      <c r="N72" s="88" t="s">
        <v>23</v>
      </c>
      <c r="O72" s="92" t="s">
        <v>23</v>
      </c>
      <c r="P72" s="92" t="s">
        <v>23</v>
      </c>
      <c r="Q72" s="169" t="s">
        <v>18</v>
      </c>
      <c r="R72" s="169" t="s">
        <v>18</v>
      </c>
      <c r="S72" s="169" t="s">
        <v>18</v>
      </c>
      <c r="T72" s="169" t="s">
        <v>18</v>
      </c>
      <c r="U72" s="169" t="s">
        <v>18</v>
      </c>
      <c r="V72" s="88" t="s">
        <v>23</v>
      </c>
      <c r="W72" s="92" t="s">
        <v>23</v>
      </c>
      <c r="X72" s="92" t="s">
        <v>23</v>
      </c>
      <c r="Y72" s="225" t="s">
        <v>20</v>
      </c>
      <c r="Z72" s="237" t="s">
        <v>21</v>
      </c>
      <c r="AA72" s="237" t="s">
        <v>21</v>
      </c>
      <c r="AB72" s="237" t="s">
        <v>21</v>
      </c>
      <c r="AC72" s="237" t="s">
        <v>21</v>
      </c>
      <c r="AD72" s="237" t="s">
        <v>21</v>
      </c>
      <c r="AE72" s="92" t="s">
        <v>23</v>
      </c>
      <c r="AF72" s="92" t="s">
        <v>23</v>
      </c>
      <c r="AG72" s="93">
        <f t="shared" si="12"/>
        <v>0</v>
      </c>
      <c r="AH72" s="93"/>
      <c r="AI72" s="93"/>
      <c r="AJ72" s="93"/>
      <c r="AK72" s="94" t="s">
        <v>31</v>
      </c>
      <c r="AL72" s="107"/>
    </row>
    <row r="73" spans="1:38">
      <c r="A73" s="204">
        <v>45160</v>
      </c>
      <c r="B73" s="89">
        <v>1600</v>
      </c>
      <c r="C73" s="89"/>
      <c r="D73" s="89" cm="1">
        <f t="array" ref="D73">(SUM(VLOOKUP(I73:AF73,$AM$4:$AO$46,2,FALSE))+AG73*10)*IF(AK73="是",$AZ$4,$AZ$3)</f>
        <v>1520</v>
      </c>
      <c r="E73" s="89">
        <f>SUM($B$4:B73)+SUM($C$4:C73)-SUM($D$4:D73)</f>
        <v>1952</v>
      </c>
      <c r="F73" s="89" cm="1">
        <f t="array" ref="F73">SUM(VLOOKUP(I73:AF73,$AM$4:$AO$46,3,FALSE))</f>
        <v>1465</v>
      </c>
      <c r="G73" s="89">
        <f>SUM($F$4:F73)+SUM($H$4:H73)</f>
        <v>49290</v>
      </c>
      <c r="H73" s="89">
        <v>0</v>
      </c>
      <c r="I73" s="88" t="s">
        <v>23</v>
      </c>
      <c r="J73" s="88" t="s">
        <v>23</v>
      </c>
      <c r="K73" s="88" t="s">
        <v>23</v>
      </c>
      <c r="L73" s="88" t="s">
        <v>23</v>
      </c>
      <c r="M73" s="88" t="s">
        <v>23</v>
      </c>
      <c r="N73" s="88" t="s">
        <v>23</v>
      </c>
      <c r="O73" s="92" t="s">
        <v>23</v>
      </c>
      <c r="P73" s="92" t="s">
        <v>23</v>
      </c>
      <c r="Q73" s="169" t="s">
        <v>18</v>
      </c>
      <c r="R73" s="169" t="s">
        <v>18</v>
      </c>
      <c r="S73" s="169" t="s">
        <v>18</v>
      </c>
      <c r="T73" s="169" t="s">
        <v>18</v>
      </c>
      <c r="U73" s="169" t="s">
        <v>18</v>
      </c>
      <c r="V73" s="88" t="s">
        <v>23</v>
      </c>
      <c r="W73" s="92" t="s">
        <v>23</v>
      </c>
      <c r="X73" s="92" t="s">
        <v>23</v>
      </c>
      <c r="Y73" s="237" t="s">
        <v>21</v>
      </c>
      <c r="Z73" s="237" t="s">
        <v>21</v>
      </c>
      <c r="AA73" s="237" t="s">
        <v>21</v>
      </c>
      <c r="AB73" s="242" t="s">
        <v>15</v>
      </c>
      <c r="AC73" s="237" t="s">
        <v>21</v>
      </c>
      <c r="AD73" s="88" t="s">
        <v>23</v>
      </c>
      <c r="AE73" s="92" t="s">
        <v>23</v>
      </c>
      <c r="AF73" s="92" t="s">
        <v>23</v>
      </c>
      <c r="AG73" s="93">
        <f t="shared" si="12"/>
        <v>0</v>
      </c>
      <c r="AH73" s="93"/>
      <c r="AI73" s="93"/>
      <c r="AJ73" s="93"/>
      <c r="AK73" s="94" t="s">
        <v>31</v>
      </c>
      <c r="AL73" s="107"/>
    </row>
    <row r="74" spans="1:38">
      <c r="A74" s="204">
        <v>45161</v>
      </c>
      <c r="B74" s="89">
        <v>1600</v>
      </c>
      <c r="C74" s="89"/>
      <c r="D74" s="89" cm="1">
        <f t="array" ref="D74">(SUM(VLOOKUP(I74:AF74,$AM$4:$AO$46,2,FALSE))+AG74*10)*IF(AK74="是",$AZ$4,$AZ$3)</f>
        <v>1776</v>
      </c>
      <c r="E74" s="89">
        <f>SUM($B$4:B74)+SUM($C$4:C74)-SUM($D$4:D74)</f>
        <v>1776</v>
      </c>
      <c r="F74" s="89" cm="1">
        <f t="array" ref="F74">SUM(VLOOKUP(I74:AF74,$AM$4:$AO$46,3,FALSE))</f>
        <v>630</v>
      </c>
      <c r="G74" s="89">
        <f>SUM($F$4:F74)+SUM($H$4:H74)</f>
        <v>50120</v>
      </c>
      <c r="H74" s="89">
        <v>200</v>
      </c>
      <c r="I74" s="88" t="s">
        <v>23</v>
      </c>
      <c r="J74" s="88" t="s">
        <v>23</v>
      </c>
      <c r="K74" s="88" t="s">
        <v>23</v>
      </c>
      <c r="L74" s="88" t="s">
        <v>23</v>
      </c>
      <c r="M74" s="88" t="s">
        <v>23</v>
      </c>
      <c r="N74" s="88" t="s">
        <v>23</v>
      </c>
      <c r="O74" s="92" t="s">
        <v>23</v>
      </c>
      <c r="P74" s="92" t="s">
        <v>23</v>
      </c>
      <c r="Q74" s="169" t="s">
        <v>18</v>
      </c>
      <c r="R74" s="169" t="s">
        <v>18</v>
      </c>
      <c r="S74" s="169" t="s">
        <v>18</v>
      </c>
      <c r="T74" s="169" t="s">
        <v>18</v>
      </c>
      <c r="U74" s="169" t="s">
        <v>18</v>
      </c>
      <c r="V74" s="169" t="s">
        <v>18</v>
      </c>
      <c r="W74" s="92" t="s">
        <v>23</v>
      </c>
      <c r="X74" s="92" t="s">
        <v>23</v>
      </c>
      <c r="Y74" s="237" t="s">
        <v>21</v>
      </c>
      <c r="Z74" s="237" t="s">
        <v>21</v>
      </c>
      <c r="AA74" s="237" t="s">
        <v>21</v>
      </c>
      <c r="AB74" s="237" t="s">
        <v>21</v>
      </c>
      <c r="AC74" s="237" t="s">
        <v>21</v>
      </c>
      <c r="AD74" s="237" t="s">
        <v>21</v>
      </c>
      <c r="AE74" s="92" t="s">
        <v>23</v>
      </c>
      <c r="AF74" s="92" t="s">
        <v>23</v>
      </c>
      <c r="AG74" s="93">
        <f t="shared" si="12"/>
        <v>0</v>
      </c>
      <c r="AH74" s="93"/>
      <c r="AI74" s="93"/>
      <c r="AJ74" s="93"/>
      <c r="AK74" s="94" t="s">
        <v>31</v>
      </c>
      <c r="AL74" s="107"/>
    </row>
    <row r="75" spans="1:38">
      <c r="A75" s="204">
        <v>45162</v>
      </c>
      <c r="B75" s="89">
        <v>1600</v>
      </c>
      <c r="C75" s="89"/>
      <c r="D75" s="89" cm="1">
        <f t="array" ref="D75">(SUM(VLOOKUP(I75:AF75,$AM$4:$AO$46,2,FALSE))+AG75*10)*IF(AK75="是",$AZ$4,$AZ$3)</f>
        <v>1544</v>
      </c>
      <c r="E75" s="89">
        <f>SUM($B$4:B75)+SUM($C$4:C75)-SUM($D$4:D75)</f>
        <v>1832</v>
      </c>
      <c r="F75" s="89" cm="1">
        <f t="array" ref="F75">SUM(VLOOKUP(I75:AF75,$AM$4:$AO$46,3,FALSE))</f>
        <v>570</v>
      </c>
      <c r="G75" s="89">
        <f>SUM($F$4:F75)+SUM($H$4:H75)</f>
        <v>50690</v>
      </c>
      <c r="H75" s="89">
        <v>0</v>
      </c>
      <c r="I75" s="88" t="s">
        <v>23</v>
      </c>
      <c r="J75" s="88" t="s">
        <v>23</v>
      </c>
      <c r="K75" s="88" t="s">
        <v>23</v>
      </c>
      <c r="L75" s="88" t="s">
        <v>23</v>
      </c>
      <c r="M75" s="88" t="s">
        <v>23</v>
      </c>
      <c r="N75" s="88" t="s">
        <v>23</v>
      </c>
      <c r="O75" s="92" t="s">
        <v>23</v>
      </c>
      <c r="P75" s="92" t="s">
        <v>23</v>
      </c>
      <c r="Q75" s="169" t="s">
        <v>18</v>
      </c>
      <c r="R75" s="205" t="s">
        <v>12</v>
      </c>
      <c r="S75" s="169" t="s">
        <v>18</v>
      </c>
      <c r="T75" s="169" t="s">
        <v>18</v>
      </c>
      <c r="U75" s="169" t="s">
        <v>18</v>
      </c>
      <c r="V75" s="88" t="s">
        <v>23</v>
      </c>
      <c r="W75" s="92" t="s">
        <v>23</v>
      </c>
      <c r="X75" s="92" t="s">
        <v>23</v>
      </c>
      <c r="Y75" s="237" t="s">
        <v>21</v>
      </c>
      <c r="Z75" s="237" t="s">
        <v>21</v>
      </c>
      <c r="AA75" s="237" t="s">
        <v>21</v>
      </c>
      <c r="AB75" s="237" t="s">
        <v>21</v>
      </c>
      <c r="AC75" s="237" t="s">
        <v>21</v>
      </c>
      <c r="AD75" s="237" t="s">
        <v>21</v>
      </c>
      <c r="AE75" s="92" t="s">
        <v>23</v>
      </c>
      <c r="AF75" s="92" t="s">
        <v>23</v>
      </c>
      <c r="AG75" s="93">
        <f t="shared" si="12"/>
        <v>0</v>
      </c>
      <c r="AH75" s="93"/>
      <c r="AI75" s="93"/>
      <c r="AJ75" s="93"/>
      <c r="AK75" s="94" t="s">
        <v>31</v>
      </c>
      <c r="AL75" s="107"/>
    </row>
    <row r="76" spans="1:38">
      <c r="A76" s="204">
        <v>45163</v>
      </c>
      <c r="B76" s="89">
        <v>1600</v>
      </c>
      <c r="C76" s="89"/>
      <c r="D76" s="89" cm="1">
        <f t="array" ref="D76">(SUM(VLOOKUP(I76:AF76,$AM$4:$AO$46,2,FALSE))+AG76*10)*IF(AK76="是",$AZ$4,$AZ$3)</f>
        <v>1480</v>
      </c>
      <c r="E76" s="89">
        <f>SUM($B$4:B76)+SUM($C$4:C76)-SUM($D$4:D76)</f>
        <v>1952</v>
      </c>
      <c r="F76" s="89" cm="1">
        <f t="array" ref="F76">SUM(VLOOKUP(I76:AF76,$AM$4:$AO$46,3,FALSE))</f>
        <v>525</v>
      </c>
      <c r="G76" s="89">
        <f>SUM($F$4:F76)+SUM($H$4:H76)</f>
        <v>51215</v>
      </c>
      <c r="H76" s="89">
        <v>0</v>
      </c>
      <c r="I76" s="88" t="s">
        <v>23</v>
      </c>
      <c r="J76" s="88" t="s">
        <v>23</v>
      </c>
      <c r="K76" s="88" t="s">
        <v>23</v>
      </c>
      <c r="L76" s="88" t="s">
        <v>23</v>
      </c>
      <c r="M76" s="88" t="s">
        <v>23</v>
      </c>
      <c r="N76" s="88" t="s">
        <v>23</v>
      </c>
      <c r="O76" s="92" t="s">
        <v>23</v>
      </c>
      <c r="P76" s="92" t="s">
        <v>23</v>
      </c>
      <c r="Q76" s="169" t="s">
        <v>18</v>
      </c>
      <c r="R76" s="169" t="s">
        <v>18</v>
      </c>
      <c r="S76" s="169" t="s">
        <v>18</v>
      </c>
      <c r="T76" s="169" t="s">
        <v>18</v>
      </c>
      <c r="U76" s="169" t="s">
        <v>18</v>
      </c>
      <c r="V76" s="88" t="s">
        <v>23</v>
      </c>
      <c r="W76" s="92" t="s">
        <v>23</v>
      </c>
      <c r="X76" s="92" t="s">
        <v>23</v>
      </c>
      <c r="Y76" s="237" t="s">
        <v>21</v>
      </c>
      <c r="Z76" s="237" t="s">
        <v>21</v>
      </c>
      <c r="AA76" s="237" t="s">
        <v>21</v>
      </c>
      <c r="AB76" s="237" t="s">
        <v>21</v>
      </c>
      <c r="AC76" s="237" t="s">
        <v>21</v>
      </c>
      <c r="AD76" s="88" t="s">
        <v>23</v>
      </c>
      <c r="AE76" s="92" t="s">
        <v>23</v>
      </c>
      <c r="AF76" s="92" t="s">
        <v>23</v>
      </c>
      <c r="AG76" s="93">
        <f t="shared" si="12"/>
        <v>0</v>
      </c>
      <c r="AH76" s="93"/>
      <c r="AI76" s="93"/>
      <c r="AJ76" s="93"/>
      <c r="AK76" s="94" t="s">
        <v>31</v>
      </c>
      <c r="AL76" s="107"/>
    </row>
    <row r="77" spans="1:38">
      <c r="A77" s="204">
        <v>45164</v>
      </c>
      <c r="B77" s="89">
        <v>1600</v>
      </c>
      <c r="C77" s="89"/>
      <c r="D77" s="89" cm="1">
        <f t="array" ref="D77">(SUM(VLOOKUP(I77:AF77,$AM$4:$AO$46,2,FALSE))+AG77*10)*IF(AK77="是",$AZ$4,$AZ$3)</f>
        <v>1624</v>
      </c>
      <c r="E77" s="89">
        <f>SUM($B$4:B77)+SUM($C$4:C77)-SUM($D$4:D77)</f>
        <v>1928</v>
      </c>
      <c r="F77" s="89" cm="1">
        <f t="array" ref="F77">SUM(VLOOKUP(I77:AF77,$AM$4:$AO$46,3,FALSE))</f>
        <v>645</v>
      </c>
      <c r="G77" s="89">
        <f>SUM($F$4:F77)+SUM($H$4:H77)</f>
        <v>51860</v>
      </c>
      <c r="H77" s="89">
        <v>0</v>
      </c>
      <c r="I77" s="88" t="s">
        <v>23</v>
      </c>
      <c r="J77" s="88" t="s">
        <v>23</v>
      </c>
      <c r="K77" s="88" t="s">
        <v>23</v>
      </c>
      <c r="L77" s="88" t="s">
        <v>23</v>
      </c>
      <c r="M77" s="88" t="s">
        <v>23</v>
      </c>
      <c r="N77" s="88" t="s">
        <v>23</v>
      </c>
      <c r="O77" s="92" t="s">
        <v>23</v>
      </c>
      <c r="P77" s="92" t="s">
        <v>23</v>
      </c>
      <c r="Q77" s="236" t="s">
        <v>7</v>
      </c>
      <c r="R77" s="169" t="s">
        <v>18</v>
      </c>
      <c r="S77" s="169" t="s">
        <v>18</v>
      </c>
      <c r="T77" s="169" t="s">
        <v>18</v>
      </c>
      <c r="U77" s="169" t="s">
        <v>18</v>
      </c>
      <c r="V77" s="88" t="s">
        <v>23</v>
      </c>
      <c r="W77" s="92" t="s">
        <v>23</v>
      </c>
      <c r="X77" s="92" t="s">
        <v>23</v>
      </c>
      <c r="Y77" s="237" t="s">
        <v>21</v>
      </c>
      <c r="Z77" s="237" t="s">
        <v>21</v>
      </c>
      <c r="AA77" s="237" t="s">
        <v>21</v>
      </c>
      <c r="AB77" s="237" t="s">
        <v>21</v>
      </c>
      <c r="AC77" s="211" t="s">
        <v>47</v>
      </c>
      <c r="AD77" s="237" t="s">
        <v>21</v>
      </c>
      <c r="AE77" s="237" t="s">
        <v>21</v>
      </c>
      <c r="AF77" s="237" t="s">
        <v>21</v>
      </c>
      <c r="AG77" s="93">
        <f t="shared" si="12"/>
        <v>0</v>
      </c>
      <c r="AH77" s="93"/>
      <c r="AI77" s="93"/>
      <c r="AJ77" s="93"/>
      <c r="AK77" s="94" t="s">
        <v>31</v>
      </c>
      <c r="AL77" s="107"/>
    </row>
    <row r="78" spans="1:38">
      <c r="A78" s="204">
        <v>45165</v>
      </c>
      <c r="B78" s="89">
        <v>1600</v>
      </c>
      <c r="C78" s="89"/>
      <c r="D78" s="89" cm="1">
        <f t="array" ref="D78">(SUM(VLOOKUP(I78:AF78,$AM$4:$AO$46,2,FALSE))+AG78*10)*IF(AK78="是",$AZ$4,$AZ$3)</f>
        <v>1504</v>
      </c>
      <c r="E78" s="89">
        <f>SUM($B$4:B78)+SUM($C$4:C78)-SUM($D$4:D78)</f>
        <v>2024</v>
      </c>
      <c r="F78" s="89" cm="1">
        <f t="array" ref="F78">SUM(VLOOKUP(I78:AF78,$AM$4:$AO$46,3,FALSE))</f>
        <v>540</v>
      </c>
      <c r="G78" s="89">
        <f>SUM($F$4:F78)+SUM($H$4:H78)</f>
        <v>52400</v>
      </c>
      <c r="H78" s="89">
        <v>0</v>
      </c>
      <c r="I78" s="88" t="s">
        <v>23</v>
      </c>
      <c r="J78" s="88" t="s">
        <v>23</v>
      </c>
      <c r="K78" s="88" t="s">
        <v>23</v>
      </c>
      <c r="L78" s="88" t="s">
        <v>23</v>
      </c>
      <c r="M78" s="88" t="s">
        <v>23</v>
      </c>
      <c r="N78" s="88" t="s">
        <v>23</v>
      </c>
      <c r="O78" s="92" t="s">
        <v>23</v>
      </c>
      <c r="P78" s="92" t="s">
        <v>23</v>
      </c>
      <c r="Q78" s="169" t="s">
        <v>18</v>
      </c>
      <c r="R78" s="169" t="s">
        <v>18</v>
      </c>
      <c r="S78" s="169" t="s">
        <v>18</v>
      </c>
      <c r="T78" s="169" t="s">
        <v>18</v>
      </c>
      <c r="U78" s="88" t="s">
        <v>23</v>
      </c>
      <c r="V78" s="88" t="s">
        <v>23</v>
      </c>
      <c r="W78" s="92" t="s">
        <v>23</v>
      </c>
      <c r="X78" s="92" t="s">
        <v>23</v>
      </c>
      <c r="Y78" s="237" t="s">
        <v>21</v>
      </c>
      <c r="Z78" s="237" t="s">
        <v>21</v>
      </c>
      <c r="AA78" s="237" t="s">
        <v>21</v>
      </c>
      <c r="AB78" s="237" t="s">
        <v>21</v>
      </c>
      <c r="AC78" s="237" t="s">
        <v>21</v>
      </c>
      <c r="AD78" s="237" t="s">
        <v>21</v>
      </c>
      <c r="AE78" s="92" t="s">
        <v>23</v>
      </c>
      <c r="AF78" s="92" t="s">
        <v>23</v>
      </c>
      <c r="AG78" s="93">
        <f t="shared" si="12"/>
        <v>0</v>
      </c>
      <c r="AH78" s="93"/>
      <c r="AI78" s="93"/>
      <c r="AJ78" s="93"/>
      <c r="AK78" s="94" t="s">
        <v>31</v>
      </c>
      <c r="AL78" s="107"/>
    </row>
    <row r="79" spans="1:38">
      <c r="A79" s="204">
        <v>45166</v>
      </c>
      <c r="B79" s="88">
        <v>1600</v>
      </c>
      <c r="C79" s="88"/>
      <c r="D79" s="89" cm="1">
        <f t="array" ref="D79">(SUM(VLOOKUP(I79:AF79,$AM$4:$AO$46,2,FALSE))+AG79*10)*IF(AK79="是",$AZ$4,$AZ$3)</f>
        <v>1640</v>
      </c>
      <c r="E79" s="89">
        <f>SUM($B$4:B79)+SUM($C$4:C79)-SUM($D$4:D79)</f>
        <v>1984</v>
      </c>
      <c r="F79" s="89" cm="1">
        <f t="array" ref="F79">SUM(VLOOKUP(I79:AF79,$AM$4:$AO$46,3,FALSE))</f>
        <v>585</v>
      </c>
      <c r="G79" s="89">
        <f>SUM($F$4:F79)+SUM($H$4:H79)</f>
        <v>53285</v>
      </c>
      <c r="H79" s="88">
        <v>300</v>
      </c>
      <c r="I79" s="88" t="s">
        <v>23</v>
      </c>
      <c r="J79" s="88" t="s">
        <v>23</v>
      </c>
      <c r="K79" s="88" t="s">
        <v>23</v>
      </c>
      <c r="L79" s="88" t="s">
        <v>23</v>
      </c>
      <c r="M79" s="88" t="s">
        <v>23</v>
      </c>
      <c r="N79" s="88" t="s">
        <v>23</v>
      </c>
      <c r="O79" s="92" t="s">
        <v>23</v>
      </c>
      <c r="P79" s="92" t="s">
        <v>23</v>
      </c>
      <c r="Q79" s="169" t="s">
        <v>18</v>
      </c>
      <c r="R79" s="169" t="s">
        <v>18</v>
      </c>
      <c r="S79" s="169" t="s">
        <v>18</v>
      </c>
      <c r="T79" s="169" t="s">
        <v>18</v>
      </c>
      <c r="U79" s="169" t="s">
        <v>18</v>
      </c>
      <c r="V79" s="88" t="s">
        <v>23</v>
      </c>
      <c r="W79" s="92" t="s">
        <v>23</v>
      </c>
      <c r="X79" s="92" t="s">
        <v>23</v>
      </c>
      <c r="Y79" s="237" t="s">
        <v>21</v>
      </c>
      <c r="Z79" s="237" t="s">
        <v>21</v>
      </c>
      <c r="AA79" s="237" t="s">
        <v>21</v>
      </c>
      <c r="AB79" s="237" t="s">
        <v>21</v>
      </c>
      <c r="AC79" s="237" t="s">
        <v>21</v>
      </c>
      <c r="AD79" s="237" t="s">
        <v>21</v>
      </c>
      <c r="AE79" s="92" t="s">
        <v>23</v>
      </c>
      <c r="AF79" s="92" t="s">
        <v>23</v>
      </c>
      <c r="AG79" s="93">
        <f t="shared" si="12"/>
        <v>0</v>
      </c>
      <c r="AH79" s="93"/>
      <c r="AI79" s="93"/>
      <c r="AJ79" s="93"/>
      <c r="AK79" s="94" t="s">
        <v>31</v>
      </c>
      <c r="AL79" s="107"/>
    </row>
    <row r="80" spans="1:38">
      <c r="A80" s="204">
        <v>45167</v>
      </c>
      <c r="B80" s="88">
        <v>1600</v>
      </c>
      <c r="C80" s="88"/>
      <c r="D80" s="89" cm="1">
        <f t="array" ref="D80">(SUM(VLOOKUP(I80:AF80,$AM$4:$AO$46,2,FALSE))+AG80*10)*IF(AK80="是",$AZ$4,$AZ$3)</f>
        <v>1776</v>
      </c>
      <c r="E80" s="89">
        <f>SUM($B$4:B80)+SUM($C$4:C80)-SUM($D$4:D80)</f>
        <v>1808</v>
      </c>
      <c r="F80" s="89" cm="1">
        <f t="array" ref="F80">SUM(VLOOKUP(I80:AF80,$AM$4:$AO$46,3,FALSE))</f>
        <v>630</v>
      </c>
      <c r="G80" s="89">
        <f>SUM($F$4:F80)+SUM($H$4:H80)</f>
        <v>53915</v>
      </c>
      <c r="H80" s="88">
        <v>0</v>
      </c>
      <c r="I80" s="88" t="s">
        <v>23</v>
      </c>
      <c r="J80" s="88" t="s">
        <v>23</v>
      </c>
      <c r="K80" s="88" t="s">
        <v>23</v>
      </c>
      <c r="L80" s="88" t="s">
        <v>23</v>
      </c>
      <c r="M80" s="88" t="s">
        <v>23</v>
      </c>
      <c r="N80" s="88" t="s">
        <v>23</v>
      </c>
      <c r="O80" s="92" t="s">
        <v>23</v>
      </c>
      <c r="P80" s="92" t="s">
        <v>23</v>
      </c>
      <c r="Q80" s="169" t="s">
        <v>18</v>
      </c>
      <c r="R80" s="169" t="s">
        <v>18</v>
      </c>
      <c r="S80" s="169" t="s">
        <v>18</v>
      </c>
      <c r="T80" s="169" t="s">
        <v>18</v>
      </c>
      <c r="U80" s="169" t="s">
        <v>18</v>
      </c>
      <c r="V80" s="169" t="s">
        <v>18</v>
      </c>
      <c r="W80" s="92" t="s">
        <v>23</v>
      </c>
      <c r="X80" s="92" t="s">
        <v>23</v>
      </c>
      <c r="Y80" s="237" t="s">
        <v>21</v>
      </c>
      <c r="Z80" s="237" t="s">
        <v>21</v>
      </c>
      <c r="AA80" s="237" t="s">
        <v>21</v>
      </c>
      <c r="AB80" s="237" t="s">
        <v>21</v>
      </c>
      <c r="AC80" s="237" t="s">
        <v>21</v>
      </c>
      <c r="AD80" s="237" t="s">
        <v>21</v>
      </c>
      <c r="AE80" s="92" t="s">
        <v>23</v>
      </c>
      <c r="AF80" s="92" t="s">
        <v>23</v>
      </c>
      <c r="AG80" s="93">
        <f t="shared" si="12"/>
        <v>0</v>
      </c>
      <c r="AH80" s="93"/>
      <c r="AI80" s="93"/>
      <c r="AJ80" s="93"/>
      <c r="AK80" s="94" t="s">
        <v>31</v>
      </c>
      <c r="AL80" s="107"/>
    </row>
    <row r="81" spans="1:43">
      <c r="A81" s="204">
        <v>45168</v>
      </c>
      <c r="B81" s="88">
        <v>1600</v>
      </c>
      <c r="C81" s="88"/>
      <c r="D81" s="89" cm="1">
        <f t="array" ref="D81">(SUM(VLOOKUP(I81:AF81,$AM$4:$AO$46,2,FALSE))+AG81*10)*IF(AK81="是",$AZ$4,$AZ$3)</f>
        <v>1592</v>
      </c>
      <c r="E81" s="89">
        <f>SUM($B$4:B81)+SUM($C$4:C81)-SUM($D$4:D81)</f>
        <v>1816</v>
      </c>
      <c r="F81" s="89" cm="1">
        <f t="array" ref="F81">SUM(VLOOKUP(I81:AF81,$AM$4:$AO$46,3,FALSE))</f>
        <v>555</v>
      </c>
      <c r="G81" s="89">
        <f>SUM($F$4:F81)+SUM($H$4:H81)</f>
        <v>54670</v>
      </c>
      <c r="H81" s="88">
        <v>200</v>
      </c>
      <c r="I81" s="88" t="s">
        <v>23</v>
      </c>
      <c r="J81" s="88" t="s">
        <v>23</v>
      </c>
      <c r="K81" s="88" t="s">
        <v>23</v>
      </c>
      <c r="L81" s="88" t="s">
        <v>23</v>
      </c>
      <c r="M81" s="88" t="s">
        <v>23</v>
      </c>
      <c r="N81" s="88" t="s">
        <v>23</v>
      </c>
      <c r="O81" s="92" t="s">
        <v>23</v>
      </c>
      <c r="P81" s="92" t="s">
        <v>23</v>
      </c>
      <c r="Q81" s="169" t="s">
        <v>18</v>
      </c>
      <c r="R81" s="169" t="s">
        <v>18</v>
      </c>
      <c r="S81" s="169" t="s">
        <v>18</v>
      </c>
      <c r="T81" s="169" t="s">
        <v>18</v>
      </c>
      <c r="U81" s="169" t="s">
        <v>18</v>
      </c>
      <c r="V81" s="88" t="s">
        <v>23</v>
      </c>
      <c r="W81" s="92" t="s">
        <v>23</v>
      </c>
      <c r="X81" s="92" t="s">
        <v>23</v>
      </c>
      <c r="Y81" s="225" t="s">
        <v>20</v>
      </c>
      <c r="Z81" s="225" t="s">
        <v>20</v>
      </c>
      <c r="AA81" s="225" t="s">
        <v>20</v>
      </c>
      <c r="AB81" s="225" t="s">
        <v>20</v>
      </c>
      <c r="AC81" s="225" t="s">
        <v>20</v>
      </c>
      <c r="AD81" s="225" t="s">
        <v>20</v>
      </c>
      <c r="AE81" s="92" t="s">
        <v>23</v>
      </c>
      <c r="AF81" s="92" t="s">
        <v>23</v>
      </c>
      <c r="AG81" s="93">
        <f t="shared" si="12"/>
        <v>0</v>
      </c>
      <c r="AH81" s="93"/>
      <c r="AI81" s="93"/>
      <c r="AJ81" s="93"/>
      <c r="AK81" s="94" t="s">
        <v>31</v>
      </c>
      <c r="AL81" s="107"/>
    </row>
    <row r="82" spans="1:43">
      <c r="A82" s="204">
        <v>45169</v>
      </c>
      <c r="B82" s="88">
        <v>1600</v>
      </c>
      <c r="C82" s="88"/>
      <c r="D82" s="89" cm="1">
        <f t="array" ref="D82">(SUM(VLOOKUP(I82:AF82,$AM$4:$AO$46,2,FALSE))+AG82*10)*IF(AK82="是",$AZ$4,$AZ$3)</f>
        <v>1424</v>
      </c>
      <c r="E82" s="89">
        <f>SUM($B$4:B82)+SUM($C$4:C82)-SUM($D$4:D82)</f>
        <v>1992</v>
      </c>
      <c r="F82" s="89" cm="1">
        <f t="array" ref="F82">SUM(VLOOKUP(I82:AF82,$AM$4:$AO$46,3,FALSE))</f>
        <v>550</v>
      </c>
      <c r="G82" s="89">
        <f>SUM($F$4:F82)+SUM($H$4:H82)</f>
        <v>55220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169" t="s">
        <v>18</v>
      </c>
      <c r="R82" s="169" t="s">
        <v>18</v>
      </c>
      <c r="S82" s="169" t="s">
        <v>18</v>
      </c>
      <c r="T82" s="169" t="s">
        <v>18</v>
      </c>
      <c r="U82" s="88" t="s">
        <v>23</v>
      </c>
      <c r="V82" s="88" t="s">
        <v>23</v>
      </c>
      <c r="W82" s="92" t="s">
        <v>23</v>
      </c>
      <c r="X82" s="92" t="s">
        <v>23</v>
      </c>
      <c r="Y82" s="225" t="s">
        <v>20</v>
      </c>
      <c r="Z82" s="225" t="s">
        <v>20</v>
      </c>
      <c r="AA82" s="225" t="s">
        <v>20</v>
      </c>
      <c r="AB82" s="225" t="s">
        <v>20</v>
      </c>
      <c r="AC82" s="211" t="s">
        <v>47</v>
      </c>
      <c r="AD82" s="224" t="s">
        <v>19</v>
      </c>
      <c r="AE82" s="224" t="s">
        <v>19</v>
      </c>
      <c r="AF82" s="224" t="s">
        <v>19</v>
      </c>
      <c r="AG82" s="93">
        <f t="shared" si="12"/>
        <v>0</v>
      </c>
      <c r="AH82" s="93"/>
      <c r="AI82" s="93"/>
      <c r="AJ82" s="93"/>
      <c r="AK82" s="94" t="s">
        <v>31</v>
      </c>
      <c r="AL82" s="107"/>
    </row>
    <row r="83" spans="1:43">
      <c r="A83" s="204">
        <v>45170</v>
      </c>
      <c r="B83" s="88">
        <v>1600</v>
      </c>
      <c r="C83" s="88"/>
      <c r="D83" s="89" cm="1">
        <f t="array" ref="D83">(SUM(VLOOKUP(I83:AF83,$AM$4:$AO$46,2,FALSE))+AG83*10)*IF(AK83="是",$AZ$4,$AZ$3)</f>
        <v>1680</v>
      </c>
      <c r="E83" s="89">
        <f>SUM($B$4:B83)+SUM($C$4:C83)-SUM($D$4:D83)</f>
        <v>1912</v>
      </c>
      <c r="F83" s="89" cm="1">
        <f t="array" ref="F83">SUM(VLOOKUP(I83:AF83,$AM$4:$AO$46,3,FALSE))</f>
        <v>570</v>
      </c>
      <c r="G83" s="89">
        <f>SUM($F$4:F83)+SUM($H$4:H83)</f>
        <v>55790</v>
      </c>
      <c r="H83" s="88">
        <v>0</v>
      </c>
      <c r="I83" s="88" t="s">
        <v>23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169" t="s">
        <v>18</v>
      </c>
      <c r="R83" s="169" t="s">
        <v>18</v>
      </c>
      <c r="S83" s="169" t="s">
        <v>18</v>
      </c>
      <c r="T83" s="169" t="s">
        <v>18</v>
      </c>
      <c r="U83" s="169" t="s">
        <v>18</v>
      </c>
      <c r="V83" s="169" t="s">
        <v>18</v>
      </c>
      <c r="W83" s="92" t="s">
        <v>23</v>
      </c>
      <c r="X83" s="92" t="s">
        <v>23</v>
      </c>
      <c r="Y83" s="224" t="s">
        <v>19</v>
      </c>
      <c r="Z83" s="224" t="s">
        <v>19</v>
      </c>
      <c r="AA83" s="224" t="s">
        <v>19</v>
      </c>
      <c r="AB83" s="224" t="s">
        <v>19</v>
      </c>
      <c r="AC83" s="224" t="s">
        <v>19</v>
      </c>
      <c r="AD83" s="224" t="s">
        <v>19</v>
      </c>
      <c r="AE83" s="92" t="s">
        <v>23</v>
      </c>
      <c r="AF83" s="92" t="s">
        <v>23</v>
      </c>
      <c r="AG83" s="93">
        <f t="shared" si="12"/>
        <v>0</v>
      </c>
      <c r="AH83" s="93"/>
      <c r="AI83" s="93"/>
      <c r="AJ83" s="93"/>
      <c r="AK83" s="94" t="s">
        <v>31</v>
      </c>
      <c r="AL83" s="107"/>
    </row>
    <row r="84" spans="1:43">
      <c r="A84" s="204">
        <v>45171</v>
      </c>
      <c r="B84" s="88">
        <v>1600</v>
      </c>
      <c r="C84" s="88"/>
      <c r="D84" s="89" cm="1">
        <f t="array" ref="D84">(SUM(VLOOKUP(I84:AF84,$AM$4:$AO$46,2,FALSE))+AG84*10)*IF(AK84="是",$AZ$4,$AZ$3)</f>
        <v>1592</v>
      </c>
      <c r="E84" s="89">
        <f>SUM($B$4:B84)+SUM($C$4:C84)-SUM($D$4:D84)</f>
        <v>1920</v>
      </c>
      <c r="F84" s="89" cm="1">
        <f t="array" ref="F84">SUM(VLOOKUP(I84:AF84,$AM$4:$AO$46,3,FALSE))</f>
        <v>560</v>
      </c>
      <c r="G84" s="89">
        <f>SUM($F$4:F84)+SUM($H$4:H84)</f>
        <v>56350</v>
      </c>
      <c r="H84" s="88">
        <v>0</v>
      </c>
      <c r="I84" s="88" t="s">
        <v>23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169" t="s">
        <v>18</v>
      </c>
      <c r="R84" s="169" t="s">
        <v>18</v>
      </c>
      <c r="S84" s="169" t="s">
        <v>18</v>
      </c>
      <c r="T84" s="205" t="s">
        <v>12</v>
      </c>
      <c r="U84" s="169" t="s">
        <v>18</v>
      </c>
      <c r="V84" s="88" t="s">
        <v>23</v>
      </c>
      <c r="W84" s="92" t="s">
        <v>23</v>
      </c>
      <c r="X84" s="92" t="s">
        <v>23</v>
      </c>
      <c r="Y84" s="224" t="s">
        <v>19</v>
      </c>
      <c r="Z84" s="224" t="s">
        <v>19</v>
      </c>
      <c r="AA84" s="224" t="s">
        <v>19</v>
      </c>
      <c r="AB84" s="224" t="s">
        <v>19</v>
      </c>
      <c r="AC84" s="224" t="s">
        <v>19</v>
      </c>
      <c r="AD84" s="224" t="s">
        <v>19</v>
      </c>
      <c r="AE84" s="224" t="s">
        <v>19</v>
      </c>
      <c r="AF84" s="92" t="s">
        <v>23</v>
      </c>
      <c r="AG84" s="93">
        <f t="shared" si="12"/>
        <v>0</v>
      </c>
      <c r="AH84" s="93"/>
      <c r="AI84" s="93"/>
      <c r="AJ84" s="93"/>
      <c r="AK84" s="94" t="s">
        <v>31</v>
      </c>
      <c r="AL84" s="107"/>
    </row>
    <row r="85" spans="1:43">
      <c r="A85" s="204">
        <v>45172</v>
      </c>
      <c r="B85" s="88">
        <v>1600</v>
      </c>
      <c r="C85" s="88"/>
      <c r="D85" s="89" cm="1">
        <f t="array" ref="D85">(SUM(VLOOKUP(I85:AF85,$AM$4:$AO$46,2,FALSE))+AG85*10)*IF(AK85="是",$AZ$4,$AZ$3)</f>
        <v>1584</v>
      </c>
      <c r="E85" s="89">
        <f>SUM($B$4:B85)+SUM($C$4:C85)-SUM($D$4:D85)</f>
        <v>1936</v>
      </c>
      <c r="F85" s="89" cm="1">
        <f t="array" ref="F85">SUM(VLOOKUP(I85:AF85,$AM$4:$AO$46,3,FALSE))</f>
        <v>555</v>
      </c>
      <c r="G85" s="89">
        <f>SUM($F$4:F85)+SUM($H$4:H85)</f>
        <v>56905</v>
      </c>
      <c r="H85" s="88">
        <v>0</v>
      </c>
      <c r="I85" s="88" t="s">
        <v>23</v>
      </c>
      <c r="J85" s="88" t="s">
        <v>23</v>
      </c>
      <c r="K85" s="88" t="s">
        <v>23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169" t="s">
        <v>18</v>
      </c>
      <c r="R85" s="169" t="s">
        <v>18</v>
      </c>
      <c r="S85" s="169" t="s">
        <v>18</v>
      </c>
      <c r="T85" s="169" t="s">
        <v>18</v>
      </c>
      <c r="U85" s="205" t="s">
        <v>12</v>
      </c>
      <c r="V85" s="169" t="s">
        <v>18</v>
      </c>
      <c r="W85" s="92" t="s">
        <v>23</v>
      </c>
      <c r="X85" s="92" t="s">
        <v>23</v>
      </c>
      <c r="Y85" s="224" t="s">
        <v>19</v>
      </c>
      <c r="Z85" s="224" t="s">
        <v>19</v>
      </c>
      <c r="AA85" s="224" t="s">
        <v>19</v>
      </c>
      <c r="AB85" s="224" t="s">
        <v>19</v>
      </c>
      <c r="AC85" s="224" t="s">
        <v>19</v>
      </c>
      <c r="AD85" s="224" t="s">
        <v>19</v>
      </c>
      <c r="AE85" s="92" t="s">
        <v>23</v>
      </c>
      <c r="AF85" s="92" t="s">
        <v>23</v>
      </c>
      <c r="AG85" s="93">
        <f t="shared" si="12"/>
        <v>0</v>
      </c>
      <c r="AH85" s="93"/>
      <c r="AI85" s="93"/>
      <c r="AJ85" s="93"/>
      <c r="AK85" s="94" t="s">
        <v>31</v>
      </c>
      <c r="AL85" s="107"/>
    </row>
    <row r="86" spans="1:43">
      <c r="A86" s="204">
        <v>45173</v>
      </c>
      <c r="B86" s="89">
        <v>1600</v>
      </c>
      <c r="C86" s="89"/>
      <c r="D86" s="89" cm="1">
        <f t="array" ref="D86">(SUM(VLOOKUP(I86:AF86,$AM$4:$AO$46,2,FALSE))+AG86*10)*IF(AK86="是",$AZ$4,$AZ$3)</f>
        <v>1704</v>
      </c>
      <c r="E86" s="89">
        <f>SUM($B$4:B86)+SUM($C$4:C86)-SUM($D$4:D86)</f>
        <v>1832</v>
      </c>
      <c r="F86" s="89" cm="1">
        <f t="array" ref="F86">SUM(VLOOKUP(I86:AF86,$AM$4:$AO$46,3,FALSE))</f>
        <v>605</v>
      </c>
      <c r="G86" s="89">
        <f>SUM($F$4:F86)+SUM($H$4:H86)</f>
        <v>57810</v>
      </c>
      <c r="H86" s="89">
        <v>300</v>
      </c>
      <c r="I86" s="88" t="s">
        <v>23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169" t="s">
        <v>18</v>
      </c>
      <c r="R86" s="169" t="s">
        <v>18</v>
      </c>
      <c r="S86" s="169" t="s">
        <v>18</v>
      </c>
      <c r="T86" s="169" t="s">
        <v>18</v>
      </c>
      <c r="U86" s="169" t="s">
        <v>18</v>
      </c>
      <c r="V86" s="88" t="s">
        <v>23</v>
      </c>
      <c r="W86" s="92" t="s">
        <v>23</v>
      </c>
      <c r="X86" s="92" t="s">
        <v>23</v>
      </c>
      <c r="Y86" s="238" t="s">
        <v>8</v>
      </c>
      <c r="Z86" s="224" t="s">
        <v>19</v>
      </c>
      <c r="AA86" s="224" t="s">
        <v>19</v>
      </c>
      <c r="AB86" s="224" t="s">
        <v>19</v>
      </c>
      <c r="AC86" s="224" t="s">
        <v>19</v>
      </c>
      <c r="AD86" s="224" t="s">
        <v>19</v>
      </c>
      <c r="AE86" s="224" t="s">
        <v>19</v>
      </c>
      <c r="AF86" s="205" t="s">
        <v>12</v>
      </c>
      <c r="AG86" s="93">
        <f t="shared" si="12"/>
        <v>0</v>
      </c>
      <c r="AH86" s="93"/>
      <c r="AI86" s="93"/>
      <c r="AJ86" s="93"/>
      <c r="AK86" s="94" t="s">
        <v>31</v>
      </c>
      <c r="AL86" s="107"/>
      <c r="AM86" s="88"/>
      <c r="AN86" s="88"/>
      <c r="AO86" s="88"/>
      <c r="AP86" s="88"/>
      <c r="AQ86" s="88"/>
    </row>
    <row r="87" spans="1:43">
      <c r="A87" s="204">
        <v>45174</v>
      </c>
      <c r="B87" s="89">
        <v>1600</v>
      </c>
      <c r="C87" s="89"/>
      <c r="D87" s="89" cm="1">
        <f t="array" ref="D87">(SUM(VLOOKUP(I87:AF87,$AM$4:$AO$46,2,FALSE))+AG87*10)*IF(AK87="是",$AZ$4,$AZ$3)</f>
        <v>1680</v>
      </c>
      <c r="E87" s="89">
        <f>SUM($B$4:B87)+SUM($C$4:C87)-SUM($D$4:D87)</f>
        <v>1752</v>
      </c>
      <c r="F87" s="89" cm="1">
        <f t="array" ref="F87">SUM(VLOOKUP(I87:AF87,$AM$4:$AO$46,3,FALSE))</f>
        <v>570</v>
      </c>
      <c r="G87" s="89">
        <f>SUM($F$4:F87)+SUM($H$4:H87)</f>
        <v>58380</v>
      </c>
      <c r="H87" s="89">
        <v>0</v>
      </c>
      <c r="I87" s="88" t="s">
        <v>23</v>
      </c>
      <c r="J87" s="88" t="s">
        <v>23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169" t="s">
        <v>18</v>
      </c>
      <c r="R87" s="169" t="s">
        <v>18</v>
      </c>
      <c r="S87" s="169" t="s">
        <v>18</v>
      </c>
      <c r="T87" s="169" t="s">
        <v>18</v>
      </c>
      <c r="U87" s="169" t="s">
        <v>18</v>
      </c>
      <c r="V87" s="169" t="s">
        <v>18</v>
      </c>
      <c r="W87" s="92" t="s">
        <v>23</v>
      </c>
      <c r="X87" s="92" t="s">
        <v>23</v>
      </c>
      <c r="Y87" s="224" t="s">
        <v>19</v>
      </c>
      <c r="Z87" s="224" t="s">
        <v>19</v>
      </c>
      <c r="AA87" s="224" t="s">
        <v>19</v>
      </c>
      <c r="AB87" s="224" t="s">
        <v>19</v>
      </c>
      <c r="AC87" s="224" t="s">
        <v>19</v>
      </c>
      <c r="AD87" s="224" t="s">
        <v>19</v>
      </c>
      <c r="AE87" s="92" t="s">
        <v>23</v>
      </c>
      <c r="AF87" s="92" t="s">
        <v>23</v>
      </c>
      <c r="AG87" s="93">
        <f t="shared" si="12"/>
        <v>0</v>
      </c>
      <c r="AH87" s="93"/>
      <c r="AI87" s="93"/>
      <c r="AJ87" s="93"/>
      <c r="AK87" s="94" t="s">
        <v>31</v>
      </c>
      <c r="AL87" s="107"/>
      <c r="AM87" s="88"/>
      <c r="AN87" s="88"/>
      <c r="AO87" s="88"/>
      <c r="AP87" s="88"/>
      <c r="AQ87" s="88"/>
    </row>
    <row r="88" spans="1:43">
      <c r="A88" s="204">
        <v>45175</v>
      </c>
      <c r="B88" s="89">
        <v>1600</v>
      </c>
      <c r="C88" s="89"/>
      <c r="D88" s="89" cm="1">
        <f t="array" ref="D88">(SUM(VLOOKUP(I88:AF88,$AM$4:$AO$46,2,FALSE))+AG88*10)*IF(AK88="是",$AZ$4,$AZ$3)</f>
        <v>1592</v>
      </c>
      <c r="E88" s="89">
        <f>SUM($B$4:B88)+SUM($C$4:C88)-SUM($D$4:D88)</f>
        <v>1760</v>
      </c>
      <c r="F88" s="89" cm="1">
        <f t="array" ref="F88">SUM(VLOOKUP(I88:AF88,$AM$4:$AO$46,3,FALSE))</f>
        <v>555</v>
      </c>
      <c r="G88" s="89">
        <f>SUM($F$4:F88)+SUM($H$4:H88)</f>
        <v>59135</v>
      </c>
      <c r="H88" s="89">
        <v>200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205" t="s">
        <v>12</v>
      </c>
      <c r="R88" s="169" t="s">
        <v>18</v>
      </c>
      <c r="S88" s="169" t="s">
        <v>18</v>
      </c>
      <c r="T88" s="169" t="s">
        <v>18</v>
      </c>
      <c r="U88" s="169" t="s">
        <v>18</v>
      </c>
      <c r="V88" s="169" t="s">
        <v>18</v>
      </c>
      <c r="W88" s="92" t="s">
        <v>23</v>
      </c>
      <c r="X88" s="92" t="s">
        <v>23</v>
      </c>
      <c r="Y88" s="224" t="s">
        <v>19</v>
      </c>
      <c r="Z88" s="224" t="s">
        <v>19</v>
      </c>
      <c r="AA88" s="224" t="s">
        <v>19</v>
      </c>
      <c r="AB88" s="224" t="s">
        <v>19</v>
      </c>
      <c r="AC88" s="224" t="s">
        <v>19</v>
      </c>
      <c r="AD88" s="224" t="s">
        <v>19</v>
      </c>
      <c r="AE88" s="92" t="s">
        <v>23</v>
      </c>
      <c r="AF88" s="92" t="s">
        <v>23</v>
      </c>
      <c r="AG88" s="93">
        <f t="shared" si="12"/>
        <v>1</v>
      </c>
      <c r="AH88" s="93"/>
      <c r="AI88" s="93">
        <v>1</v>
      </c>
      <c r="AJ88" s="93"/>
      <c r="AK88" s="94" t="s">
        <v>31</v>
      </c>
      <c r="AL88" s="107"/>
    </row>
    <row r="89" spans="1:43">
      <c r="A89" s="204">
        <v>45176</v>
      </c>
      <c r="B89" s="89">
        <v>1600</v>
      </c>
      <c r="C89" s="89"/>
      <c r="D89" s="89" cm="1">
        <f t="array" ref="D89">(SUM(VLOOKUP(I89:AF89,$AM$4:$AO$46,2,FALSE))+AG89*10)*IF(AK89="是",$AZ$4,$AZ$3)</f>
        <v>1576</v>
      </c>
      <c r="E89" s="89">
        <f>SUM($B$4:B89)+SUM($C$4:C89)-SUM($D$4:D89)</f>
        <v>1784</v>
      </c>
      <c r="F89" s="89" cm="1">
        <f t="array" ref="F89">SUM(VLOOKUP(I89:AF89,$AM$4:$AO$46,3,FALSE))</f>
        <v>550</v>
      </c>
      <c r="G89" s="89">
        <f>SUM($F$4:F89)+SUM($H$4:H89)</f>
        <v>59685</v>
      </c>
      <c r="H89" s="89">
        <v>0</v>
      </c>
      <c r="I89" s="88" t="s">
        <v>23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169" t="s">
        <v>18</v>
      </c>
      <c r="R89" s="169" t="s">
        <v>18</v>
      </c>
      <c r="S89" s="169" t="s">
        <v>18</v>
      </c>
      <c r="T89" s="169" t="s">
        <v>18</v>
      </c>
      <c r="U89" s="169" t="s">
        <v>18</v>
      </c>
      <c r="V89" s="169" t="s">
        <v>18</v>
      </c>
      <c r="W89" s="92" t="s">
        <v>23</v>
      </c>
      <c r="X89" s="92" t="s">
        <v>23</v>
      </c>
      <c r="Y89" s="224" t="s">
        <v>19</v>
      </c>
      <c r="Z89" s="224" t="s">
        <v>19</v>
      </c>
      <c r="AA89" s="224" t="s">
        <v>19</v>
      </c>
      <c r="AB89" s="205" t="s">
        <v>12</v>
      </c>
      <c r="AC89" s="224" t="s">
        <v>19</v>
      </c>
      <c r="AD89" s="224" t="s">
        <v>19</v>
      </c>
      <c r="AE89" s="92" t="s">
        <v>23</v>
      </c>
      <c r="AF89" s="92" t="s">
        <v>23</v>
      </c>
      <c r="AG89" s="93">
        <f t="shared" si="12"/>
        <v>0</v>
      </c>
      <c r="AH89" s="93"/>
      <c r="AI89" s="93"/>
      <c r="AJ89" s="93"/>
      <c r="AK89" s="94" t="s">
        <v>31</v>
      </c>
      <c r="AL89" s="107"/>
    </row>
    <row r="90" spans="1:43">
      <c r="A90" s="204">
        <v>45177</v>
      </c>
      <c r="B90" s="89">
        <v>1600</v>
      </c>
      <c r="C90" s="89"/>
      <c r="D90" s="89" cm="1">
        <f t="array" ref="D90">(SUM(VLOOKUP(I90:AF90,$AM$4:$AO$46,2,FALSE))+AG90*10)*IF(AK90="是",$AZ$4,$AZ$3)</f>
        <v>1584</v>
      </c>
      <c r="E90" s="89">
        <f>SUM($B$4:B90)+SUM($C$4:C90)-SUM($D$4:D90)</f>
        <v>1800</v>
      </c>
      <c r="F90" s="89" cm="1">
        <f t="array" ref="F90">SUM(VLOOKUP(I90:AF90,$AM$4:$AO$46,3,FALSE))</f>
        <v>555</v>
      </c>
      <c r="G90" s="89">
        <f>SUM($F$4:F90)+SUM($H$4:H90)</f>
        <v>60240</v>
      </c>
      <c r="H90" s="89">
        <v>0</v>
      </c>
      <c r="I90" s="88" t="s">
        <v>23</v>
      </c>
      <c r="J90" s="88" t="s">
        <v>23</v>
      </c>
      <c r="K90" s="88" t="s">
        <v>23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169" t="s">
        <v>18</v>
      </c>
      <c r="R90" s="169" t="s">
        <v>18</v>
      </c>
      <c r="S90" s="205" t="s">
        <v>12</v>
      </c>
      <c r="T90" s="169" t="s">
        <v>18</v>
      </c>
      <c r="U90" s="169" t="s">
        <v>18</v>
      </c>
      <c r="V90" s="169" t="s">
        <v>18</v>
      </c>
      <c r="W90" s="92" t="s">
        <v>23</v>
      </c>
      <c r="X90" s="92" t="s">
        <v>23</v>
      </c>
      <c r="Y90" s="224" t="s">
        <v>19</v>
      </c>
      <c r="Z90" s="224" t="s">
        <v>19</v>
      </c>
      <c r="AA90" s="224" t="s">
        <v>19</v>
      </c>
      <c r="AB90" s="224" t="s">
        <v>19</v>
      </c>
      <c r="AC90" s="224" t="s">
        <v>19</v>
      </c>
      <c r="AD90" s="224" t="s">
        <v>19</v>
      </c>
      <c r="AE90" s="92" t="s">
        <v>23</v>
      </c>
      <c r="AF90" s="92" t="s">
        <v>23</v>
      </c>
      <c r="AG90" s="93">
        <f t="shared" si="12"/>
        <v>0</v>
      </c>
      <c r="AH90" s="93"/>
      <c r="AI90" s="93"/>
      <c r="AJ90" s="93"/>
      <c r="AK90" s="94" t="s">
        <v>31</v>
      </c>
      <c r="AL90" s="107"/>
    </row>
    <row r="91" spans="1:43">
      <c r="A91" s="204">
        <v>45178</v>
      </c>
      <c r="B91" s="89">
        <v>1600</v>
      </c>
      <c r="C91" s="89"/>
      <c r="D91" s="89" cm="1">
        <f t="array" ref="D91">(SUM(VLOOKUP(I91:AF91,$AM$4:$AO$46,2,FALSE))+AG91*10)*IF(AK91="是",$AZ$4,$AZ$3)</f>
        <v>1648</v>
      </c>
      <c r="E91" s="89">
        <f>SUM($B$4:B91)+SUM($C$4:C91)-SUM($D$4:D91)</f>
        <v>1752</v>
      </c>
      <c r="F91" s="89" cm="1">
        <f t="array" ref="F91">SUM(VLOOKUP(I91:AF91,$AM$4:$AO$46,3,FALSE))</f>
        <v>555</v>
      </c>
      <c r="G91" s="89">
        <f>SUM($F$4:F91)+SUM($H$4:H91)</f>
        <v>60795</v>
      </c>
      <c r="H91" s="89">
        <v>0</v>
      </c>
      <c r="I91" s="88" t="s">
        <v>23</v>
      </c>
      <c r="J91" s="88" t="s">
        <v>23</v>
      </c>
      <c r="K91" s="88" t="s">
        <v>23</v>
      </c>
      <c r="L91" s="88" t="s">
        <v>23</v>
      </c>
      <c r="M91" s="88" t="s">
        <v>23</v>
      </c>
      <c r="N91" s="88" t="s">
        <v>23</v>
      </c>
      <c r="O91" s="92" t="s">
        <v>23</v>
      </c>
      <c r="P91" s="92" t="s">
        <v>23</v>
      </c>
      <c r="Q91" s="169" t="s">
        <v>18</v>
      </c>
      <c r="R91" s="169" t="s">
        <v>18</v>
      </c>
      <c r="S91" s="169" t="s">
        <v>18</v>
      </c>
      <c r="T91" s="169" t="s">
        <v>18</v>
      </c>
      <c r="U91" s="169" t="s">
        <v>18</v>
      </c>
      <c r="V91" s="169" t="s">
        <v>18</v>
      </c>
      <c r="W91" s="92" t="s">
        <v>23</v>
      </c>
      <c r="X91" s="92" t="s">
        <v>23</v>
      </c>
      <c r="Y91" s="224" t="s">
        <v>19</v>
      </c>
      <c r="Z91" s="224" t="s">
        <v>19</v>
      </c>
      <c r="AA91" s="224" t="s">
        <v>19</v>
      </c>
      <c r="AB91" s="236" t="s">
        <v>7</v>
      </c>
      <c r="AC91" s="169" t="s">
        <v>18</v>
      </c>
      <c r="AD91" s="169" t="s">
        <v>18</v>
      </c>
      <c r="AE91" s="92" t="s">
        <v>23</v>
      </c>
      <c r="AF91" s="92" t="s">
        <v>23</v>
      </c>
      <c r="AG91" s="93">
        <f t="shared" si="12"/>
        <v>1</v>
      </c>
      <c r="AH91" s="93"/>
      <c r="AI91" s="93">
        <v>1</v>
      </c>
      <c r="AJ91" s="93"/>
      <c r="AK91" s="94" t="s">
        <v>31</v>
      </c>
      <c r="AL91" s="107"/>
    </row>
    <row r="92" spans="1:43">
      <c r="A92" s="204">
        <v>45179</v>
      </c>
      <c r="B92" s="89">
        <v>1600</v>
      </c>
      <c r="C92" s="89"/>
      <c r="D92" s="89" cm="1">
        <f t="array" ref="D92">(SUM(VLOOKUP(I92:AF92,$AM$4:$AO$46,2,FALSE))+AG92*10)*IF(AK92="是",$AZ$4,$AZ$3)</f>
        <v>2240</v>
      </c>
      <c r="E92" s="89">
        <f>SUM($B$4:B92)+SUM($C$4:C92)-SUM($D$4:D92)</f>
        <v>1112</v>
      </c>
      <c r="F92" s="89" cm="1">
        <f t="array" ref="F92">SUM(VLOOKUP(I92:AF92,$AM$4:$AO$46,3,FALSE))</f>
        <v>780</v>
      </c>
      <c r="G92" s="89">
        <f>SUM($F$4:F92)+SUM($H$4:H92)</f>
        <v>61575</v>
      </c>
      <c r="H92" s="89">
        <v>0</v>
      </c>
      <c r="I92" s="169" t="s">
        <v>18</v>
      </c>
      <c r="J92" s="169" t="s">
        <v>18</v>
      </c>
      <c r="K92" s="169" t="s">
        <v>18</v>
      </c>
      <c r="L92" s="169" t="s">
        <v>18</v>
      </c>
      <c r="M92" s="169" t="s">
        <v>18</v>
      </c>
      <c r="N92" s="169" t="s">
        <v>18</v>
      </c>
      <c r="O92" s="92" t="s">
        <v>23</v>
      </c>
      <c r="P92" s="92" t="s">
        <v>23</v>
      </c>
      <c r="Q92" s="205" t="s">
        <v>12</v>
      </c>
      <c r="R92" s="169" t="s">
        <v>18</v>
      </c>
      <c r="S92" s="169" t="s">
        <v>18</v>
      </c>
      <c r="T92" s="169" t="s">
        <v>18</v>
      </c>
      <c r="U92" s="169" t="s">
        <v>18</v>
      </c>
      <c r="V92" s="169" t="s">
        <v>18</v>
      </c>
      <c r="W92" s="92" t="s">
        <v>23</v>
      </c>
      <c r="X92" s="92" t="s">
        <v>23</v>
      </c>
      <c r="Y92" s="169" t="s">
        <v>18</v>
      </c>
      <c r="Z92" s="169" t="s">
        <v>18</v>
      </c>
      <c r="AA92" s="205" t="s">
        <v>12</v>
      </c>
      <c r="AB92" s="169" t="s">
        <v>18</v>
      </c>
      <c r="AC92" s="169" t="s">
        <v>18</v>
      </c>
      <c r="AD92" s="236" t="s">
        <v>7</v>
      </c>
      <c r="AE92" s="92" t="s">
        <v>23</v>
      </c>
      <c r="AF92" s="92" t="s">
        <v>23</v>
      </c>
      <c r="AG92" s="93">
        <f t="shared" si="12"/>
        <v>0</v>
      </c>
      <c r="AH92" s="93"/>
      <c r="AI92" s="93"/>
      <c r="AJ92" s="93"/>
      <c r="AK92" s="94" t="s">
        <v>31</v>
      </c>
      <c r="AL92" s="107"/>
    </row>
    <row r="93" spans="1:43" ht="15.75" thickBot="1">
      <c r="A93" s="204">
        <v>45180</v>
      </c>
      <c r="B93" s="88">
        <v>1600</v>
      </c>
      <c r="C93" s="88"/>
      <c r="D93" s="89" cm="1">
        <f t="array" ref="D93">(SUM(VLOOKUP(I93:AF93,$AM$4:$AO$46,2,FALSE))+AG93*10)*IF(AK93="是",$AZ$4,$AZ$3)</f>
        <v>1384</v>
      </c>
      <c r="E93" s="89">
        <f>SUM($B$4:B93)+SUM($C$4:C93)-SUM($D$4:D93)</f>
        <v>1328</v>
      </c>
      <c r="F93" s="89" cm="1">
        <f t="array" ref="F93">SUM(VLOOKUP(I93:AF93,$AM$4:$AO$46,3,FALSE))</f>
        <v>480</v>
      </c>
      <c r="G93" s="89">
        <f>SUM($F$4:F93)+SUM($H$4:H93)</f>
        <v>62355</v>
      </c>
      <c r="H93" s="88">
        <v>300</v>
      </c>
      <c r="I93" s="88" t="s">
        <v>23</v>
      </c>
      <c r="J93" s="88" t="s">
        <v>23</v>
      </c>
      <c r="K93" s="88" t="s">
        <v>23</v>
      </c>
      <c r="L93" s="88" t="s">
        <v>23</v>
      </c>
      <c r="M93" s="88" t="s">
        <v>23</v>
      </c>
      <c r="N93" s="88" t="s">
        <v>23</v>
      </c>
      <c r="O93" s="92" t="s">
        <v>23</v>
      </c>
      <c r="P93" s="92" t="s">
        <v>23</v>
      </c>
      <c r="Q93" s="215" t="s">
        <v>18</v>
      </c>
      <c r="R93" s="246" t="s">
        <v>7</v>
      </c>
      <c r="S93" s="215" t="s">
        <v>18</v>
      </c>
      <c r="T93" s="215" t="s">
        <v>18</v>
      </c>
      <c r="U93" s="215" t="s">
        <v>18</v>
      </c>
      <c r="V93" s="215" t="s">
        <v>18</v>
      </c>
      <c r="W93" s="92" t="s">
        <v>23</v>
      </c>
      <c r="X93" s="92" t="s">
        <v>23</v>
      </c>
      <c r="Y93" s="169" t="s">
        <v>18</v>
      </c>
      <c r="Z93" s="169" t="s">
        <v>18</v>
      </c>
      <c r="AA93" s="169" t="s">
        <v>18</v>
      </c>
      <c r="AB93" s="205" t="s">
        <v>12</v>
      </c>
      <c r="AC93" s="169" t="s">
        <v>18</v>
      </c>
      <c r="AD93" s="88" t="s">
        <v>23</v>
      </c>
      <c r="AE93" s="92" t="s">
        <v>23</v>
      </c>
      <c r="AF93" s="92" t="s">
        <v>23</v>
      </c>
      <c r="AG93" s="93">
        <f t="shared" si="12"/>
        <v>0</v>
      </c>
      <c r="AH93" s="93"/>
      <c r="AI93" s="93"/>
      <c r="AJ93" s="93"/>
      <c r="AK93" s="94" t="s">
        <v>31</v>
      </c>
      <c r="AL93" s="107"/>
    </row>
    <row r="94" spans="1:43">
      <c r="A94" s="204">
        <v>45181</v>
      </c>
      <c r="B94" s="218">
        <v>1600</v>
      </c>
      <c r="C94" s="218">
        <v>40</v>
      </c>
      <c r="D94" s="219" cm="1">
        <f t="array" ref="D94">(SUM(VLOOKUP(I94:AF96,$AM$4:$AO$46,2,FALSE))+AG94*10)*IF(AK94="是",$AZ$4,$AZ$3)</f>
        <v>2920</v>
      </c>
      <c r="E94" s="219">
        <f>SUM($B$4:B94)+SUM($C$4:C94)-SUM($D$4:D94)</f>
        <v>48</v>
      </c>
      <c r="F94" s="219" cm="1">
        <f t="array" ref="F94">SUM(VLOOKUP(I94:AF96,$AM$4:$AO$46,3,FALSE))</f>
        <v>1625</v>
      </c>
      <c r="G94" s="219">
        <f>SUM($F$4:F94)+SUM($H$4:H94)</f>
        <v>63980</v>
      </c>
      <c r="H94" s="218">
        <v>0</v>
      </c>
      <c r="I94" s="247" t="s">
        <v>16</v>
      </c>
      <c r="J94" s="244" t="s">
        <v>12</v>
      </c>
      <c r="K94" s="245" t="s">
        <v>17</v>
      </c>
      <c r="L94" s="245" t="s">
        <v>17</v>
      </c>
      <c r="M94" s="245" t="s">
        <v>17</v>
      </c>
      <c r="N94" s="248" t="s">
        <v>47</v>
      </c>
      <c r="O94" s="214" t="s">
        <v>23</v>
      </c>
      <c r="P94" s="214" t="s">
        <v>23</v>
      </c>
      <c r="Q94" s="212" t="s">
        <v>18</v>
      </c>
      <c r="R94" s="244" t="s">
        <v>12</v>
      </c>
      <c r="S94" s="245" t="s">
        <v>17</v>
      </c>
      <c r="T94" s="245" t="s">
        <v>17</v>
      </c>
      <c r="U94" s="244" t="s">
        <v>12</v>
      </c>
      <c r="V94" s="245" t="s">
        <v>17</v>
      </c>
      <c r="W94" s="214" t="s">
        <v>23</v>
      </c>
      <c r="X94" s="214" t="s">
        <v>23</v>
      </c>
      <c r="Y94" s="88" t="s">
        <v>23</v>
      </c>
      <c r="Z94" s="88" t="s">
        <v>23</v>
      </c>
      <c r="AA94" s="88" t="s">
        <v>23</v>
      </c>
      <c r="AB94" s="88" t="s">
        <v>23</v>
      </c>
      <c r="AC94" s="88" t="s">
        <v>23</v>
      </c>
      <c r="AD94" s="88" t="s">
        <v>23</v>
      </c>
      <c r="AE94" s="92" t="s">
        <v>23</v>
      </c>
      <c r="AF94" s="92" t="s">
        <v>23</v>
      </c>
      <c r="AG94" s="220">
        <f t="shared" si="12"/>
        <v>1</v>
      </c>
      <c r="AH94" s="220"/>
      <c r="AI94" s="220"/>
      <c r="AJ94" s="220">
        <v>1</v>
      </c>
      <c r="AK94" s="221" t="s">
        <v>31</v>
      </c>
      <c r="AL94" s="107"/>
    </row>
    <row r="95" spans="1:43" ht="15.75" thickBot="1">
      <c r="A95" s="204">
        <v>45181</v>
      </c>
      <c r="B95" s="222"/>
      <c r="C95" s="222">
        <v>40</v>
      </c>
      <c r="D95" s="223"/>
      <c r="E95" s="223"/>
      <c r="F95" s="223"/>
      <c r="G95" s="223"/>
      <c r="H95" s="222"/>
      <c r="I95" s="251" t="s">
        <v>16</v>
      </c>
      <c r="J95" s="252" t="s">
        <v>12</v>
      </c>
      <c r="K95" s="251" t="s">
        <v>16</v>
      </c>
      <c r="L95" s="222" t="s">
        <v>23</v>
      </c>
      <c r="M95" s="222" t="s">
        <v>23</v>
      </c>
      <c r="N95" s="222" t="s">
        <v>23</v>
      </c>
      <c r="O95" s="92" t="s">
        <v>23</v>
      </c>
      <c r="P95" s="92" t="s">
        <v>23</v>
      </c>
      <c r="Q95" s="243" t="s">
        <v>87</v>
      </c>
      <c r="R95" s="104" t="s">
        <v>17</v>
      </c>
      <c r="S95" s="169" t="s">
        <v>18</v>
      </c>
      <c r="T95" s="169" t="s">
        <v>18</v>
      </c>
      <c r="U95" s="169" t="s">
        <v>18</v>
      </c>
      <c r="V95" s="226" t="s">
        <v>23</v>
      </c>
      <c r="W95" s="92" t="s">
        <v>23</v>
      </c>
      <c r="X95" s="92" t="s">
        <v>23</v>
      </c>
      <c r="Y95" s="249" t="s">
        <v>17</v>
      </c>
      <c r="Z95" s="250" t="s">
        <v>47</v>
      </c>
      <c r="AA95" s="249" t="s">
        <v>17</v>
      </c>
      <c r="AB95" s="217" t="s">
        <v>12</v>
      </c>
      <c r="AC95" s="249" t="s">
        <v>17</v>
      </c>
      <c r="AD95" s="249" t="s">
        <v>17</v>
      </c>
      <c r="AE95" s="249" t="s">
        <v>17</v>
      </c>
      <c r="AF95" s="249" t="s">
        <v>17</v>
      </c>
      <c r="AG95" s="93">
        <f t="shared" si="12"/>
        <v>0</v>
      </c>
      <c r="AH95" s="93"/>
      <c r="AI95" s="93"/>
      <c r="AJ95" s="93"/>
      <c r="AK95" s="94" t="s">
        <v>31</v>
      </c>
      <c r="AL95" s="107"/>
    </row>
    <row r="96" spans="1:43" ht="15.75" thickBot="1">
      <c r="A96" s="204">
        <v>45181</v>
      </c>
      <c r="B96" s="226"/>
      <c r="C96" s="226"/>
      <c r="D96" s="227"/>
      <c r="E96" s="227"/>
      <c r="F96" s="227"/>
      <c r="G96" s="227"/>
      <c r="H96" s="226"/>
      <c r="I96" s="226" t="s">
        <v>23</v>
      </c>
      <c r="J96" s="226" t="s">
        <v>23</v>
      </c>
      <c r="K96" s="226" t="s">
        <v>23</v>
      </c>
      <c r="L96" s="226" t="s">
        <v>23</v>
      </c>
      <c r="M96" s="226" t="s">
        <v>23</v>
      </c>
      <c r="N96" s="226" t="s">
        <v>23</v>
      </c>
      <c r="O96" s="228" t="s">
        <v>23</v>
      </c>
      <c r="P96" s="228" t="s">
        <v>23</v>
      </c>
      <c r="Q96" s="226" t="s">
        <v>23</v>
      </c>
      <c r="R96" s="226" t="s">
        <v>23</v>
      </c>
      <c r="S96" s="226" t="s">
        <v>23</v>
      </c>
      <c r="T96" s="226" t="s">
        <v>23</v>
      </c>
      <c r="U96" s="226" t="s">
        <v>23</v>
      </c>
      <c r="V96" s="226" t="s">
        <v>23</v>
      </c>
      <c r="W96" s="228" t="s">
        <v>23</v>
      </c>
      <c r="X96" s="228" t="s">
        <v>23</v>
      </c>
      <c r="Y96" s="244" t="s">
        <v>12</v>
      </c>
      <c r="Z96" s="245" t="s">
        <v>17</v>
      </c>
      <c r="AA96" s="245" t="s">
        <v>17</v>
      </c>
      <c r="AB96" s="249" t="s">
        <v>17</v>
      </c>
      <c r="AC96" s="218" t="s">
        <v>23</v>
      </c>
      <c r="AD96" s="218" t="s">
        <v>23</v>
      </c>
      <c r="AE96" s="214" t="s">
        <v>23</v>
      </c>
      <c r="AF96" s="214" t="s">
        <v>23</v>
      </c>
      <c r="AG96" s="230">
        <f t="shared" si="12"/>
        <v>0</v>
      </c>
      <c r="AH96" s="230"/>
      <c r="AI96" s="230"/>
      <c r="AJ96" s="230"/>
      <c r="AK96" s="231" t="s">
        <v>31</v>
      </c>
      <c r="AL96" s="107"/>
    </row>
    <row r="97" spans="1:38" ht="15.75" thickBot="1">
      <c r="A97" s="115">
        <v>45182</v>
      </c>
      <c r="B97" s="109">
        <v>1600</v>
      </c>
      <c r="C97" s="109"/>
      <c r="D97" s="108" cm="1">
        <f t="array" ref="D97">(SUM(VLOOKUP(I97:AF97,$AM$4:$AO$46,2,FALSE))+AG97*10)*IF(AK97="是",$AZ$4,$AZ$3)</f>
        <v>1680</v>
      </c>
      <c r="E97" s="166">
        <f>SUM($B$4:B97)+SUM($C$4:C97)-SUM($D$4:D97)</f>
        <v>8</v>
      </c>
      <c r="F97" s="108" cm="1">
        <f t="array" ref="F97">SUM(VLOOKUP(I97:AF97,$AM$4:$AO$46,3,FALSE))</f>
        <v>665</v>
      </c>
      <c r="G97" s="97">
        <f>SUM($F$4:F97)+SUM($H$4:H97)</f>
        <v>64845</v>
      </c>
      <c r="H97" s="109">
        <v>200</v>
      </c>
      <c r="I97" s="226" t="s">
        <v>23</v>
      </c>
      <c r="J97" s="226" t="s">
        <v>23</v>
      </c>
      <c r="K97" s="226" t="s">
        <v>23</v>
      </c>
      <c r="L97" s="195" t="s">
        <v>16</v>
      </c>
      <c r="M97" s="197" t="s">
        <v>17</v>
      </c>
      <c r="N97" s="197" t="s">
        <v>17</v>
      </c>
      <c r="O97" s="197" t="s">
        <v>17</v>
      </c>
      <c r="P97" s="196" t="s">
        <v>12</v>
      </c>
      <c r="Q97" s="22" t="s">
        <v>18</v>
      </c>
      <c r="R97" s="203" t="s">
        <v>6</v>
      </c>
      <c r="S97" s="198" t="s">
        <v>18</v>
      </c>
      <c r="T97" s="196" t="s">
        <v>12</v>
      </c>
      <c r="U97" s="197" t="s">
        <v>17</v>
      </c>
      <c r="V97" s="199" t="s">
        <v>47</v>
      </c>
      <c r="W97" s="197" t="s">
        <v>17</v>
      </c>
      <c r="X97" s="196" t="s">
        <v>12</v>
      </c>
      <c r="Y97" s="201" t="s">
        <v>12</v>
      </c>
      <c r="Z97" s="197" t="s">
        <v>17</v>
      </c>
      <c r="AA97" s="200" t="s">
        <v>6</v>
      </c>
      <c r="AB97" s="195" t="s">
        <v>16</v>
      </c>
      <c r="AC97" s="195" t="s">
        <v>16</v>
      </c>
      <c r="AD97" s="196" t="s">
        <v>12</v>
      </c>
      <c r="AE97" s="110" t="s">
        <v>23</v>
      </c>
      <c r="AF97" s="110" t="s">
        <v>23</v>
      </c>
      <c r="AG97" s="111">
        <f t="shared" si="12"/>
        <v>0</v>
      </c>
      <c r="AH97" s="111"/>
      <c r="AI97" s="111"/>
      <c r="AJ97" s="111"/>
      <c r="AK97" s="112" t="s">
        <v>31</v>
      </c>
      <c r="AL97" s="107"/>
    </row>
    <row r="99" spans="1:38">
      <c r="D99" t="s">
        <v>53</v>
      </c>
      <c r="E99" s="18">
        <f>COUNTIF(E4:E97,"&lt;0")</f>
        <v>0</v>
      </c>
      <c r="G99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{EDACD56B-9E23-4A45-A436-526EBF843479}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CD56B-9E23-4A45-A436-526EBF8434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54B2-52BA-48EA-A941-9B04A4178A30}">
  <dimension ref="A1:BC95"/>
  <sheetViews>
    <sheetView zoomScale="85" zoomScaleNormal="85" workbookViewId="0">
      <pane xSplit="8" ySplit="3" topLeftCell="I73" activePane="bottomRight" state="frozen"/>
      <selection pane="topRight" activeCell="I1" sqref="I1"/>
      <selection pane="bottomLeft" activeCell="A4" sqref="A4"/>
      <selection pane="bottomRight" activeCell="I90" sqref="I90:N9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59">
        <f ca="1">(_xlfn.DAYS(TODAY(),A4)+2)/((_xlfn.DAYS(A93,A4))+1)</f>
        <v>1</v>
      </c>
      <c r="B1" s="260"/>
      <c r="C1" s="260"/>
      <c r="D1" s="260"/>
      <c r="E1" s="260"/>
      <c r="F1" s="260"/>
      <c r="G1" s="260"/>
      <c r="H1" s="261"/>
      <c r="I1" s="262" t="s">
        <v>37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42"/>
      <c r="AI1" s="42"/>
      <c r="AJ1" s="42"/>
      <c r="AM1" s="258" t="s">
        <v>42</v>
      </c>
      <c r="AN1" s="258"/>
      <c r="AO1" s="258"/>
      <c r="AP1" s="167"/>
      <c r="AQ1" s="167"/>
      <c r="AT1" t="s">
        <v>82</v>
      </c>
      <c r="AU1">
        <f>SUM(D4:D93)+150*AU18+160*AU28</f>
        <v>151710</v>
      </c>
    </row>
    <row r="2" spans="1:55" ht="16.149999999999999" customHeight="1" thickBot="1">
      <c r="A2" t="s">
        <v>104</v>
      </c>
      <c r="B2" s="120" t="s">
        <v>84</v>
      </c>
      <c r="C2" s="119" cm="1">
        <f t="array" ref="C2">SUM(VLOOKUP(I4:P12,$AM$4:$AP$44,4,FALSE))+SUM(VLOOKUP(Q4:AF12,$AM$4:$AP$44,4,FALSE))+SUM(AG4:AG12)*10</f>
        <v>3033.9973887972146</v>
      </c>
      <c r="D2" s="266" t="s">
        <v>35</v>
      </c>
      <c r="E2" s="267"/>
      <c r="F2" s="268">
        <f>SUM(F4:F93)+SUM(H4:H93)</f>
        <v>64850</v>
      </c>
      <c r="G2" s="268"/>
      <c r="H2" s="269"/>
      <c r="I2" s="286" t="s">
        <v>48</v>
      </c>
      <c r="J2" s="287"/>
      <c r="K2" s="171" t="s">
        <v>46</v>
      </c>
      <c r="L2" s="171">
        <f>COUNTIF(I4:P93,"&lt;&gt;空")</f>
        <v>18</v>
      </c>
      <c r="M2" s="287" t="s">
        <v>45</v>
      </c>
      <c r="N2" s="287"/>
      <c r="O2" s="287"/>
      <c r="P2" s="288"/>
      <c r="Q2" s="279" t="s">
        <v>49</v>
      </c>
      <c r="R2" s="280"/>
      <c r="S2" s="175" t="s">
        <v>46</v>
      </c>
      <c r="T2" s="175">
        <f>COUNTIF(Q4:X93,"&lt;&gt;空")</f>
        <v>513</v>
      </c>
      <c r="U2" s="280" t="s">
        <v>45</v>
      </c>
      <c r="V2" s="280"/>
      <c r="W2" s="280"/>
      <c r="X2" s="281"/>
      <c r="Y2" s="282" t="s">
        <v>33</v>
      </c>
      <c r="Z2" s="283"/>
      <c r="AA2" s="153" t="s">
        <v>44</v>
      </c>
      <c r="AB2" s="168">
        <f>COUNTIF(Y4:AF93,"&lt;&gt;空")</f>
        <v>531</v>
      </c>
      <c r="AC2" s="283" t="s">
        <v>45</v>
      </c>
      <c r="AD2" s="283"/>
      <c r="AE2" s="283"/>
      <c r="AF2" s="284"/>
      <c r="AG2" s="41">
        <f>SUM(AG4:AG93)</f>
        <v>11</v>
      </c>
      <c r="AH2" s="41">
        <f>SUM(AH4:AH93)</f>
        <v>0</v>
      </c>
      <c r="AI2" s="41">
        <f>SUM(AI4:AI93)</f>
        <v>9</v>
      </c>
      <c r="AJ2" s="41">
        <f>SUM(AJ4:AJ93)</f>
        <v>2</v>
      </c>
      <c r="AK2" s="255" t="s">
        <v>29</v>
      </c>
      <c r="AM2" s="265"/>
      <c r="AN2" s="265"/>
      <c r="AO2" s="265"/>
      <c r="AP2" s="117"/>
      <c r="AQ2" s="117"/>
      <c r="AT2" t="s">
        <v>60</v>
      </c>
      <c r="AU2">
        <f>SUM(AU4:AU29)</f>
        <v>1062</v>
      </c>
      <c r="AW2" t="s">
        <v>61</v>
      </c>
      <c r="AX2" s="4">
        <f>SUM(AV4:AX29)+7000</f>
        <v>64850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5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45093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1850</v>
      </c>
      <c r="E4" s="166">
        <f>SUM($B$4:B4)+SUM($C$4:C4)-SUM($D$4:D4)</f>
        <v>3750</v>
      </c>
      <c r="F4" s="108" cm="1">
        <f t="array" ref="F4">SUM(VLOOKUP(I4:AF4,$AM$4:$AO$44,3,FALSE))</f>
        <v>450</v>
      </c>
      <c r="G4" s="97">
        <f>SUM($F$4:F4)+SUM($H$4:H4)</f>
        <v>550</v>
      </c>
      <c r="H4" s="108">
        <v>100</v>
      </c>
      <c r="I4" s="20" t="s">
        <v>16</v>
      </c>
      <c r="J4" s="20" t="s">
        <v>16</v>
      </c>
      <c r="K4" s="20" t="s">
        <v>16</v>
      </c>
      <c r="L4" s="20" t="s">
        <v>16</v>
      </c>
      <c r="M4" s="109" t="s">
        <v>23</v>
      </c>
      <c r="N4" s="109" t="s">
        <v>23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109" t="s">
        <v>23</v>
      </c>
      <c r="U4" s="109" t="s">
        <v>23</v>
      </c>
      <c r="V4" s="109" t="s">
        <v>23</v>
      </c>
      <c r="W4" s="110" t="s">
        <v>23</v>
      </c>
      <c r="X4" s="110" t="s">
        <v>23</v>
      </c>
      <c r="Y4" s="28" t="s">
        <v>12</v>
      </c>
      <c r="Z4" s="20" t="s">
        <v>16</v>
      </c>
      <c r="AA4" s="20" t="s">
        <v>16</v>
      </c>
      <c r="AB4" s="20" t="s">
        <v>16</v>
      </c>
      <c r="AC4" s="20" t="s">
        <v>16</v>
      </c>
      <c r="AD4" s="20" t="s">
        <v>16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8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5</v>
      </c>
      <c r="AT4" s="19">
        <f t="shared" ref="AT4:AT26" si="2">COUNTIF($Y$4:$AF$93,AM4)</f>
        <v>7</v>
      </c>
      <c r="AU4" s="19">
        <f>AR4+AS4+AT4</f>
        <v>20</v>
      </c>
      <c r="AV4" s="50">
        <f>AR4*$AO4</f>
        <v>280</v>
      </c>
      <c r="AW4" s="50">
        <f t="shared" ref="AW4:AX19" si="3">AS4*$AO4</f>
        <v>175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45094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850</v>
      </c>
      <c r="E5" s="166">
        <f>SUM($B$4:B5)+SUM($C$4:C5)-SUM($D$4:D5)</f>
        <v>5700</v>
      </c>
      <c r="F5" s="108" cm="1">
        <f t="array" ref="F5">SUM(VLOOKUP(I5:AF5,$AM$4:$AO$44,3,FALSE))</f>
        <v>230</v>
      </c>
      <c r="G5" s="97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1" t="s">
        <v>17</v>
      </c>
      <c r="Z5" s="21" t="s">
        <v>17</v>
      </c>
      <c r="AA5" s="28" t="s">
        <v>12</v>
      </c>
      <c r="AB5" s="21" t="s">
        <v>17</v>
      </c>
      <c r="AC5" s="21" t="s">
        <v>17</v>
      </c>
      <c r="AD5" s="21" t="s">
        <v>17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78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6</v>
      </c>
      <c r="AT5" s="19">
        <f t="shared" si="2"/>
        <v>16</v>
      </c>
      <c r="AU5" s="19">
        <f t="shared" ref="AU5:AU26" si="5">AR5+AS5+AT5</f>
        <v>28</v>
      </c>
      <c r="AV5" s="50">
        <f t="shared" ref="AV5:AX29" si="6">AR5*$AO5</f>
        <v>240</v>
      </c>
      <c r="AW5" s="50">
        <f t="shared" si="3"/>
        <v>240</v>
      </c>
      <c r="AX5" s="50">
        <f t="shared" si="3"/>
        <v>640</v>
      </c>
      <c r="AY5" s="257" t="s">
        <v>34</v>
      </c>
      <c r="AZ5" s="257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115">
        <v>45095</v>
      </c>
      <c r="B6" s="108">
        <v>1600</v>
      </c>
      <c r="C6" s="108"/>
      <c r="D6" s="108" cm="1">
        <f t="array" ref="D6">(SUM(VLOOKUP(I6:AF6,$AM$4:$AO$44,2,FALSE))+AG6*10)*IF(AK6="是",$AZ$4,$AZ$3)</f>
        <v>860</v>
      </c>
      <c r="E6" s="166">
        <f>SUM($B$4:B6)+SUM($C$4:C6)-SUM($D$4:D6)</f>
        <v>6440</v>
      </c>
      <c r="F6" s="108" cm="1">
        <f t="array" ref="F6">SUM(VLOOKUP(I6:AF6,$AM$4:$AO$44,3,FALSE))</f>
        <v>240</v>
      </c>
      <c r="G6" s="97">
        <f>SUM($F$4:F6)+SUM($H$4:H6)</f>
        <v>1420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1" t="s">
        <v>17</v>
      </c>
      <c r="Z6" s="21" t="s">
        <v>17</v>
      </c>
      <c r="AA6" s="145" t="s">
        <v>6</v>
      </c>
      <c r="AB6" s="22" t="s">
        <v>18</v>
      </c>
      <c r="AC6" s="22" t="s">
        <v>18</v>
      </c>
      <c r="AD6" s="28" t="s">
        <v>12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78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146</v>
      </c>
      <c r="AT6" s="19">
        <f t="shared" si="2"/>
        <v>86</v>
      </c>
      <c r="AU6" s="19">
        <f t="shared" si="5"/>
        <v>232</v>
      </c>
      <c r="AV6" s="50">
        <f t="shared" si="6"/>
        <v>0</v>
      </c>
      <c r="AW6" s="50">
        <f t="shared" si="3"/>
        <v>6570</v>
      </c>
      <c r="AX6" s="50">
        <f t="shared" si="3"/>
        <v>3870</v>
      </c>
      <c r="AY6" s="258"/>
      <c r="AZ6" s="258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115">
        <v>45096</v>
      </c>
      <c r="B7" s="109">
        <v>1600</v>
      </c>
      <c r="C7" s="109">
        <v>50</v>
      </c>
      <c r="D7" s="108" cm="1">
        <f t="array" ref="D7">(SUM(VLOOKUP(I7:AF7,$AM$4:$AO$44,2,FALSE))+AG7*10)*IF(AK7="是",$AZ$4,$AZ$3)</f>
        <v>1920</v>
      </c>
      <c r="E7" s="166">
        <f>SUM($B$4:B7)+SUM($C$4:C7)-SUM($D$4:D7)</f>
        <v>6170</v>
      </c>
      <c r="F7" s="108" cm="1">
        <f t="array" ref="F7">SUM(VLOOKUP(I7:AF7,$AM$4:$AO$44,3,FALSE))</f>
        <v>525</v>
      </c>
      <c r="G7" s="97">
        <f>SUM($F$4:F7)+SUM($H$4:H7)</f>
        <v>2245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22" t="s">
        <v>18</v>
      </c>
      <c r="R7" s="22" t="s">
        <v>18</v>
      </c>
      <c r="S7" s="28" t="s">
        <v>12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30" t="s">
        <v>89</v>
      </c>
      <c r="AB7" s="22" t="s">
        <v>18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78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58</v>
      </c>
      <c r="AT7" s="19">
        <f t="shared" si="2"/>
        <v>209</v>
      </c>
      <c r="AU7" s="143">
        <f t="shared" si="5"/>
        <v>267</v>
      </c>
      <c r="AV7" s="50">
        <f t="shared" si="6"/>
        <v>0</v>
      </c>
      <c r="AW7" s="50">
        <f t="shared" si="3"/>
        <v>2900</v>
      </c>
      <c r="AX7" s="50">
        <f t="shared" si="3"/>
        <v>10450</v>
      </c>
      <c r="AY7" s="258"/>
      <c r="AZ7" s="258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115">
        <v>45097</v>
      </c>
      <c r="B8" s="109">
        <v>1600</v>
      </c>
      <c r="C8" s="109"/>
      <c r="D8" s="108" cm="1">
        <f t="array" ref="D8">(SUM(VLOOKUP(I8:AF8,$AM$4:$AO$44,2,FALSE))+AG8*10)*IF(AK8="是",$AZ$4,$AZ$3)</f>
        <v>2090</v>
      </c>
      <c r="E8" s="166">
        <f>SUM($B$4:B8)+SUM($C$4:C8)-SUM($D$4:D8)</f>
        <v>5680</v>
      </c>
      <c r="F8" s="108" cm="1">
        <f t="array" ref="F8">SUM(VLOOKUP(I8:AF8,$AM$4:$AO$44,3,FALSE))</f>
        <v>585</v>
      </c>
      <c r="G8" s="97">
        <f>SUM($F$4:F8)+SUM($H$4:H8)</f>
        <v>2830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22" t="s">
        <v>18</v>
      </c>
      <c r="R8" s="29" t="s">
        <v>13</v>
      </c>
      <c r="S8" s="22" t="s">
        <v>18</v>
      </c>
      <c r="T8" s="30" t="s">
        <v>89</v>
      </c>
      <c r="U8" s="22" t="s">
        <v>18</v>
      </c>
      <c r="V8" s="22" t="s">
        <v>18</v>
      </c>
      <c r="W8" s="22" t="s">
        <v>18</v>
      </c>
      <c r="X8" s="22" t="s">
        <v>18</v>
      </c>
      <c r="Y8" s="22" t="s">
        <v>18</v>
      </c>
      <c r="Z8" s="22" t="s">
        <v>18</v>
      </c>
      <c r="AA8" s="22" t="s">
        <v>18</v>
      </c>
      <c r="AB8" s="22" t="s">
        <v>18</v>
      </c>
      <c r="AC8" s="22" t="s">
        <v>18</v>
      </c>
      <c r="AD8" s="30" t="s">
        <v>89</v>
      </c>
      <c r="AE8" s="110" t="s">
        <v>23</v>
      </c>
      <c r="AF8" s="110" t="s">
        <v>23</v>
      </c>
      <c r="AG8" s="111">
        <f t="shared" si="4"/>
        <v>3</v>
      </c>
      <c r="AH8" s="111"/>
      <c r="AI8" s="111">
        <v>3</v>
      </c>
      <c r="AJ8" s="111"/>
      <c r="AK8" s="178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133</v>
      </c>
      <c r="AT8" s="19">
        <f t="shared" si="2"/>
        <v>103</v>
      </c>
      <c r="AU8" s="143">
        <f t="shared" si="5"/>
        <v>236</v>
      </c>
      <c r="AV8" s="50">
        <f t="shared" si="6"/>
        <v>0</v>
      </c>
      <c r="AW8" s="50">
        <f t="shared" si="3"/>
        <v>7315</v>
      </c>
      <c r="AX8" s="50">
        <f t="shared" si="3"/>
        <v>5665</v>
      </c>
      <c r="AY8" s="258"/>
      <c r="AZ8" s="258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115">
        <v>45098</v>
      </c>
      <c r="B9" s="109">
        <v>1600</v>
      </c>
      <c r="C9" s="109"/>
      <c r="D9" s="108" cm="1">
        <f t="array" ref="D9">(SUM(VLOOKUP(I9:AF9,$AM$4:$AO$44,2,FALSE))+AG9*10)*IF(AK9="是",$AZ$4,$AZ$3)</f>
        <v>1900</v>
      </c>
      <c r="E9" s="166">
        <f>SUM($B$4:B9)+SUM($C$4:C9)-SUM($D$4:D9)</f>
        <v>5380</v>
      </c>
      <c r="F9" s="108" cm="1">
        <f t="array" ref="F9">SUM(VLOOKUP(I9:AF9,$AM$4:$AO$44,3,FALSE))</f>
        <v>765</v>
      </c>
      <c r="G9" s="97">
        <f>SUM($F$4:F9)+SUM($H$4:H9)</f>
        <v>3795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22" t="s">
        <v>18</v>
      </c>
      <c r="R9" s="22" t="s">
        <v>18</v>
      </c>
      <c r="S9" s="22" t="s">
        <v>18</v>
      </c>
      <c r="T9" s="30" t="s">
        <v>88</v>
      </c>
      <c r="U9" s="22" t="s">
        <v>18</v>
      </c>
      <c r="V9" s="28" t="s">
        <v>12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22" t="s">
        <v>18</v>
      </c>
      <c r="AC9" s="28" t="s">
        <v>12</v>
      </c>
      <c r="AD9" s="22" t="s">
        <v>18</v>
      </c>
      <c r="AE9" s="110" t="s">
        <v>23</v>
      </c>
      <c r="AF9" s="110" t="s">
        <v>23</v>
      </c>
      <c r="AG9" s="111">
        <f t="shared" si="4"/>
        <v>2</v>
      </c>
      <c r="AH9" s="111"/>
      <c r="AI9" s="111">
        <v>2</v>
      </c>
      <c r="AJ9" s="111"/>
      <c r="AK9" s="178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136</v>
      </c>
      <c r="AT9" s="19">
        <f t="shared" si="2"/>
        <v>58</v>
      </c>
      <c r="AU9" s="143">
        <f t="shared" si="5"/>
        <v>194</v>
      </c>
      <c r="AV9" s="50">
        <f t="shared" si="6"/>
        <v>0</v>
      </c>
      <c r="AW9" s="50">
        <f t="shared" si="3"/>
        <v>8160</v>
      </c>
      <c r="AX9" s="50">
        <f t="shared" si="3"/>
        <v>3480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115">
        <v>45099</v>
      </c>
      <c r="B10" s="109">
        <v>1600</v>
      </c>
      <c r="C10" s="109"/>
      <c r="D10" s="108" cm="1">
        <f t="array" ref="D10">(SUM(VLOOKUP(I10:AF10,$AM$4:$AO$44,2,FALSE))+AG10*10)*IF(AK10="是",$AZ$4,$AZ$3)</f>
        <v>2120</v>
      </c>
      <c r="E10" s="166">
        <f>SUM($B$4:B10)+SUM($C$4:C10)-SUM($D$4:D10)</f>
        <v>4860</v>
      </c>
      <c r="F10" s="108" cm="1">
        <f t="array" ref="F10">SUM(VLOOKUP(I10:AF10,$AM$4:$AO$44,3,FALSE))</f>
        <v>830</v>
      </c>
      <c r="G10" s="97">
        <f>SUM($F$4:F10)+SUM($H$4:H10)</f>
        <v>4625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22" t="s">
        <v>18</v>
      </c>
      <c r="S10" s="20" t="s">
        <v>16</v>
      </c>
      <c r="T10" s="22" t="s">
        <v>18</v>
      </c>
      <c r="U10" s="22" t="s">
        <v>18</v>
      </c>
      <c r="V10" s="30" t="s">
        <v>88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9" t="s">
        <v>13</v>
      </c>
      <c r="AB10" s="22" t="s">
        <v>18</v>
      </c>
      <c r="AC10" s="22" t="s">
        <v>18</v>
      </c>
      <c r="AD10" s="22" t="s">
        <v>18</v>
      </c>
      <c r="AE10" s="30" t="s">
        <v>89</v>
      </c>
      <c r="AF10" s="22" t="s">
        <v>18</v>
      </c>
      <c r="AG10" s="111">
        <f t="shared" si="4"/>
        <v>0</v>
      </c>
      <c r="AH10" s="111"/>
      <c r="AI10" s="111"/>
      <c r="AJ10" s="111"/>
      <c r="AK10" s="178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115">
        <v>45100</v>
      </c>
      <c r="B11" s="109">
        <v>1600</v>
      </c>
      <c r="C11" s="109"/>
      <c r="D11" s="108" cm="1">
        <f t="array" ref="D11">(SUM(VLOOKUP(I11:AF11,$AM$4:$AO$44,2,FALSE))+AG11*10)*IF(AK11="是",$AZ$4,$AZ$3)</f>
        <v>2020</v>
      </c>
      <c r="E11" s="166">
        <f>SUM($B$4:B11)+SUM($C$4:C11)-SUM($D$4:D11)</f>
        <v>4440</v>
      </c>
      <c r="F11" s="108" cm="1">
        <f t="array" ref="F11">SUM(VLOOKUP(I11:AF11,$AM$4:$AO$44,3,FALSE))</f>
        <v>530</v>
      </c>
      <c r="G11" s="97">
        <f>SUM($F$4:F11)+SUM($H$4:H11)</f>
        <v>5155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22" t="s">
        <v>18</v>
      </c>
      <c r="R11" s="22" t="s">
        <v>18</v>
      </c>
      <c r="S11" s="22" t="s">
        <v>18</v>
      </c>
      <c r="T11" s="22" t="s">
        <v>18</v>
      </c>
      <c r="U11" s="20" t="s">
        <v>16</v>
      </c>
      <c r="V11" s="22" t="s">
        <v>18</v>
      </c>
      <c r="W11" s="110" t="s">
        <v>23</v>
      </c>
      <c r="X11" s="110" t="s">
        <v>23</v>
      </c>
      <c r="Y11" s="22" t="s">
        <v>18</v>
      </c>
      <c r="Z11" s="22" t="s">
        <v>18</v>
      </c>
      <c r="AA11" s="22" t="s">
        <v>18</v>
      </c>
      <c r="AB11" s="22" t="s">
        <v>18</v>
      </c>
      <c r="AC11" s="22" t="s">
        <v>18</v>
      </c>
      <c r="AD11" s="22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8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1</v>
      </c>
      <c r="AT11" s="19">
        <f t="shared" si="2"/>
        <v>2</v>
      </c>
      <c r="AU11" s="143">
        <f t="shared" si="5"/>
        <v>3</v>
      </c>
      <c r="AV11" s="50">
        <f t="shared" si="6"/>
        <v>0</v>
      </c>
      <c r="AW11" s="50">
        <f t="shared" si="3"/>
        <v>40</v>
      </c>
      <c r="AX11" s="50">
        <f t="shared" si="3"/>
        <v>80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115">
        <v>45101</v>
      </c>
      <c r="B12" s="109">
        <v>1600</v>
      </c>
      <c r="C12" s="109"/>
      <c r="D12" s="108" cm="1">
        <f t="array" ref="D12">(SUM(VLOOKUP(I12:AF12,$AM$4:$AO$44,2,FALSE))+AG12*10)*IF(AK12="是",$AZ$4,$AZ$3)</f>
        <v>1320</v>
      </c>
      <c r="E12" s="166">
        <f>SUM($B$4:B12)+SUM($C$4:C12)-SUM($D$4:D12)</f>
        <v>4720</v>
      </c>
      <c r="F12" s="108" cm="1">
        <f t="array" ref="F12">SUM(VLOOKUP(I12:AF12,$AM$4:$AO$44,3,FALSE))</f>
        <v>600</v>
      </c>
      <c r="G12" s="97">
        <f>SUM($F$4:F12)+SUM($H$4:H12)</f>
        <v>5755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22" t="s">
        <v>18</v>
      </c>
      <c r="R12" s="22" t="s">
        <v>18</v>
      </c>
      <c r="S12" s="30" t="s">
        <v>89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8" t="s">
        <v>12</v>
      </c>
      <c r="Z12" s="22" t="s">
        <v>18</v>
      </c>
      <c r="AA12" s="22" t="s">
        <v>18</v>
      </c>
      <c r="AB12" s="22" t="s">
        <v>18</v>
      </c>
      <c r="AC12" s="30" t="s">
        <v>88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8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0</v>
      </c>
      <c r="AS12" s="19">
        <f t="shared" si="1"/>
        <v>0</v>
      </c>
      <c r="AT12" s="19">
        <f t="shared" si="2"/>
        <v>6</v>
      </c>
      <c r="AU12" s="143">
        <f t="shared" si="5"/>
        <v>6</v>
      </c>
      <c r="AV12" s="50">
        <f t="shared" si="6"/>
        <v>0</v>
      </c>
      <c r="AW12" s="50">
        <f t="shared" si="3"/>
        <v>0</v>
      </c>
      <c r="AX12" s="50">
        <f t="shared" si="3"/>
        <v>270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15">
        <v>45102</v>
      </c>
      <c r="B13" s="109">
        <v>1600</v>
      </c>
      <c r="C13" s="109"/>
      <c r="D13" s="108" cm="1">
        <f t="array" ref="D13">(SUM(VLOOKUP(I13:AF13,$AM$4:$AO$44,2,FALSE))+AG13*10)*IF(AK13="是",$AZ$4,$AZ$3)</f>
        <v>1696</v>
      </c>
      <c r="E13" s="166">
        <f>SUM($B$4:B13)+SUM($C$4:C13)-SUM($D$4:D13)</f>
        <v>4624</v>
      </c>
      <c r="F13" s="108" cm="1">
        <f t="array" ref="F13">SUM(VLOOKUP(I13:AF13,$AM$4:$AO$44,3,FALSE))</f>
        <v>580</v>
      </c>
      <c r="G13" s="97">
        <f>SUM($F$4:F13)+SUM($H$4:H13)</f>
        <v>6335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22" t="s">
        <v>18</v>
      </c>
      <c r="R13" s="22" t="s">
        <v>18</v>
      </c>
      <c r="S13" s="22" t="s">
        <v>18</v>
      </c>
      <c r="T13" s="22" t="s">
        <v>18</v>
      </c>
      <c r="U13" s="23" t="s">
        <v>19</v>
      </c>
      <c r="V13" s="23" t="s">
        <v>19</v>
      </c>
      <c r="W13" s="110" t="s">
        <v>23</v>
      </c>
      <c r="X13" s="110" t="s">
        <v>23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0</v>
      </c>
      <c r="AT13" s="19">
        <f t="shared" si="2"/>
        <v>3</v>
      </c>
      <c r="AU13" s="143">
        <f t="shared" si="5"/>
        <v>3</v>
      </c>
      <c r="AV13" s="50">
        <f t="shared" si="6"/>
        <v>0</v>
      </c>
      <c r="AW13" s="50">
        <f t="shared" si="3"/>
        <v>0</v>
      </c>
      <c r="AX13" s="50">
        <f t="shared" si="3"/>
        <v>150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45103</v>
      </c>
      <c r="B14" s="108">
        <v>1600</v>
      </c>
      <c r="C14" s="108"/>
      <c r="D14" s="108" cm="1">
        <f t="array" ref="D14">(SUM(VLOOKUP(I14:AF14,$AM$4:$AO$44,2,FALSE))+AG14*10)*IF(AK14="是",$AZ$4,$AZ$3)</f>
        <v>1712</v>
      </c>
      <c r="E14" s="166">
        <f>SUM($B$4:B14)+SUM($C$4:C14)-SUM($D$4:D14)</f>
        <v>4512</v>
      </c>
      <c r="F14" s="108" cm="1">
        <f t="array" ref="F14">SUM(VLOOKUP(I14:AF14,$AM$4:$AO$44,3,FALSE))</f>
        <v>650</v>
      </c>
      <c r="G14" s="97">
        <f>SUM($F$4:F14)+SUM($H$4:H14)</f>
        <v>7285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23" t="s">
        <v>19</v>
      </c>
      <c r="R14" s="23" t="s">
        <v>19</v>
      </c>
      <c r="S14" s="23" t="s">
        <v>19</v>
      </c>
      <c r="T14" s="23" t="s">
        <v>19</v>
      </c>
      <c r="U14" s="23" t="s">
        <v>19</v>
      </c>
      <c r="V14" s="23" t="s">
        <v>19</v>
      </c>
      <c r="W14" s="29" t="s">
        <v>47</v>
      </c>
      <c r="X14" s="23" t="s">
        <v>19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2</v>
      </c>
      <c r="AT14" s="19">
        <f t="shared" si="2"/>
        <v>1</v>
      </c>
      <c r="AU14" s="143">
        <f t="shared" si="5"/>
        <v>3</v>
      </c>
      <c r="AV14" s="50">
        <f t="shared" si="6"/>
        <v>0</v>
      </c>
      <c r="AW14" s="50">
        <f t="shared" si="3"/>
        <v>110</v>
      </c>
      <c r="AX14" s="50">
        <f t="shared" si="3"/>
        <v>55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115">
        <v>45104</v>
      </c>
      <c r="B15" s="108">
        <v>1600</v>
      </c>
      <c r="C15" s="108"/>
      <c r="D15" s="108" cm="1">
        <f t="array" ref="D15">(SUM(VLOOKUP(I15:AF15,$AM$4:$AO$44,2,FALSE))+AG15*10)*IF(AK15="是",$AZ$4,$AZ$3)</f>
        <v>1624</v>
      </c>
      <c r="E15" s="166">
        <f>SUM($B$4:B15)+SUM($C$4:C15)-SUM($D$4:D15)</f>
        <v>4488</v>
      </c>
      <c r="F15" s="108" cm="1">
        <f t="array" ref="F15">SUM(VLOOKUP(I15:AF15,$AM$4:$AO$44,3,FALSE))</f>
        <v>580</v>
      </c>
      <c r="G15" s="97">
        <f>SUM($F$4:F15)+SUM($H$4:H15)</f>
        <v>7865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23" t="s">
        <v>19</v>
      </c>
      <c r="R15" s="23" t="s">
        <v>19</v>
      </c>
      <c r="S15" s="23" t="s">
        <v>19</v>
      </c>
      <c r="T15" s="23" t="s">
        <v>19</v>
      </c>
      <c r="U15" s="23" t="s">
        <v>19</v>
      </c>
      <c r="V15" s="23" t="s">
        <v>19</v>
      </c>
      <c r="W15" s="110" t="s">
        <v>23</v>
      </c>
      <c r="X15" s="110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8" t="s">
        <v>12</v>
      </c>
      <c r="AD15" s="23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1</v>
      </c>
      <c r="AT15" s="19">
        <f t="shared" si="2"/>
        <v>0</v>
      </c>
      <c r="AU15" s="143">
        <f t="shared" si="5"/>
        <v>1</v>
      </c>
      <c r="AV15" s="50">
        <f t="shared" si="6"/>
        <v>0</v>
      </c>
      <c r="AW15" s="50">
        <f t="shared" si="3"/>
        <v>60</v>
      </c>
      <c r="AX15" s="50">
        <f t="shared" si="3"/>
        <v>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115">
        <v>45105</v>
      </c>
      <c r="B16" s="108">
        <v>1600</v>
      </c>
      <c r="C16" s="108"/>
      <c r="D16" s="108" cm="1">
        <f t="array" ref="D16">(SUM(VLOOKUP(I16:AF16,$AM$4:$AO$44,2,FALSE))+AG16*10)*IF(AK16="是",$AZ$4,$AZ$3)</f>
        <v>1776</v>
      </c>
      <c r="E16" s="166">
        <f>SUM($B$4:B16)+SUM($C$4:C16)-SUM($D$4:D16)</f>
        <v>4312</v>
      </c>
      <c r="F16" s="108" cm="1">
        <f t="array" ref="F16">SUM(VLOOKUP(I16:AF16,$AM$4:$AO$44,3,FALSE))</f>
        <v>630</v>
      </c>
      <c r="G16" s="97">
        <f>SUM($F$4:F16)+SUM($H$4:H16)</f>
        <v>8695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4" t="s">
        <v>20</v>
      </c>
      <c r="R16" s="24" t="s">
        <v>20</v>
      </c>
      <c r="S16" s="24" t="s">
        <v>20</v>
      </c>
      <c r="T16" s="24" t="s">
        <v>20</v>
      </c>
      <c r="U16" s="24" t="s">
        <v>20</v>
      </c>
      <c r="V16" s="24" t="s">
        <v>20</v>
      </c>
      <c r="W16" s="110" t="s">
        <v>23</v>
      </c>
      <c r="X16" s="110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5"/>
        <v>0</v>
      </c>
      <c r="AV16" s="50">
        <f t="shared" si="6"/>
        <v>0</v>
      </c>
      <c r="AW16" s="50">
        <f t="shared" si="3"/>
        <v>0</v>
      </c>
      <c r="AX16" s="50">
        <f t="shared" si="3"/>
        <v>0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45106</v>
      </c>
      <c r="B17" s="108">
        <v>1600</v>
      </c>
      <c r="C17" s="108"/>
      <c r="D17" s="108" cm="1">
        <f t="array" ref="D17">(SUM(VLOOKUP(I17:AF17,$AM$4:$AO$44,2,FALSE))+AG17*10)*IF(AK17="是",$AZ$4,$AZ$3)</f>
        <v>1776</v>
      </c>
      <c r="E17" s="166">
        <f>SUM($B$4:B17)+SUM($C$4:C17)-SUM($D$4:D17)</f>
        <v>4136</v>
      </c>
      <c r="F17" s="108" cm="1">
        <f t="array" ref="F17">SUM(VLOOKUP(I17:AF17,$AM$4:$AO$44,3,FALSE))</f>
        <v>630</v>
      </c>
      <c r="G17" s="97">
        <f>SUM($F$4:F17)+SUM($H$4:H17)</f>
        <v>9325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4" t="s">
        <v>20</v>
      </c>
      <c r="R17" s="24" t="s">
        <v>20</v>
      </c>
      <c r="S17" s="24" t="s">
        <v>20</v>
      </c>
      <c r="T17" s="24" t="s">
        <v>20</v>
      </c>
      <c r="U17" s="24" t="s">
        <v>20</v>
      </c>
      <c r="V17" s="24" t="s">
        <v>20</v>
      </c>
      <c r="W17" s="110" t="s">
        <v>23</v>
      </c>
      <c r="X17" s="110" t="s">
        <v>23</v>
      </c>
      <c r="Y17" s="23" t="s">
        <v>19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3</v>
      </c>
      <c r="AS17" s="19">
        <f t="shared" si="1"/>
        <v>10</v>
      </c>
      <c r="AT17" s="19">
        <f t="shared" si="2"/>
        <v>26</v>
      </c>
      <c r="AU17" s="143">
        <f t="shared" si="5"/>
        <v>39</v>
      </c>
      <c r="AV17" s="50">
        <f t="shared" si="6"/>
        <v>90</v>
      </c>
      <c r="AW17" s="50">
        <f t="shared" si="3"/>
        <v>300</v>
      </c>
      <c r="AX17" s="50">
        <f t="shared" si="3"/>
        <v>780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45107</v>
      </c>
      <c r="B18" s="108">
        <v>1600</v>
      </c>
      <c r="C18" s="108"/>
      <c r="D18" s="108" cm="1">
        <f t="array" ref="D18">(SUM(VLOOKUP(I18:AF18,$AM$4:$AO$44,2,FALSE))+AG18*10)*IF(AK18="是",$AZ$4,$AZ$3)</f>
        <v>1912</v>
      </c>
      <c r="E18" s="166">
        <f>SUM($B$4:B18)+SUM($C$4:C18)-SUM($D$4:D18)</f>
        <v>3824</v>
      </c>
      <c r="F18" s="108" cm="1">
        <f t="array" ref="F18">SUM(VLOOKUP(I18:AF18,$AM$4:$AO$44,3,FALSE))</f>
        <v>675</v>
      </c>
      <c r="G18" s="97">
        <f>SUM($F$4:F18)+SUM($H$4:H18)</f>
        <v>10000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4" t="s">
        <v>20</v>
      </c>
      <c r="R18" s="23" t="s">
        <v>19</v>
      </c>
      <c r="S18" s="24" t="s">
        <v>20</v>
      </c>
      <c r="T18" s="24" t="s">
        <v>20</v>
      </c>
      <c r="U18" s="24" t="s">
        <v>20</v>
      </c>
      <c r="V18" s="24" t="s">
        <v>20</v>
      </c>
      <c r="W18" s="110" t="s">
        <v>23</v>
      </c>
      <c r="X18" s="110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23" t="s">
        <v>19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1</v>
      </c>
      <c r="AT18" s="19">
        <f t="shared" si="2"/>
        <v>1</v>
      </c>
      <c r="AU18" s="143">
        <f t="shared" si="5"/>
        <v>2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45108</v>
      </c>
      <c r="B19" s="108">
        <v>1600</v>
      </c>
      <c r="C19" s="108"/>
      <c r="D19" s="108" cm="1">
        <f t="array" ref="D19">(SUM(VLOOKUP(I19:AF19,$AM$4:$AO$44,2,FALSE))+AG19*10)*IF(AK19="是",$AZ$4,$AZ$3)</f>
        <v>1736</v>
      </c>
      <c r="E19" s="166">
        <f>SUM($B$4:B19)+SUM($C$4:C19)-SUM($D$4:D19)</f>
        <v>3688</v>
      </c>
      <c r="F19" s="108" cm="1">
        <f t="array" ref="F19">SUM(VLOOKUP(I19:AF19,$AM$4:$AO$44,3,FALSE))</f>
        <v>605</v>
      </c>
      <c r="G19" s="97">
        <f>SUM($F$4:F19)+SUM($H$4:H19)</f>
        <v>10605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4" t="s">
        <v>20</v>
      </c>
      <c r="R19" s="24" t="s">
        <v>20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23" t="s">
        <v>19</v>
      </c>
      <c r="Z19" s="22" t="s">
        <v>18</v>
      </c>
      <c r="AA19" s="23" t="s">
        <v>19</v>
      </c>
      <c r="AB19" s="23" t="s">
        <v>19</v>
      </c>
      <c r="AC19" s="23" t="s">
        <v>19</v>
      </c>
      <c r="AD19" s="2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2</v>
      </c>
      <c r="AT19" s="19">
        <f t="shared" si="2"/>
        <v>1</v>
      </c>
      <c r="AU19" s="143">
        <f t="shared" si="5"/>
        <v>3</v>
      </c>
      <c r="AV19" s="50">
        <f t="shared" si="6"/>
        <v>0</v>
      </c>
      <c r="AW19" s="50">
        <f t="shared" si="3"/>
        <v>600</v>
      </c>
      <c r="AX19" s="50">
        <f t="shared" si="3"/>
        <v>300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45109</v>
      </c>
      <c r="B20" s="108">
        <v>1600</v>
      </c>
      <c r="C20" s="108"/>
      <c r="D20" s="108" cm="1">
        <f t="array" ref="D20">(SUM(VLOOKUP(I20:AF20,$AM$4:$AO$44,2,FALSE))+AG20*10)*IF(AK20="是",$AZ$4,$AZ$3)</f>
        <v>1752</v>
      </c>
      <c r="E20" s="166">
        <f>SUM($B$4:B20)+SUM($C$4:C20)-SUM($D$4:D20)</f>
        <v>3536</v>
      </c>
      <c r="F20" s="108" cm="1">
        <f t="array" ref="F20">SUM(VLOOKUP(I20:AF20,$AM$4:$AO$44,3,FALSE))</f>
        <v>625</v>
      </c>
      <c r="G20" s="97">
        <f>SUM($F$4:F20)+SUM($H$4:H20)</f>
        <v>11230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4" t="s">
        <v>20</v>
      </c>
      <c r="R20" s="24" t="s">
        <v>20</v>
      </c>
      <c r="S20" s="24" t="s">
        <v>20</v>
      </c>
      <c r="T20" s="24" t="s">
        <v>20</v>
      </c>
      <c r="U20" s="24" t="s">
        <v>20</v>
      </c>
      <c r="V20" s="24" t="s">
        <v>20</v>
      </c>
      <c r="W20" s="110" t="s">
        <v>23</v>
      </c>
      <c r="X20" s="110" t="s">
        <v>23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146" t="s">
        <v>7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2</v>
      </c>
      <c r="AT20" s="19">
        <f t="shared" si="2"/>
        <v>3</v>
      </c>
      <c r="AU20" s="143">
        <f t="shared" si="5"/>
        <v>5</v>
      </c>
      <c r="AV20" s="50">
        <f t="shared" si="6"/>
        <v>0</v>
      </c>
      <c r="AW20" s="50">
        <f t="shared" si="6"/>
        <v>90</v>
      </c>
      <c r="AX20" s="50">
        <f t="shared" si="6"/>
        <v>135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45110</v>
      </c>
      <c r="B21" s="109">
        <v>1600</v>
      </c>
      <c r="C21" s="109"/>
      <c r="D21" s="108" cm="1">
        <f t="array" ref="D21">(SUM(VLOOKUP(I21:AF21,$AM$4:$AO$44,2,FALSE))+AG21*10)*IF(AK21="是",$AZ$4,$AZ$3)</f>
        <v>1736</v>
      </c>
      <c r="E21" s="166">
        <f>SUM($B$4:B21)+SUM($C$4:C21)-SUM($D$4:D21)</f>
        <v>3400</v>
      </c>
      <c r="F21" s="108" cm="1">
        <f t="array" ref="F21">SUM(VLOOKUP(I21:AF21,$AM$4:$AO$44,3,FALSE))</f>
        <v>605</v>
      </c>
      <c r="G21" s="97">
        <f>SUM($F$4:F21)+SUM($H$4:H21)</f>
        <v>12035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4" t="s">
        <v>20</v>
      </c>
      <c r="R21" s="24" t="s">
        <v>20</v>
      </c>
      <c r="S21" s="24" t="s">
        <v>20</v>
      </c>
      <c r="T21" s="24" t="s">
        <v>20</v>
      </c>
      <c r="U21" s="24" t="s">
        <v>20</v>
      </c>
      <c r="V21" s="24" t="s">
        <v>20</v>
      </c>
      <c r="W21" s="110" t="s">
        <v>23</v>
      </c>
      <c r="X21" s="110" t="s">
        <v>23</v>
      </c>
      <c r="Y21" s="22" t="s">
        <v>18</v>
      </c>
      <c r="Z21" s="22" t="s">
        <v>18</v>
      </c>
      <c r="AA21" s="22" t="s">
        <v>18</v>
      </c>
      <c r="AB21" s="22" t="s">
        <v>18</v>
      </c>
      <c r="AC21" s="22" t="s">
        <v>18</v>
      </c>
      <c r="AD21" s="2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45111</v>
      </c>
      <c r="B22" s="109">
        <v>1600</v>
      </c>
      <c r="C22" s="109"/>
      <c r="D22" s="108" cm="1">
        <f t="array" ref="D22">(SUM(VLOOKUP(I22:AF22,$AM$4:$AO$44,2,FALSE))+AG22*10)*IF(AK22="是",$AZ$4,$AZ$3)</f>
        <v>1776</v>
      </c>
      <c r="E22" s="166">
        <f>SUM($B$4:B22)+SUM($C$4:C22)-SUM($D$4:D22)</f>
        <v>3224</v>
      </c>
      <c r="F22" s="108" cm="1">
        <f t="array" ref="F22">SUM(VLOOKUP(I22:AF22,$AM$4:$AO$44,3,FALSE))</f>
        <v>630</v>
      </c>
      <c r="G22" s="97">
        <f>SUM($F$4:F22)+SUM($H$4:H22)</f>
        <v>12765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4" t="s">
        <v>20</v>
      </c>
      <c r="R22" s="24" t="s">
        <v>20</v>
      </c>
      <c r="S22" s="24" t="s">
        <v>20</v>
      </c>
      <c r="T22" s="24" t="s">
        <v>20</v>
      </c>
      <c r="U22" s="24" t="s">
        <v>20</v>
      </c>
      <c r="V22" s="24" t="s">
        <v>20</v>
      </c>
      <c r="W22" s="110" t="s">
        <v>23</v>
      </c>
      <c r="X22" s="110" t="s">
        <v>23</v>
      </c>
      <c r="Y22" s="23" t="s">
        <v>19</v>
      </c>
      <c r="Z22" s="23" t="s">
        <v>19</v>
      </c>
      <c r="AA22" s="23" t="s">
        <v>19</v>
      </c>
      <c r="AB22" s="23" t="s">
        <v>19</v>
      </c>
      <c r="AC22" s="23" t="s">
        <v>19</v>
      </c>
      <c r="AD22" s="2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5"/>
        <v>2</v>
      </c>
      <c r="AV22" s="50">
        <f t="shared" si="6"/>
        <v>0</v>
      </c>
      <c r="AW22" s="50">
        <f t="shared" si="6"/>
        <v>1000</v>
      </c>
      <c r="AX22" s="50">
        <f t="shared" si="6"/>
        <v>1000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45112</v>
      </c>
      <c r="B23" s="109">
        <v>1600</v>
      </c>
      <c r="C23" s="109"/>
      <c r="D23" s="108" cm="1">
        <f t="array" ref="D23">(SUM(VLOOKUP(I23:AF23,$AM$4:$AO$44,2,FALSE))+AG23*10)*IF(AK23="是",$AZ$4,$AZ$3)</f>
        <v>1824</v>
      </c>
      <c r="E23" s="166">
        <f>SUM($B$4:B23)+SUM($C$4:C23)-SUM($D$4:D23)</f>
        <v>3000</v>
      </c>
      <c r="F23" s="108" cm="1">
        <f t="array" ref="F23">SUM(VLOOKUP(I23:AF23,$AM$4:$AO$44,3,FALSE))</f>
        <v>665</v>
      </c>
      <c r="G23" s="97">
        <f>SUM($F$4:F23)+SUM($H$4:H23)</f>
        <v>13630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24" t="s">
        <v>20</v>
      </c>
      <c r="X23" s="110" t="s">
        <v>23</v>
      </c>
      <c r="Y23" s="23" t="s">
        <v>19</v>
      </c>
      <c r="Z23" s="23" t="s">
        <v>19</v>
      </c>
      <c r="AA23" s="23" t="s">
        <v>19</v>
      </c>
      <c r="AB23" s="28" t="s">
        <v>12</v>
      </c>
      <c r="AC23" s="23" t="s">
        <v>19</v>
      </c>
      <c r="AD23" s="2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1</v>
      </c>
      <c r="AT23" s="19">
        <f t="shared" si="2"/>
        <v>1</v>
      </c>
      <c r="AU23" s="143">
        <f t="shared" si="5"/>
        <v>2</v>
      </c>
      <c r="AV23" s="50">
        <f t="shared" si="6"/>
        <v>0</v>
      </c>
      <c r="AW23" s="50">
        <f t="shared" si="6"/>
        <v>500</v>
      </c>
      <c r="AX23" s="50">
        <f t="shared" si="6"/>
        <v>500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45113</v>
      </c>
      <c r="B24" s="109">
        <v>1600</v>
      </c>
      <c r="C24" s="109"/>
      <c r="D24" s="108" cm="1">
        <f t="array" ref="D24">(SUM(VLOOKUP(I24:AF24,$AM$4:$AO$44,2,FALSE))+AG24*10)*IF(AK24="是",$AZ$4,$AZ$3)</f>
        <v>1664</v>
      </c>
      <c r="E24" s="166">
        <f>SUM($B$4:B24)+SUM($C$4:C24)-SUM($D$4:D24)</f>
        <v>2936</v>
      </c>
      <c r="F24" s="108" cm="1">
        <f t="array" ref="F24">SUM(VLOOKUP(I24:AF24,$AM$4:$AO$44,3,FALSE))</f>
        <v>605</v>
      </c>
      <c r="G24" s="97">
        <f>SUM($F$4:F24)+SUM($H$4:H24)</f>
        <v>14235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4" t="s">
        <v>20</v>
      </c>
      <c r="R24" s="24" t="s">
        <v>20</v>
      </c>
      <c r="S24" s="28" t="s">
        <v>12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23" t="s">
        <v>19</v>
      </c>
      <c r="Z24" s="23" t="s">
        <v>19</v>
      </c>
      <c r="AA24" s="23" t="s">
        <v>19</v>
      </c>
      <c r="AB24" s="23" t="s">
        <v>19</v>
      </c>
      <c r="AC24" s="23" t="s">
        <v>19</v>
      </c>
      <c r="AD24" s="2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45114</v>
      </c>
      <c r="B25" s="109">
        <v>1600</v>
      </c>
      <c r="C25" s="109"/>
      <c r="D25" s="108" cm="1">
        <f t="array" ref="D25">(SUM(VLOOKUP(I25:AF25,$AM$4:$AO$44,2,FALSE))+AG25*10)*IF(AK25="是",$AZ$4,$AZ$3)</f>
        <v>1752</v>
      </c>
      <c r="E25" s="166">
        <f>SUM($B$4:B25)+SUM($C$4:C25)-SUM($D$4:D25)</f>
        <v>2784</v>
      </c>
      <c r="F25" s="108" cm="1">
        <f t="array" ref="F25">SUM(VLOOKUP(I25:AF25,$AM$4:$AO$44,3,FALSE))</f>
        <v>630</v>
      </c>
      <c r="G25" s="97">
        <f>SUM($F$4:F25)+SUM($H$4:H25)</f>
        <v>14865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147" t="s">
        <v>8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45115</v>
      </c>
      <c r="B26" s="109">
        <v>1600</v>
      </c>
      <c r="C26" s="109"/>
      <c r="D26" s="108" cm="1">
        <f t="array" ref="D26">(SUM(VLOOKUP(I26:AF26,$AM$4:$AO$44,2,FALSE))+AG26*10)*IF(AK26="是",$AZ$4,$AZ$3)</f>
        <v>1776</v>
      </c>
      <c r="E26" s="166">
        <f>SUM($B$4:B26)+SUM($C$4:C26)-SUM($D$4:D26)</f>
        <v>2608</v>
      </c>
      <c r="F26" s="108" cm="1">
        <f t="array" ref="F26">SUM(VLOOKUP(I26:AF26,$AM$4:$AO$44,3,FALSE))</f>
        <v>630</v>
      </c>
      <c r="G26" s="97">
        <f>SUM($F$4:F26)+SUM($H$4:H26)</f>
        <v>15495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24" t="s">
        <v>20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45116</v>
      </c>
      <c r="B27" s="109">
        <v>1600</v>
      </c>
      <c r="C27" s="109"/>
      <c r="D27" s="108" cm="1">
        <f t="array" ref="D27">(SUM(VLOOKUP(I27:AF27,$AM$4:$AO$44,2,FALSE))+AG27*10)*IF(AK27="是",$AZ$4,$AZ$3)</f>
        <v>1672</v>
      </c>
      <c r="E27" s="166">
        <f>SUM($B$4:B27)+SUM($C$4:C27)-SUM($D$4:D27)</f>
        <v>2536</v>
      </c>
      <c r="F27" s="108" cm="1">
        <f t="array" ref="F27">SUM(VLOOKUP(I27:AF27,$AM$4:$AO$44,3,FALSE))</f>
        <v>670</v>
      </c>
      <c r="G27" s="97">
        <f>SUM($F$4:F27)+SUM($H$4:H27)</f>
        <v>16165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4" t="s">
        <v>20</v>
      </c>
      <c r="R27" s="24" t="s">
        <v>20</v>
      </c>
      <c r="S27" s="29" t="s">
        <v>47</v>
      </c>
      <c r="T27" s="25" t="s">
        <v>21</v>
      </c>
      <c r="U27" s="24" t="s">
        <v>20</v>
      </c>
      <c r="V27" s="24" t="s">
        <v>20</v>
      </c>
      <c r="W27" s="24" t="s">
        <v>20</v>
      </c>
      <c r="X27" s="24" t="s">
        <v>20</v>
      </c>
      <c r="Y27" s="23" t="s">
        <v>19</v>
      </c>
      <c r="Z27" s="23" t="s">
        <v>19</v>
      </c>
      <c r="AA27" s="23" t="s">
        <v>19</v>
      </c>
      <c r="AB27" s="28" t="s">
        <v>12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.75" thickBot="1">
      <c r="A28" s="115">
        <v>45117</v>
      </c>
      <c r="B28" s="108">
        <v>1600</v>
      </c>
      <c r="C28" s="108"/>
      <c r="D28" s="108" cm="1">
        <f t="array" ref="D28">(SUM(VLOOKUP(I28:AF28,$AM$4:$AO$44,2,FALSE))+AG28*10)*IF(AK28="是",$AZ$4,$AZ$3)</f>
        <v>1776</v>
      </c>
      <c r="E28" s="166">
        <f>SUM($B$4:B28)+SUM($C$4:C28)-SUM($D$4:D28)</f>
        <v>2360</v>
      </c>
      <c r="F28" s="108" cm="1">
        <f t="array" ref="F28">SUM(VLOOKUP(I28:AF28,$AM$4:$AO$44,3,FALSE))</f>
        <v>630</v>
      </c>
      <c r="G28" s="97">
        <f>SUM($F$4:F28)+SUM($H$4:H28)</f>
        <v>17095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23" t="s">
        <v>19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1</v>
      </c>
      <c r="AS28" s="19">
        <f>COUNTIF($Q$4:$X$93,AM28)</f>
        <v>6</v>
      </c>
      <c r="AT28" s="19">
        <f>COUNTIF($Y$4:$AF$93,AM28)</f>
        <v>6</v>
      </c>
      <c r="AU28" s="143">
        <f>AR28+AS28+AT28</f>
        <v>13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45118</v>
      </c>
      <c r="B29" s="108">
        <v>1600</v>
      </c>
      <c r="C29" s="108"/>
      <c r="D29" s="108" cm="1">
        <f t="array" ref="D29">(SUM(VLOOKUP(I29:AF29,$AM$4:$AO$44,2,FALSE))+AG29*10)*IF(AK29="是",$AZ$4,$AZ$3)</f>
        <v>1776</v>
      </c>
      <c r="E29" s="166">
        <f>SUM($B$4:B29)+SUM($C$4:C29)-SUM($D$4:D29)</f>
        <v>2184</v>
      </c>
      <c r="F29" s="108" cm="1">
        <f t="array" ref="F29">SUM(VLOOKUP(I29:AF29,$AM$4:$AO$44,3,FALSE))</f>
        <v>630</v>
      </c>
      <c r="G29" s="97">
        <f>SUM($F$4:F29)+SUM($H$4:H29)</f>
        <v>17725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23" t="s">
        <v>19</v>
      </c>
      <c r="Z29" s="23" t="s">
        <v>19</v>
      </c>
      <c r="AA29" s="23" t="s">
        <v>19</v>
      </c>
      <c r="AB29" s="23" t="s">
        <v>19</v>
      </c>
      <c r="AC29" s="23" t="s">
        <v>19</v>
      </c>
      <c r="AD29" s="23" t="s">
        <v>19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2</v>
      </c>
      <c r="AT29" s="123">
        <f>COUNTIF($Y$4:$AF$93,AM29)</f>
        <v>1</v>
      </c>
      <c r="AU29" s="123">
        <f>AR29+AS29+AT29</f>
        <v>3</v>
      </c>
      <c r="AV29" s="4">
        <f t="shared" si="6"/>
        <v>0</v>
      </c>
      <c r="AW29" s="4">
        <f t="shared" si="6"/>
        <v>1040</v>
      </c>
      <c r="AX29" s="4">
        <f t="shared" si="6"/>
        <v>520</v>
      </c>
      <c r="BB29">
        <f t="shared" si="7"/>
        <v>40</v>
      </c>
      <c r="BC29">
        <v>3</v>
      </c>
    </row>
    <row r="30" spans="1:55">
      <c r="A30" s="115">
        <v>45119</v>
      </c>
      <c r="B30" s="108">
        <v>1600</v>
      </c>
      <c r="C30" s="108"/>
      <c r="D30" s="108" cm="1">
        <f t="array" ref="D30">(SUM(VLOOKUP(I30:AF30,$AM$4:$AO$44,2,FALSE))+AG30*10)*IF(AK30="是",$AZ$4,$AZ$3)</f>
        <v>1808</v>
      </c>
      <c r="E30" s="166">
        <f>SUM($B$4:B30)+SUM($C$4:C30)-SUM($D$4:D30)</f>
        <v>1976</v>
      </c>
      <c r="F30" s="108" cm="1">
        <f t="array" ref="F30">SUM(VLOOKUP(I30:AF30,$AM$4:$AO$44,3,FALSE))</f>
        <v>650</v>
      </c>
      <c r="G30" s="97">
        <f>SUM($F$4:F30)+SUM($H$4:H30)</f>
        <v>18575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5" t="s">
        <v>21</v>
      </c>
      <c r="T30" s="25" t="s">
        <v>21</v>
      </c>
      <c r="U30" s="25" t="s">
        <v>21</v>
      </c>
      <c r="V30" s="25" t="s">
        <v>21</v>
      </c>
      <c r="W30" s="110" t="s">
        <v>23</v>
      </c>
      <c r="X30" s="110" t="s">
        <v>23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23" t="s">
        <v>19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45120</v>
      </c>
      <c r="B31" s="108">
        <v>1600</v>
      </c>
      <c r="C31" s="108"/>
      <c r="D31" s="108" cm="1">
        <f t="array" ref="D31">(SUM(VLOOKUP(I31:AF31,$AM$4:$AO$44,2,FALSE))+AG31*10)*IF(AK31="是",$AZ$4,$AZ$3)</f>
        <v>1840</v>
      </c>
      <c r="E31" s="166">
        <f>SUM($B$4:B31)+SUM($C$4:C31)-SUM($D$4:D31)</f>
        <v>1736</v>
      </c>
      <c r="F31" s="108" cm="1">
        <f t="array" ref="F31">SUM(VLOOKUP(I31:AF31,$AM$4:$AO$44,3,FALSE))</f>
        <v>670</v>
      </c>
      <c r="G31" s="97">
        <f>SUM($F$4:F31)+SUM($H$4:H31)</f>
        <v>19245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5" t="s">
        <v>21</v>
      </c>
      <c r="R31" s="25" t="s">
        <v>21</v>
      </c>
      <c r="S31" s="25" t="s">
        <v>21</v>
      </c>
      <c r="T31" s="25" t="s">
        <v>21</v>
      </c>
      <c r="U31" s="25" t="s">
        <v>21</v>
      </c>
      <c r="V31" s="25" t="s">
        <v>21</v>
      </c>
      <c r="W31" s="110" t="s">
        <v>23</v>
      </c>
      <c r="X31" s="110" t="s">
        <v>23</v>
      </c>
      <c r="Y31" s="23" t="s">
        <v>19</v>
      </c>
      <c r="Z31" s="23" t="s">
        <v>19</v>
      </c>
      <c r="AA31" s="23" t="s">
        <v>19</v>
      </c>
      <c r="AB31" s="24" t="s">
        <v>20</v>
      </c>
      <c r="AC31" s="23" t="s">
        <v>19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45121</v>
      </c>
      <c r="B32" s="108">
        <v>1600</v>
      </c>
      <c r="C32" s="108"/>
      <c r="D32" s="108" cm="1">
        <f t="array" ref="D32">(SUM(VLOOKUP(I32:AF32,$AM$4:$AO$44,2,FALSE))+AG32*10)*IF(AK32="是",$AZ$4,$AZ$3)</f>
        <v>1704</v>
      </c>
      <c r="E32" s="166">
        <f>SUM($B$4:B32)+SUM($C$4:C32)-SUM($D$4:D32)</f>
        <v>1632</v>
      </c>
      <c r="F32" s="108" cm="1">
        <f t="array" ref="F32">SUM(VLOOKUP(I32:AF32,$AM$4:$AO$44,3,FALSE))</f>
        <v>1065</v>
      </c>
      <c r="G32" s="97">
        <f>SUM($F$4:F32)+SUM($H$4:H32)</f>
        <v>20310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4" t="s">
        <v>20</v>
      </c>
      <c r="R32" s="148" t="s">
        <v>9</v>
      </c>
      <c r="S32" s="24" t="s">
        <v>20</v>
      </c>
      <c r="T32" s="24" t="s">
        <v>20</v>
      </c>
      <c r="U32" s="34" t="s">
        <v>41</v>
      </c>
      <c r="V32" s="24" t="s">
        <v>20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3" t="s">
        <v>19</v>
      </c>
      <c r="AB32" s="28" t="s">
        <v>12</v>
      </c>
      <c r="AC32" s="23" t="s">
        <v>19</v>
      </c>
      <c r="AD32" s="23" t="s">
        <v>19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45122</v>
      </c>
      <c r="B33" s="108">
        <v>1600</v>
      </c>
      <c r="C33" s="108"/>
      <c r="D33" s="108" cm="1">
        <f t="array" ref="D33">(SUM(VLOOKUP(I33:AF33,$AM$4:$AO$44,2,FALSE))+AG33*10)*IF(AK33="是",$AZ$4,$AZ$3)</f>
        <v>1664</v>
      </c>
      <c r="E33" s="166">
        <f>SUM($B$4:B33)+SUM($C$4:C33)-SUM($D$4:D33)</f>
        <v>1568</v>
      </c>
      <c r="F33" s="108" cm="1">
        <f t="array" ref="F33">SUM(VLOOKUP(I33:AF33,$AM$4:$AO$44,3,FALSE))</f>
        <v>605</v>
      </c>
      <c r="G33" s="97">
        <f>SUM($F$4:F33)+SUM($H$4:H33)</f>
        <v>20915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8" t="s">
        <v>12</v>
      </c>
      <c r="V33" s="24" t="s">
        <v>20</v>
      </c>
      <c r="W33" s="110" t="s">
        <v>23</v>
      </c>
      <c r="X33" s="110" t="s">
        <v>23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23" t="s">
        <v>19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45123</v>
      </c>
      <c r="B34" s="108">
        <v>1600</v>
      </c>
      <c r="C34" s="108"/>
      <c r="D34" s="108" cm="1">
        <f t="array" ref="D34">(SUM(VLOOKUP(I34:AF34,$AM$4:$AO$44,2,FALSE))+AG34*10)*IF(AK34="是",$AZ$4,$AZ$3)</f>
        <v>1760</v>
      </c>
      <c r="E34" s="166">
        <f>SUM($B$4:B34)+SUM($C$4:C34)-SUM($D$4:D34)</f>
        <v>1408</v>
      </c>
      <c r="F34" s="108" cm="1">
        <f t="array" ref="F34">SUM(VLOOKUP(I34:AF34,$AM$4:$AO$44,3,FALSE))</f>
        <v>680</v>
      </c>
      <c r="G34" s="97">
        <f>SUM($F$4:F34)+SUM($H$4:H34)</f>
        <v>21595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23" t="s">
        <v>19</v>
      </c>
      <c r="Z34" s="23" t="s">
        <v>19</v>
      </c>
      <c r="AA34" s="23" t="s">
        <v>19</v>
      </c>
      <c r="AB34" s="29" t="s">
        <v>47</v>
      </c>
      <c r="AC34" s="23" t="s">
        <v>19</v>
      </c>
      <c r="AD34" s="23" t="s">
        <v>19</v>
      </c>
      <c r="AE34" s="23" t="s">
        <v>19</v>
      </c>
      <c r="AF34" s="23" t="s">
        <v>19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45124</v>
      </c>
      <c r="B35" s="109">
        <v>1600</v>
      </c>
      <c r="C35" s="109"/>
      <c r="D35" s="108" cm="1">
        <f t="array" ref="D35">(SUM(VLOOKUP(I35:AF35,$AM$4:$AO$44,2,FALSE))+AG35*10)*IF(AK35="是",$AZ$4,$AZ$3)</f>
        <v>1720</v>
      </c>
      <c r="E35" s="166">
        <f>SUM($B$4:B35)+SUM($C$4:C35)-SUM($D$4:D35)</f>
        <v>1288</v>
      </c>
      <c r="F35" s="108" cm="1">
        <f t="array" ref="F35">SUM(VLOOKUP(I35:AF35,$AM$4:$AO$44,3,FALSE))</f>
        <v>640</v>
      </c>
      <c r="G35" s="97">
        <f>SUM($F$4:F35)+SUM($H$4:H35)</f>
        <v>22435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5" t="s">
        <v>21</v>
      </c>
      <c r="R35" s="25" t="s">
        <v>21</v>
      </c>
      <c r="S35" s="25" t="s">
        <v>21</v>
      </c>
      <c r="T35" s="25" t="s">
        <v>21</v>
      </c>
      <c r="U35" s="25" t="s">
        <v>21</v>
      </c>
      <c r="V35" s="25" t="s">
        <v>21</v>
      </c>
      <c r="W35" s="110" t="s">
        <v>23</v>
      </c>
      <c r="X35" s="110" t="s">
        <v>23</v>
      </c>
      <c r="Y35" s="23" t="s">
        <v>19</v>
      </c>
      <c r="Z35" s="23" t="s">
        <v>19</v>
      </c>
      <c r="AA35" s="28" t="s">
        <v>12</v>
      </c>
      <c r="AB35" s="23" t="s">
        <v>19</v>
      </c>
      <c r="AC35" s="23" t="s">
        <v>19</v>
      </c>
      <c r="AD35" s="23" t="s">
        <v>19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45125</v>
      </c>
      <c r="B36" s="109">
        <v>1600</v>
      </c>
      <c r="C36" s="109"/>
      <c r="D36" s="108" cm="1">
        <f t="array" ref="D36">(SUM(VLOOKUP(I36:AF36,$AM$4:$AO$44,2,FALSE))+AG36*10)*IF(AK36="是",$AZ$4,$AZ$3)</f>
        <v>1816</v>
      </c>
      <c r="E36" s="166">
        <f>SUM($B$4:B36)+SUM($C$4:C36)-SUM($D$4:D36)</f>
        <v>1072</v>
      </c>
      <c r="F36" s="108" cm="1">
        <f t="array" ref="F36">SUM(VLOOKUP(I36:AF36,$AM$4:$AO$44,3,FALSE))</f>
        <v>655</v>
      </c>
      <c r="G36" s="97">
        <f>SUM($F$4:F36)+SUM($H$4:H36)</f>
        <v>23190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5" t="s">
        <v>21</v>
      </c>
      <c r="R36" s="25" t="s">
        <v>21</v>
      </c>
      <c r="S36" s="25" t="s">
        <v>21</v>
      </c>
      <c r="T36" s="25" t="s">
        <v>21</v>
      </c>
      <c r="U36" s="25" t="s">
        <v>21</v>
      </c>
      <c r="V36" s="24" t="s">
        <v>20</v>
      </c>
      <c r="W36" s="110" t="s">
        <v>23</v>
      </c>
      <c r="X36" s="110" t="s">
        <v>23</v>
      </c>
      <c r="Y36" s="23" t="s">
        <v>19</v>
      </c>
      <c r="Z36" s="23" t="s">
        <v>19</v>
      </c>
      <c r="AA36" s="23" t="s">
        <v>19</v>
      </c>
      <c r="AB36" s="23" t="s">
        <v>19</v>
      </c>
      <c r="AC36" s="23" t="s">
        <v>19</v>
      </c>
      <c r="AD36" s="23" t="s">
        <v>19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45126</v>
      </c>
      <c r="B37" s="109">
        <v>1600</v>
      </c>
      <c r="C37" s="109"/>
      <c r="D37" s="108" cm="1">
        <f t="array" ref="D37">(SUM(VLOOKUP(I37:AF37,$AM$4:$AO$44,2,FALSE))+AG37*10)*IF(AK37="是",$AZ$4,$AZ$3)</f>
        <v>1664</v>
      </c>
      <c r="E37" s="166">
        <f>SUM($B$4:B37)+SUM($C$4:C37)-SUM($D$4:D37)</f>
        <v>1008</v>
      </c>
      <c r="F37" s="108" cm="1">
        <f t="array" ref="F37">SUM(VLOOKUP(I37:AF37,$AM$4:$AO$44,3,FALSE))</f>
        <v>605</v>
      </c>
      <c r="G37" s="97">
        <f>SUM($F$4:F37)+SUM($H$4:H37)</f>
        <v>23995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4" t="s">
        <v>20</v>
      </c>
      <c r="R37" s="28" t="s">
        <v>12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23" t="s">
        <v>19</v>
      </c>
      <c r="Z37" s="23" t="s">
        <v>19</v>
      </c>
      <c r="AA37" s="23" t="s">
        <v>19</v>
      </c>
      <c r="AB37" s="23" t="s">
        <v>19</v>
      </c>
      <c r="AC37" s="23" t="s">
        <v>19</v>
      </c>
      <c r="AD37" s="23" t="s">
        <v>19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45127</v>
      </c>
      <c r="B38" s="109">
        <v>1600</v>
      </c>
      <c r="C38" s="109"/>
      <c r="D38" s="108" cm="1">
        <f t="array" ref="D38">(SUM(VLOOKUP(I38:AF38,$AM$4:$AO$44,2,FALSE))+AG38*10)*IF(AK38="是",$AZ$4,$AZ$3)</f>
        <v>1776</v>
      </c>
      <c r="E38" s="166">
        <f>SUM($B$4:B38)+SUM($C$4:C38)-SUM($D$4:D38)</f>
        <v>832</v>
      </c>
      <c r="F38" s="108" cm="1">
        <f t="array" ref="F38">SUM(VLOOKUP(I38:AF38,$AM$4:$AO$44,3,FALSE))</f>
        <v>630</v>
      </c>
      <c r="G38" s="97">
        <f>SUM($F$4:F38)+SUM($H$4:H38)</f>
        <v>24625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23" t="s">
        <v>19</v>
      </c>
      <c r="Z38" s="23" t="s">
        <v>19</v>
      </c>
      <c r="AA38" s="23" t="s">
        <v>19</v>
      </c>
      <c r="AB38" s="23" t="s">
        <v>19</v>
      </c>
      <c r="AC38" s="23" t="s">
        <v>19</v>
      </c>
      <c r="AD38" s="23" t="s">
        <v>19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45128</v>
      </c>
      <c r="B39" s="109">
        <v>1600</v>
      </c>
      <c r="C39" s="109"/>
      <c r="D39" s="108" cm="1">
        <f t="array" ref="D39">(SUM(VLOOKUP(I39:AF39,$AM$4:$AO$44,2,FALSE))+AG39*10)*IF(AK39="是",$AZ$4,$AZ$3)</f>
        <v>1800</v>
      </c>
      <c r="E39" s="166">
        <f>SUM($B$4:B39)+SUM($C$4:C39)-SUM($D$4:D39)</f>
        <v>632</v>
      </c>
      <c r="F39" s="108" cm="1">
        <f t="array" ref="F39">SUM(VLOOKUP(I39:AF39,$AM$4:$AO$44,3,FALSE))</f>
        <v>660</v>
      </c>
      <c r="G39" s="97">
        <f>SUM($F$4:F39)+SUM($H$4:H39)</f>
        <v>25285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4" t="s">
        <v>20</v>
      </c>
      <c r="R39" s="25" t="s">
        <v>21</v>
      </c>
      <c r="S39" s="25" t="s">
        <v>21</v>
      </c>
      <c r="T39" s="25" t="s">
        <v>21</v>
      </c>
      <c r="U39" s="25" t="s">
        <v>21</v>
      </c>
      <c r="V39" s="25" t="s">
        <v>21</v>
      </c>
      <c r="W39" s="110" t="s">
        <v>23</v>
      </c>
      <c r="X39" s="110" t="s">
        <v>23</v>
      </c>
      <c r="Y39" s="23" t="s">
        <v>19</v>
      </c>
      <c r="Z39" s="23" t="s">
        <v>19</v>
      </c>
      <c r="AA39" s="147" t="s">
        <v>8</v>
      </c>
      <c r="AB39" s="23" t="s">
        <v>19</v>
      </c>
      <c r="AC39" s="23" t="s">
        <v>19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45129</v>
      </c>
      <c r="B40" s="109">
        <v>1600</v>
      </c>
      <c r="C40" s="109"/>
      <c r="D40" s="108" cm="1">
        <f t="array" ref="D40">(SUM(VLOOKUP(I40:AF40,$AM$4:$AO$44,2,FALSE))+AG40*10)*IF(AK40="是",$AZ$4,$AZ$3)</f>
        <v>1840</v>
      </c>
      <c r="E40" s="166">
        <f>SUM($B$4:B40)+SUM($C$4:C40)-SUM($D$4:D40)</f>
        <v>392</v>
      </c>
      <c r="F40" s="108" cm="1">
        <f t="array" ref="F40">SUM(VLOOKUP(I40:AF40,$AM$4:$AO$44,3,FALSE))</f>
        <v>670</v>
      </c>
      <c r="G40" s="97">
        <f>SUM($F$4:F40)+SUM($H$4:H40)</f>
        <v>25955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5" t="s">
        <v>21</v>
      </c>
      <c r="R40" s="25" t="s">
        <v>21</v>
      </c>
      <c r="S40" s="25" t="s">
        <v>21</v>
      </c>
      <c r="T40" s="25" t="s">
        <v>21</v>
      </c>
      <c r="U40" s="25" t="s">
        <v>21</v>
      </c>
      <c r="V40" s="25" t="s">
        <v>21</v>
      </c>
      <c r="W40" s="110" t="s">
        <v>23</v>
      </c>
      <c r="X40" s="110" t="s">
        <v>23</v>
      </c>
      <c r="Y40" s="24" t="s">
        <v>20</v>
      </c>
      <c r="Z40" s="23" t="s">
        <v>19</v>
      </c>
      <c r="AA40" s="23" t="s">
        <v>19</v>
      </c>
      <c r="AB40" s="23" t="s">
        <v>19</v>
      </c>
      <c r="AC40" s="23" t="s">
        <v>19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45130</v>
      </c>
      <c r="B41" s="109">
        <v>1600</v>
      </c>
      <c r="C41" s="109"/>
      <c r="D41" s="108" cm="1">
        <f t="array" ref="D41">(SUM(VLOOKUP(I41:AF41,$AM$4:$AO$44,2,FALSE))+AG41*10)*IF(AK41="是",$AZ$4,$AZ$3)</f>
        <v>1832</v>
      </c>
      <c r="E41" s="166">
        <f>SUM($B$4:B41)+SUM($C$4:C41)-SUM($D$4:D41)</f>
        <v>160</v>
      </c>
      <c r="F41" s="108" cm="1">
        <f t="array" ref="F41">SUM(VLOOKUP(I41:AF41,$AM$4:$AO$44,3,FALSE))</f>
        <v>690</v>
      </c>
      <c r="G41" s="97">
        <f>SUM($F$4:F41)+SUM($H$4:H41)</f>
        <v>26645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49" t="s">
        <v>10</v>
      </c>
      <c r="R41" s="25" t="s">
        <v>21</v>
      </c>
      <c r="S41" s="25" t="s">
        <v>21</v>
      </c>
      <c r="T41" s="25" t="s">
        <v>21</v>
      </c>
      <c r="U41" s="25" t="s">
        <v>21</v>
      </c>
      <c r="V41" s="25" t="s">
        <v>21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45131</v>
      </c>
      <c r="B42" s="108">
        <v>1600</v>
      </c>
      <c r="C42" s="108"/>
      <c r="D42" s="108" cm="1">
        <f t="array" ref="D42">(SUM(VLOOKUP(I42:AF42,$AM$4:$AO$44,2,FALSE))+AG42*10)*IF(AK42="是",$AZ$4,$AZ$3)</f>
        <v>1880</v>
      </c>
      <c r="E42" s="166">
        <f>SUM($B$4:B42)+SUM($C$4:C42)-SUM($D$4:D42)</f>
        <v>-120</v>
      </c>
      <c r="F42" s="108" cm="1">
        <f t="array" ref="F42">SUM(VLOOKUP(I42:AF42,$AM$4:$AO$44,3,FALSE))</f>
        <v>1110</v>
      </c>
      <c r="G42" s="97">
        <f>SUM($F$4:F42)+SUM($H$4:H42)</f>
        <v>28055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5" t="s">
        <v>21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24" t="s">
        <v>20</v>
      </c>
      <c r="Z42" s="24" t="s">
        <v>20</v>
      </c>
      <c r="AA42" s="34" t="s">
        <v>41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45132</v>
      </c>
      <c r="B43" s="108">
        <v>1600</v>
      </c>
      <c r="C43" s="108"/>
      <c r="D43" s="108" cm="1">
        <f t="array" ref="D43">(SUM(VLOOKUP(I43:AF43,$AM$4:$AO$44,2,FALSE))+AG43*10)*IF(AK43="是",$AZ$4,$AZ$3)</f>
        <v>1840</v>
      </c>
      <c r="E43" s="166">
        <f>SUM($B$4:B43)+SUM($C$4:C43)-SUM($D$4:D43)</f>
        <v>-360</v>
      </c>
      <c r="F43" s="108" cm="1">
        <f t="array" ref="F43">SUM(VLOOKUP(I43:AF43,$AM$4:$AO$44,3,FALSE))</f>
        <v>730</v>
      </c>
      <c r="G43" s="97">
        <f>SUM($F$4:F43)+SUM($H$4:H43)</f>
        <v>28785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4" t="s">
        <v>20</v>
      </c>
      <c r="R43" s="24" t="s">
        <v>20</v>
      </c>
      <c r="S43" s="25" t="s">
        <v>21</v>
      </c>
      <c r="T43" s="25" t="s">
        <v>21</v>
      </c>
      <c r="U43" s="25" t="s">
        <v>21</v>
      </c>
      <c r="V43" s="25" t="s">
        <v>21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9" t="s">
        <v>47</v>
      </c>
      <c r="AB43" s="24" t="s">
        <v>20</v>
      </c>
      <c r="AC43" s="24" t="s">
        <v>20</v>
      </c>
      <c r="AD43" s="24" t="s">
        <v>20</v>
      </c>
      <c r="AE43" s="24" t="s">
        <v>20</v>
      </c>
      <c r="AF43" s="23" t="s">
        <v>19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45133</v>
      </c>
      <c r="B44" s="108">
        <v>1600</v>
      </c>
      <c r="C44" s="108"/>
      <c r="D44" s="108" cm="1">
        <f t="array" ref="D44">(SUM(VLOOKUP(I44:AF44,$AM$4:$AO$44,2,FALSE))+AG44*10)*IF(AK44="是",$AZ$4,$AZ$3)</f>
        <v>1736</v>
      </c>
      <c r="E44" s="166">
        <f>SUM($B$4:B44)+SUM($C$4:C44)-SUM($D$4:D44)</f>
        <v>-496</v>
      </c>
      <c r="F44" s="108" cm="1">
        <f t="array" ref="F44">SUM(VLOOKUP(I44:AF44,$AM$4:$AO$44,3,FALSE))</f>
        <v>650</v>
      </c>
      <c r="G44" s="97">
        <f>SUM($F$4:F44)+SUM($H$4:H44)</f>
        <v>29635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5" t="s">
        <v>21</v>
      </c>
      <c r="R44" s="25" t="s">
        <v>21</v>
      </c>
      <c r="S44" s="25" t="s">
        <v>21</v>
      </c>
      <c r="T44" s="25" t="s">
        <v>21</v>
      </c>
      <c r="U44" s="25" t="s">
        <v>21</v>
      </c>
      <c r="V44" s="25" t="s">
        <v>21</v>
      </c>
      <c r="W44" s="110" t="s">
        <v>23</v>
      </c>
      <c r="X44" s="110" t="s">
        <v>23</v>
      </c>
      <c r="Y44" s="24" t="s">
        <v>20</v>
      </c>
      <c r="Z44" s="23" t="s">
        <v>19</v>
      </c>
      <c r="AA44" s="28" t="s">
        <v>12</v>
      </c>
      <c r="AB44" s="23" t="s">
        <v>19</v>
      </c>
      <c r="AC44" s="23" t="s">
        <v>19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45134</v>
      </c>
      <c r="B45" s="108">
        <v>1600</v>
      </c>
      <c r="C45" s="108"/>
      <c r="D45" s="108" cm="1">
        <f t="array" ref="D45">(SUM(VLOOKUP(I45:AF45,$AM$4:$AO$44,2,FALSE))+AG45*10)*IF(AK45="是",$AZ$4,$AZ$3)</f>
        <v>1856</v>
      </c>
      <c r="E45" s="166">
        <f>SUM($B$4:B45)+SUM($C$4:C45)-SUM($D$4:D45)</f>
        <v>-752</v>
      </c>
      <c r="F45" s="108" cm="1">
        <f t="array" ref="F45">SUM(VLOOKUP(I45:AF45,$AM$4:$AO$44,3,FALSE))</f>
        <v>680</v>
      </c>
      <c r="G45" s="97">
        <f>SUM($F$4:F45)+SUM($H$4:H45)</f>
        <v>30315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24" t="s">
        <v>20</v>
      </c>
      <c r="Z45" s="23" t="s">
        <v>19</v>
      </c>
      <c r="AA45" s="23" t="s">
        <v>19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45135</v>
      </c>
      <c r="B46" s="108">
        <v>1600</v>
      </c>
      <c r="C46" s="108"/>
      <c r="D46" s="108" cm="1">
        <f t="array" ref="D46">(SUM(VLOOKUP(I46:AF46,$AM$4:$AO$44,2,FALSE))+AG46*10)*IF(AK46="是",$AZ$4,$AZ$3)</f>
        <v>1872</v>
      </c>
      <c r="E46" s="166">
        <f>SUM($B$4:B46)+SUM($C$4:C46)-SUM($D$4:D46)</f>
        <v>-1024</v>
      </c>
      <c r="F46" s="108" cm="1">
        <f t="array" ref="F46">SUM(VLOOKUP(I46:AF46,$AM$4:$AO$44,3,FALSE))</f>
        <v>690</v>
      </c>
      <c r="G46" s="97">
        <f>SUM($F$4:F46)+SUM($H$4:H46)</f>
        <v>31005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45136</v>
      </c>
      <c r="B47" s="108">
        <v>1600</v>
      </c>
      <c r="C47" s="108"/>
      <c r="D47" s="108" cm="1">
        <f t="array" ref="D47">(SUM(VLOOKUP(I47:AF47,$AM$4:$AO$44,2,FALSE))+AG47*10)*IF(AK47="是",$AZ$4,$AZ$3)</f>
        <v>1800</v>
      </c>
      <c r="E47" s="166">
        <f>SUM($B$4:B47)+SUM($C$4:C47)-SUM($D$4:D47)</f>
        <v>-1224</v>
      </c>
      <c r="F47" s="108" cm="1">
        <f t="array" ref="F47">SUM(VLOOKUP(I47:AF47,$AM$4:$AO$44,3,FALSE))</f>
        <v>665</v>
      </c>
      <c r="G47" s="97">
        <f>SUM($F$4:F47)+SUM($H$4:H47)</f>
        <v>31670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5" t="s">
        <v>21</v>
      </c>
      <c r="R47" s="24" t="s">
        <v>20</v>
      </c>
      <c r="S47" s="148" t="s">
        <v>9</v>
      </c>
      <c r="T47" s="24" t="s">
        <v>20</v>
      </c>
      <c r="U47" s="24" t="s">
        <v>20</v>
      </c>
      <c r="V47" s="24" t="s">
        <v>20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45137</v>
      </c>
      <c r="B48" s="108">
        <v>1600</v>
      </c>
      <c r="C48" s="108"/>
      <c r="D48" s="108" cm="1">
        <f t="array" ref="D48">(SUM(VLOOKUP(I48:AF48,$AM$4:$AO$44,2,FALSE))+AG48*10)*IF(AK48="是",$AZ$4,$AZ$3)</f>
        <v>2184</v>
      </c>
      <c r="E48" s="166">
        <f>SUM($B$4:B48)+SUM($C$4:C48)-SUM($D$4:D48)</f>
        <v>-1808</v>
      </c>
      <c r="F48" s="108" cm="1">
        <f t="array" ref="F48">SUM(VLOOKUP(I48:AF48,$AM$4:$AO$44,3,FALSE))</f>
        <v>805</v>
      </c>
      <c r="G48" s="97">
        <f>SUM($F$4:F48)+SUM($H$4:H48)</f>
        <v>32475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4" t="s">
        <v>20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25" t="s">
        <v>21</v>
      </c>
      <c r="X48" s="25" t="s">
        <v>21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45138</v>
      </c>
      <c r="B49" s="109">
        <v>1600</v>
      </c>
      <c r="C49" s="109"/>
      <c r="D49" s="108" cm="1">
        <f t="array" ref="D49">(SUM(VLOOKUP(I49:AF49,$AM$4:$AO$44,2,FALSE))+AG49*10)*IF(AK49="是",$AZ$4,$AZ$3)</f>
        <v>1552</v>
      </c>
      <c r="E49" s="166">
        <f>SUM($B$4:B49)+SUM($C$4:C49)-SUM($D$4:D49)</f>
        <v>-1760</v>
      </c>
      <c r="F49" s="108" cm="1">
        <f t="array" ref="F49">SUM(VLOOKUP(I49:AF49,$AM$4:$AO$44,3,FALSE))</f>
        <v>630</v>
      </c>
      <c r="G49" s="97">
        <f>SUM($F$4:F49)+SUM($H$4:H49)</f>
        <v>33305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9" t="s">
        <v>47</v>
      </c>
      <c r="V49" s="25" t="s">
        <v>21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45139</v>
      </c>
      <c r="B50" s="109">
        <v>1600</v>
      </c>
      <c r="C50" s="109"/>
      <c r="D50" s="108" cm="1">
        <f t="array" ref="D50">(SUM(VLOOKUP(I50:AF50,$AM$4:$AO$44,2,FALSE))+AG50*10)*IF(AK50="是",$AZ$4,$AZ$3)</f>
        <v>1752</v>
      </c>
      <c r="E50" s="166">
        <f>SUM($B$4:B50)+SUM($C$4:C50)-SUM($D$4:D50)</f>
        <v>-1912</v>
      </c>
      <c r="F50" s="108" cm="1">
        <f t="array" ref="F50">SUM(VLOOKUP(I50:AF50,$AM$4:$AO$44,3,FALSE))</f>
        <v>1210</v>
      </c>
      <c r="G50" s="97">
        <f>SUM($F$4:F50)+SUM($H$4:H50)</f>
        <v>34615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24" t="s">
        <v>20</v>
      </c>
      <c r="Z50" s="124" t="s">
        <v>87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29" t="s">
        <v>47</v>
      </c>
      <c r="AF50" s="24" t="s">
        <v>20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45140</v>
      </c>
      <c r="B51" s="109">
        <v>1600</v>
      </c>
      <c r="C51" s="109"/>
      <c r="D51" s="108" cm="1">
        <f t="array" ref="D51">(SUM(VLOOKUP(I51:AF51,$AM$4:$AO$44,2,FALSE))+AG51*10)*IF(AK51="是",$AZ$4,$AZ$3)</f>
        <v>1864</v>
      </c>
      <c r="E51" s="166">
        <f>SUM($B$4:B51)+SUM($C$4:C51)-SUM($D$4:D51)</f>
        <v>-2176</v>
      </c>
      <c r="F51" s="108" cm="1">
        <f t="array" ref="F51">SUM(VLOOKUP(I51:AF51,$AM$4:$AO$44,3,FALSE))</f>
        <v>685</v>
      </c>
      <c r="G51" s="97">
        <f>SUM($F$4:F51)+SUM($H$4:H51)</f>
        <v>35500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4" t="s">
        <v>20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45141</v>
      </c>
      <c r="B52" s="109">
        <v>1600</v>
      </c>
      <c r="C52" s="109"/>
      <c r="D52" s="108" cm="1">
        <f t="array" ref="D52">(SUM(VLOOKUP(I52:AF52,$AM$4:$AO$44,2,FALSE))+AG52*10)*IF(AK52="是",$AZ$4,$AZ$3)</f>
        <v>1840</v>
      </c>
      <c r="E52" s="166">
        <f>SUM($B$4:B52)+SUM($C$4:C52)-SUM($D$4:D52)</f>
        <v>-2416</v>
      </c>
      <c r="F52" s="108" cm="1">
        <f t="array" ref="F52">SUM(VLOOKUP(I52:AF52,$AM$4:$AO$44,3,FALSE))</f>
        <v>670</v>
      </c>
      <c r="G52" s="97">
        <f>SUM($F$4:F52)+SUM($H$4:H52)</f>
        <v>36170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4" t="s">
        <v>20</v>
      </c>
      <c r="R52" s="24" t="s">
        <v>20</v>
      </c>
      <c r="S52" s="24" t="s">
        <v>20</v>
      </c>
      <c r="T52" s="24" t="s">
        <v>20</v>
      </c>
      <c r="U52" s="25" t="s">
        <v>21</v>
      </c>
      <c r="V52" s="25" t="s">
        <v>21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4" t="s">
        <v>20</v>
      </c>
      <c r="AB52" s="24" t="s">
        <v>20</v>
      </c>
      <c r="AC52" s="24" t="s">
        <v>20</v>
      </c>
      <c r="AD52" s="2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45142</v>
      </c>
      <c r="B53" s="109">
        <v>1600</v>
      </c>
      <c r="C53" s="109"/>
      <c r="D53" s="108" cm="1">
        <f t="array" ref="D53">(SUM(VLOOKUP(I53:AF53,$AM$4:$AO$44,2,FALSE))+AG53*10)*IF(AK53="是",$AZ$4,$AZ$3)</f>
        <v>1800</v>
      </c>
      <c r="E53" s="166">
        <f>SUM($B$4:B53)+SUM($C$4:C53)-SUM($D$4:D53)</f>
        <v>-2616</v>
      </c>
      <c r="F53" s="108" cm="1">
        <f t="array" ref="F53">SUM(VLOOKUP(I53:AF53,$AM$4:$AO$44,3,FALSE))</f>
        <v>1605</v>
      </c>
      <c r="G53" s="97">
        <f>SUM($F$4:F53)+SUM($H$4:H53)</f>
        <v>37775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32" t="s">
        <v>15</v>
      </c>
      <c r="U53" s="25" t="s">
        <v>21</v>
      </c>
      <c r="V53" s="25" t="s">
        <v>21</v>
      </c>
      <c r="W53" s="110" t="s">
        <v>23</v>
      </c>
      <c r="X53" s="110" t="s">
        <v>23</v>
      </c>
      <c r="Y53" s="24" t="s">
        <v>20</v>
      </c>
      <c r="Z53" s="24" t="s">
        <v>20</v>
      </c>
      <c r="AA53" s="28" t="s">
        <v>12</v>
      </c>
      <c r="AB53" s="24" t="s">
        <v>20</v>
      </c>
      <c r="AC53" s="24" t="s">
        <v>20</v>
      </c>
      <c r="AD53" s="2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45143</v>
      </c>
      <c r="B54" s="109">
        <v>1600</v>
      </c>
      <c r="C54" s="109"/>
      <c r="D54" s="108" cm="1">
        <f t="array" ref="D54">(SUM(VLOOKUP(I54:AF54,$AM$4:$AO$44,2,FALSE))+AG54*10)*IF(AK54="是",$AZ$4,$AZ$3)</f>
        <v>1840</v>
      </c>
      <c r="E54" s="166">
        <f>SUM($B$4:B54)+SUM($C$4:C54)-SUM($D$4:D54)</f>
        <v>-2856</v>
      </c>
      <c r="F54" s="108" cm="1">
        <f t="array" ref="F54">SUM(VLOOKUP(I54:AF54,$AM$4:$AO$44,3,FALSE))</f>
        <v>690</v>
      </c>
      <c r="G54" s="97">
        <f>SUM($F$4:F54)+SUM($H$4:H54)</f>
        <v>38465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0" t="s">
        <v>23</v>
      </c>
      <c r="X54" s="110" t="s">
        <v>23</v>
      </c>
      <c r="Y54" s="24" t="s">
        <v>20</v>
      </c>
      <c r="Z54" s="24" t="s">
        <v>20</v>
      </c>
      <c r="AA54" s="24" t="s">
        <v>20</v>
      </c>
      <c r="AB54" s="148" t="s">
        <v>9</v>
      </c>
      <c r="AC54" s="24" t="s">
        <v>20</v>
      </c>
      <c r="AD54" s="2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45144</v>
      </c>
      <c r="B55" s="109">
        <v>1600</v>
      </c>
      <c r="C55" s="109"/>
      <c r="D55" s="108" cm="1">
        <f t="array" ref="D55">(SUM(VLOOKUP(I55:AF55,$AM$4:$AO$44,2,FALSE))+AG55*10)*IF(AK55="是",$AZ$4,$AZ$3)</f>
        <v>1872</v>
      </c>
      <c r="E55" s="166">
        <f>SUM($B$4:B55)+SUM($C$4:C55)-SUM($D$4:D55)</f>
        <v>-3128</v>
      </c>
      <c r="F55" s="108" cm="1">
        <f t="array" ref="F55">SUM(VLOOKUP(I55:AF55,$AM$4:$AO$44,3,FALSE))</f>
        <v>690</v>
      </c>
      <c r="G55" s="97">
        <f>SUM($F$4:F55)+SUM($H$4:H55)</f>
        <v>39155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2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45145</v>
      </c>
      <c r="B56" s="108">
        <v>1600</v>
      </c>
      <c r="C56" s="108"/>
      <c r="D56" s="108" cm="1">
        <f t="array" ref="D56">(SUM(VLOOKUP(I56:AF56,$AM$4:$AO$44,2,FALSE))+AG56*10)*IF(AK56="是",$AZ$4,$AZ$3)</f>
        <v>1880</v>
      </c>
      <c r="E56" s="166">
        <f>SUM($B$4:B56)+SUM($C$4:C56)-SUM($D$4:D56)</f>
        <v>-3408</v>
      </c>
      <c r="F56" s="108" cm="1">
        <f t="array" ref="F56">SUM(VLOOKUP(I56:AF56,$AM$4:$AO$44,3,FALSE))</f>
        <v>695</v>
      </c>
      <c r="G56" s="97">
        <f>SUM($F$4:F56)+SUM($H$4:H56)</f>
        <v>40150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45146</v>
      </c>
      <c r="B57" s="108">
        <v>1600</v>
      </c>
      <c r="C57" s="108"/>
      <c r="D57" s="108" cm="1">
        <f t="array" ref="D57">(SUM(VLOOKUP(I57:AF57,$AM$4:$AO$44,2,FALSE))+AG57*10)*IF(AK57="是",$AZ$4,$AZ$3)</f>
        <v>1920</v>
      </c>
      <c r="E57" s="166">
        <f>SUM($B$4:B57)+SUM($C$4:C57)-SUM($D$4:D57)</f>
        <v>-3728</v>
      </c>
      <c r="F57" s="108" cm="1">
        <f t="array" ref="F57">SUM(VLOOKUP(I57:AF57,$AM$4:$AO$44,3,FALSE))</f>
        <v>720</v>
      </c>
      <c r="G57" s="97">
        <f>SUM($F$4:F57)+SUM($H$4:H57)</f>
        <v>40870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45147</v>
      </c>
      <c r="B58" s="108">
        <v>1600</v>
      </c>
      <c r="C58" s="108"/>
      <c r="D58" s="108" cm="1">
        <f t="array" ref="D58">(SUM(VLOOKUP(I58:AF58,$AM$4:$AO$44,2,FALSE))+AG58*10)*IF(AK58="是",$AZ$4,$AZ$3)</f>
        <v>1920</v>
      </c>
      <c r="E58" s="166">
        <f>SUM($B$4:B58)+SUM($C$4:C58)-SUM($D$4:D58)</f>
        <v>-4048</v>
      </c>
      <c r="F58" s="108" cm="1">
        <f t="array" ref="F58">SUM(VLOOKUP(I58:AF58,$AM$4:$AO$44,3,FALSE))</f>
        <v>720</v>
      </c>
      <c r="G58" s="97">
        <f>SUM($F$4:F58)+SUM($H$4:H58)</f>
        <v>41790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45148</v>
      </c>
      <c r="B59" s="108">
        <v>1600</v>
      </c>
      <c r="C59" s="108"/>
      <c r="D59" s="108" cm="1">
        <f t="array" ref="D59">(SUM(VLOOKUP(I59:AF59,$AM$4:$AO$44,2,FALSE))+AG59*10)*IF(AK59="是",$AZ$4,$AZ$3)</f>
        <v>1600</v>
      </c>
      <c r="E59" s="166">
        <f>SUM($B$4:B59)+SUM($C$4:C59)-SUM($D$4:D59)</f>
        <v>-4048</v>
      </c>
      <c r="F59" s="108" cm="1">
        <f t="array" ref="F59">SUM(VLOOKUP(I59:AF59,$AM$4:$AO$44,3,FALSE))</f>
        <v>660</v>
      </c>
      <c r="G59" s="97">
        <f>SUM($F$4:F59)+SUM($H$4:H59)</f>
        <v>42450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9" t="s">
        <v>47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45149</v>
      </c>
      <c r="B60" s="108">
        <v>1600</v>
      </c>
      <c r="C60" s="108"/>
      <c r="D60" s="108" cm="1">
        <f t="array" ref="D60">(SUM(VLOOKUP(I60:AF60,$AM$4:$AO$44,2,FALSE))+AG60*10)*IF(AK60="是",$AZ$4,$AZ$3)</f>
        <v>1920</v>
      </c>
      <c r="E60" s="166">
        <f>SUM($B$4:B60)+SUM($C$4:C60)-SUM($D$4:D60)</f>
        <v>-4368</v>
      </c>
      <c r="F60" s="108" cm="1">
        <f t="array" ref="F60">SUM(VLOOKUP(I60:AF60,$AM$4:$AO$44,3,FALSE))</f>
        <v>720</v>
      </c>
      <c r="G60" s="97">
        <f>SUM($F$4:F60)+SUM($H$4:H60)</f>
        <v>43170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45150</v>
      </c>
      <c r="B61" s="108">
        <v>1600</v>
      </c>
      <c r="C61" s="108"/>
      <c r="D61" s="108" cm="1">
        <f t="array" ref="D61">(SUM(VLOOKUP(I61:AF61,$AM$4:$AO$44,2,FALSE))+AG61*10)*IF(AK61="是",$AZ$4,$AZ$3)</f>
        <v>1784</v>
      </c>
      <c r="E61" s="166">
        <f>SUM($B$4:B61)+SUM($C$4:C61)-SUM($D$4:D61)</f>
        <v>-4552</v>
      </c>
      <c r="F61" s="108" cm="1">
        <f t="array" ref="F61">SUM(VLOOKUP(I61:AF61,$AM$4:$AO$44,3,FALSE))</f>
        <v>1170</v>
      </c>
      <c r="G61" s="97">
        <f>SUM($F$4:F61)+SUM($H$4:H61)</f>
        <v>44340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5" t="s">
        <v>21</v>
      </c>
      <c r="R61" s="25" t="s">
        <v>21</v>
      </c>
      <c r="S61" s="25" t="s">
        <v>21</v>
      </c>
      <c r="T61" s="24" t="s">
        <v>20</v>
      </c>
      <c r="U61" s="24" t="s">
        <v>20</v>
      </c>
      <c r="V61" s="124" t="s">
        <v>87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45151</v>
      </c>
      <c r="B62" s="108">
        <v>1600</v>
      </c>
      <c r="C62" s="108"/>
      <c r="D62" s="108" cm="1">
        <f t="array" ref="D62">(SUM(VLOOKUP(I62:AF62,$AM$4:$AO$44,2,FALSE))+AG62*10)*IF(AK62="是",$AZ$4,$AZ$3)</f>
        <v>1856</v>
      </c>
      <c r="E62" s="166">
        <f>SUM($B$4:B62)+SUM($C$4:C62)-SUM($D$4:D62)</f>
        <v>-4808</v>
      </c>
      <c r="F62" s="108" cm="1">
        <f t="array" ref="F62">SUM(VLOOKUP(I62:AF62,$AM$4:$AO$44,3,FALSE))</f>
        <v>680</v>
      </c>
      <c r="G62" s="97">
        <f>SUM($F$4:F62)+SUM($H$4:H62)</f>
        <v>45020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24" t="s">
        <v>20</v>
      </c>
      <c r="R62" s="24" t="s">
        <v>20</v>
      </c>
      <c r="S62" s="24" t="s">
        <v>20</v>
      </c>
      <c r="T62" s="24" t="s">
        <v>20</v>
      </c>
      <c r="U62" s="24" t="s">
        <v>20</v>
      </c>
      <c r="V62" s="23" t="s">
        <v>19</v>
      </c>
      <c r="W62" s="110" t="s">
        <v>23</v>
      </c>
      <c r="X62" s="110" t="s">
        <v>23</v>
      </c>
      <c r="Y62" s="24" t="s">
        <v>20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45152</v>
      </c>
      <c r="B63" s="109">
        <v>1600</v>
      </c>
      <c r="C63" s="109"/>
      <c r="D63" s="108" cm="1">
        <f t="array" ref="D63">(SUM(VLOOKUP(I63:AF63,$AM$4:$AO$44,2,FALSE))+AG63*10)*IF(AK63="是",$AZ$4,$AZ$3)</f>
        <v>1864</v>
      </c>
      <c r="E63" s="166">
        <f>SUM($B$4:B63)+SUM($C$4:C63)-SUM($D$4:D63)</f>
        <v>-5072</v>
      </c>
      <c r="F63" s="108" cm="1">
        <f t="array" ref="F63">SUM(VLOOKUP(I63:AF63,$AM$4:$AO$44,3,FALSE))</f>
        <v>1600</v>
      </c>
      <c r="G63" s="97">
        <f>SUM($F$4:F63)+SUM($H$4:H63)</f>
        <v>46920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3" t="s">
        <v>19</v>
      </c>
      <c r="R63" s="23" t="s">
        <v>19</v>
      </c>
      <c r="S63" s="23" t="s">
        <v>19</v>
      </c>
      <c r="T63" s="23" t="s">
        <v>19</v>
      </c>
      <c r="U63" s="23" t="s">
        <v>19</v>
      </c>
      <c r="V63" s="23" t="s">
        <v>19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32" t="s">
        <v>15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45153</v>
      </c>
      <c r="B64" s="109">
        <v>1600</v>
      </c>
      <c r="C64" s="109"/>
      <c r="D64" s="108" cm="1">
        <f t="array" ref="D64">(SUM(VLOOKUP(I64:AF64,$AM$4:$AO$44,2,FALSE))+AG64*10)*IF(AK64="是",$AZ$4,$AZ$3)</f>
        <v>1824</v>
      </c>
      <c r="E64" s="166">
        <f>SUM($B$4:B64)+SUM($C$4:C64)-SUM($D$4:D64)</f>
        <v>-5296</v>
      </c>
      <c r="F64" s="108" cm="1">
        <f t="array" ref="F64">SUM(VLOOKUP(I64:AF64,$AM$4:$AO$44,3,FALSE))</f>
        <v>660</v>
      </c>
      <c r="G64" s="97">
        <f>SUM($F$4:F64)+SUM($H$4:H64)</f>
        <v>47580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45154</v>
      </c>
      <c r="B65" s="109">
        <v>1600</v>
      </c>
      <c r="C65" s="109"/>
      <c r="D65" s="108" cm="1">
        <f t="array" ref="D65">(SUM(VLOOKUP(I65:AF65,$AM$4:$AO$44,2,FALSE))+AG65*10)*IF(AK65="是",$AZ$4,$AZ$3)</f>
        <v>1824</v>
      </c>
      <c r="E65" s="166">
        <f>SUM($B$4:B65)+SUM($C$4:C65)-SUM($D$4:D65)</f>
        <v>-5520</v>
      </c>
      <c r="F65" s="108" cm="1">
        <f t="array" ref="F65">SUM(VLOOKUP(I65:AF65,$AM$4:$AO$44,3,FALSE))</f>
        <v>660</v>
      </c>
      <c r="G65" s="97">
        <f>SUM($F$4:F65)+SUM($H$4:H65)</f>
        <v>48440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3" t="s">
        <v>19</v>
      </c>
      <c r="R65" s="23" t="s">
        <v>19</v>
      </c>
      <c r="S65" s="23" t="s">
        <v>19</v>
      </c>
      <c r="T65" s="23" t="s">
        <v>19</v>
      </c>
      <c r="U65" s="23" t="s">
        <v>19</v>
      </c>
      <c r="V65" s="23" t="s">
        <v>19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45155</v>
      </c>
      <c r="B66" s="109">
        <v>1600</v>
      </c>
      <c r="C66" s="109"/>
      <c r="D66" s="108" cm="1">
        <f t="array" ref="D66">(SUM(VLOOKUP(I66:AF66,$AM$4:$AO$44,2,FALSE))+AG66*10)*IF(AK66="是",$AZ$4,$AZ$3)</f>
        <v>1696</v>
      </c>
      <c r="E66" s="166">
        <f>SUM($B$4:B66)+SUM($C$4:C66)-SUM($D$4:D66)</f>
        <v>-5616</v>
      </c>
      <c r="F66" s="108" cm="1">
        <f t="array" ref="F66">SUM(VLOOKUP(I66:AF66,$AM$4:$AO$44,3,FALSE))</f>
        <v>685</v>
      </c>
      <c r="G66" s="97">
        <f>SUM($F$4:F66)+SUM($H$4:H66)</f>
        <v>49125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3" t="s">
        <v>19</v>
      </c>
      <c r="R66" s="23" t="s">
        <v>19</v>
      </c>
      <c r="S66" s="29" t="s">
        <v>47</v>
      </c>
      <c r="T66" s="23" t="s">
        <v>19</v>
      </c>
      <c r="U66" s="23" t="s">
        <v>19</v>
      </c>
      <c r="V66" s="23" t="s">
        <v>19</v>
      </c>
      <c r="W66" s="23" t="s">
        <v>19</v>
      </c>
      <c r="X66" s="28" t="s">
        <v>12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4" t="s">
        <v>20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45156</v>
      </c>
      <c r="B67" s="109">
        <v>1600</v>
      </c>
      <c r="C67" s="109"/>
      <c r="D67" s="108" cm="1">
        <f t="array" ref="D67">(SUM(VLOOKUP(I67:AF67,$AM$4:$AO$44,2,FALSE))+AG67*10)*IF(AK67="是",$AZ$4,$AZ$3)</f>
        <v>1776</v>
      </c>
      <c r="E67" s="166">
        <f>SUM($B$4:B67)+SUM($C$4:C67)-SUM($D$4:D67)</f>
        <v>-5792</v>
      </c>
      <c r="F67" s="108" cm="1">
        <f t="array" ref="F67">SUM(VLOOKUP(I67:AF67,$AM$4:$AO$44,3,FALSE))</f>
        <v>630</v>
      </c>
      <c r="G67" s="97">
        <f>SUM($F$4:F67)+SUM($H$4:H67)</f>
        <v>49755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24" t="s">
        <v>20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45157</v>
      </c>
      <c r="B68" s="109">
        <v>1600</v>
      </c>
      <c r="C68" s="109"/>
      <c r="D68" s="108" cm="1">
        <f t="array" ref="D68">(SUM(VLOOKUP(I68:AF68,$AM$4:$AO$44,2,FALSE))+AG68*10)*IF(AK68="是",$AZ$4,$AZ$3)</f>
        <v>1440</v>
      </c>
      <c r="E68" s="166">
        <f>SUM($B$4:B68)+SUM($C$4:C68)-SUM($D$4:D68)</f>
        <v>-5632</v>
      </c>
      <c r="F68" s="108" cm="1">
        <f t="array" ref="F68">SUM(VLOOKUP(I68:AF68,$AM$4:$AO$44,3,FALSE))</f>
        <v>560</v>
      </c>
      <c r="G68" s="97">
        <f>SUM($F$4:F68)+SUM($H$4:H68)</f>
        <v>50315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4" t="s">
        <v>20</v>
      </c>
      <c r="Z68" s="24" t="s">
        <v>20</v>
      </c>
      <c r="AA68" s="29" t="s">
        <v>47</v>
      </c>
      <c r="AB68" s="23" t="s">
        <v>19</v>
      </c>
      <c r="AC68" s="23" t="s">
        <v>19</v>
      </c>
      <c r="AD68" s="23" t="s">
        <v>19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45158</v>
      </c>
      <c r="B69" s="109">
        <v>1600</v>
      </c>
      <c r="C69" s="109"/>
      <c r="D69" s="108" cm="1">
        <f t="array" ref="D69">(SUM(VLOOKUP(I69:AF69,$AM$4:$AO$44,2,FALSE))+AG69*10)*IF(AK69="是",$AZ$4,$AZ$3)</f>
        <v>1144</v>
      </c>
      <c r="E69" s="166">
        <f>SUM($B$4:B69)+SUM($C$4:C69)-SUM($D$4:D69)</f>
        <v>-5176</v>
      </c>
      <c r="F69" s="108" cm="1">
        <f t="array" ref="F69">SUM(VLOOKUP(I69:AF69,$AM$4:$AO$44,3,FALSE))</f>
        <v>395</v>
      </c>
      <c r="G69" s="97">
        <f>SUM($F$4:F69)+SUM($H$4:H69)</f>
        <v>50710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23" t="s">
        <v>19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22" t="s">
        <v>18</v>
      </c>
      <c r="W69" s="110" t="s">
        <v>23</v>
      </c>
      <c r="X69" s="110" t="s">
        <v>23</v>
      </c>
      <c r="Y69" s="23" t="s">
        <v>19</v>
      </c>
      <c r="Z69" s="23" t="s">
        <v>19</v>
      </c>
      <c r="AA69" s="23" t="s">
        <v>19</v>
      </c>
      <c r="AB69" s="23" t="s">
        <v>19</v>
      </c>
      <c r="AC69" s="23" t="s">
        <v>19</v>
      </c>
      <c r="AD69" s="23" t="s">
        <v>19</v>
      </c>
      <c r="AE69" s="110" t="s">
        <v>23</v>
      </c>
      <c r="AF69" s="110" t="s">
        <v>23</v>
      </c>
      <c r="AG69" s="111">
        <f t="shared" ref="AG69:AG93" si="9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45159</v>
      </c>
      <c r="B70" s="108">
        <v>1600</v>
      </c>
      <c r="C70" s="108"/>
      <c r="D70" s="108" cm="1">
        <f t="array" ref="D70">(SUM(VLOOKUP(I70:AF70,$AM$4:$AO$44,2,FALSE))+AG70*10)*IF(AK70="是",$AZ$4,$AZ$3)</f>
        <v>1680</v>
      </c>
      <c r="E70" s="166">
        <f>SUM($B$4:B70)+SUM($C$4:C70)-SUM($D$4:D70)</f>
        <v>-5256</v>
      </c>
      <c r="F70" s="108" cm="1">
        <f t="array" ref="F70">SUM(VLOOKUP(I70:AF70,$AM$4:$AO$44,3,FALSE))</f>
        <v>570</v>
      </c>
      <c r="G70" s="97">
        <f>SUM($F$4:F70)+SUM($H$4:H70)</f>
        <v>51580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2" t="s">
        <v>18</v>
      </c>
      <c r="R70" s="22" t="s">
        <v>18</v>
      </c>
      <c r="S70" s="22" t="s">
        <v>18</v>
      </c>
      <c r="T70" s="22" t="s">
        <v>18</v>
      </c>
      <c r="U70" s="22" t="s">
        <v>18</v>
      </c>
      <c r="V70" s="22" t="s">
        <v>18</v>
      </c>
      <c r="W70" s="110" t="s">
        <v>23</v>
      </c>
      <c r="X70" s="110" t="s">
        <v>23</v>
      </c>
      <c r="Y70" s="23" t="s">
        <v>19</v>
      </c>
      <c r="Z70" s="23" t="s">
        <v>19</v>
      </c>
      <c r="AA70" s="23" t="s">
        <v>19</v>
      </c>
      <c r="AB70" s="23" t="s">
        <v>19</v>
      </c>
      <c r="AC70" s="23" t="s">
        <v>19</v>
      </c>
      <c r="AD70" s="23" t="s">
        <v>19</v>
      </c>
      <c r="AE70" s="110" t="s">
        <v>23</v>
      </c>
      <c r="AF70" s="110" t="s">
        <v>23</v>
      </c>
      <c r="AG70" s="111">
        <f t="shared" si="9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45160</v>
      </c>
      <c r="B71" s="108">
        <v>1600</v>
      </c>
      <c r="C71" s="108"/>
      <c r="D71" s="108" cm="1">
        <f t="array" ref="D71">(SUM(VLOOKUP(I71:AF71,$AM$4:$AO$44,2,FALSE))+AG71*10)*IF(AK71="是",$AZ$4,$AZ$3)</f>
        <v>1680</v>
      </c>
      <c r="E71" s="166">
        <f>SUM($B$4:B71)+SUM($C$4:C71)-SUM($D$4:D71)</f>
        <v>-5336</v>
      </c>
      <c r="F71" s="108" cm="1">
        <f t="array" ref="F71">SUM(VLOOKUP(I71:AF71,$AM$4:$AO$44,3,FALSE))</f>
        <v>570</v>
      </c>
      <c r="G71" s="97">
        <f>SUM($F$4:F71)+SUM($H$4:H71)</f>
        <v>52150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2" t="s">
        <v>18</v>
      </c>
      <c r="R71" s="22" t="s">
        <v>18</v>
      </c>
      <c r="S71" s="22" t="s">
        <v>18</v>
      </c>
      <c r="T71" s="22" t="s">
        <v>18</v>
      </c>
      <c r="U71" s="22" t="s">
        <v>18</v>
      </c>
      <c r="V71" s="22" t="s">
        <v>18</v>
      </c>
      <c r="W71" s="110" t="s">
        <v>23</v>
      </c>
      <c r="X71" s="110" t="s">
        <v>23</v>
      </c>
      <c r="Y71" s="23" t="s">
        <v>19</v>
      </c>
      <c r="Z71" s="23" t="s">
        <v>19</v>
      </c>
      <c r="AA71" s="23" t="s">
        <v>19</v>
      </c>
      <c r="AB71" s="23" t="s">
        <v>19</v>
      </c>
      <c r="AC71" s="23" t="s">
        <v>19</v>
      </c>
      <c r="AD71" s="23" t="s">
        <v>19</v>
      </c>
      <c r="AE71" s="110" t="s">
        <v>23</v>
      </c>
      <c r="AF71" s="110" t="s">
        <v>23</v>
      </c>
      <c r="AG71" s="111">
        <f t="shared" si="9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45161</v>
      </c>
      <c r="B72" s="108">
        <v>1600</v>
      </c>
      <c r="C72" s="108"/>
      <c r="D72" s="108" cm="1">
        <f t="array" ref="D72">(SUM(VLOOKUP(I72:AF72,$AM$4:$AO$44,2,FALSE))+AG72*10)*IF(AK72="是",$AZ$4,$AZ$3)</f>
        <v>1656</v>
      </c>
      <c r="E72" s="166">
        <f>SUM($B$4:B72)+SUM($C$4:C72)-SUM($D$4:D72)</f>
        <v>-5392</v>
      </c>
      <c r="F72" s="108" cm="1">
        <f t="array" ref="F72">SUM(VLOOKUP(I72:AF72,$AM$4:$AO$44,3,FALSE))</f>
        <v>570</v>
      </c>
      <c r="G72" s="97">
        <f>SUM($F$4:F72)+SUM($H$4:H72)</f>
        <v>52920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22" t="s">
        <v>18</v>
      </c>
      <c r="R72" s="22" t="s">
        <v>18</v>
      </c>
      <c r="S72" s="22" t="s">
        <v>18</v>
      </c>
      <c r="T72" s="22" t="s">
        <v>18</v>
      </c>
      <c r="U72" s="22" t="s">
        <v>18</v>
      </c>
      <c r="V72" s="22" t="s">
        <v>18</v>
      </c>
      <c r="W72" s="110" t="s">
        <v>23</v>
      </c>
      <c r="X72" s="110" t="s">
        <v>23</v>
      </c>
      <c r="Y72" s="23" t="s">
        <v>19</v>
      </c>
      <c r="Z72" s="147" t="s">
        <v>8</v>
      </c>
      <c r="AA72" s="23" t="s">
        <v>19</v>
      </c>
      <c r="AB72" s="23" t="s">
        <v>19</v>
      </c>
      <c r="AC72" s="23" t="s">
        <v>19</v>
      </c>
      <c r="AD72" s="23" t="s">
        <v>19</v>
      </c>
      <c r="AE72" s="110" t="s">
        <v>23</v>
      </c>
      <c r="AF72" s="110" t="s">
        <v>23</v>
      </c>
      <c r="AG72" s="111">
        <f t="shared" si="9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45162</v>
      </c>
      <c r="B73" s="108">
        <v>1600</v>
      </c>
      <c r="C73" s="108"/>
      <c r="D73" s="108" cm="1">
        <f t="array" ref="D73">(SUM(VLOOKUP(I73:AF73,$AM$4:$AO$44,2,FALSE))+AG73*10)*IF(AK73="是",$AZ$4,$AZ$3)</f>
        <v>1576</v>
      </c>
      <c r="E73" s="166">
        <f>SUM($B$4:B73)+SUM($C$4:C73)-SUM($D$4:D73)</f>
        <v>-5368</v>
      </c>
      <c r="F73" s="108" cm="1">
        <f t="array" ref="F73">SUM(VLOOKUP(I73:AF73,$AM$4:$AO$44,3,FALSE))</f>
        <v>550</v>
      </c>
      <c r="G73" s="97">
        <f>SUM($F$4:F73)+SUM($H$4:H73)</f>
        <v>53470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22" t="s">
        <v>18</v>
      </c>
      <c r="R73" s="22" t="s">
        <v>18</v>
      </c>
      <c r="S73" s="22" t="s">
        <v>18</v>
      </c>
      <c r="T73" s="22" t="s">
        <v>18</v>
      </c>
      <c r="U73" s="22" t="s">
        <v>18</v>
      </c>
      <c r="V73" s="22" t="s">
        <v>18</v>
      </c>
      <c r="W73" s="110" t="s">
        <v>23</v>
      </c>
      <c r="X73" s="110" t="s">
        <v>23</v>
      </c>
      <c r="Y73" s="23" t="s">
        <v>19</v>
      </c>
      <c r="Z73" s="23" t="s">
        <v>19</v>
      </c>
      <c r="AA73" s="28" t="s">
        <v>12</v>
      </c>
      <c r="AB73" s="23" t="s">
        <v>19</v>
      </c>
      <c r="AC73" s="23" t="s">
        <v>19</v>
      </c>
      <c r="AD73" s="23" t="s">
        <v>19</v>
      </c>
      <c r="AE73" s="110" t="s">
        <v>23</v>
      </c>
      <c r="AF73" s="110" t="s">
        <v>23</v>
      </c>
      <c r="AG73" s="111">
        <f t="shared" si="9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45163</v>
      </c>
      <c r="B74" s="108">
        <v>1600</v>
      </c>
      <c r="C74" s="108"/>
      <c r="D74" s="108" cm="1">
        <f t="array" ref="D74">(SUM(VLOOKUP(I74:AF74,$AM$4:$AO$44,2,FALSE))+AG74*10)*IF(AK74="是",$AZ$4,$AZ$3)</f>
        <v>1680</v>
      </c>
      <c r="E74" s="166">
        <f>SUM($B$4:B74)+SUM($C$4:C74)-SUM($D$4:D74)</f>
        <v>-5448</v>
      </c>
      <c r="F74" s="108" cm="1">
        <f t="array" ref="F74">SUM(VLOOKUP(I74:AF74,$AM$4:$AO$44,3,FALSE))</f>
        <v>570</v>
      </c>
      <c r="G74" s="97">
        <f>SUM($F$4:F74)+SUM($H$4:H74)</f>
        <v>54040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2" t="s">
        <v>18</v>
      </c>
      <c r="R74" s="22" t="s">
        <v>18</v>
      </c>
      <c r="S74" s="22" t="s">
        <v>18</v>
      </c>
      <c r="T74" s="22" t="s">
        <v>18</v>
      </c>
      <c r="U74" s="22" t="s">
        <v>18</v>
      </c>
      <c r="V74" s="22" t="s">
        <v>18</v>
      </c>
      <c r="W74" s="110" t="s">
        <v>23</v>
      </c>
      <c r="X74" s="110" t="s">
        <v>23</v>
      </c>
      <c r="Y74" s="23" t="s">
        <v>19</v>
      </c>
      <c r="Z74" s="23" t="s">
        <v>19</v>
      </c>
      <c r="AA74" s="23" t="s">
        <v>19</v>
      </c>
      <c r="AB74" s="23" t="s">
        <v>19</v>
      </c>
      <c r="AC74" s="23" t="s">
        <v>19</v>
      </c>
      <c r="AD74" s="23" t="s">
        <v>19</v>
      </c>
      <c r="AE74" s="110" t="s">
        <v>23</v>
      </c>
      <c r="AF74" s="110" t="s">
        <v>23</v>
      </c>
      <c r="AG74" s="111">
        <f t="shared" si="9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45164</v>
      </c>
      <c r="B75" s="108">
        <v>1600</v>
      </c>
      <c r="C75" s="108"/>
      <c r="D75" s="108" cm="1">
        <f t="array" ref="D75">(SUM(VLOOKUP(I75:AF75,$AM$4:$AO$44,2,FALSE))+AG75*10)*IF(AK75="是",$AZ$4,$AZ$3)</f>
        <v>1680</v>
      </c>
      <c r="E75" s="166">
        <f>SUM($B$4:B75)+SUM($C$4:C75)-SUM($D$4:D75)</f>
        <v>-5528</v>
      </c>
      <c r="F75" s="108" cm="1">
        <f t="array" ref="F75">SUM(VLOOKUP(I75:AF75,$AM$4:$AO$44,3,FALSE))</f>
        <v>570</v>
      </c>
      <c r="G75" s="97">
        <f>SUM($F$4:F75)+SUM($H$4:H75)</f>
        <v>54610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2" t="s">
        <v>18</v>
      </c>
      <c r="R75" s="22" t="s">
        <v>18</v>
      </c>
      <c r="S75" s="22" t="s">
        <v>18</v>
      </c>
      <c r="T75" s="22" t="s">
        <v>18</v>
      </c>
      <c r="U75" s="22" t="s">
        <v>18</v>
      </c>
      <c r="V75" s="22" t="s">
        <v>18</v>
      </c>
      <c r="W75" s="110" t="s">
        <v>23</v>
      </c>
      <c r="X75" s="110" t="s">
        <v>23</v>
      </c>
      <c r="Y75" s="23" t="s">
        <v>19</v>
      </c>
      <c r="Z75" s="23" t="s">
        <v>19</v>
      </c>
      <c r="AA75" s="23" t="s">
        <v>19</v>
      </c>
      <c r="AB75" s="23" t="s">
        <v>19</v>
      </c>
      <c r="AC75" s="23" t="s">
        <v>19</v>
      </c>
      <c r="AD75" s="23" t="s">
        <v>19</v>
      </c>
      <c r="AE75" s="110" t="s">
        <v>23</v>
      </c>
      <c r="AF75" s="110" t="s">
        <v>23</v>
      </c>
      <c r="AG75" s="111">
        <f t="shared" si="9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45165</v>
      </c>
      <c r="B76" s="108">
        <v>1600</v>
      </c>
      <c r="C76" s="108"/>
      <c r="D76" s="108" cm="1">
        <f t="array" ref="D76">(SUM(VLOOKUP(I76:AF76,$AM$4:$AO$44,2,FALSE))+AG76*10)*IF(AK76="是",$AZ$4,$AZ$3)</f>
        <v>1576</v>
      </c>
      <c r="E76" s="166">
        <f>SUM($B$4:B76)+SUM($C$4:C76)-SUM($D$4:D76)</f>
        <v>-5504</v>
      </c>
      <c r="F76" s="108" cm="1">
        <f t="array" ref="F76">SUM(VLOOKUP(I76:AF76,$AM$4:$AO$44,3,FALSE))</f>
        <v>550</v>
      </c>
      <c r="G76" s="97">
        <f>SUM($F$4:F76)+SUM($H$4:H76)</f>
        <v>55160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2" t="s">
        <v>18</v>
      </c>
      <c r="R76" s="22" t="s">
        <v>18</v>
      </c>
      <c r="S76" s="22" t="s">
        <v>18</v>
      </c>
      <c r="T76" s="22" t="s">
        <v>18</v>
      </c>
      <c r="U76" s="22" t="s">
        <v>18</v>
      </c>
      <c r="V76" s="22" t="s">
        <v>18</v>
      </c>
      <c r="W76" s="110" t="s">
        <v>23</v>
      </c>
      <c r="X76" s="110" t="s">
        <v>23</v>
      </c>
      <c r="Y76" s="28" t="s">
        <v>12</v>
      </c>
      <c r="Z76" s="23" t="s">
        <v>19</v>
      </c>
      <c r="AA76" s="23" t="s">
        <v>19</v>
      </c>
      <c r="AB76" s="23" t="s">
        <v>19</v>
      </c>
      <c r="AC76" s="23" t="s">
        <v>19</v>
      </c>
      <c r="AD76" s="23" t="s">
        <v>19</v>
      </c>
      <c r="AE76" s="110" t="s">
        <v>23</v>
      </c>
      <c r="AF76" s="110" t="s">
        <v>23</v>
      </c>
      <c r="AG76" s="111">
        <f t="shared" si="9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45166</v>
      </c>
      <c r="B77" s="109">
        <v>1600</v>
      </c>
      <c r="C77" s="109"/>
      <c r="D77" s="108" cm="1">
        <f t="array" ref="D77">(SUM(VLOOKUP(I77:AF77,$AM$4:$AO$44,2,FALSE))+AG77*10)*IF(AK77="是",$AZ$4,$AZ$3)</f>
        <v>1680</v>
      </c>
      <c r="E77" s="166">
        <f>SUM($B$4:B77)+SUM($C$4:C77)-SUM($D$4:D77)</f>
        <v>-5584</v>
      </c>
      <c r="F77" s="108" cm="1">
        <f t="array" ref="F77">SUM(VLOOKUP(I77:AF77,$AM$4:$AO$44,3,FALSE))</f>
        <v>570</v>
      </c>
      <c r="G77" s="97">
        <f>SUM($F$4:F77)+SUM($H$4:H77)</f>
        <v>56030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2" t="s">
        <v>18</v>
      </c>
      <c r="R77" s="22" t="s">
        <v>18</v>
      </c>
      <c r="S77" s="22" t="s">
        <v>18</v>
      </c>
      <c r="T77" s="22" t="s">
        <v>18</v>
      </c>
      <c r="U77" s="22" t="s">
        <v>18</v>
      </c>
      <c r="V77" s="22" t="s">
        <v>18</v>
      </c>
      <c r="W77" s="110" t="s">
        <v>23</v>
      </c>
      <c r="X77" s="110" t="s">
        <v>23</v>
      </c>
      <c r="Y77" s="23" t="s">
        <v>19</v>
      </c>
      <c r="Z77" s="23" t="s">
        <v>19</v>
      </c>
      <c r="AA77" s="23" t="s">
        <v>19</v>
      </c>
      <c r="AB77" s="23" t="s">
        <v>19</v>
      </c>
      <c r="AC77" s="23" t="s">
        <v>19</v>
      </c>
      <c r="AD77" s="23" t="s">
        <v>19</v>
      </c>
      <c r="AE77" s="110" t="s">
        <v>23</v>
      </c>
      <c r="AF77" s="110" t="s">
        <v>23</v>
      </c>
      <c r="AG77" s="111">
        <f t="shared" si="9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45167</v>
      </c>
      <c r="B78" s="109">
        <v>1600</v>
      </c>
      <c r="C78" s="109"/>
      <c r="D78" s="108" cm="1">
        <f t="array" ref="D78">(SUM(VLOOKUP(I78:AF78,$AM$4:$AO$44,2,FALSE))+AG78*10)*IF(AK78="是",$AZ$4,$AZ$3)</f>
        <v>816</v>
      </c>
      <c r="E78" s="166">
        <f>SUM($B$4:B78)+SUM($C$4:C78)-SUM($D$4:D78)</f>
        <v>-4800</v>
      </c>
      <c r="F78" s="108" cm="1">
        <f t="array" ref="F78">SUM(VLOOKUP(I78:AF78,$AM$4:$AO$44,3,FALSE))</f>
        <v>270</v>
      </c>
      <c r="G78" s="97">
        <f>SUM($F$4:F78)+SUM($H$4:H78)</f>
        <v>56300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2" t="s">
        <v>18</v>
      </c>
      <c r="R78" s="22" t="s">
        <v>18</v>
      </c>
      <c r="S78" s="22" t="s">
        <v>18</v>
      </c>
      <c r="T78" s="22" t="s">
        <v>18</v>
      </c>
      <c r="U78" s="22" t="s">
        <v>18</v>
      </c>
      <c r="V78" s="22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9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45168</v>
      </c>
      <c r="B79" s="109">
        <v>1600</v>
      </c>
      <c r="C79" s="109"/>
      <c r="D79" s="108" cm="1">
        <f t="array" ref="D79">(SUM(VLOOKUP(I79:AF79,$AM$4:$AO$44,2,FALSE))+AG79*10)*IF(AK79="是",$AZ$4,$AZ$3)</f>
        <v>1416</v>
      </c>
      <c r="E79" s="166">
        <f>SUM($B$4:B79)+SUM($C$4:C79)-SUM($D$4:D79)</f>
        <v>-4616</v>
      </c>
      <c r="F79" s="108" cm="1">
        <f t="array" ref="F79">SUM(VLOOKUP(I79:AF79,$AM$4:$AO$44,3,FALSE))</f>
        <v>495</v>
      </c>
      <c r="G79" s="97">
        <f>SUM($F$4:F79)+SUM($H$4:H79)</f>
        <v>56995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2" t="s">
        <v>18</v>
      </c>
      <c r="R79" s="22" t="s">
        <v>18</v>
      </c>
      <c r="S79" s="22" t="s">
        <v>18</v>
      </c>
      <c r="T79" s="22" t="s">
        <v>18</v>
      </c>
      <c r="U79" s="22" t="s">
        <v>18</v>
      </c>
      <c r="V79" s="22" t="s">
        <v>18</v>
      </c>
      <c r="W79" s="110" t="s">
        <v>23</v>
      </c>
      <c r="X79" s="110" t="s">
        <v>23</v>
      </c>
      <c r="Y79" s="146" t="s">
        <v>7</v>
      </c>
      <c r="Z79" s="146" t="s">
        <v>7</v>
      </c>
      <c r="AA79" s="146" t="s">
        <v>7</v>
      </c>
      <c r="AB79" s="146" t="s">
        <v>7</v>
      </c>
      <c r="AC79" s="146" t="s">
        <v>7</v>
      </c>
      <c r="AD79" s="109" t="s">
        <v>23</v>
      </c>
      <c r="AE79" s="110" t="s">
        <v>23</v>
      </c>
      <c r="AF79" s="110" t="s">
        <v>23</v>
      </c>
      <c r="AG79" s="111">
        <f t="shared" si="9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45169</v>
      </c>
      <c r="B80" s="109">
        <v>1600</v>
      </c>
      <c r="C80" s="109"/>
      <c r="D80" s="108" cm="1">
        <f t="array" ref="D80">(SUM(VLOOKUP(I80:AF80,$AM$4:$AO$44,2,FALSE))+AG80*10)*IF(AK80="是",$AZ$4,$AZ$3)</f>
        <v>1056</v>
      </c>
      <c r="E80" s="166">
        <f>SUM($B$4:B80)+SUM($C$4:C80)-SUM($D$4:D80)</f>
        <v>-4072</v>
      </c>
      <c r="F80" s="108" cm="1">
        <f t="array" ref="F80">SUM(VLOOKUP(I80:AF80,$AM$4:$AO$44,3,FALSE))</f>
        <v>450</v>
      </c>
      <c r="G80" s="97">
        <f>SUM($F$4:F80)+SUM($H$4:H80)</f>
        <v>57445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2" t="s">
        <v>18</v>
      </c>
      <c r="R80" s="22" t="s">
        <v>18</v>
      </c>
      <c r="S80" s="22" t="s">
        <v>18</v>
      </c>
      <c r="T80" s="22" t="s">
        <v>18</v>
      </c>
      <c r="U80" s="22" t="s">
        <v>18</v>
      </c>
      <c r="V80" s="22" t="s">
        <v>18</v>
      </c>
      <c r="W80" s="110" t="s">
        <v>23</v>
      </c>
      <c r="X80" s="110" t="s">
        <v>23</v>
      </c>
      <c r="Y80" s="28" t="s">
        <v>12</v>
      </c>
      <c r="Z80" s="28" t="s">
        <v>12</v>
      </c>
      <c r="AA80" s="28" t="s">
        <v>12</v>
      </c>
      <c r="AB80" s="28" t="s">
        <v>12</v>
      </c>
      <c r="AC80" s="28" t="s">
        <v>12</v>
      </c>
      <c r="AD80" s="28" t="s">
        <v>12</v>
      </c>
      <c r="AE80" s="110" t="s">
        <v>23</v>
      </c>
      <c r="AF80" s="110" t="s">
        <v>23</v>
      </c>
      <c r="AG80" s="111">
        <f t="shared" si="9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45170</v>
      </c>
      <c r="B81" s="109">
        <v>1600</v>
      </c>
      <c r="C81" s="109"/>
      <c r="D81" s="108" cm="1">
        <f t="array" ref="D81">(SUM(VLOOKUP(I81:AF81,$AM$4:$AO$44,2,FALSE))+AG81*10)*IF(AK81="是",$AZ$4,$AZ$3)</f>
        <v>736</v>
      </c>
      <c r="E81" s="166">
        <f>SUM($B$4:B81)+SUM($C$4:C81)-SUM($D$4:D81)</f>
        <v>-3208</v>
      </c>
      <c r="F81" s="108" cm="1">
        <f t="array" ref="F81">SUM(VLOOKUP(I81:AF81,$AM$4:$AO$44,3,FALSE))</f>
        <v>330</v>
      </c>
      <c r="G81" s="97">
        <f>SUM($F$4:F81)+SUM($H$4:H81)</f>
        <v>57775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2" t="s">
        <v>18</v>
      </c>
      <c r="R81" s="22" t="s">
        <v>18</v>
      </c>
      <c r="S81" s="22" t="s">
        <v>18</v>
      </c>
      <c r="T81" s="22" t="s">
        <v>18</v>
      </c>
      <c r="U81" s="22" t="s">
        <v>18</v>
      </c>
      <c r="V81" s="22" t="s">
        <v>18</v>
      </c>
      <c r="W81" s="110" t="s">
        <v>23</v>
      </c>
      <c r="X81" s="110" t="s">
        <v>23</v>
      </c>
      <c r="Y81" s="28" t="s">
        <v>12</v>
      </c>
      <c r="Z81" s="28" t="s">
        <v>12</v>
      </c>
      <c r="AA81" s="29" t="s">
        <v>47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9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45171</v>
      </c>
      <c r="B82" s="109">
        <v>1600</v>
      </c>
      <c r="C82" s="109"/>
      <c r="D82" s="108" cm="1">
        <f t="array" ref="D82">(SUM(VLOOKUP(I82:AF82,$AM$4:$AO$44,2,FALSE))+AG82*10)*IF(AK82="是",$AZ$4,$AZ$3)</f>
        <v>1632</v>
      </c>
      <c r="E82" s="166">
        <f>SUM($B$4:B82)+SUM($C$4:C82)-SUM($D$4:D82)</f>
        <v>-3240</v>
      </c>
      <c r="F82" s="108" cm="1">
        <f t="array" ref="F82">SUM(VLOOKUP(I82:AF82,$AM$4:$AO$44,3,FALSE))</f>
        <v>540</v>
      </c>
      <c r="G82" s="97">
        <f>SUM($F$4:F82)+SUM($H$4:H82)</f>
        <v>58315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2" t="s">
        <v>18</v>
      </c>
      <c r="R82" s="22" t="s">
        <v>18</v>
      </c>
      <c r="S82" s="22" t="s">
        <v>18</v>
      </c>
      <c r="T82" s="22" t="s">
        <v>18</v>
      </c>
      <c r="U82" s="22" t="s">
        <v>18</v>
      </c>
      <c r="V82" s="22" t="s">
        <v>18</v>
      </c>
      <c r="W82" s="110" t="s">
        <v>23</v>
      </c>
      <c r="X82" s="110" t="s">
        <v>23</v>
      </c>
      <c r="Y82" s="22" t="s">
        <v>18</v>
      </c>
      <c r="Z82" s="22" t="s">
        <v>18</v>
      </c>
      <c r="AA82" s="22" t="s">
        <v>18</v>
      </c>
      <c r="AB82" s="22" t="s">
        <v>18</v>
      </c>
      <c r="AC82" s="22" t="s">
        <v>18</v>
      </c>
      <c r="AD82" s="22" t="s">
        <v>18</v>
      </c>
      <c r="AE82" s="110" t="s">
        <v>23</v>
      </c>
      <c r="AF82" s="110" t="s">
        <v>23</v>
      </c>
      <c r="AG82" s="111">
        <f t="shared" si="9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45172</v>
      </c>
      <c r="B83" s="109">
        <v>1600</v>
      </c>
      <c r="C83" s="109"/>
      <c r="D83" s="108" cm="1">
        <f t="array" ref="D83">(SUM(VLOOKUP(I83:AF83,$AM$4:$AO$44,2,FALSE))+AG83*10)*IF(AK83="是",$AZ$4,$AZ$3)</f>
        <v>1632</v>
      </c>
      <c r="E83" s="166">
        <f>SUM($B$4:B83)+SUM($C$4:C83)-SUM($D$4:D83)</f>
        <v>-3272</v>
      </c>
      <c r="F83" s="108" cm="1">
        <f t="array" ref="F83">SUM(VLOOKUP(I83:AF83,$AM$4:$AO$44,3,FALSE))</f>
        <v>540</v>
      </c>
      <c r="G83" s="97">
        <f>SUM($F$4:F83)+SUM($H$4:H83)</f>
        <v>58855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2" t="s">
        <v>18</v>
      </c>
      <c r="R83" s="22" t="s">
        <v>18</v>
      </c>
      <c r="S83" s="22" t="s">
        <v>18</v>
      </c>
      <c r="T83" s="22" t="s">
        <v>18</v>
      </c>
      <c r="U83" s="22" t="s">
        <v>18</v>
      </c>
      <c r="V83" s="22" t="s">
        <v>18</v>
      </c>
      <c r="W83" s="110" t="s">
        <v>23</v>
      </c>
      <c r="X83" s="110" t="s">
        <v>23</v>
      </c>
      <c r="Y83" s="22" t="s">
        <v>18</v>
      </c>
      <c r="Z83" s="22" t="s">
        <v>18</v>
      </c>
      <c r="AA83" s="22" t="s">
        <v>18</v>
      </c>
      <c r="AB83" s="22" t="s">
        <v>18</v>
      </c>
      <c r="AC83" s="22" t="s">
        <v>18</v>
      </c>
      <c r="AD83" s="22" t="s">
        <v>18</v>
      </c>
      <c r="AE83" s="110" t="s">
        <v>23</v>
      </c>
      <c r="AF83" s="110" t="s">
        <v>23</v>
      </c>
      <c r="AG83" s="111">
        <f t="shared" si="9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45173</v>
      </c>
      <c r="B84" s="108">
        <v>1600</v>
      </c>
      <c r="C84" s="108"/>
      <c r="D84" s="108" cm="1">
        <f t="array" ref="D84">(SUM(VLOOKUP(I84:AF84,$AM$4:$AO$44,2,FALSE))+AG84*10)*IF(AK84="是",$AZ$4,$AZ$3)</f>
        <v>1632</v>
      </c>
      <c r="E84" s="166">
        <f>SUM($B$4:B84)+SUM($C$4:C84)-SUM($D$4:D84)</f>
        <v>-3304</v>
      </c>
      <c r="F84" s="108" cm="1">
        <f t="array" ref="F84">SUM(VLOOKUP(I84:AF84,$AM$4:$AO$44,3,FALSE))</f>
        <v>540</v>
      </c>
      <c r="G84" s="97">
        <f>SUM($F$4:F84)+SUM($H$4:H84)</f>
        <v>59695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2" t="s">
        <v>18</v>
      </c>
      <c r="R84" s="22" t="s">
        <v>18</v>
      </c>
      <c r="S84" s="22" t="s">
        <v>18</v>
      </c>
      <c r="T84" s="22" t="s">
        <v>18</v>
      </c>
      <c r="U84" s="22" t="s">
        <v>18</v>
      </c>
      <c r="V84" s="22" t="s">
        <v>18</v>
      </c>
      <c r="W84" s="110" t="s">
        <v>23</v>
      </c>
      <c r="X84" s="110" t="s">
        <v>23</v>
      </c>
      <c r="Y84" s="22" t="s">
        <v>18</v>
      </c>
      <c r="Z84" s="22" t="s">
        <v>18</v>
      </c>
      <c r="AA84" s="22" t="s">
        <v>18</v>
      </c>
      <c r="AB84" s="22" t="s">
        <v>18</v>
      </c>
      <c r="AC84" s="22" t="s">
        <v>18</v>
      </c>
      <c r="AD84" s="22" t="s">
        <v>18</v>
      </c>
      <c r="AE84" s="110" t="s">
        <v>23</v>
      </c>
      <c r="AF84" s="110" t="s">
        <v>23</v>
      </c>
      <c r="AG84" s="111">
        <f t="shared" si="9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45174</v>
      </c>
      <c r="B85" s="108">
        <v>1600</v>
      </c>
      <c r="C85" s="108"/>
      <c r="D85" s="108" cm="1">
        <f t="array" ref="D85">(SUM(VLOOKUP(I85:AF85,$AM$4:$AO$44,2,FALSE))+AG85*10)*IF(AK85="是",$AZ$4,$AZ$3)</f>
        <v>1632</v>
      </c>
      <c r="E85" s="166">
        <f>SUM($B$4:B85)+SUM($C$4:C85)-SUM($D$4:D85)</f>
        <v>-3336</v>
      </c>
      <c r="F85" s="108" cm="1">
        <f t="array" ref="F85">SUM(VLOOKUP(I85:AF85,$AM$4:$AO$44,3,FALSE))</f>
        <v>540</v>
      </c>
      <c r="G85" s="97">
        <f>SUM($F$4:F85)+SUM($H$4:H85)</f>
        <v>60235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2" t="s">
        <v>18</v>
      </c>
      <c r="R85" s="22" t="s">
        <v>18</v>
      </c>
      <c r="S85" s="22" t="s">
        <v>18</v>
      </c>
      <c r="T85" s="22" t="s">
        <v>18</v>
      </c>
      <c r="U85" s="22" t="s">
        <v>18</v>
      </c>
      <c r="V85" s="22" t="s">
        <v>18</v>
      </c>
      <c r="W85" s="110" t="s">
        <v>23</v>
      </c>
      <c r="X85" s="110" t="s">
        <v>23</v>
      </c>
      <c r="Y85" s="22" t="s">
        <v>18</v>
      </c>
      <c r="Z85" s="22" t="s">
        <v>18</v>
      </c>
      <c r="AA85" s="22" t="s">
        <v>18</v>
      </c>
      <c r="AB85" s="22" t="s">
        <v>18</v>
      </c>
      <c r="AC85" s="22" t="s">
        <v>18</v>
      </c>
      <c r="AD85" s="22" t="s">
        <v>18</v>
      </c>
      <c r="AE85" s="110" t="s">
        <v>23</v>
      </c>
      <c r="AF85" s="110" t="s">
        <v>23</v>
      </c>
      <c r="AG85" s="111">
        <f t="shared" si="9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45175</v>
      </c>
      <c r="B86" s="108">
        <v>1600</v>
      </c>
      <c r="C86" s="108"/>
      <c r="D86" s="108" cm="1">
        <f t="array" ref="D86">(SUM(VLOOKUP(I86:AF86,$AM$4:$AO$44,2,FALSE))+AG86*10)*IF(AK86="是",$AZ$4,$AZ$3)</f>
        <v>1464</v>
      </c>
      <c r="E86" s="166">
        <f>SUM($B$4:B86)+SUM($C$4:C86)-SUM($D$4:D86)</f>
        <v>-3200</v>
      </c>
      <c r="F86" s="108" cm="1">
        <f t="array" ref="F86">SUM(VLOOKUP(I86:AF86,$AM$4:$AO$44,3,FALSE))</f>
        <v>540</v>
      </c>
      <c r="G86" s="97">
        <f>SUM($F$4:F86)+SUM($H$4:H86)</f>
        <v>60975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2" t="s">
        <v>18</v>
      </c>
      <c r="R86" s="22" t="s">
        <v>18</v>
      </c>
      <c r="S86" s="22" t="s">
        <v>18</v>
      </c>
      <c r="T86" s="22" t="s">
        <v>18</v>
      </c>
      <c r="U86" s="22" t="s">
        <v>18</v>
      </c>
      <c r="V86" s="22" t="s">
        <v>18</v>
      </c>
      <c r="W86" s="110" t="s">
        <v>23</v>
      </c>
      <c r="X86" s="110" t="s">
        <v>23</v>
      </c>
      <c r="Y86" s="21" t="s">
        <v>17</v>
      </c>
      <c r="Z86" s="29" t="s">
        <v>47</v>
      </c>
      <c r="AA86" s="21" t="s">
        <v>17</v>
      </c>
      <c r="AB86" s="28" t="s">
        <v>12</v>
      </c>
      <c r="AC86" s="21" t="s">
        <v>17</v>
      </c>
      <c r="AD86" s="21" t="s">
        <v>17</v>
      </c>
      <c r="AE86" s="21" t="s">
        <v>17</v>
      </c>
      <c r="AF86" s="21" t="s">
        <v>17</v>
      </c>
      <c r="AG86" s="111">
        <f t="shared" si="9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45176</v>
      </c>
      <c r="B87" s="108">
        <v>1600</v>
      </c>
      <c r="C87" s="108"/>
      <c r="D87" s="108" cm="1">
        <f t="array" ref="D87">(SUM(VLOOKUP(I87:AF87,$AM$4:$AO$44,2,FALSE))+AG87*10)*IF(AK87="是",$AZ$4,$AZ$3)</f>
        <v>1400</v>
      </c>
      <c r="E87" s="166">
        <f>SUM($B$4:B87)+SUM($C$4:C87)-SUM($D$4:D87)</f>
        <v>-3000</v>
      </c>
      <c r="F87" s="108" cm="1">
        <f t="array" ref="F87">SUM(VLOOKUP(I87:AF87,$AM$4:$AO$44,3,FALSE))</f>
        <v>490</v>
      </c>
      <c r="G87" s="97">
        <f>SUM($F$4:F87)+SUM($H$4:H87)</f>
        <v>61465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2" t="s">
        <v>18</v>
      </c>
      <c r="R87" s="22" t="s">
        <v>18</v>
      </c>
      <c r="S87" s="22" t="s">
        <v>18</v>
      </c>
      <c r="T87" s="22" t="s">
        <v>18</v>
      </c>
      <c r="U87" s="22" t="s">
        <v>18</v>
      </c>
      <c r="V87" s="22" t="s">
        <v>18</v>
      </c>
      <c r="W87" s="110" t="s">
        <v>23</v>
      </c>
      <c r="X87" s="110" t="s">
        <v>23</v>
      </c>
      <c r="Y87" s="28" t="s">
        <v>12</v>
      </c>
      <c r="Z87" s="21" t="s">
        <v>17</v>
      </c>
      <c r="AA87" s="21" t="s">
        <v>17</v>
      </c>
      <c r="AB87" s="28" t="s">
        <v>12</v>
      </c>
      <c r="AC87" s="21" t="s">
        <v>17</v>
      </c>
      <c r="AD87" s="145" t="s">
        <v>6</v>
      </c>
      <c r="AE87" s="110" t="s">
        <v>23</v>
      </c>
      <c r="AF87" s="110" t="s">
        <v>23</v>
      </c>
      <c r="AG87" s="111">
        <f t="shared" si="9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45177</v>
      </c>
      <c r="B88" s="108">
        <v>1600</v>
      </c>
      <c r="C88" s="108"/>
      <c r="D88" s="108" cm="1">
        <f t="array" ref="D88">(SUM(VLOOKUP(I88:AF88,$AM$4:$AO$44,2,FALSE))+AG88*10)*IF(AK88="是",$AZ$4,$AZ$3)</f>
        <v>1096</v>
      </c>
      <c r="E88" s="166">
        <f>SUM($B$4:B88)+SUM($C$4:C88)-SUM($D$4:D88)</f>
        <v>-2496</v>
      </c>
      <c r="F88" s="108" cm="1">
        <f t="array" ref="F88">SUM(VLOOKUP(I88:AF88,$AM$4:$AO$44,3,FALSE))</f>
        <v>370</v>
      </c>
      <c r="G88" s="97">
        <f>SUM($F$4:F88)+SUM($H$4:H88)</f>
        <v>61835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2" t="s">
        <v>18</v>
      </c>
      <c r="R88" s="22" t="s">
        <v>18</v>
      </c>
      <c r="S88" s="22" t="s">
        <v>18</v>
      </c>
      <c r="T88" s="22" t="s">
        <v>18</v>
      </c>
      <c r="U88" s="22" t="s">
        <v>18</v>
      </c>
      <c r="V88" s="22" t="s">
        <v>18</v>
      </c>
      <c r="W88" s="110" t="s">
        <v>23</v>
      </c>
      <c r="X88" s="110" t="s">
        <v>23</v>
      </c>
      <c r="Y88" s="20" t="s">
        <v>16</v>
      </c>
      <c r="Z88" s="20" t="s">
        <v>16</v>
      </c>
      <c r="AA88" s="28" t="s">
        <v>12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9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45178</v>
      </c>
      <c r="B89" s="108">
        <v>1600</v>
      </c>
      <c r="C89" s="108"/>
      <c r="D89" s="108" cm="1">
        <f t="array" ref="D89">(SUM(VLOOKUP(I89:AF89,$AM$4:$AO$44,2,FALSE))+AG89*10)*IF(AK89="是",$AZ$4,$AZ$3)</f>
        <v>1448</v>
      </c>
      <c r="E89" s="166">
        <f>SUM($B$4:B89)+SUM($C$4:C89)-SUM($D$4:D89)</f>
        <v>-2344</v>
      </c>
      <c r="F89" s="108" cm="1">
        <f t="array" ref="F89">SUM(VLOOKUP(I89:AF89,$AM$4:$AO$44,3,FALSE))</f>
        <v>1010</v>
      </c>
      <c r="G89" s="97">
        <f>SUM($F$4:F89)+SUM($H$4:H89)</f>
        <v>62845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8" t="s">
        <v>12</v>
      </c>
      <c r="R89" s="21" t="s">
        <v>17</v>
      </c>
      <c r="S89" s="21" t="s">
        <v>17</v>
      </c>
      <c r="T89" s="28" t="s">
        <v>12</v>
      </c>
      <c r="U89" s="21" t="s">
        <v>17</v>
      </c>
      <c r="V89" s="124" t="s">
        <v>87</v>
      </c>
      <c r="W89" s="21" t="s">
        <v>17</v>
      </c>
      <c r="X89" s="110" t="s">
        <v>23</v>
      </c>
      <c r="Y89" s="22" t="s">
        <v>18</v>
      </c>
      <c r="Z89" s="22" t="s">
        <v>18</v>
      </c>
      <c r="AA89" s="22" t="s">
        <v>18</v>
      </c>
      <c r="AB89" s="22" t="s">
        <v>18</v>
      </c>
      <c r="AC89" s="22" t="s">
        <v>18</v>
      </c>
      <c r="AD89" s="22" t="s">
        <v>18</v>
      </c>
      <c r="AE89" s="110" t="s">
        <v>23</v>
      </c>
      <c r="AF89" s="110" t="s">
        <v>23</v>
      </c>
      <c r="AG89" s="111">
        <f t="shared" si="9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45179</v>
      </c>
      <c r="B90" s="108">
        <v>1600</v>
      </c>
      <c r="C90" s="108"/>
      <c r="D90" s="108" cm="1">
        <f t="array" ref="D90">(SUM(VLOOKUP(I90:AF90,$AM$4:$AO$44,2,FALSE))+AG90*10)*IF(AK90="是",$AZ$4,$AZ$3)</f>
        <v>976</v>
      </c>
      <c r="E90" s="166">
        <f>SUM($B$4:B90)+SUM($C$4:C90)-SUM($D$4:D90)</f>
        <v>-1720</v>
      </c>
      <c r="F90" s="108" cm="1">
        <f t="array" ref="F90">SUM(VLOOKUP(I90:AF90,$AM$4:$AO$44,3,FALSE))</f>
        <v>335</v>
      </c>
      <c r="G90" s="97">
        <f>SUM($F$4:F90)+SUM($H$4:H90)</f>
        <v>63180</v>
      </c>
      <c r="H90" s="108">
        <v>0</v>
      </c>
      <c r="I90" s="20" t="s">
        <v>16</v>
      </c>
      <c r="J90" s="28" t="s">
        <v>12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22" t="s">
        <v>18</v>
      </c>
      <c r="Z90" s="22" t="s">
        <v>18</v>
      </c>
      <c r="AA90" s="22" t="s">
        <v>18</v>
      </c>
      <c r="AB90" s="22" t="s">
        <v>18</v>
      </c>
      <c r="AC90" s="22" t="s">
        <v>18</v>
      </c>
      <c r="AD90" s="22" t="s">
        <v>18</v>
      </c>
      <c r="AE90" s="110" t="s">
        <v>23</v>
      </c>
      <c r="AF90" s="110" t="s">
        <v>23</v>
      </c>
      <c r="AG90" s="111">
        <f t="shared" si="9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45180</v>
      </c>
      <c r="B91" s="109">
        <v>1600</v>
      </c>
      <c r="C91" s="109">
        <v>40</v>
      </c>
      <c r="D91" s="108" cm="1">
        <f t="array" ref="D91">(SUM(VLOOKUP(I91:AF91,$AM$4:$AO$44,2,FALSE))+AG91*10)*IF(AK91="是",$AZ$4,$AZ$3)</f>
        <v>1472</v>
      </c>
      <c r="E91" s="166">
        <f>SUM($B$4:B91)+SUM($C$4:C91)-SUM($D$4:D91)</f>
        <v>-1552</v>
      </c>
      <c r="F91" s="108" cm="1">
        <f t="array" ref="F91">SUM(VLOOKUP(I91:AF91,$AM$4:$AO$44,3,FALSE))</f>
        <v>615</v>
      </c>
      <c r="G91" s="97">
        <f>SUM($F$4:F91)+SUM($H$4:H91)</f>
        <v>64095</v>
      </c>
      <c r="H91" s="109">
        <v>300</v>
      </c>
      <c r="I91" s="21" t="s">
        <v>17</v>
      </c>
      <c r="J91" s="21" t="s">
        <v>17</v>
      </c>
      <c r="K91" s="21" t="s">
        <v>17</v>
      </c>
      <c r="L91" s="29" t="s">
        <v>47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45" t="s">
        <v>6</v>
      </c>
      <c r="R91" s="22" t="s">
        <v>18</v>
      </c>
      <c r="S91" s="28" t="s">
        <v>12</v>
      </c>
      <c r="T91" s="21" t="s">
        <v>17</v>
      </c>
      <c r="U91" s="29" t="s">
        <v>47</v>
      </c>
      <c r="V91" s="21" t="s">
        <v>17</v>
      </c>
      <c r="W91" s="28" t="s">
        <v>12</v>
      </c>
      <c r="X91" s="110" t="s">
        <v>23</v>
      </c>
      <c r="Y91" s="22" t="s">
        <v>18</v>
      </c>
      <c r="Z91" s="22" t="s">
        <v>18</v>
      </c>
      <c r="AA91" s="22" t="s">
        <v>18</v>
      </c>
      <c r="AB91" s="22" t="s">
        <v>18</v>
      </c>
      <c r="AC91" s="22" t="s">
        <v>18</v>
      </c>
      <c r="AD91" s="22" t="s">
        <v>18</v>
      </c>
      <c r="AE91" s="110" t="s">
        <v>23</v>
      </c>
      <c r="AF91" s="110" t="s">
        <v>23</v>
      </c>
      <c r="AG91" s="111">
        <f t="shared" si="9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45181</v>
      </c>
      <c r="B92" s="109">
        <v>1600</v>
      </c>
      <c r="C92" s="109">
        <v>40</v>
      </c>
      <c r="D92" s="108" cm="1">
        <f t="array" ref="D92">(SUM(VLOOKUP(I92:AF92,$AM$4:$AO$44,2,FALSE))+AG92*10)*IF(AK92="是",$AZ$4,$AZ$3)</f>
        <v>1472</v>
      </c>
      <c r="E92" s="166">
        <f>SUM($B$4:B92)+SUM($C$4:C92)-SUM($D$4:D92)</f>
        <v>-1384</v>
      </c>
      <c r="F92" s="108" cm="1">
        <f t="array" ref="F92">SUM(VLOOKUP(I92:AF92,$AM$4:$AO$44,3,FALSE))</f>
        <v>485</v>
      </c>
      <c r="G92" s="97">
        <f>SUM($F$4:F92)+SUM($H$4:H92)</f>
        <v>64580</v>
      </c>
      <c r="H92" s="109">
        <v>0</v>
      </c>
      <c r="I92" s="20" t="s">
        <v>16</v>
      </c>
      <c r="J92" s="28" t="s">
        <v>12</v>
      </c>
      <c r="K92" s="20" t="s">
        <v>16</v>
      </c>
      <c r="L92" s="20" t="s">
        <v>16</v>
      </c>
      <c r="M92" s="21" t="s">
        <v>17</v>
      </c>
      <c r="N92" s="21" t="s">
        <v>17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22" t="s">
        <v>18</v>
      </c>
      <c r="Z92" s="22" t="s">
        <v>18</v>
      </c>
      <c r="AA92" s="22" t="s">
        <v>18</v>
      </c>
      <c r="AB92" s="22" t="s">
        <v>18</v>
      </c>
      <c r="AC92" s="22" t="s">
        <v>18</v>
      </c>
      <c r="AD92" s="22" t="s">
        <v>18</v>
      </c>
      <c r="AE92" s="110" t="s">
        <v>23</v>
      </c>
      <c r="AF92" s="110" t="s">
        <v>23</v>
      </c>
      <c r="AG92" s="111">
        <f t="shared" si="9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45182</v>
      </c>
      <c r="B93" s="109">
        <v>1600</v>
      </c>
      <c r="C93" s="109"/>
      <c r="D93" s="108" cm="1">
        <f t="array" ref="D93">(SUM(VLOOKUP(I93:AF93,$AM$4:$AO$44,2,FALSE))+AG93*10)*IF(AK93="是",$AZ$4,$AZ$3)</f>
        <v>216</v>
      </c>
      <c r="E93" s="166">
        <f>SUM($B$4:B93)+SUM($C$4:C93)-SUM($D$4:D93)</f>
        <v>0</v>
      </c>
      <c r="F93" s="108" cm="1">
        <f t="array" ref="F93">SUM(VLOOKUP(I93:AF93,$AM$4:$AO$44,3,FALSE))</f>
        <v>70</v>
      </c>
      <c r="G93" s="97">
        <f>SUM($F$4:F93)+SUM($H$4:H93)</f>
        <v>64850</v>
      </c>
      <c r="H93" s="109">
        <v>200</v>
      </c>
      <c r="I93" s="21" t="s">
        <v>17</v>
      </c>
      <c r="J93" s="28" t="s">
        <v>12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9"/>
        <v>6</v>
      </c>
      <c r="AH93" s="111"/>
      <c r="AI93" s="111">
        <v>4</v>
      </c>
      <c r="AJ93" s="111">
        <v>2</v>
      </c>
      <c r="AK93" s="112" t="s">
        <v>31</v>
      </c>
      <c r="AL93" s="107"/>
    </row>
    <row r="95" spans="1:43">
      <c r="D95" t="s">
        <v>53</v>
      </c>
      <c r="E95" s="18">
        <f>COUNTIF(E4:E93,"&lt;0")</f>
        <v>51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{DA83866B-C5CF-48EF-8291-3728A9CCCC7B}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83866B-C5CF-48EF-8291-3728A9CCCC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45AA-301E-4B6C-B9C4-E6FA5F1C4552}">
  <dimension ref="A1:BC95"/>
  <sheetViews>
    <sheetView zoomScale="85" zoomScaleNormal="85" workbookViewId="0">
      <pane xSplit="8" ySplit="3" topLeftCell="I73" activePane="bottomRight" state="frozen"/>
      <selection pane="topRight" activeCell="I1" sqref="I1"/>
      <selection pane="bottomLeft" activeCell="A4" sqref="A4"/>
      <selection pane="bottomRight" activeCell="N81" sqref="N81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59">
        <f ca="1">(_xlfn.DAYS(TODAY(),A4)+2)/((_xlfn.DAYS(A93,A4))+1)</f>
        <v>1</v>
      </c>
      <c r="B1" s="260"/>
      <c r="C1" s="260"/>
      <c r="D1" s="260"/>
      <c r="E1" s="260"/>
      <c r="F1" s="260"/>
      <c r="G1" s="260"/>
      <c r="H1" s="261"/>
      <c r="I1" s="262" t="s">
        <v>37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4"/>
      <c r="AH1" s="42"/>
      <c r="AI1" s="42"/>
      <c r="AJ1" s="42"/>
      <c r="AM1" s="258" t="s">
        <v>42</v>
      </c>
      <c r="AN1" s="258"/>
      <c r="AO1" s="258"/>
      <c r="AP1" s="207"/>
      <c r="AQ1" s="207"/>
      <c r="AT1" t="s">
        <v>82</v>
      </c>
      <c r="AU1">
        <f>SUM(D4:D93)+150*AU18+160*AU28</f>
        <v>151694</v>
      </c>
    </row>
    <row r="2" spans="1:55" ht="16.149999999999999" customHeight="1" thickBot="1">
      <c r="A2" t="s">
        <v>104</v>
      </c>
      <c r="B2" s="120" t="s">
        <v>84</v>
      </c>
      <c r="C2" s="119" cm="1">
        <f t="array" ref="C2">SUM(VLOOKUP(I4:P12,$AM$4:$AP$44,4,FALSE))+SUM(VLOOKUP(Q4:AF12,$AM$4:$AP$44,4,FALSE))+SUM(AG4:AG12)*10</f>
        <v>3067.9972437303932</v>
      </c>
      <c r="D2" s="266" t="s">
        <v>35</v>
      </c>
      <c r="E2" s="267"/>
      <c r="F2" s="268">
        <f>SUM(F4:F93)+SUM(H4:H93)</f>
        <v>64835</v>
      </c>
      <c r="G2" s="268"/>
      <c r="H2" s="269"/>
      <c r="I2" s="286" t="s">
        <v>48</v>
      </c>
      <c r="J2" s="287"/>
      <c r="K2" s="210" t="s">
        <v>46</v>
      </c>
      <c r="L2" s="210">
        <f>COUNTIF(I4:P93,"&lt;&gt;空")</f>
        <v>219</v>
      </c>
      <c r="M2" s="287" t="s">
        <v>45</v>
      </c>
      <c r="N2" s="287"/>
      <c r="O2" s="287"/>
      <c r="P2" s="288"/>
      <c r="Q2" s="279" t="s">
        <v>49</v>
      </c>
      <c r="R2" s="280"/>
      <c r="S2" s="208" t="s">
        <v>46</v>
      </c>
      <c r="T2" s="208">
        <f>COUNTIF(Q4:X93,"&lt;&gt;空")</f>
        <v>433</v>
      </c>
      <c r="U2" s="280" t="s">
        <v>45</v>
      </c>
      <c r="V2" s="280"/>
      <c r="W2" s="280"/>
      <c r="X2" s="281"/>
      <c r="Y2" s="282" t="s">
        <v>33</v>
      </c>
      <c r="Z2" s="283"/>
      <c r="AA2" s="153" t="s">
        <v>44</v>
      </c>
      <c r="AB2" s="209">
        <f>COUNTIF(Y4:AF93,"&lt;&gt;空")</f>
        <v>410</v>
      </c>
      <c r="AC2" s="283" t="s">
        <v>45</v>
      </c>
      <c r="AD2" s="283"/>
      <c r="AE2" s="283"/>
      <c r="AF2" s="284"/>
      <c r="AG2" s="41">
        <f>SUM(AG4:AG93)</f>
        <v>9</v>
      </c>
      <c r="AH2" s="41">
        <f>SUM(AH4:AH93)</f>
        <v>1</v>
      </c>
      <c r="AI2" s="41">
        <f>SUM(AI4:AI93)</f>
        <v>2</v>
      </c>
      <c r="AJ2" s="41">
        <f>SUM(AJ4:AJ93)</f>
        <v>6</v>
      </c>
      <c r="AK2" s="255" t="s">
        <v>29</v>
      </c>
      <c r="AM2" s="265"/>
      <c r="AN2" s="265"/>
      <c r="AO2" s="265"/>
      <c r="AP2" s="117"/>
      <c r="AQ2" s="117"/>
      <c r="AT2" t="s">
        <v>60</v>
      </c>
      <c r="AU2">
        <f>SUM(AU4:AU29)</f>
        <v>1062</v>
      </c>
      <c r="AW2" t="s">
        <v>61</v>
      </c>
      <c r="AX2" s="4">
        <f>SUM(AV4:AX29)+7000</f>
        <v>64835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105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5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4">
        <v>45093</v>
      </c>
      <c r="B4" s="89">
        <v>800</v>
      </c>
      <c r="C4" s="89">
        <v>4800</v>
      </c>
      <c r="D4" s="89" cm="1">
        <f t="array" ref="D4">(SUM(VLOOKUP(I4:AF4,$AM$4:$AO$44,2,FALSE))+AG4*10)*IF(AK4="是",$AZ$4,$AZ$3)</f>
        <v>1820</v>
      </c>
      <c r="E4" s="89">
        <f>SUM($B$4:B4)+SUM($C$4:C4)-SUM($D$4:D4)</f>
        <v>3780</v>
      </c>
      <c r="F4" s="89" cm="1">
        <f t="array" ref="F4">SUM(VLOOKUP(I4:AF4,$AM$4:$AO$44,3,FALSE))</f>
        <v>465</v>
      </c>
      <c r="G4" s="89">
        <f>SUM($F$4:F4)+SUM($H$4:H4)</f>
        <v>565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95" t="s">
        <v>16</v>
      </c>
      <c r="S4" s="88" t="s">
        <v>23</v>
      </c>
      <c r="T4" s="88" t="s">
        <v>23</v>
      </c>
      <c r="U4" s="88" t="s">
        <v>23</v>
      </c>
      <c r="V4" s="88" t="s">
        <v>23</v>
      </c>
      <c r="W4" s="92" t="s">
        <v>23</v>
      </c>
      <c r="X4" s="92" t="s">
        <v>23</v>
      </c>
      <c r="Y4" s="95" t="s">
        <v>16</v>
      </c>
      <c r="Z4" s="95" t="s">
        <v>16</v>
      </c>
      <c r="AA4" s="95" t="s">
        <v>16</v>
      </c>
      <c r="AB4" s="95" t="s">
        <v>16</v>
      </c>
      <c r="AC4" s="95" t="s">
        <v>16</v>
      </c>
      <c r="AD4" s="211" t="s">
        <v>13</v>
      </c>
      <c r="AE4" s="104" t="s">
        <v>17</v>
      </c>
      <c r="AF4" s="104" t="s">
        <v>17</v>
      </c>
      <c r="AG4" s="93">
        <f>AH4+AI4+AJ4</f>
        <v>0</v>
      </c>
      <c r="AH4" s="93"/>
      <c r="AI4" s="93"/>
      <c r="AJ4" s="93"/>
      <c r="AK4" s="206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9</v>
      </c>
      <c r="AS4" s="19">
        <f t="shared" ref="AS4:AS26" si="1">COUNTIF($Q$4:$X$93,AM4)</f>
        <v>4</v>
      </c>
      <c r="AT4" s="19">
        <f t="shared" ref="AT4:AT26" si="2">COUNTIF($Y$4:$AF$93,AM4)</f>
        <v>7</v>
      </c>
      <c r="AU4" s="19">
        <f>AR4+AS4+AT4</f>
        <v>20</v>
      </c>
      <c r="AV4" s="50">
        <f>AR4*$AO4</f>
        <v>315</v>
      </c>
      <c r="AW4" s="50">
        <f t="shared" ref="AW4:AX19" si="3">AS4*$AO4</f>
        <v>140</v>
      </c>
      <c r="AX4" s="50">
        <f t="shared" si="3"/>
        <v>245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45094</v>
      </c>
      <c r="B5" s="89">
        <v>1600</v>
      </c>
      <c r="C5" s="89">
        <v>1200</v>
      </c>
      <c r="D5" s="89" cm="1">
        <f t="array" ref="D5">(SUM(VLOOKUP(I5:AF5,$AM$4:$AO$44,2,FALSE))+AG5*10)*IF(AK5="是",$AZ$4,$AZ$3)</f>
        <v>850</v>
      </c>
      <c r="E5" s="89">
        <f>SUM($B$4:B5)+SUM($C$4:C5)-SUM($D$4:D5)</f>
        <v>5730</v>
      </c>
      <c r="F5" s="89" cm="1">
        <f t="array" ref="F5">SUM(VLOOKUP(I5:AF5,$AM$4:$AO$44,3,FALSE))</f>
        <v>230</v>
      </c>
      <c r="G5" s="89">
        <f>SUM($F$4:F5)+SUM($H$4:H5)</f>
        <v>1195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04" t="s">
        <v>17</v>
      </c>
      <c r="AA5" s="205" t="s">
        <v>12</v>
      </c>
      <c r="AB5" s="104" t="s">
        <v>17</v>
      </c>
      <c r="AC5" s="104" t="s">
        <v>17</v>
      </c>
      <c r="AD5" s="104" t="s">
        <v>17</v>
      </c>
      <c r="AE5" s="92" t="s">
        <v>23</v>
      </c>
      <c r="AF5" s="92" t="s">
        <v>23</v>
      </c>
      <c r="AG5" s="93">
        <f t="shared" ref="AG5:AG68" si="4">AH5+AI5+AJ5</f>
        <v>0</v>
      </c>
      <c r="AH5" s="93"/>
      <c r="AI5" s="93"/>
      <c r="AJ5" s="93"/>
      <c r="AK5" s="206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13</v>
      </c>
      <c r="AS5" s="19">
        <f t="shared" si="1"/>
        <v>10</v>
      </c>
      <c r="AT5" s="19">
        <f t="shared" si="2"/>
        <v>9</v>
      </c>
      <c r="AU5" s="19">
        <f t="shared" ref="AU5:AU26" si="5">AR5+AS5+AT5</f>
        <v>32</v>
      </c>
      <c r="AV5" s="50">
        <f t="shared" ref="AV5:AX29" si="6">AR5*$AO5</f>
        <v>520</v>
      </c>
      <c r="AW5" s="50">
        <f t="shared" si="3"/>
        <v>400</v>
      </c>
      <c r="AX5" s="50">
        <f t="shared" si="3"/>
        <v>360</v>
      </c>
      <c r="AY5" s="257" t="s">
        <v>34</v>
      </c>
      <c r="AZ5" s="257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204">
        <v>45095</v>
      </c>
      <c r="B6" s="89">
        <v>1600</v>
      </c>
      <c r="C6" s="89"/>
      <c r="D6" s="89" cm="1">
        <f t="array" ref="D6">(SUM(VLOOKUP(I6:AF6,$AM$4:$AO$44,2,FALSE))+AG6*10)*IF(AK6="是",$AZ$4,$AZ$3)</f>
        <v>860</v>
      </c>
      <c r="E6" s="89">
        <f>SUM($B$4:B6)+SUM($C$4:C6)-SUM($D$4:D6)</f>
        <v>6470</v>
      </c>
      <c r="F6" s="89" cm="1">
        <f t="array" ref="F6">SUM(VLOOKUP(I6:AF6,$AM$4:$AO$44,3,FALSE))</f>
        <v>240</v>
      </c>
      <c r="G6" s="89">
        <f>SUM($F$4:F6)+SUM($H$4:H6)</f>
        <v>1435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04" t="s">
        <v>17</v>
      </c>
      <c r="Z6" s="104" t="s">
        <v>17</v>
      </c>
      <c r="AA6" s="170" t="s">
        <v>6</v>
      </c>
      <c r="AB6" s="169" t="s">
        <v>18</v>
      </c>
      <c r="AC6" s="169" t="s">
        <v>18</v>
      </c>
      <c r="AD6" s="205" t="s">
        <v>12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206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171</v>
      </c>
      <c r="AS6" s="19">
        <f t="shared" si="1"/>
        <v>22</v>
      </c>
      <c r="AT6" s="19">
        <f t="shared" si="2"/>
        <v>34</v>
      </c>
      <c r="AU6" s="19">
        <f t="shared" si="5"/>
        <v>227</v>
      </c>
      <c r="AV6" s="50">
        <f t="shared" si="6"/>
        <v>7695</v>
      </c>
      <c r="AW6" s="50">
        <f t="shared" si="3"/>
        <v>990</v>
      </c>
      <c r="AX6" s="50">
        <f t="shared" si="3"/>
        <v>1530</v>
      </c>
      <c r="AY6" s="258"/>
      <c r="AZ6" s="258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204">
        <v>45096</v>
      </c>
      <c r="B7" s="88">
        <v>1600</v>
      </c>
      <c r="C7" s="88">
        <v>50</v>
      </c>
      <c r="D7" s="89" cm="1">
        <f t="array" ref="D7">(SUM(VLOOKUP(I7:AF7,$AM$4:$AO$44,2,FALSE))+AG7*10)*IF(AK7="是",$AZ$4,$AZ$3)</f>
        <v>1750</v>
      </c>
      <c r="E7" s="89">
        <f>SUM($B$4:B7)+SUM($C$4:C7)-SUM($D$4:D7)</f>
        <v>6370</v>
      </c>
      <c r="F7" s="89" cm="1">
        <f t="array" ref="F7">SUM(VLOOKUP(I7:AF7,$AM$4:$AO$44,3,FALSE))</f>
        <v>480</v>
      </c>
      <c r="G7" s="89">
        <f>SUM($F$4:F7)+SUM($H$4:H7)</f>
        <v>2215</v>
      </c>
      <c r="H7" s="88">
        <v>300</v>
      </c>
      <c r="I7" s="88" t="s">
        <v>23</v>
      </c>
      <c r="J7" s="98" t="s">
        <v>89</v>
      </c>
      <c r="K7" s="169" t="s">
        <v>18</v>
      </c>
      <c r="L7" s="169" t="s">
        <v>18</v>
      </c>
      <c r="M7" s="169" t="s">
        <v>18</v>
      </c>
      <c r="N7" s="169" t="s">
        <v>18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169" t="s">
        <v>18</v>
      </c>
      <c r="Z7" s="169" t="s">
        <v>18</v>
      </c>
      <c r="AA7" s="169" t="s">
        <v>18</v>
      </c>
      <c r="AB7" s="169" t="s">
        <v>18</v>
      </c>
      <c r="AC7" s="205" t="s">
        <v>12</v>
      </c>
      <c r="AD7" s="169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206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179</v>
      </c>
      <c r="AT7" s="19">
        <f t="shared" si="2"/>
        <v>89</v>
      </c>
      <c r="AU7" s="143">
        <f t="shared" si="5"/>
        <v>268</v>
      </c>
      <c r="AV7" s="50">
        <f t="shared" si="6"/>
        <v>0</v>
      </c>
      <c r="AW7" s="50">
        <f t="shared" si="3"/>
        <v>8950</v>
      </c>
      <c r="AX7" s="50">
        <f t="shared" si="3"/>
        <v>4450</v>
      </c>
      <c r="AY7" s="258"/>
      <c r="AZ7" s="258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204">
        <v>45097</v>
      </c>
      <c r="B8" s="88">
        <v>1600</v>
      </c>
      <c r="C8" s="88"/>
      <c r="D8" s="89" cm="1">
        <f t="array" ref="D8">(SUM(VLOOKUP(I8:AF8,$AM$4:$AO$44,2,FALSE))+AG8*10)*IF(AK8="是",$AZ$4,$AZ$3)</f>
        <v>2090</v>
      </c>
      <c r="E8" s="89">
        <f>SUM($B$4:B8)+SUM($C$4:C8)-SUM($D$4:D8)</f>
        <v>5880</v>
      </c>
      <c r="F8" s="89" cm="1">
        <f t="array" ref="F8">SUM(VLOOKUP(I8:AF8,$AM$4:$AO$44,3,FALSE))</f>
        <v>585</v>
      </c>
      <c r="G8" s="89">
        <f>SUM($F$4:F8)+SUM($H$4:H8)</f>
        <v>2800</v>
      </c>
      <c r="H8" s="88">
        <v>0</v>
      </c>
      <c r="I8" s="169" t="s">
        <v>18</v>
      </c>
      <c r="J8" s="169" t="s">
        <v>18</v>
      </c>
      <c r="K8" s="169" t="s">
        <v>18</v>
      </c>
      <c r="L8" s="169" t="s">
        <v>18</v>
      </c>
      <c r="M8" s="98" t="s">
        <v>89</v>
      </c>
      <c r="N8" s="169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69" t="s">
        <v>18</v>
      </c>
      <c r="Z8" s="169" t="s">
        <v>18</v>
      </c>
      <c r="AA8" s="169" t="s">
        <v>18</v>
      </c>
      <c r="AB8" s="211" t="s">
        <v>13</v>
      </c>
      <c r="AC8" s="169" t="s">
        <v>18</v>
      </c>
      <c r="AD8" s="98" t="s">
        <v>89</v>
      </c>
      <c r="AE8" s="169" t="s">
        <v>18</v>
      </c>
      <c r="AF8" s="169" t="s">
        <v>18</v>
      </c>
      <c r="AG8" s="93">
        <f t="shared" si="4"/>
        <v>3</v>
      </c>
      <c r="AH8" s="93"/>
      <c r="AI8" s="93"/>
      <c r="AJ8" s="93">
        <v>3</v>
      </c>
      <c r="AK8" s="206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104</v>
      </c>
      <c r="AT8" s="19">
        <f t="shared" si="2"/>
        <v>132</v>
      </c>
      <c r="AU8" s="143">
        <f t="shared" si="5"/>
        <v>236</v>
      </c>
      <c r="AV8" s="50">
        <f t="shared" si="6"/>
        <v>0</v>
      </c>
      <c r="AW8" s="50">
        <f t="shared" si="3"/>
        <v>5720</v>
      </c>
      <c r="AX8" s="50">
        <f t="shared" si="3"/>
        <v>7260</v>
      </c>
      <c r="AY8" s="258"/>
      <c r="AZ8" s="258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204">
        <v>45098</v>
      </c>
      <c r="B9" s="88">
        <v>1600</v>
      </c>
      <c r="C9" s="88"/>
      <c r="D9" s="89" cm="1">
        <f t="array" ref="D9">(SUM(VLOOKUP(I9:AF9,$AM$4:$AO$44,2,FALSE))+AG9*10)*IF(AK9="是",$AZ$4,$AZ$3)</f>
        <v>2000</v>
      </c>
      <c r="E9" s="89">
        <f>SUM($B$4:B9)+SUM($C$4:C9)-SUM($D$4:D9)</f>
        <v>5480</v>
      </c>
      <c r="F9" s="89" cm="1">
        <f t="array" ref="F9">SUM(VLOOKUP(I9:AF9,$AM$4:$AO$44,3,FALSE))</f>
        <v>780</v>
      </c>
      <c r="G9" s="89">
        <f>SUM($F$4:F9)+SUM($H$4:H9)</f>
        <v>3780</v>
      </c>
      <c r="H9" s="88">
        <v>200</v>
      </c>
      <c r="I9" s="169" t="s">
        <v>18</v>
      </c>
      <c r="J9" s="169" t="s">
        <v>18</v>
      </c>
      <c r="K9" s="169" t="s">
        <v>18</v>
      </c>
      <c r="L9" s="205" t="s">
        <v>12</v>
      </c>
      <c r="M9" s="169" t="s">
        <v>18</v>
      </c>
      <c r="N9" s="169" t="s">
        <v>18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69" t="s">
        <v>18</v>
      </c>
      <c r="Z9" s="169" t="s">
        <v>18</v>
      </c>
      <c r="AA9" s="169" t="s">
        <v>18</v>
      </c>
      <c r="AB9" s="169" t="s">
        <v>18</v>
      </c>
      <c r="AC9" s="169" t="s">
        <v>18</v>
      </c>
      <c r="AD9" s="98" t="s">
        <v>88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206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82</v>
      </c>
      <c r="AT9" s="19">
        <f t="shared" si="2"/>
        <v>112</v>
      </c>
      <c r="AU9" s="143">
        <f t="shared" si="5"/>
        <v>194</v>
      </c>
      <c r="AV9" s="50">
        <f t="shared" si="6"/>
        <v>0</v>
      </c>
      <c r="AW9" s="50">
        <f t="shared" si="3"/>
        <v>4920</v>
      </c>
      <c r="AX9" s="50">
        <f t="shared" si="3"/>
        <v>6720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204">
        <v>45099</v>
      </c>
      <c r="B10" s="88">
        <v>1600</v>
      </c>
      <c r="C10" s="88"/>
      <c r="D10" s="89" cm="1">
        <f t="array" ref="D10">(SUM(VLOOKUP(I10:AF10,$AM$4:$AO$44,2,FALSE))+AG10*10)*IF(AK10="是",$AZ$4,$AZ$3)</f>
        <v>1940</v>
      </c>
      <c r="E10" s="89">
        <f>SUM($B$4:B10)+SUM($C$4:C10)-SUM($D$4:D10)</f>
        <v>5140</v>
      </c>
      <c r="F10" s="89" cm="1">
        <f t="array" ref="F10">SUM(VLOOKUP(I10:AF10,$AM$4:$AO$44,3,FALSE))</f>
        <v>560</v>
      </c>
      <c r="G10" s="89">
        <f>SUM($F$4:F10)+SUM($H$4:H10)</f>
        <v>4340</v>
      </c>
      <c r="H10" s="88">
        <v>0</v>
      </c>
      <c r="I10" s="169" t="s">
        <v>18</v>
      </c>
      <c r="J10" s="211" t="s">
        <v>13</v>
      </c>
      <c r="K10" s="169" t="s">
        <v>18</v>
      </c>
      <c r="L10" s="169" t="s">
        <v>18</v>
      </c>
      <c r="M10" s="169" t="s">
        <v>18</v>
      </c>
      <c r="N10" s="98" t="s">
        <v>89</v>
      </c>
      <c r="O10" s="169" t="s">
        <v>18</v>
      </c>
      <c r="P10" s="169" t="s">
        <v>18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169" t="s">
        <v>18</v>
      </c>
      <c r="Z10" s="205" t="s">
        <v>12</v>
      </c>
      <c r="AA10" s="169" t="s">
        <v>18</v>
      </c>
      <c r="AB10" s="169" t="s">
        <v>18</v>
      </c>
      <c r="AC10" s="95" t="s">
        <v>16</v>
      </c>
      <c r="AD10" s="169" t="s">
        <v>18</v>
      </c>
      <c r="AE10" s="92" t="s">
        <v>23</v>
      </c>
      <c r="AF10" s="92" t="s">
        <v>23</v>
      </c>
      <c r="AG10" s="93">
        <f t="shared" si="4"/>
        <v>2</v>
      </c>
      <c r="AH10" s="93"/>
      <c r="AI10" s="93"/>
      <c r="AJ10" s="93">
        <v>2</v>
      </c>
      <c r="AK10" s="206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204">
        <v>45100</v>
      </c>
      <c r="B11" s="88">
        <v>1600</v>
      </c>
      <c r="C11" s="88"/>
      <c r="D11" s="89" cm="1">
        <f t="array" ref="D11">(SUM(VLOOKUP(I11:AF11,$AM$4:$AO$44,2,FALSE))+AG11*10)*IF(AK11="是",$AZ$4,$AZ$3)</f>
        <v>2000</v>
      </c>
      <c r="E11" s="89">
        <f>SUM($B$4:B11)+SUM($C$4:C11)-SUM($D$4:D11)</f>
        <v>4740</v>
      </c>
      <c r="F11" s="89" cm="1">
        <f t="array" ref="F11">SUM(VLOOKUP(I11:AF11,$AM$4:$AO$44,3,FALSE))</f>
        <v>780</v>
      </c>
      <c r="G11" s="89">
        <f>SUM($F$4:F11)+SUM($H$4:H11)</f>
        <v>5120</v>
      </c>
      <c r="H11" s="88">
        <v>0</v>
      </c>
      <c r="I11" s="169" t="s">
        <v>18</v>
      </c>
      <c r="J11" s="169" t="s">
        <v>18</v>
      </c>
      <c r="K11" s="169" t="s">
        <v>18</v>
      </c>
      <c r="L11" s="169" t="s">
        <v>18</v>
      </c>
      <c r="M11" s="169" t="s">
        <v>18</v>
      </c>
      <c r="N11" s="205" t="s">
        <v>12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169" t="s">
        <v>18</v>
      </c>
      <c r="Z11" s="98" t="s">
        <v>88</v>
      </c>
      <c r="AA11" s="169" t="s">
        <v>18</v>
      </c>
      <c r="AB11" s="169" t="s">
        <v>18</v>
      </c>
      <c r="AC11" s="169" t="s">
        <v>18</v>
      </c>
      <c r="AD11" s="169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206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1</v>
      </c>
      <c r="AT11" s="19">
        <f t="shared" si="2"/>
        <v>1</v>
      </c>
      <c r="AU11" s="143">
        <f t="shared" si="5"/>
        <v>3</v>
      </c>
      <c r="AV11" s="50">
        <f t="shared" si="6"/>
        <v>40</v>
      </c>
      <c r="AW11" s="50">
        <f t="shared" si="3"/>
        <v>40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 ht="15.75" thickBot="1">
      <c r="A12" s="204">
        <v>45101</v>
      </c>
      <c r="B12" s="88">
        <v>1600</v>
      </c>
      <c r="C12" s="88"/>
      <c r="D12" s="89" cm="1">
        <f t="array" ref="D12">(SUM(VLOOKUP(I12:AF12,$AM$4:$AO$44,2,FALSE))+AG12*10)*IF(AK12="是",$AZ$4,$AZ$3)</f>
        <v>1590</v>
      </c>
      <c r="E12" s="89">
        <f>SUM($B$4:B12)+SUM($C$4:C12)-SUM($D$4:D12)</f>
        <v>4750</v>
      </c>
      <c r="F12" s="89" cm="1">
        <f t="array" ref="F12">SUM(VLOOKUP(I12:AF12,$AM$4:$AO$44,3,FALSE))</f>
        <v>650</v>
      </c>
      <c r="G12" s="89">
        <f>SUM($F$4:F12)+SUM($H$4:H12)</f>
        <v>5770</v>
      </c>
      <c r="H12" s="88">
        <v>0</v>
      </c>
      <c r="I12" s="169" t="s">
        <v>18</v>
      </c>
      <c r="J12" s="169" t="s">
        <v>18</v>
      </c>
      <c r="K12" s="169" t="s">
        <v>18</v>
      </c>
      <c r="L12" s="98" t="s">
        <v>88</v>
      </c>
      <c r="M12" s="88" t="s">
        <v>23</v>
      </c>
      <c r="N12" s="88" t="s">
        <v>23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95" t="s">
        <v>16</v>
      </c>
      <c r="Z12" s="169" t="s">
        <v>18</v>
      </c>
      <c r="AA12" s="169" t="s">
        <v>18</v>
      </c>
      <c r="AB12" s="169" t="s">
        <v>18</v>
      </c>
      <c r="AC12" s="98" t="s">
        <v>89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206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3</v>
      </c>
      <c r="AS12" s="19">
        <f t="shared" si="1"/>
        <v>3</v>
      </c>
      <c r="AT12" s="19">
        <f t="shared" si="2"/>
        <v>0</v>
      </c>
      <c r="AU12" s="143">
        <f t="shared" si="5"/>
        <v>6</v>
      </c>
      <c r="AV12" s="50">
        <f t="shared" si="6"/>
        <v>135</v>
      </c>
      <c r="AW12" s="50">
        <f t="shared" si="3"/>
        <v>135</v>
      </c>
      <c r="AX12" s="50">
        <f t="shared" si="3"/>
        <v>0</v>
      </c>
      <c r="BA12" s="53">
        <f t="shared" si="8"/>
        <v>0.375</v>
      </c>
      <c r="BB12">
        <f t="shared" si="7"/>
        <v>120</v>
      </c>
      <c r="BC12">
        <v>6</v>
      </c>
    </row>
    <row r="13" spans="1:55" ht="15.75" thickBot="1">
      <c r="A13" s="204">
        <v>45102</v>
      </c>
      <c r="B13" s="88">
        <v>1600</v>
      </c>
      <c r="C13" s="88"/>
      <c r="D13" s="89" cm="1">
        <f t="array" ref="D13">(SUM(VLOOKUP(I13:AF13,$AM$4:$AO$44,2,FALSE))+AG13*10)*IF(AK13="是",$AZ$4,$AZ$3)</f>
        <v>1696</v>
      </c>
      <c r="E13" s="89">
        <f>SUM($B$4:B13)+SUM($C$4:C13)-SUM($D$4:D13)</f>
        <v>4654</v>
      </c>
      <c r="F13" s="89" cm="1">
        <f t="array" ref="F13">SUM(VLOOKUP(I13:AF13,$AM$4:$AO$44,3,FALSE))</f>
        <v>580</v>
      </c>
      <c r="G13" s="89">
        <f>SUM($F$4:F13)+SUM($H$4:H13)</f>
        <v>6350</v>
      </c>
      <c r="H13" s="88">
        <v>0</v>
      </c>
      <c r="I13" s="169" t="s">
        <v>18</v>
      </c>
      <c r="J13" s="169" t="s">
        <v>18</v>
      </c>
      <c r="K13" s="169" t="s">
        <v>18</v>
      </c>
      <c r="L13" s="169" t="s">
        <v>18</v>
      </c>
      <c r="M13" s="169" t="s">
        <v>18</v>
      </c>
      <c r="N13" s="169" t="s">
        <v>18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205" t="s">
        <v>12</v>
      </c>
      <c r="U13" s="88" t="s">
        <v>23</v>
      </c>
      <c r="V13" s="88" t="s">
        <v>23</v>
      </c>
      <c r="W13" s="92" t="s">
        <v>23</v>
      </c>
      <c r="X13" s="92" t="s">
        <v>23</v>
      </c>
      <c r="Y13" s="212" t="s">
        <v>18</v>
      </c>
      <c r="Z13" s="212" t="s">
        <v>18</v>
      </c>
      <c r="AA13" s="212" t="s">
        <v>18</v>
      </c>
      <c r="AB13" s="212" t="s">
        <v>18</v>
      </c>
      <c r="AC13" s="213" t="s">
        <v>19</v>
      </c>
      <c r="AD13" s="213" t="s">
        <v>19</v>
      </c>
      <c r="AE13" s="214" t="s">
        <v>23</v>
      </c>
      <c r="AF13" s="214" t="s">
        <v>23</v>
      </c>
      <c r="AG13" s="93">
        <f t="shared" si="4"/>
        <v>1</v>
      </c>
      <c r="AH13" s="93"/>
      <c r="AI13" s="93">
        <v>1</v>
      </c>
      <c r="AJ13" s="93"/>
      <c r="AK13" s="94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2</v>
      </c>
      <c r="AT13" s="19">
        <f t="shared" si="2"/>
        <v>1</v>
      </c>
      <c r="AU13" s="143">
        <f t="shared" si="5"/>
        <v>3</v>
      </c>
      <c r="AV13" s="50">
        <f t="shared" si="6"/>
        <v>0</v>
      </c>
      <c r="AW13" s="50">
        <f t="shared" si="3"/>
        <v>100</v>
      </c>
      <c r="AX13" s="50">
        <f t="shared" si="3"/>
        <v>50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45103</v>
      </c>
      <c r="B14" s="108">
        <v>1600</v>
      </c>
      <c r="C14" s="108">
        <v>40</v>
      </c>
      <c r="D14" s="108" cm="1">
        <f t="array" ref="D14">(SUM(VLOOKUP(I14:AF14,$AM$4:$AO$44,2,FALSE))+AG14*10)*IF(AK14="是",$AZ$4,$AZ$3)</f>
        <v>2560</v>
      </c>
      <c r="E14" s="166">
        <f>SUM($B$4:B14)+SUM($C$4:C14)-SUM($D$4:D14)</f>
        <v>3734</v>
      </c>
      <c r="F14" s="108" cm="1">
        <f t="array" ref="F14">SUM(VLOOKUP(I14:AF14,$AM$4:$AO$44,3,FALSE))</f>
        <v>880</v>
      </c>
      <c r="G14" s="97">
        <f>SUM($F$4:F14)+SUM($H$4:H14)</f>
        <v>7530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85" t="s">
        <v>19</v>
      </c>
      <c r="R14" s="185" t="s">
        <v>19</v>
      </c>
      <c r="S14" s="185" t="s">
        <v>19</v>
      </c>
      <c r="T14" s="185" t="s">
        <v>19</v>
      </c>
      <c r="U14" s="185" t="s">
        <v>19</v>
      </c>
      <c r="V14" s="185" t="s">
        <v>19</v>
      </c>
      <c r="W14" s="110" t="s">
        <v>23</v>
      </c>
      <c r="X14" s="110" t="s">
        <v>23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4" t="s">
        <v>20</v>
      </c>
      <c r="AD14" s="24" t="s">
        <v>20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1</v>
      </c>
      <c r="AT14" s="19">
        <f t="shared" si="2"/>
        <v>2</v>
      </c>
      <c r="AU14" s="143">
        <f t="shared" si="5"/>
        <v>3</v>
      </c>
      <c r="AV14" s="50">
        <f t="shared" si="6"/>
        <v>0</v>
      </c>
      <c r="AW14" s="50">
        <f t="shared" si="3"/>
        <v>55</v>
      </c>
      <c r="AX14" s="50">
        <f t="shared" si="3"/>
        <v>110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 ht="15.75" thickBot="1">
      <c r="A15" s="115">
        <v>45104</v>
      </c>
      <c r="B15" s="108">
        <v>1600</v>
      </c>
      <c r="C15" s="108"/>
      <c r="D15" s="108" cm="1">
        <f t="array" ref="D15">(SUM(VLOOKUP(I15:AF15,$AM$4:$AO$44,2,FALSE))+AG15*10)*IF(AK15="是",$AZ$4,$AZ$3)</f>
        <v>2592</v>
      </c>
      <c r="E15" s="166">
        <f>SUM($B$4:B15)+SUM($C$4:C15)-SUM($D$4:D15)</f>
        <v>2742</v>
      </c>
      <c r="F15" s="108" cm="1">
        <f t="array" ref="F15">SUM(VLOOKUP(I15:AF15,$AM$4:$AO$44,3,FALSE))</f>
        <v>900</v>
      </c>
      <c r="G15" s="97">
        <f>SUM($F$4:F15)+SUM($H$4:H15)</f>
        <v>8430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23" t="s">
        <v>19</v>
      </c>
      <c r="R15" s="23" t="s">
        <v>19</v>
      </c>
      <c r="S15" s="23" t="s">
        <v>19</v>
      </c>
      <c r="T15" s="23" t="s">
        <v>19</v>
      </c>
      <c r="U15" s="23" t="s">
        <v>19</v>
      </c>
      <c r="V15" s="23" t="s">
        <v>19</v>
      </c>
      <c r="W15" s="110" t="s">
        <v>23</v>
      </c>
      <c r="X15" s="110" t="s">
        <v>23</v>
      </c>
      <c r="Y15" s="190" t="s">
        <v>20</v>
      </c>
      <c r="Z15" s="190" t="s">
        <v>20</v>
      </c>
      <c r="AA15" s="190" t="s">
        <v>20</v>
      </c>
      <c r="AB15" s="190" t="s">
        <v>20</v>
      </c>
      <c r="AC15" s="190" t="s">
        <v>20</v>
      </c>
      <c r="AD15" s="190" t="s">
        <v>20</v>
      </c>
      <c r="AE15" s="189" t="s">
        <v>23</v>
      </c>
      <c r="AF15" s="189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 ht="15.75" thickBot="1">
      <c r="A16" s="115">
        <v>45105</v>
      </c>
      <c r="B16" s="108">
        <v>1600</v>
      </c>
      <c r="C16" s="108"/>
      <c r="D16" s="108" cm="1">
        <f t="array" ref="D16">(SUM(VLOOKUP(I16:AF16,$AM$4:$AO$44,2,FALSE))+AG16*10)*IF(AK16="是",$AZ$4,$AZ$3)</f>
        <v>1528</v>
      </c>
      <c r="E16" s="166">
        <f>SUM($B$4:B16)+SUM($C$4:C16)-SUM($D$4:D16)</f>
        <v>2814</v>
      </c>
      <c r="F16" s="108" cm="1">
        <f t="array" ref="F16">SUM(VLOOKUP(I16:AF16,$AM$4:$AO$44,3,FALSE))</f>
        <v>560</v>
      </c>
      <c r="G16" s="97">
        <f>SUM($F$4:F16)+SUM($H$4:H16)</f>
        <v>9190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91" t="s">
        <v>19</v>
      </c>
      <c r="R16" s="191" t="s">
        <v>19</v>
      </c>
      <c r="S16" s="191" t="s">
        <v>19</v>
      </c>
      <c r="T16" s="191" t="s">
        <v>19</v>
      </c>
      <c r="U16" s="192" t="s">
        <v>12</v>
      </c>
      <c r="V16" s="188" t="s">
        <v>23</v>
      </c>
      <c r="W16" s="189" t="s">
        <v>23</v>
      </c>
      <c r="X16" s="189" t="s">
        <v>23</v>
      </c>
      <c r="Y16" s="180" t="s">
        <v>20</v>
      </c>
      <c r="Z16" s="180" t="s">
        <v>20</v>
      </c>
      <c r="AA16" s="180" t="s">
        <v>20</v>
      </c>
      <c r="AB16" s="180" t="s">
        <v>20</v>
      </c>
      <c r="AC16" s="180" t="s">
        <v>20</v>
      </c>
      <c r="AD16" s="180" t="s">
        <v>20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5"/>
        <v>0</v>
      </c>
      <c r="AV16" s="50">
        <f t="shared" si="6"/>
        <v>0</v>
      </c>
      <c r="AW16" s="50">
        <f t="shared" si="3"/>
        <v>0</v>
      </c>
      <c r="AX16" s="50">
        <f t="shared" si="3"/>
        <v>0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45106</v>
      </c>
      <c r="B17" s="108">
        <v>1600</v>
      </c>
      <c r="C17" s="108"/>
      <c r="D17" s="108" cm="1">
        <f t="array" ref="D17">(SUM(VLOOKUP(I17:AF17,$AM$4:$AO$44,2,FALSE))+AG17*10)*IF(AK17="是",$AZ$4,$AZ$3)</f>
        <v>1776</v>
      </c>
      <c r="E17" s="166">
        <f>SUM($B$4:B17)+SUM($C$4:C17)-SUM($D$4:D17)</f>
        <v>2638</v>
      </c>
      <c r="F17" s="108" cm="1">
        <f t="array" ref="F17">SUM(VLOOKUP(I17:AF17,$AM$4:$AO$44,3,FALSE))</f>
        <v>630</v>
      </c>
      <c r="G17" s="97">
        <f>SUM($F$4:F17)+SUM($H$4:H17)</f>
        <v>9820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81" t="s">
        <v>19</v>
      </c>
      <c r="R17" s="181" t="s">
        <v>19</v>
      </c>
      <c r="S17" s="181" t="s">
        <v>19</v>
      </c>
      <c r="T17" s="181" t="s">
        <v>19</v>
      </c>
      <c r="U17" s="181" t="s">
        <v>19</v>
      </c>
      <c r="V17" s="181" t="s">
        <v>19</v>
      </c>
      <c r="W17" s="110" t="s">
        <v>23</v>
      </c>
      <c r="X17" s="110" t="s">
        <v>23</v>
      </c>
      <c r="Y17" s="24" t="s">
        <v>20</v>
      </c>
      <c r="Z17" s="24" t="s">
        <v>20</v>
      </c>
      <c r="AA17" s="24" t="s">
        <v>20</v>
      </c>
      <c r="AB17" s="24" t="s">
        <v>20</v>
      </c>
      <c r="AC17" s="24" t="s">
        <v>20</v>
      </c>
      <c r="AD17" s="24" t="s">
        <v>20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14</v>
      </c>
      <c r="AS17" s="19">
        <f t="shared" si="1"/>
        <v>15</v>
      </c>
      <c r="AT17" s="19">
        <f t="shared" si="2"/>
        <v>10</v>
      </c>
      <c r="AU17" s="143">
        <f t="shared" si="5"/>
        <v>39</v>
      </c>
      <c r="AV17" s="50">
        <f t="shared" si="6"/>
        <v>420</v>
      </c>
      <c r="AW17" s="50">
        <f t="shared" si="3"/>
        <v>450</v>
      </c>
      <c r="AX17" s="50">
        <f t="shared" si="3"/>
        <v>300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45107</v>
      </c>
      <c r="B18" s="108">
        <v>1600</v>
      </c>
      <c r="C18" s="108"/>
      <c r="D18" s="108" cm="1">
        <f t="array" ref="D18">(SUM(VLOOKUP(I18:AF18,$AM$4:$AO$44,2,FALSE))+AG18*10)*IF(AK18="是",$AZ$4,$AZ$3)</f>
        <v>1776</v>
      </c>
      <c r="E18" s="166">
        <f>SUM($B$4:B18)+SUM($C$4:C18)-SUM($D$4:D18)</f>
        <v>2462</v>
      </c>
      <c r="F18" s="108" cm="1">
        <f t="array" ref="F18">SUM(VLOOKUP(I18:AF18,$AM$4:$AO$44,3,FALSE))</f>
        <v>630</v>
      </c>
      <c r="G18" s="97">
        <f>SUM($F$4:F18)+SUM($H$4:H18)</f>
        <v>10450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3" t="s">
        <v>19</v>
      </c>
      <c r="R18" s="23" t="s">
        <v>19</v>
      </c>
      <c r="S18" s="23" t="s">
        <v>19</v>
      </c>
      <c r="T18" s="23" t="s">
        <v>19</v>
      </c>
      <c r="U18" s="23" t="s">
        <v>19</v>
      </c>
      <c r="V18" s="23" t="s">
        <v>19</v>
      </c>
      <c r="W18" s="110" t="s">
        <v>23</v>
      </c>
      <c r="X18" s="110" t="s">
        <v>23</v>
      </c>
      <c r="Y18" s="24" t="s">
        <v>20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1</v>
      </c>
      <c r="AS18" s="19">
        <f t="shared" si="1"/>
        <v>0</v>
      </c>
      <c r="AT18" s="19">
        <f t="shared" si="2"/>
        <v>2</v>
      </c>
      <c r="AU18" s="143">
        <f t="shared" si="5"/>
        <v>3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45108</v>
      </c>
      <c r="B19" s="108">
        <v>1600</v>
      </c>
      <c r="C19" s="108"/>
      <c r="D19" s="108" cm="1">
        <f t="array" ref="D19">(SUM(VLOOKUP(I19:AF19,$AM$4:$AO$44,2,FALSE))+AG19*10)*IF(AK19="是",$AZ$4,$AZ$3)</f>
        <v>1776</v>
      </c>
      <c r="E19" s="166">
        <f>SUM($B$4:B19)+SUM($C$4:C19)-SUM($D$4:D19)</f>
        <v>2286</v>
      </c>
      <c r="F19" s="108" cm="1">
        <f t="array" ref="F19">SUM(VLOOKUP(I19:AF19,$AM$4:$AO$44,3,FALSE))</f>
        <v>630</v>
      </c>
      <c r="G19" s="97">
        <f>SUM($F$4:F19)+SUM($H$4:H19)</f>
        <v>11080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3" t="s">
        <v>19</v>
      </c>
      <c r="R19" s="23" t="s">
        <v>19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1</v>
      </c>
      <c r="AS19" s="19">
        <f t="shared" si="1"/>
        <v>0</v>
      </c>
      <c r="AT19" s="19">
        <f t="shared" si="2"/>
        <v>2</v>
      </c>
      <c r="AU19" s="143">
        <f t="shared" si="5"/>
        <v>3</v>
      </c>
      <c r="AV19" s="50">
        <f t="shared" si="6"/>
        <v>300</v>
      </c>
      <c r="AW19" s="50">
        <f t="shared" si="3"/>
        <v>0</v>
      </c>
      <c r="AX19" s="50">
        <f t="shared" si="3"/>
        <v>600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45109</v>
      </c>
      <c r="B20" s="108">
        <v>1600</v>
      </c>
      <c r="C20" s="108"/>
      <c r="D20" s="108" cm="1">
        <f t="array" ref="D20">(SUM(VLOOKUP(I20:AF20,$AM$4:$AO$44,2,FALSE))+AG20*10)*IF(AK20="是",$AZ$4,$AZ$3)</f>
        <v>1768</v>
      </c>
      <c r="E20" s="166">
        <f>SUM($B$4:B20)+SUM($C$4:C20)-SUM($D$4:D20)</f>
        <v>2118</v>
      </c>
      <c r="F20" s="108" cm="1">
        <f t="array" ref="F20">SUM(VLOOKUP(I20:AF20,$AM$4:$AO$44,3,FALSE))</f>
        <v>625</v>
      </c>
      <c r="G20" s="97">
        <f>SUM($F$4:F20)+SUM($H$4:H20)</f>
        <v>11705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3" t="s">
        <v>19</v>
      </c>
      <c r="R20" s="23" t="s">
        <v>19</v>
      </c>
      <c r="S20" s="23" t="s">
        <v>19</v>
      </c>
      <c r="T20" s="22" t="s">
        <v>18</v>
      </c>
      <c r="U20" s="23" t="s">
        <v>19</v>
      </c>
      <c r="V20" s="23" t="s">
        <v>19</v>
      </c>
      <c r="W20" s="110" t="s">
        <v>23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3</v>
      </c>
      <c r="AS20" s="19">
        <f t="shared" si="1"/>
        <v>0</v>
      </c>
      <c r="AT20" s="19">
        <f t="shared" si="2"/>
        <v>2</v>
      </c>
      <c r="AU20" s="143">
        <f t="shared" si="5"/>
        <v>5</v>
      </c>
      <c r="AV20" s="50">
        <f t="shared" si="6"/>
        <v>135</v>
      </c>
      <c r="AW20" s="50">
        <f t="shared" si="6"/>
        <v>0</v>
      </c>
      <c r="AX20" s="50">
        <f t="shared" si="6"/>
        <v>90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45110</v>
      </c>
      <c r="B21" s="109">
        <v>1600</v>
      </c>
      <c r="C21" s="109"/>
      <c r="D21" s="108" cm="1">
        <f t="array" ref="D21">(SUM(VLOOKUP(I21:AF21,$AM$4:$AO$44,2,FALSE))+AG21*10)*IF(AK21="是",$AZ$4,$AZ$3)</f>
        <v>1776</v>
      </c>
      <c r="E21" s="166">
        <f>SUM($B$4:B21)+SUM($C$4:C21)-SUM($D$4:D21)</f>
        <v>1942</v>
      </c>
      <c r="F21" s="108" cm="1">
        <f t="array" ref="F21">SUM(VLOOKUP(I21:AF21,$AM$4:$AO$44,3,FALSE))</f>
        <v>630</v>
      </c>
      <c r="G21" s="97">
        <f>SUM($F$4:F21)+SUM($H$4:H21)</f>
        <v>12535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3" t="s">
        <v>19</v>
      </c>
      <c r="R21" s="23" t="s">
        <v>19</v>
      </c>
      <c r="S21" s="23" t="s">
        <v>19</v>
      </c>
      <c r="T21" s="23" t="s">
        <v>19</v>
      </c>
      <c r="U21" s="23" t="s">
        <v>19</v>
      </c>
      <c r="V21" s="23" t="s">
        <v>19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45111</v>
      </c>
      <c r="B22" s="109">
        <v>1600</v>
      </c>
      <c r="C22" s="109"/>
      <c r="D22" s="108" cm="1">
        <f t="array" ref="D22">(SUM(VLOOKUP(I22:AF22,$AM$4:$AO$44,2,FALSE))+AG22*10)*IF(AK22="是",$AZ$4,$AZ$3)</f>
        <v>1608</v>
      </c>
      <c r="E22" s="166">
        <f>SUM($B$4:B22)+SUM($C$4:C22)-SUM($D$4:D22)</f>
        <v>1934</v>
      </c>
      <c r="F22" s="108" cm="1">
        <f t="array" ref="F22">SUM(VLOOKUP(I22:AF22,$AM$4:$AO$44,3,FALSE))</f>
        <v>580</v>
      </c>
      <c r="G22" s="97">
        <f>SUM($F$4:F22)+SUM($H$4:H22)</f>
        <v>13215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3" t="s">
        <v>19</v>
      </c>
      <c r="R22" s="146" t="s">
        <v>7</v>
      </c>
      <c r="S22" s="22" t="s">
        <v>18</v>
      </c>
      <c r="T22" s="22" t="s">
        <v>18</v>
      </c>
      <c r="U22" s="22" t="s">
        <v>18</v>
      </c>
      <c r="V22" s="22" t="s">
        <v>18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8" t="s">
        <v>12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5"/>
        <v>2</v>
      </c>
      <c r="AV22" s="50">
        <f t="shared" si="6"/>
        <v>0</v>
      </c>
      <c r="AW22" s="50">
        <f t="shared" si="6"/>
        <v>1000</v>
      </c>
      <c r="AX22" s="50">
        <f t="shared" si="6"/>
        <v>1000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45112</v>
      </c>
      <c r="B23" s="109">
        <v>1600</v>
      </c>
      <c r="C23" s="109"/>
      <c r="D23" s="108" cm="1">
        <f t="array" ref="D23">(SUM(VLOOKUP(I23:AF23,$AM$4:$AO$44,2,FALSE))+AG23*10)*IF(AK23="是",$AZ$4,$AZ$3)</f>
        <v>1768</v>
      </c>
      <c r="E23" s="166">
        <f>SUM($B$4:B23)+SUM($C$4:C23)-SUM($D$4:D23)</f>
        <v>1766</v>
      </c>
      <c r="F23" s="108" cm="1">
        <f t="array" ref="F23">SUM(VLOOKUP(I23:AF23,$AM$4:$AO$44,3,FALSE))</f>
        <v>625</v>
      </c>
      <c r="G23" s="97">
        <f>SUM($F$4:F23)+SUM($H$4:H23)</f>
        <v>14040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2" t="s">
        <v>18</v>
      </c>
      <c r="R23" s="23" t="s">
        <v>19</v>
      </c>
      <c r="S23" s="23" t="s">
        <v>19</v>
      </c>
      <c r="T23" s="23" t="s">
        <v>19</v>
      </c>
      <c r="U23" s="23" t="s">
        <v>19</v>
      </c>
      <c r="V23" s="23" t="s">
        <v>19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1</v>
      </c>
      <c r="AT23" s="19">
        <f t="shared" si="2"/>
        <v>1</v>
      </c>
      <c r="AU23" s="143">
        <f t="shared" si="5"/>
        <v>2</v>
      </c>
      <c r="AV23" s="50">
        <f t="shared" si="6"/>
        <v>0</v>
      </c>
      <c r="AW23" s="50">
        <f t="shared" si="6"/>
        <v>500</v>
      </c>
      <c r="AX23" s="50">
        <f t="shared" si="6"/>
        <v>500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45113</v>
      </c>
      <c r="B24" s="109">
        <v>1600</v>
      </c>
      <c r="C24" s="109"/>
      <c r="D24" s="108" cm="1">
        <f t="array" ref="D24">(SUM(VLOOKUP(I24:AF24,$AM$4:$AO$44,2,FALSE))+AG24*10)*IF(AK24="是",$AZ$4,$AZ$3)</f>
        <v>1672</v>
      </c>
      <c r="E24" s="166">
        <f>SUM($B$4:B24)+SUM($C$4:C24)-SUM($D$4:D24)</f>
        <v>1694</v>
      </c>
      <c r="F24" s="108" cm="1">
        <f t="array" ref="F24">SUM(VLOOKUP(I24:AF24,$AM$4:$AO$44,3,FALSE))</f>
        <v>610</v>
      </c>
      <c r="G24" s="97">
        <f>SUM($F$4:F24)+SUM($H$4:H24)</f>
        <v>14650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3" t="s">
        <v>19</v>
      </c>
      <c r="R24" s="23" t="s">
        <v>19</v>
      </c>
      <c r="S24" s="23" t="s">
        <v>19</v>
      </c>
      <c r="T24" s="23" t="s">
        <v>19</v>
      </c>
      <c r="U24" s="23" t="s">
        <v>19</v>
      </c>
      <c r="V24" s="28" t="s">
        <v>12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45114</v>
      </c>
      <c r="B25" s="109">
        <v>1600</v>
      </c>
      <c r="C25" s="109"/>
      <c r="D25" s="108" cm="1">
        <f t="array" ref="D25">(SUM(VLOOKUP(I25:AF25,$AM$4:$AO$44,2,FALSE))+AG25*10)*IF(AK25="是",$AZ$4,$AZ$3)</f>
        <v>1776</v>
      </c>
      <c r="E25" s="166">
        <f>SUM($B$4:B25)+SUM($C$4:C25)-SUM($D$4:D25)</f>
        <v>1518</v>
      </c>
      <c r="F25" s="108" cm="1">
        <f t="array" ref="F25">SUM(VLOOKUP(I25:AF25,$AM$4:$AO$44,3,FALSE))</f>
        <v>690</v>
      </c>
      <c r="G25" s="97">
        <f>SUM($F$4:F25)+SUM($H$4:H25)</f>
        <v>15340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3" t="s">
        <v>19</v>
      </c>
      <c r="R25" s="23" t="s">
        <v>19</v>
      </c>
      <c r="S25" s="23" t="s">
        <v>19</v>
      </c>
      <c r="T25" s="23" t="s">
        <v>19</v>
      </c>
      <c r="U25" s="23" t="s">
        <v>19</v>
      </c>
      <c r="V25" s="23" t="s">
        <v>19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9" t="s">
        <v>47</v>
      </c>
      <c r="AB25" s="25" t="s">
        <v>21</v>
      </c>
      <c r="AC25" s="24" t="s">
        <v>20</v>
      </c>
      <c r="AD25" s="24" t="s">
        <v>20</v>
      </c>
      <c r="AE25" s="24" t="s">
        <v>20</v>
      </c>
      <c r="AF25" s="24" t="s">
        <v>20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45115</v>
      </c>
      <c r="B26" s="109">
        <v>1600</v>
      </c>
      <c r="C26" s="109"/>
      <c r="D26" s="108" cm="1">
        <f t="array" ref="D26">(SUM(VLOOKUP(I26:AF26,$AM$4:$AO$44,2,FALSE))+AG26*10)*IF(AK26="是",$AZ$4,$AZ$3)</f>
        <v>1632</v>
      </c>
      <c r="E26" s="166">
        <f>SUM($B$4:B26)+SUM($C$4:C26)-SUM($D$4:D26)</f>
        <v>1486</v>
      </c>
      <c r="F26" s="108" cm="1">
        <f t="array" ref="F26">SUM(VLOOKUP(I26:AF26,$AM$4:$AO$44,3,FALSE))</f>
        <v>580</v>
      </c>
      <c r="G26" s="97">
        <f>SUM($F$4:F26)+SUM($H$4:H26)</f>
        <v>15920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3" t="s">
        <v>19</v>
      </c>
      <c r="R26" s="23" t="s">
        <v>19</v>
      </c>
      <c r="S26" s="23" t="s">
        <v>19</v>
      </c>
      <c r="T26" s="23" t="s">
        <v>19</v>
      </c>
      <c r="U26" s="23" t="s">
        <v>19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45116</v>
      </c>
      <c r="B27" s="109">
        <v>1600</v>
      </c>
      <c r="C27" s="109"/>
      <c r="D27" s="108" cm="1">
        <f t="array" ref="D27">(SUM(VLOOKUP(I27:AF27,$AM$4:$AO$44,2,FALSE))+AG27*10)*IF(AK27="是",$AZ$4,$AZ$3)</f>
        <v>1616</v>
      </c>
      <c r="E27" s="166">
        <f>SUM($B$4:B27)+SUM($C$4:C27)-SUM($D$4:D27)</f>
        <v>1470</v>
      </c>
      <c r="F27" s="108" cm="1">
        <f t="array" ref="F27">SUM(VLOOKUP(I27:AF27,$AM$4:$AO$44,3,FALSE))</f>
        <v>630</v>
      </c>
      <c r="G27" s="97">
        <f>SUM($F$4:F27)+SUM($H$4:H27)</f>
        <v>16550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3" t="s">
        <v>19</v>
      </c>
      <c r="R27" s="23" t="s">
        <v>19</v>
      </c>
      <c r="S27" s="23" t="s">
        <v>19</v>
      </c>
      <c r="T27" s="23" t="s">
        <v>19</v>
      </c>
      <c r="U27" s="29" t="s">
        <v>47</v>
      </c>
      <c r="V27" s="23" t="s">
        <v>19</v>
      </c>
      <c r="W27" s="23" t="s">
        <v>19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.75" thickBot="1">
      <c r="A28" s="115">
        <v>45117</v>
      </c>
      <c r="B28" s="108">
        <v>1600</v>
      </c>
      <c r="C28" s="108"/>
      <c r="D28" s="108" cm="1">
        <f t="array" ref="D28">(SUM(VLOOKUP(I28:AF28,$AM$4:$AO$44,2,FALSE))+AG28*10)*IF(AK28="是",$AZ$4,$AZ$3)</f>
        <v>1480</v>
      </c>
      <c r="E28" s="166">
        <f>SUM($B$4:B28)+SUM($C$4:C28)-SUM($D$4:D28)</f>
        <v>1590</v>
      </c>
      <c r="F28" s="108" cm="1">
        <f t="array" ref="F28">SUM(VLOOKUP(I28:AF28,$AM$4:$AO$44,3,FALSE))</f>
        <v>540</v>
      </c>
      <c r="G28" s="97">
        <f>SUM($F$4:F28)+SUM($H$4:H28)</f>
        <v>17390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47" t="s">
        <v>8</v>
      </c>
      <c r="R28" s="23" t="s">
        <v>19</v>
      </c>
      <c r="S28" s="23" t="s">
        <v>19</v>
      </c>
      <c r="T28" s="23" t="s">
        <v>19</v>
      </c>
      <c r="U28" s="23" t="s">
        <v>19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5" t="s">
        <v>21</v>
      </c>
      <c r="AB28" s="25" t="s">
        <v>21</v>
      </c>
      <c r="AC28" s="25" t="s">
        <v>21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7</v>
      </c>
      <c r="AT28" s="19">
        <f>COUNTIF($Y$4:$AF$93,AM28)</f>
        <v>3</v>
      </c>
      <c r="AU28" s="143">
        <f>AR28+AS28+AT28</f>
        <v>12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45118</v>
      </c>
      <c r="B29" s="108">
        <v>1600</v>
      </c>
      <c r="C29" s="108"/>
      <c r="D29" s="108" cm="1">
        <f t="array" ref="D29">(SUM(VLOOKUP(I29:AF29,$AM$4:$AO$44,2,FALSE))+AG29*10)*IF(AK29="是",$AZ$4,$AZ$3)</f>
        <v>1560</v>
      </c>
      <c r="E29" s="166">
        <f>SUM($B$4:B29)+SUM($C$4:C29)-SUM($D$4:D29)</f>
        <v>1630</v>
      </c>
      <c r="F29" s="108" cm="1">
        <f t="array" ref="F29">SUM(VLOOKUP(I29:AF29,$AM$4:$AO$44,3,FALSE))</f>
        <v>580</v>
      </c>
      <c r="G29" s="97">
        <f>SUM($F$4:F29)+SUM($H$4:H29)</f>
        <v>17970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8" t="s">
        <v>12</v>
      </c>
      <c r="W29" s="110" t="s">
        <v>23</v>
      </c>
      <c r="X29" s="110" t="s">
        <v>23</v>
      </c>
      <c r="Y29" s="25" t="s">
        <v>21</v>
      </c>
      <c r="Z29" s="25" t="s">
        <v>21</v>
      </c>
      <c r="AA29" s="25" t="s">
        <v>21</v>
      </c>
      <c r="AB29" s="25" t="s">
        <v>21</v>
      </c>
      <c r="AC29" s="25" t="s">
        <v>21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1</v>
      </c>
      <c r="AT29" s="123">
        <f>COUNTIF($Y$4:$AF$93,AM29)</f>
        <v>1</v>
      </c>
      <c r="AU29" s="123">
        <f>AR29+AS29+AT29</f>
        <v>3</v>
      </c>
      <c r="AV29" s="4">
        <f t="shared" si="6"/>
        <v>520</v>
      </c>
      <c r="AW29" s="4">
        <f t="shared" si="6"/>
        <v>520</v>
      </c>
      <c r="AX29" s="4">
        <f t="shared" si="6"/>
        <v>520</v>
      </c>
      <c r="BB29">
        <f t="shared" si="7"/>
        <v>40</v>
      </c>
      <c r="BC29">
        <v>3</v>
      </c>
    </row>
    <row r="30" spans="1:55">
      <c r="A30" s="115">
        <v>45119</v>
      </c>
      <c r="B30" s="108">
        <v>1600</v>
      </c>
      <c r="C30" s="108"/>
      <c r="D30" s="108" cm="1">
        <f t="array" ref="D30">(SUM(VLOOKUP(I30:AF30,$AM$4:$AO$44,2,FALSE))+AG30*10)*IF(AK30="是",$AZ$4,$AZ$3)</f>
        <v>1616</v>
      </c>
      <c r="E30" s="166">
        <f>SUM($B$4:B30)+SUM($C$4:C30)-SUM($D$4:D30)</f>
        <v>1614</v>
      </c>
      <c r="F30" s="108" cm="1">
        <f t="array" ref="F30">SUM(VLOOKUP(I30:AF30,$AM$4:$AO$44,3,FALSE))</f>
        <v>590</v>
      </c>
      <c r="G30" s="97">
        <f>SUM($F$4:F30)+SUM($H$4:H30)</f>
        <v>18760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109" t="s">
        <v>23</v>
      </c>
      <c r="W30" s="110" t="s">
        <v>23</v>
      </c>
      <c r="X30" s="110" t="s">
        <v>23</v>
      </c>
      <c r="Y30" s="25" t="s">
        <v>21</v>
      </c>
      <c r="Z30" s="25" t="s">
        <v>21</v>
      </c>
      <c r="AA30" s="24" t="s">
        <v>20</v>
      </c>
      <c r="AB30" s="148" t="s">
        <v>9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45120</v>
      </c>
      <c r="B31" s="108">
        <v>1600</v>
      </c>
      <c r="C31" s="108"/>
      <c r="D31" s="108" cm="1">
        <f t="array" ref="D31">(SUM(VLOOKUP(I31:AF31,$AM$4:$AO$44,2,FALSE))+AG31*10)*IF(AK31="是",$AZ$4,$AZ$3)</f>
        <v>1720</v>
      </c>
      <c r="E31" s="166">
        <f>SUM($B$4:B31)+SUM($C$4:C31)-SUM($D$4:D31)</f>
        <v>1494</v>
      </c>
      <c r="F31" s="108" cm="1">
        <f t="array" ref="F31">SUM(VLOOKUP(I31:AF31,$AM$4:$AO$44,3,FALSE))</f>
        <v>1055</v>
      </c>
      <c r="G31" s="97">
        <f>SUM($F$4:F31)+SUM($H$4:H31)</f>
        <v>19815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3" t="s">
        <v>19</v>
      </c>
      <c r="T31" s="23" t="s">
        <v>19</v>
      </c>
      <c r="U31" s="23" t="s">
        <v>19</v>
      </c>
      <c r="V31" s="109" t="s">
        <v>23</v>
      </c>
      <c r="W31" s="110" t="s">
        <v>23</v>
      </c>
      <c r="X31" s="110" t="s">
        <v>23</v>
      </c>
      <c r="Y31" s="34" t="s">
        <v>41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28" t="s">
        <v>12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45121</v>
      </c>
      <c r="B32" s="108">
        <v>1600</v>
      </c>
      <c r="C32" s="108"/>
      <c r="D32" s="108" cm="1">
        <f t="array" ref="D32">(SUM(VLOOKUP(I32:AF32,$AM$4:$AO$44,2,FALSE))+AG32*10)*IF(AK32="是",$AZ$4,$AZ$3)</f>
        <v>1480</v>
      </c>
      <c r="E32" s="166">
        <f>SUM($B$4:B32)+SUM($C$4:C32)-SUM($D$4:D32)</f>
        <v>1614</v>
      </c>
      <c r="F32" s="108" cm="1">
        <f t="array" ref="F32">SUM(VLOOKUP(I32:AF32,$AM$4:$AO$44,3,FALSE))</f>
        <v>525</v>
      </c>
      <c r="G32" s="97">
        <f>SUM($F$4:F32)+SUM($H$4:H32)</f>
        <v>20340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45122</v>
      </c>
      <c r="B33" s="108">
        <v>1600</v>
      </c>
      <c r="C33" s="108"/>
      <c r="D33" s="108" cm="1">
        <f t="array" ref="D33">(SUM(VLOOKUP(I33:AF33,$AM$4:$AO$44,2,FALSE))+AG33*10)*IF(AK33="是",$AZ$4,$AZ$3)</f>
        <v>1664</v>
      </c>
      <c r="E33" s="166">
        <f>SUM($B$4:B33)+SUM($C$4:C33)-SUM($D$4:D33)</f>
        <v>1550</v>
      </c>
      <c r="F33" s="108" cm="1">
        <f t="array" ref="F33">SUM(VLOOKUP(I33:AF33,$AM$4:$AO$44,3,FALSE))</f>
        <v>600</v>
      </c>
      <c r="G33" s="97">
        <f>SUM($F$4:F33)+SUM($H$4:H33)</f>
        <v>20940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5" t="s">
        <v>21</v>
      </c>
      <c r="AB33" s="25" t="s">
        <v>21</v>
      </c>
      <c r="AC33" s="25" t="s">
        <v>21</v>
      </c>
      <c r="AD33" s="25" t="s">
        <v>21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45123</v>
      </c>
      <c r="B34" s="108">
        <v>1600</v>
      </c>
      <c r="C34" s="108"/>
      <c r="D34" s="108" cm="1">
        <f t="array" ref="D34">(SUM(VLOOKUP(I34:AF34,$AM$4:$AO$44,2,FALSE))+AG34*10)*IF(AK34="是",$AZ$4,$AZ$3)</f>
        <v>1520</v>
      </c>
      <c r="E34" s="166">
        <f>SUM($B$4:B34)+SUM($C$4:C34)-SUM($D$4:D34)</f>
        <v>1630</v>
      </c>
      <c r="F34" s="108" cm="1">
        <f t="array" ref="F34">SUM(VLOOKUP(I34:AF34,$AM$4:$AO$44,3,FALSE))</f>
        <v>550</v>
      </c>
      <c r="G34" s="97">
        <f>SUM($F$4:F34)+SUM($H$4:H34)</f>
        <v>21490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109" t="s">
        <v>23</v>
      </c>
      <c r="W34" s="110" t="s">
        <v>23</v>
      </c>
      <c r="X34" s="110" t="s">
        <v>23</v>
      </c>
      <c r="Y34" s="25" t="s">
        <v>21</v>
      </c>
      <c r="Z34" s="25" t="s">
        <v>21</v>
      </c>
      <c r="AA34" s="25" t="s">
        <v>21</v>
      </c>
      <c r="AB34" s="25" t="s">
        <v>21</v>
      </c>
      <c r="AC34" s="25" t="s">
        <v>21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45124</v>
      </c>
      <c r="B35" s="109">
        <v>1600</v>
      </c>
      <c r="C35" s="109"/>
      <c r="D35" s="108" cm="1">
        <f t="array" ref="D35">(SUM(VLOOKUP(I35:AF35,$AM$4:$AO$44,2,FALSE))+AG35*10)*IF(AK35="是",$AZ$4,$AZ$3)</f>
        <v>1544</v>
      </c>
      <c r="E35" s="166">
        <f>SUM($B$4:B35)+SUM($C$4:C35)-SUM($D$4:D35)</f>
        <v>1686</v>
      </c>
      <c r="F35" s="108" cm="1">
        <f t="array" ref="F35">SUM(VLOOKUP(I35:AF35,$AM$4:$AO$44,3,FALSE))</f>
        <v>570</v>
      </c>
      <c r="G35" s="97">
        <f>SUM($F$4:F35)+SUM($H$4:H35)</f>
        <v>22260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23" t="s">
        <v>19</v>
      </c>
      <c r="T35" s="23" t="s">
        <v>19</v>
      </c>
      <c r="U35" s="24" t="s">
        <v>20</v>
      </c>
      <c r="V35" s="109" t="s">
        <v>23</v>
      </c>
      <c r="W35" s="110" t="s">
        <v>23</v>
      </c>
      <c r="X35" s="110" t="s">
        <v>23</v>
      </c>
      <c r="Y35" s="25" t="s">
        <v>21</v>
      </c>
      <c r="Z35" s="25" t="s">
        <v>21</v>
      </c>
      <c r="AA35" s="24" t="s">
        <v>20</v>
      </c>
      <c r="AB35" s="24" t="s">
        <v>20</v>
      </c>
      <c r="AC35" s="28" t="s">
        <v>12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45125</v>
      </c>
      <c r="B36" s="109">
        <v>1600</v>
      </c>
      <c r="C36" s="109"/>
      <c r="D36" s="108" cm="1">
        <f t="array" ref="D36">(SUM(VLOOKUP(I36:AF36,$AM$4:$AO$44,2,FALSE))+AG36*10)*IF(AK36="是",$AZ$4,$AZ$3)</f>
        <v>1696</v>
      </c>
      <c r="E36" s="166">
        <f>SUM($B$4:B36)+SUM($C$4:C36)-SUM($D$4:D36)</f>
        <v>1590</v>
      </c>
      <c r="F36" s="108" cm="1">
        <f t="array" ref="F36">SUM(VLOOKUP(I36:AF36,$AM$4:$AO$44,3,FALSE))</f>
        <v>625</v>
      </c>
      <c r="G36" s="97">
        <f>SUM($F$4:F36)+SUM($H$4:H36)</f>
        <v>22985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3" t="s">
        <v>19</v>
      </c>
      <c r="R36" s="24" t="s">
        <v>20</v>
      </c>
      <c r="S36" s="24" t="s">
        <v>20</v>
      </c>
      <c r="T36" s="24" t="s">
        <v>20</v>
      </c>
      <c r="U36" s="23" t="s">
        <v>19</v>
      </c>
      <c r="V36" s="28" t="s">
        <v>12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45126</v>
      </c>
      <c r="B37" s="109">
        <v>1600</v>
      </c>
      <c r="C37" s="109"/>
      <c r="D37" s="108" cm="1">
        <f t="array" ref="D37">(SUM(VLOOKUP(I37:AF37,$AM$4:$AO$44,2,FALSE))+AG37*10)*IF(AK37="是",$AZ$4,$AZ$3)</f>
        <v>1648</v>
      </c>
      <c r="E37" s="166">
        <f>SUM($B$4:B37)+SUM($C$4:C37)-SUM($D$4:D37)</f>
        <v>1542</v>
      </c>
      <c r="F37" s="108" cm="1">
        <f t="array" ref="F37">SUM(VLOOKUP(I37:AF37,$AM$4:$AO$44,3,FALSE))</f>
        <v>590</v>
      </c>
      <c r="G37" s="97">
        <f>SUM($F$4:F37)+SUM($H$4:H37)</f>
        <v>23775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5" t="s">
        <v>21</v>
      </c>
      <c r="AD37" s="25" t="s">
        <v>21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45127</v>
      </c>
      <c r="B38" s="109">
        <v>1600</v>
      </c>
      <c r="C38" s="109"/>
      <c r="D38" s="108" cm="1">
        <f t="array" ref="D38">(SUM(VLOOKUP(I38:AF38,$AM$4:$AO$44,2,FALSE))+AG38*10)*IF(AK38="是",$AZ$4,$AZ$3)</f>
        <v>1680</v>
      </c>
      <c r="E38" s="166">
        <f>SUM($B$4:B38)+SUM($C$4:C38)-SUM($D$4:D38)</f>
        <v>1462</v>
      </c>
      <c r="F38" s="108" cm="1">
        <f t="array" ref="F38">SUM(VLOOKUP(I38:AF38,$AM$4:$AO$44,3,FALSE))</f>
        <v>610</v>
      </c>
      <c r="G38" s="97">
        <f>SUM($F$4:F38)+SUM($H$4:H38)</f>
        <v>24385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109" t="s">
        <v>23</v>
      </c>
      <c r="W38" s="110" t="s">
        <v>23</v>
      </c>
      <c r="X38" s="110" t="s">
        <v>23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25" t="s">
        <v>21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45128</v>
      </c>
      <c r="B39" s="109">
        <v>1600</v>
      </c>
      <c r="C39" s="109"/>
      <c r="D39" s="108" cm="1">
        <f t="array" ref="D39">(SUM(VLOOKUP(I39:AF39,$AM$4:$AO$44,2,FALSE))+AG39*10)*IF(AK39="是",$AZ$4,$AZ$3)</f>
        <v>1480</v>
      </c>
      <c r="E39" s="166">
        <f>SUM($B$4:B39)+SUM($C$4:C39)-SUM($D$4:D39)</f>
        <v>1582</v>
      </c>
      <c r="F39" s="108" cm="1">
        <f t="array" ref="F39">SUM(VLOOKUP(I39:AF39,$AM$4:$AO$44,3,FALSE))</f>
        <v>610</v>
      </c>
      <c r="G39" s="97">
        <f>SUM($F$4:F39)+SUM($H$4:H39)</f>
        <v>24995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9" t="s">
        <v>47</v>
      </c>
      <c r="S39" s="23" t="s">
        <v>19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5" t="s">
        <v>21</v>
      </c>
      <c r="Z39" s="25" t="s">
        <v>21</v>
      </c>
      <c r="AA39" s="25" t="s">
        <v>21</v>
      </c>
      <c r="AB39" s="149" t="s">
        <v>10</v>
      </c>
      <c r="AC39" s="25" t="s">
        <v>21</v>
      </c>
      <c r="AD39" s="25" t="s">
        <v>21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45129</v>
      </c>
      <c r="B40" s="109">
        <v>1600</v>
      </c>
      <c r="C40" s="109"/>
      <c r="D40" s="108" cm="1">
        <f t="array" ref="D40">(SUM(VLOOKUP(I40:AF40,$AM$4:$AO$44,2,FALSE))+AG40*10)*IF(AK40="是",$AZ$4,$AZ$3)</f>
        <v>1704</v>
      </c>
      <c r="E40" s="166">
        <f>SUM($B$4:B40)+SUM($C$4:C40)-SUM($D$4:D40)</f>
        <v>1478</v>
      </c>
      <c r="F40" s="108" cm="1">
        <f t="array" ref="F40">SUM(VLOOKUP(I40:AF40,$AM$4:$AO$44,3,FALSE))</f>
        <v>630</v>
      </c>
      <c r="G40" s="97">
        <f>SUM($F$4:F40)+SUM($H$4:H40)</f>
        <v>25625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3" t="s">
        <v>19</v>
      </c>
      <c r="R40" s="23" t="s">
        <v>19</v>
      </c>
      <c r="S40" s="28" t="s">
        <v>12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45130</v>
      </c>
      <c r="B41" s="109">
        <v>1600</v>
      </c>
      <c r="C41" s="109"/>
      <c r="D41" s="108" cm="1">
        <f t="array" ref="D41">(SUM(VLOOKUP(I41:AF41,$AM$4:$AO$44,2,FALSE))+AG41*10)*IF(AK41="是",$AZ$4,$AZ$3)</f>
        <v>1496</v>
      </c>
      <c r="E41" s="166">
        <f>SUM($B$4:B41)+SUM($C$4:C41)-SUM($D$4:D41)</f>
        <v>1582</v>
      </c>
      <c r="F41" s="108" cm="1">
        <f t="array" ref="F41">SUM(VLOOKUP(I41:AF41,$AM$4:$AO$44,3,FALSE))</f>
        <v>535</v>
      </c>
      <c r="G41" s="97">
        <f>SUM($F$4:F41)+SUM($H$4:H41)</f>
        <v>26160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5" t="s">
        <v>21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45131</v>
      </c>
      <c r="B42" s="108">
        <v>1600</v>
      </c>
      <c r="C42" s="108"/>
      <c r="D42" s="108" cm="1">
        <f t="array" ref="D42">(SUM(VLOOKUP(I42:AF42,$AM$4:$AO$44,2,FALSE))+AG42*10)*IF(AK42="是",$AZ$4,$AZ$3)</f>
        <v>1680</v>
      </c>
      <c r="E42" s="166">
        <f>SUM($B$4:B42)+SUM($C$4:C42)-SUM($D$4:D42)</f>
        <v>1502</v>
      </c>
      <c r="F42" s="108" cm="1">
        <f t="array" ref="F42">SUM(VLOOKUP(I42:AF42,$AM$4:$AO$44,3,FALSE))</f>
        <v>610</v>
      </c>
      <c r="G42" s="97">
        <f>SUM($F$4:F42)+SUM($H$4:H42)</f>
        <v>27070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109" t="s">
        <v>23</v>
      </c>
      <c r="W42" s="110" t="s">
        <v>23</v>
      </c>
      <c r="X42" s="110" t="s">
        <v>23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25" t="s">
        <v>21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45132</v>
      </c>
      <c r="B43" s="108">
        <v>1600</v>
      </c>
      <c r="C43" s="108"/>
      <c r="D43" s="108" cm="1">
        <f t="array" ref="D43">(SUM(VLOOKUP(I43:AF43,$AM$4:$AO$44,2,FALSE))+AG43*10)*IF(AK43="是",$AZ$4,$AZ$3)</f>
        <v>2496</v>
      </c>
      <c r="E43" s="166">
        <f>SUM($B$4:B43)+SUM($C$4:C43)-SUM($D$4:D43)</f>
        <v>606</v>
      </c>
      <c r="F43" s="108" cm="1">
        <f t="array" ref="F43">SUM(VLOOKUP(I43:AF43,$AM$4:$AO$44,3,FALSE))</f>
        <v>880</v>
      </c>
      <c r="G43" s="97">
        <f>SUM($F$4:F43)+SUM($H$4:H43)</f>
        <v>27950</v>
      </c>
      <c r="H43" s="108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10" t="s">
        <v>23</v>
      </c>
      <c r="P43" s="110" t="s">
        <v>23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109" t="s">
        <v>23</v>
      </c>
      <c r="W43" s="110" t="s">
        <v>23</v>
      </c>
      <c r="X43" s="110" t="s">
        <v>23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25" t="s">
        <v>21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45133</v>
      </c>
      <c r="B44" s="108">
        <v>1600</v>
      </c>
      <c r="C44" s="108"/>
      <c r="D44" s="108" cm="1">
        <f t="array" ref="D44">(SUM(VLOOKUP(I44:AF44,$AM$4:$AO$44,2,FALSE))+AG44*10)*IF(AK44="是",$AZ$4,$AZ$3)</f>
        <v>1672</v>
      </c>
      <c r="E44" s="166">
        <f>SUM($B$4:B44)+SUM($C$4:C44)-SUM($D$4:D44)</f>
        <v>534</v>
      </c>
      <c r="F44" s="108" cm="1">
        <f t="array" ref="F44">SUM(VLOOKUP(I44:AF44,$AM$4:$AO$44,3,FALSE))</f>
        <v>605</v>
      </c>
      <c r="G44" s="97">
        <f>SUM($F$4:F44)+SUM($H$4:H44)</f>
        <v>28755</v>
      </c>
      <c r="H44" s="108">
        <v>200</v>
      </c>
      <c r="I44" s="22" t="s">
        <v>18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3" t="s">
        <v>19</v>
      </c>
      <c r="R44" s="23" t="s">
        <v>19</v>
      </c>
      <c r="S44" s="23" t="s">
        <v>19</v>
      </c>
      <c r="T44" s="23" t="s">
        <v>19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25" t="s">
        <v>21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45134</v>
      </c>
      <c r="B45" s="108">
        <v>1600</v>
      </c>
      <c r="C45" s="108"/>
      <c r="D45" s="108" cm="1">
        <f t="array" ref="D45">(SUM(VLOOKUP(I45:AF45,$AM$4:$AO$44,2,FALSE))+AG45*10)*IF(AK45="是",$AZ$4,$AZ$3)</f>
        <v>1488</v>
      </c>
      <c r="E45" s="166">
        <f>SUM($B$4:B45)+SUM($C$4:C45)-SUM($D$4:D45)</f>
        <v>646</v>
      </c>
      <c r="F45" s="108" cm="1">
        <f t="array" ref="F45">SUM(VLOOKUP(I45:AF45,$AM$4:$AO$44,3,FALSE))</f>
        <v>545</v>
      </c>
      <c r="G45" s="97">
        <f>SUM($F$4:F45)+SUM($H$4:H45)</f>
        <v>29300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3" t="s">
        <v>19</v>
      </c>
      <c r="R45" s="23" t="s">
        <v>19</v>
      </c>
      <c r="S45" s="147" t="s">
        <v>8</v>
      </c>
      <c r="T45" s="23" t="s">
        <v>19</v>
      </c>
      <c r="U45" s="23" t="s">
        <v>19</v>
      </c>
      <c r="V45" s="109" t="s">
        <v>23</v>
      </c>
      <c r="W45" s="110" t="s">
        <v>23</v>
      </c>
      <c r="X45" s="110" t="s">
        <v>23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4" t="s">
        <v>20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45135</v>
      </c>
      <c r="B46" s="108">
        <v>1600</v>
      </c>
      <c r="C46" s="108"/>
      <c r="D46" s="108" cm="1">
        <f t="array" ref="D46">(SUM(VLOOKUP(I46:AF46,$AM$4:$AO$44,2,FALSE))+AG46*10)*IF(AK46="是",$AZ$4,$AZ$3)</f>
        <v>1624</v>
      </c>
      <c r="E46" s="166">
        <f>SUM($B$4:B46)+SUM($C$4:C46)-SUM($D$4:D46)</f>
        <v>622</v>
      </c>
      <c r="F46" s="108" cm="1">
        <f t="array" ref="F46">SUM(VLOOKUP(I46:AF46,$AM$4:$AO$44,3,FALSE))</f>
        <v>595</v>
      </c>
      <c r="G46" s="97">
        <f>SUM($F$4:F46)+SUM($H$4:H46)</f>
        <v>29895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4" t="s">
        <v>20</v>
      </c>
      <c r="R46" s="24" t="s">
        <v>20</v>
      </c>
      <c r="S46" s="23" t="s">
        <v>19</v>
      </c>
      <c r="T46" s="23" t="s">
        <v>19</v>
      </c>
      <c r="U46" s="23" t="s">
        <v>19</v>
      </c>
      <c r="V46" s="109" t="s">
        <v>23</v>
      </c>
      <c r="W46" s="110" t="s">
        <v>23</v>
      </c>
      <c r="X46" s="110" t="s">
        <v>23</v>
      </c>
      <c r="Y46" s="148" t="s">
        <v>9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5" t="s">
        <v>21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45136</v>
      </c>
      <c r="B47" s="108">
        <v>1600</v>
      </c>
      <c r="C47" s="108"/>
      <c r="D47" s="108" cm="1">
        <f t="array" ref="D47">(SUM(VLOOKUP(I47:AF47,$AM$4:$AO$44,2,FALSE))+AG47*10)*IF(AK47="是",$AZ$4,$AZ$3)</f>
        <v>1712</v>
      </c>
      <c r="E47" s="166">
        <f>SUM($B$4:B47)+SUM($C$4:C47)-SUM($D$4:D47)</f>
        <v>510</v>
      </c>
      <c r="F47" s="108" cm="1">
        <f t="array" ref="F47">SUM(VLOOKUP(I47:AF47,$AM$4:$AO$44,3,FALSE))</f>
        <v>630</v>
      </c>
      <c r="G47" s="97">
        <f>SUM($F$4:F47)+SUM($H$4:H47)</f>
        <v>30525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3" t="s">
        <v>19</v>
      </c>
      <c r="R47" s="24" t="s">
        <v>20</v>
      </c>
      <c r="S47" s="24" t="s">
        <v>20</v>
      </c>
      <c r="T47" s="24" t="s">
        <v>20</v>
      </c>
      <c r="U47" s="24" t="s">
        <v>20</v>
      </c>
      <c r="V47" s="109" t="s">
        <v>23</v>
      </c>
      <c r="W47" s="110" t="s">
        <v>23</v>
      </c>
      <c r="X47" s="110" t="s">
        <v>23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25" t="s">
        <v>21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45137</v>
      </c>
      <c r="B48" s="108">
        <v>1600</v>
      </c>
      <c r="C48" s="108"/>
      <c r="D48" s="108" cm="1">
        <f t="array" ref="D48">(SUM(VLOOKUP(I48:AF48,$AM$4:$AO$44,2,FALSE))+AG48*10)*IF(AK48="是",$AZ$4,$AZ$3)</f>
        <v>1568</v>
      </c>
      <c r="E48" s="166">
        <f>SUM($B$4:B48)+SUM($C$4:C48)-SUM($D$4:D48)</f>
        <v>542</v>
      </c>
      <c r="F48" s="108" cm="1">
        <f t="array" ref="F48">SUM(VLOOKUP(I48:AF48,$AM$4:$AO$44,3,FALSE))</f>
        <v>640</v>
      </c>
      <c r="G48" s="97">
        <f>SUM($F$4:F48)+SUM($H$4:H48)</f>
        <v>31165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4" t="s">
        <v>20</v>
      </c>
      <c r="R48" s="24" t="s">
        <v>20</v>
      </c>
      <c r="S48" s="24" t="s">
        <v>20</v>
      </c>
      <c r="T48" s="24" t="s">
        <v>20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5" t="s">
        <v>21</v>
      </c>
      <c r="Z48" s="25" t="s">
        <v>21</v>
      </c>
      <c r="AA48" s="29" t="s">
        <v>47</v>
      </c>
      <c r="AB48" s="25" t="s">
        <v>21</v>
      </c>
      <c r="AC48" s="25" t="s">
        <v>21</v>
      </c>
      <c r="AD48" s="25" t="s">
        <v>21</v>
      </c>
      <c r="AE48" s="25" t="s">
        <v>21</v>
      </c>
      <c r="AF48" s="25" t="s">
        <v>21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45138</v>
      </c>
      <c r="B49" s="109">
        <v>1600</v>
      </c>
      <c r="C49" s="109"/>
      <c r="D49" s="108" cm="1">
        <f t="array" ref="D49">(SUM(VLOOKUP(I49:AF49,$AM$4:$AO$44,2,FALSE))+AG49*10)*IF(AK49="是",$AZ$4,$AZ$3)</f>
        <v>1616</v>
      </c>
      <c r="E49" s="166">
        <f>SUM($B$4:B49)+SUM($C$4:C49)-SUM($D$4:D49)</f>
        <v>526</v>
      </c>
      <c r="F49" s="108" cm="1">
        <f t="array" ref="F49">SUM(VLOOKUP(I49:AF49,$AM$4:$AO$44,3,FALSE))</f>
        <v>1025</v>
      </c>
      <c r="G49" s="97">
        <f>SUM($F$4:F49)+SUM($H$4:H49)</f>
        <v>32390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4" t="s">
        <v>20</v>
      </c>
      <c r="R49" s="34" t="s">
        <v>41</v>
      </c>
      <c r="S49" s="24" t="s">
        <v>20</v>
      </c>
      <c r="T49" s="24" t="s">
        <v>20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45139</v>
      </c>
      <c r="B50" s="109">
        <v>1600</v>
      </c>
      <c r="C50" s="109"/>
      <c r="D50" s="108" cm="1">
        <f t="array" ref="D50">(SUM(VLOOKUP(I50:AF50,$AM$4:$AO$44,2,FALSE))+AG50*10)*IF(AK50="是",$AZ$4,$AZ$3)</f>
        <v>1560</v>
      </c>
      <c r="E50" s="166">
        <f>SUM($B$4:B50)+SUM($C$4:C50)-SUM($D$4:D50)</f>
        <v>566</v>
      </c>
      <c r="F50" s="108" cm="1">
        <f t="array" ref="F50">SUM(VLOOKUP(I50:AF50,$AM$4:$AO$44,3,FALSE))</f>
        <v>635</v>
      </c>
      <c r="G50" s="97">
        <f>SUM($F$4:F50)+SUM($H$4:H50)</f>
        <v>33125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4" t="s">
        <v>20</v>
      </c>
      <c r="R50" s="24" t="s">
        <v>20</v>
      </c>
      <c r="S50" s="24" t="s">
        <v>20</v>
      </c>
      <c r="T50" s="29" t="s">
        <v>47</v>
      </c>
      <c r="U50" s="24" t="s">
        <v>20</v>
      </c>
      <c r="V50" s="24" t="s">
        <v>20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45140</v>
      </c>
      <c r="B51" s="109">
        <v>1600</v>
      </c>
      <c r="C51" s="109"/>
      <c r="D51" s="108" cm="1">
        <f t="array" ref="D51">(SUM(VLOOKUP(I51:AF51,$AM$4:$AO$44,2,FALSE))+AG51*10)*IF(AK51="是",$AZ$4,$AZ$3)</f>
        <v>1584</v>
      </c>
      <c r="E51" s="166">
        <f>SUM($B$4:B51)+SUM($C$4:C51)-SUM($D$4:D51)</f>
        <v>582</v>
      </c>
      <c r="F51" s="108" cm="1">
        <f t="array" ref="F51">SUM(VLOOKUP(I51:AF51,$AM$4:$AO$44,3,FALSE))</f>
        <v>1505</v>
      </c>
      <c r="G51" s="97">
        <f>SUM($F$4:F51)+SUM($H$4:H51)</f>
        <v>34830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4" t="s">
        <v>20</v>
      </c>
      <c r="R51" s="24" t="s">
        <v>20</v>
      </c>
      <c r="S51" s="23" t="s">
        <v>19</v>
      </c>
      <c r="T51" s="24" t="s">
        <v>20</v>
      </c>
      <c r="U51" s="23" t="s">
        <v>19</v>
      </c>
      <c r="V51" s="109" t="s">
        <v>23</v>
      </c>
      <c r="W51" s="110" t="s">
        <v>23</v>
      </c>
      <c r="X51" s="110" t="s">
        <v>23</v>
      </c>
      <c r="Y51" s="25" t="s">
        <v>21</v>
      </c>
      <c r="Z51" s="32" t="s">
        <v>15</v>
      </c>
      <c r="AA51" s="25" t="s">
        <v>21</v>
      </c>
      <c r="AB51" s="25" t="s">
        <v>21</v>
      </c>
      <c r="AC51" s="25" t="s">
        <v>21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45141</v>
      </c>
      <c r="B52" s="109">
        <v>1600</v>
      </c>
      <c r="C52" s="109"/>
      <c r="D52" s="108" cm="1">
        <f t="array" ref="D52">(SUM(VLOOKUP(I52:AF52,$AM$4:$AO$44,2,FALSE))+AG52*10)*IF(AK52="是",$AZ$4,$AZ$3)</f>
        <v>1592</v>
      </c>
      <c r="E52" s="166">
        <f>SUM($B$4:B52)+SUM($C$4:C52)-SUM($D$4:D52)</f>
        <v>590</v>
      </c>
      <c r="F52" s="108" cm="1">
        <f t="array" ref="F52">SUM(VLOOKUP(I52:AF52,$AM$4:$AO$44,3,FALSE))</f>
        <v>600</v>
      </c>
      <c r="G52" s="97">
        <f>SUM($F$4:F52)+SUM($H$4:H52)</f>
        <v>35430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8" t="s">
        <v>12</v>
      </c>
      <c r="R52" s="23" t="s">
        <v>19</v>
      </c>
      <c r="S52" s="23" t="s">
        <v>19</v>
      </c>
      <c r="T52" s="24" t="s">
        <v>20</v>
      </c>
      <c r="U52" s="24" t="s">
        <v>20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45142</v>
      </c>
      <c r="B53" s="109">
        <v>1600</v>
      </c>
      <c r="C53" s="109"/>
      <c r="D53" s="108" cm="1">
        <f t="array" ref="D53">(SUM(VLOOKUP(I53:AF53,$AM$4:$AO$44,2,FALSE))+AG53*10)*IF(AK53="是",$AZ$4,$AZ$3)</f>
        <v>1544</v>
      </c>
      <c r="E53" s="166">
        <f>SUM($B$4:B53)+SUM($C$4:C53)-SUM($D$4:D53)</f>
        <v>646</v>
      </c>
      <c r="F53" s="108" cm="1">
        <f t="array" ref="F53">SUM(VLOOKUP(I53:AF53,$AM$4:$AO$44,3,FALSE))</f>
        <v>565</v>
      </c>
      <c r="G53" s="97">
        <f>SUM($F$4:F53)+SUM($H$4:H53)</f>
        <v>35995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3" t="s">
        <v>19</v>
      </c>
      <c r="R53" s="23" t="s">
        <v>19</v>
      </c>
      <c r="S53" s="24" t="s">
        <v>20</v>
      </c>
      <c r="T53" s="24" t="s">
        <v>20</v>
      </c>
      <c r="U53" s="24" t="s">
        <v>20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45143</v>
      </c>
      <c r="B54" s="109">
        <v>1600</v>
      </c>
      <c r="C54" s="109"/>
      <c r="D54" s="108" cm="1">
        <f t="array" ref="D54">(SUM(VLOOKUP(I54:AF54,$AM$4:$AO$44,2,FALSE))+AG54*10)*IF(AK54="是",$AZ$4,$AZ$3)</f>
        <v>1720</v>
      </c>
      <c r="E54" s="166">
        <f>SUM($B$4:B54)+SUM($C$4:C54)-SUM($D$4:D54)</f>
        <v>526</v>
      </c>
      <c r="F54" s="108" cm="1">
        <f t="array" ref="F54">SUM(VLOOKUP(I54:AF54,$AM$4:$AO$44,3,FALSE))</f>
        <v>635</v>
      </c>
      <c r="G54" s="97">
        <f>SUM($F$4:F54)+SUM($H$4:H54)</f>
        <v>36630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109" t="s">
        <v>23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45144</v>
      </c>
      <c r="B55" s="109">
        <v>1600</v>
      </c>
      <c r="C55" s="109"/>
      <c r="D55" s="108" cm="1">
        <f t="array" ref="D55">(SUM(VLOOKUP(I55:AF55,$AM$4:$AO$44,2,FALSE))+AG55*10)*IF(AK55="是",$AZ$4,$AZ$3)</f>
        <v>1528</v>
      </c>
      <c r="E55" s="166">
        <f>SUM($B$4:B55)+SUM($C$4:C55)-SUM($D$4:D55)</f>
        <v>598</v>
      </c>
      <c r="F55" s="108" cm="1">
        <f t="array" ref="F55">SUM(VLOOKUP(I55:AF55,$AM$4:$AO$44,3,FALSE))</f>
        <v>555</v>
      </c>
      <c r="G55" s="97">
        <f>SUM($F$4:F55)+SUM($H$4:H55)</f>
        <v>37185</v>
      </c>
      <c r="H55" s="109">
        <v>0</v>
      </c>
      <c r="I55" s="22" t="s">
        <v>18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4" t="s">
        <v>20</v>
      </c>
      <c r="R55" s="24" t="s">
        <v>20</v>
      </c>
      <c r="S55" s="24" t="s">
        <v>20</v>
      </c>
      <c r="T55" s="24" t="s">
        <v>20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4" t="s">
        <v>20</v>
      </c>
      <c r="AC55" s="24" t="s">
        <v>20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45145</v>
      </c>
      <c r="B56" s="108">
        <v>1600</v>
      </c>
      <c r="C56" s="108"/>
      <c r="D56" s="108" cm="1">
        <f t="array" ref="D56">(SUM(VLOOKUP(I56:AF56,$AM$4:$AO$44,2,FALSE))+AG56*10)*IF(AK56="是",$AZ$4,$AZ$3)</f>
        <v>1560</v>
      </c>
      <c r="E56" s="166">
        <f>SUM($B$4:B56)+SUM($C$4:C56)-SUM($D$4:D56)</f>
        <v>638</v>
      </c>
      <c r="F56" s="108" cm="1">
        <f t="array" ref="F56">SUM(VLOOKUP(I56:AF56,$AM$4:$AO$44,3,FALSE))</f>
        <v>1070</v>
      </c>
      <c r="G56" s="97">
        <f>SUM($F$4:F56)+SUM($H$4:H56)</f>
        <v>38555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4" t="s">
        <v>20</v>
      </c>
      <c r="R56" s="24" t="s">
        <v>20</v>
      </c>
      <c r="S56" s="24" t="s">
        <v>20</v>
      </c>
      <c r="T56" s="24" t="s">
        <v>20</v>
      </c>
      <c r="U56" s="24" t="s">
        <v>20</v>
      </c>
      <c r="V56" s="24" t="s">
        <v>20</v>
      </c>
      <c r="W56" s="110" t="s">
        <v>23</v>
      </c>
      <c r="X56" s="110" t="s">
        <v>23</v>
      </c>
      <c r="Y56" s="24" t="s">
        <v>20</v>
      </c>
      <c r="Z56" s="24" t="s">
        <v>20</v>
      </c>
      <c r="AA56" s="24" t="s">
        <v>20</v>
      </c>
      <c r="AB56" s="24" t="s">
        <v>20</v>
      </c>
      <c r="AC56" s="124" t="s">
        <v>87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45146</v>
      </c>
      <c r="B57" s="108">
        <v>1600</v>
      </c>
      <c r="C57" s="108"/>
      <c r="D57" s="108" cm="1">
        <f t="array" ref="D57">(SUM(VLOOKUP(I57:AF57,$AM$4:$AO$44,2,FALSE))+AG57*10)*IF(AK57="是",$AZ$4,$AZ$3)</f>
        <v>1816</v>
      </c>
      <c r="E57" s="166">
        <f>SUM($B$4:B57)+SUM($C$4:C57)-SUM($D$4:D57)</f>
        <v>422</v>
      </c>
      <c r="F57" s="108" cm="1">
        <f t="array" ref="F57">SUM(VLOOKUP(I57:AF57,$AM$4:$AO$44,3,FALSE))</f>
        <v>655</v>
      </c>
      <c r="G57" s="97">
        <f>SUM($F$4:F57)+SUM($H$4:H57)</f>
        <v>39210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4" t="s">
        <v>20</v>
      </c>
      <c r="R57" s="24" t="s">
        <v>20</v>
      </c>
      <c r="S57" s="24" t="s">
        <v>20</v>
      </c>
      <c r="T57" s="24" t="s">
        <v>20</v>
      </c>
      <c r="U57" s="24" t="s">
        <v>20</v>
      </c>
      <c r="V57" s="24" t="s">
        <v>20</v>
      </c>
      <c r="W57" s="110" t="s">
        <v>23</v>
      </c>
      <c r="X57" s="110" t="s">
        <v>23</v>
      </c>
      <c r="Y57" s="24" t="s">
        <v>20</v>
      </c>
      <c r="Z57" s="24" t="s">
        <v>20</v>
      </c>
      <c r="AA57" s="24" t="s">
        <v>20</v>
      </c>
      <c r="AB57" s="24" t="s">
        <v>20</v>
      </c>
      <c r="AC57" s="24" t="s">
        <v>20</v>
      </c>
      <c r="AD57" s="23" t="s">
        <v>19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45147</v>
      </c>
      <c r="B58" s="108">
        <v>1600</v>
      </c>
      <c r="C58" s="108"/>
      <c r="D58" s="108" cm="1">
        <f t="array" ref="D58">(SUM(VLOOKUP(I58:AF58,$AM$4:$AO$44,2,FALSE))+AG58*10)*IF(AK58="是",$AZ$4,$AZ$3)</f>
        <v>1504</v>
      </c>
      <c r="E58" s="166">
        <f>SUM($B$4:B58)+SUM($C$4:C58)-SUM($D$4:D58)</f>
        <v>518</v>
      </c>
      <c r="F58" s="108" cm="1">
        <f t="array" ref="F58">SUM(VLOOKUP(I58:AF58,$AM$4:$AO$44,3,FALSE))</f>
        <v>1035</v>
      </c>
      <c r="G58" s="97">
        <f>SUM($F$4:F58)+SUM($H$4:H58)</f>
        <v>40445</v>
      </c>
      <c r="H58" s="108">
        <v>200</v>
      </c>
      <c r="I58" s="22" t="s">
        <v>18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4" t="s">
        <v>20</v>
      </c>
      <c r="R58" s="24" t="s">
        <v>20</v>
      </c>
      <c r="S58" s="24" t="s">
        <v>20</v>
      </c>
      <c r="T58" s="24" t="s">
        <v>20</v>
      </c>
      <c r="U58" s="124" t="s">
        <v>87</v>
      </c>
      <c r="V58" s="109" t="s">
        <v>23</v>
      </c>
      <c r="W58" s="110" t="s">
        <v>23</v>
      </c>
      <c r="X58" s="110" t="s">
        <v>23</v>
      </c>
      <c r="Y58" s="23" t="s">
        <v>19</v>
      </c>
      <c r="Z58" s="23" t="s">
        <v>19</v>
      </c>
      <c r="AA58" s="23" t="s">
        <v>19</v>
      </c>
      <c r="AB58" s="23" t="s">
        <v>19</v>
      </c>
      <c r="AC58" s="23" t="s">
        <v>19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45148</v>
      </c>
      <c r="B59" s="108">
        <v>1600</v>
      </c>
      <c r="C59" s="108"/>
      <c r="D59" s="108" cm="1">
        <f t="array" ref="D59">(SUM(VLOOKUP(I59:AF59,$AM$4:$AO$44,2,FALSE))+AG59*10)*IF(AK59="是",$AZ$4,$AZ$3)</f>
        <v>1624</v>
      </c>
      <c r="E59" s="166">
        <f>SUM($B$4:B59)+SUM($C$4:C59)-SUM($D$4:D59)</f>
        <v>494</v>
      </c>
      <c r="F59" s="108" cm="1">
        <f t="array" ref="F59">SUM(VLOOKUP(I59:AF59,$AM$4:$AO$44,3,FALSE))</f>
        <v>635</v>
      </c>
      <c r="G59" s="97">
        <f>SUM($F$4:F59)+SUM($H$4:H59)</f>
        <v>41080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4" t="s">
        <v>20</v>
      </c>
      <c r="R59" s="24" t="s">
        <v>20</v>
      </c>
      <c r="S59" s="24" t="s">
        <v>20</v>
      </c>
      <c r="T59" s="24" t="s">
        <v>20</v>
      </c>
      <c r="U59" s="29" t="s">
        <v>47</v>
      </c>
      <c r="V59" s="24" t="s">
        <v>20</v>
      </c>
      <c r="W59" s="24" t="s">
        <v>20</v>
      </c>
      <c r="X59" s="24" t="s">
        <v>20</v>
      </c>
      <c r="Y59" s="23" t="s">
        <v>19</v>
      </c>
      <c r="Z59" s="23" t="s">
        <v>19</v>
      </c>
      <c r="AA59" s="23" t="s">
        <v>19</v>
      </c>
      <c r="AB59" s="23" t="s">
        <v>19</v>
      </c>
      <c r="AC59" s="23" t="s">
        <v>19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45149</v>
      </c>
      <c r="B60" s="108">
        <v>1600</v>
      </c>
      <c r="C60" s="108"/>
      <c r="D60" s="108" cm="1">
        <f t="array" ref="D60">(SUM(VLOOKUP(I60:AF60,$AM$4:$AO$44,2,FALSE))+AG60*10)*IF(AK60="是",$AZ$4,$AZ$3)</f>
        <v>1632</v>
      </c>
      <c r="E60" s="166">
        <f>SUM($B$4:B60)+SUM($C$4:C60)-SUM($D$4:D60)</f>
        <v>462</v>
      </c>
      <c r="F60" s="108" cm="1">
        <f t="array" ref="F60">SUM(VLOOKUP(I60:AF60,$AM$4:$AO$44,3,FALSE))</f>
        <v>580</v>
      </c>
      <c r="G60" s="97">
        <f>SUM($F$4:F60)+SUM($H$4:H60)</f>
        <v>41660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24" t="s">
        <v>20</v>
      </c>
      <c r="W60" s="110" t="s">
        <v>23</v>
      </c>
      <c r="X60" s="110" t="s">
        <v>23</v>
      </c>
      <c r="Y60" s="23" t="s">
        <v>19</v>
      </c>
      <c r="Z60" s="23" t="s">
        <v>19</v>
      </c>
      <c r="AA60" s="23" t="s">
        <v>19</v>
      </c>
      <c r="AB60" s="23" t="s">
        <v>19</v>
      </c>
      <c r="AC60" s="23" t="s">
        <v>19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45150</v>
      </c>
      <c r="B61" s="108">
        <v>1600</v>
      </c>
      <c r="C61" s="108"/>
      <c r="D61" s="108" cm="1">
        <f t="array" ref="D61">(SUM(VLOOKUP(I61:AF61,$AM$4:$AO$44,2,FALSE))+AG61*10)*IF(AK61="是",$AZ$4,$AZ$3)</f>
        <v>1608</v>
      </c>
      <c r="E61" s="166">
        <f>SUM($B$4:B61)+SUM($C$4:C61)-SUM($D$4:D61)</f>
        <v>454</v>
      </c>
      <c r="F61" s="108" cm="1">
        <f t="array" ref="F61">SUM(VLOOKUP(I61:AF61,$AM$4:$AO$44,3,FALSE))</f>
        <v>625</v>
      </c>
      <c r="G61" s="97">
        <f>SUM($F$4:F61)+SUM($H$4:H61)</f>
        <v>42285</v>
      </c>
      <c r="H61" s="108">
        <v>0</v>
      </c>
      <c r="I61" s="22" t="s">
        <v>18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24" t="s">
        <v>20</v>
      </c>
      <c r="W61" s="110" t="s">
        <v>23</v>
      </c>
      <c r="X61" s="110" t="s">
        <v>23</v>
      </c>
      <c r="Y61" s="23" t="s">
        <v>19</v>
      </c>
      <c r="Z61" s="23" t="s">
        <v>19</v>
      </c>
      <c r="AA61" s="23" t="s">
        <v>19</v>
      </c>
      <c r="AB61" s="23" t="s">
        <v>19</v>
      </c>
      <c r="AC61" s="23" t="s">
        <v>19</v>
      </c>
      <c r="AD61" s="29" t="s">
        <v>47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45151</v>
      </c>
      <c r="B62" s="108">
        <v>1600</v>
      </c>
      <c r="C62" s="108"/>
      <c r="D62" s="108" cm="1">
        <f t="array" ref="D62">(SUM(VLOOKUP(I62:AF62,$AM$4:$AO$44,2,FALSE))+AG62*10)*IF(AK62="是",$AZ$4,$AZ$3)</f>
        <v>1616</v>
      </c>
      <c r="E62" s="166">
        <f>SUM($B$4:B62)+SUM($C$4:C62)-SUM($D$4:D62)</f>
        <v>438</v>
      </c>
      <c r="F62" s="108" cm="1">
        <f t="array" ref="F62">SUM(VLOOKUP(I62:AF62,$AM$4:$AO$44,3,FALSE))</f>
        <v>575</v>
      </c>
      <c r="G62" s="97">
        <f>SUM($F$4:F62)+SUM($H$4:H62)</f>
        <v>42860</v>
      </c>
      <c r="H62" s="108">
        <v>0</v>
      </c>
      <c r="I62" s="22" t="s">
        <v>18</v>
      </c>
      <c r="J62" s="22" t="s">
        <v>18</v>
      </c>
      <c r="K62" s="22" t="s">
        <v>18</v>
      </c>
      <c r="L62" s="22" t="s">
        <v>18</v>
      </c>
      <c r="M62" s="22" t="s">
        <v>18</v>
      </c>
      <c r="N62" s="22" t="s">
        <v>18</v>
      </c>
      <c r="O62" s="110" t="s">
        <v>23</v>
      </c>
      <c r="P62" s="110" t="s">
        <v>23</v>
      </c>
      <c r="Q62" s="28" t="s">
        <v>12</v>
      </c>
      <c r="R62" s="24" t="s">
        <v>20</v>
      </c>
      <c r="S62" s="24" t="s">
        <v>20</v>
      </c>
      <c r="T62" s="24" t="s">
        <v>20</v>
      </c>
      <c r="U62" s="24" t="s">
        <v>20</v>
      </c>
      <c r="V62" s="24" t="s">
        <v>20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45152</v>
      </c>
      <c r="B63" s="109">
        <v>1600</v>
      </c>
      <c r="C63" s="109"/>
      <c r="D63" s="108" cm="1">
        <f t="array" ref="D63">(SUM(VLOOKUP(I63:AF63,$AM$4:$AO$44,2,FALSE))+AG63*10)*IF(AK63="是",$AZ$4,$AZ$3)</f>
        <v>1544</v>
      </c>
      <c r="E63" s="166">
        <f>SUM($B$4:B63)+SUM($C$4:C63)-SUM($D$4:D63)</f>
        <v>494</v>
      </c>
      <c r="F63" s="108" cm="1">
        <f t="array" ref="F63">SUM(VLOOKUP(I63:AF63,$AM$4:$AO$44,3,FALSE))</f>
        <v>555</v>
      </c>
      <c r="G63" s="97">
        <f>SUM($F$4:F63)+SUM($H$4:H63)</f>
        <v>43715</v>
      </c>
      <c r="H63" s="109">
        <v>300</v>
      </c>
      <c r="I63" s="146" t="s">
        <v>7</v>
      </c>
      <c r="J63" s="22" t="s">
        <v>18</v>
      </c>
      <c r="K63" s="22" t="s">
        <v>18</v>
      </c>
      <c r="L63" s="22" t="s">
        <v>18</v>
      </c>
      <c r="M63" s="22" t="s">
        <v>18</v>
      </c>
      <c r="N63" s="109" t="s">
        <v>23</v>
      </c>
      <c r="O63" s="110" t="s">
        <v>23</v>
      </c>
      <c r="P63" s="110" t="s">
        <v>23</v>
      </c>
      <c r="Q63" s="24" t="s">
        <v>20</v>
      </c>
      <c r="R63" s="148" t="s">
        <v>9</v>
      </c>
      <c r="S63" s="24" t="s">
        <v>20</v>
      </c>
      <c r="T63" s="24" t="s">
        <v>20</v>
      </c>
      <c r="U63" s="24" t="s">
        <v>20</v>
      </c>
      <c r="V63" s="24" t="s">
        <v>20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45153</v>
      </c>
      <c r="B64" s="109">
        <v>1600</v>
      </c>
      <c r="C64" s="109"/>
      <c r="D64" s="108" cm="1">
        <f t="array" ref="D64">(SUM(VLOOKUP(I64:AF64,$AM$4:$AO$44,2,FALSE))+AG64*10)*IF(AK64="是",$AZ$4,$AZ$3)</f>
        <v>1592</v>
      </c>
      <c r="E64" s="166">
        <f>SUM($B$4:B64)+SUM($C$4:C64)-SUM($D$4:D64)</f>
        <v>502</v>
      </c>
      <c r="F64" s="108" cm="1">
        <f t="array" ref="F64">SUM(VLOOKUP(I64:AF64,$AM$4:$AO$44,3,FALSE))</f>
        <v>555</v>
      </c>
      <c r="G64" s="97">
        <f>SUM($F$4:F64)+SUM($H$4:H64)</f>
        <v>44270</v>
      </c>
      <c r="H64" s="109">
        <v>0</v>
      </c>
      <c r="I64" s="22" t="s">
        <v>18</v>
      </c>
      <c r="J64" s="22" t="s">
        <v>18</v>
      </c>
      <c r="K64" s="22" t="s">
        <v>18</v>
      </c>
      <c r="L64" s="22" t="s">
        <v>18</v>
      </c>
      <c r="M64" s="22" t="s">
        <v>18</v>
      </c>
      <c r="N64" s="109" t="s">
        <v>23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45154</v>
      </c>
      <c r="B65" s="109">
        <v>1600</v>
      </c>
      <c r="C65" s="109"/>
      <c r="D65" s="108" cm="1">
        <f t="array" ref="D65">(SUM(VLOOKUP(I65:AF65,$AM$4:$AO$44,2,FALSE))+AG65*10)*IF(AK65="是",$AZ$4,$AZ$3)</f>
        <v>1592</v>
      </c>
      <c r="E65" s="166">
        <f>SUM($B$4:B65)+SUM($C$4:C65)-SUM($D$4:D65)</f>
        <v>510</v>
      </c>
      <c r="F65" s="108" cm="1">
        <f t="array" ref="F65">SUM(VLOOKUP(I65:AF65,$AM$4:$AO$44,3,FALSE))</f>
        <v>555</v>
      </c>
      <c r="G65" s="97">
        <f>SUM($F$4:F65)+SUM($H$4:H65)</f>
        <v>45025</v>
      </c>
      <c r="H65" s="109">
        <v>200</v>
      </c>
      <c r="I65" s="22" t="s">
        <v>18</v>
      </c>
      <c r="J65" s="22" t="s">
        <v>18</v>
      </c>
      <c r="K65" s="22" t="s">
        <v>18</v>
      </c>
      <c r="L65" s="22" t="s">
        <v>18</v>
      </c>
      <c r="M65" s="22" t="s">
        <v>18</v>
      </c>
      <c r="N65" s="22" t="s">
        <v>18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5" t="s">
        <v>21</v>
      </c>
      <c r="U65" s="25" t="s">
        <v>21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45155</v>
      </c>
      <c r="B66" s="109">
        <v>1600</v>
      </c>
      <c r="C66" s="109"/>
      <c r="D66" s="108" cm="1">
        <f t="array" ref="D66">(SUM(VLOOKUP(I66:AF66,$AM$4:$AO$44,2,FALSE))+AG66*10)*IF(AK66="是",$AZ$4,$AZ$3)</f>
        <v>1616</v>
      </c>
      <c r="E66" s="166">
        <f>SUM($B$4:B66)+SUM($C$4:C66)-SUM($D$4:D66)</f>
        <v>494</v>
      </c>
      <c r="F66" s="108" cm="1">
        <f t="array" ref="F66">SUM(VLOOKUP(I66:AF66,$AM$4:$AO$44,3,FALSE))</f>
        <v>630</v>
      </c>
      <c r="G66" s="97">
        <f>SUM($F$4:F66)+SUM($H$4:H66)</f>
        <v>45655</v>
      </c>
      <c r="H66" s="109">
        <v>0</v>
      </c>
      <c r="I66" s="22" t="s">
        <v>18</v>
      </c>
      <c r="J66" s="22" t="s">
        <v>18</v>
      </c>
      <c r="K66" s="29" t="s">
        <v>47</v>
      </c>
      <c r="L66" s="22" t="s">
        <v>18</v>
      </c>
      <c r="M66" s="22" t="s">
        <v>18</v>
      </c>
      <c r="N66" s="22" t="s">
        <v>18</v>
      </c>
      <c r="O66" s="22" t="s">
        <v>18</v>
      </c>
      <c r="P66" s="110" t="s">
        <v>23</v>
      </c>
      <c r="Q66" s="25" t="s">
        <v>21</v>
      </c>
      <c r="R66" s="25" t="s">
        <v>21</v>
      </c>
      <c r="S66" s="25" t="s">
        <v>21</v>
      </c>
      <c r="T66" s="25" t="s">
        <v>21</v>
      </c>
      <c r="U66" s="25" t="s">
        <v>21</v>
      </c>
      <c r="V66" s="25" t="s">
        <v>21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45156</v>
      </c>
      <c r="B67" s="109">
        <v>1600</v>
      </c>
      <c r="C67" s="109"/>
      <c r="D67" s="108" cm="1">
        <f t="array" ref="D67">(SUM(VLOOKUP(I67:AF67,$AM$4:$AO$44,2,FALSE))+AG67*10)*IF(AK67="是",$AZ$4,$AZ$3)</f>
        <v>1520</v>
      </c>
      <c r="E67" s="166">
        <f>SUM($B$4:B67)+SUM($C$4:C67)-SUM($D$4:D67)</f>
        <v>574</v>
      </c>
      <c r="F67" s="108" cm="1">
        <f t="array" ref="F67">SUM(VLOOKUP(I67:AF67,$AM$4:$AO$44,3,FALSE))</f>
        <v>555</v>
      </c>
      <c r="G67" s="97">
        <f>SUM($F$4:F67)+SUM($H$4:H67)</f>
        <v>46210</v>
      </c>
      <c r="H67" s="109">
        <v>0</v>
      </c>
      <c r="I67" s="22" t="s">
        <v>18</v>
      </c>
      <c r="J67" s="22" t="s">
        <v>18</v>
      </c>
      <c r="K67" s="22" t="s">
        <v>18</v>
      </c>
      <c r="L67" s="22" t="s">
        <v>18</v>
      </c>
      <c r="M67" s="28" t="s">
        <v>12</v>
      </c>
      <c r="N67" s="22" t="s">
        <v>18</v>
      </c>
      <c r="O67" s="110" t="s">
        <v>23</v>
      </c>
      <c r="P67" s="110" t="s">
        <v>23</v>
      </c>
      <c r="Q67" s="25" t="s">
        <v>21</v>
      </c>
      <c r="R67" s="25" t="s">
        <v>21</v>
      </c>
      <c r="S67" s="25" t="s">
        <v>21</v>
      </c>
      <c r="T67" s="25" t="s">
        <v>21</v>
      </c>
      <c r="U67" s="25" t="s">
        <v>21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45157</v>
      </c>
      <c r="B68" s="109">
        <v>1600</v>
      </c>
      <c r="C68" s="109"/>
      <c r="D68" s="108" cm="1">
        <f t="array" ref="D68">(SUM(VLOOKUP(I68:AF68,$AM$4:$AO$44,2,FALSE))+AG68*10)*IF(AK68="是",$AZ$4,$AZ$3)</f>
        <v>1640</v>
      </c>
      <c r="E68" s="166">
        <f>SUM($B$4:B68)+SUM($C$4:C68)-SUM($D$4:D68)</f>
        <v>534</v>
      </c>
      <c r="F68" s="108" cm="1">
        <f t="array" ref="F68">SUM(VLOOKUP(I68:AF68,$AM$4:$AO$44,3,FALSE))</f>
        <v>585</v>
      </c>
      <c r="G68" s="97">
        <f>SUM($F$4:F68)+SUM($H$4:H68)</f>
        <v>46795</v>
      </c>
      <c r="H68" s="109">
        <v>0</v>
      </c>
      <c r="I68" s="22" t="s">
        <v>18</v>
      </c>
      <c r="J68" s="22" t="s">
        <v>18</v>
      </c>
      <c r="K68" s="22" t="s">
        <v>18</v>
      </c>
      <c r="L68" s="22" t="s">
        <v>18</v>
      </c>
      <c r="M68" s="22" t="s">
        <v>18</v>
      </c>
      <c r="N68" s="109" t="s">
        <v>23</v>
      </c>
      <c r="O68" s="110" t="s">
        <v>23</v>
      </c>
      <c r="P68" s="110" t="s">
        <v>23</v>
      </c>
      <c r="Q68" s="25" t="s">
        <v>21</v>
      </c>
      <c r="R68" s="25" t="s">
        <v>21</v>
      </c>
      <c r="S68" s="25" t="s">
        <v>21</v>
      </c>
      <c r="T68" s="25" t="s">
        <v>21</v>
      </c>
      <c r="U68" s="25" t="s">
        <v>21</v>
      </c>
      <c r="V68" s="25" t="s">
        <v>21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45158</v>
      </c>
      <c r="B69" s="109">
        <v>1600</v>
      </c>
      <c r="C69" s="109"/>
      <c r="D69" s="108" cm="1">
        <f t="array" ref="D69">(SUM(VLOOKUP(I69:AF69,$AM$4:$AO$44,2,FALSE))+AG69*10)*IF(AK69="是",$AZ$4,$AZ$3)</f>
        <v>1640</v>
      </c>
      <c r="E69" s="166">
        <f>SUM($B$4:B69)+SUM($C$4:C69)-SUM($D$4:D69)</f>
        <v>494</v>
      </c>
      <c r="F69" s="108" cm="1">
        <f t="array" ref="F69">SUM(VLOOKUP(I69:AF69,$AM$4:$AO$44,3,FALSE))</f>
        <v>585</v>
      </c>
      <c r="G69" s="97">
        <f>SUM($F$4:F69)+SUM($H$4:H69)</f>
        <v>47380</v>
      </c>
      <c r="H69" s="109">
        <v>0</v>
      </c>
      <c r="I69" s="22" t="s">
        <v>18</v>
      </c>
      <c r="J69" s="22" t="s">
        <v>18</v>
      </c>
      <c r="K69" s="22" t="s">
        <v>18</v>
      </c>
      <c r="L69" s="22" t="s">
        <v>18</v>
      </c>
      <c r="M69" s="22" t="s">
        <v>18</v>
      </c>
      <c r="N69" s="109" t="s">
        <v>23</v>
      </c>
      <c r="O69" s="110" t="s">
        <v>23</v>
      </c>
      <c r="P69" s="110" t="s">
        <v>23</v>
      </c>
      <c r="Q69" s="25" t="s">
        <v>21</v>
      </c>
      <c r="R69" s="25" t="s">
        <v>21</v>
      </c>
      <c r="S69" s="25" t="s">
        <v>21</v>
      </c>
      <c r="T69" s="25" t="s">
        <v>21</v>
      </c>
      <c r="U69" s="25" t="s">
        <v>21</v>
      </c>
      <c r="V69" s="25" t="s">
        <v>21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3" si="9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45159</v>
      </c>
      <c r="B70" s="108">
        <v>1600</v>
      </c>
      <c r="C70" s="108"/>
      <c r="D70" s="108" cm="1">
        <f t="array" ref="D70">(SUM(VLOOKUP(I70:AF70,$AM$4:$AO$44,2,FALSE))+AG70*10)*IF(AK70="是",$AZ$4,$AZ$3)</f>
        <v>1640</v>
      </c>
      <c r="E70" s="166">
        <f>SUM($B$4:B70)+SUM($C$4:C70)-SUM($D$4:D70)</f>
        <v>454</v>
      </c>
      <c r="F70" s="108" cm="1">
        <f t="array" ref="F70">SUM(VLOOKUP(I70:AF70,$AM$4:$AO$44,3,FALSE))</f>
        <v>585</v>
      </c>
      <c r="G70" s="97">
        <f>SUM($F$4:F70)+SUM($H$4:H70)</f>
        <v>48265</v>
      </c>
      <c r="H70" s="108">
        <v>300</v>
      </c>
      <c r="I70" s="22" t="s">
        <v>18</v>
      </c>
      <c r="J70" s="22" t="s">
        <v>18</v>
      </c>
      <c r="K70" s="22" t="s">
        <v>18</v>
      </c>
      <c r="L70" s="22" t="s">
        <v>18</v>
      </c>
      <c r="M70" s="22" t="s">
        <v>18</v>
      </c>
      <c r="N70" s="109" t="s">
        <v>23</v>
      </c>
      <c r="O70" s="110" t="s">
        <v>23</v>
      </c>
      <c r="P70" s="110" t="s">
        <v>23</v>
      </c>
      <c r="Q70" s="25" t="s">
        <v>21</v>
      </c>
      <c r="R70" s="25" t="s">
        <v>21</v>
      </c>
      <c r="S70" s="25" t="s">
        <v>21</v>
      </c>
      <c r="T70" s="25" t="s">
        <v>21</v>
      </c>
      <c r="U70" s="25" t="s">
        <v>21</v>
      </c>
      <c r="V70" s="25" t="s">
        <v>21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9"/>
        <v>0</v>
      </c>
      <c r="AH70" s="111"/>
      <c r="AI70" s="111"/>
      <c r="AJ70" s="111"/>
      <c r="AK70" s="112" t="s">
        <v>31</v>
      </c>
      <c r="AL70" s="107"/>
    </row>
    <row r="71" spans="1:38">
      <c r="A71" s="204">
        <v>45160</v>
      </c>
      <c r="B71" s="108">
        <v>1600</v>
      </c>
      <c r="C71" s="108"/>
      <c r="D71" s="108" cm="1">
        <f t="array" ref="D71">(SUM(VLOOKUP(I71:AF71,$AM$4:$AO$44,2,FALSE))+AG71*10)*IF(AK71="是",$AZ$4,$AZ$3)</f>
        <v>1576</v>
      </c>
      <c r="E71" s="166">
        <f>SUM($B$4:B71)+SUM($C$4:C71)-SUM($D$4:D71)</f>
        <v>478</v>
      </c>
      <c r="F71" s="108" cm="1">
        <f t="array" ref="F71">SUM(VLOOKUP(I71:AF71,$AM$4:$AO$44,3,FALSE))</f>
        <v>595</v>
      </c>
      <c r="G71" s="97">
        <f>SUM($F$4:F71)+SUM($H$4:H71)</f>
        <v>48860</v>
      </c>
      <c r="H71" s="108">
        <v>0</v>
      </c>
      <c r="I71" s="22" t="s">
        <v>18</v>
      </c>
      <c r="J71" s="28" t="s">
        <v>12</v>
      </c>
      <c r="K71" s="22" t="s">
        <v>18</v>
      </c>
      <c r="L71" s="22" t="s">
        <v>18</v>
      </c>
      <c r="M71" s="22" t="s">
        <v>18</v>
      </c>
      <c r="N71" s="28" t="s">
        <v>12</v>
      </c>
      <c r="O71" s="110" t="s">
        <v>23</v>
      </c>
      <c r="P71" s="110" t="s">
        <v>23</v>
      </c>
      <c r="Q71" s="24" t="s">
        <v>20</v>
      </c>
      <c r="R71" s="25" t="s">
        <v>21</v>
      </c>
      <c r="S71" s="25" t="s">
        <v>21</v>
      </c>
      <c r="T71" s="25" t="s">
        <v>21</v>
      </c>
      <c r="U71" s="25" t="s">
        <v>21</v>
      </c>
      <c r="V71" s="25" t="s">
        <v>21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9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45161</v>
      </c>
      <c r="B72" s="108">
        <v>1600</v>
      </c>
      <c r="C72" s="108"/>
      <c r="D72" s="108" cm="1">
        <f t="array" ref="D72">(SUM(VLOOKUP(I72:AF72,$AM$4:$AO$44,2,FALSE))+AG72*10)*IF(AK72="是",$AZ$4,$AZ$3)</f>
        <v>1656</v>
      </c>
      <c r="E72" s="166">
        <f>SUM($B$4:B72)+SUM($C$4:C72)-SUM($D$4:D72)</f>
        <v>422</v>
      </c>
      <c r="F72" s="108" cm="1">
        <f t="array" ref="F72">SUM(VLOOKUP(I72:AF72,$AM$4:$AO$44,3,FALSE))</f>
        <v>1510</v>
      </c>
      <c r="G72" s="97">
        <f>SUM($F$4:F72)+SUM($H$4:H72)</f>
        <v>50570</v>
      </c>
      <c r="H72" s="108">
        <v>200</v>
      </c>
      <c r="I72" s="22" t="s">
        <v>18</v>
      </c>
      <c r="J72" s="22" t="s">
        <v>18</v>
      </c>
      <c r="K72" s="22" t="s">
        <v>18</v>
      </c>
      <c r="L72" s="22" t="s">
        <v>18</v>
      </c>
      <c r="M72" s="22" t="s">
        <v>18</v>
      </c>
      <c r="N72" s="22" t="s">
        <v>18</v>
      </c>
      <c r="O72" s="110" t="s">
        <v>23</v>
      </c>
      <c r="P72" s="110" t="s">
        <v>23</v>
      </c>
      <c r="Q72" s="25" t="s">
        <v>21</v>
      </c>
      <c r="R72" s="25" t="s">
        <v>21</v>
      </c>
      <c r="S72" s="25" t="s">
        <v>21</v>
      </c>
      <c r="T72" s="32" t="s">
        <v>15</v>
      </c>
      <c r="U72" s="25" t="s">
        <v>21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9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45162</v>
      </c>
      <c r="B73" s="108">
        <v>1600</v>
      </c>
      <c r="C73" s="108"/>
      <c r="D73" s="108" cm="1">
        <f t="array" ref="D73">(SUM(VLOOKUP(I73:AF73,$AM$4:$AO$44,2,FALSE))+AG73*10)*IF(AK73="是",$AZ$4,$AZ$3)</f>
        <v>1488</v>
      </c>
      <c r="E73" s="166">
        <f>SUM($B$4:B73)+SUM($C$4:C73)-SUM($D$4:D73)</f>
        <v>534</v>
      </c>
      <c r="F73" s="108" cm="1">
        <f t="array" ref="F73">SUM(VLOOKUP(I73:AF73,$AM$4:$AO$44,3,FALSE))</f>
        <v>540</v>
      </c>
      <c r="G73" s="97">
        <f>SUM($F$4:F73)+SUM($H$4:H73)</f>
        <v>51110</v>
      </c>
      <c r="H73" s="108">
        <v>0</v>
      </c>
      <c r="I73" s="22" t="s">
        <v>18</v>
      </c>
      <c r="J73" s="22" t="s">
        <v>18</v>
      </c>
      <c r="K73" s="22" t="s">
        <v>18</v>
      </c>
      <c r="L73" s="146" t="s">
        <v>7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25" t="s">
        <v>21</v>
      </c>
      <c r="R73" s="25" t="s">
        <v>21</v>
      </c>
      <c r="S73" s="25" t="s">
        <v>21</v>
      </c>
      <c r="T73" s="25" t="s">
        <v>21</v>
      </c>
      <c r="U73" s="25" t="s">
        <v>21</v>
      </c>
      <c r="V73" s="25" t="s">
        <v>21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9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45163</v>
      </c>
      <c r="B74" s="108">
        <v>1600</v>
      </c>
      <c r="C74" s="108"/>
      <c r="D74" s="108" cm="1">
        <f t="array" ref="D74">(SUM(VLOOKUP(I74:AF74,$AM$4:$AO$44,2,FALSE))+AG74*10)*IF(AK74="是",$AZ$4,$AZ$3)</f>
        <v>1640</v>
      </c>
      <c r="E74" s="166">
        <f>SUM($B$4:B74)+SUM($C$4:C74)-SUM($D$4:D74)</f>
        <v>494</v>
      </c>
      <c r="F74" s="108" cm="1">
        <f t="array" ref="F74">SUM(VLOOKUP(I74:AF74,$AM$4:$AO$44,3,FALSE))</f>
        <v>585</v>
      </c>
      <c r="G74" s="97">
        <f>SUM($F$4:F74)+SUM($H$4:H74)</f>
        <v>51695</v>
      </c>
      <c r="H74" s="108">
        <v>0</v>
      </c>
      <c r="I74" s="22" t="s">
        <v>18</v>
      </c>
      <c r="J74" s="22" t="s">
        <v>18</v>
      </c>
      <c r="K74" s="22" t="s">
        <v>18</v>
      </c>
      <c r="L74" s="22" t="s">
        <v>18</v>
      </c>
      <c r="M74" s="22" t="s">
        <v>18</v>
      </c>
      <c r="N74" s="109" t="s">
        <v>23</v>
      </c>
      <c r="O74" s="110" t="s">
        <v>23</v>
      </c>
      <c r="P74" s="110" t="s">
        <v>23</v>
      </c>
      <c r="Q74" s="25" t="s">
        <v>21</v>
      </c>
      <c r="R74" s="25" t="s">
        <v>21</v>
      </c>
      <c r="S74" s="25" t="s">
        <v>21</v>
      </c>
      <c r="T74" s="25" t="s">
        <v>21</v>
      </c>
      <c r="U74" s="25" t="s">
        <v>21</v>
      </c>
      <c r="V74" s="25" t="s">
        <v>21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9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45164</v>
      </c>
      <c r="B75" s="108">
        <v>1600</v>
      </c>
      <c r="C75" s="108"/>
      <c r="D75" s="108" cm="1">
        <f t="array" ref="D75">(SUM(VLOOKUP(I75:AF75,$AM$4:$AO$44,2,FALSE))+AG75*10)*IF(AK75="是",$AZ$4,$AZ$3)</f>
        <v>1616</v>
      </c>
      <c r="E75" s="166">
        <f>SUM($B$4:B75)+SUM($C$4:C75)-SUM($D$4:D75)</f>
        <v>478</v>
      </c>
      <c r="F75" s="108" cm="1">
        <f t="array" ref="F75">SUM(VLOOKUP(I75:AF75,$AM$4:$AO$44,3,FALSE))</f>
        <v>570</v>
      </c>
      <c r="G75" s="97">
        <f>SUM($F$4:F75)+SUM($H$4:H75)</f>
        <v>52265</v>
      </c>
      <c r="H75" s="108">
        <v>0</v>
      </c>
      <c r="I75" s="22" t="s">
        <v>18</v>
      </c>
      <c r="J75" s="22" t="s">
        <v>18</v>
      </c>
      <c r="K75" s="22" t="s">
        <v>18</v>
      </c>
      <c r="L75" s="22" t="s">
        <v>18</v>
      </c>
      <c r="M75" s="22" t="s">
        <v>18</v>
      </c>
      <c r="N75" s="22" t="s">
        <v>18</v>
      </c>
      <c r="O75" s="110" t="s">
        <v>23</v>
      </c>
      <c r="P75" s="110" t="s">
        <v>23</v>
      </c>
      <c r="Q75" s="25" t="s">
        <v>21</v>
      </c>
      <c r="R75" s="25" t="s">
        <v>21</v>
      </c>
      <c r="S75" s="25" t="s">
        <v>21</v>
      </c>
      <c r="T75" s="25" t="s">
        <v>21</v>
      </c>
      <c r="U75" s="25" t="s">
        <v>21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9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45165</v>
      </c>
      <c r="B76" s="108">
        <v>1600</v>
      </c>
      <c r="C76" s="108"/>
      <c r="D76" s="108" cm="1">
        <f t="array" ref="D76">(SUM(VLOOKUP(I76:AF76,$AM$4:$AO$44,2,FALSE))+AG76*10)*IF(AK76="是",$AZ$4,$AZ$3)</f>
        <v>1544</v>
      </c>
      <c r="E76" s="166">
        <f>SUM($B$4:B76)+SUM($C$4:C76)-SUM($D$4:D76)</f>
        <v>534</v>
      </c>
      <c r="F76" s="108" cm="1">
        <f t="array" ref="F76">SUM(VLOOKUP(I76:AF76,$AM$4:$AO$44,3,FALSE))</f>
        <v>630</v>
      </c>
      <c r="G76" s="97">
        <f>SUM($F$4:F76)+SUM($H$4:H76)</f>
        <v>52895</v>
      </c>
      <c r="H76" s="108">
        <v>0</v>
      </c>
      <c r="I76" s="22" t="s">
        <v>18</v>
      </c>
      <c r="J76" s="22" t="s">
        <v>18</v>
      </c>
      <c r="K76" s="22" t="s">
        <v>18</v>
      </c>
      <c r="L76" s="22" t="s">
        <v>18</v>
      </c>
      <c r="M76" s="28" t="s">
        <v>12</v>
      </c>
      <c r="N76" s="109" t="s">
        <v>23</v>
      </c>
      <c r="O76" s="110" t="s">
        <v>23</v>
      </c>
      <c r="P76" s="110" t="s">
        <v>23</v>
      </c>
      <c r="Q76" s="25" t="s">
        <v>21</v>
      </c>
      <c r="R76" s="25" t="s">
        <v>21</v>
      </c>
      <c r="S76" s="25" t="s">
        <v>21</v>
      </c>
      <c r="T76" s="25" t="s">
        <v>21</v>
      </c>
      <c r="U76" s="29" t="s">
        <v>47</v>
      </c>
      <c r="V76" s="25" t="s">
        <v>21</v>
      </c>
      <c r="W76" s="25" t="s">
        <v>21</v>
      </c>
      <c r="X76" s="25" t="s">
        <v>21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9"/>
        <v>0</v>
      </c>
      <c r="AH76" s="111"/>
      <c r="AI76" s="111"/>
      <c r="AJ76" s="111"/>
      <c r="AK76" s="112" t="s">
        <v>31</v>
      </c>
      <c r="AL76" s="107"/>
    </row>
    <row r="77" spans="1:38">
      <c r="A77" s="204">
        <v>45166</v>
      </c>
      <c r="B77" s="109">
        <v>1600</v>
      </c>
      <c r="C77" s="109"/>
      <c r="D77" s="108" cm="1">
        <f t="array" ref="D77">(SUM(VLOOKUP(I77:AF77,$AM$4:$AO$44,2,FALSE))+AG77*10)*IF(AK77="是",$AZ$4,$AZ$3)</f>
        <v>1640</v>
      </c>
      <c r="E77" s="166">
        <f>SUM($B$4:B77)+SUM($C$4:C77)-SUM($D$4:D77)</f>
        <v>494</v>
      </c>
      <c r="F77" s="108" cm="1">
        <f t="array" ref="F77">SUM(VLOOKUP(I77:AF77,$AM$4:$AO$44,3,FALSE))</f>
        <v>585</v>
      </c>
      <c r="G77" s="97">
        <f>SUM($F$4:F77)+SUM($H$4:H77)</f>
        <v>53780</v>
      </c>
      <c r="H77" s="109">
        <v>300</v>
      </c>
      <c r="I77" s="22" t="s">
        <v>18</v>
      </c>
      <c r="J77" s="22" t="s">
        <v>18</v>
      </c>
      <c r="K77" s="22" t="s">
        <v>18</v>
      </c>
      <c r="L77" s="22" t="s">
        <v>18</v>
      </c>
      <c r="M77" s="22" t="s">
        <v>18</v>
      </c>
      <c r="N77" s="109" t="s">
        <v>23</v>
      </c>
      <c r="O77" s="110" t="s">
        <v>23</v>
      </c>
      <c r="P77" s="110" t="s">
        <v>23</v>
      </c>
      <c r="Q77" s="25" t="s">
        <v>21</v>
      </c>
      <c r="R77" s="25" t="s">
        <v>21</v>
      </c>
      <c r="S77" s="25" t="s">
        <v>21</v>
      </c>
      <c r="T77" s="25" t="s">
        <v>21</v>
      </c>
      <c r="U77" s="25" t="s">
        <v>21</v>
      </c>
      <c r="V77" s="25" t="s">
        <v>21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9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45167</v>
      </c>
      <c r="B78" s="109">
        <v>1600</v>
      </c>
      <c r="C78" s="109"/>
      <c r="D78" s="108" cm="1">
        <f t="array" ref="D78">(SUM(VLOOKUP(I78:AF78,$AM$4:$AO$44,2,FALSE))+AG78*10)*IF(AK78="是",$AZ$4,$AZ$3)</f>
        <v>1640</v>
      </c>
      <c r="E78" s="166">
        <f>SUM($B$4:B78)+SUM($C$4:C78)-SUM($D$4:D78)</f>
        <v>454</v>
      </c>
      <c r="F78" s="108" cm="1">
        <f t="array" ref="F78">SUM(VLOOKUP(I78:AF78,$AM$4:$AO$44,3,FALSE))</f>
        <v>585</v>
      </c>
      <c r="G78" s="97">
        <f>SUM($F$4:F78)+SUM($H$4:H78)</f>
        <v>54365</v>
      </c>
      <c r="H78" s="109">
        <v>0</v>
      </c>
      <c r="I78" s="22" t="s">
        <v>18</v>
      </c>
      <c r="J78" s="22" t="s">
        <v>18</v>
      </c>
      <c r="K78" s="22" t="s">
        <v>18</v>
      </c>
      <c r="L78" s="22" t="s">
        <v>18</v>
      </c>
      <c r="M78" s="22" t="s">
        <v>18</v>
      </c>
      <c r="N78" s="109" t="s">
        <v>23</v>
      </c>
      <c r="O78" s="110" t="s">
        <v>23</v>
      </c>
      <c r="P78" s="110" t="s">
        <v>23</v>
      </c>
      <c r="Q78" s="25" t="s">
        <v>21</v>
      </c>
      <c r="R78" s="25" t="s">
        <v>21</v>
      </c>
      <c r="S78" s="25" t="s">
        <v>21</v>
      </c>
      <c r="T78" s="25" t="s">
        <v>21</v>
      </c>
      <c r="U78" s="25" t="s">
        <v>21</v>
      </c>
      <c r="V78" s="25" t="s">
        <v>21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9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45168</v>
      </c>
      <c r="B79" s="109">
        <v>1600</v>
      </c>
      <c r="C79" s="109"/>
      <c r="D79" s="108" cm="1">
        <f t="array" ref="D79">(SUM(VLOOKUP(I79:AF79,$AM$4:$AO$44,2,FALSE))+AG79*10)*IF(AK79="是",$AZ$4,$AZ$3)</f>
        <v>1648</v>
      </c>
      <c r="E79" s="166">
        <f>SUM($B$4:B79)+SUM($C$4:C79)-SUM($D$4:D79)</f>
        <v>406</v>
      </c>
      <c r="F79" s="108" cm="1">
        <f t="array" ref="F79">SUM(VLOOKUP(I79:AF79,$AM$4:$AO$44,3,FALSE))</f>
        <v>590</v>
      </c>
      <c r="G79" s="97">
        <f>SUM($F$4:F79)+SUM($H$4:H79)</f>
        <v>55155</v>
      </c>
      <c r="H79" s="109">
        <v>200</v>
      </c>
      <c r="I79" s="22" t="s">
        <v>18</v>
      </c>
      <c r="J79" s="22" t="s">
        <v>18</v>
      </c>
      <c r="K79" s="22" t="s">
        <v>18</v>
      </c>
      <c r="L79" s="22" t="s">
        <v>18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5" t="s">
        <v>21</v>
      </c>
      <c r="R79" s="25" t="s">
        <v>21</v>
      </c>
      <c r="S79" s="25" t="s">
        <v>21</v>
      </c>
      <c r="T79" s="25" t="s">
        <v>21</v>
      </c>
      <c r="U79" s="25" t="s">
        <v>21</v>
      </c>
      <c r="V79" s="25" t="s">
        <v>21</v>
      </c>
      <c r="W79" s="110" t="s">
        <v>23</v>
      </c>
      <c r="X79" s="110" t="s">
        <v>23</v>
      </c>
      <c r="Y79" s="23" t="s">
        <v>19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9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45169</v>
      </c>
      <c r="B80" s="109">
        <v>1600</v>
      </c>
      <c r="C80" s="109"/>
      <c r="D80" s="108" cm="1">
        <f t="array" ref="D80">(SUM(VLOOKUP(I80:AF80,$AM$4:$AO$44,2,FALSE))+AG80*10)*IF(AK80="是",$AZ$4,$AZ$3)</f>
        <v>1472</v>
      </c>
      <c r="E80" s="166">
        <f>SUM($B$4:B80)+SUM($C$4:C80)-SUM($D$4:D80)</f>
        <v>534</v>
      </c>
      <c r="F80" s="108" cm="1">
        <f t="array" ref="F80">SUM(VLOOKUP(I80:AF80,$AM$4:$AO$44,3,FALSE))</f>
        <v>520</v>
      </c>
      <c r="G80" s="97">
        <f>SUM($F$4:F80)+SUM($H$4:H80)</f>
        <v>55675</v>
      </c>
      <c r="H80" s="109">
        <v>0</v>
      </c>
      <c r="I80" s="22" t="s">
        <v>18</v>
      </c>
      <c r="J80" s="22" t="s">
        <v>18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4" t="s">
        <v>20</v>
      </c>
      <c r="R80" s="24" t="s">
        <v>20</v>
      </c>
      <c r="S80" s="24" t="s">
        <v>20</v>
      </c>
      <c r="T80" s="24" t="s">
        <v>20</v>
      </c>
      <c r="U80" s="24" t="s">
        <v>20</v>
      </c>
      <c r="V80" s="24" t="s">
        <v>20</v>
      </c>
      <c r="W80" s="110" t="s">
        <v>23</v>
      </c>
      <c r="X80" s="110" t="s">
        <v>23</v>
      </c>
      <c r="Y80" s="23" t="s">
        <v>19</v>
      </c>
      <c r="Z80" s="23" t="s">
        <v>19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9"/>
        <v>0</v>
      </c>
      <c r="AH80" s="111"/>
      <c r="AI80" s="111"/>
      <c r="AJ80" s="111"/>
      <c r="AK80" s="112" t="s">
        <v>31</v>
      </c>
      <c r="AL80" s="107"/>
    </row>
    <row r="81" spans="1:43">
      <c r="A81" s="204">
        <v>45170</v>
      </c>
      <c r="B81" s="109">
        <v>1600</v>
      </c>
      <c r="C81" s="109"/>
      <c r="D81" s="108" cm="1">
        <f t="array" ref="D81">(SUM(VLOOKUP(I81:AF81,$AM$4:$AO$44,2,FALSE))+AG81*10)*IF(AK81="是",$AZ$4,$AZ$3)</f>
        <v>1728</v>
      </c>
      <c r="E81" s="166">
        <f>SUM($B$4:B81)+SUM($C$4:C81)-SUM($D$4:D81)</f>
        <v>406</v>
      </c>
      <c r="F81" s="108" cm="1">
        <f t="array" ref="F81">SUM(VLOOKUP(I81:AF81,$AM$4:$AO$44,3,FALSE))</f>
        <v>660</v>
      </c>
      <c r="G81" s="97">
        <f>SUM($F$4:F81)+SUM($H$4:H81)</f>
        <v>56335</v>
      </c>
      <c r="H81" s="109">
        <v>0</v>
      </c>
      <c r="I81" s="22" t="s">
        <v>18</v>
      </c>
      <c r="J81" s="22" t="s">
        <v>18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4" t="s">
        <v>20</v>
      </c>
      <c r="R81" s="24" t="s">
        <v>20</v>
      </c>
      <c r="S81" s="24" t="s">
        <v>20</v>
      </c>
      <c r="T81" s="24" t="s">
        <v>20</v>
      </c>
      <c r="U81" s="29" t="s">
        <v>47</v>
      </c>
      <c r="V81" s="23" t="s">
        <v>19</v>
      </c>
      <c r="W81" s="23" t="s">
        <v>19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9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45171</v>
      </c>
      <c r="B82" s="109">
        <v>1600</v>
      </c>
      <c r="C82" s="109"/>
      <c r="D82" s="108" cm="1">
        <f t="array" ref="D82">(SUM(VLOOKUP(I82:AF82,$AM$4:$AO$44,2,FALSE))+AG82*10)*IF(AK82="是",$AZ$4,$AZ$3)</f>
        <v>1856</v>
      </c>
      <c r="E82" s="166">
        <f>SUM($B$4:B82)+SUM($C$4:C82)-SUM($D$4:D82)</f>
        <v>150</v>
      </c>
      <c r="F82" s="108" cm="1">
        <f t="array" ref="F82">SUM(VLOOKUP(I82:AF82,$AM$4:$AO$44,3,FALSE))</f>
        <v>645</v>
      </c>
      <c r="G82" s="97">
        <f>SUM($F$4:F82)+SUM($H$4:H82)</f>
        <v>56980</v>
      </c>
      <c r="H82" s="109">
        <v>0</v>
      </c>
      <c r="I82" s="22" t="s">
        <v>18</v>
      </c>
      <c r="J82" s="22" t="s">
        <v>18</v>
      </c>
      <c r="K82" s="22" t="s">
        <v>18</v>
      </c>
      <c r="L82" s="22" t="s">
        <v>18</v>
      </c>
      <c r="M82" s="28" t="s">
        <v>12</v>
      </c>
      <c r="N82" s="22" t="s">
        <v>18</v>
      </c>
      <c r="O82" s="22" t="s">
        <v>18</v>
      </c>
      <c r="P82" s="22" t="s">
        <v>18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9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45172</v>
      </c>
      <c r="B83" s="109">
        <v>1600</v>
      </c>
      <c r="C83" s="109"/>
      <c r="D83" s="108" cm="1">
        <f t="array" ref="D83">(SUM(VLOOKUP(I83:AF83,$AM$4:$AO$44,2,FALSE))+AG83*10)*IF(AK83="是",$AZ$4,$AZ$3)</f>
        <v>1520</v>
      </c>
      <c r="E83" s="166">
        <f>SUM($B$4:B83)+SUM($C$4:C83)-SUM($D$4:D83)</f>
        <v>230</v>
      </c>
      <c r="F83" s="108" cm="1">
        <f t="array" ref="F83">SUM(VLOOKUP(I83:AF83,$AM$4:$AO$44,3,FALSE))</f>
        <v>520</v>
      </c>
      <c r="G83" s="97">
        <f>SUM($F$4:F83)+SUM($H$4:H83)</f>
        <v>57500</v>
      </c>
      <c r="H83" s="109">
        <v>0</v>
      </c>
      <c r="I83" s="22" t="s">
        <v>18</v>
      </c>
      <c r="J83" s="22" t="s">
        <v>18</v>
      </c>
      <c r="K83" s="22" t="s">
        <v>18</v>
      </c>
      <c r="L83" s="22" t="s">
        <v>18</v>
      </c>
      <c r="M83" s="22" t="s">
        <v>18</v>
      </c>
      <c r="N83" s="146" t="s">
        <v>7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9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45173</v>
      </c>
      <c r="B84" s="108">
        <v>1600</v>
      </c>
      <c r="C84" s="108"/>
      <c r="D84" s="108" cm="1">
        <f t="array" ref="D84">(SUM(VLOOKUP(I84:AF84,$AM$4:$AO$44,2,FALSE))+AG84*10)*IF(AK84="是",$AZ$4,$AZ$3)</f>
        <v>2296</v>
      </c>
      <c r="E84" s="166">
        <f>SUM($B$4:B84)+SUM($C$4:C84)-SUM($D$4:D84)</f>
        <v>-466</v>
      </c>
      <c r="F84" s="108" cm="1">
        <f t="array" ref="F84">SUM(VLOOKUP(I84:AF84,$AM$4:$AO$44,3,FALSE))</f>
        <v>815</v>
      </c>
      <c r="G84" s="97">
        <f>SUM($F$4:F84)+SUM($H$4:H84)</f>
        <v>58615</v>
      </c>
      <c r="H84" s="108">
        <v>300</v>
      </c>
      <c r="I84" s="22" t="s">
        <v>18</v>
      </c>
      <c r="J84" s="22" t="s">
        <v>18</v>
      </c>
      <c r="K84" s="22" t="s">
        <v>18</v>
      </c>
      <c r="L84" s="22" t="s">
        <v>18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46" t="s">
        <v>7</v>
      </c>
      <c r="R84" s="22" t="s">
        <v>18</v>
      </c>
      <c r="S84" s="22" t="s">
        <v>18</v>
      </c>
      <c r="T84" s="22" t="s">
        <v>18</v>
      </c>
      <c r="U84" s="22" t="s">
        <v>18</v>
      </c>
      <c r="V84" s="28" t="s">
        <v>12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3" t="s">
        <v>19</v>
      </c>
      <c r="AE84" s="23" t="s">
        <v>19</v>
      </c>
      <c r="AF84" s="28" t="s">
        <v>12</v>
      </c>
      <c r="AG84" s="111">
        <f t="shared" si="9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 ht="15.75" thickBot="1">
      <c r="A85" s="204">
        <v>45174</v>
      </c>
      <c r="B85" s="108">
        <v>1600</v>
      </c>
      <c r="C85" s="108"/>
      <c r="D85" s="108" cm="1">
        <f t="array" ref="D85">(SUM(VLOOKUP(I85:AF85,$AM$4:$AO$44,2,FALSE))+AG85*10)*IF(AK85="是",$AZ$4,$AZ$3)</f>
        <v>864</v>
      </c>
      <c r="E85" s="166">
        <f>SUM($B$4:B85)+SUM($C$4:C85)-SUM($D$4:D85)</f>
        <v>270</v>
      </c>
      <c r="F85" s="108" cm="1">
        <f t="array" ref="F85">SUM(VLOOKUP(I85:AF85,$AM$4:$AO$44,3,FALSE))</f>
        <v>300</v>
      </c>
      <c r="G85" s="97">
        <f>SUM($F$4:F85)+SUM($H$4:H85)</f>
        <v>58915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9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45175</v>
      </c>
      <c r="B86" s="108">
        <v>1600</v>
      </c>
      <c r="C86" s="108"/>
      <c r="D86" s="108" cm="1">
        <f t="array" ref="D86">(SUM(VLOOKUP(I86:AF86,$AM$4:$AO$44,2,FALSE))+AG86*10)*IF(AK86="是",$AZ$4,$AZ$3)</f>
        <v>1448</v>
      </c>
      <c r="E86" s="166">
        <f>SUM($B$4:B86)+SUM($C$4:C86)-SUM($D$4:D86)</f>
        <v>422</v>
      </c>
      <c r="F86" s="108" cm="1">
        <f t="array" ref="F86">SUM(VLOOKUP(I86:AF86,$AM$4:$AO$44,3,FALSE))</f>
        <v>525</v>
      </c>
      <c r="G86" s="97">
        <f>SUM($F$4:F86)+SUM($H$4:H86)</f>
        <v>59640</v>
      </c>
      <c r="H86" s="108">
        <v>200</v>
      </c>
      <c r="I86" s="212" t="s">
        <v>18</v>
      </c>
      <c r="J86" s="244" t="s">
        <v>12</v>
      </c>
      <c r="K86" s="245" t="s">
        <v>17</v>
      </c>
      <c r="L86" s="245" t="s">
        <v>17</v>
      </c>
      <c r="M86" s="244" t="s">
        <v>12</v>
      </c>
      <c r="N86" s="245" t="s">
        <v>17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147" t="s">
        <v>8</v>
      </c>
      <c r="AC86" s="23" t="s">
        <v>19</v>
      </c>
      <c r="AD86" s="23" t="s">
        <v>19</v>
      </c>
      <c r="AE86" s="110" t="s">
        <v>23</v>
      </c>
      <c r="AF86" s="110" t="s">
        <v>23</v>
      </c>
      <c r="AG86" s="111">
        <f t="shared" si="9"/>
        <v>1</v>
      </c>
      <c r="AH86" s="111">
        <v>1</v>
      </c>
      <c r="AI86" s="111"/>
      <c r="AJ86" s="111"/>
      <c r="AK86" s="112" t="s">
        <v>31</v>
      </c>
      <c r="AL86" s="107"/>
    </row>
    <row r="87" spans="1:43">
      <c r="A87" s="204">
        <v>45176</v>
      </c>
      <c r="B87" s="108">
        <v>1600</v>
      </c>
      <c r="C87" s="108"/>
      <c r="D87" s="108" cm="1">
        <f t="array" ref="D87">(SUM(VLOOKUP(I87:AF87,$AM$4:$AO$44,2,FALSE))+AG87*10)*IF(AK87="是",$AZ$4,$AZ$3)</f>
        <v>1576</v>
      </c>
      <c r="E87" s="166">
        <f>SUM($B$4:B87)+SUM($C$4:C87)-SUM($D$4:D87)</f>
        <v>446</v>
      </c>
      <c r="F87" s="108" cm="1">
        <f t="array" ref="F87">SUM(VLOOKUP(I87:AF87,$AM$4:$AO$44,3,FALSE))</f>
        <v>1040</v>
      </c>
      <c r="G87" s="97">
        <f>SUM($F$4:F87)+SUM($H$4:H87)</f>
        <v>60680</v>
      </c>
      <c r="H87" s="108">
        <v>0</v>
      </c>
      <c r="I87" s="243" t="s">
        <v>87</v>
      </c>
      <c r="J87" s="104" t="s">
        <v>17</v>
      </c>
      <c r="K87" s="169" t="s">
        <v>18</v>
      </c>
      <c r="L87" s="169" t="s">
        <v>18</v>
      </c>
      <c r="M87" s="169" t="s">
        <v>18</v>
      </c>
      <c r="N87" s="169" t="s">
        <v>18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23" t="s">
        <v>19</v>
      </c>
      <c r="Z87" s="23" t="s">
        <v>19</v>
      </c>
      <c r="AA87" s="23" t="s">
        <v>19</v>
      </c>
      <c r="AB87" s="23" t="s">
        <v>19</v>
      </c>
      <c r="AC87" s="23" t="s">
        <v>19</v>
      </c>
      <c r="AD87" s="23" t="s">
        <v>19</v>
      </c>
      <c r="AE87" s="110" t="s">
        <v>23</v>
      </c>
      <c r="AF87" s="110" t="s">
        <v>23</v>
      </c>
      <c r="AG87" s="111">
        <f t="shared" si="9"/>
        <v>0</v>
      </c>
      <c r="AH87" s="111"/>
      <c r="AI87" s="111"/>
      <c r="AJ87" s="111"/>
      <c r="AK87" s="112" t="s">
        <v>31</v>
      </c>
      <c r="AL87" s="107"/>
    </row>
    <row r="88" spans="1:43" ht="15.75" thickBot="1">
      <c r="A88" s="204">
        <v>45177</v>
      </c>
      <c r="B88" s="108">
        <v>1600</v>
      </c>
      <c r="C88" s="108"/>
      <c r="D88" s="108" cm="1">
        <f t="array" ref="D88">(SUM(VLOOKUP(I88:AF88,$AM$4:$AO$44,2,FALSE))+AG88*10)*IF(AK88="是",$AZ$4,$AZ$3)</f>
        <v>1568</v>
      </c>
      <c r="E88" s="166">
        <f>SUM($B$4:B88)+SUM($C$4:C88)-SUM($D$4:D88)</f>
        <v>478</v>
      </c>
      <c r="F88" s="108" cm="1">
        <f t="array" ref="F88">SUM(VLOOKUP(I88:AF88,$AM$4:$AO$44,3,FALSE))</f>
        <v>555</v>
      </c>
      <c r="G88" s="97">
        <f>SUM($F$4:F88)+SUM($H$4:H88)</f>
        <v>61235</v>
      </c>
      <c r="H88" s="108">
        <v>0</v>
      </c>
      <c r="I88" s="203" t="s">
        <v>6</v>
      </c>
      <c r="J88" s="188" t="s">
        <v>23</v>
      </c>
      <c r="K88" s="188" t="s">
        <v>23</v>
      </c>
      <c r="L88" s="188" t="s">
        <v>23</v>
      </c>
      <c r="M88" s="188" t="s">
        <v>23</v>
      </c>
      <c r="N88" s="188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22" t="s">
        <v>18</v>
      </c>
      <c r="U88" s="22" t="s">
        <v>18</v>
      </c>
      <c r="V88" s="146" t="s">
        <v>7</v>
      </c>
      <c r="W88" s="110" t="s">
        <v>23</v>
      </c>
      <c r="X88" s="110" t="s">
        <v>23</v>
      </c>
      <c r="Y88" s="28" t="s">
        <v>12</v>
      </c>
      <c r="Z88" s="23" t="s">
        <v>19</v>
      </c>
      <c r="AA88" s="23" t="s">
        <v>19</v>
      </c>
      <c r="AB88" s="23" t="s">
        <v>19</v>
      </c>
      <c r="AC88" s="23" t="s">
        <v>19</v>
      </c>
      <c r="AD88" s="23" t="s">
        <v>19</v>
      </c>
      <c r="AE88" s="23" t="s">
        <v>19</v>
      </c>
      <c r="AF88" s="23" t="s">
        <v>19</v>
      </c>
      <c r="AG88" s="111">
        <f t="shared" si="9"/>
        <v>1</v>
      </c>
      <c r="AH88" s="111"/>
      <c r="AI88" s="111"/>
      <c r="AJ88" s="111">
        <v>1</v>
      </c>
      <c r="AK88" s="112" t="s">
        <v>31</v>
      </c>
      <c r="AL88" s="107"/>
    </row>
    <row r="89" spans="1:43">
      <c r="A89" s="115">
        <v>45178</v>
      </c>
      <c r="B89" s="108">
        <v>1600</v>
      </c>
      <c r="C89" s="108"/>
      <c r="D89" s="108" cm="1">
        <f t="array" ref="D89">(SUM(VLOOKUP(I89:AF89,$AM$4:$AO$44,2,FALSE))+AG89*10)*IF(AK89="是",$AZ$4,$AZ$3)</f>
        <v>1848</v>
      </c>
      <c r="E89" s="166">
        <f>SUM($B$4:B89)+SUM($C$4:C89)-SUM($D$4:D89)</f>
        <v>230</v>
      </c>
      <c r="F89" s="108" cm="1">
        <f t="array" ref="F89">SUM(VLOOKUP(I89:AF89,$AM$4:$AO$44,3,FALSE))</f>
        <v>705</v>
      </c>
      <c r="G89" s="97">
        <f>SUM($F$4:F89)+SUM($H$4:H89)</f>
        <v>61940</v>
      </c>
      <c r="H89" s="108">
        <v>0</v>
      </c>
      <c r="I89" s="198" t="s">
        <v>18</v>
      </c>
      <c r="J89" s="196" t="s">
        <v>12</v>
      </c>
      <c r="K89" s="197" t="s">
        <v>17</v>
      </c>
      <c r="L89" s="199" t="s">
        <v>47</v>
      </c>
      <c r="M89" s="197" t="s">
        <v>17</v>
      </c>
      <c r="N89" s="196" t="s">
        <v>12</v>
      </c>
      <c r="O89" s="110" t="s">
        <v>23</v>
      </c>
      <c r="P89" s="110" t="s">
        <v>23</v>
      </c>
      <c r="Q89" s="22" t="s">
        <v>18</v>
      </c>
      <c r="R89" s="22" t="s">
        <v>18</v>
      </c>
      <c r="S89" s="22" t="s">
        <v>18</v>
      </c>
      <c r="T89" s="22" t="s">
        <v>18</v>
      </c>
      <c r="U89" s="22" t="s">
        <v>18</v>
      </c>
      <c r="V89" s="22" t="s">
        <v>18</v>
      </c>
      <c r="W89" s="110" t="s">
        <v>23</v>
      </c>
      <c r="X89" s="110" t="s">
        <v>23</v>
      </c>
      <c r="Y89" s="23" t="s">
        <v>19</v>
      </c>
      <c r="Z89" s="23" t="s">
        <v>19</v>
      </c>
      <c r="AA89" s="23" t="s">
        <v>19</v>
      </c>
      <c r="AB89" s="23" t="s">
        <v>19</v>
      </c>
      <c r="AC89" s="23" t="s">
        <v>19</v>
      </c>
      <c r="AD89" s="109" t="s">
        <v>23</v>
      </c>
      <c r="AE89" s="110" t="s">
        <v>23</v>
      </c>
      <c r="AF89" s="110" t="s">
        <v>23</v>
      </c>
      <c r="AG89" s="111">
        <f t="shared" si="9"/>
        <v>0</v>
      </c>
      <c r="AH89" s="111"/>
      <c r="AI89" s="111"/>
      <c r="AJ89" s="111"/>
      <c r="AK89" s="112" t="s">
        <v>31</v>
      </c>
      <c r="AL89" s="107"/>
    </row>
    <row r="90" spans="1:43" ht="15.75" thickBot="1">
      <c r="A90" s="204">
        <v>45179</v>
      </c>
      <c r="B90" s="89">
        <v>1600</v>
      </c>
      <c r="C90" s="89"/>
      <c r="D90" s="89" cm="1">
        <f t="array" ref="D90">(SUM(VLOOKUP(I90:AF90,$AM$4:$AO$44,2,FALSE))+AG90*10)*IF(AK90="是",$AZ$4,$AZ$3)</f>
        <v>1632</v>
      </c>
      <c r="E90" s="89">
        <f>SUM($B$4:B90)+SUM($C$4:C90)-SUM($D$4:D90)</f>
        <v>198</v>
      </c>
      <c r="F90" s="89" cm="1">
        <f t="array" ref="F90">SUM(VLOOKUP(I90:AF90,$AM$4:$AO$44,3,FALSE))</f>
        <v>590</v>
      </c>
      <c r="G90" s="89">
        <f>SUM($F$4:F90)+SUM($H$4:H90)</f>
        <v>62530</v>
      </c>
      <c r="H90" s="89">
        <v>0</v>
      </c>
      <c r="I90" s="88" t="s">
        <v>23</v>
      </c>
      <c r="J90" s="88" t="s">
        <v>23</v>
      </c>
      <c r="K90" s="88" t="s">
        <v>23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205" t="s">
        <v>12</v>
      </c>
      <c r="R90" s="169" t="s">
        <v>18</v>
      </c>
      <c r="S90" s="169" t="s">
        <v>18</v>
      </c>
      <c r="T90" s="169" t="s">
        <v>18</v>
      </c>
      <c r="U90" s="205" t="s">
        <v>12</v>
      </c>
      <c r="V90" s="169" t="s">
        <v>18</v>
      </c>
      <c r="W90" s="92" t="s">
        <v>23</v>
      </c>
      <c r="X90" s="92" t="s">
        <v>23</v>
      </c>
      <c r="Y90" s="224" t="s">
        <v>19</v>
      </c>
      <c r="Z90" s="224" t="s">
        <v>19</v>
      </c>
      <c r="AA90" s="224" t="s">
        <v>19</v>
      </c>
      <c r="AB90" s="224" t="s">
        <v>19</v>
      </c>
      <c r="AC90" s="224" t="s">
        <v>19</v>
      </c>
      <c r="AD90" s="224" t="s">
        <v>19</v>
      </c>
      <c r="AE90" s="224" t="s">
        <v>19</v>
      </c>
      <c r="AF90" s="92" t="s">
        <v>23</v>
      </c>
      <c r="AG90" s="93">
        <f t="shared" si="9"/>
        <v>0</v>
      </c>
      <c r="AH90" s="93"/>
      <c r="AI90" s="93"/>
      <c r="AJ90" s="93"/>
      <c r="AK90" s="94" t="s">
        <v>31</v>
      </c>
      <c r="AL90" s="107"/>
    </row>
    <row r="91" spans="1:43" ht="15.75" thickBot="1">
      <c r="A91" s="115">
        <v>45180</v>
      </c>
      <c r="B91" s="109">
        <v>1600</v>
      </c>
      <c r="C91" s="109">
        <v>40</v>
      </c>
      <c r="D91" s="108" cm="1">
        <f t="array" ref="D91">(SUM(VLOOKUP(I91:AF91,$AM$4:$AO$44,2,FALSE))+AG91*10)*IF(AK91="是",$AZ$4,$AZ$3)</f>
        <v>1680</v>
      </c>
      <c r="E91" s="166">
        <f>SUM($B$4:B91)+SUM($C$4:C91)-SUM($D$4:D91)</f>
        <v>158</v>
      </c>
      <c r="F91" s="108" cm="1">
        <f t="array" ref="F91">SUM(VLOOKUP(I91:AF91,$AM$4:$AO$44,3,FALSE))</f>
        <v>640</v>
      </c>
      <c r="G91" s="97">
        <f>SUM($F$4:F91)+SUM($H$4:H91)</f>
        <v>63470</v>
      </c>
      <c r="H91" s="109">
        <v>300</v>
      </c>
      <c r="I91" s="197" t="s">
        <v>17</v>
      </c>
      <c r="J91" s="197" t="s">
        <v>17</v>
      </c>
      <c r="K91" s="197" t="s">
        <v>17</v>
      </c>
      <c r="L91" s="197" t="s">
        <v>17</v>
      </c>
      <c r="M91" s="201" t="s">
        <v>12</v>
      </c>
      <c r="N91" s="109" t="s">
        <v>23</v>
      </c>
      <c r="O91" s="110" t="s">
        <v>23</v>
      </c>
      <c r="P91" s="110" t="s">
        <v>23</v>
      </c>
      <c r="Q91" s="193" t="s">
        <v>17</v>
      </c>
      <c r="R91" s="194" t="s">
        <v>47</v>
      </c>
      <c r="S91" s="193" t="s">
        <v>17</v>
      </c>
      <c r="T91" s="179" t="s">
        <v>12</v>
      </c>
      <c r="U91" s="193" t="s">
        <v>17</v>
      </c>
      <c r="V91" s="193" t="s">
        <v>17</v>
      </c>
      <c r="W91" s="193" t="s">
        <v>17</v>
      </c>
      <c r="X91" s="193" t="s">
        <v>17</v>
      </c>
      <c r="Y91" s="23" t="s">
        <v>19</v>
      </c>
      <c r="Z91" s="23" t="s">
        <v>19</v>
      </c>
      <c r="AA91" s="23" t="s">
        <v>19</v>
      </c>
      <c r="AB91" s="28" t="s">
        <v>12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9"/>
        <v>1</v>
      </c>
      <c r="AH91" s="111"/>
      <c r="AI91" s="111">
        <v>1</v>
      </c>
      <c r="AJ91" s="111"/>
      <c r="AK91" s="112" t="s">
        <v>31</v>
      </c>
      <c r="AL91" s="107"/>
    </row>
    <row r="92" spans="1:43" ht="15.75" thickBot="1">
      <c r="A92" s="115">
        <v>45181</v>
      </c>
      <c r="B92" s="109">
        <v>1600</v>
      </c>
      <c r="C92" s="109"/>
      <c r="D92" s="108" cm="1">
        <f t="array" ref="D92">(SUM(VLOOKUP(I92:AF92,$AM$4:$AO$44,2,FALSE))+AG92*10)*IF(AK92="是",$AZ$4,$AZ$3)</f>
        <v>1688</v>
      </c>
      <c r="E92" s="166">
        <f>SUM($B$4:B92)+SUM($C$4:C92)-SUM($D$4:D92)</f>
        <v>70</v>
      </c>
      <c r="F92" s="108" cm="1">
        <f t="array" ref="F92">SUM(VLOOKUP(I92:AF92,$AM$4:$AO$44,3,FALSE))</f>
        <v>585</v>
      </c>
      <c r="G92" s="97">
        <f>SUM($F$4:F92)+SUM($H$4:H92)</f>
        <v>64055</v>
      </c>
      <c r="H92" s="109">
        <v>0</v>
      </c>
      <c r="I92" s="197" t="s">
        <v>17</v>
      </c>
      <c r="J92" s="197" t="s">
        <v>17</v>
      </c>
      <c r="K92" s="197" t="s">
        <v>17</v>
      </c>
      <c r="L92" s="195" t="s">
        <v>16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01" t="s">
        <v>12</v>
      </c>
      <c r="R92" s="202" t="s">
        <v>17</v>
      </c>
      <c r="S92" s="202" t="s">
        <v>17</v>
      </c>
      <c r="T92" s="202" t="s">
        <v>17</v>
      </c>
      <c r="U92" s="201" t="s">
        <v>12</v>
      </c>
      <c r="V92" s="183" t="s">
        <v>23</v>
      </c>
      <c r="W92" s="184" t="s">
        <v>23</v>
      </c>
      <c r="X92" s="184" t="s">
        <v>23</v>
      </c>
      <c r="Y92" s="23" t="s">
        <v>19</v>
      </c>
      <c r="Z92" s="23" t="s">
        <v>19</v>
      </c>
      <c r="AA92" s="23" t="s">
        <v>19</v>
      </c>
      <c r="AB92" s="23" t="s">
        <v>19</v>
      </c>
      <c r="AC92" s="23" t="s">
        <v>19</v>
      </c>
      <c r="AD92" s="109" t="s">
        <v>23</v>
      </c>
      <c r="AE92" s="110" t="s">
        <v>23</v>
      </c>
      <c r="AF92" s="110" t="s">
        <v>23</v>
      </c>
      <c r="AG92" s="111">
        <f t="shared" si="9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45182</v>
      </c>
      <c r="B93" s="109">
        <v>1600</v>
      </c>
      <c r="C93" s="109"/>
      <c r="D93" s="108" cm="1">
        <f t="array" ref="D93">(SUM(VLOOKUP(I93:AF93,$AM$4:$AO$44,2,FALSE))+AG93*10)*IF(AK93="是",$AZ$4,$AZ$3)</f>
        <v>1664</v>
      </c>
      <c r="E93" s="166">
        <f>SUM($B$4:B93)+SUM($C$4:C93)-SUM($D$4:D93)</f>
        <v>6</v>
      </c>
      <c r="F93" s="108" cm="1">
        <f t="array" ref="F93">SUM(VLOOKUP(I93:AF93,$AM$4:$AO$44,3,FALSE))</f>
        <v>580</v>
      </c>
      <c r="G93" s="97">
        <f>SUM($F$4:F93)+SUM($H$4:H93)</f>
        <v>64835</v>
      </c>
      <c r="H93" s="109">
        <v>200</v>
      </c>
      <c r="I93" s="195" t="s">
        <v>16</v>
      </c>
      <c r="J93" s="201" t="s">
        <v>12</v>
      </c>
      <c r="K93" s="195" t="s">
        <v>16</v>
      </c>
      <c r="L93" s="195" t="s">
        <v>16</v>
      </c>
      <c r="M93" s="195" t="s">
        <v>16</v>
      </c>
      <c r="N93" s="201" t="s">
        <v>12</v>
      </c>
      <c r="O93" s="110" t="s">
        <v>23</v>
      </c>
      <c r="P93" s="110" t="s">
        <v>23</v>
      </c>
      <c r="Q93" s="197" t="s">
        <v>17</v>
      </c>
      <c r="R93" s="200" t="s">
        <v>6</v>
      </c>
      <c r="S93" s="195" t="s">
        <v>16</v>
      </c>
      <c r="T93" s="195" t="s">
        <v>16</v>
      </c>
      <c r="U93" s="196" t="s">
        <v>12</v>
      </c>
      <c r="V93" s="109" t="s">
        <v>23</v>
      </c>
      <c r="W93" s="110" t="s">
        <v>23</v>
      </c>
      <c r="X93" s="110" t="s">
        <v>23</v>
      </c>
      <c r="Y93" s="23" t="s">
        <v>19</v>
      </c>
      <c r="Z93" s="23" t="s">
        <v>19</v>
      </c>
      <c r="AA93" s="23" t="s">
        <v>19</v>
      </c>
      <c r="AB93" s="23" t="s">
        <v>19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9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1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{D2E26FB7-6604-4311-AD82-23E6F674CDEF}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26FB7-6604-4311-AD82-23E6F674CD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D23" sqref="D23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9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9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9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>SUM(G4:I4)</f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70" t="s">
        <v>6</v>
      </c>
      <c r="F5" s="19" t="s">
        <v>46</v>
      </c>
      <c r="G5" s="19">
        <f>COUNTIF(B2:B92,"&lt;&gt;空")</f>
        <v>6</v>
      </c>
      <c r="H5" s="19">
        <f>COUNTIF(C2:C92,"&lt;&gt;空")</f>
        <v>7</v>
      </c>
      <c r="I5" s="19">
        <f>COUNTIF(D2:D92,"&lt;&gt;空")</f>
        <v>10</v>
      </c>
      <c r="J5" s="19">
        <f>SUM(G5:I5)</f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>H4/H3</f>
        <v>0.26470588235294118</v>
      </c>
      <c r="I6">
        <f>I4/I3</f>
        <v>0.26488095238095238</v>
      </c>
      <c r="J6">
        <f>J4/J3</f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5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>SUM(G4:I4)</f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>COUNTIF(C2:C92,"&lt;&gt;空")</f>
        <v>5</v>
      </c>
      <c r="I5" s="19">
        <f>COUNTIF(D2:D92,"&lt;&gt;空")</f>
        <v>9</v>
      </c>
      <c r="J5" s="19">
        <f>SUM(G5:I5)</f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>H4/H3</f>
        <v>0.33088235294117646</v>
      </c>
      <c r="I6">
        <f>I4/I3</f>
        <v>0.33143939393939392</v>
      </c>
      <c r="J6">
        <f>J4/J3</f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5" t="s">
        <v>5</v>
      </c>
    </row>
    <row r="9" spans="1:15">
      <c r="A9">
        <v>8</v>
      </c>
      <c r="B9" s="22" t="s">
        <v>18</v>
      </c>
      <c r="C9" t="s">
        <v>23</v>
      </c>
      <c r="D9" s="161" t="s">
        <v>6</v>
      </c>
      <c r="O9" s="161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>I11-J11/$H$6</f>
        <v>39.111111111111114</v>
      </c>
      <c r="O11" s="16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>I12-J12/$H$6</f>
        <v>34</v>
      </c>
      <c r="O12" s="16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>I13-J13/$H$6</f>
        <v>28.888888888888886</v>
      </c>
      <c r="O13" s="16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B5" sqref="B5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488</v>
      </c>
      <c r="T1">
        <f>G3-48</f>
        <v>472</v>
      </c>
    </row>
    <row r="2" spans="1:20">
      <c r="A2">
        <v>1</v>
      </c>
      <c r="B2" s="20" t="s">
        <v>16</v>
      </c>
      <c r="C2" s="23" t="s">
        <v>19</v>
      </c>
      <c r="D2" t="s">
        <v>23</v>
      </c>
      <c r="F2" s="19" t="s">
        <v>64</v>
      </c>
      <c r="G2" s="19">
        <v>0</v>
      </c>
      <c r="H2" s="19">
        <v>1</v>
      </c>
      <c r="I2" s="19">
        <v>0</v>
      </c>
      <c r="J2" s="19">
        <f>SUM(G2:I2)</f>
        <v>1</v>
      </c>
      <c r="K2" s="19"/>
      <c r="N2" s="20" t="s">
        <v>16</v>
      </c>
      <c r="R2" t="s">
        <v>86</v>
      </c>
      <c r="S2">
        <f>G4-10</f>
        <v>160</v>
      </c>
      <c r="T2">
        <f>G4-15</f>
        <v>155</v>
      </c>
    </row>
    <row r="3" spans="1:20">
      <c r="A3">
        <v>2</v>
      </c>
      <c r="B3" s="20" t="s">
        <v>16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520</v>
      </c>
      <c r="H3" s="19" cm="1">
        <f t="array" ref="H3">(SUM(VLOOKUP(C2:C92,'102.5.1.01'!$AL$4:$AN$44,2,FALSE))+八卦后规划2!H2*10)*0.8</f>
        <v>152</v>
      </c>
      <c r="I3" s="19" cm="1">
        <f t="array" ref="I3">(SUM(VLOOKUP(D2:D92,'102.5.1.01'!$AL$4:$AN$44,2,FALSE))+八卦后规划2!I2*10)*0.8</f>
        <v>0</v>
      </c>
      <c r="J3" s="19">
        <f>SUM(G3:I3)</f>
        <v>672</v>
      </c>
      <c r="K3" s="150" t="s">
        <v>97</v>
      </c>
      <c r="L3" s="151">
        <f>G3-H3</f>
        <v>368</v>
      </c>
      <c r="N3" s="21" t="s">
        <v>17</v>
      </c>
      <c r="S3">
        <f>S2/S1</f>
        <v>0.32786885245901637</v>
      </c>
      <c r="T3">
        <f>T2/T1</f>
        <v>0.32838983050847459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170</v>
      </c>
      <c r="H4" s="19" cm="1">
        <f t="array" ref="H4">(SUM(VLOOKUP(C2:C92,'102.5.1.01'!$AL$4:$AN$44,3,FALSE)))</f>
        <v>50</v>
      </c>
      <c r="I4" s="19" cm="1">
        <f t="array" ref="I4">(SUM(VLOOKUP(D2:D92,'102.5.1.01'!$AL$4:$AN$44,3,FALSE)))</f>
        <v>0</v>
      </c>
      <c r="J4" s="71">
        <f>SUM(G4:I4)</f>
        <v>220</v>
      </c>
      <c r="K4" s="150" t="s">
        <v>98</v>
      </c>
      <c r="L4" s="151">
        <f>H4-G4</f>
        <v>-120</v>
      </c>
      <c r="N4" s="22" t="s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5</v>
      </c>
      <c r="H5" s="19">
        <f>COUNTIF(C2:C92,"&lt;&gt;空")</f>
        <v>1</v>
      </c>
      <c r="I5" s="19">
        <f>COUNTIF(D2:D92,"&lt;&gt;空")</f>
        <v>0</v>
      </c>
      <c r="J5" s="19">
        <f>SUM(G5:I5)</f>
        <v>6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0.32692307692307693</v>
      </c>
      <c r="H6" s="116">
        <f>H4/H3</f>
        <v>0.32894736842105265</v>
      </c>
      <c r="I6" t="e">
        <f>I4/I3</f>
        <v>#DIV/0!</v>
      </c>
      <c r="J6">
        <f>J4/J3</f>
        <v>0.32738095238095238</v>
      </c>
      <c r="N6" s="24" t="s">
        <v>20</v>
      </c>
    </row>
    <row r="7" spans="1:20">
      <c r="A7">
        <v>6</v>
      </c>
      <c r="B7" s="28" t="s">
        <v>12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5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6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13.600000000000009</v>
      </c>
      <c r="N10" s="157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>I11-J11/$H$6</f>
        <v>6.4000000000000057</v>
      </c>
      <c r="N11" s="158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>I12-J12/$H$6</f>
        <v>-0.79999999999998295</v>
      </c>
      <c r="N12" s="159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>I13-J13/$H$6</f>
        <v>-8</v>
      </c>
      <c r="N13" s="160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tabSelected="1" workbookViewId="0">
      <selection activeCell="D10" sqref="D10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496</v>
      </c>
      <c r="T1">
        <f>G3-48</f>
        <v>480</v>
      </c>
    </row>
    <row r="2" spans="1:20">
      <c r="A2">
        <v>1</v>
      </c>
      <c r="B2" s="21" t="s">
        <v>17</v>
      </c>
      <c r="C2" s="20" t="s">
        <v>16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  <c r="R2" t="s">
        <v>86</v>
      </c>
      <c r="S2">
        <f>G4-10</f>
        <v>170</v>
      </c>
      <c r="T2">
        <f>G4-15</f>
        <v>165</v>
      </c>
    </row>
    <row r="3" spans="1:20">
      <c r="A3">
        <v>2</v>
      </c>
      <c r="B3" s="145" t="s">
        <v>6</v>
      </c>
      <c r="C3" s="28" t="s">
        <v>12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528</v>
      </c>
      <c r="H3" s="19" cm="1">
        <f t="array" ref="H3">(SUM(VLOOKUP(C2:C92,'102.5.1.01'!$AL$4:$AN$44,2,FALSE))+八卦后规划3!H2*10)*0.8</f>
        <v>160</v>
      </c>
      <c r="I3" s="19" cm="1">
        <f t="array" ref="I3">(SUM(VLOOKUP(D2:D92,'102.5.1.01'!$AL$4:$AN$44,2,FALSE))+八卦后规划3!I2*10)*0.8</f>
        <v>0</v>
      </c>
      <c r="J3" s="19">
        <f>SUM(G3:I3)</f>
        <v>688</v>
      </c>
      <c r="K3" s="150" t="s">
        <v>97</v>
      </c>
      <c r="L3" s="151">
        <f>G3-H3</f>
        <v>368</v>
      </c>
      <c r="M3">
        <v>8144</v>
      </c>
      <c r="N3">
        <f>M3-J3+120</f>
        <v>7576</v>
      </c>
      <c r="O3" s="21" t="s">
        <v>17</v>
      </c>
      <c r="S3">
        <f>S2/S1</f>
        <v>0.34274193548387094</v>
      </c>
      <c r="T3">
        <f>T2/T1</f>
        <v>0.34375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180</v>
      </c>
      <c r="H4" s="19" cm="1">
        <f t="array" ref="H4">(SUM(VLOOKUP(C2:C92,'102.5.1.01'!$AL$4:$AN$44,3,FALSE)))</f>
        <v>65</v>
      </c>
      <c r="I4" s="19" cm="1">
        <f t="array" ref="I4">(SUM(VLOOKUP(D2:D92,'102.5.1.01'!$AL$4:$AN$44,3,FALSE)))</f>
        <v>0</v>
      </c>
      <c r="J4" s="71">
        <f>SUM(G4:I4)</f>
        <v>245</v>
      </c>
      <c r="K4" s="150" t="s">
        <v>98</v>
      </c>
      <c r="L4" s="151">
        <f>H4-G4</f>
        <v>-115</v>
      </c>
      <c r="O4" s="22" t="s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5</v>
      </c>
      <c r="H5" s="19">
        <f>COUNTIF(C2:C92,"&lt;&gt;空")</f>
        <v>2</v>
      </c>
      <c r="I5" s="19">
        <f>COUNTIF(D2:D92,"&lt;&gt;空")</f>
        <v>0</v>
      </c>
      <c r="J5" s="19">
        <f>SUM(G5:I5)</f>
        <v>7</v>
      </c>
      <c r="K5" s="19"/>
      <c r="O5" s="23" t="s">
        <v>19</v>
      </c>
    </row>
    <row r="6" spans="1:20">
      <c r="A6">
        <v>5</v>
      </c>
      <c r="B6" s="28" t="s">
        <v>12</v>
      </c>
      <c r="C6" t="s">
        <v>23</v>
      </c>
      <c r="D6" t="s">
        <v>23</v>
      </c>
      <c r="F6" s="19" t="s">
        <v>66</v>
      </c>
      <c r="G6">
        <f>G4/G3</f>
        <v>0.34090909090909088</v>
      </c>
      <c r="H6" s="116">
        <f>H4/H3</f>
        <v>0.40625</v>
      </c>
      <c r="I6" t="e">
        <f>I4/I3</f>
        <v>#DIV/0!</v>
      </c>
      <c r="J6">
        <f>J4/J3</f>
        <v>0.35610465116279072</v>
      </c>
      <c r="O6" s="24" t="s">
        <v>20</v>
      </c>
    </row>
    <row r="7" spans="1:20">
      <c r="A7">
        <v>6</v>
      </c>
      <c r="B7" t="s">
        <v>23</v>
      </c>
      <c r="C7" t="s">
        <v>23</v>
      </c>
      <c r="D7" t="s">
        <v>23</v>
      </c>
      <c r="O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K8">
        <v>4894</v>
      </c>
      <c r="O8" s="144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O9" s="145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33.84615384615384</v>
      </c>
      <c r="O10" s="146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>I11-J11/$H$6</f>
        <v>29.538461538461533</v>
      </c>
      <c r="O11" s="147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>I12-J12/$H$6</f>
        <v>25.230769230769226</v>
      </c>
      <c r="O12" s="148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>I13-J13/$H$6</f>
        <v>20.92307692307692</v>
      </c>
      <c r="O13" s="149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102.5.1.05qq test</vt:lpstr>
      <vt:lpstr>102.5.1.05</vt:lpstr>
      <vt:lpstr>102.5.1.04</vt:lpstr>
      <vt:lpstr>102.5.1.01</vt:lpstr>
      <vt:lpstr>7.0.4</vt:lpstr>
      <vt:lpstr>7.0.5</vt:lpstr>
      <vt:lpstr>12.07</vt:lpstr>
      <vt:lpstr>12.07_demo</vt:lpstr>
      <vt:lpstr>12.06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2023-09-12T21:48:28Z</dcterms:modified>
</cp:coreProperties>
</file>