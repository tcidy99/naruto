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tility\naruto\远征S14\"/>
    </mc:Choice>
  </mc:AlternateContent>
  <xr:revisionPtr revIDLastSave="0" documentId="13_ncr:1_{D3E27C52-B0C6-4D48-9DFC-685A715220D8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14.05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5" i="12" l="1"/>
  <c r="AG6" i="12"/>
  <c r="AG7" i="12"/>
  <c r="AG8" i="12"/>
  <c r="AG9" i="12"/>
  <c r="AG10" i="12"/>
  <c r="AG11" i="12"/>
  <c r="AG12" i="12"/>
  <c r="AG13" i="12"/>
  <c r="AG14" i="12"/>
  <c r="AG15" i="12"/>
  <c r="AG16" i="12"/>
  <c r="AG17" i="12"/>
  <c r="AG18" i="12"/>
  <c r="AG19" i="12"/>
  <c r="AG20" i="12"/>
  <c r="AG21" i="12"/>
  <c r="AG22" i="12"/>
  <c r="AG23" i="12"/>
  <c r="AG24" i="12"/>
  <c r="AG25" i="12"/>
  <c r="AG26" i="12"/>
  <c r="AG27" i="12"/>
  <c r="AG28" i="12"/>
  <c r="AG29" i="12"/>
  <c r="AG30" i="12"/>
  <c r="AG31" i="12"/>
  <c r="AG32" i="12"/>
  <c r="AG33" i="12"/>
  <c r="AG34" i="12"/>
  <c r="AG35" i="12"/>
  <c r="AG36" i="12"/>
  <c r="AG37" i="12"/>
  <c r="AG38" i="12"/>
  <c r="AG39" i="12"/>
  <c r="AG40" i="12"/>
  <c r="AG41" i="12"/>
  <c r="AG42" i="12"/>
  <c r="AG43" i="12"/>
  <c r="AG44" i="12"/>
  <c r="AG45" i="12"/>
  <c r="AG46" i="12"/>
  <c r="AG47" i="12"/>
  <c r="AG48" i="12"/>
  <c r="AG49" i="12"/>
  <c r="AG50" i="12"/>
  <c r="AG51" i="12"/>
  <c r="AG52" i="12"/>
  <c r="AG53" i="12"/>
  <c r="AG54" i="12"/>
  <c r="AG55" i="12"/>
  <c r="AG56" i="12"/>
  <c r="AG57" i="12"/>
  <c r="AG58" i="12"/>
  <c r="AG59" i="12"/>
  <c r="AG60" i="12"/>
  <c r="AG61" i="12"/>
  <c r="AG62" i="12"/>
  <c r="AG63" i="12"/>
  <c r="AG64" i="12"/>
  <c r="AG65" i="12"/>
  <c r="AG66" i="12"/>
  <c r="AG67" i="12"/>
  <c r="AG68" i="12"/>
  <c r="AG69" i="12"/>
  <c r="AG70" i="12"/>
  <c r="AG71" i="12"/>
  <c r="AG72" i="12"/>
  <c r="AG73" i="12"/>
  <c r="AG74" i="12"/>
  <c r="AG75" i="12"/>
  <c r="AG76" i="12"/>
  <c r="AG77" i="12"/>
  <c r="AG78" i="12"/>
  <c r="AG79" i="12"/>
  <c r="AG80" i="12"/>
  <c r="AG81" i="12"/>
  <c r="AG82" i="12"/>
  <c r="AG83" i="12"/>
  <c r="AG84" i="12"/>
  <c r="AG85" i="12"/>
  <c r="AG86" i="12"/>
  <c r="AG87" i="12"/>
  <c r="AG88" i="12"/>
  <c r="AG89" i="12"/>
  <c r="AG90" i="12"/>
  <c r="AG91" i="12"/>
  <c r="AG92" i="12"/>
  <c r="AG93" i="12"/>
  <c r="AG4" i="12"/>
  <c r="A1" i="12"/>
  <c r="AQ29" i="12"/>
  <c r="AR29" i="12"/>
  <c r="AV29" i="12" s="1"/>
  <c r="AS29" i="12"/>
  <c r="AW29" i="12" s="1"/>
  <c r="BA29" i="12"/>
  <c r="E4" i="14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A94" i="17"/>
  <c r="B94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C2" i="12" l="1"/>
  <c r="AG2" i="12"/>
  <c r="AT29" i="12"/>
  <c r="AU29" i="12"/>
  <c r="L2" i="17"/>
  <c r="D2" i="17"/>
  <c r="T2" i="17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D4" i="14"/>
  <c r="C4" i="14"/>
  <c r="B4" i="14"/>
  <c r="A4" i="14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F4" i="12" l="1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T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U4" i="12"/>
  <c r="AU7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W4" i="12"/>
  <c r="AT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AT5" i="12"/>
  <c r="AT6" i="12"/>
  <c r="AT8" i="12"/>
  <c r="AT9" i="12"/>
  <c r="AV10" i="12"/>
  <c r="AT11" i="12"/>
  <c r="AT13" i="12"/>
  <c r="AU13" i="12"/>
  <c r="AT17" i="12"/>
  <c r="AU17" i="12"/>
  <c r="AT12" i="12"/>
  <c r="AU12" i="12"/>
  <c r="AT16" i="12"/>
  <c r="AU16" i="12"/>
  <c r="AT19" i="12"/>
  <c r="AU19" i="12"/>
  <c r="AT15" i="12"/>
  <c r="AU15" i="12"/>
  <c r="AT21" i="12"/>
  <c r="AU21" i="12"/>
  <c r="AT23" i="12"/>
  <c r="AU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V4" i="12"/>
  <c r="AT14" i="12"/>
  <c r="AU14" i="12"/>
  <c r="AU25" i="12"/>
  <c r="AT28" i="12"/>
  <c r="AT18" i="12"/>
  <c r="AT20" i="12"/>
  <c r="AT22" i="12"/>
  <c r="AT24" i="12"/>
  <c r="AT26" i="12"/>
  <c r="AU28" i="12"/>
  <c r="AW2" i="12" l="1"/>
  <c r="AT2" i="12"/>
  <c r="G5" i="12"/>
  <c r="G6" i="12"/>
  <c r="G4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3" i="14"/>
  <c r="I32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I35" i="14"/>
  <c r="I31" i="14"/>
  <c r="I34" i="14"/>
  <c r="I4" i="14"/>
  <c r="D88" i="12" l="1"/>
  <c r="D85" i="12"/>
  <c r="D9" i="12"/>
  <c r="D11" i="12"/>
  <c r="D26" i="12"/>
  <c r="D5" i="12"/>
  <c r="D87" i="12"/>
  <c r="D90" i="12"/>
  <c r="D83" i="12"/>
  <c r="D84" i="12"/>
  <c r="D93" i="12"/>
  <c r="D92" i="12"/>
  <c r="D18" i="12"/>
  <c r="D43" i="12"/>
  <c r="D40" i="12"/>
  <c r="D16" i="12"/>
  <c r="D34" i="12"/>
  <c r="D13" i="12"/>
  <c r="D41" i="12"/>
  <c r="D44" i="12"/>
  <c r="D33" i="12"/>
  <c r="D38" i="12"/>
  <c r="D46" i="12"/>
  <c r="D31" i="12"/>
  <c r="D42" i="12"/>
  <c r="D37" i="12"/>
  <c r="D45" i="12"/>
  <c r="D35" i="12"/>
  <c r="D19" i="12"/>
  <c r="D39" i="12"/>
  <c r="D47" i="12"/>
  <c r="D22" i="12"/>
  <c r="D48" i="12"/>
  <c r="D53" i="12"/>
  <c r="D57" i="12"/>
  <c r="D61" i="12"/>
  <c r="D65" i="12"/>
  <c r="D69" i="12"/>
  <c r="D73" i="12"/>
  <c r="D77" i="12"/>
  <c r="D81" i="12"/>
  <c r="D89" i="12"/>
  <c r="D29" i="12"/>
  <c r="D25" i="12"/>
  <c r="D74" i="12"/>
  <c r="D78" i="12"/>
  <c r="D82" i="12"/>
  <c r="D86" i="12"/>
  <c r="D30" i="12"/>
  <c r="D54" i="12"/>
  <c r="D58" i="12"/>
  <c r="D62" i="12"/>
  <c r="D66" i="12"/>
  <c r="D70" i="12"/>
  <c r="D4" i="12"/>
  <c r="D23" i="12"/>
  <c r="D14" i="12"/>
  <c r="D52" i="12"/>
  <c r="D21" i="12"/>
  <c r="D10" i="12"/>
  <c r="D15" i="12"/>
  <c r="D20" i="12"/>
  <c r="D6" i="12"/>
  <c r="D50" i="12"/>
  <c r="D60" i="12"/>
  <c r="D64" i="12"/>
  <c r="D27" i="12"/>
  <c r="D67" i="12"/>
  <c r="D12" i="12"/>
  <c r="D24" i="12"/>
  <c r="D28" i="12"/>
  <c r="D56" i="12"/>
  <c r="D72" i="12"/>
  <c r="D76" i="12"/>
  <c r="D80" i="12"/>
  <c r="D49" i="12"/>
  <c r="D7" i="12"/>
  <c r="D32" i="12"/>
  <c r="D55" i="12"/>
  <c r="D63" i="12"/>
  <c r="D71" i="12"/>
  <c r="D8" i="12"/>
  <c r="D17" i="12"/>
  <c r="D51" i="12"/>
  <c r="D59" i="12"/>
  <c r="D75" i="12"/>
  <c r="D79" i="12"/>
  <c r="D91" i="12"/>
  <c r="D36" i="12"/>
  <c r="D68" i="12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4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1A8C5809-E3C6-443D-B81E-C8C5F313AB20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<sst xmlns="http://schemas.openxmlformats.org/spreadsheetml/2006/main" count="2356" uniqueCount="76">
  <si>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</si>
  <si>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</si>
  <si>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</si>
  <si>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</si>
  <si>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</si>
  <si>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</si>
  <si>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</si>
  <si>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</si>
  <si>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</si>
  <si>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</si>
  <si>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</si>
  <si>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</si>
  <si>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</si>
  <si>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</si>
  <si>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</si>
  <si>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</si>
  <si>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</si>
  <si>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</si>
  <si>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</si>
  <si>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</si>
  <si>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</si>
  <si>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</si>
  <si>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</si>
  <si>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</si>
  <si>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</si>
  <si>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</si>
  <si>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</si>
  <si>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</si>
  <si>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</si>
  <si>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</si>
  <si>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</si>
  <si>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</si>
  <si>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</si>
  <si>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</si>
  <si>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</si>
  <si>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</si>
  <si>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</si>
  <si>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</si>
  <si>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</si>
  <si>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</si>
  <si>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</si>
  <si>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</si>
  <si>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</si>
  <si>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</si>
  <si>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</si>
  <si>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</si>
  <si>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</si>
  <si>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</si>
  <si>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</si>
  <si>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</si>
  <si>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</si>
  <si>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</si>
  <si>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</si>
  <si>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小boss</t>
  </si>
  <si>
    <t>大boss</t>
  </si>
  <si>
    <t>中boss</t>
  </si>
  <si>
    <t>奈良</t>
  </si>
  <si>
    <t>山中</t>
  </si>
  <si>
    <t>秋道</t>
  </si>
  <si>
    <t>营地+</t>
  </si>
  <si>
    <t>总经验</t>
  </si>
  <si>
    <t>负粮草</t>
  </si>
  <si>
    <t>队伍一 风</t>
  </si>
  <si>
    <t>2级194</t>
  </si>
  <si>
    <t>3级349</t>
  </si>
  <si>
    <t>4级263</t>
  </si>
  <si>
    <t>5级239</t>
  </si>
  <si>
    <t>6级194</t>
  </si>
  <si>
    <t>八卦前亏损</t>
  </si>
  <si>
    <t>八卦前亏</t>
  </si>
  <si>
    <t>历练</t>
  </si>
  <si>
    <t>大卦</t>
  </si>
  <si>
    <t>小卦</t>
  </si>
  <si>
    <t>粮草调整</t>
  </si>
  <si>
    <t>明月</t>
  </si>
  <si>
    <t>不老情（不加500）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</si>
</sst>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3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3" xfId="0" applyFont="1" applyFill="1" applyBorder="1"/>
    <xf numFmtId="0" fontId="4" fillId="14" borderId="13" xfId="0" applyFont="1" applyFill="1" applyBorder="1"/>
    <xf numFmtId="0" fontId="4" fillId="10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10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6" borderId="13" xfId="0" applyFont="1" applyFill="1" applyBorder="1" applyAlignment="1">
      <alignment vertical="top"/>
    </xf>
    <xf numFmtId="0" fontId="0" fillId="17" borderId="13" xfId="0" applyFont="1" applyFill="1" applyBorder="1" applyAlignment="1">
      <alignment vertical="top"/>
    </xf>
    <xf numFmtId="0" fontId="0" fillId="2" borderId="13" xfId="0" applyFont="1" applyFill="1" applyBorder="1" applyAlignment="1">
      <alignment vertical="top"/>
    </xf>
    <xf numFmtId="0" fontId="4" fillId="18" borderId="13" xfId="0" applyFont="1" applyFill="1" applyBorder="1"/>
    <xf numFmtId="0" fontId="0" fillId="11" borderId="4" xfId="0" applyFill="1" applyBorder="1"/>
    <xf numFmtId="0" fontId="4" fillId="19" borderId="13" xfId="0" applyFont="1" applyFill="1" applyBorder="1"/>
    <xf numFmtId="0" fontId="4" fillId="20" borderId="13" xfId="0" applyFont="1" applyFill="1" applyBorder="1"/>
    <xf numFmtId="0" fontId="4" fillId="21" borderId="13" xfId="0" applyFont="1" applyFill="1" applyBorder="1"/>
    <xf numFmtId="0" fontId="4" fillId="5" borderId="13" xfId="0" applyFont="1" applyFill="1" applyBorder="1"/>
    <xf numFmtId="0" fontId="4" fillId="0" borderId="13" xfId="0" applyFont="1" applyBorder="1"/>
    <xf numFmtId="0" fontId="0" fillId="11" borderId="9" xfId="0" applyFill="1" applyBorder="1"/>
    <xf numFmtId="0" fontId="0" fillId="11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1" borderId="0" xfId="0" applyFill="1" applyBorder="1"/>
    <xf numFmtId="0" fontId="0" fillId="0" borderId="0" xfId="0" applyBorder="1"/>
    <xf numFmtId="0" fontId="0" fillId="0" borderId="0" xfId="0" applyFill="1" applyBorder="1"/>
    <xf numFmtId="0" fontId="0" fillId="11" borderId="3" xfId="0" applyFill="1" applyBorder="1"/>
    <xf numFmtId="0" fontId="0" fillId="11" borderId="5" xfId="0" applyFill="1" applyBorder="1"/>
    <xf numFmtId="0" fontId="10" fillId="0" borderId="0" xfId="0" applyFont="1"/>
    <xf numFmtId="0" fontId="10" fillId="11" borderId="10" xfId="0" applyFont="1" applyFill="1" applyBorder="1"/>
    <xf numFmtId="0" fontId="10" fillId="11" borderId="11" xfId="0" applyFont="1" applyFill="1" applyBorder="1"/>
    <xf numFmtId="0" fontId="11" fillId="22" borderId="14" xfId="0" applyFont="1" applyFill="1" applyBorder="1" applyAlignment="1">
      <alignment horizontal="center" wrapText="1"/>
    </xf>
    <xf numFmtId="0" fontId="11" fillId="22" borderId="14" xfId="0" applyFont="1" applyFill="1" applyBorder="1" applyAlignment="1">
      <alignment wrapText="1"/>
    </xf>
    <xf numFmtId="0" fontId="11" fillId="22" borderId="15" xfId="0" applyFont="1" applyFill="1" applyBorder="1" applyAlignment="1">
      <alignment wrapText="1"/>
    </xf>
    <xf numFmtId="0" fontId="12" fillId="0" borderId="0" xfId="0" applyFont="1"/>
    <xf numFmtId="0" fontId="12" fillId="8" borderId="13" xfId="0" applyFont="1" applyFill="1" applyBorder="1" applyAlignment="1">
      <alignment vertical="top"/>
    </xf>
    <xf numFmtId="0" fontId="12" fillId="0" borderId="13" xfId="0" applyFont="1" applyBorder="1"/>
    <xf numFmtId="0" fontId="12" fillId="0" borderId="0" xfId="0" applyFont="1" applyBorder="1"/>
    <xf numFmtId="0" fontId="12" fillId="13" borderId="13" xfId="0" applyFont="1" applyFill="1" applyBorder="1" applyAlignment="1">
      <alignment vertical="top"/>
    </xf>
    <xf numFmtId="0" fontId="12" fillId="10" borderId="13" xfId="0" applyFont="1" applyFill="1" applyBorder="1" applyAlignment="1">
      <alignment vertical="top"/>
    </xf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11" borderId="13" xfId="0" applyFill="1" applyBorder="1"/>
    <xf numFmtId="0" fontId="0" fillId="0" borderId="0" xfId="0" applyBorder="1" applyAlignment="1">
      <alignment horizontal="center" wrapText="1"/>
    </xf>
    <xf numFmtId="0" fontId="11" fillId="11" borderId="13" xfId="0" applyFont="1" applyFill="1" applyBorder="1"/>
    <xf numFmtId="10" fontId="0" fillId="24" borderId="0" xfId="0" applyNumberFormat="1" applyFill="1"/>
    <xf numFmtId="2" fontId="0" fillId="24" borderId="0" xfId="0" applyNumberFormat="1" applyFill="1"/>
    <xf numFmtId="0" fontId="11" fillId="25" borderId="13" xfId="0" applyFont="1" applyFill="1" applyBorder="1"/>
    <xf numFmtId="0" fontId="13" fillId="17" borderId="13" xfId="0" applyFont="1" applyFill="1" applyBorder="1" applyAlignment="1">
      <alignment vertical="top"/>
    </xf>
    <xf numFmtId="0" fontId="13" fillId="8" borderId="13" xfId="0" applyFont="1" applyFill="1" applyBorder="1" applyAlignment="1">
      <alignment vertical="top"/>
    </xf>
    <xf numFmtId="0" fontId="13" fillId="13" borderId="13" xfId="0" applyFont="1" applyFill="1" applyBorder="1" applyAlignment="1">
      <alignment vertical="top"/>
    </xf>
    <xf numFmtId="0" fontId="13" fillId="10" borderId="13" xfId="0" applyFont="1" applyFill="1" applyBorder="1" applyAlignment="1">
      <alignment vertical="top"/>
    </xf>
    <xf numFmtId="0" fontId="13" fillId="16" borderId="13" xfId="0" applyFont="1" applyFill="1" applyBorder="1" applyAlignment="1">
      <alignment vertical="top"/>
    </xf>
    <xf numFmtId="0" fontId="13" fillId="2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23" borderId="0" xfId="0" applyFont="1" applyFill="1" applyAlignment="1">
      <alignment wrapText="1"/>
    </xf>
    <xf numFmtId="0" fontId="4" fillId="26" borderId="2" xfId="0" applyFont="1" applyFill="1" applyBorder="1" applyAlignment="1">
      <alignment horizontal="center"/>
    </xf>
    <xf numFmtId="0" fontId="0" fillId="26" borderId="4" xfId="0" applyFill="1" applyBorder="1"/>
    <xf numFmtId="0" fontId="0" fillId="26" borderId="0" xfId="0" applyFill="1" applyBorder="1"/>
    <xf numFmtId="0" fontId="2" fillId="0" borderId="0" xfId="0" applyFont="1"/>
    <xf numFmtId="0" fontId="4" fillId="30" borderId="2" xfId="0" applyFont="1" applyFill="1" applyBorder="1" applyAlignment="1">
      <alignment horizontal="center"/>
    </xf>
    <xf numFmtId="0" fontId="0" fillId="30" borderId="4" xfId="0" applyFill="1" applyBorder="1"/>
    <xf numFmtId="0" fontId="0" fillId="30" borderId="0" xfId="0" applyFill="1" applyBorder="1"/>
    <xf numFmtId="0" fontId="4" fillId="31" borderId="2" xfId="0" applyFont="1" applyFill="1" applyBorder="1" applyAlignment="1"/>
    <xf numFmtId="0" fontId="4" fillId="31" borderId="2" xfId="0" applyFont="1" applyFill="1" applyBorder="1" applyAlignment="1">
      <alignment horizontal="center"/>
    </xf>
    <xf numFmtId="0" fontId="0" fillId="31" borderId="4" xfId="0" applyFill="1" applyBorder="1"/>
    <xf numFmtId="0" fontId="0" fillId="31" borderId="0" xfId="0" applyFill="1" applyBorder="1"/>
    <xf numFmtId="0" fontId="0" fillId="31" borderId="5" xfId="0" applyFill="1" applyBorder="1"/>
    <xf numFmtId="14" fontId="0" fillId="32" borderId="0" xfId="0" applyNumberFormat="1" applyFill="1"/>
    <xf numFmtId="0" fontId="16" fillId="3" borderId="0" xfId="0" applyFont="1" applyFill="1"/>
    <xf numFmtId="0" fontId="16" fillId="23" borderId="0" xfId="0" applyFont="1" applyFill="1"/>
    <xf numFmtId="0" fontId="16" fillId="8" borderId="13" xfId="0" applyFont="1" applyFill="1" applyBorder="1" applyAlignment="1">
      <alignment vertical="top"/>
    </xf>
    <xf numFmtId="0" fontId="16" fillId="0" borderId="0" xfId="0" applyFont="1"/>
    <xf numFmtId="0" fontId="16" fillId="12" borderId="5" xfId="0" applyFont="1" applyFill="1" applyBorder="1"/>
    <xf numFmtId="0" fontId="17" fillId="27" borderId="13" xfId="0" applyFont="1" applyFill="1" applyBorder="1"/>
    <xf numFmtId="0" fontId="16" fillId="26" borderId="13" xfId="0" applyFont="1" applyFill="1" applyBorder="1" applyAlignment="1">
      <alignment vertical="top"/>
    </xf>
    <xf numFmtId="0" fontId="17" fillId="26" borderId="13" xfId="0" applyFont="1" applyFill="1" applyBorder="1" applyAlignment="1">
      <alignment vertical="top"/>
    </xf>
    <xf numFmtId="0" fontId="16" fillId="22" borderId="13" xfId="0" applyFont="1" applyFill="1" applyBorder="1" applyAlignment="1">
      <alignment vertical="top"/>
    </xf>
    <xf numFmtId="0" fontId="17" fillId="15" borderId="15" xfId="0" applyFont="1" applyFill="1" applyBorder="1" applyAlignment="1">
      <alignment horizontal="center"/>
    </xf>
    <xf numFmtId="0" fontId="16" fillId="0" borderId="15" xfId="0" applyFont="1" applyBorder="1"/>
    <xf numFmtId="0" fontId="17" fillId="11" borderId="13" xfId="0" applyFont="1" applyFill="1" applyBorder="1"/>
    <xf numFmtId="0" fontId="17" fillId="28" borderId="13" xfId="0" applyFont="1" applyFill="1" applyBorder="1"/>
    <xf numFmtId="0" fontId="17" fillId="22" borderId="13" xfId="0" applyFont="1" applyFill="1" applyBorder="1" applyAlignment="1">
      <alignment vertical="top"/>
    </xf>
    <xf numFmtId="0" fontId="16" fillId="30" borderId="0" xfId="0" applyFont="1" applyFill="1"/>
    <xf numFmtId="0" fontId="16" fillId="12" borderId="5" xfId="1" applyFont="1" applyFill="1" applyBorder="1"/>
    <xf numFmtId="0" fontId="16" fillId="0" borderId="0" xfId="1" applyFont="1"/>
    <xf numFmtId="0" fontId="17" fillId="15" borderId="15" xfId="1" applyFont="1" applyFill="1" applyBorder="1" applyAlignment="1">
      <alignment horizontal="center"/>
    </xf>
    <xf numFmtId="0" fontId="16" fillId="0" borderId="15" xfId="1" applyFont="1" applyBorder="1"/>
    <xf numFmtId="0" fontId="16" fillId="29" borderId="13" xfId="0" applyFont="1" applyFill="1" applyBorder="1" applyAlignment="1">
      <alignment vertical="top"/>
    </xf>
    <xf numFmtId="0" fontId="17" fillId="29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7" fillId="17" borderId="13" xfId="0" applyFont="1" applyFill="1" applyBorder="1" applyAlignment="1">
      <alignment vertical="top"/>
    </xf>
    <xf numFmtId="0" fontId="16" fillId="24" borderId="13" xfId="0" applyFont="1" applyFill="1" applyBorder="1" applyAlignment="1">
      <alignment vertical="top"/>
    </xf>
    <xf numFmtId="0" fontId="17" fillId="24" borderId="13" xfId="0" applyFont="1" applyFill="1" applyBorder="1" applyAlignment="1">
      <alignment vertical="top"/>
    </xf>
    <xf numFmtId="0" fontId="17" fillId="20" borderId="13" xfId="0" applyFont="1" applyFill="1" applyBorder="1"/>
    <xf numFmtId="0" fontId="17" fillId="25" borderId="13" xfId="0" applyFont="1" applyFill="1" applyBorder="1"/>
    <xf numFmtId="0" fontId="17" fillId="19" borderId="13" xfId="0" applyFont="1" applyFill="1" applyBorder="1"/>
    <xf numFmtId="0" fontId="16" fillId="0" borderId="0" xfId="0" applyFont="1" applyFill="1"/>
    <xf numFmtId="0" fontId="16" fillId="26" borderId="0" xfId="0" applyFont="1" applyFill="1"/>
    <xf numFmtId="0" fontId="16" fillId="22" borderId="0" xfId="0" applyFont="1" applyFill="1"/>
    <xf numFmtId="0" fontId="0" fillId="11" borderId="14" xfId="0" applyFill="1" applyBorder="1" applyAlignment="1">
      <alignment horizontal="center" wrapText="1"/>
    </xf>
    <xf numFmtId="0" fontId="0" fillId="11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4" fillId="26" borderId="3" xfId="0" applyFont="1" applyFill="1" applyBorder="1" applyAlignment="1">
      <alignment horizontal="center"/>
    </xf>
    <xf numFmtId="0" fontId="4" fillId="30" borderId="1" xfId="0" applyFont="1" applyFill="1" applyBorder="1" applyAlignment="1">
      <alignment horizontal="center"/>
    </xf>
    <xf numFmtId="0" fontId="4" fillId="30" borderId="2" xfId="0" applyFont="1" applyFill="1" applyBorder="1" applyAlignment="1">
      <alignment horizontal="center"/>
    </xf>
    <xf numFmtId="0" fontId="4" fillId="30" borderId="3" xfId="0" applyFont="1" applyFill="1" applyBorder="1" applyAlignment="1">
      <alignment horizontal="center"/>
    </xf>
    <xf numFmtId="0" fontId="4" fillId="31" borderId="1" xfId="0" applyFont="1" applyFill="1" applyBorder="1" applyAlignment="1">
      <alignment horizontal="center"/>
    </xf>
    <xf numFmtId="0" fontId="4" fillId="31" borderId="2" xfId="0" applyFont="1" applyFill="1" applyBorder="1" applyAlignment="1">
      <alignment horizontal="center"/>
    </xf>
    <xf numFmtId="0" fontId="4" fillId="31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CCFF"/>
      <color rgb="FFFFF243"/>
      <color rgb="FFFFCC00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33618</xdr:colOff>
      <xdr:row>57</xdr:row>
      <xdr:rowOff>59839</xdr:rowOff>
    </xdr:from>
    <xdr:to>
      <xdr:col>22</xdr:col>
      <xdr:colOff>360556</xdr:colOff>
      <xdr:row>85</xdr:row>
      <xdr:rowOff>165318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5D9569-A3F5-AC83-3985-B4FA38376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7147" y="10739045"/>
          <a:ext cx="3080000" cy="5121904"/>
        </a:xfrm>
        <a:prstGeom prst="rect">
          <a:avLst/>
        </a:prstGeom>
      </xdr:spPr>
    </xdr:pic>
    <xdr:clientData/>
  </xdr:twoCellAnchor>
  <xdr:twoCellAnchor editAs="oneCell">
    <xdr:from>
      <xdr:col>23</xdr:col>
      <xdr:colOff>311860</xdr:colOff>
      <xdr:row>58</xdr:row>
      <xdr:rowOff>67235</xdr:rowOff>
    </xdr:from>
    <xdr:to>
      <xdr:col>31</xdr:col>
      <xdr:colOff>96118</xdr:colOff>
      <xdr:row>86</xdr:row>
      <xdr:rowOff>136525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8ECD51-3D1B-347D-7A2B-6A0506237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3036" y="10925735"/>
          <a:ext cx="2914286" cy="508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zoomScale="85" zoomScaleNormal="85" workbookViewId="0">
      <pane ySplit="3" topLeftCell="A57" activePane="bottomLeft" state="frozen"/>
      <selection activeCell="AO32" sqref="AO32"/>
      <selection pane="bottomLeft" activeCell="B93" sqref="B93:AK93"/>
    </sheetView>
  </sheetViews>
  <sheetFormatPr defaultColWidth="9" defaultRowHeight="14.4"/>
  <cols>
    <col min="1" max="1" width="11.88671875" customWidth="1"/>
    <col min="2" max="2" width="9" customWidth="1"/>
    <col min="3" max="3" width="7.44140625" bestFit="1" customWidth="1"/>
    <col min="4" max="4" width="5.6640625" customWidth="1"/>
    <col min="5" max="5" width="6.44140625" customWidth="1"/>
    <col min="6" max="6" width="5.6640625" customWidth="1"/>
    <col min="7" max="7" width="6.44140625" customWidth="1"/>
    <col min="8" max="8" width="5.44140625" customWidth="1"/>
    <col min="9" max="32" width="5.6640625" customWidth="1"/>
    <col min="33" max="37" width="5.109375" customWidth="1"/>
  </cols>
  <sheetData>
    <row r="1" spans="1:53" ht="28.2" customHeight="1" thickBot="1">
      <c r="A1" s="125">
        <f ca="1">(_xlfn.DAYS(TODAY(),A4)+2)/((_xlfn.DAYS(A93,A4))+1)</f>
        <v>1</v>
      </c>
      <c r="B1" s="126"/>
      <c r="C1" s="126"/>
      <c r="D1" s="126"/>
      <c r="E1" s="126"/>
      <c r="F1" s="126"/>
      <c r="G1" s="126"/>
      <c r="H1" s="127"/>
      <c r="I1" s="128" t="s">
        <v>0</v>
      </c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30"/>
      <c r="AH1" s="21"/>
      <c r="AI1" s="21"/>
      <c r="AJ1" s="21"/>
      <c r="AM1" s="123" t="s">
        <v>1</v>
      </c>
      <c r="AN1" s="123"/>
      <c r="AO1" s="123"/>
      <c r="AP1" s="58"/>
    </row>
    <row r="2" spans="1:53" ht="16.2" customHeight="1" thickBot="1">
      <c r="A2" s="79">
        <v>14.05</v>
      </c>
      <c r="B2" s="65" t="s">
        <v>69</v>
      </c>
      <c r="C2" s="66" t="e">
        <f>SUM(亏损!A4:X94)+SUM(AG4:AG14)*10</f>
        <v>#REF!</v>
      </c>
      <c r="D2" s="131" t="s">
        <v>2</v>
      </c>
      <c r="E2" s="132"/>
      <c r="F2" s="133">
        <f>SUM(F4:F93)+SUM(H4:H93)</f>
        <v>64920</v>
      </c>
      <c r="G2" s="133"/>
      <c r="H2" s="134"/>
      <c r="I2" s="135" t="s">
        <v>3</v>
      </c>
      <c r="J2" s="136"/>
      <c r="K2" s="76" t="s">
        <v>4</v>
      </c>
      <c r="L2" s="76">
        <f>COUNTIF(I4:P93,"&lt;&gt;空")</f>
        <v>374</v>
      </c>
      <c r="M2" s="136" t="s">
        <v>5</v>
      </c>
      <c r="N2" s="136"/>
      <c r="O2" s="136"/>
      <c r="P2" s="137"/>
      <c r="Q2" s="138" t="s">
        <v>6</v>
      </c>
      <c r="R2" s="139"/>
      <c r="S2" s="80" t="s">
        <v>4</v>
      </c>
      <c r="T2" s="80">
        <f>COUNTIF(Q4:X93,"&lt;&gt;空")</f>
        <v>315</v>
      </c>
      <c r="U2" s="139" t="s">
        <v>5</v>
      </c>
      <c r="V2" s="139"/>
      <c r="W2" s="139"/>
      <c r="X2" s="140"/>
      <c r="Y2" s="141" t="s">
        <v>7</v>
      </c>
      <c r="Z2" s="142"/>
      <c r="AA2" s="83" t="s">
        <v>8</v>
      </c>
      <c r="AB2" s="84">
        <f>COUNTIF(Y4:AF93,"&lt;&gt;空")</f>
        <v>375</v>
      </c>
      <c r="AC2" s="142" t="s">
        <v>5</v>
      </c>
      <c r="AD2" s="142"/>
      <c r="AE2" s="142"/>
      <c r="AF2" s="143"/>
      <c r="AG2" s="49">
        <f>SUM(AG4:AG93)</f>
        <v>32</v>
      </c>
      <c r="AH2" s="49">
        <f>SUM(AH4:AH93)</f>
        <v>7</v>
      </c>
      <c r="AI2" s="49">
        <f>SUM(AI4:AI93)</f>
        <v>4</v>
      </c>
      <c r="AJ2" s="20">
        <f>SUM(AJ4:AJ93)</f>
        <v>21</v>
      </c>
      <c r="AK2" s="120" t="s">
        <v>9</v>
      </c>
      <c r="AM2" s="124"/>
      <c r="AN2" s="124"/>
      <c r="AO2" s="124"/>
      <c r="AP2" s="63"/>
      <c r="AS2" t="s">
        <v>28</v>
      </c>
      <c r="AT2">
        <f>SUM(AT4:AT29)</f>
        <v>1064</v>
      </c>
      <c r="AV2" t="s">
        <v>60</v>
      </c>
      <c r="AW2" s="43">
        <f>SUM(AU4:AW29)+7000</f>
        <v>64920</v>
      </c>
      <c r="AX2" s="36"/>
      <c r="AY2" s="44" t="s">
        <v>10</v>
      </c>
    </row>
    <row r="3" spans="1:53" ht="31.5" customHeight="1" thickBot="1">
      <c r="A3" s="14" t="s">
        <v>11</v>
      </c>
      <c r="B3" s="15" t="s">
        <v>12</v>
      </c>
      <c r="C3" s="75" t="s">
        <v>73</v>
      </c>
      <c r="D3" s="15" t="s">
        <v>13</v>
      </c>
      <c r="E3" s="15" t="s">
        <v>14</v>
      </c>
      <c r="F3" s="16" t="s">
        <v>15</v>
      </c>
      <c r="G3" s="16" t="s">
        <v>16</v>
      </c>
      <c r="H3" s="74" t="s">
        <v>17</v>
      </c>
      <c r="I3" s="77">
        <v>1</v>
      </c>
      <c r="J3" s="78">
        <v>2</v>
      </c>
      <c r="K3" s="78">
        <v>3</v>
      </c>
      <c r="L3" s="78">
        <v>4</v>
      </c>
      <c r="M3" s="78">
        <v>5</v>
      </c>
      <c r="N3" s="78">
        <v>6</v>
      </c>
      <c r="O3" s="78">
        <v>7</v>
      </c>
      <c r="P3" s="78">
        <v>8</v>
      </c>
      <c r="Q3" s="81">
        <v>1</v>
      </c>
      <c r="R3" s="82">
        <v>2</v>
      </c>
      <c r="S3" s="82">
        <v>3</v>
      </c>
      <c r="T3" s="82">
        <v>4</v>
      </c>
      <c r="U3" s="82">
        <v>5</v>
      </c>
      <c r="V3" s="82">
        <v>6</v>
      </c>
      <c r="W3" s="82">
        <v>7</v>
      </c>
      <c r="X3" s="82">
        <v>8</v>
      </c>
      <c r="Y3" s="85">
        <v>1</v>
      </c>
      <c r="Z3" s="86">
        <v>2</v>
      </c>
      <c r="AA3" s="86">
        <v>3</v>
      </c>
      <c r="AB3" s="86">
        <v>4</v>
      </c>
      <c r="AC3" s="86">
        <v>5</v>
      </c>
      <c r="AD3" s="86">
        <v>6</v>
      </c>
      <c r="AE3" s="86">
        <v>7</v>
      </c>
      <c r="AF3" s="87">
        <v>8</v>
      </c>
      <c r="AG3" s="50" t="s">
        <v>18</v>
      </c>
      <c r="AH3" s="51" t="s">
        <v>19</v>
      </c>
      <c r="AI3" s="51" t="s">
        <v>20</v>
      </c>
      <c r="AJ3" s="22" t="s">
        <v>21</v>
      </c>
      <c r="AK3" s="121"/>
      <c r="AL3" s="23"/>
      <c r="AM3" s="24" t="s">
        <v>22</v>
      </c>
      <c r="AN3" s="24" t="s">
        <v>23</v>
      </c>
      <c r="AO3" s="24" t="s">
        <v>24</v>
      </c>
      <c r="AP3" s="24" t="s">
        <v>68</v>
      </c>
      <c r="AQ3" s="37" t="s">
        <v>25</v>
      </c>
      <c r="AR3" s="38" t="s">
        <v>26</v>
      </c>
      <c r="AS3" s="39" t="s">
        <v>27</v>
      </c>
      <c r="AT3" s="40" t="s">
        <v>28</v>
      </c>
      <c r="AU3" s="37" t="s">
        <v>29</v>
      </c>
      <c r="AV3" s="38" t="s">
        <v>30</v>
      </c>
      <c r="AW3" s="39" t="s">
        <v>31</v>
      </c>
      <c r="AX3" s="41" t="s">
        <v>32</v>
      </c>
      <c r="AY3" s="45">
        <v>1</v>
      </c>
    </row>
    <row r="4" spans="1:53" s="46" customFormat="1" ht="15" thickBot="1">
      <c r="A4" s="88">
        <v>45275</v>
      </c>
      <c r="B4" s="89">
        <v>800</v>
      </c>
      <c r="C4" s="90">
        <v>4800</v>
      </c>
      <c r="D4" s="89">
        <f>(SUM(粮草!A4:X4)+AG4*10)*IF(AK4="是",$AY$4,$AY$3)</f>
        <v>1760</v>
      </c>
      <c r="E4" s="89">
        <f>SUM($B$4:B4)+SUM($C$4:C4)-SUM($D$4:D4)</f>
        <v>3840</v>
      </c>
      <c r="F4" s="89">
        <f>SUM(经验!A4:X4)</f>
        <v>450</v>
      </c>
      <c r="G4" s="89">
        <f>SUM($F$4:F4)+SUM($H$4:H4)</f>
        <v>950</v>
      </c>
      <c r="H4" s="89">
        <v>500</v>
      </c>
      <c r="I4" s="91" t="s">
        <v>33</v>
      </c>
      <c r="J4" s="91" t="s">
        <v>33</v>
      </c>
      <c r="K4" s="91" t="s">
        <v>33</v>
      </c>
      <c r="L4" s="92" t="s">
        <v>34</v>
      </c>
      <c r="M4" s="92" t="s">
        <v>34</v>
      </c>
      <c r="N4" s="92" t="s">
        <v>34</v>
      </c>
      <c r="O4" s="93" t="s">
        <v>34</v>
      </c>
      <c r="P4" s="93" t="s">
        <v>34</v>
      </c>
      <c r="Q4" s="91" t="s">
        <v>33</v>
      </c>
      <c r="R4" s="94" t="s">
        <v>39</v>
      </c>
      <c r="S4" s="91" t="s">
        <v>33</v>
      </c>
      <c r="T4" s="95" t="s">
        <v>37</v>
      </c>
      <c r="U4" s="92" t="s">
        <v>34</v>
      </c>
      <c r="V4" s="92" t="s">
        <v>34</v>
      </c>
      <c r="W4" s="93" t="s">
        <v>34</v>
      </c>
      <c r="X4" s="93" t="s">
        <v>34</v>
      </c>
      <c r="Y4" s="95" t="s">
        <v>37</v>
      </c>
      <c r="Z4" s="95" t="s">
        <v>37</v>
      </c>
      <c r="AA4" s="95" t="s">
        <v>37</v>
      </c>
      <c r="AB4" s="96" t="s">
        <v>41</v>
      </c>
      <c r="AC4" s="97" t="s">
        <v>40</v>
      </c>
      <c r="AD4" s="92" t="s">
        <v>34</v>
      </c>
      <c r="AE4" s="93" t="s">
        <v>34</v>
      </c>
      <c r="AF4" s="93" t="s">
        <v>34</v>
      </c>
      <c r="AG4" s="98">
        <f>AH4+AI4+AJ4</f>
        <v>0</v>
      </c>
      <c r="AH4" s="98"/>
      <c r="AI4" s="98"/>
      <c r="AJ4" s="98"/>
      <c r="AK4" s="99" t="s">
        <v>35</v>
      </c>
      <c r="AM4" s="53" t="s">
        <v>33</v>
      </c>
      <c r="AN4" s="24">
        <v>150</v>
      </c>
      <c r="AO4" s="24">
        <v>35</v>
      </c>
      <c r="AP4" s="54">
        <v>44.222109392472248</v>
      </c>
      <c r="AQ4" s="54">
        <f>COUNTIF($I$4:$P$93,AM4)</f>
        <v>8</v>
      </c>
      <c r="AR4" s="54">
        <f>COUNTIF($Q$4:$X$93,AM4)</f>
        <v>3</v>
      </c>
      <c r="AS4" s="54">
        <f>COUNTIF($Y$4:$AF$93,AM4)</f>
        <v>3</v>
      </c>
      <c r="AT4" s="54">
        <f>AQ4+AR4+AS4</f>
        <v>14</v>
      </c>
      <c r="AU4" s="55">
        <f>AQ4*$AO4</f>
        <v>280</v>
      </c>
      <c r="AV4" s="55">
        <f t="shared" ref="AV4:AW19" si="0">AR4*$AO4</f>
        <v>105</v>
      </c>
      <c r="AW4" s="55">
        <f t="shared" si="0"/>
        <v>105</v>
      </c>
      <c r="AX4" s="47" t="s">
        <v>36</v>
      </c>
      <c r="AY4" s="48">
        <v>0.8</v>
      </c>
      <c r="BA4" s="52">
        <f>AN4*0.8</f>
        <v>120</v>
      </c>
    </row>
    <row r="5" spans="1:53" s="46" customFormat="1">
      <c r="A5" s="88">
        <v>45276</v>
      </c>
      <c r="B5" s="89">
        <v>1600</v>
      </c>
      <c r="C5" s="90">
        <v>1200</v>
      </c>
      <c r="D5" s="89">
        <f>(SUM(粮草!A5:X5)+AG5*10)*IF(AK5="是",$AY$4,$AY$3)</f>
        <v>1750</v>
      </c>
      <c r="E5" s="89">
        <f>SUM($B$4:B5)+SUM($C$4:C5)-SUM($D$4:D5)</f>
        <v>4890</v>
      </c>
      <c r="F5" s="89">
        <f>SUM(经验!A5:X5)</f>
        <v>510</v>
      </c>
      <c r="G5" s="89">
        <f>SUM($F$4:F5)+SUM($H$4:H5)</f>
        <v>1460</v>
      </c>
      <c r="H5" s="89">
        <v>0</v>
      </c>
      <c r="I5" s="91" t="s">
        <v>33</v>
      </c>
      <c r="J5" s="91" t="s">
        <v>33</v>
      </c>
      <c r="K5" s="94" t="s">
        <v>39</v>
      </c>
      <c r="L5" s="91" t="s">
        <v>33</v>
      </c>
      <c r="M5" s="91" t="s">
        <v>33</v>
      </c>
      <c r="N5" s="95" t="s">
        <v>37</v>
      </c>
      <c r="O5" s="93" t="s">
        <v>34</v>
      </c>
      <c r="P5" s="93" t="s">
        <v>34</v>
      </c>
      <c r="Q5" s="92" t="s">
        <v>34</v>
      </c>
      <c r="R5" s="92" t="s">
        <v>34</v>
      </c>
      <c r="S5" s="92" t="s">
        <v>34</v>
      </c>
      <c r="T5" s="92" t="s">
        <v>34</v>
      </c>
      <c r="U5" s="92" t="s">
        <v>34</v>
      </c>
      <c r="V5" s="92" t="s">
        <v>34</v>
      </c>
      <c r="W5" s="93" t="s">
        <v>34</v>
      </c>
      <c r="X5" s="93" t="s">
        <v>34</v>
      </c>
      <c r="Y5" s="97" t="s">
        <v>40</v>
      </c>
      <c r="Z5" s="97" t="s">
        <v>40</v>
      </c>
      <c r="AA5" s="100" t="s">
        <v>72</v>
      </c>
      <c r="AB5" s="94" t="s">
        <v>39</v>
      </c>
      <c r="AC5" s="97" t="s">
        <v>40</v>
      </c>
      <c r="AD5" s="101" t="s">
        <v>46</v>
      </c>
      <c r="AE5" s="97" t="s">
        <v>40</v>
      </c>
      <c r="AF5" s="97" t="s">
        <v>40</v>
      </c>
      <c r="AG5" s="98">
        <f t="shared" ref="AG5:AG68" si="1">AH5+AI5+AJ5</f>
        <v>2</v>
      </c>
      <c r="AH5" s="98"/>
      <c r="AI5" s="98"/>
      <c r="AJ5" s="98">
        <v>2</v>
      </c>
      <c r="AK5" s="99" t="s">
        <v>35</v>
      </c>
      <c r="AM5" s="56" t="s">
        <v>37</v>
      </c>
      <c r="AN5" s="24">
        <v>160</v>
      </c>
      <c r="AO5" s="24">
        <v>40</v>
      </c>
      <c r="AP5" s="54">
        <v>39.110982162825422</v>
      </c>
      <c r="AQ5" s="54">
        <f>COUNTIF($I$4:$P$93,AM5)</f>
        <v>12</v>
      </c>
      <c r="AR5" s="54">
        <f>COUNTIF($Q$4:$X$93,AM5)</f>
        <v>7</v>
      </c>
      <c r="AS5" s="54">
        <f>COUNTIF($Y$4:$AF$93,AM5)</f>
        <v>13</v>
      </c>
      <c r="AT5" s="54">
        <f t="shared" ref="AT5:AT26" si="2">AQ5+AR5+AS5</f>
        <v>32</v>
      </c>
      <c r="AU5" s="55">
        <f t="shared" ref="AU5:AW28" si="3">AQ5*$AO5</f>
        <v>480</v>
      </c>
      <c r="AV5" s="55">
        <f t="shared" si="0"/>
        <v>280</v>
      </c>
      <c r="AW5" s="55">
        <f t="shared" si="0"/>
        <v>520</v>
      </c>
      <c r="AX5" s="122" t="s">
        <v>38</v>
      </c>
      <c r="AY5" s="122"/>
      <c r="BA5" s="52">
        <f t="shared" ref="BA5:BA29" si="4">AN5*0.8</f>
        <v>128</v>
      </c>
    </row>
    <row r="6" spans="1:53" s="46" customFormat="1">
      <c r="A6" s="88">
        <v>45277</v>
      </c>
      <c r="B6" s="89">
        <v>1600</v>
      </c>
      <c r="C6" s="90"/>
      <c r="D6" s="89">
        <f>(SUM(粮草!A6:X6)+AG6*10)*IF(AK6="是",$AY$4,$AY$3)</f>
        <v>1960</v>
      </c>
      <c r="E6" s="89">
        <f>SUM($B$4:B6)+SUM($C$4:C6)-SUM($D$4:D6)</f>
        <v>4530</v>
      </c>
      <c r="F6" s="89">
        <f>SUM(经验!A6:X6)</f>
        <v>555</v>
      </c>
      <c r="G6" s="89">
        <f>SUM($F$4:F6)+SUM($H$4:H6)</f>
        <v>2015</v>
      </c>
      <c r="H6" s="89">
        <v>0</v>
      </c>
      <c r="I6" s="95" t="s">
        <v>37</v>
      </c>
      <c r="J6" s="94" t="s">
        <v>39</v>
      </c>
      <c r="K6" s="95" t="s">
        <v>37</v>
      </c>
      <c r="L6" s="95" t="s">
        <v>37</v>
      </c>
      <c r="M6" s="101" t="s">
        <v>46</v>
      </c>
      <c r="N6" s="97" t="s">
        <v>40</v>
      </c>
      <c r="O6" s="97" t="s">
        <v>40</v>
      </c>
      <c r="P6" s="97" t="s">
        <v>40</v>
      </c>
      <c r="Q6" s="92" t="s">
        <v>34</v>
      </c>
      <c r="R6" s="92" t="s">
        <v>34</v>
      </c>
      <c r="S6" s="92" t="s">
        <v>34</v>
      </c>
      <c r="T6" s="92" t="s">
        <v>34</v>
      </c>
      <c r="U6" s="92" t="s">
        <v>34</v>
      </c>
      <c r="V6" s="92" t="s">
        <v>34</v>
      </c>
      <c r="W6" s="93" t="s">
        <v>34</v>
      </c>
      <c r="X6" s="93" t="s">
        <v>34</v>
      </c>
      <c r="Y6" s="100" t="s">
        <v>72</v>
      </c>
      <c r="Z6" s="97" t="s">
        <v>40</v>
      </c>
      <c r="AA6" s="97" t="s">
        <v>40</v>
      </c>
      <c r="AB6" s="97" t="s">
        <v>40</v>
      </c>
      <c r="AC6" s="97" t="s">
        <v>40</v>
      </c>
      <c r="AD6" s="97" t="s">
        <v>40</v>
      </c>
      <c r="AE6" s="93" t="s">
        <v>34</v>
      </c>
      <c r="AF6" s="93" t="s">
        <v>34</v>
      </c>
      <c r="AG6" s="98">
        <f t="shared" si="1"/>
        <v>5</v>
      </c>
      <c r="AH6" s="98"/>
      <c r="AI6" s="98"/>
      <c r="AJ6" s="98">
        <v>5</v>
      </c>
      <c r="AK6" s="99" t="s">
        <v>35</v>
      </c>
      <c r="AM6" s="57" t="s">
        <v>40</v>
      </c>
      <c r="AN6" s="24">
        <v>170</v>
      </c>
      <c r="AO6" s="24">
        <v>45</v>
      </c>
      <c r="AP6" s="54">
        <v>34</v>
      </c>
      <c r="AQ6" s="54">
        <f>COUNTIF($I$4:$P$93,AM6)</f>
        <v>82</v>
      </c>
      <c r="AR6" s="54">
        <f>COUNTIF($Q$4:$X$93,AM6)</f>
        <v>57</v>
      </c>
      <c r="AS6" s="54">
        <f>COUNTIF($Y$4:$AF$93,AM6)</f>
        <v>94</v>
      </c>
      <c r="AT6" s="54">
        <f t="shared" si="2"/>
        <v>233</v>
      </c>
      <c r="AU6" s="55">
        <f t="shared" si="3"/>
        <v>3690</v>
      </c>
      <c r="AV6" s="55">
        <f t="shared" si="0"/>
        <v>2565</v>
      </c>
      <c r="AW6" s="55">
        <f t="shared" si="0"/>
        <v>4230</v>
      </c>
      <c r="AX6" s="123"/>
      <c r="AY6" s="123"/>
      <c r="BA6" s="52">
        <f t="shared" si="4"/>
        <v>136</v>
      </c>
    </row>
    <row r="7" spans="1:53">
      <c r="A7" s="88">
        <v>45278</v>
      </c>
      <c r="B7" s="92">
        <v>1600</v>
      </c>
      <c r="C7" s="92"/>
      <c r="D7" s="89">
        <f>(SUM(粮草!A7:X7)+AG7*10)*IF(AK7="是",$AY$4,$AY$3)</f>
        <v>2060</v>
      </c>
      <c r="E7" s="89">
        <f>SUM($B$4:B7)+SUM($C$4:C7)-SUM($D$4:D7)</f>
        <v>4070</v>
      </c>
      <c r="F7" s="89">
        <f>SUM(经验!A7:X7)</f>
        <v>1035</v>
      </c>
      <c r="G7" s="89">
        <f>SUM($F$4:F7)+SUM($H$4:H7)</f>
        <v>3250</v>
      </c>
      <c r="H7" s="92">
        <v>200</v>
      </c>
      <c r="I7" s="97" t="s">
        <v>40</v>
      </c>
      <c r="J7" s="100" t="s">
        <v>71</v>
      </c>
      <c r="K7" s="97" t="s">
        <v>40</v>
      </c>
      <c r="L7" s="97" t="s">
        <v>40</v>
      </c>
      <c r="M7" s="102" t="s">
        <v>47</v>
      </c>
      <c r="N7" s="97" t="s">
        <v>40</v>
      </c>
      <c r="O7" s="93" t="s">
        <v>34</v>
      </c>
      <c r="P7" s="93" t="s">
        <v>34</v>
      </c>
      <c r="Q7" s="92" t="s">
        <v>34</v>
      </c>
      <c r="R7" s="92" t="s">
        <v>34</v>
      </c>
      <c r="S7" s="92" t="s">
        <v>34</v>
      </c>
      <c r="T7" s="92" t="s">
        <v>34</v>
      </c>
      <c r="U7" s="92" t="s">
        <v>34</v>
      </c>
      <c r="V7" s="92" t="s">
        <v>34</v>
      </c>
      <c r="W7" s="93" t="s">
        <v>34</v>
      </c>
      <c r="X7" s="93" t="s">
        <v>34</v>
      </c>
      <c r="Y7" s="94" t="s">
        <v>39</v>
      </c>
      <c r="Z7" s="97" t="s">
        <v>40</v>
      </c>
      <c r="AA7" s="97" t="s">
        <v>40</v>
      </c>
      <c r="AB7" s="97" t="s">
        <v>40</v>
      </c>
      <c r="AC7" s="100" t="s">
        <v>71</v>
      </c>
      <c r="AD7" s="97" t="s">
        <v>40</v>
      </c>
      <c r="AE7" s="93" t="s">
        <v>34</v>
      </c>
      <c r="AF7" s="93" t="s">
        <v>34</v>
      </c>
      <c r="AG7" s="98">
        <f t="shared" si="1"/>
        <v>0</v>
      </c>
      <c r="AH7" s="98"/>
      <c r="AI7" s="98"/>
      <c r="AJ7" s="98"/>
      <c r="AK7" s="99" t="s">
        <v>35</v>
      </c>
      <c r="AM7" s="25" t="s">
        <v>42</v>
      </c>
      <c r="AN7" s="24">
        <v>180</v>
      </c>
      <c r="AO7" s="24">
        <v>50</v>
      </c>
      <c r="AP7" s="24">
        <v>36</v>
      </c>
      <c r="AQ7" s="24">
        <f>COUNTIF($I$4:$P$93,AM7)</f>
        <v>97</v>
      </c>
      <c r="AR7" s="24">
        <f>COUNTIF($Q$4:$X$93,AM7)</f>
        <v>90</v>
      </c>
      <c r="AS7" s="24">
        <f>COUNTIF($Y$4:$AF$93,AM7)</f>
        <v>89</v>
      </c>
      <c r="AT7" s="24">
        <f t="shared" si="2"/>
        <v>276</v>
      </c>
      <c r="AU7" s="42">
        <f t="shared" si="3"/>
        <v>4850</v>
      </c>
      <c r="AV7" s="42">
        <f t="shared" si="0"/>
        <v>4500</v>
      </c>
      <c r="AW7" s="42">
        <f t="shared" si="0"/>
        <v>4450</v>
      </c>
      <c r="AX7" s="123"/>
      <c r="AY7" s="123"/>
      <c r="BA7">
        <f t="shared" si="4"/>
        <v>144</v>
      </c>
    </row>
    <row r="8" spans="1:53">
      <c r="A8" s="88">
        <v>45279</v>
      </c>
      <c r="B8" s="92">
        <v>1600</v>
      </c>
      <c r="C8" s="92"/>
      <c r="D8" s="89">
        <f>(SUM(粮草!A8:X8)+AG8*10)*IF(AK8="是",$AY$4,$AY$3)</f>
        <v>2120</v>
      </c>
      <c r="E8" s="89">
        <f>SUM($B$4:B8)+SUM($C$4:C8)-SUM($D$4:D8)</f>
        <v>3550</v>
      </c>
      <c r="F8" s="89">
        <f>SUM(经验!A8:X8)</f>
        <v>540</v>
      </c>
      <c r="G8" s="89">
        <f>SUM($F$4:F8)+SUM($H$4:H8)</f>
        <v>3890</v>
      </c>
      <c r="H8" s="92">
        <v>100</v>
      </c>
      <c r="I8" s="97" t="s">
        <v>40</v>
      </c>
      <c r="J8" s="97" t="s">
        <v>40</v>
      </c>
      <c r="K8" s="97" t="s">
        <v>40</v>
      </c>
      <c r="L8" s="97" t="s">
        <v>40</v>
      </c>
      <c r="M8" s="97" t="s">
        <v>40</v>
      </c>
      <c r="N8" s="97" t="s">
        <v>40</v>
      </c>
      <c r="O8" s="93" t="s">
        <v>34</v>
      </c>
      <c r="P8" s="93" t="s">
        <v>34</v>
      </c>
      <c r="Q8" s="92" t="s">
        <v>34</v>
      </c>
      <c r="R8" s="92" t="s">
        <v>34</v>
      </c>
      <c r="S8" s="92" t="s">
        <v>34</v>
      </c>
      <c r="T8" s="92" t="s">
        <v>34</v>
      </c>
      <c r="U8" s="92" t="s">
        <v>34</v>
      </c>
      <c r="V8" s="92" t="s">
        <v>34</v>
      </c>
      <c r="W8" s="93" t="s">
        <v>34</v>
      </c>
      <c r="X8" s="93" t="s">
        <v>34</v>
      </c>
      <c r="Y8" s="97" t="s">
        <v>40</v>
      </c>
      <c r="Z8" s="102" t="s">
        <v>47</v>
      </c>
      <c r="AA8" s="97" t="s">
        <v>40</v>
      </c>
      <c r="AB8" s="97" t="s">
        <v>40</v>
      </c>
      <c r="AC8" s="97" t="s">
        <v>40</v>
      </c>
      <c r="AD8" s="97" t="s">
        <v>40</v>
      </c>
      <c r="AE8" s="93" t="s">
        <v>34</v>
      </c>
      <c r="AF8" s="93" t="s">
        <v>34</v>
      </c>
      <c r="AG8" s="98">
        <f t="shared" si="1"/>
        <v>10</v>
      </c>
      <c r="AH8" s="98">
        <v>5</v>
      </c>
      <c r="AI8" s="98"/>
      <c r="AJ8" s="98">
        <v>5</v>
      </c>
      <c r="AK8" s="99" t="s">
        <v>35</v>
      </c>
      <c r="AM8" s="26" t="s">
        <v>43</v>
      </c>
      <c r="AN8" s="24">
        <v>190</v>
      </c>
      <c r="AO8" s="24">
        <v>55</v>
      </c>
      <c r="AP8" s="24">
        <v>38</v>
      </c>
      <c r="AQ8" s="24">
        <f>COUNTIF($I$4:$P$93,AM8)</f>
        <v>87</v>
      </c>
      <c r="AR8" s="24">
        <f>COUNTIF($Q$4:$X$93,AM8)</f>
        <v>77</v>
      </c>
      <c r="AS8" s="24">
        <f>COUNTIF($Y$4:$AF$93,AM8)</f>
        <v>73</v>
      </c>
      <c r="AT8" s="24">
        <f t="shared" si="2"/>
        <v>237</v>
      </c>
      <c r="AU8" s="42">
        <f t="shared" si="3"/>
        <v>4785</v>
      </c>
      <c r="AV8" s="42">
        <f t="shared" si="0"/>
        <v>4235</v>
      </c>
      <c r="AW8" s="42">
        <f t="shared" si="0"/>
        <v>4015</v>
      </c>
      <c r="AX8" s="123"/>
      <c r="AY8" s="123"/>
      <c r="BA8">
        <f t="shared" si="4"/>
        <v>152</v>
      </c>
    </row>
    <row r="9" spans="1:53">
      <c r="A9" s="88">
        <v>45280</v>
      </c>
      <c r="B9" s="92">
        <v>1600</v>
      </c>
      <c r="C9" s="92"/>
      <c r="D9" s="89">
        <f>(SUM(粮草!A9:X9)+AG9*10)*IF(AK9="是",$AY$4,$AY$3)</f>
        <v>1150</v>
      </c>
      <c r="E9" s="89">
        <f>SUM($B$4:B9)+SUM($C$4:C9)-SUM($D$4:D9)</f>
        <v>4000</v>
      </c>
      <c r="F9" s="89">
        <f>SUM(经验!A9:X9)</f>
        <v>555</v>
      </c>
      <c r="G9" s="89">
        <f>SUM($F$4:F9)+SUM($H$4:H9)</f>
        <v>4645</v>
      </c>
      <c r="H9" s="92">
        <v>200</v>
      </c>
      <c r="I9" s="100" t="s">
        <v>72</v>
      </c>
      <c r="J9" s="92" t="s">
        <v>34</v>
      </c>
      <c r="K9" s="92" t="s">
        <v>34</v>
      </c>
      <c r="L9" s="92" t="s">
        <v>34</v>
      </c>
      <c r="M9" s="92" t="s">
        <v>34</v>
      </c>
      <c r="N9" s="92" t="s">
        <v>34</v>
      </c>
      <c r="O9" s="93" t="s">
        <v>34</v>
      </c>
      <c r="P9" s="93" t="s">
        <v>34</v>
      </c>
      <c r="Q9" s="92" t="s">
        <v>34</v>
      </c>
      <c r="R9" s="92" t="s">
        <v>34</v>
      </c>
      <c r="S9" s="92" t="s">
        <v>34</v>
      </c>
      <c r="T9" s="92" t="s">
        <v>34</v>
      </c>
      <c r="U9" s="92" t="s">
        <v>34</v>
      </c>
      <c r="V9" s="92" t="s">
        <v>34</v>
      </c>
      <c r="W9" s="93" t="s">
        <v>34</v>
      </c>
      <c r="X9" s="93" t="s">
        <v>34</v>
      </c>
      <c r="Y9" s="97" t="s">
        <v>40</v>
      </c>
      <c r="Z9" s="94" t="s">
        <v>39</v>
      </c>
      <c r="AA9" s="97" t="s">
        <v>40</v>
      </c>
      <c r="AB9" s="97" t="s">
        <v>40</v>
      </c>
      <c r="AC9" s="97" t="s">
        <v>40</v>
      </c>
      <c r="AD9" s="100" t="s">
        <v>71</v>
      </c>
      <c r="AE9" s="93" t="s">
        <v>34</v>
      </c>
      <c r="AF9" s="93" t="s">
        <v>34</v>
      </c>
      <c r="AG9" s="98">
        <f t="shared" si="1"/>
        <v>0</v>
      </c>
      <c r="AH9" s="98"/>
      <c r="AI9" s="98"/>
      <c r="AJ9" s="98"/>
      <c r="AK9" s="99" t="s">
        <v>35</v>
      </c>
      <c r="AM9" s="27" t="s">
        <v>44</v>
      </c>
      <c r="AN9" s="24">
        <v>200</v>
      </c>
      <c r="AO9" s="24">
        <v>60</v>
      </c>
      <c r="AP9" s="24"/>
      <c r="AQ9" s="24">
        <f>COUNTIF($I$4:$P$93,AM9)</f>
        <v>59</v>
      </c>
      <c r="AR9" s="24">
        <f>COUNTIF($Q$4:$X$93,AM9)</f>
        <v>61</v>
      </c>
      <c r="AS9" s="24">
        <f>COUNTIF($Y$4:$AF$93,AM9)</f>
        <v>67</v>
      </c>
      <c r="AT9" s="24">
        <f t="shared" si="2"/>
        <v>187</v>
      </c>
      <c r="AU9" s="42">
        <f t="shared" si="3"/>
        <v>3540</v>
      </c>
      <c r="AV9" s="42">
        <f t="shared" si="0"/>
        <v>3660</v>
      </c>
      <c r="AW9" s="42">
        <f t="shared" si="0"/>
        <v>4020</v>
      </c>
      <c r="BA9">
        <f t="shared" si="4"/>
        <v>160</v>
      </c>
    </row>
    <row r="10" spans="1:53">
      <c r="A10" s="88">
        <v>45281</v>
      </c>
      <c r="B10" s="92">
        <v>1600</v>
      </c>
      <c r="C10" s="92"/>
      <c r="D10" s="89">
        <f>(SUM(粮草!A10:X10)+AG10*10)*IF(AK10="是",$AY$4,$AY$3)</f>
        <v>1090</v>
      </c>
      <c r="E10" s="89">
        <f>SUM($B$4:B10)+SUM($C$4:C10)-SUM($D$4:D10)</f>
        <v>4510</v>
      </c>
      <c r="F10" s="89">
        <f>SUM(经验!A10:X10)</f>
        <v>315</v>
      </c>
      <c r="G10" s="89">
        <f>SUM($F$4:F10)+SUM($H$4:H10)</f>
        <v>4960</v>
      </c>
      <c r="H10" s="92">
        <v>0</v>
      </c>
      <c r="I10" s="92" t="s">
        <v>34</v>
      </c>
      <c r="J10" s="92" t="s">
        <v>34</v>
      </c>
      <c r="K10" s="92" t="s">
        <v>34</v>
      </c>
      <c r="L10" s="92" t="s">
        <v>34</v>
      </c>
      <c r="M10" s="92" t="s">
        <v>34</v>
      </c>
      <c r="N10" s="92" t="s">
        <v>34</v>
      </c>
      <c r="O10" s="93" t="s">
        <v>34</v>
      </c>
      <c r="P10" s="93" t="s">
        <v>34</v>
      </c>
      <c r="Q10" s="92" t="s">
        <v>34</v>
      </c>
      <c r="R10" s="92" t="s">
        <v>34</v>
      </c>
      <c r="S10" s="92" t="s">
        <v>34</v>
      </c>
      <c r="T10" s="92" t="s">
        <v>34</v>
      </c>
      <c r="U10" s="92" t="s">
        <v>34</v>
      </c>
      <c r="V10" s="92" t="s">
        <v>34</v>
      </c>
      <c r="W10" s="93" t="s">
        <v>34</v>
      </c>
      <c r="X10" s="93" t="s">
        <v>34</v>
      </c>
      <c r="Y10" s="97" t="s">
        <v>40</v>
      </c>
      <c r="Z10" s="101" t="s">
        <v>46</v>
      </c>
      <c r="AA10" s="97" t="s">
        <v>40</v>
      </c>
      <c r="AB10" s="97" t="s">
        <v>40</v>
      </c>
      <c r="AC10" s="97" t="s">
        <v>40</v>
      </c>
      <c r="AD10" s="97" t="s">
        <v>40</v>
      </c>
      <c r="AE10" s="97" t="s">
        <v>40</v>
      </c>
      <c r="AF10" s="97" t="s">
        <v>40</v>
      </c>
      <c r="AG10" s="98">
        <f t="shared" si="1"/>
        <v>5</v>
      </c>
      <c r="AH10" s="98"/>
      <c r="AI10" s="98"/>
      <c r="AJ10" s="98">
        <v>5</v>
      </c>
      <c r="AK10" s="99" t="s">
        <v>35</v>
      </c>
      <c r="AM10" s="69" t="s">
        <v>45</v>
      </c>
      <c r="AN10" s="24">
        <v>150</v>
      </c>
      <c r="AO10" s="24">
        <v>35</v>
      </c>
      <c r="AP10" s="24">
        <v>44.222109392472248</v>
      </c>
      <c r="AQ10" s="24">
        <f>COUNTIF($I$4:$P$93,AM10)</f>
        <v>0</v>
      </c>
      <c r="AR10" s="24">
        <f>COUNTIF($Q$4:$X$93,AM10)</f>
        <v>0</v>
      </c>
      <c r="AS10" s="24">
        <f>COUNTIF($Y$4:$AF$93,AM10)</f>
        <v>0</v>
      </c>
      <c r="AT10" s="24">
        <f t="shared" si="2"/>
        <v>0</v>
      </c>
      <c r="AU10" s="42">
        <f t="shared" si="3"/>
        <v>0</v>
      </c>
      <c r="AV10" s="42">
        <f t="shared" si="0"/>
        <v>0</v>
      </c>
      <c r="AW10" s="42">
        <f t="shared" si="0"/>
        <v>0</v>
      </c>
      <c r="BA10">
        <f t="shared" si="4"/>
        <v>120</v>
      </c>
    </row>
    <row r="11" spans="1:53">
      <c r="A11" s="88">
        <v>45282</v>
      </c>
      <c r="B11" s="92">
        <v>1600</v>
      </c>
      <c r="C11" s="92"/>
      <c r="D11" s="89">
        <f>(SUM(粮草!A11:X11)+AG11*10)*IF(AK11="是",$AY$4,$AY$3)</f>
        <v>900</v>
      </c>
      <c r="E11" s="89">
        <f>SUM($B$4:B11)+SUM($C$4:C11)-SUM($D$4:D11)</f>
        <v>5210</v>
      </c>
      <c r="F11" s="89">
        <f>SUM(经验!A11:X11)</f>
        <v>255</v>
      </c>
      <c r="G11" s="89">
        <f>SUM($F$4:F11)+SUM($H$4:H11)</f>
        <v>5215</v>
      </c>
      <c r="H11" s="92">
        <v>0</v>
      </c>
      <c r="I11" s="92" t="s">
        <v>34</v>
      </c>
      <c r="J11" s="92" t="s">
        <v>34</v>
      </c>
      <c r="K11" s="92" t="s">
        <v>34</v>
      </c>
      <c r="L11" s="92" t="s">
        <v>34</v>
      </c>
      <c r="M11" s="92" t="s">
        <v>34</v>
      </c>
      <c r="N11" s="92" t="s">
        <v>34</v>
      </c>
      <c r="O11" s="93" t="s">
        <v>34</v>
      </c>
      <c r="P11" s="93" t="s">
        <v>34</v>
      </c>
      <c r="Q11" s="92" t="s">
        <v>34</v>
      </c>
      <c r="R11" s="92" t="s">
        <v>34</v>
      </c>
      <c r="S11" s="92" t="s">
        <v>34</v>
      </c>
      <c r="T11" s="92" t="s">
        <v>34</v>
      </c>
      <c r="U11" s="92" t="s">
        <v>34</v>
      </c>
      <c r="V11" s="92" t="s">
        <v>34</v>
      </c>
      <c r="W11" s="93" t="s">
        <v>34</v>
      </c>
      <c r="X11" s="93" t="s">
        <v>34</v>
      </c>
      <c r="Y11" s="100" t="s">
        <v>72</v>
      </c>
      <c r="Z11" s="97" t="s">
        <v>40</v>
      </c>
      <c r="AA11" s="94" t="s">
        <v>39</v>
      </c>
      <c r="AB11" s="97" t="s">
        <v>40</v>
      </c>
      <c r="AC11" s="97" t="s">
        <v>40</v>
      </c>
      <c r="AD11" s="97" t="s">
        <v>40</v>
      </c>
      <c r="AE11" s="93" t="s">
        <v>34</v>
      </c>
      <c r="AF11" s="93" t="s">
        <v>34</v>
      </c>
      <c r="AG11" s="98">
        <f t="shared" si="1"/>
        <v>0</v>
      </c>
      <c r="AH11" s="98"/>
      <c r="AI11" s="98"/>
      <c r="AJ11" s="98"/>
      <c r="AK11" s="99" t="s">
        <v>35</v>
      </c>
      <c r="AM11" s="70" t="s">
        <v>41</v>
      </c>
      <c r="AN11" s="24">
        <v>150</v>
      </c>
      <c r="AO11" s="24">
        <v>40</v>
      </c>
      <c r="AP11" s="24">
        <v>29.110982162825422</v>
      </c>
      <c r="AQ11" s="24">
        <f>COUNTIF($I$4:$P$93,AM11)</f>
        <v>1</v>
      </c>
      <c r="AR11" s="24">
        <f>COUNTIF($Q$4:$X$93,AM11)</f>
        <v>0</v>
      </c>
      <c r="AS11" s="24">
        <f>COUNTIF($Y$4:$AF$93,AM11)</f>
        <v>1</v>
      </c>
      <c r="AT11" s="24">
        <f t="shared" si="2"/>
        <v>2</v>
      </c>
      <c r="AU11" s="42">
        <f t="shared" si="3"/>
        <v>40</v>
      </c>
      <c r="AV11" s="42">
        <f t="shared" si="0"/>
        <v>0</v>
      </c>
      <c r="AW11" s="42">
        <f t="shared" si="0"/>
        <v>40</v>
      </c>
      <c r="BA11">
        <f t="shared" si="4"/>
        <v>120</v>
      </c>
    </row>
    <row r="12" spans="1:53">
      <c r="A12" s="88">
        <v>45283</v>
      </c>
      <c r="B12" s="92">
        <v>1600</v>
      </c>
      <c r="C12" s="92"/>
      <c r="D12" s="89">
        <f>(SUM(粮草!A12:X12)+AG12*10)*IF(AK12="是",$AY$4,$AY$3)</f>
        <v>170</v>
      </c>
      <c r="E12" s="89">
        <f>SUM($B$4:B12)+SUM($C$4:C12)-SUM($D$4:D12)</f>
        <v>6640</v>
      </c>
      <c r="F12" s="89">
        <f>SUM(经验!A12:X12)</f>
        <v>45</v>
      </c>
      <c r="G12" s="89">
        <f>SUM($F$4:F12)+SUM($H$4:H12)</f>
        <v>5260</v>
      </c>
      <c r="H12" s="92">
        <v>0</v>
      </c>
      <c r="I12" s="92" t="s">
        <v>34</v>
      </c>
      <c r="J12" s="92" t="s">
        <v>34</v>
      </c>
      <c r="K12" s="92" t="s">
        <v>34</v>
      </c>
      <c r="L12" s="92" t="s">
        <v>34</v>
      </c>
      <c r="M12" s="92" t="s">
        <v>34</v>
      </c>
      <c r="N12" s="92" t="s">
        <v>34</v>
      </c>
      <c r="O12" s="93" t="s">
        <v>34</v>
      </c>
      <c r="P12" s="93" t="s">
        <v>34</v>
      </c>
      <c r="Q12" s="92" t="s">
        <v>34</v>
      </c>
      <c r="R12" s="92" t="s">
        <v>34</v>
      </c>
      <c r="S12" s="92" t="s">
        <v>34</v>
      </c>
      <c r="T12" s="92" t="s">
        <v>34</v>
      </c>
      <c r="U12" s="92" t="s">
        <v>34</v>
      </c>
      <c r="V12" s="92" t="s">
        <v>34</v>
      </c>
      <c r="W12" s="93" t="s">
        <v>34</v>
      </c>
      <c r="X12" s="93" t="s">
        <v>34</v>
      </c>
      <c r="Y12" s="100" t="s">
        <v>72</v>
      </c>
      <c r="Z12" s="92" t="s">
        <v>34</v>
      </c>
      <c r="AA12" s="92" t="s">
        <v>34</v>
      </c>
      <c r="AB12" s="92" t="s">
        <v>34</v>
      </c>
      <c r="AC12" s="92" t="s">
        <v>34</v>
      </c>
      <c r="AD12" s="92" t="s">
        <v>34</v>
      </c>
      <c r="AE12" s="93" t="s">
        <v>34</v>
      </c>
      <c r="AF12" s="93" t="s">
        <v>34</v>
      </c>
      <c r="AG12" s="98">
        <f t="shared" si="1"/>
        <v>0</v>
      </c>
      <c r="AH12" s="98"/>
      <c r="AI12" s="98"/>
      <c r="AJ12" s="98"/>
      <c r="AK12" s="99" t="s">
        <v>35</v>
      </c>
      <c r="AM12" s="71" t="s">
        <v>47</v>
      </c>
      <c r="AN12" s="24">
        <v>150</v>
      </c>
      <c r="AO12" s="24">
        <v>45</v>
      </c>
      <c r="AP12" s="24">
        <v>13.999854933178597</v>
      </c>
      <c r="AQ12" s="24">
        <f>COUNTIF($I$4:$P$93,AM12)</f>
        <v>2</v>
      </c>
      <c r="AR12" s="24">
        <f>COUNTIF($Q$4:$X$93,AM12)</f>
        <v>2</v>
      </c>
      <c r="AS12" s="24">
        <f>COUNTIF($Y$4:$AF$93,AM12)</f>
        <v>2</v>
      </c>
      <c r="AT12" s="24">
        <f t="shared" si="2"/>
        <v>6</v>
      </c>
      <c r="AU12" s="42">
        <f t="shared" si="3"/>
        <v>90</v>
      </c>
      <c r="AV12" s="42">
        <f t="shared" si="0"/>
        <v>90</v>
      </c>
      <c r="AW12" s="42">
        <f t="shared" si="0"/>
        <v>90</v>
      </c>
      <c r="BA12">
        <f t="shared" si="4"/>
        <v>120</v>
      </c>
    </row>
    <row r="13" spans="1:53">
      <c r="A13" s="88">
        <v>45284</v>
      </c>
      <c r="B13" s="92">
        <v>1600</v>
      </c>
      <c r="C13" s="103">
        <v>40</v>
      </c>
      <c r="D13" s="89">
        <f>(SUM(粮草!A13:X13)+AG13*10)*IF(AK13="是",$AY$4,$AY$3)</f>
        <v>1816</v>
      </c>
      <c r="E13" s="89">
        <f>SUM($B$4:B13)+SUM($C$4:C13)-SUM($D$4:D13)</f>
        <v>6464</v>
      </c>
      <c r="F13" s="89">
        <f>SUM(经验!A13:X13)</f>
        <v>645</v>
      </c>
      <c r="G13" s="89">
        <f>SUM($F$4:F13)+SUM($H$4:H13)</f>
        <v>5905</v>
      </c>
      <c r="H13" s="92">
        <v>0</v>
      </c>
      <c r="I13" s="97" t="s">
        <v>40</v>
      </c>
      <c r="J13" s="102" t="s">
        <v>47</v>
      </c>
      <c r="K13" s="97" t="s">
        <v>40</v>
      </c>
      <c r="L13" s="97" t="s">
        <v>40</v>
      </c>
      <c r="M13" s="94" t="s">
        <v>39</v>
      </c>
      <c r="N13" s="97" t="s">
        <v>40</v>
      </c>
      <c r="O13" s="104" t="s">
        <v>34</v>
      </c>
      <c r="P13" s="104" t="s">
        <v>34</v>
      </c>
      <c r="Q13" s="94" t="s">
        <v>39</v>
      </c>
      <c r="R13" s="97" t="s">
        <v>40</v>
      </c>
      <c r="S13" s="97" t="s">
        <v>40</v>
      </c>
      <c r="T13" s="97" t="s">
        <v>40</v>
      </c>
      <c r="U13" s="97" t="s">
        <v>40</v>
      </c>
      <c r="V13" s="97" t="s">
        <v>40</v>
      </c>
      <c r="W13" s="104" t="s">
        <v>34</v>
      </c>
      <c r="X13" s="104" t="s">
        <v>34</v>
      </c>
      <c r="Y13" s="97" t="s">
        <v>40</v>
      </c>
      <c r="Z13" s="97" t="s">
        <v>40</v>
      </c>
      <c r="AA13" s="102" t="s">
        <v>47</v>
      </c>
      <c r="AB13" s="105" t="s">
        <v>34</v>
      </c>
      <c r="AC13" s="105" t="s">
        <v>34</v>
      </c>
      <c r="AD13" s="105" t="s">
        <v>34</v>
      </c>
      <c r="AE13" s="104" t="s">
        <v>34</v>
      </c>
      <c r="AF13" s="104" t="s">
        <v>34</v>
      </c>
      <c r="AG13" s="98">
        <f t="shared" si="1"/>
        <v>0</v>
      </c>
      <c r="AH13" s="106"/>
      <c r="AI13" s="106"/>
      <c r="AJ13" s="106"/>
      <c r="AK13" s="107" t="s">
        <v>52</v>
      </c>
      <c r="AM13" s="72" t="s">
        <v>48</v>
      </c>
      <c r="AN13" s="24">
        <v>150</v>
      </c>
      <c r="AO13" s="24">
        <v>50</v>
      </c>
      <c r="AP13" s="24"/>
      <c r="AQ13" s="24">
        <f>COUNTIF($I$4:$P$93,AM13)</f>
        <v>1</v>
      </c>
      <c r="AR13" s="24">
        <f>COUNTIF($Q$4:$X$93,AM13)</f>
        <v>0</v>
      </c>
      <c r="AS13" s="24">
        <f>COUNTIF($Y$4:$AF$93,AM13)</f>
        <v>2</v>
      </c>
      <c r="AT13" s="24">
        <f t="shared" si="2"/>
        <v>3</v>
      </c>
      <c r="AU13" s="42">
        <f t="shared" si="3"/>
        <v>50</v>
      </c>
      <c r="AV13" s="42">
        <f t="shared" si="0"/>
        <v>0</v>
      </c>
      <c r="AW13" s="42">
        <f t="shared" si="0"/>
        <v>100</v>
      </c>
      <c r="BA13">
        <f t="shared" si="4"/>
        <v>120</v>
      </c>
    </row>
    <row r="14" spans="1:53">
      <c r="A14" s="88">
        <v>45285</v>
      </c>
      <c r="B14" s="89">
        <v>1600</v>
      </c>
      <c r="C14" s="90"/>
      <c r="D14" s="89">
        <f>(SUM(粮草!A14:X14)+AG14*10)*IF(AK14="是",$AY$4,$AY$3)</f>
        <v>2352</v>
      </c>
      <c r="E14" s="89">
        <f>SUM($B$4:B14)+SUM($C$4:C14)-SUM($D$4:D14)</f>
        <v>5712</v>
      </c>
      <c r="F14" s="89">
        <f>SUM(经验!A14:X14)</f>
        <v>840</v>
      </c>
      <c r="G14" s="89">
        <f>SUM($F$4:F14)+SUM($H$4:H14)</f>
        <v>7045</v>
      </c>
      <c r="H14" s="89">
        <v>300</v>
      </c>
      <c r="I14" s="108" t="s">
        <v>42</v>
      </c>
      <c r="J14" s="108" t="s">
        <v>42</v>
      </c>
      <c r="K14" s="108" t="s">
        <v>42</v>
      </c>
      <c r="L14" s="108" t="s">
        <v>42</v>
      </c>
      <c r="M14" s="108" t="s">
        <v>42</v>
      </c>
      <c r="N14" s="108" t="s">
        <v>42</v>
      </c>
      <c r="O14" s="104" t="s">
        <v>34</v>
      </c>
      <c r="P14" s="104" t="s">
        <v>34</v>
      </c>
      <c r="Q14" s="94" t="s">
        <v>39</v>
      </c>
      <c r="R14" s="97" t="s">
        <v>40</v>
      </c>
      <c r="S14" s="97" t="s">
        <v>40</v>
      </c>
      <c r="T14" s="97" t="s">
        <v>40</v>
      </c>
      <c r="U14" s="94" t="s">
        <v>39</v>
      </c>
      <c r="V14" s="97" t="s">
        <v>40</v>
      </c>
      <c r="W14" s="104" t="s">
        <v>34</v>
      </c>
      <c r="X14" s="104" t="s">
        <v>34</v>
      </c>
      <c r="Y14" s="108" t="s">
        <v>42</v>
      </c>
      <c r="Z14" s="108" t="s">
        <v>42</v>
      </c>
      <c r="AA14" s="108" t="s">
        <v>42</v>
      </c>
      <c r="AB14" s="108" t="s">
        <v>42</v>
      </c>
      <c r="AC14" s="108" t="s">
        <v>42</v>
      </c>
      <c r="AD14" s="108" t="s">
        <v>42</v>
      </c>
      <c r="AE14" s="104" t="s">
        <v>34</v>
      </c>
      <c r="AF14" s="104" t="s">
        <v>34</v>
      </c>
      <c r="AG14" s="98">
        <f t="shared" si="1"/>
        <v>0</v>
      </c>
      <c r="AH14" s="106"/>
      <c r="AI14" s="106"/>
      <c r="AJ14" s="106"/>
      <c r="AK14" s="107" t="s">
        <v>52</v>
      </c>
      <c r="AM14" s="68" t="s">
        <v>49</v>
      </c>
      <c r="AN14" s="24">
        <v>150</v>
      </c>
      <c r="AO14" s="24">
        <v>55</v>
      </c>
      <c r="AP14" s="24"/>
      <c r="AQ14" s="24">
        <f>COUNTIF($I$4:$P$93,AM14)</f>
        <v>1</v>
      </c>
      <c r="AR14" s="24">
        <f>COUNTIF($Q$4:$X$93,AM14)</f>
        <v>1</v>
      </c>
      <c r="AS14" s="24">
        <f>COUNTIF($Y$4:$AF$93,AM14)</f>
        <v>1</v>
      </c>
      <c r="AT14" s="24">
        <f t="shared" si="2"/>
        <v>3</v>
      </c>
      <c r="AU14" s="42">
        <f t="shared" si="3"/>
        <v>55</v>
      </c>
      <c r="AV14" s="42">
        <f t="shared" si="0"/>
        <v>55</v>
      </c>
      <c r="AW14" s="42">
        <f t="shared" si="0"/>
        <v>55</v>
      </c>
      <c r="BA14">
        <f t="shared" si="4"/>
        <v>120</v>
      </c>
    </row>
    <row r="15" spans="1:53">
      <c r="A15" s="88">
        <v>45286</v>
      </c>
      <c r="B15" s="89">
        <v>1600</v>
      </c>
      <c r="C15" s="90"/>
      <c r="D15" s="89">
        <f>(SUM(粮草!A15:X15)+AG15*10)*IF(AK15="是",$AY$4,$AY$3)</f>
        <v>2552</v>
      </c>
      <c r="E15" s="89">
        <f>SUM($B$4:B15)+SUM($C$4:C15)-SUM($D$4:D15)</f>
        <v>4760</v>
      </c>
      <c r="F15" s="89">
        <f>SUM(经验!A15:X15)</f>
        <v>870</v>
      </c>
      <c r="G15" s="89">
        <f>SUM($F$4:F15)+SUM($H$4:H15)</f>
        <v>7915</v>
      </c>
      <c r="H15" s="89">
        <v>0</v>
      </c>
      <c r="I15" s="108" t="s">
        <v>42</v>
      </c>
      <c r="J15" s="108" t="s">
        <v>42</v>
      </c>
      <c r="K15" s="108" t="s">
        <v>42</v>
      </c>
      <c r="L15" s="108" t="s">
        <v>42</v>
      </c>
      <c r="M15" s="108" t="s">
        <v>42</v>
      </c>
      <c r="N15" s="108" t="s">
        <v>42</v>
      </c>
      <c r="O15" s="104" t="s">
        <v>34</v>
      </c>
      <c r="P15" s="104" t="s">
        <v>34</v>
      </c>
      <c r="Q15" s="97" t="s">
        <v>40</v>
      </c>
      <c r="R15" s="97" t="s">
        <v>40</v>
      </c>
      <c r="S15" s="97" t="s">
        <v>40</v>
      </c>
      <c r="T15" s="97" t="s">
        <v>40</v>
      </c>
      <c r="U15" s="97" t="s">
        <v>40</v>
      </c>
      <c r="V15" s="97" t="s">
        <v>40</v>
      </c>
      <c r="W15" s="104" t="s">
        <v>34</v>
      </c>
      <c r="X15" s="104" t="s">
        <v>34</v>
      </c>
      <c r="Y15" s="108" t="s">
        <v>42</v>
      </c>
      <c r="Z15" s="108" t="s">
        <v>42</v>
      </c>
      <c r="AA15" s="108" t="s">
        <v>42</v>
      </c>
      <c r="AB15" s="108" t="s">
        <v>42</v>
      </c>
      <c r="AC15" s="108" t="s">
        <v>42</v>
      </c>
      <c r="AD15" s="108" t="s">
        <v>42</v>
      </c>
      <c r="AE15" s="104" t="s">
        <v>34</v>
      </c>
      <c r="AF15" s="104" t="s">
        <v>34</v>
      </c>
      <c r="AG15" s="98">
        <f t="shared" si="1"/>
        <v>1</v>
      </c>
      <c r="AH15" s="106"/>
      <c r="AI15" s="106">
        <v>1</v>
      </c>
      <c r="AJ15" s="106"/>
      <c r="AK15" s="107" t="s">
        <v>52</v>
      </c>
      <c r="AM15" s="73" t="s">
        <v>50</v>
      </c>
      <c r="AN15" s="24">
        <v>150</v>
      </c>
      <c r="AO15" s="24">
        <v>60</v>
      </c>
      <c r="AP15" s="24"/>
      <c r="AQ15" s="24">
        <f>COUNTIF($I$4:$P$93,AM15)</f>
        <v>1</v>
      </c>
      <c r="AR15" s="24">
        <f>COUNTIF($Q$4:$X$93,AM15)</f>
        <v>0</v>
      </c>
      <c r="AS15" s="24">
        <f>COUNTIF($Y$4:$AF$93,AM15)</f>
        <v>0</v>
      </c>
      <c r="AT15" s="24">
        <f t="shared" si="2"/>
        <v>1</v>
      </c>
      <c r="AU15" s="42">
        <f t="shared" si="3"/>
        <v>60</v>
      </c>
      <c r="AV15" s="42">
        <f t="shared" si="0"/>
        <v>0</v>
      </c>
      <c r="AW15" s="42">
        <f t="shared" si="0"/>
        <v>0</v>
      </c>
      <c r="BA15">
        <f t="shared" si="4"/>
        <v>120</v>
      </c>
    </row>
    <row r="16" spans="1:53">
      <c r="A16" s="88">
        <v>45287</v>
      </c>
      <c r="B16" s="89">
        <v>1600</v>
      </c>
      <c r="C16" s="90"/>
      <c r="D16" s="89">
        <f>(SUM(粮草!A16:X16)+AG16*10)*IF(AK16="是",$AY$4,$AY$3)</f>
        <v>2520</v>
      </c>
      <c r="E16" s="89">
        <f>SUM($B$4:B16)+SUM($C$4:C16)-SUM($D$4:D16)</f>
        <v>3840</v>
      </c>
      <c r="F16" s="89">
        <f>SUM(经验!A16:X16)</f>
        <v>870</v>
      </c>
      <c r="G16" s="89">
        <f>SUM($F$4:F16)+SUM($H$4:H16)</f>
        <v>8985</v>
      </c>
      <c r="H16" s="89">
        <v>200</v>
      </c>
      <c r="I16" s="108" t="s">
        <v>42</v>
      </c>
      <c r="J16" s="108" t="s">
        <v>42</v>
      </c>
      <c r="K16" s="108" t="s">
        <v>42</v>
      </c>
      <c r="L16" s="108" t="s">
        <v>42</v>
      </c>
      <c r="M16" s="108" t="s">
        <v>42</v>
      </c>
      <c r="N16" s="108" t="s">
        <v>42</v>
      </c>
      <c r="O16" s="104" t="s">
        <v>34</v>
      </c>
      <c r="P16" s="104" t="s">
        <v>34</v>
      </c>
      <c r="Q16" s="97" t="s">
        <v>40</v>
      </c>
      <c r="R16" s="97" t="s">
        <v>40</v>
      </c>
      <c r="S16" s="97" t="s">
        <v>40</v>
      </c>
      <c r="T16" s="97" t="s">
        <v>40</v>
      </c>
      <c r="U16" s="97" t="s">
        <v>40</v>
      </c>
      <c r="V16" s="97" t="s">
        <v>40</v>
      </c>
      <c r="W16" s="104" t="s">
        <v>34</v>
      </c>
      <c r="X16" s="104" t="s">
        <v>34</v>
      </c>
      <c r="Y16" s="108" t="s">
        <v>42</v>
      </c>
      <c r="Z16" s="109" t="s">
        <v>48</v>
      </c>
      <c r="AA16" s="108" t="s">
        <v>42</v>
      </c>
      <c r="AB16" s="108" t="s">
        <v>42</v>
      </c>
      <c r="AC16" s="108" t="s">
        <v>42</v>
      </c>
      <c r="AD16" s="108" t="s">
        <v>42</v>
      </c>
      <c r="AE16" s="104" t="s">
        <v>34</v>
      </c>
      <c r="AF16" s="104" t="s">
        <v>34</v>
      </c>
      <c r="AG16" s="98">
        <f t="shared" si="1"/>
        <v>0</v>
      </c>
      <c r="AH16" s="106"/>
      <c r="AI16" s="106"/>
      <c r="AJ16" s="106"/>
      <c r="AK16" s="107" t="s">
        <v>52</v>
      </c>
      <c r="AM16" s="28" t="s">
        <v>51</v>
      </c>
      <c r="AN16" s="24">
        <v>150</v>
      </c>
      <c r="AO16" s="24">
        <v>35</v>
      </c>
      <c r="AP16" s="24">
        <v>44.222109392472248</v>
      </c>
      <c r="AQ16" s="24">
        <f>COUNTIF($I$4:$P$93,AM16)</f>
        <v>0</v>
      </c>
      <c r="AR16" s="24">
        <f>COUNTIF($Q$4:$X$93,AM16)</f>
        <v>0</v>
      </c>
      <c r="AS16" s="24">
        <f>COUNTIF($Y$4:$AF$93,AM16)</f>
        <v>0</v>
      </c>
      <c r="AT16" s="24">
        <f t="shared" si="2"/>
        <v>0</v>
      </c>
      <c r="AU16" s="42">
        <f t="shared" si="3"/>
        <v>0</v>
      </c>
      <c r="AV16" s="42">
        <f t="shared" si="0"/>
        <v>0</v>
      </c>
      <c r="AW16" s="42">
        <f t="shared" si="0"/>
        <v>0</v>
      </c>
      <c r="BA16">
        <f t="shared" si="4"/>
        <v>120</v>
      </c>
    </row>
    <row r="17" spans="1:53">
      <c r="A17" s="88">
        <v>45288</v>
      </c>
      <c r="B17" s="89">
        <v>1600</v>
      </c>
      <c r="C17" s="90"/>
      <c r="D17" s="89">
        <f>(SUM(粮草!A17:X17)+AG17*10)*IF(AK17="是",$AY$4,$AY$3)</f>
        <v>2120</v>
      </c>
      <c r="E17" s="89">
        <f>SUM($B$4:B17)+SUM($C$4:C17)-SUM($D$4:D17)</f>
        <v>3320</v>
      </c>
      <c r="F17" s="89">
        <f>SUM(经验!A17:X17)</f>
        <v>735</v>
      </c>
      <c r="G17" s="89">
        <f>SUM($F$4:F17)+SUM($H$4:H17)</f>
        <v>9720</v>
      </c>
      <c r="H17" s="89">
        <v>0</v>
      </c>
      <c r="I17" s="108" t="s">
        <v>42</v>
      </c>
      <c r="J17" s="108" t="s">
        <v>42</v>
      </c>
      <c r="K17" s="108" t="s">
        <v>42</v>
      </c>
      <c r="L17" s="108" t="s">
        <v>42</v>
      </c>
      <c r="M17" s="108" t="s">
        <v>42</v>
      </c>
      <c r="N17" s="108" t="s">
        <v>42</v>
      </c>
      <c r="O17" s="104" t="s">
        <v>34</v>
      </c>
      <c r="P17" s="104" t="s">
        <v>34</v>
      </c>
      <c r="Q17" s="102" t="s">
        <v>47</v>
      </c>
      <c r="R17" s="97" t="s">
        <v>40</v>
      </c>
      <c r="S17" s="97" t="s">
        <v>40</v>
      </c>
      <c r="T17" s="92" t="s">
        <v>34</v>
      </c>
      <c r="U17" s="92" t="s">
        <v>34</v>
      </c>
      <c r="V17" s="92" t="s">
        <v>34</v>
      </c>
      <c r="W17" s="104" t="s">
        <v>34</v>
      </c>
      <c r="X17" s="104" t="s">
        <v>34</v>
      </c>
      <c r="Y17" s="108" t="s">
        <v>42</v>
      </c>
      <c r="Z17" s="108" t="s">
        <v>42</v>
      </c>
      <c r="AA17" s="108" t="s">
        <v>42</v>
      </c>
      <c r="AB17" s="108" t="s">
        <v>42</v>
      </c>
      <c r="AC17" s="108" t="s">
        <v>42</v>
      </c>
      <c r="AD17" s="108" t="s">
        <v>42</v>
      </c>
      <c r="AE17" s="104" t="s">
        <v>34</v>
      </c>
      <c r="AF17" s="104" t="s">
        <v>34</v>
      </c>
      <c r="AG17" s="98">
        <f t="shared" si="1"/>
        <v>0</v>
      </c>
      <c r="AH17" s="106"/>
      <c r="AI17" s="106"/>
      <c r="AJ17" s="106"/>
      <c r="AK17" s="107" t="s">
        <v>52</v>
      </c>
      <c r="AM17" s="18" t="s">
        <v>39</v>
      </c>
      <c r="AN17" s="24">
        <v>50</v>
      </c>
      <c r="AO17" s="24">
        <v>30</v>
      </c>
      <c r="AP17" s="24">
        <v>10</v>
      </c>
      <c r="AQ17" s="24">
        <f>COUNTIF($I$4:$P$93,AM17)</f>
        <v>13</v>
      </c>
      <c r="AR17" s="24">
        <f>COUNTIF($Q$4:$X$93,AM17)</f>
        <v>11</v>
      </c>
      <c r="AS17" s="24">
        <f>COUNTIF($Y$4:$AF$93,AM17)</f>
        <v>16</v>
      </c>
      <c r="AT17" s="24">
        <f t="shared" si="2"/>
        <v>40</v>
      </c>
      <c r="AU17" s="42">
        <f t="shared" si="3"/>
        <v>390</v>
      </c>
      <c r="AV17" s="42">
        <f t="shared" si="0"/>
        <v>330</v>
      </c>
      <c r="AW17" s="42">
        <f t="shared" si="0"/>
        <v>480</v>
      </c>
      <c r="BA17">
        <f t="shared" si="4"/>
        <v>40</v>
      </c>
    </row>
    <row r="18" spans="1:53">
      <c r="A18" s="88">
        <v>45289</v>
      </c>
      <c r="B18" s="89">
        <v>1600</v>
      </c>
      <c r="C18" s="90"/>
      <c r="D18" s="89">
        <f>(SUM(粮草!A18:X18)+AG18*10)*IF(AK18="是",$AY$4,$AY$3)</f>
        <v>1760</v>
      </c>
      <c r="E18" s="89">
        <f>SUM($B$4:B18)+SUM($C$4:C18)-SUM($D$4:D18)</f>
        <v>3160</v>
      </c>
      <c r="F18" s="89">
        <f>SUM(经验!A18:X18)</f>
        <v>620</v>
      </c>
      <c r="G18" s="89">
        <f>SUM($F$4:F18)+SUM($H$4:H18)</f>
        <v>10340</v>
      </c>
      <c r="H18" s="89">
        <v>0</v>
      </c>
      <c r="I18" s="108" t="s">
        <v>42</v>
      </c>
      <c r="J18" s="108" t="s">
        <v>42</v>
      </c>
      <c r="K18" s="108" t="s">
        <v>42</v>
      </c>
      <c r="L18" s="108" t="s">
        <v>42</v>
      </c>
      <c r="M18" s="108" t="s">
        <v>42</v>
      </c>
      <c r="N18" s="110" t="s">
        <v>43</v>
      </c>
      <c r="O18" s="104" t="s">
        <v>34</v>
      </c>
      <c r="P18" s="104" t="s">
        <v>34</v>
      </c>
      <c r="Q18" s="92" t="s">
        <v>34</v>
      </c>
      <c r="R18" s="92" t="s">
        <v>34</v>
      </c>
      <c r="S18" s="92" t="s">
        <v>34</v>
      </c>
      <c r="T18" s="92" t="s">
        <v>34</v>
      </c>
      <c r="U18" s="92" t="s">
        <v>34</v>
      </c>
      <c r="V18" s="92" t="s">
        <v>34</v>
      </c>
      <c r="W18" s="104" t="s">
        <v>34</v>
      </c>
      <c r="X18" s="104" t="s">
        <v>34</v>
      </c>
      <c r="Y18" s="108" t="s">
        <v>42</v>
      </c>
      <c r="Z18" s="108" t="s">
        <v>42</v>
      </c>
      <c r="AA18" s="108" t="s">
        <v>42</v>
      </c>
      <c r="AB18" s="110" t="s">
        <v>43</v>
      </c>
      <c r="AC18" s="110" t="s">
        <v>43</v>
      </c>
      <c r="AD18" s="110" t="s">
        <v>43</v>
      </c>
      <c r="AE18" s="104" t="s">
        <v>34</v>
      </c>
      <c r="AF18" s="104" t="s">
        <v>34</v>
      </c>
      <c r="AG18" s="98">
        <f t="shared" si="1"/>
        <v>0</v>
      </c>
      <c r="AH18" s="106"/>
      <c r="AI18" s="106"/>
      <c r="AJ18" s="106"/>
      <c r="AK18" s="107" t="s">
        <v>52</v>
      </c>
      <c r="AL18" s="29" t="s">
        <v>32</v>
      </c>
      <c r="AM18" s="19" t="s">
        <v>46</v>
      </c>
      <c r="AN18" s="24">
        <v>-150</v>
      </c>
      <c r="AO18" s="24">
        <v>0</v>
      </c>
      <c r="AP18" s="24">
        <v>10</v>
      </c>
      <c r="AQ18" s="24">
        <f>COUNTIF($I$4:$P$93,AM18)</f>
        <v>1</v>
      </c>
      <c r="AR18" s="24">
        <f>COUNTIF($Q$4:$X$93,AM18)</f>
        <v>0</v>
      </c>
      <c r="AS18" s="24">
        <f>COUNTIF($Y$4:$AF$93,AM18)</f>
        <v>2</v>
      </c>
      <c r="AT18" s="24">
        <f t="shared" si="2"/>
        <v>3</v>
      </c>
      <c r="AU18" s="42">
        <f t="shared" si="3"/>
        <v>0</v>
      </c>
      <c r="AV18" s="42">
        <f t="shared" si="0"/>
        <v>0</v>
      </c>
      <c r="AW18" s="42">
        <f t="shared" si="0"/>
        <v>0</v>
      </c>
      <c r="BA18">
        <f t="shared" si="4"/>
        <v>-120</v>
      </c>
    </row>
    <row r="19" spans="1:53">
      <c r="A19" s="88">
        <v>45290</v>
      </c>
      <c r="B19" s="89">
        <v>1600</v>
      </c>
      <c r="C19" s="90"/>
      <c r="D19" s="89">
        <f>(SUM(粮草!A19:X19)+AG19*10)*IF(AK19="是",$AY$4,$AY$3)</f>
        <v>1824</v>
      </c>
      <c r="E19" s="89">
        <f>SUM($B$4:B19)+SUM($C$4:C19)-SUM($D$4:D19)</f>
        <v>2936</v>
      </c>
      <c r="F19" s="89">
        <f>SUM(经验!A19:X19)</f>
        <v>660</v>
      </c>
      <c r="G19" s="89">
        <f>SUM($F$4:F19)+SUM($H$4:H19)</f>
        <v>11000</v>
      </c>
      <c r="H19" s="89">
        <v>0</v>
      </c>
      <c r="I19" s="110" t="s">
        <v>43</v>
      </c>
      <c r="J19" s="110" t="s">
        <v>43</v>
      </c>
      <c r="K19" s="110" t="s">
        <v>43</v>
      </c>
      <c r="L19" s="110" t="s">
        <v>43</v>
      </c>
      <c r="M19" s="110" t="s">
        <v>43</v>
      </c>
      <c r="N19" s="110" t="s">
        <v>43</v>
      </c>
      <c r="O19" s="104" t="s">
        <v>34</v>
      </c>
      <c r="P19" s="104" t="s">
        <v>34</v>
      </c>
      <c r="Q19" s="92" t="s">
        <v>34</v>
      </c>
      <c r="R19" s="92" t="s">
        <v>34</v>
      </c>
      <c r="S19" s="92" t="s">
        <v>34</v>
      </c>
      <c r="T19" s="92" t="s">
        <v>34</v>
      </c>
      <c r="U19" s="92" t="s">
        <v>34</v>
      </c>
      <c r="V19" s="92" t="s">
        <v>34</v>
      </c>
      <c r="W19" s="104" t="s">
        <v>34</v>
      </c>
      <c r="X19" s="104" t="s">
        <v>34</v>
      </c>
      <c r="Y19" s="110" t="s">
        <v>43</v>
      </c>
      <c r="Z19" s="110" t="s">
        <v>43</v>
      </c>
      <c r="AA19" s="110" t="s">
        <v>43</v>
      </c>
      <c r="AB19" s="110" t="s">
        <v>43</v>
      </c>
      <c r="AC19" s="110" t="s">
        <v>43</v>
      </c>
      <c r="AD19" s="110" t="s">
        <v>43</v>
      </c>
      <c r="AE19" s="104" t="s">
        <v>34</v>
      </c>
      <c r="AF19" s="104" t="s">
        <v>34</v>
      </c>
      <c r="AG19" s="98">
        <f t="shared" si="1"/>
        <v>0</v>
      </c>
      <c r="AH19" s="106"/>
      <c r="AI19" s="106"/>
      <c r="AJ19" s="106"/>
      <c r="AK19" s="107" t="s">
        <v>52</v>
      </c>
      <c r="AM19" s="64" t="s">
        <v>71</v>
      </c>
      <c r="AN19" s="24">
        <v>250</v>
      </c>
      <c r="AO19" s="24">
        <v>300</v>
      </c>
      <c r="AP19" s="24"/>
      <c r="AQ19" s="24">
        <f>COUNTIF($I$4:$P$93,AM19)</f>
        <v>1</v>
      </c>
      <c r="AR19" s="24">
        <f>COUNTIF($Q$4:$X$93,AM19)</f>
        <v>0</v>
      </c>
      <c r="AS19" s="24">
        <f>COUNTIF($Y$4:$AF$93,AM19)</f>
        <v>2</v>
      </c>
      <c r="AT19" s="24">
        <f t="shared" si="2"/>
        <v>3</v>
      </c>
      <c r="AU19" s="42">
        <f t="shared" si="3"/>
        <v>300</v>
      </c>
      <c r="AV19" s="42">
        <f t="shared" si="0"/>
        <v>0</v>
      </c>
      <c r="AW19" s="42">
        <f t="shared" si="0"/>
        <v>600</v>
      </c>
      <c r="BA19">
        <f t="shared" si="4"/>
        <v>200</v>
      </c>
    </row>
    <row r="20" spans="1:53">
      <c r="A20" s="88">
        <v>45291</v>
      </c>
      <c r="B20" s="89">
        <v>1600</v>
      </c>
      <c r="C20" s="90"/>
      <c r="D20" s="89">
        <f>(SUM(粮草!A20:X20)+AG20*10)*IF(AK20="是",$AY$4,$AY$3)</f>
        <v>1584</v>
      </c>
      <c r="E20" s="89">
        <f>SUM($B$4:B20)+SUM($C$4:C20)-SUM($D$4:D20)</f>
        <v>2952</v>
      </c>
      <c r="F20" s="89">
        <f>SUM(经验!A20:X20)</f>
        <v>620</v>
      </c>
      <c r="G20" s="89">
        <f>SUM($F$4:F20)+SUM($H$4:H20)</f>
        <v>11620</v>
      </c>
      <c r="H20" s="89">
        <v>0</v>
      </c>
      <c r="I20" s="94" t="s">
        <v>39</v>
      </c>
      <c r="J20" s="110" t="s">
        <v>43</v>
      </c>
      <c r="K20" s="110" t="s">
        <v>43</v>
      </c>
      <c r="L20" s="110" t="s">
        <v>43</v>
      </c>
      <c r="M20" s="111" t="s">
        <v>49</v>
      </c>
      <c r="N20" s="110" t="s">
        <v>43</v>
      </c>
      <c r="O20" s="104" t="s">
        <v>34</v>
      </c>
      <c r="P20" s="104" t="s">
        <v>34</v>
      </c>
      <c r="Q20" s="105" t="s">
        <v>34</v>
      </c>
      <c r="R20" s="105" t="s">
        <v>34</v>
      </c>
      <c r="S20" s="105" t="s">
        <v>34</v>
      </c>
      <c r="T20" s="105" t="s">
        <v>34</v>
      </c>
      <c r="U20" s="105" t="s">
        <v>34</v>
      </c>
      <c r="V20" s="105" t="s">
        <v>34</v>
      </c>
      <c r="W20" s="104" t="s">
        <v>34</v>
      </c>
      <c r="X20" s="104" t="s">
        <v>34</v>
      </c>
      <c r="Y20" s="110" t="s">
        <v>43</v>
      </c>
      <c r="Z20" s="110" t="s">
        <v>43</v>
      </c>
      <c r="AA20" s="94" t="s">
        <v>39</v>
      </c>
      <c r="AB20" s="110" t="s">
        <v>43</v>
      </c>
      <c r="AC20" s="112" t="s">
        <v>44</v>
      </c>
      <c r="AD20" s="112" t="s">
        <v>44</v>
      </c>
      <c r="AE20" s="104" t="s">
        <v>34</v>
      </c>
      <c r="AF20" s="104" t="s">
        <v>34</v>
      </c>
      <c r="AG20" s="98">
        <f t="shared" si="1"/>
        <v>0</v>
      </c>
      <c r="AH20" s="106"/>
      <c r="AI20" s="106"/>
      <c r="AJ20" s="106"/>
      <c r="AK20" s="107" t="s">
        <v>52</v>
      </c>
      <c r="AM20" s="64" t="s">
        <v>72</v>
      </c>
      <c r="AN20" s="24">
        <v>170</v>
      </c>
      <c r="AO20" s="24">
        <v>45</v>
      </c>
      <c r="AP20" s="24"/>
      <c r="AQ20" s="24">
        <f>COUNTIF($I$4:$P$93,AM20)</f>
        <v>1</v>
      </c>
      <c r="AR20" s="24">
        <f>COUNTIF($Q$4:$X$93,AM20)</f>
        <v>0</v>
      </c>
      <c r="AS20" s="24">
        <f>COUNTIF($Y$4:$AF$93,AM20)</f>
        <v>4</v>
      </c>
      <c r="AT20" s="24">
        <f t="shared" si="2"/>
        <v>5</v>
      </c>
      <c r="AU20" s="42">
        <f t="shared" si="3"/>
        <v>45</v>
      </c>
      <c r="AV20" s="42">
        <f t="shared" si="3"/>
        <v>0</v>
      </c>
      <c r="AW20" s="42">
        <f t="shared" si="3"/>
        <v>180</v>
      </c>
      <c r="BA20">
        <f t="shared" si="4"/>
        <v>136</v>
      </c>
    </row>
    <row r="21" spans="1:53">
      <c r="A21" s="88">
        <v>45292</v>
      </c>
      <c r="B21" s="92">
        <v>1600</v>
      </c>
      <c r="C21" s="92"/>
      <c r="D21" s="89">
        <f>(SUM(粮草!A21:X21)+AG21*10)*IF(AK21="是",$AY$4,$AY$3)</f>
        <v>2440</v>
      </c>
      <c r="E21" s="89">
        <f>SUM($B$4:B21)+SUM($C$4:C21)-SUM($D$4:D21)</f>
        <v>2112</v>
      </c>
      <c r="F21" s="89">
        <f>SUM(经验!A21:X21)</f>
        <v>945</v>
      </c>
      <c r="G21" s="89">
        <f>SUM($F$4:F21)+SUM($H$4:H21)</f>
        <v>12765</v>
      </c>
      <c r="H21" s="92">
        <v>200</v>
      </c>
      <c r="I21" s="110" t="s">
        <v>43</v>
      </c>
      <c r="J21" s="110" t="s">
        <v>43</v>
      </c>
      <c r="K21" s="112" t="s">
        <v>44</v>
      </c>
      <c r="L21" s="112" t="s">
        <v>44</v>
      </c>
      <c r="M21" s="112" t="s">
        <v>44</v>
      </c>
      <c r="N21" s="112" t="s">
        <v>44</v>
      </c>
      <c r="O21" s="104" t="s">
        <v>34</v>
      </c>
      <c r="P21" s="104" t="s">
        <v>34</v>
      </c>
      <c r="Q21" s="108" t="s">
        <v>42</v>
      </c>
      <c r="R21" s="108" t="s">
        <v>42</v>
      </c>
      <c r="S21" s="108" t="s">
        <v>42</v>
      </c>
      <c r="T21" s="108" t="s">
        <v>42</v>
      </c>
      <c r="U21" s="108" t="s">
        <v>42</v>
      </c>
      <c r="V21" s="97" t="s">
        <v>40</v>
      </c>
      <c r="W21" s="104" t="s">
        <v>34</v>
      </c>
      <c r="X21" s="104" t="s">
        <v>34</v>
      </c>
      <c r="Y21" s="112" t="s">
        <v>44</v>
      </c>
      <c r="Z21" s="112" t="s">
        <v>44</v>
      </c>
      <c r="AA21" s="112" t="s">
        <v>44</v>
      </c>
      <c r="AB21" s="112" t="s">
        <v>44</v>
      </c>
      <c r="AC21" s="112" t="s">
        <v>44</v>
      </c>
      <c r="AD21" s="101" t="s">
        <v>59</v>
      </c>
      <c r="AE21" s="104" t="s">
        <v>34</v>
      </c>
      <c r="AF21" s="104" t="s">
        <v>34</v>
      </c>
      <c r="AG21" s="98">
        <f t="shared" si="1"/>
        <v>0</v>
      </c>
      <c r="AH21" s="106"/>
      <c r="AI21" s="106"/>
      <c r="AJ21" s="106"/>
      <c r="AK21" s="107" t="s">
        <v>52</v>
      </c>
      <c r="AM21" s="30" t="s">
        <v>53</v>
      </c>
      <c r="AN21" s="24">
        <v>250</v>
      </c>
      <c r="AO21" s="24">
        <v>200</v>
      </c>
      <c r="AP21" s="24"/>
      <c r="AQ21" s="24">
        <f>COUNTIF($I$4:$P$93,AM21)</f>
        <v>0</v>
      </c>
      <c r="AR21" s="24">
        <f>COUNTIF($Q$4:$X$93,AM21)</f>
        <v>0</v>
      </c>
      <c r="AS21" s="24">
        <f>COUNTIF($Y$4:$AF$93,AM21)</f>
        <v>0</v>
      </c>
      <c r="AT21" s="24">
        <f t="shared" si="2"/>
        <v>0</v>
      </c>
      <c r="AU21" s="42">
        <f t="shared" si="3"/>
        <v>0</v>
      </c>
      <c r="AV21" s="42">
        <f t="shared" si="3"/>
        <v>0</v>
      </c>
      <c r="AW21" s="42">
        <f t="shared" si="3"/>
        <v>0</v>
      </c>
      <c r="BA21">
        <f t="shared" si="4"/>
        <v>200</v>
      </c>
    </row>
    <row r="22" spans="1:53">
      <c r="A22" s="88">
        <v>45293</v>
      </c>
      <c r="B22" s="92">
        <v>1600</v>
      </c>
      <c r="C22" s="92"/>
      <c r="D22" s="89">
        <f>(SUM(粮草!A22:X22)+AG22*10)*IF(AK22="是",$AY$4,$AY$3)</f>
        <v>1920</v>
      </c>
      <c r="E22" s="89">
        <f>SUM($B$4:B22)+SUM($C$4:C22)-SUM($D$4:D22)</f>
        <v>1792</v>
      </c>
      <c r="F22" s="89">
        <f>SUM(经验!A22:X22)</f>
        <v>720</v>
      </c>
      <c r="G22" s="89">
        <f>SUM($F$4:F22)+SUM($H$4:H22)</f>
        <v>13585</v>
      </c>
      <c r="H22" s="92">
        <v>100</v>
      </c>
      <c r="I22" s="112" t="s">
        <v>44</v>
      </c>
      <c r="J22" s="112" t="s">
        <v>44</v>
      </c>
      <c r="K22" s="112" t="s">
        <v>44</v>
      </c>
      <c r="L22" s="112" t="s">
        <v>44</v>
      </c>
      <c r="M22" s="112" t="s">
        <v>44</v>
      </c>
      <c r="N22" s="112" t="s">
        <v>44</v>
      </c>
      <c r="O22" s="104" t="s">
        <v>34</v>
      </c>
      <c r="P22" s="104" t="s">
        <v>34</v>
      </c>
      <c r="Q22" s="105" t="s">
        <v>34</v>
      </c>
      <c r="R22" s="105" t="s">
        <v>34</v>
      </c>
      <c r="S22" s="105" t="s">
        <v>34</v>
      </c>
      <c r="T22" s="105" t="s">
        <v>34</v>
      </c>
      <c r="U22" s="105" t="s">
        <v>34</v>
      </c>
      <c r="V22" s="105" t="s">
        <v>34</v>
      </c>
      <c r="W22" s="104" t="s">
        <v>34</v>
      </c>
      <c r="X22" s="104" t="s">
        <v>34</v>
      </c>
      <c r="Y22" s="112" t="s">
        <v>44</v>
      </c>
      <c r="Z22" s="112" t="s">
        <v>44</v>
      </c>
      <c r="AA22" s="112" t="s">
        <v>44</v>
      </c>
      <c r="AB22" s="112" t="s">
        <v>44</v>
      </c>
      <c r="AC22" s="112" t="s">
        <v>44</v>
      </c>
      <c r="AD22" s="112" t="s">
        <v>44</v>
      </c>
      <c r="AE22" s="104" t="s">
        <v>34</v>
      </c>
      <c r="AF22" s="104" t="s">
        <v>34</v>
      </c>
      <c r="AG22" s="98">
        <f t="shared" si="1"/>
        <v>0</v>
      </c>
      <c r="AH22" s="106"/>
      <c r="AI22" s="106"/>
      <c r="AJ22" s="106"/>
      <c r="AK22" s="107" t="s">
        <v>52</v>
      </c>
      <c r="AM22" s="31" t="s">
        <v>54</v>
      </c>
      <c r="AN22" s="24">
        <v>250</v>
      </c>
      <c r="AO22" s="24">
        <v>1000</v>
      </c>
      <c r="AP22" s="24"/>
      <c r="AQ22" s="24">
        <f>COUNTIF($I$4:$P$93,AM22)</f>
        <v>0</v>
      </c>
      <c r="AR22" s="24">
        <f>COUNTIF($Q$4:$X$93,AM22)</f>
        <v>1</v>
      </c>
      <c r="AS22" s="24">
        <f>COUNTIF($Y$4:$AF$93,AM22)</f>
        <v>1</v>
      </c>
      <c r="AT22" s="24">
        <f t="shared" si="2"/>
        <v>2</v>
      </c>
      <c r="AU22" s="42">
        <f t="shared" si="3"/>
        <v>0</v>
      </c>
      <c r="AV22" s="42">
        <f t="shared" si="3"/>
        <v>1000</v>
      </c>
      <c r="AW22" s="42">
        <f t="shared" si="3"/>
        <v>1000</v>
      </c>
      <c r="BA22">
        <f t="shared" si="4"/>
        <v>200</v>
      </c>
    </row>
    <row r="23" spans="1:53">
      <c r="A23" s="88">
        <v>45294</v>
      </c>
      <c r="B23" s="92">
        <v>1600</v>
      </c>
      <c r="C23" s="92"/>
      <c r="D23" s="89">
        <f>(SUM(粮草!A23:X23)+AG23*10)*IF(AK23="是",$AY$4,$AY$3)</f>
        <v>1888</v>
      </c>
      <c r="E23" s="89">
        <f>SUM($B$4:B23)+SUM($C$4:C23)-SUM($D$4:D23)</f>
        <v>1504</v>
      </c>
      <c r="F23" s="89">
        <f>SUM(经验!A23:X23)</f>
        <v>1640</v>
      </c>
      <c r="G23" s="89">
        <f>SUM($F$4:F23)+SUM($H$4:H23)</f>
        <v>15425</v>
      </c>
      <c r="H23" s="92">
        <v>200</v>
      </c>
      <c r="I23" s="112" t="s">
        <v>44</v>
      </c>
      <c r="J23" s="112" t="s">
        <v>44</v>
      </c>
      <c r="K23" s="112" t="s">
        <v>44</v>
      </c>
      <c r="L23" s="112" t="s">
        <v>44</v>
      </c>
      <c r="M23" s="112" t="s">
        <v>44</v>
      </c>
      <c r="N23" s="113" t="s">
        <v>50</v>
      </c>
      <c r="O23" s="104" t="s">
        <v>34</v>
      </c>
      <c r="P23" s="104" t="s">
        <v>34</v>
      </c>
      <c r="Q23" s="105" t="s">
        <v>34</v>
      </c>
      <c r="R23" s="105" t="s">
        <v>34</v>
      </c>
      <c r="S23" s="105" t="s">
        <v>34</v>
      </c>
      <c r="T23" s="105" t="s">
        <v>34</v>
      </c>
      <c r="U23" s="105" t="s">
        <v>34</v>
      </c>
      <c r="V23" s="105" t="s">
        <v>34</v>
      </c>
      <c r="W23" s="104" t="s">
        <v>34</v>
      </c>
      <c r="X23" s="104" t="s">
        <v>34</v>
      </c>
      <c r="Y23" s="110" t="s">
        <v>43</v>
      </c>
      <c r="Z23" s="110" t="s">
        <v>43</v>
      </c>
      <c r="AA23" s="110" t="s">
        <v>43</v>
      </c>
      <c r="AB23" s="110" t="s">
        <v>43</v>
      </c>
      <c r="AC23" s="112" t="s">
        <v>44</v>
      </c>
      <c r="AD23" s="114" t="s">
        <v>54</v>
      </c>
      <c r="AE23" s="104" t="s">
        <v>34</v>
      </c>
      <c r="AF23" s="104" t="s">
        <v>34</v>
      </c>
      <c r="AG23" s="98">
        <f t="shared" si="1"/>
        <v>0</v>
      </c>
      <c r="AH23" s="106"/>
      <c r="AI23" s="106"/>
      <c r="AJ23" s="106"/>
      <c r="AK23" s="107" t="s">
        <v>52</v>
      </c>
      <c r="AM23" s="32" t="s">
        <v>55</v>
      </c>
      <c r="AN23" s="24">
        <v>250</v>
      </c>
      <c r="AO23" s="24">
        <v>500</v>
      </c>
      <c r="AP23" s="24"/>
      <c r="AQ23" s="24">
        <f>COUNTIF($I$4:$P$93,AM23)</f>
        <v>2</v>
      </c>
      <c r="AR23" s="24">
        <f>COUNTIF($Q$4:$X$93,AM23)</f>
        <v>0</v>
      </c>
      <c r="AS23" s="24">
        <f>COUNTIF($Y$4:$AF$93,AM23)</f>
        <v>0</v>
      </c>
      <c r="AT23" s="24">
        <f t="shared" si="2"/>
        <v>2</v>
      </c>
      <c r="AU23" s="42">
        <f t="shared" si="3"/>
        <v>1000</v>
      </c>
      <c r="AV23" s="42">
        <f t="shared" si="3"/>
        <v>0</v>
      </c>
      <c r="AW23" s="42">
        <f t="shared" si="3"/>
        <v>0</v>
      </c>
      <c r="BA23">
        <f t="shared" si="4"/>
        <v>200</v>
      </c>
    </row>
    <row r="24" spans="1:53">
      <c r="A24" s="88">
        <v>45295</v>
      </c>
      <c r="B24" s="92">
        <v>1600</v>
      </c>
      <c r="C24" s="92"/>
      <c r="D24" s="89">
        <f>(SUM(粮草!A24:X24)+AG24*10)*IF(AK24="是",$AY$4,$AY$3)</f>
        <v>1920</v>
      </c>
      <c r="E24" s="89">
        <f>SUM($B$4:B24)+SUM($C$4:C24)-SUM($D$4:D24)</f>
        <v>1184</v>
      </c>
      <c r="F24" s="89">
        <f>SUM(经验!A24:X24)</f>
        <v>720</v>
      </c>
      <c r="G24" s="89">
        <f>SUM($F$4:F24)+SUM($H$4:H24)</f>
        <v>16145</v>
      </c>
      <c r="H24" s="92">
        <v>0</v>
      </c>
      <c r="I24" s="112" t="s">
        <v>44</v>
      </c>
      <c r="J24" s="112" t="s">
        <v>44</v>
      </c>
      <c r="K24" s="112" t="s">
        <v>44</v>
      </c>
      <c r="L24" s="112" t="s">
        <v>44</v>
      </c>
      <c r="M24" s="112" t="s">
        <v>44</v>
      </c>
      <c r="N24" s="112" t="s">
        <v>44</v>
      </c>
      <c r="O24" s="104" t="s">
        <v>34</v>
      </c>
      <c r="P24" s="104" t="s">
        <v>34</v>
      </c>
      <c r="Q24" s="105" t="s">
        <v>34</v>
      </c>
      <c r="R24" s="105" t="s">
        <v>34</v>
      </c>
      <c r="S24" s="105" t="s">
        <v>34</v>
      </c>
      <c r="T24" s="105" t="s">
        <v>34</v>
      </c>
      <c r="U24" s="105" t="s">
        <v>34</v>
      </c>
      <c r="V24" s="105" t="s">
        <v>34</v>
      </c>
      <c r="W24" s="104" t="s">
        <v>34</v>
      </c>
      <c r="X24" s="104" t="s">
        <v>34</v>
      </c>
      <c r="Y24" s="112" t="s">
        <v>44</v>
      </c>
      <c r="Z24" s="112" t="s">
        <v>44</v>
      </c>
      <c r="AA24" s="112" t="s">
        <v>44</v>
      </c>
      <c r="AB24" s="112" t="s">
        <v>44</v>
      </c>
      <c r="AC24" s="112" t="s">
        <v>44</v>
      </c>
      <c r="AD24" s="112" t="s">
        <v>44</v>
      </c>
      <c r="AE24" s="104" t="s">
        <v>34</v>
      </c>
      <c r="AF24" s="104" t="s">
        <v>34</v>
      </c>
      <c r="AG24" s="98">
        <f t="shared" si="1"/>
        <v>0</v>
      </c>
      <c r="AH24" s="106"/>
      <c r="AI24" s="106"/>
      <c r="AJ24" s="106"/>
      <c r="AK24" s="107" t="s">
        <v>52</v>
      </c>
      <c r="AM24" s="33" t="s">
        <v>56</v>
      </c>
      <c r="AN24" s="24">
        <v>160</v>
      </c>
      <c r="AO24" s="24">
        <v>40</v>
      </c>
      <c r="AP24" s="24">
        <v>39.110982162825422</v>
      </c>
      <c r="AQ24" s="24">
        <f>COUNTIF($I$4:$P$93,AM24)</f>
        <v>0</v>
      </c>
      <c r="AR24" s="24">
        <f>COUNTIF($Q$4:$X$93,AM24)</f>
        <v>0</v>
      </c>
      <c r="AS24" s="24">
        <f>COUNTIF($Y$4:$AF$93,AM24)</f>
        <v>0</v>
      </c>
      <c r="AT24" s="24">
        <f t="shared" si="2"/>
        <v>0</v>
      </c>
      <c r="AU24" s="42">
        <f t="shared" si="3"/>
        <v>0</v>
      </c>
      <c r="AV24" s="42">
        <f t="shared" si="3"/>
        <v>0</v>
      </c>
      <c r="AW24" s="42">
        <f t="shared" si="3"/>
        <v>0</v>
      </c>
      <c r="BA24">
        <f t="shared" si="4"/>
        <v>128</v>
      </c>
    </row>
    <row r="25" spans="1:53">
      <c r="A25" s="88">
        <v>45296</v>
      </c>
      <c r="B25" s="92">
        <v>1600</v>
      </c>
      <c r="C25" s="92"/>
      <c r="D25" s="89">
        <f>(SUM(粮草!A25:X25)+AG25*10)*IF(AK25="是",$AY$4,$AY$3)</f>
        <v>1880</v>
      </c>
      <c r="E25" s="89">
        <f>SUM($B$4:B25)+SUM($C$4:C25)-SUM($D$4:D25)</f>
        <v>904</v>
      </c>
      <c r="F25" s="89">
        <f>SUM(经验!A25:X25)</f>
        <v>695</v>
      </c>
      <c r="G25" s="89">
        <f>SUM($F$4:F25)+SUM($H$4:H25)</f>
        <v>16840</v>
      </c>
      <c r="H25" s="92">
        <v>0</v>
      </c>
      <c r="I25" s="112" t="s">
        <v>44</v>
      </c>
      <c r="J25" s="112" t="s">
        <v>44</v>
      </c>
      <c r="K25" s="112" t="s">
        <v>44</v>
      </c>
      <c r="L25" s="112" t="s">
        <v>44</v>
      </c>
      <c r="M25" s="112" t="s">
        <v>44</v>
      </c>
      <c r="N25" s="110" t="s">
        <v>43</v>
      </c>
      <c r="O25" s="104" t="s">
        <v>34</v>
      </c>
      <c r="P25" s="104" t="s">
        <v>34</v>
      </c>
      <c r="Q25" s="105" t="s">
        <v>34</v>
      </c>
      <c r="R25" s="105" t="s">
        <v>34</v>
      </c>
      <c r="S25" s="105" t="s">
        <v>34</v>
      </c>
      <c r="T25" s="105" t="s">
        <v>34</v>
      </c>
      <c r="U25" s="105" t="s">
        <v>34</v>
      </c>
      <c r="V25" s="105" t="s">
        <v>34</v>
      </c>
      <c r="W25" s="104" t="s">
        <v>34</v>
      </c>
      <c r="X25" s="104" t="s">
        <v>34</v>
      </c>
      <c r="Y25" s="110" t="s">
        <v>43</v>
      </c>
      <c r="Z25" s="110" t="s">
        <v>43</v>
      </c>
      <c r="AA25" s="110" t="s">
        <v>43</v>
      </c>
      <c r="AB25" s="110" t="s">
        <v>43</v>
      </c>
      <c r="AC25" s="112" t="s">
        <v>44</v>
      </c>
      <c r="AD25" s="112" t="s">
        <v>44</v>
      </c>
      <c r="AE25" s="104" t="s">
        <v>34</v>
      </c>
      <c r="AF25" s="104" t="s">
        <v>34</v>
      </c>
      <c r="AG25" s="98">
        <f t="shared" si="1"/>
        <v>0</v>
      </c>
      <c r="AH25" s="106"/>
      <c r="AI25" s="106"/>
      <c r="AJ25" s="106"/>
      <c r="AK25" s="107" t="s">
        <v>52</v>
      </c>
      <c r="AM25" s="33" t="s">
        <v>57</v>
      </c>
      <c r="AN25" s="24">
        <v>160</v>
      </c>
      <c r="AO25" s="24">
        <v>40</v>
      </c>
      <c r="AP25" s="24">
        <v>39.110982162825422</v>
      </c>
      <c r="AQ25" s="24">
        <f>COUNTIF($I$4:$P$93,AM25)</f>
        <v>0</v>
      </c>
      <c r="AR25" s="24">
        <f>COUNTIF($Q$4:$X$93,AM25)</f>
        <v>0</v>
      </c>
      <c r="AS25" s="24">
        <f>COUNTIF($Y$4:$AF$93,AM25)</f>
        <v>0</v>
      </c>
      <c r="AT25" s="24">
        <f t="shared" si="2"/>
        <v>0</v>
      </c>
      <c r="AU25" s="42">
        <f t="shared" si="3"/>
        <v>0</v>
      </c>
      <c r="AV25" s="42">
        <f t="shared" si="3"/>
        <v>0</v>
      </c>
      <c r="AW25" s="42">
        <f t="shared" si="3"/>
        <v>0</v>
      </c>
      <c r="BA25">
        <f t="shared" si="4"/>
        <v>128</v>
      </c>
    </row>
    <row r="26" spans="1:53">
      <c r="A26" s="88">
        <v>45297</v>
      </c>
      <c r="B26" s="92">
        <v>1600</v>
      </c>
      <c r="C26" s="92"/>
      <c r="D26" s="89">
        <f>(SUM(粮草!A26:X26)+AG26*10)*IF(AK26="是",$AY$4,$AY$3)</f>
        <v>1864</v>
      </c>
      <c r="E26" s="89">
        <f>SUM($B$4:B26)+SUM($C$4:C26)-SUM($D$4:D26)</f>
        <v>640</v>
      </c>
      <c r="F26" s="89">
        <f>SUM(经验!A26:X26)</f>
        <v>685</v>
      </c>
      <c r="G26" s="89">
        <f>SUM($F$4:F26)+SUM($H$4:H26)</f>
        <v>17525</v>
      </c>
      <c r="H26" s="92">
        <v>0</v>
      </c>
      <c r="I26" s="110" t="s">
        <v>43</v>
      </c>
      <c r="J26" s="110" t="s">
        <v>43</v>
      </c>
      <c r="K26" s="110" t="s">
        <v>43</v>
      </c>
      <c r="L26" s="110" t="s">
        <v>43</v>
      </c>
      <c r="M26" s="110" t="s">
        <v>43</v>
      </c>
      <c r="N26" s="110" t="s">
        <v>43</v>
      </c>
      <c r="O26" s="104" t="s">
        <v>34</v>
      </c>
      <c r="P26" s="104" t="s">
        <v>34</v>
      </c>
      <c r="Q26" s="105" t="s">
        <v>34</v>
      </c>
      <c r="R26" s="105" t="s">
        <v>34</v>
      </c>
      <c r="S26" s="105" t="s">
        <v>34</v>
      </c>
      <c r="T26" s="105" t="s">
        <v>34</v>
      </c>
      <c r="U26" s="105" t="s">
        <v>34</v>
      </c>
      <c r="V26" s="105" t="s">
        <v>34</v>
      </c>
      <c r="W26" s="104" t="s">
        <v>34</v>
      </c>
      <c r="X26" s="104" t="s">
        <v>34</v>
      </c>
      <c r="Y26" s="112" t="s">
        <v>44</v>
      </c>
      <c r="Z26" s="112" t="s">
        <v>44</v>
      </c>
      <c r="AA26" s="112" t="s">
        <v>44</v>
      </c>
      <c r="AB26" s="112" t="s">
        <v>44</v>
      </c>
      <c r="AC26" s="112" t="s">
        <v>44</v>
      </c>
      <c r="AD26" s="110" t="s">
        <v>43</v>
      </c>
      <c r="AE26" s="104" t="s">
        <v>34</v>
      </c>
      <c r="AF26" s="104" t="s">
        <v>34</v>
      </c>
      <c r="AG26" s="98">
        <f t="shared" si="1"/>
        <v>0</v>
      </c>
      <c r="AH26" s="106"/>
      <c r="AI26" s="106"/>
      <c r="AJ26" s="106"/>
      <c r="AK26" s="107" t="s">
        <v>52</v>
      </c>
      <c r="AM26" s="33" t="s">
        <v>58</v>
      </c>
      <c r="AN26" s="24">
        <v>150</v>
      </c>
      <c r="AO26" s="24">
        <v>35</v>
      </c>
      <c r="AP26" s="24">
        <v>44.222109392472248</v>
      </c>
      <c r="AQ26" s="24">
        <f>COUNTIF($I$4:$P$93,AM26)</f>
        <v>0</v>
      </c>
      <c r="AR26" s="24">
        <f>COUNTIF($Q$4:$X$93,AM26)</f>
        <v>0</v>
      </c>
      <c r="AS26" s="24">
        <f>COUNTIF($Y$4:$AF$93,AM26)</f>
        <v>0</v>
      </c>
      <c r="AT26" s="24">
        <f t="shared" si="2"/>
        <v>0</v>
      </c>
      <c r="AU26" s="42">
        <f t="shared" si="3"/>
        <v>0</v>
      </c>
      <c r="AV26" s="42">
        <f t="shared" si="3"/>
        <v>0</v>
      </c>
      <c r="AW26" s="42">
        <f t="shared" si="3"/>
        <v>0</v>
      </c>
      <c r="BA26">
        <f t="shared" si="4"/>
        <v>120</v>
      </c>
    </row>
    <row r="27" spans="1:53">
      <c r="A27" s="88">
        <v>45298</v>
      </c>
      <c r="B27" s="92">
        <v>1600</v>
      </c>
      <c r="C27" s="92"/>
      <c r="D27" s="89">
        <f>(SUM(粮草!A27:X27)+AG27*10)*IF(AK27="是",$AY$4,$AY$3)</f>
        <v>1400</v>
      </c>
      <c r="E27" s="89">
        <f>SUM($B$4:B27)+SUM($C$4:C27)-SUM($D$4:D27)</f>
        <v>840</v>
      </c>
      <c r="F27" s="89">
        <f>SUM(经验!A27:X27)</f>
        <v>1070</v>
      </c>
      <c r="G27" s="89">
        <f>SUM($F$4:F27)+SUM($H$4:H27)</f>
        <v>18595</v>
      </c>
      <c r="H27" s="92">
        <v>0</v>
      </c>
      <c r="I27" s="110" t="s">
        <v>43</v>
      </c>
      <c r="J27" s="110" t="s">
        <v>43</v>
      </c>
      <c r="K27" s="101" t="s">
        <v>59</v>
      </c>
      <c r="L27" s="110" t="s">
        <v>43</v>
      </c>
      <c r="M27" s="110" t="s">
        <v>43</v>
      </c>
      <c r="N27" s="110" t="s">
        <v>43</v>
      </c>
      <c r="O27" s="104" t="s">
        <v>34</v>
      </c>
      <c r="P27" s="104" t="s">
        <v>34</v>
      </c>
      <c r="Q27" s="105" t="s">
        <v>34</v>
      </c>
      <c r="R27" s="105" t="s">
        <v>34</v>
      </c>
      <c r="S27" s="105" t="s">
        <v>34</v>
      </c>
      <c r="T27" s="105" t="s">
        <v>34</v>
      </c>
      <c r="U27" s="105" t="s">
        <v>34</v>
      </c>
      <c r="V27" s="105" t="s">
        <v>34</v>
      </c>
      <c r="W27" s="104" t="s">
        <v>34</v>
      </c>
      <c r="X27" s="104" t="s">
        <v>34</v>
      </c>
      <c r="Y27" s="110" t="s">
        <v>43</v>
      </c>
      <c r="Z27" s="115" t="s">
        <v>70</v>
      </c>
      <c r="AA27" s="110" t="s">
        <v>43</v>
      </c>
      <c r="AB27" s="110" t="s">
        <v>43</v>
      </c>
      <c r="AC27" s="110" t="s">
        <v>43</v>
      </c>
      <c r="AD27" s="110" t="s">
        <v>43</v>
      </c>
      <c r="AE27" s="104" t="s">
        <v>34</v>
      </c>
      <c r="AF27" s="104" t="s">
        <v>34</v>
      </c>
      <c r="AG27" s="98">
        <f t="shared" si="1"/>
        <v>0</v>
      </c>
      <c r="AH27" s="106"/>
      <c r="AI27" s="106"/>
      <c r="AJ27" s="106"/>
      <c r="AK27" s="107" t="s">
        <v>52</v>
      </c>
      <c r="AM27" s="34" t="s">
        <v>34</v>
      </c>
      <c r="AN27" s="24">
        <v>0</v>
      </c>
      <c r="AO27" s="24">
        <v>0</v>
      </c>
      <c r="AP27" s="24">
        <v>0</v>
      </c>
      <c r="AQ27" s="24"/>
      <c r="AR27" s="24"/>
      <c r="AS27" s="24"/>
      <c r="AT27" s="24"/>
      <c r="AU27" s="42">
        <f t="shared" si="3"/>
        <v>0</v>
      </c>
      <c r="AV27" s="42">
        <f t="shared" si="3"/>
        <v>0</v>
      </c>
      <c r="AW27" s="42">
        <f t="shared" si="3"/>
        <v>0</v>
      </c>
      <c r="BA27">
        <f t="shared" si="4"/>
        <v>0</v>
      </c>
    </row>
    <row r="28" spans="1:53" ht="15" thickBot="1">
      <c r="A28" s="88">
        <v>45299</v>
      </c>
      <c r="B28" s="89">
        <v>1600</v>
      </c>
      <c r="C28" s="90"/>
      <c r="D28" s="89">
        <f>(SUM(粮草!A28:X28)+AG28*10)*IF(AK28="是",$AY$4,$AY$3)</f>
        <v>1872</v>
      </c>
      <c r="E28" s="89">
        <f>SUM($B$4:B28)+SUM($C$4:C28)-SUM($D$4:D28)</f>
        <v>568</v>
      </c>
      <c r="F28" s="89">
        <f>SUM(经验!A28:X28)</f>
        <v>1105</v>
      </c>
      <c r="G28" s="89">
        <f>SUM($F$4:F28)+SUM($H$4:H28)</f>
        <v>19900</v>
      </c>
      <c r="H28" s="89">
        <v>200</v>
      </c>
      <c r="I28" s="110" t="s">
        <v>43</v>
      </c>
      <c r="J28" s="110" t="s">
        <v>43</v>
      </c>
      <c r="K28" s="110" t="s">
        <v>43</v>
      </c>
      <c r="L28" s="116" t="s">
        <v>55</v>
      </c>
      <c r="M28" s="110" t="s">
        <v>43</v>
      </c>
      <c r="N28" s="110" t="s">
        <v>43</v>
      </c>
      <c r="O28" s="104" t="s">
        <v>34</v>
      </c>
      <c r="P28" s="104" t="s">
        <v>34</v>
      </c>
      <c r="Q28" s="105" t="s">
        <v>34</v>
      </c>
      <c r="R28" s="105" t="s">
        <v>34</v>
      </c>
      <c r="S28" s="105" t="s">
        <v>34</v>
      </c>
      <c r="T28" s="105" t="s">
        <v>34</v>
      </c>
      <c r="U28" s="105" t="s">
        <v>34</v>
      </c>
      <c r="V28" s="105" t="s">
        <v>34</v>
      </c>
      <c r="W28" s="104" t="s">
        <v>34</v>
      </c>
      <c r="X28" s="104" t="s">
        <v>34</v>
      </c>
      <c r="Y28" s="110" t="s">
        <v>43</v>
      </c>
      <c r="Z28" s="110" t="s">
        <v>43</v>
      </c>
      <c r="AA28" s="110" t="s">
        <v>43</v>
      </c>
      <c r="AB28" s="110" t="s">
        <v>43</v>
      </c>
      <c r="AC28" s="110" t="s">
        <v>43</v>
      </c>
      <c r="AD28" s="110" t="s">
        <v>43</v>
      </c>
      <c r="AE28" s="104" t="s">
        <v>34</v>
      </c>
      <c r="AF28" s="104" t="s">
        <v>34</v>
      </c>
      <c r="AG28" s="98">
        <f t="shared" si="1"/>
        <v>0</v>
      </c>
      <c r="AH28" s="106"/>
      <c r="AI28" s="106"/>
      <c r="AJ28" s="106"/>
      <c r="AK28" s="107" t="s">
        <v>52</v>
      </c>
      <c r="AL28" s="35" t="s">
        <v>36</v>
      </c>
      <c r="AM28" s="19" t="s">
        <v>59</v>
      </c>
      <c r="AN28" s="24">
        <v>-200</v>
      </c>
      <c r="AO28" s="24">
        <v>0</v>
      </c>
      <c r="AP28" s="24"/>
      <c r="AQ28" s="24">
        <f>COUNTIF($I$4:$P$93,AM28)</f>
        <v>4</v>
      </c>
      <c r="AR28" s="24">
        <f>COUNTIF($Q$4:$X$93,AM28)</f>
        <v>4</v>
      </c>
      <c r="AS28" s="24">
        <f>COUNTIF($Y$4:$AF$93,AM28)</f>
        <v>4</v>
      </c>
      <c r="AT28" s="24">
        <f>AQ28+AR28+AS28</f>
        <v>12</v>
      </c>
      <c r="AU28" s="42">
        <f t="shared" si="3"/>
        <v>0</v>
      </c>
      <c r="AV28" s="42">
        <f t="shared" si="3"/>
        <v>0</v>
      </c>
      <c r="AW28" s="42">
        <f t="shared" si="3"/>
        <v>0</v>
      </c>
      <c r="BA28">
        <f t="shared" si="4"/>
        <v>-160</v>
      </c>
    </row>
    <row r="29" spans="1:53">
      <c r="A29" s="88">
        <v>45300</v>
      </c>
      <c r="B29" s="89">
        <v>1600</v>
      </c>
      <c r="C29" s="90"/>
      <c r="D29" s="89">
        <f>(SUM(粮草!A29:X29)+AG29*10)*IF(AK29="是",$AY$4,$AY$3)</f>
        <v>1480</v>
      </c>
      <c r="E29" s="89">
        <f>SUM($B$4:B29)+SUM($C$4:C29)-SUM($D$4:D29)</f>
        <v>688</v>
      </c>
      <c r="F29" s="89">
        <f>SUM(经验!A29:X29)</f>
        <v>585</v>
      </c>
      <c r="G29" s="89">
        <f>SUM($F$4:F29)+SUM($H$4:H29)</f>
        <v>20585</v>
      </c>
      <c r="H29" s="89">
        <v>100</v>
      </c>
      <c r="I29" s="110" t="s">
        <v>43</v>
      </c>
      <c r="J29" s="110" t="s">
        <v>43</v>
      </c>
      <c r="K29" s="110" t="s">
        <v>43</v>
      </c>
      <c r="L29" s="110" t="s">
        <v>43</v>
      </c>
      <c r="M29" s="110" t="s">
        <v>43</v>
      </c>
      <c r="N29" s="110" t="s">
        <v>43</v>
      </c>
      <c r="O29" s="104" t="s">
        <v>34</v>
      </c>
      <c r="P29" s="104" t="s">
        <v>34</v>
      </c>
      <c r="Q29" s="105" t="s">
        <v>34</v>
      </c>
      <c r="R29" s="105" t="s">
        <v>34</v>
      </c>
      <c r="S29" s="105" t="s">
        <v>34</v>
      </c>
      <c r="T29" s="105" t="s">
        <v>34</v>
      </c>
      <c r="U29" s="105" t="s">
        <v>34</v>
      </c>
      <c r="V29" s="105" t="s">
        <v>34</v>
      </c>
      <c r="W29" s="104" t="s">
        <v>34</v>
      </c>
      <c r="X29" s="104" t="s">
        <v>34</v>
      </c>
      <c r="Y29" s="110" t="s">
        <v>43</v>
      </c>
      <c r="Z29" s="108" t="s">
        <v>42</v>
      </c>
      <c r="AA29" s="101" t="s">
        <v>59</v>
      </c>
      <c r="AB29" s="108" t="s">
        <v>42</v>
      </c>
      <c r="AC29" s="108" t="s">
        <v>42</v>
      </c>
      <c r="AD29" s="108" t="s">
        <v>42</v>
      </c>
      <c r="AE29" s="104" t="s">
        <v>34</v>
      </c>
      <c r="AF29" s="104" t="s">
        <v>34</v>
      </c>
      <c r="AG29" s="98">
        <f t="shared" si="1"/>
        <v>0</v>
      </c>
      <c r="AH29" s="106"/>
      <c r="AI29" s="106"/>
      <c r="AJ29" s="106"/>
      <c r="AK29" s="107" t="s">
        <v>52</v>
      </c>
      <c r="AM29" s="67" t="s">
        <v>70</v>
      </c>
      <c r="AN29" s="24">
        <v>50</v>
      </c>
      <c r="AO29" s="24">
        <v>520</v>
      </c>
      <c r="AP29" s="24"/>
      <c r="AQ29" s="24">
        <f>COUNTIF($I$4:$P$93,AM29)</f>
        <v>1</v>
      </c>
      <c r="AR29" s="24">
        <f>COUNTIF($Q$4:$X$93,AM29)</f>
        <v>1</v>
      </c>
      <c r="AS29" s="24">
        <f>COUNTIF($Y$4:$AF$93,AM29)</f>
        <v>1</v>
      </c>
      <c r="AT29" s="24">
        <f>AQ29+AR29+AS29</f>
        <v>3</v>
      </c>
      <c r="AU29" s="42">
        <f t="shared" ref="AU29" si="5">AQ29*$AO29</f>
        <v>520</v>
      </c>
      <c r="AV29" s="42">
        <f t="shared" ref="AV29" si="6">AR29*$AO29</f>
        <v>520</v>
      </c>
      <c r="AW29" s="42">
        <f t="shared" ref="AW29" si="7">AS29*$AO29</f>
        <v>520</v>
      </c>
      <c r="BA29">
        <f t="shared" si="4"/>
        <v>40</v>
      </c>
    </row>
    <row r="30" spans="1:53">
      <c r="A30" s="88">
        <v>45301</v>
      </c>
      <c r="B30" s="89">
        <v>1600</v>
      </c>
      <c r="C30" s="90"/>
      <c r="D30" s="89">
        <f>(SUM(粮草!A30:X30)+AG30*10)*IF(AK30="是",$AY$4,$AY$3)</f>
        <v>1752</v>
      </c>
      <c r="E30" s="89">
        <f>SUM($B$4:B30)+SUM($C$4:C30)-SUM($D$4:D30)</f>
        <v>536</v>
      </c>
      <c r="F30" s="89">
        <f>SUM(经验!A30:X30)</f>
        <v>615</v>
      </c>
      <c r="G30" s="89">
        <f>SUM($F$4:F30)+SUM($H$4:H30)</f>
        <v>21400</v>
      </c>
      <c r="H30" s="89">
        <v>200</v>
      </c>
      <c r="I30" s="110" t="s">
        <v>43</v>
      </c>
      <c r="J30" s="110" t="s">
        <v>43</v>
      </c>
      <c r="K30" s="110" t="s">
        <v>43</v>
      </c>
      <c r="L30" s="108" t="s">
        <v>42</v>
      </c>
      <c r="M30" s="108" t="s">
        <v>42</v>
      </c>
      <c r="N30" s="108" t="s">
        <v>42</v>
      </c>
      <c r="O30" s="104" t="s">
        <v>34</v>
      </c>
      <c r="P30" s="104" t="s">
        <v>34</v>
      </c>
      <c r="Q30" s="105" t="s">
        <v>34</v>
      </c>
      <c r="R30" s="105" t="s">
        <v>34</v>
      </c>
      <c r="S30" s="105" t="s">
        <v>34</v>
      </c>
      <c r="T30" s="105" t="s">
        <v>34</v>
      </c>
      <c r="U30" s="105" t="s">
        <v>34</v>
      </c>
      <c r="V30" s="105" t="s">
        <v>34</v>
      </c>
      <c r="W30" s="104" t="s">
        <v>34</v>
      </c>
      <c r="X30" s="104" t="s">
        <v>34</v>
      </c>
      <c r="Y30" s="108" t="s">
        <v>42</v>
      </c>
      <c r="Z30" s="108" t="s">
        <v>42</v>
      </c>
      <c r="AA30" s="108" t="s">
        <v>42</v>
      </c>
      <c r="AB30" s="108" t="s">
        <v>42</v>
      </c>
      <c r="AC30" s="108" t="s">
        <v>42</v>
      </c>
      <c r="AD30" s="108" t="s">
        <v>42</v>
      </c>
      <c r="AE30" s="104" t="s">
        <v>34</v>
      </c>
      <c r="AF30" s="104" t="s">
        <v>34</v>
      </c>
      <c r="AG30" s="98">
        <f t="shared" si="1"/>
        <v>0</v>
      </c>
      <c r="AH30" s="106"/>
      <c r="AI30" s="106"/>
      <c r="AJ30" s="106"/>
      <c r="AK30" s="107" t="s">
        <v>52</v>
      </c>
      <c r="AM30" s="24"/>
      <c r="AN30" s="24"/>
      <c r="AO30" s="24"/>
      <c r="AP30" s="42"/>
    </row>
    <row r="31" spans="1:53">
      <c r="A31" s="88">
        <v>45302</v>
      </c>
      <c r="B31" s="89">
        <v>1600</v>
      </c>
      <c r="C31" s="90"/>
      <c r="D31" s="89">
        <f>(SUM(粮草!A31:X31)+AG31*10)*IF(AK31="是",$AY$4,$AY$3)</f>
        <v>1640</v>
      </c>
      <c r="E31" s="89">
        <f>SUM($B$4:B31)+SUM($C$4:C31)-SUM($D$4:D31)</f>
        <v>496</v>
      </c>
      <c r="F31" s="89">
        <f>SUM(经验!A31:X31)</f>
        <v>590</v>
      </c>
      <c r="G31" s="89">
        <f>SUM($F$4:F31)+SUM($H$4:H31)</f>
        <v>21990</v>
      </c>
      <c r="H31" s="89">
        <v>0</v>
      </c>
      <c r="I31" s="108" t="s">
        <v>42</v>
      </c>
      <c r="J31" s="108" t="s">
        <v>42</v>
      </c>
      <c r="K31" s="108" t="s">
        <v>42</v>
      </c>
      <c r="L31" s="108" t="s">
        <v>42</v>
      </c>
      <c r="M31" s="110" t="s">
        <v>43</v>
      </c>
      <c r="N31" s="110" t="s">
        <v>43</v>
      </c>
      <c r="O31" s="104" t="s">
        <v>34</v>
      </c>
      <c r="P31" s="104" t="s">
        <v>34</v>
      </c>
      <c r="Q31" s="105" t="s">
        <v>34</v>
      </c>
      <c r="R31" s="105" t="s">
        <v>34</v>
      </c>
      <c r="S31" s="105" t="s">
        <v>34</v>
      </c>
      <c r="T31" s="105" t="s">
        <v>34</v>
      </c>
      <c r="U31" s="105" t="s">
        <v>34</v>
      </c>
      <c r="V31" s="105" t="s">
        <v>34</v>
      </c>
      <c r="W31" s="104" t="s">
        <v>34</v>
      </c>
      <c r="X31" s="104" t="s">
        <v>34</v>
      </c>
      <c r="Y31" s="108" t="s">
        <v>42</v>
      </c>
      <c r="Z31" s="94" t="s">
        <v>39</v>
      </c>
      <c r="AA31" s="108" t="s">
        <v>42</v>
      </c>
      <c r="AB31" s="108" t="s">
        <v>42</v>
      </c>
      <c r="AC31" s="108" t="s">
        <v>42</v>
      </c>
      <c r="AD31" s="108" t="s">
        <v>42</v>
      </c>
      <c r="AE31" s="104" t="s">
        <v>34</v>
      </c>
      <c r="AF31" s="104" t="s">
        <v>34</v>
      </c>
      <c r="AG31" s="98">
        <f t="shared" si="1"/>
        <v>0</v>
      </c>
      <c r="AH31" s="106"/>
      <c r="AI31" s="106"/>
      <c r="AJ31" s="106"/>
      <c r="AK31" s="107" t="s">
        <v>52</v>
      </c>
      <c r="AM31" s="24"/>
      <c r="AN31" s="24"/>
      <c r="AO31" s="24"/>
      <c r="AP31" s="42"/>
    </row>
    <row r="32" spans="1:53">
      <c r="A32" s="88">
        <v>45303</v>
      </c>
      <c r="B32" s="89">
        <v>1600</v>
      </c>
      <c r="C32" s="90"/>
      <c r="D32" s="89">
        <f>(SUM(粮草!A32:X32)+AG32*10)*IF(AK32="是",$AY$4,$AY$3)</f>
        <v>1464</v>
      </c>
      <c r="E32" s="89">
        <f>SUM($B$4:B32)+SUM($C$4:C32)-SUM($D$4:D32)</f>
        <v>632</v>
      </c>
      <c r="F32" s="89">
        <f>SUM(经验!A32:X32)</f>
        <v>515</v>
      </c>
      <c r="G32" s="89">
        <f>SUM($F$4:F32)+SUM($H$4:H32)</f>
        <v>22505</v>
      </c>
      <c r="H32" s="89">
        <v>0</v>
      </c>
      <c r="I32" s="110" t="s">
        <v>43</v>
      </c>
      <c r="J32" s="110" t="s">
        <v>43</v>
      </c>
      <c r="K32" s="110" t="s">
        <v>43</v>
      </c>
      <c r="L32" s="108" t="s">
        <v>42</v>
      </c>
      <c r="M32" s="108" t="s">
        <v>42</v>
      </c>
      <c r="N32" s="108" t="s">
        <v>42</v>
      </c>
      <c r="O32" s="104" t="s">
        <v>34</v>
      </c>
      <c r="P32" s="104" t="s">
        <v>34</v>
      </c>
      <c r="Q32" s="105" t="s">
        <v>34</v>
      </c>
      <c r="R32" s="105" t="s">
        <v>34</v>
      </c>
      <c r="S32" s="105" t="s">
        <v>34</v>
      </c>
      <c r="T32" s="105" t="s">
        <v>34</v>
      </c>
      <c r="U32" s="105" t="s">
        <v>34</v>
      </c>
      <c r="V32" s="105" t="s">
        <v>34</v>
      </c>
      <c r="W32" s="104" t="s">
        <v>34</v>
      </c>
      <c r="X32" s="104" t="s">
        <v>34</v>
      </c>
      <c r="Y32" s="108" t="s">
        <v>42</v>
      </c>
      <c r="Z32" s="108" t="s">
        <v>42</v>
      </c>
      <c r="AA32" s="108" t="s">
        <v>42</v>
      </c>
      <c r="AB32" s="108" t="s">
        <v>42</v>
      </c>
      <c r="AC32" s="92" t="s">
        <v>34</v>
      </c>
      <c r="AD32" s="92" t="s">
        <v>34</v>
      </c>
      <c r="AE32" s="104" t="s">
        <v>34</v>
      </c>
      <c r="AF32" s="104" t="s">
        <v>34</v>
      </c>
      <c r="AG32" s="98">
        <f t="shared" si="1"/>
        <v>0</v>
      </c>
      <c r="AH32" s="106"/>
      <c r="AI32" s="106"/>
      <c r="AJ32" s="106"/>
      <c r="AK32" s="107" t="s">
        <v>52</v>
      </c>
      <c r="AM32" s="24"/>
      <c r="AN32" s="24"/>
      <c r="AO32" s="24"/>
      <c r="AP32" s="42"/>
    </row>
    <row r="33" spans="1:42">
      <c r="A33" s="88">
        <v>45304</v>
      </c>
      <c r="B33" s="89">
        <v>1600</v>
      </c>
      <c r="C33" s="90"/>
      <c r="D33" s="89">
        <f>(SUM(粮草!A33:X33)+AG33*10)*IF(AK33="是",$AY$4,$AY$3)</f>
        <v>1576</v>
      </c>
      <c r="E33" s="89">
        <f>SUM($B$4:B33)+SUM($C$4:C33)-SUM($D$4:D33)</f>
        <v>656</v>
      </c>
      <c r="F33" s="89">
        <f>SUM(经验!A33:X33)</f>
        <v>550</v>
      </c>
      <c r="G33" s="89">
        <f>SUM($F$4:F33)+SUM($H$4:H33)</f>
        <v>23055</v>
      </c>
      <c r="H33" s="89">
        <v>0</v>
      </c>
      <c r="I33" s="94" t="s">
        <v>39</v>
      </c>
      <c r="J33" s="108" t="s">
        <v>42</v>
      </c>
      <c r="K33" s="108" t="s">
        <v>42</v>
      </c>
      <c r="L33" s="108" t="s">
        <v>42</v>
      </c>
      <c r="M33" s="108" t="s">
        <v>42</v>
      </c>
      <c r="N33" s="108" t="s">
        <v>42</v>
      </c>
      <c r="O33" s="104" t="s">
        <v>34</v>
      </c>
      <c r="P33" s="104" t="s">
        <v>34</v>
      </c>
      <c r="Q33" s="105" t="s">
        <v>34</v>
      </c>
      <c r="R33" s="105" t="s">
        <v>34</v>
      </c>
      <c r="S33" s="105" t="s">
        <v>34</v>
      </c>
      <c r="T33" s="105" t="s">
        <v>34</v>
      </c>
      <c r="U33" s="105" t="s">
        <v>34</v>
      </c>
      <c r="V33" s="105" t="s">
        <v>34</v>
      </c>
      <c r="W33" s="104" t="s">
        <v>34</v>
      </c>
      <c r="X33" s="104" t="s">
        <v>34</v>
      </c>
      <c r="Y33" s="97" t="s">
        <v>40</v>
      </c>
      <c r="Z33" s="97" t="s">
        <v>40</v>
      </c>
      <c r="AA33" s="97" t="s">
        <v>40</v>
      </c>
      <c r="AB33" s="97" t="s">
        <v>40</v>
      </c>
      <c r="AC33" s="97" t="s">
        <v>40</v>
      </c>
      <c r="AD33" s="97" t="s">
        <v>40</v>
      </c>
      <c r="AE33" s="104" t="s">
        <v>34</v>
      </c>
      <c r="AF33" s="104" t="s">
        <v>34</v>
      </c>
      <c r="AG33" s="98">
        <f t="shared" si="1"/>
        <v>0</v>
      </c>
      <c r="AH33" s="106"/>
      <c r="AI33" s="106"/>
      <c r="AJ33" s="106"/>
      <c r="AK33" s="107" t="s">
        <v>52</v>
      </c>
      <c r="AM33" s="24"/>
      <c r="AN33" s="24"/>
      <c r="AO33" s="24"/>
      <c r="AP33" s="42"/>
    </row>
    <row r="34" spans="1:42">
      <c r="A34" s="88">
        <v>45305</v>
      </c>
      <c r="B34" s="89">
        <v>1600</v>
      </c>
      <c r="C34" s="90"/>
      <c r="D34" s="89">
        <f>(SUM(粮草!A34:X34)+AG34*10)*IF(AK34="是",$AY$4,$AY$3)</f>
        <v>1536</v>
      </c>
      <c r="E34" s="89">
        <f>SUM($B$4:B34)+SUM($C$4:C34)-SUM($D$4:D34)</f>
        <v>720</v>
      </c>
      <c r="F34" s="89">
        <f>SUM(经验!A34:X34)</f>
        <v>520</v>
      </c>
      <c r="G34" s="89">
        <f>SUM($F$4:F34)+SUM($H$4:H34)</f>
        <v>23575</v>
      </c>
      <c r="H34" s="89">
        <v>0</v>
      </c>
      <c r="I34" s="108" t="s">
        <v>42</v>
      </c>
      <c r="J34" s="108" t="s">
        <v>42</v>
      </c>
      <c r="K34" s="108" t="s">
        <v>42</v>
      </c>
      <c r="L34" s="108" t="s">
        <v>42</v>
      </c>
      <c r="M34" s="108" t="s">
        <v>42</v>
      </c>
      <c r="N34" s="105" t="s">
        <v>34</v>
      </c>
      <c r="O34" s="104" t="s">
        <v>34</v>
      </c>
      <c r="P34" s="104" t="s">
        <v>34</v>
      </c>
      <c r="Q34" s="105" t="s">
        <v>34</v>
      </c>
      <c r="R34" s="105" t="s">
        <v>34</v>
      </c>
      <c r="S34" s="105" t="s">
        <v>34</v>
      </c>
      <c r="T34" s="105" t="s">
        <v>34</v>
      </c>
      <c r="U34" s="105" t="s">
        <v>34</v>
      </c>
      <c r="V34" s="105" t="s">
        <v>34</v>
      </c>
      <c r="W34" s="104" t="s">
        <v>34</v>
      </c>
      <c r="X34" s="104" t="s">
        <v>34</v>
      </c>
      <c r="Y34" s="97" t="s">
        <v>40</v>
      </c>
      <c r="Z34" s="97" t="s">
        <v>40</v>
      </c>
      <c r="AA34" s="97" t="s">
        <v>40</v>
      </c>
      <c r="AB34" s="97" t="s">
        <v>40</v>
      </c>
      <c r="AC34" s="97" t="s">
        <v>40</v>
      </c>
      <c r="AD34" s="97" t="s">
        <v>40</v>
      </c>
      <c r="AE34" s="104" t="s">
        <v>34</v>
      </c>
      <c r="AF34" s="104" t="s">
        <v>34</v>
      </c>
      <c r="AG34" s="98">
        <f t="shared" si="1"/>
        <v>0</v>
      </c>
      <c r="AH34" s="106"/>
      <c r="AI34" s="106"/>
      <c r="AJ34" s="106"/>
      <c r="AK34" s="107" t="s">
        <v>52</v>
      </c>
      <c r="AM34" s="24"/>
      <c r="AN34" s="24"/>
      <c r="AO34" s="24"/>
      <c r="AP34" s="42"/>
    </row>
    <row r="35" spans="1:42">
      <c r="A35" s="88">
        <v>45306</v>
      </c>
      <c r="B35" s="92">
        <v>1600</v>
      </c>
      <c r="C35" s="92"/>
      <c r="D35" s="89">
        <f>(SUM(粮草!A35:X35)+AG35*10)*IF(AK35="是",$AY$4,$AY$3)</f>
        <v>1536</v>
      </c>
      <c r="E35" s="89">
        <f>SUM($B$4:B35)+SUM($C$4:C35)-SUM($D$4:D35)</f>
        <v>784</v>
      </c>
      <c r="F35" s="89">
        <f>SUM(经验!A35:X35)</f>
        <v>525</v>
      </c>
      <c r="G35" s="89">
        <f>SUM($F$4:F35)+SUM($H$4:H35)</f>
        <v>24300</v>
      </c>
      <c r="H35" s="92">
        <v>200</v>
      </c>
      <c r="I35" s="97" t="s">
        <v>40</v>
      </c>
      <c r="J35" s="97" t="s">
        <v>40</v>
      </c>
      <c r="K35" s="97" t="s">
        <v>40</v>
      </c>
      <c r="L35" s="97" t="s">
        <v>40</v>
      </c>
      <c r="M35" s="97" t="s">
        <v>40</v>
      </c>
      <c r="N35" s="97" t="s">
        <v>40</v>
      </c>
      <c r="O35" s="104" t="s">
        <v>34</v>
      </c>
      <c r="P35" s="104" t="s">
        <v>34</v>
      </c>
      <c r="Q35" s="105" t="s">
        <v>34</v>
      </c>
      <c r="R35" s="105" t="s">
        <v>34</v>
      </c>
      <c r="S35" s="105" t="s">
        <v>34</v>
      </c>
      <c r="T35" s="105" t="s">
        <v>34</v>
      </c>
      <c r="U35" s="105" t="s">
        <v>34</v>
      </c>
      <c r="V35" s="105" t="s">
        <v>34</v>
      </c>
      <c r="W35" s="104" t="s">
        <v>34</v>
      </c>
      <c r="X35" s="104" t="s">
        <v>34</v>
      </c>
      <c r="Y35" s="94" t="s">
        <v>39</v>
      </c>
      <c r="Z35" s="97" t="s">
        <v>40</v>
      </c>
      <c r="AA35" s="97" t="s">
        <v>40</v>
      </c>
      <c r="AB35" s="97" t="s">
        <v>40</v>
      </c>
      <c r="AC35" s="97" t="s">
        <v>40</v>
      </c>
      <c r="AD35" s="97" t="s">
        <v>40</v>
      </c>
      <c r="AE35" s="104" t="s">
        <v>34</v>
      </c>
      <c r="AF35" s="104" t="s">
        <v>34</v>
      </c>
      <c r="AG35" s="98">
        <f t="shared" si="1"/>
        <v>0</v>
      </c>
      <c r="AH35" s="106"/>
      <c r="AI35" s="106"/>
      <c r="AJ35" s="106"/>
      <c r="AK35" s="107" t="s">
        <v>52</v>
      </c>
      <c r="AM35" s="24"/>
      <c r="AN35" s="24"/>
      <c r="AO35" s="24"/>
      <c r="AP35" s="42"/>
    </row>
    <row r="36" spans="1:42">
      <c r="A36" s="88">
        <v>45307</v>
      </c>
      <c r="B36" s="92">
        <v>1600</v>
      </c>
      <c r="C36" s="92"/>
      <c r="D36" s="89">
        <f>(SUM(粮草!A36:X36)+AG36*10)*IF(AK36="是",$AY$4,$AY$3)</f>
        <v>1632</v>
      </c>
      <c r="E36" s="89">
        <f>SUM($B$4:B36)+SUM($C$4:C36)-SUM($D$4:D36)</f>
        <v>752</v>
      </c>
      <c r="F36" s="89">
        <f>SUM(经验!A36:X36)</f>
        <v>540</v>
      </c>
      <c r="G36" s="89">
        <f>SUM($F$4:F36)+SUM($H$4:H36)</f>
        <v>24940</v>
      </c>
      <c r="H36" s="92">
        <v>100</v>
      </c>
      <c r="I36" s="97" t="s">
        <v>40</v>
      </c>
      <c r="J36" s="97" t="s">
        <v>40</v>
      </c>
      <c r="K36" s="97" t="s">
        <v>40</v>
      </c>
      <c r="L36" s="97" t="s">
        <v>40</v>
      </c>
      <c r="M36" s="97" t="s">
        <v>40</v>
      </c>
      <c r="N36" s="97" t="s">
        <v>40</v>
      </c>
      <c r="O36" s="104" t="s">
        <v>34</v>
      </c>
      <c r="P36" s="104" t="s">
        <v>34</v>
      </c>
      <c r="Q36" s="105" t="s">
        <v>34</v>
      </c>
      <c r="R36" s="105" t="s">
        <v>34</v>
      </c>
      <c r="S36" s="105" t="s">
        <v>34</v>
      </c>
      <c r="T36" s="105" t="s">
        <v>34</v>
      </c>
      <c r="U36" s="105" t="s">
        <v>34</v>
      </c>
      <c r="V36" s="105" t="s">
        <v>34</v>
      </c>
      <c r="W36" s="104" t="s">
        <v>34</v>
      </c>
      <c r="X36" s="104" t="s">
        <v>34</v>
      </c>
      <c r="Y36" s="97" t="s">
        <v>40</v>
      </c>
      <c r="Z36" s="97" t="s">
        <v>40</v>
      </c>
      <c r="AA36" s="97" t="s">
        <v>40</v>
      </c>
      <c r="AB36" s="97" t="s">
        <v>40</v>
      </c>
      <c r="AC36" s="97" t="s">
        <v>40</v>
      </c>
      <c r="AD36" s="97" t="s">
        <v>40</v>
      </c>
      <c r="AE36" s="104" t="s">
        <v>34</v>
      </c>
      <c r="AF36" s="104" t="s">
        <v>34</v>
      </c>
      <c r="AG36" s="98">
        <f t="shared" si="1"/>
        <v>0</v>
      </c>
      <c r="AH36" s="106"/>
      <c r="AI36" s="106"/>
      <c r="AJ36" s="106"/>
      <c r="AK36" s="107" t="s">
        <v>52</v>
      </c>
      <c r="AM36" s="24"/>
      <c r="AN36" s="24"/>
      <c r="AO36" s="24"/>
      <c r="AP36" s="42"/>
    </row>
    <row r="37" spans="1:42">
      <c r="A37" s="88">
        <v>45308</v>
      </c>
      <c r="B37" s="92">
        <v>1600</v>
      </c>
      <c r="C37" s="92"/>
      <c r="D37" s="89">
        <f>(SUM(粮草!A37:X37)+AG37*10)*IF(AK37="是",$AY$4,$AY$3)</f>
        <v>1384</v>
      </c>
      <c r="E37" s="89">
        <f>SUM($B$4:B37)+SUM($C$4:C37)-SUM($D$4:D37)</f>
        <v>968</v>
      </c>
      <c r="F37" s="89">
        <f>SUM(经验!A37:X37)</f>
        <v>525</v>
      </c>
      <c r="G37" s="89">
        <f>SUM($F$4:F37)+SUM($H$4:H37)</f>
        <v>25665</v>
      </c>
      <c r="H37" s="92">
        <v>200</v>
      </c>
      <c r="I37" s="97" t="s">
        <v>40</v>
      </c>
      <c r="J37" s="97" t="s">
        <v>40</v>
      </c>
      <c r="K37" s="97" t="s">
        <v>40</v>
      </c>
      <c r="L37" s="97" t="s">
        <v>40</v>
      </c>
      <c r="M37" s="97" t="s">
        <v>40</v>
      </c>
      <c r="N37" s="97" t="s">
        <v>40</v>
      </c>
      <c r="O37" s="104" t="s">
        <v>34</v>
      </c>
      <c r="P37" s="104" t="s">
        <v>34</v>
      </c>
      <c r="Q37" s="105" t="s">
        <v>34</v>
      </c>
      <c r="R37" s="105" t="s">
        <v>34</v>
      </c>
      <c r="S37" s="105" t="s">
        <v>34</v>
      </c>
      <c r="T37" s="105" t="s">
        <v>34</v>
      </c>
      <c r="U37" s="105" t="s">
        <v>34</v>
      </c>
      <c r="V37" s="105" t="s">
        <v>34</v>
      </c>
      <c r="W37" s="104" t="s">
        <v>34</v>
      </c>
      <c r="X37" s="104" t="s">
        <v>34</v>
      </c>
      <c r="Y37" s="97" t="s">
        <v>40</v>
      </c>
      <c r="Z37" s="97" t="s">
        <v>40</v>
      </c>
      <c r="AA37" s="97" t="s">
        <v>40</v>
      </c>
      <c r="AB37" s="97" t="s">
        <v>40</v>
      </c>
      <c r="AC37" s="94" t="s">
        <v>39</v>
      </c>
      <c r="AD37" s="97" t="s">
        <v>40</v>
      </c>
      <c r="AE37" s="101" t="s">
        <v>59</v>
      </c>
      <c r="AF37" s="104" t="s">
        <v>34</v>
      </c>
      <c r="AG37" s="98">
        <f t="shared" si="1"/>
        <v>1</v>
      </c>
      <c r="AH37" s="106"/>
      <c r="AI37" s="106"/>
      <c r="AJ37" s="106">
        <v>1</v>
      </c>
      <c r="AK37" s="107" t="s">
        <v>52</v>
      </c>
      <c r="AM37" s="24"/>
      <c r="AN37" s="24"/>
      <c r="AO37" s="24"/>
      <c r="AP37" s="42"/>
    </row>
    <row r="38" spans="1:42">
      <c r="A38" s="88">
        <v>45309</v>
      </c>
      <c r="B38" s="92">
        <v>1600</v>
      </c>
      <c r="C38" s="92"/>
      <c r="D38" s="89">
        <f>(SUM(粮草!A38:X38)+AG38*10)*IF(AK38="是",$AY$4,$AY$3)</f>
        <v>2080</v>
      </c>
      <c r="E38" s="89">
        <f>SUM($B$4:B38)+SUM($C$4:C38)-SUM($D$4:D38)</f>
        <v>488</v>
      </c>
      <c r="F38" s="89">
        <f>SUM(经验!A38:X38)</f>
        <v>760</v>
      </c>
      <c r="G38" s="89">
        <f>SUM($F$4:F38)+SUM($H$4:H38)</f>
        <v>26425</v>
      </c>
      <c r="H38" s="92">
        <v>0</v>
      </c>
      <c r="I38" s="97" t="s">
        <v>40</v>
      </c>
      <c r="J38" s="95" t="s">
        <v>37</v>
      </c>
      <c r="K38" s="94" t="s">
        <v>39</v>
      </c>
      <c r="L38" s="97" t="s">
        <v>40</v>
      </c>
      <c r="M38" s="101" t="s">
        <v>59</v>
      </c>
      <c r="N38" s="97" t="s">
        <v>40</v>
      </c>
      <c r="O38" s="104" t="s">
        <v>34</v>
      </c>
      <c r="P38" s="104" t="s">
        <v>34</v>
      </c>
      <c r="Q38" s="97" t="s">
        <v>40</v>
      </c>
      <c r="R38" s="108" t="s">
        <v>42</v>
      </c>
      <c r="S38" s="108" t="s">
        <v>42</v>
      </c>
      <c r="T38" s="108" t="s">
        <v>42</v>
      </c>
      <c r="U38" s="108" t="s">
        <v>42</v>
      </c>
      <c r="V38" s="108" t="s">
        <v>42</v>
      </c>
      <c r="W38" s="104" t="s">
        <v>34</v>
      </c>
      <c r="X38" s="104" t="s">
        <v>34</v>
      </c>
      <c r="Y38" s="95" t="s">
        <v>37</v>
      </c>
      <c r="Z38" s="97" t="s">
        <v>40</v>
      </c>
      <c r="AA38" s="97" t="s">
        <v>40</v>
      </c>
      <c r="AB38" s="97" t="s">
        <v>40</v>
      </c>
      <c r="AC38" s="97" t="s">
        <v>40</v>
      </c>
      <c r="AD38" s="95" t="s">
        <v>37</v>
      </c>
      <c r="AE38" s="104" t="s">
        <v>34</v>
      </c>
      <c r="AF38" s="104" t="s">
        <v>34</v>
      </c>
      <c r="AG38" s="98">
        <f t="shared" si="1"/>
        <v>1</v>
      </c>
      <c r="AH38" s="106">
        <v>1</v>
      </c>
      <c r="AI38" s="106"/>
      <c r="AJ38" s="106"/>
      <c r="AK38" s="107" t="s">
        <v>52</v>
      </c>
      <c r="AM38" s="24"/>
      <c r="AN38" s="24"/>
      <c r="AO38" s="24"/>
      <c r="AP38" s="42"/>
    </row>
    <row r="39" spans="1:42">
      <c r="A39" s="88">
        <v>45310</v>
      </c>
      <c r="B39" s="92">
        <v>1600</v>
      </c>
      <c r="C39" s="92"/>
      <c r="D39" s="89">
        <f>(SUM(粮草!A39:X39)+AG39*10)*IF(AK39="是",$AY$4,$AY$3)</f>
        <v>2024</v>
      </c>
      <c r="E39" s="89">
        <f>SUM($B$4:B39)+SUM($C$4:C39)-SUM($D$4:D39)</f>
        <v>64</v>
      </c>
      <c r="F39" s="89">
        <f>SUM(经验!A39:X39)</f>
        <v>720</v>
      </c>
      <c r="G39" s="89">
        <f>SUM($F$4:F39)+SUM($H$4:H39)</f>
        <v>27145</v>
      </c>
      <c r="H39" s="92">
        <v>0</v>
      </c>
      <c r="I39" s="97" t="s">
        <v>40</v>
      </c>
      <c r="J39" s="97" t="s">
        <v>40</v>
      </c>
      <c r="K39" s="94" t="s">
        <v>39</v>
      </c>
      <c r="L39" s="97" t="s">
        <v>40</v>
      </c>
      <c r="M39" s="97" t="s">
        <v>40</v>
      </c>
      <c r="N39" s="97" t="s">
        <v>40</v>
      </c>
      <c r="O39" s="104" t="s">
        <v>34</v>
      </c>
      <c r="P39" s="104" t="s">
        <v>34</v>
      </c>
      <c r="Q39" s="108" t="s">
        <v>42</v>
      </c>
      <c r="R39" s="108" t="s">
        <v>42</v>
      </c>
      <c r="S39" s="108" t="s">
        <v>42</v>
      </c>
      <c r="T39" s="108" t="s">
        <v>42</v>
      </c>
      <c r="U39" s="108" t="s">
        <v>42</v>
      </c>
      <c r="V39" s="105" t="s">
        <v>34</v>
      </c>
      <c r="W39" s="104" t="s">
        <v>34</v>
      </c>
      <c r="X39" s="104" t="s">
        <v>34</v>
      </c>
      <c r="Y39" s="94" t="s">
        <v>39</v>
      </c>
      <c r="Z39" s="95" t="s">
        <v>37</v>
      </c>
      <c r="AA39" s="95" t="s">
        <v>37</v>
      </c>
      <c r="AB39" s="95" t="s">
        <v>37</v>
      </c>
      <c r="AC39" s="91" t="s">
        <v>33</v>
      </c>
      <c r="AD39" s="94" t="s">
        <v>39</v>
      </c>
      <c r="AE39" s="104" t="s">
        <v>34</v>
      </c>
      <c r="AF39" s="104" t="s">
        <v>34</v>
      </c>
      <c r="AG39" s="98">
        <f t="shared" si="1"/>
        <v>0</v>
      </c>
      <c r="AH39" s="106"/>
      <c r="AI39" s="106"/>
      <c r="AJ39" s="106"/>
      <c r="AK39" s="107" t="s">
        <v>52</v>
      </c>
      <c r="AM39" s="24" t="s">
        <v>63</v>
      </c>
      <c r="AN39" s="24"/>
      <c r="AO39" s="24"/>
      <c r="AP39" s="42"/>
    </row>
    <row r="40" spans="1:42">
      <c r="A40" s="88">
        <v>45311</v>
      </c>
      <c r="B40" s="92">
        <v>1600</v>
      </c>
      <c r="C40" s="117"/>
      <c r="D40" s="89">
        <f>(SUM(粮草!A40:X40)+AG40*10)*IF(AK40="是",$AY$4,$AY$3)</f>
        <v>1384</v>
      </c>
      <c r="E40" s="89">
        <f>SUM($B$4:B40)+SUM($C$4:C40)-SUM($D$4:D40)</f>
        <v>280</v>
      </c>
      <c r="F40" s="89">
        <f>SUM(经验!A40:X40)</f>
        <v>1070</v>
      </c>
      <c r="G40" s="89">
        <f>SUM($F$4:F40)+SUM($H$4:H40)</f>
        <v>28215</v>
      </c>
      <c r="H40" s="92">
        <v>0</v>
      </c>
      <c r="I40" s="97" t="s">
        <v>40</v>
      </c>
      <c r="J40" s="95" t="s">
        <v>37</v>
      </c>
      <c r="K40" s="95" t="s">
        <v>37</v>
      </c>
      <c r="L40" s="94" t="s">
        <v>39</v>
      </c>
      <c r="M40" s="95" t="s">
        <v>37</v>
      </c>
      <c r="N40" s="115" t="s">
        <v>70</v>
      </c>
      <c r="O40" s="104" t="s">
        <v>34</v>
      </c>
      <c r="P40" s="104" t="s">
        <v>34</v>
      </c>
      <c r="Q40" s="108" t="s">
        <v>42</v>
      </c>
      <c r="R40" s="94" t="s">
        <v>39</v>
      </c>
      <c r="S40" s="110" t="s">
        <v>43</v>
      </c>
      <c r="T40" s="110" t="s">
        <v>43</v>
      </c>
      <c r="U40" s="110" t="s">
        <v>43</v>
      </c>
      <c r="V40" s="101" t="s">
        <v>59</v>
      </c>
      <c r="W40" s="110" t="s">
        <v>43</v>
      </c>
      <c r="X40" s="110" t="s">
        <v>43</v>
      </c>
      <c r="Y40" s="105" t="s">
        <v>34</v>
      </c>
      <c r="Z40" s="92" t="s">
        <v>34</v>
      </c>
      <c r="AA40" s="92" t="s">
        <v>34</v>
      </c>
      <c r="AB40" s="92" t="s">
        <v>34</v>
      </c>
      <c r="AC40" s="92" t="s">
        <v>34</v>
      </c>
      <c r="AD40" s="92" t="s">
        <v>34</v>
      </c>
      <c r="AE40" s="104" t="s">
        <v>34</v>
      </c>
      <c r="AF40" s="104" t="s">
        <v>34</v>
      </c>
      <c r="AG40" s="98">
        <f t="shared" si="1"/>
        <v>0</v>
      </c>
      <c r="AH40" s="106"/>
      <c r="AI40" s="106"/>
      <c r="AJ40" s="106"/>
      <c r="AK40" s="107" t="s">
        <v>52</v>
      </c>
      <c r="AM40" s="24" t="s">
        <v>64</v>
      </c>
      <c r="AN40" s="24"/>
      <c r="AO40" s="24"/>
      <c r="AP40" s="42"/>
    </row>
    <row r="41" spans="1:42">
      <c r="A41" s="88">
        <v>45312</v>
      </c>
      <c r="B41" s="92">
        <v>1600</v>
      </c>
      <c r="C41" s="118">
        <v>40</v>
      </c>
      <c r="D41" s="89">
        <f>(SUM(粮草!A41:X41)+AG41*10)*IF(AK41="是",$AY$4,$AY$3)</f>
        <v>1592</v>
      </c>
      <c r="E41" s="89">
        <f>SUM($B$4:B41)+SUM($C$4:C41)-SUM($D$4:D41)</f>
        <v>328</v>
      </c>
      <c r="F41" s="89">
        <f>SUM(经验!A41:X41)</f>
        <v>560</v>
      </c>
      <c r="G41" s="89">
        <f>SUM($F$4:F41)+SUM($H$4:H41)</f>
        <v>28775</v>
      </c>
      <c r="H41" s="92">
        <v>0</v>
      </c>
      <c r="I41" s="95" t="s">
        <v>37</v>
      </c>
      <c r="J41" s="95" t="s">
        <v>37</v>
      </c>
      <c r="K41" s="95" t="s">
        <v>37</v>
      </c>
      <c r="L41" s="91" t="s">
        <v>33</v>
      </c>
      <c r="M41" s="94" t="s">
        <v>39</v>
      </c>
      <c r="N41" s="97" t="s">
        <v>40</v>
      </c>
      <c r="O41" s="104" t="s">
        <v>34</v>
      </c>
      <c r="P41" s="104" t="s">
        <v>34</v>
      </c>
      <c r="Q41" s="110" t="s">
        <v>43</v>
      </c>
      <c r="R41" s="110" t="s">
        <v>43</v>
      </c>
      <c r="S41" s="110" t="s">
        <v>43</v>
      </c>
      <c r="T41" s="110" t="s">
        <v>43</v>
      </c>
      <c r="U41" s="110" t="s">
        <v>43</v>
      </c>
      <c r="V41" s="110" t="s">
        <v>43</v>
      </c>
      <c r="W41" s="104" t="s">
        <v>34</v>
      </c>
      <c r="X41" s="104" t="s">
        <v>34</v>
      </c>
      <c r="Y41" s="105" t="s">
        <v>34</v>
      </c>
      <c r="Z41" s="105" t="s">
        <v>34</v>
      </c>
      <c r="AA41" s="105" t="s">
        <v>34</v>
      </c>
      <c r="AB41" s="105" t="s">
        <v>34</v>
      </c>
      <c r="AC41" s="105" t="s">
        <v>34</v>
      </c>
      <c r="AD41" s="105" t="s">
        <v>34</v>
      </c>
      <c r="AE41" s="104" t="s">
        <v>34</v>
      </c>
      <c r="AF41" s="104" t="s">
        <v>34</v>
      </c>
      <c r="AG41" s="98">
        <f t="shared" si="1"/>
        <v>0</v>
      </c>
      <c r="AH41" s="106"/>
      <c r="AI41" s="106"/>
      <c r="AJ41" s="106"/>
      <c r="AK41" s="107" t="s">
        <v>52</v>
      </c>
      <c r="AM41" s="24" t="s">
        <v>65</v>
      </c>
      <c r="AN41" s="24"/>
      <c r="AO41" s="24"/>
      <c r="AP41" s="42"/>
    </row>
    <row r="42" spans="1:42">
      <c r="A42" s="88">
        <v>45313</v>
      </c>
      <c r="B42" s="89">
        <v>1600</v>
      </c>
      <c r="C42" s="90"/>
      <c r="D42" s="89">
        <f>(SUM(粮草!A42:X42)+AG42*10)*IF(AK42="是",$AY$4,$AY$3)</f>
        <v>1600</v>
      </c>
      <c r="E42" s="89">
        <f>SUM($B$4:B42)+SUM($C$4:C42)-SUM($D$4:D42)</f>
        <v>328</v>
      </c>
      <c r="F42" s="89">
        <f>SUM(经验!A42:X42)</f>
        <v>555</v>
      </c>
      <c r="G42" s="89">
        <f>SUM($F$4:F42)+SUM($H$4:H42)</f>
        <v>29630</v>
      </c>
      <c r="H42" s="89">
        <v>300</v>
      </c>
      <c r="I42" s="97" t="s">
        <v>40</v>
      </c>
      <c r="J42" s="97" t="s">
        <v>40</v>
      </c>
      <c r="K42" s="97" t="s">
        <v>40</v>
      </c>
      <c r="L42" s="97" t="s">
        <v>40</v>
      </c>
      <c r="M42" s="97" t="s">
        <v>40</v>
      </c>
      <c r="N42" s="97" t="s">
        <v>40</v>
      </c>
      <c r="O42" s="104" t="s">
        <v>34</v>
      </c>
      <c r="P42" s="104" t="s">
        <v>34</v>
      </c>
      <c r="Q42" s="110" t="s">
        <v>43</v>
      </c>
      <c r="R42" s="110" t="s">
        <v>43</v>
      </c>
      <c r="S42" s="110" t="s">
        <v>43</v>
      </c>
      <c r="T42" s="112" t="s">
        <v>44</v>
      </c>
      <c r="U42" s="112" t="s">
        <v>44</v>
      </c>
      <c r="V42" s="105" t="s">
        <v>34</v>
      </c>
      <c r="W42" s="104" t="s">
        <v>34</v>
      </c>
      <c r="X42" s="104" t="s">
        <v>34</v>
      </c>
      <c r="Y42" s="105" t="s">
        <v>34</v>
      </c>
      <c r="Z42" s="105" t="s">
        <v>34</v>
      </c>
      <c r="AA42" s="105" t="s">
        <v>34</v>
      </c>
      <c r="AB42" s="105" t="s">
        <v>34</v>
      </c>
      <c r="AC42" s="105" t="s">
        <v>34</v>
      </c>
      <c r="AD42" s="105" t="s">
        <v>34</v>
      </c>
      <c r="AE42" s="104" t="s">
        <v>34</v>
      </c>
      <c r="AF42" s="104" t="s">
        <v>34</v>
      </c>
      <c r="AG42" s="98">
        <f t="shared" si="1"/>
        <v>1</v>
      </c>
      <c r="AH42" s="106">
        <v>1</v>
      </c>
      <c r="AI42" s="106"/>
      <c r="AJ42" s="106"/>
      <c r="AK42" s="107" t="s">
        <v>52</v>
      </c>
      <c r="AM42" s="24" t="s">
        <v>66</v>
      </c>
      <c r="AN42" s="24"/>
      <c r="AO42" s="24"/>
      <c r="AP42" s="42"/>
    </row>
    <row r="43" spans="1:42">
      <c r="A43" s="88">
        <v>45314</v>
      </c>
      <c r="B43" s="89">
        <v>1600</v>
      </c>
      <c r="C43" s="90"/>
      <c r="D43" s="89">
        <f>(SUM(粮草!A43:X43)+AG43*10)*IF(AK43="是",$AY$4,$AY$3)</f>
        <v>1616</v>
      </c>
      <c r="E43" s="89">
        <f>SUM($B$4:B43)+SUM($C$4:C43)-SUM($D$4:D43)</f>
        <v>312</v>
      </c>
      <c r="F43" s="89">
        <f>SUM(经验!A43:X43)</f>
        <v>570</v>
      </c>
      <c r="G43" s="89">
        <f>SUM($F$4:F43)+SUM($H$4:H43)</f>
        <v>30200</v>
      </c>
      <c r="H43" s="89">
        <v>0</v>
      </c>
      <c r="I43" s="97" t="s">
        <v>40</v>
      </c>
      <c r="J43" s="97" t="s">
        <v>40</v>
      </c>
      <c r="K43" s="97" t="s">
        <v>40</v>
      </c>
      <c r="L43" s="97" t="s">
        <v>40</v>
      </c>
      <c r="M43" s="97" t="s">
        <v>40</v>
      </c>
      <c r="N43" s="97" t="s">
        <v>40</v>
      </c>
      <c r="O43" s="104" t="s">
        <v>34</v>
      </c>
      <c r="P43" s="104" t="s">
        <v>34</v>
      </c>
      <c r="Q43" s="112" t="s">
        <v>44</v>
      </c>
      <c r="R43" s="112" t="s">
        <v>44</v>
      </c>
      <c r="S43" s="112" t="s">
        <v>44</v>
      </c>
      <c r="T43" s="112" t="s">
        <v>44</v>
      </c>
      <c r="U43" s="112" t="s">
        <v>44</v>
      </c>
      <c r="V43" s="105" t="s">
        <v>34</v>
      </c>
      <c r="W43" s="104" t="s">
        <v>34</v>
      </c>
      <c r="X43" s="104" t="s">
        <v>34</v>
      </c>
      <c r="Y43" s="105" t="s">
        <v>34</v>
      </c>
      <c r="Z43" s="105" t="s">
        <v>34</v>
      </c>
      <c r="AA43" s="105" t="s">
        <v>34</v>
      </c>
      <c r="AB43" s="105" t="s">
        <v>34</v>
      </c>
      <c r="AC43" s="105" t="s">
        <v>34</v>
      </c>
      <c r="AD43" s="105" t="s">
        <v>34</v>
      </c>
      <c r="AE43" s="104" t="s">
        <v>34</v>
      </c>
      <c r="AF43" s="104" t="s">
        <v>34</v>
      </c>
      <c r="AG43" s="98">
        <f t="shared" si="1"/>
        <v>0</v>
      </c>
      <c r="AH43" s="106"/>
      <c r="AI43" s="106"/>
      <c r="AJ43" s="106"/>
      <c r="AK43" s="107" t="s">
        <v>52</v>
      </c>
      <c r="AM43" s="62" t="s">
        <v>67</v>
      </c>
      <c r="AN43" s="24"/>
      <c r="AO43" s="24"/>
      <c r="AP43" s="42"/>
    </row>
    <row r="44" spans="1:42">
      <c r="A44" s="88">
        <v>45315</v>
      </c>
      <c r="B44" s="89">
        <v>1600</v>
      </c>
      <c r="C44" s="90"/>
      <c r="D44" s="89">
        <f>(SUM(粮草!A44:X44)+AG44*10)*IF(AK44="是",$AY$4,$AY$3)</f>
        <v>1616</v>
      </c>
      <c r="E44" s="89">
        <f>SUM($B$4:B44)+SUM($C$4:C44)-SUM($D$4:D44)</f>
        <v>296</v>
      </c>
      <c r="F44" s="89">
        <f>SUM(经验!A44:X44)</f>
        <v>570</v>
      </c>
      <c r="G44" s="89">
        <f>SUM($F$4:F44)+SUM($H$4:H44)</f>
        <v>30970</v>
      </c>
      <c r="H44" s="89">
        <v>200</v>
      </c>
      <c r="I44" s="97" t="s">
        <v>40</v>
      </c>
      <c r="J44" s="97" t="s">
        <v>40</v>
      </c>
      <c r="K44" s="97" t="s">
        <v>40</v>
      </c>
      <c r="L44" s="97" t="s">
        <v>40</v>
      </c>
      <c r="M44" s="97" t="s">
        <v>40</v>
      </c>
      <c r="N44" s="97" t="s">
        <v>40</v>
      </c>
      <c r="O44" s="104" t="s">
        <v>34</v>
      </c>
      <c r="P44" s="104" t="s">
        <v>34</v>
      </c>
      <c r="Q44" s="112" t="s">
        <v>44</v>
      </c>
      <c r="R44" s="112" t="s">
        <v>44</v>
      </c>
      <c r="S44" s="112" t="s">
        <v>44</v>
      </c>
      <c r="T44" s="112" t="s">
        <v>44</v>
      </c>
      <c r="U44" s="112" t="s">
        <v>44</v>
      </c>
      <c r="V44" s="105" t="s">
        <v>34</v>
      </c>
      <c r="W44" s="104" t="s">
        <v>34</v>
      </c>
      <c r="X44" s="104" t="s">
        <v>34</v>
      </c>
      <c r="Y44" s="105" t="s">
        <v>34</v>
      </c>
      <c r="Z44" s="105" t="s">
        <v>34</v>
      </c>
      <c r="AA44" s="105" t="s">
        <v>34</v>
      </c>
      <c r="AB44" s="105" t="s">
        <v>34</v>
      </c>
      <c r="AC44" s="105" t="s">
        <v>34</v>
      </c>
      <c r="AD44" s="105" t="s">
        <v>34</v>
      </c>
      <c r="AE44" s="104" t="s">
        <v>34</v>
      </c>
      <c r="AF44" s="104" t="s">
        <v>34</v>
      </c>
      <c r="AG44" s="98">
        <f t="shared" si="1"/>
        <v>0</v>
      </c>
      <c r="AH44" s="106"/>
      <c r="AI44" s="106"/>
      <c r="AJ44" s="106"/>
      <c r="AK44" s="107" t="s">
        <v>52</v>
      </c>
      <c r="AM44" s="24"/>
      <c r="AN44" s="24"/>
      <c r="AO44" s="24"/>
      <c r="AP44" s="42"/>
    </row>
    <row r="45" spans="1:42">
      <c r="A45" s="88">
        <v>45316</v>
      </c>
      <c r="B45" s="89">
        <v>1600</v>
      </c>
      <c r="C45" s="119">
        <v>40</v>
      </c>
      <c r="D45" s="89">
        <f>(SUM(粮草!A45:X45)+AG45*10)*IF(AK45="是",$AY$4,$AY$3)</f>
        <v>1448</v>
      </c>
      <c r="E45" s="89">
        <f>SUM($B$4:B45)+SUM($C$4:C45)-SUM($D$4:D45)</f>
        <v>488</v>
      </c>
      <c r="F45" s="89">
        <f>SUM(经验!A45:X45)</f>
        <v>1465</v>
      </c>
      <c r="G45" s="89">
        <f>SUM($F$4:F45)+SUM($H$4:H45)</f>
        <v>32435</v>
      </c>
      <c r="H45" s="89">
        <v>0</v>
      </c>
      <c r="I45" s="97" t="s">
        <v>40</v>
      </c>
      <c r="J45" s="94" t="s">
        <v>39</v>
      </c>
      <c r="K45" s="97" t="s">
        <v>40</v>
      </c>
      <c r="L45" s="105" t="s">
        <v>34</v>
      </c>
      <c r="M45" s="105" t="s">
        <v>34</v>
      </c>
      <c r="N45" s="105" t="s">
        <v>34</v>
      </c>
      <c r="O45" s="104" t="s">
        <v>34</v>
      </c>
      <c r="P45" s="104" t="s">
        <v>34</v>
      </c>
      <c r="Q45" s="112" t="s">
        <v>44</v>
      </c>
      <c r="R45" s="112" t="s">
        <v>44</v>
      </c>
      <c r="S45" s="112" t="s">
        <v>44</v>
      </c>
      <c r="T45" s="112" t="s">
        <v>44</v>
      </c>
      <c r="U45" s="112" t="s">
        <v>44</v>
      </c>
      <c r="V45" s="114" t="s">
        <v>54</v>
      </c>
      <c r="W45" s="104" t="s">
        <v>34</v>
      </c>
      <c r="X45" s="104" t="s">
        <v>34</v>
      </c>
      <c r="Y45" s="97" t="s">
        <v>40</v>
      </c>
      <c r="Z45" s="105" t="s">
        <v>34</v>
      </c>
      <c r="AA45" s="105" t="s">
        <v>34</v>
      </c>
      <c r="AB45" s="105" t="s">
        <v>34</v>
      </c>
      <c r="AC45" s="105" t="s">
        <v>34</v>
      </c>
      <c r="AD45" s="105" t="s">
        <v>34</v>
      </c>
      <c r="AE45" s="104" t="s">
        <v>34</v>
      </c>
      <c r="AF45" s="104" t="s">
        <v>34</v>
      </c>
      <c r="AG45" s="98">
        <f t="shared" si="1"/>
        <v>0</v>
      </c>
      <c r="AH45" s="106"/>
      <c r="AI45" s="106"/>
      <c r="AJ45" s="106"/>
      <c r="AK45" s="107" t="s">
        <v>52</v>
      </c>
    </row>
    <row r="46" spans="1:42">
      <c r="A46" s="88">
        <v>45317</v>
      </c>
      <c r="B46" s="89">
        <v>1600</v>
      </c>
      <c r="C46" s="90"/>
      <c r="D46" s="89">
        <f>(SUM(粮草!A46:X46)+AG46*10)*IF(AK46="是",$AY$4,$AY$3)</f>
        <v>1824</v>
      </c>
      <c r="E46" s="89">
        <f>SUM($B$4:B46)+SUM($C$4:C46)-SUM($D$4:D46)</f>
        <v>264</v>
      </c>
      <c r="F46" s="89">
        <f>SUM(经验!A46:X46)</f>
        <v>660</v>
      </c>
      <c r="G46" s="89">
        <f>SUM($F$4:F46)+SUM($H$4:H46)</f>
        <v>33095</v>
      </c>
      <c r="H46" s="89">
        <v>0</v>
      </c>
      <c r="I46" s="108" t="s">
        <v>42</v>
      </c>
      <c r="J46" s="108" t="s">
        <v>42</v>
      </c>
      <c r="K46" s="108" t="s">
        <v>42</v>
      </c>
      <c r="L46" s="108" t="s">
        <v>42</v>
      </c>
      <c r="M46" s="108" t="s">
        <v>42</v>
      </c>
      <c r="N46" s="108" t="s">
        <v>42</v>
      </c>
      <c r="O46" s="104" t="s">
        <v>34</v>
      </c>
      <c r="P46" s="104" t="s">
        <v>34</v>
      </c>
      <c r="Q46" s="112" t="s">
        <v>44</v>
      </c>
      <c r="R46" s="112" t="s">
        <v>44</v>
      </c>
      <c r="S46" s="112" t="s">
        <v>44</v>
      </c>
      <c r="T46" s="112" t="s">
        <v>44</v>
      </c>
      <c r="U46" s="112" t="s">
        <v>44</v>
      </c>
      <c r="V46" s="112" t="s">
        <v>44</v>
      </c>
      <c r="W46" s="104" t="s">
        <v>34</v>
      </c>
      <c r="X46" s="104" t="s">
        <v>34</v>
      </c>
      <c r="Y46" s="105" t="s">
        <v>34</v>
      </c>
      <c r="Z46" s="105" t="s">
        <v>34</v>
      </c>
      <c r="AA46" s="105" t="s">
        <v>34</v>
      </c>
      <c r="AB46" s="105" t="s">
        <v>34</v>
      </c>
      <c r="AC46" s="105" t="s">
        <v>34</v>
      </c>
      <c r="AD46" s="105" t="s">
        <v>34</v>
      </c>
      <c r="AE46" s="104" t="s">
        <v>34</v>
      </c>
      <c r="AF46" s="104" t="s">
        <v>34</v>
      </c>
      <c r="AG46" s="98">
        <f t="shared" si="1"/>
        <v>0</v>
      </c>
      <c r="AH46" s="106"/>
      <c r="AI46" s="106"/>
      <c r="AJ46" s="106"/>
      <c r="AK46" s="107" t="s">
        <v>52</v>
      </c>
    </row>
    <row r="47" spans="1:42">
      <c r="A47" s="88">
        <v>45318</v>
      </c>
      <c r="B47" s="89">
        <v>1600</v>
      </c>
      <c r="C47" s="90"/>
      <c r="D47" s="89">
        <f>(SUM(粮草!A47:X47)+AG47*10)*IF(AK47="是",$AY$4,$AY$3)</f>
        <v>1680</v>
      </c>
      <c r="E47" s="89">
        <f>SUM($B$4:B47)+SUM($C$4:C47)-SUM($D$4:D47)</f>
        <v>184</v>
      </c>
      <c r="F47" s="89">
        <f>SUM(经验!A47:X47)</f>
        <v>615</v>
      </c>
      <c r="G47" s="89">
        <f>SUM($F$4:F47)+SUM($H$4:H47)</f>
        <v>33710</v>
      </c>
      <c r="H47" s="89">
        <v>0</v>
      </c>
      <c r="I47" s="94" t="s">
        <v>39</v>
      </c>
      <c r="J47" s="108" t="s">
        <v>42</v>
      </c>
      <c r="K47" s="108" t="s">
        <v>42</v>
      </c>
      <c r="L47" s="108" t="s">
        <v>42</v>
      </c>
      <c r="M47" s="108" t="s">
        <v>42</v>
      </c>
      <c r="N47" s="108" t="s">
        <v>42</v>
      </c>
      <c r="O47" s="104" t="s">
        <v>34</v>
      </c>
      <c r="P47" s="104" t="s">
        <v>34</v>
      </c>
      <c r="Q47" s="112" t="s">
        <v>44</v>
      </c>
      <c r="R47" s="110" t="s">
        <v>43</v>
      </c>
      <c r="S47" s="110" t="s">
        <v>43</v>
      </c>
      <c r="T47" s="110" t="s">
        <v>43</v>
      </c>
      <c r="U47" s="110" t="s">
        <v>43</v>
      </c>
      <c r="V47" s="110" t="s">
        <v>43</v>
      </c>
      <c r="W47" s="104" t="s">
        <v>34</v>
      </c>
      <c r="X47" s="104" t="s">
        <v>34</v>
      </c>
      <c r="Y47" s="105" t="s">
        <v>34</v>
      </c>
      <c r="Z47" s="105" t="s">
        <v>34</v>
      </c>
      <c r="AA47" s="105" t="s">
        <v>34</v>
      </c>
      <c r="AB47" s="105" t="s">
        <v>34</v>
      </c>
      <c r="AC47" s="105" t="s">
        <v>34</v>
      </c>
      <c r="AD47" s="105" t="s">
        <v>34</v>
      </c>
      <c r="AE47" s="104" t="s">
        <v>34</v>
      </c>
      <c r="AF47" s="104" t="s">
        <v>34</v>
      </c>
      <c r="AG47" s="98">
        <f t="shared" si="1"/>
        <v>0</v>
      </c>
      <c r="AH47" s="106"/>
      <c r="AI47" s="106"/>
      <c r="AJ47" s="106"/>
      <c r="AK47" s="107" t="s">
        <v>52</v>
      </c>
    </row>
    <row r="48" spans="1:42">
      <c r="A48" s="88">
        <v>45319</v>
      </c>
      <c r="B48" s="89">
        <v>1600</v>
      </c>
      <c r="C48" s="90"/>
      <c r="D48" s="89">
        <f>(SUM(粮草!A48:X48)+AG48*10)*IF(AK48="是",$AY$4,$AY$3)</f>
        <v>1664</v>
      </c>
      <c r="E48" s="89">
        <f>SUM($B$4:B48)+SUM($C$4:C48)-SUM($D$4:D48)</f>
        <v>120</v>
      </c>
      <c r="F48" s="89">
        <f>SUM(经验!A48:X48)</f>
        <v>1095</v>
      </c>
      <c r="G48" s="89">
        <f>SUM($F$4:F48)+SUM($H$4:H48)</f>
        <v>34805</v>
      </c>
      <c r="H48" s="89">
        <v>0</v>
      </c>
      <c r="I48" s="108" t="s">
        <v>42</v>
      </c>
      <c r="J48" s="108" t="s">
        <v>42</v>
      </c>
      <c r="K48" s="108" t="s">
        <v>42</v>
      </c>
      <c r="L48" s="108" t="s">
        <v>42</v>
      </c>
      <c r="M48" s="108" t="s">
        <v>42</v>
      </c>
      <c r="N48" s="108" t="s">
        <v>42</v>
      </c>
      <c r="O48" s="104" t="s">
        <v>34</v>
      </c>
      <c r="P48" s="104" t="s">
        <v>34</v>
      </c>
      <c r="Q48" s="110" t="s">
        <v>43</v>
      </c>
      <c r="R48" s="110" t="s">
        <v>43</v>
      </c>
      <c r="S48" s="110" t="s">
        <v>43</v>
      </c>
      <c r="T48" s="110" t="s">
        <v>43</v>
      </c>
      <c r="U48" s="115" t="s">
        <v>70</v>
      </c>
      <c r="V48" s="110" t="s">
        <v>43</v>
      </c>
      <c r="W48" s="104" t="s">
        <v>34</v>
      </c>
      <c r="X48" s="104" t="s">
        <v>34</v>
      </c>
      <c r="Y48" s="105" t="s">
        <v>34</v>
      </c>
      <c r="Z48" s="105" t="s">
        <v>34</v>
      </c>
      <c r="AA48" s="105" t="s">
        <v>34</v>
      </c>
      <c r="AB48" s="105" t="s">
        <v>34</v>
      </c>
      <c r="AC48" s="105" t="s">
        <v>34</v>
      </c>
      <c r="AD48" s="105" t="s">
        <v>34</v>
      </c>
      <c r="AE48" s="104" t="s">
        <v>34</v>
      </c>
      <c r="AF48" s="104" t="s">
        <v>34</v>
      </c>
      <c r="AG48" s="98">
        <f t="shared" si="1"/>
        <v>0</v>
      </c>
      <c r="AH48" s="106"/>
      <c r="AI48" s="106"/>
      <c r="AJ48" s="106"/>
      <c r="AK48" s="107" t="s">
        <v>52</v>
      </c>
    </row>
    <row r="49" spans="1:44">
      <c r="A49" s="88">
        <v>45320</v>
      </c>
      <c r="B49" s="92">
        <v>1600</v>
      </c>
      <c r="C49" s="92"/>
      <c r="D49" s="89">
        <f>(SUM(粮草!A49:X49)+AG49*10)*IF(AK49="是",$AY$4,$AY$3)</f>
        <v>1472</v>
      </c>
      <c r="E49" s="89">
        <f>SUM($B$4:B49)+SUM($C$4:C49)-SUM($D$4:D49)</f>
        <v>248</v>
      </c>
      <c r="F49" s="89">
        <f>SUM(经验!A49:X49)</f>
        <v>520</v>
      </c>
      <c r="G49" s="89">
        <f>SUM($F$4:F49)+SUM($H$4:H49)</f>
        <v>35525</v>
      </c>
      <c r="H49" s="92">
        <v>200</v>
      </c>
      <c r="I49" s="108" t="s">
        <v>42</v>
      </c>
      <c r="J49" s="108" t="s">
        <v>42</v>
      </c>
      <c r="K49" s="108" t="s">
        <v>42</v>
      </c>
      <c r="L49" s="108" t="s">
        <v>42</v>
      </c>
      <c r="M49" s="108" t="s">
        <v>42</v>
      </c>
      <c r="N49" s="108" t="s">
        <v>42</v>
      </c>
      <c r="O49" s="104" t="s">
        <v>34</v>
      </c>
      <c r="P49" s="104" t="s">
        <v>34</v>
      </c>
      <c r="Q49" s="110" t="s">
        <v>43</v>
      </c>
      <c r="R49" s="110" t="s">
        <v>43</v>
      </c>
      <c r="S49" s="110" t="s">
        <v>43</v>
      </c>
      <c r="T49" s="110" t="s">
        <v>43</v>
      </c>
      <c r="U49" s="105" t="s">
        <v>34</v>
      </c>
      <c r="V49" s="105" t="s">
        <v>34</v>
      </c>
      <c r="W49" s="104" t="s">
        <v>34</v>
      </c>
      <c r="X49" s="104" t="s">
        <v>34</v>
      </c>
      <c r="Y49" s="105" t="s">
        <v>34</v>
      </c>
      <c r="Z49" s="105" t="s">
        <v>34</v>
      </c>
      <c r="AA49" s="105" t="s">
        <v>34</v>
      </c>
      <c r="AB49" s="105" t="s">
        <v>34</v>
      </c>
      <c r="AC49" s="105" t="s">
        <v>34</v>
      </c>
      <c r="AD49" s="105" t="s">
        <v>34</v>
      </c>
      <c r="AE49" s="104" t="s">
        <v>34</v>
      </c>
      <c r="AF49" s="104" t="s">
        <v>34</v>
      </c>
      <c r="AG49" s="98">
        <f t="shared" si="1"/>
        <v>0</v>
      </c>
      <c r="AH49" s="106"/>
      <c r="AI49" s="106"/>
      <c r="AJ49" s="106"/>
      <c r="AK49" s="107" t="s">
        <v>52</v>
      </c>
    </row>
    <row r="50" spans="1:44">
      <c r="A50" s="88">
        <v>45321</v>
      </c>
      <c r="B50" s="92">
        <v>1600</v>
      </c>
      <c r="C50" s="92"/>
      <c r="D50" s="89">
        <f>(SUM(粮草!A50:X50)+AG50*10)*IF(AK50="是",$AY$4,$AY$3)</f>
        <v>1440</v>
      </c>
      <c r="E50" s="89">
        <f>SUM($B$4:B50)+SUM($C$4:C50)-SUM($D$4:D50)</f>
        <v>408</v>
      </c>
      <c r="F50" s="89">
        <f>SUM(经验!A50:X50)</f>
        <v>580</v>
      </c>
      <c r="G50" s="89">
        <f>SUM($F$4:F50)+SUM($H$4:H50)</f>
        <v>36205</v>
      </c>
      <c r="H50" s="92">
        <v>100</v>
      </c>
      <c r="I50" s="108" t="s">
        <v>42</v>
      </c>
      <c r="J50" s="108" t="s">
        <v>42</v>
      </c>
      <c r="K50" s="101" t="s">
        <v>59</v>
      </c>
      <c r="L50" s="108" t="s">
        <v>42</v>
      </c>
      <c r="M50" s="108" t="s">
        <v>42</v>
      </c>
      <c r="N50" s="108" t="s">
        <v>42</v>
      </c>
      <c r="O50" s="104" t="s">
        <v>34</v>
      </c>
      <c r="P50" s="104" t="s">
        <v>34</v>
      </c>
      <c r="Q50" s="110" t="s">
        <v>43</v>
      </c>
      <c r="R50" s="110" t="s">
        <v>43</v>
      </c>
      <c r="S50" s="110" t="s">
        <v>43</v>
      </c>
      <c r="T50" s="111" t="s">
        <v>49</v>
      </c>
      <c r="U50" s="110" t="s">
        <v>43</v>
      </c>
      <c r="V50" s="110" t="s">
        <v>43</v>
      </c>
      <c r="W50" s="104" t="s">
        <v>34</v>
      </c>
      <c r="X50" s="104" t="s">
        <v>34</v>
      </c>
      <c r="Y50" s="105" t="s">
        <v>34</v>
      </c>
      <c r="Z50" s="105" t="s">
        <v>34</v>
      </c>
      <c r="AA50" s="105" t="s">
        <v>34</v>
      </c>
      <c r="AB50" s="105" t="s">
        <v>34</v>
      </c>
      <c r="AC50" s="105" t="s">
        <v>34</v>
      </c>
      <c r="AD50" s="105" t="s">
        <v>34</v>
      </c>
      <c r="AE50" s="104" t="s">
        <v>34</v>
      </c>
      <c r="AF50" s="104" t="s">
        <v>34</v>
      </c>
      <c r="AG50" s="98">
        <f t="shared" si="1"/>
        <v>0</v>
      </c>
      <c r="AH50" s="106"/>
      <c r="AI50" s="106"/>
      <c r="AJ50" s="106"/>
      <c r="AK50" s="107" t="s">
        <v>52</v>
      </c>
    </row>
    <row r="51" spans="1:44">
      <c r="A51" s="88">
        <v>45322</v>
      </c>
      <c r="B51" s="92">
        <v>1600</v>
      </c>
      <c r="C51" s="92"/>
      <c r="D51" s="89">
        <f>(SUM(粮草!A51:X51)+AG51*10)*IF(AK51="是",$AY$4,$AY$3)</f>
        <v>1824</v>
      </c>
      <c r="E51" s="89">
        <f>SUM($B$4:B51)+SUM($C$4:C51)-SUM($D$4:D51)</f>
        <v>184</v>
      </c>
      <c r="F51" s="89">
        <f>SUM(经验!A51:X51)</f>
        <v>660</v>
      </c>
      <c r="G51" s="89">
        <f>SUM($F$4:F51)+SUM($H$4:H51)</f>
        <v>37065</v>
      </c>
      <c r="H51" s="92">
        <v>200</v>
      </c>
      <c r="I51" s="110" t="s">
        <v>43</v>
      </c>
      <c r="J51" s="110" t="s">
        <v>43</v>
      </c>
      <c r="K51" s="110" t="s">
        <v>43</v>
      </c>
      <c r="L51" s="110" t="s">
        <v>43</v>
      </c>
      <c r="M51" s="110" t="s">
        <v>43</v>
      </c>
      <c r="N51" s="110" t="s">
        <v>43</v>
      </c>
      <c r="O51" s="104" t="s">
        <v>34</v>
      </c>
      <c r="P51" s="104" t="s">
        <v>34</v>
      </c>
      <c r="Q51" s="110" t="s">
        <v>43</v>
      </c>
      <c r="R51" s="110" t="s">
        <v>43</v>
      </c>
      <c r="S51" s="110" t="s">
        <v>43</v>
      </c>
      <c r="T51" s="110" t="s">
        <v>43</v>
      </c>
      <c r="U51" s="110" t="s">
        <v>43</v>
      </c>
      <c r="V51" s="110" t="s">
        <v>43</v>
      </c>
      <c r="W51" s="104" t="s">
        <v>34</v>
      </c>
      <c r="X51" s="104" t="s">
        <v>34</v>
      </c>
      <c r="Y51" s="105" t="s">
        <v>34</v>
      </c>
      <c r="Z51" s="105" t="s">
        <v>34</v>
      </c>
      <c r="AA51" s="105" t="s">
        <v>34</v>
      </c>
      <c r="AB51" s="105" t="s">
        <v>34</v>
      </c>
      <c r="AC51" s="105" t="s">
        <v>34</v>
      </c>
      <c r="AD51" s="105" t="s">
        <v>34</v>
      </c>
      <c r="AE51" s="104" t="s">
        <v>34</v>
      </c>
      <c r="AF51" s="104" t="s">
        <v>34</v>
      </c>
      <c r="AG51" s="98">
        <f t="shared" si="1"/>
        <v>0</v>
      </c>
      <c r="AH51" s="106"/>
      <c r="AI51" s="106"/>
      <c r="AJ51" s="106"/>
      <c r="AK51" s="107" t="s">
        <v>52</v>
      </c>
      <c r="AQ51" t="s">
        <v>75</v>
      </c>
      <c r="AR51" t="s">
        <v>74</v>
      </c>
    </row>
    <row r="52" spans="1:44">
      <c r="A52" s="88">
        <v>45323</v>
      </c>
      <c r="B52" s="92">
        <v>1600</v>
      </c>
      <c r="C52" s="92"/>
      <c r="D52" s="89">
        <f>(SUM(粮草!A52:X52)+AG52*10)*IF(AK52="是",$AY$4,$AY$3)</f>
        <v>1672</v>
      </c>
      <c r="E52" s="89">
        <f>SUM($B$4:B52)+SUM($C$4:C52)-SUM($D$4:D52)</f>
        <v>112</v>
      </c>
      <c r="F52" s="89">
        <f>SUM(经验!A52:X52)</f>
        <v>605</v>
      </c>
      <c r="G52" s="89">
        <f>SUM($F$4:F52)+SUM($H$4:H52)</f>
        <v>37670</v>
      </c>
      <c r="H52" s="92">
        <v>0</v>
      </c>
      <c r="I52" s="110" t="s">
        <v>43</v>
      </c>
      <c r="J52" s="110" t="s">
        <v>43</v>
      </c>
      <c r="K52" s="110" t="s">
        <v>43</v>
      </c>
      <c r="L52" s="110" t="s">
        <v>43</v>
      </c>
      <c r="M52" s="110" t="s">
        <v>43</v>
      </c>
      <c r="N52" s="110" t="s">
        <v>43</v>
      </c>
      <c r="O52" s="104" t="s">
        <v>34</v>
      </c>
      <c r="P52" s="104" t="s">
        <v>34</v>
      </c>
      <c r="Q52" s="110" t="s">
        <v>43</v>
      </c>
      <c r="R52" s="110" t="s">
        <v>43</v>
      </c>
      <c r="S52" s="110" t="s">
        <v>43</v>
      </c>
      <c r="T52" s="110" t="s">
        <v>43</v>
      </c>
      <c r="U52" s="110" t="s">
        <v>43</v>
      </c>
      <c r="V52" s="105" t="s">
        <v>34</v>
      </c>
      <c r="W52" s="104" t="s">
        <v>34</v>
      </c>
      <c r="X52" s="104" t="s">
        <v>34</v>
      </c>
      <c r="Y52" s="105" t="s">
        <v>34</v>
      </c>
      <c r="Z52" s="105" t="s">
        <v>34</v>
      </c>
      <c r="AA52" s="105" t="s">
        <v>34</v>
      </c>
      <c r="AB52" s="105" t="s">
        <v>34</v>
      </c>
      <c r="AC52" s="105" t="s">
        <v>34</v>
      </c>
      <c r="AD52" s="105" t="s">
        <v>34</v>
      </c>
      <c r="AE52" s="104" t="s">
        <v>34</v>
      </c>
      <c r="AF52" s="104" t="s">
        <v>34</v>
      </c>
      <c r="AG52" s="98">
        <f t="shared" si="1"/>
        <v>0</v>
      </c>
      <c r="AH52" s="106"/>
      <c r="AI52" s="106"/>
      <c r="AJ52" s="106"/>
      <c r="AK52" s="107" t="s">
        <v>52</v>
      </c>
      <c r="AQ52">
        <v>26080</v>
      </c>
      <c r="AR52">
        <v>26065</v>
      </c>
    </row>
    <row r="53" spans="1:44">
      <c r="A53" s="88">
        <v>45324</v>
      </c>
      <c r="B53" s="92">
        <v>1600</v>
      </c>
      <c r="C53" s="92"/>
      <c r="D53" s="89">
        <f>(SUM(粮草!A53:X53)+AG53*10)*IF(AK53="是",$AY$4,$AY$3)</f>
        <v>1496</v>
      </c>
      <c r="E53" s="89">
        <f>SUM($B$4:B53)+SUM($C$4:C53)-SUM($D$4:D53)</f>
        <v>216</v>
      </c>
      <c r="F53" s="89">
        <f>SUM(经验!A53:X53)</f>
        <v>535</v>
      </c>
      <c r="G53" s="89">
        <f>SUM($F$4:F53)+SUM($H$4:H53)</f>
        <v>38205</v>
      </c>
      <c r="H53" s="92">
        <v>0</v>
      </c>
      <c r="I53" s="110" t="s">
        <v>43</v>
      </c>
      <c r="J53" s="110" t="s">
        <v>43</v>
      </c>
      <c r="K53" s="110" t="s">
        <v>43</v>
      </c>
      <c r="L53" s="110" t="s">
        <v>43</v>
      </c>
      <c r="M53" s="110" t="s">
        <v>43</v>
      </c>
      <c r="N53" s="110" t="s">
        <v>43</v>
      </c>
      <c r="O53" s="104" t="s">
        <v>34</v>
      </c>
      <c r="P53" s="104" t="s">
        <v>34</v>
      </c>
      <c r="Q53" s="110" t="s">
        <v>43</v>
      </c>
      <c r="R53" s="108" t="s">
        <v>42</v>
      </c>
      <c r="S53" s="108" t="s">
        <v>42</v>
      </c>
      <c r="T53" s="108" t="s">
        <v>42</v>
      </c>
      <c r="U53" s="105" t="s">
        <v>34</v>
      </c>
      <c r="V53" s="105" t="s">
        <v>34</v>
      </c>
      <c r="W53" s="104" t="s">
        <v>34</v>
      </c>
      <c r="X53" s="104" t="s">
        <v>34</v>
      </c>
      <c r="Y53" s="105" t="s">
        <v>34</v>
      </c>
      <c r="Z53" s="105" t="s">
        <v>34</v>
      </c>
      <c r="AA53" s="105" t="s">
        <v>34</v>
      </c>
      <c r="AB53" s="105" t="s">
        <v>34</v>
      </c>
      <c r="AC53" s="105" t="s">
        <v>34</v>
      </c>
      <c r="AD53" s="105" t="s">
        <v>34</v>
      </c>
      <c r="AE53" s="104" t="s">
        <v>34</v>
      </c>
      <c r="AF53" s="104" t="s">
        <v>34</v>
      </c>
      <c r="AG53" s="98">
        <f t="shared" si="1"/>
        <v>0</v>
      </c>
      <c r="AH53" s="106"/>
      <c r="AI53" s="106"/>
      <c r="AJ53" s="106"/>
      <c r="AK53" s="107" t="s">
        <v>52</v>
      </c>
      <c r="AQ53">
        <v>26595</v>
      </c>
      <c r="AR53">
        <v>26740</v>
      </c>
    </row>
    <row r="54" spans="1:44">
      <c r="A54" s="88">
        <v>45325</v>
      </c>
      <c r="B54" s="92">
        <v>1600</v>
      </c>
      <c r="C54" s="92"/>
      <c r="D54" s="89">
        <f>(SUM(粮草!A54:X54)+AG54*10)*IF(AK54="是",$AY$4,$AY$3)</f>
        <v>1624</v>
      </c>
      <c r="E54" s="89">
        <f>SUM($B$4:B54)+SUM($C$4:C54)-SUM($D$4:D54)</f>
        <v>192</v>
      </c>
      <c r="F54" s="89">
        <f>SUM(经验!A54:X54)</f>
        <v>575</v>
      </c>
      <c r="G54" s="89">
        <f>SUM($F$4:F54)+SUM($H$4:H54)</f>
        <v>38780</v>
      </c>
      <c r="H54" s="92">
        <v>0</v>
      </c>
      <c r="I54" s="110" t="s">
        <v>43</v>
      </c>
      <c r="J54" s="110" t="s">
        <v>43</v>
      </c>
      <c r="K54" s="110" t="s">
        <v>43</v>
      </c>
      <c r="L54" s="110" t="s">
        <v>43</v>
      </c>
      <c r="M54" s="110" t="s">
        <v>43</v>
      </c>
      <c r="N54" s="110" t="s">
        <v>43</v>
      </c>
      <c r="O54" s="104" t="s">
        <v>34</v>
      </c>
      <c r="P54" s="104" t="s">
        <v>34</v>
      </c>
      <c r="Q54" s="108" t="s">
        <v>42</v>
      </c>
      <c r="R54" s="108" t="s">
        <v>42</v>
      </c>
      <c r="S54" s="108" t="s">
        <v>42</v>
      </c>
      <c r="T54" s="108" t="s">
        <v>42</v>
      </c>
      <c r="U54" s="97" t="s">
        <v>40</v>
      </c>
      <c r="V54" s="105" t="s">
        <v>34</v>
      </c>
      <c r="W54" s="104" t="s">
        <v>34</v>
      </c>
      <c r="X54" s="104" t="s">
        <v>34</v>
      </c>
      <c r="Y54" s="105" t="s">
        <v>34</v>
      </c>
      <c r="Z54" s="105" t="s">
        <v>34</v>
      </c>
      <c r="AA54" s="105" t="s">
        <v>34</v>
      </c>
      <c r="AB54" s="105" t="s">
        <v>34</v>
      </c>
      <c r="AC54" s="105" t="s">
        <v>34</v>
      </c>
      <c r="AD54" s="105" t="s">
        <v>34</v>
      </c>
      <c r="AE54" s="104" t="s">
        <v>34</v>
      </c>
      <c r="AF54" s="104" t="s">
        <v>34</v>
      </c>
      <c r="AG54" s="98">
        <f t="shared" si="1"/>
        <v>0</v>
      </c>
      <c r="AH54" s="106"/>
      <c r="AI54" s="106"/>
      <c r="AJ54" s="106"/>
      <c r="AK54" s="107" t="s">
        <v>52</v>
      </c>
      <c r="AQ54">
        <v>27305</v>
      </c>
    </row>
    <row r="55" spans="1:44">
      <c r="A55" s="88">
        <v>45326</v>
      </c>
      <c r="B55" s="92">
        <v>1600</v>
      </c>
      <c r="C55" s="92"/>
      <c r="D55" s="89">
        <f>(SUM(粮草!A55:X55)+AG55*10)*IF(AK55="是",$AY$4,$AY$3)</f>
        <v>1640</v>
      </c>
      <c r="E55" s="89">
        <f>SUM($B$4:B55)+SUM($C$4:C55)-SUM($D$4:D55)</f>
        <v>152</v>
      </c>
      <c r="F55" s="89">
        <f>SUM(经验!A55:X55)</f>
        <v>595</v>
      </c>
      <c r="G55" s="89">
        <f>SUM($F$4:F55)+SUM($H$4:H55)</f>
        <v>39375</v>
      </c>
      <c r="H55" s="92">
        <v>0</v>
      </c>
      <c r="I55" s="112" t="s">
        <v>44</v>
      </c>
      <c r="J55" s="112" t="s">
        <v>44</v>
      </c>
      <c r="K55" s="112" t="s">
        <v>44</v>
      </c>
      <c r="L55" s="112" t="s">
        <v>44</v>
      </c>
      <c r="M55" s="112" t="s">
        <v>44</v>
      </c>
      <c r="N55" s="112" t="s">
        <v>44</v>
      </c>
      <c r="O55" s="104" t="s">
        <v>34</v>
      </c>
      <c r="P55" s="104" t="s">
        <v>34</v>
      </c>
      <c r="Q55" s="102" t="s">
        <v>47</v>
      </c>
      <c r="R55" s="97" t="s">
        <v>40</v>
      </c>
      <c r="S55" s="97" t="s">
        <v>40</v>
      </c>
      <c r="T55" s="108" t="s">
        <v>42</v>
      </c>
      <c r="U55" s="108" t="s">
        <v>42</v>
      </c>
      <c r="V55" s="105" t="s">
        <v>34</v>
      </c>
      <c r="W55" s="104" t="s">
        <v>34</v>
      </c>
      <c r="X55" s="104" t="s">
        <v>34</v>
      </c>
      <c r="Y55" s="105" t="s">
        <v>34</v>
      </c>
      <c r="Z55" s="105" t="s">
        <v>34</v>
      </c>
      <c r="AA55" s="105" t="s">
        <v>34</v>
      </c>
      <c r="AB55" s="105" t="s">
        <v>34</v>
      </c>
      <c r="AC55" s="105" t="s">
        <v>34</v>
      </c>
      <c r="AD55" s="105" t="s">
        <v>34</v>
      </c>
      <c r="AE55" s="104" t="s">
        <v>34</v>
      </c>
      <c r="AF55" s="104" t="s">
        <v>34</v>
      </c>
      <c r="AG55" s="98">
        <f t="shared" si="1"/>
        <v>0</v>
      </c>
      <c r="AH55" s="106"/>
      <c r="AI55" s="106"/>
      <c r="AJ55" s="106"/>
      <c r="AK55" s="107" t="s">
        <v>52</v>
      </c>
    </row>
    <row r="56" spans="1:44">
      <c r="A56" s="88">
        <v>45327</v>
      </c>
      <c r="B56" s="89">
        <v>1600</v>
      </c>
      <c r="C56" s="90"/>
      <c r="D56" s="89">
        <f>(SUM(粮草!A56:X56)+AG56*10)*IF(AK56="是",$AY$4,$AY$3)</f>
        <v>1536</v>
      </c>
      <c r="E56" s="89">
        <f>SUM($B$4:B56)+SUM($C$4:C56)-SUM($D$4:D56)</f>
        <v>216</v>
      </c>
      <c r="F56" s="89">
        <f>SUM(经验!A56:X56)</f>
        <v>560</v>
      </c>
      <c r="G56" s="89">
        <f>SUM($F$4:F56)+SUM($H$4:H56)</f>
        <v>40235</v>
      </c>
      <c r="H56" s="89">
        <v>300</v>
      </c>
      <c r="I56" s="112" t="s">
        <v>44</v>
      </c>
      <c r="J56" s="112" t="s">
        <v>44</v>
      </c>
      <c r="K56" s="112" t="s">
        <v>44</v>
      </c>
      <c r="L56" s="112" t="s">
        <v>44</v>
      </c>
      <c r="M56" s="112" t="s">
        <v>44</v>
      </c>
      <c r="N56" s="112" t="s">
        <v>44</v>
      </c>
      <c r="O56" s="104" t="s">
        <v>34</v>
      </c>
      <c r="P56" s="104" t="s">
        <v>34</v>
      </c>
      <c r="Q56" s="108" t="s">
        <v>42</v>
      </c>
      <c r="R56" s="108" t="s">
        <v>42</v>
      </c>
      <c r="S56" s="108" t="s">
        <v>42</v>
      </c>
      <c r="T56" s="108" t="s">
        <v>42</v>
      </c>
      <c r="U56" s="105" t="s">
        <v>34</v>
      </c>
      <c r="V56" s="105" t="s">
        <v>34</v>
      </c>
      <c r="W56" s="104" t="s">
        <v>34</v>
      </c>
      <c r="X56" s="104" t="s">
        <v>34</v>
      </c>
      <c r="Y56" s="105" t="s">
        <v>34</v>
      </c>
      <c r="Z56" s="105" t="s">
        <v>34</v>
      </c>
      <c r="AA56" s="105" t="s">
        <v>34</v>
      </c>
      <c r="AB56" s="105" t="s">
        <v>34</v>
      </c>
      <c r="AC56" s="105" t="s">
        <v>34</v>
      </c>
      <c r="AD56" s="105" t="s">
        <v>34</v>
      </c>
      <c r="AE56" s="104" t="s">
        <v>34</v>
      </c>
      <c r="AF56" s="104" t="s">
        <v>34</v>
      </c>
      <c r="AG56" s="98">
        <f t="shared" si="1"/>
        <v>0</v>
      </c>
      <c r="AH56" s="106"/>
      <c r="AI56" s="106"/>
      <c r="AJ56" s="106"/>
      <c r="AK56" s="107" t="s">
        <v>52</v>
      </c>
    </row>
    <row r="57" spans="1:44">
      <c r="A57" s="88">
        <v>45328</v>
      </c>
      <c r="B57" s="89">
        <v>1600</v>
      </c>
      <c r="C57" s="90"/>
      <c r="D57" s="89">
        <f>(SUM(粮草!A57:X57)+AG57*10)*IF(AK57="是",$AY$4,$AY$3)</f>
        <v>1504</v>
      </c>
      <c r="E57" s="89">
        <f>SUM($B$4:B57)+SUM($C$4:C57)-SUM($D$4:D57)</f>
        <v>312</v>
      </c>
      <c r="F57" s="89">
        <f>SUM(经验!A57:X57)</f>
        <v>600</v>
      </c>
      <c r="G57" s="89">
        <f>SUM($F$4:F57)+SUM($H$4:H57)</f>
        <v>40835</v>
      </c>
      <c r="H57" s="89">
        <v>0</v>
      </c>
      <c r="I57" s="112" t="s">
        <v>44</v>
      </c>
      <c r="J57" s="112" t="s">
        <v>44</v>
      </c>
      <c r="K57" s="112" t="s">
        <v>44</v>
      </c>
      <c r="L57" s="112" t="s">
        <v>44</v>
      </c>
      <c r="M57" s="112" t="s">
        <v>44</v>
      </c>
      <c r="N57" s="101" t="s">
        <v>59</v>
      </c>
      <c r="O57" s="104" t="s">
        <v>34</v>
      </c>
      <c r="P57" s="104" t="s">
        <v>34</v>
      </c>
      <c r="Q57" s="108" t="s">
        <v>42</v>
      </c>
      <c r="R57" s="108" t="s">
        <v>42</v>
      </c>
      <c r="S57" s="108" t="s">
        <v>42</v>
      </c>
      <c r="T57" s="108" t="s">
        <v>42</v>
      </c>
      <c r="U57" s="108" t="s">
        <v>42</v>
      </c>
      <c r="V57" s="108" t="s">
        <v>42</v>
      </c>
      <c r="W57" s="104" t="s">
        <v>34</v>
      </c>
      <c r="X57" s="104" t="s">
        <v>34</v>
      </c>
      <c r="Y57" s="105" t="s">
        <v>34</v>
      </c>
      <c r="Z57" s="105" t="s">
        <v>34</v>
      </c>
      <c r="AA57" s="105" t="s">
        <v>34</v>
      </c>
      <c r="AB57" s="105" t="s">
        <v>34</v>
      </c>
      <c r="AC57" s="105" t="s">
        <v>34</v>
      </c>
      <c r="AD57" s="105" t="s">
        <v>34</v>
      </c>
      <c r="AE57" s="104" t="s">
        <v>34</v>
      </c>
      <c r="AF57" s="104" t="s">
        <v>34</v>
      </c>
      <c r="AG57" s="98">
        <f t="shared" si="1"/>
        <v>0</v>
      </c>
      <c r="AH57" s="106"/>
      <c r="AI57" s="106"/>
      <c r="AJ57" s="106"/>
      <c r="AK57" s="107" t="s">
        <v>52</v>
      </c>
    </row>
    <row r="58" spans="1:44">
      <c r="A58" s="88">
        <v>45329</v>
      </c>
      <c r="B58" s="89">
        <v>1600</v>
      </c>
      <c r="C58" s="90"/>
      <c r="D58" s="89">
        <f>(SUM(粮草!A58:X58)+AG58*10)*IF(AK58="是",$AY$4,$AY$3)</f>
        <v>1680</v>
      </c>
      <c r="E58" s="89">
        <f>SUM($B$4:B58)+SUM($C$4:C58)-SUM($D$4:D58)</f>
        <v>232</v>
      </c>
      <c r="F58" s="89">
        <f>SUM(经验!A58:X58)</f>
        <v>610</v>
      </c>
      <c r="G58" s="89">
        <f>SUM($F$4:F58)+SUM($H$4:H58)</f>
        <v>41645</v>
      </c>
      <c r="H58" s="89">
        <v>200</v>
      </c>
      <c r="I58" s="112" t="s">
        <v>44</v>
      </c>
      <c r="J58" s="112" t="s">
        <v>44</v>
      </c>
      <c r="K58" s="112" t="s">
        <v>44</v>
      </c>
      <c r="L58" s="112" t="s">
        <v>44</v>
      </c>
      <c r="M58" s="112" t="s">
        <v>44</v>
      </c>
      <c r="N58" s="112" t="s">
        <v>44</v>
      </c>
      <c r="O58" s="104" t="s">
        <v>34</v>
      </c>
      <c r="P58" s="104" t="s">
        <v>34</v>
      </c>
      <c r="Q58" s="108" t="s">
        <v>42</v>
      </c>
      <c r="R58" s="108" t="s">
        <v>42</v>
      </c>
      <c r="S58" s="108" t="s">
        <v>42</v>
      </c>
      <c r="T58" s="108" t="s">
        <v>42</v>
      </c>
      <c r="U58" s="108" t="s">
        <v>42</v>
      </c>
      <c r="V58" s="105" t="s">
        <v>34</v>
      </c>
      <c r="W58" s="104" t="s">
        <v>34</v>
      </c>
      <c r="X58" s="104" t="s">
        <v>34</v>
      </c>
      <c r="Y58" s="105" t="s">
        <v>34</v>
      </c>
      <c r="Z58" s="105" t="s">
        <v>34</v>
      </c>
      <c r="AA58" s="105" t="s">
        <v>34</v>
      </c>
      <c r="AB58" s="105" t="s">
        <v>34</v>
      </c>
      <c r="AC58" s="105" t="s">
        <v>34</v>
      </c>
      <c r="AD58" s="105" t="s">
        <v>34</v>
      </c>
      <c r="AE58" s="104" t="s">
        <v>34</v>
      </c>
      <c r="AF58" s="104" t="s">
        <v>34</v>
      </c>
      <c r="AG58" s="98">
        <f t="shared" si="1"/>
        <v>0</v>
      </c>
      <c r="AH58" s="106"/>
      <c r="AI58" s="106"/>
      <c r="AJ58" s="106"/>
      <c r="AK58" s="107" t="s">
        <v>52</v>
      </c>
    </row>
    <row r="59" spans="1:44">
      <c r="A59" s="88">
        <v>45330</v>
      </c>
      <c r="B59" s="89">
        <v>1600</v>
      </c>
      <c r="C59" s="90"/>
      <c r="D59" s="89">
        <f>(SUM(粮草!A59:X59)+AG59*10)*IF(AK59="是",$AY$4,$AY$3)</f>
        <v>1680</v>
      </c>
      <c r="E59" s="89">
        <f>SUM($B$4:B59)+SUM($C$4:C59)-SUM($D$4:D59)</f>
        <v>152</v>
      </c>
      <c r="F59" s="89">
        <f>SUM(经验!A59:X59)</f>
        <v>610</v>
      </c>
      <c r="G59" s="89">
        <f>SUM($F$4:F59)+SUM($H$4:H59)</f>
        <v>42255</v>
      </c>
      <c r="H59" s="89">
        <v>0</v>
      </c>
      <c r="I59" s="112" t="s">
        <v>44</v>
      </c>
      <c r="J59" s="112" t="s">
        <v>44</v>
      </c>
      <c r="K59" s="112" t="s">
        <v>44</v>
      </c>
      <c r="L59" s="112" t="s">
        <v>44</v>
      </c>
      <c r="M59" s="112" t="s">
        <v>44</v>
      </c>
      <c r="N59" s="112" t="s">
        <v>44</v>
      </c>
      <c r="O59" s="104" t="s">
        <v>34</v>
      </c>
      <c r="P59" s="104" t="s">
        <v>34</v>
      </c>
      <c r="Q59" s="108" t="s">
        <v>42</v>
      </c>
      <c r="R59" s="108" t="s">
        <v>42</v>
      </c>
      <c r="S59" s="108" t="s">
        <v>42</v>
      </c>
      <c r="T59" s="108" t="s">
        <v>42</v>
      </c>
      <c r="U59" s="108" t="s">
        <v>42</v>
      </c>
      <c r="V59" s="105" t="s">
        <v>34</v>
      </c>
      <c r="W59" s="104" t="s">
        <v>34</v>
      </c>
      <c r="X59" s="104" t="s">
        <v>34</v>
      </c>
      <c r="Y59" s="105" t="s">
        <v>34</v>
      </c>
      <c r="Z59" s="105" t="s">
        <v>34</v>
      </c>
      <c r="AA59" s="105" t="s">
        <v>34</v>
      </c>
      <c r="AB59" s="105" t="s">
        <v>34</v>
      </c>
      <c r="AC59" s="105" t="s">
        <v>34</v>
      </c>
      <c r="AD59" s="105" t="s">
        <v>34</v>
      </c>
      <c r="AE59" s="104" t="s">
        <v>34</v>
      </c>
      <c r="AF59" s="104" t="s">
        <v>34</v>
      </c>
      <c r="AG59" s="98">
        <f t="shared" si="1"/>
        <v>0</v>
      </c>
      <c r="AH59" s="106"/>
      <c r="AI59" s="106"/>
      <c r="AJ59" s="106"/>
      <c r="AK59" s="107" t="s">
        <v>52</v>
      </c>
    </row>
    <row r="60" spans="1:44">
      <c r="A60" s="88">
        <v>45331</v>
      </c>
      <c r="B60" s="89">
        <v>1600</v>
      </c>
      <c r="C60" s="90"/>
      <c r="D60" s="89">
        <f>(SUM(粮草!A60:X60)+AG60*10)*IF(AK60="是",$AY$4,$AY$3)</f>
        <v>1512</v>
      </c>
      <c r="E60" s="89">
        <f>SUM($B$4:B60)+SUM($C$4:C60)-SUM($D$4:D60)</f>
        <v>240</v>
      </c>
      <c r="F60" s="89">
        <f>SUM(经验!A60:X60)</f>
        <v>545</v>
      </c>
      <c r="G60" s="89">
        <f>SUM($F$4:F60)+SUM($H$4:H60)</f>
        <v>42800</v>
      </c>
      <c r="H60" s="89">
        <v>0</v>
      </c>
      <c r="I60" s="112" t="s">
        <v>44</v>
      </c>
      <c r="J60" s="112" t="s">
        <v>44</v>
      </c>
      <c r="K60" s="112" t="s">
        <v>44</v>
      </c>
      <c r="L60" s="112" t="s">
        <v>44</v>
      </c>
      <c r="M60" s="110" t="s">
        <v>43</v>
      </c>
      <c r="N60" s="110" t="s">
        <v>43</v>
      </c>
      <c r="O60" s="104" t="s">
        <v>34</v>
      </c>
      <c r="P60" s="104" t="s">
        <v>34</v>
      </c>
      <c r="Q60" s="108" t="s">
        <v>42</v>
      </c>
      <c r="R60" s="108" t="s">
        <v>42</v>
      </c>
      <c r="S60" s="108" t="s">
        <v>42</v>
      </c>
      <c r="T60" s="97" t="s">
        <v>40</v>
      </c>
      <c r="U60" s="105" t="s">
        <v>34</v>
      </c>
      <c r="V60" s="105" t="s">
        <v>34</v>
      </c>
      <c r="W60" s="104" t="s">
        <v>34</v>
      </c>
      <c r="X60" s="104" t="s">
        <v>34</v>
      </c>
      <c r="Y60" s="105" t="s">
        <v>34</v>
      </c>
      <c r="Z60" s="105" t="s">
        <v>34</v>
      </c>
      <c r="AA60" s="105" t="s">
        <v>34</v>
      </c>
      <c r="AB60" s="105" t="s">
        <v>34</v>
      </c>
      <c r="AC60" s="105" t="s">
        <v>34</v>
      </c>
      <c r="AD60" s="105" t="s">
        <v>34</v>
      </c>
      <c r="AE60" s="104" t="s">
        <v>34</v>
      </c>
      <c r="AF60" s="104" t="s">
        <v>34</v>
      </c>
      <c r="AG60" s="98">
        <f t="shared" si="1"/>
        <v>0</v>
      </c>
      <c r="AH60" s="106"/>
      <c r="AI60" s="106"/>
      <c r="AJ60" s="106"/>
      <c r="AK60" s="107" t="s">
        <v>52</v>
      </c>
    </row>
    <row r="61" spans="1:44">
      <c r="A61" s="88">
        <v>45332</v>
      </c>
      <c r="B61" s="89">
        <v>1600</v>
      </c>
      <c r="C61" s="90"/>
      <c r="D61" s="89">
        <f>(SUM(粮草!A61:X61)+AG61*10)*IF(AK61="是",$AY$4,$AY$3)</f>
        <v>1656</v>
      </c>
      <c r="E61" s="89">
        <f>SUM($B$4:B61)+SUM($C$4:C61)-SUM($D$4:D61)</f>
        <v>184</v>
      </c>
      <c r="F61" s="89">
        <f>SUM(经验!A61:X61)</f>
        <v>1000</v>
      </c>
      <c r="G61" s="89">
        <f>SUM($F$4:F61)+SUM($H$4:H61)</f>
        <v>43800</v>
      </c>
      <c r="H61" s="89">
        <v>0</v>
      </c>
      <c r="I61" s="110" t="s">
        <v>43</v>
      </c>
      <c r="J61" s="110" t="s">
        <v>43</v>
      </c>
      <c r="K61" s="116" t="s">
        <v>55</v>
      </c>
      <c r="L61" s="110" t="s">
        <v>43</v>
      </c>
      <c r="M61" s="110" t="s">
        <v>43</v>
      </c>
      <c r="N61" s="110" t="s">
        <v>43</v>
      </c>
      <c r="O61" s="104" t="s">
        <v>34</v>
      </c>
      <c r="P61" s="104" t="s">
        <v>34</v>
      </c>
      <c r="Q61" s="97" t="s">
        <v>40</v>
      </c>
      <c r="R61" s="97" t="s">
        <v>40</v>
      </c>
      <c r="S61" s="97" t="s">
        <v>40</v>
      </c>
      <c r="T61" s="97" t="s">
        <v>40</v>
      </c>
      <c r="U61" s="97" t="s">
        <v>40</v>
      </c>
      <c r="V61" s="105" t="s">
        <v>34</v>
      </c>
      <c r="W61" s="104" t="s">
        <v>34</v>
      </c>
      <c r="X61" s="104" t="s">
        <v>34</v>
      </c>
      <c r="Y61" s="105" t="s">
        <v>34</v>
      </c>
      <c r="Z61" s="105" t="s">
        <v>34</v>
      </c>
      <c r="AA61" s="105" t="s">
        <v>34</v>
      </c>
      <c r="AB61" s="105" t="s">
        <v>34</v>
      </c>
      <c r="AC61" s="105" t="s">
        <v>34</v>
      </c>
      <c r="AD61" s="105" t="s">
        <v>34</v>
      </c>
      <c r="AE61" s="104" t="s">
        <v>34</v>
      </c>
      <c r="AF61" s="104" t="s">
        <v>34</v>
      </c>
      <c r="AG61" s="98">
        <f t="shared" si="1"/>
        <v>2</v>
      </c>
      <c r="AH61" s="106"/>
      <c r="AI61" s="106">
        <v>2</v>
      </c>
      <c r="AJ61" s="106"/>
      <c r="AK61" s="107" t="s">
        <v>52</v>
      </c>
    </row>
    <row r="62" spans="1:44">
      <c r="A62" s="88">
        <v>45333</v>
      </c>
      <c r="B62" s="89">
        <v>1600</v>
      </c>
      <c r="C62" s="90"/>
      <c r="D62" s="89">
        <f>(SUM(粮草!A62:X62)+AG62*10)*IF(AK62="是",$AY$4,$AY$3)</f>
        <v>1344</v>
      </c>
      <c r="E62" s="89">
        <f>SUM($B$4:B62)+SUM($C$4:C62)-SUM($D$4:D62)</f>
        <v>440</v>
      </c>
      <c r="F62" s="89">
        <f>SUM(经验!A62:X62)</f>
        <v>485</v>
      </c>
      <c r="G62" s="89">
        <f>SUM($F$4:F62)+SUM($H$4:H62)</f>
        <v>44285</v>
      </c>
      <c r="H62" s="89">
        <v>0</v>
      </c>
      <c r="I62" s="110" t="s">
        <v>43</v>
      </c>
      <c r="J62" s="94" t="s">
        <v>39</v>
      </c>
      <c r="K62" s="110" t="s">
        <v>43</v>
      </c>
      <c r="L62" s="110" t="s">
        <v>43</v>
      </c>
      <c r="M62" s="110" t="s">
        <v>43</v>
      </c>
      <c r="N62" s="110" t="s">
        <v>43</v>
      </c>
      <c r="O62" s="104" t="s">
        <v>34</v>
      </c>
      <c r="P62" s="104" t="s">
        <v>34</v>
      </c>
      <c r="Q62" s="97" t="s">
        <v>40</v>
      </c>
      <c r="R62" s="97" t="s">
        <v>40</v>
      </c>
      <c r="S62" s="97" t="s">
        <v>40</v>
      </c>
      <c r="T62" s="97" t="s">
        <v>40</v>
      </c>
      <c r="U62" s="105" t="s">
        <v>34</v>
      </c>
      <c r="V62" s="105" t="s">
        <v>34</v>
      </c>
      <c r="W62" s="104" t="s">
        <v>34</v>
      </c>
      <c r="X62" s="104" t="s">
        <v>34</v>
      </c>
      <c r="Y62" s="105" t="s">
        <v>34</v>
      </c>
      <c r="Z62" s="105" t="s">
        <v>34</v>
      </c>
      <c r="AA62" s="105" t="s">
        <v>34</v>
      </c>
      <c r="AB62" s="105" t="s">
        <v>34</v>
      </c>
      <c r="AC62" s="105" t="s">
        <v>34</v>
      </c>
      <c r="AD62" s="105" t="s">
        <v>34</v>
      </c>
      <c r="AE62" s="104" t="s">
        <v>34</v>
      </c>
      <c r="AF62" s="104" t="s">
        <v>34</v>
      </c>
      <c r="AG62" s="98">
        <f t="shared" si="1"/>
        <v>0</v>
      </c>
      <c r="AH62" s="106"/>
      <c r="AI62" s="106"/>
      <c r="AJ62" s="106"/>
      <c r="AK62" s="107" t="s">
        <v>52</v>
      </c>
    </row>
    <row r="63" spans="1:44">
      <c r="A63" s="88">
        <v>45334</v>
      </c>
      <c r="B63" s="92">
        <v>1600</v>
      </c>
      <c r="C63" s="92"/>
      <c r="D63" s="89">
        <f>(SUM(粮草!A63:X63)+AG63*10)*IF(AK63="是",$AY$4,$AY$3)</f>
        <v>888</v>
      </c>
      <c r="E63" s="89">
        <f>SUM($B$4:B63)+SUM($C$4:C63)-SUM($D$4:D63)</f>
        <v>1152</v>
      </c>
      <c r="F63" s="89">
        <f>SUM(经验!A63:X63)</f>
        <v>315</v>
      </c>
      <c r="G63" s="89">
        <f>SUM($F$4:F63)+SUM($H$4:H63)</f>
        <v>44900</v>
      </c>
      <c r="H63" s="92">
        <v>300</v>
      </c>
      <c r="I63" s="110" t="s">
        <v>43</v>
      </c>
      <c r="J63" s="110" t="s">
        <v>43</v>
      </c>
      <c r="K63" s="108" t="s">
        <v>42</v>
      </c>
      <c r="L63" s="108" t="s">
        <v>42</v>
      </c>
      <c r="M63" s="108" t="s">
        <v>42</v>
      </c>
      <c r="N63" s="110" t="s">
        <v>43</v>
      </c>
      <c r="O63" s="104" t="s">
        <v>34</v>
      </c>
      <c r="P63" s="104" t="s">
        <v>34</v>
      </c>
      <c r="Q63" s="105" t="s">
        <v>34</v>
      </c>
      <c r="R63" s="105" t="s">
        <v>34</v>
      </c>
      <c r="S63" s="105" t="s">
        <v>34</v>
      </c>
      <c r="T63" s="105" t="s">
        <v>34</v>
      </c>
      <c r="U63" s="105" t="s">
        <v>34</v>
      </c>
      <c r="V63" s="105" t="s">
        <v>34</v>
      </c>
      <c r="W63" s="104" t="s">
        <v>34</v>
      </c>
      <c r="X63" s="104" t="s">
        <v>34</v>
      </c>
      <c r="Y63" s="105" t="s">
        <v>34</v>
      </c>
      <c r="Z63" s="105" t="s">
        <v>34</v>
      </c>
      <c r="AA63" s="105" t="s">
        <v>34</v>
      </c>
      <c r="AB63" s="105" t="s">
        <v>34</v>
      </c>
      <c r="AC63" s="105" t="s">
        <v>34</v>
      </c>
      <c r="AD63" s="105" t="s">
        <v>34</v>
      </c>
      <c r="AE63" s="104" t="s">
        <v>34</v>
      </c>
      <c r="AF63" s="104" t="s">
        <v>34</v>
      </c>
      <c r="AG63" s="98">
        <f t="shared" si="1"/>
        <v>0</v>
      </c>
      <c r="AH63" s="106"/>
      <c r="AI63" s="106"/>
      <c r="AJ63" s="106"/>
      <c r="AK63" s="107" t="s">
        <v>52</v>
      </c>
    </row>
    <row r="64" spans="1:44">
      <c r="A64" s="88">
        <v>45335</v>
      </c>
      <c r="B64" s="92">
        <v>1600</v>
      </c>
      <c r="C64" s="92"/>
      <c r="D64" s="89">
        <f>(SUM(粮草!A64:X64)+AG64*10)*IF(AK64="是",$AY$4,$AY$3)</f>
        <v>896</v>
      </c>
      <c r="E64" s="89">
        <f>SUM($B$4:B64)+SUM($C$4:C64)-SUM($D$4:D64)</f>
        <v>1856</v>
      </c>
      <c r="F64" s="89">
        <f>SUM(经验!A64:X64)</f>
        <v>320</v>
      </c>
      <c r="G64" s="89">
        <f>SUM($F$4:F64)+SUM($H$4:H64)</f>
        <v>45220</v>
      </c>
      <c r="H64" s="92">
        <v>0</v>
      </c>
      <c r="I64" s="110" t="s">
        <v>43</v>
      </c>
      <c r="J64" s="110" t="s">
        <v>43</v>
      </c>
      <c r="K64" s="110" t="s">
        <v>43</v>
      </c>
      <c r="L64" s="110" t="s">
        <v>43</v>
      </c>
      <c r="M64" s="108" t="s">
        <v>42</v>
      </c>
      <c r="N64" s="108" t="s">
        <v>42</v>
      </c>
      <c r="O64" s="104" t="s">
        <v>34</v>
      </c>
      <c r="P64" s="104" t="s">
        <v>34</v>
      </c>
      <c r="Q64" s="105" t="s">
        <v>34</v>
      </c>
      <c r="R64" s="105" t="s">
        <v>34</v>
      </c>
      <c r="S64" s="105" t="s">
        <v>34</v>
      </c>
      <c r="T64" s="105" t="s">
        <v>34</v>
      </c>
      <c r="U64" s="105" t="s">
        <v>34</v>
      </c>
      <c r="V64" s="105" t="s">
        <v>34</v>
      </c>
      <c r="W64" s="104" t="s">
        <v>34</v>
      </c>
      <c r="X64" s="104" t="s">
        <v>34</v>
      </c>
      <c r="Y64" s="105" t="s">
        <v>34</v>
      </c>
      <c r="Z64" s="105" t="s">
        <v>34</v>
      </c>
      <c r="AA64" s="105" t="s">
        <v>34</v>
      </c>
      <c r="AB64" s="105" t="s">
        <v>34</v>
      </c>
      <c r="AC64" s="105" t="s">
        <v>34</v>
      </c>
      <c r="AD64" s="105" t="s">
        <v>34</v>
      </c>
      <c r="AE64" s="104" t="s">
        <v>34</v>
      </c>
      <c r="AF64" s="104" t="s">
        <v>34</v>
      </c>
      <c r="AG64" s="98">
        <f t="shared" si="1"/>
        <v>0</v>
      </c>
      <c r="AH64" s="106"/>
      <c r="AI64" s="106"/>
      <c r="AJ64" s="106"/>
      <c r="AK64" s="107" t="s">
        <v>52</v>
      </c>
    </row>
    <row r="65" spans="1:37">
      <c r="A65" s="88">
        <v>45336</v>
      </c>
      <c r="B65" s="92">
        <v>1600</v>
      </c>
      <c r="C65" s="92"/>
      <c r="D65" s="89">
        <f>(SUM(粮草!A65:X65)+AG65*10)*IF(AK65="是",$AY$4,$AY$3)</f>
        <v>840</v>
      </c>
      <c r="E65" s="89">
        <f>SUM($B$4:B65)+SUM($C$4:C65)-SUM($D$4:D65)</f>
        <v>2616</v>
      </c>
      <c r="F65" s="89">
        <f>SUM(经验!A65:X65)</f>
        <v>300</v>
      </c>
      <c r="G65" s="89">
        <f>SUM($F$4:F65)+SUM($H$4:H65)</f>
        <v>45720</v>
      </c>
      <c r="H65" s="92">
        <v>200</v>
      </c>
      <c r="I65" s="108" t="s">
        <v>42</v>
      </c>
      <c r="J65" s="108" t="s">
        <v>42</v>
      </c>
      <c r="K65" s="108" t="s">
        <v>42</v>
      </c>
      <c r="L65" s="109" t="s">
        <v>48</v>
      </c>
      <c r="M65" s="108" t="s">
        <v>42</v>
      </c>
      <c r="N65" s="108" t="s">
        <v>42</v>
      </c>
      <c r="O65" s="104" t="s">
        <v>34</v>
      </c>
      <c r="P65" s="104" t="s">
        <v>34</v>
      </c>
      <c r="Q65" s="105" t="s">
        <v>34</v>
      </c>
      <c r="R65" s="105" t="s">
        <v>34</v>
      </c>
      <c r="S65" s="105" t="s">
        <v>34</v>
      </c>
      <c r="T65" s="105" t="s">
        <v>34</v>
      </c>
      <c r="U65" s="105" t="s">
        <v>34</v>
      </c>
      <c r="V65" s="105" t="s">
        <v>34</v>
      </c>
      <c r="W65" s="104" t="s">
        <v>34</v>
      </c>
      <c r="X65" s="104" t="s">
        <v>34</v>
      </c>
      <c r="Y65" s="105" t="s">
        <v>34</v>
      </c>
      <c r="Z65" s="105" t="s">
        <v>34</v>
      </c>
      <c r="AA65" s="105" t="s">
        <v>34</v>
      </c>
      <c r="AB65" s="105" t="s">
        <v>34</v>
      </c>
      <c r="AC65" s="105" t="s">
        <v>34</v>
      </c>
      <c r="AD65" s="105" t="s">
        <v>34</v>
      </c>
      <c r="AE65" s="104" t="s">
        <v>34</v>
      </c>
      <c r="AF65" s="104" t="s">
        <v>34</v>
      </c>
      <c r="AG65" s="98">
        <f t="shared" si="1"/>
        <v>0</v>
      </c>
      <c r="AH65" s="106"/>
      <c r="AI65" s="106"/>
      <c r="AJ65" s="106"/>
      <c r="AK65" s="107" t="s">
        <v>52</v>
      </c>
    </row>
    <row r="66" spans="1:37">
      <c r="A66" s="88">
        <v>45337</v>
      </c>
      <c r="B66" s="92">
        <v>1600</v>
      </c>
      <c r="C66" s="92"/>
      <c r="D66" s="89">
        <f>(SUM(粮草!A66:X66)+AG66*10)*IF(AK66="是",$AY$4,$AY$3)</f>
        <v>1712</v>
      </c>
      <c r="E66" s="89">
        <f>SUM($B$4:B66)+SUM($C$4:C66)-SUM($D$4:D66)</f>
        <v>2504</v>
      </c>
      <c r="F66" s="89">
        <f>SUM(经验!A66:X66)</f>
        <v>580</v>
      </c>
      <c r="G66" s="89">
        <f>SUM($F$4:F66)+SUM($H$4:H66)</f>
        <v>46300</v>
      </c>
      <c r="H66" s="92">
        <v>0</v>
      </c>
      <c r="I66" s="108" t="s">
        <v>42</v>
      </c>
      <c r="J66" s="108" t="s">
        <v>42</v>
      </c>
      <c r="K66" s="108" t="s">
        <v>42</v>
      </c>
      <c r="L66" s="108" t="s">
        <v>42</v>
      </c>
      <c r="M66" s="108" t="s">
        <v>42</v>
      </c>
      <c r="N66" s="108" t="s">
        <v>42</v>
      </c>
      <c r="O66" s="104" t="s">
        <v>34</v>
      </c>
      <c r="P66" s="104" t="s">
        <v>34</v>
      </c>
      <c r="Q66" s="105" t="s">
        <v>34</v>
      </c>
      <c r="R66" s="105" t="s">
        <v>34</v>
      </c>
      <c r="S66" s="105" t="s">
        <v>34</v>
      </c>
      <c r="T66" s="105" t="s">
        <v>34</v>
      </c>
      <c r="U66" s="105" t="s">
        <v>34</v>
      </c>
      <c r="V66" s="105" t="s">
        <v>34</v>
      </c>
      <c r="W66" s="104" t="s">
        <v>34</v>
      </c>
      <c r="X66" s="104" t="s">
        <v>34</v>
      </c>
      <c r="Y66" s="97" t="s">
        <v>40</v>
      </c>
      <c r="Z66" s="97" t="s">
        <v>40</v>
      </c>
      <c r="AA66" s="97" t="s">
        <v>40</v>
      </c>
      <c r="AB66" s="97" t="s">
        <v>40</v>
      </c>
      <c r="AC66" s="108" t="s">
        <v>42</v>
      </c>
      <c r="AD66" s="108" t="s">
        <v>42</v>
      </c>
      <c r="AE66" s="104" t="s">
        <v>34</v>
      </c>
      <c r="AF66" s="104" t="s">
        <v>34</v>
      </c>
      <c r="AG66" s="98">
        <f t="shared" si="1"/>
        <v>2</v>
      </c>
      <c r="AH66" s="106"/>
      <c r="AI66" s="106"/>
      <c r="AJ66" s="106">
        <v>2</v>
      </c>
      <c r="AK66" s="107" t="s">
        <v>52</v>
      </c>
    </row>
    <row r="67" spans="1:37">
      <c r="A67" s="88">
        <v>45338</v>
      </c>
      <c r="B67" s="92">
        <v>1600</v>
      </c>
      <c r="C67" s="92"/>
      <c r="D67" s="89">
        <f>(SUM(粮草!A67:X67)+AG67*10)*IF(AK67="是",$AY$4,$AY$3)</f>
        <v>1440</v>
      </c>
      <c r="E67" s="89">
        <f>SUM($B$4:B67)+SUM($C$4:C67)-SUM($D$4:D67)</f>
        <v>2664</v>
      </c>
      <c r="F67" s="89">
        <f>SUM(经验!A67:X67)</f>
        <v>500</v>
      </c>
      <c r="G67" s="89">
        <f>SUM($F$4:F67)+SUM($H$4:H67)</f>
        <v>46800</v>
      </c>
      <c r="H67" s="92">
        <v>0</v>
      </c>
      <c r="I67" s="108" t="s">
        <v>42</v>
      </c>
      <c r="J67" s="108" t="s">
        <v>42</v>
      </c>
      <c r="K67" s="108" t="s">
        <v>42</v>
      </c>
      <c r="L67" s="108" t="s">
        <v>42</v>
      </c>
      <c r="M67" s="92" t="s">
        <v>34</v>
      </c>
      <c r="N67" s="92" t="s">
        <v>34</v>
      </c>
      <c r="O67" s="104" t="s">
        <v>34</v>
      </c>
      <c r="P67" s="104" t="s">
        <v>34</v>
      </c>
      <c r="Q67" s="105" t="s">
        <v>34</v>
      </c>
      <c r="R67" s="105" t="s">
        <v>34</v>
      </c>
      <c r="S67" s="105" t="s">
        <v>34</v>
      </c>
      <c r="T67" s="105" t="s">
        <v>34</v>
      </c>
      <c r="U67" s="105" t="s">
        <v>34</v>
      </c>
      <c r="V67" s="105" t="s">
        <v>34</v>
      </c>
      <c r="W67" s="104" t="s">
        <v>34</v>
      </c>
      <c r="X67" s="104" t="s">
        <v>34</v>
      </c>
      <c r="Y67" s="108" t="s">
        <v>42</v>
      </c>
      <c r="Z67" s="108" t="s">
        <v>42</v>
      </c>
      <c r="AA67" s="108" t="s">
        <v>42</v>
      </c>
      <c r="AB67" s="108" t="s">
        <v>42</v>
      </c>
      <c r="AC67" s="108" t="s">
        <v>42</v>
      </c>
      <c r="AD67" s="108" t="s">
        <v>42</v>
      </c>
      <c r="AE67" s="104" t="s">
        <v>34</v>
      </c>
      <c r="AF67" s="104" t="s">
        <v>34</v>
      </c>
      <c r="AG67" s="98">
        <f t="shared" si="1"/>
        <v>0</v>
      </c>
      <c r="AH67" s="106"/>
      <c r="AI67" s="106"/>
      <c r="AJ67" s="106"/>
      <c r="AK67" s="107" t="s">
        <v>52</v>
      </c>
    </row>
    <row r="68" spans="1:37">
      <c r="A68" s="88">
        <v>45339</v>
      </c>
      <c r="B68" s="92">
        <v>1600</v>
      </c>
      <c r="C68" s="92"/>
      <c r="D68" s="89">
        <f>(SUM(粮草!A68:X68)+AG68*10)*IF(AK68="是",$AY$4,$AY$3)</f>
        <v>904</v>
      </c>
      <c r="E68" s="89">
        <f>SUM($B$4:B68)+SUM($C$4:C68)-SUM($D$4:D68)</f>
        <v>3360</v>
      </c>
      <c r="F68" s="89">
        <f>SUM(经验!A68:X68)</f>
        <v>325</v>
      </c>
      <c r="G68" s="89">
        <f>SUM($F$4:F68)+SUM($H$4:H68)</f>
        <v>47125</v>
      </c>
      <c r="H68" s="92">
        <v>0</v>
      </c>
      <c r="I68" s="105" t="s">
        <v>34</v>
      </c>
      <c r="J68" s="105" t="s">
        <v>34</v>
      </c>
      <c r="K68" s="105" t="s">
        <v>34</v>
      </c>
      <c r="L68" s="105" t="s">
        <v>34</v>
      </c>
      <c r="M68" s="105" t="s">
        <v>34</v>
      </c>
      <c r="N68" s="105" t="s">
        <v>34</v>
      </c>
      <c r="O68" s="104" t="s">
        <v>34</v>
      </c>
      <c r="P68" s="104" t="s">
        <v>34</v>
      </c>
      <c r="Q68" s="105" t="s">
        <v>34</v>
      </c>
      <c r="R68" s="105" t="s">
        <v>34</v>
      </c>
      <c r="S68" s="105" t="s">
        <v>34</v>
      </c>
      <c r="T68" s="105" t="s">
        <v>34</v>
      </c>
      <c r="U68" s="105" t="s">
        <v>34</v>
      </c>
      <c r="V68" s="105" t="s">
        <v>34</v>
      </c>
      <c r="W68" s="104" t="s">
        <v>34</v>
      </c>
      <c r="X68" s="104" t="s">
        <v>34</v>
      </c>
      <c r="Y68" s="108" t="s">
        <v>42</v>
      </c>
      <c r="Z68" s="110" t="s">
        <v>43</v>
      </c>
      <c r="AA68" s="110" t="s">
        <v>43</v>
      </c>
      <c r="AB68" s="110" t="s">
        <v>43</v>
      </c>
      <c r="AC68" s="110" t="s">
        <v>43</v>
      </c>
      <c r="AD68" s="110" t="s">
        <v>43</v>
      </c>
      <c r="AE68" s="104" t="s">
        <v>34</v>
      </c>
      <c r="AF68" s="104" t="s">
        <v>34</v>
      </c>
      <c r="AG68" s="98">
        <f t="shared" si="1"/>
        <v>0</v>
      </c>
      <c r="AH68" s="106"/>
      <c r="AI68" s="106"/>
      <c r="AJ68" s="106"/>
      <c r="AK68" s="107" t="s">
        <v>52</v>
      </c>
    </row>
    <row r="69" spans="1:37">
      <c r="A69" s="88">
        <v>45340</v>
      </c>
      <c r="B69" s="92">
        <v>1600</v>
      </c>
      <c r="C69" s="92"/>
      <c r="D69" s="89">
        <f>(SUM(粮草!A69:X69)+AG69*10)*IF(AK69="是",$AY$4,$AY$3)</f>
        <v>1744</v>
      </c>
      <c r="E69" s="89">
        <f>SUM($B$4:B69)+SUM($C$4:C69)-SUM($D$4:D69)</f>
        <v>3216</v>
      </c>
      <c r="F69" s="89">
        <f>SUM(经验!A69:X69)</f>
        <v>630</v>
      </c>
      <c r="G69" s="89">
        <f>SUM($F$4:F69)+SUM($H$4:H69)</f>
        <v>47755</v>
      </c>
      <c r="H69" s="92">
        <v>0</v>
      </c>
      <c r="I69" s="105" t="s">
        <v>34</v>
      </c>
      <c r="J69" s="105" t="s">
        <v>34</v>
      </c>
      <c r="K69" s="105" t="s">
        <v>34</v>
      </c>
      <c r="L69" s="105" t="s">
        <v>34</v>
      </c>
      <c r="M69" s="105" t="s">
        <v>34</v>
      </c>
      <c r="N69" s="105" t="s">
        <v>34</v>
      </c>
      <c r="O69" s="104" t="s">
        <v>34</v>
      </c>
      <c r="P69" s="104" t="s">
        <v>34</v>
      </c>
      <c r="Q69" s="108" t="s">
        <v>42</v>
      </c>
      <c r="R69" s="108" t="s">
        <v>42</v>
      </c>
      <c r="S69" s="108" t="s">
        <v>42</v>
      </c>
      <c r="T69" s="108" t="s">
        <v>42</v>
      </c>
      <c r="U69" s="108" t="s">
        <v>42</v>
      </c>
      <c r="V69" s="108" t="s">
        <v>42</v>
      </c>
      <c r="W69" s="104" t="s">
        <v>34</v>
      </c>
      <c r="X69" s="104" t="s">
        <v>34</v>
      </c>
      <c r="Y69" s="110" t="s">
        <v>43</v>
      </c>
      <c r="Z69" s="110" t="s">
        <v>43</v>
      </c>
      <c r="AA69" s="110" t="s">
        <v>43</v>
      </c>
      <c r="AB69" s="110" t="s">
        <v>43</v>
      </c>
      <c r="AC69" s="110" t="s">
        <v>43</v>
      </c>
      <c r="AD69" s="111" t="s">
        <v>49</v>
      </c>
      <c r="AE69" s="104" t="s">
        <v>34</v>
      </c>
      <c r="AF69" s="104" t="s">
        <v>34</v>
      </c>
      <c r="AG69" s="98">
        <f t="shared" ref="AG69:AG93" si="8">AH69+AI69+AJ69</f>
        <v>0</v>
      </c>
      <c r="AH69" s="106"/>
      <c r="AI69" s="106"/>
      <c r="AJ69" s="106"/>
      <c r="AK69" s="107" t="s">
        <v>52</v>
      </c>
    </row>
    <row r="70" spans="1:37">
      <c r="A70" s="88">
        <v>45341</v>
      </c>
      <c r="B70" s="89">
        <v>1600</v>
      </c>
      <c r="C70" s="90"/>
      <c r="D70" s="89">
        <f>(SUM(粮草!A70:X70)+AG70*10)*IF(AK70="是",$AY$4,$AY$3)</f>
        <v>1784</v>
      </c>
      <c r="E70" s="89">
        <f>SUM($B$4:B70)+SUM($C$4:C70)-SUM($D$4:D70)</f>
        <v>3032</v>
      </c>
      <c r="F70" s="89">
        <f>SUM(经验!A70:X70)</f>
        <v>635</v>
      </c>
      <c r="G70" s="89">
        <f>SUM($F$4:F70)+SUM($H$4:H70)</f>
        <v>48690</v>
      </c>
      <c r="H70" s="89">
        <v>300</v>
      </c>
      <c r="I70" s="105" t="s">
        <v>34</v>
      </c>
      <c r="J70" s="105" t="s">
        <v>34</v>
      </c>
      <c r="K70" s="105" t="s">
        <v>34</v>
      </c>
      <c r="L70" s="105" t="s">
        <v>34</v>
      </c>
      <c r="M70" s="105" t="s">
        <v>34</v>
      </c>
      <c r="N70" s="105" t="s">
        <v>34</v>
      </c>
      <c r="O70" s="104" t="s">
        <v>34</v>
      </c>
      <c r="P70" s="104" t="s">
        <v>34</v>
      </c>
      <c r="Q70" s="108" t="s">
        <v>42</v>
      </c>
      <c r="R70" s="108" t="s">
        <v>42</v>
      </c>
      <c r="S70" s="108" t="s">
        <v>42</v>
      </c>
      <c r="T70" s="108" t="s">
        <v>42</v>
      </c>
      <c r="U70" s="108" t="s">
        <v>42</v>
      </c>
      <c r="V70" s="108" t="s">
        <v>42</v>
      </c>
      <c r="W70" s="104" t="s">
        <v>34</v>
      </c>
      <c r="X70" s="104" t="s">
        <v>34</v>
      </c>
      <c r="Y70" s="110" t="s">
        <v>43</v>
      </c>
      <c r="Z70" s="110" t="s">
        <v>43</v>
      </c>
      <c r="AA70" s="110" t="s">
        <v>43</v>
      </c>
      <c r="AB70" s="110" t="s">
        <v>43</v>
      </c>
      <c r="AC70" s="110" t="s">
        <v>43</v>
      </c>
      <c r="AD70" s="112" t="s">
        <v>44</v>
      </c>
      <c r="AE70" s="104" t="s">
        <v>34</v>
      </c>
      <c r="AF70" s="104" t="s">
        <v>34</v>
      </c>
      <c r="AG70" s="98">
        <f t="shared" si="8"/>
        <v>0</v>
      </c>
      <c r="AH70" s="106"/>
      <c r="AI70" s="106"/>
      <c r="AJ70" s="106"/>
      <c r="AK70" s="107" t="s">
        <v>52</v>
      </c>
    </row>
    <row r="71" spans="1:37">
      <c r="A71" s="88">
        <v>45342</v>
      </c>
      <c r="B71" s="89">
        <v>1600</v>
      </c>
      <c r="C71" s="90"/>
      <c r="D71" s="89">
        <f>(SUM(粮草!A71:X71)+AG71*10)*IF(AK71="是",$AY$4,$AY$3)</f>
        <v>1720</v>
      </c>
      <c r="E71" s="89">
        <f>SUM($B$4:B71)+SUM($C$4:C71)-SUM($D$4:D71)</f>
        <v>2912</v>
      </c>
      <c r="F71" s="89">
        <f>SUM(经验!A71:X71)</f>
        <v>640</v>
      </c>
      <c r="G71" s="89">
        <f>SUM($F$4:F71)+SUM($H$4:H71)</f>
        <v>49330</v>
      </c>
      <c r="H71" s="89">
        <v>0</v>
      </c>
      <c r="I71" s="105" t="s">
        <v>34</v>
      </c>
      <c r="J71" s="105" t="s">
        <v>34</v>
      </c>
      <c r="K71" s="105" t="s">
        <v>34</v>
      </c>
      <c r="L71" s="105" t="s">
        <v>34</v>
      </c>
      <c r="M71" s="105" t="s">
        <v>34</v>
      </c>
      <c r="N71" s="105" t="s">
        <v>34</v>
      </c>
      <c r="O71" s="104" t="s">
        <v>34</v>
      </c>
      <c r="P71" s="104" t="s">
        <v>34</v>
      </c>
      <c r="Q71" s="94" t="s">
        <v>39</v>
      </c>
      <c r="R71" s="108" t="s">
        <v>42</v>
      </c>
      <c r="S71" s="108" t="s">
        <v>42</v>
      </c>
      <c r="T71" s="108" t="s">
        <v>42</v>
      </c>
      <c r="U71" s="108" t="s">
        <v>42</v>
      </c>
      <c r="V71" s="108" t="s">
        <v>42</v>
      </c>
      <c r="W71" s="104" t="s">
        <v>34</v>
      </c>
      <c r="X71" s="104" t="s">
        <v>34</v>
      </c>
      <c r="Y71" s="112" t="s">
        <v>44</v>
      </c>
      <c r="Z71" s="112" t="s">
        <v>44</v>
      </c>
      <c r="AA71" s="112" t="s">
        <v>44</v>
      </c>
      <c r="AB71" s="112" t="s">
        <v>44</v>
      </c>
      <c r="AC71" s="112" t="s">
        <v>44</v>
      </c>
      <c r="AD71" s="112" t="s">
        <v>44</v>
      </c>
      <c r="AE71" s="104" t="s">
        <v>34</v>
      </c>
      <c r="AF71" s="104" t="s">
        <v>34</v>
      </c>
      <c r="AG71" s="98">
        <f t="shared" si="8"/>
        <v>0</v>
      </c>
      <c r="AH71" s="106"/>
      <c r="AI71" s="106"/>
      <c r="AJ71" s="106"/>
      <c r="AK71" s="107" t="s">
        <v>52</v>
      </c>
    </row>
    <row r="72" spans="1:37">
      <c r="A72" s="88">
        <v>45343</v>
      </c>
      <c r="B72" s="89">
        <v>1600</v>
      </c>
      <c r="C72" s="90"/>
      <c r="D72" s="89">
        <f>(SUM(粮草!A72:X72)+AG72*10)*IF(AK72="是",$AY$4,$AY$3)</f>
        <v>1856</v>
      </c>
      <c r="E72" s="89">
        <f>SUM($B$4:B72)+SUM($C$4:C72)-SUM($D$4:D72)</f>
        <v>2656</v>
      </c>
      <c r="F72" s="89">
        <f>SUM(经验!A72:X72)</f>
        <v>680</v>
      </c>
      <c r="G72" s="89">
        <f>SUM($F$4:F72)+SUM($H$4:H72)</f>
        <v>50210</v>
      </c>
      <c r="H72" s="89">
        <v>200</v>
      </c>
      <c r="I72" s="105" t="s">
        <v>34</v>
      </c>
      <c r="J72" s="105" t="s">
        <v>34</v>
      </c>
      <c r="K72" s="105" t="s">
        <v>34</v>
      </c>
      <c r="L72" s="105" t="s">
        <v>34</v>
      </c>
      <c r="M72" s="105" t="s">
        <v>34</v>
      </c>
      <c r="N72" s="105" t="s">
        <v>34</v>
      </c>
      <c r="O72" s="104" t="s">
        <v>34</v>
      </c>
      <c r="P72" s="104" t="s">
        <v>34</v>
      </c>
      <c r="Q72" s="108" t="s">
        <v>42</v>
      </c>
      <c r="R72" s="108" t="s">
        <v>42</v>
      </c>
      <c r="S72" s="110" t="s">
        <v>43</v>
      </c>
      <c r="T72" s="110" t="s">
        <v>43</v>
      </c>
      <c r="U72" s="110" t="s">
        <v>43</v>
      </c>
      <c r="V72" s="110" t="s">
        <v>43</v>
      </c>
      <c r="W72" s="104" t="s">
        <v>34</v>
      </c>
      <c r="X72" s="104" t="s">
        <v>34</v>
      </c>
      <c r="Y72" s="112" t="s">
        <v>44</v>
      </c>
      <c r="Z72" s="112" t="s">
        <v>44</v>
      </c>
      <c r="AA72" s="112" t="s">
        <v>44</v>
      </c>
      <c r="AB72" s="112" t="s">
        <v>44</v>
      </c>
      <c r="AC72" s="112" t="s">
        <v>44</v>
      </c>
      <c r="AD72" s="112" t="s">
        <v>44</v>
      </c>
      <c r="AE72" s="104" t="s">
        <v>34</v>
      </c>
      <c r="AF72" s="104" t="s">
        <v>34</v>
      </c>
      <c r="AG72" s="98">
        <f t="shared" si="8"/>
        <v>0</v>
      </c>
      <c r="AH72" s="106"/>
      <c r="AI72" s="106"/>
      <c r="AJ72" s="106"/>
      <c r="AK72" s="107" t="s">
        <v>52</v>
      </c>
    </row>
    <row r="73" spans="1:37">
      <c r="A73" s="88">
        <v>45344</v>
      </c>
      <c r="B73" s="89">
        <v>1600</v>
      </c>
      <c r="C73" s="90"/>
      <c r="D73" s="89">
        <f>(SUM(粮草!A73:X73)+AG73*10)*IF(AK73="是",$AY$4,$AY$3)</f>
        <v>1872</v>
      </c>
      <c r="E73" s="89">
        <f>SUM($B$4:B73)+SUM($C$4:C73)-SUM($D$4:D73)</f>
        <v>2384</v>
      </c>
      <c r="F73" s="89">
        <f>SUM(经验!A73:X73)</f>
        <v>690</v>
      </c>
      <c r="G73" s="89">
        <f>SUM($F$4:F73)+SUM($H$4:H73)</f>
        <v>50900</v>
      </c>
      <c r="H73" s="89">
        <v>0</v>
      </c>
      <c r="I73" s="105" t="s">
        <v>34</v>
      </c>
      <c r="J73" s="105" t="s">
        <v>34</v>
      </c>
      <c r="K73" s="105" t="s">
        <v>34</v>
      </c>
      <c r="L73" s="105" t="s">
        <v>34</v>
      </c>
      <c r="M73" s="105" t="s">
        <v>34</v>
      </c>
      <c r="N73" s="105" t="s">
        <v>34</v>
      </c>
      <c r="O73" s="104" t="s">
        <v>34</v>
      </c>
      <c r="P73" s="104" t="s">
        <v>34</v>
      </c>
      <c r="Q73" s="110" t="s">
        <v>43</v>
      </c>
      <c r="R73" s="110" t="s">
        <v>43</v>
      </c>
      <c r="S73" s="110" t="s">
        <v>43</v>
      </c>
      <c r="T73" s="110" t="s">
        <v>43</v>
      </c>
      <c r="U73" s="110" t="s">
        <v>43</v>
      </c>
      <c r="V73" s="110" t="s">
        <v>43</v>
      </c>
      <c r="W73" s="104" t="s">
        <v>34</v>
      </c>
      <c r="X73" s="104" t="s">
        <v>34</v>
      </c>
      <c r="Y73" s="112" t="s">
        <v>44</v>
      </c>
      <c r="Z73" s="112" t="s">
        <v>44</v>
      </c>
      <c r="AA73" s="112" t="s">
        <v>44</v>
      </c>
      <c r="AB73" s="112" t="s">
        <v>44</v>
      </c>
      <c r="AC73" s="112" t="s">
        <v>44</v>
      </c>
      <c r="AD73" s="112" t="s">
        <v>44</v>
      </c>
      <c r="AE73" s="104" t="s">
        <v>34</v>
      </c>
      <c r="AF73" s="104" t="s">
        <v>34</v>
      </c>
      <c r="AG73" s="98">
        <f t="shared" si="8"/>
        <v>0</v>
      </c>
      <c r="AH73" s="106"/>
      <c r="AI73" s="106"/>
      <c r="AJ73" s="106"/>
      <c r="AK73" s="107" t="s">
        <v>52</v>
      </c>
    </row>
    <row r="74" spans="1:37">
      <c r="A74" s="88">
        <v>45345</v>
      </c>
      <c r="B74" s="89">
        <v>1600</v>
      </c>
      <c r="C74" s="90"/>
      <c r="D74" s="89">
        <f>(SUM(粮草!A74:X74)+AG74*10)*IF(AK74="是",$AY$4,$AY$3)</f>
        <v>1872</v>
      </c>
      <c r="E74" s="89">
        <f>SUM($B$4:B74)+SUM($C$4:C74)-SUM($D$4:D74)</f>
        <v>2112</v>
      </c>
      <c r="F74" s="89">
        <f>SUM(经验!A74:X74)</f>
        <v>690</v>
      </c>
      <c r="G74" s="89">
        <f>SUM($F$4:F74)+SUM($H$4:H74)</f>
        <v>51590</v>
      </c>
      <c r="H74" s="89">
        <v>0</v>
      </c>
      <c r="I74" s="105" t="s">
        <v>34</v>
      </c>
      <c r="J74" s="105" t="s">
        <v>34</v>
      </c>
      <c r="K74" s="105" t="s">
        <v>34</v>
      </c>
      <c r="L74" s="105" t="s">
        <v>34</v>
      </c>
      <c r="M74" s="105" t="s">
        <v>34</v>
      </c>
      <c r="N74" s="105" t="s">
        <v>34</v>
      </c>
      <c r="O74" s="104" t="s">
        <v>34</v>
      </c>
      <c r="P74" s="104" t="s">
        <v>34</v>
      </c>
      <c r="Q74" s="110" t="s">
        <v>43</v>
      </c>
      <c r="R74" s="110" t="s">
        <v>43</v>
      </c>
      <c r="S74" s="110" t="s">
        <v>43</v>
      </c>
      <c r="T74" s="110" t="s">
        <v>43</v>
      </c>
      <c r="U74" s="110" t="s">
        <v>43</v>
      </c>
      <c r="V74" s="110" t="s">
        <v>43</v>
      </c>
      <c r="W74" s="104" t="s">
        <v>34</v>
      </c>
      <c r="X74" s="104" t="s">
        <v>34</v>
      </c>
      <c r="Y74" s="112" t="s">
        <v>44</v>
      </c>
      <c r="Z74" s="112" t="s">
        <v>44</v>
      </c>
      <c r="AA74" s="112" t="s">
        <v>44</v>
      </c>
      <c r="AB74" s="112" t="s">
        <v>44</v>
      </c>
      <c r="AC74" s="112" t="s">
        <v>44</v>
      </c>
      <c r="AD74" s="112" t="s">
        <v>44</v>
      </c>
      <c r="AE74" s="104" t="s">
        <v>34</v>
      </c>
      <c r="AF74" s="104" t="s">
        <v>34</v>
      </c>
      <c r="AG74" s="98">
        <f t="shared" si="8"/>
        <v>0</v>
      </c>
      <c r="AH74" s="106"/>
      <c r="AI74" s="106"/>
      <c r="AJ74" s="106"/>
      <c r="AK74" s="107" t="s">
        <v>52</v>
      </c>
    </row>
    <row r="75" spans="1:37">
      <c r="A75" s="88">
        <v>45346</v>
      </c>
      <c r="B75" s="89">
        <v>1600</v>
      </c>
      <c r="C75" s="90"/>
      <c r="D75" s="89">
        <f>(SUM(粮草!A75:X75)+AG75*10)*IF(AK75="是",$AY$4,$AY$3)</f>
        <v>1800</v>
      </c>
      <c r="E75" s="89">
        <f>SUM($B$4:B75)+SUM($C$4:C75)-SUM($D$4:D75)</f>
        <v>1912</v>
      </c>
      <c r="F75" s="89">
        <f>SUM(经验!A75:X75)</f>
        <v>690</v>
      </c>
      <c r="G75" s="89">
        <f>SUM($F$4:F75)+SUM($H$4:H75)</f>
        <v>52280</v>
      </c>
      <c r="H75" s="89">
        <v>0</v>
      </c>
      <c r="I75" s="105" t="s">
        <v>34</v>
      </c>
      <c r="J75" s="105" t="s">
        <v>34</v>
      </c>
      <c r="K75" s="105" t="s">
        <v>34</v>
      </c>
      <c r="L75" s="105" t="s">
        <v>34</v>
      </c>
      <c r="M75" s="105" t="s">
        <v>34</v>
      </c>
      <c r="N75" s="105" t="s">
        <v>34</v>
      </c>
      <c r="O75" s="104" t="s">
        <v>34</v>
      </c>
      <c r="P75" s="104" t="s">
        <v>34</v>
      </c>
      <c r="Q75" s="112" t="s">
        <v>44</v>
      </c>
      <c r="R75" s="112" t="s">
        <v>44</v>
      </c>
      <c r="S75" s="112" t="s">
        <v>44</v>
      </c>
      <c r="T75" s="112" t="s">
        <v>44</v>
      </c>
      <c r="U75" s="112" t="s">
        <v>44</v>
      </c>
      <c r="V75" s="112" t="s">
        <v>44</v>
      </c>
      <c r="W75" s="104" t="s">
        <v>34</v>
      </c>
      <c r="X75" s="104" t="s">
        <v>34</v>
      </c>
      <c r="Y75" s="112" t="s">
        <v>44</v>
      </c>
      <c r="Z75" s="112" t="s">
        <v>44</v>
      </c>
      <c r="AA75" s="112" t="s">
        <v>44</v>
      </c>
      <c r="AB75" s="112" t="s">
        <v>44</v>
      </c>
      <c r="AC75" s="112" t="s">
        <v>44</v>
      </c>
      <c r="AD75" s="94" t="s">
        <v>39</v>
      </c>
      <c r="AE75" s="104" t="s">
        <v>34</v>
      </c>
      <c r="AF75" s="104" t="s">
        <v>34</v>
      </c>
      <c r="AG75" s="98">
        <f t="shared" si="8"/>
        <v>0</v>
      </c>
      <c r="AH75" s="106"/>
      <c r="AI75" s="106"/>
      <c r="AJ75" s="106"/>
      <c r="AK75" s="107" t="s">
        <v>52</v>
      </c>
    </row>
    <row r="76" spans="1:37">
      <c r="A76" s="88">
        <v>45347</v>
      </c>
      <c r="B76" s="89">
        <v>1600</v>
      </c>
      <c r="C76" s="90"/>
      <c r="D76" s="89">
        <f>(SUM(粮草!A76:X76)+AG76*10)*IF(AK76="是",$AY$4,$AY$3)</f>
        <v>1920</v>
      </c>
      <c r="E76" s="89">
        <f>SUM($B$4:B76)+SUM($C$4:C76)-SUM($D$4:D76)</f>
        <v>1592</v>
      </c>
      <c r="F76" s="89">
        <f>SUM(经验!A76:X76)</f>
        <v>720</v>
      </c>
      <c r="G76" s="89">
        <f>SUM($F$4:F76)+SUM($H$4:H76)</f>
        <v>53000</v>
      </c>
      <c r="H76" s="89">
        <v>0</v>
      </c>
      <c r="I76" s="105" t="s">
        <v>34</v>
      </c>
      <c r="J76" s="105" t="s">
        <v>34</v>
      </c>
      <c r="K76" s="105" t="s">
        <v>34</v>
      </c>
      <c r="L76" s="105" t="s">
        <v>34</v>
      </c>
      <c r="M76" s="105" t="s">
        <v>34</v>
      </c>
      <c r="N76" s="105" t="s">
        <v>34</v>
      </c>
      <c r="O76" s="104" t="s">
        <v>34</v>
      </c>
      <c r="P76" s="104" t="s">
        <v>34</v>
      </c>
      <c r="Q76" s="112" t="s">
        <v>44</v>
      </c>
      <c r="R76" s="112" t="s">
        <v>44</v>
      </c>
      <c r="S76" s="112" t="s">
        <v>44</v>
      </c>
      <c r="T76" s="112" t="s">
        <v>44</v>
      </c>
      <c r="U76" s="112" t="s">
        <v>44</v>
      </c>
      <c r="V76" s="112" t="s">
        <v>44</v>
      </c>
      <c r="W76" s="104" t="s">
        <v>34</v>
      </c>
      <c r="X76" s="104" t="s">
        <v>34</v>
      </c>
      <c r="Y76" s="112" t="s">
        <v>44</v>
      </c>
      <c r="Z76" s="112" t="s">
        <v>44</v>
      </c>
      <c r="AA76" s="112" t="s">
        <v>44</v>
      </c>
      <c r="AB76" s="112" t="s">
        <v>44</v>
      </c>
      <c r="AC76" s="112" t="s">
        <v>44</v>
      </c>
      <c r="AD76" s="112" t="s">
        <v>44</v>
      </c>
      <c r="AE76" s="104" t="s">
        <v>34</v>
      </c>
      <c r="AF76" s="104" t="s">
        <v>34</v>
      </c>
      <c r="AG76" s="98">
        <f t="shared" si="8"/>
        <v>0</v>
      </c>
      <c r="AH76" s="106"/>
      <c r="AI76" s="106"/>
      <c r="AJ76" s="106"/>
      <c r="AK76" s="107" t="s">
        <v>52</v>
      </c>
    </row>
    <row r="77" spans="1:37">
      <c r="A77" s="88">
        <v>45348</v>
      </c>
      <c r="B77" s="92">
        <v>1600</v>
      </c>
      <c r="C77" s="92"/>
      <c r="D77" s="89">
        <f>(SUM(粮草!A77:X77)+AG77*10)*IF(AK77="是",$AY$4,$AY$3)</f>
        <v>1904</v>
      </c>
      <c r="E77" s="89">
        <f>SUM($B$4:B77)+SUM($C$4:C77)-SUM($D$4:D77)</f>
        <v>1288</v>
      </c>
      <c r="F77" s="89">
        <f>SUM(经验!A77:X77)</f>
        <v>710</v>
      </c>
      <c r="G77" s="89">
        <f>SUM($F$4:F77)+SUM($H$4:H77)</f>
        <v>54010</v>
      </c>
      <c r="H77" s="92">
        <v>300</v>
      </c>
      <c r="I77" s="105" t="s">
        <v>34</v>
      </c>
      <c r="J77" s="105" t="s">
        <v>34</v>
      </c>
      <c r="K77" s="105" t="s">
        <v>34</v>
      </c>
      <c r="L77" s="105" t="s">
        <v>34</v>
      </c>
      <c r="M77" s="105" t="s">
        <v>34</v>
      </c>
      <c r="N77" s="105" t="s">
        <v>34</v>
      </c>
      <c r="O77" s="104" t="s">
        <v>34</v>
      </c>
      <c r="P77" s="104" t="s">
        <v>34</v>
      </c>
      <c r="Q77" s="112" t="s">
        <v>44</v>
      </c>
      <c r="R77" s="112" t="s">
        <v>44</v>
      </c>
      <c r="S77" s="112" t="s">
        <v>44</v>
      </c>
      <c r="T77" s="112" t="s">
        <v>44</v>
      </c>
      <c r="U77" s="112" t="s">
        <v>44</v>
      </c>
      <c r="V77" s="112" t="s">
        <v>44</v>
      </c>
      <c r="W77" s="104" t="s">
        <v>34</v>
      </c>
      <c r="X77" s="104" t="s">
        <v>34</v>
      </c>
      <c r="Y77" s="112" t="s">
        <v>44</v>
      </c>
      <c r="Z77" s="112" t="s">
        <v>44</v>
      </c>
      <c r="AA77" s="112" t="s">
        <v>44</v>
      </c>
      <c r="AB77" s="112" t="s">
        <v>44</v>
      </c>
      <c r="AC77" s="110" t="s">
        <v>43</v>
      </c>
      <c r="AD77" s="110" t="s">
        <v>43</v>
      </c>
      <c r="AE77" s="104" t="s">
        <v>34</v>
      </c>
      <c r="AF77" s="104" t="s">
        <v>34</v>
      </c>
      <c r="AG77" s="98">
        <f t="shared" si="8"/>
        <v>0</v>
      </c>
      <c r="AH77" s="106"/>
      <c r="AI77" s="106"/>
      <c r="AJ77" s="106"/>
      <c r="AK77" s="107" t="s">
        <v>52</v>
      </c>
    </row>
    <row r="78" spans="1:37">
      <c r="A78" s="88">
        <v>45349</v>
      </c>
      <c r="B78" s="92">
        <v>1600</v>
      </c>
      <c r="C78" s="92"/>
      <c r="D78" s="89">
        <f>(SUM(粮草!A78:X78)+AG78*10)*IF(AK78="是",$AY$4,$AY$3)</f>
        <v>1552</v>
      </c>
      <c r="E78" s="89">
        <f>SUM($B$4:B78)+SUM($C$4:C78)-SUM($D$4:D78)</f>
        <v>1336</v>
      </c>
      <c r="F78" s="89">
        <f>SUM(经验!A78:X78)</f>
        <v>630</v>
      </c>
      <c r="G78" s="89">
        <f>SUM($F$4:F78)+SUM($H$4:H78)</f>
        <v>54640</v>
      </c>
      <c r="H78" s="92">
        <v>0</v>
      </c>
      <c r="I78" s="105" t="s">
        <v>34</v>
      </c>
      <c r="J78" s="105" t="s">
        <v>34</v>
      </c>
      <c r="K78" s="105" t="s">
        <v>34</v>
      </c>
      <c r="L78" s="105" t="s">
        <v>34</v>
      </c>
      <c r="M78" s="105" t="s">
        <v>34</v>
      </c>
      <c r="N78" s="105" t="s">
        <v>34</v>
      </c>
      <c r="O78" s="104" t="s">
        <v>34</v>
      </c>
      <c r="P78" s="104" t="s">
        <v>34</v>
      </c>
      <c r="Q78" s="101" t="s">
        <v>59</v>
      </c>
      <c r="R78" s="112" t="s">
        <v>44</v>
      </c>
      <c r="S78" s="112" t="s">
        <v>44</v>
      </c>
      <c r="T78" s="112" t="s">
        <v>44</v>
      </c>
      <c r="U78" s="112" t="s">
        <v>44</v>
      </c>
      <c r="V78" s="112" t="s">
        <v>44</v>
      </c>
      <c r="W78" s="104" t="s">
        <v>34</v>
      </c>
      <c r="X78" s="104" t="s">
        <v>34</v>
      </c>
      <c r="Y78" s="110" t="s">
        <v>43</v>
      </c>
      <c r="Z78" s="110" t="s">
        <v>43</v>
      </c>
      <c r="AA78" s="110" t="s">
        <v>43</v>
      </c>
      <c r="AB78" s="110" t="s">
        <v>43</v>
      </c>
      <c r="AC78" s="110" t="s">
        <v>43</v>
      </c>
      <c r="AD78" s="110" t="s">
        <v>43</v>
      </c>
      <c r="AE78" s="104" t="s">
        <v>34</v>
      </c>
      <c r="AF78" s="104" t="s">
        <v>34</v>
      </c>
      <c r="AG78" s="98">
        <f t="shared" si="8"/>
        <v>0</v>
      </c>
      <c r="AH78" s="106"/>
      <c r="AI78" s="106"/>
      <c r="AJ78" s="106"/>
      <c r="AK78" s="107" t="s">
        <v>52</v>
      </c>
    </row>
    <row r="79" spans="1:37">
      <c r="A79" s="88">
        <v>45350</v>
      </c>
      <c r="B79" s="92">
        <v>1600</v>
      </c>
      <c r="C79" s="92"/>
      <c r="D79" s="89">
        <f>(SUM(粮草!A79:X79)+AG79*10)*IF(AK79="是",$AY$4,$AY$3)</f>
        <v>1560</v>
      </c>
      <c r="E79" s="89">
        <f>SUM($B$4:B79)+SUM($C$4:C79)-SUM($D$4:D79)</f>
        <v>1376</v>
      </c>
      <c r="F79" s="89">
        <f>SUM(经验!A79:X79)</f>
        <v>635</v>
      </c>
      <c r="G79" s="89">
        <f>SUM($F$4:F79)+SUM($H$4:H79)</f>
        <v>55475</v>
      </c>
      <c r="H79" s="92">
        <v>200</v>
      </c>
      <c r="I79" s="105" t="s">
        <v>34</v>
      </c>
      <c r="J79" s="105" t="s">
        <v>34</v>
      </c>
      <c r="K79" s="105" t="s">
        <v>34</v>
      </c>
      <c r="L79" s="105" t="s">
        <v>34</v>
      </c>
      <c r="M79" s="105" t="s">
        <v>34</v>
      </c>
      <c r="N79" s="105" t="s">
        <v>34</v>
      </c>
      <c r="O79" s="104" t="s">
        <v>34</v>
      </c>
      <c r="P79" s="104" t="s">
        <v>34</v>
      </c>
      <c r="Q79" s="112" t="s">
        <v>44</v>
      </c>
      <c r="R79" s="112" t="s">
        <v>44</v>
      </c>
      <c r="S79" s="112" t="s">
        <v>44</v>
      </c>
      <c r="T79" s="112" t="s">
        <v>44</v>
      </c>
      <c r="U79" s="112" t="s">
        <v>44</v>
      </c>
      <c r="V79" s="112" t="s">
        <v>44</v>
      </c>
      <c r="W79" s="104" t="s">
        <v>34</v>
      </c>
      <c r="X79" s="104" t="s">
        <v>34</v>
      </c>
      <c r="Y79" s="110" t="s">
        <v>43</v>
      </c>
      <c r="Z79" s="110" t="s">
        <v>43</v>
      </c>
      <c r="AA79" s="110" t="s">
        <v>43</v>
      </c>
      <c r="AB79" s="110" t="s">
        <v>43</v>
      </c>
      <c r="AC79" s="101" t="s">
        <v>59</v>
      </c>
      <c r="AD79" s="110" t="s">
        <v>43</v>
      </c>
      <c r="AE79" s="104" t="s">
        <v>34</v>
      </c>
      <c r="AF79" s="104" t="s">
        <v>34</v>
      </c>
      <c r="AG79" s="98">
        <f t="shared" si="8"/>
        <v>0</v>
      </c>
      <c r="AH79" s="106"/>
      <c r="AI79" s="106"/>
      <c r="AJ79" s="106"/>
      <c r="AK79" s="107" t="s">
        <v>52</v>
      </c>
    </row>
    <row r="80" spans="1:37">
      <c r="A80" s="88">
        <v>45351</v>
      </c>
      <c r="B80" s="92">
        <v>1600</v>
      </c>
      <c r="C80" s="92"/>
      <c r="D80" s="89">
        <f>(SUM(粮草!A80:X80)+AG80*10)*IF(AK80="是",$AY$4,$AY$3)</f>
        <v>1872</v>
      </c>
      <c r="E80" s="89">
        <f>SUM($B$4:B80)+SUM($C$4:C80)-SUM($D$4:D80)</f>
        <v>1104</v>
      </c>
      <c r="F80" s="89">
        <f>SUM(经验!A80:X80)</f>
        <v>690</v>
      </c>
      <c r="G80" s="89">
        <f>SUM($F$4:F80)+SUM($H$4:H80)</f>
        <v>56165</v>
      </c>
      <c r="H80" s="92">
        <v>0</v>
      </c>
      <c r="I80" s="105" t="s">
        <v>34</v>
      </c>
      <c r="J80" s="105" t="s">
        <v>34</v>
      </c>
      <c r="K80" s="105" t="s">
        <v>34</v>
      </c>
      <c r="L80" s="105" t="s">
        <v>34</v>
      </c>
      <c r="M80" s="105" t="s">
        <v>34</v>
      </c>
      <c r="N80" s="105" t="s">
        <v>34</v>
      </c>
      <c r="O80" s="104" t="s">
        <v>34</v>
      </c>
      <c r="P80" s="104" t="s">
        <v>34</v>
      </c>
      <c r="Q80" s="112" t="s">
        <v>44</v>
      </c>
      <c r="R80" s="112" t="s">
        <v>44</v>
      </c>
      <c r="S80" s="112" t="s">
        <v>44</v>
      </c>
      <c r="T80" s="112" t="s">
        <v>44</v>
      </c>
      <c r="U80" s="112" t="s">
        <v>44</v>
      </c>
      <c r="V80" s="112" t="s">
        <v>44</v>
      </c>
      <c r="W80" s="104" t="s">
        <v>34</v>
      </c>
      <c r="X80" s="104" t="s">
        <v>34</v>
      </c>
      <c r="Y80" s="110" t="s">
        <v>43</v>
      </c>
      <c r="Z80" s="110" t="s">
        <v>43</v>
      </c>
      <c r="AA80" s="110" t="s">
        <v>43</v>
      </c>
      <c r="AB80" s="110" t="s">
        <v>43</v>
      </c>
      <c r="AC80" s="110" t="s">
        <v>43</v>
      </c>
      <c r="AD80" s="110" t="s">
        <v>43</v>
      </c>
      <c r="AE80" s="104" t="s">
        <v>34</v>
      </c>
      <c r="AF80" s="104" t="s">
        <v>34</v>
      </c>
      <c r="AG80" s="98">
        <f t="shared" si="8"/>
        <v>0</v>
      </c>
      <c r="AH80" s="106"/>
      <c r="AI80" s="106"/>
      <c r="AJ80" s="106"/>
      <c r="AK80" s="107" t="s">
        <v>52</v>
      </c>
    </row>
    <row r="81" spans="1:37">
      <c r="A81" s="88">
        <v>45352</v>
      </c>
      <c r="B81" s="92">
        <v>1600</v>
      </c>
      <c r="C81" s="92"/>
      <c r="D81" s="89">
        <f>(SUM(粮草!A81:X81)+AG81*10)*IF(AK81="是",$AY$4,$AY$3)</f>
        <v>1840</v>
      </c>
      <c r="E81" s="89">
        <f>SUM($B$4:B81)+SUM($C$4:C81)-SUM($D$4:D81)</f>
        <v>864</v>
      </c>
      <c r="F81" s="89">
        <f>SUM(经验!A81:X81)</f>
        <v>670</v>
      </c>
      <c r="G81" s="89">
        <f>SUM($F$4:F81)+SUM($H$4:H81)</f>
        <v>56835</v>
      </c>
      <c r="H81" s="92">
        <v>0</v>
      </c>
      <c r="I81" s="105" t="s">
        <v>34</v>
      </c>
      <c r="J81" s="105" t="s">
        <v>34</v>
      </c>
      <c r="K81" s="105" t="s">
        <v>34</v>
      </c>
      <c r="L81" s="105" t="s">
        <v>34</v>
      </c>
      <c r="M81" s="105" t="s">
        <v>34</v>
      </c>
      <c r="N81" s="105" t="s">
        <v>34</v>
      </c>
      <c r="O81" s="104" t="s">
        <v>34</v>
      </c>
      <c r="P81" s="104" t="s">
        <v>34</v>
      </c>
      <c r="Q81" s="112" t="s">
        <v>44</v>
      </c>
      <c r="R81" s="112" t="s">
        <v>44</v>
      </c>
      <c r="S81" s="110" t="s">
        <v>43</v>
      </c>
      <c r="T81" s="110" t="s">
        <v>43</v>
      </c>
      <c r="U81" s="110" t="s">
        <v>43</v>
      </c>
      <c r="V81" s="110" t="s">
        <v>43</v>
      </c>
      <c r="W81" s="104" t="s">
        <v>34</v>
      </c>
      <c r="X81" s="104" t="s">
        <v>34</v>
      </c>
      <c r="Y81" s="110" t="s">
        <v>43</v>
      </c>
      <c r="Z81" s="110" t="s">
        <v>43</v>
      </c>
      <c r="AA81" s="110" t="s">
        <v>43</v>
      </c>
      <c r="AB81" s="110" t="s">
        <v>43</v>
      </c>
      <c r="AC81" s="110" t="s">
        <v>43</v>
      </c>
      <c r="AD81" s="110" t="s">
        <v>43</v>
      </c>
      <c r="AE81" s="104" t="s">
        <v>34</v>
      </c>
      <c r="AF81" s="104" t="s">
        <v>34</v>
      </c>
      <c r="AG81" s="98">
        <f t="shared" si="8"/>
        <v>0</v>
      </c>
      <c r="AH81" s="106"/>
      <c r="AI81" s="106"/>
      <c r="AJ81" s="106"/>
      <c r="AK81" s="107" t="s">
        <v>52</v>
      </c>
    </row>
    <row r="82" spans="1:37">
      <c r="A82" s="88">
        <v>45353</v>
      </c>
      <c r="B82" s="92">
        <v>1600</v>
      </c>
      <c r="C82" s="92"/>
      <c r="D82" s="89">
        <f>(SUM(粮草!A82:X82)+AG82*10)*IF(AK82="是",$AY$4,$AY$3)</f>
        <v>1776</v>
      </c>
      <c r="E82" s="89">
        <f>SUM($B$4:B82)+SUM($C$4:C82)-SUM($D$4:D82)</f>
        <v>688</v>
      </c>
      <c r="F82" s="89">
        <f>SUM(经验!A82:X82)</f>
        <v>630</v>
      </c>
      <c r="G82" s="89">
        <f>SUM($F$4:F82)+SUM($H$4:H82)</f>
        <v>57465</v>
      </c>
      <c r="H82" s="92">
        <v>0</v>
      </c>
      <c r="I82" s="105" t="s">
        <v>34</v>
      </c>
      <c r="J82" s="105" t="s">
        <v>34</v>
      </c>
      <c r="K82" s="105" t="s">
        <v>34</v>
      </c>
      <c r="L82" s="105" t="s">
        <v>34</v>
      </c>
      <c r="M82" s="105" t="s">
        <v>34</v>
      </c>
      <c r="N82" s="105" t="s">
        <v>34</v>
      </c>
      <c r="O82" s="104" t="s">
        <v>34</v>
      </c>
      <c r="P82" s="104" t="s">
        <v>34</v>
      </c>
      <c r="Q82" s="110" t="s">
        <v>43</v>
      </c>
      <c r="R82" s="110" t="s">
        <v>43</v>
      </c>
      <c r="S82" s="110" t="s">
        <v>43</v>
      </c>
      <c r="T82" s="110" t="s">
        <v>43</v>
      </c>
      <c r="U82" s="110" t="s">
        <v>43</v>
      </c>
      <c r="V82" s="110" t="s">
        <v>43</v>
      </c>
      <c r="W82" s="104" t="s">
        <v>34</v>
      </c>
      <c r="X82" s="104" t="s">
        <v>34</v>
      </c>
      <c r="Y82" s="108" t="s">
        <v>42</v>
      </c>
      <c r="Z82" s="108" t="s">
        <v>42</v>
      </c>
      <c r="AA82" s="108" t="s">
        <v>42</v>
      </c>
      <c r="AB82" s="108" t="s">
        <v>42</v>
      </c>
      <c r="AC82" s="108" t="s">
        <v>42</v>
      </c>
      <c r="AD82" s="108" t="s">
        <v>42</v>
      </c>
      <c r="AE82" s="104" t="s">
        <v>34</v>
      </c>
      <c r="AF82" s="104" t="s">
        <v>34</v>
      </c>
      <c r="AG82" s="98">
        <f t="shared" si="8"/>
        <v>0</v>
      </c>
      <c r="AH82" s="106"/>
      <c r="AI82" s="106"/>
      <c r="AJ82" s="106"/>
      <c r="AK82" s="107" t="s">
        <v>52</v>
      </c>
    </row>
    <row r="83" spans="1:37">
      <c r="A83" s="88">
        <v>45354</v>
      </c>
      <c r="B83" s="92">
        <v>1600</v>
      </c>
      <c r="C83" s="92"/>
      <c r="D83" s="89">
        <f>(SUM(粮草!A83:X83)+AG83*10)*IF(AK83="是",$AY$4,$AY$3)</f>
        <v>1744</v>
      </c>
      <c r="E83" s="89">
        <f>SUM($B$4:B83)+SUM($C$4:C83)-SUM($D$4:D83)</f>
        <v>544</v>
      </c>
      <c r="F83" s="89">
        <f>SUM(经验!A83:X83)</f>
        <v>625</v>
      </c>
      <c r="G83" s="89">
        <f>SUM($F$4:F83)+SUM($H$4:H83)</f>
        <v>58090</v>
      </c>
      <c r="H83" s="92">
        <v>0</v>
      </c>
      <c r="I83" s="105" t="s">
        <v>34</v>
      </c>
      <c r="J83" s="105" t="s">
        <v>34</v>
      </c>
      <c r="K83" s="105" t="s">
        <v>34</v>
      </c>
      <c r="L83" s="105" t="s">
        <v>34</v>
      </c>
      <c r="M83" s="105" t="s">
        <v>34</v>
      </c>
      <c r="N83" s="105" t="s">
        <v>34</v>
      </c>
      <c r="O83" s="104" t="s">
        <v>34</v>
      </c>
      <c r="P83" s="104" t="s">
        <v>34</v>
      </c>
      <c r="Q83" s="110" t="s">
        <v>43</v>
      </c>
      <c r="R83" s="110" t="s">
        <v>43</v>
      </c>
      <c r="S83" s="110" t="s">
        <v>43</v>
      </c>
      <c r="T83" s="110" t="s">
        <v>43</v>
      </c>
      <c r="U83" s="110" t="s">
        <v>43</v>
      </c>
      <c r="V83" s="108" t="s">
        <v>42</v>
      </c>
      <c r="W83" s="104" t="s">
        <v>34</v>
      </c>
      <c r="X83" s="104" t="s">
        <v>34</v>
      </c>
      <c r="Y83" s="108" t="s">
        <v>42</v>
      </c>
      <c r="Z83" s="109" t="s">
        <v>48</v>
      </c>
      <c r="AA83" s="108" t="s">
        <v>42</v>
      </c>
      <c r="AB83" s="108" t="s">
        <v>42</v>
      </c>
      <c r="AC83" s="108" t="s">
        <v>42</v>
      </c>
      <c r="AD83" s="108" t="s">
        <v>42</v>
      </c>
      <c r="AE83" s="104" t="s">
        <v>34</v>
      </c>
      <c r="AF83" s="104" t="s">
        <v>34</v>
      </c>
      <c r="AG83" s="98">
        <f t="shared" si="8"/>
        <v>0</v>
      </c>
      <c r="AH83" s="106"/>
      <c r="AI83" s="106"/>
      <c r="AJ83" s="106"/>
      <c r="AK83" s="107" t="s">
        <v>52</v>
      </c>
    </row>
    <row r="84" spans="1:37">
      <c r="A84" s="88">
        <v>45355</v>
      </c>
      <c r="B84" s="89">
        <v>1600</v>
      </c>
      <c r="C84" s="90"/>
      <c r="D84" s="89">
        <f>(SUM(粮草!A84:X84)+AG84*10)*IF(AK84="是",$AY$4,$AY$3)</f>
        <v>1736</v>
      </c>
      <c r="E84" s="89">
        <f>SUM($B$4:B84)+SUM($C$4:C84)-SUM($D$4:D84)</f>
        <v>408</v>
      </c>
      <c r="F84" s="89">
        <f>SUM(经验!A84:X84)</f>
        <v>605</v>
      </c>
      <c r="G84" s="89">
        <f>SUM($F$4:F84)+SUM($H$4:H84)</f>
        <v>58895</v>
      </c>
      <c r="H84" s="89">
        <v>200</v>
      </c>
      <c r="I84" s="105" t="s">
        <v>34</v>
      </c>
      <c r="J84" s="105" t="s">
        <v>34</v>
      </c>
      <c r="K84" s="105" t="s">
        <v>34</v>
      </c>
      <c r="L84" s="105" t="s">
        <v>34</v>
      </c>
      <c r="M84" s="105" t="s">
        <v>34</v>
      </c>
      <c r="N84" s="105" t="s">
        <v>34</v>
      </c>
      <c r="O84" s="104" t="s">
        <v>34</v>
      </c>
      <c r="P84" s="104" t="s">
        <v>34</v>
      </c>
      <c r="Q84" s="108" t="s">
        <v>42</v>
      </c>
      <c r="R84" s="108" t="s">
        <v>42</v>
      </c>
      <c r="S84" s="108" t="s">
        <v>42</v>
      </c>
      <c r="T84" s="108" t="s">
        <v>42</v>
      </c>
      <c r="U84" s="108" t="s">
        <v>42</v>
      </c>
      <c r="V84" s="110" t="s">
        <v>43</v>
      </c>
      <c r="W84" s="104" t="s">
        <v>34</v>
      </c>
      <c r="X84" s="104" t="s">
        <v>34</v>
      </c>
      <c r="Y84" s="108" t="s">
        <v>42</v>
      </c>
      <c r="Z84" s="108" t="s">
        <v>42</v>
      </c>
      <c r="AA84" s="108" t="s">
        <v>42</v>
      </c>
      <c r="AB84" s="108" t="s">
        <v>42</v>
      </c>
      <c r="AC84" s="108" t="s">
        <v>42</v>
      </c>
      <c r="AD84" s="108" t="s">
        <v>42</v>
      </c>
      <c r="AE84" s="104" t="s">
        <v>34</v>
      </c>
      <c r="AF84" s="104" t="s">
        <v>34</v>
      </c>
      <c r="AG84" s="98">
        <f t="shared" si="8"/>
        <v>0</v>
      </c>
      <c r="AH84" s="106"/>
      <c r="AI84" s="106"/>
      <c r="AJ84" s="106"/>
      <c r="AK84" s="107" t="s">
        <v>52</v>
      </c>
    </row>
    <row r="85" spans="1:37">
      <c r="A85" s="88">
        <v>45356</v>
      </c>
      <c r="B85" s="89">
        <v>1600</v>
      </c>
      <c r="C85" s="90"/>
      <c r="D85" s="89">
        <f>(SUM(粮草!A85:X85)+AG85*10)*IF(AK85="是",$AY$4,$AY$3)</f>
        <v>1728</v>
      </c>
      <c r="E85" s="89">
        <f>SUM($B$4:B85)+SUM($C$4:C85)-SUM($D$4:D85)</f>
        <v>280</v>
      </c>
      <c r="F85" s="89">
        <f>SUM(经验!A85:X85)</f>
        <v>600</v>
      </c>
      <c r="G85" s="89">
        <f>SUM($F$4:F85)+SUM($H$4:H85)</f>
        <v>59495</v>
      </c>
      <c r="H85" s="89">
        <v>0</v>
      </c>
      <c r="I85" s="105" t="s">
        <v>34</v>
      </c>
      <c r="J85" s="105" t="s">
        <v>34</v>
      </c>
      <c r="K85" s="105" t="s">
        <v>34</v>
      </c>
      <c r="L85" s="105" t="s">
        <v>34</v>
      </c>
      <c r="M85" s="105" t="s">
        <v>34</v>
      </c>
      <c r="N85" s="105" t="s">
        <v>34</v>
      </c>
      <c r="O85" s="104" t="s">
        <v>34</v>
      </c>
      <c r="P85" s="104" t="s">
        <v>34</v>
      </c>
      <c r="Q85" s="108" t="s">
        <v>42</v>
      </c>
      <c r="R85" s="108" t="s">
        <v>42</v>
      </c>
      <c r="S85" s="108" t="s">
        <v>42</v>
      </c>
      <c r="T85" s="108" t="s">
        <v>42</v>
      </c>
      <c r="U85" s="108" t="s">
        <v>42</v>
      </c>
      <c r="V85" s="108" t="s">
        <v>42</v>
      </c>
      <c r="W85" s="104" t="s">
        <v>34</v>
      </c>
      <c r="X85" s="104" t="s">
        <v>34</v>
      </c>
      <c r="Y85" s="108" t="s">
        <v>42</v>
      </c>
      <c r="Z85" s="108" t="s">
        <v>42</v>
      </c>
      <c r="AA85" s="108" t="s">
        <v>42</v>
      </c>
      <c r="AB85" s="108" t="s">
        <v>42</v>
      </c>
      <c r="AC85" s="108" t="s">
        <v>42</v>
      </c>
      <c r="AD85" s="108" t="s">
        <v>42</v>
      </c>
      <c r="AE85" s="104" t="s">
        <v>34</v>
      </c>
      <c r="AF85" s="104" t="s">
        <v>34</v>
      </c>
      <c r="AG85" s="98">
        <f t="shared" si="8"/>
        <v>0</v>
      </c>
      <c r="AH85" s="106"/>
      <c r="AI85" s="106"/>
      <c r="AJ85" s="106"/>
      <c r="AK85" s="107" t="s">
        <v>52</v>
      </c>
    </row>
    <row r="86" spans="1:37">
      <c r="A86" s="88">
        <v>45357</v>
      </c>
      <c r="B86" s="89">
        <v>1600</v>
      </c>
      <c r="C86" s="90"/>
      <c r="D86" s="89">
        <f>(SUM(粮草!A86:X86)+AG86*10)*IF(AK86="是",$AY$4,$AY$3)</f>
        <v>1712</v>
      </c>
      <c r="E86" s="89">
        <f>SUM($B$4:B86)+SUM($C$4:C86)-SUM($D$4:D86)</f>
        <v>168</v>
      </c>
      <c r="F86" s="89">
        <f>SUM(经验!A86:X86)</f>
        <v>590</v>
      </c>
      <c r="G86" s="89">
        <f>SUM($F$4:F86)+SUM($H$4:H86)</f>
        <v>60385</v>
      </c>
      <c r="H86" s="89">
        <v>300</v>
      </c>
      <c r="I86" s="105" t="s">
        <v>34</v>
      </c>
      <c r="J86" s="105" t="s">
        <v>34</v>
      </c>
      <c r="K86" s="105" t="s">
        <v>34</v>
      </c>
      <c r="L86" s="105" t="s">
        <v>34</v>
      </c>
      <c r="M86" s="105" t="s">
        <v>34</v>
      </c>
      <c r="N86" s="105" t="s">
        <v>34</v>
      </c>
      <c r="O86" s="104" t="s">
        <v>34</v>
      </c>
      <c r="P86" s="104" t="s">
        <v>34</v>
      </c>
      <c r="Q86" s="108" t="s">
        <v>42</v>
      </c>
      <c r="R86" s="108" t="s">
        <v>42</v>
      </c>
      <c r="S86" s="108" t="s">
        <v>42</v>
      </c>
      <c r="T86" s="108" t="s">
        <v>42</v>
      </c>
      <c r="U86" s="108" t="s">
        <v>42</v>
      </c>
      <c r="V86" s="108" t="s">
        <v>42</v>
      </c>
      <c r="W86" s="104" t="s">
        <v>34</v>
      </c>
      <c r="X86" s="104" t="s">
        <v>34</v>
      </c>
      <c r="Y86" s="108" t="s">
        <v>42</v>
      </c>
      <c r="Z86" s="108" t="s">
        <v>42</v>
      </c>
      <c r="AA86" s="108" t="s">
        <v>42</v>
      </c>
      <c r="AB86" s="108" t="s">
        <v>42</v>
      </c>
      <c r="AC86" s="97" t="s">
        <v>40</v>
      </c>
      <c r="AD86" s="97" t="s">
        <v>40</v>
      </c>
      <c r="AE86" s="104" t="s">
        <v>34</v>
      </c>
      <c r="AF86" s="104" t="s">
        <v>34</v>
      </c>
      <c r="AG86" s="98">
        <f t="shared" si="8"/>
        <v>0</v>
      </c>
      <c r="AH86" s="106"/>
      <c r="AI86" s="106"/>
      <c r="AJ86" s="106"/>
      <c r="AK86" s="107" t="s">
        <v>52</v>
      </c>
    </row>
    <row r="87" spans="1:37">
      <c r="A87" s="88">
        <v>45358</v>
      </c>
      <c r="B87" s="89">
        <v>1600</v>
      </c>
      <c r="C87" s="90"/>
      <c r="D87" s="89">
        <f>(SUM(粮草!A87:X87)+AG87*10)*IF(AK87="是",$AY$4,$AY$3)</f>
        <v>1376</v>
      </c>
      <c r="E87" s="89">
        <f>SUM($B$4:B87)+SUM($C$4:C87)-SUM($D$4:D87)</f>
        <v>392</v>
      </c>
      <c r="F87" s="89">
        <f>SUM(经验!A87:X87)</f>
        <v>520</v>
      </c>
      <c r="G87" s="89">
        <f>SUM($F$4:F87)+SUM($H$4:H87)</f>
        <v>60905</v>
      </c>
      <c r="H87" s="89">
        <v>0</v>
      </c>
      <c r="I87" s="105" t="s">
        <v>34</v>
      </c>
      <c r="J87" s="105" t="s">
        <v>34</v>
      </c>
      <c r="K87" s="105" t="s">
        <v>34</v>
      </c>
      <c r="L87" s="105" t="s">
        <v>34</v>
      </c>
      <c r="M87" s="105" t="s">
        <v>34</v>
      </c>
      <c r="N87" s="105" t="s">
        <v>34</v>
      </c>
      <c r="O87" s="104" t="s">
        <v>34</v>
      </c>
      <c r="P87" s="104" t="s">
        <v>34</v>
      </c>
      <c r="Q87" s="108" t="s">
        <v>42</v>
      </c>
      <c r="R87" s="101" t="s">
        <v>59</v>
      </c>
      <c r="S87" s="108" t="s">
        <v>42</v>
      </c>
      <c r="T87" s="108" t="s">
        <v>42</v>
      </c>
      <c r="U87" s="108" t="s">
        <v>42</v>
      </c>
      <c r="V87" s="108" t="s">
        <v>42</v>
      </c>
      <c r="W87" s="104" t="s">
        <v>34</v>
      </c>
      <c r="X87" s="104" t="s">
        <v>34</v>
      </c>
      <c r="Y87" s="97" t="s">
        <v>40</v>
      </c>
      <c r="Z87" s="97" t="s">
        <v>40</v>
      </c>
      <c r="AA87" s="97" t="s">
        <v>40</v>
      </c>
      <c r="AB87" s="97" t="s">
        <v>40</v>
      </c>
      <c r="AC87" s="97" t="s">
        <v>40</v>
      </c>
      <c r="AD87" s="97" t="s">
        <v>40</v>
      </c>
      <c r="AE87" s="104" t="s">
        <v>34</v>
      </c>
      <c r="AF87" s="104" t="s">
        <v>34</v>
      </c>
      <c r="AG87" s="98">
        <f t="shared" si="8"/>
        <v>0</v>
      </c>
      <c r="AH87" s="106"/>
      <c r="AI87" s="106"/>
      <c r="AJ87" s="106"/>
      <c r="AK87" s="107" t="s">
        <v>52</v>
      </c>
    </row>
    <row r="88" spans="1:37">
      <c r="A88" s="88">
        <v>45359</v>
      </c>
      <c r="B88" s="89">
        <v>1600</v>
      </c>
      <c r="C88" s="90"/>
      <c r="D88" s="89">
        <f>(SUM(粮草!A88:X88)+AG88*10)*IF(AK88="是",$AY$4,$AY$3)</f>
        <v>1472</v>
      </c>
      <c r="E88" s="89">
        <f>SUM($B$4:B88)+SUM($C$4:C88)-SUM($D$4:D88)</f>
        <v>520</v>
      </c>
      <c r="F88" s="89">
        <f>SUM(经验!A88:X88)</f>
        <v>530</v>
      </c>
      <c r="G88" s="89">
        <f>SUM($F$4:F88)+SUM($H$4:H88)</f>
        <v>61435</v>
      </c>
      <c r="H88" s="89">
        <v>0</v>
      </c>
      <c r="I88" s="105" t="s">
        <v>34</v>
      </c>
      <c r="J88" s="105" t="s">
        <v>34</v>
      </c>
      <c r="K88" s="105" t="s">
        <v>34</v>
      </c>
      <c r="L88" s="105" t="s">
        <v>34</v>
      </c>
      <c r="M88" s="105" t="s">
        <v>34</v>
      </c>
      <c r="N88" s="105" t="s">
        <v>34</v>
      </c>
      <c r="O88" s="104" t="s">
        <v>34</v>
      </c>
      <c r="P88" s="104" t="s">
        <v>34</v>
      </c>
      <c r="Q88" s="97" t="s">
        <v>40</v>
      </c>
      <c r="R88" s="97" t="s">
        <v>40</v>
      </c>
      <c r="S88" s="97" t="s">
        <v>40</v>
      </c>
      <c r="T88" s="94" t="s">
        <v>39</v>
      </c>
      <c r="U88" s="97" t="s">
        <v>40</v>
      </c>
      <c r="V88" s="97" t="s">
        <v>40</v>
      </c>
      <c r="W88" s="104" t="s">
        <v>34</v>
      </c>
      <c r="X88" s="104" t="s">
        <v>34</v>
      </c>
      <c r="Y88" s="97" t="s">
        <v>40</v>
      </c>
      <c r="Z88" s="108" t="s">
        <v>42</v>
      </c>
      <c r="AA88" s="108" t="s">
        <v>42</v>
      </c>
      <c r="AB88" s="108" t="s">
        <v>42</v>
      </c>
      <c r="AC88" s="108" t="s">
        <v>42</v>
      </c>
      <c r="AD88" s="94" t="s">
        <v>39</v>
      </c>
      <c r="AE88" s="104" t="s">
        <v>34</v>
      </c>
      <c r="AF88" s="104" t="s">
        <v>34</v>
      </c>
      <c r="AG88" s="98">
        <f t="shared" si="8"/>
        <v>0</v>
      </c>
      <c r="AH88" s="106"/>
      <c r="AI88" s="106"/>
      <c r="AJ88" s="106"/>
      <c r="AK88" s="107" t="s">
        <v>52</v>
      </c>
    </row>
    <row r="89" spans="1:37">
      <c r="A89" s="88">
        <v>45360</v>
      </c>
      <c r="B89" s="89">
        <v>1600</v>
      </c>
      <c r="C89" s="90"/>
      <c r="D89" s="89">
        <f>(SUM(粮草!A89:X89)+AG89*10)*IF(AK89="是",$AY$4,$AY$3)</f>
        <v>1392</v>
      </c>
      <c r="E89" s="89">
        <f>SUM($B$4:B89)+SUM($C$4:C89)-SUM($D$4:D89)</f>
        <v>728</v>
      </c>
      <c r="F89" s="89">
        <f>SUM(经验!A89:X89)</f>
        <v>470</v>
      </c>
      <c r="G89" s="89">
        <f>SUM($F$4:F89)+SUM($H$4:H89)</f>
        <v>61905</v>
      </c>
      <c r="H89" s="89">
        <v>0</v>
      </c>
      <c r="I89" s="105" t="s">
        <v>34</v>
      </c>
      <c r="J89" s="105" t="s">
        <v>34</v>
      </c>
      <c r="K89" s="105" t="s">
        <v>34</v>
      </c>
      <c r="L89" s="105" t="s">
        <v>34</v>
      </c>
      <c r="M89" s="105" t="s">
        <v>34</v>
      </c>
      <c r="N89" s="105" t="s">
        <v>34</v>
      </c>
      <c r="O89" s="104" t="s">
        <v>34</v>
      </c>
      <c r="P89" s="104" t="s">
        <v>34</v>
      </c>
      <c r="Q89" s="97" t="s">
        <v>40</v>
      </c>
      <c r="R89" s="97" t="s">
        <v>40</v>
      </c>
      <c r="S89" s="97" t="s">
        <v>40</v>
      </c>
      <c r="T89" s="97" t="s">
        <v>40</v>
      </c>
      <c r="U89" s="97" t="s">
        <v>40</v>
      </c>
      <c r="V89" s="97" t="s">
        <v>40</v>
      </c>
      <c r="W89" s="104" t="s">
        <v>34</v>
      </c>
      <c r="X89" s="104" t="s">
        <v>34</v>
      </c>
      <c r="Y89" s="108" t="s">
        <v>42</v>
      </c>
      <c r="Z89" s="108" t="s">
        <v>42</v>
      </c>
      <c r="AA89" s="108" t="s">
        <v>42</v>
      </c>
      <c r="AB89" s="108" t="s">
        <v>42</v>
      </c>
      <c r="AC89" s="92" t="s">
        <v>34</v>
      </c>
      <c r="AD89" s="92" t="s">
        <v>34</v>
      </c>
      <c r="AE89" s="104" t="s">
        <v>34</v>
      </c>
      <c r="AF89" s="104" t="s">
        <v>34</v>
      </c>
      <c r="AG89" s="98">
        <f t="shared" si="8"/>
        <v>0</v>
      </c>
      <c r="AH89" s="106"/>
      <c r="AI89" s="106"/>
      <c r="AJ89" s="106"/>
      <c r="AK89" s="107" t="s">
        <v>52</v>
      </c>
    </row>
    <row r="90" spans="1:37">
      <c r="A90" s="88">
        <v>45361</v>
      </c>
      <c r="B90" s="89">
        <v>1600</v>
      </c>
      <c r="C90" s="90"/>
      <c r="D90" s="89">
        <f>(SUM(粮草!A90:X90)+AG90*10)*IF(AK90="是",$AY$4,$AY$3)</f>
        <v>2232</v>
      </c>
      <c r="E90" s="89">
        <f>SUM($B$4:B90)+SUM($C$4:C90)-SUM($D$4:D90)</f>
        <v>96</v>
      </c>
      <c r="F90" s="89">
        <f>SUM(经验!A90:X90)</f>
        <v>750</v>
      </c>
      <c r="G90" s="89">
        <f>SUM($F$4:F90)+SUM($H$4:H90)</f>
        <v>62655</v>
      </c>
      <c r="H90" s="89">
        <v>0</v>
      </c>
      <c r="I90" s="97" t="s">
        <v>40</v>
      </c>
      <c r="J90" s="97" t="s">
        <v>40</v>
      </c>
      <c r="K90" s="97" t="s">
        <v>40</v>
      </c>
      <c r="L90" s="97" t="s">
        <v>40</v>
      </c>
      <c r="M90" s="97" t="s">
        <v>40</v>
      </c>
      <c r="N90" s="97" t="s">
        <v>40</v>
      </c>
      <c r="O90" s="104" t="s">
        <v>34</v>
      </c>
      <c r="P90" s="104" t="s">
        <v>34</v>
      </c>
      <c r="Q90" s="97" t="s">
        <v>40</v>
      </c>
      <c r="R90" s="97" t="s">
        <v>40</v>
      </c>
      <c r="S90" s="97" t="s">
        <v>40</v>
      </c>
      <c r="T90" s="97" t="s">
        <v>40</v>
      </c>
      <c r="U90" s="97" t="s">
        <v>40</v>
      </c>
      <c r="V90" s="105" t="s">
        <v>34</v>
      </c>
      <c r="W90" s="104" t="s">
        <v>34</v>
      </c>
      <c r="X90" s="104" t="s">
        <v>34</v>
      </c>
      <c r="Y90" s="97" t="s">
        <v>40</v>
      </c>
      <c r="Z90" s="94" t="s">
        <v>39</v>
      </c>
      <c r="AA90" s="97" t="s">
        <v>40</v>
      </c>
      <c r="AB90" s="97" t="s">
        <v>40</v>
      </c>
      <c r="AC90" s="97" t="s">
        <v>40</v>
      </c>
      <c r="AD90" s="97" t="s">
        <v>40</v>
      </c>
      <c r="AE90" s="104" t="s">
        <v>34</v>
      </c>
      <c r="AF90" s="104" t="s">
        <v>34</v>
      </c>
      <c r="AG90" s="98">
        <f t="shared" si="8"/>
        <v>2</v>
      </c>
      <c r="AH90" s="106"/>
      <c r="AI90" s="106">
        <v>1</v>
      </c>
      <c r="AJ90" s="106">
        <v>1</v>
      </c>
      <c r="AK90" s="107" t="s">
        <v>52</v>
      </c>
    </row>
    <row r="91" spans="1:37">
      <c r="A91" s="88">
        <v>45362</v>
      </c>
      <c r="B91" s="92">
        <v>1600</v>
      </c>
      <c r="C91" s="92"/>
      <c r="D91" s="89">
        <f>(SUM(粮草!A91:X91)+AG91*10)*IF(AK91="是",$AY$4,$AY$3)</f>
        <v>1672</v>
      </c>
      <c r="E91" s="89">
        <f>SUM($B$4:B91)+SUM($C$4:C91)-SUM($D$4:D91)</f>
        <v>24</v>
      </c>
      <c r="F91" s="89">
        <f>SUM(经验!A91:X91)</f>
        <v>570</v>
      </c>
      <c r="G91" s="89">
        <f>SUM($F$4:F91)+SUM($H$4:H91)</f>
        <v>63425</v>
      </c>
      <c r="H91" s="92">
        <v>200</v>
      </c>
      <c r="I91" s="97" t="s">
        <v>40</v>
      </c>
      <c r="J91" s="97" t="s">
        <v>40</v>
      </c>
      <c r="K91" s="97" t="s">
        <v>40</v>
      </c>
      <c r="L91" s="97" t="s">
        <v>40</v>
      </c>
      <c r="M91" s="97" t="s">
        <v>40</v>
      </c>
      <c r="N91" s="97" t="s">
        <v>40</v>
      </c>
      <c r="O91" s="104" t="s">
        <v>34</v>
      </c>
      <c r="P91" s="104" t="s">
        <v>34</v>
      </c>
      <c r="Q91" s="105" t="s">
        <v>34</v>
      </c>
      <c r="R91" s="105" t="s">
        <v>34</v>
      </c>
      <c r="S91" s="97" t="s">
        <v>40</v>
      </c>
      <c r="T91" s="97" t="s">
        <v>40</v>
      </c>
      <c r="U91" s="97" t="s">
        <v>40</v>
      </c>
      <c r="V91" s="94" t="s">
        <v>39</v>
      </c>
      <c r="W91" s="104" t="s">
        <v>34</v>
      </c>
      <c r="X91" s="104" t="s">
        <v>34</v>
      </c>
      <c r="Y91" s="97" t="s">
        <v>40</v>
      </c>
      <c r="Z91" s="97" t="s">
        <v>40</v>
      </c>
      <c r="AA91" s="97" t="s">
        <v>40</v>
      </c>
      <c r="AB91" s="92" t="s">
        <v>34</v>
      </c>
      <c r="AC91" s="92" t="s">
        <v>34</v>
      </c>
      <c r="AD91" s="92" t="s">
        <v>34</v>
      </c>
      <c r="AE91" s="104" t="s">
        <v>34</v>
      </c>
      <c r="AF91" s="104" t="s">
        <v>34</v>
      </c>
      <c r="AG91" s="98">
        <f t="shared" si="8"/>
        <v>0</v>
      </c>
      <c r="AH91" s="106"/>
      <c r="AI91" s="106"/>
      <c r="AJ91" s="106"/>
      <c r="AK91" s="107" t="s">
        <v>52</v>
      </c>
    </row>
    <row r="92" spans="1:37">
      <c r="A92" s="88">
        <v>45363</v>
      </c>
      <c r="B92" s="92">
        <v>1600</v>
      </c>
      <c r="C92" s="92"/>
      <c r="D92" s="89">
        <f>(SUM(粮草!A92:X92)+AG92*10)*IF(AK92="是",$AY$4,$AY$3)</f>
        <v>1552</v>
      </c>
      <c r="E92" s="89">
        <f>SUM($B$4:B92)+SUM($C$4:C92)-SUM($D$4:D92)</f>
        <v>72</v>
      </c>
      <c r="F92" s="89">
        <f>SUM(经验!A92:X92)</f>
        <v>610</v>
      </c>
      <c r="G92" s="89">
        <f>SUM($F$4:F92)+SUM($H$4:H92)</f>
        <v>64135</v>
      </c>
      <c r="H92" s="92">
        <v>100</v>
      </c>
      <c r="I92" s="97" t="s">
        <v>40</v>
      </c>
      <c r="J92" s="97" t="s">
        <v>40</v>
      </c>
      <c r="K92" s="94" t="s">
        <v>39</v>
      </c>
      <c r="L92" s="97" t="s">
        <v>40</v>
      </c>
      <c r="M92" s="97" t="s">
        <v>40</v>
      </c>
      <c r="N92" s="97" t="s">
        <v>40</v>
      </c>
      <c r="O92" s="96" t="s">
        <v>41</v>
      </c>
      <c r="P92" s="95" t="s">
        <v>37</v>
      </c>
      <c r="Q92" s="95" t="s">
        <v>37</v>
      </c>
      <c r="R92" s="101" t="s">
        <v>59</v>
      </c>
      <c r="S92" s="105" t="s">
        <v>34</v>
      </c>
      <c r="T92" s="94" t="s">
        <v>39</v>
      </c>
      <c r="U92" s="105" t="s">
        <v>34</v>
      </c>
      <c r="V92" s="105" t="s">
        <v>34</v>
      </c>
      <c r="W92" s="104" t="s">
        <v>34</v>
      </c>
      <c r="X92" s="104" t="s">
        <v>34</v>
      </c>
      <c r="Y92" s="97" t="s">
        <v>40</v>
      </c>
      <c r="Z92" s="97" t="s">
        <v>40</v>
      </c>
      <c r="AA92" s="97" t="s">
        <v>40</v>
      </c>
      <c r="AB92" s="95" t="s">
        <v>37</v>
      </c>
      <c r="AC92" s="94" t="s">
        <v>39</v>
      </c>
      <c r="AD92" s="92" t="s">
        <v>34</v>
      </c>
      <c r="AE92" s="104" t="s">
        <v>34</v>
      </c>
      <c r="AF92" s="104" t="s">
        <v>34</v>
      </c>
      <c r="AG92" s="98">
        <f t="shared" si="8"/>
        <v>0</v>
      </c>
      <c r="AH92" s="106"/>
      <c r="AI92" s="106"/>
      <c r="AJ92" s="106"/>
      <c r="AK92" s="107" t="s">
        <v>52</v>
      </c>
    </row>
    <row r="93" spans="1:37">
      <c r="A93" s="88">
        <v>45364</v>
      </c>
      <c r="B93" s="92">
        <v>1600</v>
      </c>
      <c r="C93" s="92"/>
      <c r="D93" s="89">
        <f>(SUM(粮草!A93:X93)+AG93*10)*IF(AK93="是",$AY$4,$AY$3)</f>
        <v>1672</v>
      </c>
      <c r="E93" s="89">
        <f>SUM($B$4:B93)+SUM($C$4:C93)-SUM($D$4:D93)</f>
        <v>0</v>
      </c>
      <c r="F93" s="89">
        <f>SUM(经验!A93:X93)</f>
        <v>585</v>
      </c>
      <c r="G93" s="89">
        <f>SUM($F$4:F93)+SUM($H$4:H93)</f>
        <v>64920</v>
      </c>
      <c r="H93" s="92">
        <v>200</v>
      </c>
      <c r="I93" s="105" t="s">
        <v>34</v>
      </c>
      <c r="J93" s="92" t="s">
        <v>34</v>
      </c>
      <c r="K93" s="105" t="s">
        <v>34</v>
      </c>
      <c r="L93" s="92" t="s">
        <v>34</v>
      </c>
      <c r="M93" s="92" t="s">
        <v>34</v>
      </c>
      <c r="N93" s="92" t="s">
        <v>34</v>
      </c>
      <c r="O93" s="104" t="s">
        <v>34</v>
      </c>
      <c r="P93" s="104" t="s">
        <v>34</v>
      </c>
      <c r="Q93" s="95" t="s">
        <v>37</v>
      </c>
      <c r="R93" s="95" t="s">
        <v>37</v>
      </c>
      <c r="S93" s="95" t="s">
        <v>37</v>
      </c>
      <c r="T93" s="95" t="s">
        <v>37</v>
      </c>
      <c r="U93" s="94" t="s">
        <v>39</v>
      </c>
      <c r="V93" s="95" t="s">
        <v>37</v>
      </c>
      <c r="W93" s="91" t="s">
        <v>33</v>
      </c>
      <c r="X93" s="94" t="s">
        <v>39</v>
      </c>
      <c r="Y93" s="95" t="s">
        <v>37</v>
      </c>
      <c r="Z93" s="95" t="s">
        <v>37</v>
      </c>
      <c r="AA93" s="95" t="s">
        <v>37</v>
      </c>
      <c r="AB93" s="94" t="s">
        <v>39</v>
      </c>
      <c r="AC93" s="95" t="s">
        <v>37</v>
      </c>
      <c r="AD93" s="91" t="s">
        <v>33</v>
      </c>
      <c r="AE93" s="91" t="s">
        <v>33</v>
      </c>
      <c r="AF93" s="94" t="s">
        <v>39</v>
      </c>
      <c r="AG93" s="98">
        <f t="shared" si="8"/>
        <v>0</v>
      </c>
      <c r="AH93" s="106"/>
      <c r="AI93" s="106"/>
      <c r="AJ93" s="106"/>
      <c r="AK93" s="107" t="s">
        <v>52</v>
      </c>
    </row>
    <row r="95" spans="1:37">
      <c r="D95" t="s">
        <v>61</v>
      </c>
      <c r="E95" s="17">
        <f>COUNTIF(E4:E93,"&lt;0")</f>
        <v>0</v>
      </c>
    </row>
  </sheetData>
  <mergeCells count="13"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94"/>
  <sheetViews>
    <sheetView workbookViewId="0">
      <selection activeCell="E4" sqref="E4"/>
    </sheetView>
  </sheetViews>
  <sheetFormatPr defaultColWidth="9" defaultRowHeight="14.4"/>
  <sheetData>
    <row r="2" spans="1:24">
      <c r="A2" s="146" t="s">
        <v>62</v>
      </c>
      <c r="B2" s="147"/>
      <c r="C2" s="1" t="s">
        <v>4</v>
      </c>
      <c r="D2" s="1">
        <f>COUNTIF(A4:H94,"&lt;&gt;空")</f>
        <v>728</v>
      </c>
      <c r="E2" s="147" t="s">
        <v>5</v>
      </c>
      <c r="F2" s="147"/>
      <c r="G2" s="147"/>
      <c r="H2" s="148"/>
      <c r="I2" s="149" t="s">
        <v>6</v>
      </c>
      <c r="J2" s="150"/>
      <c r="K2" s="6" t="s">
        <v>4</v>
      </c>
      <c r="L2" s="6">
        <f>COUNTIF(I4:P94,"&lt;&gt;空")</f>
        <v>728</v>
      </c>
      <c r="M2" s="150" t="s">
        <v>5</v>
      </c>
      <c r="N2" s="150"/>
      <c r="O2" s="150"/>
      <c r="P2" s="151"/>
      <c r="Q2" s="152" t="s">
        <v>7</v>
      </c>
      <c r="R2" s="144"/>
      <c r="S2" s="10" t="s">
        <v>8</v>
      </c>
      <c r="T2" s="9">
        <f>COUNTIF(Q4:X94,"&lt;&gt;空")</f>
        <v>728</v>
      </c>
      <c r="U2" s="144" t="s">
        <v>5</v>
      </c>
      <c r="V2" s="144"/>
      <c r="W2" s="144"/>
      <c r="X2" s="145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(VLOOKUP('14.05'!I4,'14.05'!$AM$4:$AO$55,2,FALSE))*IF('14.05'!AK$4="是",'14.05'!$AY$4,'14.05'!$AY$3)</f>
        <v>150</v>
      </c>
      <c r="B4" s="4">
        <f>(VLOOKUP('14.05'!J4,'14.05'!$AM$4:$AO$55,2,FALSE))*IF('14.05'!AL$4="是",'14.05'!$AY$4,'14.05'!$AY$3)</f>
        <v>150</v>
      </c>
      <c r="C4" s="4">
        <f>(VLOOKUP('14.05'!K4,'14.05'!$AM$4:$AO$55,2,FALSE))*IF('14.05'!AM$4="是",'14.05'!$AY$4,'14.05'!$AY$3)</f>
        <v>150</v>
      </c>
      <c r="D4" s="4">
        <f>(VLOOKUP('14.05'!L4,'14.05'!$AM$4:$AO$55,2,FALSE))*IF('14.05'!AN$4="是",'14.05'!$AY$4,'14.05'!$AY$3)</f>
        <v>0</v>
      </c>
      <c r="E4" s="4">
        <f>(VLOOKUP('14.05'!M4,'14.05'!$AM$4:$AO$55,2,FALSE))*IF('14.05'!AO$4="是",'14.05'!$AY$4,'14.05'!$AY$3)</f>
        <v>0</v>
      </c>
      <c r="F4" s="4">
        <f>(VLOOKUP('14.05'!N4,'14.05'!$AM$4:$AO$55,2,FALSE))*IF('14.05'!AQ$4="是",'14.05'!$AY$4,'14.05'!$AY$3)</f>
        <v>0</v>
      </c>
      <c r="G4" s="5">
        <f>(VLOOKUP('14.05'!O4,'14.05'!$AM$4:$AO$55,2,FALSE))*IF('14.05'!AR$4="是",'14.05'!$AY$4,'14.05'!$AY$3)</f>
        <v>0</v>
      </c>
      <c r="H4" s="5">
        <f>(VLOOKUP('14.05'!P4,'14.05'!$AM$4:$AO$55,2,FALSE))*IF('14.05'!AS$4="是",'14.05'!$AY$4,'14.05'!$AY$3)</f>
        <v>0</v>
      </c>
      <c r="I4" s="4">
        <f>(VLOOKUP('14.05'!Q4,'14.05'!$AM$4:$AO$55,2,FALSE))*IF('14.05'!AT$4="是",'14.05'!$AY$4,'14.05'!$AY$3)</f>
        <v>150</v>
      </c>
      <c r="J4" s="4">
        <f>(VLOOKUP('14.05'!R4,'14.05'!$AM$4:$AO$55,2,FALSE))*IF('14.05'!AU$4="是",'14.05'!$AY$4,'14.05'!$AY$3)</f>
        <v>50</v>
      </c>
      <c r="K4" s="4">
        <f>(VLOOKUP('14.05'!S4,'14.05'!$AM$4:$AO$55,2,FALSE))*IF('14.05'!AV$4="是",'14.05'!$AY$4,'14.05'!$AY$3)</f>
        <v>150</v>
      </c>
      <c r="L4" s="4">
        <f>(VLOOKUP('14.05'!T4,'14.05'!$AM$4:$AO$55,2,FALSE))*IF('14.05'!AW$4="是",'14.05'!$AY$4,'14.05'!$AY$3)</f>
        <v>160</v>
      </c>
      <c r="M4" s="4">
        <f>(VLOOKUP('14.05'!U4,'14.05'!$AM$4:$AO$55,2,FALSE))*IF('14.05'!AX$4="是",'14.05'!$AY$4,'14.05'!$AY$3)</f>
        <v>0</v>
      </c>
      <c r="N4" s="4">
        <f>(VLOOKUP('14.05'!V4,'14.05'!$AM$4:$AO$55,2,FALSE))*IF('14.05'!AY$4="是",'14.05'!$AY$4,'14.05'!$AY$3)</f>
        <v>0</v>
      </c>
      <c r="O4" s="5">
        <f>(VLOOKUP('14.05'!W4,'14.05'!$AM$4:$AO$55,2,FALSE))*IF('14.05'!AZ$4="是",'14.05'!$AY$4,'14.05'!$AY$3)</f>
        <v>0</v>
      </c>
      <c r="P4" s="5">
        <f>(VLOOKUP('14.05'!X4,'14.05'!$AM$4:$AO$55,2,FALSE))*IF('14.05'!BA$4="是",'14.05'!$AY$4,'14.05'!$AY$3)</f>
        <v>0</v>
      </c>
      <c r="Q4" s="4">
        <f>(VLOOKUP('14.05'!Y4,'14.05'!$AM$4:$AO$55,2,FALSE))*IF('14.05'!BB$4="是",'14.05'!$AY$4,'14.05'!$AY$3)</f>
        <v>160</v>
      </c>
      <c r="R4" s="4">
        <f>(VLOOKUP('14.05'!Z4,'14.05'!$AM$4:$AO$55,2,FALSE))*IF('14.05'!BC$4="是",'14.05'!$AY$4,'14.05'!$AY$3)</f>
        <v>160</v>
      </c>
      <c r="S4" s="4">
        <f>(VLOOKUP('14.05'!AA4,'14.05'!$AM$4:$AO$55,2,FALSE))*IF('14.05'!BD$4="是",'14.05'!$AY$4,'14.05'!$AY$3)</f>
        <v>160</v>
      </c>
      <c r="T4" s="4">
        <f>(VLOOKUP('14.05'!AB4,'14.05'!$AM$4:$AO$55,2,FALSE))*IF('14.05'!BE$4="是",'14.05'!$AY$4,'14.05'!$AY$3)</f>
        <v>150</v>
      </c>
      <c r="U4" s="4">
        <f>(VLOOKUP('14.05'!AC4,'14.05'!$AM$4:$AO$55,2,FALSE))*IF('14.05'!BF$4="是",'14.05'!$AY$4,'14.05'!$AY$3)</f>
        <v>170</v>
      </c>
      <c r="V4" s="4">
        <f>(VLOOKUP('14.05'!AD4,'14.05'!$AM$4:$AO$55,2,FALSE))*IF('14.05'!BG$4="是",'14.05'!$AY$4,'14.05'!$AY$3)</f>
        <v>0</v>
      </c>
      <c r="W4" s="5">
        <f>(VLOOKUP('14.05'!AE4,'14.05'!$AM$4:$AO$55,2,FALSE))*IF('14.05'!BH$4="是",'14.05'!$AY$4,'14.05'!$AY$3)</f>
        <v>0</v>
      </c>
      <c r="X4" s="5">
        <f>(VLOOKUP('14.05'!AF4,'14.05'!$AM$4:$AO$55,2,FALSE))*IF('14.05'!BI$4="是",'14.05'!$AY$4,'14.05'!$AY$3)</f>
        <v>0</v>
      </c>
    </row>
    <row r="5" spans="1:24">
      <c r="A5" s="4">
        <f>(VLOOKUP('14.05'!I5,'14.05'!$AM$4:$AO$55,2,FALSE))*IF('14.05'!AK$4="是",'14.05'!$AY$4,'14.05'!$AY$3)</f>
        <v>150</v>
      </c>
      <c r="B5" s="4">
        <f>(VLOOKUP('14.05'!J5,'14.05'!$AM$4:$AO$55,2,FALSE))*IF('14.05'!AL$4="是",'14.05'!$AY$4,'14.05'!$AY$3)</f>
        <v>150</v>
      </c>
      <c r="C5" s="4">
        <f>(VLOOKUP('14.05'!K5,'14.05'!$AM$4:$AO$55,2,FALSE))*IF('14.05'!AM$4="是",'14.05'!$AY$4,'14.05'!$AY$3)</f>
        <v>50</v>
      </c>
      <c r="D5" s="4">
        <f>(VLOOKUP('14.05'!L5,'14.05'!$AM$4:$AO$55,2,FALSE))*IF('14.05'!AN$4="是",'14.05'!$AY$4,'14.05'!$AY$3)</f>
        <v>150</v>
      </c>
      <c r="E5" s="4">
        <f>(VLOOKUP('14.05'!M5,'14.05'!$AM$4:$AO$55,2,FALSE))*IF('14.05'!AO$4="是",'14.05'!$AY$4,'14.05'!$AY$3)</f>
        <v>150</v>
      </c>
      <c r="F5" s="4">
        <f>(VLOOKUP('14.05'!N5,'14.05'!$AM$4:$AO$55,2,FALSE))*IF('14.05'!AQ$4="是",'14.05'!$AY$4,'14.05'!$AY$3)</f>
        <v>160</v>
      </c>
      <c r="G5" s="5">
        <f>(VLOOKUP('14.05'!O5,'14.05'!$AM$4:$AO$55,2,FALSE))*IF('14.05'!AR$4="是",'14.05'!$AY$4,'14.05'!$AY$3)</f>
        <v>0</v>
      </c>
      <c r="H5" s="5">
        <f>(VLOOKUP('14.05'!P5,'14.05'!$AM$4:$AO$55,2,FALSE))*IF('14.05'!AS$4="是",'14.05'!$AY$4,'14.05'!$AY$3)</f>
        <v>0</v>
      </c>
      <c r="I5" s="4">
        <f>(VLOOKUP('14.05'!Q5,'14.05'!$AM$4:$AO$55,2,FALSE))*IF('14.05'!AT$4="是",'14.05'!$AY$4,'14.05'!$AY$3)</f>
        <v>0</v>
      </c>
      <c r="J5" s="4">
        <f>(VLOOKUP('14.05'!R5,'14.05'!$AM$4:$AO$55,2,FALSE))*IF('14.05'!AU$4="是",'14.05'!$AY$4,'14.05'!$AY$3)</f>
        <v>0</v>
      </c>
      <c r="K5" s="4">
        <f>(VLOOKUP('14.05'!S5,'14.05'!$AM$4:$AO$55,2,FALSE))*IF('14.05'!AV$4="是",'14.05'!$AY$4,'14.05'!$AY$3)</f>
        <v>0</v>
      </c>
      <c r="L5" s="4">
        <f>(VLOOKUP('14.05'!T5,'14.05'!$AM$4:$AO$55,2,FALSE))*IF('14.05'!AW$4="是",'14.05'!$AY$4,'14.05'!$AY$3)</f>
        <v>0</v>
      </c>
      <c r="M5" s="4">
        <f>(VLOOKUP('14.05'!U5,'14.05'!$AM$4:$AO$55,2,FALSE))*IF('14.05'!AX$4="是",'14.05'!$AY$4,'14.05'!$AY$3)</f>
        <v>0</v>
      </c>
      <c r="N5" s="4">
        <f>(VLOOKUP('14.05'!V5,'14.05'!$AM$4:$AO$55,2,FALSE))*IF('14.05'!AY$4="是",'14.05'!$AY$4,'14.05'!$AY$3)</f>
        <v>0</v>
      </c>
      <c r="O5" s="5">
        <f>(VLOOKUP('14.05'!W5,'14.05'!$AM$4:$AO$55,2,FALSE))*IF('14.05'!AZ$4="是",'14.05'!$AY$4,'14.05'!$AY$3)</f>
        <v>0</v>
      </c>
      <c r="P5" s="5">
        <f>(VLOOKUP('14.05'!X5,'14.05'!$AM$4:$AO$55,2,FALSE))*IF('14.05'!BA$4="是",'14.05'!$AY$4,'14.05'!$AY$3)</f>
        <v>0</v>
      </c>
      <c r="Q5" s="4">
        <f>(VLOOKUP('14.05'!Y5,'14.05'!$AM$4:$AO$55,2,FALSE))*IF('14.05'!BB$4="是",'14.05'!$AY$4,'14.05'!$AY$3)</f>
        <v>170</v>
      </c>
      <c r="R5" s="4">
        <f>(VLOOKUP('14.05'!Z5,'14.05'!$AM$4:$AO$55,2,FALSE))*IF('14.05'!BC$4="是",'14.05'!$AY$4,'14.05'!$AY$3)</f>
        <v>170</v>
      </c>
      <c r="S5" s="4">
        <f>(VLOOKUP('14.05'!AA5,'14.05'!$AM$4:$AO$55,2,FALSE))*IF('14.05'!BD$4="是",'14.05'!$AY$4,'14.05'!$AY$3)</f>
        <v>170</v>
      </c>
      <c r="T5" s="4">
        <f>(VLOOKUP('14.05'!AB5,'14.05'!$AM$4:$AO$55,2,FALSE))*IF('14.05'!BE$4="是",'14.05'!$AY$4,'14.05'!$AY$3)</f>
        <v>50</v>
      </c>
      <c r="U5" s="4">
        <f>(VLOOKUP('14.05'!AC5,'14.05'!$AM$4:$AO$55,2,FALSE))*IF('14.05'!BF$4="是",'14.05'!$AY$4,'14.05'!$AY$3)</f>
        <v>170</v>
      </c>
      <c r="V5" s="4">
        <f>(VLOOKUP('14.05'!AD5,'14.05'!$AM$4:$AO$55,2,FALSE))*IF('14.05'!BG$4="是",'14.05'!$AY$4,'14.05'!$AY$3)</f>
        <v>-150</v>
      </c>
      <c r="W5" s="5">
        <f>(VLOOKUP('14.05'!AE5,'14.05'!$AM$4:$AO$55,2,FALSE))*IF('14.05'!BH$4="是",'14.05'!$AY$4,'14.05'!$AY$3)</f>
        <v>170</v>
      </c>
      <c r="X5" s="5">
        <f>(VLOOKUP('14.05'!AF5,'14.05'!$AM$4:$AO$55,2,FALSE))*IF('14.05'!BI$4="是",'14.05'!$AY$4,'14.05'!$AY$3)</f>
        <v>170</v>
      </c>
    </row>
    <row r="6" spans="1:24">
      <c r="A6" s="4">
        <f>(VLOOKUP('14.05'!I6,'14.05'!$AM$4:$AO$55,2,FALSE))*IF('14.05'!AK$4="是",'14.05'!$AY$4,'14.05'!$AY$3)</f>
        <v>160</v>
      </c>
      <c r="B6" s="4">
        <f>(VLOOKUP('14.05'!J6,'14.05'!$AM$4:$AO$55,2,FALSE))*IF('14.05'!AL$4="是",'14.05'!$AY$4,'14.05'!$AY$3)</f>
        <v>50</v>
      </c>
      <c r="C6" s="4">
        <f>(VLOOKUP('14.05'!K6,'14.05'!$AM$4:$AO$55,2,FALSE))*IF('14.05'!AM$4="是",'14.05'!$AY$4,'14.05'!$AY$3)</f>
        <v>160</v>
      </c>
      <c r="D6" s="4">
        <f>(VLOOKUP('14.05'!L6,'14.05'!$AM$4:$AO$55,2,FALSE))*IF('14.05'!AN$4="是",'14.05'!$AY$4,'14.05'!$AY$3)</f>
        <v>160</v>
      </c>
      <c r="E6" s="4">
        <f>(VLOOKUP('14.05'!M6,'14.05'!$AM$4:$AO$55,2,FALSE))*IF('14.05'!AO$4="是",'14.05'!$AY$4,'14.05'!$AY$3)</f>
        <v>-150</v>
      </c>
      <c r="F6" s="4">
        <f>(VLOOKUP('14.05'!N6,'14.05'!$AM$4:$AO$55,2,FALSE))*IF('14.05'!AQ$4="是",'14.05'!$AY$4,'14.05'!$AY$3)</f>
        <v>170</v>
      </c>
      <c r="G6" s="5">
        <f>(VLOOKUP('14.05'!O6,'14.05'!$AM$4:$AO$55,2,FALSE))*IF('14.05'!AR$4="是",'14.05'!$AY$4,'14.05'!$AY$3)</f>
        <v>170</v>
      </c>
      <c r="H6" s="5">
        <f>(VLOOKUP('14.05'!P6,'14.05'!$AM$4:$AO$55,2,FALSE))*IF('14.05'!AS$4="是",'14.05'!$AY$4,'14.05'!$AY$3)</f>
        <v>170</v>
      </c>
      <c r="I6" s="4">
        <f>(VLOOKUP('14.05'!Q6,'14.05'!$AM$4:$AO$55,2,FALSE))*IF('14.05'!AT$4="是",'14.05'!$AY$4,'14.05'!$AY$3)</f>
        <v>0</v>
      </c>
      <c r="J6" s="4">
        <f>(VLOOKUP('14.05'!R6,'14.05'!$AM$4:$AO$55,2,FALSE))*IF('14.05'!AU$4="是",'14.05'!$AY$4,'14.05'!$AY$3)</f>
        <v>0</v>
      </c>
      <c r="K6" s="4">
        <f>(VLOOKUP('14.05'!S6,'14.05'!$AM$4:$AO$55,2,FALSE))*IF('14.05'!AV$4="是",'14.05'!$AY$4,'14.05'!$AY$3)</f>
        <v>0</v>
      </c>
      <c r="L6" s="4">
        <f>(VLOOKUP('14.05'!T6,'14.05'!$AM$4:$AO$55,2,FALSE))*IF('14.05'!AW$4="是",'14.05'!$AY$4,'14.05'!$AY$3)</f>
        <v>0</v>
      </c>
      <c r="M6" s="4">
        <f>(VLOOKUP('14.05'!U6,'14.05'!$AM$4:$AO$55,2,FALSE))*IF('14.05'!AX$4="是",'14.05'!$AY$4,'14.05'!$AY$3)</f>
        <v>0</v>
      </c>
      <c r="N6" s="4">
        <f>(VLOOKUP('14.05'!V6,'14.05'!$AM$4:$AO$55,2,FALSE))*IF('14.05'!AY$4="是",'14.05'!$AY$4,'14.05'!$AY$3)</f>
        <v>0</v>
      </c>
      <c r="O6" s="5">
        <f>(VLOOKUP('14.05'!W6,'14.05'!$AM$4:$AO$55,2,FALSE))*IF('14.05'!AZ$4="是",'14.05'!$AY$4,'14.05'!$AY$3)</f>
        <v>0</v>
      </c>
      <c r="P6" s="5">
        <f>(VLOOKUP('14.05'!X6,'14.05'!$AM$4:$AO$55,2,FALSE))*IF('14.05'!BA$4="是",'14.05'!$AY$4,'14.05'!$AY$3)</f>
        <v>0</v>
      </c>
      <c r="Q6" s="4">
        <f>(VLOOKUP('14.05'!Y6,'14.05'!$AM$4:$AO$55,2,FALSE))*IF('14.05'!BB$4="是",'14.05'!$AY$4,'14.05'!$AY$3)</f>
        <v>170</v>
      </c>
      <c r="R6" s="4">
        <f>(VLOOKUP('14.05'!Z6,'14.05'!$AM$4:$AO$55,2,FALSE))*IF('14.05'!BC$4="是",'14.05'!$AY$4,'14.05'!$AY$3)</f>
        <v>170</v>
      </c>
      <c r="S6" s="4">
        <f>(VLOOKUP('14.05'!AA6,'14.05'!$AM$4:$AO$55,2,FALSE))*IF('14.05'!BD$4="是",'14.05'!$AY$4,'14.05'!$AY$3)</f>
        <v>170</v>
      </c>
      <c r="T6" s="4">
        <f>(VLOOKUP('14.05'!AB6,'14.05'!$AM$4:$AO$55,2,FALSE))*IF('14.05'!BE$4="是",'14.05'!$AY$4,'14.05'!$AY$3)</f>
        <v>170</v>
      </c>
      <c r="U6" s="4">
        <f>(VLOOKUP('14.05'!AC6,'14.05'!$AM$4:$AO$55,2,FALSE))*IF('14.05'!BF$4="是",'14.05'!$AY$4,'14.05'!$AY$3)</f>
        <v>170</v>
      </c>
      <c r="V6" s="4">
        <f>(VLOOKUP('14.05'!AD6,'14.05'!$AM$4:$AO$55,2,FALSE))*IF('14.05'!BG$4="是",'14.05'!$AY$4,'14.05'!$AY$3)</f>
        <v>170</v>
      </c>
      <c r="W6" s="5">
        <f>(VLOOKUP('14.05'!AE6,'14.05'!$AM$4:$AO$55,2,FALSE))*IF('14.05'!BH$4="是",'14.05'!$AY$4,'14.05'!$AY$3)</f>
        <v>0</v>
      </c>
      <c r="X6" s="5">
        <f>(VLOOKUP('14.05'!AF6,'14.05'!$AM$4:$AO$55,2,FALSE))*IF('14.05'!BI$4="是",'14.05'!$AY$4,'14.05'!$AY$3)</f>
        <v>0</v>
      </c>
    </row>
    <row r="7" spans="1:24">
      <c r="A7" s="4">
        <f>(VLOOKUP('14.05'!I7,'14.05'!$AM$4:$AO$55,2,FALSE))*IF('14.05'!AK$4="是",'14.05'!$AY$4,'14.05'!$AY$3)</f>
        <v>170</v>
      </c>
      <c r="B7" s="4">
        <f>(VLOOKUP('14.05'!J7,'14.05'!$AM$4:$AO$55,2,FALSE))*IF('14.05'!AL$4="是",'14.05'!$AY$4,'14.05'!$AY$3)</f>
        <v>250</v>
      </c>
      <c r="C7" s="4">
        <f>(VLOOKUP('14.05'!K7,'14.05'!$AM$4:$AO$55,2,FALSE))*IF('14.05'!AM$4="是",'14.05'!$AY$4,'14.05'!$AY$3)</f>
        <v>170</v>
      </c>
      <c r="D7" s="4">
        <f>(VLOOKUP('14.05'!L7,'14.05'!$AM$4:$AO$55,2,FALSE))*IF('14.05'!AN$4="是",'14.05'!$AY$4,'14.05'!$AY$3)</f>
        <v>170</v>
      </c>
      <c r="E7" s="4">
        <f>(VLOOKUP('14.05'!M7,'14.05'!$AM$4:$AO$55,2,FALSE))*IF('14.05'!AO$4="是",'14.05'!$AY$4,'14.05'!$AY$3)</f>
        <v>150</v>
      </c>
      <c r="F7" s="4">
        <f>(VLOOKUP('14.05'!N7,'14.05'!$AM$4:$AO$55,2,FALSE))*IF('14.05'!AQ$4="是",'14.05'!$AY$4,'14.05'!$AY$3)</f>
        <v>170</v>
      </c>
      <c r="G7" s="5">
        <f>(VLOOKUP('14.05'!O7,'14.05'!$AM$4:$AO$55,2,FALSE))*IF('14.05'!AR$4="是",'14.05'!$AY$4,'14.05'!$AY$3)</f>
        <v>0</v>
      </c>
      <c r="H7" s="5">
        <f>(VLOOKUP('14.05'!P7,'14.05'!$AM$4:$AO$55,2,FALSE))*IF('14.05'!AS$4="是",'14.05'!$AY$4,'14.05'!$AY$3)</f>
        <v>0</v>
      </c>
      <c r="I7" s="4">
        <f>(VLOOKUP('14.05'!Q7,'14.05'!$AM$4:$AO$55,2,FALSE))*IF('14.05'!AT$4="是",'14.05'!$AY$4,'14.05'!$AY$3)</f>
        <v>0</v>
      </c>
      <c r="J7" s="4">
        <f>(VLOOKUP('14.05'!R7,'14.05'!$AM$4:$AO$55,2,FALSE))*IF('14.05'!AU$4="是",'14.05'!$AY$4,'14.05'!$AY$3)</f>
        <v>0</v>
      </c>
      <c r="K7" s="4">
        <f>(VLOOKUP('14.05'!S7,'14.05'!$AM$4:$AO$55,2,FALSE))*IF('14.05'!AV$4="是",'14.05'!$AY$4,'14.05'!$AY$3)</f>
        <v>0</v>
      </c>
      <c r="L7" s="4">
        <f>(VLOOKUP('14.05'!T7,'14.05'!$AM$4:$AO$55,2,FALSE))*IF('14.05'!AW$4="是",'14.05'!$AY$4,'14.05'!$AY$3)</f>
        <v>0</v>
      </c>
      <c r="M7" s="4">
        <f>(VLOOKUP('14.05'!U7,'14.05'!$AM$4:$AO$55,2,FALSE))*IF('14.05'!AX$4="是",'14.05'!$AY$4,'14.05'!$AY$3)</f>
        <v>0</v>
      </c>
      <c r="N7" s="4">
        <f>(VLOOKUP('14.05'!V7,'14.05'!$AM$4:$AO$55,2,FALSE))*IF('14.05'!AY$4="是",'14.05'!$AY$4,'14.05'!$AY$3)</f>
        <v>0</v>
      </c>
      <c r="O7" s="5">
        <f>(VLOOKUP('14.05'!W7,'14.05'!$AM$4:$AO$55,2,FALSE))*IF('14.05'!AZ$4="是",'14.05'!$AY$4,'14.05'!$AY$3)</f>
        <v>0</v>
      </c>
      <c r="P7" s="5">
        <f>(VLOOKUP('14.05'!X7,'14.05'!$AM$4:$AO$55,2,FALSE))*IF('14.05'!BA$4="是",'14.05'!$AY$4,'14.05'!$AY$3)</f>
        <v>0</v>
      </c>
      <c r="Q7" s="4">
        <f>(VLOOKUP('14.05'!Y7,'14.05'!$AM$4:$AO$55,2,FALSE))*IF('14.05'!BB$4="是",'14.05'!$AY$4,'14.05'!$AY$3)</f>
        <v>50</v>
      </c>
      <c r="R7" s="4">
        <f>(VLOOKUP('14.05'!Z7,'14.05'!$AM$4:$AO$55,2,FALSE))*IF('14.05'!BC$4="是",'14.05'!$AY$4,'14.05'!$AY$3)</f>
        <v>170</v>
      </c>
      <c r="S7" s="4">
        <f>(VLOOKUP('14.05'!AA7,'14.05'!$AM$4:$AO$55,2,FALSE))*IF('14.05'!BD$4="是",'14.05'!$AY$4,'14.05'!$AY$3)</f>
        <v>170</v>
      </c>
      <c r="T7" s="4">
        <f>(VLOOKUP('14.05'!AB7,'14.05'!$AM$4:$AO$55,2,FALSE))*IF('14.05'!BE$4="是",'14.05'!$AY$4,'14.05'!$AY$3)</f>
        <v>170</v>
      </c>
      <c r="U7" s="4">
        <f>(VLOOKUP('14.05'!AC7,'14.05'!$AM$4:$AO$55,2,FALSE))*IF('14.05'!BF$4="是",'14.05'!$AY$4,'14.05'!$AY$3)</f>
        <v>250</v>
      </c>
      <c r="V7" s="4">
        <f>(VLOOKUP('14.05'!AD7,'14.05'!$AM$4:$AO$55,2,FALSE))*IF('14.05'!BG$4="是",'14.05'!$AY$4,'14.05'!$AY$3)</f>
        <v>170</v>
      </c>
      <c r="W7" s="5">
        <f>(VLOOKUP('14.05'!AE7,'14.05'!$AM$4:$AO$55,2,FALSE))*IF('14.05'!BH$4="是",'14.05'!$AY$4,'14.05'!$AY$3)</f>
        <v>0</v>
      </c>
      <c r="X7" s="5">
        <f>(VLOOKUP('14.05'!AF7,'14.05'!$AM$4:$AO$55,2,FALSE))*IF('14.05'!BI$4="是",'14.05'!$AY$4,'14.05'!$AY$3)</f>
        <v>0</v>
      </c>
    </row>
    <row r="8" spans="1:24">
      <c r="A8" s="4">
        <f>(VLOOKUP('14.05'!I8,'14.05'!$AM$4:$AO$55,2,FALSE))*IF('14.05'!AK$4="是",'14.05'!$AY$4,'14.05'!$AY$3)</f>
        <v>170</v>
      </c>
      <c r="B8" s="4">
        <f>(VLOOKUP('14.05'!J8,'14.05'!$AM$4:$AO$55,2,FALSE))*IF('14.05'!AL$4="是",'14.05'!$AY$4,'14.05'!$AY$3)</f>
        <v>170</v>
      </c>
      <c r="C8" s="4">
        <f>(VLOOKUP('14.05'!K8,'14.05'!$AM$4:$AO$55,2,FALSE))*IF('14.05'!AM$4="是",'14.05'!$AY$4,'14.05'!$AY$3)</f>
        <v>170</v>
      </c>
      <c r="D8" s="4">
        <f>(VLOOKUP('14.05'!L8,'14.05'!$AM$4:$AO$55,2,FALSE))*IF('14.05'!AN$4="是",'14.05'!$AY$4,'14.05'!$AY$3)</f>
        <v>170</v>
      </c>
      <c r="E8" s="4">
        <f>(VLOOKUP('14.05'!M8,'14.05'!$AM$4:$AO$55,2,FALSE))*IF('14.05'!AO$4="是",'14.05'!$AY$4,'14.05'!$AY$3)</f>
        <v>170</v>
      </c>
      <c r="F8" s="4">
        <f>(VLOOKUP('14.05'!N8,'14.05'!$AM$4:$AO$55,2,FALSE))*IF('14.05'!AQ$4="是",'14.05'!$AY$4,'14.05'!$AY$3)</f>
        <v>170</v>
      </c>
      <c r="G8" s="5">
        <f>(VLOOKUP('14.05'!O8,'14.05'!$AM$4:$AO$55,2,FALSE))*IF('14.05'!AR$4="是",'14.05'!$AY$4,'14.05'!$AY$3)</f>
        <v>0</v>
      </c>
      <c r="H8" s="5">
        <f>(VLOOKUP('14.05'!P8,'14.05'!$AM$4:$AO$55,2,FALSE))*IF('14.05'!AS$4="是",'14.05'!$AY$4,'14.05'!$AY$3)</f>
        <v>0</v>
      </c>
      <c r="I8" s="4">
        <f>(VLOOKUP('14.05'!Q8,'14.05'!$AM$4:$AO$55,2,FALSE))*IF('14.05'!AT$4="是",'14.05'!$AY$4,'14.05'!$AY$3)</f>
        <v>0</v>
      </c>
      <c r="J8" s="4">
        <f>(VLOOKUP('14.05'!R8,'14.05'!$AM$4:$AO$55,2,FALSE))*IF('14.05'!AU$4="是",'14.05'!$AY$4,'14.05'!$AY$3)</f>
        <v>0</v>
      </c>
      <c r="K8" s="4">
        <f>(VLOOKUP('14.05'!S8,'14.05'!$AM$4:$AO$55,2,FALSE))*IF('14.05'!AV$4="是",'14.05'!$AY$4,'14.05'!$AY$3)</f>
        <v>0</v>
      </c>
      <c r="L8" s="4">
        <f>(VLOOKUP('14.05'!T8,'14.05'!$AM$4:$AO$55,2,FALSE))*IF('14.05'!AW$4="是",'14.05'!$AY$4,'14.05'!$AY$3)</f>
        <v>0</v>
      </c>
      <c r="M8" s="4">
        <f>(VLOOKUP('14.05'!U8,'14.05'!$AM$4:$AO$55,2,FALSE))*IF('14.05'!AX$4="是",'14.05'!$AY$4,'14.05'!$AY$3)</f>
        <v>0</v>
      </c>
      <c r="N8" s="4">
        <f>(VLOOKUP('14.05'!V8,'14.05'!$AM$4:$AO$55,2,FALSE))*IF('14.05'!AY$4="是",'14.05'!$AY$4,'14.05'!$AY$3)</f>
        <v>0</v>
      </c>
      <c r="O8" s="5">
        <f>(VLOOKUP('14.05'!W8,'14.05'!$AM$4:$AO$55,2,FALSE))*IF('14.05'!AZ$4="是",'14.05'!$AY$4,'14.05'!$AY$3)</f>
        <v>0</v>
      </c>
      <c r="P8" s="5">
        <f>(VLOOKUP('14.05'!X8,'14.05'!$AM$4:$AO$55,2,FALSE))*IF('14.05'!BA$4="是",'14.05'!$AY$4,'14.05'!$AY$3)</f>
        <v>0</v>
      </c>
      <c r="Q8" s="4">
        <f>(VLOOKUP('14.05'!Y8,'14.05'!$AM$4:$AO$55,2,FALSE))*IF('14.05'!BB$4="是",'14.05'!$AY$4,'14.05'!$AY$3)</f>
        <v>170</v>
      </c>
      <c r="R8" s="4">
        <f>(VLOOKUP('14.05'!Z8,'14.05'!$AM$4:$AO$55,2,FALSE))*IF('14.05'!BC$4="是",'14.05'!$AY$4,'14.05'!$AY$3)</f>
        <v>150</v>
      </c>
      <c r="S8" s="4">
        <f>(VLOOKUP('14.05'!AA8,'14.05'!$AM$4:$AO$55,2,FALSE))*IF('14.05'!BD$4="是",'14.05'!$AY$4,'14.05'!$AY$3)</f>
        <v>170</v>
      </c>
      <c r="T8" s="4">
        <f>(VLOOKUP('14.05'!AB8,'14.05'!$AM$4:$AO$55,2,FALSE))*IF('14.05'!BE$4="是",'14.05'!$AY$4,'14.05'!$AY$3)</f>
        <v>170</v>
      </c>
      <c r="U8" s="4">
        <f>(VLOOKUP('14.05'!AC8,'14.05'!$AM$4:$AO$55,2,FALSE))*IF('14.05'!BF$4="是",'14.05'!$AY$4,'14.05'!$AY$3)</f>
        <v>170</v>
      </c>
      <c r="V8" s="4">
        <f>(VLOOKUP('14.05'!AD8,'14.05'!$AM$4:$AO$55,2,FALSE))*IF('14.05'!BG$4="是",'14.05'!$AY$4,'14.05'!$AY$3)</f>
        <v>170</v>
      </c>
      <c r="W8" s="5">
        <f>(VLOOKUP('14.05'!AE8,'14.05'!$AM$4:$AO$55,2,FALSE))*IF('14.05'!BH$4="是",'14.05'!$AY$4,'14.05'!$AY$3)</f>
        <v>0</v>
      </c>
      <c r="X8" s="5">
        <f>(VLOOKUP('14.05'!AF8,'14.05'!$AM$4:$AO$55,2,FALSE))*IF('14.05'!BI$4="是",'14.05'!$AY$4,'14.05'!$AY$3)</f>
        <v>0</v>
      </c>
    </row>
    <row r="9" spans="1:24">
      <c r="A9" s="4">
        <f>(VLOOKUP('14.05'!I9,'14.05'!$AM$4:$AO$55,2,FALSE))*IF('14.05'!AK$4="是",'14.05'!$AY$4,'14.05'!$AY$3)</f>
        <v>170</v>
      </c>
      <c r="B9" s="4">
        <f>(VLOOKUP('14.05'!J9,'14.05'!$AM$4:$AO$55,2,FALSE))*IF('14.05'!AL$4="是",'14.05'!$AY$4,'14.05'!$AY$3)</f>
        <v>0</v>
      </c>
      <c r="C9" s="4">
        <f>(VLOOKUP('14.05'!K9,'14.05'!$AM$4:$AO$55,2,FALSE))*IF('14.05'!AM$4="是",'14.05'!$AY$4,'14.05'!$AY$3)</f>
        <v>0</v>
      </c>
      <c r="D9" s="4">
        <f>(VLOOKUP('14.05'!L9,'14.05'!$AM$4:$AO$55,2,FALSE))*IF('14.05'!AN$4="是",'14.05'!$AY$4,'14.05'!$AY$3)</f>
        <v>0</v>
      </c>
      <c r="E9" s="4">
        <f>(VLOOKUP('14.05'!M9,'14.05'!$AM$4:$AO$55,2,FALSE))*IF('14.05'!AO$4="是",'14.05'!$AY$4,'14.05'!$AY$3)</f>
        <v>0</v>
      </c>
      <c r="F9" s="4">
        <f>(VLOOKUP('14.05'!N9,'14.05'!$AM$4:$AO$55,2,FALSE))*IF('14.05'!AQ$4="是",'14.05'!$AY$4,'14.05'!$AY$3)</f>
        <v>0</v>
      </c>
      <c r="G9" s="5">
        <f>(VLOOKUP('14.05'!O9,'14.05'!$AM$4:$AO$55,2,FALSE))*IF('14.05'!AR$4="是",'14.05'!$AY$4,'14.05'!$AY$3)</f>
        <v>0</v>
      </c>
      <c r="H9" s="5">
        <f>(VLOOKUP('14.05'!P9,'14.05'!$AM$4:$AO$55,2,FALSE))*IF('14.05'!AS$4="是",'14.05'!$AY$4,'14.05'!$AY$3)</f>
        <v>0</v>
      </c>
      <c r="I9" s="4">
        <f>(VLOOKUP('14.05'!Q9,'14.05'!$AM$4:$AO$55,2,FALSE))*IF('14.05'!AT$4="是",'14.05'!$AY$4,'14.05'!$AY$3)</f>
        <v>0</v>
      </c>
      <c r="J9" s="4">
        <f>(VLOOKUP('14.05'!R9,'14.05'!$AM$4:$AO$55,2,FALSE))*IF('14.05'!AU$4="是",'14.05'!$AY$4,'14.05'!$AY$3)</f>
        <v>0</v>
      </c>
      <c r="K9" s="4">
        <f>(VLOOKUP('14.05'!S9,'14.05'!$AM$4:$AO$55,2,FALSE))*IF('14.05'!AV$4="是",'14.05'!$AY$4,'14.05'!$AY$3)</f>
        <v>0</v>
      </c>
      <c r="L9" s="4">
        <f>(VLOOKUP('14.05'!T9,'14.05'!$AM$4:$AO$55,2,FALSE))*IF('14.05'!AW$4="是",'14.05'!$AY$4,'14.05'!$AY$3)</f>
        <v>0</v>
      </c>
      <c r="M9" s="4">
        <f>(VLOOKUP('14.05'!U9,'14.05'!$AM$4:$AO$55,2,FALSE))*IF('14.05'!AX$4="是",'14.05'!$AY$4,'14.05'!$AY$3)</f>
        <v>0</v>
      </c>
      <c r="N9" s="4">
        <f>(VLOOKUP('14.05'!V9,'14.05'!$AM$4:$AO$55,2,FALSE))*IF('14.05'!AY$4="是",'14.05'!$AY$4,'14.05'!$AY$3)</f>
        <v>0</v>
      </c>
      <c r="O9" s="5">
        <f>(VLOOKUP('14.05'!W9,'14.05'!$AM$4:$AO$55,2,FALSE))*IF('14.05'!AZ$4="是",'14.05'!$AY$4,'14.05'!$AY$3)</f>
        <v>0</v>
      </c>
      <c r="P9" s="5">
        <f>(VLOOKUP('14.05'!X9,'14.05'!$AM$4:$AO$55,2,FALSE))*IF('14.05'!BA$4="是",'14.05'!$AY$4,'14.05'!$AY$3)</f>
        <v>0</v>
      </c>
      <c r="Q9" s="4">
        <f>(VLOOKUP('14.05'!Y9,'14.05'!$AM$4:$AO$55,2,FALSE))*IF('14.05'!BB$4="是",'14.05'!$AY$4,'14.05'!$AY$3)</f>
        <v>170</v>
      </c>
      <c r="R9" s="4">
        <f>(VLOOKUP('14.05'!Z9,'14.05'!$AM$4:$AO$55,2,FALSE))*IF('14.05'!BC$4="是",'14.05'!$AY$4,'14.05'!$AY$3)</f>
        <v>50</v>
      </c>
      <c r="S9" s="4">
        <f>(VLOOKUP('14.05'!AA9,'14.05'!$AM$4:$AO$55,2,FALSE))*IF('14.05'!BD$4="是",'14.05'!$AY$4,'14.05'!$AY$3)</f>
        <v>170</v>
      </c>
      <c r="T9" s="4">
        <f>(VLOOKUP('14.05'!AB9,'14.05'!$AM$4:$AO$55,2,FALSE))*IF('14.05'!BE$4="是",'14.05'!$AY$4,'14.05'!$AY$3)</f>
        <v>170</v>
      </c>
      <c r="U9" s="4">
        <f>(VLOOKUP('14.05'!AC9,'14.05'!$AM$4:$AO$55,2,FALSE))*IF('14.05'!BF$4="是",'14.05'!$AY$4,'14.05'!$AY$3)</f>
        <v>170</v>
      </c>
      <c r="V9" s="4">
        <f>(VLOOKUP('14.05'!AD9,'14.05'!$AM$4:$AO$55,2,FALSE))*IF('14.05'!BG$4="是",'14.05'!$AY$4,'14.05'!$AY$3)</f>
        <v>250</v>
      </c>
      <c r="W9" s="5">
        <f>(VLOOKUP('14.05'!AE9,'14.05'!$AM$4:$AO$55,2,FALSE))*IF('14.05'!BH$4="是",'14.05'!$AY$4,'14.05'!$AY$3)</f>
        <v>0</v>
      </c>
      <c r="X9" s="5">
        <f>(VLOOKUP('14.05'!AF9,'14.05'!$AM$4:$AO$55,2,FALSE))*IF('14.05'!BI$4="是",'14.05'!$AY$4,'14.05'!$AY$3)</f>
        <v>0</v>
      </c>
    </row>
    <row r="10" spans="1:24">
      <c r="A10" s="4">
        <f>(VLOOKUP('14.05'!I10,'14.05'!$AM$4:$AO$55,2,FALSE))*IF('14.05'!AK$4="是",'14.05'!$AY$4,'14.05'!$AY$3)</f>
        <v>0</v>
      </c>
      <c r="B10" s="4">
        <f>(VLOOKUP('14.05'!J10,'14.05'!$AM$4:$AO$55,2,FALSE))*IF('14.05'!AL$4="是",'14.05'!$AY$4,'14.05'!$AY$3)</f>
        <v>0</v>
      </c>
      <c r="C10" s="4">
        <f>(VLOOKUP('14.05'!K10,'14.05'!$AM$4:$AO$55,2,FALSE))*IF('14.05'!AM$4="是",'14.05'!$AY$4,'14.05'!$AY$3)</f>
        <v>0</v>
      </c>
      <c r="D10" s="4">
        <f>(VLOOKUP('14.05'!L10,'14.05'!$AM$4:$AO$55,2,FALSE))*IF('14.05'!AN$4="是",'14.05'!$AY$4,'14.05'!$AY$3)</f>
        <v>0</v>
      </c>
      <c r="E10" s="4">
        <f>(VLOOKUP('14.05'!M10,'14.05'!$AM$4:$AO$55,2,FALSE))*IF('14.05'!AO$4="是",'14.05'!$AY$4,'14.05'!$AY$3)</f>
        <v>0</v>
      </c>
      <c r="F10" s="4">
        <f>(VLOOKUP('14.05'!N10,'14.05'!$AM$4:$AO$55,2,FALSE))*IF('14.05'!AQ$4="是",'14.05'!$AY$4,'14.05'!$AY$3)</f>
        <v>0</v>
      </c>
      <c r="G10" s="5">
        <f>(VLOOKUP('14.05'!O10,'14.05'!$AM$4:$AO$55,2,FALSE))*IF('14.05'!AR$4="是",'14.05'!$AY$4,'14.05'!$AY$3)</f>
        <v>0</v>
      </c>
      <c r="H10" s="5">
        <f>(VLOOKUP('14.05'!P10,'14.05'!$AM$4:$AO$55,2,FALSE))*IF('14.05'!AS$4="是",'14.05'!$AY$4,'14.05'!$AY$3)</f>
        <v>0</v>
      </c>
      <c r="I10" s="4">
        <f>(VLOOKUP('14.05'!Q10,'14.05'!$AM$4:$AO$55,2,FALSE))*IF('14.05'!AT$4="是",'14.05'!$AY$4,'14.05'!$AY$3)</f>
        <v>0</v>
      </c>
      <c r="J10" s="4">
        <f>(VLOOKUP('14.05'!R10,'14.05'!$AM$4:$AO$55,2,FALSE))*IF('14.05'!AU$4="是",'14.05'!$AY$4,'14.05'!$AY$3)</f>
        <v>0</v>
      </c>
      <c r="K10" s="4">
        <f>(VLOOKUP('14.05'!S10,'14.05'!$AM$4:$AO$55,2,FALSE))*IF('14.05'!AV$4="是",'14.05'!$AY$4,'14.05'!$AY$3)</f>
        <v>0</v>
      </c>
      <c r="L10" s="4">
        <f>(VLOOKUP('14.05'!T10,'14.05'!$AM$4:$AO$55,2,FALSE))*IF('14.05'!AW$4="是",'14.05'!$AY$4,'14.05'!$AY$3)</f>
        <v>0</v>
      </c>
      <c r="M10" s="4">
        <f>(VLOOKUP('14.05'!U10,'14.05'!$AM$4:$AO$55,2,FALSE))*IF('14.05'!AX$4="是",'14.05'!$AY$4,'14.05'!$AY$3)</f>
        <v>0</v>
      </c>
      <c r="N10" s="4">
        <f>(VLOOKUP('14.05'!V10,'14.05'!$AM$4:$AO$55,2,FALSE))*IF('14.05'!AY$4="是",'14.05'!$AY$4,'14.05'!$AY$3)</f>
        <v>0</v>
      </c>
      <c r="O10" s="5">
        <f>(VLOOKUP('14.05'!W10,'14.05'!$AM$4:$AO$55,2,FALSE))*IF('14.05'!AZ$4="是",'14.05'!$AY$4,'14.05'!$AY$3)</f>
        <v>0</v>
      </c>
      <c r="P10" s="5">
        <f>(VLOOKUP('14.05'!X10,'14.05'!$AM$4:$AO$55,2,FALSE))*IF('14.05'!BA$4="是",'14.05'!$AY$4,'14.05'!$AY$3)</f>
        <v>0</v>
      </c>
      <c r="Q10" s="4">
        <f>(VLOOKUP('14.05'!Y10,'14.05'!$AM$4:$AO$55,2,FALSE))*IF('14.05'!BB$4="是",'14.05'!$AY$4,'14.05'!$AY$3)</f>
        <v>170</v>
      </c>
      <c r="R10" s="4">
        <f>(VLOOKUP('14.05'!Z10,'14.05'!$AM$4:$AO$55,2,FALSE))*IF('14.05'!BC$4="是",'14.05'!$AY$4,'14.05'!$AY$3)</f>
        <v>-150</v>
      </c>
      <c r="S10" s="4">
        <f>(VLOOKUP('14.05'!AA10,'14.05'!$AM$4:$AO$55,2,FALSE))*IF('14.05'!BD$4="是",'14.05'!$AY$4,'14.05'!$AY$3)</f>
        <v>170</v>
      </c>
      <c r="T10" s="4">
        <f>(VLOOKUP('14.05'!AB10,'14.05'!$AM$4:$AO$55,2,FALSE))*IF('14.05'!BE$4="是",'14.05'!$AY$4,'14.05'!$AY$3)</f>
        <v>170</v>
      </c>
      <c r="U10" s="4">
        <f>(VLOOKUP('14.05'!AC10,'14.05'!$AM$4:$AO$55,2,FALSE))*IF('14.05'!BF$4="是",'14.05'!$AY$4,'14.05'!$AY$3)</f>
        <v>170</v>
      </c>
      <c r="V10" s="4">
        <f>(VLOOKUP('14.05'!AD10,'14.05'!$AM$4:$AO$55,2,FALSE))*IF('14.05'!BG$4="是",'14.05'!$AY$4,'14.05'!$AY$3)</f>
        <v>170</v>
      </c>
      <c r="W10" s="5">
        <f>(VLOOKUP('14.05'!AE10,'14.05'!$AM$4:$AO$55,2,FALSE))*IF('14.05'!BH$4="是",'14.05'!$AY$4,'14.05'!$AY$3)</f>
        <v>170</v>
      </c>
      <c r="X10" s="5">
        <f>(VLOOKUP('14.05'!AF10,'14.05'!$AM$4:$AO$55,2,FALSE))*IF('14.05'!BI$4="是",'14.05'!$AY$4,'14.05'!$AY$3)</f>
        <v>170</v>
      </c>
    </row>
    <row r="11" spans="1:24">
      <c r="A11" s="4">
        <f>(VLOOKUP('14.05'!I11,'14.05'!$AM$4:$AO$55,2,FALSE))*IF('14.05'!AK$4="是",'14.05'!$AY$4,'14.05'!$AY$3)</f>
        <v>0</v>
      </c>
      <c r="B11" s="4">
        <f>(VLOOKUP('14.05'!J11,'14.05'!$AM$4:$AO$55,2,FALSE))*IF('14.05'!AL$4="是",'14.05'!$AY$4,'14.05'!$AY$3)</f>
        <v>0</v>
      </c>
      <c r="C11" s="4">
        <f>(VLOOKUP('14.05'!K11,'14.05'!$AM$4:$AO$55,2,FALSE))*IF('14.05'!AM$4="是",'14.05'!$AY$4,'14.05'!$AY$3)</f>
        <v>0</v>
      </c>
      <c r="D11" s="4">
        <f>(VLOOKUP('14.05'!L11,'14.05'!$AM$4:$AO$55,2,FALSE))*IF('14.05'!AN$4="是",'14.05'!$AY$4,'14.05'!$AY$3)</f>
        <v>0</v>
      </c>
      <c r="E11" s="4">
        <f>(VLOOKUP('14.05'!M11,'14.05'!$AM$4:$AO$55,2,FALSE))*IF('14.05'!AO$4="是",'14.05'!$AY$4,'14.05'!$AY$3)</f>
        <v>0</v>
      </c>
      <c r="F11" s="4">
        <f>(VLOOKUP('14.05'!N11,'14.05'!$AM$4:$AO$55,2,FALSE))*IF('14.05'!AQ$4="是",'14.05'!$AY$4,'14.05'!$AY$3)</f>
        <v>0</v>
      </c>
      <c r="G11" s="5">
        <f>(VLOOKUP('14.05'!O11,'14.05'!$AM$4:$AO$55,2,FALSE))*IF('14.05'!AR$4="是",'14.05'!$AY$4,'14.05'!$AY$3)</f>
        <v>0</v>
      </c>
      <c r="H11" s="5">
        <f>(VLOOKUP('14.05'!P11,'14.05'!$AM$4:$AO$55,2,FALSE))*IF('14.05'!AS$4="是",'14.05'!$AY$4,'14.05'!$AY$3)</f>
        <v>0</v>
      </c>
      <c r="I11" s="4">
        <f>(VLOOKUP('14.05'!Q11,'14.05'!$AM$4:$AO$55,2,FALSE))*IF('14.05'!AT$4="是",'14.05'!$AY$4,'14.05'!$AY$3)</f>
        <v>0</v>
      </c>
      <c r="J11" s="4">
        <f>(VLOOKUP('14.05'!R11,'14.05'!$AM$4:$AO$55,2,FALSE))*IF('14.05'!AU$4="是",'14.05'!$AY$4,'14.05'!$AY$3)</f>
        <v>0</v>
      </c>
      <c r="K11" s="4">
        <f>(VLOOKUP('14.05'!S11,'14.05'!$AM$4:$AO$55,2,FALSE))*IF('14.05'!AV$4="是",'14.05'!$AY$4,'14.05'!$AY$3)</f>
        <v>0</v>
      </c>
      <c r="L11" s="4">
        <f>(VLOOKUP('14.05'!T11,'14.05'!$AM$4:$AO$55,2,FALSE))*IF('14.05'!AW$4="是",'14.05'!$AY$4,'14.05'!$AY$3)</f>
        <v>0</v>
      </c>
      <c r="M11" s="4">
        <f>(VLOOKUP('14.05'!U11,'14.05'!$AM$4:$AO$55,2,FALSE))*IF('14.05'!AX$4="是",'14.05'!$AY$4,'14.05'!$AY$3)</f>
        <v>0</v>
      </c>
      <c r="N11" s="4">
        <f>(VLOOKUP('14.05'!V11,'14.05'!$AM$4:$AO$55,2,FALSE))*IF('14.05'!AY$4="是",'14.05'!$AY$4,'14.05'!$AY$3)</f>
        <v>0</v>
      </c>
      <c r="O11" s="5">
        <f>(VLOOKUP('14.05'!W11,'14.05'!$AM$4:$AO$55,2,FALSE))*IF('14.05'!AZ$4="是",'14.05'!$AY$4,'14.05'!$AY$3)</f>
        <v>0</v>
      </c>
      <c r="P11" s="5">
        <f>(VLOOKUP('14.05'!X11,'14.05'!$AM$4:$AO$55,2,FALSE))*IF('14.05'!BA$4="是",'14.05'!$AY$4,'14.05'!$AY$3)</f>
        <v>0</v>
      </c>
      <c r="Q11" s="4">
        <f>(VLOOKUP('14.05'!Y11,'14.05'!$AM$4:$AO$55,2,FALSE))*IF('14.05'!BB$4="是",'14.05'!$AY$4,'14.05'!$AY$3)</f>
        <v>170</v>
      </c>
      <c r="R11" s="4">
        <f>(VLOOKUP('14.05'!Z11,'14.05'!$AM$4:$AO$55,2,FALSE))*IF('14.05'!BC$4="是",'14.05'!$AY$4,'14.05'!$AY$3)</f>
        <v>170</v>
      </c>
      <c r="S11" s="4">
        <f>(VLOOKUP('14.05'!AA11,'14.05'!$AM$4:$AO$55,2,FALSE))*IF('14.05'!BD$4="是",'14.05'!$AY$4,'14.05'!$AY$3)</f>
        <v>50</v>
      </c>
      <c r="T11" s="4">
        <f>(VLOOKUP('14.05'!AB11,'14.05'!$AM$4:$AO$55,2,FALSE))*IF('14.05'!BE$4="是",'14.05'!$AY$4,'14.05'!$AY$3)</f>
        <v>170</v>
      </c>
      <c r="U11" s="4">
        <f>(VLOOKUP('14.05'!AC11,'14.05'!$AM$4:$AO$55,2,FALSE))*IF('14.05'!BF$4="是",'14.05'!$AY$4,'14.05'!$AY$3)</f>
        <v>170</v>
      </c>
      <c r="V11" s="4">
        <f>(VLOOKUP('14.05'!AD11,'14.05'!$AM$4:$AO$55,2,FALSE))*IF('14.05'!BG$4="是",'14.05'!$AY$4,'14.05'!$AY$3)</f>
        <v>170</v>
      </c>
      <c r="W11" s="5">
        <f>(VLOOKUP('14.05'!AE11,'14.05'!$AM$4:$AO$55,2,FALSE))*IF('14.05'!BH$4="是",'14.05'!$AY$4,'14.05'!$AY$3)</f>
        <v>0</v>
      </c>
      <c r="X11" s="5">
        <f>(VLOOKUP('14.05'!AF11,'14.05'!$AM$4:$AO$55,2,FALSE))*IF('14.05'!BI$4="是",'14.05'!$AY$4,'14.05'!$AY$3)</f>
        <v>0</v>
      </c>
    </row>
    <row r="12" spans="1:24">
      <c r="A12" s="4">
        <f>(VLOOKUP('14.05'!I12,'14.05'!$AM$4:$AO$55,2,FALSE))*IF('14.05'!AK$4="是",'14.05'!$AY$4,'14.05'!$AY$3)</f>
        <v>0</v>
      </c>
      <c r="B12" s="4">
        <f>(VLOOKUP('14.05'!J12,'14.05'!$AM$4:$AO$55,2,FALSE))*IF('14.05'!AL$4="是",'14.05'!$AY$4,'14.05'!$AY$3)</f>
        <v>0</v>
      </c>
      <c r="C12" s="4">
        <f>(VLOOKUP('14.05'!K12,'14.05'!$AM$4:$AO$55,2,FALSE))*IF('14.05'!AM$4="是",'14.05'!$AY$4,'14.05'!$AY$3)</f>
        <v>0</v>
      </c>
      <c r="D12" s="4">
        <f>(VLOOKUP('14.05'!L12,'14.05'!$AM$4:$AO$55,2,FALSE))*IF('14.05'!AN$4="是",'14.05'!$AY$4,'14.05'!$AY$3)</f>
        <v>0</v>
      </c>
      <c r="E12" s="4">
        <f>(VLOOKUP('14.05'!M12,'14.05'!$AM$4:$AO$55,2,FALSE))*IF('14.05'!AO$4="是",'14.05'!$AY$4,'14.05'!$AY$3)</f>
        <v>0</v>
      </c>
      <c r="F12" s="4">
        <f>(VLOOKUP('14.05'!N12,'14.05'!$AM$4:$AO$55,2,FALSE))*IF('14.05'!AQ$4="是",'14.05'!$AY$4,'14.05'!$AY$3)</f>
        <v>0</v>
      </c>
      <c r="G12" s="5">
        <f>(VLOOKUP('14.05'!O12,'14.05'!$AM$4:$AO$55,2,FALSE))*IF('14.05'!AR$4="是",'14.05'!$AY$4,'14.05'!$AY$3)</f>
        <v>0</v>
      </c>
      <c r="H12" s="5">
        <f>(VLOOKUP('14.05'!P12,'14.05'!$AM$4:$AO$55,2,FALSE))*IF('14.05'!AS$4="是",'14.05'!$AY$4,'14.05'!$AY$3)</f>
        <v>0</v>
      </c>
      <c r="I12" s="4">
        <f>(VLOOKUP('14.05'!Q12,'14.05'!$AM$4:$AO$55,2,FALSE))*IF('14.05'!AT$4="是",'14.05'!$AY$4,'14.05'!$AY$3)</f>
        <v>0</v>
      </c>
      <c r="J12" s="4">
        <f>(VLOOKUP('14.05'!R12,'14.05'!$AM$4:$AO$55,2,FALSE))*IF('14.05'!AU$4="是",'14.05'!$AY$4,'14.05'!$AY$3)</f>
        <v>0</v>
      </c>
      <c r="K12" s="4">
        <f>(VLOOKUP('14.05'!S12,'14.05'!$AM$4:$AO$55,2,FALSE))*IF('14.05'!AV$4="是",'14.05'!$AY$4,'14.05'!$AY$3)</f>
        <v>0</v>
      </c>
      <c r="L12" s="4">
        <f>(VLOOKUP('14.05'!T12,'14.05'!$AM$4:$AO$55,2,FALSE))*IF('14.05'!AW$4="是",'14.05'!$AY$4,'14.05'!$AY$3)</f>
        <v>0</v>
      </c>
      <c r="M12" s="4">
        <f>(VLOOKUP('14.05'!U12,'14.05'!$AM$4:$AO$55,2,FALSE))*IF('14.05'!AX$4="是",'14.05'!$AY$4,'14.05'!$AY$3)</f>
        <v>0</v>
      </c>
      <c r="N12" s="4">
        <f>(VLOOKUP('14.05'!V12,'14.05'!$AM$4:$AO$55,2,FALSE))*IF('14.05'!AY$4="是",'14.05'!$AY$4,'14.05'!$AY$3)</f>
        <v>0</v>
      </c>
      <c r="O12" s="5">
        <f>(VLOOKUP('14.05'!W12,'14.05'!$AM$4:$AO$55,2,FALSE))*IF('14.05'!AZ$4="是",'14.05'!$AY$4,'14.05'!$AY$3)</f>
        <v>0</v>
      </c>
      <c r="P12" s="5">
        <f>(VLOOKUP('14.05'!X12,'14.05'!$AM$4:$AO$55,2,FALSE))*IF('14.05'!BA$4="是",'14.05'!$AY$4,'14.05'!$AY$3)</f>
        <v>0</v>
      </c>
      <c r="Q12" s="4">
        <f>(VLOOKUP('14.05'!Y12,'14.05'!$AM$4:$AO$55,2,FALSE))*IF('14.05'!BB$4="是",'14.05'!$AY$4,'14.05'!$AY$3)</f>
        <v>170</v>
      </c>
      <c r="R12" s="4">
        <f>(VLOOKUP('14.05'!Z12,'14.05'!$AM$4:$AO$55,2,FALSE))*IF('14.05'!BC$4="是",'14.05'!$AY$4,'14.05'!$AY$3)</f>
        <v>0</v>
      </c>
      <c r="S12" s="4">
        <f>(VLOOKUP('14.05'!AA12,'14.05'!$AM$4:$AO$55,2,FALSE))*IF('14.05'!BD$4="是",'14.05'!$AY$4,'14.05'!$AY$3)</f>
        <v>0</v>
      </c>
      <c r="T12" s="4">
        <f>(VLOOKUP('14.05'!AB12,'14.05'!$AM$4:$AO$55,2,FALSE))*IF('14.05'!BE$4="是",'14.05'!$AY$4,'14.05'!$AY$3)</f>
        <v>0</v>
      </c>
      <c r="U12" s="4">
        <f>(VLOOKUP('14.05'!AC12,'14.05'!$AM$4:$AO$55,2,FALSE))*IF('14.05'!BF$4="是",'14.05'!$AY$4,'14.05'!$AY$3)</f>
        <v>0</v>
      </c>
      <c r="V12" s="4">
        <f>(VLOOKUP('14.05'!AD12,'14.05'!$AM$4:$AO$55,2,FALSE))*IF('14.05'!BG$4="是",'14.05'!$AY$4,'14.05'!$AY$3)</f>
        <v>0</v>
      </c>
      <c r="W12" s="5">
        <f>(VLOOKUP('14.05'!AE12,'14.05'!$AM$4:$AO$55,2,FALSE))*IF('14.05'!BH$4="是",'14.05'!$AY$4,'14.05'!$AY$3)</f>
        <v>0</v>
      </c>
      <c r="X12" s="5">
        <f>(VLOOKUP('14.05'!AF12,'14.05'!$AM$4:$AO$55,2,FALSE))*IF('14.05'!BI$4="是",'14.05'!$AY$4,'14.05'!$AY$3)</f>
        <v>0</v>
      </c>
    </row>
    <row r="13" spans="1:24">
      <c r="A13" s="4">
        <f>(VLOOKUP('14.05'!I13,'14.05'!$AM$4:$AO$55,2,FALSE))*IF('14.05'!AK$4="是",'14.05'!$AY$4,'14.05'!$AY$3)</f>
        <v>170</v>
      </c>
      <c r="B13" s="4">
        <f>(VLOOKUP('14.05'!J13,'14.05'!$AM$4:$AO$55,2,FALSE))*IF('14.05'!AL$4="是",'14.05'!$AY$4,'14.05'!$AY$3)</f>
        <v>150</v>
      </c>
      <c r="C13" s="4">
        <f>(VLOOKUP('14.05'!K13,'14.05'!$AM$4:$AO$55,2,FALSE))*IF('14.05'!AM$4="是",'14.05'!$AY$4,'14.05'!$AY$3)</f>
        <v>170</v>
      </c>
      <c r="D13" s="4">
        <f>(VLOOKUP('14.05'!L13,'14.05'!$AM$4:$AO$55,2,FALSE))*IF('14.05'!AN$4="是",'14.05'!$AY$4,'14.05'!$AY$3)</f>
        <v>170</v>
      </c>
      <c r="E13" s="4">
        <f>(VLOOKUP('14.05'!M13,'14.05'!$AM$4:$AO$55,2,FALSE))*IF('14.05'!AO$4="是",'14.05'!$AY$4,'14.05'!$AY$3)</f>
        <v>50</v>
      </c>
      <c r="F13" s="4">
        <f>(VLOOKUP('14.05'!N13,'14.05'!$AM$4:$AO$55,2,FALSE))*IF('14.05'!AQ$4="是",'14.05'!$AY$4,'14.05'!$AY$3)</f>
        <v>170</v>
      </c>
      <c r="G13" s="5">
        <f>(VLOOKUP('14.05'!O13,'14.05'!$AM$4:$AO$55,2,FALSE))*IF('14.05'!AR$4="是",'14.05'!$AY$4,'14.05'!$AY$3)</f>
        <v>0</v>
      </c>
      <c r="H13" s="5">
        <f>(VLOOKUP('14.05'!P13,'14.05'!$AM$4:$AO$55,2,FALSE))*IF('14.05'!AS$4="是",'14.05'!$AY$4,'14.05'!$AY$3)</f>
        <v>0</v>
      </c>
      <c r="I13" s="4">
        <f>(VLOOKUP('14.05'!Q13,'14.05'!$AM$4:$AO$55,2,FALSE))*IF('14.05'!AT$4="是",'14.05'!$AY$4,'14.05'!$AY$3)</f>
        <v>50</v>
      </c>
      <c r="J13" s="4">
        <f>(VLOOKUP('14.05'!R13,'14.05'!$AM$4:$AO$55,2,FALSE))*IF('14.05'!AU$4="是",'14.05'!$AY$4,'14.05'!$AY$3)</f>
        <v>170</v>
      </c>
      <c r="K13" s="4">
        <f>(VLOOKUP('14.05'!S13,'14.05'!$AM$4:$AO$55,2,FALSE))*IF('14.05'!AV$4="是",'14.05'!$AY$4,'14.05'!$AY$3)</f>
        <v>170</v>
      </c>
      <c r="L13" s="4">
        <f>(VLOOKUP('14.05'!T13,'14.05'!$AM$4:$AO$55,2,FALSE))*IF('14.05'!AW$4="是",'14.05'!$AY$4,'14.05'!$AY$3)</f>
        <v>170</v>
      </c>
      <c r="M13" s="4">
        <f>(VLOOKUP('14.05'!U13,'14.05'!$AM$4:$AO$55,2,FALSE))*IF('14.05'!AX$4="是",'14.05'!$AY$4,'14.05'!$AY$3)</f>
        <v>170</v>
      </c>
      <c r="N13" s="4">
        <f>(VLOOKUP('14.05'!V13,'14.05'!$AM$4:$AO$55,2,FALSE))*IF('14.05'!AY$4="是",'14.05'!$AY$4,'14.05'!$AY$3)</f>
        <v>170</v>
      </c>
      <c r="O13" s="5">
        <f>(VLOOKUP('14.05'!W13,'14.05'!$AM$4:$AO$55,2,FALSE))*IF('14.05'!AZ$4="是",'14.05'!$AY$4,'14.05'!$AY$3)</f>
        <v>0</v>
      </c>
      <c r="P13" s="5">
        <f>(VLOOKUP('14.05'!X13,'14.05'!$AM$4:$AO$55,2,FALSE))*IF('14.05'!BA$4="是",'14.05'!$AY$4,'14.05'!$AY$3)</f>
        <v>0</v>
      </c>
      <c r="Q13" s="4">
        <f>(VLOOKUP('14.05'!Y13,'14.05'!$AM$4:$AO$55,2,FALSE))*IF('14.05'!BB$4="是",'14.05'!$AY$4,'14.05'!$AY$3)</f>
        <v>170</v>
      </c>
      <c r="R13" s="4">
        <f>(VLOOKUP('14.05'!Z13,'14.05'!$AM$4:$AO$55,2,FALSE))*IF('14.05'!BC$4="是",'14.05'!$AY$4,'14.05'!$AY$3)</f>
        <v>170</v>
      </c>
      <c r="S13" s="4">
        <f>(VLOOKUP('14.05'!AA13,'14.05'!$AM$4:$AO$55,2,FALSE))*IF('14.05'!BD$4="是",'14.05'!$AY$4,'14.05'!$AY$3)</f>
        <v>150</v>
      </c>
      <c r="T13" s="4">
        <f>(VLOOKUP('14.05'!AB13,'14.05'!$AM$4:$AO$55,2,FALSE))*IF('14.05'!BE$4="是",'14.05'!$AY$4,'14.05'!$AY$3)</f>
        <v>0</v>
      </c>
      <c r="U13" s="4">
        <f>(VLOOKUP('14.05'!AC13,'14.05'!$AM$4:$AO$55,2,FALSE))*IF('14.05'!BF$4="是",'14.05'!$AY$4,'14.05'!$AY$3)</f>
        <v>0</v>
      </c>
      <c r="V13" s="4">
        <f>(VLOOKUP('14.05'!AD13,'14.05'!$AM$4:$AO$55,2,FALSE))*IF('14.05'!BG$4="是",'14.05'!$AY$4,'14.05'!$AY$3)</f>
        <v>0</v>
      </c>
      <c r="W13" s="5">
        <f>(VLOOKUP('14.05'!AE13,'14.05'!$AM$4:$AO$55,2,FALSE))*IF('14.05'!BH$4="是",'14.05'!$AY$4,'14.05'!$AY$3)</f>
        <v>0</v>
      </c>
      <c r="X13" s="5">
        <f>(VLOOKUP('14.05'!AF13,'14.05'!$AM$4:$AO$55,2,FALSE))*IF('14.05'!BI$4="是",'14.05'!$AY$4,'14.05'!$AY$3)</f>
        <v>0</v>
      </c>
    </row>
    <row r="14" spans="1:24">
      <c r="A14" s="4">
        <f>(VLOOKUP('14.05'!I14,'14.05'!$AM$4:$AO$55,2,FALSE))*IF('14.05'!AK$4="是",'14.05'!$AY$4,'14.05'!$AY$3)</f>
        <v>180</v>
      </c>
      <c r="B14" s="4">
        <f>(VLOOKUP('14.05'!J14,'14.05'!$AM$4:$AO$55,2,FALSE))*IF('14.05'!AL$4="是",'14.05'!$AY$4,'14.05'!$AY$3)</f>
        <v>180</v>
      </c>
      <c r="C14" s="4">
        <f>(VLOOKUP('14.05'!K14,'14.05'!$AM$4:$AO$55,2,FALSE))*IF('14.05'!AM$4="是",'14.05'!$AY$4,'14.05'!$AY$3)</f>
        <v>180</v>
      </c>
      <c r="D14" s="4">
        <f>(VLOOKUP('14.05'!L14,'14.05'!$AM$4:$AO$55,2,FALSE))*IF('14.05'!AN$4="是",'14.05'!$AY$4,'14.05'!$AY$3)</f>
        <v>180</v>
      </c>
      <c r="E14" s="4">
        <f>(VLOOKUP('14.05'!M14,'14.05'!$AM$4:$AO$55,2,FALSE))*IF('14.05'!AO$4="是",'14.05'!$AY$4,'14.05'!$AY$3)</f>
        <v>180</v>
      </c>
      <c r="F14" s="4">
        <f>(VLOOKUP('14.05'!N14,'14.05'!$AM$4:$AO$55,2,FALSE))*IF('14.05'!AQ$4="是",'14.05'!$AY$4,'14.05'!$AY$3)</f>
        <v>180</v>
      </c>
      <c r="G14" s="5">
        <f>(VLOOKUP('14.05'!O14,'14.05'!$AM$4:$AO$55,2,FALSE))*IF('14.05'!AR$4="是",'14.05'!$AY$4,'14.05'!$AY$3)</f>
        <v>0</v>
      </c>
      <c r="H14" s="5">
        <f>(VLOOKUP('14.05'!P14,'14.05'!$AM$4:$AO$55,2,FALSE))*IF('14.05'!AS$4="是",'14.05'!$AY$4,'14.05'!$AY$3)</f>
        <v>0</v>
      </c>
      <c r="I14" s="4">
        <f>(VLOOKUP('14.05'!Q14,'14.05'!$AM$4:$AO$55,2,FALSE))*IF('14.05'!AT$4="是",'14.05'!$AY$4,'14.05'!$AY$3)</f>
        <v>50</v>
      </c>
      <c r="J14" s="4">
        <f>(VLOOKUP('14.05'!R14,'14.05'!$AM$4:$AO$55,2,FALSE))*IF('14.05'!AU$4="是",'14.05'!$AY$4,'14.05'!$AY$3)</f>
        <v>170</v>
      </c>
      <c r="K14" s="4">
        <f>(VLOOKUP('14.05'!S14,'14.05'!$AM$4:$AO$55,2,FALSE))*IF('14.05'!AV$4="是",'14.05'!$AY$4,'14.05'!$AY$3)</f>
        <v>170</v>
      </c>
      <c r="L14" s="4">
        <f>(VLOOKUP('14.05'!T14,'14.05'!$AM$4:$AO$55,2,FALSE))*IF('14.05'!AW$4="是",'14.05'!$AY$4,'14.05'!$AY$3)</f>
        <v>170</v>
      </c>
      <c r="M14" s="4">
        <f>(VLOOKUP('14.05'!U14,'14.05'!$AM$4:$AO$55,2,FALSE))*IF('14.05'!AX$4="是",'14.05'!$AY$4,'14.05'!$AY$3)</f>
        <v>50</v>
      </c>
      <c r="N14" s="4">
        <f>(VLOOKUP('14.05'!V14,'14.05'!$AM$4:$AO$55,2,FALSE))*IF('14.05'!AY$4="是",'14.05'!$AY$4,'14.05'!$AY$3)</f>
        <v>170</v>
      </c>
      <c r="O14" s="5">
        <f>(VLOOKUP('14.05'!W14,'14.05'!$AM$4:$AO$55,2,FALSE))*IF('14.05'!AZ$4="是",'14.05'!$AY$4,'14.05'!$AY$3)</f>
        <v>0</v>
      </c>
      <c r="P14" s="5">
        <f>(VLOOKUP('14.05'!X14,'14.05'!$AM$4:$AO$55,2,FALSE))*IF('14.05'!BA$4="是",'14.05'!$AY$4,'14.05'!$AY$3)</f>
        <v>0</v>
      </c>
      <c r="Q14" s="4">
        <f>(VLOOKUP('14.05'!Y14,'14.05'!$AM$4:$AO$55,2,FALSE))*IF('14.05'!BB$4="是",'14.05'!$AY$4,'14.05'!$AY$3)</f>
        <v>180</v>
      </c>
      <c r="R14" s="4">
        <f>(VLOOKUP('14.05'!Z14,'14.05'!$AM$4:$AO$55,2,FALSE))*IF('14.05'!BC$4="是",'14.05'!$AY$4,'14.05'!$AY$3)</f>
        <v>180</v>
      </c>
      <c r="S14" s="4">
        <f>(VLOOKUP('14.05'!AA14,'14.05'!$AM$4:$AO$55,2,FALSE))*IF('14.05'!BD$4="是",'14.05'!$AY$4,'14.05'!$AY$3)</f>
        <v>180</v>
      </c>
      <c r="T14" s="4">
        <f>(VLOOKUP('14.05'!AB14,'14.05'!$AM$4:$AO$55,2,FALSE))*IF('14.05'!BE$4="是",'14.05'!$AY$4,'14.05'!$AY$3)</f>
        <v>180</v>
      </c>
      <c r="U14" s="4">
        <f>(VLOOKUP('14.05'!AC14,'14.05'!$AM$4:$AO$55,2,FALSE))*IF('14.05'!BF$4="是",'14.05'!$AY$4,'14.05'!$AY$3)</f>
        <v>180</v>
      </c>
      <c r="V14" s="4">
        <f>(VLOOKUP('14.05'!AD14,'14.05'!$AM$4:$AO$55,2,FALSE))*IF('14.05'!BG$4="是",'14.05'!$AY$4,'14.05'!$AY$3)</f>
        <v>180</v>
      </c>
      <c r="W14" s="5">
        <f>(VLOOKUP('14.05'!AE14,'14.05'!$AM$4:$AO$55,2,FALSE))*IF('14.05'!BH$4="是",'14.05'!$AY$4,'14.05'!$AY$3)</f>
        <v>0</v>
      </c>
      <c r="X14" s="5">
        <f>(VLOOKUP('14.05'!AF14,'14.05'!$AM$4:$AO$55,2,FALSE))*IF('14.05'!BI$4="是",'14.05'!$AY$4,'14.05'!$AY$3)</f>
        <v>0</v>
      </c>
    </row>
    <row r="15" spans="1:24">
      <c r="A15" s="4">
        <f>(VLOOKUP('14.05'!I15,'14.05'!$AM$4:$AO$55,2,FALSE))*IF('14.05'!AK$4="是",'14.05'!$AY$4,'14.05'!$AY$3)</f>
        <v>180</v>
      </c>
      <c r="B15" s="4">
        <f>(VLOOKUP('14.05'!J15,'14.05'!$AM$4:$AO$55,2,FALSE))*IF('14.05'!AL$4="是",'14.05'!$AY$4,'14.05'!$AY$3)</f>
        <v>180</v>
      </c>
      <c r="C15" s="4">
        <f>(VLOOKUP('14.05'!K15,'14.05'!$AM$4:$AO$55,2,FALSE))*IF('14.05'!AM$4="是",'14.05'!$AY$4,'14.05'!$AY$3)</f>
        <v>180</v>
      </c>
      <c r="D15" s="4">
        <f>(VLOOKUP('14.05'!L15,'14.05'!$AM$4:$AO$55,2,FALSE))*IF('14.05'!AN$4="是",'14.05'!$AY$4,'14.05'!$AY$3)</f>
        <v>180</v>
      </c>
      <c r="E15" s="4">
        <f>(VLOOKUP('14.05'!M15,'14.05'!$AM$4:$AO$55,2,FALSE))*IF('14.05'!AO$4="是",'14.05'!$AY$4,'14.05'!$AY$3)</f>
        <v>180</v>
      </c>
      <c r="F15" s="4">
        <f>(VLOOKUP('14.05'!N15,'14.05'!$AM$4:$AO$55,2,FALSE))*IF('14.05'!AQ$4="是",'14.05'!$AY$4,'14.05'!$AY$3)</f>
        <v>180</v>
      </c>
      <c r="G15" s="5">
        <f>(VLOOKUP('14.05'!O15,'14.05'!$AM$4:$AO$55,2,FALSE))*IF('14.05'!AR$4="是",'14.05'!$AY$4,'14.05'!$AY$3)</f>
        <v>0</v>
      </c>
      <c r="H15" s="5">
        <f>(VLOOKUP('14.05'!P15,'14.05'!$AM$4:$AO$55,2,FALSE))*IF('14.05'!AS$4="是",'14.05'!$AY$4,'14.05'!$AY$3)</f>
        <v>0</v>
      </c>
      <c r="I15" s="4">
        <f>(VLOOKUP('14.05'!Q15,'14.05'!$AM$4:$AO$55,2,FALSE))*IF('14.05'!AT$4="是",'14.05'!$AY$4,'14.05'!$AY$3)</f>
        <v>170</v>
      </c>
      <c r="J15" s="4">
        <f>(VLOOKUP('14.05'!R15,'14.05'!$AM$4:$AO$55,2,FALSE))*IF('14.05'!AU$4="是",'14.05'!$AY$4,'14.05'!$AY$3)</f>
        <v>170</v>
      </c>
      <c r="K15" s="4">
        <f>(VLOOKUP('14.05'!S15,'14.05'!$AM$4:$AO$55,2,FALSE))*IF('14.05'!AV$4="是",'14.05'!$AY$4,'14.05'!$AY$3)</f>
        <v>170</v>
      </c>
      <c r="L15" s="4">
        <f>(VLOOKUP('14.05'!T15,'14.05'!$AM$4:$AO$55,2,FALSE))*IF('14.05'!AW$4="是",'14.05'!$AY$4,'14.05'!$AY$3)</f>
        <v>170</v>
      </c>
      <c r="M15" s="4">
        <f>(VLOOKUP('14.05'!U15,'14.05'!$AM$4:$AO$55,2,FALSE))*IF('14.05'!AX$4="是",'14.05'!$AY$4,'14.05'!$AY$3)</f>
        <v>170</v>
      </c>
      <c r="N15" s="4">
        <f>(VLOOKUP('14.05'!V15,'14.05'!$AM$4:$AO$55,2,FALSE))*IF('14.05'!AY$4="是",'14.05'!$AY$4,'14.05'!$AY$3)</f>
        <v>170</v>
      </c>
      <c r="O15" s="5">
        <f>(VLOOKUP('14.05'!W15,'14.05'!$AM$4:$AO$55,2,FALSE))*IF('14.05'!AZ$4="是",'14.05'!$AY$4,'14.05'!$AY$3)</f>
        <v>0</v>
      </c>
      <c r="P15" s="5">
        <f>(VLOOKUP('14.05'!X15,'14.05'!$AM$4:$AO$55,2,FALSE))*IF('14.05'!BA$4="是",'14.05'!$AY$4,'14.05'!$AY$3)</f>
        <v>0</v>
      </c>
      <c r="Q15" s="4">
        <f>(VLOOKUP('14.05'!Y15,'14.05'!$AM$4:$AO$55,2,FALSE))*IF('14.05'!BB$4="是",'14.05'!$AY$4,'14.05'!$AY$3)</f>
        <v>180</v>
      </c>
      <c r="R15" s="4">
        <f>(VLOOKUP('14.05'!Z15,'14.05'!$AM$4:$AO$55,2,FALSE))*IF('14.05'!BC$4="是",'14.05'!$AY$4,'14.05'!$AY$3)</f>
        <v>180</v>
      </c>
      <c r="S15" s="4">
        <f>(VLOOKUP('14.05'!AA15,'14.05'!$AM$4:$AO$55,2,FALSE))*IF('14.05'!BD$4="是",'14.05'!$AY$4,'14.05'!$AY$3)</f>
        <v>180</v>
      </c>
      <c r="T15" s="4">
        <f>(VLOOKUP('14.05'!AB15,'14.05'!$AM$4:$AO$55,2,FALSE))*IF('14.05'!BE$4="是",'14.05'!$AY$4,'14.05'!$AY$3)</f>
        <v>180</v>
      </c>
      <c r="U15" s="4">
        <f>(VLOOKUP('14.05'!AC15,'14.05'!$AM$4:$AO$55,2,FALSE))*IF('14.05'!BF$4="是",'14.05'!$AY$4,'14.05'!$AY$3)</f>
        <v>180</v>
      </c>
      <c r="V15" s="4">
        <f>(VLOOKUP('14.05'!AD15,'14.05'!$AM$4:$AO$55,2,FALSE))*IF('14.05'!BG$4="是",'14.05'!$AY$4,'14.05'!$AY$3)</f>
        <v>180</v>
      </c>
      <c r="W15" s="5">
        <f>(VLOOKUP('14.05'!AE15,'14.05'!$AM$4:$AO$55,2,FALSE))*IF('14.05'!BH$4="是",'14.05'!$AY$4,'14.05'!$AY$3)</f>
        <v>0</v>
      </c>
      <c r="X15" s="5">
        <f>(VLOOKUP('14.05'!AF15,'14.05'!$AM$4:$AO$55,2,FALSE))*IF('14.05'!BI$4="是",'14.05'!$AY$4,'14.05'!$AY$3)</f>
        <v>0</v>
      </c>
    </row>
    <row r="16" spans="1:24">
      <c r="A16" s="4">
        <f>(VLOOKUP('14.05'!I16,'14.05'!$AM$4:$AO$55,2,FALSE))*IF('14.05'!AK$4="是",'14.05'!$AY$4,'14.05'!$AY$3)</f>
        <v>180</v>
      </c>
      <c r="B16" s="4">
        <f>(VLOOKUP('14.05'!J16,'14.05'!$AM$4:$AO$55,2,FALSE))*IF('14.05'!AL$4="是",'14.05'!$AY$4,'14.05'!$AY$3)</f>
        <v>180</v>
      </c>
      <c r="C16" s="4">
        <f>(VLOOKUP('14.05'!K16,'14.05'!$AM$4:$AO$55,2,FALSE))*IF('14.05'!AM$4="是",'14.05'!$AY$4,'14.05'!$AY$3)</f>
        <v>180</v>
      </c>
      <c r="D16" s="4">
        <f>(VLOOKUP('14.05'!L16,'14.05'!$AM$4:$AO$55,2,FALSE))*IF('14.05'!AN$4="是",'14.05'!$AY$4,'14.05'!$AY$3)</f>
        <v>180</v>
      </c>
      <c r="E16" s="4">
        <f>(VLOOKUP('14.05'!M16,'14.05'!$AM$4:$AO$55,2,FALSE))*IF('14.05'!AO$4="是",'14.05'!$AY$4,'14.05'!$AY$3)</f>
        <v>180</v>
      </c>
      <c r="F16" s="4">
        <f>(VLOOKUP('14.05'!N16,'14.05'!$AM$4:$AO$55,2,FALSE))*IF('14.05'!AQ$4="是",'14.05'!$AY$4,'14.05'!$AY$3)</f>
        <v>180</v>
      </c>
      <c r="G16" s="5">
        <f>(VLOOKUP('14.05'!O16,'14.05'!$AM$4:$AO$55,2,FALSE))*IF('14.05'!AR$4="是",'14.05'!$AY$4,'14.05'!$AY$3)</f>
        <v>0</v>
      </c>
      <c r="H16" s="5">
        <f>(VLOOKUP('14.05'!P16,'14.05'!$AM$4:$AO$55,2,FALSE))*IF('14.05'!AS$4="是",'14.05'!$AY$4,'14.05'!$AY$3)</f>
        <v>0</v>
      </c>
      <c r="I16" s="4">
        <f>(VLOOKUP('14.05'!Q16,'14.05'!$AM$4:$AO$55,2,FALSE))*IF('14.05'!AT$4="是",'14.05'!$AY$4,'14.05'!$AY$3)</f>
        <v>170</v>
      </c>
      <c r="J16" s="4">
        <f>(VLOOKUP('14.05'!R16,'14.05'!$AM$4:$AO$55,2,FALSE))*IF('14.05'!AU$4="是",'14.05'!$AY$4,'14.05'!$AY$3)</f>
        <v>170</v>
      </c>
      <c r="K16" s="4">
        <f>(VLOOKUP('14.05'!S16,'14.05'!$AM$4:$AO$55,2,FALSE))*IF('14.05'!AV$4="是",'14.05'!$AY$4,'14.05'!$AY$3)</f>
        <v>170</v>
      </c>
      <c r="L16" s="4">
        <f>(VLOOKUP('14.05'!T16,'14.05'!$AM$4:$AO$55,2,FALSE))*IF('14.05'!AW$4="是",'14.05'!$AY$4,'14.05'!$AY$3)</f>
        <v>170</v>
      </c>
      <c r="M16" s="4">
        <f>(VLOOKUP('14.05'!U16,'14.05'!$AM$4:$AO$55,2,FALSE))*IF('14.05'!AX$4="是",'14.05'!$AY$4,'14.05'!$AY$3)</f>
        <v>170</v>
      </c>
      <c r="N16" s="4">
        <f>(VLOOKUP('14.05'!V16,'14.05'!$AM$4:$AO$55,2,FALSE))*IF('14.05'!AY$4="是",'14.05'!$AY$4,'14.05'!$AY$3)</f>
        <v>170</v>
      </c>
      <c r="O16" s="5">
        <f>(VLOOKUP('14.05'!W16,'14.05'!$AM$4:$AO$55,2,FALSE))*IF('14.05'!AZ$4="是",'14.05'!$AY$4,'14.05'!$AY$3)</f>
        <v>0</v>
      </c>
      <c r="P16" s="5">
        <f>(VLOOKUP('14.05'!X16,'14.05'!$AM$4:$AO$55,2,FALSE))*IF('14.05'!BA$4="是",'14.05'!$AY$4,'14.05'!$AY$3)</f>
        <v>0</v>
      </c>
      <c r="Q16" s="4">
        <f>(VLOOKUP('14.05'!Y16,'14.05'!$AM$4:$AO$55,2,FALSE))*IF('14.05'!BB$4="是",'14.05'!$AY$4,'14.05'!$AY$3)</f>
        <v>180</v>
      </c>
      <c r="R16" s="4">
        <f>(VLOOKUP('14.05'!Z16,'14.05'!$AM$4:$AO$55,2,FALSE))*IF('14.05'!BC$4="是",'14.05'!$AY$4,'14.05'!$AY$3)</f>
        <v>150</v>
      </c>
      <c r="S16" s="4">
        <f>(VLOOKUP('14.05'!AA16,'14.05'!$AM$4:$AO$55,2,FALSE))*IF('14.05'!BD$4="是",'14.05'!$AY$4,'14.05'!$AY$3)</f>
        <v>180</v>
      </c>
      <c r="T16" s="4">
        <f>(VLOOKUP('14.05'!AB16,'14.05'!$AM$4:$AO$55,2,FALSE))*IF('14.05'!BE$4="是",'14.05'!$AY$4,'14.05'!$AY$3)</f>
        <v>180</v>
      </c>
      <c r="U16" s="4">
        <f>(VLOOKUP('14.05'!AC16,'14.05'!$AM$4:$AO$55,2,FALSE))*IF('14.05'!BF$4="是",'14.05'!$AY$4,'14.05'!$AY$3)</f>
        <v>180</v>
      </c>
      <c r="V16" s="4">
        <f>(VLOOKUP('14.05'!AD16,'14.05'!$AM$4:$AO$55,2,FALSE))*IF('14.05'!BG$4="是",'14.05'!$AY$4,'14.05'!$AY$3)</f>
        <v>180</v>
      </c>
      <c r="W16" s="5">
        <f>(VLOOKUP('14.05'!AE16,'14.05'!$AM$4:$AO$55,2,FALSE))*IF('14.05'!BH$4="是",'14.05'!$AY$4,'14.05'!$AY$3)</f>
        <v>0</v>
      </c>
      <c r="X16" s="5">
        <f>(VLOOKUP('14.05'!AF16,'14.05'!$AM$4:$AO$55,2,FALSE))*IF('14.05'!BI$4="是",'14.05'!$AY$4,'14.05'!$AY$3)</f>
        <v>0</v>
      </c>
    </row>
    <row r="17" spans="1:24">
      <c r="A17" s="4">
        <f>(VLOOKUP('14.05'!I17,'14.05'!$AM$4:$AO$55,2,FALSE))*IF('14.05'!AK$4="是",'14.05'!$AY$4,'14.05'!$AY$3)</f>
        <v>180</v>
      </c>
      <c r="B17" s="4">
        <f>(VLOOKUP('14.05'!J17,'14.05'!$AM$4:$AO$55,2,FALSE))*IF('14.05'!AL$4="是",'14.05'!$AY$4,'14.05'!$AY$3)</f>
        <v>180</v>
      </c>
      <c r="C17" s="4">
        <f>(VLOOKUP('14.05'!K17,'14.05'!$AM$4:$AO$55,2,FALSE))*IF('14.05'!AM$4="是",'14.05'!$AY$4,'14.05'!$AY$3)</f>
        <v>180</v>
      </c>
      <c r="D17" s="4">
        <f>(VLOOKUP('14.05'!L17,'14.05'!$AM$4:$AO$55,2,FALSE))*IF('14.05'!AN$4="是",'14.05'!$AY$4,'14.05'!$AY$3)</f>
        <v>180</v>
      </c>
      <c r="E17" s="4">
        <f>(VLOOKUP('14.05'!M17,'14.05'!$AM$4:$AO$55,2,FALSE))*IF('14.05'!AO$4="是",'14.05'!$AY$4,'14.05'!$AY$3)</f>
        <v>180</v>
      </c>
      <c r="F17" s="4">
        <f>(VLOOKUP('14.05'!N17,'14.05'!$AM$4:$AO$55,2,FALSE))*IF('14.05'!AQ$4="是",'14.05'!$AY$4,'14.05'!$AY$3)</f>
        <v>180</v>
      </c>
      <c r="G17" s="5">
        <f>(VLOOKUP('14.05'!O17,'14.05'!$AM$4:$AO$55,2,FALSE))*IF('14.05'!AR$4="是",'14.05'!$AY$4,'14.05'!$AY$3)</f>
        <v>0</v>
      </c>
      <c r="H17" s="5">
        <f>(VLOOKUP('14.05'!P17,'14.05'!$AM$4:$AO$55,2,FALSE))*IF('14.05'!AS$4="是",'14.05'!$AY$4,'14.05'!$AY$3)</f>
        <v>0</v>
      </c>
      <c r="I17" s="4">
        <f>(VLOOKUP('14.05'!Q17,'14.05'!$AM$4:$AO$55,2,FALSE))*IF('14.05'!AT$4="是",'14.05'!$AY$4,'14.05'!$AY$3)</f>
        <v>150</v>
      </c>
      <c r="J17" s="4">
        <f>(VLOOKUP('14.05'!R17,'14.05'!$AM$4:$AO$55,2,FALSE))*IF('14.05'!AU$4="是",'14.05'!$AY$4,'14.05'!$AY$3)</f>
        <v>170</v>
      </c>
      <c r="K17" s="4">
        <f>(VLOOKUP('14.05'!S17,'14.05'!$AM$4:$AO$55,2,FALSE))*IF('14.05'!AV$4="是",'14.05'!$AY$4,'14.05'!$AY$3)</f>
        <v>170</v>
      </c>
      <c r="L17" s="4">
        <f>(VLOOKUP('14.05'!T17,'14.05'!$AM$4:$AO$55,2,FALSE))*IF('14.05'!AW$4="是",'14.05'!$AY$4,'14.05'!$AY$3)</f>
        <v>0</v>
      </c>
      <c r="M17" s="4">
        <f>(VLOOKUP('14.05'!U17,'14.05'!$AM$4:$AO$55,2,FALSE))*IF('14.05'!AX$4="是",'14.05'!$AY$4,'14.05'!$AY$3)</f>
        <v>0</v>
      </c>
      <c r="N17" s="4">
        <f>(VLOOKUP('14.05'!V17,'14.05'!$AM$4:$AO$55,2,FALSE))*IF('14.05'!AY$4="是",'14.05'!$AY$4,'14.05'!$AY$3)</f>
        <v>0</v>
      </c>
      <c r="O17" s="5">
        <f>(VLOOKUP('14.05'!W17,'14.05'!$AM$4:$AO$55,2,FALSE))*IF('14.05'!AZ$4="是",'14.05'!$AY$4,'14.05'!$AY$3)</f>
        <v>0</v>
      </c>
      <c r="P17" s="5">
        <f>(VLOOKUP('14.05'!X17,'14.05'!$AM$4:$AO$55,2,FALSE))*IF('14.05'!BA$4="是",'14.05'!$AY$4,'14.05'!$AY$3)</f>
        <v>0</v>
      </c>
      <c r="Q17" s="4">
        <f>(VLOOKUP('14.05'!Y17,'14.05'!$AM$4:$AO$55,2,FALSE))*IF('14.05'!BB$4="是",'14.05'!$AY$4,'14.05'!$AY$3)</f>
        <v>180</v>
      </c>
      <c r="R17" s="4">
        <f>(VLOOKUP('14.05'!Z17,'14.05'!$AM$4:$AO$55,2,FALSE))*IF('14.05'!BC$4="是",'14.05'!$AY$4,'14.05'!$AY$3)</f>
        <v>180</v>
      </c>
      <c r="S17" s="4">
        <f>(VLOOKUP('14.05'!AA17,'14.05'!$AM$4:$AO$55,2,FALSE))*IF('14.05'!BD$4="是",'14.05'!$AY$4,'14.05'!$AY$3)</f>
        <v>180</v>
      </c>
      <c r="T17" s="4">
        <f>(VLOOKUP('14.05'!AB17,'14.05'!$AM$4:$AO$55,2,FALSE))*IF('14.05'!BE$4="是",'14.05'!$AY$4,'14.05'!$AY$3)</f>
        <v>180</v>
      </c>
      <c r="U17" s="4">
        <f>(VLOOKUP('14.05'!AC17,'14.05'!$AM$4:$AO$55,2,FALSE))*IF('14.05'!BF$4="是",'14.05'!$AY$4,'14.05'!$AY$3)</f>
        <v>180</v>
      </c>
      <c r="V17" s="4">
        <f>(VLOOKUP('14.05'!AD17,'14.05'!$AM$4:$AO$55,2,FALSE))*IF('14.05'!BG$4="是",'14.05'!$AY$4,'14.05'!$AY$3)</f>
        <v>180</v>
      </c>
      <c r="W17" s="5">
        <f>(VLOOKUP('14.05'!AE17,'14.05'!$AM$4:$AO$55,2,FALSE))*IF('14.05'!BH$4="是",'14.05'!$AY$4,'14.05'!$AY$3)</f>
        <v>0</v>
      </c>
      <c r="X17" s="5">
        <f>(VLOOKUP('14.05'!AF17,'14.05'!$AM$4:$AO$55,2,FALSE))*IF('14.05'!BI$4="是",'14.05'!$AY$4,'14.05'!$AY$3)</f>
        <v>0</v>
      </c>
    </row>
    <row r="18" spans="1:24">
      <c r="A18" s="4">
        <f>(VLOOKUP('14.05'!I18,'14.05'!$AM$4:$AO$55,2,FALSE))*IF('14.05'!AK$4="是",'14.05'!$AY$4,'14.05'!$AY$3)</f>
        <v>180</v>
      </c>
      <c r="B18" s="4">
        <f>(VLOOKUP('14.05'!J18,'14.05'!$AM$4:$AO$55,2,FALSE))*IF('14.05'!AL$4="是",'14.05'!$AY$4,'14.05'!$AY$3)</f>
        <v>180</v>
      </c>
      <c r="C18" s="4">
        <f>(VLOOKUP('14.05'!K18,'14.05'!$AM$4:$AO$55,2,FALSE))*IF('14.05'!AM$4="是",'14.05'!$AY$4,'14.05'!$AY$3)</f>
        <v>180</v>
      </c>
      <c r="D18" s="4">
        <f>(VLOOKUP('14.05'!L18,'14.05'!$AM$4:$AO$55,2,FALSE))*IF('14.05'!AN$4="是",'14.05'!$AY$4,'14.05'!$AY$3)</f>
        <v>180</v>
      </c>
      <c r="E18" s="4">
        <f>(VLOOKUP('14.05'!M18,'14.05'!$AM$4:$AO$55,2,FALSE))*IF('14.05'!AO$4="是",'14.05'!$AY$4,'14.05'!$AY$3)</f>
        <v>180</v>
      </c>
      <c r="F18" s="4">
        <f>(VLOOKUP('14.05'!N18,'14.05'!$AM$4:$AO$55,2,FALSE))*IF('14.05'!AQ$4="是",'14.05'!$AY$4,'14.05'!$AY$3)</f>
        <v>190</v>
      </c>
      <c r="G18" s="5">
        <f>(VLOOKUP('14.05'!O18,'14.05'!$AM$4:$AO$55,2,FALSE))*IF('14.05'!AR$4="是",'14.05'!$AY$4,'14.05'!$AY$3)</f>
        <v>0</v>
      </c>
      <c r="H18" s="5">
        <f>(VLOOKUP('14.05'!P18,'14.05'!$AM$4:$AO$55,2,FALSE))*IF('14.05'!AS$4="是",'14.05'!$AY$4,'14.05'!$AY$3)</f>
        <v>0</v>
      </c>
      <c r="I18" s="4">
        <f>(VLOOKUP('14.05'!Q18,'14.05'!$AM$4:$AO$55,2,FALSE))*IF('14.05'!AT$4="是",'14.05'!$AY$4,'14.05'!$AY$3)</f>
        <v>0</v>
      </c>
      <c r="J18" s="4">
        <f>(VLOOKUP('14.05'!R18,'14.05'!$AM$4:$AO$55,2,FALSE))*IF('14.05'!AU$4="是",'14.05'!$AY$4,'14.05'!$AY$3)</f>
        <v>0</v>
      </c>
      <c r="K18" s="4">
        <f>(VLOOKUP('14.05'!S18,'14.05'!$AM$4:$AO$55,2,FALSE))*IF('14.05'!AV$4="是",'14.05'!$AY$4,'14.05'!$AY$3)</f>
        <v>0</v>
      </c>
      <c r="L18" s="4">
        <f>(VLOOKUP('14.05'!T18,'14.05'!$AM$4:$AO$55,2,FALSE))*IF('14.05'!AW$4="是",'14.05'!$AY$4,'14.05'!$AY$3)</f>
        <v>0</v>
      </c>
      <c r="M18" s="4">
        <f>(VLOOKUP('14.05'!U18,'14.05'!$AM$4:$AO$55,2,FALSE))*IF('14.05'!AX$4="是",'14.05'!$AY$4,'14.05'!$AY$3)</f>
        <v>0</v>
      </c>
      <c r="N18" s="4">
        <f>(VLOOKUP('14.05'!V18,'14.05'!$AM$4:$AO$55,2,FALSE))*IF('14.05'!AY$4="是",'14.05'!$AY$4,'14.05'!$AY$3)</f>
        <v>0</v>
      </c>
      <c r="O18" s="5">
        <f>(VLOOKUP('14.05'!W18,'14.05'!$AM$4:$AO$55,2,FALSE))*IF('14.05'!AZ$4="是",'14.05'!$AY$4,'14.05'!$AY$3)</f>
        <v>0</v>
      </c>
      <c r="P18" s="5">
        <f>(VLOOKUP('14.05'!X18,'14.05'!$AM$4:$AO$55,2,FALSE))*IF('14.05'!BA$4="是",'14.05'!$AY$4,'14.05'!$AY$3)</f>
        <v>0</v>
      </c>
      <c r="Q18" s="4">
        <f>(VLOOKUP('14.05'!Y18,'14.05'!$AM$4:$AO$55,2,FALSE))*IF('14.05'!BB$4="是",'14.05'!$AY$4,'14.05'!$AY$3)</f>
        <v>180</v>
      </c>
      <c r="R18" s="4">
        <f>(VLOOKUP('14.05'!Z18,'14.05'!$AM$4:$AO$55,2,FALSE))*IF('14.05'!BC$4="是",'14.05'!$AY$4,'14.05'!$AY$3)</f>
        <v>180</v>
      </c>
      <c r="S18" s="4">
        <f>(VLOOKUP('14.05'!AA18,'14.05'!$AM$4:$AO$55,2,FALSE))*IF('14.05'!BD$4="是",'14.05'!$AY$4,'14.05'!$AY$3)</f>
        <v>180</v>
      </c>
      <c r="T18" s="4">
        <f>(VLOOKUP('14.05'!AB18,'14.05'!$AM$4:$AO$55,2,FALSE))*IF('14.05'!BE$4="是",'14.05'!$AY$4,'14.05'!$AY$3)</f>
        <v>190</v>
      </c>
      <c r="U18" s="4">
        <f>(VLOOKUP('14.05'!AC18,'14.05'!$AM$4:$AO$55,2,FALSE))*IF('14.05'!BF$4="是",'14.05'!$AY$4,'14.05'!$AY$3)</f>
        <v>190</v>
      </c>
      <c r="V18" s="4">
        <f>(VLOOKUP('14.05'!AD18,'14.05'!$AM$4:$AO$55,2,FALSE))*IF('14.05'!BG$4="是",'14.05'!$AY$4,'14.05'!$AY$3)</f>
        <v>190</v>
      </c>
      <c r="W18" s="5">
        <f>(VLOOKUP('14.05'!AE18,'14.05'!$AM$4:$AO$55,2,FALSE))*IF('14.05'!BH$4="是",'14.05'!$AY$4,'14.05'!$AY$3)</f>
        <v>0</v>
      </c>
      <c r="X18" s="5">
        <f>(VLOOKUP('14.05'!AF18,'14.05'!$AM$4:$AO$55,2,FALSE))*IF('14.05'!BI$4="是",'14.05'!$AY$4,'14.05'!$AY$3)</f>
        <v>0</v>
      </c>
    </row>
    <row r="19" spans="1:24">
      <c r="A19" s="4">
        <f>(VLOOKUP('14.05'!I19,'14.05'!$AM$4:$AO$55,2,FALSE))*IF('14.05'!AK$4="是",'14.05'!$AY$4,'14.05'!$AY$3)</f>
        <v>190</v>
      </c>
      <c r="B19" s="4">
        <f>(VLOOKUP('14.05'!J19,'14.05'!$AM$4:$AO$55,2,FALSE))*IF('14.05'!AL$4="是",'14.05'!$AY$4,'14.05'!$AY$3)</f>
        <v>190</v>
      </c>
      <c r="C19" s="4">
        <f>(VLOOKUP('14.05'!K19,'14.05'!$AM$4:$AO$55,2,FALSE))*IF('14.05'!AM$4="是",'14.05'!$AY$4,'14.05'!$AY$3)</f>
        <v>190</v>
      </c>
      <c r="D19" s="4">
        <f>(VLOOKUP('14.05'!L19,'14.05'!$AM$4:$AO$55,2,FALSE))*IF('14.05'!AN$4="是",'14.05'!$AY$4,'14.05'!$AY$3)</f>
        <v>190</v>
      </c>
      <c r="E19" s="4">
        <f>(VLOOKUP('14.05'!M19,'14.05'!$AM$4:$AO$55,2,FALSE))*IF('14.05'!AO$4="是",'14.05'!$AY$4,'14.05'!$AY$3)</f>
        <v>190</v>
      </c>
      <c r="F19" s="4">
        <f>(VLOOKUP('14.05'!N19,'14.05'!$AM$4:$AO$55,2,FALSE))*IF('14.05'!AQ$4="是",'14.05'!$AY$4,'14.05'!$AY$3)</f>
        <v>190</v>
      </c>
      <c r="G19" s="5">
        <f>(VLOOKUP('14.05'!O19,'14.05'!$AM$4:$AO$55,2,FALSE))*IF('14.05'!AR$4="是",'14.05'!$AY$4,'14.05'!$AY$3)</f>
        <v>0</v>
      </c>
      <c r="H19" s="5">
        <f>(VLOOKUP('14.05'!P19,'14.05'!$AM$4:$AO$55,2,FALSE))*IF('14.05'!AS$4="是",'14.05'!$AY$4,'14.05'!$AY$3)</f>
        <v>0</v>
      </c>
      <c r="I19" s="4">
        <f>(VLOOKUP('14.05'!Q19,'14.05'!$AM$4:$AO$55,2,FALSE))*IF('14.05'!AT$4="是",'14.05'!$AY$4,'14.05'!$AY$3)</f>
        <v>0</v>
      </c>
      <c r="J19" s="4">
        <f>(VLOOKUP('14.05'!R19,'14.05'!$AM$4:$AO$55,2,FALSE))*IF('14.05'!AU$4="是",'14.05'!$AY$4,'14.05'!$AY$3)</f>
        <v>0</v>
      </c>
      <c r="K19" s="4">
        <f>(VLOOKUP('14.05'!S19,'14.05'!$AM$4:$AO$55,2,FALSE))*IF('14.05'!AV$4="是",'14.05'!$AY$4,'14.05'!$AY$3)</f>
        <v>0</v>
      </c>
      <c r="L19" s="4">
        <f>(VLOOKUP('14.05'!T19,'14.05'!$AM$4:$AO$55,2,FALSE))*IF('14.05'!AW$4="是",'14.05'!$AY$4,'14.05'!$AY$3)</f>
        <v>0</v>
      </c>
      <c r="M19" s="4">
        <f>(VLOOKUP('14.05'!U19,'14.05'!$AM$4:$AO$55,2,FALSE))*IF('14.05'!AX$4="是",'14.05'!$AY$4,'14.05'!$AY$3)</f>
        <v>0</v>
      </c>
      <c r="N19" s="4">
        <f>(VLOOKUP('14.05'!V19,'14.05'!$AM$4:$AO$55,2,FALSE))*IF('14.05'!AY$4="是",'14.05'!$AY$4,'14.05'!$AY$3)</f>
        <v>0</v>
      </c>
      <c r="O19" s="5">
        <f>(VLOOKUP('14.05'!W19,'14.05'!$AM$4:$AO$55,2,FALSE))*IF('14.05'!AZ$4="是",'14.05'!$AY$4,'14.05'!$AY$3)</f>
        <v>0</v>
      </c>
      <c r="P19" s="5">
        <f>(VLOOKUP('14.05'!X19,'14.05'!$AM$4:$AO$55,2,FALSE))*IF('14.05'!BA$4="是",'14.05'!$AY$4,'14.05'!$AY$3)</f>
        <v>0</v>
      </c>
      <c r="Q19" s="4">
        <f>(VLOOKUP('14.05'!Y19,'14.05'!$AM$4:$AO$55,2,FALSE))*IF('14.05'!BB$4="是",'14.05'!$AY$4,'14.05'!$AY$3)</f>
        <v>190</v>
      </c>
      <c r="R19" s="4">
        <f>(VLOOKUP('14.05'!Z19,'14.05'!$AM$4:$AO$55,2,FALSE))*IF('14.05'!BC$4="是",'14.05'!$AY$4,'14.05'!$AY$3)</f>
        <v>190</v>
      </c>
      <c r="S19" s="4">
        <f>(VLOOKUP('14.05'!AA19,'14.05'!$AM$4:$AO$55,2,FALSE))*IF('14.05'!BD$4="是",'14.05'!$AY$4,'14.05'!$AY$3)</f>
        <v>190</v>
      </c>
      <c r="T19" s="4">
        <f>(VLOOKUP('14.05'!AB19,'14.05'!$AM$4:$AO$55,2,FALSE))*IF('14.05'!BE$4="是",'14.05'!$AY$4,'14.05'!$AY$3)</f>
        <v>190</v>
      </c>
      <c r="U19" s="4">
        <f>(VLOOKUP('14.05'!AC19,'14.05'!$AM$4:$AO$55,2,FALSE))*IF('14.05'!BF$4="是",'14.05'!$AY$4,'14.05'!$AY$3)</f>
        <v>190</v>
      </c>
      <c r="V19" s="4">
        <f>(VLOOKUP('14.05'!AD19,'14.05'!$AM$4:$AO$55,2,FALSE))*IF('14.05'!BG$4="是",'14.05'!$AY$4,'14.05'!$AY$3)</f>
        <v>190</v>
      </c>
      <c r="W19" s="5">
        <f>(VLOOKUP('14.05'!AE19,'14.05'!$AM$4:$AO$55,2,FALSE))*IF('14.05'!BH$4="是",'14.05'!$AY$4,'14.05'!$AY$3)</f>
        <v>0</v>
      </c>
      <c r="X19" s="5">
        <f>(VLOOKUP('14.05'!AF19,'14.05'!$AM$4:$AO$55,2,FALSE))*IF('14.05'!BI$4="是",'14.05'!$AY$4,'14.05'!$AY$3)</f>
        <v>0</v>
      </c>
    </row>
    <row r="20" spans="1:24">
      <c r="A20" s="4">
        <f>(VLOOKUP('14.05'!I20,'14.05'!$AM$4:$AO$55,2,FALSE))*IF('14.05'!AK$4="是",'14.05'!$AY$4,'14.05'!$AY$3)</f>
        <v>50</v>
      </c>
      <c r="B20" s="4">
        <f>(VLOOKUP('14.05'!J20,'14.05'!$AM$4:$AO$55,2,FALSE))*IF('14.05'!AL$4="是",'14.05'!$AY$4,'14.05'!$AY$3)</f>
        <v>190</v>
      </c>
      <c r="C20" s="4">
        <f>(VLOOKUP('14.05'!K20,'14.05'!$AM$4:$AO$55,2,FALSE))*IF('14.05'!AM$4="是",'14.05'!$AY$4,'14.05'!$AY$3)</f>
        <v>190</v>
      </c>
      <c r="D20" s="4">
        <f>(VLOOKUP('14.05'!L20,'14.05'!$AM$4:$AO$55,2,FALSE))*IF('14.05'!AN$4="是",'14.05'!$AY$4,'14.05'!$AY$3)</f>
        <v>190</v>
      </c>
      <c r="E20" s="4">
        <f>(VLOOKUP('14.05'!M20,'14.05'!$AM$4:$AO$55,2,FALSE))*IF('14.05'!AO$4="是",'14.05'!$AY$4,'14.05'!$AY$3)</f>
        <v>150</v>
      </c>
      <c r="F20" s="4">
        <f>(VLOOKUP('14.05'!N20,'14.05'!$AM$4:$AO$55,2,FALSE))*IF('14.05'!AQ$4="是",'14.05'!$AY$4,'14.05'!$AY$3)</f>
        <v>190</v>
      </c>
      <c r="G20" s="5">
        <f>(VLOOKUP('14.05'!O20,'14.05'!$AM$4:$AO$55,2,FALSE))*IF('14.05'!AR$4="是",'14.05'!$AY$4,'14.05'!$AY$3)</f>
        <v>0</v>
      </c>
      <c r="H20" s="5">
        <f>(VLOOKUP('14.05'!P20,'14.05'!$AM$4:$AO$55,2,FALSE))*IF('14.05'!AS$4="是",'14.05'!$AY$4,'14.05'!$AY$3)</f>
        <v>0</v>
      </c>
      <c r="I20" s="4">
        <f>(VLOOKUP('14.05'!Q20,'14.05'!$AM$4:$AO$55,2,FALSE))*IF('14.05'!AT$4="是",'14.05'!$AY$4,'14.05'!$AY$3)</f>
        <v>0</v>
      </c>
      <c r="J20" s="4">
        <f>(VLOOKUP('14.05'!R20,'14.05'!$AM$4:$AO$55,2,FALSE))*IF('14.05'!AU$4="是",'14.05'!$AY$4,'14.05'!$AY$3)</f>
        <v>0</v>
      </c>
      <c r="K20" s="4">
        <f>(VLOOKUP('14.05'!S20,'14.05'!$AM$4:$AO$55,2,FALSE))*IF('14.05'!AV$4="是",'14.05'!$AY$4,'14.05'!$AY$3)</f>
        <v>0</v>
      </c>
      <c r="L20" s="4">
        <f>(VLOOKUP('14.05'!T20,'14.05'!$AM$4:$AO$55,2,FALSE))*IF('14.05'!AW$4="是",'14.05'!$AY$4,'14.05'!$AY$3)</f>
        <v>0</v>
      </c>
      <c r="M20" s="4">
        <f>(VLOOKUP('14.05'!U20,'14.05'!$AM$4:$AO$55,2,FALSE))*IF('14.05'!AX$4="是",'14.05'!$AY$4,'14.05'!$AY$3)</f>
        <v>0</v>
      </c>
      <c r="N20" s="4">
        <f>(VLOOKUP('14.05'!V20,'14.05'!$AM$4:$AO$55,2,FALSE))*IF('14.05'!AY$4="是",'14.05'!$AY$4,'14.05'!$AY$3)</f>
        <v>0</v>
      </c>
      <c r="O20" s="5">
        <f>(VLOOKUP('14.05'!W20,'14.05'!$AM$4:$AO$55,2,FALSE))*IF('14.05'!AZ$4="是",'14.05'!$AY$4,'14.05'!$AY$3)</f>
        <v>0</v>
      </c>
      <c r="P20" s="5">
        <f>(VLOOKUP('14.05'!X20,'14.05'!$AM$4:$AO$55,2,FALSE))*IF('14.05'!BA$4="是",'14.05'!$AY$4,'14.05'!$AY$3)</f>
        <v>0</v>
      </c>
      <c r="Q20" s="4">
        <f>(VLOOKUP('14.05'!Y20,'14.05'!$AM$4:$AO$55,2,FALSE))*IF('14.05'!BB$4="是",'14.05'!$AY$4,'14.05'!$AY$3)</f>
        <v>190</v>
      </c>
      <c r="R20" s="4">
        <f>(VLOOKUP('14.05'!Z20,'14.05'!$AM$4:$AO$55,2,FALSE))*IF('14.05'!BC$4="是",'14.05'!$AY$4,'14.05'!$AY$3)</f>
        <v>190</v>
      </c>
      <c r="S20" s="4">
        <f>(VLOOKUP('14.05'!AA20,'14.05'!$AM$4:$AO$55,2,FALSE))*IF('14.05'!BD$4="是",'14.05'!$AY$4,'14.05'!$AY$3)</f>
        <v>50</v>
      </c>
      <c r="T20" s="4">
        <f>(VLOOKUP('14.05'!AB20,'14.05'!$AM$4:$AO$55,2,FALSE))*IF('14.05'!BE$4="是",'14.05'!$AY$4,'14.05'!$AY$3)</f>
        <v>190</v>
      </c>
      <c r="U20" s="4">
        <f>(VLOOKUP('14.05'!AC20,'14.05'!$AM$4:$AO$55,2,FALSE))*IF('14.05'!BF$4="是",'14.05'!$AY$4,'14.05'!$AY$3)</f>
        <v>200</v>
      </c>
      <c r="V20" s="4">
        <f>(VLOOKUP('14.05'!AD20,'14.05'!$AM$4:$AO$55,2,FALSE))*IF('14.05'!BG$4="是",'14.05'!$AY$4,'14.05'!$AY$3)</f>
        <v>200</v>
      </c>
      <c r="W20" s="5">
        <f>(VLOOKUP('14.05'!AE20,'14.05'!$AM$4:$AO$55,2,FALSE))*IF('14.05'!BH$4="是",'14.05'!$AY$4,'14.05'!$AY$3)</f>
        <v>0</v>
      </c>
      <c r="X20" s="5">
        <f>(VLOOKUP('14.05'!AF20,'14.05'!$AM$4:$AO$55,2,FALSE))*IF('14.05'!BI$4="是",'14.05'!$AY$4,'14.05'!$AY$3)</f>
        <v>0</v>
      </c>
    </row>
    <row r="21" spans="1:24">
      <c r="A21" s="4">
        <f>(VLOOKUP('14.05'!I21,'14.05'!$AM$4:$AO$55,2,FALSE))*IF('14.05'!AK$4="是",'14.05'!$AY$4,'14.05'!$AY$3)</f>
        <v>190</v>
      </c>
      <c r="B21" s="4">
        <f>(VLOOKUP('14.05'!J21,'14.05'!$AM$4:$AO$55,2,FALSE))*IF('14.05'!AL$4="是",'14.05'!$AY$4,'14.05'!$AY$3)</f>
        <v>190</v>
      </c>
      <c r="C21" s="4">
        <f>(VLOOKUP('14.05'!K21,'14.05'!$AM$4:$AO$55,2,FALSE))*IF('14.05'!AM$4="是",'14.05'!$AY$4,'14.05'!$AY$3)</f>
        <v>200</v>
      </c>
      <c r="D21" s="4">
        <f>(VLOOKUP('14.05'!L21,'14.05'!$AM$4:$AO$55,2,FALSE))*IF('14.05'!AN$4="是",'14.05'!$AY$4,'14.05'!$AY$3)</f>
        <v>200</v>
      </c>
      <c r="E21" s="4">
        <f>(VLOOKUP('14.05'!M21,'14.05'!$AM$4:$AO$55,2,FALSE))*IF('14.05'!AO$4="是",'14.05'!$AY$4,'14.05'!$AY$3)</f>
        <v>200</v>
      </c>
      <c r="F21" s="4">
        <f>(VLOOKUP('14.05'!N21,'14.05'!$AM$4:$AO$55,2,FALSE))*IF('14.05'!AQ$4="是",'14.05'!$AY$4,'14.05'!$AY$3)</f>
        <v>200</v>
      </c>
      <c r="G21" s="5">
        <f>(VLOOKUP('14.05'!O21,'14.05'!$AM$4:$AO$55,2,FALSE))*IF('14.05'!AR$4="是",'14.05'!$AY$4,'14.05'!$AY$3)</f>
        <v>0</v>
      </c>
      <c r="H21" s="5">
        <f>(VLOOKUP('14.05'!P21,'14.05'!$AM$4:$AO$55,2,FALSE))*IF('14.05'!AS$4="是",'14.05'!$AY$4,'14.05'!$AY$3)</f>
        <v>0</v>
      </c>
      <c r="I21" s="4">
        <f>(VLOOKUP('14.05'!Q21,'14.05'!$AM$4:$AO$55,2,FALSE))*IF('14.05'!AT$4="是",'14.05'!$AY$4,'14.05'!$AY$3)</f>
        <v>180</v>
      </c>
      <c r="J21" s="4">
        <f>(VLOOKUP('14.05'!R21,'14.05'!$AM$4:$AO$55,2,FALSE))*IF('14.05'!AU$4="是",'14.05'!$AY$4,'14.05'!$AY$3)</f>
        <v>180</v>
      </c>
      <c r="K21" s="4">
        <f>(VLOOKUP('14.05'!S21,'14.05'!$AM$4:$AO$55,2,FALSE))*IF('14.05'!AV$4="是",'14.05'!$AY$4,'14.05'!$AY$3)</f>
        <v>180</v>
      </c>
      <c r="L21" s="4">
        <f>(VLOOKUP('14.05'!T21,'14.05'!$AM$4:$AO$55,2,FALSE))*IF('14.05'!AW$4="是",'14.05'!$AY$4,'14.05'!$AY$3)</f>
        <v>180</v>
      </c>
      <c r="M21" s="4">
        <f>(VLOOKUP('14.05'!U21,'14.05'!$AM$4:$AO$55,2,FALSE))*IF('14.05'!AX$4="是",'14.05'!$AY$4,'14.05'!$AY$3)</f>
        <v>180</v>
      </c>
      <c r="N21" s="4">
        <f>(VLOOKUP('14.05'!V21,'14.05'!$AM$4:$AO$55,2,FALSE))*IF('14.05'!AY$4="是",'14.05'!$AY$4,'14.05'!$AY$3)</f>
        <v>170</v>
      </c>
      <c r="O21" s="5">
        <f>(VLOOKUP('14.05'!W21,'14.05'!$AM$4:$AO$55,2,FALSE))*IF('14.05'!AZ$4="是",'14.05'!$AY$4,'14.05'!$AY$3)</f>
        <v>0</v>
      </c>
      <c r="P21" s="5">
        <f>(VLOOKUP('14.05'!X21,'14.05'!$AM$4:$AO$55,2,FALSE))*IF('14.05'!BA$4="是",'14.05'!$AY$4,'14.05'!$AY$3)</f>
        <v>0</v>
      </c>
      <c r="Q21" s="4">
        <f>(VLOOKUP('14.05'!Y21,'14.05'!$AM$4:$AO$55,2,FALSE))*IF('14.05'!BB$4="是",'14.05'!$AY$4,'14.05'!$AY$3)</f>
        <v>200</v>
      </c>
      <c r="R21" s="4">
        <f>(VLOOKUP('14.05'!Z21,'14.05'!$AM$4:$AO$55,2,FALSE))*IF('14.05'!BC$4="是",'14.05'!$AY$4,'14.05'!$AY$3)</f>
        <v>200</v>
      </c>
      <c r="S21" s="4">
        <f>(VLOOKUP('14.05'!AA21,'14.05'!$AM$4:$AO$55,2,FALSE))*IF('14.05'!BD$4="是",'14.05'!$AY$4,'14.05'!$AY$3)</f>
        <v>200</v>
      </c>
      <c r="T21" s="4">
        <f>(VLOOKUP('14.05'!AB21,'14.05'!$AM$4:$AO$55,2,FALSE))*IF('14.05'!BE$4="是",'14.05'!$AY$4,'14.05'!$AY$3)</f>
        <v>200</v>
      </c>
      <c r="U21" s="4">
        <f>(VLOOKUP('14.05'!AC21,'14.05'!$AM$4:$AO$55,2,FALSE))*IF('14.05'!BF$4="是",'14.05'!$AY$4,'14.05'!$AY$3)</f>
        <v>200</v>
      </c>
      <c r="V21" s="4">
        <f>(VLOOKUP('14.05'!AD21,'14.05'!$AM$4:$AO$55,2,FALSE))*IF('14.05'!BG$4="是",'14.05'!$AY$4,'14.05'!$AY$3)</f>
        <v>-200</v>
      </c>
      <c r="W21" s="5">
        <f>(VLOOKUP('14.05'!AE21,'14.05'!$AM$4:$AO$55,2,FALSE))*IF('14.05'!BH$4="是",'14.05'!$AY$4,'14.05'!$AY$3)</f>
        <v>0</v>
      </c>
      <c r="X21" s="5">
        <f>(VLOOKUP('14.05'!AF21,'14.05'!$AM$4:$AO$55,2,FALSE))*IF('14.05'!BI$4="是",'14.05'!$AY$4,'14.05'!$AY$3)</f>
        <v>0</v>
      </c>
    </row>
    <row r="22" spans="1:24">
      <c r="A22" s="4">
        <f>(VLOOKUP('14.05'!I22,'14.05'!$AM$4:$AO$55,2,FALSE))*IF('14.05'!AK$4="是",'14.05'!$AY$4,'14.05'!$AY$3)</f>
        <v>200</v>
      </c>
      <c r="B22" s="4">
        <f>(VLOOKUP('14.05'!J22,'14.05'!$AM$4:$AO$55,2,FALSE))*IF('14.05'!AL$4="是",'14.05'!$AY$4,'14.05'!$AY$3)</f>
        <v>200</v>
      </c>
      <c r="C22" s="4">
        <f>(VLOOKUP('14.05'!K22,'14.05'!$AM$4:$AO$55,2,FALSE))*IF('14.05'!AM$4="是",'14.05'!$AY$4,'14.05'!$AY$3)</f>
        <v>200</v>
      </c>
      <c r="D22" s="4">
        <f>(VLOOKUP('14.05'!L22,'14.05'!$AM$4:$AO$55,2,FALSE))*IF('14.05'!AN$4="是",'14.05'!$AY$4,'14.05'!$AY$3)</f>
        <v>200</v>
      </c>
      <c r="E22" s="4">
        <f>(VLOOKUP('14.05'!M22,'14.05'!$AM$4:$AO$55,2,FALSE))*IF('14.05'!AO$4="是",'14.05'!$AY$4,'14.05'!$AY$3)</f>
        <v>200</v>
      </c>
      <c r="F22" s="4">
        <f>(VLOOKUP('14.05'!N22,'14.05'!$AM$4:$AO$55,2,FALSE))*IF('14.05'!AQ$4="是",'14.05'!$AY$4,'14.05'!$AY$3)</f>
        <v>200</v>
      </c>
      <c r="G22" s="5">
        <f>(VLOOKUP('14.05'!O22,'14.05'!$AM$4:$AO$55,2,FALSE))*IF('14.05'!AR$4="是",'14.05'!$AY$4,'14.05'!$AY$3)</f>
        <v>0</v>
      </c>
      <c r="H22" s="5">
        <f>(VLOOKUP('14.05'!P22,'14.05'!$AM$4:$AO$55,2,FALSE))*IF('14.05'!AS$4="是",'14.05'!$AY$4,'14.05'!$AY$3)</f>
        <v>0</v>
      </c>
      <c r="I22" s="4">
        <f>(VLOOKUP('14.05'!Q22,'14.05'!$AM$4:$AO$55,2,FALSE))*IF('14.05'!AT$4="是",'14.05'!$AY$4,'14.05'!$AY$3)</f>
        <v>0</v>
      </c>
      <c r="J22" s="4">
        <f>(VLOOKUP('14.05'!R22,'14.05'!$AM$4:$AO$55,2,FALSE))*IF('14.05'!AU$4="是",'14.05'!$AY$4,'14.05'!$AY$3)</f>
        <v>0</v>
      </c>
      <c r="K22" s="4">
        <f>(VLOOKUP('14.05'!S22,'14.05'!$AM$4:$AO$55,2,FALSE))*IF('14.05'!AV$4="是",'14.05'!$AY$4,'14.05'!$AY$3)</f>
        <v>0</v>
      </c>
      <c r="L22" s="4">
        <f>(VLOOKUP('14.05'!T22,'14.05'!$AM$4:$AO$55,2,FALSE))*IF('14.05'!AW$4="是",'14.05'!$AY$4,'14.05'!$AY$3)</f>
        <v>0</v>
      </c>
      <c r="M22" s="4">
        <f>(VLOOKUP('14.05'!U22,'14.05'!$AM$4:$AO$55,2,FALSE))*IF('14.05'!AX$4="是",'14.05'!$AY$4,'14.05'!$AY$3)</f>
        <v>0</v>
      </c>
      <c r="N22" s="4">
        <f>(VLOOKUP('14.05'!V22,'14.05'!$AM$4:$AO$55,2,FALSE))*IF('14.05'!AY$4="是",'14.05'!$AY$4,'14.05'!$AY$3)</f>
        <v>0</v>
      </c>
      <c r="O22" s="5">
        <f>(VLOOKUP('14.05'!W22,'14.05'!$AM$4:$AO$55,2,FALSE))*IF('14.05'!AZ$4="是",'14.05'!$AY$4,'14.05'!$AY$3)</f>
        <v>0</v>
      </c>
      <c r="P22" s="5">
        <f>(VLOOKUP('14.05'!X22,'14.05'!$AM$4:$AO$55,2,FALSE))*IF('14.05'!BA$4="是",'14.05'!$AY$4,'14.05'!$AY$3)</f>
        <v>0</v>
      </c>
      <c r="Q22" s="4">
        <f>(VLOOKUP('14.05'!Y22,'14.05'!$AM$4:$AO$55,2,FALSE))*IF('14.05'!BB$4="是",'14.05'!$AY$4,'14.05'!$AY$3)</f>
        <v>200</v>
      </c>
      <c r="R22" s="4">
        <f>(VLOOKUP('14.05'!Z22,'14.05'!$AM$4:$AO$55,2,FALSE))*IF('14.05'!BC$4="是",'14.05'!$AY$4,'14.05'!$AY$3)</f>
        <v>200</v>
      </c>
      <c r="S22" s="4">
        <f>(VLOOKUP('14.05'!AA22,'14.05'!$AM$4:$AO$55,2,FALSE))*IF('14.05'!BD$4="是",'14.05'!$AY$4,'14.05'!$AY$3)</f>
        <v>200</v>
      </c>
      <c r="T22" s="4">
        <f>(VLOOKUP('14.05'!AB22,'14.05'!$AM$4:$AO$55,2,FALSE))*IF('14.05'!BE$4="是",'14.05'!$AY$4,'14.05'!$AY$3)</f>
        <v>200</v>
      </c>
      <c r="U22" s="4">
        <f>(VLOOKUP('14.05'!AC22,'14.05'!$AM$4:$AO$55,2,FALSE))*IF('14.05'!BF$4="是",'14.05'!$AY$4,'14.05'!$AY$3)</f>
        <v>200</v>
      </c>
      <c r="V22" s="4">
        <f>(VLOOKUP('14.05'!AD22,'14.05'!$AM$4:$AO$55,2,FALSE))*IF('14.05'!BG$4="是",'14.05'!$AY$4,'14.05'!$AY$3)</f>
        <v>200</v>
      </c>
      <c r="W22" s="5">
        <f>(VLOOKUP('14.05'!AE22,'14.05'!$AM$4:$AO$55,2,FALSE))*IF('14.05'!BH$4="是",'14.05'!$AY$4,'14.05'!$AY$3)</f>
        <v>0</v>
      </c>
      <c r="X22" s="5">
        <f>(VLOOKUP('14.05'!AF22,'14.05'!$AM$4:$AO$55,2,FALSE))*IF('14.05'!BI$4="是",'14.05'!$AY$4,'14.05'!$AY$3)</f>
        <v>0</v>
      </c>
    </row>
    <row r="23" spans="1:24">
      <c r="A23" s="4">
        <f>(VLOOKUP('14.05'!I23,'14.05'!$AM$4:$AO$55,2,FALSE))*IF('14.05'!AK$4="是",'14.05'!$AY$4,'14.05'!$AY$3)</f>
        <v>200</v>
      </c>
      <c r="B23" s="4">
        <f>(VLOOKUP('14.05'!J23,'14.05'!$AM$4:$AO$55,2,FALSE))*IF('14.05'!AL$4="是",'14.05'!$AY$4,'14.05'!$AY$3)</f>
        <v>200</v>
      </c>
      <c r="C23" s="4">
        <f>(VLOOKUP('14.05'!K23,'14.05'!$AM$4:$AO$55,2,FALSE))*IF('14.05'!AM$4="是",'14.05'!$AY$4,'14.05'!$AY$3)</f>
        <v>200</v>
      </c>
      <c r="D23" s="4">
        <f>(VLOOKUP('14.05'!L23,'14.05'!$AM$4:$AO$55,2,FALSE))*IF('14.05'!AN$4="是",'14.05'!$AY$4,'14.05'!$AY$3)</f>
        <v>200</v>
      </c>
      <c r="E23" s="4">
        <f>(VLOOKUP('14.05'!M23,'14.05'!$AM$4:$AO$55,2,FALSE))*IF('14.05'!AO$4="是",'14.05'!$AY$4,'14.05'!$AY$3)</f>
        <v>200</v>
      </c>
      <c r="F23" s="4">
        <f>(VLOOKUP('14.05'!N23,'14.05'!$AM$4:$AO$55,2,FALSE))*IF('14.05'!AQ$4="是",'14.05'!$AY$4,'14.05'!$AY$3)</f>
        <v>150</v>
      </c>
      <c r="G23" s="5">
        <f>(VLOOKUP('14.05'!O23,'14.05'!$AM$4:$AO$55,2,FALSE))*IF('14.05'!AR$4="是",'14.05'!$AY$4,'14.05'!$AY$3)</f>
        <v>0</v>
      </c>
      <c r="H23" s="5">
        <f>(VLOOKUP('14.05'!P23,'14.05'!$AM$4:$AO$55,2,FALSE))*IF('14.05'!AS$4="是",'14.05'!$AY$4,'14.05'!$AY$3)</f>
        <v>0</v>
      </c>
      <c r="I23" s="4">
        <f>(VLOOKUP('14.05'!Q23,'14.05'!$AM$4:$AO$55,2,FALSE))*IF('14.05'!AT$4="是",'14.05'!$AY$4,'14.05'!$AY$3)</f>
        <v>0</v>
      </c>
      <c r="J23" s="4">
        <f>(VLOOKUP('14.05'!R23,'14.05'!$AM$4:$AO$55,2,FALSE))*IF('14.05'!AU$4="是",'14.05'!$AY$4,'14.05'!$AY$3)</f>
        <v>0</v>
      </c>
      <c r="K23" s="4">
        <f>(VLOOKUP('14.05'!S23,'14.05'!$AM$4:$AO$55,2,FALSE))*IF('14.05'!AV$4="是",'14.05'!$AY$4,'14.05'!$AY$3)</f>
        <v>0</v>
      </c>
      <c r="L23" s="4">
        <f>(VLOOKUP('14.05'!T23,'14.05'!$AM$4:$AO$55,2,FALSE))*IF('14.05'!AW$4="是",'14.05'!$AY$4,'14.05'!$AY$3)</f>
        <v>0</v>
      </c>
      <c r="M23" s="4">
        <f>(VLOOKUP('14.05'!U23,'14.05'!$AM$4:$AO$55,2,FALSE))*IF('14.05'!AX$4="是",'14.05'!$AY$4,'14.05'!$AY$3)</f>
        <v>0</v>
      </c>
      <c r="N23" s="4">
        <f>(VLOOKUP('14.05'!V23,'14.05'!$AM$4:$AO$55,2,FALSE))*IF('14.05'!AY$4="是",'14.05'!$AY$4,'14.05'!$AY$3)</f>
        <v>0</v>
      </c>
      <c r="O23" s="5">
        <f>(VLOOKUP('14.05'!W23,'14.05'!$AM$4:$AO$55,2,FALSE))*IF('14.05'!AZ$4="是",'14.05'!$AY$4,'14.05'!$AY$3)</f>
        <v>0</v>
      </c>
      <c r="P23" s="5">
        <f>(VLOOKUP('14.05'!X23,'14.05'!$AM$4:$AO$55,2,FALSE))*IF('14.05'!BA$4="是",'14.05'!$AY$4,'14.05'!$AY$3)</f>
        <v>0</v>
      </c>
      <c r="Q23" s="4">
        <f>(VLOOKUP('14.05'!Y23,'14.05'!$AM$4:$AO$55,2,FALSE))*IF('14.05'!BB$4="是",'14.05'!$AY$4,'14.05'!$AY$3)</f>
        <v>190</v>
      </c>
      <c r="R23" s="4">
        <f>(VLOOKUP('14.05'!Z23,'14.05'!$AM$4:$AO$55,2,FALSE))*IF('14.05'!BC$4="是",'14.05'!$AY$4,'14.05'!$AY$3)</f>
        <v>190</v>
      </c>
      <c r="S23" s="4">
        <f>(VLOOKUP('14.05'!AA23,'14.05'!$AM$4:$AO$55,2,FALSE))*IF('14.05'!BD$4="是",'14.05'!$AY$4,'14.05'!$AY$3)</f>
        <v>190</v>
      </c>
      <c r="T23" s="4">
        <f>(VLOOKUP('14.05'!AB23,'14.05'!$AM$4:$AO$55,2,FALSE))*IF('14.05'!BE$4="是",'14.05'!$AY$4,'14.05'!$AY$3)</f>
        <v>190</v>
      </c>
      <c r="U23" s="4">
        <f>(VLOOKUP('14.05'!AC23,'14.05'!$AM$4:$AO$55,2,FALSE))*IF('14.05'!BF$4="是",'14.05'!$AY$4,'14.05'!$AY$3)</f>
        <v>200</v>
      </c>
      <c r="V23" s="4">
        <f>(VLOOKUP('14.05'!AD23,'14.05'!$AM$4:$AO$55,2,FALSE))*IF('14.05'!BG$4="是",'14.05'!$AY$4,'14.05'!$AY$3)</f>
        <v>250</v>
      </c>
      <c r="W23" s="5">
        <f>(VLOOKUP('14.05'!AE23,'14.05'!$AM$4:$AO$55,2,FALSE))*IF('14.05'!BH$4="是",'14.05'!$AY$4,'14.05'!$AY$3)</f>
        <v>0</v>
      </c>
      <c r="X23" s="5">
        <f>(VLOOKUP('14.05'!AF23,'14.05'!$AM$4:$AO$55,2,FALSE))*IF('14.05'!BI$4="是",'14.05'!$AY$4,'14.05'!$AY$3)</f>
        <v>0</v>
      </c>
    </row>
    <row r="24" spans="1:24">
      <c r="A24" s="4">
        <f>(VLOOKUP('14.05'!I24,'14.05'!$AM$4:$AO$55,2,FALSE))*IF('14.05'!AK$4="是",'14.05'!$AY$4,'14.05'!$AY$3)</f>
        <v>200</v>
      </c>
      <c r="B24" s="4">
        <f>(VLOOKUP('14.05'!J24,'14.05'!$AM$4:$AO$55,2,FALSE))*IF('14.05'!AL$4="是",'14.05'!$AY$4,'14.05'!$AY$3)</f>
        <v>200</v>
      </c>
      <c r="C24" s="4">
        <f>(VLOOKUP('14.05'!K24,'14.05'!$AM$4:$AO$55,2,FALSE))*IF('14.05'!AM$4="是",'14.05'!$AY$4,'14.05'!$AY$3)</f>
        <v>200</v>
      </c>
      <c r="D24" s="4">
        <f>(VLOOKUP('14.05'!L24,'14.05'!$AM$4:$AO$55,2,FALSE))*IF('14.05'!AN$4="是",'14.05'!$AY$4,'14.05'!$AY$3)</f>
        <v>200</v>
      </c>
      <c r="E24" s="4">
        <f>(VLOOKUP('14.05'!M24,'14.05'!$AM$4:$AO$55,2,FALSE))*IF('14.05'!AO$4="是",'14.05'!$AY$4,'14.05'!$AY$3)</f>
        <v>200</v>
      </c>
      <c r="F24" s="4">
        <f>(VLOOKUP('14.05'!N24,'14.05'!$AM$4:$AO$55,2,FALSE))*IF('14.05'!AQ$4="是",'14.05'!$AY$4,'14.05'!$AY$3)</f>
        <v>200</v>
      </c>
      <c r="G24" s="5">
        <f>(VLOOKUP('14.05'!O24,'14.05'!$AM$4:$AO$55,2,FALSE))*IF('14.05'!AR$4="是",'14.05'!$AY$4,'14.05'!$AY$3)</f>
        <v>0</v>
      </c>
      <c r="H24" s="5">
        <f>(VLOOKUP('14.05'!P24,'14.05'!$AM$4:$AO$55,2,FALSE))*IF('14.05'!AS$4="是",'14.05'!$AY$4,'14.05'!$AY$3)</f>
        <v>0</v>
      </c>
      <c r="I24" s="4">
        <f>(VLOOKUP('14.05'!Q24,'14.05'!$AM$4:$AO$55,2,FALSE))*IF('14.05'!AT$4="是",'14.05'!$AY$4,'14.05'!$AY$3)</f>
        <v>0</v>
      </c>
      <c r="J24" s="4">
        <f>(VLOOKUP('14.05'!R24,'14.05'!$AM$4:$AO$55,2,FALSE))*IF('14.05'!AU$4="是",'14.05'!$AY$4,'14.05'!$AY$3)</f>
        <v>0</v>
      </c>
      <c r="K24" s="4">
        <f>(VLOOKUP('14.05'!S24,'14.05'!$AM$4:$AO$55,2,FALSE))*IF('14.05'!AV$4="是",'14.05'!$AY$4,'14.05'!$AY$3)</f>
        <v>0</v>
      </c>
      <c r="L24" s="4">
        <f>(VLOOKUP('14.05'!T24,'14.05'!$AM$4:$AO$55,2,FALSE))*IF('14.05'!AW$4="是",'14.05'!$AY$4,'14.05'!$AY$3)</f>
        <v>0</v>
      </c>
      <c r="M24" s="4">
        <f>(VLOOKUP('14.05'!U24,'14.05'!$AM$4:$AO$55,2,FALSE))*IF('14.05'!AX$4="是",'14.05'!$AY$4,'14.05'!$AY$3)</f>
        <v>0</v>
      </c>
      <c r="N24" s="4">
        <f>(VLOOKUP('14.05'!V24,'14.05'!$AM$4:$AO$55,2,FALSE))*IF('14.05'!AY$4="是",'14.05'!$AY$4,'14.05'!$AY$3)</f>
        <v>0</v>
      </c>
      <c r="O24" s="5">
        <f>(VLOOKUP('14.05'!W24,'14.05'!$AM$4:$AO$55,2,FALSE))*IF('14.05'!AZ$4="是",'14.05'!$AY$4,'14.05'!$AY$3)</f>
        <v>0</v>
      </c>
      <c r="P24" s="5">
        <f>(VLOOKUP('14.05'!X24,'14.05'!$AM$4:$AO$55,2,FALSE))*IF('14.05'!BA$4="是",'14.05'!$AY$4,'14.05'!$AY$3)</f>
        <v>0</v>
      </c>
      <c r="Q24" s="4">
        <f>(VLOOKUP('14.05'!Y24,'14.05'!$AM$4:$AO$55,2,FALSE))*IF('14.05'!BB$4="是",'14.05'!$AY$4,'14.05'!$AY$3)</f>
        <v>200</v>
      </c>
      <c r="R24" s="4">
        <f>(VLOOKUP('14.05'!Z24,'14.05'!$AM$4:$AO$55,2,FALSE))*IF('14.05'!BC$4="是",'14.05'!$AY$4,'14.05'!$AY$3)</f>
        <v>200</v>
      </c>
      <c r="S24" s="4">
        <f>(VLOOKUP('14.05'!AA24,'14.05'!$AM$4:$AO$55,2,FALSE))*IF('14.05'!BD$4="是",'14.05'!$AY$4,'14.05'!$AY$3)</f>
        <v>200</v>
      </c>
      <c r="T24" s="4">
        <f>(VLOOKUP('14.05'!AB24,'14.05'!$AM$4:$AO$55,2,FALSE))*IF('14.05'!BE$4="是",'14.05'!$AY$4,'14.05'!$AY$3)</f>
        <v>200</v>
      </c>
      <c r="U24" s="4">
        <f>(VLOOKUP('14.05'!AC24,'14.05'!$AM$4:$AO$55,2,FALSE))*IF('14.05'!BF$4="是",'14.05'!$AY$4,'14.05'!$AY$3)</f>
        <v>200</v>
      </c>
      <c r="V24" s="4">
        <f>(VLOOKUP('14.05'!AD24,'14.05'!$AM$4:$AO$55,2,FALSE))*IF('14.05'!BG$4="是",'14.05'!$AY$4,'14.05'!$AY$3)</f>
        <v>200</v>
      </c>
      <c r="W24" s="5">
        <f>(VLOOKUP('14.05'!AE24,'14.05'!$AM$4:$AO$55,2,FALSE))*IF('14.05'!BH$4="是",'14.05'!$AY$4,'14.05'!$AY$3)</f>
        <v>0</v>
      </c>
      <c r="X24" s="5">
        <f>(VLOOKUP('14.05'!AF24,'14.05'!$AM$4:$AO$55,2,FALSE))*IF('14.05'!BI$4="是",'14.05'!$AY$4,'14.05'!$AY$3)</f>
        <v>0</v>
      </c>
    </row>
    <row r="25" spans="1:24">
      <c r="A25" s="4">
        <f>(VLOOKUP('14.05'!I25,'14.05'!$AM$4:$AO$55,2,FALSE))*IF('14.05'!AK$4="是",'14.05'!$AY$4,'14.05'!$AY$3)</f>
        <v>200</v>
      </c>
      <c r="B25" s="4">
        <f>(VLOOKUP('14.05'!J25,'14.05'!$AM$4:$AO$55,2,FALSE))*IF('14.05'!AL$4="是",'14.05'!$AY$4,'14.05'!$AY$3)</f>
        <v>200</v>
      </c>
      <c r="C25" s="4">
        <f>(VLOOKUP('14.05'!K25,'14.05'!$AM$4:$AO$55,2,FALSE))*IF('14.05'!AM$4="是",'14.05'!$AY$4,'14.05'!$AY$3)</f>
        <v>200</v>
      </c>
      <c r="D25" s="4">
        <f>(VLOOKUP('14.05'!L25,'14.05'!$AM$4:$AO$55,2,FALSE))*IF('14.05'!AN$4="是",'14.05'!$AY$4,'14.05'!$AY$3)</f>
        <v>200</v>
      </c>
      <c r="E25" s="4">
        <f>(VLOOKUP('14.05'!M25,'14.05'!$AM$4:$AO$55,2,FALSE))*IF('14.05'!AO$4="是",'14.05'!$AY$4,'14.05'!$AY$3)</f>
        <v>200</v>
      </c>
      <c r="F25" s="4">
        <f>(VLOOKUP('14.05'!N25,'14.05'!$AM$4:$AO$55,2,FALSE))*IF('14.05'!AQ$4="是",'14.05'!$AY$4,'14.05'!$AY$3)</f>
        <v>190</v>
      </c>
      <c r="G25" s="5">
        <f>(VLOOKUP('14.05'!O25,'14.05'!$AM$4:$AO$55,2,FALSE))*IF('14.05'!AR$4="是",'14.05'!$AY$4,'14.05'!$AY$3)</f>
        <v>0</v>
      </c>
      <c r="H25" s="5">
        <f>(VLOOKUP('14.05'!P25,'14.05'!$AM$4:$AO$55,2,FALSE))*IF('14.05'!AS$4="是",'14.05'!$AY$4,'14.05'!$AY$3)</f>
        <v>0</v>
      </c>
      <c r="I25" s="4">
        <f>(VLOOKUP('14.05'!Q25,'14.05'!$AM$4:$AO$55,2,FALSE))*IF('14.05'!AT$4="是",'14.05'!$AY$4,'14.05'!$AY$3)</f>
        <v>0</v>
      </c>
      <c r="J25" s="4">
        <f>(VLOOKUP('14.05'!R25,'14.05'!$AM$4:$AO$55,2,FALSE))*IF('14.05'!AU$4="是",'14.05'!$AY$4,'14.05'!$AY$3)</f>
        <v>0</v>
      </c>
      <c r="K25" s="4">
        <f>(VLOOKUP('14.05'!S25,'14.05'!$AM$4:$AO$55,2,FALSE))*IF('14.05'!AV$4="是",'14.05'!$AY$4,'14.05'!$AY$3)</f>
        <v>0</v>
      </c>
      <c r="L25" s="4">
        <f>(VLOOKUP('14.05'!T25,'14.05'!$AM$4:$AO$55,2,FALSE))*IF('14.05'!AW$4="是",'14.05'!$AY$4,'14.05'!$AY$3)</f>
        <v>0</v>
      </c>
      <c r="M25" s="4">
        <f>(VLOOKUP('14.05'!U25,'14.05'!$AM$4:$AO$55,2,FALSE))*IF('14.05'!AX$4="是",'14.05'!$AY$4,'14.05'!$AY$3)</f>
        <v>0</v>
      </c>
      <c r="N25" s="4">
        <f>(VLOOKUP('14.05'!V25,'14.05'!$AM$4:$AO$55,2,FALSE))*IF('14.05'!AY$4="是",'14.05'!$AY$4,'14.05'!$AY$3)</f>
        <v>0</v>
      </c>
      <c r="O25" s="5">
        <f>(VLOOKUP('14.05'!W25,'14.05'!$AM$4:$AO$55,2,FALSE))*IF('14.05'!AZ$4="是",'14.05'!$AY$4,'14.05'!$AY$3)</f>
        <v>0</v>
      </c>
      <c r="P25" s="5">
        <f>(VLOOKUP('14.05'!X25,'14.05'!$AM$4:$AO$55,2,FALSE))*IF('14.05'!BA$4="是",'14.05'!$AY$4,'14.05'!$AY$3)</f>
        <v>0</v>
      </c>
      <c r="Q25" s="4">
        <f>(VLOOKUP('14.05'!Y25,'14.05'!$AM$4:$AO$55,2,FALSE))*IF('14.05'!BB$4="是",'14.05'!$AY$4,'14.05'!$AY$3)</f>
        <v>190</v>
      </c>
      <c r="R25" s="4">
        <f>(VLOOKUP('14.05'!Z25,'14.05'!$AM$4:$AO$55,2,FALSE))*IF('14.05'!BC$4="是",'14.05'!$AY$4,'14.05'!$AY$3)</f>
        <v>190</v>
      </c>
      <c r="S25" s="4">
        <f>(VLOOKUP('14.05'!AA25,'14.05'!$AM$4:$AO$55,2,FALSE))*IF('14.05'!BD$4="是",'14.05'!$AY$4,'14.05'!$AY$3)</f>
        <v>190</v>
      </c>
      <c r="T25" s="4">
        <f>(VLOOKUP('14.05'!AB25,'14.05'!$AM$4:$AO$55,2,FALSE))*IF('14.05'!BE$4="是",'14.05'!$AY$4,'14.05'!$AY$3)</f>
        <v>190</v>
      </c>
      <c r="U25" s="4">
        <f>(VLOOKUP('14.05'!AC25,'14.05'!$AM$4:$AO$55,2,FALSE))*IF('14.05'!BF$4="是",'14.05'!$AY$4,'14.05'!$AY$3)</f>
        <v>200</v>
      </c>
      <c r="V25" s="4">
        <f>(VLOOKUP('14.05'!AD25,'14.05'!$AM$4:$AO$55,2,FALSE))*IF('14.05'!BG$4="是",'14.05'!$AY$4,'14.05'!$AY$3)</f>
        <v>200</v>
      </c>
      <c r="W25" s="5">
        <f>(VLOOKUP('14.05'!AE25,'14.05'!$AM$4:$AO$55,2,FALSE))*IF('14.05'!BH$4="是",'14.05'!$AY$4,'14.05'!$AY$3)</f>
        <v>0</v>
      </c>
      <c r="X25" s="5">
        <f>(VLOOKUP('14.05'!AF25,'14.05'!$AM$4:$AO$55,2,FALSE))*IF('14.05'!BI$4="是",'14.05'!$AY$4,'14.05'!$AY$3)</f>
        <v>0</v>
      </c>
    </row>
    <row r="26" spans="1:24">
      <c r="A26" s="4">
        <f>(VLOOKUP('14.05'!I26,'14.05'!$AM$4:$AO$55,2,FALSE))*IF('14.05'!AK$4="是",'14.05'!$AY$4,'14.05'!$AY$3)</f>
        <v>190</v>
      </c>
      <c r="B26" s="4">
        <f>(VLOOKUP('14.05'!J26,'14.05'!$AM$4:$AO$55,2,FALSE))*IF('14.05'!AL$4="是",'14.05'!$AY$4,'14.05'!$AY$3)</f>
        <v>190</v>
      </c>
      <c r="C26" s="4">
        <f>(VLOOKUP('14.05'!K26,'14.05'!$AM$4:$AO$55,2,FALSE))*IF('14.05'!AM$4="是",'14.05'!$AY$4,'14.05'!$AY$3)</f>
        <v>190</v>
      </c>
      <c r="D26" s="4">
        <f>(VLOOKUP('14.05'!L26,'14.05'!$AM$4:$AO$55,2,FALSE))*IF('14.05'!AN$4="是",'14.05'!$AY$4,'14.05'!$AY$3)</f>
        <v>190</v>
      </c>
      <c r="E26" s="4">
        <f>(VLOOKUP('14.05'!M26,'14.05'!$AM$4:$AO$55,2,FALSE))*IF('14.05'!AO$4="是",'14.05'!$AY$4,'14.05'!$AY$3)</f>
        <v>190</v>
      </c>
      <c r="F26" s="4">
        <f>(VLOOKUP('14.05'!N26,'14.05'!$AM$4:$AO$55,2,FALSE))*IF('14.05'!AQ$4="是",'14.05'!$AY$4,'14.05'!$AY$3)</f>
        <v>190</v>
      </c>
      <c r="G26" s="5">
        <f>(VLOOKUP('14.05'!O26,'14.05'!$AM$4:$AO$55,2,FALSE))*IF('14.05'!AR$4="是",'14.05'!$AY$4,'14.05'!$AY$3)</f>
        <v>0</v>
      </c>
      <c r="H26" s="5">
        <f>(VLOOKUP('14.05'!P26,'14.05'!$AM$4:$AO$55,2,FALSE))*IF('14.05'!AS$4="是",'14.05'!$AY$4,'14.05'!$AY$3)</f>
        <v>0</v>
      </c>
      <c r="I26" s="4">
        <f>(VLOOKUP('14.05'!Q26,'14.05'!$AM$4:$AO$55,2,FALSE))*IF('14.05'!AT$4="是",'14.05'!$AY$4,'14.05'!$AY$3)</f>
        <v>0</v>
      </c>
      <c r="J26" s="4">
        <f>(VLOOKUP('14.05'!R26,'14.05'!$AM$4:$AO$55,2,FALSE))*IF('14.05'!AU$4="是",'14.05'!$AY$4,'14.05'!$AY$3)</f>
        <v>0</v>
      </c>
      <c r="K26" s="4">
        <f>(VLOOKUP('14.05'!S26,'14.05'!$AM$4:$AO$55,2,FALSE))*IF('14.05'!AV$4="是",'14.05'!$AY$4,'14.05'!$AY$3)</f>
        <v>0</v>
      </c>
      <c r="L26" s="4">
        <f>(VLOOKUP('14.05'!T26,'14.05'!$AM$4:$AO$55,2,FALSE))*IF('14.05'!AW$4="是",'14.05'!$AY$4,'14.05'!$AY$3)</f>
        <v>0</v>
      </c>
      <c r="M26" s="4">
        <f>(VLOOKUP('14.05'!U26,'14.05'!$AM$4:$AO$55,2,FALSE))*IF('14.05'!AX$4="是",'14.05'!$AY$4,'14.05'!$AY$3)</f>
        <v>0</v>
      </c>
      <c r="N26" s="4">
        <f>(VLOOKUP('14.05'!V26,'14.05'!$AM$4:$AO$55,2,FALSE))*IF('14.05'!AY$4="是",'14.05'!$AY$4,'14.05'!$AY$3)</f>
        <v>0</v>
      </c>
      <c r="O26" s="5">
        <f>(VLOOKUP('14.05'!W26,'14.05'!$AM$4:$AO$55,2,FALSE))*IF('14.05'!AZ$4="是",'14.05'!$AY$4,'14.05'!$AY$3)</f>
        <v>0</v>
      </c>
      <c r="P26" s="5">
        <f>(VLOOKUP('14.05'!X26,'14.05'!$AM$4:$AO$55,2,FALSE))*IF('14.05'!BA$4="是",'14.05'!$AY$4,'14.05'!$AY$3)</f>
        <v>0</v>
      </c>
      <c r="Q26" s="4">
        <f>(VLOOKUP('14.05'!Y26,'14.05'!$AM$4:$AO$55,2,FALSE))*IF('14.05'!BB$4="是",'14.05'!$AY$4,'14.05'!$AY$3)</f>
        <v>200</v>
      </c>
      <c r="R26" s="4">
        <f>(VLOOKUP('14.05'!Z26,'14.05'!$AM$4:$AO$55,2,FALSE))*IF('14.05'!BC$4="是",'14.05'!$AY$4,'14.05'!$AY$3)</f>
        <v>200</v>
      </c>
      <c r="S26" s="4">
        <f>(VLOOKUP('14.05'!AA26,'14.05'!$AM$4:$AO$55,2,FALSE))*IF('14.05'!BD$4="是",'14.05'!$AY$4,'14.05'!$AY$3)</f>
        <v>200</v>
      </c>
      <c r="T26" s="4">
        <f>(VLOOKUP('14.05'!AB26,'14.05'!$AM$4:$AO$55,2,FALSE))*IF('14.05'!BE$4="是",'14.05'!$AY$4,'14.05'!$AY$3)</f>
        <v>200</v>
      </c>
      <c r="U26" s="4">
        <f>(VLOOKUP('14.05'!AC26,'14.05'!$AM$4:$AO$55,2,FALSE))*IF('14.05'!BF$4="是",'14.05'!$AY$4,'14.05'!$AY$3)</f>
        <v>200</v>
      </c>
      <c r="V26" s="4">
        <f>(VLOOKUP('14.05'!AD26,'14.05'!$AM$4:$AO$55,2,FALSE))*IF('14.05'!BG$4="是",'14.05'!$AY$4,'14.05'!$AY$3)</f>
        <v>190</v>
      </c>
      <c r="W26" s="5">
        <f>(VLOOKUP('14.05'!AE26,'14.05'!$AM$4:$AO$55,2,FALSE))*IF('14.05'!BH$4="是",'14.05'!$AY$4,'14.05'!$AY$3)</f>
        <v>0</v>
      </c>
      <c r="X26" s="5">
        <f>(VLOOKUP('14.05'!AF26,'14.05'!$AM$4:$AO$55,2,FALSE))*IF('14.05'!BI$4="是",'14.05'!$AY$4,'14.05'!$AY$3)</f>
        <v>0</v>
      </c>
    </row>
    <row r="27" spans="1:24">
      <c r="A27" s="4">
        <f>(VLOOKUP('14.05'!I27,'14.05'!$AM$4:$AO$55,2,FALSE))*IF('14.05'!AK$4="是",'14.05'!$AY$4,'14.05'!$AY$3)</f>
        <v>190</v>
      </c>
      <c r="B27" s="4">
        <f>(VLOOKUP('14.05'!J27,'14.05'!$AM$4:$AO$55,2,FALSE))*IF('14.05'!AL$4="是",'14.05'!$AY$4,'14.05'!$AY$3)</f>
        <v>190</v>
      </c>
      <c r="C27" s="4">
        <f>(VLOOKUP('14.05'!K27,'14.05'!$AM$4:$AO$55,2,FALSE))*IF('14.05'!AM$4="是",'14.05'!$AY$4,'14.05'!$AY$3)</f>
        <v>-200</v>
      </c>
      <c r="D27" s="4">
        <f>(VLOOKUP('14.05'!L27,'14.05'!$AM$4:$AO$55,2,FALSE))*IF('14.05'!AN$4="是",'14.05'!$AY$4,'14.05'!$AY$3)</f>
        <v>190</v>
      </c>
      <c r="E27" s="4">
        <f>(VLOOKUP('14.05'!M27,'14.05'!$AM$4:$AO$55,2,FALSE))*IF('14.05'!AO$4="是",'14.05'!$AY$4,'14.05'!$AY$3)</f>
        <v>190</v>
      </c>
      <c r="F27" s="4">
        <f>(VLOOKUP('14.05'!N27,'14.05'!$AM$4:$AO$55,2,FALSE))*IF('14.05'!AQ$4="是",'14.05'!$AY$4,'14.05'!$AY$3)</f>
        <v>190</v>
      </c>
      <c r="G27" s="5">
        <f>(VLOOKUP('14.05'!O27,'14.05'!$AM$4:$AO$55,2,FALSE))*IF('14.05'!AR$4="是",'14.05'!$AY$4,'14.05'!$AY$3)</f>
        <v>0</v>
      </c>
      <c r="H27" s="5">
        <f>(VLOOKUP('14.05'!P27,'14.05'!$AM$4:$AO$55,2,FALSE))*IF('14.05'!AS$4="是",'14.05'!$AY$4,'14.05'!$AY$3)</f>
        <v>0</v>
      </c>
      <c r="I27" s="4">
        <f>(VLOOKUP('14.05'!Q27,'14.05'!$AM$4:$AO$55,2,FALSE))*IF('14.05'!AT$4="是",'14.05'!$AY$4,'14.05'!$AY$3)</f>
        <v>0</v>
      </c>
      <c r="J27" s="4">
        <f>(VLOOKUP('14.05'!R27,'14.05'!$AM$4:$AO$55,2,FALSE))*IF('14.05'!AU$4="是",'14.05'!$AY$4,'14.05'!$AY$3)</f>
        <v>0</v>
      </c>
      <c r="K27" s="4">
        <f>(VLOOKUP('14.05'!S27,'14.05'!$AM$4:$AO$55,2,FALSE))*IF('14.05'!AV$4="是",'14.05'!$AY$4,'14.05'!$AY$3)</f>
        <v>0</v>
      </c>
      <c r="L27" s="4">
        <f>(VLOOKUP('14.05'!T27,'14.05'!$AM$4:$AO$55,2,FALSE))*IF('14.05'!AW$4="是",'14.05'!$AY$4,'14.05'!$AY$3)</f>
        <v>0</v>
      </c>
      <c r="M27" s="4">
        <f>(VLOOKUP('14.05'!U27,'14.05'!$AM$4:$AO$55,2,FALSE))*IF('14.05'!AX$4="是",'14.05'!$AY$4,'14.05'!$AY$3)</f>
        <v>0</v>
      </c>
      <c r="N27" s="4">
        <f>(VLOOKUP('14.05'!V27,'14.05'!$AM$4:$AO$55,2,FALSE))*IF('14.05'!AY$4="是",'14.05'!$AY$4,'14.05'!$AY$3)</f>
        <v>0</v>
      </c>
      <c r="O27" s="5">
        <f>(VLOOKUP('14.05'!W27,'14.05'!$AM$4:$AO$55,2,FALSE))*IF('14.05'!AZ$4="是",'14.05'!$AY$4,'14.05'!$AY$3)</f>
        <v>0</v>
      </c>
      <c r="P27" s="5">
        <f>(VLOOKUP('14.05'!X27,'14.05'!$AM$4:$AO$55,2,FALSE))*IF('14.05'!BA$4="是",'14.05'!$AY$4,'14.05'!$AY$3)</f>
        <v>0</v>
      </c>
      <c r="Q27" s="4">
        <f>(VLOOKUP('14.05'!Y27,'14.05'!$AM$4:$AO$55,2,FALSE))*IF('14.05'!BB$4="是",'14.05'!$AY$4,'14.05'!$AY$3)</f>
        <v>190</v>
      </c>
      <c r="R27" s="4">
        <f>(VLOOKUP('14.05'!Z27,'14.05'!$AM$4:$AO$55,2,FALSE))*IF('14.05'!BC$4="是",'14.05'!$AY$4,'14.05'!$AY$3)</f>
        <v>50</v>
      </c>
      <c r="S27" s="4">
        <f>(VLOOKUP('14.05'!AA27,'14.05'!$AM$4:$AO$55,2,FALSE))*IF('14.05'!BD$4="是",'14.05'!$AY$4,'14.05'!$AY$3)</f>
        <v>190</v>
      </c>
      <c r="T27" s="4">
        <f>(VLOOKUP('14.05'!AB27,'14.05'!$AM$4:$AO$55,2,FALSE))*IF('14.05'!BE$4="是",'14.05'!$AY$4,'14.05'!$AY$3)</f>
        <v>190</v>
      </c>
      <c r="U27" s="4">
        <f>(VLOOKUP('14.05'!AC27,'14.05'!$AM$4:$AO$55,2,FALSE))*IF('14.05'!BF$4="是",'14.05'!$AY$4,'14.05'!$AY$3)</f>
        <v>190</v>
      </c>
      <c r="V27" s="4">
        <f>(VLOOKUP('14.05'!AD27,'14.05'!$AM$4:$AO$55,2,FALSE))*IF('14.05'!BG$4="是",'14.05'!$AY$4,'14.05'!$AY$3)</f>
        <v>190</v>
      </c>
      <c r="W27" s="5">
        <f>(VLOOKUP('14.05'!AE27,'14.05'!$AM$4:$AO$55,2,FALSE))*IF('14.05'!BH$4="是",'14.05'!$AY$4,'14.05'!$AY$3)</f>
        <v>0</v>
      </c>
      <c r="X27" s="5">
        <f>(VLOOKUP('14.05'!AF27,'14.05'!$AM$4:$AO$55,2,FALSE))*IF('14.05'!BI$4="是",'14.05'!$AY$4,'14.05'!$AY$3)</f>
        <v>0</v>
      </c>
    </row>
    <row r="28" spans="1:24">
      <c r="A28" s="4">
        <f>(VLOOKUP('14.05'!I28,'14.05'!$AM$4:$AO$55,2,FALSE))*IF('14.05'!AK$4="是",'14.05'!$AY$4,'14.05'!$AY$3)</f>
        <v>190</v>
      </c>
      <c r="B28" s="4">
        <f>(VLOOKUP('14.05'!J28,'14.05'!$AM$4:$AO$55,2,FALSE))*IF('14.05'!AL$4="是",'14.05'!$AY$4,'14.05'!$AY$3)</f>
        <v>190</v>
      </c>
      <c r="C28" s="4">
        <f>(VLOOKUP('14.05'!K28,'14.05'!$AM$4:$AO$55,2,FALSE))*IF('14.05'!AM$4="是",'14.05'!$AY$4,'14.05'!$AY$3)</f>
        <v>190</v>
      </c>
      <c r="D28" s="4">
        <f>(VLOOKUP('14.05'!L28,'14.05'!$AM$4:$AO$55,2,FALSE))*IF('14.05'!AN$4="是",'14.05'!$AY$4,'14.05'!$AY$3)</f>
        <v>250</v>
      </c>
      <c r="E28" s="4">
        <f>(VLOOKUP('14.05'!M28,'14.05'!$AM$4:$AO$55,2,FALSE))*IF('14.05'!AO$4="是",'14.05'!$AY$4,'14.05'!$AY$3)</f>
        <v>190</v>
      </c>
      <c r="F28" s="4">
        <f>(VLOOKUP('14.05'!N28,'14.05'!$AM$4:$AO$55,2,FALSE))*IF('14.05'!AQ$4="是",'14.05'!$AY$4,'14.05'!$AY$3)</f>
        <v>190</v>
      </c>
      <c r="G28" s="5">
        <f>(VLOOKUP('14.05'!O28,'14.05'!$AM$4:$AO$55,2,FALSE))*IF('14.05'!AR$4="是",'14.05'!$AY$4,'14.05'!$AY$3)</f>
        <v>0</v>
      </c>
      <c r="H28" s="5">
        <f>(VLOOKUP('14.05'!P28,'14.05'!$AM$4:$AO$55,2,FALSE))*IF('14.05'!AS$4="是",'14.05'!$AY$4,'14.05'!$AY$3)</f>
        <v>0</v>
      </c>
      <c r="I28" s="4">
        <f>(VLOOKUP('14.05'!Q28,'14.05'!$AM$4:$AO$55,2,FALSE))*IF('14.05'!AT$4="是",'14.05'!$AY$4,'14.05'!$AY$3)</f>
        <v>0</v>
      </c>
      <c r="J28" s="4">
        <f>(VLOOKUP('14.05'!R28,'14.05'!$AM$4:$AO$55,2,FALSE))*IF('14.05'!AU$4="是",'14.05'!$AY$4,'14.05'!$AY$3)</f>
        <v>0</v>
      </c>
      <c r="K28" s="4">
        <f>(VLOOKUP('14.05'!S28,'14.05'!$AM$4:$AO$55,2,FALSE))*IF('14.05'!AV$4="是",'14.05'!$AY$4,'14.05'!$AY$3)</f>
        <v>0</v>
      </c>
      <c r="L28" s="4">
        <f>(VLOOKUP('14.05'!T28,'14.05'!$AM$4:$AO$55,2,FALSE))*IF('14.05'!AW$4="是",'14.05'!$AY$4,'14.05'!$AY$3)</f>
        <v>0</v>
      </c>
      <c r="M28" s="4">
        <f>(VLOOKUP('14.05'!U28,'14.05'!$AM$4:$AO$55,2,FALSE))*IF('14.05'!AX$4="是",'14.05'!$AY$4,'14.05'!$AY$3)</f>
        <v>0</v>
      </c>
      <c r="N28" s="4">
        <f>(VLOOKUP('14.05'!V28,'14.05'!$AM$4:$AO$55,2,FALSE))*IF('14.05'!AY$4="是",'14.05'!$AY$4,'14.05'!$AY$3)</f>
        <v>0</v>
      </c>
      <c r="O28" s="5">
        <f>(VLOOKUP('14.05'!W28,'14.05'!$AM$4:$AO$55,2,FALSE))*IF('14.05'!AZ$4="是",'14.05'!$AY$4,'14.05'!$AY$3)</f>
        <v>0</v>
      </c>
      <c r="P28" s="5">
        <f>(VLOOKUP('14.05'!X28,'14.05'!$AM$4:$AO$55,2,FALSE))*IF('14.05'!BA$4="是",'14.05'!$AY$4,'14.05'!$AY$3)</f>
        <v>0</v>
      </c>
      <c r="Q28" s="4">
        <f>(VLOOKUP('14.05'!Y28,'14.05'!$AM$4:$AO$55,2,FALSE))*IF('14.05'!BB$4="是",'14.05'!$AY$4,'14.05'!$AY$3)</f>
        <v>190</v>
      </c>
      <c r="R28" s="4">
        <f>(VLOOKUP('14.05'!Z28,'14.05'!$AM$4:$AO$55,2,FALSE))*IF('14.05'!BC$4="是",'14.05'!$AY$4,'14.05'!$AY$3)</f>
        <v>190</v>
      </c>
      <c r="S28" s="4">
        <f>(VLOOKUP('14.05'!AA28,'14.05'!$AM$4:$AO$55,2,FALSE))*IF('14.05'!BD$4="是",'14.05'!$AY$4,'14.05'!$AY$3)</f>
        <v>190</v>
      </c>
      <c r="T28" s="4">
        <f>(VLOOKUP('14.05'!AB28,'14.05'!$AM$4:$AO$55,2,FALSE))*IF('14.05'!BE$4="是",'14.05'!$AY$4,'14.05'!$AY$3)</f>
        <v>190</v>
      </c>
      <c r="U28" s="4">
        <f>(VLOOKUP('14.05'!AC28,'14.05'!$AM$4:$AO$55,2,FALSE))*IF('14.05'!BF$4="是",'14.05'!$AY$4,'14.05'!$AY$3)</f>
        <v>190</v>
      </c>
      <c r="V28" s="4">
        <f>(VLOOKUP('14.05'!AD28,'14.05'!$AM$4:$AO$55,2,FALSE))*IF('14.05'!BG$4="是",'14.05'!$AY$4,'14.05'!$AY$3)</f>
        <v>190</v>
      </c>
      <c r="W28" s="5">
        <f>(VLOOKUP('14.05'!AE28,'14.05'!$AM$4:$AO$55,2,FALSE))*IF('14.05'!BH$4="是",'14.05'!$AY$4,'14.05'!$AY$3)</f>
        <v>0</v>
      </c>
      <c r="X28" s="5">
        <f>(VLOOKUP('14.05'!AF28,'14.05'!$AM$4:$AO$55,2,FALSE))*IF('14.05'!BI$4="是",'14.05'!$AY$4,'14.05'!$AY$3)</f>
        <v>0</v>
      </c>
    </row>
    <row r="29" spans="1:24">
      <c r="A29" s="4">
        <f>(VLOOKUP('14.05'!I29,'14.05'!$AM$4:$AO$55,2,FALSE))*IF('14.05'!AK$4="是",'14.05'!$AY$4,'14.05'!$AY$3)</f>
        <v>190</v>
      </c>
      <c r="B29" s="4">
        <f>(VLOOKUP('14.05'!J29,'14.05'!$AM$4:$AO$55,2,FALSE))*IF('14.05'!AL$4="是",'14.05'!$AY$4,'14.05'!$AY$3)</f>
        <v>190</v>
      </c>
      <c r="C29" s="4">
        <f>(VLOOKUP('14.05'!K29,'14.05'!$AM$4:$AO$55,2,FALSE))*IF('14.05'!AM$4="是",'14.05'!$AY$4,'14.05'!$AY$3)</f>
        <v>190</v>
      </c>
      <c r="D29" s="4">
        <f>(VLOOKUP('14.05'!L29,'14.05'!$AM$4:$AO$55,2,FALSE))*IF('14.05'!AN$4="是",'14.05'!$AY$4,'14.05'!$AY$3)</f>
        <v>190</v>
      </c>
      <c r="E29" s="4">
        <f>(VLOOKUP('14.05'!M29,'14.05'!$AM$4:$AO$55,2,FALSE))*IF('14.05'!AO$4="是",'14.05'!$AY$4,'14.05'!$AY$3)</f>
        <v>190</v>
      </c>
      <c r="F29" s="4">
        <f>(VLOOKUP('14.05'!N29,'14.05'!$AM$4:$AO$55,2,FALSE))*IF('14.05'!AQ$4="是",'14.05'!$AY$4,'14.05'!$AY$3)</f>
        <v>190</v>
      </c>
      <c r="G29" s="5">
        <f>(VLOOKUP('14.05'!O29,'14.05'!$AM$4:$AO$55,2,FALSE))*IF('14.05'!AR$4="是",'14.05'!$AY$4,'14.05'!$AY$3)</f>
        <v>0</v>
      </c>
      <c r="H29" s="5">
        <f>(VLOOKUP('14.05'!P29,'14.05'!$AM$4:$AO$55,2,FALSE))*IF('14.05'!AS$4="是",'14.05'!$AY$4,'14.05'!$AY$3)</f>
        <v>0</v>
      </c>
      <c r="I29" s="4">
        <f>(VLOOKUP('14.05'!Q29,'14.05'!$AM$4:$AO$55,2,FALSE))*IF('14.05'!AT$4="是",'14.05'!$AY$4,'14.05'!$AY$3)</f>
        <v>0</v>
      </c>
      <c r="J29" s="4">
        <f>(VLOOKUP('14.05'!R29,'14.05'!$AM$4:$AO$55,2,FALSE))*IF('14.05'!AU$4="是",'14.05'!$AY$4,'14.05'!$AY$3)</f>
        <v>0</v>
      </c>
      <c r="K29" s="4">
        <f>(VLOOKUP('14.05'!S29,'14.05'!$AM$4:$AO$55,2,FALSE))*IF('14.05'!AV$4="是",'14.05'!$AY$4,'14.05'!$AY$3)</f>
        <v>0</v>
      </c>
      <c r="L29" s="4">
        <f>(VLOOKUP('14.05'!T29,'14.05'!$AM$4:$AO$55,2,FALSE))*IF('14.05'!AW$4="是",'14.05'!$AY$4,'14.05'!$AY$3)</f>
        <v>0</v>
      </c>
      <c r="M29" s="4">
        <f>(VLOOKUP('14.05'!U29,'14.05'!$AM$4:$AO$55,2,FALSE))*IF('14.05'!AX$4="是",'14.05'!$AY$4,'14.05'!$AY$3)</f>
        <v>0</v>
      </c>
      <c r="N29" s="4">
        <f>(VLOOKUP('14.05'!V29,'14.05'!$AM$4:$AO$55,2,FALSE))*IF('14.05'!AY$4="是",'14.05'!$AY$4,'14.05'!$AY$3)</f>
        <v>0</v>
      </c>
      <c r="O29" s="5">
        <f>(VLOOKUP('14.05'!W29,'14.05'!$AM$4:$AO$55,2,FALSE))*IF('14.05'!AZ$4="是",'14.05'!$AY$4,'14.05'!$AY$3)</f>
        <v>0</v>
      </c>
      <c r="P29" s="5">
        <f>(VLOOKUP('14.05'!X29,'14.05'!$AM$4:$AO$55,2,FALSE))*IF('14.05'!BA$4="是",'14.05'!$AY$4,'14.05'!$AY$3)</f>
        <v>0</v>
      </c>
      <c r="Q29" s="4">
        <f>(VLOOKUP('14.05'!Y29,'14.05'!$AM$4:$AO$55,2,FALSE))*IF('14.05'!BB$4="是",'14.05'!$AY$4,'14.05'!$AY$3)</f>
        <v>190</v>
      </c>
      <c r="R29" s="4">
        <f>(VLOOKUP('14.05'!Z29,'14.05'!$AM$4:$AO$55,2,FALSE))*IF('14.05'!BC$4="是",'14.05'!$AY$4,'14.05'!$AY$3)</f>
        <v>180</v>
      </c>
      <c r="S29" s="4">
        <f>(VLOOKUP('14.05'!AA29,'14.05'!$AM$4:$AO$55,2,FALSE))*IF('14.05'!BD$4="是",'14.05'!$AY$4,'14.05'!$AY$3)</f>
        <v>-200</v>
      </c>
      <c r="T29" s="4">
        <f>(VLOOKUP('14.05'!AB29,'14.05'!$AM$4:$AO$55,2,FALSE))*IF('14.05'!BE$4="是",'14.05'!$AY$4,'14.05'!$AY$3)</f>
        <v>180</v>
      </c>
      <c r="U29" s="4">
        <f>(VLOOKUP('14.05'!AC29,'14.05'!$AM$4:$AO$55,2,FALSE))*IF('14.05'!BF$4="是",'14.05'!$AY$4,'14.05'!$AY$3)</f>
        <v>180</v>
      </c>
      <c r="V29" s="4">
        <f>(VLOOKUP('14.05'!AD29,'14.05'!$AM$4:$AO$55,2,FALSE))*IF('14.05'!BG$4="是",'14.05'!$AY$4,'14.05'!$AY$3)</f>
        <v>180</v>
      </c>
      <c r="W29" s="5">
        <f>(VLOOKUP('14.05'!AE29,'14.05'!$AM$4:$AO$55,2,FALSE))*IF('14.05'!BH$4="是",'14.05'!$AY$4,'14.05'!$AY$3)</f>
        <v>0</v>
      </c>
      <c r="X29" s="5">
        <f>(VLOOKUP('14.05'!AF29,'14.05'!$AM$4:$AO$55,2,FALSE))*IF('14.05'!BI$4="是",'14.05'!$AY$4,'14.05'!$AY$3)</f>
        <v>0</v>
      </c>
    </row>
    <row r="30" spans="1:24">
      <c r="A30" s="4">
        <f>(VLOOKUP('14.05'!I30,'14.05'!$AM$4:$AO$55,2,FALSE))*IF('14.05'!AK$4="是",'14.05'!$AY$4,'14.05'!$AY$3)</f>
        <v>190</v>
      </c>
      <c r="B30" s="4">
        <f>(VLOOKUP('14.05'!J30,'14.05'!$AM$4:$AO$55,2,FALSE))*IF('14.05'!AL$4="是",'14.05'!$AY$4,'14.05'!$AY$3)</f>
        <v>190</v>
      </c>
      <c r="C30" s="4">
        <f>(VLOOKUP('14.05'!K30,'14.05'!$AM$4:$AO$55,2,FALSE))*IF('14.05'!AM$4="是",'14.05'!$AY$4,'14.05'!$AY$3)</f>
        <v>190</v>
      </c>
      <c r="D30" s="4">
        <f>(VLOOKUP('14.05'!L30,'14.05'!$AM$4:$AO$55,2,FALSE))*IF('14.05'!AN$4="是",'14.05'!$AY$4,'14.05'!$AY$3)</f>
        <v>180</v>
      </c>
      <c r="E30" s="4">
        <f>(VLOOKUP('14.05'!M30,'14.05'!$AM$4:$AO$55,2,FALSE))*IF('14.05'!AO$4="是",'14.05'!$AY$4,'14.05'!$AY$3)</f>
        <v>180</v>
      </c>
      <c r="F30" s="4">
        <f>(VLOOKUP('14.05'!N30,'14.05'!$AM$4:$AO$55,2,FALSE))*IF('14.05'!AQ$4="是",'14.05'!$AY$4,'14.05'!$AY$3)</f>
        <v>180</v>
      </c>
      <c r="G30" s="5">
        <f>(VLOOKUP('14.05'!O30,'14.05'!$AM$4:$AO$55,2,FALSE))*IF('14.05'!AR$4="是",'14.05'!$AY$4,'14.05'!$AY$3)</f>
        <v>0</v>
      </c>
      <c r="H30" s="5">
        <f>(VLOOKUP('14.05'!P30,'14.05'!$AM$4:$AO$55,2,FALSE))*IF('14.05'!AS$4="是",'14.05'!$AY$4,'14.05'!$AY$3)</f>
        <v>0</v>
      </c>
      <c r="I30" s="4">
        <f>(VLOOKUP('14.05'!Q30,'14.05'!$AM$4:$AO$55,2,FALSE))*IF('14.05'!AT$4="是",'14.05'!$AY$4,'14.05'!$AY$3)</f>
        <v>0</v>
      </c>
      <c r="J30" s="4">
        <f>(VLOOKUP('14.05'!R30,'14.05'!$AM$4:$AO$55,2,FALSE))*IF('14.05'!AU$4="是",'14.05'!$AY$4,'14.05'!$AY$3)</f>
        <v>0</v>
      </c>
      <c r="K30" s="4">
        <f>(VLOOKUP('14.05'!S30,'14.05'!$AM$4:$AO$55,2,FALSE))*IF('14.05'!AV$4="是",'14.05'!$AY$4,'14.05'!$AY$3)</f>
        <v>0</v>
      </c>
      <c r="L30" s="4">
        <f>(VLOOKUP('14.05'!T30,'14.05'!$AM$4:$AO$55,2,FALSE))*IF('14.05'!AW$4="是",'14.05'!$AY$4,'14.05'!$AY$3)</f>
        <v>0</v>
      </c>
      <c r="M30" s="4">
        <f>(VLOOKUP('14.05'!U30,'14.05'!$AM$4:$AO$55,2,FALSE))*IF('14.05'!AX$4="是",'14.05'!$AY$4,'14.05'!$AY$3)</f>
        <v>0</v>
      </c>
      <c r="N30" s="4">
        <f>(VLOOKUP('14.05'!V30,'14.05'!$AM$4:$AO$55,2,FALSE))*IF('14.05'!AY$4="是",'14.05'!$AY$4,'14.05'!$AY$3)</f>
        <v>0</v>
      </c>
      <c r="O30" s="5">
        <f>(VLOOKUP('14.05'!W30,'14.05'!$AM$4:$AO$55,2,FALSE))*IF('14.05'!AZ$4="是",'14.05'!$AY$4,'14.05'!$AY$3)</f>
        <v>0</v>
      </c>
      <c r="P30" s="5">
        <f>(VLOOKUP('14.05'!X30,'14.05'!$AM$4:$AO$55,2,FALSE))*IF('14.05'!BA$4="是",'14.05'!$AY$4,'14.05'!$AY$3)</f>
        <v>0</v>
      </c>
      <c r="Q30" s="4">
        <f>(VLOOKUP('14.05'!Y30,'14.05'!$AM$4:$AO$55,2,FALSE))*IF('14.05'!BB$4="是",'14.05'!$AY$4,'14.05'!$AY$3)</f>
        <v>180</v>
      </c>
      <c r="R30" s="4">
        <f>(VLOOKUP('14.05'!Z30,'14.05'!$AM$4:$AO$55,2,FALSE))*IF('14.05'!BC$4="是",'14.05'!$AY$4,'14.05'!$AY$3)</f>
        <v>180</v>
      </c>
      <c r="S30" s="4">
        <f>(VLOOKUP('14.05'!AA30,'14.05'!$AM$4:$AO$55,2,FALSE))*IF('14.05'!BD$4="是",'14.05'!$AY$4,'14.05'!$AY$3)</f>
        <v>180</v>
      </c>
      <c r="T30" s="4">
        <f>(VLOOKUP('14.05'!AB30,'14.05'!$AM$4:$AO$55,2,FALSE))*IF('14.05'!BE$4="是",'14.05'!$AY$4,'14.05'!$AY$3)</f>
        <v>180</v>
      </c>
      <c r="U30" s="4">
        <f>(VLOOKUP('14.05'!AC30,'14.05'!$AM$4:$AO$55,2,FALSE))*IF('14.05'!BF$4="是",'14.05'!$AY$4,'14.05'!$AY$3)</f>
        <v>180</v>
      </c>
      <c r="V30" s="4">
        <f>(VLOOKUP('14.05'!AD30,'14.05'!$AM$4:$AO$55,2,FALSE))*IF('14.05'!BG$4="是",'14.05'!$AY$4,'14.05'!$AY$3)</f>
        <v>180</v>
      </c>
      <c r="W30" s="5">
        <f>(VLOOKUP('14.05'!AE30,'14.05'!$AM$4:$AO$55,2,FALSE))*IF('14.05'!BH$4="是",'14.05'!$AY$4,'14.05'!$AY$3)</f>
        <v>0</v>
      </c>
      <c r="X30" s="5">
        <f>(VLOOKUP('14.05'!AF30,'14.05'!$AM$4:$AO$55,2,FALSE))*IF('14.05'!BI$4="是",'14.05'!$AY$4,'14.05'!$AY$3)</f>
        <v>0</v>
      </c>
    </row>
    <row r="31" spans="1:24">
      <c r="A31" s="4">
        <f>(VLOOKUP('14.05'!I31,'14.05'!$AM$4:$AO$55,2,FALSE))*IF('14.05'!AK$4="是",'14.05'!$AY$4,'14.05'!$AY$3)</f>
        <v>180</v>
      </c>
      <c r="B31" s="4">
        <f>(VLOOKUP('14.05'!J31,'14.05'!$AM$4:$AO$55,2,FALSE))*IF('14.05'!AL$4="是",'14.05'!$AY$4,'14.05'!$AY$3)</f>
        <v>180</v>
      </c>
      <c r="C31" s="4">
        <f>(VLOOKUP('14.05'!K31,'14.05'!$AM$4:$AO$55,2,FALSE))*IF('14.05'!AM$4="是",'14.05'!$AY$4,'14.05'!$AY$3)</f>
        <v>180</v>
      </c>
      <c r="D31" s="4">
        <f>(VLOOKUP('14.05'!L31,'14.05'!$AM$4:$AO$55,2,FALSE))*IF('14.05'!AN$4="是",'14.05'!$AY$4,'14.05'!$AY$3)</f>
        <v>180</v>
      </c>
      <c r="E31" s="4">
        <f>(VLOOKUP('14.05'!M31,'14.05'!$AM$4:$AO$55,2,FALSE))*IF('14.05'!AO$4="是",'14.05'!$AY$4,'14.05'!$AY$3)</f>
        <v>190</v>
      </c>
      <c r="F31" s="4">
        <f>(VLOOKUP('14.05'!N31,'14.05'!$AM$4:$AO$55,2,FALSE))*IF('14.05'!AQ$4="是",'14.05'!$AY$4,'14.05'!$AY$3)</f>
        <v>190</v>
      </c>
      <c r="G31" s="5">
        <f>(VLOOKUP('14.05'!O31,'14.05'!$AM$4:$AO$55,2,FALSE))*IF('14.05'!AR$4="是",'14.05'!$AY$4,'14.05'!$AY$3)</f>
        <v>0</v>
      </c>
      <c r="H31" s="5">
        <f>(VLOOKUP('14.05'!P31,'14.05'!$AM$4:$AO$55,2,FALSE))*IF('14.05'!AS$4="是",'14.05'!$AY$4,'14.05'!$AY$3)</f>
        <v>0</v>
      </c>
      <c r="I31" s="4">
        <f>(VLOOKUP('14.05'!Q31,'14.05'!$AM$4:$AO$55,2,FALSE))*IF('14.05'!AT$4="是",'14.05'!$AY$4,'14.05'!$AY$3)</f>
        <v>0</v>
      </c>
      <c r="J31" s="4">
        <f>(VLOOKUP('14.05'!R31,'14.05'!$AM$4:$AO$55,2,FALSE))*IF('14.05'!AU$4="是",'14.05'!$AY$4,'14.05'!$AY$3)</f>
        <v>0</v>
      </c>
      <c r="K31" s="4">
        <f>(VLOOKUP('14.05'!S31,'14.05'!$AM$4:$AO$55,2,FALSE))*IF('14.05'!AV$4="是",'14.05'!$AY$4,'14.05'!$AY$3)</f>
        <v>0</v>
      </c>
      <c r="L31" s="4">
        <f>(VLOOKUP('14.05'!T31,'14.05'!$AM$4:$AO$55,2,FALSE))*IF('14.05'!AW$4="是",'14.05'!$AY$4,'14.05'!$AY$3)</f>
        <v>0</v>
      </c>
      <c r="M31" s="4">
        <f>(VLOOKUP('14.05'!U31,'14.05'!$AM$4:$AO$55,2,FALSE))*IF('14.05'!AX$4="是",'14.05'!$AY$4,'14.05'!$AY$3)</f>
        <v>0</v>
      </c>
      <c r="N31" s="4">
        <f>(VLOOKUP('14.05'!V31,'14.05'!$AM$4:$AO$55,2,FALSE))*IF('14.05'!AY$4="是",'14.05'!$AY$4,'14.05'!$AY$3)</f>
        <v>0</v>
      </c>
      <c r="O31" s="5">
        <f>(VLOOKUP('14.05'!W31,'14.05'!$AM$4:$AO$55,2,FALSE))*IF('14.05'!AZ$4="是",'14.05'!$AY$4,'14.05'!$AY$3)</f>
        <v>0</v>
      </c>
      <c r="P31" s="5">
        <f>(VLOOKUP('14.05'!X31,'14.05'!$AM$4:$AO$55,2,FALSE))*IF('14.05'!BA$4="是",'14.05'!$AY$4,'14.05'!$AY$3)</f>
        <v>0</v>
      </c>
      <c r="Q31" s="4">
        <f>(VLOOKUP('14.05'!Y31,'14.05'!$AM$4:$AO$55,2,FALSE))*IF('14.05'!BB$4="是",'14.05'!$AY$4,'14.05'!$AY$3)</f>
        <v>180</v>
      </c>
      <c r="R31" s="4">
        <f>(VLOOKUP('14.05'!Z31,'14.05'!$AM$4:$AO$55,2,FALSE))*IF('14.05'!BC$4="是",'14.05'!$AY$4,'14.05'!$AY$3)</f>
        <v>50</v>
      </c>
      <c r="S31" s="4">
        <f>(VLOOKUP('14.05'!AA31,'14.05'!$AM$4:$AO$55,2,FALSE))*IF('14.05'!BD$4="是",'14.05'!$AY$4,'14.05'!$AY$3)</f>
        <v>180</v>
      </c>
      <c r="T31" s="4">
        <f>(VLOOKUP('14.05'!AB31,'14.05'!$AM$4:$AO$55,2,FALSE))*IF('14.05'!BE$4="是",'14.05'!$AY$4,'14.05'!$AY$3)</f>
        <v>180</v>
      </c>
      <c r="U31" s="4">
        <f>(VLOOKUP('14.05'!AC31,'14.05'!$AM$4:$AO$55,2,FALSE))*IF('14.05'!BF$4="是",'14.05'!$AY$4,'14.05'!$AY$3)</f>
        <v>180</v>
      </c>
      <c r="V31" s="4">
        <f>(VLOOKUP('14.05'!AD31,'14.05'!$AM$4:$AO$55,2,FALSE))*IF('14.05'!BG$4="是",'14.05'!$AY$4,'14.05'!$AY$3)</f>
        <v>180</v>
      </c>
      <c r="W31" s="5">
        <f>(VLOOKUP('14.05'!AE31,'14.05'!$AM$4:$AO$55,2,FALSE))*IF('14.05'!BH$4="是",'14.05'!$AY$4,'14.05'!$AY$3)</f>
        <v>0</v>
      </c>
      <c r="X31" s="5">
        <f>(VLOOKUP('14.05'!AF31,'14.05'!$AM$4:$AO$55,2,FALSE))*IF('14.05'!BI$4="是",'14.05'!$AY$4,'14.05'!$AY$3)</f>
        <v>0</v>
      </c>
    </row>
    <row r="32" spans="1:24">
      <c r="A32" s="4">
        <f>(VLOOKUP('14.05'!I32,'14.05'!$AM$4:$AO$55,2,FALSE))*IF('14.05'!AK$4="是",'14.05'!$AY$4,'14.05'!$AY$3)</f>
        <v>190</v>
      </c>
      <c r="B32" s="4">
        <f>(VLOOKUP('14.05'!J32,'14.05'!$AM$4:$AO$55,2,FALSE))*IF('14.05'!AL$4="是",'14.05'!$AY$4,'14.05'!$AY$3)</f>
        <v>190</v>
      </c>
      <c r="C32" s="4">
        <f>(VLOOKUP('14.05'!K32,'14.05'!$AM$4:$AO$55,2,FALSE))*IF('14.05'!AM$4="是",'14.05'!$AY$4,'14.05'!$AY$3)</f>
        <v>190</v>
      </c>
      <c r="D32" s="4">
        <f>(VLOOKUP('14.05'!L32,'14.05'!$AM$4:$AO$55,2,FALSE))*IF('14.05'!AN$4="是",'14.05'!$AY$4,'14.05'!$AY$3)</f>
        <v>180</v>
      </c>
      <c r="E32" s="4">
        <f>(VLOOKUP('14.05'!M32,'14.05'!$AM$4:$AO$55,2,FALSE))*IF('14.05'!AO$4="是",'14.05'!$AY$4,'14.05'!$AY$3)</f>
        <v>180</v>
      </c>
      <c r="F32" s="4">
        <f>(VLOOKUP('14.05'!N32,'14.05'!$AM$4:$AO$55,2,FALSE))*IF('14.05'!AQ$4="是",'14.05'!$AY$4,'14.05'!$AY$3)</f>
        <v>180</v>
      </c>
      <c r="G32" s="5">
        <f>(VLOOKUP('14.05'!O32,'14.05'!$AM$4:$AO$55,2,FALSE))*IF('14.05'!AR$4="是",'14.05'!$AY$4,'14.05'!$AY$3)</f>
        <v>0</v>
      </c>
      <c r="H32" s="5">
        <f>(VLOOKUP('14.05'!P32,'14.05'!$AM$4:$AO$55,2,FALSE))*IF('14.05'!AS$4="是",'14.05'!$AY$4,'14.05'!$AY$3)</f>
        <v>0</v>
      </c>
      <c r="I32" s="4">
        <f>(VLOOKUP('14.05'!Q32,'14.05'!$AM$4:$AO$55,2,FALSE))*IF('14.05'!AT$4="是",'14.05'!$AY$4,'14.05'!$AY$3)</f>
        <v>0</v>
      </c>
      <c r="J32" s="4">
        <f>(VLOOKUP('14.05'!R32,'14.05'!$AM$4:$AO$55,2,FALSE))*IF('14.05'!AU$4="是",'14.05'!$AY$4,'14.05'!$AY$3)</f>
        <v>0</v>
      </c>
      <c r="K32" s="4">
        <f>(VLOOKUP('14.05'!S32,'14.05'!$AM$4:$AO$55,2,FALSE))*IF('14.05'!AV$4="是",'14.05'!$AY$4,'14.05'!$AY$3)</f>
        <v>0</v>
      </c>
      <c r="L32" s="4">
        <f>(VLOOKUP('14.05'!T32,'14.05'!$AM$4:$AO$55,2,FALSE))*IF('14.05'!AW$4="是",'14.05'!$AY$4,'14.05'!$AY$3)</f>
        <v>0</v>
      </c>
      <c r="M32" s="4">
        <f>(VLOOKUP('14.05'!U32,'14.05'!$AM$4:$AO$55,2,FALSE))*IF('14.05'!AX$4="是",'14.05'!$AY$4,'14.05'!$AY$3)</f>
        <v>0</v>
      </c>
      <c r="N32" s="4">
        <f>(VLOOKUP('14.05'!V32,'14.05'!$AM$4:$AO$55,2,FALSE))*IF('14.05'!AY$4="是",'14.05'!$AY$4,'14.05'!$AY$3)</f>
        <v>0</v>
      </c>
      <c r="O32" s="5">
        <f>(VLOOKUP('14.05'!W32,'14.05'!$AM$4:$AO$55,2,FALSE))*IF('14.05'!AZ$4="是",'14.05'!$AY$4,'14.05'!$AY$3)</f>
        <v>0</v>
      </c>
      <c r="P32" s="5">
        <f>(VLOOKUP('14.05'!X32,'14.05'!$AM$4:$AO$55,2,FALSE))*IF('14.05'!BA$4="是",'14.05'!$AY$4,'14.05'!$AY$3)</f>
        <v>0</v>
      </c>
      <c r="Q32" s="4">
        <f>(VLOOKUP('14.05'!Y32,'14.05'!$AM$4:$AO$55,2,FALSE))*IF('14.05'!BB$4="是",'14.05'!$AY$4,'14.05'!$AY$3)</f>
        <v>180</v>
      </c>
      <c r="R32" s="4">
        <f>(VLOOKUP('14.05'!Z32,'14.05'!$AM$4:$AO$55,2,FALSE))*IF('14.05'!BC$4="是",'14.05'!$AY$4,'14.05'!$AY$3)</f>
        <v>180</v>
      </c>
      <c r="S32" s="4">
        <f>(VLOOKUP('14.05'!AA32,'14.05'!$AM$4:$AO$55,2,FALSE))*IF('14.05'!BD$4="是",'14.05'!$AY$4,'14.05'!$AY$3)</f>
        <v>180</v>
      </c>
      <c r="T32" s="4">
        <f>(VLOOKUP('14.05'!AB32,'14.05'!$AM$4:$AO$55,2,FALSE))*IF('14.05'!BE$4="是",'14.05'!$AY$4,'14.05'!$AY$3)</f>
        <v>180</v>
      </c>
      <c r="U32" s="4">
        <f>(VLOOKUP('14.05'!AC32,'14.05'!$AM$4:$AO$55,2,FALSE))*IF('14.05'!BF$4="是",'14.05'!$AY$4,'14.05'!$AY$3)</f>
        <v>0</v>
      </c>
      <c r="V32" s="4">
        <f>(VLOOKUP('14.05'!AD32,'14.05'!$AM$4:$AO$55,2,FALSE))*IF('14.05'!BG$4="是",'14.05'!$AY$4,'14.05'!$AY$3)</f>
        <v>0</v>
      </c>
      <c r="W32" s="5">
        <f>(VLOOKUP('14.05'!AE32,'14.05'!$AM$4:$AO$55,2,FALSE))*IF('14.05'!BH$4="是",'14.05'!$AY$4,'14.05'!$AY$3)</f>
        <v>0</v>
      </c>
      <c r="X32" s="5">
        <f>(VLOOKUP('14.05'!AF32,'14.05'!$AM$4:$AO$55,2,FALSE))*IF('14.05'!BI$4="是",'14.05'!$AY$4,'14.05'!$AY$3)</f>
        <v>0</v>
      </c>
    </row>
    <row r="33" spans="1:24">
      <c r="A33" s="4">
        <f>(VLOOKUP('14.05'!I33,'14.05'!$AM$4:$AO$55,2,FALSE))*IF('14.05'!AK$4="是",'14.05'!$AY$4,'14.05'!$AY$3)</f>
        <v>50</v>
      </c>
      <c r="B33" s="4">
        <f>(VLOOKUP('14.05'!J33,'14.05'!$AM$4:$AO$55,2,FALSE))*IF('14.05'!AL$4="是",'14.05'!$AY$4,'14.05'!$AY$3)</f>
        <v>180</v>
      </c>
      <c r="C33" s="4">
        <f>(VLOOKUP('14.05'!K33,'14.05'!$AM$4:$AO$55,2,FALSE))*IF('14.05'!AM$4="是",'14.05'!$AY$4,'14.05'!$AY$3)</f>
        <v>180</v>
      </c>
      <c r="D33" s="4">
        <f>(VLOOKUP('14.05'!L33,'14.05'!$AM$4:$AO$55,2,FALSE))*IF('14.05'!AN$4="是",'14.05'!$AY$4,'14.05'!$AY$3)</f>
        <v>180</v>
      </c>
      <c r="E33" s="4">
        <f>(VLOOKUP('14.05'!M33,'14.05'!$AM$4:$AO$55,2,FALSE))*IF('14.05'!AO$4="是",'14.05'!$AY$4,'14.05'!$AY$3)</f>
        <v>180</v>
      </c>
      <c r="F33" s="4">
        <f>(VLOOKUP('14.05'!N33,'14.05'!$AM$4:$AO$55,2,FALSE))*IF('14.05'!AQ$4="是",'14.05'!$AY$4,'14.05'!$AY$3)</f>
        <v>180</v>
      </c>
      <c r="G33" s="5">
        <f>(VLOOKUP('14.05'!O33,'14.05'!$AM$4:$AO$55,2,FALSE))*IF('14.05'!AR$4="是",'14.05'!$AY$4,'14.05'!$AY$3)</f>
        <v>0</v>
      </c>
      <c r="H33" s="5">
        <f>(VLOOKUP('14.05'!P33,'14.05'!$AM$4:$AO$55,2,FALSE))*IF('14.05'!AS$4="是",'14.05'!$AY$4,'14.05'!$AY$3)</f>
        <v>0</v>
      </c>
      <c r="I33" s="4">
        <f>(VLOOKUP('14.05'!Q33,'14.05'!$AM$4:$AO$55,2,FALSE))*IF('14.05'!AT$4="是",'14.05'!$AY$4,'14.05'!$AY$3)</f>
        <v>0</v>
      </c>
      <c r="J33" s="4">
        <f>(VLOOKUP('14.05'!R33,'14.05'!$AM$4:$AO$55,2,FALSE))*IF('14.05'!AU$4="是",'14.05'!$AY$4,'14.05'!$AY$3)</f>
        <v>0</v>
      </c>
      <c r="K33" s="4">
        <f>(VLOOKUP('14.05'!S33,'14.05'!$AM$4:$AO$55,2,FALSE))*IF('14.05'!AV$4="是",'14.05'!$AY$4,'14.05'!$AY$3)</f>
        <v>0</v>
      </c>
      <c r="L33" s="4">
        <f>(VLOOKUP('14.05'!T33,'14.05'!$AM$4:$AO$55,2,FALSE))*IF('14.05'!AW$4="是",'14.05'!$AY$4,'14.05'!$AY$3)</f>
        <v>0</v>
      </c>
      <c r="M33" s="4">
        <f>(VLOOKUP('14.05'!U33,'14.05'!$AM$4:$AO$55,2,FALSE))*IF('14.05'!AX$4="是",'14.05'!$AY$4,'14.05'!$AY$3)</f>
        <v>0</v>
      </c>
      <c r="N33" s="4">
        <f>(VLOOKUP('14.05'!V33,'14.05'!$AM$4:$AO$55,2,FALSE))*IF('14.05'!AY$4="是",'14.05'!$AY$4,'14.05'!$AY$3)</f>
        <v>0</v>
      </c>
      <c r="O33" s="5">
        <f>(VLOOKUP('14.05'!W33,'14.05'!$AM$4:$AO$55,2,FALSE))*IF('14.05'!AZ$4="是",'14.05'!$AY$4,'14.05'!$AY$3)</f>
        <v>0</v>
      </c>
      <c r="P33" s="5">
        <f>(VLOOKUP('14.05'!X33,'14.05'!$AM$4:$AO$55,2,FALSE))*IF('14.05'!BA$4="是",'14.05'!$AY$4,'14.05'!$AY$3)</f>
        <v>0</v>
      </c>
      <c r="Q33" s="4">
        <f>(VLOOKUP('14.05'!Y33,'14.05'!$AM$4:$AO$55,2,FALSE))*IF('14.05'!BB$4="是",'14.05'!$AY$4,'14.05'!$AY$3)</f>
        <v>170</v>
      </c>
      <c r="R33" s="4">
        <f>(VLOOKUP('14.05'!Z33,'14.05'!$AM$4:$AO$55,2,FALSE))*IF('14.05'!BC$4="是",'14.05'!$AY$4,'14.05'!$AY$3)</f>
        <v>170</v>
      </c>
      <c r="S33" s="4">
        <f>(VLOOKUP('14.05'!AA33,'14.05'!$AM$4:$AO$55,2,FALSE))*IF('14.05'!BD$4="是",'14.05'!$AY$4,'14.05'!$AY$3)</f>
        <v>170</v>
      </c>
      <c r="T33" s="4">
        <f>(VLOOKUP('14.05'!AB33,'14.05'!$AM$4:$AO$55,2,FALSE))*IF('14.05'!BE$4="是",'14.05'!$AY$4,'14.05'!$AY$3)</f>
        <v>170</v>
      </c>
      <c r="U33" s="4">
        <f>(VLOOKUP('14.05'!AC33,'14.05'!$AM$4:$AO$55,2,FALSE))*IF('14.05'!BF$4="是",'14.05'!$AY$4,'14.05'!$AY$3)</f>
        <v>170</v>
      </c>
      <c r="V33" s="4">
        <f>(VLOOKUP('14.05'!AD33,'14.05'!$AM$4:$AO$55,2,FALSE))*IF('14.05'!BG$4="是",'14.05'!$AY$4,'14.05'!$AY$3)</f>
        <v>170</v>
      </c>
      <c r="W33" s="5">
        <f>(VLOOKUP('14.05'!AE33,'14.05'!$AM$4:$AO$55,2,FALSE))*IF('14.05'!BH$4="是",'14.05'!$AY$4,'14.05'!$AY$3)</f>
        <v>0</v>
      </c>
      <c r="X33" s="5">
        <f>(VLOOKUP('14.05'!AF33,'14.05'!$AM$4:$AO$55,2,FALSE))*IF('14.05'!BI$4="是",'14.05'!$AY$4,'14.05'!$AY$3)</f>
        <v>0</v>
      </c>
    </row>
    <row r="34" spans="1:24">
      <c r="A34" s="4">
        <f>(VLOOKUP('14.05'!I34,'14.05'!$AM$4:$AO$55,2,FALSE))*IF('14.05'!AK$4="是",'14.05'!$AY$4,'14.05'!$AY$3)</f>
        <v>180</v>
      </c>
      <c r="B34" s="4">
        <f>(VLOOKUP('14.05'!J34,'14.05'!$AM$4:$AO$55,2,FALSE))*IF('14.05'!AL$4="是",'14.05'!$AY$4,'14.05'!$AY$3)</f>
        <v>180</v>
      </c>
      <c r="C34" s="4">
        <f>(VLOOKUP('14.05'!K34,'14.05'!$AM$4:$AO$55,2,FALSE))*IF('14.05'!AM$4="是",'14.05'!$AY$4,'14.05'!$AY$3)</f>
        <v>180</v>
      </c>
      <c r="D34" s="4">
        <f>(VLOOKUP('14.05'!L34,'14.05'!$AM$4:$AO$55,2,FALSE))*IF('14.05'!AN$4="是",'14.05'!$AY$4,'14.05'!$AY$3)</f>
        <v>180</v>
      </c>
      <c r="E34" s="4">
        <f>(VLOOKUP('14.05'!M34,'14.05'!$AM$4:$AO$55,2,FALSE))*IF('14.05'!AO$4="是",'14.05'!$AY$4,'14.05'!$AY$3)</f>
        <v>180</v>
      </c>
      <c r="F34" s="4">
        <f>(VLOOKUP('14.05'!N34,'14.05'!$AM$4:$AO$55,2,FALSE))*IF('14.05'!AQ$4="是",'14.05'!$AY$4,'14.05'!$AY$3)</f>
        <v>0</v>
      </c>
      <c r="G34" s="5">
        <f>(VLOOKUP('14.05'!O34,'14.05'!$AM$4:$AO$55,2,FALSE))*IF('14.05'!AR$4="是",'14.05'!$AY$4,'14.05'!$AY$3)</f>
        <v>0</v>
      </c>
      <c r="H34" s="5">
        <f>(VLOOKUP('14.05'!P34,'14.05'!$AM$4:$AO$55,2,FALSE))*IF('14.05'!AS$4="是",'14.05'!$AY$4,'14.05'!$AY$3)</f>
        <v>0</v>
      </c>
      <c r="I34" s="4">
        <f>(VLOOKUP('14.05'!Q34,'14.05'!$AM$4:$AO$55,2,FALSE))*IF('14.05'!AT$4="是",'14.05'!$AY$4,'14.05'!$AY$3)</f>
        <v>0</v>
      </c>
      <c r="J34" s="4">
        <f>(VLOOKUP('14.05'!R34,'14.05'!$AM$4:$AO$55,2,FALSE))*IF('14.05'!AU$4="是",'14.05'!$AY$4,'14.05'!$AY$3)</f>
        <v>0</v>
      </c>
      <c r="K34" s="4">
        <f>(VLOOKUP('14.05'!S34,'14.05'!$AM$4:$AO$55,2,FALSE))*IF('14.05'!AV$4="是",'14.05'!$AY$4,'14.05'!$AY$3)</f>
        <v>0</v>
      </c>
      <c r="L34" s="4">
        <f>(VLOOKUP('14.05'!T34,'14.05'!$AM$4:$AO$55,2,FALSE))*IF('14.05'!AW$4="是",'14.05'!$AY$4,'14.05'!$AY$3)</f>
        <v>0</v>
      </c>
      <c r="M34" s="4">
        <f>(VLOOKUP('14.05'!U34,'14.05'!$AM$4:$AO$55,2,FALSE))*IF('14.05'!AX$4="是",'14.05'!$AY$4,'14.05'!$AY$3)</f>
        <v>0</v>
      </c>
      <c r="N34" s="4">
        <f>(VLOOKUP('14.05'!V34,'14.05'!$AM$4:$AO$55,2,FALSE))*IF('14.05'!AY$4="是",'14.05'!$AY$4,'14.05'!$AY$3)</f>
        <v>0</v>
      </c>
      <c r="O34" s="5">
        <f>(VLOOKUP('14.05'!W34,'14.05'!$AM$4:$AO$55,2,FALSE))*IF('14.05'!AZ$4="是",'14.05'!$AY$4,'14.05'!$AY$3)</f>
        <v>0</v>
      </c>
      <c r="P34" s="5">
        <f>(VLOOKUP('14.05'!X34,'14.05'!$AM$4:$AO$55,2,FALSE))*IF('14.05'!BA$4="是",'14.05'!$AY$4,'14.05'!$AY$3)</f>
        <v>0</v>
      </c>
      <c r="Q34" s="4">
        <f>(VLOOKUP('14.05'!Y34,'14.05'!$AM$4:$AO$55,2,FALSE))*IF('14.05'!BB$4="是",'14.05'!$AY$4,'14.05'!$AY$3)</f>
        <v>170</v>
      </c>
      <c r="R34" s="4">
        <f>(VLOOKUP('14.05'!Z34,'14.05'!$AM$4:$AO$55,2,FALSE))*IF('14.05'!BC$4="是",'14.05'!$AY$4,'14.05'!$AY$3)</f>
        <v>170</v>
      </c>
      <c r="S34" s="4">
        <f>(VLOOKUP('14.05'!AA34,'14.05'!$AM$4:$AO$55,2,FALSE))*IF('14.05'!BD$4="是",'14.05'!$AY$4,'14.05'!$AY$3)</f>
        <v>170</v>
      </c>
      <c r="T34" s="4">
        <f>(VLOOKUP('14.05'!AB34,'14.05'!$AM$4:$AO$55,2,FALSE))*IF('14.05'!BE$4="是",'14.05'!$AY$4,'14.05'!$AY$3)</f>
        <v>170</v>
      </c>
      <c r="U34" s="4">
        <f>(VLOOKUP('14.05'!AC34,'14.05'!$AM$4:$AO$55,2,FALSE))*IF('14.05'!BF$4="是",'14.05'!$AY$4,'14.05'!$AY$3)</f>
        <v>170</v>
      </c>
      <c r="V34" s="4">
        <f>(VLOOKUP('14.05'!AD34,'14.05'!$AM$4:$AO$55,2,FALSE))*IF('14.05'!BG$4="是",'14.05'!$AY$4,'14.05'!$AY$3)</f>
        <v>170</v>
      </c>
      <c r="W34" s="5">
        <f>(VLOOKUP('14.05'!AE34,'14.05'!$AM$4:$AO$55,2,FALSE))*IF('14.05'!BH$4="是",'14.05'!$AY$4,'14.05'!$AY$3)</f>
        <v>0</v>
      </c>
      <c r="X34" s="5">
        <f>(VLOOKUP('14.05'!AF34,'14.05'!$AM$4:$AO$55,2,FALSE))*IF('14.05'!BI$4="是",'14.05'!$AY$4,'14.05'!$AY$3)</f>
        <v>0</v>
      </c>
    </row>
    <row r="35" spans="1:24">
      <c r="A35" s="4">
        <f>(VLOOKUP('14.05'!I35,'14.05'!$AM$4:$AO$55,2,FALSE))*IF('14.05'!AK$4="是",'14.05'!$AY$4,'14.05'!$AY$3)</f>
        <v>170</v>
      </c>
      <c r="B35" s="4">
        <f>(VLOOKUP('14.05'!J35,'14.05'!$AM$4:$AO$55,2,FALSE))*IF('14.05'!AL$4="是",'14.05'!$AY$4,'14.05'!$AY$3)</f>
        <v>170</v>
      </c>
      <c r="C35" s="4">
        <f>(VLOOKUP('14.05'!K35,'14.05'!$AM$4:$AO$55,2,FALSE))*IF('14.05'!AM$4="是",'14.05'!$AY$4,'14.05'!$AY$3)</f>
        <v>170</v>
      </c>
      <c r="D35" s="4">
        <f>(VLOOKUP('14.05'!L35,'14.05'!$AM$4:$AO$55,2,FALSE))*IF('14.05'!AN$4="是",'14.05'!$AY$4,'14.05'!$AY$3)</f>
        <v>170</v>
      </c>
      <c r="E35" s="4">
        <f>(VLOOKUP('14.05'!M35,'14.05'!$AM$4:$AO$55,2,FALSE))*IF('14.05'!AO$4="是",'14.05'!$AY$4,'14.05'!$AY$3)</f>
        <v>170</v>
      </c>
      <c r="F35" s="4">
        <f>(VLOOKUP('14.05'!N35,'14.05'!$AM$4:$AO$55,2,FALSE))*IF('14.05'!AQ$4="是",'14.05'!$AY$4,'14.05'!$AY$3)</f>
        <v>170</v>
      </c>
      <c r="G35" s="5">
        <f>(VLOOKUP('14.05'!O35,'14.05'!$AM$4:$AO$55,2,FALSE))*IF('14.05'!AR$4="是",'14.05'!$AY$4,'14.05'!$AY$3)</f>
        <v>0</v>
      </c>
      <c r="H35" s="5">
        <f>(VLOOKUP('14.05'!P35,'14.05'!$AM$4:$AO$55,2,FALSE))*IF('14.05'!AS$4="是",'14.05'!$AY$4,'14.05'!$AY$3)</f>
        <v>0</v>
      </c>
      <c r="I35" s="4">
        <f>(VLOOKUP('14.05'!Q35,'14.05'!$AM$4:$AO$55,2,FALSE))*IF('14.05'!AT$4="是",'14.05'!$AY$4,'14.05'!$AY$3)</f>
        <v>0</v>
      </c>
      <c r="J35" s="4">
        <f>(VLOOKUP('14.05'!R35,'14.05'!$AM$4:$AO$55,2,FALSE))*IF('14.05'!AU$4="是",'14.05'!$AY$4,'14.05'!$AY$3)</f>
        <v>0</v>
      </c>
      <c r="K35" s="4">
        <f>(VLOOKUP('14.05'!S35,'14.05'!$AM$4:$AO$55,2,FALSE))*IF('14.05'!AV$4="是",'14.05'!$AY$4,'14.05'!$AY$3)</f>
        <v>0</v>
      </c>
      <c r="L35" s="4">
        <f>(VLOOKUP('14.05'!T35,'14.05'!$AM$4:$AO$55,2,FALSE))*IF('14.05'!AW$4="是",'14.05'!$AY$4,'14.05'!$AY$3)</f>
        <v>0</v>
      </c>
      <c r="M35" s="4">
        <f>(VLOOKUP('14.05'!U35,'14.05'!$AM$4:$AO$55,2,FALSE))*IF('14.05'!AX$4="是",'14.05'!$AY$4,'14.05'!$AY$3)</f>
        <v>0</v>
      </c>
      <c r="N35" s="4">
        <f>(VLOOKUP('14.05'!V35,'14.05'!$AM$4:$AO$55,2,FALSE))*IF('14.05'!AY$4="是",'14.05'!$AY$4,'14.05'!$AY$3)</f>
        <v>0</v>
      </c>
      <c r="O35" s="5">
        <f>(VLOOKUP('14.05'!W35,'14.05'!$AM$4:$AO$55,2,FALSE))*IF('14.05'!AZ$4="是",'14.05'!$AY$4,'14.05'!$AY$3)</f>
        <v>0</v>
      </c>
      <c r="P35" s="5">
        <f>(VLOOKUP('14.05'!X35,'14.05'!$AM$4:$AO$55,2,FALSE))*IF('14.05'!BA$4="是",'14.05'!$AY$4,'14.05'!$AY$3)</f>
        <v>0</v>
      </c>
      <c r="Q35" s="4">
        <f>(VLOOKUP('14.05'!Y35,'14.05'!$AM$4:$AO$55,2,FALSE))*IF('14.05'!BB$4="是",'14.05'!$AY$4,'14.05'!$AY$3)</f>
        <v>50</v>
      </c>
      <c r="R35" s="4">
        <f>(VLOOKUP('14.05'!Z35,'14.05'!$AM$4:$AO$55,2,FALSE))*IF('14.05'!BC$4="是",'14.05'!$AY$4,'14.05'!$AY$3)</f>
        <v>170</v>
      </c>
      <c r="S35" s="4">
        <f>(VLOOKUP('14.05'!AA35,'14.05'!$AM$4:$AO$55,2,FALSE))*IF('14.05'!BD$4="是",'14.05'!$AY$4,'14.05'!$AY$3)</f>
        <v>170</v>
      </c>
      <c r="T35" s="4">
        <f>(VLOOKUP('14.05'!AB35,'14.05'!$AM$4:$AO$55,2,FALSE))*IF('14.05'!BE$4="是",'14.05'!$AY$4,'14.05'!$AY$3)</f>
        <v>170</v>
      </c>
      <c r="U35" s="4">
        <f>(VLOOKUP('14.05'!AC35,'14.05'!$AM$4:$AO$55,2,FALSE))*IF('14.05'!BF$4="是",'14.05'!$AY$4,'14.05'!$AY$3)</f>
        <v>170</v>
      </c>
      <c r="V35" s="4">
        <f>(VLOOKUP('14.05'!AD35,'14.05'!$AM$4:$AO$55,2,FALSE))*IF('14.05'!BG$4="是",'14.05'!$AY$4,'14.05'!$AY$3)</f>
        <v>170</v>
      </c>
      <c r="W35" s="5">
        <f>(VLOOKUP('14.05'!AE35,'14.05'!$AM$4:$AO$55,2,FALSE))*IF('14.05'!BH$4="是",'14.05'!$AY$4,'14.05'!$AY$3)</f>
        <v>0</v>
      </c>
      <c r="X35" s="5">
        <f>(VLOOKUP('14.05'!AF35,'14.05'!$AM$4:$AO$55,2,FALSE))*IF('14.05'!BI$4="是",'14.05'!$AY$4,'14.05'!$AY$3)</f>
        <v>0</v>
      </c>
    </row>
    <row r="36" spans="1:24">
      <c r="A36" s="4">
        <f>(VLOOKUP('14.05'!I36,'14.05'!$AM$4:$AO$55,2,FALSE))*IF('14.05'!AK$4="是",'14.05'!$AY$4,'14.05'!$AY$3)</f>
        <v>170</v>
      </c>
      <c r="B36" s="4">
        <f>(VLOOKUP('14.05'!J36,'14.05'!$AM$4:$AO$55,2,FALSE))*IF('14.05'!AL$4="是",'14.05'!$AY$4,'14.05'!$AY$3)</f>
        <v>170</v>
      </c>
      <c r="C36" s="4">
        <f>(VLOOKUP('14.05'!K36,'14.05'!$AM$4:$AO$55,2,FALSE))*IF('14.05'!AM$4="是",'14.05'!$AY$4,'14.05'!$AY$3)</f>
        <v>170</v>
      </c>
      <c r="D36" s="4">
        <f>(VLOOKUP('14.05'!L36,'14.05'!$AM$4:$AO$55,2,FALSE))*IF('14.05'!AN$4="是",'14.05'!$AY$4,'14.05'!$AY$3)</f>
        <v>170</v>
      </c>
      <c r="E36" s="4">
        <f>(VLOOKUP('14.05'!M36,'14.05'!$AM$4:$AO$55,2,FALSE))*IF('14.05'!AO$4="是",'14.05'!$AY$4,'14.05'!$AY$3)</f>
        <v>170</v>
      </c>
      <c r="F36" s="4">
        <f>(VLOOKUP('14.05'!N36,'14.05'!$AM$4:$AO$55,2,FALSE))*IF('14.05'!AQ$4="是",'14.05'!$AY$4,'14.05'!$AY$3)</f>
        <v>170</v>
      </c>
      <c r="G36" s="5">
        <f>(VLOOKUP('14.05'!O36,'14.05'!$AM$4:$AO$55,2,FALSE))*IF('14.05'!AR$4="是",'14.05'!$AY$4,'14.05'!$AY$3)</f>
        <v>0</v>
      </c>
      <c r="H36" s="5">
        <f>(VLOOKUP('14.05'!P36,'14.05'!$AM$4:$AO$55,2,FALSE))*IF('14.05'!AS$4="是",'14.05'!$AY$4,'14.05'!$AY$3)</f>
        <v>0</v>
      </c>
      <c r="I36" s="4">
        <f>(VLOOKUP('14.05'!Q36,'14.05'!$AM$4:$AO$55,2,FALSE))*IF('14.05'!AT$4="是",'14.05'!$AY$4,'14.05'!$AY$3)</f>
        <v>0</v>
      </c>
      <c r="J36" s="4">
        <f>(VLOOKUP('14.05'!R36,'14.05'!$AM$4:$AO$55,2,FALSE))*IF('14.05'!AU$4="是",'14.05'!$AY$4,'14.05'!$AY$3)</f>
        <v>0</v>
      </c>
      <c r="K36" s="4">
        <f>(VLOOKUP('14.05'!S36,'14.05'!$AM$4:$AO$55,2,FALSE))*IF('14.05'!AV$4="是",'14.05'!$AY$4,'14.05'!$AY$3)</f>
        <v>0</v>
      </c>
      <c r="L36" s="4">
        <f>(VLOOKUP('14.05'!T36,'14.05'!$AM$4:$AO$55,2,FALSE))*IF('14.05'!AW$4="是",'14.05'!$AY$4,'14.05'!$AY$3)</f>
        <v>0</v>
      </c>
      <c r="M36" s="4">
        <f>(VLOOKUP('14.05'!U36,'14.05'!$AM$4:$AO$55,2,FALSE))*IF('14.05'!AX$4="是",'14.05'!$AY$4,'14.05'!$AY$3)</f>
        <v>0</v>
      </c>
      <c r="N36" s="4">
        <f>(VLOOKUP('14.05'!V36,'14.05'!$AM$4:$AO$55,2,FALSE))*IF('14.05'!AY$4="是",'14.05'!$AY$4,'14.05'!$AY$3)</f>
        <v>0</v>
      </c>
      <c r="O36" s="5">
        <f>(VLOOKUP('14.05'!W36,'14.05'!$AM$4:$AO$55,2,FALSE))*IF('14.05'!AZ$4="是",'14.05'!$AY$4,'14.05'!$AY$3)</f>
        <v>0</v>
      </c>
      <c r="P36" s="5">
        <f>(VLOOKUP('14.05'!X36,'14.05'!$AM$4:$AO$55,2,FALSE))*IF('14.05'!BA$4="是",'14.05'!$AY$4,'14.05'!$AY$3)</f>
        <v>0</v>
      </c>
      <c r="Q36" s="4">
        <f>(VLOOKUP('14.05'!Y36,'14.05'!$AM$4:$AO$55,2,FALSE))*IF('14.05'!BB$4="是",'14.05'!$AY$4,'14.05'!$AY$3)</f>
        <v>170</v>
      </c>
      <c r="R36" s="4">
        <f>(VLOOKUP('14.05'!Z36,'14.05'!$AM$4:$AO$55,2,FALSE))*IF('14.05'!BC$4="是",'14.05'!$AY$4,'14.05'!$AY$3)</f>
        <v>170</v>
      </c>
      <c r="S36" s="4">
        <f>(VLOOKUP('14.05'!AA36,'14.05'!$AM$4:$AO$55,2,FALSE))*IF('14.05'!BD$4="是",'14.05'!$AY$4,'14.05'!$AY$3)</f>
        <v>170</v>
      </c>
      <c r="T36" s="4">
        <f>(VLOOKUP('14.05'!AB36,'14.05'!$AM$4:$AO$55,2,FALSE))*IF('14.05'!BE$4="是",'14.05'!$AY$4,'14.05'!$AY$3)</f>
        <v>170</v>
      </c>
      <c r="U36" s="4">
        <f>(VLOOKUP('14.05'!AC36,'14.05'!$AM$4:$AO$55,2,FALSE))*IF('14.05'!BF$4="是",'14.05'!$AY$4,'14.05'!$AY$3)</f>
        <v>170</v>
      </c>
      <c r="V36" s="4">
        <f>(VLOOKUP('14.05'!AD36,'14.05'!$AM$4:$AO$55,2,FALSE))*IF('14.05'!BG$4="是",'14.05'!$AY$4,'14.05'!$AY$3)</f>
        <v>170</v>
      </c>
      <c r="W36" s="5">
        <f>(VLOOKUP('14.05'!AE36,'14.05'!$AM$4:$AO$55,2,FALSE))*IF('14.05'!BH$4="是",'14.05'!$AY$4,'14.05'!$AY$3)</f>
        <v>0</v>
      </c>
      <c r="X36" s="5">
        <f>(VLOOKUP('14.05'!AF36,'14.05'!$AM$4:$AO$55,2,FALSE))*IF('14.05'!BI$4="是",'14.05'!$AY$4,'14.05'!$AY$3)</f>
        <v>0</v>
      </c>
    </row>
    <row r="37" spans="1:24">
      <c r="A37" s="4">
        <f>(VLOOKUP('14.05'!I37,'14.05'!$AM$4:$AO$55,2,FALSE))*IF('14.05'!AK$4="是",'14.05'!$AY$4,'14.05'!$AY$3)</f>
        <v>170</v>
      </c>
      <c r="B37" s="4">
        <f>(VLOOKUP('14.05'!J37,'14.05'!$AM$4:$AO$55,2,FALSE))*IF('14.05'!AL$4="是",'14.05'!$AY$4,'14.05'!$AY$3)</f>
        <v>170</v>
      </c>
      <c r="C37" s="4">
        <f>(VLOOKUP('14.05'!K37,'14.05'!$AM$4:$AO$55,2,FALSE))*IF('14.05'!AM$4="是",'14.05'!$AY$4,'14.05'!$AY$3)</f>
        <v>170</v>
      </c>
      <c r="D37" s="4">
        <f>(VLOOKUP('14.05'!L37,'14.05'!$AM$4:$AO$55,2,FALSE))*IF('14.05'!AN$4="是",'14.05'!$AY$4,'14.05'!$AY$3)</f>
        <v>170</v>
      </c>
      <c r="E37" s="4">
        <f>(VLOOKUP('14.05'!M37,'14.05'!$AM$4:$AO$55,2,FALSE))*IF('14.05'!AO$4="是",'14.05'!$AY$4,'14.05'!$AY$3)</f>
        <v>170</v>
      </c>
      <c r="F37" s="4">
        <f>(VLOOKUP('14.05'!N37,'14.05'!$AM$4:$AO$55,2,FALSE))*IF('14.05'!AQ$4="是",'14.05'!$AY$4,'14.05'!$AY$3)</f>
        <v>170</v>
      </c>
      <c r="G37" s="5">
        <f>(VLOOKUP('14.05'!O37,'14.05'!$AM$4:$AO$55,2,FALSE))*IF('14.05'!AR$4="是",'14.05'!$AY$4,'14.05'!$AY$3)</f>
        <v>0</v>
      </c>
      <c r="H37" s="5">
        <f>(VLOOKUP('14.05'!P37,'14.05'!$AM$4:$AO$55,2,FALSE))*IF('14.05'!AS$4="是",'14.05'!$AY$4,'14.05'!$AY$3)</f>
        <v>0</v>
      </c>
      <c r="I37" s="4">
        <f>(VLOOKUP('14.05'!Q37,'14.05'!$AM$4:$AO$55,2,FALSE))*IF('14.05'!AT$4="是",'14.05'!$AY$4,'14.05'!$AY$3)</f>
        <v>0</v>
      </c>
      <c r="J37" s="4">
        <f>(VLOOKUP('14.05'!R37,'14.05'!$AM$4:$AO$55,2,FALSE))*IF('14.05'!AU$4="是",'14.05'!$AY$4,'14.05'!$AY$3)</f>
        <v>0</v>
      </c>
      <c r="K37" s="4">
        <f>(VLOOKUP('14.05'!S37,'14.05'!$AM$4:$AO$55,2,FALSE))*IF('14.05'!AV$4="是",'14.05'!$AY$4,'14.05'!$AY$3)</f>
        <v>0</v>
      </c>
      <c r="L37" s="4">
        <f>(VLOOKUP('14.05'!T37,'14.05'!$AM$4:$AO$55,2,FALSE))*IF('14.05'!AW$4="是",'14.05'!$AY$4,'14.05'!$AY$3)</f>
        <v>0</v>
      </c>
      <c r="M37" s="4">
        <f>(VLOOKUP('14.05'!U37,'14.05'!$AM$4:$AO$55,2,FALSE))*IF('14.05'!AX$4="是",'14.05'!$AY$4,'14.05'!$AY$3)</f>
        <v>0</v>
      </c>
      <c r="N37" s="4">
        <f>(VLOOKUP('14.05'!V37,'14.05'!$AM$4:$AO$55,2,FALSE))*IF('14.05'!AY$4="是",'14.05'!$AY$4,'14.05'!$AY$3)</f>
        <v>0</v>
      </c>
      <c r="O37" s="5">
        <f>(VLOOKUP('14.05'!W37,'14.05'!$AM$4:$AO$55,2,FALSE))*IF('14.05'!AZ$4="是",'14.05'!$AY$4,'14.05'!$AY$3)</f>
        <v>0</v>
      </c>
      <c r="P37" s="5">
        <f>(VLOOKUP('14.05'!X37,'14.05'!$AM$4:$AO$55,2,FALSE))*IF('14.05'!BA$4="是",'14.05'!$AY$4,'14.05'!$AY$3)</f>
        <v>0</v>
      </c>
      <c r="Q37" s="4">
        <f>(VLOOKUP('14.05'!Y37,'14.05'!$AM$4:$AO$55,2,FALSE))*IF('14.05'!BB$4="是",'14.05'!$AY$4,'14.05'!$AY$3)</f>
        <v>170</v>
      </c>
      <c r="R37" s="4">
        <f>(VLOOKUP('14.05'!Z37,'14.05'!$AM$4:$AO$55,2,FALSE))*IF('14.05'!BC$4="是",'14.05'!$AY$4,'14.05'!$AY$3)</f>
        <v>170</v>
      </c>
      <c r="S37" s="4">
        <f>(VLOOKUP('14.05'!AA37,'14.05'!$AM$4:$AO$55,2,FALSE))*IF('14.05'!BD$4="是",'14.05'!$AY$4,'14.05'!$AY$3)</f>
        <v>170</v>
      </c>
      <c r="T37" s="4">
        <f>(VLOOKUP('14.05'!AB37,'14.05'!$AM$4:$AO$55,2,FALSE))*IF('14.05'!BE$4="是",'14.05'!$AY$4,'14.05'!$AY$3)</f>
        <v>170</v>
      </c>
      <c r="U37" s="4">
        <f>(VLOOKUP('14.05'!AC37,'14.05'!$AM$4:$AO$55,2,FALSE))*IF('14.05'!BF$4="是",'14.05'!$AY$4,'14.05'!$AY$3)</f>
        <v>50</v>
      </c>
      <c r="V37" s="4">
        <f>(VLOOKUP('14.05'!AD37,'14.05'!$AM$4:$AO$55,2,FALSE))*IF('14.05'!BG$4="是",'14.05'!$AY$4,'14.05'!$AY$3)</f>
        <v>170</v>
      </c>
      <c r="W37" s="5">
        <f>(VLOOKUP('14.05'!AE37,'14.05'!$AM$4:$AO$55,2,FALSE))*IF('14.05'!BH$4="是",'14.05'!$AY$4,'14.05'!$AY$3)</f>
        <v>-200</v>
      </c>
      <c r="X37" s="5">
        <f>(VLOOKUP('14.05'!AF37,'14.05'!$AM$4:$AO$55,2,FALSE))*IF('14.05'!BI$4="是",'14.05'!$AY$4,'14.05'!$AY$3)</f>
        <v>0</v>
      </c>
    </row>
    <row r="38" spans="1:24">
      <c r="A38" s="4">
        <f>(VLOOKUP('14.05'!I38,'14.05'!$AM$4:$AO$55,2,FALSE))*IF('14.05'!AK$4="是",'14.05'!$AY$4,'14.05'!$AY$3)</f>
        <v>170</v>
      </c>
      <c r="B38" s="4">
        <f>(VLOOKUP('14.05'!J38,'14.05'!$AM$4:$AO$55,2,FALSE))*IF('14.05'!AL$4="是",'14.05'!$AY$4,'14.05'!$AY$3)</f>
        <v>160</v>
      </c>
      <c r="C38" s="4">
        <f>(VLOOKUP('14.05'!K38,'14.05'!$AM$4:$AO$55,2,FALSE))*IF('14.05'!AM$4="是",'14.05'!$AY$4,'14.05'!$AY$3)</f>
        <v>50</v>
      </c>
      <c r="D38" s="4">
        <f>(VLOOKUP('14.05'!L38,'14.05'!$AM$4:$AO$55,2,FALSE))*IF('14.05'!AN$4="是",'14.05'!$AY$4,'14.05'!$AY$3)</f>
        <v>170</v>
      </c>
      <c r="E38" s="4">
        <f>(VLOOKUP('14.05'!M38,'14.05'!$AM$4:$AO$55,2,FALSE))*IF('14.05'!AO$4="是",'14.05'!$AY$4,'14.05'!$AY$3)</f>
        <v>-200</v>
      </c>
      <c r="F38" s="4">
        <f>(VLOOKUP('14.05'!N38,'14.05'!$AM$4:$AO$55,2,FALSE))*IF('14.05'!AQ$4="是",'14.05'!$AY$4,'14.05'!$AY$3)</f>
        <v>170</v>
      </c>
      <c r="G38" s="5">
        <f>(VLOOKUP('14.05'!O38,'14.05'!$AM$4:$AO$55,2,FALSE))*IF('14.05'!AR$4="是",'14.05'!$AY$4,'14.05'!$AY$3)</f>
        <v>0</v>
      </c>
      <c r="H38" s="5">
        <f>(VLOOKUP('14.05'!P38,'14.05'!$AM$4:$AO$55,2,FALSE))*IF('14.05'!AS$4="是",'14.05'!$AY$4,'14.05'!$AY$3)</f>
        <v>0</v>
      </c>
      <c r="I38" s="4">
        <f>(VLOOKUP('14.05'!Q38,'14.05'!$AM$4:$AO$55,2,FALSE))*IF('14.05'!AT$4="是",'14.05'!$AY$4,'14.05'!$AY$3)</f>
        <v>170</v>
      </c>
      <c r="J38" s="4">
        <f>(VLOOKUP('14.05'!R38,'14.05'!$AM$4:$AO$55,2,FALSE))*IF('14.05'!AU$4="是",'14.05'!$AY$4,'14.05'!$AY$3)</f>
        <v>180</v>
      </c>
      <c r="K38" s="4">
        <f>(VLOOKUP('14.05'!S38,'14.05'!$AM$4:$AO$55,2,FALSE))*IF('14.05'!AV$4="是",'14.05'!$AY$4,'14.05'!$AY$3)</f>
        <v>180</v>
      </c>
      <c r="L38" s="4">
        <f>(VLOOKUP('14.05'!T38,'14.05'!$AM$4:$AO$55,2,FALSE))*IF('14.05'!AW$4="是",'14.05'!$AY$4,'14.05'!$AY$3)</f>
        <v>180</v>
      </c>
      <c r="M38" s="4">
        <f>(VLOOKUP('14.05'!U38,'14.05'!$AM$4:$AO$55,2,FALSE))*IF('14.05'!AX$4="是",'14.05'!$AY$4,'14.05'!$AY$3)</f>
        <v>180</v>
      </c>
      <c r="N38" s="4">
        <f>(VLOOKUP('14.05'!V38,'14.05'!$AM$4:$AO$55,2,FALSE))*IF('14.05'!AY$4="是",'14.05'!$AY$4,'14.05'!$AY$3)</f>
        <v>180</v>
      </c>
      <c r="O38" s="5">
        <f>(VLOOKUP('14.05'!W38,'14.05'!$AM$4:$AO$55,2,FALSE))*IF('14.05'!AZ$4="是",'14.05'!$AY$4,'14.05'!$AY$3)</f>
        <v>0</v>
      </c>
      <c r="P38" s="5">
        <f>(VLOOKUP('14.05'!X38,'14.05'!$AM$4:$AO$55,2,FALSE))*IF('14.05'!BA$4="是",'14.05'!$AY$4,'14.05'!$AY$3)</f>
        <v>0</v>
      </c>
      <c r="Q38" s="4">
        <f>(VLOOKUP('14.05'!Y38,'14.05'!$AM$4:$AO$55,2,FALSE))*IF('14.05'!BB$4="是",'14.05'!$AY$4,'14.05'!$AY$3)</f>
        <v>160</v>
      </c>
      <c r="R38" s="4">
        <f>(VLOOKUP('14.05'!Z38,'14.05'!$AM$4:$AO$55,2,FALSE))*IF('14.05'!BC$4="是",'14.05'!$AY$4,'14.05'!$AY$3)</f>
        <v>170</v>
      </c>
      <c r="S38" s="4">
        <f>(VLOOKUP('14.05'!AA38,'14.05'!$AM$4:$AO$55,2,FALSE))*IF('14.05'!BD$4="是",'14.05'!$AY$4,'14.05'!$AY$3)</f>
        <v>170</v>
      </c>
      <c r="T38" s="4">
        <f>(VLOOKUP('14.05'!AB38,'14.05'!$AM$4:$AO$55,2,FALSE))*IF('14.05'!BE$4="是",'14.05'!$AY$4,'14.05'!$AY$3)</f>
        <v>170</v>
      </c>
      <c r="U38" s="4">
        <f>(VLOOKUP('14.05'!AC38,'14.05'!$AM$4:$AO$55,2,FALSE))*IF('14.05'!BF$4="是",'14.05'!$AY$4,'14.05'!$AY$3)</f>
        <v>170</v>
      </c>
      <c r="V38" s="4">
        <f>(VLOOKUP('14.05'!AD38,'14.05'!$AM$4:$AO$55,2,FALSE))*IF('14.05'!BG$4="是",'14.05'!$AY$4,'14.05'!$AY$3)</f>
        <v>160</v>
      </c>
      <c r="W38" s="5">
        <f>(VLOOKUP('14.05'!AE38,'14.05'!$AM$4:$AO$55,2,FALSE))*IF('14.05'!BH$4="是",'14.05'!$AY$4,'14.05'!$AY$3)</f>
        <v>0</v>
      </c>
      <c r="X38" s="5">
        <f>(VLOOKUP('14.05'!AF38,'14.05'!$AM$4:$AO$55,2,FALSE))*IF('14.05'!BI$4="是",'14.05'!$AY$4,'14.05'!$AY$3)</f>
        <v>0</v>
      </c>
    </row>
    <row r="39" spans="1:24">
      <c r="A39" s="4">
        <f>(VLOOKUP('14.05'!I39,'14.05'!$AM$4:$AO$55,2,FALSE))*IF('14.05'!AK$4="是",'14.05'!$AY$4,'14.05'!$AY$3)</f>
        <v>170</v>
      </c>
      <c r="B39" s="4">
        <f>(VLOOKUP('14.05'!J39,'14.05'!$AM$4:$AO$55,2,FALSE))*IF('14.05'!AL$4="是",'14.05'!$AY$4,'14.05'!$AY$3)</f>
        <v>170</v>
      </c>
      <c r="C39" s="4">
        <f>(VLOOKUP('14.05'!K39,'14.05'!$AM$4:$AO$55,2,FALSE))*IF('14.05'!AM$4="是",'14.05'!$AY$4,'14.05'!$AY$3)</f>
        <v>50</v>
      </c>
      <c r="D39" s="4">
        <f>(VLOOKUP('14.05'!L39,'14.05'!$AM$4:$AO$55,2,FALSE))*IF('14.05'!AN$4="是",'14.05'!$AY$4,'14.05'!$AY$3)</f>
        <v>170</v>
      </c>
      <c r="E39" s="4">
        <f>(VLOOKUP('14.05'!M39,'14.05'!$AM$4:$AO$55,2,FALSE))*IF('14.05'!AO$4="是",'14.05'!$AY$4,'14.05'!$AY$3)</f>
        <v>170</v>
      </c>
      <c r="F39" s="4">
        <f>(VLOOKUP('14.05'!N39,'14.05'!$AM$4:$AO$55,2,FALSE))*IF('14.05'!AQ$4="是",'14.05'!$AY$4,'14.05'!$AY$3)</f>
        <v>170</v>
      </c>
      <c r="G39" s="5">
        <f>(VLOOKUP('14.05'!O39,'14.05'!$AM$4:$AO$55,2,FALSE))*IF('14.05'!AR$4="是",'14.05'!$AY$4,'14.05'!$AY$3)</f>
        <v>0</v>
      </c>
      <c r="H39" s="5">
        <f>(VLOOKUP('14.05'!P39,'14.05'!$AM$4:$AO$55,2,FALSE))*IF('14.05'!AS$4="是",'14.05'!$AY$4,'14.05'!$AY$3)</f>
        <v>0</v>
      </c>
      <c r="I39" s="4">
        <f>(VLOOKUP('14.05'!Q39,'14.05'!$AM$4:$AO$55,2,FALSE))*IF('14.05'!AT$4="是",'14.05'!$AY$4,'14.05'!$AY$3)</f>
        <v>180</v>
      </c>
      <c r="J39" s="4">
        <f>(VLOOKUP('14.05'!R39,'14.05'!$AM$4:$AO$55,2,FALSE))*IF('14.05'!AU$4="是",'14.05'!$AY$4,'14.05'!$AY$3)</f>
        <v>180</v>
      </c>
      <c r="K39" s="4">
        <f>(VLOOKUP('14.05'!S39,'14.05'!$AM$4:$AO$55,2,FALSE))*IF('14.05'!AV$4="是",'14.05'!$AY$4,'14.05'!$AY$3)</f>
        <v>180</v>
      </c>
      <c r="L39" s="4">
        <f>(VLOOKUP('14.05'!T39,'14.05'!$AM$4:$AO$55,2,FALSE))*IF('14.05'!AW$4="是",'14.05'!$AY$4,'14.05'!$AY$3)</f>
        <v>180</v>
      </c>
      <c r="M39" s="4">
        <f>(VLOOKUP('14.05'!U39,'14.05'!$AM$4:$AO$55,2,FALSE))*IF('14.05'!AX$4="是",'14.05'!$AY$4,'14.05'!$AY$3)</f>
        <v>180</v>
      </c>
      <c r="N39" s="4">
        <f>(VLOOKUP('14.05'!V39,'14.05'!$AM$4:$AO$55,2,FALSE))*IF('14.05'!AY$4="是",'14.05'!$AY$4,'14.05'!$AY$3)</f>
        <v>0</v>
      </c>
      <c r="O39" s="5">
        <f>(VLOOKUP('14.05'!W39,'14.05'!$AM$4:$AO$55,2,FALSE))*IF('14.05'!AZ$4="是",'14.05'!$AY$4,'14.05'!$AY$3)</f>
        <v>0</v>
      </c>
      <c r="P39" s="5">
        <f>(VLOOKUP('14.05'!X39,'14.05'!$AM$4:$AO$55,2,FALSE))*IF('14.05'!BA$4="是",'14.05'!$AY$4,'14.05'!$AY$3)</f>
        <v>0</v>
      </c>
      <c r="Q39" s="4">
        <f>(VLOOKUP('14.05'!Y39,'14.05'!$AM$4:$AO$55,2,FALSE))*IF('14.05'!BB$4="是",'14.05'!$AY$4,'14.05'!$AY$3)</f>
        <v>50</v>
      </c>
      <c r="R39" s="4">
        <f>(VLOOKUP('14.05'!Z39,'14.05'!$AM$4:$AO$55,2,FALSE))*IF('14.05'!BC$4="是",'14.05'!$AY$4,'14.05'!$AY$3)</f>
        <v>160</v>
      </c>
      <c r="S39" s="4">
        <f>(VLOOKUP('14.05'!AA39,'14.05'!$AM$4:$AO$55,2,FALSE))*IF('14.05'!BD$4="是",'14.05'!$AY$4,'14.05'!$AY$3)</f>
        <v>160</v>
      </c>
      <c r="T39" s="4">
        <f>(VLOOKUP('14.05'!AB39,'14.05'!$AM$4:$AO$55,2,FALSE))*IF('14.05'!BE$4="是",'14.05'!$AY$4,'14.05'!$AY$3)</f>
        <v>160</v>
      </c>
      <c r="U39" s="4">
        <f>(VLOOKUP('14.05'!AC39,'14.05'!$AM$4:$AO$55,2,FALSE))*IF('14.05'!BF$4="是",'14.05'!$AY$4,'14.05'!$AY$3)</f>
        <v>150</v>
      </c>
      <c r="V39" s="4">
        <f>(VLOOKUP('14.05'!AD39,'14.05'!$AM$4:$AO$55,2,FALSE))*IF('14.05'!BG$4="是",'14.05'!$AY$4,'14.05'!$AY$3)</f>
        <v>50</v>
      </c>
      <c r="W39" s="5">
        <f>(VLOOKUP('14.05'!AE39,'14.05'!$AM$4:$AO$55,2,FALSE))*IF('14.05'!BH$4="是",'14.05'!$AY$4,'14.05'!$AY$3)</f>
        <v>0</v>
      </c>
      <c r="X39" s="5">
        <f>(VLOOKUP('14.05'!AF39,'14.05'!$AM$4:$AO$55,2,FALSE))*IF('14.05'!BI$4="是",'14.05'!$AY$4,'14.05'!$AY$3)</f>
        <v>0</v>
      </c>
    </row>
    <row r="40" spans="1:24">
      <c r="A40" s="4">
        <f>(VLOOKUP('14.05'!I40,'14.05'!$AM$4:$AO$55,2,FALSE))*IF('14.05'!AK$4="是",'14.05'!$AY$4,'14.05'!$AY$3)</f>
        <v>170</v>
      </c>
      <c r="B40" s="4">
        <f>(VLOOKUP('14.05'!J40,'14.05'!$AM$4:$AO$55,2,FALSE))*IF('14.05'!AL$4="是",'14.05'!$AY$4,'14.05'!$AY$3)</f>
        <v>160</v>
      </c>
      <c r="C40" s="4">
        <f>(VLOOKUP('14.05'!K40,'14.05'!$AM$4:$AO$55,2,FALSE))*IF('14.05'!AM$4="是",'14.05'!$AY$4,'14.05'!$AY$3)</f>
        <v>160</v>
      </c>
      <c r="D40" s="4">
        <f>(VLOOKUP('14.05'!L40,'14.05'!$AM$4:$AO$55,2,FALSE))*IF('14.05'!AN$4="是",'14.05'!$AY$4,'14.05'!$AY$3)</f>
        <v>50</v>
      </c>
      <c r="E40" s="4">
        <f>(VLOOKUP('14.05'!M40,'14.05'!$AM$4:$AO$55,2,FALSE))*IF('14.05'!AO$4="是",'14.05'!$AY$4,'14.05'!$AY$3)</f>
        <v>160</v>
      </c>
      <c r="F40" s="4">
        <f>(VLOOKUP('14.05'!N40,'14.05'!$AM$4:$AO$55,2,FALSE))*IF('14.05'!AQ$4="是",'14.05'!$AY$4,'14.05'!$AY$3)</f>
        <v>50</v>
      </c>
      <c r="G40" s="5">
        <f>(VLOOKUP('14.05'!O40,'14.05'!$AM$4:$AO$55,2,FALSE))*IF('14.05'!AR$4="是",'14.05'!$AY$4,'14.05'!$AY$3)</f>
        <v>0</v>
      </c>
      <c r="H40" s="5">
        <f>(VLOOKUP('14.05'!P40,'14.05'!$AM$4:$AO$55,2,FALSE))*IF('14.05'!AS$4="是",'14.05'!$AY$4,'14.05'!$AY$3)</f>
        <v>0</v>
      </c>
      <c r="I40" s="4">
        <f>(VLOOKUP('14.05'!Q40,'14.05'!$AM$4:$AO$55,2,FALSE))*IF('14.05'!AT$4="是",'14.05'!$AY$4,'14.05'!$AY$3)</f>
        <v>180</v>
      </c>
      <c r="J40" s="4">
        <f>(VLOOKUP('14.05'!R40,'14.05'!$AM$4:$AO$55,2,FALSE))*IF('14.05'!AU$4="是",'14.05'!$AY$4,'14.05'!$AY$3)</f>
        <v>50</v>
      </c>
      <c r="K40" s="4">
        <f>(VLOOKUP('14.05'!S40,'14.05'!$AM$4:$AO$55,2,FALSE))*IF('14.05'!AV$4="是",'14.05'!$AY$4,'14.05'!$AY$3)</f>
        <v>190</v>
      </c>
      <c r="L40" s="4">
        <f>(VLOOKUP('14.05'!T40,'14.05'!$AM$4:$AO$55,2,FALSE))*IF('14.05'!AW$4="是",'14.05'!$AY$4,'14.05'!$AY$3)</f>
        <v>190</v>
      </c>
      <c r="M40" s="4">
        <f>(VLOOKUP('14.05'!U40,'14.05'!$AM$4:$AO$55,2,FALSE))*IF('14.05'!AX$4="是",'14.05'!$AY$4,'14.05'!$AY$3)</f>
        <v>190</v>
      </c>
      <c r="N40" s="4">
        <f>(VLOOKUP('14.05'!V40,'14.05'!$AM$4:$AO$55,2,FALSE))*IF('14.05'!AY$4="是",'14.05'!$AY$4,'14.05'!$AY$3)</f>
        <v>-200</v>
      </c>
      <c r="O40" s="5">
        <f>(VLOOKUP('14.05'!W40,'14.05'!$AM$4:$AO$55,2,FALSE))*IF('14.05'!AZ$4="是",'14.05'!$AY$4,'14.05'!$AY$3)</f>
        <v>190</v>
      </c>
      <c r="P40" s="5">
        <f>(VLOOKUP('14.05'!X40,'14.05'!$AM$4:$AO$55,2,FALSE))*IF('14.05'!BA$4="是",'14.05'!$AY$4,'14.05'!$AY$3)</f>
        <v>190</v>
      </c>
      <c r="Q40" s="4">
        <f>(VLOOKUP('14.05'!Y40,'14.05'!$AM$4:$AO$55,2,FALSE))*IF('14.05'!BB$4="是",'14.05'!$AY$4,'14.05'!$AY$3)</f>
        <v>0</v>
      </c>
      <c r="R40" s="4">
        <f>(VLOOKUP('14.05'!Z40,'14.05'!$AM$4:$AO$55,2,FALSE))*IF('14.05'!BC$4="是",'14.05'!$AY$4,'14.05'!$AY$3)</f>
        <v>0</v>
      </c>
      <c r="S40" s="4">
        <f>(VLOOKUP('14.05'!AA40,'14.05'!$AM$4:$AO$55,2,FALSE))*IF('14.05'!BD$4="是",'14.05'!$AY$4,'14.05'!$AY$3)</f>
        <v>0</v>
      </c>
      <c r="T40" s="4">
        <f>(VLOOKUP('14.05'!AB40,'14.05'!$AM$4:$AO$55,2,FALSE))*IF('14.05'!BE$4="是",'14.05'!$AY$4,'14.05'!$AY$3)</f>
        <v>0</v>
      </c>
      <c r="U40" s="4">
        <f>(VLOOKUP('14.05'!AC40,'14.05'!$AM$4:$AO$55,2,FALSE))*IF('14.05'!BF$4="是",'14.05'!$AY$4,'14.05'!$AY$3)</f>
        <v>0</v>
      </c>
      <c r="V40" s="4">
        <f>(VLOOKUP('14.05'!AD40,'14.05'!$AM$4:$AO$55,2,FALSE))*IF('14.05'!BG$4="是",'14.05'!$AY$4,'14.05'!$AY$3)</f>
        <v>0</v>
      </c>
      <c r="W40" s="5">
        <f>(VLOOKUP('14.05'!AE40,'14.05'!$AM$4:$AO$55,2,FALSE))*IF('14.05'!BH$4="是",'14.05'!$AY$4,'14.05'!$AY$3)</f>
        <v>0</v>
      </c>
      <c r="X40" s="5">
        <f>(VLOOKUP('14.05'!AF40,'14.05'!$AM$4:$AO$55,2,FALSE))*IF('14.05'!BI$4="是",'14.05'!$AY$4,'14.05'!$AY$3)</f>
        <v>0</v>
      </c>
    </row>
    <row r="41" spans="1:24">
      <c r="A41" s="4">
        <f>(VLOOKUP('14.05'!I41,'14.05'!$AM$4:$AO$55,2,FALSE))*IF('14.05'!AK$4="是",'14.05'!$AY$4,'14.05'!$AY$3)</f>
        <v>160</v>
      </c>
      <c r="B41" s="4">
        <f>(VLOOKUP('14.05'!J41,'14.05'!$AM$4:$AO$55,2,FALSE))*IF('14.05'!AL$4="是",'14.05'!$AY$4,'14.05'!$AY$3)</f>
        <v>160</v>
      </c>
      <c r="C41" s="4">
        <f>(VLOOKUP('14.05'!K41,'14.05'!$AM$4:$AO$55,2,FALSE))*IF('14.05'!AM$4="是",'14.05'!$AY$4,'14.05'!$AY$3)</f>
        <v>160</v>
      </c>
      <c r="D41" s="4">
        <f>(VLOOKUP('14.05'!L41,'14.05'!$AM$4:$AO$55,2,FALSE))*IF('14.05'!AN$4="是",'14.05'!$AY$4,'14.05'!$AY$3)</f>
        <v>150</v>
      </c>
      <c r="E41" s="4">
        <f>(VLOOKUP('14.05'!M41,'14.05'!$AM$4:$AO$55,2,FALSE))*IF('14.05'!AO$4="是",'14.05'!$AY$4,'14.05'!$AY$3)</f>
        <v>50</v>
      </c>
      <c r="F41" s="4">
        <f>(VLOOKUP('14.05'!N41,'14.05'!$AM$4:$AO$55,2,FALSE))*IF('14.05'!AQ$4="是",'14.05'!$AY$4,'14.05'!$AY$3)</f>
        <v>170</v>
      </c>
      <c r="G41" s="5">
        <f>(VLOOKUP('14.05'!O41,'14.05'!$AM$4:$AO$55,2,FALSE))*IF('14.05'!AR$4="是",'14.05'!$AY$4,'14.05'!$AY$3)</f>
        <v>0</v>
      </c>
      <c r="H41" s="5">
        <f>(VLOOKUP('14.05'!P41,'14.05'!$AM$4:$AO$55,2,FALSE))*IF('14.05'!AS$4="是",'14.05'!$AY$4,'14.05'!$AY$3)</f>
        <v>0</v>
      </c>
      <c r="I41" s="4">
        <f>(VLOOKUP('14.05'!Q41,'14.05'!$AM$4:$AO$55,2,FALSE))*IF('14.05'!AT$4="是",'14.05'!$AY$4,'14.05'!$AY$3)</f>
        <v>190</v>
      </c>
      <c r="J41" s="4">
        <f>(VLOOKUP('14.05'!R41,'14.05'!$AM$4:$AO$55,2,FALSE))*IF('14.05'!AU$4="是",'14.05'!$AY$4,'14.05'!$AY$3)</f>
        <v>190</v>
      </c>
      <c r="K41" s="4">
        <f>(VLOOKUP('14.05'!S41,'14.05'!$AM$4:$AO$55,2,FALSE))*IF('14.05'!AV$4="是",'14.05'!$AY$4,'14.05'!$AY$3)</f>
        <v>190</v>
      </c>
      <c r="L41" s="4">
        <f>(VLOOKUP('14.05'!T41,'14.05'!$AM$4:$AO$55,2,FALSE))*IF('14.05'!AW$4="是",'14.05'!$AY$4,'14.05'!$AY$3)</f>
        <v>190</v>
      </c>
      <c r="M41" s="4">
        <f>(VLOOKUP('14.05'!U41,'14.05'!$AM$4:$AO$55,2,FALSE))*IF('14.05'!AX$4="是",'14.05'!$AY$4,'14.05'!$AY$3)</f>
        <v>190</v>
      </c>
      <c r="N41" s="4">
        <f>(VLOOKUP('14.05'!V41,'14.05'!$AM$4:$AO$55,2,FALSE))*IF('14.05'!AY$4="是",'14.05'!$AY$4,'14.05'!$AY$3)</f>
        <v>190</v>
      </c>
      <c r="O41" s="5">
        <f>(VLOOKUP('14.05'!W41,'14.05'!$AM$4:$AO$55,2,FALSE))*IF('14.05'!AZ$4="是",'14.05'!$AY$4,'14.05'!$AY$3)</f>
        <v>0</v>
      </c>
      <c r="P41" s="5">
        <f>(VLOOKUP('14.05'!X41,'14.05'!$AM$4:$AO$55,2,FALSE))*IF('14.05'!BA$4="是",'14.05'!$AY$4,'14.05'!$AY$3)</f>
        <v>0</v>
      </c>
      <c r="Q41" s="4">
        <f>(VLOOKUP('14.05'!Y41,'14.05'!$AM$4:$AO$55,2,FALSE))*IF('14.05'!BB$4="是",'14.05'!$AY$4,'14.05'!$AY$3)</f>
        <v>0</v>
      </c>
      <c r="R41" s="4">
        <f>(VLOOKUP('14.05'!Z41,'14.05'!$AM$4:$AO$55,2,FALSE))*IF('14.05'!BC$4="是",'14.05'!$AY$4,'14.05'!$AY$3)</f>
        <v>0</v>
      </c>
      <c r="S41" s="4">
        <f>(VLOOKUP('14.05'!AA41,'14.05'!$AM$4:$AO$55,2,FALSE))*IF('14.05'!BD$4="是",'14.05'!$AY$4,'14.05'!$AY$3)</f>
        <v>0</v>
      </c>
      <c r="T41" s="4">
        <f>(VLOOKUP('14.05'!AB41,'14.05'!$AM$4:$AO$55,2,FALSE))*IF('14.05'!BE$4="是",'14.05'!$AY$4,'14.05'!$AY$3)</f>
        <v>0</v>
      </c>
      <c r="U41" s="4">
        <f>(VLOOKUP('14.05'!AC41,'14.05'!$AM$4:$AO$55,2,FALSE))*IF('14.05'!BF$4="是",'14.05'!$AY$4,'14.05'!$AY$3)</f>
        <v>0</v>
      </c>
      <c r="V41" s="4">
        <f>(VLOOKUP('14.05'!AD41,'14.05'!$AM$4:$AO$55,2,FALSE))*IF('14.05'!BG$4="是",'14.05'!$AY$4,'14.05'!$AY$3)</f>
        <v>0</v>
      </c>
      <c r="W41" s="5">
        <f>(VLOOKUP('14.05'!AE41,'14.05'!$AM$4:$AO$55,2,FALSE))*IF('14.05'!BH$4="是",'14.05'!$AY$4,'14.05'!$AY$3)</f>
        <v>0</v>
      </c>
      <c r="X41" s="5">
        <f>(VLOOKUP('14.05'!AF41,'14.05'!$AM$4:$AO$55,2,FALSE))*IF('14.05'!BI$4="是",'14.05'!$AY$4,'14.05'!$AY$3)</f>
        <v>0</v>
      </c>
    </row>
    <row r="42" spans="1:24">
      <c r="A42" s="4">
        <f>(VLOOKUP('14.05'!I42,'14.05'!$AM$4:$AO$55,2,FALSE))*IF('14.05'!AK$4="是",'14.05'!$AY$4,'14.05'!$AY$3)</f>
        <v>170</v>
      </c>
      <c r="B42" s="4">
        <f>(VLOOKUP('14.05'!J42,'14.05'!$AM$4:$AO$55,2,FALSE))*IF('14.05'!AL$4="是",'14.05'!$AY$4,'14.05'!$AY$3)</f>
        <v>170</v>
      </c>
      <c r="C42" s="4">
        <f>(VLOOKUP('14.05'!K42,'14.05'!$AM$4:$AO$55,2,FALSE))*IF('14.05'!AM$4="是",'14.05'!$AY$4,'14.05'!$AY$3)</f>
        <v>170</v>
      </c>
      <c r="D42" s="4">
        <f>(VLOOKUP('14.05'!L42,'14.05'!$AM$4:$AO$55,2,FALSE))*IF('14.05'!AN$4="是",'14.05'!$AY$4,'14.05'!$AY$3)</f>
        <v>170</v>
      </c>
      <c r="E42" s="4">
        <f>(VLOOKUP('14.05'!M42,'14.05'!$AM$4:$AO$55,2,FALSE))*IF('14.05'!AO$4="是",'14.05'!$AY$4,'14.05'!$AY$3)</f>
        <v>170</v>
      </c>
      <c r="F42" s="4">
        <f>(VLOOKUP('14.05'!N42,'14.05'!$AM$4:$AO$55,2,FALSE))*IF('14.05'!AQ$4="是",'14.05'!$AY$4,'14.05'!$AY$3)</f>
        <v>170</v>
      </c>
      <c r="G42" s="5">
        <f>(VLOOKUP('14.05'!O42,'14.05'!$AM$4:$AO$55,2,FALSE))*IF('14.05'!AR$4="是",'14.05'!$AY$4,'14.05'!$AY$3)</f>
        <v>0</v>
      </c>
      <c r="H42" s="5">
        <f>(VLOOKUP('14.05'!P42,'14.05'!$AM$4:$AO$55,2,FALSE))*IF('14.05'!AS$4="是",'14.05'!$AY$4,'14.05'!$AY$3)</f>
        <v>0</v>
      </c>
      <c r="I42" s="4">
        <f>(VLOOKUP('14.05'!Q42,'14.05'!$AM$4:$AO$55,2,FALSE))*IF('14.05'!AT$4="是",'14.05'!$AY$4,'14.05'!$AY$3)</f>
        <v>190</v>
      </c>
      <c r="J42" s="4">
        <f>(VLOOKUP('14.05'!R42,'14.05'!$AM$4:$AO$55,2,FALSE))*IF('14.05'!AU$4="是",'14.05'!$AY$4,'14.05'!$AY$3)</f>
        <v>190</v>
      </c>
      <c r="K42" s="4">
        <f>(VLOOKUP('14.05'!S42,'14.05'!$AM$4:$AO$55,2,FALSE))*IF('14.05'!AV$4="是",'14.05'!$AY$4,'14.05'!$AY$3)</f>
        <v>190</v>
      </c>
      <c r="L42" s="4">
        <f>(VLOOKUP('14.05'!T42,'14.05'!$AM$4:$AO$55,2,FALSE))*IF('14.05'!AW$4="是",'14.05'!$AY$4,'14.05'!$AY$3)</f>
        <v>200</v>
      </c>
      <c r="M42" s="4">
        <f>(VLOOKUP('14.05'!U42,'14.05'!$AM$4:$AO$55,2,FALSE))*IF('14.05'!AX$4="是",'14.05'!$AY$4,'14.05'!$AY$3)</f>
        <v>200</v>
      </c>
      <c r="N42" s="4">
        <f>(VLOOKUP('14.05'!V42,'14.05'!$AM$4:$AO$55,2,FALSE))*IF('14.05'!AY$4="是",'14.05'!$AY$4,'14.05'!$AY$3)</f>
        <v>0</v>
      </c>
      <c r="O42" s="5">
        <f>(VLOOKUP('14.05'!W42,'14.05'!$AM$4:$AO$55,2,FALSE))*IF('14.05'!AZ$4="是",'14.05'!$AY$4,'14.05'!$AY$3)</f>
        <v>0</v>
      </c>
      <c r="P42" s="5">
        <f>(VLOOKUP('14.05'!X42,'14.05'!$AM$4:$AO$55,2,FALSE))*IF('14.05'!BA$4="是",'14.05'!$AY$4,'14.05'!$AY$3)</f>
        <v>0</v>
      </c>
      <c r="Q42" s="4">
        <f>(VLOOKUP('14.05'!Y42,'14.05'!$AM$4:$AO$55,2,FALSE))*IF('14.05'!BB$4="是",'14.05'!$AY$4,'14.05'!$AY$3)</f>
        <v>0</v>
      </c>
      <c r="R42" s="4">
        <f>(VLOOKUP('14.05'!Z42,'14.05'!$AM$4:$AO$55,2,FALSE))*IF('14.05'!BC$4="是",'14.05'!$AY$4,'14.05'!$AY$3)</f>
        <v>0</v>
      </c>
      <c r="S42" s="4">
        <f>(VLOOKUP('14.05'!AA42,'14.05'!$AM$4:$AO$55,2,FALSE))*IF('14.05'!BD$4="是",'14.05'!$AY$4,'14.05'!$AY$3)</f>
        <v>0</v>
      </c>
      <c r="T42" s="4">
        <f>(VLOOKUP('14.05'!AB42,'14.05'!$AM$4:$AO$55,2,FALSE))*IF('14.05'!BE$4="是",'14.05'!$AY$4,'14.05'!$AY$3)</f>
        <v>0</v>
      </c>
      <c r="U42" s="4">
        <f>(VLOOKUP('14.05'!AC42,'14.05'!$AM$4:$AO$55,2,FALSE))*IF('14.05'!BF$4="是",'14.05'!$AY$4,'14.05'!$AY$3)</f>
        <v>0</v>
      </c>
      <c r="V42" s="4">
        <f>(VLOOKUP('14.05'!AD42,'14.05'!$AM$4:$AO$55,2,FALSE))*IF('14.05'!BG$4="是",'14.05'!$AY$4,'14.05'!$AY$3)</f>
        <v>0</v>
      </c>
      <c r="W42" s="5">
        <f>(VLOOKUP('14.05'!AE42,'14.05'!$AM$4:$AO$55,2,FALSE))*IF('14.05'!BH$4="是",'14.05'!$AY$4,'14.05'!$AY$3)</f>
        <v>0</v>
      </c>
      <c r="X42" s="5">
        <f>(VLOOKUP('14.05'!AF42,'14.05'!$AM$4:$AO$55,2,FALSE))*IF('14.05'!BI$4="是",'14.05'!$AY$4,'14.05'!$AY$3)</f>
        <v>0</v>
      </c>
    </row>
    <row r="43" spans="1:24">
      <c r="A43" s="4">
        <f>(VLOOKUP('14.05'!I43,'14.05'!$AM$4:$AO$55,2,FALSE))*IF('14.05'!AK$4="是",'14.05'!$AY$4,'14.05'!$AY$3)</f>
        <v>170</v>
      </c>
      <c r="B43" s="4">
        <f>(VLOOKUP('14.05'!J43,'14.05'!$AM$4:$AO$55,2,FALSE))*IF('14.05'!AL$4="是",'14.05'!$AY$4,'14.05'!$AY$3)</f>
        <v>170</v>
      </c>
      <c r="C43" s="4">
        <f>(VLOOKUP('14.05'!K43,'14.05'!$AM$4:$AO$55,2,FALSE))*IF('14.05'!AM$4="是",'14.05'!$AY$4,'14.05'!$AY$3)</f>
        <v>170</v>
      </c>
      <c r="D43" s="4">
        <f>(VLOOKUP('14.05'!L43,'14.05'!$AM$4:$AO$55,2,FALSE))*IF('14.05'!AN$4="是",'14.05'!$AY$4,'14.05'!$AY$3)</f>
        <v>170</v>
      </c>
      <c r="E43" s="4">
        <f>(VLOOKUP('14.05'!M43,'14.05'!$AM$4:$AO$55,2,FALSE))*IF('14.05'!AO$4="是",'14.05'!$AY$4,'14.05'!$AY$3)</f>
        <v>170</v>
      </c>
      <c r="F43" s="4">
        <f>(VLOOKUP('14.05'!N43,'14.05'!$AM$4:$AO$55,2,FALSE))*IF('14.05'!AQ$4="是",'14.05'!$AY$4,'14.05'!$AY$3)</f>
        <v>170</v>
      </c>
      <c r="G43" s="5">
        <f>(VLOOKUP('14.05'!O43,'14.05'!$AM$4:$AO$55,2,FALSE))*IF('14.05'!AR$4="是",'14.05'!$AY$4,'14.05'!$AY$3)</f>
        <v>0</v>
      </c>
      <c r="H43" s="5">
        <f>(VLOOKUP('14.05'!P43,'14.05'!$AM$4:$AO$55,2,FALSE))*IF('14.05'!AS$4="是",'14.05'!$AY$4,'14.05'!$AY$3)</f>
        <v>0</v>
      </c>
      <c r="I43" s="4">
        <f>(VLOOKUP('14.05'!Q43,'14.05'!$AM$4:$AO$55,2,FALSE))*IF('14.05'!AT$4="是",'14.05'!$AY$4,'14.05'!$AY$3)</f>
        <v>200</v>
      </c>
      <c r="J43" s="4">
        <f>(VLOOKUP('14.05'!R43,'14.05'!$AM$4:$AO$55,2,FALSE))*IF('14.05'!AU$4="是",'14.05'!$AY$4,'14.05'!$AY$3)</f>
        <v>200</v>
      </c>
      <c r="K43" s="4">
        <f>(VLOOKUP('14.05'!S43,'14.05'!$AM$4:$AO$55,2,FALSE))*IF('14.05'!AV$4="是",'14.05'!$AY$4,'14.05'!$AY$3)</f>
        <v>200</v>
      </c>
      <c r="L43" s="4">
        <f>(VLOOKUP('14.05'!T43,'14.05'!$AM$4:$AO$55,2,FALSE))*IF('14.05'!AW$4="是",'14.05'!$AY$4,'14.05'!$AY$3)</f>
        <v>200</v>
      </c>
      <c r="M43" s="4">
        <f>(VLOOKUP('14.05'!U43,'14.05'!$AM$4:$AO$55,2,FALSE))*IF('14.05'!AX$4="是",'14.05'!$AY$4,'14.05'!$AY$3)</f>
        <v>200</v>
      </c>
      <c r="N43" s="4">
        <f>(VLOOKUP('14.05'!V43,'14.05'!$AM$4:$AO$55,2,FALSE))*IF('14.05'!AY$4="是",'14.05'!$AY$4,'14.05'!$AY$3)</f>
        <v>0</v>
      </c>
      <c r="O43" s="5">
        <f>(VLOOKUP('14.05'!W43,'14.05'!$AM$4:$AO$55,2,FALSE))*IF('14.05'!AZ$4="是",'14.05'!$AY$4,'14.05'!$AY$3)</f>
        <v>0</v>
      </c>
      <c r="P43" s="5">
        <f>(VLOOKUP('14.05'!X43,'14.05'!$AM$4:$AO$55,2,FALSE))*IF('14.05'!BA$4="是",'14.05'!$AY$4,'14.05'!$AY$3)</f>
        <v>0</v>
      </c>
      <c r="Q43" s="4">
        <f>(VLOOKUP('14.05'!Y43,'14.05'!$AM$4:$AO$55,2,FALSE))*IF('14.05'!BB$4="是",'14.05'!$AY$4,'14.05'!$AY$3)</f>
        <v>0</v>
      </c>
      <c r="R43" s="4">
        <f>(VLOOKUP('14.05'!Z43,'14.05'!$AM$4:$AO$55,2,FALSE))*IF('14.05'!BC$4="是",'14.05'!$AY$4,'14.05'!$AY$3)</f>
        <v>0</v>
      </c>
      <c r="S43" s="4">
        <f>(VLOOKUP('14.05'!AA43,'14.05'!$AM$4:$AO$55,2,FALSE))*IF('14.05'!BD$4="是",'14.05'!$AY$4,'14.05'!$AY$3)</f>
        <v>0</v>
      </c>
      <c r="T43" s="4">
        <f>(VLOOKUP('14.05'!AB43,'14.05'!$AM$4:$AO$55,2,FALSE))*IF('14.05'!BE$4="是",'14.05'!$AY$4,'14.05'!$AY$3)</f>
        <v>0</v>
      </c>
      <c r="U43" s="4">
        <f>(VLOOKUP('14.05'!AC43,'14.05'!$AM$4:$AO$55,2,FALSE))*IF('14.05'!BF$4="是",'14.05'!$AY$4,'14.05'!$AY$3)</f>
        <v>0</v>
      </c>
      <c r="V43" s="4">
        <f>(VLOOKUP('14.05'!AD43,'14.05'!$AM$4:$AO$55,2,FALSE))*IF('14.05'!BG$4="是",'14.05'!$AY$4,'14.05'!$AY$3)</f>
        <v>0</v>
      </c>
      <c r="W43" s="5">
        <f>(VLOOKUP('14.05'!AE43,'14.05'!$AM$4:$AO$55,2,FALSE))*IF('14.05'!BH$4="是",'14.05'!$AY$4,'14.05'!$AY$3)</f>
        <v>0</v>
      </c>
      <c r="X43" s="5">
        <f>(VLOOKUP('14.05'!AF43,'14.05'!$AM$4:$AO$55,2,FALSE))*IF('14.05'!BI$4="是",'14.05'!$AY$4,'14.05'!$AY$3)</f>
        <v>0</v>
      </c>
    </row>
    <row r="44" spans="1:24">
      <c r="A44" s="4">
        <f>(VLOOKUP('14.05'!I44,'14.05'!$AM$4:$AO$55,2,FALSE))*IF('14.05'!AK$4="是",'14.05'!$AY$4,'14.05'!$AY$3)</f>
        <v>170</v>
      </c>
      <c r="B44" s="4">
        <f>(VLOOKUP('14.05'!J44,'14.05'!$AM$4:$AO$55,2,FALSE))*IF('14.05'!AL$4="是",'14.05'!$AY$4,'14.05'!$AY$3)</f>
        <v>170</v>
      </c>
      <c r="C44" s="4">
        <f>(VLOOKUP('14.05'!K44,'14.05'!$AM$4:$AO$55,2,FALSE))*IF('14.05'!AM$4="是",'14.05'!$AY$4,'14.05'!$AY$3)</f>
        <v>170</v>
      </c>
      <c r="D44" s="4">
        <f>(VLOOKUP('14.05'!L44,'14.05'!$AM$4:$AO$55,2,FALSE))*IF('14.05'!AN$4="是",'14.05'!$AY$4,'14.05'!$AY$3)</f>
        <v>170</v>
      </c>
      <c r="E44" s="4">
        <f>(VLOOKUP('14.05'!M44,'14.05'!$AM$4:$AO$55,2,FALSE))*IF('14.05'!AO$4="是",'14.05'!$AY$4,'14.05'!$AY$3)</f>
        <v>170</v>
      </c>
      <c r="F44" s="4">
        <f>(VLOOKUP('14.05'!N44,'14.05'!$AM$4:$AO$55,2,FALSE))*IF('14.05'!AQ$4="是",'14.05'!$AY$4,'14.05'!$AY$3)</f>
        <v>170</v>
      </c>
      <c r="G44" s="5">
        <f>(VLOOKUP('14.05'!O44,'14.05'!$AM$4:$AO$55,2,FALSE))*IF('14.05'!AR$4="是",'14.05'!$AY$4,'14.05'!$AY$3)</f>
        <v>0</v>
      </c>
      <c r="H44" s="5">
        <f>(VLOOKUP('14.05'!P44,'14.05'!$AM$4:$AO$55,2,FALSE))*IF('14.05'!AS$4="是",'14.05'!$AY$4,'14.05'!$AY$3)</f>
        <v>0</v>
      </c>
      <c r="I44" s="4">
        <f>(VLOOKUP('14.05'!Q44,'14.05'!$AM$4:$AO$55,2,FALSE))*IF('14.05'!AT$4="是",'14.05'!$AY$4,'14.05'!$AY$3)</f>
        <v>200</v>
      </c>
      <c r="J44" s="4">
        <f>(VLOOKUP('14.05'!R44,'14.05'!$AM$4:$AO$55,2,FALSE))*IF('14.05'!AU$4="是",'14.05'!$AY$4,'14.05'!$AY$3)</f>
        <v>200</v>
      </c>
      <c r="K44" s="4">
        <f>(VLOOKUP('14.05'!S44,'14.05'!$AM$4:$AO$55,2,FALSE))*IF('14.05'!AV$4="是",'14.05'!$AY$4,'14.05'!$AY$3)</f>
        <v>200</v>
      </c>
      <c r="L44" s="4">
        <f>(VLOOKUP('14.05'!T44,'14.05'!$AM$4:$AO$55,2,FALSE))*IF('14.05'!AW$4="是",'14.05'!$AY$4,'14.05'!$AY$3)</f>
        <v>200</v>
      </c>
      <c r="M44" s="4">
        <f>(VLOOKUP('14.05'!U44,'14.05'!$AM$4:$AO$55,2,FALSE))*IF('14.05'!AX$4="是",'14.05'!$AY$4,'14.05'!$AY$3)</f>
        <v>200</v>
      </c>
      <c r="N44" s="4">
        <f>(VLOOKUP('14.05'!V44,'14.05'!$AM$4:$AO$55,2,FALSE))*IF('14.05'!AY$4="是",'14.05'!$AY$4,'14.05'!$AY$3)</f>
        <v>0</v>
      </c>
      <c r="O44" s="5">
        <f>(VLOOKUP('14.05'!W44,'14.05'!$AM$4:$AO$55,2,FALSE))*IF('14.05'!AZ$4="是",'14.05'!$AY$4,'14.05'!$AY$3)</f>
        <v>0</v>
      </c>
      <c r="P44" s="5">
        <f>(VLOOKUP('14.05'!X44,'14.05'!$AM$4:$AO$55,2,FALSE))*IF('14.05'!BA$4="是",'14.05'!$AY$4,'14.05'!$AY$3)</f>
        <v>0</v>
      </c>
      <c r="Q44" s="4">
        <f>(VLOOKUP('14.05'!Y44,'14.05'!$AM$4:$AO$55,2,FALSE))*IF('14.05'!BB$4="是",'14.05'!$AY$4,'14.05'!$AY$3)</f>
        <v>0</v>
      </c>
      <c r="R44" s="4">
        <f>(VLOOKUP('14.05'!Z44,'14.05'!$AM$4:$AO$55,2,FALSE))*IF('14.05'!BC$4="是",'14.05'!$AY$4,'14.05'!$AY$3)</f>
        <v>0</v>
      </c>
      <c r="S44" s="4">
        <f>(VLOOKUP('14.05'!AA44,'14.05'!$AM$4:$AO$55,2,FALSE))*IF('14.05'!BD$4="是",'14.05'!$AY$4,'14.05'!$AY$3)</f>
        <v>0</v>
      </c>
      <c r="T44" s="4">
        <f>(VLOOKUP('14.05'!AB44,'14.05'!$AM$4:$AO$55,2,FALSE))*IF('14.05'!BE$4="是",'14.05'!$AY$4,'14.05'!$AY$3)</f>
        <v>0</v>
      </c>
      <c r="U44" s="4">
        <f>(VLOOKUP('14.05'!AC44,'14.05'!$AM$4:$AO$55,2,FALSE))*IF('14.05'!BF$4="是",'14.05'!$AY$4,'14.05'!$AY$3)</f>
        <v>0</v>
      </c>
      <c r="V44" s="4">
        <f>(VLOOKUP('14.05'!AD44,'14.05'!$AM$4:$AO$55,2,FALSE))*IF('14.05'!BG$4="是",'14.05'!$AY$4,'14.05'!$AY$3)</f>
        <v>0</v>
      </c>
      <c r="W44" s="5">
        <f>(VLOOKUP('14.05'!AE44,'14.05'!$AM$4:$AO$55,2,FALSE))*IF('14.05'!BH$4="是",'14.05'!$AY$4,'14.05'!$AY$3)</f>
        <v>0</v>
      </c>
      <c r="X44" s="5">
        <f>(VLOOKUP('14.05'!AF44,'14.05'!$AM$4:$AO$55,2,FALSE))*IF('14.05'!BI$4="是",'14.05'!$AY$4,'14.05'!$AY$3)</f>
        <v>0</v>
      </c>
    </row>
    <row r="45" spans="1:24">
      <c r="A45" s="4">
        <f>(VLOOKUP('14.05'!I45,'14.05'!$AM$4:$AO$55,2,FALSE))*IF('14.05'!AK$4="是",'14.05'!$AY$4,'14.05'!$AY$3)</f>
        <v>170</v>
      </c>
      <c r="B45" s="4">
        <f>(VLOOKUP('14.05'!J45,'14.05'!$AM$4:$AO$55,2,FALSE))*IF('14.05'!AL$4="是",'14.05'!$AY$4,'14.05'!$AY$3)</f>
        <v>50</v>
      </c>
      <c r="C45" s="4">
        <f>(VLOOKUP('14.05'!K45,'14.05'!$AM$4:$AO$55,2,FALSE))*IF('14.05'!AM$4="是",'14.05'!$AY$4,'14.05'!$AY$3)</f>
        <v>170</v>
      </c>
      <c r="D45" s="4">
        <f>(VLOOKUP('14.05'!L45,'14.05'!$AM$4:$AO$55,2,FALSE))*IF('14.05'!AN$4="是",'14.05'!$AY$4,'14.05'!$AY$3)</f>
        <v>0</v>
      </c>
      <c r="E45" s="4">
        <f>(VLOOKUP('14.05'!M45,'14.05'!$AM$4:$AO$55,2,FALSE))*IF('14.05'!AO$4="是",'14.05'!$AY$4,'14.05'!$AY$3)</f>
        <v>0</v>
      </c>
      <c r="F45" s="4">
        <f>(VLOOKUP('14.05'!N45,'14.05'!$AM$4:$AO$55,2,FALSE))*IF('14.05'!AQ$4="是",'14.05'!$AY$4,'14.05'!$AY$3)</f>
        <v>0</v>
      </c>
      <c r="G45" s="5">
        <f>(VLOOKUP('14.05'!O45,'14.05'!$AM$4:$AO$55,2,FALSE))*IF('14.05'!AR$4="是",'14.05'!$AY$4,'14.05'!$AY$3)</f>
        <v>0</v>
      </c>
      <c r="H45" s="5">
        <f>(VLOOKUP('14.05'!P45,'14.05'!$AM$4:$AO$55,2,FALSE))*IF('14.05'!AS$4="是",'14.05'!$AY$4,'14.05'!$AY$3)</f>
        <v>0</v>
      </c>
      <c r="I45" s="4">
        <f>(VLOOKUP('14.05'!Q45,'14.05'!$AM$4:$AO$55,2,FALSE))*IF('14.05'!AT$4="是",'14.05'!$AY$4,'14.05'!$AY$3)</f>
        <v>200</v>
      </c>
      <c r="J45" s="4">
        <f>(VLOOKUP('14.05'!R45,'14.05'!$AM$4:$AO$55,2,FALSE))*IF('14.05'!AU$4="是",'14.05'!$AY$4,'14.05'!$AY$3)</f>
        <v>200</v>
      </c>
      <c r="K45" s="4">
        <f>(VLOOKUP('14.05'!S45,'14.05'!$AM$4:$AO$55,2,FALSE))*IF('14.05'!AV$4="是",'14.05'!$AY$4,'14.05'!$AY$3)</f>
        <v>200</v>
      </c>
      <c r="L45" s="4">
        <f>(VLOOKUP('14.05'!T45,'14.05'!$AM$4:$AO$55,2,FALSE))*IF('14.05'!AW$4="是",'14.05'!$AY$4,'14.05'!$AY$3)</f>
        <v>200</v>
      </c>
      <c r="M45" s="4">
        <f>(VLOOKUP('14.05'!U45,'14.05'!$AM$4:$AO$55,2,FALSE))*IF('14.05'!AX$4="是",'14.05'!$AY$4,'14.05'!$AY$3)</f>
        <v>200</v>
      </c>
      <c r="N45" s="4">
        <f>(VLOOKUP('14.05'!V45,'14.05'!$AM$4:$AO$55,2,FALSE))*IF('14.05'!AY$4="是",'14.05'!$AY$4,'14.05'!$AY$3)</f>
        <v>250</v>
      </c>
      <c r="O45" s="5">
        <f>(VLOOKUP('14.05'!W45,'14.05'!$AM$4:$AO$55,2,FALSE))*IF('14.05'!AZ$4="是",'14.05'!$AY$4,'14.05'!$AY$3)</f>
        <v>0</v>
      </c>
      <c r="P45" s="5">
        <f>(VLOOKUP('14.05'!X45,'14.05'!$AM$4:$AO$55,2,FALSE))*IF('14.05'!BA$4="是",'14.05'!$AY$4,'14.05'!$AY$3)</f>
        <v>0</v>
      </c>
      <c r="Q45" s="4">
        <f>(VLOOKUP('14.05'!Y45,'14.05'!$AM$4:$AO$55,2,FALSE))*IF('14.05'!BB$4="是",'14.05'!$AY$4,'14.05'!$AY$3)</f>
        <v>170</v>
      </c>
      <c r="R45" s="4">
        <f>(VLOOKUP('14.05'!Z45,'14.05'!$AM$4:$AO$55,2,FALSE))*IF('14.05'!BC$4="是",'14.05'!$AY$4,'14.05'!$AY$3)</f>
        <v>0</v>
      </c>
      <c r="S45" s="4">
        <f>(VLOOKUP('14.05'!AA45,'14.05'!$AM$4:$AO$55,2,FALSE))*IF('14.05'!BD$4="是",'14.05'!$AY$4,'14.05'!$AY$3)</f>
        <v>0</v>
      </c>
      <c r="T45" s="4">
        <f>(VLOOKUP('14.05'!AB45,'14.05'!$AM$4:$AO$55,2,FALSE))*IF('14.05'!BE$4="是",'14.05'!$AY$4,'14.05'!$AY$3)</f>
        <v>0</v>
      </c>
      <c r="U45" s="4">
        <f>(VLOOKUP('14.05'!AC45,'14.05'!$AM$4:$AO$55,2,FALSE))*IF('14.05'!BF$4="是",'14.05'!$AY$4,'14.05'!$AY$3)</f>
        <v>0</v>
      </c>
      <c r="V45" s="4">
        <f>(VLOOKUP('14.05'!AD45,'14.05'!$AM$4:$AO$55,2,FALSE))*IF('14.05'!BG$4="是",'14.05'!$AY$4,'14.05'!$AY$3)</f>
        <v>0</v>
      </c>
      <c r="W45" s="5">
        <f>(VLOOKUP('14.05'!AE45,'14.05'!$AM$4:$AO$55,2,FALSE))*IF('14.05'!BH$4="是",'14.05'!$AY$4,'14.05'!$AY$3)</f>
        <v>0</v>
      </c>
      <c r="X45" s="5">
        <f>(VLOOKUP('14.05'!AF45,'14.05'!$AM$4:$AO$55,2,FALSE))*IF('14.05'!BI$4="是",'14.05'!$AY$4,'14.05'!$AY$3)</f>
        <v>0</v>
      </c>
    </row>
    <row r="46" spans="1:24">
      <c r="A46" s="4">
        <f>(VLOOKUP('14.05'!I46,'14.05'!$AM$4:$AO$55,2,FALSE))*IF('14.05'!AK$4="是",'14.05'!$AY$4,'14.05'!$AY$3)</f>
        <v>180</v>
      </c>
      <c r="B46" s="4">
        <f>(VLOOKUP('14.05'!J46,'14.05'!$AM$4:$AO$55,2,FALSE))*IF('14.05'!AL$4="是",'14.05'!$AY$4,'14.05'!$AY$3)</f>
        <v>180</v>
      </c>
      <c r="C46" s="4">
        <f>(VLOOKUP('14.05'!K46,'14.05'!$AM$4:$AO$55,2,FALSE))*IF('14.05'!AM$4="是",'14.05'!$AY$4,'14.05'!$AY$3)</f>
        <v>180</v>
      </c>
      <c r="D46" s="4">
        <f>(VLOOKUP('14.05'!L46,'14.05'!$AM$4:$AO$55,2,FALSE))*IF('14.05'!AN$4="是",'14.05'!$AY$4,'14.05'!$AY$3)</f>
        <v>180</v>
      </c>
      <c r="E46" s="4">
        <f>(VLOOKUP('14.05'!M46,'14.05'!$AM$4:$AO$55,2,FALSE))*IF('14.05'!AO$4="是",'14.05'!$AY$4,'14.05'!$AY$3)</f>
        <v>180</v>
      </c>
      <c r="F46" s="4">
        <f>(VLOOKUP('14.05'!N46,'14.05'!$AM$4:$AO$55,2,FALSE))*IF('14.05'!AQ$4="是",'14.05'!$AY$4,'14.05'!$AY$3)</f>
        <v>180</v>
      </c>
      <c r="G46" s="5">
        <f>(VLOOKUP('14.05'!O46,'14.05'!$AM$4:$AO$55,2,FALSE))*IF('14.05'!AR$4="是",'14.05'!$AY$4,'14.05'!$AY$3)</f>
        <v>0</v>
      </c>
      <c r="H46" s="5">
        <f>(VLOOKUP('14.05'!P46,'14.05'!$AM$4:$AO$55,2,FALSE))*IF('14.05'!AS$4="是",'14.05'!$AY$4,'14.05'!$AY$3)</f>
        <v>0</v>
      </c>
      <c r="I46" s="4">
        <f>(VLOOKUP('14.05'!Q46,'14.05'!$AM$4:$AO$55,2,FALSE))*IF('14.05'!AT$4="是",'14.05'!$AY$4,'14.05'!$AY$3)</f>
        <v>200</v>
      </c>
      <c r="J46" s="4">
        <f>(VLOOKUP('14.05'!R46,'14.05'!$AM$4:$AO$55,2,FALSE))*IF('14.05'!AU$4="是",'14.05'!$AY$4,'14.05'!$AY$3)</f>
        <v>200</v>
      </c>
      <c r="K46" s="4">
        <f>(VLOOKUP('14.05'!S46,'14.05'!$AM$4:$AO$55,2,FALSE))*IF('14.05'!AV$4="是",'14.05'!$AY$4,'14.05'!$AY$3)</f>
        <v>200</v>
      </c>
      <c r="L46" s="4">
        <f>(VLOOKUP('14.05'!T46,'14.05'!$AM$4:$AO$55,2,FALSE))*IF('14.05'!AW$4="是",'14.05'!$AY$4,'14.05'!$AY$3)</f>
        <v>200</v>
      </c>
      <c r="M46" s="4">
        <f>(VLOOKUP('14.05'!U46,'14.05'!$AM$4:$AO$55,2,FALSE))*IF('14.05'!AX$4="是",'14.05'!$AY$4,'14.05'!$AY$3)</f>
        <v>200</v>
      </c>
      <c r="N46" s="4">
        <f>(VLOOKUP('14.05'!V46,'14.05'!$AM$4:$AO$55,2,FALSE))*IF('14.05'!AY$4="是",'14.05'!$AY$4,'14.05'!$AY$3)</f>
        <v>200</v>
      </c>
      <c r="O46" s="5">
        <f>(VLOOKUP('14.05'!W46,'14.05'!$AM$4:$AO$55,2,FALSE))*IF('14.05'!AZ$4="是",'14.05'!$AY$4,'14.05'!$AY$3)</f>
        <v>0</v>
      </c>
      <c r="P46" s="5">
        <f>(VLOOKUP('14.05'!X46,'14.05'!$AM$4:$AO$55,2,FALSE))*IF('14.05'!BA$4="是",'14.05'!$AY$4,'14.05'!$AY$3)</f>
        <v>0</v>
      </c>
      <c r="Q46" s="4">
        <f>(VLOOKUP('14.05'!Y46,'14.05'!$AM$4:$AO$55,2,FALSE))*IF('14.05'!BB$4="是",'14.05'!$AY$4,'14.05'!$AY$3)</f>
        <v>0</v>
      </c>
      <c r="R46" s="4">
        <f>(VLOOKUP('14.05'!Z46,'14.05'!$AM$4:$AO$55,2,FALSE))*IF('14.05'!BC$4="是",'14.05'!$AY$4,'14.05'!$AY$3)</f>
        <v>0</v>
      </c>
      <c r="S46" s="4">
        <f>(VLOOKUP('14.05'!AA46,'14.05'!$AM$4:$AO$55,2,FALSE))*IF('14.05'!BD$4="是",'14.05'!$AY$4,'14.05'!$AY$3)</f>
        <v>0</v>
      </c>
      <c r="T46" s="4">
        <f>(VLOOKUP('14.05'!AB46,'14.05'!$AM$4:$AO$55,2,FALSE))*IF('14.05'!BE$4="是",'14.05'!$AY$4,'14.05'!$AY$3)</f>
        <v>0</v>
      </c>
      <c r="U46" s="4">
        <f>(VLOOKUP('14.05'!AC46,'14.05'!$AM$4:$AO$55,2,FALSE))*IF('14.05'!BF$4="是",'14.05'!$AY$4,'14.05'!$AY$3)</f>
        <v>0</v>
      </c>
      <c r="V46" s="4">
        <f>(VLOOKUP('14.05'!AD46,'14.05'!$AM$4:$AO$55,2,FALSE))*IF('14.05'!BG$4="是",'14.05'!$AY$4,'14.05'!$AY$3)</f>
        <v>0</v>
      </c>
      <c r="W46" s="5">
        <f>(VLOOKUP('14.05'!AE46,'14.05'!$AM$4:$AO$55,2,FALSE))*IF('14.05'!BH$4="是",'14.05'!$AY$4,'14.05'!$AY$3)</f>
        <v>0</v>
      </c>
      <c r="X46" s="5">
        <f>(VLOOKUP('14.05'!AF46,'14.05'!$AM$4:$AO$55,2,FALSE))*IF('14.05'!BI$4="是",'14.05'!$AY$4,'14.05'!$AY$3)</f>
        <v>0</v>
      </c>
    </row>
    <row r="47" spans="1:24">
      <c r="A47" s="4">
        <f>(VLOOKUP('14.05'!I47,'14.05'!$AM$4:$AO$55,2,FALSE))*IF('14.05'!AK$4="是",'14.05'!$AY$4,'14.05'!$AY$3)</f>
        <v>50</v>
      </c>
      <c r="B47" s="4">
        <f>(VLOOKUP('14.05'!J47,'14.05'!$AM$4:$AO$55,2,FALSE))*IF('14.05'!AL$4="是",'14.05'!$AY$4,'14.05'!$AY$3)</f>
        <v>180</v>
      </c>
      <c r="C47" s="4">
        <f>(VLOOKUP('14.05'!K47,'14.05'!$AM$4:$AO$55,2,FALSE))*IF('14.05'!AM$4="是",'14.05'!$AY$4,'14.05'!$AY$3)</f>
        <v>180</v>
      </c>
      <c r="D47" s="4">
        <f>(VLOOKUP('14.05'!L47,'14.05'!$AM$4:$AO$55,2,FALSE))*IF('14.05'!AN$4="是",'14.05'!$AY$4,'14.05'!$AY$3)</f>
        <v>180</v>
      </c>
      <c r="E47" s="4">
        <f>(VLOOKUP('14.05'!M47,'14.05'!$AM$4:$AO$55,2,FALSE))*IF('14.05'!AO$4="是",'14.05'!$AY$4,'14.05'!$AY$3)</f>
        <v>180</v>
      </c>
      <c r="F47" s="4">
        <f>(VLOOKUP('14.05'!N47,'14.05'!$AM$4:$AO$55,2,FALSE))*IF('14.05'!AQ$4="是",'14.05'!$AY$4,'14.05'!$AY$3)</f>
        <v>180</v>
      </c>
      <c r="G47" s="5">
        <f>(VLOOKUP('14.05'!O47,'14.05'!$AM$4:$AO$55,2,FALSE))*IF('14.05'!AR$4="是",'14.05'!$AY$4,'14.05'!$AY$3)</f>
        <v>0</v>
      </c>
      <c r="H47" s="5">
        <f>(VLOOKUP('14.05'!P47,'14.05'!$AM$4:$AO$55,2,FALSE))*IF('14.05'!AS$4="是",'14.05'!$AY$4,'14.05'!$AY$3)</f>
        <v>0</v>
      </c>
      <c r="I47" s="4">
        <f>(VLOOKUP('14.05'!Q47,'14.05'!$AM$4:$AO$55,2,FALSE))*IF('14.05'!AT$4="是",'14.05'!$AY$4,'14.05'!$AY$3)</f>
        <v>200</v>
      </c>
      <c r="J47" s="4">
        <f>(VLOOKUP('14.05'!R47,'14.05'!$AM$4:$AO$55,2,FALSE))*IF('14.05'!AU$4="是",'14.05'!$AY$4,'14.05'!$AY$3)</f>
        <v>190</v>
      </c>
      <c r="K47" s="4">
        <f>(VLOOKUP('14.05'!S47,'14.05'!$AM$4:$AO$55,2,FALSE))*IF('14.05'!AV$4="是",'14.05'!$AY$4,'14.05'!$AY$3)</f>
        <v>190</v>
      </c>
      <c r="L47" s="4">
        <f>(VLOOKUP('14.05'!T47,'14.05'!$AM$4:$AO$55,2,FALSE))*IF('14.05'!AW$4="是",'14.05'!$AY$4,'14.05'!$AY$3)</f>
        <v>190</v>
      </c>
      <c r="M47" s="4">
        <f>(VLOOKUP('14.05'!U47,'14.05'!$AM$4:$AO$55,2,FALSE))*IF('14.05'!AX$4="是",'14.05'!$AY$4,'14.05'!$AY$3)</f>
        <v>190</v>
      </c>
      <c r="N47" s="4">
        <f>(VLOOKUP('14.05'!V47,'14.05'!$AM$4:$AO$55,2,FALSE))*IF('14.05'!AY$4="是",'14.05'!$AY$4,'14.05'!$AY$3)</f>
        <v>190</v>
      </c>
      <c r="O47" s="5">
        <f>(VLOOKUP('14.05'!W47,'14.05'!$AM$4:$AO$55,2,FALSE))*IF('14.05'!AZ$4="是",'14.05'!$AY$4,'14.05'!$AY$3)</f>
        <v>0</v>
      </c>
      <c r="P47" s="5">
        <f>(VLOOKUP('14.05'!X47,'14.05'!$AM$4:$AO$55,2,FALSE))*IF('14.05'!BA$4="是",'14.05'!$AY$4,'14.05'!$AY$3)</f>
        <v>0</v>
      </c>
      <c r="Q47" s="4">
        <f>(VLOOKUP('14.05'!Y47,'14.05'!$AM$4:$AO$55,2,FALSE))*IF('14.05'!BB$4="是",'14.05'!$AY$4,'14.05'!$AY$3)</f>
        <v>0</v>
      </c>
      <c r="R47" s="4">
        <f>(VLOOKUP('14.05'!Z47,'14.05'!$AM$4:$AO$55,2,FALSE))*IF('14.05'!BC$4="是",'14.05'!$AY$4,'14.05'!$AY$3)</f>
        <v>0</v>
      </c>
      <c r="S47" s="4">
        <f>(VLOOKUP('14.05'!AA47,'14.05'!$AM$4:$AO$55,2,FALSE))*IF('14.05'!BD$4="是",'14.05'!$AY$4,'14.05'!$AY$3)</f>
        <v>0</v>
      </c>
      <c r="T47" s="4">
        <f>(VLOOKUP('14.05'!AB47,'14.05'!$AM$4:$AO$55,2,FALSE))*IF('14.05'!BE$4="是",'14.05'!$AY$4,'14.05'!$AY$3)</f>
        <v>0</v>
      </c>
      <c r="U47" s="4">
        <f>(VLOOKUP('14.05'!AC47,'14.05'!$AM$4:$AO$55,2,FALSE))*IF('14.05'!BF$4="是",'14.05'!$AY$4,'14.05'!$AY$3)</f>
        <v>0</v>
      </c>
      <c r="V47" s="4">
        <f>(VLOOKUP('14.05'!AD47,'14.05'!$AM$4:$AO$55,2,FALSE))*IF('14.05'!BG$4="是",'14.05'!$AY$4,'14.05'!$AY$3)</f>
        <v>0</v>
      </c>
      <c r="W47" s="5">
        <f>(VLOOKUP('14.05'!AE47,'14.05'!$AM$4:$AO$55,2,FALSE))*IF('14.05'!BH$4="是",'14.05'!$AY$4,'14.05'!$AY$3)</f>
        <v>0</v>
      </c>
      <c r="X47" s="5">
        <f>(VLOOKUP('14.05'!AF47,'14.05'!$AM$4:$AO$55,2,FALSE))*IF('14.05'!BI$4="是",'14.05'!$AY$4,'14.05'!$AY$3)</f>
        <v>0</v>
      </c>
    </row>
    <row r="48" spans="1:24">
      <c r="A48" s="4">
        <f>(VLOOKUP('14.05'!I48,'14.05'!$AM$4:$AO$55,2,FALSE))*IF('14.05'!AK$4="是",'14.05'!$AY$4,'14.05'!$AY$3)</f>
        <v>180</v>
      </c>
      <c r="B48" s="4">
        <f>(VLOOKUP('14.05'!J48,'14.05'!$AM$4:$AO$55,2,FALSE))*IF('14.05'!AL$4="是",'14.05'!$AY$4,'14.05'!$AY$3)</f>
        <v>180</v>
      </c>
      <c r="C48" s="4">
        <f>(VLOOKUP('14.05'!K48,'14.05'!$AM$4:$AO$55,2,FALSE))*IF('14.05'!AM$4="是",'14.05'!$AY$4,'14.05'!$AY$3)</f>
        <v>180</v>
      </c>
      <c r="D48" s="4">
        <f>(VLOOKUP('14.05'!L48,'14.05'!$AM$4:$AO$55,2,FALSE))*IF('14.05'!AN$4="是",'14.05'!$AY$4,'14.05'!$AY$3)</f>
        <v>180</v>
      </c>
      <c r="E48" s="4">
        <f>(VLOOKUP('14.05'!M48,'14.05'!$AM$4:$AO$55,2,FALSE))*IF('14.05'!AO$4="是",'14.05'!$AY$4,'14.05'!$AY$3)</f>
        <v>180</v>
      </c>
      <c r="F48" s="4">
        <f>(VLOOKUP('14.05'!N48,'14.05'!$AM$4:$AO$55,2,FALSE))*IF('14.05'!AQ$4="是",'14.05'!$AY$4,'14.05'!$AY$3)</f>
        <v>180</v>
      </c>
      <c r="G48" s="5">
        <f>(VLOOKUP('14.05'!O48,'14.05'!$AM$4:$AO$55,2,FALSE))*IF('14.05'!AR$4="是",'14.05'!$AY$4,'14.05'!$AY$3)</f>
        <v>0</v>
      </c>
      <c r="H48" s="5">
        <f>(VLOOKUP('14.05'!P48,'14.05'!$AM$4:$AO$55,2,FALSE))*IF('14.05'!AS$4="是",'14.05'!$AY$4,'14.05'!$AY$3)</f>
        <v>0</v>
      </c>
      <c r="I48" s="4">
        <f>(VLOOKUP('14.05'!Q48,'14.05'!$AM$4:$AO$55,2,FALSE))*IF('14.05'!AT$4="是",'14.05'!$AY$4,'14.05'!$AY$3)</f>
        <v>190</v>
      </c>
      <c r="J48" s="4">
        <f>(VLOOKUP('14.05'!R48,'14.05'!$AM$4:$AO$55,2,FALSE))*IF('14.05'!AU$4="是",'14.05'!$AY$4,'14.05'!$AY$3)</f>
        <v>190</v>
      </c>
      <c r="K48" s="4">
        <f>(VLOOKUP('14.05'!S48,'14.05'!$AM$4:$AO$55,2,FALSE))*IF('14.05'!AV$4="是",'14.05'!$AY$4,'14.05'!$AY$3)</f>
        <v>190</v>
      </c>
      <c r="L48" s="4">
        <f>(VLOOKUP('14.05'!T48,'14.05'!$AM$4:$AO$55,2,FALSE))*IF('14.05'!AW$4="是",'14.05'!$AY$4,'14.05'!$AY$3)</f>
        <v>190</v>
      </c>
      <c r="M48" s="4">
        <f>(VLOOKUP('14.05'!U48,'14.05'!$AM$4:$AO$55,2,FALSE))*IF('14.05'!AX$4="是",'14.05'!$AY$4,'14.05'!$AY$3)</f>
        <v>50</v>
      </c>
      <c r="N48" s="4">
        <f>(VLOOKUP('14.05'!V48,'14.05'!$AM$4:$AO$55,2,FALSE))*IF('14.05'!AY$4="是",'14.05'!$AY$4,'14.05'!$AY$3)</f>
        <v>190</v>
      </c>
      <c r="O48" s="5">
        <f>(VLOOKUP('14.05'!W48,'14.05'!$AM$4:$AO$55,2,FALSE))*IF('14.05'!AZ$4="是",'14.05'!$AY$4,'14.05'!$AY$3)</f>
        <v>0</v>
      </c>
      <c r="P48" s="5">
        <f>(VLOOKUP('14.05'!X48,'14.05'!$AM$4:$AO$55,2,FALSE))*IF('14.05'!BA$4="是",'14.05'!$AY$4,'14.05'!$AY$3)</f>
        <v>0</v>
      </c>
      <c r="Q48" s="4">
        <f>(VLOOKUP('14.05'!Y48,'14.05'!$AM$4:$AO$55,2,FALSE))*IF('14.05'!BB$4="是",'14.05'!$AY$4,'14.05'!$AY$3)</f>
        <v>0</v>
      </c>
      <c r="R48" s="4">
        <f>(VLOOKUP('14.05'!Z48,'14.05'!$AM$4:$AO$55,2,FALSE))*IF('14.05'!BC$4="是",'14.05'!$AY$4,'14.05'!$AY$3)</f>
        <v>0</v>
      </c>
      <c r="S48" s="4">
        <f>(VLOOKUP('14.05'!AA48,'14.05'!$AM$4:$AO$55,2,FALSE))*IF('14.05'!BD$4="是",'14.05'!$AY$4,'14.05'!$AY$3)</f>
        <v>0</v>
      </c>
      <c r="T48" s="4">
        <f>(VLOOKUP('14.05'!AB48,'14.05'!$AM$4:$AO$55,2,FALSE))*IF('14.05'!BE$4="是",'14.05'!$AY$4,'14.05'!$AY$3)</f>
        <v>0</v>
      </c>
      <c r="U48" s="4">
        <f>(VLOOKUP('14.05'!AC48,'14.05'!$AM$4:$AO$55,2,FALSE))*IF('14.05'!BF$4="是",'14.05'!$AY$4,'14.05'!$AY$3)</f>
        <v>0</v>
      </c>
      <c r="V48" s="4">
        <f>(VLOOKUP('14.05'!AD48,'14.05'!$AM$4:$AO$55,2,FALSE))*IF('14.05'!BG$4="是",'14.05'!$AY$4,'14.05'!$AY$3)</f>
        <v>0</v>
      </c>
      <c r="W48" s="5">
        <f>(VLOOKUP('14.05'!AE48,'14.05'!$AM$4:$AO$55,2,FALSE))*IF('14.05'!BH$4="是",'14.05'!$AY$4,'14.05'!$AY$3)</f>
        <v>0</v>
      </c>
      <c r="X48" s="5">
        <f>(VLOOKUP('14.05'!AF48,'14.05'!$AM$4:$AO$55,2,FALSE))*IF('14.05'!BI$4="是",'14.05'!$AY$4,'14.05'!$AY$3)</f>
        <v>0</v>
      </c>
    </row>
    <row r="49" spans="1:24">
      <c r="A49" s="4">
        <f>(VLOOKUP('14.05'!I49,'14.05'!$AM$4:$AO$55,2,FALSE))*IF('14.05'!AK$4="是",'14.05'!$AY$4,'14.05'!$AY$3)</f>
        <v>180</v>
      </c>
      <c r="B49" s="4">
        <f>(VLOOKUP('14.05'!J49,'14.05'!$AM$4:$AO$55,2,FALSE))*IF('14.05'!AL$4="是",'14.05'!$AY$4,'14.05'!$AY$3)</f>
        <v>180</v>
      </c>
      <c r="C49" s="4">
        <f>(VLOOKUP('14.05'!K49,'14.05'!$AM$4:$AO$55,2,FALSE))*IF('14.05'!AM$4="是",'14.05'!$AY$4,'14.05'!$AY$3)</f>
        <v>180</v>
      </c>
      <c r="D49" s="4">
        <f>(VLOOKUP('14.05'!L49,'14.05'!$AM$4:$AO$55,2,FALSE))*IF('14.05'!AN$4="是",'14.05'!$AY$4,'14.05'!$AY$3)</f>
        <v>180</v>
      </c>
      <c r="E49" s="4">
        <f>(VLOOKUP('14.05'!M49,'14.05'!$AM$4:$AO$55,2,FALSE))*IF('14.05'!AO$4="是",'14.05'!$AY$4,'14.05'!$AY$3)</f>
        <v>180</v>
      </c>
      <c r="F49" s="4">
        <f>(VLOOKUP('14.05'!N49,'14.05'!$AM$4:$AO$55,2,FALSE))*IF('14.05'!AQ$4="是",'14.05'!$AY$4,'14.05'!$AY$3)</f>
        <v>180</v>
      </c>
      <c r="G49" s="5">
        <f>(VLOOKUP('14.05'!O49,'14.05'!$AM$4:$AO$55,2,FALSE))*IF('14.05'!AR$4="是",'14.05'!$AY$4,'14.05'!$AY$3)</f>
        <v>0</v>
      </c>
      <c r="H49" s="5">
        <f>(VLOOKUP('14.05'!P49,'14.05'!$AM$4:$AO$55,2,FALSE))*IF('14.05'!AS$4="是",'14.05'!$AY$4,'14.05'!$AY$3)</f>
        <v>0</v>
      </c>
      <c r="I49" s="4">
        <f>(VLOOKUP('14.05'!Q49,'14.05'!$AM$4:$AO$55,2,FALSE))*IF('14.05'!AT$4="是",'14.05'!$AY$4,'14.05'!$AY$3)</f>
        <v>190</v>
      </c>
      <c r="J49" s="4">
        <f>(VLOOKUP('14.05'!R49,'14.05'!$AM$4:$AO$55,2,FALSE))*IF('14.05'!AU$4="是",'14.05'!$AY$4,'14.05'!$AY$3)</f>
        <v>190</v>
      </c>
      <c r="K49" s="4">
        <f>(VLOOKUP('14.05'!S49,'14.05'!$AM$4:$AO$55,2,FALSE))*IF('14.05'!AV$4="是",'14.05'!$AY$4,'14.05'!$AY$3)</f>
        <v>190</v>
      </c>
      <c r="L49" s="4">
        <f>(VLOOKUP('14.05'!T49,'14.05'!$AM$4:$AO$55,2,FALSE))*IF('14.05'!AW$4="是",'14.05'!$AY$4,'14.05'!$AY$3)</f>
        <v>190</v>
      </c>
      <c r="M49" s="4">
        <f>(VLOOKUP('14.05'!U49,'14.05'!$AM$4:$AO$55,2,FALSE))*IF('14.05'!AX$4="是",'14.05'!$AY$4,'14.05'!$AY$3)</f>
        <v>0</v>
      </c>
      <c r="N49" s="4">
        <f>(VLOOKUP('14.05'!V49,'14.05'!$AM$4:$AO$55,2,FALSE))*IF('14.05'!AY$4="是",'14.05'!$AY$4,'14.05'!$AY$3)</f>
        <v>0</v>
      </c>
      <c r="O49" s="5">
        <f>(VLOOKUP('14.05'!W49,'14.05'!$AM$4:$AO$55,2,FALSE))*IF('14.05'!AZ$4="是",'14.05'!$AY$4,'14.05'!$AY$3)</f>
        <v>0</v>
      </c>
      <c r="P49" s="5">
        <f>(VLOOKUP('14.05'!X49,'14.05'!$AM$4:$AO$55,2,FALSE))*IF('14.05'!BA$4="是",'14.05'!$AY$4,'14.05'!$AY$3)</f>
        <v>0</v>
      </c>
      <c r="Q49" s="4">
        <f>(VLOOKUP('14.05'!Y49,'14.05'!$AM$4:$AO$55,2,FALSE))*IF('14.05'!BB$4="是",'14.05'!$AY$4,'14.05'!$AY$3)</f>
        <v>0</v>
      </c>
      <c r="R49" s="4">
        <f>(VLOOKUP('14.05'!Z49,'14.05'!$AM$4:$AO$55,2,FALSE))*IF('14.05'!BC$4="是",'14.05'!$AY$4,'14.05'!$AY$3)</f>
        <v>0</v>
      </c>
      <c r="S49" s="4">
        <f>(VLOOKUP('14.05'!AA49,'14.05'!$AM$4:$AO$55,2,FALSE))*IF('14.05'!BD$4="是",'14.05'!$AY$4,'14.05'!$AY$3)</f>
        <v>0</v>
      </c>
      <c r="T49" s="4">
        <f>(VLOOKUP('14.05'!AB49,'14.05'!$AM$4:$AO$55,2,FALSE))*IF('14.05'!BE$4="是",'14.05'!$AY$4,'14.05'!$AY$3)</f>
        <v>0</v>
      </c>
      <c r="U49" s="4">
        <f>(VLOOKUP('14.05'!AC49,'14.05'!$AM$4:$AO$55,2,FALSE))*IF('14.05'!BF$4="是",'14.05'!$AY$4,'14.05'!$AY$3)</f>
        <v>0</v>
      </c>
      <c r="V49" s="4">
        <f>(VLOOKUP('14.05'!AD49,'14.05'!$AM$4:$AO$55,2,FALSE))*IF('14.05'!BG$4="是",'14.05'!$AY$4,'14.05'!$AY$3)</f>
        <v>0</v>
      </c>
      <c r="W49" s="5">
        <f>(VLOOKUP('14.05'!AE49,'14.05'!$AM$4:$AO$55,2,FALSE))*IF('14.05'!BH$4="是",'14.05'!$AY$4,'14.05'!$AY$3)</f>
        <v>0</v>
      </c>
      <c r="X49" s="5">
        <f>(VLOOKUP('14.05'!AF49,'14.05'!$AM$4:$AO$55,2,FALSE))*IF('14.05'!BI$4="是",'14.05'!$AY$4,'14.05'!$AY$3)</f>
        <v>0</v>
      </c>
    </row>
    <row r="50" spans="1:24">
      <c r="A50" s="4">
        <f>(VLOOKUP('14.05'!I50,'14.05'!$AM$4:$AO$55,2,FALSE))*IF('14.05'!AK$4="是",'14.05'!$AY$4,'14.05'!$AY$3)</f>
        <v>180</v>
      </c>
      <c r="B50" s="4">
        <f>(VLOOKUP('14.05'!J50,'14.05'!$AM$4:$AO$55,2,FALSE))*IF('14.05'!AL$4="是",'14.05'!$AY$4,'14.05'!$AY$3)</f>
        <v>180</v>
      </c>
      <c r="C50" s="4">
        <f>(VLOOKUP('14.05'!K50,'14.05'!$AM$4:$AO$55,2,FALSE))*IF('14.05'!AM$4="是",'14.05'!$AY$4,'14.05'!$AY$3)</f>
        <v>-200</v>
      </c>
      <c r="D50" s="4">
        <f>(VLOOKUP('14.05'!L50,'14.05'!$AM$4:$AO$55,2,FALSE))*IF('14.05'!AN$4="是",'14.05'!$AY$4,'14.05'!$AY$3)</f>
        <v>180</v>
      </c>
      <c r="E50" s="4">
        <f>(VLOOKUP('14.05'!M50,'14.05'!$AM$4:$AO$55,2,FALSE))*IF('14.05'!AO$4="是",'14.05'!$AY$4,'14.05'!$AY$3)</f>
        <v>180</v>
      </c>
      <c r="F50" s="4">
        <f>(VLOOKUP('14.05'!N50,'14.05'!$AM$4:$AO$55,2,FALSE))*IF('14.05'!AQ$4="是",'14.05'!$AY$4,'14.05'!$AY$3)</f>
        <v>180</v>
      </c>
      <c r="G50" s="5">
        <f>(VLOOKUP('14.05'!O50,'14.05'!$AM$4:$AO$55,2,FALSE))*IF('14.05'!AR$4="是",'14.05'!$AY$4,'14.05'!$AY$3)</f>
        <v>0</v>
      </c>
      <c r="H50" s="5">
        <f>(VLOOKUP('14.05'!P50,'14.05'!$AM$4:$AO$55,2,FALSE))*IF('14.05'!AS$4="是",'14.05'!$AY$4,'14.05'!$AY$3)</f>
        <v>0</v>
      </c>
      <c r="I50" s="4">
        <f>(VLOOKUP('14.05'!Q50,'14.05'!$AM$4:$AO$55,2,FALSE))*IF('14.05'!AT$4="是",'14.05'!$AY$4,'14.05'!$AY$3)</f>
        <v>190</v>
      </c>
      <c r="J50" s="4">
        <f>(VLOOKUP('14.05'!R50,'14.05'!$AM$4:$AO$55,2,FALSE))*IF('14.05'!AU$4="是",'14.05'!$AY$4,'14.05'!$AY$3)</f>
        <v>190</v>
      </c>
      <c r="K50" s="4">
        <f>(VLOOKUP('14.05'!S50,'14.05'!$AM$4:$AO$55,2,FALSE))*IF('14.05'!AV$4="是",'14.05'!$AY$4,'14.05'!$AY$3)</f>
        <v>190</v>
      </c>
      <c r="L50" s="4">
        <f>(VLOOKUP('14.05'!T50,'14.05'!$AM$4:$AO$55,2,FALSE))*IF('14.05'!AW$4="是",'14.05'!$AY$4,'14.05'!$AY$3)</f>
        <v>150</v>
      </c>
      <c r="M50" s="4">
        <f>(VLOOKUP('14.05'!U50,'14.05'!$AM$4:$AO$55,2,FALSE))*IF('14.05'!AX$4="是",'14.05'!$AY$4,'14.05'!$AY$3)</f>
        <v>190</v>
      </c>
      <c r="N50" s="4">
        <f>(VLOOKUP('14.05'!V50,'14.05'!$AM$4:$AO$55,2,FALSE))*IF('14.05'!AY$4="是",'14.05'!$AY$4,'14.05'!$AY$3)</f>
        <v>190</v>
      </c>
      <c r="O50" s="5">
        <f>(VLOOKUP('14.05'!W50,'14.05'!$AM$4:$AO$55,2,FALSE))*IF('14.05'!AZ$4="是",'14.05'!$AY$4,'14.05'!$AY$3)</f>
        <v>0</v>
      </c>
      <c r="P50" s="5">
        <f>(VLOOKUP('14.05'!X50,'14.05'!$AM$4:$AO$55,2,FALSE))*IF('14.05'!BA$4="是",'14.05'!$AY$4,'14.05'!$AY$3)</f>
        <v>0</v>
      </c>
      <c r="Q50" s="4">
        <f>(VLOOKUP('14.05'!Y50,'14.05'!$AM$4:$AO$55,2,FALSE))*IF('14.05'!BB$4="是",'14.05'!$AY$4,'14.05'!$AY$3)</f>
        <v>0</v>
      </c>
      <c r="R50" s="4">
        <f>(VLOOKUP('14.05'!Z50,'14.05'!$AM$4:$AO$55,2,FALSE))*IF('14.05'!BC$4="是",'14.05'!$AY$4,'14.05'!$AY$3)</f>
        <v>0</v>
      </c>
      <c r="S50" s="4">
        <f>(VLOOKUP('14.05'!AA50,'14.05'!$AM$4:$AO$55,2,FALSE))*IF('14.05'!BD$4="是",'14.05'!$AY$4,'14.05'!$AY$3)</f>
        <v>0</v>
      </c>
      <c r="T50" s="4">
        <f>(VLOOKUP('14.05'!AB50,'14.05'!$AM$4:$AO$55,2,FALSE))*IF('14.05'!BE$4="是",'14.05'!$AY$4,'14.05'!$AY$3)</f>
        <v>0</v>
      </c>
      <c r="U50" s="4">
        <f>(VLOOKUP('14.05'!AC50,'14.05'!$AM$4:$AO$55,2,FALSE))*IF('14.05'!BF$4="是",'14.05'!$AY$4,'14.05'!$AY$3)</f>
        <v>0</v>
      </c>
      <c r="V50" s="4">
        <f>(VLOOKUP('14.05'!AD50,'14.05'!$AM$4:$AO$55,2,FALSE))*IF('14.05'!BG$4="是",'14.05'!$AY$4,'14.05'!$AY$3)</f>
        <v>0</v>
      </c>
      <c r="W50" s="5">
        <f>(VLOOKUP('14.05'!AE50,'14.05'!$AM$4:$AO$55,2,FALSE))*IF('14.05'!BH$4="是",'14.05'!$AY$4,'14.05'!$AY$3)</f>
        <v>0</v>
      </c>
      <c r="X50" s="5">
        <f>(VLOOKUP('14.05'!AF50,'14.05'!$AM$4:$AO$55,2,FALSE))*IF('14.05'!BI$4="是",'14.05'!$AY$4,'14.05'!$AY$3)</f>
        <v>0</v>
      </c>
    </row>
    <row r="51" spans="1:24">
      <c r="A51" s="4">
        <f>(VLOOKUP('14.05'!I51,'14.05'!$AM$4:$AO$55,2,FALSE))*IF('14.05'!AK$4="是",'14.05'!$AY$4,'14.05'!$AY$3)</f>
        <v>190</v>
      </c>
      <c r="B51" s="4">
        <f>(VLOOKUP('14.05'!J51,'14.05'!$AM$4:$AO$55,2,FALSE))*IF('14.05'!AL$4="是",'14.05'!$AY$4,'14.05'!$AY$3)</f>
        <v>190</v>
      </c>
      <c r="C51" s="4">
        <f>(VLOOKUP('14.05'!K51,'14.05'!$AM$4:$AO$55,2,FALSE))*IF('14.05'!AM$4="是",'14.05'!$AY$4,'14.05'!$AY$3)</f>
        <v>190</v>
      </c>
      <c r="D51" s="4">
        <f>(VLOOKUP('14.05'!L51,'14.05'!$AM$4:$AO$55,2,FALSE))*IF('14.05'!AN$4="是",'14.05'!$AY$4,'14.05'!$AY$3)</f>
        <v>190</v>
      </c>
      <c r="E51" s="4">
        <f>(VLOOKUP('14.05'!M51,'14.05'!$AM$4:$AO$55,2,FALSE))*IF('14.05'!AO$4="是",'14.05'!$AY$4,'14.05'!$AY$3)</f>
        <v>190</v>
      </c>
      <c r="F51" s="4">
        <f>(VLOOKUP('14.05'!N51,'14.05'!$AM$4:$AO$55,2,FALSE))*IF('14.05'!AQ$4="是",'14.05'!$AY$4,'14.05'!$AY$3)</f>
        <v>190</v>
      </c>
      <c r="G51" s="5">
        <f>(VLOOKUP('14.05'!O51,'14.05'!$AM$4:$AO$55,2,FALSE))*IF('14.05'!AR$4="是",'14.05'!$AY$4,'14.05'!$AY$3)</f>
        <v>0</v>
      </c>
      <c r="H51" s="5">
        <f>(VLOOKUP('14.05'!P51,'14.05'!$AM$4:$AO$55,2,FALSE))*IF('14.05'!AS$4="是",'14.05'!$AY$4,'14.05'!$AY$3)</f>
        <v>0</v>
      </c>
      <c r="I51" s="4">
        <f>(VLOOKUP('14.05'!Q51,'14.05'!$AM$4:$AO$55,2,FALSE))*IF('14.05'!AT$4="是",'14.05'!$AY$4,'14.05'!$AY$3)</f>
        <v>190</v>
      </c>
      <c r="J51" s="4">
        <f>(VLOOKUP('14.05'!R51,'14.05'!$AM$4:$AO$55,2,FALSE))*IF('14.05'!AU$4="是",'14.05'!$AY$4,'14.05'!$AY$3)</f>
        <v>190</v>
      </c>
      <c r="K51" s="4">
        <f>(VLOOKUP('14.05'!S51,'14.05'!$AM$4:$AO$55,2,FALSE))*IF('14.05'!AV$4="是",'14.05'!$AY$4,'14.05'!$AY$3)</f>
        <v>190</v>
      </c>
      <c r="L51" s="4">
        <f>(VLOOKUP('14.05'!T51,'14.05'!$AM$4:$AO$55,2,FALSE))*IF('14.05'!AW$4="是",'14.05'!$AY$4,'14.05'!$AY$3)</f>
        <v>190</v>
      </c>
      <c r="M51" s="4">
        <f>(VLOOKUP('14.05'!U51,'14.05'!$AM$4:$AO$55,2,FALSE))*IF('14.05'!AX$4="是",'14.05'!$AY$4,'14.05'!$AY$3)</f>
        <v>190</v>
      </c>
      <c r="N51" s="4">
        <f>(VLOOKUP('14.05'!V51,'14.05'!$AM$4:$AO$55,2,FALSE))*IF('14.05'!AY$4="是",'14.05'!$AY$4,'14.05'!$AY$3)</f>
        <v>190</v>
      </c>
      <c r="O51" s="5">
        <f>(VLOOKUP('14.05'!W51,'14.05'!$AM$4:$AO$55,2,FALSE))*IF('14.05'!AZ$4="是",'14.05'!$AY$4,'14.05'!$AY$3)</f>
        <v>0</v>
      </c>
      <c r="P51" s="5">
        <f>(VLOOKUP('14.05'!X51,'14.05'!$AM$4:$AO$55,2,FALSE))*IF('14.05'!BA$4="是",'14.05'!$AY$4,'14.05'!$AY$3)</f>
        <v>0</v>
      </c>
      <c r="Q51" s="4">
        <f>(VLOOKUP('14.05'!Y51,'14.05'!$AM$4:$AO$55,2,FALSE))*IF('14.05'!BB$4="是",'14.05'!$AY$4,'14.05'!$AY$3)</f>
        <v>0</v>
      </c>
      <c r="R51" s="4">
        <f>(VLOOKUP('14.05'!Z51,'14.05'!$AM$4:$AO$55,2,FALSE))*IF('14.05'!BC$4="是",'14.05'!$AY$4,'14.05'!$AY$3)</f>
        <v>0</v>
      </c>
      <c r="S51" s="4">
        <f>(VLOOKUP('14.05'!AA51,'14.05'!$AM$4:$AO$55,2,FALSE))*IF('14.05'!BD$4="是",'14.05'!$AY$4,'14.05'!$AY$3)</f>
        <v>0</v>
      </c>
      <c r="T51" s="4">
        <f>(VLOOKUP('14.05'!AB51,'14.05'!$AM$4:$AO$55,2,FALSE))*IF('14.05'!BE$4="是",'14.05'!$AY$4,'14.05'!$AY$3)</f>
        <v>0</v>
      </c>
      <c r="U51" s="4">
        <f>(VLOOKUP('14.05'!AC51,'14.05'!$AM$4:$AO$55,2,FALSE))*IF('14.05'!BF$4="是",'14.05'!$AY$4,'14.05'!$AY$3)</f>
        <v>0</v>
      </c>
      <c r="V51" s="4">
        <f>(VLOOKUP('14.05'!AD51,'14.05'!$AM$4:$AO$55,2,FALSE))*IF('14.05'!BG$4="是",'14.05'!$AY$4,'14.05'!$AY$3)</f>
        <v>0</v>
      </c>
      <c r="W51" s="5">
        <f>(VLOOKUP('14.05'!AE51,'14.05'!$AM$4:$AO$55,2,FALSE))*IF('14.05'!BH$4="是",'14.05'!$AY$4,'14.05'!$AY$3)</f>
        <v>0</v>
      </c>
      <c r="X51" s="5">
        <f>(VLOOKUP('14.05'!AF51,'14.05'!$AM$4:$AO$55,2,FALSE))*IF('14.05'!BI$4="是",'14.05'!$AY$4,'14.05'!$AY$3)</f>
        <v>0</v>
      </c>
    </row>
    <row r="52" spans="1:24">
      <c r="A52" s="4">
        <f>(VLOOKUP('14.05'!I52,'14.05'!$AM$4:$AO$55,2,FALSE))*IF('14.05'!AK$4="是",'14.05'!$AY$4,'14.05'!$AY$3)</f>
        <v>190</v>
      </c>
      <c r="B52" s="4">
        <f>(VLOOKUP('14.05'!J52,'14.05'!$AM$4:$AO$55,2,FALSE))*IF('14.05'!AL$4="是",'14.05'!$AY$4,'14.05'!$AY$3)</f>
        <v>190</v>
      </c>
      <c r="C52" s="4">
        <f>(VLOOKUP('14.05'!K52,'14.05'!$AM$4:$AO$55,2,FALSE))*IF('14.05'!AM$4="是",'14.05'!$AY$4,'14.05'!$AY$3)</f>
        <v>190</v>
      </c>
      <c r="D52" s="4">
        <f>(VLOOKUP('14.05'!L52,'14.05'!$AM$4:$AO$55,2,FALSE))*IF('14.05'!AN$4="是",'14.05'!$AY$4,'14.05'!$AY$3)</f>
        <v>190</v>
      </c>
      <c r="E52" s="4">
        <f>(VLOOKUP('14.05'!M52,'14.05'!$AM$4:$AO$55,2,FALSE))*IF('14.05'!AO$4="是",'14.05'!$AY$4,'14.05'!$AY$3)</f>
        <v>190</v>
      </c>
      <c r="F52" s="4">
        <f>(VLOOKUP('14.05'!N52,'14.05'!$AM$4:$AO$55,2,FALSE))*IF('14.05'!AQ$4="是",'14.05'!$AY$4,'14.05'!$AY$3)</f>
        <v>190</v>
      </c>
      <c r="G52" s="5">
        <f>(VLOOKUP('14.05'!O52,'14.05'!$AM$4:$AO$55,2,FALSE))*IF('14.05'!AR$4="是",'14.05'!$AY$4,'14.05'!$AY$3)</f>
        <v>0</v>
      </c>
      <c r="H52" s="5">
        <f>(VLOOKUP('14.05'!P52,'14.05'!$AM$4:$AO$55,2,FALSE))*IF('14.05'!AS$4="是",'14.05'!$AY$4,'14.05'!$AY$3)</f>
        <v>0</v>
      </c>
      <c r="I52" s="4">
        <f>(VLOOKUP('14.05'!Q52,'14.05'!$AM$4:$AO$55,2,FALSE))*IF('14.05'!AT$4="是",'14.05'!$AY$4,'14.05'!$AY$3)</f>
        <v>190</v>
      </c>
      <c r="J52" s="4">
        <f>(VLOOKUP('14.05'!R52,'14.05'!$AM$4:$AO$55,2,FALSE))*IF('14.05'!AU$4="是",'14.05'!$AY$4,'14.05'!$AY$3)</f>
        <v>190</v>
      </c>
      <c r="K52" s="4">
        <f>(VLOOKUP('14.05'!S52,'14.05'!$AM$4:$AO$55,2,FALSE))*IF('14.05'!AV$4="是",'14.05'!$AY$4,'14.05'!$AY$3)</f>
        <v>190</v>
      </c>
      <c r="L52" s="4">
        <f>(VLOOKUP('14.05'!T52,'14.05'!$AM$4:$AO$55,2,FALSE))*IF('14.05'!AW$4="是",'14.05'!$AY$4,'14.05'!$AY$3)</f>
        <v>190</v>
      </c>
      <c r="M52" s="4">
        <f>(VLOOKUP('14.05'!U52,'14.05'!$AM$4:$AO$55,2,FALSE))*IF('14.05'!AX$4="是",'14.05'!$AY$4,'14.05'!$AY$3)</f>
        <v>190</v>
      </c>
      <c r="N52" s="4">
        <f>(VLOOKUP('14.05'!V52,'14.05'!$AM$4:$AO$55,2,FALSE))*IF('14.05'!AY$4="是",'14.05'!$AY$4,'14.05'!$AY$3)</f>
        <v>0</v>
      </c>
      <c r="O52" s="5">
        <f>(VLOOKUP('14.05'!W52,'14.05'!$AM$4:$AO$55,2,FALSE))*IF('14.05'!AZ$4="是",'14.05'!$AY$4,'14.05'!$AY$3)</f>
        <v>0</v>
      </c>
      <c r="P52" s="5">
        <f>(VLOOKUP('14.05'!X52,'14.05'!$AM$4:$AO$55,2,FALSE))*IF('14.05'!BA$4="是",'14.05'!$AY$4,'14.05'!$AY$3)</f>
        <v>0</v>
      </c>
      <c r="Q52" s="4">
        <f>(VLOOKUP('14.05'!Y52,'14.05'!$AM$4:$AO$55,2,FALSE))*IF('14.05'!BB$4="是",'14.05'!$AY$4,'14.05'!$AY$3)</f>
        <v>0</v>
      </c>
      <c r="R52" s="4">
        <f>(VLOOKUP('14.05'!Z52,'14.05'!$AM$4:$AO$55,2,FALSE))*IF('14.05'!BC$4="是",'14.05'!$AY$4,'14.05'!$AY$3)</f>
        <v>0</v>
      </c>
      <c r="S52" s="4">
        <f>(VLOOKUP('14.05'!AA52,'14.05'!$AM$4:$AO$55,2,FALSE))*IF('14.05'!BD$4="是",'14.05'!$AY$4,'14.05'!$AY$3)</f>
        <v>0</v>
      </c>
      <c r="T52" s="4">
        <f>(VLOOKUP('14.05'!AB52,'14.05'!$AM$4:$AO$55,2,FALSE))*IF('14.05'!BE$4="是",'14.05'!$AY$4,'14.05'!$AY$3)</f>
        <v>0</v>
      </c>
      <c r="U52" s="4">
        <f>(VLOOKUP('14.05'!AC52,'14.05'!$AM$4:$AO$55,2,FALSE))*IF('14.05'!BF$4="是",'14.05'!$AY$4,'14.05'!$AY$3)</f>
        <v>0</v>
      </c>
      <c r="V52" s="4">
        <f>(VLOOKUP('14.05'!AD52,'14.05'!$AM$4:$AO$55,2,FALSE))*IF('14.05'!BG$4="是",'14.05'!$AY$4,'14.05'!$AY$3)</f>
        <v>0</v>
      </c>
      <c r="W52" s="5">
        <f>(VLOOKUP('14.05'!AE52,'14.05'!$AM$4:$AO$55,2,FALSE))*IF('14.05'!BH$4="是",'14.05'!$AY$4,'14.05'!$AY$3)</f>
        <v>0</v>
      </c>
      <c r="X52" s="5">
        <f>(VLOOKUP('14.05'!AF52,'14.05'!$AM$4:$AO$55,2,FALSE))*IF('14.05'!BI$4="是",'14.05'!$AY$4,'14.05'!$AY$3)</f>
        <v>0</v>
      </c>
    </row>
    <row r="53" spans="1:24">
      <c r="A53" s="4">
        <f>(VLOOKUP('14.05'!I53,'14.05'!$AM$4:$AO$55,2,FALSE))*IF('14.05'!AK$4="是",'14.05'!$AY$4,'14.05'!$AY$3)</f>
        <v>190</v>
      </c>
      <c r="B53" s="4">
        <f>(VLOOKUP('14.05'!J53,'14.05'!$AM$4:$AO$55,2,FALSE))*IF('14.05'!AL$4="是",'14.05'!$AY$4,'14.05'!$AY$3)</f>
        <v>190</v>
      </c>
      <c r="C53" s="4">
        <f>(VLOOKUP('14.05'!K53,'14.05'!$AM$4:$AO$55,2,FALSE))*IF('14.05'!AM$4="是",'14.05'!$AY$4,'14.05'!$AY$3)</f>
        <v>190</v>
      </c>
      <c r="D53" s="4">
        <f>(VLOOKUP('14.05'!L53,'14.05'!$AM$4:$AO$55,2,FALSE))*IF('14.05'!AN$4="是",'14.05'!$AY$4,'14.05'!$AY$3)</f>
        <v>190</v>
      </c>
      <c r="E53" s="4">
        <f>(VLOOKUP('14.05'!M53,'14.05'!$AM$4:$AO$55,2,FALSE))*IF('14.05'!AO$4="是",'14.05'!$AY$4,'14.05'!$AY$3)</f>
        <v>190</v>
      </c>
      <c r="F53" s="4">
        <f>(VLOOKUP('14.05'!N53,'14.05'!$AM$4:$AO$55,2,FALSE))*IF('14.05'!AQ$4="是",'14.05'!$AY$4,'14.05'!$AY$3)</f>
        <v>190</v>
      </c>
      <c r="G53" s="5">
        <f>(VLOOKUP('14.05'!O53,'14.05'!$AM$4:$AO$55,2,FALSE))*IF('14.05'!AR$4="是",'14.05'!$AY$4,'14.05'!$AY$3)</f>
        <v>0</v>
      </c>
      <c r="H53" s="5">
        <f>(VLOOKUP('14.05'!P53,'14.05'!$AM$4:$AO$55,2,FALSE))*IF('14.05'!AS$4="是",'14.05'!$AY$4,'14.05'!$AY$3)</f>
        <v>0</v>
      </c>
      <c r="I53" s="4">
        <f>(VLOOKUP('14.05'!Q53,'14.05'!$AM$4:$AO$55,2,FALSE))*IF('14.05'!AT$4="是",'14.05'!$AY$4,'14.05'!$AY$3)</f>
        <v>190</v>
      </c>
      <c r="J53" s="4">
        <f>(VLOOKUP('14.05'!R53,'14.05'!$AM$4:$AO$55,2,FALSE))*IF('14.05'!AU$4="是",'14.05'!$AY$4,'14.05'!$AY$3)</f>
        <v>180</v>
      </c>
      <c r="K53" s="4">
        <f>(VLOOKUP('14.05'!S53,'14.05'!$AM$4:$AO$55,2,FALSE))*IF('14.05'!AV$4="是",'14.05'!$AY$4,'14.05'!$AY$3)</f>
        <v>180</v>
      </c>
      <c r="L53" s="4">
        <f>(VLOOKUP('14.05'!T53,'14.05'!$AM$4:$AO$55,2,FALSE))*IF('14.05'!AW$4="是",'14.05'!$AY$4,'14.05'!$AY$3)</f>
        <v>180</v>
      </c>
      <c r="M53" s="4">
        <f>(VLOOKUP('14.05'!U53,'14.05'!$AM$4:$AO$55,2,FALSE))*IF('14.05'!AX$4="是",'14.05'!$AY$4,'14.05'!$AY$3)</f>
        <v>0</v>
      </c>
      <c r="N53" s="4">
        <f>(VLOOKUP('14.05'!V53,'14.05'!$AM$4:$AO$55,2,FALSE))*IF('14.05'!AY$4="是",'14.05'!$AY$4,'14.05'!$AY$3)</f>
        <v>0</v>
      </c>
      <c r="O53" s="5">
        <f>(VLOOKUP('14.05'!W53,'14.05'!$AM$4:$AO$55,2,FALSE))*IF('14.05'!AZ$4="是",'14.05'!$AY$4,'14.05'!$AY$3)</f>
        <v>0</v>
      </c>
      <c r="P53" s="5">
        <f>(VLOOKUP('14.05'!X53,'14.05'!$AM$4:$AO$55,2,FALSE))*IF('14.05'!BA$4="是",'14.05'!$AY$4,'14.05'!$AY$3)</f>
        <v>0</v>
      </c>
      <c r="Q53" s="4">
        <f>(VLOOKUP('14.05'!Y53,'14.05'!$AM$4:$AO$55,2,FALSE))*IF('14.05'!BB$4="是",'14.05'!$AY$4,'14.05'!$AY$3)</f>
        <v>0</v>
      </c>
      <c r="R53" s="4">
        <f>(VLOOKUP('14.05'!Z53,'14.05'!$AM$4:$AO$55,2,FALSE))*IF('14.05'!BC$4="是",'14.05'!$AY$4,'14.05'!$AY$3)</f>
        <v>0</v>
      </c>
      <c r="S53" s="4">
        <f>(VLOOKUP('14.05'!AA53,'14.05'!$AM$4:$AO$55,2,FALSE))*IF('14.05'!BD$4="是",'14.05'!$AY$4,'14.05'!$AY$3)</f>
        <v>0</v>
      </c>
      <c r="T53" s="4">
        <f>(VLOOKUP('14.05'!AB53,'14.05'!$AM$4:$AO$55,2,FALSE))*IF('14.05'!BE$4="是",'14.05'!$AY$4,'14.05'!$AY$3)</f>
        <v>0</v>
      </c>
      <c r="U53" s="4">
        <f>(VLOOKUP('14.05'!AC53,'14.05'!$AM$4:$AO$55,2,FALSE))*IF('14.05'!BF$4="是",'14.05'!$AY$4,'14.05'!$AY$3)</f>
        <v>0</v>
      </c>
      <c r="V53" s="4">
        <f>(VLOOKUP('14.05'!AD53,'14.05'!$AM$4:$AO$55,2,FALSE))*IF('14.05'!BG$4="是",'14.05'!$AY$4,'14.05'!$AY$3)</f>
        <v>0</v>
      </c>
      <c r="W53" s="5">
        <f>(VLOOKUP('14.05'!AE53,'14.05'!$AM$4:$AO$55,2,FALSE))*IF('14.05'!BH$4="是",'14.05'!$AY$4,'14.05'!$AY$3)</f>
        <v>0</v>
      </c>
      <c r="X53" s="5">
        <f>(VLOOKUP('14.05'!AF53,'14.05'!$AM$4:$AO$55,2,FALSE))*IF('14.05'!BI$4="是",'14.05'!$AY$4,'14.05'!$AY$3)</f>
        <v>0</v>
      </c>
    </row>
    <row r="54" spans="1:24">
      <c r="A54" s="4">
        <f>(VLOOKUP('14.05'!I54,'14.05'!$AM$4:$AO$55,2,FALSE))*IF('14.05'!AK$4="是",'14.05'!$AY$4,'14.05'!$AY$3)</f>
        <v>190</v>
      </c>
      <c r="B54" s="4">
        <f>(VLOOKUP('14.05'!J54,'14.05'!$AM$4:$AO$55,2,FALSE))*IF('14.05'!AL$4="是",'14.05'!$AY$4,'14.05'!$AY$3)</f>
        <v>190</v>
      </c>
      <c r="C54" s="4">
        <f>(VLOOKUP('14.05'!K54,'14.05'!$AM$4:$AO$55,2,FALSE))*IF('14.05'!AM$4="是",'14.05'!$AY$4,'14.05'!$AY$3)</f>
        <v>190</v>
      </c>
      <c r="D54" s="4">
        <f>(VLOOKUP('14.05'!L54,'14.05'!$AM$4:$AO$55,2,FALSE))*IF('14.05'!AN$4="是",'14.05'!$AY$4,'14.05'!$AY$3)</f>
        <v>190</v>
      </c>
      <c r="E54" s="4">
        <f>(VLOOKUP('14.05'!M54,'14.05'!$AM$4:$AO$55,2,FALSE))*IF('14.05'!AO$4="是",'14.05'!$AY$4,'14.05'!$AY$3)</f>
        <v>190</v>
      </c>
      <c r="F54" s="4">
        <f>(VLOOKUP('14.05'!N54,'14.05'!$AM$4:$AO$55,2,FALSE))*IF('14.05'!AQ$4="是",'14.05'!$AY$4,'14.05'!$AY$3)</f>
        <v>190</v>
      </c>
      <c r="G54" s="5">
        <f>(VLOOKUP('14.05'!O54,'14.05'!$AM$4:$AO$55,2,FALSE))*IF('14.05'!AR$4="是",'14.05'!$AY$4,'14.05'!$AY$3)</f>
        <v>0</v>
      </c>
      <c r="H54" s="5">
        <f>(VLOOKUP('14.05'!P54,'14.05'!$AM$4:$AO$55,2,FALSE))*IF('14.05'!AS$4="是",'14.05'!$AY$4,'14.05'!$AY$3)</f>
        <v>0</v>
      </c>
      <c r="I54" s="4">
        <f>(VLOOKUP('14.05'!Q54,'14.05'!$AM$4:$AO$55,2,FALSE))*IF('14.05'!AT$4="是",'14.05'!$AY$4,'14.05'!$AY$3)</f>
        <v>180</v>
      </c>
      <c r="J54" s="4">
        <f>(VLOOKUP('14.05'!R54,'14.05'!$AM$4:$AO$55,2,FALSE))*IF('14.05'!AU$4="是",'14.05'!$AY$4,'14.05'!$AY$3)</f>
        <v>180</v>
      </c>
      <c r="K54" s="4">
        <f>(VLOOKUP('14.05'!S54,'14.05'!$AM$4:$AO$55,2,FALSE))*IF('14.05'!AV$4="是",'14.05'!$AY$4,'14.05'!$AY$3)</f>
        <v>180</v>
      </c>
      <c r="L54" s="4">
        <f>(VLOOKUP('14.05'!T54,'14.05'!$AM$4:$AO$55,2,FALSE))*IF('14.05'!AW$4="是",'14.05'!$AY$4,'14.05'!$AY$3)</f>
        <v>180</v>
      </c>
      <c r="M54" s="4">
        <f>(VLOOKUP('14.05'!U54,'14.05'!$AM$4:$AO$55,2,FALSE))*IF('14.05'!AX$4="是",'14.05'!$AY$4,'14.05'!$AY$3)</f>
        <v>170</v>
      </c>
      <c r="N54" s="4">
        <f>(VLOOKUP('14.05'!V54,'14.05'!$AM$4:$AO$55,2,FALSE))*IF('14.05'!AY$4="是",'14.05'!$AY$4,'14.05'!$AY$3)</f>
        <v>0</v>
      </c>
      <c r="O54" s="5">
        <f>(VLOOKUP('14.05'!W54,'14.05'!$AM$4:$AO$55,2,FALSE))*IF('14.05'!AZ$4="是",'14.05'!$AY$4,'14.05'!$AY$3)</f>
        <v>0</v>
      </c>
      <c r="P54" s="5">
        <f>(VLOOKUP('14.05'!X54,'14.05'!$AM$4:$AO$55,2,FALSE))*IF('14.05'!BA$4="是",'14.05'!$AY$4,'14.05'!$AY$3)</f>
        <v>0</v>
      </c>
      <c r="Q54" s="4">
        <f>(VLOOKUP('14.05'!Y54,'14.05'!$AM$4:$AO$55,2,FALSE))*IF('14.05'!BB$4="是",'14.05'!$AY$4,'14.05'!$AY$3)</f>
        <v>0</v>
      </c>
      <c r="R54" s="4">
        <f>(VLOOKUP('14.05'!Z54,'14.05'!$AM$4:$AO$55,2,FALSE))*IF('14.05'!BC$4="是",'14.05'!$AY$4,'14.05'!$AY$3)</f>
        <v>0</v>
      </c>
      <c r="S54" s="4">
        <f>(VLOOKUP('14.05'!AA54,'14.05'!$AM$4:$AO$55,2,FALSE))*IF('14.05'!BD$4="是",'14.05'!$AY$4,'14.05'!$AY$3)</f>
        <v>0</v>
      </c>
      <c r="T54" s="4">
        <f>(VLOOKUP('14.05'!AB54,'14.05'!$AM$4:$AO$55,2,FALSE))*IF('14.05'!BE$4="是",'14.05'!$AY$4,'14.05'!$AY$3)</f>
        <v>0</v>
      </c>
      <c r="U54" s="4">
        <f>(VLOOKUP('14.05'!AC54,'14.05'!$AM$4:$AO$55,2,FALSE))*IF('14.05'!BF$4="是",'14.05'!$AY$4,'14.05'!$AY$3)</f>
        <v>0</v>
      </c>
      <c r="V54" s="4">
        <f>(VLOOKUP('14.05'!AD54,'14.05'!$AM$4:$AO$55,2,FALSE))*IF('14.05'!BG$4="是",'14.05'!$AY$4,'14.05'!$AY$3)</f>
        <v>0</v>
      </c>
      <c r="W54" s="5">
        <f>(VLOOKUP('14.05'!AE54,'14.05'!$AM$4:$AO$55,2,FALSE))*IF('14.05'!BH$4="是",'14.05'!$AY$4,'14.05'!$AY$3)</f>
        <v>0</v>
      </c>
      <c r="X54" s="5">
        <f>(VLOOKUP('14.05'!AF54,'14.05'!$AM$4:$AO$55,2,FALSE))*IF('14.05'!BI$4="是",'14.05'!$AY$4,'14.05'!$AY$3)</f>
        <v>0</v>
      </c>
    </row>
    <row r="55" spans="1:24">
      <c r="A55" s="4">
        <f>(VLOOKUP('14.05'!I55,'14.05'!$AM$4:$AO$55,2,FALSE))*IF('14.05'!AK$4="是",'14.05'!$AY$4,'14.05'!$AY$3)</f>
        <v>200</v>
      </c>
      <c r="B55" s="4">
        <f>(VLOOKUP('14.05'!J55,'14.05'!$AM$4:$AO$55,2,FALSE))*IF('14.05'!AL$4="是",'14.05'!$AY$4,'14.05'!$AY$3)</f>
        <v>200</v>
      </c>
      <c r="C55" s="4">
        <f>(VLOOKUP('14.05'!K55,'14.05'!$AM$4:$AO$55,2,FALSE))*IF('14.05'!AM$4="是",'14.05'!$AY$4,'14.05'!$AY$3)</f>
        <v>200</v>
      </c>
      <c r="D55" s="4">
        <f>(VLOOKUP('14.05'!L55,'14.05'!$AM$4:$AO$55,2,FALSE))*IF('14.05'!AN$4="是",'14.05'!$AY$4,'14.05'!$AY$3)</f>
        <v>200</v>
      </c>
      <c r="E55" s="4">
        <f>(VLOOKUP('14.05'!M55,'14.05'!$AM$4:$AO$55,2,FALSE))*IF('14.05'!AO$4="是",'14.05'!$AY$4,'14.05'!$AY$3)</f>
        <v>200</v>
      </c>
      <c r="F55" s="4">
        <f>(VLOOKUP('14.05'!N55,'14.05'!$AM$4:$AO$55,2,FALSE))*IF('14.05'!AQ$4="是",'14.05'!$AY$4,'14.05'!$AY$3)</f>
        <v>200</v>
      </c>
      <c r="G55" s="5">
        <f>(VLOOKUP('14.05'!O55,'14.05'!$AM$4:$AO$55,2,FALSE))*IF('14.05'!AR$4="是",'14.05'!$AY$4,'14.05'!$AY$3)</f>
        <v>0</v>
      </c>
      <c r="H55" s="5">
        <f>(VLOOKUP('14.05'!P55,'14.05'!$AM$4:$AO$55,2,FALSE))*IF('14.05'!AS$4="是",'14.05'!$AY$4,'14.05'!$AY$3)</f>
        <v>0</v>
      </c>
      <c r="I55" s="4">
        <f>(VLOOKUP('14.05'!Q55,'14.05'!$AM$4:$AO$55,2,FALSE))*IF('14.05'!AT$4="是",'14.05'!$AY$4,'14.05'!$AY$3)</f>
        <v>150</v>
      </c>
      <c r="J55" s="4">
        <f>(VLOOKUP('14.05'!R55,'14.05'!$AM$4:$AO$55,2,FALSE))*IF('14.05'!AU$4="是",'14.05'!$AY$4,'14.05'!$AY$3)</f>
        <v>170</v>
      </c>
      <c r="K55" s="4">
        <f>(VLOOKUP('14.05'!S55,'14.05'!$AM$4:$AO$55,2,FALSE))*IF('14.05'!AV$4="是",'14.05'!$AY$4,'14.05'!$AY$3)</f>
        <v>170</v>
      </c>
      <c r="L55" s="4">
        <f>(VLOOKUP('14.05'!T55,'14.05'!$AM$4:$AO$55,2,FALSE))*IF('14.05'!AW$4="是",'14.05'!$AY$4,'14.05'!$AY$3)</f>
        <v>180</v>
      </c>
      <c r="M55" s="4">
        <f>(VLOOKUP('14.05'!U55,'14.05'!$AM$4:$AO$55,2,FALSE))*IF('14.05'!AX$4="是",'14.05'!$AY$4,'14.05'!$AY$3)</f>
        <v>180</v>
      </c>
      <c r="N55" s="4">
        <f>(VLOOKUP('14.05'!V55,'14.05'!$AM$4:$AO$55,2,FALSE))*IF('14.05'!AY$4="是",'14.05'!$AY$4,'14.05'!$AY$3)</f>
        <v>0</v>
      </c>
      <c r="O55" s="5">
        <f>(VLOOKUP('14.05'!W55,'14.05'!$AM$4:$AO$55,2,FALSE))*IF('14.05'!AZ$4="是",'14.05'!$AY$4,'14.05'!$AY$3)</f>
        <v>0</v>
      </c>
      <c r="P55" s="5">
        <f>(VLOOKUP('14.05'!X55,'14.05'!$AM$4:$AO$55,2,FALSE))*IF('14.05'!BA$4="是",'14.05'!$AY$4,'14.05'!$AY$3)</f>
        <v>0</v>
      </c>
      <c r="Q55" s="4">
        <f>(VLOOKUP('14.05'!Y55,'14.05'!$AM$4:$AO$55,2,FALSE))*IF('14.05'!BB$4="是",'14.05'!$AY$4,'14.05'!$AY$3)</f>
        <v>0</v>
      </c>
      <c r="R55" s="4">
        <f>(VLOOKUP('14.05'!Z55,'14.05'!$AM$4:$AO$55,2,FALSE))*IF('14.05'!BC$4="是",'14.05'!$AY$4,'14.05'!$AY$3)</f>
        <v>0</v>
      </c>
      <c r="S55" s="4">
        <f>(VLOOKUP('14.05'!AA55,'14.05'!$AM$4:$AO$55,2,FALSE))*IF('14.05'!BD$4="是",'14.05'!$AY$4,'14.05'!$AY$3)</f>
        <v>0</v>
      </c>
      <c r="T55" s="4">
        <f>(VLOOKUP('14.05'!AB55,'14.05'!$AM$4:$AO$55,2,FALSE))*IF('14.05'!BE$4="是",'14.05'!$AY$4,'14.05'!$AY$3)</f>
        <v>0</v>
      </c>
      <c r="U55" s="4">
        <f>(VLOOKUP('14.05'!AC55,'14.05'!$AM$4:$AO$55,2,FALSE))*IF('14.05'!BF$4="是",'14.05'!$AY$4,'14.05'!$AY$3)</f>
        <v>0</v>
      </c>
      <c r="V55" s="4">
        <f>(VLOOKUP('14.05'!AD55,'14.05'!$AM$4:$AO$55,2,FALSE))*IF('14.05'!BG$4="是",'14.05'!$AY$4,'14.05'!$AY$3)</f>
        <v>0</v>
      </c>
      <c r="W55" s="5">
        <f>(VLOOKUP('14.05'!AE55,'14.05'!$AM$4:$AO$55,2,FALSE))*IF('14.05'!BH$4="是",'14.05'!$AY$4,'14.05'!$AY$3)</f>
        <v>0</v>
      </c>
      <c r="X55" s="5">
        <f>(VLOOKUP('14.05'!AF55,'14.05'!$AM$4:$AO$55,2,FALSE))*IF('14.05'!BI$4="是",'14.05'!$AY$4,'14.05'!$AY$3)</f>
        <v>0</v>
      </c>
    </row>
    <row r="56" spans="1:24">
      <c r="A56" s="4">
        <f>(VLOOKUP('14.05'!I56,'14.05'!$AM$4:$AO$55,2,FALSE))*IF('14.05'!AK$4="是",'14.05'!$AY$4,'14.05'!$AY$3)</f>
        <v>200</v>
      </c>
      <c r="B56" s="4">
        <f>(VLOOKUP('14.05'!J56,'14.05'!$AM$4:$AO$55,2,FALSE))*IF('14.05'!AL$4="是",'14.05'!$AY$4,'14.05'!$AY$3)</f>
        <v>200</v>
      </c>
      <c r="C56" s="4">
        <f>(VLOOKUP('14.05'!K56,'14.05'!$AM$4:$AO$55,2,FALSE))*IF('14.05'!AM$4="是",'14.05'!$AY$4,'14.05'!$AY$3)</f>
        <v>200</v>
      </c>
      <c r="D56" s="4">
        <f>(VLOOKUP('14.05'!L56,'14.05'!$AM$4:$AO$55,2,FALSE))*IF('14.05'!AN$4="是",'14.05'!$AY$4,'14.05'!$AY$3)</f>
        <v>200</v>
      </c>
      <c r="E56" s="4">
        <f>(VLOOKUP('14.05'!M56,'14.05'!$AM$4:$AO$55,2,FALSE))*IF('14.05'!AO$4="是",'14.05'!$AY$4,'14.05'!$AY$3)</f>
        <v>200</v>
      </c>
      <c r="F56" s="4">
        <f>(VLOOKUP('14.05'!N56,'14.05'!$AM$4:$AO$55,2,FALSE))*IF('14.05'!AQ$4="是",'14.05'!$AY$4,'14.05'!$AY$3)</f>
        <v>200</v>
      </c>
      <c r="G56" s="5">
        <f>(VLOOKUP('14.05'!O56,'14.05'!$AM$4:$AO$55,2,FALSE))*IF('14.05'!AR$4="是",'14.05'!$AY$4,'14.05'!$AY$3)</f>
        <v>0</v>
      </c>
      <c r="H56" s="5">
        <f>(VLOOKUP('14.05'!P56,'14.05'!$AM$4:$AO$55,2,FALSE))*IF('14.05'!AS$4="是",'14.05'!$AY$4,'14.05'!$AY$3)</f>
        <v>0</v>
      </c>
      <c r="I56" s="4">
        <f>(VLOOKUP('14.05'!Q56,'14.05'!$AM$4:$AO$55,2,FALSE))*IF('14.05'!AT$4="是",'14.05'!$AY$4,'14.05'!$AY$3)</f>
        <v>180</v>
      </c>
      <c r="J56" s="4">
        <f>(VLOOKUP('14.05'!R56,'14.05'!$AM$4:$AO$55,2,FALSE))*IF('14.05'!AU$4="是",'14.05'!$AY$4,'14.05'!$AY$3)</f>
        <v>180</v>
      </c>
      <c r="K56" s="4">
        <f>(VLOOKUP('14.05'!S56,'14.05'!$AM$4:$AO$55,2,FALSE))*IF('14.05'!AV$4="是",'14.05'!$AY$4,'14.05'!$AY$3)</f>
        <v>180</v>
      </c>
      <c r="L56" s="4">
        <f>(VLOOKUP('14.05'!T56,'14.05'!$AM$4:$AO$55,2,FALSE))*IF('14.05'!AW$4="是",'14.05'!$AY$4,'14.05'!$AY$3)</f>
        <v>180</v>
      </c>
      <c r="M56" s="4">
        <f>(VLOOKUP('14.05'!U56,'14.05'!$AM$4:$AO$55,2,FALSE))*IF('14.05'!AX$4="是",'14.05'!$AY$4,'14.05'!$AY$3)</f>
        <v>0</v>
      </c>
      <c r="N56" s="4">
        <f>(VLOOKUP('14.05'!V56,'14.05'!$AM$4:$AO$55,2,FALSE))*IF('14.05'!AY$4="是",'14.05'!$AY$4,'14.05'!$AY$3)</f>
        <v>0</v>
      </c>
      <c r="O56" s="5">
        <f>(VLOOKUP('14.05'!W56,'14.05'!$AM$4:$AO$55,2,FALSE))*IF('14.05'!AZ$4="是",'14.05'!$AY$4,'14.05'!$AY$3)</f>
        <v>0</v>
      </c>
      <c r="P56" s="5">
        <f>(VLOOKUP('14.05'!X56,'14.05'!$AM$4:$AO$55,2,FALSE))*IF('14.05'!BA$4="是",'14.05'!$AY$4,'14.05'!$AY$3)</f>
        <v>0</v>
      </c>
      <c r="Q56" s="4">
        <f>(VLOOKUP('14.05'!Y56,'14.05'!$AM$4:$AO$55,2,FALSE))*IF('14.05'!BB$4="是",'14.05'!$AY$4,'14.05'!$AY$3)</f>
        <v>0</v>
      </c>
      <c r="R56" s="4">
        <f>(VLOOKUP('14.05'!Z56,'14.05'!$AM$4:$AO$55,2,FALSE))*IF('14.05'!BC$4="是",'14.05'!$AY$4,'14.05'!$AY$3)</f>
        <v>0</v>
      </c>
      <c r="S56" s="4">
        <f>(VLOOKUP('14.05'!AA56,'14.05'!$AM$4:$AO$55,2,FALSE))*IF('14.05'!BD$4="是",'14.05'!$AY$4,'14.05'!$AY$3)</f>
        <v>0</v>
      </c>
      <c r="T56" s="4">
        <f>(VLOOKUP('14.05'!AB56,'14.05'!$AM$4:$AO$55,2,FALSE))*IF('14.05'!BE$4="是",'14.05'!$AY$4,'14.05'!$AY$3)</f>
        <v>0</v>
      </c>
      <c r="U56" s="4">
        <f>(VLOOKUP('14.05'!AC56,'14.05'!$AM$4:$AO$55,2,FALSE))*IF('14.05'!BF$4="是",'14.05'!$AY$4,'14.05'!$AY$3)</f>
        <v>0</v>
      </c>
      <c r="V56" s="4">
        <f>(VLOOKUP('14.05'!AD56,'14.05'!$AM$4:$AO$55,2,FALSE))*IF('14.05'!BG$4="是",'14.05'!$AY$4,'14.05'!$AY$3)</f>
        <v>0</v>
      </c>
      <c r="W56" s="5">
        <f>(VLOOKUP('14.05'!AE56,'14.05'!$AM$4:$AO$55,2,FALSE))*IF('14.05'!BH$4="是",'14.05'!$AY$4,'14.05'!$AY$3)</f>
        <v>0</v>
      </c>
      <c r="X56" s="5">
        <f>(VLOOKUP('14.05'!AF56,'14.05'!$AM$4:$AO$55,2,FALSE))*IF('14.05'!BI$4="是",'14.05'!$AY$4,'14.05'!$AY$3)</f>
        <v>0</v>
      </c>
    </row>
    <row r="57" spans="1:24">
      <c r="A57" s="4">
        <f>(VLOOKUP('14.05'!I57,'14.05'!$AM$4:$AO$55,2,FALSE))*IF('14.05'!AK$4="是",'14.05'!$AY$4,'14.05'!$AY$3)</f>
        <v>200</v>
      </c>
      <c r="B57" s="4">
        <f>(VLOOKUP('14.05'!J57,'14.05'!$AM$4:$AO$55,2,FALSE))*IF('14.05'!AL$4="是",'14.05'!$AY$4,'14.05'!$AY$3)</f>
        <v>200</v>
      </c>
      <c r="C57" s="4">
        <f>(VLOOKUP('14.05'!K57,'14.05'!$AM$4:$AO$55,2,FALSE))*IF('14.05'!AM$4="是",'14.05'!$AY$4,'14.05'!$AY$3)</f>
        <v>200</v>
      </c>
      <c r="D57" s="4">
        <f>(VLOOKUP('14.05'!L57,'14.05'!$AM$4:$AO$55,2,FALSE))*IF('14.05'!AN$4="是",'14.05'!$AY$4,'14.05'!$AY$3)</f>
        <v>200</v>
      </c>
      <c r="E57" s="4">
        <f>(VLOOKUP('14.05'!M57,'14.05'!$AM$4:$AO$55,2,FALSE))*IF('14.05'!AO$4="是",'14.05'!$AY$4,'14.05'!$AY$3)</f>
        <v>200</v>
      </c>
      <c r="F57" s="4">
        <f>(VLOOKUP('14.05'!N57,'14.05'!$AM$4:$AO$55,2,FALSE))*IF('14.05'!AQ$4="是",'14.05'!$AY$4,'14.05'!$AY$3)</f>
        <v>-200</v>
      </c>
      <c r="G57" s="5">
        <f>(VLOOKUP('14.05'!O57,'14.05'!$AM$4:$AO$55,2,FALSE))*IF('14.05'!AR$4="是",'14.05'!$AY$4,'14.05'!$AY$3)</f>
        <v>0</v>
      </c>
      <c r="H57" s="5">
        <f>(VLOOKUP('14.05'!P57,'14.05'!$AM$4:$AO$55,2,FALSE))*IF('14.05'!AS$4="是",'14.05'!$AY$4,'14.05'!$AY$3)</f>
        <v>0</v>
      </c>
      <c r="I57" s="4">
        <f>(VLOOKUP('14.05'!Q57,'14.05'!$AM$4:$AO$55,2,FALSE))*IF('14.05'!AT$4="是",'14.05'!$AY$4,'14.05'!$AY$3)</f>
        <v>180</v>
      </c>
      <c r="J57" s="4">
        <f>(VLOOKUP('14.05'!R57,'14.05'!$AM$4:$AO$55,2,FALSE))*IF('14.05'!AU$4="是",'14.05'!$AY$4,'14.05'!$AY$3)</f>
        <v>180</v>
      </c>
      <c r="K57" s="4">
        <f>(VLOOKUP('14.05'!S57,'14.05'!$AM$4:$AO$55,2,FALSE))*IF('14.05'!AV$4="是",'14.05'!$AY$4,'14.05'!$AY$3)</f>
        <v>180</v>
      </c>
      <c r="L57" s="4">
        <f>(VLOOKUP('14.05'!T57,'14.05'!$AM$4:$AO$55,2,FALSE))*IF('14.05'!AW$4="是",'14.05'!$AY$4,'14.05'!$AY$3)</f>
        <v>180</v>
      </c>
      <c r="M57" s="4">
        <f>(VLOOKUP('14.05'!U57,'14.05'!$AM$4:$AO$55,2,FALSE))*IF('14.05'!AX$4="是",'14.05'!$AY$4,'14.05'!$AY$3)</f>
        <v>180</v>
      </c>
      <c r="N57" s="4">
        <f>(VLOOKUP('14.05'!V57,'14.05'!$AM$4:$AO$55,2,FALSE))*IF('14.05'!AY$4="是",'14.05'!$AY$4,'14.05'!$AY$3)</f>
        <v>180</v>
      </c>
      <c r="O57" s="5">
        <f>(VLOOKUP('14.05'!W57,'14.05'!$AM$4:$AO$55,2,FALSE))*IF('14.05'!AZ$4="是",'14.05'!$AY$4,'14.05'!$AY$3)</f>
        <v>0</v>
      </c>
      <c r="P57" s="5">
        <f>(VLOOKUP('14.05'!X57,'14.05'!$AM$4:$AO$55,2,FALSE))*IF('14.05'!BA$4="是",'14.05'!$AY$4,'14.05'!$AY$3)</f>
        <v>0</v>
      </c>
      <c r="Q57" s="4">
        <f>(VLOOKUP('14.05'!Y57,'14.05'!$AM$4:$AO$55,2,FALSE))*IF('14.05'!BB$4="是",'14.05'!$AY$4,'14.05'!$AY$3)</f>
        <v>0</v>
      </c>
      <c r="R57" s="4">
        <f>(VLOOKUP('14.05'!Z57,'14.05'!$AM$4:$AO$55,2,FALSE))*IF('14.05'!BC$4="是",'14.05'!$AY$4,'14.05'!$AY$3)</f>
        <v>0</v>
      </c>
      <c r="S57" s="4">
        <f>(VLOOKUP('14.05'!AA57,'14.05'!$AM$4:$AO$55,2,FALSE))*IF('14.05'!BD$4="是",'14.05'!$AY$4,'14.05'!$AY$3)</f>
        <v>0</v>
      </c>
      <c r="T57" s="4">
        <f>(VLOOKUP('14.05'!AB57,'14.05'!$AM$4:$AO$55,2,FALSE))*IF('14.05'!BE$4="是",'14.05'!$AY$4,'14.05'!$AY$3)</f>
        <v>0</v>
      </c>
      <c r="U57" s="4">
        <f>(VLOOKUP('14.05'!AC57,'14.05'!$AM$4:$AO$55,2,FALSE))*IF('14.05'!BF$4="是",'14.05'!$AY$4,'14.05'!$AY$3)</f>
        <v>0</v>
      </c>
      <c r="V57" s="4">
        <f>(VLOOKUP('14.05'!AD57,'14.05'!$AM$4:$AO$55,2,FALSE))*IF('14.05'!BG$4="是",'14.05'!$AY$4,'14.05'!$AY$3)</f>
        <v>0</v>
      </c>
      <c r="W57" s="5">
        <f>(VLOOKUP('14.05'!AE57,'14.05'!$AM$4:$AO$55,2,FALSE))*IF('14.05'!BH$4="是",'14.05'!$AY$4,'14.05'!$AY$3)</f>
        <v>0</v>
      </c>
      <c r="X57" s="5">
        <f>(VLOOKUP('14.05'!AF57,'14.05'!$AM$4:$AO$55,2,FALSE))*IF('14.05'!BI$4="是",'14.05'!$AY$4,'14.05'!$AY$3)</f>
        <v>0</v>
      </c>
    </row>
    <row r="58" spans="1:24">
      <c r="A58" s="4">
        <f>(VLOOKUP('14.05'!I58,'14.05'!$AM$4:$AO$55,2,FALSE))*IF('14.05'!AK$4="是",'14.05'!$AY$4,'14.05'!$AY$3)</f>
        <v>200</v>
      </c>
      <c r="B58" s="4">
        <f>(VLOOKUP('14.05'!J58,'14.05'!$AM$4:$AO$55,2,FALSE))*IF('14.05'!AL$4="是",'14.05'!$AY$4,'14.05'!$AY$3)</f>
        <v>200</v>
      </c>
      <c r="C58" s="4">
        <f>(VLOOKUP('14.05'!K58,'14.05'!$AM$4:$AO$55,2,FALSE))*IF('14.05'!AM$4="是",'14.05'!$AY$4,'14.05'!$AY$3)</f>
        <v>200</v>
      </c>
      <c r="D58" s="4">
        <f>(VLOOKUP('14.05'!L58,'14.05'!$AM$4:$AO$55,2,FALSE))*IF('14.05'!AN$4="是",'14.05'!$AY$4,'14.05'!$AY$3)</f>
        <v>200</v>
      </c>
      <c r="E58" s="4">
        <f>(VLOOKUP('14.05'!M58,'14.05'!$AM$4:$AO$55,2,FALSE))*IF('14.05'!AO$4="是",'14.05'!$AY$4,'14.05'!$AY$3)</f>
        <v>200</v>
      </c>
      <c r="F58" s="4">
        <f>(VLOOKUP('14.05'!N58,'14.05'!$AM$4:$AO$55,2,FALSE))*IF('14.05'!AQ$4="是",'14.05'!$AY$4,'14.05'!$AY$3)</f>
        <v>200</v>
      </c>
      <c r="G58" s="5">
        <f>(VLOOKUP('14.05'!O58,'14.05'!$AM$4:$AO$55,2,FALSE))*IF('14.05'!AR$4="是",'14.05'!$AY$4,'14.05'!$AY$3)</f>
        <v>0</v>
      </c>
      <c r="H58" s="5">
        <f>(VLOOKUP('14.05'!P58,'14.05'!$AM$4:$AO$55,2,FALSE))*IF('14.05'!AS$4="是",'14.05'!$AY$4,'14.05'!$AY$3)</f>
        <v>0</v>
      </c>
      <c r="I58" s="4">
        <f>(VLOOKUP('14.05'!Q58,'14.05'!$AM$4:$AO$55,2,FALSE))*IF('14.05'!AT$4="是",'14.05'!$AY$4,'14.05'!$AY$3)</f>
        <v>180</v>
      </c>
      <c r="J58" s="4">
        <f>(VLOOKUP('14.05'!R58,'14.05'!$AM$4:$AO$55,2,FALSE))*IF('14.05'!AU$4="是",'14.05'!$AY$4,'14.05'!$AY$3)</f>
        <v>180</v>
      </c>
      <c r="K58" s="4">
        <f>(VLOOKUP('14.05'!S58,'14.05'!$AM$4:$AO$55,2,FALSE))*IF('14.05'!AV$4="是",'14.05'!$AY$4,'14.05'!$AY$3)</f>
        <v>180</v>
      </c>
      <c r="L58" s="4">
        <f>(VLOOKUP('14.05'!T58,'14.05'!$AM$4:$AO$55,2,FALSE))*IF('14.05'!AW$4="是",'14.05'!$AY$4,'14.05'!$AY$3)</f>
        <v>180</v>
      </c>
      <c r="M58" s="4">
        <f>(VLOOKUP('14.05'!U58,'14.05'!$AM$4:$AO$55,2,FALSE))*IF('14.05'!AX$4="是",'14.05'!$AY$4,'14.05'!$AY$3)</f>
        <v>180</v>
      </c>
      <c r="N58" s="4">
        <f>(VLOOKUP('14.05'!V58,'14.05'!$AM$4:$AO$55,2,FALSE))*IF('14.05'!AY$4="是",'14.05'!$AY$4,'14.05'!$AY$3)</f>
        <v>0</v>
      </c>
      <c r="O58" s="5">
        <f>(VLOOKUP('14.05'!W58,'14.05'!$AM$4:$AO$55,2,FALSE))*IF('14.05'!AZ$4="是",'14.05'!$AY$4,'14.05'!$AY$3)</f>
        <v>0</v>
      </c>
      <c r="P58" s="5">
        <f>(VLOOKUP('14.05'!X58,'14.05'!$AM$4:$AO$55,2,FALSE))*IF('14.05'!BA$4="是",'14.05'!$AY$4,'14.05'!$AY$3)</f>
        <v>0</v>
      </c>
      <c r="Q58" s="4">
        <f>(VLOOKUP('14.05'!Y58,'14.05'!$AM$4:$AO$55,2,FALSE))*IF('14.05'!BB$4="是",'14.05'!$AY$4,'14.05'!$AY$3)</f>
        <v>0</v>
      </c>
      <c r="R58" s="4">
        <f>(VLOOKUP('14.05'!Z58,'14.05'!$AM$4:$AO$55,2,FALSE))*IF('14.05'!BC$4="是",'14.05'!$AY$4,'14.05'!$AY$3)</f>
        <v>0</v>
      </c>
      <c r="S58" s="4">
        <f>(VLOOKUP('14.05'!AA58,'14.05'!$AM$4:$AO$55,2,FALSE))*IF('14.05'!BD$4="是",'14.05'!$AY$4,'14.05'!$AY$3)</f>
        <v>0</v>
      </c>
      <c r="T58" s="4">
        <f>(VLOOKUP('14.05'!AB58,'14.05'!$AM$4:$AO$55,2,FALSE))*IF('14.05'!BE$4="是",'14.05'!$AY$4,'14.05'!$AY$3)</f>
        <v>0</v>
      </c>
      <c r="U58" s="4">
        <f>(VLOOKUP('14.05'!AC58,'14.05'!$AM$4:$AO$55,2,FALSE))*IF('14.05'!BF$4="是",'14.05'!$AY$4,'14.05'!$AY$3)</f>
        <v>0</v>
      </c>
      <c r="V58" s="4">
        <f>(VLOOKUP('14.05'!AD58,'14.05'!$AM$4:$AO$55,2,FALSE))*IF('14.05'!BG$4="是",'14.05'!$AY$4,'14.05'!$AY$3)</f>
        <v>0</v>
      </c>
      <c r="W58" s="5">
        <f>(VLOOKUP('14.05'!AE58,'14.05'!$AM$4:$AO$55,2,FALSE))*IF('14.05'!BH$4="是",'14.05'!$AY$4,'14.05'!$AY$3)</f>
        <v>0</v>
      </c>
      <c r="X58" s="5">
        <f>(VLOOKUP('14.05'!AF58,'14.05'!$AM$4:$AO$55,2,FALSE))*IF('14.05'!BI$4="是",'14.05'!$AY$4,'14.05'!$AY$3)</f>
        <v>0</v>
      </c>
    </row>
    <row r="59" spans="1:24">
      <c r="A59" s="4">
        <f>(VLOOKUP('14.05'!I59,'14.05'!$AM$4:$AO$55,2,FALSE))*IF('14.05'!AK$4="是",'14.05'!$AY$4,'14.05'!$AY$3)</f>
        <v>200</v>
      </c>
      <c r="B59" s="4">
        <f>(VLOOKUP('14.05'!J59,'14.05'!$AM$4:$AO$55,2,FALSE))*IF('14.05'!AL$4="是",'14.05'!$AY$4,'14.05'!$AY$3)</f>
        <v>200</v>
      </c>
      <c r="C59" s="4">
        <f>(VLOOKUP('14.05'!K59,'14.05'!$AM$4:$AO$55,2,FALSE))*IF('14.05'!AM$4="是",'14.05'!$AY$4,'14.05'!$AY$3)</f>
        <v>200</v>
      </c>
      <c r="D59" s="4">
        <f>(VLOOKUP('14.05'!L59,'14.05'!$AM$4:$AO$55,2,FALSE))*IF('14.05'!AN$4="是",'14.05'!$AY$4,'14.05'!$AY$3)</f>
        <v>200</v>
      </c>
      <c r="E59" s="4">
        <f>(VLOOKUP('14.05'!M59,'14.05'!$AM$4:$AO$55,2,FALSE))*IF('14.05'!AO$4="是",'14.05'!$AY$4,'14.05'!$AY$3)</f>
        <v>200</v>
      </c>
      <c r="F59" s="4">
        <f>(VLOOKUP('14.05'!N59,'14.05'!$AM$4:$AO$55,2,FALSE))*IF('14.05'!AQ$4="是",'14.05'!$AY$4,'14.05'!$AY$3)</f>
        <v>200</v>
      </c>
      <c r="G59" s="5">
        <f>(VLOOKUP('14.05'!O59,'14.05'!$AM$4:$AO$55,2,FALSE))*IF('14.05'!AR$4="是",'14.05'!$AY$4,'14.05'!$AY$3)</f>
        <v>0</v>
      </c>
      <c r="H59" s="5">
        <f>(VLOOKUP('14.05'!P59,'14.05'!$AM$4:$AO$55,2,FALSE))*IF('14.05'!AS$4="是",'14.05'!$AY$4,'14.05'!$AY$3)</f>
        <v>0</v>
      </c>
      <c r="I59" s="4">
        <f>(VLOOKUP('14.05'!Q59,'14.05'!$AM$4:$AO$55,2,FALSE))*IF('14.05'!AT$4="是",'14.05'!$AY$4,'14.05'!$AY$3)</f>
        <v>180</v>
      </c>
      <c r="J59" s="4">
        <f>(VLOOKUP('14.05'!R59,'14.05'!$AM$4:$AO$55,2,FALSE))*IF('14.05'!AU$4="是",'14.05'!$AY$4,'14.05'!$AY$3)</f>
        <v>180</v>
      </c>
      <c r="K59" s="4">
        <f>(VLOOKUP('14.05'!S59,'14.05'!$AM$4:$AO$55,2,FALSE))*IF('14.05'!AV$4="是",'14.05'!$AY$4,'14.05'!$AY$3)</f>
        <v>180</v>
      </c>
      <c r="L59" s="4">
        <f>(VLOOKUP('14.05'!T59,'14.05'!$AM$4:$AO$55,2,FALSE))*IF('14.05'!AW$4="是",'14.05'!$AY$4,'14.05'!$AY$3)</f>
        <v>180</v>
      </c>
      <c r="M59" s="4">
        <f>(VLOOKUP('14.05'!U59,'14.05'!$AM$4:$AO$55,2,FALSE))*IF('14.05'!AX$4="是",'14.05'!$AY$4,'14.05'!$AY$3)</f>
        <v>180</v>
      </c>
      <c r="N59" s="4">
        <f>(VLOOKUP('14.05'!V59,'14.05'!$AM$4:$AO$55,2,FALSE))*IF('14.05'!AY$4="是",'14.05'!$AY$4,'14.05'!$AY$3)</f>
        <v>0</v>
      </c>
      <c r="O59" s="5">
        <f>(VLOOKUP('14.05'!W59,'14.05'!$AM$4:$AO$55,2,FALSE))*IF('14.05'!AZ$4="是",'14.05'!$AY$4,'14.05'!$AY$3)</f>
        <v>0</v>
      </c>
      <c r="P59" s="5">
        <f>(VLOOKUP('14.05'!X59,'14.05'!$AM$4:$AO$55,2,FALSE))*IF('14.05'!BA$4="是",'14.05'!$AY$4,'14.05'!$AY$3)</f>
        <v>0</v>
      </c>
      <c r="Q59" s="4">
        <f>(VLOOKUP('14.05'!Y59,'14.05'!$AM$4:$AO$55,2,FALSE))*IF('14.05'!BB$4="是",'14.05'!$AY$4,'14.05'!$AY$3)</f>
        <v>0</v>
      </c>
      <c r="R59" s="4">
        <f>(VLOOKUP('14.05'!Z59,'14.05'!$AM$4:$AO$55,2,FALSE))*IF('14.05'!BC$4="是",'14.05'!$AY$4,'14.05'!$AY$3)</f>
        <v>0</v>
      </c>
      <c r="S59" s="4">
        <f>(VLOOKUP('14.05'!AA59,'14.05'!$AM$4:$AO$55,2,FALSE))*IF('14.05'!BD$4="是",'14.05'!$AY$4,'14.05'!$AY$3)</f>
        <v>0</v>
      </c>
      <c r="T59" s="4">
        <f>(VLOOKUP('14.05'!AB59,'14.05'!$AM$4:$AO$55,2,FALSE))*IF('14.05'!BE$4="是",'14.05'!$AY$4,'14.05'!$AY$3)</f>
        <v>0</v>
      </c>
      <c r="U59" s="4">
        <f>(VLOOKUP('14.05'!AC59,'14.05'!$AM$4:$AO$55,2,FALSE))*IF('14.05'!BF$4="是",'14.05'!$AY$4,'14.05'!$AY$3)</f>
        <v>0</v>
      </c>
      <c r="V59" s="4">
        <f>(VLOOKUP('14.05'!AD59,'14.05'!$AM$4:$AO$55,2,FALSE))*IF('14.05'!BG$4="是",'14.05'!$AY$4,'14.05'!$AY$3)</f>
        <v>0</v>
      </c>
      <c r="W59" s="5">
        <f>(VLOOKUP('14.05'!AE59,'14.05'!$AM$4:$AO$55,2,FALSE))*IF('14.05'!BH$4="是",'14.05'!$AY$4,'14.05'!$AY$3)</f>
        <v>0</v>
      </c>
      <c r="X59" s="5">
        <f>(VLOOKUP('14.05'!AF59,'14.05'!$AM$4:$AO$55,2,FALSE))*IF('14.05'!BI$4="是",'14.05'!$AY$4,'14.05'!$AY$3)</f>
        <v>0</v>
      </c>
    </row>
    <row r="60" spans="1:24">
      <c r="A60" s="4">
        <f>(VLOOKUP('14.05'!I60,'14.05'!$AM$4:$AO$55,2,FALSE))*IF('14.05'!AK$4="是",'14.05'!$AY$4,'14.05'!$AY$3)</f>
        <v>200</v>
      </c>
      <c r="B60" s="4">
        <f>(VLOOKUP('14.05'!J60,'14.05'!$AM$4:$AO$55,2,FALSE))*IF('14.05'!AL$4="是",'14.05'!$AY$4,'14.05'!$AY$3)</f>
        <v>200</v>
      </c>
      <c r="C60" s="4">
        <f>(VLOOKUP('14.05'!K60,'14.05'!$AM$4:$AO$55,2,FALSE))*IF('14.05'!AM$4="是",'14.05'!$AY$4,'14.05'!$AY$3)</f>
        <v>200</v>
      </c>
      <c r="D60" s="4">
        <f>(VLOOKUP('14.05'!L60,'14.05'!$AM$4:$AO$55,2,FALSE))*IF('14.05'!AN$4="是",'14.05'!$AY$4,'14.05'!$AY$3)</f>
        <v>200</v>
      </c>
      <c r="E60" s="4">
        <f>(VLOOKUP('14.05'!M60,'14.05'!$AM$4:$AO$55,2,FALSE))*IF('14.05'!AO$4="是",'14.05'!$AY$4,'14.05'!$AY$3)</f>
        <v>190</v>
      </c>
      <c r="F60" s="4">
        <f>(VLOOKUP('14.05'!N60,'14.05'!$AM$4:$AO$55,2,FALSE))*IF('14.05'!AQ$4="是",'14.05'!$AY$4,'14.05'!$AY$3)</f>
        <v>190</v>
      </c>
      <c r="G60" s="5">
        <f>(VLOOKUP('14.05'!O60,'14.05'!$AM$4:$AO$55,2,FALSE))*IF('14.05'!AR$4="是",'14.05'!$AY$4,'14.05'!$AY$3)</f>
        <v>0</v>
      </c>
      <c r="H60" s="5">
        <f>(VLOOKUP('14.05'!P60,'14.05'!$AM$4:$AO$55,2,FALSE))*IF('14.05'!AS$4="是",'14.05'!$AY$4,'14.05'!$AY$3)</f>
        <v>0</v>
      </c>
      <c r="I60" s="4">
        <f>(VLOOKUP('14.05'!Q60,'14.05'!$AM$4:$AO$55,2,FALSE))*IF('14.05'!AT$4="是",'14.05'!$AY$4,'14.05'!$AY$3)</f>
        <v>180</v>
      </c>
      <c r="J60" s="4">
        <f>(VLOOKUP('14.05'!R60,'14.05'!$AM$4:$AO$55,2,FALSE))*IF('14.05'!AU$4="是",'14.05'!$AY$4,'14.05'!$AY$3)</f>
        <v>180</v>
      </c>
      <c r="K60" s="4">
        <f>(VLOOKUP('14.05'!S60,'14.05'!$AM$4:$AO$55,2,FALSE))*IF('14.05'!AV$4="是",'14.05'!$AY$4,'14.05'!$AY$3)</f>
        <v>180</v>
      </c>
      <c r="L60" s="4">
        <f>(VLOOKUP('14.05'!T60,'14.05'!$AM$4:$AO$55,2,FALSE))*IF('14.05'!AW$4="是",'14.05'!$AY$4,'14.05'!$AY$3)</f>
        <v>170</v>
      </c>
      <c r="M60" s="4">
        <f>(VLOOKUP('14.05'!U60,'14.05'!$AM$4:$AO$55,2,FALSE))*IF('14.05'!AX$4="是",'14.05'!$AY$4,'14.05'!$AY$3)</f>
        <v>0</v>
      </c>
      <c r="N60" s="4">
        <f>(VLOOKUP('14.05'!V60,'14.05'!$AM$4:$AO$55,2,FALSE))*IF('14.05'!AY$4="是",'14.05'!$AY$4,'14.05'!$AY$3)</f>
        <v>0</v>
      </c>
      <c r="O60" s="5">
        <f>(VLOOKUP('14.05'!W60,'14.05'!$AM$4:$AO$55,2,FALSE))*IF('14.05'!AZ$4="是",'14.05'!$AY$4,'14.05'!$AY$3)</f>
        <v>0</v>
      </c>
      <c r="P60" s="5">
        <f>(VLOOKUP('14.05'!X60,'14.05'!$AM$4:$AO$55,2,FALSE))*IF('14.05'!BA$4="是",'14.05'!$AY$4,'14.05'!$AY$3)</f>
        <v>0</v>
      </c>
      <c r="Q60" s="4">
        <f>(VLOOKUP('14.05'!Y60,'14.05'!$AM$4:$AO$55,2,FALSE))*IF('14.05'!BB$4="是",'14.05'!$AY$4,'14.05'!$AY$3)</f>
        <v>0</v>
      </c>
      <c r="R60" s="4">
        <f>(VLOOKUP('14.05'!Z60,'14.05'!$AM$4:$AO$55,2,FALSE))*IF('14.05'!BC$4="是",'14.05'!$AY$4,'14.05'!$AY$3)</f>
        <v>0</v>
      </c>
      <c r="S60" s="4">
        <f>(VLOOKUP('14.05'!AA60,'14.05'!$AM$4:$AO$55,2,FALSE))*IF('14.05'!BD$4="是",'14.05'!$AY$4,'14.05'!$AY$3)</f>
        <v>0</v>
      </c>
      <c r="T60" s="4">
        <f>(VLOOKUP('14.05'!AB60,'14.05'!$AM$4:$AO$55,2,FALSE))*IF('14.05'!BE$4="是",'14.05'!$AY$4,'14.05'!$AY$3)</f>
        <v>0</v>
      </c>
      <c r="U60" s="4">
        <f>(VLOOKUP('14.05'!AC60,'14.05'!$AM$4:$AO$55,2,FALSE))*IF('14.05'!BF$4="是",'14.05'!$AY$4,'14.05'!$AY$3)</f>
        <v>0</v>
      </c>
      <c r="V60" s="4">
        <f>(VLOOKUP('14.05'!AD60,'14.05'!$AM$4:$AO$55,2,FALSE))*IF('14.05'!BG$4="是",'14.05'!$AY$4,'14.05'!$AY$3)</f>
        <v>0</v>
      </c>
      <c r="W60" s="5">
        <f>(VLOOKUP('14.05'!AE60,'14.05'!$AM$4:$AO$55,2,FALSE))*IF('14.05'!BH$4="是",'14.05'!$AY$4,'14.05'!$AY$3)</f>
        <v>0</v>
      </c>
      <c r="X60" s="5">
        <f>(VLOOKUP('14.05'!AF60,'14.05'!$AM$4:$AO$55,2,FALSE))*IF('14.05'!BI$4="是",'14.05'!$AY$4,'14.05'!$AY$3)</f>
        <v>0</v>
      </c>
    </row>
    <row r="61" spans="1:24">
      <c r="A61" s="4">
        <f>(VLOOKUP('14.05'!I61,'14.05'!$AM$4:$AO$55,2,FALSE))*IF('14.05'!AK$4="是",'14.05'!$AY$4,'14.05'!$AY$3)</f>
        <v>190</v>
      </c>
      <c r="B61" s="4">
        <f>(VLOOKUP('14.05'!J61,'14.05'!$AM$4:$AO$55,2,FALSE))*IF('14.05'!AL$4="是",'14.05'!$AY$4,'14.05'!$AY$3)</f>
        <v>190</v>
      </c>
      <c r="C61" s="4">
        <f>(VLOOKUP('14.05'!K61,'14.05'!$AM$4:$AO$55,2,FALSE))*IF('14.05'!AM$4="是",'14.05'!$AY$4,'14.05'!$AY$3)</f>
        <v>250</v>
      </c>
      <c r="D61" s="4">
        <f>(VLOOKUP('14.05'!L61,'14.05'!$AM$4:$AO$55,2,FALSE))*IF('14.05'!AN$4="是",'14.05'!$AY$4,'14.05'!$AY$3)</f>
        <v>190</v>
      </c>
      <c r="E61" s="4">
        <f>(VLOOKUP('14.05'!M61,'14.05'!$AM$4:$AO$55,2,FALSE))*IF('14.05'!AO$4="是",'14.05'!$AY$4,'14.05'!$AY$3)</f>
        <v>190</v>
      </c>
      <c r="F61" s="4">
        <f>(VLOOKUP('14.05'!N61,'14.05'!$AM$4:$AO$55,2,FALSE))*IF('14.05'!AQ$4="是",'14.05'!$AY$4,'14.05'!$AY$3)</f>
        <v>190</v>
      </c>
      <c r="G61" s="5">
        <f>(VLOOKUP('14.05'!O61,'14.05'!$AM$4:$AO$55,2,FALSE))*IF('14.05'!AR$4="是",'14.05'!$AY$4,'14.05'!$AY$3)</f>
        <v>0</v>
      </c>
      <c r="H61" s="5">
        <f>(VLOOKUP('14.05'!P61,'14.05'!$AM$4:$AO$55,2,FALSE))*IF('14.05'!AS$4="是",'14.05'!$AY$4,'14.05'!$AY$3)</f>
        <v>0</v>
      </c>
      <c r="I61" s="4">
        <f>(VLOOKUP('14.05'!Q61,'14.05'!$AM$4:$AO$55,2,FALSE))*IF('14.05'!AT$4="是",'14.05'!$AY$4,'14.05'!$AY$3)</f>
        <v>170</v>
      </c>
      <c r="J61" s="4">
        <f>(VLOOKUP('14.05'!R61,'14.05'!$AM$4:$AO$55,2,FALSE))*IF('14.05'!AU$4="是",'14.05'!$AY$4,'14.05'!$AY$3)</f>
        <v>170</v>
      </c>
      <c r="K61" s="4">
        <f>(VLOOKUP('14.05'!S61,'14.05'!$AM$4:$AO$55,2,FALSE))*IF('14.05'!AV$4="是",'14.05'!$AY$4,'14.05'!$AY$3)</f>
        <v>170</v>
      </c>
      <c r="L61" s="4">
        <f>(VLOOKUP('14.05'!T61,'14.05'!$AM$4:$AO$55,2,FALSE))*IF('14.05'!AW$4="是",'14.05'!$AY$4,'14.05'!$AY$3)</f>
        <v>170</v>
      </c>
      <c r="M61" s="4">
        <f>(VLOOKUP('14.05'!U61,'14.05'!$AM$4:$AO$55,2,FALSE))*IF('14.05'!AX$4="是",'14.05'!$AY$4,'14.05'!$AY$3)</f>
        <v>170</v>
      </c>
      <c r="N61" s="4">
        <f>(VLOOKUP('14.05'!V61,'14.05'!$AM$4:$AO$55,2,FALSE))*IF('14.05'!AY$4="是",'14.05'!$AY$4,'14.05'!$AY$3)</f>
        <v>0</v>
      </c>
      <c r="O61" s="5">
        <f>(VLOOKUP('14.05'!W61,'14.05'!$AM$4:$AO$55,2,FALSE))*IF('14.05'!AZ$4="是",'14.05'!$AY$4,'14.05'!$AY$3)</f>
        <v>0</v>
      </c>
      <c r="P61" s="5">
        <f>(VLOOKUP('14.05'!X61,'14.05'!$AM$4:$AO$55,2,FALSE))*IF('14.05'!BA$4="是",'14.05'!$AY$4,'14.05'!$AY$3)</f>
        <v>0</v>
      </c>
      <c r="Q61" s="4">
        <f>(VLOOKUP('14.05'!Y61,'14.05'!$AM$4:$AO$55,2,FALSE))*IF('14.05'!BB$4="是",'14.05'!$AY$4,'14.05'!$AY$3)</f>
        <v>0</v>
      </c>
      <c r="R61" s="4">
        <f>(VLOOKUP('14.05'!Z61,'14.05'!$AM$4:$AO$55,2,FALSE))*IF('14.05'!BC$4="是",'14.05'!$AY$4,'14.05'!$AY$3)</f>
        <v>0</v>
      </c>
      <c r="S61" s="4">
        <f>(VLOOKUP('14.05'!AA61,'14.05'!$AM$4:$AO$55,2,FALSE))*IF('14.05'!BD$4="是",'14.05'!$AY$4,'14.05'!$AY$3)</f>
        <v>0</v>
      </c>
      <c r="T61" s="4">
        <f>(VLOOKUP('14.05'!AB61,'14.05'!$AM$4:$AO$55,2,FALSE))*IF('14.05'!BE$4="是",'14.05'!$AY$4,'14.05'!$AY$3)</f>
        <v>0</v>
      </c>
      <c r="U61" s="4">
        <f>(VLOOKUP('14.05'!AC61,'14.05'!$AM$4:$AO$55,2,FALSE))*IF('14.05'!BF$4="是",'14.05'!$AY$4,'14.05'!$AY$3)</f>
        <v>0</v>
      </c>
      <c r="V61" s="4">
        <f>(VLOOKUP('14.05'!AD61,'14.05'!$AM$4:$AO$55,2,FALSE))*IF('14.05'!BG$4="是",'14.05'!$AY$4,'14.05'!$AY$3)</f>
        <v>0</v>
      </c>
      <c r="W61" s="5">
        <f>(VLOOKUP('14.05'!AE61,'14.05'!$AM$4:$AO$55,2,FALSE))*IF('14.05'!BH$4="是",'14.05'!$AY$4,'14.05'!$AY$3)</f>
        <v>0</v>
      </c>
      <c r="X61" s="5">
        <f>(VLOOKUP('14.05'!AF61,'14.05'!$AM$4:$AO$55,2,FALSE))*IF('14.05'!BI$4="是",'14.05'!$AY$4,'14.05'!$AY$3)</f>
        <v>0</v>
      </c>
    </row>
    <row r="62" spans="1:24">
      <c r="A62" s="4">
        <f>(VLOOKUP('14.05'!I62,'14.05'!$AM$4:$AO$55,2,FALSE))*IF('14.05'!AK$4="是",'14.05'!$AY$4,'14.05'!$AY$3)</f>
        <v>190</v>
      </c>
      <c r="B62" s="4">
        <f>(VLOOKUP('14.05'!J62,'14.05'!$AM$4:$AO$55,2,FALSE))*IF('14.05'!AL$4="是",'14.05'!$AY$4,'14.05'!$AY$3)</f>
        <v>50</v>
      </c>
      <c r="C62" s="4">
        <f>(VLOOKUP('14.05'!K62,'14.05'!$AM$4:$AO$55,2,FALSE))*IF('14.05'!AM$4="是",'14.05'!$AY$4,'14.05'!$AY$3)</f>
        <v>190</v>
      </c>
      <c r="D62" s="4">
        <f>(VLOOKUP('14.05'!L62,'14.05'!$AM$4:$AO$55,2,FALSE))*IF('14.05'!AN$4="是",'14.05'!$AY$4,'14.05'!$AY$3)</f>
        <v>190</v>
      </c>
      <c r="E62" s="4">
        <f>(VLOOKUP('14.05'!M62,'14.05'!$AM$4:$AO$55,2,FALSE))*IF('14.05'!AO$4="是",'14.05'!$AY$4,'14.05'!$AY$3)</f>
        <v>190</v>
      </c>
      <c r="F62" s="4">
        <f>(VLOOKUP('14.05'!N62,'14.05'!$AM$4:$AO$55,2,FALSE))*IF('14.05'!AQ$4="是",'14.05'!$AY$4,'14.05'!$AY$3)</f>
        <v>190</v>
      </c>
      <c r="G62" s="5">
        <f>(VLOOKUP('14.05'!O62,'14.05'!$AM$4:$AO$55,2,FALSE))*IF('14.05'!AR$4="是",'14.05'!$AY$4,'14.05'!$AY$3)</f>
        <v>0</v>
      </c>
      <c r="H62" s="5">
        <f>(VLOOKUP('14.05'!P62,'14.05'!$AM$4:$AO$55,2,FALSE))*IF('14.05'!AS$4="是",'14.05'!$AY$4,'14.05'!$AY$3)</f>
        <v>0</v>
      </c>
      <c r="I62" s="4">
        <f>(VLOOKUP('14.05'!Q62,'14.05'!$AM$4:$AO$55,2,FALSE))*IF('14.05'!AT$4="是",'14.05'!$AY$4,'14.05'!$AY$3)</f>
        <v>170</v>
      </c>
      <c r="J62" s="4">
        <f>(VLOOKUP('14.05'!R62,'14.05'!$AM$4:$AO$55,2,FALSE))*IF('14.05'!AU$4="是",'14.05'!$AY$4,'14.05'!$AY$3)</f>
        <v>170</v>
      </c>
      <c r="K62" s="4">
        <f>(VLOOKUP('14.05'!S62,'14.05'!$AM$4:$AO$55,2,FALSE))*IF('14.05'!AV$4="是",'14.05'!$AY$4,'14.05'!$AY$3)</f>
        <v>170</v>
      </c>
      <c r="L62" s="4">
        <f>(VLOOKUP('14.05'!T62,'14.05'!$AM$4:$AO$55,2,FALSE))*IF('14.05'!AW$4="是",'14.05'!$AY$4,'14.05'!$AY$3)</f>
        <v>170</v>
      </c>
      <c r="M62" s="4">
        <f>(VLOOKUP('14.05'!U62,'14.05'!$AM$4:$AO$55,2,FALSE))*IF('14.05'!AX$4="是",'14.05'!$AY$4,'14.05'!$AY$3)</f>
        <v>0</v>
      </c>
      <c r="N62" s="4">
        <f>(VLOOKUP('14.05'!V62,'14.05'!$AM$4:$AO$55,2,FALSE))*IF('14.05'!AY$4="是",'14.05'!$AY$4,'14.05'!$AY$3)</f>
        <v>0</v>
      </c>
      <c r="O62" s="5">
        <f>(VLOOKUP('14.05'!W62,'14.05'!$AM$4:$AO$55,2,FALSE))*IF('14.05'!AZ$4="是",'14.05'!$AY$4,'14.05'!$AY$3)</f>
        <v>0</v>
      </c>
      <c r="P62" s="5">
        <f>(VLOOKUP('14.05'!X62,'14.05'!$AM$4:$AO$55,2,FALSE))*IF('14.05'!BA$4="是",'14.05'!$AY$4,'14.05'!$AY$3)</f>
        <v>0</v>
      </c>
      <c r="Q62" s="4">
        <f>(VLOOKUP('14.05'!Y62,'14.05'!$AM$4:$AO$55,2,FALSE))*IF('14.05'!BB$4="是",'14.05'!$AY$4,'14.05'!$AY$3)</f>
        <v>0</v>
      </c>
      <c r="R62" s="4">
        <f>(VLOOKUP('14.05'!Z62,'14.05'!$AM$4:$AO$55,2,FALSE))*IF('14.05'!BC$4="是",'14.05'!$AY$4,'14.05'!$AY$3)</f>
        <v>0</v>
      </c>
      <c r="S62" s="4">
        <f>(VLOOKUP('14.05'!AA62,'14.05'!$AM$4:$AO$55,2,FALSE))*IF('14.05'!BD$4="是",'14.05'!$AY$4,'14.05'!$AY$3)</f>
        <v>0</v>
      </c>
      <c r="T62" s="4">
        <f>(VLOOKUP('14.05'!AB62,'14.05'!$AM$4:$AO$55,2,FALSE))*IF('14.05'!BE$4="是",'14.05'!$AY$4,'14.05'!$AY$3)</f>
        <v>0</v>
      </c>
      <c r="U62" s="4">
        <f>(VLOOKUP('14.05'!AC62,'14.05'!$AM$4:$AO$55,2,FALSE))*IF('14.05'!BF$4="是",'14.05'!$AY$4,'14.05'!$AY$3)</f>
        <v>0</v>
      </c>
      <c r="V62" s="4">
        <f>(VLOOKUP('14.05'!AD62,'14.05'!$AM$4:$AO$55,2,FALSE))*IF('14.05'!BG$4="是",'14.05'!$AY$4,'14.05'!$AY$3)</f>
        <v>0</v>
      </c>
      <c r="W62" s="5">
        <f>(VLOOKUP('14.05'!AE62,'14.05'!$AM$4:$AO$55,2,FALSE))*IF('14.05'!BH$4="是",'14.05'!$AY$4,'14.05'!$AY$3)</f>
        <v>0</v>
      </c>
      <c r="X62" s="5">
        <f>(VLOOKUP('14.05'!AF62,'14.05'!$AM$4:$AO$55,2,FALSE))*IF('14.05'!BI$4="是",'14.05'!$AY$4,'14.05'!$AY$3)</f>
        <v>0</v>
      </c>
    </row>
    <row r="63" spans="1:24">
      <c r="A63" s="4">
        <f>(VLOOKUP('14.05'!I63,'14.05'!$AM$4:$AO$55,2,FALSE))*IF('14.05'!AK$4="是",'14.05'!$AY$4,'14.05'!$AY$3)</f>
        <v>190</v>
      </c>
      <c r="B63" s="4">
        <f>(VLOOKUP('14.05'!J63,'14.05'!$AM$4:$AO$55,2,FALSE))*IF('14.05'!AL$4="是",'14.05'!$AY$4,'14.05'!$AY$3)</f>
        <v>190</v>
      </c>
      <c r="C63" s="4">
        <f>(VLOOKUP('14.05'!K63,'14.05'!$AM$4:$AO$55,2,FALSE))*IF('14.05'!AM$4="是",'14.05'!$AY$4,'14.05'!$AY$3)</f>
        <v>180</v>
      </c>
      <c r="D63" s="4">
        <f>(VLOOKUP('14.05'!L63,'14.05'!$AM$4:$AO$55,2,FALSE))*IF('14.05'!AN$4="是",'14.05'!$AY$4,'14.05'!$AY$3)</f>
        <v>180</v>
      </c>
      <c r="E63" s="4">
        <f>(VLOOKUP('14.05'!M63,'14.05'!$AM$4:$AO$55,2,FALSE))*IF('14.05'!AO$4="是",'14.05'!$AY$4,'14.05'!$AY$3)</f>
        <v>180</v>
      </c>
      <c r="F63" s="4">
        <f>(VLOOKUP('14.05'!N63,'14.05'!$AM$4:$AO$55,2,FALSE))*IF('14.05'!AQ$4="是",'14.05'!$AY$4,'14.05'!$AY$3)</f>
        <v>190</v>
      </c>
      <c r="G63" s="5">
        <f>(VLOOKUP('14.05'!O63,'14.05'!$AM$4:$AO$55,2,FALSE))*IF('14.05'!AR$4="是",'14.05'!$AY$4,'14.05'!$AY$3)</f>
        <v>0</v>
      </c>
      <c r="H63" s="5">
        <f>(VLOOKUP('14.05'!P63,'14.05'!$AM$4:$AO$55,2,FALSE))*IF('14.05'!AS$4="是",'14.05'!$AY$4,'14.05'!$AY$3)</f>
        <v>0</v>
      </c>
      <c r="I63" s="4">
        <f>(VLOOKUP('14.05'!Q63,'14.05'!$AM$4:$AO$55,2,FALSE))*IF('14.05'!AT$4="是",'14.05'!$AY$4,'14.05'!$AY$3)</f>
        <v>0</v>
      </c>
      <c r="J63" s="4">
        <f>(VLOOKUP('14.05'!R63,'14.05'!$AM$4:$AO$55,2,FALSE))*IF('14.05'!AU$4="是",'14.05'!$AY$4,'14.05'!$AY$3)</f>
        <v>0</v>
      </c>
      <c r="K63" s="4">
        <f>(VLOOKUP('14.05'!S63,'14.05'!$AM$4:$AO$55,2,FALSE))*IF('14.05'!AV$4="是",'14.05'!$AY$4,'14.05'!$AY$3)</f>
        <v>0</v>
      </c>
      <c r="L63" s="4">
        <f>(VLOOKUP('14.05'!T63,'14.05'!$AM$4:$AO$55,2,FALSE))*IF('14.05'!AW$4="是",'14.05'!$AY$4,'14.05'!$AY$3)</f>
        <v>0</v>
      </c>
      <c r="M63" s="4">
        <f>(VLOOKUP('14.05'!U63,'14.05'!$AM$4:$AO$55,2,FALSE))*IF('14.05'!AX$4="是",'14.05'!$AY$4,'14.05'!$AY$3)</f>
        <v>0</v>
      </c>
      <c r="N63" s="4">
        <f>(VLOOKUP('14.05'!V63,'14.05'!$AM$4:$AO$55,2,FALSE))*IF('14.05'!AY$4="是",'14.05'!$AY$4,'14.05'!$AY$3)</f>
        <v>0</v>
      </c>
      <c r="O63" s="5">
        <f>(VLOOKUP('14.05'!W63,'14.05'!$AM$4:$AO$55,2,FALSE))*IF('14.05'!AZ$4="是",'14.05'!$AY$4,'14.05'!$AY$3)</f>
        <v>0</v>
      </c>
      <c r="P63" s="5">
        <f>(VLOOKUP('14.05'!X63,'14.05'!$AM$4:$AO$55,2,FALSE))*IF('14.05'!BA$4="是",'14.05'!$AY$4,'14.05'!$AY$3)</f>
        <v>0</v>
      </c>
      <c r="Q63" s="4">
        <f>(VLOOKUP('14.05'!Y63,'14.05'!$AM$4:$AO$55,2,FALSE))*IF('14.05'!BB$4="是",'14.05'!$AY$4,'14.05'!$AY$3)</f>
        <v>0</v>
      </c>
      <c r="R63" s="4">
        <f>(VLOOKUP('14.05'!Z63,'14.05'!$AM$4:$AO$55,2,FALSE))*IF('14.05'!BC$4="是",'14.05'!$AY$4,'14.05'!$AY$3)</f>
        <v>0</v>
      </c>
      <c r="S63" s="4">
        <f>(VLOOKUP('14.05'!AA63,'14.05'!$AM$4:$AO$55,2,FALSE))*IF('14.05'!BD$4="是",'14.05'!$AY$4,'14.05'!$AY$3)</f>
        <v>0</v>
      </c>
      <c r="T63" s="4">
        <f>(VLOOKUP('14.05'!AB63,'14.05'!$AM$4:$AO$55,2,FALSE))*IF('14.05'!BE$4="是",'14.05'!$AY$4,'14.05'!$AY$3)</f>
        <v>0</v>
      </c>
      <c r="U63" s="4">
        <f>(VLOOKUP('14.05'!AC63,'14.05'!$AM$4:$AO$55,2,FALSE))*IF('14.05'!BF$4="是",'14.05'!$AY$4,'14.05'!$AY$3)</f>
        <v>0</v>
      </c>
      <c r="V63" s="4">
        <f>(VLOOKUP('14.05'!AD63,'14.05'!$AM$4:$AO$55,2,FALSE))*IF('14.05'!BG$4="是",'14.05'!$AY$4,'14.05'!$AY$3)</f>
        <v>0</v>
      </c>
      <c r="W63" s="5">
        <f>(VLOOKUP('14.05'!AE63,'14.05'!$AM$4:$AO$55,2,FALSE))*IF('14.05'!BH$4="是",'14.05'!$AY$4,'14.05'!$AY$3)</f>
        <v>0</v>
      </c>
      <c r="X63" s="5">
        <f>(VLOOKUP('14.05'!AF63,'14.05'!$AM$4:$AO$55,2,FALSE))*IF('14.05'!BI$4="是",'14.05'!$AY$4,'14.05'!$AY$3)</f>
        <v>0</v>
      </c>
    </row>
    <row r="64" spans="1:24">
      <c r="A64" s="4">
        <f>(VLOOKUP('14.05'!I64,'14.05'!$AM$4:$AO$55,2,FALSE))*IF('14.05'!AK$4="是",'14.05'!$AY$4,'14.05'!$AY$3)</f>
        <v>190</v>
      </c>
      <c r="B64" s="4">
        <f>(VLOOKUP('14.05'!J64,'14.05'!$AM$4:$AO$55,2,FALSE))*IF('14.05'!AL$4="是",'14.05'!$AY$4,'14.05'!$AY$3)</f>
        <v>190</v>
      </c>
      <c r="C64" s="4">
        <f>(VLOOKUP('14.05'!K64,'14.05'!$AM$4:$AO$55,2,FALSE))*IF('14.05'!AM$4="是",'14.05'!$AY$4,'14.05'!$AY$3)</f>
        <v>190</v>
      </c>
      <c r="D64" s="4">
        <f>(VLOOKUP('14.05'!L64,'14.05'!$AM$4:$AO$55,2,FALSE))*IF('14.05'!AN$4="是",'14.05'!$AY$4,'14.05'!$AY$3)</f>
        <v>190</v>
      </c>
      <c r="E64" s="4">
        <f>(VLOOKUP('14.05'!M64,'14.05'!$AM$4:$AO$55,2,FALSE))*IF('14.05'!AO$4="是",'14.05'!$AY$4,'14.05'!$AY$3)</f>
        <v>180</v>
      </c>
      <c r="F64" s="4">
        <f>(VLOOKUP('14.05'!N64,'14.05'!$AM$4:$AO$55,2,FALSE))*IF('14.05'!AQ$4="是",'14.05'!$AY$4,'14.05'!$AY$3)</f>
        <v>180</v>
      </c>
      <c r="G64" s="5">
        <f>(VLOOKUP('14.05'!O64,'14.05'!$AM$4:$AO$55,2,FALSE))*IF('14.05'!AR$4="是",'14.05'!$AY$4,'14.05'!$AY$3)</f>
        <v>0</v>
      </c>
      <c r="H64" s="5">
        <f>(VLOOKUP('14.05'!P64,'14.05'!$AM$4:$AO$55,2,FALSE))*IF('14.05'!AS$4="是",'14.05'!$AY$4,'14.05'!$AY$3)</f>
        <v>0</v>
      </c>
      <c r="I64" s="4">
        <f>(VLOOKUP('14.05'!Q64,'14.05'!$AM$4:$AO$55,2,FALSE))*IF('14.05'!AT$4="是",'14.05'!$AY$4,'14.05'!$AY$3)</f>
        <v>0</v>
      </c>
      <c r="J64" s="4">
        <f>(VLOOKUP('14.05'!R64,'14.05'!$AM$4:$AO$55,2,FALSE))*IF('14.05'!AU$4="是",'14.05'!$AY$4,'14.05'!$AY$3)</f>
        <v>0</v>
      </c>
      <c r="K64" s="4">
        <f>(VLOOKUP('14.05'!S64,'14.05'!$AM$4:$AO$55,2,FALSE))*IF('14.05'!AV$4="是",'14.05'!$AY$4,'14.05'!$AY$3)</f>
        <v>0</v>
      </c>
      <c r="L64" s="4">
        <f>(VLOOKUP('14.05'!T64,'14.05'!$AM$4:$AO$55,2,FALSE))*IF('14.05'!AW$4="是",'14.05'!$AY$4,'14.05'!$AY$3)</f>
        <v>0</v>
      </c>
      <c r="M64" s="4">
        <f>(VLOOKUP('14.05'!U64,'14.05'!$AM$4:$AO$55,2,FALSE))*IF('14.05'!AX$4="是",'14.05'!$AY$4,'14.05'!$AY$3)</f>
        <v>0</v>
      </c>
      <c r="N64" s="4">
        <f>(VLOOKUP('14.05'!V64,'14.05'!$AM$4:$AO$55,2,FALSE))*IF('14.05'!AY$4="是",'14.05'!$AY$4,'14.05'!$AY$3)</f>
        <v>0</v>
      </c>
      <c r="O64" s="5">
        <f>(VLOOKUP('14.05'!W64,'14.05'!$AM$4:$AO$55,2,FALSE))*IF('14.05'!AZ$4="是",'14.05'!$AY$4,'14.05'!$AY$3)</f>
        <v>0</v>
      </c>
      <c r="P64" s="5">
        <f>(VLOOKUP('14.05'!X64,'14.05'!$AM$4:$AO$55,2,FALSE))*IF('14.05'!BA$4="是",'14.05'!$AY$4,'14.05'!$AY$3)</f>
        <v>0</v>
      </c>
      <c r="Q64" s="4">
        <f>(VLOOKUP('14.05'!Y64,'14.05'!$AM$4:$AO$55,2,FALSE))*IF('14.05'!BB$4="是",'14.05'!$AY$4,'14.05'!$AY$3)</f>
        <v>0</v>
      </c>
      <c r="R64" s="4">
        <f>(VLOOKUP('14.05'!Z64,'14.05'!$AM$4:$AO$55,2,FALSE))*IF('14.05'!BC$4="是",'14.05'!$AY$4,'14.05'!$AY$3)</f>
        <v>0</v>
      </c>
      <c r="S64" s="4">
        <f>(VLOOKUP('14.05'!AA64,'14.05'!$AM$4:$AO$55,2,FALSE))*IF('14.05'!BD$4="是",'14.05'!$AY$4,'14.05'!$AY$3)</f>
        <v>0</v>
      </c>
      <c r="T64" s="4">
        <f>(VLOOKUP('14.05'!AB64,'14.05'!$AM$4:$AO$55,2,FALSE))*IF('14.05'!BE$4="是",'14.05'!$AY$4,'14.05'!$AY$3)</f>
        <v>0</v>
      </c>
      <c r="U64" s="4">
        <f>(VLOOKUP('14.05'!AC64,'14.05'!$AM$4:$AO$55,2,FALSE))*IF('14.05'!BF$4="是",'14.05'!$AY$4,'14.05'!$AY$3)</f>
        <v>0</v>
      </c>
      <c r="V64" s="4">
        <f>(VLOOKUP('14.05'!AD64,'14.05'!$AM$4:$AO$55,2,FALSE))*IF('14.05'!BG$4="是",'14.05'!$AY$4,'14.05'!$AY$3)</f>
        <v>0</v>
      </c>
      <c r="W64" s="5">
        <f>(VLOOKUP('14.05'!AE64,'14.05'!$AM$4:$AO$55,2,FALSE))*IF('14.05'!BH$4="是",'14.05'!$AY$4,'14.05'!$AY$3)</f>
        <v>0</v>
      </c>
      <c r="X64" s="5">
        <f>(VLOOKUP('14.05'!AF64,'14.05'!$AM$4:$AO$55,2,FALSE))*IF('14.05'!BI$4="是",'14.05'!$AY$4,'14.05'!$AY$3)</f>
        <v>0</v>
      </c>
    </row>
    <row r="65" spans="1:24">
      <c r="A65" s="4">
        <f>(VLOOKUP('14.05'!I65,'14.05'!$AM$4:$AO$55,2,FALSE))*IF('14.05'!AK$4="是",'14.05'!$AY$4,'14.05'!$AY$3)</f>
        <v>180</v>
      </c>
      <c r="B65" s="4">
        <f>(VLOOKUP('14.05'!J65,'14.05'!$AM$4:$AO$55,2,FALSE))*IF('14.05'!AL$4="是",'14.05'!$AY$4,'14.05'!$AY$3)</f>
        <v>180</v>
      </c>
      <c r="C65" s="4">
        <f>(VLOOKUP('14.05'!K65,'14.05'!$AM$4:$AO$55,2,FALSE))*IF('14.05'!AM$4="是",'14.05'!$AY$4,'14.05'!$AY$3)</f>
        <v>180</v>
      </c>
      <c r="D65" s="4">
        <f>(VLOOKUP('14.05'!L65,'14.05'!$AM$4:$AO$55,2,FALSE))*IF('14.05'!AN$4="是",'14.05'!$AY$4,'14.05'!$AY$3)</f>
        <v>150</v>
      </c>
      <c r="E65" s="4">
        <f>(VLOOKUP('14.05'!M65,'14.05'!$AM$4:$AO$55,2,FALSE))*IF('14.05'!AO$4="是",'14.05'!$AY$4,'14.05'!$AY$3)</f>
        <v>180</v>
      </c>
      <c r="F65" s="4">
        <f>(VLOOKUP('14.05'!N65,'14.05'!$AM$4:$AO$55,2,FALSE))*IF('14.05'!AQ$4="是",'14.05'!$AY$4,'14.05'!$AY$3)</f>
        <v>180</v>
      </c>
      <c r="G65" s="5">
        <f>(VLOOKUP('14.05'!O65,'14.05'!$AM$4:$AO$55,2,FALSE))*IF('14.05'!AR$4="是",'14.05'!$AY$4,'14.05'!$AY$3)</f>
        <v>0</v>
      </c>
      <c r="H65" s="5">
        <f>(VLOOKUP('14.05'!P65,'14.05'!$AM$4:$AO$55,2,FALSE))*IF('14.05'!AS$4="是",'14.05'!$AY$4,'14.05'!$AY$3)</f>
        <v>0</v>
      </c>
      <c r="I65" s="4">
        <f>(VLOOKUP('14.05'!Q65,'14.05'!$AM$4:$AO$55,2,FALSE))*IF('14.05'!AT$4="是",'14.05'!$AY$4,'14.05'!$AY$3)</f>
        <v>0</v>
      </c>
      <c r="J65" s="4">
        <f>(VLOOKUP('14.05'!R65,'14.05'!$AM$4:$AO$55,2,FALSE))*IF('14.05'!AU$4="是",'14.05'!$AY$4,'14.05'!$AY$3)</f>
        <v>0</v>
      </c>
      <c r="K65" s="4">
        <f>(VLOOKUP('14.05'!S65,'14.05'!$AM$4:$AO$55,2,FALSE))*IF('14.05'!AV$4="是",'14.05'!$AY$4,'14.05'!$AY$3)</f>
        <v>0</v>
      </c>
      <c r="L65" s="4">
        <f>(VLOOKUP('14.05'!T65,'14.05'!$AM$4:$AO$55,2,FALSE))*IF('14.05'!AW$4="是",'14.05'!$AY$4,'14.05'!$AY$3)</f>
        <v>0</v>
      </c>
      <c r="M65" s="4">
        <f>(VLOOKUP('14.05'!U65,'14.05'!$AM$4:$AO$55,2,FALSE))*IF('14.05'!AX$4="是",'14.05'!$AY$4,'14.05'!$AY$3)</f>
        <v>0</v>
      </c>
      <c r="N65" s="4">
        <f>(VLOOKUP('14.05'!V65,'14.05'!$AM$4:$AO$55,2,FALSE))*IF('14.05'!AY$4="是",'14.05'!$AY$4,'14.05'!$AY$3)</f>
        <v>0</v>
      </c>
      <c r="O65" s="5">
        <f>(VLOOKUP('14.05'!W65,'14.05'!$AM$4:$AO$55,2,FALSE))*IF('14.05'!AZ$4="是",'14.05'!$AY$4,'14.05'!$AY$3)</f>
        <v>0</v>
      </c>
      <c r="P65" s="5">
        <f>(VLOOKUP('14.05'!X65,'14.05'!$AM$4:$AO$55,2,FALSE))*IF('14.05'!BA$4="是",'14.05'!$AY$4,'14.05'!$AY$3)</f>
        <v>0</v>
      </c>
      <c r="Q65" s="4">
        <f>(VLOOKUP('14.05'!Y65,'14.05'!$AM$4:$AO$55,2,FALSE))*IF('14.05'!BB$4="是",'14.05'!$AY$4,'14.05'!$AY$3)</f>
        <v>0</v>
      </c>
      <c r="R65" s="4">
        <f>(VLOOKUP('14.05'!Z65,'14.05'!$AM$4:$AO$55,2,FALSE))*IF('14.05'!BC$4="是",'14.05'!$AY$4,'14.05'!$AY$3)</f>
        <v>0</v>
      </c>
      <c r="S65" s="4">
        <f>(VLOOKUP('14.05'!AA65,'14.05'!$AM$4:$AO$55,2,FALSE))*IF('14.05'!BD$4="是",'14.05'!$AY$4,'14.05'!$AY$3)</f>
        <v>0</v>
      </c>
      <c r="T65" s="4">
        <f>(VLOOKUP('14.05'!AB65,'14.05'!$AM$4:$AO$55,2,FALSE))*IF('14.05'!BE$4="是",'14.05'!$AY$4,'14.05'!$AY$3)</f>
        <v>0</v>
      </c>
      <c r="U65" s="4">
        <f>(VLOOKUP('14.05'!AC65,'14.05'!$AM$4:$AO$55,2,FALSE))*IF('14.05'!BF$4="是",'14.05'!$AY$4,'14.05'!$AY$3)</f>
        <v>0</v>
      </c>
      <c r="V65" s="4">
        <f>(VLOOKUP('14.05'!AD65,'14.05'!$AM$4:$AO$55,2,FALSE))*IF('14.05'!BG$4="是",'14.05'!$AY$4,'14.05'!$AY$3)</f>
        <v>0</v>
      </c>
      <c r="W65" s="5">
        <f>(VLOOKUP('14.05'!AE65,'14.05'!$AM$4:$AO$55,2,FALSE))*IF('14.05'!BH$4="是",'14.05'!$AY$4,'14.05'!$AY$3)</f>
        <v>0</v>
      </c>
      <c r="X65" s="5">
        <f>(VLOOKUP('14.05'!AF65,'14.05'!$AM$4:$AO$55,2,FALSE))*IF('14.05'!BI$4="是",'14.05'!$AY$4,'14.05'!$AY$3)</f>
        <v>0</v>
      </c>
    </row>
    <row r="66" spans="1:24">
      <c r="A66" s="4">
        <f>(VLOOKUP('14.05'!I66,'14.05'!$AM$4:$AO$55,2,FALSE))*IF('14.05'!AK$4="是",'14.05'!$AY$4,'14.05'!$AY$3)</f>
        <v>180</v>
      </c>
      <c r="B66" s="4">
        <f>(VLOOKUP('14.05'!J66,'14.05'!$AM$4:$AO$55,2,FALSE))*IF('14.05'!AL$4="是",'14.05'!$AY$4,'14.05'!$AY$3)</f>
        <v>180</v>
      </c>
      <c r="C66" s="4">
        <f>(VLOOKUP('14.05'!K66,'14.05'!$AM$4:$AO$55,2,FALSE))*IF('14.05'!AM$4="是",'14.05'!$AY$4,'14.05'!$AY$3)</f>
        <v>180</v>
      </c>
      <c r="D66" s="4">
        <f>(VLOOKUP('14.05'!L66,'14.05'!$AM$4:$AO$55,2,FALSE))*IF('14.05'!AN$4="是",'14.05'!$AY$4,'14.05'!$AY$3)</f>
        <v>180</v>
      </c>
      <c r="E66" s="4">
        <f>(VLOOKUP('14.05'!M66,'14.05'!$AM$4:$AO$55,2,FALSE))*IF('14.05'!AO$4="是",'14.05'!$AY$4,'14.05'!$AY$3)</f>
        <v>180</v>
      </c>
      <c r="F66" s="4">
        <f>(VLOOKUP('14.05'!N66,'14.05'!$AM$4:$AO$55,2,FALSE))*IF('14.05'!AQ$4="是",'14.05'!$AY$4,'14.05'!$AY$3)</f>
        <v>180</v>
      </c>
      <c r="G66" s="5">
        <f>(VLOOKUP('14.05'!O66,'14.05'!$AM$4:$AO$55,2,FALSE))*IF('14.05'!AR$4="是",'14.05'!$AY$4,'14.05'!$AY$3)</f>
        <v>0</v>
      </c>
      <c r="H66" s="5">
        <f>(VLOOKUP('14.05'!P66,'14.05'!$AM$4:$AO$55,2,FALSE))*IF('14.05'!AS$4="是",'14.05'!$AY$4,'14.05'!$AY$3)</f>
        <v>0</v>
      </c>
      <c r="I66" s="4">
        <f>(VLOOKUP('14.05'!Q66,'14.05'!$AM$4:$AO$55,2,FALSE))*IF('14.05'!AT$4="是",'14.05'!$AY$4,'14.05'!$AY$3)</f>
        <v>0</v>
      </c>
      <c r="J66" s="4">
        <f>(VLOOKUP('14.05'!R66,'14.05'!$AM$4:$AO$55,2,FALSE))*IF('14.05'!AU$4="是",'14.05'!$AY$4,'14.05'!$AY$3)</f>
        <v>0</v>
      </c>
      <c r="K66" s="4">
        <f>(VLOOKUP('14.05'!S66,'14.05'!$AM$4:$AO$55,2,FALSE))*IF('14.05'!AV$4="是",'14.05'!$AY$4,'14.05'!$AY$3)</f>
        <v>0</v>
      </c>
      <c r="L66" s="4">
        <f>(VLOOKUP('14.05'!T66,'14.05'!$AM$4:$AO$55,2,FALSE))*IF('14.05'!AW$4="是",'14.05'!$AY$4,'14.05'!$AY$3)</f>
        <v>0</v>
      </c>
      <c r="M66" s="4">
        <f>(VLOOKUP('14.05'!U66,'14.05'!$AM$4:$AO$55,2,FALSE))*IF('14.05'!AX$4="是",'14.05'!$AY$4,'14.05'!$AY$3)</f>
        <v>0</v>
      </c>
      <c r="N66" s="4">
        <f>(VLOOKUP('14.05'!V66,'14.05'!$AM$4:$AO$55,2,FALSE))*IF('14.05'!AY$4="是",'14.05'!$AY$4,'14.05'!$AY$3)</f>
        <v>0</v>
      </c>
      <c r="O66" s="5">
        <f>(VLOOKUP('14.05'!W66,'14.05'!$AM$4:$AO$55,2,FALSE))*IF('14.05'!AZ$4="是",'14.05'!$AY$4,'14.05'!$AY$3)</f>
        <v>0</v>
      </c>
      <c r="P66" s="5">
        <f>(VLOOKUP('14.05'!X66,'14.05'!$AM$4:$AO$55,2,FALSE))*IF('14.05'!BA$4="是",'14.05'!$AY$4,'14.05'!$AY$3)</f>
        <v>0</v>
      </c>
      <c r="Q66" s="4">
        <f>(VLOOKUP('14.05'!Y66,'14.05'!$AM$4:$AO$55,2,FALSE))*IF('14.05'!BB$4="是",'14.05'!$AY$4,'14.05'!$AY$3)</f>
        <v>170</v>
      </c>
      <c r="R66" s="4">
        <f>(VLOOKUP('14.05'!Z66,'14.05'!$AM$4:$AO$55,2,FALSE))*IF('14.05'!BC$4="是",'14.05'!$AY$4,'14.05'!$AY$3)</f>
        <v>170</v>
      </c>
      <c r="S66" s="4">
        <f>(VLOOKUP('14.05'!AA66,'14.05'!$AM$4:$AO$55,2,FALSE))*IF('14.05'!BD$4="是",'14.05'!$AY$4,'14.05'!$AY$3)</f>
        <v>170</v>
      </c>
      <c r="T66" s="4">
        <f>(VLOOKUP('14.05'!AB66,'14.05'!$AM$4:$AO$55,2,FALSE))*IF('14.05'!BE$4="是",'14.05'!$AY$4,'14.05'!$AY$3)</f>
        <v>170</v>
      </c>
      <c r="U66" s="4">
        <f>(VLOOKUP('14.05'!AC66,'14.05'!$AM$4:$AO$55,2,FALSE))*IF('14.05'!BF$4="是",'14.05'!$AY$4,'14.05'!$AY$3)</f>
        <v>180</v>
      </c>
      <c r="V66" s="4">
        <f>(VLOOKUP('14.05'!AD66,'14.05'!$AM$4:$AO$55,2,FALSE))*IF('14.05'!BG$4="是",'14.05'!$AY$4,'14.05'!$AY$3)</f>
        <v>180</v>
      </c>
      <c r="W66" s="5">
        <f>(VLOOKUP('14.05'!AE66,'14.05'!$AM$4:$AO$55,2,FALSE))*IF('14.05'!BH$4="是",'14.05'!$AY$4,'14.05'!$AY$3)</f>
        <v>0</v>
      </c>
      <c r="X66" s="5">
        <f>(VLOOKUP('14.05'!AF66,'14.05'!$AM$4:$AO$55,2,FALSE))*IF('14.05'!BI$4="是",'14.05'!$AY$4,'14.05'!$AY$3)</f>
        <v>0</v>
      </c>
    </row>
    <row r="67" spans="1:24">
      <c r="A67" s="4">
        <f>(VLOOKUP('14.05'!I67,'14.05'!$AM$4:$AO$55,2,FALSE))*IF('14.05'!AK$4="是",'14.05'!$AY$4,'14.05'!$AY$3)</f>
        <v>180</v>
      </c>
      <c r="B67" s="4">
        <f>(VLOOKUP('14.05'!J67,'14.05'!$AM$4:$AO$55,2,FALSE))*IF('14.05'!AL$4="是",'14.05'!$AY$4,'14.05'!$AY$3)</f>
        <v>180</v>
      </c>
      <c r="C67" s="4">
        <f>(VLOOKUP('14.05'!K67,'14.05'!$AM$4:$AO$55,2,FALSE))*IF('14.05'!AM$4="是",'14.05'!$AY$4,'14.05'!$AY$3)</f>
        <v>180</v>
      </c>
      <c r="D67" s="4">
        <f>(VLOOKUP('14.05'!L67,'14.05'!$AM$4:$AO$55,2,FALSE))*IF('14.05'!AN$4="是",'14.05'!$AY$4,'14.05'!$AY$3)</f>
        <v>180</v>
      </c>
      <c r="E67" s="4">
        <f>(VLOOKUP('14.05'!M67,'14.05'!$AM$4:$AO$55,2,FALSE))*IF('14.05'!AO$4="是",'14.05'!$AY$4,'14.05'!$AY$3)</f>
        <v>0</v>
      </c>
      <c r="F67" s="4">
        <f>(VLOOKUP('14.05'!N67,'14.05'!$AM$4:$AO$55,2,FALSE))*IF('14.05'!AQ$4="是",'14.05'!$AY$4,'14.05'!$AY$3)</f>
        <v>0</v>
      </c>
      <c r="G67" s="5">
        <f>(VLOOKUP('14.05'!O67,'14.05'!$AM$4:$AO$55,2,FALSE))*IF('14.05'!AR$4="是",'14.05'!$AY$4,'14.05'!$AY$3)</f>
        <v>0</v>
      </c>
      <c r="H67" s="5">
        <f>(VLOOKUP('14.05'!P67,'14.05'!$AM$4:$AO$55,2,FALSE))*IF('14.05'!AS$4="是",'14.05'!$AY$4,'14.05'!$AY$3)</f>
        <v>0</v>
      </c>
      <c r="I67" s="4">
        <f>(VLOOKUP('14.05'!Q67,'14.05'!$AM$4:$AO$55,2,FALSE))*IF('14.05'!AT$4="是",'14.05'!$AY$4,'14.05'!$AY$3)</f>
        <v>0</v>
      </c>
      <c r="J67" s="4">
        <f>(VLOOKUP('14.05'!R67,'14.05'!$AM$4:$AO$55,2,FALSE))*IF('14.05'!AU$4="是",'14.05'!$AY$4,'14.05'!$AY$3)</f>
        <v>0</v>
      </c>
      <c r="K67" s="4">
        <f>(VLOOKUP('14.05'!S67,'14.05'!$AM$4:$AO$55,2,FALSE))*IF('14.05'!AV$4="是",'14.05'!$AY$4,'14.05'!$AY$3)</f>
        <v>0</v>
      </c>
      <c r="L67" s="4">
        <f>(VLOOKUP('14.05'!T67,'14.05'!$AM$4:$AO$55,2,FALSE))*IF('14.05'!AW$4="是",'14.05'!$AY$4,'14.05'!$AY$3)</f>
        <v>0</v>
      </c>
      <c r="M67" s="4">
        <f>(VLOOKUP('14.05'!U67,'14.05'!$AM$4:$AO$55,2,FALSE))*IF('14.05'!AX$4="是",'14.05'!$AY$4,'14.05'!$AY$3)</f>
        <v>0</v>
      </c>
      <c r="N67" s="4">
        <f>(VLOOKUP('14.05'!V67,'14.05'!$AM$4:$AO$55,2,FALSE))*IF('14.05'!AY$4="是",'14.05'!$AY$4,'14.05'!$AY$3)</f>
        <v>0</v>
      </c>
      <c r="O67" s="5">
        <f>(VLOOKUP('14.05'!W67,'14.05'!$AM$4:$AO$55,2,FALSE))*IF('14.05'!AZ$4="是",'14.05'!$AY$4,'14.05'!$AY$3)</f>
        <v>0</v>
      </c>
      <c r="P67" s="5">
        <f>(VLOOKUP('14.05'!X67,'14.05'!$AM$4:$AO$55,2,FALSE))*IF('14.05'!BA$4="是",'14.05'!$AY$4,'14.05'!$AY$3)</f>
        <v>0</v>
      </c>
      <c r="Q67" s="4">
        <f>(VLOOKUP('14.05'!Y67,'14.05'!$AM$4:$AO$55,2,FALSE))*IF('14.05'!BB$4="是",'14.05'!$AY$4,'14.05'!$AY$3)</f>
        <v>180</v>
      </c>
      <c r="R67" s="4">
        <f>(VLOOKUP('14.05'!Z67,'14.05'!$AM$4:$AO$55,2,FALSE))*IF('14.05'!BC$4="是",'14.05'!$AY$4,'14.05'!$AY$3)</f>
        <v>180</v>
      </c>
      <c r="S67" s="4">
        <f>(VLOOKUP('14.05'!AA67,'14.05'!$AM$4:$AO$55,2,FALSE))*IF('14.05'!BD$4="是",'14.05'!$AY$4,'14.05'!$AY$3)</f>
        <v>180</v>
      </c>
      <c r="T67" s="4">
        <f>(VLOOKUP('14.05'!AB67,'14.05'!$AM$4:$AO$55,2,FALSE))*IF('14.05'!BE$4="是",'14.05'!$AY$4,'14.05'!$AY$3)</f>
        <v>180</v>
      </c>
      <c r="U67" s="4">
        <f>(VLOOKUP('14.05'!AC67,'14.05'!$AM$4:$AO$55,2,FALSE))*IF('14.05'!BF$4="是",'14.05'!$AY$4,'14.05'!$AY$3)</f>
        <v>180</v>
      </c>
      <c r="V67" s="4">
        <f>(VLOOKUP('14.05'!AD67,'14.05'!$AM$4:$AO$55,2,FALSE))*IF('14.05'!BG$4="是",'14.05'!$AY$4,'14.05'!$AY$3)</f>
        <v>180</v>
      </c>
      <c r="W67" s="5">
        <f>(VLOOKUP('14.05'!AE67,'14.05'!$AM$4:$AO$55,2,FALSE))*IF('14.05'!BH$4="是",'14.05'!$AY$4,'14.05'!$AY$3)</f>
        <v>0</v>
      </c>
      <c r="X67" s="5">
        <f>(VLOOKUP('14.05'!AF67,'14.05'!$AM$4:$AO$55,2,FALSE))*IF('14.05'!BI$4="是",'14.05'!$AY$4,'14.05'!$AY$3)</f>
        <v>0</v>
      </c>
    </row>
    <row r="68" spans="1:24">
      <c r="A68" s="4">
        <f>(VLOOKUP('14.05'!I68,'14.05'!$AM$4:$AO$55,2,FALSE))*IF('14.05'!AK$4="是",'14.05'!$AY$4,'14.05'!$AY$3)</f>
        <v>0</v>
      </c>
      <c r="B68" s="4">
        <f>(VLOOKUP('14.05'!J68,'14.05'!$AM$4:$AO$55,2,FALSE))*IF('14.05'!AL$4="是",'14.05'!$AY$4,'14.05'!$AY$3)</f>
        <v>0</v>
      </c>
      <c r="C68" s="4">
        <f>(VLOOKUP('14.05'!K68,'14.05'!$AM$4:$AO$55,2,FALSE))*IF('14.05'!AM$4="是",'14.05'!$AY$4,'14.05'!$AY$3)</f>
        <v>0</v>
      </c>
      <c r="D68" s="4">
        <f>(VLOOKUP('14.05'!L68,'14.05'!$AM$4:$AO$55,2,FALSE))*IF('14.05'!AN$4="是",'14.05'!$AY$4,'14.05'!$AY$3)</f>
        <v>0</v>
      </c>
      <c r="E68" s="4">
        <f>(VLOOKUP('14.05'!M68,'14.05'!$AM$4:$AO$55,2,FALSE))*IF('14.05'!AO$4="是",'14.05'!$AY$4,'14.05'!$AY$3)</f>
        <v>0</v>
      </c>
      <c r="F68" s="4">
        <f>(VLOOKUP('14.05'!N68,'14.05'!$AM$4:$AO$55,2,FALSE))*IF('14.05'!AQ$4="是",'14.05'!$AY$4,'14.05'!$AY$3)</f>
        <v>0</v>
      </c>
      <c r="G68" s="5">
        <f>(VLOOKUP('14.05'!O68,'14.05'!$AM$4:$AO$55,2,FALSE))*IF('14.05'!AR$4="是",'14.05'!$AY$4,'14.05'!$AY$3)</f>
        <v>0</v>
      </c>
      <c r="H68" s="5">
        <f>(VLOOKUP('14.05'!P68,'14.05'!$AM$4:$AO$55,2,FALSE))*IF('14.05'!AS$4="是",'14.05'!$AY$4,'14.05'!$AY$3)</f>
        <v>0</v>
      </c>
      <c r="I68" s="4">
        <f>(VLOOKUP('14.05'!Q68,'14.05'!$AM$4:$AO$55,2,FALSE))*IF('14.05'!AT$4="是",'14.05'!$AY$4,'14.05'!$AY$3)</f>
        <v>0</v>
      </c>
      <c r="J68" s="4">
        <f>(VLOOKUP('14.05'!R68,'14.05'!$AM$4:$AO$55,2,FALSE))*IF('14.05'!AU$4="是",'14.05'!$AY$4,'14.05'!$AY$3)</f>
        <v>0</v>
      </c>
      <c r="K68" s="4">
        <f>(VLOOKUP('14.05'!S68,'14.05'!$AM$4:$AO$55,2,FALSE))*IF('14.05'!AV$4="是",'14.05'!$AY$4,'14.05'!$AY$3)</f>
        <v>0</v>
      </c>
      <c r="L68" s="4">
        <f>(VLOOKUP('14.05'!T68,'14.05'!$AM$4:$AO$55,2,FALSE))*IF('14.05'!AW$4="是",'14.05'!$AY$4,'14.05'!$AY$3)</f>
        <v>0</v>
      </c>
      <c r="M68" s="4">
        <f>(VLOOKUP('14.05'!U68,'14.05'!$AM$4:$AO$55,2,FALSE))*IF('14.05'!AX$4="是",'14.05'!$AY$4,'14.05'!$AY$3)</f>
        <v>0</v>
      </c>
      <c r="N68" s="4">
        <f>(VLOOKUP('14.05'!V68,'14.05'!$AM$4:$AO$55,2,FALSE))*IF('14.05'!AY$4="是",'14.05'!$AY$4,'14.05'!$AY$3)</f>
        <v>0</v>
      </c>
      <c r="O68" s="5">
        <f>(VLOOKUP('14.05'!W68,'14.05'!$AM$4:$AO$55,2,FALSE))*IF('14.05'!AZ$4="是",'14.05'!$AY$4,'14.05'!$AY$3)</f>
        <v>0</v>
      </c>
      <c r="P68" s="5">
        <f>(VLOOKUP('14.05'!X68,'14.05'!$AM$4:$AO$55,2,FALSE))*IF('14.05'!BA$4="是",'14.05'!$AY$4,'14.05'!$AY$3)</f>
        <v>0</v>
      </c>
      <c r="Q68" s="4">
        <f>(VLOOKUP('14.05'!Y68,'14.05'!$AM$4:$AO$55,2,FALSE))*IF('14.05'!BB$4="是",'14.05'!$AY$4,'14.05'!$AY$3)</f>
        <v>180</v>
      </c>
      <c r="R68" s="4">
        <f>(VLOOKUP('14.05'!Z68,'14.05'!$AM$4:$AO$55,2,FALSE))*IF('14.05'!BC$4="是",'14.05'!$AY$4,'14.05'!$AY$3)</f>
        <v>190</v>
      </c>
      <c r="S68" s="4">
        <f>(VLOOKUP('14.05'!AA68,'14.05'!$AM$4:$AO$55,2,FALSE))*IF('14.05'!BD$4="是",'14.05'!$AY$4,'14.05'!$AY$3)</f>
        <v>190</v>
      </c>
      <c r="T68" s="4">
        <f>(VLOOKUP('14.05'!AB68,'14.05'!$AM$4:$AO$55,2,FALSE))*IF('14.05'!BE$4="是",'14.05'!$AY$4,'14.05'!$AY$3)</f>
        <v>190</v>
      </c>
      <c r="U68" s="4">
        <f>(VLOOKUP('14.05'!AC68,'14.05'!$AM$4:$AO$55,2,FALSE))*IF('14.05'!BF$4="是",'14.05'!$AY$4,'14.05'!$AY$3)</f>
        <v>190</v>
      </c>
      <c r="V68" s="4">
        <f>(VLOOKUP('14.05'!AD68,'14.05'!$AM$4:$AO$55,2,FALSE))*IF('14.05'!BG$4="是",'14.05'!$AY$4,'14.05'!$AY$3)</f>
        <v>190</v>
      </c>
      <c r="W68" s="5">
        <f>(VLOOKUP('14.05'!AE68,'14.05'!$AM$4:$AO$55,2,FALSE))*IF('14.05'!BH$4="是",'14.05'!$AY$4,'14.05'!$AY$3)</f>
        <v>0</v>
      </c>
      <c r="X68" s="5">
        <f>(VLOOKUP('14.05'!AF68,'14.05'!$AM$4:$AO$55,2,FALSE))*IF('14.05'!BI$4="是",'14.05'!$AY$4,'14.05'!$AY$3)</f>
        <v>0</v>
      </c>
    </row>
    <row r="69" spans="1:24">
      <c r="A69" s="4">
        <f>(VLOOKUP('14.05'!I69,'14.05'!$AM$4:$AO$55,2,FALSE))*IF('14.05'!AK$4="是",'14.05'!$AY$4,'14.05'!$AY$3)</f>
        <v>0</v>
      </c>
      <c r="B69" s="4">
        <f>(VLOOKUP('14.05'!J69,'14.05'!$AM$4:$AO$55,2,FALSE))*IF('14.05'!AL$4="是",'14.05'!$AY$4,'14.05'!$AY$3)</f>
        <v>0</v>
      </c>
      <c r="C69" s="4">
        <f>(VLOOKUP('14.05'!K69,'14.05'!$AM$4:$AO$55,2,FALSE))*IF('14.05'!AM$4="是",'14.05'!$AY$4,'14.05'!$AY$3)</f>
        <v>0</v>
      </c>
      <c r="D69" s="4">
        <f>(VLOOKUP('14.05'!L69,'14.05'!$AM$4:$AO$55,2,FALSE))*IF('14.05'!AN$4="是",'14.05'!$AY$4,'14.05'!$AY$3)</f>
        <v>0</v>
      </c>
      <c r="E69" s="4">
        <f>(VLOOKUP('14.05'!M69,'14.05'!$AM$4:$AO$55,2,FALSE))*IF('14.05'!AO$4="是",'14.05'!$AY$4,'14.05'!$AY$3)</f>
        <v>0</v>
      </c>
      <c r="F69" s="4">
        <f>(VLOOKUP('14.05'!N69,'14.05'!$AM$4:$AO$55,2,FALSE))*IF('14.05'!AQ$4="是",'14.05'!$AY$4,'14.05'!$AY$3)</f>
        <v>0</v>
      </c>
      <c r="G69" s="5">
        <f>(VLOOKUP('14.05'!O69,'14.05'!$AM$4:$AO$55,2,FALSE))*IF('14.05'!AR$4="是",'14.05'!$AY$4,'14.05'!$AY$3)</f>
        <v>0</v>
      </c>
      <c r="H69" s="5">
        <f>(VLOOKUP('14.05'!P69,'14.05'!$AM$4:$AO$55,2,FALSE))*IF('14.05'!AS$4="是",'14.05'!$AY$4,'14.05'!$AY$3)</f>
        <v>0</v>
      </c>
      <c r="I69" s="4">
        <f>(VLOOKUP('14.05'!Q69,'14.05'!$AM$4:$AO$55,2,FALSE))*IF('14.05'!AT$4="是",'14.05'!$AY$4,'14.05'!$AY$3)</f>
        <v>180</v>
      </c>
      <c r="J69" s="4">
        <f>(VLOOKUP('14.05'!R69,'14.05'!$AM$4:$AO$55,2,FALSE))*IF('14.05'!AU$4="是",'14.05'!$AY$4,'14.05'!$AY$3)</f>
        <v>180</v>
      </c>
      <c r="K69" s="4">
        <f>(VLOOKUP('14.05'!S69,'14.05'!$AM$4:$AO$55,2,FALSE))*IF('14.05'!AV$4="是",'14.05'!$AY$4,'14.05'!$AY$3)</f>
        <v>180</v>
      </c>
      <c r="L69" s="4">
        <f>(VLOOKUP('14.05'!T69,'14.05'!$AM$4:$AO$55,2,FALSE))*IF('14.05'!AW$4="是",'14.05'!$AY$4,'14.05'!$AY$3)</f>
        <v>180</v>
      </c>
      <c r="M69" s="4">
        <f>(VLOOKUP('14.05'!U69,'14.05'!$AM$4:$AO$55,2,FALSE))*IF('14.05'!AX$4="是",'14.05'!$AY$4,'14.05'!$AY$3)</f>
        <v>180</v>
      </c>
      <c r="N69" s="4">
        <f>(VLOOKUP('14.05'!V69,'14.05'!$AM$4:$AO$55,2,FALSE))*IF('14.05'!AY$4="是",'14.05'!$AY$4,'14.05'!$AY$3)</f>
        <v>180</v>
      </c>
      <c r="O69" s="5">
        <f>(VLOOKUP('14.05'!W69,'14.05'!$AM$4:$AO$55,2,FALSE))*IF('14.05'!AZ$4="是",'14.05'!$AY$4,'14.05'!$AY$3)</f>
        <v>0</v>
      </c>
      <c r="P69" s="5">
        <f>(VLOOKUP('14.05'!X69,'14.05'!$AM$4:$AO$55,2,FALSE))*IF('14.05'!BA$4="是",'14.05'!$AY$4,'14.05'!$AY$3)</f>
        <v>0</v>
      </c>
      <c r="Q69" s="4">
        <f>(VLOOKUP('14.05'!Y69,'14.05'!$AM$4:$AO$55,2,FALSE))*IF('14.05'!BB$4="是",'14.05'!$AY$4,'14.05'!$AY$3)</f>
        <v>190</v>
      </c>
      <c r="R69" s="4">
        <f>(VLOOKUP('14.05'!Z69,'14.05'!$AM$4:$AO$55,2,FALSE))*IF('14.05'!BC$4="是",'14.05'!$AY$4,'14.05'!$AY$3)</f>
        <v>190</v>
      </c>
      <c r="S69" s="4">
        <f>(VLOOKUP('14.05'!AA69,'14.05'!$AM$4:$AO$55,2,FALSE))*IF('14.05'!BD$4="是",'14.05'!$AY$4,'14.05'!$AY$3)</f>
        <v>190</v>
      </c>
      <c r="T69" s="4">
        <f>(VLOOKUP('14.05'!AB69,'14.05'!$AM$4:$AO$55,2,FALSE))*IF('14.05'!BE$4="是",'14.05'!$AY$4,'14.05'!$AY$3)</f>
        <v>190</v>
      </c>
      <c r="U69" s="4">
        <f>(VLOOKUP('14.05'!AC69,'14.05'!$AM$4:$AO$55,2,FALSE))*IF('14.05'!BF$4="是",'14.05'!$AY$4,'14.05'!$AY$3)</f>
        <v>190</v>
      </c>
      <c r="V69" s="4">
        <f>(VLOOKUP('14.05'!AD69,'14.05'!$AM$4:$AO$55,2,FALSE))*IF('14.05'!BG$4="是",'14.05'!$AY$4,'14.05'!$AY$3)</f>
        <v>150</v>
      </c>
      <c r="W69" s="5">
        <f>(VLOOKUP('14.05'!AE69,'14.05'!$AM$4:$AO$55,2,FALSE))*IF('14.05'!BH$4="是",'14.05'!$AY$4,'14.05'!$AY$3)</f>
        <v>0</v>
      </c>
      <c r="X69" s="5">
        <f>(VLOOKUP('14.05'!AF69,'14.05'!$AM$4:$AO$55,2,FALSE))*IF('14.05'!BI$4="是",'14.05'!$AY$4,'14.05'!$AY$3)</f>
        <v>0</v>
      </c>
    </row>
    <row r="70" spans="1:24">
      <c r="A70" s="4">
        <f>(VLOOKUP('14.05'!I70,'14.05'!$AM$4:$AO$55,2,FALSE))*IF('14.05'!AK$4="是",'14.05'!$AY$4,'14.05'!$AY$3)</f>
        <v>0</v>
      </c>
      <c r="B70" s="4">
        <f>(VLOOKUP('14.05'!J70,'14.05'!$AM$4:$AO$55,2,FALSE))*IF('14.05'!AL$4="是",'14.05'!$AY$4,'14.05'!$AY$3)</f>
        <v>0</v>
      </c>
      <c r="C70" s="4">
        <f>(VLOOKUP('14.05'!K70,'14.05'!$AM$4:$AO$55,2,FALSE))*IF('14.05'!AM$4="是",'14.05'!$AY$4,'14.05'!$AY$3)</f>
        <v>0</v>
      </c>
      <c r="D70" s="4">
        <f>(VLOOKUP('14.05'!L70,'14.05'!$AM$4:$AO$55,2,FALSE))*IF('14.05'!AN$4="是",'14.05'!$AY$4,'14.05'!$AY$3)</f>
        <v>0</v>
      </c>
      <c r="E70" s="4">
        <f>(VLOOKUP('14.05'!M70,'14.05'!$AM$4:$AO$55,2,FALSE))*IF('14.05'!AO$4="是",'14.05'!$AY$4,'14.05'!$AY$3)</f>
        <v>0</v>
      </c>
      <c r="F70" s="4">
        <f>(VLOOKUP('14.05'!N70,'14.05'!$AM$4:$AO$55,2,FALSE))*IF('14.05'!AQ$4="是",'14.05'!$AY$4,'14.05'!$AY$3)</f>
        <v>0</v>
      </c>
      <c r="G70" s="5">
        <f>(VLOOKUP('14.05'!O70,'14.05'!$AM$4:$AO$55,2,FALSE))*IF('14.05'!AR$4="是",'14.05'!$AY$4,'14.05'!$AY$3)</f>
        <v>0</v>
      </c>
      <c r="H70" s="5">
        <f>(VLOOKUP('14.05'!P70,'14.05'!$AM$4:$AO$55,2,FALSE))*IF('14.05'!AS$4="是",'14.05'!$AY$4,'14.05'!$AY$3)</f>
        <v>0</v>
      </c>
      <c r="I70" s="4">
        <f>(VLOOKUP('14.05'!Q70,'14.05'!$AM$4:$AO$55,2,FALSE))*IF('14.05'!AT$4="是",'14.05'!$AY$4,'14.05'!$AY$3)</f>
        <v>180</v>
      </c>
      <c r="J70" s="4">
        <f>(VLOOKUP('14.05'!R70,'14.05'!$AM$4:$AO$55,2,FALSE))*IF('14.05'!AU$4="是",'14.05'!$AY$4,'14.05'!$AY$3)</f>
        <v>180</v>
      </c>
      <c r="K70" s="4">
        <f>(VLOOKUP('14.05'!S70,'14.05'!$AM$4:$AO$55,2,FALSE))*IF('14.05'!AV$4="是",'14.05'!$AY$4,'14.05'!$AY$3)</f>
        <v>180</v>
      </c>
      <c r="L70" s="4">
        <f>(VLOOKUP('14.05'!T70,'14.05'!$AM$4:$AO$55,2,FALSE))*IF('14.05'!AW$4="是",'14.05'!$AY$4,'14.05'!$AY$3)</f>
        <v>180</v>
      </c>
      <c r="M70" s="4">
        <f>(VLOOKUP('14.05'!U70,'14.05'!$AM$4:$AO$55,2,FALSE))*IF('14.05'!AX$4="是",'14.05'!$AY$4,'14.05'!$AY$3)</f>
        <v>180</v>
      </c>
      <c r="N70" s="4">
        <f>(VLOOKUP('14.05'!V70,'14.05'!$AM$4:$AO$55,2,FALSE))*IF('14.05'!AY$4="是",'14.05'!$AY$4,'14.05'!$AY$3)</f>
        <v>180</v>
      </c>
      <c r="O70" s="5">
        <f>(VLOOKUP('14.05'!W70,'14.05'!$AM$4:$AO$55,2,FALSE))*IF('14.05'!AZ$4="是",'14.05'!$AY$4,'14.05'!$AY$3)</f>
        <v>0</v>
      </c>
      <c r="P70" s="5">
        <f>(VLOOKUP('14.05'!X70,'14.05'!$AM$4:$AO$55,2,FALSE))*IF('14.05'!BA$4="是",'14.05'!$AY$4,'14.05'!$AY$3)</f>
        <v>0</v>
      </c>
      <c r="Q70" s="4">
        <f>(VLOOKUP('14.05'!Y70,'14.05'!$AM$4:$AO$55,2,FALSE))*IF('14.05'!BB$4="是",'14.05'!$AY$4,'14.05'!$AY$3)</f>
        <v>190</v>
      </c>
      <c r="R70" s="4">
        <f>(VLOOKUP('14.05'!Z70,'14.05'!$AM$4:$AO$55,2,FALSE))*IF('14.05'!BC$4="是",'14.05'!$AY$4,'14.05'!$AY$3)</f>
        <v>190</v>
      </c>
      <c r="S70" s="4">
        <f>(VLOOKUP('14.05'!AA70,'14.05'!$AM$4:$AO$55,2,FALSE))*IF('14.05'!BD$4="是",'14.05'!$AY$4,'14.05'!$AY$3)</f>
        <v>190</v>
      </c>
      <c r="T70" s="4">
        <f>(VLOOKUP('14.05'!AB70,'14.05'!$AM$4:$AO$55,2,FALSE))*IF('14.05'!BE$4="是",'14.05'!$AY$4,'14.05'!$AY$3)</f>
        <v>190</v>
      </c>
      <c r="U70" s="4">
        <f>(VLOOKUP('14.05'!AC70,'14.05'!$AM$4:$AO$55,2,FALSE))*IF('14.05'!BF$4="是",'14.05'!$AY$4,'14.05'!$AY$3)</f>
        <v>190</v>
      </c>
      <c r="V70" s="4">
        <f>(VLOOKUP('14.05'!AD70,'14.05'!$AM$4:$AO$55,2,FALSE))*IF('14.05'!BG$4="是",'14.05'!$AY$4,'14.05'!$AY$3)</f>
        <v>200</v>
      </c>
      <c r="W70" s="5">
        <f>(VLOOKUP('14.05'!AE70,'14.05'!$AM$4:$AO$55,2,FALSE))*IF('14.05'!BH$4="是",'14.05'!$AY$4,'14.05'!$AY$3)</f>
        <v>0</v>
      </c>
      <c r="X70" s="5">
        <f>(VLOOKUP('14.05'!AF70,'14.05'!$AM$4:$AO$55,2,FALSE))*IF('14.05'!BI$4="是",'14.05'!$AY$4,'14.05'!$AY$3)</f>
        <v>0</v>
      </c>
    </row>
    <row r="71" spans="1:24">
      <c r="A71" s="4">
        <f>(VLOOKUP('14.05'!I71,'14.05'!$AM$4:$AO$55,2,FALSE))*IF('14.05'!AK$4="是",'14.05'!$AY$4,'14.05'!$AY$3)</f>
        <v>0</v>
      </c>
      <c r="B71" s="4">
        <f>(VLOOKUP('14.05'!J71,'14.05'!$AM$4:$AO$55,2,FALSE))*IF('14.05'!AL$4="是",'14.05'!$AY$4,'14.05'!$AY$3)</f>
        <v>0</v>
      </c>
      <c r="C71" s="4">
        <f>(VLOOKUP('14.05'!K71,'14.05'!$AM$4:$AO$55,2,FALSE))*IF('14.05'!AM$4="是",'14.05'!$AY$4,'14.05'!$AY$3)</f>
        <v>0</v>
      </c>
      <c r="D71" s="4">
        <f>(VLOOKUP('14.05'!L71,'14.05'!$AM$4:$AO$55,2,FALSE))*IF('14.05'!AN$4="是",'14.05'!$AY$4,'14.05'!$AY$3)</f>
        <v>0</v>
      </c>
      <c r="E71" s="4">
        <f>(VLOOKUP('14.05'!M71,'14.05'!$AM$4:$AO$55,2,FALSE))*IF('14.05'!AO$4="是",'14.05'!$AY$4,'14.05'!$AY$3)</f>
        <v>0</v>
      </c>
      <c r="F71" s="4">
        <f>(VLOOKUP('14.05'!N71,'14.05'!$AM$4:$AO$55,2,FALSE))*IF('14.05'!AQ$4="是",'14.05'!$AY$4,'14.05'!$AY$3)</f>
        <v>0</v>
      </c>
      <c r="G71" s="5">
        <f>(VLOOKUP('14.05'!O71,'14.05'!$AM$4:$AO$55,2,FALSE))*IF('14.05'!AR$4="是",'14.05'!$AY$4,'14.05'!$AY$3)</f>
        <v>0</v>
      </c>
      <c r="H71" s="5">
        <f>(VLOOKUP('14.05'!P71,'14.05'!$AM$4:$AO$55,2,FALSE))*IF('14.05'!AS$4="是",'14.05'!$AY$4,'14.05'!$AY$3)</f>
        <v>0</v>
      </c>
      <c r="I71" s="4">
        <f>(VLOOKUP('14.05'!Q71,'14.05'!$AM$4:$AO$55,2,FALSE))*IF('14.05'!AT$4="是",'14.05'!$AY$4,'14.05'!$AY$3)</f>
        <v>50</v>
      </c>
      <c r="J71" s="4">
        <f>(VLOOKUP('14.05'!R71,'14.05'!$AM$4:$AO$55,2,FALSE))*IF('14.05'!AU$4="是",'14.05'!$AY$4,'14.05'!$AY$3)</f>
        <v>180</v>
      </c>
      <c r="K71" s="4">
        <f>(VLOOKUP('14.05'!S71,'14.05'!$AM$4:$AO$55,2,FALSE))*IF('14.05'!AV$4="是",'14.05'!$AY$4,'14.05'!$AY$3)</f>
        <v>180</v>
      </c>
      <c r="L71" s="4">
        <f>(VLOOKUP('14.05'!T71,'14.05'!$AM$4:$AO$55,2,FALSE))*IF('14.05'!AW$4="是",'14.05'!$AY$4,'14.05'!$AY$3)</f>
        <v>180</v>
      </c>
      <c r="M71" s="4">
        <f>(VLOOKUP('14.05'!U71,'14.05'!$AM$4:$AO$55,2,FALSE))*IF('14.05'!AX$4="是",'14.05'!$AY$4,'14.05'!$AY$3)</f>
        <v>180</v>
      </c>
      <c r="N71" s="4">
        <f>(VLOOKUP('14.05'!V71,'14.05'!$AM$4:$AO$55,2,FALSE))*IF('14.05'!AY$4="是",'14.05'!$AY$4,'14.05'!$AY$3)</f>
        <v>180</v>
      </c>
      <c r="O71" s="5">
        <f>(VLOOKUP('14.05'!W71,'14.05'!$AM$4:$AO$55,2,FALSE))*IF('14.05'!AZ$4="是",'14.05'!$AY$4,'14.05'!$AY$3)</f>
        <v>0</v>
      </c>
      <c r="P71" s="5">
        <f>(VLOOKUP('14.05'!X71,'14.05'!$AM$4:$AO$55,2,FALSE))*IF('14.05'!BA$4="是",'14.05'!$AY$4,'14.05'!$AY$3)</f>
        <v>0</v>
      </c>
      <c r="Q71" s="4">
        <f>(VLOOKUP('14.05'!Y71,'14.05'!$AM$4:$AO$55,2,FALSE))*IF('14.05'!BB$4="是",'14.05'!$AY$4,'14.05'!$AY$3)</f>
        <v>200</v>
      </c>
      <c r="R71" s="4">
        <f>(VLOOKUP('14.05'!Z71,'14.05'!$AM$4:$AO$55,2,FALSE))*IF('14.05'!BC$4="是",'14.05'!$AY$4,'14.05'!$AY$3)</f>
        <v>200</v>
      </c>
      <c r="S71" s="4">
        <f>(VLOOKUP('14.05'!AA71,'14.05'!$AM$4:$AO$55,2,FALSE))*IF('14.05'!BD$4="是",'14.05'!$AY$4,'14.05'!$AY$3)</f>
        <v>200</v>
      </c>
      <c r="T71" s="4">
        <f>(VLOOKUP('14.05'!AB71,'14.05'!$AM$4:$AO$55,2,FALSE))*IF('14.05'!BE$4="是",'14.05'!$AY$4,'14.05'!$AY$3)</f>
        <v>200</v>
      </c>
      <c r="U71" s="4">
        <f>(VLOOKUP('14.05'!AC71,'14.05'!$AM$4:$AO$55,2,FALSE))*IF('14.05'!BF$4="是",'14.05'!$AY$4,'14.05'!$AY$3)</f>
        <v>200</v>
      </c>
      <c r="V71" s="4">
        <f>(VLOOKUP('14.05'!AD71,'14.05'!$AM$4:$AO$55,2,FALSE))*IF('14.05'!BG$4="是",'14.05'!$AY$4,'14.05'!$AY$3)</f>
        <v>200</v>
      </c>
      <c r="W71" s="5">
        <f>(VLOOKUP('14.05'!AE71,'14.05'!$AM$4:$AO$55,2,FALSE))*IF('14.05'!BH$4="是",'14.05'!$AY$4,'14.05'!$AY$3)</f>
        <v>0</v>
      </c>
      <c r="X71" s="5">
        <f>(VLOOKUP('14.05'!AF71,'14.05'!$AM$4:$AO$55,2,FALSE))*IF('14.05'!BI$4="是",'14.05'!$AY$4,'14.05'!$AY$3)</f>
        <v>0</v>
      </c>
    </row>
    <row r="72" spans="1:24">
      <c r="A72" s="4">
        <f>(VLOOKUP('14.05'!I72,'14.05'!$AM$4:$AO$55,2,FALSE))*IF('14.05'!AK$4="是",'14.05'!$AY$4,'14.05'!$AY$3)</f>
        <v>0</v>
      </c>
      <c r="B72" s="4">
        <f>(VLOOKUP('14.05'!J72,'14.05'!$AM$4:$AO$55,2,FALSE))*IF('14.05'!AL$4="是",'14.05'!$AY$4,'14.05'!$AY$3)</f>
        <v>0</v>
      </c>
      <c r="C72" s="4">
        <f>(VLOOKUP('14.05'!K72,'14.05'!$AM$4:$AO$55,2,FALSE))*IF('14.05'!AM$4="是",'14.05'!$AY$4,'14.05'!$AY$3)</f>
        <v>0</v>
      </c>
      <c r="D72" s="4">
        <f>(VLOOKUP('14.05'!L72,'14.05'!$AM$4:$AO$55,2,FALSE))*IF('14.05'!AN$4="是",'14.05'!$AY$4,'14.05'!$AY$3)</f>
        <v>0</v>
      </c>
      <c r="E72" s="4">
        <f>(VLOOKUP('14.05'!M72,'14.05'!$AM$4:$AO$55,2,FALSE))*IF('14.05'!AO$4="是",'14.05'!$AY$4,'14.05'!$AY$3)</f>
        <v>0</v>
      </c>
      <c r="F72" s="4">
        <f>(VLOOKUP('14.05'!N72,'14.05'!$AM$4:$AO$55,2,FALSE))*IF('14.05'!AQ$4="是",'14.05'!$AY$4,'14.05'!$AY$3)</f>
        <v>0</v>
      </c>
      <c r="G72" s="5">
        <f>(VLOOKUP('14.05'!O72,'14.05'!$AM$4:$AO$55,2,FALSE))*IF('14.05'!AR$4="是",'14.05'!$AY$4,'14.05'!$AY$3)</f>
        <v>0</v>
      </c>
      <c r="H72" s="5">
        <f>(VLOOKUP('14.05'!P72,'14.05'!$AM$4:$AO$55,2,FALSE))*IF('14.05'!AS$4="是",'14.05'!$AY$4,'14.05'!$AY$3)</f>
        <v>0</v>
      </c>
      <c r="I72" s="4">
        <f>(VLOOKUP('14.05'!Q72,'14.05'!$AM$4:$AO$55,2,FALSE))*IF('14.05'!AT$4="是",'14.05'!$AY$4,'14.05'!$AY$3)</f>
        <v>180</v>
      </c>
      <c r="J72" s="4">
        <f>(VLOOKUP('14.05'!R72,'14.05'!$AM$4:$AO$55,2,FALSE))*IF('14.05'!AU$4="是",'14.05'!$AY$4,'14.05'!$AY$3)</f>
        <v>180</v>
      </c>
      <c r="K72" s="4">
        <f>(VLOOKUP('14.05'!S72,'14.05'!$AM$4:$AO$55,2,FALSE))*IF('14.05'!AV$4="是",'14.05'!$AY$4,'14.05'!$AY$3)</f>
        <v>190</v>
      </c>
      <c r="L72" s="4">
        <f>(VLOOKUP('14.05'!T72,'14.05'!$AM$4:$AO$55,2,FALSE))*IF('14.05'!AW$4="是",'14.05'!$AY$4,'14.05'!$AY$3)</f>
        <v>190</v>
      </c>
      <c r="M72" s="4">
        <f>(VLOOKUP('14.05'!U72,'14.05'!$AM$4:$AO$55,2,FALSE))*IF('14.05'!AX$4="是",'14.05'!$AY$4,'14.05'!$AY$3)</f>
        <v>190</v>
      </c>
      <c r="N72" s="4">
        <f>(VLOOKUP('14.05'!V72,'14.05'!$AM$4:$AO$55,2,FALSE))*IF('14.05'!AY$4="是",'14.05'!$AY$4,'14.05'!$AY$3)</f>
        <v>190</v>
      </c>
      <c r="O72" s="5">
        <f>(VLOOKUP('14.05'!W72,'14.05'!$AM$4:$AO$55,2,FALSE))*IF('14.05'!AZ$4="是",'14.05'!$AY$4,'14.05'!$AY$3)</f>
        <v>0</v>
      </c>
      <c r="P72" s="5">
        <f>(VLOOKUP('14.05'!X72,'14.05'!$AM$4:$AO$55,2,FALSE))*IF('14.05'!BA$4="是",'14.05'!$AY$4,'14.05'!$AY$3)</f>
        <v>0</v>
      </c>
      <c r="Q72" s="4">
        <f>(VLOOKUP('14.05'!Y72,'14.05'!$AM$4:$AO$55,2,FALSE))*IF('14.05'!BB$4="是",'14.05'!$AY$4,'14.05'!$AY$3)</f>
        <v>200</v>
      </c>
      <c r="R72" s="4">
        <f>(VLOOKUP('14.05'!Z72,'14.05'!$AM$4:$AO$55,2,FALSE))*IF('14.05'!BC$4="是",'14.05'!$AY$4,'14.05'!$AY$3)</f>
        <v>200</v>
      </c>
      <c r="S72" s="4">
        <f>(VLOOKUP('14.05'!AA72,'14.05'!$AM$4:$AO$55,2,FALSE))*IF('14.05'!BD$4="是",'14.05'!$AY$4,'14.05'!$AY$3)</f>
        <v>200</v>
      </c>
      <c r="T72" s="4">
        <f>(VLOOKUP('14.05'!AB72,'14.05'!$AM$4:$AO$55,2,FALSE))*IF('14.05'!BE$4="是",'14.05'!$AY$4,'14.05'!$AY$3)</f>
        <v>200</v>
      </c>
      <c r="U72" s="4">
        <f>(VLOOKUP('14.05'!AC72,'14.05'!$AM$4:$AO$55,2,FALSE))*IF('14.05'!BF$4="是",'14.05'!$AY$4,'14.05'!$AY$3)</f>
        <v>200</v>
      </c>
      <c r="V72" s="4">
        <f>(VLOOKUP('14.05'!AD72,'14.05'!$AM$4:$AO$55,2,FALSE))*IF('14.05'!BG$4="是",'14.05'!$AY$4,'14.05'!$AY$3)</f>
        <v>200</v>
      </c>
      <c r="W72" s="5">
        <f>(VLOOKUP('14.05'!AE72,'14.05'!$AM$4:$AO$55,2,FALSE))*IF('14.05'!BH$4="是",'14.05'!$AY$4,'14.05'!$AY$3)</f>
        <v>0</v>
      </c>
      <c r="X72" s="5">
        <f>(VLOOKUP('14.05'!AF72,'14.05'!$AM$4:$AO$55,2,FALSE))*IF('14.05'!BI$4="是",'14.05'!$AY$4,'14.05'!$AY$3)</f>
        <v>0</v>
      </c>
    </row>
    <row r="73" spans="1:24">
      <c r="A73" s="4">
        <f>(VLOOKUP('14.05'!I73,'14.05'!$AM$4:$AO$55,2,FALSE))*IF('14.05'!AK$4="是",'14.05'!$AY$4,'14.05'!$AY$3)</f>
        <v>0</v>
      </c>
      <c r="B73" s="4">
        <f>(VLOOKUP('14.05'!J73,'14.05'!$AM$4:$AO$55,2,FALSE))*IF('14.05'!AL$4="是",'14.05'!$AY$4,'14.05'!$AY$3)</f>
        <v>0</v>
      </c>
      <c r="C73" s="4">
        <f>(VLOOKUP('14.05'!K73,'14.05'!$AM$4:$AO$55,2,FALSE))*IF('14.05'!AM$4="是",'14.05'!$AY$4,'14.05'!$AY$3)</f>
        <v>0</v>
      </c>
      <c r="D73" s="4">
        <f>(VLOOKUP('14.05'!L73,'14.05'!$AM$4:$AO$55,2,FALSE))*IF('14.05'!AN$4="是",'14.05'!$AY$4,'14.05'!$AY$3)</f>
        <v>0</v>
      </c>
      <c r="E73" s="4">
        <f>(VLOOKUP('14.05'!M73,'14.05'!$AM$4:$AO$55,2,FALSE))*IF('14.05'!AO$4="是",'14.05'!$AY$4,'14.05'!$AY$3)</f>
        <v>0</v>
      </c>
      <c r="F73" s="4">
        <f>(VLOOKUP('14.05'!N73,'14.05'!$AM$4:$AO$55,2,FALSE))*IF('14.05'!AQ$4="是",'14.05'!$AY$4,'14.05'!$AY$3)</f>
        <v>0</v>
      </c>
      <c r="G73" s="5">
        <f>(VLOOKUP('14.05'!O73,'14.05'!$AM$4:$AO$55,2,FALSE))*IF('14.05'!AR$4="是",'14.05'!$AY$4,'14.05'!$AY$3)</f>
        <v>0</v>
      </c>
      <c r="H73" s="5">
        <f>(VLOOKUP('14.05'!P73,'14.05'!$AM$4:$AO$55,2,FALSE))*IF('14.05'!AS$4="是",'14.05'!$AY$4,'14.05'!$AY$3)</f>
        <v>0</v>
      </c>
      <c r="I73" s="4">
        <f>(VLOOKUP('14.05'!Q73,'14.05'!$AM$4:$AO$55,2,FALSE))*IF('14.05'!AT$4="是",'14.05'!$AY$4,'14.05'!$AY$3)</f>
        <v>190</v>
      </c>
      <c r="J73" s="4">
        <f>(VLOOKUP('14.05'!R73,'14.05'!$AM$4:$AO$55,2,FALSE))*IF('14.05'!AU$4="是",'14.05'!$AY$4,'14.05'!$AY$3)</f>
        <v>190</v>
      </c>
      <c r="K73" s="4">
        <f>(VLOOKUP('14.05'!S73,'14.05'!$AM$4:$AO$55,2,FALSE))*IF('14.05'!AV$4="是",'14.05'!$AY$4,'14.05'!$AY$3)</f>
        <v>190</v>
      </c>
      <c r="L73" s="4">
        <f>(VLOOKUP('14.05'!T73,'14.05'!$AM$4:$AO$55,2,FALSE))*IF('14.05'!AW$4="是",'14.05'!$AY$4,'14.05'!$AY$3)</f>
        <v>190</v>
      </c>
      <c r="M73" s="4">
        <f>(VLOOKUP('14.05'!U73,'14.05'!$AM$4:$AO$55,2,FALSE))*IF('14.05'!AX$4="是",'14.05'!$AY$4,'14.05'!$AY$3)</f>
        <v>190</v>
      </c>
      <c r="N73" s="4">
        <f>(VLOOKUP('14.05'!V73,'14.05'!$AM$4:$AO$55,2,FALSE))*IF('14.05'!AY$4="是",'14.05'!$AY$4,'14.05'!$AY$3)</f>
        <v>190</v>
      </c>
      <c r="O73" s="5">
        <f>(VLOOKUP('14.05'!W73,'14.05'!$AM$4:$AO$55,2,FALSE))*IF('14.05'!AZ$4="是",'14.05'!$AY$4,'14.05'!$AY$3)</f>
        <v>0</v>
      </c>
      <c r="P73" s="5">
        <f>(VLOOKUP('14.05'!X73,'14.05'!$AM$4:$AO$55,2,FALSE))*IF('14.05'!BA$4="是",'14.05'!$AY$4,'14.05'!$AY$3)</f>
        <v>0</v>
      </c>
      <c r="Q73" s="4">
        <f>(VLOOKUP('14.05'!Y73,'14.05'!$AM$4:$AO$55,2,FALSE))*IF('14.05'!BB$4="是",'14.05'!$AY$4,'14.05'!$AY$3)</f>
        <v>200</v>
      </c>
      <c r="R73" s="4">
        <f>(VLOOKUP('14.05'!Z73,'14.05'!$AM$4:$AO$55,2,FALSE))*IF('14.05'!BC$4="是",'14.05'!$AY$4,'14.05'!$AY$3)</f>
        <v>200</v>
      </c>
      <c r="S73" s="4">
        <f>(VLOOKUP('14.05'!AA73,'14.05'!$AM$4:$AO$55,2,FALSE))*IF('14.05'!BD$4="是",'14.05'!$AY$4,'14.05'!$AY$3)</f>
        <v>200</v>
      </c>
      <c r="T73" s="4">
        <f>(VLOOKUP('14.05'!AB73,'14.05'!$AM$4:$AO$55,2,FALSE))*IF('14.05'!BE$4="是",'14.05'!$AY$4,'14.05'!$AY$3)</f>
        <v>200</v>
      </c>
      <c r="U73" s="4">
        <f>(VLOOKUP('14.05'!AC73,'14.05'!$AM$4:$AO$55,2,FALSE))*IF('14.05'!BF$4="是",'14.05'!$AY$4,'14.05'!$AY$3)</f>
        <v>200</v>
      </c>
      <c r="V73" s="4">
        <f>(VLOOKUP('14.05'!AD73,'14.05'!$AM$4:$AO$55,2,FALSE))*IF('14.05'!BG$4="是",'14.05'!$AY$4,'14.05'!$AY$3)</f>
        <v>200</v>
      </c>
      <c r="W73" s="5">
        <f>(VLOOKUP('14.05'!AE73,'14.05'!$AM$4:$AO$55,2,FALSE))*IF('14.05'!BH$4="是",'14.05'!$AY$4,'14.05'!$AY$3)</f>
        <v>0</v>
      </c>
      <c r="X73" s="5">
        <f>(VLOOKUP('14.05'!AF73,'14.05'!$AM$4:$AO$55,2,FALSE))*IF('14.05'!BI$4="是",'14.05'!$AY$4,'14.05'!$AY$3)</f>
        <v>0</v>
      </c>
    </row>
    <row r="74" spans="1:24">
      <c r="A74" s="4">
        <f>(VLOOKUP('14.05'!I74,'14.05'!$AM$4:$AO$55,2,FALSE))*IF('14.05'!AK$4="是",'14.05'!$AY$4,'14.05'!$AY$3)</f>
        <v>0</v>
      </c>
      <c r="B74" s="4">
        <f>(VLOOKUP('14.05'!J74,'14.05'!$AM$4:$AO$55,2,FALSE))*IF('14.05'!AL$4="是",'14.05'!$AY$4,'14.05'!$AY$3)</f>
        <v>0</v>
      </c>
      <c r="C74" s="4">
        <f>(VLOOKUP('14.05'!K74,'14.05'!$AM$4:$AO$55,2,FALSE))*IF('14.05'!AM$4="是",'14.05'!$AY$4,'14.05'!$AY$3)</f>
        <v>0</v>
      </c>
      <c r="D74" s="4">
        <f>(VLOOKUP('14.05'!L74,'14.05'!$AM$4:$AO$55,2,FALSE))*IF('14.05'!AN$4="是",'14.05'!$AY$4,'14.05'!$AY$3)</f>
        <v>0</v>
      </c>
      <c r="E74" s="4">
        <f>(VLOOKUP('14.05'!M74,'14.05'!$AM$4:$AO$55,2,FALSE))*IF('14.05'!AO$4="是",'14.05'!$AY$4,'14.05'!$AY$3)</f>
        <v>0</v>
      </c>
      <c r="F74" s="4">
        <f>(VLOOKUP('14.05'!N74,'14.05'!$AM$4:$AO$55,2,FALSE))*IF('14.05'!AQ$4="是",'14.05'!$AY$4,'14.05'!$AY$3)</f>
        <v>0</v>
      </c>
      <c r="G74" s="5">
        <f>(VLOOKUP('14.05'!O74,'14.05'!$AM$4:$AO$55,2,FALSE))*IF('14.05'!AR$4="是",'14.05'!$AY$4,'14.05'!$AY$3)</f>
        <v>0</v>
      </c>
      <c r="H74" s="5">
        <f>(VLOOKUP('14.05'!P74,'14.05'!$AM$4:$AO$55,2,FALSE))*IF('14.05'!AS$4="是",'14.05'!$AY$4,'14.05'!$AY$3)</f>
        <v>0</v>
      </c>
      <c r="I74" s="4">
        <f>(VLOOKUP('14.05'!Q74,'14.05'!$AM$4:$AO$55,2,FALSE))*IF('14.05'!AT$4="是",'14.05'!$AY$4,'14.05'!$AY$3)</f>
        <v>190</v>
      </c>
      <c r="J74" s="4">
        <f>(VLOOKUP('14.05'!R74,'14.05'!$AM$4:$AO$55,2,FALSE))*IF('14.05'!AU$4="是",'14.05'!$AY$4,'14.05'!$AY$3)</f>
        <v>190</v>
      </c>
      <c r="K74" s="4">
        <f>(VLOOKUP('14.05'!S74,'14.05'!$AM$4:$AO$55,2,FALSE))*IF('14.05'!AV$4="是",'14.05'!$AY$4,'14.05'!$AY$3)</f>
        <v>190</v>
      </c>
      <c r="L74" s="4">
        <f>(VLOOKUP('14.05'!T74,'14.05'!$AM$4:$AO$55,2,FALSE))*IF('14.05'!AW$4="是",'14.05'!$AY$4,'14.05'!$AY$3)</f>
        <v>190</v>
      </c>
      <c r="M74" s="4">
        <f>(VLOOKUP('14.05'!U74,'14.05'!$AM$4:$AO$55,2,FALSE))*IF('14.05'!AX$4="是",'14.05'!$AY$4,'14.05'!$AY$3)</f>
        <v>190</v>
      </c>
      <c r="N74" s="4">
        <f>(VLOOKUP('14.05'!V74,'14.05'!$AM$4:$AO$55,2,FALSE))*IF('14.05'!AY$4="是",'14.05'!$AY$4,'14.05'!$AY$3)</f>
        <v>190</v>
      </c>
      <c r="O74" s="5">
        <f>(VLOOKUP('14.05'!W74,'14.05'!$AM$4:$AO$55,2,FALSE))*IF('14.05'!AZ$4="是",'14.05'!$AY$4,'14.05'!$AY$3)</f>
        <v>0</v>
      </c>
      <c r="P74" s="5">
        <f>(VLOOKUP('14.05'!X74,'14.05'!$AM$4:$AO$55,2,FALSE))*IF('14.05'!BA$4="是",'14.05'!$AY$4,'14.05'!$AY$3)</f>
        <v>0</v>
      </c>
      <c r="Q74" s="4">
        <f>(VLOOKUP('14.05'!Y74,'14.05'!$AM$4:$AO$55,2,FALSE))*IF('14.05'!BB$4="是",'14.05'!$AY$4,'14.05'!$AY$3)</f>
        <v>200</v>
      </c>
      <c r="R74" s="4">
        <f>(VLOOKUP('14.05'!Z74,'14.05'!$AM$4:$AO$55,2,FALSE))*IF('14.05'!BC$4="是",'14.05'!$AY$4,'14.05'!$AY$3)</f>
        <v>200</v>
      </c>
      <c r="S74" s="4">
        <f>(VLOOKUP('14.05'!AA74,'14.05'!$AM$4:$AO$55,2,FALSE))*IF('14.05'!BD$4="是",'14.05'!$AY$4,'14.05'!$AY$3)</f>
        <v>200</v>
      </c>
      <c r="T74" s="4">
        <f>(VLOOKUP('14.05'!AB74,'14.05'!$AM$4:$AO$55,2,FALSE))*IF('14.05'!BE$4="是",'14.05'!$AY$4,'14.05'!$AY$3)</f>
        <v>200</v>
      </c>
      <c r="U74" s="4">
        <f>(VLOOKUP('14.05'!AC74,'14.05'!$AM$4:$AO$55,2,FALSE))*IF('14.05'!BF$4="是",'14.05'!$AY$4,'14.05'!$AY$3)</f>
        <v>200</v>
      </c>
      <c r="V74" s="4">
        <f>(VLOOKUP('14.05'!AD74,'14.05'!$AM$4:$AO$55,2,FALSE))*IF('14.05'!BG$4="是",'14.05'!$AY$4,'14.05'!$AY$3)</f>
        <v>200</v>
      </c>
      <c r="W74" s="5">
        <f>(VLOOKUP('14.05'!AE74,'14.05'!$AM$4:$AO$55,2,FALSE))*IF('14.05'!BH$4="是",'14.05'!$AY$4,'14.05'!$AY$3)</f>
        <v>0</v>
      </c>
      <c r="X74" s="5">
        <f>(VLOOKUP('14.05'!AF74,'14.05'!$AM$4:$AO$55,2,FALSE))*IF('14.05'!BI$4="是",'14.05'!$AY$4,'14.05'!$AY$3)</f>
        <v>0</v>
      </c>
    </row>
    <row r="75" spans="1:24">
      <c r="A75" s="4">
        <f>(VLOOKUP('14.05'!I75,'14.05'!$AM$4:$AO$55,2,FALSE))*IF('14.05'!AK$4="是",'14.05'!$AY$4,'14.05'!$AY$3)</f>
        <v>0</v>
      </c>
      <c r="B75" s="4">
        <f>(VLOOKUP('14.05'!J75,'14.05'!$AM$4:$AO$55,2,FALSE))*IF('14.05'!AL$4="是",'14.05'!$AY$4,'14.05'!$AY$3)</f>
        <v>0</v>
      </c>
      <c r="C75" s="4">
        <f>(VLOOKUP('14.05'!K75,'14.05'!$AM$4:$AO$55,2,FALSE))*IF('14.05'!AM$4="是",'14.05'!$AY$4,'14.05'!$AY$3)</f>
        <v>0</v>
      </c>
      <c r="D75" s="4">
        <f>(VLOOKUP('14.05'!L75,'14.05'!$AM$4:$AO$55,2,FALSE))*IF('14.05'!AN$4="是",'14.05'!$AY$4,'14.05'!$AY$3)</f>
        <v>0</v>
      </c>
      <c r="E75" s="4">
        <f>(VLOOKUP('14.05'!M75,'14.05'!$AM$4:$AO$55,2,FALSE))*IF('14.05'!AO$4="是",'14.05'!$AY$4,'14.05'!$AY$3)</f>
        <v>0</v>
      </c>
      <c r="F75" s="4">
        <f>(VLOOKUP('14.05'!N75,'14.05'!$AM$4:$AO$55,2,FALSE))*IF('14.05'!AQ$4="是",'14.05'!$AY$4,'14.05'!$AY$3)</f>
        <v>0</v>
      </c>
      <c r="G75" s="5">
        <f>(VLOOKUP('14.05'!O75,'14.05'!$AM$4:$AO$55,2,FALSE))*IF('14.05'!AR$4="是",'14.05'!$AY$4,'14.05'!$AY$3)</f>
        <v>0</v>
      </c>
      <c r="H75" s="5">
        <f>(VLOOKUP('14.05'!P75,'14.05'!$AM$4:$AO$55,2,FALSE))*IF('14.05'!AS$4="是",'14.05'!$AY$4,'14.05'!$AY$3)</f>
        <v>0</v>
      </c>
      <c r="I75" s="4">
        <f>(VLOOKUP('14.05'!Q75,'14.05'!$AM$4:$AO$55,2,FALSE))*IF('14.05'!AT$4="是",'14.05'!$AY$4,'14.05'!$AY$3)</f>
        <v>200</v>
      </c>
      <c r="J75" s="4">
        <f>(VLOOKUP('14.05'!R75,'14.05'!$AM$4:$AO$55,2,FALSE))*IF('14.05'!AU$4="是",'14.05'!$AY$4,'14.05'!$AY$3)</f>
        <v>200</v>
      </c>
      <c r="K75" s="4">
        <f>(VLOOKUP('14.05'!S75,'14.05'!$AM$4:$AO$55,2,FALSE))*IF('14.05'!AV$4="是",'14.05'!$AY$4,'14.05'!$AY$3)</f>
        <v>200</v>
      </c>
      <c r="L75" s="4">
        <f>(VLOOKUP('14.05'!T75,'14.05'!$AM$4:$AO$55,2,FALSE))*IF('14.05'!AW$4="是",'14.05'!$AY$4,'14.05'!$AY$3)</f>
        <v>200</v>
      </c>
      <c r="M75" s="4">
        <f>(VLOOKUP('14.05'!U75,'14.05'!$AM$4:$AO$55,2,FALSE))*IF('14.05'!AX$4="是",'14.05'!$AY$4,'14.05'!$AY$3)</f>
        <v>200</v>
      </c>
      <c r="N75" s="4">
        <f>(VLOOKUP('14.05'!V75,'14.05'!$AM$4:$AO$55,2,FALSE))*IF('14.05'!AY$4="是",'14.05'!$AY$4,'14.05'!$AY$3)</f>
        <v>200</v>
      </c>
      <c r="O75" s="5">
        <f>(VLOOKUP('14.05'!W75,'14.05'!$AM$4:$AO$55,2,FALSE))*IF('14.05'!AZ$4="是",'14.05'!$AY$4,'14.05'!$AY$3)</f>
        <v>0</v>
      </c>
      <c r="P75" s="5">
        <f>(VLOOKUP('14.05'!X75,'14.05'!$AM$4:$AO$55,2,FALSE))*IF('14.05'!BA$4="是",'14.05'!$AY$4,'14.05'!$AY$3)</f>
        <v>0</v>
      </c>
      <c r="Q75" s="4">
        <f>(VLOOKUP('14.05'!Y75,'14.05'!$AM$4:$AO$55,2,FALSE))*IF('14.05'!BB$4="是",'14.05'!$AY$4,'14.05'!$AY$3)</f>
        <v>200</v>
      </c>
      <c r="R75" s="4">
        <f>(VLOOKUP('14.05'!Z75,'14.05'!$AM$4:$AO$55,2,FALSE))*IF('14.05'!BC$4="是",'14.05'!$AY$4,'14.05'!$AY$3)</f>
        <v>200</v>
      </c>
      <c r="S75" s="4">
        <f>(VLOOKUP('14.05'!AA75,'14.05'!$AM$4:$AO$55,2,FALSE))*IF('14.05'!BD$4="是",'14.05'!$AY$4,'14.05'!$AY$3)</f>
        <v>200</v>
      </c>
      <c r="T75" s="4">
        <f>(VLOOKUP('14.05'!AB75,'14.05'!$AM$4:$AO$55,2,FALSE))*IF('14.05'!BE$4="是",'14.05'!$AY$4,'14.05'!$AY$3)</f>
        <v>200</v>
      </c>
      <c r="U75" s="4">
        <f>(VLOOKUP('14.05'!AC75,'14.05'!$AM$4:$AO$55,2,FALSE))*IF('14.05'!BF$4="是",'14.05'!$AY$4,'14.05'!$AY$3)</f>
        <v>200</v>
      </c>
      <c r="V75" s="4">
        <f>(VLOOKUP('14.05'!AD75,'14.05'!$AM$4:$AO$55,2,FALSE))*IF('14.05'!BG$4="是",'14.05'!$AY$4,'14.05'!$AY$3)</f>
        <v>50</v>
      </c>
      <c r="W75" s="5">
        <f>(VLOOKUP('14.05'!AE75,'14.05'!$AM$4:$AO$55,2,FALSE))*IF('14.05'!BH$4="是",'14.05'!$AY$4,'14.05'!$AY$3)</f>
        <v>0</v>
      </c>
      <c r="X75" s="5">
        <f>(VLOOKUP('14.05'!AF75,'14.05'!$AM$4:$AO$55,2,FALSE))*IF('14.05'!BI$4="是",'14.05'!$AY$4,'14.05'!$AY$3)</f>
        <v>0</v>
      </c>
    </row>
    <row r="76" spans="1:24">
      <c r="A76" s="4">
        <f>(VLOOKUP('14.05'!I76,'14.05'!$AM$4:$AO$55,2,FALSE))*IF('14.05'!AK$4="是",'14.05'!$AY$4,'14.05'!$AY$3)</f>
        <v>0</v>
      </c>
      <c r="B76" s="4">
        <f>(VLOOKUP('14.05'!J76,'14.05'!$AM$4:$AO$55,2,FALSE))*IF('14.05'!AL$4="是",'14.05'!$AY$4,'14.05'!$AY$3)</f>
        <v>0</v>
      </c>
      <c r="C76" s="4">
        <f>(VLOOKUP('14.05'!K76,'14.05'!$AM$4:$AO$55,2,FALSE))*IF('14.05'!AM$4="是",'14.05'!$AY$4,'14.05'!$AY$3)</f>
        <v>0</v>
      </c>
      <c r="D76" s="4">
        <f>(VLOOKUP('14.05'!L76,'14.05'!$AM$4:$AO$55,2,FALSE))*IF('14.05'!AN$4="是",'14.05'!$AY$4,'14.05'!$AY$3)</f>
        <v>0</v>
      </c>
      <c r="E76" s="4">
        <f>(VLOOKUP('14.05'!M76,'14.05'!$AM$4:$AO$55,2,FALSE))*IF('14.05'!AO$4="是",'14.05'!$AY$4,'14.05'!$AY$3)</f>
        <v>0</v>
      </c>
      <c r="F76" s="4">
        <f>(VLOOKUP('14.05'!N76,'14.05'!$AM$4:$AO$55,2,FALSE))*IF('14.05'!AQ$4="是",'14.05'!$AY$4,'14.05'!$AY$3)</f>
        <v>0</v>
      </c>
      <c r="G76" s="5">
        <f>(VLOOKUP('14.05'!O76,'14.05'!$AM$4:$AO$55,2,FALSE))*IF('14.05'!AR$4="是",'14.05'!$AY$4,'14.05'!$AY$3)</f>
        <v>0</v>
      </c>
      <c r="H76" s="5">
        <f>(VLOOKUP('14.05'!P76,'14.05'!$AM$4:$AO$55,2,FALSE))*IF('14.05'!AS$4="是",'14.05'!$AY$4,'14.05'!$AY$3)</f>
        <v>0</v>
      </c>
      <c r="I76" s="4">
        <f>(VLOOKUP('14.05'!Q76,'14.05'!$AM$4:$AO$55,2,FALSE))*IF('14.05'!AT$4="是",'14.05'!$AY$4,'14.05'!$AY$3)</f>
        <v>200</v>
      </c>
      <c r="J76" s="4">
        <f>(VLOOKUP('14.05'!R76,'14.05'!$AM$4:$AO$55,2,FALSE))*IF('14.05'!AU$4="是",'14.05'!$AY$4,'14.05'!$AY$3)</f>
        <v>200</v>
      </c>
      <c r="K76" s="4">
        <f>(VLOOKUP('14.05'!S76,'14.05'!$AM$4:$AO$55,2,FALSE))*IF('14.05'!AV$4="是",'14.05'!$AY$4,'14.05'!$AY$3)</f>
        <v>200</v>
      </c>
      <c r="L76" s="4">
        <f>(VLOOKUP('14.05'!T76,'14.05'!$AM$4:$AO$55,2,FALSE))*IF('14.05'!AW$4="是",'14.05'!$AY$4,'14.05'!$AY$3)</f>
        <v>200</v>
      </c>
      <c r="M76" s="4">
        <f>(VLOOKUP('14.05'!U76,'14.05'!$AM$4:$AO$55,2,FALSE))*IF('14.05'!AX$4="是",'14.05'!$AY$4,'14.05'!$AY$3)</f>
        <v>200</v>
      </c>
      <c r="N76" s="4">
        <f>(VLOOKUP('14.05'!V76,'14.05'!$AM$4:$AO$55,2,FALSE))*IF('14.05'!AY$4="是",'14.05'!$AY$4,'14.05'!$AY$3)</f>
        <v>200</v>
      </c>
      <c r="O76" s="5">
        <f>(VLOOKUP('14.05'!W76,'14.05'!$AM$4:$AO$55,2,FALSE))*IF('14.05'!AZ$4="是",'14.05'!$AY$4,'14.05'!$AY$3)</f>
        <v>0</v>
      </c>
      <c r="P76" s="5">
        <f>(VLOOKUP('14.05'!X76,'14.05'!$AM$4:$AO$55,2,FALSE))*IF('14.05'!BA$4="是",'14.05'!$AY$4,'14.05'!$AY$3)</f>
        <v>0</v>
      </c>
      <c r="Q76" s="4">
        <f>(VLOOKUP('14.05'!Y76,'14.05'!$AM$4:$AO$55,2,FALSE))*IF('14.05'!BB$4="是",'14.05'!$AY$4,'14.05'!$AY$3)</f>
        <v>200</v>
      </c>
      <c r="R76" s="4">
        <f>(VLOOKUP('14.05'!Z76,'14.05'!$AM$4:$AO$55,2,FALSE))*IF('14.05'!BC$4="是",'14.05'!$AY$4,'14.05'!$AY$3)</f>
        <v>200</v>
      </c>
      <c r="S76" s="4">
        <f>(VLOOKUP('14.05'!AA76,'14.05'!$AM$4:$AO$55,2,FALSE))*IF('14.05'!BD$4="是",'14.05'!$AY$4,'14.05'!$AY$3)</f>
        <v>200</v>
      </c>
      <c r="T76" s="4">
        <f>(VLOOKUP('14.05'!AB76,'14.05'!$AM$4:$AO$55,2,FALSE))*IF('14.05'!BE$4="是",'14.05'!$AY$4,'14.05'!$AY$3)</f>
        <v>200</v>
      </c>
      <c r="U76" s="4">
        <f>(VLOOKUP('14.05'!AC76,'14.05'!$AM$4:$AO$55,2,FALSE))*IF('14.05'!BF$4="是",'14.05'!$AY$4,'14.05'!$AY$3)</f>
        <v>200</v>
      </c>
      <c r="V76" s="4">
        <f>(VLOOKUP('14.05'!AD76,'14.05'!$AM$4:$AO$55,2,FALSE))*IF('14.05'!BG$4="是",'14.05'!$AY$4,'14.05'!$AY$3)</f>
        <v>200</v>
      </c>
      <c r="W76" s="5">
        <f>(VLOOKUP('14.05'!AE76,'14.05'!$AM$4:$AO$55,2,FALSE))*IF('14.05'!BH$4="是",'14.05'!$AY$4,'14.05'!$AY$3)</f>
        <v>0</v>
      </c>
      <c r="X76" s="5">
        <f>(VLOOKUP('14.05'!AF76,'14.05'!$AM$4:$AO$55,2,FALSE))*IF('14.05'!BI$4="是",'14.05'!$AY$4,'14.05'!$AY$3)</f>
        <v>0</v>
      </c>
    </row>
    <row r="77" spans="1:24">
      <c r="A77" s="4">
        <f>(VLOOKUP('14.05'!I77,'14.05'!$AM$4:$AO$55,2,FALSE))*IF('14.05'!AK$4="是",'14.05'!$AY$4,'14.05'!$AY$3)</f>
        <v>0</v>
      </c>
      <c r="B77" s="4">
        <f>(VLOOKUP('14.05'!J77,'14.05'!$AM$4:$AO$55,2,FALSE))*IF('14.05'!AL$4="是",'14.05'!$AY$4,'14.05'!$AY$3)</f>
        <v>0</v>
      </c>
      <c r="C77" s="4">
        <f>(VLOOKUP('14.05'!K77,'14.05'!$AM$4:$AO$55,2,FALSE))*IF('14.05'!AM$4="是",'14.05'!$AY$4,'14.05'!$AY$3)</f>
        <v>0</v>
      </c>
      <c r="D77" s="4">
        <f>(VLOOKUP('14.05'!L77,'14.05'!$AM$4:$AO$55,2,FALSE))*IF('14.05'!AN$4="是",'14.05'!$AY$4,'14.05'!$AY$3)</f>
        <v>0</v>
      </c>
      <c r="E77" s="4">
        <f>(VLOOKUP('14.05'!M77,'14.05'!$AM$4:$AO$55,2,FALSE))*IF('14.05'!AO$4="是",'14.05'!$AY$4,'14.05'!$AY$3)</f>
        <v>0</v>
      </c>
      <c r="F77" s="4">
        <f>(VLOOKUP('14.05'!N77,'14.05'!$AM$4:$AO$55,2,FALSE))*IF('14.05'!AQ$4="是",'14.05'!$AY$4,'14.05'!$AY$3)</f>
        <v>0</v>
      </c>
      <c r="G77" s="5">
        <f>(VLOOKUP('14.05'!O77,'14.05'!$AM$4:$AO$55,2,FALSE))*IF('14.05'!AR$4="是",'14.05'!$AY$4,'14.05'!$AY$3)</f>
        <v>0</v>
      </c>
      <c r="H77" s="5">
        <f>(VLOOKUP('14.05'!P77,'14.05'!$AM$4:$AO$55,2,FALSE))*IF('14.05'!AS$4="是",'14.05'!$AY$4,'14.05'!$AY$3)</f>
        <v>0</v>
      </c>
      <c r="I77" s="4">
        <f>(VLOOKUP('14.05'!Q77,'14.05'!$AM$4:$AO$55,2,FALSE))*IF('14.05'!AT$4="是",'14.05'!$AY$4,'14.05'!$AY$3)</f>
        <v>200</v>
      </c>
      <c r="J77" s="4">
        <f>(VLOOKUP('14.05'!R77,'14.05'!$AM$4:$AO$55,2,FALSE))*IF('14.05'!AU$4="是",'14.05'!$AY$4,'14.05'!$AY$3)</f>
        <v>200</v>
      </c>
      <c r="K77" s="4">
        <f>(VLOOKUP('14.05'!S77,'14.05'!$AM$4:$AO$55,2,FALSE))*IF('14.05'!AV$4="是",'14.05'!$AY$4,'14.05'!$AY$3)</f>
        <v>200</v>
      </c>
      <c r="L77" s="4">
        <f>(VLOOKUP('14.05'!T77,'14.05'!$AM$4:$AO$55,2,FALSE))*IF('14.05'!AW$4="是",'14.05'!$AY$4,'14.05'!$AY$3)</f>
        <v>200</v>
      </c>
      <c r="M77" s="4">
        <f>(VLOOKUP('14.05'!U77,'14.05'!$AM$4:$AO$55,2,FALSE))*IF('14.05'!AX$4="是",'14.05'!$AY$4,'14.05'!$AY$3)</f>
        <v>200</v>
      </c>
      <c r="N77" s="4">
        <f>(VLOOKUP('14.05'!V77,'14.05'!$AM$4:$AO$55,2,FALSE))*IF('14.05'!AY$4="是",'14.05'!$AY$4,'14.05'!$AY$3)</f>
        <v>200</v>
      </c>
      <c r="O77" s="5">
        <f>(VLOOKUP('14.05'!W77,'14.05'!$AM$4:$AO$55,2,FALSE))*IF('14.05'!AZ$4="是",'14.05'!$AY$4,'14.05'!$AY$3)</f>
        <v>0</v>
      </c>
      <c r="P77" s="5">
        <f>(VLOOKUP('14.05'!X77,'14.05'!$AM$4:$AO$55,2,FALSE))*IF('14.05'!BA$4="是",'14.05'!$AY$4,'14.05'!$AY$3)</f>
        <v>0</v>
      </c>
      <c r="Q77" s="4">
        <f>(VLOOKUP('14.05'!Y77,'14.05'!$AM$4:$AO$55,2,FALSE))*IF('14.05'!BB$4="是",'14.05'!$AY$4,'14.05'!$AY$3)</f>
        <v>200</v>
      </c>
      <c r="R77" s="4">
        <f>(VLOOKUP('14.05'!Z77,'14.05'!$AM$4:$AO$55,2,FALSE))*IF('14.05'!BC$4="是",'14.05'!$AY$4,'14.05'!$AY$3)</f>
        <v>200</v>
      </c>
      <c r="S77" s="4">
        <f>(VLOOKUP('14.05'!AA77,'14.05'!$AM$4:$AO$55,2,FALSE))*IF('14.05'!BD$4="是",'14.05'!$AY$4,'14.05'!$AY$3)</f>
        <v>200</v>
      </c>
      <c r="T77" s="4">
        <f>(VLOOKUP('14.05'!AB77,'14.05'!$AM$4:$AO$55,2,FALSE))*IF('14.05'!BE$4="是",'14.05'!$AY$4,'14.05'!$AY$3)</f>
        <v>200</v>
      </c>
      <c r="U77" s="4">
        <f>(VLOOKUP('14.05'!AC77,'14.05'!$AM$4:$AO$55,2,FALSE))*IF('14.05'!BF$4="是",'14.05'!$AY$4,'14.05'!$AY$3)</f>
        <v>190</v>
      </c>
      <c r="V77" s="4">
        <f>(VLOOKUP('14.05'!AD77,'14.05'!$AM$4:$AO$55,2,FALSE))*IF('14.05'!BG$4="是",'14.05'!$AY$4,'14.05'!$AY$3)</f>
        <v>190</v>
      </c>
      <c r="W77" s="5">
        <f>(VLOOKUP('14.05'!AE77,'14.05'!$AM$4:$AO$55,2,FALSE))*IF('14.05'!BH$4="是",'14.05'!$AY$4,'14.05'!$AY$3)</f>
        <v>0</v>
      </c>
      <c r="X77" s="5">
        <f>(VLOOKUP('14.05'!AF77,'14.05'!$AM$4:$AO$55,2,FALSE))*IF('14.05'!BI$4="是",'14.05'!$AY$4,'14.05'!$AY$3)</f>
        <v>0</v>
      </c>
    </row>
    <row r="78" spans="1:24">
      <c r="A78" s="4">
        <f>(VLOOKUP('14.05'!I78,'14.05'!$AM$4:$AO$55,2,FALSE))*IF('14.05'!AK$4="是",'14.05'!$AY$4,'14.05'!$AY$3)</f>
        <v>0</v>
      </c>
      <c r="B78" s="4">
        <f>(VLOOKUP('14.05'!J78,'14.05'!$AM$4:$AO$55,2,FALSE))*IF('14.05'!AL$4="是",'14.05'!$AY$4,'14.05'!$AY$3)</f>
        <v>0</v>
      </c>
      <c r="C78" s="4">
        <f>(VLOOKUP('14.05'!K78,'14.05'!$AM$4:$AO$55,2,FALSE))*IF('14.05'!AM$4="是",'14.05'!$AY$4,'14.05'!$AY$3)</f>
        <v>0</v>
      </c>
      <c r="D78" s="4">
        <f>(VLOOKUP('14.05'!L78,'14.05'!$AM$4:$AO$55,2,FALSE))*IF('14.05'!AN$4="是",'14.05'!$AY$4,'14.05'!$AY$3)</f>
        <v>0</v>
      </c>
      <c r="E78" s="4">
        <f>(VLOOKUP('14.05'!M78,'14.05'!$AM$4:$AO$55,2,FALSE))*IF('14.05'!AO$4="是",'14.05'!$AY$4,'14.05'!$AY$3)</f>
        <v>0</v>
      </c>
      <c r="F78" s="4">
        <f>(VLOOKUP('14.05'!N78,'14.05'!$AM$4:$AO$55,2,FALSE))*IF('14.05'!AQ$4="是",'14.05'!$AY$4,'14.05'!$AY$3)</f>
        <v>0</v>
      </c>
      <c r="G78" s="5">
        <f>(VLOOKUP('14.05'!O78,'14.05'!$AM$4:$AO$55,2,FALSE))*IF('14.05'!AR$4="是",'14.05'!$AY$4,'14.05'!$AY$3)</f>
        <v>0</v>
      </c>
      <c r="H78" s="5">
        <f>(VLOOKUP('14.05'!P78,'14.05'!$AM$4:$AO$55,2,FALSE))*IF('14.05'!AS$4="是",'14.05'!$AY$4,'14.05'!$AY$3)</f>
        <v>0</v>
      </c>
      <c r="I78" s="4">
        <f>(VLOOKUP('14.05'!Q78,'14.05'!$AM$4:$AO$55,2,FALSE))*IF('14.05'!AT$4="是",'14.05'!$AY$4,'14.05'!$AY$3)</f>
        <v>-200</v>
      </c>
      <c r="J78" s="4">
        <f>(VLOOKUP('14.05'!R78,'14.05'!$AM$4:$AO$55,2,FALSE))*IF('14.05'!AU$4="是",'14.05'!$AY$4,'14.05'!$AY$3)</f>
        <v>200</v>
      </c>
      <c r="K78" s="4">
        <f>(VLOOKUP('14.05'!S78,'14.05'!$AM$4:$AO$55,2,FALSE))*IF('14.05'!AV$4="是",'14.05'!$AY$4,'14.05'!$AY$3)</f>
        <v>200</v>
      </c>
      <c r="L78" s="4">
        <f>(VLOOKUP('14.05'!T78,'14.05'!$AM$4:$AO$55,2,FALSE))*IF('14.05'!AW$4="是",'14.05'!$AY$4,'14.05'!$AY$3)</f>
        <v>200</v>
      </c>
      <c r="M78" s="4">
        <f>(VLOOKUP('14.05'!U78,'14.05'!$AM$4:$AO$55,2,FALSE))*IF('14.05'!AX$4="是",'14.05'!$AY$4,'14.05'!$AY$3)</f>
        <v>200</v>
      </c>
      <c r="N78" s="4">
        <f>(VLOOKUP('14.05'!V78,'14.05'!$AM$4:$AO$55,2,FALSE))*IF('14.05'!AY$4="是",'14.05'!$AY$4,'14.05'!$AY$3)</f>
        <v>200</v>
      </c>
      <c r="O78" s="5">
        <f>(VLOOKUP('14.05'!W78,'14.05'!$AM$4:$AO$55,2,FALSE))*IF('14.05'!AZ$4="是",'14.05'!$AY$4,'14.05'!$AY$3)</f>
        <v>0</v>
      </c>
      <c r="P78" s="5">
        <f>(VLOOKUP('14.05'!X78,'14.05'!$AM$4:$AO$55,2,FALSE))*IF('14.05'!BA$4="是",'14.05'!$AY$4,'14.05'!$AY$3)</f>
        <v>0</v>
      </c>
      <c r="Q78" s="4">
        <f>(VLOOKUP('14.05'!Y78,'14.05'!$AM$4:$AO$55,2,FALSE))*IF('14.05'!BB$4="是",'14.05'!$AY$4,'14.05'!$AY$3)</f>
        <v>190</v>
      </c>
      <c r="R78" s="4">
        <f>(VLOOKUP('14.05'!Z78,'14.05'!$AM$4:$AO$55,2,FALSE))*IF('14.05'!BC$4="是",'14.05'!$AY$4,'14.05'!$AY$3)</f>
        <v>190</v>
      </c>
      <c r="S78" s="4">
        <f>(VLOOKUP('14.05'!AA78,'14.05'!$AM$4:$AO$55,2,FALSE))*IF('14.05'!BD$4="是",'14.05'!$AY$4,'14.05'!$AY$3)</f>
        <v>190</v>
      </c>
      <c r="T78" s="4">
        <f>(VLOOKUP('14.05'!AB78,'14.05'!$AM$4:$AO$55,2,FALSE))*IF('14.05'!BE$4="是",'14.05'!$AY$4,'14.05'!$AY$3)</f>
        <v>190</v>
      </c>
      <c r="U78" s="4">
        <f>(VLOOKUP('14.05'!AC78,'14.05'!$AM$4:$AO$55,2,FALSE))*IF('14.05'!BF$4="是",'14.05'!$AY$4,'14.05'!$AY$3)</f>
        <v>190</v>
      </c>
      <c r="V78" s="4">
        <f>(VLOOKUP('14.05'!AD78,'14.05'!$AM$4:$AO$55,2,FALSE))*IF('14.05'!BG$4="是",'14.05'!$AY$4,'14.05'!$AY$3)</f>
        <v>190</v>
      </c>
      <c r="W78" s="5">
        <f>(VLOOKUP('14.05'!AE78,'14.05'!$AM$4:$AO$55,2,FALSE))*IF('14.05'!BH$4="是",'14.05'!$AY$4,'14.05'!$AY$3)</f>
        <v>0</v>
      </c>
      <c r="X78" s="5">
        <f>(VLOOKUP('14.05'!AF78,'14.05'!$AM$4:$AO$55,2,FALSE))*IF('14.05'!BI$4="是",'14.05'!$AY$4,'14.05'!$AY$3)</f>
        <v>0</v>
      </c>
    </row>
    <row r="79" spans="1:24">
      <c r="A79" s="4">
        <f>(VLOOKUP('14.05'!I79,'14.05'!$AM$4:$AO$55,2,FALSE))*IF('14.05'!AK$4="是",'14.05'!$AY$4,'14.05'!$AY$3)</f>
        <v>0</v>
      </c>
      <c r="B79" s="4">
        <f>(VLOOKUP('14.05'!J79,'14.05'!$AM$4:$AO$55,2,FALSE))*IF('14.05'!AL$4="是",'14.05'!$AY$4,'14.05'!$AY$3)</f>
        <v>0</v>
      </c>
      <c r="C79" s="4">
        <f>(VLOOKUP('14.05'!K79,'14.05'!$AM$4:$AO$55,2,FALSE))*IF('14.05'!AM$4="是",'14.05'!$AY$4,'14.05'!$AY$3)</f>
        <v>0</v>
      </c>
      <c r="D79" s="4">
        <f>(VLOOKUP('14.05'!L79,'14.05'!$AM$4:$AO$55,2,FALSE))*IF('14.05'!AN$4="是",'14.05'!$AY$4,'14.05'!$AY$3)</f>
        <v>0</v>
      </c>
      <c r="E79" s="4">
        <f>(VLOOKUP('14.05'!M79,'14.05'!$AM$4:$AO$55,2,FALSE))*IF('14.05'!AO$4="是",'14.05'!$AY$4,'14.05'!$AY$3)</f>
        <v>0</v>
      </c>
      <c r="F79" s="4">
        <f>(VLOOKUP('14.05'!N79,'14.05'!$AM$4:$AO$55,2,FALSE))*IF('14.05'!AQ$4="是",'14.05'!$AY$4,'14.05'!$AY$3)</f>
        <v>0</v>
      </c>
      <c r="G79" s="5">
        <f>(VLOOKUP('14.05'!O79,'14.05'!$AM$4:$AO$55,2,FALSE))*IF('14.05'!AR$4="是",'14.05'!$AY$4,'14.05'!$AY$3)</f>
        <v>0</v>
      </c>
      <c r="H79" s="5">
        <f>(VLOOKUP('14.05'!P79,'14.05'!$AM$4:$AO$55,2,FALSE))*IF('14.05'!AS$4="是",'14.05'!$AY$4,'14.05'!$AY$3)</f>
        <v>0</v>
      </c>
      <c r="I79" s="4">
        <f>(VLOOKUP('14.05'!Q79,'14.05'!$AM$4:$AO$55,2,FALSE))*IF('14.05'!AT$4="是",'14.05'!$AY$4,'14.05'!$AY$3)</f>
        <v>200</v>
      </c>
      <c r="J79" s="4">
        <f>(VLOOKUP('14.05'!R79,'14.05'!$AM$4:$AO$55,2,FALSE))*IF('14.05'!AU$4="是",'14.05'!$AY$4,'14.05'!$AY$3)</f>
        <v>200</v>
      </c>
      <c r="K79" s="4">
        <f>(VLOOKUP('14.05'!S79,'14.05'!$AM$4:$AO$55,2,FALSE))*IF('14.05'!AV$4="是",'14.05'!$AY$4,'14.05'!$AY$3)</f>
        <v>200</v>
      </c>
      <c r="L79" s="4">
        <f>(VLOOKUP('14.05'!T79,'14.05'!$AM$4:$AO$55,2,FALSE))*IF('14.05'!AW$4="是",'14.05'!$AY$4,'14.05'!$AY$3)</f>
        <v>200</v>
      </c>
      <c r="M79" s="4">
        <f>(VLOOKUP('14.05'!U79,'14.05'!$AM$4:$AO$55,2,FALSE))*IF('14.05'!AX$4="是",'14.05'!$AY$4,'14.05'!$AY$3)</f>
        <v>200</v>
      </c>
      <c r="N79" s="4">
        <f>(VLOOKUP('14.05'!V79,'14.05'!$AM$4:$AO$55,2,FALSE))*IF('14.05'!AY$4="是",'14.05'!$AY$4,'14.05'!$AY$3)</f>
        <v>200</v>
      </c>
      <c r="O79" s="5">
        <f>(VLOOKUP('14.05'!W79,'14.05'!$AM$4:$AO$55,2,FALSE))*IF('14.05'!AZ$4="是",'14.05'!$AY$4,'14.05'!$AY$3)</f>
        <v>0</v>
      </c>
      <c r="P79" s="5">
        <f>(VLOOKUP('14.05'!X79,'14.05'!$AM$4:$AO$55,2,FALSE))*IF('14.05'!BA$4="是",'14.05'!$AY$4,'14.05'!$AY$3)</f>
        <v>0</v>
      </c>
      <c r="Q79" s="4">
        <f>(VLOOKUP('14.05'!Y79,'14.05'!$AM$4:$AO$55,2,FALSE))*IF('14.05'!BB$4="是",'14.05'!$AY$4,'14.05'!$AY$3)</f>
        <v>190</v>
      </c>
      <c r="R79" s="4">
        <f>(VLOOKUP('14.05'!Z79,'14.05'!$AM$4:$AO$55,2,FALSE))*IF('14.05'!BC$4="是",'14.05'!$AY$4,'14.05'!$AY$3)</f>
        <v>190</v>
      </c>
      <c r="S79" s="4">
        <f>(VLOOKUP('14.05'!AA79,'14.05'!$AM$4:$AO$55,2,FALSE))*IF('14.05'!BD$4="是",'14.05'!$AY$4,'14.05'!$AY$3)</f>
        <v>190</v>
      </c>
      <c r="T79" s="4">
        <f>(VLOOKUP('14.05'!AB79,'14.05'!$AM$4:$AO$55,2,FALSE))*IF('14.05'!BE$4="是",'14.05'!$AY$4,'14.05'!$AY$3)</f>
        <v>190</v>
      </c>
      <c r="U79" s="4">
        <f>(VLOOKUP('14.05'!AC79,'14.05'!$AM$4:$AO$55,2,FALSE))*IF('14.05'!BF$4="是",'14.05'!$AY$4,'14.05'!$AY$3)</f>
        <v>-200</v>
      </c>
      <c r="V79" s="4">
        <f>(VLOOKUP('14.05'!AD79,'14.05'!$AM$4:$AO$55,2,FALSE))*IF('14.05'!BG$4="是",'14.05'!$AY$4,'14.05'!$AY$3)</f>
        <v>190</v>
      </c>
      <c r="W79" s="5">
        <f>(VLOOKUP('14.05'!AE79,'14.05'!$AM$4:$AO$55,2,FALSE))*IF('14.05'!BH$4="是",'14.05'!$AY$4,'14.05'!$AY$3)</f>
        <v>0</v>
      </c>
      <c r="X79" s="5">
        <f>(VLOOKUP('14.05'!AF79,'14.05'!$AM$4:$AO$55,2,FALSE))*IF('14.05'!BI$4="是",'14.05'!$AY$4,'14.05'!$AY$3)</f>
        <v>0</v>
      </c>
    </row>
    <row r="80" spans="1:24">
      <c r="A80" s="4">
        <f>(VLOOKUP('14.05'!I80,'14.05'!$AM$4:$AO$55,2,FALSE))*IF('14.05'!AK$4="是",'14.05'!$AY$4,'14.05'!$AY$3)</f>
        <v>0</v>
      </c>
      <c r="B80" s="4">
        <f>(VLOOKUP('14.05'!J80,'14.05'!$AM$4:$AO$55,2,FALSE))*IF('14.05'!AL$4="是",'14.05'!$AY$4,'14.05'!$AY$3)</f>
        <v>0</v>
      </c>
      <c r="C80" s="4">
        <f>(VLOOKUP('14.05'!K80,'14.05'!$AM$4:$AO$55,2,FALSE))*IF('14.05'!AM$4="是",'14.05'!$AY$4,'14.05'!$AY$3)</f>
        <v>0</v>
      </c>
      <c r="D80" s="4">
        <f>(VLOOKUP('14.05'!L80,'14.05'!$AM$4:$AO$55,2,FALSE))*IF('14.05'!AN$4="是",'14.05'!$AY$4,'14.05'!$AY$3)</f>
        <v>0</v>
      </c>
      <c r="E80" s="4">
        <f>(VLOOKUP('14.05'!M80,'14.05'!$AM$4:$AO$55,2,FALSE))*IF('14.05'!AO$4="是",'14.05'!$AY$4,'14.05'!$AY$3)</f>
        <v>0</v>
      </c>
      <c r="F80" s="4">
        <f>(VLOOKUP('14.05'!N80,'14.05'!$AM$4:$AO$55,2,FALSE))*IF('14.05'!AQ$4="是",'14.05'!$AY$4,'14.05'!$AY$3)</f>
        <v>0</v>
      </c>
      <c r="G80" s="5">
        <f>(VLOOKUP('14.05'!O80,'14.05'!$AM$4:$AO$55,2,FALSE))*IF('14.05'!AR$4="是",'14.05'!$AY$4,'14.05'!$AY$3)</f>
        <v>0</v>
      </c>
      <c r="H80" s="5">
        <f>(VLOOKUP('14.05'!P80,'14.05'!$AM$4:$AO$55,2,FALSE))*IF('14.05'!AS$4="是",'14.05'!$AY$4,'14.05'!$AY$3)</f>
        <v>0</v>
      </c>
      <c r="I80" s="4">
        <f>(VLOOKUP('14.05'!Q80,'14.05'!$AM$4:$AO$55,2,FALSE))*IF('14.05'!AT$4="是",'14.05'!$AY$4,'14.05'!$AY$3)</f>
        <v>200</v>
      </c>
      <c r="J80" s="4">
        <f>(VLOOKUP('14.05'!R80,'14.05'!$AM$4:$AO$55,2,FALSE))*IF('14.05'!AU$4="是",'14.05'!$AY$4,'14.05'!$AY$3)</f>
        <v>200</v>
      </c>
      <c r="K80" s="4">
        <f>(VLOOKUP('14.05'!S80,'14.05'!$AM$4:$AO$55,2,FALSE))*IF('14.05'!AV$4="是",'14.05'!$AY$4,'14.05'!$AY$3)</f>
        <v>200</v>
      </c>
      <c r="L80" s="4">
        <f>(VLOOKUP('14.05'!T80,'14.05'!$AM$4:$AO$55,2,FALSE))*IF('14.05'!AW$4="是",'14.05'!$AY$4,'14.05'!$AY$3)</f>
        <v>200</v>
      </c>
      <c r="M80" s="4">
        <f>(VLOOKUP('14.05'!U80,'14.05'!$AM$4:$AO$55,2,FALSE))*IF('14.05'!AX$4="是",'14.05'!$AY$4,'14.05'!$AY$3)</f>
        <v>200</v>
      </c>
      <c r="N80" s="4">
        <f>(VLOOKUP('14.05'!V80,'14.05'!$AM$4:$AO$55,2,FALSE))*IF('14.05'!AY$4="是",'14.05'!$AY$4,'14.05'!$AY$3)</f>
        <v>200</v>
      </c>
      <c r="O80" s="5">
        <f>(VLOOKUP('14.05'!W80,'14.05'!$AM$4:$AO$55,2,FALSE))*IF('14.05'!AZ$4="是",'14.05'!$AY$4,'14.05'!$AY$3)</f>
        <v>0</v>
      </c>
      <c r="P80" s="5">
        <f>(VLOOKUP('14.05'!X80,'14.05'!$AM$4:$AO$55,2,FALSE))*IF('14.05'!BA$4="是",'14.05'!$AY$4,'14.05'!$AY$3)</f>
        <v>0</v>
      </c>
      <c r="Q80" s="4">
        <f>(VLOOKUP('14.05'!Y80,'14.05'!$AM$4:$AO$55,2,FALSE))*IF('14.05'!BB$4="是",'14.05'!$AY$4,'14.05'!$AY$3)</f>
        <v>190</v>
      </c>
      <c r="R80" s="4">
        <f>(VLOOKUP('14.05'!Z80,'14.05'!$AM$4:$AO$55,2,FALSE))*IF('14.05'!BC$4="是",'14.05'!$AY$4,'14.05'!$AY$3)</f>
        <v>190</v>
      </c>
      <c r="S80" s="4">
        <f>(VLOOKUP('14.05'!AA80,'14.05'!$AM$4:$AO$55,2,FALSE))*IF('14.05'!BD$4="是",'14.05'!$AY$4,'14.05'!$AY$3)</f>
        <v>190</v>
      </c>
      <c r="T80" s="4">
        <f>(VLOOKUP('14.05'!AB80,'14.05'!$AM$4:$AO$55,2,FALSE))*IF('14.05'!BE$4="是",'14.05'!$AY$4,'14.05'!$AY$3)</f>
        <v>190</v>
      </c>
      <c r="U80" s="4">
        <f>(VLOOKUP('14.05'!AC80,'14.05'!$AM$4:$AO$55,2,FALSE))*IF('14.05'!BF$4="是",'14.05'!$AY$4,'14.05'!$AY$3)</f>
        <v>190</v>
      </c>
      <c r="V80" s="4">
        <f>(VLOOKUP('14.05'!AD80,'14.05'!$AM$4:$AO$55,2,FALSE))*IF('14.05'!BG$4="是",'14.05'!$AY$4,'14.05'!$AY$3)</f>
        <v>190</v>
      </c>
      <c r="W80" s="5">
        <f>(VLOOKUP('14.05'!AE80,'14.05'!$AM$4:$AO$55,2,FALSE))*IF('14.05'!BH$4="是",'14.05'!$AY$4,'14.05'!$AY$3)</f>
        <v>0</v>
      </c>
      <c r="X80" s="5">
        <f>(VLOOKUP('14.05'!AF80,'14.05'!$AM$4:$AO$55,2,FALSE))*IF('14.05'!BI$4="是",'14.05'!$AY$4,'14.05'!$AY$3)</f>
        <v>0</v>
      </c>
    </row>
    <row r="81" spans="1:24">
      <c r="A81" s="4">
        <f>(VLOOKUP('14.05'!I81,'14.05'!$AM$4:$AO$55,2,FALSE))*IF('14.05'!AK$4="是",'14.05'!$AY$4,'14.05'!$AY$3)</f>
        <v>0</v>
      </c>
      <c r="B81" s="4">
        <f>(VLOOKUP('14.05'!J81,'14.05'!$AM$4:$AO$55,2,FALSE))*IF('14.05'!AL$4="是",'14.05'!$AY$4,'14.05'!$AY$3)</f>
        <v>0</v>
      </c>
      <c r="C81" s="4">
        <f>(VLOOKUP('14.05'!K81,'14.05'!$AM$4:$AO$55,2,FALSE))*IF('14.05'!AM$4="是",'14.05'!$AY$4,'14.05'!$AY$3)</f>
        <v>0</v>
      </c>
      <c r="D81" s="4">
        <f>(VLOOKUP('14.05'!L81,'14.05'!$AM$4:$AO$55,2,FALSE))*IF('14.05'!AN$4="是",'14.05'!$AY$4,'14.05'!$AY$3)</f>
        <v>0</v>
      </c>
      <c r="E81" s="4">
        <f>(VLOOKUP('14.05'!M81,'14.05'!$AM$4:$AO$55,2,FALSE))*IF('14.05'!AO$4="是",'14.05'!$AY$4,'14.05'!$AY$3)</f>
        <v>0</v>
      </c>
      <c r="F81" s="4">
        <f>(VLOOKUP('14.05'!N81,'14.05'!$AM$4:$AO$55,2,FALSE))*IF('14.05'!AQ$4="是",'14.05'!$AY$4,'14.05'!$AY$3)</f>
        <v>0</v>
      </c>
      <c r="G81" s="5">
        <f>(VLOOKUP('14.05'!O81,'14.05'!$AM$4:$AO$55,2,FALSE))*IF('14.05'!AR$4="是",'14.05'!$AY$4,'14.05'!$AY$3)</f>
        <v>0</v>
      </c>
      <c r="H81" s="5">
        <f>(VLOOKUP('14.05'!P81,'14.05'!$AM$4:$AO$55,2,FALSE))*IF('14.05'!AS$4="是",'14.05'!$AY$4,'14.05'!$AY$3)</f>
        <v>0</v>
      </c>
      <c r="I81" s="4">
        <f>(VLOOKUP('14.05'!Q81,'14.05'!$AM$4:$AO$55,2,FALSE))*IF('14.05'!AT$4="是",'14.05'!$AY$4,'14.05'!$AY$3)</f>
        <v>200</v>
      </c>
      <c r="J81" s="4">
        <f>(VLOOKUP('14.05'!R81,'14.05'!$AM$4:$AO$55,2,FALSE))*IF('14.05'!AU$4="是",'14.05'!$AY$4,'14.05'!$AY$3)</f>
        <v>200</v>
      </c>
      <c r="K81" s="4">
        <f>(VLOOKUP('14.05'!S81,'14.05'!$AM$4:$AO$55,2,FALSE))*IF('14.05'!AV$4="是",'14.05'!$AY$4,'14.05'!$AY$3)</f>
        <v>190</v>
      </c>
      <c r="L81" s="4">
        <f>(VLOOKUP('14.05'!T81,'14.05'!$AM$4:$AO$55,2,FALSE))*IF('14.05'!AW$4="是",'14.05'!$AY$4,'14.05'!$AY$3)</f>
        <v>190</v>
      </c>
      <c r="M81" s="4">
        <f>(VLOOKUP('14.05'!U81,'14.05'!$AM$4:$AO$55,2,FALSE))*IF('14.05'!AX$4="是",'14.05'!$AY$4,'14.05'!$AY$3)</f>
        <v>190</v>
      </c>
      <c r="N81" s="4">
        <f>(VLOOKUP('14.05'!V81,'14.05'!$AM$4:$AO$55,2,FALSE))*IF('14.05'!AY$4="是",'14.05'!$AY$4,'14.05'!$AY$3)</f>
        <v>190</v>
      </c>
      <c r="O81" s="5">
        <f>(VLOOKUP('14.05'!W81,'14.05'!$AM$4:$AO$55,2,FALSE))*IF('14.05'!AZ$4="是",'14.05'!$AY$4,'14.05'!$AY$3)</f>
        <v>0</v>
      </c>
      <c r="P81" s="5">
        <f>(VLOOKUP('14.05'!X81,'14.05'!$AM$4:$AO$55,2,FALSE))*IF('14.05'!BA$4="是",'14.05'!$AY$4,'14.05'!$AY$3)</f>
        <v>0</v>
      </c>
      <c r="Q81" s="4">
        <f>(VLOOKUP('14.05'!Y81,'14.05'!$AM$4:$AO$55,2,FALSE))*IF('14.05'!BB$4="是",'14.05'!$AY$4,'14.05'!$AY$3)</f>
        <v>190</v>
      </c>
      <c r="R81" s="4">
        <f>(VLOOKUP('14.05'!Z81,'14.05'!$AM$4:$AO$55,2,FALSE))*IF('14.05'!BC$4="是",'14.05'!$AY$4,'14.05'!$AY$3)</f>
        <v>190</v>
      </c>
      <c r="S81" s="4">
        <f>(VLOOKUP('14.05'!AA81,'14.05'!$AM$4:$AO$55,2,FALSE))*IF('14.05'!BD$4="是",'14.05'!$AY$4,'14.05'!$AY$3)</f>
        <v>190</v>
      </c>
      <c r="T81" s="4">
        <f>(VLOOKUP('14.05'!AB81,'14.05'!$AM$4:$AO$55,2,FALSE))*IF('14.05'!BE$4="是",'14.05'!$AY$4,'14.05'!$AY$3)</f>
        <v>190</v>
      </c>
      <c r="U81" s="4">
        <f>(VLOOKUP('14.05'!AC81,'14.05'!$AM$4:$AO$55,2,FALSE))*IF('14.05'!BF$4="是",'14.05'!$AY$4,'14.05'!$AY$3)</f>
        <v>190</v>
      </c>
      <c r="V81" s="4">
        <f>(VLOOKUP('14.05'!AD81,'14.05'!$AM$4:$AO$55,2,FALSE))*IF('14.05'!BG$4="是",'14.05'!$AY$4,'14.05'!$AY$3)</f>
        <v>190</v>
      </c>
      <c r="W81" s="5">
        <f>(VLOOKUP('14.05'!AE81,'14.05'!$AM$4:$AO$55,2,FALSE))*IF('14.05'!BH$4="是",'14.05'!$AY$4,'14.05'!$AY$3)</f>
        <v>0</v>
      </c>
      <c r="X81" s="5">
        <f>(VLOOKUP('14.05'!AF81,'14.05'!$AM$4:$AO$55,2,FALSE))*IF('14.05'!BI$4="是",'14.05'!$AY$4,'14.05'!$AY$3)</f>
        <v>0</v>
      </c>
    </row>
    <row r="82" spans="1:24">
      <c r="A82" s="4">
        <f>(VLOOKUP('14.05'!I82,'14.05'!$AM$4:$AO$55,2,FALSE))*IF('14.05'!AK$4="是",'14.05'!$AY$4,'14.05'!$AY$3)</f>
        <v>0</v>
      </c>
      <c r="B82" s="4">
        <f>(VLOOKUP('14.05'!J82,'14.05'!$AM$4:$AO$55,2,FALSE))*IF('14.05'!AL$4="是",'14.05'!$AY$4,'14.05'!$AY$3)</f>
        <v>0</v>
      </c>
      <c r="C82" s="4">
        <f>(VLOOKUP('14.05'!K82,'14.05'!$AM$4:$AO$55,2,FALSE))*IF('14.05'!AM$4="是",'14.05'!$AY$4,'14.05'!$AY$3)</f>
        <v>0</v>
      </c>
      <c r="D82" s="4">
        <f>(VLOOKUP('14.05'!L82,'14.05'!$AM$4:$AO$55,2,FALSE))*IF('14.05'!AN$4="是",'14.05'!$AY$4,'14.05'!$AY$3)</f>
        <v>0</v>
      </c>
      <c r="E82" s="4">
        <f>(VLOOKUP('14.05'!M82,'14.05'!$AM$4:$AO$55,2,FALSE))*IF('14.05'!AO$4="是",'14.05'!$AY$4,'14.05'!$AY$3)</f>
        <v>0</v>
      </c>
      <c r="F82" s="4">
        <f>(VLOOKUP('14.05'!N82,'14.05'!$AM$4:$AO$55,2,FALSE))*IF('14.05'!AQ$4="是",'14.05'!$AY$4,'14.05'!$AY$3)</f>
        <v>0</v>
      </c>
      <c r="G82" s="5">
        <f>(VLOOKUP('14.05'!O82,'14.05'!$AM$4:$AO$55,2,FALSE))*IF('14.05'!AR$4="是",'14.05'!$AY$4,'14.05'!$AY$3)</f>
        <v>0</v>
      </c>
      <c r="H82" s="5">
        <f>(VLOOKUP('14.05'!P82,'14.05'!$AM$4:$AO$55,2,FALSE))*IF('14.05'!AS$4="是",'14.05'!$AY$4,'14.05'!$AY$3)</f>
        <v>0</v>
      </c>
      <c r="I82" s="4">
        <f>(VLOOKUP('14.05'!Q82,'14.05'!$AM$4:$AO$55,2,FALSE))*IF('14.05'!AT$4="是",'14.05'!$AY$4,'14.05'!$AY$3)</f>
        <v>190</v>
      </c>
      <c r="J82" s="4">
        <f>(VLOOKUP('14.05'!R82,'14.05'!$AM$4:$AO$55,2,FALSE))*IF('14.05'!AU$4="是",'14.05'!$AY$4,'14.05'!$AY$3)</f>
        <v>190</v>
      </c>
      <c r="K82" s="4">
        <f>(VLOOKUP('14.05'!S82,'14.05'!$AM$4:$AO$55,2,FALSE))*IF('14.05'!AV$4="是",'14.05'!$AY$4,'14.05'!$AY$3)</f>
        <v>190</v>
      </c>
      <c r="L82" s="4">
        <f>(VLOOKUP('14.05'!T82,'14.05'!$AM$4:$AO$55,2,FALSE))*IF('14.05'!AW$4="是",'14.05'!$AY$4,'14.05'!$AY$3)</f>
        <v>190</v>
      </c>
      <c r="M82" s="4">
        <f>(VLOOKUP('14.05'!U82,'14.05'!$AM$4:$AO$55,2,FALSE))*IF('14.05'!AX$4="是",'14.05'!$AY$4,'14.05'!$AY$3)</f>
        <v>190</v>
      </c>
      <c r="N82" s="4">
        <f>(VLOOKUP('14.05'!V82,'14.05'!$AM$4:$AO$55,2,FALSE))*IF('14.05'!AY$4="是",'14.05'!$AY$4,'14.05'!$AY$3)</f>
        <v>190</v>
      </c>
      <c r="O82" s="5">
        <f>(VLOOKUP('14.05'!W82,'14.05'!$AM$4:$AO$55,2,FALSE))*IF('14.05'!AZ$4="是",'14.05'!$AY$4,'14.05'!$AY$3)</f>
        <v>0</v>
      </c>
      <c r="P82" s="5">
        <f>(VLOOKUP('14.05'!X82,'14.05'!$AM$4:$AO$55,2,FALSE))*IF('14.05'!BA$4="是",'14.05'!$AY$4,'14.05'!$AY$3)</f>
        <v>0</v>
      </c>
      <c r="Q82" s="4">
        <f>(VLOOKUP('14.05'!Y82,'14.05'!$AM$4:$AO$55,2,FALSE))*IF('14.05'!BB$4="是",'14.05'!$AY$4,'14.05'!$AY$3)</f>
        <v>180</v>
      </c>
      <c r="R82" s="4">
        <f>(VLOOKUP('14.05'!Z82,'14.05'!$AM$4:$AO$55,2,FALSE))*IF('14.05'!BC$4="是",'14.05'!$AY$4,'14.05'!$AY$3)</f>
        <v>180</v>
      </c>
      <c r="S82" s="4">
        <f>(VLOOKUP('14.05'!AA82,'14.05'!$AM$4:$AO$55,2,FALSE))*IF('14.05'!BD$4="是",'14.05'!$AY$4,'14.05'!$AY$3)</f>
        <v>180</v>
      </c>
      <c r="T82" s="4">
        <f>(VLOOKUP('14.05'!AB82,'14.05'!$AM$4:$AO$55,2,FALSE))*IF('14.05'!BE$4="是",'14.05'!$AY$4,'14.05'!$AY$3)</f>
        <v>180</v>
      </c>
      <c r="U82" s="4">
        <f>(VLOOKUP('14.05'!AC82,'14.05'!$AM$4:$AO$55,2,FALSE))*IF('14.05'!BF$4="是",'14.05'!$AY$4,'14.05'!$AY$3)</f>
        <v>180</v>
      </c>
      <c r="V82" s="4">
        <f>(VLOOKUP('14.05'!AD82,'14.05'!$AM$4:$AO$55,2,FALSE))*IF('14.05'!BG$4="是",'14.05'!$AY$4,'14.05'!$AY$3)</f>
        <v>180</v>
      </c>
      <c r="W82" s="5">
        <f>(VLOOKUP('14.05'!AE82,'14.05'!$AM$4:$AO$55,2,FALSE))*IF('14.05'!BH$4="是",'14.05'!$AY$4,'14.05'!$AY$3)</f>
        <v>0</v>
      </c>
      <c r="X82" s="5">
        <f>(VLOOKUP('14.05'!AF82,'14.05'!$AM$4:$AO$55,2,FALSE))*IF('14.05'!BI$4="是",'14.05'!$AY$4,'14.05'!$AY$3)</f>
        <v>0</v>
      </c>
    </row>
    <row r="83" spans="1:24">
      <c r="A83" s="4">
        <f>(VLOOKUP('14.05'!I83,'14.05'!$AM$4:$AO$55,2,FALSE))*IF('14.05'!AK$4="是",'14.05'!$AY$4,'14.05'!$AY$3)</f>
        <v>0</v>
      </c>
      <c r="B83" s="4">
        <f>(VLOOKUP('14.05'!J83,'14.05'!$AM$4:$AO$55,2,FALSE))*IF('14.05'!AL$4="是",'14.05'!$AY$4,'14.05'!$AY$3)</f>
        <v>0</v>
      </c>
      <c r="C83" s="4">
        <f>(VLOOKUP('14.05'!K83,'14.05'!$AM$4:$AO$55,2,FALSE))*IF('14.05'!AM$4="是",'14.05'!$AY$4,'14.05'!$AY$3)</f>
        <v>0</v>
      </c>
      <c r="D83" s="4">
        <f>(VLOOKUP('14.05'!L83,'14.05'!$AM$4:$AO$55,2,FALSE))*IF('14.05'!AN$4="是",'14.05'!$AY$4,'14.05'!$AY$3)</f>
        <v>0</v>
      </c>
      <c r="E83" s="4">
        <f>(VLOOKUP('14.05'!M83,'14.05'!$AM$4:$AO$55,2,FALSE))*IF('14.05'!AO$4="是",'14.05'!$AY$4,'14.05'!$AY$3)</f>
        <v>0</v>
      </c>
      <c r="F83" s="4">
        <f>(VLOOKUP('14.05'!N83,'14.05'!$AM$4:$AO$55,2,FALSE))*IF('14.05'!AQ$4="是",'14.05'!$AY$4,'14.05'!$AY$3)</f>
        <v>0</v>
      </c>
      <c r="G83" s="5">
        <f>(VLOOKUP('14.05'!O83,'14.05'!$AM$4:$AO$55,2,FALSE))*IF('14.05'!AR$4="是",'14.05'!$AY$4,'14.05'!$AY$3)</f>
        <v>0</v>
      </c>
      <c r="H83" s="5">
        <f>(VLOOKUP('14.05'!P83,'14.05'!$AM$4:$AO$55,2,FALSE))*IF('14.05'!AS$4="是",'14.05'!$AY$4,'14.05'!$AY$3)</f>
        <v>0</v>
      </c>
      <c r="I83" s="4">
        <f>(VLOOKUP('14.05'!Q83,'14.05'!$AM$4:$AO$55,2,FALSE))*IF('14.05'!AT$4="是",'14.05'!$AY$4,'14.05'!$AY$3)</f>
        <v>190</v>
      </c>
      <c r="J83" s="4">
        <f>(VLOOKUP('14.05'!R83,'14.05'!$AM$4:$AO$55,2,FALSE))*IF('14.05'!AU$4="是",'14.05'!$AY$4,'14.05'!$AY$3)</f>
        <v>190</v>
      </c>
      <c r="K83" s="4">
        <f>(VLOOKUP('14.05'!S83,'14.05'!$AM$4:$AO$55,2,FALSE))*IF('14.05'!AV$4="是",'14.05'!$AY$4,'14.05'!$AY$3)</f>
        <v>190</v>
      </c>
      <c r="L83" s="4">
        <f>(VLOOKUP('14.05'!T83,'14.05'!$AM$4:$AO$55,2,FALSE))*IF('14.05'!AW$4="是",'14.05'!$AY$4,'14.05'!$AY$3)</f>
        <v>190</v>
      </c>
      <c r="M83" s="4">
        <f>(VLOOKUP('14.05'!U83,'14.05'!$AM$4:$AO$55,2,FALSE))*IF('14.05'!AX$4="是",'14.05'!$AY$4,'14.05'!$AY$3)</f>
        <v>190</v>
      </c>
      <c r="N83" s="4">
        <f>(VLOOKUP('14.05'!V83,'14.05'!$AM$4:$AO$55,2,FALSE))*IF('14.05'!AY$4="是",'14.05'!$AY$4,'14.05'!$AY$3)</f>
        <v>180</v>
      </c>
      <c r="O83" s="5">
        <f>(VLOOKUP('14.05'!W83,'14.05'!$AM$4:$AO$55,2,FALSE))*IF('14.05'!AZ$4="是",'14.05'!$AY$4,'14.05'!$AY$3)</f>
        <v>0</v>
      </c>
      <c r="P83" s="5">
        <f>(VLOOKUP('14.05'!X83,'14.05'!$AM$4:$AO$55,2,FALSE))*IF('14.05'!BA$4="是",'14.05'!$AY$4,'14.05'!$AY$3)</f>
        <v>0</v>
      </c>
      <c r="Q83" s="4">
        <f>(VLOOKUP('14.05'!Y83,'14.05'!$AM$4:$AO$55,2,FALSE))*IF('14.05'!BB$4="是",'14.05'!$AY$4,'14.05'!$AY$3)</f>
        <v>180</v>
      </c>
      <c r="R83" s="4">
        <f>(VLOOKUP('14.05'!Z83,'14.05'!$AM$4:$AO$55,2,FALSE))*IF('14.05'!BC$4="是",'14.05'!$AY$4,'14.05'!$AY$3)</f>
        <v>150</v>
      </c>
      <c r="S83" s="4">
        <f>(VLOOKUP('14.05'!AA83,'14.05'!$AM$4:$AO$55,2,FALSE))*IF('14.05'!BD$4="是",'14.05'!$AY$4,'14.05'!$AY$3)</f>
        <v>180</v>
      </c>
      <c r="T83" s="4">
        <f>(VLOOKUP('14.05'!AB83,'14.05'!$AM$4:$AO$55,2,FALSE))*IF('14.05'!BE$4="是",'14.05'!$AY$4,'14.05'!$AY$3)</f>
        <v>180</v>
      </c>
      <c r="U83" s="4">
        <f>(VLOOKUP('14.05'!AC83,'14.05'!$AM$4:$AO$55,2,FALSE))*IF('14.05'!BF$4="是",'14.05'!$AY$4,'14.05'!$AY$3)</f>
        <v>180</v>
      </c>
      <c r="V83" s="4">
        <f>(VLOOKUP('14.05'!AD83,'14.05'!$AM$4:$AO$55,2,FALSE))*IF('14.05'!BG$4="是",'14.05'!$AY$4,'14.05'!$AY$3)</f>
        <v>180</v>
      </c>
      <c r="W83" s="5">
        <f>(VLOOKUP('14.05'!AE83,'14.05'!$AM$4:$AO$55,2,FALSE))*IF('14.05'!BH$4="是",'14.05'!$AY$4,'14.05'!$AY$3)</f>
        <v>0</v>
      </c>
      <c r="X83" s="5">
        <f>(VLOOKUP('14.05'!AF83,'14.05'!$AM$4:$AO$55,2,FALSE))*IF('14.05'!BI$4="是",'14.05'!$AY$4,'14.05'!$AY$3)</f>
        <v>0</v>
      </c>
    </row>
    <row r="84" spans="1:24">
      <c r="A84" s="4">
        <f>(VLOOKUP('14.05'!I84,'14.05'!$AM$4:$AO$55,2,FALSE))*IF('14.05'!AK$4="是",'14.05'!$AY$4,'14.05'!$AY$3)</f>
        <v>0</v>
      </c>
      <c r="B84" s="4">
        <f>(VLOOKUP('14.05'!J84,'14.05'!$AM$4:$AO$55,2,FALSE))*IF('14.05'!AL$4="是",'14.05'!$AY$4,'14.05'!$AY$3)</f>
        <v>0</v>
      </c>
      <c r="C84" s="4">
        <f>(VLOOKUP('14.05'!K84,'14.05'!$AM$4:$AO$55,2,FALSE))*IF('14.05'!AM$4="是",'14.05'!$AY$4,'14.05'!$AY$3)</f>
        <v>0</v>
      </c>
      <c r="D84" s="4">
        <f>(VLOOKUP('14.05'!L84,'14.05'!$AM$4:$AO$55,2,FALSE))*IF('14.05'!AN$4="是",'14.05'!$AY$4,'14.05'!$AY$3)</f>
        <v>0</v>
      </c>
      <c r="E84" s="4">
        <f>(VLOOKUP('14.05'!M84,'14.05'!$AM$4:$AO$55,2,FALSE))*IF('14.05'!AO$4="是",'14.05'!$AY$4,'14.05'!$AY$3)</f>
        <v>0</v>
      </c>
      <c r="F84" s="4">
        <f>(VLOOKUP('14.05'!N84,'14.05'!$AM$4:$AO$55,2,FALSE))*IF('14.05'!AQ$4="是",'14.05'!$AY$4,'14.05'!$AY$3)</f>
        <v>0</v>
      </c>
      <c r="G84" s="5">
        <f>(VLOOKUP('14.05'!O84,'14.05'!$AM$4:$AO$55,2,FALSE))*IF('14.05'!AR$4="是",'14.05'!$AY$4,'14.05'!$AY$3)</f>
        <v>0</v>
      </c>
      <c r="H84" s="5">
        <f>(VLOOKUP('14.05'!P84,'14.05'!$AM$4:$AO$55,2,FALSE))*IF('14.05'!AS$4="是",'14.05'!$AY$4,'14.05'!$AY$3)</f>
        <v>0</v>
      </c>
      <c r="I84" s="4">
        <f>(VLOOKUP('14.05'!Q84,'14.05'!$AM$4:$AO$55,2,FALSE))*IF('14.05'!AT$4="是",'14.05'!$AY$4,'14.05'!$AY$3)</f>
        <v>180</v>
      </c>
      <c r="J84" s="4">
        <f>(VLOOKUP('14.05'!R84,'14.05'!$AM$4:$AO$55,2,FALSE))*IF('14.05'!AU$4="是",'14.05'!$AY$4,'14.05'!$AY$3)</f>
        <v>180</v>
      </c>
      <c r="K84" s="4">
        <f>(VLOOKUP('14.05'!S84,'14.05'!$AM$4:$AO$55,2,FALSE))*IF('14.05'!AV$4="是",'14.05'!$AY$4,'14.05'!$AY$3)</f>
        <v>180</v>
      </c>
      <c r="L84" s="4">
        <f>(VLOOKUP('14.05'!T84,'14.05'!$AM$4:$AO$55,2,FALSE))*IF('14.05'!AW$4="是",'14.05'!$AY$4,'14.05'!$AY$3)</f>
        <v>180</v>
      </c>
      <c r="M84" s="4">
        <f>(VLOOKUP('14.05'!U84,'14.05'!$AM$4:$AO$55,2,FALSE))*IF('14.05'!AX$4="是",'14.05'!$AY$4,'14.05'!$AY$3)</f>
        <v>180</v>
      </c>
      <c r="N84" s="4">
        <f>(VLOOKUP('14.05'!V84,'14.05'!$AM$4:$AO$55,2,FALSE))*IF('14.05'!AY$4="是",'14.05'!$AY$4,'14.05'!$AY$3)</f>
        <v>190</v>
      </c>
      <c r="O84" s="5">
        <f>(VLOOKUP('14.05'!W84,'14.05'!$AM$4:$AO$55,2,FALSE))*IF('14.05'!AZ$4="是",'14.05'!$AY$4,'14.05'!$AY$3)</f>
        <v>0</v>
      </c>
      <c r="P84" s="5">
        <f>(VLOOKUP('14.05'!X84,'14.05'!$AM$4:$AO$55,2,FALSE))*IF('14.05'!BA$4="是",'14.05'!$AY$4,'14.05'!$AY$3)</f>
        <v>0</v>
      </c>
      <c r="Q84" s="4">
        <f>(VLOOKUP('14.05'!Y84,'14.05'!$AM$4:$AO$55,2,FALSE))*IF('14.05'!BB$4="是",'14.05'!$AY$4,'14.05'!$AY$3)</f>
        <v>180</v>
      </c>
      <c r="R84" s="4">
        <f>(VLOOKUP('14.05'!Z84,'14.05'!$AM$4:$AO$55,2,FALSE))*IF('14.05'!BC$4="是",'14.05'!$AY$4,'14.05'!$AY$3)</f>
        <v>180</v>
      </c>
      <c r="S84" s="4">
        <f>(VLOOKUP('14.05'!AA84,'14.05'!$AM$4:$AO$55,2,FALSE))*IF('14.05'!BD$4="是",'14.05'!$AY$4,'14.05'!$AY$3)</f>
        <v>180</v>
      </c>
      <c r="T84" s="4">
        <f>(VLOOKUP('14.05'!AB84,'14.05'!$AM$4:$AO$55,2,FALSE))*IF('14.05'!BE$4="是",'14.05'!$AY$4,'14.05'!$AY$3)</f>
        <v>180</v>
      </c>
      <c r="U84" s="4">
        <f>(VLOOKUP('14.05'!AC84,'14.05'!$AM$4:$AO$55,2,FALSE))*IF('14.05'!BF$4="是",'14.05'!$AY$4,'14.05'!$AY$3)</f>
        <v>180</v>
      </c>
      <c r="V84" s="4">
        <f>(VLOOKUP('14.05'!AD84,'14.05'!$AM$4:$AO$55,2,FALSE))*IF('14.05'!BG$4="是",'14.05'!$AY$4,'14.05'!$AY$3)</f>
        <v>180</v>
      </c>
      <c r="W84" s="5">
        <f>(VLOOKUP('14.05'!AE84,'14.05'!$AM$4:$AO$55,2,FALSE))*IF('14.05'!BH$4="是",'14.05'!$AY$4,'14.05'!$AY$3)</f>
        <v>0</v>
      </c>
      <c r="X84" s="5">
        <f>(VLOOKUP('14.05'!AF84,'14.05'!$AM$4:$AO$55,2,FALSE))*IF('14.05'!BI$4="是",'14.05'!$AY$4,'14.05'!$AY$3)</f>
        <v>0</v>
      </c>
    </row>
    <row r="85" spans="1:24">
      <c r="A85" s="4">
        <f>(VLOOKUP('14.05'!I85,'14.05'!$AM$4:$AO$55,2,FALSE))*IF('14.05'!AK$4="是",'14.05'!$AY$4,'14.05'!$AY$3)</f>
        <v>0</v>
      </c>
      <c r="B85" s="4">
        <f>(VLOOKUP('14.05'!J85,'14.05'!$AM$4:$AO$55,2,FALSE))*IF('14.05'!AL$4="是",'14.05'!$AY$4,'14.05'!$AY$3)</f>
        <v>0</v>
      </c>
      <c r="C85" s="4">
        <f>(VLOOKUP('14.05'!K85,'14.05'!$AM$4:$AO$55,2,FALSE))*IF('14.05'!AM$4="是",'14.05'!$AY$4,'14.05'!$AY$3)</f>
        <v>0</v>
      </c>
      <c r="D85" s="4">
        <f>(VLOOKUP('14.05'!L85,'14.05'!$AM$4:$AO$55,2,FALSE))*IF('14.05'!AN$4="是",'14.05'!$AY$4,'14.05'!$AY$3)</f>
        <v>0</v>
      </c>
      <c r="E85" s="4">
        <f>(VLOOKUP('14.05'!M85,'14.05'!$AM$4:$AO$55,2,FALSE))*IF('14.05'!AO$4="是",'14.05'!$AY$4,'14.05'!$AY$3)</f>
        <v>0</v>
      </c>
      <c r="F85" s="4">
        <f>(VLOOKUP('14.05'!N85,'14.05'!$AM$4:$AO$55,2,FALSE))*IF('14.05'!AQ$4="是",'14.05'!$AY$4,'14.05'!$AY$3)</f>
        <v>0</v>
      </c>
      <c r="G85" s="5">
        <f>(VLOOKUP('14.05'!O85,'14.05'!$AM$4:$AO$55,2,FALSE))*IF('14.05'!AR$4="是",'14.05'!$AY$4,'14.05'!$AY$3)</f>
        <v>0</v>
      </c>
      <c r="H85" s="5">
        <f>(VLOOKUP('14.05'!P85,'14.05'!$AM$4:$AO$55,2,FALSE))*IF('14.05'!AS$4="是",'14.05'!$AY$4,'14.05'!$AY$3)</f>
        <v>0</v>
      </c>
      <c r="I85" s="4">
        <f>(VLOOKUP('14.05'!Q85,'14.05'!$AM$4:$AO$55,2,FALSE))*IF('14.05'!AT$4="是",'14.05'!$AY$4,'14.05'!$AY$3)</f>
        <v>180</v>
      </c>
      <c r="J85" s="4">
        <f>(VLOOKUP('14.05'!R85,'14.05'!$AM$4:$AO$55,2,FALSE))*IF('14.05'!AU$4="是",'14.05'!$AY$4,'14.05'!$AY$3)</f>
        <v>180</v>
      </c>
      <c r="K85" s="4">
        <f>(VLOOKUP('14.05'!S85,'14.05'!$AM$4:$AO$55,2,FALSE))*IF('14.05'!AV$4="是",'14.05'!$AY$4,'14.05'!$AY$3)</f>
        <v>180</v>
      </c>
      <c r="L85" s="4">
        <f>(VLOOKUP('14.05'!T85,'14.05'!$AM$4:$AO$55,2,FALSE))*IF('14.05'!AW$4="是",'14.05'!$AY$4,'14.05'!$AY$3)</f>
        <v>180</v>
      </c>
      <c r="M85" s="4">
        <f>(VLOOKUP('14.05'!U85,'14.05'!$AM$4:$AO$55,2,FALSE))*IF('14.05'!AX$4="是",'14.05'!$AY$4,'14.05'!$AY$3)</f>
        <v>180</v>
      </c>
      <c r="N85" s="4">
        <f>(VLOOKUP('14.05'!V85,'14.05'!$AM$4:$AO$55,2,FALSE))*IF('14.05'!AY$4="是",'14.05'!$AY$4,'14.05'!$AY$3)</f>
        <v>180</v>
      </c>
      <c r="O85" s="5">
        <f>(VLOOKUP('14.05'!W85,'14.05'!$AM$4:$AO$55,2,FALSE))*IF('14.05'!AZ$4="是",'14.05'!$AY$4,'14.05'!$AY$3)</f>
        <v>0</v>
      </c>
      <c r="P85" s="5">
        <f>(VLOOKUP('14.05'!X85,'14.05'!$AM$4:$AO$55,2,FALSE))*IF('14.05'!BA$4="是",'14.05'!$AY$4,'14.05'!$AY$3)</f>
        <v>0</v>
      </c>
      <c r="Q85" s="4">
        <f>(VLOOKUP('14.05'!Y85,'14.05'!$AM$4:$AO$55,2,FALSE))*IF('14.05'!BB$4="是",'14.05'!$AY$4,'14.05'!$AY$3)</f>
        <v>180</v>
      </c>
      <c r="R85" s="4">
        <f>(VLOOKUP('14.05'!Z85,'14.05'!$AM$4:$AO$55,2,FALSE))*IF('14.05'!BC$4="是",'14.05'!$AY$4,'14.05'!$AY$3)</f>
        <v>180</v>
      </c>
      <c r="S85" s="4">
        <f>(VLOOKUP('14.05'!AA85,'14.05'!$AM$4:$AO$55,2,FALSE))*IF('14.05'!BD$4="是",'14.05'!$AY$4,'14.05'!$AY$3)</f>
        <v>180</v>
      </c>
      <c r="T85" s="4">
        <f>(VLOOKUP('14.05'!AB85,'14.05'!$AM$4:$AO$55,2,FALSE))*IF('14.05'!BE$4="是",'14.05'!$AY$4,'14.05'!$AY$3)</f>
        <v>180</v>
      </c>
      <c r="U85" s="4">
        <f>(VLOOKUP('14.05'!AC85,'14.05'!$AM$4:$AO$55,2,FALSE))*IF('14.05'!BF$4="是",'14.05'!$AY$4,'14.05'!$AY$3)</f>
        <v>180</v>
      </c>
      <c r="V85" s="4">
        <f>(VLOOKUP('14.05'!AD85,'14.05'!$AM$4:$AO$55,2,FALSE))*IF('14.05'!BG$4="是",'14.05'!$AY$4,'14.05'!$AY$3)</f>
        <v>180</v>
      </c>
      <c r="W85" s="5">
        <f>(VLOOKUP('14.05'!AE85,'14.05'!$AM$4:$AO$55,2,FALSE))*IF('14.05'!BH$4="是",'14.05'!$AY$4,'14.05'!$AY$3)</f>
        <v>0</v>
      </c>
      <c r="X85" s="5">
        <f>(VLOOKUP('14.05'!AF85,'14.05'!$AM$4:$AO$55,2,FALSE))*IF('14.05'!BI$4="是",'14.05'!$AY$4,'14.05'!$AY$3)</f>
        <v>0</v>
      </c>
    </row>
    <row r="86" spans="1:24">
      <c r="A86" s="4">
        <f>(VLOOKUP('14.05'!I86,'14.05'!$AM$4:$AO$55,2,FALSE))*IF('14.05'!AK$4="是",'14.05'!$AY$4,'14.05'!$AY$3)</f>
        <v>0</v>
      </c>
      <c r="B86" s="4">
        <f>(VLOOKUP('14.05'!J86,'14.05'!$AM$4:$AO$55,2,FALSE))*IF('14.05'!AL$4="是",'14.05'!$AY$4,'14.05'!$AY$3)</f>
        <v>0</v>
      </c>
      <c r="C86" s="4">
        <f>(VLOOKUP('14.05'!K86,'14.05'!$AM$4:$AO$55,2,FALSE))*IF('14.05'!AM$4="是",'14.05'!$AY$4,'14.05'!$AY$3)</f>
        <v>0</v>
      </c>
      <c r="D86" s="4">
        <f>(VLOOKUP('14.05'!L86,'14.05'!$AM$4:$AO$55,2,FALSE))*IF('14.05'!AN$4="是",'14.05'!$AY$4,'14.05'!$AY$3)</f>
        <v>0</v>
      </c>
      <c r="E86" s="4">
        <f>(VLOOKUP('14.05'!M86,'14.05'!$AM$4:$AO$55,2,FALSE))*IF('14.05'!AO$4="是",'14.05'!$AY$4,'14.05'!$AY$3)</f>
        <v>0</v>
      </c>
      <c r="F86" s="4">
        <f>(VLOOKUP('14.05'!N86,'14.05'!$AM$4:$AO$55,2,FALSE))*IF('14.05'!AQ$4="是",'14.05'!$AY$4,'14.05'!$AY$3)</f>
        <v>0</v>
      </c>
      <c r="G86" s="5">
        <f>(VLOOKUP('14.05'!O86,'14.05'!$AM$4:$AO$55,2,FALSE))*IF('14.05'!AR$4="是",'14.05'!$AY$4,'14.05'!$AY$3)</f>
        <v>0</v>
      </c>
      <c r="H86" s="5">
        <f>(VLOOKUP('14.05'!P86,'14.05'!$AM$4:$AO$55,2,FALSE))*IF('14.05'!AS$4="是",'14.05'!$AY$4,'14.05'!$AY$3)</f>
        <v>0</v>
      </c>
      <c r="I86" s="4">
        <f>(VLOOKUP('14.05'!Q86,'14.05'!$AM$4:$AO$55,2,FALSE))*IF('14.05'!AT$4="是",'14.05'!$AY$4,'14.05'!$AY$3)</f>
        <v>180</v>
      </c>
      <c r="J86" s="4">
        <f>(VLOOKUP('14.05'!R86,'14.05'!$AM$4:$AO$55,2,FALSE))*IF('14.05'!AU$4="是",'14.05'!$AY$4,'14.05'!$AY$3)</f>
        <v>180</v>
      </c>
      <c r="K86" s="4">
        <f>(VLOOKUP('14.05'!S86,'14.05'!$AM$4:$AO$55,2,FALSE))*IF('14.05'!AV$4="是",'14.05'!$AY$4,'14.05'!$AY$3)</f>
        <v>180</v>
      </c>
      <c r="L86" s="4">
        <f>(VLOOKUP('14.05'!T86,'14.05'!$AM$4:$AO$55,2,FALSE))*IF('14.05'!AW$4="是",'14.05'!$AY$4,'14.05'!$AY$3)</f>
        <v>180</v>
      </c>
      <c r="M86" s="4">
        <f>(VLOOKUP('14.05'!U86,'14.05'!$AM$4:$AO$55,2,FALSE))*IF('14.05'!AX$4="是",'14.05'!$AY$4,'14.05'!$AY$3)</f>
        <v>180</v>
      </c>
      <c r="N86" s="4">
        <f>(VLOOKUP('14.05'!V86,'14.05'!$AM$4:$AO$55,2,FALSE))*IF('14.05'!AY$4="是",'14.05'!$AY$4,'14.05'!$AY$3)</f>
        <v>180</v>
      </c>
      <c r="O86" s="5">
        <f>(VLOOKUP('14.05'!W86,'14.05'!$AM$4:$AO$55,2,FALSE))*IF('14.05'!AZ$4="是",'14.05'!$AY$4,'14.05'!$AY$3)</f>
        <v>0</v>
      </c>
      <c r="P86" s="5">
        <f>(VLOOKUP('14.05'!X86,'14.05'!$AM$4:$AO$55,2,FALSE))*IF('14.05'!BA$4="是",'14.05'!$AY$4,'14.05'!$AY$3)</f>
        <v>0</v>
      </c>
      <c r="Q86" s="4">
        <f>(VLOOKUP('14.05'!Y86,'14.05'!$AM$4:$AO$55,2,FALSE))*IF('14.05'!BB$4="是",'14.05'!$AY$4,'14.05'!$AY$3)</f>
        <v>180</v>
      </c>
      <c r="R86" s="4">
        <f>(VLOOKUP('14.05'!Z86,'14.05'!$AM$4:$AO$55,2,FALSE))*IF('14.05'!BC$4="是",'14.05'!$AY$4,'14.05'!$AY$3)</f>
        <v>180</v>
      </c>
      <c r="S86" s="4">
        <f>(VLOOKUP('14.05'!AA86,'14.05'!$AM$4:$AO$55,2,FALSE))*IF('14.05'!BD$4="是",'14.05'!$AY$4,'14.05'!$AY$3)</f>
        <v>180</v>
      </c>
      <c r="T86" s="4">
        <f>(VLOOKUP('14.05'!AB86,'14.05'!$AM$4:$AO$55,2,FALSE))*IF('14.05'!BE$4="是",'14.05'!$AY$4,'14.05'!$AY$3)</f>
        <v>180</v>
      </c>
      <c r="U86" s="4">
        <f>(VLOOKUP('14.05'!AC86,'14.05'!$AM$4:$AO$55,2,FALSE))*IF('14.05'!BF$4="是",'14.05'!$AY$4,'14.05'!$AY$3)</f>
        <v>170</v>
      </c>
      <c r="V86" s="4">
        <f>(VLOOKUP('14.05'!AD86,'14.05'!$AM$4:$AO$55,2,FALSE))*IF('14.05'!BG$4="是",'14.05'!$AY$4,'14.05'!$AY$3)</f>
        <v>170</v>
      </c>
      <c r="W86" s="5">
        <f>(VLOOKUP('14.05'!AE86,'14.05'!$AM$4:$AO$55,2,FALSE))*IF('14.05'!BH$4="是",'14.05'!$AY$4,'14.05'!$AY$3)</f>
        <v>0</v>
      </c>
      <c r="X86" s="5">
        <f>(VLOOKUP('14.05'!AF86,'14.05'!$AM$4:$AO$55,2,FALSE))*IF('14.05'!BI$4="是",'14.05'!$AY$4,'14.05'!$AY$3)</f>
        <v>0</v>
      </c>
    </row>
    <row r="87" spans="1:24">
      <c r="A87" s="4">
        <f>(VLOOKUP('14.05'!I87,'14.05'!$AM$4:$AO$55,2,FALSE))*IF('14.05'!AK$4="是",'14.05'!$AY$4,'14.05'!$AY$3)</f>
        <v>0</v>
      </c>
      <c r="B87" s="4">
        <f>(VLOOKUP('14.05'!J87,'14.05'!$AM$4:$AO$55,2,FALSE))*IF('14.05'!AL$4="是",'14.05'!$AY$4,'14.05'!$AY$3)</f>
        <v>0</v>
      </c>
      <c r="C87" s="4">
        <f>(VLOOKUP('14.05'!K87,'14.05'!$AM$4:$AO$55,2,FALSE))*IF('14.05'!AM$4="是",'14.05'!$AY$4,'14.05'!$AY$3)</f>
        <v>0</v>
      </c>
      <c r="D87" s="4">
        <f>(VLOOKUP('14.05'!L87,'14.05'!$AM$4:$AO$55,2,FALSE))*IF('14.05'!AN$4="是",'14.05'!$AY$4,'14.05'!$AY$3)</f>
        <v>0</v>
      </c>
      <c r="E87" s="4">
        <f>(VLOOKUP('14.05'!M87,'14.05'!$AM$4:$AO$55,2,FALSE))*IF('14.05'!AO$4="是",'14.05'!$AY$4,'14.05'!$AY$3)</f>
        <v>0</v>
      </c>
      <c r="F87" s="4">
        <f>(VLOOKUP('14.05'!N87,'14.05'!$AM$4:$AO$55,2,FALSE))*IF('14.05'!AQ$4="是",'14.05'!$AY$4,'14.05'!$AY$3)</f>
        <v>0</v>
      </c>
      <c r="G87" s="5">
        <f>(VLOOKUP('14.05'!O87,'14.05'!$AM$4:$AO$55,2,FALSE))*IF('14.05'!AR$4="是",'14.05'!$AY$4,'14.05'!$AY$3)</f>
        <v>0</v>
      </c>
      <c r="H87" s="5">
        <f>(VLOOKUP('14.05'!P87,'14.05'!$AM$4:$AO$55,2,FALSE))*IF('14.05'!AS$4="是",'14.05'!$AY$4,'14.05'!$AY$3)</f>
        <v>0</v>
      </c>
      <c r="I87" s="4">
        <f>(VLOOKUP('14.05'!Q87,'14.05'!$AM$4:$AO$55,2,FALSE))*IF('14.05'!AT$4="是",'14.05'!$AY$4,'14.05'!$AY$3)</f>
        <v>180</v>
      </c>
      <c r="J87" s="4">
        <f>(VLOOKUP('14.05'!R87,'14.05'!$AM$4:$AO$55,2,FALSE))*IF('14.05'!AU$4="是",'14.05'!$AY$4,'14.05'!$AY$3)</f>
        <v>-200</v>
      </c>
      <c r="K87" s="4">
        <f>(VLOOKUP('14.05'!S87,'14.05'!$AM$4:$AO$55,2,FALSE))*IF('14.05'!AV$4="是",'14.05'!$AY$4,'14.05'!$AY$3)</f>
        <v>180</v>
      </c>
      <c r="L87" s="4">
        <f>(VLOOKUP('14.05'!T87,'14.05'!$AM$4:$AO$55,2,FALSE))*IF('14.05'!AW$4="是",'14.05'!$AY$4,'14.05'!$AY$3)</f>
        <v>180</v>
      </c>
      <c r="M87" s="4">
        <f>(VLOOKUP('14.05'!U87,'14.05'!$AM$4:$AO$55,2,FALSE))*IF('14.05'!AX$4="是",'14.05'!$AY$4,'14.05'!$AY$3)</f>
        <v>180</v>
      </c>
      <c r="N87" s="4">
        <f>(VLOOKUP('14.05'!V87,'14.05'!$AM$4:$AO$55,2,FALSE))*IF('14.05'!AY$4="是",'14.05'!$AY$4,'14.05'!$AY$3)</f>
        <v>180</v>
      </c>
      <c r="O87" s="5">
        <f>(VLOOKUP('14.05'!W87,'14.05'!$AM$4:$AO$55,2,FALSE))*IF('14.05'!AZ$4="是",'14.05'!$AY$4,'14.05'!$AY$3)</f>
        <v>0</v>
      </c>
      <c r="P87" s="5">
        <f>(VLOOKUP('14.05'!X87,'14.05'!$AM$4:$AO$55,2,FALSE))*IF('14.05'!BA$4="是",'14.05'!$AY$4,'14.05'!$AY$3)</f>
        <v>0</v>
      </c>
      <c r="Q87" s="4">
        <f>(VLOOKUP('14.05'!Y87,'14.05'!$AM$4:$AO$55,2,FALSE))*IF('14.05'!BB$4="是",'14.05'!$AY$4,'14.05'!$AY$3)</f>
        <v>170</v>
      </c>
      <c r="R87" s="4">
        <f>(VLOOKUP('14.05'!Z87,'14.05'!$AM$4:$AO$55,2,FALSE))*IF('14.05'!BC$4="是",'14.05'!$AY$4,'14.05'!$AY$3)</f>
        <v>170</v>
      </c>
      <c r="S87" s="4">
        <f>(VLOOKUP('14.05'!AA87,'14.05'!$AM$4:$AO$55,2,FALSE))*IF('14.05'!BD$4="是",'14.05'!$AY$4,'14.05'!$AY$3)</f>
        <v>170</v>
      </c>
      <c r="T87" s="4">
        <f>(VLOOKUP('14.05'!AB87,'14.05'!$AM$4:$AO$55,2,FALSE))*IF('14.05'!BE$4="是",'14.05'!$AY$4,'14.05'!$AY$3)</f>
        <v>170</v>
      </c>
      <c r="U87" s="4">
        <f>(VLOOKUP('14.05'!AC87,'14.05'!$AM$4:$AO$55,2,FALSE))*IF('14.05'!BF$4="是",'14.05'!$AY$4,'14.05'!$AY$3)</f>
        <v>170</v>
      </c>
      <c r="V87" s="4">
        <f>(VLOOKUP('14.05'!AD87,'14.05'!$AM$4:$AO$55,2,FALSE))*IF('14.05'!BG$4="是",'14.05'!$AY$4,'14.05'!$AY$3)</f>
        <v>170</v>
      </c>
      <c r="W87" s="5">
        <f>(VLOOKUP('14.05'!AE87,'14.05'!$AM$4:$AO$55,2,FALSE))*IF('14.05'!BH$4="是",'14.05'!$AY$4,'14.05'!$AY$3)</f>
        <v>0</v>
      </c>
      <c r="X87" s="5">
        <f>(VLOOKUP('14.05'!AF87,'14.05'!$AM$4:$AO$55,2,FALSE))*IF('14.05'!BI$4="是",'14.05'!$AY$4,'14.05'!$AY$3)</f>
        <v>0</v>
      </c>
    </row>
    <row r="88" spans="1:24">
      <c r="A88" s="4">
        <f>(VLOOKUP('14.05'!I88,'14.05'!$AM$4:$AO$55,2,FALSE))*IF('14.05'!AK$4="是",'14.05'!$AY$4,'14.05'!$AY$3)</f>
        <v>0</v>
      </c>
      <c r="B88" s="4">
        <f>(VLOOKUP('14.05'!J88,'14.05'!$AM$4:$AO$55,2,FALSE))*IF('14.05'!AL$4="是",'14.05'!$AY$4,'14.05'!$AY$3)</f>
        <v>0</v>
      </c>
      <c r="C88" s="4">
        <f>(VLOOKUP('14.05'!K88,'14.05'!$AM$4:$AO$55,2,FALSE))*IF('14.05'!AM$4="是",'14.05'!$AY$4,'14.05'!$AY$3)</f>
        <v>0</v>
      </c>
      <c r="D88" s="4">
        <f>(VLOOKUP('14.05'!L88,'14.05'!$AM$4:$AO$55,2,FALSE))*IF('14.05'!AN$4="是",'14.05'!$AY$4,'14.05'!$AY$3)</f>
        <v>0</v>
      </c>
      <c r="E88" s="4">
        <f>(VLOOKUP('14.05'!M88,'14.05'!$AM$4:$AO$55,2,FALSE))*IF('14.05'!AO$4="是",'14.05'!$AY$4,'14.05'!$AY$3)</f>
        <v>0</v>
      </c>
      <c r="F88" s="4">
        <f>(VLOOKUP('14.05'!N88,'14.05'!$AM$4:$AO$55,2,FALSE))*IF('14.05'!AQ$4="是",'14.05'!$AY$4,'14.05'!$AY$3)</f>
        <v>0</v>
      </c>
      <c r="G88" s="5">
        <f>(VLOOKUP('14.05'!O88,'14.05'!$AM$4:$AO$55,2,FALSE))*IF('14.05'!AR$4="是",'14.05'!$AY$4,'14.05'!$AY$3)</f>
        <v>0</v>
      </c>
      <c r="H88" s="5">
        <f>(VLOOKUP('14.05'!P88,'14.05'!$AM$4:$AO$55,2,FALSE))*IF('14.05'!AS$4="是",'14.05'!$AY$4,'14.05'!$AY$3)</f>
        <v>0</v>
      </c>
      <c r="I88" s="4">
        <f>(VLOOKUP('14.05'!Q88,'14.05'!$AM$4:$AO$55,2,FALSE))*IF('14.05'!AT$4="是",'14.05'!$AY$4,'14.05'!$AY$3)</f>
        <v>170</v>
      </c>
      <c r="J88" s="4">
        <f>(VLOOKUP('14.05'!R88,'14.05'!$AM$4:$AO$55,2,FALSE))*IF('14.05'!AU$4="是",'14.05'!$AY$4,'14.05'!$AY$3)</f>
        <v>170</v>
      </c>
      <c r="K88" s="4">
        <f>(VLOOKUP('14.05'!S88,'14.05'!$AM$4:$AO$55,2,FALSE))*IF('14.05'!AV$4="是",'14.05'!$AY$4,'14.05'!$AY$3)</f>
        <v>170</v>
      </c>
      <c r="L88" s="4">
        <f>(VLOOKUP('14.05'!T88,'14.05'!$AM$4:$AO$55,2,FALSE))*IF('14.05'!AW$4="是",'14.05'!$AY$4,'14.05'!$AY$3)</f>
        <v>50</v>
      </c>
      <c r="M88" s="4">
        <f>(VLOOKUP('14.05'!U88,'14.05'!$AM$4:$AO$55,2,FALSE))*IF('14.05'!AX$4="是",'14.05'!$AY$4,'14.05'!$AY$3)</f>
        <v>170</v>
      </c>
      <c r="N88" s="4">
        <f>(VLOOKUP('14.05'!V88,'14.05'!$AM$4:$AO$55,2,FALSE))*IF('14.05'!AY$4="是",'14.05'!$AY$4,'14.05'!$AY$3)</f>
        <v>170</v>
      </c>
      <c r="O88" s="5">
        <f>(VLOOKUP('14.05'!W88,'14.05'!$AM$4:$AO$55,2,FALSE))*IF('14.05'!AZ$4="是",'14.05'!$AY$4,'14.05'!$AY$3)</f>
        <v>0</v>
      </c>
      <c r="P88" s="5">
        <f>(VLOOKUP('14.05'!X88,'14.05'!$AM$4:$AO$55,2,FALSE))*IF('14.05'!BA$4="是",'14.05'!$AY$4,'14.05'!$AY$3)</f>
        <v>0</v>
      </c>
      <c r="Q88" s="4">
        <f>(VLOOKUP('14.05'!Y88,'14.05'!$AM$4:$AO$55,2,FALSE))*IF('14.05'!BB$4="是",'14.05'!$AY$4,'14.05'!$AY$3)</f>
        <v>170</v>
      </c>
      <c r="R88" s="4">
        <f>(VLOOKUP('14.05'!Z88,'14.05'!$AM$4:$AO$55,2,FALSE))*IF('14.05'!BC$4="是",'14.05'!$AY$4,'14.05'!$AY$3)</f>
        <v>180</v>
      </c>
      <c r="S88" s="4">
        <f>(VLOOKUP('14.05'!AA88,'14.05'!$AM$4:$AO$55,2,FALSE))*IF('14.05'!BD$4="是",'14.05'!$AY$4,'14.05'!$AY$3)</f>
        <v>180</v>
      </c>
      <c r="T88" s="4">
        <f>(VLOOKUP('14.05'!AB88,'14.05'!$AM$4:$AO$55,2,FALSE))*IF('14.05'!BE$4="是",'14.05'!$AY$4,'14.05'!$AY$3)</f>
        <v>180</v>
      </c>
      <c r="U88" s="4">
        <f>(VLOOKUP('14.05'!AC88,'14.05'!$AM$4:$AO$55,2,FALSE))*IF('14.05'!BF$4="是",'14.05'!$AY$4,'14.05'!$AY$3)</f>
        <v>180</v>
      </c>
      <c r="V88" s="4">
        <f>(VLOOKUP('14.05'!AD88,'14.05'!$AM$4:$AO$55,2,FALSE))*IF('14.05'!BG$4="是",'14.05'!$AY$4,'14.05'!$AY$3)</f>
        <v>50</v>
      </c>
      <c r="W88" s="5">
        <f>(VLOOKUP('14.05'!AE88,'14.05'!$AM$4:$AO$55,2,FALSE))*IF('14.05'!BH$4="是",'14.05'!$AY$4,'14.05'!$AY$3)</f>
        <v>0</v>
      </c>
      <c r="X88" s="5">
        <f>(VLOOKUP('14.05'!AF88,'14.05'!$AM$4:$AO$55,2,FALSE))*IF('14.05'!BI$4="是",'14.05'!$AY$4,'14.05'!$AY$3)</f>
        <v>0</v>
      </c>
    </row>
    <row r="89" spans="1:24">
      <c r="A89" s="4">
        <f>(VLOOKUP('14.05'!I89,'14.05'!$AM$4:$AO$55,2,FALSE))*IF('14.05'!AK$4="是",'14.05'!$AY$4,'14.05'!$AY$3)</f>
        <v>0</v>
      </c>
      <c r="B89" s="4">
        <f>(VLOOKUP('14.05'!J89,'14.05'!$AM$4:$AO$55,2,FALSE))*IF('14.05'!AL$4="是",'14.05'!$AY$4,'14.05'!$AY$3)</f>
        <v>0</v>
      </c>
      <c r="C89" s="4">
        <f>(VLOOKUP('14.05'!K89,'14.05'!$AM$4:$AO$55,2,FALSE))*IF('14.05'!AM$4="是",'14.05'!$AY$4,'14.05'!$AY$3)</f>
        <v>0</v>
      </c>
      <c r="D89" s="4">
        <f>(VLOOKUP('14.05'!L89,'14.05'!$AM$4:$AO$55,2,FALSE))*IF('14.05'!AN$4="是",'14.05'!$AY$4,'14.05'!$AY$3)</f>
        <v>0</v>
      </c>
      <c r="E89" s="4">
        <f>(VLOOKUP('14.05'!M89,'14.05'!$AM$4:$AO$55,2,FALSE))*IF('14.05'!AO$4="是",'14.05'!$AY$4,'14.05'!$AY$3)</f>
        <v>0</v>
      </c>
      <c r="F89" s="4">
        <f>(VLOOKUP('14.05'!N89,'14.05'!$AM$4:$AO$55,2,FALSE))*IF('14.05'!AQ$4="是",'14.05'!$AY$4,'14.05'!$AY$3)</f>
        <v>0</v>
      </c>
      <c r="G89" s="5">
        <f>(VLOOKUP('14.05'!O89,'14.05'!$AM$4:$AO$55,2,FALSE))*IF('14.05'!AR$4="是",'14.05'!$AY$4,'14.05'!$AY$3)</f>
        <v>0</v>
      </c>
      <c r="H89" s="5">
        <f>(VLOOKUP('14.05'!P89,'14.05'!$AM$4:$AO$55,2,FALSE))*IF('14.05'!AS$4="是",'14.05'!$AY$4,'14.05'!$AY$3)</f>
        <v>0</v>
      </c>
      <c r="I89" s="4">
        <f>(VLOOKUP('14.05'!Q89,'14.05'!$AM$4:$AO$55,2,FALSE))*IF('14.05'!AT$4="是",'14.05'!$AY$4,'14.05'!$AY$3)</f>
        <v>170</v>
      </c>
      <c r="J89" s="4">
        <f>(VLOOKUP('14.05'!R89,'14.05'!$AM$4:$AO$55,2,FALSE))*IF('14.05'!AU$4="是",'14.05'!$AY$4,'14.05'!$AY$3)</f>
        <v>170</v>
      </c>
      <c r="K89" s="4">
        <f>(VLOOKUP('14.05'!S89,'14.05'!$AM$4:$AO$55,2,FALSE))*IF('14.05'!AV$4="是",'14.05'!$AY$4,'14.05'!$AY$3)</f>
        <v>170</v>
      </c>
      <c r="L89" s="4">
        <f>(VLOOKUP('14.05'!T89,'14.05'!$AM$4:$AO$55,2,FALSE))*IF('14.05'!AW$4="是",'14.05'!$AY$4,'14.05'!$AY$3)</f>
        <v>170</v>
      </c>
      <c r="M89" s="4">
        <f>(VLOOKUP('14.05'!U89,'14.05'!$AM$4:$AO$55,2,FALSE))*IF('14.05'!AX$4="是",'14.05'!$AY$4,'14.05'!$AY$3)</f>
        <v>170</v>
      </c>
      <c r="N89" s="4">
        <f>(VLOOKUP('14.05'!V89,'14.05'!$AM$4:$AO$55,2,FALSE))*IF('14.05'!AY$4="是",'14.05'!$AY$4,'14.05'!$AY$3)</f>
        <v>170</v>
      </c>
      <c r="O89" s="5">
        <f>(VLOOKUP('14.05'!W89,'14.05'!$AM$4:$AO$55,2,FALSE))*IF('14.05'!AZ$4="是",'14.05'!$AY$4,'14.05'!$AY$3)</f>
        <v>0</v>
      </c>
      <c r="P89" s="5">
        <f>(VLOOKUP('14.05'!X89,'14.05'!$AM$4:$AO$55,2,FALSE))*IF('14.05'!BA$4="是",'14.05'!$AY$4,'14.05'!$AY$3)</f>
        <v>0</v>
      </c>
      <c r="Q89" s="4">
        <f>(VLOOKUP('14.05'!Y89,'14.05'!$AM$4:$AO$55,2,FALSE))*IF('14.05'!BB$4="是",'14.05'!$AY$4,'14.05'!$AY$3)</f>
        <v>180</v>
      </c>
      <c r="R89" s="4">
        <f>(VLOOKUP('14.05'!Z89,'14.05'!$AM$4:$AO$55,2,FALSE))*IF('14.05'!BC$4="是",'14.05'!$AY$4,'14.05'!$AY$3)</f>
        <v>180</v>
      </c>
      <c r="S89" s="4">
        <f>(VLOOKUP('14.05'!AA89,'14.05'!$AM$4:$AO$55,2,FALSE))*IF('14.05'!BD$4="是",'14.05'!$AY$4,'14.05'!$AY$3)</f>
        <v>180</v>
      </c>
      <c r="T89" s="4">
        <f>(VLOOKUP('14.05'!AB89,'14.05'!$AM$4:$AO$55,2,FALSE))*IF('14.05'!BE$4="是",'14.05'!$AY$4,'14.05'!$AY$3)</f>
        <v>180</v>
      </c>
      <c r="U89" s="4">
        <f>(VLOOKUP('14.05'!AC89,'14.05'!$AM$4:$AO$55,2,FALSE))*IF('14.05'!BF$4="是",'14.05'!$AY$4,'14.05'!$AY$3)</f>
        <v>0</v>
      </c>
      <c r="V89" s="4">
        <f>(VLOOKUP('14.05'!AD89,'14.05'!$AM$4:$AO$55,2,FALSE))*IF('14.05'!BG$4="是",'14.05'!$AY$4,'14.05'!$AY$3)</f>
        <v>0</v>
      </c>
      <c r="W89" s="5">
        <f>(VLOOKUP('14.05'!AE89,'14.05'!$AM$4:$AO$55,2,FALSE))*IF('14.05'!BH$4="是",'14.05'!$AY$4,'14.05'!$AY$3)</f>
        <v>0</v>
      </c>
      <c r="X89" s="5">
        <f>(VLOOKUP('14.05'!AF89,'14.05'!$AM$4:$AO$55,2,FALSE))*IF('14.05'!BI$4="是",'14.05'!$AY$4,'14.05'!$AY$3)</f>
        <v>0</v>
      </c>
    </row>
    <row r="90" spans="1:24">
      <c r="A90" s="4">
        <f>(VLOOKUP('14.05'!I90,'14.05'!$AM$4:$AO$55,2,FALSE))*IF('14.05'!AK$4="是",'14.05'!$AY$4,'14.05'!$AY$3)</f>
        <v>170</v>
      </c>
      <c r="B90" s="4">
        <f>(VLOOKUP('14.05'!J90,'14.05'!$AM$4:$AO$55,2,FALSE))*IF('14.05'!AL$4="是",'14.05'!$AY$4,'14.05'!$AY$3)</f>
        <v>170</v>
      </c>
      <c r="C90" s="4">
        <f>(VLOOKUP('14.05'!K90,'14.05'!$AM$4:$AO$55,2,FALSE))*IF('14.05'!AM$4="是",'14.05'!$AY$4,'14.05'!$AY$3)</f>
        <v>170</v>
      </c>
      <c r="D90" s="4">
        <f>(VLOOKUP('14.05'!L90,'14.05'!$AM$4:$AO$55,2,FALSE))*IF('14.05'!AN$4="是",'14.05'!$AY$4,'14.05'!$AY$3)</f>
        <v>170</v>
      </c>
      <c r="E90" s="4">
        <f>(VLOOKUP('14.05'!M90,'14.05'!$AM$4:$AO$55,2,FALSE))*IF('14.05'!AO$4="是",'14.05'!$AY$4,'14.05'!$AY$3)</f>
        <v>170</v>
      </c>
      <c r="F90" s="4">
        <f>(VLOOKUP('14.05'!N90,'14.05'!$AM$4:$AO$55,2,FALSE))*IF('14.05'!AQ$4="是",'14.05'!$AY$4,'14.05'!$AY$3)</f>
        <v>170</v>
      </c>
      <c r="G90" s="5">
        <f>(VLOOKUP('14.05'!O90,'14.05'!$AM$4:$AO$55,2,FALSE))*IF('14.05'!AR$4="是",'14.05'!$AY$4,'14.05'!$AY$3)</f>
        <v>0</v>
      </c>
      <c r="H90" s="5">
        <f>(VLOOKUP('14.05'!P90,'14.05'!$AM$4:$AO$55,2,FALSE))*IF('14.05'!AS$4="是",'14.05'!$AY$4,'14.05'!$AY$3)</f>
        <v>0</v>
      </c>
      <c r="I90" s="4">
        <f>(VLOOKUP('14.05'!Q90,'14.05'!$AM$4:$AO$55,2,FALSE))*IF('14.05'!AT$4="是",'14.05'!$AY$4,'14.05'!$AY$3)</f>
        <v>170</v>
      </c>
      <c r="J90" s="4">
        <f>(VLOOKUP('14.05'!R90,'14.05'!$AM$4:$AO$55,2,FALSE))*IF('14.05'!AU$4="是",'14.05'!$AY$4,'14.05'!$AY$3)</f>
        <v>170</v>
      </c>
      <c r="K90" s="4">
        <f>(VLOOKUP('14.05'!S90,'14.05'!$AM$4:$AO$55,2,FALSE))*IF('14.05'!AV$4="是",'14.05'!$AY$4,'14.05'!$AY$3)</f>
        <v>170</v>
      </c>
      <c r="L90" s="4">
        <f>(VLOOKUP('14.05'!T90,'14.05'!$AM$4:$AO$55,2,FALSE))*IF('14.05'!AW$4="是",'14.05'!$AY$4,'14.05'!$AY$3)</f>
        <v>170</v>
      </c>
      <c r="M90" s="4">
        <f>(VLOOKUP('14.05'!U90,'14.05'!$AM$4:$AO$55,2,FALSE))*IF('14.05'!AX$4="是",'14.05'!$AY$4,'14.05'!$AY$3)</f>
        <v>170</v>
      </c>
      <c r="N90" s="4">
        <f>(VLOOKUP('14.05'!V90,'14.05'!$AM$4:$AO$55,2,FALSE))*IF('14.05'!AY$4="是",'14.05'!$AY$4,'14.05'!$AY$3)</f>
        <v>0</v>
      </c>
      <c r="O90" s="5">
        <f>(VLOOKUP('14.05'!W90,'14.05'!$AM$4:$AO$55,2,FALSE))*IF('14.05'!AZ$4="是",'14.05'!$AY$4,'14.05'!$AY$3)</f>
        <v>0</v>
      </c>
      <c r="P90" s="5">
        <f>(VLOOKUP('14.05'!X90,'14.05'!$AM$4:$AO$55,2,FALSE))*IF('14.05'!BA$4="是",'14.05'!$AY$4,'14.05'!$AY$3)</f>
        <v>0</v>
      </c>
      <c r="Q90" s="4">
        <f>(VLOOKUP('14.05'!Y90,'14.05'!$AM$4:$AO$55,2,FALSE))*IF('14.05'!BB$4="是",'14.05'!$AY$4,'14.05'!$AY$3)</f>
        <v>170</v>
      </c>
      <c r="R90" s="4">
        <f>(VLOOKUP('14.05'!Z90,'14.05'!$AM$4:$AO$55,2,FALSE))*IF('14.05'!BC$4="是",'14.05'!$AY$4,'14.05'!$AY$3)</f>
        <v>50</v>
      </c>
      <c r="S90" s="4">
        <f>(VLOOKUP('14.05'!AA90,'14.05'!$AM$4:$AO$55,2,FALSE))*IF('14.05'!BD$4="是",'14.05'!$AY$4,'14.05'!$AY$3)</f>
        <v>170</v>
      </c>
      <c r="T90" s="4">
        <f>(VLOOKUP('14.05'!AB90,'14.05'!$AM$4:$AO$55,2,FALSE))*IF('14.05'!BE$4="是",'14.05'!$AY$4,'14.05'!$AY$3)</f>
        <v>170</v>
      </c>
      <c r="U90" s="4">
        <f>(VLOOKUP('14.05'!AC90,'14.05'!$AM$4:$AO$55,2,FALSE))*IF('14.05'!BF$4="是",'14.05'!$AY$4,'14.05'!$AY$3)</f>
        <v>170</v>
      </c>
      <c r="V90" s="4">
        <f>(VLOOKUP('14.05'!AD90,'14.05'!$AM$4:$AO$55,2,FALSE))*IF('14.05'!BG$4="是",'14.05'!$AY$4,'14.05'!$AY$3)</f>
        <v>170</v>
      </c>
      <c r="W90" s="5">
        <f>(VLOOKUP('14.05'!AE90,'14.05'!$AM$4:$AO$55,2,FALSE))*IF('14.05'!BH$4="是",'14.05'!$AY$4,'14.05'!$AY$3)</f>
        <v>0</v>
      </c>
      <c r="X90" s="5">
        <f>(VLOOKUP('14.05'!AF90,'14.05'!$AM$4:$AO$55,2,FALSE))*IF('14.05'!BI$4="是",'14.05'!$AY$4,'14.05'!$AY$3)</f>
        <v>0</v>
      </c>
    </row>
    <row r="91" spans="1:24">
      <c r="A91" s="4">
        <f>(VLOOKUP('14.05'!I91,'14.05'!$AM$4:$AO$55,2,FALSE))*IF('14.05'!AK$4="是",'14.05'!$AY$4,'14.05'!$AY$3)</f>
        <v>170</v>
      </c>
      <c r="B91" s="4">
        <f>(VLOOKUP('14.05'!J91,'14.05'!$AM$4:$AO$55,2,FALSE))*IF('14.05'!AL$4="是",'14.05'!$AY$4,'14.05'!$AY$3)</f>
        <v>170</v>
      </c>
      <c r="C91" s="4">
        <f>(VLOOKUP('14.05'!K91,'14.05'!$AM$4:$AO$55,2,FALSE))*IF('14.05'!AM$4="是",'14.05'!$AY$4,'14.05'!$AY$3)</f>
        <v>170</v>
      </c>
      <c r="D91" s="4">
        <f>(VLOOKUP('14.05'!L91,'14.05'!$AM$4:$AO$55,2,FALSE))*IF('14.05'!AN$4="是",'14.05'!$AY$4,'14.05'!$AY$3)</f>
        <v>170</v>
      </c>
      <c r="E91" s="4">
        <f>(VLOOKUP('14.05'!M91,'14.05'!$AM$4:$AO$55,2,FALSE))*IF('14.05'!AO$4="是",'14.05'!$AY$4,'14.05'!$AY$3)</f>
        <v>170</v>
      </c>
      <c r="F91" s="4">
        <f>(VLOOKUP('14.05'!N91,'14.05'!$AM$4:$AO$55,2,FALSE))*IF('14.05'!AQ$4="是",'14.05'!$AY$4,'14.05'!$AY$3)</f>
        <v>170</v>
      </c>
      <c r="G91" s="5">
        <f>(VLOOKUP('14.05'!O91,'14.05'!$AM$4:$AO$55,2,FALSE))*IF('14.05'!AR$4="是",'14.05'!$AY$4,'14.05'!$AY$3)</f>
        <v>0</v>
      </c>
      <c r="H91" s="5">
        <f>(VLOOKUP('14.05'!P91,'14.05'!$AM$4:$AO$55,2,FALSE))*IF('14.05'!AS$4="是",'14.05'!$AY$4,'14.05'!$AY$3)</f>
        <v>0</v>
      </c>
      <c r="I91" s="4">
        <f>(VLOOKUP('14.05'!Q91,'14.05'!$AM$4:$AO$55,2,FALSE))*IF('14.05'!AT$4="是",'14.05'!$AY$4,'14.05'!$AY$3)</f>
        <v>0</v>
      </c>
      <c r="J91" s="4">
        <f>(VLOOKUP('14.05'!R91,'14.05'!$AM$4:$AO$55,2,FALSE))*IF('14.05'!AU$4="是",'14.05'!$AY$4,'14.05'!$AY$3)</f>
        <v>0</v>
      </c>
      <c r="K91" s="4">
        <f>(VLOOKUP('14.05'!S91,'14.05'!$AM$4:$AO$55,2,FALSE))*IF('14.05'!AV$4="是",'14.05'!$AY$4,'14.05'!$AY$3)</f>
        <v>170</v>
      </c>
      <c r="L91" s="4">
        <f>(VLOOKUP('14.05'!T91,'14.05'!$AM$4:$AO$55,2,FALSE))*IF('14.05'!AW$4="是",'14.05'!$AY$4,'14.05'!$AY$3)</f>
        <v>170</v>
      </c>
      <c r="M91" s="4">
        <f>(VLOOKUP('14.05'!U91,'14.05'!$AM$4:$AO$55,2,FALSE))*IF('14.05'!AX$4="是",'14.05'!$AY$4,'14.05'!$AY$3)</f>
        <v>170</v>
      </c>
      <c r="N91" s="4">
        <f>(VLOOKUP('14.05'!V91,'14.05'!$AM$4:$AO$55,2,FALSE))*IF('14.05'!AY$4="是",'14.05'!$AY$4,'14.05'!$AY$3)</f>
        <v>50</v>
      </c>
      <c r="O91" s="5">
        <f>(VLOOKUP('14.05'!W91,'14.05'!$AM$4:$AO$55,2,FALSE))*IF('14.05'!AZ$4="是",'14.05'!$AY$4,'14.05'!$AY$3)</f>
        <v>0</v>
      </c>
      <c r="P91" s="5">
        <f>(VLOOKUP('14.05'!X91,'14.05'!$AM$4:$AO$55,2,FALSE))*IF('14.05'!BA$4="是",'14.05'!$AY$4,'14.05'!$AY$3)</f>
        <v>0</v>
      </c>
      <c r="Q91" s="4">
        <f>(VLOOKUP('14.05'!Y91,'14.05'!$AM$4:$AO$55,2,FALSE))*IF('14.05'!BB$4="是",'14.05'!$AY$4,'14.05'!$AY$3)</f>
        <v>170</v>
      </c>
      <c r="R91" s="4">
        <f>(VLOOKUP('14.05'!Z91,'14.05'!$AM$4:$AO$55,2,FALSE))*IF('14.05'!BC$4="是",'14.05'!$AY$4,'14.05'!$AY$3)</f>
        <v>170</v>
      </c>
      <c r="S91" s="4">
        <f>(VLOOKUP('14.05'!AA91,'14.05'!$AM$4:$AO$55,2,FALSE))*IF('14.05'!BD$4="是",'14.05'!$AY$4,'14.05'!$AY$3)</f>
        <v>170</v>
      </c>
      <c r="T91" s="4">
        <f>(VLOOKUP('14.05'!AB91,'14.05'!$AM$4:$AO$55,2,FALSE))*IF('14.05'!BE$4="是",'14.05'!$AY$4,'14.05'!$AY$3)</f>
        <v>0</v>
      </c>
      <c r="U91" s="4">
        <f>(VLOOKUP('14.05'!AC91,'14.05'!$AM$4:$AO$55,2,FALSE))*IF('14.05'!BF$4="是",'14.05'!$AY$4,'14.05'!$AY$3)</f>
        <v>0</v>
      </c>
      <c r="V91" s="4">
        <f>(VLOOKUP('14.05'!AD91,'14.05'!$AM$4:$AO$55,2,FALSE))*IF('14.05'!BG$4="是",'14.05'!$AY$4,'14.05'!$AY$3)</f>
        <v>0</v>
      </c>
      <c r="W91" s="5">
        <f>(VLOOKUP('14.05'!AE91,'14.05'!$AM$4:$AO$55,2,FALSE))*IF('14.05'!BH$4="是",'14.05'!$AY$4,'14.05'!$AY$3)</f>
        <v>0</v>
      </c>
      <c r="X91" s="5">
        <f>(VLOOKUP('14.05'!AF91,'14.05'!$AM$4:$AO$55,2,FALSE))*IF('14.05'!BI$4="是",'14.05'!$AY$4,'14.05'!$AY$3)</f>
        <v>0</v>
      </c>
    </row>
    <row r="92" spans="1:24">
      <c r="A92" s="4">
        <f>(VLOOKUP('14.05'!I92,'14.05'!$AM$4:$AO$55,2,FALSE))*IF('14.05'!AK$4="是",'14.05'!$AY$4,'14.05'!$AY$3)</f>
        <v>170</v>
      </c>
      <c r="B92" s="4">
        <f>(VLOOKUP('14.05'!J92,'14.05'!$AM$4:$AO$55,2,FALSE))*IF('14.05'!AL$4="是",'14.05'!$AY$4,'14.05'!$AY$3)</f>
        <v>170</v>
      </c>
      <c r="C92" s="4">
        <f>(VLOOKUP('14.05'!K92,'14.05'!$AM$4:$AO$55,2,FALSE))*IF('14.05'!AM$4="是",'14.05'!$AY$4,'14.05'!$AY$3)</f>
        <v>50</v>
      </c>
      <c r="D92" s="4">
        <f>(VLOOKUP('14.05'!L92,'14.05'!$AM$4:$AO$55,2,FALSE))*IF('14.05'!AN$4="是",'14.05'!$AY$4,'14.05'!$AY$3)</f>
        <v>170</v>
      </c>
      <c r="E92" s="4">
        <f>(VLOOKUP('14.05'!M92,'14.05'!$AM$4:$AO$55,2,FALSE))*IF('14.05'!AO$4="是",'14.05'!$AY$4,'14.05'!$AY$3)</f>
        <v>170</v>
      </c>
      <c r="F92" s="4">
        <f>(VLOOKUP('14.05'!N92,'14.05'!$AM$4:$AO$55,2,FALSE))*IF('14.05'!AQ$4="是",'14.05'!$AY$4,'14.05'!$AY$3)</f>
        <v>170</v>
      </c>
      <c r="G92" s="5">
        <f>(VLOOKUP('14.05'!O92,'14.05'!$AM$4:$AO$55,2,FALSE))*IF('14.05'!AR$4="是",'14.05'!$AY$4,'14.05'!$AY$3)</f>
        <v>150</v>
      </c>
      <c r="H92" s="5">
        <f>(VLOOKUP('14.05'!P92,'14.05'!$AM$4:$AO$55,2,FALSE))*IF('14.05'!AS$4="是",'14.05'!$AY$4,'14.05'!$AY$3)</f>
        <v>160</v>
      </c>
      <c r="I92" s="4">
        <f>(VLOOKUP('14.05'!Q92,'14.05'!$AM$4:$AO$55,2,FALSE))*IF('14.05'!AT$4="是",'14.05'!$AY$4,'14.05'!$AY$3)</f>
        <v>160</v>
      </c>
      <c r="J92" s="4">
        <f>(VLOOKUP('14.05'!R92,'14.05'!$AM$4:$AO$55,2,FALSE))*IF('14.05'!AU$4="是",'14.05'!$AY$4,'14.05'!$AY$3)</f>
        <v>-200</v>
      </c>
      <c r="K92" s="4">
        <f>(VLOOKUP('14.05'!S92,'14.05'!$AM$4:$AO$55,2,FALSE))*IF('14.05'!AV$4="是",'14.05'!$AY$4,'14.05'!$AY$3)</f>
        <v>0</v>
      </c>
      <c r="L92" s="4">
        <f>(VLOOKUP('14.05'!T92,'14.05'!$AM$4:$AO$55,2,FALSE))*IF('14.05'!AW$4="是",'14.05'!$AY$4,'14.05'!$AY$3)</f>
        <v>50</v>
      </c>
      <c r="M92" s="4">
        <f>(VLOOKUP('14.05'!U92,'14.05'!$AM$4:$AO$55,2,FALSE))*IF('14.05'!AX$4="是",'14.05'!$AY$4,'14.05'!$AY$3)</f>
        <v>0</v>
      </c>
      <c r="N92" s="4">
        <f>(VLOOKUP('14.05'!V92,'14.05'!$AM$4:$AO$55,2,FALSE))*IF('14.05'!AY$4="是",'14.05'!$AY$4,'14.05'!$AY$3)</f>
        <v>0</v>
      </c>
      <c r="O92" s="5">
        <f>(VLOOKUP('14.05'!W92,'14.05'!$AM$4:$AO$55,2,FALSE))*IF('14.05'!AZ$4="是",'14.05'!$AY$4,'14.05'!$AY$3)</f>
        <v>0</v>
      </c>
      <c r="P92" s="5">
        <f>(VLOOKUP('14.05'!X92,'14.05'!$AM$4:$AO$55,2,FALSE))*IF('14.05'!BA$4="是",'14.05'!$AY$4,'14.05'!$AY$3)</f>
        <v>0</v>
      </c>
      <c r="Q92" s="4">
        <f>(VLOOKUP('14.05'!Y92,'14.05'!$AM$4:$AO$55,2,FALSE))*IF('14.05'!BB$4="是",'14.05'!$AY$4,'14.05'!$AY$3)</f>
        <v>170</v>
      </c>
      <c r="R92" s="4">
        <f>(VLOOKUP('14.05'!Z92,'14.05'!$AM$4:$AO$55,2,FALSE))*IF('14.05'!BC$4="是",'14.05'!$AY$4,'14.05'!$AY$3)</f>
        <v>170</v>
      </c>
      <c r="S92" s="4">
        <f>(VLOOKUP('14.05'!AA92,'14.05'!$AM$4:$AO$55,2,FALSE))*IF('14.05'!BD$4="是",'14.05'!$AY$4,'14.05'!$AY$3)</f>
        <v>170</v>
      </c>
      <c r="T92" s="4">
        <f>(VLOOKUP('14.05'!AB92,'14.05'!$AM$4:$AO$55,2,FALSE))*IF('14.05'!BE$4="是",'14.05'!$AY$4,'14.05'!$AY$3)</f>
        <v>160</v>
      </c>
      <c r="U92" s="4">
        <f>(VLOOKUP('14.05'!AC92,'14.05'!$AM$4:$AO$55,2,FALSE))*IF('14.05'!BF$4="是",'14.05'!$AY$4,'14.05'!$AY$3)</f>
        <v>50</v>
      </c>
      <c r="V92" s="4">
        <f>(VLOOKUP('14.05'!AD92,'14.05'!$AM$4:$AO$55,2,FALSE))*IF('14.05'!BG$4="是",'14.05'!$AY$4,'14.05'!$AY$3)</f>
        <v>0</v>
      </c>
      <c r="W92" s="5">
        <f>(VLOOKUP('14.05'!AE92,'14.05'!$AM$4:$AO$55,2,FALSE))*IF('14.05'!BH$4="是",'14.05'!$AY$4,'14.05'!$AY$3)</f>
        <v>0</v>
      </c>
      <c r="X92" s="5">
        <f>(VLOOKUP('14.05'!AF92,'14.05'!$AM$4:$AO$55,2,FALSE))*IF('14.05'!BI$4="是",'14.05'!$AY$4,'14.05'!$AY$3)</f>
        <v>0</v>
      </c>
    </row>
    <row r="93" spans="1:24">
      <c r="A93" s="4">
        <f>(VLOOKUP('14.05'!I93,'14.05'!$AM$4:$AO$55,2,FALSE))*IF('14.05'!AK$4="是",'14.05'!$AY$4,'14.05'!$AY$3)</f>
        <v>0</v>
      </c>
      <c r="B93" s="4">
        <f>(VLOOKUP('14.05'!J93,'14.05'!$AM$4:$AO$55,2,FALSE))*IF('14.05'!AL$4="是",'14.05'!$AY$4,'14.05'!$AY$3)</f>
        <v>0</v>
      </c>
      <c r="C93" s="4">
        <f>(VLOOKUP('14.05'!K93,'14.05'!$AM$4:$AO$55,2,FALSE))*IF('14.05'!AM$4="是",'14.05'!$AY$4,'14.05'!$AY$3)</f>
        <v>0</v>
      </c>
      <c r="D93" s="4">
        <f>(VLOOKUP('14.05'!L93,'14.05'!$AM$4:$AO$55,2,FALSE))*IF('14.05'!AN$4="是",'14.05'!$AY$4,'14.05'!$AY$3)</f>
        <v>0</v>
      </c>
      <c r="E93" s="4">
        <f>(VLOOKUP('14.05'!M93,'14.05'!$AM$4:$AO$55,2,FALSE))*IF('14.05'!AO$4="是",'14.05'!$AY$4,'14.05'!$AY$3)</f>
        <v>0</v>
      </c>
      <c r="F93" s="4">
        <f>(VLOOKUP('14.05'!N93,'14.05'!$AM$4:$AO$55,2,FALSE))*IF('14.05'!AQ$4="是",'14.05'!$AY$4,'14.05'!$AY$3)</f>
        <v>0</v>
      </c>
      <c r="G93" s="5">
        <f>(VLOOKUP('14.05'!O93,'14.05'!$AM$4:$AO$55,2,FALSE))*IF('14.05'!AR$4="是",'14.05'!$AY$4,'14.05'!$AY$3)</f>
        <v>0</v>
      </c>
      <c r="H93" s="5">
        <f>(VLOOKUP('14.05'!P93,'14.05'!$AM$4:$AO$55,2,FALSE))*IF('14.05'!AS$4="是",'14.05'!$AY$4,'14.05'!$AY$3)</f>
        <v>0</v>
      </c>
      <c r="I93" s="4">
        <f>(VLOOKUP('14.05'!Q93,'14.05'!$AM$4:$AO$55,2,FALSE))*IF('14.05'!AT$4="是",'14.05'!$AY$4,'14.05'!$AY$3)</f>
        <v>160</v>
      </c>
      <c r="J93" s="4">
        <f>(VLOOKUP('14.05'!R93,'14.05'!$AM$4:$AO$55,2,FALSE))*IF('14.05'!AU$4="是",'14.05'!$AY$4,'14.05'!$AY$3)</f>
        <v>160</v>
      </c>
      <c r="K93" s="4">
        <f>(VLOOKUP('14.05'!S93,'14.05'!$AM$4:$AO$55,2,FALSE))*IF('14.05'!AV$4="是",'14.05'!$AY$4,'14.05'!$AY$3)</f>
        <v>160</v>
      </c>
      <c r="L93" s="4">
        <f>(VLOOKUP('14.05'!T93,'14.05'!$AM$4:$AO$55,2,FALSE))*IF('14.05'!AW$4="是",'14.05'!$AY$4,'14.05'!$AY$3)</f>
        <v>160</v>
      </c>
      <c r="M93" s="4">
        <f>(VLOOKUP('14.05'!U93,'14.05'!$AM$4:$AO$55,2,FALSE))*IF('14.05'!AX$4="是",'14.05'!$AY$4,'14.05'!$AY$3)</f>
        <v>50</v>
      </c>
      <c r="N93" s="4">
        <f>(VLOOKUP('14.05'!V93,'14.05'!$AM$4:$AO$55,2,FALSE))*IF('14.05'!AY$4="是",'14.05'!$AY$4,'14.05'!$AY$3)</f>
        <v>160</v>
      </c>
      <c r="O93" s="5">
        <f>(VLOOKUP('14.05'!W93,'14.05'!$AM$4:$AO$55,2,FALSE))*IF('14.05'!AZ$4="是",'14.05'!$AY$4,'14.05'!$AY$3)</f>
        <v>150</v>
      </c>
      <c r="P93" s="5">
        <f>(VLOOKUP('14.05'!X93,'14.05'!$AM$4:$AO$55,2,FALSE))*IF('14.05'!BA$4="是",'14.05'!$AY$4,'14.05'!$AY$3)</f>
        <v>50</v>
      </c>
      <c r="Q93" s="4">
        <f>(VLOOKUP('14.05'!Y93,'14.05'!$AM$4:$AO$55,2,FALSE))*IF('14.05'!BB$4="是",'14.05'!$AY$4,'14.05'!$AY$3)</f>
        <v>160</v>
      </c>
      <c r="R93" s="4">
        <f>(VLOOKUP('14.05'!Z93,'14.05'!$AM$4:$AO$55,2,FALSE))*IF('14.05'!BC$4="是",'14.05'!$AY$4,'14.05'!$AY$3)</f>
        <v>160</v>
      </c>
      <c r="S93" s="4">
        <f>(VLOOKUP('14.05'!AA93,'14.05'!$AM$4:$AO$55,2,FALSE))*IF('14.05'!BD$4="是",'14.05'!$AY$4,'14.05'!$AY$3)</f>
        <v>160</v>
      </c>
      <c r="T93" s="4">
        <f>(VLOOKUP('14.05'!AB93,'14.05'!$AM$4:$AO$55,2,FALSE))*IF('14.05'!BE$4="是",'14.05'!$AY$4,'14.05'!$AY$3)</f>
        <v>50</v>
      </c>
      <c r="U93" s="4">
        <f>(VLOOKUP('14.05'!AC93,'14.05'!$AM$4:$AO$55,2,FALSE))*IF('14.05'!BF$4="是",'14.05'!$AY$4,'14.05'!$AY$3)</f>
        <v>160</v>
      </c>
      <c r="V93" s="4">
        <f>(VLOOKUP('14.05'!AD93,'14.05'!$AM$4:$AO$55,2,FALSE))*IF('14.05'!BG$4="是",'14.05'!$AY$4,'14.05'!$AY$3)</f>
        <v>150</v>
      </c>
      <c r="W93" s="5">
        <f>(VLOOKUP('14.05'!AE93,'14.05'!$AM$4:$AO$55,2,FALSE))*IF('14.05'!BH$4="是",'14.05'!$AY$4,'14.05'!$AY$3)</f>
        <v>150</v>
      </c>
      <c r="X93" s="5">
        <f>(VLOOKUP('14.05'!AF93,'14.05'!$AM$4:$AO$55,2,FALSE))*IF('14.05'!BI$4="是",'14.05'!$AY$4,'14.05'!$AY$3)</f>
        <v>50</v>
      </c>
    </row>
    <row r="94" spans="1:24">
      <c r="A94" s="4" t="e">
        <f>(VLOOKUP('14.05'!#REF!,'14.05'!$AM$4:$AO$55,2,FALSE))*IF('14.05'!AK$4="是",'14.05'!$AY$4,'14.05'!$AY$3)</f>
        <v>#REF!</v>
      </c>
      <c r="B94" s="4" t="e">
        <f>(VLOOKUP('14.05'!#REF!,'14.05'!$AM$4:$AO$55,2,FALSE))*IF('14.05'!AL$4="是",'14.05'!$AY$4,'14.05'!$AY$3)</f>
        <v>#REF!</v>
      </c>
      <c r="C94" s="4" t="e">
        <f>(VLOOKUP('14.05'!#REF!,'14.05'!$AM$4:$AO$55,2,FALSE))*IF('14.05'!AM$4="是",'14.05'!$AY$4,'14.05'!$AY$3)</f>
        <v>#REF!</v>
      </c>
      <c r="D94" s="4" t="e">
        <f>(VLOOKUP('14.05'!#REF!,'14.05'!$AM$4:$AO$55,2,FALSE))*IF('14.05'!AN$4="是",'14.05'!$AY$4,'14.05'!$AY$3)</f>
        <v>#REF!</v>
      </c>
      <c r="E94" s="4" t="e">
        <f>(VLOOKUP('14.05'!#REF!,'14.05'!$AM$4:$AO$55,2,FALSE))*IF('14.05'!AO$4="是",'14.05'!$AY$4,'14.05'!$AY$3)</f>
        <v>#REF!</v>
      </c>
      <c r="F94" s="4" t="e">
        <f>(VLOOKUP('14.05'!#REF!,'14.05'!$AM$4:$AO$55,2,FALSE))*IF('14.05'!AQ$4="是",'14.05'!$AY$4,'14.05'!$AY$3)</f>
        <v>#REF!</v>
      </c>
      <c r="G94" s="5" t="e">
        <f>(VLOOKUP('14.05'!#REF!,'14.05'!$AM$4:$AO$55,2,FALSE))*IF('14.05'!AR$4="是",'14.05'!$AY$4,'14.05'!$AY$3)</f>
        <v>#REF!</v>
      </c>
      <c r="H94" s="5" t="e">
        <f>(VLOOKUP('14.05'!#REF!,'14.05'!$AM$4:$AO$55,2,FALSE))*IF('14.05'!AS$4="是",'14.05'!$AY$4,'14.05'!$AY$3)</f>
        <v>#REF!</v>
      </c>
      <c r="I94" s="4" t="e">
        <f>(VLOOKUP('14.05'!#REF!,'14.05'!$AM$4:$AO$55,2,FALSE))*IF('14.05'!AT$4="是",'14.05'!$AY$4,'14.05'!$AY$3)</f>
        <v>#REF!</v>
      </c>
      <c r="J94" s="4" t="e">
        <f>(VLOOKUP('14.05'!#REF!,'14.05'!$AM$4:$AO$55,2,FALSE))*IF('14.05'!AU$4="是",'14.05'!$AY$4,'14.05'!$AY$3)</f>
        <v>#REF!</v>
      </c>
      <c r="K94" s="4" t="e">
        <f>(VLOOKUP('14.05'!#REF!,'14.05'!$AM$4:$AO$55,2,FALSE))*IF('14.05'!AV$4="是",'14.05'!$AY$4,'14.05'!$AY$3)</f>
        <v>#REF!</v>
      </c>
      <c r="L94" s="4" t="e">
        <f>(VLOOKUP('14.05'!#REF!,'14.05'!$AM$4:$AO$55,2,FALSE))*IF('14.05'!AW$4="是",'14.05'!$AY$4,'14.05'!$AY$3)</f>
        <v>#REF!</v>
      </c>
      <c r="M94" s="4" t="e">
        <f>(VLOOKUP('14.05'!#REF!,'14.05'!$AM$4:$AO$55,2,FALSE))*IF('14.05'!AX$4="是",'14.05'!$AY$4,'14.05'!$AY$3)</f>
        <v>#REF!</v>
      </c>
      <c r="N94" s="4" t="e">
        <f>(VLOOKUP('14.05'!#REF!,'14.05'!$AM$4:$AO$55,2,FALSE))*IF('14.05'!AY$4="是",'14.05'!$AY$4,'14.05'!$AY$3)</f>
        <v>#REF!</v>
      </c>
      <c r="O94" s="5" t="e">
        <f>(VLOOKUP('14.05'!#REF!,'14.05'!$AM$4:$AO$55,2,FALSE))*IF('14.05'!AZ$4="是",'14.05'!$AY$4,'14.05'!$AY$3)</f>
        <v>#REF!</v>
      </c>
      <c r="P94" s="5" t="e">
        <f>(VLOOKUP('14.05'!#REF!,'14.05'!$AM$4:$AO$55,2,FALSE))*IF('14.05'!BA$4="是",'14.05'!$AY$4,'14.05'!$AY$3)</f>
        <v>#REF!</v>
      </c>
      <c r="Q94" s="4" t="e">
        <f>(VLOOKUP('14.05'!#REF!,'14.05'!$AM$4:$AO$55,2,FALSE))*IF('14.05'!BB$4="是",'14.05'!$AY$4,'14.05'!$AY$3)</f>
        <v>#REF!</v>
      </c>
      <c r="R94" s="4" t="e">
        <f>(VLOOKUP('14.05'!#REF!,'14.05'!$AM$4:$AO$55,2,FALSE))*IF('14.05'!BC$4="是",'14.05'!$AY$4,'14.05'!$AY$3)</f>
        <v>#REF!</v>
      </c>
      <c r="S94" s="4" t="e">
        <f>(VLOOKUP('14.05'!#REF!,'14.05'!$AM$4:$AO$55,2,FALSE))*IF('14.05'!BD$4="是",'14.05'!$AY$4,'14.05'!$AY$3)</f>
        <v>#REF!</v>
      </c>
      <c r="T94" s="4" t="e">
        <f>(VLOOKUP('14.05'!#REF!,'14.05'!$AM$4:$AO$55,2,FALSE))*IF('14.05'!BE$4="是",'14.05'!$AY$4,'14.05'!$AY$3)</f>
        <v>#REF!</v>
      </c>
      <c r="U94" s="4" t="e">
        <f>(VLOOKUP('14.05'!#REF!,'14.05'!$AM$4:$AO$55,2,FALSE))*IF('14.05'!BF$4="是",'14.05'!$AY$4,'14.05'!$AY$3)</f>
        <v>#REF!</v>
      </c>
      <c r="V94" s="4" t="e">
        <f>(VLOOKUP('14.05'!#REF!,'14.05'!$AM$4:$AO$55,2,FALSE))*IF('14.05'!BG$4="是",'14.05'!$AY$4,'14.05'!$AY$3)</f>
        <v>#REF!</v>
      </c>
      <c r="W94" s="5" t="e">
        <f>(VLOOKUP('14.05'!#REF!,'14.05'!$AM$4:$AO$55,2,FALSE))*IF('14.05'!BH$4="是",'14.05'!$AY$4,'14.05'!$AY$3)</f>
        <v>#REF!</v>
      </c>
      <c r="X94" s="5" t="e">
        <f>(VLOOKUP('14.05'!#REF!,'14.05'!$AM$4:$AO$55,2,FALSE))*IF('14.05'!BI$4="是",'14.05'!$AY$4,'14.05'!$AY$3)</f>
        <v>#REF!</v>
      </c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E4" sqref="E4"/>
    </sheetView>
  </sheetViews>
  <sheetFormatPr defaultColWidth="9" defaultRowHeight="14.4"/>
  <sheetData>
    <row r="2" spans="1:24">
      <c r="A2" s="146" t="s">
        <v>62</v>
      </c>
      <c r="B2" s="147"/>
      <c r="C2" s="1" t="s">
        <v>4</v>
      </c>
      <c r="D2" s="1">
        <f>COUNTIF(A4:H94,"&lt;&gt;空")</f>
        <v>728</v>
      </c>
      <c r="E2" s="147" t="s">
        <v>5</v>
      </c>
      <c r="F2" s="147"/>
      <c r="G2" s="147"/>
      <c r="H2" s="148"/>
      <c r="I2" s="149" t="s">
        <v>6</v>
      </c>
      <c r="J2" s="150"/>
      <c r="K2" s="6" t="s">
        <v>4</v>
      </c>
      <c r="L2" s="6">
        <f>COUNTIF(I4:P94,"&lt;&gt;空")</f>
        <v>728</v>
      </c>
      <c r="M2" s="150" t="s">
        <v>5</v>
      </c>
      <c r="N2" s="150"/>
      <c r="O2" s="150"/>
      <c r="P2" s="151"/>
      <c r="Q2" s="152" t="s">
        <v>7</v>
      </c>
      <c r="R2" s="144"/>
      <c r="S2" s="10" t="s">
        <v>8</v>
      </c>
      <c r="T2" s="9">
        <f>COUNTIF(Q4:X94,"&lt;&gt;空")</f>
        <v>728</v>
      </c>
      <c r="U2" s="144" t="s">
        <v>5</v>
      </c>
      <c r="V2" s="144"/>
      <c r="W2" s="144"/>
      <c r="X2" s="145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(VLOOKUP('14.05'!I4,'14.05'!$AM$4:$AO$55,3,FALSE))</f>
        <v>35</v>
      </c>
      <c r="B4" s="4">
        <f>(VLOOKUP('14.05'!J4,'14.05'!$AM$4:$AO$55,3,FALSE))</f>
        <v>35</v>
      </c>
      <c r="C4" s="4">
        <f>(VLOOKUP('14.05'!K4,'14.05'!$AM$4:$AO$55,3,FALSE))</f>
        <v>35</v>
      </c>
      <c r="D4" s="4">
        <f>(VLOOKUP('14.05'!L4,'14.05'!$AM$4:$AO$55,3,FALSE))</f>
        <v>0</v>
      </c>
      <c r="E4" s="4">
        <f>(VLOOKUP('14.05'!M4,'14.05'!$AM$4:$AO$55,3,FALSE))</f>
        <v>0</v>
      </c>
      <c r="F4" s="4">
        <f>(VLOOKUP('14.05'!N4,'14.05'!$AM$4:$AO$55,3,FALSE))</f>
        <v>0</v>
      </c>
      <c r="G4" s="5">
        <f>(VLOOKUP('14.05'!O4,'14.05'!$AM$4:$AO$55,3,FALSE))</f>
        <v>0</v>
      </c>
      <c r="H4" s="5">
        <f>(VLOOKUP('14.05'!P4,'14.05'!$AM$4:$AO$55,3,FALSE))</f>
        <v>0</v>
      </c>
      <c r="I4" s="4">
        <f>(VLOOKUP('14.05'!Q4,'14.05'!$AM$4:$AO$55,3,FALSE))</f>
        <v>35</v>
      </c>
      <c r="J4" s="4">
        <f>(VLOOKUP('14.05'!R4,'14.05'!$AM$4:$AO$55,3,FALSE))</f>
        <v>30</v>
      </c>
      <c r="K4" s="4">
        <f>(VLOOKUP('14.05'!S4,'14.05'!$AM$4:$AO$55,3,FALSE))</f>
        <v>35</v>
      </c>
      <c r="L4" s="4">
        <f>(VLOOKUP('14.05'!T4,'14.05'!$AM$4:$AO$55,3,FALSE))</f>
        <v>40</v>
      </c>
      <c r="M4" s="4">
        <f>(VLOOKUP('14.05'!U4,'14.05'!$AM$4:$AO$55,3,FALSE))</f>
        <v>0</v>
      </c>
      <c r="N4" s="4">
        <f>(VLOOKUP('14.05'!V4,'14.05'!$AM$4:$AO$55,3,FALSE))</f>
        <v>0</v>
      </c>
      <c r="O4" s="5">
        <f>(VLOOKUP('14.05'!W4,'14.05'!$AM$4:$AO$55,3,FALSE))</f>
        <v>0</v>
      </c>
      <c r="P4" s="5">
        <f>(VLOOKUP('14.05'!X4,'14.05'!$AM$4:$AO$55,3,FALSE))</f>
        <v>0</v>
      </c>
      <c r="Q4" s="4">
        <f>(VLOOKUP('14.05'!Y4,'14.05'!$AM$4:$AO$55,3,FALSE))</f>
        <v>40</v>
      </c>
      <c r="R4" s="4">
        <f>(VLOOKUP('14.05'!Z4,'14.05'!$AM$4:$AO$55,3,FALSE))</f>
        <v>40</v>
      </c>
      <c r="S4" s="4">
        <f>(VLOOKUP('14.05'!AA4,'14.05'!$AM$4:$AO$55,3,FALSE))</f>
        <v>40</v>
      </c>
      <c r="T4" s="4">
        <f>(VLOOKUP('14.05'!AB4,'14.05'!$AM$4:$AO$55,3,FALSE))</f>
        <v>40</v>
      </c>
      <c r="U4" s="4">
        <f>(VLOOKUP('14.05'!AC4,'14.05'!$AM$4:$AO$55,3,FALSE))</f>
        <v>45</v>
      </c>
      <c r="V4" s="4">
        <f>(VLOOKUP('14.05'!AD4,'14.05'!$AM$4:$AO$55,3,FALSE))</f>
        <v>0</v>
      </c>
      <c r="W4" s="5">
        <f>(VLOOKUP('14.05'!AE4,'14.05'!$AM$4:$AO$55,3,FALSE))</f>
        <v>0</v>
      </c>
      <c r="X4" s="5">
        <f>(VLOOKUP('14.05'!AF4,'14.05'!$AM$4:$AO$55,3,FALSE))</f>
        <v>0</v>
      </c>
    </row>
    <row r="5" spans="1:24">
      <c r="A5" s="4">
        <f>(VLOOKUP('14.05'!I5,'14.05'!$AM$4:$AO$55,3,FALSE))</f>
        <v>35</v>
      </c>
      <c r="B5" s="4">
        <f>(VLOOKUP('14.05'!J5,'14.05'!$AM$4:$AO$55,3,FALSE))</f>
        <v>35</v>
      </c>
      <c r="C5" s="4">
        <f>(VLOOKUP('14.05'!K5,'14.05'!$AM$4:$AO$55,3,FALSE))</f>
        <v>30</v>
      </c>
      <c r="D5" s="4">
        <f>(VLOOKUP('14.05'!L5,'14.05'!$AM$4:$AO$55,3,FALSE))</f>
        <v>35</v>
      </c>
      <c r="E5" s="4">
        <f>(VLOOKUP('14.05'!M5,'14.05'!$AM$4:$AO$55,3,FALSE))</f>
        <v>35</v>
      </c>
      <c r="F5" s="4">
        <f>(VLOOKUP('14.05'!N5,'14.05'!$AM$4:$AO$55,3,FALSE))</f>
        <v>40</v>
      </c>
      <c r="G5" s="5">
        <f>(VLOOKUP('14.05'!O5,'14.05'!$AM$4:$AO$55,3,FALSE))</f>
        <v>0</v>
      </c>
      <c r="H5" s="5">
        <f>(VLOOKUP('14.05'!P5,'14.05'!$AM$4:$AO$55,3,FALSE))</f>
        <v>0</v>
      </c>
      <c r="I5" s="4">
        <f>(VLOOKUP('14.05'!Q5,'14.05'!$AM$4:$AO$55,3,FALSE))</f>
        <v>0</v>
      </c>
      <c r="J5" s="4">
        <f>(VLOOKUP('14.05'!R5,'14.05'!$AM$4:$AO$55,3,FALSE))</f>
        <v>0</v>
      </c>
      <c r="K5" s="4">
        <f>(VLOOKUP('14.05'!S5,'14.05'!$AM$4:$AO$55,3,FALSE))</f>
        <v>0</v>
      </c>
      <c r="L5" s="4">
        <f>(VLOOKUP('14.05'!T5,'14.05'!$AM$4:$AO$55,3,FALSE))</f>
        <v>0</v>
      </c>
      <c r="M5" s="4">
        <f>(VLOOKUP('14.05'!U5,'14.05'!$AM$4:$AO$55,3,FALSE))</f>
        <v>0</v>
      </c>
      <c r="N5" s="4">
        <f>(VLOOKUP('14.05'!V5,'14.05'!$AM$4:$AO$55,3,FALSE))</f>
        <v>0</v>
      </c>
      <c r="O5" s="5">
        <f>(VLOOKUP('14.05'!W5,'14.05'!$AM$4:$AO$55,3,FALSE))</f>
        <v>0</v>
      </c>
      <c r="P5" s="5">
        <f>(VLOOKUP('14.05'!X5,'14.05'!$AM$4:$AO$55,3,FALSE))</f>
        <v>0</v>
      </c>
      <c r="Q5" s="4">
        <f>(VLOOKUP('14.05'!Y5,'14.05'!$AM$4:$AO$55,3,FALSE))</f>
        <v>45</v>
      </c>
      <c r="R5" s="4">
        <f>(VLOOKUP('14.05'!Z5,'14.05'!$AM$4:$AO$55,3,FALSE))</f>
        <v>45</v>
      </c>
      <c r="S5" s="4">
        <f>(VLOOKUP('14.05'!AA5,'14.05'!$AM$4:$AO$55,3,FALSE))</f>
        <v>45</v>
      </c>
      <c r="T5" s="4">
        <f>(VLOOKUP('14.05'!AB5,'14.05'!$AM$4:$AO$55,3,FALSE))</f>
        <v>30</v>
      </c>
      <c r="U5" s="4">
        <f>(VLOOKUP('14.05'!AC5,'14.05'!$AM$4:$AO$55,3,FALSE))</f>
        <v>45</v>
      </c>
      <c r="V5" s="4">
        <f>(VLOOKUP('14.05'!AD5,'14.05'!$AM$4:$AO$55,3,FALSE))</f>
        <v>0</v>
      </c>
      <c r="W5" s="5">
        <f>(VLOOKUP('14.05'!AE5,'14.05'!$AM$4:$AO$55,3,FALSE))</f>
        <v>45</v>
      </c>
      <c r="X5" s="5">
        <f>(VLOOKUP('14.05'!AF5,'14.05'!$AM$4:$AO$55,3,FALSE))</f>
        <v>45</v>
      </c>
    </row>
    <row r="6" spans="1:24">
      <c r="A6" s="4">
        <f>(VLOOKUP('14.05'!I6,'14.05'!$AM$4:$AO$55,3,FALSE))</f>
        <v>40</v>
      </c>
      <c r="B6" s="4">
        <f>(VLOOKUP('14.05'!J6,'14.05'!$AM$4:$AO$55,3,FALSE))</f>
        <v>30</v>
      </c>
      <c r="C6" s="4">
        <f>(VLOOKUP('14.05'!K6,'14.05'!$AM$4:$AO$55,3,FALSE))</f>
        <v>40</v>
      </c>
      <c r="D6" s="4">
        <f>(VLOOKUP('14.05'!L6,'14.05'!$AM$4:$AO$55,3,FALSE))</f>
        <v>40</v>
      </c>
      <c r="E6" s="4">
        <f>(VLOOKUP('14.05'!M6,'14.05'!$AM$4:$AO$55,3,FALSE))</f>
        <v>0</v>
      </c>
      <c r="F6" s="4">
        <f>(VLOOKUP('14.05'!N6,'14.05'!$AM$4:$AO$55,3,FALSE))</f>
        <v>45</v>
      </c>
      <c r="G6" s="5">
        <f>(VLOOKUP('14.05'!O6,'14.05'!$AM$4:$AO$55,3,FALSE))</f>
        <v>45</v>
      </c>
      <c r="H6" s="5">
        <f>(VLOOKUP('14.05'!P6,'14.05'!$AM$4:$AO$55,3,FALSE))</f>
        <v>45</v>
      </c>
      <c r="I6" s="4">
        <f>(VLOOKUP('14.05'!Q6,'14.05'!$AM$4:$AO$55,3,FALSE))</f>
        <v>0</v>
      </c>
      <c r="J6" s="4">
        <f>(VLOOKUP('14.05'!R6,'14.05'!$AM$4:$AO$55,3,FALSE))</f>
        <v>0</v>
      </c>
      <c r="K6" s="4">
        <f>(VLOOKUP('14.05'!S6,'14.05'!$AM$4:$AO$55,3,FALSE))</f>
        <v>0</v>
      </c>
      <c r="L6" s="4">
        <f>(VLOOKUP('14.05'!T6,'14.05'!$AM$4:$AO$55,3,FALSE))</f>
        <v>0</v>
      </c>
      <c r="M6" s="4">
        <f>(VLOOKUP('14.05'!U6,'14.05'!$AM$4:$AO$55,3,FALSE))</f>
        <v>0</v>
      </c>
      <c r="N6" s="4">
        <f>(VLOOKUP('14.05'!V6,'14.05'!$AM$4:$AO$55,3,FALSE))</f>
        <v>0</v>
      </c>
      <c r="O6" s="5">
        <f>(VLOOKUP('14.05'!W6,'14.05'!$AM$4:$AO$55,3,FALSE))</f>
        <v>0</v>
      </c>
      <c r="P6" s="5">
        <f>(VLOOKUP('14.05'!X6,'14.05'!$AM$4:$AO$55,3,FALSE))</f>
        <v>0</v>
      </c>
      <c r="Q6" s="4">
        <f>(VLOOKUP('14.05'!Y6,'14.05'!$AM$4:$AO$55,3,FALSE))</f>
        <v>45</v>
      </c>
      <c r="R6" s="4">
        <f>(VLOOKUP('14.05'!Z6,'14.05'!$AM$4:$AO$55,3,FALSE))</f>
        <v>45</v>
      </c>
      <c r="S6" s="4">
        <f>(VLOOKUP('14.05'!AA6,'14.05'!$AM$4:$AO$55,3,FALSE))</f>
        <v>45</v>
      </c>
      <c r="T6" s="4">
        <f>(VLOOKUP('14.05'!AB6,'14.05'!$AM$4:$AO$55,3,FALSE))</f>
        <v>45</v>
      </c>
      <c r="U6" s="4">
        <f>(VLOOKUP('14.05'!AC6,'14.05'!$AM$4:$AO$55,3,FALSE))</f>
        <v>45</v>
      </c>
      <c r="V6" s="4">
        <f>(VLOOKUP('14.05'!AD6,'14.05'!$AM$4:$AO$55,3,FALSE))</f>
        <v>45</v>
      </c>
      <c r="W6" s="5">
        <f>(VLOOKUP('14.05'!AE6,'14.05'!$AM$4:$AO$55,3,FALSE))</f>
        <v>0</v>
      </c>
      <c r="X6" s="5">
        <f>(VLOOKUP('14.05'!AF6,'14.05'!$AM$4:$AO$55,3,FALSE))</f>
        <v>0</v>
      </c>
    </row>
    <row r="7" spans="1:24">
      <c r="A7" s="4">
        <f>(VLOOKUP('14.05'!I7,'14.05'!$AM$4:$AO$55,3,FALSE))</f>
        <v>45</v>
      </c>
      <c r="B7" s="4">
        <f>(VLOOKUP('14.05'!J7,'14.05'!$AM$4:$AO$55,3,FALSE))</f>
        <v>300</v>
      </c>
      <c r="C7" s="4">
        <f>(VLOOKUP('14.05'!K7,'14.05'!$AM$4:$AO$55,3,FALSE))</f>
        <v>45</v>
      </c>
      <c r="D7" s="4">
        <f>(VLOOKUP('14.05'!L7,'14.05'!$AM$4:$AO$55,3,FALSE))</f>
        <v>45</v>
      </c>
      <c r="E7" s="4">
        <f>(VLOOKUP('14.05'!M7,'14.05'!$AM$4:$AO$55,3,FALSE))</f>
        <v>45</v>
      </c>
      <c r="F7" s="4">
        <f>(VLOOKUP('14.05'!N7,'14.05'!$AM$4:$AO$55,3,FALSE))</f>
        <v>45</v>
      </c>
      <c r="G7" s="5">
        <f>(VLOOKUP('14.05'!O7,'14.05'!$AM$4:$AO$55,3,FALSE))</f>
        <v>0</v>
      </c>
      <c r="H7" s="5">
        <f>(VLOOKUP('14.05'!P7,'14.05'!$AM$4:$AO$55,3,FALSE))</f>
        <v>0</v>
      </c>
      <c r="I7" s="4">
        <f>(VLOOKUP('14.05'!Q7,'14.05'!$AM$4:$AO$55,3,FALSE))</f>
        <v>0</v>
      </c>
      <c r="J7" s="4">
        <f>(VLOOKUP('14.05'!R7,'14.05'!$AM$4:$AO$55,3,FALSE))</f>
        <v>0</v>
      </c>
      <c r="K7" s="4">
        <f>(VLOOKUP('14.05'!S7,'14.05'!$AM$4:$AO$55,3,FALSE))</f>
        <v>0</v>
      </c>
      <c r="L7" s="4">
        <f>(VLOOKUP('14.05'!T7,'14.05'!$AM$4:$AO$55,3,FALSE))</f>
        <v>0</v>
      </c>
      <c r="M7" s="4">
        <f>(VLOOKUP('14.05'!U7,'14.05'!$AM$4:$AO$55,3,FALSE))</f>
        <v>0</v>
      </c>
      <c r="N7" s="4">
        <f>(VLOOKUP('14.05'!V7,'14.05'!$AM$4:$AO$55,3,FALSE))</f>
        <v>0</v>
      </c>
      <c r="O7" s="5">
        <f>(VLOOKUP('14.05'!W7,'14.05'!$AM$4:$AO$55,3,FALSE))</f>
        <v>0</v>
      </c>
      <c r="P7" s="5">
        <f>(VLOOKUP('14.05'!X7,'14.05'!$AM$4:$AO$55,3,FALSE))</f>
        <v>0</v>
      </c>
      <c r="Q7" s="4">
        <f>(VLOOKUP('14.05'!Y7,'14.05'!$AM$4:$AO$55,3,FALSE))</f>
        <v>30</v>
      </c>
      <c r="R7" s="4">
        <f>(VLOOKUP('14.05'!Z7,'14.05'!$AM$4:$AO$55,3,FALSE))</f>
        <v>45</v>
      </c>
      <c r="S7" s="4">
        <f>(VLOOKUP('14.05'!AA7,'14.05'!$AM$4:$AO$55,3,FALSE))</f>
        <v>45</v>
      </c>
      <c r="T7" s="4">
        <f>(VLOOKUP('14.05'!AB7,'14.05'!$AM$4:$AO$55,3,FALSE))</f>
        <v>45</v>
      </c>
      <c r="U7" s="4">
        <f>(VLOOKUP('14.05'!AC7,'14.05'!$AM$4:$AO$55,3,FALSE))</f>
        <v>300</v>
      </c>
      <c r="V7" s="4">
        <f>(VLOOKUP('14.05'!AD7,'14.05'!$AM$4:$AO$55,3,FALSE))</f>
        <v>45</v>
      </c>
      <c r="W7" s="5">
        <f>(VLOOKUP('14.05'!AE7,'14.05'!$AM$4:$AO$55,3,FALSE))</f>
        <v>0</v>
      </c>
      <c r="X7" s="5">
        <f>(VLOOKUP('14.05'!AF7,'14.05'!$AM$4:$AO$55,3,FALSE))</f>
        <v>0</v>
      </c>
    </row>
    <row r="8" spans="1:24">
      <c r="A8" s="4">
        <f>(VLOOKUP('14.05'!I8,'14.05'!$AM$4:$AO$55,3,FALSE))</f>
        <v>45</v>
      </c>
      <c r="B8" s="4">
        <f>(VLOOKUP('14.05'!J8,'14.05'!$AM$4:$AO$55,3,FALSE))</f>
        <v>45</v>
      </c>
      <c r="C8" s="4">
        <f>(VLOOKUP('14.05'!K8,'14.05'!$AM$4:$AO$55,3,FALSE))</f>
        <v>45</v>
      </c>
      <c r="D8" s="4">
        <f>(VLOOKUP('14.05'!L8,'14.05'!$AM$4:$AO$55,3,FALSE))</f>
        <v>45</v>
      </c>
      <c r="E8" s="4">
        <f>(VLOOKUP('14.05'!M8,'14.05'!$AM$4:$AO$55,3,FALSE))</f>
        <v>45</v>
      </c>
      <c r="F8" s="4">
        <f>(VLOOKUP('14.05'!N8,'14.05'!$AM$4:$AO$55,3,FALSE))</f>
        <v>45</v>
      </c>
      <c r="G8" s="5">
        <f>(VLOOKUP('14.05'!O8,'14.05'!$AM$4:$AO$55,3,FALSE))</f>
        <v>0</v>
      </c>
      <c r="H8" s="5">
        <f>(VLOOKUP('14.05'!P8,'14.05'!$AM$4:$AO$55,3,FALSE))</f>
        <v>0</v>
      </c>
      <c r="I8" s="4">
        <f>(VLOOKUP('14.05'!Q8,'14.05'!$AM$4:$AO$55,3,FALSE))</f>
        <v>0</v>
      </c>
      <c r="J8" s="4">
        <f>(VLOOKUP('14.05'!R8,'14.05'!$AM$4:$AO$55,3,FALSE))</f>
        <v>0</v>
      </c>
      <c r="K8" s="4">
        <f>(VLOOKUP('14.05'!S8,'14.05'!$AM$4:$AO$55,3,FALSE))</f>
        <v>0</v>
      </c>
      <c r="L8" s="4">
        <f>(VLOOKUP('14.05'!T8,'14.05'!$AM$4:$AO$55,3,FALSE))</f>
        <v>0</v>
      </c>
      <c r="M8" s="4">
        <f>(VLOOKUP('14.05'!U8,'14.05'!$AM$4:$AO$55,3,FALSE))</f>
        <v>0</v>
      </c>
      <c r="N8" s="4">
        <f>(VLOOKUP('14.05'!V8,'14.05'!$AM$4:$AO$55,3,FALSE))</f>
        <v>0</v>
      </c>
      <c r="O8" s="5">
        <f>(VLOOKUP('14.05'!W8,'14.05'!$AM$4:$AO$55,3,FALSE))</f>
        <v>0</v>
      </c>
      <c r="P8" s="5">
        <f>(VLOOKUP('14.05'!X8,'14.05'!$AM$4:$AO$55,3,FALSE))</f>
        <v>0</v>
      </c>
      <c r="Q8" s="4">
        <f>(VLOOKUP('14.05'!Y8,'14.05'!$AM$4:$AO$55,3,FALSE))</f>
        <v>45</v>
      </c>
      <c r="R8" s="4">
        <f>(VLOOKUP('14.05'!Z8,'14.05'!$AM$4:$AO$55,3,FALSE))</f>
        <v>45</v>
      </c>
      <c r="S8" s="4">
        <f>(VLOOKUP('14.05'!AA8,'14.05'!$AM$4:$AO$55,3,FALSE))</f>
        <v>45</v>
      </c>
      <c r="T8" s="4">
        <f>(VLOOKUP('14.05'!AB8,'14.05'!$AM$4:$AO$55,3,FALSE))</f>
        <v>45</v>
      </c>
      <c r="U8" s="4">
        <f>(VLOOKUP('14.05'!AC8,'14.05'!$AM$4:$AO$55,3,FALSE))</f>
        <v>45</v>
      </c>
      <c r="V8" s="4">
        <f>(VLOOKUP('14.05'!AD8,'14.05'!$AM$4:$AO$55,3,FALSE))</f>
        <v>45</v>
      </c>
      <c r="W8" s="5">
        <f>(VLOOKUP('14.05'!AE8,'14.05'!$AM$4:$AO$55,3,FALSE))</f>
        <v>0</v>
      </c>
      <c r="X8" s="5">
        <f>(VLOOKUP('14.05'!AF8,'14.05'!$AM$4:$AO$55,3,FALSE))</f>
        <v>0</v>
      </c>
    </row>
    <row r="9" spans="1:24">
      <c r="A9" s="4">
        <f>(VLOOKUP('14.05'!I9,'14.05'!$AM$4:$AO$55,3,FALSE))</f>
        <v>45</v>
      </c>
      <c r="B9" s="4">
        <f>(VLOOKUP('14.05'!J9,'14.05'!$AM$4:$AO$55,3,FALSE))</f>
        <v>0</v>
      </c>
      <c r="C9" s="4">
        <f>(VLOOKUP('14.05'!K9,'14.05'!$AM$4:$AO$55,3,FALSE))</f>
        <v>0</v>
      </c>
      <c r="D9" s="4">
        <f>(VLOOKUP('14.05'!L9,'14.05'!$AM$4:$AO$55,3,FALSE))</f>
        <v>0</v>
      </c>
      <c r="E9" s="4">
        <f>(VLOOKUP('14.05'!M9,'14.05'!$AM$4:$AO$55,3,FALSE))</f>
        <v>0</v>
      </c>
      <c r="F9" s="4">
        <f>(VLOOKUP('14.05'!N9,'14.05'!$AM$4:$AO$55,3,FALSE))</f>
        <v>0</v>
      </c>
      <c r="G9" s="5">
        <f>(VLOOKUP('14.05'!O9,'14.05'!$AM$4:$AO$55,3,FALSE))</f>
        <v>0</v>
      </c>
      <c r="H9" s="5">
        <f>(VLOOKUP('14.05'!P9,'14.05'!$AM$4:$AO$55,3,FALSE))</f>
        <v>0</v>
      </c>
      <c r="I9" s="4">
        <f>(VLOOKUP('14.05'!Q9,'14.05'!$AM$4:$AO$55,3,FALSE))</f>
        <v>0</v>
      </c>
      <c r="J9" s="4">
        <f>(VLOOKUP('14.05'!R9,'14.05'!$AM$4:$AO$55,3,FALSE))</f>
        <v>0</v>
      </c>
      <c r="K9" s="4">
        <f>(VLOOKUP('14.05'!S9,'14.05'!$AM$4:$AO$55,3,FALSE))</f>
        <v>0</v>
      </c>
      <c r="L9" s="4">
        <f>(VLOOKUP('14.05'!T9,'14.05'!$AM$4:$AO$55,3,FALSE))</f>
        <v>0</v>
      </c>
      <c r="M9" s="4">
        <f>(VLOOKUP('14.05'!U9,'14.05'!$AM$4:$AO$55,3,FALSE))</f>
        <v>0</v>
      </c>
      <c r="N9" s="4">
        <f>(VLOOKUP('14.05'!V9,'14.05'!$AM$4:$AO$55,3,FALSE))</f>
        <v>0</v>
      </c>
      <c r="O9" s="5">
        <f>(VLOOKUP('14.05'!W9,'14.05'!$AM$4:$AO$55,3,FALSE))</f>
        <v>0</v>
      </c>
      <c r="P9" s="5">
        <f>(VLOOKUP('14.05'!X9,'14.05'!$AM$4:$AO$55,3,FALSE))</f>
        <v>0</v>
      </c>
      <c r="Q9" s="4">
        <f>(VLOOKUP('14.05'!Y9,'14.05'!$AM$4:$AO$55,3,FALSE))</f>
        <v>45</v>
      </c>
      <c r="R9" s="4">
        <f>(VLOOKUP('14.05'!Z9,'14.05'!$AM$4:$AO$55,3,FALSE))</f>
        <v>30</v>
      </c>
      <c r="S9" s="4">
        <f>(VLOOKUP('14.05'!AA9,'14.05'!$AM$4:$AO$55,3,FALSE))</f>
        <v>45</v>
      </c>
      <c r="T9" s="4">
        <f>(VLOOKUP('14.05'!AB9,'14.05'!$AM$4:$AO$55,3,FALSE))</f>
        <v>45</v>
      </c>
      <c r="U9" s="4">
        <f>(VLOOKUP('14.05'!AC9,'14.05'!$AM$4:$AO$55,3,FALSE))</f>
        <v>45</v>
      </c>
      <c r="V9" s="4">
        <f>(VLOOKUP('14.05'!AD9,'14.05'!$AM$4:$AO$55,3,FALSE))</f>
        <v>300</v>
      </c>
      <c r="W9" s="5">
        <f>(VLOOKUP('14.05'!AE9,'14.05'!$AM$4:$AO$55,3,FALSE))</f>
        <v>0</v>
      </c>
      <c r="X9" s="5">
        <f>(VLOOKUP('14.05'!AF9,'14.05'!$AM$4:$AO$55,3,FALSE))</f>
        <v>0</v>
      </c>
    </row>
    <row r="10" spans="1:24">
      <c r="A10" s="4">
        <f>(VLOOKUP('14.05'!I10,'14.05'!$AM$4:$AO$55,3,FALSE))</f>
        <v>0</v>
      </c>
      <c r="B10" s="4">
        <f>(VLOOKUP('14.05'!J10,'14.05'!$AM$4:$AO$55,3,FALSE))</f>
        <v>0</v>
      </c>
      <c r="C10" s="4">
        <f>(VLOOKUP('14.05'!K10,'14.05'!$AM$4:$AO$55,3,FALSE))</f>
        <v>0</v>
      </c>
      <c r="D10" s="4">
        <f>(VLOOKUP('14.05'!L10,'14.05'!$AM$4:$AO$55,3,FALSE))</f>
        <v>0</v>
      </c>
      <c r="E10" s="4">
        <f>(VLOOKUP('14.05'!M10,'14.05'!$AM$4:$AO$55,3,FALSE))</f>
        <v>0</v>
      </c>
      <c r="F10" s="4">
        <f>(VLOOKUP('14.05'!N10,'14.05'!$AM$4:$AO$55,3,FALSE))</f>
        <v>0</v>
      </c>
      <c r="G10" s="5">
        <f>(VLOOKUP('14.05'!O10,'14.05'!$AM$4:$AO$55,3,FALSE))</f>
        <v>0</v>
      </c>
      <c r="H10" s="5">
        <f>(VLOOKUP('14.05'!P10,'14.05'!$AM$4:$AO$55,3,FALSE))</f>
        <v>0</v>
      </c>
      <c r="I10" s="4">
        <f>(VLOOKUP('14.05'!Q10,'14.05'!$AM$4:$AO$55,3,FALSE))</f>
        <v>0</v>
      </c>
      <c r="J10" s="4">
        <f>(VLOOKUP('14.05'!R10,'14.05'!$AM$4:$AO$55,3,FALSE))</f>
        <v>0</v>
      </c>
      <c r="K10" s="4">
        <f>(VLOOKUP('14.05'!S10,'14.05'!$AM$4:$AO$55,3,FALSE))</f>
        <v>0</v>
      </c>
      <c r="L10" s="4">
        <f>(VLOOKUP('14.05'!T10,'14.05'!$AM$4:$AO$55,3,FALSE))</f>
        <v>0</v>
      </c>
      <c r="M10" s="4">
        <f>(VLOOKUP('14.05'!U10,'14.05'!$AM$4:$AO$55,3,FALSE))</f>
        <v>0</v>
      </c>
      <c r="N10" s="4">
        <f>(VLOOKUP('14.05'!V10,'14.05'!$AM$4:$AO$55,3,FALSE))</f>
        <v>0</v>
      </c>
      <c r="O10" s="5">
        <f>(VLOOKUP('14.05'!W10,'14.05'!$AM$4:$AO$55,3,FALSE))</f>
        <v>0</v>
      </c>
      <c r="P10" s="5">
        <f>(VLOOKUP('14.05'!X10,'14.05'!$AM$4:$AO$55,3,FALSE))</f>
        <v>0</v>
      </c>
      <c r="Q10" s="4">
        <f>(VLOOKUP('14.05'!Y10,'14.05'!$AM$4:$AO$55,3,FALSE))</f>
        <v>45</v>
      </c>
      <c r="R10" s="4">
        <f>(VLOOKUP('14.05'!Z10,'14.05'!$AM$4:$AO$55,3,FALSE))</f>
        <v>0</v>
      </c>
      <c r="S10" s="4">
        <f>(VLOOKUP('14.05'!AA10,'14.05'!$AM$4:$AO$55,3,FALSE))</f>
        <v>45</v>
      </c>
      <c r="T10" s="4">
        <f>(VLOOKUP('14.05'!AB10,'14.05'!$AM$4:$AO$55,3,FALSE))</f>
        <v>45</v>
      </c>
      <c r="U10" s="4">
        <f>(VLOOKUP('14.05'!AC10,'14.05'!$AM$4:$AO$55,3,FALSE))</f>
        <v>45</v>
      </c>
      <c r="V10" s="4">
        <f>(VLOOKUP('14.05'!AD10,'14.05'!$AM$4:$AO$55,3,FALSE))</f>
        <v>45</v>
      </c>
      <c r="W10" s="5">
        <f>(VLOOKUP('14.05'!AE10,'14.05'!$AM$4:$AO$55,3,FALSE))</f>
        <v>45</v>
      </c>
      <c r="X10" s="5">
        <f>(VLOOKUP('14.05'!AF10,'14.05'!$AM$4:$AO$55,3,FALSE))</f>
        <v>45</v>
      </c>
    </row>
    <row r="11" spans="1:24">
      <c r="A11" s="4">
        <f>(VLOOKUP('14.05'!I11,'14.05'!$AM$4:$AO$55,3,FALSE))</f>
        <v>0</v>
      </c>
      <c r="B11" s="4">
        <f>(VLOOKUP('14.05'!J11,'14.05'!$AM$4:$AO$55,3,FALSE))</f>
        <v>0</v>
      </c>
      <c r="C11" s="4">
        <f>(VLOOKUP('14.05'!K11,'14.05'!$AM$4:$AO$55,3,FALSE))</f>
        <v>0</v>
      </c>
      <c r="D11" s="4">
        <f>(VLOOKUP('14.05'!L11,'14.05'!$AM$4:$AO$55,3,FALSE))</f>
        <v>0</v>
      </c>
      <c r="E11" s="4">
        <f>(VLOOKUP('14.05'!M11,'14.05'!$AM$4:$AO$55,3,FALSE))</f>
        <v>0</v>
      </c>
      <c r="F11" s="4">
        <f>(VLOOKUP('14.05'!N11,'14.05'!$AM$4:$AO$55,3,FALSE))</f>
        <v>0</v>
      </c>
      <c r="G11" s="5">
        <f>(VLOOKUP('14.05'!O11,'14.05'!$AM$4:$AO$55,3,FALSE))</f>
        <v>0</v>
      </c>
      <c r="H11" s="5">
        <f>(VLOOKUP('14.05'!P11,'14.05'!$AM$4:$AO$55,3,FALSE))</f>
        <v>0</v>
      </c>
      <c r="I11" s="4">
        <f>(VLOOKUP('14.05'!Q11,'14.05'!$AM$4:$AO$55,3,FALSE))</f>
        <v>0</v>
      </c>
      <c r="J11" s="4">
        <f>(VLOOKUP('14.05'!R11,'14.05'!$AM$4:$AO$55,3,FALSE))</f>
        <v>0</v>
      </c>
      <c r="K11" s="4">
        <f>(VLOOKUP('14.05'!S11,'14.05'!$AM$4:$AO$55,3,FALSE))</f>
        <v>0</v>
      </c>
      <c r="L11" s="4">
        <f>(VLOOKUP('14.05'!T11,'14.05'!$AM$4:$AO$55,3,FALSE))</f>
        <v>0</v>
      </c>
      <c r="M11" s="4">
        <f>(VLOOKUP('14.05'!U11,'14.05'!$AM$4:$AO$55,3,FALSE))</f>
        <v>0</v>
      </c>
      <c r="N11" s="4">
        <f>(VLOOKUP('14.05'!V11,'14.05'!$AM$4:$AO$55,3,FALSE))</f>
        <v>0</v>
      </c>
      <c r="O11" s="5">
        <f>(VLOOKUP('14.05'!W11,'14.05'!$AM$4:$AO$55,3,FALSE))</f>
        <v>0</v>
      </c>
      <c r="P11" s="5">
        <f>(VLOOKUP('14.05'!X11,'14.05'!$AM$4:$AO$55,3,FALSE))</f>
        <v>0</v>
      </c>
      <c r="Q11" s="4">
        <f>(VLOOKUP('14.05'!Y11,'14.05'!$AM$4:$AO$55,3,FALSE))</f>
        <v>45</v>
      </c>
      <c r="R11" s="4">
        <f>(VLOOKUP('14.05'!Z11,'14.05'!$AM$4:$AO$55,3,FALSE))</f>
        <v>45</v>
      </c>
      <c r="S11" s="4">
        <f>(VLOOKUP('14.05'!AA11,'14.05'!$AM$4:$AO$55,3,FALSE))</f>
        <v>30</v>
      </c>
      <c r="T11" s="4">
        <f>(VLOOKUP('14.05'!AB11,'14.05'!$AM$4:$AO$55,3,FALSE))</f>
        <v>45</v>
      </c>
      <c r="U11" s="4">
        <f>(VLOOKUP('14.05'!AC11,'14.05'!$AM$4:$AO$55,3,FALSE))</f>
        <v>45</v>
      </c>
      <c r="V11" s="4">
        <f>(VLOOKUP('14.05'!AD11,'14.05'!$AM$4:$AO$55,3,FALSE))</f>
        <v>45</v>
      </c>
      <c r="W11" s="5">
        <f>(VLOOKUP('14.05'!AE11,'14.05'!$AM$4:$AO$55,3,FALSE))</f>
        <v>0</v>
      </c>
      <c r="X11" s="5">
        <f>(VLOOKUP('14.05'!AF11,'14.05'!$AM$4:$AO$55,3,FALSE))</f>
        <v>0</v>
      </c>
    </row>
    <row r="12" spans="1:24">
      <c r="A12" s="4">
        <f>(VLOOKUP('14.05'!I12,'14.05'!$AM$4:$AO$55,3,FALSE))</f>
        <v>0</v>
      </c>
      <c r="B12" s="4">
        <f>(VLOOKUP('14.05'!J12,'14.05'!$AM$4:$AO$55,3,FALSE))</f>
        <v>0</v>
      </c>
      <c r="C12" s="4">
        <f>(VLOOKUP('14.05'!K12,'14.05'!$AM$4:$AO$55,3,FALSE))</f>
        <v>0</v>
      </c>
      <c r="D12" s="4">
        <f>(VLOOKUP('14.05'!L12,'14.05'!$AM$4:$AO$55,3,FALSE))</f>
        <v>0</v>
      </c>
      <c r="E12" s="4">
        <f>(VLOOKUP('14.05'!M12,'14.05'!$AM$4:$AO$55,3,FALSE))</f>
        <v>0</v>
      </c>
      <c r="F12" s="4">
        <f>(VLOOKUP('14.05'!N12,'14.05'!$AM$4:$AO$55,3,FALSE))</f>
        <v>0</v>
      </c>
      <c r="G12" s="5">
        <f>(VLOOKUP('14.05'!O12,'14.05'!$AM$4:$AO$55,3,FALSE))</f>
        <v>0</v>
      </c>
      <c r="H12" s="5">
        <f>(VLOOKUP('14.05'!P12,'14.05'!$AM$4:$AO$55,3,FALSE))</f>
        <v>0</v>
      </c>
      <c r="I12" s="4">
        <f>(VLOOKUP('14.05'!Q12,'14.05'!$AM$4:$AO$55,3,FALSE))</f>
        <v>0</v>
      </c>
      <c r="J12" s="4">
        <f>(VLOOKUP('14.05'!R12,'14.05'!$AM$4:$AO$55,3,FALSE))</f>
        <v>0</v>
      </c>
      <c r="K12" s="4">
        <f>(VLOOKUP('14.05'!S12,'14.05'!$AM$4:$AO$55,3,FALSE))</f>
        <v>0</v>
      </c>
      <c r="L12" s="4">
        <f>(VLOOKUP('14.05'!T12,'14.05'!$AM$4:$AO$55,3,FALSE))</f>
        <v>0</v>
      </c>
      <c r="M12" s="4">
        <f>(VLOOKUP('14.05'!U12,'14.05'!$AM$4:$AO$55,3,FALSE))</f>
        <v>0</v>
      </c>
      <c r="N12" s="4">
        <f>(VLOOKUP('14.05'!V12,'14.05'!$AM$4:$AO$55,3,FALSE))</f>
        <v>0</v>
      </c>
      <c r="O12" s="5">
        <f>(VLOOKUP('14.05'!W12,'14.05'!$AM$4:$AO$55,3,FALSE))</f>
        <v>0</v>
      </c>
      <c r="P12" s="5">
        <f>(VLOOKUP('14.05'!X12,'14.05'!$AM$4:$AO$55,3,FALSE))</f>
        <v>0</v>
      </c>
      <c r="Q12" s="4">
        <f>(VLOOKUP('14.05'!Y12,'14.05'!$AM$4:$AO$55,3,FALSE))</f>
        <v>45</v>
      </c>
      <c r="R12" s="4">
        <f>(VLOOKUP('14.05'!Z12,'14.05'!$AM$4:$AO$55,3,FALSE))</f>
        <v>0</v>
      </c>
      <c r="S12" s="4">
        <f>(VLOOKUP('14.05'!AA12,'14.05'!$AM$4:$AO$55,3,FALSE))</f>
        <v>0</v>
      </c>
      <c r="T12" s="4">
        <f>(VLOOKUP('14.05'!AB12,'14.05'!$AM$4:$AO$55,3,FALSE))</f>
        <v>0</v>
      </c>
      <c r="U12" s="4">
        <f>(VLOOKUP('14.05'!AC12,'14.05'!$AM$4:$AO$55,3,FALSE))</f>
        <v>0</v>
      </c>
      <c r="V12" s="4">
        <f>(VLOOKUP('14.05'!AD12,'14.05'!$AM$4:$AO$55,3,FALSE))</f>
        <v>0</v>
      </c>
      <c r="W12" s="5">
        <f>(VLOOKUP('14.05'!AE12,'14.05'!$AM$4:$AO$55,3,FALSE))</f>
        <v>0</v>
      </c>
      <c r="X12" s="5">
        <f>(VLOOKUP('14.05'!AF12,'14.05'!$AM$4:$AO$55,3,FALSE))</f>
        <v>0</v>
      </c>
    </row>
    <row r="13" spans="1:24">
      <c r="A13" s="4">
        <f>(VLOOKUP('14.05'!I13,'14.05'!$AM$4:$AO$55,3,FALSE))</f>
        <v>45</v>
      </c>
      <c r="B13" s="4">
        <f>(VLOOKUP('14.05'!J13,'14.05'!$AM$4:$AO$55,3,FALSE))</f>
        <v>45</v>
      </c>
      <c r="C13" s="4">
        <f>(VLOOKUP('14.05'!K13,'14.05'!$AM$4:$AO$55,3,FALSE))</f>
        <v>45</v>
      </c>
      <c r="D13" s="4">
        <f>(VLOOKUP('14.05'!L13,'14.05'!$AM$4:$AO$55,3,FALSE))</f>
        <v>45</v>
      </c>
      <c r="E13" s="4">
        <f>(VLOOKUP('14.05'!M13,'14.05'!$AM$4:$AO$55,3,FALSE))</f>
        <v>30</v>
      </c>
      <c r="F13" s="4">
        <f>(VLOOKUP('14.05'!N13,'14.05'!$AM$4:$AO$55,3,FALSE))</f>
        <v>45</v>
      </c>
      <c r="G13" s="5">
        <f>(VLOOKUP('14.05'!O13,'14.05'!$AM$4:$AO$55,3,FALSE))</f>
        <v>0</v>
      </c>
      <c r="H13" s="5">
        <f>(VLOOKUP('14.05'!P13,'14.05'!$AM$4:$AO$55,3,FALSE))</f>
        <v>0</v>
      </c>
      <c r="I13" s="4">
        <f>(VLOOKUP('14.05'!Q13,'14.05'!$AM$4:$AO$55,3,FALSE))</f>
        <v>30</v>
      </c>
      <c r="J13" s="4">
        <f>(VLOOKUP('14.05'!R13,'14.05'!$AM$4:$AO$55,3,FALSE))</f>
        <v>45</v>
      </c>
      <c r="K13" s="4">
        <f>(VLOOKUP('14.05'!S13,'14.05'!$AM$4:$AO$55,3,FALSE))</f>
        <v>45</v>
      </c>
      <c r="L13" s="4">
        <f>(VLOOKUP('14.05'!T13,'14.05'!$AM$4:$AO$55,3,FALSE))</f>
        <v>45</v>
      </c>
      <c r="M13" s="4">
        <f>(VLOOKUP('14.05'!U13,'14.05'!$AM$4:$AO$55,3,FALSE))</f>
        <v>45</v>
      </c>
      <c r="N13" s="4">
        <f>(VLOOKUP('14.05'!V13,'14.05'!$AM$4:$AO$55,3,FALSE))</f>
        <v>45</v>
      </c>
      <c r="O13" s="5">
        <f>(VLOOKUP('14.05'!W13,'14.05'!$AM$4:$AO$55,3,FALSE))</f>
        <v>0</v>
      </c>
      <c r="P13" s="5">
        <f>(VLOOKUP('14.05'!X13,'14.05'!$AM$4:$AO$55,3,FALSE))</f>
        <v>0</v>
      </c>
      <c r="Q13" s="4">
        <f>(VLOOKUP('14.05'!Y13,'14.05'!$AM$4:$AO$55,3,FALSE))</f>
        <v>45</v>
      </c>
      <c r="R13" s="4">
        <f>(VLOOKUP('14.05'!Z13,'14.05'!$AM$4:$AO$55,3,FALSE))</f>
        <v>45</v>
      </c>
      <c r="S13" s="4">
        <f>(VLOOKUP('14.05'!AA13,'14.05'!$AM$4:$AO$55,3,FALSE))</f>
        <v>45</v>
      </c>
      <c r="T13" s="4">
        <f>(VLOOKUP('14.05'!AB13,'14.05'!$AM$4:$AO$55,3,FALSE))</f>
        <v>0</v>
      </c>
      <c r="U13" s="4">
        <f>(VLOOKUP('14.05'!AC13,'14.05'!$AM$4:$AO$55,3,FALSE))</f>
        <v>0</v>
      </c>
      <c r="V13" s="4">
        <f>(VLOOKUP('14.05'!AD13,'14.05'!$AM$4:$AO$55,3,FALSE))</f>
        <v>0</v>
      </c>
      <c r="W13" s="5">
        <f>(VLOOKUP('14.05'!AE13,'14.05'!$AM$4:$AO$55,3,FALSE))</f>
        <v>0</v>
      </c>
      <c r="X13" s="5">
        <f>(VLOOKUP('14.05'!AF13,'14.05'!$AM$4:$AO$55,3,FALSE))</f>
        <v>0</v>
      </c>
    </row>
    <row r="14" spans="1:24">
      <c r="A14" s="4">
        <f>(VLOOKUP('14.05'!I14,'14.05'!$AM$4:$AO$55,3,FALSE))</f>
        <v>50</v>
      </c>
      <c r="B14" s="4">
        <f>(VLOOKUP('14.05'!J14,'14.05'!$AM$4:$AO$55,3,FALSE))</f>
        <v>50</v>
      </c>
      <c r="C14" s="4">
        <f>(VLOOKUP('14.05'!K14,'14.05'!$AM$4:$AO$55,3,FALSE))</f>
        <v>50</v>
      </c>
      <c r="D14" s="4">
        <f>(VLOOKUP('14.05'!L14,'14.05'!$AM$4:$AO$55,3,FALSE))</f>
        <v>50</v>
      </c>
      <c r="E14" s="4">
        <f>(VLOOKUP('14.05'!M14,'14.05'!$AM$4:$AO$55,3,FALSE))</f>
        <v>50</v>
      </c>
      <c r="F14" s="4">
        <f>(VLOOKUP('14.05'!N14,'14.05'!$AM$4:$AO$55,3,FALSE))</f>
        <v>50</v>
      </c>
      <c r="G14" s="5">
        <f>(VLOOKUP('14.05'!O14,'14.05'!$AM$4:$AO$55,3,FALSE))</f>
        <v>0</v>
      </c>
      <c r="H14" s="5">
        <f>(VLOOKUP('14.05'!P14,'14.05'!$AM$4:$AO$55,3,FALSE))</f>
        <v>0</v>
      </c>
      <c r="I14" s="4">
        <f>(VLOOKUP('14.05'!Q14,'14.05'!$AM$4:$AO$55,3,FALSE))</f>
        <v>30</v>
      </c>
      <c r="J14" s="4">
        <f>(VLOOKUP('14.05'!R14,'14.05'!$AM$4:$AO$55,3,FALSE))</f>
        <v>45</v>
      </c>
      <c r="K14" s="4">
        <f>(VLOOKUP('14.05'!S14,'14.05'!$AM$4:$AO$55,3,FALSE))</f>
        <v>45</v>
      </c>
      <c r="L14" s="4">
        <f>(VLOOKUP('14.05'!T14,'14.05'!$AM$4:$AO$55,3,FALSE))</f>
        <v>45</v>
      </c>
      <c r="M14" s="4">
        <f>(VLOOKUP('14.05'!U14,'14.05'!$AM$4:$AO$55,3,FALSE))</f>
        <v>30</v>
      </c>
      <c r="N14" s="4">
        <f>(VLOOKUP('14.05'!V14,'14.05'!$AM$4:$AO$55,3,FALSE))</f>
        <v>45</v>
      </c>
      <c r="O14" s="5">
        <f>(VLOOKUP('14.05'!W14,'14.05'!$AM$4:$AO$55,3,FALSE))</f>
        <v>0</v>
      </c>
      <c r="P14" s="5">
        <f>(VLOOKUP('14.05'!X14,'14.05'!$AM$4:$AO$55,3,FALSE))</f>
        <v>0</v>
      </c>
      <c r="Q14" s="4">
        <f>(VLOOKUP('14.05'!Y14,'14.05'!$AM$4:$AO$55,3,FALSE))</f>
        <v>50</v>
      </c>
      <c r="R14" s="4">
        <f>(VLOOKUP('14.05'!Z14,'14.05'!$AM$4:$AO$55,3,FALSE))</f>
        <v>50</v>
      </c>
      <c r="S14" s="4">
        <f>(VLOOKUP('14.05'!AA14,'14.05'!$AM$4:$AO$55,3,FALSE))</f>
        <v>50</v>
      </c>
      <c r="T14" s="4">
        <f>(VLOOKUP('14.05'!AB14,'14.05'!$AM$4:$AO$55,3,FALSE))</f>
        <v>50</v>
      </c>
      <c r="U14" s="4">
        <f>(VLOOKUP('14.05'!AC14,'14.05'!$AM$4:$AO$55,3,FALSE))</f>
        <v>50</v>
      </c>
      <c r="V14" s="4">
        <f>(VLOOKUP('14.05'!AD14,'14.05'!$AM$4:$AO$55,3,FALSE))</f>
        <v>50</v>
      </c>
      <c r="W14" s="5">
        <f>(VLOOKUP('14.05'!AE14,'14.05'!$AM$4:$AO$55,3,FALSE))</f>
        <v>0</v>
      </c>
      <c r="X14" s="5">
        <f>(VLOOKUP('14.05'!AF14,'14.05'!$AM$4:$AO$55,3,FALSE))</f>
        <v>0</v>
      </c>
    </row>
    <row r="15" spans="1:24">
      <c r="A15" s="4">
        <f>(VLOOKUP('14.05'!I15,'14.05'!$AM$4:$AO$55,3,FALSE))</f>
        <v>50</v>
      </c>
      <c r="B15" s="4">
        <f>(VLOOKUP('14.05'!J15,'14.05'!$AM$4:$AO$55,3,FALSE))</f>
        <v>50</v>
      </c>
      <c r="C15" s="4">
        <f>(VLOOKUP('14.05'!K15,'14.05'!$AM$4:$AO$55,3,FALSE))</f>
        <v>50</v>
      </c>
      <c r="D15" s="4">
        <f>(VLOOKUP('14.05'!L15,'14.05'!$AM$4:$AO$55,3,FALSE))</f>
        <v>50</v>
      </c>
      <c r="E15" s="4">
        <f>(VLOOKUP('14.05'!M15,'14.05'!$AM$4:$AO$55,3,FALSE))</f>
        <v>50</v>
      </c>
      <c r="F15" s="4">
        <f>(VLOOKUP('14.05'!N15,'14.05'!$AM$4:$AO$55,3,FALSE))</f>
        <v>50</v>
      </c>
      <c r="G15" s="5">
        <f>(VLOOKUP('14.05'!O15,'14.05'!$AM$4:$AO$55,3,FALSE))</f>
        <v>0</v>
      </c>
      <c r="H15" s="5">
        <f>(VLOOKUP('14.05'!P15,'14.05'!$AM$4:$AO$55,3,FALSE))</f>
        <v>0</v>
      </c>
      <c r="I15" s="4">
        <f>(VLOOKUP('14.05'!Q15,'14.05'!$AM$4:$AO$55,3,FALSE))</f>
        <v>45</v>
      </c>
      <c r="J15" s="4">
        <f>(VLOOKUP('14.05'!R15,'14.05'!$AM$4:$AO$55,3,FALSE))</f>
        <v>45</v>
      </c>
      <c r="K15" s="4">
        <f>(VLOOKUP('14.05'!S15,'14.05'!$AM$4:$AO$55,3,FALSE))</f>
        <v>45</v>
      </c>
      <c r="L15" s="4">
        <f>(VLOOKUP('14.05'!T15,'14.05'!$AM$4:$AO$55,3,FALSE))</f>
        <v>45</v>
      </c>
      <c r="M15" s="4">
        <f>(VLOOKUP('14.05'!U15,'14.05'!$AM$4:$AO$55,3,FALSE))</f>
        <v>45</v>
      </c>
      <c r="N15" s="4">
        <f>(VLOOKUP('14.05'!V15,'14.05'!$AM$4:$AO$55,3,FALSE))</f>
        <v>45</v>
      </c>
      <c r="O15" s="5">
        <f>(VLOOKUP('14.05'!W15,'14.05'!$AM$4:$AO$55,3,FALSE))</f>
        <v>0</v>
      </c>
      <c r="P15" s="5">
        <f>(VLOOKUP('14.05'!X15,'14.05'!$AM$4:$AO$55,3,FALSE))</f>
        <v>0</v>
      </c>
      <c r="Q15" s="4">
        <f>(VLOOKUP('14.05'!Y15,'14.05'!$AM$4:$AO$55,3,FALSE))</f>
        <v>50</v>
      </c>
      <c r="R15" s="4">
        <f>(VLOOKUP('14.05'!Z15,'14.05'!$AM$4:$AO$55,3,FALSE))</f>
        <v>50</v>
      </c>
      <c r="S15" s="4">
        <f>(VLOOKUP('14.05'!AA15,'14.05'!$AM$4:$AO$55,3,FALSE))</f>
        <v>50</v>
      </c>
      <c r="T15" s="4">
        <f>(VLOOKUP('14.05'!AB15,'14.05'!$AM$4:$AO$55,3,FALSE))</f>
        <v>50</v>
      </c>
      <c r="U15" s="4">
        <f>(VLOOKUP('14.05'!AC15,'14.05'!$AM$4:$AO$55,3,FALSE))</f>
        <v>50</v>
      </c>
      <c r="V15" s="4">
        <f>(VLOOKUP('14.05'!AD15,'14.05'!$AM$4:$AO$55,3,FALSE))</f>
        <v>50</v>
      </c>
      <c r="W15" s="5">
        <f>(VLOOKUP('14.05'!AE15,'14.05'!$AM$4:$AO$55,3,FALSE))</f>
        <v>0</v>
      </c>
      <c r="X15" s="5">
        <f>(VLOOKUP('14.05'!AF15,'14.05'!$AM$4:$AO$55,3,FALSE))</f>
        <v>0</v>
      </c>
    </row>
    <row r="16" spans="1:24">
      <c r="A16" s="4">
        <f>(VLOOKUP('14.05'!I16,'14.05'!$AM$4:$AO$55,3,FALSE))</f>
        <v>50</v>
      </c>
      <c r="B16" s="4">
        <f>(VLOOKUP('14.05'!J16,'14.05'!$AM$4:$AO$55,3,FALSE))</f>
        <v>50</v>
      </c>
      <c r="C16" s="4">
        <f>(VLOOKUP('14.05'!K16,'14.05'!$AM$4:$AO$55,3,FALSE))</f>
        <v>50</v>
      </c>
      <c r="D16" s="4">
        <f>(VLOOKUP('14.05'!L16,'14.05'!$AM$4:$AO$55,3,FALSE))</f>
        <v>50</v>
      </c>
      <c r="E16" s="4">
        <f>(VLOOKUP('14.05'!M16,'14.05'!$AM$4:$AO$55,3,FALSE))</f>
        <v>50</v>
      </c>
      <c r="F16" s="4">
        <f>(VLOOKUP('14.05'!N16,'14.05'!$AM$4:$AO$55,3,FALSE))</f>
        <v>50</v>
      </c>
      <c r="G16" s="5">
        <f>(VLOOKUP('14.05'!O16,'14.05'!$AM$4:$AO$55,3,FALSE))</f>
        <v>0</v>
      </c>
      <c r="H16" s="5">
        <f>(VLOOKUP('14.05'!P16,'14.05'!$AM$4:$AO$55,3,FALSE))</f>
        <v>0</v>
      </c>
      <c r="I16" s="4">
        <f>(VLOOKUP('14.05'!Q16,'14.05'!$AM$4:$AO$55,3,FALSE))</f>
        <v>45</v>
      </c>
      <c r="J16" s="4">
        <f>(VLOOKUP('14.05'!R16,'14.05'!$AM$4:$AO$55,3,FALSE))</f>
        <v>45</v>
      </c>
      <c r="K16" s="4">
        <f>(VLOOKUP('14.05'!S16,'14.05'!$AM$4:$AO$55,3,FALSE))</f>
        <v>45</v>
      </c>
      <c r="L16" s="4">
        <f>(VLOOKUP('14.05'!T16,'14.05'!$AM$4:$AO$55,3,FALSE))</f>
        <v>45</v>
      </c>
      <c r="M16" s="4">
        <f>(VLOOKUP('14.05'!U16,'14.05'!$AM$4:$AO$55,3,FALSE))</f>
        <v>45</v>
      </c>
      <c r="N16" s="4">
        <f>(VLOOKUP('14.05'!V16,'14.05'!$AM$4:$AO$55,3,FALSE))</f>
        <v>45</v>
      </c>
      <c r="O16" s="5">
        <f>(VLOOKUP('14.05'!W16,'14.05'!$AM$4:$AO$55,3,FALSE))</f>
        <v>0</v>
      </c>
      <c r="P16" s="5">
        <f>(VLOOKUP('14.05'!X16,'14.05'!$AM$4:$AO$55,3,FALSE))</f>
        <v>0</v>
      </c>
      <c r="Q16" s="4">
        <f>(VLOOKUP('14.05'!Y16,'14.05'!$AM$4:$AO$55,3,FALSE))</f>
        <v>50</v>
      </c>
      <c r="R16" s="4">
        <f>(VLOOKUP('14.05'!Z16,'14.05'!$AM$4:$AO$55,3,FALSE))</f>
        <v>50</v>
      </c>
      <c r="S16" s="4">
        <f>(VLOOKUP('14.05'!AA16,'14.05'!$AM$4:$AO$55,3,FALSE))</f>
        <v>50</v>
      </c>
      <c r="T16" s="4">
        <f>(VLOOKUP('14.05'!AB16,'14.05'!$AM$4:$AO$55,3,FALSE))</f>
        <v>50</v>
      </c>
      <c r="U16" s="4">
        <f>(VLOOKUP('14.05'!AC16,'14.05'!$AM$4:$AO$55,3,FALSE))</f>
        <v>50</v>
      </c>
      <c r="V16" s="4">
        <f>(VLOOKUP('14.05'!AD16,'14.05'!$AM$4:$AO$55,3,FALSE))</f>
        <v>50</v>
      </c>
      <c r="W16" s="5">
        <f>(VLOOKUP('14.05'!AE16,'14.05'!$AM$4:$AO$55,3,FALSE))</f>
        <v>0</v>
      </c>
      <c r="X16" s="5">
        <f>(VLOOKUP('14.05'!AF16,'14.05'!$AM$4:$AO$55,3,FALSE))</f>
        <v>0</v>
      </c>
    </row>
    <row r="17" spans="1:24">
      <c r="A17" s="4">
        <f>(VLOOKUP('14.05'!I17,'14.05'!$AM$4:$AO$55,3,FALSE))</f>
        <v>50</v>
      </c>
      <c r="B17" s="4">
        <f>(VLOOKUP('14.05'!J17,'14.05'!$AM$4:$AO$55,3,FALSE))</f>
        <v>50</v>
      </c>
      <c r="C17" s="4">
        <f>(VLOOKUP('14.05'!K17,'14.05'!$AM$4:$AO$55,3,FALSE))</f>
        <v>50</v>
      </c>
      <c r="D17" s="4">
        <f>(VLOOKUP('14.05'!L17,'14.05'!$AM$4:$AO$55,3,FALSE))</f>
        <v>50</v>
      </c>
      <c r="E17" s="4">
        <f>(VLOOKUP('14.05'!M17,'14.05'!$AM$4:$AO$55,3,FALSE))</f>
        <v>50</v>
      </c>
      <c r="F17" s="4">
        <f>(VLOOKUP('14.05'!N17,'14.05'!$AM$4:$AO$55,3,FALSE))</f>
        <v>50</v>
      </c>
      <c r="G17" s="5">
        <f>(VLOOKUP('14.05'!O17,'14.05'!$AM$4:$AO$55,3,FALSE))</f>
        <v>0</v>
      </c>
      <c r="H17" s="5">
        <f>(VLOOKUP('14.05'!P17,'14.05'!$AM$4:$AO$55,3,FALSE))</f>
        <v>0</v>
      </c>
      <c r="I17" s="4">
        <f>(VLOOKUP('14.05'!Q17,'14.05'!$AM$4:$AO$55,3,FALSE))</f>
        <v>45</v>
      </c>
      <c r="J17" s="4">
        <f>(VLOOKUP('14.05'!R17,'14.05'!$AM$4:$AO$55,3,FALSE))</f>
        <v>45</v>
      </c>
      <c r="K17" s="4">
        <f>(VLOOKUP('14.05'!S17,'14.05'!$AM$4:$AO$55,3,FALSE))</f>
        <v>45</v>
      </c>
      <c r="L17" s="4">
        <f>(VLOOKUP('14.05'!T17,'14.05'!$AM$4:$AO$55,3,FALSE))</f>
        <v>0</v>
      </c>
      <c r="M17" s="4">
        <f>(VLOOKUP('14.05'!U17,'14.05'!$AM$4:$AO$55,3,FALSE))</f>
        <v>0</v>
      </c>
      <c r="N17" s="4">
        <f>(VLOOKUP('14.05'!V17,'14.05'!$AM$4:$AO$55,3,FALSE))</f>
        <v>0</v>
      </c>
      <c r="O17" s="5">
        <f>(VLOOKUP('14.05'!W17,'14.05'!$AM$4:$AO$55,3,FALSE))</f>
        <v>0</v>
      </c>
      <c r="P17" s="5">
        <f>(VLOOKUP('14.05'!X17,'14.05'!$AM$4:$AO$55,3,FALSE))</f>
        <v>0</v>
      </c>
      <c r="Q17" s="4">
        <f>(VLOOKUP('14.05'!Y17,'14.05'!$AM$4:$AO$55,3,FALSE))</f>
        <v>50</v>
      </c>
      <c r="R17" s="4">
        <f>(VLOOKUP('14.05'!Z17,'14.05'!$AM$4:$AO$55,3,FALSE))</f>
        <v>50</v>
      </c>
      <c r="S17" s="4">
        <f>(VLOOKUP('14.05'!AA17,'14.05'!$AM$4:$AO$55,3,FALSE))</f>
        <v>50</v>
      </c>
      <c r="T17" s="4">
        <f>(VLOOKUP('14.05'!AB17,'14.05'!$AM$4:$AO$55,3,FALSE))</f>
        <v>50</v>
      </c>
      <c r="U17" s="4">
        <f>(VLOOKUP('14.05'!AC17,'14.05'!$AM$4:$AO$55,3,FALSE))</f>
        <v>50</v>
      </c>
      <c r="V17" s="4">
        <f>(VLOOKUP('14.05'!AD17,'14.05'!$AM$4:$AO$55,3,FALSE))</f>
        <v>50</v>
      </c>
      <c r="W17" s="5">
        <f>(VLOOKUP('14.05'!AE17,'14.05'!$AM$4:$AO$55,3,FALSE))</f>
        <v>0</v>
      </c>
      <c r="X17" s="5">
        <f>(VLOOKUP('14.05'!AF17,'14.05'!$AM$4:$AO$55,3,FALSE))</f>
        <v>0</v>
      </c>
    </row>
    <row r="18" spans="1:24">
      <c r="A18" s="4">
        <f>(VLOOKUP('14.05'!I18,'14.05'!$AM$4:$AO$55,3,FALSE))</f>
        <v>50</v>
      </c>
      <c r="B18" s="4">
        <f>(VLOOKUP('14.05'!J18,'14.05'!$AM$4:$AO$55,3,FALSE))</f>
        <v>50</v>
      </c>
      <c r="C18" s="4">
        <f>(VLOOKUP('14.05'!K18,'14.05'!$AM$4:$AO$55,3,FALSE))</f>
        <v>50</v>
      </c>
      <c r="D18" s="4">
        <f>(VLOOKUP('14.05'!L18,'14.05'!$AM$4:$AO$55,3,FALSE))</f>
        <v>50</v>
      </c>
      <c r="E18" s="4">
        <f>(VLOOKUP('14.05'!M18,'14.05'!$AM$4:$AO$55,3,FALSE))</f>
        <v>50</v>
      </c>
      <c r="F18" s="4">
        <f>(VLOOKUP('14.05'!N18,'14.05'!$AM$4:$AO$55,3,FALSE))</f>
        <v>55</v>
      </c>
      <c r="G18" s="5">
        <f>(VLOOKUP('14.05'!O18,'14.05'!$AM$4:$AO$55,3,FALSE))</f>
        <v>0</v>
      </c>
      <c r="H18" s="5">
        <f>(VLOOKUP('14.05'!P18,'14.05'!$AM$4:$AO$55,3,FALSE))</f>
        <v>0</v>
      </c>
      <c r="I18" s="4">
        <f>(VLOOKUP('14.05'!Q18,'14.05'!$AM$4:$AO$55,3,FALSE))</f>
        <v>0</v>
      </c>
      <c r="J18" s="4">
        <f>(VLOOKUP('14.05'!R18,'14.05'!$AM$4:$AO$55,3,FALSE))</f>
        <v>0</v>
      </c>
      <c r="K18" s="4">
        <f>(VLOOKUP('14.05'!S18,'14.05'!$AM$4:$AO$55,3,FALSE))</f>
        <v>0</v>
      </c>
      <c r="L18" s="4">
        <f>(VLOOKUP('14.05'!T18,'14.05'!$AM$4:$AO$55,3,FALSE))</f>
        <v>0</v>
      </c>
      <c r="M18" s="4">
        <f>(VLOOKUP('14.05'!U18,'14.05'!$AM$4:$AO$55,3,FALSE))</f>
        <v>0</v>
      </c>
      <c r="N18" s="4">
        <f>(VLOOKUP('14.05'!V18,'14.05'!$AM$4:$AO$55,3,FALSE))</f>
        <v>0</v>
      </c>
      <c r="O18" s="5">
        <f>(VLOOKUP('14.05'!W18,'14.05'!$AM$4:$AO$55,3,FALSE))</f>
        <v>0</v>
      </c>
      <c r="P18" s="5">
        <f>(VLOOKUP('14.05'!X18,'14.05'!$AM$4:$AO$55,3,FALSE))</f>
        <v>0</v>
      </c>
      <c r="Q18" s="4">
        <f>(VLOOKUP('14.05'!Y18,'14.05'!$AM$4:$AO$55,3,FALSE))</f>
        <v>50</v>
      </c>
      <c r="R18" s="4">
        <f>(VLOOKUP('14.05'!Z18,'14.05'!$AM$4:$AO$55,3,FALSE))</f>
        <v>50</v>
      </c>
      <c r="S18" s="4">
        <f>(VLOOKUP('14.05'!AA18,'14.05'!$AM$4:$AO$55,3,FALSE))</f>
        <v>50</v>
      </c>
      <c r="T18" s="4">
        <f>(VLOOKUP('14.05'!AB18,'14.05'!$AM$4:$AO$55,3,FALSE))</f>
        <v>55</v>
      </c>
      <c r="U18" s="4">
        <f>(VLOOKUP('14.05'!AC18,'14.05'!$AM$4:$AO$55,3,FALSE))</f>
        <v>55</v>
      </c>
      <c r="V18" s="4">
        <f>(VLOOKUP('14.05'!AD18,'14.05'!$AM$4:$AO$55,3,FALSE))</f>
        <v>55</v>
      </c>
      <c r="W18" s="5">
        <f>(VLOOKUP('14.05'!AE18,'14.05'!$AM$4:$AO$55,3,FALSE))</f>
        <v>0</v>
      </c>
      <c r="X18" s="5">
        <f>(VLOOKUP('14.05'!AF18,'14.05'!$AM$4:$AO$55,3,FALSE))</f>
        <v>0</v>
      </c>
    </row>
    <row r="19" spans="1:24">
      <c r="A19" s="4">
        <f>(VLOOKUP('14.05'!I19,'14.05'!$AM$4:$AO$55,3,FALSE))</f>
        <v>55</v>
      </c>
      <c r="B19" s="4">
        <f>(VLOOKUP('14.05'!J19,'14.05'!$AM$4:$AO$55,3,FALSE))</f>
        <v>55</v>
      </c>
      <c r="C19" s="4">
        <f>(VLOOKUP('14.05'!K19,'14.05'!$AM$4:$AO$55,3,FALSE))</f>
        <v>55</v>
      </c>
      <c r="D19" s="4">
        <f>(VLOOKUP('14.05'!L19,'14.05'!$AM$4:$AO$55,3,FALSE))</f>
        <v>55</v>
      </c>
      <c r="E19" s="4">
        <f>(VLOOKUP('14.05'!M19,'14.05'!$AM$4:$AO$55,3,FALSE))</f>
        <v>55</v>
      </c>
      <c r="F19" s="4">
        <f>(VLOOKUP('14.05'!N19,'14.05'!$AM$4:$AO$55,3,FALSE))</f>
        <v>55</v>
      </c>
      <c r="G19" s="5">
        <f>(VLOOKUP('14.05'!O19,'14.05'!$AM$4:$AO$55,3,FALSE))</f>
        <v>0</v>
      </c>
      <c r="H19" s="5">
        <f>(VLOOKUP('14.05'!P19,'14.05'!$AM$4:$AO$55,3,FALSE))</f>
        <v>0</v>
      </c>
      <c r="I19" s="4">
        <f>(VLOOKUP('14.05'!Q19,'14.05'!$AM$4:$AO$55,3,FALSE))</f>
        <v>0</v>
      </c>
      <c r="J19" s="4">
        <f>(VLOOKUP('14.05'!R19,'14.05'!$AM$4:$AO$55,3,FALSE))</f>
        <v>0</v>
      </c>
      <c r="K19" s="4">
        <f>(VLOOKUP('14.05'!S19,'14.05'!$AM$4:$AO$55,3,FALSE))</f>
        <v>0</v>
      </c>
      <c r="L19" s="4">
        <f>(VLOOKUP('14.05'!T19,'14.05'!$AM$4:$AO$55,3,FALSE))</f>
        <v>0</v>
      </c>
      <c r="M19" s="4">
        <f>(VLOOKUP('14.05'!U19,'14.05'!$AM$4:$AO$55,3,FALSE))</f>
        <v>0</v>
      </c>
      <c r="N19" s="4">
        <f>(VLOOKUP('14.05'!V19,'14.05'!$AM$4:$AO$55,3,FALSE))</f>
        <v>0</v>
      </c>
      <c r="O19" s="5">
        <f>(VLOOKUP('14.05'!W19,'14.05'!$AM$4:$AO$55,3,FALSE))</f>
        <v>0</v>
      </c>
      <c r="P19" s="5">
        <f>(VLOOKUP('14.05'!X19,'14.05'!$AM$4:$AO$55,3,FALSE))</f>
        <v>0</v>
      </c>
      <c r="Q19" s="4">
        <f>(VLOOKUP('14.05'!Y19,'14.05'!$AM$4:$AO$55,3,FALSE))</f>
        <v>55</v>
      </c>
      <c r="R19" s="4">
        <f>(VLOOKUP('14.05'!Z19,'14.05'!$AM$4:$AO$55,3,FALSE))</f>
        <v>55</v>
      </c>
      <c r="S19" s="4">
        <f>(VLOOKUP('14.05'!AA19,'14.05'!$AM$4:$AO$55,3,FALSE))</f>
        <v>55</v>
      </c>
      <c r="T19" s="4">
        <f>(VLOOKUP('14.05'!AB19,'14.05'!$AM$4:$AO$55,3,FALSE))</f>
        <v>55</v>
      </c>
      <c r="U19" s="4">
        <f>(VLOOKUP('14.05'!AC19,'14.05'!$AM$4:$AO$55,3,FALSE))</f>
        <v>55</v>
      </c>
      <c r="V19" s="4">
        <f>(VLOOKUP('14.05'!AD19,'14.05'!$AM$4:$AO$55,3,FALSE))</f>
        <v>55</v>
      </c>
      <c r="W19" s="5">
        <f>(VLOOKUP('14.05'!AE19,'14.05'!$AM$4:$AO$55,3,FALSE))</f>
        <v>0</v>
      </c>
      <c r="X19" s="5">
        <f>(VLOOKUP('14.05'!AF19,'14.05'!$AM$4:$AO$55,3,FALSE))</f>
        <v>0</v>
      </c>
    </row>
    <row r="20" spans="1:24">
      <c r="A20" s="4">
        <f>(VLOOKUP('14.05'!I20,'14.05'!$AM$4:$AO$55,3,FALSE))</f>
        <v>30</v>
      </c>
      <c r="B20" s="4">
        <f>(VLOOKUP('14.05'!J20,'14.05'!$AM$4:$AO$55,3,FALSE))</f>
        <v>55</v>
      </c>
      <c r="C20" s="4">
        <f>(VLOOKUP('14.05'!K20,'14.05'!$AM$4:$AO$55,3,FALSE))</f>
        <v>55</v>
      </c>
      <c r="D20" s="4">
        <f>(VLOOKUP('14.05'!L20,'14.05'!$AM$4:$AO$55,3,FALSE))</f>
        <v>55</v>
      </c>
      <c r="E20" s="4">
        <f>(VLOOKUP('14.05'!M20,'14.05'!$AM$4:$AO$55,3,FALSE))</f>
        <v>55</v>
      </c>
      <c r="F20" s="4">
        <f>(VLOOKUP('14.05'!N20,'14.05'!$AM$4:$AO$55,3,FALSE))</f>
        <v>55</v>
      </c>
      <c r="G20" s="5">
        <f>(VLOOKUP('14.05'!O20,'14.05'!$AM$4:$AO$55,3,FALSE))</f>
        <v>0</v>
      </c>
      <c r="H20" s="5">
        <f>(VLOOKUP('14.05'!P20,'14.05'!$AM$4:$AO$55,3,FALSE))</f>
        <v>0</v>
      </c>
      <c r="I20" s="4">
        <f>(VLOOKUP('14.05'!Q20,'14.05'!$AM$4:$AO$55,3,FALSE))</f>
        <v>0</v>
      </c>
      <c r="J20" s="4">
        <f>(VLOOKUP('14.05'!R20,'14.05'!$AM$4:$AO$55,3,FALSE))</f>
        <v>0</v>
      </c>
      <c r="K20" s="4">
        <f>(VLOOKUP('14.05'!S20,'14.05'!$AM$4:$AO$55,3,FALSE))</f>
        <v>0</v>
      </c>
      <c r="L20" s="4">
        <f>(VLOOKUP('14.05'!T20,'14.05'!$AM$4:$AO$55,3,FALSE))</f>
        <v>0</v>
      </c>
      <c r="M20" s="4">
        <f>(VLOOKUP('14.05'!U20,'14.05'!$AM$4:$AO$55,3,FALSE))</f>
        <v>0</v>
      </c>
      <c r="N20" s="4">
        <f>(VLOOKUP('14.05'!V20,'14.05'!$AM$4:$AO$55,3,FALSE))</f>
        <v>0</v>
      </c>
      <c r="O20" s="5">
        <f>(VLOOKUP('14.05'!W20,'14.05'!$AM$4:$AO$55,3,FALSE))</f>
        <v>0</v>
      </c>
      <c r="P20" s="5">
        <f>(VLOOKUP('14.05'!X20,'14.05'!$AM$4:$AO$55,3,FALSE))</f>
        <v>0</v>
      </c>
      <c r="Q20" s="4">
        <f>(VLOOKUP('14.05'!Y20,'14.05'!$AM$4:$AO$55,3,FALSE))</f>
        <v>55</v>
      </c>
      <c r="R20" s="4">
        <f>(VLOOKUP('14.05'!Z20,'14.05'!$AM$4:$AO$55,3,FALSE))</f>
        <v>55</v>
      </c>
      <c r="S20" s="4">
        <f>(VLOOKUP('14.05'!AA20,'14.05'!$AM$4:$AO$55,3,FALSE))</f>
        <v>30</v>
      </c>
      <c r="T20" s="4">
        <f>(VLOOKUP('14.05'!AB20,'14.05'!$AM$4:$AO$55,3,FALSE))</f>
        <v>55</v>
      </c>
      <c r="U20" s="4">
        <f>(VLOOKUP('14.05'!AC20,'14.05'!$AM$4:$AO$55,3,FALSE))</f>
        <v>60</v>
      </c>
      <c r="V20" s="4">
        <f>(VLOOKUP('14.05'!AD20,'14.05'!$AM$4:$AO$55,3,FALSE))</f>
        <v>60</v>
      </c>
      <c r="W20" s="5">
        <f>(VLOOKUP('14.05'!AE20,'14.05'!$AM$4:$AO$55,3,FALSE))</f>
        <v>0</v>
      </c>
      <c r="X20" s="5">
        <f>(VLOOKUP('14.05'!AF20,'14.05'!$AM$4:$AO$55,3,FALSE))</f>
        <v>0</v>
      </c>
    </row>
    <row r="21" spans="1:24">
      <c r="A21" s="4">
        <f>(VLOOKUP('14.05'!I21,'14.05'!$AM$4:$AO$55,3,FALSE))</f>
        <v>55</v>
      </c>
      <c r="B21" s="4">
        <f>(VLOOKUP('14.05'!J21,'14.05'!$AM$4:$AO$55,3,FALSE))</f>
        <v>55</v>
      </c>
      <c r="C21" s="4">
        <f>(VLOOKUP('14.05'!K21,'14.05'!$AM$4:$AO$55,3,FALSE))</f>
        <v>60</v>
      </c>
      <c r="D21" s="4">
        <f>(VLOOKUP('14.05'!L21,'14.05'!$AM$4:$AO$55,3,FALSE))</f>
        <v>60</v>
      </c>
      <c r="E21" s="4">
        <f>(VLOOKUP('14.05'!M21,'14.05'!$AM$4:$AO$55,3,FALSE))</f>
        <v>60</v>
      </c>
      <c r="F21" s="4">
        <f>(VLOOKUP('14.05'!N21,'14.05'!$AM$4:$AO$55,3,FALSE))</f>
        <v>60</v>
      </c>
      <c r="G21" s="5">
        <f>(VLOOKUP('14.05'!O21,'14.05'!$AM$4:$AO$55,3,FALSE))</f>
        <v>0</v>
      </c>
      <c r="H21" s="5">
        <f>(VLOOKUP('14.05'!P21,'14.05'!$AM$4:$AO$55,3,FALSE))</f>
        <v>0</v>
      </c>
      <c r="I21" s="4">
        <f>(VLOOKUP('14.05'!Q21,'14.05'!$AM$4:$AO$55,3,FALSE))</f>
        <v>50</v>
      </c>
      <c r="J21" s="4">
        <f>(VLOOKUP('14.05'!R21,'14.05'!$AM$4:$AO$55,3,FALSE))</f>
        <v>50</v>
      </c>
      <c r="K21" s="4">
        <f>(VLOOKUP('14.05'!S21,'14.05'!$AM$4:$AO$55,3,FALSE))</f>
        <v>50</v>
      </c>
      <c r="L21" s="4">
        <f>(VLOOKUP('14.05'!T21,'14.05'!$AM$4:$AO$55,3,FALSE))</f>
        <v>50</v>
      </c>
      <c r="M21" s="4">
        <f>(VLOOKUP('14.05'!U21,'14.05'!$AM$4:$AO$55,3,FALSE))</f>
        <v>50</v>
      </c>
      <c r="N21" s="4">
        <f>(VLOOKUP('14.05'!V21,'14.05'!$AM$4:$AO$55,3,FALSE))</f>
        <v>45</v>
      </c>
      <c r="O21" s="5">
        <f>(VLOOKUP('14.05'!W21,'14.05'!$AM$4:$AO$55,3,FALSE))</f>
        <v>0</v>
      </c>
      <c r="P21" s="5">
        <f>(VLOOKUP('14.05'!X21,'14.05'!$AM$4:$AO$55,3,FALSE))</f>
        <v>0</v>
      </c>
      <c r="Q21" s="4">
        <f>(VLOOKUP('14.05'!Y21,'14.05'!$AM$4:$AO$55,3,FALSE))</f>
        <v>60</v>
      </c>
      <c r="R21" s="4">
        <f>(VLOOKUP('14.05'!Z21,'14.05'!$AM$4:$AO$55,3,FALSE))</f>
        <v>60</v>
      </c>
      <c r="S21" s="4">
        <f>(VLOOKUP('14.05'!AA21,'14.05'!$AM$4:$AO$55,3,FALSE))</f>
        <v>60</v>
      </c>
      <c r="T21" s="4">
        <f>(VLOOKUP('14.05'!AB21,'14.05'!$AM$4:$AO$55,3,FALSE))</f>
        <v>60</v>
      </c>
      <c r="U21" s="4">
        <f>(VLOOKUP('14.05'!AC21,'14.05'!$AM$4:$AO$55,3,FALSE))</f>
        <v>60</v>
      </c>
      <c r="V21" s="4">
        <f>(VLOOKUP('14.05'!AD21,'14.05'!$AM$4:$AO$55,3,FALSE))</f>
        <v>0</v>
      </c>
      <c r="W21" s="5">
        <f>(VLOOKUP('14.05'!AE21,'14.05'!$AM$4:$AO$55,3,FALSE))</f>
        <v>0</v>
      </c>
      <c r="X21" s="5">
        <f>(VLOOKUP('14.05'!AF21,'14.05'!$AM$4:$AO$55,3,FALSE))</f>
        <v>0</v>
      </c>
    </row>
    <row r="22" spans="1:24">
      <c r="A22" s="4">
        <f>(VLOOKUP('14.05'!I22,'14.05'!$AM$4:$AO$55,3,FALSE))</f>
        <v>60</v>
      </c>
      <c r="B22" s="4">
        <f>(VLOOKUP('14.05'!J22,'14.05'!$AM$4:$AO$55,3,FALSE))</f>
        <v>60</v>
      </c>
      <c r="C22" s="4">
        <f>(VLOOKUP('14.05'!K22,'14.05'!$AM$4:$AO$55,3,FALSE))</f>
        <v>60</v>
      </c>
      <c r="D22" s="4">
        <f>(VLOOKUP('14.05'!L22,'14.05'!$AM$4:$AO$55,3,FALSE))</f>
        <v>60</v>
      </c>
      <c r="E22" s="4">
        <f>(VLOOKUP('14.05'!M22,'14.05'!$AM$4:$AO$55,3,FALSE))</f>
        <v>60</v>
      </c>
      <c r="F22" s="4">
        <f>(VLOOKUP('14.05'!N22,'14.05'!$AM$4:$AO$55,3,FALSE))</f>
        <v>60</v>
      </c>
      <c r="G22" s="5">
        <f>(VLOOKUP('14.05'!O22,'14.05'!$AM$4:$AO$55,3,FALSE))</f>
        <v>0</v>
      </c>
      <c r="H22" s="5">
        <f>(VLOOKUP('14.05'!P22,'14.05'!$AM$4:$AO$55,3,FALSE))</f>
        <v>0</v>
      </c>
      <c r="I22" s="4">
        <f>(VLOOKUP('14.05'!Q22,'14.05'!$AM$4:$AO$55,3,FALSE))</f>
        <v>0</v>
      </c>
      <c r="J22" s="4">
        <f>(VLOOKUP('14.05'!R22,'14.05'!$AM$4:$AO$55,3,FALSE))</f>
        <v>0</v>
      </c>
      <c r="K22" s="4">
        <f>(VLOOKUP('14.05'!S22,'14.05'!$AM$4:$AO$55,3,FALSE))</f>
        <v>0</v>
      </c>
      <c r="L22" s="4">
        <f>(VLOOKUP('14.05'!T22,'14.05'!$AM$4:$AO$55,3,FALSE))</f>
        <v>0</v>
      </c>
      <c r="M22" s="4">
        <f>(VLOOKUP('14.05'!U22,'14.05'!$AM$4:$AO$55,3,FALSE))</f>
        <v>0</v>
      </c>
      <c r="N22" s="4">
        <f>(VLOOKUP('14.05'!V22,'14.05'!$AM$4:$AO$55,3,FALSE))</f>
        <v>0</v>
      </c>
      <c r="O22" s="5">
        <f>(VLOOKUP('14.05'!W22,'14.05'!$AM$4:$AO$55,3,FALSE))</f>
        <v>0</v>
      </c>
      <c r="P22" s="5">
        <f>(VLOOKUP('14.05'!X22,'14.05'!$AM$4:$AO$55,3,FALSE))</f>
        <v>0</v>
      </c>
      <c r="Q22" s="4">
        <f>(VLOOKUP('14.05'!Y22,'14.05'!$AM$4:$AO$55,3,FALSE))</f>
        <v>60</v>
      </c>
      <c r="R22" s="4">
        <f>(VLOOKUP('14.05'!Z22,'14.05'!$AM$4:$AO$55,3,FALSE))</f>
        <v>60</v>
      </c>
      <c r="S22" s="4">
        <f>(VLOOKUP('14.05'!AA22,'14.05'!$AM$4:$AO$55,3,FALSE))</f>
        <v>60</v>
      </c>
      <c r="T22" s="4">
        <f>(VLOOKUP('14.05'!AB22,'14.05'!$AM$4:$AO$55,3,FALSE))</f>
        <v>60</v>
      </c>
      <c r="U22" s="4">
        <f>(VLOOKUP('14.05'!AC22,'14.05'!$AM$4:$AO$55,3,FALSE))</f>
        <v>60</v>
      </c>
      <c r="V22" s="4">
        <f>(VLOOKUP('14.05'!AD22,'14.05'!$AM$4:$AO$55,3,FALSE))</f>
        <v>60</v>
      </c>
      <c r="W22" s="5">
        <f>(VLOOKUP('14.05'!AE22,'14.05'!$AM$4:$AO$55,3,FALSE))</f>
        <v>0</v>
      </c>
      <c r="X22" s="5">
        <f>(VLOOKUP('14.05'!AF22,'14.05'!$AM$4:$AO$55,3,FALSE))</f>
        <v>0</v>
      </c>
    </row>
    <row r="23" spans="1:24">
      <c r="A23" s="4">
        <f>(VLOOKUP('14.05'!I23,'14.05'!$AM$4:$AO$55,3,FALSE))</f>
        <v>60</v>
      </c>
      <c r="B23" s="4">
        <f>(VLOOKUP('14.05'!J23,'14.05'!$AM$4:$AO$55,3,FALSE))</f>
        <v>60</v>
      </c>
      <c r="C23" s="4">
        <f>(VLOOKUP('14.05'!K23,'14.05'!$AM$4:$AO$55,3,FALSE))</f>
        <v>60</v>
      </c>
      <c r="D23" s="4">
        <f>(VLOOKUP('14.05'!L23,'14.05'!$AM$4:$AO$55,3,FALSE))</f>
        <v>60</v>
      </c>
      <c r="E23" s="4">
        <f>(VLOOKUP('14.05'!M23,'14.05'!$AM$4:$AO$55,3,FALSE))</f>
        <v>60</v>
      </c>
      <c r="F23" s="4">
        <f>(VLOOKUP('14.05'!N23,'14.05'!$AM$4:$AO$55,3,FALSE))</f>
        <v>60</v>
      </c>
      <c r="G23" s="5">
        <f>(VLOOKUP('14.05'!O23,'14.05'!$AM$4:$AO$55,3,FALSE))</f>
        <v>0</v>
      </c>
      <c r="H23" s="5">
        <f>(VLOOKUP('14.05'!P23,'14.05'!$AM$4:$AO$55,3,FALSE))</f>
        <v>0</v>
      </c>
      <c r="I23" s="4">
        <f>(VLOOKUP('14.05'!Q23,'14.05'!$AM$4:$AO$55,3,FALSE))</f>
        <v>0</v>
      </c>
      <c r="J23" s="4">
        <f>(VLOOKUP('14.05'!R23,'14.05'!$AM$4:$AO$55,3,FALSE))</f>
        <v>0</v>
      </c>
      <c r="K23" s="4">
        <f>(VLOOKUP('14.05'!S23,'14.05'!$AM$4:$AO$55,3,FALSE))</f>
        <v>0</v>
      </c>
      <c r="L23" s="4">
        <f>(VLOOKUP('14.05'!T23,'14.05'!$AM$4:$AO$55,3,FALSE))</f>
        <v>0</v>
      </c>
      <c r="M23" s="4">
        <f>(VLOOKUP('14.05'!U23,'14.05'!$AM$4:$AO$55,3,FALSE))</f>
        <v>0</v>
      </c>
      <c r="N23" s="4">
        <f>(VLOOKUP('14.05'!V23,'14.05'!$AM$4:$AO$55,3,FALSE))</f>
        <v>0</v>
      </c>
      <c r="O23" s="5">
        <f>(VLOOKUP('14.05'!W23,'14.05'!$AM$4:$AO$55,3,FALSE))</f>
        <v>0</v>
      </c>
      <c r="P23" s="5">
        <f>(VLOOKUP('14.05'!X23,'14.05'!$AM$4:$AO$55,3,FALSE))</f>
        <v>0</v>
      </c>
      <c r="Q23" s="4">
        <f>(VLOOKUP('14.05'!Y23,'14.05'!$AM$4:$AO$55,3,FALSE))</f>
        <v>55</v>
      </c>
      <c r="R23" s="4">
        <f>(VLOOKUP('14.05'!Z23,'14.05'!$AM$4:$AO$55,3,FALSE))</f>
        <v>55</v>
      </c>
      <c r="S23" s="4">
        <f>(VLOOKUP('14.05'!AA23,'14.05'!$AM$4:$AO$55,3,FALSE))</f>
        <v>55</v>
      </c>
      <c r="T23" s="4">
        <f>(VLOOKUP('14.05'!AB23,'14.05'!$AM$4:$AO$55,3,FALSE))</f>
        <v>55</v>
      </c>
      <c r="U23" s="4">
        <f>(VLOOKUP('14.05'!AC23,'14.05'!$AM$4:$AO$55,3,FALSE))</f>
        <v>60</v>
      </c>
      <c r="V23" s="4">
        <f>(VLOOKUP('14.05'!AD23,'14.05'!$AM$4:$AO$55,3,FALSE))</f>
        <v>1000</v>
      </c>
      <c r="W23" s="5">
        <f>(VLOOKUP('14.05'!AE23,'14.05'!$AM$4:$AO$55,3,FALSE))</f>
        <v>0</v>
      </c>
      <c r="X23" s="5">
        <f>(VLOOKUP('14.05'!AF23,'14.05'!$AM$4:$AO$55,3,FALSE))</f>
        <v>0</v>
      </c>
    </row>
    <row r="24" spans="1:24">
      <c r="A24" s="4">
        <f>(VLOOKUP('14.05'!I24,'14.05'!$AM$4:$AO$55,3,FALSE))</f>
        <v>60</v>
      </c>
      <c r="B24" s="4">
        <f>(VLOOKUP('14.05'!J24,'14.05'!$AM$4:$AO$55,3,FALSE))</f>
        <v>60</v>
      </c>
      <c r="C24" s="4">
        <f>(VLOOKUP('14.05'!K24,'14.05'!$AM$4:$AO$55,3,FALSE))</f>
        <v>60</v>
      </c>
      <c r="D24" s="4">
        <f>(VLOOKUP('14.05'!L24,'14.05'!$AM$4:$AO$55,3,FALSE))</f>
        <v>60</v>
      </c>
      <c r="E24" s="4">
        <f>(VLOOKUP('14.05'!M24,'14.05'!$AM$4:$AO$55,3,FALSE))</f>
        <v>60</v>
      </c>
      <c r="F24" s="4">
        <f>(VLOOKUP('14.05'!N24,'14.05'!$AM$4:$AO$55,3,FALSE))</f>
        <v>60</v>
      </c>
      <c r="G24" s="5">
        <f>(VLOOKUP('14.05'!O24,'14.05'!$AM$4:$AO$55,3,FALSE))</f>
        <v>0</v>
      </c>
      <c r="H24" s="5">
        <f>(VLOOKUP('14.05'!P24,'14.05'!$AM$4:$AO$55,3,FALSE))</f>
        <v>0</v>
      </c>
      <c r="I24" s="4">
        <f>(VLOOKUP('14.05'!Q24,'14.05'!$AM$4:$AO$55,3,FALSE))</f>
        <v>0</v>
      </c>
      <c r="J24" s="4">
        <f>(VLOOKUP('14.05'!R24,'14.05'!$AM$4:$AO$55,3,FALSE))</f>
        <v>0</v>
      </c>
      <c r="K24" s="4">
        <f>(VLOOKUP('14.05'!S24,'14.05'!$AM$4:$AO$55,3,FALSE))</f>
        <v>0</v>
      </c>
      <c r="L24" s="4">
        <f>(VLOOKUP('14.05'!T24,'14.05'!$AM$4:$AO$55,3,FALSE))</f>
        <v>0</v>
      </c>
      <c r="M24" s="4">
        <f>(VLOOKUP('14.05'!U24,'14.05'!$AM$4:$AO$55,3,FALSE))</f>
        <v>0</v>
      </c>
      <c r="N24" s="4">
        <f>(VLOOKUP('14.05'!V24,'14.05'!$AM$4:$AO$55,3,FALSE))</f>
        <v>0</v>
      </c>
      <c r="O24" s="5">
        <f>(VLOOKUP('14.05'!W24,'14.05'!$AM$4:$AO$55,3,FALSE))</f>
        <v>0</v>
      </c>
      <c r="P24" s="5">
        <f>(VLOOKUP('14.05'!X24,'14.05'!$AM$4:$AO$55,3,FALSE))</f>
        <v>0</v>
      </c>
      <c r="Q24" s="4">
        <f>(VLOOKUP('14.05'!Y24,'14.05'!$AM$4:$AO$55,3,FALSE))</f>
        <v>60</v>
      </c>
      <c r="R24" s="4">
        <f>(VLOOKUP('14.05'!Z24,'14.05'!$AM$4:$AO$55,3,FALSE))</f>
        <v>60</v>
      </c>
      <c r="S24" s="4">
        <f>(VLOOKUP('14.05'!AA24,'14.05'!$AM$4:$AO$55,3,FALSE))</f>
        <v>60</v>
      </c>
      <c r="T24" s="4">
        <f>(VLOOKUP('14.05'!AB24,'14.05'!$AM$4:$AO$55,3,FALSE))</f>
        <v>60</v>
      </c>
      <c r="U24" s="4">
        <f>(VLOOKUP('14.05'!AC24,'14.05'!$AM$4:$AO$55,3,FALSE))</f>
        <v>60</v>
      </c>
      <c r="V24" s="4">
        <f>(VLOOKUP('14.05'!AD24,'14.05'!$AM$4:$AO$55,3,FALSE))</f>
        <v>60</v>
      </c>
      <c r="W24" s="5">
        <f>(VLOOKUP('14.05'!AE24,'14.05'!$AM$4:$AO$55,3,FALSE))</f>
        <v>0</v>
      </c>
      <c r="X24" s="5">
        <f>(VLOOKUP('14.05'!AF24,'14.05'!$AM$4:$AO$55,3,FALSE))</f>
        <v>0</v>
      </c>
    </row>
    <row r="25" spans="1:24">
      <c r="A25" s="4">
        <f>(VLOOKUP('14.05'!I25,'14.05'!$AM$4:$AO$55,3,FALSE))</f>
        <v>60</v>
      </c>
      <c r="B25" s="4">
        <f>(VLOOKUP('14.05'!J25,'14.05'!$AM$4:$AO$55,3,FALSE))</f>
        <v>60</v>
      </c>
      <c r="C25" s="4">
        <f>(VLOOKUP('14.05'!K25,'14.05'!$AM$4:$AO$55,3,FALSE))</f>
        <v>60</v>
      </c>
      <c r="D25" s="4">
        <f>(VLOOKUP('14.05'!L25,'14.05'!$AM$4:$AO$55,3,FALSE))</f>
        <v>60</v>
      </c>
      <c r="E25" s="4">
        <f>(VLOOKUP('14.05'!M25,'14.05'!$AM$4:$AO$55,3,FALSE))</f>
        <v>60</v>
      </c>
      <c r="F25" s="4">
        <f>(VLOOKUP('14.05'!N25,'14.05'!$AM$4:$AO$55,3,FALSE))</f>
        <v>55</v>
      </c>
      <c r="G25" s="5">
        <f>(VLOOKUP('14.05'!O25,'14.05'!$AM$4:$AO$55,3,FALSE))</f>
        <v>0</v>
      </c>
      <c r="H25" s="5">
        <f>(VLOOKUP('14.05'!P25,'14.05'!$AM$4:$AO$55,3,FALSE))</f>
        <v>0</v>
      </c>
      <c r="I25" s="4">
        <f>(VLOOKUP('14.05'!Q25,'14.05'!$AM$4:$AO$55,3,FALSE))</f>
        <v>0</v>
      </c>
      <c r="J25" s="4">
        <f>(VLOOKUP('14.05'!R25,'14.05'!$AM$4:$AO$55,3,FALSE))</f>
        <v>0</v>
      </c>
      <c r="K25" s="4">
        <f>(VLOOKUP('14.05'!S25,'14.05'!$AM$4:$AO$55,3,FALSE))</f>
        <v>0</v>
      </c>
      <c r="L25" s="4">
        <f>(VLOOKUP('14.05'!T25,'14.05'!$AM$4:$AO$55,3,FALSE))</f>
        <v>0</v>
      </c>
      <c r="M25" s="4">
        <f>(VLOOKUP('14.05'!U25,'14.05'!$AM$4:$AO$55,3,FALSE))</f>
        <v>0</v>
      </c>
      <c r="N25" s="4">
        <f>(VLOOKUP('14.05'!V25,'14.05'!$AM$4:$AO$55,3,FALSE))</f>
        <v>0</v>
      </c>
      <c r="O25" s="5">
        <f>(VLOOKUP('14.05'!W25,'14.05'!$AM$4:$AO$55,3,FALSE))</f>
        <v>0</v>
      </c>
      <c r="P25" s="5">
        <f>(VLOOKUP('14.05'!X25,'14.05'!$AM$4:$AO$55,3,FALSE))</f>
        <v>0</v>
      </c>
      <c r="Q25" s="4">
        <f>(VLOOKUP('14.05'!Y25,'14.05'!$AM$4:$AO$55,3,FALSE))</f>
        <v>55</v>
      </c>
      <c r="R25" s="4">
        <f>(VLOOKUP('14.05'!Z25,'14.05'!$AM$4:$AO$55,3,FALSE))</f>
        <v>55</v>
      </c>
      <c r="S25" s="4">
        <f>(VLOOKUP('14.05'!AA25,'14.05'!$AM$4:$AO$55,3,FALSE))</f>
        <v>55</v>
      </c>
      <c r="T25" s="4">
        <f>(VLOOKUP('14.05'!AB25,'14.05'!$AM$4:$AO$55,3,FALSE))</f>
        <v>55</v>
      </c>
      <c r="U25" s="4">
        <f>(VLOOKUP('14.05'!AC25,'14.05'!$AM$4:$AO$55,3,FALSE))</f>
        <v>60</v>
      </c>
      <c r="V25" s="4">
        <f>(VLOOKUP('14.05'!AD25,'14.05'!$AM$4:$AO$55,3,FALSE))</f>
        <v>60</v>
      </c>
      <c r="W25" s="5">
        <f>(VLOOKUP('14.05'!AE25,'14.05'!$AM$4:$AO$55,3,FALSE))</f>
        <v>0</v>
      </c>
      <c r="X25" s="5">
        <f>(VLOOKUP('14.05'!AF25,'14.05'!$AM$4:$AO$55,3,FALSE))</f>
        <v>0</v>
      </c>
    </row>
    <row r="26" spans="1:24">
      <c r="A26" s="4">
        <f>(VLOOKUP('14.05'!I26,'14.05'!$AM$4:$AO$55,3,FALSE))</f>
        <v>55</v>
      </c>
      <c r="B26" s="4">
        <f>(VLOOKUP('14.05'!J26,'14.05'!$AM$4:$AO$55,3,FALSE))</f>
        <v>55</v>
      </c>
      <c r="C26" s="4">
        <f>(VLOOKUP('14.05'!K26,'14.05'!$AM$4:$AO$55,3,FALSE))</f>
        <v>55</v>
      </c>
      <c r="D26" s="4">
        <f>(VLOOKUP('14.05'!L26,'14.05'!$AM$4:$AO$55,3,FALSE))</f>
        <v>55</v>
      </c>
      <c r="E26" s="4">
        <f>(VLOOKUP('14.05'!M26,'14.05'!$AM$4:$AO$55,3,FALSE))</f>
        <v>55</v>
      </c>
      <c r="F26" s="4">
        <f>(VLOOKUP('14.05'!N26,'14.05'!$AM$4:$AO$55,3,FALSE))</f>
        <v>55</v>
      </c>
      <c r="G26" s="5">
        <f>(VLOOKUP('14.05'!O26,'14.05'!$AM$4:$AO$55,3,FALSE))</f>
        <v>0</v>
      </c>
      <c r="H26" s="5">
        <f>(VLOOKUP('14.05'!P26,'14.05'!$AM$4:$AO$55,3,FALSE))</f>
        <v>0</v>
      </c>
      <c r="I26" s="4">
        <f>(VLOOKUP('14.05'!Q26,'14.05'!$AM$4:$AO$55,3,FALSE))</f>
        <v>0</v>
      </c>
      <c r="J26" s="4">
        <f>(VLOOKUP('14.05'!R26,'14.05'!$AM$4:$AO$55,3,FALSE))</f>
        <v>0</v>
      </c>
      <c r="K26" s="4">
        <f>(VLOOKUP('14.05'!S26,'14.05'!$AM$4:$AO$55,3,FALSE))</f>
        <v>0</v>
      </c>
      <c r="L26" s="4">
        <f>(VLOOKUP('14.05'!T26,'14.05'!$AM$4:$AO$55,3,FALSE))</f>
        <v>0</v>
      </c>
      <c r="M26" s="4">
        <f>(VLOOKUP('14.05'!U26,'14.05'!$AM$4:$AO$55,3,FALSE))</f>
        <v>0</v>
      </c>
      <c r="N26" s="4">
        <f>(VLOOKUP('14.05'!V26,'14.05'!$AM$4:$AO$55,3,FALSE))</f>
        <v>0</v>
      </c>
      <c r="O26" s="5">
        <f>(VLOOKUP('14.05'!W26,'14.05'!$AM$4:$AO$55,3,FALSE))</f>
        <v>0</v>
      </c>
      <c r="P26" s="5">
        <f>(VLOOKUP('14.05'!X26,'14.05'!$AM$4:$AO$55,3,FALSE))</f>
        <v>0</v>
      </c>
      <c r="Q26" s="4">
        <f>(VLOOKUP('14.05'!Y26,'14.05'!$AM$4:$AO$55,3,FALSE))</f>
        <v>60</v>
      </c>
      <c r="R26" s="4">
        <f>(VLOOKUP('14.05'!Z26,'14.05'!$AM$4:$AO$55,3,FALSE))</f>
        <v>60</v>
      </c>
      <c r="S26" s="4">
        <f>(VLOOKUP('14.05'!AA26,'14.05'!$AM$4:$AO$55,3,FALSE))</f>
        <v>60</v>
      </c>
      <c r="T26" s="4">
        <f>(VLOOKUP('14.05'!AB26,'14.05'!$AM$4:$AO$55,3,FALSE))</f>
        <v>60</v>
      </c>
      <c r="U26" s="4">
        <f>(VLOOKUP('14.05'!AC26,'14.05'!$AM$4:$AO$55,3,FALSE))</f>
        <v>60</v>
      </c>
      <c r="V26" s="4">
        <f>(VLOOKUP('14.05'!AD26,'14.05'!$AM$4:$AO$55,3,FALSE))</f>
        <v>55</v>
      </c>
      <c r="W26" s="5">
        <f>(VLOOKUP('14.05'!AE26,'14.05'!$AM$4:$AO$55,3,FALSE))</f>
        <v>0</v>
      </c>
      <c r="X26" s="5">
        <f>(VLOOKUP('14.05'!AF26,'14.05'!$AM$4:$AO$55,3,FALSE))</f>
        <v>0</v>
      </c>
    </row>
    <row r="27" spans="1:24">
      <c r="A27" s="4">
        <f>(VLOOKUP('14.05'!I27,'14.05'!$AM$4:$AO$55,3,FALSE))</f>
        <v>55</v>
      </c>
      <c r="B27" s="4">
        <f>(VLOOKUP('14.05'!J27,'14.05'!$AM$4:$AO$55,3,FALSE))</f>
        <v>55</v>
      </c>
      <c r="C27" s="4">
        <f>(VLOOKUP('14.05'!K27,'14.05'!$AM$4:$AO$55,3,FALSE))</f>
        <v>0</v>
      </c>
      <c r="D27" s="4">
        <f>(VLOOKUP('14.05'!L27,'14.05'!$AM$4:$AO$55,3,FALSE))</f>
        <v>55</v>
      </c>
      <c r="E27" s="4">
        <f>(VLOOKUP('14.05'!M27,'14.05'!$AM$4:$AO$55,3,FALSE))</f>
        <v>55</v>
      </c>
      <c r="F27" s="4">
        <f>(VLOOKUP('14.05'!N27,'14.05'!$AM$4:$AO$55,3,FALSE))</f>
        <v>55</v>
      </c>
      <c r="G27" s="5">
        <f>(VLOOKUP('14.05'!O27,'14.05'!$AM$4:$AO$55,3,FALSE))</f>
        <v>0</v>
      </c>
      <c r="H27" s="5">
        <f>(VLOOKUP('14.05'!P27,'14.05'!$AM$4:$AO$55,3,FALSE))</f>
        <v>0</v>
      </c>
      <c r="I27" s="4">
        <f>(VLOOKUP('14.05'!Q27,'14.05'!$AM$4:$AO$55,3,FALSE))</f>
        <v>0</v>
      </c>
      <c r="J27" s="4">
        <f>(VLOOKUP('14.05'!R27,'14.05'!$AM$4:$AO$55,3,FALSE))</f>
        <v>0</v>
      </c>
      <c r="K27" s="4">
        <f>(VLOOKUP('14.05'!S27,'14.05'!$AM$4:$AO$55,3,FALSE))</f>
        <v>0</v>
      </c>
      <c r="L27" s="4">
        <f>(VLOOKUP('14.05'!T27,'14.05'!$AM$4:$AO$55,3,FALSE))</f>
        <v>0</v>
      </c>
      <c r="M27" s="4">
        <f>(VLOOKUP('14.05'!U27,'14.05'!$AM$4:$AO$55,3,FALSE))</f>
        <v>0</v>
      </c>
      <c r="N27" s="4">
        <f>(VLOOKUP('14.05'!V27,'14.05'!$AM$4:$AO$55,3,FALSE))</f>
        <v>0</v>
      </c>
      <c r="O27" s="5">
        <f>(VLOOKUP('14.05'!W27,'14.05'!$AM$4:$AO$55,3,FALSE))</f>
        <v>0</v>
      </c>
      <c r="P27" s="5">
        <f>(VLOOKUP('14.05'!X27,'14.05'!$AM$4:$AO$55,3,FALSE))</f>
        <v>0</v>
      </c>
      <c r="Q27" s="4">
        <f>(VLOOKUP('14.05'!Y27,'14.05'!$AM$4:$AO$55,3,FALSE))</f>
        <v>55</v>
      </c>
      <c r="R27" s="4">
        <f>(VLOOKUP('14.05'!Z27,'14.05'!$AM$4:$AO$55,3,FALSE))</f>
        <v>520</v>
      </c>
      <c r="S27" s="4">
        <f>(VLOOKUP('14.05'!AA27,'14.05'!$AM$4:$AO$55,3,FALSE))</f>
        <v>55</v>
      </c>
      <c r="T27" s="4">
        <f>(VLOOKUP('14.05'!AB27,'14.05'!$AM$4:$AO$55,3,FALSE))</f>
        <v>55</v>
      </c>
      <c r="U27" s="4">
        <f>(VLOOKUP('14.05'!AC27,'14.05'!$AM$4:$AO$55,3,FALSE))</f>
        <v>55</v>
      </c>
      <c r="V27" s="4">
        <f>(VLOOKUP('14.05'!AD27,'14.05'!$AM$4:$AO$55,3,FALSE))</f>
        <v>55</v>
      </c>
      <c r="W27" s="5">
        <f>(VLOOKUP('14.05'!AE27,'14.05'!$AM$4:$AO$55,3,FALSE))</f>
        <v>0</v>
      </c>
      <c r="X27" s="5">
        <f>(VLOOKUP('14.05'!AF27,'14.05'!$AM$4:$AO$55,3,FALSE))</f>
        <v>0</v>
      </c>
    </row>
    <row r="28" spans="1:24">
      <c r="A28" s="4">
        <f>(VLOOKUP('14.05'!I28,'14.05'!$AM$4:$AO$55,3,FALSE))</f>
        <v>55</v>
      </c>
      <c r="B28" s="4">
        <f>(VLOOKUP('14.05'!J28,'14.05'!$AM$4:$AO$55,3,FALSE))</f>
        <v>55</v>
      </c>
      <c r="C28" s="4">
        <f>(VLOOKUP('14.05'!K28,'14.05'!$AM$4:$AO$55,3,FALSE))</f>
        <v>55</v>
      </c>
      <c r="D28" s="4">
        <f>(VLOOKUP('14.05'!L28,'14.05'!$AM$4:$AO$55,3,FALSE))</f>
        <v>500</v>
      </c>
      <c r="E28" s="4">
        <f>(VLOOKUP('14.05'!M28,'14.05'!$AM$4:$AO$55,3,FALSE))</f>
        <v>55</v>
      </c>
      <c r="F28" s="4">
        <f>(VLOOKUP('14.05'!N28,'14.05'!$AM$4:$AO$55,3,FALSE))</f>
        <v>55</v>
      </c>
      <c r="G28" s="5">
        <f>(VLOOKUP('14.05'!O28,'14.05'!$AM$4:$AO$55,3,FALSE))</f>
        <v>0</v>
      </c>
      <c r="H28" s="5">
        <f>(VLOOKUP('14.05'!P28,'14.05'!$AM$4:$AO$55,3,FALSE))</f>
        <v>0</v>
      </c>
      <c r="I28" s="4">
        <f>(VLOOKUP('14.05'!Q28,'14.05'!$AM$4:$AO$55,3,FALSE))</f>
        <v>0</v>
      </c>
      <c r="J28" s="4">
        <f>(VLOOKUP('14.05'!R28,'14.05'!$AM$4:$AO$55,3,FALSE))</f>
        <v>0</v>
      </c>
      <c r="K28" s="4">
        <f>(VLOOKUP('14.05'!S28,'14.05'!$AM$4:$AO$55,3,FALSE))</f>
        <v>0</v>
      </c>
      <c r="L28" s="4">
        <f>(VLOOKUP('14.05'!T28,'14.05'!$AM$4:$AO$55,3,FALSE))</f>
        <v>0</v>
      </c>
      <c r="M28" s="4">
        <f>(VLOOKUP('14.05'!U28,'14.05'!$AM$4:$AO$55,3,FALSE))</f>
        <v>0</v>
      </c>
      <c r="N28" s="4">
        <f>(VLOOKUP('14.05'!V28,'14.05'!$AM$4:$AO$55,3,FALSE))</f>
        <v>0</v>
      </c>
      <c r="O28" s="5">
        <f>(VLOOKUP('14.05'!W28,'14.05'!$AM$4:$AO$55,3,FALSE))</f>
        <v>0</v>
      </c>
      <c r="P28" s="5">
        <f>(VLOOKUP('14.05'!X28,'14.05'!$AM$4:$AO$55,3,FALSE))</f>
        <v>0</v>
      </c>
      <c r="Q28" s="4">
        <f>(VLOOKUP('14.05'!Y28,'14.05'!$AM$4:$AO$55,3,FALSE))</f>
        <v>55</v>
      </c>
      <c r="R28" s="4">
        <f>(VLOOKUP('14.05'!Z28,'14.05'!$AM$4:$AO$55,3,FALSE))</f>
        <v>55</v>
      </c>
      <c r="S28" s="4">
        <f>(VLOOKUP('14.05'!AA28,'14.05'!$AM$4:$AO$55,3,FALSE))</f>
        <v>55</v>
      </c>
      <c r="T28" s="4">
        <f>(VLOOKUP('14.05'!AB28,'14.05'!$AM$4:$AO$55,3,FALSE))</f>
        <v>55</v>
      </c>
      <c r="U28" s="4">
        <f>(VLOOKUP('14.05'!AC28,'14.05'!$AM$4:$AO$55,3,FALSE))</f>
        <v>55</v>
      </c>
      <c r="V28" s="4">
        <f>(VLOOKUP('14.05'!AD28,'14.05'!$AM$4:$AO$55,3,FALSE))</f>
        <v>55</v>
      </c>
      <c r="W28" s="5">
        <f>(VLOOKUP('14.05'!AE28,'14.05'!$AM$4:$AO$55,3,FALSE))</f>
        <v>0</v>
      </c>
      <c r="X28" s="5">
        <f>(VLOOKUP('14.05'!AF28,'14.05'!$AM$4:$AO$55,3,FALSE))</f>
        <v>0</v>
      </c>
    </row>
    <row r="29" spans="1:24">
      <c r="A29" s="4">
        <f>(VLOOKUP('14.05'!I29,'14.05'!$AM$4:$AO$55,3,FALSE))</f>
        <v>55</v>
      </c>
      <c r="B29" s="4">
        <f>(VLOOKUP('14.05'!J29,'14.05'!$AM$4:$AO$55,3,FALSE))</f>
        <v>55</v>
      </c>
      <c r="C29" s="4">
        <f>(VLOOKUP('14.05'!K29,'14.05'!$AM$4:$AO$55,3,FALSE))</f>
        <v>55</v>
      </c>
      <c r="D29" s="4">
        <f>(VLOOKUP('14.05'!L29,'14.05'!$AM$4:$AO$55,3,FALSE))</f>
        <v>55</v>
      </c>
      <c r="E29" s="4">
        <f>(VLOOKUP('14.05'!M29,'14.05'!$AM$4:$AO$55,3,FALSE))</f>
        <v>55</v>
      </c>
      <c r="F29" s="4">
        <f>(VLOOKUP('14.05'!N29,'14.05'!$AM$4:$AO$55,3,FALSE))</f>
        <v>55</v>
      </c>
      <c r="G29" s="5">
        <f>(VLOOKUP('14.05'!O29,'14.05'!$AM$4:$AO$55,3,FALSE))</f>
        <v>0</v>
      </c>
      <c r="H29" s="5">
        <f>(VLOOKUP('14.05'!P29,'14.05'!$AM$4:$AO$55,3,FALSE))</f>
        <v>0</v>
      </c>
      <c r="I29" s="4">
        <f>(VLOOKUP('14.05'!Q29,'14.05'!$AM$4:$AO$55,3,FALSE))</f>
        <v>0</v>
      </c>
      <c r="J29" s="4">
        <f>(VLOOKUP('14.05'!R29,'14.05'!$AM$4:$AO$55,3,FALSE))</f>
        <v>0</v>
      </c>
      <c r="K29" s="4">
        <f>(VLOOKUP('14.05'!S29,'14.05'!$AM$4:$AO$55,3,FALSE))</f>
        <v>0</v>
      </c>
      <c r="L29" s="4">
        <f>(VLOOKUP('14.05'!T29,'14.05'!$AM$4:$AO$55,3,FALSE))</f>
        <v>0</v>
      </c>
      <c r="M29" s="4">
        <f>(VLOOKUP('14.05'!U29,'14.05'!$AM$4:$AO$55,3,FALSE))</f>
        <v>0</v>
      </c>
      <c r="N29" s="4">
        <f>(VLOOKUP('14.05'!V29,'14.05'!$AM$4:$AO$55,3,FALSE))</f>
        <v>0</v>
      </c>
      <c r="O29" s="5">
        <f>(VLOOKUP('14.05'!W29,'14.05'!$AM$4:$AO$55,3,FALSE))</f>
        <v>0</v>
      </c>
      <c r="P29" s="5">
        <f>(VLOOKUP('14.05'!X29,'14.05'!$AM$4:$AO$55,3,FALSE))</f>
        <v>0</v>
      </c>
      <c r="Q29" s="4">
        <f>(VLOOKUP('14.05'!Y29,'14.05'!$AM$4:$AO$55,3,FALSE))</f>
        <v>55</v>
      </c>
      <c r="R29" s="4">
        <f>(VLOOKUP('14.05'!Z29,'14.05'!$AM$4:$AO$55,3,FALSE))</f>
        <v>50</v>
      </c>
      <c r="S29" s="4">
        <f>(VLOOKUP('14.05'!AA29,'14.05'!$AM$4:$AO$55,3,FALSE))</f>
        <v>0</v>
      </c>
      <c r="T29" s="4">
        <f>(VLOOKUP('14.05'!AB29,'14.05'!$AM$4:$AO$55,3,FALSE))</f>
        <v>50</v>
      </c>
      <c r="U29" s="4">
        <f>(VLOOKUP('14.05'!AC29,'14.05'!$AM$4:$AO$55,3,FALSE))</f>
        <v>50</v>
      </c>
      <c r="V29" s="4">
        <f>(VLOOKUP('14.05'!AD29,'14.05'!$AM$4:$AO$55,3,FALSE))</f>
        <v>50</v>
      </c>
      <c r="W29" s="5">
        <f>(VLOOKUP('14.05'!AE29,'14.05'!$AM$4:$AO$55,3,FALSE))</f>
        <v>0</v>
      </c>
      <c r="X29" s="5">
        <f>(VLOOKUP('14.05'!AF29,'14.05'!$AM$4:$AO$55,3,FALSE))</f>
        <v>0</v>
      </c>
    </row>
    <row r="30" spans="1:24">
      <c r="A30" s="4">
        <f>(VLOOKUP('14.05'!I30,'14.05'!$AM$4:$AO$55,3,FALSE))</f>
        <v>55</v>
      </c>
      <c r="B30" s="4">
        <f>(VLOOKUP('14.05'!J30,'14.05'!$AM$4:$AO$55,3,FALSE))</f>
        <v>55</v>
      </c>
      <c r="C30" s="4">
        <f>(VLOOKUP('14.05'!K30,'14.05'!$AM$4:$AO$55,3,FALSE))</f>
        <v>55</v>
      </c>
      <c r="D30" s="4">
        <f>(VLOOKUP('14.05'!L30,'14.05'!$AM$4:$AO$55,3,FALSE))</f>
        <v>50</v>
      </c>
      <c r="E30" s="4">
        <f>(VLOOKUP('14.05'!M30,'14.05'!$AM$4:$AO$55,3,FALSE))</f>
        <v>50</v>
      </c>
      <c r="F30" s="4">
        <f>(VLOOKUP('14.05'!N30,'14.05'!$AM$4:$AO$55,3,FALSE))</f>
        <v>50</v>
      </c>
      <c r="G30" s="5">
        <f>(VLOOKUP('14.05'!O30,'14.05'!$AM$4:$AO$55,3,FALSE))</f>
        <v>0</v>
      </c>
      <c r="H30" s="5">
        <f>(VLOOKUP('14.05'!P30,'14.05'!$AM$4:$AO$55,3,FALSE))</f>
        <v>0</v>
      </c>
      <c r="I30" s="4">
        <f>(VLOOKUP('14.05'!Q30,'14.05'!$AM$4:$AO$55,3,FALSE))</f>
        <v>0</v>
      </c>
      <c r="J30" s="4">
        <f>(VLOOKUP('14.05'!R30,'14.05'!$AM$4:$AO$55,3,FALSE))</f>
        <v>0</v>
      </c>
      <c r="K30" s="4">
        <f>(VLOOKUP('14.05'!S30,'14.05'!$AM$4:$AO$55,3,FALSE))</f>
        <v>0</v>
      </c>
      <c r="L30" s="4">
        <f>(VLOOKUP('14.05'!T30,'14.05'!$AM$4:$AO$55,3,FALSE))</f>
        <v>0</v>
      </c>
      <c r="M30" s="4">
        <f>(VLOOKUP('14.05'!U30,'14.05'!$AM$4:$AO$55,3,FALSE))</f>
        <v>0</v>
      </c>
      <c r="N30" s="4">
        <f>(VLOOKUP('14.05'!V30,'14.05'!$AM$4:$AO$55,3,FALSE))</f>
        <v>0</v>
      </c>
      <c r="O30" s="5">
        <f>(VLOOKUP('14.05'!W30,'14.05'!$AM$4:$AO$55,3,FALSE))</f>
        <v>0</v>
      </c>
      <c r="P30" s="5">
        <f>(VLOOKUP('14.05'!X30,'14.05'!$AM$4:$AO$55,3,FALSE))</f>
        <v>0</v>
      </c>
      <c r="Q30" s="4">
        <f>(VLOOKUP('14.05'!Y30,'14.05'!$AM$4:$AO$55,3,FALSE))</f>
        <v>50</v>
      </c>
      <c r="R30" s="4">
        <f>(VLOOKUP('14.05'!Z30,'14.05'!$AM$4:$AO$55,3,FALSE))</f>
        <v>50</v>
      </c>
      <c r="S30" s="4">
        <f>(VLOOKUP('14.05'!AA30,'14.05'!$AM$4:$AO$55,3,FALSE))</f>
        <v>50</v>
      </c>
      <c r="T30" s="4">
        <f>(VLOOKUP('14.05'!AB30,'14.05'!$AM$4:$AO$55,3,FALSE))</f>
        <v>50</v>
      </c>
      <c r="U30" s="4">
        <f>(VLOOKUP('14.05'!AC30,'14.05'!$AM$4:$AO$55,3,FALSE))</f>
        <v>50</v>
      </c>
      <c r="V30" s="4">
        <f>(VLOOKUP('14.05'!AD30,'14.05'!$AM$4:$AO$55,3,FALSE))</f>
        <v>50</v>
      </c>
      <c r="W30" s="5">
        <f>(VLOOKUP('14.05'!AE30,'14.05'!$AM$4:$AO$55,3,FALSE))</f>
        <v>0</v>
      </c>
      <c r="X30" s="5">
        <f>(VLOOKUP('14.05'!AF30,'14.05'!$AM$4:$AO$55,3,FALSE))</f>
        <v>0</v>
      </c>
    </row>
    <row r="31" spans="1:24">
      <c r="A31" s="4">
        <f>(VLOOKUP('14.05'!I31,'14.05'!$AM$4:$AO$55,3,FALSE))</f>
        <v>50</v>
      </c>
      <c r="B31" s="4">
        <f>(VLOOKUP('14.05'!J31,'14.05'!$AM$4:$AO$55,3,FALSE))</f>
        <v>50</v>
      </c>
      <c r="C31" s="4">
        <f>(VLOOKUP('14.05'!K31,'14.05'!$AM$4:$AO$55,3,FALSE))</f>
        <v>50</v>
      </c>
      <c r="D31" s="4">
        <f>(VLOOKUP('14.05'!L31,'14.05'!$AM$4:$AO$55,3,FALSE))</f>
        <v>50</v>
      </c>
      <c r="E31" s="4">
        <f>(VLOOKUP('14.05'!M31,'14.05'!$AM$4:$AO$55,3,FALSE))</f>
        <v>55</v>
      </c>
      <c r="F31" s="4">
        <f>(VLOOKUP('14.05'!N31,'14.05'!$AM$4:$AO$55,3,FALSE))</f>
        <v>55</v>
      </c>
      <c r="G31" s="5">
        <f>(VLOOKUP('14.05'!O31,'14.05'!$AM$4:$AO$55,3,FALSE))</f>
        <v>0</v>
      </c>
      <c r="H31" s="5">
        <f>(VLOOKUP('14.05'!P31,'14.05'!$AM$4:$AO$55,3,FALSE))</f>
        <v>0</v>
      </c>
      <c r="I31" s="4">
        <f>(VLOOKUP('14.05'!Q31,'14.05'!$AM$4:$AO$55,3,FALSE))</f>
        <v>0</v>
      </c>
      <c r="J31" s="4">
        <f>(VLOOKUP('14.05'!R31,'14.05'!$AM$4:$AO$55,3,FALSE))</f>
        <v>0</v>
      </c>
      <c r="K31" s="4">
        <f>(VLOOKUP('14.05'!S31,'14.05'!$AM$4:$AO$55,3,FALSE))</f>
        <v>0</v>
      </c>
      <c r="L31" s="4">
        <f>(VLOOKUP('14.05'!T31,'14.05'!$AM$4:$AO$55,3,FALSE))</f>
        <v>0</v>
      </c>
      <c r="M31" s="4">
        <f>(VLOOKUP('14.05'!U31,'14.05'!$AM$4:$AO$55,3,FALSE))</f>
        <v>0</v>
      </c>
      <c r="N31" s="4">
        <f>(VLOOKUP('14.05'!V31,'14.05'!$AM$4:$AO$55,3,FALSE))</f>
        <v>0</v>
      </c>
      <c r="O31" s="5">
        <f>(VLOOKUP('14.05'!W31,'14.05'!$AM$4:$AO$55,3,FALSE))</f>
        <v>0</v>
      </c>
      <c r="P31" s="5">
        <f>(VLOOKUP('14.05'!X31,'14.05'!$AM$4:$AO$55,3,FALSE))</f>
        <v>0</v>
      </c>
      <c r="Q31" s="4">
        <f>(VLOOKUP('14.05'!Y31,'14.05'!$AM$4:$AO$55,3,FALSE))</f>
        <v>50</v>
      </c>
      <c r="R31" s="4">
        <f>(VLOOKUP('14.05'!Z31,'14.05'!$AM$4:$AO$55,3,FALSE))</f>
        <v>30</v>
      </c>
      <c r="S31" s="4">
        <f>(VLOOKUP('14.05'!AA31,'14.05'!$AM$4:$AO$55,3,FALSE))</f>
        <v>50</v>
      </c>
      <c r="T31" s="4">
        <f>(VLOOKUP('14.05'!AB31,'14.05'!$AM$4:$AO$55,3,FALSE))</f>
        <v>50</v>
      </c>
      <c r="U31" s="4">
        <f>(VLOOKUP('14.05'!AC31,'14.05'!$AM$4:$AO$55,3,FALSE))</f>
        <v>50</v>
      </c>
      <c r="V31" s="4">
        <f>(VLOOKUP('14.05'!AD31,'14.05'!$AM$4:$AO$55,3,FALSE))</f>
        <v>50</v>
      </c>
      <c r="W31" s="5">
        <f>(VLOOKUP('14.05'!AE31,'14.05'!$AM$4:$AO$55,3,FALSE))</f>
        <v>0</v>
      </c>
      <c r="X31" s="5">
        <f>(VLOOKUP('14.05'!AF31,'14.05'!$AM$4:$AO$55,3,FALSE))</f>
        <v>0</v>
      </c>
    </row>
    <row r="32" spans="1:24">
      <c r="A32" s="4">
        <f>(VLOOKUP('14.05'!I32,'14.05'!$AM$4:$AO$55,3,FALSE))</f>
        <v>55</v>
      </c>
      <c r="B32" s="4">
        <f>(VLOOKUP('14.05'!J32,'14.05'!$AM$4:$AO$55,3,FALSE))</f>
        <v>55</v>
      </c>
      <c r="C32" s="4">
        <f>(VLOOKUP('14.05'!K32,'14.05'!$AM$4:$AO$55,3,FALSE))</f>
        <v>55</v>
      </c>
      <c r="D32" s="4">
        <f>(VLOOKUP('14.05'!L32,'14.05'!$AM$4:$AO$55,3,FALSE))</f>
        <v>50</v>
      </c>
      <c r="E32" s="4">
        <f>(VLOOKUP('14.05'!M32,'14.05'!$AM$4:$AO$55,3,FALSE))</f>
        <v>50</v>
      </c>
      <c r="F32" s="4">
        <f>(VLOOKUP('14.05'!N32,'14.05'!$AM$4:$AO$55,3,FALSE))</f>
        <v>50</v>
      </c>
      <c r="G32" s="5">
        <f>(VLOOKUP('14.05'!O32,'14.05'!$AM$4:$AO$55,3,FALSE))</f>
        <v>0</v>
      </c>
      <c r="H32" s="5">
        <f>(VLOOKUP('14.05'!P32,'14.05'!$AM$4:$AO$55,3,FALSE))</f>
        <v>0</v>
      </c>
      <c r="I32" s="4">
        <f>(VLOOKUP('14.05'!Q32,'14.05'!$AM$4:$AO$55,3,FALSE))</f>
        <v>0</v>
      </c>
      <c r="J32" s="4">
        <f>(VLOOKUP('14.05'!R32,'14.05'!$AM$4:$AO$55,3,FALSE))</f>
        <v>0</v>
      </c>
      <c r="K32" s="4">
        <f>(VLOOKUP('14.05'!S32,'14.05'!$AM$4:$AO$55,3,FALSE))</f>
        <v>0</v>
      </c>
      <c r="L32" s="4">
        <f>(VLOOKUP('14.05'!T32,'14.05'!$AM$4:$AO$55,3,FALSE))</f>
        <v>0</v>
      </c>
      <c r="M32" s="4">
        <f>(VLOOKUP('14.05'!U32,'14.05'!$AM$4:$AO$55,3,FALSE))</f>
        <v>0</v>
      </c>
      <c r="N32" s="4">
        <f>(VLOOKUP('14.05'!V32,'14.05'!$AM$4:$AO$55,3,FALSE))</f>
        <v>0</v>
      </c>
      <c r="O32" s="5">
        <f>(VLOOKUP('14.05'!W32,'14.05'!$AM$4:$AO$55,3,FALSE))</f>
        <v>0</v>
      </c>
      <c r="P32" s="5">
        <f>(VLOOKUP('14.05'!X32,'14.05'!$AM$4:$AO$55,3,FALSE))</f>
        <v>0</v>
      </c>
      <c r="Q32" s="4">
        <f>(VLOOKUP('14.05'!Y32,'14.05'!$AM$4:$AO$55,3,FALSE))</f>
        <v>50</v>
      </c>
      <c r="R32" s="4">
        <f>(VLOOKUP('14.05'!Z32,'14.05'!$AM$4:$AO$55,3,FALSE))</f>
        <v>50</v>
      </c>
      <c r="S32" s="4">
        <f>(VLOOKUP('14.05'!AA32,'14.05'!$AM$4:$AO$55,3,FALSE))</f>
        <v>50</v>
      </c>
      <c r="T32" s="4">
        <f>(VLOOKUP('14.05'!AB32,'14.05'!$AM$4:$AO$55,3,FALSE))</f>
        <v>50</v>
      </c>
      <c r="U32" s="4">
        <f>(VLOOKUP('14.05'!AC32,'14.05'!$AM$4:$AO$55,3,FALSE))</f>
        <v>0</v>
      </c>
      <c r="V32" s="4">
        <f>(VLOOKUP('14.05'!AD32,'14.05'!$AM$4:$AO$55,3,FALSE))</f>
        <v>0</v>
      </c>
      <c r="W32" s="5">
        <f>(VLOOKUP('14.05'!AE32,'14.05'!$AM$4:$AO$55,3,FALSE))</f>
        <v>0</v>
      </c>
      <c r="X32" s="5">
        <f>(VLOOKUP('14.05'!AF32,'14.05'!$AM$4:$AO$55,3,FALSE))</f>
        <v>0</v>
      </c>
    </row>
    <row r="33" spans="1:24">
      <c r="A33" s="4">
        <f>(VLOOKUP('14.05'!I33,'14.05'!$AM$4:$AO$55,3,FALSE))</f>
        <v>30</v>
      </c>
      <c r="B33" s="4">
        <f>(VLOOKUP('14.05'!J33,'14.05'!$AM$4:$AO$55,3,FALSE))</f>
        <v>50</v>
      </c>
      <c r="C33" s="4">
        <f>(VLOOKUP('14.05'!K33,'14.05'!$AM$4:$AO$55,3,FALSE))</f>
        <v>50</v>
      </c>
      <c r="D33" s="4">
        <f>(VLOOKUP('14.05'!L33,'14.05'!$AM$4:$AO$55,3,FALSE))</f>
        <v>50</v>
      </c>
      <c r="E33" s="4">
        <f>(VLOOKUP('14.05'!M33,'14.05'!$AM$4:$AO$55,3,FALSE))</f>
        <v>50</v>
      </c>
      <c r="F33" s="4">
        <f>(VLOOKUP('14.05'!N33,'14.05'!$AM$4:$AO$55,3,FALSE))</f>
        <v>50</v>
      </c>
      <c r="G33" s="5">
        <f>(VLOOKUP('14.05'!O33,'14.05'!$AM$4:$AO$55,3,FALSE))</f>
        <v>0</v>
      </c>
      <c r="H33" s="5">
        <f>(VLOOKUP('14.05'!P33,'14.05'!$AM$4:$AO$55,3,FALSE))</f>
        <v>0</v>
      </c>
      <c r="I33" s="4">
        <f>(VLOOKUP('14.05'!Q33,'14.05'!$AM$4:$AO$55,3,FALSE))</f>
        <v>0</v>
      </c>
      <c r="J33" s="4">
        <f>(VLOOKUP('14.05'!R33,'14.05'!$AM$4:$AO$55,3,FALSE))</f>
        <v>0</v>
      </c>
      <c r="K33" s="4">
        <f>(VLOOKUP('14.05'!S33,'14.05'!$AM$4:$AO$55,3,FALSE))</f>
        <v>0</v>
      </c>
      <c r="L33" s="4">
        <f>(VLOOKUP('14.05'!T33,'14.05'!$AM$4:$AO$55,3,FALSE))</f>
        <v>0</v>
      </c>
      <c r="M33" s="4">
        <f>(VLOOKUP('14.05'!U33,'14.05'!$AM$4:$AO$55,3,FALSE))</f>
        <v>0</v>
      </c>
      <c r="N33" s="4">
        <f>(VLOOKUP('14.05'!V33,'14.05'!$AM$4:$AO$55,3,FALSE))</f>
        <v>0</v>
      </c>
      <c r="O33" s="5">
        <f>(VLOOKUP('14.05'!W33,'14.05'!$AM$4:$AO$55,3,FALSE))</f>
        <v>0</v>
      </c>
      <c r="P33" s="5">
        <f>(VLOOKUP('14.05'!X33,'14.05'!$AM$4:$AO$55,3,FALSE))</f>
        <v>0</v>
      </c>
      <c r="Q33" s="4">
        <f>(VLOOKUP('14.05'!Y33,'14.05'!$AM$4:$AO$55,3,FALSE))</f>
        <v>45</v>
      </c>
      <c r="R33" s="4">
        <f>(VLOOKUP('14.05'!Z33,'14.05'!$AM$4:$AO$55,3,FALSE))</f>
        <v>45</v>
      </c>
      <c r="S33" s="4">
        <f>(VLOOKUP('14.05'!AA33,'14.05'!$AM$4:$AO$55,3,FALSE))</f>
        <v>45</v>
      </c>
      <c r="T33" s="4">
        <f>(VLOOKUP('14.05'!AB33,'14.05'!$AM$4:$AO$55,3,FALSE))</f>
        <v>45</v>
      </c>
      <c r="U33" s="4">
        <f>(VLOOKUP('14.05'!AC33,'14.05'!$AM$4:$AO$55,3,FALSE))</f>
        <v>45</v>
      </c>
      <c r="V33" s="4">
        <f>(VLOOKUP('14.05'!AD33,'14.05'!$AM$4:$AO$55,3,FALSE))</f>
        <v>45</v>
      </c>
      <c r="W33" s="5">
        <f>(VLOOKUP('14.05'!AE33,'14.05'!$AM$4:$AO$55,3,FALSE))</f>
        <v>0</v>
      </c>
      <c r="X33" s="5">
        <f>(VLOOKUP('14.05'!AF33,'14.05'!$AM$4:$AO$55,3,FALSE))</f>
        <v>0</v>
      </c>
    </row>
    <row r="34" spans="1:24">
      <c r="A34" s="4">
        <f>(VLOOKUP('14.05'!I34,'14.05'!$AM$4:$AO$55,3,FALSE))</f>
        <v>50</v>
      </c>
      <c r="B34" s="4">
        <f>(VLOOKUP('14.05'!J34,'14.05'!$AM$4:$AO$55,3,FALSE))</f>
        <v>50</v>
      </c>
      <c r="C34" s="4">
        <f>(VLOOKUP('14.05'!K34,'14.05'!$AM$4:$AO$55,3,FALSE))</f>
        <v>50</v>
      </c>
      <c r="D34" s="4">
        <f>(VLOOKUP('14.05'!L34,'14.05'!$AM$4:$AO$55,3,FALSE))</f>
        <v>50</v>
      </c>
      <c r="E34" s="4">
        <f>(VLOOKUP('14.05'!M34,'14.05'!$AM$4:$AO$55,3,FALSE))</f>
        <v>50</v>
      </c>
      <c r="F34" s="4">
        <f>(VLOOKUP('14.05'!N34,'14.05'!$AM$4:$AO$55,3,FALSE))</f>
        <v>0</v>
      </c>
      <c r="G34" s="5">
        <f>(VLOOKUP('14.05'!O34,'14.05'!$AM$4:$AO$55,3,FALSE))</f>
        <v>0</v>
      </c>
      <c r="H34" s="5">
        <f>(VLOOKUP('14.05'!P34,'14.05'!$AM$4:$AO$55,3,FALSE))</f>
        <v>0</v>
      </c>
      <c r="I34" s="4">
        <f>(VLOOKUP('14.05'!Q34,'14.05'!$AM$4:$AO$55,3,FALSE))</f>
        <v>0</v>
      </c>
      <c r="J34" s="4">
        <f>(VLOOKUP('14.05'!R34,'14.05'!$AM$4:$AO$55,3,FALSE))</f>
        <v>0</v>
      </c>
      <c r="K34" s="4">
        <f>(VLOOKUP('14.05'!S34,'14.05'!$AM$4:$AO$55,3,FALSE))</f>
        <v>0</v>
      </c>
      <c r="L34" s="4">
        <f>(VLOOKUP('14.05'!T34,'14.05'!$AM$4:$AO$55,3,FALSE))</f>
        <v>0</v>
      </c>
      <c r="M34" s="4">
        <f>(VLOOKUP('14.05'!U34,'14.05'!$AM$4:$AO$55,3,FALSE))</f>
        <v>0</v>
      </c>
      <c r="N34" s="4">
        <f>(VLOOKUP('14.05'!V34,'14.05'!$AM$4:$AO$55,3,FALSE))</f>
        <v>0</v>
      </c>
      <c r="O34" s="5">
        <f>(VLOOKUP('14.05'!W34,'14.05'!$AM$4:$AO$55,3,FALSE))</f>
        <v>0</v>
      </c>
      <c r="P34" s="5">
        <f>(VLOOKUP('14.05'!X34,'14.05'!$AM$4:$AO$55,3,FALSE))</f>
        <v>0</v>
      </c>
      <c r="Q34" s="4">
        <f>(VLOOKUP('14.05'!Y34,'14.05'!$AM$4:$AO$55,3,FALSE))</f>
        <v>45</v>
      </c>
      <c r="R34" s="4">
        <f>(VLOOKUP('14.05'!Z34,'14.05'!$AM$4:$AO$55,3,FALSE))</f>
        <v>45</v>
      </c>
      <c r="S34" s="4">
        <f>(VLOOKUP('14.05'!AA34,'14.05'!$AM$4:$AO$55,3,FALSE))</f>
        <v>45</v>
      </c>
      <c r="T34" s="4">
        <f>(VLOOKUP('14.05'!AB34,'14.05'!$AM$4:$AO$55,3,FALSE))</f>
        <v>45</v>
      </c>
      <c r="U34" s="4">
        <f>(VLOOKUP('14.05'!AC34,'14.05'!$AM$4:$AO$55,3,FALSE))</f>
        <v>45</v>
      </c>
      <c r="V34" s="4">
        <f>(VLOOKUP('14.05'!AD34,'14.05'!$AM$4:$AO$55,3,FALSE))</f>
        <v>45</v>
      </c>
      <c r="W34" s="5">
        <f>(VLOOKUP('14.05'!AE34,'14.05'!$AM$4:$AO$55,3,FALSE))</f>
        <v>0</v>
      </c>
      <c r="X34" s="5">
        <f>(VLOOKUP('14.05'!AF34,'14.05'!$AM$4:$AO$55,3,FALSE))</f>
        <v>0</v>
      </c>
    </row>
    <row r="35" spans="1:24">
      <c r="A35" s="4">
        <f>(VLOOKUP('14.05'!I35,'14.05'!$AM$4:$AO$55,3,FALSE))</f>
        <v>45</v>
      </c>
      <c r="B35" s="4">
        <f>(VLOOKUP('14.05'!J35,'14.05'!$AM$4:$AO$55,3,FALSE))</f>
        <v>45</v>
      </c>
      <c r="C35" s="4">
        <f>(VLOOKUP('14.05'!K35,'14.05'!$AM$4:$AO$55,3,FALSE))</f>
        <v>45</v>
      </c>
      <c r="D35" s="4">
        <f>(VLOOKUP('14.05'!L35,'14.05'!$AM$4:$AO$55,3,FALSE))</f>
        <v>45</v>
      </c>
      <c r="E35" s="4">
        <f>(VLOOKUP('14.05'!M35,'14.05'!$AM$4:$AO$55,3,FALSE))</f>
        <v>45</v>
      </c>
      <c r="F35" s="4">
        <f>(VLOOKUP('14.05'!N35,'14.05'!$AM$4:$AO$55,3,FALSE))</f>
        <v>45</v>
      </c>
      <c r="G35" s="5">
        <f>(VLOOKUP('14.05'!O35,'14.05'!$AM$4:$AO$55,3,FALSE))</f>
        <v>0</v>
      </c>
      <c r="H35" s="5">
        <f>(VLOOKUP('14.05'!P35,'14.05'!$AM$4:$AO$55,3,FALSE))</f>
        <v>0</v>
      </c>
      <c r="I35" s="4">
        <f>(VLOOKUP('14.05'!Q35,'14.05'!$AM$4:$AO$55,3,FALSE))</f>
        <v>0</v>
      </c>
      <c r="J35" s="4">
        <f>(VLOOKUP('14.05'!R35,'14.05'!$AM$4:$AO$55,3,FALSE))</f>
        <v>0</v>
      </c>
      <c r="K35" s="4">
        <f>(VLOOKUP('14.05'!S35,'14.05'!$AM$4:$AO$55,3,FALSE))</f>
        <v>0</v>
      </c>
      <c r="L35" s="4">
        <f>(VLOOKUP('14.05'!T35,'14.05'!$AM$4:$AO$55,3,FALSE))</f>
        <v>0</v>
      </c>
      <c r="M35" s="4">
        <f>(VLOOKUP('14.05'!U35,'14.05'!$AM$4:$AO$55,3,FALSE))</f>
        <v>0</v>
      </c>
      <c r="N35" s="4">
        <f>(VLOOKUP('14.05'!V35,'14.05'!$AM$4:$AO$55,3,FALSE))</f>
        <v>0</v>
      </c>
      <c r="O35" s="5">
        <f>(VLOOKUP('14.05'!W35,'14.05'!$AM$4:$AO$55,3,FALSE))</f>
        <v>0</v>
      </c>
      <c r="P35" s="5">
        <f>(VLOOKUP('14.05'!X35,'14.05'!$AM$4:$AO$55,3,FALSE))</f>
        <v>0</v>
      </c>
      <c r="Q35" s="4">
        <f>(VLOOKUP('14.05'!Y35,'14.05'!$AM$4:$AO$55,3,FALSE))</f>
        <v>30</v>
      </c>
      <c r="R35" s="4">
        <f>(VLOOKUP('14.05'!Z35,'14.05'!$AM$4:$AO$55,3,FALSE))</f>
        <v>45</v>
      </c>
      <c r="S35" s="4">
        <f>(VLOOKUP('14.05'!AA35,'14.05'!$AM$4:$AO$55,3,FALSE))</f>
        <v>45</v>
      </c>
      <c r="T35" s="4">
        <f>(VLOOKUP('14.05'!AB35,'14.05'!$AM$4:$AO$55,3,FALSE))</f>
        <v>45</v>
      </c>
      <c r="U35" s="4">
        <f>(VLOOKUP('14.05'!AC35,'14.05'!$AM$4:$AO$55,3,FALSE))</f>
        <v>45</v>
      </c>
      <c r="V35" s="4">
        <f>(VLOOKUP('14.05'!AD35,'14.05'!$AM$4:$AO$55,3,FALSE))</f>
        <v>45</v>
      </c>
      <c r="W35" s="5">
        <f>(VLOOKUP('14.05'!AE35,'14.05'!$AM$4:$AO$55,3,FALSE))</f>
        <v>0</v>
      </c>
      <c r="X35" s="5">
        <f>(VLOOKUP('14.05'!AF35,'14.05'!$AM$4:$AO$55,3,FALSE))</f>
        <v>0</v>
      </c>
    </row>
    <row r="36" spans="1:24">
      <c r="A36" s="4">
        <f>(VLOOKUP('14.05'!I36,'14.05'!$AM$4:$AO$55,3,FALSE))</f>
        <v>45</v>
      </c>
      <c r="B36" s="4">
        <f>(VLOOKUP('14.05'!J36,'14.05'!$AM$4:$AO$55,3,FALSE))</f>
        <v>45</v>
      </c>
      <c r="C36" s="4">
        <f>(VLOOKUP('14.05'!K36,'14.05'!$AM$4:$AO$55,3,FALSE))</f>
        <v>45</v>
      </c>
      <c r="D36" s="4">
        <f>(VLOOKUP('14.05'!L36,'14.05'!$AM$4:$AO$55,3,FALSE))</f>
        <v>45</v>
      </c>
      <c r="E36" s="4">
        <f>(VLOOKUP('14.05'!M36,'14.05'!$AM$4:$AO$55,3,FALSE))</f>
        <v>45</v>
      </c>
      <c r="F36" s="4">
        <f>(VLOOKUP('14.05'!N36,'14.05'!$AM$4:$AO$55,3,FALSE))</f>
        <v>45</v>
      </c>
      <c r="G36" s="5">
        <f>(VLOOKUP('14.05'!O36,'14.05'!$AM$4:$AO$55,3,FALSE))</f>
        <v>0</v>
      </c>
      <c r="H36" s="5">
        <f>(VLOOKUP('14.05'!P36,'14.05'!$AM$4:$AO$55,3,FALSE))</f>
        <v>0</v>
      </c>
      <c r="I36" s="4">
        <f>(VLOOKUP('14.05'!Q36,'14.05'!$AM$4:$AO$55,3,FALSE))</f>
        <v>0</v>
      </c>
      <c r="J36" s="4">
        <f>(VLOOKUP('14.05'!R36,'14.05'!$AM$4:$AO$55,3,FALSE))</f>
        <v>0</v>
      </c>
      <c r="K36" s="4">
        <f>(VLOOKUP('14.05'!S36,'14.05'!$AM$4:$AO$55,3,FALSE))</f>
        <v>0</v>
      </c>
      <c r="L36" s="4">
        <f>(VLOOKUP('14.05'!T36,'14.05'!$AM$4:$AO$55,3,FALSE))</f>
        <v>0</v>
      </c>
      <c r="M36" s="4">
        <f>(VLOOKUP('14.05'!U36,'14.05'!$AM$4:$AO$55,3,FALSE))</f>
        <v>0</v>
      </c>
      <c r="N36" s="4">
        <f>(VLOOKUP('14.05'!V36,'14.05'!$AM$4:$AO$55,3,FALSE))</f>
        <v>0</v>
      </c>
      <c r="O36" s="5">
        <f>(VLOOKUP('14.05'!W36,'14.05'!$AM$4:$AO$55,3,FALSE))</f>
        <v>0</v>
      </c>
      <c r="P36" s="5">
        <f>(VLOOKUP('14.05'!X36,'14.05'!$AM$4:$AO$55,3,FALSE))</f>
        <v>0</v>
      </c>
      <c r="Q36" s="4">
        <f>(VLOOKUP('14.05'!Y36,'14.05'!$AM$4:$AO$55,3,FALSE))</f>
        <v>45</v>
      </c>
      <c r="R36" s="4">
        <f>(VLOOKUP('14.05'!Z36,'14.05'!$AM$4:$AO$55,3,FALSE))</f>
        <v>45</v>
      </c>
      <c r="S36" s="4">
        <f>(VLOOKUP('14.05'!AA36,'14.05'!$AM$4:$AO$55,3,FALSE))</f>
        <v>45</v>
      </c>
      <c r="T36" s="4">
        <f>(VLOOKUP('14.05'!AB36,'14.05'!$AM$4:$AO$55,3,FALSE))</f>
        <v>45</v>
      </c>
      <c r="U36" s="4">
        <f>(VLOOKUP('14.05'!AC36,'14.05'!$AM$4:$AO$55,3,FALSE))</f>
        <v>45</v>
      </c>
      <c r="V36" s="4">
        <f>(VLOOKUP('14.05'!AD36,'14.05'!$AM$4:$AO$55,3,FALSE))</f>
        <v>45</v>
      </c>
      <c r="W36" s="5">
        <f>(VLOOKUP('14.05'!AE36,'14.05'!$AM$4:$AO$55,3,FALSE))</f>
        <v>0</v>
      </c>
      <c r="X36" s="5">
        <f>(VLOOKUP('14.05'!AF36,'14.05'!$AM$4:$AO$55,3,FALSE))</f>
        <v>0</v>
      </c>
    </row>
    <row r="37" spans="1:24">
      <c r="A37" s="4">
        <f>(VLOOKUP('14.05'!I37,'14.05'!$AM$4:$AO$55,3,FALSE))</f>
        <v>45</v>
      </c>
      <c r="B37" s="4">
        <f>(VLOOKUP('14.05'!J37,'14.05'!$AM$4:$AO$55,3,FALSE))</f>
        <v>45</v>
      </c>
      <c r="C37" s="4">
        <f>(VLOOKUP('14.05'!K37,'14.05'!$AM$4:$AO$55,3,FALSE))</f>
        <v>45</v>
      </c>
      <c r="D37" s="4">
        <f>(VLOOKUP('14.05'!L37,'14.05'!$AM$4:$AO$55,3,FALSE))</f>
        <v>45</v>
      </c>
      <c r="E37" s="4">
        <f>(VLOOKUP('14.05'!M37,'14.05'!$AM$4:$AO$55,3,FALSE))</f>
        <v>45</v>
      </c>
      <c r="F37" s="4">
        <f>(VLOOKUP('14.05'!N37,'14.05'!$AM$4:$AO$55,3,FALSE))</f>
        <v>45</v>
      </c>
      <c r="G37" s="5">
        <f>(VLOOKUP('14.05'!O37,'14.05'!$AM$4:$AO$55,3,FALSE))</f>
        <v>0</v>
      </c>
      <c r="H37" s="5">
        <f>(VLOOKUP('14.05'!P37,'14.05'!$AM$4:$AO$55,3,FALSE))</f>
        <v>0</v>
      </c>
      <c r="I37" s="4">
        <f>(VLOOKUP('14.05'!Q37,'14.05'!$AM$4:$AO$55,3,FALSE))</f>
        <v>0</v>
      </c>
      <c r="J37" s="4">
        <f>(VLOOKUP('14.05'!R37,'14.05'!$AM$4:$AO$55,3,FALSE))</f>
        <v>0</v>
      </c>
      <c r="K37" s="4">
        <f>(VLOOKUP('14.05'!S37,'14.05'!$AM$4:$AO$55,3,FALSE))</f>
        <v>0</v>
      </c>
      <c r="L37" s="4">
        <f>(VLOOKUP('14.05'!T37,'14.05'!$AM$4:$AO$55,3,FALSE))</f>
        <v>0</v>
      </c>
      <c r="M37" s="4">
        <f>(VLOOKUP('14.05'!U37,'14.05'!$AM$4:$AO$55,3,FALSE))</f>
        <v>0</v>
      </c>
      <c r="N37" s="4">
        <f>(VLOOKUP('14.05'!V37,'14.05'!$AM$4:$AO$55,3,FALSE))</f>
        <v>0</v>
      </c>
      <c r="O37" s="5">
        <f>(VLOOKUP('14.05'!W37,'14.05'!$AM$4:$AO$55,3,FALSE))</f>
        <v>0</v>
      </c>
      <c r="P37" s="5">
        <f>(VLOOKUP('14.05'!X37,'14.05'!$AM$4:$AO$55,3,FALSE))</f>
        <v>0</v>
      </c>
      <c r="Q37" s="4">
        <f>(VLOOKUP('14.05'!Y37,'14.05'!$AM$4:$AO$55,3,FALSE))</f>
        <v>45</v>
      </c>
      <c r="R37" s="4">
        <f>(VLOOKUP('14.05'!Z37,'14.05'!$AM$4:$AO$55,3,FALSE))</f>
        <v>45</v>
      </c>
      <c r="S37" s="4">
        <f>(VLOOKUP('14.05'!AA37,'14.05'!$AM$4:$AO$55,3,FALSE))</f>
        <v>45</v>
      </c>
      <c r="T37" s="4">
        <f>(VLOOKUP('14.05'!AB37,'14.05'!$AM$4:$AO$55,3,FALSE))</f>
        <v>45</v>
      </c>
      <c r="U37" s="4">
        <f>(VLOOKUP('14.05'!AC37,'14.05'!$AM$4:$AO$55,3,FALSE))</f>
        <v>30</v>
      </c>
      <c r="V37" s="4">
        <f>(VLOOKUP('14.05'!AD37,'14.05'!$AM$4:$AO$55,3,FALSE))</f>
        <v>45</v>
      </c>
      <c r="W37" s="5">
        <f>(VLOOKUP('14.05'!AE37,'14.05'!$AM$4:$AO$55,3,FALSE))</f>
        <v>0</v>
      </c>
      <c r="X37" s="5">
        <f>(VLOOKUP('14.05'!AF37,'14.05'!$AM$4:$AO$55,3,FALSE))</f>
        <v>0</v>
      </c>
    </row>
    <row r="38" spans="1:24">
      <c r="A38" s="4">
        <f>(VLOOKUP('14.05'!I38,'14.05'!$AM$4:$AO$55,3,FALSE))</f>
        <v>45</v>
      </c>
      <c r="B38" s="4">
        <f>(VLOOKUP('14.05'!J38,'14.05'!$AM$4:$AO$55,3,FALSE))</f>
        <v>40</v>
      </c>
      <c r="C38" s="4">
        <f>(VLOOKUP('14.05'!K38,'14.05'!$AM$4:$AO$55,3,FALSE))</f>
        <v>30</v>
      </c>
      <c r="D38" s="4">
        <f>(VLOOKUP('14.05'!L38,'14.05'!$AM$4:$AO$55,3,FALSE))</f>
        <v>45</v>
      </c>
      <c r="E38" s="4">
        <f>(VLOOKUP('14.05'!M38,'14.05'!$AM$4:$AO$55,3,FALSE))</f>
        <v>0</v>
      </c>
      <c r="F38" s="4">
        <f>(VLOOKUP('14.05'!N38,'14.05'!$AM$4:$AO$55,3,FALSE))</f>
        <v>45</v>
      </c>
      <c r="G38" s="5">
        <f>(VLOOKUP('14.05'!O38,'14.05'!$AM$4:$AO$55,3,FALSE))</f>
        <v>0</v>
      </c>
      <c r="H38" s="5">
        <f>(VLOOKUP('14.05'!P38,'14.05'!$AM$4:$AO$55,3,FALSE))</f>
        <v>0</v>
      </c>
      <c r="I38" s="4">
        <f>(VLOOKUP('14.05'!Q38,'14.05'!$AM$4:$AO$55,3,FALSE))</f>
        <v>45</v>
      </c>
      <c r="J38" s="4">
        <f>(VLOOKUP('14.05'!R38,'14.05'!$AM$4:$AO$55,3,FALSE))</f>
        <v>50</v>
      </c>
      <c r="K38" s="4">
        <f>(VLOOKUP('14.05'!S38,'14.05'!$AM$4:$AO$55,3,FALSE))</f>
        <v>50</v>
      </c>
      <c r="L38" s="4">
        <f>(VLOOKUP('14.05'!T38,'14.05'!$AM$4:$AO$55,3,FALSE))</f>
        <v>50</v>
      </c>
      <c r="M38" s="4">
        <f>(VLOOKUP('14.05'!U38,'14.05'!$AM$4:$AO$55,3,FALSE))</f>
        <v>50</v>
      </c>
      <c r="N38" s="4">
        <f>(VLOOKUP('14.05'!V38,'14.05'!$AM$4:$AO$55,3,FALSE))</f>
        <v>50</v>
      </c>
      <c r="O38" s="5">
        <f>(VLOOKUP('14.05'!W38,'14.05'!$AM$4:$AO$55,3,FALSE))</f>
        <v>0</v>
      </c>
      <c r="P38" s="5">
        <f>(VLOOKUP('14.05'!X38,'14.05'!$AM$4:$AO$55,3,FALSE))</f>
        <v>0</v>
      </c>
      <c r="Q38" s="4">
        <f>(VLOOKUP('14.05'!Y38,'14.05'!$AM$4:$AO$55,3,FALSE))</f>
        <v>40</v>
      </c>
      <c r="R38" s="4">
        <f>(VLOOKUP('14.05'!Z38,'14.05'!$AM$4:$AO$55,3,FALSE))</f>
        <v>45</v>
      </c>
      <c r="S38" s="4">
        <f>(VLOOKUP('14.05'!AA38,'14.05'!$AM$4:$AO$55,3,FALSE))</f>
        <v>45</v>
      </c>
      <c r="T38" s="4">
        <f>(VLOOKUP('14.05'!AB38,'14.05'!$AM$4:$AO$55,3,FALSE))</f>
        <v>45</v>
      </c>
      <c r="U38" s="4">
        <f>(VLOOKUP('14.05'!AC38,'14.05'!$AM$4:$AO$55,3,FALSE))</f>
        <v>45</v>
      </c>
      <c r="V38" s="4">
        <f>(VLOOKUP('14.05'!AD38,'14.05'!$AM$4:$AO$55,3,FALSE))</f>
        <v>40</v>
      </c>
      <c r="W38" s="5">
        <f>(VLOOKUP('14.05'!AE38,'14.05'!$AM$4:$AO$55,3,FALSE))</f>
        <v>0</v>
      </c>
      <c r="X38" s="5">
        <f>(VLOOKUP('14.05'!AF38,'14.05'!$AM$4:$AO$55,3,FALSE))</f>
        <v>0</v>
      </c>
    </row>
    <row r="39" spans="1:24">
      <c r="A39" s="4">
        <f>(VLOOKUP('14.05'!I39,'14.05'!$AM$4:$AO$55,3,FALSE))</f>
        <v>45</v>
      </c>
      <c r="B39" s="4">
        <f>(VLOOKUP('14.05'!J39,'14.05'!$AM$4:$AO$55,3,FALSE))</f>
        <v>45</v>
      </c>
      <c r="C39" s="4">
        <f>(VLOOKUP('14.05'!K39,'14.05'!$AM$4:$AO$55,3,FALSE))</f>
        <v>30</v>
      </c>
      <c r="D39" s="4">
        <f>(VLOOKUP('14.05'!L39,'14.05'!$AM$4:$AO$55,3,FALSE))</f>
        <v>45</v>
      </c>
      <c r="E39" s="4">
        <f>(VLOOKUP('14.05'!M39,'14.05'!$AM$4:$AO$55,3,FALSE))</f>
        <v>45</v>
      </c>
      <c r="F39" s="4">
        <f>(VLOOKUP('14.05'!N39,'14.05'!$AM$4:$AO$55,3,FALSE))</f>
        <v>45</v>
      </c>
      <c r="G39" s="5">
        <f>(VLOOKUP('14.05'!O39,'14.05'!$AM$4:$AO$55,3,FALSE))</f>
        <v>0</v>
      </c>
      <c r="H39" s="5">
        <f>(VLOOKUP('14.05'!P39,'14.05'!$AM$4:$AO$55,3,FALSE))</f>
        <v>0</v>
      </c>
      <c r="I39" s="4">
        <f>(VLOOKUP('14.05'!Q39,'14.05'!$AM$4:$AO$55,3,FALSE))</f>
        <v>50</v>
      </c>
      <c r="J39" s="4">
        <f>(VLOOKUP('14.05'!R39,'14.05'!$AM$4:$AO$55,3,FALSE))</f>
        <v>50</v>
      </c>
      <c r="K39" s="4">
        <f>(VLOOKUP('14.05'!S39,'14.05'!$AM$4:$AO$55,3,FALSE))</f>
        <v>50</v>
      </c>
      <c r="L39" s="4">
        <f>(VLOOKUP('14.05'!T39,'14.05'!$AM$4:$AO$55,3,FALSE))</f>
        <v>50</v>
      </c>
      <c r="M39" s="4">
        <f>(VLOOKUP('14.05'!U39,'14.05'!$AM$4:$AO$55,3,FALSE))</f>
        <v>50</v>
      </c>
      <c r="N39" s="4">
        <f>(VLOOKUP('14.05'!V39,'14.05'!$AM$4:$AO$55,3,FALSE))</f>
        <v>0</v>
      </c>
      <c r="O39" s="5">
        <f>(VLOOKUP('14.05'!W39,'14.05'!$AM$4:$AO$55,3,FALSE))</f>
        <v>0</v>
      </c>
      <c r="P39" s="5">
        <f>(VLOOKUP('14.05'!X39,'14.05'!$AM$4:$AO$55,3,FALSE))</f>
        <v>0</v>
      </c>
      <c r="Q39" s="4">
        <f>(VLOOKUP('14.05'!Y39,'14.05'!$AM$4:$AO$55,3,FALSE))</f>
        <v>30</v>
      </c>
      <c r="R39" s="4">
        <f>(VLOOKUP('14.05'!Z39,'14.05'!$AM$4:$AO$55,3,FALSE))</f>
        <v>40</v>
      </c>
      <c r="S39" s="4">
        <f>(VLOOKUP('14.05'!AA39,'14.05'!$AM$4:$AO$55,3,FALSE))</f>
        <v>40</v>
      </c>
      <c r="T39" s="4">
        <f>(VLOOKUP('14.05'!AB39,'14.05'!$AM$4:$AO$55,3,FALSE))</f>
        <v>40</v>
      </c>
      <c r="U39" s="4">
        <f>(VLOOKUP('14.05'!AC39,'14.05'!$AM$4:$AO$55,3,FALSE))</f>
        <v>35</v>
      </c>
      <c r="V39" s="4">
        <f>(VLOOKUP('14.05'!AD39,'14.05'!$AM$4:$AO$55,3,FALSE))</f>
        <v>30</v>
      </c>
      <c r="W39" s="5">
        <f>(VLOOKUP('14.05'!AE39,'14.05'!$AM$4:$AO$55,3,FALSE))</f>
        <v>0</v>
      </c>
      <c r="X39" s="5">
        <f>(VLOOKUP('14.05'!AF39,'14.05'!$AM$4:$AO$55,3,FALSE))</f>
        <v>0</v>
      </c>
    </row>
    <row r="40" spans="1:24">
      <c r="A40" s="4">
        <f>(VLOOKUP('14.05'!I40,'14.05'!$AM$4:$AO$55,3,FALSE))</f>
        <v>45</v>
      </c>
      <c r="B40" s="4">
        <f>(VLOOKUP('14.05'!J40,'14.05'!$AM$4:$AO$55,3,FALSE))</f>
        <v>40</v>
      </c>
      <c r="C40" s="4">
        <f>(VLOOKUP('14.05'!K40,'14.05'!$AM$4:$AO$55,3,FALSE))</f>
        <v>40</v>
      </c>
      <c r="D40" s="4">
        <f>(VLOOKUP('14.05'!L40,'14.05'!$AM$4:$AO$55,3,FALSE))</f>
        <v>30</v>
      </c>
      <c r="E40" s="4">
        <f>(VLOOKUP('14.05'!M40,'14.05'!$AM$4:$AO$55,3,FALSE))</f>
        <v>40</v>
      </c>
      <c r="F40" s="4">
        <f>(VLOOKUP('14.05'!N40,'14.05'!$AM$4:$AO$55,3,FALSE))</f>
        <v>520</v>
      </c>
      <c r="G40" s="5">
        <f>(VLOOKUP('14.05'!O40,'14.05'!$AM$4:$AO$55,3,FALSE))</f>
        <v>0</v>
      </c>
      <c r="H40" s="5">
        <f>(VLOOKUP('14.05'!P40,'14.05'!$AM$4:$AO$55,3,FALSE))</f>
        <v>0</v>
      </c>
      <c r="I40" s="4">
        <f>(VLOOKUP('14.05'!Q40,'14.05'!$AM$4:$AO$55,3,FALSE))</f>
        <v>50</v>
      </c>
      <c r="J40" s="4">
        <f>(VLOOKUP('14.05'!R40,'14.05'!$AM$4:$AO$55,3,FALSE))</f>
        <v>30</v>
      </c>
      <c r="K40" s="4">
        <f>(VLOOKUP('14.05'!S40,'14.05'!$AM$4:$AO$55,3,FALSE))</f>
        <v>55</v>
      </c>
      <c r="L40" s="4">
        <f>(VLOOKUP('14.05'!T40,'14.05'!$AM$4:$AO$55,3,FALSE))</f>
        <v>55</v>
      </c>
      <c r="M40" s="4">
        <f>(VLOOKUP('14.05'!U40,'14.05'!$AM$4:$AO$55,3,FALSE))</f>
        <v>55</v>
      </c>
      <c r="N40" s="4">
        <f>(VLOOKUP('14.05'!V40,'14.05'!$AM$4:$AO$55,3,FALSE))</f>
        <v>0</v>
      </c>
      <c r="O40" s="5">
        <f>(VLOOKUP('14.05'!W40,'14.05'!$AM$4:$AO$55,3,FALSE))</f>
        <v>55</v>
      </c>
      <c r="P40" s="5">
        <f>(VLOOKUP('14.05'!X40,'14.05'!$AM$4:$AO$55,3,FALSE))</f>
        <v>55</v>
      </c>
      <c r="Q40" s="4">
        <f>(VLOOKUP('14.05'!Y40,'14.05'!$AM$4:$AO$55,3,FALSE))</f>
        <v>0</v>
      </c>
      <c r="R40" s="4">
        <f>(VLOOKUP('14.05'!Z40,'14.05'!$AM$4:$AO$55,3,FALSE))</f>
        <v>0</v>
      </c>
      <c r="S40" s="4">
        <f>(VLOOKUP('14.05'!AA40,'14.05'!$AM$4:$AO$55,3,FALSE))</f>
        <v>0</v>
      </c>
      <c r="T40" s="4">
        <f>(VLOOKUP('14.05'!AB40,'14.05'!$AM$4:$AO$55,3,FALSE))</f>
        <v>0</v>
      </c>
      <c r="U40" s="4">
        <f>(VLOOKUP('14.05'!AC40,'14.05'!$AM$4:$AO$55,3,FALSE))</f>
        <v>0</v>
      </c>
      <c r="V40" s="4">
        <f>(VLOOKUP('14.05'!AD40,'14.05'!$AM$4:$AO$55,3,FALSE))</f>
        <v>0</v>
      </c>
      <c r="W40" s="5">
        <f>(VLOOKUP('14.05'!AE40,'14.05'!$AM$4:$AO$55,3,FALSE))</f>
        <v>0</v>
      </c>
      <c r="X40" s="5">
        <f>(VLOOKUP('14.05'!AF40,'14.05'!$AM$4:$AO$55,3,FALSE))</f>
        <v>0</v>
      </c>
    </row>
    <row r="41" spans="1:24">
      <c r="A41" s="4">
        <f>(VLOOKUP('14.05'!I41,'14.05'!$AM$4:$AO$55,3,FALSE))</f>
        <v>40</v>
      </c>
      <c r="B41" s="4">
        <f>(VLOOKUP('14.05'!J41,'14.05'!$AM$4:$AO$55,3,FALSE))</f>
        <v>40</v>
      </c>
      <c r="C41" s="4">
        <f>(VLOOKUP('14.05'!K41,'14.05'!$AM$4:$AO$55,3,FALSE))</f>
        <v>40</v>
      </c>
      <c r="D41" s="4">
        <f>(VLOOKUP('14.05'!L41,'14.05'!$AM$4:$AO$55,3,FALSE))</f>
        <v>35</v>
      </c>
      <c r="E41" s="4">
        <f>(VLOOKUP('14.05'!M41,'14.05'!$AM$4:$AO$55,3,FALSE))</f>
        <v>30</v>
      </c>
      <c r="F41" s="4">
        <f>(VLOOKUP('14.05'!N41,'14.05'!$AM$4:$AO$55,3,FALSE))</f>
        <v>45</v>
      </c>
      <c r="G41" s="5">
        <f>(VLOOKUP('14.05'!O41,'14.05'!$AM$4:$AO$55,3,FALSE))</f>
        <v>0</v>
      </c>
      <c r="H41" s="5">
        <f>(VLOOKUP('14.05'!P41,'14.05'!$AM$4:$AO$55,3,FALSE))</f>
        <v>0</v>
      </c>
      <c r="I41" s="4">
        <f>(VLOOKUP('14.05'!Q41,'14.05'!$AM$4:$AO$55,3,FALSE))</f>
        <v>55</v>
      </c>
      <c r="J41" s="4">
        <f>(VLOOKUP('14.05'!R41,'14.05'!$AM$4:$AO$55,3,FALSE))</f>
        <v>55</v>
      </c>
      <c r="K41" s="4">
        <f>(VLOOKUP('14.05'!S41,'14.05'!$AM$4:$AO$55,3,FALSE))</f>
        <v>55</v>
      </c>
      <c r="L41" s="4">
        <f>(VLOOKUP('14.05'!T41,'14.05'!$AM$4:$AO$55,3,FALSE))</f>
        <v>55</v>
      </c>
      <c r="M41" s="4">
        <f>(VLOOKUP('14.05'!U41,'14.05'!$AM$4:$AO$55,3,FALSE))</f>
        <v>55</v>
      </c>
      <c r="N41" s="4">
        <f>(VLOOKUP('14.05'!V41,'14.05'!$AM$4:$AO$55,3,FALSE))</f>
        <v>55</v>
      </c>
      <c r="O41" s="5">
        <f>(VLOOKUP('14.05'!W41,'14.05'!$AM$4:$AO$55,3,FALSE))</f>
        <v>0</v>
      </c>
      <c r="P41" s="5">
        <f>(VLOOKUP('14.05'!X41,'14.05'!$AM$4:$AO$55,3,FALSE))</f>
        <v>0</v>
      </c>
      <c r="Q41" s="4">
        <f>(VLOOKUP('14.05'!Y41,'14.05'!$AM$4:$AO$55,3,FALSE))</f>
        <v>0</v>
      </c>
      <c r="R41" s="4">
        <f>(VLOOKUP('14.05'!Z41,'14.05'!$AM$4:$AO$55,3,FALSE))</f>
        <v>0</v>
      </c>
      <c r="S41" s="4">
        <f>(VLOOKUP('14.05'!AA41,'14.05'!$AM$4:$AO$55,3,FALSE))</f>
        <v>0</v>
      </c>
      <c r="T41" s="4">
        <f>(VLOOKUP('14.05'!AB41,'14.05'!$AM$4:$AO$55,3,FALSE))</f>
        <v>0</v>
      </c>
      <c r="U41" s="4">
        <f>(VLOOKUP('14.05'!AC41,'14.05'!$AM$4:$AO$55,3,FALSE))</f>
        <v>0</v>
      </c>
      <c r="V41" s="4">
        <f>(VLOOKUP('14.05'!AD41,'14.05'!$AM$4:$AO$55,3,FALSE))</f>
        <v>0</v>
      </c>
      <c r="W41" s="5">
        <f>(VLOOKUP('14.05'!AE41,'14.05'!$AM$4:$AO$55,3,FALSE))</f>
        <v>0</v>
      </c>
      <c r="X41" s="5">
        <f>(VLOOKUP('14.05'!AF41,'14.05'!$AM$4:$AO$55,3,FALSE))</f>
        <v>0</v>
      </c>
    </row>
    <row r="42" spans="1:24">
      <c r="A42" s="4">
        <f>(VLOOKUP('14.05'!I42,'14.05'!$AM$4:$AO$55,3,FALSE))</f>
        <v>45</v>
      </c>
      <c r="B42" s="4">
        <f>(VLOOKUP('14.05'!J42,'14.05'!$AM$4:$AO$55,3,FALSE))</f>
        <v>45</v>
      </c>
      <c r="C42" s="4">
        <f>(VLOOKUP('14.05'!K42,'14.05'!$AM$4:$AO$55,3,FALSE))</f>
        <v>45</v>
      </c>
      <c r="D42" s="4">
        <f>(VLOOKUP('14.05'!L42,'14.05'!$AM$4:$AO$55,3,FALSE))</f>
        <v>45</v>
      </c>
      <c r="E42" s="4">
        <f>(VLOOKUP('14.05'!M42,'14.05'!$AM$4:$AO$55,3,FALSE))</f>
        <v>45</v>
      </c>
      <c r="F42" s="4">
        <f>(VLOOKUP('14.05'!N42,'14.05'!$AM$4:$AO$55,3,FALSE))</f>
        <v>45</v>
      </c>
      <c r="G42" s="5">
        <f>(VLOOKUP('14.05'!O42,'14.05'!$AM$4:$AO$55,3,FALSE))</f>
        <v>0</v>
      </c>
      <c r="H42" s="5">
        <f>(VLOOKUP('14.05'!P42,'14.05'!$AM$4:$AO$55,3,FALSE))</f>
        <v>0</v>
      </c>
      <c r="I42" s="4">
        <f>(VLOOKUP('14.05'!Q42,'14.05'!$AM$4:$AO$55,3,FALSE))</f>
        <v>55</v>
      </c>
      <c r="J42" s="4">
        <f>(VLOOKUP('14.05'!R42,'14.05'!$AM$4:$AO$55,3,FALSE))</f>
        <v>55</v>
      </c>
      <c r="K42" s="4">
        <f>(VLOOKUP('14.05'!S42,'14.05'!$AM$4:$AO$55,3,FALSE))</f>
        <v>55</v>
      </c>
      <c r="L42" s="4">
        <f>(VLOOKUP('14.05'!T42,'14.05'!$AM$4:$AO$55,3,FALSE))</f>
        <v>60</v>
      </c>
      <c r="M42" s="4">
        <f>(VLOOKUP('14.05'!U42,'14.05'!$AM$4:$AO$55,3,FALSE))</f>
        <v>60</v>
      </c>
      <c r="N42" s="4">
        <f>(VLOOKUP('14.05'!V42,'14.05'!$AM$4:$AO$55,3,FALSE))</f>
        <v>0</v>
      </c>
      <c r="O42" s="5">
        <f>(VLOOKUP('14.05'!W42,'14.05'!$AM$4:$AO$55,3,FALSE))</f>
        <v>0</v>
      </c>
      <c r="P42" s="5">
        <f>(VLOOKUP('14.05'!X42,'14.05'!$AM$4:$AO$55,3,FALSE))</f>
        <v>0</v>
      </c>
      <c r="Q42" s="4">
        <f>(VLOOKUP('14.05'!Y42,'14.05'!$AM$4:$AO$55,3,FALSE))</f>
        <v>0</v>
      </c>
      <c r="R42" s="4">
        <f>(VLOOKUP('14.05'!Z42,'14.05'!$AM$4:$AO$55,3,FALSE))</f>
        <v>0</v>
      </c>
      <c r="S42" s="4">
        <f>(VLOOKUP('14.05'!AA42,'14.05'!$AM$4:$AO$55,3,FALSE))</f>
        <v>0</v>
      </c>
      <c r="T42" s="4">
        <f>(VLOOKUP('14.05'!AB42,'14.05'!$AM$4:$AO$55,3,FALSE))</f>
        <v>0</v>
      </c>
      <c r="U42" s="4">
        <f>(VLOOKUP('14.05'!AC42,'14.05'!$AM$4:$AO$55,3,FALSE))</f>
        <v>0</v>
      </c>
      <c r="V42" s="4">
        <f>(VLOOKUP('14.05'!AD42,'14.05'!$AM$4:$AO$55,3,FALSE))</f>
        <v>0</v>
      </c>
      <c r="W42" s="5">
        <f>(VLOOKUP('14.05'!AE42,'14.05'!$AM$4:$AO$55,3,FALSE))</f>
        <v>0</v>
      </c>
      <c r="X42" s="5">
        <f>(VLOOKUP('14.05'!AF42,'14.05'!$AM$4:$AO$55,3,FALSE))</f>
        <v>0</v>
      </c>
    </row>
    <row r="43" spans="1:24">
      <c r="A43" s="4">
        <f>(VLOOKUP('14.05'!I43,'14.05'!$AM$4:$AO$55,3,FALSE))</f>
        <v>45</v>
      </c>
      <c r="B43" s="4">
        <f>(VLOOKUP('14.05'!J43,'14.05'!$AM$4:$AO$55,3,FALSE))</f>
        <v>45</v>
      </c>
      <c r="C43" s="4">
        <f>(VLOOKUP('14.05'!K43,'14.05'!$AM$4:$AO$55,3,FALSE))</f>
        <v>45</v>
      </c>
      <c r="D43" s="4">
        <f>(VLOOKUP('14.05'!L43,'14.05'!$AM$4:$AO$55,3,FALSE))</f>
        <v>45</v>
      </c>
      <c r="E43" s="4">
        <f>(VLOOKUP('14.05'!M43,'14.05'!$AM$4:$AO$55,3,FALSE))</f>
        <v>45</v>
      </c>
      <c r="F43" s="4">
        <f>(VLOOKUP('14.05'!N43,'14.05'!$AM$4:$AO$55,3,FALSE))</f>
        <v>45</v>
      </c>
      <c r="G43" s="5">
        <f>(VLOOKUP('14.05'!O43,'14.05'!$AM$4:$AO$55,3,FALSE))</f>
        <v>0</v>
      </c>
      <c r="H43" s="5">
        <f>(VLOOKUP('14.05'!P43,'14.05'!$AM$4:$AO$55,3,FALSE))</f>
        <v>0</v>
      </c>
      <c r="I43" s="4">
        <f>(VLOOKUP('14.05'!Q43,'14.05'!$AM$4:$AO$55,3,FALSE))</f>
        <v>60</v>
      </c>
      <c r="J43" s="4">
        <f>(VLOOKUP('14.05'!R43,'14.05'!$AM$4:$AO$55,3,FALSE))</f>
        <v>60</v>
      </c>
      <c r="K43" s="4">
        <f>(VLOOKUP('14.05'!S43,'14.05'!$AM$4:$AO$55,3,FALSE))</f>
        <v>60</v>
      </c>
      <c r="L43" s="4">
        <f>(VLOOKUP('14.05'!T43,'14.05'!$AM$4:$AO$55,3,FALSE))</f>
        <v>60</v>
      </c>
      <c r="M43" s="4">
        <f>(VLOOKUP('14.05'!U43,'14.05'!$AM$4:$AO$55,3,FALSE))</f>
        <v>60</v>
      </c>
      <c r="N43" s="4">
        <f>(VLOOKUP('14.05'!V43,'14.05'!$AM$4:$AO$55,3,FALSE))</f>
        <v>0</v>
      </c>
      <c r="O43" s="5">
        <f>(VLOOKUP('14.05'!W43,'14.05'!$AM$4:$AO$55,3,FALSE))</f>
        <v>0</v>
      </c>
      <c r="P43" s="5">
        <f>(VLOOKUP('14.05'!X43,'14.05'!$AM$4:$AO$55,3,FALSE))</f>
        <v>0</v>
      </c>
      <c r="Q43" s="4">
        <f>(VLOOKUP('14.05'!Y43,'14.05'!$AM$4:$AO$55,3,FALSE))</f>
        <v>0</v>
      </c>
      <c r="R43" s="4">
        <f>(VLOOKUP('14.05'!Z43,'14.05'!$AM$4:$AO$55,3,FALSE))</f>
        <v>0</v>
      </c>
      <c r="S43" s="4">
        <f>(VLOOKUP('14.05'!AA43,'14.05'!$AM$4:$AO$55,3,FALSE))</f>
        <v>0</v>
      </c>
      <c r="T43" s="4">
        <f>(VLOOKUP('14.05'!AB43,'14.05'!$AM$4:$AO$55,3,FALSE))</f>
        <v>0</v>
      </c>
      <c r="U43" s="4">
        <f>(VLOOKUP('14.05'!AC43,'14.05'!$AM$4:$AO$55,3,FALSE))</f>
        <v>0</v>
      </c>
      <c r="V43" s="4">
        <f>(VLOOKUP('14.05'!AD43,'14.05'!$AM$4:$AO$55,3,FALSE))</f>
        <v>0</v>
      </c>
      <c r="W43" s="5">
        <f>(VLOOKUP('14.05'!AE43,'14.05'!$AM$4:$AO$55,3,FALSE))</f>
        <v>0</v>
      </c>
      <c r="X43" s="5">
        <f>(VLOOKUP('14.05'!AF43,'14.05'!$AM$4:$AO$55,3,FALSE))</f>
        <v>0</v>
      </c>
    </row>
    <row r="44" spans="1:24">
      <c r="A44" s="4">
        <f>(VLOOKUP('14.05'!I44,'14.05'!$AM$4:$AO$55,3,FALSE))</f>
        <v>45</v>
      </c>
      <c r="B44" s="4">
        <f>(VLOOKUP('14.05'!J44,'14.05'!$AM$4:$AO$55,3,FALSE))</f>
        <v>45</v>
      </c>
      <c r="C44" s="4">
        <f>(VLOOKUP('14.05'!K44,'14.05'!$AM$4:$AO$55,3,FALSE))</f>
        <v>45</v>
      </c>
      <c r="D44" s="4">
        <f>(VLOOKUP('14.05'!L44,'14.05'!$AM$4:$AO$55,3,FALSE))</f>
        <v>45</v>
      </c>
      <c r="E44" s="4">
        <f>(VLOOKUP('14.05'!M44,'14.05'!$AM$4:$AO$55,3,FALSE))</f>
        <v>45</v>
      </c>
      <c r="F44" s="4">
        <f>(VLOOKUP('14.05'!N44,'14.05'!$AM$4:$AO$55,3,FALSE))</f>
        <v>45</v>
      </c>
      <c r="G44" s="5">
        <f>(VLOOKUP('14.05'!O44,'14.05'!$AM$4:$AO$55,3,FALSE))</f>
        <v>0</v>
      </c>
      <c r="H44" s="5">
        <f>(VLOOKUP('14.05'!P44,'14.05'!$AM$4:$AO$55,3,FALSE))</f>
        <v>0</v>
      </c>
      <c r="I44" s="4">
        <f>(VLOOKUP('14.05'!Q44,'14.05'!$AM$4:$AO$55,3,FALSE))</f>
        <v>60</v>
      </c>
      <c r="J44" s="4">
        <f>(VLOOKUP('14.05'!R44,'14.05'!$AM$4:$AO$55,3,FALSE))</f>
        <v>60</v>
      </c>
      <c r="K44" s="4">
        <f>(VLOOKUP('14.05'!S44,'14.05'!$AM$4:$AO$55,3,FALSE))</f>
        <v>60</v>
      </c>
      <c r="L44" s="4">
        <f>(VLOOKUP('14.05'!T44,'14.05'!$AM$4:$AO$55,3,FALSE))</f>
        <v>60</v>
      </c>
      <c r="M44" s="4">
        <f>(VLOOKUP('14.05'!U44,'14.05'!$AM$4:$AO$55,3,FALSE))</f>
        <v>60</v>
      </c>
      <c r="N44" s="4">
        <f>(VLOOKUP('14.05'!V44,'14.05'!$AM$4:$AO$55,3,FALSE))</f>
        <v>0</v>
      </c>
      <c r="O44" s="5">
        <f>(VLOOKUP('14.05'!W44,'14.05'!$AM$4:$AO$55,3,FALSE))</f>
        <v>0</v>
      </c>
      <c r="P44" s="5">
        <f>(VLOOKUP('14.05'!X44,'14.05'!$AM$4:$AO$55,3,FALSE))</f>
        <v>0</v>
      </c>
      <c r="Q44" s="4">
        <f>(VLOOKUP('14.05'!Y44,'14.05'!$AM$4:$AO$55,3,FALSE))</f>
        <v>0</v>
      </c>
      <c r="R44" s="4">
        <f>(VLOOKUP('14.05'!Z44,'14.05'!$AM$4:$AO$55,3,FALSE))</f>
        <v>0</v>
      </c>
      <c r="S44" s="4">
        <f>(VLOOKUP('14.05'!AA44,'14.05'!$AM$4:$AO$55,3,FALSE))</f>
        <v>0</v>
      </c>
      <c r="T44" s="4">
        <f>(VLOOKUP('14.05'!AB44,'14.05'!$AM$4:$AO$55,3,FALSE))</f>
        <v>0</v>
      </c>
      <c r="U44" s="4">
        <f>(VLOOKUP('14.05'!AC44,'14.05'!$AM$4:$AO$55,3,FALSE))</f>
        <v>0</v>
      </c>
      <c r="V44" s="4">
        <f>(VLOOKUP('14.05'!AD44,'14.05'!$AM$4:$AO$55,3,FALSE))</f>
        <v>0</v>
      </c>
      <c r="W44" s="5">
        <f>(VLOOKUP('14.05'!AE44,'14.05'!$AM$4:$AO$55,3,FALSE))</f>
        <v>0</v>
      </c>
      <c r="X44" s="5">
        <f>(VLOOKUP('14.05'!AF44,'14.05'!$AM$4:$AO$55,3,FALSE))</f>
        <v>0</v>
      </c>
    </row>
    <row r="45" spans="1:24">
      <c r="A45" s="4">
        <f>(VLOOKUP('14.05'!I45,'14.05'!$AM$4:$AO$55,3,FALSE))</f>
        <v>45</v>
      </c>
      <c r="B45" s="4">
        <f>(VLOOKUP('14.05'!J45,'14.05'!$AM$4:$AO$55,3,FALSE))</f>
        <v>30</v>
      </c>
      <c r="C45" s="4">
        <f>(VLOOKUP('14.05'!K45,'14.05'!$AM$4:$AO$55,3,FALSE))</f>
        <v>45</v>
      </c>
      <c r="D45" s="4">
        <f>(VLOOKUP('14.05'!L45,'14.05'!$AM$4:$AO$55,3,FALSE))</f>
        <v>0</v>
      </c>
      <c r="E45" s="4">
        <f>(VLOOKUP('14.05'!M45,'14.05'!$AM$4:$AO$55,3,FALSE))</f>
        <v>0</v>
      </c>
      <c r="F45" s="4">
        <f>(VLOOKUP('14.05'!N45,'14.05'!$AM$4:$AO$55,3,FALSE))</f>
        <v>0</v>
      </c>
      <c r="G45" s="5">
        <f>(VLOOKUP('14.05'!O45,'14.05'!$AM$4:$AO$55,3,FALSE))</f>
        <v>0</v>
      </c>
      <c r="H45" s="5">
        <f>(VLOOKUP('14.05'!P45,'14.05'!$AM$4:$AO$55,3,FALSE))</f>
        <v>0</v>
      </c>
      <c r="I45" s="4">
        <f>(VLOOKUP('14.05'!Q45,'14.05'!$AM$4:$AO$55,3,FALSE))</f>
        <v>60</v>
      </c>
      <c r="J45" s="4">
        <f>(VLOOKUP('14.05'!R45,'14.05'!$AM$4:$AO$55,3,FALSE))</f>
        <v>60</v>
      </c>
      <c r="K45" s="4">
        <f>(VLOOKUP('14.05'!S45,'14.05'!$AM$4:$AO$55,3,FALSE))</f>
        <v>60</v>
      </c>
      <c r="L45" s="4">
        <f>(VLOOKUP('14.05'!T45,'14.05'!$AM$4:$AO$55,3,FALSE))</f>
        <v>60</v>
      </c>
      <c r="M45" s="4">
        <f>(VLOOKUP('14.05'!U45,'14.05'!$AM$4:$AO$55,3,FALSE))</f>
        <v>60</v>
      </c>
      <c r="N45" s="4">
        <f>(VLOOKUP('14.05'!V45,'14.05'!$AM$4:$AO$55,3,FALSE))</f>
        <v>1000</v>
      </c>
      <c r="O45" s="5">
        <f>(VLOOKUP('14.05'!W45,'14.05'!$AM$4:$AO$55,3,FALSE))</f>
        <v>0</v>
      </c>
      <c r="P45" s="5">
        <f>(VLOOKUP('14.05'!X45,'14.05'!$AM$4:$AO$55,3,FALSE))</f>
        <v>0</v>
      </c>
      <c r="Q45" s="4">
        <f>(VLOOKUP('14.05'!Y45,'14.05'!$AM$4:$AO$55,3,FALSE))</f>
        <v>45</v>
      </c>
      <c r="R45" s="4">
        <f>(VLOOKUP('14.05'!Z45,'14.05'!$AM$4:$AO$55,3,FALSE))</f>
        <v>0</v>
      </c>
      <c r="S45" s="4">
        <f>(VLOOKUP('14.05'!AA45,'14.05'!$AM$4:$AO$55,3,FALSE))</f>
        <v>0</v>
      </c>
      <c r="T45" s="4">
        <f>(VLOOKUP('14.05'!AB45,'14.05'!$AM$4:$AO$55,3,FALSE))</f>
        <v>0</v>
      </c>
      <c r="U45" s="4">
        <f>(VLOOKUP('14.05'!AC45,'14.05'!$AM$4:$AO$55,3,FALSE))</f>
        <v>0</v>
      </c>
      <c r="V45" s="4">
        <f>(VLOOKUP('14.05'!AD45,'14.05'!$AM$4:$AO$55,3,FALSE))</f>
        <v>0</v>
      </c>
      <c r="W45" s="5">
        <f>(VLOOKUP('14.05'!AE45,'14.05'!$AM$4:$AO$55,3,FALSE))</f>
        <v>0</v>
      </c>
      <c r="X45" s="5">
        <f>(VLOOKUP('14.05'!AF45,'14.05'!$AM$4:$AO$55,3,FALSE))</f>
        <v>0</v>
      </c>
    </row>
    <row r="46" spans="1:24">
      <c r="A46" s="4">
        <f>(VLOOKUP('14.05'!I46,'14.05'!$AM$4:$AO$55,3,FALSE))</f>
        <v>50</v>
      </c>
      <c r="B46" s="4">
        <f>(VLOOKUP('14.05'!J46,'14.05'!$AM$4:$AO$55,3,FALSE))</f>
        <v>50</v>
      </c>
      <c r="C46" s="4">
        <f>(VLOOKUP('14.05'!K46,'14.05'!$AM$4:$AO$55,3,FALSE))</f>
        <v>50</v>
      </c>
      <c r="D46" s="4">
        <f>(VLOOKUP('14.05'!L46,'14.05'!$AM$4:$AO$55,3,FALSE))</f>
        <v>50</v>
      </c>
      <c r="E46" s="4">
        <f>(VLOOKUP('14.05'!M46,'14.05'!$AM$4:$AO$55,3,FALSE))</f>
        <v>50</v>
      </c>
      <c r="F46" s="4">
        <f>(VLOOKUP('14.05'!N46,'14.05'!$AM$4:$AO$55,3,FALSE))</f>
        <v>50</v>
      </c>
      <c r="G46" s="5">
        <f>(VLOOKUP('14.05'!O46,'14.05'!$AM$4:$AO$55,3,FALSE))</f>
        <v>0</v>
      </c>
      <c r="H46" s="5">
        <f>(VLOOKUP('14.05'!P46,'14.05'!$AM$4:$AO$55,3,FALSE))</f>
        <v>0</v>
      </c>
      <c r="I46" s="4">
        <f>(VLOOKUP('14.05'!Q46,'14.05'!$AM$4:$AO$55,3,FALSE))</f>
        <v>60</v>
      </c>
      <c r="J46" s="4">
        <f>(VLOOKUP('14.05'!R46,'14.05'!$AM$4:$AO$55,3,FALSE))</f>
        <v>60</v>
      </c>
      <c r="K46" s="4">
        <f>(VLOOKUP('14.05'!S46,'14.05'!$AM$4:$AO$55,3,FALSE))</f>
        <v>60</v>
      </c>
      <c r="L46" s="4">
        <f>(VLOOKUP('14.05'!T46,'14.05'!$AM$4:$AO$55,3,FALSE))</f>
        <v>60</v>
      </c>
      <c r="M46" s="4">
        <f>(VLOOKUP('14.05'!U46,'14.05'!$AM$4:$AO$55,3,FALSE))</f>
        <v>60</v>
      </c>
      <c r="N46" s="4">
        <f>(VLOOKUP('14.05'!V46,'14.05'!$AM$4:$AO$55,3,FALSE))</f>
        <v>60</v>
      </c>
      <c r="O46" s="5">
        <f>(VLOOKUP('14.05'!W46,'14.05'!$AM$4:$AO$55,3,FALSE))</f>
        <v>0</v>
      </c>
      <c r="P46" s="5">
        <f>(VLOOKUP('14.05'!X46,'14.05'!$AM$4:$AO$55,3,FALSE))</f>
        <v>0</v>
      </c>
      <c r="Q46" s="4">
        <f>(VLOOKUP('14.05'!Y46,'14.05'!$AM$4:$AO$55,3,FALSE))</f>
        <v>0</v>
      </c>
      <c r="R46" s="4">
        <f>(VLOOKUP('14.05'!Z46,'14.05'!$AM$4:$AO$55,3,FALSE))</f>
        <v>0</v>
      </c>
      <c r="S46" s="4">
        <f>(VLOOKUP('14.05'!AA46,'14.05'!$AM$4:$AO$55,3,FALSE))</f>
        <v>0</v>
      </c>
      <c r="T46" s="4">
        <f>(VLOOKUP('14.05'!AB46,'14.05'!$AM$4:$AO$55,3,FALSE))</f>
        <v>0</v>
      </c>
      <c r="U46" s="4">
        <f>(VLOOKUP('14.05'!AC46,'14.05'!$AM$4:$AO$55,3,FALSE))</f>
        <v>0</v>
      </c>
      <c r="V46" s="4">
        <f>(VLOOKUP('14.05'!AD46,'14.05'!$AM$4:$AO$55,3,FALSE))</f>
        <v>0</v>
      </c>
      <c r="W46" s="5">
        <f>(VLOOKUP('14.05'!AE46,'14.05'!$AM$4:$AO$55,3,FALSE))</f>
        <v>0</v>
      </c>
      <c r="X46" s="5">
        <f>(VLOOKUP('14.05'!AF46,'14.05'!$AM$4:$AO$55,3,FALSE))</f>
        <v>0</v>
      </c>
    </row>
    <row r="47" spans="1:24">
      <c r="A47" s="4">
        <f>(VLOOKUP('14.05'!I47,'14.05'!$AM$4:$AO$55,3,FALSE))</f>
        <v>30</v>
      </c>
      <c r="B47" s="4">
        <f>(VLOOKUP('14.05'!J47,'14.05'!$AM$4:$AO$55,3,FALSE))</f>
        <v>50</v>
      </c>
      <c r="C47" s="4">
        <f>(VLOOKUP('14.05'!K47,'14.05'!$AM$4:$AO$55,3,FALSE))</f>
        <v>50</v>
      </c>
      <c r="D47" s="4">
        <f>(VLOOKUP('14.05'!L47,'14.05'!$AM$4:$AO$55,3,FALSE))</f>
        <v>50</v>
      </c>
      <c r="E47" s="4">
        <f>(VLOOKUP('14.05'!M47,'14.05'!$AM$4:$AO$55,3,FALSE))</f>
        <v>50</v>
      </c>
      <c r="F47" s="4">
        <f>(VLOOKUP('14.05'!N47,'14.05'!$AM$4:$AO$55,3,FALSE))</f>
        <v>50</v>
      </c>
      <c r="G47" s="5">
        <f>(VLOOKUP('14.05'!O47,'14.05'!$AM$4:$AO$55,3,FALSE))</f>
        <v>0</v>
      </c>
      <c r="H47" s="5">
        <f>(VLOOKUP('14.05'!P47,'14.05'!$AM$4:$AO$55,3,FALSE))</f>
        <v>0</v>
      </c>
      <c r="I47" s="4">
        <f>(VLOOKUP('14.05'!Q47,'14.05'!$AM$4:$AO$55,3,FALSE))</f>
        <v>60</v>
      </c>
      <c r="J47" s="4">
        <f>(VLOOKUP('14.05'!R47,'14.05'!$AM$4:$AO$55,3,FALSE))</f>
        <v>55</v>
      </c>
      <c r="K47" s="4">
        <f>(VLOOKUP('14.05'!S47,'14.05'!$AM$4:$AO$55,3,FALSE))</f>
        <v>55</v>
      </c>
      <c r="L47" s="4">
        <f>(VLOOKUP('14.05'!T47,'14.05'!$AM$4:$AO$55,3,FALSE))</f>
        <v>55</v>
      </c>
      <c r="M47" s="4">
        <f>(VLOOKUP('14.05'!U47,'14.05'!$AM$4:$AO$55,3,FALSE))</f>
        <v>55</v>
      </c>
      <c r="N47" s="4">
        <f>(VLOOKUP('14.05'!V47,'14.05'!$AM$4:$AO$55,3,FALSE))</f>
        <v>55</v>
      </c>
      <c r="O47" s="5">
        <f>(VLOOKUP('14.05'!W47,'14.05'!$AM$4:$AO$55,3,FALSE))</f>
        <v>0</v>
      </c>
      <c r="P47" s="5">
        <f>(VLOOKUP('14.05'!X47,'14.05'!$AM$4:$AO$55,3,FALSE))</f>
        <v>0</v>
      </c>
      <c r="Q47" s="4">
        <f>(VLOOKUP('14.05'!Y47,'14.05'!$AM$4:$AO$55,3,FALSE))</f>
        <v>0</v>
      </c>
      <c r="R47" s="4">
        <f>(VLOOKUP('14.05'!Z47,'14.05'!$AM$4:$AO$55,3,FALSE))</f>
        <v>0</v>
      </c>
      <c r="S47" s="4">
        <f>(VLOOKUP('14.05'!AA47,'14.05'!$AM$4:$AO$55,3,FALSE))</f>
        <v>0</v>
      </c>
      <c r="T47" s="4">
        <f>(VLOOKUP('14.05'!AB47,'14.05'!$AM$4:$AO$55,3,FALSE))</f>
        <v>0</v>
      </c>
      <c r="U47" s="4">
        <f>(VLOOKUP('14.05'!AC47,'14.05'!$AM$4:$AO$55,3,FALSE))</f>
        <v>0</v>
      </c>
      <c r="V47" s="4">
        <f>(VLOOKUP('14.05'!AD47,'14.05'!$AM$4:$AO$55,3,FALSE))</f>
        <v>0</v>
      </c>
      <c r="W47" s="5">
        <f>(VLOOKUP('14.05'!AE47,'14.05'!$AM$4:$AO$55,3,FALSE))</f>
        <v>0</v>
      </c>
      <c r="X47" s="5">
        <f>(VLOOKUP('14.05'!AF47,'14.05'!$AM$4:$AO$55,3,FALSE))</f>
        <v>0</v>
      </c>
    </row>
    <row r="48" spans="1:24">
      <c r="A48" s="4">
        <f>(VLOOKUP('14.05'!I48,'14.05'!$AM$4:$AO$55,3,FALSE))</f>
        <v>50</v>
      </c>
      <c r="B48" s="4">
        <f>(VLOOKUP('14.05'!J48,'14.05'!$AM$4:$AO$55,3,FALSE))</f>
        <v>50</v>
      </c>
      <c r="C48" s="4">
        <f>(VLOOKUP('14.05'!K48,'14.05'!$AM$4:$AO$55,3,FALSE))</f>
        <v>50</v>
      </c>
      <c r="D48" s="4">
        <f>(VLOOKUP('14.05'!L48,'14.05'!$AM$4:$AO$55,3,FALSE))</f>
        <v>50</v>
      </c>
      <c r="E48" s="4">
        <f>(VLOOKUP('14.05'!M48,'14.05'!$AM$4:$AO$55,3,FALSE))</f>
        <v>50</v>
      </c>
      <c r="F48" s="4">
        <f>(VLOOKUP('14.05'!N48,'14.05'!$AM$4:$AO$55,3,FALSE))</f>
        <v>50</v>
      </c>
      <c r="G48" s="5">
        <f>(VLOOKUP('14.05'!O48,'14.05'!$AM$4:$AO$55,3,FALSE))</f>
        <v>0</v>
      </c>
      <c r="H48" s="5">
        <f>(VLOOKUP('14.05'!P48,'14.05'!$AM$4:$AO$55,3,FALSE))</f>
        <v>0</v>
      </c>
      <c r="I48" s="4">
        <f>(VLOOKUP('14.05'!Q48,'14.05'!$AM$4:$AO$55,3,FALSE))</f>
        <v>55</v>
      </c>
      <c r="J48" s="4">
        <f>(VLOOKUP('14.05'!R48,'14.05'!$AM$4:$AO$55,3,FALSE))</f>
        <v>55</v>
      </c>
      <c r="K48" s="4">
        <f>(VLOOKUP('14.05'!S48,'14.05'!$AM$4:$AO$55,3,FALSE))</f>
        <v>55</v>
      </c>
      <c r="L48" s="4">
        <f>(VLOOKUP('14.05'!T48,'14.05'!$AM$4:$AO$55,3,FALSE))</f>
        <v>55</v>
      </c>
      <c r="M48" s="4">
        <f>(VLOOKUP('14.05'!U48,'14.05'!$AM$4:$AO$55,3,FALSE))</f>
        <v>520</v>
      </c>
      <c r="N48" s="4">
        <f>(VLOOKUP('14.05'!V48,'14.05'!$AM$4:$AO$55,3,FALSE))</f>
        <v>55</v>
      </c>
      <c r="O48" s="5">
        <f>(VLOOKUP('14.05'!W48,'14.05'!$AM$4:$AO$55,3,FALSE))</f>
        <v>0</v>
      </c>
      <c r="P48" s="5">
        <f>(VLOOKUP('14.05'!X48,'14.05'!$AM$4:$AO$55,3,FALSE))</f>
        <v>0</v>
      </c>
      <c r="Q48" s="4">
        <f>(VLOOKUP('14.05'!Y48,'14.05'!$AM$4:$AO$55,3,FALSE))</f>
        <v>0</v>
      </c>
      <c r="R48" s="4">
        <f>(VLOOKUP('14.05'!Z48,'14.05'!$AM$4:$AO$55,3,FALSE))</f>
        <v>0</v>
      </c>
      <c r="S48" s="4">
        <f>(VLOOKUP('14.05'!AA48,'14.05'!$AM$4:$AO$55,3,FALSE))</f>
        <v>0</v>
      </c>
      <c r="T48" s="4">
        <f>(VLOOKUP('14.05'!AB48,'14.05'!$AM$4:$AO$55,3,FALSE))</f>
        <v>0</v>
      </c>
      <c r="U48" s="4">
        <f>(VLOOKUP('14.05'!AC48,'14.05'!$AM$4:$AO$55,3,FALSE))</f>
        <v>0</v>
      </c>
      <c r="V48" s="4">
        <f>(VLOOKUP('14.05'!AD48,'14.05'!$AM$4:$AO$55,3,FALSE))</f>
        <v>0</v>
      </c>
      <c r="W48" s="5">
        <f>(VLOOKUP('14.05'!AE48,'14.05'!$AM$4:$AO$55,3,FALSE))</f>
        <v>0</v>
      </c>
      <c r="X48" s="5">
        <f>(VLOOKUP('14.05'!AF48,'14.05'!$AM$4:$AO$55,3,FALSE))</f>
        <v>0</v>
      </c>
    </row>
    <row r="49" spans="1:24">
      <c r="A49" s="4">
        <f>(VLOOKUP('14.05'!I49,'14.05'!$AM$4:$AO$55,3,FALSE))</f>
        <v>50</v>
      </c>
      <c r="B49" s="4">
        <f>(VLOOKUP('14.05'!J49,'14.05'!$AM$4:$AO$55,3,FALSE))</f>
        <v>50</v>
      </c>
      <c r="C49" s="4">
        <f>(VLOOKUP('14.05'!K49,'14.05'!$AM$4:$AO$55,3,FALSE))</f>
        <v>50</v>
      </c>
      <c r="D49" s="4">
        <f>(VLOOKUP('14.05'!L49,'14.05'!$AM$4:$AO$55,3,FALSE))</f>
        <v>50</v>
      </c>
      <c r="E49" s="4">
        <f>(VLOOKUP('14.05'!M49,'14.05'!$AM$4:$AO$55,3,FALSE))</f>
        <v>50</v>
      </c>
      <c r="F49" s="4">
        <f>(VLOOKUP('14.05'!N49,'14.05'!$AM$4:$AO$55,3,FALSE))</f>
        <v>50</v>
      </c>
      <c r="G49" s="5">
        <f>(VLOOKUP('14.05'!O49,'14.05'!$AM$4:$AO$55,3,FALSE))</f>
        <v>0</v>
      </c>
      <c r="H49" s="5">
        <f>(VLOOKUP('14.05'!P49,'14.05'!$AM$4:$AO$55,3,FALSE))</f>
        <v>0</v>
      </c>
      <c r="I49" s="4">
        <f>(VLOOKUP('14.05'!Q49,'14.05'!$AM$4:$AO$55,3,FALSE))</f>
        <v>55</v>
      </c>
      <c r="J49" s="4">
        <f>(VLOOKUP('14.05'!R49,'14.05'!$AM$4:$AO$55,3,FALSE))</f>
        <v>55</v>
      </c>
      <c r="K49" s="4">
        <f>(VLOOKUP('14.05'!S49,'14.05'!$AM$4:$AO$55,3,FALSE))</f>
        <v>55</v>
      </c>
      <c r="L49" s="4">
        <f>(VLOOKUP('14.05'!T49,'14.05'!$AM$4:$AO$55,3,FALSE))</f>
        <v>55</v>
      </c>
      <c r="M49" s="4">
        <f>(VLOOKUP('14.05'!U49,'14.05'!$AM$4:$AO$55,3,FALSE))</f>
        <v>0</v>
      </c>
      <c r="N49" s="4">
        <f>(VLOOKUP('14.05'!V49,'14.05'!$AM$4:$AO$55,3,FALSE))</f>
        <v>0</v>
      </c>
      <c r="O49" s="5">
        <f>(VLOOKUP('14.05'!W49,'14.05'!$AM$4:$AO$55,3,FALSE))</f>
        <v>0</v>
      </c>
      <c r="P49" s="5">
        <f>(VLOOKUP('14.05'!X49,'14.05'!$AM$4:$AO$55,3,FALSE))</f>
        <v>0</v>
      </c>
      <c r="Q49" s="4">
        <f>(VLOOKUP('14.05'!Y49,'14.05'!$AM$4:$AO$55,3,FALSE))</f>
        <v>0</v>
      </c>
      <c r="R49" s="4">
        <f>(VLOOKUP('14.05'!Z49,'14.05'!$AM$4:$AO$55,3,FALSE))</f>
        <v>0</v>
      </c>
      <c r="S49" s="4">
        <f>(VLOOKUP('14.05'!AA49,'14.05'!$AM$4:$AO$55,3,FALSE))</f>
        <v>0</v>
      </c>
      <c r="T49" s="4">
        <f>(VLOOKUP('14.05'!AB49,'14.05'!$AM$4:$AO$55,3,FALSE))</f>
        <v>0</v>
      </c>
      <c r="U49" s="4">
        <f>(VLOOKUP('14.05'!AC49,'14.05'!$AM$4:$AO$55,3,FALSE))</f>
        <v>0</v>
      </c>
      <c r="V49" s="4">
        <f>(VLOOKUP('14.05'!AD49,'14.05'!$AM$4:$AO$55,3,FALSE))</f>
        <v>0</v>
      </c>
      <c r="W49" s="5">
        <f>(VLOOKUP('14.05'!AE49,'14.05'!$AM$4:$AO$55,3,FALSE))</f>
        <v>0</v>
      </c>
      <c r="X49" s="5">
        <f>(VLOOKUP('14.05'!AF49,'14.05'!$AM$4:$AO$55,3,FALSE))</f>
        <v>0</v>
      </c>
    </row>
    <row r="50" spans="1:24">
      <c r="A50" s="4">
        <f>(VLOOKUP('14.05'!I50,'14.05'!$AM$4:$AO$55,3,FALSE))</f>
        <v>50</v>
      </c>
      <c r="B50" s="4">
        <f>(VLOOKUP('14.05'!J50,'14.05'!$AM$4:$AO$55,3,FALSE))</f>
        <v>50</v>
      </c>
      <c r="C50" s="4">
        <f>(VLOOKUP('14.05'!K50,'14.05'!$AM$4:$AO$55,3,FALSE))</f>
        <v>0</v>
      </c>
      <c r="D50" s="4">
        <f>(VLOOKUP('14.05'!L50,'14.05'!$AM$4:$AO$55,3,FALSE))</f>
        <v>50</v>
      </c>
      <c r="E50" s="4">
        <f>(VLOOKUP('14.05'!M50,'14.05'!$AM$4:$AO$55,3,FALSE))</f>
        <v>50</v>
      </c>
      <c r="F50" s="4">
        <f>(VLOOKUP('14.05'!N50,'14.05'!$AM$4:$AO$55,3,FALSE))</f>
        <v>50</v>
      </c>
      <c r="G50" s="5">
        <f>(VLOOKUP('14.05'!O50,'14.05'!$AM$4:$AO$55,3,FALSE))</f>
        <v>0</v>
      </c>
      <c r="H50" s="5">
        <f>(VLOOKUP('14.05'!P50,'14.05'!$AM$4:$AO$55,3,FALSE))</f>
        <v>0</v>
      </c>
      <c r="I50" s="4">
        <f>(VLOOKUP('14.05'!Q50,'14.05'!$AM$4:$AO$55,3,FALSE))</f>
        <v>55</v>
      </c>
      <c r="J50" s="4">
        <f>(VLOOKUP('14.05'!R50,'14.05'!$AM$4:$AO$55,3,FALSE))</f>
        <v>55</v>
      </c>
      <c r="K50" s="4">
        <f>(VLOOKUP('14.05'!S50,'14.05'!$AM$4:$AO$55,3,FALSE))</f>
        <v>55</v>
      </c>
      <c r="L50" s="4">
        <f>(VLOOKUP('14.05'!T50,'14.05'!$AM$4:$AO$55,3,FALSE))</f>
        <v>55</v>
      </c>
      <c r="M50" s="4">
        <f>(VLOOKUP('14.05'!U50,'14.05'!$AM$4:$AO$55,3,FALSE))</f>
        <v>55</v>
      </c>
      <c r="N50" s="4">
        <f>(VLOOKUP('14.05'!V50,'14.05'!$AM$4:$AO$55,3,FALSE))</f>
        <v>55</v>
      </c>
      <c r="O50" s="5">
        <f>(VLOOKUP('14.05'!W50,'14.05'!$AM$4:$AO$55,3,FALSE))</f>
        <v>0</v>
      </c>
      <c r="P50" s="5">
        <f>(VLOOKUP('14.05'!X50,'14.05'!$AM$4:$AO$55,3,FALSE))</f>
        <v>0</v>
      </c>
      <c r="Q50" s="4">
        <f>(VLOOKUP('14.05'!Y50,'14.05'!$AM$4:$AO$55,3,FALSE))</f>
        <v>0</v>
      </c>
      <c r="R50" s="4">
        <f>(VLOOKUP('14.05'!Z50,'14.05'!$AM$4:$AO$55,3,FALSE))</f>
        <v>0</v>
      </c>
      <c r="S50" s="4">
        <f>(VLOOKUP('14.05'!AA50,'14.05'!$AM$4:$AO$55,3,FALSE))</f>
        <v>0</v>
      </c>
      <c r="T50" s="4">
        <f>(VLOOKUP('14.05'!AB50,'14.05'!$AM$4:$AO$55,3,FALSE))</f>
        <v>0</v>
      </c>
      <c r="U50" s="4">
        <f>(VLOOKUP('14.05'!AC50,'14.05'!$AM$4:$AO$55,3,FALSE))</f>
        <v>0</v>
      </c>
      <c r="V50" s="4">
        <f>(VLOOKUP('14.05'!AD50,'14.05'!$AM$4:$AO$55,3,FALSE))</f>
        <v>0</v>
      </c>
      <c r="W50" s="5">
        <f>(VLOOKUP('14.05'!AE50,'14.05'!$AM$4:$AO$55,3,FALSE))</f>
        <v>0</v>
      </c>
      <c r="X50" s="5">
        <f>(VLOOKUP('14.05'!AF50,'14.05'!$AM$4:$AO$55,3,FALSE))</f>
        <v>0</v>
      </c>
    </row>
    <row r="51" spans="1:24">
      <c r="A51" s="4">
        <f>(VLOOKUP('14.05'!I51,'14.05'!$AM$4:$AO$55,3,FALSE))</f>
        <v>55</v>
      </c>
      <c r="B51" s="4">
        <f>(VLOOKUP('14.05'!J51,'14.05'!$AM$4:$AO$55,3,FALSE))</f>
        <v>55</v>
      </c>
      <c r="C51" s="4">
        <f>(VLOOKUP('14.05'!K51,'14.05'!$AM$4:$AO$55,3,FALSE))</f>
        <v>55</v>
      </c>
      <c r="D51" s="4">
        <f>(VLOOKUP('14.05'!L51,'14.05'!$AM$4:$AO$55,3,FALSE))</f>
        <v>55</v>
      </c>
      <c r="E51" s="4">
        <f>(VLOOKUP('14.05'!M51,'14.05'!$AM$4:$AO$55,3,FALSE))</f>
        <v>55</v>
      </c>
      <c r="F51" s="4">
        <f>(VLOOKUP('14.05'!N51,'14.05'!$AM$4:$AO$55,3,FALSE))</f>
        <v>55</v>
      </c>
      <c r="G51" s="5">
        <f>(VLOOKUP('14.05'!O51,'14.05'!$AM$4:$AO$55,3,FALSE))</f>
        <v>0</v>
      </c>
      <c r="H51" s="5">
        <f>(VLOOKUP('14.05'!P51,'14.05'!$AM$4:$AO$55,3,FALSE))</f>
        <v>0</v>
      </c>
      <c r="I51" s="4">
        <f>(VLOOKUP('14.05'!Q51,'14.05'!$AM$4:$AO$55,3,FALSE))</f>
        <v>55</v>
      </c>
      <c r="J51" s="4">
        <f>(VLOOKUP('14.05'!R51,'14.05'!$AM$4:$AO$55,3,FALSE))</f>
        <v>55</v>
      </c>
      <c r="K51" s="4">
        <f>(VLOOKUP('14.05'!S51,'14.05'!$AM$4:$AO$55,3,FALSE))</f>
        <v>55</v>
      </c>
      <c r="L51" s="4">
        <f>(VLOOKUP('14.05'!T51,'14.05'!$AM$4:$AO$55,3,FALSE))</f>
        <v>55</v>
      </c>
      <c r="M51" s="4">
        <f>(VLOOKUP('14.05'!U51,'14.05'!$AM$4:$AO$55,3,FALSE))</f>
        <v>55</v>
      </c>
      <c r="N51" s="4">
        <f>(VLOOKUP('14.05'!V51,'14.05'!$AM$4:$AO$55,3,FALSE))</f>
        <v>55</v>
      </c>
      <c r="O51" s="5">
        <f>(VLOOKUP('14.05'!W51,'14.05'!$AM$4:$AO$55,3,FALSE))</f>
        <v>0</v>
      </c>
      <c r="P51" s="5">
        <f>(VLOOKUP('14.05'!X51,'14.05'!$AM$4:$AO$55,3,FALSE))</f>
        <v>0</v>
      </c>
      <c r="Q51" s="4">
        <f>(VLOOKUP('14.05'!Y51,'14.05'!$AM$4:$AO$55,3,FALSE))</f>
        <v>0</v>
      </c>
      <c r="R51" s="4">
        <f>(VLOOKUP('14.05'!Z51,'14.05'!$AM$4:$AO$55,3,FALSE))</f>
        <v>0</v>
      </c>
      <c r="S51" s="4">
        <f>(VLOOKUP('14.05'!AA51,'14.05'!$AM$4:$AO$55,3,FALSE))</f>
        <v>0</v>
      </c>
      <c r="T51" s="4">
        <f>(VLOOKUP('14.05'!AB51,'14.05'!$AM$4:$AO$55,3,FALSE))</f>
        <v>0</v>
      </c>
      <c r="U51" s="4">
        <f>(VLOOKUP('14.05'!AC51,'14.05'!$AM$4:$AO$55,3,FALSE))</f>
        <v>0</v>
      </c>
      <c r="V51" s="4">
        <f>(VLOOKUP('14.05'!AD51,'14.05'!$AM$4:$AO$55,3,FALSE))</f>
        <v>0</v>
      </c>
      <c r="W51" s="5">
        <f>(VLOOKUP('14.05'!AE51,'14.05'!$AM$4:$AO$55,3,FALSE))</f>
        <v>0</v>
      </c>
      <c r="X51" s="5">
        <f>(VLOOKUP('14.05'!AF51,'14.05'!$AM$4:$AO$55,3,FALSE))</f>
        <v>0</v>
      </c>
    </row>
    <row r="52" spans="1:24">
      <c r="A52" s="4">
        <f>(VLOOKUP('14.05'!I52,'14.05'!$AM$4:$AO$55,3,FALSE))</f>
        <v>55</v>
      </c>
      <c r="B52" s="4">
        <f>(VLOOKUP('14.05'!J52,'14.05'!$AM$4:$AO$55,3,FALSE))</f>
        <v>55</v>
      </c>
      <c r="C52" s="4">
        <f>(VLOOKUP('14.05'!K52,'14.05'!$AM$4:$AO$55,3,FALSE))</f>
        <v>55</v>
      </c>
      <c r="D52" s="4">
        <f>(VLOOKUP('14.05'!L52,'14.05'!$AM$4:$AO$55,3,FALSE))</f>
        <v>55</v>
      </c>
      <c r="E52" s="4">
        <f>(VLOOKUP('14.05'!M52,'14.05'!$AM$4:$AO$55,3,FALSE))</f>
        <v>55</v>
      </c>
      <c r="F52" s="4">
        <f>(VLOOKUP('14.05'!N52,'14.05'!$AM$4:$AO$55,3,FALSE))</f>
        <v>55</v>
      </c>
      <c r="G52" s="5">
        <f>(VLOOKUP('14.05'!O52,'14.05'!$AM$4:$AO$55,3,FALSE))</f>
        <v>0</v>
      </c>
      <c r="H52" s="5">
        <f>(VLOOKUP('14.05'!P52,'14.05'!$AM$4:$AO$55,3,FALSE))</f>
        <v>0</v>
      </c>
      <c r="I52" s="4">
        <f>(VLOOKUP('14.05'!Q52,'14.05'!$AM$4:$AO$55,3,FALSE))</f>
        <v>55</v>
      </c>
      <c r="J52" s="4">
        <f>(VLOOKUP('14.05'!R52,'14.05'!$AM$4:$AO$55,3,FALSE))</f>
        <v>55</v>
      </c>
      <c r="K52" s="4">
        <f>(VLOOKUP('14.05'!S52,'14.05'!$AM$4:$AO$55,3,FALSE))</f>
        <v>55</v>
      </c>
      <c r="L52" s="4">
        <f>(VLOOKUP('14.05'!T52,'14.05'!$AM$4:$AO$55,3,FALSE))</f>
        <v>55</v>
      </c>
      <c r="M52" s="4">
        <f>(VLOOKUP('14.05'!U52,'14.05'!$AM$4:$AO$55,3,FALSE))</f>
        <v>55</v>
      </c>
      <c r="N52" s="4">
        <f>(VLOOKUP('14.05'!V52,'14.05'!$AM$4:$AO$55,3,FALSE))</f>
        <v>0</v>
      </c>
      <c r="O52" s="5">
        <f>(VLOOKUP('14.05'!W52,'14.05'!$AM$4:$AO$55,3,FALSE))</f>
        <v>0</v>
      </c>
      <c r="P52" s="5">
        <f>(VLOOKUP('14.05'!X52,'14.05'!$AM$4:$AO$55,3,FALSE))</f>
        <v>0</v>
      </c>
      <c r="Q52" s="4">
        <f>(VLOOKUP('14.05'!Y52,'14.05'!$AM$4:$AO$55,3,FALSE))</f>
        <v>0</v>
      </c>
      <c r="R52" s="4">
        <f>(VLOOKUP('14.05'!Z52,'14.05'!$AM$4:$AO$55,3,FALSE))</f>
        <v>0</v>
      </c>
      <c r="S52" s="4">
        <f>(VLOOKUP('14.05'!AA52,'14.05'!$AM$4:$AO$55,3,FALSE))</f>
        <v>0</v>
      </c>
      <c r="T52" s="4">
        <f>(VLOOKUP('14.05'!AB52,'14.05'!$AM$4:$AO$55,3,FALSE))</f>
        <v>0</v>
      </c>
      <c r="U52" s="4">
        <f>(VLOOKUP('14.05'!AC52,'14.05'!$AM$4:$AO$55,3,FALSE))</f>
        <v>0</v>
      </c>
      <c r="V52" s="4">
        <f>(VLOOKUP('14.05'!AD52,'14.05'!$AM$4:$AO$55,3,FALSE))</f>
        <v>0</v>
      </c>
      <c r="W52" s="5">
        <f>(VLOOKUP('14.05'!AE52,'14.05'!$AM$4:$AO$55,3,FALSE))</f>
        <v>0</v>
      </c>
      <c r="X52" s="5">
        <f>(VLOOKUP('14.05'!AF52,'14.05'!$AM$4:$AO$55,3,FALSE))</f>
        <v>0</v>
      </c>
    </row>
    <row r="53" spans="1:24">
      <c r="A53" s="4">
        <f>(VLOOKUP('14.05'!I53,'14.05'!$AM$4:$AO$55,3,FALSE))</f>
        <v>55</v>
      </c>
      <c r="B53" s="4">
        <f>(VLOOKUP('14.05'!J53,'14.05'!$AM$4:$AO$55,3,FALSE))</f>
        <v>55</v>
      </c>
      <c r="C53" s="4">
        <f>(VLOOKUP('14.05'!K53,'14.05'!$AM$4:$AO$55,3,FALSE))</f>
        <v>55</v>
      </c>
      <c r="D53" s="4">
        <f>(VLOOKUP('14.05'!L53,'14.05'!$AM$4:$AO$55,3,FALSE))</f>
        <v>55</v>
      </c>
      <c r="E53" s="4">
        <f>(VLOOKUP('14.05'!M53,'14.05'!$AM$4:$AO$55,3,FALSE))</f>
        <v>55</v>
      </c>
      <c r="F53" s="4">
        <f>(VLOOKUP('14.05'!N53,'14.05'!$AM$4:$AO$55,3,FALSE))</f>
        <v>55</v>
      </c>
      <c r="G53" s="5">
        <f>(VLOOKUP('14.05'!O53,'14.05'!$AM$4:$AO$55,3,FALSE))</f>
        <v>0</v>
      </c>
      <c r="H53" s="5">
        <f>(VLOOKUP('14.05'!P53,'14.05'!$AM$4:$AO$55,3,FALSE))</f>
        <v>0</v>
      </c>
      <c r="I53" s="4">
        <f>(VLOOKUP('14.05'!Q53,'14.05'!$AM$4:$AO$55,3,FALSE))</f>
        <v>55</v>
      </c>
      <c r="J53" s="4">
        <f>(VLOOKUP('14.05'!R53,'14.05'!$AM$4:$AO$55,3,FALSE))</f>
        <v>50</v>
      </c>
      <c r="K53" s="4">
        <f>(VLOOKUP('14.05'!S53,'14.05'!$AM$4:$AO$55,3,FALSE))</f>
        <v>50</v>
      </c>
      <c r="L53" s="4">
        <f>(VLOOKUP('14.05'!T53,'14.05'!$AM$4:$AO$55,3,FALSE))</f>
        <v>50</v>
      </c>
      <c r="M53" s="4">
        <f>(VLOOKUP('14.05'!U53,'14.05'!$AM$4:$AO$55,3,FALSE))</f>
        <v>0</v>
      </c>
      <c r="N53" s="4">
        <f>(VLOOKUP('14.05'!V53,'14.05'!$AM$4:$AO$55,3,FALSE))</f>
        <v>0</v>
      </c>
      <c r="O53" s="5">
        <f>(VLOOKUP('14.05'!W53,'14.05'!$AM$4:$AO$55,3,FALSE))</f>
        <v>0</v>
      </c>
      <c r="P53" s="5">
        <f>(VLOOKUP('14.05'!X53,'14.05'!$AM$4:$AO$55,3,FALSE))</f>
        <v>0</v>
      </c>
      <c r="Q53" s="4">
        <f>(VLOOKUP('14.05'!Y53,'14.05'!$AM$4:$AO$55,3,FALSE))</f>
        <v>0</v>
      </c>
      <c r="R53" s="4">
        <f>(VLOOKUP('14.05'!Z53,'14.05'!$AM$4:$AO$55,3,FALSE))</f>
        <v>0</v>
      </c>
      <c r="S53" s="4">
        <f>(VLOOKUP('14.05'!AA53,'14.05'!$AM$4:$AO$55,3,FALSE))</f>
        <v>0</v>
      </c>
      <c r="T53" s="4">
        <f>(VLOOKUP('14.05'!AB53,'14.05'!$AM$4:$AO$55,3,FALSE))</f>
        <v>0</v>
      </c>
      <c r="U53" s="4">
        <f>(VLOOKUP('14.05'!AC53,'14.05'!$AM$4:$AO$55,3,FALSE))</f>
        <v>0</v>
      </c>
      <c r="V53" s="4">
        <f>(VLOOKUP('14.05'!AD53,'14.05'!$AM$4:$AO$55,3,FALSE))</f>
        <v>0</v>
      </c>
      <c r="W53" s="5">
        <f>(VLOOKUP('14.05'!AE53,'14.05'!$AM$4:$AO$55,3,FALSE))</f>
        <v>0</v>
      </c>
      <c r="X53" s="5">
        <f>(VLOOKUP('14.05'!AF53,'14.05'!$AM$4:$AO$55,3,FALSE))</f>
        <v>0</v>
      </c>
    </row>
    <row r="54" spans="1:24">
      <c r="A54" s="4">
        <f>(VLOOKUP('14.05'!I54,'14.05'!$AM$4:$AO$55,3,FALSE))</f>
        <v>55</v>
      </c>
      <c r="B54" s="4">
        <f>(VLOOKUP('14.05'!J54,'14.05'!$AM$4:$AO$55,3,FALSE))</f>
        <v>55</v>
      </c>
      <c r="C54" s="4">
        <f>(VLOOKUP('14.05'!K54,'14.05'!$AM$4:$AO$55,3,FALSE))</f>
        <v>55</v>
      </c>
      <c r="D54" s="4">
        <f>(VLOOKUP('14.05'!L54,'14.05'!$AM$4:$AO$55,3,FALSE))</f>
        <v>55</v>
      </c>
      <c r="E54" s="4">
        <f>(VLOOKUP('14.05'!M54,'14.05'!$AM$4:$AO$55,3,FALSE))</f>
        <v>55</v>
      </c>
      <c r="F54" s="4">
        <f>(VLOOKUP('14.05'!N54,'14.05'!$AM$4:$AO$55,3,FALSE))</f>
        <v>55</v>
      </c>
      <c r="G54" s="5">
        <f>(VLOOKUP('14.05'!O54,'14.05'!$AM$4:$AO$55,3,FALSE))</f>
        <v>0</v>
      </c>
      <c r="H54" s="5">
        <f>(VLOOKUP('14.05'!P54,'14.05'!$AM$4:$AO$55,3,FALSE))</f>
        <v>0</v>
      </c>
      <c r="I54" s="4">
        <f>(VLOOKUP('14.05'!Q54,'14.05'!$AM$4:$AO$55,3,FALSE))</f>
        <v>50</v>
      </c>
      <c r="J54" s="4">
        <f>(VLOOKUP('14.05'!R54,'14.05'!$AM$4:$AO$55,3,FALSE))</f>
        <v>50</v>
      </c>
      <c r="K54" s="4">
        <f>(VLOOKUP('14.05'!S54,'14.05'!$AM$4:$AO$55,3,FALSE))</f>
        <v>50</v>
      </c>
      <c r="L54" s="4">
        <f>(VLOOKUP('14.05'!T54,'14.05'!$AM$4:$AO$55,3,FALSE))</f>
        <v>50</v>
      </c>
      <c r="M54" s="4">
        <f>(VLOOKUP('14.05'!U54,'14.05'!$AM$4:$AO$55,3,FALSE))</f>
        <v>45</v>
      </c>
      <c r="N54" s="4">
        <f>(VLOOKUP('14.05'!V54,'14.05'!$AM$4:$AO$55,3,FALSE))</f>
        <v>0</v>
      </c>
      <c r="O54" s="5">
        <f>(VLOOKUP('14.05'!W54,'14.05'!$AM$4:$AO$55,3,FALSE))</f>
        <v>0</v>
      </c>
      <c r="P54" s="5">
        <f>(VLOOKUP('14.05'!X54,'14.05'!$AM$4:$AO$55,3,FALSE))</f>
        <v>0</v>
      </c>
      <c r="Q54" s="4">
        <f>(VLOOKUP('14.05'!Y54,'14.05'!$AM$4:$AO$55,3,FALSE))</f>
        <v>0</v>
      </c>
      <c r="R54" s="4">
        <f>(VLOOKUP('14.05'!Z54,'14.05'!$AM$4:$AO$55,3,FALSE))</f>
        <v>0</v>
      </c>
      <c r="S54" s="4">
        <f>(VLOOKUP('14.05'!AA54,'14.05'!$AM$4:$AO$55,3,FALSE))</f>
        <v>0</v>
      </c>
      <c r="T54" s="4">
        <f>(VLOOKUP('14.05'!AB54,'14.05'!$AM$4:$AO$55,3,FALSE))</f>
        <v>0</v>
      </c>
      <c r="U54" s="4">
        <f>(VLOOKUP('14.05'!AC54,'14.05'!$AM$4:$AO$55,3,FALSE))</f>
        <v>0</v>
      </c>
      <c r="V54" s="4">
        <f>(VLOOKUP('14.05'!AD54,'14.05'!$AM$4:$AO$55,3,FALSE))</f>
        <v>0</v>
      </c>
      <c r="W54" s="5">
        <f>(VLOOKUP('14.05'!AE54,'14.05'!$AM$4:$AO$55,3,FALSE))</f>
        <v>0</v>
      </c>
      <c r="X54" s="5">
        <f>(VLOOKUP('14.05'!AF54,'14.05'!$AM$4:$AO$55,3,FALSE))</f>
        <v>0</v>
      </c>
    </row>
    <row r="55" spans="1:24">
      <c r="A55" s="4">
        <f>(VLOOKUP('14.05'!I55,'14.05'!$AM$4:$AO$55,3,FALSE))</f>
        <v>60</v>
      </c>
      <c r="B55" s="4">
        <f>(VLOOKUP('14.05'!J55,'14.05'!$AM$4:$AO$55,3,FALSE))</f>
        <v>60</v>
      </c>
      <c r="C55" s="4">
        <f>(VLOOKUP('14.05'!K55,'14.05'!$AM$4:$AO$55,3,FALSE))</f>
        <v>60</v>
      </c>
      <c r="D55" s="4">
        <f>(VLOOKUP('14.05'!L55,'14.05'!$AM$4:$AO$55,3,FALSE))</f>
        <v>60</v>
      </c>
      <c r="E55" s="4">
        <f>(VLOOKUP('14.05'!M55,'14.05'!$AM$4:$AO$55,3,FALSE))</f>
        <v>60</v>
      </c>
      <c r="F55" s="4">
        <f>(VLOOKUP('14.05'!N55,'14.05'!$AM$4:$AO$55,3,FALSE))</f>
        <v>60</v>
      </c>
      <c r="G55" s="5">
        <f>(VLOOKUP('14.05'!O55,'14.05'!$AM$4:$AO$55,3,FALSE))</f>
        <v>0</v>
      </c>
      <c r="H55" s="5">
        <f>(VLOOKUP('14.05'!P55,'14.05'!$AM$4:$AO$55,3,FALSE))</f>
        <v>0</v>
      </c>
      <c r="I55" s="4">
        <f>(VLOOKUP('14.05'!Q55,'14.05'!$AM$4:$AO$55,3,FALSE))</f>
        <v>45</v>
      </c>
      <c r="J55" s="4">
        <f>(VLOOKUP('14.05'!R55,'14.05'!$AM$4:$AO$55,3,FALSE))</f>
        <v>45</v>
      </c>
      <c r="K55" s="4">
        <f>(VLOOKUP('14.05'!S55,'14.05'!$AM$4:$AO$55,3,FALSE))</f>
        <v>45</v>
      </c>
      <c r="L55" s="4">
        <f>(VLOOKUP('14.05'!T55,'14.05'!$AM$4:$AO$55,3,FALSE))</f>
        <v>50</v>
      </c>
      <c r="M55" s="4">
        <f>(VLOOKUP('14.05'!U55,'14.05'!$AM$4:$AO$55,3,FALSE))</f>
        <v>50</v>
      </c>
      <c r="N55" s="4">
        <f>(VLOOKUP('14.05'!V55,'14.05'!$AM$4:$AO$55,3,FALSE))</f>
        <v>0</v>
      </c>
      <c r="O55" s="5">
        <f>(VLOOKUP('14.05'!W55,'14.05'!$AM$4:$AO$55,3,FALSE))</f>
        <v>0</v>
      </c>
      <c r="P55" s="5">
        <f>(VLOOKUP('14.05'!X55,'14.05'!$AM$4:$AO$55,3,FALSE))</f>
        <v>0</v>
      </c>
      <c r="Q55" s="4">
        <f>(VLOOKUP('14.05'!Y55,'14.05'!$AM$4:$AO$55,3,FALSE))</f>
        <v>0</v>
      </c>
      <c r="R55" s="4">
        <f>(VLOOKUP('14.05'!Z55,'14.05'!$AM$4:$AO$55,3,FALSE))</f>
        <v>0</v>
      </c>
      <c r="S55" s="4">
        <f>(VLOOKUP('14.05'!AA55,'14.05'!$AM$4:$AO$55,3,FALSE))</f>
        <v>0</v>
      </c>
      <c r="T55" s="4">
        <f>(VLOOKUP('14.05'!AB55,'14.05'!$AM$4:$AO$55,3,FALSE))</f>
        <v>0</v>
      </c>
      <c r="U55" s="4">
        <f>(VLOOKUP('14.05'!AC55,'14.05'!$AM$4:$AO$55,3,FALSE))</f>
        <v>0</v>
      </c>
      <c r="V55" s="4">
        <f>(VLOOKUP('14.05'!AD55,'14.05'!$AM$4:$AO$55,3,FALSE))</f>
        <v>0</v>
      </c>
      <c r="W55" s="5">
        <f>(VLOOKUP('14.05'!AE55,'14.05'!$AM$4:$AO$55,3,FALSE))</f>
        <v>0</v>
      </c>
      <c r="X55" s="5">
        <f>(VLOOKUP('14.05'!AF55,'14.05'!$AM$4:$AO$55,3,FALSE))</f>
        <v>0</v>
      </c>
    </row>
    <row r="56" spans="1:24">
      <c r="A56" s="4">
        <f>(VLOOKUP('14.05'!I56,'14.05'!$AM$4:$AO$55,3,FALSE))</f>
        <v>60</v>
      </c>
      <c r="B56" s="4">
        <f>(VLOOKUP('14.05'!J56,'14.05'!$AM$4:$AO$55,3,FALSE))</f>
        <v>60</v>
      </c>
      <c r="C56" s="4">
        <f>(VLOOKUP('14.05'!K56,'14.05'!$AM$4:$AO$55,3,FALSE))</f>
        <v>60</v>
      </c>
      <c r="D56" s="4">
        <f>(VLOOKUP('14.05'!L56,'14.05'!$AM$4:$AO$55,3,FALSE))</f>
        <v>60</v>
      </c>
      <c r="E56" s="4">
        <f>(VLOOKUP('14.05'!M56,'14.05'!$AM$4:$AO$55,3,FALSE))</f>
        <v>60</v>
      </c>
      <c r="F56" s="4">
        <f>(VLOOKUP('14.05'!N56,'14.05'!$AM$4:$AO$55,3,FALSE))</f>
        <v>60</v>
      </c>
      <c r="G56" s="5">
        <f>(VLOOKUP('14.05'!O56,'14.05'!$AM$4:$AO$55,3,FALSE))</f>
        <v>0</v>
      </c>
      <c r="H56" s="5">
        <f>(VLOOKUP('14.05'!P56,'14.05'!$AM$4:$AO$55,3,FALSE))</f>
        <v>0</v>
      </c>
      <c r="I56" s="4">
        <f>(VLOOKUP('14.05'!Q56,'14.05'!$AM$4:$AO$55,3,FALSE))</f>
        <v>50</v>
      </c>
      <c r="J56" s="4">
        <f>(VLOOKUP('14.05'!R56,'14.05'!$AM$4:$AO$55,3,FALSE))</f>
        <v>50</v>
      </c>
      <c r="K56" s="4">
        <f>(VLOOKUP('14.05'!S56,'14.05'!$AM$4:$AO$55,3,FALSE))</f>
        <v>50</v>
      </c>
      <c r="L56" s="4">
        <f>(VLOOKUP('14.05'!T56,'14.05'!$AM$4:$AO$55,3,FALSE))</f>
        <v>50</v>
      </c>
      <c r="M56" s="4">
        <f>(VLOOKUP('14.05'!U56,'14.05'!$AM$4:$AO$55,3,FALSE))</f>
        <v>0</v>
      </c>
      <c r="N56" s="4">
        <f>(VLOOKUP('14.05'!V56,'14.05'!$AM$4:$AO$55,3,FALSE))</f>
        <v>0</v>
      </c>
      <c r="O56" s="5">
        <f>(VLOOKUP('14.05'!W56,'14.05'!$AM$4:$AO$55,3,FALSE))</f>
        <v>0</v>
      </c>
      <c r="P56" s="5">
        <f>(VLOOKUP('14.05'!X56,'14.05'!$AM$4:$AO$55,3,FALSE))</f>
        <v>0</v>
      </c>
      <c r="Q56" s="4">
        <f>(VLOOKUP('14.05'!Y56,'14.05'!$AM$4:$AO$55,3,FALSE))</f>
        <v>0</v>
      </c>
      <c r="R56" s="4">
        <f>(VLOOKUP('14.05'!Z56,'14.05'!$AM$4:$AO$55,3,FALSE))</f>
        <v>0</v>
      </c>
      <c r="S56" s="4">
        <f>(VLOOKUP('14.05'!AA56,'14.05'!$AM$4:$AO$55,3,FALSE))</f>
        <v>0</v>
      </c>
      <c r="T56" s="4">
        <f>(VLOOKUP('14.05'!AB56,'14.05'!$AM$4:$AO$55,3,FALSE))</f>
        <v>0</v>
      </c>
      <c r="U56" s="4">
        <f>(VLOOKUP('14.05'!AC56,'14.05'!$AM$4:$AO$55,3,FALSE))</f>
        <v>0</v>
      </c>
      <c r="V56" s="4">
        <f>(VLOOKUP('14.05'!AD56,'14.05'!$AM$4:$AO$55,3,FALSE))</f>
        <v>0</v>
      </c>
      <c r="W56" s="5">
        <f>(VLOOKUP('14.05'!AE56,'14.05'!$AM$4:$AO$55,3,FALSE))</f>
        <v>0</v>
      </c>
      <c r="X56" s="5">
        <f>(VLOOKUP('14.05'!AF56,'14.05'!$AM$4:$AO$55,3,FALSE))</f>
        <v>0</v>
      </c>
    </row>
    <row r="57" spans="1:24">
      <c r="A57" s="4">
        <f>(VLOOKUP('14.05'!I57,'14.05'!$AM$4:$AO$55,3,FALSE))</f>
        <v>60</v>
      </c>
      <c r="B57" s="4">
        <f>(VLOOKUP('14.05'!J57,'14.05'!$AM$4:$AO$55,3,FALSE))</f>
        <v>60</v>
      </c>
      <c r="C57" s="4">
        <f>(VLOOKUP('14.05'!K57,'14.05'!$AM$4:$AO$55,3,FALSE))</f>
        <v>60</v>
      </c>
      <c r="D57" s="4">
        <f>(VLOOKUP('14.05'!L57,'14.05'!$AM$4:$AO$55,3,FALSE))</f>
        <v>60</v>
      </c>
      <c r="E57" s="4">
        <f>(VLOOKUP('14.05'!M57,'14.05'!$AM$4:$AO$55,3,FALSE))</f>
        <v>60</v>
      </c>
      <c r="F57" s="4">
        <f>(VLOOKUP('14.05'!N57,'14.05'!$AM$4:$AO$55,3,FALSE))</f>
        <v>0</v>
      </c>
      <c r="G57" s="5">
        <f>(VLOOKUP('14.05'!O57,'14.05'!$AM$4:$AO$55,3,FALSE))</f>
        <v>0</v>
      </c>
      <c r="H57" s="5">
        <f>(VLOOKUP('14.05'!P57,'14.05'!$AM$4:$AO$55,3,FALSE))</f>
        <v>0</v>
      </c>
      <c r="I57" s="4">
        <f>(VLOOKUP('14.05'!Q57,'14.05'!$AM$4:$AO$55,3,FALSE))</f>
        <v>50</v>
      </c>
      <c r="J57" s="4">
        <f>(VLOOKUP('14.05'!R57,'14.05'!$AM$4:$AO$55,3,FALSE))</f>
        <v>50</v>
      </c>
      <c r="K57" s="4">
        <f>(VLOOKUP('14.05'!S57,'14.05'!$AM$4:$AO$55,3,FALSE))</f>
        <v>50</v>
      </c>
      <c r="L57" s="4">
        <f>(VLOOKUP('14.05'!T57,'14.05'!$AM$4:$AO$55,3,FALSE))</f>
        <v>50</v>
      </c>
      <c r="M57" s="4">
        <f>(VLOOKUP('14.05'!U57,'14.05'!$AM$4:$AO$55,3,FALSE))</f>
        <v>50</v>
      </c>
      <c r="N57" s="4">
        <f>(VLOOKUP('14.05'!V57,'14.05'!$AM$4:$AO$55,3,FALSE))</f>
        <v>50</v>
      </c>
      <c r="O57" s="5">
        <f>(VLOOKUP('14.05'!W57,'14.05'!$AM$4:$AO$55,3,FALSE))</f>
        <v>0</v>
      </c>
      <c r="P57" s="5">
        <f>(VLOOKUP('14.05'!X57,'14.05'!$AM$4:$AO$55,3,FALSE))</f>
        <v>0</v>
      </c>
      <c r="Q57" s="4">
        <f>(VLOOKUP('14.05'!Y57,'14.05'!$AM$4:$AO$55,3,FALSE))</f>
        <v>0</v>
      </c>
      <c r="R57" s="4">
        <f>(VLOOKUP('14.05'!Z57,'14.05'!$AM$4:$AO$55,3,FALSE))</f>
        <v>0</v>
      </c>
      <c r="S57" s="4">
        <f>(VLOOKUP('14.05'!AA57,'14.05'!$AM$4:$AO$55,3,FALSE))</f>
        <v>0</v>
      </c>
      <c r="T57" s="4">
        <f>(VLOOKUP('14.05'!AB57,'14.05'!$AM$4:$AO$55,3,FALSE))</f>
        <v>0</v>
      </c>
      <c r="U57" s="4">
        <f>(VLOOKUP('14.05'!AC57,'14.05'!$AM$4:$AO$55,3,FALSE))</f>
        <v>0</v>
      </c>
      <c r="V57" s="4">
        <f>(VLOOKUP('14.05'!AD57,'14.05'!$AM$4:$AO$55,3,FALSE))</f>
        <v>0</v>
      </c>
      <c r="W57" s="5">
        <f>(VLOOKUP('14.05'!AE57,'14.05'!$AM$4:$AO$55,3,FALSE))</f>
        <v>0</v>
      </c>
      <c r="X57" s="5">
        <f>(VLOOKUP('14.05'!AF57,'14.05'!$AM$4:$AO$55,3,FALSE))</f>
        <v>0</v>
      </c>
    </row>
    <row r="58" spans="1:24">
      <c r="A58" s="4">
        <f>(VLOOKUP('14.05'!I58,'14.05'!$AM$4:$AO$55,3,FALSE))</f>
        <v>60</v>
      </c>
      <c r="B58" s="4">
        <f>(VLOOKUP('14.05'!J58,'14.05'!$AM$4:$AO$55,3,FALSE))</f>
        <v>60</v>
      </c>
      <c r="C58" s="4">
        <f>(VLOOKUP('14.05'!K58,'14.05'!$AM$4:$AO$55,3,FALSE))</f>
        <v>60</v>
      </c>
      <c r="D58" s="4">
        <f>(VLOOKUP('14.05'!L58,'14.05'!$AM$4:$AO$55,3,FALSE))</f>
        <v>60</v>
      </c>
      <c r="E58" s="4">
        <f>(VLOOKUP('14.05'!M58,'14.05'!$AM$4:$AO$55,3,FALSE))</f>
        <v>60</v>
      </c>
      <c r="F58" s="4">
        <f>(VLOOKUP('14.05'!N58,'14.05'!$AM$4:$AO$55,3,FALSE))</f>
        <v>60</v>
      </c>
      <c r="G58" s="5">
        <f>(VLOOKUP('14.05'!O58,'14.05'!$AM$4:$AO$55,3,FALSE))</f>
        <v>0</v>
      </c>
      <c r="H58" s="5">
        <f>(VLOOKUP('14.05'!P58,'14.05'!$AM$4:$AO$55,3,FALSE))</f>
        <v>0</v>
      </c>
      <c r="I58" s="4">
        <f>(VLOOKUP('14.05'!Q58,'14.05'!$AM$4:$AO$55,3,FALSE))</f>
        <v>50</v>
      </c>
      <c r="J58" s="4">
        <f>(VLOOKUP('14.05'!R58,'14.05'!$AM$4:$AO$55,3,FALSE))</f>
        <v>50</v>
      </c>
      <c r="K58" s="4">
        <f>(VLOOKUP('14.05'!S58,'14.05'!$AM$4:$AO$55,3,FALSE))</f>
        <v>50</v>
      </c>
      <c r="L58" s="4">
        <f>(VLOOKUP('14.05'!T58,'14.05'!$AM$4:$AO$55,3,FALSE))</f>
        <v>50</v>
      </c>
      <c r="M58" s="4">
        <f>(VLOOKUP('14.05'!U58,'14.05'!$AM$4:$AO$55,3,FALSE))</f>
        <v>50</v>
      </c>
      <c r="N58" s="4">
        <f>(VLOOKUP('14.05'!V58,'14.05'!$AM$4:$AO$55,3,FALSE))</f>
        <v>0</v>
      </c>
      <c r="O58" s="5">
        <f>(VLOOKUP('14.05'!W58,'14.05'!$AM$4:$AO$55,3,FALSE))</f>
        <v>0</v>
      </c>
      <c r="P58" s="5">
        <f>(VLOOKUP('14.05'!X58,'14.05'!$AM$4:$AO$55,3,FALSE))</f>
        <v>0</v>
      </c>
      <c r="Q58" s="4">
        <f>(VLOOKUP('14.05'!Y58,'14.05'!$AM$4:$AO$55,3,FALSE))</f>
        <v>0</v>
      </c>
      <c r="R58" s="4">
        <f>(VLOOKUP('14.05'!Z58,'14.05'!$AM$4:$AO$55,3,FALSE))</f>
        <v>0</v>
      </c>
      <c r="S58" s="4">
        <f>(VLOOKUP('14.05'!AA58,'14.05'!$AM$4:$AO$55,3,FALSE))</f>
        <v>0</v>
      </c>
      <c r="T58" s="4">
        <f>(VLOOKUP('14.05'!AB58,'14.05'!$AM$4:$AO$55,3,FALSE))</f>
        <v>0</v>
      </c>
      <c r="U58" s="4">
        <f>(VLOOKUP('14.05'!AC58,'14.05'!$AM$4:$AO$55,3,FALSE))</f>
        <v>0</v>
      </c>
      <c r="V58" s="4">
        <f>(VLOOKUP('14.05'!AD58,'14.05'!$AM$4:$AO$55,3,FALSE))</f>
        <v>0</v>
      </c>
      <c r="W58" s="5">
        <f>(VLOOKUP('14.05'!AE58,'14.05'!$AM$4:$AO$55,3,FALSE))</f>
        <v>0</v>
      </c>
      <c r="X58" s="5">
        <f>(VLOOKUP('14.05'!AF58,'14.05'!$AM$4:$AO$55,3,FALSE))</f>
        <v>0</v>
      </c>
    </row>
    <row r="59" spans="1:24">
      <c r="A59" s="4">
        <f>(VLOOKUP('14.05'!I59,'14.05'!$AM$4:$AO$55,3,FALSE))</f>
        <v>60</v>
      </c>
      <c r="B59" s="4">
        <f>(VLOOKUP('14.05'!J59,'14.05'!$AM$4:$AO$55,3,FALSE))</f>
        <v>60</v>
      </c>
      <c r="C59" s="4">
        <f>(VLOOKUP('14.05'!K59,'14.05'!$AM$4:$AO$55,3,FALSE))</f>
        <v>60</v>
      </c>
      <c r="D59" s="4">
        <f>(VLOOKUP('14.05'!L59,'14.05'!$AM$4:$AO$55,3,FALSE))</f>
        <v>60</v>
      </c>
      <c r="E59" s="4">
        <f>(VLOOKUP('14.05'!M59,'14.05'!$AM$4:$AO$55,3,FALSE))</f>
        <v>60</v>
      </c>
      <c r="F59" s="4">
        <f>(VLOOKUP('14.05'!N59,'14.05'!$AM$4:$AO$55,3,FALSE))</f>
        <v>60</v>
      </c>
      <c r="G59" s="5">
        <f>(VLOOKUP('14.05'!O59,'14.05'!$AM$4:$AO$55,3,FALSE))</f>
        <v>0</v>
      </c>
      <c r="H59" s="5">
        <f>(VLOOKUP('14.05'!P59,'14.05'!$AM$4:$AO$55,3,FALSE))</f>
        <v>0</v>
      </c>
      <c r="I59" s="4">
        <f>(VLOOKUP('14.05'!Q59,'14.05'!$AM$4:$AO$55,3,FALSE))</f>
        <v>50</v>
      </c>
      <c r="J59" s="4">
        <f>(VLOOKUP('14.05'!R59,'14.05'!$AM$4:$AO$55,3,FALSE))</f>
        <v>50</v>
      </c>
      <c r="K59" s="4">
        <f>(VLOOKUP('14.05'!S59,'14.05'!$AM$4:$AO$55,3,FALSE))</f>
        <v>50</v>
      </c>
      <c r="L59" s="4">
        <f>(VLOOKUP('14.05'!T59,'14.05'!$AM$4:$AO$55,3,FALSE))</f>
        <v>50</v>
      </c>
      <c r="M59" s="4">
        <f>(VLOOKUP('14.05'!U59,'14.05'!$AM$4:$AO$55,3,FALSE))</f>
        <v>50</v>
      </c>
      <c r="N59" s="4">
        <f>(VLOOKUP('14.05'!V59,'14.05'!$AM$4:$AO$55,3,FALSE))</f>
        <v>0</v>
      </c>
      <c r="O59" s="5">
        <f>(VLOOKUP('14.05'!W59,'14.05'!$AM$4:$AO$55,3,FALSE))</f>
        <v>0</v>
      </c>
      <c r="P59" s="5">
        <f>(VLOOKUP('14.05'!X59,'14.05'!$AM$4:$AO$55,3,FALSE))</f>
        <v>0</v>
      </c>
      <c r="Q59" s="4">
        <f>(VLOOKUP('14.05'!Y59,'14.05'!$AM$4:$AO$55,3,FALSE))</f>
        <v>0</v>
      </c>
      <c r="R59" s="4">
        <f>(VLOOKUP('14.05'!Z59,'14.05'!$AM$4:$AO$55,3,FALSE))</f>
        <v>0</v>
      </c>
      <c r="S59" s="4">
        <f>(VLOOKUP('14.05'!AA59,'14.05'!$AM$4:$AO$55,3,FALSE))</f>
        <v>0</v>
      </c>
      <c r="T59" s="4">
        <f>(VLOOKUP('14.05'!AB59,'14.05'!$AM$4:$AO$55,3,FALSE))</f>
        <v>0</v>
      </c>
      <c r="U59" s="4">
        <f>(VLOOKUP('14.05'!AC59,'14.05'!$AM$4:$AO$55,3,FALSE))</f>
        <v>0</v>
      </c>
      <c r="V59" s="4">
        <f>(VLOOKUP('14.05'!AD59,'14.05'!$AM$4:$AO$55,3,FALSE))</f>
        <v>0</v>
      </c>
      <c r="W59" s="5">
        <f>(VLOOKUP('14.05'!AE59,'14.05'!$AM$4:$AO$55,3,FALSE))</f>
        <v>0</v>
      </c>
      <c r="X59" s="5">
        <f>(VLOOKUP('14.05'!AF59,'14.05'!$AM$4:$AO$55,3,FALSE))</f>
        <v>0</v>
      </c>
    </row>
    <row r="60" spans="1:24">
      <c r="A60" s="4">
        <f>(VLOOKUP('14.05'!I60,'14.05'!$AM$4:$AO$55,3,FALSE))</f>
        <v>60</v>
      </c>
      <c r="B60" s="4">
        <f>(VLOOKUP('14.05'!J60,'14.05'!$AM$4:$AO$55,3,FALSE))</f>
        <v>60</v>
      </c>
      <c r="C60" s="4">
        <f>(VLOOKUP('14.05'!K60,'14.05'!$AM$4:$AO$55,3,FALSE))</f>
        <v>60</v>
      </c>
      <c r="D60" s="4">
        <f>(VLOOKUP('14.05'!L60,'14.05'!$AM$4:$AO$55,3,FALSE))</f>
        <v>60</v>
      </c>
      <c r="E60" s="4">
        <f>(VLOOKUP('14.05'!M60,'14.05'!$AM$4:$AO$55,3,FALSE))</f>
        <v>55</v>
      </c>
      <c r="F60" s="4">
        <f>(VLOOKUP('14.05'!N60,'14.05'!$AM$4:$AO$55,3,FALSE))</f>
        <v>55</v>
      </c>
      <c r="G60" s="5">
        <f>(VLOOKUP('14.05'!O60,'14.05'!$AM$4:$AO$55,3,FALSE))</f>
        <v>0</v>
      </c>
      <c r="H60" s="5">
        <f>(VLOOKUP('14.05'!P60,'14.05'!$AM$4:$AO$55,3,FALSE))</f>
        <v>0</v>
      </c>
      <c r="I60" s="4">
        <f>(VLOOKUP('14.05'!Q60,'14.05'!$AM$4:$AO$55,3,FALSE))</f>
        <v>50</v>
      </c>
      <c r="J60" s="4">
        <f>(VLOOKUP('14.05'!R60,'14.05'!$AM$4:$AO$55,3,FALSE))</f>
        <v>50</v>
      </c>
      <c r="K60" s="4">
        <f>(VLOOKUP('14.05'!S60,'14.05'!$AM$4:$AO$55,3,FALSE))</f>
        <v>50</v>
      </c>
      <c r="L60" s="4">
        <f>(VLOOKUP('14.05'!T60,'14.05'!$AM$4:$AO$55,3,FALSE))</f>
        <v>45</v>
      </c>
      <c r="M60" s="4">
        <f>(VLOOKUP('14.05'!U60,'14.05'!$AM$4:$AO$55,3,FALSE))</f>
        <v>0</v>
      </c>
      <c r="N60" s="4">
        <f>(VLOOKUP('14.05'!V60,'14.05'!$AM$4:$AO$55,3,FALSE))</f>
        <v>0</v>
      </c>
      <c r="O60" s="5">
        <f>(VLOOKUP('14.05'!W60,'14.05'!$AM$4:$AO$55,3,FALSE))</f>
        <v>0</v>
      </c>
      <c r="P60" s="5">
        <f>(VLOOKUP('14.05'!X60,'14.05'!$AM$4:$AO$55,3,FALSE))</f>
        <v>0</v>
      </c>
      <c r="Q60" s="4">
        <f>(VLOOKUP('14.05'!Y60,'14.05'!$AM$4:$AO$55,3,FALSE))</f>
        <v>0</v>
      </c>
      <c r="R60" s="4">
        <f>(VLOOKUP('14.05'!Z60,'14.05'!$AM$4:$AO$55,3,FALSE))</f>
        <v>0</v>
      </c>
      <c r="S60" s="4">
        <f>(VLOOKUP('14.05'!AA60,'14.05'!$AM$4:$AO$55,3,FALSE))</f>
        <v>0</v>
      </c>
      <c r="T60" s="4">
        <f>(VLOOKUP('14.05'!AB60,'14.05'!$AM$4:$AO$55,3,FALSE))</f>
        <v>0</v>
      </c>
      <c r="U60" s="4">
        <f>(VLOOKUP('14.05'!AC60,'14.05'!$AM$4:$AO$55,3,FALSE))</f>
        <v>0</v>
      </c>
      <c r="V60" s="4">
        <f>(VLOOKUP('14.05'!AD60,'14.05'!$AM$4:$AO$55,3,FALSE))</f>
        <v>0</v>
      </c>
      <c r="W60" s="5">
        <f>(VLOOKUP('14.05'!AE60,'14.05'!$AM$4:$AO$55,3,FALSE))</f>
        <v>0</v>
      </c>
      <c r="X60" s="5">
        <f>(VLOOKUP('14.05'!AF60,'14.05'!$AM$4:$AO$55,3,FALSE))</f>
        <v>0</v>
      </c>
    </row>
    <row r="61" spans="1:24">
      <c r="A61" s="4">
        <f>(VLOOKUP('14.05'!I61,'14.05'!$AM$4:$AO$55,3,FALSE))</f>
        <v>55</v>
      </c>
      <c r="B61" s="4">
        <f>(VLOOKUP('14.05'!J61,'14.05'!$AM$4:$AO$55,3,FALSE))</f>
        <v>55</v>
      </c>
      <c r="C61" s="4">
        <f>(VLOOKUP('14.05'!K61,'14.05'!$AM$4:$AO$55,3,FALSE))</f>
        <v>500</v>
      </c>
      <c r="D61" s="4">
        <f>(VLOOKUP('14.05'!L61,'14.05'!$AM$4:$AO$55,3,FALSE))</f>
        <v>55</v>
      </c>
      <c r="E61" s="4">
        <f>(VLOOKUP('14.05'!M61,'14.05'!$AM$4:$AO$55,3,FALSE))</f>
        <v>55</v>
      </c>
      <c r="F61" s="4">
        <f>(VLOOKUP('14.05'!N61,'14.05'!$AM$4:$AO$55,3,FALSE))</f>
        <v>55</v>
      </c>
      <c r="G61" s="5">
        <f>(VLOOKUP('14.05'!O61,'14.05'!$AM$4:$AO$55,3,FALSE))</f>
        <v>0</v>
      </c>
      <c r="H61" s="5">
        <f>(VLOOKUP('14.05'!P61,'14.05'!$AM$4:$AO$55,3,FALSE))</f>
        <v>0</v>
      </c>
      <c r="I61" s="4">
        <f>(VLOOKUP('14.05'!Q61,'14.05'!$AM$4:$AO$55,3,FALSE))</f>
        <v>45</v>
      </c>
      <c r="J61" s="4">
        <f>(VLOOKUP('14.05'!R61,'14.05'!$AM$4:$AO$55,3,FALSE))</f>
        <v>45</v>
      </c>
      <c r="K61" s="4">
        <f>(VLOOKUP('14.05'!S61,'14.05'!$AM$4:$AO$55,3,FALSE))</f>
        <v>45</v>
      </c>
      <c r="L61" s="4">
        <f>(VLOOKUP('14.05'!T61,'14.05'!$AM$4:$AO$55,3,FALSE))</f>
        <v>45</v>
      </c>
      <c r="M61" s="4">
        <f>(VLOOKUP('14.05'!U61,'14.05'!$AM$4:$AO$55,3,FALSE))</f>
        <v>45</v>
      </c>
      <c r="N61" s="4">
        <f>(VLOOKUP('14.05'!V61,'14.05'!$AM$4:$AO$55,3,FALSE))</f>
        <v>0</v>
      </c>
      <c r="O61" s="5">
        <f>(VLOOKUP('14.05'!W61,'14.05'!$AM$4:$AO$55,3,FALSE))</f>
        <v>0</v>
      </c>
      <c r="P61" s="5">
        <f>(VLOOKUP('14.05'!X61,'14.05'!$AM$4:$AO$55,3,FALSE))</f>
        <v>0</v>
      </c>
      <c r="Q61" s="4">
        <f>(VLOOKUP('14.05'!Y61,'14.05'!$AM$4:$AO$55,3,FALSE))</f>
        <v>0</v>
      </c>
      <c r="R61" s="4">
        <f>(VLOOKUP('14.05'!Z61,'14.05'!$AM$4:$AO$55,3,FALSE))</f>
        <v>0</v>
      </c>
      <c r="S61" s="4">
        <f>(VLOOKUP('14.05'!AA61,'14.05'!$AM$4:$AO$55,3,FALSE))</f>
        <v>0</v>
      </c>
      <c r="T61" s="4">
        <f>(VLOOKUP('14.05'!AB61,'14.05'!$AM$4:$AO$55,3,FALSE))</f>
        <v>0</v>
      </c>
      <c r="U61" s="4">
        <f>(VLOOKUP('14.05'!AC61,'14.05'!$AM$4:$AO$55,3,FALSE))</f>
        <v>0</v>
      </c>
      <c r="V61" s="4">
        <f>(VLOOKUP('14.05'!AD61,'14.05'!$AM$4:$AO$55,3,FALSE))</f>
        <v>0</v>
      </c>
      <c r="W61" s="5">
        <f>(VLOOKUP('14.05'!AE61,'14.05'!$AM$4:$AO$55,3,FALSE))</f>
        <v>0</v>
      </c>
      <c r="X61" s="5">
        <f>(VLOOKUP('14.05'!AF61,'14.05'!$AM$4:$AO$55,3,FALSE))</f>
        <v>0</v>
      </c>
    </row>
    <row r="62" spans="1:24">
      <c r="A62" s="4">
        <f>(VLOOKUP('14.05'!I62,'14.05'!$AM$4:$AO$55,3,FALSE))</f>
        <v>55</v>
      </c>
      <c r="B62" s="4">
        <f>(VLOOKUP('14.05'!J62,'14.05'!$AM$4:$AO$55,3,FALSE))</f>
        <v>30</v>
      </c>
      <c r="C62" s="4">
        <f>(VLOOKUP('14.05'!K62,'14.05'!$AM$4:$AO$55,3,FALSE))</f>
        <v>55</v>
      </c>
      <c r="D62" s="4">
        <f>(VLOOKUP('14.05'!L62,'14.05'!$AM$4:$AO$55,3,FALSE))</f>
        <v>55</v>
      </c>
      <c r="E62" s="4">
        <f>(VLOOKUP('14.05'!M62,'14.05'!$AM$4:$AO$55,3,FALSE))</f>
        <v>55</v>
      </c>
      <c r="F62" s="4">
        <f>(VLOOKUP('14.05'!N62,'14.05'!$AM$4:$AO$55,3,FALSE))</f>
        <v>55</v>
      </c>
      <c r="G62" s="5">
        <f>(VLOOKUP('14.05'!O62,'14.05'!$AM$4:$AO$55,3,FALSE))</f>
        <v>0</v>
      </c>
      <c r="H62" s="5">
        <f>(VLOOKUP('14.05'!P62,'14.05'!$AM$4:$AO$55,3,FALSE))</f>
        <v>0</v>
      </c>
      <c r="I62" s="4">
        <f>(VLOOKUP('14.05'!Q62,'14.05'!$AM$4:$AO$55,3,FALSE))</f>
        <v>45</v>
      </c>
      <c r="J62" s="4">
        <f>(VLOOKUP('14.05'!R62,'14.05'!$AM$4:$AO$55,3,FALSE))</f>
        <v>45</v>
      </c>
      <c r="K62" s="4">
        <f>(VLOOKUP('14.05'!S62,'14.05'!$AM$4:$AO$55,3,FALSE))</f>
        <v>45</v>
      </c>
      <c r="L62" s="4">
        <f>(VLOOKUP('14.05'!T62,'14.05'!$AM$4:$AO$55,3,FALSE))</f>
        <v>45</v>
      </c>
      <c r="M62" s="4">
        <f>(VLOOKUP('14.05'!U62,'14.05'!$AM$4:$AO$55,3,FALSE))</f>
        <v>0</v>
      </c>
      <c r="N62" s="4">
        <f>(VLOOKUP('14.05'!V62,'14.05'!$AM$4:$AO$55,3,FALSE))</f>
        <v>0</v>
      </c>
      <c r="O62" s="5">
        <f>(VLOOKUP('14.05'!W62,'14.05'!$AM$4:$AO$55,3,FALSE))</f>
        <v>0</v>
      </c>
      <c r="P62" s="5">
        <f>(VLOOKUP('14.05'!X62,'14.05'!$AM$4:$AO$55,3,FALSE))</f>
        <v>0</v>
      </c>
      <c r="Q62" s="4">
        <f>(VLOOKUP('14.05'!Y62,'14.05'!$AM$4:$AO$55,3,FALSE))</f>
        <v>0</v>
      </c>
      <c r="R62" s="4">
        <f>(VLOOKUP('14.05'!Z62,'14.05'!$AM$4:$AO$55,3,FALSE))</f>
        <v>0</v>
      </c>
      <c r="S62" s="4">
        <f>(VLOOKUP('14.05'!AA62,'14.05'!$AM$4:$AO$55,3,FALSE))</f>
        <v>0</v>
      </c>
      <c r="T62" s="4">
        <f>(VLOOKUP('14.05'!AB62,'14.05'!$AM$4:$AO$55,3,FALSE))</f>
        <v>0</v>
      </c>
      <c r="U62" s="4">
        <f>(VLOOKUP('14.05'!AC62,'14.05'!$AM$4:$AO$55,3,FALSE))</f>
        <v>0</v>
      </c>
      <c r="V62" s="4">
        <f>(VLOOKUP('14.05'!AD62,'14.05'!$AM$4:$AO$55,3,FALSE))</f>
        <v>0</v>
      </c>
      <c r="W62" s="5">
        <f>(VLOOKUP('14.05'!AE62,'14.05'!$AM$4:$AO$55,3,FALSE))</f>
        <v>0</v>
      </c>
      <c r="X62" s="5">
        <f>(VLOOKUP('14.05'!AF62,'14.05'!$AM$4:$AO$55,3,FALSE))</f>
        <v>0</v>
      </c>
    </row>
    <row r="63" spans="1:24">
      <c r="A63" s="4">
        <f>(VLOOKUP('14.05'!I63,'14.05'!$AM$4:$AO$55,3,FALSE))</f>
        <v>55</v>
      </c>
      <c r="B63" s="4">
        <f>(VLOOKUP('14.05'!J63,'14.05'!$AM$4:$AO$55,3,FALSE))</f>
        <v>55</v>
      </c>
      <c r="C63" s="4">
        <f>(VLOOKUP('14.05'!K63,'14.05'!$AM$4:$AO$55,3,FALSE))</f>
        <v>50</v>
      </c>
      <c r="D63" s="4">
        <f>(VLOOKUP('14.05'!L63,'14.05'!$AM$4:$AO$55,3,FALSE))</f>
        <v>50</v>
      </c>
      <c r="E63" s="4">
        <f>(VLOOKUP('14.05'!M63,'14.05'!$AM$4:$AO$55,3,FALSE))</f>
        <v>50</v>
      </c>
      <c r="F63" s="4">
        <f>(VLOOKUP('14.05'!N63,'14.05'!$AM$4:$AO$55,3,FALSE))</f>
        <v>55</v>
      </c>
      <c r="G63" s="5">
        <f>(VLOOKUP('14.05'!O63,'14.05'!$AM$4:$AO$55,3,FALSE))</f>
        <v>0</v>
      </c>
      <c r="H63" s="5">
        <f>(VLOOKUP('14.05'!P63,'14.05'!$AM$4:$AO$55,3,FALSE))</f>
        <v>0</v>
      </c>
      <c r="I63" s="4">
        <f>(VLOOKUP('14.05'!Q63,'14.05'!$AM$4:$AO$55,3,FALSE))</f>
        <v>0</v>
      </c>
      <c r="J63" s="4">
        <f>(VLOOKUP('14.05'!R63,'14.05'!$AM$4:$AO$55,3,FALSE))</f>
        <v>0</v>
      </c>
      <c r="K63" s="4">
        <f>(VLOOKUP('14.05'!S63,'14.05'!$AM$4:$AO$55,3,FALSE))</f>
        <v>0</v>
      </c>
      <c r="L63" s="4">
        <f>(VLOOKUP('14.05'!T63,'14.05'!$AM$4:$AO$55,3,FALSE))</f>
        <v>0</v>
      </c>
      <c r="M63" s="4">
        <f>(VLOOKUP('14.05'!U63,'14.05'!$AM$4:$AO$55,3,FALSE))</f>
        <v>0</v>
      </c>
      <c r="N63" s="4">
        <f>(VLOOKUP('14.05'!V63,'14.05'!$AM$4:$AO$55,3,FALSE))</f>
        <v>0</v>
      </c>
      <c r="O63" s="5">
        <f>(VLOOKUP('14.05'!W63,'14.05'!$AM$4:$AO$55,3,FALSE))</f>
        <v>0</v>
      </c>
      <c r="P63" s="5">
        <f>(VLOOKUP('14.05'!X63,'14.05'!$AM$4:$AO$55,3,FALSE))</f>
        <v>0</v>
      </c>
      <c r="Q63" s="4">
        <f>(VLOOKUP('14.05'!Y63,'14.05'!$AM$4:$AO$55,3,FALSE))</f>
        <v>0</v>
      </c>
      <c r="R63" s="4">
        <f>(VLOOKUP('14.05'!Z63,'14.05'!$AM$4:$AO$55,3,FALSE))</f>
        <v>0</v>
      </c>
      <c r="S63" s="4">
        <f>(VLOOKUP('14.05'!AA63,'14.05'!$AM$4:$AO$55,3,FALSE))</f>
        <v>0</v>
      </c>
      <c r="T63" s="4">
        <f>(VLOOKUP('14.05'!AB63,'14.05'!$AM$4:$AO$55,3,FALSE))</f>
        <v>0</v>
      </c>
      <c r="U63" s="4">
        <f>(VLOOKUP('14.05'!AC63,'14.05'!$AM$4:$AO$55,3,FALSE))</f>
        <v>0</v>
      </c>
      <c r="V63" s="4">
        <f>(VLOOKUP('14.05'!AD63,'14.05'!$AM$4:$AO$55,3,FALSE))</f>
        <v>0</v>
      </c>
      <c r="W63" s="5">
        <f>(VLOOKUP('14.05'!AE63,'14.05'!$AM$4:$AO$55,3,FALSE))</f>
        <v>0</v>
      </c>
      <c r="X63" s="5">
        <f>(VLOOKUP('14.05'!AF63,'14.05'!$AM$4:$AO$55,3,FALSE))</f>
        <v>0</v>
      </c>
    </row>
    <row r="64" spans="1:24">
      <c r="A64" s="4">
        <f>(VLOOKUP('14.05'!I64,'14.05'!$AM$4:$AO$55,3,FALSE))</f>
        <v>55</v>
      </c>
      <c r="B64" s="4">
        <f>(VLOOKUP('14.05'!J64,'14.05'!$AM$4:$AO$55,3,FALSE))</f>
        <v>55</v>
      </c>
      <c r="C64" s="4">
        <f>(VLOOKUP('14.05'!K64,'14.05'!$AM$4:$AO$55,3,FALSE))</f>
        <v>55</v>
      </c>
      <c r="D64" s="4">
        <f>(VLOOKUP('14.05'!L64,'14.05'!$AM$4:$AO$55,3,FALSE))</f>
        <v>55</v>
      </c>
      <c r="E64" s="4">
        <f>(VLOOKUP('14.05'!M64,'14.05'!$AM$4:$AO$55,3,FALSE))</f>
        <v>50</v>
      </c>
      <c r="F64" s="4">
        <f>(VLOOKUP('14.05'!N64,'14.05'!$AM$4:$AO$55,3,FALSE))</f>
        <v>50</v>
      </c>
      <c r="G64" s="5">
        <f>(VLOOKUP('14.05'!O64,'14.05'!$AM$4:$AO$55,3,FALSE))</f>
        <v>0</v>
      </c>
      <c r="H64" s="5">
        <f>(VLOOKUP('14.05'!P64,'14.05'!$AM$4:$AO$55,3,FALSE))</f>
        <v>0</v>
      </c>
      <c r="I64" s="4">
        <f>(VLOOKUP('14.05'!Q64,'14.05'!$AM$4:$AO$55,3,FALSE))</f>
        <v>0</v>
      </c>
      <c r="J64" s="4">
        <f>(VLOOKUP('14.05'!R64,'14.05'!$AM$4:$AO$55,3,FALSE))</f>
        <v>0</v>
      </c>
      <c r="K64" s="4">
        <f>(VLOOKUP('14.05'!S64,'14.05'!$AM$4:$AO$55,3,FALSE))</f>
        <v>0</v>
      </c>
      <c r="L64" s="4">
        <f>(VLOOKUP('14.05'!T64,'14.05'!$AM$4:$AO$55,3,FALSE))</f>
        <v>0</v>
      </c>
      <c r="M64" s="4">
        <f>(VLOOKUP('14.05'!U64,'14.05'!$AM$4:$AO$55,3,FALSE))</f>
        <v>0</v>
      </c>
      <c r="N64" s="4">
        <f>(VLOOKUP('14.05'!V64,'14.05'!$AM$4:$AO$55,3,FALSE))</f>
        <v>0</v>
      </c>
      <c r="O64" s="5">
        <f>(VLOOKUP('14.05'!W64,'14.05'!$AM$4:$AO$55,3,FALSE))</f>
        <v>0</v>
      </c>
      <c r="P64" s="5">
        <f>(VLOOKUP('14.05'!X64,'14.05'!$AM$4:$AO$55,3,FALSE))</f>
        <v>0</v>
      </c>
      <c r="Q64" s="4">
        <f>(VLOOKUP('14.05'!Y64,'14.05'!$AM$4:$AO$55,3,FALSE))</f>
        <v>0</v>
      </c>
      <c r="R64" s="4">
        <f>(VLOOKUP('14.05'!Z64,'14.05'!$AM$4:$AO$55,3,FALSE))</f>
        <v>0</v>
      </c>
      <c r="S64" s="4">
        <f>(VLOOKUP('14.05'!AA64,'14.05'!$AM$4:$AO$55,3,FALSE))</f>
        <v>0</v>
      </c>
      <c r="T64" s="4">
        <f>(VLOOKUP('14.05'!AB64,'14.05'!$AM$4:$AO$55,3,FALSE))</f>
        <v>0</v>
      </c>
      <c r="U64" s="4">
        <f>(VLOOKUP('14.05'!AC64,'14.05'!$AM$4:$AO$55,3,FALSE))</f>
        <v>0</v>
      </c>
      <c r="V64" s="4">
        <f>(VLOOKUP('14.05'!AD64,'14.05'!$AM$4:$AO$55,3,FALSE))</f>
        <v>0</v>
      </c>
      <c r="W64" s="5">
        <f>(VLOOKUP('14.05'!AE64,'14.05'!$AM$4:$AO$55,3,FALSE))</f>
        <v>0</v>
      </c>
      <c r="X64" s="5">
        <f>(VLOOKUP('14.05'!AF64,'14.05'!$AM$4:$AO$55,3,FALSE))</f>
        <v>0</v>
      </c>
    </row>
    <row r="65" spans="1:24">
      <c r="A65" s="4">
        <f>(VLOOKUP('14.05'!I65,'14.05'!$AM$4:$AO$55,3,FALSE))</f>
        <v>50</v>
      </c>
      <c r="B65" s="4">
        <f>(VLOOKUP('14.05'!J65,'14.05'!$AM$4:$AO$55,3,FALSE))</f>
        <v>50</v>
      </c>
      <c r="C65" s="4">
        <f>(VLOOKUP('14.05'!K65,'14.05'!$AM$4:$AO$55,3,FALSE))</f>
        <v>50</v>
      </c>
      <c r="D65" s="4">
        <f>(VLOOKUP('14.05'!L65,'14.05'!$AM$4:$AO$55,3,FALSE))</f>
        <v>50</v>
      </c>
      <c r="E65" s="4">
        <f>(VLOOKUP('14.05'!M65,'14.05'!$AM$4:$AO$55,3,FALSE))</f>
        <v>50</v>
      </c>
      <c r="F65" s="4">
        <f>(VLOOKUP('14.05'!N65,'14.05'!$AM$4:$AO$55,3,FALSE))</f>
        <v>50</v>
      </c>
      <c r="G65" s="5">
        <f>(VLOOKUP('14.05'!O65,'14.05'!$AM$4:$AO$55,3,FALSE))</f>
        <v>0</v>
      </c>
      <c r="H65" s="5">
        <f>(VLOOKUP('14.05'!P65,'14.05'!$AM$4:$AO$55,3,FALSE))</f>
        <v>0</v>
      </c>
      <c r="I65" s="4">
        <f>(VLOOKUP('14.05'!Q65,'14.05'!$AM$4:$AO$55,3,FALSE))</f>
        <v>0</v>
      </c>
      <c r="J65" s="4">
        <f>(VLOOKUP('14.05'!R65,'14.05'!$AM$4:$AO$55,3,FALSE))</f>
        <v>0</v>
      </c>
      <c r="K65" s="4">
        <f>(VLOOKUP('14.05'!S65,'14.05'!$AM$4:$AO$55,3,FALSE))</f>
        <v>0</v>
      </c>
      <c r="L65" s="4">
        <f>(VLOOKUP('14.05'!T65,'14.05'!$AM$4:$AO$55,3,FALSE))</f>
        <v>0</v>
      </c>
      <c r="M65" s="4">
        <f>(VLOOKUP('14.05'!U65,'14.05'!$AM$4:$AO$55,3,FALSE))</f>
        <v>0</v>
      </c>
      <c r="N65" s="4">
        <f>(VLOOKUP('14.05'!V65,'14.05'!$AM$4:$AO$55,3,FALSE))</f>
        <v>0</v>
      </c>
      <c r="O65" s="5">
        <f>(VLOOKUP('14.05'!W65,'14.05'!$AM$4:$AO$55,3,FALSE))</f>
        <v>0</v>
      </c>
      <c r="P65" s="5">
        <f>(VLOOKUP('14.05'!X65,'14.05'!$AM$4:$AO$55,3,FALSE))</f>
        <v>0</v>
      </c>
      <c r="Q65" s="4">
        <f>(VLOOKUP('14.05'!Y65,'14.05'!$AM$4:$AO$55,3,FALSE))</f>
        <v>0</v>
      </c>
      <c r="R65" s="4">
        <f>(VLOOKUP('14.05'!Z65,'14.05'!$AM$4:$AO$55,3,FALSE))</f>
        <v>0</v>
      </c>
      <c r="S65" s="4">
        <f>(VLOOKUP('14.05'!AA65,'14.05'!$AM$4:$AO$55,3,FALSE))</f>
        <v>0</v>
      </c>
      <c r="T65" s="4">
        <f>(VLOOKUP('14.05'!AB65,'14.05'!$AM$4:$AO$55,3,FALSE))</f>
        <v>0</v>
      </c>
      <c r="U65" s="4">
        <f>(VLOOKUP('14.05'!AC65,'14.05'!$AM$4:$AO$55,3,FALSE))</f>
        <v>0</v>
      </c>
      <c r="V65" s="4">
        <f>(VLOOKUP('14.05'!AD65,'14.05'!$AM$4:$AO$55,3,FALSE))</f>
        <v>0</v>
      </c>
      <c r="W65" s="5">
        <f>(VLOOKUP('14.05'!AE65,'14.05'!$AM$4:$AO$55,3,FALSE))</f>
        <v>0</v>
      </c>
      <c r="X65" s="5">
        <f>(VLOOKUP('14.05'!AF65,'14.05'!$AM$4:$AO$55,3,FALSE))</f>
        <v>0</v>
      </c>
    </row>
    <row r="66" spans="1:24">
      <c r="A66" s="4">
        <f>(VLOOKUP('14.05'!I66,'14.05'!$AM$4:$AO$55,3,FALSE))</f>
        <v>50</v>
      </c>
      <c r="B66" s="4">
        <f>(VLOOKUP('14.05'!J66,'14.05'!$AM$4:$AO$55,3,FALSE))</f>
        <v>50</v>
      </c>
      <c r="C66" s="4">
        <f>(VLOOKUP('14.05'!K66,'14.05'!$AM$4:$AO$55,3,FALSE))</f>
        <v>50</v>
      </c>
      <c r="D66" s="4">
        <f>(VLOOKUP('14.05'!L66,'14.05'!$AM$4:$AO$55,3,FALSE))</f>
        <v>50</v>
      </c>
      <c r="E66" s="4">
        <f>(VLOOKUP('14.05'!M66,'14.05'!$AM$4:$AO$55,3,FALSE))</f>
        <v>50</v>
      </c>
      <c r="F66" s="4">
        <f>(VLOOKUP('14.05'!N66,'14.05'!$AM$4:$AO$55,3,FALSE))</f>
        <v>50</v>
      </c>
      <c r="G66" s="5">
        <f>(VLOOKUP('14.05'!O66,'14.05'!$AM$4:$AO$55,3,FALSE))</f>
        <v>0</v>
      </c>
      <c r="H66" s="5">
        <f>(VLOOKUP('14.05'!P66,'14.05'!$AM$4:$AO$55,3,FALSE))</f>
        <v>0</v>
      </c>
      <c r="I66" s="4">
        <f>(VLOOKUP('14.05'!Q66,'14.05'!$AM$4:$AO$55,3,FALSE))</f>
        <v>0</v>
      </c>
      <c r="J66" s="4">
        <f>(VLOOKUP('14.05'!R66,'14.05'!$AM$4:$AO$55,3,FALSE))</f>
        <v>0</v>
      </c>
      <c r="K66" s="4">
        <f>(VLOOKUP('14.05'!S66,'14.05'!$AM$4:$AO$55,3,FALSE))</f>
        <v>0</v>
      </c>
      <c r="L66" s="4">
        <f>(VLOOKUP('14.05'!T66,'14.05'!$AM$4:$AO$55,3,FALSE))</f>
        <v>0</v>
      </c>
      <c r="M66" s="4">
        <f>(VLOOKUP('14.05'!U66,'14.05'!$AM$4:$AO$55,3,FALSE))</f>
        <v>0</v>
      </c>
      <c r="N66" s="4">
        <f>(VLOOKUP('14.05'!V66,'14.05'!$AM$4:$AO$55,3,FALSE))</f>
        <v>0</v>
      </c>
      <c r="O66" s="5">
        <f>(VLOOKUP('14.05'!W66,'14.05'!$AM$4:$AO$55,3,FALSE))</f>
        <v>0</v>
      </c>
      <c r="P66" s="5">
        <f>(VLOOKUP('14.05'!X66,'14.05'!$AM$4:$AO$55,3,FALSE))</f>
        <v>0</v>
      </c>
      <c r="Q66" s="4">
        <f>(VLOOKUP('14.05'!Y66,'14.05'!$AM$4:$AO$55,3,FALSE))</f>
        <v>45</v>
      </c>
      <c r="R66" s="4">
        <f>(VLOOKUP('14.05'!Z66,'14.05'!$AM$4:$AO$55,3,FALSE))</f>
        <v>45</v>
      </c>
      <c r="S66" s="4">
        <f>(VLOOKUP('14.05'!AA66,'14.05'!$AM$4:$AO$55,3,FALSE))</f>
        <v>45</v>
      </c>
      <c r="T66" s="4">
        <f>(VLOOKUP('14.05'!AB66,'14.05'!$AM$4:$AO$55,3,FALSE))</f>
        <v>45</v>
      </c>
      <c r="U66" s="4">
        <f>(VLOOKUP('14.05'!AC66,'14.05'!$AM$4:$AO$55,3,FALSE))</f>
        <v>50</v>
      </c>
      <c r="V66" s="4">
        <f>(VLOOKUP('14.05'!AD66,'14.05'!$AM$4:$AO$55,3,FALSE))</f>
        <v>50</v>
      </c>
      <c r="W66" s="5">
        <f>(VLOOKUP('14.05'!AE66,'14.05'!$AM$4:$AO$55,3,FALSE))</f>
        <v>0</v>
      </c>
      <c r="X66" s="5">
        <f>(VLOOKUP('14.05'!AF66,'14.05'!$AM$4:$AO$55,3,FALSE))</f>
        <v>0</v>
      </c>
    </row>
    <row r="67" spans="1:24">
      <c r="A67" s="4">
        <f>(VLOOKUP('14.05'!I67,'14.05'!$AM$4:$AO$55,3,FALSE))</f>
        <v>50</v>
      </c>
      <c r="B67" s="4">
        <f>(VLOOKUP('14.05'!J67,'14.05'!$AM$4:$AO$55,3,FALSE))</f>
        <v>50</v>
      </c>
      <c r="C67" s="4">
        <f>(VLOOKUP('14.05'!K67,'14.05'!$AM$4:$AO$55,3,FALSE))</f>
        <v>50</v>
      </c>
      <c r="D67" s="4">
        <f>(VLOOKUP('14.05'!L67,'14.05'!$AM$4:$AO$55,3,FALSE))</f>
        <v>50</v>
      </c>
      <c r="E67" s="4">
        <f>(VLOOKUP('14.05'!M67,'14.05'!$AM$4:$AO$55,3,FALSE))</f>
        <v>0</v>
      </c>
      <c r="F67" s="4">
        <f>(VLOOKUP('14.05'!N67,'14.05'!$AM$4:$AO$55,3,FALSE))</f>
        <v>0</v>
      </c>
      <c r="G67" s="5">
        <f>(VLOOKUP('14.05'!O67,'14.05'!$AM$4:$AO$55,3,FALSE))</f>
        <v>0</v>
      </c>
      <c r="H67" s="5">
        <f>(VLOOKUP('14.05'!P67,'14.05'!$AM$4:$AO$55,3,FALSE))</f>
        <v>0</v>
      </c>
      <c r="I67" s="4">
        <f>(VLOOKUP('14.05'!Q67,'14.05'!$AM$4:$AO$55,3,FALSE))</f>
        <v>0</v>
      </c>
      <c r="J67" s="4">
        <f>(VLOOKUP('14.05'!R67,'14.05'!$AM$4:$AO$55,3,FALSE))</f>
        <v>0</v>
      </c>
      <c r="K67" s="4">
        <f>(VLOOKUP('14.05'!S67,'14.05'!$AM$4:$AO$55,3,FALSE))</f>
        <v>0</v>
      </c>
      <c r="L67" s="4">
        <f>(VLOOKUP('14.05'!T67,'14.05'!$AM$4:$AO$55,3,FALSE))</f>
        <v>0</v>
      </c>
      <c r="M67" s="4">
        <f>(VLOOKUP('14.05'!U67,'14.05'!$AM$4:$AO$55,3,FALSE))</f>
        <v>0</v>
      </c>
      <c r="N67" s="4">
        <f>(VLOOKUP('14.05'!V67,'14.05'!$AM$4:$AO$55,3,FALSE))</f>
        <v>0</v>
      </c>
      <c r="O67" s="5">
        <f>(VLOOKUP('14.05'!W67,'14.05'!$AM$4:$AO$55,3,FALSE))</f>
        <v>0</v>
      </c>
      <c r="P67" s="5">
        <f>(VLOOKUP('14.05'!X67,'14.05'!$AM$4:$AO$55,3,FALSE))</f>
        <v>0</v>
      </c>
      <c r="Q67" s="4">
        <f>(VLOOKUP('14.05'!Y67,'14.05'!$AM$4:$AO$55,3,FALSE))</f>
        <v>50</v>
      </c>
      <c r="R67" s="4">
        <f>(VLOOKUP('14.05'!Z67,'14.05'!$AM$4:$AO$55,3,FALSE))</f>
        <v>50</v>
      </c>
      <c r="S67" s="4">
        <f>(VLOOKUP('14.05'!AA67,'14.05'!$AM$4:$AO$55,3,FALSE))</f>
        <v>50</v>
      </c>
      <c r="T67" s="4">
        <f>(VLOOKUP('14.05'!AB67,'14.05'!$AM$4:$AO$55,3,FALSE))</f>
        <v>50</v>
      </c>
      <c r="U67" s="4">
        <f>(VLOOKUP('14.05'!AC67,'14.05'!$AM$4:$AO$55,3,FALSE))</f>
        <v>50</v>
      </c>
      <c r="V67" s="4">
        <f>(VLOOKUP('14.05'!AD67,'14.05'!$AM$4:$AO$55,3,FALSE))</f>
        <v>50</v>
      </c>
      <c r="W67" s="5">
        <f>(VLOOKUP('14.05'!AE67,'14.05'!$AM$4:$AO$55,3,FALSE))</f>
        <v>0</v>
      </c>
      <c r="X67" s="5">
        <f>(VLOOKUP('14.05'!AF67,'14.05'!$AM$4:$AO$55,3,FALSE))</f>
        <v>0</v>
      </c>
    </row>
    <row r="68" spans="1:24">
      <c r="A68" s="4">
        <f>(VLOOKUP('14.05'!I68,'14.05'!$AM$4:$AO$55,3,FALSE))</f>
        <v>0</v>
      </c>
      <c r="B68" s="4">
        <f>(VLOOKUP('14.05'!J68,'14.05'!$AM$4:$AO$55,3,FALSE))</f>
        <v>0</v>
      </c>
      <c r="C68" s="4">
        <f>(VLOOKUP('14.05'!K68,'14.05'!$AM$4:$AO$55,3,FALSE))</f>
        <v>0</v>
      </c>
      <c r="D68" s="4">
        <f>(VLOOKUP('14.05'!L68,'14.05'!$AM$4:$AO$55,3,FALSE))</f>
        <v>0</v>
      </c>
      <c r="E68" s="4">
        <f>(VLOOKUP('14.05'!M68,'14.05'!$AM$4:$AO$55,3,FALSE))</f>
        <v>0</v>
      </c>
      <c r="F68" s="4">
        <f>(VLOOKUP('14.05'!N68,'14.05'!$AM$4:$AO$55,3,FALSE))</f>
        <v>0</v>
      </c>
      <c r="G68" s="5">
        <f>(VLOOKUP('14.05'!O68,'14.05'!$AM$4:$AO$55,3,FALSE))</f>
        <v>0</v>
      </c>
      <c r="H68" s="5">
        <f>(VLOOKUP('14.05'!P68,'14.05'!$AM$4:$AO$55,3,FALSE))</f>
        <v>0</v>
      </c>
      <c r="I68" s="4">
        <f>(VLOOKUP('14.05'!Q68,'14.05'!$AM$4:$AO$55,3,FALSE))</f>
        <v>0</v>
      </c>
      <c r="J68" s="4">
        <f>(VLOOKUP('14.05'!R68,'14.05'!$AM$4:$AO$55,3,FALSE))</f>
        <v>0</v>
      </c>
      <c r="K68" s="4">
        <f>(VLOOKUP('14.05'!S68,'14.05'!$AM$4:$AO$55,3,FALSE))</f>
        <v>0</v>
      </c>
      <c r="L68" s="4">
        <f>(VLOOKUP('14.05'!T68,'14.05'!$AM$4:$AO$55,3,FALSE))</f>
        <v>0</v>
      </c>
      <c r="M68" s="4">
        <f>(VLOOKUP('14.05'!U68,'14.05'!$AM$4:$AO$55,3,FALSE))</f>
        <v>0</v>
      </c>
      <c r="N68" s="4">
        <f>(VLOOKUP('14.05'!V68,'14.05'!$AM$4:$AO$55,3,FALSE))</f>
        <v>0</v>
      </c>
      <c r="O68" s="5">
        <f>(VLOOKUP('14.05'!W68,'14.05'!$AM$4:$AO$55,3,FALSE))</f>
        <v>0</v>
      </c>
      <c r="P68" s="5">
        <f>(VLOOKUP('14.05'!X68,'14.05'!$AM$4:$AO$55,3,FALSE))</f>
        <v>0</v>
      </c>
      <c r="Q68" s="4">
        <f>(VLOOKUP('14.05'!Y68,'14.05'!$AM$4:$AO$55,3,FALSE))</f>
        <v>50</v>
      </c>
      <c r="R68" s="4">
        <f>(VLOOKUP('14.05'!Z68,'14.05'!$AM$4:$AO$55,3,FALSE))</f>
        <v>55</v>
      </c>
      <c r="S68" s="4">
        <f>(VLOOKUP('14.05'!AA68,'14.05'!$AM$4:$AO$55,3,FALSE))</f>
        <v>55</v>
      </c>
      <c r="T68" s="4">
        <f>(VLOOKUP('14.05'!AB68,'14.05'!$AM$4:$AO$55,3,FALSE))</f>
        <v>55</v>
      </c>
      <c r="U68" s="4">
        <f>(VLOOKUP('14.05'!AC68,'14.05'!$AM$4:$AO$55,3,FALSE))</f>
        <v>55</v>
      </c>
      <c r="V68" s="4">
        <f>(VLOOKUP('14.05'!AD68,'14.05'!$AM$4:$AO$55,3,FALSE))</f>
        <v>55</v>
      </c>
      <c r="W68" s="5">
        <f>(VLOOKUP('14.05'!AE68,'14.05'!$AM$4:$AO$55,3,FALSE))</f>
        <v>0</v>
      </c>
      <c r="X68" s="5">
        <f>(VLOOKUP('14.05'!AF68,'14.05'!$AM$4:$AO$55,3,FALSE))</f>
        <v>0</v>
      </c>
    </row>
    <row r="69" spans="1:24">
      <c r="A69" s="4">
        <f>(VLOOKUP('14.05'!I69,'14.05'!$AM$4:$AO$55,3,FALSE))</f>
        <v>0</v>
      </c>
      <c r="B69" s="4">
        <f>(VLOOKUP('14.05'!J69,'14.05'!$AM$4:$AO$55,3,FALSE))</f>
        <v>0</v>
      </c>
      <c r="C69" s="4">
        <f>(VLOOKUP('14.05'!K69,'14.05'!$AM$4:$AO$55,3,FALSE))</f>
        <v>0</v>
      </c>
      <c r="D69" s="4">
        <f>(VLOOKUP('14.05'!L69,'14.05'!$AM$4:$AO$55,3,FALSE))</f>
        <v>0</v>
      </c>
      <c r="E69" s="4">
        <f>(VLOOKUP('14.05'!M69,'14.05'!$AM$4:$AO$55,3,FALSE))</f>
        <v>0</v>
      </c>
      <c r="F69" s="4">
        <f>(VLOOKUP('14.05'!N69,'14.05'!$AM$4:$AO$55,3,FALSE))</f>
        <v>0</v>
      </c>
      <c r="G69" s="5">
        <f>(VLOOKUP('14.05'!O69,'14.05'!$AM$4:$AO$55,3,FALSE))</f>
        <v>0</v>
      </c>
      <c r="H69" s="5">
        <f>(VLOOKUP('14.05'!P69,'14.05'!$AM$4:$AO$55,3,FALSE))</f>
        <v>0</v>
      </c>
      <c r="I69" s="4">
        <f>(VLOOKUP('14.05'!Q69,'14.05'!$AM$4:$AO$55,3,FALSE))</f>
        <v>50</v>
      </c>
      <c r="J69" s="4">
        <f>(VLOOKUP('14.05'!R69,'14.05'!$AM$4:$AO$55,3,FALSE))</f>
        <v>50</v>
      </c>
      <c r="K69" s="4">
        <f>(VLOOKUP('14.05'!S69,'14.05'!$AM$4:$AO$55,3,FALSE))</f>
        <v>50</v>
      </c>
      <c r="L69" s="4">
        <f>(VLOOKUP('14.05'!T69,'14.05'!$AM$4:$AO$55,3,FALSE))</f>
        <v>50</v>
      </c>
      <c r="M69" s="4">
        <f>(VLOOKUP('14.05'!U69,'14.05'!$AM$4:$AO$55,3,FALSE))</f>
        <v>50</v>
      </c>
      <c r="N69" s="4">
        <f>(VLOOKUP('14.05'!V69,'14.05'!$AM$4:$AO$55,3,FALSE))</f>
        <v>50</v>
      </c>
      <c r="O69" s="5">
        <f>(VLOOKUP('14.05'!W69,'14.05'!$AM$4:$AO$55,3,FALSE))</f>
        <v>0</v>
      </c>
      <c r="P69" s="5">
        <f>(VLOOKUP('14.05'!X69,'14.05'!$AM$4:$AO$55,3,FALSE))</f>
        <v>0</v>
      </c>
      <c r="Q69" s="4">
        <f>(VLOOKUP('14.05'!Y69,'14.05'!$AM$4:$AO$55,3,FALSE))</f>
        <v>55</v>
      </c>
      <c r="R69" s="4">
        <f>(VLOOKUP('14.05'!Z69,'14.05'!$AM$4:$AO$55,3,FALSE))</f>
        <v>55</v>
      </c>
      <c r="S69" s="4">
        <f>(VLOOKUP('14.05'!AA69,'14.05'!$AM$4:$AO$55,3,FALSE))</f>
        <v>55</v>
      </c>
      <c r="T69" s="4">
        <f>(VLOOKUP('14.05'!AB69,'14.05'!$AM$4:$AO$55,3,FALSE))</f>
        <v>55</v>
      </c>
      <c r="U69" s="4">
        <f>(VLOOKUP('14.05'!AC69,'14.05'!$AM$4:$AO$55,3,FALSE))</f>
        <v>55</v>
      </c>
      <c r="V69" s="4">
        <f>(VLOOKUP('14.05'!AD69,'14.05'!$AM$4:$AO$55,3,FALSE))</f>
        <v>55</v>
      </c>
      <c r="W69" s="5">
        <f>(VLOOKUP('14.05'!AE69,'14.05'!$AM$4:$AO$55,3,FALSE))</f>
        <v>0</v>
      </c>
      <c r="X69" s="5">
        <f>(VLOOKUP('14.05'!AF69,'14.05'!$AM$4:$AO$55,3,FALSE))</f>
        <v>0</v>
      </c>
    </row>
    <row r="70" spans="1:24">
      <c r="A70" s="4">
        <f>(VLOOKUP('14.05'!I70,'14.05'!$AM$4:$AO$55,3,FALSE))</f>
        <v>0</v>
      </c>
      <c r="B70" s="4">
        <f>(VLOOKUP('14.05'!J70,'14.05'!$AM$4:$AO$55,3,FALSE))</f>
        <v>0</v>
      </c>
      <c r="C70" s="4">
        <f>(VLOOKUP('14.05'!K70,'14.05'!$AM$4:$AO$55,3,FALSE))</f>
        <v>0</v>
      </c>
      <c r="D70" s="4">
        <f>(VLOOKUP('14.05'!L70,'14.05'!$AM$4:$AO$55,3,FALSE))</f>
        <v>0</v>
      </c>
      <c r="E70" s="4">
        <f>(VLOOKUP('14.05'!M70,'14.05'!$AM$4:$AO$55,3,FALSE))</f>
        <v>0</v>
      </c>
      <c r="F70" s="4">
        <f>(VLOOKUP('14.05'!N70,'14.05'!$AM$4:$AO$55,3,FALSE))</f>
        <v>0</v>
      </c>
      <c r="G70" s="5">
        <f>(VLOOKUP('14.05'!O70,'14.05'!$AM$4:$AO$55,3,FALSE))</f>
        <v>0</v>
      </c>
      <c r="H70" s="5">
        <f>(VLOOKUP('14.05'!P70,'14.05'!$AM$4:$AO$55,3,FALSE))</f>
        <v>0</v>
      </c>
      <c r="I70" s="4">
        <f>(VLOOKUP('14.05'!Q70,'14.05'!$AM$4:$AO$55,3,FALSE))</f>
        <v>50</v>
      </c>
      <c r="J70" s="4">
        <f>(VLOOKUP('14.05'!R70,'14.05'!$AM$4:$AO$55,3,FALSE))</f>
        <v>50</v>
      </c>
      <c r="K70" s="4">
        <f>(VLOOKUP('14.05'!S70,'14.05'!$AM$4:$AO$55,3,FALSE))</f>
        <v>50</v>
      </c>
      <c r="L70" s="4">
        <f>(VLOOKUP('14.05'!T70,'14.05'!$AM$4:$AO$55,3,FALSE))</f>
        <v>50</v>
      </c>
      <c r="M70" s="4">
        <f>(VLOOKUP('14.05'!U70,'14.05'!$AM$4:$AO$55,3,FALSE))</f>
        <v>50</v>
      </c>
      <c r="N70" s="4">
        <f>(VLOOKUP('14.05'!V70,'14.05'!$AM$4:$AO$55,3,FALSE))</f>
        <v>50</v>
      </c>
      <c r="O70" s="5">
        <f>(VLOOKUP('14.05'!W70,'14.05'!$AM$4:$AO$55,3,FALSE))</f>
        <v>0</v>
      </c>
      <c r="P70" s="5">
        <f>(VLOOKUP('14.05'!X70,'14.05'!$AM$4:$AO$55,3,FALSE))</f>
        <v>0</v>
      </c>
      <c r="Q70" s="4">
        <f>(VLOOKUP('14.05'!Y70,'14.05'!$AM$4:$AO$55,3,FALSE))</f>
        <v>55</v>
      </c>
      <c r="R70" s="4">
        <f>(VLOOKUP('14.05'!Z70,'14.05'!$AM$4:$AO$55,3,FALSE))</f>
        <v>55</v>
      </c>
      <c r="S70" s="4">
        <f>(VLOOKUP('14.05'!AA70,'14.05'!$AM$4:$AO$55,3,FALSE))</f>
        <v>55</v>
      </c>
      <c r="T70" s="4">
        <f>(VLOOKUP('14.05'!AB70,'14.05'!$AM$4:$AO$55,3,FALSE))</f>
        <v>55</v>
      </c>
      <c r="U70" s="4">
        <f>(VLOOKUP('14.05'!AC70,'14.05'!$AM$4:$AO$55,3,FALSE))</f>
        <v>55</v>
      </c>
      <c r="V70" s="4">
        <f>(VLOOKUP('14.05'!AD70,'14.05'!$AM$4:$AO$55,3,FALSE))</f>
        <v>60</v>
      </c>
      <c r="W70" s="5">
        <f>(VLOOKUP('14.05'!AE70,'14.05'!$AM$4:$AO$55,3,FALSE))</f>
        <v>0</v>
      </c>
      <c r="X70" s="5">
        <f>(VLOOKUP('14.05'!AF70,'14.05'!$AM$4:$AO$55,3,FALSE))</f>
        <v>0</v>
      </c>
    </row>
    <row r="71" spans="1:24">
      <c r="A71" s="4">
        <f>(VLOOKUP('14.05'!I71,'14.05'!$AM$4:$AO$55,3,FALSE))</f>
        <v>0</v>
      </c>
      <c r="B71" s="4">
        <f>(VLOOKUP('14.05'!J71,'14.05'!$AM$4:$AO$55,3,FALSE))</f>
        <v>0</v>
      </c>
      <c r="C71" s="4">
        <f>(VLOOKUP('14.05'!K71,'14.05'!$AM$4:$AO$55,3,FALSE))</f>
        <v>0</v>
      </c>
      <c r="D71" s="4">
        <f>(VLOOKUP('14.05'!L71,'14.05'!$AM$4:$AO$55,3,FALSE))</f>
        <v>0</v>
      </c>
      <c r="E71" s="4">
        <f>(VLOOKUP('14.05'!M71,'14.05'!$AM$4:$AO$55,3,FALSE))</f>
        <v>0</v>
      </c>
      <c r="F71" s="4">
        <f>(VLOOKUP('14.05'!N71,'14.05'!$AM$4:$AO$55,3,FALSE))</f>
        <v>0</v>
      </c>
      <c r="G71" s="5">
        <f>(VLOOKUP('14.05'!O71,'14.05'!$AM$4:$AO$55,3,FALSE))</f>
        <v>0</v>
      </c>
      <c r="H71" s="5">
        <f>(VLOOKUP('14.05'!P71,'14.05'!$AM$4:$AO$55,3,FALSE))</f>
        <v>0</v>
      </c>
      <c r="I71" s="4">
        <f>(VLOOKUP('14.05'!Q71,'14.05'!$AM$4:$AO$55,3,FALSE))</f>
        <v>30</v>
      </c>
      <c r="J71" s="4">
        <f>(VLOOKUP('14.05'!R71,'14.05'!$AM$4:$AO$55,3,FALSE))</f>
        <v>50</v>
      </c>
      <c r="K71" s="4">
        <f>(VLOOKUP('14.05'!S71,'14.05'!$AM$4:$AO$55,3,FALSE))</f>
        <v>50</v>
      </c>
      <c r="L71" s="4">
        <f>(VLOOKUP('14.05'!T71,'14.05'!$AM$4:$AO$55,3,FALSE))</f>
        <v>50</v>
      </c>
      <c r="M71" s="4">
        <f>(VLOOKUP('14.05'!U71,'14.05'!$AM$4:$AO$55,3,FALSE))</f>
        <v>50</v>
      </c>
      <c r="N71" s="4">
        <f>(VLOOKUP('14.05'!V71,'14.05'!$AM$4:$AO$55,3,FALSE))</f>
        <v>50</v>
      </c>
      <c r="O71" s="5">
        <f>(VLOOKUP('14.05'!W71,'14.05'!$AM$4:$AO$55,3,FALSE))</f>
        <v>0</v>
      </c>
      <c r="P71" s="5">
        <f>(VLOOKUP('14.05'!X71,'14.05'!$AM$4:$AO$55,3,FALSE))</f>
        <v>0</v>
      </c>
      <c r="Q71" s="4">
        <f>(VLOOKUP('14.05'!Y71,'14.05'!$AM$4:$AO$55,3,FALSE))</f>
        <v>60</v>
      </c>
      <c r="R71" s="4">
        <f>(VLOOKUP('14.05'!Z71,'14.05'!$AM$4:$AO$55,3,FALSE))</f>
        <v>60</v>
      </c>
      <c r="S71" s="4">
        <f>(VLOOKUP('14.05'!AA71,'14.05'!$AM$4:$AO$55,3,FALSE))</f>
        <v>60</v>
      </c>
      <c r="T71" s="4">
        <f>(VLOOKUP('14.05'!AB71,'14.05'!$AM$4:$AO$55,3,FALSE))</f>
        <v>60</v>
      </c>
      <c r="U71" s="4">
        <f>(VLOOKUP('14.05'!AC71,'14.05'!$AM$4:$AO$55,3,FALSE))</f>
        <v>60</v>
      </c>
      <c r="V71" s="4">
        <f>(VLOOKUP('14.05'!AD71,'14.05'!$AM$4:$AO$55,3,FALSE))</f>
        <v>60</v>
      </c>
      <c r="W71" s="5">
        <f>(VLOOKUP('14.05'!AE71,'14.05'!$AM$4:$AO$55,3,FALSE))</f>
        <v>0</v>
      </c>
      <c r="X71" s="5">
        <f>(VLOOKUP('14.05'!AF71,'14.05'!$AM$4:$AO$55,3,FALSE))</f>
        <v>0</v>
      </c>
    </row>
    <row r="72" spans="1:24">
      <c r="A72" s="4">
        <f>(VLOOKUP('14.05'!I72,'14.05'!$AM$4:$AO$55,3,FALSE))</f>
        <v>0</v>
      </c>
      <c r="B72" s="4">
        <f>(VLOOKUP('14.05'!J72,'14.05'!$AM$4:$AO$55,3,FALSE))</f>
        <v>0</v>
      </c>
      <c r="C72" s="4">
        <f>(VLOOKUP('14.05'!K72,'14.05'!$AM$4:$AO$55,3,FALSE))</f>
        <v>0</v>
      </c>
      <c r="D72" s="4">
        <f>(VLOOKUP('14.05'!L72,'14.05'!$AM$4:$AO$55,3,FALSE))</f>
        <v>0</v>
      </c>
      <c r="E72" s="4">
        <f>(VLOOKUP('14.05'!M72,'14.05'!$AM$4:$AO$55,3,FALSE))</f>
        <v>0</v>
      </c>
      <c r="F72" s="4">
        <f>(VLOOKUP('14.05'!N72,'14.05'!$AM$4:$AO$55,3,FALSE))</f>
        <v>0</v>
      </c>
      <c r="G72" s="5">
        <f>(VLOOKUP('14.05'!O72,'14.05'!$AM$4:$AO$55,3,FALSE))</f>
        <v>0</v>
      </c>
      <c r="H72" s="5">
        <f>(VLOOKUP('14.05'!P72,'14.05'!$AM$4:$AO$55,3,FALSE))</f>
        <v>0</v>
      </c>
      <c r="I72" s="4">
        <f>(VLOOKUP('14.05'!Q72,'14.05'!$AM$4:$AO$55,3,FALSE))</f>
        <v>50</v>
      </c>
      <c r="J72" s="4">
        <f>(VLOOKUP('14.05'!R72,'14.05'!$AM$4:$AO$55,3,FALSE))</f>
        <v>50</v>
      </c>
      <c r="K72" s="4">
        <f>(VLOOKUP('14.05'!S72,'14.05'!$AM$4:$AO$55,3,FALSE))</f>
        <v>55</v>
      </c>
      <c r="L72" s="4">
        <f>(VLOOKUP('14.05'!T72,'14.05'!$AM$4:$AO$55,3,FALSE))</f>
        <v>55</v>
      </c>
      <c r="M72" s="4">
        <f>(VLOOKUP('14.05'!U72,'14.05'!$AM$4:$AO$55,3,FALSE))</f>
        <v>55</v>
      </c>
      <c r="N72" s="4">
        <f>(VLOOKUP('14.05'!V72,'14.05'!$AM$4:$AO$55,3,FALSE))</f>
        <v>55</v>
      </c>
      <c r="O72" s="5">
        <f>(VLOOKUP('14.05'!W72,'14.05'!$AM$4:$AO$55,3,FALSE))</f>
        <v>0</v>
      </c>
      <c r="P72" s="5">
        <f>(VLOOKUP('14.05'!X72,'14.05'!$AM$4:$AO$55,3,FALSE))</f>
        <v>0</v>
      </c>
      <c r="Q72" s="4">
        <f>(VLOOKUP('14.05'!Y72,'14.05'!$AM$4:$AO$55,3,FALSE))</f>
        <v>60</v>
      </c>
      <c r="R72" s="4">
        <f>(VLOOKUP('14.05'!Z72,'14.05'!$AM$4:$AO$55,3,FALSE))</f>
        <v>60</v>
      </c>
      <c r="S72" s="4">
        <f>(VLOOKUP('14.05'!AA72,'14.05'!$AM$4:$AO$55,3,FALSE))</f>
        <v>60</v>
      </c>
      <c r="T72" s="4">
        <f>(VLOOKUP('14.05'!AB72,'14.05'!$AM$4:$AO$55,3,FALSE))</f>
        <v>60</v>
      </c>
      <c r="U72" s="4">
        <f>(VLOOKUP('14.05'!AC72,'14.05'!$AM$4:$AO$55,3,FALSE))</f>
        <v>60</v>
      </c>
      <c r="V72" s="4">
        <f>(VLOOKUP('14.05'!AD72,'14.05'!$AM$4:$AO$55,3,FALSE))</f>
        <v>60</v>
      </c>
      <c r="W72" s="5">
        <f>(VLOOKUP('14.05'!AE72,'14.05'!$AM$4:$AO$55,3,FALSE))</f>
        <v>0</v>
      </c>
      <c r="X72" s="5">
        <f>(VLOOKUP('14.05'!AF72,'14.05'!$AM$4:$AO$55,3,FALSE))</f>
        <v>0</v>
      </c>
    </row>
    <row r="73" spans="1:24">
      <c r="A73" s="4">
        <f>(VLOOKUP('14.05'!I73,'14.05'!$AM$4:$AO$55,3,FALSE))</f>
        <v>0</v>
      </c>
      <c r="B73" s="4">
        <f>(VLOOKUP('14.05'!J73,'14.05'!$AM$4:$AO$55,3,FALSE))</f>
        <v>0</v>
      </c>
      <c r="C73" s="4">
        <f>(VLOOKUP('14.05'!K73,'14.05'!$AM$4:$AO$55,3,FALSE))</f>
        <v>0</v>
      </c>
      <c r="D73" s="4">
        <f>(VLOOKUP('14.05'!L73,'14.05'!$AM$4:$AO$55,3,FALSE))</f>
        <v>0</v>
      </c>
      <c r="E73" s="4">
        <f>(VLOOKUP('14.05'!M73,'14.05'!$AM$4:$AO$55,3,FALSE))</f>
        <v>0</v>
      </c>
      <c r="F73" s="4">
        <f>(VLOOKUP('14.05'!N73,'14.05'!$AM$4:$AO$55,3,FALSE))</f>
        <v>0</v>
      </c>
      <c r="G73" s="5">
        <f>(VLOOKUP('14.05'!O73,'14.05'!$AM$4:$AO$55,3,FALSE))</f>
        <v>0</v>
      </c>
      <c r="H73" s="5">
        <f>(VLOOKUP('14.05'!P73,'14.05'!$AM$4:$AO$55,3,FALSE))</f>
        <v>0</v>
      </c>
      <c r="I73" s="4">
        <f>(VLOOKUP('14.05'!Q73,'14.05'!$AM$4:$AO$55,3,FALSE))</f>
        <v>55</v>
      </c>
      <c r="J73" s="4">
        <f>(VLOOKUP('14.05'!R73,'14.05'!$AM$4:$AO$55,3,FALSE))</f>
        <v>55</v>
      </c>
      <c r="K73" s="4">
        <f>(VLOOKUP('14.05'!S73,'14.05'!$AM$4:$AO$55,3,FALSE))</f>
        <v>55</v>
      </c>
      <c r="L73" s="4">
        <f>(VLOOKUP('14.05'!T73,'14.05'!$AM$4:$AO$55,3,FALSE))</f>
        <v>55</v>
      </c>
      <c r="M73" s="4">
        <f>(VLOOKUP('14.05'!U73,'14.05'!$AM$4:$AO$55,3,FALSE))</f>
        <v>55</v>
      </c>
      <c r="N73" s="4">
        <f>(VLOOKUP('14.05'!V73,'14.05'!$AM$4:$AO$55,3,FALSE))</f>
        <v>55</v>
      </c>
      <c r="O73" s="5">
        <f>(VLOOKUP('14.05'!W73,'14.05'!$AM$4:$AO$55,3,FALSE))</f>
        <v>0</v>
      </c>
      <c r="P73" s="5">
        <f>(VLOOKUP('14.05'!X73,'14.05'!$AM$4:$AO$55,3,FALSE))</f>
        <v>0</v>
      </c>
      <c r="Q73" s="4">
        <f>(VLOOKUP('14.05'!Y73,'14.05'!$AM$4:$AO$55,3,FALSE))</f>
        <v>60</v>
      </c>
      <c r="R73" s="4">
        <f>(VLOOKUP('14.05'!Z73,'14.05'!$AM$4:$AO$55,3,FALSE))</f>
        <v>60</v>
      </c>
      <c r="S73" s="4">
        <f>(VLOOKUP('14.05'!AA73,'14.05'!$AM$4:$AO$55,3,FALSE))</f>
        <v>60</v>
      </c>
      <c r="T73" s="4">
        <f>(VLOOKUP('14.05'!AB73,'14.05'!$AM$4:$AO$55,3,FALSE))</f>
        <v>60</v>
      </c>
      <c r="U73" s="4">
        <f>(VLOOKUP('14.05'!AC73,'14.05'!$AM$4:$AO$55,3,FALSE))</f>
        <v>60</v>
      </c>
      <c r="V73" s="4">
        <f>(VLOOKUP('14.05'!AD73,'14.05'!$AM$4:$AO$55,3,FALSE))</f>
        <v>60</v>
      </c>
      <c r="W73" s="5">
        <f>(VLOOKUP('14.05'!AE73,'14.05'!$AM$4:$AO$55,3,FALSE))</f>
        <v>0</v>
      </c>
      <c r="X73" s="5">
        <f>(VLOOKUP('14.05'!AF73,'14.05'!$AM$4:$AO$55,3,FALSE))</f>
        <v>0</v>
      </c>
    </row>
    <row r="74" spans="1:24">
      <c r="A74" s="4">
        <f>(VLOOKUP('14.05'!I74,'14.05'!$AM$4:$AO$55,3,FALSE))</f>
        <v>0</v>
      </c>
      <c r="B74" s="4">
        <f>(VLOOKUP('14.05'!J74,'14.05'!$AM$4:$AO$55,3,FALSE))</f>
        <v>0</v>
      </c>
      <c r="C74" s="4">
        <f>(VLOOKUP('14.05'!K74,'14.05'!$AM$4:$AO$55,3,FALSE))</f>
        <v>0</v>
      </c>
      <c r="D74" s="4">
        <f>(VLOOKUP('14.05'!L74,'14.05'!$AM$4:$AO$55,3,FALSE))</f>
        <v>0</v>
      </c>
      <c r="E74" s="4">
        <f>(VLOOKUP('14.05'!M74,'14.05'!$AM$4:$AO$55,3,FALSE))</f>
        <v>0</v>
      </c>
      <c r="F74" s="4">
        <f>(VLOOKUP('14.05'!N74,'14.05'!$AM$4:$AO$55,3,FALSE))</f>
        <v>0</v>
      </c>
      <c r="G74" s="5">
        <f>(VLOOKUP('14.05'!O74,'14.05'!$AM$4:$AO$55,3,FALSE))</f>
        <v>0</v>
      </c>
      <c r="H74" s="5">
        <f>(VLOOKUP('14.05'!P74,'14.05'!$AM$4:$AO$55,3,FALSE))</f>
        <v>0</v>
      </c>
      <c r="I74" s="4">
        <f>(VLOOKUP('14.05'!Q74,'14.05'!$AM$4:$AO$55,3,FALSE))</f>
        <v>55</v>
      </c>
      <c r="J74" s="4">
        <f>(VLOOKUP('14.05'!R74,'14.05'!$AM$4:$AO$55,3,FALSE))</f>
        <v>55</v>
      </c>
      <c r="K74" s="4">
        <f>(VLOOKUP('14.05'!S74,'14.05'!$AM$4:$AO$55,3,FALSE))</f>
        <v>55</v>
      </c>
      <c r="L74" s="4">
        <f>(VLOOKUP('14.05'!T74,'14.05'!$AM$4:$AO$55,3,FALSE))</f>
        <v>55</v>
      </c>
      <c r="M74" s="4">
        <f>(VLOOKUP('14.05'!U74,'14.05'!$AM$4:$AO$55,3,FALSE))</f>
        <v>55</v>
      </c>
      <c r="N74" s="4">
        <f>(VLOOKUP('14.05'!V74,'14.05'!$AM$4:$AO$55,3,FALSE))</f>
        <v>55</v>
      </c>
      <c r="O74" s="5">
        <f>(VLOOKUP('14.05'!W74,'14.05'!$AM$4:$AO$55,3,FALSE))</f>
        <v>0</v>
      </c>
      <c r="P74" s="5">
        <f>(VLOOKUP('14.05'!X74,'14.05'!$AM$4:$AO$55,3,FALSE))</f>
        <v>0</v>
      </c>
      <c r="Q74" s="4">
        <f>(VLOOKUP('14.05'!Y74,'14.05'!$AM$4:$AO$55,3,FALSE))</f>
        <v>60</v>
      </c>
      <c r="R74" s="4">
        <f>(VLOOKUP('14.05'!Z74,'14.05'!$AM$4:$AO$55,3,FALSE))</f>
        <v>60</v>
      </c>
      <c r="S74" s="4">
        <f>(VLOOKUP('14.05'!AA74,'14.05'!$AM$4:$AO$55,3,FALSE))</f>
        <v>60</v>
      </c>
      <c r="T74" s="4">
        <f>(VLOOKUP('14.05'!AB74,'14.05'!$AM$4:$AO$55,3,FALSE))</f>
        <v>60</v>
      </c>
      <c r="U74" s="4">
        <f>(VLOOKUP('14.05'!AC74,'14.05'!$AM$4:$AO$55,3,FALSE))</f>
        <v>60</v>
      </c>
      <c r="V74" s="4">
        <f>(VLOOKUP('14.05'!AD74,'14.05'!$AM$4:$AO$55,3,FALSE))</f>
        <v>60</v>
      </c>
      <c r="W74" s="5">
        <f>(VLOOKUP('14.05'!AE74,'14.05'!$AM$4:$AO$55,3,FALSE))</f>
        <v>0</v>
      </c>
      <c r="X74" s="5">
        <f>(VLOOKUP('14.05'!AF74,'14.05'!$AM$4:$AO$55,3,FALSE))</f>
        <v>0</v>
      </c>
    </row>
    <row r="75" spans="1:24">
      <c r="A75" s="4">
        <f>(VLOOKUP('14.05'!I75,'14.05'!$AM$4:$AO$55,3,FALSE))</f>
        <v>0</v>
      </c>
      <c r="B75" s="4">
        <f>(VLOOKUP('14.05'!J75,'14.05'!$AM$4:$AO$55,3,FALSE))</f>
        <v>0</v>
      </c>
      <c r="C75" s="4">
        <f>(VLOOKUP('14.05'!K75,'14.05'!$AM$4:$AO$55,3,FALSE))</f>
        <v>0</v>
      </c>
      <c r="D75" s="4">
        <f>(VLOOKUP('14.05'!L75,'14.05'!$AM$4:$AO$55,3,FALSE))</f>
        <v>0</v>
      </c>
      <c r="E75" s="4">
        <f>(VLOOKUP('14.05'!M75,'14.05'!$AM$4:$AO$55,3,FALSE))</f>
        <v>0</v>
      </c>
      <c r="F75" s="4">
        <f>(VLOOKUP('14.05'!N75,'14.05'!$AM$4:$AO$55,3,FALSE))</f>
        <v>0</v>
      </c>
      <c r="G75" s="5">
        <f>(VLOOKUP('14.05'!O75,'14.05'!$AM$4:$AO$55,3,FALSE))</f>
        <v>0</v>
      </c>
      <c r="H75" s="5">
        <f>(VLOOKUP('14.05'!P75,'14.05'!$AM$4:$AO$55,3,FALSE))</f>
        <v>0</v>
      </c>
      <c r="I75" s="4">
        <f>(VLOOKUP('14.05'!Q75,'14.05'!$AM$4:$AO$55,3,FALSE))</f>
        <v>60</v>
      </c>
      <c r="J75" s="4">
        <f>(VLOOKUP('14.05'!R75,'14.05'!$AM$4:$AO$55,3,FALSE))</f>
        <v>60</v>
      </c>
      <c r="K75" s="4">
        <f>(VLOOKUP('14.05'!S75,'14.05'!$AM$4:$AO$55,3,FALSE))</f>
        <v>60</v>
      </c>
      <c r="L75" s="4">
        <f>(VLOOKUP('14.05'!T75,'14.05'!$AM$4:$AO$55,3,FALSE))</f>
        <v>60</v>
      </c>
      <c r="M75" s="4">
        <f>(VLOOKUP('14.05'!U75,'14.05'!$AM$4:$AO$55,3,FALSE))</f>
        <v>60</v>
      </c>
      <c r="N75" s="4">
        <f>(VLOOKUP('14.05'!V75,'14.05'!$AM$4:$AO$55,3,FALSE))</f>
        <v>60</v>
      </c>
      <c r="O75" s="5">
        <f>(VLOOKUP('14.05'!W75,'14.05'!$AM$4:$AO$55,3,FALSE))</f>
        <v>0</v>
      </c>
      <c r="P75" s="5">
        <f>(VLOOKUP('14.05'!X75,'14.05'!$AM$4:$AO$55,3,FALSE))</f>
        <v>0</v>
      </c>
      <c r="Q75" s="4">
        <f>(VLOOKUP('14.05'!Y75,'14.05'!$AM$4:$AO$55,3,FALSE))</f>
        <v>60</v>
      </c>
      <c r="R75" s="4">
        <f>(VLOOKUP('14.05'!Z75,'14.05'!$AM$4:$AO$55,3,FALSE))</f>
        <v>60</v>
      </c>
      <c r="S75" s="4">
        <f>(VLOOKUP('14.05'!AA75,'14.05'!$AM$4:$AO$55,3,FALSE))</f>
        <v>60</v>
      </c>
      <c r="T75" s="4">
        <f>(VLOOKUP('14.05'!AB75,'14.05'!$AM$4:$AO$55,3,FALSE))</f>
        <v>60</v>
      </c>
      <c r="U75" s="4">
        <f>(VLOOKUP('14.05'!AC75,'14.05'!$AM$4:$AO$55,3,FALSE))</f>
        <v>60</v>
      </c>
      <c r="V75" s="4">
        <f>(VLOOKUP('14.05'!AD75,'14.05'!$AM$4:$AO$55,3,FALSE))</f>
        <v>30</v>
      </c>
      <c r="W75" s="5">
        <f>(VLOOKUP('14.05'!AE75,'14.05'!$AM$4:$AO$55,3,FALSE))</f>
        <v>0</v>
      </c>
      <c r="X75" s="5">
        <f>(VLOOKUP('14.05'!AF75,'14.05'!$AM$4:$AO$55,3,FALSE))</f>
        <v>0</v>
      </c>
    </row>
    <row r="76" spans="1:24">
      <c r="A76" s="4">
        <f>(VLOOKUP('14.05'!I76,'14.05'!$AM$4:$AO$55,3,FALSE))</f>
        <v>0</v>
      </c>
      <c r="B76" s="4">
        <f>(VLOOKUP('14.05'!J76,'14.05'!$AM$4:$AO$55,3,FALSE))</f>
        <v>0</v>
      </c>
      <c r="C76" s="4">
        <f>(VLOOKUP('14.05'!K76,'14.05'!$AM$4:$AO$55,3,FALSE))</f>
        <v>0</v>
      </c>
      <c r="D76" s="4">
        <f>(VLOOKUP('14.05'!L76,'14.05'!$AM$4:$AO$55,3,FALSE))</f>
        <v>0</v>
      </c>
      <c r="E76" s="4">
        <f>(VLOOKUP('14.05'!M76,'14.05'!$AM$4:$AO$55,3,FALSE))</f>
        <v>0</v>
      </c>
      <c r="F76" s="4">
        <f>(VLOOKUP('14.05'!N76,'14.05'!$AM$4:$AO$55,3,FALSE))</f>
        <v>0</v>
      </c>
      <c r="G76" s="5">
        <f>(VLOOKUP('14.05'!O76,'14.05'!$AM$4:$AO$55,3,FALSE))</f>
        <v>0</v>
      </c>
      <c r="H76" s="5">
        <f>(VLOOKUP('14.05'!P76,'14.05'!$AM$4:$AO$55,3,FALSE))</f>
        <v>0</v>
      </c>
      <c r="I76" s="4">
        <f>(VLOOKUP('14.05'!Q76,'14.05'!$AM$4:$AO$55,3,FALSE))</f>
        <v>60</v>
      </c>
      <c r="J76" s="4">
        <f>(VLOOKUP('14.05'!R76,'14.05'!$AM$4:$AO$55,3,FALSE))</f>
        <v>60</v>
      </c>
      <c r="K76" s="4">
        <f>(VLOOKUP('14.05'!S76,'14.05'!$AM$4:$AO$55,3,FALSE))</f>
        <v>60</v>
      </c>
      <c r="L76" s="4">
        <f>(VLOOKUP('14.05'!T76,'14.05'!$AM$4:$AO$55,3,FALSE))</f>
        <v>60</v>
      </c>
      <c r="M76" s="4">
        <f>(VLOOKUP('14.05'!U76,'14.05'!$AM$4:$AO$55,3,FALSE))</f>
        <v>60</v>
      </c>
      <c r="N76" s="4">
        <f>(VLOOKUP('14.05'!V76,'14.05'!$AM$4:$AO$55,3,FALSE))</f>
        <v>60</v>
      </c>
      <c r="O76" s="5">
        <f>(VLOOKUP('14.05'!W76,'14.05'!$AM$4:$AO$55,3,FALSE))</f>
        <v>0</v>
      </c>
      <c r="P76" s="5">
        <f>(VLOOKUP('14.05'!X76,'14.05'!$AM$4:$AO$55,3,FALSE))</f>
        <v>0</v>
      </c>
      <c r="Q76" s="4">
        <f>(VLOOKUP('14.05'!Y76,'14.05'!$AM$4:$AO$55,3,FALSE))</f>
        <v>60</v>
      </c>
      <c r="R76" s="4">
        <f>(VLOOKUP('14.05'!Z76,'14.05'!$AM$4:$AO$55,3,FALSE))</f>
        <v>60</v>
      </c>
      <c r="S76" s="4">
        <f>(VLOOKUP('14.05'!AA76,'14.05'!$AM$4:$AO$55,3,FALSE))</f>
        <v>60</v>
      </c>
      <c r="T76" s="4">
        <f>(VLOOKUP('14.05'!AB76,'14.05'!$AM$4:$AO$55,3,FALSE))</f>
        <v>60</v>
      </c>
      <c r="U76" s="4">
        <f>(VLOOKUP('14.05'!AC76,'14.05'!$AM$4:$AO$55,3,FALSE))</f>
        <v>60</v>
      </c>
      <c r="V76" s="4">
        <f>(VLOOKUP('14.05'!AD76,'14.05'!$AM$4:$AO$55,3,FALSE))</f>
        <v>60</v>
      </c>
      <c r="W76" s="5">
        <f>(VLOOKUP('14.05'!AE76,'14.05'!$AM$4:$AO$55,3,FALSE))</f>
        <v>0</v>
      </c>
      <c r="X76" s="5">
        <f>(VLOOKUP('14.05'!AF76,'14.05'!$AM$4:$AO$55,3,FALSE))</f>
        <v>0</v>
      </c>
    </row>
    <row r="77" spans="1:24">
      <c r="A77" s="4">
        <f>(VLOOKUP('14.05'!I77,'14.05'!$AM$4:$AO$55,3,FALSE))</f>
        <v>0</v>
      </c>
      <c r="B77" s="4">
        <f>(VLOOKUP('14.05'!J77,'14.05'!$AM$4:$AO$55,3,FALSE))</f>
        <v>0</v>
      </c>
      <c r="C77" s="4">
        <f>(VLOOKUP('14.05'!K77,'14.05'!$AM$4:$AO$55,3,FALSE))</f>
        <v>0</v>
      </c>
      <c r="D77" s="4">
        <f>(VLOOKUP('14.05'!L77,'14.05'!$AM$4:$AO$55,3,FALSE))</f>
        <v>0</v>
      </c>
      <c r="E77" s="4">
        <f>(VLOOKUP('14.05'!M77,'14.05'!$AM$4:$AO$55,3,FALSE))</f>
        <v>0</v>
      </c>
      <c r="F77" s="4">
        <f>(VLOOKUP('14.05'!N77,'14.05'!$AM$4:$AO$55,3,FALSE))</f>
        <v>0</v>
      </c>
      <c r="G77" s="5">
        <f>(VLOOKUP('14.05'!O77,'14.05'!$AM$4:$AO$55,3,FALSE))</f>
        <v>0</v>
      </c>
      <c r="H77" s="5">
        <f>(VLOOKUP('14.05'!P77,'14.05'!$AM$4:$AO$55,3,FALSE))</f>
        <v>0</v>
      </c>
      <c r="I77" s="4">
        <f>(VLOOKUP('14.05'!Q77,'14.05'!$AM$4:$AO$55,3,FALSE))</f>
        <v>60</v>
      </c>
      <c r="J77" s="4">
        <f>(VLOOKUP('14.05'!R77,'14.05'!$AM$4:$AO$55,3,FALSE))</f>
        <v>60</v>
      </c>
      <c r="K77" s="4">
        <f>(VLOOKUP('14.05'!S77,'14.05'!$AM$4:$AO$55,3,FALSE))</f>
        <v>60</v>
      </c>
      <c r="L77" s="4">
        <f>(VLOOKUP('14.05'!T77,'14.05'!$AM$4:$AO$55,3,FALSE))</f>
        <v>60</v>
      </c>
      <c r="M77" s="4">
        <f>(VLOOKUP('14.05'!U77,'14.05'!$AM$4:$AO$55,3,FALSE))</f>
        <v>60</v>
      </c>
      <c r="N77" s="4">
        <f>(VLOOKUP('14.05'!V77,'14.05'!$AM$4:$AO$55,3,FALSE))</f>
        <v>60</v>
      </c>
      <c r="O77" s="5">
        <f>(VLOOKUP('14.05'!W77,'14.05'!$AM$4:$AO$55,3,FALSE))</f>
        <v>0</v>
      </c>
      <c r="P77" s="5">
        <f>(VLOOKUP('14.05'!X77,'14.05'!$AM$4:$AO$55,3,FALSE))</f>
        <v>0</v>
      </c>
      <c r="Q77" s="4">
        <f>(VLOOKUP('14.05'!Y77,'14.05'!$AM$4:$AO$55,3,FALSE))</f>
        <v>60</v>
      </c>
      <c r="R77" s="4">
        <f>(VLOOKUP('14.05'!Z77,'14.05'!$AM$4:$AO$55,3,FALSE))</f>
        <v>60</v>
      </c>
      <c r="S77" s="4">
        <f>(VLOOKUP('14.05'!AA77,'14.05'!$AM$4:$AO$55,3,FALSE))</f>
        <v>60</v>
      </c>
      <c r="T77" s="4">
        <f>(VLOOKUP('14.05'!AB77,'14.05'!$AM$4:$AO$55,3,FALSE))</f>
        <v>60</v>
      </c>
      <c r="U77" s="4">
        <f>(VLOOKUP('14.05'!AC77,'14.05'!$AM$4:$AO$55,3,FALSE))</f>
        <v>55</v>
      </c>
      <c r="V77" s="4">
        <f>(VLOOKUP('14.05'!AD77,'14.05'!$AM$4:$AO$55,3,FALSE))</f>
        <v>55</v>
      </c>
      <c r="W77" s="5">
        <f>(VLOOKUP('14.05'!AE77,'14.05'!$AM$4:$AO$55,3,FALSE))</f>
        <v>0</v>
      </c>
      <c r="X77" s="5">
        <f>(VLOOKUP('14.05'!AF77,'14.05'!$AM$4:$AO$55,3,FALSE))</f>
        <v>0</v>
      </c>
    </row>
    <row r="78" spans="1:24">
      <c r="A78" s="4">
        <f>(VLOOKUP('14.05'!I78,'14.05'!$AM$4:$AO$55,3,FALSE))</f>
        <v>0</v>
      </c>
      <c r="B78" s="4">
        <f>(VLOOKUP('14.05'!J78,'14.05'!$AM$4:$AO$55,3,FALSE))</f>
        <v>0</v>
      </c>
      <c r="C78" s="4">
        <f>(VLOOKUP('14.05'!K78,'14.05'!$AM$4:$AO$55,3,FALSE))</f>
        <v>0</v>
      </c>
      <c r="D78" s="4">
        <f>(VLOOKUP('14.05'!L78,'14.05'!$AM$4:$AO$55,3,FALSE))</f>
        <v>0</v>
      </c>
      <c r="E78" s="4">
        <f>(VLOOKUP('14.05'!M78,'14.05'!$AM$4:$AO$55,3,FALSE))</f>
        <v>0</v>
      </c>
      <c r="F78" s="4">
        <f>(VLOOKUP('14.05'!N78,'14.05'!$AM$4:$AO$55,3,FALSE))</f>
        <v>0</v>
      </c>
      <c r="G78" s="5">
        <f>(VLOOKUP('14.05'!O78,'14.05'!$AM$4:$AO$55,3,FALSE))</f>
        <v>0</v>
      </c>
      <c r="H78" s="5">
        <f>(VLOOKUP('14.05'!P78,'14.05'!$AM$4:$AO$55,3,FALSE))</f>
        <v>0</v>
      </c>
      <c r="I78" s="4">
        <f>(VLOOKUP('14.05'!Q78,'14.05'!$AM$4:$AO$55,3,FALSE))</f>
        <v>0</v>
      </c>
      <c r="J78" s="4">
        <f>(VLOOKUP('14.05'!R78,'14.05'!$AM$4:$AO$55,3,FALSE))</f>
        <v>60</v>
      </c>
      <c r="K78" s="4">
        <f>(VLOOKUP('14.05'!S78,'14.05'!$AM$4:$AO$55,3,FALSE))</f>
        <v>60</v>
      </c>
      <c r="L78" s="4">
        <f>(VLOOKUP('14.05'!T78,'14.05'!$AM$4:$AO$55,3,FALSE))</f>
        <v>60</v>
      </c>
      <c r="M78" s="4">
        <f>(VLOOKUP('14.05'!U78,'14.05'!$AM$4:$AO$55,3,FALSE))</f>
        <v>60</v>
      </c>
      <c r="N78" s="4">
        <f>(VLOOKUP('14.05'!V78,'14.05'!$AM$4:$AO$55,3,FALSE))</f>
        <v>60</v>
      </c>
      <c r="O78" s="5">
        <f>(VLOOKUP('14.05'!W78,'14.05'!$AM$4:$AO$55,3,FALSE))</f>
        <v>0</v>
      </c>
      <c r="P78" s="5">
        <f>(VLOOKUP('14.05'!X78,'14.05'!$AM$4:$AO$55,3,FALSE))</f>
        <v>0</v>
      </c>
      <c r="Q78" s="4">
        <f>(VLOOKUP('14.05'!Y78,'14.05'!$AM$4:$AO$55,3,FALSE))</f>
        <v>55</v>
      </c>
      <c r="R78" s="4">
        <f>(VLOOKUP('14.05'!Z78,'14.05'!$AM$4:$AO$55,3,FALSE))</f>
        <v>55</v>
      </c>
      <c r="S78" s="4">
        <f>(VLOOKUP('14.05'!AA78,'14.05'!$AM$4:$AO$55,3,FALSE))</f>
        <v>55</v>
      </c>
      <c r="T78" s="4">
        <f>(VLOOKUP('14.05'!AB78,'14.05'!$AM$4:$AO$55,3,FALSE))</f>
        <v>55</v>
      </c>
      <c r="U78" s="4">
        <f>(VLOOKUP('14.05'!AC78,'14.05'!$AM$4:$AO$55,3,FALSE))</f>
        <v>55</v>
      </c>
      <c r="V78" s="4">
        <f>(VLOOKUP('14.05'!AD78,'14.05'!$AM$4:$AO$55,3,FALSE))</f>
        <v>55</v>
      </c>
      <c r="W78" s="5">
        <f>(VLOOKUP('14.05'!AE78,'14.05'!$AM$4:$AO$55,3,FALSE))</f>
        <v>0</v>
      </c>
      <c r="X78" s="5">
        <f>(VLOOKUP('14.05'!AF78,'14.05'!$AM$4:$AO$55,3,FALSE))</f>
        <v>0</v>
      </c>
    </row>
    <row r="79" spans="1:24">
      <c r="A79" s="4">
        <f>(VLOOKUP('14.05'!I79,'14.05'!$AM$4:$AO$55,3,FALSE))</f>
        <v>0</v>
      </c>
      <c r="B79" s="4">
        <f>(VLOOKUP('14.05'!J79,'14.05'!$AM$4:$AO$55,3,FALSE))</f>
        <v>0</v>
      </c>
      <c r="C79" s="4">
        <f>(VLOOKUP('14.05'!K79,'14.05'!$AM$4:$AO$55,3,FALSE))</f>
        <v>0</v>
      </c>
      <c r="D79" s="4">
        <f>(VLOOKUP('14.05'!L79,'14.05'!$AM$4:$AO$55,3,FALSE))</f>
        <v>0</v>
      </c>
      <c r="E79" s="4">
        <f>(VLOOKUP('14.05'!M79,'14.05'!$AM$4:$AO$55,3,FALSE))</f>
        <v>0</v>
      </c>
      <c r="F79" s="4">
        <f>(VLOOKUP('14.05'!N79,'14.05'!$AM$4:$AO$55,3,FALSE))</f>
        <v>0</v>
      </c>
      <c r="G79" s="5">
        <f>(VLOOKUP('14.05'!O79,'14.05'!$AM$4:$AO$55,3,FALSE))</f>
        <v>0</v>
      </c>
      <c r="H79" s="5">
        <f>(VLOOKUP('14.05'!P79,'14.05'!$AM$4:$AO$55,3,FALSE))</f>
        <v>0</v>
      </c>
      <c r="I79" s="4">
        <f>(VLOOKUP('14.05'!Q79,'14.05'!$AM$4:$AO$55,3,FALSE))</f>
        <v>60</v>
      </c>
      <c r="J79" s="4">
        <f>(VLOOKUP('14.05'!R79,'14.05'!$AM$4:$AO$55,3,FALSE))</f>
        <v>60</v>
      </c>
      <c r="K79" s="4">
        <f>(VLOOKUP('14.05'!S79,'14.05'!$AM$4:$AO$55,3,FALSE))</f>
        <v>60</v>
      </c>
      <c r="L79" s="4">
        <f>(VLOOKUP('14.05'!T79,'14.05'!$AM$4:$AO$55,3,FALSE))</f>
        <v>60</v>
      </c>
      <c r="M79" s="4">
        <f>(VLOOKUP('14.05'!U79,'14.05'!$AM$4:$AO$55,3,FALSE))</f>
        <v>60</v>
      </c>
      <c r="N79" s="4">
        <f>(VLOOKUP('14.05'!V79,'14.05'!$AM$4:$AO$55,3,FALSE))</f>
        <v>60</v>
      </c>
      <c r="O79" s="5">
        <f>(VLOOKUP('14.05'!W79,'14.05'!$AM$4:$AO$55,3,FALSE))</f>
        <v>0</v>
      </c>
      <c r="P79" s="5">
        <f>(VLOOKUP('14.05'!X79,'14.05'!$AM$4:$AO$55,3,FALSE))</f>
        <v>0</v>
      </c>
      <c r="Q79" s="4">
        <f>(VLOOKUP('14.05'!Y79,'14.05'!$AM$4:$AO$55,3,FALSE))</f>
        <v>55</v>
      </c>
      <c r="R79" s="4">
        <f>(VLOOKUP('14.05'!Z79,'14.05'!$AM$4:$AO$55,3,FALSE))</f>
        <v>55</v>
      </c>
      <c r="S79" s="4">
        <f>(VLOOKUP('14.05'!AA79,'14.05'!$AM$4:$AO$55,3,FALSE))</f>
        <v>55</v>
      </c>
      <c r="T79" s="4">
        <f>(VLOOKUP('14.05'!AB79,'14.05'!$AM$4:$AO$55,3,FALSE))</f>
        <v>55</v>
      </c>
      <c r="U79" s="4">
        <f>(VLOOKUP('14.05'!AC79,'14.05'!$AM$4:$AO$55,3,FALSE))</f>
        <v>0</v>
      </c>
      <c r="V79" s="4">
        <f>(VLOOKUP('14.05'!AD79,'14.05'!$AM$4:$AO$55,3,FALSE))</f>
        <v>55</v>
      </c>
      <c r="W79" s="5">
        <f>(VLOOKUP('14.05'!AE79,'14.05'!$AM$4:$AO$55,3,FALSE))</f>
        <v>0</v>
      </c>
      <c r="X79" s="5">
        <f>(VLOOKUP('14.05'!AF79,'14.05'!$AM$4:$AO$55,3,FALSE))</f>
        <v>0</v>
      </c>
    </row>
    <row r="80" spans="1:24">
      <c r="A80" s="4">
        <f>(VLOOKUP('14.05'!I80,'14.05'!$AM$4:$AO$55,3,FALSE))</f>
        <v>0</v>
      </c>
      <c r="B80" s="4">
        <f>(VLOOKUP('14.05'!J80,'14.05'!$AM$4:$AO$55,3,FALSE))</f>
        <v>0</v>
      </c>
      <c r="C80" s="4">
        <f>(VLOOKUP('14.05'!K80,'14.05'!$AM$4:$AO$55,3,FALSE))</f>
        <v>0</v>
      </c>
      <c r="D80" s="4">
        <f>(VLOOKUP('14.05'!L80,'14.05'!$AM$4:$AO$55,3,FALSE))</f>
        <v>0</v>
      </c>
      <c r="E80" s="4">
        <f>(VLOOKUP('14.05'!M80,'14.05'!$AM$4:$AO$55,3,FALSE))</f>
        <v>0</v>
      </c>
      <c r="F80" s="4">
        <f>(VLOOKUP('14.05'!N80,'14.05'!$AM$4:$AO$55,3,FALSE))</f>
        <v>0</v>
      </c>
      <c r="G80" s="5">
        <f>(VLOOKUP('14.05'!O80,'14.05'!$AM$4:$AO$55,3,FALSE))</f>
        <v>0</v>
      </c>
      <c r="H80" s="5">
        <f>(VLOOKUP('14.05'!P80,'14.05'!$AM$4:$AO$55,3,FALSE))</f>
        <v>0</v>
      </c>
      <c r="I80" s="4">
        <f>(VLOOKUP('14.05'!Q80,'14.05'!$AM$4:$AO$55,3,FALSE))</f>
        <v>60</v>
      </c>
      <c r="J80" s="4">
        <f>(VLOOKUP('14.05'!R80,'14.05'!$AM$4:$AO$55,3,FALSE))</f>
        <v>60</v>
      </c>
      <c r="K80" s="4">
        <f>(VLOOKUP('14.05'!S80,'14.05'!$AM$4:$AO$55,3,FALSE))</f>
        <v>60</v>
      </c>
      <c r="L80" s="4">
        <f>(VLOOKUP('14.05'!T80,'14.05'!$AM$4:$AO$55,3,FALSE))</f>
        <v>60</v>
      </c>
      <c r="M80" s="4">
        <f>(VLOOKUP('14.05'!U80,'14.05'!$AM$4:$AO$55,3,FALSE))</f>
        <v>60</v>
      </c>
      <c r="N80" s="4">
        <f>(VLOOKUP('14.05'!V80,'14.05'!$AM$4:$AO$55,3,FALSE))</f>
        <v>60</v>
      </c>
      <c r="O80" s="5">
        <f>(VLOOKUP('14.05'!W80,'14.05'!$AM$4:$AO$55,3,FALSE))</f>
        <v>0</v>
      </c>
      <c r="P80" s="5">
        <f>(VLOOKUP('14.05'!X80,'14.05'!$AM$4:$AO$55,3,FALSE))</f>
        <v>0</v>
      </c>
      <c r="Q80" s="4">
        <f>(VLOOKUP('14.05'!Y80,'14.05'!$AM$4:$AO$55,3,FALSE))</f>
        <v>55</v>
      </c>
      <c r="R80" s="4">
        <f>(VLOOKUP('14.05'!Z80,'14.05'!$AM$4:$AO$55,3,FALSE))</f>
        <v>55</v>
      </c>
      <c r="S80" s="4">
        <f>(VLOOKUP('14.05'!AA80,'14.05'!$AM$4:$AO$55,3,FALSE))</f>
        <v>55</v>
      </c>
      <c r="T80" s="4">
        <f>(VLOOKUP('14.05'!AB80,'14.05'!$AM$4:$AO$55,3,FALSE))</f>
        <v>55</v>
      </c>
      <c r="U80" s="4">
        <f>(VLOOKUP('14.05'!AC80,'14.05'!$AM$4:$AO$55,3,FALSE))</f>
        <v>55</v>
      </c>
      <c r="V80" s="4">
        <f>(VLOOKUP('14.05'!AD80,'14.05'!$AM$4:$AO$55,3,FALSE))</f>
        <v>55</v>
      </c>
      <c r="W80" s="5">
        <f>(VLOOKUP('14.05'!AE80,'14.05'!$AM$4:$AO$55,3,FALSE))</f>
        <v>0</v>
      </c>
      <c r="X80" s="5">
        <f>(VLOOKUP('14.05'!AF80,'14.05'!$AM$4:$AO$55,3,FALSE))</f>
        <v>0</v>
      </c>
    </row>
    <row r="81" spans="1:24">
      <c r="A81" s="4">
        <f>(VLOOKUP('14.05'!I81,'14.05'!$AM$4:$AO$55,3,FALSE))</f>
        <v>0</v>
      </c>
      <c r="B81" s="4">
        <f>(VLOOKUP('14.05'!J81,'14.05'!$AM$4:$AO$55,3,FALSE))</f>
        <v>0</v>
      </c>
      <c r="C81" s="4">
        <f>(VLOOKUP('14.05'!K81,'14.05'!$AM$4:$AO$55,3,FALSE))</f>
        <v>0</v>
      </c>
      <c r="D81" s="4">
        <f>(VLOOKUP('14.05'!L81,'14.05'!$AM$4:$AO$55,3,FALSE))</f>
        <v>0</v>
      </c>
      <c r="E81" s="4">
        <f>(VLOOKUP('14.05'!M81,'14.05'!$AM$4:$AO$55,3,FALSE))</f>
        <v>0</v>
      </c>
      <c r="F81" s="4">
        <f>(VLOOKUP('14.05'!N81,'14.05'!$AM$4:$AO$55,3,FALSE))</f>
        <v>0</v>
      </c>
      <c r="G81" s="5">
        <f>(VLOOKUP('14.05'!O81,'14.05'!$AM$4:$AO$55,3,FALSE))</f>
        <v>0</v>
      </c>
      <c r="H81" s="5">
        <f>(VLOOKUP('14.05'!P81,'14.05'!$AM$4:$AO$55,3,FALSE))</f>
        <v>0</v>
      </c>
      <c r="I81" s="4">
        <f>(VLOOKUP('14.05'!Q81,'14.05'!$AM$4:$AO$55,3,FALSE))</f>
        <v>60</v>
      </c>
      <c r="J81" s="4">
        <f>(VLOOKUP('14.05'!R81,'14.05'!$AM$4:$AO$55,3,FALSE))</f>
        <v>60</v>
      </c>
      <c r="K81" s="4">
        <f>(VLOOKUP('14.05'!S81,'14.05'!$AM$4:$AO$55,3,FALSE))</f>
        <v>55</v>
      </c>
      <c r="L81" s="4">
        <f>(VLOOKUP('14.05'!T81,'14.05'!$AM$4:$AO$55,3,FALSE))</f>
        <v>55</v>
      </c>
      <c r="M81" s="4">
        <f>(VLOOKUP('14.05'!U81,'14.05'!$AM$4:$AO$55,3,FALSE))</f>
        <v>55</v>
      </c>
      <c r="N81" s="4">
        <f>(VLOOKUP('14.05'!V81,'14.05'!$AM$4:$AO$55,3,FALSE))</f>
        <v>55</v>
      </c>
      <c r="O81" s="5">
        <f>(VLOOKUP('14.05'!W81,'14.05'!$AM$4:$AO$55,3,FALSE))</f>
        <v>0</v>
      </c>
      <c r="P81" s="5">
        <f>(VLOOKUP('14.05'!X81,'14.05'!$AM$4:$AO$55,3,FALSE))</f>
        <v>0</v>
      </c>
      <c r="Q81" s="4">
        <f>(VLOOKUP('14.05'!Y81,'14.05'!$AM$4:$AO$55,3,FALSE))</f>
        <v>55</v>
      </c>
      <c r="R81" s="4">
        <f>(VLOOKUP('14.05'!Z81,'14.05'!$AM$4:$AO$55,3,FALSE))</f>
        <v>55</v>
      </c>
      <c r="S81" s="4">
        <f>(VLOOKUP('14.05'!AA81,'14.05'!$AM$4:$AO$55,3,FALSE))</f>
        <v>55</v>
      </c>
      <c r="T81" s="4">
        <f>(VLOOKUP('14.05'!AB81,'14.05'!$AM$4:$AO$55,3,FALSE))</f>
        <v>55</v>
      </c>
      <c r="U81" s="4">
        <f>(VLOOKUP('14.05'!AC81,'14.05'!$AM$4:$AO$55,3,FALSE))</f>
        <v>55</v>
      </c>
      <c r="V81" s="4">
        <f>(VLOOKUP('14.05'!AD81,'14.05'!$AM$4:$AO$55,3,FALSE))</f>
        <v>55</v>
      </c>
      <c r="W81" s="5">
        <f>(VLOOKUP('14.05'!AE81,'14.05'!$AM$4:$AO$55,3,FALSE))</f>
        <v>0</v>
      </c>
      <c r="X81" s="5">
        <f>(VLOOKUP('14.05'!AF81,'14.05'!$AM$4:$AO$55,3,FALSE))</f>
        <v>0</v>
      </c>
    </row>
    <row r="82" spans="1:24">
      <c r="A82" s="4">
        <f>(VLOOKUP('14.05'!I82,'14.05'!$AM$4:$AO$55,3,FALSE))</f>
        <v>0</v>
      </c>
      <c r="B82" s="4">
        <f>(VLOOKUP('14.05'!J82,'14.05'!$AM$4:$AO$55,3,FALSE))</f>
        <v>0</v>
      </c>
      <c r="C82" s="4">
        <f>(VLOOKUP('14.05'!K82,'14.05'!$AM$4:$AO$55,3,FALSE))</f>
        <v>0</v>
      </c>
      <c r="D82" s="4">
        <f>(VLOOKUP('14.05'!L82,'14.05'!$AM$4:$AO$55,3,FALSE))</f>
        <v>0</v>
      </c>
      <c r="E82" s="4">
        <f>(VLOOKUP('14.05'!M82,'14.05'!$AM$4:$AO$55,3,FALSE))</f>
        <v>0</v>
      </c>
      <c r="F82" s="4">
        <f>(VLOOKUP('14.05'!N82,'14.05'!$AM$4:$AO$55,3,FALSE))</f>
        <v>0</v>
      </c>
      <c r="G82" s="5">
        <f>(VLOOKUP('14.05'!O82,'14.05'!$AM$4:$AO$55,3,FALSE))</f>
        <v>0</v>
      </c>
      <c r="H82" s="5">
        <f>(VLOOKUP('14.05'!P82,'14.05'!$AM$4:$AO$55,3,FALSE))</f>
        <v>0</v>
      </c>
      <c r="I82" s="4">
        <f>(VLOOKUP('14.05'!Q82,'14.05'!$AM$4:$AO$55,3,FALSE))</f>
        <v>55</v>
      </c>
      <c r="J82" s="4">
        <f>(VLOOKUP('14.05'!R82,'14.05'!$AM$4:$AO$55,3,FALSE))</f>
        <v>55</v>
      </c>
      <c r="K82" s="4">
        <f>(VLOOKUP('14.05'!S82,'14.05'!$AM$4:$AO$55,3,FALSE))</f>
        <v>55</v>
      </c>
      <c r="L82" s="4">
        <f>(VLOOKUP('14.05'!T82,'14.05'!$AM$4:$AO$55,3,FALSE))</f>
        <v>55</v>
      </c>
      <c r="M82" s="4">
        <f>(VLOOKUP('14.05'!U82,'14.05'!$AM$4:$AO$55,3,FALSE))</f>
        <v>55</v>
      </c>
      <c r="N82" s="4">
        <f>(VLOOKUP('14.05'!V82,'14.05'!$AM$4:$AO$55,3,FALSE))</f>
        <v>55</v>
      </c>
      <c r="O82" s="5">
        <f>(VLOOKUP('14.05'!W82,'14.05'!$AM$4:$AO$55,3,FALSE))</f>
        <v>0</v>
      </c>
      <c r="P82" s="5">
        <f>(VLOOKUP('14.05'!X82,'14.05'!$AM$4:$AO$55,3,FALSE))</f>
        <v>0</v>
      </c>
      <c r="Q82" s="4">
        <f>(VLOOKUP('14.05'!Y82,'14.05'!$AM$4:$AO$55,3,FALSE))</f>
        <v>50</v>
      </c>
      <c r="R82" s="4">
        <f>(VLOOKUP('14.05'!Z82,'14.05'!$AM$4:$AO$55,3,FALSE))</f>
        <v>50</v>
      </c>
      <c r="S82" s="4">
        <f>(VLOOKUP('14.05'!AA82,'14.05'!$AM$4:$AO$55,3,FALSE))</f>
        <v>50</v>
      </c>
      <c r="T82" s="4">
        <f>(VLOOKUP('14.05'!AB82,'14.05'!$AM$4:$AO$55,3,FALSE))</f>
        <v>50</v>
      </c>
      <c r="U82" s="4">
        <f>(VLOOKUP('14.05'!AC82,'14.05'!$AM$4:$AO$55,3,FALSE))</f>
        <v>50</v>
      </c>
      <c r="V82" s="4">
        <f>(VLOOKUP('14.05'!AD82,'14.05'!$AM$4:$AO$55,3,FALSE))</f>
        <v>50</v>
      </c>
      <c r="W82" s="5">
        <f>(VLOOKUP('14.05'!AE82,'14.05'!$AM$4:$AO$55,3,FALSE))</f>
        <v>0</v>
      </c>
      <c r="X82" s="5">
        <f>(VLOOKUP('14.05'!AF82,'14.05'!$AM$4:$AO$55,3,FALSE))</f>
        <v>0</v>
      </c>
    </row>
    <row r="83" spans="1:24">
      <c r="A83" s="4">
        <f>(VLOOKUP('14.05'!I83,'14.05'!$AM$4:$AO$55,3,FALSE))</f>
        <v>0</v>
      </c>
      <c r="B83" s="4">
        <f>(VLOOKUP('14.05'!J83,'14.05'!$AM$4:$AO$55,3,FALSE))</f>
        <v>0</v>
      </c>
      <c r="C83" s="4">
        <f>(VLOOKUP('14.05'!K83,'14.05'!$AM$4:$AO$55,3,FALSE))</f>
        <v>0</v>
      </c>
      <c r="D83" s="4">
        <f>(VLOOKUP('14.05'!L83,'14.05'!$AM$4:$AO$55,3,FALSE))</f>
        <v>0</v>
      </c>
      <c r="E83" s="4">
        <f>(VLOOKUP('14.05'!M83,'14.05'!$AM$4:$AO$55,3,FALSE))</f>
        <v>0</v>
      </c>
      <c r="F83" s="4">
        <f>(VLOOKUP('14.05'!N83,'14.05'!$AM$4:$AO$55,3,FALSE))</f>
        <v>0</v>
      </c>
      <c r="G83" s="5">
        <f>(VLOOKUP('14.05'!O83,'14.05'!$AM$4:$AO$55,3,FALSE))</f>
        <v>0</v>
      </c>
      <c r="H83" s="5">
        <f>(VLOOKUP('14.05'!P83,'14.05'!$AM$4:$AO$55,3,FALSE))</f>
        <v>0</v>
      </c>
      <c r="I83" s="4">
        <f>(VLOOKUP('14.05'!Q83,'14.05'!$AM$4:$AO$55,3,FALSE))</f>
        <v>55</v>
      </c>
      <c r="J83" s="4">
        <f>(VLOOKUP('14.05'!R83,'14.05'!$AM$4:$AO$55,3,FALSE))</f>
        <v>55</v>
      </c>
      <c r="K83" s="4">
        <f>(VLOOKUP('14.05'!S83,'14.05'!$AM$4:$AO$55,3,FALSE))</f>
        <v>55</v>
      </c>
      <c r="L83" s="4">
        <f>(VLOOKUP('14.05'!T83,'14.05'!$AM$4:$AO$55,3,FALSE))</f>
        <v>55</v>
      </c>
      <c r="M83" s="4">
        <f>(VLOOKUP('14.05'!U83,'14.05'!$AM$4:$AO$55,3,FALSE))</f>
        <v>55</v>
      </c>
      <c r="N83" s="4">
        <f>(VLOOKUP('14.05'!V83,'14.05'!$AM$4:$AO$55,3,FALSE))</f>
        <v>50</v>
      </c>
      <c r="O83" s="5">
        <f>(VLOOKUP('14.05'!W83,'14.05'!$AM$4:$AO$55,3,FALSE))</f>
        <v>0</v>
      </c>
      <c r="P83" s="5">
        <f>(VLOOKUP('14.05'!X83,'14.05'!$AM$4:$AO$55,3,FALSE))</f>
        <v>0</v>
      </c>
      <c r="Q83" s="4">
        <f>(VLOOKUP('14.05'!Y83,'14.05'!$AM$4:$AO$55,3,FALSE))</f>
        <v>50</v>
      </c>
      <c r="R83" s="4">
        <f>(VLOOKUP('14.05'!Z83,'14.05'!$AM$4:$AO$55,3,FALSE))</f>
        <v>50</v>
      </c>
      <c r="S83" s="4">
        <f>(VLOOKUP('14.05'!AA83,'14.05'!$AM$4:$AO$55,3,FALSE))</f>
        <v>50</v>
      </c>
      <c r="T83" s="4">
        <f>(VLOOKUP('14.05'!AB83,'14.05'!$AM$4:$AO$55,3,FALSE))</f>
        <v>50</v>
      </c>
      <c r="U83" s="4">
        <f>(VLOOKUP('14.05'!AC83,'14.05'!$AM$4:$AO$55,3,FALSE))</f>
        <v>50</v>
      </c>
      <c r="V83" s="4">
        <f>(VLOOKUP('14.05'!AD83,'14.05'!$AM$4:$AO$55,3,FALSE))</f>
        <v>50</v>
      </c>
      <c r="W83" s="5">
        <f>(VLOOKUP('14.05'!AE83,'14.05'!$AM$4:$AO$55,3,FALSE))</f>
        <v>0</v>
      </c>
      <c r="X83" s="5">
        <f>(VLOOKUP('14.05'!AF83,'14.05'!$AM$4:$AO$55,3,FALSE))</f>
        <v>0</v>
      </c>
    </row>
    <row r="84" spans="1:24">
      <c r="A84" s="4">
        <f>(VLOOKUP('14.05'!I84,'14.05'!$AM$4:$AO$55,3,FALSE))</f>
        <v>0</v>
      </c>
      <c r="B84" s="4">
        <f>(VLOOKUP('14.05'!J84,'14.05'!$AM$4:$AO$55,3,FALSE))</f>
        <v>0</v>
      </c>
      <c r="C84" s="4">
        <f>(VLOOKUP('14.05'!K84,'14.05'!$AM$4:$AO$55,3,FALSE))</f>
        <v>0</v>
      </c>
      <c r="D84" s="4">
        <f>(VLOOKUP('14.05'!L84,'14.05'!$AM$4:$AO$55,3,FALSE))</f>
        <v>0</v>
      </c>
      <c r="E84" s="4">
        <f>(VLOOKUP('14.05'!M84,'14.05'!$AM$4:$AO$55,3,FALSE))</f>
        <v>0</v>
      </c>
      <c r="F84" s="4">
        <f>(VLOOKUP('14.05'!N84,'14.05'!$AM$4:$AO$55,3,FALSE))</f>
        <v>0</v>
      </c>
      <c r="G84" s="5">
        <f>(VLOOKUP('14.05'!O84,'14.05'!$AM$4:$AO$55,3,FALSE))</f>
        <v>0</v>
      </c>
      <c r="H84" s="5">
        <f>(VLOOKUP('14.05'!P84,'14.05'!$AM$4:$AO$55,3,FALSE))</f>
        <v>0</v>
      </c>
      <c r="I84" s="4">
        <f>(VLOOKUP('14.05'!Q84,'14.05'!$AM$4:$AO$55,3,FALSE))</f>
        <v>50</v>
      </c>
      <c r="J84" s="4">
        <f>(VLOOKUP('14.05'!R84,'14.05'!$AM$4:$AO$55,3,FALSE))</f>
        <v>50</v>
      </c>
      <c r="K84" s="4">
        <f>(VLOOKUP('14.05'!S84,'14.05'!$AM$4:$AO$55,3,FALSE))</f>
        <v>50</v>
      </c>
      <c r="L84" s="4">
        <f>(VLOOKUP('14.05'!T84,'14.05'!$AM$4:$AO$55,3,FALSE))</f>
        <v>50</v>
      </c>
      <c r="M84" s="4">
        <f>(VLOOKUP('14.05'!U84,'14.05'!$AM$4:$AO$55,3,FALSE))</f>
        <v>50</v>
      </c>
      <c r="N84" s="4">
        <f>(VLOOKUP('14.05'!V84,'14.05'!$AM$4:$AO$55,3,FALSE))</f>
        <v>55</v>
      </c>
      <c r="O84" s="5">
        <f>(VLOOKUP('14.05'!W84,'14.05'!$AM$4:$AO$55,3,FALSE))</f>
        <v>0</v>
      </c>
      <c r="P84" s="5">
        <f>(VLOOKUP('14.05'!X84,'14.05'!$AM$4:$AO$55,3,FALSE))</f>
        <v>0</v>
      </c>
      <c r="Q84" s="4">
        <f>(VLOOKUP('14.05'!Y84,'14.05'!$AM$4:$AO$55,3,FALSE))</f>
        <v>50</v>
      </c>
      <c r="R84" s="4">
        <f>(VLOOKUP('14.05'!Z84,'14.05'!$AM$4:$AO$55,3,FALSE))</f>
        <v>50</v>
      </c>
      <c r="S84" s="4">
        <f>(VLOOKUP('14.05'!AA84,'14.05'!$AM$4:$AO$55,3,FALSE))</f>
        <v>50</v>
      </c>
      <c r="T84" s="4">
        <f>(VLOOKUP('14.05'!AB84,'14.05'!$AM$4:$AO$55,3,FALSE))</f>
        <v>50</v>
      </c>
      <c r="U84" s="4">
        <f>(VLOOKUP('14.05'!AC84,'14.05'!$AM$4:$AO$55,3,FALSE))</f>
        <v>50</v>
      </c>
      <c r="V84" s="4">
        <f>(VLOOKUP('14.05'!AD84,'14.05'!$AM$4:$AO$55,3,FALSE))</f>
        <v>50</v>
      </c>
      <c r="W84" s="5">
        <f>(VLOOKUP('14.05'!AE84,'14.05'!$AM$4:$AO$55,3,FALSE))</f>
        <v>0</v>
      </c>
      <c r="X84" s="5">
        <f>(VLOOKUP('14.05'!AF84,'14.05'!$AM$4:$AO$55,3,FALSE))</f>
        <v>0</v>
      </c>
    </row>
    <row r="85" spans="1:24">
      <c r="A85" s="4">
        <f>(VLOOKUP('14.05'!I85,'14.05'!$AM$4:$AO$55,3,FALSE))</f>
        <v>0</v>
      </c>
      <c r="B85" s="4">
        <f>(VLOOKUP('14.05'!J85,'14.05'!$AM$4:$AO$55,3,FALSE))</f>
        <v>0</v>
      </c>
      <c r="C85" s="4">
        <f>(VLOOKUP('14.05'!K85,'14.05'!$AM$4:$AO$55,3,FALSE))</f>
        <v>0</v>
      </c>
      <c r="D85" s="4">
        <f>(VLOOKUP('14.05'!L85,'14.05'!$AM$4:$AO$55,3,FALSE))</f>
        <v>0</v>
      </c>
      <c r="E85" s="4">
        <f>(VLOOKUP('14.05'!M85,'14.05'!$AM$4:$AO$55,3,FALSE))</f>
        <v>0</v>
      </c>
      <c r="F85" s="4">
        <f>(VLOOKUP('14.05'!N85,'14.05'!$AM$4:$AO$55,3,FALSE))</f>
        <v>0</v>
      </c>
      <c r="G85" s="5">
        <f>(VLOOKUP('14.05'!O85,'14.05'!$AM$4:$AO$55,3,FALSE))</f>
        <v>0</v>
      </c>
      <c r="H85" s="5">
        <f>(VLOOKUP('14.05'!P85,'14.05'!$AM$4:$AO$55,3,FALSE))</f>
        <v>0</v>
      </c>
      <c r="I85" s="4">
        <f>(VLOOKUP('14.05'!Q85,'14.05'!$AM$4:$AO$55,3,FALSE))</f>
        <v>50</v>
      </c>
      <c r="J85" s="4">
        <f>(VLOOKUP('14.05'!R85,'14.05'!$AM$4:$AO$55,3,FALSE))</f>
        <v>50</v>
      </c>
      <c r="K85" s="4">
        <f>(VLOOKUP('14.05'!S85,'14.05'!$AM$4:$AO$55,3,FALSE))</f>
        <v>50</v>
      </c>
      <c r="L85" s="4">
        <f>(VLOOKUP('14.05'!T85,'14.05'!$AM$4:$AO$55,3,FALSE))</f>
        <v>50</v>
      </c>
      <c r="M85" s="4">
        <f>(VLOOKUP('14.05'!U85,'14.05'!$AM$4:$AO$55,3,FALSE))</f>
        <v>50</v>
      </c>
      <c r="N85" s="4">
        <f>(VLOOKUP('14.05'!V85,'14.05'!$AM$4:$AO$55,3,FALSE))</f>
        <v>50</v>
      </c>
      <c r="O85" s="5">
        <f>(VLOOKUP('14.05'!W85,'14.05'!$AM$4:$AO$55,3,FALSE))</f>
        <v>0</v>
      </c>
      <c r="P85" s="5">
        <f>(VLOOKUP('14.05'!X85,'14.05'!$AM$4:$AO$55,3,FALSE))</f>
        <v>0</v>
      </c>
      <c r="Q85" s="4">
        <f>(VLOOKUP('14.05'!Y85,'14.05'!$AM$4:$AO$55,3,FALSE))</f>
        <v>50</v>
      </c>
      <c r="R85" s="4">
        <f>(VLOOKUP('14.05'!Z85,'14.05'!$AM$4:$AO$55,3,FALSE))</f>
        <v>50</v>
      </c>
      <c r="S85" s="4">
        <f>(VLOOKUP('14.05'!AA85,'14.05'!$AM$4:$AO$55,3,FALSE))</f>
        <v>50</v>
      </c>
      <c r="T85" s="4">
        <f>(VLOOKUP('14.05'!AB85,'14.05'!$AM$4:$AO$55,3,FALSE))</f>
        <v>50</v>
      </c>
      <c r="U85" s="4">
        <f>(VLOOKUP('14.05'!AC85,'14.05'!$AM$4:$AO$55,3,FALSE))</f>
        <v>50</v>
      </c>
      <c r="V85" s="4">
        <f>(VLOOKUP('14.05'!AD85,'14.05'!$AM$4:$AO$55,3,FALSE))</f>
        <v>50</v>
      </c>
      <c r="W85" s="5">
        <f>(VLOOKUP('14.05'!AE85,'14.05'!$AM$4:$AO$55,3,FALSE))</f>
        <v>0</v>
      </c>
      <c r="X85" s="5">
        <f>(VLOOKUP('14.05'!AF85,'14.05'!$AM$4:$AO$55,3,FALSE))</f>
        <v>0</v>
      </c>
    </row>
    <row r="86" spans="1:24">
      <c r="A86" s="4">
        <f>(VLOOKUP('14.05'!I86,'14.05'!$AM$4:$AO$55,3,FALSE))</f>
        <v>0</v>
      </c>
      <c r="B86" s="4">
        <f>(VLOOKUP('14.05'!J86,'14.05'!$AM$4:$AO$55,3,FALSE))</f>
        <v>0</v>
      </c>
      <c r="C86" s="4">
        <f>(VLOOKUP('14.05'!K86,'14.05'!$AM$4:$AO$55,3,FALSE))</f>
        <v>0</v>
      </c>
      <c r="D86" s="4">
        <f>(VLOOKUP('14.05'!L86,'14.05'!$AM$4:$AO$55,3,FALSE))</f>
        <v>0</v>
      </c>
      <c r="E86" s="4">
        <f>(VLOOKUP('14.05'!M86,'14.05'!$AM$4:$AO$55,3,FALSE))</f>
        <v>0</v>
      </c>
      <c r="F86" s="4">
        <f>(VLOOKUP('14.05'!N86,'14.05'!$AM$4:$AO$55,3,FALSE))</f>
        <v>0</v>
      </c>
      <c r="G86" s="5">
        <f>(VLOOKUP('14.05'!O86,'14.05'!$AM$4:$AO$55,3,FALSE))</f>
        <v>0</v>
      </c>
      <c r="H86" s="5">
        <f>(VLOOKUP('14.05'!P86,'14.05'!$AM$4:$AO$55,3,FALSE))</f>
        <v>0</v>
      </c>
      <c r="I86" s="4">
        <f>(VLOOKUP('14.05'!Q86,'14.05'!$AM$4:$AO$55,3,FALSE))</f>
        <v>50</v>
      </c>
      <c r="J86" s="4">
        <f>(VLOOKUP('14.05'!R86,'14.05'!$AM$4:$AO$55,3,FALSE))</f>
        <v>50</v>
      </c>
      <c r="K86" s="4">
        <f>(VLOOKUP('14.05'!S86,'14.05'!$AM$4:$AO$55,3,FALSE))</f>
        <v>50</v>
      </c>
      <c r="L86" s="4">
        <f>(VLOOKUP('14.05'!T86,'14.05'!$AM$4:$AO$55,3,FALSE))</f>
        <v>50</v>
      </c>
      <c r="M86" s="4">
        <f>(VLOOKUP('14.05'!U86,'14.05'!$AM$4:$AO$55,3,FALSE))</f>
        <v>50</v>
      </c>
      <c r="N86" s="4">
        <f>(VLOOKUP('14.05'!V86,'14.05'!$AM$4:$AO$55,3,FALSE))</f>
        <v>50</v>
      </c>
      <c r="O86" s="5">
        <f>(VLOOKUP('14.05'!W86,'14.05'!$AM$4:$AO$55,3,FALSE))</f>
        <v>0</v>
      </c>
      <c r="P86" s="5">
        <f>(VLOOKUP('14.05'!X86,'14.05'!$AM$4:$AO$55,3,FALSE))</f>
        <v>0</v>
      </c>
      <c r="Q86" s="4">
        <f>(VLOOKUP('14.05'!Y86,'14.05'!$AM$4:$AO$55,3,FALSE))</f>
        <v>50</v>
      </c>
      <c r="R86" s="4">
        <f>(VLOOKUP('14.05'!Z86,'14.05'!$AM$4:$AO$55,3,FALSE))</f>
        <v>50</v>
      </c>
      <c r="S86" s="4">
        <f>(VLOOKUP('14.05'!AA86,'14.05'!$AM$4:$AO$55,3,FALSE))</f>
        <v>50</v>
      </c>
      <c r="T86" s="4">
        <f>(VLOOKUP('14.05'!AB86,'14.05'!$AM$4:$AO$55,3,FALSE))</f>
        <v>50</v>
      </c>
      <c r="U86" s="4">
        <f>(VLOOKUP('14.05'!AC86,'14.05'!$AM$4:$AO$55,3,FALSE))</f>
        <v>45</v>
      </c>
      <c r="V86" s="4">
        <f>(VLOOKUP('14.05'!AD86,'14.05'!$AM$4:$AO$55,3,FALSE))</f>
        <v>45</v>
      </c>
      <c r="W86" s="5">
        <f>(VLOOKUP('14.05'!AE86,'14.05'!$AM$4:$AO$55,3,FALSE))</f>
        <v>0</v>
      </c>
      <c r="X86" s="5">
        <f>(VLOOKUP('14.05'!AF86,'14.05'!$AM$4:$AO$55,3,FALSE))</f>
        <v>0</v>
      </c>
    </row>
    <row r="87" spans="1:24">
      <c r="A87" s="4">
        <f>(VLOOKUP('14.05'!I87,'14.05'!$AM$4:$AO$55,3,FALSE))</f>
        <v>0</v>
      </c>
      <c r="B87" s="4">
        <f>(VLOOKUP('14.05'!J87,'14.05'!$AM$4:$AO$55,3,FALSE))</f>
        <v>0</v>
      </c>
      <c r="C87" s="4">
        <f>(VLOOKUP('14.05'!K87,'14.05'!$AM$4:$AO$55,3,FALSE))</f>
        <v>0</v>
      </c>
      <c r="D87" s="4">
        <f>(VLOOKUP('14.05'!L87,'14.05'!$AM$4:$AO$55,3,FALSE))</f>
        <v>0</v>
      </c>
      <c r="E87" s="4">
        <f>(VLOOKUP('14.05'!M87,'14.05'!$AM$4:$AO$55,3,FALSE))</f>
        <v>0</v>
      </c>
      <c r="F87" s="4">
        <f>(VLOOKUP('14.05'!N87,'14.05'!$AM$4:$AO$55,3,FALSE))</f>
        <v>0</v>
      </c>
      <c r="G87" s="5">
        <f>(VLOOKUP('14.05'!O87,'14.05'!$AM$4:$AO$55,3,FALSE))</f>
        <v>0</v>
      </c>
      <c r="H87" s="5">
        <f>(VLOOKUP('14.05'!P87,'14.05'!$AM$4:$AO$55,3,FALSE))</f>
        <v>0</v>
      </c>
      <c r="I87" s="4">
        <f>(VLOOKUP('14.05'!Q87,'14.05'!$AM$4:$AO$55,3,FALSE))</f>
        <v>50</v>
      </c>
      <c r="J87" s="4">
        <f>(VLOOKUP('14.05'!R87,'14.05'!$AM$4:$AO$55,3,FALSE))</f>
        <v>0</v>
      </c>
      <c r="K87" s="4">
        <f>(VLOOKUP('14.05'!S87,'14.05'!$AM$4:$AO$55,3,FALSE))</f>
        <v>50</v>
      </c>
      <c r="L87" s="4">
        <f>(VLOOKUP('14.05'!T87,'14.05'!$AM$4:$AO$55,3,FALSE))</f>
        <v>50</v>
      </c>
      <c r="M87" s="4">
        <f>(VLOOKUP('14.05'!U87,'14.05'!$AM$4:$AO$55,3,FALSE))</f>
        <v>50</v>
      </c>
      <c r="N87" s="4">
        <f>(VLOOKUP('14.05'!V87,'14.05'!$AM$4:$AO$55,3,FALSE))</f>
        <v>50</v>
      </c>
      <c r="O87" s="5">
        <f>(VLOOKUP('14.05'!W87,'14.05'!$AM$4:$AO$55,3,FALSE))</f>
        <v>0</v>
      </c>
      <c r="P87" s="5">
        <f>(VLOOKUP('14.05'!X87,'14.05'!$AM$4:$AO$55,3,FALSE))</f>
        <v>0</v>
      </c>
      <c r="Q87" s="4">
        <f>(VLOOKUP('14.05'!Y87,'14.05'!$AM$4:$AO$55,3,FALSE))</f>
        <v>45</v>
      </c>
      <c r="R87" s="4">
        <f>(VLOOKUP('14.05'!Z87,'14.05'!$AM$4:$AO$55,3,FALSE))</f>
        <v>45</v>
      </c>
      <c r="S87" s="4">
        <f>(VLOOKUP('14.05'!AA87,'14.05'!$AM$4:$AO$55,3,FALSE))</f>
        <v>45</v>
      </c>
      <c r="T87" s="4">
        <f>(VLOOKUP('14.05'!AB87,'14.05'!$AM$4:$AO$55,3,FALSE))</f>
        <v>45</v>
      </c>
      <c r="U87" s="4">
        <f>(VLOOKUP('14.05'!AC87,'14.05'!$AM$4:$AO$55,3,FALSE))</f>
        <v>45</v>
      </c>
      <c r="V87" s="4">
        <f>(VLOOKUP('14.05'!AD87,'14.05'!$AM$4:$AO$55,3,FALSE))</f>
        <v>45</v>
      </c>
      <c r="W87" s="5">
        <f>(VLOOKUP('14.05'!AE87,'14.05'!$AM$4:$AO$55,3,FALSE))</f>
        <v>0</v>
      </c>
      <c r="X87" s="5">
        <f>(VLOOKUP('14.05'!AF87,'14.05'!$AM$4:$AO$55,3,FALSE))</f>
        <v>0</v>
      </c>
    </row>
    <row r="88" spans="1:24">
      <c r="A88" s="4">
        <f>(VLOOKUP('14.05'!I88,'14.05'!$AM$4:$AO$55,3,FALSE))</f>
        <v>0</v>
      </c>
      <c r="B88" s="4">
        <f>(VLOOKUP('14.05'!J88,'14.05'!$AM$4:$AO$55,3,FALSE))</f>
        <v>0</v>
      </c>
      <c r="C88" s="4">
        <f>(VLOOKUP('14.05'!K88,'14.05'!$AM$4:$AO$55,3,FALSE))</f>
        <v>0</v>
      </c>
      <c r="D88" s="4">
        <f>(VLOOKUP('14.05'!L88,'14.05'!$AM$4:$AO$55,3,FALSE))</f>
        <v>0</v>
      </c>
      <c r="E88" s="4">
        <f>(VLOOKUP('14.05'!M88,'14.05'!$AM$4:$AO$55,3,FALSE))</f>
        <v>0</v>
      </c>
      <c r="F88" s="4">
        <f>(VLOOKUP('14.05'!N88,'14.05'!$AM$4:$AO$55,3,FALSE))</f>
        <v>0</v>
      </c>
      <c r="G88" s="5">
        <f>(VLOOKUP('14.05'!O88,'14.05'!$AM$4:$AO$55,3,FALSE))</f>
        <v>0</v>
      </c>
      <c r="H88" s="5">
        <f>(VLOOKUP('14.05'!P88,'14.05'!$AM$4:$AO$55,3,FALSE))</f>
        <v>0</v>
      </c>
      <c r="I88" s="4">
        <f>(VLOOKUP('14.05'!Q88,'14.05'!$AM$4:$AO$55,3,FALSE))</f>
        <v>45</v>
      </c>
      <c r="J88" s="4">
        <f>(VLOOKUP('14.05'!R88,'14.05'!$AM$4:$AO$55,3,FALSE))</f>
        <v>45</v>
      </c>
      <c r="K88" s="4">
        <f>(VLOOKUP('14.05'!S88,'14.05'!$AM$4:$AO$55,3,FALSE))</f>
        <v>45</v>
      </c>
      <c r="L88" s="4">
        <f>(VLOOKUP('14.05'!T88,'14.05'!$AM$4:$AO$55,3,FALSE))</f>
        <v>30</v>
      </c>
      <c r="M88" s="4">
        <f>(VLOOKUP('14.05'!U88,'14.05'!$AM$4:$AO$55,3,FALSE))</f>
        <v>45</v>
      </c>
      <c r="N88" s="4">
        <f>(VLOOKUP('14.05'!V88,'14.05'!$AM$4:$AO$55,3,FALSE))</f>
        <v>45</v>
      </c>
      <c r="O88" s="5">
        <f>(VLOOKUP('14.05'!W88,'14.05'!$AM$4:$AO$55,3,FALSE))</f>
        <v>0</v>
      </c>
      <c r="P88" s="5">
        <f>(VLOOKUP('14.05'!X88,'14.05'!$AM$4:$AO$55,3,FALSE))</f>
        <v>0</v>
      </c>
      <c r="Q88" s="4">
        <f>(VLOOKUP('14.05'!Y88,'14.05'!$AM$4:$AO$55,3,FALSE))</f>
        <v>45</v>
      </c>
      <c r="R88" s="4">
        <f>(VLOOKUP('14.05'!Z88,'14.05'!$AM$4:$AO$55,3,FALSE))</f>
        <v>50</v>
      </c>
      <c r="S88" s="4">
        <f>(VLOOKUP('14.05'!AA88,'14.05'!$AM$4:$AO$55,3,FALSE))</f>
        <v>50</v>
      </c>
      <c r="T88" s="4">
        <f>(VLOOKUP('14.05'!AB88,'14.05'!$AM$4:$AO$55,3,FALSE))</f>
        <v>50</v>
      </c>
      <c r="U88" s="4">
        <f>(VLOOKUP('14.05'!AC88,'14.05'!$AM$4:$AO$55,3,FALSE))</f>
        <v>50</v>
      </c>
      <c r="V88" s="4">
        <f>(VLOOKUP('14.05'!AD88,'14.05'!$AM$4:$AO$55,3,FALSE))</f>
        <v>30</v>
      </c>
      <c r="W88" s="5">
        <f>(VLOOKUP('14.05'!AE88,'14.05'!$AM$4:$AO$55,3,FALSE))</f>
        <v>0</v>
      </c>
      <c r="X88" s="5">
        <f>(VLOOKUP('14.05'!AF88,'14.05'!$AM$4:$AO$55,3,FALSE))</f>
        <v>0</v>
      </c>
    </row>
    <row r="89" spans="1:24">
      <c r="A89" s="4">
        <f>(VLOOKUP('14.05'!I89,'14.05'!$AM$4:$AO$55,3,FALSE))</f>
        <v>0</v>
      </c>
      <c r="B89" s="4">
        <f>(VLOOKUP('14.05'!J89,'14.05'!$AM$4:$AO$55,3,FALSE))</f>
        <v>0</v>
      </c>
      <c r="C89" s="4">
        <f>(VLOOKUP('14.05'!K89,'14.05'!$AM$4:$AO$55,3,FALSE))</f>
        <v>0</v>
      </c>
      <c r="D89" s="4">
        <f>(VLOOKUP('14.05'!L89,'14.05'!$AM$4:$AO$55,3,FALSE))</f>
        <v>0</v>
      </c>
      <c r="E89" s="4">
        <f>(VLOOKUP('14.05'!M89,'14.05'!$AM$4:$AO$55,3,FALSE))</f>
        <v>0</v>
      </c>
      <c r="F89" s="4">
        <f>(VLOOKUP('14.05'!N89,'14.05'!$AM$4:$AO$55,3,FALSE))</f>
        <v>0</v>
      </c>
      <c r="G89" s="5">
        <f>(VLOOKUP('14.05'!O89,'14.05'!$AM$4:$AO$55,3,FALSE))</f>
        <v>0</v>
      </c>
      <c r="H89" s="5">
        <f>(VLOOKUP('14.05'!P89,'14.05'!$AM$4:$AO$55,3,FALSE))</f>
        <v>0</v>
      </c>
      <c r="I89" s="4">
        <f>(VLOOKUP('14.05'!Q89,'14.05'!$AM$4:$AO$55,3,FALSE))</f>
        <v>45</v>
      </c>
      <c r="J89" s="4">
        <f>(VLOOKUP('14.05'!R89,'14.05'!$AM$4:$AO$55,3,FALSE))</f>
        <v>45</v>
      </c>
      <c r="K89" s="4">
        <f>(VLOOKUP('14.05'!S89,'14.05'!$AM$4:$AO$55,3,FALSE))</f>
        <v>45</v>
      </c>
      <c r="L89" s="4">
        <f>(VLOOKUP('14.05'!T89,'14.05'!$AM$4:$AO$55,3,FALSE))</f>
        <v>45</v>
      </c>
      <c r="M89" s="4">
        <f>(VLOOKUP('14.05'!U89,'14.05'!$AM$4:$AO$55,3,FALSE))</f>
        <v>45</v>
      </c>
      <c r="N89" s="4">
        <f>(VLOOKUP('14.05'!V89,'14.05'!$AM$4:$AO$55,3,FALSE))</f>
        <v>45</v>
      </c>
      <c r="O89" s="5">
        <f>(VLOOKUP('14.05'!W89,'14.05'!$AM$4:$AO$55,3,FALSE))</f>
        <v>0</v>
      </c>
      <c r="P89" s="5">
        <f>(VLOOKUP('14.05'!X89,'14.05'!$AM$4:$AO$55,3,FALSE))</f>
        <v>0</v>
      </c>
      <c r="Q89" s="4">
        <f>(VLOOKUP('14.05'!Y89,'14.05'!$AM$4:$AO$55,3,FALSE))</f>
        <v>50</v>
      </c>
      <c r="R89" s="4">
        <f>(VLOOKUP('14.05'!Z89,'14.05'!$AM$4:$AO$55,3,FALSE))</f>
        <v>50</v>
      </c>
      <c r="S89" s="4">
        <f>(VLOOKUP('14.05'!AA89,'14.05'!$AM$4:$AO$55,3,FALSE))</f>
        <v>50</v>
      </c>
      <c r="T89" s="4">
        <f>(VLOOKUP('14.05'!AB89,'14.05'!$AM$4:$AO$55,3,FALSE))</f>
        <v>50</v>
      </c>
      <c r="U89" s="4">
        <f>(VLOOKUP('14.05'!AC89,'14.05'!$AM$4:$AO$55,3,FALSE))</f>
        <v>0</v>
      </c>
      <c r="V89" s="4">
        <f>(VLOOKUP('14.05'!AD89,'14.05'!$AM$4:$AO$55,3,FALSE))</f>
        <v>0</v>
      </c>
      <c r="W89" s="5">
        <f>(VLOOKUP('14.05'!AE89,'14.05'!$AM$4:$AO$55,3,FALSE))</f>
        <v>0</v>
      </c>
      <c r="X89" s="5">
        <f>(VLOOKUP('14.05'!AF89,'14.05'!$AM$4:$AO$55,3,FALSE))</f>
        <v>0</v>
      </c>
    </row>
    <row r="90" spans="1:24">
      <c r="A90" s="4">
        <f>(VLOOKUP('14.05'!I90,'14.05'!$AM$4:$AO$55,3,FALSE))</f>
        <v>45</v>
      </c>
      <c r="B90" s="4">
        <f>(VLOOKUP('14.05'!J90,'14.05'!$AM$4:$AO$55,3,FALSE))</f>
        <v>45</v>
      </c>
      <c r="C90" s="4">
        <f>(VLOOKUP('14.05'!K90,'14.05'!$AM$4:$AO$55,3,FALSE))</f>
        <v>45</v>
      </c>
      <c r="D90" s="4">
        <f>(VLOOKUP('14.05'!L90,'14.05'!$AM$4:$AO$55,3,FALSE))</f>
        <v>45</v>
      </c>
      <c r="E90" s="4">
        <f>(VLOOKUP('14.05'!M90,'14.05'!$AM$4:$AO$55,3,FALSE))</f>
        <v>45</v>
      </c>
      <c r="F90" s="4">
        <f>(VLOOKUP('14.05'!N90,'14.05'!$AM$4:$AO$55,3,FALSE))</f>
        <v>45</v>
      </c>
      <c r="G90" s="5">
        <f>(VLOOKUP('14.05'!O90,'14.05'!$AM$4:$AO$55,3,FALSE))</f>
        <v>0</v>
      </c>
      <c r="H90" s="5">
        <f>(VLOOKUP('14.05'!P90,'14.05'!$AM$4:$AO$55,3,FALSE))</f>
        <v>0</v>
      </c>
      <c r="I90" s="4">
        <f>(VLOOKUP('14.05'!Q90,'14.05'!$AM$4:$AO$55,3,FALSE))</f>
        <v>45</v>
      </c>
      <c r="J90" s="4">
        <f>(VLOOKUP('14.05'!R90,'14.05'!$AM$4:$AO$55,3,FALSE))</f>
        <v>45</v>
      </c>
      <c r="K90" s="4">
        <f>(VLOOKUP('14.05'!S90,'14.05'!$AM$4:$AO$55,3,FALSE))</f>
        <v>45</v>
      </c>
      <c r="L90" s="4">
        <f>(VLOOKUP('14.05'!T90,'14.05'!$AM$4:$AO$55,3,FALSE))</f>
        <v>45</v>
      </c>
      <c r="M90" s="4">
        <f>(VLOOKUP('14.05'!U90,'14.05'!$AM$4:$AO$55,3,FALSE))</f>
        <v>45</v>
      </c>
      <c r="N90" s="4">
        <f>(VLOOKUP('14.05'!V90,'14.05'!$AM$4:$AO$55,3,FALSE))</f>
        <v>0</v>
      </c>
      <c r="O90" s="5">
        <f>(VLOOKUP('14.05'!W90,'14.05'!$AM$4:$AO$55,3,FALSE))</f>
        <v>0</v>
      </c>
      <c r="P90" s="5">
        <f>(VLOOKUP('14.05'!X90,'14.05'!$AM$4:$AO$55,3,FALSE))</f>
        <v>0</v>
      </c>
      <c r="Q90" s="4">
        <f>(VLOOKUP('14.05'!Y90,'14.05'!$AM$4:$AO$55,3,FALSE))</f>
        <v>45</v>
      </c>
      <c r="R90" s="4">
        <f>(VLOOKUP('14.05'!Z90,'14.05'!$AM$4:$AO$55,3,FALSE))</f>
        <v>30</v>
      </c>
      <c r="S90" s="4">
        <f>(VLOOKUP('14.05'!AA90,'14.05'!$AM$4:$AO$55,3,FALSE))</f>
        <v>45</v>
      </c>
      <c r="T90" s="4">
        <f>(VLOOKUP('14.05'!AB90,'14.05'!$AM$4:$AO$55,3,FALSE))</f>
        <v>45</v>
      </c>
      <c r="U90" s="4">
        <f>(VLOOKUP('14.05'!AC90,'14.05'!$AM$4:$AO$55,3,FALSE))</f>
        <v>45</v>
      </c>
      <c r="V90" s="4">
        <f>(VLOOKUP('14.05'!AD90,'14.05'!$AM$4:$AO$55,3,FALSE))</f>
        <v>45</v>
      </c>
      <c r="W90" s="5">
        <f>(VLOOKUP('14.05'!AE90,'14.05'!$AM$4:$AO$55,3,FALSE))</f>
        <v>0</v>
      </c>
      <c r="X90" s="5">
        <f>(VLOOKUP('14.05'!AF90,'14.05'!$AM$4:$AO$55,3,FALSE))</f>
        <v>0</v>
      </c>
    </row>
    <row r="91" spans="1:24">
      <c r="A91" s="4">
        <f>(VLOOKUP('14.05'!I91,'14.05'!$AM$4:$AO$55,3,FALSE))</f>
        <v>45</v>
      </c>
      <c r="B91" s="4">
        <f>(VLOOKUP('14.05'!J91,'14.05'!$AM$4:$AO$55,3,FALSE))</f>
        <v>45</v>
      </c>
      <c r="C91" s="4">
        <f>(VLOOKUP('14.05'!K91,'14.05'!$AM$4:$AO$55,3,FALSE))</f>
        <v>45</v>
      </c>
      <c r="D91" s="4">
        <f>(VLOOKUP('14.05'!L91,'14.05'!$AM$4:$AO$55,3,FALSE))</f>
        <v>45</v>
      </c>
      <c r="E91" s="4">
        <f>(VLOOKUP('14.05'!M91,'14.05'!$AM$4:$AO$55,3,FALSE))</f>
        <v>45</v>
      </c>
      <c r="F91" s="4">
        <f>(VLOOKUP('14.05'!N91,'14.05'!$AM$4:$AO$55,3,FALSE))</f>
        <v>45</v>
      </c>
      <c r="G91" s="5">
        <f>(VLOOKUP('14.05'!O91,'14.05'!$AM$4:$AO$55,3,FALSE))</f>
        <v>0</v>
      </c>
      <c r="H91" s="5">
        <f>(VLOOKUP('14.05'!P91,'14.05'!$AM$4:$AO$55,3,FALSE))</f>
        <v>0</v>
      </c>
      <c r="I91" s="4">
        <f>(VLOOKUP('14.05'!Q91,'14.05'!$AM$4:$AO$55,3,FALSE))</f>
        <v>0</v>
      </c>
      <c r="J91" s="4">
        <f>(VLOOKUP('14.05'!R91,'14.05'!$AM$4:$AO$55,3,FALSE))</f>
        <v>0</v>
      </c>
      <c r="K91" s="4">
        <f>(VLOOKUP('14.05'!S91,'14.05'!$AM$4:$AO$55,3,FALSE))</f>
        <v>45</v>
      </c>
      <c r="L91" s="4">
        <f>(VLOOKUP('14.05'!T91,'14.05'!$AM$4:$AO$55,3,FALSE))</f>
        <v>45</v>
      </c>
      <c r="M91" s="4">
        <f>(VLOOKUP('14.05'!U91,'14.05'!$AM$4:$AO$55,3,FALSE))</f>
        <v>45</v>
      </c>
      <c r="N91" s="4">
        <f>(VLOOKUP('14.05'!V91,'14.05'!$AM$4:$AO$55,3,FALSE))</f>
        <v>30</v>
      </c>
      <c r="O91" s="5">
        <f>(VLOOKUP('14.05'!W91,'14.05'!$AM$4:$AO$55,3,FALSE))</f>
        <v>0</v>
      </c>
      <c r="P91" s="5">
        <f>(VLOOKUP('14.05'!X91,'14.05'!$AM$4:$AO$55,3,FALSE))</f>
        <v>0</v>
      </c>
      <c r="Q91" s="4">
        <f>(VLOOKUP('14.05'!Y91,'14.05'!$AM$4:$AO$55,3,FALSE))</f>
        <v>45</v>
      </c>
      <c r="R91" s="4">
        <f>(VLOOKUP('14.05'!Z91,'14.05'!$AM$4:$AO$55,3,FALSE))</f>
        <v>45</v>
      </c>
      <c r="S91" s="4">
        <f>(VLOOKUP('14.05'!AA91,'14.05'!$AM$4:$AO$55,3,FALSE))</f>
        <v>45</v>
      </c>
      <c r="T91" s="4">
        <f>(VLOOKUP('14.05'!AB91,'14.05'!$AM$4:$AO$55,3,FALSE))</f>
        <v>0</v>
      </c>
      <c r="U91" s="4">
        <f>(VLOOKUP('14.05'!AC91,'14.05'!$AM$4:$AO$55,3,FALSE))</f>
        <v>0</v>
      </c>
      <c r="V91" s="4">
        <f>(VLOOKUP('14.05'!AD91,'14.05'!$AM$4:$AO$55,3,FALSE))</f>
        <v>0</v>
      </c>
      <c r="W91" s="5">
        <f>(VLOOKUP('14.05'!AE91,'14.05'!$AM$4:$AO$55,3,FALSE))</f>
        <v>0</v>
      </c>
      <c r="X91" s="5">
        <f>(VLOOKUP('14.05'!AF91,'14.05'!$AM$4:$AO$55,3,FALSE))</f>
        <v>0</v>
      </c>
    </row>
    <row r="92" spans="1:24">
      <c r="A92" s="4">
        <f>(VLOOKUP('14.05'!I92,'14.05'!$AM$4:$AO$55,3,FALSE))</f>
        <v>45</v>
      </c>
      <c r="B92" s="4">
        <f>(VLOOKUP('14.05'!J92,'14.05'!$AM$4:$AO$55,3,FALSE))</f>
        <v>45</v>
      </c>
      <c r="C92" s="4">
        <f>(VLOOKUP('14.05'!K92,'14.05'!$AM$4:$AO$55,3,FALSE))</f>
        <v>30</v>
      </c>
      <c r="D92" s="4">
        <f>(VLOOKUP('14.05'!L92,'14.05'!$AM$4:$AO$55,3,FALSE))</f>
        <v>45</v>
      </c>
      <c r="E92" s="4">
        <f>(VLOOKUP('14.05'!M92,'14.05'!$AM$4:$AO$55,3,FALSE))</f>
        <v>45</v>
      </c>
      <c r="F92" s="4">
        <f>(VLOOKUP('14.05'!N92,'14.05'!$AM$4:$AO$55,3,FALSE))</f>
        <v>45</v>
      </c>
      <c r="G92" s="5">
        <f>(VLOOKUP('14.05'!O92,'14.05'!$AM$4:$AO$55,3,FALSE))</f>
        <v>40</v>
      </c>
      <c r="H92" s="5">
        <f>(VLOOKUP('14.05'!P92,'14.05'!$AM$4:$AO$55,3,FALSE))</f>
        <v>40</v>
      </c>
      <c r="I92" s="4">
        <f>(VLOOKUP('14.05'!Q92,'14.05'!$AM$4:$AO$55,3,FALSE))</f>
        <v>40</v>
      </c>
      <c r="J92" s="4">
        <f>(VLOOKUP('14.05'!R92,'14.05'!$AM$4:$AO$55,3,FALSE))</f>
        <v>0</v>
      </c>
      <c r="K92" s="4">
        <f>(VLOOKUP('14.05'!S92,'14.05'!$AM$4:$AO$55,3,FALSE))</f>
        <v>0</v>
      </c>
      <c r="L92" s="4">
        <f>(VLOOKUP('14.05'!T92,'14.05'!$AM$4:$AO$55,3,FALSE))</f>
        <v>30</v>
      </c>
      <c r="M92" s="4">
        <f>(VLOOKUP('14.05'!U92,'14.05'!$AM$4:$AO$55,3,FALSE))</f>
        <v>0</v>
      </c>
      <c r="N92" s="4">
        <f>(VLOOKUP('14.05'!V92,'14.05'!$AM$4:$AO$55,3,FALSE))</f>
        <v>0</v>
      </c>
      <c r="O92" s="5">
        <f>(VLOOKUP('14.05'!W92,'14.05'!$AM$4:$AO$55,3,FALSE))</f>
        <v>0</v>
      </c>
      <c r="P92" s="5">
        <f>(VLOOKUP('14.05'!X92,'14.05'!$AM$4:$AO$55,3,FALSE))</f>
        <v>0</v>
      </c>
      <c r="Q92" s="4">
        <f>(VLOOKUP('14.05'!Y92,'14.05'!$AM$4:$AO$55,3,FALSE))</f>
        <v>45</v>
      </c>
      <c r="R92" s="4">
        <f>(VLOOKUP('14.05'!Z92,'14.05'!$AM$4:$AO$55,3,FALSE))</f>
        <v>45</v>
      </c>
      <c r="S92" s="4">
        <f>(VLOOKUP('14.05'!AA92,'14.05'!$AM$4:$AO$55,3,FALSE))</f>
        <v>45</v>
      </c>
      <c r="T92" s="4">
        <f>(VLOOKUP('14.05'!AB92,'14.05'!$AM$4:$AO$55,3,FALSE))</f>
        <v>40</v>
      </c>
      <c r="U92" s="4">
        <f>(VLOOKUP('14.05'!AC92,'14.05'!$AM$4:$AO$55,3,FALSE))</f>
        <v>30</v>
      </c>
      <c r="V92" s="4">
        <f>(VLOOKUP('14.05'!AD92,'14.05'!$AM$4:$AO$55,3,FALSE))</f>
        <v>0</v>
      </c>
      <c r="W92" s="5">
        <f>(VLOOKUP('14.05'!AE92,'14.05'!$AM$4:$AO$55,3,FALSE))</f>
        <v>0</v>
      </c>
      <c r="X92" s="5">
        <f>(VLOOKUP('14.05'!AF92,'14.05'!$AM$4:$AO$55,3,FALSE))</f>
        <v>0</v>
      </c>
    </row>
    <row r="93" spans="1:24">
      <c r="A93" s="4">
        <f>(VLOOKUP('14.05'!I93,'14.05'!$AM$4:$AO$55,3,FALSE))</f>
        <v>0</v>
      </c>
      <c r="B93" s="4">
        <f>(VLOOKUP('14.05'!J93,'14.05'!$AM$4:$AO$55,3,FALSE))</f>
        <v>0</v>
      </c>
      <c r="C93" s="4">
        <f>(VLOOKUP('14.05'!K93,'14.05'!$AM$4:$AO$55,3,FALSE))</f>
        <v>0</v>
      </c>
      <c r="D93" s="4">
        <f>(VLOOKUP('14.05'!L93,'14.05'!$AM$4:$AO$55,3,FALSE))</f>
        <v>0</v>
      </c>
      <c r="E93" s="4">
        <f>(VLOOKUP('14.05'!M93,'14.05'!$AM$4:$AO$55,3,FALSE))</f>
        <v>0</v>
      </c>
      <c r="F93" s="4">
        <f>(VLOOKUP('14.05'!N93,'14.05'!$AM$4:$AO$55,3,FALSE))</f>
        <v>0</v>
      </c>
      <c r="G93" s="5">
        <f>(VLOOKUP('14.05'!O93,'14.05'!$AM$4:$AO$55,3,FALSE))</f>
        <v>0</v>
      </c>
      <c r="H93" s="5">
        <f>(VLOOKUP('14.05'!P93,'14.05'!$AM$4:$AO$55,3,FALSE))</f>
        <v>0</v>
      </c>
      <c r="I93" s="4">
        <f>(VLOOKUP('14.05'!Q93,'14.05'!$AM$4:$AO$55,3,FALSE))</f>
        <v>40</v>
      </c>
      <c r="J93" s="4">
        <f>(VLOOKUP('14.05'!R93,'14.05'!$AM$4:$AO$55,3,FALSE))</f>
        <v>40</v>
      </c>
      <c r="K93" s="4">
        <f>(VLOOKUP('14.05'!S93,'14.05'!$AM$4:$AO$55,3,FALSE))</f>
        <v>40</v>
      </c>
      <c r="L93" s="4">
        <f>(VLOOKUP('14.05'!T93,'14.05'!$AM$4:$AO$55,3,FALSE))</f>
        <v>40</v>
      </c>
      <c r="M93" s="4">
        <f>(VLOOKUP('14.05'!U93,'14.05'!$AM$4:$AO$55,3,FALSE))</f>
        <v>30</v>
      </c>
      <c r="N93" s="4">
        <f>(VLOOKUP('14.05'!V93,'14.05'!$AM$4:$AO$55,3,FALSE))</f>
        <v>40</v>
      </c>
      <c r="O93" s="5">
        <f>(VLOOKUP('14.05'!W93,'14.05'!$AM$4:$AO$55,3,FALSE))</f>
        <v>35</v>
      </c>
      <c r="P93" s="5">
        <f>(VLOOKUP('14.05'!X93,'14.05'!$AM$4:$AO$55,3,FALSE))</f>
        <v>30</v>
      </c>
      <c r="Q93" s="4">
        <f>(VLOOKUP('14.05'!Y93,'14.05'!$AM$4:$AO$55,3,FALSE))</f>
        <v>40</v>
      </c>
      <c r="R93" s="4">
        <f>(VLOOKUP('14.05'!Z93,'14.05'!$AM$4:$AO$55,3,FALSE))</f>
        <v>40</v>
      </c>
      <c r="S93" s="4">
        <f>(VLOOKUP('14.05'!AA93,'14.05'!$AM$4:$AO$55,3,FALSE))</f>
        <v>40</v>
      </c>
      <c r="T93" s="4">
        <f>(VLOOKUP('14.05'!AB93,'14.05'!$AM$4:$AO$55,3,FALSE))</f>
        <v>30</v>
      </c>
      <c r="U93" s="4">
        <f>(VLOOKUP('14.05'!AC93,'14.05'!$AM$4:$AO$55,3,FALSE))</f>
        <v>40</v>
      </c>
      <c r="V93" s="4">
        <f>(VLOOKUP('14.05'!AD93,'14.05'!$AM$4:$AO$55,3,FALSE))</f>
        <v>35</v>
      </c>
      <c r="W93" s="5">
        <f>(VLOOKUP('14.05'!AE93,'14.05'!$AM$4:$AO$55,3,FALSE))</f>
        <v>35</v>
      </c>
      <c r="X93" s="5">
        <f>(VLOOKUP('14.05'!AF93,'14.05'!$AM$4:$AO$55,3,FALSE))</f>
        <v>30</v>
      </c>
    </row>
    <row r="94" spans="1:24">
      <c r="A94" s="4" t="e">
        <f>(VLOOKUP('14.05'!#REF!,'14.05'!$AM$4:$AO$55,3,FALSE))</f>
        <v>#REF!</v>
      </c>
      <c r="B94" s="4" t="e">
        <f>(VLOOKUP('14.05'!#REF!,'14.05'!$AM$4:$AO$55,3,FALSE))</f>
        <v>#REF!</v>
      </c>
      <c r="C94" s="4" t="e">
        <f>(VLOOKUP('14.05'!#REF!,'14.05'!$AM$4:$AO$55,3,FALSE))</f>
        <v>#REF!</v>
      </c>
      <c r="D94" s="4" t="e">
        <f>(VLOOKUP('14.05'!#REF!,'14.05'!$AM$4:$AO$55,3,FALSE))</f>
        <v>#REF!</v>
      </c>
      <c r="E94" s="4" t="e">
        <f>(VLOOKUP('14.05'!#REF!,'14.05'!$AM$4:$AO$55,3,FALSE))</f>
        <v>#REF!</v>
      </c>
      <c r="F94" s="4" t="e">
        <f>(VLOOKUP('14.05'!#REF!,'14.05'!$AM$4:$AO$55,3,FALSE))</f>
        <v>#REF!</v>
      </c>
      <c r="G94" s="5" t="e">
        <f>(VLOOKUP('14.05'!#REF!,'14.05'!$AM$4:$AO$55,3,FALSE))</f>
        <v>#REF!</v>
      </c>
      <c r="H94" s="5" t="e">
        <f>(VLOOKUP('14.05'!#REF!,'14.05'!$AM$4:$AO$55,3,FALSE))</f>
        <v>#REF!</v>
      </c>
      <c r="I94" s="4" t="e">
        <f>(VLOOKUP('14.05'!#REF!,'14.05'!$AM$4:$AO$55,3,FALSE))</f>
        <v>#REF!</v>
      </c>
      <c r="J94" s="4" t="e">
        <f>(VLOOKUP('14.05'!#REF!,'14.05'!$AM$4:$AO$55,3,FALSE))</f>
        <v>#REF!</v>
      </c>
      <c r="K94" s="4" t="e">
        <f>(VLOOKUP('14.05'!#REF!,'14.05'!$AM$4:$AO$55,3,FALSE))</f>
        <v>#REF!</v>
      </c>
      <c r="L94" s="4" t="e">
        <f>(VLOOKUP('14.05'!#REF!,'14.05'!$AM$4:$AO$55,3,FALSE))</f>
        <v>#REF!</v>
      </c>
      <c r="M94" s="4" t="e">
        <f>(VLOOKUP('14.05'!#REF!,'14.05'!$AM$4:$AO$55,3,FALSE))</f>
        <v>#REF!</v>
      </c>
      <c r="N94" s="4" t="e">
        <f>(VLOOKUP('14.05'!#REF!,'14.05'!$AM$4:$AO$55,3,FALSE))</f>
        <v>#REF!</v>
      </c>
      <c r="O94" s="5" t="e">
        <f>(VLOOKUP('14.05'!#REF!,'14.05'!$AM$4:$AO$55,3,FALSE))</f>
        <v>#REF!</v>
      </c>
      <c r="P94" s="5" t="e">
        <f>(VLOOKUP('14.05'!#REF!,'14.05'!$AM$4:$AO$55,3,FALSE))</f>
        <v>#REF!</v>
      </c>
      <c r="Q94" s="4" t="e">
        <f>(VLOOKUP('14.05'!#REF!,'14.05'!$AM$4:$AO$55,3,FALSE))</f>
        <v>#REF!</v>
      </c>
      <c r="R94" s="4" t="e">
        <f>(VLOOKUP('14.05'!#REF!,'14.05'!$AM$4:$AO$55,3,FALSE))</f>
        <v>#REF!</v>
      </c>
      <c r="S94" s="4" t="e">
        <f>(VLOOKUP('14.05'!#REF!,'14.05'!$AM$4:$AO$55,3,FALSE))</f>
        <v>#REF!</v>
      </c>
      <c r="T94" s="4" t="e">
        <f>(VLOOKUP('14.05'!#REF!,'14.05'!$AM$4:$AO$55,3,FALSE))</f>
        <v>#REF!</v>
      </c>
      <c r="U94" s="4" t="e">
        <f>(VLOOKUP('14.05'!#REF!,'14.05'!$AM$4:$AO$55,3,FALSE))</f>
        <v>#REF!</v>
      </c>
      <c r="V94" s="4" t="e">
        <f>(VLOOKUP('14.05'!#REF!,'14.05'!$AM$4:$AO$55,3,FALSE))</f>
        <v>#REF!</v>
      </c>
      <c r="W94" s="5" t="e">
        <f>(VLOOKUP('14.05'!#REF!,'14.05'!$AM$4:$AO$55,3,FALSE))</f>
        <v>#REF!</v>
      </c>
      <c r="X94" s="5" t="e">
        <f>(VLOOKUP('14.05'!#REF!,'14.05'!$AM$4:$AO$55,3,FALSE))</f>
        <v>#REF!</v>
      </c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E4" sqref="E4"/>
    </sheetView>
  </sheetViews>
  <sheetFormatPr defaultColWidth="9" defaultRowHeight="14.4"/>
  <sheetData>
    <row r="1" spans="1:24" ht="15" thickBot="1"/>
    <row r="2" spans="1:24">
      <c r="A2" s="146" t="s">
        <v>62</v>
      </c>
      <c r="B2" s="147"/>
      <c r="C2" s="59" t="s">
        <v>4</v>
      </c>
      <c r="D2" s="59">
        <f>COUNTIF(A4:H94,"&lt;&gt;空")</f>
        <v>728</v>
      </c>
      <c r="E2" s="147" t="s">
        <v>5</v>
      </c>
      <c r="F2" s="147"/>
      <c r="G2" s="147"/>
      <c r="H2" s="148"/>
      <c r="I2" s="149" t="s">
        <v>6</v>
      </c>
      <c r="J2" s="150"/>
      <c r="K2" s="60" t="s">
        <v>4</v>
      </c>
      <c r="L2" s="60">
        <f>COUNTIF(I4:P94,"&lt;&gt;空")</f>
        <v>728</v>
      </c>
      <c r="M2" s="150" t="s">
        <v>5</v>
      </c>
      <c r="N2" s="150"/>
      <c r="O2" s="150"/>
      <c r="P2" s="151"/>
      <c r="Q2" s="152" t="s">
        <v>7</v>
      </c>
      <c r="R2" s="144"/>
      <c r="S2" s="10" t="s">
        <v>8</v>
      </c>
      <c r="T2" s="61">
        <f>COUNTIF(Q4:X94,"&lt;&gt;空")</f>
        <v>728</v>
      </c>
      <c r="U2" s="144" t="s">
        <v>5</v>
      </c>
      <c r="V2" s="144"/>
      <c r="W2" s="144"/>
      <c r="X2" s="145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(VLOOKUP('14.05'!I4,'14.05'!$AM$4:$AP$55,4,FALSE))</f>
        <v>44.222109392472248</v>
      </c>
      <c r="B4" s="4">
        <f>(VLOOKUP('14.05'!J4,'14.05'!$AM$4:$AP$55,4,FALSE))</f>
        <v>44.222109392472248</v>
      </c>
      <c r="C4" s="4">
        <f>(VLOOKUP('14.05'!K4,'14.05'!$AM$4:$AP$55,4,FALSE))</f>
        <v>44.222109392472248</v>
      </c>
      <c r="D4" s="4">
        <f>(VLOOKUP('14.05'!L4,'14.05'!$AM$4:$AP$55,4,FALSE))</f>
        <v>0</v>
      </c>
      <c r="E4" s="4">
        <f>(VLOOKUP('14.05'!M4,'14.05'!$AM$4:$AP$55,4,FALSE))</f>
        <v>0</v>
      </c>
      <c r="F4" s="4">
        <f>(VLOOKUP('14.05'!N4,'14.05'!$AM$4:$AP$55,4,FALSE))</f>
        <v>0</v>
      </c>
      <c r="G4" s="4">
        <f>(VLOOKUP('14.05'!O4,'14.05'!$AM$4:$AP$55,4,FALSE))</f>
        <v>0</v>
      </c>
      <c r="H4" s="4">
        <f>(VLOOKUP('14.05'!P4,'14.05'!$AM$4:$AP$55,4,FALSE))</f>
        <v>0</v>
      </c>
      <c r="I4" s="4">
        <f>(VLOOKUP('14.05'!Q4,'14.05'!$AM$4:$AP$55,4,FALSE))</f>
        <v>44.222109392472248</v>
      </c>
      <c r="J4" s="4">
        <f>(VLOOKUP('14.05'!R4,'14.05'!$AM$4:$AP$55,4,FALSE))</f>
        <v>10</v>
      </c>
      <c r="K4" s="4">
        <f>(VLOOKUP('14.05'!S4,'14.05'!$AM$4:$AP$55,4,FALSE))</f>
        <v>44.222109392472248</v>
      </c>
      <c r="L4" s="4">
        <f>(VLOOKUP('14.05'!T4,'14.05'!$AM$4:$AP$55,4,FALSE))</f>
        <v>39.110982162825422</v>
      </c>
      <c r="M4" s="4">
        <f>(VLOOKUP('14.05'!U4,'14.05'!$AM$4:$AP$55,4,FALSE))</f>
        <v>0</v>
      </c>
      <c r="N4" s="4">
        <f>(VLOOKUP('14.05'!V4,'14.05'!$AM$4:$AP$55,4,FALSE))</f>
        <v>0</v>
      </c>
      <c r="O4" s="4">
        <f>(VLOOKUP('14.05'!W4,'14.05'!$AM$4:$AP$55,4,FALSE))</f>
        <v>0</v>
      </c>
      <c r="P4" s="4">
        <f>(VLOOKUP('14.05'!X4,'14.05'!$AM$4:$AP$55,4,FALSE))</f>
        <v>0</v>
      </c>
      <c r="Q4" s="4">
        <f>(VLOOKUP('14.05'!Y4,'14.05'!$AM$4:$AP$55,4,FALSE))</f>
        <v>39.110982162825422</v>
      </c>
      <c r="R4" s="4">
        <f>(VLOOKUP('14.05'!Z4,'14.05'!$AM$4:$AP$55,4,FALSE))</f>
        <v>39.110982162825422</v>
      </c>
      <c r="S4" s="4">
        <f>(VLOOKUP('14.05'!AA4,'14.05'!$AM$4:$AP$55,4,FALSE))</f>
        <v>39.110982162825422</v>
      </c>
      <c r="T4" s="4">
        <f>(VLOOKUP('14.05'!AB4,'14.05'!$AM$4:$AP$55,4,FALSE))</f>
        <v>29.110982162825422</v>
      </c>
      <c r="U4" s="4">
        <f>(VLOOKUP('14.05'!AC4,'14.05'!$AM$4:$AP$55,4,FALSE))</f>
        <v>34</v>
      </c>
      <c r="V4" s="4">
        <f>(VLOOKUP('14.05'!AD4,'14.05'!$AM$4:$AP$55,4,FALSE))</f>
        <v>0</v>
      </c>
      <c r="W4" s="4">
        <f>(VLOOKUP('14.05'!AE4,'14.05'!$AM$4:$AP$55,4,FALSE))</f>
        <v>0</v>
      </c>
      <c r="X4" s="4">
        <f>(VLOOKUP('14.05'!AF4,'14.05'!$AM$4:$AP$55,4,FALSE))</f>
        <v>0</v>
      </c>
    </row>
    <row r="5" spans="1:24">
      <c r="A5" s="4">
        <f>(VLOOKUP('14.05'!I5,'14.05'!$AM$4:$AP$55,4,FALSE))</f>
        <v>44.222109392472248</v>
      </c>
      <c r="B5" s="4">
        <f>(VLOOKUP('14.05'!J5,'14.05'!$AM$4:$AP$55,4,FALSE))</f>
        <v>44.222109392472248</v>
      </c>
      <c r="C5" s="4">
        <f>(VLOOKUP('14.05'!K5,'14.05'!$AM$4:$AP$55,4,FALSE))</f>
        <v>10</v>
      </c>
      <c r="D5" s="4">
        <f>(VLOOKUP('14.05'!L5,'14.05'!$AM$4:$AP$55,4,FALSE))</f>
        <v>44.222109392472248</v>
      </c>
      <c r="E5" s="4">
        <f>(VLOOKUP('14.05'!M5,'14.05'!$AM$4:$AP$55,4,FALSE))</f>
        <v>44.222109392472248</v>
      </c>
      <c r="F5" s="4">
        <f>(VLOOKUP('14.05'!N5,'14.05'!$AM$4:$AP$55,4,FALSE))</f>
        <v>39.110982162825422</v>
      </c>
      <c r="G5" s="4">
        <f>(VLOOKUP('14.05'!O5,'14.05'!$AM$4:$AP$55,4,FALSE))</f>
        <v>0</v>
      </c>
      <c r="H5" s="4">
        <f>(VLOOKUP('14.05'!P5,'14.05'!$AM$4:$AP$55,4,FALSE))</f>
        <v>0</v>
      </c>
      <c r="I5" s="4">
        <f>(VLOOKUP('14.05'!Q5,'14.05'!$AM$4:$AP$55,4,FALSE))</f>
        <v>0</v>
      </c>
      <c r="J5" s="4">
        <f>(VLOOKUP('14.05'!R5,'14.05'!$AM$4:$AP$55,4,FALSE))</f>
        <v>0</v>
      </c>
      <c r="K5" s="4">
        <f>(VLOOKUP('14.05'!S5,'14.05'!$AM$4:$AP$55,4,FALSE))</f>
        <v>0</v>
      </c>
      <c r="L5" s="4">
        <f>(VLOOKUP('14.05'!T5,'14.05'!$AM$4:$AP$55,4,FALSE))</f>
        <v>0</v>
      </c>
      <c r="M5" s="4">
        <f>(VLOOKUP('14.05'!U5,'14.05'!$AM$4:$AP$55,4,FALSE))</f>
        <v>0</v>
      </c>
      <c r="N5" s="4">
        <f>(VLOOKUP('14.05'!V5,'14.05'!$AM$4:$AP$55,4,FALSE))</f>
        <v>0</v>
      </c>
      <c r="O5" s="4">
        <f>(VLOOKUP('14.05'!W5,'14.05'!$AM$4:$AP$55,4,FALSE))</f>
        <v>0</v>
      </c>
      <c r="P5" s="4">
        <f>(VLOOKUP('14.05'!X5,'14.05'!$AM$4:$AP$55,4,FALSE))</f>
        <v>0</v>
      </c>
      <c r="Q5" s="4">
        <f>(VLOOKUP('14.05'!Y5,'14.05'!$AM$4:$AP$55,4,FALSE))</f>
        <v>34</v>
      </c>
      <c r="R5" s="4">
        <f>(VLOOKUP('14.05'!Z5,'14.05'!$AM$4:$AP$55,4,FALSE))</f>
        <v>34</v>
      </c>
      <c r="S5" s="4">
        <f>(VLOOKUP('14.05'!AA5,'14.05'!$AM$4:$AP$55,4,FALSE))</f>
        <v>0</v>
      </c>
      <c r="T5" s="4">
        <f>(VLOOKUP('14.05'!AB5,'14.05'!$AM$4:$AP$55,4,FALSE))</f>
        <v>10</v>
      </c>
      <c r="U5" s="4">
        <f>(VLOOKUP('14.05'!AC5,'14.05'!$AM$4:$AP$55,4,FALSE))</f>
        <v>34</v>
      </c>
      <c r="V5" s="4">
        <f>(VLOOKUP('14.05'!AD5,'14.05'!$AM$4:$AP$55,4,FALSE))</f>
        <v>10</v>
      </c>
      <c r="W5" s="4">
        <f>(VLOOKUP('14.05'!AE5,'14.05'!$AM$4:$AP$55,4,FALSE))</f>
        <v>34</v>
      </c>
      <c r="X5" s="4">
        <f>(VLOOKUP('14.05'!AF5,'14.05'!$AM$4:$AP$55,4,FALSE))</f>
        <v>34</v>
      </c>
    </row>
    <row r="6" spans="1:24">
      <c r="A6" s="4">
        <f>(VLOOKUP('14.05'!I6,'14.05'!$AM$4:$AP$55,4,FALSE))</f>
        <v>39.110982162825422</v>
      </c>
      <c r="B6" s="4">
        <f>(VLOOKUP('14.05'!J6,'14.05'!$AM$4:$AP$55,4,FALSE))</f>
        <v>10</v>
      </c>
      <c r="C6" s="4">
        <f>(VLOOKUP('14.05'!K6,'14.05'!$AM$4:$AP$55,4,FALSE))</f>
        <v>39.110982162825422</v>
      </c>
      <c r="D6" s="4">
        <f>(VLOOKUP('14.05'!L6,'14.05'!$AM$4:$AP$55,4,FALSE))</f>
        <v>39.110982162825422</v>
      </c>
      <c r="E6" s="4">
        <f>(VLOOKUP('14.05'!M6,'14.05'!$AM$4:$AP$55,4,FALSE))</f>
        <v>10</v>
      </c>
      <c r="F6" s="4">
        <f>(VLOOKUP('14.05'!N6,'14.05'!$AM$4:$AP$55,4,FALSE))</f>
        <v>34</v>
      </c>
      <c r="G6" s="4">
        <f>(VLOOKUP('14.05'!O6,'14.05'!$AM$4:$AP$55,4,FALSE))</f>
        <v>34</v>
      </c>
      <c r="H6" s="4">
        <f>(VLOOKUP('14.05'!P6,'14.05'!$AM$4:$AP$55,4,FALSE))</f>
        <v>34</v>
      </c>
      <c r="I6" s="4">
        <f>(VLOOKUP('14.05'!Q6,'14.05'!$AM$4:$AP$55,4,FALSE))</f>
        <v>0</v>
      </c>
      <c r="J6" s="4">
        <f>(VLOOKUP('14.05'!R6,'14.05'!$AM$4:$AP$55,4,FALSE))</f>
        <v>0</v>
      </c>
      <c r="K6" s="4">
        <f>(VLOOKUP('14.05'!S6,'14.05'!$AM$4:$AP$55,4,FALSE))</f>
        <v>0</v>
      </c>
      <c r="L6" s="4">
        <f>(VLOOKUP('14.05'!T6,'14.05'!$AM$4:$AP$55,4,FALSE))</f>
        <v>0</v>
      </c>
      <c r="M6" s="4">
        <f>(VLOOKUP('14.05'!U6,'14.05'!$AM$4:$AP$55,4,FALSE))</f>
        <v>0</v>
      </c>
      <c r="N6" s="4">
        <f>(VLOOKUP('14.05'!V6,'14.05'!$AM$4:$AP$55,4,FALSE))</f>
        <v>0</v>
      </c>
      <c r="O6" s="4">
        <f>(VLOOKUP('14.05'!W6,'14.05'!$AM$4:$AP$55,4,FALSE))</f>
        <v>0</v>
      </c>
      <c r="P6" s="4">
        <f>(VLOOKUP('14.05'!X6,'14.05'!$AM$4:$AP$55,4,FALSE))</f>
        <v>0</v>
      </c>
      <c r="Q6" s="4">
        <f>(VLOOKUP('14.05'!Y6,'14.05'!$AM$4:$AP$55,4,FALSE))</f>
        <v>0</v>
      </c>
      <c r="R6" s="4">
        <f>(VLOOKUP('14.05'!Z6,'14.05'!$AM$4:$AP$55,4,FALSE))</f>
        <v>34</v>
      </c>
      <c r="S6" s="4">
        <f>(VLOOKUP('14.05'!AA6,'14.05'!$AM$4:$AP$55,4,FALSE))</f>
        <v>34</v>
      </c>
      <c r="T6" s="4">
        <f>(VLOOKUP('14.05'!AB6,'14.05'!$AM$4:$AP$55,4,FALSE))</f>
        <v>34</v>
      </c>
      <c r="U6" s="4">
        <f>(VLOOKUP('14.05'!AC6,'14.05'!$AM$4:$AP$55,4,FALSE))</f>
        <v>34</v>
      </c>
      <c r="V6" s="4">
        <f>(VLOOKUP('14.05'!AD6,'14.05'!$AM$4:$AP$55,4,FALSE))</f>
        <v>34</v>
      </c>
      <c r="W6" s="4">
        <f>(VLOOKUP('14.05'!AE6,'14.05'!$AM$4:$AP$55,4,FALSE))</f>
        <v>0</v>
      </c>
      <c r="X6" s="4">
        <f>(VLOOKUP('14.05'!AF6,'14.05'!$AM$4:$AP$55,4,FALSE))</f>
        <v>0</v>
      </c>
    </row>
    <row r="7" spans="1:24">
      <c r="A7" s="4">
        <f>(VLOOKUP('14.05'!I7,'14.05'!$AM$4:$AP$55,4,FALSE))</f>
        <v>34</v>
      </c>
      <c r="B7" s="4">
        <f>(VLOOKUP('14.05'!J7,'14.05'!$AM$4:$AP$55,4,FALSE))</f>
        <v>0</v>
      </c>
      <c r="C7" s="4">
        <f>(VLOOKUP('14.05'!K7,'14.05'!$AM$4:$AP$55,4,FALSE))</f>
        <v>34</v>
      </c>
      <c r="D7" s="4">
        <f>(VLOOKUP('14.05'!L7,'14.05'!$AM$4:$AP$55,4,FALSE))</f>
        <v>34</v>
      </c>
      <c r="E7" s="4">
        <f>(VLOOKUP('14.05'!M7,'14.05'!$AM$4:$AP$55,4,FALSE))</f>
        <v>13.999854933178597</v>
      </c>
      <c r="F7" s="4">
        <f>(VLOOKUP('14.05'!N7,'14.05'!$AM$4:$AP$55,4,FALSE))</f>
        <v>34</v>
      </c>
      <c r="G7" s="4">
        <f>(VLOOKUP('14.05'!O7,'14.05'!$AM$4:$AP$55,4,FALSE))</f>
        <v>0</v>
      </c>
      <c r="H7" s="4">
        <f>(VLOOKUP('14.05'!P7,'14.05'!$AM$4:$AP$55,4,FALSE))</f>
        <v>0</v>
      </c>
      <c r="I7" s="4">
        <f>(VLOOKUP('14.05'!Q7,'14.05'!$AM$4:$AP$55,4,FALSE))</f>
        <v>0</v>
      </c>
      <c r="J7" s="4">
        <f>(VLOOKUP('14.05'!R7,'14.05'!$AM$4:$AP$55,4,FALSE))</f>
        <v>0</v>
      </c>
      <c r="K7" s="4">
        <f>(VLOOKUP('14.05'!S7,'14.05'!$AM$4:$AP$55,4,FALSE))</f>
        <v>0</v>
      </c>
      <c r="L7" s="4">
        <f>(VLOOKUP('14.05'!T7,'14.05'!$AM$4:$AP$55,4,FALSE))</f>
        <v>0</v>
      </c>
      <c r="M7" s="4">
        <f>(VLOOKUP('14.05'!U7,'14.05'!$AM$4:$AP$55,4,FALSE))</f>
        <v>0</v>
      </c>
      <c r="N7" s="4">
        <f>(VLOOKUP('14.05'!V7,'14.05'!$AM$4:$AP$55,4,FALSE))</f>
        <v>0</v>
      </c>
      <c r="O7" s="4">
        <f>(VLOOKUP('14.05'!W7,'14.05'!$AM$4:$AP$55,4,FALSE))</f>
        <v>0</v>
      </c>
      <c r="P7" s="4">
        <f>(VLOOKUP('14.05'!X7,'14.05'!$AM$4:$AP$55,4,FALSE))</f>
        <v>0</v>
      </c>
      <c r="Q7" s="4">
        <f>(VLOOKUP('14.05'!Y7,'14.05'!$AM$4:$AP$55,4,FALSE))</f>
        <v>10</v>
      </c>
      <c r="R7" s="4">
        <f>(VLOOKUP('14.05'!Z7,'14.05'!$AM$4:$AP$55,4,FALSE))</f>
        <v>34</v>
      </c>
      <c r="S7" s="4">
        <f>(VLOOKUP('14.05'!AA7,'14.05'!$AM$4:$AP$55,4,FALSE))</f>
        <v>34</v>
      </c>
      <c r="T7" s="4">
        <f>(VLOOKUP('14.05'!AB7,'14.05'!$AM$4:$AP$55,4,FALSE))</f>
        <v>34</v>
      </c>
      <c r="U7" s="4">
        <f>(VLOOKUP('14.05'!AC7,'14.05'!$AM$4:$AP$55,4,FALSE))</f>
        <v>0</v>
      </c>
      <c r="V7" s="4">
        <f>(VLOOKUP('14.05'!AD7,'14.05'!$AM$4:$AP$55,4,FALSE))</f>
        <v>34</v>
      </c>
      <c r="W7" s="4">
        <f>(VLOOKUP('14.05'!AE7,'14.05'!$AM$4:$AP$55,4,FALSE))</f>
        <v>0</v>
      </c>
      <c r="X7" s="4">
        <f>(VLOOKUP('14.05'!AF7,'14.05'!$AM$4:$AP$55,4,FALSE))</f>
        <v>0</v>
      </c>
    </row>
    <row r="8" spans="1:24">
      <c r="A8" s="4">
        <f>(VLOOKUP('14.05'!I8,'14.05'!$AM$4:$AP$55,4,FALSE))</f>
        <v>34</v>
      </c>
      <c r="B8" s="4">
        <f>(VLOOKUP('14.05'!J8,'14.05'!$AM$4:$AP$55,4,FALSE))</f>
        <v>34</v>
      </c>
      <c r="C8" s="4">
        <f>(VLOOKUP('14.05'!K8,'14.05'!$AM$4:$AP$55,4,FALSE))</f>
        <v>34</v>
      </c>
      <c r="D8" s="4">
        <f>(VLOOKUP('14.05'!L8,'14.05'!$AM$4:$AP$55,4,FALSE))</f>
        <v>34</v>
      </c>
      <c r="E8" s="4">
        <f>(VLOOKUP('14.05'!M8,'14.05'!$AM$4:$AP$55,4,FALSE))</f>
        <v>34</v>
      </c>
      <c r="F8" s="4">
        <f>(VLOOKUP('14.05'!N8,'14.05'!$AM$4:$AP$55,4,FALSE))</f>
        <v>34</v>
      </c>
      <c r="G8" s="4">
        <f>(VLOOKUP('14.05'!O8,'14.05'!$AM$4:$AP$55,4,FALSE))</f>
        <v>0</v>
      </c>
      <c r="H8" s="4">
        <f>(VLOOKUP('14.05'!P8,'14.05'!$AM$4:$AP$55,4,FALSE))</f>
        <v>0</v>
      </c>
      <c r="I8" s="4">
        <f>(VLOOKUP('14.05'!Q8,'14.05'!$AM$4:$AP$55,4,FALSE))</f>
        <v>0</v>
      </c>
      <c r="J8" s="4">
        <f>(VLOOKUP('14.05'!R8,'14.05'!$AM$4:$AP$55,4,FALSE))</f>
        <v>0</v>
      </c>
      <c r="K8" s="4">
        <f>(VLOOKUP('14.05'!S8,'14.05'!$AM$4:$AP$55,4,FALSE))</f>
        <v>0</v>
      </c>
      <c r="L8" s="4">
        <f>(VLOOKUP('14.05'!T8,'14.05'!$AM$4:$AP$55,4,FALSE))</f>
        <v>0</v>
      </c>
      <c r="M8" s="4">
        <f>(VLOOKUP('14.05'!U8,'14.05'!$AM$4:$AP$55,4,FALSE))</f>
        <v>0</v>
      </c>
      <c r="N8" s="4">
        <f>(VLOOKUP('14.05'!V8,'14.05'!$AM$4:$AP$55,4,FALSE))</f>
        <v>0</v>
      </c>
      <c r="O8" s="4">
        <f>(VLOOKUP('14.05'!W8,'14.05'!$AM$4:$AP$55,4,FALSE))</f>
        <v>0</v>
      </c>
      <c r="P8" s="4">
        <f>(VLOOKUP('14.05'!X8,'14.05'!$AM$4:$AP$55,4,FALSE))</f>
        <v>0</v>
      </c>
      <c r="Q8" s="4">
        <f>(VLOOKUP('14.05'!Y8,'14.05'!$AM$4:$AP$55,4,FALSE))</f>
        <v>34</v>
      </c>
      <c r="R8" s="4">
        <f>(VLOOKUP('14.05'!Z8,'14.05'!$AM$4:$AP$55,4,FALSE))</f>
        <v>13.999854933178597</v>
      </c>
      <c r="S8" s="4">
        <f>(VLOOKUP('14.05'!AA8,'14.05'!$AM$4:$AP$55,4,FALSE))</f>
        <v>34</v>
      </c>
      <c r="T8" s="4">
        <f>(VLOOKUP('14.05'!AB8,'14.05'!$AM$4:$AP$55,4,FALSE))</f>
        <v>34</v>
      </c>
      <c r="U8" s="4">
        <f>(VLOOKUP('14.05'!AC8,'14.05'!$AM$4:$AP$55,4,FALSE))</f>
        <v>34</v>
      </c>
      <c r="V8" s="4">
        <f>(VLOOKUP('14.05'!AD8,'14.05'!$AM$4:$AP$55,4,FALSE))</f>
        <v>34</v>
      </c>
      <c r="W8" s="4">
        <f>(VLOOKUP('14.05'!AE8,'14.05'!$AM$4:$AP$55,4,FALSE))</f>
        <v>0</v>
      </c>
      <c r="X8" s="4">
        <f>(VLOOKUP('14.05'!AF8,'14.05'!$AM$4:$AP$55,4,FALSE))</f>
        <v>0</v>
      </c>
    </row>
    <row r="9" spans="1:24">
      <c r="A9" s="4">
        <f>(VLOOKUP('14.05'!I9,'14.05'!$AM$4:$AP$55,4,FALSE))</f>
        <v>0</v>
      </c>
      <c r="B9" s="4">
        <f>(VLOOKUP('14.05'!J9,'14.05'!$AM$4:$AP$55,4,FALSE))</f>
        <v>0</v>
      </c>
      <c r="C9" s="4">
        <f>(VLOOKUP('14.05'!K9,'14.05'!$AM$4:$AP$55,4,FALSE))</f>
        <v>0</v>
      </c>
      <c r="D9" s="4">
        <f>(VLOOKUP('14.05'!L9,'14.05'!$AM$4:$AP$55,4,FALSE))</f>
        <v>0</v>
      </c>
      <c r="E9" s="4">
        <f>(VLOOKUP('14.05'!M9,'14.05'!$AM$4:$AP$55,4,FALSE))</f>
        <v>0</v>
      </c>
      <c r="F9" s="4">
        <f>(VLOOKUP('14.05'!N9,'14.05'!$AM$4:$AP$55,4,FALSE))</f>
        <v>0</v>
      </c>
      <c r="G9" s="4">
        <f>(VLOOKUP('14.05'!O9,'14.05'!$AM$4:$AP$55,4,FALSE))</f>
        <v>0</v>
      </c>
      <c r="H9" s="4">
        <f>(VLOOKUP('14.05'!P9,'14.05'!$AM$4:$AP$55,4,FALSE))</f>
        <v>0</v>
      </c>
      <c r="I9" s="4">
        <f>(VLOOKUP('14.05'!Q9,'14.05'!$AM$4:$AP$55,4,FALSE))</f>
        <v>0</v>
      </c>
      <c r="J9" s="4">
        <f>(VLOOKUP('14.05'!R9,'14.05'!$AM$4:$AP$55,4,FALSE))</f>
        <v>0</v>
      </c>
      <c r="K9" s="4">
        <f>(VLOOKUP('14.05'!S9,'14.05'!$AM$4:$AP$55,4,FALSE))</f>
        <v>0</v>
      </c>
      <c r="L9" s="4">
        <f>(VLOOKUP('14.05'!T9,'14.05'!$AM$4:$AP$55,4,FALSE))</f>
        <v>0</v>
      </c>
      <c r="M9" s="4">
        <f>(VLOOKUP('14.05'!U9,'14.05'!$AM$4:$AP$55,4,FALSE))</f>
        <v>0</v>
      </c>
      <c r="N9" s="4">
        <f>(VLOOKUP('14.05'!V9,'14.05'!$AM$4:$AP$55,4,FALSE))</f>
        <v>0</v>
      </c>
      <c r="O9" s="4">
        <f>(VLOOKUP('14.05'!W9,'14.05'!$AM$4:$AP$55,4,FALSE))</f>
        <v>0</v>
      </c>
      <c r="P9" s="4">
        <f>(VLOOKUP('14.05'!X9,'14.05'!$AM$4:$AP$55,4,FALSE))</f>
        <v>0</v>
      </c>
      <c r="Q9" s="4">
        <f>(VLOOKUP('14.05'!Y9,'14.05'!$AM$4:$AP$55,4,FALSE))</f>
        <v>34</v>
      </c>
      <c r="R9" s="4">
        <f>(VLOOKUP('14.05'!Z9,'14.05'!$AM$4:$AP$55,4,FALSE))</f>
        <v>10</v>
      </c>
      <c r="S9" s="4">
        <f>(VLOOKUP('14.05'!AA9,'14.05'!$AM$4:$AP$55,4,FALSE))</f>
        <v>34</v>
      </c>
      <c r="T9" s="4">
        <f>(VLOOKUP('14.05'!AB9,'14.05'!$AM$4:$AP$55,4,FALSE))</f>
        <v>34</v>
      </c>
      <c r="U9" s="4">
        <f>(VLOOKUP('14.05'!AC9,'14.05'!$AM$4:$AP$55,4,FALSE))</f>
        <v>34</v>
      </c>
      <c r="V9" s="4">
        <f>(VLOOKUP('14.05'!AD9,'14.05'!$AM$4:$AP$55,4,FALSE))</f>
        <v>0</v>
      </c>
      <c r="W9" s="4">
        <f>(VLOOKUP('14.05'!AE9,'14.05'!$AM$4:$AP$55,4,FALSE))</f>
        <v>0</v>
      </c>
      <c r="X9" s="4">
        <f>(VLOOKUP('14.05'!AF9,'14.05'!$AM$4:$AP$55,4,FALSE))</f>
        <v>0</v>
      </c>
    </row>
    <row r="10" spans="1:24">
      <c r="A10" s="4">
        <f>(VLOOKUP('14.05'!I10,'14.05'!$AM$4:$AP$55,4,FALSE))</f>
        <v>0</v>
      </c>
      <c r="B10" s="4">
        <f>(VLOOKUP('14.05'!J10,'14.05'!$AM$4:$AP$55,4,FALSE))</f>
        <v>0</v>
      </c>
      <c r="C10" s="4">
        <f>(VLOOKUP('14.05'!K10,'14.05'!$AM$4:$AP$55,4,FALSE))</f>
        <v>0</v>
      </c>
      <c r="D10" s="4">
        <f>(VLOOKUP('14.05'!L10,'14.05'!$AM$4:$AP$55,4,FALSE))</f>
        <v>0</v>
      </c>
      <c r="E10" s="4">
        <f>(VLOOKUP('14.05'!M10,'14.05'!$AM$4:$AP$55,4,FALSE))</f>
        <v>0</v>
      </c>
      <c r="F10" s="4">
        <f>(VLOOKUP('14.05'!N10,'14.05'!$AM$4:$AP$55,4,FALSE))</f>
        <v>0</v>
      </c>
      <c r="G10" s="4">
        <f>(VLOOKUP('14.05'!O10,'14.05'!$AM$4:$AP$55,4,FALSE))</f>
        <v>0</v>
      </c>
      <c r="H10" s="4">
        <f>(VLOOKUP('14.05'!P10,'14.05'!$AM$4:$AP$55,4,FALSE))</f>
        <v>0</v>
      </c>
      <c r="I10" s="4">
        <f>(VLOOKUP('14.05'!Q10,'14.05'!$AM$4:$AP$55,4,FALSE))</f>
        <v>0</v>
      </c>
      <c r="J10" s="4">
        <f>(VLOOKUP('14.05'!R10,'14.05'!$AM$4:$AP$55,4,FALSE))</f>
        <v>0</v>
      </c>
      <c r="K10" s="4">
        <f>(VLOOKUP('14.05'!S10,'14.05'!$AM$4:$AP$55,4,FALSE))</f>
        <v>0</v>
      </c>
      <c r="L10" s="4">
        <f>(VLOOKUP('14.05'!T10,'14.05'!$AM$4:$AP$55,4,FALSE))</f>
        <v>0</v>
      </c>
      <c r="M10" s="4">
        <f>(VLOOKUP('14.05'!U10,'14.05'!$AM$4:$AP$55,4,FALSE))</f>
        <v>0</v>
      </c>
      <c r="N10" s="4">
        <f>(VLOOKUP('14.05'!V10,'14.05'!$AM$4:$AP$55,4,FALSE))</f>
        <v>0</v>
      </c>
      <c r="O10" s="4">
        <f>(VLOOKUP('14.05'!W10,'14.05'!$AM$4:$AP$55,4,FALSE))</f>
        <v>0</v>
      </c>
      <c r="P10" s="4">
        <f>(VLOOKUP('14.05'!X10,'14.05'!$AM$4:$AP$55,4,FALSE))</f>
        <v>0</v>
      </c>
      <c r="Q10" s="4">
        <f>(VLOOKUP('14.05'!Y10,'14.05'!$AM$4:$AP$55,4,FALSE))</f>
        <v>34</v>
      </c>
      <c r="R10" s="4">
        <f>(VLOOKUP('14.05'!Z10,'14.05'!$AM$4:$AP$55,4,FALSE))</f>
        <v>10</v>
      </c>
      <c r="S10" s="4">
        <f>(VLOOKUP('14.05'!AA10,'14.05'!$AM$4:$AP$55,4,FALSE))</f>
        <v>34</v>
      </c>
      <c r="T10" s="4">
        <f>(VLOOKUP('14.05'!AB10,'14.05'!$AM$4:$AP$55,4,FALSE))</f>
        <v>34</v>
      </c>
      <c r="U10" s="4">
        <f>(VLOOKUP('14.05'!AC10,'14.05'!$AM$4:$AP$55,4,FALSE))</f>
        <v>34</v>
      </c>
      <c r="V10" s="4">
        <f>(VLOOKUP('14.05'!AD10,'14.05'!$AM$4:$AP$55,4,FALSE))</f>
        <v>34</v>
      </c>
      <c r="W10" s="4">
        <f>(VLOOKUP('14.05'!AE10,'14.05'!$AM$4:$AP$55,4,FALSE))</f>
        <v>34</v>
      </c>
      <c r="X10" s="4">
        <f>(VLOOKUP('14.05'!AF10,'14.05'!$AM$4:$AP$55,4,FALSE))</f>
        <v>34</v>
      </c>
    </row>
    <row r="11" spans="1:24">
      <c r="A11" s="4">
        <f>(VLOOKUP('14.05'!I11,'14.05'!$AM$4:$AP$55,4,FALSE))</f>
        <v>0</v>
      </c>
      <c r="B11" s="4">
        <f>(VLOOKUP('14.05'!J11,'14.05'!$AM$4:$AP$55,4,FALSE))</f>
        <v>0</v>
      </c>
      <c r="C11" s="4">
        <f>(VLOOKUP('14.05'!K11,'14.05'!$AM$4:$AP$55,4,FALSE))</f>
        <v>0</v>
      </c>
      <c r="D11" s="4">
        <f>(VLOOKUP('14.05'!L11,'14.05'!$AM$4:$AP$55,4,FALSE))</f>
        <v>0</v>
      </c>
      <c r="E11" s="4">
        <f>(VLOOKUP('14.05'!M11,'14.05'!$AM$4:$AP$55,4,FALSE))</f>
        <v>0</v>
      </c>
      <c r="F11" s="4">
        <f>(VLOOKUP('14.05'!N11,'14.05'!$AM$4:$AP$55,4,FALSE))</f>
        <v>0</v>
      </c>
      <c r="G11" s="4">
        <f>(VLOOKUP('14.05'!O11,'14.05'!$AM$4:$AP$55,4,FALSE))</f>
        <v>0</v>
      </c>
      <c r="H11" s="4">
        <f>(VLOOKUP('14.05'!P11,'14.05'!$AM$4:$AP$55,4,FALSE))</f>
        <v>0</v>
      </c>
      <c r="I11" s="4">
        <f>(VLOOKUP('14.05'!Q11,'14.05'!$AM$4:$AP$55,4,FALSE))</f>
        <v>0</v>
      </c>
      <c r="J11" s="4">
        <f>(VLOOKUP('14.05'!R11,'14.05'!$AM$4:$AP$55,4,FALSE))</f>
        <v>0</v>
      </c>
      <c r="K11" s="4">
        <f>(VLOOKUP('14.05'!S11,'14.05'!$AM$4:$AP$55,4,FALSE))</f>
        <v>0</v>
      </c>
      <c r="L11" s="4">
        <f>(VLOOKUP('14.05'!T11,'14.05'!$AM$4:$AP$55,4,FALSE))</f>
        <v>0</v>
      </c>
      <c r="M11" s="4">
        <f>(VLOOKUP('14.05'!U11,'14.05'!$AM$4:$AP$55,4,FALSE))</f>
        <v>0</v>
      </c>
      <c r="N11" s="4">
        <f>(VLOOKUP('14.05'!V11,'14.05'!$AM$4:$AP$55,4,FALSE))</f>
        <v>0</v>
      </c>
      <c r="O11" s="4">
        <f>(VLOOKUP('14.05'!W11,'14.05'!$AM$4:$AP$55,4,FALSE))</f>
        <v>0</v>
      </c>
      <c r="P11" s="4">
        <f>(VLOOKUP('14.05'!X11,'14.05'!$AM$4:$AP$55,4,FALSE))</f>
        <v>0</v>
      </c>
      <c r="Q11" s="4">
        <f>(VLOOKUP('14.05'!Y11,'14.05'!$AM$4:$AP$55,4,FALSE))</f>
        <v>0</v>
      </c>
      <c r="R11" s="4">
        <f>(VLOOKUP('14.05'!Z11,'14.05'!$AM$4:$AP$55,4,FALSE))</f>
        <v>34</v>
      </c>
      <c r="S11" s="4">
        <f>(VLOOKUP('14.05'!AA11,'14.05'!$AM$4:$AP$55,4,FALSE))</f>
        <v>10</v>
      </c>
      <c r="T11" s="4">
        <f>(VLOOKUP('14.05'!AB11,'14.05'!$AM$4:$AP$55,4,FALSE))</f>
        <v>34</v>
      </c>
      <c r="U11" s="4">
        <f>(VLOOKUP('14.05'!AC11,'14.05'!$AM$4:$AP$55,4,FALSE))</f>
        <v>34</v>
      </c>
      <c r="V11" s="4">
        <f>(VLOOKUP('14.05'!AD11,'14.05'!$AM$4:$AP$55,4,FALSE))</f>
        <v>34</v>
      </c>
      <c r="W11" s="4">
        <f>(VLOOKUP('14.05'!AE11,'14.05'!$AM$4:$AP$55,4,FALSE))</f>
        <v>0</v>
      </c>
      <c r="X11" s="4">
        <f>(VLOOKUP('14.05'!AF11,'14.05'!$AM$4:$AP$55,4,FALSE))</f>
        <v>0</v>
      </c>
    </row>
    <row r="12" spans="1:24">
      <c r="A12" s="4">
        <f>(VLOOKUP('14.05'!I12,'14.05'!$AM$4:$AP$55,4,FALSE))</f>
        <v>0</v>
      </c>
      <c r="B12" s="4">
        <f>(VLOOKUP('14.05'!J12,'14.05'!$AM$4:$AP$55,4,FALSE))</f>
        <v>0</v>
      </c>
      <c r="C12" s="4">
        <f>(VLOOKUP('14.05'!K12,'14.05'!$AM$4:$AP$55,4,FALSE))</f>
        <v>0</v>
      </c>
      <c r="D12" s="4">
        <f>(VLOOKUP('14.05'!L12,'14.05'!$AM$4:$AP$55,4,FALSE))</f>
        <v>0</v>
      </c>
      <c r="E12" s="4">
        <f>(VLOOKUP('14.05'!M12,'14.05'!$AM$4:$AP$55,4,FALSE))</f>
        <v>0</v>
      </c>
      <c r="F12" s="4">
        <f>(VLOOKUP('14.05'!N12,'14.05'!$AM$4:$AP$55,4,FALSE))</f>
        <v>0</v>
      </c>
      <c r="G12" s="4">
        <f>(VLOOKUP('14.05'!O12,'14.05'!$AM$4:$AP$55,4,FALSE))</f>
        <v>0</v>
      </c>
      <c r="H12" s="4">
        <f>(VLOOKUP('14.05'!P12,'14.05'!$AM$4:$AP$55,4,FALSE))</f>
        <v>0</v>
      </c>
      <c r="I12" s="4">
        <f>(VLOOKUP('14.05'!Q12,'14.05'!$AM$4:$AP$55,4,FALSE))</f>
        <v>0</v>
      </c>
      <c r="J12" s="4">
        <f>(VLOOKUP('14.05'!R12,'14.05'!$AM$4:$AP$55,4,FALSE))</f>
        <v>0</v>
      </c>
      <c r="K12" s="4">
        <f>(VLOOKUP('14.05'!S12,'14.05'!$AM$4:$AP$55,4,FALSE))</f>
        <v>0</v>
      </c>
      <c r="L12" s="4">
        <f>(VLOOKUP('14.05'!T12,'14.05'!$AM$4:$AP$55,4,FALSE))</f>
        <v>0</v>
      </c>
      <c r="M12" s="4">
        <f>(VLOOKUP('14.05'!U12,'14.05'!$AM$4:$AP$55,4,FALSE))</f>
        <v>0</v>
      </c>
      <c r="N12" s="4">
        <f>(VLOOKUP('14.05'!V12,'14.05'!$AM$4:$AP$55,4,FALSE))</f>
        <v>0</v>
      </c>
      <c r="O12" s="4">
        <f>(VLOOKUP('14.05'!W12,'14.05'!$AM$4:$AP$55,4,FALSE))</f>
        <v>0</v>
      </c>
      <c r="P12" s="4">
        <f>(VLOOKUP('14.05'!X12,'14.05'!$AM$4:$AP$55,4,FALSE))</f>
        <v>0</v>
      </c>
      <c r="Q12" s="4">
        <f>(VLOOKUP('14.05'!Y12,'14.05'!$AM$4:$AP$55,4,FALSE))</f>
        <v>0</v>
      </c>
      <c r="R12" s="4">
        <f>(VLOOKUP('14.05'!Z12,'14.05'!$AM$4:$AP$55,4,FALSE))</f>
        <v>0</v>
      </c>
      <c r="S12" s="4">
        <f>(VLOOKUP('14.05'!AA12,'14.05'!$AM$4:$AP$55,4,FALSE))</f>
        <v>0</v>
      </c>
      <c r="T12" s="4">
        <f>(VLOOKUP('14.05'!AB12,'14.05'!$AM$4:$AP$55,4,FALSE))</f>
        <v>0</v>
      </c>
      <c r="U12" s="4">
        <f>(VLOOKUP('14.05'!AC12,'14.05'!$AM$4:$AP$55,4,FALSE))</f>
        <v>0</v>
      </c>
      <c r="V12" s="4">
        <f>(VLOOKUP('14.05'!AD12,'14.05'!$AM$4:$AP$55,4,FALSE))</f>
        <v>0</v>
      </c>
      <c r="W12" s="4">
        <f>(VLOOKUP('14.05'!AE12,'14.05'!$AM$4:$AP$55,4,FALSE))</f>
        <v>0</v>
      </c>
      <c r="X12" s="4">
        <f>(VLOOKUP('14.05'!AF12,'14.05'!$AM$4:$AP$55,4,FALSE))</f>
        <v>0</v>
      </c>
    </row>
    <row r="13" spans="1:24">
      <c r="A13" s="4">
        <f>(VLOOKUP('14.05'!I13,'14.05'!$AM$4:$AP$55,4,FALSE))</f>
        <v>34</v>
      </c>
      <c r="B13" s="4">
        <f>(VLOOKUP('14.05'!J13,'14.05'!$AM$4:$AP$55,4,FALSE))</f>
        <v>13.999854933178597</v>
      </c>
      <c r="C13" s="4">
        <f>(VLOOKUP('14.05'!K13,'14.05'!$AM$4:$AP$55,4,FALSE))</f>
        <v>34</v>
      </c>
      <c r="D13" s="4">
        <f>(VLOOKUP('14.05'!L13,'14.05'!$AM$4:$AP$55,4,FALSE))</f>
        <v>34</v>
      </c>
      <c r="E13" s="4">
        <f>(VLOOKUP('14.05'!M13,'14.05'!$AM$4:$AP$55,4,FALSE))</f>
        <v>10</v>
      </c>
      <c r="F13" s="4">
        <f>(VLOOKUP('14.05'!N13,'14.05'!$AM$4:$AP$55,4,FALSE))</f>
        <v>34</v>
      </c>
      <c r="G13" s="4">
        <f>(VLOOKUP('14.05'!O13,'14.05'!$AM$4:$AP$55,4,FALSE))</f>
        <v>0</v>
      </c>
      <c r="H13" s="4">
        <f>(VLOOKUP('14.05'!P13,'14.05'!$AM$4:$AP$55,4,FALSE))</f>
        <v>0</v>
      </c>
      <c r="I13" s="4">
        <f>(VLOOKUP('14.05'!Q13,'14.05'!$AM$4:$AP$55,4,FALSE))</f>
        <v>10</v>
      </c>
      <c r="J13" s="4">
        <f>(VLOOKUP('14.05'!R13,'14.05'!$AM$4:$AP$55,4,FALSE))</f>
        <v>34</v>
      </c>
      <c r="K13" s="4">
        <f>(VLOOKUP('14.05'!S13,'14.05'!$AM$4:$AP$55,4,FALSE))</f>
        <v>34</v>
      </c>
      <c r="L13" s="4">
        <f>(VLOOKUP('14.05'!T13,'14.05'!$AM$4:$AP$55,4,FALSE))</f>
        <v>34</v>
      </c>
      <c r="M13" s="4">
        <f>(VLOOKUP('14.05'!U13,'14.05'!$AM$4:$AP$55,4,FALSE))</f>
        <v>34</v>
      </c>
      <c r="N13" s="4">
        <f>(VLOOKUP('14.05'!V13,'14.05'!$AM$4:$AP$55,4,FALSE))</f>
        <v>34</v>
      </c>
      <c r="O13" s="4">
        <f>(VLOOKUP('14.05'!W13,'14.05'!$AM$4:$AP$55,4,FALSE))</f>
        <v>0</v>
      </c>
      <c r="P13" s="4">
        <f>(VLOOKUP('14.05'!X13,'14.05'!$AM$4:$AP$55,4,FALSE))</f>
        <v>0</v>
      </c>
      <c r="Q13" s="4">
        <f>(VLOOKUP('14.05'!Y13,'14.05'!$AM$4:$AP$55,4,FALSE))</f>
        <v>34</v>
      </c>
      <c r="R13" s="4">
        <f>(VLOOKUP('14.05'!Z13,'14.05'!$AM$4:$AP$55,4,FALSE))</f>
        <v>34</v>
      </c>
      <c r="S13" s="4">
        <f>(VLOOKUP('14.05'!AA13,'14.05'!$AM$4:$AP$55,4,FALSE))</f>
        <v>13.999854933178597</v>
      </c>
      <c r="T13" s="4">
        <f>(VLOOKUP('14.05'!AB13,'14.05'!$AM$4:$AP$55,4,FALSE))</f>
        <v>0</v>
      </c>
      <c r="U13" s="4">
        <f>(VLOOKUP('14.05'!AC13,'14.05'!$AM$4:$AP$55,4,FALSE))</f>
        <v>0</v>
      </c>
      <c r="V13" s="4">
        <f>(VLOOKUP('14.05'!AD13,'14.05'!$AM$4:$AP$55,4,FALSE))</f>
        <v>0</v>
      </c>
      <c r="W13" s="4">
        <f>(VLOOKUP('14.05'!AE13,'14.05'!$AM$4:$AP$55,4,FALSE))</f>
        <v>0</v>
      </c>
      <c r="X13" s="4">
        <f>(VLOOKUP('14.05'!AF13,'14.05'!$AM$4:$AP$55,4,FALSE))</f>
        <v>0</v>
      </c>
    </row>
    <row r="14" spans="1:24">
      <c r="A14" s="4">
        <f>(VLOOKUP('14.05'!I14,'14.05'!$AM$4:$AP$55,4,FALSE))</f>
        <v>36</v>
      </c>
      <c r="B14" s="4">
        <f>(VLOOKUP('14.05'!J14,'14.05'!$AM$4:$AP$55,4,FALSE))</f>
        <v>36</v>
      </c>
      <c r="C14" s="4">
        <f>(VLOOKUP('14.05'!K14,'14.05'!$AM$4:$AP$55,4,FALSE))</f>
        <v>36</v>
      </c>
      <c r="D14" s="4">
        <f>(VLOOKUP('14.05'!L14,'14.05'!$AM$4:$AP$55,4,FALSE))</f>
        <v>36</v>
      </c>
      <c r="E14" s="4">
        <f>(VLOOKUP('14.05'!M14,'14.05'!$AM$4:$AP$55,4,FALSE))</f>
        <v>36</v>
      </c>
      <c r="F14" s="4">
        <f>(VLOOKUP('14.05'!N14,'14.05'!$AM$4:$AP$55,4,FALSE))</f>
        <v>36</v>
      </c>
      <c r="G14" s="4">
        <f>(VLOOKUP('14.05'!O14,'14.05'!$AM$4:$AP$55,4,FALSE))</f>
        <v>0</v>
      </c>
      <c r="H14" s="4">
        <f>(VLOOKUP('14.05'!P14,'14.05'!$AM$4:$AP$55,4,FALSE))</f>
        <v>0</v>
      </c>
      <c r="I14" s="4">
        <f>(VLOOKUP('14.05'!Q14,'14.05'!$AM$4:$AP$55,4,FALSE))</f>
        <v>10</v>
      </c>
      <c r="J14" s="4">
        <f>(VLOOKUP('14.05'!R14,'14.05'!$AM$4:$AP$55,4,FALSE))</f>
        <v>34</v>
      </c>
      <c r="K14" s="4">
        <f>(VLOOKUP('14.05'!S14,'14.05'!$AM$4:$AP$55,4,FALSE))</f>
        <v>34</v>
      </c>
      <c r="L14" s="4">
        <f>(VLOOKUP('14.05'!T14,'14.05'!$AM$4:$AP$55,4,FALSE))</f>
        <v>34</v>
      </c>
      <c r="M14" s="4">
        <f>(VLOOKUP('14.05'!U14,'14.05'!$AM$4:$AP$55,4,FALSE))</f>
        <v>10</v>
      </c>
      <c r="N14" s="4">
        <f>(VLOOKUP('14.05'!V14,'14.05'!$AM$4:$AP$55,4,FALSE))</f>
        <v>34</v>
      </c>
      <c r="O14" s="4">
        <f>(VLOOKUP('14.05'!W14,'14.05'!$AM$4:$AP$55,4,FALSE))</f>
        <v>0</v>
      </c>
      <c r="P14" s="4">
        <f>(VLOOKUP('14.05'!X14,'14.05'!$AM$4:$AP$55,4,FALSE))</f>
        <v>0</v>
      </c>
      <c r="Q14" s="4">
        <f>(VLOOKUP('14.05'!Y14,'14.05'!$AM$4:$AP$55,4,FALSE))</f>
        <v>36</v>
      </c>
      <c r="R14" s="4">
        <f>(VLOOKUP('14.05'!Z14,'14.05'!$AM$4:$AP$55,4,FALSE))</f>
        <v>36</v>
      </c>
      <c r="S14" s="4">
        <f>(VLOOKUP('14.05'!AA14,'14.05'!$AM$4:$AP$55,4,FALSE))</f>
        <v>36</v>
      </c>
      <c r="T14" s="4">
        <f>(VLOOKUP('14.05'!AB14,'14.05'!$AM$4:$AP$55,4,FALSE))</f>
        <v>36</v>
      </c>
      <c r="U14" s="4">
        <f>(VLOOKUP('14.05'!AC14,'14.05'!$AM$4:$AP$55,4,FALSE))</f>
        <v>36</v>
      </c>
      <c r="V14" s="4">
        <f>(VLOOKUP('14.05'!AD14,'14.05'!$AM$4:$AP$55,4,FALSE))</f>
        <v>36</v>
      </c>
      <c r="W14" s="4">
        <f>(VLOOKUP('14.05'!AE14,'14.05'!$AM$4:$AP$55,4,FALSE))</f>
        <v>0</v>
      </c>
      <c r="X14" s="4">
        <f>(VLOOKUP('14.05'!AF14,'14.05'!$AM$4:$AP$55,4,FALSE))</f>
        <v>0</v>
      </c>
    </row>
    <row r="15" spans="1:24">
      <c r="A15" s="4">
        <f>(VLOOKUP('14.05'!I15,'14.05'!$AM$4:$AP$55,4,FALSE))</f>
        <v>36</v>
      </c>
      <c r="B15" s="4">
        <f>(VLOOKUP('14.05'!J15,'14.05'!$AM$4:$AP$55,4,FALSE))</f>
        <v>36</v>
      </c>
      <c r="C15" s="4">
        <f>(VLOOKUP('14.05'!K15,'14.05'!$AM$4:$AP$55,4,FALSE))</f>
        <v>36</v>
      </c>
      <c r="D15" s="4">
        <f>(VLOOKUP('14.05'!L15,'14.05'!$AM$4:$AP$55,4,FALSE))</f>
        <v>36</v>
      </c>
      <c r="E15" s="4">
        <f>(VLOOKUP('14.05'!M15,'14.05'!$AM$4:$AP$55,4,FALSE))</f>
        <v>36</v>
      </c>
      <c r="F15" s="4">
        <f>(VLOOKUP('14.05'!N15,'14.05'!$AM$4:$AP$55,4,FALSE))</f>
        <v>36</v>
      </c>
      <c r="G15" s="4">
        <f>(VLOOKUP('14.05'!O15,'14.05'!$AM$4:$AP$55,4,FALSE))</f>
        <v>0</v>
      </c>
      <c r="H15" s="4">
        <f>(VLOOKUP('14.05'!P15,'14.05'!$AM$4:$AP$55,4,FALSE))</f>
        <v>0</v>
      </c>
      <c r="I15" s="4">
        <f>(VLOOKUP('14.05'!Q15,'14.05'!$AM$4:$AP$55,4,FALSE))</f>
        <v>34</v>
      </c>
      <c r="J15" s="4">
        <f>(VLOOKUP('14.05'!R15,'14.05'!$AM$4:$AP$55,4,FALSE))</f>
        <v>34</v>
      </c>
      <c r="K15" s="4">
        <f>(VLOOKUP('14.05'!S15,'14.05'!$AM$4:$AP$55,4,FALSE))</f>
        <v>34</v>
      </c>
      <c r="L15" s="4">
        <f>(VLOOKUP('14.05'!T15,'14.05'!$AM$4:$AP$55,4,FALSE))</f>
        <v>34</v>
      </c>
      <c r="M15" s="4">
        <f>(VLOOKUP('14.05'!U15,'14.05'!$AM$4:$AP$55,4,FALSE))</f>
        <v>34</v>
      </c>
      <c r="N15" s="4">
        <f>(VLOOKUP('14.05'!V15,'14.05'!$AM$4:$AP$55,4,FALSE))</f>
        <v>34</v>
      </c>
      <c r="O15" s="4">
        <f>(VLOOKUP('14.05'!W15,'14.05'!$AM$4:$AP$55,4,FALSE))</f>
        <v>0</v>
      </c>
      <c r="P15" s="4">
        <f>(VLOOKUP('14.05'!X15,'14.05'!$AM$4:$AP$55,4,FALSE))</f>
        <v>0</v>
      </c>
      <c r="Q15" s="4">
        <f>(VLOOKUP('14.05'!Y15,'14.05'!$AM$4:$AP$55,4,FALSE))</f>
        <v>36</v>
      </c>
      <c r="R15" s="4">
        <f>(VLOOKUP('14.05'!Z15,'14.05'!$AM$4:$AP$55,4,FALSE))</f>
        <v>36</v>
      </c>
      <c r="S15" s="4">
        <f>(VLOOKUP('14.05'!AA15,'14.05'!$AM$4:$AP$55,4,FALSE))</f>
        <v>36</v>
      </c>
      <c r="T15" s="4">
        <f>(VLOOKUP('14.05'!AB15,'14.05'!$AM$4:$AP$55,4,FALSE))</f>
        <v>36</v>
      </c>
      <c r="U15" s="4">
        <f>(VLOOKUP('14.05'!AC15,'14.05'!$AM$4:$AP$55,4,FALSE))</f>
        <v>36</v>
      </c>
      <c r="V15" s="4">
        <f>(VLOOKUP('14.05'!AD15,'14.05'!$AM$4:$AP$55,4,FALSE))</f>
        <v>36</v>
      </c>
      <c r="W15" s="4">
        <f>(VLOOKUP('14.05'!AE15,'14.05'!$AM$4:$AP$55,4,FALSE))</f>
        <v>0</v>
      </c>
      <c r="X15" s="4">
        <f>(VLOOKUP('14.05'!AF15,'14.05'!$AM$4:$AP$55,4,FALSE))</f>
        <v>0</v>
      </c>
    </row>
    <row r="16" spans="1:24">
      <c r="A16" s="4">
        <f>(VLOOKUP('14.05'!I16,'14.05'!$AM$4:$AP$55,4,FALSE))</f>
        <v>36</v>
      </c>
      <c r="B16" s="4">
        <f>(VLOOKUP('14.05'!J16,'14.05'!$AM$4:$AP$55,4,FALSE))</f>
        <v>36</v>
      </c>
      <c r="C16" s="4">
        <f>(VLOOKUP('14.05'!K16,'14.05'!$AM$4:$AP$55,4,FALSE))</f>
        <v>36</v>
      </c>
      <c r="D16" s="4">
        <f>(VLOOKUP('14.05'!L16,'14.05'!$AM$4:$AP$55,4,FALSE))</f>
        <v>36</v>
      </c>
      <c r="E16" s="4">
        <f>(VLOOKUP('14.05'!M16,'14.05'!$AM$4:$AP$55,4,FALSE))</f>
        <v>36</v>
      </c>
      <c r="F16" s="4">
        <f>(VLOOKUP('14.05'!N16,'14.05'!$AM$4:$AP$55,4,FALSE))</f>
        <v>36</v>
      </c>
      <c r="G16" s="4">
        <f>(VLOOKUP('14.05'!O16,'14.05'!$AM$4:$AP$55,4,FALSE))</f>
        <v>0</v>
      </c>
      <c r="H16" s="4">
        <f>(VLOOKUP('14.05'!P16,'14.05'!$AM$4:$AP$55,4,FALSE))</f>
        <v>0</v>
      </c>
      <c r="I16" s="4">
        <f>(VLOOKUP('14.05'!Q16,'14.05'!$AM$4:$AP$55,4,FALSE))</f>
        <v>34</v>
      </c>
      <c r="J16" s="4">
        <f>(VLOOKUP('14.05'!R16,'14.05'!$AM$4:$AP$55,4,FALSE))</f>
        <v>34</v>
      </c>
      <c r="K16" s="4">
        <f>(VLOOKUP('14.05'!S16,'14.05'!$AM$4:$AP$55,4,FALSE))</f>
        <v>34</v>
      </c>
      <c r="L16" s="4">
        <f>(VLOOKUP('14.05'!T16,'14.05'!$AM$4:$AP$55,4,FALSE))</f>
        <v>34</v>
      </c>
      <c r="M16" s="4">
        <f>(VLOOKUP('14.05'!U16,'14.05'!$AM$4:$AP$55,4,FALSE))</f>
        <v>34</v>
      </c>
      <c r="N16" s="4">
        <f>(VLOOKUP('14.05'!V16,'14.05'!$AM$4:$AP$55,4,FALSE))</f>
        <v>34</v>
      </c>
      <c r="O16" s="4">
        <f>(VLOOKUP('14.05'!W16,'14.05'!$AM$4:$AP$55,4,FALSE))</f>
        <v>0</v>
      </c>
      <c r="P16" s="4">
        <f>(VLOOKUP('14.05'!X16,'14.05'!$AM$4:$AP$55,4,FALSE))</f>
        <v>0</v>
      </c>
      <c r="Q16" s="4">
        <f>(VLOOKUP('14.05'!Y16,'14.05'!$AM$4:$AP$55,4,FALSE))</f>
        <v>36</v>
      </c>
      <c r="R16" s="4">
        <f>(VLOOKUP('14.05'!Z16,'14.05'!$AM$4:$AP$55,4,FALSE))</f>
        <v>0</v>
      </c>
      <c r="S16" s="4">
        <f>(VLOOKUP('14.05'!AA16,'14.05'!$AM$4:$AP$55,4,FALSE))</f>
        <v>36</v>
      </c>
      <c r="T16" s="4">
        <f>(VLOOKUP('14.05'!AB16,'14.05'!$AM$4:$AP$55,4,FALSE))</f>
        <v>36</v>
      </c>
      <c r="U16" s="4">
        <f>(VLOOKUP('14.05'!AC16,'14.05'!$AM$4:$AP$55,4,FALSE))</f>
        <v>36</v>
      </c>
      <c r="V16" s="4">
        <f>(VLOOKUP('14.05'!AD16,'14.05'!$AM$4:$AP$55,4,FALSE))</f>
        <v>36</v>
      </c>
      <c r="W16" s="4">
        <f>(VLOOKUP('14.05'!AE16,'14.05'!$AM$4:$AP$55,4,FALSE))</f>
        <v>0</v>
      </c>
      <c r="X16" s="4">
        <f>(VLOOKUP('14.05'!AF16,'14.05'!$AM$4:$AP$55,4,FALSE))</f>
        <v>0</v>
      </c>
    </row>
    <row r="17" spans="1:24">
      <c r="A17" s="4">
        <f>(VLOOKUP('14.05'!I17,'14.05'!$AM$4:$AP$55,4,FALSE))</f>
        <v>36</v>
      </c>
      <c r="B17" s="4">
        <f>(VLOOKUP('14.05'!J17,'14.05'!$AM$4:$AP$55,4,FALSE))</f>
        <v>36</v>
      </c>
      <c r="C17" s="4">
        <f>(VLOOKUP('14.05'!K17,'14.05'!$AM$4:$AP$55,4,FALSE))</f>
        <v>36</v>
      </c>
      <c r="D17" s="4">
        <f>(VLOOKUP('14.05'!L17,'14.05'!$AM$4:$AP$55,4,FALSE))</f>
        <v>36</v>
      </c>
      <c r="E17" s="4">
        <f>(VLOOKUP('14.05'!M17,'14.05'!$AM$4:$AP$55,4,FALSE))</f>
        <v>36</v>
      </c>
      <c r="F17" s="4">
        <f>(VLOOKUP('14.05'!N17,'14.05'!$AM$4:$AP$55,4,FALSE))</f>
        <v>36</v>
      </c>
      <c r="G17" s="4">
        <f>(VLOOKUP('14.05'!O17,'14.05'!$AM$4:$AP$55,4,FALSE))</f>
        <v>0</v>
      </c>
      <c r="H17" s="4">
        <f>(VLOOKUP('14.05'!P17,'14.05'!$AM$4:$AP$55,4,FALSE))</f>
        <v>0</v>
      </c>
      <c r="I17" s="4">
        <f>(VLOOKUP('14.05'!Q17,'14.05'!$AM$4:$AP$55,4,FALSE))</f>
        <v>13.999854933178597</v>
      </c>
      <c r="J17" s="4">
        <f>(VLOOKUP('14.05'!R17,'14.05'!$AM$4:$AP$55,4,FALSE))</f>
        <v>34</v>
      </c>
      <c r="K17" s="4">
        <f>(VLOOKUP('14.05'!S17,'14.05'!$AM$4:$AP$55,4,FALSE))</f>
        <v>34</v>
      </c>
      <c r="L17" s="4">
        <f>(VLOOKUP('14.05'!T17,'14.05'!$AM$4:$AP$55,4,FALSE))</f>
        <v>0</v>
      </c>
      <c r="M17" s="4">
        <f>(VLOOKUP('14.05'!U17,'14.05'!$AM$4:$AP$55,4,FALSE))</f>
        <v>0</v>
      </c>
      <c r="N17" s="4">
        <f>(VLOOKUP('14.05'!V17,'14.05'!$AM$4:$AP$55,4,FALSE))</f>
        <v>0</v>
      </c>
      <c r="O17" s="4">
        <f>(VLOOKUP('14.05'!W17,'14.05'!$AM$4:$AP$55,4,FALSE))</f>
        <v>0</v>
      </c>
      <c r="P17" s="4">
        <f>(VLOOKUP('14.05'!X17,'14.05'!$AM$4:$AP$55,4,FALSE))</f>
        <v>0</v>
      </c>
      <c r="Q17" s="4">
        <f>(VLOOKUP('14.05'!Y17,'14.05'!$AM$4:$AP$55,4,FALSE))</f>
        <v>36</v>
      </c>
      <c r="R17" s="4">
        <f>(VLOOKUP('14.05'!Z17,'14.05'!$AM$4:$AP$55,4,FALSE))</f>
        <v>36</v>
      </c>
      <c r="S17" s="4">
        <f>(VLOOKUP('14.05'!AA17,'14.05'!$AM$4:$AP$55,4,FALSE))</f>
        <v>36</v>
      </c>
      <c r="T17" s="4">
        <f>(VLOOKUP('14.05'!AB17,'14.05'!$AM$4:$AP$55,4,FALSE))</f>
        <v>36</v>
      </c>
      <c r="U17" s="4">
        <f>(VLOOKUP('14.05'!AC17,'14.05'!$AM$4:$AP$55,4,FALSE))</f>
        <v>36</v>
      </c>
      <c r="V17" s="4">
        <f>(VLOOKUP('14.05'!AD17,'14.05'!$AM$4:$AP$55,4,FALSE))</f>
        <v>36</v>
      </c>
      <c r="W17" s="4">
        <f>(VLOOKUP('14.05'!AE17,'14.05'!$AM$4:$AP$55,4,FALSE))</f>
        <v>0</v>
      </c>
      <c r="X17" s="4">
        <f>(VLOOKUP('14.05'!AF17,'14.05'!$AM$4:$AP$55,4,FALSE))</f>
        <v>0</v>
      </c>
    </row>
    <row r="18" spans="1:24">
      <c r="A18" s="4">
        <f>(VLOOKUP('14.05'!I18,'14.05'!$AM$4:$AP$55,4,FALSE))</f>
        <v>36</v>
      </c>
      <c r="B18" s="4">
        <f>(VLOOKUP('14.05'!J18,'14.05'!$AM$4:$AP$55,4,FALSE))</f>
        <v>36</v>
      </c>
      <c r="C18" s="4">
        <f>(VLOOKUP('14.05'!K18,'14.05'!$AM$4:$AP$55,4,FALSE))</f>
        <v>36</v>
      </c>
      <c r="D18" s="4">
        <f>(VLOOKUP('14.05'!L18,'14.05'!$AM$4:$AP$55,4,FALSE))</f>
        <v>36</v>
      </c>
      <c r="E18" s="4">
        <f>(VLOOKUP('14.05'!M18,'14.05'!$AM$4:$AP$55,4,FALSE))</f>
        <v>36</v>
      </c>
      <c r="F18" s="4">
        <f>(VLOOKUP('14.05'!N18,'14.05'!$AM$4:$AP$55,4,FALSE))</f>
        <v>38</v>
      </c>
      <c r="G18" s="4">
        <f>(VLOOKUP('14.05'!O18,'14.05'!$AM$4:$AP$55,4,FALSE))</f>
        <v>0</v>
      </c>
      <c r="H18" s="4">
        <f>(VLOOKUP('14.05'!P18,'14.05'!$AM$4:$AP$55,4,FALSE))</f>
        <v>0</v>
      </c>
      <c r="I18" s="4">
        <f>(VLOOKUP('14.05'!Q18,'14.05'!$AM$4:$AP$55,4,FALSE))</f>
        <v>0</v>
      </c>
      <c r="J18" s="4">
        <f>(VLOOKUP('14.05'!R18,'14.05'!$AM$4:$AP$55,4,FALSE))</f>
        <v>0</v>
      </c>
      <c r="K18" s="4">
        <f>(VLOOKUP('14.05'!S18,'14.05'!$AM$4:$AP$55,4,FALSE))</f>
        <v>0</v>
      </c>
      <c r="L18" s="4">
        <f>(VLOOKUP('14.05'!T18,'14.05'!$AM$4:$AP$55,4,FALSE))</f>
        <v>0</v>
      </c>
      <c r="M18" s="4">
        <f>(VLOOKUP('14.05'!U18,'14.05'!$AM$4:$AP$55,4,FALSE))</f>
        <v>0</v>
      </c>
      <c r="N18" s="4">
        <f>(VLOOKUP('14.05'!V18,'14.05'!$AM$4:$AP$55,4,FALSE))</f>
        <v>0</v>
      </c>
      <c r="O18" s="4">
        <f>(VLOOKUP('14.05'!W18,'14.05'!$AM$4:$AP$55,4,FALSE))</f>
        <v>0</v>
      </c>
      <c r="P18" s="4">
        <f>(VLOOKUP('14.05'!X18,'14.05'!$AM$4:$AP$55,4,FALSE))</f>
        <v>0</v>
      </c>
      <c r="Q18" s="4">
        <f>(VLOOKUP('14.05'!Y18,'14.05'!$AM$4:$AP$55,4,FALSE))</f>
        <v>36</v>
      </c>
      <c r="R18" s="4">
        <f>(VLOOKUP('14.05'!Z18,'14.05'!$AM$4:$AP$55,4,FALSE))</f>
        <v>36</v>
      </c>
      <c r="S18" s="4">
        <f>(VLOOKUP('14.05'!AA18,'14.05'!$AM$4:$AP$55,4,FALSE))</f>
        <v>36</v>
      </c>
      <c r="T18" s="4">
        <f>(VLOOKUP('14.05'!AB18,'14.05'!$AM$4:$AP$55,4,FALSE))</f>
        <v>38</v>
      </c>
      <c r="U18" s="4">
        <f>(VLOOKUP('14.05'!AC18,'14.05'!$AM$4:$AP$55,4,FALSE))</f>
        <v>38</v>
      </c>
      <c r="V18" s="4">
        <f>(VLOOKUP('14.05'!AD18,'14.05'!$AM$4:$AP$55,4,FALSE))</f>
        <v>38</v>
      </c>
      <c r="W18" s="4">
        <f>(VLOOKUP('14.05'!AE18,'14.05'!$AM$4:$AP$55,4,FALSE))</f>
        <v>0</v>
      </c>
      <c r="X18" s="4">
        <f>(VLOOKUP('14.05'!AF18,'14.05'!$AM$4:$AP$55,4,FALSE))</f>
        <v>0</v>
      </c>
    </row>
    <row r="19" spans="1:24">
      <c r="A19" s="4">
        <f>(VLOOKUP('14.05'!I19,'14.05'!$AM$4:$AP$55,4,FALSE))</f>
        <v>38</v>
      </c>
      <c r="B19" s="4">
        <f>(VLOOKUP('14.05'!J19,'14.05'!$AM$4:$AP$55,4,FALSE))</f>
        <v>38</v>
      </c>
      <c r="C19" s="4">
        <f>(VLOOKUP('14.05'!K19,'14.05'!$AM$4:$AP$55,4,FALSE))</f>
        <v>38</v>
      </c>
      <c r="D19" s="4">
        <f>(VLOOKUP('14.05'!L19,'14.05'!$AM$4:$AP$55,4,FALSE))</f>
        <v>38</v>
      </c>
      <c r="E19" s="4">
        <f>(VLOOKUP('14.05'!M19,'14.05'!$AM$4:$AP$55,4,FALSE))</f>
        <v>38</v>
      </c>
      <c r="F19" s="4">
        <f>(VLOOKUP('14.05'!N19,'14.05'!$AM$4:$AP$55,4,FALSE))</f>
        <v>38</v>
      </c>
      <c r="G19" s="4">
        <f>(VLOOKUP('14.05'!O19,'14.05'!$AM$4:$AP$55,4,FALSE))</f>
        <v>0</v>
      </c>
      <c r="H19" s="4">
        <f>(VLOOKUP('14.05'!P19,'14.05'!$AM$4:$AP$55,4,FALSE))</f>
        <v>0</v>
      </c>
      <c r="I19" s="4">
        <f>(VLOOKUP('14.05'!Q19,'14.05'!$AM$4:$AP$55,4,FALSE))</f>
        <v>0</v>
      </c>
      <c r="J19" s="4">
        <f>(VLOOKUP('14.05'!R19,'14.05'!$AM$4:$AP$55,4,FALSE))</f>
        <v>0</v>
      </c>
      <c r="K19" s="4">
        <f>(VLOOKUP('14.05'!S19,'14.05'!$AM$4:$AP$55,4,FALSE))</f>
        <v>0</v>
      </c>
      <c r="L19" s="4">
        <f>(VLOOKUP('14.05'!T19,'14.05'!$AM$4:$AP$55,4,FALSE))</f>
        <v>0</v>
      </c>
      <c r="M19" s="4">
        <f>(VLOOKUP('14.05'!U19,'14.05'!$AM$4:$AP$55,4,FALSE))</f>
        <v>0</v>
      </c>
      <c r="N19" s="4">
        <f>(VLOOKUP('14.05'!V19,'14.05'!$AM$4:$AP$55,4,FALSE))</f>
        <v>0</v>
      </c>
      <c r="O19" s="4">
        <f>(VLOOKUP('14.05'!W19,'14.05'!$AM$4:$AP$55,4,FALSE))</f>
        <v>0</v>
      </c>
      <c r="P19" s="4">
        <f>(VLOOKUP('14.05'!X19,'14.05'!$AM$4:$AP$55,4,FALSE))</f>
        <v>0</v>
      </c>
      <c r="Q19" s="4">
        <f>(VLOOKUP('14.05'!Y19,'14.05'!$AM$4:$AP$55,4,FALSE))</f>
        <v>38</v>
      </c>
      <c r="R19" s="4">
        <f>(VLOOKUP('14.05'!Z19,'14.05'!$AM$4:$AP$55,4,FALSE))</f>
        <v>38</v>
      </c>
      <c r="S19" s="4">
        <f>(VLOOKUP('14.05'!AA19,'14.05'!$AM$4:$AP$55,4,FALSE))</f>
        <v>38</v>
      </c>
      <c r="T19" s="4">
        <f>(VLOOKUP('14.05'!AB19,'14.05'!$AM$4:$AP$55,4,FALSE))</f>
        <v>38</v>
      </c>
      <c r="U19" s="4">
        <f>(VLOOKUP('14.05'!AC19,'14.05'!$AM$4:$AP$55,4,FALSE))</f>
        <v>38</v>
      </c>
      <c r="V19" s="4">
        <f>(VLOOKUP('14.05'!AD19,'14.05'!$AM$4:$AP$55,4,FALSE))</f>
        <v>38</v>
      </c>
      <c r="W19" s="4">
        <f>(VLOOKUP('14.05'!AE19,'14.05'!$AM$4:$AP$55,4,FALSE))</f>
        <v>0</v>
      </c>
      <c r="X19" s="4">
        <f>(VLOOKUP('14.05'!AF19,'14.05'!$AM$4:$AP$55,4,FALSE))</f>
        <v>0</v>
      </c>
    </row>
    <row r="20" spans="1:24">
      <c r="A20" s="4">
        <f>(VLOOKUP('14.05'!I20,'14.05'!$AM$4:$AP$55,4,FALSE))</f>
        <v>10</v>
      </c>
      <c r="B20" s="4">
        <f>(VLOOKUP('14.05'!J20,'14.05'!$AM$4:$AP$55,4,FALSE))</f>
        <v>38</v>
      </c>
      <c r="C20" s="4">
        <f>(VLOOKUP('14.05'!K20,'14.05'!$AM$4:$AP$55,4,FALSE))</f>
        <v>38</v>
      </c>
      <c r="D20" s="4">
        <f>(VLOOKUP('14.05'!L20,'14.05'!$AM$4:$AP$55,4,FALSE))</f>
        <v>38</v>
      </c>
      <c r="E20" s="4">
        <f>(VLOOKUP('14.05'!M20,'14.05'!$AM$4:$AP$55,4,FALSE))</f>
        <v>0</v>
      </c>
      <c r="F20" s="4">
        <f>(VLOOKUP('14.05'!N20,'14.05'!$AM$4:$AP$55,4,FALSE))</f>
        <v>38</v>
      </c>
      <c r="G20" s="4">
        <f>(VLOOKUP('14.05'!O20,'14.05'!$AM$4:$AP$55,4,FALSE))</f>
        <v>0</v>
      </c>
      <c r="H20" s="4">
        <f>(VLOOKUP('14.05'!P20,'14.05'!$AM$4:$AP$55,4,FALSE))</f>
        <v>0</v>
      </c>
      <c r="I20" s="4">
        <f>(VLOOKUP('14.05'!Q20,'14.05'!$AM$4:$AP$55,4,FALSE))</f>
        <v>0</v>
      </c>
      <c r="J20" s="4">
        <f>(VLOOKUP('14.05'!R20,'14.05'!$AM$4:$AP$55,4,FALSE))</f>
        <v>0</v>
      </c>
      <c r="K20" s="4">
        <f>(VLOOKUP('14.05'!S20,'14.05'!$AM$4:$AP$55,4,FALSE))</f>
        <v>0</v>
      </c>
      <c r="L20" s="4">
        <f>(VLOOKUP('14.05'!T20,'14.05'!$AM$4:$AP$55,4,FALSE))</f>
        <v>0</v>
      </c>
      <c r="M20" s="4">
        <f>(VLOOKUP('14.05'!U20,'14.05'!$AM$4:$AP$55,4,FALSE))</f>
        <v>0</v>
      </c>
      <c r="N20" s="4">
        <f>(VLOOKUP('14.05'!V20,'14.05'!$AM$4:$AP$55,4,FALSE))</f>
        <v>0</v>
      </c>
      <c r="O20" s="4">
        <f>(VLOOKUP('14.05'!W20,'14.05'!$AM$4:$AP$55,4,FALSE))</f>
        <v>0</v>
      </c>
      <c r="P20" s="4">
        <f>(VLOOKUP('14.05'!X20,'14.05'!$AM$4:$AP$55,4,FALSE))</f>
        <v>0</v>
      </c>
      <c r="Q20" s="4">
        <f>(VLOOKUP('14.05'!Y20,'14.05'!$AM$4:$AP$55,4,FALSE))</f>
        <v>38</v>
      </c>
      <c r="R20" s="4">
        <f>(VLOOKUP('14.05'!Z20,'14.05'!$AM$4:$AP$55,4,FALSE))</f>
        <v>38</v>
      </c>
      <c r="S20" s="4">
        <f>(VLOOKUP('14.05'!AA20,'14.05'!$AM$4:$AP$55,4,FALSE))</f>
        <v>10</v>
      </c>
      <c r="T20" s="4">
        <f>(VLOOKUP('14.05'!AB20,'14.05'!$AM$4:$AP$55,4,FALSE))</f>
        <v>38</v>
      </c>
      <c r="U20" s="4">
        <f>(VLOOKUP('14.05'!AC20,'14.05'!$AM$4:$AP$55,4,FALSE))</f>
        <v>0</v>
      </c>
      <c r="V20" s="4">
        <f>(VLOOKUP('14.05'!AD20,'14.05'!$AM$4:$AP$55,4,FALSE))</f>
        <v>0</v>
      </c>
      <c r="W20" s="4">
        <f>(VLOOKUP('14.05'!AE20,'14.05'!$AM$4:$AP$55,4,FALSE))</f>
        <v>0</v>
      </c>
      <c r="X20" s="4">
        <f>(VLOOKUP('14.05'!AF20,'14.05'!$AM$4:$AP$55,4,FALSE))</f>
        <v>0</v>
      </c>
    </row>
    <row r="21" spans="1:24">
      <c r="A21" s="4">
        <f>(VLOOKUP('14.05'!I21,'14.05'!$AM$4:$AP$55,4,FALSE))</f>
        <v>38</v>
      </c>
      <c r="B21" s="4">
        <f>(VLOOKUP('14.05'!J21,'14.05'!$AM$4:$AP$55,4,FALSE))</f>
        <v>38</v>
      </c>
      <c r="C21" s="4">
        <f>(VLOOKUP('14.05'!K21,'14.05'!$AM$4:$AP$55,4,FALSE))</f>
        <v>0</v>
      </c>
      <c r="D21" s="4">
        <f>(VLOOKUP('14.05'!L21,'14.05'!$AM$4:$AP$55,4,FALSE))</f>
        <v>0</v>
      </c>
      <c r="E21" s="4">
        <f>(VLOOKUP('14.05'!M21,'14.05'!$AM$4:$AP$55,4,FALSE))</f>
        <v>0</v>
      </c>
      <c r="F21" s="4">
        <f>(VLOOKUP('14.05'!N21,'14.05'!$AM$4:$AP$55,4,FALSE))</f>
        <v>0</v>
      </c>
      <c r="G21" s="4">
        <f>(VLOOKUP('14.05'!O21,'14.05'!$AM$4:$AP$55,4,FALSE))</f>
        <v>0</v>
      </c>
      <c r="H21" s="4">
        <f>(VLOOKUP('14.05'!P21,'14.05'!$AM$4:$AP$55,4,FALSE))</f>
        <v>0</v>
      </c>
      <c r="I21" s="4">
        <f>(VLOOKUP('14.05'!Q21,'14.05'!$AM$4:$AP$55,4,FALSE))</f>
        <v>36</v>
      </c>
      <c r="J21" s="4">
        <f>(VLOOKUP('14.05'!R21,'14.05'!$AM$4:$AP$55,4,FALSE))</f>
        <v>36</v>
      </c>
      <c r="K21" s="4">
        <f>(VLOOKUP('14.05'!S21,'14.05'!$AM$4:$AP$55,4,FALSE))</f>
        <v>36</v>
      </c>
      <c r="L21" s="4">
        <f>(VLOOKUP('14.05'!T21,'14.05'!$AM$4:$AP$55,4,FALSE))</f>
        <v>36</v>
      </c>
      <c r="M21" s="4">
        <f>(VLOOKUP('14.05'!U21,'14.05'!$AM$4:$AP$55,4,FALSE))</f>
        <v>36</v>
      </c>
      <c r="N21" s="4">
        <f>(VLOOKUP('14.05'!V21,'14.05'!$AM$4:$AP$55,4,FALSE))</f>
        <v>34</v>
      </c>
      <c r="O21" s="4">
        <f>(VLOOKUP('14.05'!W21,'14.05'!$AM$4:$AP$55,4,FALSE))</f>
        <v>0</v>
      </c>
      <c r="P21" s="4">
        <f>(VLOOKUP('14.05'!X21,'14.05'!$AM$4:$AP$55,4,FALSE))</f>
        <v>0</v>
      </c>
      <c r="Q21" s="4">
        <f>(VLOOKUP('14.05'!Y21,'14.05'!$AM$4:$AP$55,4,FALSE))</f>
        <v>0</v>
      </c>
      <c r="R21" s="4">
        <f>(VLOOKUP('14.05'!Z21,'14.05'!$AM$4:$AP$55,4,FALSE))</f>
        <v>0</v>
      </c>
      <c r="S21" s="4">
        <f>(VLOOKUP('14.05'!AA21,'14.05'!$AM$4:$AP$55,4,FALSE))</f>
        <v>0</v>
      </c>
      <c r="T21" s="4">
        <f>(VLOOKUP('14.05'!AB21,'14.05'!$AM$4:$AP$55,4,FALSE))</f>
        <v>0</v>
      </c>
      <c r="U21" s="4">
        <f>(VLOOKUP('14.05'!AC21,'14.05'!$AM$4:$AP$55,4,FALSE))</f>
        <v>0</v>
      </c>
      <c r="V21" s="4">
        <f>(VLOOKUP('14.05'!AD21,'14.05'!$AM$4:$AP$55,4,FALSE))</f>
        <v>0</v>
      </c>
      <c r="W21" s="4">
        <f>(VLOOKUP('14.05'!AE21,'14.05'!$AM$4:$AP$55,4,FALSE))</f>
        <v>0</v>
      </c>
      <c r="X21" s="4">
        <f>(VLOOKUP('14.05'!AF21,'14.05'!$AM$4:$AP$55,4,FALSE))</f>
        <v>0</v>
      </c>
    </row>
    <row r="22" spans="1:24">
      <c r="A22" s="4">
        <f>(VLOOKUP('14.05'!I22,'14.05'!$AM$4:$AP$55,4,FALSE))</f>
        <v>0</v>
      </c>
      <c r="B22" s="4">
        <f>(VLOOKUP('14.05'!J22,'14.05'!$AM$4:$AP$55,4,FALSE))</f>
        <v>0</v>
      </c>
      <c r="C22" s="4">
        <f>(VLOOKUP('14.05'!K22,'14.05'!$AM$4:$AP$55,4,FALSE))</f>
        <v>0</v>
      </c>
      <c r="D22" s="4">
        <f>(VLOOKUP('14.05'!L22,'14.05'!$AM$4:$AP$55,4,FALSE))</f>
        <v>0</v>
      </c>
      <c r="E22" s="4">
        <f>(VLOOKUP('14.05'!M22,'14.05'!$AM$4:$AP$55,4,FALSE))</f>
        <v>0</v>
      </c>
      <c r="F22" s="4">
        <f>(VLOOKUP('14.05'!N22,'14.05'!$AM$4:$AP$55,4,FALSE))</f>
        <v>0</v>
      </c>
      <c r="G22" s="4">
        <f>(VLOOKUP('14.05'!O22,'14.05'!$AM$4:$AP$55,4,FALSE))</f>
        <v>0</v>
      </c>
      <c r="H22" s="4">
        <f>(VLOOKUP('14.05'!P22,'14.05'!$AM$4:$AP$55,4,FALSE))</f>
        <v>0</v>
      </c>
      <c r="I22" s="4">
        <f>(VLOOKUP('14.05'!Q22,'14.05'!$AM$4:$AP$55,4,FALSE))</f>
        <v>0</v>
      </c>
      <c r="J22" s="4">
        <f>(VLOOKUP('14.05'!R22,'14.05'!$AM$4:$AP$55,4,FALSE))</f>
        <v>0</v>
      </c>
      <c r="K22" s="4">
        <f>(VLOOKUP('14.05'!S22,'14.05'!$AM$4:$AP$55,4,FALSE))</f>
        <v>0</v>
      </c>
      <c r="L22" s="4">
        <f>(VLOOKUP('14.05'!T22,'14.05'!$AM$4:$AP$55,4,FALSE))</f>
        <v>0</v>
      </c>
      <c r="M22" s="4">
        <f>(VLOOKUP('14.05'!U22,'14.05'!$AM$4:$AP$55,4,FALSE))</f>
        <v>0</v>
      </c>
      <c r="N22" s="4">
        <f>(VLOOKUP('14.05'!V22,'14.05'!$AM$4:$AP$55,4,FALSE))</f>
        <v>0</v>
      </c>
      <c r="O22" s="4">
        <f>(VLOOKUP('14.05'!W22,'14.05'!$AM$4:$AP$55,4,FALSE))</f>
        <v>0</v>
      </c>
      <c r="P22" s="4">
        <f>(VLOOKUP('14.05'!X22,'14.05'!$AM$4:$AP$55,4,FALSE))</f>
        <v>0</v>
      </c>
      <c r="Q22" s="4">
        <f>(VLOOKUP('14.05'!Y22,'14.05'!$AM$4:$AP$55,4,FALSE))</f>
        <v>0</v>
      </c>
      <c r="R22" s="4">
        <f>(VLOOKUP('14.05'!Z22,'14.05'!$AM$4:$AP$55,4,FALSE))</f>
        <v>0</v>
      </c>
      <c r="S22" s="4">
        <f>(VLOOKUP('14.05'!AA22,'14.05'!$AM$4:$AP$55,4,FALSE))</f>
        <v>0</v>
      </c>
      <c r="T22" s="4">
        <f>(VLOOKUP('14.05'!AB22,'14.05'!$AM$4:$AP$55,4,FALSE))</f>
        <v>0</v>
      </c>
      <c r="U22" s="4">
        <f>(VLOOKUP('14.05'!AC22,'14.05'!$AM$4:$AP$55,4,FALSE))</f>
        <v>0</v>
      </c>
      <c r="V22" s="4">
        <f>(VLOOKUP('14.05'!AD22,'14.05'!$AM$4:$AP$55,4,FALSE))</f>
        <v>0</v>
      </c>
      <c r="W22" s="4">
        <f>(VLOOKUP('14.05'!AE22,'14.05'!$AM$4:$AP$55,4,FALSE))</f>
        <v>0</v>
      </c>
      <c r="X22" s="4">
        <f>(VLOOKUP('14.05'!AF22,'14.05'!$AM$4:$AP$55,4,FALSE))</f>
        <v>0</v>
      </c>
    </row>
    <row r="23" spans="1:24">
      <c r="A23" s="4">
        <f>(VLOOKUP('14.05'!I23,'14.05'!$AM$4:$AP$55,4,FALSE))</f>
        <v>0</v>
      </c>
      <c r="B23" s="4">
        <f>(VLOOKUP('14.05'!J23,'14.05'!$AM$4:$AP$55,4,FALSE))</f>
        <v>0</v>
      </c>
      <c r="C23" s="4">
        <f>(VLOOKUP('14.05'!K23,'14.05'!$AM$4:$AP$55,4,FALSE))</f>
        <v>0</v>
      </c>
      <c r="D23" s="4">
        <f>(VLOOKUP('14.05'!L23,'14.05'!$AM$4:$AP$55,4,FALSE))</f>
        <v>0</v>
      </c>
      <c r="E23" s="4">
        <f>(VLOOKUP('14.05'!M23,'14.05'!$AM$4:$AP$55,4,FALSE))</f>
        <v>0</v>
      </c>
      <c r="F23" s="4">
        <f>(VLOOKUP('14.05'!N23,'14.05'!$AM$4:$AP$55,4,FALSE))</f>
        <v>0</v>
      </c>
      <c r="G23" s="4">
        <f>(VLOOKUP('14.05'!O23,'14.05'!$AM$4:$AP$55,4,FALSE))</f>
        <v>0</v>
      </c>
      <c r="H23" s="4">
        <f>(VLOOKUP('14.05'!P23,'14.05'!$AM$4:$AP$55,4,FALSE))</f>
        <v>0</v>
      </c>
      <c r="I23" s="4">
        <f>(VLOOKUP('14.05'!Q23,'14.05'!$AM$4:$AP$55,4,FALSE))</f>
        <v>0</v>
      </c>
      <c r="J23" s="4">
        <f>(VLOOKUP('14.05'!R23,'14.05'!$AM$4:$AP$55,4,FALSE))</f>
        <v>0</v>
      </c>
      <c r="K23" s="4">
        <f>(VLOOKUP('14.05'!S23,'14.05'!$AM$4:$AP$55,4,FALSE))</f>
        <v>0</v>
      </c>
      <c r="L23" s="4">
        <f>(VLOOKUP('14.05'!T23,'14.05'!$AM$4:$AP$55,4,FALSE))</f>
        <v>0</v>
      </c>
      <c r="M23" s="4">
        <f>(VLOOKUP('14.05'!U23,'14.05'!$AM$4:$AP$55,4,FALSE))</f>
        <v>0</v>
      </c>
      <c r="N23" s="4">
        <f>(VLOOKUP('14.05'!V23,'14.05'!$AM$4:$AP$55,4,FALSE))</f>
        <v>0</v>
      </c>
      <c r="O23" s="4">
        <f>(VLOOKUP('14.05'!W23,'14.05'!$AM$4:$AP$55,4,FALSE))</f>
        <v>0</v>
      </c>
      <c r="P23" s="4">
        <f>(VLOOKUP('14.05'!X23,'14.05'!$AM$4:$AP$55,4,FALSE))</f>
        <v>0</v>
      </c>
      <c r="Q23" s="4">
        <f>(VLOOKUP('14.05'!Y23,'14.05'!$AM$4:$AP$55,4,FALSE))</f>
        <v>38</v>
      </c>
      <c r="R23" s="4">
        <f>(VLOOKUP('14.05'!Z23,'14.05'!$AM$4:$AP$55,4,FALSE))</f>
        <v>38</v>
      </c>
      <c r="S23" s="4">
        <f>(VLOOKUP('14.05'!AA23,'14.05'!$AM$4:$AP$55,4,FALSE))</f>
        <v>38</v>
      </c>
      <c r="T23" s="4">
        <f>(VLOOKUP('14.05'!AB23,'14.05'!$AM$4:$AP$55,4,FALSE))</f>
        <v>38</v>
      </c>
      <c r="U23" s="4">
        <f>(VLOOKUP('14.05'!AC23,'14.05'!$AM$4:$AP$55,4,FALSE))</f>
        <v>0</v>
      </c>
      <c r="V23" s="4">
        <f>(VLOOKUP('14.05'!AD23,'14.05'!$AM$4:$AP$55,4,FALSE))</f>
        <v>0</v>
      </c>
      <c r="W23" s="4">
        <f>(VLOOKUP('14.05'!AE23,'14.05'!$AM$4:$AP$55,4,FALSE))</f>
        <v>0</v>
      </c>
      <c r="X23" s="4">
        <f>(VLOOKUP('14.05'!AF23,'14.05'!$AM$4:$AP$55,4,FALSE))</f>
        <v>0</v>
      </c>
    </row>
    <row r="24" spans="1:24">
      <c r="A24" s="4">
        <f>(VLOOKUP('14.05'!I24,'14.05'!$AM$4:$AP$55,4,FALSE))</f>
        <v>0</v>
      </c>
      <c r="B24" s="4">
        <f>(VLOOKUP('14.05'!J24,'14.05'!$AM$4:$AP$55,4,FALSE))</f>
        <v>0</v>
      </c>
      <c r="C24" s="4">
        <f>(VLOOKUP('14.05'!K24,'14.05'!$AM$4:$AP$55,4,FALSE))</f>
        <v>0</v>
      </c>
      <c r="D24" s="4">
        <f>(VLOOKUP('14.05'!L24,'14.05'!$AM$4:$AP$55,4,FALSE))</f>
        <v>0</v>
      </c>
      <c r="E24" s="4">
        <f>(VLOOKUP('14.05'!M24,'14.05'!$AM$4:$AP$55,4,FALSE))</f>
        <v>0</v>
      </c>
      <c r="F24" s="4">
        <f>(VLOOKUP('14.05'!N24,'14.05'!$AM$4:$AP$55,4,FALSE))</f>
        <v>0</v>
      </c>
      <c r="G24" s="4">
        <f>(VLOOKUP('14.05'!O24,'14.05'!$AM$4:$AP$55,4,FALSE))</f>
        <v>0</v>
      </c>
      <c r="H24" s="4">
        <f>(VLOOKUP('14.05'!P24,'14.05'!$AM$4:$AP$55,4,FALSE))</f>
        <v>0</v>
      </c>
      <c r="I24" s="4">
        <f>(VLOOKUP('14.05'!Q24,'14.05'!$AM$4:$AP$55,4,FALSE))</f>
        <v>0</v>
      </c>
      <c r="J24" s="4">
        <f>(VLOOKUP('14.05'!R24,'14.05'!$AM$4:$AP$55,4,FALSE))</f>
        <v>0</v>
      </c>
      <c r="K24" s="4">
        <f>(VLOOKUP('14.05'!S24,'14.05'!$AM$4:$AP$55,4,FALSE))</f>
        <v>0</v>
      </c>
      <c r="L24" s="4">
        <f>(VLOOKUP('14.05'!T24,'14.05'!$AM$4:$AP$55,4,FALSE))</f>
        <v>0</v>
      </c>
      <c r="M24" s="4">
        <f>(VLOOKUP('14.05'!U24,'14.05'!$AM$4:$AP$55,4,FALSE))</f>
        <v>0</v>
      </c>
      <c r="N24" s="4">
        <f>(VLOOKUP('14.05'!V24,'14.05'!$AM$4:$AP$55,4,FALSE))</f>
        <v>0</v>
      </c>
      <c r="O24" s="4">
        <f>(VLOOKUP('14.05'!W24,'14.05'!$AM$4:$AP$55,4,FALSE))</f>
        <v>0</v>
      </c>
      <c r="P24" s="4">
        <f>(VLOOKUP('14.05'!X24,'14.05'!$AM$4:$AP$55,4,FALSE))</f>
        <v>0</v>
      </c>
      <c r="Q24" s="4">
        <f>(VLOOKUP('14.05'!Y24,'14.05'!$AM$4:$AP$55,4,FALSE))</f>
        <v>0</v>
      </c>
      <c r="R24" s="4">
        <f>(VLOOKUP('14.05'!Z24,'14.05'!$AM$4:$AP$55,4,FALSE))</f>
        <v>0</v>
      </c>
      <c r="S24" s="4">
        <f>(VLOOKUP('14.05'!AA24,'14.05'!$AM$4:$AP$55,4,FALSE))</f>
        <v>0</v>
      </c>
      <c r="T24" s="4">
        <f>(VLOOKUP('14.05'!AB24,'14.05'!$AM$4:$AP$55,4,FALSE))</f>
        <v>0</v>
      </c>
      <c r="U24" s="4">
        <f>(VLOOKUP('14.05'!AC24,'14.05'!$AM$4:$AP$55,4,FALSE))</f>
        <v>0</v>
      </c>
      <c r="V24" s="4">
        <f>(VLOOKUP('14.05'!AD24,'14.05'!$AM$4:$AP$55,4,FALSE))</f>
        <v>0</v>
      </c>
      <c r="W24" s="4">
        <f>(VLOOKUP('14.05'!AE24,'14.05'!$AM$4:$AP$55,4,FALSE))</f>
        <v>0</v>
      </c>
      <c r="X24" s="4">
        <f>(VLOOKUP('14.05'!AF24,'14.05'!$AM$4:$AP$55,4,FALSE))</f>
        <v>0</v>
      </c>
    </row>
    <row r="25" spans="1:24">
      <c r="A25" s="4">
        <f>(VLOOKUP('14.05'!I25,'14.05'!$AM$4:$AP$55,4,FALSE))</f>
        <v>0</v>
      </c>
      <c r="B25" s="4">
        <f>(VLOOKUP('14.05'!J25,'14.05'!$AM$4:$AP$55,4,FALSE))</f>
        <v>0</v>
      </c>
      <c r="C25" s="4">
        <f>(VLOOKUP('14.05'!K25,'14.05'!$AM$4:$AP$55,4,FALSE))</f>
        <v>0</v>
      </c>
      <c r="D25" s="4">
        <f>(VLOOKUP('14.05'!L25,'14.05'!$AM$4:$AP$55,4,FALSE))</f>
        <v>0</v>
      </c>
      <c r="E25" s="4">
        <f>(VLOOKUP('14.05'!M25,'14.05'!$AM$4:$AP$55,4,FALSE))</f>
        <v>0</v>
      </c>
      <c r="F25" s="4">
        <f>(VLOOKUP('14.05'!N25,'14.05'!$AM$4:$AP$55,4,FALSE))</f>
        <v>38</v>
      </c>
      <c r="G25" s="4">
        <f>(VLOOKUP('14.05'!O25,'14.05'!$AM$4:$AP$55,4,FALSE))</f>
        <v>0</v>
      </c>
      <c r="H25" s="4">
        <f>(VLOOKUP('14.05'!P25,'14.05'!$AM$4:$AP$55,4,FALSE))</f>
        <v>0</v>
      </c>
      <c r="I25" s="4">
        <f>(VLOOKUP('14.05'!Q25,'14.05'!$AM$4:$AP$55,4,FALSE))</f>
        <v>0</v>
      </c>
      <c r="J25" s="4">
        <f>(VLOOKUP('14.05'!R25,'14.05'!$AM$4:$AP$55,4,FALSE))</f>
        <v>0</v>
      </c>
      <c r="K25" s="4">
        <f>(VLOOKUP('14.05'!S25,'14.05'!$AM$4:$AP$55,4,FALSE))</f>
        <v>0</v>
      </c>
      <c r="L25" s="4">
        <f>(VLOOKUP('14.05'!T25,'14.05'!$AM$4:$AP$55,4,FALSE))</f>
        <v>0</v>
      </c>
      <c r="M25" s="4">
        <f>(VLOOKUP('14.05'!U25,'14.05'!$AM$4:$AP$55,4,FALSE))</f>
        <v>0</v>
      </c>
      <c r="N25" s="4">
        <f>(VLOOKUP('14.05'!V25,'14.05'!$AM$4:$AP$55,4,FALSE))</f>
        <v>0</v>
      </c>
      <c r="O25" s="4">
        <f>(VLOOKUP('14.05'!W25,'14.05'!$AM$4:$AP$55,4,FALSE))</f>
        <v>0</v>
      </c>
      <c r="P25" s="4">
        <f>(VLOOKUP('14.05'!X25,'14.05'!$AM$4:$AP$55,4,FALSE))</f>
        <v>0</v>
      </c>
      <c r="Q25" s="4">
        <f>(VLOOKUP('14.05'!Y25,'14.05'!$AM$4:$AP$55,4,FALSE))</f>
        <v>38</v>
      </c>
      <c r="R25" s="4">
        <f>(VLOOKUP('14.05'!Z25,'14.05'!$AM$4:$AP$55,4,FALSE))</f>
        <v>38</v>
      </c>
      <c r="S25" s="4">
        <f>(VLOOKUP('14.05'!AA25,'14.05'!$AM$4:$AP$55,4,FALSE))</f>
        <v>38</v>
      </c>
      <c r="T25" s="4">
        <f>(VLOOKUP('14.05'!AB25,'14.05'!$AM$4:$AP$55,4,FALSE))</f>
        <v>38</v>
      </c>
      <c r="U25" s="4">
        <f>(VLOOKUP('14.05'!AC25,'14.05'!$AM$4:$AP$55,4,FALSE))</f>
        <v>0</v>
      </c>
      <c r="V25" s="4">
        <f>(VLOOKUP('14.05'!AD25,'14.05'!$AM$4:$AP$55,4,FALSE))</f>
        <v>0</v>
      </c>
      <c r="W25" s="4">
        <f>(VLOOKUP('14.05'!AE25,'14.05'!$AM$4:$AP$55,4,FALSE))</f>
        <v>0</v>
      </c>
      <c r="X25" s="4">
        <f>(VLOOKUP('14.05'!AF25,'14.05'!$AM$4:$AP$55,4,FALSE))</f>
        <v>0</v>
      </c>
    </row>
    <row r="26" spans="1:24">
      <c r="A26" s="4">
        <f>(VLOOKUP('14.05'!I26,'14.05'!$AM$4:$AP$55,4,FALSE))</f>
        <v>38</v>
      </c>
      <c r="B26" s="4">
        <f>(VLOOKUP('14.05'!J26,'14.05'!$AM$4:$AP$55,4,FALSE))</f>
        <v>38</v>
      </c>
      <c r="C26" s="4">
        <f>(VLOOKUP('14.05'!K26,'14.05'!$AM$4:$AP$55,4,FALSE))</f>
        <v>38</v>
      </c>
      <c r="D26" s="4">
        <f>(VLOOKUP('14.05'!L26,'14.05'!$AM$4:$AP$55,4,FALSE))</f>
        <v>38</v>
      </c>
      <c r="E26" s="4">
        <f>(VLOOKUP('14.05'!M26,'14.05'!$AM$4:$AP$55,4,FALSE))</f>
        <v>38</v>
      </c>
      <c r="F26" s="4">
        <f>(VLOOKUP('14.05'!N26,'14.05'!$AM$4:$AP$55,4,FALSE))</f>
        <v>38</v>
      </c>
      <c r="G26" s="4">
        <f>(VLOOKUP('14.05'!O26,'14.05'!$AM$4:$AP$55,4,FALSE))</f>
        <v>0</v>
      </c>
      <c r="H26" s="4">
        <f>(VLOOKUP('14.05'!P26,'14.05'!$AM$4:$AP$55,4,FALSE))</f>
        <v>0</v>
      </c>
      <c r="I26" s="4">
        <f>(VLOOKUP('14.05'!Q26,'14.05'!$AM$4:$AP$55,4,FALSE))</f>
        <v>0</v>
      </c>
      <c r="J26" s="4">
        <f>(VLOOKUP('14.05'!R26,'14.05'!$AM$4:$AP$55,4,FALSE))</f>
        <v>0</v>
      </c>
      <c r="K26" s="4">
        <f>(VLOOKUP('14.05'!S26,'14.05'!$AM$4:$AP$55,4,FALSE))</f>
        <v>0</v>
      </c>
      <c r="L26" s="4">
        <f>(VLOOKUP('14.05'!T26,'14.05'!$AM$4:$AP$55,4,FALSE))</f>
        <v>0</v>
      </c>
      <c r="M26" s="4">
        <f>(VLOOKUP('14.05'!U26,'14.05'!$AM$4:$AP$55,4,FALSE))</f>
        <v>0</v>
      </c>
      <c r="N26" s="4">
        <f>(VLOOKUP('14.05'!V26,'14.05'!$AM$4:$AP$55,4,FALSE))</f>
        <v>0</v>
      </c>
      <c r="O26" s="4">
        <f>(VLOOKUP('14.05'!W26,'14.05'!$AM$4:$AP$55,4,FALSE))</f>
        <v>0</v>
      </c>
      <c r="P26" s="4">
        <f>(VLOOKUP('14.05'!X26,'14.05'!$AM$4:$AP$55,4,FALSE))</f>
        <v>0</v>
      </c>
      <c r="Q26" s="4">
        <f>(VLOOKUP('14.05'!Y26,'14.05'!$AM$4:$AP$55,4,FALSE))</f>
        <v>0</v>
      </c>
      <c r="R26" s="4">
        <f>(VLOOKUP('14.05'!Z26,'14.05'!$AM$4:$AP$55,4,FALSE))</f>
        <v>0</v>
      </c>
      <c r="S26" s="4">
        <f>(VLOOKUP('14.05'!AA26,'14.05'!$AM$4:$AP$55,4,FALSE))</f>
        <v>0</v>
      </c>
      <c r="T26" s="4">
        <f>(VLOOKUP('14.05'!AB26,'14.05'!$AM$4:$AP$55,4,FALSE))</f>
        <v>0</v>
      </c>
      <c r="U26" s="4">
        <f>(VLOOKUP('14.05'!AC26,'14.05'!$AM$4:$AP$55,4,FALSE))</f>
        <v>0</v>
      </c>
      <c r="V26" s="4">
        <f>(VLOOKUP('14.05'!AD26,'14.05'!$AM$4:$AP$55,4,FALSE))</f>
        <v>38</v>
      </c>
      <c r="W26" s="4">
        <f>(VLOOKUP('14.05'!AE26,'14.05'!$AM$4:$AP$55,4,FALSE))</f>
        <v>0</v>
      </c>
      <c r="X26" s="4">
        <f>(VLOOKUP('14.05'!AF26,'14.05'!$AM$4:$AP$55,4,FALSE))</f>
        <v>0</v>
      </c>
    </row>
    <row r="27" spans="1:24">
      <c r="A27" s="4">
        <f>(VLOOKUP('14.05'!I27,'14.05'!$AM$4:$AP$55,4,FALSE))</f>
        <v>38</v>
      </c>
      <c r="B27" s="4">
        <f>(VLOOKUP('14.05'!J27,'14.05'!$AM$4:$AP$55,4,FALSE))</f>
        <v>38</v>
      </c>
      <c r="C27" s="4">
        <f>(VLOOKUP('14.05'!K27,'14.05'!$AM$4:$AP$55,4,FALSE))</f>
        <v>0</v>
      </c>
      <c r="D27" s="4">
        <f>(VLOOKUP('14.05'!L27,'14.05'!$AM$4:$AP$55,4,FALSE))</f>
        <v>38</v>
      </c>
      <c r="E27" s="4">
        <f>(VLOOKUP('14.05'!M27,'14.05'!$AM$4:$AP$55,4,FALSE))</f>
        <v>38</v>
      </c>
      <c r="F27" s="4">
        <f>(VLOOKUP('14.05'!N27,'14.05'!$AM$4:$AP$55,4,FALSE))</f>
        <v>38</v>
      </c>
      <c r="G27" s="4">
        <f>(VLOOKUP('14.05'!O27,'14.05'!$AM$4:$AP$55,4,FALSE))</f>
        <v>0</v>
      </c>
      <c r="H27" s="4">
        <f>(VLOOKUP('14.05'!P27,'14.05'!$AM$4:$AP$55,4,FALSE))</f>
        <v>0</v>
      </c>
      <c r="I27" s="4">
        <f>(VLOOKUP('14.05'!Q27,'14.05'!$AM$4:$AP$55,4,FALSE))</f>
        <v>0</v>
      </c>
      <c r="J27" s="4">
        <f>(VLOOKUP('14.05'!R27,'14.05'!$AM$4:$AP$55,4,FALSE))</f>
        <v>0</v>
      </c>
      <c r="K27" s="4">
        <f>(VLOOKUP('14.05'!S27,'14.05'!$AM$4:$AP$55,4,FALSE))</f>
        <v>0</v>
      </c>
      <c r="L27" s="4">
        <f>(VLOOKUP('14.05'!T27,'14.05'!$AM$4:$AP$55,4,FALSE))</f>
        <v>0</v>
      </c>
      <c r="M27" s="4">
        <f>(VLOOKUP('14.05'!U27,'14.05'!$AM$4:$AP$55,4,FALSE))</f>
        <v>0</v>
      </c>
      <c r="N27" s="4">
        <f>(VLOOKUP('14.05'!V27,'14.05'!$AM$4:$AP$55,4,FALSE))</f>
        <v>0</v>
      </c>
      <c r="O27" s="4">
        <f>(VLOOKUP('14.05'!W27,'14.05'!$AM$4:$AP$55,4,FALSE))</f>
        <v>0</v>
      </c>
      <c r="P27" s="4">
        <f>(VLOOKUP('14.05'!X27,'14.05'!$AM$4:$AP$55,4,FALSE))</f>
        <v>0</v>
      </c>
      <c r="Q27" s="4">
        <f>(VLOOKUP('14.05'!Y27,'14.05'!$AM$4:$AP$55,4,FALSE))</f>
        <v>38</v>
      </c>
      <c r="R27" s="4">
        <f>(VLOOKUP('14.05'!Z27,'14.05'!$AM$4:$AP$55,4,FALSE))</f>
        <v>0</v>
      </c>
      <c r="S27" s="4">
        <f>(VLOOKUP('14.05'!AA27,'14.05'!$AM$4:$AP$55,4,FALSE))</f>
        <v>38</v>
      </c>
      <c r="T27" s="4">
        <f>(VLOOKUP('14.05'!AB27,'14.05'!$AM$4:$AP$55,4,FALSE))</f>
        <v>38</v>
      </c>
      <c r="U27" s="4">
        <f>(VLOOKUP('14.05'!AC27,'14.05'!$AM$4:$AP$55,4,FALSE))</f>
        <v>38</v>
      </c>
      <c r="V27" s="4">
        <f>(VLOOKUP('14.05'!AD27,'14.05'!$AM$4:$AP$55,4,FALSE))</f>
        <v>38</v>
      </c>
      <c r="W27" s="4">
        <f>(VLOOKUP('14.05'!AE27,'14.05'!$AM$4:$AP$55,4,FALSE))</f>
        <v>0</v>
      </c>
      <c r="X27" s="4">
        <f>(VLOOKUP('14.05'!AF27,'14.05'!$AM$4:$AP$55,4,FALSE))</f>
        <v>0</v>
      </c>
    </row>
    <row r="28" spans="1:24">
      <c r="A28" s="4">
        <f>(VLOOKUP('14.05'!I28,'14.05'!$AM$4:$AP$55,4,FALSE))</f>
        <v>38</v>
      </c>
      <c r="B28" s="4">
        <f>(VLOOKUP('14.05'!J28,'14.05'!$AM$4:$AP$55,4,FALSE))</f>
        <v>38</v>
      </c>
      <c r="C28" s="4">
        <f>(VLOOKUP('14.05'!K28,'14.05'!$AM$4:$AP$55,4,FALSE))</f>
        <v>38</v>
      </c>
      <c r="D28" s="4">
        <f>(VLOOKUP('14.05'!L28,'14.05'!$AM$4:$AP$55,4,FALSE))</f>
        <v>0</v>
      </c>
      <c r="E28" s="4">
        <f>(VLOOKUP('14.05'!M28,'14.05'!$AM$4:$AP$55,4,FALSE))</f>
        <v>38</v>
      </c>
      <c r="F28" s="4">
        <f>(VLOOKUP('14.05'!N28,'14.05'!$AM$4:$AP$55,4,FALSE))</f>
        <v>38</v>
      </c>
      <c r="G28" s="4">
        <f>(VLOOKUP('14.05'!O28,'14.05'!$AM$4:$AP$55,4,FALSE))</f>
        <v>0</v>
      </c>
      <c r="H28" s="4">
        <f>(VLOOKUP('14.05'!P28,'14.05'!$AM$4:$AP$55,4,FALSE))</f>
        <v>0</v>
      </c>
      <c r="I28" s="4">
        <f>(VLOOKUP('14.05'!Q28,'14.05'!$AM$4:$AP$55,4,FALSE))</f>
        <v>0</v>
      </c>
      <c r="J28" s="4">
        <f>(VLOOKUP('14.05'!R28,'14.05'!$AM$4:$AP$55,4,FALSE))</f>
        <v>0</v>
      </c>
      <c r="K28" s="4">
        <f>(VLOOKUP('14.05'!S28,'14.05'!$AM$4:$AP$55,4,FALSE))</f>
        <v>0</v>
      </c>
      <c r="L28" s="4">
        <f>(VLOOKUP('14.05'!T28,'14.05'!$AM$4:$AP$55,4,FALSE))</f>
        <v>0</v>
      </c>
      <c r="M28" s="4">
        <f>(VLOOKUP('14.05'!U28,'14.05'!$AM$4:$AP$55,4,FALSE))</f>
        <v>0</v>
      </c>
      <c r="N28" s="4">
        <f>(VLOOKUP('14.05'!V28,'14.05'!$AM$4:$AP$55,4,FALSE))</f>
        <v>0</v>
      </c>
      <c r="O28" s="4">
        <f>(VLOOKUP('14.05'!W28,'14.05'!$AM$4:$AP$55,4,FALSE))</f>
        <v>0</v>
      </c>
      <c r="P28" s="4">
        <f>(VLOOKUP('14.05'!X28,'14.05'!$AM$4:$AP$55,4,FALSE))</f>
        <v>0</v>
      </c>
      <c r="Q28" s="4">
        <f>(VLOOKUP('14.05'!Y28,'14.05'!$AM$4:$AP$55,4,FALSE))</f>
        <v>38</v>
      </c>
      <c r="R28" s="4">
        <f>(VLOOKUP('14.05'!Z28,'14.05'!$AM$4:$AP$55,4,FALSE))</f>
        <v>38</v>
      </c>
      <c r="S28" s="4">
        <f>(VLOOKUP('14.05'!AA28,'14.05'!$AM$4:$AP$55,4,FALSE))</f>
        <v>38</v>
      </c>
      <c r="T28" s="4">
        <f>(VLOOKUP('14.05'!AB28,'14.05'!$AM$4:$AP$55,4,FALSE))</f>
        <v>38</v>
      </c>
      <c r="U28" s="4">
        <f>(VLOOKUP('14.05'!AC28,'14.05'!$AM$4:$AP$55,4,FALSE))</f>
        <v>38</v>
      </c>
      <c r="V28" s="4">
        <f>(VLOOKUP('14.05'!AD28,'14.05'!$AM$4:$AP$55,4,FALSE))</f>
        <v>38</v>
      </c>
      <c r="W28" s="4">
        <f>(VLOOKUP('14.05'!AE28,'14.05'!$AM$4:$AP$55,4,FALSE))</f>
        <v>0</v>
      </c>
      <c r="X28" s="4">
        <f>(VLOOKUP('14.05'!AF28,'14.05'!$AM$4:$AP$55,4,FALSE))</f>
        <v>0</v>
      </c>
    </row>
    <row r="29" spans="1:24">
      <c r="A29" s="4">
        <f>(VLOOKUP('14.05'!I29,'14.05'!$AM$4:$AP$55,4,FALSE))</f>
        <v>38</v>
      </c>
      <c r="B29" s="4">
        <f>(VLOOKUP('14.05'!J29,'14.05'!$AM$4:$AP$55,4,FALSE))</f>
        <v>38</v>
      </c>
      <c r="C29" s="4">
        <f>(VLOOKUP('14.05'!K29,'14.05'!$AM$4:$AP$55,4,FALSE))</f>
        <v>38</v>
      </c>
      <c r="D29" s="4">
        <f>(VLOOKUP('14.05'!L29,'14.05'!$AM$4:$AP$55,4,FALSE))</f>
        <v>38</v>
      </c>
      <c r="E29" s="4">
        <f>(VLOOKUP('14.05'!M29,'14.05'!$AM$4:$AP$55,4,FALSE))</f>
        <v>38</v>
      </c>
      <c r="F29" s="4">
        <f>(VLOOKUP('14.05'!N29,'14.05'!$AM$4:$AP$55,4,FALSE))</f>
        <v>38</v>
      </c>
      <c r="G29" s="4">
        <f>(VLOOKUP('14.05'!O29,'14.05'!$AM$4:$AP$55,4,FALSE))</f>
        <v>0</v>
      </c>
      <c r="H29" s="4">
        <f>(VLOOKUP('14.05'!P29,'14.05'!$AM$4:$AP$55,4,FALSE))</f>
        <v>0</v>
      </c>
      <c r="I29" s="4">
        <f>(VLOOKUP('14.05'!Q29,'14.05'!$AM$4:$AP$55,4,FALSE))</f>
        <v>0</v>
      </c>
      <c r="J29" s="4">
        <f>(VLOOKUP('14.05'!R29,'14.05'!$AM$4:$AP$55,4,FALSE))</f>
        <v>0</v>
      </c>
      <c r="K29" s="4">
        <f>(VLOOKUP('14.05'!S29,'14.05'!$AM$4:$AP$55,4,FALSE))</f>
        <v>0</v>
      </c>
      <c r="L29" s="4">
        <f>(VLOOKUP('14.05'!T29,'14.05'!$AM$4:$AP$55,4,FALSE))</f>
        <v>0</v>
      </c>
      <c r="M29" s="4">
        <f>(VLOOKUP('14.05'!U29,'14.05'!$AM$4:$AP$55,4,FALSE))</f>
        <v>0</v>
      </c>
      <c r="N29" s="4">
        <f>(VLOOKUP('14.05'!V29,'14.05'!$AM$4:$AP$55,4,FALSE))</f>
        <v>0</v>
      </c>
      <c r="O29" s="4">
        <f>(VLOOKUP('14.05'!W29,'14.05'!$AM$4:$AP$55,4,FALSE))</f>
        <v>0</v>
      </c>
      <c r="P29" s="4">
        <f>(VLOOKUP('14.05'!X29,'14.05'!$AM$4:$AP$55,4,FALSE))</f>
        <v>0</v>
      </c>
      <c r="Q29" s="4">
        <f>(VLOOKUP('14.05'!Y29,'14.05'!$AM$4:$AP$55,4,FALSE))</f>
        <v>38</v>
      </c>
      <c r="R29" s="4">
        <f>(VLOOKUP('14.05'!Z29,'14.05'!$AM$4:$AP$55,4,FALSE))</f>
        <v>36</v>
      </c>
      <c r="S29" s="4">
        <f>(VLOOKUP('14.05'!AA29,'14.05'!$AM$4:$AP$55,4,FALSE))</f>
        <v>0</v>
      </c>
      <c r="T29" s="4">
        <f>(VLOOKUP('14.05'!AB29,'14.05'!$AM$4:$AP$55,4,FALSE))</f>
        <v>36</v>
      </c>
      <c r="U29" s="4">
        <f>(VLOOKUP('14.05'!AC29,'14.05'!$AM$4:$AP$55,4,FALSE))</f>
        <v>36</v>
      </c>
      <c r="V29" s="4">
        <f>(VLOOKUP('14.05'!AD29,'14.05'!$AM$4:$AP$55,4,FALSE))</f>
        <v>36</v>
      </c>
      <c r="W29" s="4">
        <f>(VLOOKUP('14.05'!AE29,'14.05'!$AM$4:$AP$55,4,FALSE))</f>
        <v>0</v>
      </c>
      <c r="X29" s="4">
        <f>(VLOOKUP('14.05'!AF29,'14.05'!$AM$4:$AP$55,4,FALSE))</f>
        <v>0</v>
      </c>
    </row>
    <row r="30" spans="1:24">
      <c r="A30" s="4">
        <f>(VLOOKUP('14.05'!I30,'14.05'!$AM$4:$AP$55,4,FALSE))</f>
        <v>38</v>
      </c>
      <c r="B30" s="4">
        <f>(VLOOKUP('14.05'!J30,'14.05'!$AM$4:$AP$55,4,FALSE))</f>
        <v>38</v>
      </c>
      <c r="C30" s="4">
        <f>(VLOOKUP('14.05'!K30,'14.05'!$AM$4:$AP$55,4,FALSE))</f>
        <v>38</v>
      </c>
      <c r="D30" s="4">
        <f>(VLOOKUP('14.05'!L30,'14.05'!$AM$4:$AP$55,4,FALSE))</f>
        <v>36</v>
      </c>
      <c r="E30" s="4">
        <f>(VLOOKUP('14.05'!M30,'14.05'!$AM$4:$AP$55,4,FALSE))</f>
        <v>36</v>
      </c>
      <c r="F30" s="4">
        <f>(VLOOKUP('14.05'!N30,'14.05'!$AM$4:$AP$55,4,FALSE))</f>
        <v>36</v>
      </c>
      <c r="G30" s="4">
        <f>(VLOOKUP('14.05'!O30,'14.05'!$AM$4:$AP$55,4,FALSE))</f>
        <v>0</v>
      </c>
      <c r="H30" s="4">
        <f>(VLOOKUP('14.05'!P30,'14.05'!$AM$4:$AP$55,4,FALSE))</f>
        <v>0</v>
      </c>
      <c r="I30" s="4">
        <f>(VLOOKUP('14.05'!Q30,'14.05'!$AM$4:$AP$55,4,FALSE))</f>
        <v>0</v>
      </c>
      <c r="J30" s="4">
        <f>(VLOOKUP('14.05'!R30,'14.05'!$AM$4:$AP$55,4,FALSE))</f>
        <v>0</v>
      </c>
      <c r="K30" s="4">
        <f>(VLOOKUP('14.05'!S30,'14.05'!$AM$4:$AP$55,4,FALSE))</f>
        <v>0</v>
      </c>
      <c r="L30" s="4">
        <f>(VLOOKUP('14.05'!T30,'14.05'!$AM$4:$AP$55,4,FALSE))</f>
        <v>0</v>
      </c>
      <c r="M30" s="4">
        <f>(VLOOKUP('14.05'!U30,'14.05'!$AM$4:$AP$55,4,FALSE))</f>
        <v>0</v>
      </c>
      <c r="N30" s="4">
        <f>(VLOOKUP('14.05'!V30,'14.05'!$AM$4:$AP$55,4,FALSE))</f>
        <v>0</v>
      </c>
      <c r="O30" s="4">
        <f>(VLOOKUP('14.05'!W30,'14.05'!$AM$4:$AP$55,4,FALSE))</f>
        <v>0</v>
      </c>
      <c r="P30" s="4">
        <f>(VLOOKUP('14.05'!X30,'14.05'!$AM$4:$AP$55,4,FALSE))</f>
        <v>0</v>
      </c>
      <c r="Q30" s="4">
        <f>(VLOOKUP('14.05'!Y30,'14.05'!$AM$4:$AP$55,4,FALSE))</f>
        <v>36</v>
      </c>
      <c r="R30" s="4">
        <f>(VLOOKUP('14.05'!Z30,'14.05'!$AM$4:$AP$55,4,FALSE))</f>
        <v>36</v>
      </c>
      <c r="S30" s="4">
        <f>(VLOOKUP('14.05'!AA30,'14.05'!$AM$4:$AP$55,4,FALSE))</f>
        <v>36</v>
      </c>
      <c r="T30" s="4">
        <f>(VLOOKUP('14.05'!AB30,'14.05'!$AM$4:$AP$55,4,FALSE))</f>
        <v>36</v>
      </c>
      <c r="U30" s="4">
        <f>(VLOOKUP('14.05'!AC30,'14.05'!$AM$4:$AP$55,4,FALSE))</f>
        <v>36</v>
      </c>
      <c r="V30" s="4">
        <f>(VLOOKUP('14.05'!AD30,'14.05'!$AM$4:$AP$55,4,FALSE))</f>
        <v>36</v>
      </c>
      <c r="W30" s="4">
        <f>(VLOOKUP('14.05'!AE30,'14.05'!$AM$4:$AP$55,4,FALSE))</f>
        <v>0</v>
      </c>
      <c r="X30" s="4">
        <f>(VLOOKUP('14.05'!AF30,'14.05'!$AM$4:$AP$55,4,FALSE))</f>
        <v>0</v>
      </c>
    </row>
    <row r="31" spans="1:24">
      <c r="A31" s="4">
        <f>(VLOOKUP('14.05'!I31,'14.05'!$AM$4:$AP$55,4,FALSE))</f>
        <v>36</v>
      </c>
      <c r="B31" s="4">
        <f>(VLOOKUP('14.05'!J31,'14.05'!$AM$4:$AP$55,4,FALSE))</f>
        <v>36</v>
      </c>
      <c r="C31" s="4">
        <f>(VLOOKUP('14.05'!K31,'14.05'!$AM$4:$AP$55,4,FALSE))</f>
        <v>36</v>
      </c>
      <c r="D31" s="4">
        <f>(VLOOKUP('14.05'!L31,'14.05'!$AM$4:$AP$55,4,FALSE))</f>
        <v>36</v>
      </c>
      <c r="E31" s="4">
        <f>(VLOOKUP('14.05'!M31,'14.05'!$AM$4:$AP$55,4,FALSE))</f>
        <v>38</v>
      </c>
      <c r="F31" s="4">
        <f>(VLOOKUP('14.05'!N31,'14.05'!$AM$4:$AP$55,4,FALSE))</f>
        <v>38</v>
      </c>
      <c r="G31" s="4">
        <f>(VLOOKUP('14.05'!O31,'14.05'!$AM$4:$AP$55,4,FALSE))</f>
        <v>0</v>
      </c>
      <c r="H31" s="4">
        <f>(VLOOKUP('14.05'!P31,'14.05'!$AM$4:$AP$55,4,FALSE))</f>
        <v>0</v>
      </c>
      <c r="I31" s="4">
        <f>(VLOOKUP('14.05'!Q31,'14.05'!$AM$4:$AP$55,4,FALSE))</f>
        <v>0</v>
      </c>
      <c r="J31" s="4">
        <f>(VLOOKUP('14.05'!R31,'14.05'!$AM$4:$AP$55,4,FALSE))</f>
        <v>0</v>
      </c>
      <c r="K31" s="4">
        <f>(VLOOKUP('14.05'!S31,'14.05'!$AM$4:$AP$55,4,FALSE))</f>
        <v>0</v>
      </c>
      <c r="L31" s="4">
        <f>(VLOOKUP('14.05'!T31,'14.05'!$AM$4:$AP$55,4,FALSE))</f>
        <v>0</v>
      </c>
      <c r="M31" s="4">
        <f>(VLOOKUP('14.05'!U31,'14.05'!$AM$4:$AP$55,4,FALSE))</f>
        <v>0</v>
      </c>
      <c r="N31" s="4">
        <f>(VLOOKUP('14.05'!V31,'14.05'!$AM$4:$AP$55,4,FALSE))</f>
        <v>0</v>
      </c>
      <c r="O31" s="4">
        <f>(VLOOKUP('14.05'!W31,'14.05'!$AM$4:$AP$55,4,FALSE))</f>
        <v>0</v>
      </c>
      <c r="P31" s="4">
        <f>(VLOOKUP('14.05'!X31,'14.05'!$AM$4:$AP$55,4,FALSE))</f>
        <v>0</v>
      </c>
      <c r="Q31" s="4">
        <f>(VLOOKUP('14.05'!Y31,'14.05'!$AM$4:$AP$55,4,FALSE))</f>
        <v>36</v>
      </c>
      <c r="R31" s="4">
        <f>(VLOOKUP('14.05'!Z31,'14.05'!$AM$4:$AP$55,4,FALSE))</f>
        <v>10</v>
      </c>
      <c r="S31" s="4">
        <f>(VLOOKUP('14.05'!AA31,'14.05'!$AM$4:$AP$55,4,FALSE))</f>
        <v>36</v>
      </c>
      <c r="T31" s="4">
        <f>(VLOOKUP('14.05'!AB31,'14.05'!$AM$4:$AP$55,4,FALSE))</f>
        <v>36</v>
      </c>
      <c r="U31" s="4">
        <f>(VLOOKUP('14.05'!AC31,'14.05'!$AM$4:$AP$55,4,FALSE))</f>
        <v>36</v>
      </c>
      <c r="V31" s="4">
        <f>(VLOOKUP('14.05'!AD31,'14.05'!$AM$4:$AP$55,4,FALSE))</f>
        <v>36</v>
      </c>
      <c r="W31" s="4">
        <f>(VLOOKUP('14.05'!AE31,'14.05'!$AM$4:$AP$55,4,FALSE))</f>
        <v>0</v>
      </c>
      <c r="X31" s="4">
        <f>(VLOOKUP('14.05'!AF31,'14.05'!$AM$4:$AP$55,4,FALSE))</f>
        <v>0</v>
      </c>
    </row>
    <row r="32" spans="1:24">
      <c r="A32" s="4">
        <f>(VLOOKUP('14.05'!I32,'14.05'!$AM$4:$AP$55,4,FALSE))</f>
        <v>38</v>
      </c>
      <c r="B32" s="4">
        <f>(VLOOKUP('14.05'!J32,'14.05'!$AM$4:$AP$55,4,FALSE))</f>
        <v>38</v>
      </c>
      <c r="C32" s="4">
        <f>(VLOOKUP('14.05'!K32,'14.05'!$AM$4:$AP$55,4,FALSE))</f>
        <v>38</v>
      </c>
      <c r="D32" s="4">
        <f>(VLOOKUP('14.05'!L32,'14.05'!$AM$4:$AP$55,4,FALSE))</f>
        <v>36</v>
      </c>
      <c r="E32" s="4">
        <f>(VLOOKUP('14.05'!M32,'14.05'!$AM$4:$AP$55,4,FALSE))</f>
        <v>36</v>
      </c>
      <c r="F32" s="4">
        <f>(VLOOKUP('14.05'!N32,'14.05'!$AM$4:$AP$55,4,FALSE))</f>
        <v>36</v>
      </c>
      <c r="G32" s="4">
        <f>(VLOOKUP('14.05'!O32,'14.05'!$AM$4:$AP$55,4,FALSE))</f>
        <v>0</v>
      </c>
      <c r="H32" s="4">
        <f>(VLOOKUP('14.05'!P32,'14.05'!$AM$4:$AP$55,4,FALSE))</f>
        <v>0</v>
      </c>
      <c r="I32" s="4">
        <f>(VLOOKUP('14.05'!Q32,'14.05'!$AM$4:$AP$55,4,FALSE))</f>
        <v>0</v>
      </c>
      <c r="J32" s="4">
        <f>(VLOOKUP('14.05'!R32,'14.05'!$AM$4:$AP$55,4,FALSE))</f>
        <v>0</v>
      </c>
      <c r="K32" s="4">
        <f>(VLOOKUP('14.05'!S32,'14.05'!$AM$4:$AP$55,4,FALSE))</f>
        <v>0</v>
      </c>
      <c r="L32" s="4">
        <f>(VLOOKUP('14.05'!T32,'14.05'!$AM$4:$AP$55,4,FALSE))</f>
        <v>0</v>
      </c>
      <c r="M32" s="4">
        <f>(VLOOKUP('14.05'!U32,'14.05'!$AM$4:$AP$55,4,FALSE))</f>
        <v>0</v>
      </c>
      <c r="N32" s="4">
        <f>(VLOOKUP('14.05'!V32,'14.05'!$AM$4:$AP$55,4,FALSE))</f>
        <v>0</v>
      </c>
      <c r="O32" s="4">
        <f>(VLOOKUP('14.05'!W32,'14.05'!$AM$4:$AP$55,4,FALSE))</f>
        <v>0</v>
      </c>
      <c r="P32" s="4">
        <f>(VLOOKUP('14.05'!X32,'14.05'!$AM$4:$AP$55,4,FALSE))</f>
        <v>0</v>
      </c>
      <c r="Q32" s="4">
        <f>(VLOOKUP('14.05'!Y32,'14.05'!$AM$4:$AP$55,4,FALSE))</f>
        <v>36</v>
      </c>
      <c r="R32" s="4">
        <f>(VLOOKUP('14.05'!Z32,'14.05'!$AM$4:$AP$55,4,FALSE))</f>
        <v>36</v>
      </c>
      <c r="S32" s="4">
        <f>(VLOOKUP('14.05'!AA32,'14.05'!$AM$4:$AP$55,4,FALSE))</f>
        <v>36</v>
      </c>
      <c r="T32" s="4">
        <f>(VLOOKUP('14.05'!AB32,'14.05'!$AM$4:$AP$55,4,FALSE))</f>
        <v>36</v>
      </c>
      <c r="U32" s="4">
        <f>(VLOOKUP('14.05'!AC32,'14.05'!$AM$4:$AP$55,4,FALSE))</f>
        <v>0</v>
      </c>
      <c r="V32" s="4">
        <f>(VLOOKUP('14.05'!AD32,'14.05'!$AM$4:$AP$55,4,FALSE))</f>
        <v>0</v>
      </c>
      <c r="W32" s="4">
        <f>(VLOOKUP('14.05'!AE32,'14.05'!$AM$4:$AP$55,4,FALSE))</f>
        <v>0</v>
      </c>
      <c r="X32" s="4">
        <f>(VLOOKUP('14.05'!AF32,'14.05'!$AM$4:$AP$55,4,FALSE))</f>
        <v>0</v>
      </c>
    </row>
    <row r="33" spans="1:24">
      <c r="A33" s="4">
        <f>(VLOOKUP('14.05'!I33,'14.05'!$AM$4:$AP$55,4,FALSE))</f>
        <v>10</v>
      </c>
      <c r="B33" s="4">
        <f>(VLOOKUP('14.05'!J33,'14.05'!$AM$4:$AP$55,4,FALSE))</f>
        <v>36</v>
      </c>
      <c r="C33" s="4">
        <f>(VLOOKUP('14.05'!K33,'14.05'!$AM$4:$AP$55,4,FALSE))</f>
        <v>36</v>
      </c>
      <c r="D33" s="4">
        <f>(VLOOKUP('14.05'!L33,'14.05'!$AM$4:$AP$55,4,FALSE))</f>
        <v>36</v>
      </c>
      <c r="E33" s="4">
        <f>(VLOOKUP('14.05'!M33,'14.05'!$AM$4:$AP$55,4,FALSE))</f>
        <v>36</v>
      </c>
      <c r="F33" s="4">
        <f>(VLOOKUP('14.05'!N33,'14.05'!$AM$4:$AP$55,4,FALSE))</f>
        <v>36</v>
      </c>
      <c r="G33" s="4">
        <f>(VLOOKUP('14.05'!O33,'14.05'!$AM$4:$AP$55,4,FALSE))</f>
        <v>0</v>
      </c>
      <c r="H33" s="4">
        <f>(VLOOKUP('14.05'!P33,'14.05'!$AM$4:$AP$55,4,FALSE))</f>
        <v>0</v>
      </c>
      <c r="I33" s="4">
        <f>(VLOOKUP('14.05'!Q33,'14.05'!$AM$4:$AP$55,4,FALSE))</f>
        <v>0</v>
      </c>
      <c r="J33" s="4">
        <f>(VLOOKUP('14.05'!R33,'14.05'!$AM$4:$AP$55,4,FALSE))</f>
        <v>0</v>
      </c>
      <c r="K33" s="4">
        <f>(VLOOKUP('14.05'!S33,'14.05'!$AM$4:$AP$55,4,FALSE))</f>
        <v>0</v>
      </c>
      <c r="L33" s="4">
        <f>(VLOOKUP('14.05'!T33,'14.05'!$AM$4:$AP$55,4,FALSE))</f>
        <v>0</v>
      </c>
      <c r="M33" s="4">
        <f>(VLOOKUP('14.05'!U33,'14.05'!$AM$4:$AP$55,4,FALSE))</f>
        <v>0</v>
      </c>
      <c r="N33" s="4">
        <f>(VLOOKUP('14.05'!V33,'14.05'!$AM$4:$AP$55,4,FALSE))</f>
        <v>0</v>
      </c>
      <c r="O33" s="4">
        <f>(VLOOKUP('14.05'!W33,'14.05'!$AM$4:$AP$55,4,FALSE))</f>
        <v>0</v>
      </c>
      <c r="P33" s="4">
        <f>(VLOOKUP('14.05'!X33,'14.05'!$AM$4:$AP$55,4,FALSE))</f>
        <v>0</v>
      </c>
      <c r="Q33" s="4">
        <f>(VLOOKUP('14.05'!Y33,'14.05'!$AM$4:$AP$55,4,FALSE))</f>
        <v>34</v>
      </c>
      <c r="R33" s="4">
        <f>(VLOOKUP('14.05'!Z33,'14.05'!$AM$4:$AP$55,4,FALSE))</f>
        <v>34</v>
      </c>
      <c r="S33" s="4">
        <f>(VLOOKUP('14.05'!AA33,'14.05'!$AM$4:$AP$55,4,FALSE))</f>
        <v>34</v>
      </c>
      <c r="T33" s="4">
        <f>(VLOOKUP('14.05'!AB33,'14.05'!$AM$4:$AP$55,4,FALSE))</f>
        <v>34</v>
      </c>
      <c r="U33" s="4">
        <f>(VLOOKUP('14.05'!AC33,'14.05'!$AM$4:$AP$55,4,FALSE))</f>
        <v>34</v>
      </c>
      <c r="V33" s="4">
        <f>(VLOOKUP('14.05'!AD33,'14.05'!$AM$4:$AP$55,4,FALSE))</f>
        <v>34</v>
      </c>
      <c r="W33" s="4">
        <f>(VLOOKUP('14.05'!AE33,'14.05'!$AM$4:$AP$55,4,FALSE))</f>
        <v>0</v>
      </c>
      <c r="X33" s="4">
        <f>(VLOOKUP('14.05'!AF33,'14.05'!$AM$4:$AP$55,4,FALSE))</f>
        <v>0</v>
      </c>
    </row>
    <row r="34" spans="1:24">
      <c r="A34" s="4">
        <f>(VLOOKUP('14.05'!I34,'14.05'!$AM$4:$AP$55,4,FALSE))</f>
        <v>36</v>
      </c>
      <c r="B34" s="4">
        <f>(VLOOKUP('14.05'!J34,'14.05'!$AM$4:$AP$55,4,FALSE))</f>
        <v>36</v>
      </c>
      <c r="C34" s="4">
        <f>(VLOOKUP('14.05'!K34,'14.05'!$AM$4:$AP$55,4,FALSE))</f>
        <v>36</v>
      </c>
      <c r="D34" s="4">
        <f>(VLOOKUP('14.05'!L34,'14.05'!$AM$4:$AP$55,4,FALSE))</f>
        <v>36</v>
      </c>
      <c r="E34" s="4">
        <f>(VLOOKUP('14.05'!M34,'14.05'!$AM$4:$AP$55,4,FALSE))</f>
        <v>36</v>
      </c>
      <c r="F34" s="4">
        <f>(VLOOKUP('14.05'!N34,'14.05'!$AM$4:$AP$55,4,FALSE))</f>
        <v>0</v>
      </c>
      <c r="G34" s="4">
        <f>(VLOOKUP('14.05'!O34,'14.05'!$AM$4:$AP$55,4,FALSE))</f>
        <v>0</v>
      </c>
      <c r="H34" s="4">
        <f>(VLOOKUP('14.05'!P34,'14.05'!$AM$4:$AP$55,4,FALSE))</f>
        <v>0</v>
      </c>
      <c r="I34" s="4">
        <f>(VLOOKUP('14.05'!Q34,'14.05'!$AM$4:$AP$55,4,FALSE))</f>
        <v>0</v>
      </c>
      <c r="J34" s="4">
        <f>(VLOOKUP('14.05'!R34,'14.05'!$AM$4:$AP$55,4,FALSE))</f>
        <v>0</v>
      </c>
      <c r="K34" s="4">
        <f>(VLOOKUP('14.05'!S34,'14.05'!$AM$4:$AP$55,4,FALSE))</f>
        <v>0</v>
      </c>
      <c r="L34" s="4">
        <f>(VLOOKUP('14.05'!T34,'14.05'!$AM$4:$AP$55,4,FALSE))</f>
        <v>0</v>
      </c>
      <c r="M34" s="4">
        <f>(VLOOKUP('14.05'!U34,'14.05'!$AM$4:$AP$55,4,FALSE))</f>
        <v>0</v>
      </c>
      <c r="N34" s="4">
        <f>(VLOOKUP('14.05'!V34,'14.05'!$AM$4:$AP$55,4,FALSE))</f>
        <v>0</v>
      </c>
      <c r="O34" s="4">
        <f>(VLOOKUP('14.05'!W34,'14.05'!$AM$4:$AP$55,4,FALSE))</f>
        <v>0</v>
      </c>
      <c r="P34" s="4">
        <f>(VLOOKUP('14.05'!X34,'14.05'!$AM$4:$AP$55,4,FALSE))</f>
        <v>0</v>
      </c>
      <c r="Q34" s="4">
        <f>(VLOOKUP('14.05'!Y34,'14.05'!$AM$4:$AP$55,4,FALSE))</f>
        <v>34</v>
      </c>
      <c r="R34" s="4">
        <f>(VLOOKUP('14.05'!Z34,'14.05'!$AM$4:$AP$55,4,FALSE))</f>
        <v>34</v>
      </c>
      <c r="S34" s="4">
        <f>(VLOOKUP('14.05'!AA34,'14.05'!$AM$4:$AP$55,4,FALSE))</f>
        <v>34</v>
      </c>
      <c r="T34" s="4">
        <f>(VLOOKUP('14.05'!AB34,'14.05'!$AM$4:$AP$55,4,FALSE))</f>
        <v>34</v>
      </c>
      <c r="U34" s="4">
        <f>(VLOOKUP('14.05'!AC34,'14.05'!$AM$4:$AP$55,4,FALSE))</f>
        <v>34</v>
      </c>
      <c r="V34" s="4">
        <f>(VLOOKUP('14.05'!AD34,'14.05'!$AM$4:$AP$55,4,FALSE))</f>
        <v>34</v>
      </c>
      <c r="W34" s="4">
        <f>(VLOOKUP('14.05'!AE34,'14.05'!$AM$4:$AP$55,4,FALSE))</f>
        <v>0</v>
      </c>
      <c r="X34" s="4">
        <f>(VLOOKUP('14.05'!AF34,'14.05'!$AM$4:$AP$55,4,FALSE))</f>
        <v>0</v>
      </c>
    </row>
    <row r="35" spans="1:24">
      <c r="A35" s="4">
        <f>(VLOOKUP('14.05'!I35,'14.05'!$AM$4:$AP$55,4,FALSE))</f>
        <v>34</v>
      </c>
      <c r="B35" s="4">
        <f>(VLOOKUP('14.05'!J35,'14.05'!$AM$4:$AP$55,4,FALSE))</f>
        <v>34</v>
      </c>
      <c r="C35" s="4">
        <f>(VLOOKUP('14.05'!K35,'14.05'!$AM$4:$AP$55,4,FALSE))</f>
        <v>34</v>
      </c>
      <c r="D35" s="4">
        <f>(VLOOKUP('14.05'!L35,'14.05'!$AM$4:$AP$55,4,FALSE))</f>
        <v>34</v>
      </c>
      <c r="E35" s="4">
        <f>(VLOOKUP('14.05'!M35,'14.05'!$AM$4:$AP$55,4,FALSE))</f>
        <v>34</v>
      </c>
      <c r="F35" s="4">
        <f>(VLOOKUP('14.05'!N35,'14.05'!$AM$4:$AP$55,4,FALSE))</f>
        <v>34</v>
      </c>
      <c r="G35" s="4">
        <f>(VLOOKUP('14.05'!O35,'14.05'!$AM$4:$AP$55,4,FALSE))</f>
        <v>0</v>
      </c>
      <c r="H35" s="4">
        <f>(VLOOKUP('14.05'!P35,'14.05'!$AM$4:$AP$55,4,FALSE))</f>
        <v>0</v>
      </c>
      <c r="I35" s="4">
        <f>(VLOOKUP('14.05'!Q35,'14.05'!$AM$4:$AP$55,4,FALSE))</f>
        <v>0</v>
      </c>
      <c r="J35" s="4">
        <f>(VLOOKUP('14.05'!R35,'14.05'!$AM$4:$AP$55,4,FALSE))</f>
        <v>0</v>
      </c>
      <c r="K35" s="4">
        <f>(VLOOKUP('14.05'!S35,'14.05'!$AM$4:$AP$55,4,FALSE))</f>
        <v>0</v>
      </c>
      <c r="L35" s="4">
        <f>(VLOOKUP('14.05'!T35,'14.05'!$AM$4:$AP$55,4,FALSE))</f>
        <v>0</v>
      </c>
      <c r="M35" s="4">
        <f>(VLOOKUP('14.05'!U35,'14.05'!$AM$4:$AP$55,4,FALSE))</f>
        <v>0</v>
      </c>
      <c r="N35" s="4">
        <f>(VLOOKUP('14.05'!V35,'14.05'!$AM$4:$AP$55,4,FALSE))</f>
        <v>0</v>
      </c>
      <c r="O35" s="4">
        <f>(VLOOKUP('14.05'!W35,'14.05'!$AM$4:$AP$55,4,FALSE))</f>
        <v>0</v>
      </c>
      <c r="P35" s="4">
        <f>(VLOOKUP('14.05'!X35,'14.05'!$AM$4:$AP$55,4,FALSE))</f>
        <v>0</v>
      </c>
      <c r="Q35" s="4">
        <f>(VLOOKUP('14.05'!Y35,'14.05'!$AM$4:$AP$55,4,FALSE))</f>
        <v>10</v>
      </c>
      <c r="R35" s="4">
        <f>(VLOOKUP('14.05'!Z35,'14.05'!$AM$4:$AP$55,4,FALSE))</f>
        <v>34</v>
      </c>
      <c r="S35" s="4">
        <f>(VLOOKUP('14.05'!AA35,'14.05'!$AM$4:$AP$55,4,FALSE))</f>
        <v>34</v>
      </c>
      <c r="T35" s="4">
        <f>(VLOOKUP('14.05'!AB35,'14.05'!$AM$4:$AP$55,4,FALSE))</f>
        <v>34</v>
      </c>
      <c r="U35" s="4">
        <f>(VLOOKUP('14.05'!AC35,'14.05'!$AM$4:$AP$55,4,FALSE))</f>
        <v>34</v>
      </c>
      <c r="V35" s="4">
        <f>(VLOOKUP('14.05'!AD35,'14.05'!$AM$4:$AP$55,4,FALSE))</f>
        <v>34</v>
      </c>
      <c r="W35" s="4">
        <f>(VLOOKUP('14.05'!AE35,'14.05'!$AM$4:$AP$55,4,FALSE))</f>
        <v>0</v>
      </c>
      <c r="X35" s="4">
        <f>(VLOOKUP('14.05'!AF35,'14.05'!$AM$4:$AP$55,4,FALSE))</f>
        <v>0</v>
      </c>
    </row>
    <row r="36" spans="1:24">
      <c r="A36" s="4">
        <f>(VLOOKUP('14.05'!I36,'14.05'!$AM$4:$AP$55,4,FALSE))</f>
        <v>34</v>
      </c>
      <c r="B36" s="4">
        <f>(VLOOKUP('14.05'!J36,'14.05'!$AM$4:$AP$55,4,FALSE))</f>
        <v>34</v>
      </c>
      <c r="C36" s="4">
        <f>(VLOOKUP('14.05'!K36,'14.05'!$AM$4:$AP$55,4,FALSE))</f>
        <v>34</v>
      </c>
      <c r="D36" s="4">
        <f>(VLOOKUP('14.05'!L36,'14.05'!$AM$4:$AP$55,4,FALSE))</f>
        <v>34</v>
      </c>
      <c r="E36" s="4">
        <f>(VLOOKUP('14.05'!M36,'14.05'!$AM$4:$AP$55,4,FALSE))</f>
        <v>34</v>
      </c>
      <c r="F36" s="4">
        <f>(VLOOKUP('14.05'!N36,'14.05'!$AM$4:$AP$55,4,FALSE))</f>
        <v>34</v>
      </c>
      <c r="G36" s="4">
        <f>(VLOOKUP('14.05'!O36,'14.05'!$AM$4:$AP$55,4,FALSE))</f>
        <v>0</v>
      </c>
      <c r="H36" s="4">
        <f>(VLOOKUP('14.05'!P36,'14.05'!$AM$4:$AP$55,4,FALSE))</f>
        <v>0</v>
      </c>
      <c r="I36" s="4">
        <f>(VLOOKUP('14.05'!Q36,'14.05'!$AM$4:$AP$55,4,FALSE))</f>
        <v>0</v>
      </c>
      <c r="J36" s="4">
        <f>(VLOOKUP('14.05'!R36,'14.05'!$AM$4:$AP$55,4,FALSE))</f>
        <v>0</v>
      </c>
      <c r="K36" s="4">
        <f>(VLOOKUP('14.05'!S36,'14.05'!$AM$4:$AP$55,4,FALSE))</f>
        <v>0</v>
      </c>
      <c r="L36" s="4">
        <f>(VLOOKUP('14.05'!T36,'14.05'!$AM$4:$AP$55,4,FALSE))</f>
        <v>0</v>
      </c>
      <c r="M36" s="4">
        <f>(VLOOKUP('14.05'!U36,'14.05'!$AM$4:$AP$55,4,FALSE))</f>
        <v>0</v>
      </c>
      <c r="N36" s="4">
        <f>(VLOOKUP('14.05'!V36,'14.05'!$AM$4:$AP$55,4,FALSE))</f>
        <v>0</v>
      </c>
      <c r="O36" s="4">
        <f>(VLOOKUP('14.05'!W36,'14.05'!$AM$4:$AP$55,4,FALSE))</f>
        <v>0</v>
      </c>
      <c r="P36" s="4">
        <f>(VLOOKUP('14.05'!X36,'14.05'!$AM$4:$AP$55,4,FALSE))</f>
        <v>0</v>
      </c>
      <c r="Q36" s="4">
        <f>(VLOOKUP('14.05'!Y36,'14.05'!$AM$4:$AP$55,4,FALSE))</f>
        <v>34</v>
      </c>
      <c r="R36" s="4">
        <f>(VLOOKUP('14.05'!Z36,'14.05'!$AM$4:$AP$55,4,FALSE))</f>
        <v>34</v>
      </c>
      <c r="S36" s="4">
        <f>(VLOOKUP('14.05'!AA36,'14.05'!$AM$4:$AP$55,4,FALSE))</f>
        <v>34</v>
      </c>
      <c r="T36" s="4">
        <f>(VLOOKUP('14.05'!AB36,'14.05'!$AM$4:$AP$55,4,FALSE))</f>
        <v>34</v>
      </c>
      <c r="U36" s="4">
        <f>(VLOOKUP('14.05'!AC36,'14.05'!$AM$4:$AP$55,4,FALSE))</f>
        <v>34</v>
      </c>
      <c r="V36" s="4">
        <f>(VLOOKUP('14.05'!AD36,'14.05'!$AM$4:$AP$55,4,FALSE))</f>
        <v>34</v>
      </c>
      <c r="W36" s="4">
        <f>(VLOOKUP('14.05'!AE36,'14.05'!$AM$4:$AP$55,4,FALSE))</f>
        <v>0</v>
      </c>
      <c r="X36" s="4">
        <f>(VLOOKUP('14.05'!AF36,'14.05'!$AM$4:$AP$55,4,FALSE))</f>
        <v>0</v>
      </c>
    </row>
    <row r="37" spans="1:24">
      <c r="A37" s="4">
        <f>(VLOOKUP('14.05'!I37,'14.05'!$AM$4:$AP$55,4,FALSE))</f>
        <v>34</v>
      </c>
      <c r="B37" s="4">
        <f>(VLOOKUP('14.05'!J37,'14.05'!$AM$4:$AP$55,4,FALSE))</f>
        <v>34</v>
      </c>
      <c r="C37" s="4">
        <f>(VLOOKUP('14.05'!K37,'14.05'!$AM$4:$AP$55,4,FALSE))</f>
        <v>34</v>
      </c>
      <c r="D37" s="4">
        <f>(VLOOKUP('14.05'!L37,'14.05'!$AM$4:$AP$55,4,FALSE))</f>
        <v>34</v>
      </c>
      <c r="E37" s="4">
        <f>(VLOOKUP('14.05'!M37,'14.05'!$AM$4:$AP$55,4,FALSE))</f>
        <v>34</v>
      </c>
      <c r="F37" s="4">
        <f>(VLOOKUP('14.05'!N37,'14.05'!$AM$4:$AP$55,4,FALSE))</f>
        <v>34</v>
      </c>
      <c r="G37" s="4">
        <f>(VLOOKUP('14.05'!O37,'14.05'!$AM$4:$AP$55,4,FALSE))</f>
        <v>0</v>
      </c>
      <c r="H37" s="4">
        <f>(VLOOKUP('14.05'!P37,'14.05'!$AM$4:$AP$55,4,FALSE))</f>
        <v>0</v>
      </c>
      <c r="I37" s="4">
        <f>(VLOOKUP('14.05'!Q37,'14.05'!$AM$4:$AP$55,4,FALSE))</f>
        <v>0</v>
      </c>
      <c r="J37" s="4">
        <f>(VLOOKUP('14.05'!R37,'14.05'!$AM$4:$AP$55,4,FALSE))</f>
        <v>0</v>
      </c>
      <c r="K37" s="4">
        <f>(VLOOKUP('14.05'!S37,'14.05'!$AM$4:$AP$55,4,FALSE))</f>
        <v>0</v>
      </c>
      <c r="L37" s="4">
        <f>(VLOOKUP('14.05'!T37,'14.05'!$AM$4:$AP$55,4,FALSE))</f>
        <v>0</v>
      </c>
      <c r="M37" s="4">
        <f>(VLOOKUP('14.05'!U37,'14.05'!$AM$4:$AP$55,4,FALSE))</f>
        <v>0</v>
      </c>
      <c r="N37" s="4">
        <f>(VLOOKUP('14.05'!V37,'14.05'!$AM$4:$AP$55,4,FALSE))</f>
        <v>0</v>
      </c>
      <c r="O37" s="4">
        <f>(VLOOKUP('14.05'!W37,'14.05'!$AM$4:$AP$55,4,FALSE))</f>
        <v>0</v>
      </c>
      <c r="P37" s="4">
        <f>(VLOOKUP('14.05'!X37,'14.05'!$AM$4:$AP$55,4,FALSE))</f>
        <v>0</v>
      </c>
      <c r="Q37" s="4">
        <f>(VLOOKUP('14.05'!Y37,'14.05'!$AM$4:$AP$55,4,FALSE))</f>
        <v>34</v>
      </c>
      <c r="R37" s="4">
        <f>(VLOOKUP('14.05'!Z37,'14.05'!$AM$4:$AP$55,4,FALSE))</f>
        <v>34</v>
      </c>
      <c r="S37" s="4">
        <f>(VLOOKUP('14.05'!AA37,'14.05'!$AM$4:$AP$55,4,FALSE))</f>
        <v>34</v>
      </c>
      <c r="T37" s="4">
        <f>(VLOOKUP('14.05'!AB37,'14.05'!$AM$4:$AP$55,4,FALSE))</f>
        <v>34</v>
      </c>
      <c r="U37" s="4">
        <f>(VLOOKUP('14.05'!AC37,'14.05'!$AM$4:$AP$55,4,FALSE))</f>
        <v>10</v>
      </c>
      <c r="V37" s="4">
        <f>(VLOOKUP('14.05'!AD37,'14.05'!$AM$4:$AP$55,4,FALSE))</f>
        <v>34</v>
      </c>
      <c r="W37" s="4">
        <f>(VLOOKUP('14.05'!AE37,'14.05'!$AM$4:$AP$55,4,FALSE))</f>
        <v>0</v>
      </c>
      <c r="X37" s="4">
        <f>(VLOOKUP('14.05'!AF37,'14.05'!$AM$4:$AP$55,4,FALSE))</f>
        <v>0</v>
      </c>
    </row>
    <row r="38" spans="1:24">
      <c r="A38" s="4">
        <f>(VLOOKUP('14.05'!I38,'14.05'!$AM$4:$AP$55,4,FALSE))</f>
        <v>34</v>
      </c>
      <c r="B38" s="4">
        <f>(VLOOKUP('14.05'!J38,'14.05'!$AM$4:$AP$55,4,FALSE))</f>
        <v>39.110982162825422</v>
      </c>
      <c r="C38" s="4">
        <f>(VLOOKUP('14.05'!K38,'14.05'!$AM$4:$AP$55,4,FALSE))</f>
        <v>10</v>
      </c>
      <c r="D38" s="4">
        <f>(VLOOKUP('14.05'!L38,'14.05'!$AM$4:$AP$55,4,FALSE))</f>
        <v>34</v>
      </c>
      <c r="E38" s="4">
        <f>(VLOOKUP('14.05'!M38,'14.05'!$AM$4:$AP$55,4,FALSE))</f>
        <v>0</v>
      </c>
      <c r="F38" s="4">
        <f>(VLOOKUP('14.05'!N38,'14.05'!$AM$4:$AP$55,4,FALSE))</f>
        <v>34</v>
      </c>
      <c r="G38" s="4">
        <f>(VLOOKUP('14.05'!O38,'14.05'!$AM$4:$AP$55,4,FALSE))</f>
        <v>0</v>
      </c>
      <c r="H38" s="4">
        <f>(VLOOKUP('14.05'!P38,'14.05'!$AM$4:$AP$55,4,FALSE))</f>
        <v>0</v>
      </c>
      <c r="I38" s="4">
        <f>(VLOOKUP('14.05'!Q38,'14.05'!$AM$4:$AP$55,4,FALSE))</f>
        <v>34</v>
      </c>
      <c r="J38" s="4">
        <f>(VLOOKUP('14.05'!R38,'14.05'!$AM$4:$AP$55,4,FALSE))</f>
        <v>36</v>
      </c>
      <c r="K38" s="4">
        <f>(VLOOKUP('14.05'!S38,'14.05'!$AM$4:$AP$55,4,FALSE))</f>
        <v>36</v>
      </c>
      <c r="L38" s="4">
        <f>(VLOOKUP('14.05'!T38,'14.05'!$AM$4:$AP$55,4,FALSE))</f>
        <v>36</v>
      </c>
      <c r="M38" s="4">
        <f>(VLOOKUP('14.05'!U38,'14.05'!$AM$4:$AP$55,4,FALSE))</f>
        <v>36</v>
      </c>
      <c r="N38" s="4">
        <f>(VLOOKUP('14.05'!V38,'14.05'!$AM$4:$AP$55,4,FALSE))</f>
        <v>36</v>
      </c>
      <c r="O38" s="4">
        <f>(VLOOKUP('14.05'!W38,'14.05'!$AM$4:$AP$55,4,FALSE))</f>
        <v>0</v>
      </c>
      <c r="P38" s="4">
        <f>(VLOOKUP('14.05'!X38,'14.05'!$AM$4:$AP$55,4,FALSE))</f>
        <v>0</v>
      </c>
      <c r="Q38" s="4">
        <f>(VLOOKUP('14.05'!Y38,'14.05'!$AM$4:$AP$55,4,FALSE))</f>
        <v>39.110982162825422</v>
      </c>
      <c r="R38" s="4">
        <f>(VLOOKUP('14.05'!Z38,'14.05'!$AM$4:$AP$55,4,FALSE))</f>
        <v>34</v>
      </c>
      <c r="S38" s="4">
        <f>(VLOOKUP('14.05'!AA38,'14.05'!$AM$4:$AP$55,4,FALSE))</f>
        <v>34</v>
      </c>
      <c r="T38" s="4">
        <f>(VLOOKUP('14.05'!AB38,'14.05'!$AM$4:$AP$55,4,FALSE))</f>
        <v>34</v>
      </c>
      <c r="U38" s="4">
        <f>(VLOOKUP('14.05'!AC38,'14.05'!$AM$4:$AP$55,4,FALSE))</f>
        <v>34</v>
      </c>
      <c r="V38" s="4">
        <f>(VLOOKUP('14.05'!AD38,'14.05'!$AM$4:$AP$55,4,FALSE))</f>
        <v>39.110982162825422</v>
      </c>
      <c r="W38" s="4">
        <f>(VLOOKUP('14.05'!AE38,'14.05'!$AM$4:$AP$55,4,FALSE))</f>
        <v>0</v>
      </c>
      <c r="X38" s="4">
        <f>(VLOOKUP('14.05'!AF38,'14.05'!$AM$4:$AP$55,4,FALSE))</f>
        <v>0</v>
      </c>
    </row>
    <row r="39" spans="1:24">
      <c r="A39" s="4">
        <f>(VLOOKUP('14.05'!I39,'14.05'!$AM$4:$AP$55,4,FALSE))</f>
        <v>34</v>
      </c>
      <c r="B39" s="4">
        <f>(VLOOKUP('14.05'!J39,'14.05'!$AM$4:$AP$55,4,FALSE))</f>
        <v>34</v>
      </c>
      <c r="C39" s="4">
        <f>(VLOOKUP('14.05'!K39,'14.05'!$AM$4:$AP$55,4,FALSE))</f>
        <v>10</v>
      </c>
      <c r="D39" s="4">
        <f>(VLOOKUP('14.05'!L39,'14.05'!$AM$4:$AP$55,4,FALSE))</f>
        <v>34</v>
      </c>
      <c r="E39" s="4">
        <f>(VLOOKUP('14.05'!M39,'14.05'!$AM$4:$AP$55,4,FALSE))</f>
        <v>34</v>
      </c>
      <c r="F39" s="4">
        <f>(VLOOKUP('14.05'!N39,'14.05'!$AM$4:$AP$55,4,FALSE))</f>
        <v>34</v>
      </c>
      <c r="G39" s="4">
        <f>(VLOOKUP('14.05'!O39,'14.05'!$AM$4:$AP$55,4,FALSE))</f>
        <v>0</v>
      </c>
      <c r="H39" s="4">
        <f>(VLOOKUP('14.05'!P39,'14.05'!$AM$4:$AP$55,4,FALSE))</f>
        <v>0</v>
      </c>
      <c r="I39" s="4">
        <f>(VLOOKUP('14.05'!Q39,'14.05'!$AM$4:$AP$55,4,FALSE))</f>
        <v>36</v>
      </c>
      <c r="J39" s="4">
        <f>(VLOOKUP('14.05'!R39,'14.05'!$AM$4:$AP$55,4,FALSE))</f>
        <v>36</v>
      </c>
      <c r="K39" s="4">
        <f>(VLOOKUP('14.05'!S39,'14.05'!$AM$4:$AP$55,4,FALSE))</f>
        <v>36</v>
      </c>
      <c r="L39" s="4">
        <f>(VLOOKUP('14.05'!T39,'14.05'!$AM$4:$AP$55,4,FALSE))</f>
        <v>36</v>
      </c>
      <c r="M39" s="4">
        <f>(VLOOKUP('14.05'!U39,'14.05'!$AM$4:$AP$55,4,FALSE))</f>
        <v>36</v>
      </c>
      <c r="N39" s="4">
        <f>(VLOOKUP('14.05'!V39,'14.05'!$AM$4:$AP$55,4,FALSE))</f>
        <v>0</v>
      </c>
      <c r="O39" s="4">
        <f>(VLOOKUP('14.05'!W39,'14.05'!$AM$4:$AP$55,4,FALSE))</f>
        <v>0</v>
      </c>
      <c r="P39" s="4">
        <f>(VLOOKUP('14.05'!X39,'14.05'!$AM$4:$AP$55,4,FALSE))</f>
        <v>0</v>
      </c>
      <c r="Q39" s="4">
        <f>(VLOOKUP('14.05'!Y39,'14.05'!$AM$4:$AP$55,4,FALSE))</f>
        <v>10</v>
      </c>
      <c r="R39" s="4">
        <f>(VLOOKUP('14.05'!Z39,'14.05'!$AM$4:$AP$55,4,FALSE))</f>
        <v>39.110982162825422</v>
      </c>
      <c r="S39" s="4">
        <f>(VLOOKUP('14.05'!AA39,'14.05'!$AM$4:$AP$55,4,FALSE))</f>
        <v>39.110982162825422</v>
      </c>
      <c r="T39" s="4">
        <f>(VLOOKUP('14.05'!AB39,'14.05'!$AM$4:$AP$55,4,FALSE))</f>
        <v>39.110982162825422</v>
      </c>
      <c r="U39" s="4">
        <f>(VLOOKUP('14.05'!AC39,'14.05'!$AM$4:$AP$55,4,FALSE))</f>
        <v>44.222109392472248</v>
      </c>
      <c r="V39" s="4">
        <f>(VLOOKUP('14.05'!AD39,'14.05'!$AM$4:$AP$55,4,FALSE))</f>
        <v>10</v>
      </c>
      <c r="W39" s="4">
        <f>(VLOOKUP('14.05'!AE39,'14.05'!$AM$4:$AP$55,4,FALSE))</f>
        <v>0</v>
      </c>
      <c r="X39" s="4">
        <f>(VLOOKUP('14.05'!AF39,'14.05'!$AM$4:$AP$55,4,FALSE))</f>
        <v>0</v>
      </c>
    </row>
    <row r="40" spans="1:24">
      <c r="A40" s="4">
        <f>(VLOOKUP('14.05'!I40,'14.05'!$AM$4:$AP$55,4,FALSE))</f>
        <v>34</v>
      </c>
      <c r="B40" s="4">
        <f>(VLOOKUP('14.05'!J40,'14.05'!$AM$4:$AP$55,4,FALSE))</f>
        <v>39.110982162825422</v>
      </c>
      <c r="C40" s="4">
        <f>(VLOOKUP('14.05'!K40,'14.05'!$AM$4:$AP$55,4,FALSE))</f>
        <v>39.110982162825422</v>
      </c>
      <c r="D40" s="4">
        <f>(VLOOKUP('14.05'!L40,'14.05'!$AM$4:$AP$55,4,FALSE))</f>
        <v>10</v>
      </c>
      <c r="E40" s="4">
        <f>(VLOOKUP('14.05'!M40,'14.05'!$AM$4:$AP$55,4,FALSE))</f>
        <v>39.110982162825422</v>
      </c>
      <c r="F40" s="4">
        <f>(VLOOKUP('14.05'!N40,'14.05'!$AM$4:$AP$55,4,FALSE))</f>
        <v>0</v>
      </c>
      <c r="G40" s="4">
        <f>(VLOOKUP('14.05'!O40,'14.05'!$AM$4:$AP$55,4,FALSE))</f>
        <v>0</v>
      </c>
      <c r="H40" s="4">
        <f>(VLOOKUP('14.05'!P40,'14.05'!$AM$4:$AP$55,4,FALSE))</f>
        <v>0</v>
      </c>
      <c r="I40" s="4">
        <f>(VLOOKUP('14.05'!Q40,'14.05'!$AM$4:$AP$55,4,FALSE))</f>
        <v>36</v>
      </c>
      <c r="J40" s="4">
        <f>(VLOOKUP('14.05'!R40,'14.05'!$AM$4:$AP$55,4,FALSE))</f>
        <v>10</v>
      </c>
      <c r="K40" s="4">
        <f>(VLOOKUP('14.05'!S40,'14.05'!$AM$4:$AP$55,4,FALSE))</f>
        <v>38</v>
      </c>
      <c r="L40" s="4">
        <f>(VLOOKUP('14.05'!T40,'14.05'!$AM$4:$AP$55,4,FALSE))</f>
        <v>38</v>
      </c>
      <c r="M40" s="4">
        <f>(VLOOKUP('14.05'!U40,'14.05'!$AM$4:$AP$55,4,FALSE))</f>
        <v>38</v>
      </c>
      <c r="N40" s="4">
        <f>(VLOOKUP('14.05'!V40,'14.05'!$AM$4:$AP$55,4,FALSE))</f>
        <v>0</v>
      </c>
      <c r="O40" s="4">
        <f>(VLOOKUP('14.05'!W40,'14.05'!$AM$4:$AP$55,4,FALSE))</f>
        <v>38</v>
      </c>
      <c r="P40" s="4">
        <f>(VLOOKUP('14.05'!X40,'14.05'!$AM$4:$AP$55,4,FALSE))</f>
        <v>38</v>
      </c>
      <c r="Q40" s="4">
        <f>(VLOOKUP('14.05'!Y40,'14.05'!$AM$4:$AP$55,4,FALSE))</f>
        <v>0</v>
      </c>
      <c r="R40" s="4">
        <f>(VLOOKUP('14.05'!Z40,'14.05'!$AM$4:$AP$55,4,FALSE))</f>
        <v>0</v>
      </c>
      <c r="S40" s="4">
        <f>(VLOOKUP('14.05'!AA40,'14.05'!$AM$4:$AP$55,4,FALSE))</f>
        <v>0</v>
      </c>
      <c r="T40" s="4">
        <f>(VLOOKUP('14.05'!AB40,'14.05'!$AM$4:$AP$55,4,FALSE))</f>
        <v>0</v>
      </c>
      <c r="U40" s="4">
        <f>(VLOOKUP('14.05'!AC40,'14.05'!$AM$4:$AP$55,4,FALSE))</f>
        <v>0</v>
      </c>
      <c r="V40" s="4">
        <f>(VLOOKUP('14.05'!AD40,'14.05'!$AM$4:$AP$55,4,FALSE))</f>
        <v>0</v>
      </c>
      <c r="W40" s="4">
        <f>(VLOOKUP('14.05'!AE40,'14.05'!$AM$4:$AP$55,4,FALSE))</f>
        <v>0</v>
      </c>
      <c r="X40" s="4">
        <f>(VLOOKUP('14.05'!AF40,'14.05'!$AM$4:$AP$55,4,FALSE))</f>
        <v>0</v>
      </c>
    </row>
    <row r="41" spans="1:24">
      <c r="A41" s="4">
        <f>(VLOOKUP('14.05'!I41,'14.05'!$AM$4:$AP$55,4,FALSE))</f>
        <v>39.110982162825422</v>
      </c>
      <c r="B41" s="4">
        <f>(VLOOKUP('14.05'!J41,'14.05'!$AM$4:$AP$55,4,FALSE))</f>
        <v>39.110982162825422</v>
      </c>
      <c r="C41" s="4">
        <f>(VLOOKUP('14.05'!K41,'14.05'!$AM$4:$AP$55,4,FALSE))</f>
        <v>39.110982162825422</v>
      </c>
      <c r="D41" s="4">
        <f>(VLOOKUP('14.05'!L41,'14.05'!$AM$4:$AP$55,4,FALSE))</f>
        <v>44.222109392472248</v>
      </c>
      <c r="E41" s="4">
        <f>(VLOOKUP('14.05'!M41,'14.05'!$AM$4:$AP$55,4,FALSE))</f>
        <v>10</v>
      </c>
      <c r="F41" s="4">
        <f>(VLOOKUP('14.05'!N41,'14.05'!$AM$4:$AP$55,4,FALSE))</f>
        <v>34</v>
      </c>
      <c r="G41" s="4">
        <f>(VLOOKUP('14.05'!O41,'14.05'!$AM$4:$AP$55,4,FALSE))</f>
        <v>0</v>
      </c>
      <c r="H41" s="4">
        <f>(VLOOKUP('14.05'!P41,'14.05'!$AM$4:$AP$55,4,FALSE))</f>
        <v>0</v>
      </c>
      <c r="I41" s="4">
        <f>(VLOOKUP('14.05'!Q41,'14.05'!$AM$4:$AP$55,4,FALSE))</f>
        <v>38</v>
      </c>
      <c r="J41" s="4">
        <f>(VLOOKUP('14.05'!R41,'14.05'!$AM$4:$AP$55,4,FALSE))</f>
        <v>38</v>
      </c>
      <c r="K41" s="4">
        <f>(VLOOKUP('14.05'!S41,'14.05'!$AM$4:$AP$55,4,FALSE))</f>
        <v>38</v>
      </c>
      <c r="L41" s="4">
        <f>(VLOOKUP('14.05'!T41,'14.05'!$AM$4:$AP$55,4,FALSE))</f>
        <v>38</v>
      </c>
      <c r="M41" s="4">
        <f>(VLOOKUP('14.05'!U41,'14.05'!$AM$4:$AP$55,4,FALSE))</f>
        <v>38</v>
      </c>
      <c r="N41" s="4">
        <f>(VLOOKUP('14.05'!V41,'14.05'!$AM$4:$AP$55,4,FALSE))</f>
        <v>38</v>
      </c>
      <c r="O41" s="4">
        <f>(VLOOKUP('14.05'!W41,'14.05'!$AM$4:$AP$55,4,FALSE))</f>
        <v>0</v>
      </c>
      <c r="P41" s="4">
        <f>(VLOOKUP('14.05'!X41,'14.05'!$AM$4:$AP$55,4,FALSE))</f>
        <v>0</v>
      </c>
      <c r="Q41" s="4">
        <f>(VLOOKUP('14.05'!Y41,'14.05'!$AM$4:$AP$55,4,FALSE))</f>
        <v>0</v>
      </c>
      <c r="R41" s="4">
        <f>(VLOOKUP('14.05'!Z41,'14.05'!$AM$4:$AP$55,4,FALSE))</f>
        <v>0</v>
      </c>
      <c r="S41" s="4">
        <f>(VLOOKUP('14.05'!AA41,'14.05'!$AM$4:$AP$55,4,FALSE))</f>
        <v>0</v>
      </c>
      <c r="T41" s="4">
        <f>(VLOOKUP('14.05'!AB41,'14.05'!$AM$4:$AP$55,4,FALSE))</f>
        <v>0</v>
      </c>
      <c r="U41" s="4">
        <f>(VLOOKUP('14.05'!AC41,'14.05'!$AM$4:$AP$55,4,FALSE))</f>
        <v>0</v>
      </c>
      <c r="V41" s="4">
        <f>(VLOOKUP('14.05'!AD41,'14.05'!$AM$4:$AP$55,4,FALSE))</f>
        <v>0</v>
      </c>
      <c r="W41" s="4">
        <f>(VLOOKUP('14.05'!AE41,'14.05'!$AM$4:$AP$55,4,FALSE))</f>
        <v>0</v>
      </c>
      <c r="X41" s="4">
        <f>(VLOOKUP('14.05'!AF41,'14.05'!$AM$4:$AP$55,4,FALSE))</f>
        <v>0</v>
      </c>
    </row>
    <row r="42" spans="1:24">
      <c r="A42" s="4">
        <f>(VLOOKUP('14.05'!I42,'14.05'!$AM$4:$AP$55,4,FALSE))</f>
        <v>34</v>
      </c>
      <c r="B42" s="4">
        <f>(VLOOKUP('14.05'!J42,'14.05'!$AM$4:$AP$55,4,FALSE))</f>
        <v>34</v>
      </c>
      <c r="C42" s="4">
        <f>(VLOOKUP('14.05'!K42,'14.05'!$AM$4:$AP$55,4,FALSE))</f>
        <v>34</v>
      </c>
      <c r="D42" s="4">
        <f>(VLOOKUP('14.05'!L42,'14.05'!$AM$4:$AP$55,4,FALSE))</f>
        <v>34</v>
      </c>
      <c r="E42" s="4">
        <f>(VLOOKUP('14.05'!M42,'14.05'!$AM$4:$AP$55,4,FALSE))</f>
        <v>34</v>
      </c>
      <c r="F42" s="4">
        <f>(VLOOKUP('14.05'!N42,'14.05'!$AM$4:$AP$55,4,FALSE))</f>
        <v>34</v>
      </c>
      <c r="G42" s="4">
        <f>(VLOOKUP('14.05'!O42,'14.05'!$AM$4:$AP$55,4,FALSE))</f>
        <v>0</v>
      </c>
      <c r="H42" s="4">
        <f>(VLOOKUP('14.05'!P42,'14.05'!$AM$4:$AP$55,4,FALSE))</f>
        <v>0</v>
      </c>
      <c r="I42" s="4">
        <f>(VLOOKUP('14.05'!Q42,'14.05'!$AM$4:$AP$55,4,FALSE))</f>
        <v>38</v>
      </c>
      <c r="J42" s="4">
        <f>(VLOOKUP('14.05'!R42,'14.05'!$AM$4:$AP$55,4,FALSE))</f>
        <v>38</v>
      </c>
      <c r="K42" s="4">
        <f>(VLOOKUP('14.05'!S42,'14.05'!$AM$4:$AP$55,4,FALSE))</f>
        <v>38</v>
      </c>
      <c r="L42" s="4">
        <f>(VLOOKUP('14.05'!T42,'14.05'!$AM$4:$AP$55,4,FALSE))</f>
        <v>0</v>
      </c>
      <c r="M42" s="4">
        <f>(VLOOKUP('14.05'!U42,'14.05'!$AM$4:$AP$55,4,FALSE))</f>
        <v>0</v>
      </c>
      <c r="N42" s="4">
        <f>(VLOOKUP('14.05'!V42,'14.05'!$AM$4:$AP$55,4,FALSE))</f>
        <v>0</v>
      </c>
      <c r="O42" s="4">
        <f>(VLOOKUP('14.05'!W42,'14.05'!$AM$4:$AP$55,4,FALSE))</f>
        <v>0</v>
      </c>
      <c r="P42" s="4">
        <f>(VLOOKUP('14.05'!X42,'14.05'!$AM$4:$AP$55,4,FALSE))</f>
        <v>0</v>
      </c>
      <c r="Q42" s="4">
        <f>(VLOOKUP('14.05'!Y42,'14.05'!$AM$4:$AP$55,4,FALSE))</f>
        <v>0</v>
      </c>
      <c r="R42" s="4">
        <f>(VLOOKUP('14.05'!Z42,'14.05'!$AM$4:$AP$55,4,FALSE))</f>
        <v>0</v>
      </c>
      <c r="S42" s="4">
        <f>(VLOOKUP('14.05'!AA42,'14.05'!$AM$4:$AP$55,4,FALSE))</f>
        <v>0</v>
      </c>
      <c r="T42" s="4">
        <f>(VLOOKUP('14.05'!AB42,'14.05'!$AM$4:$AP$55,4,FALSE))</f>
        <v>0</v>
      </c>
      <c r="U42" s="4">
        <f>(VLOOKUP('14.05'!AC42,'14.05'!$AM$4:$AP$55,4,FALSE))</f>
        <v>0</v>
      </c>
      <c r="V42" s="4">
        <f>(VLOOKUP('14.05'!AD42,'14.05'!$AM$4:$AP$55,4,FALSE))</f>
        <v>0</v>
      </c>
      <c r="W42" s="4">
        <f>(VLOOKUP('14.05'!AE42,'14.05'!$AM$4:$AP$55,4,FALSE))</f>
        <v>0</v>
      </c>
      <c r="X42" s="4">
        <f>(VLOOKUP('14.05'!AF42,'14.05'!$AM$4:$AP$55,4,FALSE))</f>
        <v>0</v>
      </c>
    </row>
    <row r="43" spans="1:24">
      <c r="A43" s="4">
        <f>(VLOOKUP('14.05'!I43,'14.05'!$AM$4:$AP$55,4,FALSE))</f>
        <v>34</v>
      </c>
      <c r="B43" s="4">
        <f>(VLOOKUP('14.05'!J43,'14.05'!$AM$4:$AP$55,4,FALSE))</f>
        <v>34</v>
      </c>
      <c r="C43" s="4">
        <f>(VLOOKUP('14.05'!K43,'14.05'!$AM$4:$AP$55,4,FALSE))</f>
        <v>34</v>
      </c>
      <c r="D43" s="4">
        <f>(VLOOKUP('14.05'!L43,'14.05'!$AM$4:$AP$55,4,FALSE))</f>
        <v>34</v>
      </c>
      <c r="E43" s="4">
        <f>(VLOOKUP('14.05'!M43,'14.05'!$AM$4:$AP$55,4,FALSE))</f>
        <v>34</v>
      </c>
      <c r="F43" s="4">
        <f>(VLOOKUP('14.05'!N43,'14.05'!$AM$4:$AP$55,4,FALSE))</f>
        <v>34</v>
      </c>
      <c r="G43" s="4">
        <f>(VLOOKUP('14.05'!O43,'14.05'!$AM$4:$AP$55,4,FALSE))</f>
        <v>0</v>
      </c>
      <c r="H43" s="4">
        <f>(VLOOKUP('14.05'!P43,'14.05'!$AM$4:$AP$55,4,FALSE))</f>
        <v>0</v>
      </c>
      <c r="I43" s="4">
        <f>(VLOOKUP('14.05'!Q43,'14.05'!$AM$4:$AP$55,4,FALSE))</f>
        <v>0</v>
      </c>
      <c r="J43" s="4">
        <f>(VLOOKUP('14.05'!R43,'14.05'!$AM$4:$AP$55,4,FALSE))</f>
        <v>0</v>
      </c>
      <c r="K43" s="4">
        <f>(VLOOKUP('14.05'!S43,'14.05'!$AM$4:$AP$55,4,FALSE))</f>
        <v>0</v>
      </c>
      <c r="L43" s="4">
        <f>(VLOOKUP('14.05'!T43,'14.05'!$AM$4:$AP$55,4,FALSE))</f>
        <v>0</v>
      </c>
      <c r="M43" s="4">
        <f>(VLOOKUP('14.05'!U43,'14.05'!$AM$4:$AP$55,4,FALSE))</f>
        <v>0</v>
      </c>
      <c r="N43" s="4">
        <f>(VLOOKUP('14.05'!V43,'14.05'!$AM$4:$AP$55,4,FALSE))</f>
        <v>0</v>
      </c>
      <c r="O43" s="4">
        <f>(VLOOKUP('14.05'!W43,'14.05'!$AM$4:$AP$55,4,FALSE))</f>
        <v>0</v>
      </c>
      <c r="P43" s="4">
        <f>(VLOOKUP('14.05'!X43,'14.05'!$AM$4:$AP$55,4,FALSE))</f>
        <v>0</v>
      </c>
      <c r="Q43" s="4">
        <f>(VLOOKUP('14.05'!Y43,'14.05'!$AM$4:$AP$55,4,FALSE))</f>
        <v>0</v>
      </c>
      <c r="R43" s="4">
        <f>(VLOOKUP('14.05'!Z43,'14.05'!$AM$4:$AP$55,4,FALSE))</f>
        <v>0</v>
      </c>
      <c r="S43" s="4">
        <f>(VLOOKUP('14.05'!AA43,'14.05'!$AM$4:$AP$55,4,FALSE))</f>
        <v>0</v>
      </c>
      <c r="T43" s="4">
        <f>(VLOOKUP('14.05'!AB43,'14.05'!$AM$4:$AP$55,4,FALSE))</f>
        <v>0</v>
      </c>
      <c r="U43" s="4">
        <f>(VLOOKUP('14.05'!AC43,'14.05'!$AM$4:$AP$55,4,FALSE))</f>
        <v>0</v>
      </c>
      <c r="V43" s="4">
        <f>(VLOOKUP('14.05'!AD43,'14.05'!$AM$4:$AP$55,4,FALSE))</f>
        <v>0</v>
      </c>
      <c r="W43" s="4">
        <f>(VLOOKUP('14.05'!AE43,'14.05'!$AM$4:$AP$55,4,FALSE))</f>
        <v>0</v>
      </c>
      <c r="X43" s="4">
        <f>(VLOOKUP('14.05'!AF43,'14.05'!$AM$4:$AP$55,4,FALSE))</f>
        <v>0</v>
      </c>
    </row>
    <row r="44" spans="1:24">
      <c r="A44" s="4">
        <f>(VLOOKUP('14.05'!I44,'14.05'!$AM$4:$AP$55,4,FALSE))</f>
        <v>34</v>
      </c>
      <c r="B44" s="4">
        <f>(VLOOKUP('14.05'!J44,'14.05'!$AM$4:$AP$55,4,FALSE))</f>
        <v>34</v>
      </c>
      <c r="C44" s="4">
        <f>(VLOOKUP('14.05'!K44,'14.05'!$AM$4:$AP$55,4,FALSE))</f>
        <v>34</v>
      </c>
      <c r="D44" s="4">
        <f>(VLOOKUP('14.05'!L44,'14.05'!$AM$4:$AP$55,4,FALSE))</f>
        <v>34</v>
      </c>
      <c r="E44" s="4">
        <f>(VLOOKUP('14.05'!M44,'14.05'!$AM$4:$AP$55,4,FALSE))</f>
        <v>34</v>
      </c>
      <c r="F44" s="4">
        <f>(VLOOKUP('14.05'!N44,'14.05'!$AM$4:$AP$55,4,FALSE))</f>
        <v>34</v>
      </c>
      <c r="G44" s="4">
        <f>(VLOOKUP('14.05'!O44,'14.05'!$AM$4:$AP$55,4,FALSE))</f>
        <v>0</v>
      </c>
      <c r="H44" s="4">
        <f>(VLOOKUP('14.05'!P44,'14.05'!$AM$4:$AP$55,4,FALSE))</f>
        <v>0</v>
      </c>
      <c r="I44" s="4">
        <f>(VLOOKUP('14.05'!Q44,'14.05'!$AM$4:$AP$55,4,FALSE))</f>
        <v>0</v>
      </c>
      <c r="J44" s="4">
        <f>(VLOOKUP('14.05'!R44,'14.05'!$AM$4:$AP$55,4,FALSE))</f>
        <v>0</v>
      </c>
      <c r="K44" s="4">
        <f>(VLOOKUP('14.05'!S44,'14.05'!$AM$4:$AP$55,4,FALSE))</f>
        <v>0</v>
      </c>
      <c r="L44" s="4">
        <f>(VLOOKUP('14.05'!T44,'14.05'!$AM$4:$AP$55,4,FALSE))</f>
        <v>0</v>
      </c>
      <c r="M44" s="4">
        <f>(VLOOKUP('14.05'!U44,'14.05'!$AM$4:$AP$55,4,FALSE))</f>
        <v>0</v>
      </c>
      <c r="N44" s="4">
        <f>(VLOOKUP('14.05'!V44,'14.05'!$AM$4:$AP$55,4,FALSE))</f>
        <v>0</v>
      </c>
      <c r="O44" s="4">
        <f>(VLOOKUP('14.05'!W44,'14.05'!$AM$4:$AP$55,4,FALSE))</f>
        <v>0</v>
      </c>
      <c r="P44" s="4">
        <f>(VLOOKUP('14.05'!X44,'14.05'!$AM$4:$AP$55,4,FALSE))</f>
        <v>0</v>
      </c>
      <c r="Q44" s="4">
        <f>(VLOOKUP('14.05'!Y44,'14.05'!$AM$4:$AP$55,4,FALSE))</f>
        <v>0</v>
      </c>
      <c r="R44" s="4">
        <f>(VLOOKUP('14.05'!Z44,'14.05'!$AM$4:$AP$55,4,FALSE))</f>
        <v>0</v>
      </c>
      <c r="S44" s="4">
        <f>(VLOOKUP('14.05'!AA44,'14.05'!$AM$4:$AP$55,4,FALSE))</f>
        <v>0</v>
      </c>
      <c r="T44" s="4">
        <f>(VLOOKUP('14.05'!AB44,'14.05'!$AM$4:$AP$55,4,FALSE))</f>
        <v>0</v>
      </c>
      <c r="U44" s="4">
        <f>(VLOOKUP('14.05'!AC44,'14.05'!$AM$4:$AP$55,4,FALSE))</f>
        <v>0</v>
      </c>
      <c r="V44" s="4">
        <f>(VLOOKUP('14.05'!AD44,'14.05'!$AM$4:$AP$55,4,FALSE))</f>
        <v>0</v>
      </c>
      <c r="W44" s="4">
        <f>(VLOOKUP('14.05'!AE44,'14.05'!$AM$4:$AP$55,4,FALSE))</f>
        <v>0</v>
      </c>
      <c r="X44" s="4">
        <f>(VLOOKUP('14.05'!AF44,'14.05'!$AM$4:$AP$55,4,FALSE))</f>
        <v>0</v>
      </c>
    </row>
    <row r="45" spans="1:24">
      <c r="A45" s="4">
        <f>(VLOOKUP('14.05'!I45,'14.05'!$AM$4:$AP$55,4,FALSE))</f>
        <v>34</v>
      </c>
      <c r="B45" s="4">
        <f>(VLOOKUP('14.05'!J45,'14.05'!$AM$4:$AP$55,4,FALSE))</f>
        <v>10</v>
      </c>
      <c r="C45" s="4">
        <f>(VLOOKUP('14.05'!K45,'14.05'!$AM$4:$AP$55,4,FALSE))</f>
        <v>34</v>
      </c>
      <c r="D45" s="4">
        <f>(VLOOKUP('14.05'!L45,'14.05'!$AM$4:$AP$55,4,FALSE))</f>
        <v>0</v>
      </c>
      <c r="E45" s="4">
        <f>(VLOOKUP('14.05'!M45,'14.05'!$AM$4:$AP$55,4,FALSE))</f>
        <v>0</v>
      </c>
      <c r="F45" s="4">
        <f>(VLOOKUP('14.05'!N45,'14.05'!$AM$4:$AP$55,4,FALSE))</f>
        <v>0</v>
      </c>
      <c r="G45" s="4">
        <f>(VLOOKUP('14.05'!O45,'14.05'!$AM$4:$AP$55,4,FALSE))</f>
        <v>0</v>
      </c>
      <c r="H45" s="4">
        <f>(VLOOKUP('14.05'!P45,'14.05'!$AM$4:$AP$55,4,FALSE))</f>
        <v>0</v>
      </c>
      <c r="I45" s="4">
        <f>(VLOOKUP('14.05'!Q45,'14.05'!$AM$4:$AP$55,4,FALSE))</f>
        <v>0</v>
      </c>
      <c r="J45" s="4">
        <f>(VLOOKUP('14.05'!R45,'14.05'!$AM$4:$AP$55,4,FALSE))</f>
        <v>0</v>
      </c>
      <c r="K45" s="4">
        <f>(VLOOKUP('14.05'!S45,'14.05'!$AM$4:$AP$55,4,FALSE))</f>
        <v>0</v>
      </c>
      <c r="L45" s="4">
        <f>(VLOOKUP('14.05'!T45,'14.05'!$AM$4:$AP$55,4,FALSE))</f>
        <v>0</v>
      </c>
      <c r="M45" s="4">
        <f>(VLOOKUP('14.05'!U45,'14.05'!$AM$4:$AP$55,4,FALSE))</f>
        <v>0</v>
      </c>
      <c r="N45" s="4">
        <f>(VLOOKUP('14.05'!V45,'14.05'!$AM$4:$AP$55,4,FALSE))</f>
        <v>0</v>
      </c>
      <c r="O45" s="4">
        <f>(VLOOKUP('14.05'!W45,'14.05'!$AM$4:$AP$55,4,FALSE))</f>
        <v>0</v>
      </c>
      <c r="P45" s="4">
        <f>(VLOOKUP('14.05'!X45,'14.05'!$AM$4:$AP$55,4,FALSE))</f>
        <v>0</v>
      </c>
      <c r="Q45" s="4">
        <f>(VLOOKUP('14.05'!Y45,'14.05'!$AM$4:$AP$55,4,FALSE))</f>
        <v>34</v>
      </c>
      <c r="R45" s="4">
        <f>(VLOOKUP('14.05'!Z45,'14.05'!$AM$4:$AP$55,4,FALSE))</f>
        <v>0</v>
      </c>
      <c r="S45" s="4">
        <f>(VLOOKUP('14.05'!AA45,'14.05'!$AM$4:$AP$55,4,FALSE))</f>
        <v>0</v>
      </c>
      <c r="T45" s="4">
        <f>(VLOOKUP('14.05'!AB45,'14.05'!$AM$4:$AP$55,4,FALSE))</f>
        <v>0</v>
      </c>
      <c r="U45" s="4">
        <f>(VLOOKUP('14.05'!AC45,'14.05'!$AM$4:$AP$55,4,FALSE))</f>
        <v>0</v>
      </c>
      <c r="V45" s="4">
        <f>(VLOOKUP('14.05'!AD45,'14.05'!$AM$4:$AP$55,4,FALSE))</f>
        <v>0</v>
      </c>
      <c r="W45" s="4">
        <f>(VLOOKUP('14.05'!AE45,'14.05'!$AM$4:$AP$55,4,FALSE))</f>
        <v>0</v>
      </c>
      <c r="X45" s="4">
        <f>(VLOOKUP('14.05'!AF45,'14.05'!$AM$4:$AP$55,4,FALSE))</f>
        <v>0</v>
      </c>
    </row>
    <row r="46" spans="1:24">
      <c r="A46" s="4">
        <f>(VLOOKUP('14.05'!I46,'14.05'!$AM$4:$AP$55,4,FALSE))</f>
        <v>36</v>
      </c>
      <c r="B46" s="4">
        <f>(VLOOKUP('14.05'!J46,'14.05'!$AM$4:$AP$55,4,FALSE))</f>
        <v>36</v>
      </c>
      <c r="C46" s="4">
        <f>(VLOOKUP('14.05'!K46,'14.05'!$AM$4:$AP$55,4,FALSE))</f>
        <v>36</v>
      </c>
      <c r="D46" s="4">
        <f>(VLOOKUP('14.05'!L46,'14.05'!$AM$4:$AP$55,4,FALSE))</f>
        <v>36</v>
      </c>
      <c r="E46" s="4">
        <f>(VLOOKUP('14.05'!M46,'14.05'!$AM$4:$AP$55,4,FALSE))</f>
        <v>36</v>
      </c>
      <c r="F46" s="4">
        <f>(VLOOKUP('14.05'!N46,'14.05'!$AM$4:$AP$55,4,FALSE))</f>
        <v>36</v>
      </c>
      <c r="G46" s="4">
        <f>(VLOOKUP('14.05'!O46,'14.05'!$AM$4:$AP$55,4,FALSE))</f>
        <v>0</v>
      </c>
      <c r="H46" s="4">
        <f>(VLOOKUP('14.05'!P46,'14.05'!$AM$4:$AP$55,4,FALSE))</f>
        <v>0</v>
      </c>
      <c r="I46" s="4">
        <f>(VLOOKUP('14.05'!Q46,'14.05'!$AM$4:$AP$55,4,FALSE))</f>
        <v>0</v>
      </c>
      <c r="J46" s="4">
        <f>(VLOOKUP('14.05'!R46,'14.05'!$AM$4:$AP$55,4,FALSE))</f>
        <v>0</v>
      </c>
      <c r="K46" s="4">
        <f>(VLOOKUP('14.05'!S46,'14.05'!$AM$4:$AP$55,4,FALSE))</f>
        <v>0</v>
      </c>
      <c r="L46" s="4">
        <f>(VLOOKUP('14.05'!T46,'14.05'!$AM$4:$AP$55,4,FALSE))</f>
        <v>0</v>
      </c>
      <c r="M46" s="4">
        <f>(VLOOKUP('14.05'!U46,'14.05'!$AM$4:$AP$55,4,FALSE))</f>
        <v>0</v>
      </c>
      <c r="N46" s="4">
        <f>(VLOOKUP('14.05'!V46,'14.05'!$AM$4:$AP$55,4,FALSE))</f>
        <v>0</v>
      </c>
      <c r="O46" s="4">
        <f>(VLOOKUP('14.05'!W46,'14.05'!$AM$4:$AP$55,4,FALSE))</f>
        <v>0</v>
      </c>
      <c r="P46" s="4">
        <f>(VLOOKUP('14.05'!X46,'14.05'!$AM$4:$AP$55,4,FALSE))</f>
        <v>0</v>
      </c>
      <c r="Q46" s="4">
        <f>(VLOOKUP('14.05'!Y46,'14.05'!$AM$4:$AP$55,4,FALSE))</f>
        <v>0</v>
      </c>
      <c r="R46" s="4">
        <f>(VLOOKUP('14.05'!Z46,'14.05'!$AM$4:$AP$55,4,FALSE))</f>
        <v>0</v>
      </c>
      <c r="S46" s="4">
        <f>(VLOOKUP('14.05'!AA46,'14.05'!$AM$4:$AP$55,4,FALSE))</f>
        <v>0</v>
      </c>
      <c r="T46" s="4">
        <f>(VLOOKUP('14.05'!AB46,'14.05'!$AM$4:$AP$55,4,FALSE))</f>
        <v>0</v>
      </c>
      <c r="U46" s="4">
        <f>(VLOOKUP('14.05'!AC46,'14.05'!$AM$4:$AP$55,4,FALSE))</f>
        <v>0</v>
      </c>
      <c r="V46" s="4">
        <f>(VLOOKUP('14.05'!AD46,'14.05'!$AM$4:$AP$55,4,FALSE))</f>
        <v>0</v>
      </c>
      <c r="W46" s="4">
        <f>(VLOOKUP('14.05'!AE46,'14.05'!$AM$4:$AP$55,4,FALSE))</f>
        <v>0</v>
      </c>
      <c r="X46" s="4">
        <f>(VLOOKUP('14.05'!AF46,'14.05'!$AM$4:$AP$55,4,FALSE))</f>
        <v>0</v>
      </c>
    </row>
    <row r="47" spans="1:24">
      <c r="A47" s="4">
        <f>(VLOOKUP('14.05'!I47,'14.05'!$AM$4:$AP$55,4,FALSE))</f>
        <v>10</v>
      </c>
      <c r="B47" s="4">
        <f>(VLOOKUP('14.05'!J47,'14.05'!$AM$4:$AP$55,4,FALSE))</f>
        <v>36</v>
      </c>
      <c r="C47" s="4">
        <f>(VLOOKUP('14.05'!K47,'14.05'!$AM$4:$AP$55,4,FALSE))</f>
        <v>36</v>
      </c>
      <c r="D47" s="4">
        <f>(VLOOKUP('14.05'!L47,'14.05'!$AM$4:$AP$55,4,FALSE))</f>
        <v>36</v>
      </c>
      <c r="E47" s="4">
        <f>(VLOOKUP('14.05'!M47,'14.05'!$AM$4:$AP$55,4,FALSE))</f>
        <v>36</v>
      </c>
      <c r="F47" s="4">
        <f>(VLOOKUP('14.05'!N47,'14.05'!$AM$4:$AP$55,4,FALSE))</f>
        <v>36</v>
      </c>
      <c r="G47" s="4">
        <f>(VLOOKUP('14.05'!O47,'14.05'!$AM$4:$AP$55,4,FALSE))</f>
        <v>0</v>
      </c>
      <c r="H47" s="4">
        <f>(VLOOKUP('14.05'!P47,'14.05'!$AM$4:$AP$55,4,FALSE))</f>
        <v>0</v>
      </c>
      <c r="I47" s="4">
        <f>(VLOOKUP('14.05'!Q47,'14.05'!$AM$4:$AP$55,4,FALSE))</f>
        <v>0</v>
      </c>
      <c r="J47" s="4">
        <f>(VLOOKUP('14.05'!R47,'14.05'!$AM$4:$AP$55,4,FALSE))</f>
        <v>38</v>
      </c>
      <c r="K47" s="4">
        <f>(VLOOKUP('14.05'!S47,'14.05'!$AM$4:$AP$55,4,FALSE))</f>
        <v>38</v>
      </c>
      <c r="L47" s="4">
        <f>(VLOOKUP('14.05'!T47,'14.05'!$AM$4:$AP$55,4,FALSE))</f>
        <v>38</v>
      </c>
      <c r="M47" s="4">
        <f>(VLOOKUP('14.05'!U47,'14.05'!$AM$4:$AP$55,4,FALSE))</f>
        <v>38</v>
      </c>
      <c r="N47" s="4">
        <f>(VLOOKUP('14.05'!V47,'14.05'!$AM$4:$AP$55,4,FALSE))</f>
        <v>38</v>
      </c>
      <c r="O47" s="4">
        <f>(VLOOKUP('14.05'!W47,'14.05'!$AM$4:$AP$55,4,FALSE))</f>
        <v>0</v>
      </c>
      <c r="P47" s="4">
        <f>(VLOOKUP('14.05'!X47,'14.05'!$AM$4:$AP$55,4,FALSE))</f>
        <v>0</v>
      </c>
      <c r="Q47" s="4">
        <f>(VLOOKUP('14.05'!Y47,'14.05'!$AM$4:$AP$55,4,FALSE))</f>
        <v>0</v>
      </c>
      <c r="R47" s="4">
        <f>(VLOOKUP('14.05'!Z47,'14.05'!$AM$4:$AP$55,4,FALSE))</f>
        <v>0</v>
      </c>
      <c r="S47" s="4">
        <f>(VLOOKUP('14.05'!AA47,'14.05'!$AM$4:$AP$55,4,FALSE))</f>
        <v>0</v>
      </c>
      <c r="T47" s="4">
        <f>(VLOOKUP('14.05'!AB47,'14.05'!$AM$4:$AP$55,4,FALSE))</f>
        <v>0</v>
      </c>
      <c r="U47" s="4">
        <f>(VLOOKUP('14.05'!AC47,'14.05'!$AM$4:$AP$55,4,FALSE))</f>
        <v>0</v>
      </c>
      <c r="V47" s="4">
        <f>(VLOOKUP('14.05'!AD47,'14.05'!$AM$4:$AP$55,4,FALSE))</f>
        <v>0</v>
      </c>
      <c r="W47" s="4">
        <f>(VLOOKUP('14.05'!AE47,'14.05'!$AM$4:$AP$55,4,FALSE))</f>
        <v>0</v>
      </c>
      <c r="X47" s="4">
        <f>(VLOOKUP('14.05'!AF47,'14.05'!$AM$4:$AP$55,4,FALSE))</f>
        <v>0</v>
      </c>
    </row>
    <row r="48" spans="1:24">
      <c r="A48" s="4">
        <f>(VLOOKUP('14.05'!I48,'14.05'!$AM$4:$AP$55,4,FALSE))</f>
        <v>36</v>
      </c>
      <c r="B48" s="4">
        <f>(VLOOKUP('14.05'!J48,'14.05'!$AM$4:$AP$55,4,FALSE))</f>
        <v>36</v>
      </c>
      <c r="C48" s="4">
        <f>(VLOOKUP('14.05'!K48,'14.05'!$AM$4:$AP$55,4,FALSE))</f>
        <v>36</v>
      </c>
      <c r="D48" s="4">
        <f>(VLOOKUP('14.05'!L48,'14.05'!$AM$4:$AP$55,4,FALSE))</f>
        <v>36</v>
      </c>
      <c r="E48" s="4">
        <f>(VLOOKUP('14.05'!M48,'14.05'!$AM$4:$AP$55,4,FALSE))</f>
        <v>36</v>
      </c>
      <c r="F48" s="4">
        <f>(VLOOKUP('14.05'!N48,'14.05'!$AM$4:$AP$55,4,FALSE))</f>
        <v>36</v>
      </c>
      <c r="G48" s="4">
        <f>(VLOOKUP('14.05'!O48,'14.05'!$AM$4:$AP$55,4,FALSE))</f>
        <v>0</v>
      </c>
      <c r="H48" s="4">
        <f>(VLOOKUP('14.05'!P48,'14.05'!$AM$4:$AP$55,4,FALSE))</f>
        <v>0</v>
      </c>
      <c r="I48" s="4">
        <f>(VLOOKUP('14.05'!Q48,'14.05'!$AM$4:$AP$55,4,FALSE))</f>
        <v>38</v>
      </c>
      <c r="J48" s="4">
        <f>(VLOOKUP('14.05'!R48,'14.05'!$AM$4:$AP$55,4,FALSE))</f>
        <v>38</v>
      </c>
      <c r="K48" s="4">
        <f>(VLOOKUP('14.05'!S48,'14.05'!$AM$4:$AP$55,4,FALSE))</f>
        <v>38</v>
      </c>
      <c r="L48" s="4">
        <f>(VLOOKUP('14.05'!T48,'14.05'!$AM$4:$AP$55,4,FALSE))</f>
        <v>38</v>
      </c>
      <c r="M48" s="4">
        <f>(VLOOKUP('14.05'!U48,'14.05'!$AM$4:$AP$55,4,FALSE))</f>
        <v>0</v>
      </c>
      <c r="N48" s="4">
        <f>(VLOOKUP('14.05'!V48,'14.05'!$AM$4:$AP$55,4,FALSE))</f>
        <v>38</v>
      </c>
      <c r="O48" s="4">
        <f>(VLOOKUP('14.05'!W48,'14.05'!$AM$4:$AP$55,4,FALSE))</f>
        <v>0</v>
      </c>
      <c r="P48" s="4">
        <f>(VLOOKUP('14.05'!X48,'14.05'!$AM$4:$AP$55,4,FALSE))</f>
        <v>0</v>
      </c>
      <c r="Q48" s="4">
        <f>(VLOOKUP('14.05'!Y48,'14.05'!$AM$4:$AP$55,4,FALSE))</f>
        <v>0</v>
      </c>
      <c r="R48" s="4">
        <f>(VLOOKUP('14.05'!Z48,'14.05'!$AM$4:$AP$55,4,FALSE))</f>
        <v>0</v>
      </c>
      <c r="S48" s="4">
        <f>(VLOOKUP('14.05'!AA48,'14.05'!$AM$4:$AP$55,4,FALSE))</f>
        <v>0</v>
      </c>
      <c r="T48" s="4">
        <f>(VLOOKUP('14.05'!AB48,'14.05'!$AM$4:$AP$55,4,FALSE))</f>
        <v>0</v>
      </c>
      <c r="U48" s="4">
        <f>(VLOOKUP('14.05'!AC48,'14.05'!$AM$4:$AP$55,4,FALSE))</f>
        <v>0</v>
      </c>
      <c r="V48" s="4">
        <f>(VLOOKUP('14.05'!AD48,'14.05'!$AM$4:$AP$55,4,FALSE))</f>
        <v>0</v>
      </c>
      <c r="W48" s="4">
        <f>(VLOOKUP('14.05'!AE48,'14.05'!$AM$4:$AP$55,4,FALSE))</f>
        <v>0</v>
      </c>
      <c r="X48" s="4">
        <f>(VLOOKUP('14.05'!AF48,'14.05'!$AM$4:$AP$55,4,FALSE))</f>
        <v>0</v>
      </c>
    </row>
    <row r="49" spans="1:24">
      <c r="A49" s="4">
        <f>(VLOOKUP('14.05'!I49,'14.05'!$AM$4:$AP$55,4,FALSE))</f>
        <v>36</v>
      </c>
      <c r="B49" s="4">
        <f>(VLOOKUP('14.05'!J49,'14.05'!$AM$4:$AP$55,4,FALSE))</f>
        <v>36</v>
      </c>
      <c r="C49" s="4">
        <f>(VLOOKUP('14.05'!K49,'14.05'!$AM$4:$AP$55,4,FALSE))</f>
        <v>36</v>
      </c>
      <c r="D49" s="4">
        <f>(VLOOKUP('14.05'!L49,'14.05'!$AM$4:$AP$55,4,FALSE))</f>
        <v>36</v>
      </c>
      <c r="E49" s="4">
        <f>(VLOOKUP('14.05'!M49,'14.05'!$AM$4:$AP$55,4,FALSE))</f>
        <v>36</v>
      </c>
      <c r="F49" s="4">
        <f>(VLOOKUP('14.05'!N49,'14.05'!$AM$4:$AP$55,4,FALSE))</f>
        <v>36</v>
      </c>
      <c r="G49" s="4">
        <f>(VLOOKUP('14.05'!O49,'14.05'!$AM$4:$AP$55,4,FALSE))</f>
        <v>0</v>
      </c>
      <c r="H49" s="4">
        <f>(VLOOKUP('14.05'!P49,'14.05'!$AM$4:$AP$55,4,FALSE))</f>
        <v>0</v>
      </c>
      <c r="I49" s="4">
        <f>(VLOOKUP('14.05'!Q49,'14.05'!$AM$4:$AP$55,4,FALSE))</f>
        <v>38</v>
      </c>
      <c r="J49" s="4">
        <f>(VLOOKUP('14.05'!R49,'14.05'!$AM$4:$AP$55,4,FALSE))</f>
        <v>38</v>
      </c>
      <c r="K49" s="4">
        <f>(VLOOKUP('14.05'!S49,'14.05'!$AM$4:$AP$55,4,FALSE))</f>
        <v>38</v>
      </c>
      <c r="L49" s="4">
        <f>(VLOOKUP('14.05'!T49,'14.05'!$AM$4:$AP$55,4,FALSE))</f>
        <v>38</v>
      </c>
      <c r="M49" s="4">
        <f>(VLOOKUP('14.05'!U49,'14.05'!$AM$4:$AP$55,4,FALSE))</f>
        <v>0</v>
      </c>
      <c r="N49" s="4">
        <f>(VLOOKUP('14.05'!V49,'14.05'!$AM$4:$AP$55,4,FALSE))</f>
        <v>0</v>
      </c>
      <c r="O49" s="4">
        <f>(VLOOKUP('14.05'!W49,'14.05'!$AM$4:$AP$55,4,FALSE))</f>
        <v>0</v>
      </c>
      <c r="P49" s="4">
        <f>(VLOOKUP('14.05'!X49,'14.05'!$AM$4:$AP$55,4,FALSE))</f>
        <v>0</v>
      </c>
      <c r="Q49" s="4">
        <f>(VLOOKUP('14.05'!Y49,'14.05'!$AM$4:$AP$55,4,FALSE))</f>
        <v>0</v>
      </c>
      <c r="R49" s="4">
        <f>(VLOOKUP('14.05'!Z49,'14.05'!$AM$4:$AP$55,4,FALSE))</f>
        <v>0</v>
      </c>
      <c r="S49" s="4">
        <f>(VLOOKUP('14.05'!AA49,'14.05'!$AM$4:$AP$55,4,FALSE))</f>
        <v>0</v>
      </c>
      <c r="T49" s="4">
        <f>(VLOOKUP('14.05'!AB49,'14.05'!$AM$4:$AP$55,4,FALSE))</f>
        <v>0</v>
      </c>
      <c r="U49" s="4">
        <f>(VLOOKUP('14.05'!AC49,'14.05'!$AM$4:$AP$55,4,FALSE))</f>
        <v>0</v>
      </c>
      <c r="V49" s="4">
        <f>(VLOOKUP('14.05'!AD49,'14.05'!$AM$4:$AP$55,4,FALSE))</f>
        <v>0</v>
      </c>
      <c r="W49" s="4">
        <f>(VLOOKUP('14.05'!AE49,'14.05'!$AM$4:$AP$55,4,FALSE))</f>
        <v>0</v>
      </c>
      <c r="X49" s="4">
        <f>(VLOOKUP('14.05'!AF49,'14.05'!$AM$4:$AP$55,4,FALSE))</f>
        <v>0</v>
      </c>
    </row>
    <row r="50" spans="1:24">
      <c r="A50" s="4">
        <f>(VLOOKUP('14.05'!I50,'14.05'!$AM$4:$AP$55,4,FALSE))</f>
        <v>36</v>
      </c>
      <c r="B50" s="4">
        <f>(VLOOKUP('14.05'!J50,'14.05'!$AM$4:$AP$55,4,FALSE))</f>
        <v>36</v>
      </c>
      <c r="C50" s="4">
        <f>(VLOOKUP('14.05'!K50,'14.05'!$AM$4:$AP$55,4,FALSE))</f>
        <v>0</v>
      </c>
      <c r="D50" s="4">
        <f>(VLOOKUP('14.05'!L50,'14.05'!$AM$4:$AP$55,4,FALSE))</f>
        <v>36</v>
      </c>
      <c r="E50" s="4">
        <f>(VLOOKUP('14.05'!M50,'14.05'!$AM$4:$AP$55,4,FALSE))</f>
        <v>36</v>
      </c>
      <c r="F50" s="4">
        <f>(VLOOKUP('14.05'!N50,'14.05'!$AM$4:$AP$55,4,FALSE))</f>
        <v>36</v>
      </c>
      <c r="G50" s="4">
        <f>(VLOOKUP('14.05'!O50,'14.05'!$AM$4:$AP$55,4,FALSE))</f>
        <v>0</v>
      </c>
      <c r="H50" s="4">
        <f>(VLOOKUP('14.05'!P50,'14.05'!$AM$4:$AP$55,4,FALSE))</f>
        <v>0</v>
      </c>
      <c r="I50" s="4">
        <f>(VLOOKUP('14.05'!Q50,'14.05'!$AM$4:$AP$55,4,FALSE))</f>
        <v>38</v>
      </c>
      <c r="J50" s="4">
        <f>(VLOOKUP('14.05'!R50,'14.05'!$AM$4:$AP$55,4,FALSE))</f>
        <v>38</v>
      </c>
      <c r="K50" s="4">
        <f>(VLOOKUP('14.05'!S50,'14.05'!$AM$4:$AP$55,4,FALSE))</f>
        <v>38</v>
      </c>
      <c r="L50" s="4">
        <f>(VLOOKUP('14.05'!T50,'14.05'!$AM$4:$AP$55,4,FALSE))</f>
        <v>0</v>
      </c>
      <c r="M50" s="4">
        <f>(VLOOKUP('14.05'!U50,'14.05'!$AM$4:$AP$55,4,FALSE))</f>
        <v>38</v>
      </c>
      <c r="N50" s="4">
        <f>(VLOOKUP('14.05'!V50,'14.05'!$AM$4:$AP$55,4,FALSE))</f>
        <v>38</v>
      </c>
      <c r="O50" s="4">
        <f>(VLOOKUP('14.05'!W50,'14.05'!$AM$4:$AP$55,4,FALSE))</f>
        <v>0</v>
      </c>
      <c r="P50" s="4">
        <f>(VLOOKUP('14.05'!X50,'14.05'!$AM$4:$AP$55,4,FALSE))</f>
        <v>0</v>
      </c>
      <c r="Q50" s="4">
        <f>(VLOOKUP('14.05'!Y50,'14.05'!$AM$4:$AP$55,4,FALSE))</f>
        <v>0</v>
      </c>
      <c r="R50" s="4">
        <f>(VLOOKUP('14.05'!Z50,'14.05'!$AM$4:$AP$55,4,FALSE))</f>
        <v>0</v>
      </c>
      <c r="S50" s="4">
        <f>(VLOOKUP('14.05'!AA50,'14.05'!$AM$4:$AP$55,4,FALSE))</f>
        <v>0</v>
      </c>
      <c r="T50" s="4">
        <f>(VLOOKUP('14.05'!AB50,'14.05'!$AM$4:$AP$55,4,FALSE))</f>
        <v>0</v>
      </c>
      <c r="U50" s="4">
        <f>(VLOOKUP('14.05'!AC50,'14.05'!$AM$4:$AP$55,4,FALSE))</f>
        <v>0</v>
      </c>
      <c r="V50" s="4">
        <f>(VLOOKUP('14.05'!AD50,'14.05'!$AM$4:$AP$55,4,FALSE))</f>
        <v>0</v>
      </c>
      <c r="W50" s="4">
        <f>(VLOOKUP('14.05'!AE50,'14.05'!$AM$4:$AP$55,4,FALSE))</f>
        <v>0</v>
      </c>
      <c r="X50" s="4">
        <f>(VLOOKUP('14.05'!AF50,'14.05'!$AM$4:$AP$55,4,FALSE))</f>
        <v>0</v>
      </c>
    </row>
    <row r="51" spans="1:24">
      <c r="A51" s="4">
        <f>(VLOOKUP('14.05'!I51,'14.05'!$AM$4:$AP$55,4,FALSE))</f>
        <v>38</v>
      </c>
      <c r="B51" s="4">
        <f>(VLOOKUP('14.05'!J51,'14.05'!$AM$4:$AP$55,4,FALSE))</f>
        <v>38</v>
      </c>
      <c r="C51" s="4">
        <f>(VLOOKUP('14.05'!K51,'14.05'!$AM$4:$AP$55,4,FALSE))</f>
        <v>38</v>
      </c>
      <c r="D51" s="4">
        <f>(VLOOKUP('14.05'!L51,'14.05'!$AM$4:$AP$55,4,FALSE))</f>
        <v>38</v>
      </c>
      <c r="E51" s="4">
        <f>(VLOOKUP('14.05'!M51,'14.05'!$AM$4:$AP$55,4,FALSE))</f>
        <v>38</v>
      </c>
      <c r="F51" s="4">
        <f>(VLOOKUP('14.05'!N51,'14.05'!$AM$4:$AP$55,4,FALSE))</f>
        <v>38</v>
      </c>
      <c r="G51" s="4">
        <f>(VLOOKUP('14.05'!O51,'14.05'!$AM$4:$AP$55,4,FALSE))</f>
        <v>0</v>
      </c>
      <c r="H51" s="4">
        <f>(VLOOKUP('14.05'!P51,'14.05'!$AM$4:$AP$55,4,FALSE))</f>
        <v>0</v>
      </c>
      <c r="I51" s="4">
        <f>(VLOOKUP('14.05'!Q51,'14.05'!$AM$4:$AP$55,4,FALSE))</f>
        <v>38</v>
      </c>
      <c r="J51" s="4">
        <f>(VLOOKUP('14.05'!R51,'14.05'!$AM$4:$AP$55,4,FALSE))</f>
        <v>38</v>
      </c>
      <c r="K51" s="4">
        <f>(VLOOKUP('14.05'!S51,'14.05'!$AM$4:$AP$55,4,FALSE))</f>
        <v>38</v>
      </c>
      <c r="L51" s="4">
        <f>(VLOOKUP('14.05'!T51,'14.05'!$AM$4:$AP$55,4,FALSE))</f>
        <v>38</v>
      </c>
      <c r="M51" s="4">
        <f>(VLOOKUP('14.05'!U51,'14.05'!$AM$4:$AP$55,4,FALSE))</f>
        <v>38</v>
      </c>
      <c r="N51" s="4">
        <f>(VLOOKUP('14.05'!V51,'14.05'!$AM$4:$AP$55,4,FALSE))</f>
        <v>38</v>
      </c>
      <c r="O51" s="4">
        <f>(VLOOKUP('14.05'!W51,'14.05'!$AM$4:$AP$55,4,FALSE))</f>
        <v>0</v>
      </c>
      <c r="P51" s="4">
        <f>(VLOOKUP('14.05'!X51,'14.05'!$AM$4:$AP$55,4,FALSE))</f>
        <v>0</v>
      </c>
      <c r="Q51" s="4">
        <f>(VLOOKUP('14.05'!Y51,'14.05'!$AM$4:$AP$55,4,FALSE))</f>
        <v>0</v>
      </c>
      <c r="R51" s="4">
        <f>(VLOOKUP('14.05'!Z51,'14.05'!$AM$4:$AP$55,4,FALSE))</f>
        <v>0</v>
      </c>
      <c r="S51" s="4">
        <f>(VLOOKUP('14.05'!AA51,'14.05'!$AM$4:$AP$55,4,FALSE))</f>
        <v>0</v>
      </c>
      <c r="T51" s="4">
        <f>(VLOOKUP('14.05'!AB51,'14.05'!$AM$4:$AP$55,4,FALSE))</f>
        <v>0</v>
      </c>
      <c r="U51" s="4">
        <f>(VLOOKUP('14.05'!AC51,'14.05'!$AM$4:$AP$55,4,FALSE))</f>
        <v>0</v>
      </c>
      <c r="V51" s="4">
        <f>(VLOOKUP('14.05'!AD51,'14.05'!$AM$4:$AP$55,4,FALSE))</f>
        <v>0</v>
      </c>
      <c r="W51" s="4">
        <f>(VLOOKUP('14.05'!AE51,'14.05'!$AM$4:$AP$55,4,FALSE))</f>
        <v>0</v>
      </c>
      <c r="X51" s="4">
        <f>(VLOOKUP('14.05'!AF51,'14.05'!$AM$4:$AP$55,4,FALSE))</f>
        <v>0</v>
      </c>
    </row>
    <row r="52" spans="1:24">
      <c r="A52" s="4">
        <f>(VLOOKUP('14.05'!I52,'14.05'!$AM$4:$AP$55,4,FALSE))</f>
        <v>38</v>
      </c>
      <c r="B52" s="4">
        <f>(VLOOKUP('14.05'!J52,'14.05'!$AM$4:$AP$55,4,FALSE))</f>
        <v>38</v>
      </c>
      <c r="C52" s="4">
        <f>(VLOOKUP('14.05'!K52,'14.05'!$AM$4:$AP$55,4,FALSE))</f>
        <v>38</v>
      </c>
      <c r="D52" s="4">
        <f>(VLOOKUP('14.05'!L52,'14.05'!$AM$4:$AP$55,4,FALSE))</f>
        <v>38</v>
      </c>
      <c r="E52" s="4">
        <f>(VLOOKUP('14.05'!M52,'14.05'!$AM$4:$AP$55,4,FALSE))</f>
        <v>38</v>
      </c>
      <c r="F52" s="4">
        <f>(VLOOKUP('14.05'!N52,'14.05'!$AM$4:$AP$55,4,FALSE))</f>
        <v>38</v>
      </c>
      <c r="G52" s="4">
        <f>(VLOOKUP('14.05'!O52,'14.05'!$AM$4:$AP$55,4,FALSE))</f>
        <v>0</v>
      </c>
      <c r="H52" s="4">
        <f>(VLOOKUP('14.05'!P52,'14.05'!$AM$4:$AP$55,4,FALSE))</f>
        <v>0</v>
      </c>
      <c r="I52" s="4">
        <f>(VLOOKUP('14.05'!Q52,'14.05'!$AM$4:$AP$55,4,FALSE))</f>
        <v>38</v>
      </c>
      <c r="J52" s="4">
        <f>(VLOOKUP('14.05'!R52,'14.05'!$AM$4:$AP$55,4,FALSE))</f>
        <v>38</v>
      </c>
      <c r="K52" s="4">
        <f>(VLOOKUP('14.05'!S52,'14.05'!$AM$4:$AP$55,4,FALSE))</f>
        <v>38</v>
      </c>
      <c r="L52" s="4">
        <f>(VLOOKUP('14.05'!T52,'14.05'!$AM$4:$AP$55,4,FALSE))</f>
        <v>38</v>
      </c>
      <c r="M52" s="4">
        <f>(VLOOKUP('14.05'!U52,'14.05'!$AM$4:$AP$55,4,FALSE))</f>
        <v>38</v>
      </c>
      <c r="N52" s="4">
        <f>(VLOOKUP('14.05'!V52,'14.05'!$AM$4:$AP$55,4,FALSE))</f>
        <v>0</v>
      </c>
      <c r="O52" s="4">
        <f>(VLOOKUP('14.05'!W52,'14.05'!$AM$4:$AP$55,4,FALSE))</f>
        <v>0</v>
      </c>
      <c r="P52" s="4">
        <f>(VLOOKUP('14.05'!X52,'14.05'!$AM$4:$AP$55,4,FALSE))</f>
        <v>0</v>
      </c>
      <c r="Q52" s="4">
        <f>(VLOOKUP('14.05'!Y52,'14.05'!$AM$4:$AP$55,4,FALSE))</f>
        <v>0</v>
      </c>
      <c r="R52" s="4">
        <f>(VLOOKUP('14.05'!Z52,'14.05'!$AM$4:$AP$55,4,FALSE))</f>
        <v>0</v>
      </c>
      <c r="S52" s="4">
        <f>(VLOOKUP('14.05'!AA52,'14.05'!$AM$4:$AP$55,4,FALSE))</f>
        <v>0</v>
      </c>
      <c r="T52" s="4">
        <f>(VLOOKUP('14.05'!AB52,'14.05'!$AM$4:$AP$55,4,FALSE))</f>
        <v>0</v>
      </c>
      <c r="U52" s="4">
        <f>(VLOOKUP('14.05'!AC52,'14.05'!$AM$4:$AP$55,4,FALSE))</f>
        <v>0</v>
      </c>
      <c r="V52" s="4">
        <f>(VLOOKUP('14.05'!AD52,'14.05'!$AM$4:$AP$55,4,FALSE))</f>
        <v>0</v>
      </c>
      <c r="W52" s="4">
        <f>(VLOOKUP('14.05'!AE52,'14.05'!$AM$4:$AP$55,4,FALSE))</f>
        <v>0</v>
      </c>
      <c r="X52" s="4">
        <f>(VLOOKUP('14.05'!AF52,'14.05'!$AM$4:$AP$55,4,FALSE))</f>
        <v>0</v>
      </c>
    </row>
    <row r="53" spans="1:24">
      <c r="A53" s="4">
        <f>(VLOOKUP('14.05'!I53,'14.05'!$AM$4:$AP$55,4,FALSE))</f>
        <v>38</v>
      </c>
      <c r="B53" s="4">
        <f>(VLOOKUP('14.05'!J53,'14.05'!$AM$4:$AP$55,4,FALSE))</f>
        <v>38</v>
      </c>
      <c r="C53" s="4">
        <f>(VLOOKUP('14.05'!K53,'14.05'!$AM$4:$AP$55,4,FALSE))</f>
        <v>38</v>
      </c>
      <c r="D53" s="4">
        <f>(VLOOKUP('14.05'!L53,'14.05'!$AM$4:$AP$55,4,FALSE))</f>
        <v>38</v>
      </c>
      <c r="E53" s="4">
        <f>(VLOOKUP('14.05'!M53,'14.05'!$AM$4:$AP$55,4,FALSE))</f>
        <v>38</v>
      </c>
      <c r="F53" s="4">
        <f>(VLOOKUP('14.05'!N53,'14.05'!$AM$4:$AP$55,4,FALSE))</f>
        <v>38</v>
      </c>
      <c r="G53" s="4">
        <f>(VLOOKUP('14.05'!O53,'14.05'!$AM$4:$AP$55,4,FALSE))</f>
        <v>0</v>
      </c>
      <c r="H53" s="4">
        <f>(VLOOKUP('14.05'!P53,'14.05'!$AM$4:$AP$55,4,FALSE))</f>
        <v>0</v>
      </c>
      <c r="I53" s="4">
        <f>(VLOOKUP('14.05'!Q53,'14.05'!$AM$4:$AP$55,4,FALSE))</f>
        <v>38</v>
      </c>
      <c r="J53" s="4">
        <f>(VLOOKUP('14.05'!R53,'14.05'!$AM$4:$AP$55,4,FALSE))</f>
        <v>36</v>
      </c>
      <c r="K53" s="4">
        <f>(VLOOKUP('14.05'!S53,'14.05'!$AM$4:$AP$55,4,FALSE))</f>
        <v>36</v>
      </c>
      <c r="L53" s="4">
        <f>(VLOOKUP('14.05'!T53,'14.05'!$AM$4:$AP$55,4,FALSE))</f>
        <v>36</v>
      </c>
      <c r="M53" s="4">
        <f>(VLOOKUP('14.05'!U53,'14.05'!$AM$4:$AP$55,4,FALSE))</f>
        <v>0</v>
      </c>
      <c r="N53" s="4">
        <f>(VLOOKUP('14.05'!V53,'14.05'!$AM$4:$AP$55,4,FALSE))</f>
        <v>0</v>
      </c>
      <c r="O53" s="4">
        <f>(VLOOKUP('14.05'!W53,'14.05'!$AM$4:$AP$55,4,FALSE))</f>
        <v>0</v>
      </c>
      <c r="P53" s="4">
        <f>(VLOOKUP('14.05'!X53,'14.05'!$AM$4:$AP$55,4,FALSE))</f>
        <v>0</v>
      </c>
      <c r="Q53" s="4">
        <f>(VLOOKUP('14.05'!Y53,'14.05'!$AM$4:$AP$55,4,FALSE))</f>
        <v>0</v>
      </c>
      <c r="R53" s="4">
        <f>(VLOOKUP('14.05'!Z53,'14.05'!$AM$4:$AP$55,4,FALSE))</f>
        <v>0</v>
      </c>
      <c r="S53" s="4">
        <f>(VLOOKUP('14.05'!AA53,'14.05'!$AM$4:$AP$55,4,FALSE))</f>
        <v>0</v>
      </c>
      <c r="T53" s="4">
        <f>(VLOOKUP('14.05'!AB53,'14.05'!$AM$4:$AP$55,4,FALSE))</f>
        <v>0</v>
      </c>
      <c r="U53" s="4">
        <f>(VLOOKUP('14.05'!AC53,'14.05'!$AM$4:$AP$55,4,FALSE))</f>
        <v>0</v>
      </c>
      <c r="V53" s="4">
        <f>(VLOOKUP('14.05'!AD53,'14.05'!$AM$4:$AP$55,4,FALSE))</f>
        <v>0</v>
      </c>
      <c r="W53" s="4">
        <f>(VLOOKUP('14.05'!AE53,'14.05'!$AM$4:$AP$55,4,FALSE))</f>
        <v>0</v>
      </c>
      <c r="X53" s="4">
        <f>(VLOOKUP('14.05'!AF53,'14.05'!$AM$4:$AP$55,4,FALSE))</f>
        <v>0</v>
      </c>
    </row>
    <row r="54" spans="1:24">
      <c r="A54" s="4">
        <f>(VLOOKUP('14.05'!I54,'14.05'!$AM$4:$AP$55,4,FALSE))</f>
        <v>38</v>
      </c>
      <c r="B54" s="4">
        <f>(VLOOKUP('14.05'!J54,'14.05'!$AM$4:$AP$55,4,FALSE))</f>
        <v>38</v>
      </c>
      <c r="C54" s="4">
        <f>(VLOOKUP('14.05'!K54,'14.05'!$AM$4:$AP$55,4,FALSE))</f>
        <v>38</v>
      </c>
      <c r="D54" s="4">
        <f>(VLOOKUP('14.05'!L54,'14.05'!$AM$4:$AP$55,4,FALSE))</f>
        <v>38</v>
      </c>
      <c r="E54" s="4">
        <f>(VLOOKUP('14.05'!M54,'14.05'!$AM$4:$AP$55,4,FALSE))</f>
        <v>38</v>
      </c>
      <c r="F54" s="4">
        <f>(VLOOKUP('14.05'!N54,'14.05'!$AM$4:$AP$55,4,FALSE))</f>
        <v>38</v>
      </c>
      <c r="G54" s="4">
        <f>(VLOOKUP('14.05'!O54,'14.05'!$AM$4:$AP$55,4,FALSE))</f>
        <v>0</v>
      </c>
      <c r="H54" s="4">
        <f>(VLOOKUP('14.05'!P54,'14.05'!$AM$4:$AP$55,4,FALSE))</f>
        <v>0</v>
      </c>
      <c r="I54" s="4">
        <f>(VLOOKUP('14.05'!Q54,'14.05'!$AM$4:$AP$55,4,FALSE))</f>
        <v>36</v>
      </c>
      <c r="J54" s="4">
        <f>(VLOOKUP('14.05'!R54,'14.05'!$AM$4:$AP$55,4,FALSE))</f>
        <v>36</v>
      </c>
      <c r="K54" s="4">
        <f>(VLOOKUP('14.05'!S54,'14.05'!$AM$4:$AP$55,4,FALSE))</f>
        <v>36</v>
      </c>
      <c r="L54" s="4">
        <f>(VLOOKUP('14.05'!T54,'14.05'!$AM$4:$AP$55,4,FALSE))</f>
        <v>36</v>
      </c>
      <c r="M54" s="4">
        <f>(VLOOKUP('14.05'!U54,'14.05'!$AM$4:$AP$55,4,FALSE))</f>
        <v>34</v>
      </c>
      <c r="N54" s="4">
        <f>(VLOOKUP('14.05'!V54,'14.05'!$AM$4:$AP$55,4,FALSE))</f>
        <v>0</v>
      </c>
      <c r="O54" s="4">
        <f>(VLOOKUP('14.05'!W54,'14.05'!$AM$4:$AP$55,4,FALSE))</f>
        <v>0</v>
      </c>
      <c r="P54" s="4">
        <f>(VLOOKUP('14.05'!X54,'14.05'!$AM$4:$AP$55,4,FALSE))</f>
        <v>0</v>
      </c>
      <c r="Q54" s="4">
        <f>(VLOOKUP('14.05'!Y54,'14.05'!$AM$4:$AP$55,4,FALSE))</f>
        <v>0</v>
      </c>
      <c r="R54" s="4">
        <f>(VLOOKUP('14.05'!Z54,'14.05'!$AM$4:$AP$55,4,FALSE))</f>
        <v>0</v>
      </c>
      <c r="S54" s="4">
        <f>(VLOOKUP('14.05'!AA54,'14.05'!$AM$4:$AP$55,4,FALSE))</f>
        <v>0</v>
      </c>
      <c r="T54" s="4">
        <f>(VLOOKUP('14.05'!AB54,'14.05'!$AM$4:$AP$55,4,FALSE))</f>
        <v>0</v>
      </c>
      <c r="U54" s="4">
        <f>(VLOOKUP('14.05'!AC54,'14.05'!$AM$4:$AP$55,4,FALSE))</f>
        <v>0</v>
      </c>
      <c r="V54" s="4">
        <f>(VLOOKUP('14.05'!AD54,'14.05'!$AM$4:$AP$55,4,FALSE))</f>
        <v>0</v>
      </c>
      <c r="W54" s="4">
        <f>(VLOOKUP('14.05'!AE54,'14.05'!$AM$4:$AP$55,4,FALSE))</f>
        <v>0</v>
      </c>
      <c r="X54" s="4">
        <f>(VLOOKUP('14.05'!AF54,'14.05'!$AM$4:$AP$55,4,FALSE))</f>
        <v>0</v>
      </c>
    </row>
    <row r="55" spans="1:24">
      <c r="A55" s="4">
        <f>(VLOOKUP('14.05'!I55,'14.05'!$AM$4:$AP$55,4,FALSE))</f>
        <v>0</v>
      </c>
      <c r="B55" s="4">
        <f>(VLOOKUP('14.05'!J55,'14.05'!$AM$4:$AP$55,4,FALSE))</f>
        <v>0</v>
      </c>
      <c r="C55" s="4">
        <f>(VLOOKUP('14.05'!K55,'14.05'!$AM$4:$AP$55,4,FALSE))</f>
        <v>0</v>
      </c>
      <c r="D55" s="4">
        <f>(VLOOKUP('14.05'!L55,'14.05'!$AM$4:$AP$55,4,FALSE))</f>
        <v>0</v>
      </c>
      <c r="E55" s="4">
        <f>(VLOOKUP('14.05'!M55,'14.05'!$AM$4:$AP$55,4,FALSE))</f>
        <v>0</v>
      </c>
      <c r="F55" s="4">
        <f>(VLOOKUP('14.05'!N55,'14.05'!$AM$4:$AP$55,4,FALSE))</f>
        <v>0</v>
      </c>
      <c r="G55" s="4">
        <f>(VLOOKUP('14.05'!O55,'14.05'!$AM$4:$AP$55,4,FALSE))</f>
        <v>0</v>
      </c>
      <c r="H55" s="4">
        <f>(VLOOKUP('14.05'!P55,'14.05'!$AM$4:$AP$55,4,FALSE))</f>
        <v>0</v>
      </c>
      <c r="I55" s="4">
        <f>(VLOOKUP('14.05'!Q55,'14.05'!$AM$4:$AP$55,4,FALSE))</f>
        <v>13.999854933178597</v>
      </c>
      <c r="J55" s="4">
        <f>(VLOOKUP('14.05'!R55,'14.05'!$AM$4:$AP$55,4,FALSE))</f>
        <v>34</v>
      </c>
      <c r="K55" s="4">
        <f>(VLOOKUP('14.05'!S55,'14.05'!$AM$4:$AP$55,4,FALSE))</f>
        <v>34</v>
      </c>
      <c r="L55" s="4">
        <f>(VLOOKUP('14.05'!T55,'14.05'!$AM$4:$AP$55,4,FALSE))</f>
        <v>36</v>
      </c>
      <c r="M55" s="4">
        <f>(VLOOKUP('14.05'!U55,'14.05'!$AM$4:$AP$55,4,FALSE))</f>
        <v>36</v>
      </c>
      <c r="N55" s="4">
        <f>(VLOOKUP('14.05'!V55,'14.05'!$AM$4:$AP$55,4,FALSE))</f>
        <v>0</v>
      </c>
      <c r="O55" s="4">
        <f>(VLOOKUP('14.05'!W55,'14.05'!$AM$4:$AP$55,4,FALSE))</f>
        <v>0</v>
      </c>
      <c r="P55" s="4">
        <f>(VLOOKUP('14.05'!X55,'14.05'!$AM$4:$AP$55,4,FALSE))</f>
        <v>0</v>
      </c>
      <c r="Q55" s="4">
        <f>(VLOOKUP('14.05'!Y55,'14.05'!$AM$4:$AP$55,4,FALSE))</f>
        <v>0</v>
      </c>
      <c r="R55" s="4">
        <f>(VLOOKUP('14.05'!Z55,'14.05'!$AM$4:$AP$55,4,FALSE))</f>
        <v>0</v>
      </c>
      <c r="S55" s="4">
        <f>(VLOOKUP('14.05'!AA55,'14.05'!$AM$4:$AP$55,4,FALSE))</f>
        <v>0</v>
      </c>
      <c r="T55" s="4">
        <f>(VLOOKUP('14.05'!AB55,'14.05'!$AM$4:$AP$55,4,FALSE))</f>
        <v>0</v>
      </c>
      <c r="U55" s="4">
        <f>(VLOOKUP('14.05'!AC55,'14.05'!$AM$4:$AP$55,4,FALSE))</f>
        <v>0</v>
      </c>
      <c r="V55" s="4">
        <f>(VLOOKUP('14.05'!AD55,'14.05'!$AM$4:$AP$55,4,FALSE))</f>
        <v>0</v>
      </c>
      <c r="W55" s="4">
        <f>(VLOOKUP('14.05'!AE55,'14.05'!$AM$4:$AP$55,4,FALSE))</f>
        <v>0</v>
      </c>
      <c r="X55" s="4">
        <f>(VLOOKUP('14.05'!AF55,'14.05'!$AM$4:$AP$55,4,FALSE))</f>
        <v>0</v>
      </c>
    </row>
    <row r="56" spans="1:24">
      <c r="A56" s="4">
        <f>(VLOOKUP('14.05'!I56,'14.05'!$AM$4:$AP$55,4,FALSE))</f>
        <v>0</v>
      </c>
      <c r="B56" s="4">
        <f>(VLOOKUP('14.05'!J56,'14.05'!$AM$4:$AP$55,4,FALSE))</f>
        <v>0</v>
      </c>
      <c r="C56" s="4">
        <f>(VLOOKUP('14.05'!K56,'14.05'!$AM$4:$AP$55,4,FALSE))</f>
        <v>0</v>
      </c>
      <c r="D56" s="4">
        <f>(VLOOKUP('14.05'!L56,'14.05'!$AM$4:$AP$55,4,FALSE))</f>
        <v>0</v>
      </c>
      <c r="E56" s="4">
        <f>(VLOOKUP('14.05'!M56,'14.05'!$AM$4:$AP$55,4,FALSE))</f>
        <v>0</v>
      </c>
      <c r="F56" s="4">
        <f>(VLOOKUP('14.05'!N56,'14.05'!$AM$4:$AP$55,4,FALSE))</f>
        <v>0</v>
      </c>
      <c r="G56" s="4">
        <f>(VLOOKUP('14.05'!O56,'14.05'!$AM$4:$AP$55,4,FALSE))</f>
        <v>0</v>
      </c>
      <c r="H56" s="4">
        <f>(VLOOKUP('14.05'!P56,'14.05'!$AM$4:$AP$55,4,FALSE))</f>
        <v>0</v>
      </c>
      <c r="I56" s="4">
        <f>(VLOOKUP('14.05'!Q56,'14.05'!$AM$4:$AP$55,4,FALSE))</f>
        <v>36</v>
      </c>
      <c r="J56" s="4">
        <f>(VLOOKUP('14.05'!R56,'14.05'!$AM$4:$AP$55,4,FALSE))</f>
        <v>36</v>
      </c>
      <c r="K56" s="4">
        <f>(VLOOKUP('14.05'!S56,'14.05'!$AM$4:$AP$55,4,FALSE))</f>
        <v>36</v>
      </c>
      <c r="L56" s="4">
        <f>(VLOOKUP('14.05'!T56,'14.05'!$AM$4:$AP$55,4,FALSE))</f>
        <v>36</v>
      </c>
      <c r="M56" s="4">
        <f>(VLOOKUP('14.05'!U56,'14.05'!$AM$4:$AP$55,4,FALSE))</f>
        <v>0</v>
      </c>
      <c r="N56" s="4">
        <f>(VLOOKUP('14.05'!V56,'14.05'!$AM$4:$AP$55,4,FALSE))</f>
        <v>0</v>
      </c>
      <c r="O56" s="4">
        <f>(VLOOKUP('14.05'!W56,'14.05'!$AM$4:$AP$55,4,FALSE))</f>
        <v>0</v>
      </c>
      <c r="P56" s="4">
        <f>(VLOOKUP('14.05'!X56,'14.05'!$AM$4:$AP$55,4,FALSE))</f>
        <v>0</v>
      </c>
      <c r="Q56" s="4">
        <f>(VLOOKUP('14.05'!Y56,'14.05'!$AM$4:$AP$55,4,FALSE))</f>
        <v>0</v>
      </c>
      <c r="R56" s="4">
        <f>(VLOOKUP('14.05'!Z56,'14.05'!$AM$4:$AP$55,4,FALSE))</f>
        <v>0</v>
      </c>
      <c r="S56" s="4">
        <f>(VLOOKUP('14.05'!AA56,'14.05'!$AM$4:$AP$55,4,FALSE))</f>
        <v>0</v>
      </c>
      <c r="T56" s="4">
        <f>(VLOOKUP('14.05'!AB56,'14.05'!$AM$4:$AP$55,4,FALSE))</f>
        <v>0</v>
      </c>
      <c r="U56" s="4">
        <f>(VLOOKUP('14.05'!AC56,'14.05'!$AM$4:$AP$55,4,FALSE))</f>
        <v>0</v>
      </c>
      <c r="V56" s="4">
        <f>(VLOOKUP('14.05'!AD56,'14.05'!$AM$4:$AP$55,4,FALSE))</f>
        <v>0</v>
      </c>
      <c r="W56" s="4">
        <f>(VLOOKUP('14.05'!AE56,'14.05'!$AM$4:$AP$55,4,FALSE))</f>
        <v>0</v>
      </c>
      <c r="X56" s="4">
        <f>(VLOOKUP('14.05'!AF56,'14.05'!$AM$4:$AP$55,4,FALSE))</f>
        <v>0</v>
      </c>
    </row>
    <row r="57" spans="1:24">
      <c r="A57" s="4">
        <f>(VLOOKUP('14.05'!I57,'14.05'!$AM$4:$AP$55,4,FALSE))</f>
        <v>0</v>
      </c>
      <c r="B57" s="4">
        <f>(VLOOKUP('14.05'!J57,'14.05'!$AM$4:$AP$55,4,FALSE))</f>
        <v>0</v>
      </c>
      <c r="C57" s="4">
        <f>(VLOOKUP('14.05'!K57,'14.05'!$AM$4:$AP$55,4,FALSE))</f>
        <v>0</v>
      </c>
      <c r="D57" s="4">
        <f>(VLOOKUP('14.05'!L57,'14.05'!$AM$4:$AP$55,4,FALSE))</f>
        <v>0</v>
      </c>
      <c r="E57" s="4">
        <f>(VLOOKUP('14.05'!M57,'14.05'!$AM$4:$AP$55,4,FALSE))</f>
        <v>0</v>
      </c>
      <c r="F57" s="4">
        <f>(VLOOKUP('14.05'!N57,'14.05'!$AM$4:$AP$55,4,FALSE))</f>
        <v>0</v>
      </c>
      <c r="G57" s="4">
        <f>(VLOOKUP('14.05'!O57,'14.05'!$AM$4:$AP$55,4,FALSE))</f>
        <v>0</v>
      </c>
      <c r="H57" s="4">
        <f>(VLOOKUP('14.05'!P57,'14.05'!$AM$4:$AP$55,4,FALSE))</f>
        <v>0</v>
      </c>
      <c r="I57" s="4">
        <f>(VLOOKUP('14.05'!Q57,'14.05'!$AM$4:$AP$55,4,FALSE))</f>
        <v>36</v>
      </c>
      <c r="J57" s="4">
        <f>(VLOOKUP('14.05'!R57,'14.05'!$AM$4:$AP$55,4,FALSE))</f>
        <v>36</v>
      </c>
      <c r="K57" s="4">
        <f>(VLOOKUP('14.05'!S57,'14.05'!$AM$4:$AP$55,4,FALSE))</f>
        <v>36</v>
      </c>
      <c r="L57" s="4">
        <f>(VLOOKUP('14.05'!T57,'14.05'!$AM$4:$AP$55,4,FALSE))</f>
        <v>36</v>
      </c>
      <c r="M57" s="4">
        <f>(VLOOKUP('14.05'!U57,'14.05'!$AM$4:$AP$55,4,FALSE))</f>
        <v>36</v>
      </c>
      <c r="N57" s="4">
        <f>(VLOOKUP('14.05'!V57,'14.05'!$AM$4:$AP$55,4,FALSE))</f>
        <v>36</v>
      </c>
      <c r="O57" s="4">
        <f>(VLOOKUP('14.05'!W57,'14.05'!$AM$4:$AP$55,4,FALSE))</f>
        <v>0</v>
      </c>
      <c r="P57" s="4">
        <f>(VLOOKUP('14.05'!X57,'14.05'!$AM$4:$AP$55,4,FALSE))</f>
        <v>0</v>
      </c>
      <c r="Q57" s="4">
        <f>(VLOOKUP('14.05'!Y57,'14.05'!$AM$4:$AP$55,4,FALSE))</f>
        <v>0</v>
      </c>
      <c r="R57" s="4">
        <f>(VLOOKUP('14.05'!Z57,'14.05'!$AM$4:$AP$55,4,FALSE))</f>
        <v>0</v>
      </c>
      <c r="S57" s="4">
        <f>(VLOOKUP('14.05'!AA57,'14.05'!$AM$4:$AP$55,4,FALSE))</f>
        <v>0</v>
      </c>
      <c r="T57" s="4">
        <f>(VLOOKUP('14.05'!AB57,'14.05'!$AM$4:$AP$55,4,FALSE))</f>
        <v>0</v>
      </c>
      <c r="U57" s="4">
        <f>(VLOOKUP('14.05'!AC57,'14.05'!$AM$4:$AP$55,4,FALSE))</f>
        <v>0</v>
      </c>
      <c r="V57" s="4">
        <f>(VLOOKUP('14.05'!AD57,'14.05'!$AM$4:$AP$55,4,FALSE))</f>
        <v>0</v>
      </c>
      <c r="W57" s="4">
        <f>(VLOOKUP('14.05'!AE57,'14.05'!$AM$4:$AP$55,4,FALSE))</f>
        <v>0</v>
      </c>
      <c r="X57" s="4">
        <f>(VLOOKUP('14.05'!AF57,'14.05'!$AM$4:$AP$55,4,FALSE))</f>
        <v>0</v>
      </c>
    </row>
    <row r="58" spans="1:24">
      <c r="A58" s="4">
        <f>(VLOOKUP('14.05'!I58,'14.05'!$AM$4:$AP$55,4,FALSE))</f>
        <v>0</v>
      </c>
      <c r="B58" s="4">
        <f>(VLOOKUP('14.05'!J58,'14.05'!$AM$4:$AP$55,4,FALSE))</f>
        <v>0</v>
      </c>
      <c r="C58" s="4">
        <f>(VLOOKUP('14.05'!K58,'14.05'!$AM$4:$AP$55,4,FALSE))</f>
        <v>0</v>
      </c>
      <c r="D58" s="4">
        <f>(VLOOKUP('14.05'!L58,'14.05'!$AM$4:$AP$55,4,FALSE))</f>
        <v>0</v>
      </c>
      <c r="E58" s="4">
        <f>(VLOOKUP('14.05'!M58,'14.05'!$AM$4:$AP$55,4,FALSE))</f>
        <v>0</v>
      </c>
      <c r="F58" s="4">
        <f>(VLOOKUP('14.05'!N58,'14.05'!$AM$4:$AP$55,4,FALSE))</f>
        <v>0</v>
      </c>
      <c r="G58" s="4">
        <f>(VLOOKUP('14.05'!O58,'14.05'!$AM$4:$AP$55,4,FALSE))</f>
        <v>0</v>
      </c>
      <c r="H58" s="4">
        <f>(VLOOKUP('14.05'!P58,'14.05'!$AM$4:$AP$55,4,FALSE))</f>
        <v>0</v>
      </c>
      <c r="I58" s="4">
        <f>(VLOOKUP('14.05'!Q58,'14.05'!$AM$4:$AP$55,4,FALSE))</f>
        <v>36</v>
      </c>
      <c r="J58" s="4">
        <f>(VLOOKUP('14.05'!R58,'14.05'!$AM$4:$AP$55,4,FALSE))</f>
        <v>36</v>
      </c>
      <c r="K58" s="4">
        <f>(VLOOKUP('14.05'!S58,'14.05'!$AM$4:$AP$55,4,FALSE))</f>
        <v>36</v>
      </c>
      <c r="L58" s="4">
        <f>(VLOOKUP('14.05'!T58,'14.05'!$AM$4:$AP$55,4,FALSE))</f>
        <v>36</v>
      </c>
      <c r="M58" s="4">
        <f>(VLOOKUP('14.05'!U58,'14.05'!$AM$4:$AP$55,4,FALSE))</f>
        <v>36</v>
      </c>
      <c r="N58" s="4">
        <f>(VLOOKUP('14.05'!V58,'14.05'!$AM$4:$AP$55,4,FALSE))</f>
        <v>0</v>
      </c>
      <c r="O58" s="4">
        <f>(VLOOKUP('14.05'!W58,'14.05'!$AM$4:$AP$55,4,FALSE))</f>
        <v>0</v>
      </c>
      <c r="P58" s="4">
        <f>(VLOOKUP('14.05'!X58,'14.05'!$AM$4:$AP$55,4,FALSE))</f>
        <v>0</v>
      </c>
      <c r="Q58" s="4">
        <f>(VLOOKUP('14.05'!Y58,'14.05'!$AM$4:$AP$55,4,FALSE))</f>
        <v>0</v>
      </c>
      <c r="R58" s="4">
        <f>(VLOOKUP('14.05'!Z58,'14.05'!$AM$4:$AP$55,4,FALSE))</f>
        <v>0</v>
      </c>
      <c r="S58" s="4">
        <f>(VLOOKUP('14.05'!AA58,'14.05'!$AM$4:$AP$55,4,FALSE))</f>
        <v>0</v>
      </c>
      <c r="T58" s="4">
        <f>(VLOOKUP('14.05'!AB58,'14.05'!$AM$4:$AP$55,4,FALSE))</f>
        <v>0</v>
      </c>
      <c r="U58" s="4">
        <f>(VLOOKUP('14.05'!AC58,'14.05'!$AM$4:$AP$55,4,FALSE))</f>
        <v>0</v>
      </c>
      <c r="V58" s="4">
        <f>(VLOOKUP('14.05'!AD58,'14.05'!$AM$4:$AP$55,4,FALSE))</f>
        <v>0</v>
      </c>
      <c r="W58" s="4">
        <f>(VLOOKUP('14.05'!AE58,'14.05'!$AM$4:$AP$55,4,FALSE))</f>
        <v>0</v>
      </c>
      <c r="X58" s="4">
        <f>(VLOOKUP('14.05'!AF58,'14.05'!$AM$4:$AP$55,4,FALSE))</f>
        <v>0</v>
      </c>
    </row>
    <row r="59" spans="1:24">
      <c r="A59" s="4">
        <f>(VLOOKUP('14.05'!I59,'14.05'!$AM$4:$AP$55,4,FALSE))</f>
        <v>0</v>
      </c>
      <c r="B59" s="4">
        <f>(VLOOKUP('14.05'!J59,'14.05'!$AM$4:$AP$55,4,FALSE))</f>
        <v>0</v>
      </c>
      <c r="C59" s="4">
        <f>(VLOOKUP('14.05'!K59,'14.05'!$AM$4:$AP$55,4,FALSE))</f>
        <v>0</v>
      </c>
      <c r="D59" s="4">
        <f>(VLOOKUP('14.05'!L59,'14.05'!$AM$4:$AP$55,4,FALSE))</f>
        <v>0</v>
      </c>
      <c r="E59" s="4">
        <f>(VLOOKUP('14.05'!M59,'14.05'!$AM$4:$AP$55,4,FALSE))</f>
        <v>0</v>
      </c>
      <c r="F59" s="4">
        <f>(VLOOKUP('14.05'!N59,'14.05'!$AM$4:$AP$55,4,FALSE))</f>
        <v>0</v>
      </c>
      <c r="G59" s="4">
        <f>(VLOOKUP('14.05'!O59,'14.05'!$AM$4:$AP$55,4,FALSE))</f>
        <v>0</v>
      </c>
      <c r="H59" s="4">
        <f>(VLOOKUP('14.05'!P59,'14.05'!$AM$4:$AP$55,4,FALSE))</f>
        <v>0</v>
      </c>
      <c r="I59" s="4">
        <f>(VLOOKUP('14.05'!Q59,'14.05'!$AM$4:$AP$55,4,FALSE))</f>
        <v>36</v>
      </c>
      <c r="J59" s="4">
        <f>(VLOOKUP('14.05'!R59,'14.05'!$AM$4:$AP$55,4,FALSE))</f>
        <v>36</v>
      </c>
      <c r="K59" s="4">
        <f>(VLOOKUP('14.05'!S59,'14.05'!$AM$4:$AP$55,4,FALSE))</f>
        <v>36</v>
      </c>
      <c r="L59" s="4">
        <f>(VLOOKUP('14.05'!T59,'14.05'!$AM$4:$AP$55,4,FALSE))</f>
        <v>36</v>
      </c>
      <c r="M59" s="4">
        <f>(VLOOKUP('14.05'!U59,'14.05'!$AM$4:$AP$55,4,FALSE))</f>
        <v>36</v>
      </c>
      <c r="N59" s="4">
        <f>(VLOOKUP('14.05'!V59,'14.05'!$AM$4:$AP$55,4,FALSE))</f>
        <v>0</v>
      </c>
      <c r="O59" s="4">
        <f>(VLOOKUP('14.05'!W59,'14.05'!$AM$4:$AP$55,4,FALSE))</f>
        <v>0</v>
      </c>
      <c r="P59" s="4">
        <f>(VLOOKUP('14.05'!X59,'14.05'!$AM$4:$AP$55,4,FALSE))</f>
        <v>0</v>
      </c>
      <c r="Q59" s="4">
        <f>(VLOOKUP('14.05'!Y59,'14.05'!$AM$4:$AP$55,4,FALSE))</f>
        <v>0</v>
      </c>
      <c r="R59" s="4">
        <f>(VLOOKUP('14.05'!Z59,'14.05'!$AM$4:$AP$55,4,FALSE))</f>
        <v>0</v>
      </c>
      <c r="S59" s="4">
        <f>(VLOOKUP('14.05'!AA59,'14.05'!$AM$4:$AP$55,4,FALSE))</f>
        <v>0</v>
      </c>
      <c r="T59" s="4">
        <f>(VLOOKUP('14.05'!AB59,'14.05'!$AM$4:$AP$55,4,FALSE))</f>
        <v>0</v>
      </c>
      <c r="U59" s="4">
        <f>(VLOOKUP('14.05'!AC59,'14.05'!$AM$4:$AP$55,4,FALSE))</f>
        <v>0</v>
      </c>
      <c r="V59" s="4">
        <f>(VLOOKUP('14.05'!AD59,'14.05'!$AM$4:$AP$55,4,FALSE))</f>
        <v>0</v>
      </c>
      <c r="W59" s="4">
        <f>(VLOOKUP('14.05'!AE59,'14.05'!$AM$4:$AP$55,4,FALSE))</f>
        <v>0</v>
      </c>
      <c r="X59" s="4">
        <f>(VLOOKUP('14.05'!AF59,'14.05'!$AM$4:$AP$55,4,FALSE))</f>
        <v>0</v>
      </c>
    </row>
    <row r="60" spans="1:24">
      <c r="A60" s="4">
        <f>(VLOOKUP('14.05'!I60,'14.05'!$AM$4:$AP$55,4,FALSE))</f>
        <v>0</v>
      </c>
      <c r="B60" s="4">
        <f>(VLOOKUP('14.05'!J60,'14.05'!$AM$4:$AP$55,4,FALSE))</f>
        <v>0</v>
      </c>
      <c r="C60" s="4">
        <f>(VLOOKUP('14.05'!K60,'14.05'!$AM$4:$AP$55,4,FALSE))</f>
        <v>0</v>
      </c>
      <c r="D60" s="4">
        <f>(VLOOKUP('14.05'!L60,'14.05'!$AM$4:$AP$55,4,FALSE))</f>
        <v>0</v>
      </c>
      <c r="E60" s="4">
        <f>(VLOOKUP('14.05'!M60,'14.05'!$AM$4:$AP$55,4,FALSE))</f>
        <v>38</v>
      </c>
      <c r="F60" s="4">
        <f>(VLOOKUP('14.05'!N60,'14.05'!$AM$4:$AP$55,4,FALSE))</f>
        <v>38</v>
      </c>
      <c r="G60" s="4">
        <f>(VLOOKUP('14.05'!O60,'14.05'!$AM$4:$AP$55,4,FALSE))</f>
        <v>0</v>
      </c>
      <c r="H60" s="4">
        <f>(VLOOKUP('14.05'!P60,'14.05'!$AM$4:$AP$55,4,FALSE))</f>
        <v>0</v>
      </c>
      <c r="I60" s="4">
        <f>(VLOOKUP('14.05'!Q60,'14.05'!$AM$4:$AP$55,4,FALSE))</f>
        <v>36</v>
      </c>
      <c r="J60" s="4">
        <f>(VLOOKUP('14.05'!R60,'14.05'!$AM$4:$AP$55,4,FALSE))</f>
        <v>36</v>
      </c>
      <c r="K60" s="4">
        <f>(VLOOKUP('14.05'!S60,'14.05'!$AM$4:$AP$55,4,FALSE))</f>
        <v>36</v>
      </c>
      <c r="L60" s="4">
        <f>(VLOOKUP('14.05'!T60,'14.05'!$AM$4:$AP$55,4,FALSE))</f>
        <v>34</v>
      </c>
      <c r="M60" s="4">
        <f>(VLOOKUP('14.05'!U60,'14.05'!$AM$4:$AP$55,4,FALSE))</f>
        <v>0</v>
      </c>
      <c r="N60" s="4">
        <f>(VLOOKUP('14.05'!V60,'14.05'!$AM$4:$AP$55,4,FALSE))</f>
        <v>0</v>
      </c>
      <c r="O60" s="4">
        <f>(VLOOKUP('14.05'!W60,'14.05'!$AM$4:$AP$55,4,FALSE))</f>
        <v>0</v>
      </c>
      <c r="P60" s="4">
        <f>(VLOOKUP('14.05'!X60,'14.05'!$AM$4:$AP$55,4,FALSE))</f>
        <v>0</v>
      </c>
      <c r="Q60" s="4">
        <f>(VLOOKUP('14.05'!Y60,'14.05'!$AM$4:$AP$55,4,FALSE))</f>
        <v>0</v>
      </c>
      <c r="R60" s="4">
        <f>(VLOOKUP('14.05'!Z60,'14.05'!$AM$4:$AP$55,4,FALSE))</f>
        <v>0</v>
      </c>
      <c r="S60" s="4">
        <f>(VLOOKUP('14.05'!AA60,'14.05'!$AM$4:$AP$55,4,FALSE))</f>
        <v>0</v>
      </c>
      <c r="T60" s="4">
        <f>(VLOOKUP('14.05'!AB60,'14.05'!$AM$4:$AP$55,4,FALSE))</f>
        <v>0</v>
      </c>
      <c r="U60" s="4">
        <f>(VLOOKUP('14.05'!AC60,'14.05'!$AM$4:$AP$55,4,FALSE))</f>
        <v>0</v>
      </c>
      <c r="V60" s="4">
        <f>(VLOOKUP('14.05'!AD60,'14.05'!$AM$4:$AP$55,4,FALSE))</f>
        <v>0</v>
      </c>
      <c r="W60" s="4">
        <f>(VLOOKUP('14.05'!AE60,'14.05'!$AM$4:$AP$55,4,FALSE))</f>
        <v>0</v>
      </c>
      <c r="X60" s="4">
        <f>(VLOOKUP('14.05'!AF60,'14.05'!$AM$4:$AP$55,4,FALSE))</f>
        <v>0</v>
      </c>
    </row>
    <row r="61" spans="1:24">
      <c r="A61" s="4">
        <f>(VLOOKUP('14.05'!I61,'14.05'!$AM$4:$AP$55,4,FALSE))</f>
        <v>38</v>
      </c>
      <c r="B61" s="4">
        <f>(VLOOKUP('14.05'!J61,'14.05'!$AM$4:$AP$55,4,FALSE))</f>
        <v>38</v>
      </c>
      <c r="C61" s="4">
        <f>(VLOOKUP('14.05'!K61,'14.05'!$AM$4:$AP$55,4,FALSE))</f>
        <v>0</v>
      </c>
      <c r="D61" s="4">
        <f>(VLOOKUP('14.05'!L61,'14.05'!$AM$4:$AP$55,4,FALSE))</f>
        <v>38</v>
      </c>
      <c r="E61" s="4">
        <f>(VLOOKUP('14.05'!M61,'14.05'!$AM$4:$AP$55,4,FALSE))</f>
        <v>38</v>
      </c>
      <c r="F61" s="4">
        <f>(VLOOKUP('14.05'!N61,'14.05'!$AM$4:$AP$55,4,FALSE))</f>
        <v>38</v>
      </c>
      <c r="G61" s="4">
        <f>(VLOOKUP('14.05'!O61,'14.05'!$AM$4:$AP$55,4,FALSE))</f>
        <v>0</v>
      </c>
      <c r="H61" s="4">
        <f>(VLOOKUP('14.05'!P61,'14.05'!$AM$4:$AP$55,4,FALSE))</f>
        <v>0</v>
      </c>
      <c r="I61" s="4">
        <f>(VLOOKUP('14.05'!Q61,'14.05'!$AM$4:$AP$55,4,FALSE))</f>
        <v>34</v>
      </c>
      <c r="J61" s="4">
        <f>(VLOOKUP('14.05'!R61,'14.05'!$AM$4:$AP$55,4,FALSE))</f>
        <v>34</v>
      </c>
      <c r="K61" s="4">
        <f>(VLOOKUP('14.05'!S61,'14.05'!$AM$4:$AP$55,4,FALSE))</f>
        <v>34</v>
      </c>
      <c r="L61" s="4">
        <f>(VLOOKUP('14.05'!T61,'14.05'!$AM$4:$AP$55,4,FALSE))</f>
        <v>34</v>
      </c>
      <c r="M61" s="4">
        <f>(VLOOKUP('14.05'!U61,'14.05'!$AM$4:$AP$55,4,FALSE))</f>
        <v>34</v>
      </c>
      <c r="N61" s="4">
        <f>(VLOOKUP('14.05'!V61,'14.05'!$AM$4:$AP$55,4,FALSE))</f>
        <v>0</v>
      </c>
      <c r="O61" s="4">
        <f>(VLOOKUP('14.05'!W61,'14.05'!$AM$4:$AP$55,4,FALSE))</f>
        <v>0</v>
      </c>
      <c r="P61" s="4">
        <f>(VLOOKUP('14.05'!X61,'14.05'!$AM$4:$AP$55,4,FALSE))</f>
        <v>0</v>
      </c>
      <c r="Q61" s="4">
        <f>(VLOOKUP('14.05'!Y61,'14.05'!$AM$4:$AP$55,4,FALSE))</f>
        <v>0</v>
      </c>
      <c r="R61" s="4">
        <f>(VLOOKUP('14.05'!Z61,'14.05'!$AM$4:$AP$55,4,FALSE))</f>
        <v>0</v>
      </c>
      <c r="S61" s="4">
        <f>(VLOOKUP('14.05'!AA61,'14.05'!$AM$4:$AP$55,4,FALSE))</f>
        <v>0</v>
      </c>
      <c r="T61" s="4">
        <f>(VLOOKUP('14.05'!AB61,'14.05'!$AM$4:$AP$55,4,FALSE))</f>
        <v>0</v>
      </c>
      <c r="U61" s="4">
        <f>(VLOOKUP('14.05'!AC61,'14.05'!$AM$4:$AP$55,4,FALSE))</f>
        <v>0</v>
      </c>
      <c r="V61" s="4">
        <f>(VLOOKUP('14.05'!AD61,'14.05'!$AM$4:$AP$55,4,FALSE))</f>
        <v>0</v>
      </c>
      <c r="W61" s="4">
        <f>(VLOOKUP('14.05'!AE61,'14.05'!$AM$4:$AP$55,4,FALSE))</f>
        <v>0</v>
      </c>
      <c r="X61" s="4">
        <f>(VLOOKUP('14.05'!AF61,'14.05'!$AM$4:$AP$55,4,FALSE))</f>
        <v>0</v>
      </c>
    </row>
    <row r="62" spans="1:24">
      <c r="A62" s="4">
        <f>(VLOOKUP('14.05'!I62,'14.05'!$AM$4:$AP$55,4,FALSE))</f>
        <v>38</v>
      </c>
      <c r="B62" s="4">
        <f>(VLOOKUP('14.05'!J62,'14.05'!$AM$4:$AP$55,4,FALSE))</f>
        <v>10</v>
      </c>
      <c r="C62" s="4">
        <f>(VLOOKUP('14.05'!K62,'14.05'!$AM$4:$AP$55,4,FALSE))</f>
        <v>38</v>
      </c>
      <c r="D62" s="4">
        <f>(VLOOKUP('14.05'!L62,'14.05'!$AM$4:$AP$55,4,FALSE))</f>
        <v>38</v>
      </c>
      <c r="E62" s="4">
        <f>(VLOOKUP('14.05'!M62,'14.05'!$AM$4:$AP$55,4,FALSE))</f>
        <v>38</v>
      </c>
      <c r="F62" s="4">
        <f>(VLOOKUP('14.05'!N62,'14.05'!$AM$4:$AP$55,4,FALSE))</f>
        <v>38</v>
      </c>
      <c r="G62" s="4">
        <f>(VLOOKUP('14.05'!O62,'14.05'!$AM$4:$AP$55,4,FALSE))</f>
        <v>0</v>
      </c>
      <c r="H62" s="4">
        <f>(VLOOKUP('14.05'!P62,'14.05'!$AM$4:$AP$55,4,FALSE))</f>
        <v>0</v>
      </c>
      <c r="I62" s="4">
        <f>(VLOOKUP('14.05'!Q62,'14.05'!$AM$4:$AP$55,4,FALSE))</f>
        <v>34</v>
      </c>
      <c r="J62" s="4">
        <f>(VLOOKUP('14.05'!R62,'14.05'!$AM$4:$AP$55,4,FALSE))</f>
        <v>34</v>
      </c>
      <c r="K62" s="4">
        <f>(VLOOKUP('14.05'!S62,'14.05'!$AM$4:$AP$55,4,FALSE))</f>
        <v>34</v>
      </c>
      <c r="L62" s="4">
        <f>(VLOOKUP('14.05'!T62,'14.05'!$AM$4:$AP$55,4,FALSE))</f>
        <v>34</v>
      </c>
      <c r="M62" s="4">
        <f>(VLOOKUP('14.05'!U62,'14.05'!$AM$4:$AP$55,4,FALSE))</f>
        <v>0</v>
      </c>
      <c r="N62" s="4">
        <f>(VLOOKUP('14.05'!V62,'14.05'!$AM$4:$AP$55,4,FALSE))</f>
        <v>0</v>
      </c>
      <c r="O62" s="4">
        <f>(VLOOKUP('14.05'!W62,'14.05'!$AM$4:$AP$55,4,FALSE))</f>
        <v>0</v>
      </c>
      <c r="P62" s="4">
        <f>(VLOOKUP('14.05'!X62,'14.05'!$AM$4:$AP$55,4,FALSE))</f>
        <v>0</v>
      </c>
      <c r="Q62" s="4">
        <f>(VLOOKUP('14.05'!Y62,'14.05'!$AM$4:$AP$55,4,FALSE))</f>
        <v>0</v>
      </c>
      <c r="R62" s="4">
        <f>(VLOOKUP('14.05'!Z62,'14.05'!$AM$4:$AP$55,4,FALSE))</f>
        <v>0</v>
      </c>
      <c r="S62" s="4">
        <f>(VLOOKUP('14.05'!AA62,'14.05'!$AM$4:$AP$55,4,FALSE))</f>
        <v>0</v>
      </c>
      <c r="T62" s="4">
        <f>(VLOOKUP('14.05'!AB62,'14.05'!$AM$4:$AP$55,4,FALSE))</f>
        <v>0</v>
      </c>
      <c r="U62" s="4">
        <f>(VLOOKUP('14.05'!AC62,'14.05'!$AM$4:$AP$55,4,FALSE))</f>
        <v>0</v>
      </c>
      <c r="V62" s="4">
        <f>(VLOOKUP('14.05'!AD62,'14.05'!$AM$4:$AP$55,4,FALSE))</f>
        <v>0</v>
      </c>
      <c r="W62" s="4">
        <f>(VLOOKUP('14.05'!AE62,'14.05'!$AM$4:$AP$55,4,FALSE))</f>
        <v>0</v>
      </c>
      <c r="X62" s="4">
        <f>(VLOOKUP('14.05'!AF62,'14.05'!$AM$4:$AP$55,4,FALSE))</f>
        <v>0</v>
      </c>
    </row>
    <row r="63" spans="1:24">
      <c r="A63" s="4">
        <f>(VLOOKUP('14.05'!I63,'14.05'!$AM$4:$AP$55,4,FALSE))</f>
        <v>38</v>
      </c>
      <c r="B63" s="4">
        <f>(VLOOKUP('14.05'!J63,'14.05'!$AM$4:$AP$55,4,FALSE))</f>
        <v>38</v>
      </c>
      <c r="C63" s="4">
        <f>(VLOOKUP('14.05'!K63,'14.05'!$AM$4:$AP$55,4,FALSE))</f>
        <v>36</v>
      </c>
      <c r="D63" s="4">
        <f>(VLOOKUP('14.05'!L63,'14.05'!$AM$4:$AP$55,4,FALSE))</f>
        <v>36</v>
      </c>
      <c r="E63" s="4">
        <f>(VLOOKUP('14.05'!M63,'14.05'!$AM$4:$AP$55,4,FALSE))</f>
        <v>36</v>
      </c>
      <c r="F63" s="4">
        <f>(VLOOKUP('14.05'!N63,'14.05'!$AM$4:$AP$55,4,FALSE))</f>
        <v>38</v>
      </c>
      <c r="G63" s="4">
        <f>(VLOOKUP('14.05'!O63,'14.05'!$AM$4:$AP$55,4,FALSE))</f>
        <v>0</v>
      </c>
      <c r="H63" s="4">
        <f>(VLOOKUP('14.05'!P63,'14.05'!$AM$4:$AP$55,4,FALSE))</f>
        <v>0</v>
      </c>
      <c r="I63" s="4">
        <f>(VLOOKUP('14.05'!Q63,'14.05'!$AM$4:$AP$55,4,FALSE))</f>
        <v>0</v>
      </c>
      <c r="J63" s="4">
        <f>(VLOOKUP('14.05'!R63,'14.05'!$AM$4:$AP$55,4,FALSE))</f>
        <v>0</v>
      </c>
      <c r="K63" s="4">
        <f>(VLOOKUP('14.05'!S63,'14.05'!$AM$4:$AP$55,4,FALSE))</f>
        <v>0</v>
      </c>
      <c r="L63" s="4">
        <f>(VLOOKUP('14.05'!T63,'14.05'!$AM$4:$AP$55,4,FALSE))</f>
        <v>0</v>
      </c>
      <c r="M63" s="4">
        <f>(VLOOKUP('14.05'!U63,'14.05'!$AM$4:$AP$55,4,FALSE))</f>
        <v>0</v>
      </c>
      <c r="N63" s="4">
        <f>(VLOOKUP('14.05'!V63,'14.05'!$AM$4:$AP$55,4,FALSE))</f>
        <v>0</v>
      </c>
      <c r="O63" s="4">
        <f>(VLOOKUP('14.05'!W63,'14.05'!$AM$4:$AP$55,4,FALSE))</f>
        <v>0</v>
      </c>
      <c r="P63" s="4">
        <f>(VLOOKUP('14.05'!X63,'14.05'!$AM$4:$AP$55,4,FALSE))</f>
        <v>0</v>
      </c>
      <c r="Q63" s="4">
        <f>(VLOOKUP('14.05'!Y63,'14.05'!$AM$4:$AP$55,4,FALSE))</f>
        <v>0</v>
      </c>
      <c r="R63" s="4">
        <f>(VLOOKUP('14.05'!Z63,'14.05'!$AM$4:$AP$55,4,FALSE))</f>
        <v>0</v>
      </c>
      <c r="S63" s="4">
        <f>(VLOOKUP('14.05'!AA63,'14.05'!$AM$4:$AP$55,4,FALSE))</f>
        <v>0</v>
      </c>
      <c r="T63" s="4">
        <f>(VLOOKUP('14.05'!AB63,'14.05'!$AM$4:$AP$55,4,FALSE))</f>
        <v>0</v>
      </c>
      <c r="U63" s="4">
        <f>(VLOOKUP('14.05'!AC63,'14.05'!$AM$4:$AP$55,4,FALSE))</f>
        <v>0</v>
      </c>
      <c r="V63" s="4">
        <f>(VLOOKUP('14.05'!AD63,'14.05'!$AM$4:$AP$55,4,FALSE))</f>
        <v>0</v>
      </c>
      <c r="W63" s="4">
        <f>(VLOOKUP('14.05'!AE63,'14.05'!$AM$4:$AP$55,4,FALSE))</f>
        <v>0</v>
      </c>
      <c r="X63" s="4">
        <f>(VLOOKUP('14.05'!AF63,'14.05'!$AM$4:$AP$55,4,FALSE))</f>
        <v>0</v>
      </c>
    </row>
    <row r="64" spans="1:24">
      <c r="A64" s="4">
        <f>(VLOOKUP('14.05'!I64,'14.05'!$AM$4:$AP$55,4,FALSE))</f>
        <v>38</v>
      </c>
      <c r="B64" s="4">
        <f>(VLOOKUP('14.05'!J64,'14.05'!$AM$4:$AP$55,4,FALSE))</f>
        <v>38</v>
      </c>
      <c r="C64" s="4">
        <f>(VLOOKUP('14.05'!K64,'14.05'!$AM$4:$AP$55,4,FALSE))</f>
        <v>38</v>
      </c>
      <c r="D64" s="4">
        <f>(VLOOKUP('14.05'!L64,'14.05'!$AM$4:$AP$55,4,FALSE))</f>
        <v>38</v>
      </c>
      <c r="E64" s="4">
        <f>(VLOOKUP('14.05'!M64,'14.05'!$AM$4:$AP$55,4,FALSE))</f>
        <v>36</v>
      </c>
      <c r="F64" s="4">
        <f>(VLOOKUP('14.05'!N64,'14.05'!$AM$4:$AP$55,4,FALSE))</f>
        <v>36</v>
      </c>
      <c r="G64" s="4">
        <f>(VLOOKUP('14.05'!O64,'14.05'!$AM$4:$AP$55,4,FALSE))</f>
        <v>0</v>
      </c>
      <c r="H64" s="4">
        <f>(VLOOKUP('14.05'!P64,'14.05'!$AM$4:$AP$55,4,FALSE))</f>
        <v>0</v>
      </c>
      <c r="I64" s="4">
        <f>(VLOOKUP('14.05'!Q64,'14.05'!$AM$4:$AP$55,4,FALSE))</f>
        <v>0</v>
      </c>
      <c r="J64" s="4">
        <f>(VLOOKUP('14.05'!R64,'14.05'!$AM$4:$AP$55,4,FALSE))</f>
        <v>0</v>
      </c>
      <c r="K64" s="4">
        <f>(VLOOKUP('14.05'!S64,'14.05'!$AM$4:$AP$55,4,FALSE))</f>
        <v>0</v>
      </c>
      <c r="L64" s="4">
        <f>(VLOOKUP('14.05'!T64,'14.05'!$AM$4:$AP$55,4,FALSE))</f>
        <v>0</v>
      </c>
      <c r="M64" s="4">
        <f>(VLOOKUP('14.05'!U64,'14.05'!$AM$4:$AP$55,4,FALSE))</f>
        <v>0</v>
      </c>
      <c r="N64" s="4">
        <f>(VLOOKUP('14.05'!V64,'14.05'!$AM$4:$AP$55,4,FALSE))</f>
        <v>0</v>
      </c>
      <c r="O64" s="4">
        <f>(VLOOKUP('14.05'!W64,'14.05'!$AM$4:$AP$55,4,FALSE))</f>
        <v>0</v>
      </c>
      <c r="P64" s="4">
        <f>(VLOOKUP('14.05'!X64,'14.05'!$AM$4:$AP$55,4,FALSE))</f>
        <v>0</v>
      </c>
      <c r="Q64" s="4">
        <f>(VLOOKUP('14.05'!Y64,'14.05'!$AM$4:$AP$55,4,FALSE))</f>
        <v>0</v>
      </c>
      <c r="R64" s="4">
        <f>(VLOOKUP('14.05'!Z64,'14.05'!$AM$4:$AP$55,4,FALSE))</f>
        <v>0</v>
      </c>
      <c r="S64" s="4">
        <f>(VLOOKUP('14.05'!AA64,'14.05'!$AM$4:$AP$55,4,FALSE))</f>
        <v>0</v>
      </c>
      <c r="T64" s="4">
        <f>(VLOOKUP('14.05'!AB64,'14.05'!$AM$4:$AP$55,4,FALSE))</f>
        <v>0</v>
      </c>
      <c r="U64" s="4">
        <f>(VLOOKUP('14.05'!AC64,'14.05'!$AM$4:$AP$55,4,FALSE))</f>
        <v>0</v>
      </c>
      <c r="V64" s="4">
        <f>(VLOOKUP('14.05'!AD64,'14.05'!$AM$4:$AP$55,4,FALSE))</f>
        <v>0</v>
      </c>
      <c r="W64" s="4">
        <f>(VLOOKUP('14.05'!AE64,'14.05'!$AM$4:$AP$55,4,FALSE))</f>
        <v>0</v>
      </c>
      <c r="X64" s="4">
        <f>(VLOOKUP('14.05'!AF64,'14.05'!$AM$4:$AP$55,4,FALSE))</f>
        <v>0</v>
      </c>
    </row>
    <row r="65" spans="1:24">
      <c r="A65" s="4">
        <f>(VLOOKUP('14.05'!I65,'14.05'!$AM$4:$AP$55,4,FALSE))</f>
        <v>36</v>
      </c>
      <c r="B65" s="4">
        <f>(VLOOKUP('14.05'!J65,'14.05'!$AM$4:$AP$55,4,FALSE))</f>
        <v>36</v>
      </c>
      <c r="C65" s="4">
        <f>(VLOOKUP('14.05'!K65,'14.05'!$AM$4:$AP$55,4,FALSE))</f>
        <v>36</v>
      </c>
      <c r="D65" s="4">
        <f>(VLOOKUP('14.05'!L65,'14.05'!$AM$4:$AP$55,4,FALSE))</f>
        <v>0</v>
      </c>
      <c r="E65" s="4">
        <f>(VLOOKUP('14.05'!M65,'14.05'!$AM$4:$AP$55,4,FALSE))</f>
        <v>36</v>
      </c>
      <c r="F65" s="4">
        <f>(VLOOKUP('14.05'!N65,'14.05'!$AM$4:$AP$55,4,FALSE))</f>
        <v>36</v>
      </c>
      <c r="G65" s="4">
        <f>(VLOOKUP('14.05'!O65,'14.05'!$AM$4:$AP$55,4,FALSE))</f>
        <v>0</v>
      </c>
      <c r="H65" s="4">
        <f>(VLOOKUP('14.05'!P65,'14.05'!$AM$4:$AP$55,4,FALSE))</f>
        <v>0</v>
      </c>
      <c r="I65" s="4">
        <f>(VLOOKUP('14.05'!Q65,'14.05'!$AM$4:$AP$55,4,FALSE))</f>
        <v>0</v>
      </c>
      <c r="J65" s="4">
        <f>(VLOOKUP('14.05'!R65,'14.05'!$AM$4:$AP$55,4,FALSE))</f>
        <v>0</v>
      </c>
      <c r="K65" s="4">
        <f>(VLOOKUP('14.05'!S65,'14.05'!$AM$4:$AP$55,4,FALSE))</f>
        <v>0</v>
      </c>
      <c r="L65" s="4">
        <f>(VLOOKUP('14.05'!T65,'14.05'!$AM$4:$AP$55,4,FALSE))</f>
        <v>0</v>
      </c>
      <c r="M65" s="4">
        <f>(VLOOKUP('14.05'!U65,'14.05'!$AM$4:$AP$55,4,FALSE))</f>
        <v>0</v>
      </c>
      <c r="N65" s="4">
        <f>(VLOOKUP('14.05'!V65,'14.05'!$AM$4:$AP$55,4,FALSE))</f>
        <v>0</v>
      </c>
      <c r="O65" s="4">
        <f>(VLOOKUP('14.05'!W65,'14.05'!$AM$4:$AP$55,4,FALSE))</f>
        <v>0</v>
      </c>
      <c r="P65" s="4">
        <f>(VLOOKUP('14.05'!X65,'14.05'!$AM$4:$AP$55,4,FALSE))</f>
        <v>0</v>
      </c>
      <c r="Q65" s="4">
        <f>(VLOOKUP('14.05'!Y65,'14.05'!$AM$4:$AP$55,4,FALSE))</f>
        <v>0</v>
      </c>
      <c r="R65" s="4">
        <f>(VLOOKUP('14.05'!Z65,'14.05'!$AM$4:$AP$55,4,FALSE))</f>
        <v>0</v>
      </c>
      <c r="S65" s="4">
        <f>(VLOOKUP('14.05'!AA65,'14.05'!$AM$4:$AP$55,4,FALSE))</f>
        <v>0</v>
      </c>
      <c r="T65" s="4">
        <f>(VLOOKUP('14.05'!AB65,'14.05'!$AM$4:$AP$55,4,FALSE))</f>
        <v>0</v>
      </c>
      <c r="U65" s="4">
        <f>(VLOOKUP('14.05'!AC65,'14.05'!$AM$4:$AP$55,4,FALSE))</f>
        <v>0</v>
      </c>
      <c r="V65" s="4">
        <f>(VLOOKUP('14.05'!AD65,'14.05'!$AM$4:$AP$55,4,FALSE))</f>
        <v>0</v>
      </c>
      <c r="W65" s="4">
        <f>(VLOOKUP('14.05'!AE65,'14.05'!$AM$4:$AP$55,4,FALSE))</f>
        <v>0</v>
      </c>
      <c r="X65" s="4">
        <f>(VLOOKUP('14.05'!AF65,'14.05'!$AM$4:$AP$55,4,FALSE))</f>
        <v>0</v>
      </c>
    </row>
    <row r="66" spans="1:24">
      <c r="A66" s="4">
        <f>(VLOOKUP('14.05'!I66,'14.05'!$AM$4:$AP$55,4,FALSE))</f>
        <v>36</v>
      </c>
      <c r="B66" s="4">
        <f>(VLOOKUP('14.05'!J66,'14.05'!$AM$4:$AP$55,4,FALSE))</f>
        <v>36</v>
      </c>
      <c r="C66" s="4">
        <f>(VLOOKUP('14.05'!K66,'14.05'!$AM$4:$AP$55,4,FALSE))</f>
        <v>36</v>
      </c>
      <c r="D66" s="4">
        <f>(VLOOKUP('14.05'!L66,'14.05'!$AM$4:$AP$55,4,FALSE))</f>
        <v>36</v>
      </c>
      <c r="E66" s="4">
        <f>(VLOOKUP('14.05'!M66,'14.05'!$AM$4:$AP$55,4,FALSE))</f>
        <v>36</v>
      </c>
      <c r="F66" s="4">
        <f>(VLOOKUP('14.05'!N66,'14.05'!$AM$4:$AP$55,4,FALSE))</f>
        <v>36</v>
      </c>
      <c r="G66" s="4">
        <f>(VLOOKUP('14.05'!O66,'14.05'!$AM$4:$AP$55,4,FALSE))</f>
        <v>0</v>
      </c>
      <c r="H66" s="4">
        <f>(VLOOKUP('14.05'!P66,'14.05'!$AM$4:$AP$55,4,FALSE))</f>
        <v>0</v>
      </c>
      <c r="I66" s="4">
        <f>(VLOOKUP('14.05'!Q66,'14.05'!$AM$4:$AP$55,4,FALSE))</f>
        <v>0</v>
      </c>
      <c r="J66" s="4">
        <f>(VLOOKUP('14.05'!R66,'14.05'!$AM$4:$AP$55,4,FALSE))</f>
        <v>0</v>
      </c>
      <c r="K66" s="4">
        <f>(VLOOKUP('14.05'!S66,'14.05'!$AM$4:$AP$55,4,FALSE))</f>
        <v>0</v>
      </c>
      <c r="L66" s="4">
        <f>(VLOOKUP('14.05'!T66,'14.05'!$AM$4:$AP$55,4,FALSE))</f>
        <v>0</v>
      </c>
      <c r="M66" s="4">
        <f>(VLOOKUP('14.05'!U66,'14.05'!$AM$4:$AP$55,4,FALSE))</f>
        <v>0</v>
      </c>
      <c r="N66" s="4">
        <f>(VLOOKUP('14.05'!V66,'14.05'!$AM$4:$AP$55,4,FALSE))</f>
        <v>0</v>
      </c>
      <c r="O66" s="4">
        <f>(VLOOKUP('14.05'!W66,'14.05'!$AM$4:$AP$55,4,FALSE))</f>
        <v>0</v>
      </c>
      <c r="P66" s="4">
        <f>(VLOOKUP('14.05'!X66,'14.05'!$AM$4:$AP$55,4,FALSE))</f>
        <v>0</v>
      </c>
      <c r="Q66" s="4">
        <f>(VLOOKUP('14.05'!Y66,'14.05'!$AM$4:$AP$55,4,FALSE))</f>
        <v>34</v>
      </c>
      <c r="R66" s="4">
        <f>(VLOOKUP('14.05'!Z66,'14.05'!$AM$4:$AP$55,4,FALSE))</f>
        <v>34</v>
      </c>
      <c r="S66" s="4">
        <f>(VLOOKUP('14.05'!AA66,'14.05'!$AM$4:$AP$55,4,FALSE))</f>
        <v>34</v>
      </c>
      <c r="T66" s="4">
        <f>(VLOOKUP('14.05'!AB66,'14.05'!$AM$4:$AP$55,4,FALSE))</f>
        <v>34</v>
      </c>
      <c r="U66" s="4">
        <f>(VLOOKUP('14.05'!AC66,'14.05'!$AM$4:$AP$55,4,FALSE))</f>
        <v>36</v>
      </c>
      <c r="V66" s="4">
        <f>(VLOOKUP('14.05'!AD66,'14.05'!$AM$4:$AP$55,4,FALSE))</f>
        <v>36</v>
      </c>
      <c r="W66" s="4">
        <f>(VLOOKUP('14.05'!AE66,'14.05'!$AM$4:$AP$55,4,FALSE))</f>
        <v>0</v>
      </c>
      <c r="X66" s="4">
        <f>(VLOOKUP('14.05'!AF66,'14.05'!$AM$4:$AP$55,4,FALSE))</f>
        <v>0</v>
      </c>
    </row>
    <row r="67" spans="1:24">
      <c r="A67" s="4">
        <f>(VLOOKUP('14.05'!I67,'14.05'!$AM$4:$AP$55,4,FALSE))</f>
        <v>36</v>
      </c>
      <c r="B67" s="4">
        <f>(VLOOKUP('14.05'!J67,'14.05'!$AM$4:$AP$55,4,FALSE))</f>
        <v>36</v>
      </c>
      <c r="C67" s="4">
        <f>(VLOOKUP('14.05'!K67,'14.05'!$AM$4:$AP$55,4,FALSE))</f>
        <v>36</v>
      </c>
      <c r="D67" s="4">
        <f>(VLOOKUP('14.05'!L67,'14.05'!$AM$4:$AP$55,4,FALSE))</f>
        <v>36</v>
      </c>
      <c r="E67" s="4">
        <f>(VLOOKUP('14.05'!M67,'14.05'!$AM$4:$AP$55,4,FALSE))</f>
        <v>0</v>
      </c>
      <c r="F67" s="4">
        <f>(VLOOKUP('14.05'!N67,'14.05'!$AM$4:$AP$55,4,FALSE))</f>
        <v>0</v>
      </c>
      <c r="G67" s="4">
        <f>(VLOOKUP('14.05'!O67,'14.05'!$AM$4:$AP$55,4,FALSE))</f>
        <v>0</v>
      </c>
      <c r="H67" s="4">
        <f>(VLOOKUP('14.05'!P67,'14.05'!$AM$4:$AP$55,4,FALSE))</f>
        <v>0</v>
      </c>
      <c r="I67" s="4">
        <f>(VLOOKUP('14.05'!Q67,'14.05'!$AM$4:$AP$55,4,FALSE))</f>
        <v>0</v>
      </c>
      <c r="J67" s="4">
        <f>(VLOOKUP('14.05'!R67,'14.05'!$AM$4:$AP$55,4,FALSE))</f>
        <v>0</v>
      </c>
      <c r="K67" s="4">
        <f>(VLOOKUP('14.05'!S67,'14.05'!$AM$4:$AP$55,4,FALSE))</f>
        <v>0</v>
      </c>
      <c r="L67" s="4">
        <f>(VLOOKUP('14.05'!T67,'14.05'!$AM$4:$AP$55,4,FALSE))</f>
        <v>0</v>
      </c>
      <c r="M67" s="4">
        <f>(VLOOKUP('14.05'!U67,'14.05'!$AM$4:$AP$55,4,FALSE))</f>
        <v>0</v>
      </c>
      <c r="N67" s="4">
        <f>(VLOOKUP('14.05'!V67,'14.05'!$AM$4:$AP$55,4,FALSE))</f>
        <v>0</v>
      </c>
      <c r="O67" s="4">
        <f>(VLOOKUP('14.05'!W67,'14.05'!$AM$4:$AP$55,4,FALSE))</f>
        <v>0</v>
      </c>
      <c r="P67" s="4">
        <f>(VLOOKUP('14.05'!X67,'14.05'!$AM$4:$AP$55,4,FALSE))</f>
        <v>0</v>
      </c>
      <c r="Q67" s="4">
        <f>(VLOOKUP('14.05'!Y67,'14.05'!$AM$4:$AP$55,4,FALSE))</f>
        <v>36</v>
      </c>
      <c r="R67" s="4">
        <f>(VLOOKUP('14.05'!Z67,'14.05'!$AM$4:$AP$55,4,FALSE))</f>
        <v>36</v>
      </c>
      <c r="S67" s="4">
        <f>(VLOOKUP('14.05'!AA67,'14.05'!$AM$4:$AP$55,4,FALSE))</f>
        <v>36</v>
      </c>
      <c r="T67" s="4">
        <f>(VLOOKUP('14.05'!AB67,'14.05'!$AM$4:$AP$55,4,FALSE))</f>
        <v>36</v>
      </c>
      <c r="U67" s="4">
        <f>(VLOOKUP('14.05'!AC67,'14.05'!$AM$4:$AP$55,4,FALSE))</f>
        <v>36</v>
      </c>
      <c r="V67" s="4">
        <f>(VLOOKUP('14.05'!AD67,'14.05'!$AM$4:$AP$55,4,FALSE))</f>
        <v>36</v>
      </c>
      <c r="W67" s="4">
        <f>(VLOOKUP('14.05'!AE67,'14.05'!$AM$4:$AP$55,4,FALSE))</f>
        <v>0</v>
      </c>
      <c r="X67" s="4">
        <f>(VLOOKUP('14.05'!AF67,'14.05'!$AM$4:$AP$55,4,FALSE))</f>
        <v>0</v>
      </c>
    </row>
    <row r="68" spans="1:24">
      <c r="A68" s="4">
        <f>(VLOOKUP('14.05'!I68,'14.05'!$AM$4:$AP$55,4,FALSE))</f>
        <v>0</v>
      </c>
      <c r="B68" s="4">
        <f>(VLOOKUP('14.05'!J68,'14.05'!$AM$4:$AP$55,4,FALSE))</f>
        <v>0</v>
      </c>
      <c r="C68" s="4">
        <f>(VLOOKUP('14.05'!K68,'14.05'!$AM$4:$AP$55,4,FALSE))</f>
        <v>0</v>
      </c>
      <c r="D68" s="4">
        <f>(VLOOKUP('14.05'!L68,'14.05'!$AM$4:$AP$55,4,FALSE))</f>
        <v>0</v>
      </c>
      <c r="E68" s="4">
        <f>(VLOOKUP('14.05'!M68,'14.05'!$AM$4:$AP$55,4,FALSE))</f>
        <v>0</v>
      </c>
      <c r="F68" s="4">
        <f>(VLOOKUP('14.05'!N68,'14.05'!$AM$4:$AP$55,4,FALSE))</f>
        <v>0</v>
      </c>
      <c r="G68" s="4">
        <f>(VLOOKUP('14.05'!O68,'14.05'!$AM$4:$AP$55,4,FALSE))</f>
        <v>0</v>
      </c>
      <c r="H68" s="4">
        <f>(VLOOKUP('14.05'!P68,'14.05'!$AM$4:$AP$55,4,FALSE))</f>
        <v>0</v>
      </c>
      <c r="I68" s="4">
        <f>(VLOOKUP('14.05'!Q68,'14.05'!$AM$4:$AP$55,4,FALSE))</f>
        <v>0</v>
      </c>
      <c r="J68" s="4">
        <f>(VLOOKUP('14.05'!R68,'14.05'!$AM$4:$AP$55,4,FALSE))</f>
        <v>0</v>
      </c>
      <c r="K68" s="4">
        <f>(VLOOKUP('14.05'!S68,'14.05'!$AM$4:$AP$55,4,FALSE))</f>
        <v>0</v>
      </c>
      <c r="L68" s="4">
        <f>(VLOOKUP('14.05'!T68,'14.05'!$AM$4:$AP$55,4,FALSE))</f>
        <v>0</v>
      </c>
      <c r="M68" s="4">
        <f>(VLOOKUP('14.05'!U68,'14.05'!$AM$4:$AP$55,4,FALSE))</f>
        <v>0</v>
      </c>
      <c r="N68" s="4">
        <f>(VLOOKUP('14.05'!V68,'14.05'!$AM$4:$AP$55,4,FALSE))</f>
        <v>0</v>
      </c>
      <c r="O68" s="4">
        <f>(VLOOKUP('14.05'!W68,'14.05'!$AM$4:$AP$55,4,FALSE))</f>
        <v>0</v>
      </c>
      <c r="P68" s="4">
        <f>(VLOOKUP('14.05'!X68,'14.05'!$AM$4:$AP$55,4,FALSE))</f>
        <v>0</v>
      </c>
      <c r="Q68" s="4">
        <f>(VLOOKUP('14.05'!Y68,'14.05'!$AM$4:$AP$55,4,FALSE))</f>
        <v>36</v>
      </c>
      <c r="R68" s="4">
        <f>(VLOOKUP('14.05'!Z68,'14.05'!$AM$4:$AP$55,4,FALSE))</f>
        <v>38</v>
      </c>
      <c r="S68" s="4">
        <f>(VLOOKUP('14.05'!AA68,'14.05'!$AM$4:$AP$55,4,FALSE))</f>
        <v>38</v>
      </c>
      <c r="T68" s="4">
        <f>(VLOOKUP('14.05'!AB68,'14.05'!$AM$4:$AP$55,4,FALSE))</f>
        <v>38</v>
      </c>
      <c r="U68" s="4">
        <f>(VLOOKUP('14.05'!AC68,'14.05'!$AM$4:$AP$55,4,FALSE))</f>
        <v>38</v>
      </c>
      <c r="V68" s="4">
        <f>(VLOOKUP('14.05'!AD68,'14.05'!$AM$4:$AP$55,4,FALSE))</f>
        <v>38</v>
      </c>
      <c r="W68" s="4">
        <f>(VLOOKUP('14.05'!AE68,'14.05'!$AM$4:$AP$55,4,FALSE))</f>
        <v>0</v>
      </c>
      <c r="X68" s="4">
        <f>(VLOOKUP('14.05'!AF68,'14.05'!$AM$4:$AP$55,4,FALSE))</f>
        <v>0</v>
      </c>
    </row>
    <row r="69" spans="1:24">
      <c r="A69" s="4">
        <f>(VLOOKUP('14.05'!I69,'14.05'!$AM$4:$AP$55,4,FALSE))</f>
        <v>0</v>
      </c>
      <c r="B69" s="4">
        <f>(VLOOKUP('14.05'!J69,'14.05'!$AM$4:$AP$55,4,FALSE))</f>
        <v>0</v>
      </c>
      <c r="C69" s="4">
        <f>(VLOOKUP('14.05'!K69,'14.05'!$AM$4:$AP$55,4,FALSE))</f>
        <v>0</v>
      </c>
      <c r="D69" s="4">
        <f>(VLOOKUP('14.05'!L69,'14.05'!$AM$4:$AP$55,4,FALSE))</f>
        <v>0</v>
      </c>
      <c r="E69" s="4">
        <f>(VLOOKUP('14.05'!M69,'14.05'!$AM$4:$AP$55,4,FALSE))</f>
        <v>0</v>
      </c>
      <c r="F69" s="4">
        <f>(VLOOKUP('14.05'!N69,'14.05'!$AM$4:$AP$55,4,FALSE))</f>
        <v>0</v>
      </c>
      <c r="G69" s="4">
        <f>(VLOOKUP('14.05'!O69,'14.05'!$AM$4:$AP$55,4,FALSE))</f>
        <v>0</v>
      </c>
      <c r="H69" s="4">
        <f>(VLOOKUP('14.05'!P69,'14.05'!$AM$4:$AP$55,4,FALSE))</f>
        <v>0</v>
      </c>
      <c r="I69" s="4">
        <f>(VLOOKUP('14.05'!Q69,'14.05'!$AM$4:$AP$55,4,FALSE))</f>
        <v>36</v>
      </c>
      <c r="J69" s="4">
        <f>(VLOOKUP('14.05'!R69,'14.05'!$AM$4:$AP$55,4,FALSE))</f>
        <v>36</v>
      </c>
      <c r="K69" s="4">
        <f>(VLOOKUP('14.05'!S69,'14.05'!$AM$4:$AP$55,4,FALSE))</f>
        <v>36</v>
      </c>
      <c r="L69" s="4">
        <f>(VLOOKUP('14.05'!T69,'14.05'!$AM$4:$AP$55,4,FALSE))</f>
        <v>36</v>
      </c>
      <c r="M69" s="4">
        <f>(VLOOKUP('14.05'!U69,'14.05'!$AM$4:$AP$55,4,FALSE))</f>
        <v>36</v>
      </c>
      <c r="N69" s="4">
        <f>(VLOOKUP('14.05'!V69,'14.05'!$AM$4:$AP$55,4,FALSE))</f>
        <v>36</v>
      </c>
      <c r="O69" s="4">
        <f>(VLOOKUP('14.05'!W69,'14.05'!$AM$4:$AP$55,4,FALSE))</f>
        <v>0</v>
      </c>
      <c r="P69" s="4">
        <f>(VLOOKUP('14.05'!X69,'14.05'!$AM$4:$AP$55,4,FALSE))</f>
        <v>0</v>
      </c>
      <c r="Q69" s="4">
        <f>(VLOOKUP('14.05'!Y69,'14.05'!$AM$4:$AP$55,4,FALSE))</f>
        <v>38</v>
      </c>
      <c r="R69" s="4">
        <f>(VLOOKUP('14.05'!Z69,'14.05'!$AM$4:$AP$55,4,FALSE))</f>
        <v>38</v>
      </c>
      <c r="S69" s="4">
        <f>(VLOOKUP('14.05'!AA69,'14.05'!$AM$4:$AP$55,4,FALSE))</f>
        <v>38</v>
      </c>
      <c r="T69" s="4">
        <f>(VLOOKUP('14.05'!AB69,'14.05'!$AM$4:$AP$55,4,FALSE))</f>
        <v>38</v>
      </c>
      <c r="U69" s="4">
        <f>(VLOOKUP('14.05'!AC69,'14.05'!$AM$4:$AP$55,4,FALSE))</f>
        <v>38</v>
      </c>
      <c r="V69" s="4">
        <f>(VLOOKUP('14.05'!AD69,'14.05'!$AM$4:$AP$55,4,FALSE))</f>
        <v>0</v>
      </c>
      <c r="W69" s="4">
        <f>(VLOOKUP('14.05'!AE69,'14.05'!$AM$4:$AP$55,4,FALSE))</f>
        <v>0</v>
      </c>
      <c r="X69" s="4">
        <f>(VLOOKUP('14.05'!AF69,'14.05'!$AM$4:$AP$55,4,FALSE))</f>
        <v>0</v>
      </c>
    </row>
    <row r="70" spans="1:24">
      <c r="A70" s="4">
        <f>(VLOOKUP('14.05'!I70,'14.05'!$AM$4:$AP$55,4,FALSE))</f>
        <v>0</v>
      </c>
      <c r="B70" s="4">
        <f>(VLOOKUP('14.05'!J70,'14.05'!$AM$4:$AP$55,4,FALSE))</f>
        <v>0</v>
      </c>
      <c r="C70" s="4">
        <f>(VLOOKUP('14.05'!K70,'14.05'!$AM$4:$AP$55,4,FALSE))</f>
        <v>0</v>
      </c>
      <c r="D70" s="4">
        <f>(VLOOKUP('14.05'!L70,'14.05'!$AM$4:$AP$55,4,FALSE))</f>
        <v>0</v>
      </c>
      <c r="E70" s="4">
        <f>(VLOOKUP('14.05'!M70,'14.05'!$AM$4:$AP$55,4,FALSE))</f>
        <v>0</v>
      </c>
      <c r="F70" s="4">
        <f>(VLOOKUP('14.05'!N70,'14.05'!$AM$4:$AP$55,4,FALSE))</f>
        <v>0</v>
      </c>
      <c r="G70" s="4">
        <f>(VLOOKUP('14.05'!O70,'14.05'!$AM$4:$AP$55,4,FALSE))</f>
        <v>0</v>
      </c>
      <c r="H70" s="4">
        <f>(VLOOKUP('14.05'!P70,'14.05'!$AM$4:$AP$55,4,FALSE))</f>
        <v>0</v>
      </c>
      <c r="I70" s="4">
        <f>(VLOOKUP('14.05'!Q70,'14.05'!$AM$4:$AP$55,4,FALSE))</f>
        <v>36</v>
      </c>
      <c r="J70" s="4">
        <f>(VLOOKUP('14.05'!R70,'14.05'!$AM$4:$AP$55,4,FALSE))</f>
        <v>36</v>
      </c>
      <c r="K70" s="4">
        <f>(VLOOKUP('14.05'!S70,'14.05'!$AM$4:$AP$55,4,FALSE))</f>
        <v>36</v>
      </c>
      <c r="L70" s="4">
        <f>(VLOOKUP('14.05'!T70,'14.05'!$AM$4:$AP$55,4,FALSE))</f>
        <v>36</v>
      </c>
      <c r="M70" s="4">
        <f>(VLOOKUP('14.05'!U70,'14.05'!$AM$4:$AP$55,4,FALSE))</f>
        <v>36</v>
      </c>
      <c r="N70" s="4">
        <f>(VLOOKUP('14.05'!V70,'14.05'!$AM$4:$AP$55,4,FALSE))</f>
        <v>36</v>
      </c>
      <c r="O70" s="4">
        <f>(VLOOKUP('14.05'!W70,'14.05'!$AM$4:$AP$55,4,FALSE))</f>
        <v>0</v>
      </c>
      <c r="P70" s="4">
        <f>(VLOOKUP('14.05'!X70,'14.05'!$AM$4:$AP$55,4,FALSE))</f>
        <v>0</v>
      </c>
      <c r="Q70" s="4">
        <f>(VLOOKUP('14.05'!Y70,'14.05'!$AM$4:$AP$55,4,FALSE))</f>
        <v>38</v>
      </c>
      <c r="R70" s="4">
        <f>(VLOOKUP('14.05'!Z70,'14.05'!$AM$4:$AP$55,4,FALSE))</f>
        <v>38</v>
      </c>
      <c r="S70" s="4">
        <f>(VLOOKUP('14.05'!AA70,'14.05'!$AM$4:$AP$55,4,FALSE))</f>
        <v>38</v>
      </c>
      <c r="T70" s="4">
        <f>(VLOOKUP('14.05'!AB70,'14.05'!$AM$4:$AP$55,4,FALSE))</f>
        <v>38</v>
      </c>
      <c r="U70" s="4">
        <f>(VLOOKUP('14.05'!AC70,'14.05'!$AM$4:$AP$55,4,FALSE))</f>
        <v>38</v>
      </c>
      <c r="V70" s="4">
        <f>(VLOOKUP('14.05'!AD70,'14.05'!$AM$4:$AP$55,4,FALSE))</f>
        <v>0</v>
      </c>
      <c r="W70" s="4">
        <f>(VLOOKUP('14.05'!AE70,'14.05'!$AM$4:$AP$55,4,FALSE))</f>
        <v>0</v>
      </c>
      <c r="X70" s="4">
        <f>(VLOOKUP('14.05'!AF70,'14.05'!$AM$4:$AP$55,4,FALSE))</f>
        <v>0</v>
      </c>
    </row>
    <row r="71" spans="1:24">
      <c r="A71" s="4">
        <f>(VLOOKUP('14.05'!I71,'14.05'!$AM$4:$AP$55,4,FALSE))</f>
        <v>0</v>
      </c>
      <c r="B71" s="4">
        <f>(VLOOKUP('14.05'!J71,'14.05'!$AM$4:$AP$55,4,FALSE))</f>
        <v>0</v>
      </c>
      <c r="C71" s="4">
        <f>(VLOOKUP('14.05'!K71,'14.05'!$AM$4:$AP$55,4,FALSE))</f>
        <v>0</v>
      </c>
      <c r="D71" s="4">
        <f>(VLOOKUP('14.05'!L71,'14.05'!$AM$4:$AP$55,4,FALSE))</f>
        <v>0</v>
      </c>
      <c r="E71" s="4">
        <f>(VLOOKUP('14.05'!M71,'14.05'!$AM$4:$AP$55,4,FALSE))</f>
        <v>0</v>
      </c>
      <c r="F71" s="4">
        <f>(VLOOKUP('14.05'!N71,'14.05'!$AM$4:$AP$55,4,FALSE))</f>
        <v>0</v>
      </c>
      <c r="G71" s="4">
        <f>(VLOOKUP('14.05'!O71,'14.05'!$AM$4:$AP$55,4,FALSE))</f>
        <v>0</v>
      </c>
      <c r="H71" s="4">
        <f>(VLOOKUP('14.05'!P71,'14.05'!$AM$4:$AP$55,4,FALSE))</f>
        <v>0</v>
      </c>
      <c r="I71" s="4">
        <f>(VLOOKUP('14.05'!Q71,'14.05'!$AM$4:$AP$55,4,FALSE))</f>
        <v>10</v>
      </c>
      <c r="J71" s="4">
        <f>(VLOOKUP('14.05'!R71,'14.05'!$AM$4:$AP$55,4,FALSE))</f>
        <v>36</v>
      </c>
      <c r="K71" s="4">
        <f>(VLOOKUP('14.05'!S71,'14.05'!$AM$4:$AP$55,4,FALSE))</f>
        <v>36</v>
      </c>
      <c r="L71" s="4">
        <f>(VLOOKUP('14.05'!T71,'14.05'!$AM$4:$AP$55,4,FALSE))</f>
        <v>36</v>
      </c>
      <c r="M71" s="4">
        <f>(VLOOKUP('14.05'!U71,'14.05'!$AM$4:$AP$55,4,FALSE))</f>
        <v>36</v>
      </c>
      <c r="N71" s="4">
        <f>(VLOOKUP('14.05'!V71,'14.05'!$AM$4:$AP$55,4,FALSE))</f>
        <v>36</v>
      </c>
      <c r="O71" s="4">
        <f>(VLOOKUP('14.05'!W71,'14.05'!$AM$4:$AP$55,4,FALSE))</f>
        <v>0</v>
      </c>
      <c r="P71" s="4">
        <f>(VLOOKUP('14.05'!X71,'14.05'!$AM$4:$AP$55,4,FALSE))</f>
        <v>0</v>
      </c>
      <c r="Q71" s="4">
        <f>(VLOOKUP('14.05'!Y71,'14.05'!$AM$4:$AP$55,4,FALSE))</f>
        <v>0</v>
      </c>
      <c r="R71" s="4">
        <f>(VLOOKUP('14.05'!Z71,'14.05'!$AM$4:$AP$55,4,FALSE))</f>
        <v>0</v>
      </c>
      <c r="S71" s="4">
        <f>(VLOOKUP('14.05'!AA71,'14.05'!$AM$4:$AP$55,4,FALSE))</f>
        <v>0</v>
      </c>
      <c r="T71" s="4">
        <f>(VLOOKUP('14.05'!AB71,'14.05'!$AM$4:$AP$55,4,FALSE))</f>
        <v>0</v>
      </c>
      <c r="U71" s="4">
        <f>(VLOOKUP('14.05'!AC71,'14.05'!$AM$4:$AP$55,4,FALSE))</f>
        <v>0</v>
      </c>
      <c r="V71" s="4">
        <f>(VLOOKUP('14.05'!AD71,'14.05'!$AM$4:$AP$55,4,FALSE))</f>
        <v>0</v>
      </c>
      <c r="W71" s="4">
        <f>(VLOOKUP('14.05'!AE71,'14.05'!$AM$4:$AP$55,4,FALSE))</f>
        <v>0</v>
      </c>
      <c r="X71" s="4">
        <f>(VLOOKUP('14.05'!AF71,'14.05'!$AM$4:$AP$55,4,FALSE))</f>
        <v>0</v>
      </c>
    </row>
    <row r="72" spans="1:24">
      <c r="A72" s="4">
        <f>(VLOOKUP('14.05'!I72,'14.05'!$AM$4:$AP$55,4,FALSE))</f>
        <v>0</v>
      </c>
      <c r="B72" s="4">
        <f>(VLOOKUP('14.05'!J72,'14.05'!$AM$4:$AP$55,4,FALSE))</f>
        <v>0</v>
      </c>
      <c r="C72" s="4">
        <f>(VLOOKUP('14.05'!K72,'14.05'!$AM$4:$AP$55,4,FALSE))</f>
        <v>0</v>
      </c>
      <c r="D72" s="4">
        <f>(VLOOKUP('14.05'!L72,'14.05'!$AM$4:$AP$55,4,FALSE))</f>
        <v>0</v>
      </c>
      <c r="E72" s="4">
        <f>(VLOOKUP('14.05'!M72,'14.05'!$AM$4:$AP$55,4,FALSE))</f>
        <v>0</v>
      </c>
      <c r="F72" s="4">
        <f>(VLOOKUP('14.05'!N72,'14.05'!$AM$4:$AP$55,4,FALSE))</f>
        <v>0</v>
      </c>
      <c r="G72" s="4">
        <f>(VLOOKUP('14.05'!O72,'14.05'!$AM$4:$AP$55,4,FALSE))</f>
        <v>0</v>
      </c>
      <c r="H72" s="4">
        <f>(VLOOKUP('14.05'!P72,'14.05'!$AM$4:$AP$55,4,FALSE))</f>
        <v>0</v>
      </c>
      <c r="I72" s="4">
        <f>(VLOOKUP('14.05'!Q72,'14.05'!$AM$4:$AP$55,4,FALSE))</f>
        <v>36</v>
      </c>
      <c r="J72" s="4">
        <f>(VLOOKUP('14.05'!R72,'14.05'!$AM$4:$AP$55,4,FALSE))</f>
        <v>36</v>
      </c>
      <c r="K72" s="4">
        <f>(VLOOKUP('14.05'!S72,'14.05'!$AM$4:$AP$55,4,FALSE))</f>
        <v>38</v>
      </c>
      <c r="L72" s="4">
        <f>(VLOOKUP('14.05'!T72,'14.05'!$AM$4:$AP$55,4,FALSE))</f>
        <v>38</v>
      </c>
      <c r="M72" s="4">
        <f>(VLOOKUP('14.05'!U72,'14.05'!$AM$4:$AP$55,4,FALSE))</f>
        <v>38</v>
      </c>
      <c r="N72" s="4">
        <f>(VLOOKUP('14.05'!V72,'14.05'!$AM$4:$AP$55,4,FALSE))</f>
        <v>38</v>
      </c>
      <c r="O72" s="4">
        <f>(VLOOKUP('14.05'!W72,'14.05'!$AM$4:$AP$55,4,FALSE))</f>
        <v>0</v>
      </c>
      <c r="P72" s="4">
        <f>(VLOOKUP('14.05'!X72,'14.05'!$AM$4:$AP$55,4,FALSE))</f>
        <v>0</v>
      </c>
      <c r="Q72" s="4">
        <f>(VLOOKUP('14.05'!Y72,'14.05'!$AM$4:$AP$55,4,FALSE))</f>
        <v>0</v>
      </c>
      <c r="R72" s="4">
        <f>(VLOOKUP('14.05'!Z72,'14.05'!$AM$4:$AP$55,4,FALSE))</f>
        <v>0</v>
      </c>
      <c r="S72" s="4">
        <f>(VLOOKUP('14.05'!AA72,'14.05'!$AM$4:$AP$55,4,FALSE))</f>
        <v>0</v>
      </c>
      <c r="T72" s="4">
        <f>(VLOOKUP('14.05'!AB72,'14.05'!$AM$4:$AP$55,4,FALSE))</f>
        <v>0</v>
      </c>
      <c r="U72" s="4">
        <f>(VLOOKUP('14.05'!AC72,'14.05'!$AM$4:$AP$55,4,FALSE))</f>
        <v>0</v>
      </c>
      <c r="V72" s="4">
        <f>(VLOOKUP('14.05'!AD72,'14.05'!$AM$4:$AP$55,4,FALSE))</f>
        <v>0</v>
      </c>
      <c r="W72" s="4">
        <f>(VLOOKUP('14.05'!AE72,'14.05'!$AM$4:$AP$55,4,FALSE))</f>
        <v>0</v>
      </c>
      <c r="X72" s="4">
        <f>(VLOOKUP('14.05'!AF72,'14.05'!$AM$4:$AP$55,4,FALSE))</f>
        <v>0</v>
      </c>
    </row>
    <row r="73" spans="1:24">
      <c r="A73" s="4">
        <f>(VLOOKUP('14.05'!I73,'14.05'!$AM$4:$AP$55,4,FALSE))</f>
        <v>0</v>
      </c>
      <c r="B73" s="4">
        <f>(VLOOKUP('14.05'!J73,'14.05'!$AM$4:$AP$55,4,FALSE))</f>
        <v>0</v>
      </c>
      <c r="C73" s="4">
        <f>(VLOOKUP('14.05'!K73,'14.05'!$AM$4:$AP$55,4,FALSE))</f>
        <v>0</v>
      </c>
      <c r="D73" s="4">
        <f>(VLOOKUP('14.05'!L73,'14.05'!$AM$4:$AP$55,4,FALSE))</f>
        <v>0</v>
      </c>
      <c r="E73" s="4">
        <f>(VLOOKUP('14.05'!M73,'14.05'!$AM$4:$AP$55,4,FALSE))</f>
        <v>0</v>
      </c>
      <c r="F73" s="4">
        <f>(VLOOKUP('14.05'!N73,'14.05'!$AM$4:$AP$55,4,FALSE))</f>
        <v>0</v>
      </c>
      <c r="G73" s="4">
        <f>(VLOOKUP('14.05'!O73,'14.05'!$AM$4:$AP$55,4,FALSE))</f>
        <v>0</v>
      </c>
      <c r="H73" s="4">
        <f>(VLOOKUP('14.05'!P73,'14.05'!$AM$4:$AP$55,4,FALSE))</f>
        <v>0</v>
      </c>
      <c r="I73" s="4">
        <f>(VLOOKUP('14.05'!Q73,'14.05'!$AM$4:$AP$55,4,FALSE))</f>
        <v>38</v>
      </c>
      <c r="J73" s="4">
        <f>(VLOOKUP('14.05'!R73,'14.05'!$AM$4:$AP$55,4,FALSE))</f>
        <v>38</v>
      </c>
      <c r="K73" s="4">
        <f>(VLOOKUP('14.05'!S73,'14.05'!$AM$4:$AP$55,4,FALSE))</f>
        <v>38</v>
      </c>
      <c r="L73" s="4">
        <f>(VLOOKUP('14.05'!T73,'14.05'!$AM$4:$AP$55,4,FALSE))</f>
        <v>38</v>
      </c>
      <c r="M73" s="4">
        <f>(VLOOKUP('14.05'!U73,'14.05'!$AM$4:$AP$55,4,FALSE))</f>
        <v>38</v>
      </c>
      <c r="N73" s="4">
        <f>(VLOOKUP('14.05'!V73,'14.05'!$AM$4:$AP$55,4,FALSE))</f>
        <v>38</v>
      </c>
      <c r="O73" s="4">
        <f>(VLOOKUP('14.05'!W73,'14.05'!$AM$4:$AP$55,4,FALSE))</f>
        <v>0</v>
      </c>
      <c r="P73" s="4">
        <f>(VLOOKUP('14.05'!X73,'14.05'!$AM$4:$AP$55,4,FALSE))</f>
        <v>0</v>
      </c>
      <c r="Q73" s="4">
        <f>(VLOOKUP('14.05'!Y73,'14.05'!$AM$4:$AP$55,4,FALSE))</f>
        <v>0</v>
      </c>
      <c r="R73" s="4">
        <f>(VLOOKUP('14.05'!Z73,'14.05'!$AM$4:$AP$55,4,FALSE))</f>
        <v>0</v>
      </c>
      <c r="S73" s="4">
        <f>(VLOOKUP('14.05'!AA73,'14.05'!$AM$4:$AP$55,4,FALSE))</f>
        <v>0</v>
      </c>
      <c r="T73" s="4">
        <f>(VLOOKUP('14.05'!AB73,'14.05'!$AM$4:$AP$55,4,FALSE))</f>
        <v>0</v>
      </c>
      <c r="U73" s="4">
        <f>(VLOOKUP('14.05'!AC73,'14.05'!$AM$4:$AP$55,4,FALSE))</f>
        <v>0</v>
      </c>
      <c r="V73" s="4">
        <f>(VLOOKUP('14.05'!AD73,'14.05'!$AM$4:$AP$55,4,FALSE))</f>
        <v>0</v>
      </c>
      <c r="W73" s="4">
        <f>(VLOOKUP('14.05'!AE73,'14.05'!$AM$4:$AP$55,4,FALSE))</f>
        <v>0</v>
      </c>
      <c r="X73" s="4">
        <f>(VLOOKUP('14.05'!AF73,'14.05'!$AM$4:$AP$55,4,FALSE))</f>
        <v>0</v>
      </c>
    </row>
    <row r="74" spans="1:24">
      <c r="A74" s="4">
        <f>(VLOOKUP('14.05'!I74,'14.05'!$AM$4:$AP$55,4,FALSE))</f>
        <v>0</v>
      </c>
      <c r="B74" s="4">
        <f>(VLOOKUP('14.05'!J74,'14.05'!$AM$4:$AP$55,4,FALSE))</f>
        <v>0</v>
      </c>
      <c r="C74" s="4">
        <f>(VLOOKUP('14.05'!K74,'14.05'!$AM$4:$AP$55,4,FALSE))</f>
        <v>0</v>
      </c>
      <c r="D74" s="4">
        <f>(VLOOKUP('14.05'!L74,'14.05'!$AM$4:$AP$55,4,FALSE))</f>
        <v>0</v>
      </c>
      <c r="E74" s="4">
        <f>(VLOOKUP('14.05'!M74,'14.05'!$AM$4:$AP$55,4,FALSE))</f>
        <v>0</v>
      </c>
      <c r="F74" s="4">
        <f>(VLOOKUP('14.05'!N74,'14.05'!$AM$4:$AP$55,4,FALSE))</f>
        <v>0</v>
      </c>
      <c r="G74" s="4">
        <f>(VLOOKUP('14.05'!O74,'14.05'!$AM$4:$AP$55,4,FALSE))</f>
        <v>0</v>
      </c>
      <c r="H74" s="4">
        <f>(VLOOKUP('14.05'!P74,'14.05'!$AM$4:$AP$55,4,FALSE))</f>
        <v>0</v>
      </c>
      <c r="I74" s="4">
        <f>(VLOOKUP('14.05'!Q74,'14.05'!$AM$4:$AP$55,4,FALSE))</f>
        <v>38</v>
      </c>
      <c r="J74" s="4">
        <f>(VLOOKUP('14.05'!R74,'14.05'!$AM$4:$AP$55,4,FALSE))</f>
        <v>38</v>
      </c>
      <c r="K74" s="4">
        <f>(VLOOKUP('14.05'!S74,'14.05'!$AM$4:$AP$55,4,FALSE))</f>
        <v>38</v>
      </c>
      <c r="L74" s="4">
        <f>(VLOOKUP('14.05'!T74,'14.05'!$AM$4:$AP$55,4,FALSE))</f>
        <v>38</v>
      </c>
      <c r="M74" s="4">
        <f>(VLOOKUP('14.05'!U74,'14.05'!$AM$4:$AP$55,4,FALSE))</f>
        <v>38</v>
      </c>
      <c r="N74" s="4">
        <f>(VLOOKUP('14.05'!V74,'14.05'!$AM$4:$AP$55,4,FALSE))</f>
        <v>38</v>
      </c>
      <c r="O74" s="4">
        <f>(VLOOKUP('14.05'!W74,'14.05'!$AM$4:$AP$55,4,FALSE))</f>
        <v>0</v>
      </c>
      <c r="P74" s="4">
        <f>(VLOOKUP('14.05'!X74,'14.05'!$AM$4:$AP$55,4,FALSE))</f>
        <v>0</v>
      </c>
      <c r="Q74" s="4">
        <f>(VLOOKUP('14.05'!Y74,'14.05'!$AM$4:$AP$55,4,FALSE))</f>
        <v>0</v>
      </c>
      <c r="R74" s="4">
        <f>(VLOOKUP('14.05'!Z74,'14.05'!$AM$4:$AP$55,4,FALSE))</f>
        <v>0</v>
      </c>
      <c r="S74" s="4">
        <f>(VLOOKUP('14.05'!AA74,'14.05'!$AM$4:$AP$55,4,FALSE))</f>
        <v>0</v>
      </c>
      <c r="T74" s="4">
        <f>(VLOOKUP('14.05'!AB74,'14.05'!$AM$4:$AP$55,4,FALSE))</f>
        <v>0</v>
      </c>
      <c r="U74" s="4">
        <f>(VLOOKUP('14.05'!AC74,'14.05'!$AM$4:$AP$55,4,FALSE))</f>
        <v>0</v>
      </c>
      <c r="V74" s="4">
        <f>(VLOOKUP('14.05'!AD74,'14.05'!$AM$4:$AP$55,4,FALSE))</f>
        <v>0</v>
      </c>
      <c r="W74" s="4">
        <f>(VLOOKUP('14.05'!AE74,'14.05'!$AM$4:$AP$55,4,FALSE))</f>
        <v>0</v>
      </c>
      <c r="X74" s="4">
        <f>(VLOOKUP('14.05'!AF74,'14.05'!$AM$4:$AP$55,4,FALSE))</f>
        <v>0</v>
      </c>
    </row>
    <row r="75" spans="1:24">
      <c r="A75" s="4">
        <f>(VLOOKUP('14.05'!I75,'14.05'!$AM$4:$AP$55,4,FALSE))</f>
        <v>0</v>
      </c>
      <c r="B75" s="4">
        <f>(VLOOKUP('14.05'!J75,'14.05'!$AM$4:$AP$55,4,FALSE))</f>
        <v>0</v>
      </c>
      <c r="C75" s="4">
        <f>(VLOOKUP('14.05'!K75,'14.05'!$AM$4:$AP$55,4,FALSE))</f>
        <v>0</v>
      </c>
      <c r="D75" s="4">
        <f>(VLOOKUP('14.05'!L75,'14.05'!$AM$4:$AP$55,4,FALSE))</f>
        <v>0</v>
      </c>
      <c r="E75" s="4">
        <f>(VLOOKUP('14.05'!M75,'14.05'!$AM$4:$AP$55,4,FALSE))</f>
        <v>0</v>
      </c>
      <c r="F75" s="4">
        <f>(VLOOKUP('14.05'!N75,'14.05'!$AM$4:$AP$55,4,FALSE))</f>
        <v>0</v>
      </c>
      <c r="G75" s="4">
        <f>(VLOOKUP('14.05'!O75,'14.05'!$AM$4:$AP$55,4,FALSE))</f>
        <v>0</v>
      </c>
      <c r="H75" s="4">
        <f>(VLOOKUP('14.05'!P75,'14.05'!$AM$4:$AP$55,4,FALSE))</f>
        <v>0</v>
      </c>
      <c r="I75" s="4">
        <f>(VLOOKUP('14.05'!Q75,'14.05'!$AM$4:$AP$55,4,FALSE))</f>
        <v>0</v>
      </c>
      <c r="J75" s="4">
        <f>(VLOOKUP('14.05'!R75,'14.05'!$AM$4:$AP$55,4,FALSE))</f>
        <v>0</v>
      </c>
      <c r="K75" s="4">
        <f>(VLOOKUP('14.05'!S75,'14.05'!$AM$4:$AP$55,4,FALSE))</f>
        <v>0</v>
      </c>
      <c r="L75" s="4">
        <f>(VLOOKUP('14.05'!T75,'14.05'!$AM$4:$AP$55,4,FALSE))</f>
        <v>0</v>
      </c>
      <c r="M75" s="4">
        <f>(VLOOKUP('14.05'!U75,'14.05'!$AM$4:$AP$55,4,FALSE))</f>
        <v>0</v>
      </c>
      <c r="N75" s="4">
        <f>(VLOOKUP('14.05'!V75,'14.05'!$AM$4:$AP$55,4,FALSE))</f>
        <v>0</v>
      </c>
      <c r="O75" s="4">
        <f>(VLOOKUP('14.05'!W75,'14.05'!$AM$4:$AP$55,4,FALSE))</f>
        <v>0</v>
      </c>
      <c r="P75" s="4">
        <f>(VLOOKUP('14.05'!X75,'14.05'!$AM$4:$AP$55,4,FALSE))</f>
        <v>0</v>
      </c>
      <c r="Q75" s="4">
        <f>(VLOOKUP('14.05'!Y75,'14.05'!$AM$4:$AP$55,4,FALSE))</f>
        <v>0</v>
      </c>
      <c r="R75" s="4">
        <f>(VLOOKUP('14.05'!Z75,'14.05'!$AM$4:$AP$55,4,FALSE))</f>
        <v>0</v>
      </c>
      <c r="S75" s="4">
        <f>(VLOOKUP('14.05'!AA75,'14.05'!$AM$4:$AP$55,4,FALSE))</f>
        <v>0</v>
      </c>
      <c r="T75" s="4">
        <f>(VLOOKUP('14.05'!AB75,'14.05'!$AM$4:$AP$55,4,FALSE))</f>
        <v>0</v>
      </c>
      <c r="U75" s="4">
        <f>(VLOOKUP('14.05'!AC75,'14.05'!$AM$4:$AP$55,4,FALSE))</f>
        <v>0</v>
      </c>
      <c r="V75" s="4">
        <f>(VLOOKUP('14.05'!AD75,'14.05'!$AM$4:$AP$55,4,FALSE))</f>
        <v>10</v>
      </c>
      <c r="W75" s="4">
        <f>(VLOOKUP('14.05'!AE75,'14.05'!$AM$4:$AP$55,4,FALSE))</f>
        <v>0</v>
      </c>
      <c r="X75" s="4">
        <f>(VLOOKUP('14.05'!AF75,'14.05'!$AM$4:$AP$55,4,FALSE))</f>
        <v>0</v>
      </c>
    </row>
    <row r="76" spans="1:24">
      <c r="A76" s="4">
        <f>(VLOOKUP('14.05'!I76,'14.05'!$AM$4:$AP$55,4,FALSE))</f>
        <v>0</v>
      </c>
      <c r="B76" s="4">
        <f>(VLOOKUP('14.05'!J76,'14.05'!$AM$4:$AP$55,4,FALSE))</f>
        <v>0</v>
      </c>
      <c r="C76" s="4">
        <f>(VLOOKUP('14.05'!K76,'14.05'!$AM$4:$AP$55,4,FALSE))</f>
        <v>0</v>
      </c>
      <c r="D76" s="4">
        <f>(VLOOKUP('14.05'!L76,'14.05'!$AM$4:$AP$55,4,FALSE))</f>
        <v>0</v>
      </c>
      <c r="E76" s="4">
        <f>(VLOOKUP('14.05'!M76,'14.05'!$AM$4:$AP$55,4,FALSE))</f>
        <v>0</v>
      </c>
      <c r="F76" s="4">
        <f>(VLOOKUP('14.05'!N76,'14.05'!$AM$4:$AP$55,4,FALSE))</f>
        <v>0</v>
      </c>
      <c r="G76" s="4">
        <f>(VLOOKUP('14.05'!O76,'14.05'!$AM$4:$AP$55,4,FALSE))</f>
        <v>0</v>
      </c>
      <c r="H76" s="4">
        <f>(VLOOKUP('14.05'!P76,'14.05'!$AM$4:$AP$55,4,FALSE))</f>
        <v>0</v>
      </c>
      <c r="I76" s="4">
        <f>(VLOOKUP('14.05'!Q76,'14.05'!$AM$4:$AP$55,4,FALSE))</f>
        <v>0</v>
      </c>
      <c r="J76" s="4">
        <f>(VLOOKUP('14.05'!R76,'14.05'!$AM$4:$AP$55,4,FALSE))</f>
        <v>0</v>
      </c>
      <c r="K76" s="4">
        <f>(VLOOKUP('14.05'!S76,'14.05'!$AM$4:$AP$55,4,FALSE))</f>
        <v>0</v>
      </c>
      <c r="L76" s="4">
        <f>(VLOOKUP('14.05'!T76,'14.05'!$AM$4:$AP$55,4,FALSE))</f>
        <v>0</v>
      </c>
      <c r="M76" s="4">
        <f>(VLOOKUP('14.05'!U76,'14.05'!$AM$4:$AP$55,4,FALSE))</f>
        <v>0</v>
      </c>
      <c r="N76" s="4">
        <f>(VLOOKUP('14.05'!V76,'14.05'!$AM$4:$AP$55,4,FALSE))</f>
        <v>0</v>
      </c>
      <c r="O76" s="4">
        <f>(VLOOKUP('14.05'!W76,'14.05'!$AM$4:$AP$55,4,FALSE))</f>
        <v>0</v>
      </c>
      <c r="P76" s="4">
        <f>(VLOOKUP('14.05'!X76,'14.05'!$AM$4:$AP$55,4,FALSE))</f>
        <v>0</v>
      </c>
      <c r="Q76" s="4">
        <f>(VLOOKUP('14.05'!Y76,'14.05'!$AM$4:$AP$55,4,FALSE))</f>
        <v>0</v>
      </c>
      <c r="R76" s="4">
        <f>(VLOOKUP('14.05'!Z76,'14.05'!$AM$4:$AP$55,4,FALSE))</f>
        <v>0</v>
      </c>
      <c r="S76" s="4">
        <f>(VLOOKUP('14.05'!AA76,'14.05'!$AM$4:$AP$55,4,FALSE))</f>
        <v>0</v>
      </c>
      <c r="T76" s="4">
        <f>(VLOOKUP('14.05'!AB76,'14.05'!$AM$4:$AP$55,4,FALSE))</f>
        <v>0</v>
      </c>
      <c r="U76" s="4">
        <f>(VLOOKUP('14.05'!AC76,'14.05'!$AM$4:$AP$55,4,FALSE))</f>
        <v>0</v>
      </c>
      <c r="V76" s="4">
        <f>(VLOOKUP('14.05'!AD76,'14.05'!$AM$4:$AP$55,4,FALSE))</f>
        <v>0</v>
      </c>
      <c r="W76" s="4">
        <f>(VLOOKUP('14.05'!AE76,'14.05'!$AM$4:$AP$55,4,FALSE))</f>
        <v>0</v>
      </c>
      <c r="X76" s="4">
        <f>(VLOOKUP('14.05'!AF76,'14.05'!$AM$4:$AP$55,4,FALSE))</f>
        <v>0</v>
      </c>
    </row>
    <row r="77" spans="1:24">
      <c r="A77" s="4">
        <f>(VLOOKUP('14.05'!I77,'14.05'!$AM$4:$AP$55,4,FALSE))</f>
        <v>0</v>
      </c>
      <c r="B77" s="4">
        <f>(VLOOKUP('14.05'!J77,'14.05'!$AM$4:$AP$55,4,FALSE))</f>
        <v>0</v>
      </c>
      <c r="C77" s="4">
        <f>(VLOOKUP('14.05'!K77,'14.05'!$AM$4:$AP$55,4,FALSE))</f>
        <v>0</v>
      </c>
      <c r="D77" s="4">
        <f>(VLOOKUP('14.05'!L77,'14.05'!$AM$4:$AP$55,4,FALSE))</f>
        <v>0</v>
      </c>
      <c r="E77" s="4">
        <f>(VLOOKUP('14.05'!M77,'14.05'!$AM$4:$AP$55,4,FALSE))</f>
        <v>0</v>
      </c>
      <c r="F77" s="4">
        <f>(VLOOKUP('14.05'!N77,'14.05'!$AM$4:$AP$55,4,FALSE))</f>
        <v>0</v>
      </c>
      <c r="G77" s="4">
        <f>(VLOOKUP('14.05'!O77,'14.05'!$AM$4:$AP$55,4,FALSE))</f>
        <v>0</v>
      </c>
      <c r="H77" s="4">
        <f>(VLOOKUP('14.05'!P77,'14.05'!$AM$4:$AP$55,4,FALSE))</f>
        <v>0</v>
      </c>
      <c r="I77" s="4">
        <f>(VLOOKUP('14.05'!Q77,'14.05'!$AM$4:$AP$55,4,FALSE))</f>
        <v>0</v>
      </c>
      <c r="J77" s="4">
        <f>(VLOOKUP('14.05'!R77,'14.05'!$AM$4:$AP$55,4,FALSE))</f>
        <v>0</v>
      </c>
      <c r="K77" s="4">
        <f>(VLOOKUP('14.05'!S77,'14.05'!$AM$4:$AP$55,4,FALSE))</f>
        <v>0</v>
      </c>
      <c r="L77" s="4">
        <f>(VLOOKUP('14.05'!T77,'14.05'!$AM$4:$AP$55,4,FALSE))</f>
        <v>0</v>
      </c>
      <c r="M77" s="4">
        <f>(VLOOKUP('14.05'!U77,'14.05'!$AM$4:$AP$55,4,FALSE))</f>
        <v>0</v>
      </c>
      <c r="N77" s="4">
        <f>(VLOOKUP('14.05'!V77,'14.05'!$AM$4:$AP$55,4,FALSE))</f>
        <v>0</v>
      </c>
      <c r="O77" s="4">
        <f>(VLOOKUP('14.05'!W77,'14.05'!$AM$4:$AP$55,4,FALSE))</f>
        <v>0</v>
      </c>
      <c r="P77" s="4">
        <f>(VLOOKUP('14.05'!X77,'14.05'!$AM$4:$AP$55,4,FALSE))</f>
        <v>0</v>
      </c>
      <c r="Q77" s="4">
        <f>(VLOOKUP('14.05'!Y77,'14.05'!$AM$4:$AP$55,4,FALSE))</f>
        <v>0</v>
      </c>
      <c r="R77" s="4">
        <f>(VLOOKUP('14.05'!Z77,'14.05'!$AM$4:$AP$55,4,FALSE))</f>
        <v>0</v>
      </c>
      <c r="S77" s="4">
        <f>(VLOOKUP('14.05'!AA77,'14.05'!$AM$4:$AP$55,4,FALSE))</f>
        <v>0</v>
      </c>
      <c r="T77" s="4">
        <f>(VLOOKUP('14.05'!AB77,'14.05'!$AM$4:$AP$55,4,FALSE))</f>
        <v>0</v>
      </c>
      <c r="U77" s="4">
        <f>(VLOOKUP('14.05'!AC77,'14.05'!$AM$4:$AP$55,4,FALSE))</f>
        <v>38</v>
      </c>
      <c r="V77" s="4">
        <f>(VLOOKUP('14.05'!AD77,'14.05'!$AM$4:$AP$55,4,FALSE))</f>
        <v>38</v>
      </c>
      <c r="W77" s="4">
        <f>(VLOOKUP('14.05'!AE77,'14.05'!$AM$4:$AP$55,4,FALSE))</f>
        <v>0</v>
      </c>
      <c r="X77" s="4">
        <f>(VLOOKUP('14.05'!AF77,'14.05'!$AM$4:$AP$55,4,FALSE))</f>
        <v>0</v>
      </c>
    </row>
    <row r="78" spans="1:24">
      <c r="A78" s="4">
        <f>(VLOOKUP('14.05'!I78,'14.05'!$AM$4:$AP$55,4,FALSE))</f>
        <v>0</v>
      </c>
      <c r="B78" s="4">
        <f>(VLOOKUP('14.05'!J78,'14.05'!$AM$4:$AP$55,4,FALSE))</f>
        <v>0</v>
      </c>
      <c r="C78" s="4">
        <f>(VLOOKUP('14.05'!K78,'14.05'!$AM$4:$AP$55,4,FALSE))</f>
        <v>0</v>
      </c>
      <c r="D78" s="4">
        <f>(VLOOKUP('14.05'!L78,'14.05'!$AM$4:$AP$55,4,FALSE))</f>
        <v>0</v>
      </c>
      <c r="E78" s="4">
        <f>(VLOOKUP('14.05'!M78,'14.05'!$AM$4:$AP$55,4,FALSE))</f>
        <v>0</v>
      </c>
      <c r="F78" s="4">
        <f>(VLOOKUP('14.05'!N78,'14.05'!$AM$4:$AP$55,4,FALSE))</f>
        <v>0</v>
      </c>
      <c r="G78" s="4">
        <f>(VLOOKUP('14.05'!O78,'14.05'!$AM$4:$AP$55,4,FALSE))</f>
        <v>0</v>
      </c>
      <c r="H78" s="4">
        <f>(VLOOKUP('14.05'!P78,'14.05'!$AM$4:$AP$55,4,FALSE))</f>
        <v>0</v>
      </c>
      <c r="I78" s="4">
        <f>(VLOOKUP('14.05'!Q78,'14.05'!$AM$4:$AP$55,4,FALSE))</f>
        <v>0</v>
      </c>
      <c r="J78" s="4">
        <f>(VLOOKUP('14.05'!R78,'14.05'!$AM$4:$AP$55,4,FALSE))</f>
        <v>0</v>
      </c>
      <c r="K78" s="4">
        <f>(VLOOKUP('14.05'!S78,'14.05'!$AM$4:$AP$55,4,FALSE))</f>
        <v>0</v>
      </c>
      <c r="L78" s="4">
        <f>(VLOOKUP('14.05'!T78,'14.05'!$AM$4:$AP$55,4,FALSE))</f>
        <v>0</v>
      </c>
      <c r="M78" s="4">
        <f>(VLOOKUP('14.05'!U78,'14.05'!$AM$4:$AP$55,4,FALSE))</f>
        <v>0</v>
      </c>
      <c r="N78" s="4">
        <f>(VLOOKUP('14.05'!V78,'14.05'!$AM$4:$AP$55,4,FALSE))</f>
        <v>0</v>
      </c>
      <c r="O78" s="4">
        <f>(VLOOKUP('14.05'!W78,'14.05'!$AM$4:$AP$55,4,FALSE))</f>
        <v>0</v>
      </c>
      <c r="P78" s="4">
        <f>(VLOOKUP('14.05'!X78,'14.05'!$AM$4:$AP$55,4,FALSE))</f>
        <v>0</v>
      </c>
      <c r="Q78" s="4">
        <f>(VLOOKUP('14.05'!Y78,'14.05'!$AM$4:$AP$55,4,FALSE))</f>
        <v>38</v>
      </c>
      <c r="R78" s="4">
        <f>(VLOOKUP('14.05'!Z78,'14.05'!$AM$4:$AP$55,4,FALSE))</f>
        <v>38</v>
      </c>
      <c r="S78" s="4">
        <f>(VLOOKUP('14.05'!AA78,'14.05'!$AM$4:$AP$55,4,FALSE))</f>
        <v>38</v>
      </c>
      <c r="T78" s="4">
        <f>(VLOOKUP('14.05'!AB78,'14.05'!$AM$4:$AP$55,4,FALSE))</f>
        <v>38</v>
      </c>
      <c r="U78" s="4">
        <f>(VLOOKUP('14.05'!AC78,'14.05'!$AM$4:$AP$55,4,FALSE))</f>
        <v>38</v>
      </c>
      <c r="V78" s="4">
        <f>(VLOOKUP('14.05'!AD78,'14.05'!$AM$4:$AP$55,4,FALSE))</f>
        <v>38</v>
      </c>
      <c r="W78" s="4">
        <f>(VLOOKUP('14.05'!AE78,'14.05'!$AM$4:$AP$55,4,FALSE))</f>
        <v>0</v>
      </c>
      <c r="X78" s="4">
        <f>(VLOOKUP('14.05'!AF78,'14.05'!$AM$4:$AP$55,4,FALSE))</f>
        <v>0</v>
      </c>
    </row>
    <row r="79" spans="1:24">
      <c r="A79" s="4">
        <f>(VLOOKUP('14.05'!I79,'14.05'!$AM$4:$AP$55,4,FALSE))</f>
        <v>0</v>
      </c>
      <c r="B79" s="4">
        <f>(VLOOKUP('14.05'!J79,'14.05'!$AM$4:$AP$55,4,FALSE))</f>
        <v>0</v>
      </c>
      <c r="C79" s="4">
        <f>(VLOOKUP('14.05'!K79,'14.05'!$AM$4:$AP$55,4,FALSE))</f>
        <v>0</v>
      </c>
      <c r="D79" s="4">
        <f>(VLOOKUP('14.05'!L79,'14.05'!$AM$4:$AP$55,4,FALSE))</f>
        <v>0</v>
      </c>
      <c r="E79" s="4">
        <f>(VLOOKUP('14.05'!M79,'14.05'!$AM$4:$AP$55,4,FALSE))</f>
        <v>0</v>
      </c>
      <c r="F79" s="4">
        <f>(VLOOKUP('14.05'!N79,'14.05'!$AM$4:$AP$55,4,FALSE))</f>
        <v>0</v>
      </c>
      <c r="G79" s="4">
        <f>(VLOOKUP('14.05'!O79,'14.05'!$AM$4:$AP$55,4,FALSE))</f>
        <v>0</v>
      </c>
      <c r="H79" s="4">
        <f>(VLOOKUP('14.05'!P79,'14.05'!$AM$4:$AP$55,4,FALSE))</f>
        <v>0</v>
      </c>
      <c r="I79" s="4">
        <f>(VLOOKUP('14.05'!Q79,'14.05'!$AM$4:$AP$55,4,FALSE))</f>
        <v>0</v>
      </c>
      <c r="J79" s="4">
        <f>(VLOOKUP('14.05'!R79,'14.05'!$AM$4:$AP$55,4,FALSE))</f>
        <v>0</v>
      </c>
      <c r="K79" s="4">
        <f>(VLOOKUP('14.05'!S79,'14.05'!$AM$4:$AP$55,4,FALSE))</f>
        <v>0</v>
      </c>
      <c r="L79" s="4">
        <f>(VLOOKUP('14.05'!T79,'14.05'!$AM$4:$AP$55,4,FALSE))</f>
        <v>0</v>
      </c>
      <c r="M79" s="4">
        <f>(VLOOKUP('14.05'!U79,'14.05'!$AM$4:$AP$55,4,FALSE))</f>
        <v>0</v>
      </c>
      <c r="N79" s="4">
        <f>(VLOOKUP('14.05'!V79,'14.05'!$AM$4:$AP$55,4,FALSE))</f>
        <v>0</v>
      </c>
      <c r="O79" s="4">
        <f>(VLOOKUP('14.05'!W79,'14.05'!$AM$4:$AP$55,4,FALSE))</f>
        <v>0</v>
      </c>
      <c r="P79" s="4">
        <f>(VLOOKUP('14.05'!X79,'14.05'!$AM$4:$AP$55,4,FALSE))</f>
        <v>0</v>
      </c>
      <c r="Q79" s="4">
        <f>(VLOOKUP('14.05'!Y79,'14.05'!$AM$4:$AP$55,4,FALSE))</f>
        <v>38</v>
      </c>
      <c r="R79" s="4">
        <f>(VLOOKUP('14.05'!Z79,'14.05'!$AM$4:$AP$55,4,FALSE))</f>
        <v>38</v>
      </c>
      <c r="S79" s="4">
        <f>(VLOOKUP('14.05'!AA79,'14.05'!$AM$4:$AP$55,4,FALSE))</f>
        <v>38</v>
      </c>
      <c r="T79" s="4">
        <f>(VLOOKUP('14.05'!AB79,'14.05'!$AM$4:$AP$55,4,FALSE))</f>
        <v>38</v>
      </c>
      <c r="U79" s="4">
        <f>(VLOOKUP('14.05'!AC79,'14.05'!$AM$4:$AP$55,4,FALSE))</f>
        <v>0</v>
      </c>
      <c r="V79" s="4">
        <f>(VLOOKUP('14.05'!AD79,'14.05'!$AM$4:$AP$55,4,FALSE))</f>
        <v>38</v>
      </c>
      <c r="W79" s="4">
        <f>(VLOOKUP('14.05'!AE79,'14.05'!$AM$4:$AP$55,4,FALSE))</f>
        <v>0</v>
      </c>
      <c r="X79" s="4">
        <f>(VLOOKUP('14.05'!AF79,'14.05'!$AM$4:$AP$55,4,FALSE))</f>
        <v>0</v>
      </c>
    </row>
    <row r="80" spans="1:24">
      <c r="A80" s="4">
        <f>(VLOOKUP('14.05'!I80,'14.05'!$AM$4:$AP$55,4,FALSE))</f>
        <v>0</v>
      </c>
      <c r="B80" s="4">
        <f>(VLOOKUP('14.05'!J80,'14.05'!$AM$4:$AP$55,4,FALSE))</f>
        <v>0</v>
      </c>
      <c r="C80" s="4">
        <f>(VLOOKUP('14.05'!K80,'14.05'!$AM$4:$AP$55,4,FALSE))</f>
        <v>0</v>
      </c>
      <c r="D80" s="4">
        <f>(VLOOKUP('14.05'!L80,'14.05'!$AM$4:$AP$55,4,FALSE))</f>
        <v>0</v>
      </c>
      <c r="E80" s="4">
        <f>(VLOOKUP('14.05'!M80,'14.05'!$AM$4:$AP$55,4,FALSE))</f>
        <v>0</v>
      </c>
      <c r="F80" s="4">
        <f>(VLOOKUP('14.05'!N80,'14.05'!$AM$4:$AP$55,4,FALSE))</f>
        <v>0</v>
      </c>
      <c r="G80" s="4">
        <f>(VLOOKUP('14.05'!O80,'14.05'!$AM$4:$AP$55,4,FALSE))</f>
        <v>0</v>
      </c>
      <c r="H80" s="4">
        <f>(VLOOKUP('14.05'!P80,'14.05'!$AM$4:$AP$55,4,FALSE))</f>
        <v>0</v>
      </c>
      <c r="I80" s="4">
        <f>(VLOOKUP('14.05'!Q80,'14.05'!$AM$4:$AP$55,4,FALSE))</f>
        <v>0</v>
      </c>
      <c r="J80" s="4">
        <f>(VLOOKUP('14.05'!R80,'14.05'!$AM$4:$AP$55,4,FALSE))</f>
        <v>0</v>
      </c>
      <c r="K80" s="4">
        <f>(VLOOKUP('14.05'!S80,'14.05'!$AM$4:$AP$55,4,FALSE))</f>
        <v>0</v>
      </c>
      <c r="L80" s="4">
        <f>(VLOOKUP('14.05'!T80,'14.05'!$AM$4:$AP$55,4,FALSE))</f>
        <v>0</v>
      </c>
      <c r="M80" s="4">
        <f>(VLOOKUP('14.05'!U80,'14.05'!$AM$4:$AP$55,4,FALSE))</f>
        <v>0</v>
      </c>
      <c r="N80" s="4">
        <f>(VLOOKUP('14.05'!V80,'14.05'!$AM$4:$AP$55,4,FALSE))</f>
        <v>0</v>
      </c>
      <c r="O80" s="4">
        <f>(VLOOKUP('14.05'!W80,'14.05'!$AM$4:$AP$55,4,FALSE))</f>
        <v>0</v>
      </c>
      <c r="P80" s="4">
        <f>(VLOOKUP('14.05'!X80,'14.05'!$AM$4:$AP$55,4,FALSE))</f>
        <v>0</v>
      </c>
      <c r="Q80" s="4">
        <f>(VLOOKUP('14.05'!Y80,'14.05'!$AM$4:$AP$55,4,FALSE))</f>
        <v>38</v>
      </c>
      <c r="R80" s="4">
        <f>(VLOOKUP('14.05'!Z80,'14.05'!$AM$4:$AP$55,4,FALSE))</f>
        <v>38</v>
      </c>
      <c r="S80" s="4">
        <f>(VLOOKUP('14.05'!AA80,'14.05'!$AM$4:$AP$55,4,FALSE))</f>
        <v>38</v>
      </c>
      <c r="T80" s="4">
        <f>(VLOOKUP('14.05'!AB80,'14.05'!$AM$4:$AP$55,4,FALSE))</f>
        <v>38</v>
      </c>
      <c r="U80" s="4">
        <f>(VLOOKUP('14.05'!AC80,'14.05'!$AM$4:$AP$55,4,FALSE))</f>
        <v>38</v>
      </c>
      <c r="V80" s="4">
        <f>(VLOOKUP('14.05'!AD80,'14.05'!$AM$4:$AP$55,4,FALSE))</f>
        <v>38</v>
      </c>
      <c r="W80" s="4">
        <f>(VLOOKUP('14.05'!AE80,'14.05'!$AM$4:$AP$55,4,FALSE))</f>
        <v>0</v>
      </c>
      <c r="X80" s="4">
        <f>(VLOOKUP('14.05'!AF80,'14.05'!$AM$4:$AP$55,4,FALSE))</f>
        <v>0</v>
      </c>
    </row>
    <row r="81" spans="1:24">
      <c r="A81" s="4">
        <f>(VLOOKUP('14.05'!I81,'14.05'!$AM$4:$AP$55,4,FALSE))</f>
        <v>0</v>
      </c>
      <c r="B81" s="4">
        <f>(VLOOKUP('14.05'!J81,'14.05'!$AM$4:$AP$55,4,FALSE))</f>
        <v>0</v>
      </c>
      <c r="C81" s="4">
        <f>(VLOOKUP('14.05'!K81,'14.05'!$AM$4:$AP$55,4,FALSE))</f>
        <v>0</v>
      </c>
      <c r="D81" s="4">
        <f>(VLOOKUP('14.05'!L81,'14.05'!$AM$4:$AP$55,4,FALSE))</f>
        <v>0</v>
      </c>
      <c r="E81" s="4">
        <f>(VLOOKUP('14.05'!M81,'14.05'!$AM$4:$AP$55,4,FALSE))</f>
        <v>0</v>
      </c>
      <c r="F81" s="4">
        <f>(VLOOKUP('14.05'!N81,'14.05'!$AM$4:$AP$55,4,FALSE))</f>
        <v>0</v>
      </c>
      <c r="G81" s="4">
        <f>(VLOOKUP('14.05'!O81,'14.05'!$AM$4:$AP$55,4,FALSE))</f>
        <v>0</v>
      </c>
      <c r="H81" s="4">
        <f>(VLOOKUP('14.05'!P81,'14.05'!$AM$4:$AP$55,4,FALSE))</f>
        <v>0</v>
      </c>
      <c r="I81" s="4">
        <f>(VLOOKUP('14.05'!Q81,'14.05'!$AM$4:$AP$55,4,FALSE))</f>
        <v>0</v>
      </c>
      <c r="J81" s="4">
        <f>(VLOOKUP('14.05'!R81,'14.05'!$AM$4:$AP$55,4,FALSE))</f>
        <v>0</v>
      </c>
      <c r="K81" s="4">
        <f>(VLOOKUP('14.05'!S81,'14.05'!$AM$4:$AP$55,4,FALSE))</f>
        <v>38</v>
      </c>
      <c r="L81" s="4">
        <f>(VLOOKUP('14.05'!T81,'14.05'!$AM$4:$AP$55,4,FALSE))</f>
        <v>38</v>
      </c>
      <c r="M81" s="4">
        <f>(VLOOKUP('14.05'!U81,'14.05'!$AM$4:$AP$55,4,FALSE))</f>
        <v>38</v>
      </c>
      <c r="N81" s="4">
        <f>(VLOOKUP('14.05'!V81,'14.05'!$AM$4:$AP$55,4,FALSE))</f>
        <v>38</v>
      </c>
      <c r="O81" s="4">
        <f>(VLOOKUP('14.05'!W81,'14.05'!$AM$4:$AP$55,4,FALSE))</f>
        <v>0</v>
      </c>
      <c r="P81" s="4">
        <f>(VLOOKUP('14.05'!X81,'14.05'!$AM$4:$AP$55,4,FALSE))</f>
        <v>0</v>
      </c>
      <c r="Q81" s="4">
        <f>(VLOOKUP('14.05'!Y81,'14.05'!$AM$4:$AP$55,4,FALSE))</f>
        <v>38</v>
      </c>
      <c r="R81" s="4">
        <f>(VLOOKUP('14.05'!Z81,'14.05'!$AM$4:$AP$55,4,FALSE))</f>
        <v>38</v>
      </c>
      <c r="S81" s="4">
        <f>(VLOOKUP('14.05'!AA81,'14.05'!$AM$4:$AP$55,4,FALSE))</f>
        <v>38</v>
      </c>
      <c r="T81" s="4">
        <f>(VLOOKUP('14.05'!AB81,'14.05'!$AM$4:$AP$55,4,FALSE))</f>
        <v>38</v>
      </c>
      <c r="U81" s="4">
        <f>(VLOOKUP('14.05'!AC81,'14.05'!$AM$4:$AP$55,4,FALSE))</f>
        <v>38</v>
      </c>
      <c r="V81" s="4">
        <f>(VLOOKUP('14.05'!AD81,'14.05'!$AM$4:$AP$55,4,FALSE))</f>
        <v>38</v>
      </c>
      <c r="W81" s="4">
        <f>(VLOOKUP('14.05'!AE81,'14.05'!$AM$4:$AP$55,4,FALSE))</f>
        <v>0</v>
      </c>
      <c r="X81" s="4">
        <f>(VLOOKUP('14.05'!AF81,'14.05'!$AM$4:$AP$55,4,FALSE))</f>
        <v>0</v>
      </c>
    </row>
    <row r="82" spans="1:24">
      <c r="A82" s="4">
        <f>(VLOOKUP('14.05'!I82,'14.05'!$AM$4:$AP$55,4,FALSE))</f>
        <v>0</v>
      </c>
      <c r="B82" s="4">
        <f>(VLOOKUP('14.05'!J82,'14.05'!$AM$4:$AP$55,4,FALSE))</f>
        <v>0</v>
      </c>
      <c r="C82" s="4">
        <f>(VLOOKUP('14.05'!K82,'14.05'!$AM$4:$AP$55,4,FALSE))</f>
        <v>0</v>
      </c>
      <c r="D82" s="4">
        <f>(VLOOKUP('14.05'!L82,'14.05'!$AM$4:$AP$55,4,FALSE))</f>
        <v>0</v>
      </c>
      <c r="E82" s="4">
        <f>(VLOOKUP('14.05'!M82,'14.05'!$AM$4:$AP$55,4,FALSE))</f>
        <v>0</v>
      </c>
      <c r="F82" s="4">
        <f>(VLOOKUP('14.05'!N82,'14.05'!$AM$4:$AP$55,4,FALSE))</f>
        <v>0</v>
      </c>
      <c r="G82" s="4">
        <f>(VLOOKUP('14.05'!O82,'14.05'!$AM$4:$AP$55,4,FALSE))</f>
        <v>0</v>
      </c>
      <c r="H82" s="4">
        <f>(VLOOKUP('14.05'!P82,'14.05'!$AM$4:$AP$55,4,FALSE))</f>
        <v>0</v>
      </c>
      <c r="I82" s="4">
        <f>(VLOOKUP('14.05'!Q82,'14.05'!$AM$4:$AP$55,4,FALSE))</f>
        <v>38</v>
      </c>
      <c r="J82" s="4">
        <f>(VLOOKUP('14.05'!R82,'14.05'!$AM$4:$AP$55,4,FALSE))</f>
        <v>38</v>
      </c>
      <c r="K82" s="4">
        <f>(VLOOKUP('14.05'!S82,'14.05'!$AM$4:$AP$55,4,FALSE))</f>
        <v>38</v>
      </c>
      <c r="L82" s="4">
        <f>(VLOOKUP('14.05'!T82,'14.05'!$AM$4:$AP$55,4,FALSE))</f>
        <v>38</v>
      </c>
      <c r="M82" s="4">
        <f>(VLOOKUP('14.05'!U82,'14.05'!$AM$4:$AP$55,4,FALSE))</f>
        <v>38</v>
      </c>
      <c r="N82" s="4">
        <f>(VLOOKUP('14.05'!V82,'14.05'!$AM$4:$AP$55,4,FALSE))</f>
        <v>38</v>
      </c>
      <c r="O82" s="4">
        <f>(VLOOKUP('14.05'!W82,'14.05'!$AM$4:$AP$55,4,FALSE))</f>
        <v>0</v>
      </c>
      <c r="P82" s="4">
        <f>(VLOOKUP('14.05'!X82,'14.05'!$AM$4:$AP$55,4,FALSE))</f>
        <v>0</v>
      </c>
      <c r="Q82" s="4">
        <f>(VLOOKUP('14.05'!Y82,'14.05'!$AM$4:$AP$55,4,FALSE))</f>
        <v>36</v>
      </c>
      <c r="R82" s="4">
        <f>(VLOOKUP('14.05'!Z82,'14.05'!$AM$4:$AP$55,4,FALSE))</f>
        <v>36</v>
      </c>
      <c r="S82" s="4">
        <f>(VLOOKUP('14.05'!AA82,'14.05'!$AM$4:$AP$55,4,FALSE))</f>
        <v>36</v>
      </c>
      <c r="T82" s="4">
        <f>(VLOOKUP('14.05'!AB82,'14.05'!$AM$4:$AP$55,4,FALSE))</f>
        <v>36</v>
      </c>
      <c r="U82" s="4">
        <f>(VLOOKUP('14.05'!AC82,'14.05'!$AM$4:$AP$55,4,FALSE))</f>
        <v>36</v>
      </c>
      <c r="V82" s="4">
        <f>(VLOOKUP('14.05'!AD82,'14.05'!$AM$4:$AP$55,4,FALSE))</f>
        <v>36</v>
      </c>
      <c r="W82" s="4">
        <f>(VLOOKUP('14.05'!AE82,'14.05'!$AM$4:$AP$55,4,FALSE))</f>
        <v>0</v>
      </c>
      <c r="X82" s="4">
        <f>(VLOOKUP('14.05'!AF82,'14.05'!$AM$4:$AP$55,4,FALSE))</f>
        <v>0</v>
      </c>
    </row>
    <row r="83" spans="1:24">
      <c r="A83" s="4">
        <f>(VLOOKUP('14.05'!I83,'14.05'!$AM$4:$AP$55,4,FALSE))</f>
        <v>0</v>
      </c>
      <c r="B83" s="4">
        <f>(VLOOKUP('14.05'!J83,'14.05'!$AM$4:$AP$55,4,FALSE))</f>
        <v>0</v>
      </c>
      <c r="C83" s="4">
        <f>(VLOOKUP('14.05'!K83,'14.05'!$AM$4:$AP$55,4,FALSE))</f>
        <v>0</v>
      </c>
      <c r="D83" s="4">
        <f>(VLOOKUP('14.05'!L83,'14.05'!$AM$4:$AP$55,4,FALSE))</f>
        <v>0</v>
      </c>
      <c r="E83" s="4">
        <f>(VLOOKUP('14.05'!M83,'14.05'!$AM$4:$AP$55,4,FALSE))</f>
        <v>0</v>
      </c>
      <c r="F83" s="4">
        <f>(VLOOKUP('14.05'!N83,'14.05'!$AM$4:$AP$55,4,FALSE))</f>
        <v>0</v>
      </c>
      <c r="G83" s="4">
        <f>(VLOOKUP('14.05'!O83,'14.05'!$AM$4:$AP$55,4,FALSE))</f>
        <v>0</v>
      </c>
      <c r="H83" s="4">
        <f>(VLOOKUP('14.05'!P83,'14.05'!$AM$4:$AP$55,4,FALSE))</f>
        <v>0</v>
      </c>
      <c r="I83" s="4">
        <f>(VLOOKUP('14.05'!Q83,'14.05'!$AM$4:$AP$55,4,FALSE))</f>
        <v>38</v>
      </c>
      <c r="J83" s="4">
        <f>(VLOOKUP('14.05'!R83,'14.05'!$AM$4:$AP$55,4,FALSE))</f>
        <v>38</v>
      </c>
      <c r="K83" s="4">
        <f>(VLOOKUP('14.05'!S83,'14.05'!$AM$4:$AP$55,4,FALSE))</f>
        <v>38</v>
      </c>
      <c r="L83" s="4">
        <f>(VLOOKUP('14.05'!T83,'14.05'!$AM$4:$AP$55,4,FALSE))</f>
        <v>38</v>
      </c>
      <c r="M83" s="4">
        <f>(VLOOKUP('14.05'!U83,'14.05'!$AM$4:$AP$55,4,FALSE))</f>
        <v>38</v>
      </c>
      <c r="N83" s="4">
        <f>(VLOOKUP('14.05'!V83,'14.05'!$AM$4:$AP$55,4,FALSE))</f>
        <v>36</v>
      </c>
      <c r="O83" s="4">
        <f>(VLOOKUP('14.05'!W83,'14.05'!$AM$4:$AP$55,4,FALSE))</f>
        <v>0</v>
      </c>
      <c r="P83" s="4">
        <f>(VLOOKUP('14.05'!X83,'14.05'!$AM$4:$AP$55,4,FALSE))</f>
        <v>0</v>
      </c>
      <c r="Q83" s="4">
        <f>(VLOOKUP('14.05'!Y83,'14.05'!$AM$4:$AP$55,4,FALSE))</f>
        <v>36</v>
      </c>
      <c r="R83" s="4">
        <f>(VLOOKUP('14.05'!Z83,'14.05'!$AM$4:$AP$55,4,FALSE))</f>
        <v>0</v>
      </c>
      <c r="S83" s="4">
        <f>(VLOOKUP('14.05'!AA83,'14.05'!$AM$4:$AP$55,4,FALSE))</f>
        <v>36</v>
      </c>
      <c r="T83" s="4">
        <f>(VLOOKUP('14.05'!AB83,'14.05'!$AM$4:$AP$55,4,FALSE))</f>
        <v>36</v>
      </c>
      <c r="U83" s="4">
        <f>(VLOOKUP('14.05'!AC83,'14.05'!$AM$4:$AP$55,4,FALSE))</f>
        <v>36</v>
      </c>
      <c r="V83" s="4">
        <f>(VLOOKUP('14.05'!AD83,'14.05'!$AM$4:$AP$55,4,FALSE))</f>
        <v>36</v>
      </c>
      <c r="W83" s="4">
        <f>(VLOOKUP('14.05'!AE83,'14.05'!$AM$4:$AP$55,4,FALSE))</f>
        <v>0</v>
      </c>
      <c r="X83" s="4">
        <f>(VLOOKUP('14.05'!AF83,'14.05'!$AM$4:$AP$55,4,FALSE))</f>
        <v>0</v>
      </c>
    </row>
    <row r="84" spans="1:24">
      <c r="A84" s="4">
        <f>(VLOOKUP('14.05'!I84,'14.05'!$AM$4:$AP$55,4,FALSE))</f>
        <v>0</v>
      </c>
      <c r="B84" s="4">
        <f>(VLOOKUP('14.05'!J84,'14.05'!$AM$4:$AP$55,4,FALSE))</f>
        <v>0</v>
      </c>
      <c r="C84" s="4">
        <f>(VLOOKUP('14.05'!K84,'14.05'!$AM$4:$AP$55,4,FALSE))</f>
        <v>0</v>
      </c>
      <c r="D84" s="4">
        <f>(VLOOKUP('14.05'!L84,'14.05'!$AM$4:$AP$55,4,FALSE))</f>
        <v>0</v>
      </c>
      <c r="E84" s="4">
        <f>(VLOOKUP('14.05'!M84,'14.05'!$AM$4:$AP$55,4,FALSE))</f>
        <v>0</v>
      </c>
      <c r="F84" s="4">
        <f>(VLOOKUP('14.05'!N84,'14.05'!$AM$4:$AP$55,4,FALSE))</f>
        <v>0</v>
      </c>
      <c r="G84" s="4">
        <f>(VLOOKUP('14.05'!O84,'14.05'!$AM$4:$AP$55,4,FALSE))</f>
        <v>0</v>
      </c>
      <c r="H84" s="4">
        <f>(VLOOKUP('14.05'!P84,'14.05'!$AM$4:$AP$55,4,FALSE))</f>
        <v>0</v>
      </c>
      <c r="I84" s="4">
        <f>(VLOOKUP('14.05'!Q84,'14.05'!$AM$4:$AP$55,4,FALSE))</f>
        <v>36</v>
      </c>
      <c r="J84" s="4">
        <f>(VLOOKUP('14.05'!R84,'14.05'!$AM$4:$AP$55,4,FALSE))</f>
        <v>36</v>
      </c>
      <c r="K84" s="4">
        <f>(VLOOKUP('14.05'!S84,'14.05'!$AM$4:$AP$55,4,FALSE))</f>
        <v>36</v>
      </c>
      <c r="L84" s="4">
        <f>(VLOOKUP('14.05'!T84,'14.05'!$AM$4:$AP$55,4,FALSE))</f>
        <v>36</v>
      </c>
      <c r="M84" s="4">
        <f>(VLOOKUP('14.05'!U84,'14.05'!$AM$4:$AP$55,4,FALSE))</f>
        <v>36</v>
      </c>
      <c r="N84" s="4">
        <f>(VLOOKUP('14.05'!V84,'14.05'!$AM$4:$AP$55,4,FALSE))</f>
        <v>38</v>
      </c>
      <c r="O84" s="4">
        <f>(VLOOKUP('14.05'!W84,'14.05'!$AM$4:$AP$55,4,FALSE))</f>
        <v>0</v>
      </c>
      <c r="P84" s="4">
        <f>(VLOOKUP('14.05'!X84,'14.05'!$AM$4:$AP$55,4,FALSE))</f>
        <v>0</v>
      </c>
      <c r="Q84" s="4">
        <f>(VLOOKUP('14.05'!Y84,'14.05'!$AM$4:$AP$55,4,FALSE))</f>
        <v>36</v>
      </c>
      <c r="R84" s="4">
        <f>(VLOOKUP('14.05'!Z84,'14.05'!$AM$4:$AP$55,4,FALSE))</f>
        <v>36</v>
      </c>
      <c r="S84" s="4">
        <f>(VLOOKUP('14.05'!AA84,'14.05'!$AM$4:$AP$55,4,FALSE))</f>
        <v>36</v>
      </c>
      <c r="T84" s="4">
        <f>(VLOOKUP('14.05'!AB84,'14.05'!$AM$4:$AP$55,4,FALSE))</f>
        <v>36</v>
      </c>
      <c r="U84" s="4">
        <f>(VLOOKUP('14.05'!AC84,'14.05'!$AM$4:$AP$55,4,FALSE))</f>
        <v>36</v>
      </c>
      <c r="V84" s="4">
        <f>(VLOOKUP('14.05'!AD84,'14.05'!$AM$4:$AP$55,4,FALSE))</f>
        <v>36</v>
      </c>
      <c r="W84" s="4">
        <f>(VLOOKUP('14.05'!AE84,'14.05'!$AM$4:$AP$55,4,FALSE))</f>
        <v>0</v>
      </c>
      <c r="X84" s="4">
        <f>(VLOOKUP('14.05'!AF84,'14.05'!$AM$4:$AP$55,4,FALSE))</f>
        <v>0</v>
      </c>
    </row>
    <row r="85" spans="1:24">
      <c r="A85" s="4">
        <f>(VLOOKUP('14.05'!I85,'14.05'!$AM$4:$AP$55,4,FALSE))</f>
        <v>0</v>
      </c>
      <c r="B85" s="4">
        <f>(VLOOKUP('14.05'!J85,'14.05'!$AM$4:$AP$55,4,FALSE))</f>
        <v>0</v>
      </c>
      <c r="C85" s="4">
        <f>(VLOOKUP('14.05'!K85,'14.05'!$AM$4:$AP$55,4,FALSE))</f>
        <v>0</v>
      </c>
      <c r="D85" s="4">
        <f>(VLOOKUP('14.05'!L85,'14.05'!$AM$4:$AP$55,4,FALSE))</f>
        <v>0</v>
      </c>
      <c r="E85" s="4">
        <f>(VLOOKUP('14.05'!M85,'14.05'!$AM$4:$AP$55,4,FALSE))</f>
        <v>0</v>
      </c>
      <c r="F85" s="4">
        <f>(VLOOKUP('14.05'!N85,'14.05'!$AM$4:$AP$55,4,FALSE))</f>
        <v>0</v>
      </c>
      <c r="G85" s="4">
        <f>(VLOOKUP('14.05'!O85,'14.05'!$AM$4:$AP$55,4,FALSE))</f>
        <v>0</v>
      </c>
      <c r="H85" s="4">
        <f>(VLOOKUP('14.05'!P85,'14.05'!$AM$4:$AP$55,4,FALSE))</f>
        <v>0</v>
      </c>
      <c r="I85" s="4">
        <f>(VLOOKUP('14.05'!Q85,'14.05'!$AM$4:$AP$55,4,FALSE))</f>
        <v>36</v>
      </c>
      <c r="J85" s="4">
        <f>(VLOOKUP('14.05'!R85,'14.05'!$AM$4:$AP$55,4,FALSE))</f>
        <v>36</v>
      </c>
      <c r="K85" s="4">
        <f>(VLOOKUP('14.05'!S85,'14.05'!$AM$4:$AP$55,4,FALSE))</f>
        <v>36</v>
      </c>
      <c r="L85" s="4">
        <f>(VLOOKUP('14.05'!T85,'14.05'!$AM$4:$AP$55,4,FALSE))</f>
        <v>36</v>
      </c>
      <c r="M85" s="4">
        <f>(VLOOKUP('14.05'!U85,'14.05'!$AM$4:$AP$55,4,FALSE))</f>
        <v>36</v>
      </c>
      <c r="N85" s="4">
        <f>(VLOOKUP('14.05'!V85,'14.05'!$AM$4:$AP$55,4,FALSE))</f>
        <v>36</v>
      </c>
      <c r="O85" s="4">
        <f>(VLOOKUP('14.05'!W85,'14.05'!$AM$4:$AP$55,4,FALSE))</f>
        <v>0</v>
      </c>
      <c r="P85" s="4">
        <f>(VLOOKUP('14.05'!X85,'14.05'!$AM$4:$AP$55,4,FALSE))</f>
        <v>0</v>
      </c>
      <c r="Q85" s="4">
        <f>(VLOOKUP('14.05'!Y85,'14.05'!$AM$4:$AP$55,4,FALSE))</f>
        <v>36</v>
      </c>
      <c r="R85" s="4">
        <f>(VLOOKUP('14.05'!Z85,'14.05'!$AM$4:$AP$55,4,FALSE))</f>
        <v>36</v>
      </c>
      <c r="S85" s="4">
        <f>(VLOOKUP('14.05'!AA85,'14.05'!$AM$4:$AP$55,4,FALSE))</f>
        <v>36</v>
      </c>
      <c r="T85" s="4">
        <f>(VLOOKUP('14.05'!AB85,'14.05'!$AM$4:$AP$55,4,FALSE))</f>
        <v>36</v>
      </c>
      <c r="U85" s="4">
        <f>(VLOOKUP('14.05'!AC85,'14.05'!$AM$4:$AP$55,4,FALSE))</f>
        <v>36</v>
      </c>
      <c r="V85" s="4">
        <f>(VLOOKUP('14.05'!AD85,'14.05'!$AM$4:$AP$55,4,FALSE))</f>
        <v>36</v>
      </c>
      <c r="W85" s="4">
        <f>(VLOOKUP('14.05'!AE85,'14.05'!$AM$4:$AP$55,4,FALSE))</f>
        <v>0</v>
      </c>
      <c r="X85" s="4">
        <f>(VLOOKUP('14.05'!AF85,'14.05'!$AM$4:$AP$55,4,FALSE))</f>
        <v>0</v>
      </c>
    </row>
    <row r="86" spans="1:24">
      <c r="A86" s="4">
        <f>(VLOOKUP('14.05'!I86,'14.05'!$AM$4:$AP$55,4,FALSE))</f>
        <v>0</v>
      </c>
      <c r="B86" s="4">
        <f>(VLOOKUP('14.05'!J86,'14.05'!$AM$4:$AP$55,4,FALSE))</f>
        <v>0</v>
      </c>
      <c r="C86" s="4">
        <f>(VLOOKUP('14.05'!K86,'14.05'!$AM$4:$AP$55,4,FALSE))</f>
        <v>0</v>
      </c>
      <c r="D86" s="4">
        <f>(VLOOKUP('14.05'!L86,'14.05'!$AM$4:$AP$55,4,FALSE))</f>
        <v>0</v>
      </c>
      <c r="E86" s="4">
        <f>(VLOOKUP('14.05'!M86,'14.05'!$AM$4:$AP$55,4,FALSE))</f>
        <v>0</v>
      </c>
      <c r="F86" s="4">
        <f>(VLOOKUP('14.05'!N86,'14.05'!$AM$4:$AP$55,4,FALSE))</f>
        <v>0</v>
      </c>
      <c r="G86" s="4">
        <f>(VLOOKUP('14.05'!O86,'14.05'!$AM$4:$AP$55,4,FALSE))</f>
        <v>0</v>
      </c>
      <c r="H86" s="4">
        <f>(VLOOKUP('14.05'!P86,'14.05'!$AM$4:$AP$55,4,FALSE))</f>
        <v>0</v>
      </c>
      <c r="I86" s="4">
        <f>(VLOOKUP('14.05'!Q86,'14.05'!$AM$4:$AP$55,4,FALSE))</f>
        <v>36</v>
      </c>
      <c r="J86" s="4">
        <f>(VLOOKUP('14.05'!R86,'14.05'!$AM$4:$AP$55,4,FALSE))</f>
        <v>36</v>
      </c>
      <c r="K86" s="4">
        <f>(VLOOKUP('14.05'!S86,'14.05'!$AM$4:$AP$55,4,FALSE))</f>
        <v>36</v>
      </c>
      <c r="L86" s="4">
        <f>(VLOOKUP('14.05'!T86,'14.05'!$AM$4:$AP$55,4,FALSE))</f>
        <v>36</v>
      </c>
      <c r="M86" s="4">
        <f>(VLOOKUP('14.05'!U86,'14.05'!$AM$4:$AP$55,4,FALSE))</f>
        <v>36</v>
      </c>
      <c r="N86" s="4">
        <f>(VLOOKUP('14.05'!V86,'14.05'!$AM$4:$AP$55,4,FALSE))</f>
        <v>36</v>
      </c>
      <c r="O86" s="4">
        <f>(VLOOKUP('14.05'!W86,'14.05'!$AM$4:$AP$55,4,FALSE))</f>
        <v>0</v>
      </c>
      <c r="P86" s="4">
        <f>(VLOOKUP('14.05'!X86,'14.05'!$AM$4:$AP$55,4,FALSE))</f>
        <v>0</v>
      </c>
      <c r="Q86" s="4">
        <f>(VLOOKUP('14.05'!Y86,'14.05'!$AM$4:$AP$55,4,FALSE))</f>
        <v>36</v>
      </c>
      <c r="R86" s="4">
        <f>(VLOOKUP('14.05'!Z86,'14.05'!$AM$4:$AP$55,4,FALSE))</f>
        <v>36</v>
      </c>
      <c r="S86" s="4">
        <f>(VLOOKUP('14.05'!AA86,'14.05'!$AM$4:$AP$55,4,FALSE))</f>
        <v>36</v>
      </c>
      <c r="T86" s="4">
        <f>(VLOOKUP('14.05'!AB86,'14.05'!$AM$4:$AP$55,4,FALSE))</f>
        <v>36</v>
      </c>
      <c r="U86" s="4">
        <f>(VLOOKUP('14.05'!AC86,'14.05'!$AM$4:$AP$55,4,FALSE))</f>
        <v>34</v>
      </c>
      <c r="V86" s="4">
        <f>(VLOOKUP('14.05'!AD86,'14.05'!$AM$4:$AP$55,4,FALSE))</f>
        <v>34</v>
      </c>
      <c r="W86" s="4">
        <f>(VLOOKUP('14.05'!AE86,'14.05'!$AM$4:$AP$55,4,FALSE))</f>
        <v>0</v>
      </c>
      <c r="X86" s="4">
        <f>(VLOOKUP('14.05'!AF86,'14.05'!$AM$4:$AP$55,4,FALSE))</f>
        <v>0</v>
      </c>
    </row>
    <row r="87" spans="1:24">
      <c r="A87" s="4">
        <f>(VLOOKUP('14.05'!I87,'14.05'!$AM$4:$AP$55,4,FALSE))</f>
        <v>0</v>
      </c>
      <c r="B87" s="4">
        <f>(VLOOKUP('14.05'!J87,'14.05'!$AM$4:$AP$55,4,FALSE))</f>
        <v>0</v>
      </c>
      <c r="C87" s="4">
        <f>(VLOOKUP('14.05'!K87,'14.05'!$AM$4:$AP$55,4,FALSE))</f>
        <v>0</v>
      </c>
      <c r="D87" s="4">
        <f>(VLOOKUP('14.05'!L87,'14.05'!$AM$4:$AP$55,4,FALSE))</f>
        <v>0</v>
      </c>
      <c r="E87" s="4">
        <f>(VLOOKUP('14.05'!M87,'14.05'!$AM$4:$AP$55,4,FALSE))</f>
        <v>0</v>
      </c>
      <c r="F87" s="4">
        <f>(VLOOKUP('14.05'!N87,'14.05'!$AM$4:$AP$55,4,FALSE))</f>
        <v>0</v>
      </c>
      <c r="G87" s="4">
        <f>(VLOOKUP('14.05'!O87,'14.05'!$AM$4:$AP$55,4,FALSE))</f>
        <v>0</v>
      </c>
      <c r="H87" s="4">
        <f>(VLOOKUP('14.05'!P87,'14.05'!$AM$4:$AP$55,4,FALSE))</f>
        <v>0</v>
      </c>
      <c r="I87" s="4">
        <f>(VLOOKUP('14.05'!Q87,'14.05'!$AM$4:$AP$55,4,FALSE))</f>
        <v>36</v>
      </c>
      <c r="J87" s="4">
        <f>(VLOOKUP('14.05'!R87,'14.05'!$AM$4:$AP$55,4,FALSE))</f>
        <v>0</v>
      </c>
      <c r="K87" s="4">
        <f>(VLOOKUP('14.05'!S87,'14.05'!$AM$4:$AP$55,4,FALSE))</f>
        <v>36</v>
      </c>
      <c r="L87" s="4">
        <f>(VLOOKUP('14.05'!T87,'14.05'!$AM$4:$AP$55,4,FALSE))</f>
        <v>36</v>
      </c>
      <c r="M87" s="4">
        <f>(VLOOKUP('14.05'!U87,'14.05'!$AM$4:$AP$55,4,FALSE))</f>
        <v>36</v>
      </c>
      <c r="N87" s="4">
        <f>(VLOOKUP('14.05'!V87,'14.05'!$AM$4:$AP$55,4,FALSE))</f>
        <v>36</v>
      </c>
      <c r="O87" s="4">
        <f>(VLOOKUP('14.05'!W87,'14.05'!$AM$4:$AP$55,4,FALSE))</f>
        <v>0</v>
      </c>
      <c r="P87" s="4">
        <f>(VLOOKUP('14.05'!X87,'14.05'!$AM$4:$AP$55,4,FALSE))</f>
        <v>0</v>
      </c>
      <c r="Q87" s="4">
        <f>(VLOOKUP('14.05'!Y87,'14.05'!$AM$4:$AP$55,4,FALSE))</f>
        <v>34</v>
      </c>
      <c r="R87" s="4">
        <f>(VLOOKUP('14.05'!Z87,'14.05'!$AM$4:$AP$55,4,FALSE))</f>
        <v>34</v>
      </c>
      <c r="S87" s="4">
        <f>(VLOOKUP('14.05'!AA87,'14.05'!$AM$4:$AP$55,4,FALSE))</f>
        <v>34</v>
      </c>
      <c r="T87" s="4">
        <f>(VLOOKUP('14.05'!AB87,'14.05'!$AM$4:$AP$55,4,FALSE))</f>
        <v>34</v>
      </c>
      <c r="U87" s="4">
        <f>(VLOOKUP('14.05'!AC87,'14.05'!$AM$4:$AP$55,4,FALSE))</f>
        <v>34</v>
      </c>
      <c r="V87" s="4">
        <f>(VLOOKUP('14.05'!AD87,'14.05'!$AM$4:$AP$55,4,FALSE))</f>
        <v>34</v>
      </c>
      <c r="W87" s="4">
        <f>(VLOOKUP('14.05'!AE87,'14.05'!$AM$4:$AP$55,4,FALSE))</f>
        <v>0</v>
      </c>
      <c r="X87" s="4">
        <f>(VLOOKUP('14.05'!AF87,'14.05'!$AM$4:$AP$55,4,FALSE))</f>
        <v>0</v>
      </c>
    </row>
    <row r="88" spans="1:24">
      <c r="A88" s="4">
        <f>(VLOOKUP('14.05'!I88,'14.05'!$AM$4:$AP$55,4,FALSE))</f>
        <v>0</v>
      </c>
      <c r="B88" s="4">
        <f>(VLOOKUP('14.05'!J88,'14.05'!$AM$4:$AP$55,4,FALSE))</f>
        <v>0</v>
      </c>
      <c r="C88" s="4">
        <f>(VLOOKUP('14.05'!K88,'14.05'!$AM$4:$AP$55,4,FALSE))</f>
        <v>0</v>
      </c>
      <c r="D88" s="4">
        <f>(VLOOKUP('14.05'!L88,'14.05'!$AM$4:$AP$55,4,FALSE))</f>
        <v>0</v>
      </c>
      <c r="E88" s="4">
        <f>(VLOOKUP('14.05'!M88,'14.05'!$AM$4:$AP$55,4,FALSE))</f>
        <v>0</v>
      </c>
      <c r="F88" s="4">
        <f>(VLOOKUP('14.05'!N88,'14.05'!$AM$4:$AP$55,4,FALSE))</f>
        <v>0</v>
      </c>
      <c r="G88" s="4">
        <f>(VLOOKUP('14.05'!O88,'14.05'!$AM$4:$AP$55,4,FALSE))</f>
        <v>0</v>
      </c>
      <c r="H88" s="4">
        <f>(VLOOKUP('14.05'!P88,'14.05'!$AM$4:$AP$55,4,FALSE))</f>
        <v>0</v>
      </c>
      <c r="I88" s="4">
        <f>(VLOOKUP('14.05'!Q88,'14.05'!$AM$4:$AP$55,4,FALSE))</f>
        <v>34</v>
      </c>
      <c r="J88" s="4">
        <f>(VLOOKUP('14.05'!R88,'14.05'!$AM$4:$AP$55,4,FALSE))</f>
        <v>34</v>
      </c>
      <c r="K88" s="4">
        <f>(VLOOKUP('14.05'!S88,'14.05'!$AM$4:$AP$55,4,FALSE))</f>
        <v>34</v>
      </c>
      <c r="L88" s="4">
        <f>(VLOOKUP('14.05'!T88,'14.05'!$AM$4:$AP$55,4,FALSE))</f>
        <v>10</v>
      </c>
      <c r="M88" s="4">
        <f>(VLOOKUP('14.05'!U88,'14.05'!$AM$4:$AP$55,4,FALSE))</f>
        <v>34</v>
      </c>
      <c r="N88" s="4">
        <f>(VLOOKUP('14.05'!V88,'14.05'!$AM$4:$AP$55,4,FALSE))</f>
        <v>34</v>
      </c>
      <c r="O88" s="4">
        <f>(VLOOKUP('14.05'!W88,'14.05'!$AM$4:$AP$55,4,FALSE))</f>
        <v>0</v>
      </c>
      <c r="P88" s="4">
        <f>(VLOOKUP('14.05'!X88,'14.05'!$AM$4:$AP$55,4,FALSE))</f>
        <v>0</v>
      </c>
      <c r="Q88" s="4">
        <f>(VLOOKUP('14.05'!Y88,'14.05'!$AM$4:$AP$55,4,FALSE))</f>
        <v>34</v>
      </c>
      <c r="R88" s="4">
        <f>(VLOOKUP('14.05'!Z88,'14.05'!$AM$4:$AP$55,4,FALSE))</f>
        <v>36</v>
      </c>
      <c r="S88" s="4">
        <f>(VLOOKUP('14.05'!AA88,'14.05'!$AM$4:$AP$55,4,FALSE))</f>
        <v>36</v>
      </c>
      <c r="T88" s="4">
        <f>(VLOOKUP('14.05'!AB88,'14.05'!$AM$4:$AP$55,4,FALSE))</f>
        <v>36</v>
      </c>
      <c r="U88" s="4">
        <f>(VLOOKUP('14.05'!AC88,'14.05'!$AM$4:$AP$55,4,FALSE))</f>
        <v>36</v>
      </c>
      <c r="V88" s="4">
        <f>(VLOOKUP('14.05'!AD88,'14.05'!$AM$4:$AP$55,4,FALSE))</f>
        <v>10</v>
      </c>
      <c r="W88" s="4">
        <f>(VLOOKUP('14.05'!AE88,'14.05'!$AM$4:$AP$55,4,FALSE))</f>
        <v>0</v>
      </c>
      <c r="X88" s="4">
        <f>(VLOOKUP('14.05'!AF88,'14.05'!$AM$4:$AP$55,4,FALSE))</f>
        <v>0</v>
      </c>
    </row>
    <row r="89" spans="1:24">
      <c r="A89" s="4">
        <f>(VLOOKUP('14.05'!I89,'14.05'!$AM$4:$AP$55,4,FALSE))</f>
        <v>0</v>
      </c>
      <c r="B89" s="4">
        <f>(VLOOKUP('14.05'!J89,'14.05'!$AM$4:$AP$55,4,FALSE))</f>
        <v>0</v>
      </c>
      <c r="C89" s="4">
        <f>(VLOOKUP('14.05'!K89,'14.05'!$AM$4:$AP$55,4,FALSE))</f>
        <v>0</v>
      </c>
      <c r="D89" s="4">
        <f>(VLOOKUP('14.05'!L89,'14.05'!$AM$4:$AP$55,4,FALSE))</f>
        <v>0</v>
      </c>
      <c r="E89" s="4">
        <f>(VLOOKUP('14.05'!M89,'14.05'!$AM$4:$AP$55,4,FALSE))</f>
        <v>0</v>
      </c>
      <c r="F89" s="4">
        <f>(VLOOKUP('14.05'!N89,'14.05'!$AM$4:$AP$55,4,FALSE))</f>
        <v>0</v>
      </c>
      <c r="G89" s="4">
        <f>(VLOOKUP('14.05'!O89,'14.05'!$AM$4:$AP$55,4,FALSE))</f>
        <v>0</v>
      </c>
      <c r="H89" s="4">
        <f>(VLOOKUP('14.05'!P89,'14.05'!$AM$4:$AP$55,4,FALSE))</f>
        <v>0</v>
      </c>
      <c r="I89" s="4">
        <f>(VLOOKUP('14.05'!Q89,'14.05'!$AM$4:$AP$55,4,FALSE))</f>
        <v>34</v>
      </c>
      <c r="J89" s="4">
        <f>(VLOOKUP('14.05'!R89,'14.05'!$AM$4:$AP$55,4,FALSE))</f>
        <v>34</v>
      </c>
      <c r="K89" s="4">
        <f>(VLOOKUP('14.05'!S89,'14.05'!$AM$4:$AP$55,4,FALSE))</f>
        <v>34</v>
      </c>
      <c r="L89" s="4">
        <f>(VLOOKUP('14.05'!T89,'14.05'!$AM$4:$AP$55,4,FALSE))</f>
        <v>34</v>
      </c>
      <c r="M89" s="4">
        <f>(VLOOKUP('14.05'!U89,'14.05'!$AM$4:$AP$55,4,FALSE))</f>
        <v>34</v>
      </c>
      <c r="N89" s="4">
        <f>(VLOOKUP('14.05'!V89,'14.05'!$AM$4:$AP$55,4,FALSE))</f>
        <v>34</v>
      </c>
      <c r="O89" s="4">
        <f>(VLOOKUP('14.05'!W89,'14.05'!$AM$4:$AP$55,4,FALSE))</f>
        <v>0</v>
      </c>
      <c r="P89" s="4">
        <f>(VLOOKUP('14.05'!X89,'14.05'!$AM$4:$AP$55,4,FALSE))</f>
        <v>0</v>
      </c>
      <c r="Q89" s="4">
        <f>(VLOOKUP('14.05'!Y89,'14.05'!$AM$4:$AP$55,4,FALSE))</f>
        <v>36</v>
      </c>
      <c r="R89" s="4">
        <f>(VLOOKUP('14.05'!Z89,'14.05'!$AM$4:$AP$55,4,FALSE))</f>
        <v>36</v>
      </c>
      <c r="S89" s="4">
        <f>(VLOOKUP('14.05'!AA89,'14.05'!$AM$4:$AP$55,4,FALSE))</f>
        <v>36</v>
      </c>
      <c r="T89" s="4">
        <f>(VLOOKUP('14.05'!AB89,'14.05'!$AM$4:$AP$55,4,FALSE))</f>
        <v>36</v>
      </c>
      <c r="U89" s="4">
        <f>(VLOOKUP('14.05'!AC89,'14.05'!$AM$4:$AP$55,4,FALSE))</f>
        <v>0</v>
      </c>
      <c r="V89" s="4">
        <f>(VLOOKUP('14.05'!AD89,'14.05'!$AM$4:$AP$55,4,FALSE))</f>
        <v>0</v>
      </c>
      <c r="W89" s="4">
        <f>(VLOOKUP('14.05'!AE89,'14.05'!$AM$4:$AP$55,4,FALSE))</f>
        <v>0</v>
      </c>
      <c r="X89" s="4">
        <f>(VLOOKUP('14.05'!AF89,'14.05'!$AM$4:$AP$55,4,FALSE))</f>
        <v>0</v>
      </c>
    </row>
    <row r="90" spans="1:24">
      <c r="A90" s="4">
        <f>(VLOOKUP('14.05'!I90,'14.05'!$AM$4:$AP$55,4,FALSE))</f>
        <v>34</v>
      </c>
      <c r="B90" s="4">
        <f>(VLOOKUP('14.05'!J90,'14.05'!$AM$4:$AP$55,4,FALSE))</f>
        <v>34</v>
      </c>
      <c r="C90" s="4">
        <f>(VLOOKUP('14.05'!K90,'14.05'!$AM$4:$AP$55,4,FALSE))</f>
        <v>34</v>
      </c>
      <c r="D90" s="4">
        <f>(VLOOKUP('14.05'!L90,'14.05'!$AM$4:$AP$55,4,FALSE))</f>
        <v>34</v>
      </c>
      <c r="E90" s="4">
        <f>(VLOOKUP('14.05'!M90,'14.05'!$AM$4:$AP$55,4,FALSE))</f>
        <v>34</v>
      </c>
      <c r="F90" s="4">
        <f>(VLOOKUP('14.05'!N90,'14.05'!$AM$4:$AP$55,4,FALSE))</f>
        <v>34</v>
      </c>
      <c r="G90" s="4">
        <f>(VLOOKUP('14.05'!O90,'14.05'!$AM$4:$AP$55,4,FALSE))</f>
        <v>0</v>
      </c>
      <c r="H90" s="4">
        <f>(VLOOKUP('14.05'!P90,'14.05'!$AM$4:$AP$55,4,FALSE))</f>
        <v>0</v>
      </c>
      <c r="I90" s="4">
        <f>(VLOOKUP('14.05'!Q90,'14.05'!$AM$4:$AP$55,4,FALSE))</f>
        <v>34</v>
      </c>
      <c r="J90" s="4">
        <f>(VLOOKUP('14.05'!R90,'14.05'!$AM$4:$AP$55,4,FALSE))</f>
        <v>34</v>
      </c>
      <c r="K90" s="4">
        <f>(VLOOKUP('14.05'!S90,'14.05'!$AM$4:$AP$55,4,FALSE))</f>
        <v>34</v>
      </c>
      <c r="L90" s="4">
        <f>(VLOOKUP('14.05'!T90,'14.05'!$AM$4:$AP$55,4,FALSE))</f>
        <v>34</v>
      </c>
      <c r="M90" s="4">
        <f>(VLOOKUP('14.05'!U90,'14.05'!$AM$4:$AP$55,4,FALSE))</f>
        <v>34</v>
      </c>
      <c r="N90" s="4">
        <f>(VLOOKUP('14.05'!V90,'14.05'!$AM$4:$AP$55,4,FALSE))</f>
        <v>0</v>
      </c>
      <c r="O90" s="4">
        <f>(VLOOKUP('14.05'!W90,'14.05'!$AM$4:$AP$55,4,FALSE))</f>
        <v>0</v>
      </c>
      <c r="P90" s="4">
        <f>(VLOOKUP('14.05'!X90,'14.05'!$AM$4:$AP$55,4,FALSE))</f>
        <v>0</v>
      </c>
      <c r="Q90" s="4">
        <f>(VLOOKUP('14.05'!Y90,'14.05'!$AM$4:$AP$55,4,FALSE))</f>
        <v>34</v>
      </c>
      <c r="R90" s="4">
        <f>(VLOOKUP('14.05'!Z90,'14.05'!$AM$4:$AP$55,4,FALSE))</f>
        <v>10</v>
      </c>
      <c r="S90" s="4">
        <f>(VLOOKUP('14.05'!AA90,'14.05'!$AM$4:$AP$55,4,FALSE))</f>
        <v>34</v>
      </c>
      <c r="T90" s="4">
        <f>(VLOOKUP('14.05'!AB90,'14.05'!$AM$4:$AP$55,4,FALSE))</f>
        <v>34</v>
      </c>
      <c r="U90" s="4">
        <f>(VLOOKUP('14.05'!AC90,'14.05'!$AM$4:$AP$55,4,FALSE))</f>
        <v>34</v>
      </c>
      <c r="V90" s="4">
        <f>(VLOOKUP('14.05'!AD90,'14.05'!$AM$4:$AP$55,4,FALSE))</f>
        <v>34</v>
      </c>
      <c r="W90" s="4">
        <f>(VLOOKUP('14.05'!AE90,'14.05'!$AM$4:$AP$55,4,FALSE))</f>
        <v>0</v>
      </c>
      <c r="X90" s="4">
        <f>(VLOOKUP('14.05'!AF90,'14.05'!$AM$4:$AP$55,4,FALSE))</f>
        <v>0</v>
      </c>
    </row>
    <row r="91" spans="1:24">
      <c r="A91" s="4">
        <f>(VLOOKUP('14.05'!I91,'14.05'!$AM$4:$AP$55,4,FALSE))</f>
        <v>34</v>
      </c>
      <c r="B91" s="4">
        <f>(VLOOKUP('14.05'!J91,'14.05'!$AM$4:$AP$55,4,FALSE))</f>
        <v>34</v>
      </c>
      <c r="C91" s="4">
        <f>(VLOOKUP('14.05'!K91,'14.05'!$AM$4:$AP$55,4,FALSE))</f>
        <v>34</v>
      </c>
      <c r="D91" s="4">
        <f>(VLOOKUP('14.05'!L91,'14.05'!$AM$4:$AP$55,4,FALSE))</f>
        <v>34</v>
      </c>
      <c r="E91" s="4">
        <f>(VLOOKUP('14.05'!M91,'14.05'!$AM$4:$AP$55,4,FALSE))</f>
        <v>34</v>
      </c>
      <c r="F91" s="4">
        <f>(VLOOKUP('14.05'!N91,'14.05'!$AM$4:$AP$55,4,FALSE))</f>
        <v>34</v>
      </c>
      <c r="G91" s="4">
        <f>(VLOOKUP('14.05'!O91,'14.05'!$AM$4:$AP$55,4,FALSE))</f>
        <v>0</v>
      </c>
      <c r="H91" s="4">
        <f>(VLOOKUP('14.05'!P91,'14.05'!$AM$4:$AP$55,4,FALSE))</f>
        <v>0</v>
      </c>
      <c r="I91" s="4">
        <f>(VLOOKUP('14.05'!Q91,'14.05'!$AM$4:$AP$55,4,FALSE))</f>
        <v>0</v>
      </c>
      <c r="J91" s="4">
        <f>(VLOOKUP('14.05'!R91,'14.05'!$AM$4:$AP$55,4,FALSE))</f>
        <v>0</v>
      </c>
      <c r="K91" s="4">
        <f>(VLOOKUP('14.05'!S91,'14.05'!$AM$4:$AP$55,4,FALSE))</f>
        <v>34</v>
      </c>
      <c r="L91" s="4">
        <f>(VLOOKUP('14.05'!T91,'14.05'!$AM$4:$AP$55,4,FALSE))</f>
        <v>34</v>
      </c>
      <c r="M91" s="4">
        <f>(VLOOKUP('14.05'!U91,'14.05'!$AM$4:$AP$55,4,FALSE))</f>
        <v>34</v>
      </c>
      <c r="N91" s="4">
        <f>(VLOOKUP('14.05'!V91,'14.05'!$AM$4:$AP$55,4,FALSE))</f>
        <v>10</v>
      </c>
      <c r="O91" s="4">
        <f>(VLOOKUP('14.05'!W91,'14.05'!$AM$4:$AP$55,4,FALSE))</f>
        <v>0</v>
      </c>
      <c r="P91" s="4">
        <f>(VLOOKUP('14.05'!X91,'14.05'!$AM$4:$AP$55,4,FALSE))</f>
        <v>0</v>
      </c>
      <c r="Q91" s="4">
        <f>(VLOOKUP('14.05'!Y91,'14.05'!$AM$4:$AP$55,4,FALSE))</f>
        <v>34</v>
      </c>
      <c r="R91" s="4">
        <f>(VLOOKUP('14.05'!Z91,'14.05'!$AM$4:$AP$55,4,FALSE))</f>
        <v>34</v>
      </c>
      <c r="S91" s="4">
        <f>(VLOOKUP('14.05'!AA91,'14.05'!$AM$4:$AP$55,4,FALSE))</f>
        <v>34</v>
      </c>
      <c r="T91" s="4">
        <f>(VLOOKUP('14.05'!AB91,'14.05'!$AM$4:$AP$55,4,FALSE))</f>
        <v>0</v>
      </c>
      <c r="U91" s="4">
        <f>(VLOOKUP('14.05'!AC91,'14.05'!$AM$4:$AP$55,4,FALSE))</f>
        <v>0</v>
      </c>
      <c r="V91" s="4">
        <f>(VLOOKUP('14.05'!AD91,'14.05'!$AM$4:$AP$55,4,FALSE))</f>
        <v>0</v>
      </c>
      <c r="W91" s="4">
        <f>(VLOOKUP('14.05'!AE91,'14.05'!$AM$4:$AP$55,4,FALSE))</f>
        <v>0</v>
      </c>
      <c r="X91" s="4">
        <f>(VLOOKUP('14.05'!AF91,'14.05'!$AM$4:$AP$55,4,FALSE))</f>
        <v>0</v>
      </c>
    </row>
    <row r="92" spans="1:24">
      <c r="A92" s="4">
        <f>(VLOOKUP('14.05'!I92,'14.05'!$AM$4:$AP$55,4,FALSE))</f>
        <v>34</v>
      </c>
      <c r="B92" s="4">
        <f>(VLOOKUP('14.05'!J92,'14.05'!$AM$4:$AP$55,4,FALSE))</f>
        <v>34</v>
      </c>
      <c r="C92" s="4">
        <f>(VLOOKUP('14.05'!K92,'14.05'!$AM$4:$AP$55,4,FALSE))</f>
        <v>10</v>
      </c>
      <c r="D92" s="4">
        <f>(VLOOKUP('14.05'!L92,'14.05'!$AM$4:$AP$55,4,FALSE))</f>
        <v>34</v>
      </c>
      <c r="E92" s="4">
        <f>(VLOOKUP('14.05'!M92,'14.05'!$AM$4:$AP$55,4,FALSE))</f>
        <v>34</v>
      </c>
      <c r="F92" s="4">
        <f>(VLOOKUP('14.05'!N92,'14.05'!$AM$4:$AP$55,4,FALSE))</f>
        <v>34</v>
      </c>
      <c r="G92" s="4">
        <f>(VLOOKUP('14.05'!O92,'14.05'!$AM$4:$AP$55,4,FALSE))</f>
        <v>29.110982162825422</v>
      </c>
      <c r="H92" s="4">
        <f>(VLOOKUP('14.05'!P92,'14.05'!$AM$4:$AP$55,4,FALSE))</f>
        <v>39.110982162825422</v>
      </c>
      <c r="I92" s="4">
        <f>(VLOOKUP('14.05'!Q92,'14.05'!$AM$4:$AP$55,4,FALSE))</f>
        <v>39.110982162825422</v>
      </c>
      <c r="J92" s="4">
        <f>(VLOOKUP('14.05'!R92,'14.05'!$AM$4:$AP$55,4,FALSE))</f>
        <v>0</v>
      </c>
      <c r="K92" s="4">
        <f>(VLOOKUP('14.05'!S92,'14.05'!$AM$4:$AP$55,4,FALSE))</f>
        <v>0</v>
      </c>
      <c r="L92" s="4">
        <f>(VLOOKUP('14.05'!T92,'14.05'!$AM$4:$AP$55,4,FALSE))</f>
        <v>10</v>
      </c>
      <c r="M92" s="4">
        <f>(VLOOKUP('14.05'!U92,'14.05'!$AM$4:$AP$55,4,FALSE))</f>
        <v>0</v>
      </c>
      <c r="N92" s="4">
        <f>(VLOOKUP('14.05'!V92,'14.05'!$AM$4:$AP$55,4,FALSE))</f>
        <v>0</v>
      </c>
      <c r="O92" s="4">
        <f>(VLOOKUP('14.05'!W92,'14.05'!$AM$4:$AP$55,4,FALSE))</f>
        <v>0</v>
      </c>
      <c r="P92" s="4">
        <f>(VLOOKUP('14.05'!X92,'14.05'!$AM$4:$AP$55,4,FALSE))</f>
        <v>0</v>
      </c>
      <c r="Q92" s="4">
        <f>(VLOOKUP('14.05'!Y92,'14.05'!$AM$4:$AP$55,4,FALSE))</f>
        <v>34</v>
      </c>
      <c r="R92" s="4">
        <f>(VLOOKUP('14.05'!Z92,'14.05'!$AM$4:$AP$55,4,FALSE))</f>
        <v>34</v>
      </c>
      <c r="S92" s="4">
        <f>(VLOOKUP('14.05'!AA92,'14.05'!$AM$4:$AP$55,4,FALSE))</f>
        <v>34</v>
      </c>
      <c r="T92" s="4">
        <f>(VLOOKUP('14.05'!AB92,'14.05'!$AM$4:$AP$55,4,FALSE))</f>
        <v>39.110982162825422</v>
      </c>
      <c r="U92" s="4">
        <f>(VLOOKUP('14.05'!AC92,'14.05'!$AM$4:$AP$55,4,FALSE))</f>
        <v>10</v>
      </c>
      <c r="V92" s="4">
        <f>(VLOOKUP('14.05'!AD92,'14.05'!$AM$4:$AP$55,4,FALSE))</f>
        <v>0</v>
      </c>
      <c r="W92" s="4">
        <f>(VLOOKUP('14.05'!AE92,'14.05'!$AM$4:$AP$55,4,FALSE))</f>
        <v>0</v>
      </c>
      <c r="X92" s="4">
        <f>(VLOOKUP('14.05'!AF92,'14.05'!$AM$4:$AP$55,4,FALSE))</f>
        <v>0</v>
      </c>
    </row>
    <row r="93" spans="1:24">
      <c r="A93" s="4">
        <f>(VLOOKUP('14.05'!I93,'14.05'!$AM$4:$AP$55,4,FALSE))</f>
        <v>0</v>
      </c>
      <c r="B93" s="4">
        <f>(VLOOKUP('14.05'!J93,'14.05'!$AM$4:$AP$55,4,FALSE))</f>
        <v>0</v>
      </c>
      <c r="C93" s="4">
        <f>(VLOOKUP('14.05'!K93,'14.05'!$AM$4:$AP$55,4,FALSE))</f>
        <v>0</v>
      </c>
      <c r="D93" s="4">
        <f>(VLOOKUP('14.05'!L93,'14.05'!$AM$4:$AP$55,4,FALSE))</f>
        <v>0</v>
      </c>
      <c r="E93" s="4">
        <f>(VLOOKUP('14.05'!M93,'14.05'!$AM$4:$AP$55,4,FALSE))</f>
        <v>0</v>
      </c>
      <c r="F93" s="4">
        <f>(VLOOKUP('14.05'!N93,'14.05'!$AM$4:$AP$55,4,FALSE))</f>
        <v>0</v>
      </c>
      <c r="G93" s="4">
        <f>(VLOOKUP('14.05'!O93,'14.05'!$AM$4:$AP$55,4,FALSE))</f>
        <v>0</v>
      </c>
      <c r="H93" s="4">
        <f>(VLOOKUP('14.05'!P93,'14.05'!$AM$4:$AP$55,4,FALSE))</f>
        <v>0</v>
      </c>
      <c r="I93" s="4">
        <f>(VLOOKUP('14.05'!Q93,'14.05'!$AM$4:$AP$55,4,FALSE))</f>
        <v>39.110982162825422</v>
      </c>
      <c r="J93" s="4">
        <f>(VLOOKUP('14.05'!R93,'14.05'!$AM$4:$AP$55,4,FALSE))</f>
        <v>39.110982162825422</v>
      </c>
      <c r="K93" s="4">
        <f>(VLOOKUP('14.05'!S93,'14.05'!$AM$4:$AP$55,4,FALSE))</f>
        <v>39.110982162825422</v>
      </c>
      <c r="L93" s="4">
        <f>(VLOOKUP('14.05'!T93,'14.05'!$AM$4:$AP$55,4,FALSE))</f>
        <v>39.110982162825422</v>
      </c>
      <c r="M93" s="4">
        <f>(VLOOKUP('14.05'!U93,'14.05'!$AM$4:$AP$55,4,FALSE))</f>
        <v>10</v>
      </c>
      <c r="N93" s="4">
        <f>(VLOOKUP('14.05'!V93,'14.05'!$AM$4:$AP$55,4,FALSE))</f>
        <v>39.110982162825422</v>
      </c>
      <c r="O93" s="4">
        <f>(VLOOKUP('14.05'!W93,'14.05'!$AM$4:$AP$55,4,FALSE))</f>
        <v>44.222109392472248</v>
      </c>
      <c r="P93" s="4">
        <f>(VLOOKUP('14.05'!X93,'14.05'!$AM$4:$AP$55,4,FALSE))</f>
        <v>10</v>
      </c>
      <c r="Q93" s="4">
        <f>(VLOOKUP('14.05'!Y93,'14.05'!$AM$4:$AP$55,4,FALSE))</f>
        <v>39.110982162825422</v>
      </c>
      <c r="R93" s="4">
        <f>(VLOOKUP('14.05'!Z93,'14.05'!$AM$4:$AP$55,4,FALSE))</f>
        <v>39.110982162825422</v>
      </c>
      <c r="S93" s="4">
        <f>(VLOOKUP('14.05'!AA93,'14.05'!$AM$4:$AP$55,4,FALSE))</f>
        <v>39.110982162825422</v>
      </c>
      <c r="T93" s="4">
        <f>(VLOOKUP('14.05'!AB93,'14.05'!$AM$4:$AP$55,4,FALSE))</f>
        <v>10</v>
      </c>
      <c r="U93" s="4">
        <f>(VLOOKUP('14.05'!AC93,'14.05'!$AM$4:$AP$55,4,FALSE))</f>
        <v>39.110982162825422</v>
      </c>
      <c r="V93" s="4">
        <f>(VLOOKUP('14.05'!AD93,'14.05'!$AM$4:$AP$55,4,FALSE))</f>
        <v>44.222109392472248</v>
      </c>
      <c r="W93" s="4">
        <f>(VLOOKUP('14.05'!AE93,'14.05'!$AM$4:$AP$55,4,FALSE))</f>
        <v>44.222109392472248</v>
      </c>
      <c r="X93" s="4">
        <f>(VLOOKUP('14.05'!AF93,'14.05'!$AM$4:$AP$55,4,FALSE))</f>
        <v>10</v>
      </c>
    </row>
    <row r="94" spans="1:24">
      <c r="A94" s="4" t="e">
        <f>(VLOOKUP('14.05'!#REF!,'14.05'!$AM$4:$AP$55,4,FALSE))</f>
        <v>#REF!</v>
      </c>
      <c r="B94" s="4" t="e">
        <f>(VLOOKUP('14.05'!#REF!,'14.05'!$AM$4:$AP$55,4,FALSE))</f>
        <v>#REF!</v>
      </c>
      <c r="C94" s="4" t="e">
        <f>(VLOOKUP('14.05'!#REF!,'14.05'!$AM$4:$AP$55,4,FALSE))</f>
        <v>#REF!</v>
      </c>
      <c r="D94" s="4" t="e">
        <f>(VLOOKUP('14.05'!#REF!,'14.05'!$AM$4:$AP$55,4,FALSE))</f>
        <v>#REF!</v>
      </c>
      <c r="E94" s="4" t="e">
        <f>(VLOOKUP('14.05'!#REF!,'14.05'!$AM$4:$AP$55,4,FALSE))</f>
        <v>#REF!</v>
      </c>
      <c r="F94" s="4" t="e">
        <f>(VLOOKUP('14.05'!#REF!,'14.05'!$AM$4:$AP$55,4,FALSE))</f>
        <v>#REF!</v>
      </c>
      <c r="G94" s="4" t="e">
        <f>(VLOOKUP('14.05'!#REF!,'14.05'!$AM$4:$AP$55,4,FALSE))</f>
        <v>#REF!</v>
      </c>
      <c r="H94" s="4" t="e">
        <f>(VLOOKUP('14.05'!#REF!,'14.05'!$AM$4:$AP$55,4,FALSE))</f>
        <v>#REF!</v>
      </c>
      <c r="I94" s="4" t="e">
        <f>(VLOOKUP('14.05'!#REF!,'14.05'!$AM$4:$AP$55,4,FALSE))</f>
        <v>#REF!</v>
      </c>
      <c r="J94" s="4" t="e">
        <f>(VLOOKUP('14.05'!#REF!,'14.05'!$AM$4:$AP$55,4,FALSE))</f>
        <v>#REF!</v>
      </c>
      <c r="K94" s="4" t="e">
        <f>(VLOOKUP('14.05'!#REF!,'14.05'!$AM$4:$AP$55,4,FALSE))</f>
        <v>#REF!</v>
      </c>
      <c r="L94" s="4" t="e">
        <f>(VLOOKUP('14.05'!#REF!,'14.05'!$AM$4:$AP$55,4,FALSE))</f>
        <v>#REF!</v>
      </c>
      <c r="M94" s="4" t="e">
        <f>(VLOOKUP('14.05'!#REF!,'14.05'!$AM$4:$AP$55,4,FALSE))</f>
        <v>#REF!</v>
      </c>
      <c r="N94" s="4" t="e">
        <f>(VLOOKUP('14.05'!#REF!,'14.05'!$AM$4:$AP$55,4,FALSE))</f>
        <v>#REF!</v>
      </c>
      <c r="O94" s="4" t="e">
        <f>(VLOOKUP('14.05'!#REF!,'14.05'!$AM$4:$AP$55,4,FALSE))</f>
        <v>#REF!</v>
      </c>
      <c r="P94" s="4" t="e">
        <f>(VLOOKUP('14.05'!#REF!,'14.05'!$AM$4:$AP$55,4,FALSE))</f>
        <v>#REF!</v>
      </c>
      <c r="Q94" s="4" t="e">
        <f>(VLOOKUP('14.05'!#REF!,'14.05'!$AM$4:$AP$55,4,FALSE))</f>
        <v>#REF!</v>
      </c>
      <c r="R94" s="4" t="e">
        <f>(VLOOKUP('14.05'!#REF!,'14.05'!$AM$4:$AP$55,4,FALSE))</f>
        <v>#REF!</v>
      </c>
      <c r="S94" s="4" t="e">
        <f>(VLOOKUP('14.05'!#REF!,'14.05'!$AM$4:$AP$55,4,FALSE))</f>
        <v>#REF!</v>
      </c>
      <c r="T94" s="4" t="e">
        <f>(VLOOKUP('14.05'!#REF!,'14.05'!$AM$4:$AP$55,4,FALSE))</f>
        <v>#REF!</v>
      </c>
      <c r="U94" s="4" t="e">
        <f>(VLOOKUP('14.05'!#REF!,'14.05'!$AM$4:$AP$55,4,FALSE))</f>
        <v>#REF!</v>
      </c>
      <c r="V94" s="4" t="e">
        <f>(VLOOKUP('14.05'!#REF!,'14.05'!$AM$4:$AP$55,4,FALSE))</f>
        <v>#REF!</v>
      </c>
      <c r="W94" s="4" t="e">
        <f>(VLOOKUP('14.05'!#REF!,'14.05'!$AM$4:$AP$55,4,FALSE))</f>
        <v>#REF!</v>
      </c>
      <c r="X94" s="4" t="e">
        <f>(VLOOKUP('14.05'!#REF!,'14.05'!$AM$4:$AP$55,4,FALSE))</f>
        <v>#REF!</v>
      </c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14.05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2024-03-12T21:03:37Z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