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9B791053-65D2-4EC9-A5EA-90EB5B72F2CD}" xr6:coauthVersionLast="47" xr6:coauthVersionMax="47" xr10:uidLastSave="{00000000-0000-0000-0000-000000000000}"/>
  <bookViews>
    <workbookView xWindow="-120" yWindow="-120" windowWidth="29040" windowHeight="17640" xr2:uid="{ECD4D7EE-2D5D-4083-A820-495883BB0745}"/>
  </bookViews>
  <sheets>
    <sheet name="13.00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15" i="2"/>
  <c r="W11" i="2"/>
  <c r="W10" i="2"/>
  <c r="W9" i="2"/>
  <c r="W4" i="2"/>
  <c r="W3" i="2"/>
  <c r="AG26" i="2"/>
  <c r="AF26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F28" i="2" s="1"/>
  <c r="AA27" i="2"/>
  <c r="Z27" i="2"/>
  <c r="AF27" i="2" s="1"/>
  <c r="AA25" i="2"/>
  <c r="Z25" i="2"/>
  <c r="AF25" i="2" s="1"/>
  <c r="AA24" i="2"/>
  <c r="Z24" i="2"/>
  <c r="AF24" i="2" s="1"/>
  <c r="AA23" i="2"/>
  <c r="Z23" i="2"/>
  <c r="AF23" i="2" s="1"/>
  <c r="AA22" i="2"/>
  <c r="Z22" i="2"/>
  <c r="AF22" i="2" s="1"/>
  <c r="AA21" i="2"/>
  <c r="Z21" i="2"/>
  <c r="AF21" i="2" s="1"/>
  <c r="AA20" i="2"/>
  <c r="Z20" i="2"/>
  <c r="AF20" i="2" s="1"/>
  <c r="AA19" i="2"/>
  <c r="Z19" i="2"/>
  <c r="AF19" i="2" s="1"/>
  <c r="AA18" i="2"/>
  <c r="Z18" i="2"/>
  <c r="AF18" i="2" s="1"/>
  <c r="AA17" i="2"/>
  <c r="Z17" i="2"/>
  <c r="AF17" i="2" s="1"/>
  <c r="AA16" i="2"/>
  <c r="Z16" i="2"/>
  <c r="AF16" i="2" s="1"/>
  <c r="AA15" i="2"/>
  <c r="Z15" i="2"/>
  <c r="AF15" i="2" s="1"/>
  <c r="AA14" i="2"/>
  <c r="Z14" i="2"/>
  <c r="AF14" i="2" s="1"/>
  <c r="AA13" i="2"/>
  <c r="Z13" i="2"/>
  <c r="AF13" i="2" s="1"/>
  <c r="AA12" i="2"/>
  <c r="Z12" i="2"/>
  <c r="AF12" i="2" s="1"/>
  <c r="AA11" i="2"/>
  <c r="Z11" i="2"/>
  <c r="AF11" i="2" s="1"/>
  <c r="AA10" i="2"/>
  <c r="Z10" i="2"/>
  <c r="AF10" i="2" s="1"/>
  <c r="AA9" i="2"/>
  <c r="Z9" i="2"/>
  <c r="AF9" i="2" s="1"/>
  <c r="AA8" i="2"/>
  <c r="Z8" i="2"/>
  <c r="AF8" i="2" s="1"/>
  <c r="P8" i="2"/>
  <c r="H8" i="2"/>
  <c r="AA7" i="2"/>
  <c r="Z7" i="2"/>
  <c r="AF7" i="2" s="1"/>
  <c r="O7" i="2"/>
  <c r="N7" i="2"/>
  <c r="M7" i="2"/>
  <c r="G7" i="2"/>
  <c r="F7" i="2"/>
  <c r="E7" i="2"/>
  <c r="AA6" i="2"/>
  <c r="Z6" i="2"/>
  <c r="AF6" i="2" s="1"/>
  <c r="R6" i="2"/>
  <c r="AA5" i="2"/>
  <c r="Z5" i="2"/>
  <c r="AF5" i="2" s="1"/>
  <c r="AA4" i="2"/>
  <c r="Z4" i="2"/>
  <c r="AF4" i="2" s="1"/>
  <c r="P4" i="2"/>
  <c r="H4" i="2"/>
  <c r="AA3" i="2"/>
  <c r="Z3" i="2"/>
  <c r="AF3" i="2" s="1"/>
  <c r="H1" i="2" a="1"/>
  <c r="H1" i="2" s="1"/>
  <c r="O6" i="2" l="1"/>
  <c r="O5" i="2"/>
  <c r="AF29" i="2" a="1"/>
  <c r="AF29" i="2" s="1"/>
  <c r="F5" i="2"/>
  <c r="F6" i="2"/>
  <c r="M6" i="2"/>
  <c r="N6" i="2"/>
  <c r="M5" i="2"/>
  <c r="N5" i="2"/>
  <c r="E5" i="2"/>
  <c r="G5" i="2"/>
  <c r="E6" i="2"/>
  <c r="G6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M9" i="2" l="1"/>
  <c r="P6" i="2"/>
  <c r="O9" i="2"/>
  <c r="N9" i="2"/>
  <c r="AG29" i="2" a="1"/>
  <c r="AG29" i="2" s="1"/>
  <c r="AG31" i="2" s="1"/>
  <c r="H6" i="2"/>
  <c r="R2" i="2" s="1" a="1"/>
  <c r="R2" i="2" s="1"/>
  <c r="H5" i="2"/>
  <c r="P5" i="2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<sst xmlns="http://schemas.openxmlformats.org/spreadsheetml/2006/main" count="686" uniqueCount="67">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</sst>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zoomScaleNormal="100" workbookViewId="0">
      <selection activeCell="D39" sqref="D39"/>
    </sheetView>
  </sheetViews>
  <sheetFormatPr defaultRowHeight="15"/>
  <sheetData>
    <row r="1" spans="1:33" ht="15.75">
      <c r="A1" s="60" t="s">
        <v>30</v>
      </c>
      <c r="B1" s="61"/>
      <c r="C1" s="61"/>
      <c r="D1" s="61"/>
      <c r="E1" s="61"/>
      <c r="F1" s="62" t="s">
        <v>3</v>
      </c>
      <c r="G1" s="62"/>
      <c r="H1" s="25" cm="1">
        <f t="array" ref="H1">SUM(VLOOKUP(A4:C100,$T$3:$W$36,4,FALSE))+H4*10-H8*50</f>
        <v>0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3" ht="30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51" t="s">
        <v>43</v>
      </c>
      <c r="R2" s="52" cm="1">
        <f t="array" ref="R2">SUM(V3:V28*AB3:AB28)+H6+P6+R4*500</f>
        <v>64840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  <c r="AC2" s="59" t="s">
        <v>45</v>
      </c>
      <c r="AD2" t="s">
        <v>46</v>
      </c>
      <c r="AE2" t="s">
        <v>47</v>
      </c>
    </row>
    <row r="3" spans="1:33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90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23</v>
      </c>
      <c r="Z3" s="1">
        <f>COUNTIF($A$4:$C$100,T3)</f>
        <v>0</v>
      </c>
      <c r="AA3" s="1">
        <f>COUNTIF($I$4:$K$100,T3)</f>
        <v>0</v>
      </c>
      <c r="AB3" s="55">
        <f>Y3-Z3-AA3</f>
        <v>23</v>
      </c>
      <c r="AC3">
        <v>7</v>
      </c>
      <c r="AD3">
        <v>1</v>
      </c>
      <c r="AE3">
        <v>0</v>
      </c>
      <c r="AF3">
        <f>Z3-AC3</f>
        <v>-7</v>
      </c>
      <c r="AG3">
        <f>AA3+AB3-AD3-AE3</f>
        <v>22</v>
      </c>
    </row>
    <row r="4" spans="1:33">
      <c r="A4" s="1" t="s">
        <v>27</v>
      </c>
      <c r="B4" s="1" t="s">
        <v>27</v>
      </c>
      <c r="C4" s="1" t="s">
        <v>27</v>
      </c>
      <c r="D4" s="44" t="s">
        <v>34</v>
      </c>
      <c r="E4" s="40">
        <v>0</v>
      </c>
      <c r="F4" s="40">
        <v>0</v>
      </c>
      <c r="G4" s="40">
        <v>0</v>
      </c>
      <c r="H4" s="37">
        <f>SUM(E4:G4)</f>
        <v>0</v>
      </c>
      <c r="I4" s="1" t="s">
        <v>27</v>
      </c>
      <c r="J4" s="1" t="s">
        <v>27</v>
      </c>
      <c r="K4" s="1" t="s">
        <v>27</v>
      </c>
      <c r="L4" s="44" t="s">
        <v>34</v>
      </c>
      <c r="M4" s="40">
        <v>0</v>
      </c>
      <c r="N4" s="40">
        <v>0</v>
      </c>
      <c r="O4" s="40">
        <v>0</v>
      </c>
      <c r="P4" s="37">
        <f>SUM(M4:O4)</f>
        <v>0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31</v>
      </c>
      <c r="Z4" s="1">
        <f t="shared" ref="Z4:Z28" si="1">COUNTIF($A$4:$C$100,T4)</f>
        <v>0</v>
      </c>
      <c r="AA4" s="1">
        <f t="shared" ref="AA4:AA28" si="2">COUNTIF($I$4:$K$100,T4)</f>
        <v>0</v>
      </c>
      <c r="AB4" s="55">
        <f t="shared" ref="AB4:AB28" si="3">Y4-Z4-AA4</f>
        <v>31</v>
      </c>
      <c r="AC4">
        <v>23</v>
      </c>
      <c r="AD4">
        <v>22</v>
      </c>
      <c r="AE4">
        <v>0</v>
      </c>
      <c r="AF4">
        <f t="shared" ref="AF4:AF28" si="4">Z4-AC4</f>
        <v>-23</v>
      </c>
      <c r="AG4">
        <f t="shared" ref="AG4:AG28" si="5">AA4+AB4-AD4-AE4</f>
        <v>9</v>
      </c>
    </row>
    <row r="5" spans="1:33">
      <c r="A5" s="1" t="s">
        <v>27</v>
      </c>
      <c r="B5" s="1" t="s">
        <v>27</v>
      </c>
      <c r="C5" s="1" t="s">
        <v>27</v>
      </c>
      <c r="D5" s="34" t="s">
        <v>38</v>
      </c>
      <c r="E5" s="36">
        <f>(SUM(粮草!A4:A100)+E4*10)-E8*50</f>
        <v>0</v>
      </c>
      <c r="F5" s="36">
        <f>(SUM(粮草!B4:B100)+F4*10)-F8*50</f>
        <v>0</v>
      </c>
      <c r="G5" s="36">
        <f>(SUM(粮草!C4:C100)+G4*10)-G8*50</f>
        <v>0</v>
      </c>
      <c r="H5" s="37">
        <f t="shared" ref="H5:H8" si="6">SUM(E5:G5)</f>
        <v>0</v>
      </c>
      <c r="I5" s="1" t="s">
        <v>27</v>
      </c>
      <c r="J5" s="1" t="s">
        <v>27</v>
      </c>
      <c r="K5" s="1" t="s">
        <v>27</v>
      </c>
      <c r="L5" s="34" t="s">
        <v>38</v>
      </c>
      <c r="M5" s="36">
        <f>(SUM(粮草!I4:I100)*0.8+M4*8)-M8*40</f>
        <v>0</v>
      </c>
      <c r="N5" s="36">
        <f>(SUM(粮草!J4:J100)*0.8+N4*8)-N8*40</f>
        <v>0</v>
      </c>
      <c r="O5" s="36">
        <f>(SUM(粮草!K4:K100)*0.8+O4*8)-O8*40</f>
        <v>0</v>
      </c>
      <c r="P5" s="37">
        <f t="shared" ref="P5:P8" si="7">SUM(M5:O5)</f>
        <v>0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225</v>
      </c>
      <c r="Z5" s="1">
        <f t="shared" si="1"/>
        <v>0</v>
      </c>
      <c r="AA5" s="1">
        <f t="shared" si="2"/>
        <v>0</v>
      </c>
      <c r="AB5" s="55">
        <f t="shared" si="3"/>
        <v>225</v>
      </c>
      <c r="AC5">
        <v>38</v>
      </c>
      <c r="AD5">
        <v>0</v>
      </c>
      <c r="AE5">
        <v>206</v>
      </c>
      <c r="AF5">
        <f t="shared" si="4"/>
        <v>-38</v>
      </c>
      <c r="AG5">
        <f t="shared" si="5"/>
        <v>19</v>
      </c>
    </row>
    <row r="6" spans="1:33">
      <c r="A6" s="1" t="s">
        <v>27</v>
      </c>
      <c r="B6" s="1" t="s">
        <v>27</v>
      </c>
      <c r="C6" s="1" t="s">
        <v>27</v>
      </c>
      <c r="D6" s="34" t="s">
        <v>39</v>
      </c>
      <c r="E6" s="36">
        <f>(SUM(经验!A4:A100))</f>
        <v>0</v>
      </c>
      <c r="F6" s="36">
        <f>(SUM(经验!B4:B100))</f>
        <v>0</v>
      </c>
      <c r="G6" s="36">
        <f>(SUM(经验!C4:C100))</f>
        <v>0</v>
      </c>
      <c r="H6" s="50">
        <f t="shared" si="6"/>
        <v>0</v>
      </c>
      <c r="I6" s="1" t="s">
        <v>27</v>
      </c>
      <c r="J6" s="1" t="s">
        <v>27</v>
      </c>
      <c r="K6" s="1" t="s">
        <v>27</v>
      </c>
      <c r="L6" s="34" t="s">
        <v>39</v>
      </c>
      <c r="M6" s="36">
        <f>(SUM(经验!I4:I100))</f>
        <v>0</v>
      </c>
      <c r="N6" s="36">
        <f>(SUM(经验!J4:J100))</f>
        <v>0</v>
      </c>
      <c r="O6" s="36">
        <f>(SUM(经验!K4:K100))</f>
        <v>0</v>
      </c>
      <c r="P6" s="50">
        <f t="shared" si="7"/>
        <v>0</v>
      </c>
      <c r="Q6" s="51" t="s">
        <v>52</v>
      </c>
      <c r="R6" s="27">
        <f>R3*1600-800+R5</f>
        <v>149200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268</v>
      </c>
      <c r="Y6" s="47">
        <v>268</v>
      </c>
      <c r="Z6" s="1">
        <f t="shared" si="1"/>
        <v>0</v>
      </c>
      <c r="AA6" s="1">
        <f t="shared" si="2"/>
        <v>0</v>
      </c>
      <c r="AB6" s="55">
        <f t="shared" si="3"/>
        <v>268</v>
      </c>
      <c r="AC6">
        <v>2</v>
      </c>
      <c r="AD6">
        <v>0</v>
      </c>
      <c r="AE6">
        <v>258</v>
      </c>
      <c r="AF6">
        <f t="shared" si="4"/>
        <v>-2</v>
      </c>
      <c r="AG6">
        <f t="shared" si="5"/>
        <v>10</v>
      </c>
    </row>
    <row r="7" spans="1:33">
      <c r="A7" s="1" t="s">
        <v>27</v>
      </c>
      <c r="B7" s="1" t="s">
        <v>27</v>
      </c>
      <c r="C7" s="1" t="s">
        <v>27</v>
      </c>
      <c r="D7" s="34" t="s">
        <v>40</v>
      </c>
      <c r="E7" s="36">
        <f>COUNTIF(A4:A100,"&lt;&gt;空")</f>
        <v>0</v>
      </c>
      <c r="F7" s="36">
        <f>COUNTIF(B4:B100,"&lt;&gt;空")</f>
        <v>0</v>
      </c>
      <c r="G7" s="36">
        <f>COUNTIF(C4:C100,"&lt;&gt;空")</f>
        <v>0</v>
      </c>
      <c r="H7" s="37">
        <f t="shared" si="6"/>
        <v>0</v>
      </c>
      <c r="I7" s="1" t="s">
        <v>27</v>
      </c>
      <c r="J7" s="1" t="s">
        <v>27</v>
      </c>
      <c r="K7" s="1" t="s">
        <v>27</v>
      </c>
      <c r="L7" s="34" t="s">
        <v>40</v>
      </c>
      <c r="M7" s="36">
        <f>COUNTIF(I4:I100,"&lt;&gt;空")</f>
        <v>0</v>
      </c>
      <c r="N7" s="36">
        <f>COUNTIF(J4:J100,"&lt;&gt;空")</f>
        <v>0</v>
      </c>
      <c r="O7" s="36">
        <f>COUNTIF(K4:K100,"&lt;&gt;空")</f>
        <v>0</v>
      </c>
      <c r="P7" s="37">
        <f t="shared" si="7"/>
        <v>0</v>
      </c>
      <c r="Q7" s="54" t="s">
        <v>55</v>
      </c>
      <c r="R7" s="27">
        <v>0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236</v>
      </c>
      <c r="Y7" s="47">
        <v>236</v>
      </c>
      <c r="Z7" s="1">
        <f t="shared" si="1"/>
        <v>0</v>
      </c>
      <c r="AA7" s="1">
        <f t="shared" si="2"/>
        <v>0</v>
      </c>
      <c r="AB7" s="55">
        <f t="shared" si="3"/>
        <v>236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-2</v>
      </c>
    </row>
    <row r="8" spans="1:33">
      <c r="A8" s="1" t="s">
        <v>27</v>
      </c>
      <c r="B8" s="1" t="s">
        <v>27</v>
      </c>
      <c r="C8" s="1" t="s">
        <v>27</v>
      </c>
      <c r="D8" s="43" t="s">
        <v>53</v>
      </c>
      <c r="E8" s="42">
        <v>0</v>
      </c>
      <c r="F8" s="42">
        <v>0</v>
      </c>
      <c r="G8" s="42">
        <v>0</v>
      </c>
      <c r="H8" s="37">
        <f t="shared" si="6"/>
        <v>0</v>
      </c>
      <c r="I8" s="1" t="s">
        <v>27</v>
      </c>
      <c r="J8" s="1" t="s">
        <v>27</v>
      </c>
      <c r="K8" s="1" t="s">
        <v>27</v>
      </c>
      <c r="L8" s="43" t="s">
        <v>53</v>
      </c>
      <c r="M8" s="42">
        <v>0</v>
      </c>
      <c r="N8" s="42">
        <v>0</v>
      </c>
      <c r="O8" s="42">
        <v>0</v>
      </c>
      <c r="P8" s="37">
        <f t="shared" si="7"/>
        <v>0</v>
      </c>
      <c r="Q8" s="51" t="s">
        <v>54</v>
      </c>
      <c r="R8" s="56" cm="1">
        <f t="array" ref="R8">R6-P5-H5-SUM(U3:U28*AB3:AB28)*0.8-R7*8</f>
        <v>2928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194</v>
      </c>
      <c r="Z8" s="1">
        <f t="shared" si="1"/>
        <v>0</v>
      </c>
      <c r="AA8" s="1">
        <f t="shared" si="2"/>
        <v>0</v>
      </c>
      <c r="AB8" s="55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>
      <c r="A9" s="1" t="s">
        <v>27</v>
      </c>
      <c r="B9" s="1" t="s">
        <v>27</v>
      </c>
      <c r="C9" s="1" t="s">
        <v>27</v>
      </c>
      <c r="D9" s="27"/>
      <c r="E9" s="27"/>
      <c r="F9" s="27"/>
      <c r="G9" s="27"/>
      <c r="H9" s="28"/>
      <c r="I9" s="1" t="s">
        <v>27</v>
      </c>
      <c r="J9" s="1" t="s">
        <v>27</v>
      </c>
      <c r="K9" s="1" t="s">
        <v>27</v>
      </c>
      <c r="L9" s="34" t="s">
        <v>42</v>
      </c>
      <c r="M9" s="38" t="e">
        <f>M6/M5</f>
        <v>#DIV/0!</v>
      </c>
      <c r="N9" s="38" t="e">
        <f>N6/N5</f>
        <v>#DIV/0!</v>
      </c>
      <c r="O9" s="38" t="e">
        <f>O6/O5</f>
        <v>#DIV/0!</v>
      </c>
      <c r="P9" s="39" t="e">
        <f>P6/P5</f>
        <v>#DIV/0!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0" si="8">U9-V9/0.330882</f>
        <v>44.222109392472248</v>
      </c>
      <c r="X9" s="47">
        <v>5</v>
      </c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>
      <c r="A10" s="1" t="s">
        <v>27</v>
      </c>
      <c r="B10" s="1" t="s">
        <v>27</v>
      </c>
      <c r="C10" s="1" t="s">
        <v>27</v>
      </c>
      <c r="D10" s="27"/>
      <c r="E10" s="27"/>
      <c r="F10" s="27"/>
      <c r="G10" s="27"/>
      <c r="H10" s="28"/>
      <c r="I10" s="1" t="s">
        <v>27</v>
      </c>
      <c r="J10" s="1" t="s">
        <v>27</v>
      </c>
      <c r="K10" s="1" t="s">
        <v>27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8"/>
        <v>29.110982162825422</v>
      </c>
      <c r="X10" s="47">
        <v>6</v>
      </c>
      <c r="Y10" s="47">
        <v>3</v>
      </c>
      <c r="Z10" s="1">
        <f t="shared" si="1"/>
        <v>0</v>
      </c>
      <c r="AA10" s="1">
        <f t="shared" si="2"/>
        <v>0</v>
      </c>
      <c r="AB10" s="55">
        <f t="shared" si="3"/>
        <v>3</v>
      </c>
      <c r="AC10">
        <v>0</v>
      </c>
      <c r="AD10">
        <v>0</v>
      </c>
      <c r="AE10">
        <v>0</v>
      </c>
      <c r="AF10">
        <f t="shared" si="4"/>
        <v>0</v>
      </c>
      <c r="AG10">
        <f t="shared" si="5"/>
        <v>3</v>
      </c>
    </row>
    <row r="11" spans="1:33">
      <c r="A11" s="1" t="s">
        <v>27</v>
      </c>
      <c r="B11" s="1" t="s">
        <v>27</v>
      </c>
      <c r="C11" s="1" t="s">
        <v>27</v>
      </c>
      <c r="D11" s="27"/>
      <c r="E11" s="27"/>
      <c r="F11" s="27"/>
      <c r="G11" s="27"/>
      <c r="H11" s="28"/>
      <c r="I11" s="1" t="s">
        <v>27</v>
      </c>
      <c r="J11" s="1" t="s">
        <v>27</v>
      </c>
      <c r="K11" s="1" t="s">
        <v>27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>U11-V11/0.330882</f>
        <v>13.999854933178597</v>
      </c>
      <c r="X11" s="47">
        <v>6</v>
      </c>
      <c r="Y11" s="47">
        <v>6</v>
      </c>
      <c r="Z11" s="1">
        <f t="shared" si="1"/>
        <v>0</v>
      </c>
      <c r="AA11" s="1">
        <f t="shared" si="2"/>
        <v>0</v>
      </c>
      <c r="AB11" s="55">
        <f t="shared" si="3"/>
        <v>6</v>
      </c>
      <c r="AC11">
        <v>2</v>
      </c>
      <c r="AD11">
        <v>0</v>
      </c>
      <c r="AE11">
        <v>4</v>
      </c>
      <c r="AF11">
        <f t="shared" si="4"/>
        <v>-2</v>
      </c>
      <c r="AG11">
        <f t="shared" si="5"/>
        <v>2</v>
      </c>
    </row>
    <row r="12" spans="1:33">
      <c r="A12" s="1" t="s">
        <v>27</v>
      </c>
      <c r="B12" s="1" t="s">
        <v>27</v>
      </c>
      <c r="C12" s="1" t="s">
        <v>27</v>
      </c>
      <c r="D12" s="27"/>
      <c r="E12" s="27"/>
      <c r="F12" s="27"/>
      <c r="G12" s="27"/>
      <c r="H12" s="28"/>
      <c r="I12" s="1" t="s">
        <v>27</v>
      </c>
      <c r="J12" s="1" t="s">
        <v>27</v>
      </c>
      <c r="K12" s="1" t="s">
        <v>27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3</v>
      </c>
      <c r="Y12" s="47">
        <v>3</v>
      </c>
      <c r="Z12" s="1">
        <f t="shared" si="1"/>
        <v>0</v>
      </c>
      <c r="AA12" s="1">
        <f t="shared" si="2"/>
        <v>0</v>
      </c>
      <c r="AB12" s="55">
        <f t="shared" si="3"/>
        <v>3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-1</v>
      </c>
    </row>
    <row r="13" spans="1:33">
      <c r="A13" s="1" t="s">
        <v>27</v>
      </c>
      <c r="B13" s="1" t="s">
        <v>27</v>
      </c>
      <c r="C13" s="1" t="s">
        <v>27</v>
      </c>
      <c r="D13" s="27"/>
      <c r="E13" s="27"/>
      <c r="F13" s="27"/>
      <c r="G13" s="27"/>
      <c r="H13" s="28"/>
      <c r="I13" s="1" t="s">
        <v>27</v>
      </c>
      <c r="J13" s="1" t="s">
        <v>27</v>
      </c>
      <c r="K13" s="1" t="s">
        <v>27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>
      <c r="A14" s="1" t="s">
        <v>27</v>
      </c>
      <c r="B14" s="1" t="s">
        <v>27</v>
      </c>
      <c r="C14" s="1" t="s">
        <v>27</v>
      </c>
      <c r="D14" s="27"/>
      <c r="E14" s="27"/>
      <c r="F14" s="27"/>
      <c r="G14" s="27"/>
      <c r="H14" s="28"/>
      <c r="I14" s="1" t="s">
        <v>27</v>
      </c>
      <c r="J14" s="1" t="s">
        <v>27</v>
      </c>
      <c r="K14" s="1" t="s">
        <v>27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>
      <c r="A15" s="1" t="s">
        <v>27</v>
      </c>
      <c r="B15" s="1" t="s">
        <v>27</v>
      </c>
      <c r="C15" s="1" t="s">
        <v>27</v>
      </c>
      <c r="D15" s="27"/>
      <c r="E15" s="27"/>
      <c r="F15" s="27"/>
      <c r="G15" s="27"/>
      <c r="H15" s="28"/>
      <c r="I15" s="1" t="s">
        <v>27</v>
      </c>
      <c r="J15" s="1" t="s">
        <v>27</v>
      </c>
      <c r="K15" s="1" t="s">
        <v>27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9">U15-V15/0.330882</f>
        <v>44.222109392472248</v>
      </c>
      <c r="X15" s="47"/>
      <c r="Y15" s="47">
        <v>0</v>
      </c>
      <c r="Z15" s="1">
        <f t="shared" si="1"/>
        <v>0</v>
      </c>
      <c r="AA15" s="1">
        <f t="shared" si="2"/>
        <v>0</v>
      </c>
      <c r="AB15" s="55">
        <f t="shared" si="3"/>
        <v>0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0</v>
      </c>
    </row>
    <row r="16" spans="1:33">
      <c r="A16" s="1" t="s">
        <v>27</v>
      </c>
      <c r="B16" s="1" t="s">
        <v>27</v>
      </c>
      <c r="C16" s="1" t="s">
        <v>27</v>
      </c>
      <c r="D16" s="27"/>
      <c r="E16" s="27"/>
      <c r="F16" s="27"/>
      <c r="G16" s="27"/>
      <c r="H16" s="28"/>
      <c r="I16" s="1" t="s">
        <v>27</v>
      </c>
      <c r="J16" s="1" t="s">
        <v>27</v>
      </c>
      <c r="K16" s="1" t="s">
        <v>27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40</v>
      </c>
      <c r="Z16" s="1">
        <f t="shared" si="1"/>
        <v>0</v>
      </c>
      <c r="AA16" s="1">
        <f t="shared" si="2"/>
        <v>0</v>
      </c>
      <c r="AB16" s="55">
        <f t="shared" si="3"/>
        <v>40</v>
      </c>
      <c r="AC16">
        <v>3</v>
      </c>
      <c r="AD16">
        <v>8</v>
      </c>
      <c r="AE16">
        <v>27</v>
      </c>
      <c r="AF16">
        <f t="shared" si="4"/>
        <v>-3</v>
      </c>
      <c r="AG16">
        <f t="shared" si="5"/>
        <v>5</v>
      </c>
    </row>
    <row r="17" spans="1:33">
      <c r="A17" s="1" t="s">
        <v>27</v>
      </c>
      <c r="B17" s="1" t="s">
        <v>27</v>
      </c>
      <c r="C17" s="1" t="s">
        <v>27</v>
      </c>
      <c r="D17" s="27"/>
      <c r="E17" s="27"/>
      <c r="F17" s="27"/>
      <c r="G17" s="27"/>
      <c r="H17" s="28"/>
      <c r="I17" s="1" t="s">
        <v>27</v>
      </c>
      <c r="J17" s="1" t="s">
        <v>27</v>
      </c>
      <c r="K17" s="1" t="s">
        <v>27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3</v>
      </c>
      <c r="Y17" s="47">
        <v>3</v>
      </c>
      <c r="Z17" s="1">
        <f t="shared" si="1"/>
        <v>0</v>
      </c>
      <c r="AA17" s="1">
        <f t="shared" si="2"/>
        <v>0</v>
      </c>
      <c r="AB17" s="55">
        <f t="shared" si="3"/>
        <v>3</v>
      </c>
      <c r="AC17">
        <v>2</v>
      </c>
      <c r="AD17">
        <v>0</v>
      </c>
      <c r="AE17">
        <v>0</v>
      </c>
      <c r="AF17">
        <f t="shared" si="4"/>
        <v>-2</v>
      </c>
      <c r="AG17">
        <f t="shared" si="5"/>
        <v>3</v>
      </c>
    </row>
    <row r="18" spans="1:33">
      <c r="A18" s="1" t="s">
        <v>27</v>
      </c>
      <c r="B18" s="1" t="s">
        <v>27</v>
      </c>
      <c r="C18" s="1" t="s">
        <v>27</v>
      </c>
      <c r="D18" s="27"/>
      <c r="E18" s="27"/>
      <c r="F18" s="27"/>
      <c r="G18" s="27"/>
      <c r="H18" s="28"/>
      <c r="I18" s="1" t="s">
        <v>27</v>
      </c>
      <c r="J18" s="1" t="s">
        <v>27</v>
      </c>
      <c r="K18" s="1" t="s">
        <v>27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300</v>
      </c>
      <c r="W18" s="46"/>
      <c r="X18" s="47">
        <v>3</v>
      </c>
      <c r="Y18" s="47">
        <v>3</v>
      </c>
      <c r="Z18" s="1">
        <f t="shared" si="1"/>
        <v>0</v>
      </c>
      <c r="AA18" s="1">
        <f t="shared" si="2"/>
        <v>0</v>
      </c>
      <c r="AB18" s="55">
        <f t="shared" si="3"/>
        <v>3</v>
      </c>
      <c r="AC18">
        <v>3</v>
      </c>
      <c r="AD18">
        <v>0</v>
      </c>
      <c r="AE18">
        <v>0</v>
      </c>
      <c r="AF18">
        <f t="shared" si="4"/>
        <v>-3</v>
      </c>
      <c r="AG18">
        <f t="shared" si="5"/>
        <v>3</v>
      </c>
    </row>
    <row r="19" spans="1:33">
      <c r="A19" s="1" t="s">
        <v>27</v>
      </c>
      <c r="B19" s="1" t="s">
        <v>27</v>
      </c>
      <c r="C19" s="1" t="s">
        <v>27</v>
      </c>
      <c r="D19" s="27"/>
      <c r="E19" s="27"/>
      <c r="F19" s="27"/>
      <c r="G19" s="27"/>
      <c r="H19" s="28"/>
      <c r="I19" s="1" t="s">
        <v>27</v>
      </c>
      <c r="J19" s="1" t="s">
        <v>27</v>
      </c>
      <c r="K19" s="1" t="s">
        <v>27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0</v>
      </c>
      <c r="AA19" s="1">
        <f t="shared" si="2"/>
        <v>0</v>
      </c>
      <c r="AB19" s="55">
        <f t="shared" si="3"/>
        <v>5</v>
      </c>
      <c r="AC19">
        <v>5</v>
      </c>
      <c r="AD19">
        <v>0</v>
      </c>
      <c r="AE19">
        <v>0</v>
      </c>
      <c r="AF19">
        <f t="shared" si="4"/>
        <v>-5</v>
      </c>
      <c r="AG19">
        <f t="shared" si="5"/>
        <v>5</v>
      </c>
    </row>
    <row r="20" spans="1:33">
      <c r="A20" s="1" t="s">
        <v>27</v>
      </c>
      <c r="B20" s="1" t="s">
        <v>27</v>
      </c>
      <c r="C20" s="1" t="s">
        <v>27</v>
      </c>
      <c r="D20" s="27"/>
      <c r="E20" s="27"/>
      <c r="F20" s="27"/>
      <c r="G20" s="27"/>
      <c r="H20" s="28"/>
      <c r="I20" s="1" t="s">
        <v>27</v>
      </c>
      <c r="J20" s="1" t="s">
        <v>27</v>
      </c>
      <c r="K20" s="1" t="s">
        <v>27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0</v>
      </c>
      <c r="Z20" s="1">
        <f t="shared" si="1"/>
        <v>0</v>
      </c>
      <c r="AA20" s="1">
        <f t="shared" si="2"/>
        <v>0</v>
      </c>
      <c r="AB20" s="55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>
      <c r="A21" s="1" t="s">
        <v>27</v>
      </c>
      <c r="B21" s="1" t="s">
        <v>27</v>
      </c>
      <c r="C21" s="1" t="s">
        <v>27</v>
      </c>
      <c r="D21" s="27"/>
      <c r="E21" s="27"/>
      <c r="F21" s="27"/>
      <c r="G21" s="27"/>
      <c r="H21" s="28"/>
      <c r="I21" s="1" t="s">
        <v>27</v>
      </c>
      <c r="J21" s="1" t="s">
        <v>27</v>
      </c>
      <c r="K21" s="1" t="s">
        <v>27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>
      <c r="A22" s="1" t="s">
        <v>27</v>
      </c>
      <c r="B22" s="1" t="s">
        <v>27</v>
      </c>
      <c r="C22" s="1" t="s">
        <v>27</v>
      </c>
      <c r="D22" s="27"/>
      <c r="E22" s="27"/>
      <c r="F22" s="27"/>
      <c r="G22" s="27"/>
      <c r="H22" s="28"/>
      <c r="I22" s="1" t="s">
        <v>27</v>
      </c>
      <c r="J22" s="1" t="s">
        <v>27</v>
      </c>
      <c r="K22" s="1" t="s">
        <v>27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2</v>
      </c>
      <c r="Y22" s="47">
        <v>2</v>
      </c>
      <c r="Z22" s="1">
        <f t="shared" si="1"/>
        <v>0</v>
      </c>
      <c r="AA22" s="1">
        <f t="shared" si="2"/>
        <v>0</v>
      </c>
      <c r="AB22" s="55">
        <f t="shared" si="3"/>
        <v>2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0</v>
      </c>
    </row>
    <row r="23" spans="1:33">
      <c r="A23" s="1" t="s">
        <v>27</v>
      </c>
      <c r="B23" s="1" t="s">
        <v>27</v>
      </c>
      <c r="C23" s="1" t="s">
        <v>27</v>
      </c>
      <c r="D23" s="27"/>
      <c r="E23" s="27"/>
      <c r="F23" s="27"/>
      <c r="G23" s="27"/>
      <c r="H23" s="28"/>
      <c r="I23" s="1" t="s">
        <v>27</v>
      </c>
      <c r="J23" s="1" t="s">
        <v>27</v>
      </c>
      <c r="K23" s="1" t="s">
        <v>27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10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>
      <c r="A24" s="1" t="s">
        <v>27</v>
      </c>
      <c r="B24" s="1" t="s">
        <v>27</v>
      </c>
      <c r="C24" s="1" t="s">
        <v>27</v>
      </c>
      <c r="D24" s="27"/>
      <c r="E24" s="27"/>
      <c r="F24" s="27"/>
      <c r="G24" s="27"/>
      <c r="H24" s="28"/>
      <c r="I24" s="1" t="s">
        <v>27</v>
      </c>
      <c r="J24" s="1" t="s">
        <v>27</v>
      </c>
      <c r="K24" s="1" t="s">
        <v>27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10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>
      <c r="A25" s="1" t="s">
        <v>27</v>
      </c>
      <c r="B25" s="1" t="s">
        <v>27</v>
      </c>
      <c r="C25" s="1" t="s">
        <v>27</v>
      </c>
      <c r="D25" s="27"/>
      <c r="E25" s="27"/>
      <c r="F25" s="27"/>
      <c r="G25" s="27"/>
      <c r="H25" s="28"/>
      <c r="I25" s="1" t="s">
        <v>27</v>
      </c>
      <c r="J25" s="1" t="s">
        <v>27</v>
      </c>
      <c r="K25" s="1" t="s">
        <v>27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10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>
      <c r="A26" s="1" t="s">
        <v>27</v>
      </c>
      <c r="B26" s="1" t="s">
        <v>27</v>
      </c>
      <c r="C26" s="1" t="s">
        <v>27</v>
      </c>
      <c r="D26" s="27"/>
      <c r="E26" s="27"/>
      <c r="F26" s="27"/>
      <c r="G26" s="27"/>
      <c r="H26" s="28"/>
      <c r="I26" s="1" t="s">
        <v>27</v>
      </c>
      <c r="J26" s="1" t="s">
        <v>27</v>
      </c>
      <c r="K26" s="1" t="s">
        <v>27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10"/>
        <v>0</v>
      </c>
      <c r="X26" s="47">
        <v>0</v>
      </c>
      <c r="Y26" s="47">
        <v>0</v>
      </c>
      <c r="Z26" s="1"/>
      <c r="AA26" s="1"/>
      <c r="AB26" s="55"/>
      <c r="AF26">
        <f t="shared" si="4"/>
        <v>0</v>
      </c>
      <c r="AG26">
        <f t="shared" si="5"/>
        <v>0</v>
      </c>
    </row>
    <row r="27" spans="1:33">
      <c r="A27" s="1" t="s">
        <v>27</v>
      </c>
      <c r="B27" s="1" t="s">
        <v>27</v>
      </c>
      <c r="C27" s="1" t="s">
        <v>27</v>
      </c>
      <c r="D27" s="27"/>
      <c r="E27" s="27"/>
      <c r="F27" s="27"/>
      <c r="G27" s="27"/>
      <c r="H27" s="28"/>
      <c r="I27" s="1" t="s">
        <v>27</v>
      </c>
      <c r="J27" s="1" t="s">
        <v>27</v>
      </c>
      <c r="K27" s="1" t="s">
        <v>27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12</v>
      </c>
      <c r="Y27" s="47">
        <v>12</v>
      </c>
      <c r="Z27" s="1">
        <f t="shared" si="1"/>
        <v>0</v>
      </c>
      <c r="AA27" s="1">
        <f t="shared" si="2"/>
        <v>0</v>
      </c>
      <c r="AB27" s="55">
        <f t="shared" si="3"/>
        <v>12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-1</v>
      </c>
    </row>
    <row r="28" spans="1:33">
      <c r="A28" s="1" t="s">
        <v>27</v>
      </c>
      <c r="B28" s="1" t="s">
        <v>27</v>
      </c>
      <c r="C28" s="1" t="s">
        <v>27</v>
      </c>
      <c r="D28" s="27"/>
      <c r="E28" s="27"/>
      <c r="F28" s="27"/>
      <c r="G28" s="27"/>
      <c r="H28" s="28"/>
      <c r="I28" s="1" t="s">
        <v>27</v>
      </c>
      <c r="J28" s="1" t="s">
        <v>27</v>
      </c>
      <c r="K28" s="1" t="s">
        <v>27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>
        <v>10</v>
      </c>
      <c r="X28" s="47">
        <v>3</v>
      </c>
      <c r="Y28" s="47">
        <v>3</v>
      </c>
      <c r="Z28" s="1">
        <f t="shared" si="1"/>
        <v>0</v>
      </c>
      <c r="AA28" s="1">
        <f t="shared" si="2"/>
        <v>0</v>
      </c>
      <c r="AB28" s="55">
        <f t="shared" si="3"/>
        <v>3</v>
      </c>
      <c r="AC28">
        <v>1</v>
      </c>
      <c r="AD28">
        <v>0</v>
      </c>
      <c r="AE28">
        <v>2</v>
      </c>
      <c r="AF28">
        <f t="shared" si="4"/>
        <v>-1</v>
      </c>
      <c r="AG28">
        <f t="shared" si="5"/>
        <v>1</v>
      </c>
    </row>
    <row r="29" spans="1:33" ht="15.75" thickBot="1">
      <c r="A29" s="1" t="s">
        <v>27</v>
      </c>
      <c r="B29" s="1" t="s">
        <v>27</v>
      </c>
      <c r="C29" s="1" t="s">
        <v>27</v>
      </c>
      <c r="D29" s="27"/>
      <c r="E29" s="27"/>
      <c r="F29" s="27"/>
      <c r="G29" s="27"/>
      <c r="H29" s="28"/>
      <c r="I29" s="1" t="s">
        <v>27</v>
      </c>
      <c r="J29" s="1" t="s">
        <v>27</v>
      </c>
      <c r="K29" s="1" t="s">
        <v>27</v>
      </c>
      <c r="L29" s="27"/>
      <c r="M29" s="27"/>
      <c r="N29" s="27"/>
      <c r="O29" s="27"/>
      <c r="P29" s="28"/>
      <c r="Q29" s="57"/>
      <c r="R29" s="32"/>
      <c r="S29" s="32"/>
      <c r="T29" s="31" t="s">
        <v>66</v>
      </c>
      <c r="U29" s="31"/>
      <c r="V29" s="31"/>
      <c r="W29" s="31"/>
      <c r="X29" s="31"/>
      <c r="Y29" s="31"/>
      <c r="Z29" s="31"/>
      <c r="AA29" s="31"/>
      <c r="AB29" s="58"/>
      <c r="AF29" cm="1">
        <f t="array" ref="AF29">SUM(AF3:AF28*U3:U28)</f>
        <v>-13800</v>
      </c>
      <c r="AG29" cm="1">
        <f t="array" ref="AG29">SUM(AG3:AG28*U3:U28*0.8)</f>
        <v>9312</v>
      </c>
    </row>
    <row r="30" spans="1:33">
      <c r="A30" s="1" t="s">
        <v>27</v>
      </c>
      <c r="B30" s="1" t="s">
        <v>27</v>
      </c>
      <c r="C30" s="1" t="s">
        <v>27</v>
      </c>
      <c r="D30" s="27"/>
      <c r="E30" s="27"/>
      <c r="F30" s="27"/>
      <c r="G30" s="27"/>
      <c r="H30" s="28"/>
      <c r="I30" s="1" t="s">
        <v>27</v>
      </c>
      <c r="J30" s="1" t="s">
        <v>27</v>
      </c>
      <c r="K30" s="1" t="s">
        <v>27</v>
      </c>
      <c r="L30" s="27"/>
      <c r="M30" s="27"/>
      <c r="N30" s="27"/>
      <c r="O30" s="27"/>
      <c r="P30" s="28"/>
      <c r="Y30">
        <f>SUM(Y3:Y28)</f>
        <v>1063</v>
      </c>
      <c r="AC30">
        <f>SUM(AC3:AC28)</f>
        <v>89</v>
      </c>
    </row>
    <row r="31" spans="1:33">
      <c r="A31" s="1" t="s">
        <v>27</v>
      </c>
      <c r="B31" s="1" t="s">
        <v>27</v>
      </c>
      <c r="C31" s="1" t="s">
        <v>27</v>
      </c>
      <c r="D31" s="27"/>
      <c r="E31" s="27"/>
      <c r="F31" s="27"/>
      <c r="G31" s="27"/>
      <c r="H31" s="28"/>
      <c r="I31" s="1" t="s">
        <v>27</v>
      </c>
      <c r="J31" s="1" t="s">
        <v>27</v>
      </c>
      <c r="K31" s="1" t="s">
        <v>27</v>
      </c>
      <c r="L31" s="27"/>
      <c r="M31" s="27"/>
      <c r="N31" s="27"/>
      <c r="O31" s="27"/>
      <c r="P31" s="28"/>
      <c r="AG31">
        <f>AG29+AF29+AC36-12</f>
        <v>-4444</v>
      </c>
    </row>
    <row r="32" spans="1:33">
      <c r="A32" s="1" t="s">
        <v>27</v>
      </c>
      <c r="B32" s="1" t="s">
        <v>27</v>
      </c>
      <c r="C32" s="1" t="s">
        <v>27</v>
      </c>
      <c r="D32" s="27"/>
      <c r="E32" s="27"/>
      <c r="F32" s="27"/>
      <c r="G32" s="27"/>
      <c r="H32" s="28"/>
      <c r="I32" s="1" t="s">
        <v>27</v>
      </c>
      <c r="J32" s="1" t="s">
        <v>27</v>
      </c>
      <c r="K32" s="1" t="s">
        <v>27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29">
      <c r="A33" s="1" t="s">
        <v>27</v>
      </c>
      <c r="B33" s="1" t="s">
        <v>27</v>
      </c>
      <c r="C33" s="1" t="s">
        <v>27</v>
      </c>
      <c r="D33" s="27"/>
      <c r="E33" s="27"/>
      <c r="F33" s="27"/>
      <c r="G33" s="27"/>
      <c r="H33" s="28"/>
      <c r="I33" s="1" t="s">
        <v>27</v>
      </c>
      <c r="J33" s="1" t="s">
        <v>27</v>
      </c>
      <c r="K33" s="1" t="s">
        <v>27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29">
      <c r="A34" s="1" t="s">
        <v>27</v>
      </c>
      <c r="B34" s="1" t="s">
        <v>27</v>
      </c>
      <c r="C34" s="1" t="s">
        <v>27</v>
      </c>
      <c r="D34" s="27"/>
      <c r="E34" s="27"/>
      <c r="F34" s="27"/>
      <c r="G34" s="27"/>
      <c r="H34" s="28"/>
      <c r="I34" s="1" t="s">
        <v>27</v>
      </c>
      <c r="J34" s="1" t="s">
        <v>27</v>
      </c>
      <c r="K34" s="1" t="s">
        <v>27</v>
      </c>
      <c r="L34" s="27"/>
      <c r="M34" s="27"/>
      <c r="N34" s="27"/>
      <c r="O34" s="27"/>
      <c r="P34" s="28"/>
      <c r="R34">
        <v>3</v>
      </c>
      <c r="S34" t="s">
        <v>58</v>
      </c>
      <c r="AA34">
        <v>7</v>
      </c>
      <c r="AB34">
        <v>18</v>
      </c>
      <c r="AC34">
        <f>AA34*10+AB34*8</f>
        <v>214</v>
      </c>
    </row>
    <row r="35" spans="1:29">
      <c r="A35" s="1" t="s">
        <v>27</v>
      </c>
      <c r="B35" s="1" t="s">
        <v>27</v>
      </c>
      <c r="C35" s="1" t="s">
        <v>27</v>
      </c>
      <c r="D35" s="27"/>
      <c r="E35" s="27"/>
      <c r="F35" s="27"/>
      <c r="G35" s="27"/>
      <c r="H35" s="28"/>
      <c r="I35" s="1" t="s">
        <v>27</v>
      </c>
      <c r="J35" s="1" t="s">
        <v>27</v>
      </c>
      <c r="K35" s="1" t="s">
        <v>27</v>
      </c>
      <c r="L35" s="27"/>
      <c r="M35" s="27"/>
      <c r="N35" s="27"/>
      <c r="O35" s="27"/>
      <c r="P35" s="28"/>
      <c r="R35">
        <v>4</v>
      </c>
      <c r="S35" t="s">
        <v>61</v>
      </c>
      <c r="AA35">
        <v>11</v>
      </c>
      <c r="AB35">
        <v>6</v>
      </c>
      <c r="AC35">
        <f>AA35*10+AB35*8</f>
        <v>158</v>
      </c>
    </row>
    <row r="36" spans="1:29">
      <c r="A36" s="1" t="s">
        <v>27</v>
      </c>
      <c r="B36" s="1" t="s">
        <v>27</v>
      </c>
      <c r="C36" s="1" t="s">
        <v>27</v>
      </c>
      <c r="D36" s="27"/>
      <c r="E36" s="27"/>
      <c r="F36" s="27"/>
      <c r="G36" s="27"/>
      <c r="H36" s="28"/>
      <c r="I36" s="1" t="s">
        <v>27</v>
      </c>
      <c r="J36" s="1" t="s">
        <v>27</v>
      </c>
      <c r="K36" s="1" t="s">
        <v>27</v>
      </c>
      <c r="L36" s="27"/>
      <c r="M36" s="27"/>
      <c r="N36" s="27"/>
      <c r="O36" s="27"/>
      <c r="P36" s="28"/>
      <c r="S36" t="s">
        <v>62</v>
      </c>
      <c r="AC36">
        <f>AC34-AC35</f>
        <v>56</v>
      </c>
    </row>
    <row r="37" spans="1:29">
      <c r="A37" s="1" t="s">
        <v>27</v>
      </c>
      <c r="B37" s="1" t="s">
        <v>27</v>
      </c>
      <c r="C37" s="1" t="s">
        <v>27</v>
      </c>
      <c r="D37" s="27"/>
      <c r="E37" s="27"/>
      <c r="F37" s="27"/>
      <c r="G37" s="27"/>
      <c r="H37" s="28"/>
      <c r="I37" s="1" t="s">
        <v>27</v>
      </c>
      <c r="J37" s="1" t="s">
        <v>27</v>
      </c>
      <c r="K37" s="1" t="s">
        <v>27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29">
      <c r="A38" s="1" t="s">
        <v>27</v>
      </c>
      <c r="B38" s="1" t="s">
        <v>27</v>
      </c>
      <c r="C38" s="1" t="s">
        <v>27</v>
      </c>
      <c r="D38" s="27"/>
      <c r="E38" s="27"/>
      <c r="F38" s="27"/>
      <c r="G38" s="27"/>
      <c r="H38" s="28"/>
      <c r="I38" s="1" t="s">
        <v>27</v>
      </c>
      <c r="J38" s="1" t="s">
        <v>27</v>
      </c>
      <c r="K38" s="1" t="s">
        <v>27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29">
      <c r="A39" s="1" t="s">
        <v>27</v>
      </c>
      <c r="B39" s="1" t="s">
        <v>27</v>
      </c>
      <c r="C39" s="1" t="s">
        <v>27</v>
      </c>
      <c r="D39" s="27"/>
      <c r="E39" s="27"/>
      <c r="F39" s="27"/>
      <c r="G39" s="27"/>
      <c r="H39" s="28"/>
      <c r="I39" s="1" t="s">
        <v>27</v>
      </c>
      <c r="J39" s="1" t="s">
        <v>27</v>
      </c>
      <c r="K39" s="1" t="s">
        <v>27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29">
      <c r="A40" s="1" t="s">
        <v>27</v>
      </c>
      <c r="B40" s="1" t="s">
        <v>27</v>
      </c>
      <c r="C40" s="1" t="s">
        <v>27</v>
      </c>
      <c r="D40" s="27"/>
      <c r="E40" s="27"/>
      <c r="F40" s="27"/>
      <c r="G40" s="27"/>
      <c r="H40" s="28"/>
      <c r="I40" s="1" t="s">
        <v>27</v>
      </c>
      <c r="J40" s="1" t="s">
        <v>27</v>
      </c>
      <c r="K40" s="1" t="s">
        <v>27</v>
      </c>
      <c r="L40" s="27"/>
      <c r="M40" s="27"/>
      <c r="N40" s="27"/>
      <c r="O40" s="27"/>
      <c r="P40" s="28"/>
    </row>
    <row r="41" spans="1:29">
      <c r="A41" s="1" t="s">
        <v>27</v>
      </c>
      <c r="B41" s="1" t="s">
        <v>27</v>
      </c>
      <c r="C41" s="1" t="s">
        <v>27</v>
      </c>
      <c r="D41" s="27"/>
      <c r="E41" s="27"/>
      <c r="F41" s="27"/>
      <c r="G41" s="27"/>
      <c r="H41" s="28"/>
      <c r="I41" s="1" t="s">
        <v>27</v>
      </c>
      <c r="J41" s="1" t="s">
        <v>27</v>
      </c>
      <c r="K41" s="1" t="s">
        <v>27</v>
      </c>
      <c r="L41" s="27"/>
      <c r="M41" s="27"/>
      <c r="N41" s="27"/>
      <c r="O41" s="27"/>
      <c r="P41" s="28"/>
    </row>
    <row r="42" spans="1:29">
      <c r="A42" s="1" t="s">
        <v>27</v>
      </c>
      <c r="B42" s="1" t="s">
        <v>27</v>
      </c>
      <c r="C42" s="1" t="s">
        <v>27</v>
      </c>
      <c r="D42" s="27"/>
      <c r="E42" s="27"/>
      <c r="F42" s="27"/>
      <c r="G42" s="27"/>
      <c r="H42" s="28"/>
      <c r="I42" s="1" t="s">
        <v>27</v>
      </c>
      <c r="J42" s="1" t="s">
        <v>27</v>
      </c>
      <c r="K42" s="1" t="s">
        <v>27</v>
      </c>
      <c r="L42" s="27"/>
      <c r="M42" s="27"/>
      <c r="N42" s="27"/>
      <c r="O42" s="27"/>
      <c r="P42" s="28"/>
    </row>
    <row r="43" spans="1:29">
      <c r="A43" s="1" t="s">
        <v>27</v>
      </c>
      <c r="B43" s="1" t="s">
        <v>27</v>
      </c>
      <c r="C43" s="1" t="s">
        <v>27</v>
      </c>
      <c r="D43" s="27"/>
      <c r="E43" s="27"/>
      <c r="F43" s="27"/>
      <c r="G43" s="27"/>
      <c r="H43" s="28"/>
      <c r="I43" s="1" t="s">
        <v>27</v>
      </c>
      <c r="J43" s="1" t="s">
        <v>27</v>
      </c>
      <c r="K43" s="1" t="s">
        <v>27</v>
      </c>
      <c r="L43" s="27"/>
      <c r="M43" s="27"/>
      <c r="N43" s="27"/>
      <c r="O43" s="27"/>
      <c r="P43" s="28"/>
    </row>
    <row r="44" spans="1:29">
      <c r="A44" s="1" t="s">
        <v>27</v>
      </c>
      <c r="B44" s="1" t="s">
        <v>27</v>
      </c>
      <c r="C44" s="1" t="s">
        <v>27</v>
      </c>
      <c r="D44" s="27"/>
      <c r="E44" s="27"/>
      <c r="F44" s="27"/>
      <c r="G44" s="27"/>
      <c r="H44" s="28"/>
      <c r="I44" s="1" t="s">
        <v>27</v>
      </c>
      <c r="J44" s="1" t="s">
        <v>27</v>
      </c>
      <c r="K44" s="1" t="s">
        <v>27</v>
      </c>
      <c r="L44" s="27"/>
      <c r="M44" s="27"/>
      <c r="N44" s="27"/>
      <c r="O44" s="27"/>
      <c r="P44" s="28"/>
    </row>
    <row r="45" spans="1:29">
      <c r="A45" s="1" t="s">
        <v>27</v>
      </c>
      <c r="B45" s="1" t="s">
        <v>27</v>
      </c>
      <c r="C45" s="1" t="s">
        <v>27</v>
      </c>
      <c r="D45" s="27"/>
      <c r="E45" s="27"/>
      <c r="F45" s="27"/>
      <c r="G45" s="27"/>
      <c r="H45" s="28"/>
      <c r="I45" s="1" t="s">
        <v>27</v>
      </c>
      <c r="J45" s="1" t="s">
        <v>27</v>
      </c>
      <c r="K45" s="1" t="s">
        <v>27</v>
      </c>
      <c r="L45" s="27"/>
      <c r="M45" s="27"/>
      <c r="N45" s="27"/>
      <c r="O45" s="27"/>
      <c r="P45" s="28"/>
    </row>
    <row r="46" spans="1:29">
      <c r="A46" s="1" t="s">
        <v>27</v>
      </c>
      <c r="B46" s="1" t="s">
        <v>27</v>
      </c>
      <c r="C46" s="1" t="s">
        <v>27</v>
      </c>
      <c r="D46" s="27"/>
      <c r="E46" s="27"/>
      <c r="F46" s="27"/>
      <c r="G46" s="27"/>
      <c r="H46" s="28"/>
      <c r="I46" s="1" t="s">
        <v>27</v>
      </c>
      <c r="J46" s="1" t="s">
        <v>27</v>
      </c>
      <c r="K46" s="1" t="s">
        <v>27</v>
      </c>
      <c r="L46" s="27"/>
      <c r="M46" s="27"/>
      <c r="N46" s="27"/>
      <c r="O46" s="27"/>
      <c r="P46" s="28"/>
    </row>
    <row r="47" spans="1:29">
      <c r="A47" s="1" t="s">
        <v>27</v>
      </c>
      <c r="B47" s="1" t="s">
        <v>27</v>
      </c>
      <c r="C47" s="1" t="s">
        <v>27</v>
      </c>
      <c r="D47" s="27"/>
      <c r="E47" s="27"/>
      <c r="F47" s="27"/>
      <c r="G47" s="27"/>
      <c r="H47" s="28"/>
      <c r="I47" s="1" t="s">
        <v>27</v>
      </c>
      <c r="J47" s="1" t="s">
        <v>27</v>
      </c>
      <c r="K47" s="1" t="s">
        <v>27</v>
      </c>
      <c r="L47" s="27"/>
      <c r="M47" s="27"/>
      <c r="N47" s="27"/>
      <c r="O47" s="27"/>
      <c r="P47" s="28"/>
    </row>
    <row r="48" spans="1:29">
      <c r="A48" s="1" t="s">
        <v>27</v>
      </c>
      <c r="B48" s="1" t="s">
        <v>27</v>
      </c>
      <c r="C48" s="1" t="s">
        <v>27</v>
      </c>
      <c r="D48" s="27"/>
      <c r="E48" s="27"/>
      <c r="F48" s="27"/>
      <c r="G48" s="27"/>
      <c r="H48" s="28"/>
      <c r="I48" s="1" t="s">
        <v>27</v>
      </c>
      <c r="J48" s="1" t="s">
        <v>27</v>
      </c>
      <c r="K48" s="1" t="s">
        <v>27</v>
      </c>
      <c r="L48" s="27"/>
      <c r="M48" s="27"/>
      <c r="N48" s="27"/>
      <c r="O48" s="27"/>
      <c r="P48" s="28"/>
    </row>
    <row r="49" spans="1:16">
      <c r="A49" s="1" t="s">
        <v>27</v>
      </c>
      <c r="B49" s="1" t="s">
        <v>27</v>
      </c>
      <c r="C49" s="1" t="s">
        <v>27</v>
      </c>
      <c r="D49" s="27"/>
      <c r="E49" s="27"/>
      <c r="F49" s="27"/>
      <c r="G49" s="27"/>
      <c r="H49" s="28"/>
      <c r="I49" s="1" t="s">
        <v>27</v>
      </c>
      <c r="J49" s="1" t="s">
        <v>27</v>
      </c>
      <c r="K49" s="1" t="s">
        <v>27</v>
      </c>
      <c r="L49" s="27"/>
      <c r="M49" s="27"/>
      <c r="N49" s="27"/>
      <c r="O49" s="27"/>
      <c r="P49" s="28"/>
    </row>
    <row r="50" spans="1:16">
      <c r="A50" s="1" t="s">
        <v>27</v>
      </c>
      <c r="B50" s="1" t="s">
        <v>27</v>
      </c>
      <c r="C50" s="1" t="s">
        <v>27</v>
      </c>
      <c r="D50" s="27"/>
      <c r="E50" s="27"/>
      <c r="F50" s="27"/>
      <c r="G50" s="27"/>
      <c r="H50" s="28"/>
      <c r="I50" s="1" t="s">
        <v>27</v>
      </c>
      <c r="J50" s="1" t="s">
        <v>27</v>
      </c>
      <c r="K50" s="1" t="s">
        <v>27</v>
      </c>
      <c r="L50" s="27"/>
      <c r="M50" s="27"/>
      <c r="N50" s="27"/>
      <c r="O50" s="27"/>
      <c r="P50" s="28"/>
    </row>
    <row r="51" spans="1:16">
      <c r="A51" s="1" t="s">
        <v>27</v>
      </c>
      <c r="B51" s="1" t="s">
        <v>27</v>
      </c>
      <c r="C51" s="1" t="s">
        <v>27</v>
      </c>
      <c r="D51" s="27"/>
      <c r="E51" s="27"/>
      <c r="F51" s="27"/>
      <c r="G51" s="27"/>
      <c r="H51" s="28"/>
      <c r="I51" s="1" t="s">
        <v>27</v>
      </c>
      <c r="J51" s="1" t="s">
        <v>27</v>
      </c>
      <c r="K51" s="1" t="s">
        <v>27</v>
      </c>
      <c r="L51" s="27"/>
      <c r="M51" s="27"/>
      <c r="N51" s="27"/>
      <c r="O51" s="27"/>
      <c r="P51" s="28"/>
    </row>
    <row r="52" spans="1:16">
      <c r="A52" s="1" t="s">
        <v>27</v>
      </c>
      <c r="B52" s="1" t="s">
        <v>27</v>
      </c>
      <c r="C52" s="1" t="s">
        <v>27</v>
      </c>
      <c r="D52" s="27"/>
      <c r="E52" s="27"/>
      <c r="F52" s="27"/>
      <c r="G52" s="27"/>
      <c r="H52" s="28"/>
      <c r="I52" s="1" t="s">
        <v>27</v>
      </c>
      <c r="J52" s="1" t="s">
        <v>27</v>
      </c>
      <c r="K52" s="1" t="s">
        <v>27</v>
      </c>
      <c r="L52" s="27"/>
      <c r="M52" s="27"/>
      <c r="N52" s="27"/>
      <c r="O52" s="27"/>
      <c r="P52" s="28"/>
    </row>
    <row r="53" spans="1:16">
      <c r="A53" s="1" t="s">
        <v>27</v>
      </c>
      <c r="B53" s="1" t="s">
        <v>27</v>
      </c>
      <c r="C53" s="1" t="s">
        <v>27</v>
      </c>
      <c r="D53" s="27"/>
      <c r="E53" s="27"/>
      <c r="F53" s="27"/>
      <c r="G53" s="27"/>
      <c r="H53" s="28"/>
      <c r="I53" s="1" t="s">
        <v>27</v>
      </c>
      <c r="J53" s="1" t="s">
        <v>27</v>
      </c>
      <c r="K53" s="1" t="s">
        <v>27</v>
      </c>
      <c r="L53" s="27"/>
      <c r="M53" s="27"/>
      <c r="N53" s="27"/>
      <c r="O53" s="27"/>
      <c r="P53" s="28"/>
    </row>
    <row r="54" spans="1:16">
      <c r="A54" s="1" t="s">
        <v>27</v>
      </c>
      <c r="B54" s="1" t="s">
        <v>27</v>
      </c>
      <c r="C54" s="1" t="s">
        <v>27</v>
      </c>
      <c r="D54" s="27"/>
      <c r="E54" s="27"/>
      <c r="F54" s="27"/>
      <c r="G54" s="27"/>
      <c r="H54" s="28"/>
      <c r="I54" s="1" t="s">
        <v>27</v>
      </c>
      <c r="J54" s="1" t="s">
        <v>27</v>
      </c>
      <c r="K54" s="1" t="s">
        <v>27</v>
      </c>
      <c r="L54" s="27"/>
      <c r="M54" s="27"/>
      <c r="N54" s="27"/>
      <c r="O54" s="27"/>
      <c r="P54" s="28"/>
    </row>
    <row r="55" spans="1:16">
      <c r="A55" s="1" t="s">
        <v>27</v>
      </c>
      <c r="B55" s="1" t="s">
        <v>27</v>
      </c>
      <c r="C55" s="1" t="s">
        <v>27</v>
      </c>
      <c r="D55" s="27"/>
      <c r="E55" s="27"/>
      <c r="F55" s="27"/>
      <c r="G55" s="27"/>
      <c r="H55" s="28"/>
      <c r="I55" s="1" t="s">
        <v>27</v>
      </c>
      <c r="J55" s="1" t="s">
        <v>27</v>
      </c>
      <c r="K55" s="1" t="s">
        <v>27</v>
      </c>
      <c r="L55" s="27"/>
      <c r="M55" s="27"/>
      <c r="N55" s="27"/>
      <c r="O55" s="27"/>
      <c r="P55" s="28"/>
    </row>
    <row r="56" spans="1:16">
      <c r="A56" s="1" t="s">
        <v>27</v>
      </c>
      <c r="B56" s="1" t="s">
        <v>27</v>
      </c>
      <c r="C56" s="1" t="s">
        <v>27</v>
      </c>
      <c r="D56" s="27"/>
      <c r="E56" s="27"/>
      <c r="F56" s="27"/>
      <c r="G56" s="27"/>
      <c r="H56" s="28"/>
      <c r="I56" s="1" t="s">
        <v>27</v>
      </c>
      <c r="J56" s="1" t="s">
        <v>27</v>
      </c>
      <c r="K56" s="1" t="s">
        <v>27</v>
      </c>
      <c r="L56" s="27"/>
      <c r="M56" s="27"/>
      <c r="N56" s="27"/>
      <c r="O56" s="27"/>
      <c r="P56" s="28"/>
    </row>
    <row r="57" spans="1:16">
      <c r="A57" s="1" t="s">
        <v>27</v>
      </c>
      <c r="B57" s="1" t="s">
        <v>27</v>
      </c>
      <c r="C57" s="1" t="s">
        <v>27</v>
      </c>
      <c r="D57" s="27"/>
      <c r="E57" s="27"/>
      <c r="F57" s="27"/>
      <c r="G57" s="27"/>
      <c r="H57" s="28"/>
      <c r="I57" s="1" t="s">
        <v>27</v>
      </c>
      <c r="J57" s="1" t="s">
        <v>27</v>
      </c>
      <c r="K57" s="1" t="s">
        <v>27</v>
      </c>
      <c r="L57" s="27"/>
      <c r="M57" s="27"/>
      <c r="N57" s="27"/>
      <c r="O57" s="27"/>
      <c r="P57" s="28"/>
    </row>
    <row r="58" spans="1:16">
      <c r="A58" s="1" t="s">
        <v>27</v>
      </c>
      <c r="B58" s="1" t="s">
        <v>27</v>
      </c>
      <c r="C58" s="1" t="s">
        <v>27</v>
      </c>
      <c r="D58" s="27"/>
      <c r="E58" s="27"/>
      <c r="F58" s="27"/>
      <c r="G58" s="27"/>
      <c r="H58" s="28"/>
      <c r="I58" s="1" t="s">
        <v>27</v>
      </c>
      <c r="J58" s="1" t="s">
        <v>27</v>
      </c>
      <c r="K58" s="1" t="s">
        <v>27</v>
      </c>
      <c r="L58" s="27"/>
      <c r="M58" s="27"/>
      <c r="N58" s="27"/>
      <c r="O58" s="27"/>
      <c r="P58" s="28"/>
    </row>
    <row r="59" spans="1:16">
      <c r="A59" s="1" t="s">
        <v>27</v>
      </c>
      <c r="B59" s="1" t="s">
        <v>27</v>
      </c>
      <c r="C59" s="1" t="s">
        <v>27</v>
      </c>
      <c r="D59" s="27"/>
      <c r="E59" s="27"/>
      <c r="F59" s="27"/>
      <c r="G59" s="27"/>
      <c r="H59" s="28"/>
      <c r="I59" s="1" t="s">
        <v>27</v>
      </c>
      <c r="J59" s="1" t="s">
        <v>27</v>
      </c>
      <c r="K59" s="1" t="s">
        <v>27</v>
      </c>
      <c r="L59" s="27"/>
      <c r="M59" s="27"/>
      <c r="N59" s="27"/>
      <c r="O59" s="27"/>
      <c r="P59" s="28"/>
    </row>
    <row r="60" spans="1:16">
      <c r="A60" s="1" t="s">
        <v>27</v>
      </c>
      <c r="B60" s="1" t="s">
        <v>27</v>
      </c>
      <c r="C60" s="1" t="s">
        <v>27</v>
      </c>
      <c r="D60" s="27"/>
      <c r="E60" s="27"/>
      <c r="F60" s="27"/>
      <c r="G60" s="27"/>
      <c r="H60" s="28"/>
      <c r="I60" s="1" t="s">
        <v>27</v>
      </c>
      <c r="J60" s="1" t="s">
        <v>27</v>
      </c>
      <c r="K60" s="1" t="s">
        <v>27</v>
      </c>
      <c r="L60" s="27"/>
      <c r="M60" s="27"/>
      <c r="N60" s="27"/>
      <c r="O60" s="27"/>
      <c r="P60" s="28"/>
    </row>
    <row r="61" spans="1:16">
      <c r="A61" s="1" t="s">
        <v>27</v>
      </c>
      <c r="B61" s="1" t="s">
        <v>27</v>
      </c>
      <c r="C61" s="1" t="s">
        <v>27</v>
      </c>
      <c r="D61" s="27"/>
      <c r="E61" s="27"/>
      <c r="F61" s="27"/>
      <c r="G61" s="27"/>
      <c r="H61" s="28"/>
      <c r="I61" s="1" t="s">
        <v>27</v>
      </c>
      <c r="J61" s="1" t="s">
        <v>27</v>
      </c>
      <c r="K61" s="1" t="s">
        <v>27</v>
      </c>
      <c r="L61" s="27"/>
      <c r="M61" s="27"/>
      <c r="N61" s="27"/>
      <c r="O61" s="27"/>
      <c r="P61" s="28"/>
    </row>
    <row r="62" spans="1:16">
      <c r="A62" s="1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1" t="s">
        <v>27</v>
      </c>
      <c r="J62" s="1" t="s">
        <v>27</v>
      </c>
      <c r="K62" s="1" t="s">
        <v>27</v>
      </c>
      <c r="L62" s="27"/>
      <c r="M62" s="27"/>
      <c r="N62" s="27"/>
      <c r="O62" s="27"/>
      <c r="P62" s="28"/>
    </row>
    <row r="63" spans="1:16">
      <c r="A63" s="1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1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>
      <c r="A64" s="1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1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>
      <c r="A65" s="1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1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>
      <c r="A66" s="1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1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>
      <c r="A67" s="1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1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>
      <c r="A68" s="1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1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>
      <c r="A69" s="1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1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>
      <c r="A70" s="1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1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>
      <c r="A71" s="1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1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>
      <c r="A72" s="1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1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>
      <c r="A73" s="1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1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>
      <c r="A74" s="1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1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>
      <c r="A75" s="1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1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>
      <c r="A76" s="1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>
      <c r="A77" s="1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>
      <c r="A78" s="1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.75" thickBot="1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5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(VLOOKUP('13.00'!A4,'13.00'!$T$3:$V$28,2,FALSE))</f>
        <v>0</v>
      </c>
      <c r="B4" s="1">
        <f>(VLOOKUP('13.00'!B4,'13.00'!$T$3:$V$28,2,FALSE))</f>
        <v>0</v>
      </c>
      <c r="C4" s="1">
        <f>(VLOOKUP('13.00'!C4,'13.00'!$T$3:$V$28,2,FALSE))</f>
        <v>0</v>
      </c>
      <c r="I4" s="1">
        <f>(VLOOKUP('13.00'!I4,'13.00'!$T$3:$V$28,2,FALSE))</f>
        <v>0</v>
      </c>
      <c r="J4" s="1">
        <f>(VLOOKUP('13.00'!J4,'13.00'!$T$3:$V$28,2,FALSE))</f>
        <v>0</v>
      </c>
      <c r="K4" s="1">
        <f>(VLOOKUP('13.00'!K4,'13.00'!$T$3:$V$28,2,FALSE))</f>
        <v>0</v>
      </c>
    </row>
    <row r="5" spans="1:11">
      <c r="A5" s="1">
        <f>(VLOOKUP('13.00'!A5,'13.00'!$T$3:$V$28,2,FALSE))</f>
        <v>0</v>
      </c>
      <c r="B5" s="1">
        <f>(VLOOKUP('13.00'!B5,'13.00'!$T$3:$V$28,2,FALSE))</f>
        <v>0</v>
      </c>
      <c r="C5" s="1">
        <f>(VLOOKUP('13.00'!C5,'13.00'!$T$3:$V$28,2,FALSE))</f>
        <v>0</v>
      </c>
      <c r="I5" s="1">
        <f>(VLOOKUP('13.00'!I5,'13.00'!$T$3:$V$28,2,FALSE))</f>
        <v>0</v>
      </c>
      <c r="J5" s="1">
        <f>(VLOOKUP('13.00'!J5,'13.00'!$T$3:$V$28,2,FALSE))</f>
        <v>0</v>
      </c>
      <c r="K5" s="1">
        <f>(VLOOKUP('13.00'!K5,'13.00'!$T$3:$V$28,2,FALSE))</f>
        <v>0</v>
      </c>
    </row>
    <row r="6" spans="1:11">
      <c r="A6" s="1">
        <f>(VLOOKUP('13.00'!A6,'13.00'!$T$3:$V$28,2,FALSE))</f>
        <v>0</v>
      </c>
      <c r="B6" s="1">
        <f>(VLOOKUP('13.00'!B6,'13.00'!$T$3:$V$28,2,FALSE))</f>
        <v>0</v>
      </c>
      <c r="C6" s="1">
        <f>(VLOOKUP('13.00'!C6,'13.00'!$T$3:$V$28,2,FALSE))</f>
        <v>0</v>
      </c>
      <c r="I6" s="1">
        <f>(VLOOKUP('13.00'!I6,'13.00'!$T$3:$V$28,2,FALSE))</f>
        <v>0</v>
      </c>
      <c r="J6" s="1">
        <f>(VLOOKUP('13.00'!J6,'13.00'!$T$3:$V$28,2,FALSE))</f>
        <v>0</v>
      </c>
      <c r="K6" s="1">
        <f>(VLOOKUP('13.00'!K6,'13.00'!$T$3:$V$28,2,FALSE))</f>
        <v>0</v>
      </c>
    </row>
    <row r="7" spans="1:11">
      <c r="A7" s="1">
        <f>(VLOOKUP('13.00'!A7,'13.00'!$T$3:$V$28,2,FALSE))</f>
        <v>0</v>
      </c>
      <c r="B7" s="1">
        <f>(VLOOKUP('13.00'!B7,'13.00'!$T$3:$V$28,2,FALSE))</f>
        <v>0</v>
      </c>
      <c r="C7" s="1">
        <f>(VLOOKUP('13.00'!C7,'13.00'!$T$3:$V$28,2,FALSE))</f>
        <v>0</v>
      </c>
      <c r="I7" s="1">
        <f>(VLOOKUP('13.00'!I7,'13.00'!$T$3:$V$28,2,FALSE))</f>
        <v>0</v>
      </c>
      <c r="J7" s="1">
        <f>(VLOOKUP('13.00'!J7,'13.00'!$T$3:$V$28,2,FALSE))</f>
        <v>0</v>
      </c>
      <c r="K7" s="1">
        <f>(VLOOKUP('13.00'!K7,'13.00'!$T$3:$V$28,2,FALSE))</f>
        <v>0</v>
      </c>
    </row>
    <row r="8" spans="1:11">
      <c r="A8" s="1">
        <f>(VLOOKUP('13.00'!A8,'13.00'!$T$3:$V$28,2,FALSE))</f>
        <v>0</v>
      </c>
      <c r="B8" s="1">
        <f>(VLOOKUP('13.00'!B8,'13.00'!$T$3:$V$28,2,FALSE))</f>
        <v>0</v>
      </c>
      <c r="C8" s="1">
        <f>(VLOOKUP('13.00'!C8,'13.00'!$T$3:$V$28,2,FALSE))</f>
        <v>0</v>
      </c>
      <c r="I8" s="1">
        <f>(VLOOKUP('13.00'!I8,'13.00'!$T$3:$V$28,2,FALSE))</f>
        <v>0</v>
      </c>
      <c r="J8" s="1">
        <f>(VLOOKUP('13.00'!J8,'13.00'!$T$3:$V$28,2,FALSE))</f>
        <v>0</v>
      </c>
      <c r="K8" s="1">
        <f>(VLOOKUP('13.00'!K8,'13.00'!$T$3:$V$28,2,FALSE))</f>
        <v>0</v>
      </c>
    </row>
    <row r="9" spans="1:11">
      <c r="A9" s="1">
        <f>(VLOOKUP('13.00'!A9,'13.00'!$T$3:$V$28,2,FALSE))</f>
        <v>0</v>
      </c>
      <c r="B9" s="1">
        <f>(VLOOKUP('13.00'!B9,'13.00'!$T$3:$V$28,2,FALSE))</f>
        <v>0</v>
      </c>
      <c r="C9" s="1">
        <f>(VLOOKUP('13.00'!C9,'13.00'!$T$3:$V$28,2,FALSE))</f>
        <v>0</v>
      </c>
      <c r="I9" s="1">
        <f>(VLOOKUP('13.00'!I9,'13.00'!$T$3:$V$28,2,FALSE))</f>
        <v>0</v>
      </c>
      <c r="J9" s="1">
        <f>(VLOOKUP('13.00'!J9,'13.00'!$T$3:$V$28,2,FALSE))</f>
        <v>0</v>
      </c>
      <c r="K9" s="1">
        <f>(VLOOKUP('13.00'!K9,'13.00'!$T$3:$V$28,2,FALSE))</f>
        <v>0</v>
      </c>
    </row>
    <row r="10" spans="1:11">
      <c r="A10" s="1">
        <f>(VLOOKUP('13.00'!A10,'13.00'!$T$3:$V$28,2,FALSE))</f>
        <v>0</v>
      </c>
      <c r="B10" s="1">
        <f>(VLOOKUP('13.00'!B10,'13.00'!$T$3:$V$28,2,FALSE))</f>
        <v>0</v>
      </c>
      <c r="C10" s="1">
        <f>(VLOOKUP('13.00'!C10,'13.00'!$T$3:$V$28,2,FALSE))</f>
        <v>0</v>
      </c>
      <c r="I10" s="1">
        <f>(VLOOKUP('13.00'!I10,'13.00'!$T$3:$V$28,2,FALSE))</f>
        <v>0</v>
      </c>
      <c r="J10" s="1">
        <f>(VLOOKUP('13.00'!J10,'13.00'!$T$3:$V$28,2,FALSE))</f>
        <v>0</v>
      </c>
      <c r="K10" s="1">
        <f>(VLOOKUP('13.00'!K10,'13.00'!$T$3:$V$28,2,FALSE))</f>
        <v>0</v>
      </c>
    </row>
    <row r="11" spans="1:11">
      <c r="A11" s="1">
        <f>(VLOOKUP('13.00'!A11,'13.00'!$T$3:$V$28,2,FALSE))</f>
        <v>0</v>
      </c>
      <c r="B11" s="1">
        <f>(VLOOKUP('13.00'!B11,'13.00'!$T$3:$V$28,2,FALSE))</f>
        <v>0</v>
      </c>
      <c r="C11" s="1">
        <f>(VLOOKUP('13.00'!C11,'13.00'!$T$3:$V$28,2,FALSE))</f>
        <v>0</v>
      </c>
      <c r="I11" s="1">
        <f>(VLOOKUP('13.00'!I11,'13.00'!$T$3:$V$28,2,FALSE))</f>
        <v>0</v>
      </c>
      <c r="J11" s="1">
        <f>(VLOOKUP('13.00'!J11,'13.00'!$T$3:$V$28,2,FALSE))</f>
        <v>0</v>
      </c>
      <c r="K11" s="1">
        <f>(VLOOKUP('13.00'!K11,'13.00'!$T$3:$V$28,2,FALSE))</f>
        <v>0</v>
      </c>
    </row>
    <row r="12" spans="1:11">
      <c r="A12" s="1">
        <f>(VLOOKUP('13.00'!A12,'13.00'!$T$3:$V$28,2,FALSE))</f>
        <v>0</v>
      </c>
      <c r="B12" s="1">
        <f>(VLOOKUP('13.00'!B12,'13.00'!$T$3:$V$28,2,FALSE))</f>
        <v>0</v>
      </c>
      <c r="C12" s="1">
        <f>(VLOOKUP('13.00'!C12,'13.00'!$T$3:$V$28,2,FALSE))</f>
        <v>0</v>
      </c>
      <c r="I12" s="1">
        <f>(VLOOKUP('13.00'!I12,'13.00'!$T$3:$V$28,2,FALSE))</f>
        <v>0</v>
      </c>
      <c r="J12" s="1">
        <f>(VLOOKUP('13.00'!J12,'13.00'!$T$3:$V$28,2,FALSE))</f>
        <v>0</v>
      </c>
      <c r="K12" s="1">
        <f>(VLOOKUP('13.00'!K12,'13.00'!$T$3:$V$28,2,FALSE))</f>
        <v>0</v>
      </c>
    </row>
    <row r="13" spans="1:11">
      <c r="A13" s="1">
        <f>(VLOOKUP('13.00'!A13,'13.00'!$T$3:$V$28,2,FALSE))</f>
        <v>0</v>
      </c>
      <c r="B13" s="1">
        <f>(VLOOKUP('13.00'!B13,'13.00'!$T$3:$V$28,2,FALSE))</f>
        <v>0</v>
      </c>
      <c r="C13" s="1">
        <f>(VLOOKUP('13.00'!C13,'13.00'!$T$3:$V$28,2,FALSE))</f>
        <v>0</v>
      </c>
      <c r="I13" s="1">
        <f>(VLOOKUP('13.00'!I13,'13.00'!$T$3:$V$28,2,FALSE))</f>
        <v>0</v>
      </c>
      <c r="J13" s="1">
        <f>(VLOOKUP('13.00'!J13,'13.00'!$T$3:$V$28,2,FALSE))</f>
        <v>0</v>
      </c>
      <c r="K13" s="1">
        <f>(VLOOKUP('13.00'!K13,'13.00'!$T$3:$V$28,2,FALSE))</f>
        <v>0</v>
      </c>
    </row>
    <row r="14" spans="1:11">
      <c r="A14" s="1">
        <f>(VLOOKUP('13.00'!A14,'13.00'!$T$3:$V$28,2,FALSE))</f>
        <v>0</v>
      </c>
      <c r="B14" s="1">
        <f>(VLOOKUP('13.00'!B14,'13.00'!$T$3:$V$28,2,FALSE))</f>
        <v>0</v>
      </c>
      <c r="C14" s="1">
        <f>(VLOOKUP('13.00'!C14,'13.00'!$T$3:$V$28,2,FALSE))</f>
        <v>0</v>
      </c>
      <c r="I14" s="1">
        <f>(VLOOKUP('13.00'!I14,'13.00'!$T$3:$V$28,2,FALSE))</f>
        <v>0</v>
      </c>
      <c r="J14" s="1">
        <f>(VLOOKUP('13.00'!J14,'13.00'!$T$3:$V$28,2,FALSE))</f>
        <v>0</v>
      </c>
      <c r="K14" s="1">
        <f>(VLOOKUP('13.00'!K14,'13.00'!$T$3:$V$28,2,FALSE))</f>
        <v>0</v>
      </c>
    </row>
    <row r="15" spans="1:11">
      <c r="A15" s="1">
        <f>(VLOOKUP('13.00'!A15,'13.00'!$T$3:$V$28,2,FALSE))</f>
        <v>0</v>
      </c>
      <c r="B15" s="1">
        <f>(VLOOKUP('13.00'!B15,'13.00'!$T$3:$V$28,2,FALSE))</f>
        <v>0</v>
      </c>
      <c r="C15" s="1">
        <f>(VLOOKUP('13.00'!C15,'13.00'!$T$3:$V$28,2,FALSE))</f>
        <v>0</v>
      </c>
      <c r="I15" s="1">
        <f>(VLOOKUP('13.00'!I15,'13.00'!$T$3:$V$28,2,FALSE))</f>
        <v>0</v>
      </c>
      <c r="J15" s="1">
        <f>(VLOOKUP('13.00'!J15,'13.00'!$T$3:$V$28,2,FALSE))</f>
        <v>0</v>
      </c>
      <c r="K15" s="1">
        <f>(VLOOKUP('13.00'!K15,'13.00'!$T$3:$V$28,2,FALSE))</f>
        <v>0</v>
      </c>
    </row>
    <row r="16" spans="1:11">
      <c r="A16" s="1">
        <f>(VLOOKUP('13.00'!A16,'13.00'!$T$3:$V$28,2,FALSE))</f>
        <v>0</v>
      </c>
      <c r="B16" s="1">
        <f>(VLOOKUP('13.00'!B16,'13.00'!$T$3:$V$28,2,FALSE))</f>
        <v>0</v>
      </c>
      <c r="C16" s="1">
        <f>(VLOOKUP('13.00'!C16,'13.00'!$T$3:$V$28,2,FALSE))</f>
        <v>0</v>
      </c>
      <c r="I16" s="1">
        <f>(VLOOKUP('13.00'!I16,'13.00'!$T$3:$V$28,2,FALSE))</f>
        <v>0</v>
      </c>
      <c r="J16" s="1">
        <f>(VLOOKUP('13.00'!J16,'13.00'!$T$3:$V$28,2,FALSE))</f>
        <v>0</v>
      </c>
      <c r="K16" s="1">
        <f>(VLOOKUP('13.00'!K16,'13.00'!$T$3:$V$28,2,FALSE))</f>
        <v>0</v>
      </c>
    </row>
    <row r="17" spans="1:11">
      <c r="A17" s="1">
        <f>(VLOOKUP('13.00'!A17,'13.00'!$T$3:$V$28,2,FALSE))</f>
        <v>0</v>
      </c>
      <c r="B17" s="1">
        <f>(VLOOKUP('13.00'!B17,'13.00'!$T$3:$V$28,2,FALSE))</f>
        <v>0</v>
      </c>
      <c r="C17" s="1">
        <f>(VLOOKUP('13.00'!C17,'13.00'!$T$3:$V$28,2,FALSE))</f>
        <v>0</v>
      </c>
      <c r="I17" s="1">
        <f>(VLOOKUP('13.00'!I17,'13.00'!$T$3:$V$28,2,FALSE))</f>
        <v>0</v>
      </c>
      <c r="J17" s="1">
        <f>(VLOOKUP('13.00'!J17,'13.00'!$T$3:$V$28,2,FALSE))</f>
        <v>0</v>
      </c>
      <c r="K17" s="1">
        <f>(VLOOKUP('13.00'!K17,'13.00'!$T$3:$V$28,2,FALSE))</f>
        <v>0</v>
      </c>
    </row>
    <row r="18" spans="1:11">
      <c r="A18" s="1">
        <f>(VLOOKUP('13.00'!A18,'13.00'!$T$3:$V$28,2,FALSE))</f>
        <v>0</v>
      </c>
      <c r="B18" s="1">
        <f>(VLOOKUP('13.00'!B18,'13.00'!$T$3:$V$28,2,FALSE))</f>
        <v>0</v>
      </c>
      <c r="C18" s="1">
        <f>(VLOOKUP('13.00'!C18,'13.00'!$T$3:$V$28,2,FALSE))</f>
        <v>0</v>
      </c>
      <c r="I18" s="1">
        <f>(VLOOKUP('13.00'!I18,'13.00'!$T$3:$V$28,2,FALSE))</f>
        <v>0</v>
      </c>
      <c r="J18" s="1">
        <f>(VLOOKUP('13.00'!J18,'13.00'!$T$3:$V$28,2,FALSE))</f>
        <v>0</v>
      </c>
      <c r="K18" s="1">
        <f>(VLOOKUP('13.00'!K18,'13.00'!$T$3:$V$28,2,FALSE))</f>
        <v>0</v>
      </c>
    </row>
    <row r="19" spans="1:11">
      <c r="A19" s="1">
        <f>(VLOOKUP('13.00'!A19,'13.00'!$T$3:$V$28,2,FALSE))</f>
        <v>0</v>
      </c>
      <c r="B19" s="1">
        <f>(VLOOKUP('13.00'!B19,'13.00'!$T$3:$V$28,2,FALSE))</f>
        <v>0</v>
      </c>
      <c r="C19" s="1">
        <f>(VLOOKUP('13.00'!C19,'13.00'!$T$3:$V$28,2,FALSE))</f>
        <v>0</v>
      </c>
      <c r="I19" s="1">
        <f>(VLOOKUP('13.00'!I19,'13.00'!$T$3:$V$28,2,FALSE))</f>
        <v>0</v>
      </c>
      <c r="J19" s="1">
        <f>(VLOOKUP('13.00'!J19,'13.00'!$T$3:$V$28,2,FALSE))</f>
        <v>0</v>
      </c>
      <c r="K19" s="1">
        <f>(VLOOKUP('13.00'!K19,'13.00'!$T$3:$V$28,2,FALSE))</f>
        <v>0</v>
      </c>
    </row>
    <row r="20" spans="1:11">
      <c r="A20" s="1">
        <f>(VLOOKUP('13.00'!A20,'13.00'!$T$3:$V$28,2,FALSE))</f>
        <v>0</v>
      </c>
      <c r="B20" s="1">
        <f>(VLOOKUP('13.00'!B20,'13.00'!$T$3:$V$28,2,FALSE))</f>
        <v>0</v>
      </c>
      <c r="C20" s="1">
        <f>(VLOOKUP('13.00'!C20,'13.00'!$T$3:$V$28,2,FALSE))</f>
        <v>0</v>
      </c>
      <c r="I20" s="1">
        <f>(VLOOKUP('13.00'!I20,'13.00'!$T$3:$V$28,2,FALSE))</f>
        <v>0</v>
      </c>
      <c r="J20" s="1">
        <f>(VLOOKUP('13.00'!J20,'13.00'!$T$3:$V$28,2,FALSE))</f>
        <v>0</v>
      </c>
      <c r="K20" s="1">
        <f>(VLOOKUP('13.00'!K20,'13.00'!$T$3:$V$28,2,FALSE))</f>
        <v>0</v>
      </c>
    </row>
    <row r="21" spans="1:11">
      <c r="A21" s="1">
        <f>(VLOOKUP('13.00'!A21,'13.00'!$T$3:$V$28,2,FALSE))</f>
        <v>0</v>
      </c>
      <c r="B21" s="1">
        <f>(VLOOKUP('13.00'!B21,'13.00'!$T$3:$V$28,2,FALSE))</f>
        <v>0</v>
      </c>
      <c r="C21" s="1">
        <f>(VLOOKUP('13.00'!C21,'13.00'!$T$3:$V$28,2,FALSE))</f>
        <v>0</v>
      </c>
      <c r="I21" s="1">
        <f>(VLOOKUP('13.00'!I21,'13.00'!$T$3:$V$28,2,FALSE))</f>
        <v>0</v>
      </c>
      <c r="J21" s="1">
        <f>(VLOOKUP('13.00'!J21,'13.00'!$T$3:$V$28,2,FALSE))</f>
        <v>0</v>
      </c>
      <c r="K21" s="1">
        <f>(VLOOKUP('13.00'!K21,'13.00'!$T$3:$V$28,2,FALSE))</f>
        <v>0</v>
      </c>
    </row>
    <row r="22" spans="1:11">
      <c r="A22" s="1">
        <f>(VLOOKUP('13.00'!A22,'13.00'!$T$3:$V$28,2,FALSE))</f>
        <v>0</v>
      </c>
      <c r="B22" s="1">
        <f>(VLOOKUP('13.00'!B22,'13.00'!$T$3:$V$28,2,FALSE))</f>
        <v>0</v>
      </c>
      <c r="C22" s="1">
        <f>(VLOOKUP('13.00'!C22,'13.00'!$T$3:$V$28,2,FALSE))</f>
        <v>0</v>
      </c>
      <c r="I22" s="1">
        <f>(VLOOKUP('13.00'!I22,'13.00'!$T$3:$V$28,2,FALSE))</f>
        <v>0</v>
      </c>
      <c r="J22" s="1">
        <f>(VLOOKUP('13.00'!J22,'13.00'!$T$3:$V$28,2,FALSE))</f>
        <v>0</v>
      </c>
      <c r="K22" s="1">
        <f>(VLOOKUP('13.00'!K22,'13.00'!$T$3:$V$28,2,FALSE))</f>
        <v>0</v>
      </c>
    </row>
    <row r="23" spans="1:11">
      <c r="A23" s="1">
        <f>(VLOOKUP('13.00'!A23,'13.00'!$T$3:$V$28,2,FALSE))</f>
        <v>0</v>
      </c>
      <c r="B23" s="1">
        <f>(VLOOKUP('13.00'!B23,'13.00'!$T$3:$V$28,2,FALSE))</f>
        <v>0</v>
      </c>
      <c r="C23" s="1">
        <f>(VLOOKUP('13.00'!C23,'13.00'!$T$3:$V$28,2,FALSE))</f>
        <v>0</v>
      </c>
      <c r="I23" s="1">
        <f>(VLOOKUP('13.00'!I23,'13.00'!$T$3:$V$28,2,FALSE))</f>
        <v>0</v>
      </c>
      <c r="J23" s="1">
        <f>(VLOOKUP('13.00'!J23,'13.00'!$T$3:$V$28,2,FALSE))</f>
        <v>0</v>
      </c>
      <c r="K23" s="1">
        <f>(VLOOKUP('13.00'!K23,'13.00'!$T$3:$V$28,2,FALSE))</f>
        <v>0</v>
      </c>
    </row>
    <row r="24" spans="1:11">
      <c r="A24" s="1">
        <f>(VLOOKUP('13.00'!A24,'13.00'!$T$3:$V$28,2,FALSE))</f>
        <v>0</v>
      </c>
      <c r="B24" s="1">
        <f>(VLOOKUP('13.00'!B24,'13.00'!$T$3:$V$28,2,FALSE))</f>
        <v>0</v>
      </c>
      <c r="C24" s="1">
        <f>(VLOOKUP('13.00'!C24,'13.00'!$T$3:$V$28,2,FALSE))</f>
        <v>0</v>
      </c>
      <c r="I24" s="1">
        <f>(VLOOKUP('13.00'!I24,'13.00'!$T$3:$V$28,2,FALSE))</f>
        <v>0</v>
      </c>
      <c r="J24" s="1">
        <f>(VLOOKUP('13.00'!J24,'13.00'!$T$3:$V$28,2,FALSE))</f>
        <v>0</v>
      </c>
      <c r="K24" s="1">
        <f>(VLOOKUP('13.00'!K24,'13.00'!$T$3:$V$28,2,FALSE))</f>
        <v>0</v>
      </c>
    </row>
    <row r="25" spans="1:11">
      <c r="A25" s="1">
        <f>(VLOOKUP('13.00'!A25,'13.00'!$T$3:$V$28,2,FALSE))</f>
        <v>0</v>
      </c>
      <c r="B25" s="1">
        <f>(VLOOKUP('13.00'!B25,'13.00'!$T$3:$V$28,2,FALSE))</f>
        <v>0</v>
      </c>
      <c r="C25" s="1">
        <f>(VLOOKUP('13.00'!C25,'13.00'!$T$3:$V$28,2,FALSE))</f>
        <v>0</v>
      </c>
      <c r="I25" s="1">
        <f>(VLOOKUP('13.00'!I25,'13.00'!$T$3:$V$28,2,FALSE))</f>
        <v>0</v>
      </c>
      <c r="J25" s="1">
        <f>(VLOOKUP('13.00'!J25,'13.00'!$T$3:$V$28,2,FALSE))</f>
        <v>0</v>
      </c>
      <c r="K25" s="1">
        <f>(VLOOKUP('13.00'!K25,'13.00'!$T$3:$V$28,2,FALSE))</f>
        <v>0</v>
      </c>
    </row>
    <row r="26" spans="1:11">
      <c r="A26" s="1">
        <f>(VLOOKUP('13.00'!A26,'13.00'!$T$3:$V$28,2,FALSE))</f>
        <v>0</v>
      </c>
      <c r="B26" s="1">
        <f>(VLOOKUP('13.00'!B26,'13.00'!$T$3:$V$28,2,FALSE))</f>
        <v>0</v>
      </c>
      <c r="C26" s="1">
        <f>(VLOOKUP('13.00'!C26,'13.00'!$T$3:$V$28,2,FALSE))</f>
        <v>0</v>
      </c>
      <c r="I26" s="1">
        <f>(VLOOKUP('13.00'!I26,'13.00'!$T$3:$V$28,2,FALSE))</f>
        <v>0</v>
      </c>
      <c r="J26" s="1">
        <f>(VLOOKUP('13.00'!J26,'13.00'!$T$3:$V$28,2,FALSE))</f>
        <v>0</v>
      </c>
      <c r="K26" s="1">
        <f>(VLOOKUP('13.00'!K26,'13.00'!$T$3:$V$28,2,FALSE))</f>
        <v>0</v>
      </c>
    </row>
    <row r="27" spans="1:11">
      <c r="A27" s="1">
        <f>(VLOOKUP('13.00'!A27,'13.00'!$T$3:$V$28,2,FALSE))</f>
        <v>0</v>
      </c>
      <c r="B27" s="1">
        <f>(VLOOKUP('13.00'!B27,'13.00'!$T$3:$V$28,2,FALSE))</f>
        <v>0</v>
      </c>
      <c r="C27" s="1">
        <f>(VLOOKUP('13.00'!C27,'13.00'!$T$3:$V$28,2,FALSE))</f>
        <v>0</v>
      </c>
      <c r="I27" s="1">
        <f>(VLOOKUP('13.00'!I27,'13.00'!$T$3:$V$28,2,FALSE))</f>
        <v>0</v>
      </c>
      <c r="J27" s="1">
        <f>(VLOOKUP('13.00'!J27,'13.00'!$T$3:$V$28,2,FALSE))</f>
        <v>0</v>
      </c>
      <c r="K27" s="1">
        <f>(VLOOKUP('13.00'!K27,'13.00'!$T$3:$V$28,2,FALSE))</f>
        <v>0</v>
      </c>
    </row>
    <row r="28" spans="1:11">
      <c r="A28" s="1">
        <f>(VLOOKUP('13.00'!A28,'13.00'!$T$3:$V$28,2,FALSE))</f>
        <v>0</v>
      </c>
      <c r="B28" s="1">
        <f>(VLOOKUP('13.00'!B28,'13.00'!$T$3:$V$28,2,FALSE))</f>
        <v>0</v>
      </c>
      <c r="C28" s="1">
        <f>(VLOOKUP('13.00'!C28,'13.00'!$T$3:$V$28,2,FALSE))</f>
        <v>0</v>
      </c>
      <c r="I28" s="1">
        <f>(VLOOKUP('13.00'!I28,'13.00'!$T$3:$V$28,2,FALSE))</f>
        <v>0</v>
      </c>
      <c r="J28" s="1">
        <f>(VLOOKUP('13.00'!J28,'13.00'!$T$3:$V$28,2,FALSE))</f>
        <v>0</v>
      </c>
      <c r="K28" s="1">
        <f>(VLOOKUP('13.00'!K28,'13.00'!$T$3:$V$28,2,FALSE))</f>
        <v>0</v>
      </c>
    </row>
    <row r="29" spans="1:11">
      <c r="A29" s="1">
        <f>(VLOOKUP('13.00'!A29,'13.00'!$T$3:$V$28,2,FALSE))</f>
        <v>0</v>
      </c>
      <c r="B29" s="1">
        <f>(VLOOKUP('13.00'!B29,'13.00'!$T$3:$V$28,2,FALSE))</f>
        <v>0</v>
      </c>
      <c r="C29" s="1">
        <f>(VLOOKUP('13.00'!C29,'13.00'!$T$3:$V$28,2,FALSE))</f>
        <v>0</v>
      </c>
      <c r="I29" s="1">
        <f>(VLOOKUP('13.00'!I29,'13.00'!$T$3:$V$28,2,FALSE))</f>
        <v>0</v>
      </c>
      <c r="J29" s="1">
        <f>(VLOOKUP('13.00'!J29,'13.00'!$T$3:$V$28,2,FALSE))</f>
        <v>0</v>
      </c>
      <c r="K29" s="1">
        <f>(VLOOKUP('13.00'!K29,'13.00'!$T$3:$V$28,2,FALSE))</f>
        <v>0</v>
      </c>
    </row>
    <row r="30" spans="1:11">
      <c r="A30" s="1">
        <f>(VLOOKUP('13.00'!A30,'13.00'!$T$3:$V$28,2,FALSE))</f>
        <v>0</v>
      </c>
      <c r="B30" s="1">
        <f>(VLOOKUP('13.00'!B30,'13.00'!$T$3:$V$28,2,FALSE))</f>
        <v>0</v>
      </c>
      <c r="C30" s="1">
        <f>(VLOOKUP('13.00'!C30,'13.00'!$T$3:$V$28,2,FALSE))</f>
        <v>0</v>
      </c>
      <c r="I30" s="1">
        <f>(VLOOKUP('13.00'!I30,'13.00'!$T$3:$V$28,2,FALSE))</f>
        <v>0</v>
      </c>
      <c r="J30" s="1">
        <f>(VLOOKUP('13.00'!J30,'13.00'!$T$3:$V$28,2,FALSE))</f>
        <v>0</v>
      </c>
      <c r="K30" s="1">
        <f>(VLOOKUP('13.00'!K30,'13.00'!$T$3:$V$28,2,FALSE))</f>
        <v>0</v>
      </c>
    </row>
    <row r="31" spans="1:11">
      <c r="A31" s="1">
        <f>(VLOOKUP('13.00'!A31,'13.00'!$T$3:$V$28,2,FALSE))</f>
        <v>0</v>
      </c>
      <c r="B31" s="1">
        <f>(VLOOKUP('13.00'!B31,'13.00'!$T$3:$V$28,2,FALSE))</f>
        <v>0</v>
      </c>
      <c r="C31" s="1">
        <f>(VLOOKUP('13.00'!C31,'13.00'!$T$3:$V$28,2,FALSE))</f>
        <v>0</v>
      </c>
      <c r="I31" s="1">
        <f>(VLOOKUP('13.00'!I31,'13.00'!$T$3:$V$28,2,FALSE))</f>
        <v>0</v>
      </c>
      <c r="J31" s="1">
        <f>(VLOOKUP('13.00'!J31,'13.00'!$T$3:$V$28,2,FALSE))</f>
        <v>0</v>
      </c>
      <c r="K31" s="1">
        <f>(VLOOKUP('13.00'!K31,'13.00'!$T$3:$V$28,2,FALSE))</f>
        <v>0</v>
      </c>
    </row>
    <row r="32" spans="1:11">
      <c r="A32" s="1">
        <f>(VLOOKUP('13.00'!A32,'13.00'!$T$3:$V$28,2,FALSE))</f>
        <v>0</v>
      </c>
      <c r="B32" s="1">
        <f>(VLOOKUP('13.00'!B32,'13.00'!$T$3:$V$28,2,FALSE))</f>
        <v>0</v>
      </c>
      <c r="C32" s="1">
        <f>(VLOOKUP('13.00'!C32,'13.00'!$T$3:$V$28,2,FALSE))</f>
        <v>0</v>
      </c>
      <c r="I32" s="1">
        <f>(VLOOKUP('13.00'!I32,'13.00'!$T$3:$V$28,2,FALSE))</f>
        <v>0</v>
      </c>
      <c r="J32" s="1">
        <f>(VLOOKUP('13.00'!J32,'13.00'!$T$3:$V$28,2,FALSE))</f>
        <v>0</v>
      </c>
      <c r="K32" s="1">
        <f>(VLOOKUP('13.00'!K32,'13.00'!$T$3:$V$28,2,FALSE))</f>
        <v>0</v>
      </c>
    </row>
    <row r="33" spans="1:11">
      <c r="A33" s="1">
        <f>(VLOOKUP('13.00'!A33,'13.00'!$T$3:$V$28,2,FALSE))</f>
        <v>0</v>
      </c>
      <c r="B33" s="1">
        <f>(VLOOKUP('13.00'!B33,'13.00'!$T$3:$V$28,2,FALSE))</f>
        <v>0</v>
      </c>
      <c r="C33" s="1">
        <f>(VLOOKUP('13.00'!C33,'13.00'!$T$3:$V$28,2,FALSE))</f>
        <v>0</v>
      </c>
      <c r="I33" s="1">
        <f>(VLOOKUP('13.00'!I33,'13.00'!$T$3:$V$28,2,FALSE))</f>
        <v>0</v>
      </c>
      <c r="J33" s="1">
        <f>(VLOOKUP('13.00'!J33,'13.00'!$T$3:$V$28,2,FALSE))</f>
        <v>0</v>
      </c>
      <c r="K33" s="1">
        <f>(VLOOKUP('13.00'!K33,'13.00'!$T$3:$V$28,2,FALSE))</f>
        <v>0</v>
      </c>
    </row>
    <row r="34" spans="1:11">
      <c r="A34" s="1">
        <f>(VLOOKUP('13.00'!A34,'13.00'!$T$3:$V$28,2,FALSE))</f>
        <v>0</v>
      </c>
      <c r="B34" s="1">
        <f>(VLOOKUP('13.00'!B34,'13.00'!$T$3:$V$28,2,FALSE))</f>
        <v>0</v>
      </c>
      <c r="C34" s="1">
        <f>(VLOOKUP('13.00'!C34,'13.00'!$T$3:$V$28,2,FALSE))</f>
        <v>0</v>
      </c>
      <c r="I34" s="1">
        <f>(VLOOKUP('13.00'!I34,'13.00'!$T$3:$V$28,2,FALSE))</f>
        <v>0</v>
      </c>
      <c r="J34" s="1">
        <f>(VLOOKUP('13.00'!J34,'13.00'!$T$3:$V$28,2,FALSE))</f>
        <v>0</v>
      </c>
      <c r="K34" s="1">
        <f>(VLOOKUP('13.00'!K34,'13.00'!$T$3:$V$28,2,FALSE))</f>
        <v>0</v>
      </c>
    </row>
    <row r="35" spans="1:11">
      <c r="A35" s="1">
        <f>(VLOOKUP('13.00'!A35,'13.00'!$T$3:$V$28,2,FALSE))</f>
        <v>0</v>
      </c>
      <c r="B35" s="1">
        <f>(VLOOKUP('13.00'!B35,'13.00'!$T$3:$V$28,2,FALSE))</f>
        <v>0</v>
      </c>
      <c r="C35" s="1">
        <f>(VLOOKUP('13.00'!C35,'13.00'!$T$3:$V$28,2,FALSE))</f>
        <v>0</v>
      </c>
      <c r="I35" s="1">
        <f>(VLOOKUP('13.00'!I35,'13.00'!$T$3:$V$28,2,FALSE))</f>
        <v>0</v>
      </c>
      <c r="J35" s="1">
        <f>(VLOOKUP('13.00'!J35,'13.00'!$T$3:$V$28,2,FALSE))</f>
        <v>0</v>
      </c>
      <c r="K35" s="1">
        <f>(VLOOKUP('13.00'!K35,'13.00'!$T$3:$V$28,2,FALSE))</f>
        <v>0</v>
      </c>
    </row>
    <row r="36" spans="1:11">
      <c r="A36" s="1">
        <f>(VLOOKUP('13.00'!A36,'13.00'!$T$3:$V$28,2,FALSE))</f>
        <v>0</v>
      </c>
      <c r="B36" s="1">
        <f>(VLOOKUP('13.00'!B36,'13.00'!$T$3:$V$28,2,FALSE))</f>
        <v>0</v>
      </c>
      <c r="C36" s="1">
        <f>(VLOOKUP('13.00'!C36,'13.00'!$T$3:$V$28,2,FALSE))</f>
        <v>0</v>
      </c>
      <c r="I36" s="1">
        <f>(VLOOKUP('13.00'!I36,'13.00'!$T$3:$V$28,2,FALSE))</f>
        <v>0</v>
      </c>
      <c r="J36" s="1">
        <f>(VLOOKUP('13.00'!J36,'13.00'!$T$3:$V$28,2,FALSE))</f>
        <v>0</v>
      </c>
      <c r="K36" s="1">
        <f>(VLOOKUP('13.00'!K36,'13.00'!$T$3:$V$28,2,FALSE))</f>
        <v>0</v>
      </c>
    </row>
    <row r="37" spans="1:11">
      <c r="A37" s="1">
        <f>(VLOOKUP('13.00'!A37,'13.00'!$T$3:$V$28,2,FALSE))</f>
        <v>0</v>
      </c>
      <c r="B37" s="1">
        <f>(VLOOKUP('13.00'!B37,'13.00'!$T$3:$V$28,2,FALSE))</f>
        <v>0</v>
      </c>
      <c r="C37" s="1">
        <f>(VLOOKUP('13.00'!C37,'13.00'!$T$3:$V$28,2,FALSE))</f>
        <v>0</v>
      </c>
      <c r="I37" s="1">
        <f>(VLOOKUP('13.00'!I37,'13.00'!$T$3:$V$28,2,FALSE))</f>
        <v>0</v>
      </c>
      <c r="J37" s="1">
        <f>(VLOOKUP('13.00'!J37,'13.00'!$T$3:$V$28,2,FALSE))</f>
        <v>0</v>
      </c>
      <c r="K37" s="1">
        <f>(VLOOKUP('13.00'!K37,'13.00'!$T$3:$V$28,2,FALSE))</f>
        <v>0</v>
      </c>
    </row>
    <row r="38" spans="1:11">
      <c r="A38" s="1">
        <f>(VLOOKUP('13.00'!A38,'13.00'!$T$3:$V$28,2,FALSE))</f>
        <v>0</v>
      </c>
      <c r="B38" s="1">
        <f>(VLOOKUP('13.00'!B38,'13.00'!$T$3:$V$28,2,FALSE))</f>
        <v>0</v>
      </c>
      <c r="C38" s="1">
        <f>(VLOOKUP('13.00'!C38,'13.00'!$T$3:$V$28,2,FALSE))</f>
        <v>0</v>
      </c>
      <c r="I38" s="1">
        <f>(VLOOKUP('13.00'!I38,'13.00'!$T$3:$V$28,2,FALSE))</f>
        <v>0</v>
      </c>
      <c r="J38" s="1">
        <f>(VLOOKUP('13.00'!J38,'13.00'!$T$3:$V$28,2,FALSE))</f>
        <v>0</v>
      </c>
      <c r="K38" s="1">
        <f>(VLOOKUP('13.00'!K38,'13.00'!$T$3:$V$28,2,FALSE))</f>
        <v>0</v>
      </c>
    </row>
    <row r="39" spans="1:11">
      <c r="A39" s="1">
        <f>(VLOOKUP('13.00'!A39,'13.00'!$T$3:$V$28,2,FALSE))</f>
        <v>0</v>
      </c>
      <c r="B39" s="1">
        <f>(VLOOKUP('13.00'!B39,'13.00'!$T$3:$V$28,2,FALSE))</f>
        <v>0</v>
      </c>
      <c r="C39" s="1">
        <f>(VLOOKUP('13.00'!C39,'13.00'!$T$3:$V$28,2,FALSE))</f>
        <v>0</v>
      </c>
      <c r="I39" s="1">
        <f>(VLOOKUP('13.00'!I39,'13.00'!$T$3:$V$28,2,FALSE))</f>
        <v>0</v>
      </c>
      <c r="J39" s="1">
        <f>(VLOOKUP('13.00'!J39,'13.00'!$T$3:$V$28,2,FALSE))</f>
        <v>0</v>
      </c>
      <c r="K39" s="1">
        <f>(VLOOKUP('13.00'!K39,'13.00'!$T$3:$V$28,2,FALSE))</f>
        <v>0</v>
      </c>
    </row>
    <row r="40" spans="1:11">
      <c r="A40" s="1">
        <f>(VLOOKUP('13.00'!A40,'13.00'!$T$3:$V$28,2,FALSE))</f>
        <v>0</v>
      </c>
      <c r="B40" s="1">
        <f>(VLOOKUP('13.00'!B40,'13.00'!$T$3:$V$28,2,FALSE))</f>
        <v>0</v>
      </c>
      <c r="C40" s="1">
        <f>(VLOOKUP('13.00'!C40,'13.00'!$T$3:$V$28,2,FALSE))</f>
        <v>0</v>
      </c>
      <c r="I40" s="1">
        <f>(VLOOKUP('13.00'!I40,'13.00'!$T$3:$V$28,2,FALSE))</f>
        <v>0</v>
      </c>
      <c r="J40" s="1">
        <f>(VLOOKUP('13.00'!J40,'13.00'!$T$3:$V$28,2,FALSE))</f>
        <v>0</v>
      </c>
      <c r="K40" s="1">
        <f>(VLOOKUP('13.00'!K40,'13.00'!$T$3:$V$28,2,FALSE))</f>
        <v>0</v>
      </c>
    </row>
    <row r="41" spans="1:11">
      <c r="A41" s="1">
        <f>(VLOOKUP('13.00'!A41,'13.00'!$T$3:$V$28,2,FALSE))</f>
        <v>0</v>
      </c>
      <c r="B41" s="1">
        <f>(VLOOKUP('13.00'!B41,'13.00'!$T$3:$V$28,2,FALSE))</f>
        <v>0</v>
      </c>
      <c r="C41" s="1">
        <f>(VLOOKUP('13.00'!C41,'13.00'!$T$3:$V$28,2,FALSE))</f>
        <v>0</v>
      </c>
      <c r="I41" s="1">
        <f>(VLOOKUP('13.00'!I41,'13.00'!$T$3:$V$28,2,FALSE))</f>
        <v>0</v>
      </c>
      <c r="J41" s="1">
        <f>(VLOOKUP('13.00'!J41,'13.00'!$T$3:$V$28,2,FALSE))</f>
        <v>0</v>
      </c>
      <c r="K41" s="1">
        <f>(VLOOKUP('13.00'!K41,'13.00'!$T$3:$V$28,2,FALSE))</f>
        <v>0</v>
      </c>
    </row>
    <row r="42" spans="1:11">
      <c r="A42" s="1">
        <f>(VLOOKUP('13.00'!A42,'13.00'!$T$3:$V$28,2,FALSE))</f>
        <v>0</v>
      </c>
      <c r="B42" s="1">
        <f>(VLOOKUP('13.00'!B42,'13.00'!$T$3:$V$28,2,FALSE))</f>
        <v>0</v>
      </c>
      <c r="C42" s="1">
        <f>(VLOOKUP('13.00'!C42,'13.00'!$T$3:$V$28,2,FALSE))</f>
        <v>0</v>
      </c>
      <c r="I42" s="1">
        <f>(VLOOKUP('13.00'!I42,'13.00'!$T$3:$V$28,2,FALSE))</f>
        <v>0</v>
      </c>
      <c r="J42" s="1">
        <f>(VLOOKUP('13.00'!J42,'13.00'!$T$3:$V$28,2,FALSE))</f>
        <v>0</v>
      </c>
      <c r="K42" s="1">
        <f>(VLOOKUP('13.00'!K42,'13.00'!$T$3:$V$28,2,FALSE))</f>
        <v>0</v>
      </c>
    </row>
    <row r="43" spans="1:11">
      <c r="A43" s="1">
        <f>(VLOOKUP('13.00'!A43,'13.00'!$T$3:$V$28,2,FALSE))</f>
        <v>0</v>
      </c>
      <c r="B43" s="1">
        <f>(VLOOKUP('13.00'!B43,'13.00'!$T$3:$V$28,2,FALSE))</f>
        <v>0</v>
      </c>
      <c r="C43" s="1">
        <f>(VLOOKUP('13.00'!C43,'13.00'!$T$3:$V$28,2,FALSE))</f>
        <v>0</v>
      </c>
      <c r="I43" s="1">
        <f>(VLOOKUP('13.00'!I43,'13.00'!$T$3:$V$28,2,FALSE))</f>
        <v>0</v>
      </c>
      <c r="J43" s="1">
        <f>(VLOOKUP('13.00'!J43,'13.00'!$T$3:$V$28,2,FALSE))</f>
        <v>0</v>
      </c>
      <c r="K43" s="1">
        <f>(VLOOKUP('13.00'!K43,'13.00'!$T$3:$V$28,2,FALSE))</f>
        <v>0</v>
      </c>
    </row>
    <row r="44" spans="1:11">
      <c r="A44" s="1">
        <f>(VLOOKUP('13.00'!A44,'13.00'!$T$3:$V$28,2,FALSE))</f>
        <v>0</v>
      </c>
      <c r="B44" s="1">
        <f>(VLOOKUP('13.00'!B44,'13.00'!$T$3:$V$28,2,FALSE))</f>
        <v>0</v>
      </c>
      <c r="C44" s="1">
        <f>(VLOOKUP('13.00'!C44,'13.00'!$T$3:$V$28,2,FALSE))</f>
        <v>0</v>
      </c>
      <c r="I44" s="1">
        <f>(VLOOKUP('13.00'!I44,'13.00'!$T$3:$V$28,2,FALSE))</f>
        <v>0</v>
      </c>
      <c r="J44" s="1">
        <f>(VLOOKUP('13.00'!J44,'13.00'!$T$3:$V$28,2,FALSE))</f>
        <v>0</v>
      </c>
      <c r="K44" s="1">
        <f>(VLOOKUP('13.00'!K44,'13.00'!$T$3:$V$28,2,FALSE))</f>
        <v>0</v>
      </c>
    </row>
    <row r="45" spans="1:11">
      <c r="A45" s="1">
        <f>(VLOOKUP('13.00'!A45,'13.00'!$T$3:$V$28,2,FALSE))</f>
        <v>0</v>
      </c>
      <c r="B45" s="1">
        <f>(VLOOKUP('13.00'!B45,'13.00'!$T$3:$V$28,2,FALSE))</f>
        <v>0</v>
      </c>
      <c r="C45" s="1">
        <f>(VLOOKUP('13.00'!C45,'13.00'!$T$3:$V$28,2,FALSE))</f>
        <v>0</v>
      </c>
      <c r="I45" s="1">
        <f>(VLOOKUP('13.00'!I45,'13.00'!$T$3:$V$28,2,FALSE))</f>
        <v>0</v>
      </c>
      <c r="J45" s="1">
        <f>(VLOOKUP('13.00'!J45,'13.00'!$T$3:$V$28,2,FALSE))</f>
        <v>0</v>
      </c>
      <c r="K45" s="1">
        <f>(VLOOKUP('13.00'!K45,'13.00'!$T$3:$V$28,2,FALSE))</f>
        <v>0</v>
      </c>
    </row>
    <row r="46" spans="1:11">
      <c r="A46" s="1">
        <f>(VLOOKUP('13.00'!A46,'13.00'!$T$3:$V$28,2,FALSE))</f>
        <v>0</v>
      </c>
      <c r="B46" s="1">
        <f>(VLOOKUP('13.00'!B46,'13.00'!$T$3:$V$28,2,FALSE))</f>
        <v>0</v>
      </c>
      <c r="C46" s="1">
        <f>(VLOOKUP('13.00'!C46,'13.00'!$T$3:$V$28,2,FALSE))</f>
        <v>0</v>
      </c>
      <c r="I46" s="1">
        <f>(VLOOKUP('13.00'!I46,'13.00'!$T$3:$V$28,2,FALSE))</f>
        <v>0</v>
      </c>
      <c r="J46" s="1">
        <f>(VLOOKUP('13.00'!J46,'13.00'!$T$3:$V$28,2,FALSE))</f>
        <v>0</v>
      </c>
      <c r="K46" s="1">
        <f>(VLOOKUP('13.00'!K46,'13.00'!$T$3:$V$28,2,FALSE))</f>
        <v>0</v>
      </c>
    </row>
    <row r="47" spans="1:11">
      <c r="A47" s="1">
        <f>(VLOOKUP('13.00'!A47,'13.00'!$T$3:$V$28,2,FALSE))</f>
        <v>0</v>
      </c>
      <c r="B47" s="1">
        <f>(VLOOKUP('13.00'!B47,'13.00'!$T$3:$V$28,2,FALSE))</f>
        <v>0</v>
      </c>
      <c r="C47" s="1">
        <f>(VLOOKUP('13.00'!C47,'13.00'!$T$3:$V$28,2,FALSE))</f>
        <v>0</v>
      </c>
      <c r="I47" s="1">
        <f>(VLOOKUP('13.00'!I47,'13.00'!$T$3:$V$28,2,FALSE))</f>
        <v>0</v>
      </c>
      <c r="J47" s="1">
        <f>(VLOOKUP('13.00'!J47,'13.00'!$T$3:$V$28,2,FALSE))</f>
        <v>0</v>
      </c>
      <c r="K47" s="1">
        <f>(VLOOKUP('13.00'!K47,'13.00'!$T$3:$V$28,2,FALSE))</f>
        <v>0</v>
      </c>
    </row>
    <row r="48" spans="1:11">
      <c r="A48" s="1">
        <f>(VLOOKUP('13.00'!A48,'13.00'!$T$3:$V$28,2,FALSE))</f>
        <v>0</v>
      </c>
      <c r="B48" s="1">
        <f>(VLOOKUP('13.00'!B48,'13.00'!$T$3:$V$28,2,FALSE))</f>
        <v>0</v>
      </c>
      <c r="C48" s="1">
        <f>(VLOOKUP('13.00'!C48,'13.00'!$T$3:$V$28,2,FALSE))</f>
        <v>0</v>
      </c>
      <c r="I48" s="1">
        <f>(VLOOKUP('13.00'!I48,'13.00'!$T$3:$V$28,2,FALSE))</f>
        <v>0</v>
      </c>
      <c r="J48" s="1">
        <f>(VLOOKUP('13.00'!J48,'13.00'!$T$3:$V$28,2,FALSE))</f>
        <v>0</v>
      </c>
      <c r="K48" s="1">
        <f>(VLOOKUP('13.00'!K48,'13.00'!$T$3:$V$28,2,FALSE))</f>
        <v>0</v>
      </c>
    </row>
    <row r="49" spans="1:11">
      <c r="A49" s="1">
        <f>(VLOOKUP('13.00'!A49,'13.00'!$T$3:$V$28,2,FALSE))</f>
        <v>0</v>
      </c>
      <c r="B49" s="1">
        <f>(VLOOKUP('13.00'!B49,'13.00'!$T$3:$V$28,2,FALSE))</f>
        <v>0</v>
      </c>
      <c r="C49" s="1">
        <f>(VLOOKUP('13.00'!C49,'13.00'!$T$3:$V$28,2,FALSE))</f>
        <v>0</v>
      </c>
      <c r="I49" s="1">
        <f>(VLOOKUP('13.00'!I49,'13.00'!$T$3:$V$28,2,FALSE))</f>
        <v>0</v>
      </c>
      <c r="J49" s="1">
        <f>(VLOOKUP('13.00'!J49,'13.00'!$T$3:$V$28,2,FALSE))</f>
        <v>0</v>
      </c>
      <c r="K49" s="1">
        <f>(VLOOKUP('13.00'!K49,'13.00'!$T$3:$V$28,2,FALSE))</f>
        <v>0</v>
      </c>
    </row>
    <row r="50" spans="1:11">
      <c r="A50" s="1">
        <f>(VLOOKUP('13.00'!A50,'13.00'!$T$3:$V$28,2,FALSE))</f>
        <v>0</v>
      </c>
      <c r="B50" s="1">
        <f>(VLOOKUP('13.00'!B50,'13.00'!$T$3:$V$28,2,FALSE))</f>
        <v>0</v>
      </c>
      <c r="C50" s="1">
        <f>(VLOOKUP('13.00'!C50,'13.00'!$T$3:$V$28,2,FALSE))</f>
        <v>0</v>
      </c>
      <c r="I50" s="1">
        <f>(VLOOKUP('13.00'!I50,'13.00'!$T$3:$V$28,2,FALSE))</f>
        <v>0</v>
      </c>
      <c r="J50" s="1">
        <f>(VLOOKUP('13.00'!J50,'13.00'!$T$3:$V$28,2,FALSE))</f>
        <v>0</v>
      </c>
      <c r="K50" s="1">
        <f>(VLOOKUP('13.00'!K50,'13.00'!$T$3:$V$28,2,FALSE))</f>
        <v>0</v>
      </c>
    </row>
    <row r="51" spans="1:11">
      <c r="A51" s="1">
        <f>(VLOOKUP('13.00'!A51,'13.00'!$T$3:$V$28,2,FALSE))</f>
        <v>0</v>
      </c>
      <c r="B51" s="1">
        <f>(VLOOKUP('13.00'!B51,'13.00'!$T$3:$V$28,2,FALSE))</f>
        <v>0</v>
      </c>
      <c r="C51" s="1">
        <f>(VLOOKUP('13.00'!C51,'13.00'!$T$3:$V$28,2,FALSE))</f>
        <v>0</v>
      </c>
      <c r="I51" s="1">
        <f>(VLOOKUP('13.00'!I51,'13.00'!$T$3:$V$28,2,FALSE))</f>
        <v>0</v>
      </c>
      <c r="J51" s="1">
        <f>(VLOOKUP('13.00'!J51,'13.00'!$T$3:$V$28,2,FALSE))</f>
        <v>0</v>
      </c>
      <c r="K51" s="1">
        <f>(VLOOKUP('13.00'!K51,'13.00'!$T$3:$V$28,2,FALSE))</f>
        <v>0</v>
      </c>
    </row>
    <row r="52" spans="1:11">
      <c r="A52" s="1">
        <f>(VLOOKUP('13.00'!A52,'13.00'!$T$3:$V$28,2,FALSE))</f>
        <v>0</v>
      </c>
      <c r="B52" s="1">
        <f>(VLOOKUP('13.00'!B52,'13.00'!$T$3:$V$28,2,FALSE))</f>
        <v>0</v>
      </c>
      <c r="C52" s="1">
        <f>(VLOOKUP('13.00'!C52,'13.00'!$T$3:$V$28,2,FALSE))</f>
        <v>0</v>
      </c>
      <c r="I52" s="1">
        <f>(VLOOKUP('13.00'!I52,'13.00'!$T$3:$V$28,2,FALSE))</f>
        <v>0</v>
      </c>
      <c r="J52" s="1">
        <f>(VLOOKUP('13.00'!J52,'13.00'!$T$3:$V$28,2,FALSE))</f>
        <v>0</v>
      </c>
      <c r="K52" s="1">
        <f>(VLOOKUP('13.00'!K52,'13.00'!$T$3:$V$28,2,FALSE))</f>
        <v>0</v>
      </c>
    </row>
    <row r="53" spans="1:11">
      <c r="A53" s="1">
        <f>(VLOOKUP('13.00'!A53,'13.00'!$T$3:$V$28,2,FALSE))</f>
        <v>0</v>
      </c>
      <c r="B53" s="1">
        <f>(VLOOKUP('13.00'!B53,'13.00'!$T$3:$V$28,2,FALSE))</f>
        <v>0</v>
      </c>
      <c r="C53" s="1">
        <f>(VLOOKUP('13.00'!C53,'13.00'!$T$3:$V$28,2,FALSE))</f>
        <v>0</v>
      </c>
      <c r="I53" s="1">
        <f>(VLOOKUP('13.00'!I53,'13.00'!$T$3:$V$28,2,FALSE))</f>
        <v>0</v>
      </c>
      <c r="J53" s="1">
        <f>(VLOOKUP('13.00'!J53,'13.00'!$T$3:$V$28,2,FALSE))</f>
        <v>0</v>
      </c>
      <c r="K53" s="1">
        <f>(VLOOKUP('13.00'!K53,'13.00'!$T$3:$V$28,2,FALSE))</f>
        <v>0</v>
      </c>
    </row>
    <row r="54" spans="1:11">
      <c r="A54" s="1">
        <f>(VLOOKUP('13.00'!A54,'13.00'!$T$3:$V$28,2,FALSE))</f>
        <v>0</v>
      </c>
      <c r="B54" s="1">
        <f>(VLOOKUP('13.00'!B54,'13.00'!$T$3:$V$28,2,FALSE))</f>
        <v>0</v>
      </c>
      <c r="C54" s="1">
        <f>(VLOOKUP('13.00'!C54,'13.00'!$T$3:$V$28,2,FALSE))</f>
        <v>0</v>
      </c>
      <c r="I54" s="1">
        <f>(VLOOKUP('13.00'!I54,'13.00'!$T$3:$V$28,2,FALSE))</f>
        <v>0</v>
      </c>
      <c r="J54" s="1">
        <f>(VLOOKUP('13.00'!J54,'13.00'!$T$3:$V$28,2,FALSE))</f>
        <v>0</v>
      </c>
      <c r="K54" s="1">
        <f>(VLOOKUP('13.00'!K54,'13.00'!$T$3:$V$28,2,FALSE))</f>
        <v>0</v>
      </c>
    </row>
    <row r="55" spans="1:11">
      <c r="A55" s="1">
        <f>(VLOOKUP('13.00'!A55,'13.00'!$T$3:$V$28,2,FALSE))</f>
        <v>0</v>
      </c>
      <c r="B55" s="1">
        <f>(VLOOKUP('13.00'!B55,'13.00'!$T$3:$V$28,2,FALSE))</f>
        <v>0</v>
      </c>
      <c r="C55" s="1">
        <f>(VLOOKUP('13.00'!C55,'13.00'!$T$3:$V$28,2,FALSE))</f>
        <v>0</v>
      </c>
      <c r="I55" s="1">
        <f>(VLOOKUP('13.00'!I55,'13.00'!$T$3:$V$28,2,FALSE))</f>
        <v>0</v>
      </c>
      <c r="J55" s="1">
        <f>(VLOOKUP('13.00'!J55,'13.00'!$T$3:$V$28,2,FALSE))</f>
        <v>0</v>
      </c>
      <c r="K55" s="1">
        <f>(VLOOKUP('13.00'!K55,'13.00'!$T$3:$V$28,2,FALSE))</f>
        <v>0</v>
      </c>
    </row>
    <row r="56" spans="1:11">
      <c r="A56" s="1">
        <f>(VLOOKUP('13.00'!A56,'13.00'!$T$3:$V$28,2,FALSE))</f>
        <v>0</v>
      </c>
      <c r="B56" s="1">
        <f>(VLOOKUP('13.00'!B56,'13.00'!$T$3:$V$28,2,FALSE))</f>
        <v>0</v>
      </c>
      <c r="C56" s="1">
        <f>(VLOOKUP('13.00'!C56,'13.00'!$T$3:$V$28,2,FALSE))</f>
        <v>0</v>
      </c>
      <c r="I56" s="1">
        <f>(VLOOKUP('13.00'!I56,'13.00'!$T$3:$V$28,2,FALSE))</f>
        <v>0</v>
      </c>
      <c r="J56" s="1">
        <f>(VLOOKUP('13.00'!J56,'13.00'!$T$3:$V$28,2,FALSE))</f>
        <v>0</v>
      </c>
      <c r="K56" s="1">
        <f>(VLOOKUP('13.00'!K56,'13.00'!$T$3:$V$28,2,FALSE))</f>
        <v>0</v>
      </c>
    </row>
    <row r="57" spans="1:11">
      <c r="A57" s="1">
        <f>(VLOOKUP('13.00'!A57,'13.00'!$T$3:$V$28,2,FALSE))</f>
        <v>0</v>
      </c>
      <c r="B57" s="1">
        <f>(VLOOKUP('13.00'!B57,'13.00'!$T$3:$V$28,2,FALSE))</f>
        <v>0</v>
      </c>
      <c r="C57" s="1">
        <f>(VLOOKUP('13.00'!C57,'13.00'!$T$3:$V$28,2,FALSE))</f>
        <v>0</v>
      </c>
      <c r="I57" s="1">
        <f>(VLOOKUP('13.00'!I57,'13.00'!$T$3:$V$28,2,FALSE))</f>
        <v>0</v>
      </c>
      <c r="J57" s="1">
        <f>(VLOOKUP('13.00'!J57,'13.00'!$T$3:$V$28,2,FALSE))</f>
        <v>0</v>
      </c>
      <c r="K57" s="1">
        <f>(VLOOKUP('13.00'!K57,'13.00'!$T$3:$V$28,2,FALSE))</f>
        <v>0</v>
      </c>
    </row>
    <row r="58" spans="1:11">
      <c r="A58" s="1">
        <f>(VLOOKUP('13.00'!A58,'13.00'!$T$3:$V$28,2,FALSE))</f>
        <v>0</v>
      </c>
      <c r="B58" s="1">
        <f>(VLOOKUP('13.00'!B58,'13.00'!$T$3:$V$28,2,FALSE))</f>
        <v>0</v>
      </c>
      <c r="C58" s="1">
        <f>(VLOOKUP('13.00'!C58,'13.00'!$T$3:$V$28,2,FALSE))</f>
        <v>0</v>
      </c>
      <c r="I58" s="1">
        <f>(VLOOKUP('13.00'!I58,'13.00'!$T$3:$V$28,2,FALSE))</f>
        <v>0</v>
      </c>
      <c r="J58" s="1">
        <f>(VLOOKUP('13.00'!J58,'13.00'!$T$3:$V$28,2,FALSE))</f>
        <v>0</v>
      </c>
      <c r="K58" s="1">
        <f>(VLOOKUP('13.00'!K58,'13.00'!$T$3:$V$28,2,FALSE))</f>
        <v>0</v>
      </c>
    </row>
    <row r="59" spans="1:11">
      <c r="A59" s="1">
        <f>(VLOOKUP('13.00'!A59,'13.00'!$T$3:$V$28,2,FALSE))</f>
        <v>0</v>
      </c>
      <c r="B59" s="1">
        <f>(VLOOKUP('13.00'!B59,'13.00'!$T$3:$V$28,2,FALSE))</f>
        <v>0</v>
      </c>
      <c r="C59" s="1">
        <f>(VLOOKUP('13.00'!C59,'13.00'!$T$3:$V$28,2,FALSE))</f>
        <v>0</v>
      </c>
      <c r="I59" s="1">
        <f>(VLOOKUP('13.00'!I59,'13.00'!$T$3:$V$28,2,FALSE))</f>
        <v>0</v>
      </c>
      <c r="J59" s="1">
        <f>(VLOOKUP('13.00'!J59,'13.00'!$T$3:$V$28,2,FALSE))</f>
        <v>0</v>
      </c>
      <c r="K59" s="1">
        <f>(VLOOKUP('13.00'!K59,'13.00'!$T$3:$V$28,2,FALSE))</f>
        <v>0</v>
      </c>
    </row>
    <row r="60" spans="1:11">
      <c r="A60" s="1">
        <f>(VLOOKUP('13.00'!A60,'13.00'!$T$3:$V$28,2,FALSE))</f>
        <v>0</v>
      </c>
      <c r="B60" s="1">
        <f>(VLOOKUP('13.00'!B60,'13.00'!$T$3:$V$28,2,FALSE))</f>
        <v>0</v>
      </c>
      <c r="C60" s="1">
        <f>(VLOOKUP('13.00'!C60,'13.00'!$T$3:$V$28,2,FALSE))</f>
        <v>0</v>
      </c>
      <c r="I60" s="1">
        <f>(VLOOKUP('13.00'!I60,'13.00'!$T$3:$V$28,2,FALSE))</f>
        <v>0</v>
      </c>
      <c r="J60" s="1">
        <f>(VLOOKUP('13.00'!J60,'13.00'!$T$3:$V$28,2,FALSE))</f>
        <v>0</v>
      </c>
      <c r="K60" s="1">
        <f>(VLOOKUP('13.00'!K60,'13.00'!$T$3:$V$28,2,FALSE))</f>
        <v>0</v>
      </c>
    </row>
    <row r="61" spans="1:11">
      <c r="A61" s="1">
        <f>(VLOOKUP('13.00'!A61,'13.00'!$T$3:$V$28,2,FALSE))</f>
        <v>0</v>
      </c>
      <c r="B61" s="1">
        <f>(VLOOKUP('13.00'!B61,'13.00'!$T$3:$V$28,2,FALSE))</f>
        <v>0</v>
      </c>
      <c r="C61" s="1">
        <f>(VLOOKUP('13.00'!C61,'13.00'!$T$3:$V$28,2,FALSE))</f>
        <v>0</v>
      </c>
      <c r="I61" s="1">
        <f>(VLOOKUP('13.00'!I61,'13.00'!$T$3:$V$28,2,FALSE))</f>
        <v>0</v>
      </c>
      <c r="J61" s="1">
        <f>(VLOOKUP('13.00'!J61,'13.00'!$T$3:$V$28,2,FALSE))</f>
        <v>0</v>
      </c>
      <c r="K61" s="1">
        <f>(VLOOKUP('13.00'!K61,'13.00'!$T$3:$V$28,2,FALSE))</f>
        <v>0</v>
      </c>
    </row>
    <row r="62" spans="1:11">
      <c r="A62" s="1">
        <f>(VLOOKUP('13.00'!A62,'13.00'!$T$3:$V$28,2,FALSE))</f>
        <v>0</v>
      </c>
      <c r="B62" s="1">
        <f>(VLOOKUP('13.00'!B62,'13.00'!$T$3:$V$28,2,FALSE))</f>
        <v>0</v>
      </c>
      <c r="C62" s="1">
        <f>(VLOOKUP('13.00'!C62,'13.00'!$T$3:$V$28,2,FALSE))</f>
        <v>0</v>
      </c>
      <c r="I62" s="1">
        <f>(VLOOKUP('13.00'!I62,'13.00'!$T$3:$V$28,2,FALSE))</f>
        <v>0</v>
      </c>
      <c r="J62" s="1">
        <f>(VLOOKUP('13.00'!J62,'13.00'!$T$3:$V$28,2,FALSE))</f>
        <v>0</v>
      </c>
      <c r="K62" s="1">
        <f>(VLOOKUP('13.00'!K62,'13.00'!$T$3:$V$28,2,FALSE))</f>
        <v>0</v>
      </c>
    </row>
    <row r="63" spans="1:11">
      <c r="A63" s="1">
        <f>(VLOOKUP('13.00'!A63,'13.00'!$T$3:$V$28,2,FALSE))</f>
        <v>0</v>
      </c>
      <c r="B63" s="1">
        <f>(VLOOKUP('13.00'!B63,'13.00'!$T$3:$V$28,2,FALSE))</f>
        <v>0</v>
      </c>
      <c r="C63" s="1">
        <f>(VLOOKUP('13.00'!C63,'13.00'!$T$3:$V$28,2,FALSE))</f>
        <v>0</v>
      </c>
      <c r="I63" s="1">
        <f>(VLOOKUP('13.00'!I63,'13.00'!$T$3:$V$28,2,FALSE))</f>
        <v>0</v>
      </c>
      <c r="J63" s="1">
        <f>(VLOOKUP('13.00'!J63,'13.00'!$T$3:$V$28,2,FALSE))</f>
        <v>0</v>
      </c>
      <c r="K63" s="1">
        <f>(VLOOKUP('13.00'!K63,'13.00'!$T$3:$V$28,2,FALSE))</f>
        <v>0</v>
      </c>
    </row>
    <row r="64" spans="1:11">
      <c r="A64" s="1">
        <f>(VLOOKUP('13.00'!A64,'13.00'!$T$3:$V$28,2,FALSE))</f>
        <v>0</v>
      </c>
      <c r="B64" s="1">
        <f>(VLOOKUP('13.00'!B64,'13.00'!$T$3:$V$28,2,FALSE))</f>
        <v>0</v>
      </c>
      <c r="C64" s="1">
        <f>(VLOOKUP('13.00'!C64,'13.00'!$T$3:$V$28,2,FALSE))</f>
        <v>0</v>
      </c>
      <c r="I64" s="1">
        <f>(VLOOKUP('13.00'!I64,'13.00'!$T$3:$V$28,2,FALSE))</f>
        <v>0</v>
      </c>
      <c r="J64" s="1">
        <f>(VLOOKUP('13.00'!J64,'13.00'!$T$3:$V$28,2,FALSE))</f>
        <v>0</v>
      </c>
      <c r="K64" s="1">
        <f>(VLOOKUP('13.00'!K64,'13.00'!$T$3:$V$28,2,FALSE))</f>
        <v>0</v>
      </c>
    </row>
    <row r="65" spans="1:11">
      <c r="A65" s="1">
        <f>(VLOOKUP('13.00'!A65,'13.00'!$T$3:$V$28,2,FALSE))</f>
        <v>0</v>
      </c>
      <c r="B65" s="1">
        <f>(VLOOKUP('13.00'!B65,'13.00'!$T$3:$V$28,2,FALSE))</f>
        <v>0</v>
      </c>
      <c r="C65" s="1">
        <f>(VLOOKUP('13.00'!C65,'13.00'!$T$3:$V$28,2,FALSE))</f>
        <v>0</v>
      </c>
      <c r="I65" s="1">
        <f>(VLOOKUP('13.00'!I65,'13.00'!$T$3:$V$28,2,FALSE))</f>
        <v>0</v>
      </c>
      <c r="J65" s="1">
        <f>(VLOOKUP('13.00'!J65,'13.00'!$T$3:$V$28,2,FALSE))</f>
        <v>0</v>
      </c>
      <c r="K65" s="1">
        <f>(VLOOKUP('13.00'!K65,'13.00'!$T$3:$V$28,2,FALSE))</f>
        <v>0</v>
      </c>
    </row>
    <row r="66" spans="1:11">
      <c r="A66" s="1">
        <f>(VLOOKUP('13.00'!A66,'13.00'!$T$3:$V$28,2,FALSE))</f>
        <v>0</v>
      </c>
      <c r="B66" s="1">
        <f>(VLOOKUP('13.00'!B66,'13.00'!$T$3:$V$28,2,FALSE))</f>
        <v>0</v>
      </c>
      <c r="C66" s="1">
        <f>(VLOOKUP('13.00'!C66,'13.00'!$T$3:$V$28,2,FALSE))</f>
        <v>0</v>
      </c>
      <c r="I66" s="1">
        <f>(VLOOKUP('13.00'!I66,'13.00'!$T$3:$V$28,2,FALSE))</f>
        <v>0</v>
      </c>
      <c r="J66" s="1">
        <f>(VLOOKUP('13.00'!J66,'13.00'!$T$3:$V$28,2,FALSE))</f>
        <v>0</v>
      </c>
      <c r="K66" s="1">
        <f>(VLOOKUP('13.00'!K66,'13.00'!$T$3:$V$28,2,FALSE))</f>
        <v>0</v>
      </c>
    </row>
    <row r="67" spans="1:11">
      <c r="A67" s="1">
        <f>(VLOOKUP('13.00'!A67,'13.00'!$T$3:$V$28,2,FALSE))</f>
        <v>0</v>
      </c>
      <c r="B67" s="1">
        <f>(VLOOKUP('13.00'!B67,'13.00'!$T$3:$V$28,2,FALSE))</f>
        <v>0</v>
      </c>
      <c r="C67" s="1">
        <f>(VLOOKUP('13.00'!C67,'13.00'!$T$3:$V$28,2,FALSE))</f>
        <v>0</v>
      </c>
      <c r="I67" s="1">
        <f>(VLOOKUP('13.00'!I67,'13.00'!$T$3:$V$28,2,FALSE))</f>
        <v>0</v>
      </c>
      <c r="J67" s="1">
        <f>(VLOOKUP('13.00'!J67,'13.00'!$T$3:$V$28,2,FALSE))</f>
        <v>0</v>
      </c>
      <c r="K67" s="1">
        <f>(VLOOKUP('13.00'!K67,'13.00'!$T$3:$V$28,2,FALSE))</f>
        <v>0</v>
      </c>
    </row>
    <row r="68" spans="1:11">
      <c r="A68" s="1">
        <f>(VLOOKUP('13.00'!A68,'13.00'!$T$3:$V$28,2,FALSE))</f>
        <v>0</v>
      </c>
      <c r="B68" s="1">
        <f>(VLOOKUP('13.00'!B68,'13.00'!$T$3:$V$28,2,FALSE))</f>
        <v>0</v>
      </c>
      <c r="C68" s="1">
        <f>(VLOOKUP('13.00'!C68,'13.00'!$T$3:$V$28,2,FALSE))</f>
        <v>0</v>
      </c>
      <c r="I68" s="1">
        <f>(VLOOKUP('13.00'!I68,'13.00'!$T$3:$V$28,2,FALSE))</f>
        <v>0</v>
      </c>
      <c r="J68" s="1">
        <f>(VLOOKUP('13.00'!J68,'13.00'!$T$3:$V$28,2,FALSE))</f>
        <v>0</v>
      </c>
      <c r="K68" s="1">
        <f>(VLOOKUP('13.00'!K68,'13.00'!$T$3:$V$28,2,FALSE))</f>
        <v>0</v>
      </c>
    </row>
    <row r="69" spans="1:11">
      <c r="A69" s="1">
        <f>(VLOOKUP('13.00'!A69,'13.00'!$T$3:$V$28,2,FALSE))</f>
        <v>0</v>
      </c>
      <c r="B69" s="1">
        <f>(VLOOKUP('13.00'!B69,'13.00'!$T$3:$V$28,2,FALSE))</f>
        <v>0</v>
      </c>
      <c r="C69" s="1">
        <f>(VLOOKUP('13.00'!C69,'13.00'!$T$3:$V$28,2,FALSE))</f>
        <v>0</v>
      </c>
      <c r="I69" s="1">
        <f>(VLOOKUP('13.00'!I69,'13.00'!$T$3:$V$28,2,FALSE))</f>
        <v>0</v>
      </c>
      <c r="J69" s="1">
        <f>(VLOOKUP('13.00'!J69,'13.00'!$T$3:$V$28,2,FALSE))</f>
        <v>0</v>
      </c>
      <c r="K69" s="1">
        <f>(VLOOKUP('13.00'!K69,'13.00'!$T$3:$V$28,2,FALSE))</f>
        <v>0</v>
      </c>
    </row>
    <row r="70" spans="1:11">
      <c r="A70" s="1">
        <f>(VLOOKUP('13.00'!A70,'13.00'!$T$3:$V$28,2,FALSE))</f>
        <v>0</v>
      </c>
      <c r="B70" s="1">
        <f>(VLOOKUP('13.00'!B70,'13.00'!$T$3:$V$28,2,FALSE))</f>
        <v>0</v>
      </c>
      <c r="C70" s="1">
        <f>(VLOOKUP('13.00'!C70,'13.00'!$T$3:$V$28,2,FALSE))</f>
        <v>0</v>
      </c>
      <c r="I70" s="1">
        <f>(VLOOKUP('13.00'!I70,'13.00'!$T$3:$V$28,2,FALSE))</f>
        <v>0</v>
      </c>
      <c r="J70" s="1">
        <f>(VLOOKUP('13.00'!J70,'13.00'!$T$3:$V$28,2,FALSE))</f>
        <v>0</v>
      </c>
      <c r="K70" s="1">
        <f>(VLOOKUP('13.00'!K70,'13.00'!$T$3:$V$28,2,FALSE))</f>
        <v>0</v>
      </c>
    </row>
    <row r="71" spans="1:11">
      <c r="A71" s="1">
        <f>(VLOOKUP('13.00'!A71,'13.00'!$T$3:$V$28,2,FALSE))</f>
        <v>0</v>
      </c>
      <c r="B71" s="1">
        <f>(VLOOKUP('13.00'!B71,'13.00'!$T$3:$V$28,2,FALSE))</f>
        <v>0</v>
      </c>
      <c r="C71" s="1">
        <f>(VLOOKUP('13.00'!C71,'13.00'!$T$3:$V$28,2,FALSE))</f>
        <v>0</v>
      </c>
      <c r="I71" s="1">
        <f>(VLOOKUP('13.00'!I71,'13.00'!$T$3:$V$28,2,FALSE))</f>
        <v>0</v>
      </c>
      <c r="J71" s="1">
        <f>(VLOOKUP('13.00'!J71,'13.00'!$T$3:$V$28,2,FALSE))</f>
        <v>0</v>
      </c>
      <c r="K71" s="1">
        <f>(VLOOKUP('13.00'!K71,'13.00'!$T$3:$V$28,2,FALSE))</f>
        <v>0</v>
      </c>
    </row>
    <row r="72" spans="1:11">
      <c r="A72" s="1">
        <f>(VLOOKUP('13.00'!A72,'13.00'!$T$3:$V$28,2,FALSE))</f>
        <v>0</v>
      </c>
      <c r="B72" s="1">
        <f>(VLOOKUP('13.00'!B72,'13.00'!$T$3:$V$28,2,FALSE))</f>
        <v>0</v>
      </c>
      <c r="C72" s="1">
        <f>(VLOOKUP('13.00'!C72,'13.00'!$T$3:$V$28,2,FALSE))</f>
        <v>0</v>
      </c>
      <c r="I72" s="1">
        <f>(VLOOKUP('13.00'!I72,'13.00'!$T$3:$V$28,2,FALSE))</f>
        <v>0</v>
      </c>
      <c r="J72" s="1">
        <f>(VLOOKUP('13.00'!J72,'13.00'!$T$3:$V$28,2,FALSE))</f>
        <v>0</v>
      </c>
      <c r="K72" s="1">
        <f>(VLOOKUP('13.00'!K72,'13.00'!$T$3:$V$28,2,FALSE))</f>
        <v>0</v>
      </c>
    </row>
    <row r="73" spans="1:11">
      <c r="A73" s="1">
        <f>(VLOOKUP('13.00'!A73,'13.00'!$T$3:$V$28,2,FALSE))</f>
        <v>0</v>
      </c>
      <c r="B73" s="1">
        <f>(VLOOKUP('13.00'!B73,'13.00'!$T$3:$V$28,2,FALSE))</f>
        <v>0</v>
      </c>
      <c r="C73" s="1">
        <f>(VLOOKUP('13.00'!C73,'13.00'!$T$3:$V$28,2,FALSE))</f>
        <v>0</v>
      </c>
      <c r="I73" s="1">
        <f>(VLOOKUP('13.00'!I73,'13.00'!$T$3:$V$28,2,FALSE))</f>
        <v>0</v>
      </c>
      <c r="J73" s="1">
        <f>(VLOOKUP('13.00'!J73,'13.00'!$T$3:$V$28,2,FALSE))</f>
        <v>0</v>
      </c>
      <c r="K73" s="1">
        <f>(VLOOKUP('13.00'!K73,'13.00'!$T$3:$V$28,2,FALSE))</f>
        <v>0</v>
      </c>
    </row>
    <row r="74" spans="1:11">
      <c r="A74" s="1">
        <f>(VLOOKUP('13.00'!A74,'13.00'!$T$3:$V$28,2,FALSE))</f>
        <v>0</v>
      </c>
      <c r="B74" s="1">
        <f>(VLOOKUP('13.00'!B74,'13.00'!$T$3:$V$28,2,FALSE))</f>
        <v>0</v>
      </c>
      <c r="C74" s="1">
        <f>(VLOOKUP('13.00'!C74,'13.00'!$T$3:$V$28,2,FALSE))</f>
        <v>0</v>
      </c>
      <c r="I74" s="1">
        <f>(VLOOKUP('13.00'!I74,'13.00'!$T$3:$V$28,2,FALSE))</f>
        <v>0</v>
      </c>
      <c r="J74" s="1">
        <f>(VLOOKUP('13.00'!J74,'13.00'!$T$3:$V$28,2,FALSE))</f>
        <v>0</v>
      </c>
      <c r="K74" s="1">
        <f>(VLOOKUP('13.00'!K74,'13.00'!$T$3:$V$28,2,FALSE))</f>
        <v>0</v>
      </c>
    </row>
    <row r="75" spans="1:11">
      <c r="A75" s="1">
        <f>(VLOOKUP('13.00'!A75,'13.00'!$T$3:$V$28,2,FALSE))</f>
        <v>0</v>
      </c>
      <c r="B75" s="1">
        <f>(VLOOKUP('13.00'!B75,'13.00'!$T$3:$V$28,2,FALSE))</f>
        <v>0</v>
      </c>
      <c r="C75" s="1">
        <f>(VLOOKUP('13.00'!C75,'13.00'!$T$3:$V$28,2,FALSE))</f>
        <v>0</v>
      </c>
      <c r="I75" s="1">
        <f>(VLOOKUP('13.00'!I75,'13.00'!$T$3:$V$28,2,FALSE))</f>
        <v>0</v>
      </c>
      <c r="J75" s="1">
        <f>(VLOOKUP('13.00'!J75,'13.00'!$T$3:$V$28,2,FALSE))</f>
        <v>0</v>
      </c>
      <c r="K75" s="1">
        <f>(VLOOKUP('13.00'!K75,'13.00'!$T$3:$V$28,2,FALSE))</f>
        <v>0</v>
      </c>
    </row>
    <row r="76" spans="1:11">
      <c r="A76" s="1">
        <f>(VLOOKUP('13.00'!A76,'13.00'!$T$3:$V$28,2,FALSE))</f>
        <v>0</v>
      </c>
      <c r="B76" s="1">
        <f>(VLOOKUP('13.00'!B76,'13.00'!$T$3:$V$28,2,FALSE))</f>
        <v>0</v>
      </c>
      <c r="C76" s="1">
        <f>(VLOOKUP('13.00'!C76,'13.00'!$T$3:$V$28,2,FALSE))</f>
        <v>0</v>
      </c>
      <c r="I76" s="1">
        <f>(VLOOKUP('13.00'!I76,'13.00'!$T$3:$V$28,2,FALSE))</f>
        <v>0</v>
      </c>
      <c r="J76" s="1">
        <f>(VLOOKUP('13.00'!J76,'13.00'!$T$3:$V$28,2,FALSE))</f>
        <v>0</v>
      </c>
      <c r="K76" s="1">
        <f>(VLOOKUP('13.00'!K76,'13.00'!$T$3:$V$28,2,FALSE))</f>
        <v>0</v>
      </c>
    </row>
    <row r="77" spans="1:11">
      <c r="A77" s="1">
        <f>(VLOOKUP('13.00'!A77,'13.00'!$T$3:$V$28,2,FALSE))</f>
        <v>0</v>
      </c>
      <c r="B77" s="1">
        <f>(VLOOKUP('13.00'!B77,'13.00'!$T$3:$V$28,2,FALSE))</f>
        <v>0</v>
      </c>
      <c r="C77" s="1">
        <f>(VLOOKUP('13.00'!C77,'13.00'!$T$3:$V$28,2,FALSE))</f>
        <v>0</v>
      </c>
      <c r="I77" s="1">
        <f>(VLOOKUP('13.00'!I77,'13.00'!$T$3:$V$28,2,FALSE))</f>
        <v>0</v>
      </c>
      <c r="J77" s="1">
        <f>(VLOOKUP('13.00'!J77,'13.00'!$T$3:$V$28,2,FALSE))</f>
        <v>0</v>
      </c>
      <c r="K77" s="1">
        <f>(VLOOKUP('13.00'!K77,'13.00'!$T$3:$V$28,2,FALSE))</f>
        <v>0</v>
      </c>
    </row>
    <row r="78" spans="1:11">
      <c r="A78" s="1">
        <f>(VLOOKUP('13.00'!A78,'13.00'!$T$3:$V$28,2,FALSE))</f>
        <v>0</v>
      </c>
      <c r="B78" s="1">
        <f>(VLOOKUP('13.00'!B78,'13.00'!$T$3:$V$28,2,FALSE))</f>
        <v>0</v>
      </c>
      <c r="C78" s="1">
        <f>(VLOOKUP('13.00'!C78,'13.00'!$T$3:$V$28,2,FALSE))</f>
        <v>0</v>
      </c>
      <c r="I78" s="1">
        <f>(VLOOKUP('13.00'!I78,'13.00'!$T$3:$V$28,2,FALSE))</f>
        <v>0</v>
      </c>
      <c r="J78" s="1">
        <f>(VLOOKUP('13.00'!J78,'13.00'!$T$3:$V$28,2,FALSE))</f>
        <v>0</v>
      </c>
      <c r="K78" s="1">
        <f>(VLOOKUP('13.00'!K78,'13.00'!$T$3:$V$28,2,FALSE))</f>
        <v>0</v>
      </c>
    </row>
    <row r="79" spans="1:11">
      <c r="A79" s="1">
        <f>(VLOOKUP('13.00'!A79,'13.00'!$T$3:$V$28,2,FALSE))</f>
        <v>0</v>
      </c>
      <c r="B79" s="1">
        <f>(VLOOKUP('13.00'!B79,'13.00'!$T$3:$V$28,2,FALSE))</f>
        <v>0</v>
      </c>
      <c r="C79" s="1">
        <f>(VLOOKUP('13.00'!C79,'13.00'!$T$3:$V$28,2,FALSE))</f>
        <v>0</v>
      </c>
      <c r="I79" s="1">
        <f>(VLOOKUP('13.00'!I79,'13.00'!$T$3:$V$28,2,FALSE))</f>
        <v>0</v>
      </c>
      <c r="J79" s="1">
        <f>(VLOOKUP('13.00'!J79,'13.00'!$T$3:$V$28,2,FALSE))</f>
        <v>0</v>
      </c>
      <c r="K79" s="1">
        <f>(VLOOKUP('13.00'!K79,'13.00'!$T$3:$V$28,2,FALSE))</f>
        <v>0</v>
      </c>
    </row>
    <row r="80" spans="1:11">
      <c r="A80" s="1">
        <f>(VLOOKUP('13.00'!A80,'13.00'!$T$3:$V$28,2,FALSE))</f>
        <v>0</v>
      </c>
      <c r="B80" s="1">
        <f>(VLOOKUP('13.00'!B80,'13.00'!$T$3:$V$28,2,FALSE))</f>
        <v>0</v>
      </c>
      <c r="C80" s="1">
        <f>(VLOOKUP('13.00'!C80,'13.00'!$T$3:$V$28,2,FALSE))</f>
        <v>0</v>
      </c>
      <c r="I80" s="1">
        <f>(VLOOKUP('13.00'!I80,'13.00'!$T$3:$V$28,2,FALSE))</f>
        <v>0</v>
      </c>
      <c r="J80" s="1">
        <f>(VLOOKUP('13.00'!J80,'13.00'!$T$3:$V$28,2,FALSE))</f>
        <v>0</v>
      </c>
      <c r="K80" s="1">
        <f>(VLOOKUP('13.00'!K80,'13.00'!$T$3:$V$28,2,FALSE))</f>
        <v>0</v>
      </c>
    </row>
    <row r="81" spans="1:11">
      <c r="A81" s="1">
        <f>(VLOOKUP('13.00'!A81,'13.00'!$T$3:$V$28,2,FALSE))</f>
        <v>0</v>
      </c>
      <c r="B81" s="1">
        <f>(VLOOKUP('13.00'!B81,'13.00'!$T$3:$V$28,2,FALSE))</f>
        <v>0</v>
      </c>
      <c r="C81" s="1">
        <f>(VLOOKUP('13.00'!C81,'13.00'!$T$3:$V$28,2,FALSE))</f>
        <v>0</v>
      </c>
      <c r="I81" s="1">
        <f>(VLOOKUP('13.00'!I81,'13.00'!$T$3:$V$28,2,FALSE))</f>
        <v>0</v>
      </c>
      <c r="J81" s="1">
        <f>(VLOOKUP('13.00'!J81,'13.00'!$T$3:$V$28,2,FALSE))</f>
        <v>0</v>
      </c>
      <c r="K81" s="1">
        <f>(VLOOKUP('13.00'!K81,'13.00'!$T$3:$V$28,2,FALSE))</f>
        <v>0</v>
      </c>
    </row>
    <row r="82" spans="1:11">
      <c r="A82" s="1">
        <f>(VLOOKUP('13.00'!A82,'13.00'!$T$3:$V$28,2,FALSE))</f>
        <v>0</v>
      </c>
      <c r="B82" s="1">
        <f>(VLOOKUP('13.00'!B82,'13.00'!$T$3:$V$28,2,FALSE))</f>
        <v>0</v>
      </c>
      <c r="C82" s="1">
        <f>(VLOOKUP('13.00'!C82,'13.00'!$T$3:$V$28,2,FALSE))</f>
        <v>0</v>
      </c>
      <c r="I82" s="1">
        <f>(VLOOKUP('13.00'!I82,'13.00'!$T$3:$V$28,2,FALSE))</f>
        <v>0</v>
      </c>
      <c r="J82" s="1">
        <f>(VLOOKUP('13.00'!J82,'13.00'!$T$3:$V$28,2,FALSE))</f>
        <v>0</v>
      </c>
      <c r="K82" s="1">
        <f>(VLOOKUP('13.00'!K82,'13.00'!$T$3:$V$28,2,FALSE))</f>
        <v>0</v>
      </c>
    </row>
    <row r="83" spans="1:11">
      <c r="A83" s="1">
        <f>(VLOOKUP('13.00'!A83,'13.00'!$T$3:$V$28,2,FALSE))</f>
        <v>0</v>
      </c>
      <c r="B83" s="1">
        <f>(VLOOKUP('13.00'!B83,'13.00'!$T$3:$V$28,2,FALSE))</f>
        <v>0</v>
      </c>
      <c r="C83" s="1">
        <f>(VLOOKUP('13.00'!C83,'13.00'!$T$3:$V$28,2,FALSE))</f>
        <v>0</v>
      </c>
      <c r="I83" s="1">
        <f>(VLOOKUP('13.00'!I83,'13.00'!$T$3:$V$28,2,FALSE))</f>
        <v>0</v>
      </c>
      <c r="J83" s="1">
        <f>(VLOOKUP('13.00'!J83,'13.00'!$T$3:$V$28,2,FALSE))</f>
        <v>0</v>
      </c>
      <c r="K83" s="1">
        <f>(VLOOKUP('13.00'!K83,'13.00'!$T$3:$V$28,2,FALSE))</f>
        <v>0</v>
      </c>
    </row>
    <row r="84" spans="1:11">
      <c r="A84" s="1">
        <f>(VLOOKUP('13.00'!A84,'13.00'!$T$3:$V$28,2,FALSE))</f>
        <v>0</v>
      </c>
      <c r="B84" s="1">
        <f>(VLOOKUP('13.00'!B84,'13.00'!$T$3:$V$28,2,FALSE))</f>
        <v>0</v>
      </c>
      <c r="C84" s="1">
        <f>(VLOOKUP('13.00'!C84,'13.00'!$T$3:$V$28,2,FALSE))</f>
        <v>0</v>
      </c>
      <c r="I84" s="1">
        <f>(VLOOKUP('13.00'!I84,'13.00'!$T$3:$V$28,2,FALSE))</f>
        <v>0</v>
      </c>
      <c r="J84" s="1">
        <f>(VLOOKUP('13.00'!J84,'13.00'!$T$3:$V$28,2,FALSE))</f>
        <v>0</v>
      </c>
      <c r="K84" s="1">
        <f>(VLOOKUP('13.00'!K84,'13.00'!$T$3:$V$28,2,FALSE))</f>
        <v>0</v>
      </c>
    </row>
    <row r="85" spans="1:11">
      <c r="A85" s="1">
        <f>(VLOOKUP('13.00'!A85,'13.00'!$T$3:$V$28,2,FALSE))</f>
        <v>0</v>
      </c>
      <c r="B85" s="1">
        <f>(VLOOKUP('13.00'!B85,'13.00'!$T$3:$V$28,2,FALSE))</f>
        <v>0</v>
      </c>
      <c r="C85" s="1">
        <f>(VLOOKUP('13.00'!C85,'13.00'!$T$3:$V$28,2,FALSE))</f>
        <v>0</v>
      </c>
      <c r="I85" s="1">
        <f>(VLOOKUP('13.00'!I85,'13.00'!$T$3:$V$28,2,FALSE))</f>
        <v>0</v>
      </c>
      <c r="J85" s="1">
        <f>(VLOOKUP('13.00'!J85,'13.00'!$T$3:$V$28,2,FALSE))</f>
        <v>0</v>
      </c>
      <c r="K85" s="1">
        <f>(VLOOKUP('13.00'!K85,'13.00'!$T$3:$V$28,2,FALSE))</f>
        <v>0</v>
      </c>
    </row>
    <row r="86" spans="1:11">
      <c r="A86" s="1">
        <f>(VLOOKUP('13.00'!A86,'13.00'!$T$3:$V$28,2,FALSE))</f>
        <v>0</v>
      </c>
      <c r="B86" s="1">
        <f>(VLOOKUP('13.00'!B86,'13.00'!$T$3:$V$28,2,FALSE))</f>
        <v>0</v>
      </c>
      <c r="C86" s="1">
        <f>(VLOOKUP('13.00'!C86,'13.00'!$T$3:$V$28,2,FALSE))</f>
        <v>0</v>
      </c>
      <c r="I86" s="1">
        <f>(VLOOKUP('13.00'!I86,'13.00'!$T$3:$V$28,2,FALSE))</f>
        <v>0</v>
      </c>
      <c r="J86" s="1">
        <f>(VLOOKUP('13.00'!J86,'13.00'!$T$3:$V$28,2,FALSE))</f>
        <v>0</v>
      </c>
      <c r="K86" s="1">
        <f>(VLOOKUP('13.00'!K86,'13.00'!$T$3:$V$28,2,FALSE))</f>
        <v>0</v>
      </c>
    </row>
    <row r="87" spans="1:11">
      <c r="A87" s="1">
        <f>(VLOOKUP('13.00'!A87,'13.00'!$T$3:$V$28,2,FALSE))</f>
        <v>0</v>
      </c>
      <c r="B87" s="1">
        <f>(VLOOKUP('13.00'!B87,'13.00'!$T$3:$V$28,2,FALSE))</f>
        <v>0</v>
      </c>
      <c r="C87" s="1">
        <f>(VLOOKUP('13.00'!C87,'13.00'!$T$3:$V$28,2,FALSE))</f>
        <v>0</v>
      </c>
      <c r="I87" s="1">
        <f>(VLOOKUP('13.00'!I87,'13.00'!$T$3:$V$28,2,FALSE))</f>
        <v>0</v>
      </c>
      <c r="J87" s="1">
        <f>(VLOOKUP('13.00'!J87,'13.00'!$T$3:$V$28,2,FALSE))</f>
        <v>0</v>
      </c>
      <c r="K87" s="1">
        <f>(VLOOKUP('13.00'!K87,'13.00'!$T$3:$V$28,2,FALSE))</f>
        <v>0</v>
      </c>
    </row>
    <row r="88" spans="1:11">
      <c r="A88" s="1">
        <f>(VLOOKUP('13.00'!A88,'13.00'!$T$3:$V$28,2,FALSE))</f>
        <v>0</v>
      </c>
      <c r="B88" s="1">
        <f>(VLOOKUP('13.00'!B88,'13.00'!$T$3:$V$28,2,FALSE))</f>
        <v>0</v>
      </c>
      <c r="C88" s="1">
        <f>(VLOOKUP('13.00'!C88,'13.00'!$T$3:$V$28,2,FALSE))</f>
        <v>0</v>
      </c>
      <c r="I88" s="1">
        <f>(VLOOKUP('13.00'!I88,'13.00'!$T$3:$V$28,2,FALSE))</f>
        <v>0</v>
      </c>
      <c r="J88" s="1">
        <f>(VLOOKUP('13.00'!J88,'13.00'!$T$3:$V$28,2,FALSE))</f>
        <v>0</v>
      </c>
      <c r="K88" s="1">
        <f>(VLOOKUP('13.00'!K88,'13.00'!$T$3:$V$28,2,FALSE))</f>
        <v>0</v>
      </c>
    </row>
    <row r="89" spans="1:11">
      <c r="A89" s="1">
        <f>(VLOOKUP('13.00'!A89,'13.00'!$T$3:$V$28,2,FALSE))</f>
        <v>0</v>
      </c>
      <c r="B89" s="1">
        <f>(VLOOKUP('13.00'!B89,'13.00'!$T$3:$V$28,2,FALSE))</f>
        <v>0</v>
      </c>
      <c r="C89" s="1">
        <f>(VLOOKUP('13.00'!C89,'13.00'!$T$3:$V$28,2,FALSE))</f>
        <v>0</v>
      </c>
      <c r="I89" s="1">
        <f>(VLOOKUP('13.00'!I89,'13.00'!$T$3:$V$28,2,FALSE))</f>
        <v>0</v>
      </c>
      <c r="J89" s="1">
        <f>(VLOOKUP('13.00'!J89,'13.00'!$T$3:$V$28,2,FALSE))</f>
        <v>0</v>
      </c>
      <c r="K89" s="1">
        <f>(VLOOKUP('13.00'!K89,'13.00'!$T$3:$V$28,2,FALSE))</f>
        <v>0</v>
      </c>
    </row>
    <row r="90" spans="1:11">
      <c r="A90" s="1">
        <f>(VLOOKUP('13.00'!A90,'13.00'!$T$3:$V$28,2,FALSE))</f>
        <v>0</v>
      </c>
      <c r="B90" s="1">
        <f>(VLOOKUP('13.00'!B90,'13.00'!$T$3:$V$28,2,FALSE))</f>
        <v>0</v>
      </c>
      <c r="C90" s="1">
        <f>(VLOOKUP('13.00'!C90,'13.00'!$T$3:$V$28,2,FALSE))</f>
        <v>0</v>
      </c>
      <c r="I90" s="1">
        <f>(VLOOKUP('13.00'!I90,'13.00'!$T$3:$V$28,2,FALSE))</f>
        <v>0</v>
      </c>
      <c r="J90" s="1">
        <f>(VLOOKUP('13.00'!J90,'13.00'!$T$3:$V$28,2,FALSE))</f>
        <v>0</v>
      </c>
      <c r="K90" s="1">
        <f>(VLOOKUP('13.00'!K90,'13.00'!$T$3:$V$28,2,FALSE))</f>
        <v>0</v>
      </c>
    </row>
    <row r="91" spans="1:11">
      <c r="A91" s="1">
        <f>(VLOOKUP('13.00'!A91,'13.00'!$T$3:$V$28,2,FALSE))</f>
        <v>0</v>
      </c>
      <c r="B91" s="1">
        <f>(VLOOKUP('13.00'!B91,'13.00'!$T$3:$V$28,2,FALSE))</f>
        <v>0</v>
      </c>
      <c r="C91" s="1">
        <f>(VLOOKUP('13.00'!C91,'13.00'!$T$3:$V$28,2,FALSE))</f>
        <v>0</v>
      </c>
      <c r="I91" s="1">
        <f>(VLOOKUP('13.00'!I91,'13.00'!$T$3:$V$28,2,FALSE))</f>
        <v>0</v>
      </c>
      <c r="J91" s="1">
        <f>(VLOOKUP('13.00'!J91,'13.00'!$T$3:$V$28,2,FALSE))</f>
        <v>0</v>
      </c>
      <c r="K91" s="1">
        <f>(VLOOKUP('13.00'!K91,'13.00'!$T$3:$V$28,2,FALSE))</f>
        <v>0</v>
      </c>
    </row>
    <row r="92" spans="1:11">
      <c r="A92" s="1">
        <f>(VLOOKUP('13.00'!A92,'13.00'!$T$3:$V$28,2,FALSE))</f>
        <v>0</v>
      </c>
      <c r="B92" s="1">
        <f>(VLOOKUP('13.00'!B92,'13.00'!$T$3:$V$28,2,FALSE))</f>
        <v>0</v>
      </c>
      <c r="C92" s="1">
        <f>(VLOOKUP('13.00'!C92,'13.00'!$T$3:$V$28,2,FALSE))</f>
        <v>0</v>
      </c>
      <c r="I92" s="1">
        <f>(VLOOKUP('13.00'!I92,'13.00'!$T$3:$V$28,2,FALSE))</f>
        <v>0</v>
      </c>
      <c r="J92" s="1">
        <f>(VLOOKUP('13.00'!J92,'13.00'!$T$3:$V$28,2,FALSE))</f>
        <v>0</v>
      </c>
      <c r="K92" s="1">
        <f>(VLOOKUP('13.00'!K92,'13.00'!$T$3:$V$28,2,FALSE))</f>
        <v>0</v>
      </c>
    </row>
    <row r="93" spans="1:11">
      <c r="A93" s="1">
        <f>(VLOOKUP('13.00'!A93,'13.00'!$T$3:$V$28,2,FALSE))</f>
        <v>0</v>
      </c>
      <c r="B93" s="1">
        <f>(VLOOKUP('13.00'!B93,'13.00'!$T$3:$V$28,2,FALSE))</f>
        <v>0</v>
      </c>
      <c r="C93" s="1">
        <f>(VLOOKUP('13.00'!C93,'13.00'!$T$3:$V$28,2,FALSE))</f>
        <v>0</v>
      </c>
      <c r="I93" s="1">
        <f>(VLOOKUP('13.00'!I93,'13.00'!$T$3:$V$28,2,FALSE))</f>
        <v>0</v>
      </c>
      <c r="J93" s="1">
        <f>(VLOOKUP('13.00'!J93,'13.00'!$T$3:$V$28,2,FALSE))</f>
        <v>0</v>
      </c>
      <c r="K93" s="1">
        <f>(VLOOKUP('13.00'!K93,'13.00'!$T$3:$V$28,2,FALSE))</f>
        <v>0</v>
      </c>
    </row>
    <row r="94" spans="1:11">
      <c r="A94" s="1">
        <f>(VLOOKUP('13.00'!A94,'13.00'!$T$3:$V$28,2,FALSE))</f>
        <v>0</v>
      </c>
      <c r="B94" s="1">
        <f>(VLOOKUP('13.00'!B94,'13.00'!$T$3:$V$28,2,FALSE))</f>
        <v>0</v>
      </c>
      <c r="C94" s="1">
        <f>(VLOOKUP('13.00'!C94,'13.00'!$T$3:$V$28,2,FALSE))</f>
        <v>0</v>
      </c>
      <c r="I94" s="1">
        <f>(VLOOKUP('13.00'!I94,'13.00'!$T$3:$V$28,2,FALSE))</f>
        <v>0</v>
      </c>
      <c r="J94" s="1">
        <f>(VLOOKUP('13.00'!J94,'13.00'!$T$3:$V$28,2,FALSE))</f>
        <v>0</v>
      </c>
      <c r="K94" s="1">
        <f>(VLOOKUP('13.00'!K94,'13.00'!$T$3:$V$28,2,FALSE))</f>
        <v>0</v>
      </c>
    </row>
    <row r="95" spans="1:11">
      <c r="A95" s="1">
        <f>(VLOOKUP('13.00'!A95,'13.00'!$T$3:$V$28,2,FALSE))</f>
        <v>0</v>
      </c>
      <c r="B95" s="1">
        <f>(VLOOKUP('13.00'!B95,'13.00'!$T$3:$V$28,2,FALSE))</f>
        <v>0</v>
      </c>
      <c r="C95" s="1">
        <f>(VLOOKUP('13.00'!C95,'13.00'!$T$3:$V$28,2,FALSE))</f>
        <v>0</v>
      </c>
      <c r="I95" s="1">
        <f>(VLOOKUP('13.00'!I95,'13.00'!$T$3:$V$28,2,FALSE))</f>
        <v>0</v>
      </c>
      <c r="J95" s="1">
        <f>(VLOOKUP('13.00'!J95,'13.00'!$T$3:$V$28,2,FALSE))</f>
        <v>0</v>
      </c>
      <c r="K95" s="1">
        <f>(VLOOKUP('13.00'!K95,'13.00'!$T$3:$V$28,2,FALSE))</f>
        <v>0</v>
      </c>
    </row>
    <row r="96" spans="1:11">
      <c r="A96" s="1">
        <f>(VLOOKUP('13.00'!A96,'13.00'!$T$3:$V$28,2,FALSE))</f>
        <v>0</v>
      </c>
      <c r="B96" s="1">
        <f>(VLOOKUP('13.00'!B96,'13.00'!$T$3:$V$28,2,FALSE))</f>
        <v>0</v>
      </c>
      <c r="C96" s="1">
        <f>(VLOOKUP('13.00'!C96,'13.00'!$T$3:$V$28,2,FALSE))</f>
        <v>0</v>
      </c>
      <c r="I96" s="1">
        <f>(VLOOKUP('13.00'!I96,'13.00'!$T$3:$V$28,2,FALSE))</f>
        <v>0</v>
      </c>
      <c r="J96" s="1">
        <f>(VLOOKUP('13.00'!J96,'13.00'!$T$3:$V$28,2,FALSE))</f>
        <v>0</v>
      </c>
      <c r="K96" s="1">
        <f>(VLOOKUP('13.00'!K96,'13.00'!$T$3:$V$28,2,FALSE))</f>
        <v>0</v>
      </c>
    </row>
    <row r="97" spans="1:11">
      <c r="A97" s="1">
        <f>(VLOOKUP('13.00'!A97,'13.00'!$T$3:$V$28,2,FALSE))</f>
        <v>0</v>
      </c>
      <c r="B97" s="1">
        <f>(VLOOKUP('13.00'!B97,'13.00'!$T$3:$V$28,2,FALSE))</f>
        <v>0</v>
      </c>
      <c r="C97" s="1">
        <f>(VLOOKUP('13.00'!C97,'13.00'!$T$3:$V$28,2,FALSE))</f>
        <v>0</v>
      </c>
      <c r="I97" s="1">
        <f>(VLOOKUP('13.00'!I97,'13.00'!$T$3:$V$28,2,FALSE))</f>
        <v>0</v>
      </c>
      <c r="J97" s="1">
        <f>(VLOOKUP('13.00'!J97,'13.00'!$T$3:$V$28,2,FALSE))</f>
        <v>0</v>
      </c>
      <c r="K97" s="1">
        <f>(VLOOKUP('13.00'!K97,'13.00'!$T$3:$V$28,2,FALSE))</f>
        <v>0</v>
      </c>
    </row>
    <row r="98" spans="1:11">
      <c r="A98" s="1">
        <f>(VLOOKUP('13.00'!A98,'13.00'!$T$3:$V$28,2,FALSE))</f>
        <v>0</v>
      </c>
      <c r="B98" s="1">
        <f>(VLOOKUP('13.00'!B98,'13.00'!$T$3:$V$28,2,FALSE))</f>
        <v>0</v>
      </c>
      <c r="C98" s="1">
        <f>(VLOOKUP('13.00'!C98,'13.00'!$T$3:$V$28,2,FALSE))</f>
        <v>0</v>
      </c>
      <c r="I98" s="1">
        <f>(VLOOKUP('13.00'!I98,'13.00'!$T$3:$V$28,2,FALSE))</f>
        <v>0</v>
      </c>
      <c r="J98" s="1">
        <f>(VLOOKUP('13.00'!J98,'13.00'!$T$3:$V$28,2,FALSE))</f>
        <v>0</v>
      </c>
      <c r="K98" s="1">
        <f>(VLOOKUP('13.00'!K98,'13.00'!$T$3:$V$28,2,FALSE))</f>
        <v>0</v>
      </c>
    </row>
    <row r="99" spans="1:11">
      <c r="A99" s="1">
        <f>(VLOOKUP('13.00'!A99,'13.00'!$T$3:$V$28,2,FALSE))</f>
        <v>0</v>
      </c>
      <c r="B99" s="1">
        <f>(VLOOKUP('13.00'!B99,'13.00'!$T$3:$V$28,2,FALSE))</f>
        <v>0</v>
      </c>
      <c r="C99" s="1">
        <f>(VLOOKUP('13.00'!C99,'13.00'!$T$3:$V$28,2,FALSE))</f>
        <v>0</v>
      </c>
      <c r="I99" s="1">
        <f>(VLOOKUP('13.00'!I99,'13.00'!$T$3:$V$28,2,FALSE))</f>
        <v>0</v>
      </c>
      <c r="J99" s="1">
        <f>(VLOOKUP('13.00'!J99,'13.00'!$T$3:$V$28,2,FALSE))</f>
        <v>0</v>
      </c>
      <c r="K99" s="1">
        <f>(VLOOKUP('13.00'!K99,'13.00'!$T$3:$V$28,2,FALSE))</f>
        <v>0</v>
      </c>
    </row>
    <row r="100" spans="1:11">
      <c r="A100" s="1">
        <f>(VLOOKUP('13.00'!A100,'13.00'!$T$3:$V$28,2,FALSE))</f>
        <v>0</v>
      </c>
      <c r="B100" s="1">
        <f>(VLOOKUP('13.00'!B100,'13.00'!$T$3:$V$28,2,FALSE))</f>
        <v>0</v>
      </c>
      <c r="C100" s="1">
        <f>(VLOOKUP('13.00'!C100,'13.00'!$T$3:$V$28,2,FALSE))</f>
        <v>0</v>
      </c>
      <c r="I100" s="1">
        <f>(VLOOKUP('13.00'!I100,'13.00'!$T$3:$V$28,2,FALSE))</f>
        <v>0</v>
      </c>
      <c r="J100" s="1">
        <f>(VLOOKUP('13.00'!J100,'13.00'!$T$3:$V$28,2,FALSE))</f>
        <v>0</v>
      </c>
      <c r="K100" s="1">
        <f>(VLOOKUP('13.00'!K100,'13.00'!$T$3:$V$28,2,FALSE))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5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(VLOOKUP('13.00'!A4,'13.00'!$T$3:$V$28,3,FALSE))</f>
        <v>0</v>
      </c>
      <c r="B4" s="1">
        <f>(VLOOKUP('13.00'!B4,'13.00'!$T$3:$V$28,3,FALSE))</f>
        <v>0</v>
      </c>
      <c r="C4" s="1">
        <f>(VLOOKUP('13.00'!C4,'13.00'!$T$3:$V$28,3,FALSE))</f>
        <v>0</v>
      </c>
      <c r="I4" s="1">
        <f>(VLOOKUP('13.00'!I4,'13.00'!$T$3:$V$28,3,FALSE))</f>
        <v>0</v>
      </c>
      <c r="J4" s="1">
        <f>(VLOOKUP('13.00'!J4,'13.00'!$T$3:$V$28,3,FALSE))</f>
        <v>0</v>
      </c>
      <c r="K4" s="1">
        <f>(VLOOKUP('13.00'!K4,'13.00'!$T$3:$V$28,3,FALSE))</f>
        <v>0</v>
      </c>
    </row>
    <row r="5" spans="1:11">
      <c r="A5" s="1">
        <f>(VLOOKUP('13.00'!A5,'13.00'!$T$3:$V$28,3,FALSE))</f>
        <v>0</v>
      </c>
      <c r="B5" s="1">
        <f>(VLOOKUP('13.00'!B5,'13.00'!$T$3:$V$28,3,FALSE))</f>
        <v>0</v>
      </c>
      <c r="C5" s="1">
        <f>(VLOOKUP('13.00'!C5,'13.00'!$T$3:$V$28,3,FALSE))</f>
        <v>0</v>
      </c>
      <c r="I5" s="1">
        <f>(VLOOKUP('13.00'!I5,'13.00'!$T$3:$V$28,3,FALSE))</f>
        <v>0</v>
      </c>
      <c r="J5" s="1">
        <f>(VLOOKUP('13.00'!J5,'13.00'!$T$3:$V$28,3,FALSE))</f>
        <v>0</v>
      </c>
      <c r="K5" s="1">
        <f>(VLOOKUP('13.00'!K5,'13.00'!$T$3:$V$28,3,FALSE))</f>
        <v>0</v>
      </c>
    </row>
    <row r="6" spans="1:11">
      <c r="A6" s="1">
        <f>(VLOOKUP('13.00'!A6,'13.00'!$T$3:$V$28,3,FALSE))</f>
        <v>0</v>
      </c>
      <c r="B6" s="1">
        <f>(VLOOKUP('13.00'!B6,'13.00'!$T$3:$V$28,3,FALSE))</f>
        <v>0</v>
      </c>
      <c r="C6" s="1">
        <f>(VLOOKUP('13.00'!C6,'13.00'!$T$3:$V$28,3,FALSE))</f>
        <v>0</v>
      </c>
      <c r="I6" s="1">
        <f>(VLOOKUP('13.00'!I6,'13.00'!$T$3:$V$28,3,FALSE))</f>
        <v>0</v>
      </c>
      <c r="J6" s="1">
        <f>(VLOOKUP('13.00'!J6,'13.00'!$T$3:$V$28,3,FALSE))</f>
        <v>0</v>
      </c>
      <c r="K6" s="1">
        <f>(VLOOKUP('13.00'!K6,'13.00'!$T$3:$V$28,3,FALSE))</f>
        <v>0</v>
      </c>
    </row>
    <row r="7" spans="1:11">
      <c r="A7" s="1">
        <f>(VLOOKUP('13.00'!A7,'13.00'!$T$3:$V$28,3,FALSE))</f>
        <v>0</v>
      </c>
      <c r="B7" s="1">
        <f>(VLOOKUP('13.00'!B7,'13.00'!$T$3:$V$28,3,FALSE))</f>
        <v>0</v>
      </c>
      <c r="C7" s="1">
        <f>(VLOOKUP('13.00'!C7,'13.00'!$T$3:$V$28,3,FALSE))</f>
        <v>0</v>
      </c>
      <c r="I7" s="1">
        <f>(VLOOKUP('13.00'!I7,'13.00'!$T$3:$V$28,3,FALSE))</f>
        <v>0</v>
      </c>
      <c r="J7" s="1">
        <f>(VLOOKUP('13.00'!J7,'13.00'!$T$3:$V$28,3,FALSE))</f>
        <v>0</v>
      </c>
      <c r="K7" s="1">
        <f>(VLOOKUP('13.00'!K7,'13.00'!$T$3:$V$28,3,FALSE))</f>
        <v>0</v>
      </c>
    </row>
    <row r="8" spans="1:11">
      <c r="A8" s="1">
        <f>(VLOOKUP('13.00'!A8,'13.00'!$T$3:$V$28,3,FALSE))</f>
        <v>0</v>
      </c>
      <c r="B8" s="1">
        <f>(VLOOKUP('13.00'!B8,'13.00'!$T$3:$V$28,3,FALSE))</f>
        <v>0</v>
      </c>
      <c r="C8" s="1">
        <f>(VLOOKUP('13.00'!C8,'13.00'!$T$3:$V$28,3,FALSE))</f>
        <v>0</v>
      </c>
      <c r="I8" s="1">
        <f>(VLOOKUP('13.00'!I8,'13.00'!$T$3:$V$28,3,FALSE))</f>
        <v>0</v>
      </c>
      <c r="J8" s="1">
        <f>(VLOOKUP('13.00'!J8,'13.00'!$T$3:$V$28,3,FALSE))</f>
        <v>0</v>
      </c>
      <c r="K8" s="1">
        <f>(VLOOKUP('13.00'!K8,'13.00'!$T$3:$V$28,3,FALSE))</f>
        <v>0</v>
      </c>
    </row>
    <row r="9" spans="1:11">
      <c r="A9" s="1">
        <f>(VLOOKUP('13.00'!A9,'13.00'!$T$3:$V$28,3,FALSE))</f>
        <v>0</v>
      </c>
      <c r="B9" s="1">
        <f>(VLOOKUP('13.00'!B9,'13.00'!$T$3:$V$28,3,FALSE))</f>
        <v>0</v>
      </c>
      <c r="C9" s="1">
        <f>(VLOOKUP('13.00'!C9,'13.00'!$T$3:$V$28,3,FALSE))</f>
        <v>0</v>
      </c>
      <c r="I9" s="1">
        <f>(VLOOKUP('13.00'!I9,'13.00'!$T$3:$V$28,3,FALSE))</f>
        <v>0</v>
      </c>
      <c r="J9" s="1">
        <f>(VLOOKUP('13.00'!J9,'13.00'!$T$3:$V$28,3,FALSE))</f>
        <v>0</v>
      </c>
      <c r="K9" s="1">
        <f>(VLOOKUP('13.00'!K9,'13.00'!$T$3:$V$28,3,FALSE))</f>
        <v>0</v>
      </c>
    </row>
    <row r="10" spans="1:11">
      <c r="A10" s="1">
        <f>(VLOOKUP('13.00'!A10,'13.00'!$T$3:$V$28,3,FALSE))</f>
        <v>0</v>
      </c>
      <c r="B10" s="1">
        <f>(VLOOKUP('13.00'!B10,'13.00'!$T$3:$V$28,3,FALSE))</f>
        <v>0</v>
      </c>
      <c r="C10" s="1">
        <f>(VLOOKUP('13.00'!C10,'13.00'!$T$3:$V$28,3,FALSE))</f>
        <v>0</v>
      </c>
      <c r="I10" s="1">
        <f>(VLOOKUP('13.00'!I10,'13.00'!$T$3:$V$28,3,FALSE))</f>
        <v>0</v>
      </c>
      <c r="J10" s="1">
        <f>(VLOOKUP('13.00'!J10,'13.00'!$T$3:$V$28,3,FALSE))</f>
        <v>0</v>
      </c>
      <c r="K10" s="1">
        <f>(VLOOKUP('13.00'!K10,'13.00'!$T$3:$V$28,3,FALSE))</f>
        <v>0</v>
      </c>
    </row>
    <row r="11" spans="1:11">
      <c r="A11" s="1">
        <f>(VLOOKUP('13.00'!A11,'13.00'!$T$3:$V$28,3,FALSE))</f>
        <v>0</v>
      </c>
      <c r="B11" s="1">
        <f>(VLOOKUP('13.00'!B11,'13.00'!$T$3:$V$28,3,FALSE))</f>
        <v>0</v>
      </c>
      <c r="C11" s="1">
        <f>(VLOOKUP('13.00'!C11,'13.00'!$T$3:$V$28,3,FALSE))</f>
        <v>0</v>
      </c>
      <c r="I11" s="1">
        <f>(VLOOKUP('13.00'!I11,'13.00'!$T$3:$V$28,3,FALSE))</f>
        <v>0</v>
      </c>
      <c r="J11" s="1">
        <f>(VLOOKUP('13.00'!J11,'13.00'!$T$3:$V$28,3,FALSE))</f>
        <v>0</v>
      </c>
      <c r="K11" s="1">
        <f>(VLOOKUP('13.00'!K11,'13.00'!$T$3:$V$28,3,FALSE))</f>
        <v>0</v>
      </c>
    </row>
    <row r="12" spans="1:11">
      <c r="A12" s="1">
        <f>(VLOOKUP('13.00'!A12,'13.00'!$T$3:$V$28,3,FALSE))</f>
        <v>0</v>
      </c>
      <c r="B12" s="1">
        <f>(VLOOKUP('13.00'!B12,'13.00'!$T$3:$V$28,3,FALSE))</f>
        <v>0</v>
      </c>
      <c r="C12" s="1">
        <f>(VLOOKUP('13.00'!C12,'13.00'!$T$3:$V$28,3,FALSE))</f>
        <v>0</v>
      </c>
      <c r="I12" s="1">
        <f>(VLOOKUP('13.00'!I12,'13.00'!$T$3:$V$28,3,FALSE))</f>
        <v>0</v>
      </c>
      <c r="J12" s="1">
        <f>(VLOOKUP('13.00'!J12,'13.00'!$T$3:$V$28,3,FALSE))</f>
        <v>0</v>
      </c>
      <c r="K12" s="1">
        <f>(VLOOKUP('13.00'!K12,'13.00'!$T$3:$V$28,3,FALSE))</f>
        <v>0</v>
      </c>
    </row>
    <row r="13" spans="1:11">
      <c r="A13" s="1">
        <f>(VLOOKUP('13.00'!A13,'13.00'!$T$3:$V$28,3,FALSE))</f>
        <v>0</v>
      </c>
      <c r="B13" s="1">
        <f>(VLOOKUP('13.00'!B13,'13.00'!$T$3:$V$28,3,FALSE))</f>
        <v>0</v>
      </c>
      <c r="C13" s="1">
        <f>(VLOOKUP('13.00'!C13,'13.00'!$T$3:$V$28,3,FALSE))</f>
        <v>0</v>
      </c>
      <c r="I13" s="1">
        <f>(VLOOKUP('13.00'!I13,'13.00'!$T$3:$V$28,3,FALSE))</f>
        <v>0</v>
      </c>
      <c r="J13" s="1">
        <f>(VLOOKUP('13.00'!J13,'13.00'!$T$3:$V$28,3,FALSE))</f>
        <v>0</v>
      </c>
      <c r="K13" s="1">
        <f>(VLOOKUP('13.00'!K13,'13.00'!$T$3:$V$28,3,FALSE))</f>
        <v>0</v>
      </c>
    </row>
    <row r="14" spans="1:11">
      <c r="A14" s="1">
        <f>(VLOOKUP('13.00'!A14,'13.00'!$T$3:$V$28,3,FALSE))</f>
        <v>0</v>
      </c>
      <c r="B14" s="1">
        <f>(VLOOKUP('13.00'!B14,'13.00'!$T$3:$V$28,3,FALSE))</f>
        <v>0</v>
      </c>
      <c r="C14" s="1">
        <f>(VLOOKUP('13.00'!C14,'13.00'!$T$3:$V$28,3,FALSE))</f>
        <v>0</v>
      </c>
      <c r="I14" s="1">
        <f>(VLOOKUP('13.00'!I14,'13.00'!$T$3:$V$28,3,FALSE))</f>
        <v>0</v>
      </c>
      <c r="J14" s="1">
        <f>(VLOOKUP('13.00'!J14,'13.00'!$T$3:$V$28,3,FALSE))</f>
        <v>0</v>
      </c>
      <c r="K14" s="1">
        <f>(VLOOKUP('13.00'!K14,'13.00'!$T$3:$V$28,3,FALSE))</f>
        <v>0</v>
      </c>
    </row>
    <row r="15" spans="1:11">
      <c r="A15" s="1">
        <f>(VLOOKUP('13.00'!A15,'13.00'!$T$3:$V$28,3,FALSE))</f>
        <v>0</v>
      </c>
      <c r="B15" s="1">
        <f>(VLOOKUP('13.00'!B15,'13.00'!$T$3:$V$28,3,FALSE))</f>
        <v>0</v>
      </c>
      <c r="C15" s="1">
        <f>(VLOOKUP('13.00'!C15,'13.00'!$T$3:$V$28,3,FALSE))</f>
        <v>0</v>
      </c>
      <c r="I15" s="1">
        <f>(VLOOKUP('13.00'!I15,'13.00'!$T$3:$V$28,3,FALSE))</f>
        <v>0</v>
      </c>
      <c r="J15" s="1">
        <f>(VLOOKUP('13.00'!J15,'13.00'!$T$3:$V$28,3,FALSE))</f>
        <v>0</v>
      </c>
      <c r="K15" s="1">
        <f>(VLOOKUP('13.00'!K15,'13.00'!$T$3:$V$28,3,FALSE))</f>
        <v>0</v>
      </c>
    </row>
    <row r="16" spans="1:11">
      <c r="A16" s="1">
        <f>(VLOOKUP('13.00'!A16,'13.00'!$T$3:$V$28,3,FALSE))</f>
        <v>0</v>
      </c>
      <c r="B16" s="1">
        <f>(VLOOKUP('13.00'!B16,'13.00'!$T$3:$V$28,3,FALSE))</f>
        <v>0</v>
      </c>
      <c r="C16" s="1">
        <f>(VLOOKUP('13.00'!C16,'13.00'!$T$3:$V$28,3,FALSE))</f>
        <v>0</v>
      </c>
      <c r="I16" s="1">
        <f>(VLOOKUP('13.00'!I16,'13.00'!$T$3:$V$28,3,FALSE))</f>
        <v>0</v>
      </c>
      <c r="J16" s="1">
        <f>(VLOOKUP('13.00'!J16,'13.00'!$T$3:$V$28,3,FALSE))</f>
        <v>0</v>
      </c>
      <c r="K16" s="1">
        <f>(VLOOKUP('13.00'!K16,'13.00'!$T$3:$V$28,3,FALSE))</f>
        <v>0</v>
      </c>
    </row>
    <row r="17" spans="1:11">
      <c r="A17" s="1">
        <f>(VLOOKUP('13.00'!A17,'13.00'!$T$3:$V$28,3,FALSE))</f>
        <v>0</v>
      </c>
      <c r="B17" s="1">
        <f>(VLOOKUP('13.00'!B17,'13.00'!$T$3:$V$28,3,FALSE))</f>
        <v>0</v>
      </c>
      <c r="C17" s="1">
        <f>(VLOOKUP('13.00'!C17,'13.00'!$T$3:$V$28,3,FALSE))</f>
        <v>0</v>
      </c>
      <c r="I17" s="1">
        <f>(VLOOKUP('13.00'!I17,'13.00'!$T$3:$V$28,3,FALSE))</f>
        <v>0</v>
      </c>
      <c r="J17" s="1">
        <f>(VLOOKUP('13.00'!J17,'13.00'!$T$3:$V$28,3,FALSE))</f>
        <v>0</v>
      </c>
      <c r="K17" s="1">
        <f>(VLOOKUP('13.00'!K17,'13.00'!$T$3:$V$28,3,FALSE))</f>
        <v>0</v>
      </c>
    </row>
    <row r="18" spans="1:11">
      <c r="A18" s="1">
        <f>(VLOOKUP('13.00'!A18,'13.00'!$T$3:$V$28,3,FALSE))</f>
        <v>0</v>
      </c>
      <c r="B18" s="1">
        <f>(VLOOKUP('13.00'!B18,'13.00'!$T$3:$V$28,3,FALSE))</f>
        <v>0</v>
      </c>
      <c r="C18" s="1">
        <f>(VLOOKUP('13.00'!C18,'13.00'!$T$3:$V$28,3,FALSE))</f>
        <v>0</v>
      </c>
      <c r="I18" s="1">
        <f>(VLOOKUP('13.00'!I18,'13.00'!$T$3:$V$28,3,FALSE))</f>
        <v>0</v>
      </c>
      <c r="J18" s="1">
        <f>(VLOOKUP('13.00'!J18,'13.00'!$T$3:$V$28,3,FALSE))</f>
        <v>0</v>
      </c>
      <c r="K18" s="1">
        <f>(VLOOKUP('13.00'!K18,'13.00'!$T$3:$V$28,3,FALSE))</f>
        <v>0</v>
      </c>
    </row>
    <row r="19" spans="1:11">
      <c r="A19" s="1">
        <f>(VLOOKUP('13.00'!A19,'13.00'!$T$3:$V$28,3,FALSE))</f>
        <v>0</v>
      </c>
      <c r="B19" s="1">
        <f>(VLOOKUP('13.00'!B19,'13.00'!$T$3:$V$28,3,FALSE))</f>
        <v>0</v>
      </c>
      <c r="C19" s="1">
        <f>(VLOOKUP('13.00'!C19,'13.00'!$T$3:$V$28,3,FALSE))</f>
        <v>0</v>
      </c>
      <c r="I19" s="1">
        <f>(VLOOKUP('13.00'!I19,'13.00'!$T$3:$V$28,3,FALSE))</f>
        <v>0</v>
      </c>
      <c r="J19" s="1">
        <f>(VLOOKUP('13.00'!J19,'13.00'!$T$3:$V$28,3,FALSE))</f>
        <v>0</v>
      </c>
      <c r="K19" s="1">
        <f>(VLOOKUP('13.00'!K19,'13.00'!$T$3:$V$28,3,FALSE))</f>
        <v>0</v>
      </c>
    </row>
    <row r="20" spans="1:11">
      <c r="A20" s="1">
        <f>(VLOOKUP('13.00'!A20,'13.00'!$T$3:$V$28,3,FALSE))</f>
        <v>0</v>
      </c>
      <c r="B20" s="1">
        <f>(VLOOKUP('13.00'!B20,'13.00'!$T$3:$V$28,3,FALSE))</f>
        <v>0</v>
      </c>
      <c r="C20" s="1">
        <f>(VLOOKUP('13.00'!C20,'13.00'!$T$3:$V$28,3,FALSE))</f>
        <v>0</v>
      </c>
      <c r="I20" s="1">
        <f>(VLOOKUP('13.00'!I20,'13.00'!$T$3:$V$28,3,FALSE))</f>
        <v>0</v>
      </c>
      <c r="J20" s="1">
        <f>(VLOOKUP('13.00'!J20,'13.00'!$T$3:$V$28,3,FALSE))</f>
        <v>0</v>
      </c>
      <c r="K20" s="1">
        <f>(VLOOKUP('13.00'!K20,'13.00'!$T$3:$V$28,3,FALSE))</f>
        <v>0</v>
      </c>
    </row>
    <row r="21" spans="1:11">
      <c r="A21" s="1">
        <f>(VLOOKUP('13.00'!A21,'13.00'!$T$3:$V$28,3,FALSE))</f>
        <v>0</v>
      </c>
      <c r="B21" s="1">
        <f>(VLOOKUP('13.00'!B21,'13.00'!$T$3:$V$28,3,FALSE))</f>
        <v>0</v>
      </c>
      <c r="C21" s="1">
        <f>(VLOOKUP('13.00'!C21,'13.00'!$T$3:$V$28,3,FALSE))</f>
        <v>0</v>
      </c>
      <c r="I21" s="1">
        <f>(VLOOKUP('13.00'!I21,'13.00'!$T$3:$V$28,3,FALSE))</f>
        <v>0</v>
      </c>
      <c r="J21" s="1">
        <f>(VLOOKUP('13.00'!J21,'13.00'!$T$3:$V$28,3,FALSE))</f>
        <v>0</v>
      </c>
      <c r="K21" s="1">
        <f>(VLOOKUP('13.00'!K21,'13.00'!$T$3:$V$28,3,FALSE))</f>
        <v>0</v>
      </c>
    </row>
    <row r="22" spans="1:11">
      <c r="A22" s="1">
        <f>(VLOOKUP('13.00'!A22,'13.00'!$T$3:$V$28,3,FALSE))</f>
        <v>0</v>
      </c>
      <c r="B22" s="1">
        <f>(VLOOKUP('13.00'!B22,'13.00'!$T$3:$V$28,3,FALSE))</f>
        <v>0</v>
      </c>
      <c r="C22" s="1">
        <f>(VLOOKUP('13.00'!C22,'13.00'!$T$3:$V$28,3,FALSE))</f>
        <v>0</v>
      </c>
      <c r="I22" s="1">
        <f>(VLOOKUP('13.00'!I22,'13.00'!$T$3:$V$28,3,FALSE))</f>
        <v>0</v>
      </c>
      <c r="J22" s="1">
        <f>(VLOOKUP('13.00'!J22,'13.00'!$T$3:$V$28,3,FALSE))</f>
        <v>0</v>
      </c>
      <c r="K22" s="1">
        <f>(VLOOKUP('13.00'!K22,'13.00'!$T$3:$V$28,3,FALSE))</f>
        <v>0</v>
      </c>
    </row>
    <row r="23" spans="1:11">
      <c r="A23" s="1">
        <f>(VLOOKUP('13.00'!A23,'13.00'!$T$3:$V$28,3,FALSE))</f>
        <v>0</v>
      </c>
      <c r="B23" s="1">
        <f>(VLOOKUP('13.00'!B23,'13.00'!$T$3:$V$28,3,FALSE))</f>
        <v>0</v>
      </c>
      <c r="C23" s="1">
        <f>(VLOOKUP('13.00'!C23,'13.00'!$T$3:$V$28,3,FALSE))</f>
        <v>0</v>
      </c>
      <c r="I23" s="1">
        <f>(VLOOKUP('13.00'!I23,'13.00'!$T$3:$V$28,3,FALSE))</f>
        <v>0</v>
      </c>
      <c r="J23" s="1">
        <f>(VLOOKUP('13.00'!J23,'13.00'!$T$3:$V$28,3,FALSE))</f>
        <v>0</v>
      </c>
      <c r="K23" s="1">
        <f>(VLOOKUP('13.00'!K23,'13.00'!$T$3:$V$28,3,FALSE))</f>
        <v>0</v>
      </c>
    </row>
    <row r="24" spans="1:11">
      <c r="A24" s="1">
        <f>(VLOOKUP('13.00'!A24,'13.00'!$T$3:$V$28,3,FALSE))</f>
        <v>0</v>
      </c>
      <c r="B24" s="1">
        <f>(VLOOKUP('13.00'!B24,'13.00'!$T$3:$V$28,3,FALSE))</f>
        <v>0</v>
      </c>
      <c r="C24" s="1">
        <f>(VLOOKUP('13.00'!C24,'13.00'!$T$3:$V$28,3,FALSE))</f>
        <v>0</v>
      </c>
      <c r="I24" s="1">
        <f>(VLOOKUP('13.00'!I24,'13.00'!$T$3:$V$28,3,FALSE))</f>
        <v>0</v>
      </c>
      <c r="J24" s="1">
        <f>(VLOOKUP('13.00'!J24,'13.00'!$T$3:$V$28,3,FALSE))</f>
        <v>0</v>
      </c>
      <c r="K24" s="1">
        <f>(VLOOKUP('13.00'!K24,'13.00'!$T$3:$V$28,3,FALSE))</f>
        <v>0</v>
      </c>
    </row>
    <row r="25" spans="1:11">
      <c r="A25" s="1">
        <f>(VLOOKUP('13.00'!A25,'13.00'!$T$3:$V$28,3,FALSE))</f>
        <v>0</v>
      </c>
      <c r="B25" s="1">
        <f>(VLOOKUP('13.00'!B25,'13.00'!$T$3:$V$28,3,FALSE))</f>
        <v>0</v>
      </c>
      <c r="C25" s="1">
        <f>(VLOOKUP('13.00'!C25,'13.00'!$T$3:$V$28,3,FALSE))</f>
        <v>0</v>
      </c>
      <c r="I25" s="1">
        <f>(VLOOKUP('13.00'!I25,'13.00'!$T$3:$V$28,3,FALSE))</f>
        <v>0</v>
      </c>
      <c r="J25" s="1">
        <f>(VLOOKUP('13.00'!J25,'13.00'!$T$3:$V$28,3,FALSE))</f>
        <v>0</v>
      </c>
      <c r="K25" s="1">
        <f>(VLOOKUP('13.00'!K25,'13.00'!$T$3:$V$28,3,FALSE))</f>
        <v>0</v>
      </c>
    </row>
    <row r="26" spans="1:11">
      <c r="A26" s="1">
        <f>(VLOOKUP('13.00'!A26,'13.00'!$T$3:$V$28,3,FALSE))</f>
        <v>0</v>
      </c>
      <c r="B26" s="1">
        <f>(VLOOKUP('13.00'!B26,'13.00'!$T$3:$V$28,3,FALSE))</f>
        <v>0</v>
      </c>
      <c r="C26" s="1">
        <f>(VLOOKUP('13.00'!C26,'13.00'!$T$3:$V$28,3,FALSE))</f>
        <v>0</v>
      </c>
      <c r="I26" s="1">
        <f>(VLOOKUP('13.00'!I26,'13.00'!$T$3:$V$28,3,FALSE))</f>
        <v>0</v>
      </c>
      <c r="J26" s="1">
        <f>(VLOOKUP('13.00'!J26,'13.00'!$T$3:$V$28,3,FALSE))</f>
        <v>0</v>
      </c>
      <c r="K26" s="1">
        <f>(VLOOKUP('13.00'!K26,'13.00'!$T$3:$V$28,3,FALSE))</f>
        <v>0</v>
      </c>
    </row>
    <row r="27" spans="1:11">
      <c r="A27" s="1">
        <f>(VLOOKUP('13.00'!A27,'13.00'!$T$3:$V$28,3,FALSE))</f>
        <v>0</v>
      </c>
      <c r="B27" s="1">
        <f>(VLOOKUP('13.00'!B27,'13.00'!$T$3:$V$28,3,FALSE))</f>
        <v>0</v>
      </c>
      <c r="C27" s="1">
        <f>(VLOOKUP('13.00'!C27,'13.00'!$T$3:$V$28,3,FALSE))</f>
        <v>0</v>
      </c>
      <c r="I27" s="1">
        <f>(VLOOKUP('13.00'!I27,'13.00'!$T$3:$V$28,3,FALSE))</f>
        <v>0</v>
      </c>
      <c r="J27" s="1">
        <f>(VLOOKUP('13.00'!J27,'13.00'!$T$3:$V$28,3,FALSE))</f>
        <v>0</v>
      </c>
      <c r="K27" s="1">
        <f>(VLOOKUP('13.00'!K27,'13.00'!$T$3:$V$28,3,FALSE))</f>
        <v>0</v>
      </c>
    </row>
    <row r="28" spans="1:11">
      <c r="A28" s="1">
        <f>(VLOOKUP('13.00'!A28,'13.00'!$T$3:$V$28,3,FALSE))</f>
        <v>0</v>
      </c>
      <c r="B28" s="1">
        <f>(VLOOKUP('13.00'!B28,'13.00'!$T$3:$V$28,3,FALSE))</f>
        <v>0</v>
      </c>
      <c r="C28" s="1">
        <f>(VLOOKUP('13.00'!C28,'13.00'!$T$3:$V$28,3,FALSE))</f>
        <v>0</v>
      </c>
      <c r="I28" s="1">
        <f>(VLOOKUP('13.00'!I28,'13.00'!$T$3:$V$28,3,FALSE))</f>
        <v>0</v>
      </c>
      <c r="J28" s="1">
        <f>(VLOOKUP('13.00'!J28,'13.00'!$T$3:$V$28,3,FALSE))</f>
        <v>0</v>
      </c>
      <c r="K28" s="1">
        <f>(VLOOKUP('13.00'!K28,'13.00'!$T$3:$V$28,3,FALSE))</f>
        <v>0</v>
      </c>
    </row>
    <row r="29" spans="1:11">
      <c r="A29" s="1">
        <f>(VLOOKUP('13.00'!A29,'13.00'!$T$3:$V$28,3,FALSE))</f>
        <v>0</v>
      </c>
      <c r="B29" s="1">
        <f>(VLOOKUP('13.00'!B29,'13.00'!$T$3:$V$28,3,FALSE))</f>
        <v>0</v>
      </c>
      <c r="C29" s="1">
        <f>(VLOOKUP('13.00'!C29,'13.00'!$T$3:$V$28,3,FALSE))</f>
        <v>0</v>
      </c>
      <c r="I29" s="1">
        <f>(VLOOKUP('13.00'!I29,'13.00'!$T$3:$V$28,3,FALSE))</f>
        <v>0</v>
      </c>
      <c r="J29" s="1">
        <f>(VLOOKUP('13.00'!J29,'13.00'!$T$3:$V$28,3,FALSE))</f>
        <v>0</v>
      </c>
      <c r="K29" s="1">
        <f>(VLOOKUP('13.00'!K29,'13.00'!$T$3:$V$28,3,FALSE))</f>
        <v>0</v>
      </c>
    </row>
    <row r="30" spans="1:11">
      <c r="A30" s="1">
        <f>(VLOOKUP('13.00'!A30,'13.00'!$T$3:$V$28,3,FALSE))</f>
        <v>0</v>
      </c>
      <c r="B30" s="1">
        <f>(VLOOKUP('13.00'!B30,'13.00'!$T$3:$V$28,3,FALSE))</f>
        <v>0</v>
      </c>
      <c r="C30" s="1">
        <f>(VLOOKUP('13.00'!C30,'13.00'!$T$3:$V$28,3,FALSE))</f>
        <v>0</v>
      </c>
      <c r="I30" s="1">
        <f>(VLOOKUP('13.00'!I30,'13.00'!$T$3:$V$28,3,FALSE))</f>
        <v>0</v>
      </c>
      <c r="J30" s="1">
        <f>(VLOOKUP('13.00'!J30,'13.00'!$T$3:$V$28,3,FALSE))</f>
        <v>0</v>
      </c>
      <c r="K30" s="1">
        <f>(VLOOKUP('13.00'!K30,'13.00'!$T$3:$V$28,3,FALSE))</f>
        <v>0</v>
      </c>
    </row>
    <row r="31" spans="1:11">
      <c r="A31" s="1">
        <f>(VLOOKUP('13.00'!A31,'13.00'!$T$3:$V$28,3,FALSE))</f>
        <v>0</v>
      </c>
      <c r="B31" s="1">
        <f>(VLOOKUP('13.00'!B31,'13.00'!$T$3:$V$28,3,FALSE))</f>
        <v>0</v>
      </c>
      <c r="C31" s="1">
        <f>(VLOOKUP('13.00'!C31,'13.00'!$T$3:$V$28,3,FALSE))</f>
        <v>0</v>
      </c>
      <c r="I31" s="1">
        <f>(VLOOKUP('13.00'!I31,'13.00'!$T$3:$V$28,3,FALSE))</f>
        <v>0</v>
      </c>
      <c r="J31" s="1">
        <f>(VLOOKUP('13.00'!J31,'13.00'!$T$3:$V$28,3,FALSE))</f>
        <v>0</v>
      </c>
      <c r="K31" s="1">
        <f>(VLOOKUP('13.00'!K31,'13.00'!$T$3:$V$28,3,FALSE))</f>
        <v>0</v>
      </c>
    </row>
    <row r="32" spans="1:11">
      <c r="A32" s="1">
        <f>(VLOOKUP('13.00'!A32,'13.00'!$T$3:$V$28,3,FALSE))</f>
        <v>0</v>
      </c>
      <c r="B32" s="1">
        <f>(VLOOKUP('13.00'!B32,'13.00'!$T$3:$V$28,3,FALSE))</f>
        <v>0</v>
      </c>
      <c r="C32" s="1">
        <f>(VLOOKUP('13.00'!C32,'13.00'!$T$3:$V$28,3,FALSE))</f>
        <v>0</v>
      </c>
      <c r="I32" s="1">
        <f>(VLOOKUP('13.00'!I32,'13.00'!$T$3:$V$28,3,FALSE))</f>
        <v>0</v>
      </c>
      <c r="J32" s="1">
        <f>(VLOOKUP('13.00'!J32,'13.00'!$T$3:$V$28,3,FALSE))</f>
        <v>0</v>
      </c>
      <c r="K32" s="1">
        <f>(VLOOKUP('13.00'!K32,'13.00'!$T$3:$V$28,3,FALSE))</f>
        <v>0</v>
      </c>
    </row>
    <row r="33" spans="1:11">
      <c r="A33" s="1">
        <f>(VLOOKUP('13.00'!A33,'13.00'!$T$3:$V$28,3,FALSE))</f>
        <v>0</v>
      </c>
      <c r="B33" s="1">
        <f>(VLOOKUP('13.00'!B33,'13.00'!$T$3:$V$28,3,FALSE))</f>
        <v>0</v>
      </c>
      <c r="C33" s="1">
        <f>(VLOOKUP('13.00'!C33,'13.00'!$T$3:$V$28,3,FALSE))</f>
        <v>0</v>
      </c>
      <c r="I33" s="1">
        <f>(VLOOKUP('13.00'!I33,'13.00'!$T$3:$V$28,3,FALSE))</f>
        <v>0</v>
      </c>
      <c r="J33" s="1">
        <f>(VLOOKUP('13.00'!J33,'13.00'!$T$3:$V$28,3,FALSE))</f>
        <v>0</v>
      </c>
      <c r="K33" s="1">
        <f>(VLOOKUP('13.00'!K33,'13.00'!$T$3:$V$28,3,FALSE))</f>
        <v>0</v>
      </c>
    </row>
    <row r="34" spans="1:11">
      <c r="A34" s="1">
        <f>(VLOOKUP('13.00'!A34,'13.00'!$T$3:$V$28,3,FALSE))</f>
        <v>0</v>
      </c>
      <c r="B34" s="1">
        <f>(VLOOKUP('13.00'!B34,'13.00'!$T$3:$V$28,3,FALSE))</f>
        <v>0</v>
      </c>
      <c r="C34" s="1">
        <f>(VLOOKUP('13.00'!C34,'13.00'!$T$3:$V$28,3,FALSE))</f>
        <v>0</v>
      </c>
      <c r="I34" s="1">
        <f>(VLOOKUP('13.00'!I34,'13.00'!$T$3:$V$28,3,FALSE))</f>
        <v>0</v>
      </c>
      <c r="J34" s="1">
        <f>(VLOOKUP('13.00'!J34,'13.00'!$T$3:$V$28,3,FALSE))</f>
        <v>0</v>
      </c>
      <c r="K34" s="1">
        <f>(VLOOKUP('13.00'!K34,'13.00'!$T$3:$V$28,3,FALSE))</f>
        <v>0</v>
      </c>
    </row>
    <row r="35" spans="1:11">
      <c r="A35" s="1">
        <f>(VLOOKUP('13.00'!A35,'13.00'!$T$3:$V$28,3,FALSE))</f>
        <v>0</v>
      </c>
      <c r="B35" s="1">
        <f>(VLOOKUP('13.00'!B35,'13.00'!$T$3:$V$28,3,FALSE))</f>
        <v>0</v>
      </c>
      <c r="C35" s="1">
        <f>(VLOOKUP('13.00'!C35,'13.00'!$T$3:$V$28,3,FALSE))</f>
        <v>0</v>
      </c>
      <c r="I35" s="1">
        <f>(VLOOKUP('13.00'!I35,'13.00'!$T$3:$V$28,3,FALSE))</f>
        <v>0</v>
      </c>
      <c r="J35" s="1">
        <f>(VLOOKUP('13.00'!J35,'13.00'!$T$3:$V$28,3,FALSE))</f>
        <v>0</v>
      </c>
      <c r="K35" s="1">
        <f>(VLOOKUP('13.00'!K35,'13.00'!$T$3:$V$28,3,FALSE))</f>
        <v>0</v>
      </c>
    </row>
    <row r="36" spans="1:11">
      <c r="A36" s="1">
        <f>(VLOOKUP('13.00'!A36,'13.00'!$T$3:$V$28,3,FALSE))</f>
        <v>0</v>
      </c>
      <c r="B36" s="1">
        <f>(VLOOKUP('13.00'!B36,'13.00'!$T$3:$V$28,3,FALSE))</f>
        <v>0</v>
      </c>
      <c r="C36" s="1">
        <f>(VLOOKUP('13.00'!C36,'13.00'!$T$3:$V$28,3,FALSE))</f>
        <v>0</v>
      </c>
      <c r="I36" s="1">
        <f>(VLOOKUP('13.00'!I36,'13.00'!$T$3:$V$28,3,FALSE))</f>
        <v>0</v>
      </c>
      <c r="J36" s="1">
        <f>(VLOOKUP('13.00'!J36,'13.00'!$T$3:$V$28,3,FALSE))</f>
        <v>0</v>
      </c>
      <c r="K36" s="1">
        <f>(VLOOKUP('13.00'!K36,'13.00'!$T$3:$V$28,3,FALSE))</f>
        <v>0</v>
      </c>
    </row>
    <row r="37" spans="1:11">
      <c r="A37" s="1">
        <f>(VLOOKUP('13.00'!A37,'13.00'!$T$3:$V$28,3,FALSE))</f>
        <v>0</v>
      </c>
      <c r="B37" s="1">
        <f>(VLOOKUP('13.00'!B37,'13.00'!$T$3:$V$28,3,FALSE))</f>
        <v>0</v>
      </c>
      <c r="C37" s="1">
        <f>(VLOOKUP('13.00'!C37,'13.00'!$T$3:$V$28,3,FALSE))</f>
        <v>0</v>
      </c>
      <c r="I37" s="1">
        <f>(VLOOKUP('13.00'!I37,'13.00'!$T$3:$V$28,3,FALSE))</f>
        <v>0</v>
      </c>
      <c r="J37" s="1">
        <f>(VLOOKUP('13.00'!J37,'13.00'!$T$3:$V$28,3,FALSE))</f>
        <v>0</v>
      </c>
      <c r="K37" s="1">
        <f>(VLOOKUP('13.00'!K37,'13.00'!$T$3:$V$28,3,FALSE))</f>
        <v>0</v>
      </c>
    </row>
    <row r="38" spans="1:11">
      <c r="A38" s="1">
        <f>(VLOOKUP('13.00'!A38,'13.00'!$T$3:$V$28,3,FALSE))</f>
        <v>0</v>
      </c>
      <c r="B38" s="1">
        <f>(VLOOKUP('13.00'!B38,'13.00'!$T$3:$V$28,3,FALSE))</f>
        <v>0</v>
      </c>
      <c r="C38" s="1">
        <f>(VLOOKUP('13.00'!C38,'13.00'!$T$3:$V$28,3,FALSE))</f>
        <v>0</v>
      </c>
      <c r="I38" s="1">
        <f>(VLOOKUP('13.00'!I38,'13.00'!$T$3:$V$28,3,FALSE))</f>
        <v>0</v>
      </c>
      <c r="J38" s="1">
        <f>(VLOOKUP('13.00'!J38,'13.00'!$T$3:$V$28,3,FALSE))</f>
        <v>0</v>
      </c>
      <c r="K38" s="1">
        <f>(VLOOKUP('13.00'!K38,'13.00'!$T$3:$V$28,3,FALSE))</f>
        <v>0</v>
      </c>
    </row>
    <row r="39" spans="1:11">
      <c r="A39" s="1">
        <f>(VLOOKUP('13.00'!A39,'13.00'!$T$3:$V$28,3,FALSE))</f>
        <v>0</v>
      </c>
      <c r="B39" s="1">
        <f>(VLOOKUP('13.00'!B39,'13.00'!$T$3:$V$28,3,FALSE))</f>
        <v>0</v>
      </c>
      <c r="C39" s="1">
        <f>(VLOOKUP('13.00'!C39,'13.00'!$T$3:$V$28,3,FALSE))</f>
        <v>0</v>
      </c>
      <c r="I39" s="1">
        <f>(VLOOKUP('13.00'!I39,'13.00'!$T$3:$V$28,3,FALSE))</f>
        <v>0</v>
      </c>
      <c r="J39" s="1">
        <f>(VLOOKUP('13.00'!J39,'13.00'!$T$3:$V$28,3,FALSE))</f>
        <v>0</v>
      </c>
      <c r="K39" s="1">
        <f>(VLOOKUP('13.00'!K39,'13.00'!$T$3:$V$28,3,FALSE))</f>
        <v>0</v>
      </c>
    </row>
    <row r="40" spans="1:11">
      <c r="A40" s="1">
        <f>(VLOOKUP('13.00'!A40,'13.00'!$T$3:$V$28,3,FALSE))</f>
        <v>0</v>
      </c>
      <c r="B40" s="1">
        <f>(VLOOKUP('13.00'!B40,'13.00'!$T$3:$V$28,3,FALSE))</f>
        <v>0</v>
      </c>
      <c r="C40" s="1">
        <f>(VLOOKUP('13.00'!C40,'13.00'!$T$3:$V$28,3,FALSE))</f>
        <v>0</v>
      </c>
      <c r="I40" s="1">
        <f>(VLOOKUP('13.00'!I40,'13.00'!$T$3:$V$28,3,FALSE))</f>
        <v>0</v>
      </c>
      <c r="J40" s="1">
        <f>(VLOOKUP('13.00'!J40,'13.00'!$T$3:$V$28,3,FALSE))</f>
        <v>0</v>
      </c>
      <c r="K40" s="1">
        <f>(VLOOKUP('13.00'!K40,'13.00'!$T$3:$V$28,3,FALSE))</f>
        <v>0</v>
      </c>
    </row>
    <row r="41" spans="1:11">
      <c r="A41" s="1">
        <f>(VLOOKUP('13.00'!A41,'13.00'!$T$3:$V$28,3,FALSE))</f>
        <v>0</v>
      </c>
      <c r="B41" s="1">
        <f>(VLOOKUP('13.00'!B41,'13.00'!$T$3:$V$28,3,FALSE))</f>
        <v>0</v>
      </c>
      <c r="C41" s="1">
        <f>(VLOOKUP('13.00'!C41,'13.00'!$T$3:$V$28,3,FALSE))</f>
        <v>0</v>
      </c>
      <c r="I41" s="1">
        <f>(VLOOKUP('13.00'!I41,'13.00'!$T$3:$V$28,3,FALSE))</f>
        <v>0</v>
      </c>
      <c r="J41" s="1">
        <f>(VLOOKUP('13.00'!J41,'13.00'!$T$3:$V$28,3,FALSE))</f>
        <v>0</v>
      </c>
      <c r="K41" s="1">
        <f>(VLOOKUP('13.00'!K41,'13.00'!$T$3:$V$28,3,FALSE))</f>
        <v>0</v>
      </c>
    </row>
    <row r="42" spans="1:11">
      <c r="A42" s="1">
        <f>(VLOOKUP('13.00'!A42,'13.00'!$T$3:$V$28,3,FALSE))</f>
        <v>0</v>
      </c>
      <c r="B42" s="1">
        <f>(VLOOKUP('13.00'!B42,'13.00'!$T$3:$V$28,3,FALSE))</f>
        <v>0</v>
      </c>
      <c r="C42" s="1">
        <f>(VLOOKUP('13.00'!C42,'13.00'!$T$3:$V$28,3,FALSE))</f>
        <v>0</v>
      </c>
      <c r="I42" s="1">
        <f>(VLOOKUP('13.00'!I42,'13.00'!$T$3:$V$28,3,FALSE))</f>
        <v>0</v>
      </c>
      <c r="J42" s="1">
        <f>(VLOOKUP('13.00'!J42,'13.00'!$T$3:$V$28,3,FALSE))</f>
        <v>0</v>
      </c>
      <c r="K42" s="1">
        <f>(VLOOKUP('13.00'!K42,'13.00'!$T$3:$V$28,3,FALSE))</f>
        <v>0</v>
      </c>
    </row>
    <row r="43" spans="1:11">
      <c r="A43" s="1">
        <f>(VLOOKUP('13.00'!A43,'13.00'!$T$3:$V$28,3,FALSE))</f>
        <v>0</v>
      </c>
      <c r="B43" s="1">
        <f>(VLOOKUP('13.00'!B43,'13.00'!$T$3:$V$28,3,FALSE))</f>
        <v>0</v>
      </c>
      <c r="C43" s="1">
        <f>(VLOOKUP('13.00'!C43,'13.00'!$T$3:$V$28,3,FALSE))</f>
        <v>0</v>
      </c>
      <c r="I43" s="1">
        <f>(VLOOKUP('13.00'!I43,'13.00'!$T$3:$V$28,3,FALSE))</f>
        <v>0</v>
      </c>
      <c r="J43" s="1">
        <f>(VLOOKUP('13.00'!J43,'13.00'!$T$3:$V$28,3,FALSE))</f>
        <v>0</v>
      </c>
      <c r="K43" s="1">
        <f>(VLOOKUP('13.00'!K43,'13.00'!$T$3:$V$28,3,FALSE))</f>
        <v>0</v>
      </c>
    </row>
    <row r="44" spans="1:11">
      <c r="A44" s="1">
        <f>(VLOOKUP('13.00'!A44,'13.00'!$T$3:$V$28,3,FALSE))</f>
        <v>0</v>
      </c>
      <c r="B44" s="1">
        <f>(VLOOKUP('13.00'!B44,'13.00'!$T$3:$V$28,3,FALSE))</f>
        <v>0</v>
      </c>
      <c r="C44" s="1">
        <f>(VLOOKUP('13.00'!C44,'13.00'!$T$3:$V$28,3,FALSE))</f>
        <v>0</v>
      </c>
      <c r="I44" s="1">
        <f>(VLOOKUP('13.00'!I44,'13.00'!$T$3:$V$28,3,FALSE))</f>
        <v>0</v>
      </c>
      <c r="J44" s="1">
        <f>(VLOOKUP('13.00'!J44,'13.00'!$T$3:$V$28,3,FALSE))</f>
        <v>0</v>
      </c>
      <c r="K44" s="1">
        <f>(VLOOKUP('13.00'!K44,'13.00'!$T$3:$V$28,3,FALSE))</f>
        <v>0</v>
      </c>
    </row>
    <row r="45" spans="1:11">
      <c r="A45" s="1">
        <f>(VLOOKUP('13.00'!A45,'13.00'!$T$3:$V$28,3,FALSE))</f>
        <v>0</v>
      </c>
      <c r="B45" s="1">
        <f>(VLOOKUP('13.00'!B45,'13.00'!$T$3:$V$28,3,FALSE))</f>
        <v>0</v>
      </c>
      <c r="C45" s="1">
        <f>(VLOOKUP('13.00'!C45,'13.00'!$T$3:$V$28,3,FALSE))</f>
        <v>0</v>
      </c>
      <c r="I45" s="1">
        <f>(VLOOKUP('13.00'!I45,'13.00'!$T$3:$V$28,3,FALSE))</f>
        <v>0</v>
      </c>
      <c r="J45" s="1">
        <f>(VLOOKUP('13.00'!J45,'13.00'!$T$3:$V$28,3,FALSE))</f>
        <v>0</v>
      </c>
      <c r="K45" s="1">
        <f>(VLOOKUP('13.00'!K45,'13.00'!$T$3:$V$28,3,FALSE))</f>
        <v>0</v>
      </c>
    </row>
    <row r="46" spans="1:11">
      <c r="A46" s="1">
        <f>(VLOOKUP('13.00'!A46,'13.00'!$T$3:$V$28,3,FALSE))</f>
        <v>0</v>
      </c>
      <c r="B46" s="1">
        <f>(VLOOKUP('13.00'!B46,'13.00'!$T$3:$V$28,3,FALSE))</f>
        <v>0</v>
      </c>
      <c r="C46" s="1">
        <f>(VLOOKUP('13.00'!C46,'13.00'!$T$3:$V$28,3,FALSE))</f>
        <v>0</v>
      </c>
      <c r="I46" s="1">
        <f>(VLOOKUP('13.00'!I46,'13.00'!$T$3:$V$28,3,FALSE))</f>
        <v>0</v>
      </c>
      <c r="J46" s="1">
        <f>(VLOOKUP('13.00'!J46,'13.00'!$T$3:$V$28,3,FALSE))</f>
        <v>0</v>
      </c>
      <c r="K46" s="1">
        <f>(VLOOKUP('13.00'!K46,'13.00'!$T$3:$V$28,3,FALSE))</f>
        <v>0</v>
      </c>
    </row>
    <row r="47" spans="1:11">
      <c r="A47" s="1">
        <f>(VLOOKUP('13.00'!A47,'13.00'!$T$3:$V$28,3,FALSE))</f>
        <v>0</v>
      </c>
      <c r="B47" s="1">
        <f>(VLOOKUP('13.00'!B47,'13.00'!$T$3:$V$28,3,FALSE))</f>
        <v>0</v>
      </c>
      <c r="C47" s="1">
        <f>(VLOOKUP('13.00'!C47,'13.00'!$T$3:$V$28,3,FALSE))</f>
        <v>0</v>
      </c>
      <c r="I47" s="1">
        <f>(VLOOKUP('13.00'!I47,'13.00'!$T$3:$V$28,3,FALSE))</f>
        <v>0</v>
      </c>
      <c r="J47" s="1">
        <f>(VLOOKUP('13.00'!J47,'13.00'!$T$3:$V$28,3,FALSE))</f>
        <v>0</v>
      </c>
      <c r="K47" s="1">
        <f>(VLOOKUP('13.00'!K47,'13.00'!$T$3:$V$28,3,FALSE))</f>
        <v>0</v>
      </c>
    </row>
    <row r="48" spans="1:11">
      <c r="A48" s="1">
        <f>(VLOOKUP('13.00'!A48,'13.00'!$T$3:$V$28,3,FALSE))</f>
        <v>0</v>
      </c>
      <c r="B48" s="1">
        <f>(VLOOKUP('13.00'!B48,'13.00'!$T$3:$V$28,3,FALSE))</f>
        <v>0</v>
      </c>
      <c r="C48" s="1">
        <f>(VLOOKUP('13.00'!C48,'13.00'!$T$3:$V$28,3,FALSE))</f>
        <v>0</v>
      </c>
      <c r="I48" s="1">
        <f>(VLOOKUP('13.00'!I48,'13.00'!$T$3:$V$28,3,FALSE))</f>
        <v>0</v>
      </c>
      <c r="J48" s="1">
        <f>(VLOOKUP('13.00'!J48,'13.00'!$T$3:$V$28,3,FALSE))</f>
        <v>0</v>
      </c>
      <c r="K48" s="1">
        <f>(VLOOKUP('13.00'!K48,'13.00'!$T$3:$V$28,3,FALSE))</f>
        <v>0</v>
      </c>
    </row>
    <row r="49" spans="1:11">
      <c r="A49" s="1">
        <f>(VLOOKUP('13.00'!A49,'13.00'!$T$3:$V$28,3,FALSE))</f>
        <v>0</v>
      </c>
      <c r="B49" s="1">
        <f>(VLOOKUP('13.00'!B49,'13.00'!$T$3:$V$28,3,FALSE))</f>
        <v>0</v>
      </c>
      <c r="C49" s="1">
        <f>(VLOOKUP('13.00'!C49,'13.00'!$T$3:$V$28,3,FALSE))</f>
        <v>0</v>
      </c>
      <c r="I49" s="1">
        <f>(VLOOKUP('13.00'!I49,'13.00'!$T$3:$V$28,3,FALSE))</f>
        <v>0</v>
      </c>
      <c r="J49" s="1">
        <f>(VLOOKUP('13.00'!J49,'13.00'!$T$3:$V$28,3,FALSE))</f>
        <v>0</v>
      </c>
      <c r="K49" s="1">
        <f>(VLOOKUP('13.00'!K49,'13.00'!$T$3:$V$28,3,FALSE))</f>
        <v>0</v>
      </c>
    </row>
    <row r="50" spans="1:11">
      <c r="A50" s="1">
        <f>(VLOOKUP('13.00'!A50,'13.00'!$T$3:$V$28,3,FALSE))</f>
        <v>0</v>
      </c>
      <c r="B50" s="1">
        <f>(VLOOKUP('13.00'!B50,'13.00'!$T$3:$V$28,3,FALSE))</f>
        <v>0</v>
      </c>
      <c r="C50" s="1">
        <f>(VLOOKUP('13.00'!C50,'13.00'!$T$3:$V$28,3,FALSE))</f>
        <v>0</v>
      </c>
      <c r="I50" s="1">
        <f>(VLOOKUP('13.00'!I50,'13.00'!$T$3:$V$28,3,FALSE))</f>
        <v>0</v>
      </c>
      <c r="J50" s="1">
        <f>(VLOOKUP('13.00'!J50,'13.00'!$T$3:$V$28,3,FALSE))</f>
        <v>0</v>
      </c>
      <c r="K50" s="1">
        <f>(VLOOKUP('13.00'!K50,'13.00'!$T$3:$V$28,3,FALSE))</f>
        <v>0</v>
      </c>
    </row>
    <row r="51" spans="1:11">
      <c r="A51" s="1">
        <f>(VLOOKUP('13.00'!A51,'13.00'!$T$3:$V$28,3,FALSE))</f>
        <v>0</v>
      </c>
      <c r="B51" s="1">
        <f>(VLOOKUP('13.00'!B51,'13.00'!$T$3:$V$28,3,FALSE))</f>
        <v>0</v>
      </c>
      <c r="C51" s="1">
        <f>(VLOOKUP('13.00'!C51,'13.00'!$T$3:$V$28,3,FALSE))</f>
        <v>0</v>
      </c>
      <c r="I51" s="1">
        <f>(VLOOKUP('13.00'!I51,'13.00'!$T$3:$V$28,3,FALSE))</f>
        <v>0</v>
      </c>
      <c r="J51" s="1">
        <f>(VLOOKUP('13.00'!J51,'13.00'!$T$3:$V$28,3,FALSE))</f>
        <v>0</v>
      </c>
      <c r="K51" s="1">
        <f>(VLOOKUP('13.00'!K51,'13.00'!$T$3:$V$28,3,FALSE))</f>
        <v>0</v>
      </c>
    </row>
    <row r="52" spans="1:11">
      <c r="A52" s="1">
        <f>(VLOOKUP('13.00'!A52,'13.00'!$T$3:$V$28,3,FALSE))</f>
        <v>0</v>
      </c>
      <c r="B52" s="1">
        <f>(VLOOKUP('13.00'!B52,'13.00'!$T$3:$V$28,3,FALSE))</f>
        <v>0</v>
      </c>
      <c r="C52" s="1">
        <f>(VLOOKUP('13.00'!C52,'13.00'!$T$3:$V$28,3,FALSE))</f>
        <v>0</v>
      </c>
      <c r="I52" s="1">
        <f>(VLOOKUP('13.00'!I52,'13.00'!$T$3:$V$28,3,FALSE))</f>
        <v>0</v>
      </c>
      <c r="J52" s="1">
        <f>(VLOOKUP('13.00'!J52,'13.00'!$T$3:$V$28,3,FALSE))</f>
        <v>0</v>
      </c>
      <c r="K52" s="1">
        <f>(VLOOKUP('13.00'!K52,'13.00'!$T$3:$V$28,3,FALSE))</f>
        <v>0</v>
      </c>
    </row>
    <row r="53" spans="1:11">
      <c r="A53" s="1">
        <f>(VLOOKUP('13.00'!A53,'13.00'!$T$3:$V$28,3,FALSE))</f>
        <v>0</v>
      </c>
      <c r="B53" s="1">
        <f>(VLOOKUP('13.00'!B53,'13.00'!$T$3:$V$28,3,FALSE))</f>
        <v>0</v>
      </c>
      <c r="C53" s="1">
        <f>(VLOOKUP('13.00'!C53,'13.00'!$T$3:$V$28,3,FALSE))</f>
        <v>0</v>
      </c>
      <c r="I53" s="1">
        <f>(VLOOKUP('13.00'!I53,'13.00'!$T$3:$V$28,3,FALSE))</f>
        <v>0</v>
      </c>
      <c r="J53" s="1">
        <f>(VLOOKUP('13.00'!J53,'13.00'!$T$3:$V$28,3,FALSE))</f>
        <v>0</v>
      </c>
      <c r="K53" s="1">
        <f>(VLOOKUP('13.00'!K53,'13.00'!$T$3:$V$28,3,FALSE))</f>
        <v>0</v>
      </c>
    </row>
    <row r="54" spans="1:11">
      <c r="A54" s="1">
        <f>(VLOOKUP('13.00'!A54,'13.00'!$T$3:$V$28,3,FALSE))</f>
        <v>0</v>
      </c>
      <c r="B54" s="1">
        <f>(VLOOKUP('13.00'!B54,'13.00'!$T$3:$V$28,3,FALSE))</f>
        <v>0</v>
      </c>
      <c r="C54" s="1">
        <f>(VLOOKUP('13.00'!C54,'13.00'!$T$3:$V$28,3,FALSE))</f>
        <v>0</v>
      </c>
      <c r="I54" s="1">
        <f>(VLOOKUP('13.00'!I54,'13.00'!$T$3:$V$28,3,FALSE))</f>
        <v>0</v>
      </c>
      <c r="J54" s="1">
        <f>(VLOOKUP('13.00'!J54,'13.00'!$T$3:$V$28,3,FALSE))</f>
        <v>0</v>
      </c>
      <c r="K54" s="1">
        <f>(VLOOKUP('13.00'!K54,'13.00'!$T$3:$V$28,3,FALSE))</f>
        <v>0</v>
      </c>
    </row>
    <row r="55" spans="1:11">
      <c r="A55" s="1">
        <f>(VLOOKUP('13.00'!A55,'13.00'!$T$3:$V$28,3,FALSE))</f>
        <v>0</v>
      </c>
      <c r="B55" s="1">
        <f>(VLOOKUP('13.00'!B55,'13.00'!$T$3:$V$28,3,FALSE))</f>
        <v>0</v>
      </c>
      <c r="C55" s="1">
        <f>(VLOOKUP('13.00'!C55,'13.00'!$T$3:$V$28,3,FALSE))</f>
        <v>0</v>
      </c>
      <c r="I55" s="1">
        <f>(VLOOKUP('13.00'!I55,'13.00'!$T$3:$V$28,3,FALSE))</f>
        <v>0</v>
      </c>
      <c r="J55" s="1">
        <f>(VLOOKUP('13.00'!J55,'13.00'!$T$3:$V$28,3,FALSE))</f>
        <v>0</v>
      </c>
      <c r="K55" s="1">
        <f>(VLOOKUP('13.00'!K55,'13.00'!$T$3:$V$28,3,FALSE))</f>
        <v>0</v>
      </c>
    </row>
    <row r="56" spans="1:11">
      <c r="A56" s="1">
        <f>(VLOOKUP('13.00'!A56,'13.00'!$T$3:$V$28,3,FALSE))</f>
        <v>0</v>
      </c>
      <c r="B56" s="1">
        <f>(VLOOKUP('13.00'!B56,'13.00'!$T$3:$V$28,3,FALSE))</f>
        <v>0</v>
      </c>
      <c r="C56" s="1">
        <f>(VLOOKUP('13.00'!C56,'13.00'!$T$3:$V$28,3,FALSE))</f>
        <v>0</v>
      </c>
      <c r="I56" s="1">
        <f>(VLOOKUP('13.00'!I56,'13.00'!$T$3:$V$28,3,FALSE))</f>
        <v>0</v>
      </c>
      <c r="J56" s="1">
        <f>(VLOOKUP('13.00'!J56,'13.00'!$T$3:$V$28,3,FALSE))</f>
        <v>0</v>
      </c>
      <c r="K56" s="1">
        <f>(VLOOKUP('13.00'!K56,'13.00'!$T$3:$V$28,3,FALSE))</f>
        <v>0</v>
      </c>
    </row>
    <row r="57" spans="1:11">
      <c r="A57" s="1">
        <f>(VLOOKUP('13.00'!A57,'13.00'!$T$3:$V$28,3,FALSE))</f>
        <v>0</v>
      </c>
      <c r="B57" s="1">
        <f>(VLOOKUP('13.00'!B57,'13.00'!$T$3:$V$28,3,FALSE))</f>
        <v>0</v>
      </c>
      <c r="C57" s="1">
        <f>(VLOOKUP('13.00'!C57,'13.00'!$T$3:$V$28,3,FALSE))</f>
        <v>0</v>
      </c>
      <c r="I57" s="1">
        <f>(VLOOKUP('13.00'!I57,'13.00'!$T$3:$V$28,3,FALSE))</f>
        <v>0</v>
      </c>
      <c r="J57" s="1">
        <f>(VLOOKUP('13.00'!J57,'13.00'!$T$3:$V$28,3,FALSE))</f>
        <v>0</v>
      </c>
      <c r="K57" s="1">
        <f>(VLOOKUP('13.00'!K57,'13.00'!$T$3:$V$28,3,FALSE))</f>
        <v>0</v>
      </c>
    </row>
    <row r="58" spans="1:11">
      <c r="A58" s="1">
        <f>(VLOOKUP('13.00'!A58,'13.00'!$T$3:$V$28,3,FALSE))</f>
        <v>0</v>
      </c>
      <c r="B58" s="1">
        <f>(VLOOKUP('13.00'!B58,'13.00'!$T$3:$V$28,3,FALSE))</f>
        <v>0</v>
      </c>
      <c r="C58" s="1">
        <f>(VLOOKUP('13.00'!C58,'13.00'!$T$3:$V$28,3,FALSE))</f>
        <v>0</v>
      </c>
      <c r="I58" s="1">
        <f>(VLOOKUP('13.00'!I58,'13.00'!$T$3:$V$28,3,FALSE))</f>
        <v>0</v>
      </c>
      <c r="J58" s="1">
        <f>(VLOOKUP('13.00'!J58,'13.00'!$T$3:$V$28,3,FALSE))</f>
        <v>0</v>
      </c>
      <c r="K58" s="1">
        <f>(VLOOKUP('13.00'!K58,'13.00'!$T$3:$V$28,3,FALSE))</f>
        <v>0</v>
      </c>
    </row>
    <row r="59" spans="1:11">
      <c r="A59" s="1">
        <f>(VLOOKUP('13.00'!A59,'13.00'!$T$3:$V$28,3,FALSE))</f>
        <v>0</v>
      </c>
      <c r="B59" s="1">
        <f>(VLOOKUP('13.00'!B59,'13.00'!$T$3:$V$28,3,FALSE))</f>
        <v>0</v>
      </c>
      <c r="C59" s="1">
        <f>(VLOOKUP('13.00'!C59,'13.00'!$T$3:$V$28,3,FALSE))</f>
        <v>0</v>
      </c>
      <c r="I59" s="1">
        <f>(VLOOKUP('13.00'!I59,'13.00'!$T$3:$V$28,3,FALSE))</f>
        <v>0</v>
      </c>
      <c r="J59" s="1">
        <f>(VLOOKUP('13.00'!J59,'13.00'!$T$3:$V$28,3,FALSE))</f>
        <v>0</v>
      </c>
      <c r="K59" s="1">
        <f>(VLOOKUP('13.00'!K59,'13.00'!$T$3:$V$28,3,FALSE))</f>
        <v>0</v>
      </c>
    </row>
    <row r="60" spans="1:11">
      <c r="A60" s="1">
        <f>(VLOOKUP('13.00'!A60,'13.00'!$T$3:$V$28,3,FALSE))</f>
        <v>0</v>
      </c>
      <c r="B60" s="1">
        <f>(VLOOKUP('13.00'!B60,'13.00'!$T$3:$V$28,3,FALSE))</f>
        <v>0</v>
      </c>
      <c r="C60" s="1">
        <f>(VLOOKUP('13.00'!C60,'13.00'!$T$3:$V$28,3,FALSE))</f>
        <v>0</v>
      </c>
      <c r="I60" s="1">
        <f>(VLOOKUP('13.00'!I60,'13.00'!$T$3:$V$28,3,FALSE))</f>
        <v>0</v>
      </c>
      <c r="J60" s="1">
        <f>(VLOOKUP('13.00'!J60,'13.00'!$T$3:$V$28,3,FALSE))</f>
        <v>0</v>
      </c>
      <c r="K60" s="1">
        <f>(VLOOKUP('13.00'!K60,'13.00'!$T$3:$V$28,3,FALSE))</f>
        <v>0</v>
      </c>
    </row>
    <row r="61" spans="1:11">
      <c r="A61" s="1">
        <f>(VLOOKUP('13.00'!A61,'13.00'!$T$3:$V$28,3,FALSE))</f>
        <v>0</v>
      </c>
      <c r="B61" s="1">
        <f>(VLOOKUP('13.00'!B61,'13.00'!$T$3:$V$28,3,FALSE))</f>
        <v>0</v>
      </c>
      <c r="C61" s="1">
        <f>(VLOOKUP('13.00'!C61,'13.00'!$T$3:$V$28,3,FALSE))</f>
        <v>0</v>
      </c>
      <c r="I61" s="1">
        <f>(VLOOKUP('13.00'!I61,'13.00'!$T$3:$V$28,3,FALSE))</f>
        <v>0</v>
      </c>
      <c r="J61" s="1">
        <f>(VLOOKUP('13.00'!J61,'13.00'!$T$3:$V$28,3,FALSE))</f>
        <v>0</v>
      </c>
      <c r="K61" s="1">
        <f>(VLOOKUP('13.00'!K61,'13.00'!$T$3:$V$28,3,FALSE))</f>
        <v>0</v>
      </c>
    </row>
    <row r="62" spans="1:11">
      <c r="A62" s="1">
        <f>(VLOOKUP('13.00'!A62,'13.00'!$T$3:$V$28,3,FALSE))</f>
        <v>0</v>
      </c>
      <c r="B62" s="1">
        <f>(VLOOKUP('13.00'!B62,'13.00'!$T$3:$V$28,3,FALSE))</f>
        <v>0</v>
      </c>
      <c r="C62" s="1">
        <f>(VLOOKUP('13.00'!C62,'13.00'!$T$3:$V$28,3,FALSE))</f>
        <v>0</v>
      </c>
      <c r="I62" s="1">
        <f>(VLOOKUP('13.00'!I62,'13.00'!$T$3:$V$28,3,FALSE))</f>
        <v>0</v>
      </c>
      <c r="J62" s="1">
        <f>(VLOOKUP('13.00'!J62,'13.00'!$T$3:$V$28,3,FALSE))</f>
        <v>0</v>
      </c>
      <c r="K62" s="1">
        <f>(VLOOKUP('13.00'!K62,'13.00'!$T$3:$V$28,3,FALSE))</f>
        <v>0</v>
      </c>
    </row>
    <row r="63" spans="1:11">
      <c r="A63" s="1">
        <f>(VLOOKUP('13.00'!A63,'13.00'!$T$3:$V$28,3,FALSE))</f>
        <v>0</v>
      </c>
      <c r="B63" s="1">
        <f>(VLOOKUP('13.00'!B63,'13.00'!$T$3:$V$28,3,FALSE))</f>
        <v>0</v>
      </c>
      <c r="C63" s="1">
        <f>(VLOOKUP('13.00'!C63,'13.00'!$T$3:$V$28,3,FALSE))</f>
        <v>0</v>
      </c>
      <c r="I63" s="1">
        <f>(VLOOKUP('13.00'!I63,'13.00'!$T$3:$V$28,3,FALSE))</f>
        <v>0</v>
      </c>
      <c r="J63" s="1">
        <f>(VLOOKUP('13.00'!J63,'13.00'!$T$3:$V$28,3,FALSE))</f>
        <v>0</v>
      </c>
      <c r="K63" s="1">
        <f>(VLOOKUP('13.00'!K63,'13.00'!$T$3:$V$28,3,FALSE))</f>
        <v>0</v>
      </c>
    </row>
    <row r="64" spans="1:11">
      <c r="A64" s="1">
        <f>(VLOOKUP('13.00'!A64,'13.00'!$T$3:$V$28,3,FALSE))</f>
        <v>0</v>
      </c>
      <c r="B64" s="1">
        <f>(VLOOKUP('13.00'!B64,'13.00'!$T$3:$V$28,3,FALSE))</f>
        <v>0</v>
      </c>
      <c r="C64" s="1">
        <f>(VLOOKUP('13.00'!C64,'13.00'!$T$3:$V$28,3,FALSE))</f>
        <v>0</v>
      </c>
      <c r="I64" s="1">
        <f>(VLOOKUP('13.00'!I64,'13.00'!$T$3:$V$28,3,FALSE))</f>
        <v>0</v>
      </c>
      <c r="J64" s="1">
        <f>(VLOOKUP('13.00'!J64,'13.00'!$T$3:$V$28,3,FALSE))</f>
        <v>0</v>
      </c>
      <c r="K64" s="1">
        <f>(VLOOKUP('13.00'!K64,'13.00'!$T$3:$V$28,3,FALSE))</f>
        <v>0</v>
      </c>
    </row>
    <row r="65" spans="1:11">
      <c r="A65" s="1">
        <f>(VLOOKUP('13.00'!A65,'13.00'!$T$3:$V$28,3,FALSE))</f>
        <v>0</v>
      </c>
      <c r="B65" s="1">
        <f>(VLOOKUP('13.00'!B65,'13.00'!$T$3:$V$28,3,FALSE))</f>
        <v>0</v>
      </c>
      <c r="C65" s="1">
        <f>(VLOOKUP('13.00'!C65,'13.00'!$T$3:$V$28,3,FALSE))</f>
        <v>0</v>
      </c>
      <c r="I65" s="1">
        <f>(VLOOKUP('13.00'!I65,'13.00'!$T$3:$V$28,3,FALSE))</f>
        <v>0</v>
      </c>
      <c r="J65" s="1">
        <f>(VLOOKUP('13.00'!J65,'13.00'!$T$3:$V$28,3,FALSE))</f>
        <v>0</v>
      </c>
      <c r="K65" s="1">
        <f>(VLOOKUP('13.00'!K65,'13.00'!$T$3:$V$28,3,FALSE))</f>
        <v>0</v>
      </c>
    </row>
    <row r="66" spans="1:11">
      <c r="A66" s="1">
        <f>(VLOOKUP('13.00'!A66,'13.00'!$T$3:$V$28,3,FALSE))</f>
        <v>0</v>
      </c>
      <c r="B66" s="1">
        <f>(VLOOKUP('13.00'!B66,'13.00'!$T$3:$V$28,3,FALSE))</f>
        <v>0</v>
      </c>
      <c r="C66" s="1">
        <f>(VLOOKUP('13.00'!C66,'13.00'!$T$3:$V$28,3,FALSE))</f>
        <v>0</v>
      </c>
      <c r="I66" s="1">
        <f>(VLOOKUP('13.00'!I66,'13.00'!$T$3:$V$28,3,FALSE))</f>
        <v>0</v>
      </c>
      <c r="J66" s="1">
        <f>(VLOOKUP('13.00'!J66,'13.00'!$T$3:$V$28,3,FALSE))</f>
        <v>0</v>
      </c>
      <c r="K66" s="1">
        <f>(VLOOKUP('13.00'!K66,'13.00'!$T$3:$V$28,3,FALSE))</f>
        <v>0</v>
      </c>
    </row>
    <row r="67" spans="1:11">
      <c r="A67" s="1">
        <f>(VLOOKUP('13.00'!A67,'13.00'!$T$3:$V$28,3,FALSE))</f>
        <v>0</v>
      </c>
      <c r="B67" s="1">
        <f>(VLOOKUP('13.00'!B67,'13.00'!$T$3:$V$28,3,FALSE))</f>
        <v>0</v>
      </c>
      <c r="C67" s="1">
        <f>(VLOOKUP('13.00'!C67,'13.00'!$T$3:$V$28,3,FALSE))</f>
        <v>0</v>
      </c>
      <c r="I67" s="1">
        <f>(VLOOKUP('13.00'!I67,'13.00'!$T$3:$V$28,3,FALSE))</f>
        <v>0</v>
      </c>
      <c r="J67" s="1">
        <f>(VLOOKUP('13.00'!J67,'13.00'!$T$3:$V$28,3,FALSE))</f>
        <v>0</v>
      </c>
      <c r="K67" s="1">
        <f>(VLOOKUP('13.00'!K67,'13.00'!$T$3:$V$28,3,FALSE))</f>
        <v>0</v>
      </c>
    </row>
    <row r="68" spans="1:11">
      <c r="A68" s="1">
        <f>(VLOOKUP('13.00'!A68,'13.00'!$T$3:$V$28,3,FALSE))</f>
        <v>0</v>
      </c>
      <c r="B68" s="1">
        <f>(VLOOKUP('13.00'!B68,'13.00'!$T$3:$V$28,3,FALSE))</f>
        <v>0</v>
      </c>
      <c r="C68" s="1">
        <f>(VLOOKUP('13.00'!C68,'13.00'!$T$3:$V$28,3,FALSE))</f>
        <v>0</v>
      </c>
      <c r="I68" s="1">
        <f>(VLOOKUP('13.00'!I68,'13.00'!$T$3:$V$28,3,FALSE))</f>
        <v>0</v>
      </c>
      <c r="J68" s="1">
        <f>(VLOOKUP('13.00'!J68,'13.00'!$T$3:$V$28,3,FALSE))</f>
        <v>0</v>
      </c>
      <c r="K68" s="1">
        <f>(VLOOKUP('13.00'!K68,'13.00'!$T$3:$V$28,3,FALSE))</f>
        <v>0</v>
      </c>
    </row>
    <row r="69" spans="1:11">
      <c r="A69" s="1">
        <f>(VLOOKUP('13.00'!A69,'13.00'!$T$3:$V$28,3,FALSE))</f>
        <v>0</v>
      </c>
      <c r="B69" s="1">
        <f>(VLOOKUP('13.00'!B69,'13.00'!$T$3:$V$28,3,FALSE))</f>
        <v>0</v>
      </c>
      <c r="C69" s="1">
        <f>(VLOOKUP('13.00'!C69,'13.00'!$T$3:$V$28,3,FALSE))</f>
        <v>0</v>
      </c>
      <c r="I69" s="1">
        <f>(VLOOKUP('13.00'!I69,'13.00'!$T$3:$V$28,3,FALSE))</f>
        <v>0</v>
      </c>
      <c r="J69" s="1">
        <f>(VLOOKUP('13.00'!J69,'13.00'!$T$3:$V$28,3,FALSE))</f>
        <v>0</v>
      </c>
      <c r="K69" s="1">
        <f>(VLOOKUP('13.00'!K69,'13.00'!$T$3:$V$28,3,FALSE))</f>
        <v>0</v>
      </c>
    </row>
    <row r="70" spans="1:11">
      <c r="A70" s="1">
        <f>(VLOOKUP('13.00'!A70,'13.00'!$T$3:$V$28,3,FALSE))</f>
        <v>0</v>
      </c>
      <c r="B70" s="1">
        <f>(VLOOKUP('13.00'!B70,'13.00'!$T$3:$V$28,3,FALSE))</f>
        <v>0</v>
      </c>
      <c r="C70" s="1">
        <f>(VLOOKUP('13.00'!C70,'13.00'!$T$3:$V$28,3,FALSE))</f>
        <v>0</v>
      </c>
      <c r="I70" s="1">
        <f>(VLOOKUP('13.00'!I70,'13.00'!$T$3:$V$28,3,FALSE))</f>
        <v>0</v>
      </c>
      <c r="J70" s="1">
        <f>(VLOOKUP('13.00'!J70,'13.00'!$T$3:$V$28,3,FALSE))</f>
        <v>0</v>
      </c>
      <c r="K70" s="1">
        <f>(VLOOKUP('13.00'!K70,'13.00'!$T$3:$V$28,3,FALSE))</f>
        <v>0</v>
      </c>
    </row>
    <row r="71" spans="1:11">
      <c r="A71" s="1">
        <f>(VLOOKUP('13.00'!A71,'13.00'!$T$3:$V$28,3,FALSE))</f>
        <v>0</v>
      </c>
      <c r="B71" s="1">
        <f>(VLOOKUP('13.00'!B71,'13.00'!$T$3:$V$28,3,FALSE))</f>
        <v>0</v>
      </c>
      <c r="C71" s="1">
        <f>(VLOOKUP('13.00'!C71,'13.00'!$T$3:$V$28,3,FALSE))</f>
        <v>0</v>
      </c>
      <c r="I71" s="1">
        <f>(VLOOKUP('13.00'!I71,'13.00'!$T$3:$V$28,3,FALSE))</f>
        <v>0</v>
      </c>
      <c r="J71" s="1">
        <f>(VLOOKUP('13.00'!J71,'13.00'!$T$3:$V$28,3,FALSE))</f>
        <v>0</v>
      </c>
      <c r="K71" s="1">
        <f>(VLOOKUP('13.00'!K71,'13.00'!$T$3:$V$28,3,FALSE))</f>
        <v>0</v>
      </c>
    </row>
    <row r="72" spans="1:11">
      <c r="A72" s="1">
        <f>(VLOOKUP('13.00'!A72,'13.00'!$T$3:$V$28,3,FALSE))</f>
        <v>0</v>
      </c>
      <c r="B72" s="1">
        <f>(VLOOKUP('13.00'!B72,'13.00'!$T$3:$V$28,3,FALSE))</f>
        <v>0</v>
      </c>
      <c r="C72" s="1">
        <f>(VLOOKUP('13.00'!C72,'13.00'!$T$3:$V$28,3,FALSE))</f>
        <v>0</v>
      </c>
      <c r="I72" s="1">
        <f>(VLOOKUP('13.00'!I72,'13.00'!$T$3:$V$28,3,FALSE))</f>
        <v>0</v>
      </c>
      <c r="J72" s="1">
        <f>(VLOOKUP('13.00'!J72,'13.00'!$T$3:$V$28,3,FALSE))</f>
        <v>0</v>
      </c>
      <c r="K72" s="1">
        <f>(VLOOKUP('13.00'!K72,'13.00'!$T$3:$V$28,3,FALSE))</f>
        <v>0</v>
      </c>
    </row>
    <row r="73" spans="1:11">
      <c r="A73" s="1">
        <f>(VLOOKUP('13.00'!A73,'13.00'!$T$3:$V$28,3,FALSE))</f>
        <v>0</v>
      </c>
      <c r="B73" s="1">
        <f>(VLOOKUP('13.00'!B73,'13.00'!$T$3:$V$28,3,FALSE))</f>
        <v>0</v>
      </c>
      <c r="C73" s="1">
        <f>(VLOOKUP('13.00'!C73,'13.00'!$T$3:$V$28,3,FALSE))</f>
        <v>0</v>
      </c>
      <c r="I73" s="1">
        <f>(VLOOKUP('13.00'!I73,'13.00'!$T$3:$V$28,3,FALSE))</f>
        <v>0</v>
      </c>
      <c r="J73" s="1">
        <f>(VLOOKUP('13.00'!J73,'13.00'!$T$3:$V$28,3,FALSE))</f>
        <v>0</v>
      </c>
      <c r="K73" s="1">
        <f>(VLOOKUP('13.00'!K73,'13.00'!$T$3:$V$28,3,FALSE))</f>
        <v>0</v>
      </c>
    </row>
    <row r="74" spans="1:11">
      <c r="A74" s="1">
        <f>(VLOOKUP('13.00'!A74,'13.00'!$T$3:$V$28,3,FALSE))</f>
        <v>0</v>
      </c>
      <c r="B74" s="1">
        <f>(VLOOKUP('13.00'!B74,'13.00'!$T$3:$V$28,3,FALSE))</f>
        <v>0</v>
      </c>
      <c r="C74" s="1">
        <f>(VLOOKUP('13.00'!C74,'13.00'!$T$3:$V$28,3,FALSE))</f>
        <v>0</v>
      </c>
      <c r="I74" s="1">
        <f>(VLOOKUP('13.00'!I74,'13.00'!$T$3:$V$28,3,FALSE))</f>
        <v>0</v>
      </c>
      <c r="J74" s="1">
        <f>(VLOOKUP('13.00'!J74,'13.00'!$T$3:$V$28,3,FALSE))</f>
        <v>0</v>
      </c>
      <c r="K74" s="1">
        <f>(VLOOKUP('13.00'!K74,'13.00'!$T$3:$V$28,3,FALSE))</f>
        <v>0</v>
      </c>
    </row>
    <row r="75" spans="1:11">
      <c r="A75" s="1">
        <f>(VLOOKUP('13.00'!A75,'13.00'!$T$3:$V$28,3,FALSE))</f>
        <v>0</v>
      </c>
      <c r="B75" s="1">
        <f>(VLOOKUP('13.00'!B75,'13.00'!$T$3:$V$28,3,FALSE))</f>
        <v>0</v>
      </c>
      <c r="C75" s="1">
        <f>(VLOOKUP('13.00'!C75,'13.00'!$T$3:$V$28,3,FALSE))</f>
        <v>0</v>
      </c>
      <c r="I75" s="1">
        <f>(VLOOKUP('13.00'!I75,'13.00'!$T$3:$V$28,3,FALSE))</f>
        <v>0</v>
      </c>
      <c r="J75" s="1">
        <f>(VLOOKUP('13.00'!J75,'13.00'!$T$3:$V$28,3,FALSE))</f>
        <v>0</v>
      </c>
      <c r="K75" s="1">
        <f>(VLOOKUP('13.00'!K75,'13.00'!$T$3:$V$28,3,FALSE))</f>
        <v>0</v>
      </c>
    </row>
    <row r="76" spans="1:11">
      <c r="A76" s="1">
        <f>(VLOOKUP('13.00'!A76,'13.00'!$T$3:$V$28,3,FALSE))</f>
        <v>0</v>
      </c>
      <c r="B76" s="1">
        <f>(VLOOKUP('13.00'!B76,'13.00'!$T$3:$V$28,3,FALSE))</f>
        <v>0</v>
      </c>
      <c r="C76" s="1">
        <f>(VLOOKUP('13.00'!C76,'13.00'!$T$3:$V$28,3,FALSE))</f>
        <v>0</v>
      </c>
      <c r="I76" s="1">
        <f>(VLOOKUP('13.00'!I76,'13.00'!$T$3:$V$28,3,FALSE))</f>
        <v>0</v>
      </c>
      <c r="J76" s="1">
        <f>(VLOOKUP('13.00'!J76,'13.00'!$T$3:$V$28,3,FALSE))</f>
        <v>0</v>
      </c>
      <c r="K76" s="1">
        <f>(VLOOKUP('13.00'!K76,'13.00'!$T$3:$V$28,3,FALSE))</f>
        <v>0</v>
      </c>
    </row>
    <row r="77" spans="1:11">
      <c r="A77" s="1">
        <f>(VLOOKUP('13.00'!A77,'13.00'!$T$3:$V$28,3,FALSE))</f>
        <v>0</v>
      </c>
      <c r="B77" s="1">
        <f>(VLOOKUP('13.00'!B77,'13.00'!$T$3:$V$28,3,FALSE))</f>
        <v>0</v>
      </c>
      <c r="C77" s="1">
        <f>(VLOOKUP('13.00'!C77,'13.00'!$T$3:$V$28,3,FALSE))</f>
        <v>0</v>
      </c>
      <c r="I77" s="1">
        <f>(VLOOKUP('13.00'!I77,'13.00'!$T$3:$V$28,3,FALSE))</f>
        <v>0</v>
      </c>
      <c r="J77" s="1">
        <f>(VLOOKUP('13.00'!J77,'13.00'!$T$3:$V$28,3,FALSE))</f>
        <v>0</v>
      </c>
      <c r="K77" s="1">
        <f>(VLOOKUP('13.00'!K77,'13.00'!$T$3:$V$28,3,FALSE))</f>
        <v>0</v>
      </c>
    </row>
    <row r="78" spans="1:11">
      <c r="A78" s="1">
        <f>(VLOOKUP('13.00'!A78,'13.00'!$T$3:$V$28,3,FALSE))</f>
        <v>0</v>
      </c>
      <c r="B78" s="1">
        <f>(VLOOKUP('13.00'!B78,'13.00'!$T$3:$V$28,3,FALSE))</f>
        <v>0</v>
      </c>
      <c r="C78" s="1">
        <f>(VLOOKUP('13.00'!C78,'13.00'!$T$3:$V$28,3,FALSE))</f>
        <v>0</v>
      </c>
      <c r="I78" s="1">
        <f>(VLOOKUP('13.00'!I78,'13.00'!$T$3:$V$28,3,FALSE))</f>
        <v>0</v>
      </c>
      <c r="J78" s="1">
        <f>(VLOOKUP('13.00'!J78,'13.00'!$T$3:$V$28,3,FALSE))</f>
        <v>0</v>
      </c>
      <c r="K78" s="1">
        <f>(VLOOKUP('13.00'!K78,'13.00'!$T$3:$V$28,3,FALSE))</f>
        <v>0</v>
      </c>
    </row>
    <row r="79" spans="1:11">
      <c r="A79" s="1">
        <f>(VLOOKUP('13.00'!A79,'13.00'!$T$3:$V$28,3,FALSE))</f>
        <v>0</v>
      </c>
      <c r="B79" s="1">
        <f>(VLOOKUP('13.00'!B79,'13.00'!$T$3:$V$28,3,FALSE))</f>
        <v>0</v>
      </c>
      <c r="C79" s="1">
        <f>(VLOOKUP('13.00'!C79,'13.00'!$T$3:$V$28,3,FALSE))</f>
        <v>0</v>
      </c>
      <c r="I79" s="1">
        <f>(VLOOKUP('13.00'!I79,'13.00'!$T$3:$V$28,3,FALSE))</f>
        <v>0</v>
      </c>
      <c r="J79" s="1">
        <f>(VLOOKUP('13.00'!J79,'13.00'!$T$3:$V$28,3,FALSE))</f>
        <v>0</v>
      </c>
      <c r="K79" s="1">
        <f>(VLOOKUP('13.00'!K79,'13.00'!$T$3:$V$28,3,FALSE))</f>
        <v>0</v>
      </c>
    </row>
    <row r="80" spans="1:11">
      <c r="A80" s="1">
        <f>(VLOOKUP('13.00'!A80,'13.00'!$T$3:$V$28,3,FALSE))</f>
        <v>0</v>
      </c>
      <c r="B80" s="1">
        <f>(VLOOKUP('13.00'!B80,'13.00'!$T$3:$V$28,3,FALSE))</f>
        <v>0</v>
      </c>
      <c r="C80" s="1">
        <f>(VLOOKUP('13.00'!C80,'13.00'!$T$3:$V$28,3,FALSE))</f>
        <v>0</v>
      </c>
      <c r="I80" s="1">
        <f>(VLOOKUP('13.00'!I80,'13.00'!$T$3:$V$28,3,FALSE))</f>
        <v>0</v>
      </c>
      <c r="J80" s="1">
        <f>(VLOOKUP('13.00'!J80,'13.00'!$T$3:$V$28,3,FALSE))</f>
        <v>0</v>
      </c>
      <c r="K80" s="1">
        <f>(VLOOKUP('13.00'!K80,'13.00'!$T$3:$V$28,3,FALSE))</f>
        <v>0</v>
      </c>
    </row>
    <row r="81" spans="1:11">
      <c r="A81" s="1">
        <f>(VLOOKUP('13.00'!A81,'13.00'!$T$3:$V$28,3,FALSE))</f>
        <v>0</v>
      </c>
      <c r="B81" s="1">
        <f>(VLOOKUP('13.00'!B81,'13.00'!$T$3:$V$28,3,FALSE))</f>
        <v>0</v>
      </c>
      <c r="C81" s="1">
        <f>(VLOOKUP('13.00'!C81,'13.00'!$T$3:$V$28,3,FALSE))</f>
        <v>0</v>
      </c>
      <c r="I81" s="1">
        <f>(VLOOKUP('13.00'!I81,'13.00'!$T$3:$V$28,3,FALSE))</f>
        <v>0</v>
      </c>
      <c r="J81" s="1">
        <f>(VLOOKUP('13.00'!J81,'13.00'!$T$3:$V$28,3,FALSE))</f>
        <v>0</v>
      </c>
      <c r="K81" s="1">
        <f>(VLOOKUP('13.00'!K81,'13.00'!$T$3:$V$28,3,FALSE))</f>
        <v>0</v>
      </c>
    </row>
    <row r="82" spans="1:11">
      <c r="A82" s="1">
        <f>(VLOOKUP('13.00'!A82,'13.00'!$T$3:$V$28,3,FALSE))</f>
        <v>0</v>
      </c>
      <c r="B82" s="1">
        <f>(VLOOKUP('13.00'!B82,'13.00'!$T$3:$V$28,3,FALSE))</f>
        <v>0</v>
      </c>
      <c r="C82" s="1">
        <f>(VLOOKUP('13.00'!C82,'13.00'!$T$3:$V$28,3,FALSE))</f>
        <v>0</v>
      </c>
      <c r="I82" s="1">
        <f>(VLOOKUP('13.00'!I82,'13.00'!$T$3:$V$28,3,FALSE))</f>
        <v>0</v>
      </c>
      <c r="J82" s="1">
        <f>(VLOOKUP('13.00'!J82,'13.00'!$T$3:$V$28,3,FALSE))</f>
        <v>0</v>
      </c>
      <c r="K82" s="1">
        <f>(VLOOKUP('13.00'!K82,'13.00'!$T$3:$V$28,3,FALSE))</f>
        <v>0</v>
      </c>
    </row>
    <row r="83" spans="1:11">
      <c r="A83" s="1">
        <f>(VLOOKUP('13.00'!A83,'13.00'!$T$3:$V$28,3,FALSE))</f>
        <v>0</v>
      </c>
      <c r="B83" s="1">
        <f>(VLOOKUP('13.00'!B83,'13.00'!$T$3:$V$28,3,FALSE))</f>
        <v>0</v>
      </c>
      <c r="C83" s="1">
        <f>(VLOOKUP('13.00'!C83,'13.00'!$T$3:$V$28,3,FALSE))</f>
        <v>0</v>
      </c>
      <c r="I83" s="1">
        <f>(VLOOKUP('13.00'!I83,'13.00'!$T$3:$V$28,3,FALSE))</f>
        <v>0</v>
      </c>
      <c r="J83" s="1">
        <f>(VLOOKUP('13.00'!J83,'13.00'!$T$3:$V$28,3,FALSE))</f>
        <v>0</v>
      </c>
      <c r="K83" s="1">
        <f>(VLOOKUP('13.00'!K83,'13.00'!$T$3:$V$28,3,FALSE))</f>
        <v>0</v>
      </c>
    </row>
    <row r="84" spans="1:11">
      <c r="A84" s="1">
        <f>(VLOOKUP('13.00'!A84,'13.00'!$T$3:$V$28,3,FALSE))</f>
        <v>0</v>
      </c>
      <c r="B84" s="1">
        <f>(VLOOKUP('13.00'!B84,'13.00'!$T$3:$V$28,3,FALSE))</f>
        <v>0</v>
      </c>
      <c r="C84" s="1">
        <f>(VLOOKUP('13.00'!C84,'13.00'!$T$3:$V$28,3,FALSE))</f>
        <v>0</v>
      </c>
      <c r="I84" s="1">
        <f>(VLOOKUP('13.00'!I84,'13.00'!$T$3:$V$28,3,FALSE))</f>
        <v>0</v>
      </c>
      <c r="J84" s="1">
        <f>(VLOOKUP('13.00'!J84,'13.00'!$T$3:$V$28,3,FALSE))</f>
        <v>0</v>
      </c>
      <c r="K84" s="1">
        <f>(VLOOKUP('13.00'!K84,'13.00'!$T$3:$V$28,3,FALSE))</f>
        <v>0</v>
      </c>
    </row>
    <row r="85" spans="1:11">
      <c r="A85" s="1">
        <f>(VLOOKUP('13.00'!A85,'13.00'!$T$3:$V$28,3,FALSE))</f>
        <v>0</v>
      </c>
      <c r="B85" s="1">
        <f>(VLOOKUP('13.00'!B85,'13.00'!$T$3:$V$28,3,FALSE))</f>
        <v>0</v>
      </c>
      <c r="C85" s="1">
        <f>(VLOOKUP('13.00'!C85,'13.00'!$T$3:$V$28,3,FALSE))</f>
        <v>0</v>
      </c>
      <c r="I85" s="1">
        <f>(VLOOKUP('13.00'!I85,'13.00'!$T$3:$V$28,3,FALSE))</f>
        <v>0</v>
      </c>
      <c r="J85" s="1">
        <f>(VLOOKUP('13.00'!J85,'13.00'!$T$3:$V$28,3,FALSE))</f>
        <v>0</v>
      </c>
      <c r="K85" s="1">
        <f>(VLOOKUP('13.00'!K85,'13.00'!$T$3:$V$28,3,FALSE))</f>
        <v>0</v>
      </c>
    </row>
    <row r="86" spans="1:11">
      <c r="A86" s="1">
        <f>(VLOOKUP('13.00'!A86,'13.00'!$T$3:$V$28,3,FALSE))</f>
        <v>0</v>
      </c>
      <c r="B86" s="1">
        <f>(VLOOKUP('13.00'!B86,'13.00'!$T$3:$V$28,3,FALSE))</f>
        <v>0</v>
      </c>
      <c r="C86" s="1">
        <f>(VLOOKUP('13.00'!C86,'13.00'!$T$3:$V$28,3,FALSE))</f>
        <v>0</v>
      </c>
      <c r="I86" s="1">
        <f>(VLOOKUP('13.00'!I86,'13.00'!$T$3:$V$28,3,FALSE))</f>
        <v>0</v>
      </c>
      <c r="J86" s="1">
        <f>(VLOOKUP('13.00'!J86,'13.00'!$T$3:$V$28,3,FALSE))</f>
        <v>0</v>
      </c>
      <c r="K86" s="1">
        <f>(VLOOKUP('13.00'!K86,'13.00'!$T$3:$V$28,3,FALSE))</f>
        <v>0</v>
      </c>
    </row>
    <row r="87" spans="1:11">
      <c r="A87" s="1">
        <f>(VLOOKUP('13.00'!A87,'13.00'!$T$3:$V$28,3,FALSE))</f>
        <v>0</v>
      </c>
      <c r="B87" s="1">
        <f>(VLOOKUP('13.00'!B87,'13.00'!$T$3:$V$28,3,FALSE))</f>
        <v>0</v>
      </c>
      <c r="C87" s="1">
        <f>(VLOOKUP('13.00'!C87,'13.00'!$T$3:$V$28,3,FALSE))</f>
        <v>0</v>
      </c>
      <c r="I87" s="1">
        <f>(VLOOKUP('13.00'!I87,'13.00'!$T$3:$V$28,3,FALSE))</f>
        <v>0</v>
      </c>
      <c r="J87" s="1">
        <f>(VLOOKUP('13.00'!J87,'13.00'!$T$3:$V$28,3,FALSE))</f>
        <v>0</v>
      </c>
      <c r="K87" s="1">
        <f>(VLOOKUP('13.00'!K87,'13.00'!$T$3:$V$28,3,FALSE))</f>
        <v>0</v>
      </c>
    </row>
    <row r="88" spans="1:11">
      <c r="A88" s="1">
        <f>(VLOOKUP('13.00'!A88,'13.00'!$T$3:$V$28,3,FALSE))</f>
        <v>0</v>
      </c>
      <c r="B88" s="1">
        <f>(VLOOKUP('13.00'!B88,'13.00'!$T$3:$V$28,3,FALSE))</f>
        <v>0</v>
      </c>
      <c r="C88" s="1">
        <f>(VLOOKUP('13.00'!C88,'13.00'!$T$3:$V$28,3,FALSE))</f>
        <v>0</v>
      </c>
      <c r="I88" s="1">
        <f>(VLOOKUP('13.00'!I88,'13.00'!$T$3:$V$28,3,FALSE))</f>
        <v>0</v>
      </c>
      <c r="J88" s="1">
        <f>(VLOOKUP('13.00'!J88,'13.00'!$T$3:$V$28,3,FALSE))</f>
        <v>0</v>
      </c>
      <c r="K88" s="1">
        <f>(VLOOKUP('13.00'!K88,'13.00'!$T$3:$V$28,3,FALSE))</f>
        <v>0</v>
      </c>
    </row>
    <row r="89" spans="1:11">
      <c r="A89" s="1">
        <f>(VLOOKUP('13.00'!A89,'13.00'!$T$3:$V$28,3,FALSE))</f>
        <v>0</v>
      </c>
      <c r="B89" s="1">
        <f>(VLOOKUP('13.00'!B89,'13.00'!$T$3:$V$28,3,FALSE))</f>
        <v>0</v>
      </c>
      <c r="C89" s="1">
        <f>(VLOOKUP('13.00'!C89,'13.00'!$T$3:$V$28,3,FALSE))</f>
        <v>0</v>
      </c>
      <c r="I89" s="1">
        <f>(VLOOKUP('13.00'!I89,'13.00'!$T$3:$V$28,3,FALSE))</f>
        <v>0</v>
      </c>
      <c r="J89" s="1">
        <f>(VLOOKUP('13.00'!J89,'13.00'!$T$3:$V$28,3,FALSE))</f>
        <v>0</v>
      </c>
      <c r="K89" s="1">
        <f>(VLOOKUP('13.00'!K89,'13.00'!$T$3:$V$28,3,FALSE))</f>
        <v>0</v>
      </c>
    </row>
    <row r="90" spans="1:11">
      <c r="A90" s="1">
        <f>(VLOOKUP('13.00'!A90,'13.00'!$T$3:$V$28,3,FALSE))</f>
        <v>0</v>
      </c>
      <c r="B90" s="1">
        <f>(VLOOKUP('13.00'!B90,'13.00'!$T$3:$V$28,3,FALSE))</f>
        <v>0</v>
      </c>
      <c r="C90" s="1">
        <f>(VLOOKUP('13.00'!C90,'13.00'!$T$3:$V$28,3,FALSE))</f>
        <v>0</v>
      </c>
      <c r="I90" s="1">
        <f>(VLOOKUP('13.00'!I90,'13.00'!$T$3:$V$28,3,FALSE))</f>
        <v>0</v>
      </c>
      <c r="J90" s="1">
        <f>(VLOOKUP('13.00'!J90,'13.00'!$T$3:$V$28,3,FALSE))</f>
        <v>0</v>
      </c>
      <c r="K90" s="1">
        <f>(VLOOKUP('13.00'!K90,'13.00'!$T$3:$V$28,3,FALSE))</f>
        <v>0</v>
      </c>
    </row>
    <row r="91" spans="1:11">
      <c r="A91" s="1">
        <f>(VLOOKUP('13.00'!A91,'13.00'!$T$3:$V$28,3,FALSE))</f>
        <v>0</v>
      </c>
      <c r="B91" s="1">
        <f>(VLOOKUP('13.00'!B91,'13.00'!$T$3:$V$28,3,FALSE))</f>
        <v>0</v>
      </c>
      <c r="C91" s="1">
        <f>(VLOOKUP('13.00'!C91,'13.00'!$T$3:$V$28,3,FALSE))</f>
        <v>0</v>
      </c>
      <c r="I91" s="1">
        <f>(VLOOKUP('13.00'!I91,'13.00'!$T$3:$V$28,3,FALSE))</f>
        <v>0</v>
      </c>
      <c r="J91" s="1">
        <f>(VLOOKUP('13.00'!J91,'13.00'!$T$3:$V$28,3,FALSE))</f>
        <v>0</v>
      </c>
      <c r="K91" s="1">
        <f>(VLOOKUP('13.00'!K91,'13.00'!$T$3:$V$28,3,FALSE))</f>
        <v>0</v>
      </c>
    </row>
    <row r="92" spans="1:11">
      <c r="A92" s="1">
        <f>(VLOOKUP('13.00'!A92,'13.00'!$T$3:$V$28,3,FALSE))</f>
        <v>0</v>
      </c>
      <c r="B92" s="1">
        <f>(VLOOKUP('13.00'!B92,'13.00'!$T$3:$V$28,3,FALSE))</f>
        <v>0</v>
      </c>
      <c r="C92" s="1">
        <f>(VLOOKUP('13.00'!C92,'13.00'!$T$3:$V$28,3,FALSE))</f>
        <v>0</v>
      </c>
      <c r="I92" s="1">
        <f>(VLOOKUP('13.00'!I92,'13.00'!$T$3:$V$28,3,FALSE))</f>
        <v>0</v>
      </c>
      <c r="J92" s="1">
        <f>(VLOOKUP('13.00'!J92,'13.00'!$T$3:$V$28,3,FALSE))</f>
        <v>0</v>
      </c>
      <c r="K92" s="1">
        <f>(VLOOKUP('13.00'!K92,'13.00'!$T$3:$V$28,3,FALSE))</f>
        <v>0</v>
      </c>
    </row>
    <row r="93" spans="1:11">
      <c r="A93" s="1">
        <f>(VLOOKUP('13.00'!A93,'13.00'!$T$3:$V$28,3,FALSE))</f>
        <v>0</v>
      </c>
      <c r="B93" s="1">
        <f>(VLOOKUP('13.00'!B93,'13.00'!$T$3:$V$28,3,FALSE))</f>
        <v>0</v>
      </c>
      <c r="C93" s="1">
        <f>(VLOOKUP('13.00'!C93,'13.00'!$T$3:$V$28,3,FALSE))</f>
        <v>0</v>
      </c>
      <c r="I93" s="1">
        <f>(VLOOKUP('13.00'!I93,'13.00'!$T$3:$V$28,3,FALSE))</f>
        <v>0</v>
      </c>
      <c r="J93" s="1">
        <f>(VLOOKUP('13.00'!J93,'13.00'!$T$3:$V$28,3,FALSE))</f>
        <v>0</v>
      </c>
      <c r="K93" s="1">
        <f>(VLOOKUP('13.00'!K93,'13.00'!$T$3:$V$28,3,FALSE))</f>
        <v>0</v>
      </c>
    </row>
    <row r="94" spans="1:11">
      <c r="A94" s="1">
        <f>(VLOOKUP('13.00'!A94,'13.00'!$T$3:$V$28,3,FALSE))</f>
        <v>0</v>
      </c>
      <c r="B94" s="1">
        <f>(VLOOKUP('13.00'!B94,'13.00'!$T$3:$V$28,3,FALSE))</f>
        <v>0</v>
      </c>
      <c r="C94" s="1">
        <f>(VLOOKUP('13.00'!C94,'13.00'!$T$3:$V$28,3,FALSE))</f>
        <v>0</v>
      </c>
      <c r="I94" s="1">
        <f>(VLOOKUP('13.00'!I94,'13.00'!$T$3:$V$28,3,FALSE))</f>
        <v>0</v>
      </c>
      <c r="J94" s="1">
        <f>(VLOOKUP('13.00'!J94,'13.00'!$T$3:$V$28,3,FALSE))</f>
        <v>0</v>
      </c>
      <c r="K94" s="1">
        <f>(VLOOKUP('13.00'!K94,'13.00'!$T$3:$V$28,3,FALSE))</f>
        <v>0</v>
      </c>
    </row>
    <row r="95" spans="1:11">
      <c r="A95" s="1">
        <f>(VLOOKUP('13.00'!A95,'13.00'!$T$3:$V$28,3,FALSE))</f>
        <v>0</v>
      </c>
      <c r="B95" s="1">
        <f>(VLOOKUP('13.00'!B95,'13.00'!$T$3:$V$28,3,FALSE))</f>
        <v>0</v>
      </c>
      <c r="C95" s="1">
        <f>(VLOOKUP('13.00'!C95,'13.00'!$T$3:$V$28,3,FALSE))</f>
        <v>0</v>
      </c>
      <c r="I95" s="1">
        <f>(VLOOKUP('13.00'!I95,'13.00'!$T$3:$V$28,3,FALSE))</f>
        <v>0</v>
      </c>
      <c r="J95" s="1">
        <f>(VLOOKUP('13.00'!J95,'13.00'!$T$3:$V$28,3,FALSE))</f>
        <v>0</v>
      </c>
      <c r="K95" s="1">
        <f>(VLOOKUP('13.00'!K95,'13.00'!$T$3:$V$28,3,FALSE))</f>
        <v>0</v>
      </c>
    </row>
    <row r="96" spans="1:11">
      <c r="A96" s="1">
        <f>(VLOOKUP('13.00'!A96,'13.00'!$T$3:$V$28,3,FALSE))</f>
        <v>0</v>
      </c>
      <c r="B96" s="1">
        <f>(VLOOKUP('13.00'!B96,'13.00'!$T$3:$V$28,3,FALSE))</f>
        <v>0</v>
      </c>
      <c r="C96" s="1">
        <f>(VLOOKUP('13.00'!C96,'13.00'!$T$3:$V$28,3,FALSE))</f>
        <v>0</v>
      </c>
      <c r="I96" s="1">
        <f>(VLOOKUP('13.00'!I96,'13.00'!$T$3:$V$28,3,FALSE))</f>
        <v>0</v>
      </c>
      <c r="J96" s="1">
        <f>(VLOOKUP('13.00'!J96,'13.00'!$T$3:$V$28,3,FALSE))</f>
        <v>0</v>
      </c>
      <c r="K96" s="1">
        <f>(VLOOKUP('13.00'!K96,'13.00'!$T$3:$V$28,3,FALSE))</f>
        <v>0</v>
      </c>
    </row>
    <row r="97" spans="1:11">
      <c r="A97" s="1">
        <f>(VLOOKUP('13.00'!A97,'13.00'!$T$3:$V$28,3,FALSE))</f>
        <v>0</v>
      </c>
      <c r="B97" s="1">
        <f>(VLOOKUP('13.00'!B97,'13.00'!$T$3:$V$28,3,FALSE))</f>
        <v>0</v>
      </c>
      <c r="C97" s="1">
        <f>(VLOOKUP('13.00'!C97,'13.00'!$T$3:$V$28,3,FALSE))</f>
        <v>0</v>
      </c>
      <c r="I97" s="1">
        <f>(VLOOKUP('13.00'!I97,'13.00'!$T$3:$V$28,3,FALSE))</f>
        <v>0</v>
      </c>
      <c r="J97" s="1">
        <f>(VLOOKUP('13.00'!J97,'13.00'!$T$3:$V$28,3,FALSE))</f>
        <v>0</v>
      </c>
      <c r="K97" s="1">
        <f>(VLOOKUP('13.00'!K97,'13.00'!$T$3:$V$28,3,FALSE))</f>
        <v>0</v>
      </c>
    </row>
    <row r="98" spans="1:11">
      <c r="A98" s="1">
        <f>(VLOOKUP('13.00'!A98,'13.00'!$T$3:$V$28,3,FALSE))</f>
        <v>0</v>
      </c>
      <c r="B98" s="1">
        <f>(VLOOKUP('13.00'!B98,'13.00'!$T$3:$V$28,3,FALSE))</f>
        <v>0</v>
      </c>
      <c r="C98" s="1">
        <f>(VLOOKUP('13.00'!C98,'13.00'!$T$3:$V$28,3,FALSE))</f>
        <v>0</v>
      </c>
      <c r="I98" s="1">
        <f>(VLOOKUP('13.00'!I98,'13.00'!$T$3:$V$28,3,FALSE))</f>
        <v>0</v>
      </c>
      <c r="J98" s="1">
        <f>(VLOOKUP('13.00'!J98,'13.00'!$T$3:$V$28,3,FALSE))</f>
        <v>0</v>
      </c>
      <c r="K98" s="1">
        <f>(VLOOKUP('13.00'!K98,'13.00'!$T$3:$V$28,3,FALSE))</f>
        <v>0</v>
      </c>
    </row>
    <row r="99" spans="1:11">
      <c r="A99" s="1">
        <f>(VLOOKUP('13.00'!A99,'13.00'!$T$3:$V$28,3,FALSE))</f>
        <v>0</v>
      </c>
      <c r="B99" s="1">
        <f>(VLOOKUP('13.00'!B99,'13.00'!$T$3:$V$28,3,FALSE))</f>
        <v>0</v>
      </c>
      <c r="C99" s="1">
        <f>(VLOOKUP('13.00'!C99,'13.00'!$T$3:$V$28,3,FALSE))</f>
        <v>0</v>
      </c>
      <c r="I99" s="1">
        <f>(VLOOKUP('13.00'!I99,'13.00'!$T$3:$V$28,3,FALSE))</f>
        <v>0</v>
      </c>
      <c r="J99" s="1">
        <f>(VLOOKUP('13.00'!J99,'13.00'!$T$3:$V$28,3,FALSE))</f>
        <v>0</v>
      </c>
      <c r="K99" s="1">
        <f>(VLOOKUP('13.00'!K99,'13.00'!$T$3:$V$28,3,FALSE))</f>
        <v>0</v>
      </c>
    </row>
    <row r="100" spans="1:11">
      <c r="A100" s="1">
        <f>(VLOOKUP('13.00'!A100,'13.00'!$T$3:$V$28,3,FALSE))</f>
        <v>0</v>
      </c>
      <c r="B100" s="1">
        <f>(VLOOKUP('13.00'!B100,'13.00'!$T$3:$V$28,3,FALSE))</f>
        <v>0</v>
      </c>
      <c r="C100" s="1">
        <f>(VLOOKUP('13.00'!C100,'13.00'!$T$3:$V$28,3,FALSE))</f>
        <v>0</v>
      </c>
      <c r="I100" s="1">
        <f>(VLOOKUP('13.00'!I100,'13.00'!$T$3:$V$28,3,FALSE))</f>
        <v>0</v>
      </c>
      <c r="J100" s="1">
        <f>(VLOOKUP('13.00'!J100,'13.00'!$T$3:$V$28,3,FALSE))</f>
        <v>0</v>
      </c>
      <c r="K100" s="1">
        <f>(VLOOKUP('13.00'!K100,'13.00'!$T$3:$V$28,3,FALSE))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13.00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2022-03-21T23:53:23Z</dcterms:created>
  <dcterms:modified xsi:type="dcterms:W3CDTF">2023-09-14T19:20:29Z</dcterms:modified>
</cp:coreProperties>
</file>