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4\"/>
    </mc:Choice>
  </mc:AlternateContent>
  <xr:revisionPtr revIDLastSave="0" documentId="13_ncr:1_{2EBD8624-7FA6-42B8-A05C-46AF8BF106FF}" xr6:coauthVersionLast="47" xr6:coauthVersionMax="47" xr10:uidLastSave="{00000000-0000-0000-0000-000000000000}"/>
  <bookViews>
    <workbookView xWindow="-108" yWindow="-108" windowWidth="23256" windowHeight="12576" xr2:uid="{ECD4D7EE-2D5D-4083-A820-495883BB0745}"/>
  </bookViews>
  <sheets>
    <sheet name="14.05" sheetId="95" r:id="rId1"/>
    <sheet name="14.06" sheetId="96" r:id="rId2"/>
    <sheet name="14.04" sheetId="94" r:id="rId3"/>
    <sheet name="14.02" sheetId="91" r:id="rId4"/>
    <sheet name="14.01" sheetId="90" r:id="rId5"/>
    <sheet name="14.03" sheetId="9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" i="95" l="1"/>
  <c r="AE5" i="95"/>
  <c r="AE6" i="95"/>
  <c r="AE7" i="95"/>
  <c r="AE8" i="95"/>
  <c r="AE9" i="95"/>
  <c r="AE10" i="95"/>
  <c r="AE11" i="95"/>
  <c r="AE12" i="95"/>
  <c r="AE13" i="95"/>
  <c r="AE14" i="95"/>
  <c r="AE15" i="95"/>
  <c r="AE16" i="95"/>
  <c r="AE17" i="95"/>
  <c r="AE18" i="95"/>
  <c r="AE19" i="95"/>
  <c r="AE20" i="95"/>
  <c r="AE21" i="95"/>
  <c r="AE22" i="95"/>
  <c r="AE23" i="95"/>
  <c r="AE24" i="95"/>
  <c r="AE25" i="95"/>
  <c r="AE26" i="95"/>
  <c r="AE27" i="95"/>
  <c r="AE28" i="95"/>
  <c r="AE3" i="95"/>
  <c r="AC31" i="96" l="1"/>
  <c r="Y31" i="96"/>
  <c r="AG28" i="96"/>
  <c r="AD28" i="96"/>
  <c r="AA28" i="96"/>
  <c r="Z28" i="96"/>
  <c r="AG27" i="96"/>
  <c r="AD27" i="96"/>
  <c r="AA27" i="96"/>
  <c r="Z27" i="96"/>
  <c r="AG26" i="96"/>
  <c r="AD26" i="96"/>
  <c r="W26" i="96"/>
  <c r="AG25" i="96"/>
  <c r="AD25" i="96"/>
  <c r="AA25" i="96"/>
  <c r="Z25" i="96"/>
  <c r="W25" i="96"/>
  <c r="AG24" i="96"/>
  <c r="AD24" i="96"/>
  <c r="AA24" i="96"/>
  <c r="Z24" i="96"/>
  <c r="W24" i="96"/>
  <c r="AG23" i="96"/>
  <c r="AD23" i="96"/>
  <c r="AA23" i="96"/>
  <c r="Z23" i="96"/>
  <c r="W23" i="96"/>
  <c r="AG22" i="96"/>
  <c r="AD22" i="96"/>
  <c r="AA22" i="96"/>
  <c r="Z22" i="96"/>
  <c r="AG21" i="96"/>
  <c r="AD21" i="96"/>
  <c r="AA21" i="96"/>
  <c r="Z21" i="96"/>
  <c r="AG20" i="96"/>
  <c r="AD20" i="96"/>
  <c r="AA20" i="96"/>
  <c r="Z20" i="96"/>
  <c r="AG19" i="96"/>
  <c r="AD19" i="96"/>
  <c r="AA19" i="96"/>
  <c r="Z19" i="96"/>
  <c r="AG18" i="96"/>
  <c r="AD18" i="96"/>
  <c r="AA18" i="96"/>
  <c r="Z18" i="96"/>
  <c r="AG17" i="96"/>
  <c r="AD17" i="96"/>
  <c r="AA17" i="96"/>
  <c r="Z17" i="96"/>
  <c r="AG16" i="96"/>
  <c r="AD16" i="96"/>
  <c r="AA16" i="96"/>
  <c r="Z16" i="96"/>
  <c r="AG15" i="96"/>
  <c r="AD15" i="96"/>
  <c r="AA15" i="96"/>
  <c r="Z15" i="96"/>
  <c r="W15" i="96"/>
  <c r="AG14" i="96"/>
  <c r="AD14" i="96"/>
  <c r="AA14" i="96"/>
  <c r="Z14" i="96"/>
  <c r="AG13" i="96"/>
  <c r="AD13" i="96"/>
  <c r="AA13" i="96"/>
  <c r="Z13" i="96"/>
  <c r="AG12" i="96"/>
  <c r="AD12" i="96"/>
  <c r="AA12" i="96"/>
  <c r="Z12" i="96"/>
  <c r="AG11" i="96"/>
  <c r="AD11" i="96"/>
  <c r="AA11" i="96"/>
  <c r="Z11" i="96"/>
  <c r="W11" i="96"/>
  <c r="AG10" i="96"/>
  <c r="AD10" i="96"/>
  <c r="AA10" i="96"/>
  <c r="Z10" i="96"/>
  <c r="W10" i="96"/>
  <c r="AG9" i="96"/>
  <c r="AD9" i="96"/>
  <c r="AA9" i="96"/>
  <c r="Z9" i="96"/>
  <c r="W9" i="96"/>
  <c r="AG8" i="96"/>
  <c r="AD8" i="96"/>
  <c r="AA8" i="96"/>
  <c r="Z8" i="96"/>
  <c r="P8" i="96"/>
  <c r="H8" i="96"/>
  <c r="AG7" i="96"/>
  <c r="AD7" i="96"/>
  <c r="AA7" i="96"/>
  <c r="Z7" i="96"/>
  <c r="AB7" i="96" s="1"/>
  <c r="O7" i="96"/>
  <c r="N7" i="96"/>
  <c r="M7" i="96"/>
  <c r="G7" i="96"/>
  <c r="F7" i="96"/>
  <c r="E7" i="96"/>
  <c r="H7" i="96" s="1"/>
  <c r="AG6" i="96"/>
  <c r="AD6" i="96"/>
  <c r="AA6" i="96"/>
  <c r="Z6" i="96"/>
  <c r="R6" i="96"/>
  <c r="R14" i="96" s="1"/>
  <c r="R15" i="96" s="1"/>
  <c r="O6" i="96" a="1"/>
  <c r="O6" i="96" s="1"/>
  <c r="N6" i="96" a="1"/>
  <c r="N6" i="96" s="1"/>
  <c r="M6" i="96" a="1"/>
  <c r="M6" i="96" s="1"/>
  <c r="G6" i="96" a="1"/>
  <c r="G6" i="96" s="1"/>
  <c r="F6" i="96" a="1"/>
  <c r="F6" i="96" s="1"/>
  <c r="E6" i="96" a="1"/>
  <c r="E6" i="96" s="1"/>
  <c r="AG5" i="96"/>
  <c r="AD5" i="96"/>
  <c r="AA5" i="96"/>
  <c r="Z5" i="96"/>
  <c r="AB5" i="96" s="1"/>
  <c r="O5" i="96" a="1"/>
  <c r="O5" i="96" s="1"/>
  <c r="N5" i="96" a="1"/>
  <c r="N5" i="96" s="1"/>
  <c r="M5" i="96" a="1"/>
  <c r="M5" i="96" s="1"/>
  <c r="G5" i="96" a="1"/>
  <c r="G5" i="96" s="1"/>
  <c r="F5" i="96" a="1"/>
  <c r="F5" i="96" s="1"/>
  <c r="E5" i="96" a="1"/>
  <c r="E5" i="96" s="1"/>
  <c r="AG4" i="96"/>
  <c r="AD4" i="96"/>
  <c r="AA4" i="96"/>
  <c r="Z4" i="96"/>
  <c r="W4" i="96"/>
  <c r="P4" i="96"/>
  <c r="H4" i="96"/>
  <c r="AG3" i="96"/>
  <c r="AD3" i="96"/>
  <c r="AD31" i="96" s="1"/>
  <c r="AA3" i="96"/>
  <c r="Z3" i="96"/>
  <c r="W3" i="96"/>
  <c r="H1" i="96" a="1"/>
  <c r="H1" i="96" s="1"/>
  <c r="AB13" i="96" l="1"/>
  <c r="P7" i="96"/>
  <c r="O9" i="96"/>
  <c r="N9" i="96"/>
  <c r="P5" i="96"/>
  <c r="AB21" i="96"/>
  <c r="AB3" i="96"/>
  <c r="AB10" i="96"/>
  <c r="AB24" i="96"/>
  <c r="AB27" i="96"/>
  <c r="AB15" i="96"/>
  <c r="AB18" i="96"/>
  <c r="AB8" i="96"/>
  <c r="AB19" i="96"/>
  <c r="AB22" i="96"/>
  <c r="AB4" i="96"/>
  <c r="AB28" i="96"/>
  <c r="AB9" i="96"/>
  <c r="AB6" i="96"/>
  <c r="AB11" i="96"/>
  <c r="AB14" i="96"/>
  <c r="AB25" i="96"/>
  <c r="AB17" i="96"/>
  <c r="AB20" i="96"/>
  <c r="AB12" i="96"/>
  <c r="H6" i="96"/>
  <c r="H5" i="96"/>
  <c r="AB16" i="96"/>
  <c r="AB23" i="96"/>
  <c r="P6" i="96"/>
  <c r="M9" i="96"/>
  <c r="Y31" i="95"/>
  <c r="AA28" i="95"/>
  <c r="Z28" i="95"/>
  <c r="AA27" i="95"/>
  <c r="Z27" i="95"/>
  <c r="W26" i="95"/>
  <c r="AA25" i="95"/>
  <c r="Z25" i="95"/>
  <c r="W25" i="95"/>
  <c r="AA24" i="95"/>
  <c r="Z24" i="95"/>
  <c r="W24" i="95"/>
  <c r="AA23" i="95"/>
  <c r="Z23" i="95"/>
  <c r="W23" i="95"/>
  <c r="AA22" i="95"/>
  <c r="Z22" i="95"/>
  <c r="AA21" i="95"/>
  <c r="Z21" i="95"/>
  <c r="AA20" i="95"/>
  <c r="Z20" i="95"/>
  <c r="AA19" i="95"/>
  <c r="Z19" i="95"/>
  <c r="AA18" i="95"/>
  <c r="Z18" i="95"/>
  <c r="AA17" i="95"/>
  <c r="Z17" i="95"/>
  <c r="AA16" i="95"/>
  <c r="Z16" i="95"/>
  <c r="AA15" i="95"/>
  <c r="Z15" i="95"/>
  <c r="W15" i="95"/>
  <c r="AA14" i="95"/>
  <c r="Z14" i="95"/>
  <c r="AA13" i="95"/>
  <c r="Z13" i="95"/>
  <c r="AB13" i="95" s="1"/>
  <c r="AA12" i="95"/>
  <c r="Z12" i="95"/>
  <c r="AA11" i="95"/>
  <c r="Z11" i="95"/>
  <c r="W11" i="95"/>
  <c r="AA10" i="95"/>
  <c r="Z10" i="95"/>
  <c r="W10" i="95"/>
  <c r="AA9" i="95"/>
  <c r="Z9" i="95"/>
  <c r="W9" i="95"/>
  <c r="AA8" i="95"/>
  <c r="Z8" i="95"/>
  <c r="P8" i="95"/>
  <c r="H8" i="95"/>
  <c r="AA7" i="95"/>
  <c r="Z7" i="95"/>
  <c r="AB7" i="95" s="1"/>
  <c r="O7" i="95"/>
  <c r="N7" i="95"/>
  <c r="M7" i="95"/>
  <c r="G7" i="95"/>
  <c r="F7" i="95"/>
  <c r="E7" i="95"/>
  <c r="AA6" i="95"/>
  <c r="Z6" i="95"/>
  <c r="R6" i="95"/>
  <c r="R14" i="95" s="1"/>
  <c r="R15" i="95" s="1"/>
  <c r="O6" i="95" a="1"/>
  <c r="O6" i="95" s="1"/>
  <c r="N6" i="95" a="1"/>
  <c r="N6" i="95" s="1"/>
  <c r="M6" i="95" a="1"/>
  <c r="M6" i="95" s="1"/>
  <c r="G6" i="95" a="1"/>
  <c r="G6" i="95" s="1"/>
  <c r="F6" i="95" a="1"/>
  <c r="F6" i="95" s="1"/>
  <c r="E6" i="95" a="1"/>
  <c r="E6" i="95" s="1"/>
  <c r="AA5" i="95"/>
  <c r="Z5" i="95"/>
  <c r="O5" i="95" a="1"/>
  <c r="O5" i="95" s="1"/>
  <c r="N5" i="95" a="1"/>
  <c r="N5" i="95" s="1"/>
  <c r="M5" i="95" a="1"/>
  <c r="M5" i="95" s="1"/>
  <c r="G5" i="95" a="1"/>
  <c r="G5" i="95" s="1"/>
  <c r="F5" i="95" a="1"/>
  <c r="F5" i="95" s="1"/>
  <c r="E5" i="95" a="1"/>
  <c r="E5" i="95" s="1"/>
  <c r="AA4" i="95"/>
  <c r="Z4" i="95"/>
  <c r="W4" i="95"/>
  <c r="P4" i="95"/>
  <c r="H4" i="95"/>
  <c r="AA3" i="95"/>
  <c r="Z3" i="95"/>
  <c r="W3" i="95"/>
  <c r="H1" i="95" a="1"/>
  <c r="H1" i="95" s="1"/>
  <c r="AC31" i="94"/>
  <c r="Y31" i="94"/>
  <c r="AG28" i="94"/>
  <c r="AD28" i="94"/>
  <c r="AA28" i="94"/>
  <c r="Z28" i="94"/>
  <c r="AG27" i="94"/>
  <c r="AD27" i="94"/>
  <c r="AA27" i="94"/>
  <c r="Z27" i="94"/>
  <c r="AG26" i="94"/>
  <c r="AD26" i="94"/>
  <c r="W26" i="94"/>
  <c r="AG25" i="94"/>
  <c r="AD25" i="94"/>
  <c r="AA25" i="94"/>
  <c r="Z25" i="94"/>
  <c r="W25" i="94"/>
  <c r="AG24" i="94"/>
  <c r="AD24" i="94"/>
  <c r="AA24" i="94"/>
  <c r="Z24" i="94"/>
  <c r="W24" i="94"/>
  <c r="AG23" i="94"/>
  <c r="AD23" i="94"/>
  <c r="AA23" i="94"/>
  <c r="Z23" i="94"/>
  <c r="W23" i="94"/>
  <c r="AG22" i="94"/>
  <c r="AD22" i="94"/>
  <c r="AA22" i="94"/>
  <c r="Z22" i="94"/>
  <c r="AG21" i="94"/>
  <c r="AD21" i="94"/>
  <c r="AA21" i="94"/>
  <c r="Z21" i="94"/>
  <c r="AG20" i="94"/>
  <c r="AD20" i="94"/>
  <c r="AA20" i="94"/>
  <c r="Z20" i="94"/>
  <c r="AG19" i="94"/>
  <c r="AD19" i="94"/>
  <c r="AA19" i="94"/>
  <c r="Z19" i="94"/>
  <c r="AG18" i="94"/>
  <c r="AD18" i="94"/>
  <c r="AA18" i="94"/>
  <c r="AB18" i="94" s="1"/>
  <c r="Z18" i="94"/>
  <c r="AG17" i="94"/>
  <c r="AD17" i="94"/>
  <c r="AA17" i="94"/>
  <c r="AB17" i="94" s="1"/>
  <c r="Z17" i="94"/>
  <c r="AG16" i="94"/>
  <c r="AD16" i="94"/>
  <c r="AA16" i="94"/>
  <c r="Z16" i="94"/>
  <c r="AG15" i="94"/>
  <c r="AD15" i="94"/>
  <c r="AA15" i="94"/>
  <c r="Z15" i="94"/>
  <c r="W15" i="94"/>
  <c r="AG14" i="94"/>
  <c r="AD14" i="94"/>
  <c r="AA14" i="94"/>
  <c r="Z14" i="94"/>
  <c r="R14" i="94"/>
  <c r="R15" i="94" s="1"/>
  <c r="AG13" i="94"/>
  <c r="AD13" i="94"/>
  <c r="AA13" i="94"/>
  <c r="Z13" i="94"/>
  <c r="AG12" i="94"/>
  <c r="AD12" i="94"/>
  <c r="AA12" i="94"/>
  <c r="Z12" i="94"/>
  <c r="AG11" i="94"/>
  <c r="AD11" i="94"/>
  <c r="AA11" i="94"/>
  <c r="Z11" i="94"/>
  <c r="W11" i="94"/>
  <c r="AG10" i="94"/>
  <c r="AD10" i="94"/>
  <c r="AA10" i="94"/>
  <c r="Z10" i="94"/>
  <c r="W10" i="94"/>
  <c r="AG9" i="94"/>
  <c r="AD9" i="94"/>
  <c r="AA9" i="94"/>
  <c r="Z9" i="94"/>
  <c r="W9" i="94"/>
  <c r="AG8" i="94"/>
  <c r="AD8" i="94"/>
  <c r="AA8" i="94"/>
  <c r="Z8" i="94"/>
  <c r="AB8" i="94" s="1"/>
  <c r="P8" i="94"/>
  <c r="H8" i="94"/>
  <c r="AG7" i="94"/>
  <c r="AD7" i="94"/>
  <c r="AA7" i="94"/>
  <c r="Z7" i="94"/>
  <c r="O7" i="94"/>
  <c r="N7" i="94"/>
  <c r="M7" i="94"/>
  <c r="H7" i="94"/>
  <c r="G7" i="94"/>
  <c r="F7" i="94"/>
  <c r="E7" i="94"/>
  <c r="AG6" i="94"/>
  <c r="AD6" i="94"/>
  <c r="AA6" i="94"/>
  <c r="AB6" i="94" s="1"/>
  <c r="Z6" i="94"/>
  <c r="R6" i="94"/>
  <c r="O6" i="94" a="1"/>
  <c r="O6" i="94" s="1"/>
  <c r="N6" i="94" a="1"/>
  <c r="N6" i="94" s="1"/>
  <c r="M6" i="94" a="1"/>
  <c r="M6" i="94" s="1"/>
  <c r="G6" i="94" a="1"/>
  <c r="G6" i="94" s="1"/>
  <c r="F6" i="94" a="1"/>
  <c r="F6" i="94" s="1"/>
  <c r="E6" i="94" a="1"/>
  <c r="E6" i="94" s="1"/>
  <c r="H6" i="94" s="1"/>
  <c r="AG5" i="94"/>
  <c r="AD5" i="94"/>
  <c r="AA5" i="94"/>
  <c r="Z5" i="94"/>
  <c r="O5" i="94" a="1"/>
  <c r="O5" i="94" s="1"/>
  <c r="N5" i="94" a="1"/>
  <c r="N5" i="94" s="1"/>
  <c r="M5" i="94" a="1"/>
  <c r="M5" i="94" s="1"/>
  <c r="G5" i="94" a="1"/>
  <c r="G5" i="94" s="1"/>
  <c r="F5" i="94" a="1"/>
  <c r="F5" i="94" s="1"/>
  <c r="E5" i="94" a="1"/>
  <c r="E5" i="94" s="1"/>
  <c r="AG4" i="94"/>
  <c r="AD4" i="94"/>
  <c r="AA4" i="94"/>
  <c r="Z4" i="94"/>
  <c r="W4" i="94"/>
  <c r="P4" i="94"/>
  <c r="H4" i="94"/>
  <c r="AG3" i="94"/>
  <c r="AD3" i="94"/>
  <c r="AD31" i="94" s="1"/>
  <c r="AA3" i="94"/>
  <c r="Z3" i="94"/>
  <c r="W3" i="94"/>
  <c r="H1" i="94" a="1"/>
  <c r="H1" i="94" s="1"/>
  <c r="R6" i="91"/>
  <c r="R15" i="91"/>
  <c r="R14" i="91"/>
  <c r="R6" i="92"/>
  <c r="AC31" i="92"/>
  <c r="Y31" i="92"/>
  <c r="AG28" i="92"/>
  <c r="AD28" i="92"/>
  <c r="AA28" i="92"/>
  <c r="Z28" i="92"/>
  <c r="AG27" i="92"/>
  <c r="AD27" i="92"/>
  <c r="AA27" i="92"/>
  <c r="Z27" i="92"/>
  <c r="AG26" i="92"/>
  <c r="AD26" i="92"/>
  <c r="W26" i="92"/>
  <c r="AG25" i="92"/>
  <c r="AD25" i="92"/>
  <c r="AA25" i="92"/>
  <c r="Z25" i="92"/>
  <c r="W25" i="92"/>
  <c r="AG24" i="92"/>
  <c r="AD24" i="92"/>
  <c r="AA24" i="92"/>
  <c r="Z24" i="92"/>
  <c r="W24" i="92"/>
  <c r="AG23" i="92"/>
  <c r="AD23" i="92"/>
  <c r="AA23" i="92"/>
  <c r="Z23" i="92"/>
  <c r="W23" i="92"/>
  <c r="AG22" i="92"/>
  <c r="AD22" i="92"/>
  <c r="AA22" i="92"/>
  <c r="Z22" i="92"/>
  <c r="AG21" i="92"/>
  <c r="AD21" i="92"/>
  <c r="AA21" i="92"/>
  <c r="Z21" i="92"/>
  <c r="AG20" i="92"/>
  <c r="AD20" i="92"/>
  <c r="AA20" i="92"/>
  <c r="Z20" i="92"/>
  <c r="AG19" i="92"/>
  <c r="AD19" i="92"/>
  <c r="AA19" i="92"/>
  <c r="Z19" i="92"/>
  <c r="AG18" i="92"/>
  <c r="AD18" i="92"/>
  <c r="AA18" i="92"/>
  <c r="Z18" i="92"/>
  <c r="AG17" i="92"/>
  <c r="AD17" i="92"/>
  <c r="AA17" i="92"/>
  <c r="Z17" i="92"/>
  <c r="AG16" i="92"/>
  <c r="AD16" i="92"/>
  <c r="AA16" i="92"/>
  <c r="Z16" i="92"/>
  <c r="AG15" i="92"/>
  <c r="AD15" i="92"/>
  <c r="AA15" i="92"/>
  <c r="Z15" i="92"/>
  <c r="W15" i="92"/>
  <c r="AG14" i="92"/>
  <c r="AD14" i="92"/>
  <c r="AA14" i="92"/>
  <c r="Z14" i="92"/>
  <c r="AG13" i="92"/>
  <c r="AD13" i="92"/>
  <c r="AA13" i="92"/>
  <c r="Z13" i="92"/>
  <c r="AB13" i="92" s="1"/>
  <c r="AG12" i="92"/>
  <c r="AD12" i="92"/>
  <c r="AA12" i="92"/>
  <c r="Z12" i="92"/>
  <c r="AG11" i="92"/>
  <c r="AD11" i="92"/>
  <c r="AA11" i="92"/>
  <c r="Z11" i="92"/>
  <c r="W11" i="92"/>
  <c r="AG10" i="92"/>
  <c r="AD10" i="92"/>
  <c r="AA10" i="92"/>
  <c r="Z10" i="92"/>
  <c r="W10" i="92"/>
  <c r="AG9" i="92"/>
  <c r="AD9" i="92"/>
  <c r="AA9" i="92"/>
  <c r="Z9" i="92"/>
  <c r="W9" i="92"/>
  <c r="AG8" i="92"/>
  <c r="AD8" i="92"/>
  <c r="AA8" i="92"/>
  <c r="Z8" i="92"/>
  <c r="P8" i="92"/>
  <c r="H8" i="92"/>
  <c r="AG7" i="92"/>
  <c r="AD7" i="92"/>
  <c r="AA7" i="92"/>
  <c r="Z7" i="92"/>
  <c r="O7" i="92"/>
  <c r="N7" i="92"/>
  <c r="M7" i="92"/>
  <c r="G7" i="92"/>
  <c r="F7" i="92"/>
  <c r="E7" i="92"/>
  <c r="AG6" i="92"/>
  <c r="AD6" i="92"/>
  <c r="AA6" i="92"/>
  <c r="Z6" i="92"/>
  <c r="O6" i="92" a="1"/>
  <c r="O6" i="92" s="1"/>
  <c r="N6" i="92" a="1"/>
  <c r="N6" i="92" s="1"/>
  <c r="M6" i="92" a="1"/>
  <c r="M6" i="92" s="1"/>
  <c r="G6" i="92" a="1"/>
  <c r="G6" i="92" s="1"/>
  <c r="F6" i="92" a="1"/>
  <c r="F6" i="92" s="1"/>
  <c r="E6" i="92" a="1"/>
  <c r="E6" i="92" s="1"/>
  <c r="AG5" i="92"/>
  <c r="AD5" i="92"/>
  <c r="AA5" i="92"/>
  <c r="Z5" i="92"/>
  <c r="O5" i="92" a="1"/>
  <c r="O5" i="92" s="1"/>
  <c r="N5" i="92" a="1"/>
  <c r="N5" i="92" s="1"/>
  <c r="M5" i="92" a="1"/>
  <c r="M5" i="92" s="1"/>
  <c r="G5" i="92" a="1"/>
  <c r="G5" i="92" s="1"/>
  <c r="F5" i="92" a="1"/>
  <c r="F5" i="92" s="1"/>
  <c r="E5" i="92" a="1"/>
  <c r="E5" i="92" s="1"/>
  <c r="AG4" i="92"/>
  <c r="AD4" i="92"/>
  <c r="AA4" i="92"/>
  <c r="Z4" i="92"/>
  <c r="W4" i="92"/>
  <c r="P4" i="92"/>
  <c r="H4" i="92"/>
  <c r="AG3" i="92"/>
  <c r="AD3" i="92"/>
  <c r="AD31" i="92" s="1"/>
  <c r="AA3" i="92"/>
  <c r="Z3" i="92"/>
  <c r="W3" i="92"/>
  <c r="H1" i="92" a="1"/>
  <c r="H1" i="92" s="1"/>
  <c r="P9" i="96" l="1"/>
  <c r="AB31" i="96"/>
  <c r="R2" i="96" a="1"/>
  <c r="R2" i="96" s="1"/>
  <c r="R8" i="96" a="1"/>
  <c r="R8" i="96" s="1"/>
  <c r="AB5" i="95"/>
  <c r="AB20" i="95"/>
  <c r="P7" i="95"/>
  <c r="AB25" i="95"/>
  <c r="AB3" i="95"/>
  <c r="O9" i="95"/>
  <c r="N9" i="95"/>
  <c r="P5" i="95"/>
  <c r="AB4" i="95"/>
  <c r="AB6" i="95"/>
  <c r="AB15" i="95"/>
  <c r="AB18" i="95"/>
  <c r="AB21" i="95"/>
  <c r="AB10" i="95"/>
  <c r="AB24" i="95"/>
  <c r="AB27" i="95"/>
  <c r="AB8" i="95"/>
  <c r="AB16" i="95"/>
  <c r="AB19" i="95"/>
  <c r="AB22" i="95"/>
  <c r="AB28" i="95"/>
  <c r="AB11" i="95"/>
  <c r="AB14" i="95"/>
  <c r="AB23" i="95"/>
  <c r="AB9" i="95"/>
  <c r="AB12" i="95"/>
  <c r="H7" i="95"/>
  <c r="AB17" i="95"/>
  <c r="H6" i="95"/>
  <c r="H5" i="95"/>
  <c r="P6" i="95"/>
  <c r="M9" i="95"/>
  <c r="O9" i="94"/>
  <c r="N9" i="94"/>
  <c r="AB4" i="94"/>
  <c r="AB10" i="94"/>
  <c r="AB12" i="94"/>
  <c r="AB21" i="94"/>
  <c r="P7" i="94"/>
  <c r="AB25" i="94"/>
  <c r="P5" i="94"/>
  <c r="AB15" i="94"/>
  <c r="AB13" i="94"/>
  <c r="AB24" i="94"/>
  <c r="AB27" i="94"/>
  <c r="AB3" i="94"/>
  <c r="AB16" i="94"/>
  <c r="AB19" i="94"/>
  <c r="AB22" i="94"/>
  <c r="AB11" i="94"/>
  <c r="AB28" i="94"/>
  <c r="AB14" i="94"/>
  <c r="AB9" i="94"/>
  <c r="AB20" i="94"/>
  <c r="AB23" i="94"/>
  <c r="AB7" i="94"/>
  <c r="AB5" i="94"/>
  <c r="H5" i="94"/>
  <c r="P6" i="94"/>
  <c r="M9" i="94"/>
  <c r="AB7" i="92"/>
  <c r="AB25" i="92"/>
  <c r="AB20" i="92"/>
  <c r="AB5" i="92"/>
  <c r="P5" i="92"/>
  <c r="N9" i="92"/>
  <c r="AB6" i="92"/>
  <c r="AB15" i="92"/>
  <c r="AB21" i="92"/>
  <c r="AB10" i="92"/>
  <c r="AB27" i="92"/>
  <c r="AB16" i="92"/>
  <c r="AB19" i="92"/>
  <c r="AB22" i="92"/>
  <c r="AB3" i="92"/>
  <c r="AB4" i="92"/>
  <c r="AB28" i="92"/>
  <c r="P7" i="92"/>
  <c r="AB11" i="92"/>
  <c r="AB14" i="92"/>
  <c r="AB9" i="92"/>
  <c r="AB23" i="92"/>
  <c r="O9" i="92"/>
  <c r="AB12" i="92"/>
  <c r="H7" i="92"/>
  <c r="AB18" i="92"/>
  <c r="AB8" i="92"/>
  <c r="H6" i="92"/>
  <c r="AB24" i="92"/>
  <c r="AB17" i="92"/>
  <c r="M9" i="92"/>
  <c r="P6" i="92"/>
  <c r="H5" i="92"/>
  <c r="P9" i="95" l="1"/>
  <c r="P11" i="95"/>
  <c r="AB31" i="95"/>
  <c r="R2" i="95" a="1"/>
  <c r="R2" i="95" s="1"/>
  <c r="R8" i="95" a="1"/>
  <c r="R8" i="95" s="1"/>
  <c r="P12" i="95"/>
  <c r="P11" i="94"/>
  <c r="P9" i="94"/>
  <c r="R2" i="94" a="1"/>
  <c r="R2" i="94" s="1"/>
  <c r="AB31" i="94"/>
  <c r="R8" i="94" a="1"/>
  <c r="R8" i="94" s="1"/>
  <c r="P12" i="94"/>
  <c r="P12" i="92"/>
  <c r="P11" i="92"/>
  <c r="P9" i="92"/>
  <c r="R2" i="92" a="1"/>
  <c r="R2" i="92" s="1"/>
  <c r="AB31" i="92"/>
  <c r="R8" i="92" a="1"/>
  <c r="R8" i="92" s="1"/>
  <c r="Y31" i="90" l="1"/>
  <c r="AC31" i="91"/>
  <c r="Y31" i="91"/>
  <c r="AG28" i="91"/>
  <c r="AD28" i="91"/>
  <c r="AA28" i="91"/>
  <c r="Z28" i="91"/>
  <c r="AG27" i="91"/>
  <c r="AD27" i="91"/>
  <c r="AA27" i="91"/>
  <c r="Z27" i="91"/>
  <c r="AG26" i="91"/>
  <c r="AD26" i="91"/>
  <c r="W26" i="91"/>
  <c r="AG25" i="91"/>
  <c r="AD25" i="91"/>
  <c r="AA25" i="91"/>
  <c r="Z25" i="91"/>
  <c r="W25" i="91"/>
  <c r="AG24" i="91"/>
  <c r="AD24" i="91"/>
  <c r="AA24" i="91"/>
  <c r="Z24" i="91"/>
  <c r="W24" i="91"/>
  <c r="AG23" i="91"/>
  <c r="AD23" i="91"/>
  <c r="AA23" i="91"/>
  <c r="Z23" i="91"/>
  <c r="W23" i="91"/>
  <c r="AG22" i="91"/>
  <c r="AD22" i="91"/>
  <c r="AA22" i="91"/>
  <c r="Z22" i="91"/>
  <c r="AG21" i="91"/>
  <c r="AD21" i="91"/>
  <c r="AA21" i="91"/>
  <c r="Z21" i="91"/>
  <c r="AG20" i="91"/>
  <c r="AD20" i="91"/>
  <c r="AA20" i="91"/>
  <c r="Z20" i="91"/>
  <c r="AG19" i="91"/>
  <c r="AD19" i="91"/>
  <c r="AA19" i="91"/>
  <c r="Z19" i="91"/>
  <c r="AG18" i="91"/>
  <c r="AD18" i="91"/>
  <c r="AA18" i="91"/>
  <c r="Z18" i="91"/>
  <c r="AG17" i="91"/>
  <c r="AD17" i="91"/>
  <c r="AA17" i="91"/>
  <c r="Z17" i="91"/>
  <c r="AG16" i="91"/>
  <c r="AD16" i="91"/>
  <c r="AA16" i="91"/>
  <c r="Z16" i="91"/>
  <c r="AG15" i="91"/>
  <c r="AD15" i="91"/>
  <c r="AA15" i="91"/>
  <c r="Z15" i="91"/>
  <c r="W15" i="91"/>
  <c r="AG14" i="91"/>
  <c r="AD14" i="91"/>
  <c r="AA14" i="91"/>
  <c r="Z14" i="91"/>
  <c r="AG13" i="91"/>
  <c r="AD13" i="91"/>
  <c r="AA13" i="91"/>
  <c r="Z13" i="91"/>
  <c r="AG12" i="91"/>
  <c r="AD12" i="91"/>
  <c r="AA12" i="91"/>
  <c r="Z12" i="91"/>
  <c r="AG11" i="91"/>
  <c r="AD11" i="91"/>
  <c r="AA11" i="91"/>
  <c r="Z11" i="91"/>
  <c r="W11" i="91"/>
  <c r="AG10" i="91"/>
  <c r="AD10" i="91"/>
  <c r="AA10" i="91"/>
  <c r="Z10" i="91"/>
  <c r="W10" i="91"/>
  <c r="AG9" i="91"/>
  <c r="AD9" i="91"/>
  <c r="AA9" i="91"/>
  <c r="Z9" i="91"/>
  <c r="W9" i="91"/>
  <c r="AG8" i="91"/>
  <c r="AD8" i="91"/>
  <c r="AA8" i="91"/>
  <c r="Z8" i="91"/>
  <c r="P8" i="91"/>
  <c r="H8" i="91"/>
  <c r="AG7" i="91"/>
  <c r="AD7" i="91"/>
  <c r="AA7" i="91"/>
  <c r="Z7" i="91"/>
  <c r="O7" i="91"/>
  <c r="N7" i="91"/>
  <c r="M7" i="91"/>
  <c r="G7" i="91"/>
  <c r="F7" i="91"/>
  <c r="E7" i="91"/>
  <c r="AG6" i="91"/>
  <c r="AD6" i="91"/>
  <c r="AA6" i="91"/>
  <c r="Z6" i="91"/>
  <c r="O6" i="91" a="1"/>
  <c r="O6" i="91" s="1"/>
  <c r="N6" i="91" a="1"/>
  <c r="N6" i="91" s="1"/>
  <c r="M6" i="91" a="1"/>
  <c r="M6" i="91" s="1"/>
  <c r="G6" i="91" a="1"/>
  <c r="G6" i="91" s="1"/>
  <c r="F6" i="91" a="1"/>
  <c r="F6" i="91" s="1"/>
  <c r="E6" i="91" a="1"/>
  <c r="E6" i="91" s="1"/>
  <c r="AG5" i="91"/>
  <c r="AD5" i="91"/>
  <c r="AA5" i="91"/>
  <c r="Z5" i="91"/>
  <c r="O5" i="91" a="1"/>
  <c r="O5" i="91" s="1"/>
  <c r="N5" i="91" a="1"/>
  <c r="N5" i="91" s="1"/>
  <c r="M5" i="91" a="1"/>
  <c r="M5" i="91" s="1"/>
  <c r="G5" i="91" a="1"/>
  <c r="G5" i="91" s="1"/>
  <c r="F5" i="91" a="1"/>
  <c r="F5" i="91" s="1"/>
  <c r="E5" i="91" a="1"/>
  <c r="E5" i="91" s="1"/>
  <c r="AG4" i="91"/>
  <c r="AD4" i="91"/>
  <c r="AA4" i="91"/>
  <c r="Z4" i="91"/>
  <c r="W4" i="91"/>
  <c r="P4" i="91"/>
  <c r="H4" i="91"/>
  <c r="AG3" i="91"/>
  <c r="AD3" i="91"/>
  <c r="AD31" i="91" s="1"/>
  <c r="AA3" i="91"/>
  <c r="Z3" i="91"/>
  <c r="W3" i="91"/>
  <c r="H1" i="91" a="1"/>
  <c r="H1" i="91" s="1"/>
  <c r="AC31" i="90"/>
  <c r="AG28" i="90"/>
  <c r="AD28" i="90"/>
  <c r="AA28" i="90"/>
  <c r="Z28" i="90"/>
  <c r="AG27" i="90"/>
  <c r="AD27" i="90"/>
  <c r="AA27" i="90"/>
  <c r="Z27" i="90"/>
  <c r="AG26" i="90"/>
  <c r="AD26" i="90"/>
  <c r="W26" i="90"/>
  <c r="AG25" i="90"/>
  <c r="AD25" i="90"/>
  <c r="AA25" i="90"/>
  <c r="Z25" i="90"/>
  <c r="W25" i="90"/>
  <c r="AG24" i="90"/>
  <c r="AD24" i="90"/>
  <c r="AA24" i="90"/>
  <c r="Z24" i="90"/>
  <c r="W24" i="90"/>
  <c r="AG23" i="90"/>
  <c r="AD23" i="90"/>
  <c r="AA23" i="90"/>
  <c r="Z23" i="90"/>
  <c r="W23" i="90"/>
  <c r="AG22" i="90"/>
  <c r="AD22" i="90"/>
  <c r="AA22" i="90"/>
  <c r="Z22" i="90"/>
  <c r="AG21" i="90"/>
  <c r="AD21" i="90"/>
  <c r="AA21" i="90"/>
  <c r="Z21" i="90"/>
  <c r="AG20" i="90"/>
  <c r="AD20" i="90"/>
  <c r="AA20" i="90"/>
  <c r="Z20" i="90"/>
  <c r="AG19" i="90"/>
  <c r="AD19" i="90"/>
  <c r="AA19" i="90"/>
  <c r="Z19" i="90"/>
  <c r="AG18" i="90"/>
  <c r="AD18" i="90"/>
  <c r="AA18" i="90"/>
  <c r="Z18" i="90"/>
  <c r="AG17" i="90"/>
  <c r="AD17" i="90"/>
  <c r="AA17" i="90"/>
  <c r="Z17" i="90"/>
  <c r="AG16" i="90"/>
  <c r="AD16" i="90"/>
  <c r="AA16" i="90"/>
  <c r="Z16" i="90"/>
  <c r="AG15" i="90"/>
  <c r="AD15" i="90"/>
  <c r="AA15" i="90"/>
  <c r="Z15" i="90"/>
  <c r="W15" i="90"/>
  <c r="AG14" i="90"/>
  <c r="AD14" i="90"/>
  <c r="AA14" i="90"/>
  <c r="Z14" i="90"/>
  <c r="AG13" i="90"/>
  <c r="AD13" i="90"/>
  <c r="AA13" i="90"/>
  <c r="Z13" i="90"/>
  <c r="AG12" i="90"/>
  <c r="AD12" i="90"/>
  <c r="AA12" i="90"/>
  <c r="Z12" i="90"/>
  <c r="AG11" i="90"/>
  <c r="AD11" i="90"/>
  <c r="AA11" i="90"/>
  <c r="Z11" i="90"/>
  <c r="W11" i="90"/>
  <c r="AG10" i="90"/>
  <c r="AD10" i="90"/>
  <c r="AA10" i="90"/>
  <c r="Z10" i="90"/>
  <c r="W10" i="90"/>
  <c r="AG9" i="90"/>
  <c r="AD9" i="90"/>
  <c r="AA9" i="90"/>
  <c r="Z9" i="90"/>
  <c r="W9" i="90"/>
  <c r="AG8" i="90"/>
  <c r="AD8" i="90"/>
  <c r="AA8" i="90"/>
  <c r="Z8" i="90"/>
  <c r="P8" i="90"/>
  <c r="H8" i="90"/>
  <c r="AG7" i="90"/>
  <c r="AD7" i="90"/>
  <c r="AA7" i="90"/>
  <c r="Z7" i="90"/>
  <c r="O7" i="90"/>
  <c r="N7" i="90"/>
  <c r="M7" i="90"/>
  <c r="G7" i="90"/>
  <c r="F7" i="90"/>
  <c r="E7" i="90"/>
  <c r="AG6" i="90"/>
  <c r="AD6" i="90"/>
  <c r="AA6" i="90"/>
  <c r="Z6" i="90"/>
  <c r="R6" i="90"/>
  <c r="O6" i="90" a="1"/>
  <c r="O6" i="90" s="1"/>
  <c r="N6" i="90" a="1"/>
  <c r="N6" i="90" s="1"/>
  <c r="M6" i="90" a="1"/>
  <c r="M6" i="90" s="1"/>
  <c r="G6" i="90" a="1"/>
  <c r="G6" i="90" s="1"/>
  <c r="F6" i="90" a="1"/>
  <c r="F6" i="90" s="1"/>
  <c r="E6" i="90" a="1"/>
  <c r="E6" i="90" s="1"/>
  <c r="AG5" i="90"/>
  <c r="AD5" i="90"/>
  <c r="AA5" i="90"/>
  <c r="Z5" i="90"/>
  <c r="O5" i="90" a="1"/>
  <c r="O5" i="90" s="1"/>
  <c r="N5" i="90" a="1"/>
  <c r="N5" i="90" s="1"/>
  <c r="M5" i="90" a="1"/>
  <c r="M5" i="90" s="1"/>
  <c r="G5" i="90" a="1"/>
  <c r="G5" i="90" s="1"/>
  <c r="F5" i="90" a="1"/>
  <c r="F5" i="90" s="1"/>
  <c r="E5" i="90" a="1"/>
  <c r="E5" i="90" s="1"/>
  <c r="AG4" i="90"/>
  <c r="AD4" i="90"/>
  <c r="AA4" i="90"/>
  <c r="Z4" i="90"/>
  <c r="W4" i="90"/>
  <c r="P4" i="90"/>
  <c r="H4" i="90"/>
  <c r="AG3" i="90"/>
  <c r="AD3" i="90"/>
  <c r="AD31" i="90" s="1"/>
  <c r="AA3" i="90"/>
  <c r="Z3" i="90"/>
  <c r="W3" i="90"/>
  <c r="H1" i="90" a="1"/>
  <c r="H1" i="90" s="1"/>
  <c r="P5" i="91" l="1"/>
  <c r="AB25" i="91"/>
  <c r="P7" i="91"/>
  <c r="N9" i="91"/>
  <c r="AB19" i="91"/>
  <c r="AB22" i="91"/>
  <c r="AB3" i="91"/>
  <c r="AB7" i="91"/>
  <c r="AB6" i="91"/>
  <c r="AB15" i="91"/>
  <c r="AB21" i="91"/>
  <c r="AB8" i="91"/>
  <c r="AB16" i="91"/>
  <c r="AB13" i="91"/>
  <c r="AB28" i="91"/>
  <c r="AB11" i="91"/>
  <c r="AB14" i="91"/>
  <c r="AB5" i="91"/>
  <c r="AB20" i="91"/>
  <c r="AB23" i="91"/>
  <c r="AB10" i="91"/>
  <c r="AB24" i="91"/>
  <c r="AB27" i="91"/>
  <c r="AB4" i="91"/>
  <c r="AB9" i="91"/>
  <c r="AB12" i="91"/>
  <c r="AB25" i="90"/>
  <c r="P7" i="90"/>
  <c r="AB9" i="90"/>
  <c r="AB4" i="90"/>
  <c r="AB6" i="90"/>
  <c r="AB13" i="90"/>
  <c r="AB8" i="90"/>
  <c r="H7" i="91"/>
  <c r="AB17" i="91"/>
  <c r="H5" i="91"/>
  <c r="AB18" i="91"/>
  <c r="H6" i="91"/>
  <c r="M9" i="91"/>
  <c r="P6" i="91"/>
  <c r="O9" i="91"/>
  <c r="H7" i="90"/>
  <c r="O9" i="90"/>
  <c r="H5" i="90"/>
  <c r="AB15" i="90"/>
  <c r="AB18" i="90"/>
  <c r="AB21" i="90"/>
  <c r="AB10" i="90"/>
  <c r="AB24" i="90"/>
  <c r="AB27" i="90"/>
  <c r="AB3" i="90"/>
  <c r="AB16" i="90"/>
  <c r="AB19" i="90"/>
  <c r="AB22" i="90"/>
  <c r="AB28" i="90"/>
  <c r="AB11" i="90"/>
  <c r="AB14" i="90"/>
  <c r="AB20" i="90"/>
  <c r="AB7" i="90"/>
  <c r="AB23" i="90"/>
  <c r="P5" i="90"/>
  <c r="AB5" i="90"/>
  <c r="AB12" i="90"/>
  <c r="H6" i="90"/>
  <c r="AB17" i="90"/>
  <c r="M9" i="90"/>
  <c r="P6" i="90"/>
  <c r="N9" i="90"/>
  <c r="R8" i="91" l="1" a="1"/>
  <c r="R8" i="91" s="1"/>
  <c r="AB31" i="91"/>
  <c r="P9" i="91"/>
  <c r="P11" i="91"/>
  <c r="R2" i="91" a="1"/>
  <c r="R2" i="91" s="1"/>
  <c r="P12" i="91"/>
  <c r="R2" i="90" a="1"/>
  <c r="R2" i="90" s="1"/>
  <c r="P9" i="90"/>
  <c r="P11" i="90"/>
  <c r="R8" i="90" a="1"/>
  <c r="R8" i="90" s="1"/>
  <c r="P12" i="9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<sst xmlns="http://schemas.openxmlformats.org/spreadsheetml/2006/main" count="4006" uniqueCount="67">
  <si>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</si>
  <si>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</si>
  <si>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</si>
  <si>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</si>
  <si>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</si>
  <si>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</si>
  <si>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</si>
  <si>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</si>
  <si>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</si>
  <si>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</si>
  <si>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</si>
  <si>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</si>
  <si>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</si>
  <si>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</si>
  <si>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</si>
  <si>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</si>
  <si>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</si>
  <si>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</si>
  <si>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</si>
  <si>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</si>
  <si>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</si>
  <si>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</si>
  <si>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</si>
  <si>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</si>
  <si>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</si>
  <si>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</si>
  <si>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</si>
  <si>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</si>
  <si>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</si>
  <si>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</si>
  <si>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</si>
  <si>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</si>
  <si>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</si>
  <si>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</si>
  <si>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</si>
  <si>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</si>
  <si>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</si>
  <si>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</si>
  <si>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</si>
  <si>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</si>
  <si>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</si>
  <si>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</si>
  <si>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</si>
  <si>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</si>
  <si>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</si>
  <si>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</si>
  <si>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</si>
  <si>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</si>
  <si>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</si>
  <si>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</si>
  <si>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</si>
  <si>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</si>
  <si>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</si>
  <si>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</si>
  <si>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</si>
  <si>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</si>
  <si>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</si>
  <si>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</si>
  <si>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</si>
  <si>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</si>
  <si>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</si>
  <si>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</si>
  <si>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</si>
  <si>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</si>
  <si>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飞雷神</t>
  </si>
  <si>
    <t>根据剩余粮草，调整占领的三级地个数，直至粮草小于136</t>
  </si>
  <si>
    <t>1队八卦右路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</si>
</sst>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3" fillId="17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8" borderId="1" xfId="0" applyFont="1" applyFill="1" applyBorder="1"/>
    <xf numFmtId="0" fontId="4" fillId="18" borderId="6" xfId="0" applyFont="1" applyFill="1" applyBorder="1"/>
    <xf numFmtId="0" fontId="5" fillId="18" borderId="1" xfId="0" applyFont="1" applyFill="1" applyBorder="1"/>
    <xf numFmtId="0" fontId="5" fillId="18" borderId="6" xfId="0" applyFont="1" applyFill="1" applyBorder="1"/>
    <xf numFmtId="0" fontId="0" fillId="18" borderId="1" xfId="0" applyFill="1" applyBorder="1"/>
    <xf numFmtId="0" fontId="0" fillId="18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8" borderId="21" xfId="0" applyFont="1" applyFill="1" applyBorder="1"/>
    <xf numFmtId="0" fontId="4" fillId="19" borderId="21" xfId="0" applyFont="1" applyFill="1" applyBorder="1"/>
    <xf numFmtId="0" fontId="4" fillId="19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9" borderId="1" xfId="0" applyFill="1" applyBorder="1"/>
    <xf numFmtId="0" fontId="0" fillId="0" borderId="1" xfId="0" applyFill="1" applyBorder="1"/>
    <xf numFmtId="0" fontId="6" fillId="19" borderId="1" xfId="0" applyFont="1" applyFill="1" applyBorder="1"/>
    <xf numFmtId="0" fontId="8" fillId="18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9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8" borderId="6" xfId="0" applyFont="1" applyFill="1" applyBorder="1"/>
    <xf numFmtId="0" fontId="1" fillId="20" borderId="1" xfId="0" applyFont="1" applyFill="1" applyBorder="1"/>
    <xf numFmtId="0" fontId="1" fillId="21" borderId="1" xfId="0" applyFont="1" applyFill="1" applyBorder="1"/>
    <xf numFmtId="0" fontId="1" fillId="3" borderId="5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4" fillId="18" borderId="14" xfId="0" applyFont="1" applyFill="1" applyBorder="1" applyAlignment="1">
      <alignment horizontal="center"/>
    </xf>
    <xf numFmtId="0" fontId="4" fillId="18" borderId="15" xfId="0" applyFont="1" applyFill="1" applyBorder="1" applyAlignment="1">
      <alignment horizontal="center"/>
    </xf>
    <xf numFmtId="0" fontId="4" fillId="18" borderId="16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94873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C0F25-CB75-42C2-BC80-D93381947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96949" y="251907"/>
          <a:ext cx="6536716" cy="57179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C0488-A5D8-4351-85E2-C370FDD7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0759" y="257622"/>
          <a:ext cx="6532906" cy="5660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94873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7422E-1849-4FB0-A6EB-93A51F2BD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96949" y="251907"/>
          <a:ext cx="6536716" cy="57179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94873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29765-4893-4C18-B7F3-6512F4066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91159" y="257622"/>
          <a:ext cx="6532906" cy="56570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AE9F1-F8D6-4D0C-A96A-3FA385A9C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87349" y="251907"/>
          <a:ext cx="6536716" cy="57332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ADDAB-7338-477E-98CD-8E1274B77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87349" y="251907"/>
          <a:ext cx="6536716" cy="5717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073B-D1C0-48AF-8A1F-06368964D36B}">
  <dimension ref="A1:AE100"/>
  <sheetViews>
    <sheetView tabSelected="1" zoomScale="85" zoomScaleNormal="85" workbookViewId="0">
      <selection activeCell="D29" sqref="D29"/>
    </sheetView>
  </sheetViews>
  <sheetFormatPr defaultRowHeight="14.4" x14ac:dyDescent="0.3"/>
  <cols>
    <col min="23" max="23" width="8.88671875" customWidth="1"/>
  </cols>
  <sheetData>
    <row r="1" spans="1:31" ht="15.6" x14ac:dyDescent="0.3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2719.9975338640361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31" ht="28.8" x14ac:dyDescent="0.3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64920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1" x14ac:dyDescent="0.3">
      <c r="A3" s="60" t="s">
        <v>31</v>
      </c>
      <c r="B3" s="58" t="s">
        <v>32</v>
      </c>
      <c r="C3" s="59" t="s">
        <v>33</v>
      </c>
      <c r="D3" s="32"/>
      <c r="E3" s="60" t="s">
        <v>31</v>
      </c>
      <c r="F3" s="58" t="s">
        <v>32</v>
      </c>
      <c r="G3" s="59" t="s">
        <v>33</v>
      </c>
      <c r="H3" s="33" t="s">
        <v>36</v>
      </c>
      <c r="I3" s="60" t="s">
        <v>31</v>
      </c>
      <c r="J3" s="58" t="s">
        <v>32</v>
      </c>
      <c r="K3" s="59" t="s">
        <v>33</v>
      </c>
      <c r="L3" s="32"/>
      <c r="M3" s="60" t="s">
        <v>31</v>
      </c>
      <c r="N3" s="58" t="s">
        <v>32</v>
      </c>
      <c r="O3" s="59" t="s">
        <v>33</v>
      </c>
      <c r="P3" s="33" t="s">
        <v>36</v>
      </c>
      <c r="Q3" s="52" t="s">
        <v>49</v>
      </c>
      <c r="R3" s="25">
        <v>90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14</v>
      </c>
      <c r="Z3" s="1">
        <f>COUNTIF($A$4:$C$100,T3)</f>
        <v>9</v>
      </c>
      <c r="AA3" s="1">
        <f>COUNTIF($I$4:$K$100,T3)</f>
        <v>5</v>
      </c>
      <c r="AB3" s="53">
        <f>Y3-Z3-AA3</f>
        <v>0</v>
      </c>
      <c r="AD3" s="45">
        <v>12</v>
      </c>
      <c r="AE3">
        <f>Y3-AD3</f>
        <v>2</v>
      </c>
    </row>
    <row r="4" spans="1:31" x14ac:dyDescent="0.3">
      <c r="A4" s="2" t="s">
        <v>4</v>
      </c>
      <c r="B4" s="1" t="s">
        <v>27</v>
      </c>
      <c r="C4" s="3" t="s">
        <v>5</v>
      </c>
      <c r="D4" s="42" t="s">
        <v>34</v>
      </c>
      <c r="E4" s="38">
        <v>5</v>
      </c>
      <c r="F4" s="38">
        <v>0</v>
      </c>
      <c r="G4" s="38">
        <v>17</v>
      </c>
      <c r="H4" s="35">
        <f>SUM(E4:G4)</f>
        <v>22</v>
      </c>
      <c r="I4" s="3" t="s">
        <v>5</v>
      </c>
      <c r="J4" s="15" t="s">
        <v>17</v>
      </c>
      <c r="K4" s="15" t="s">
        <v>17</v>
      </c>
      <c r="L4" s="42" t="s">
        <v>34</v>
      </c>
      <c r="M4" s="38">
        <v>2</v>
      </c>
      <c r="N4" s="38">
        <v>4</v>
      </c>
      <c r="O4" s="38">
        <v>4</v>
      </c>
      <c r="P4" s="35">
        <f>SUM(M4:O4)</f>
        <v>10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32</v>
      </c>
      <c r="Z4" s="1">
        <f t="shared" ref="Z4:Z28" si="1">COUNTIF($A$4:$C$100,T4)</f>
        <v>8</v>
      </c>
      <c r="AA4" s="1">
        <f t="shared" ref="AA4:AA28" si="2">COUNTIF($I$4:$K$100,T4)</f>
        <v>22</v>
      </c>
      <c r="AB4" s="53">
        <f t="shared" ref="AB4:AB28" si="3">Y4-Z4-AA4</f>
        <v>2</v>
      </c>
      <c r="AD4" s="45">
        <v>29</v>
      </c>
      <c r="AE4">
        <f t="shared" ref="AE4:AE28" si="4">Y4-AD4</f>
        <v>3</v>
      </c>
    </row>
    <row r="5" spans="1:31" x14ac:dyDescent="0.3">
      <c r="A5" s="2" t="s">
        <v>4</v>
      </c>
      <c r="B5" s="2" t="s">
        <v>4</v>
      </c>
      <c r="C5" s="3" t="s">
        <v>5</v>
      </c>
      <c r="D5" s="32" t="s">
        <v>38</v>
      </c>
      <c r="E5" s="34" cm="1">
        <f t="array" ref="E5">(SUM(VLOOKUP(A4:A100,$T$3:$W$41,2,FALSE))+E4*10)-E8*50</f>
        <v>4470</v>
      </c>
      <c r="F5" s="34" cm="1">
        <f t="array" ref="F5">(SUM(VLOOKUP(B4:B100,$T$3:$W$41,2,FALSE))+F4*10)-F8*50</f>
        <v>670</v>
      </c>
      <c r="G5" s="34" cm="1">
        <f t="array" ref="G5">(SUM(VLOOKUP(C4:C100,$T$3:$W$41,2,FALSE))+G4*10)-G8*50</f>
        <v>7820</v>
      </c>
      <c r="H5" s="57">
        <f t="shared" ref="H5:H8" si="5">SUM(E5:G5)</f>
        <v>12960</v>
      </c>
      <c r="I5" s="15" t="s">
        <v>17</v>
      </c>
      <c r="J5" s="1" t="s">
        <v>27</v>
      </c>
      <c r="K5" s="16" t="s">
        <v>28</v>
      </c>
      <c r="L5" s="32" t="s">
        <v>38</v>
      </c>
      <c r="M5" s="34" cm="1">
        <f t="array" ref="M5">(SUM(VLOOKUP(I4:I100,$T$3:$W$41,2,FALSE))+M4*10)*0.8-M8*40</f>
        <v>1440</v>
      </c>
      <c r="N5" s="34" cm="1">
        <f t="array" ref="N5">(SUM(VLOOKUP(J4:J100,$T$3:$W$41,2,FALSE))+N4*10)*0.8-N8*40</f>
        <v>752</v>
      </c>
      <c r="O5" s="34" cm="1">
        <f t="array" ref="O5">(SUM(VLOOKUP(K4:K100,$T$3:$W$41,2,FALSE))+O4*10)*0.8-O8*40</f>
        <v>1584</v>
      </c>
      <c r="P5" s="57">
        <f>SUM(M5:O5)</f>
        <v>3776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233</v>
      </c>
      <c r="Z5" s="1">
        <f t="shared" si="1"/>
        <v>48</v>
      </c>
      <c r="AA5" s="1">
        <f t="shared" si="2"/>
        <v>0</v>
      </c>
      <c r="AB5" s="53">
        <f t="shared" si="3"/>
        <v>185</v>
      </c>
      <c r="AD5" s="45">
        <v>237</v>
      </c>
      <c r="AE5">
        <f t="shared" si="4"/>
        <v>-4</v>
      </c>
    </row>
    <row r="6" spans="1:31" x14ac:dyDescent="0.3">
      <c r="A6" s="2" t="s">
        <v>4</v>
      </c>
      <c r="B6" s="15" t="s">
        <v>17</v>
      </c>
      <c r="C6" s="9" t="s">
        <v>11</v>
      </c>
      <c r="D6" s="32" t="s">
        <v>39</v>
      </c>
      <c r="E6" s="34" cm="1">
        <f t="array" ref="E6">(SUM(VLOOKUP(A4:A100,$T$3:$W$41,3,FALSE)))</f>
        <v>1440</v>
      </c>
      <c r="F6" s="34" cm="1">
        <f t="array" ref="F6">(SUM(VLOOKUP(B4:B100,$T$3:$W$41,3,FALSE)))</f>
        <v>180</v>
      </c>
      <c r="G6" s="34" cm="1">
        <f t="array" ref="G6">(SUM(VLOOKUP(C4:C100,$T$3:$W$41,3,FALSE)))</f>
        <v>2640</v>
      </c>
      <c r="H6" s="48">
        <f t="shared" si="5"/>
        <v>4260</v>
      </c>
      <c r="I6" s="3" t="s">
        <v>5</v>
      </c>
      <c r="J6" s="15" t="s">
        <v>17</v>
      </c>
      <c r="K6" s="3" t="s">
        <v>5</v>
      </c>
      <c r="L6" s="32" t="s">
        <v>39</v>
      </c>
      <c r="M6" s="34" cm="1">
        <f t="array" ref="M6">(SUM(VLOOKUP(I4:I100,$T$3:$W$41,3,FALSE)))</f>
        <v>1035</v>
      </c>
      <c r="N6" s="34" cm="1">
        <f t="array" ref="N6">(SUM(VLOOKUP(J4:J100,$T$3:$W$41,3,FALSE)))</f>
        <v>355</v>
      </c>
      <c r="O6" s="34" cm="1">
        <f t="array" ref="O6">(SUM(VLOOKUP(K4:K100,$T$3:$W$41,3,FALSE)))</f>
        <v>645</v>
      </c>
      <c r="P6" s="48">
        <f t="shared" ref="P6:P9" si="6">SUM(M6:O6)</f>
        <v>2035</v>
      </c>
      <c r="Q6" s="49" t="s">
        <v>52</v>
      </c>
      <c r="R6" s="25">
        <f>R3*1600-800+R5</f>
        <v>149200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276</v>
      </c>
      <c r="Y6" s="45">
        <v>276</v>
      </c>
      <c r="Z6" s="1">
        <f t="shared" si="1"/>
        <v>0</v>
      </c>
      <c r="AA6" s="1">
        <f t="shared" si="2"/>
        <v>0</v>
      </c>
      <c r="AB6" s="53">
        <f t="shared" si="3"/>
        <v>276</v>
      </c>
      <c r="AD6" s="45">
        <v>276</v>
      </c>
      <c r="AE6">
        <f t="shared" si="4"/>
        <v>0</v>
      </c>
    </row>
    <row r="7" spans="1:31" x14ac:dyDescent="0.3">
      <c r="A7" s="2" t="s">
        <v>4</v>
      </c>
      <c r="B7" s="2" t="s">
        <v>4</v>
      </c>
      <c r="C7" s="4" t="s">
        <v>6</v>
      </c>
      <c r="D7" s="32" t="s">
        <v>40</v>
      </c>
      <c r="E7" s="34">
        <f>COUNTIF(A4:A100,"&lt;&gt;空")</f>
        <v>30</v>
      </c>
      <c r="F7" s="34">
        <f>COUNTIF(B4:B100,"&lt;&gt;空")</f>
        <v>5</v>
      </c>
      <c r="G7" s="34">
        <f>COUNTIF(C4:C100,"&lt;&gt;空")</f>
        <v>51</v>
      </c>
      <c r="H7" s="35">
        <f t="shared" si="5"/>
        <v>86</v>
      </c>
      <c r="I7" s="3" t="s">
        <v>5</v>
      </c>
      <c r="J7" s="3" t="s">
        <v>5</v>
      </c>
      <c r="K7" s="3" t="s">
        <v>5</v>
      </c>
      <c r="L7" s="32" t="s">
        <v>40</v>
      </c>
      <c r="M7" s="34">
        <f>COUNTIF(I4:I100,"&lt;&gt;空")</f>
        <v>15</v>
      </c>
      <c r="N7" s="34">
        <f>COUNTIF(J4:J100,"&lt;&gt;空")</f>
        <v>11</v>
      </c>
      <c r="O7" s="34">
        <f>COUNTIF(K4:K100,"&lt;&gt;空")</f>
        <v>19</v>
      </c>
      <c r="P7" s="35">
        <f t="shared" si="6"/>
        <v>45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237</v>
      </c>
      <c r="Y7" s="45">
        <v>237</v>
      </c>
      <c r="Z7" s="1">
        <f t="shared" si="1"/>
        <v>0</v>
      </c>
      <c r="AA7" s="1">
        <f t="shared" si="2"/>
        <v>0</v>
      </c>
      <c r="AB7" s="53">
        <f t="shared" si="3"/>
        <v>237</v>
      </c>
      <c r="AD7" s="45">
        <v>237</v>
      </c>
      <c r="AE7">
        <f t="shared" si="4"/>
        <v>0</v>
      </c>
    </row>
    <row r="8" spans="1:31" x14ac:dyDescent="0.3">
      <c r="A8" s="2" t="s">
        <v>4</v>
      </c>
      <c r="B8" s="3" t="s">
        <v>5</v>
      </c>
      <c r="C8" s="4" t="s">
        <v>6</v>
      </c>
      <c r="D8" s="41" t="s">
        <v>64</v>
      </c>
      <c r="E8" s="40">
        <v>0</v>
      </c>
      <c r="F8" s="40">
        <v>0</v>
      </c>
      <c r="G8" s="40">
        <v>0</v>
      </c>
      <c r="H8" s="35">
        <f t="shared" si="5"/>
        <v>0</v>
      </c>
      <c r="I8" s="15" t="s">
        <v>17</v>
      </c>
      <c r="J8" s="16" t="s">
        <v>28</v>
      </c>
      <c r="K8" s="15" t="s">
        <v>17</v>
      </c>
      <c r="L8" s="41" t="s">
        <v>64</v>
      </c>
      <c r="M8" s="40">
        <v>1</v>
      </c>
      <c r="N8" s="40">
        <v>1</v>
      </c>
      <c r="O8" s="40">
        <v>1</v>
      </c>
      <c r="P8" s="35">
        <f t="shared" si="6"/>
        <v>3</v>
      </c>
      <c r="Q8" s="49" t="s">
        <v>53</v>
      </c>
      <c r="R8" s="54" cm="1">
        <f t="array" ref="R8">R6-P5-H5-SUM(U3:U28*AB3:AB28)*0.8-R7*8</f>
        <v>0</v>
      </c>
      <c r="S8" s="25"/>
      <c r="T8" s="7" t="s">
        <v>9</v>
      </c>
      <c r="U8" s="1">
        <v>200</v>
      </c>
      <c r="V8" s="1">
        <v>60</v>
      </c>
      <c r="W8" s="44"/>
      <c r="X8" s="45">
        <v>187</v>
      </c>
      <c r="Y8" s="45">
        <v>187</v>
      </c>
      <c r="Z8" s="1">
        <f t="shared" si="1"/>
        <v>0</v>
      </c>
      <c r="AA8" s="1">
        <f t="shared" si="2"/>
        <v>0</v>
      </c>
      <c r="AB8" s="53">
        <f t="shared" si="3"/>
        <v>187</v>
      </c>
      <c r="AD8" s="45">
        <v>187</v>
      </c>
      <c r="AE8">
        <f t="shared" si="4"/>
        <v>0</v>
      </c>
    </row>
    <row r="9" spans="1:31" x14ac:dyDescent="0.3">
      <c r="A9" s="15" t="s">
        <v>17</v>
      </c>
      <c r="B9" s="3" t="s">
        <v>5</v>
      </c>
      <c r="C9" s="4" t="s">
        <v>6</v>
      </c>
      <c r="D9" s="25"/>
      <c r="E9" s="25"/>
      <c r="F9" s="25"/>
      <c r="G9" s="25"/>
      <c r="H9" s="26"/>
      <c r="I9" s="3" t="s">
        <v>5</v>
      </c>
      <c r="J9" s="3" t="s">
        <v>5</v>
      </c>
      <c r="K9" s="3" t="s">
        <v>5</v>
      </c>
      <c r="L9" s="32" t="s">
        <v>42</v>
      </c>
      <c r="M9" s="36">
        <f>M6/M5</f>
        <v>0.71875</v>
      </c>
      <c r="N9" s="36">
        <f>N6/N5</f>
        <v>0.47207446808510639</v>
      </c>
      <c r="O9" s="36">
        <f>O6/O5</f>
        <v>0.40719696969696972</v>
      </c>
      <c r="P9" s="37">
        <f>P6/P5</f>
        <v>0.53893008474576276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0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D9" s="45">
        <v>0</v>
      </c>
      <c r="AE9">
        <f t="shared" si="4"/>
        <v>0</v>
      </c>
    </row>
    <row r="10" spans="1:31" x14ac:dyDescent="0.3">
      <c r="A10" s="2" t="s">
        <v>4</v>
      </c>
      <c r="B10" s="1" t="s">
        <v>27</v>
      </c>
      <c r="C10" s="17" t="s">
        <v>20</v>
      </c>
      <c r="D10" s="25"/>
      <c r="E10" s="25"/>
      <c r="F10" s="25"/>
      <c r="G10" s="25"/>
      <c r="H10" s="26"/>
      <c r="I10" s="23" t="s">
        <v>29</v>
      </c>
      <c r="J10" s="3" t="s">
        <v>5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2</v>
      </c>
      <c r="Z10" s="1">
        <f t="shared" si="1"/>
        <v>1</v>
      </c>
      <c r="AA10" s="1">
        <f t="shared" si="2"/>
        <v>1</v>
      </c>
      <c r="AB10" s="53">
        <f t="shared" si="3"/>
        <v>0</v>
      </c>
      <c r="AD10" s="45">
        <v>2</v>
      </c>
      <c r="AE10">
        <f t="shared" si="4"/>
        <v>0</v>
      </c>
    </row>
    <row r="11" spans="1:31" x14ac:dyDescent="0.3">
      <c r="A11" s="2" t="s">
        <v>4</v>
      </c>
      <c r="B11" s="1" t="s">
        <v>27</v>
      </c>
      <c r="C11" s="15" t="s">
        <v>17</v>
      </c>
      <c r="D11" s="25"/>
      <c r="E11" s="25"/>
      <c r="F11" s="25"/>
      <c r="G11" s="25"/>
      <c r="H11" s="26"/>
      <c r="I11" s="3" t="s">
        <v>5</v>
      </c>
      <c r="J11" s="3" t="s">
        <v>5</v>
      </c>
      <c r="K11" s="3" t="s">
        <v>5</v>
      </c>
      <c r="L11" s="25"/>
      <c r="M11" s="25"/>
      <c r="N11" s="25"/>
      <c r="O11" s="25"/>
      <c r="P11" s="26">
        <f>H5+P5</f>
        <v>16736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D11" s="45">
        <v>6</v>
      </c>
      <c r="AE11">
        <f t="shared" si="4"/>
        <v>0</v>
      </c>
    </row>
    <row r="12" spans="1:31" x14ac:dyDescent="0.3">
      <c r="A12" s="3" t="s">
        <v>5</v>
      </c>
      <c r="B12" s="1" t="s">
        <v>27</v>
      </c>
      <c r="C12" s="4" t="s">
        <v>6</v>
      </c>
      <c r="D12" s="25"/>
      <c r="E12" s="25"/>
      <c r="F12" s="25"/>
      <c r="G12" s="25"/>
      <c r="H12" s="26"/>
      <c r="I12" s="3" t="s">
        <v>5</v>
      </c>
      <c r="J12" s="15" t="s">
        <v>17</v>
      </c>
      <c r="K12" s="2" t="s">
        <v>4</v>
      </c>
      <c r="L12" s="25"/>
      <c r="M12" s="25"/>
      <c r="N12" s="25"/>
      <c r="O12" s="25"/>
      <c r="P12" s="26">
        <f>H6+P6</f>
        <v>6295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D12" s="45">
        <v>3</v>
      </c>
      <c r="AE12">
        <f t="shared" si="4"/>
        <v>0</v>
      </c>
    </row>
    <row r="13" spans="1:31" x14ac:dyDescent="0.3">
      <c r="A13" s="3" t="s">
        <v>5</v>
      </c>
      <c r="B13" s="1" t="s">
        <v>27</v>
      </c>
      <c r="C13" s="16" t="s">
        <v>18</v>
      </c>
      <c r="D13" s="25"/>
      <c r="E13" s="25"/>
      <c r="F13" s="25"/>
      <c r="G13" s="25"/>
      <c r="H13" s="26"/>
      <c r="I13" s="3" t="s">
        <v>5</v>
      </c>
      <c r="J13" s="3" t="s">
        <v>5</v>
      </c>
      <c r="K13" s="15" t="s">
        <v>17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D13" s="45">
        <v>3</v>
      </c>
      <c r="AE13">
        <f t="shared" si="4"/>
        <v>0</v>
      </c>
    </row>
    <row r="14" spans="1:31" x14ac:dyDescent="0.3">
      <c r="A14" s="15" t="s">
        <v>17</v>
      </c>
      <c r="B14" s="1" t="s">
        <v>27</v>
      </c>
      <c r="C14" s="4" t="s">
        <v>6</v>
      </c>
      <c r="D14" s="25"/>
      <c r="E14" s="25"/>
      <c r="F14" s="25"/>
      <c r="G14" s="25"/>
      <c r="H14" s="26"/>
      <c r="I14" s="2" t="s">
        <v>4</v>
      </c>
      <c r="J14" s="2" t="s">
        <v>4</v>
      </c>
      <c r="K14" s="1" t="s">
        <v>27</v>
      </c>
      <c r="L14" s="25"/>
      <c r="M14" s="25"/>
      <c r="N14" s="25"/>
      <c r="O14" s="25"/>
      <c r="P14" s="26"/>
      <c r="Q14" s="49"/>
      <c r="R14" s="25">
        <f>R6-13320</f>
        <v>135880</v>
      </c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D14" s="45">
        <v>1</v>
      </c>
      <c r="AE14">
        <f t="shared" si="4"/>
        <v>0</v>
      </c>
    </row>
    <row r="15" spans="1:31" x14ac:dyDescent="0.3">
      <c r="A15" s="3" t="s">
        <v>5</v>
      </c>
      <c r="B15" s="1" t="s">
        <v>27</v>
      </c>
      <c r="C15" s="4" t="s">
        <v>6</v>
      </c>
      <c r="D15" s="25"/>
      <c r="E15" s="25"/>
      <c r="F15" s="25"/>
      <c r="G15" s="25"/>
      <c r="H15" s="26"/>
      <c r="I15" s="15" t="s">
        <v>17</v>
      </c>
      <c r="J15" s="15" t="s">
        <v>17</v>
      </c>
      <c r="K15" s="3" t="s">
        <v>5</v>
      </c>
      <c r="L15" s="25"/>
      <c r="M15" s="25"/>
      <c r="N15" s="25"/>
      <c r="O15" s="25"/>
      <c r="P15" s="26"/>
      <c r="Q15" s="49"/>
      <c r="R15" s="25">
        <f>R14/8</f>
        <v>16985</v>
      </c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D15" s="45">
        <v>0</v>
      </c>
      <c r="AE15">
        <f t="shared" si="4"/>
        <v>0</v>
      </c>
    </row>
    <row r="16" spans="1:31" x14ac:dyDescent="0.3">
      <c r="A16" s="3" t="s">
        <v>5</v>
      </c>
      <c r="B16" s="1" t="s">
        <v>27</v>
      </c>
      <c r="C16" s="17" t="s">
        <v>20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15" t="s">
        <v>17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40</v>
      </c>
      <c r="Z16" s="1">
        <f t="shared" si="1"/>
        <v>7</v>
      </c>
      <c r="AA16" s="1">
        <f t="shared" si="2"/>
        <v>14</v>
      </c>
      <c r="AB16" s="53">
        <f t="shared" si="3"/>
        <v>19</v>
      </c>
      <c r="AD16" s="45">
        <v>40</v>
      </c>
      <c r="AE16">
        <f t="shared" si="4"/>
        <v>0</v>
      </c>
    </row>
    <row r="17" spans="1:31" x14ac:dyDescent="0.3">
      <c r="A17" s="16" t="s">
        <v>18</v>
      </c>
      <c r="B17" s="1" t="s">
        <v>27</v>
      </c>
      <c r="C17" s="4" t="s">
        <v>6</v>
      </c>
      <c r="D17" s="25"/>
      <c r="E17" s="25"/>
      <c r="F17" s="25"/>
      <c r="G17" s="25"/>
      <c r="H17" s="26"/>
      <c r="I17" s="9" t="s">
        <v>11</v>
      </c>
      <c r="J17" s="1" t="s">
        <v>27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3</v>
      </c>
      <c r="Z17" s="1">
        <f t="shared" si="1"/>
        <v>3</v>
      </c>
      <c r="AA17" s="1">
        <f t="shared" si="2"/>
        <v>0</v>
      </c>
      <c r="AB17" s="53">
        <f t="shared" si="3"/>
        <v>0</v>
      </c>
      <c r="AD17" s="45">
        <v>2</v>
      </c>
      <c r="AE17">
        <f t="shared" si="4"/>
        <v>1</v>
      </c>
    </row>
    <row r="18" spans="1:31" x14ac:dyDescent="0.3">
      <c r="A18" s="4" t="s">
        <v>6</v>
      </c>
      <c r="B18" s="1" t="s">
        <v>27</v>
      </c>
      <c r="C18" s="4" t="s">
        <v>6</v>
      </c>
      <c r="D18" s="25"/>
      <c r="E18" s="25"/>
      <c r="F18" s="25"/>
      <c r="G18" s="25"/>
      <c r="H18" s="26"/>
      <c r="I18" s="3" t="s">
        <v>5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D18" s="45">
        <v>3</v>
      </c>
      <c r="AE18">
        <f t="shared" si="4"/>
        <v>0</v>
      </c>
    </row>
    <row r="19" spans="1:31" x14ac:dyDescent="0.3">
      <c r="A19" s="4" t="s">
        <v>6</v>
      </c>
      <c r="B19" s="1" t="s">
        <v>27</v>
      </c>
      <c r="C19" s="4" t="s">
        <v>6</v>
      </c>
      <c r="D19" s="25"/>
      <c r="E19" s="25"/>
      <c r="F19" s="25"/>
      <c r="G19" s="25"/>
      <c r="H19" s="26"/>
      <c r="I19" s="15" t="s">
        <v>17</v>
      </c>
      <c r="J19" s="1" t="s">
        <v>27</v>
      </c>
      <c r="K19" s="3" t="s">
        <v>5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D19" s="45">
        <v>5</v>
      </c>
      <c r="AE19">
        <f t="shared" si="4"/>
        <v>0</v>
      </c>
    </row>
    <row r="20" spans="1:31" x14ac:dyDescent="0.3">
      <c r="A20" s="4" t="s">
        <v>6</v>
      </c>
      <c r="B20" s="1" t="s">
        <v>27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15" t="s">
        <v>17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D20" s="45">
        <v>0</v>
      </c>
      <c r="AE20">
        <f t="shared" si="4"/>
        <v>0</v>
      </c>
    </row>
    <row r="21" spans="1:31" x14ac:dyDescent="0.3">
      <c r="A21" s="4" t="s">
        <v>6</v>
      </c>
      <c r="B21" s="1" t="s">
        <v>27</v>
      </c>
      <c r="C21" s="1" t="s">
        <v>27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2" t="s">
        <v>4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D21" s="45">
        <v>2</v>
      </c>
      <c r="AE21">
        <f t="shared" si="4"/>
        <v>0</v>
      </c>
    </row>
    <row r="22" spans="1:31" x14ac:dyDescent="0.3">
      <c r="A22" s="17" t="s">
        <v>19</v>
      </c>
      <c r="B22" s="1" t="s">
        <v>27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2" t="s">
        <v>4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D22" s="45">
        <v>2</v>
      </c>
      <c r="AE22">
        <f t="shared" si="4"/>
        <v>0</v>
      </c>
    </row>
    <row r="23" spans="1:31" x14ac:dyDescent="0.3">
      <c r="A23" s="4" t="s">
        <v>6</v>
      </c>
      <c r="B23" s="1" t="s">
        <v>27</v>
      </c>
      <c r="C23" s="15" t="s">
        <v>17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15" t="s">
        <v>17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D23" s="45">
        <v>0</v>
      </c>
      <c r="AE23">
        <f t="shared" si="4"/>
        <v>0</v>
      </c>
    </row>
    <row r="24" spans="1:31" x14ac:dyDescent="0.3">
      <c r="A24" s="4" t="s">
        <v>6</v>
      </c>
      <c r="B24" s="1" t="s">
        <v>27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D24" s="45">
        <v>0</v>
      </c>
      <c r="AE24">
        <f t="shared" si="4"/>
        <v>0</v>
      </c>
    </row>
    <row r="25" spans="1:31" x14ac:dyDescent="0.3">
      <c r="A25" s="10" t="s">
        <v>12</v>
      </c>
      <c r="B25" s="1" t="s">
        <v>27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D25" s="45">
        <v>0</v>
      </c>
      <c r="AE25">
        <f t="shared" si="4"/>
        <v>0</v>
      </c>
    </row>
    <row r="26" spans="1:31" x14ac:dyDescent="0.3">
      <c r="A26" s="4" t="s">
        <v>6</v>
      </c>
      <c r="B26" s="1" t="s">
        <v>27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 s="45">
        <v>0</v>
      </c>
      <c r="AE26">
        <f t="shared" si="4"/>
        <v>0</v>
      </c>
    </row>
    <row r="27" spans="1:31" x14ac:dyDescent="0.3">
      <c r="A27" s="4" t="s">
        <v>6</v>
      </c>
      <c r="B27" s="1" t="s">
        <v>27</v>
      </c>
      <c r="C27" s="17" t="s">
        <v>19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12</v>
      </c>
      <c r="Y27" s="45">
        <v>12</v>
      </c>
      <c r="Z27" s="1">
        <f t="shared" si="1"/>
        <v>0</v>
      </c>
      <c r="AA27" s="1">
        <f t="shared" si="2"/>
        <v>2</v>
      </c>
      <c r="AB27" s="53">
        <f t="shared" si="3"/>
        <v>10</v>
      </c>
      <c r="AD27" s="45">
        <v>13</v>
      </c>
      <c r="AE27">
        <f t="shared" si="4"/>
        <v>-1</v>
      </c>
    </row>
    <row r="28" spans="1:31" x14ac:dyDescent="0.3">
      <c r="A28" s="1" t="s">
        <v>27</v>
      </c>
      <c r="B28" s="1" t="s">
        <v>27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D28" s="45">
        <v>3</v>
      </c>
      <c r="AE28">
        <f t="shared" si="4"/>
        <v>0</v>
      </c>
    </row>
    <row r="29" spans="1:31" ht="15" thickBot="1" x14ac:dyDescent="0.35">
      <c r="A29" s="4" t="s">
        <v>6</v>
      </c>
      <c r="B29" s="1" t="s">
        <v>27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31" x14ac:dyDescent="0.3">
      <c r="A30" s="4" t="s">
        <v>6</v>
      </c>
      <c r="B30" s="1" t="s">
        <v>27</v>
      </c>
      <c r="C30" s="10" t="s">
        <v>12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31" x14ac:dyDescent="0.3">
      <c r="A31" s="4" t="s">
        <v>6</v>
      </c>
      <c r="B31" s="1" t="s">
        <v>27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1064</v>
      </c>
      <c r="AB31">
        <f>SUM(AB3:AB28)</f>
        <v>933</v>
      </c>
    </row>
    <row r="32" spans="1:31" x14ac:dyDescent="0.3">
      <c r="A32" s="4" t="s">
        <v>6</v>
      </c>
      <c r="B32" s="1" t="s">
        <v>27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4" t="s">
        <v>6</v>
      </c>
      <c r="B33" s="1" t="s">
        <v>27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7" t="s">
        <v>20</v>
      </c>
      <c r="B34" s="1" t="s">
        <v>27</v>
      </c>
      <c r="C34" s="1" t="s">
        <v>27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5" t="s">
        <v>17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17" t="s">
        <v>19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16" t="s">
        <v>18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4" t="s">
        <v>6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4" t="s">
        <v>6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4" t="s">
        <v>6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7" t="s">
        <v>20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4" t="s">
        <v>6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5" t="s">
        <v>17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4" t="s">
        <v>6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4" t="s">
        <v>6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1" t="s">
        <v>27</v>
      </c>
      <c r="B56" s="1" t="s">
        <v>27</v>
      </c>
      <c r="C56" s="4" t="s">
        <v>6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1" t="s">
        <v>27</v>
      </c>
      <c r="B57" s="1" t="s">
        <v>27</v>
      </c>
      <c r="C57" s="17" t="s">
        <v>20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1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1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1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1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1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1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1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1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1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1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1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1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1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1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1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1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1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1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1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1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1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1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1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1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1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1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1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1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1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1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1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1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1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1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1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1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1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1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1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1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8BE9-5F80-46AF-B778-E2BF7F924171}">
  <dimension ref="A1:AG100"/>
  <sheetViews>
    <sheetView topLeftCell="H1" zoomScale="85" zoomScaleNormal="85" workbookViewId="0">
      <selection activeCell="R22" sqref="R22"/>
    </sheetView>
  </sheetViews>
  <sheetFormatPr defaultRowHeight="14.4" x14ac:dyDescent="0.3"/>
  <cols>
    <col min="23" max="23" width="8.88671875" customWidth="1"/>
  </cols>
  <sheetData>
    <row r="1" spans="1:33" ht="15.6" x14ac:dyDescent="0.3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2624.6651676428455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  <c r="AD1" t="s">
        <v>66</v>
      </c>
    </row>
    <row r="2" spans="1:33" ht="28.8" x14ac:dyDescent="0.3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64920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  <c r="AF2" t="s">
        <v>55</v>
      </c>
    </row>
    <row r="3" spans="1:33" x14ac:dyDescent="0.3">
      <c r="A3" s="60" t="s">
        <v>31</v>
      </c>
      <c r="B3" s="58" t="s">
        <v>32</v>
      </c>
      <c r="C3" s="59" t="s">
        <v>33</v>
      </c>
      <c r="D3" s="32"/>
      <c r="E3" s="60" t="s">
        <v>31</v>
      </c>
      <c r="F3" s="58" t="s">
        <v>32</v>
      </c>
      <c r="G3" s="59" t="s">
        <v>33</v>
      </c>
      <c r="H3" s="33" t="s">
        <v>36</v>
      </c>
      <c r="I3" s="60" t="s">
        <v>31</v>
      </c>
      <c r="J3" s="58" t="s">
        <v>32</v>
      </c>
      <c r="K3" s="59" t="s">
        <v>33</v>
      </c>
      <c r="L3" s="32"/>
      <c r="M3" s="60" t="s">
        <v>31</v>
      </c>
      <c r="N3" s="58" t="s">
        <v>32</v>
      </c>
      <c r="O3" s="59" t="s">
        <v>33</v>
      </c>
      <c r="P3" s="33" t="s">
        <v>36</v>
      </c>
      <c r="Q3" s="52" t="s">
        <v>49</v>
      </c>
      <c r="R3" s="25">
        <v>90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12</v>
      </c>
      <c r="Z3" s="1">
        <f>COUNTIF($A$4:$C$100,T3)</f>
        <v>5</v>
      </c>
      <c r="AA3" s="1">
        <f>COUNTIF($I$4:$K$100,T3)</f>
        <v>7</v>
      </c>
      <c r="AB3" s="53">
        <f>Y3-Z3-AA3</f>
        <v>0</v>
      </c>
      <c r="AC3">
        <v>24</v>
      </c>
      <c r="AD3">
        <f>AC3*V3</f>
        <v>840</v>
      </c>
      <c r="AF3">
        <v>14</v>
      </c>
      <c r="AG3">
        <f>AF3-Y3</f>
        <v>2</v>
      </c>
    </row>
    <row r="4" spans="1:33" x14ac:dyDescent="0.3">
      <c r="A4" s="2" t="s">
        <v>4</v>
      </c>
      <c r="B4" s="3" t="s">
        <v>5</v>
      </c>
      <c r="C4" s="4" t="s">
        <v>6</v>
      </c>
      <c r="D4" s="42" t="s">
        <v>34</v>
      </c>
      <c r="E4" s="38">
        <v>0</v>
      </c>
      <c r="F4" s="38">
        <v>0</v>
      </c>
      <c r="G4" s="38">
        <v>25</v>
      </c>
      <c r="H4" s="35">
        <f>SUM(E4:G4)</f>
        <v>25</v>
      </c>
      <c r="I4" s="15" t="s">
        <v>17</v>
      </c>
      <c r="J4" s="15" t="s">
        <v>17</v>
      </c>
      <c r="K4" s="16" t="s">
        <v>28</v>
      </c>
      <c r="L4" s="42" t="s">
        <v>34</v>
      </c>
      <c r="M4" s="38">
        <v>0</v>
      </c>
      <c r="N4" s="38">
        <v>6</v>
      </c>
      <c r="O4" s="38">
        <v>9</v>
      </c>
      <c r="P4" s="35">
        <f>SUM(M4:O4)</f>
        <v>15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32</v>
      </c>
      <c r="Z4" s="1">
        <f t="shared" ref="Z4:Z28" si="1">COUNTIF($A$4:$C$100,T4)</f>
        <v>4</v>
      </c>
      <c r="AA4" s="1">
        <f t="shared" ref="AA4:AA28" si="2">COUNTIF($I$4:$K$100,T4)</f>
        <v>28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  <c r="AF4">
        <v>50</v>
      </c>
      <c r="AG4">
        <f t="shared" ref="AG4:AG28" si="5">AF4-Y4</f>
        <v>18</v>
      </c>
    </row>
    <row r="5" spans="1:33" x14ac:dyDescent="0.3">
      <c r="A5" s="2" t="s">
        <v>4</v>
      </c>
      <c r="B5" s="3" t="s">
        <v>5</v>
      </c>
      <c r="C5" s="16" t="s">
        <v>18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1520</v>
      </c>
      <c r="G5" s="34" cm="1">
        <f t="array" ref="G5">(SUM(VLOOKUP(C4:C100,$T$3:$W$41,2,FALSE))+G4*10)-G8*50</f>
        <v>10670</v>
      </c>
      <c r="H5" s="57">
        <f t="shared" ref="H5:H8" si="6">SUM(E5:G5)</f>
        <v>12990</v>
      </c>
      <c r="I5" s="3" t="s">
        <v>5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448</v>
      </c>
      <c r="N5" s="34" cm="1">
        <f t="array" ref="N5">(SUM(VLOOKUP(J4:J100,$T$3:$W$41,2,FALSE))+N4*10)*0.8-N8*40</f>
        <v>2464</v>
      </c>
      <c r="O5" s="34" cm="1">
        <f t="array" ref="O5">(SUM(VLOOKUP(K4:K100,$T$3:$W$41,2,FALSE))+O4*10)*0.8-O8*40</f>
        <v>2312</v>
      </c>
      <c r="P5" s="57">
        <f>SUM(M5:O5)</f>
        <v>5224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231</v>
      </c>
      <c r="Z5" s="1">
        <f t="shared" si="1"/>
        <v>55</v>
      </c>
      <c r="AA5" s="1">
        <f t="shared" si="2"/>
        <v>0</v>
      </c>
      <c r="AB5" s="53">
        <f t="shared" si="3"/>
        <v>176</v>
      </c>
      <c r="AC5">
        <v>247</v>
      </c>
      <c r="AD5">
        <f t="shared" si="4"/>
        <v>11115</v>
      </c>
      <c r="AF5">
        <v>225</v>
      </c>
      <c r="AG5">
        <f t="shared" si="5"/>
        <v>-6</v>
      </c>
    </row>
    <row r="6" spans="1:33" x14ac:dyDescent="0.3">
      <c r="A6" s="2" t="s">
        <v>4</v>
      </c>
      <c r="B6" s="3" t="s">
        <v>5</v>
      </c>
      <c r="C6" s="4" t="s">
        <v>6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410</v>
      </c>
      <c r="G6" s="34" cm="1">
        <f t="array" ref="G6">(SUM(VLOOKUP(C4:C100,$T$3:$W$41,3,FALSE)))</f>
        <v>3600</v>
      </c>
      <c r="H6" s="48">
        <f t="shared" si="6"/>
        <v>4215</v>
      </c>
      <c r="I6" s="2" t="s">
        <v>4</v>
      </c>
      <c r="J6" s="16" t="s">
        <v>28</v>
      </c>
      <c r="K6" s="3" t="s">
        <v>5</v>
      </c>
      <c r="L6" s="32" t="s">
        <v>39</v>
      </c>
      <c r="M6" s="34" cm="1">
        <f t="array" ref="M6">(SUM(VLOOKUP(I4:I100,$T$3:$W$41,3,FALSE)))</f>
        <v>170</v>
      </c>
      <c r="N6" s="34" cm="1">
        <f t="array" ref="N6">(SUM(VLOOKUP(J4:J100,$T$3:$W$41,3,FALSE)))</f>
        <v>925</v>
      </c>
      <c r="O6" s="34" cm="1">
        <f t="array" ref="O6">(SUM(VLOOKUP(K4:K100,$T$3:$W$41,3,FALSE)))</f>
        <v>1470</v>
      </c>
      <c r="P6" s="48">
        <f t="shared" ref="P6:P9" si="7">SUM(M6:O6)</f>
        <v>2565</v>
      </c>
      <c r="Q6" s="49" t="s">
        <v>52</v>
      </c>
      <c r="R6" s="25">
        <f>R3*1600-800+R5</f>
        <v>149200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276</v>
      </c>
      <c r="Y6" s="45">
        <v>276</v>
      </c>
      <c r="Z6" s="1">
        <f t="shared" si="1"/>
        <v>0</v>
      </c>
      <c r="AA6" s="1">
        <f t="shared" si="2"/>
        <v>0</v>
      </c>
      <c r="AB6" s="53">
        <f t="shared" si="3"/>
        <v>276</v>
      </c>
      <c r="AC6">
        <v>267</v>
      </c>
      <c r="AD6">
        <f t="shared" si="4"/>
        <v>13350</v>
      </c>
      <c r="AF6">
        <v>267</v>
      </c>
      <c r="AG6">
        <f t="shared" si="5"/>
        <v>-9</v>
      </c>
    </row>
    <row r="7" spans="1:33" x14ac:dyDescent="0.3">
      <c r="A7" s="2" t="s">
        <v>4</v>
      </c>
      <c r="B7" s="3" t="s">
        <v>5</v>
      </c>
      <c r="C7" s="4" t="s">
        <v>6</v>
      </c>
      <c r="D7" s="32" t="s">
        <v>40</v>
      </c>
      <c r="E7" s="34">
        <f>COUNTIF(A4:A100,"&lt;&gt;空")</f>
        <v>6</v>
      </c>
      <c r="F7" s="34">
        <f>COUNTIF(B4:B100,"&lt;&gt;空")</f>
        <v>10</v>
      </c>
      <c r="G7" s="34">
        <f>COUNTIF(C4:C100,"&lt;&gt;空")</f>
        <v>66</v>
      </c>
      <c r="H7" s="35">
        <f t="shared" si="6"/>
        <v>82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5</v>
      </c>
      <c r="N7" s="34">
        <f>COUNTIF(J4:J100,"&lt;&gt;空")</f>
        <v>26</v>
      </c>
      <c r="O7" s="34">
        <f>COUNTIF(K4:K100,"&lt;&gt;空")</f>
        <v>29</v>
      </c>
      <c r="P7" s="35">
        <f t="shared" si="7"/>
        <v>60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237</v>
      </c>
      <c r="Y7" s="45">
        <v>237</v>
      </c>
      <c r="Z7" s="1">
        <f t="shared" si="1"/>
        <v>0</v>
      </c>
      <c r="AA7" s="1">
        <f t="shared" si="2"/>
        <v>0</v>
      </c>
      <c r="AB7" s="53">
        <f t="shared" si="3"/>
        <v>237</v>
      </c>
      <c r="AC7">
        <v>235</v>
      </c>
      <c r="AD7">
        <f t="shared" si="4"/>
        <v>12925</v>
      </c>
      <c r="AF7">
        <v>232</v>
      </c>
      <c r="AG7">
        <f t="shared" si="5"/>
        <v>-5</v>
      </c>
    </row>
    <row r="8" spans="1:33" x14ac:dyDescent="0.3">
      <c r="A8" s="15" t="s">
        <v>17</v>
      </c>
      <c r="B8" s="9" t="s">
        <v>11</v>
      </c>
      <c r="C8" s="17" t="s">
        <v>20</v>
      </c>
      <c r="D8" s="41" t="s">
        <v>64</v>
      </c>
      <c r="E8" s="40">
        <v>0</v>
      </c>
      <c r="F8" s="40">
        <v>0</v>
      </c>
      <c r="G8" s="40">
        <v>0</v>
      </c>
      <c r="H8" s="35">
        <f t="shared" si="6"/>
        <v>0</v>
      </c>
      <c r="I8" s="15" t="s">
        <v>17</v>
      </c>
      <c r="J8" s="3" t="s">
        <v>5</v>
      </c>
      <c r="K8" s="9" t="s">
        <v>11</v>
      </c>
      <c r="L8" s="41" t="s">
        <v>64</v>
      </c>
      <c r="M8" s="40">
        <v>0</v>
      </c>
      <c r="N8" s="40">
        <v>1</v>
      </c>
      <c r="O8" s="40">
        <v>2</v>
      </c>
      <c r="P8" s="35">
        <f t="shared" si="7"/>
        <v>3</v>
      </c>
      <c r="Q8" s="49" t="s">
        <v>53</v>
      </c>
      <c r="R8" s="54" cm="1">
        <f t="array" ref="R8">R6-P5-H5-SUM(U3:U28*AB3:AB28)*0.8-R7*8</f>
        <v>2</v>
      </c>
      <c r="S8" s="25"/>
      <c r="T8" s="7" t="s">
        <v>9</v>
      </c>
      <c r="U8" s="1">
        <v>200</v>
      </c>
      <c r="V8" s="1">
        <v>60</v>
      </c>
      <c r="W8" s="44"/>
      <c r="X8" s="45">
        <v>187</v>
      </c>
      <c r="Y8" s="45">
        <v>187</v>
      </c>
      <c r="Z8" s="1">
        <f t="shared" si="1"/>
        <v>0</v>
      </c>
      <c r="AA8" s="1">
        <f t="shared" si="2"/>
        <v>0</v>
      </c>
      <c r="AB8" s="53">
        <f t="shared" si="3"/>
        <v>187</v>
      </c>
      <c r="AC8">
        <v>193</v>
      </c>
      <c r="AD8">
        <f t="shared" si="4"/>
        <v>11580</v>
      </c>
      <c r="AF8">
        <v>190</v>
      </c>
      <c r="AG8">
        <f t="shared" si="5"/>
        <v>3</v>
      </c>
    </row>
    <row r="9" spans="1:33" x14ac:dyDescent="0.3">
      <c r="A9" s="2" t="s">
        <v>4</v>
      </c>
      <c r="B9" s="4" t="s">
        <v>6</v>
      </c>
      <c r="C9" s="4" t="s">
        <v>6</v>
      </c>
      <c r="D9" s="25"/>
      <c r="E9" s="25"/>
      <c r="F9" s="25"/>
      <c r="G9" s="25"/>
      <c r="H9" s="26"/>
      <c r="I9" s="1" t="s">
        <v>27</v>
      </c>
      <c r="J9" s="3" t="s">
        <v>5</v>
      </c>
      <c r="K9" s="3" t="s">
        <v>5</v>
      </c>
      <c r="L9" s="32" t="s">
        <v>42</v>
      </c>
      <c r="M9" s="36">
        <f>M6/M5</f>
        <v>0.3794642857142857</v>
      </c>
      <c r="N9" s="36">
        <f>N6/N5</f>
        <v>0.37540584415584416</v>
      </c>
      <c r="O9" s="36">
        <f>O6/O5</f>
        <v>0.63581314878892736</v>
      </c>
      <c r="P9" s="37">
        <f>P6/P5</f>
        <v>0.49100306278713629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0" si="8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  <c r="AF9">
        <v>0</v>
      </c>
      <c r="AG9">
        <f t="shared" si="5"/>
        <v>0</v>
      </c>
    </row>
    <row r="10" spans="1:33" x14ac:dyDescent="0.3">
      <c r="A10" s="1" t="s">
        <v>27</v>
      </c>
      <c r="B10" s="15" t="s">
        <v>17</v>
      </c>
      <c r="C10" s="4" t="s">
        <v>6</v>
      </c>
      <c r="D10" s="25"/>
      <c r="E10" s="25"/>
      <c r="F10" s="25"/>
      <c r="G10" s="25"/>
      <c r="H10" s="26"/>
      <c r="I10" s="1" t="s">
        <v>27</v>
      </c>
      <c r="J10" s="15" t="s">
        <v>17</v>
      </c>
      <c r="K10" s="15" t="s">
        <v>17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8"/>
        <v>29.110982162825422</v>
      </c>
      <c r="X10" s="45">
        <v>6</v>
      </c>
      <c r="Y10" s="45">
        <v>6</v>
      </c>
      <c r="Z10" s="1">
        <f t="shared" si="1"/>
        <v>1</v>
      </c>
      <c r="AA10" s="1">
        <f t="shared" si="2"/>
        <v>5</v>
      </c>
      <c r="AB10" s="53">
        <f t="shared" si="3"/>
        <v>0</v>
      </c>
      <c r="AC10">
        <v>2</v>
      </c>
      <c r="AD10">
        <f t="shared" si="4"/>
        <v>80</v>
      </c>
      <c r="AF10">
        <v>4</v>
      </c>
      <c r="AG10">
        <f t="shared" si="5"/>
        <v>-2</v>
      </c>
    </row>
    <row r="11" spans="1:33" x14ac:dyDescent="0.3">
      <c r="A11" s="1" t="s">
        <v>27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3" t="s">
        <v>5</v>
      </c>
      <c r="K11" s="1" t="s">
        <v>27</v>
      </c>
      <c r="L11" s="25"/>
      <c r="M11" s="25"/>
      <c r="N11" s="25"/>
      <c r="O11" s="25"/>
      <c r="P11" s="26"/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  <c r="AF11">
        <v>6</v>
      </c>
      <c r="AG11">
        <f t="shared" si="5"/>
        <v>0</v>
      </c>
    </row>
    <row r="12" spans="1:33" x14ac:dyDescent="0.3">
      <c r="A12" s="1" t="s">
        <v>27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2" t="s">
        <v>4</v>
      </c>
      <c r="K12" s="3" t="s">
        <v>5</v>
      </c>
      <c r="L12" s="25"/>
      <c r="M12" s="25"/>
      <c r="N12" s="25"/>
      <c r="O12" s="25"/>
      <c r="P12" s="26"/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  <c r="AF12">
        <v>3</v>
      </c>
      <c r="AG12">
        <f t="shared" si="5"/>
        <v>0</v>
      </c>
    </row>
    <row r="13" spans="1:33" x14ac:dyDescent="0.3">
      <c r="A13" s="1" t="s">
        <v>27</v>
      </c>
      <c r="B13" s="17" t="s">
        <v>20</v>
      </c>
      <c r="C13" s="1" t="s">
        <v>27</v>
      </c>
      <c r="D13" s="25"/>
      <c r="E13" s="25"/>
      <c r="F13" s="25"/>
      <c r="G13" s="25"/>
      <c r="H13" s="26"/>
      <c r="I13" s="1" t="s">
        <v>27</v>
      </c>
      <c r="J13" s="15" t="s">
        <v>17</v>
      </c>
      <c r="K13" s="15" t="s">
        <v>17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  <c r="AF13">
        <v>3</v>
      </c>
      <c r="AG13">
        <f t="shared" si="5"/>
        <v>0</v>
      </c>
    </row>
    <row r="14" spans="1:33" x14ac:dyDescent="0.3">
      <c r="A14" s="1" t="s">
        <v>27</v>
      </c>
      <c r="B14" s="1" t="s">
        <v>27</v>
      </c>
      <c r="C14" s="4" t="s">
        <v>6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>
        <f>R6-13320</f>
        <v>135880</v>
      </c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  <c r="AF14">
        <v>1</v>
      </c>
      <c r="AG14">
        <f t="shared" si="5"/>
        <v>0</v>
      </c>
    </row>
    <row r="15" spans="1:33" x14ac:dyDescent="0.3">
      <c r="A15" s="1" t="s">
        <v>27</v>
      </c>
      <c r="B15" s="1" t="s">
        <v>27</v>
      </c>
      <c r="C15" s="15" t="s">
        <v>17</v>
      </c>
      <c r="D15" s="25"/>
      <c r="E15" s="25"/>
      <c r="F15" s="25"/>
      <c r="G15" s="25"/>
      <c r="H15" s="26"/>
      <c r="I15" s="1" t="s">
        <v>27</v>
      </c>
      <c r="J15" s="3" t="s">
        <v>5</v>
      </c>
      <c r="K15" s="3" t="s">
        <v>5</v>
      </c>
      <c r="L15" s="25"/>
      <c r="M15" s="25"/>
      <c r="N15" s="25"/>
      <c r="O15" s="25"/>
      <c r="P15" s="26"/>
      <c r="Q15" s="49"/>
      <c r="R15" s="25">
        <f>R14/8</f>
        <v>16985</v>
      </c>
      <c r="S15" s="25"/>
      <c r="T15" s="14" t="s">
        <v>16</v>
      </c>
      <c r="U15" s="1">
        <v>150</v>
      </c>
      <c r="V15" s="1">
        <v>35</v>
      </c>
      <c r="W15" s="44">
        <f t="shared" ref="W15" si="9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  <c r="AF15">
        <v>1</v>
      </c>
      <c r="AG15">
        <f t="shared" si="5"/>
        <v>1</v>
      </c>
    </row>
    <row r="16" spans="1:33" x14ac:dyDescent="0.3">
      <c r="A16" s="1" t="s">
        <v>27</v>
      </c>
      <c r="B16" s="1" t="s">
        <v>27</v>
      </c>
      <c r="C16" s="4" t="s">
        <v>6</v>
      </c>
      <c r="D16" s="25"/>
      <c r="E16" s="25"/>
      <c r="F16" s="25"/>
      <c r="G16" s="25"/>
      <c r="H16" s="26"/>
      <c r="I16" s="1" t="s">
        <v>27</v>
      </c>
      <c r="J16" s="15" t="s">
        <v>17</v>
      </c>
      <c r="K16" s="15" t="s">
        <v>17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40</v>
      </c>
      <c r="Z16" s="1">
        <f t="shared" si="1"/>
        <v>5</v>
      </c>
      <c r="AA16" s="1">
        <f t="shared" si="2"/>
        <v>16</v>
      </c>
      <c r="AB16" s="53">
        <f t="shared" si="3"/>
        <v>19</v>
      </c>
      <c r="AC16">
        <v>38</v>
      </c>
      <c r="AD16">
        <f t="shared" si="4"/>
        <v>1140</v>
      </c>
      <c r="AF16">
        <v>39</v>
      </c>
      <c r="AG16">
        <f t="shared" si="5"/>
        <v>-1</v>
      </c>
    </row>
    <row r="17" spans="1:33" x14ac:dyDescent="0.3">
      <c r="A17" s="1" t="s">
        <v>27</v>
      </c>
      <c r="B17" s="1" t="s">
        <v>27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3" t="s">
        <v>5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2</v>
      </c>
      <c r="Z17" s="1">
        <f t="shared" si="1"/>
        <v>2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  <c r="AF17">
        <v>2</v>
      </c>
      <c r="AG17">
        <f t="shared" si="5"/>
        <v>0</v>
      </c>
    </row>
    <row r="18" spans="1:33" x14ac:dyDescent="0.3">
      <c r="A18" s="1" t="s">
        <v>27</v>
      </c>
      <c r="B18" s="1" t="s">
        <v>27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3" t="s">
        <v>5</v>
      </c>
      <c r="K18" s="23" t="s">
        <v>29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  <c r="AF18">
        <v>3</v>
      </c>
      <c r="AG18">
        <f t="shared" si="5"/>
        <v>0</v>
      </c>
    </row>
    <row r="19" spans="1:33" x14ac:dyDescent="0.3">
      <c r="A19" s="1" t="s">
        <v>27</v>
      </c>
      <c r="B19" s="1" t="s">
        <v>27</v>
      </c>
      <c r="C19" s="17" t="s">
        <v>19</v>
      </c>
      <c r="D19" s="25"/>
      <c r="E19" s="25"/>
      <c r="F19" s="25"/>
      <c r="G19" s="25"/>
      <c r="H19" s="26"/>
      <c r="I19" s="1" t="s">
        <v>27</v>
      </c>
      <c r="J19" s="3" t="s">
        <v>5</v>
      </c>
      <c r="K19" s="3" t="s">
        <v>5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  <c r="AF19">
        <v>5</v>
      </c>
      <c r="AG19">
        <f t="shared" si="5"/>
        <v>0</v>
      </c>
    </row>
    <row r="20" spans="1:33" x14ac:dyDescent="0.3">
      <c r="A20" s="1" t="s">
        <v>27</v>
      </c>
      <c r="B20" s="1" t="s">
        <v>27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5" t="s">
        <v>17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  <c r="AF20">
        <v>0</v>
      </c>
      <c r="AG20">
        <f t="shared" si="5"/>
        <v>0</v>
      </c>
    </row>
    <row r="21" spans="1:33" x14ac:dyDescent="0.3">
      <c r="A21" s="1" t="s">
        <v>27</v>
      </c>
      <c r="B21" s="1" t="s">
        <v>27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2" t="s">
        <v>4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  <c r="AF21">
        <v>2</v>
      </c>
      <c r="AG21">
        <f t="shared" si="5"/>
        <v>0</v>
      </c>
    </row>
    <row r="22" spans="1:33" x14ac:dyDescent="0.3">
      <c r="A22" s="1" t="s">
        <v>27</v>
      </c>
      <c r="B22" s="1" t="s">
        <v>27</v>
      </c>
      <c r="C22" s="10" t="s">
        <v>12</v>
      </c>
      <c r="D22" s="25"/>
      <c r="E22" s="25"/>
      <c r="F22" s="25"/>
      <c r="G22" s="25"/>
      <c r="H22" s="26"/>
      <c r="I22" s="1" t="s">
        <v>27</v>
      </c>
      <c r="J22" s="2" t="s">
        <v>4</v>
      </c>
      <c r="K22" s="2" t="s">
        <v>4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  <c r="AF22">
        <v>2</v>
      </c>
      <c r="AG22">
        <f t="shared" si="5"/>
        <v>0</v>
      </c>
    </row>
    <row r="23" spans="1:33" x14ac:dyDescent="0.3">
      <c r="A23" s="1" t="s">
        <v>27</v>
      </c>
      <c r="B23" s="1" t="s">
        <v>27</v>
      </c>
      <c r="C23" s="4" t="s">
        <v>6</v>
      </c>
      <c r="D23" s="25"/>
      <c r="E23" s="25"/>
      <c r="F23" s="25"/>
      <c r="G23" s="25"/>
      <c r="H23" s="26"/>
      <c r="I23" s="1" t="s">
        <v>27</v>
      </c>
      <c r="J23" s="15" t="s">
        <v>17</v>
      </c>
      <c r="K23" s="15" t="s">
        <v>17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10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  <c r="AF23">
        <v>0</v>
      </c>
      <c r="AG23">
        <f t="shared" si="5"/>
        <v>0</v>
      </c>
    </row>
    <row r="24" spans="1:33" x14ac:dyDescent="0.3">
      <c r="A24" s="1" t="s">
        <v>27</v>
      </c>
      <c r="B24" s="1" t="s">
        <v>27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10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  <c r="AF24">
        <v>0</v>
      </c>
      <c r="AG24">
        <f t="shared" si="5"/>
        <v>0</v>
      </c>
    </row>
    <row r="25" spans="1:33" x14ac:dyDescent="0.3">
      <c r="A25" s="1" t="s">
        <v>27</v>
      </c>
      <c r="B25" s="1" t="s">
        <v>27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9" t="s">
        <v>11</v>
      </c>
      <c r="K25" s="15" t="s">
        <v>17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10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  <c r="AF25">
        <v>0</v>
      </c>
      <c r="AG25">
        <f t="shared" si="5"/>
        <v>0</v>
      </c>
    </row>
    <row r="26" spans="1:33" x14ac:dyDescent="0.3">
      <c r="A26" s="1" t="s">
        <v>27</v>
      </c>
      <c r="B26" s="1" t="s">
        <v>27</v>
      </c>
      <c r="C26" s="1" t="s">
        <v>27</v>
      </c>
      <c r="D26" s="25"/>
      <c r="E26" s="25"/>
      <c r="F26" s="25"/>
      <c r="G26" s="25"/>
      <c r="H26" s="26"/>
      <c r="I26" s="1" t="s">
        <v>27</v>
      </c>
      <c r="J26" s="9" t="s">
        <v>11</v>
      </c>
      <c r="K26" s="16" t="s">
        <v>28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10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  <c r="AF26">
        <v>0</v>
      </c>
      <c r="AG26">
        <f t="shared" si="5"/>
        <v>0</v>
      </c>
    </row>
    <row r="27" spans="1:33" x14ac:dyDescent="0.3">
      <c r="A27" s="1" t="s">
        <v>27</v>
      </c>
      <c r="B27" s="1" t="s">
        <v>27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9" t="s">
        <v>11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13</v>
      </c>
      <c r="Y27" s="45">
        <v>13</v>
      </c>
      <c r="Z27" s="1">
        <f t="shared" si="1"/>
        <v>0</v>
      </c>
      <c r="AA27" s="1">
        <f t="shared" si="2"/>
        <v>3</v>
      </c>
      <c r="AB27" s="53">
        <f t="shared" si="3"/>
        <v>10</v>
      </c>
      <c r="AC27">
        <v>15</v>
      </c>
      <c r="AD27">
        <f t="shared" si="4"/>
        <v>0</v>
      </c>
      <c r="AF27">
        <v>13</v>
      </c>
      <c r="AG27">
        <f t="shared" si="5"/>
        <v>0</v>
      </c>
    </row>
    <row r="28" spans="1:33" x14ac:dyDescent="0.3">
      <c r="A28" s="1" t="s">
        <v>27</v>
      </c>
      <c r="B28" s="1" t="s">
        <v>27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9" t="s">
        <v>11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F28">
        <v>3</v>
      </c>
      <c r="AG28">
        <f t="shared" si="5"/>
        <v>0</v>
      </c>
    </row>
    <row r="29" spans="1:33" ht="15" thickBot="1" x14ac:dyDescent="0.35">
      <c r="A29" s="1" t="s">
        <v>27</v>
      </c>
      <c r="B29" s="1" t="s">
        <v>27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5" t="s">
        <v>17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33" x14ac:dyDescent="0.3">
      <c r="A30" s="1" t="s">
        <v>27</v>
      </c>
      <c r="B30" s="1" t="s">
        <v>27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3" t="s">
        <v>5</v>
      </c>
      <c r="K30" s="3" t="s">
        <v>5</v>
      </c>
      <c r="L30" s="25"/>
      <c r="M30" s="25"/>
      <c r="N30" s="25"/>
      <c r="O30" s="25"/>
      <c r="P30" s="26"/>
    </row>
    <row r="31" spans="1:33" x14ac:dyDescent="0.3">
      <c r="A31" s="1" t="s">
        <v>27</v>
      </c>
      <c r="B31" s="1" t="s">
        <v>27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3" t="s">
        <v>5</v>
      </c>
      <c r="K31" s="3" t="s">
        <v>5</v>
      </c>
      <c r="L31" s="25"/>
      <c r="M31" s="25"/>
      <c r="N31" s="25"/>
      <c r="O31" s="25"/>
      <c r="P31" s="26"/>
      <c r="Y31">
        <f>SUM(Y3:Y28)</f>
        <v>1064</v>
      </c>
      <c r="AB31">
        <f>SUM(AB3:AB28)</f>
        <v>922</v>
      </c>
      <c r="AC31">
        <f>SUM(AC3:AC28)</f>
        <v>1074</v>
      </c>
      <c r="AD31">
        <f>SUM(AD3:AD28)+7000</f>
        <v>65360</v>
      </c>
    </row>
    <row r="32" spans="1:33" x14ac:dyDescent="0.3">
      <c r="A32" s="1" t="s">
        <v>27</v>
      </c>
      <c r="B32" s="1" t="s">
        <v>27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3" t="s">
        <v>5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1" t="s">
        <v>27</v>
      </c>
      <c r="C33" s="17" t="s">
        <v>19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2" t="s">
        <v>4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1" t="s">
        <v>27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5" t="s">
        <v>17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" t="s">
        <v>27</v>
      </c>
      <c r="C35" s="16" t="s">
        <v>18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1" t="s">
        <v>27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17" t="s">
        <v>20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4" t="s">
        <v>6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15" t="s">
        <v>17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7" t="s">
        <v>20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4" t="s">
        <v>6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4" t="s">
        <v>6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4" t="s">
        <v>6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4" t="s">
        <v>6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4" t="s">
        <v>6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4" t="s">
        <v>6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1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1" t="s">
        <v>27</v>
      </c>
      <c r="B57" s="1" t="s">
        <v>27</v>
      </c>
      <c r="C57" s="4" t="s">
        <v>6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1" t="s">
        <v>27</v>
      </c>
      <c r="B58" s="1" t="s">
        <v>27</v>
      </c>
      <c r="C58" s="4" t="s">
        <v>6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1" t="s">
        <v>27</v>
      </c>
      <c r="B59" s="1" t="s">
        <v>27</v>
      </c>
      <c r="C59" s="4" t="s">
        <v>6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1" t="s">
        <v>27</v>
      </c>
      <c r="B60" s="1" t="s">
        <v>27</v>
      </c>
      <c r="C60" s="4" t="s">
        <v>6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1" t="s">
        <v>27</v>
      </c>
      <c r="B61" s="1" t="s">
        <v>27</v>
      </c>
      <c r="C61" s="4" t="s">
        <v>6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1" t="s">
        <v>27</v>
      </c>
      <c r="B62" s="1" t="s">
        <v>27</v>
      </c>
      <c r="C62" s="17" t="s">
        <v>20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1" t="s">
        <v>27</v>
      </c>
      <c r="B63" s="1" t="s">
        <v>27</v>
      </c>
      <c r="C63" s="4" t="s">
        <v>6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1" t="s">
        <v>27</v>
      </c>
      <c r="B64" s="1" t="s">
        <v>27</v>
      </c>
      <c r="C64" s="4" t="s">
        <v>6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1" t="s">
        <v>27</v>
      </c>
      <c r="B65" s="1" t="s">
        <v>27</v>
      </c>
      <c r="C65" s="4" t="s">
        <v>6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1" t="s">
        <v>27</v>
      </c>
      <c r="B66" s="1" t="s">
        <v>27</v>
      </c>
      <c r="C66" s="4" t="s">
        <v>6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1" t="s">
        <v>27</v>
      </c>
      <c r="B67" s="1" t="s">
        <v>27</v>
      </c>
      <c r="C67" s="4" t="s">
        <v>6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1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1" t="s">
        <v>27</v>
      </c>
      <c r="B69" s="1" t="s">
        <v>27</v>
      </c>
      <c r="C69" s="4" t="s">
        <v>6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1" t="s">
        <v>27</v>
      </c>
      <c r="B70" s="1" t="s">
        <v>27</v>
      </c>
      <c r="C70" s="4" t="s">
        <v>6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1" t="s">
        <v>27</v>
      </c>
      <c r="B71" s="1" t="s">
        <v>27</v>
      </c>
      <c r="C71" s="10" t="s">
        <v>12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1" t="s">
        <v>27</v>
      </c>
      <c r="B72" s="1" t="s">
        <v>27</v>
      </c>
      <c r="C72" s="4" t="s">
        <v>6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1" t="s">
        <v>27</v>
      </c>
      <c r="B73" s="1" t="s">
        <v>27</v>
      </c>
      <c r="C73" s="4" t="s">
        <v>6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1" t="s">
        <v>27</v>
      </c>
      <c r="B74" s="1" t="s">
        <v>27</v>
      </c>
      <c r="C74" s="17" t="s">
        <v>19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1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1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1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1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1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1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1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1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1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1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1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1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1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1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1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1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1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1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1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1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1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1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1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6DCA-A72C-48F6-AA98-FA2313F13322}">
  <dimension ref="A1:AG100"/>
  <sheetViews>
    <sheetView zoomScale="85" zoomScaleNormal="85" workbookViewId="0">
      <selection activeCell="J8" sqref="J8:J17"/>
    </sheetView>
  </sheetViews>
  <sheetFormatPr defaultRowHeight="14.4" x14ac:dyDescent="0.3"/>
  <cols>
    <col min="23" max="23" width="8.88671875" customWidth="1"/>
  </cols>
  <sheetData>
    <row r="1" spans="1:33" ht="15.6" x14ac:dyDescent="0.3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2644.6651676428455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  <c r="AD1" t="s">
        <v>66</v>
      </c>
    </row>
    <row r="2" spans="1:33" ht="28.8" x14ac:dyDescent="0.3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64905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  <c r="AF2" t="s">
        <v>55</v>
      </c>
    </row>
    <row r="3" spans="1:33" x14ac:dyDescent="0.3">
      <c r="A3" s="60" t="s">
        <v>31</v>
      </c>
      <c r="B3" s="58" t="s">
        <v>32</v>
      </c>
      <c r="C3" s="59" t="s">
        <v>33</v>
      </c>
      <c r="D3" s="32"/>
      <c r="E3" s="60" t="s">
        <v>31</v>
      </c>
      <c r="F3" s="58" t="s">
        <v>32</v>
      </c>
      <c r="G3" s="59" t="s">
        <v>33</v>
      </c>
      <c r="H3" s="33" t="s">
        <v>36</v>
      </c>
      <c r="I3" s="60" t="s">
        <v>31</v>
      </c>
      <c r="J3" s="58" t="s">
        <v>32</v>
      </c>
      <c r="K3" s="59" t="s">
        <v>33</v>
      </c>
      <c r="L3" s="32"/>
      <c r="M3" s="60" t="s">
        <v>31</v>
      </c>
      <c r="N3" s="58" t="s">
        <v>32</v>
      </c>
      <c r="O3" s="59" t="s">
        <v>33</v>
      </c>
      <c r="P3" s="33" t="s">
        <v>36</v>
      </c>
      <c r="Q3" s="52" t="s">
        <v>49</v>
      </c>
      <c r="R3" s="25">
        <v>90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12</v>
      </c>
      <c r="Z3" s="1">
        <f>COUNTIF($A$4:$C$100,T3)</f>
        <v>5</v>
      </c>
      <c r="AA3" s="1">
        <f>COUNTIF($I$4:$K$100,T3)</f>
        <v>7</v>
      </c>
      <c r="AB3" s="53">
        <f>Y3-Z3-AA3</f>
        <v>0</v>
      </c>
      <c r="AC3">
        <v>24</v>
      </c>
      <c r="AD3">
        <f>AC3*V3</f>
        <v>840</v>
      </c>
      <c r="AF3">
        <v>14</v>
      </c>
      <c r="AG3">
        <f>AF3-Y3</f>
        <v>2</v>
      </c>
    </row>
    <row r="4" spans="1:33" x14ac:dyDescent="0.3">
      <c r="A4" s="2" t="s">
        <v>4</v>
      </c>
      <c r="B4" s="2" t="s">
        <v>4</v>
      </c>
      <c r="C4" s="3" t="s">
        <v>5</v>
      </c>
      <c r="D4" s="42" t="s">
        <v>34</v>
      </c>
      <c r="E4" s="38">
        <v>0</v>
      </c>
      <c r="F4" s="38">
        <v>0</v>
      </c>
      <c r="G4" s="38">
        <v>27</v>
      </c>
      <c r="H4" s="35">
        <f>SUM(E4:G4)</f>
        <v>27</v>
      </c>
      <c r="I4" s="2" t="s">
        <v>4</v>
      </c>
      <c r="J4" s="15" t="s">
        <v>17</v>
      </c>
      <c r="K4" s="16" t="s">
        <v>28</v>
      </c>
      <c r="L4" s="42" t="s">
        <v>34</v>
      </c>
      <c r="M4" s="38">
        <v>0</v>
      </c>
      <c r="N4" s="38">
        <v>11</v>
      </c>
      <c r="O4" s="38">
        <v>9</v>
      </c>
      <c r="P4" s="35">
        <f>SUM(M4:O4)</f>
        <v>20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28</v>
      </c>
      <c r="Z4" s="1">
        <f t="shared" ref="Z4:Z28" si="1">COUNTIF($A$4:$C$100,T4)</f>
        <v>4</v>
      </c>
      <c r="AA4" s="1">
        <f t="shared" ref="AA4:AA28" si="2">COUNTIF($I$4:$K$100,T4)</f>
        <v>24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  <c r="AF4">
        <v>50</v>
      </c>
      <c r="AG4">
        <f t="shared" ref="AG4:AG28" si="5">AF4-Y4</f>
        <v>22</v>
      </c>
    </row>
    <row r="5" spans="1:33" x14ac:dyDescent="0.3">
      <c r="A5" s="2" t="s">
        <v>4</v>
      </c>
      <c r="B5" s="2" t="s">
        <v>4</v>
      </c>
      <c r="C5" s="3" t="s">
        <v>5</v>
      </c>
      <c r="D5" s="32" t="s">
        <v>38</v>
      </c>
      <c r="E5" s="34" cm="1">
        <f t="array" ref="E5">(SUM(VLOOKUP(A4:A100,$T$3:$W$41,2,FALSE))+E4*10)-E8*50</f>
        <v>300</v>
      </c>
      <c r="F5" s="34" cm="1">
        <f t="array" ref="F5">(SUM(VLOOKUP(B4:B100,$T$3:$W$41,2,FALSE))+F4*10)-F8*50</f>
        <v>820</v>
      </c>
      <c r="G5" s="34" cm="1">
        <f t="array" ref="G5">(SUM(VLOOKUP(C4:C100,$T$3:$W$41,2,FALSE))+G4*10)-G8*50</f>
        <v>11890</v>
      </c>
      <c r="H5" s="57">
        <f t="shared" ref="H5:H8" si="6">SUM(E5:G5)</f>
        <v>13010</v>
      </c>
      <c r="I5" s="2" t="s">
        <v>4</v>
      </c>
      <c r="J5" s="1" t="s">
        <v>27</v>
      </c>
      <c r="K5" s="3" t="s">
        <v>5</v>
      </c>
      <c r="L5" s="32" t="s">
        <v>38</v>
      </c>
      <c r="M5" s="34" cm="1">
        <f t="array" ref="M5">(SUM(VLOOKUP(I4:I100,$T$3:$W$41,2,FALSE))+M4*10)*0.8-M8*40</f>
        <v>280</v>
      </c>
      <c r="N5" s="34" cm="1">
        <f t="array" ref="N5">(SUM(VLOOKUP(J4:J100,$T$3:$W$41,2,FALSE))+N4*10)*0.8-N8*40</f>
        <v>1680</v>
      </c>
      <c r="O5" s="34" cm="1">
        <f t="array" ref="O5">(SUM(VLOOKUP(K4:K100,$T$3:$W$41,2,FALSE))+O4*10)*0.8-O8*40</f>
        <v>2312</v>
      </c>
      <c r="P5" s="57">
        <f>SUM(M5:O5)</f>
        <v>4272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236</v>
      </c>
      <c r="Z5" s="1">
        <f t="shared" si="1"/>
        <v>55</v>
      </c>
      <c r="AA5" s="1">
        <f t="shared" si="2"/>
        <v>0</v>
      </c>
      <c r="AB5" s="53">
        <f t="shared" si="3"/>
        <v>181</v>
      </c>
      <c r="AC5">
        <v>247</v>
      </c>
      <c r="AD5">
        <f t="shared" si="4"/>
        <v>11115</v>
      </c>
      <c r="AF5">
        <v>225</v>
      </c>
      <c r="AG5">
        <f t="shared" si="5"/>
        <v>-11</v>
      </c>
    </row>
    <row r="6" spans="1:33" x14ac:dyDescent="0.3">
      <c r="A6" s="1" t="s">
        <v>27</v>
      </c>
      <c r="B6" s="15" t="s">
        <v>17</v>
      </c>
      <c r="C6" s="9" t="s">
        <v>11</v>
      </c>
      <c r="D6" s="32" t="s">
        <v>39</v>
      </c>
      <c r="E6" s="34" cm="1">
        <f t="array" ref="E6">(SUM(VLOOKUP(A4:A100,$T$3:$W$41,3,FALSE)))</f>
        <v>70</v>
      </c>
      <c r="F6" s="34" cm="1">
        <f t="array" ref="F6">(SUM(VLOOKUP(B4:B100,$T$3:$W$41,3,FALSE)))</f>
        <v>215</v>
      </c>
      <c r="G6" s="34" cm="1">
        <f t="array" ref="G6">(SUM(VLOOKUP(C4:C100,$T$3:$W$41,3,FALSE)))</f>
        <v>3930</v>
      </c>
      <c r="H6" s="48">
        <f t="shared" si="6"/>
        <v>4215</v>
      </c>
      <c r="I6" s="15" t="s">
        <v>17</v>
      </c>
      <c r="J6" s="1" t="s">
        <v>27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675</v>
      </c>
      <c r="O6" s="34" cm="1">
        <f t="array" ref="O6">(SUM(VLOOKUP(K4:K100,$T$3:$W$41,3,FALSE)))</f>
        <v>1470</v>
      </c>
      <c r="P6" s="48">
        <f t="shared" ref="P6:P9" si="7">SUM(M6:O6)</f>
        <v>2245</v>
      </c>
      <c r="Q6" s="49" t="s">
        <v>52</v>
      </c>
      <c r="R6" s="25">
        <f>R3*1600-800+R5</f>
        <v>149200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276</v>
      </c>
      <c r="Y6" s="45">
        <v>276</v>
      </c>
      <c r="Z6" s="1">
        <f t="shared" si="1"/>
        <v>0</v>
      </c>
      <c r="AA6" s="1">
        <f t="shared" si="2"/>
        <v>0</v>
      </c>
      <c r="AB6" s="53">
        <f t="shared" si="3"/>
        <v>276</v>
      </c>
      <c r="AC6">
        <v>267</v>
      </c>
      <c r="AD6">
        <f t="shared" si="4"/>
        <v>13350</v>
      </c>
      <c r="AF6">
        <v>267</v>
      </c>
      <c r="AG6">
        <f t="shared" si="5"/>
        <v>-9</v>
      </c>
    </row>
    <row r="7" spans="1:33" x14ac:dyDescent="0.3">
      <c r="A7" s="1" t="s">
        <v>27</v>
      </c>
      <c r="B7" s="2" t="s">
        <v>4</v>
      </c>
      <c r="C7" s="4" t="s">
        <v>6</v>
      </c>
      <c r="D7" s="32" t="s">
        <v>40</v>
      </c>
      <c r="E7" s="34">
        <f>COUNTIF(A4:A100,"&lt;&gt;空")</f>
        <v>2</v>
      </c>
      <c r="F7" s="34">
        <f>COUNTIF(B4:B100,"&lt;&gt;空")</f>
        <v>6</v>
      </c>
      <c r="G7" s="34">
        <f>COUNTIF(C4:C100,"&lt;&gt;空")</f>
        <v>74</v>
      </c>
      <c r="H7" s="35">
        <f t="shared" si="6"/>
        <v>82</v>
      </c>
      <c r="I7" s="1" t="s">
        <v>27</v>
      </c>
      <c r="J7" s="1" t="s">
        <v>27</v>
      </c>
      <c r="K7" s="15" t="s">
        <v>17</v>
      </c>
      <c r="L7" s="32" t="s">
        <v>40</v>
      </c>
      <c r="M7" s="34">
        <f>COUNTIF(I4:I100,"&lt;&gt;空")</f>
        <v>3</v>
      </c>
      <c r="N7" s="34">
        <f>COUNTIF(J4:J100,"&lt;&gt;空")</f>
        <v>20</v>
      </c>
      <c r="O7" s="34">
        <f>COUNTIF(K4:K100,"&lt;&gt;空")</f>
        <v>29</v>
      </c>
      <c r="P7" s="35">
        <f t="shared" si="7"/>
        <v>52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237</v>
      </c>
      <c r="Y7" s="45">
        <v>237</v>
      </c>
      <c r="Z7" s="1">
        <f t="shared" si="1"/>
        <v>0</v>
      </c>
      <c r="AA7" s="1">
        <f t="shared" si="2"/>
        <v>0</v>
      </c>
      <c r="AB7" s="53">
        <f t="shared" si="3"/>
        <v>237</v>
      </c>
      <c r="AC7">
        <v>235</v>
      </c>
      <c r="AD7">
        <f t="shared" si="4"/>
        <v>12925</v>
      </c>
      <c r="AF7">
        <v>232</v>
      </c>
      <c r="AG7">
        <f t="shared" si="5"/>
        <v>-5</v>
      </c>
    </row>
    <row r="8" spans="1:33" x14ac:dyDescent="0.3">
      <c r="A8" s="1" t="s">
        <v>27</v>
      </c>
      <c r="B8" s="3" t="s">
        <v>5</v>
      </c>
      <c r="C8" s="4" t="s">
        <v>6</v>
      </c>
      <c r="D8" s="41" t="s">
        <v>64</v>
      </c>
      <c r="E8" s="40">
        <v>0</v>
      </c>
      <c r="F8" s="40">
        <v>0</v>
      </c>
      <c r="G8" s="40">
        <v>0</v>
      </c>
      <c r="H8" s="35">
        <f t="shared" si="6"/>
        <v>0</v>
      </c>
      <c r="I8" s="1" t="s">
        <v>27</v>
      </c>
      <c r="J8" s="15" t="s">
        <v>17</v>
      </c>
      <c r="K8" s="9" t="s">
        <v>11</v>
      </c>
      <c r="L8" s="41" t="s">
        <v>64</v>
      </c>
      <c r="M8" s="40">
        <v>0</v>
      </c>
      <c r="N8" s="40">
        <v>1</v>
      </c>
      <c r="O8" s="40">
        <v>2</v>
      </c>
      <c r="P8" s="35">
        <f t="shared" si="7"/>
        <v>3</v>
      </c>
      <c r="Q8" s="49" t="s">
        <v>53</v>
      </c>
      <c r="R8" s="54" cm="1">
        <f t="array" ref="R8">R6-P5-H5-SUM(U3:U28*AB3:AB28)*0.8-R7*8</f>
        <v>14</v>
      </c>
      <c r="S8" s="25"/>
      <c r="T8" s="7" t="s">
        <v>9</v>
      </c>
      <c r="U8" s="1">
        <v>200</v>
      </c>
      <c r="V8" s="1">
        <v>60</v>
      </c>
      <c r="W8" s="44"/>
      <c r="X8" s="45">
        <v>187</v>
      </c>
      <c r="Y8" s="45">
        <v>187</v>
      </c>
      <c r="Z8" s="1">
        <f t="shared" si="1"/>
        <v>0</v>
      </c>
      <c r="AA8" s="1">
        <f t="shared" si="2"/>
        <v>0</v>
      </c>
      <c r="AB8" s="53">
        <f t="shared" si="3"/>
        <v>187</v>
      </c>
      <c r="AC8">
        <v>193</v>
      </c>
      <c r="AD8">
        <f t="shared" si="4"/>
        <v>11580</v>
      </c>
      <c r="AF8">
        <v>190</v>
      </c>
      <c r="AG8">
        <f t="shared" si="5"/>
        <v>3</v>
      </c>
    </row>
    <row r="9" spans="1:33" x14ac:dyDescent="0.3">
      <c r="A9" s="1" t="s">
        <v>27</v>
      </c>
      <c r="B9" s="3" t="s">
        <v>5</v>
      </c>
      <c r="C9" s="4" t="s">
        <v>6</v>
      </c>
      <c r="D9" s="25"/>
      <c r="E9" s="25"/>
      <c r="F9" s="25"/>
      <c r="G9" s="25"/>
      <c r="H9" s="26"/>
      <c r="I9" s="1" t="s">
        <v>27</v>
      </c>
      <c r="J9" s="3" t="s">
        <v>5</v>
      </c>
      <c r="K9" s="3" t="s">
        <v>5</v>
      </c>
      <c r="L9" s="32" t="s">
        <v>42</v>
      </c>
      <c r="M9" s="36">
        <f>M6/M5</f>
        <v>0.35714285714285715</v>
      </c>
      <c r="N9" s="36">
        <f>N6/N5</f>
        <v>0.4017857142857143</v>
      </c>
      <c r="O9" s="36">
        <f>O6/O5</f>
        <v>0.63581314878892736</v>
      </c>
      <c r="P9" s="37">
        <f>P6/P5</f>
        <v>0.52551498127340823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0" si="8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  <c r="AF9">
        <v>0</v>
      </c>
      <c r="AG9">
        <f t="shared" si="5"/>
        <v>0</v>
      </c>
    </row>
    <row r="10" spans="1:33" x14ac:dyDescent="0.3">
      <c r="A10" s="1" t="s">
        <v>27</v>
      </c>
      <c r="B10" s="1" t="s">
        <v>27</v>
      </c>
      <c r="C10" s="17" t="s">
        <v>20</v>
      </c>
      <c r="D10" s="25"/>
      <c r="E10" s="25"/>
      <c r="F10" s="25"/>
      <c r="G10" s="25"/>
      <c r="H10" s="26"/>
      <c r="I10" s="1" t="s">
        <v>27</v>
      </c>
      <c r="J10" s="16" t="s">
        <v>28</v>
      </c>
      <c r="K10" s="15" t="s">
        <v>17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8"/>
        <v>29.110982162825422</v>
      </c>
      <c r="X10" s="45">
        <v>6</v>
      </c>
      <c r="Y10" s="45">
        <v>4</v>
      </c>
      <c r="Z10" s="1">
        <f t="shared" si="1"/>
        <v>1</v>
      </c>
      <c r="AA10" s="1">
        <f t="shared" si="2"/>
        <v>1</v>
      </c>
      <c r="AB10" s="53">
        <f t="shared" si="3"/>
        <v>2</v>
      </c>
      <c r="AC10">
        <v>2</v>
      </c>
      <c r="AD10">
        <f t="shared" si="4"/>
        <v>80</v>
      </c>
      <c r="AF10">
        <v>4</v>
      </c>
      <c r="AG10">
        <f t="shared" si="5"/>
        <v>0</v>
      </c>
    </row>
    <row r="11" spans="1:33" x14ac:dyDescent="0.3">
      <c r="A11" s="1" t="s">
        <v>27</v>
      </c>
      <c r="B11" s="1" t="s">
        <v>27</v>
      </c>
      <c r="C11" s="15" t="s">
        <v>17</v>
      </c>
      <c r="D11" s="25"/>
      <c r="E11" s="25"/>
      <c r="F11" s="25"/>
      <c r="G11" s="25"/>
      <c r="H11" s="26"/>
      <c r="I11" s="1" t="s">
        <v>27</v>
      </c>
      <c r="J11" s="3" t="s">
        <v>5</v>
      </c>
      <c r="K11" s="1" t="s">
        <v>27</v>
      </c>
      <c r="L11" s="25"/>
      <c r="M11" s="25"/>
      <c r="N11" s="25"/>
      <c r="O11" s="25"/>
      <c r="P11" s="26">
        <f>H5+P5</f>
        <v>17282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  <c r="AF11">
        <v>6</v>
      </c>
      <c r="AG11">
        <f t="shared" si="5"/>
        <v>0</v>
      </c>
    </row>
    <row r="12" spans="1:33" x14ac:dyDescent="0.3">
      <c r="A12" s="1" t="s">
        <v>27</v>
      </c>
      <c r="B12" s="1" t="s">
        <v>27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3" t="s">
        <v>5</v>
      </c>
      <c r="K12" s="1" t="s">
        <v>27</v>
      </c>
      <c r="L12" s="25"/>
      <c r="M12" s="25"/>
      <c r="N12" s="25"/>
      <c r="O12" s="25"/>
      <c r="P12" s="26">
        <f>H6+P6</f>
        <v>6460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  <c r="AF12">
        <v>3</v>
      </c>
      <c r="AG12">
        <f t="shared" si="5"/>
        <v>0</v>
      </c>
    </row>
    <row r="13" spans="1:33" x14ac:dyDescent="0.3">
      <c r="A13" s="1" t="s">
        <v>27</v>
      </c>
      <c r="B13" s="1" t="s">
        <v>27</v>
      </c>
      <c r="C13" s="16" t="s">
        <v>18</v>
      </c>
      <c r="D13" s="25"/>
      <c r="E13" s="25"/>
      <c r="F13" s="25"/>
      <c r="G13" s="25"/>
      <c r="H13" s="26"/>
      <c r="I13" s="1" t="s">
        <v>27</v>
      </c>
      <c r="J13" s="3" t="s">
        <v>5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  <c r="AF13">
        <v>3</v>
      </c>
      <c r="AG13">
        <f t="shared" si="5"/>
        <v>0</v>
      </c>
    </row>
    <row r="14" spans="1:33" x14ac:dyDescent="0.3">
      <c r="A14" s="1" t="s">
        <v>27</v>
      </c>
      <c r="B14" s="1" t="s">
        <v>27</v>
      </c>
      <c r="C14" s="4" t="s">
        <v>6</v>
      </c>
      <c r="D14" s="25"/>
      <c r="E14" s="25"/>
      <c r="F14" s="25"/>
      <c r="G14" s="25"/>
      <c r="H14" s="26"/>
      <c r="I14" s="1" t="s">
        <v>27</v>
      </c>
      <c r="J14" s="15" t="s">
        <v>17</v>
      </c>
      <c r="K14" s="1" t="s">
        <v>27</v>
      </c>
      <c r="L14" s="25"/>
      <c r="M14" s="25"/>
      <c r="N14" s="25"/>
      <c r="O14" s="25"/>
      <c r="P14" s="26"/>
      <c r="Q14" s="49"/>
      <c r="R14" s="25">
        <f>R6-13320</f>
        <v>135880</v>
      </c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  <c r="AF14">
        <v>1</v>
      </c>
      <c r="AG14">
        <f t="shared" si="5"/>
        <v>0</v>
      </c>
    </row>
    <row r="15" spans="1:33" x14ac:dyDescent="0.3">
      <c r="A15" s="1" t="s">
        <v>27</v>
      </c>
      <c r="B15" s="1" t="s">
        <v>27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3" t="s">
        <v>5</v>
      </c>
      <c r="K15" s="1" t="s">
        <v>27</v>
      </c>
      <c r="L15" s="25"/>
      <c r="M15" s="25"/>
      <c r="N15" s="25"/>
      <c r="O15" s="25"/>
      <c r="P15" s="26"/>
      <c r="Q15" s="49"/>
      <c r="R15" s="25">
        <f>R14/8</f>
        <v>16985</v>
      </c>
      <c r="S15" s="25"/>
      <c r="T15" s="14" t="s">
        <v>16</v>
      </c>
      <c r="U15" s="1">
        <v>150</v>
      </c>
      <c r="V15" s="1">
        <v>35</v>
      </c>
      <c r="W15" s="44">
        <f t="shared" ref="W15" si="9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  <c r="AF15">
        <v>1</v>
      </c>
      <c r="AG15">
        <f t="shared" si="5"/>
        <v>1</v>
      </c>
    </row>
    <row r="16" spans="1:33" x14ac:dyDescent="0.3">
      <c r="A16" s="1" t="s">
        <v>27</v>
      </c>
      <c r="B16" s="1" t="s">
        <v>27</v>
      </c>
      <c r="C16" s="17" t="s">
        <v>20</v>
      </c>
      <c r="D16" s="25"/>
      <c r="E16" s="25"/>
      <c r="F16" s="25"/>
      <c r="G16" s="25"/>
      <c r="H16" s="26"/>
      <c r="I16" s="1" t="s">
        <v>27</v>
      </c>
      <c r="J16" s="2" t="s">
        <v>4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40</v>
      </c>
      <c r="Z16" s="1">
        <f t="shared" si="1"/>
        <v>5</v>
      </c>
      <c r="AA16" s="1">
        <f t="shared" si="2"/>
        <v>16</v>
      </c>
      <c r="AB16" s="53">
        <f t="shared" si="3"/>
        <v>19</v>
      </c>
      <c r="AC16">
        <v>38</v>
      </c>
      <c r="AD16">
        <f t="shared" si="4"/>
        <v>1140</v>
      </c>
      <c r="AF16">
        <v>39</v>
      </c>
      <c r="AG16">
        <f t="shared" si="5"/>
        <v>-1</v>
      </c>
    </row>
    <row r="17" spans="1:33" x14ac:dyDescent="0.3">
      <c r="A17" s="1" t="s">
        <v>27</v>
      </c>
      <c r="B17" s="1" t="s">
        <v>27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5" t="s">
        <v>17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2</v>
      </c>
      <c r="Z17" s="1">
        <f t="shared" si="1"/>
        <v>2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  <c r="AF17">
        <v>2</v>
      </c>
      <c r="AG17">
        <f t="shared" si="5"/>
        <v>0</v>
      </c>
    </row>
    <row r="18" spans="1:33" x14ac:dyDescent="0.3">
      <c r="A18" s="1" t="s">
        <v>27</v>
      </c>
      <c r="B18" s="1" t="s">
        <v>27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15" t="s">
        <v>17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  <c r="AF18">
        <v>3</v>
      </c>
      <c r="AG18">
        <f t="shared" si="5"/>
        <v>0</v>
      </c>
    </row>
    <row r="19" spans="1:33" x14ac:dyDescent="0.3">
      <c r="A19" s="1" t="s">
        <v>27</v>
      </c>
      <c r="B19" s="1" t="s">
        <v>27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3" t="s">
        <v>5</v>
      </c>
      <c r="K19" s="3" t="s">
        <v>5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  <c r="AF19">
        <v>5</v>
      </c>
      <c r="AG19">
        <f t="shared" si="5"/>
        <v>0</v>
      </c>
    </row>
    <row r="20" spans="1:33" x14ac:dyDescent="0.3">
      <c r="A20" s="1" t="s">
        <v>27</v>
      </c>
      <c r="B20" s="1" t="s">
        <v>27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5" t="s">
        <v>17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  <c r="AF20">
        <v>0</v>
      </c>
      <c r="AG20">
        <f t="shared" si="5"/>
        <v>0</v>
      </c>
    </row>
    <row r="21" spans="1:33" x14ac:dyDescent="0.3">
      <c r="A21" s="1" t="s">
        <v>27</v>
      </c>
      <c r="B21" s="1" t="s">
        <v>27</v>
      </c>
      <c r="C21" s="1" t="s">
        <v>27</v>
      </c>
      <c r="D21" s="25"/>
      <c r="E21" s="25"/>
      <c r="F21" s="25"/>
      <c r="G21" s="25"/>
      <c r="H21" s="26"/>
      <c r="I21" s="1" t="s">
        <v>27</v>
      </c>
      <c r="J21" s="3" t="s">
        <v>5</v>
      </c>
      <c r="K21" s="15" t="s">
        <v>17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  <c r="AF21">
        <v>2</v>
      </c>
      <c r="AG21">
        <f t="shared" si="5"/>
        <v>0</v>
      </c>
    </row>
    <row r="22" spans="1:33" x14ac:dyDescent="0.3">
      <c r="A22" s="1" t="s">
        <v>27</v>
      </c>
      <c r="B22" s="1" t="s">
        <v>27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3" t="s">
        <v>5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  <c r="AF22">
        <v>2</v>
      </c>
      <c r="AG22">
        <f t="shared" si="5"/>
        <v>0</v>
      </c>
    </row>
    <row r="23" spans="1:33" x14ac:dyDescent="0.3">
      <c r="A23" s="1" t="s">
        <v>27</v>
      </c>
      <c r="B23" s="1" t="s">
        <v>27</v>
      </c>
      <c r="C23" s="15" t="s">
        <v>17</v>
      </c>
      <c r="D23" s="25"/>
      <c r="E23" s="25"/>
      <c r="F23" s="25"/>
      <c r="G23" s="25"/>
      <c r="H23" s="26"/>
      <c r="I23" s="1" t="s">
        <v>27</v>
      </c>
      <c r="J23" s="3" t="s">
        <v>5</v>
      </c>
      <c r="K23" s="23" t="s">
        <v>29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10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  <c r="AF23">
        <v>0</v>
      </c>
      <c r="AG23">
        <f t="shared" si="5"/>
        <v>0</v>
      </c>
    </row>
    <row r="24" spans="1:33" x14ac:dyDescent="0.3">
      <c r="A24" s="1" t="s">
        <v>27</v>
      </c>
      <c r="B24" s="1" t="s">
        <v>27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5" t="s">
        <v>17</v>
      </c>
      <c r="K24" s="3" t="s">
        <v>5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10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  <c r="AF24">
        <v>0</v>
      </c>
      <c r="AG24">
        <f t="shared" si="5"/>
        <v>0</v>
      </c>
    </row>
    <row r="25" spans="1:33" x14ac:dyDescent="0.3">
      <c r="A25" s="1" t="s">
        <v>27</v>
      </c>
      <c r="B25" s="1" t="s">
        <v>27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2" t="s">
        <v>4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10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  <c r="AF25">
        <v>0</v>
      </c>
      <c r="AG25">
        <f t="shared" si="5"/>
        <v>0</v>
      </c>
    </row>
    <row r="26" spans="1:33" x14ac:dyDescent="0.3">
      <c r="A26" s="1" t="s">
        <v>27</v>
      </c>
      <c r="B26" s="1" t="s">
        <v>27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2" t="s">
        <v>4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10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  <c r="AF26">
        <v>0</v>
      </c>
      <c r="AG26">
        <f t="shared" si="5"/>
        <v>0</v>
      </c>
    </row>
    <row r="27" spans="1:33" x14ac:dyDescent="0.3">
      <c r="A27" s="1" t="s">
        <v>27</v>
      </c>
      <c r="B27" s="1" t="s">
        <v>27</v>
      </c>
      <c r="C27" s="17" t="s">
        <v>19</v>
      </c>
      <c r="D27" s="25"/>
      <c r="E27" s="25"/>
      <c r="F27" s="25"/>
      <c r="G27" s="25"/>
      <c r="H27" s="26"/>
      <c r="I27" s="1" t="s">
        <v>27</v>
      </c>
      <c r="J27" s="15" t="s">
        <v>17</v>
      </c>
      <c r="K27" s="2" t="s">
        <v>4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13</v>
      </c>
      <c r="Y27" s="45">
        <v>13</v>
      </c>
      <c r="Z27" s="1">
        <f t="shared" si="1"/>
        <v>0</v>
      </c>
      <c r="AA27" s="1">
        <f t="shared" si="2"/>
        <v>3</v>
      </c>
      <c r="AB27" s="53">
        <f t="shared" si="3"/>
        <v>10</v>
      </c>
      <c r="AC27">
        <v>15</v>
      </c>
      <c r="AD27">
        <f t="shared" si="4"/>
        <v>0</v>
      </c>
      <c r="AF27">
        <v>13</v>
      </c>
      <c r="AG27">
        <f t="shared" si="5"/>
        <v>0</v>
      </c>
    </row>
    <row r="28" spans="1:33" x14ac:dyDescent="0.3">
      <c r="A28" s="1" t="s">
        <v>27</v>
      </c>
      <c r="B28" s="1" t="s">
        <v>27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15" t="s">
        <v>17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F28">
        <v>3</v>
      </c>
      <c r="AG28">
        <f t="shared" si="5"/>
        <v>0</v>
      </c>
    </row>
    <row r="29" spans="1:33" ht="15" thickBot="1" x14ac:dyDescent="0.35">
      <c r="A29" s="1" t="s">
        <v>27</v>
      </c>
      <c r="B29" s="1" t="s">
        <v>27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33" x14ac:dyDescent="0.3">
      <c r="A30" s="1" t="s">
        <v>27</v>
      </c>
      <c r="B30" s="1" t="s">
        <v>27</v>
      </c>
      <c r="C30" s="10" t="s">
        <v>12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15" t="s">
        <v>17</v>
      </c>
      <c r="L30" s="25"/>
      <c r="M30" s="25"/>
      <c r="N30" s="25"/>
      <c r="O30" s="25"/>
      <c r="P30" s="26"/>
    </row>
    <row r="31" spans="1:33" x14ac:dyDescent="0.3">
      <c r="A31" s="1" t="s">
        <v>27</v>
      </c>
      <c r="B31" s="1" t="s">
        <v>27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16" t="s">
        <v>28</v>
      </c>
      <c r="L31" s="25"/>
      <c r="M31" s="25"/>
      <c r="N31" s="25"/>
      <c r="O31" s="25"/>
      <c r="P31" s="26"/>
      <c r="Y31">
        <f>SUM(Y3:Y28)</f>
        <v>1063</v>
      </c>
      <c r="AB31">
        <f>SUM(AB3:AB28)</f>
        <v>929</v>
      </c>
      <c r="AC31">
        <f>SUM(AC3:AC28)</f>
        <v>1074</v>
      </c>
      <c r="AD31">
        <f>SUM(AD3:AD28)+7000</f>
        <v>65360</v>
      </c>
    </row>
    <row r="32" spans="1:33" x14ac:dyDescent="0.3">
      <c r="A32" s="1" t="s">
        <v>27</v>
      </c>
      <c r="B32" s="1" t="s">
        <v>27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1" t="s">
        <v>27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1" t="s">
        <v>27</v>
      </c>
      <c r="C34" s="1" t="s">
        <v>27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5" t="s">
        <v>17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3" t="s">
        <v>5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3" t="s">
        <v>5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5" t="s">
        <v>17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2" t="s">
        <v>4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5" t="s">
        <v>17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17" t="s">
        <v>19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16" t="s">
        <v>18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4" t="s">
        <v>6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4" t="s">
        <v>6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4" t="s">
        <v>6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7" t="s">
        <v>20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4" t="s">
        <v>6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5" t="s">
        <v>17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4" t="s">
        <v>6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4" t="s">
        <v>6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1" t="s">
        <v>27</v>
      </c>
      <c r="B56" s="1" t="s">
        <v>27</v>
      </c>
      <c r="C56" s="4" t="s">
        <v>6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1" t="s">
        <v>27</v>
      </c>
      <c r="B57" s="1" t="s">
        <v>27</v>
      </c>
      <c r="C57" s="17" t="s">
        <v>20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1" t="s">
        <v>27</v>
      </c>
      <c r="B58" s="1" t="s">
        <v>27</v>
      </c>
      <c r="C58" s="4" t="s">
        <v>6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1" t="s">
        <v>27</v>
      </c>
      <c r="B59" s="1" t="s">
        <v>27</v>
      </c>
      <c r="C59" s="4" t="s">
        <v>6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1" t="s">
        <v>27</v>
      </c>
      <c r="B60" s="1" t="s">
        <v>27</v>
      </c>
      <c r="C60" s="4" t="s">
        <v>6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1" t="s">
        <v>27</v>
      </c>
      <c r="B61" s="1" t="s">
        <v>27</v>
      </c>
      <c r="C61" s="4" t="s">
        <v>6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1" t="s">
        <v>27</v>
      </c>
      <c r="B62" s="1" t="s">
        <v>27</v>
      </c>
      <c r="C62" s="4" t="s">
        <v>6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1" t="s">
        <v>27</v>
      </c>
      <c r="B63" s="1" t="s">
        <v>27</v>
      </c>
      <c r="C63" s="4" t="s">
        <v>6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1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1" t="s">
        <v>27</v>
      </c>
      <c r="B65" s="1" t="s">
        <v>27</v>
      </c>
      <c r="C65" s="4" t="s">
        <v>6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1" t="s">
        <v>27</v>
      </c>
      <c r="B66" s="1" t="s">
        <v>27</v>
      </c>
      <c r="C66" s="4" t="s">
        <v>6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1" t="s">
        <v>27</v>
      </c>
      <c r="B67" s="1" t="s">
        <v>27</v>
      </c>
      <c r="C67" s="4" t="s">
        <v>6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1" t="s">
        <v>27</v>
      </c>
      <c r="B68" s="1" t="s">
        <v>27</v>
      </c>
      <c r="C68" s="4" t="s">
        <v>6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1" t="s">
        <v>27</v>
      </c>
      <c r="B69" s="1" t="s">
        <v>27</v>
      </c>
      <c r="C69" s="4" t="s">
        <v>6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1" t="s">
        <v>27</v>
      </c>
      <c r="B70" s="1" t="s">
        <v>27</v>
      </c>
      <c r="C70" s="17" t="s">
        <v>20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1" t="s">
        <v>27</v>
      </c>
      <c r="B71" s="1" t="s">
        <v>27</v>
      </c>
      <c r="C71" s="4" t="s">
        <v>6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1" t="s">
        <v>27</v>
      </c>
      <c r="B72" s="1" t="s">
        <v>27</v>
      </c>
      <c r="C72" s="4" t="s">
        <v>6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1" t="s">
        <v>27</v>
      </c>
      <c r="B73" s="1" t="s">
        <v>27</v>
      </c>
      <c r="C73" s="4" t="s">
        <v>6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1" t="s">
        <v>27</v>
      </c>
      <c r="B74" s="1" t="s">
        <v>27</v>
      </c>
      <c r="C74" s="4" t="s">
        <v>6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1" t="s">
        <v>27</v>
      </c>
      <c r="B75" s="1" t="s">
        <v>27</v>
      </c>
      <c r="C75" s="4" t="s">
        <v>6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1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1" t="s">
        <v>27</v>
      </c>
      <c r="B77" s="1" t="s">
        <v>27</v>
      </c>
      <c r="C77" s="4" t="s">
        <v>6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1" t="s">
        <v>27</v>
      </c>
      <c r="B78" s="1" t="s">
        <v>27</v>
      </c>
      <c r="C78" s="4" t="s">
        <v>6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1" t="s">
        <v>27</v>
      </c>
      <c r="B79" s="1" t="s">
        <v>27</v>
      </c>
      <c r="C79" s="10" t="s">
        <v>12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1" t="s">
        <v>27</v>
      </c>
      <c r="B80" s="1" t="s">
        <v>27</v>
      </c>
      <c r="C80" s="4" t="s">
        <v>6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1" t="s">
        <v>27</v>
      </c>
      <c r="B81" s="1" t="s">
        <v>27</v>
      </c>
      <c r="C81" s="4" t="s">
        <v>6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1" t="s">
        <v>27</v>
      </c>
      <c r="B82" s="1" t="s">
        <v>27</v>
      </c>
      <c r="C82" s="17" t="s">
        <v>19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1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1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1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1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1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1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1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1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1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1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1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1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1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1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1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4D77-1F6D-4C31-A33A-8E332114B921}">
  <dimension ref="A1:AG100"/>
  <sheetViews>
    <sheetView zoomScale="85" zoomScaleNormal="85" workbookViewId="0">
      <selection activeCell="D2" sqref="D2:H8"/>
    </sheetView>
  </sheetViews>
  <sheetFormatPr defaultRowHeight="14.4" x14ac:dyDescent="0.3"/>
  <cols>
    <col min="23" max="23" width="8.88671875" customWidth="1"/>
  </cols>
  <sheetData>
    <row r="1" spans="1:33" ht="15.6" x14ac:dyDescent="0.3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2644.6651676428455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  <c r="AD1" t="s">
        <v>66</v>
      </c>
    </row>
    <row r="2" spans="1:33" ht="28.8" x14ac:dyDescent="0.3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64905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  <c r="AF2" t="s">
        <v>55</v>
      </c>
    </row>
    <row r="3" spans="1:33" x14ac:dyDescent="0.3">
      <c r="A3" s="60" t="s">
        <v>31</v>
      </c>
      <c r="B3" s="58" t="s">
        <v>32</v>
      </c>
      <c r="C3" s="59" t="s">
        <v>33</v>
      </c>
      <c r="D3" s="32"/>
      <c r="E3" s="60" t="s">
        <v>31</v>
      </c>
      <c r="F3" s="58" t="s">
        <v>32</v>
      </c>
      <c r="G3" s="59" t="s">
        <v>33</v>
      </c>
      <c r="H3" s="33" t="s">
        <v>36</v>
      </c>
      <c r="I3" s="60" t="s">
        <v>31</v>
      </c>
      <c r="J3" s="58" t="s">
        <v>32</v>
      </c>
      <c r="K3" s="59" t="s">
        <v>33</v>
      </c>
      <c r="L3" s="32"/>
      <c r="M3" s="60" t="s">
        <v>31</v>
      </c>
      <c r="N3" s="58" t="s">
        <v>32</v>
      </c>
      <c r="O3" s="59" t="s">
        <v>33</v>
      </c>
      <c r="P3" s="33" t="s">
        <v>36</v>
      </c>
      <c r="Q3" s="52" t="s">
        <v>49</v>
      </c>
      <c r="R3" s="25">
        <v>90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13</v>
      </c>
      <c r="Z3" s="1">
        <f>COUNTIF($A$4:$C$100,T3)</f>
        <v>5</v>
      </c>
      <c r="AA3" s="1">
        <f>COUNTIF($I$4:$K$100,T3)</f>
        <v>8</v>
      </c>
      <c r="AB3" s="53">
        <f>Y3-Z3-AA3</f>
        <v>0</v>
      </c>
      <c r="AC3">
        <v>24</v>
      </c>
      <c r="AD3">
        <f>AC3*V3</f>
        <v>840</v>
      </c>
      <c r="AF3">
        <v>14</v>
      </c>
      <c r="AG3">
        <f>AF3-Y3</f>
        <v>1</v>
      </c>
    </row>
    <row r="4" spans="1:33" x14ac:dyDescent="0.3">
      <c r="A4" s="2" t="s">
        <v>4</v>
      </c>
      <c r="B4" s="2" t="s">
        <v>4</v>
      </c>
      <c r="C4" s="3" t="s">
        <v>5</v>
      </c>
      <c r="D4" s="42" t="s">
        <v>34</v>
      </c>
      <c r="E4" s="38">
        <v>0</v>
      </c>
      <c r="F4" s="38">
        <v>0</v>
      </c>
      <c r="G4" s="38">
        <v>27</v>
      </c>
      <c r="H4" s="35">
        <f>SUM(E4:G4)</f>
        <v>27</v>
      </c>
      <c r="I4" s="2" t="s">
        <v>4</v>
      </c>
      <c r="J4" s="15" t="s">
        <v>17</v>
      </c>
      <c r="K4" s="16" t="s">
        <v>28</v>
      </c>
      <c r="L4" s="42" t="s">
        <v>34</v>
      </c>
      <c r="M4" s="38">
        <v>0</v>
      </c>
      <c r="N4" s="38">
        <v>10</v>
      </c>
      <c r="O4" s="38">
        <v>10</v>
      </c>
      <c r="P4" s="35">
        <f>SUM(M4:O4)</f>
        <v>20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28</v>
      </c>
      <c r="Z4" s="1">
        <f t="shared" ref="Z4:Z28" si="1">COUNTIF($A$4:$C$100,T4)</f>
        <v>4</v>
      </c>
      <c r="AA4" s="1">
        <f t="shared" ref="AA4:AA28" si="2">COUNTIF($I$4:$K$100,T4)</f>
        <v>24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  <c r="AF4">
        <v>50</v>
      </c>
      <c r="AG4">
        <f t="shared" ref="AG4:AG28" si="5">AF4-Y4</f>
        <v>22</v>
      </c>
    </row>
    <row r="5" spans="1:33" x14ac:dyDescent="0.3">
      <c r="A5" s="2" t="s">
        <v>4</v>
      </c>
      <c r="B5" s="2" t="s">
        <v>4</v>
      </c>
      <c r="C5" s="3" t="s">
        <v>5</v>
      </c>
      <c r="D5" s="32" t="s">
        <v>38</v>
      </c>
      <c r="E5" s="34" cm="1">
        <f t="array" ref="E5">(SUM(VLOOKUP(A4:A100,$T$3:$W$41,2,FALSE))+E4*10)-E8*50</f>
        <v>300</v>
      </c>
      <c r="F5" s="34" cm="1">
        <f t="array" ref="F5">(SUM(VLOOKUP(B4:B100,$T$3:$W$41,2,FALSE))+F4*10)-F8*50</f>
        <v>820</v>
      </c>
      <c r="G5" s="34" cm="1">
        <f t="array" ref="G5">(SUM(VLOOKUP(C4:C100,$T$3:$W$41,2,FALSE))+G4*10)-G8*50</f>
        <v>11890</v>
      </c>
      <c r="H5" s="57">
        <f t="shared" ref="H5:H8" si="6">SUM(E5:G5)</f>
        <v>13010</v>
      </c>
      <c r="I5" s="2" t="s">
        <v>4</v>
      </c>
      <c r="J5" s="1" t="s">
        <v>27</v>
      </c>
      <c r="K5" s="3" t="s">
        <v>5</v>
      </c>
      <c r="L5" s="32" t="s">
        <v>38</v>
      </c>
      <c r="M5" s="34" cm="1">
        <f t="array" ref="M5">(SUM(VLOOKUP(I4:I100,$T$3:$W$41,2,FALSE))+M4*10)*0.8-M8*40</f>
        <v>568</v>
      </c>
      <c r="N5" s="34" cm="1">
        <f t="array" ref="N5">(SUM(VLOOKUP(J4:J100,$T$3:$W$41,2,FALSE))+N4*10)*0.8-N8*40</f>
        <v>960</v>
      </c>
      <c r="O5" s="34" cm="1">
        <f t="array" ref="O5">(SUM(VLOOKUP(K4:K100,$T$3:$W$41,2,FALSE))+O4*10)*0.8-O8*40</f>
        <v>2864</v>
      </c>
      <c r="P5" s="57">
        <f>SUM(M5:O5)</f>
        <v>4392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237</v>
      </c>
      <c r="Z5" s="1">
        <f t="shared" si="1"/>
        <v>55</v>
      </c>
      <c r="AA5" s="1">
        <f t="shared" si="2"/>
        <v>0</v>
      </c>
      <c r="AB5" s="53">
        <f t="shared" si="3"/>
        <v>182</v>
      </c>
      <c r="AC5">
        <v>247</v>
      </c>
      <c r="AD5">
        <f t="shared" si="4"/>
        <v>11115</v>
      </c>
      <c r="AF5">
        <v>225</v>
      </c>
      <c r="AG5">
        <f t="shared" si="5"/>
        <v>-12</v>
      </c>
    </row>
    <row r="6" spans="1:33" x14ac:dyDescent="0.3">
      <c r="A6" s="1" t="s">
        <v>27</v>
      </c>
      <c r="B6" s="15" t="s">
        <v>17</v>
      </c>
      <c r="C6" s="9" t="s">
        <v>11</v>
      </c>
      <c r="D6" s="32" t="s">
        <v>39</v>
      </c>
      <c r="E6" s="34" cm="1">
        <f t="array" ref="E6">(SUM(VLOOKUP(A4:A100,$T$3:$W$41,3,FALSE)))</f>
        <v>70</v>
      </c>
      <c r="F6" s="34" cm="1">
        <f t="array" ref="F6">(SUM(VLOOKUP(B4:B100,$T$3:$W$41,3,FALSE)))</f>
        <v>215</v>
      </c>
      <c r="G6" s="34" cm="1">
        <f t="array" ref="G6">(SUM(VLOOKUP(C4:C100,$T$3:$W$41,3,FALSE)))</f>
        <v>3930</v>
      </c>
      <c r="H6" s="48">
        <f t="shared" si="6"/>
        <v>4215</v>
      </c>
      <c r="I6" s="15" t="s">
        <v>17</v>
      </c>
      <c r="J6" s="1" t="s">
        <v>27</v>
      </c>
      <c r="K6" s="3" t="s">
        <v>5</v>
      </c>
      <c r="L6" s="32" t="s">
        <v>39</v>
      </c>
      <c r="M6" s="34" cm="1">
        <f t="array" ref="M6">(SUM(VLOOKUP(I4:I100,$T$3:$W$41,3,FALSE)))</f>
        <v>205</v>
      </c>
      <c r="N6" s="34" cm="1">
        <f t="array" ref="N6">(SUM(VLOOKUP(J4:J100,$T$3:$W$41,3,FALSE)))</f>
        <v>420</v>
      </c>
      <c r="O6" s="34" cm="1">
        <f t="array" ref="O6">(SUM(VLOOKUP(K4:K100,$T$3:$W$41,3,FALSE)))</f>
        <v>1655</v>
      </c>
      <c r="P6" s="48">
        <f t="shared" ref="P5:P8" si="7">SUM(M6:O6)</f>
        <v>2280</v>
      </c>
      <c r="Q6" s="49" t="s">
        <v>52</v>
      </c>
      <c r="R6" s="25">
        <f>R3*1600-800+R5</f>
        <v>149200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276</v>
      </c>
      <c r="Y6" s="45">
        <v>276</v>
      </c>
      <c r="Z6" s="1">
        <f t="shared" si="1"/>
        <v>0</v>
      </c>
      <c r="AA6" s="1">
        <f t="shared" si="2"/>
        <v>0</v>
      </c>
      <c r="AB6" s="53">
        <f t="shared" si="3"/>
        <v>276</v>
      </c>
      <c r="AC6">
        <v>267</v>
      </c>
      <c r="AD6">
        <f t="shared" si="4"/>
        <v>13350</v>
      </c>
      <c r="AF6">
        <v>267</v>
      </c>
      <c r="AG6">
        <f t="shared" si="5"/>
        <v>-9</v>
      </c>
    </row>
    <row r="7" spans="1:33" x14ac:dyDescent="0.3">
      <c r="A7" s="1" t="s">
        <v>27</v>
      </c>
      <c r="B7" s="2" t="s">
        <v>4</v>
      </c>
      <c r="C7" s="4" t="s">
        <v>6</v>
      </c>
      <c r="D7" s="32" t="s">
        <v>40</v>
      </c>
      <c r="E7" s="34">
        <f>COUNTIF(A4:A100,"&lt;&gt;空")</f>
        <v>2</v>
      </c>
      <c r="F7" s="34">
        <f>COUNTIF(B4:B100,"&lt;&gt;空")</f>
        <v>6</v>
      </c>
      <c r="G7" s="34">
        <f>COUNTIF(C4:C100,"&lt;&gt;空")</f>
        <v>74</v>
      </c>
      <c r="H7" s="35">
        <f t="shared" si="6"/>
        <v>82</v>
      </c>
      <c r="I7" s="2" t="s">
        <v>4</v>
      </c>
      <c r="J7" s="1" t="s">
        <v>27</v>
      </c>
      <c r="K7" s="15" t="s">
        <v>17</v>
      </c>
      <c r="L7" s="32" t="s">
        <v>40</v>
      </c>
      <c r="M7" s="34">
        <f>COUNTIF(I4:I100,"&lt;&gt;空")</f>
        <v>6</v>
      </c>
      <c r="N7" s="34">
        <f>COUNTIF(J4:J100,"&lt;&gt;空")</f>
        <v>13</v>
      </c>
      <c r="O7" s="34">
        <f>COUNTIF(K4:K100,"&lt;&gt;空")</f>
        <v>34</v>
      </c>
      <c r="P7" s="35">
        <f t="shared" si="7"/>
        <v>53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237</v>
      </c>
      <c r="Y7" s="45">
        <v>237</v>
      </c>
      <c r="Z7" s="1">
        <f t="shared" si="1"/>
        <v>0</v>
      </c>
      <c r="AA7" s="1">
        <f t="shared" si="2"/>
        <v>0</v>
      </c>
      <c r="AB7" s="53">
        <f t="shared" si="3"/>
        <v>237</v>
      </c>
      <c r="AC7">
        <v>235</v>
      </c>
      <c r="AD7">
        <f t="shared" si="4"/>
        <v>12925</v>
      </c>
      <c r="AF7">
        <v>232</v>
      </c>
      <c r="AG7">
        <f t="shared" si="5"/>
        <v>-5</v>
      </c>
    </row>
    <row r="8" spans="1:33" x14ac:dyDescent="0.3">
      <c r="A8" s="1" t="s">
        <v>27</v>
      </c>
      <c r="B8" s="3" t="s">
        <v>5</v>
      </c>
      <c r="C8" s="4" t="s">
        <v>6</v>
      </c>
      <c r="D8" s="41" t="s">
        <v>64</v>
      </c>
      <c r="E8" s="40">
        <v>0</v>
      </c>
      <c r="F8" s="40">
        <v>0</v>
      </c>
      <c r="G8" s="40">
        <v>0</v>
      </c>
      <c r="H8" s="35">
        <f t="shared" si="6"/>
        <v>0</v>
      </c>
      <c r="I8" s="3" t="s">
        <v>5</v>
      </c>
      <c r="J8" s="15" t="s">
        <v>17</v>
      </c>
      <c r="K8" s="9" t="s">
        <v>11</v>
      </c>
      <c r="L8" s="41" t="s">
        <v>64</v>
      </c>
      <c r="M8" s="40">
        <v>0</v>
      </c>
      <c r="N8" s="40">
        <v>1</v>
      </c>
      <c r="O8" s="40">
        <v>2</v>
      </c>
      <c r="P8" s="35">
        <f t="shared" si="7"/>
        <v>3</v>
      </c>
      <c r="Q8" s="49" t="s">
        <v>53</v>
      </c>
      <c r="R8" s="54" cm="1">
        <f t="array" ref="R8">R6-P5-H5-SUM(U3:U28*AB3:AB28)*0.8-R7*8</f>
        <v>-2</v>
      </c>
      <c r="S8" s="25"/>
      <c r="T8" s="7" t="s">
        <v>9</v>
      </c>
      <c r="U8" s="1">
        <v>200</v>
      </c>
      <c r="V8" s="1">
        <v>60</v>
      </c>
      <c r="W8" s="44"/>
      <c r="X8" s="45">
        <v>187</v>
      </c>
      <c r="Y8" s="45">
        <v>187</v>
      </c>
      <c r="Z8" s="1">
        <f t="shared" si="1"/>
        <v>0</v>
      </c>
      <c r="AA8" s="1">
        <f t="shared" si="2"/>
        <v>0</v>
      </c>
      <c r="AB8" s="53">
        <f t="shared" si="3"/>
        <v>187</v>
      </c>
      <c r="AC8">
        <v>193</v>
      </c>
      <c r="AD8">
        <f t="shared" si="4"/>
        <v>11580</v>
      </c>
      <c r="AF8">
        <v>190</v>
      </c>
      <c r="AG8">
        <f t="shared" si="5"/>
        <v>3</v>
      </c>
    </row>
    <row r="9" spans="1:33" x14ac:dyDescent="0.3">
      <c r="A9" s="1" t="s">
        <v>27</v>
      </c>
      <c r="B9" s="3" t="s">
        <v>5</v>
      </c>
      <c r="C9" s="4" t="s">
        <v>6</v>
      </c>
      <c r="D9" s="25"/>
      <c r="E9" s="25"/>
      <c r="F9" s="25"/>
      <c r="G9" s="25"/>
      <c r="H9" s="26"/>
      <c r="I9" s="15" t="s">
        <v>17</v>
      </c>
      <c r="J9" s="3" t="s">
        <v>5</v>
      </c>
      <c r="K9" s="3" t="s">
        <v>5</v>
      </c>
      <c r="L9" s="32" t="s">
        <v>42</v>
      </c>
      <c r="M9" s="36">
        <f>M6/M5</f>
        <v>0.3609154929577465</v>
      </c>
      <c r="N9" s="36">
        <f>N6/N5</f>
        <v>0.4375</v>
      </c>
      <c r="O9" s="36">
        <f>O6/O5</f>
        <v>0.57786312849162014</v>
      </c>
      <c r="P9" s="37">
        <f>P6/P5</f>
        <v>0.51912568306010931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0" si="8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  <c r="AF9">
        <v>0</v>
      </c>
      <c r="AG9">
        <f t="shared" si="5"/>
        <v>0</v>
      </c>
    </row>
    <row r="10" spans="1:33" x14ac:dyDescent="0.3">
      <c r="A10" s="1" t="s">
        <v>27</v>
      </c>
      <c r="B10" s="1" t="s">
        <v>27</v>
      </c>
      <c r="C10" s="17" t="s">
        <v>20</v>
      </c>
      <c r="D10" s="25"/>
      <c r="E10" s="25"/>
      <c r="F10" s="25"/>
      <c r="G10" s="25"/>
      <c r="H10" s="26"/>
      <c r="I10" s="1" t="s">
        <v>27</v>
      </c>
      <c r="J10" s="16" t="s">
        <v>28</v>
      </c>
      <c r="K10" s="15" t="s">
        <v>17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8"/>
        <v>29.110982162825422</v>
      </c>
      <c r="X10" s="45">
        <v>6</v>
      </c>
      <c r="Y10" s="45">
        <v>2</v>
      </c>
      <c r="Z10" s="1">
        <f t="shared" si="1"/>
        <v>1</v>
      </c>
      <c r="AA10" s="1">
        <f t="shared" si="2"/>
        <v>1</v>
      </c>
      <c r="AB10" s="53">
        <f t="shared" si="3"/>
        <v>0</v>
      </c>
      <c r="AC10">
        <v>2</v>
      </c>
      <c r="AD10">
        <f t="shared" si="4"/>
        <v>80</v>
      </c>
      <c r="AF10">
        <v>4</v>
      </c>
      <c r="AG10">
        <f t="shared" si="5"/>
        <v>2</v>
      </c>
    </row>
    <row r="11" spans="1:33" x14ac:dyDescent="0.3">
      <c r="A11" s="1" t="s">
        <v>27</v>
      </c>
      <c r="B11" s="1" t="s">
        <v>27</v>
      </c>
      <c r="C11" s="15" t="s">
        <v>17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3" t="s">
        <v>5</v>
      </c>
      <c r="L11" s="25"/>
      <c r="M11" s="25"/>
      <c r="N11" s="25"/>
      <c r="O11" s="25"/>
      <c r="P11" s="26">
        <f>H5+P5</f>
        <v>17402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  <c r="AF11">
        <v>6</v>
      </c>
      <c r="AG11">
        <f t="shared" si="5"/>
        <v>0</v>
      </c>
    </row>
    <row r="12" spans="1:33" x14ac:dyDescent="0.3">
      <c r="A12" s="1" t="s">
        <v>27</v>
      </c>
      <c r="B12" s="1" t="s">
        <v>27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3" t="s">
        <v>5</v>
      </c>
      <c r="K12" s="3" t="s">
        <v>5</v>
      </c>
      <c r="L12" s="25"/>
      <c r="M12" s="25"/>
      <c r="N12" s="25"/>
      <c r="O12" s="25"/>
      <c r="P12" s="26">
        <f>H6+P6</f>
        <v>6495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  <c r="AF12">
        <v>3</v>
      </c>
      <c r="AG12">
        <f t="shared" si="5"/>
        <v>0</v>
      </c>
    </row>
    <row r="13" spans="1:33" x14ac:dyDescent="0.3">
      <c r="A13" s="1" t="s">
        <v>27</v>
      </c>
      <c r="B13" s="1" t="s">
        <v>27</v>
      </c>
      <c r="C13" s="16" t="s">
        <v>18</v>
      </c>
      <c r="D13" s="25"/>
      <c r="E13" s="25"/>
      <c r="F13" s="25"/>
      <c r="G13" s="25"/>
      <c r="H13" s="26"/>
      <c r="I13" s="1" t="s">
        <v>27</v>
      </c>
      <c r="J13" s="15" t="s">
        <v>17</v>
      </c>
      <c r="K13" s="3" t="s">
        <v>5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  <c r="AF13">
        <v>3</v>
      </c>
      <c r="AG13">
        <f t="shared" si="5"/>
        <v>0</v>
      </c>
    </row>
    <row r="14" spans="1:33" x14ac:dyDescent="0.3">
      <c r="A14" s="1" t="s">
        <v>27</v>
      </c>
      <c r="B14" s="1" t="s">
        <v>27</v>
      </c>
      <c r="C14" s="4" t="s">
        <v>6</v>
      </c>
      <c r="D14" s="25"/>
      <c r="E14" s="25"/>
      <c r="F14" s="25"/>
      <c r="G14" s="25"/>
      <c r="H14" s="26"/>
      <c r="I14" s="1" t="s">
        <v>27</v>
      </c>
      <c r="J14" s="3" t="s">
        <v>5</v>
      </c>
      <c r="K14" s="2" t="s">
        <v>4</v>
      </c>
      <c r="L14" s="25"/>
      <c r="M14" s="25"/>
      <c r="N14" s="25"/>
      <c r="O14" s="25"/>
      <c r="P14" s="26"/>
      <c r="Q14" s="49"/>
      <c r="R14" s="25">
        <f>R6-13320</f>
        <v>135880</v>
      </c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  <c r="AF14">
        <v>1</v>
      </c>
      <c r="AG14">
        <f t="shared" si="5"/>
        <v>0</v>
      </c>
    </row>
    <row r="15" spans="1:33" x14ac:dyDescent="0.3">
      <c r="A15" s="1" t="s">
        <v>27</v>
      </c>
      <c r="B15" s="1" t="s">
        <v>27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3" t="s">
        <v>5</v>
      </c>
      <c r="K15" s="15" t="s">
        <v>17</v>
      </c>
      <c r="L15" s="25"/>
      <c r="M15" s="25"/>
      <c r="N15" s="25"/>
      <c r="O15" s="25"/>
      <c r="P15" s="26"/>
      <c r="Q15" s="49"/>
      <c r="R15" s="25">
        <f>R14/8</f>
        <v>16985</v>
      </c>
      <c r="S15" s="25"/>
      <c r="T15" s="14" t="s">
        <v>16</v>
      </c>
      <c r="U15" s="1">
        <v>150</v>
      </c>
      <c r="V15" s="1">
        <v>35</v>
      </c>
      <c r="W15" s="44">
        <f t="shared" ref="W15" si="9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  <c r="AF15">
        <v>1</v>
      </c>
      <c r="AG15">
        <f t="shared" si="5"/>
        <v>1</v>
      </c>
    </row>
    <row r="16" spans="1:33" x14ac:dyDescent="0.3">
      <c r="A16" s="1" t="s">
        <v>27</v>
      </c>
      <c r="B16" s="1" t="s">
        <v>27</v>
      </c>
      <c r="C16" s="17" t="s">
        <v>20</v>
      </c>
      <c r="D16" s="25"/>
      <c r="E16" s="25"/>
      <c r="F16" s="25"/>
      <c r="G16" s="25"/>
      <c r="H16" s="26"/>
      <c r="I16" s="1" t="s">
        <v>27</v>
      </c>
      <c r="J16" s="3" t="s">
        <v>5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40</v>
      </c>
      <c r="Z16" s="1">
        <f t="shared" si="1"/>
        <v>5</v>
      </c>
      <c r="AA16" s="1">
        <f t="shared" si="2"/>
        <v>16</v>
      </c>
      <c r="AB16" s="53">
        <f t="shared" si="3"/>
        <v>19</v>
      </c>
      <c r="AC16">
        <v>38</v>
      </c>
      <c r="AD16">
        <f t="shared" si="4"/>
        <v>1140</v>
      </c>
      <c r="AF16">
        <v>39</v>
      </c>
      <c r="AG16">
        <f t="shared" si="5"/>
        <v>-1</v>
      </c>
    </row>
    <row r="17" spans="1:33" x14ac:dyDescent="0.3">
      <c r="A17" s="1" t="s">
        <v>27</v>
      </c>
      <c r="B17" s="1" t="s">
        <v>27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5" t="s">
        <v>17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2</v>
      </c>
      <c r="Z17" s="1">
        <f t="shared" si="1"/>
        <v>2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  <c r="AF17">
        <v>2</v>
      </c>
      <c r="AG17">
        <f t="shared" si="5"/>
        <v>0</v>
      </c>
    </row>
    <row r="18" spans="1:33" x14ac:dyDescent="0.3">
      <c r="A18" s="1" t="s">
        <v>27</v>
      </c>
      <c r="B18" s="1" t="s">
        <v>27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2" t="s">
        <v>4</v>
      </c>
      <c r="K18" s="15" t="s">
        <v>17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  <c r="AF18">
        <v>3</v>
      </c>
      <c r="AG18">
        <f t="shared" si="5"/>
        <v>0</v>
      </c>
    </row>
    <row r="19" spans="1:33" x14ac:dyDescent="0.3">
      <c r="A19" s="1" t="s">
        <v>27</v>
      </c>
      <c r="B19" s="1" t="s">
        <v>27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2" t="s">
        <v>4</v>
      </c>
      <c r="K19" s="3" t="s">
        <v>5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  <c r="AF19">
        <v>5</v>
      </c>
      <c r="AG19">
        <f t="shared" si="5"/>
        <v>0</v>
      </c>
    </row>
    <row r="20" spans="1:33" x14ac:dyDescent="0.3">
      <c r="A20" s="1" t="s">
        <v>27</v>
      </c>
      <c r="B20" s="1" t="s">
        <v>27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5" t="s">
        <v>17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  <c r="AF20">
        <v>0</v>
      </c>
      <c r="AG20">
        <f t="shared" si="5"/>
        <v>0</v>
      </c>
    </row>
    <row r="21" spans="1:33" x14ac:dyDescent="0.3">
      <c r="A21" s="1" t="s">
        <v>27</v>
      </c>
      <c r="B21" s="1" t="s">
        <v>27</v>
      </c>
      <c r="C21" s="1" t="s">
        <v>27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15" t="s">
        <v>17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  <c r="AF21">
        <v>2</v>
      </c>
      <c r="AG21">
        <f t="shared" si="5"/>
        <v>0</v>
      </c>
    </row>
    <row r="22" spans="1:33" x14ac:dyDescent="0.3">
      <c r="A22" s="1" t="s">
        <v>27</v>
      </c>
      <c r="B22" s="1" t="s">
        <v>27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  <c r="AF22">
        <v>2</v>
      </c>
      <c r="AG22">
        <f t="shared" si="5"/>
        <v>0</v>
      </c>
    </row>
    <row r="23" spans="1:33" x14ac:dyDescent="0.3">
      <c r="A23" s="1" t="s">
        <v>27</v>
      </c>
      <c r="B23" s="1" t="s">
        <v>27</v>
      </c>
      <c r="C23" s="15" t="s">
        <v>17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23" t="s">
        <v>29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10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  <c r="AF23">
        <v>0</v>
      </c>
      <c r="AG23">
        <f t="shared" si="5"/>
        <v>0</v>
      </c>
    </row>
    <row r="24" spans="1:33" x14ac:dyDescent="0.3">
      <c r="A24" s="1" t="s">
        <v>27</v>
      </c>
      <c r="B24" s="1" t="s">
        <v>27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3" t="s">
        <v>5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10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  <c r="AF24">
        <v>0</v>
      </c>
      <c r="AG24">
        <f t="shared" si="5"/>
        <v>0</v>
      </c>
    </row>
    <row r="25" spans="1:33" x14ac:dyDescent="0.3">
      <c r="A25" s="1" t="s">
        <v>27</v>
      </c>
      <c r="B25" s="1" t="s">
        <v>27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10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  <c r="AF25">
        <v>0</v>
      </c>
      <c r="AG25">
        <f t="shared" si="5"/>
        <v>0</v>
      </c>
    </row>
    <row r="26" spans="1:33" x14ac:dyDescent="0.3">
      <c r="A26" s="1" t="s">
        <v>27</v>
      </c>
      <c r="B26" s="1" t="s">
        <v>27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10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  <c r="AF26">
        <v>0</v>
      </c>
      <c r="AG26">
        <f t="shared" si="5"/>
        <v>0</v>
      </c>
    </row>
    <row r="27" spans="1:33" x14ac:dyDescent="0.3">
      <c r="A27" s="1" t="s">
        <v>27</v>
      </c>
      <c r="B27" s="1" t="s">
        <v>27</v>
      </c>
      <c r="C27" s="17" t="s">
        <v>19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2" t="s">
        <v>4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13</v>
      </c>
      <c r="Y27" s="45">
        <v>13</v>
      </c>
      <c r="Z27" s="1">
        <f t="shared" si="1"/>
        <v>0</v>
      </c>
      <c r="AA27" s="1">
        <f t="shared" si="2"/>
        <v>3</v>
      </c>
      <c r="AB27" s="53">
        <f t="shared" si="3"/>
        <v>10</v>
      </c>
      <c r="AC27">
        <v>15</v>
      </c>
      <c r="AD27">
        <f t="shared" si="4"/>
        <v>0</v>
      </c>
      <c r="AF27">
        <v>13</v>
      </c>
      <c r="AG27">
        <f t="shared" si="5"/>
        <v>0</v>
      </c>
    </row>
    <row r="28" spans="1:33" x14ac:dyDescent="0.3">
      <c r="A28" s="1" t="s">
        <v>27</v>
      </c>
      <c r="B28" s="1" t="s">
        <v>27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15" t="s">
        <v>17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F28">
        <v>3</v>
      </c>
      <c r="AG28">
        <f t="shared" si="5"/>
        <v>0</v>
      </c>
    </row>
    <row r="29" spans="1:33" ht="15" thickBot="1" x14ac:dyDescent="0.35">
      <c r="A29" s="1" t="s">
        <v>27</v>
      </c>
      <c r="B29" s="1" t="s">
        <v>27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33" x14ac:dyDescent="0.3">
      <c r="A30" s="1" t="s">
        <v>27</v>
      </c>
      <c r="B30" s="1" t="s">
        <v>27</v>
      </c>
      <c r="C30" s="10" t="s">
        <v>12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15" t="s">
        <v>17</v>
      </c>
      <c r="L30" s="25"/>
      <c r="M30" s="25"/>
      <c r="N30" s="25"/>
      <c r="O30" s="25"/>
      <c r="P30" s="26"/>
    </row>
    <row r="31" spans="1:33" x14ac:dyDescent="0.3">
      <c r="A31" s="1" t="s">
        <v>27</v>
      </c>
      <c r="B31" s="1" t="s">
        <v>27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16" t="s">
        <v>28</v>
      </c>
      <c r="L31" s="25"/>
      <c r="M31" s="25"/>
      <c r="N31" s="25"/>
      <c r="O31" s="25"/>
      <c r="P31" s="26"/>
      <c r="Y31">
        <f>SUM(Y3:Y28)</f>
        <v>1063</v>
      </c>
      <c r="AB31">
        <f>SUM(AB3:AB28)</f>
        <v>928</v>
      </c>
      <c r="AC31">
        <f>SUM(AC3:AC28)</f>
        <v>1074</v>
      </c>
      <c r="AD31">
        <f>SUM(AD3:AD28)+7000</f>
        <v>65360</v>
      </c>
    </row>
    <row r="32" spans="1:33" x14ac:dyDescent="0.3">
      <c r="A32" s="1" t="s">
        <v>27</v>
      </c>
      <c r="B32" s="1" t="s">
        <v>27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1" t="s">
        <v>27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1" t="s">
        <v>27</v>
      </c>
      <c r="C34" s="1" t="s">
        <v>27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5" t="s">
        <v>17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3" t="s">
        <v>5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3" t="s">
        <v>5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5" t="s">
        <v>17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2" t="s">
        <v>4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5" t="s">
        <v>17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17" t="s">
        <v>19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16" t="s">
        <v>18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4" t="s">
        <v>6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4" t="s">
        <v>6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4" t="s">
        <v>6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7" t="s">
        <v>20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4" t="s">
        <v>6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5" t="s">
        <v>17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4" t="s">
        <v>6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4" t="s">
        <v>6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1" t="s">
        <v>27</v>
      </c>
      <c r="B56" s="1" t="s">
        <v>27</v>
      </c>
      <c r="C56" s="4" t="s">
        <v>6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1" t="s">
        <v>27</v>
      </c>
      <c r="B57" s="1" t="s">
        <v>27</v>
      </c>
      <c r="C57" s="17" t="s">
        <v>20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1" t="s">
        <v>27</v>
      </c>
      <c r="B58" s="1" t="s">
        <v>27</v>
      </c>
      <c r="C58" s="4" t="s">
        <v>6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1" t="s">
        <v>27</v>
      </c>
      <c r="B59" s="1" t="s">
        <v>27</v>
      </c>
      <c r="C59" s="4" t="s">
        <v>6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1" t="s">
        <v>27</v>
      </c>
      <c r="B60" s="1" t="s">
        <v>27</v>
      </c>
      <c r="C60" s="4" t="s">
        <v>6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1" t="s">
        <v>27</v>
      </c>
      <c r="B61" s="1" t="s">
        <v>27</v>
      </c>
      <c r="C61" s="4" t="s">
        <v>6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1" t="s">
        <v>27</v>
      </c>
      <c r="B62" s="1" t="s">
        <v>27</v>
      </c>
      <c r="C62" s="4" t="s">
        <v>6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1" t="s">
        <v>27</v>
      </c>
      <c r="B63" s="1" t="s">
        <v>27</v>
      </c>
      <c r="C63" s="4" t="s">
        <v>6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1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1" t="s">
        <v>27</v>
      </c>
      <c r="B65" s="1" t="s">
        <v>27</v>
      </c>
      <c r="C65" s="4" t="s">
        <v>6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1" t="s">
        <v>27</v>
      </c>
      <c r="B66" s="1" t="s">
        <v>27</v>
      </c>
      <c r="C66" s="4" t="s">
        <v>6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1" t="s">
        <v>27</v>
      </c>
      <c r="B67" s="1" t="s">
        <v>27</v>
      </c>
      <c r="C67" s="4" t="s">
        <v>6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1" t="s">
        <v>27</v>
      </c>
      <c r="B68" s="1" t="s">
        <v>27</v>
      </c>
      <c r="C68" s="4" t="s">
        <v>6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1" t="s">
        <v>27</v>
      </c>
      <c r="B69" s="1" t="s">
        <v>27</v>
      </c>
      <c r="C69" s="4" t="s">
        <v>6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1" t="s">
        <v>27</v>
      </c>
      <c r="B70" s="1" t="s">
        <v>27</v>
      </c>
      <c r="C70" s="17" t="s">
        <v>20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1" t="s">
        <v>27</v>
      </c>
      <c r="B71" s="1" t="s">
        <v>27</v>
      </c>
      <c r="C71" s="4" t="s">
        <v>6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1" t="s">
        <v>27</v>
      </c>
      <c r="B72" s="1" t="s">
        <v>27</v>
      </c>
      <c r="C72" s="4" t="s">
        <v>6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1" t="s">
        <v>27</v>
      </c>
      <c r="B73" s="1" t="s">
        <v>27</v>
      </c>
      <c r="C73" s="4" t="s">
        <v>6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1" t="s">
        <v>27</v>
      </c>
      <c r="B74" s="1" t="s">
        <v>27</v>
      </c>
      <c r="C74" s="4" t="s">
        <v>6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1" t="s">
        <v>27</v>
      </c>
      <c r="B75" s="1" t="s">
        <v>27</v>
      </c>
      <c r="C75" s="4" t="s">
        <v>6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1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1" t="s">
        <v>27</v>
      </c>
      <c r="B77" s="1" t="s">
        <v>27</v>
      </c>
      <c r="C77" s="4" t="s">
        <v>6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1" t="s">
        <v>27</v>
      </c>
      <c r="B78" s="1" t="s">
        <v>27</v>
      </c>
      <c r="C78" s="4" t="s">
        <v>6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1" t="s">
        <v>27</v>
      </c>
      <c r="B79" s="1" t="s">
        <v>27</v>
      </c>
      <c r="C79" s="10" t="s">
        <v>12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1" t="s">
        <v>27</v>
      </c>
      <c r="B80" s="1" t="s">
        <v>27</v>
      </c>
      <c r="C80" s="4" t="s">
        <v>6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1" t="s">
        <v>27</v>
      </c>
      <c r="B81" s="1" t="s">
        <v>27</v>
      </c>
      <c r="C81" s="4" t="s">
        <v>6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1" t="s">
        <v>27</v>
      </c>
      <c r="B82" s="1" t="s">
        <v>27</v>
      </c>
      <c r="C82" s="17" t="s">
        <v>19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1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1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1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1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1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1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1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1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1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1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1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1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1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1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1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3FDA-0F3F-404F-BF6D-311349AB5791}">
  <dimension ref="A1:AG100"/>
  <sheetViews>
    <sheetView zoomScale="85" zoomScaleNormal="85" workbookViewId="0">
      <selection activeCell="O13" sqref="O13"/>
    </sheetView>
  </sheetViews>
  <sheetFormatPr defaultRowHeight="14.4" x14ac:dyDescent="0.3"/>
  <cols>
    <col min="23" max="23" width="8.88671875" hidden="1" customWidth="1"/>
  </cols>
  <sheetData>
    <row r="1" spans="1:33" ht="15.6" x14ac:dyDescent="0.3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2701.5540404131984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  <c r="AD1" t="s">
        <v>66</v>
      </c>
    </row>
    <row r="2" spans="1:33" ht="28.8" x14ac:dyDescent="0.3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64870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  <c r="AF2" t="s">
        <v>55</v>
      </c>
    </row>
    <row r="3" spans="1:33" x14ac:dyDescent="0.3">
      <c r="A3" s="60" t="s">
        <v>31</v>
      </c>
      <c r="B3" s="58" t="s">
        <v>32</v>
      </c>
      <c r="C3" s="59" t="s">
        <v>33</v>
      </c>
      <c r="D3" s="32"/>
      <c r="E3" s="60" t="s">
        <v>31</v>
      </c>
      <c r="F3" s="58" t="s">
        <v>32</v>
      </c>
      <c r="G3" s="59" t="s">
        <v>33</v>
      </c>
      <c r="H3" s="33" t="s">
        <v>36</v>
      </c>
      <c r="I3" s="60" t="s">
        <v>31</v>
      </c>
      <c r="J3" s="58" t="s">
        <v>32</v>
      </c>
      <c r="K3" s="59" t="s">
        <v>33</v>
      </c>
      <c r="L3" s="32"/>
      <c r="M3" s="60" t="s">
        <v>31</v>
      </c>
      <c r="N3" s="58" t="s">
        <v>32</v>
      </c>
      <c r="O3" s="59" t="s">
        <v>33</v>
      </c>
      <c r="P3" s="33" t="s">
        <v>36</v>
      </c>
      <c r="Q3" s="52" t="s">
        <v>49</v>
      </c>
      <c r="R3" s="25">
        <v>90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12</v>
      </c>
      <c r="Z3" s="1">
        <f>COUNTIF($A$4:$C$100,T3)</f>
        <v>5</v>
      </c>
      <c r="AA3" s="1">
        <f>COUNTIF($I$4:$K$100,T3)</f>
        <v>7</v>
      </c>
      <c r="AB3" s="53">
        <f>Y3-Z3-AA3</f>
        <v>0</v>
      </c>
      <c r="AC3">
        <v>24</v>
      </c>
      <c r="AD3">
        <f>AC3*V3</f>
        <v>840</v>
      </c>
      <c r="AF3">
        <v>14</v>
      </c>
      <c r="AG3">
        <f>AF3-Y3</f>
        <v>2</v>
      </c>
    </row>
    <row r="4" spans="1:33" x14ac:dyDescent="0.3">
      <c r="A4" s="2" t="s">
        <v>4</v>
      </c>
      <c r="B4" s="2" t="s">
        <v>4</v>
      </c>
      <c r="C4" s="15" t="s">
        <v>17</v>
      </c>
      <c r="D4" s="42" t="s">
        <v>34</v>
      </c>
      <c r="E4" s="38">
        <v>0</v>
      </c>
      <c r="F4" s="38">
        <v>0</v>
      </c>
      <c r="G4" s="38">
        <v>25</v>
      </c>
      <c r="H4" s="35">
        <f>SUM(E4:G4)</f>
        <v>25</v>
      </c>
      <c r="I4" s="2" t="s">
        <v>4</v>
      </c>
      <c r="J4" s="3" t="s">
        <v>5</v>
      </c>
      <c r="K4" s="3" t="s">
        <v>5</v>
      </c>
      <c r="L4" s="42" t="s">
        <v>34</v>
      </c>
      <c r="M4" s="38">
        <v>0</v>
      </c>
      <c r="N4" s="38">
        <v>8</v>
      </c>
      <c r="O4" s="38">
        <v>6</v>
      </c>
      <c r="P4" s="35">
        <f>SUM(M4:O4)</f>
        <v>14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29</v>
      </c>
      <c r="Z4" s="1">
        <f t="shared" ref="Z4:Z28" si="1">COUNTIF($A$4:$C$100,T4)</f>
        <v>4</v>
      </c>
      <c r="AA4" s="1">
        <f t="shared" ref="AA4:AA28" si="2">COUNTIF($I$4:$K$100,T4)</f>
        <v>25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  <c r="AF4">
        <v>50</v>
      </c>
      <c r="AG4">
        <f t="shared" ref="AG4:AG28" si="5">AF4-Y4</f>
        <v>21</v>
      </c>
    </row>
    <row r="5" spans="1:33" x14ac:dyDescent="0.3">
      <c r="A5" s="2" t="s">
        <v>4</v>
      </c>
      <c r="B5" s="15" t="s">
        <v>17</v>
      </c>
      <c r="C5" s="3" t="s">
        <v>5</v>
      </c>
      <c r="D5" s="32" t="s">
        <v>38</v>
      </c>
      <c r="E5" s="34" cm="1">
        <f t="array" ref="E5">(SUM(VLOOKUP(A4:A100,$T$3:$W$41,2,FALSE))+E4*10)-E8*50</f>
        <v>450</v>
      </c>
      <c r="F5" s="34" cm="1">
        <f t="array" ref="F5">(SUM(VLOOKUP(B4:B100,$T$3:$W$41,2,FALSE))+F4*10)-F8*50</f>
        <v>830</v>
      </c>
      <c r="G5" s="34" cm="1">
        <f t="array" ref="G5">(SUM(VLOOKUP(C4:C100,$T$3:$W$41,2,FALSE))+G4*10)-G8*50</f>
        <v>12370</v>
      </c>
      <c r="H5" s="57">
        <f t="shared" ref="H5:H8" si="6">SUM(E5:G5)</f>
        <v>13650</v>
      </c>
      <c r="I5" s="2" t="s">
        <v>4</v>
      </c>
      <c r="J5" s="16" t="s">
        <v>28</v>
      </c>
      <c r="K5" s="3" t="s">
        <v>5</v>
      </c>
      <c r="L5" s="32" t="s">
        <v>38</v>
      </c>
      <c r="M5" s="34" cm="1">
        <f t="array" ref="M5">(SUM(VLOOKUP(I4:I100,$T$3:$W$41,2,FALSE))+M4*10)*0.8-M8*40</f>
        <v>280</v>
      </c>
      <c r="N5" s="34" cm="1">
        <f t="array" ref="N5">(SUM(VLOOKUP(J4:J100,$T$3:$W$41,2,FALSE))+N4*10)*0.8-N8*40</f>
        <v>1472</v>
      </c>
      <c r="O5" s="34" cm="1">
        <f t="array" ref="O5">(SUM(VLOOKUP(K4:K100,$T$3:$W$41,2,FALSE))+O4*10)*0.8-O8*40</f>
        <v>2520</v>
      </c>
      <c r="P5" s="57">
        <f t="shared" ref="P5:P8" si="7">SUM(M5:O5)</f>
        <v>4272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237</v>
      </c>
      <c r="Z5" s="1">
        <f t="shared" si="1"/>
        <v>58</v>
      </c>
      <c r="AA5" s="1">
        <f t="shared" si="2"/>
        <v>0</v>
      </c>
      <c r="AB5" s="53">
        <f t="shared" si="3"/>
        <v>179</v>
      </c>
      <c r="AC5">
        <v>247</v>
      </c>
      <c r="AD5">
        <f t="shared" si="4"/>
        <v>11115</v>
      </c>
      <c r="AF5">
        <v>225</v>
      </c>
      <c r="AG5">
        <f t="shared" si="5"/>
        <v>-12</v>
      </c>
    </row>
    <row r="6" spans="1:33" x14ac:dyDescent="0.3">
      <c r="A6" s="2" t="s">
        <v>4</v>
      </c>
      <c r="B6" s="2" t="s">
        <v>4</v>
      </c>
      <c r="C6" s="4" t="s">
        <v>6</v>
      </c>
      <c r="D6" s="32" t="s">
        <v>39</v>
      </c>
      <c r="E6" s="34" cm="1">
        <f t="array" ref="E6">(SUM(VLOOKUP(A4:A100,$T$3:$W$41,3,FALSE)))</f>
        <v>105</v>
      </c>
      <c r="F6" s="34" cm="1">
        <f t="array" ref="F6">(SUM(VLOOKUP(B4:B100,$T$3:$W$41,3,FALSE)))</f>
        <v>220</v>
      </c>
      <c r="G6" s="34" cm="1">
        <f t="array" ref="G6">(SUM(VLOOKUP(C4:C100,$T$3:$W$41,3,FALSE)))</f>
        <v>4030</v>
      </c>
      <c r="H6" s="48">
        <f t="shared" si="6"/>
        <v>4355</v>
      </c>
      <c r="I6" s="15" t="s">
        <v>17</v>
      </c>
      <c r="J6" s="3" t="s">
        <v>5</v>
      </c>
      <c r="K6" s="15" t="s">
        <v>17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655</v>
      </c>
      <c r="O6" s="34" cm="1">
        <f t="array" ref="O6">(SUM(VLOOKUP(K4:K100,$T$3:$W$41,3,FALSE)))</f>
        <v>1470</v>
      </c>
      <c r="P6" s="48">
        <f t="shared" si="7"/>
        <v>2225</v>
      </c>
      <c r="Q6" s="49" t="s">
        <v>52</v>
      </c>
      <c r="R6" s="25">
        <f>R3*1600-800+R5</f>
        <v>149200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276</v>
      </c>
      <c r="Y6" s="45">
        <v>276</v>
      </c>
      <c r="Z6" s="1">
        <f t="shared" si="1"/>
        <v>0</v>
      </c>
      <c r="AA6" s="1">
        <f t="shared" si="2"/>
        <v>0</v>
      </c>
      <c r="AB6" s="53">
        <f t="shared" si="3"/>
        <v>276</v>
      </c>
      <c r="AC6">
        <v>267</v>
      </c>
      <c r="AD6">
        <f t="shared" si="4"/>
        <v>13350</v>
      </c>
      <c r="AF6">
        <v>267</v>
      </c>
      <c r="AG6">
        <f t="shared" si="5"/>
        <v>-9</v>
      </c>
    </row>
    <row r="7" spans="1:33" x14ac:dyDescent="0.3">
      <c r="A7" s="1" t="s">
        <v>27</v>
      </c>
      <c r="B7" s="3" t="s">
        <v>5</v>
      </c>
      <c r="C7" s="4" t="s">
        <v>6</v>
      </c>
      <c r="D7" s="32" t="s">
        <v>40</v>
      </c>
      <c r="E7" s="34">
        <f>COUNTIF(A4:A100,"&lt;&gt;空")</f>
        <v>3</v>
      </c>
      <c r="F7" s="34">
        <f>COUNTIF(B4:B100,"&lt;&gt;空")</f>
        <v>6</v>
      </c>
      <c r="G7" s="34">
        <f>COUNTIF(C4:C100,"&lt;&gt;空")</f>
        <v>75</v>
      </c>
      <c r="H7" s="35">
        <f t="shared" si="6"/>
        <v>84</v>
      </c>
      <c r="I7" s="1" t="s">
        <v>27</v>
      </c>
      <c r="J7" s="15" t="s">
        <v>17</v>
      </c>
      <c r="K7" s="3" t="s">
        <v>5</v>
      </c>
      <c r="L7" s="32" t="s">
        <v>40</v>
      </c>
      <c r="M7" s="34">
        <f>COUNTIF(I4:I100,"&lt;&gt;空")</f>
        <v>3</v>
      </c>
      <c r="N7" s="34">
        <f>COUNTIF(J4:J100,"&lt;&gt;空")</f>
        <v>20</v>
      </c>
      <c r="O7" s="34">
        <f>COUNTIF(K4:K100,"&lt;&gt;空")</f>
        <v>28</v>
      </c>
      <c r="P7" s="35">
        <f t="shared" si="7"/>
        <v>51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237</v>
      </c>
      <c r="Y7" s="45">
        <v>237</v>
      </c>
      <c r="Z7" s="1">
        <f t="shared" si="1"/>
        <v>0</v>
      </c>
      <c r="AA7" s="1">
        <f t="shared" si="2"/>
        <v>0</v>
      </c>
      <c r="AB7" s="53">
        <f t="shared" si="3"/>
        <v>237</v>
      </c>
      <c r="AC7">
        <v>235</v>
      </c>
      <c r="AD7">
        <f t="shared" si="4"/>
        <v>12925</v>
      </c>
      <c r="AF7">
        <v>232</v>
      </c>
      <c r="AG7">
        <f t="shared" si="5"/>
        <v>-5</v>
      </c>
    </row>
    <row r="8" spans="1:33" x14ac:dyDescent="0.3">
      <c r="A8" s="1" t="s">
        <v>27</v>
      </c>
      <c r="B8" s="3" t="s">
        <v>5</v>
      </c>
      <c r="C8" s="4" t="s">
        <v>6</v>
      </c>
      <c r="D8" s="41" t="s">
        <v>64</v>
      </c>
      <c r="E8" s="40">
        <v>0</v>
      </c>
      <c r="F8" s="40">
        <v>0</v>
      </c>
      <c r="G8" s="40">
        <v>0</v>
      </c>
      <c r="H8" s="35">
        <f t="shared" si="6"/>
        <v>0</v>
      </c>
      <c r="I8" s="1" t="s">
        <v>27</v>
      </c>
      <c r="J8" s="1" t="s">
        <v>27</v>
      </c>
      <c r="K8" s="23" t="s">
        <v>29</v>
      </c>
      <c r="L8" s="41" t="s">
        <v>64</v>
      </c>
      <c r="M8" s="40">
        <v>0</v>
      </c>
      <c r="N8" s="40">
        <v>1</v>
      </c>
      <c r="O8" s="40">
        <v>2</v>
      </c>
      <c r="P8" s="35">
        <f t="shared" si="7"/>
        <v>3</v>
      </c>
      <c r="Q8" s="49" t="s">
        <v>53</v>
      </c>
      <c r="R8" s="54" cm="1">
        <f t="array" ref="R8">R6-P5-H5-SUM(U3:U28*AB3:AB28)*0.8-R7*8</f>
        <v>86</v>
      </c>
      <c r="S8" s="25"/>
      <c r="T8" s="7" t="s">
        <v>9</v>
      </c>
      <c r="U8" s="1">
        <v>200</v>
      </c>
      <c r="V8" s="1">
        <v>60</v>
      </c>
      <c r="W8" s="44"/>
      <c r="X8" s="45">
        <v>187</v>
      </c>
      <c r="Y8" s="45">
        <v>187</v>
      </c>
      <c r="Z8" s="1">
        <f t="shared" si="1"/>
        <v>0</v>
      </c>
      <c r="AA8" s="1">
        <f t="shared" si="2"/>
        <v>0</v>
      </c>
      <c r="AB8" s="53">
        <f t="shared" si="3"/>
        <v>187</v>
      </c>
      <c r="AC8">
        <v>193</v>
      </c>
      <c r="AD8">
        <f t="shared" si="4"/>
        <v>11580</v>
      </c>
      <c r="AF8">
        <v>190</v>
      </c>
      <c r="AG8">
        <f t="shared" si="5"/>
        <v>3</v>
      </c>
    </row>
    <row r="9" spans="1:33" x14ac:dyDescent="0.3">
      <c r="A9" s="1" t="s">
        <v>27</v>
      </c>
      <c r="B9" s="3" t="s">
        <v>5</v>
      </c>
      <c r="C9" s="4" t="s">
        <v>6</v>
      </c>
      <c r="D9" s="25"/>
      <c r="E9" s="25"/>
      <c r="F9" s="25"/>
      <c r="G9" s="25"/>
      <c r="H9" s="26"/>
      <c r="I9" s="1" t="s">
        <v>27</v>
      </c>
      <c r="J9" s="3" t="s">
        <v>5</v>
      </c>
      <c r="K9" s="3" t="s">
        <v>5</v>
      </c>
      <c r="L9" s="32" t="s">
        <v>42</v>
      </c>
      <c r="M9" s="36">
        <f>M6/M5</f>
        <v>0.35714285714285715</v>
      </c>
      <c r="N9" s="36">
        <f>N6/N5</f>
        <v>0.44497282608695654</v>
      </c>
      <c r="O9" s="36">
        <f>O6/O5</f>
        <v>0.58333333333333337</v>
      </c>
      <c r="P9" s="37">
        <f>P6/P5</f>
        <v>0.52083333333333337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0" si="8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  <c r="AF9">
        <v>0</v>
      </c>
      <c r="AG9">
        <f t="shared" si="5"/>
        <v>0</v>
      </c>
    </row>
    <row r="10" spans="1:33" x14ac:dyDescent="0.3">
      <c r="A10" s="1" t="s">
        <v>27</v>
      </c>
      <c r="B10" s="1" t="s">
        <v>27</v>
      </c>
      <c r="C10" s="17" t="s">
        <v>20</v>
      </c>
      <c r="D10" s="25"/>
      <c r="E10" s="25"/>
      <c r="F10" s="25"/>
      <c r="G10" s="25"/>
      <c r="H10" s="26"/>
      <c r="I10" s="1" t="s">
        <v>27</v>
      </c>
      <c r="J10" s="15" t="s">
        <v>17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8"/>
        <v>29.110982162825422</v>
      </c>
      <c r="X10" s="45">
        <v>6</v>
      </c>
      <c r="Y10" s="45">
        <v>1</v>
      </c>
      <c r="Z10" s="1">
        <f t="shared" si="1"/>
        <v>0</v>
      </c>
      <c r="AA10" s="1">
        <f t="shared" si="2"/>
        <v>1</v>
      </c>
      <c r="AB10" s="53">
        <f t="shared" si="3"/>
        <v>0</v>
      </c>
      <c r="AC10">
        <v>2</v>
      </c>
      <c r="AD10">
        <f t="shared" si="4"/>
        <v>80</v>
      </c>
      <c r="AF10">
        <v>4</v>
      </c>
      <c r="AG10">
        <f t="shared" si="5"/>
        <v>3</v>
      </c>
    </row>
    <row r="11" spans="1:33" x14ac:dyDescent="0.3">
      <c r="A11" s="1" t="s">
        <v>27</v>
      </c>
      <c r="B11" s="1" t="s">
        <v>27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3" t="s">
        <v>5</v>
      </c>
      <c r="K11" s="3" t="s">
        <v>5</v>
      </c>
      <c r="L11" s="25"/>
      <c r="M11" s="25"/>
      <c r="N11" s="25"/>
      <c r="O11" s="25"/>
      <c r="P11" s="26">
        <f>H5+P5</f>
        <v>17922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3</v>
      </c>
      <c r="AA11" s="1">
        <f t="shared" si="2"/>
        <v>0</v>
      </c>
      <c r="AB11" s="53">
        <f t="shared" si="3"/>
        <v>3</v>
      </c>
      <c r="AC11">
        <v>6</v>
      </c>
      <c r="AD11">
        <f t="shared" si="4"/>
        <v>270</v>
      </c>
      <c r="AF11">
        <v>6</v>
      </c>
      <c r="AG11">
        <f t="shared" si="5"/>
        <v>0</v>
      </c>
    </row>
    <row r="12" spans="1:33" x14ac:dyDescent="0.3">
      <c r="A12" s="1" t="s">
        <v>27</v>
      </c>
      <c r="B12" s="1" t="s">
        <v>27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3" t="s">
        <v>5</v>
      </c>
      <c r="K12" s="2" t="s">
        <v>4</v>
      </c>
      <c r="L12" s="25"/>
      <c r="M12" s="25"/>
      <c r="N12" s="25"/>
      <c r="O12" s="25"/>
      <c r="P12" s="26">
        <f>H6+P6</f>
        <v>6580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  <c r="AF12">
        <v>3</v>
      </c>
      <c r="AG12">
        <f t="shared" si="5"/>
        <v>0</v>
      </c>
    </row>
    <row r="13" spans="1:33" x14ac:dyDescent="0.3">
      <c r="A13" s="1" t="s">
        <v>27</v>
      </c>
      <c r="B13" s="1" t="s">
        <v>27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3" t="s">
        <v>5</v>
      </c>
      <c r="K13" s="15" t="s">
        <v>17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  <c r="AF13">
        <v>3</v>
      </c>
      <c r="AG13">
        <f t="shared" si="5"/>
        <v>0</v>
      </c>
    </row>
    <row r="14" spans="1:33" x14ac:dyDescent="0.3">
      <c r="A14" s="1" t="s">
        <v>27</v>
      </c>
      <c r="B14" s="1" t="s">
        <v>27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5" t="s">
        <v>17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  <c r="AF14">
        <v>1</v>
      </c>
      <c r="AG14">
        <f t="shared" si="5"/>
        <v>0</v>
      </c>
    </row>
    <row r="15" spans="1:33" x14ac:dyDescent="0.3">
      <c r="A15" s="1" t="s">
        <v>27</v>
      </c>
      <c r="B15" s="1" t="s">
        <v>27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16" t="s">
        <v>28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9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  <c r="AF15">
        <v>1</v>
      </c>
      <c r="AG15">
        <f t="shared" si="5"/>
        <v>1</v>
      </c>
    </row>
    <row r="16" spans="1:33" x14ac:dyDescent="0.3">
      <c r="A16" s="1" t="s">
        <v>27</v>
      </c>
      <c r="B16" s="1" t="s">
        <v>27</v>
      </c>
      <c r="C16" s="17" t="s">
        <v>20</v>
      </c>
      <c r="D16" s="25"/>
      <c r="E16" s="25"/>
      <c r="F16" s="25"/>
      <c r="G16" s="25"/>
      <c r="H16" s="26"/>
      <c r="I16" s="1" t="s">
        <v>27</v>
      </c>
      <c r="J16" s="15" t="s">
        <v>17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40</v>
      </c>
      <c r="Z16" s="1">
        <f t="shared" si="1"/>
        <v>5</v>
      </c>
      <c r="AA16" s="1">
        <f t="shared" si="2"/>
        <v>14</v>
      </c>
      <c r="AB16" s="53">
        <f t="shared" si="3"/>
        <v>21</v>
      </c>
      <c r="AC16">
        <v>38</v>
      </c>
      <c r="AD16">
        <f t="shared" si="4"/>
        <v>1140</v>
      </c>
      <c r="AF16">
        <v>39</v>
      </c>
      <c r="AG16">
        <f t="shared" si="5"/>
        <v>-1</v>
      </c>
    </row>
    <row r="17" spans="1:33" x14ac:dyDescent="0.3">
      <c r="A17" s="1" t="s">
        <v>27</v>
      </c>
      <c r="B17" s="1" t="s">
        <v>27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3" t="s">
        <v>5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  <c r="AF17">
        <v>2</v>
      </c>
      <c r="AG17">
        <f t="shared" si="5"/>
        <v>1</v>
      </c>
    </row>
    <row r="18" spans="1:33" x14ac:dyDescent="0.3">
      <c r="A18" s="1" t="s">
        <v>27</v>
      </c>
      <c r="B18" s="1" t="s">
        <v>27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6" t="s">
        <v>28</v>
      </c>
      <c r="K18" s="15" t="s">
        <v>17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  <c r="AF18">
        <v>3</v>
      </c>
      <c r="AG18">
        <f t="shared" si="5"/>
        <v>0</v>
      </c>
    </row>
    <row r="19" spans="1:33" x14ac:dyDescent="0.3">
      <c r="A19" s="1" t="s">
        <v>27</v>
      </c>
      <c r="B19" s="1" t="s">
        <v>27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3" t="s">
        <v>5</v>
      </c>
      <c r="K19" s="9" t="s">
        <v>11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  <c r="AF19">
        <v>5</v>
      </c>
      <c r="AG19">
        <f t="shared" si="5"/>
        <v>0</v>
      </c>
    </row>
    <row r="20" spans="1:33" x14ac:dyDescent="0.3">
      <c r="A20" s="1" t="s">
        <v>27</v>
      </c>
      <c r="B20" s="1" t="s">
        <v>27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3" t="s">
        <v>5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  <c r="AF20">
        <v>0</v>
      </c>
      <c r="AG20">
        <f t="shared" si="5"/>
        <v>0</v>
      </c>
    </row>
    <row r="21" spans="1:33" x14ac:dyDescent="0.3">
      <c r="A21" s="1" t="s">
        <v>27</v>
      </c>
      <c r="B21" s="1" t="s">
        <v>27</v>
      </c>
      <c r="C21" s="1" t="s">
        <v>27</v>
      </c>
      <c r="D21" s="25"/>
      <c r="E21" s="25"/>
      <c r="F21" s="25"/>
      <c r="G21" s="25"/>
      <c r="H21" s="26"/>
      <c r="I21" s="1" t="s">
        <v>27</v>
      </c>
      <c r="J21" s="3" t="s">
        <v>5</v>
      </c>
      <c r="K21" s="15" t="s">
        <v>17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  <c r="AF21">
        <v>2</v>
      </c>
      <c r="AG21">
        <f t="shared" si="5"/>
        <v>0</v>
      </c>
    </row>
    <row r="22" spans="1:33" x14ac:dyDescent="0.3">
      <c r="A22" s="1" t="s">
        <v>27</v>
      </c>
      <c r="B22" s="1" t="s">
        <v>27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5" t="s">
        <v>17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  <c r="AF22">
        <v>2</v>
      </c>
      <c r="AG22">
        <f t="shared" si="5"/>
        <v>0</v>
      </c>
    </row>
    <row r="23" spans="1:33" x14ac:dyDescent="0.3">
      <c r="A23" s="1" t="s">
        <v>27</v>
      </c>
      <c r="B23" s="1" t="s">
        <v>27</v>
      </c>
      <c r="C23" s="4" t="s">
        <v>6</v>
      </c>
      <c r="D23" s="25"/>
      <c r="E23" s="25"/>
      <c r="F23" s="25"/>
      <c r="G23" s="25"/>
      <c r="H23" s="26"/>
      <c r="I23" s="1" t="s">
        <v>27</v>
      </c>
      <c r="J23" s="3" t="s">
        <v>5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10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  <c r="AF23">
        <v>0</v>
      </c>
      <c r="AG23">
        <f t="shared" si="5"/>
        <v>0</v>
      </c>
    </row>
    <row r="24" spans="1:33" x14ac:dyDescent="0.3">
      <c r="A24" s="1" t="s">
        <v>27</v>
      </c>
      <c r="B24" s="1" t="s">
        <v>27</v>
      </c>
      <c r="C24" s="16" t="s">
        <v>18</v>
      </c>
      <c r="D24" s="25"/>
      <c r="E24" s="25"/>
      <c r="F24" s="25"/>
      <c r="G24" s="25"/>
      <c r="H24" s="26"/>
      <c r="I24" s="1" t="s">
        <v>27</v>
      </c>
      <c r="J24" s="2" t="s">
        <v>4</v>
      </c>
      <c r="K24" s="3" t="s">
        <v>5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10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  <c r="AF24">
        <v>0</v>
      </c>
      <c r="AG24">
        <f t="shared" si="5"/>
        <v>0</v>
      </c>
    </row>
    <row r="25" spans="1:33" x14ac:dyDescent="0.3">
      <c r="A25" s="1" t="s">
        <v>27</v>
      </c>
      <c r="B25" s="1" t="s">
        <v>27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5" t="s">
        <v>17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10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  <c r="AF25">
        <v>0</v>
      </c>
      <c r="AG25">
        <f t="shared" si="5"/>
        <v>0</v>
      </c>
    </row>
    <row r="26" spans="1:33" x14ac:dyDescent="0.3">
      <c r="A26" s="1" t="s">
        <v>27</v>
      </c>
      <c r="B26" s="1" t="s">
        <v>27</v>
      </c>
      <c r="C26" s="17" t="s">
        <v>19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10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  <c r="AF26">
        <v>0</v>
      </c>
      <c r="AG26">
        <f t="shared" si="5"/>
        <v>0</v>
      </c>
    </row>
    <row r="27" spans="1:33" x14ac:dyDescent="0.3">
      <c r="A27" s="1" t="s">
        <v>27</v>
      </c>
      <c r="B27" s="1" t="s">
        <v>27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2" t="s">
        <v>4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3</v>
      </c>
      <c r="AB27" s="53">
        <f t="shared" si="3"/>
        <v>11</v>
      </c>
      <c r="AC27">
        <v>15</v>
      </c>
      <c r="AD27">
        <f t="shared" si="4"/>
        <v>0</v>
      </c>
      <c r="AF27">
        <v>13</v>
      </c>
      <c r="AG27">
        <f t="shared" si="5"/>
        <v>-1</v>
      </c>
    </row>
    <row r="28" spans="1:33" x14ac:dyDescent="0.3">
      <c r="A28" s="1" t="s">
        <v>27</v>
      </c>
      <c r="B28" s="1" t="s">
        <v>27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15" t="s">
        <v>17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F28">
        <v>3</v>
      </c>
      <c r="AG28">
        <f t="shared" si="5"/>
        <v>0</v>
      </c>
    </row>
    <row r="29" spans="1:33" ht="15" thickBot="1" x14ac:dyDescent="0.35">
      <c r="A29" s="1" t="s">
        <v>27</v>
      </c>
      <c r="B29" s="1" t="s">
        <v>27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5" t="s">
        <v>17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33" x14ac:dyDescent="0.3">
      <c r="A30" s="1" t="s">
        <v>27</v>
      </c>
      <c r="B30" s="1" t="s">
        <v>27</v>
      </c>
      <c r="C30" s="15" t="s">
        <v>17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3" x14ac:dyDescent="0.3">
      <c r="A31" s="1" t="s">
        <v>27</v>
      </c>
      <c r="B31" s="1" t="s">
        <v>27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2" t="s">
        <v>4</v>
      </c>
      <c r="L31" s="25"/>
      <c r="M31" s="25"/>
      <c r="N31" s="25"/>
      <c r="O31" s="25"/>
      <c r="P31" s="26"/>
      <c r="Y31">
        <f>SUM(Y3:Y28)</f>
        <v>1062</v>
      </c>
      <c r="AC31">
        <f>SUM(AC3:AC28)</f>
        <v>1074</v>
      </c>
      <c r="AD31">
        <f>SUM(AD3:AD28)+7000</f>
        <v>65360</v>
      </c>
    </row>
    <row r="32" spans="1:33" x14ac:dyDescent="0.3">
      <c r="A32" s="1" t="s">
        <v>27</v>
      </c>
      <c r="B32" s="1" t="s">
        <v>27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2" t="s">
        <v>4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1" t="s">
        <v>27</v>
      </c>
      <c r="C33" s="1" t="s">
        <v>27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15" t="s">
        <v>17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1" t="s">
        <v>27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0" t="s">
        <v>12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17" t="s">
        <v>19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5" t="s">
        <v>17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4" t="s">
        <v>6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4" t="s">
        <v>6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7" t="s">
        <v>20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4" t="s">
        <v>6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4" t="s">
        <v>6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4" t="s">
        <v>6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4" t="s">
        <v>6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1" t="s">
        <v>27</v>
      </c>
      <c r="B56" s="1" t="s">
        <v>27</v>
      </c>
      <c r="C56" s="4" t="s">
        <v>6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1" t="s">
        <v>27</v>
      </c>
      <c r="B57" s="1" t="s">
        <v>27</v>
      </c>
      <c r="C57" s="17" t="s">
        <v>20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1" t="s">
        <v>27</v>
      </c>
      <c r="B58" s="1" t="s">
        <v>27</v>
      </c>
      <c r="C58" s="4" t="s">
        <v>6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1" t="s">
        <v>27</v>
      </c>
      <c r="B59" s="1" t="s">
        <v>27</v>
      </c>
      <c r="C59" s="4" t="s">
        <v>6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1" t="s">
        <v>27</v>
      </c>
      <c r="B60" s="1" t="s">
        <v>27</v>
      </c>
      <c r="C60" s="10" t="s">
        <v>12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1" t="s">
        <v>27</v>
      </c>
      <c r="B61" s="1" t="s">
        <v>27</v>
      </c>
      <c r="C61" s="4" t="s">
        <v>6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1" t="s">
        <v>27</v>
      </c>
      <c r="B62" s="1" t="s">
        <v>27</v>
      </c>
      <c r="C62" s="4" t="s">
        <v>6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1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1" t="s">
        <v>27</v>
      </c>
      <c r="B64" s="1" t="s">
        <v>27</v>
      </c>
      <c r="C64" s="4" t="s">
        <v>6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1" t="s">
        <v>27</v>
      </c>
      <c r="B65" s="1" t="s">
        <v>27</v>
      </c>
      <c r="C65" s="4" t="s">
        <v>6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1" t="s">
        <v>27</v>
      </c>
      <c r="B66" s="1" t="s">
        <v>27</v>
      </c>
      <c r="C66" s="4" t="s">
        <v>6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1" t="s">
        <v>27</v>
      </c>
      <c r="B67" s="1" t="s">
        <v>27</v>
      </c>
      <c r="C67" s="4" t="s">
        <v>6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1" t="s">
        <v>27</v>
      </c>
      <c r="B68" s="1" t="s">
        <v>27</v>
      </c>
      <c r="C68" s="4" t="s">
        <v>6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1" t="s">
        <v>27</v>
      </c>
      <c r="B69" s="1" t="s">
        <v>27</v>
      </c>
      <c r="C69" s="4" t="s">
        <v>6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1" t="s">
        <v>27</v>
      </c>
      <c r="B70" s="1" t="s">
        <v>27</v>
      </c>
      <c r="C70" s="4" t="s">
        <v>6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1" t="s">
        <v>27</v>
      </c>
      <c r="B71" s="1" t="s">
        <v>27</v>
      </c>
      <c r="C71" s="17" t="s">
        <v>19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1" t="s">
        <v>27</v>
      </c>
      <c r="B72" s="1" t="s">
        <v>27</v>
      </c>
      <c r="C72" s="4" t="s">
        <v>6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1" t="s">
        <v>27</v>
      </c>
      <c r="B73" s="1" t="s">
        <v>27</v>
      </c>
      <c r="C73" s="4" t="s">
        <v>6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1" t="s">
        <v>27</v>
      </c>
      <c r="B74" s="1" t="s">
        <v>27</v>
      </c>
      <c r="C74" s="10" t="s">
        <v>12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1" t="s">
        <v>27</v>
      </c>
      <c r="B75" s="1" t="s">
        <v>27</v>
      </c>
      <c r="C75" s="4" t="s">
        <v>6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1" t="s">
        <v>27</v>
      </c>
      <c r="B76" s="1" t="s">
        <v>27</v>
      </c>
      <c r="C76" s="4" t="s">
        <v>6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1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1" t="s">
        <v>27</v>
      </c>
      <c r="B78" s="1" t="s">
        <v>27</v>
      </c>
      <c r="C78" s="4" t="s">
        <v>6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1" t="s">
        <v>27</v>
      </c>
      <c r="B79" s="1" t="s">
        <v>27</v>
      </c>
      <c r="C79" s="4" t="s">
        <v>6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1" t="s">
        <v>27</v>
      </c>
      <c r="B80" s="1" t="s">
        <v>27</v>
      </c>
      <c r="C80" s="4" t="s">
        <v>6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1" t="s">
        <v>27</v>
      </c>
      <c r="B81" s="1" t="s">
        <v>27</v>
      </c>
      <c r="C81" s="4" t="s">
        <v>6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1" t="s">
        <v>27</v>
      </c>
      <c r="B82" s="1" t="s">
        <v>27</v>
      </c>
      <c r="C82" s="4" t="s">
        <v>6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1" t="s">
        <v>27</v>
      </c>
      <c r="B83" s="1" t="s">
        <v>27</v>
      </c>
      <c r="C83" s="17" t="s">
        <v>20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1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1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1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1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1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1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1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1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1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1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1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1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1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1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05B6-FFC6-4234-8667-1CF54A873622}">
  <dimension ref="A1:AG100"/>
  <sheetViews>
    <sheetView zoomScale="85" zoomScaleNormal="85" workbookViewId="0">
      <selection activeCell="R15" sqref="R15"/>
    </sheetView>
  </sheetViews>
  <sheetFormatPr defaultRowHeight="14.4" x14ac:dyDescent="0.3"/>
  <cols>
    <col min="23" max="23" width="0" hidden="1" customWidth="1"/>
  </cols>
  <sheetData>
    <row r="1" spans="1:33" ht="15.6" x14ac:dyDescent="0.3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2838.4410273148733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  <c r="AD1" t="s">
        <v>66</v>
      </c>
    </row>
    <row r="2" spans="1:33" ht="28.8" x14ac:dyDescent="0.3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64895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  <c r="AF2" t="s">
        <v>55</v>
      </c>
    </row>
    <row r="3" spans="1:33" x14ac:dyDescent="0.3">
      <c r="A3" s="60" t="s">
        <v>31</v>
      </c>
      <c r="B3" s="58" t="s">
        <v>32</v>
      </c>
      <c r="C3" s="59" t="s">
        <v>33</v>
      </c>
      <c r="D3" s="32"/>
      <c r="E3" s="60" t="s">
        <v>31</v>
      </c>
      <c r="F3" s="58" t="s">
        <v>32</v>
      </c>
      <c r="G3" s="59" t="s">
        <v>33</v>
      </c>
      <c r="H3" s="33" t="s">
        <v>36</v>
      </c>
      <c r="I3" s="60" t="s">
        <v>31</v>
      </c>
      <c r="J3" s="58" t="s">
        <v>32</v>
      </c>
      <c r="K3" s="59" t="s">
        <v>33</v>
      </c>
      <c r="L3" s="32"/>
      <c r="M3" s="60" t="s">
        <v>31</v>
      </c>
      <c r="N3" s="58" t="s">
        <v>32</v>
      </c>
      <c r="O3" s="59" t="s">
        <v>33</v>
      </c>
      <c r="P3" s="33" t="s">
        <v>36</v>
      </c>
      <c r="Q3" s="52" t="s">
        <v>49</v>
      </c>
      <c r="R3" s="25">
        <v>90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17</v>
      </c>
      <c r="Z3" s="1">
        <f>COUNTIF($A$4:$C$100,T3)</f>
        <v>13</v>
      </c>
      <c r="AA3" s="1">
        <f>COUNTIF($I$4:$K$100,T3)</f>
        <v>4</v>
      </c>
      <c r="AB3" s="53">
        <f>Y3-Z3-AA3</f>
        <v>0</v>
      </c>
      <c r="AC3">
        <v>24</v>
      </c>
      <c r="AD3">
        <f>AC3*V3</f>
        <v>840</v>
      </c>
      <c r="AF3">
        <v>14</v>
      </c>
      <c r="AG3">
        <f>AF3-Y3</f>
        <v>-3</v>
      </c>
    </row>
    <row r="4" spans="1:33" x14ac:dyDescent="0.3">
      <c r="A4" s="2" t="s">
        <v>4</v>
      </c>
      <c r="B4" s="2" t="s">
        <v>4</v>
      </c>
      <c r="C4" s="2" t="s">
        <v>4</v>
      </c>
      <c r="D4" s="42" t="s">
        <v>34</v>
      </c>
      <c r="E4" s="38">
        <v>5</v>
      </c>
      <c r="F4" s="38">
        <v>6</v>
      </c>
      <c r="G4" s="38">
        <v>5</v>
      </c>
      <c r="H4" s="35">
        <f>SUM(E4:G4)</f>
        <v>16</v>
      </c>
      <c r="I4" s="3" t="s">
        <v>5</v>
      </c>
      <c r="J4" s="15" t="s">
        <v>17</v>
      </c>
      <c r="K4" s="3" t="s">
        <v>5</v>
      </c>
      <c r="L4" s="42" t="s">
        <v>34</v>
      </c>
      <c r="M4" s="38">
        <v>6</v>
      </c>
      <c r="N4" s="38">
        <v>1</v>
      </c>
      <c r="O4" s="38">
        <v>4</v>
      </c>
      <c r="P4" s="35">
        <f>SUM(M4:O4)</f>
        <v>11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32</v>
      </c>
      <c r="Z4" s="1">
        <f t="shared" ref="Z4:Z28" si="1">COUNTIF($A$4:$C$100,T4)</f>
        <v>13</v>
      </c>
      <c r="AA4" s="1">
        <f t="shared" ref="AA4:AA28" si="2">COUNTIF($I$4:$K$100,T4)</f>
        <v>19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  <c r="AF4">
        <v>50</v>
      </c>
      <c r="AG4">
        <f t="shared" ref="AG4:AG28" si="5">AF4-Y4</f>
        <v>18</v>
      </c>
    </row>
    <row r="5" spans="1:33" x14ac:dyDescent="0.3">
      <c r="A5" s="2" t="s">
        <v>4</v>
      </c>
      <c r="B5" s="2" t="s">
        <v>4</v>
      </c>
      <c r="C5" s="2" t="s">
        <v>4</v>
      </c>
      <c r="D5" s="32" t="s">
        <v>38</v>
      </c>
      <c r="E5" s="34" cm="1">
        <f t="array" ref="E5">(SUM(VLOOKUP(A4:A100,$T$3:$W$41,2,FALSE))+E4*10)-E8*50</f>
        <v>4740</v>
      </c>
      <c r="F5" s="34" cm="1">
        <f t="array" ref="F5">(SUM(VLOOKUP(B4:B100,$T$3:$W$41,2,FALSE))+F4*10)-F8*50</f>
        <v>4460</v>
      </c>
      <c r="G5" s="34" cm="1">
        <f t="array" ref="G5">(SUM(VLOOKUP(C4:C100,$T$3:$W$41,2,FALSE))+G4*10)-G8*50</f>
        <v>4450</v>
      </c>
      <c r="H5" s="57">
        <f t="shared" ref="H5:H8" si="6">SUM(E5:G5)</f>
        <v>13650</v>
      </c>
      <c r="I5" s="3" t="s">
        <v>5</v>
      </c>
      <c r="J5" s="3" t="s">
        <v>5</v>
      </c>
      <c r="K5" s="15" t="s">
        <v>17</v>
      </c>
      <c r="L5" s="32" t="s">
        <v>38</v>
      </c>
      <c r="M5" s="34" cm="1">
        <f t="array" ref="M5">(SUM(VLOOKUP(I4:I100,$T$3:$W$41,2,FALSE))+M4*10)*0.8-M8*40</f>
        <v>1192</v>
      </c>
      <c r="N5" s="34" cm="1">
        <f t="array" ref="N5">(SUM(VLOOKUP(J4:J100,$T$3:$W$41,2,FALSE))+N4*10)*0.8-N8*40</f>
        <v>648</v>
      </c>
      <c r="O5" s="34" cm="1">
        <f t="array" ref="O5">(SUM(VLOOKUP(K4:K100,$T$3:$W$41,2,FALSE))+O4*10)*0.8-O8*40</f>
        <v>1040</v>
      </c>
      <c r="P5" s="57">
        <f t="shared" ref="P5:P8" si="7">SUM(M5:O5)</f>
        <v>2880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231</v>
      </c>
      <c r="Z5" s="1">
        <f t="shared" si="1"/>
        <v>43</v>
      </c>
      <c r="AA5" s="1">
        <f t="shared" si="2"/>
        <v>0</v>
      </c>
      <c r="AB5" s="53">
        <f t="shared" si="3"/>
        <v>188</v>
      </c>
      <c r="AC5">
        <v>247</v>
      </c>
      <c r="AD5">
        <f t="shared" si="4"/>
        <v>11115</v>
      </c>
      <c r="AF5">
        <v>225</v>
      </c>
      <c r="AG5">
        <f t="shared" si="5"/>
        <v>-6</v>
      </c>
    </row>
    <row r="6" spans="1:33" x14ac:dyDescent="0.3">
      <c r="A6" s="2" t="s">
        <v>4</v>
      </c>
      <c r="B6" s="3" t="s">
        <v>5</v>
      </c>
      <c r="C6" s="2" t="s">
        <v>4</v>
      </c>
      <c r="D6" s="32" t="s">
        <v>39</v>
      </c>
      <c r="E6" s="34" cm="1">
        <f t="array" ref="E6">(SUM(VLOOKUP(A4:A100,$T$3:$W$41,3,FALSE)))</f>
        <v>1460</v>
      </c>
      <c r="F6" s="34" cm="1">
        <f t="array" ref="F6">(SUM(VLOOKUP(B4:B100,$T$3:$W$41,3,FALSE)))</f>
        <v>1430</v>
      </c>
      <c r="G6" s="34" cm="1">
        <f t="array" ref="G6">(SUM(VLOOKUP(C4:C100,$T$3:$W$41,3,FALSE)))</f>
        <v>1470</v>
      </c>
      <c r="H6" s="48">
        <f t="shared" si="6"/>
        <v>4360</v>
      </c>
      <c r="I6" s="15" t="s">
        <v>17</v>
      </c>
      <c r="J6" s="16" t="s">
        <v>28</v>
      </c>
      <c r="K6" s="3" t="s">
        <v>5</v>
      </c>
      <c r="L6" s="32" t="s">
        <v>39</v>
      </c>
      <c r="M6" s="34" cm="1">
        <f t="array" ref="M6">(SUM(VLOOKUP(I4:I100,$T$3:$W$41,3,FALSE)))</f>
        <v>995</v>
      </c>
      <c r="N6" s="34" cm="1">
        <f t="array" ref="N6">(SUM(VLOOKUP(J4:J100,$T$3:$W$41,3,FALSE)))</f>
        <v>295</v>
      </c>
      <c r="O6" s="34" cm="1">
        <f t="array" ref="O6">(SUM(VLOOKUP(K4:K100,$T$3:$W$41,3,FALSE)))</f>
        <v>460</v>
      </c>
      <c r="P6" s="48">
        <f t="shared" si="7"/>
        <v>1750</v>
      </c>
      <c r="Q6" s="49" t="s">
        <v>52</v>
      </c>
      <c r="R6" s="25">
        <f>R3*1600-800+R5</f>
        <v>149200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276</v>
      </c>
      <c r="Y6" s="45">
        <v>276</v>
      </c>
      <c r="Z6" s="1">
        <f t="shared" si="1"/>
        <v>0</v>
      </c>
      <c r="AA6" s="1">
        <f t="shared" si="2"/>
        <v>0</v>
      </c>
      <c r="AB6" s="53">
        <f t="shared" si="3"/>
        <v>276</v>
      </c>
      <c r="AC6">
        <v>267</v>
      </c>
      <c r="AD6">
        <f t="shared" si="4"/>
        <v>13350</v>
      </c>
      <c r="AF6">
        <v>267</v>
      </c>
      <c r="AG6">
        <f t="shared" si="5"/>
        <v>-9</v>
      </c>
    </row>
    <row r="7" spans="1:33" x14ac:dyDescent="0.3">
      <c r="A7" s="2" t="s">
        <v>4</v>
      </c>
      <c r="B7" s="15" t="s">
        <v>17</v>
      </c>
      <c r="C7" s="2" t="s">
        <v>4</v>
      </c>
      <c r="D7" s="32" t="s">
        <v>40</v>
      </c>
      <c r="E7" s="34">
        <f>COUNTIF(A4:A100,"&lt;&gt;空")</f>
        <v>29</v>
      </c>
      <c r="F7" s="34">
        <f>COUNTIF(B4:B100,"&lt;&gt;空")</f>
        <v>28</v>
      </c>
      <c r="G7" s="34">
        <f>COUNTIF(C4:C100,"&lt;&gt;空")</f>
        <v>31</v>
      </c>
      <c r="H7" s="35">
        <f t="shared" si="6"/>
        <v>88</v>
      </c>
      <c r="I7" s="3" t="s">
        <v>5</v>
      </c>
      <c r="J7" s="1" t="s">
        <v>27</v>
      </c>
      <c r="K7" s="3" t="s">
        <v>5</v>
      </c>
      <c r="L7" s="32" t="s">
        <v>40</v>
      </c>
      <c r="M7" s="34">
        <f>COUNTIF(I4:I100,"&lt;&gt;空")</f>
        <v>15</v>
      </c>
      <c r="N7" s="34">
        <f>COUNTIF(J4:J100,"&lt;&gt;空")</f>
        <v>9</v>
      </c>
      <c r="O7" s="34">
        <f>COUNTIF(K4:K100,"&lt;&gt;空")</f>
        <v>14</v>
      </c>
      <c r="P7" s="35">
        <f t="shared" si="7"/>
        <v>38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237</v>
      </c>
      <c r="Y7" s="45">
        <v>237</v>
      </c>
      <c r="Z7" s="1">
        <f t="shared" si="1"/>
        <v>0</v>
      </c>
      <c r="AA7" s="1">
        <f t="shared" si="2"/>
        <v>0</v>
      </c>
      <c r="AB7" s="53">
        <f t="shared" si="3"/>
        <v>237</v>
      </c>
      <c r="AC7">
        <v>235</v>
      </c>
      <c r="AD7">
        <f t="shared" si="4"/>
        <v>12925</v>
      </c>
      <c r="AF7">
        <v>232</v>
      </c>
      <c r="AG7">
        <f t="shared" si="5"/>
        <v>-5</v>
      </c>
    </row>
    <row r="8" spans="1:33" x14ac:dyDescent="0.3">
      <c r="A8" s="2" t="s">
        <v>4</v>
      </c>
      <c r="B8" s="3" t="s">
        <v>5</v>
      </c>
      <c r="C8" s="15" t="s">
        <v>17</v>
      </c>
      <c r="D8" s="41" t="s">
        <v>64</v>
      </c>
      <c r="E8" s="40">
        <v>0</v>
      </c>
      <c r="F8" s="40">
        <v>0</v>
      </c>
      <c r="G8" s="40">
        <v>0</v>
      </c>
      <c r="H8" s="35">
        <f t="shared" si="6"/>
        <v>0</v>
      </c>
      <c r="I8" s="23" t="s">
        <v>29</v>
      </c>
      <c r="J8" s="3" t="s">
        <v>5</v>
      </c>
      <c r="K8" s="3" t="s">
        <v>5</v>
      </c>
      <c r="L8" s="41" t="s">
        <v>64</v>
      </c>
      <c r="M8" s="40">
        <v>1</v>
      </c>
      <c r="N8" s="40">
        <v>1</v>
      </c>
      <c r="O8" s="40">
        <v>1</v>
      </c>
      <c r="P8" s="35">
        <f t="shared" si="7"/>
        <v>3</v>
      </c>
      <c r="Q8" s="49" t="s">
        <v>53</v>
      </c>
      <c r="R8" s="54" cm="1">
        <f t="array" ref="R8">R6-P5-H5-SUM(U3:U28*AB3:AB28)*0.8-R7*8</f>
        <v>14</v>
      </c>
      <c r="S8" s="25"/>
      <c r="T8" s="7" t="s">
        <v>9</v>
      </c>
      <c r="U8" s="1">
        <v>200</v>
      </c>
      <c r="V8" s="1">
        <v>60</v>
      </c>
      <c r="W8" s="44"/>
      <c r="X8" s="45">
        <v>187</v>
      </c>
      <c r="Y8" s="45">
        <v>187</v>
      </c>
      <c r="Z8" s="1">
        <f t="shared" si="1"/>
        <v>0</v>
      </c>
      <c r="AA8" s="1">
        <f t="shared" si="2"/>
        <v>0</v>
      </c>
      <c r="AB8" s="53">
        <f t="shared" si="3"/>
        <v>187</v>
      </c>
      <c r="AC8">
        <v>193</v>
      </c>
      <c r="AD8">
        <f t="shared" si="4"/>
        <v>11580</v>
      </c>
      <c r="AF8">
        <v>190</v>
      </c>
      <c r="AG8">
        <f t="shared" si="5"/>
        <v>3</v>
      </c>
    </row>
    <row r="9" spans="1:33" x14ac:dyDescent="0.3">
      <c r="A9" s="15" t="s">
        <v>17</v>
      </c>
      <c r="B9" s="3" t="s">
        <v>5</v>
      </c>
      <c r="C9" s="2" t="s">
        <v>4</v>
      </c>
      <c r="D9" s="25"/>
      <c r="E9" s="25"/>
      <c r="F9" s="25"/>
      <c r="G9" s="25"/>
      <c r="H9" s="26"/>
      <c r="I9" s="3" t="s">
        <v>5</v>
      </c>
      <c r="J9" s="3" t="s">
        <v>5</v>
      </c>
      <c r="K9" s="15" t="s">
        <v>17</v>
      </c>
      <c r="L9" s="32" t="s">
        <v>42</v>
      </c>
      <c r="M9" s="36">
        <f>M6/M5</f>
        <v>0.83473154362416102</v>
      </c>
      <c r="N9" s="36">
        <f>N6/N5</f>
        <v>0.45524691358024694</v>
      </c>
      <c r="O9" s="36">
        <f>O6/O5</f>
        <v>0.44230769230769229</v>
      </c>
      <c r="P9" s="37">
        <f>P6/P5</f>
        <v>0.60763888888888884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0" si="8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  <c r="AF9">
        <v>0</v>
      </c>
      <c r="AG9">
        <f t="shared" si="5"/>
        <v>0</v>
      </c>
    </row>
    <row r="10" spans="1:33" x14ac:dyDescent="0.3">
      <c r="A10" s="2" t="s">
        <v>4</v>
      </c>
      <c r="B10" s="3" t="s">
        <v>5</v>
      </c>
      <c r="C10" s="3" t="s">
        <v>5</v>
      </c>
      <c r="D10" s="25"/>
      <c r="E10" s="25"/>
      <c r="F10" s="25"/>
      <c r="G10" s="25"/>
      <c r="H10" s="26"/>
      <c r="I10" s="3" t="s">
        <v>5</v>
      </c>
      <c r="J10" s="3" t="s">
        <v>5</v>
      </c>
      <c r="K10" s="2" t="s">
        <v>4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8"/>
        <v>29.110982162825422</v>
      </c>
      <c r="X10" s="45">
        <v>6</v>
      </c>
      <c r="Y10" s="45">
        <v>1</v>
      </c>
      <c r="Z10" s="1">
        <f t="shared" si="1"/>
        <v>1</v>
      </c>
      <c r="AA10" s="1">
        <f t="shared" si="2"/>
        <v>0</v>
      </c>
      <c r="AB10" s="53">
        <f t="shared" si="3"/>
        <v>0</v>
      </c>
      <c r="AC10">
        <v>2</v>
      </c>
      <c r="AD10">
        <f t="shared" si="4"/>
        <v>80</v>
      </c>
      <c r="AF10">
        <v>4</v>
      </c>
      <c r="AG10">
        <f t="shared" si="5"/>
        <v>3</v>
      </c>
    </row>
    <row r="11" spans="1:33" x14ac:dyDescent="0.3">
      <c r="A11" s="3" t="s">
        <v>5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3" t="s">
        <v>5</v>
      </c>
      <c r="J11" s="3" t="s">
        <v>5</v>
      </c>
      <c r="K11" s="2" t="s">
        <v>4</v>
      </c>
      <c r="L11" s="25"/>
      <c r="M11" s="25"/>
      <c r="N11" s="25"/>
      <c r="O11" s="25"/>
      <c r="P11" s="26">
        <f>H5+P5</f>
        <v>16530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1</v>
      </c>
      <c r="AA11" s="1">
        <f t="shared" si="2"/>
        <v>0</v>
      </c>
      <c r="AB11" s="53">
        <f t="shared" si="3"/>
        <v>5</v>
      </c>
      <c r="AC11">
        <v>6</v>
      </c>
      <c r="AD11">
        <f t="shared" si="4"/>
        <v>270</v>
      </c>
      <c r="AF11">
        <v>6</v>
      </c>
      <c r="AG11">
        <f t="shared" si="5"/>
        <v>0</v>
      </c>
    </row>
    <row r="12" spans="1:33" x14ac:dyDescent="0.3">
      <c r="A12" s="3" t="s">
        <v>5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2" t="s">
        <v>4</v>
      </c>
      <c r="J12" s="2" t="s">
        <v>4</v>
      </c>
      <c r="K12" s="15" t="s">
        <v>17</v>
      </c>
      <c r="L12" s="25"/>
      <c r="M12" s="25"/>
      <c r="N12" s="25"/>
      <c r="O12" s="25"/>
      <c r="P12" s="26">
        <f>H6+P6</f>
        <v>6110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  <c r="AF12">
        <v>3</v>
      </c>
      <c r="AG12">
        <f t="shared" si="5"/>
        <v>0</v>
      </c>
    </row>
    <row r="13" spans="1:33" x14ac:dyDescent="0.3">
      <c r="A13" s="3" t="s">
        <v>5</v>
      </c>
      <c r="B13" s="15" t="s">
        <v>17</v>
      </c>
      <c r="C13" s="15" t="s">
        <v>17</v>
      </c>
      <c r="D13" s="25"/>
      <c r="E13" s="25"/>
      <c r="F13" s="25"/>
      <c r="G13" s="25"/>
      <c r="H13" s="26"/>
      <c r="I13" s="15" t="s">
        <v>17</v>
      </c>
      <c r="J13" s="15" t="s">
        <v>17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  <c r="AF13">
        <v>3</v>
      </c>
      <c r="AG13">
        <f t="shared" si="5"/>
        <v>0</v>
      </c>
    </row>
    <row r="14" spans="1:33" x14ac:dyDescent="0.3">
      <c r="A14" s="3" t="s">
        <v>5</v>
      </c>
      <c r="B14" s="4" t="s">
        <v>6</v>
      </c>
      <c r="C14" s="3" t="s">
        <v>5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15" t="s">
        <v>17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  <c r="AF14">
        <v>1</v>
      </c>
      <c r="AG14">
        <f t="shared" si="5"/>
        <v>0</v>
      </c>
    </row>
    <row r="15" spans="1:33" x14ac:dyDescent="0.3">
      <c r="A15" s="9" t="s">
        <v>11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6" t="s">
        <v>28</v>
      </c>
      <c r="J15" s="1" t="s">
        <v>27</v>
      </c>
      <c r="K15" s="16" t="s">
        <v>28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9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  <c r="AF15">
        <v>1</v>
      </c>
      <c r="AG15">
        <f t="shared" si="5"/>
        <v>1</v>
      </c>
    </row>
    <row r="16" spans="1:33" x14ac:dyDescent="0.3">
      <c r="A16" s="4" t="s">
        <v>6</v>
      </c>
      <c r="B16" s="17" t="s">
        <v>20</v>
      </c>
      <c r="C16" s="3" t="s">
        <v>5</v>
      </c>
      <c r="D16" s="25"/>
      <c r="E16" s="25"/>
      <c r="F16" s="25"/>
      <c r="G16" s="25"/>
      <c r="H16" s="26"/>
      <c r="I16" s="3" t="s">
        <v>5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40</v>
      </c>
      <c r="Z16" s="1">
        <f t="shared" si="1"/>
        <v>8</v>
      </c>
      <c r="AA16" s="1">
        <f t="shared" si="2"/>
        <v>11</v>
      </c>
      <c r="AB16" s="53">
        <f t="shared" si="3"/>
        <v>21</v>
      </c>
      <c r="AC16">
        <v>38</v>
      </c>
      <c r="AD16">
        <f t="shared" si="4"/>
        <v>1140</v>
      </c>
      <c r="AF16">
        <v>39</v>
      </c>
      <c r="AG16">
        <f t="shared" si="5"/>
        <v>-1</v>
      </c>
    </row>
    <row r="17" spans="1:33" x14ac:dyDescent="0.3">
      <c r="A17" s="4" t="s">
        <v>6</v>
      </c>
      <c r="B17" s="4" t="s">
        <v>6</v>
      </c>
      <c r="C17" s="15" t="s">
        <v>17</v>
      </c>
      <c r="D17" s="25"/>
      <c r="E17" s="25"/>
      <c r="F17" s="25"/>
      <c r="G17" s="25"/>
      <c r="H17" s="26"/>
      <c r="I17" s="3" t="s">
        <v>5</v>
      </c>
      <c r="J17" s="1" t="s">
        <v>27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  <c r="AF17">
        <v>2</v>
      </c>
      <c r="AG17">
        <f t="shared" si="5"/>
        <v>1</v>
      </c>
    </row>
    <row r="18" spans="1:33" x14ac:dyDescent="0.3">
      <c r="A18" s="4" t="s">
        <v>6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5" t="s">
        <v>17</v>
      </c>
      <c r="J18" s="1" t="s">
        <v>27</v>
      </c>
      <c r="K18" s="15" t="s">
        <v>17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  <c r="AF18">
        <v>3</v>
      </c>
      <c r="AG18">
        <f t="shared" si="5"/>
        <v>0</v>
      </c>
    </row>
    <row r="19" spans="1:33" x14ac:dyDescent="0.3">
      <c r="A19" s="4" t="s">
        <v>6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5" t="s">
        <v>17</v>
      </c>
      <c r="J19" s="1" t="s">
        <v>27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  <c r="AF19">
        <v>5</v>
      </c>
      <c r="AG19">
        <f t="shared" si="5"/>
        <v>0</v>
      </c>
    </row>
    <row r="20" spans="1:33" x14ac:dyDescent="0.3">
      <c r="A20" s="4" t="s">
        <v>6</v>
      </c>
      <c r="B20" s="4" t="s">
        <v>6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  <c r="AF20">
        <v>0</v>
      </c>
      <c r="AG20">
        <f t="shared" si="5"/>
        <v>0</v>
      </c>
    </row>
    <row r="21" spans="1:33" x14ac:dyDescent="0.3">
      <c r="A21" s="17" t="s">
        <v>19</v>
      </c>
      <c r="B21" s="17" t="s">
        <v>20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  <c r="AF21">
        <v>2</v>
      </c>
      <c r="AG21">
        <f t="shared" si="5"/>
        <v>0</v>
      </c>
    </row>
    <row r="22" spans="1:33" x14ac:dyDescent="0.3">
      <c r="A22" s="4" t="s">
        <v>6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  <c r="AF22">
        <v>2</v>
      </c>
      <c r="AG22">
        <f t="shared" si="5"/>
        <v>0</v>
      </c>
    </row>
    <row r="23" spans="1:33" x14ac:dyDescent="0.3">
      <c r="A23" s="4" t="s">
        <v>6</v>
      </c>
      <c r="B23" s="4" t="s">
        <v>6</v>
      </c>
      <c r="C23" s="15" t="s">
        <v>17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10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  <c r="AF23">
        <v>0</v>
      </c>
      <c r="AG23">
        <f t="shared" si="5"/>
        <v>0</v>
      </c>
    </row>
    <row r="24" spans="1:33" x14ac:dyDescent="0.3">
      <c r="A24" s="10" t="s">
        <v>12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10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  <c r="AF24">
        <v>0</v>
      </c>
      <c r="AG24">
        <f t="shared" si="5"/>
        <v>0</v>
      </c>
    </row>
    <row r="25" spans="1:33" x14ac:dyDescent="0.3">
      <c r="A25" s="4" t="s">
        <v>6</v>
      </c>
      <c r="B25" s="4" t="s">
        <v>6</v>
      </c>
      <c r="C25" s="17" t="s">
        <v>20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10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  <c r="AF25">
        <v>0</v>
      </c>
      <c r="AG25">
        <f t="shared" si="5"/>
        <v>0</v>
      </c>
    </row>
    <row r="26" spans="1:33" x14ac:dyDescent="0.3">
      <c r="A26" s="4" t="s">
        <v>6</v>
      </c>
      <c r="B26" s="1" t="s">
        <v>27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10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  <c r="AF26">
        <v>0</v>
      </c>
      <c r="AG26">
        <f t="shared" si="5"/>
        <v>0</v>
      </c>
    </row>
    <row r="27" spans="1:33" x14ac:dyDescent="0.3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3</v>
      </c>
      <c r="AB27" s="53">
        <f t="shared" si="3"/>
        <v>11</v>
      </c>
      <c r="AC27">
        <v>15</v>
      </c>
      <c r="AD27">
        <f t="shared" si="4"/>
        <v>0</v>
      </c>
      <c r="AF27">
        <v>13</v>
      </c>
      <c r="AG27">
        <f t="shared" si="5"/>
        <v>-1</v>
      </c>
    </row>
    <row r="28" spans="1:33" x14ac:dyDescent="0.3">
      <c r="A28" s="4" t="s">
        <v>6</v>
      </c>
      <c r="B28" s="15" t="s">
        <v>17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F28">
        <v>3</v>
      </c>
      <c r="AG28">
        <f t="shared" si="5"/>
        <v>0</v>
      </c>
    </row>
    <row r="29" spans="1:33" ht="15" thickBot="1" x14ac:dyDescent="0.35">
      <c r="A29" s="4" t="s">
        <v>6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33" x14ac:dyDescent="0.3">
      <c r="A30" s="4" t="s">
        <v>6</v>
      </c>
      <c r="B30" s="4" t="s">
        <v>6</v>
      </c>
      <c r="C30" s="1" t="s">
        <v>27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33" x14ac:dyDescent="0.3">
      <c r="A31" s="4" t="s">
        <v>6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1064</v>
      </c>
      <c r="AB31">
        <f>SUM(AB3:AB28)</f>
        <v>938</v>
      </c>
      <c r="AC31">
        <f>SUM(AC3:AC28)</f>
        <v>1074</v>
      </c>
      <c r="AD31">
        <f>SUM(AD3:AD28)+7000</f>
        <v>65360</v>
      </c>
    </row>
    <row r="32" spans="1:33" x14ac:dyDescent="0.3">
      <c r="A32" s="4" t="s">
        <v>6</v>
      </c>
      <c r="B32" s="17" t="s">
        <v>19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7" t="s">
        <v>20</v>
      </c>
      <c r="B33" s="1" t="s">
        <v>27</v>
      </c>
      <c r="C33" s="16" t="s">
        <v>18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1" t="s">
        <v>27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" t="s">
        <v>27</v>
      </c>
      <c r="C35" s="17" t="s">
        <v>19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1" t="s">
        <v>27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" t="s">
        <v>27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1" t="s">
        <v>27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1" t="s">
        <v>27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1" t="s">
        <v>27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1" t="s">
        <v>27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1" t="s">
        <v>27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1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1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1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1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1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1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1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1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1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1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1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1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1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1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1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1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1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1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1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1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1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1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1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1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1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1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1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1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1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1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1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1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1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1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1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1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1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1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1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1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1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1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14.05</vt:lpstr>
      <vt:lpstr>14.06</vt:lpstr>
      <vt:lpstr>14.04</vt:lpstr>
      <vt:lpstr>14.02</vt:lpstr>
      <vt:lpstr>14.01</vt:lpstr>
      <vt:lpstr>14.03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2023-12-18T04:23:23Z</dcterms:modified>
</cp:coreProperties>
</file>