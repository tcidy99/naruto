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F052D12C-C1AA-4D2C-BD89-5CF8C9C2B89D}" xr6:coauthVersionLast="47" xr6:coauthVersionMax="47" xr10:uidLastSave="{00000000-0000-0000-0000-000000000000}"/>
  <bookViews>
    <workbookView xWindow="-28920" yWindow="-120" windowWidth="29040" windowHeight="15720" tabRatio="696" xr2:uid="{00000000-000D-0000-FFFF-FFFF00000000}"/>
  </bookViews>
  <sheets>
    <sheet name="July4" sheetId="356" r:id="rId1"/>
    <sheet name="Jun20" sheetId="355" r:id="rId2"/>
    <sheet name="Jun6" sheetId="354" r:id="rId3"/>
    <sheet name="May23" sheetId="353" r:id="rId4"/>
    <sheet name="May9" sheetId="352" r:id="rId5"/>
    <sheet name="Apr25" sheetId="351" r:id="rId6"/>
    <sheet name="Apr18" sheetId="350" r:id="rId7"/>
    <sheet name="Apr11" sheetId="349" r:id="rId8"/>
    <sheet name="Apr4" sheetId="348" r:id="rId9"/>
    <sheet name="Mar28" sheetId="347" r:id="rId10"/>
    <sheet name="Mar21" sheetId="346" r:id="rId11"/>
    <sheet name="Mar14" sheetId="345" r:id="rId12"/>
    <sheet name="Mar7" sheetId="344" r:id="rId13"/>
    <sheet name="Feb28" sheetId="343" r:id="rId14"/>
    <sheet name="Feb21" sheetId="342" r:id="rId15"/>
    <sheet name="Feb14" sheetId="341" r:id="rId16"/>
    <sheet name="Feb7" sheetId="340" r:id="rId17"/>
    <sheet name="Jan31" sheetId="339" r:id="rId18"/>
    <sheet name="Jan17" sheetId="338" r:id="rId19"/>
    <sheet name="Jan10" sheetId="337" r:id="rId20"/>
    <sheet name="Jan3" sheetId="336" r:id="rId21"/>
    <sheet name="Dec27" sheetId="335" r:id="rId22"/>
    <sheet name="Dec20" sheetId="334" r:id="rId23"/>
  </sheets>
  <definedNames>
    <definedName name="_xlnm._FilterDatabase" localSheetId="7" hidden="1">'Apr11'!$A$4:$Q$69</definedName>
    <definedName name="_xlnm._FilterDatabase" localSheetId="6" hidden="1">'Apr18'!$A$4:$Q$69</definedName>
    <definedName name="_xlnm._FilterDatabase" localSheetId="5" hidden="1">'Apr25'!$A$4:$Q$69</definedName>
    <definedName name="_xlnm._FilterDatabase" localSheetId="8" hidden="1">'Apr4'!$A$4:$Q$69</definedName>
    <definedName name="_xlnm._FilterDatabase" localSheetId="22" hidden="1">'Dec20'!$A$4:$P$68</definedName>
    <definedName name="_xlnm._FilterDatabase" localSheetId="21" hidden="1">'Dec27'!$A$4:$P$68</definedName>
    <definedName name="_xlnm._FilterDatabase" localSheetId="15" hidden="1">'Feb14'!$A$4:$P$69</definedName>
    <definedName name="_xlnm._FilterDatabase" localSheetId="14" hidden="1">'Feb21'!$A$4:$Q$69</definedName>
    <definedName name="_xlnm._FilterDatabase" localSheetId="13" hidden="1">'Feb28'!$A$4:$Q$69</definedName>
    <definedName name="_xlnm._FilterDatabase" localSheetId="16" hidden="1">'Feb7'!$A$4:$P$69</definedName>
    <definedName name="_xlnm._FilterDatabase" localSheetId="19" hidden="1">'Jan10'!$A$4:$P$68</definedName>
    <definedName name="_xlnm._FilterDatabase" localSheetId="18" hidden="1">'Jan17'!$A$4:$P$68</definedName>
    <definedName name="_xlnm._FilterDatabase" localSheetId="20" hidden="1">'Jan3'!$A$4:$P$68</definedName>
    <definedName name="_xlnm._FilterDatabase" localSheetId="17" hidden="1">'Jan31'!$A$4:$P$68</definedName>
    <definedName name="_xlnm._FilterDatabase" localSheetId="0" hidden="1">July4!$A$4:$Q$69</definedName>
    <definedName name="_xlnm._FilterDatabase" localSheetId="1" hidden="1">'Jun20'!$A$4:$Q$69</definedName>
    <definedName name="_xlnm._FilterDatabase" localSheetId="2" hidden="1">'Jun6'!$A$4:$Q$69</definedName>
    <definedName name="_xlnm._FilterDatabase" localSheetId="11" hidden="1">'Mar14'!$A$4:$Q$69</definedName>
    <definedName name="_xlnm._FilterDatabase" localSheetId="10" hidden="1">'Mar21'!$A$4:$Q$69</definedName>
    <definedName name="_xlnm._FilterDatabase" localSheetId="9" hidden="1">'Mar28'!$A$4:$Q$69</definedName>
    <definedName name="_xlnm._FilterDatabase" localSheetId="12" hidden="1">'Mar7'!$A$4:$Q$69</definedName>
    <definedName name="_xlnm._FilterDatabase" localSheetId="3" hidden="1">'May23'!$A$4:$Q$69</definedName>
    <definedName name="_xlnm._FilterDatabase" localSheetId="4" hidden="1">'May9'!$A$4:$Q$69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69" i="356" l="1"/>
  <c r="J69" i="356"/>
  <c r="L69" i="356" s="1"/>
  <c r="N69" i="356" s="1"/>
  <c r="O68" i="356"/>
  <c r="J68" i="356"/>
  <c r="L68" i="356" s="1"/>
  <c r="N68" i="356" s="1"/>
  <c r="O67" i="356"/>
  <c r="J67" i="356"/>
  <c r="L67" i="356" s="1"/>
  <c r="N67" i="356" s="1"/>
  <c r="O66" i="356"/>
  <c r="J66" i="356"/>
  <c r="L66" i="356" s="1"/>
  <c r="N66" i="356" s="1"/>
  <c r="O65" i="356"/>
  <c r="J65" i="356"/>
  <c r="L65" i="356" s="1"/>
  <c r="N65" i="356" s="1"/>
  <c r="P65" i="356" s="1"/>
  <c r="O64" i="356"/>
  <c r="J64" i="356"/>
  <c r="L64" i="356" s="1"/>
  <c r="N64" i="356" s="1"/>
  <c r="P64" i="356" s="1"/>
  <c r="O63" i="356"/>
  <c r="J63" i="356"/>
  <c r="L63" i="356" s="1"/>
  <c r="N63" i="356" s="1"/>
  <c r="P63" i="356" s="1"/>
  <c r="O62" i="356"/>
  <c r="J62" i="356"/>
  <c r="L62" i="356" s="1"/>
  <c r="N62" i="356" s="1"/>
  <c r="P62" i="356" s="1"/>
  <c r="O61" i="356"/>
  <c r="J61" i="356"/>
  <c r="L61" i="356" s="1"/>
  <c r="N61" i="356" s="1"/>
  <c r="P61" i="356" s="1"/>
  <c r="O59" i="356"/>
  <c r="J59" i="356"/>
  <c r="L59" i="356" s="1"/>
  <c r="N59" i="356" s="1"/>
  <c r="P59" i="356" s="1"/>
  <c r="O60" i="356"/>
  <c r="J60" i="356"/>
  <c r="L60" i="356" s="1"/>
  <c r="N60" i="356" s="1"/>
  <c r="P60" i="356" s="1"/>
  <c r="O58" i="356"/>
  <c r="J58" i="356"/>
  <c r="L58" i="356" s="1"/>
  <c r="N58" i="356" s="1"/>
  <c r="P58" i="356" s="1"/>
  <c r="O57" i="356"/>
  <c r="J57" i="356"/>
  <c r="L57" i="356" s="1"/>
  <c r="N57" i="356" s="1"/>
  <c r="P57" i="356" s="1"/>
  <c r="O56" i="356"/>
  <c r="J56" i="356"/>
  <c r="L56" i="356" s="1"/>
  <c r="N56" i="356" s="1"/>
  <c r="O55" i="356"/>
  <c r="J55" i="356"/>
  <c r="L55" i="356" s="1"/>
  <c r="N55" i="356" s="1"/>
  <c r="O54" i="356"/>
  <c r="J54" i="356"/>
  <c r="L54" i="356" s="1"/>
  <c r="N54" i="356" s="1"/>
  <c r="O52" i="356"/>
  <c r="J52" i="356"/>
  <c r="L52" i="356" s="1"/>
  <c r="N52" i="356" s="1"/>
  <c r="O53" i="356"/>
  <c r="J53" i="356"/>
  <c r="L53" i="356" s="1"/>
  <c r="N53" i="356" s="1"/>
  <c r="O51" i="356"/>
  <c r="J51" i="356"/>
  <c r="L51" i="356" s="1"/>
  <c r="N51" i="356" s="1"/>
  <c r="P51" i="356" s="1"/>
  <c r="O49" i="356"/>
  <c r="J49" i="356"/>
  <c r="L49" i="356" s="1"/>
  <c r="N49" i="356" s="1"/>
  <c r="P49" i="356" s="1"/>
  <c r="O48" i="356"/>
  <c r="J48" i="356"/>
  <c r="L48" i="356" s="1"/>
  <c r="N48" i="356" s="1"/>
  <c r="P48" i="356" s="1"/>
  <c r="O50" i="356"/>
  <c r="J50" i="356"/>
  <c r="L50" i="356" s="1"/>
  <c r="N50" i="356" s="1"/>
  <c r="O47" i="356"/>
  <c r="J47" i="356"/>
  <c r="L47" i="356" s="1"/>
  <c r="N47" i="356" s="1"/>
  <c r="P47" i="356" s="1"/>
  <c r="O42" i="356"/>
  <c r="J42" i="356"/>
  <c r="L42" i="356" s="1"/>
  <c r="N42" i="356" s="1"/>
  <c r="O45" i="356"/>
  <c r="J45" i="356"/>
  <c r="L45" i="356" s="1"/>
  <c r="N45" i="356" s="1"/>
  <c r="P45" i="356" s="1"/>
  <c r="O44" i="356"/>
  <c r="J44" i="356"/>
  <c r="L44" i="356" s="1"/>
  <c r="N44" i="356" s="1"/>
  <c r="O46" i="356"/>
  <c r="J46" i="356"/>
  <c r="L46" i="356" s="1"/>
  <c r="N46" i="356" s="1"/>
  <c r="O40" i="356"/>
  <c r="J40" i="356"/>
  <c r="L40" i="356" s="1"/>
  <c r="N40" i="356" s="1"/>
  <c r="O43" i="356"/>
  <c r="J43" i="356"/>
  <c r="L43" i="356" s="1"/>
  <c r="N43" i="356" s="1"/>
  <c r="O36" i="356"/>
  <c r="J36" i="356"/>
  <c r="L36" i="356" s="1"/>
  <c r="N36" i="356" s="1"/>
  <c r="O41" i="356"/>
  <c r="J41" i="356"/>
  <c r="L41" i="356" s="1"/>
  <c r="N41" i="356" s="1"/>
  <c r="O34" i="356"/>
  <c r="J34" i="356"/>
  <c r="L34" i="356" s="1"/>
  <c r="N34" i="356" s="1"/>
  <c r="O39" i="356"/>
  <c r="J39" i="356"/>
  <c r="L39" i="356" s="1"/>
  <c r="N39" i="356" s="1"/>
  <c r="O32" i="356"/>
  <c r="J32" i="356"/>
  <c r="L32" i="356" s="1"/>
  <c r="N32" i="356" s="1"/>
  <c r="P32" i="356" s="1"/>
  <c r="O29" i="356"/>
  <c r="J29" i="356"/>
  <c r="L29" i="356" s="1"/>
  <c r="N29" i="356" s="1"/>
  <c r="P29" i="356" s="1"/>
  <c r="O33" i="356"/>
  <c r="J33" i="356"/>
  <c r="L33" i="356" s="1"/>
  <c r="N33" i="356" s="1"/>
  <c r="O5" i="356"/>
  <c r="J5" i="356"/>
  <c r="L5" i="356" s="1"/>
  <c r="N5" i="356" s="1"/>
  <c r="P5" i="356" s="1"/>
  <c r="O24" i="356"/>
  <c r="J24" i="356"/>
  <c r="L24" i="356" s="1"/>
  <c r="N24" i="356" s="1"/>
  <c r="O37" i="356"/>
  <c r="J37" i="356"/>
  <c r="L37" i="356" s="1"/>
  <c r="N37" i="356" s="1"/>
  <c r="O21" i="356"/>
  <c r="J21" i="356"/>
  <c r="L21" i="356" s="1"/>
  <c r="N21" i="356" s="1"/>
  <c r="O18" i="356"/>
  <c r="J18" i="356"/>
  <c r="L18" i="356" s="1"/>
  <c r="N18" i="356" s="1"/>
  <c r="O14" i="356"/>
  <c r="J14" i="356"/>
  <c r="L14" i="356" s="1"/>
  <c r="N14" i="356" s="1"/>
  <c r="O13" i="356"/>
  <c r="J13" i="356"/>
  <c r="L13" i="356" s="1"/>
  <c r="N13" i="356" s="1"/>
  <c r="O35" i="356"/>
  <c r="J35" i="356"/>
  <c r="L35" i="356" s="1"/>
  <c r="N35" i="356" s="1"/>
  <c r="O12" i="356"/>
  <c r="J12" i="356"/>
  <c r="L12" i="356" s="1"/>
  <c r="N12" i="356" s="1"/>
  <c r="P12" i="356" s="1"/>
  <c r="O11" i="356"/>
  <c r="J11" i="356"/>
  <c r="L11" i="356" s="1"/>
  <c r="N11" i="356" s="1"/>
  <c r="P11" i="356" s="1"/>
  <c r="O10" i="356"/>
  <c r="J10" i="356"/>
  <c r="L10" i="356" s="1"/>
  <c r="N10" i="356" s="1"/>
  <c r="O9" i="356"/>
  <c r="J9" i="356"/>
  <c r="L9" i="356" s="1"/>
  <c r="N9" i="356" s="1"/>
  <c r="P9" i="356" s="1"/>
  <c r="O8" i="356"/>
  <c r="J8" i="356"/>
  <c r="L8" i="356" s="1"/>
  <c r="N8" i="356" s="1"/>
  <c r="P8" i="356" s="1"/>
  <c r="O7" i="356"/>
  <c r="J7" i="356"/>
  <c r="L7" i="356" s="1"/>
  <c r="N7" i="356" s="1"/>
  <c r="O6" i="356"/>
  <c r="J6" i="356"/>
  <c r="L6" i="356" s="1"/>
  <c r="N6" i="356" s="1"/>
  <c r="O23" i="356"/>
  <c r="J23" i="356"/>
  <c r="L23" i="356" s="1"/>
  <c r="N23" i="356" s="1"/>
  <c r="O22" i="356"/>
  <c r="J22" i="356"/>
  <c r="L22" i="356" s="1"/>
  <c r="N22" i="356" s="1"/>
  <c r="O20" i="356"/>
  <c r="J20" i="356"/>
  <c r="L20" i="356" s="1"/>
  <c r="N20" i="356" s="1"/>
  <c r="P20" i="356" s="1"/>
  <c r="O19" i="356"/>
  <c r="J19" i="356"/>
  <c r="L19" i="356" s="1"/>
  <c r="N19" i="356" s="1"/>
  <c r="O17" i="356"/>
  <c r="J17" i="356"/>
  <c r="L17" i="356" s="1"/>
  <c r="N17" i="356" s="1"/>
  <c r="O16" i="356"/>
  <c r="J16" i="356"/>
  <c r="L16" i="356" s="1"/>
  <c r="N16" i="356" s="1"/>
  <c r="O15" i="356"/>
  <c r="J15" i="356"/>
  <c r="L15" i="356" s="1"/>
  <c r="N15" i="356" s="1"/>
  <c r="O31" i="356"/>
  <c r="J31" i="356"/>
  <c r="L31" i="356" s="1"/>
  <c r="N31" i="356" s="1"/>
  <c r="P31" i="356" s="1"/>
  <c r="O30" i="356"/>
  <c r="J30" i="356"/>
  <c r="L30" i="356" s="1"/>
  <c r="N30" i="356" s="1"/>
  <c r="O28" i="356"/>
  <c r="J28" i="356"/>
  <c r="L28" i="356" s="1"/>
  <c r="N28" i="356" s="1"/>
  <c r="O27" i="356"/>
  <c r="J27" i="356"/>
  <c r="L27" i="356" s="1"/>
  <c r="N27" i="356" s="1"/>
  <c r="P27" i="356" s="1"/>
  <c r="O26" i="356"/>
  <c r="J26" i="356"/>
  <c r="L26" i="356" s="1"/>
  <c r="N26" i="356" s="1"/>
  <c r="O38" i="356"/>
  <c r="J38" i="356"/>
  <c r="L38" i="356" s="1"/>
  <c r="N38" i="356" s="1"/>
  <c r="O25" i="356"/>
  <c r="J25" i="356"/>
  <c r="L25" i="356" s="1"/>
  <c r="N25" i="356" s="1"/>
  <c r="S1" i="356"/>
  <c r="C1" i="356"/>
  <c r="O69" i="355"/>
  <c r="J69" i="355"/>
  <c r="L69" i="355" s="1"/>
  <c r="N69" i="355" s="1"/>
  <c r="P69" i="355" s="1"/>
  <c r="O68" i="355"/>
  <c r="J68" i="355"/>
  <c r="L68" i="355" s="1"/>
  <c r="N68" i="355" s="1"/>
  <c r="P68" i="355" s="1"/>
  <c r="O67" i="355"/>
  <c r="J67" i="355"/>
  <c r="L67" i="355" s="1"/>
  <c r="N67" i="355" s="1"/>
  <c r="O66" i="355"/>
  <c r="J66" i="355"/>
  <c r="L66" i="355" s="1"/>
  <c r="N66" i="355" s="1"/>
  <c r="O65" i="355"/>
  <c r="J65" i="355"/>
  <c r="L65" i="355" s="1"/>
  <c r="N65" i="355" s="1"/>
  <c r="O64" i="355"/>
  <c r="J64" i="355"/>
  <c r="L64" i="355" s="1"/>
  <c r="N64" i="355" s="1"/>
  <c r="O63" i="355"/>
  <c r="J63" i="355"/>
  <c r="L63" i="355" s="1"/>
  <c r="N63" i="355" s="1"/>
  <c r="P63" i="355" s="1"/>
  <c r="O62" i="355"/>
  <c r="J62" i="355"/>
  <c r="L62" i="355" s="1"/>
  <c r="N62" i="355" s="1"/>
  <c r="P62" i="355" s="1"/>
  <c r="O61" i="355"/>
  <c r="J61" i="355"/>
  <c r="L61" i="355" s="1"/>
  <c r="N61" i="355" s="1"/>
  <c r="O59" i="355"/>
  <c r="J59" i="355"/>
  <c r="L59" i="355" s="1"/>
  <c r="N59" i="355" s="1"/>
  <c r="P59" i="355" s="1"/>
  <c r="O60" i="355"/>
  <c r="J60" i="355"/>
  <c r="L60" i="355" s="1"/>
  <c r="N60" i="355" s="1"/>
  <c r="P60" i="355" s="1"/>
  <c r="O58" i="355"/>
  <c r="J58" i="355"/>
  <c r="L58" i="355" s="1"/>
  <c r="N58" i="355" s="1"/>
  <c r="P58" i="355" s="1"/>
  <c r="O57" i="355"/>
  <c r="J57" i="355"/>
  <c r="L57" i="355" s="1"/>
  <c r="N57" i="355" s="1"/>
  <c r="O56" i="355"/>
  <c r="J56" i="355"/>
  <c r="L56" i="355" s="1"/>
  <c r="N56" i="355" s="1"/>
  <c r="O55" i="355"/>
  <c r="J55" i="355"/>
  <c r="L55" i="355" s="1"/>
  <c r="N55" i="355" s="1"/>
  <c r="P55" i="355" s="1"/>
  <c r="O54" i="355"/>
  <c r="J54" i="355"/>
  <c r="L54" i="355" s="1"/>
  <c r="N54" i="355" s="1"/>
  <c r="P54" i="355" s="1"/>
  <c r="O53" i="355"/>
  <c r="J53" i="355"/>
  <c r="L53" i="355" s="1"/>
  <c r="N53" i="355" s="1"/>
  <c r="O50" i="355"/>
  <c r="J50" i="355"/>
  <c r="L50" i="355" s="1"/>
  <c r="N50" i="355" s="1"/>
  <c r="O51" i="355"/>
  <c r="J51" i="355"/>
  <c r="L51" i="355" s="1"/>
  <c r="N51" i="355" s="1"/>
  <c r="O47" i="355"/>
  <c r="J47" i="355"/>
  <c r="L47" i="355" s="1"/>
  <c r="N47" i="355" s="1"/>
  <c r="O52" i="355"/>
  <c r="J52" i="355"/>
  <c r="L52" i="355" s="1"/>
  <c r="N52" i="355" s="1"/>
  <c r="P52" i="355" s="1"/>
  <c r="O49" i="355"/>
  <c r="J49" i="355"/>
  <c r="L49" i="355" s="1"/>
  <c r="N49" i="355" s="1"/>
  <c r="O44" i="355"/>
  <c r="J44" i="355"/>
  <c r="L44" i="355" s="1"/>
  <c r="N44" i="355" s="1"/>
  <c r="P44" i="355" s="1"/>
  <c r="O43" i="355"/>
  <c r="J43" i="355"/>
  <c r="L43" i="355" s="1"/>
  <c r="N43" i="355" s="1"/>
  <c r="P43" i="355" s="1"/>
  <c r="O48" i="355"/>
  <c r="J48" i="355"/>
  <c r="L48" i="355" s="1"/>
  <c r="N48" i="355" s="1"/>
  <c r="P48" i="355" s="1"/>
  <c r="O45" i="355"/>
  <c r="J45" i="355"/>
  <c r="L45" i="355" s="1"/>
  <c r="N45" i="355" s="1"/>
  <c r="O42" i="355"/>
  <c r="J42" i="355"/>
  <c r="L42" i="355" s="1"/>
  <c r="N42" i="355" s="1"/>
  <c r="O36" i="355"/>
  <c r="J36" i="355"/>
  <c r="L36" i="355" s="1"/>
  <c r="N36" i="355" s="1"/>
  <c r="O38" i="355"/>
  <c r="J38" i="355"/>
  <c r="L38" i="355" s="1"/>
  <c r="N38" i="355" s="1"/>
  <c r="O37" i="355"/>
  <c r="J37" i="355"/>
  <c r="L37" i="355" s="1"/>
  <c r="N37" i="355" s="1"/>
  <c r="P37" i="355" s="1"/>
  <c r="O34" i="355"/>
  <c r="J34" i="355"/>
  <c r="L34" i="355" s="1"/>
  <c r="N34" i="355" s="1"/>
  <c r="O32" i="355"/>
  <c r="J32" i="355"/>
  <c r="L32" i="355" s="1"/>
  <c r="N32" i="355" s="1"/>
  <c r="O31" i="355"/>
  <c r="J31" i="355"/>
  <c r="L31" i="355" s="1"/>
  <c r="N31" i="355" s="1"/>
  <c r="O40" i="355"/>
  <c r="J40" i="355"/>
  <c r="L40" i="355" s="1"/>
  <c r="N40" i="355" s="1"/>
  <c r="O39" i="355"/>
  <c r="J39" i="355"/>
  <c r="L39" i="355" s="1"/>
  <c r="N39" i="355" s="1"/>
  <c r="P39" i="355" s="1"/>
  <c r="O30" i="355"/>
  <c r="J30" i="355"/>
  <c r="L30" i="355" s="1"/>
  <c r="N30" i="355" s="1"/>
  <c r="P30" i="355" s="1"/>
  <c r="O25" i="355"/>
  <c r="J25" i="355"/>
  <c r="L25" i="355" s="1"/>
  <c r="N25" i="355" s="1"/>
  <c r="P25" i="355" s="1"/>
  <c r="O35" i="355"/>
  <c r="J35" i="355"/>
  <c r="L35" i="355" s="1"/>
  <c r="N35" i="355" s="1"/>
  <c r="O22" i="355"/>
  <c r="J22" i="355"/>
  <c r="L22" i="355" s="1"/>
  <c r="N22" i="355" s="1"/>
  <c r="P22" i="355" s="1"/>
  <c r="O16" i="355"/>
  <c r="J16" i="355"/>
  <c r="L16" i="355" s="1"/>
  <c r="N16" i="355" s="1"/>
  <c r="P16" i="355" s="1"/>
  <c r="O14" i="355"/>
  <c r="J14" i="355"/>
  <c r="L14" i="355" s="1"/>
  <c r="N14" i="355" s="1"/>
  <c r="O13" i="355"/>
  <c r="J13" i="355"/>
  <c r="L13" i="355" s="1"/>
  <c r="N13" i="355" s="1"/>
  <c r="O11" i="355"/>
  <c r="J11" i="355"/>
  <c r="L11" i="355" s="1"/>
  <c r="N11" i="355" s="1"/>
  <c r="O10" i="355"/>
  <c r="J10" i="355"/>
  <c r="L10" i="355" s="1"/>
  <c r="N10" i="355" s="1"/>
  <c r="P10" i="355" s="1"/>
  <c r="O33" i="355"/>
  <c r="J33" i="355"/>
  <c r="L33" i="355" s="1"/>
  <c r="N33" i="355" s="1"/>
  <c r="O9" i="355"/>
  <c r="J9" i="355"/>
  <c r="L9" i="355" s="1"/>
  <c r="N9" i="355" s="1"/>
  <c r="O8" i="355"/>
  <c r="J8" i="355"/>
  <c r="L8" i="355" s="1"/>
  <c r="N8" i="355" s="1"/>
  <c r="O7" i="355"/>
  <c r="J7" i="355"/>
  <c r="L7" i="355" s="1"/>
  <c r="N7" i="355" s="1"/>
  <c r="O6" i="355"/>
  <c r="J6" i="355"/>
  <c r="L6" i="355" s="1"/>
  <c r="N6" i="355" s="1"/>
  <c r="P6" i="355" s="1"/>
  <c r="O5" i="355"/>
  <c r="J5" i="355"/>
  <c r="L5" i="355" s="1"/>
  <c r="N5" i="355" s="1"/>
  <c r="P5" i="355" s="1"/>
  <c r="O41" i="355"/>
  <c r="J41" i="355"/>
  <c r="L41" i="355" s="1"/>
  <c r="N41" i="355" s="1"/>
  <c r="P41" i="355" s="1"/>
  <c r="O21" i="355"/>
  <c r="J21" i="355"/>
  <c r="L21" i="355" s="1"/>
  <c r="N21" i="355" s="1"/>
  <c r="P21" i="355" s="1"/>
  <c r="O20" i="355"/>
  <c r="J20" i="355"/>
  <c r="L20" i="355" s="1"/>
  <c r="N20" i="355" s="1"/>
  <c r="P20" i="355" s="1"/>
  <c r="O19" i="355"/>
  <c r="J19" i="355"/>
  <c r="L19" i="355" s="1"/>
  <c r="N19" i="355" s="1"/>
  <c r="O18" i="355"/>
  <c r="J18" i="355"/>
  <c r="L18" i="355" s="1"/>
  <c r="N18" i="355" s="1"/>
  <c r="O17" i="355"/>
  <c r="J17" i="355"/>
  <c r="L17" i="355" s="1"/>
  <c r="N17" i="355" s="1"/>
  <c r="O15" i="355"/>
  <c r="J15" i="355"/>
  <c r="L15" i="355" s="1"/>
  <c r="N15" i="355" s="1"/>
  <c r="O12" i="355"/>
  <c r="J12" i="355"/>
  <c r="L12" i="355" s="1"/>
  <c r="N12" i="355" s="1"/>
  <c r="P12" i="355" s="1"/>
  <c r="O29" i="355"/>
  <c r="J29" i="355"/>
  <c r="L29" i="355" s="1"/>
  <c r="N29" i="355" s="1"/>
  <c r="O28" i="355"/>
  <c r="J28" i="355"/>
  <c r="L28" i="355" s="1"/>
  <c r="N28" i="355" s="1"/>
  <c r="O46" i="355"/>
  <c r="J46" i="355"/>
  <c r="L46" i="355" s="1"/>
  <c r="N46" i="355" s="1"/>
  <c r="O27" i="355"/>
  <c r="J27" i="355"/>
  <c r="L27" i="355" s="1"/>
  <c r="N27" i="355" s="1"/>
  <c r="O26" i="355"/>
  <c r="J26" i="355"/>
  <c r="L26" i="355" s="1"/>
  <c r="N26" i="355" s="1"/>
  <c r="P26" i="355" s="1"/>
  <c r="O24" i="355"/>
  <c r="J24" i="355"/>
  <c r="L24" i="355" s="1"/>
  <c r="N24" i="355" s="1"/>
  <c r="P24" i="355" s="1"/>
  <c r="O23" i="355"/>
  <c r="J23" i="355"/>
  <c r="L23" i="355" s="1"/>
  <c r="N23" i="355" s="1"/>
  <c r="P23" i="355" s="1"/>
  <c r="S1" i="355"/>
  <c r="C1" i="355"/>
  <c r="O69" i="354"/>
  <c r="J69" i="354"/>
  <c r="L69" i="354" s="1"/>
  <c r="N69" i="354" s="1"/>
  <c r="O68" i="354"/>
  <c r="J68" i="354"/>
  <c r="L68" i="354" s="1"/>
  <c r="N68" i="354" s="1"/>
  <c r="O66" i="354"/>
  <c r="J66" i="354"/>
  <c r="L66" i="354" s="1"/>
  <c r="N66" i="354" s="1"/>
  <c r="O65" i="354"/>
  <c r="J65" i="354"/>
  <c r="L65" i="354" s="1"/>
  <c r="N65" i="354" s="1"/>
  <c r="O67" i="354"/>
  <c r="J67" i="354"/>
  <c r="L67" i="354" s="1"/>
  <c r="N67" i="354" s="1"/>
  <c r="P67" i="354" s="1"/>
  <c r="O64" i="354"/>
  <c r="J64" i="354"/>
  <c r="L64" i="354" s="1"/>
  <c r="N64" i="354" s="1"/>
  <c r="P64" i="354" s="1"/>
  <c r="O58" i="354"/>
  <c r="J58" i="354"/>
  <c r="L58" i="354" s="1"/>
  <c r="N58" i="354" s="1"/>
  <c r="P58" i="354" s="1"/>
  <c r="O63" i="354"/>
  <c r="J63" i="354"/>
  <c r="L63" i="354" s="1"/>
  <c r="N63" i="354" s="1"/>
  <c r="P63" i="354" s="1"/>
  <c r="O62" i="354"/>
  <c r="J62" i="354"/>
  <c r="L62" i="354" s="1"/>
  <c r="N62" i="354" s="1"/>
  <c r="O61" i="354"/>
  <c r="J61" i="354"/>
  <c r="L61" i="354" s="1"/>
  <c r="N61" i="354" s="1"/>
  <c r="P61" i="354" s="1"/>
  <c r="O60" i="354"/>
  <c r="J60" i="354"/>
  <c r="L60" i="354" s="1"/>
  <c r="N60" i="354" s="1"/>
  <c r="O59" i="354"/>
  <c r="J59" i="354"/>
  <c r="L59" i="354" s="1"/>
  <c r="N59" i="354" s="1"/>
  <c r="P59" i="354" s="1"/>
  <c r="O57" i="354"/>
  <c r="J57" i="354"/>
  <c r="L57" i="354" s="1"/>
  <c r="N57" i="354" s="1"/>
  <c r="O53" i="354"/>
  <c r="J53" i="354"/>
  <c r="L53" i="354" s="1"/>
  <c r="N53" i="354" s="1"/>
  <c r="O54" i="354"/>
  <c r="J54" i="354"/>
  <c r="L54" i="354" s="1"/>
  <c r="N54" i="354" s="1"/>
  <c r="O56" i="354"/>
  <c r="J56" i="354"/>
  <c r="L56" i="354" s="1"/>
  <c r="N56" i="354" s="1"/>
  <c r="P56" i="354" s="1"/>
  <c r="O55" i="354"/>
  <c r="J55" i="354"/>
  <c r="L55" i="354" s="1"/>
  <c r="N55" i="354" s="1"/>
  <c r="P55" i="354" s="1"/>
  <c r="O52" i="354"/>
  <c r="J52" i="354"/>
  <c r="L52" i="354" s="1"/>
  <c r="N52" i="354" s="1"/>
  <c r="O50" i="354"/>
  <c r="J50" i="354"/>
  <c r="L50" i="354" s="1"/>
  <c r="N50" i="354" s="1"/>
  <c r="P50" i="354" s="1"/>
  <c r="O51" i="354"/>
  <c r="J51" i="354"/>
  <c r="L51" i="354" s="1"/>
  <c r="N51" i="354" s="1"/>
  <c r="P51" i="354" s="1"/>
  <c r="O45" i="354"/>
  <c r="J45" i="354"/>
  <c r="L45" i="354" s="1"/>
  <c r="N45" i="354" s="1"/>
  <c r="P45" i="354" s="1"/>
  <c r="O49" i="354"/>
  <c r="J49" i="354"/>
  <c r="L49" i="354" s="1"/>
  <c r="N49" i="354" s="1"/>
  <c r="P49" i="354" s="1"/>
  <c r="O47" i="354"/>
  <c r="J47" i="354"/>
  <c r="L47" i="354" s="1"/>
  <c r="N47" i="354" s="1"/>
  <c r="O46" i="354"/>
  <c r="J46" i="354"/>
  <c r="L46" i="354" s="1"/>
  <c r="N46" i="354" s="1"/>
  <c r="P46" i="354" s="1"/>
  <c r="O43" i="354"/>
  <c r="J43" i="354"/>
  <c r="L43" i="354" s="1"/>
  <c r="N43" i="354" s="1"/>
  <c r="P43" i="354" s="1"/>
  <c r="O48" i="354"/>
  <c r="J48" i="354"/>
  <c r="L48" i="354" s="1"/>
  <c r="N48" i="354" s="1"/>
  <c r="O42" i="354"/>
  <c r="J42" i="354"/>
  <c r="L42" i="354" s="1"/>
  <c r="N42" i="354" s="1"/>
  <c r="O44" i="354"/>
  <c r="J44" i="354"/>
  <c r="L44" i="354" s="1"/>
  <c r="N44" i="354" s="1"/>
  <c r="O41" i="354"/>
  <c r="J41" i="354"/>
  <c r="L41" i="354" s="1"/>
  <c r="N41" i="354" s="1"/>
  <c r="P41" i="354" s="1"/>
  <c r="O38" i="354"/>
  <c r="J38" i="354"/>
  <c r="L38" i="354" s="1"/>
  <c r="N38" i="354" s="1"/>
  <c r="P38" i="354" s="1"/>
  <c r="O36" i="354"/>
  <c r="J36" i="354"/>
  <c r="L36" i="354" s="1"/>
  <c r="N36" i="354" s="1"/>
  <c r="P36" i="354" s="1"/>
  <c r="O35" i="354"/>
  <c r="J35" i="354"/>
  <c r="L35" i="354" s="1"/>
  <c r="N35" i="354" s="1"/>
  <c r="O40" i="354"/>
  <c r="J40" i="354"/>
  <c r="L40" i="354" s="1"/>
  <c r="N40" i="354" s="1"/>
  <c r="P40" i="354" s="1"/>
  <c r="O29" i="354"/>
  <c r="J29" i="354"/>
  <c r="L29" i="354" s="1"/>
  <c r="N29" i="354" s="1"/>
  <c r="P29" i="354" s="1"/>
  <c r="O23" i="354"/>
  <c r="J23" i="354"/>
  <c r="L23" i="354" s="1"/>
  <c r="N23" i="354" s="1"/>
  <c r="P23" i="354" s="1"/>
  <c r="O37" i="354"/>
  <c r="J37" i="354"/>
  <c r="L37" i="354" s="1"/>
  <c r="N37" i="354" s="1"/>
  <c r="P37" i="354" s="1"/>
  <c r="O34" i="354"/>
  <c r="J34" i="354"/>
  <c r="L34" i="354" s="1"/>
  <c r="N34" i="354" s="1"/>
  <c r="O21" i="354"/>
  <c r="J21" i="354"/>
  <c r="L21" i="354" s="1"/>
  <c r="N21" i="354" s="1"/>
  <c r="P21" i="354" s="1"/>
  <c r="O19" i="354"/>
  <c r="J19" i="354"/>
  <c r="L19" i="354" s="1"/>
  <c r="N19" i="354" s="1"/>
  <c r="P19" i="354" s="1"/>
  <c r="O17" i="354"/>
  <c r="J17" i="354"/>
  <c r="L17" i="354" s="1"/>
  <c r="N17" i="354" s="1"/>
  <c r="O15" i="354"/>
  <c r="J15" i="354"/>
  <c r="L15" i="354" s="1"/>
  <c r="N15" i="354" s="1"/>
  <c r="O32" i="354"/>
  <c r="J32" i="354"/>
  <c r="L32" i="354" s="1"/>
  <c r="N32" i="354" s="1"/>
  <c r="O31" i="354"/>
  <c r="J31" i="354"/>
  <c r="L31" i="354" s="1"/>
  <c r="N31" i="354" s="1"/>
  <c r="P31" i="354" s="1"/>
  <c r="O39" i="354"/>
  <c r="J39" i="354"/>
  <c r="L39" i="354" s="1"/>
  <c r="N39" i="354" s="1"/>
  <c r="P39" i="354" s="1"/>
  <c r="O10" i="354"/>
  <c r="J10" i="354"/>
  <c r="L10" i="354" s="1"/>
  <c r="N10" i="354" s="1"/>
  <c r="O9" i="354"/>
  <c r="J9" i="354"/>
  <c r="L9" i="354" s="1"/>
  <c r="N9" i="354" s="1"/>
  <c r="O8" i="354"/>
  <c r="J8" i="354"/>
  <c r="L8" i="354" s="1"/>
  <c r="N8" i="354" s="1"/>
  <c r="P8" i="354" s="1"/>
  <c r="O30" i="354"/>
  <c r="J30" i="354"/>
  <c r="L30" i="354" s="1"/>
  <c r="N30" i="354" s="1"/>
  <c r="P30" i="354" s="1"/>
  <c r="O7" i="354"/>
  <c r="J7" i="354"/>
  <c r="L7" i="354" s="1"/>
  <c r="N7" i="354" s="1"/>
  <c r="P7" i="354" s="1"/>
  <c r="O6" i="354"/>
  <c r="J6" i="354"/>
  <c r="L6" i="354" s="1"/>
  <c r="N6" i="354" s="1"/>
  <c r="O5" i="354"/>
  <c r="J5" i="354"/>
  <c r="L5" i="354" s="1"/>
  <c r="N5" i="354" s="1"/>
  <c r="O18" i="354"/>
  <c r="J18" i="354"/>
  <c r="L18" i="354" s="1"/>
  <c r="N18" i="354" s="1"/>
  <c r="O16" i="354"/>
  <c r="J16" i="354"/>
  <c r="L16" i="354" s="1"/>
  <c r="N16" i="354" s="1"/>
  <c r="P16" i="354" s="1"/>
  <c r="O14" i="354"/>
  <c r="J14" i="354"/>
  <c r="L14" i="354" s="1"/>
  <c r="N14" i="354" s="1"/>
  <c r="P14" i="354" s="1"/>
  <c r="O13" i="354"/>
  <c r="J13" i="354"/>
  <c r="L13" i="354" s="1"/>
  <c r="N13" i="354" s="1"/>
  <c r="O33" i="354"/>
  <c r="J33" i="354"/>
  <c r="L33" i="354" s="1"/>
  <c r="N33" i="354" s="1"/>
  <c r="O12" i="354"/>
  <c r="J12" i="354"/>
  <c r="L12" i="354" s="1"/>
  <c r="N12" i="354" s="1"/>
  <c r="P12" i="354" s="1"/>
  <c r="O11" i="354"/>
  <c r="J11" i="354"/>
  <c r="L11" i="354" s="1"/>
  <c r="N11" i="354" s="1"/>
  <c r="O28" i="354"/>
  <c r="J28" i="354"/>
  <c r="L28" i="354" s="1"/>
  <c r="N28" i="354" s="1"/>
  <c r="P28" i="354" s="1"/>
  <c r="O27" i="354"/>
  <c r="J27" i="354"/>
  <c r="L27" i="354" s="1"/>
  <c r="N27" i="354" s="1"/>
  <c r="O26" i="354"/>
  <c r="J26" i="354"/>
  <c r="L26" i="354" s="1"/>
  <c r="N26" i="354" s="1"/>
  <c r="P26" i="354" s="1"/>
  <c r="O25" i="354"/>
  <c r="J25" i="354"/>
  <c r="L25" i="354" s="1"/>
  <c r="N25" i="354" s="1"/>
  <c r="P25" i="354" s="1"/>
  <c r="O24" i="354"/>
  <c r="J24" i="354"/>
  <c r="L24" i="354" s="1"/>
  <c r="N24" i="354" s="1"/>
  <c r="P24" i="354" s="1"/>
  <c r="O22" i="354"/>
  <c r="J22" i="354"/>
  <c r="L22" i="354" s="1"/>
  <c r="N22" i="354" s="1"/>
  <c r="P22" i="354" s="1"/>
  <c r="O20" i="354"/>
  <c r="J20" i="354"/>
  <c r="L20" i="354" s="1"/>
  <c r="N20" i="354" s="1"/>
  <c r="S1" i="354"/>
  <c r="C1" i="354"/>
  <c r="O69" i="353"/>
  <c r="J69" i="353"/>
  <c r="L69" i="353" s="1"/>
  <c r="N69" i="353" s="1"/>
  <c r="O68" i="353"/>
  <c r="J68" i="353"/>
  <c r="L68" i="353" s="1"/>
  <c r="N68" i="353" s="1"/>
  <c r="O67" i="353"/>
  <c r="J67" i="353"/>
  <c r="L67" i="353" s="1"/>
  <c r="N67" i="353" s="1"/>
  <c r="P67" i="353" s="1"/>
  <c r="O66" i="353"/>
  <c r="J66" i="353"/>
  <c r="L66" i="353" s="1"/>
  <c r="N66" i="353" s="1"/>
  <c r="P66" i="353" s="1"/>
  <c r="O63" i="353"/>
  <c r="J63" i="353"/>
  <c r="L63" i="353" s="1"/>
  <c r="N63" i="353" s="1"/>
  <c r="P63" i="353" s="1"/>
  <c r="O64" i="353"/>
  <c r="J64" i="353"/>
  <c r="L64" i="353" s="1"/>
  <c r="N64" i="353" s="1"/>
  <c r="O65" i="353"/>
  <c r="J65" i="353"/>
  <c r="L65" i="353" s="1"/>
  <c r="N65" i="353" s="1"/>
  <c r="O62" i="353"/>
  <c r="J62" i="353"/>
  <c r="L62" i="353" s="1"/>
  <c r="N62" i="353" s="1"/>
  <c r="O61" i="353"/>
  <c r="J61" i="353"/>
  <c r="L61" i="353" s="1"/>
  <c r="N61" i="353" s="1"/>
  <c r="O59" i="353"/>
  <c r="J59" i="353"/>
  <c r="L59" i="353" s="1"/>
  <c r="N59" i="353" s="1"/>
  <c r="P59" i="353" s="1"/>
  <c r="O60" i="353"/>
  <c r="J60" i="353"/>
  <c r="L60" i="353" s="1"/>
  <c r="N60" i="353" s="1"/>
  <c r="P60" i="353" s="1"/>
  <c r="O58" i="353"/>
  <c r="J58" i="353"/>
  <c r="L58" i="353" s="1"/>
  <c r="N58" i="353" s="1"/>
  <c r="O56" i="353"/>
  <c r="J56" i="353"/>
  <c r="L56" i="353" s="1"/>
  <c r="N56" i="353" s="1"/>
  <c r="O55" i="353"/>
  <c r="J55" i="353"/>
  <c r="L55" i="353" s="1"/>
  <c r="N55" i="353" s="1"/>
  <c r="P55" i="353" s="1"/>
  <c r="O57" i="353"/>
  <c r="J57" i="353"/>
  <c r="L57" i="353" s="1"/>
  <c r="N57" i="353" s="1"/>
  <c r="O54" i="353"/>
  <c r="J54" i="353"/>
  <c r="L54" i="353" s="1"/>
  <c r="N54" i="353" s="1"/>
  <c r="O53" i="353"/>
  <c r="J53" i="353"/>
  <c r="L53" i="353" s="1"/>
  <c r="N53" i="353" s="1"/>
  <c r="P53" i="353" s="1"/>
  <c r="O52" i="353"/>
  <c r="J52" i="353"/>
  <c r="L52" i="353" s="1"/>
  <c r="N52" i="353" s="1"/>
  <c r="O50" i="353"/>
  <c r="J50" i="353"/>
  <c r="L50" i="353" s="1"/>
  <c r="N50" i="353" s="1"/>
  <c r="P50" i="353" s="1"/>
  <c r="O49" i="353"/>
  <c r="J49" i="353"/>
  <c r="L49" i="353" s="1"/>
  <c r="N49" i="353" s="1"/>
  <c r="O51" i="353"/>
  <c r="J51" i="353"/>
  <c r="L51" i="353" s="1"/>
  <c r="N51" i="353" s="1"/>
  <c r="O45" i="353"/>
  <c r="J45" i="353"/>
  <c r="L45" i="353" s="1"/>
  <c r="N45" i="353" s="1"/>
  <c r="P45" i="353" s="1"/>
  <c r="O47" i="353"/>
  <c r="J47" i="353"/>
  <c r="L47" i="353" s="1"/>
  <c r="N47" i="353" s="1"/>
  <c r="O46" i="353"/>
  <c r="J46" i="353"/>
  <c r="L46" i="353" s="1"/>
  <c r="N46" i="353" s="1"/>
  <c r="P46" i="353" s="1"/>
  <c r="O43" i="353"/>
  <c r="J43" i="353"/>
  <c r="L43" i="353" s="1"/>
  <c r="N43" i="353" s="1"/>
  <c r="P43" i="353" s="1"/>
  <c r="O48" i="353"/>
  <c r="J48" i="353"/>
  <c r="L48" i="353" s="1"/>
  <c r="N48" i="353" s="1"/>
  <c r="P48" i="353" s="1"/>
  <c r="O44" i="353"/>
  <c r="J44" i="353"/>
  <c r="L44" i="353" s="1"/>
  <c r="N44" i="353" s="1"/>
  <c r="O41" i="353"/>
  <c r="J41" i="353"/>
  <c r="L41" i="353" s="1"/>
  <c r="N41" i="353" s="1"/>
  <c r="P41" i="353" s="1"/>
  <c r="O39" i="353"/>
  <c r="J39" i="353"/>
  <c r="L39" i="353" s="1"/>
  <c r="N39" i="353" s="1"/>
  <c r="O38" i="353"/>
  <c r="J38" i="353"/>
  <c r="L38" i="353" s="1"/>
  <c r="N38" i="353" s="1"/>
  <c r="O42" i="353"/>
  <c r="J42" i="353"/>
  <c r="L42" i="353" s="1"/>
  <c r="N42" i="353" s="1"/>
  <c r="O33" i="353"/>
  <c r="J33" i="353"/>
  <c r="L33" i="353" s="1"/>
  <c r="N33" i="353" s="1"/>
  <c r="P33" i="353" s="1"/>
  <c r="O31" i="353"/>
  <c r="J31" i="353"/>
  <c r="L31" i="353" s="1"/>
  <c r="N31" i="353" s="1"/>
  <c r="O28" i="353"/>
  <c r="J28" i="353"/>
  <c r="L28" i="353" s="1"/>
  <c r="N28" i="353" s="1"/>
  <c r="P28" i="353" s="1"/>
  <c r="O27" i="353"/>
  <c r="J27" i="353"/>
  <c r="L27" i="353" s="1"/>
  <c r="N27" i="353" s="1"/>
  <c r="O22" i="353"/>
  <c r="J22" i="353"/>
  <c r="L22" i="353" s="1"/>
  <c r="N22" i="353" s="1"/>
  <c r="P22" i="353" s="1"/>
  <c r="O21" i="353"/>
  <c r="J21" i="353"/>
  <c r="L21" i="353" s="1"/>
  <c r="N21" i="353" s="1"/>
  <c r="O36" i="353"/>
  <c r="J36" i="353"/>
  <c r="L36" i="353" s="1"/>
  <c r="N36" i="353" s="1"/>
  <c r="P36" i="353" s="1"/>
  <c r="O40" i="353"/>
  <c r="J40" i="353"/>
  <c r="L40" i="353" s="1"/>
  <c r="N40" i="353" s="1"/>
  <c r="P40" i="353" s="1"/>
  <c r="O17" i="353"/>
  <c r="J17" i="353"/>
  <c r="L17" i="353" s="1"/>
  <c r="N17" i="353" s="1"/>
  <c r="O35" i="353"/>
  <c r="J35" i="353"/>
  <c r="L35" i="353" s="1"/>
  <c r="N35" i="353" s="1"/>
  <c r="P35" i="353" s="1"/>
  <c r="O34" i="353"/>
  <c r="J34" i="353"/>
  <c r="L34" i="353" s="1"/>
  <c r="N34" i="353" s="1"/>
  <c r="O15" i="353"/>
  <c r="J15" i="353"/>
  <c r="L15" i="353" s="1"/>
  <c r="N15" i="353" s="1"/>
  <c r="O14" i="353"/>
  <c r="J14" i="353"/>
  <c r="L14" i="353" s="1"/>
  <c r="N14" i="353" s="1"/>
  <c r="P14" i="353" s="1"/>
  <c r="O11" i="353"/>
  <c r="J11" i="353"/>
  <c r="L11" i="353" s="1"/>
  <c r="N11" i="353" s="1"/>
  <c r="O10" i="353"/>
  <c r="J10" i="353"/>
  <c r="L10" i="353" s="1"/>
  <c r="N10" i="353" s="1"/>
  <c r="O9" i="353"/>
  <c r="J9" i="353"/>
  <c r="L9" i="353" s="1"/>
  <c r="N9" i="353" s="1"/>
  <c r="P9" i="353" s="1"/>
  <c r="O30" i="353"/>
  <c r="J30" i="353"/>
  <c r="L30" i="353" s="1"/>
  <c r="N30" i="353" s="1"/>
  <c r="P30" i="353" s="1"/>
  <c r="O29" i="353"/>
  <c r="J29" i="353"/>
  <c r="L29" i="353" s="1"/>
  <c r="N29" i="353" s="1"/>
  <c r="O6" i="353"/>
  <c r="J6" i="353"/>
  <c r="L6" i="353" s="1"/>
  <c r="N6" i="353" s="1"/>
  <c r="O5" i="353"/>
  <c r="J5" i="353"/>
  <c r="L5" i="353" s="1"/>
  <c r="N5" i="353" s="1"/>
  <c r="O18" i="353"/>
  <c r="J18" i="353"/>
  <c r="L18" i="353" s="1"/>
  <c r="N18" i="353" s="1"/>
  <c r="P18" i="353" s="1"/>
  <c r="O16" i="353"/>
  <c r="J16" i="353"/>
  <c r="L16" i="353" s="1"/>
  <c r="N16" i="353" s="1"/>
  <c r="P16" i="353" s="1"/>
  <c r="O32" i="353"/>
  <c r="J32" i="353"/>
  <c r="L32" i="353" s="1"/>
  <c r="N32" i="353" s="1"/>
  <c r="O13" i="353"/>
  <c r="J13" i="353"/>
  <c r="L13" i="353" s="1"/>
  <c r="N13" i="353" s="1"/>
  <c r="P13" i="353" s="1"/>
  <c r="O12" i="353"/>
  <c r="J12" i="353"/>
  <c r="L12" i="353" s="1"/>
  <c r="N12" i="353" s="1"/>
  <c r="P12" i="353" s="1"/>
  <c r="O8" i="353"/>
  <c r="J8" i="353"/>
  <c r="L8" i="353" s="1"/>
  <c r="N8" i="353" s="1"/>
  <c r="O7" i="353"/>
  <c r="J7" i="353"/>
  <c r="L7" i="353" s="1"/>
  <c r="N7" i="353" s="1"/>
  <c r="O37" i="353"/>
  <c r="J37" i="353"/>
  <c r="L37" i="353" s="1"/>
  <c r="N37" i="353" s="1"/>
  <c r="O26" i="353"/>
  <c r="J26" i="353"/>
  <c r="L26" i="353" s="1"/>
  <c r="N26" i="353" s="1"/>
  <c r="O24" i="353"/>
  <c r="J24" i="353"/>
  <c r="L24" i="353" s="1"/>
  <c r="N24" i="353" s="1"/>
  <c r="P24" i="353" s="1"/>
  <c r="O25" i="353"/>
  <c r="J25" i="353"/>
  <c r="L25" i="353" s="1"/>
  <c r="N25" i="353" s="1"/>
  <c r="O23" i="353"/>
  <c r="J23" i="353"/>
  <c r="L23" i="353" s="1"/>
  <c r="N23" i="353" s="1"/>
  <c r="O20" i="353"/>
  <c r="J20" i="353"/>
  <c r="L20" i="353" s="1"/>
  <c r="N20" i="353" s="1"/>
  <c r="P20" i="353" s="1"/>
  <c r="O19" i="353"/>
  <c r="J19" i="353"/>
  <c r="L19" i="353" s="1"/>
  <c r="N19" i="353" s="1"/>
  <c r="S1" i="353"/>
  <c r="C1" i="353"/>
  <c r="O69" i="352"/>
  <c r="J69" i="352"/>
  <c r="L69" i="352" s="1"/>
  <c r="N69" i="352" s="1"/>
  <c r="O68" i="352"/>
  <c r="J68" i="352"/>
  <c r="L68" i="352" s="1"/>
  <c r="N68" i="352" s="1"/>
  <c r="O63" i="352"/>
  <c r="J63" i="352"/>
  <c r="L63" i="352" s="1"/>
  <c r="N63" i="352" s="1"/>
  <c r="O60" i="352"/>
  <c r="J60" i="352"/>
  <c r="L60" i="352" s="1"/>
  <c r="N60" i="352" s="1"/>
  <c r="O67" i="352"/>
  <c r="J67" i="352"/>
  <c r="L67" i="352" s="1"/>
  <c r="N67" i="352" s="1"/>
  <c r="O66" i="352"/>
  <c r="J66" i="352"/>
  <c r="L66" i="352" s="1"/>
  <c r="N66" i="352" s="1"/>
  <c r="O59" i="352"/>
  <c r="J59" i="352"/>
  <c r="L59" i="352" s="1"/>
  <c r="N59" i="352" s="1"/>
  <c r="P59" i="352" s="1"/>
  <c r="O64" i="352"/>
  <c r="J64" i="352"/>
  <c r="L64" i="352" s="1"/>
  <c r="N64" i="352" s="1"/>
  <c r="P64" i="352" s="1"/>
  <c r="O65" i="352"/>
  <c r="J65" i="352"/>
  <c r="L65" i="352" s="1"/>
  <c r="N65" i="352" s="1"/>
  <c r="P65" i="352" s="1"/>
  <c r="O62" i="352"/>
  <c r="J62" i="352"/>
  <c r="L62" i="352" s="1"/>
  <c r="N62" i="352" s="1"/>
  <c r="P62" i="352" s="1"/>
  <c r="O61" i="352"/>
  <c r="J61" i="352"/>
  <c r="L61" i="352" s="1"/>
  <c r="N61" i="352" s="1"/>
  <c r="P61" i="352" s="1"/>
  <c r="O58" i="352"/>
  <c r="J58" i="352"/>
  <c r="L58" i="352" s="1"/>
  <c r="N58" i="352" s="1"/>
  <c r="P58" i="352" s="1"/>
  <c r="O57" i="352"/>
  <c r="J57" i="352"/>
  <c r="L57" i="352" s="1"/>
  <c r="N57" i="352" s="1"/>
  <c r="P57" i="352" s="1"/>
  <c r="O56" i="352"/>
  <c r="J56" i="352"/>
  <c r="L56" i="352" s="1"/>
  <c r="N56" i="352" s="1"/>
  <c r="P56" i="352" s="1"/>
  <c r="O55" i="352"/>
  <c r="J55" i="352"/>
  <c r="L55" i="352" s="1"/>
  <c r="N55" i="352" s="1"/>
  <c r="O52" i="352"/>
  <c r="J52" i="352"/>
  <c r="L52" i="352" s="1"/>
  <c r="N52" i="352" s="1"/>
  <c r="O54" i="352"/>
  <c r="J54" i="352"/>
  <c r="L54" i="352" s="1"/>
  <c r="N54" i="352" s="1"/>
  <c r="O53" i="352"/>
  <c r="J53" i="352"/>
  <c r="L53" i="352" s="1"/>
  <c r="N53" i="352" s="1"/>
  <c r="O50" i="352"/>
  <c r="J50" i="352"/>
  <c r="L50" i="352" s="1"/>
  <c r="N50" i="352" s="1"/>
  <c r="O49" i="352"/>
  <c r="J49" i="352"/>
  <c r="L49" i="352" s="1"/>
  <c r="N49" i="352" s="1"/>
  <c r="P49" i="352" s="1"/>
  <c r="O47" i="352"/>
  <c r="J47" i="352"/>
  <c r="L47" i="352" s="1"/>
  <c r="N47" i="352" s="1"/>
  <c r="P47" i="352" s="1"/>
  <c r="O51" i="352"/>
  <c r="J51" i="352"/>
  <c r="L51" i="352" s="1"/>
  <c r="N51" i="352" s="1"/>
  <c r="O48" i="352"/>
  <c r="J48" i="352"/>
  <c r="L48" i="352" s="1"/>
  <c r="N48" i="352" s="1"/>
  <c r="P48" i="352" s="1"/>
  <c r="O43" i="352"/>
  <c r="J43" i="352"/>
  <c r="L43" i="352" s="1"/>
  <c r="N43" i="352" s="1"/>
  <c r="P43" i="352" s="1"/>
  <c r="O46" i="352"/>
  <c r="J46" i="352"/>
  <c r="L46" i="352" s="1"/>
  <c r="N46" i="352" s="1"/>
  <c r="P46" i="352" s="1"/>
  <c r="O40" i="352"/>
  <c r="J40" i="352"/>
  <c r="L40" i="352" s="1"/>
  <c r="N40" i="352" s="1"/>
  <c r="P40" i="352" s="1"/>
  <c r="O39" i="352"/>
  <c r="J39" i="352"/>
  <c r="L39" i="352" s="1"/>
  <c r="N39" i="352" s="1"/>
  <c r="P39" i="352" s="1"/>
  <c r="O45" i="352"/>
  <c r="J45" i="352"/>
  <c r="L45" i="352" s="1"/>
  <c r="N45" i="352" s="1"/>
  <c r="P45" i="352" s="1"/>
  <c r="O41" i="352"/>
  <c r="J41" i="352"/>
  <c r="L41" i="352" s="1"/>
  <c r="N41" i="352" s="1"/>
  <c r="O44" i="352"/>
  <c r="J44" i="352"/>
  <c r="L44" i="352" s="1"/>
  <c r="N44" i="352" s="1"/>
  <c r="O42" i="352"/>
  <c r="J42" i="352"/>
  <c r="L42" i="352" s="1"/>
  <c r="N42" i="352" s="1"/>
  <c r="O29" i="352"/>
  <c r="J29" i="352"/>
  <c r="L29" i="352" s="1"/>
  <c r="N29" i="352" s="1"/>
  <c r="O28" i="352"/>
  <c r="J28" i="352"/>
  <c r="L28" i="352" s="1"/>
  <c r="N28" i="352" s="1"/>
  <c r="O37" i="352"/>
  <c r="J37" i="352"/>
  <c r="L37" i="352" s="1"/>
  <c r="N37" i="352" s="1"/>
  <c r="P37" i="352" s="1"/>
  <c r="O25" i="352"/>
  <c r="J25" i="352"/>
  <c r="L25" i="352" s="1"/>
  <c r="N25" i="352" s="1"/>
  <c r="P25" i="352" s="1"/>
  <c r="O23" i="352"/>
  <c r="J23" i="352"/>
  <c r="L23" i="352" s="1"/>
  <c r="N23" i="352" s="1"/>
  <c r="O22" i="352"/>
  <c r="J22" i="352"/>
  <c r="L22" i="352" s="1"/>
  <c r="N22" i="352" s="1"/>
  <c r="P22" i="352" s="1"/>
  <c r="O19" i="352"/>
  <c r="J19" i="352"/>
  <c r="L19" i="352" s="1"/>
  <c r="N19" i="352" s="1"/>
  <c r="P19" i="352" s="1"/>
  <c r="O34" i="352"/>
  <c r="J34" i="352"/>
  <c r="L34" i="352" s="1"/>
  <c r="N34" i="352" s="1"/>
  <c r="P34" i="352" s="1"/>
  <c r="O16" i="352"/>
  <c r="J16" i="352"/>
  <c r="L16" i="352" s="1"/>
  <c r="N16" i="352" s="1"/>
  <c r="P16" i="352" s="1"/>
  <c r="O31" i="352"/>
  <c r="J31" i="352"/>
  <c r="L31" i="352" s="1"/>
  <c r="N31" i="352" s="1"/>
  <c r="O12" i="352"/>
  <c r="J12" i="352"/>
  <c r="L12" i="352" s="1"/>
  <c r="N12" i="352" s="1"/>
  <c r="P12" i="352" s="1"/>
  <c r="O30" i="352"/>
  <c r="J30" i="352"/>
  <c r="L30" i="352" s="1"/>
  <c r="N30" i="352" s="1"/>
  <c r="O11" i="352"/>
  <c r="J11" i="352"/>
  <c r="L11" i="352" s="1"/>
  <c r="N11" i="352" s="1"/>
  <c r="O9" i="352"/>
  <c r="J9" i="352"/>
  <c r="L9" i="352" s="1"/>
  <c r="N9" i="352" s="1"/>
  <c r="O7" i="352"/>
  <c r="J7" i="352"/>
  <c r="L7" i="352" s="1"/>
  <c r="N7" i="352" s="1"/>
  <c r="O38" i="352"/>
  <c r="J38" i="352"/>
  <c r="L38" i="352" s="1"/>
  <c r="N38" i="352" s="1"/>
  <c r="O26" i="352"/>
  <c r="J26" i="352"/>
  <c r="L26" i="352" s="1"/>
  <c r="N26" i="352" s="1"/>
  <c r="P26" i="352" s="1"/>
  <c r="O24" i="352"/>
  <c r="J24" i="352"/>
  <c r="L24" i="352" s="1"/>
  <c r="N24" i="352" s="1"/>
  <c r="P24" i="352" s="1"/>
  <c r="O6" i="352"/>
  <c r="J6" i="352"/>
  <c r="L6" i="352" s="1"/>
  <c r="N6" i="352" s="1"/>
  <c r="P6" i="352" s="1"/>
  <c r="O5" i="352"/>
  <c r="J5" i="352"/>
  <c r="L5" i="352" s="1"/>
  <c r="N5" i="352" s="1"/>
  <c r="P5" i="352" s="1"/>
  <c r="O17" i="352"/>
  <c r="J17" i="352"/>
  <c r="L17" i="352" s="1"/>
  <c r="N17" i="352" s="1"/>
  <c r="P17" i="352" s="1"/>
  <c r="O14" i="352"/>
  <c r="J14" i="352"/>
  <c r="L14" i="352" s="1"/>
  <c r="N14" i="352" s="1"/>
  <c r="P14" i="352" s="1"/>
  <c r="O32" i="352"/>
  <c r="J32" i="352"/>
  <c r="L32" i="352" s="1"/>
  <c r="N32" i="352" s="1"/>
  <c r="O13" i="352"/>
  <c r="J13" i="352"/>
  <c r="L13" i="352" s="1"/>
  <c r="N13" i="352" s="1"/>
  <c r="P13" i="352" s="1"/>
  <c r="O10" i="352"/>
  <c r="J10" i="352"/>
  <c r="L10" i="352" s="1"/>
  <c r="N10" i="352" s="1"/>
  <c r="P10" i="352" s="1"/>
  <c r="O8" i="352"/>
  <c r="J8" i="352"/>
  <c r="L8" i="352" s="1"/>
  <c r="N8" i="352" s="1"/>
  <c r="O27" i="352"/>
  <c r="J27" i="352"/>
  <c r="L27" i="352" s="1"/>
  <c r="N27" i="352" s="1"/>
  <c r="O21" i="352"/>
  <c r="J21" i="352"/>
  <c r="L21" i="352" s="1"/>
  <c r="N21" i="352" s="1"/>
  <c r="O20" i="352"/>
  <c r="J20" i="352"/>
  <c r="L20" i="352" s="1"/>
  <c r="N20" i="352" s="1"/>
  <c r="O18" i="352"/>
  <c r="J18" i="352"/>
  <c r="L18" i="352" s="1"/>
  <c r="N18" i="352" s="1"/>
  <c r="O36" i="352"/>
  <c r="J36" i="352"/>
  <c r="L36" i="352" s="1"/>
  <c r="N36" i="352" s="1"/>
  <c r="P36" i="352" s="1"/>
  <c r="O35" i="352"/>
  <c r="J35" i="352"/>
  <c r="L35" i="352" s="1"/>
  <c r="N35" i="352" s="1"/>
  <c r="P35" i="352" s="1"/>
  <c r="O15" i="352"/>
  <c r="J15" i="352"/>
  <c r="L15" i="352" s="1"/>
  <c r="N15" i="352" s="1"/>
  <c r="P15" i="352" s="1"/>
  <c r="O33" i="352"/>
  <c r="J33" i="352"/>
  <c r="L33" i="352" s="1"/>
  <c r="N33" i="352" s="1"/>
  <c r="P33" i="352" s="1"/>
  <c r="S1" i="352"/>
  <c r="C1" i="352"/>
  <c r="O69" i="351"/>
  <c r="J69" i="351"/>
  <c r="L69" i="351" s="1"/>
  <c r="N69" i="351" s="1"/>
  <c r="O68" i="351"/>
  <c r="J68" i="351"/>
  <c r="L68" i="351" s="1"/>
  <c r="N68" i="351" s="1"/>
  <c r="P68" i="351" s="1"/>
  <c r="O63" i="351"/>
  <c r="J63" i="351"/>
  <c r="L63" i="351" s="1"/>
  <c r="N63" i="351" s="1"/>
  <c r="O67" i="351"/>
  <c r="J67" i="351"/>
  <c r="L67" i="351" s="1"/>
  <c r="N67" i="351" s="1"/>
  <c r="O66" i="351"/>
  <c r="J66" i="351"/>
  <c r="L66" i="351" s="1"/>
  <c r="N66" i="351" s="1"/>
  <c r="O62" i="351"/>
  <c r="J62" i="351"/>
  <c r="L62" i="351" s="1"/>
  <c r="N62" i="351" s="1"/>
  <c r="P62" i="351" s="1"/>
  <c r="O64" i="351"/>
  <c r="J64" i="351"/>
  <c r="L64" i="351" s="1"/>
  <c r="N64" i="351" s="1"/>
  <c r="O65" i="351"/>
  <c r="J65" i="351"/>
  <c r="L65" i="351" s="1"/>
  <c r="N65" i="351" s="1"/>
  <c r="P65" i="351" s="1"/>
  <c r="O60" i="351"/>
  <c r="J60" i="351"/>
  <c r="L60" i="351" s="1"/>
  <c r="N60" i="351" s="1"/>
  <c r="O61" i="351"/>
  <c r="J61" i="351"/>
  <c r="L61" i="351" s="1"/>
  <c r="N61" i="351" s="1"/>
  <c r="O59" i="351"/>
  <c r="J59" i="351"/>
  <c r="L59" i="351" s="1"/>
  <c r="N59" i="351" s="1"/>
  <c r="P59" i="351" s="1"/>
  <c r="O58" i="351"/>
  <c r="J58" i="351"/>
  <c r="L58" i="351" s="1"/>
  <c r="N58" i="351" s="1"/>
  <c r="P58" i="351" s="1"/>
  <c r="O55" i="351"/>
  <c r="J55" i="351"/>
  <c r="L55" i="351" s="1"/>
  <c r="N55" i="351" s="1"/>
  <c r="O57" i="351"/>
  <c r="L57" i="351"/>
  <c r="N57" i="351" s="1"/>
  <c r="P57" i="351" s="1"/>
  <c r="J57" i="351"/>
  <c r="O56" i="351"/>
  <c r="J56" i="351"/>
  <c r="L56" i="351" s="1"/>
  <c r="N56" i="351" s="1"/>
  <c r="O54" i="351"/>
  <c r="J54" i="351"/>
  <c r="L54" i="351" s="1"/>
  <c r="N54" i="351" s="1"/>
  <c r="O49" i="351"/>
  <c r="J49" i="351"/>
  <c r="L49" i="351" s="1"/>
  <c r="N49" i="351" s="1"/>
  <c r="P49" i="351" s="1"/>
  <c r="O53" i="351"/>
  <c r="J53" i="351"/>
  <c r="L53" i="351" s="1"/>
  <c r="N53" i="351" s="1"/>
  <c r="O52" i="351"/>
  <c r="J52" i="351"/>
  <c r="L52" i="351" s="1"/>
  <c r="N52" i="351" s="1"/>
  <c r="P52" i="351" s="1"/>
  <c r="O48" i="351"/>
  <c r="J48" i="351"/>
  <c r="L48" i="351" s="1"/>
  <c r="N48" i="351" s="1"/>
  <c r="O51" i="351"/>
  <c r="J51" i="351"/>
  <c r="L51" i="351" s="1"/>
  <c r="N51" i="351" s="1"/>
  <c r="P51" i="351" s="1"/>
  <c r="O47" i="351"/>
  <c r="J47" i="351"/>
  <c r="L47" i="351" s="1"/>
  <c r="N47" i="351" s="1"/>
  <c r="P47" i="351" s="1"/>
  <c r="O46" i="351"/>
  <c r="J46" i="351"/>
  <c r="L46" i="351" s="1"/>
  <c r="N46" i="351" s="1"/>
  <c r="P46" i="351" s="1"/>
  <c r="O50" i="351"/>
  <c r="J50" i="351"/>
  <c r="L50" i="351" s="1"/>
  <c r="N50" i="351" s="1"/>
  <c r="O43" i="351"/>
  <c r="J43" i="351"/>
  <c r="L43" i="351" s="1"/>
  <c r="N43" i="351" s="1"/>
  <c r="P43" i="351" s="1"/>
  <c r="O45" i="351"/>
  <c r="J45" i="351"/>
  <c r="L45" i="351" s="1"/>
  <c r="N45" i="351" s="1"/>
  <c r="O40" i="351"/>
  <c r="J40" i="351"/>
  <c r="L40" i="351" s="1"/>
  <c r="N40" i="351" s="1"/>
  <c r="P40" i="351" s="1"/>
  <c r="O44" i="351"/>
  <c r="J44" i="351"/>
  <c r="L44" i="351" s="1"/>
  <c r="N44" i="351" s="1"/>
  <c r="O33" i="351"/>
  <c r="J33" i="351"/>
  <c r="L33" i="351" s="1"/>
  <c r="N33" i="351" s="1"/>
  <c r="O32" i="351"/>
  <c r="J32" i="351"/>
  <c r="L32" i="351" s="1"/>
  <c r="N32" i="351" s="1"/>
  <c r="O39" i="351"/>
  <c r="J39" i="351"/>
  <c r="L39" i="351" s="1"/>
  <c r="N39" i="351" s="1"/>
  <c r="P39" i="351" s="1"/>
  <c r="O42" i="351"/>
  <c r="J42" i="351"/>
  <c r="L42" i="351" s="1"/>
  <c r="N42" i="351" s="1"/>
  <c r="O29" i="351"/>
  <c r="J29" i="351"/>
  <c r="L29" i="351" s="1"/>
  <c r="N29" i="351" s="1"/>
  <c r="P29" i="351" s="1"/>
  <c r="O28" i="351"/>
  <c r="J28" i="351"/>
  <c r="L28" i="351" s="1"/>
  <c r="N28" i="351" s="1"/>
  <c r="O27" i="351"/>
  <c r="J27" i="351"/>
  <c r="L27" i="351" s="1"/>
  <c r="N27" i="351" s="1"/>
  <c r="P27" i="351" s="1"/>
  <c r="O22" i="351"/>
  <c r="J22" i="351"/>
  <c r="L22" i="351" s="1"/>
  <c r="N22" i="351" s="1"/>
  <c r="P22" i="351" s="1"/>
  <c r="O21" i="351"/>
  <c r="J21" i="351"/>
  <c r="L21" i="351" s="1"/>
  <c r="N21" i="351" s="1"/>
  <c r="P21" i="351" s="1"/>
  <c r="O18" i="351"/>
  <c r="J18" i="351"/>
  <c r="L18" i="351" s="1"/>
  <c r="N18" i="351" s="1"/>
  <c r="O30" i="351"/>
  <c r="J30" i="351"/>
  <c r="L30" i="351" s="1"/>
  <c r="N30" i="351" s="1"/>
  <c r="P30" i="351" s="1"/>
  <c r="O10" i="351"/>
  <c r="J10" i="351"/>
  <c r="L10" i="351" s="1"/>
  <c r="N10" i="351" s="1"/>
  <c r="O9" i="351"/>
  <c r="J9" i="351"/>
  <c r="L9" i="351" s="1"/>
  <c r="N9" i="351" s="1"/>
  <c r="P9" i="351" s="1"/>
  <c r="O8" i="351"/>
  <c r="J8" i="351"/>
  <c r="L8" i="351" s="1"/>
  <c r="N8" i="351" s="1"/>
  <c r="O7" i="351"/>
  <c r="J7" i="351"/>
  <c r="L7" i="351" s="1"/>
  <c r="N7" i="351" s="1"/>
  <c r="O38" i="351"/>
  <c r="J38" i="351"/>
  <c r="L38" i="351" s="1"/>
  <c r="N38" i="351" s="1"/>
  <c r="O25" i="351"/>
  <c r="J25" i="351"/>
  <c r="L25" i="351" s="1"/>
  <c r="N25" i="351" s="1"/>
  <c r="P25" i="351" s="1"/>
  <c r="O37" i="351"/>
  <c r="J37" i="351"/>
  <c r="L37" i="351" s="1"/>
  <c r="N37" i="351" s="1"/>
  <c r="O6" i="351"/>
  <c r="J6" i="351"/>
  <c r="L6" i="351" s="1"/>
  <c r="N6" i="351" s="1"/>
  <c r="P6" i="351" s="1"/>
  <c r="O5" i="351"/>
  <c r="J5" i="351"/>
  <c r="L5" i="351" s="1"/>
  <c r="N5" i="351" s="1"/>
  <c r="O36" i="351"/>
  <c r="J36" i="351"/>
  <c r="L36" i="351" s="1"/>
  <c r="N36" i="351" s="1"/>
  <c r="P36" i="351" s="1"/>
  <c r="O17" i="351"/>
  <c r="J17" i="351"/>
  <c r="L17" i="351" s="1"/>
  <c r="N17" i="351" s="1"/>
  <c r="O16" i="351"/>
  <c r="J16" i="351"/>
  <c r="L16" i="351" s="1"/>
  <c r="N16" i="351" s="1"/>
  <c r="P16" i="351" s="1"/>
  <c r="O15" i="351"/>
  <c r="J15" i="351"/>
  <c r="L15" i="351" s="1"/>
  <c r="N15" i="351" s="1"/>
  <c r="O14" i="351"/>
  <c r="J14" i="351"/>
  <c r="L14" i="351" s="1"/>
  <c r="N14" i="351" s="1"/>
  <c r="O13" i="351"/>
  <c r="J13" i="351"/>
  <c r="L13" i="351" s="1"/>
  <c r="N13" i="351" s="1"/>
  <c r="O12" i="351"/>
  <c r="J12" i="351"/>
  <c r="L12" i="351" s="1"/>
  <c r="N12" i="351" s="1"/>
  <c r="O11" i="351"/>
  <c r="J11" i="351"/>
  <c r="L11" i="351" s="1"/>
  <c r="N11" i="351" s="1"/>
  <c r="O31" i="351"/>
  <c r="J31" i="351"/>
  <c r="L31" i="351" s="1"/>
  <c r="N31" i="351" s="1"/>
  <c r="O26" i="351"/>
  <c r="J26" i="351"/>
  <c r="L26" i="351" s="1"/>
  <c r="N26" i="351" s="1"/>
  <c r="O41" i="351"/>
  <c r="J41" i="351"/>
  <c r="L41" i="351" s="1"/>
  <c r="N41" i="351" s="1"/>
  <c r="P41" i="351" s="1"/>
  <c r="O24" i="351"/>
  <c r="J24" i="351"/>
  <c r="L24" i="351" s="1"/>
  <c r="N24" i="351" s="1"/>
  <c r="O23" i="351"/>
  <c r="J23" i="351"/>
  <c r="L23" i="351" s="1"/>
  <c r="N23" i="351" s="1"/>
  <c r="P23" i="351" s="1"/>
  <c r="O35" i="351"/>
  <c r="J35" i="351"/>
  <c r="L35" i="351" s="1"/>
  <c r="N35" i="351" s="1"/>
  <c r="O20" i="351"/>
  <c r="J20" i="351"/>
  <c r="L20" i="351" s="1"/>
  <c r="N20" i="351" s="1"/>
  <c r="O19" i="351"/>
  <c r="J19" i="351"/>
  <c r="L19" i="351" s="1"/>
  <c r="N19" i="351" s="1"/>
  <c r="O34" i="351"/>
  <c r="J34" i="351"/>
  <c r="L34" i="351" s="1"/>
  <c r="N34" i="351" s="1"/>
  <c r="P34" i="351" s="1"/>
  <c r="S1" i="351"/>
  <c r="C1" i="351"/>
  <c r="O69" i="350"/>
  <c r="J69" i="350"/>
  <c r="L69" i="350" s="1"/>
  <c r="N69" i="350" s="1"/>
  <c r="O68" i="350"/>
  <c r="J68" i="350"/>
  <c r="L68" i="350" s="1"/>
  <c r="N68" i="350" s="1"/>
  <c r="P68" i="350" s="1"/>
  <c r="O62" i="350"/>
  <c r="J62" i="350"/>
  <c r="L62" i="350" s="1"/>
  <c r="N62" i="350" s="1"/>
  <c r="O64" i="350"/>
  <c r="J64" i="350"/>
  <c r="L64" i="350" s="1"/>
  <c r="N64" i="350" s="1"/>
  <c r="O60" i="350"/>
  <c r="J60" i="350"/>
  <c r="L60" i="350" s="1"/>
  <c r="N60" i="350" s="1"/>
  <c r="O66" i="350"/>
  <c r="J66" i="350"/>
  <c r="L66" i="350" s="1"/>
  <c r="N66" i="350" s="1"/>
  <c r="O65" i="350"/>
  <c r="J65" i="350"/>
  <c r="L65" i="350" s="1"/>
  <c r="N65" i="350" s="1"/>
  <c r="P65" i="350" s="1"/>
  <c r="O67" i="350"/>
  <c r="J67" i="350"/>
  <c r="L67" i="350" s="1"/>
  <c r="N67" i="350" s="1"/>
  <c r="O61" i="350"/>
  <c r="J61" i="350"/>
  <c r="L61" i="350" s="1"/>
  <c r="N61" i="350" s="1"/>
  <c r="O59" i="350"/>
  <c r="J59" i="350"/>
  <c r="L59" i="350" s="1"/>
  <c r="N59" i="350" s="1"/>
  <c r="P59" i="350" s="1"/>
  <c r="O63" i="350"/>
  <c r="J63" i="350"/>
  <c r="L63" i="350" s="1"/>
  <c r="N63" i="350" s="1"/>
  <c r="P63" i="350" s="1"/>
  <c r="O58" i="350"/>
  <c r="J58" i="350"/>
  <c r="L58" i="350" s="1"/>
  <c r="N58" i="350" s="1"/>
  <c r="P58" i="350" s="1"/>
  <c r="O57" i="350"/>
  <c r="J57" i="350"/>
  <c r="L57" i="350" s="1"/>
  <c r="N57" i="350" s="1"/>
  <c r="O56" i="350"/>
  <c r="J56" i="350"/>
  <c r="L56" i="350" s="1"/>
  <c r="N56" i="350" s="1"/>
  <c r="O55" i="350"/>
  <c r="J55" i="350"/>
  <c r="L55" i="350" s="1"/>
  <c r="N55" i="350" s="1"/>
  <c r="O53" i="350"/>
  <c r="J53" i="350"/>
  <c r="L53" i="350" s="1"/>
  <c r="N53" i="350" s="1"/>
  <c r="O54" i="350"/>
  <c r="J54" i="350"/>
  <c r="L54" i="350" s="1"/>
  <c r="N54" i="350" s="1"/>
  <c r="O48" i="350"/>
  <c r="J48" i="350"/>
  <c r="L48" i="350" s="1"/>
  <c r="N48" i="350" s="1"/>
  <c r="P48" i="350" s="1"/>
  <c r="O52" i="350"/>
  <c r="J52" i="350"/>
  <c r="L52" i="350" s="1"/>
  <c r="N52" i="350" s="1"/>
  <c r="P52" i="350" s="1"/>
  <c r="O49" i="350"/>
  <c r="J49" i="350"/>
  <c r="L49" i="350" s="1"/>
  <c r="N49" i="350" s="1"/>
  <c r="O51" i="350"/>
  <c r="J51" i="350"/>
  <c r="L51" i="350" s="1"/>
  <c r="N51" i="350" s="1"/>
  <c r="P51" i="350" s="1"/>
  <c r="O47" i="350"/>
  <c r="J47" i="350"/>
  <c r="L47" i="350" s="1"/>
  <c r="N47" i="350" s="1"/>
  <c r="O50" i="350"/>
  <c r="J50" i="350"/>
  <c r="L50" i="350" s="1"/>
  <c r="N50" i="350" s="1"/>
  <c r="P50" i="350" s="1"/>
  <c r="O43" i="350"/>
  <c r="J43" i="350"/>
  <c r="L43" i="350" s="1"/>
  <c r="N43" i="350" s="1"/>
  <c r="P43" i="350" s="1"/>
  <c r="O42" i="350"/>
  <c r="J42" i="350"/>
  <c r="L42" i="350" s="1"/>
  <c r="N42" i="350" s="1"/>
  <c r="O45" i="350"/>
  <c r="J45" i="350"/>
  <c r="L45" i="350" s="1"/>
  <c r="N45" i="350" s="1"/>
  <c r="P45" i="350" s="1"/>
  <c r="O46" i="350"/>
  <c r="J46" i="350"/>
  <c r="L46" i="350" s="1"/>
  <c r="N46" i="350" s="1"/>
  <c r="P46" i="350" s="1"/>
  <c r="O41" i="350"/>
  <c r="J41" i="350"/>
  <c r="L41" i="350" s="1"/>
  <c r="N41" i="350" s="1"/>
  <c r="O40" i="350"/>
  <c r="J40" i="350"/>
  <c r="L40" i="350" s="1"/>
  <c r="N40" i="350" s="1"/>
  <c r="O44" i="350"/>
  <c r="J44" i="350"/>
  <c r="L44" i="350" s="1"/>
  <c r="N44" i="350" s="1"/>
  <c r="O34" i="350"/>
  <c r="J34" i="350"/>
  <c r="L34" i="350" s="1"/>
  <c r="N34" i="350" s="1"/>
  <c r="O32" i="350"/>
  <c r="J32" i="350"/>
  <c r="L32" i="350" s="1"/>
  <c r="N32" i="350" s="1"/>
  <c r="P32" i="350" s="1"/>
  <c r="O39" i="350"/>
  <c r="J39" i="350"/>
  <c r="L39" i="350" s="1"/>
  <c r="N39" i="350" s="1"/>
  <c r="P39" i="350" s="1"/>
  <c r="O31" i="350"/>
  <c r="J31" i="350"/>
  <c r="L31" i="350" s="1"/>
  <c r="N31" i="350" s="1"/>
  <c r="O30" i="350"/>
  <c r="J30" i="350"/>
  <c r="L30" i="350" s="1"/>
  <c r="N30" i="350" s="1"/>
  <c r="P30" i="350" s="1"/>
  <c r="O38" i="350"/>
  <c r="J38" i="350"/>
  <c r="L38" i="350" s="1"/>
  <c r="N38" i="350" s="1"/>
  <c r="O36" i="350"/>
  <c r="J36" i="350"/>
  <c r="L36" i="350" s="1"/>
  <c r="N36" i="350" s="1"/>
  <c r="P36" i="350" s="1"/>
  <c r="O24" i="350"/>
  <c r="J24" i="350"/>
  <c r="L24" i="350" s="1"/>
  <c r="N24" i="350" s="1"/>
  <c r="P24" i="350" s="1"/>
  <c r="O23" i="350"/>
  <c r="J23" i="350"/>
  <c r="L23" i="350" s="1"/>
  <c r="N23" i="350" s="1"/>
  <c r="P23" i="350" s="1"/>
  <c r="O22" i="350"/>
  <c r="J22" i="350"/>
  <c r="L22" i="350" s="1"/>
  <c r="N22" i="350" s="1"/>
  <c r="O21" i="350"/>
  <c r="J21" i="350"/>
  <c r="L21" i="350" s="1"/>
  <c r="N21" i="350" s="1"/>
  <c r="P21" i="350" s="1"/>
  <c r="O20" i="350"/>
  <c r="J20" i="350"/>
  <c r="L20" i="350" s="1"/>
  <c r="N20" i="350" s="1"/>
  <c r="O17" i="350"/>
  <c r="J17" i="350"/>
  <c r="L17" i="350" s="1"/>
  <c r="N17" i="350" s="1"/>
  <c r="O16" i="350"/>
  <c r="J16" i="350"/>
  <c r="L16" i="350" s="1"/>
  <c r="N16" i="350" s="1"/>
  <c r="O14" i="350"/>
  <c r="J14" i="350"/>
  <c r="L14" i="350" s="1"/>
  <c r="N14" i="350" s="1"/>
  <c r="O10" i="350"/>
  <c r="J10" i="350"/>
  <c r="L10" i="350" s="1"/>
  <c r="N10" i="350" s="1"/>
  <c r="P10" i="350" s="1"/>
  <c r="O9" i="350"/>
  <c r="J9" i="350"/>
  <c r="L9" i="350" s="1"/>
  <c r="N9" i="350" s="1"/>
  <c r="O8" i="350"/>
  <c r="J8" i="350"/>
  <c r="L8" i="350" s="1"/>
  <c r="N8" i="350" s="1"/>
  <c r="O7" i="350"/>
  <c r="J7" i="350"/>
  <c r="L7" i="350" s="1"/>
  <c r="N7" i="350" s="1"/>
  <c r="P7" i="350" s="1"/>
  <c r="O6" i="350"/>
  <c r="J6" i="350"/>
  <c r="L6" i="350" s="1"/>
  <c r="N6" i="350" s="1"/>
  <c r="O5" i="350"/>
  <c r="J5" i="350"/>
  <c r="L5" i="350" s="1"/>
  <c r="N5" i="350" s="1"/>
  <c r="O19" i="350"/>
  <c r="J19" i="350"/>
  <c r="L19" i="350" s="1"/>
  <c r="N19" i="350" s="1"/>
  <c r="O33" i="350"/>
  <c r="J33" i="350"/>
  <c r="L33" i="350" s="1"/>
  <c r="N33" i="350" s="1"/>
  <c r="O18" i="350"/>
  <c r="J18" i="350"/>
  <c r="L18" i="350" s="1"/>
  <c r="N18" i="350" s="1"/>
  <c r="O15" i="350"/>
  <c r="J15" i="350"/>
  <c r="L15" i="350" s="1"/>
  <c r="N15" i="350" s="1"/>
  <c r="O13" i="350"/>
  <c r="J13" i="350"/>
  <c r="L13" i="350" s="1"/>
  <c r="N13" i="350" s="1"/>
  <c r="O12" i="350"/>
  <c r="J12" i="350"/>
  <c r="L12" i="350" s="1"/>
  <c r="N12" i="350" s="1"/>
  <c r="O11" i="350"/>
  <c r="J11" i="350"/>
  <c r="L11" i="350" s="1"/>
  <c r="N11" i="350" s="1"/>
  <c r="O29" i="350"/>
  <c r="J29" i="350"/>
  <c r="L29" i="350" s="1"/>
  <c r="N29" i="350" s="1"/>
  <c r="O28" i="350"/>
  <c r="J28" i="350"/>
  <c r="L28" i="350" s="1"/>
  <c r="N28" i="350" s="1"/>
  <c r="P28" i="350" s="1"/>
  <c r="O27" i="350"/>
  <c r="J27" i="350"/>
  <c r="L27" i="350" s="1"/>
  <c r="N27" i="350" s="1"/>
  <c r="O37" i="350"/>
  <c r="J37" i="350"/>
  <c r="L37" i="350" s="1"/>
  <c r="N37" i="350" s="1"/>
  <c r="O35" i="350"/>
  <c r="J35" i="350"/>
  <c r="L35" i="350" s="1"/>
  <c r="N35" i="350" s="1"/>
  <c r="P35" i="350" s="1"/>
  <c r="O26" i="350"/>
  <c r="J26" i="350"/>
  <c r="L26" i="350" s="1"/>
  <c r="N26" i="350" s="1"/>
  <c r="O25" i="350"/>
  <c r="J25" i="350"/>
  <c r="L25" i="350" s="1"/>
  <c r="N25" i="350" s="1"/>
  <c r="P25" i="350" s="1"/>
  <c r="S1" i="350"/>
  <c r="C1" i="350"/>
  <c r="O69" i="349"/>
  <c r="J69" i="349"/>
  <c r="L69" i="349" s="1"/>
  <c r="N69" i="349" s="1"/>
  <c r="P69" i="349" s="1"/>
  <c r="O68" i="349"/>
  <c r="J68" i="349"/>
  <c r="L68" i="349" s="1"/>
  <c r="N68" i="349" s="1"/>
  <c r="O59" i="349"/>
  <c r="J59" i="349"/>
  <c r="L59" i="349" s="1"/>
  <c r="N59" i="349" s="1"/>
  <c r="O67" i="349"/>
  <c r="J67" i="349"/>
  <c r="L67" i="349" s="1"/>
  <c r="N67" i="349" s="1"/>
  <c r="O63" i="349"/>
  <c r="J63" i="349"/>
  <c r="L63" i="349" s="1"/>
  <c r="N63" i="349" s="1"/>
  <c r="O66" i="349"/>
  <c r="J66" i="349"/>
  <c r="L66" i="349" s="1"/>
  <c r="N66" i="349" s="1"/>
  <c r="P66" i="349" s="1"/>
  <c r="O62" i="349"/>
  <c r="J62" i="349"/>
  <c r="L62" i="349" s="1"/>
  <c r="N62" i="349" s="1"/>
  <c r="O61" i="349"/>
  <c r="J61" i="349"/>
  <c r="L61" i="349" s="1"/>
  <c r="N61" i="349" s="1"/>
  <c r="P61" i="349" s="1"/>
  <c r="O60" i="349"/>
  <c r="J60" i="349"/>
  <c r="L60" i="349" s="1"/>
  <c r="N60" i="349" s="1"/>
  <c r="P60" i="349" s="1"/>
  <c r="O64" i="349"/>
  <c r="J64" i="349"/>
  <c r="L64" i="349" s="1"/>
  <c r="N64" i="349" s="1"/>
  <c r="P64" i="349" s="1"/>
  <c r="O65" i="349"/>
  <c r="J65" i="349"/>
  <c r="L65" i="349" s="1"/>
  <c r="N65" i="349" s="1"/>
  <c r="P65" i="349" s="1"/>
  <c r="O58" i="349"/>
  <c r="J58" i="349"/>
  <c r="L58" i="349" s="1"/>
  <c r="N58" i="349" s="1"/>
  <c r="P58" i="349" s="1"/>
  <c r="O57" i="349"/>
  <c r="J57" i="349"/>
  <c r="L57" i="349" s="1"/>
  <c r="N57" i="349" s="1"/>
  <c r="O55" i="349"/>
  <c r="J55" i="349"/>
  <c r="L55" i="349" s="1"/>
  <c r="N55" i="349" s="1"/>
  <c r="O56" i="349"/>
  <c r="J56" i="349"/>
  <c r="L56" i="349" s="1"/>
  <c r="N56" i="349" s="1"/>
  <c r="P56" i="349" s="1"/>
  <c r="O54" i="349"/>
  <c r="J54" i="349"/>
  <c r="L54" i="349" s="1"/>
  <c r="N54" i="349" s="1"/>
  <c r="O53" i="349"/>
  <c r="J53" i="349"/>
  <c r="L53" i="349" s="1"/>
  <c r="N53" i="349" s="1"/>
  <c r="O52" i="349"/>
  <c r="J52" i="349"/>
  <c r="L52" i="349" s="1"/>
  <c r="N52" i="349" s="1"/>
  <c r="O51" i="349"/>
  <c r="J51" i="349"/>
  <c r="L51" i="349" s="1"/>
  <c r="N51" i="349" s="1"/>
  <c r="O49" i="349"/>
  <c r="J49" i="349"/>
  <c r="L49" i="349" s="1"/>
  <c r="N49" i="349" s="1"/>
  <c r="P49" i="349" s="1"/>
  <c r="O45" i="349"/>
  <c r="J45" i="349"/>
  <c r="L45" i="349" s="1"/>
  <c r="N45" i="349" s="1"/>
  <c r="O46" i="349"/>
  <c r="J46" i="349"/>
  <c r="L46" i="349" s="1"/>
  <c r="N46" i="349" s="1"/>
  <c r="O48" i="349"/>
  <c r="J48" i="349"/>
  <c r="L48" i="349" s="1"/>
  <c r="N48" i="349" s="1"/>
  <c r="P48" i="349" s="1"/>
  <c r="O47" i="349"/>
  <c r="J47" i="349"/>
  <c r="L47" i="349" s="1"/>
  <c r="N47" i="349" s="1"/>
  <c r="P47" i="349" s="1"/>
  <c r="O50" i="349"/>
  <c r="J50" i="349"/>
  <c r="L50" i="349" s="1"/>
  <c r="N50" i="349" s="1"/>
  <c r="P50" i="349" s="1"/>
  <c r="O44" i="349"/>
  <c r="J44" i="349"/>
  <c r="L44" i="349" s="1"/>
  <c r="N44" i="349" s="1"/>
  <c r="O41" i="349"/>
  <c r="J41" i="349"/>
  <c r="L41" i="349" s="1"/>
  <c r="N41" i="349" s="1"/>
  <c r="P41" i="349" s="1"/>
  <c r="O36" i="349"/>
  <c r="J36" i="349"/>
  <c r="L36" i="349" s="1"/>
  <c r="N36" i="349" s="1"/>
  <c r="O43" i="349"/>
  <c r="J43" i="349"/>
  <c r="L43" i="349" s="1"/>
  <c r="N43" i="349" s="1"/>
  <c r="P43" i="349" s="1"/>
  <c r="O39" i="349"/>
  <c r="J39" i="349"/>
  <c r="L39" i="349" s="1"/>
  <c r="N39" i="349" s="1"/>
  <c r="O29" i="349"/>
  <c r="J29" i="349"/>
  <c r="L29" i="349" s="1"/>
  <c r="N29" i="349" s="1"/>
  <c r="O37" i="349"/>
  <c r="J37" i="349"/>
  <c r="L37" i="349" s="1"/>
  <c r="N37" i="349" s="1"/>
  <c r="O18" i="349"/>
  <c r="J18" i="349"/>
  <c r="L18" i="349" s="1"/>
  <c r="N18" i="349" s="1"/>
  <c r="O17" i="349"/>
  <c r="J17" i="349"/>
  <c r="L17" i="349" s="1"/>
  <c r="N17" i="349" s="1"/>
  <c r="P17" i="349" s="1"/>
  <c r="O34" i="349"/>
  <c r="J34" i="349"/>
  <c r="L34" i="349" s="1"/>
  <c r="N34" i="349" s="1"/>
  <c r="O33" i="349"/>
  <c r="J33" i="349"/>
  <c r="L33" i="349" s="1"/>
  <c r="N33" i="349" s="1"/>
  <c r="P33" i="349" s="1"/>
  <c r="O32" i="349"/>
  <c r="J32" i="349"/>
  <c r="L32" i="349" s="1"/>
  <c r="N32" i="349" s="1"/>
  <c r="O15" i="349"/>
  <c r="J15" i="349"/>
  <c r="L15" i="349" s="1"/>
  <c r="N15" i="349" s="1"/>
  <c r="P15" i="349" s="1"/>
  <c r="O14" i="349"/>
  <c r="J14" i="349"/>
  <c r="L14" i="349" s="1"/>
  <c r="N14" i="349" s="1"/>
  <c r="P14" i="349" s="1"/>
  <c r="O13" i="349"/>
  <c r="J13" i="349"/>
  <c r="L13" i="349" s="1"/>
  <c r="N13" i="349" s="1"/>
  <c r="O12" i="349"/>
  <c r="J12" i="349"/>
  <c r="L12" i="349" s="1"/>
  <c r="N12" i="349" s="1"/>
  <c r="O11" i="349"/>
  <c r="J11" i="349"/>
  <c r="L11" i="349" s="1"/>
  <c r="N11" i="349" s="1"/>
  <c r="O10" i="349"/>
  <c r="J10" i="349"/>
  <c r="L10" i="349" s="1"/>
  <c r="N10" i="349" s="1"/>
  <c r="O9" i="349"/>
  <c r="J9" i="349"/>
  <c r="L9" i="349" s="1"/>
  <c r="N9" i="349" s="1"/>
  <c r="O38" i="349"/>
  <c r="J38" i="349"/>
  <c r="L38" i="349" s="1"/>
  <c r="N38" i="349" s="1"/>
  <c r="O8" i="349"/>
  <c r="J8" i="349"/>
  <c r="L8" i="349" s="1"/>
  <c r="N8" i="349" s="1"/>
  <c r="O7" i="349"/>
  <c r="J7" i="349"/>
  <c r="L7" i="349" s="1"/>
  <c r="N7" i="349" s="1"/>
  <c r="O6" i="349"/>
  <c r="J6" i="349"/>
  <c r="L6" i="349" s="1"/>
  <c r="N6" i="349" s="1"/>
  <c r="O5" i="349"/>
  <c r="J5" i="349"/>
  <c r="L5" i="349" s="1"/>
  <c r="N5" i="349" s="1"/>
  <c r="P5" i="349" s="1"/>
  <c r="O35" i="349"/>
  <c r="J35" i="349"/>
  <c r="L35" i="349" s="1"/>
  <c r="N35" i="349" s="1"/>
  <c r="O24" i="349"/>
  <c r="J24" i="349"/>
  <c r="L24" i="349" s="1"/>
  <c r="N24" i="349" s="1"/>
  <c r="P24" i="349" s="1"/>
  <c r="O23" i="349"/>
  <c r="J23" i="349"/>
  <c r="L23" i="349" s="1"/>
  <c r="N23" i="349" s="1"/>
  <c r="P23" i="349" s="1"/>
  <c r="O22" i="349"/>
  <c r="J22" i="349"/>
  <c r="L22" i="349" s="1"/>
  <c r="N22" i="349" s="1"/>
  <c r="P22" i="349" s="1"/>
  <c r="O21" i="349"/>
  <c r="J21" i="349"/>
  <c r="L21" i="349" s="1"/>
  <c r="N21" i="349" s="1"/>
  <c r="P21" i="349" s="1"/>
  <c r="O20" i="349"/>
  <c r="J20" i="349"/>
  <c r="L20" i="349" s="1"/>
  <c r="N20" i="349" s="1"/>
  <c r="P20" i="349" s="1"/>
  <c r="O19" i="349"/>
  <c r="J19" i="349"/>
  <c r="L19" i="349" s="1"/>
  <c r="N19" i="349" s="1"/>
  <c r="P19" i="349" s="1"/>
  <c r="O40" i="349"/>
  <c r="J40" i="349"/>
  <c r="L40" i="349" s="1"/>
  <c r="N40" i="349" s="1"/>
  <c r="P40" i="349" s="1"/>
  <c r="O30" i="349"/>
  <c r="J30" i="349"/>
  <c r="L30" i="349" s="1"/>
  <c r="N30" i="349" s="1"/>
  <c r="O16" i="349"/>
  <c r="J16" i="349"/>
  <c r="L16" i="349" s="1"/>
  <c r="N16" i="349" s="1"/>
  <c r="O31" i="349"/>
  <c r="J31" i="349"/>
  <c r="L31" i="349" s="1"/>
  <c r="N31" i="349" s="1"/>
  <c r="O28" i="349"/>
  <c r="J28" i="349"/>
  <c r="L28" i="349" s="1"/>
  <c r="N28" i="349" s="1"/>
  <c r="O42" i="349"/>
  <c r="J42" i="349"/>
  <c r="L42" i="349" s="1"/>
  <c r="N42" i="349" s="1"/>
  <c r="P42" i="349" s="1"/>
  <c r="O26" i="349"/>
  <c r="J26" i="349"/>
  <c r="L26" i="349" s="1"/>
  <c r="N26" i="349" s="1"/>
  <c r="O27" i="349"/>
  <c r="J27" i="349"/>
  <c r="L27" i="349" s="1"/>
  <c r="N27" i="349" s="1"/>
  <c r="O25" i="349"/>
  <c r="J25" i="349"/>
  <c r="L25" i="349" s="1"/>
  <c r="N25" i="349" s="1"/>
  <c r="S1" i="349"/>
  <c r="C1" i="349"/>
  <c r="P59" i="348"/>
  <c r="N61" i="348"/>
  <c r="N58" i="348"/>
  <c r="N13" i="348"/>
  <c r="N12" i="348"/>
  <c r="N54" i="348"/>
  <c r="N37" i="348"/>
  <c r="N9" i="348"/>
  <c r="N16" i="348"/>
  <c r="N55" i="348"/>
  <c r="N22" i="348"/>
  <c r="N45" i="348"/>
  <c r="N17" i="348"/>
  <c r="N46" i="348"/>
  <c r="N53" i="348"/>
  <c r="N43" i="348"/>
  <c r="N65" i="348"/>
  <c r="N52" i="348"/>
  <c r="N20" i="348"/>
  <c r="N68" i="348"/>
  <c r="N14" i="348"/>
  <c r="N10" i="348"/>
  <c r="N41" i="348"/>
  <c r="N29" i="348"/>
  <c r="N21" i="348"/>
  <c r="N39" i="348"/>
  <c r="N34" i="348"/>
  <c r="N42" i="348"/>
  <c r="N19" i="348"/>
  <c r="S1" i="348"/>
  <c r="O69" i="348"/>
  <c r="J69" i="348"/>
  <c r="L69" i="348" s="1"/>
  <c r="N69" i="348" s="1"/>
  <c r="O68" i="348"/>
  <c r="J68" i="348"/>
  <c r="L68" i="348" s="1"/>
  <c r="O63" i="348"/>
  <c r="J63" i="348"/>
  <c r="L63" i="348" s="1"/>
  <c r="N63" i="348" s="1"/>
  <c r="O67" i="348"/>
  <c r="J67" i="348"/>
  <c r="L67" i="348" s="1"/>
  <c r="N67" i="348" s="1"/>
  <c r="O65" i="348"/>
  <c r="J65" i="348"/>
  <c r="L65" i="348" s="1"/>
  <c r="O64" i="348"/>
  <c r="J64" i="348"/>
  <c r="L64" i="348" s="1"/>
  <c r="N64" i="348" s="1"/>
  <c r="O59" i="348"/>
  <c r="J59" i="348"/>
  <c r="L59" i="348" s="1"/>
  <c r="N59" i="348" s="1"/>
  <c r="O66" i="348"/>
  <c r="J66" i="348"/>
  <c r="L66" i="348" s="1"/>
  <c r="N66" i="348" s="1"/>
  <c r="O62" i="348"/>
  <c r="J62" i="348"/>
  <c r="L62" i="348" s="1"/>
  <c r="N62" i="348" s="1"/>
  <c r="O61" i="348"/>
  <c r="J61" i="348"/>
  <c r="L61" i="348" s="1"/>
  <c r="O60" i="348"/>
  <c r="J60" i="348"/>
  <c r="L60" i="348" s="1"/>
  <c r="N60" i="348" s="1"/>
  <c r="O57" i="348"/>
  <c r="J57" i="348"/>
  <c r="L57" i="348" s="1"/>
  <c r="N57" i="348" s="1"/>
  <c r="O58" i="348"/>
  <c r="J58" i="348"/>
  <c r="L58" i="348" s="1"/>
  <c r="O56" i="348"/>
  <c r="J56" i="348"/>
  <c r="L56" i="348" s="1"/>
  <c r="N56" i="348" s="1"/>
  <c r="O55" i="348"/>
  <c r="J55" i="348"/>
  <c r="L55" i="348" s="1"/>
  <c r="O53" i="348"/>
  <c r="J53" i="348"/>
  <c r="L53" i="348" s="1"/>
  <c r="O52" i="348"/>
  <c r="J52" i="348"/>
  <c r="L52" i="348" s="1"/>
  <c r="O54" i="348"/>
  <c r="J54" i="348"/>
  <c r="L54" i="348" s="1"/>
  <c r="O49" i="348"/>
  <c r="J49" i="348"/>
  <c r="L49" i="348" s="1"/>
  <c r="N49" i="348" s="1"/>
  <c r="O48" i="348"/>
  <c r="J48" i="348"/>
  <c r="L48" i="348" s="1"/>
  <c r="N48" i="348" s="1"/>
  <c r="O46" i="348"/>
  <c r="J46" i="348"/>
  <c r="L46" i="348" s="1"/>
  <c r="O42" i="348"/>
  <c r="J42" i="348"/>
  <c r="L42" i="348" s="1"/>
  <c r="O51" i="348"/>
  <c r="J51" i="348"/>
  <c r="L51" i="348" s="1"/>
  <c r="N51" i="348" s="1"/>
  <c r="O50" i="348"/>
  <c r="J50" i="348"/>
  <c r="L50" i="348" s="1"/>
  <c r="O45" i="348"/>
  <c r="J45" i="348"/>
  <c r="L45" i="348" s="1"/>
  <c r="O47" i="348"/>
  <c r="J47" i="348"/>
  <c r="L47" i="348" s="1"/>
  <c r="N47" i="348" s="1"/>
  <c r="O43" i="348"/>
  <c r="J43" i="348"/>
  <c r="L43" i="348" s="1"/>
  <c r="O39" i="348"/>
  <c r="J39" i="348"/>
  <c r="L39" i="348" s="1"/>
  <c r="O44" i="348"/>
  <c r="J44" i="348"/>
  <c r="L44" i="348" s="1"/>
  <c r="N44" i="348" s="1"/>
  <c r="O41" i="348"/>
  <c r="J41" i="348"/>
  <c r="L41" i="348" s="1"/>
  <c r="O33" i="348"/>
  <c r="J33" i="348"/>
  <c r="L33" i="348" s="1"/>
  <c r="N33" i="348" s="1"/>
  <c r="O31" i="348"/>
  <c r="J31" i="348"/>
  <c r="L31" i="348" s="1"/>
  <c r="N31" i="348" s="1"/>
  <c r="O30" i="348"/>
  <c r="J30" i="348"/>
  <c r="L30" i="348" s="1"/>
  <c r="N30" i="348" s="1"/>
  <c r="O29" i="348"/>
  <c r="J29" i="348"/>
  <c r="L29" i="348" s="1"/>
  <c r="O25" i="348"/>
  <c r="J25" i="348"/>
  <c r="L25" i="348" s="1"/>
  <c r="N25" i="348" s="1"/>
  <c r="O24" i="348"/>
  <c r="J24" i="348"/>
  <c r="L24" i="348" s="1"/>
  <c r="N24" i="348" s="1"/>
  <c r="O23" i="348"/>
  <c r="J23" i="348"/>
  <c r="L23" i="348" s="1"/>
  <c r="N23" i="348" s="1"/>
  <c r="O22" i="348"/>
  <c r="J22" i="348"/>
  <c r="L22" i="348" s="1"/>
  <c r="O21" i="348"/>
  <c r="J21" i="348"/>
  <c r="L21" i="348" s="1"/>
  <c r="O14" i="348"/>
  <c r="J14" i="348"/>
  <c r="L14" i="348" s="1"/>
  <c r="O13" i="348"/>
  <c r="J13" i="348"/>
  <c r="L13" i="348" s="1"/>
  <c r="O10" i="348"/>
  <c r="J10" i="348"/>
  <c r="L10" i="348" s="1"/>
  <c r="O11" i="348"/>
  <c r="J11" i="348"/>
  <c r="L11" i="348" s="1"/>
  <c r="N11" i="348" s="1"/>
  <c r="O12" i="348"/>
  <c r="P12" i="348" s="1"/>
  <c r="J12" i="348"/>
  <c r="L12" i="348" s="1"/>
  <c r="O9" i="348"/>
  <c r="J9" i="348"/>
  <c r="L9" i="348" s="1"/>
  <c r="O36" i="348"/>
  <c r="J36" i="348"/>
  <c r="L36" i="348" s="1"/>
  <c r="N36" i="348" s="1"/>
  <c r="O8" i="348"/>
  <c r="J8" i="348"/>
  <c r="L8" i="348" s="1"/>
  <c r="N8" i="348" s="1"/>
  <c r="O6" i="348"/>
  <c r="J6" i="348"/>
  <c r="L6" i="348" s="1"/>
  <c r="N6" i="348" s="1"/>
  <c r="O7" i="348"/>
  <c r="J7" i="348"/>
  <c r="L7" i="348" s="1"/>
  <c r="N7" i="348" s="1"/>
  <c r="O35" i="348"/>
  <c r="J35" i="348"/>
  <c r="L35" i="348" s="1"/>
  <c r="N35" i="348" s="1"/>
  <c r="O5" i="348"/>
  <c r="J5" i="348"/>
  <c r="L5" i="348" s="1"/>
  <c r="N5" i="348" s="1"/>
  <c r="O19" i="348"/>
  <c r="J19" i="348"/>
  <c r="L19" i="348" s="1"/>
  <c r="O20" i="348"/>
  <c r="J20" i="348"/>
  <c r="L20" i="348" s="1"/>
  <c r="O18" i="348"/>
  <c r="J18" i="348"/>
  <c r="L18" i="348" s="1"/>
  <c r="N18" i="348" s="1"/>
  <c r="O17" i="348"/>
  <c r="J17" i="348"/>
  <c r="L17" i="348" s="1"/>
  <c r="O38" i="348"/>
  <c r="J38" i="348"/>
  <c r="L38" i="348" s="1"/>
  <c r="N38" i="348" s="1"/>
  <c r="O16" i="348"/>
  <c r="J16" i="348"/>
  <c r="L16" i="348" s="1"/>
  <c r="O15" i="348"/>
  <c r="J15" i="348"/>
  <c r="L15" i="348" s="1"/>
  <c r="N15" i="348" s="1"/>
  <c r="O37" i="348"/>
  <c r="J37" i="348"/>
  <c r="L37" i="348" s="1"/>
  <c r="O34" i="348"/>
  <c r="J34" i="348"/>
  <c r="L34" i="348" s="1"/>
  <c r="O32" i="348"/>
  <c r="J32" i="348"/>
  <c r="L32" i="348" s="1"/>
  <c r="N32" i="348" s="1"/>
  <c r="O40" i="348"/>
  <c r="J40" i="348"/>
  <c r="L40" i="348" s="1"/>
  <c r="N40" i="348" s="1"/>
  <c r="O28" i="348"/>
  <c r="J28" i="348"/>
  <c r="L28" i="348" s="1"/>
  <c r="N28" i="348" s="1"/>
  <c r="O27" i="348"/>
  <c r="J27" i="348"/>
  <c r="L27" i="348" s="1"/>
  <c r="N27" i="348" s="1"/>
  <c r="O26" i="348"/>
  <c r="J26" i="348"/>
  <c r="L26" i="348" s="1"/>
  <c r="N26" i="348" s="1"/>
  <c r="C1" i="348"/>
  <c r="O69" i="347"/>
  <c r="J69" i="347"/>
  <c r="L69" i="347" s="1"/>
  <c r="N69" i="347" s="1"/>
  <c r="O68" i="347"/>
  <c r="J68" i="347"/>
  <c r="L68" i="347" s="1"/>
  <c r="N68" i="347" s="1"/>
  <c r="O62" i="347"/>
  <c r="J62" i="347"/>
  <c r="L62" i="347" s="1"/>
  <c r="N62" i="347" s="1"/>
  <c r="O67" i="347"/>
  <c r="J67" i="347"/>
  <c r="L67" i="347" s="1"/>
  <c r="N67" i="347" s="1"/>
  <c r="O66" i="347"/>
  <c r="J66" i="347"/>
  <c r="L66" i="347" s="1"/>
  <c r="N66" i="347" s="1"/>
  <c r="O64" i="347"/>
  <c r="J64" i="347"/>
  <c r="L64" i="347" s="1"/>
  <c r="N64" i="347" s="1"/>
  <c r="O61" i="347"/>
  <c r="J61" i="347"/>
  <c r="L61" i="347" s="1"/>
  <c r="N61" i="347" s="1"/>
  <c r="O60" i="347"/>
  <c r="J60" i="347"/>
  <c r="L60" i="347" s="1"/>
  <c r="N60" i="347" s="1"/>
  <c r="O65" i="347"/>
  <c r="J65" i="347"/>
  <c r="L65" i="347" s="1"/>
  <c r="N65" i="347" s="1"/>
  <c r="O58" i="347"/>
  <c r="J58" i="347"/>
  <c r="L58" i="347" s="1"/>
  <c r="N58" i="347" s="1"/>
  <c r="O63" i="347"/>
  <c r="J63" i="347"/>
  <c r="L63" i="347" s="1"/>
  <c r="N63" i="347" s="1"/>
  <c r="O57" i="347"/>
  <c r="J57" i="347"/>
  <c r="L57" i="347" s="1"/>
  <c r="N57" i="347" s="1"/>
  <c r="O59" i="347"/>
  <c r="J59" i="347"/>
  <c r="L59" i="347" s="1"/>
  <c r="N59" i="347" s="1"/>
  <c r="O56" i="347"/>
  <c r="J56" i="347"/>
  <c r="L56" i="347" s="1"/>
  <c r="N56" i="347" s="1"/>
  <c r="O55" i="347"/>
  <c r="J55" i="347"/>
  <c r="L55" i="347" s="1"/>
  <c r="N55" i="347" s="1"/>
  <c r="O54" i="347"/>
  <c r="J54" i="347"/>
  <c r="L54" i="347" s="1"/>
  <c r="N54" i="347" s="1"/>
  <c r="O53" i="347"/>
  <c r="J53" i="347"/>
  <c r="L53" i="347" s="1"/>
  <c r="N53" i="347" s="1"/>
  <c r="O52" i="347"/>
  <c r="J52" i="347"/>
  <c r="L52" i="347" s="1"/>
  <c r="N52" i="347" s="1"/>
  <c r="O51" i="347"/>
  <c r="J51" i="347"/>
  <c r="L51" i="347" s="1"/>
  <c r="N51" i="347" s="1"/>
  <c r="O49" i="347"/>
  <c r="J49" i="347"/>
  <c r="L49" i="347" s="1"/>
  <c r="N49" i="347" s="1"/>
  <c r="O50" i="347"/>
  <c r="J50" i="347"/>
  <c r="L50" i="347" s="1"/>
  <c r="N50" i="347" s="1"/>
  <c r="O43" i="347"/>
  <c r="J43" i="347"/>
  <c r="L43" i="347" s="1"/>
  <c r="N43" i="347" s="1"/>
  <c r="O45" i="347"/>
  <c r="J45" i="347"/>
  <c r="L45" i="347" s="1"/>
  <c r="N45" i="347" s="1"/>
  <c r="O40" i="347"/>
  <c r="J40" i="347"/>
  <c r="L40" i="347" s="1"/>
  <c r="N40" i="347" s="1"/>
  <c r="O38" i="347"/>
  <c r="J38" i="347"/>
  <c r="L38" i="347" s="1"/>
  <c r="N38" i="347" s="1"/>
  <c r="O42" i="347"/>
  <c r="J42" i="347"/>
  <c r="L42" i="347" s="1"/>
  <c r="N42" i="347" s="1"/>
  <c r="O37" i="347"/>
  <c r="J37" i="347"/>
  <c r="L37" i="347" s="1"/>
  <c r="N37" i="347" s="1"/>
  <c r="O44" i="347"/>
  <c r="J44" i="347"/>
  <c r="L44" i="347" s="1"/>
  <c r="N44" i="347" s="1"/>
  <c r="O29" i="347"/>
  <c r="J29" i="347"/>
  <c r="L29" i="347" s="1"/>
  <c r="N29" i="347" s="1"/>
  <c r="O25" i="347"/>
  <c r="J25" i="347"/>
  <c r="L25" i="347" s="1"/>
  <c r="N25" i="347" s="1"/>
  <c r="O24" i="347"/>
  <c r="J24" i="347"/>
  <c r="L24" i="347" s="1"/>
  <c r="N24" i="347" s="1"/>
  <c r="O23" i="347"/>
  <c r="J23" i="347"/>
  <c r="L23" i="347" s="1"/>
  <c r="N23" i="347" s="1"/>
  <c r="O22" i="347"/>
  <c r="J22" i="347"/>
  <c r="L22" i="347" s="1"/>
  <c r="N22" i="347" s="1"/>
  <c r="O21" i="347"/>
  <c r="J21" i="347"/>
  <c r="L21" i="347" s="1"/>
  <c r="N21" i="347" s="1"/>
  <c r="O20" i="347"/>
  <c r="J20" i="347"/>
  <c r="L20" i="347" s="1"/>
  <c r="N20" i="347" s="1"/>
  <c r="O39" i="347"/>
  <c r="J39" i="347"/>
  <c r="L39" i="347" s="1"/>
  <c r="N39" i="347" s="1"/>
  <c r="O47" i="347"/>
  <c r="J47" i="347"/>
  <c r="L47" i="347" s="1"/>
  <c r="N47" i="347" s="1"/>
  <c r="O11" i="347"/>
  <c r="J11" i="347"/>
  <c r="L11" i="347" s="1"/>
  <c r="N11" i="347" s="1"/>
  <c r="O46" i="347"/>
  <c r="J46" i="347"/>
  <c r="L46" i="347" s="1"/>
  <c r="N46" i="347" s="1"/>
  <c r="O36" i="347"/>
  <c r="J36" i="347"/>
  <c r="L36" i="347" s="1"/>
  <c r="N36" i="347" s="1"/>
  <c r="O10" i="347"/>
  <c r="J10" i="347"/>
  <c r="L10" i="347" s="1"/>
  <c r="N10" i="347" s="1"/>
  <c r="O9" i="347"/>
  <c r="J9" i="347"/>
  <c r="L9" i="347" s="1"/>
  <c r="N9" i="347" s="1"/>
  <c r="O41" i="347"/>
  <c r="J41" i="347"/>
  <c r="L41" i="347" s="1"/>
  <c r="N41" i="347" s="1"/>
  <c r="O8" i="347"/>
  <c r="J8" i="347"/>
  <c r="L8" i="347" s="1"/>
  <c r="N8" i="347" s="1"/>
  <c r="O7" i="347"/>
  <c r="J7" i="347"/>
  <c r="L7" i="347" s="1"/>
  <c r="N7" i="347" s="1"/>
  <c r="O6" i="347"/>
  <c r="J6" i="347"/>
  <c r="L6" i="347" s="1"/>
  <c r="N6" i="347" s="1"/>
  <c r="O5" i="347"/>
  <c r="J5" i="347"/>
  <c r="L5" i="347" s="1"/>
  <c r="N5" i="347" s="1"/>
  <c r="O19" i="347"/>
  <c r="J19" i="347"/>
  <c r="L19" i="347" s="1"/>
  <c r="N19" i="347" s="1"/>
  <c r="O48" i="347"/>
  <c r="J48" i="347"/>
  <c r="L48" i="347" s="1"/>
  <c r="N48" i="347" s="1"/>
  <c r="O18" i="347"/>
  <c r="J18" i="347"/>
  <c r="L18" i="347" s="1"/>
  <c r="N18" i="347" s="1"/>
  <c r="O17" i="347"/>
  <c r="J17" i="347"/>
  <c r="L17" i="347" s="1"/>
  <c r="N17" i="347" s="1"/>
  <c r="O16" i="347"/>
  <c r="J16" i="347"/>
  <c r="L16" i="347" s="1"/>
  <c r="N16" i="347" s="1"/>
  <c r="O15" i="347"/>
  <c r="J15" i="347"/>
  <c r="L15" i="347" s="1"/>
  <c r="N15" i="347" s="1"/>
  <c r="O14" i="347"/>
  <c r="J14" i="347"/>
  <c r="L14" i="347" s="1"/>
  <c r="N14" i="347" s="1"/>
  <c r="O13" i="347"/>
  <c r="J13" i="347"/>
  <c r="L13" i="347" s="1"/>
  <c r="N13" i="347" s="1"/>
  <c r="O12" i="347"/>
  <c r="J12" i="347"/>
  <c r="L12" i="347" s="1"/>
  <c r="N12" i="347" s="1"/>
  <c r="O35" i="347"/>
  <c r="J35" i="347"/>
  <c r="L35" i="347" s="1"/>
  <c r="N35" i="347" s="1"/>
  <c r="O34" i="347"/>
  <c r="J34" i="347"/>
  <c r="L34" i="347" s="1"/>
  <c r="N34" i="347" s="1"/>
  <c r="O33" i="347"/>
  <c r="J33" i="347"/>
  <c r="L33" i="347" s="1"/>
  <c r="N33" i="347" s="1"/>
  <c r="O32" i="347"/>
  <c r="J32" i="347"/>
  <c r="L32" i="347" s="1"/>
  <c r="N32" i="347" s="1"/>
  <c r="O31" i="347"/>
  <c r="J31" i="347"/>
  <c r="L31" i="347" s="1"/>
  <c r="N31" i="347" s="1"/>
  <c r="O30" i="347"/>
  <c r="J30" i="347"/>
  <c r="L30" i="347" s="1"/>
  <c r="N30" i="347" s="1"/>
  <c r="O28" i="347"/>
  <c r="J28" i="347"/>
  <c r="L28" i="347" s="1"/>
  <c r="N28" i="347" s="1"/>
  <c r="O27" i="347"/>
  <c r="J27" i="347"/>
  <c r="L27" i="347" s="1"/>
  <c r="N27" i="347" s="1"/>
  <c r="O26" i="347"/>
  <c r="J26" i="347"/>
  <c r="L26" i="347" s="1"/>
  <c r="N26" i="347" s="1"/>
  <c r="C1" i="347"/>
  <c r="O52" i="346"/>
  <c r="J52" i="346"/>
  <c r="L52" i="346" s="1"/>
  <c r="N52" i="346" s="1"/>
  <c r="O23" i="346"/>
  <c r="J23" i="346"/>
  <c r="L23" i="346" s="1"/>
  <c r="N23" i="346" s="1"/>
  <c r="O64" i="346"/>
  <c r="J64" i="346"/>
  <c r="L64" i="346" s="1"/>
  <c r="N64" i="346" s="1"/>
  <c r="O63" i="346"/>
  <c r="J63" i="346"/>
  <c r="L63" i="346" s="1"/>
  <c r="N63" i="346" s="1"/>
  <c r="P63" i="346" s="1"/>
  <c r="O31" i="346"/>
  <c r="J31" i="346"/>
  <c r="L31" i="346" s="1"/>
  <c r="N31" i="346" s="1"/>
  <c r="O55" i="346"/>
  <c r="J55" i="346"/>
  <c r="L55" i="346" s="1"/>
  <c r="N55" i="346" s="1"/>
  <c r="O11" i="346"/>
  <c r="J11" i="346"/>
  <c r="L11" i="346" s="1"/>
  <c r="N11" i="346" s="1"/>
  <c r="P11" i="346" s="1"/>
  <c r="O38" i="346"/>
  <c r="J38" i="346"/>
  <c r="L38" i="346" s="1"/>
  <c r="N38" i="346" s="1"/>
  <c r="P38" i="346" s="1"/>
  <c r="O65" i="346"/>
  <c r="J65" i="346"/>
  <c r="L65" i="346" s="1"/>
  <c r="N65" i="346" s="1"/>
  <c r="O35" i="346"/>
  <c r="J35" i="346"/>
  <c r="L35" i="346" s="1"/>
  <c r="N35" i="346" s="1"/>
  <c r="O12" i="346"/>
  <c r="J12" i="346"/>
  <c r="L12" i="346" s="1"/>
  <c r="N12" i="346" s="1"/>
  <c r="O61" i="346"/>
  <c r="J61" i="346"/>
  <c r="L61" i="346" s="1"/>
  <c r="N61" i="346" s="1"/>
  <c r="O42" i="346"/>
  <c r="J42" i="346"/>
  <c r="L42" i="346" s="1"/>
  <c r="N42" i="346" s="1"/>
  <c r="O48" i="346"/>
  <c r="J48" i="346"/>
  <c r="L48" i="346" s="1"/>
  <c r="N48" i="346" s="1"/>
  <c r="O30" i="346"/>
  <c r="J30" i="346"/>
  <c r="L30" i="346" s="1"/>
  <c r="N30" i="346" s="1"/>
  <c r="O69" i="346"/>
  <c r="J69" i="346"/>
  <c r="L69" i="346" s="1"/>
  <c r="N69" i="346" s="1"/>
  <c r="O58" i="346"/>
  <c r="J58" i="346"/>
  <c r="L58" i="346" s="1"/>
  <c r="N58" i="346" s="1"/>
  <c r="O37" i="346"/>
  <c r="J37" i="346"/>
  <c r="L37" i="346" s="1"/>
  <c r="N37" i="346" s="1"/>
  <c r="O8" i="346"/>
  <c r="J8" i="346"/>
  <c r="L8" i="346" s="1"/>
  <c r="N8" i="346" s="1"/>
  <c r="O68" i="346"/>
  <c r="J68" i="346"/>
  <c r="L68" i="346" s="1"/>
  <c r="N68" i="346" s="1"/>
  <c r="O43" i="346"/>
  <c r="J43" i="346"/>
  <c r="L43" i="346" s="1"/>
  <c r="N43" i="346" s="1"/>
  <c r="O34" i="346"/>
  <c r="J34" i="346"/>
  <c r="L34" i="346" s="1"/>
  <c r="N34" i="346" s="1"/>
  <c r="O17" i="346"/>
  <c r="J17" i="346"/>
  <c r="L17" i="346" s="1"/>
  <c r="N17" i="346" s="1"/>
  <c r="O6" i="346"/>
  <c r="J6" i="346"/>
  <c r="L6" i="346" s="1"/>
  <c r="N6" i="346" s="1"/>
  <c r="O29" i="346"/>
  <c r="J29" i="346"/>
  <c r="L29" i="346" s="1"/>
  <c r="N29" i="346" s="1"/>
  <c r="O60" i="346"/>
  <c r="J60" i="346"/>
  <c r="L60" i="346" s="1"/>
  <c r="N60" i="346" s="1"/>
  <c r="P60" i="346" s="1"/>
  <c r="O32" i="346"/>
  <c r="J32" i="346"/>
  <c r="L32" i="346" s="1"/>
  <c r="N32" i="346" s="1"/>
  <c r="P32" i="346" s="1"/>
  <c r="O57" i="346"/>
  <c r="J57" i="346"/>
  <c r="L57" i="346" s="1"/>
  <c r="N57" i="346" s="1"/>
  <c r="O20" i="346"/>
  <c r="J20" i="346"/>
  <c r="L20" i="346" s="1"/>
  <c r="N20" i="346" s="1"/>
  <c r="O9" i="346"/>
  <c r="J9" i="346"/>
  <c r="L9" i="346" s="1"/>
  <c r="N9" i="346" s="1"/>
  <c r="P9" i="346" s="1"/>
  <c r="O62" i="346"/>
  <c r="J62" i="346"/>
  <c r="L62" i="346" s="1"/>
  <c r="N62" i="346" s="1"/>
  <c r="O46" i="346"/>
  <c r="J46" i="346"/>
  <c r="L46" i="346" s="1"/>
  <c r="N46" i="346" s="1"/>
  <c r="O41" i="346"/>
  <c r="J41" i="346"/>
  <c r="L41" i="346" s="1"/>
  <c r="N41" i="346" s="1"/>
  <c r="O51" i="346"/>
  <c r="J51" i="346"/>
  <c r="L51" i="346" s="1"/>
  <c r="N51" i="346" s="1"/>
  <c r="O67" i="346"/>
  <c r="J67" i="346"/>
  <c r="L67" i="346" s="1"/>
  <c r="N67" i="346" s="1"/>
  <c r="P67" i="346" s="1"/>
  <c r="O45" i="346"/>
  <c r="J45" i="346"/>
  <c r="L45" i="346" s="1"/>
  <c r="N45" i="346" s="1"/>
  <c r="O54" i="346"/>
  <c r="J54" i="346"/>
  <c r="L54" i="346" s="1"/>
  <c r="N54" i="346" s="1"/>
  <c r="O49" i="346"/>
  <c r="J49" i="346"/>
  <c r="L49" i="346" s="1"/>
  <c r="N49" i="346" s="1"/>
  <c r="O40" i="346"/>
  <c r="J40" i="346"/>
  <c r="L40" i="346" s="1"/>
  <c r="N40" i="346" s="1"/>
  <c r="O5" i="346"/>
  <c r="J5" i="346"/>
  <c r="L5" i="346" s="1"/>
  <c r="N5" i="346" s="1"/>
  <c r="P5" i="346" s="1"/>
  <c r="O33" i="346"/>
  <c r="J33" i="346"/>
  <c r="L33" i="346" s="1"/>
  <c r="N33" i="346" s="1"/>
  <c r="O18" i="346"/>
  <c r="J18" i="346"/>
  <c r="L18" i="346" s="1"/>
  <c r="N18" i="346" s="1"/>
  <c r="O36" i="346"/>
  <c r="J36" i="346"/>
  <c r="L36" i="346" s="1"/>
  <c r="N36" i="346" s="1"/>
  <c r="O56" i="346"/>
  <c r="J56" i="346"/>
  <c r="L56" i="346" s="1"/>
  <c r="N56" i="346" s="1"/>
  <c r="P56" i="346" s="1"/>
  <c r="O27" i="346"/>
  <c r="J27" i="346"/>
  <c r="L27" i="346" s="1"/>
  <c r="N27" i="346" s="1"/>
  <c r="O22" i="346"/>
  <c r="J22" i="346"/>
  <c r="L22" i="346" s="1"/>
  <c r="N22" i="346" s="1"/>
  <c r="O53" i="346"/>
  <c r="J53" i="346"/>
  <c r="L53" i="346" s="1"/>
  <c r="N53" i="346" s="1"/>
  <c r="O13" i="346"/>
  <c r="J13" i="346"/>
  <c r="L13" i="346" s="1"/>
  <c r="N13" i="346" s="1"/>
  <c r="O21" i="346"/>
  <c r="J21" i="346"/>
  <c r="L21" i="346" s="1"/>
  <c r="N21" i="346" s="1"/>
  <c r="P21" i="346" s="1"/>
  <c r="O25" i="346"/>
  <c r="J25" i="346"/>
  <c r="L25" i="346" s="1"/>
  <c r="N25" i="346" s="1"/>
  <c r="O59" i="346"/>
  <c r="J59" i="346"/>
  <c r="L59" i="346" s="1"/>
  <c r="N59" i="346" s="1"/>
  <c r="O39" i="346"/>
  <c r="J39" i="346"/>
  <c r="L39" i="346" s="1"/>
  <c r="N39" i="346" s="1"/>
  <c r="P39" i="346" s="1"/>
  <c r="O28" i="346"/>
  <c r="J28" i="346"/>
  <c r="L28" i="346" s="1"/>
  <c r="N28" i="346" s="1"/>
  <c r="O14" i="346"/>
  <c r="J14" i="346"/>
  <c r="L14" i="346" s="1"/>
  <c r="N14" i="346" s="1"/>
  <c r="P14" i="346" s="1"/>
  <c r="O44" i="346"/>
  <c r="J44" i="346"/>
  <c r="L44" i="346" s="1"/>
  <c r="N44" i="346" s="1"/>
  <c r="O26" i="346"/>
  <c r="J26" i="346"/>
  <c r="L26" i="346" s="1"/>
  <c r="N26" i="346" s="1"/>
  <c r="P26" i="346" s="1"/>
  <c r="O24" i="346"/>
  <c r="J24" i="346"/>
  <c r="L24" i="346" s="1"/>
  <c r="N24" i="346" s="1"/>
  <c r="P24" i="346" s="1"/>
  <c r="O47" i="346"/>
  <c r="J47" i="346"/>
  <c r="L47" i="346" s="1"/>
  <c r="N47" i="346" s="1"/>
  <c r="O19" i="346"/>
  <c r="J19" i="346"/>
  <c r="L19" i="346" s="1"/>
  <c r="N19" i="346" s="1"/>
  <c r="O16" i="346"/>
  <c r="J16" i="346"/>
  <c r="L16" i="346" s="1"/>
  <c r="N16" i="346" s="1"/>
  <c r="P16" i="346" s="1"/>
  <c r="O66" i="346"/>
  <c r="J66" i="346"/>
  <c r="L66" i="346" s="1"/>
  <c r="N66" i="346" s="1"/>
  <c r="O10" i="346"/>
  <c r="J10" i="346"/>
  <c r="L10" i="346" s="1"/>
  <c r="N10" i="346" s="1"/>
  <c r="O50" i="346"/>
  <c r="J50" i="346"/>
  <c r="L50" i="346" s="1"/>
  <c r="N50" i="346" s="1"/>
  <c r="O15" i="346"/>
  <c r="J15" i="346"/>
  <c r="L15" i="346" s="1"/>
  <c r="N15" i="346" s="1"/>
  <c r="O7" i="346"/>
  <c r="J7" i="346"/>
  <c r="L7" i="346" s="1"/>
  <c r="N7" i="346" s="1"/>
  <c r="C1" i="346"/>
  <c r="O52" i="345"/>
  <c r="J52" i="345"/>
  <c r="L52" i="345" s="1"/>
  <c r="N52" i="345" s="1"/>
  <c r="O23" i="345"/>
  <c r="J23" i="345"/>
  <c r="L23" i="345" s="1"/>
  <c r="N23" i="345" s="1"/>
  <c r="O55" i="345"/>
  <c r="J55" i="345"/>
  <c r="L55" i="345" s="1"/>
  <c r="N55" i="345" s="1"/>
  <c r="O63" i="345"/>
  <c r="J63" i="345"/>
  <c r="L63" i="345" s="1"/>
  <c r="N63" i="345" s="1"/>
  <c r="O31" i="345"/>
  <c r="J31" i="345"/>
  <c r="L31" i="345" s="1"/>
  <c r="N31" i="345" s="1"/>
  <c r="O64" i="345"/>
  <c r="J64" i="345"/>
  <c r="L64" i="345" s="1"/>
  <c r="N64" i="345" s="1"/>
  <c r="O38" i="345"/>
  <c r="J38" i="345"/>
  <c r="L38" i="345" s="1"/>
  <c r="N38" i="345" s="1"/>
  <c r="O65" i="345"/>
  <c r="J65" i="345"/>
  <c r="L65" i="345" s="1"/>
  <c r="N65" i="345" s="1"/>
  <c r="P65" i="345" s="1"/>
  <c r="O12" i="345"/>
  <c r="J12" i="345"/>
  <c r="L12" i="345" s="1"/>
  <c r="N12" i="345" s="1"/>
  <c r="O61" i="345"/>
  <c r="J61" i="345"/>
  <c r="L61" i="345" s="1"/>
  <c r="N61" i="345" s="1"/>
  <c r="P61" i="345" s="1"/>
  <c r="O11" i="345"/>
  <c r="J11" i="345"/>
  <c r="L11" i="345" s="1"/>
  <c r="N11" i="345" s="1"/>
  <c r="O35" i="345"/>
  <c r="J35" i="345"/>
  <c r="L35" i="345" s="1"/>
  <c r="N35" i="345" s="1"/>
  <c r="P35" i="345" s="1"/>
  <c r="O42" i="345"/>
  <c r="J42" i="345"/>
  <c r="L42" i="345" s="1"/>
  <c r="N42" i="345" s="1"/>
  <c r="O30" i="345"/>
  <c r="J30" i="345"/>
  <c r="L30" i="345" s="1"/>
  <c r="N30" i="345" s="1"/>
  <c r="O69" i="345"/>
  <c r="J69" i="345"/>
  <c r="L69" i="345" s="1"/>
  <c r="N69" i="345" s="1"/>
  <c r="O48" i="345"/>
  <c r="J48" i="345"/>
  <c r="L48" i="345" s="1"/>
  <c r="N48" i="345" s="1"/>
  <c r="O58" i="345"/>
  <c r="J58" i="345"/>
  <c r="L58" i="345" s="1"/>
  <c r="N58" i="345" s="1"/>
  <c r="O37" i="345"/>
  <c r="J37" i="345"/>
  <c r="L37" i="345" s="1"/>
  <c r="N37" i="345" s="1"/>
  <c r="O43" i="345"/>
  <c r="J43" i="345"/>
  <c r="L43" i="345" s="1"/>
  <c r="N43" i="345" s="1"/>
  <c r="O68" i="345"/>
  <c r="J68" i="345"/>
  <c r="L68" i="345" s="1"/>
  <c r="N68" i="345" s="1"/>
  <c r="P68" i="345" s="1"/>
  <c r="O34" i="345"/>
  <c r="J34" i="345"/>
  <c r="L34" i="345" s="1"/>
  <c r="N34" i="345" s="1"/>
  <c r="P34" i="345" s="1"/>
  <c r="O8" i="345"/>
  <c r="J8" i="345"/>
  <c r="L8" i="345" s="1"/>
  <c r="N8" i="345" s="1"/>
  <c r="P8" i="345" s="1"/>
  <c r="O29" i="345"/>
  <c r="J29" i="345"/>
  <c r="L29" i="345" s="1"/>
  <c r="N29" i="345" s="1"/>
  <c r="P29" i="345" s="1"/>
  <c r="O32" i="345"/>
  <c r="J32" i="345"/>
  <c r="L32" i="345" s="1"/>
  <c r="N32" i="345" s="1"/>
  <c r="P32" i="345" s="1"/>
  <c r="O20" i="345"/>
  <c r="J20" i="345"/>
  <c r="L20" i="345" s="1"/>
  <c r="N20" i="345" s="1"/>
  <c r="O17" i="345"/>
  <c r="J17" i="345"/>
  <c r="L17" i="345" s="1"/>
  <c r="N17" i="345" s="1"/>
  <c r="P17" i="345" s="1"/>
  <c r="O6" i="345"/>
  <c r="J6" i="345"/>
  <c r="L6" i="345" s="1"/>
  <c r="N6" i="345" s="1"/>
  <c r="O67" i="345"/>
  <c r="J67" i="345"/>
  <c r="L67" i="345" s="1"/>
  <c r="N67" i="345" s="1"/>
  <c r="O45" i="345"/>
  <c r="J45" i="345"/>
  <c r="L45" i="345" s="1"/>
  <c r="N45" i="345" s="1"/>
  <c r="O18" i="345"/>
  <c r="J18" i="345"/>
  <c r="L18" i="345" s="1"/>
  <c r="N18" i="345" s="1"/>
  <c r="O56" i="345"/>
  <c r="J56" i="345"/>
  <c r="L56" i="345" s="1"/>
  <c r="N56" i="345" s="1"/>
  <c r="O27" i="345"/>
  <c r="J27" i="345"/>
  <c r="L27" i="345" s="1"/>
  <c r="N27" i="345" s="1"/>
  <c r="O9" i="345"/>
  <c r="J9" i="345"/>
  <c r="L9" i="345" s="1"/>
  <c r="N9" i="345" s="1"/>
  <c r="O53" i="345"/>
  <c r="J53" i="345"/>
  <c r="L53" i="345" s="1"/>
  <c r="N53" i="345" s="1"/>
  <c r="P53" i="345" s="1"/>
  <c r="O13" i="345"/>
  <c r="J13" i="345"/>
  <c r="L13" i="345" s="1"/>
  <c r="N13" i="345" s="1"/>
  <c r="P13" i="345" s="1"/>
  <c r="O44" i="345"/>
  <c r="J44" i="345"/>
  <c r="L44" i="345" s="1"/>
  <c r="N44" i="345" s="1"/>
  <c r="P44" i="345" s="1"/>
  <c r="O60" i="345"/>
  <c r="J60" i="345"/>
  <c r="L60" i="345" s="1"/>
  <c r="N60" i="345" s="1"/>
  <c r="P60" i="345" s="1"/>
  <c r="O19" i="345"/>
  <c r="J19" i="345"/>
  <c r="L19" i="345" s="1"/>
  <c r="N19" i="345" s="1"/>
  <c r="O41" i="345"/>
  <c r="J41" i="345"/>
  <c r="L41" i="345" s="1"/>
  <c r="N41" i="345" s="1"/>
  <c r="O66" i="345"/>
  <c r="J66" i="345"/>
  <c r="L66" i="345" s="1"/>
  <c r="N66" i="345" s="1"/>
  <c r="O10" i="345"/>
  <c r="J10" i="345"/>
  <c r="L10" i="345" s="1"/>
  <c r="N10" i="345" s="1"/>
  <c r="O54" i="345"/>
  <c r="J54" i="345"/>
  <c r="L54" i="345" s="1"/>
  <c r="N54" i="345" s="1"/>
  <c r="O57" i="345"/>
  <c r="J57" i="345"/>
  <c r="L57" i="345" s="1"/>
  <c r="N57" i="345" s="1"/>
  <c r="O50" i="345"/>
  <c r="J50" i="345"/>
  <c r="L50" i="345" s="1"/>
  <c r="N50" i="345" s="1"/>
  <c r="P50" i="345" s="1"/>
  <c r="O22" i="345"/>
  <c r="J22" i="345"/>
  <c r="L22" i="345" s="1"/>
  <c r="N22" i="345" s="1"/>
  <c r="O15" i="345"/>
  <c r="J15" i="345"/>
  <c r="L15" i="345" s="1"/>
  <c r="N15" i="345" s="1"/>
  <c r="O7" i="345"/>
  <c r="J7" i="345"/>
  <c r="L7" i="345" s="1"/>
  <c r="N7" i="345" s="1"/>
  <c r="O28" i="345"/>
  <c r="J28" i="345"/>
  <c r="L28" i="345" s="1"/>
  <c r="N28" i="345" s="1"/>
  <c r="P28" i="345" s="1"/>
  <c r="O14" i="345"/>
  <c r="J14" i="345"/>
  <c r="L14" i="345" s="1"/>
  <c r="N14" i="345" s="1"/>
  <c r="P14" i="345" s="1"/>
  <c r="O62" i="345"/>
  <c r="J62" i="345"/>
  <c r="L62" i="345" s="1"/>
  <c r="N62" i="345" s="1"/>
  <c r="O26" i="345"/>
  <c r="J26" i="345"/>
  <c r="L26" i="345" s="1"/>
  <c r="N26" i="345" s="1"/>
  <c r="O24" i="345"/>
  <c r="J24" i="345"/>
  <c r="L24" i="345" s="1"/>
  <c r="N24" i="345" s="1"/>
  <c r="P24" i="345" s="1"/>
  <c r="O47" i="345"/>
  <c r="J47" i="345"/>
  <c r="L47" i="345" s="1"/>
  <c r="N47" i="345" s="1"/>
  <c r="O46" i="345"/>
  <c r="J46" i="345"/>
  <c r="L46" i="345" s="1"/>
  <c r="N46" i="345" s="1"/>
  <c r="P46" i="345" s="1"/>
  <c r="O16" i="345"/>
  <c r="J16" i="345"/>
  <c r="L16" i="345" s="1"/>
  <c r="N16" i="345" s="1"/>
  <c r="O51" i="345"/>
  <c r="J51" i="345"/>
  <c r="L51" i="345" s="1"/>
  <c r="N51" i="345" s="1"/>
  <c r="O49" i="345"/>
  <c r="J49" i="345"/>
  <c r="L49" i="345" s="1"/>
  <c r="N49" i="345" s="1"/>
  <c r="O40" i="345"/>
  <c r="J40" i="345"/>
  <c r="L40" i="345" s="1"/>
  <c r="N40" i="345" s="1"/>
  <c r="P40" i="345" s="1"/>
  <c r="O5" i="345"/>
  <c r="J5" i="345"/>
  <c r="L5" i="345" s="1"/>
  <c r="N5" i="345" s="1"/>
  <c r="O33" i="345"/>
  <c r="J33" i="345"/>
  <c r="L33" i="345" s="1"/>
  <c r="N33" i="345" s="1"/>
  <c r="O36" i="345"/>
  <c r="J36" i="345"/>
  <c r="L36" i="345" s="1"/>
  <c r="N36" i="345" s="1"/>
  <c r="O21" i="345"/>
  <c r="J21" i="345"/>
  <c r="L21" i="345" s="1"/>
  <c r="N21" i="345" s="1"/>
  <c r="P21" i="345" s="1"/>
  <c r="O25" i="345"/>
  <c r="J25" i="345"/>
  <c r="L25" i="345" s="1"/>
  <c r="N25" i="345" s="1"/>
  <c r="P25" i="345" s="1"/>
  <c r="O59" i="345"/>
  <c r="J59" i="345"/>
  <c r="L59" i="345" s="1"/>
  <c r="N59" i="345" s="1"/>
  <c r="P59" i="345" s="1"/>
  <c r="O39" i="345"/>
  <c r="J39" i="345"/>
  <c r="L39" i="345" s="1"/>
  <c r="N39" i="345" s="1"/>
  <c r="P39" i="345" s="1"/>
  <c r="C1" i="345"/>
  <c r="O69" i="344"/>
  <c r="J69" i="344"/>
  <c r="L69" i="344" s="1"/>
  <c r="N69" i="344" s="1"/>
  <c r="O68" i="344"/>
  <c r="J68" i="344"/>
  <c r="L68" i="344" s="1"/>
  <c r="N68" i="344" s="1"/>
  <c r="P68" i="344" s="1"/>
  <c r="O67" i="344"/>
  <c r="J67" i="344"/>
  <c r="L67" i="344" s="1"/>
  <c r="N67" i="344" s="1"/>
  <c r="O66" i="344"/>
  <c r="J66" i="344"/>
  <c r="L66" i="344" s="1"/>
  <c r="N66" i="344" s="1"/>
  <c r="O65" i="344"/>
  <c r="J65" i="344"/>
  <c r="L65" i="344" s="1"/>
  <c r="N65" i="344" s="1"/>
  <c r="P65" i="344" s="1"/>
  <c r="O57" i="344"/>
  <c r="J57" i="344"/>
  <c r="L57" i="344" s="1"/>
  <c r="N57" i="344" s="1"/>
  <c r="O61" i="344"/>
  <c r="J61" i="344"/>
  <c r="L61" i="344" s="1"/>
  <c r="N61" i="344" s="1"/>
  <c r="O63" i="344"/>
  <c r="J63" i="344"/>
  <c r="L63" i="344" s="1"/>
  <c r="N63" i="344" s="1"/>
  <c r="O62" i="344"/>
  <c r="J62" i="344"/>
  <c r="L62" i="344" s="1"/>
  <c r="N62" i="344" s="1"/>
  <c r="P62" i="344" s="1"/>
  <c r="O64" i="344"/>
  <c r="J64" i="344"/>
  <c r="L64" i="344" s="1"/>
  <c r="N64" i="344" s="1"/>
  <c r="O59" i="344"/>
  <c r="J59" i="344"/>
  <c r="L59" i="344" s="1"/>
  <c r="N59" i="344" s="1"/>
  <c r="P59" i="344" s="1"/>
  <c r="O55" i="344"/>
  <c r="J55" i="344"/>
  <c r="L55" i="344" s="1"/>
  <c r="N55" i="344" s="1"/>
  <c r="P55" i="344" s="1"/>
  <c r="O60" i="344"/>
  <c r="J60" i="344"/>
  <c r="L60" i="344" s="1"/>
  <c r="N60" i="344" s="1"/>
  <c r="O58" i="344"/>
  <c r="J58" i="344"/>
  <c r="L58" i="344" s="1"/>
  <c r="N58" i="344" s="1"/>
  <c r="O56" i="344"/>
  <c r="J56" i="344"/>
  <c r="L56" i="344" s="1"/>
  <c r="N56" i="344" s="1"/>
  <c r="O53" i="344"/>
  <c r="J53" i="344"/>
  <c r="L53" i="344" s="1"/>
  <c r="N53" i="344" s="1"/>
  <c r="O52" i="344"/>
  <c r="J52" i="344"/>
  <c r="L52" i="344" s="1"/>
  <c r="N52" i="344" s="1"/>
  <c r="P52" i="344" s="1"/>
  <c r="O54" i="344"/>
  <c r="J54" i="344"/>
  <c r="L54" i="344" s="1"/>
  <c r="N54" i="344" s="1"/>
  <c r="P54" i="344" s="1"/>
  <c r="O50" i="344"/>
  <c r="J50" i="344"/>
  <c r="L50" i="344" s="1"/>
  <c r="N50" i="344" s="1"/>
  <c r="O51" i="344"/>
  <c r="J51" i="344"/>
  <c r="L51" i="344" s="1"/>
  <c r="N51" i="344" s="1"/>
  <c r="P51" i="344" s="1"/>
  <c r="O46" i="344"/>
  <c r="J46" i="344"/>
  <c r="L46" i="344" s="1"/>
  <c r="N46" i="344" s="1"/>
  <c r="P46" i="344" s="1"/>
  <c r="O45" i="344"/>
  <c r="J45" i="344"/>
  <c r="L45" i="344" s="1"/>
  <c r="N45" i="344" s="1"/>
  <c r="P45" i="344" s="1"/>
  <c r="O44" i="344"/>
  <c r="J44" i="344"/>
  <c r="L44" i="344" s="1"/>
  <c r="N44" i="344" s="1"/>
  <c r="P44" i="344" s="1"/>
  <c r="O49" i="344"/>
  <c r="J49" i="344"/>
  <c r="L49" i="344" s="1"/>
  <c r="N49" i="344" s="1"/>
  <c r="P49" i="344" s="1"/>
  <c r="O41" i="344"/>
  <c r="J41" i="344"/>
  <c r="L41" i="344" s="1"/>
  <c r="N41" i="344" s="1"/>
  <c r="O40" i="344"/>
  <c r="J40" i="344"/>
  <c r="L40" i="344" s="1"/>
  <c r="N40" i="344" s="1"/>
  <c r="O48" i="344"/>
  <c r="J48" i="344"/>
  <c r="L48" i="344" s="1"/>
  <c r="N48" i="344" s="1"/>
  <c r="O43" i="344"/>
  <c r="J43" i="344"/>
  <c r="L43" i="344" s="1"/>
  <c r="N43" i="344" s="1"/>
  <c r="O47" i="344"/>
  <c r="J47" i="344"/>
  <c r="L47" i="344" s="1"/>
  <c r="N47" i="344" s="1"/>
  <c r="O33" i="344"/>
  <c r="J33" i="344"/>
  <c r="L33" i="344" s="1"/>
  <c r="N33" i="344" s="1"/>
  <c r="O32" i="344"/>
  <c r="J32" i="344"/>
  <c r="L32" i="344" s="1"/>
  <c r="N32" i="344" s="1"/>
  <c r="P32" i="344" s="1"/>
  <c r="O31" i="344"/>
  <c r="J31" i="344"/>
  <c r="L31" i="344" s="1"/>
  <c r="N31" i="344" s="1"/>
  <c r="P31" i="344" s="1"/>
  <c r="O30" i="344"/>
  <c r="J30" i="344"/>
  <c r="L30" i="344" s="1"/>
  <c r="N30" i="344" s="1"/>
  <c r="O28" i="344"/>
  <c r="J28" i="344"/>
  <c r="L28" i="344" s="1"/>
  <c r="N28" i="344" s="1"/>
  <c r="P28" i="344" s="1"/>
  <c r="O27" i="344"/>
  <c r="J27" i="344"/>
  <c r="L27" i="344" s="1"/>
  <c r="N27" i="344" s="1"/>
  <c r="P27" i="344" s="1"/>
  <c r="O39" i="344"/>
  <c r="J39" i="344"/>
  <c r="L39" i="344" s="1"/>
  <c r="N39" i="344" s="1"/>
  <c r="P39" i="344" s="1"/>
  <c r="O38" i="344"/>
  <c r="J38" i="344"/>
  <c r="L38" i="344" s="1"/>
  <c r="N38" i="344" s="1"/>
  <c r="O21" i="344"/>
  <c r="J21" i="344"/>
  <c r="L21" i="344" s="1"/>
  <c r="N21" i="344" s="1"/>
  <c r="O36" i="344"/>
  <c r="J36" i="344"/>
  <c r="L36" i="344" s="1"/>
  <c r="N36" i="344" s="1"/>
  <c r="O15" i="344"/>
  <c r="J15" i="344"/>
  <c r="L15" i="344" s="1"/>
  <c r="N15" i="344" s="1"/>
  <c r="O13" i="344"/>
  <c r="J13" i="344"/>
  <c r="L13" i="344" s="1"/>
  <c r="N13" i="344" s="1"/>
  <c r="O12" i="344"/>
  <c r="J12" i="344"/>
  <c r="L12" i="344" s="1"/>
  <c r="N12" i="344" s="1"/>
  <c r="O11" i="344"/>
  <c r="J11" i="344"/>
  <c r="L11" i="344" s="1"/>
  <c r="N11" i="344" s="1"/>
  <c r="O10" i="344"/>
  <c r="J10" i="344"/>
  <c r="L10" i="344" s="1"/>
  <c r="N10" i="344" s="1"/>
  <c r="P10" i="344" s="1"/>
  <c r="O9" i="344"/>
  <c r="J9" i="344"/>
  <c r="L9" i="344" s="1"/>
  <c r="N9" i="344" s="1"/>
  <c r="O34" i="344"/>
  <c r="J34" i="344"/>
  <c r="L34" i="344" s="1"/>
  <c r="N34" i="344" s="1"/>
  <c r="P34" i="344" s="1"/>
  <c r="O8" i="344"/>
  <c r="J8" i="344"/>
  <c r="L8" i="344" s="1"/>
  <c r="N8" i="344" s="1"/>
  <c r="O7" i="344"/>
  <c r="J7" i="344"/>
  <c r="L7" i="344" s="1"/>
  <c r="N7" i="344" s="1"/>
  <c r="O6" i="344"/>
  <c r="J6" i="344"/>
  <c r="L6" i="344" s="1"/>
  <c r="N6" i="344" s="1"/>
  <c r="O29" i="344"/>
  <c r="J29" i="344"/>
  <c r="L29" i="344" s="1"/>
  <c r="N29" i="344" s="1"/>
  <c r="P29" i="344" s="1"/>
  <c r="O5" i="344"/>
  <c r="J5" i="344"/>
  <c r="L5" i="344" s="1"/>
  <c r="N5" i="344" s="1"/>
  <c r="O35" i="344"/>
  <c r="J35" i="344"/>
  <c r="L35" i="344" s="1"/>
  <c r="N35" i="344" s="1"/>
  <c r="O20" i="344"/>
  <c r="J20" i="344"/>
  <c r="L20" i="344" s="1"/>
  <c r="N20" i="344" s="1"/>
  <c r="O19" i="344"/>
  <c r="J19" i="344"/>
  <c r="L19" i="344" s="1"/>
  <c r="N19" i="344" s="1"/>
  <c r="O18" i="344"/>
  <c r="J18" i="344"/>
  <c r="L18" i="344" s="1"/>
  <c r="N18" i="344" s="1"/>
  <c r="O17" i="344"/>
  <c r="J17" i="344"/>
  <c r="L17" i="344" s="1"/>
  <c r="N17" i="344" s="1"/>
  <c r="O16" i="344"/>
  <c r="J16" i="344"/>
  <c r="L16" i="344" s="1"/>
  <c r="N16" i="344" s="1"/>
  <c r="O14" i="344"/>
  <c r="J14" i="344"/>
  <c r="L14" i="344" s="1"/>
  <c r="N14" i="344" s="1"/>
  <c r="O42" i="344"/>
  <c r="J42" i="344"/>
  <c r="L42" i="344" s="1"/>
  <c r="N42" i="344" s="1"/>
  <c r="P42" i="344" s="1"/>
  <c r="O26" i="344"/>
  <c r="J26" i="344"/>
  <c r="L26" i="344" s="1"/>
  <c r="N26" i="344" s="1"/>
  <c r="P26" i="344" s="1"/>
  <c r="O25" i="344"/>
  <c r="J25" i="344"/>
  <c r="L25" i="344" s="1"/>
  <c r="N25" i="344" s="1"/>
  <c r="O24" i="344"/>
  <c r="J24" i="344"/>
  <c r="L24" i="344" s="1"/>
  <c r="N24" i="344" s="1"/>
  <c r="P24" i="344" s="1"/>
  <c r="O23" i="344"/>
  <c r="J23" i="344"/>
  <c r="L23" i="344" s="1"/>
  <c r="N23" i="344" s="1"/>
  <c r="O22" i="344"/>
  <c r="J22" i="344"/>
  <c r="L22" i="344" s="1"/>
  <c r="N22" i="344" s="1"/>
  <c r="P22" i="344" s="1"/>
  <c r="O37" i="344"/>
  <c r="J37" i="344"/>
  <c r="L37" i="344" s="1"/>
  <c r="N37" i="344" s="1"/>
  <c r="P37" i="344" s="1"/>
  <c r="C1" i="344"/>
  <c r="O69" i="343"/>
  <c r="J69" i="343"/>
  <c r="L69" i="343" s="1"/>
  <c r="N69" i="343" s="1"/>
  <c r="O67" i="343"/>
  <c r="J67" i="343"/>
  <c r="L67" i="343" s="1"/>
  <c r="N67" i="343" s="1"/>
  <c r="O60" i="343"/>
  <c r="J60" i="343"/>
  <c r="L60" i="343" s="1"/>
  <c r="N60" i="343" s="1"/>
  <c r="O66" i="343"/>
  <c r="J66" i="343"/>
  <c r="L66" i="343" s="1"/>
  <c r="N66" i="343" s="1"/>
  <c r="P66" i="343" s="1"/>
  <c r="O62" i="343"/>
  <c r="J62" i="343"/>
  <c r="L62" i="343" s="1"/>
  <c r="N62" i="343" s="1"/>
  <c r="P62" i="343" s="1"/>
  <c r="O61" i="343"/>
  <c r="J61" i="343"/>
  <c r="L61" i="343" s="1"/>
  <c r="N61" i="343" s="1"/>
  <c r="P61" i="343" s="1"/>
  <c r="O59" i="343"/>
  <c r="J59" i="343"/>
  <c r="L59" i="343" s="1"/>
  <c r="N59" i="343" s="1"/>
  <c r="O57" i="343"/>
  <c r="J57" i="343"/>
  <c r="L57" i="343" s="1"/>
  <c r="N57" i="343" s="1"/>
  <c r="P57" i="343" s="1"/>
  <c r="O46" i="343"/>
  <c r="J46" i="343"/>
  <c r="L46" i="343" s="1"/>
  <c r="N46" i="343" s="1"/>
  <c r="P46" i="343" s="1"/>
  <c r="O39" i="343"/>
  <c r="J39" i="343"/>
  <c r="L39" i="343" s="1"/>
  <c r="N39" i="343" s="1"/>
  <c r="P39" i="343" s="1"/>
  <c r="O68" i="343"/>
  <c r="J68" i="343"/>
  <c r="L68" i="343" s="1"/>
  <c r="N68" i="343" s="1"/>
  <c r="P68" i="343" s="1"/>
  <c r="O58" i="343"/>
  <c r="J58" i="343"/>
  <c r="L58" i="343" s="1"/>
  <c r="N58" i="343" s="1"/>
  <c r="O63" i="343"/>
  <c r="J63" i="343"/>
  <c r="L63" i="343" s="1"/>
  <c r="N63" i="343" s="1"/>
  <c r="O65" i="343"/>
  <c r="J65" i="343"/>
  <c r="L65" i="343" s="1"/>
  <c r="N65" i="343" s="1"/>
  <c r="O64" i="343"/>
  <c r="J64" i="343"/>
  <c r="L64" i="343" s="1"/>
  <c r="N64" i="343" s="1"/>
  <c r="O52" i="343"/>
  <c r="J52" i="343"/>
  <c r="L52" i="343" s="1"/>
  <c r="N52" i="343" s="1"/>
  <c r="P52" i="343" s="1"/>
  <c r="O54" i="343"/>
  <c r="J54" i="343"/>
  <c r="L54" i="343" s="1"/>
  <c r="N54" i="343" s="1"/>
  <c r="O48" i="343"/>
  <c r="J48" i="343"/>
  <c r="L48" i="343" s="1"/>
  <c r="N48" i="343" s="1"/>
  <c r="O49" i="343"/>
  <c r="J49" i="343"/>
  <c r="L49" i="343" s="1"/>
  <c r="N49" i="343" s="1"/>
  <c r="O42" i="343"/>
  <c r="J42" i="343"/>
  <c r="L42" i="343" s="1"/>
  <c r="N42" i="343" s="1"/>
  <c r="P42" i="343" s="1"/>
  <c r="O53" i="343"/>
  <c r="J53" i="343"/>
  <c r="L53" i="343" s="1"/>
  <c r="N53" i="343" s="1"/>
  <c r="O50" i="343"/>
  <c r="J50" i="343"/>
  <c r="L50" i="343" s="1"/>
  <c r="N50" i="343" s="1"/>
  <c r="P50" i="343" s="1"/>
  <c r="O43" i="343"/>
  <c r="J43" i="343"/>
  <c r="L43" i="343" s="1"/>
  <c r="N43" i="343" s="1"/>
  <c r="P43" i="343" s="1"/>
  <c r="O51" i="343"/>
  <c r="J51" i="343"/>
  <c r="L51" i="343" s="1"/>
  <c r="N51" i="343" s="1"/>
  <c r="P51" i="343" s="1"/>
  <c r="O35" i="343"/>
  <c r="J35" i="343"/>
  <c r="L35" i="343" s="1"/>
  <c r="N35" i="343" s="1"/>
  <c r="O34" i="343"/>
  <c r="J34" i="343"/>
  <c r="L34" i="343" s="1"/>
  <c r="N34" i="343" s="1"/>
  <c r="P34" i="343" s="1"/>
  <c r="O31" i="343"/>
  <c r="J31" i="343"/>
  <c r="L31" i="343" s="1"/>
  <c r="N31" i="343" s="1"/>
  <c r="O24" i="343"/>
  <c r="J24" i="343"/>
  <c r="L24" i="343" s="1"/>
  <c r="N24" i="343" s="1"/>
  <c r="O38" i="343"/>
  <c r="J38" i="343"/>
  <c r="L38" i="343" s="1"/>
  <c r="N38" i="343" s="1"/>
  <c r="O13" i="343"/>
  <c r="J13" i="343"/>
  <c r="L13" i="343" s="1"/>
  <c r="N13" i="343" s="1"/>
  <c r="P13" i="343" s="1"/>
  <c r="O56" i="343"/>
  <c r="J56" i="343"/>
  <c r="L56" i="343" s="1"/>
  <c r="N56" i="343" s="1"/>
  <c r="O55" i="343"/>
  <c r="J55" i="343"/>
  <c r="L55" i="343" s="1"/>
  <c r="N55" i="343" s="1"/>
  <c r="P55" i="343" s="1"/>
  <c r="O45" i="343"/>
  <c r="J45" i="343"/>
  <c r="L45" i="343" s="1"/>
  <c r="N45" i="343" s="1"/>
  <c r="O41" i="343"/>
  <c r="J41" i="343"/>
  <c r="L41" i="343" s="1"/>
  <c r="N41" i="343" s="1"/>
  <c r="O40" i="343"/>
  <c r="J40" i="343"/>
  <c r="L40" i="343" s="1"/>
  <c r="N40" i="343" s="1"/>
  <c r="O32" i="343"/>
  <c r="J32" i="343"/>
  <c r="L32" i="343" s="1"/>
  <c r="N32" i="343" s="1"/>
  <c r="P32" i="343" s="1"/>
  <c r="O22" i="343"/>
  <c r="J22" i="343"/>
  <c r="L22" i="343" s="1"/>
  <c r="N22" i="343" s="1"/>
  <c r="O17" i="343"/>
  <c r="J17" i="343"/>
  <c r="L17" i="343" s="1"/>
  <c r="N17" i="343" s="1"/>
  <c r="O16" i="343"/>
  <c r="J16" i="343"/>
  <c r="L16" i="343" s="1"/>
  <c r="N16" i="343" s="1"/>
  <c r="P16" i="343" s="1"/>
  <c r="O44" i="343"/>
  <c r="J44" i="343"/>
  <c r="L44" i="343" s="1"/>
  <c r="N44" i="343" s="1"/>
  <c r="O15" i="343"/>
  <c r="J15" i="343"/>
  <c r="L15" i="343" s="1"/>
  <c r="N15" i="343" s="1"/>
  <c r="P15" i="343" s="1"/>
  <c r="O12" i="343"/>
  <c r="J12" i="343"/>
  <c r="L12" i="343" s="1"/>
  <c r="N12" i="343" s="1"/>
  <c r="O11" i="343"/>
  <c r="J11" i="343"/>
  <c r="L11" i="343" s="1"/>
  <c r="N11" i="343" s="1"/>
  <c r="O10" i="343"/>
  <c r="J10" i="343"/>
  <c r="L10" i="343" s="1"/>
  <c r="N10" i="343" s="1"/>
  <c r="O9" i="343"/>
  <c r="J9" i="343"/>
  <c r="L9" i="343" s="1"/>
  <c r="N9" i="343" s="1"/>
  <c r="P9" i="343" s="1"/>
  <c r="O8" i="343"/>
  <c r="J8" i="343"/>
  <c r="L8" i="343" s="1"/>
  <c r="N8" i="343" s="1"/>
  <c r="P8" i="343" s="1"/>
  <c r="O7" i="343"/>
  <c r="J7" i="343"/>
  <c r="L7" i="343" s="1"/>
  <c r="N7" i="343" s="1"/>
  <c r="O6" i="343"/>
  <c r="J6" i="343"/>
  <c r="L6" i="343" s="1"/>
  <c r="N6" i="343" s="1"/>
  <c r="P6" i="343" s="1"/>
  <c r="O5" i="343"/>
  <c r="J5" i="343"/>
  <c r="L5" i="343" s="1"/>
  <c r="N5" i="343" s="1"/>
  <c r="O21" i="343"/>
  <c r="J21" i="343"/>
  <c r="L21" i="343" s="1"/>
  <c r="N21" i="343" s="1"/>
  <c r="P21" i="343" s="1"/>
  <c r="O37" i="343"/>
  <c r="J37" i="343"/>
  <c r="L37" i="343" s="1"/>
  <c r="N37" i="343" s="1"/>
  <c r="P37" i="343" s="1"/>
  <c r="O23" i="343"/>
  <c r="J23" i="343"/>
  <c r="L23" i="343" s="1"/>
  <c r="N23" i="343" s="1"/>
  <c r="O20" i="343"/>
  <c r="J20" i="343"/>
  <c r="L20" i="343" s="1"/>
  <c r="N20" i="343" s="1"/>
  <c r="P20" i="343" s="1"/>
  <c r="O19" i="343"/>
  <c r="J19" i="343"/>
  <c r="L19" i="343" s="1"/>
  <c r="N19" i="343" s="1"/>
  <c r="O18" i="343"/>
  <c r="J18" i="343"/>
  <c r="L18" i="343" s="1"/>
  <c r="N18" i="343" s="1"/>
  <c r="P18" i="343" s="1"/>
  <c r="O36" i="343"/>
  <c r="J36" i="343"/>
  <c r="L36" i="343" s="1"/>
  <c r="N36" i="343" s="1"/>
  <c r="O14" i="343"/>
  <c r="J14" i="343"/>
  <c r="L14" i="343" s="1"/>
  <c r="N14" i="343" s="1"/>
  <c r="O33" i="343"/>
  <c r="J33" i="343"/>
  <c r="L33" i="343" s="1"/>
  <c r="N33" i="343" s="1"/>
  <c r="P33" i="343" s="1"/>
  <c r="O47" i="343"/>
  <c r="J47" i="343"/>
  <c r="L47" i="343" s="1"/>
  <c r="N47" i="343" s="1"/>
  <c r="O30" i="343"/>
  <c r="J30" i="343"/>
  <c r="L30" i="343" s="1"/>
  <c r="N30" i="343" s="1"/>
  <c r="P30" i="343" s="1"/>
  <c r="O29" i="343"/>
  <c r="J29" i="343"/>
  <c r="L29" i="343" s="1"/>
  <c r="N29" i="343" s="1"/>
  <c r="O28" i="343"/>
  <c r="J28" i="343"/>
  <c r="L28" i="343" s="1"/>
  <c r="N28" i="343" s="1"/>
  <c r="P28" i="343" s="1"/>
  <c r="O27" i="343"/>
  <c r="J27" i="343"/>
  <c r="L27" i="343" s="1"/>
  <c r="N27" i="343" s="1"/>
  <c r="O26" i="343"/>
  <c r="J26" i="343"/>
  <c r="L26" i="343" s="1"/>
  <c r="N26" i="343" s="1"/>
  <c r="P26" i="343" s="1"/>
  <c r="O25" i="343"/>
  <c r="J25" i="343"/>
  <c r="L25" i="343" s="1"/>
  <c r="N25" i="343" s="1"/>
  <c r="P25" i="343" s="1"/>
  <c r="C1" i="343"/>
  <c r="O69" i="342"/>
  <c r="J69" i="342"/>
  <c r="L69" i="342" s="1"/>
  <c r="N69" i="342" s="1"/>
  <c r="O59" i="342"/>
  <c r="J59" i="342"/>
  <c r="L59" i="342" s="1"/>
  <c r="N59" i="342" s="1"/>
  <c r="O66" i="342"/>
  <c r="J66" i="342"/>
  <c r="L66" i="342" s="1"/>
  <c r="N66" i="342" s="1"/>
  <c r="O39" i="342"/>
  <c r="J39" i="342"/>
  <c r="L39" i="342" s="1"/>
  <c r="N39" i="342" s="1"/>
  <c r="O58" i="342"/>
  <c r="J58" i="342"/>
  <c r="L58" i="342" s="1"/>
  <c r="N58" i="342" s="1"/>
  <c r="O68" i="342"/>
  <c r="J68" i="342"/>
  <c r="L68" i="342" s="1"/>
  <c r="N68" i="342" s="1"/>
  <c r="O67" i="342"/>
  <c r="J67" i="342"/>
  <c r="L67" i="342" s="1"/>
  <c r="N67" i="342" s="1"/>
  <c r="O65" i="342"/>
  <c r="J65" i="342"/>
  <c r="L65" i="342" s="1"/>
  <c r="N65" i="342" s="1"/>
  <c r="O64" i="342"/>
  <c r="J64" i="342"/>
  <c r="L64" i="342" s="1"/>
  <c r="N64" i="342" s="1"/>
  <c r="O63" i="342"/>
  <c r="J63" i="342"/>
  <c r="L63" i="342" s="1"/>
  <c r="N63" i="342" s="1"/>
  <c r="O38" i="342"/>
  <c r="J38" i="342"/>
  <c r="L38" i="342" s="1"/>
  <c r="N38" i="342" s="1"/>
  <c r="P38" i="342" s="1"/>
  <c r="O57" i="342"/>
  <c r="J57" i="342"/>
  <c r="L57" i="342" s="1"/>
  <c r="N57" i="342" s="1"/>
  <c r="P57" i="342" s="1"/>
  <c r="O56" i="342"/>
  <c r="J56" i="342"/>
  <c r="L56" i="342" s="1"/>
  <c r="N56" i="342" s="1"/>
  <c r="P56" i="342" s="1"/>
  <c r="O62" i="342"/>
  <c r="J62" i="342"/>
  <c r="L62" i="342" s="1"/>
  <c r="N62" i="342" s="1"/>
  <c r="O55" i="342"/>
  <c r="J55" i="342"/>
  <c r="L55" i="342" s="1"/>
  <c r="N55" i="342" s="1"/>
  <c r="O49" i="342"/>
  <c r="J49" i="342"/>
  <c r="L49" i="342" s="1"/>
  <c r="N49" i="342" s="1"/>
  <c r="O54" i="342"/>
  <c r="J54" i="342"/>
  <c r="L54" i="342" s="1"/>
  <c r="N54" i="342" s="1"/>
  <c r="O53" i="342"/>
  <c r="J53" i="342"/>
  <c r="L53" i="342" s="1"/>
  <c r="N53" i="342" s="1"/>
  <c r="O48" i="342"/>
  <c r="J48" i="342"/>
  <c r="L48" i="342" s="1"/>
  <c r="N48" i="342" s="1"/>
  <c r="O37" i="342"/>
  <c r="J37" i="342"/>
  <c r="L37" i="342" s="1"/>
  <c r="N37" i="342" s="1"/>
  <c r="P37" i="342" s="1"/>
  <c r="O36" i="342"/>
  <c r="J36" i="342"/>
  <c r="L36" i="342" s="1"/>
  <c r="N36" i="342" s="1"/>
  <c r="O35" i="342"/>
  <c r="J35" i="342"/>
  <c r="L35" i="342" s="1"/>
  <c r="N35" i="342" s="1"/>
  <c r="P35" i="342" s="1"/>
  <c r="O52" i="342"/>
  <c r="J52" i="342"/>
  <c r="L52" i="342" s="1"/>
  <c r="N52" i="342" s="1"/>
  <c r="O47" i="342"/>
  <c r="J47" i="342"/>
  <c r="L47" i="342" s="1"/>
  <c r="N47" i="342" s="1"/>
  <c r="P47" i="342" s="1"/>
  <c r="O46" i="342"/>
  <c r="J46" i="342"/>
  <c r="L46" i="342" s="1"/>
  <c r="N46" i="342" s="1"/>
  <c r="O34" i="342"/>
  <c r="J34" i="342"/>
  <c r="L34" i="342" s="1"/>
  <c r="N34" i="342" s="1"/>
  <c r="P34" i="342" s="1"/>
  <c r="O61" i="342"/>
  <c r="J61" i="342"/>
  <c r="L61" i="342" s="1"/>
  <c r="N61" i="342" s="1"/>
  <c r="O60" i="342"/>
  <c r="J60" i="342"/>
  <c r="L60" i="342" s="1"/>
  <c r="N60" i="342" s="1"/>
  <c r="O32" i="342"/>
  <c r="J32" i="342"/>
  <c r="L32" i="342" s="1"/>
  <c r="N32" i="342" s="1"/>
  <c r="O51" i="342"/>
  <c r="J51" i="342"/>
  <c r="L51" i="342" s="1"/>
  <c r="N51" i="342" s="1"/>
  <c r="O45" i="342"/>
  <c r="J45" i="342"/>
  <c r="L45" i="342" s="1"/>
  <c r="N45" i="342" s="1"/>
  <c r="O29" i="342"/>
  <c r="J29" i="342"/>
  <c r="L29" i="342" s="1"/>
  <c r="N29" i="342" s="1"/>
  <c r="O28" i="342"/>
  <c r="J28" i="342"/>
  <c r="L28" i="342" s="1"/>
  <c r="N28" i="342" s="1"/>
  <c r="P28" i="342" s="1"/>
  <c r="O26" i="342"/>
  <c r="J26" i="342"/>
  <c r="L26" i="342" s="1"/>
  <c r="N26" i="342" s="1"/>
  <c r="O42" i="342"/>
  <c r="J42" i="342"/>
  <c r="L42" i="342" s="1"/>
  <c r="N42" i="342" s="1"/>
  <c r="O21" i="342"/>
  <c r="J21" i="342"/>
  <c r="L21" i="342" s="1"/>
  <c r="N21" i="342" s="1"/>
  <c r="P21" i="342" s="1"/>
  <c r="O17" i="342"/>
  <c r="J17" i="342"/>
  <c r="L17" i="342" s="1"/>
  <c r="N17" i="342" s="1"/>
  <c r="O15" i="342"/>
  <c r="J15" i="342"/>
  <c r="L15" i="342" s="1"/>
  <c r="N15" i="342" s="1"/>
  <c r="O16" i="342"/>
  <c r="J16" i="342"/>
  <c r="L16" i="342" s="1"/>
  <c r="N16" i="342" s="1"/>
  <c r="P16" i="342" s="1"/>
  <c r="O14" i="342"/>
  <c r="J14" i="342"/>
  <c r="L14" i="342" s="1"/>
  <c r="N14" i="342" s="1"/>
  <c r="O12" i="342"/>
  <c r="J12" i="342"/>
  <c r="L12" i="342" s="1"/>
  <c r="N12" i="342" s="1"/>
  <c r="O13" i="342"/>
  <c r="J13" i="342"/>
  <c r="L13" i="342" s="1"/>
  <c r="N13" i="342" s="1"/>
  <c r="O41" i="342"/>
  <c r="J41" i="342"/>
  <c r="L41" i="342" s="1"/>
  <c r="N41" i="342" s="1"/>
  <c r="O11" i="342"/>
  <c r="J11" i="342"/>
  <c r="L11" i="342" s="1"/>
  <c r="N11" i="342" s="1"/>
  <c r="O10" i="342"/>
  <c r="J10" i="342"/>
  <c r="L10" i="342" s="1"/>
  <c r="N10" i="342" s="1"/>
  <c r="O8" i="342"/>
  <c r="J8" i="342"/>
  <c r="L8" i="342" s="1"/>
  <c r="N8" i="342" s="1"/>
  <c r="O7" i="342"/>
  <c r="J7" i="342"/>
  <c r="L7" i="342" s="1"/>
  <c r="N7" i="342" s="1"/>
  <c r="P7" i="342" s="1"/>
  <c r="O9" i="342"/>
  <c r="J9" i="342"/>
  <c r="L9" i="342" s="1"/>
  <c r="N9" i="342" s="1"/>
  <c r="P9" i="342" s="1"/>
  <c r="O6" i="342"/>
  <c r="J6" i="342"/>
  <c r="L6" i="342" s="1"/>
  <c r="N6" i="342" s="1"/>
  <c r="O40" i="342"/>
  <c r="J40" i="342"/>
  <c r="L40" i="342" s="1"/>
  <c r="N40" i="342" s="1"/>
  <c r="P40" i="342" s="1"/>
  <c r="O5" i="342"/>
  <c r="J5" i="342"/>
  <c r="L5" i="342" s="1"/>
  <c r="N5" i="342" s="1"/>
  <c r="O25" i="342"/>
  <c r="J25" i="342"/>
  <c r="L25" i="342" s="1"/>
  <c r="N25" i="342" s="1"/>
  <c r="P25" i="342" s="1"/>
  <c r="O22" i="342"/>
  <c r="J22" i="342"/>
  <c r="L22" i="342" s="1"/>
  <c r="N22" i="342" s="1"/>
  <c r="O23" i="342"/>
  <c r="J23" i="342"/>
  <c r="L23" i="342" s="1"/>
  <c r="N23" i="342" s="1"/>
  <c r="O24" i="342"/>
  <c r="J24" i="342"/>
  <c r="L24" i="342" s="1"/>
  <c r="N24" i="342" s="1"/>
  <c r="P24" i="342" s="1"/>
  <c r="O19" i="342"/>
  <c r="J19" i="342"/>
  <c r="L19" i="342" s="1"/>
  <c r="N19" i="342" s="1"/>
  <c r="O20" i="342"/>
  <c r="J20" i="342"/>
  <c r="L20" i="342" s="1"/>
  <c r="N20" i="342" s="1"/>
  <c r="O18" i="342"/>
  <c r="J18" i="342"/>
  <c r="L18" i="342" s="1"/>
  <c r="N18" i="342" s="1"/>
  <c r="O33" i="342"/>
  <c r="J33" i="342"/>
  <c r="L33" i="342" s="1"/>
  <c r="N33" i="342" s="1"/>
  <c r="O30" i="342"/>
  <c r="J30" i="342"/>
  <c r="L30" i="342" s="1"/>
  <c r="N30" i="342" s="1"/>
  <c r="O31" i="342"/>
  <c r="J31" i="342"/>
  <c r="L31" i="342" s="1"/>
  <c r="N31" i="342" s="1"/>
  <c r="P31" i="342" s="1"/>
  <c r="O44" i="342"/>
  <c r="J44" i="342"/>
  <c r="L44" i="342" s="1"/>
  <c r="N44" i="342" s="1"/>
  <c r="P44" i="342" s="1"/>
  <c r="O43" i="342"/>
  <c r="J43" i="342"/>
  <c r="L43" i="342" s="1"/>
  <c r="N43" i="342" s="1"/>
  <c r="O50" i="342"/>
  <c r="J50" i="342"/>
  <c r="L50" i="342" s="1"/>
  <c r="N50" i="342" s="1"/>
  <c r="P50" i="342" s="1"/>
  <c r="O27" i="342"/>
  <c r="J27" i="342"/>
  <c r="L27" i="342" s="1"/>
  <c r="N27" i="342" s="1"/>
  <c r="C1" i="342"/>
  <c r="N69" i="341"/>
  <c r="I69" i="341"/>
  <c r="K69" i="341" s="1"/>
  <c r="M69" i="341" s="1"/>
  <c r="O69" i="341" s="1"/>
  <c r="N68" i="341"/>
  <c r="I68" i="341"/>
  <c r="K68" i="341" s="1"/>
  <c r="M68" i="341" s="1"/>
  <c r="N67" i="341"/>
  <c r="I67" i="341"/>
  <c r="K67" i="341" s="1"/>
  <c r="M67" i="341" s="1"/>
  <c r="N65" i="341"/>
  <c r="I65" i="341"/>
  <c r="K65" i="341" s="1"/>
  <c r="M65" i="341" s="1"/>
  <c r="N63" i="341"/>
  <c r="I63" i="341"/>
  <c r="K63" i="341" s="1"/>
  <c r="M63" i="341" s="1"/>
  <c r="N66" i="341"/>
  <c r="I66" i="341"/>
  <c r="K66" i="341" s="1"/>
  <c r="M66" i="341" s="1"/>
  <c r="N64" i="341"/>
  <c r="I64" i="341"/>
  <c r="K64" i="341" s="1"/>
  <c r="M64" i="341" s="1"/>
  <c r="N62" i="341"/>
  <c r="I62" i="341"/>
  <c r="K62" i="341" s="1"/>
  <c r="M62" i="341" s="1"/>
  <c r="O62" i="341" s="1"/>
  <c r="N61" i="341"/>
  <c r="I61" i="341"/>
  <c r="K61" i="341" s="1"/>
  <c r="M61" i="341" s="1"/>
  <c r="N60" i="341"/>
  <c r="I60" i="341"/>
  <c r="K60" i="341" s="1"/>
  <c r="M60" i="341" s="1"/>
  <c r="O60" i="341" s="1"/>
  <c r="N57" i="341"/>
  <c r="I57" i="341"/>
  <c r="K57" i="341" s="1"/>
  <c r="M57" i="341" s="1"/>
  <c r="N58" i="341"/>
  <c r="I58" i="341"/>
  <c r="K58" i="341" s="1"/>
  <c r="M58" i="341" s="1"/>
  <c r="N56" i="341"/>
  <c r="I56" i="341"/>
  <c r="K56" i="341" s="1"/>
  <c r="M56" i="341" s="1"/>
  <c r="N59" i="341"/>
  <c r="I59" i="341"/>
  <c r="K59" i="341" s="1"/>
  <c r="M59" i="341" s="1"/>
  <c r="N51" i="341"/>
  <c r="I51" i="341"/>
  <c r="K51" i="341" s="1"/>
  <c r="M51" i="341" s="1"/>
  <c r="N55" i="341"/>
  <c r="I55" i="341"/>
  <c r="K55" i="341" s="1"/>
  <c r="M55" i="341" s="1"/>
  <c r="N52" i="341"/>
  <c r="I52" i="341"/>
  <c r="K52" i="341" s="1"/>
  <c r="M52" i="341" s="1"/>
  <c r="N54" i="341"/>
  <c r="I54" i="341"/>
  <c r="K54" i="341" s="1"/>
  <c r="M54" i="341" s="1"/>
  <c r="N50" i="341"/>
  <c r="I50" i="341"/>
  <c r="K50" i="341" s="1"/>
  <c r="M50" i="341" s="1"/>
  <c r="N45" i="341"/>
  <c r="I45" i="341"/>
  <c r="K45" i="341" s="1"/>
  <c r="M45" i="341" s="1"/>
  <c r="O45" i="341" s="1"/>
  <c r="N49" i="341"/>
  <c r="I49" i="341"/>
  <c r="K49" i="341" s="1"/>
  <c r="M49" i="341" s="1"/>
  <c r="N53" i="341"/>
  <c r="I53" i="341"/>
  <c r="K53" i="341" s="1"/>
  <c r="M53" i="341" s="1"/>
  <c r="N42" i="341"/>
  <c r="I42" i="341"/>
  <c r="K42" i="341" s="1"/>
  <c r="M42" i="341" s="1"/>
  <c r="O42" i="341" s="1"/>
  <c r="N40" i="341"/>
  <c r="I40" i="341"/>
  <c r="K40" i="341" s="1"/>
  <c r="M40" i="341" s="1"/>
  <c r="O40" i="341" s="1"/>
  <c r="N38" i="341"/>
  <c r="I38" i="341"/>
  <c r="K38" i="341" s="1"/>
  <c r="M38" i="341" s="1"/>
  <c r="O38" i="341" s="1"/>
  <c r="N47" i="341"/>
  <c r="I47" i="341"/>
  <c r="K47" i="341" s="1"/>
  <c r="M47" i="341" s="1"/>
  <c r="N37" i="341"/>
  <c r="I37" i="341"/>
  <c r="K37" i="341" s="1"/>
  <c r="M37" i="341" s="1"/>
  <c r="N34" i="341"/>
  <c r="I34" i="341"/>
  <c r="K34" i="341" s="1"/>
  <c r="M34" i="341" s="1"/>
  <c r="N35" i="341"/>
  <c r="I35" i="341"/>
  <c r="K35" i="341" s="1"/>
  <c r="M35" i="341" s="1"/>
  <c r="N30" i="341"/>
  <c r="I30" i="341"/>
  <c r="K30" i="341" s="1"/>
  <c r="M30" i="341" s="1"/>
  <c r="N27" i="341"/>
  <c r="I27" i="341"/>
  <c r="K27" i="341" s="1"/>
  <c r="M27" i="341" s="1"/>
  <c r="N26" i="341"/>
  <c r="I26" i="341"/>
  <c r="K26" i="341" s="1"/>
  <c r="M26" i="341" s="1"/>
  <c r="N41" i="341"/>
  <c r="I41" i="341"/>
  <c r="K41" i="341" s="1"/>
  <c r="M41" i="341" s="1"/>
  <c r="O41" i="341" s="1"/>
  <c r="N39" i="341"/>
  <c r="I39" i="341"/>
  <c r="K39" i="341" s="1"/>
  <c r="M39" i="341" s="1"/>
  <c r="O39" i="341" s="1"/>
  <c r="N46" i="341"/>
  <c r="I46" i="341"/>
  <c r="K46" i="341" s="1"/>
  <c r="M46" i="341" s="1"/>
  <c r="N21" i="341"/>
  <c r="I21" i="341"/>
  <c r="K21" i="341" s="1"/>
  <c r="M21" i="341" s="1"/>
  <c r="O21" i="341" s="1"/>
  <c r="N20" i="341"/>
  <c r="I20" i="341"/>
  <c r="K20" i="341" s="1"/>
  <c r="M20" i="341" s="1"/>
  <c r="N18" i="341"/>
  <c r="I18" i="341"/>
  <c r="K18" i="341" s="1"/>
  <c r="M18" i="341" s="1"/>
  <c r="O18" i="341" s="1"/>
  <c r="N17" i="341"/>
  <c r="I17" i="341"/>
  <c r="K17" i="341" s="1"/>
  <c r="M17" i="341" s="1"/>
  <c r="N16" i="341"/>
  <c r="I16" i="341"/>
  <c r="K16" i="341" s="1"/>
  <c r="M16" i="341" s="1"/>
  <c r="N15" i="341"/>
  <c r="I15" i="341"/>
  <c r="K15" i="341" s="1"/>
  <c r="M15" i="341" s="1"/>
  <c r="N44" i="341"/>
  <c r="I44" i="341"/>
  <c r="K44" i="341" s="1"/>
  <c r="M44" i="341" s="1"/>
  <c r="O44" i="341" s="1"/>
  <c r="N12" i="341"/>
  <c r="I12" i="341"/>
  <c r="K12" i="341" s="1"/>
  <c r="M12" i="341" s="1"/>
  <c r="O12" i="341" s="1"/>
  <c r="N11" i="341"/>
  <c r="I11" i="341"/>
  <c r="K11" i="341" s="1"/>
  <c r="M11" i="341" s="1"/>
  <c r="N10" i="341"/>
  <c r="I10" i="341"/>
  <c r="K10" i="341" s="1"/>
  <c r="M10" i="341" s="1"/>
  <c r="N9" i="341"/>
  <c r="I9" i="341"/>
  <c r="K9" i="341" s="1"/>
  <c r="M9" i="341" s="1"/>
  <c r="N8" i="341"/>
  <c r="I8" i="341"/>
  <c r="K8" i="341" s="1"/>
  <c r="M8" i="341" s="1"/>
  <c r="O8" i="341" s="1"/>
  <c r="N7" i="341"/>
  <c r="I7" i="341"/>
  <c r="K7" i="341" s="1"/>
  <c r="M7" i="341" s="1"/>
  <c r="O7" i="341" s="1"/>
  <c r="N6" i="341"/>
  <c r="I6" i="341"/>
  <c r="K6" i="341" s="1"/>
  <c r="M6" i="341" s="1"/>
  <c r="N33" i="341"/>
  <c r="I33" i="341"/>
  <c r="K33" i="341" s="1"/>
  <c r="M33" i="341" s="1"/>
  <c r="O33" i="341" s="1"/>
  <c r="N5" i="341"/>
  <c r="I5" i="341"/>
  <c r="K5" i="341" s="1"/>
  <c r="M5" i="341" s="1"/>
  <c r="N25" i="341"/>
  <c r="I25" i="341"/>
  <c r="K25" i="341" s="1"/>
  <c r="M25" i="341" s="1"/>
  <c r="O25" i="341" s="1"/>
  <c r="N24" i="341"/>
  <c r="I24" i="341"/>
  <c r="K24" i="341" s="1"/>
  <c r="M24" i="341" s="1"/>
  <c r="O24" i="341" s="1"/>
  <c r="N23" i="341"/>
  <c r="I23" i="341"/>
  <c r="K23" i="341" s="1"/>
  <c r="M23" i="341" s="1"/>
  <c r="N22" i="341"/>
  <c r="I22" i="341"/>
  <c r="K22" i="341" s="1"/>
  <c r="M22" i="341" s="1"/>
  <c r="N19" i="341"/>
  <c r="I19" i="341"/>
  <c r="K19" i="341" s="1"/>
  <c r="M19" i="341" s="1"/>
  <c r="N13" i="341"/>
  <c r="I13" i="341"/>
  <c r="K13" i="341" s="1"/>
  <c r="M13" i="341" s="1"/>
  <c r="O13" i="341" s="1"/>
  <c r="N14" i="341"/>
  <c r="I14" i="341"/>
  <c r="K14" i="341" s="1"/>
  <c r="M14" i="341" s="1"/>
  <c r="N36" i="341"/>
  <c r="I36" i="341"/>
  <c r="K36" i="341" s="1"/>
  <c r="M36" i="341" s="1"/>
  <c r="N43" i="341"/>
  <c r="I43" i="341"/>
  <c r="K43" i="341" s="1"/>
  <c r="M43" i="341" s="1"/>
  <c r="N32" i="341"/>
  <c r="I32" i="341"/>
  <c r="K32" i="341" s="1"/>
  <c r="M32" i="341" s="1"/>
  <c r="O32" i="341" s="1"/>
  <c r="N48" i="341"/>
  <c r="I48" i="341"/>
  <c r="K48" i="341" s="1"/>
  <c r="M48" i="341" s="1"/>
  <c r="O48" i="341" s="1"/>
  <c r="N31" i="341"/>
  <c r="I31" i="341"/>
  <c r="K31" i="341" s="1"/>
  <c r="M31" i="341" s="1"/>
  <c r="N29" i="341"/>
  <c r="I29" i="341"/>
  <c r="K29" i="341" s="1"/>
  <c r="M29" i="341" s="1"/>
  <c r="O29" i="341" s="1"/>
  <c r="N28" i="341"/>
  <c r="I28" i="341"/>
  <c r="K28" i="341" s="1"/>
  <c r="M28" i="341" s="1"/>
  <c r="B1" i="341"/>
  <c r="I26" i="340"/>
  <c r="K26" i="340" s="1"/>
  <c r="M26" i="340" s="1"/>
  <c r="I27" i="340"/>
  <c r="K27" i="340" s="1"/>
  <c r="M27" i="340" s="1"/>
  <c r="I28" i="340"/>
  <c r="K28" i="340" s="1"/>
  <c r="M28" i="340" s="1"/>
  <c r="I29" i="340"/>
  <c r="K29" i="340" s="1"/>
  <c r="M29" i="340" s="1"/>
  <c r="I30" i="340"/>
  <c r="K30" i="340" s="1"/>
  <c r="M30" i="340" s="1"/>
  <c r="I31" i="340"/>
  <c r="K31" i="340" s="1"/>
  <c r="M31" i="340" s="1"/>
  <c r="I32" i="340"/>
  <c r="K32" i="340" s="1"/>
  <c r="M32" i="340" s="1"/>
  <c r="I14" i="340"/>
  <c r="K14" i="340" s="1"/>
  <c r="M14" i="340" s="1"/>
  <c r="I18" i="340"/>
  <c r="I20" i="340"/>
  <c r="K20" i="340" s="1"/>
  <c r="M20" i="340" s="1"/>
  <c r="I21" i="340"/>
  <c r="K21" i="340" s="1"/>
  <c r="M21" i="340" s="1"/>
  <c r="I22" i="340"/>
  <c r="K22" i="340" s="1"/>
  <c r="M22" i="340" s="1"/>
  <c r="I23" i="340"/>
  <c r="I48" i="340"/>
  <c r="K48" i="340" s="1"/>
  <c r="M48" i="340" s="1"/>
  <c r="I5" i="340"/>
  <c r="K5" i="340" s="1"/>
  <c r="M5" i="340" s="1"/>
  <c r="I35" i="340"/>
  <c r="K35" i="340" s="1"/>
  <c r="M35" i="340" s="1"/>
  <c r="I6" i="340"/>
  <c r="K6" i="340" s="1"/>
  <c r="M6" i="340" s="1"/>
  <c r="I7" i="340"/>
  <c r="K7" i="340" s="1"/>
  <c r="M7" i="340" s="1"/>
  <c r="I8" i="340"/>
  <c r="K8" i="340" s="1"/>
  <c r="M8" i="340" s="1"/>
  <c r="I9" i="340"/>
  <c r="K9" i="340" s="1"/>
  <c r="M9" i="340" s="1"/>
  <c r="I10" i="340"/>
  <c r="K10" i="340" s="1"/>
  <c r="M10" i="340" s="1"/>
  <c r="I11" i="340"/>
  <c r="K11" i="340" s="1"/>
  <c r="M11" i="340" s="1"/>
  <c r="I12" i="340"/>
  <c r="K12" i="340" s="1"/>
  <c r="M12" i="340" s="1"/>
  <c r="I13" i="340"/>
  <c r="K13" i="340" s="1"/>
  <c r="M13" i="340" s="1"/>
  <c r="I15" i="340"/>
  <c r="K15" i="340" s="1"/>
  <c r="M15" i="340" s="1"/>
  <c r="I16" i="340"/>
  <c r="K16" i="340" s="1"/>
  <c r="M16" i="340" s="1"/>
  <c r="I17" i="340"/>
  <c r="K17" i="340" s="1"/>
  <c r="M17" i="340" s="1"/>
  <c r="I19" i="340"/>
  <c r="K19" i="340" s="1"/>
  <c r="M19" i="340" s="1"/>
  <c r="O19" i="340" s="1"/>
  <c r="I41" i="340"/>
  <c r="K41" i="340" s="1"/>
  <c r="M41" i="340" s="1"/>
  <c r="I42" i="340"/>
  <c r="K42" i="340" s="1"/>
  <c r="M42" i="340" s="1"/>
  <c r="I24" i="340"/>
  <c r="K24" i="340" s="1"/>
  <c r="M24" i="340" s="1"/>
  <c r="I25" i="340"/>
  <c r="I34" i="340"/>
  <c r="K34" i="340" s="1"/>
  <c r="M34" i="340" s="1"/>
  <c r="I33" i="340"/>
  <c r="K33" i="340" s="1"/>
  <c r="M33" i="340" s="1"/>
  <c r="I36" i="340"/>
  <c r="K36" i="340" s="1"/>
  <c r="M36" i="340" s="1"/>
  <c r="I44" i="340"/>
  <c r="K44" i="340" s="1"/>
  <c r="M44" i="340" s="1"/>
  <c r="I45" i="340"/>
  <c r="K45" i="340" s="1"/>
  <c r="M45" i="340" s="1"/>
  <c r="I46" i="340"/>
  <c r="K46" i="340" s="1"/>
  <c r="M46" i="340" s="1"/>
  <c r="I37" i="340"/>
  <c r="K37" i="340" s="1"/>
  <c r="M37" i="340" s="1"/>
  <c r="I38" i="340"/>
  <c r="K38" i="340" s="1"/>
  <c r="M38" i="340" s="1"/>
  <c r="I39" i="340"/>
  <c r="K39" i="340" s="1"/>
  <c r="M39" i="340" s="1"/>
  <c r="O39" i="340" s="1"/>
  <c r="I40" i="340"/>
  <c r="K40" i="340" s="1"/>
  <c r="M40" i="340" s="1"/>
  <c r="I55" i="340"/>
  <c r="K55" i="340" s="1"/>
  <c r="M55" i="340" s="1"/>
  <c r="I43" i="340"/>
  <c r="K43" i="340" s="1"/>
  <c r="M43" i="340" s="1"/>
  <c r="I52" i="340"/>
  <c r="K52" i="340" s="1"/>
  <c r="M52" i="340" s="1"/>
  <c r="I51" i="340"/>
  <c r="K51" i="340" s="1"/>
  <c r="M51" i="340" s="1"/>
  <c r="I47" i="340"/>
  <c r="K47" i="340" s="1"/>
  <c r="M47" i="340" s="1"/>
  <c r="I49" i="340"/>
  <c r="K49" i="340" s="1"/>
  <c r="M49" i="340" s="1"/>
  <c r="I50" i="340"/>
  <c r="K50" i="340" s="1"/>
  <c r="M50" i="340" s="1"/>
  <c r="I56" i="340"/>
  <c r="K56" i="340" s="1"/>
  <c r="M56" i="340" s="1"/>
  <c r="O56" i="340" s="1"/>
  <c r="I54" i="340"/>
  <c r="K54" i="340" s="1"/>
  <c r="M54" i="340" s="1"/>
  <c r="O54" i="340" s="1"/>
  <c r="I57" i="340"/>
  <c r="K57" i="340" s="1"/>
  <c r="M57" i="340" s="1"/>
  <c r="I53" i="340"/>
  <c r="K53" i="340" s="1"/>
  <c r="M53" i="340" s="1"/>
  <c r="I58" i="340"/>
  <c r="K58" i="340" s="1"/>
  <c r="M58" i="340" s="1"/>
  <c r="I64" i="340"/>
  <c r="K64" i="340" s="1"/>
  <c r="M64" i="340" s="1"/>
  <c r="O64" i="340" s="1"/>
  <c r="I60" i="340"/>
  <c r="K60" i="340" s="1"/>
  <c r="M60" i="340" s="1"/>
  <c r="I61" i="340"/>
  <c r="K61" i="340" s="1"/>
  <c r="M61" i="340" s="1"/>
  <c r="I62" i="340"/>
  <c r="I59" i="340"/>
  <c r="I65" i="340"/>
  <c r="K65" i="340" s="1"/>
  <c r="M65" i="340" s="1"/>
  <c r="I63" i="340"/>
  <c r="K63" i="340" s="1"/>
  <c r="M63" i="340" s="1"/>
  <c r="I66" i="340"/>
  <c r="K66" i="340" s="1"/>
  <c r="M66" i="340" s="1"/>
  <c r="I67" i="340"/>
  <c r="K67" i="340" s="1"/>
  <c r="M67" i="340" s="1"/>
  <c r="I68" i="340"/>
  <c r="K68" i="340" s="1"/>
  <c r="M68" i="340" s="1"/>
  <c r="I69" i="340"/>
  <c r="K69" i="340" s="1"/>
  <c r="M69" i="340" s="1"/>
  <c r="K18" i="340"/>
  <c r="M18" i="340" s="1"/>
  <c r="N69" i="340"/>
  <c r="N68" i="340"/>
  <c r="N67" i="340"/>
  <c r="N66" i="340"/>
  <c r="N63" i="340"/>
  <c r="N65" i="340"/>
  <c r="N59" i="340"/>
  <c r="K59" i="340"/>
  <c r="M59" i="340" s="1"/>
  <c r="O59" i="340" s="1"/>
  <c r="N62" i="340"/>
  <c r="K62" i="340"/>
  <c r="M62" i="340" s="1"/>
  <c r="N61" i="340"/>
  <c r="N60" i="340"/>
  <c r="N64" i="340"/>
  <c r="N58" i="340"/>
  <c r="N53" i="340"/>
  <c r="N57" i="340"/>
  <c r="N54" i="340"/>
  <c r="N56" i="340"/>
  <c r="N50" i="340"/>
  <c r="N49" i="340"/>
  <c r="N47" i="340"/>
  <c r="N51" i="340"/>
  <c r="N52" i="340"/>
  <c r="N43" i="340"/>
  <c r="N55" i="340"/>
  <c r="N40" i="340"/>
  <c r="N39" i="340"/>
  <c r="N38" i="340"/>
  <c r="N37" i="340"/>
  <c r="N46" i="340"/>
  <c r="N45" i="340"/>
  <c r="N44" i="340"/>
  <c r="N36" i="340"/>
  <c r="N33" i="340"/>
  <c r="N34" i="340"/>
  <c r="N25" i="340"/>
  <c r="K25" i="340"/>
  <c r="M25" i="340" s="1"/>
  <c r="O25" i="340" s="1"/>
  <c r="N24" i="340"/>
  <c r="N42" i="340"/>
  <c r="N41" i="340"/>
  <c r="N19" i="340"/>
  <c r="N17" i="340"/>
  <c r="N16" i="340"/>
  <c r="N15" i="340"/>
  <c r="N13" i="340"/>
  <c r="N12" i="340"/>
  <c r="N11" i="340"/>
  <c r="N10" i="340"/>
  <c r="N9" i="340"/>
  <c r="N8" i="340"/>
  <c r="N7" i="340"/>
  <c r="N6" i="340"/>
  <c r="N35" i="340"/>
  <c r="N5" i="340"/>
  <c r="N48" i="340"/>
  <c r="N23" i="340"/>
  <c r="K23" i="340"/>
  <c r="M23" i="340" s="1"/>
  <c r="N22" i="340"/>
  <c r="N21" i="340"/>
  <c r="N20" i="340"/>
  <c r="N18" i="340"/>
  <c r="N14" i="340"/>
  <c r="N32" i="340"/>
  <c r="N31" i="340"/>
  <c r="N30" i="340"/>
  <c r="N29" i="340"/>
  <c r="N28" i="340"/>
  <c r="N27" i="340"/>
  <c r="N26" i="340"/>
  <c r="B1" i="340"/>
  <c r="N69" i="339"/>
  <c r="I69" i="339"/>
  <c r="K69" i="339" s="1"/>
  <c r="M69" i="339" s="1"/>
  <c r="N68" i="339"/>
  <c r="I68" i="339"/>
  <c r="K68" i="339" s="1"/>
  <c r="M68" i="339" s="1"/>
  <c r="N67" i="339"/>
  <c r="I67" i="339"/>
  <c r="K67" i="339" s="1"/>
  <c r="M67" i="339" s="1"/>
  <c r="N65" i="339"/>
  <c r="I65" i="339"/>
  <c r="K65" i="339" s="1"/>
  <c r="M65" i="339" s="1"/>
  <c r="N64" i="339"/>
  <c r="I64" i="339"/>
  <c r="K64" i="339" s="1"/>
  <c r="M64" i="339" s="1"/>
  <c r="O64" i="339" s="1"/>
  <c r="N66" i="339"/>
  <c r="I66" i="339"/>
  <c r="K66" i="339" s="1"/>
  <c r="M66" i="339" s="1"/>
  <c r="N61" i="339"/>
  <c r="I61" i="339"/>
  <c r="K61" i="339" s="1"/>
  <c r="M61" i="339" s="1"/>
  <c r="N57" i="339"/>
  <c r="I57" i="339"/>
  <c r="K57" i="339" s="1"/>
  <c r="M57" i="339" s="1"/>
  <c r="O57" i="339" s="1"/>
  <c r="N58" i="339"/>
  <c r="I58" i="339"/>
  <c r="K58" i="339" s="1"/>
  <c r="M58" i="339" s="1"/>
  <c r="O58" i="339" s="1"/>
  <c r="N63" i="339"/>
  <c r="I63" i="339"/>
  <c r="K63" i="339" s="1"/>
  <c r="M63" i="339" s="1"/>
  <c r="O63" i="339" s="1"/>
  <c r="N51" i="339"/>
  <c r="I51" i="339"/>
  <c r="K51" i="339" s="1"/>
  <c r="M51" i="339" s="1"/>
  <c r="N59" i="339"/>
  <c r="I59" i="339"/>
  <c r="K59" i="339" s="1"/>
  <c r="M59" i="339" s="1"/>
  <c r="N62" i="339"/>
  <c r="I62" i="339"/>
  <c r="K62" i="339" s="1"/>
  <c r="M62" i="339" s="1"/>
  <c r="O62" i="339" s="1"/>
  <c r="N53" i="339"/>
  <c r="I53" i="339"/>
  <c r="K53" i="339" s="1"/>
  <c r="M53" i="339" s="1"/>
  <c r="N48" i="339"/>
  <c r="I48" i="339"/>
  <c r="K48" i="339" s="1"/>
  <c r="M48" i="339" s="1"/>
  <c r="N47" i="339"/>
  <c r="I47" i="339"/>
  <c r="K47" i="339" s="1"/>
  <c r="M47" i="339" s="1"/>
  <c r="N60" i="339"/>
  <c r="I60" i="339"/>
  <c r="K60" i="339" s="1"/>
  <c r="M60" i="339" s="1"/>
  <c r="N46" i="339"/>
  <c r="I46" i="339"/>
  <c r="K46" i="339" s="1"/>
  <c r="M46" i="339" s="1"/>
  <c r="N55" i="339"/>
  <c r="I55" i="339"/>
  <c r="K55" i="339" s="1"/>
  <c r="M55" i="339" s="1"/>
  <c r="O55" i="339" s="1"/>
  <c r="N43" i="339"/>
  <c r="I43" i="339"/>
  <c r="K43" i="339" s="1"/>
  <c r="M43" i="339" s="1"/>
  <c r="N42" i="339"/>
  <c r="I42" i="339"/>
  <c r="K42" i="339" s="1"/>
  <c r="M42" i="339" s="1"/>
  <c r="N37" i="339"/>
  <c r="I37" i="339"/>
  <c r="K37" i="339" s="1"/>
  <c r="M37" i="339" s="1"/>
  <c r="O37" i="339" s="1"/>
  <c r="N54" i="339"/>
  <c r="I54" i="339"/>
  <c r="K54" i="339" s="1"/>
  <c r="M54" i="339" s="1"/>
  <c r="N35" i="339"/>
  <c r="I35" i="339"/>
  <c r="K35" i="339" s="1"/>
  <c r="M35" i="339" s="1"/>
  <c r="O35" i="339" s="1"/>
  <c r="N52" i="339"/>
  <c r="I52" i="339"/>
  <c r="K52" i="339" s="1"/>
  <c r="M52" i="339" s="1"/>
  <c r="O52" i="339" s="1"/>
  <c r="N32" i="339"/>
  <c r="I32" i="339"/>
  <c r="K32" i="339" s="1"/>
  <c r="M32" i="339" s="1"/>
  <c r="O32" i="339" s="1"/>
  <c r="N30" i="339"/>
  <c r="I30" i="339"/>
  <c r="K30" i="339" s="1"/>
  <c r="M30" i="339" s="1"/>
  <c r="N44" i="339"/>
  <c r="I44" i="339"/>
  <c r="K44" i="339" s="1"/>
  <c r="M44" i="339" s="1"/>
  <c r="N49" i="339"/>
  <c r="I49" i="339"/>
  <c r="K49" i="339" s="1"/>
  <c r="M49" i="339" s="1"/>
  <c r="N25" i="339"/>
  <c r="I25" i="339"/>
  <c r="K25" i="339" s="1"/>
  <c r="M25" i="339" s="1"/>
  <c r="N41" i="339"/>
  <c r="I41" i="339"/>
  <c r="K41" i="339" s="1"/>
  <c r="M41" i="339" s="1"/>
  <c r="N18" i="339"/>
  <c r="I18" i="339"/>
  <c r="K18" i="339" s="1"/>
  <c r="M18" i="339" s="1"/>
  <c r="N38" i="339"/>
  <c r="I38" i="339"/>
  <c r="K38" i="339" s="1"/>
  <c r="M38" i="339" s="1"/>
  <c r="O38" i="339" s="1"/>
  <c r="N17" i="339"/>
  <c r="I17" i="339"/>
  <c r="K17" i="339" s="1"/>
  <c r="M17" i="339" s="1"/>
  <c r="N21" i="339"/>
  <c r="I21" i="339"/>
  <c r="K21" i="339" s="1"/>
  <c r="M21" i="339" s="1"/>
  <c r="N20" i="339"/>
  <c r="I20" i="339"/>
  <c r="K20" i="339" s="1"/>
  <c r="M20" i="339" s="1"/>
  <c r="N19" i="339"/>
  <c r="I19" i="339"/>
  <c r="K19" i="339" s="1"/>
  <c r="M19" i="339" s="1"/>
  <c r="O19" i="339" s="1"/>
  <c r="N16" i="339"/>
  <c r="I16" i="339"/>
  <c r="K16" i="339" s="1"/>
  <c r="M16" i="339" s="1"/>
  <c r="O16" i="339" s="1"/>
  <c r="N15" i="339"/>
  <c r="I15" i="339"/>
  <c r="K15" i="339" s="1"/>
  <c r="M15" i="339" s="1"/>
  <c r="O15" i="339" s="1"/>
  <c r="N14" i="339"/>
  <c r="I14" i="339"/>
  <c r="K14" i="339" s="1"/>
  <c r="M14" i="339" s="1"/>
  <c r="O14" i="339" s="1"/>
  <c r="N36" i="339"/>
  <c r="I36" i="339"/>
  <c r="K36" i="339" s="1"/>
  <c r="M36" i="339" s="1"/>
  <c r="O36" i="339" s="1"/>
  <c r="N12" i="339"/>
  <c r="I12" i="339"/>
  <c r="K12" i="339" s="1"/>
  <c r="M12" i="339" s="1"/>
  <c r="N10" i="339"/>
  <c r="I10" i="339"/>
  <c r="K10" i="339" s="1"/>
  <c r="M10" i="339" s="1"/>
  <c r="N11" i="339"/>
  <c r="I11" i="339"/>
  <c r="K11" i="339" s="1"/>
  <c r="M11" i="339" s="1"/>
  <c r="N33" i="339"/>
  <c r="I33" i="339"/>
  <c r="K33" i="339" s="1"/>
  <c r="M33" i="339" s="1"/>
  <c r="N34" i="339"/>
  <c r="I34" i="339"/>
  <c r="K34" i="339" s="1"/>
  <c r="M34" i="339" s="1"/>
  <c r="N9" i="339"/>
  <c r="I9" i="339"/>
  <c r="K9" i="339" s="1"/>
  <c r="M9" i="339" s="1"/>
  <c r="N8" i="339"/>
  <c r="I8" i="339"/>
  <c r="K8" i="339" s="1"/>
  <c r="M8" i="339" s="1"/>
  <c r="N7" i="339"/>
  <c r="I7" i="339"/>
  <c r="K7" i="339" s="1"/>
  <c r="M7" i="339" s="1"/>
  <c r="N6" i="339"/>
  <c r="I6" i="339"/>
  <c r="K6" i="339" s="1"/>
  <c r="M6" i="339" s="1"/>
  <c r="N5" i="339"/>
  <c r="I5" i="339"/>
  <c r="K5" i="339" s="1"/>
  <c r="M5" i="339" s="1"/>
  <c r="N56" i="339"/>
  <c r="I56" i="339"/>
  <c r="K56" i="339" s="1"/>
  <c r="M56" i="339" s="1"/>
  <c r="O56" i="339" s="1"/>
  <c r="N23" i="339"/>
  <c r="I23" i="339"/>
  <c r="K23" i="339" s="1"/>
  <c r="M23" i="339" s="1"/>
  <c r="O23" i="339" s="1"/>
  <c r="N24" i="339"/>
  <c r="I24" i="339"/>
  <c r="K24" i="339" s="1"/>
  <c r="M24" i="339" s="1"/>
  <c r="O24" i="339" s="1"/>
  <c r="N39" i="339"/>
  <c r="I39" i="339"/>
  <c r="K39" i="339" s="1"/>
  <c r="M39" i="339" s="1"/>
  <c r="O39" i="339" s="1"/>
  <c r="N22" i="339"/>
  <c r="I22" i="339"/>
  <c r="K22" i="339" s="1"/>
  <c r="M22" i="339" s="1"/>
  <c r="N40" i="339"/>
  <c r="I40" i="339"/>
  <c r="K40" i="339" s="1"/>
  <c r="M40" i="339" s="1"/>
  <c r="N13" i="339"/>
  <c r="I13" i="339"/>
  <c r="K13" i="339" s="1"/>
  <c r="M13" i="339" s="1"/>
  <c r="N31" i="339"/>
  <c r="I31" i="339"/>
  <c r="K31" i="339" s="1"/>
  <c r="M31" i="339" s="1"/>
  <c r="O31" i="339" s="1"/>
  <c r="N29" i="339"/>
  <c r="I29" i="339"/>
  <c r="K29" i="339" s="1"/>
  <c r="M29" i="339" s="1"/>
  <c r="N45" i="339"/>
  <c r="I45" i="339"/>
  <c r="K45" i="339" s="1"/>
  <c r="M45" i="339" s="1"/>
  <c r="N27" i="339"/>
  <c r="I27" i="339"/>
  <c r="K27" i="339" s="1"/>
  <c r="M27" i="339" s="1"/>
  <c r="N50" i="339"/>
  <c r="I50" i="339"/>
  <c r="K50" i="339" s="1"/>
  <c r="M50" i="339" s="1"/>
  <c r="N28" i="339"/>
  <c r="I28" i="339"/>
  <c r="K28" i="339" s="1"/>
  <c r="M28" i="339" s="1"/>
  <c r="O28" i="339" s="1"/>
  <c r="N26" i="339"/>
  <c r="I26" i="339"/>
  <c r="K26" i="339" s="1"/>
  <c r="B1" i="339"/>
  <c r="N66" i="338"/>
  <c r="I66" i="338"/>
  <c r="K66" i="338" s="1"/>
  <c r="M66" i="338" s="1"/>
  <c r="N69" i="338"/>
  <c r="I69" i="338"/>
  <c r="K69" i="338" s="1"/>
  <c r="M69" i="338" s="1"/>
  <c r="N68" i="338"/>
  <c r="I68" i="338"/>
  <c r="K68" i="338" s="1"/>
  <c r="M68" i="338" s="1"/>
  <c r="O68" i="338" s="1"/>
  <c r="N67" i="338"/>
  <c r="I67" i="338"/>
  <c r="K67" i="338" s="1"/>
  <c r="M67" i="338" s="1"/>
  <c r="O67" i="338" s="1"/>
  <c r="N54" i="338"/>
  <c r="I54" i="338"/>
  <c r="K54" i="338" s="1"/>
  <c r="M54" i="338" s="1"/>
  <c r="O54" i="338" s="1"/>
  <c r="N61" i="338"/>
  <c r="I61" i="338"/>
  <c r="K61" i="338" s="1"/>
  <c r="M61" i="338" s="1"/>
  <c r="N63" i="338"/>
  <c r="I63" i="338"/>
  <c r="K63" i="338" s="1"/>
  <c r="M63" i="338" s="1"/>
  <c r="O63" i="338" s="1"/>
  <c r="N65" i="338"/>
  <c r="I65" i="338"/>
  <c r="K65" i="338" s="1"/>
  <c r="M65" i="338" s="1"/>
  <c r="O65" i="338" s="1"/>
  <c r="N55" i="338"/>
  <c r="I55" i="338"/>
  <c r="K55" i="338" s="1"/>
  <c r="M55" i="338" s="1"/>
  <c r="N64" i="338"/>
  <c r="I64" i="338"/>
  <c r="K64" i="338" s="1"/>
  <c r="M64" i="338" s="1"/>
  <c r="O64" i="338" s="1"/>
  <c r="N51" i="338"/>
  <c r="I51" i="338"/>
  <c r="K51" i="338" s="1"/>
  <c r="M51" i="338" s="1"/>
  <c r="N58" i="338"/>
  <c r="I58" i="338"/>
  <c r="K58" i="338" s="1"/>
  <c r="M58" i="338" s="1"/>
  <c r="O58" i="338" s="1"/>
  <c r="N59" i="338"/>
  <c r="I59" i="338"/>
  <c r="K59" i="338" s="1"/>
  <c r="M59" i="338" s="1"/>
  <c r="O59" i="338" s="1"/>
  <c r="N48" i="338"/>
  <c r="I48" i="338"/>
  <c r="K48" i="338" s="1"/>
  <c r="M48" i="338" s="1"/>
  <c r="O48" i="338" s="1"/>
  <c r="N47" i="338"/>
  <c r="I47" i="338"/>
  <c r="K47" i="338" s="1"/>
  <c r="M47" i="338" s="1"/>
  <c r="N46" i="338"/>
  <c r="I46" i="338"/>
  <c r="K46" i="338" s="1"/>
  <c r="M46" i="338" s="1"/>
  <c r="N45" i="338"/>
  <c r="I45" i="338"/>
  <c r="K45" i="338" s="1"/>
  <c r="M45" i="338" s="1"/>
  <c r="O45" i="338" s="1"/>
  <c r="N62" i="338"/>
  <c r="I62" i="338"/>
  <c r="K62" i="338" s="1"/>
  <c r="M62" i="338" s="1"/>
  <c r="O62" i="338" s="1"/>
  <c r="N41" i="338"/>
  <c r="I41" i="338"/>
  <c r="K41" i="338" s="1"/>
  <c r="M41" i="338" s="1"/>
  <c r="O41" i="338" s="1"/>
  <c r="N40" i="338"/>
  <c r="I40" i="338"/>
  <c r="K40" i="338" s="1"/>
  <c r="M40" i="338" s="1"/>
  <c r="O40" i="338" s="1"/>
  <c r="N49" i="338"/>
  <c r="I49" i="338"/>
  <c r="K49" i="338" s="1"/>
  <c r="M49" i="338" s="1"/>
  <c r="O49" i="338" s="1"/>
  <c r="N39" i="338"/>
  <c r="I39" i="338"/>
  <c r="K39" i="338" s="1"/>
  <c r="M39" i="338" s="1"/>
  <c r="O39" i="338" s="1"/>
  <c r="N36" i="338"/>
  <c r="I36" i="338"/>
  <c r="K36" i="338" s="1"/>
  <c r="M36" i="338" s="1"/>
  <c r="N53" i="338"/>
  <c r="I53" i="338"/>
  <c r="K53" i="338" s="1"/>
  <c r="M53" i="338" s="1"/>
  <c r="O53" i="338" s="1"/>
  <c r="N30" i="338"/>
  <c r="I30" i="338"/>
  <c r="K30" i="338" s="1"/>
  <c r="M30" i="338" s="1"/>
  <c r="O30" i="338" s="1"/>
  <c r="N31" i="338"/>
  <c r="I31" i="338"/>
  <c r="K31" i="338" s="1"/>
  <c r="M31" i="338" s="1"/>
  <c r="N29" i="338"/>
  <c r="I29" i="338"/>
  <c r="K29" i="338" s="1"/>
  <c r="M29" i="338" s="1"/>
  <c r="O29" i="338" s="1"/>
  <c r="N28" i="338"/>
  <c r="I28" i="338"/>
  <c r="K28" i="338" s="1"/>
  <c r="M28" i="338" s="1"/>
  <c r="N19" i="338"/>
  <c r="I19" i="338"/>
  <c r="K19" i="338" s="1"/>
  <c r="M19" i="338" s="1"/>
  <c r="N20" i="338"/>
  <c r="I20" i="338"/>
  <c r="K20" i="338" s="1"/>
  <c r="M20" i="338" s="1"/>
  <c r="N44" i="338"/>
  <c r="I44" i="338"/>
  <c r="K44" i="338" s="1"/>
  <c r="M44" i="338" s="1"/>
  <c r="O44" i="338" s="1"/>
  <c r="N18" i="338"/>
  <c r="I18" i="338"/>
  <c r="K18" i="338" s="1"/>
  <c r="M18" i="338" s="1"/>
  <c r="O18" i="338" s="1"/>
  <c r="N17" i="338"/>
  <c r="I17" i="338"/>
  <c r="K17" i="338" s="1"/>
  <c r="M17" i="338" s="1"/>
  <c r="O17" i="338" s="1"/>
  <c r="N15" i="338"/>
  <c r="I15" i="338"/>
  <c r="K15" i="338" s="1"/>
  <c r="M15" i="338" s="1"/>
  <c r="O15" i="338" s="1"/>
  <c r="N52" i="338"/>
  <c r="I52" i="338"/>
  <c r="K52" i="338" s="1"/>
  <c r="M52" i="338" s="1"/>
  <c r="N14" i="338"/>
  <c r="I14" i="338"/>
  <c r="K14" i="338" s="1"/>
  <c r="M14" i="338" s="1"/>
  <c r="N60" i="338"/>
  <c r="I60" i="338"/>
  <c r="K60" i="338" s="1"/>
  <c r="M60" i="338" s="1"/>
  <c r="N13" i="338"/>
  <c r="I13" i="338"/>
  <c r="K13" i="338" s="1"/>
  <c r="M13" i="338" s="1"/>
  <c r="N16" i="338"/>
  <c r="I16" i="338"/>
  <c r="K16" i="338" s="1"/>
  <c r="M16" i="338" s="1"/>
  <c r="O16" i="338" s="1"/>
  <c r="N50" i="338"/>
  <c r="I50" i="338"/>
  <c r="K50" i="338" s="1"/>
  <c r="M50" i="338" s="1"/>
  <c r="N12" i="338"/>
  <c r="I12" i="338"/>
  <c r="K12" i="338" s="1"/>
  <c r="M12" i="338" s="1"/>
  <c r="O12" i="338" s="1"/>
  <c r="N10" i="338"/>
  <c r="I10" i="338"/>
  <c r="K10" i="338" s="1"/>
  <c r="M10" i="338" s="1"/>
  <c r="O10" i="338" s="1"/>
  <c r="N38" i="338"/>
  <c r="I38" i="338"/>
  <c r="K38" i="338" s="1"/>
  <c r="M38" i="338" s="1"/>
  <c r="N37" i="338"/>
  <c r="I37" i="338"/>
  <c r="K37" i="338" s="1"/>
  <c r="M37" i="338" s="1"/>
  <c r="N9" i="338"/>
  <c r="I9" i="338"/>
  <c r="K9" i="338" s="1"/>
  <c r="M9" i="338" s="1"/>
  <c r="N11" i="338"/>
  <c r="I11" i="338"/>
  <c r="K11" i="338" s="1"/>
  <c r="M11" i="338" s="1"/>
  <c r="O11" i="338" s="1"/>
  <c r="N8" i="338"/>
  <c r="I8" i="338"/>
  <c r="K8" i="338" s="1"/>
  <c r="M8" i="338" s="1"/>
  <c r="O8" i="338" s="1"/>
  <c r="N6" i="338"/>
  <c r="I6" i="338"/>
  <c r="K6" i="338" s="1"/>
  <c r="M6" i="338" s="1"/>
  <c r="O6" i="338" s="1"/>
  <c r="N32" i="338"/>
  <c r="I32" i="338"/>
  <c r="K32" i="338" s="1"/>
  <c r="M32" i="338" s="1"/>
  <c r="O32" i="338" s="1"/>
  <c r="N5" i="338"/>
  <c r="I5" i="338"/>
  <c r="K5" i="338" s="1"/>
  <c r="M5" i="338" s="1"/>
  <c r="O5" i="338" s="1"/>
  <c r="N7" i="338"/>
  <c r="I7" i="338"/>
  <c r="K7" i="338" s="1"/>
  <c r="M7" i="338" s="1"/>
  <c r="N25" i="338"/>
  <c r="I25" i="338"/>
  <c r="K25" i="338" s="1"/>
  <c r="M25" i="338" s="1"/>
  <c r="O25" i="338" s="1"/>
  <c r="N27" i="338"/>
  <c r="I27" i="338"/>
  <c r="K27" i="338" s="1"/>
  <c r="M27" i="338" s="1"/>
  <c r="O27" i="338" s="1"/>
  <c r="N26" i="338"/>
  <c r="I26" i="338"/>
  <c r="K26" i="338" s="1"/>
  <c r="M26" i="338" s="1"/>
  <c r="N22" i="338"/>
  <c r="I22" i="338"/>
  <c r="K22" i="338" s="1"/>
  <c r="M22" i="338" s="1"/>
  <c r="N21" i="338"/>
  <c r="I21" i="338"/>
  <c r="K21" i="338" s="1"/>
  <c r="M21" i="338" s="1"/>
  <c r="N24" i="338"/>
  <c r="I24" i="338"/>
  <c r="K24" i="338" s="1"/>
  <c r="M24" i="338" s="1"/>
  <c r="N23" i="338"/>
  <c r="I23" i="338"/>
  <c r="K23" i="338" s="1"/>
  <c r="M23" i="338" s="1"/>
  <c r="N43" i="338"/>
  <c r="I43" i="338"/>
  <c r="K43" i="338" s="1"/>
  <c r="M43" i="338" s="1"/>
  <c r="O43" i="338" s="1"/>
  <c r="N42" i="338"/>
  <c r="I42" i="338"/>
  <c r="K42" i="338" s="1"/>
  <c r="M42" i="338" s="1"/>
  <c r="O42" i="338" s="1"/>
  <c r="N56" i="338"/>
  <c r="I56" i="338"/>
  <c r="K56" i="338" s="1"/>
  <c r="M56" i="338" s="1"/>
  <c r="O56" i="338" s="1"/>
  <c r="N33" i="338"/>
  <c r="I33" i="338"/>
  <c r="K33" i="338" s="1"/>
  <c r="M33" i="338" s="1"/>
  <c r="O33" i="338" s="1"/>
  <c r="N57" i="338"/>
  <c r="I57" i="338"/>
  <c r="K57" i="338" s="1"/>
  <c r="M57" i="338" s="1"/>
  <c r="N35" i="338"/>
  <c r="I35" i="338"/>
  <c r="K35" i="338" s="1"/>
  <c r="M35" i="338" s="1"/>
  <c r="O35" i="338" s="1"/>
  <c r="N34" i="338"/>
  <c r="I34" i="338"/>
  <c r="K34" i="338" s="1"/>
  <c r="B1" i="338"/>
  <c r="I60" i="337"/>
  <c r="K60" i="337"/>
  <c r="M60" i="337" s="1"/>
  <c r="N60" i="337"/>
  <c r="N68" i="337"/>
  <c r="I68" i="337"/>
  <c r="K68" i="337" s="1"/>
  <c r="M68" i="337" s="1"/>
  <c r="N67" i="337"/>
  <c r="I67" i="337"/>
  <c r="K67" i="337" s="1"/>
  <c r="M67" i="337" s="1"/>
  <c r="N66" i="337"/>
  <c r="I66" i="337"/>
  <c r="K66" i="337" s="1"/>
  <c r="M66" i="337" s="1"/>
  <c r="O66" i="337" s="1"/>
  <c r="N69" i="337"/>
  <c r="I69" i="337"/>
  <c r="K69" i="337" s="1"/>
  <c r="M69" i="337" s="1"/>
  <c r="O69" i="337" s="1"/>
  <c r="N64" i="337"/>
  <c r="I64" i="337"/>
  <c r="K64" i="337" s="1"/>
  <c r="M64" i="337" s="1"/>
  <c r="N65" i="337"/>
  <c r="I65" i="337"/>
  <c r="K65" i="337" s="1"/>
  <c r="M65" i="337" s="1"/>
  <c r="O65" i="337" s="1"/>
  <c r="N63" i="337"/>
  <c r="I63" i="337"/>
  <c r="K63" i="337" s="1"/>
  <c r="M63" i="337" s="1"/>
  <c r="O63" i="337" s="1"/>
  <c r="N59" i="337"/>
  <c r="I59" i="337"/>
  <c r="K59" i="337" s="1"/>
  <c r="M59" i="337" s="1"/>
  <c r="N57" i="337"/>
  <c r="I57" i="337"/>
  <c r="K57" i="337" s="1"/>
  <c r="M57" i="337" s="1"/>
  <c r="N62" i="337"/>
  <c r="I62" i="337"/>
  <c r="K62" i="337" s="1"/>
  <c r="M62" i="337" s="1"/>
  <c r="O62" i="337" s="1"/>
  <c r="N53" i="337"/>
  <c r="I53" i="337"/>
  <c r="K53" i="337" s="1"/>
  <c r="M53" i="337" s="1"/>
  <c r="O53" i="337" s="1"/>
  <c r="N58" i="337"/>
  <c r="I58" i="337"/>
  <c r="K58" i="337" s="1"/>
  <c r="M58" i="337" s="1"/>
  <c r="N52" i="337"/>
  <c r="I52" i="337"/>
  <c r="K52" i="337" s="1"/>
  <c r="M52" i="337" s="1"/>
  <c r="N50" i="337"/>
  <c r="I50" i="337"/>
  <c r="K50" i="337" s="1"/>
  <c r="M50" i="337" s="1"/>
  <c r="O50" i="337" s="1"/>
  <c r="N61" i="337"/>
  <c r="I61" i="337"/>
  <c r="K61" i="337" s="1"/>
  <c r="M61" i="337" s="1"/>
  <c r="N48" i="337"/>
  <c r="I48" i="337"/>
  <c r="K48" i="337" s="1"/>
  <c r="M48" i="337" s="1"/>
  <c r="N47" i="337"/>
  <c r="I47" i="337"/>
  <c r="K47" i="337" s="1"/>
  <c r="M47" i="337" s="1"/>
  <c r="O47" i="337" s="1"/>
  <c r="N45" i="337"/>
  <c r="I45" i="337"/>
  <c r="K45" i="337" s="1"/>
  <c r="M45" i="337" s="1"/>
  <c r="O45" i="337" s="1"/>
  <c r="N44" i="337"/>
  <c r="I44" i="337"/>
  <c r="K44" i="337" s="1"/>
  <c r="M44" i="337" s="1"/>
  <c r="N42" i="337"/>
  <c r="I42" i="337"/>
  <c r="K42" i="337" s="1"/>
  <c r="M42" i="337" s="1"/>
  <c r="O42" i="337" s="1"/>
  <c r="N38" i="337"/>
  <c r="I38" i="337"/>
  <c r="K38" i="337" s="1"/>
  <c r="M38" i="337" s="1"/>
  <c r="N32" i="337"/>
  <c r="I32" i="337"/>
  <c r="K32" i="337" s="1"/>
  <c r="M32" i="337" s="1"/>
  <c r="O32" i="337" s="1"/>
  <c r="N37" i="337"/>
  <c r="I37" i="337"/>
  <c r="K37" i="337" s="1"/>
  <c r="M37" i="337" s="1"/>
  <c r="O37" i="337" s="1"/>
  <c r="N39" i="337"/>
  <c r="I39" i="337"/>
  <c r="K39" i="337" s="1"/>
  <c r="M39" i="337" s="1"/>
  <c r="N49" i="337"/>
  <c r="I49" i="337"/>
  <c r="K49" i="337" s="1"/>
  <c r="M49" i="337" s="1"/>
  <c r="N30" i="337"/>
  <c r="I30" i="337"/>
  <c r="K30" i="337" s="1"/>
  <c r="M30" i="337" s="1"/>
  <c r="O30" i="337" s="1"/>
  <c r="N29" i="337"/>
  <c r="I29" i="337"/>
  <c r="K29" i="337" s="1"/>
  <c r="M29" i="337" s="1"/>
  <c r="N27" i="337"/>
  <c r="I27" i="337"/>
  <c r="K27" i="337" s="1"/>
  <c r="M27" i="337" s="1"/>
  <c r="O27" i="337" s="1"/>
  <c r="N28" i="337"/>
  <c r="I28" i="337"/>
  <c r="K28" i="337" s="1"/>
  <c r="M28" i="337" s="1"/>
  <c r="N25" i="337"/>
  <c r="I25" i="337"/>
  <c r="K25" i="337" s="1"/>
  <c r="M25" i="337" s="1"/>
  <c r="N56" i="337"/>
  <c r="I56" i="337"/>
  <c r="K56" i="337" s="1"/>
  <c r="M56" i="337" s="1"/>
  <c r="O56" i="337" s="1"/>
  <c r="N24" i="337"/>
  <c r="I24" i="337"/>
  <c r="K24" i="337" s="1"/>
  <c r="M24" i="337" s="1"/>
  <c r="N26" i="337"/>
  <c r="I26" i="337"/>
  <c r="K26" i="337" s="1"/>
  <c r="M26" i="337" s="1"/>
  <c r="N55" i="337"/>
  <c r="I55" i="337"/>
  <c r="K55" i="337" s="1"/>
  <c r="M55" i="337" s="1"/>
  <c r="O55" i="337" s="1"/>
  <c r="N15" i="337"/>
  <c r="I15" i="337"/>
  <c r="K15" i="337" s="1"/>
  <c r="M15" i="337" s="1"/>
  <c r="O15" i="337" s="1"/>
  <c r="N13" i="337"/>
  <c r="I13" i="337"/>
  <c r="K13" i="337" s="1"/>
  <c r="M13" i="337" s="1"/>
  <c r="O13" i="337" s="1"/>
  <c r="N11" i="337"/>
  <c r="I11" i="337"/>
  <c r="K11" i="337" s="1"/>
  <c r="M11" i="337" s="1"/>
  <c r="N12" i="337"/>
  <c r="I12" i="337"/>
  <c r="K12" i="337" s="1"/>
  <c r="M12" i="337" s="1"/>
  <c r="O12" i="337" s="1"/>
  <c r="N14" i="337"/>
  <c r="I14" i="337"/>
  <c r="K14" i="337" s="1"/>
  <c r="M14" i="337" s="1"/>
  <c r="N33" i="337"/>
  <c r="I33" i="337"/>
  <c r="K33" i="337" s="1"/>
  <c r="M33" i="337" s="1"/>
  <c r="O33" i="337" s="1"/>
  <c r="N35" i="337"/>
  <c r="I35" i="337"/>
  <c r="K35" i="337" s="1"/>
  <c r="M35" i="337" s="1"/>
  <c r="N7" i="337"/>
  <c r="I7" i="337"/>
  <c r="K7" i="337" s="1"/>
  <c r="M7" i="337" s="1"/>
  <c r="O7" i="337" s="1"/>
  <c r="N31" i="337"/>
  <c r="I31" i="337"/>
  <c r="K31" i="337" s="1"/>
  <c r="M31" i="337" s="1"/>
  <c r="N36" i="337"/>
  <c r="I36" i="337"/>
  <c r="K36" i="337" s="1"/>
  <c r="M36" i="337" s="1"/>
  <c r="N5" i="337"/>
  <c r="I5" i="337"/>
  <c r="K5" i="337" s="1"/>
  <c r="M5" i="337" s="1"/>
  <c r="O5" i="337" s="1"/>
  <c r="N6" i="337"/>
  <c r="I6" i="337"/>
  <c r="K6" i="337" s="1"/>
  <c r="M6" i="337" s="1"/>
  <c r="O6" i="337" s="1"/>
  <c r="N8" i="337"/>
  <c r="I8" i="337"/>
  <c r="K8" i="337" s="1"/>
  <c r="M8" i="337" s="1"/>
  <c r="N34" i="337"/>
  <c r="I34" i="337"/>
  <c r="K34" i="337" s="1"/>
  <c r="M34" i="337" s="1"/>
  <c r="O34" i="337" s="1"/>
  <c r="N9" i="337"/>
  <c r="I9" i="337"/>
  <c r="K9" i="337" s="1"/>
  <c r="M9" i="337" s="1"/>
  <c r="N51" i="337"/>
  <c r="I51" i="337"/>
  <c r="K51" i="337" s="1"/>
  <c r="M51" i="337" s="1"/>
  <c r="N16" i="337"/>
  <c r="I16" i="337"/>
  <c r="K16" i="337" s="1"/>
  <c r="M16" i="337" s="1"/>
  <c r="O16" i="337" s="1"/>
  <c r="N18" i="337"/>
  <c r="I18" i="337"/>
  <c r="K18" i="337" s="1"/>
  <c r="M18" i="337" s="1"/>
  <c r="N23" i="337"/>
  <c r="I23" i="337"/>
  <c r="K23" i="337" s="1"/>
  <c r="M23" i="337" s="1"/>
  <c r="N20" i="337"/>
  <c r="I20" i="337"/>
  <c r="K20" i="337" s="1"/>
  <c r="M20" i="337" s="1"/>
  <c r="O20" i="337" s="1"/>
  <c r="N43" i="337"/>
  <c r="I43" i="337"/>
  <c r="K43" i="337" s="1"/>
  <c r="M43" i="337" s="1"/>
  <c r="N10" i="337"/>
  <c r="I10" i="337"/>
  <c r="K10" i="337" s="1"/>
  <c r="M10" i="337" s="1"/>
  <c r="O10" i="337" s="1"/>
  <c r="N54" i="337"/>
  <c r="I54" i="337"/>
  <c r="K54" i="337" s="1"/>
  <c r="M54" i="337" s="1"/>
  <c r="N40" i="337"/>
  <c r="I40" i="337"/>
  <c r="K40" i="337" s="1"/>
  <c r="M40" i="337" s="1"/>
  <c r="N41" i="337"/>
  <c r="I41" i="337"/>
  <c r="K41" i="337" s="1"/>
  <c r="M41" i="337" s="1"/>
  <c r="O41" i="337" s="1"/>
  <c r="N19" i="337"/>
  <c r="I19" i="337"/>
  <c r="K19" i="337" s="1"/>
  <c r="M19" i="337" s="1"/>
  <c r="O19" i="337" s="1"/>
  <c r="N22" i="337"/>
  <c r="I22" i="337"/>
  <c r="K22" i="337" s="1"/>
  <c r="M22" i="337" s="1"/>
  <c r="N21" i="337"/>
  <c r="I21" i="337"/>
  <c r="K21" i="337" s="1"/>
  <c r="M21" i="337" s="1"/>
  <c r="O21" i="337" s="1"/>
  <c r="N17" i="337"/>
  <c r="I17" i="337"/>
  <c r="K17" i="337" s="1"/>
  <c r="M17" i="337" s="1"/>
  <c r="O17" i="337" s="1"/>
  <c r="N46" i="337"/>
  <c r="I46" i="337"/>
  <c r="K46" i="337" s="1"/>
  <c r="B1" i="337"/>
  <c r="N52" i="336"/>
  <c r="I52" i="336"/>
  <c r="K52" i="336" s="1"/>
  <c r="M52" i="336" s="1"/>
  <c r="N23" i="336"/>
  <c r="I23" i="336"/>
  <c r="K23" i="336" s="1"/>
  <c r="M23" i="336" s="1"/>
  <c r="O23" i="336" s="1"/>
  <c r="N55" i="336"/>
  <c r="I55" i="336"/>
  <c r="K55" i="336" s="1"/>
  <c r="M55" i="336" s="1"/>
  <c r="N12" i="336"/>
  <c r="I12" i="336"/>
  <c r="K12" i="336" s="1"/>
  <c r="M12" i="336" s="1"/>
  <c r="O12" i="336" s="1"/>
  <c r="N64" i="336"/>
  <c r="I64" i="336"/>
  <c r="K64" i="336" s="1"/>
  <c r="M64" i="336" s="1"/>
  <c r="O64" i="336" s="1"/>
  <c r="N36" i="336"/>
  <c r="I36" i="336"/>
  <c r="K36" i="336" s="1"/>
  <c r="M36" i="336" s="1"/>
  <c r="O36" i="336" s="1"/>
  <c r="N29" i="336"/>
  <c r="I29" i="336"/>
  <c r="K29" i="336" s="1"/>
  <c r="M29" i="336" s="1"/>
  <c r="N63" i="336"/>
  <c r="I63" i="336"/>
  <c r="K63" i="336" s="1"/>
  <c r="M63" i="336" s="1"/>
  <c r="N42" i="336"/>
  <c r="I42" i="336"/>
  <c r="K42" i="336" s="1"/>
  <c r="M42" i="336" s="1"/>
  <c r="N19" i="336"/>
  <c r="I19" i="336"/>
  <c r="K19" i="336" s="1"/>
  <c r="M19" i="336" s="1"/>
  <c r="N67" i="336"/>
  <c r="I67" i="336"/>
  <c r="K67" i="336" s="1"/>
  <c r="M67" i="336" s="1"/>
  <c r="N58" i="336"/>
  <c r="I58" i="336"/>
  <c r="K58" i="336" s="1"/>
  <c r="M58" i="336" s="1"/>
  <c r="O58" i="336" s="1"/>
  <c r="N35" i="336"/>
  <c r="I35" i="336"/>
  <c r="K35" i="336" s="1"/>
  <c r="M35" i="336" s="1"/>
  <c r="N60" i="336"/>
  <c r="I60" i="336"/>
  <c r="K60" i="336" s="1"/>
  <c r="M60" i="336" s="1"/>
  <c r="N6" i="336"/>
  <c r="I6" i="336"/>
  <c r="K6" i="336" s="1"/>
  <c r="M6" i="336" s="1"/>
  <c r="N9" i="336"/>
  <c r="I9" i="336"/>
  <c r="K9" i="336" s="1"/>
  <c r="M9" i="336" s="1"/>
  <c r="O9" i="336" s="1"/>
  <c r="N5" i="336"/>
  <c r="I5" i="336"/>
  <c r="K5" i="336" s="1"/>
  <c r="M5" i="336" s="1"/>
  <c r="O5" i="336" s="1"/>
  <c r="N10" i="336"/>
  <c r="I10" i="336"/>
  <c r="K10" i="336" s="1"/>
  <c r="M10" i="336" s="1"/>
  <c r="N7" i="336"/>
  <c r="I7" i="336"/>
  <c r="K7" i="336" s="1"/>
  <c r="M7" i="336" s="1"/>
  <c r="O7" i="336" s="1"/>
  <c r="N15" i="336"/>
  <c r="I15" i="336"/>
  <c r="K15" i="336" s="1"/>
  <c r="M15" i="336" s="1"/>
  <c r="O15" i="336" s="1"/>
  <c r="N14" i="336"/>
  <c r="I14" i="336"/>
  <c r="K14" i="336" s="1"/>
  <c r="M14" i="336" s="1"/>
  <c r="N27" i="336"/>
  <c r="I27" i="336"/>
  <c r="K27" i="336" s="1"/>
  <c r="M27" i="336" s="1"/>
  <c r="N13" i="336"/>
  <c r="I13" i="336"/>
  <c r="K13" i="336" s="1"/>
  <c r="M13" i="336" s="1"/>
  <c r="N39" i="336"/>
  <c r="I39" i="336"/>
  <c r="K39" i="336" s="1"/>
  <c r="M39" i="336" s="1"/>
  <c r="O39" i="336" s="1"/>
  <c r="N68" i="336"/>
  <c r="I68" i="336"/>
  <c r="K68" i="336" s="1"/>
  <c r="M68" i="336" s="1"/>
  <c r="O68" i="336" s="1"/>
  <c r="N54" i="336"/>
  <c r="I54" i="336"/>
  <c r="K54" i="336" s="1"/>
  <c r="M54" i="336" s="1"/>
  <c r="O54" i="336" s="1"/>
  <c r="N57" i="336"/>
  <c r="I57" i="336"/>
  <c r="K57" i="336" s="1"/>
  <c r="M57" i="336" s="1"/>
  <c r="O57" i="336" s="1"/>
  <c r="N61" i="336"/>
  <c r="I61" i="336"/>
  <c r="K61" i="336" s="1"/>
  <c r="M61" i="336" s="1"/>
  <c r="N31" i="336"/>
  <c r="I31" i="336"/>
  <c r="K31" i="336" s="1"/>
  <c r="M31" i="336" s="1"/>
  <c r="N8" i="336"/>
  <c r="I8" i="336"/>
  <c r="K8" i="336" s="1"/>
  <c r="M8" i="336" s="1"/>
  <c r="O8" i="336" s="1"/>
  <c r="N47" i="336"/>
  <c r="I47" i="336"/>
  <c r="K47" i="336" s="1"/>
  <c r="M47" i="336" s="1"/>
  <c r="O47" i="336" s="1"/>
  <c r="N38" i="336"/>
  <c r="I38" i="336"/>
  <c r="K38" i="336" s="1"/>
  <c r="M38" i="336" s="1"/>
  <c r="O38" i="336" s="1"/>
  <c r="N20" i="336"/>
  <c r="I20" i="336"/>
  <c r="K20" i="336" s="1"/>
  <c r="M20" i="336" s="1"/>
  <c r="N18" i="336"/>
  <c r="I18" i="336"/>
  <c r="K18" i="336" s="1"/>
  <c r="M18" i="336" s="1"/>
  <c r="O18" i="336" s="1"/>
  <c r="N17" i="336"/>
  <c r="I17" i="336"/>
  <c r="K17" i="336" s="1"/>
  <c r="M17" i="336" s="1"/>
  <c r="N16" i="336"/>
  <c r="I16" i="336"/>
  <c r="K16" i="336" s="1"/>
  <c r="M16" i="336" s="1"/>
  <c r="N24" i="336"/>
  <c r="I24" i="336"/>
  <c r="K24" i="336" s="1"/>
  <c r="M24" i="336" s="1"/>
  <c r="N26" i="336"/>
  <c r="I26" i="336"/>
  <c r="K26" i="336" s="1"/>
  <c r="M26" i="336" s="1"/>
  <c r="N21" i="336"/>
  <c r="I21" i="336"/>
  <c r="K21" i="336" s="1"/>
  <c r="M21" i="336" s="1"/>
  <c r="O21" i="336" s="1"/>
  <c r="N25" i="336"/>
  <c r="I25" i="336"/>
  <c r="K25" i="336" s="1"/>
  <c r="M25" i="336" s="1"/>
  <c r="O25" i="336" s="1"/>
  <c r="N45" i="336"/>
  <c r="I45" i="336"/>
  <c r="K45" i="336" s="1"/>
  <c r="M45" i="336" s="1"/>
  <c r="O45" i="336" s="1"/>
  <c r="N59" i="336"/>
  <c r="I59" i="336"/>
  <c r="K59" i="336" s="1"/>
  <c r="M59" i="336" s="1"/>
  <c r="N53" i="336"/>
  <c r="I53" i="336"/>
  <c r="K53" i="336" s="1"/>
  <c r="M53" i="336" s="1"/>
  <c r="N28" i="336"/>
  <c r="I28" i="336"/>
  <c r="K28" i="336" s="1"/>
  <c r="M28" i="336" s="1"/>
  <c r="O28" i="336" s="1"/>
  <c r="N65" i="336"/>
  <c r="I65" i="336"/>
  <c r="K65" i="336" s="1"/>
  <c r="M65" i="336" s="1"/>
  <c r="O65" i="336" s="1"/>
  <c r="N11" i="336"/>
  <c r="I11" i="336"/>
  <c r="K11" i="336" s="1"/>
  <c r="M11" i="336" s="1"/>
  <c r="O11" i="336" s="1"/>
  <c r="N37" i="336"/>
  <c r="I37" i="336"/>
  <c r="K37" i="336" s="1"/>
  <c r="M37" i="336" s="1"/>
  <c r="O37" i="336" s="1"/>
  <c r="N32" i="336"/>
  <c r="I32" i="336"/>
  <c r="K32" i="336" s="1"/>
  <c r="M32" i="336" s="1"/>
  <c r="O32" i="336" s="1"/>
  <c r="N66" i="336"/>
  <c r="I66" i="336"/>
  <c r="K66" i="336" s="1"/>
  <c r="M66" i="336" s="1"/>
  <c r="N34" i="336"/>
  <c r="I34" i="336"/>
  <c r="K34" i="336" s="1"/>
  <c r="M34" i="336" s="1"/>
  <c r="N22" i="336"/>
  <c r="I22" i="336"/>
  <c r="K22" i="336" s="1"/>
  <c r="M22" i="336" s="1"/>
  <c r="N62" i="336"/>
  <c r="I62" i="336"/>
  <c r="K62" i="336" s="1"/>
  <c r="M62" i="336" s="1"/>
  <c r="O62" i="336" s="1"/>
  <c r="N44" i="336"/>
  <c r="I44" i="336"/>
  <c r="K44" i="336" s="1"/>
  <c r="M44" i="336" s="1"/>
  <c r="O44" i="336" s="1"/>
  <c r="N50" i="336"/>
  <c r="I50" i="336"/>
  <c r="K50" i="336" s="1"/>
  <c r="M50" i="336" s="1"/>
  <c r="O50" i="336" s="1"/>
  <c r="N51" i="336"/>
  <c r="I51" i="336"/>
  <c r="K51" i="336" s="1"/>
  <c r="M51" i="336" s="1"/>
  <c r="O51" i="336" s="1"/>
  <c r="N33" i="336"/>
  <c r="I33" i="336"/>
  <c r="K33" i="336" s="1"/>
  <c r="M33" i="336" s="1"/>
  <c r="O33" i="336" s="1"/>
  <c r="N40" i="336"/>
  <c r="I40" i="336"/>
  <c r="K40" i="336" s="1"/>
  <c r="M40" i="336" s="1"/>
  <c r="N48" i="336"/>
  <c r="I48" i="336"/>
  <c r="K48" i="336" s="1"/>
  <c r="M48" i="336" s="1"/>
  <c r="O48" i="336" s="1"/>
  <c r="N49" i="336"/>
  <c r="I49" i="336"/>
  <c r="K49" i="336" s="1"/>
  <c r="M49" i="336" s="1"/>
  <c r="O49" i="336" s="1"/>
  <c r="N46" i="336"/>
  <c r="I46" i="336"/>
  <c r="K46" i="336" s="1"/>
  <c r="M46" i="336" s="1"/>
  <c r="O46" i="336" s="1"/>
  <c r="N56" i="336"/>
  <c r="I56" i="336"/>
  <c r="K56" i="336" s="1"/>
  <c r="M56" i="336" s="1"/>
  <c r="O56" i="336" s="1"/>
  <c r="N30" i="336"/>
  <c r="I30" i="336"/>
  <c r="K30" i="336" s="1"/>
  <c r="M30" i="336" s="1"/>
  <c r="O30" i="336" s="1"/>
  <c r="N41" i="336"/>
  <c r="I41" i="336"/>
  <c r="K41" i="336" s="1"/>
  <c r="M41" i="336" s="1"/>
  <c r="N43" i="336"/>
  <c r="I43" i="336"/>
  <c r="K43" i="336" s="1"/>
  <c r="B1" i="336"/>
  <c r="I52" i="335"/>
  <c r="K52" i="335" s="1"/>
  <c r="N66" i="335"/>
  <c r="I66" i="335"/>
  <c r="K66" i="335" s="1"/>
  <c r="M66" i="335" s="1"/>
  <c r="N68" i="335"/>
  <c r="I68" i="335"/>
  <c r="K68" i="335" s="1"/>
  <c r="M68" i="335" s="1"/>
  <c r="O68" i="335" s="1"/>
  <c r="N63" i="335"/>
  <c r="I63" i="335"/>
  <c r="K63" i="335" s="1"/>
  <c r="M63" i="335" s="1"/>
  <c r="N67" i="335"/>
  <c r="I67" i="335"/>
  <c r="K67" i="335" s="1"/>
  <c r="M67" i="335" s="1"/>
  <c r="O67" i="335" s="1"/>
  <c r="N65" i="335"/>
  <c r="I65" i="335"/>
  <c r="K65" i="335" s="1"/>
  <c r="M65" i="335" s="1"/>
  <c r="O65" i="335" s="1"/>
  <c r="N64" i="335"/>
  <c r="I64" i="335"/>
  <c r="K64" i="335" s="1"/>
  <c r="M64" i="335" s="1"/>
  <c r="O64" i="335" s="1"/>
  <c r="N62" i="335"/>
  <c r="I62" i="335"/>
  <c r="K62" i="335" s="1"/>
  <c r="M62" i="335" s="1"/>
  <c r="O62" i="335" s="1"/>
  <c r="N55" i="335"/>
  <c r="I55" i="335"/>
  <c r="K55" i="335" s="1"/>
  <c r="M55" i="335" s="1"/>
  <c r="O55" i="335" s="1"/>
  <c r="N58" i="335"/>
  <c r="I58" i="335"/>
  <c r="K58" i="335" s="1"/>
  <c r="M58" i="335" s="1"/>
  <c r="O58" i="335" s="1"/>
  <c r="N61" i="335"/>
  <c r="I61" i="335"/>
  <c r="K61" i="335" s="1"/>
  <c r="M61" i="335" s="1"/>
  <c r="O61" i="335" s="1"/>
  <c r="N41" i="335"/>
  <c r="I41" i="335"/>
  <c r="K41" i="335" s="1"/>
  <c r="M41" i="335" s="1"/>
  <c r="N43" i="335"/>
  <c r="I43" i="335"/>
  <c r="K43" i="335" s="1"/>
  <c r="M43" i="335" s="1"/>
  <c r="O43" i="335" s="1"/>
  <c r="N38" i="335"/>
  <c r="I38" i="335"/>
  <c r="K38" i="335" s="1"/>
  <c r="M38" i="335" s="1"/>
  <c r="N37" i="335"/>
  <c r="I37" i="335"/>
  <c r="K37" i="335" s="1"/>
  <c r="M37" i="335" s="1"/>
  <c r="N56" i="335"/>
  <c r="I56" i="335"/>
  <c r="K56" i="335" s="1"/>
  <c r="M56" i="335" s="1"/>
  <c r="N40" i="335"/>
  <c r="I40" i="335"/>
  <c r="K40" i="335" s="1"/>
  <c r="M40" i="335" s="1"/>
  <c r="O40" i="335" s="1"/>
  <c r="N36" i="335"/>
  <c r="I36" i="335"/>
  <c r="K36" i="335" s="1"/>
  <c r="M36" i="335" s="1"/>
  <c r="O36" i="335" s="1"/>
  <c r="N59" i="335"/>
  <c r="I59" i="335"/>
  <c r="K59" i="335" s="1"/>
  <c r="M59" i="335" s="1"/>
  <c r="O59" i="335" s="1"/>
  <c r="N39" i="335"/>
  <c r="I39" i="335"/>
  <c r="K39" i="335" s="1"/>
  <c r="M39" i="335" s="1"/>
  <c r="O39" i="335" s="1"/>
  <c r="N57" i="335"/>
  <c r="I57" i="335"/>
  <c r="K57" i="335" s="1"/>
  <c r="M57" i="335" s="1"/>
  <c r="O57" i="335" s="1"/>
  <c r="N44" i="335"/>
  <c r="I44" i="335"/>
  <c r="K44" i="335" s="1"/>
  <c r="M44" i="335" s="1"/>
  <c r="N20" i="335"/>
  <c r="I20" i="335"/>
  <c r="K20" i="335" s="1"/>
  <c r="M20" i="335" s="1"/>
  <c r="N24" i="335"/>
  <c r="I24" i="335"/>
  <c r="K24" i="335" s="1"/>
  <c r="M24" i="335" s="1"/>
  <c r="O24" i="335" s="1"/>
  <c r="N17" i="335"/>
  <c r="I17" i="335"/>
  <c r="K17" i="335" s="1"/>
  <c r="M17" i="335" s="1"/>
  <c r="O17" i="335" s="1"/>
  <c r="N27" i="335"/>
  <c r="I27" i="335"/>
  <c r="K27" i="335" s="1"/>
  <c r="M27" i="335" s="1"/>
  <c r="N42" i="335"/>
  <c r="I42" i="335"/>
  <c r="K42" i="335" s="1"/>
  <c r="M42" i="335" s="1"/>
  <c r="O42" i="335" s="1"/>
  <c r="N8" i="335"/>
  <c r="I8" i="335"/>
  <c r="K8" i="335" s="1"/>
  <c r="M8" i="335" s="1"/>
  <c r="N26" i="335"/>
  <c r="I26" i="335"/>
  <c r="K26" i="335" s="1"/>
  <c r="M26" i="335" s="1"/>
  <c r="N15" i="335"/>
  <c r="I15" i="335"/>
  <c r="K15" i="335" s="1"/>
  <c r="M15" i="335" s="1"/>
  <c r="N28" i="335"/>
  <c r="I28" i="335"/>
  <c r="K28" i="335" s="1"/>
  <c r="M28" i="335" s="1"/>
  <c r="O28" i="335" s="1"/>
  <c r="N16" i="335"/>
  <c r="I16" i="335"/>
  <c r="K16" i="335" s="1"/>
  <c r="M16" i="335" s="1"/>
  <c r="O16" i="335" s="1"/>
  <c r="N60" i="335"/>
  <c r="I60" i="335"/>
  <c r="K60" i="335" s="1"/>
  <c r="M60" i="335" s="1"/>
  <c r="O60" i="335" s="1"/>
  <c r="N22" i="335"/>
  <c r="I22" i="335"/>
  <c r="K22" i="335" s="1"/>
  <c r="M22" i="335" s="1"/>
  <c r="O22" i="335" s="1"/>
  <c r="N21" i="335"/>
  <c r="I21" i="335"/>
  <c r="K21" i="335" s="1"/>
  <c r="M21" i="335" s="1"/>
  <c r="N18" i="335"/>
  <c r="I18" i="335"/>
  <c r="K18" i="335" s="1"/>
  <c r="M18" i="335" s="1"/>
  <c r="O18" i="335" s="1"/>
  <c r="N46" i="335"/>
  <c r="I46" i="335"/>
  <c r="K46" i="335" s="1"/>
  <c r="M46" i="335" s="1"/>
  <c r="O46" i="335" s="1"/>
  <c r="N23" i="335"/>
  <c r="I23" i="335"/>
  <c r="K23" i="335" s="1"/>
  <c r="M23" i="335" s="1"/>
  <c r="N14" i="335"/>
  <c r="I14" i="335"/>
  <c r="K14" i="335" s="1"/>
  <c r="M14" i="335" s="1"/>
  <c r="O14" i="335" s="1"/>
  <c r="N10" i="335"/>
  <c r="I10" i="335"/>
  <c r="K10" i="335" s="1"/>
  <c r="M10" i="335" s="1"/>
  <c r="N11" i="335"/>
  <c r="I11" i="335"/>
  <c r="K11" i="335" s="1"/>
  <c r="M11" i="335" s="1"/>
  <c r="O11" i="335" s="1"/>
  <c r="N9" i="335"/>
  <c r="I9" i="335"/>
  <c r="K9" i="335" s="1"/>
  <c r="M9" i="335" s="1"/>
  <c r="O9" i="335" s="1"/>
  <c r="N5" i="335"/>
  <c r="I5" i="335"/>
  <c r="K5" i="335" s="1"/>
  <c r="M5" i="335" s="1"/>
  <c r="N6" i="335"/>
  <c r="I6" i="335"/>
  <c r="K6" i="335" s="1"/>
  <c r="M6" i="335" s="1"/>
  <c r="N12" i="335"/>
  <c r="I12" i="335"/>
  <c r="K12" i="335" s="1"/>
  <c r="M12" i="335" s="1"/>
  <c r="N45" i="335"/>
  <c r="I45" i="335"/>
  <c r="K45" i="335" s="1"/>
  <c r="M45" i="335" s="1"/>
  <c r="O45" i="335" s="1"/>
  <c r="N19" i="335"/>
  <c r="I19" i="335"/>
  <c r="K19" i="335" s="1"/>
  <c r="M19" i="335" s="1"/>
  <c r="O19" i="335" s="1"/>
  <c r="N13" i="335"/>
  <c r="I13" i="335"/>
  <c r="K13" i="335" s="1"/>
  <c r="M13" i="335" s="1"/>
  <c r="N7" i="335"/>
  <c r="I7" i="335"/>
  <c r="K7" i="335" s="1"/>
  <c r="M7" i="335" s="1"/>
  <c r="N25" i="335"/>
  <c r="I25" i="335"/>
  <c r="K25" i="335" s="1"/>
  <c r="M25" i="335" s="1"/>
  <c r="O25" i="335" s="1"/>
  <c r="N47" i="335"/>
  <c r="I47" i="335"/>
  <c r="K47" i="335" s="1"/>
  <c r="M47" i="335" s="1"/>
  <c r="O47" i="335" s="1"/>
  <c r="N31" i="335"/>
  <c r="I31" i="335"/>
  <c r="K31" i="335" s="1"/>
  <c r="M31" i="335" s="1"/>
  <c r="O31" i="335" s="1"/>
  <c r="N29" i="335"/>
  <c r="I29" i="335"/>
  <c r="K29" i="335" s="1"/>
  <c r="M29" i="335" s="1"/>
  <c r="N32" i="335"/>
  <c r="I32" i="335"/>
  <c r="K32" i="335" s="1"/>
  <c r="M32" i="335" s="1"/>
  <c r="N30" i="335"/>
  <c r="I30" i="335"/>
  <c r="K30" i="335" s="1"/>
  <c r="M30" i="335" s="1"/>
  <c r="O30" i="335" s="1"/>
  <c r="N35" i="335"/>
  <c r="I35" i="335"/>
  <c r="K35" i="335" s="1"/>
  <c r="M35" i="335" s="1"/>
  <c r="O35" i="335" s="1"/>
  <c r="N34" i="335"/>
  <c r="I34" i="335"/>
  <c r="K34" i="335" s="1"/>
  <c r="M34" i="335" s="1"/>
  <c r="N33" i="335"/>
  <c r="I33" i="335"/>
  <c r="K33" i="335" s="1"/>
  <c r="M33" i="335" s="1"/>
  <c r="N49" i="335"/>
  <c r="I49" i="335"/>
  <c r="K49" i="335" s="1"/>
  <c r="M49" i="335" s="1"/>
  <c r="N48" i="335"/>
  <c r="I48" i="335"/>
  <c r="K48" i="335" s="1"/>
  <c r="M48" i="335" s="1"/>
  <c r="O48" i="335" s="1"/>
  <c r="N51" i="335"/>
  <c r="I51" i="335"/>
  <c r="K51" i="335" s="1"/>
  <c r="M51" i="335" s="1"/>
  <c r="O51" i="335" s="1"/>
  <c r="N53" i="335"/>
  <c r="I53" i="335"/>
  <c r="K53" i="335" s="1"/>
  <c r="M53" i="335" s="1"/>
  <c r="O53" i="335" s="1"/>
  <c r="N50" i="335"/>
  <c r="I50" i="335"/>
  <c r="K50" i="335" s="1"/>
  <c r="M50" i="335" s="1"/>
  <c r="O50" i="335" s="1"/>
  <c r="N54" i="335"/>
  <c r="I54" i="335"/>
  <c r="K54" i="335" s="1"/>
  <c r="M54" i="335" s="1"/>
  <c r="O54" i="335" s="1"/>
  <c r="N52" i="335"/>
  <c r="B1" i="335"/>
  <c r="K74" i="334"/>
  <c r="P24" i="356" l="1"/>
  <c r="P33" i="356"/>
  <c r="P50" i="356"/>
  <c r="P30" i="356"/>
  <c r="P34" i="356"/>
  <c r="P53" i="356"/>
  <c r="P36" i="356"/>
  <c r="P15" i="356"/>
  <c r="P13" i="356"/>
  <c r="P10" i="356"/>
  <c r="P43" i="356"/>
  <c r="P17" i="356"/>
  <c r="P56" i="356"/>
  <c r="P16" i="356"/>
  <c r="P39" i="356"/>
  <c r="P19" i="356"/>
  <c r="P35" i="356"/>
  <c r="P22" i="356"/>
  <c r="P14" i="356"/>
  <c r="P18" i="356"/>
  <c r="P7" i="356"/>
  <c r="P37" i="356"/>
  <c r="P68" i="356"/>
  <c r="P69" i="356"/>
  <c r="P28" i="356"/>
  <c r="P40" i="356"/>
  <c r="P52" i="356"/>
  <c r="P38" i="356"/>
  <c r="P66" i="356"/>
  <c r="P6" i="356"/>
  <c r="P46" i="356"/>
  <c r="P54" i="356"/>
  <c r="P26" i="356"/>
  <c r="P21" i="356"/>
  <c r="P67" i="356"/>
  <c r="P44" i="356"/>
  <c r="P55" i="356"/>
  <c r="P41" i="356"/>
  <c r="P25" i="356"/>
  <c r="P23" i="356"/>
  <c r="P42" i="356"/>
  <c r="P49" i="355"/>
  <c r="P27" i="355"/>
  <c r="P7" i="355"/>
  <c r="P40" i="355"/>
  <c r="P47" i="355"/>
  <c r="P64" i="355"/>
  <c r="P28" i="355"/>
  <c r="P9" i="355"/>
  <c r="P32" i="355"/>
  <c r="P50" i="355"/>
  <c r="P46" i="355"/>
  <c r="P8" i="355"/>
  <c r="P31" i="355"/>
  <c r="P51" i="355"/>
  <c r="P61" i="355"/>
  <c r="P65" i="355"/>
  <c r="P29" i="355"/>
  <c r="P33" i="355"/>
  <c r="P34" i="355"/>
  <c r="P67" i="355"/>
  <c r="P15" i="355"/>
  <c r="P11" i="355"/>
  <c r="P38" i="355"/>
  <c r="P17" i="355"/>
  <c r="P36" i="355"/>
  <c r="P18" i="355"/>
  <c r="P13" i="355"/>
  <c r="P53" i="355"/>
  <c r="P19" i="355"/>
  <c r="P14" i="355"/>
  <c r="P66" i="355"/>
  <c r="P42" i="355"/>
  <c r="P56" i="355"/>
  <c r="P35" i="355"/>
  <c r="P45" i="355"/>
  <c r="P57" i="355"/>
  <c r="P60" i="354"/>
  <c r="P6" i="354"/>
  <c r="P11" i="354"/>
  <c r="P20" i="354"/>
  <c r="P5" i="354"/>
  <c r="P34" i="354"/>
  <c r="P47" i="354"/>
  <c r="P62" i="354"/>
  <c r="P27" i="354"/>
  <c r="P9" i="354"/>
  <c r="P35" i="354"/>
  <c r="P52" i="354"/>
  <c r="P65" i="354"/>
  <c r="P66" i="354"/>
  <c r="P13" i="354"/>
  <c r="P42" i="354"/>
  <c r="P10" i="354"/>
  <c r="P33" i="354"/>
  <c r="P32" i="354"/>
  <c r="P44" i="354"/>
  <c r="P15" i="354"/>
  <c r="P54" i="354"/>
  <c r="P17" i="354"/>
  <c r="P53" i="354"/>
  <c r="P68" i="354"/>
  <c r="P57" i="354"/>
  <c r="P69" i="354"/>
  <c r="P18" i="354"/>
  <c r="P48" i="354"/>
  <c r="P19" i="353"/>
  <c r="P21" i="353"/>
  <c r="P37" i="353"/>
  <c r="P38" i="353"/>
  <c r="P5" i="353"/>
  <c r="P10" i="353"/>
  <c r="P68" i="353"/>
  <c r="P47" i="353"/>
  <c r="P61" i="353"/>
  <c r="P23" i="353"/>
  <c r="P29" i="353"/>
  <c r="P27" i="353"/>
  <c r="P51" i="353"/>
  <c r="P65" i="353"/>
  <c r="P49" i="353"/>
  <c r="P8" i="353"/>
  <c r="P15" i="353"/>
  <c r="P39" i="353"/>
  <c r="P57" i="353"/>
  <c r="P62" i="353"/>
  <c r="P26" i="353"/>
  <c r="P31" i="353"/>
  <c r="P64" i="353"/>
  <c r="P11" i="353"/>
  <c r="P7" i="353"/>
  <c r="P42" i="353"/>
  <c r="P44" i="353"/>
  <c r="P69" i="353"/>
  <c r="P32" i="353"/>
  <c r="P56" i="353"/>
  <c r="P34" i="353"/>
  <c r="P52" i="353"/>
  <c r="P17" i="353"/>
  <c r="P54" i="353"/>
  <c r="P25" i="353"/>
  <c r="P6" i="353"/>
  <c r="P58" i="353"/>
  <c r="P23" i="352"/>
  <c r="P51" i="352"/>
  <c r="P18" i="352"/>
  <c r="P38" i="352"/>
  <c r="P28" i="352"/>
  <c r="P50" i="352"/>
  <c r="P67" i="352"/>
  <c r="P20" i="352"/>
  <c r="P7" i="352"/>
  <c r="P29" i="352"/>
  <c r="P60" i="352"/>
  <c r="P66" i="352"/>
  <c r="P21" i="352"/>
  <c r="P9" i="352"/>
  <c r="P54" i="352"/>
  <c r="P63" i="352"/>
  <c r="P27" i="352"/>
  <c r="P11" i="352"/>
  <c r="P44" i="352"/>
  <c r="P52" i="352"/>
  <c r="P68" i="352"/>
  <c r="P8" i="352"/>
  <c r="P30" i="352"/>
  <c r="P41" i="352"/>
  <c r="P55" i="352"/>
  <c r="P69" i="352"/>
  <c r="P32" i="352"/>
  <c r="P42" i="352"/>
  <c r="P53" i="352"/>
  <c r="P31" i="352"/>
  <c r="P61" i="351"/>
  <c r="P17" i="351"/>
  <c r="P15" i="351"/>
  <c r="P18" i="351"/>
  <c r="P50" i="351"/>
  <c r="P60" i="351"/>
  <c r="P26" i="351"/>
  <c r="P32" i="351"/>
  <c r="P31" i="351"/>
  <c r="P7" i="351"/>
  <c r="P56" i="351"/>
  <c r="P11" i="351"/>
  <c r="P8" i="351"/>
  <c r="P44" i="351"/>
  <c r="P20" i="351"/>
  <c r="P13" i="351"/>
  <c r="P10" i="351"/>
  <c r="P45" i="351"/>
  <c r="P55" i="351"/>
  <c r="P35" i="351"/>
  <c r="P5" i="351"/>
  <c r="P28" i="351"/>
  <c r="P48" i="351"/>
  <c r="P64" i="351"/>
  <c r="P24" i="351"/>
  <c r="P37" i="351"/>
  <c r="P42" i="351"/>
  <c r="P53" i="351"/>
  <c r="P66" i="351"/>
  <c r="P54" i="351"/>
  <c r="P19" i="351"/>
  <c r="P38" i="351"/>
  <c r="P67" i="351"/>
  <c r="P12" i="351"/>
  <c r="P33" i="351"/>
  <c r="P63" i="351"/>
  <c r="P14" i="351"/>
  <c r="P69" i="351"/>
  <c r="P60" i="350"/>
  <c r="P29" i="350"/>
  <c r="P27" i="350"/>
  <c r="P42" i="350"/>
  <c r="P11" i="350"/>
  <c r="P26" i="350"/>
  <c r="P6" i="350"/>
  <c r="P8" i="350"/>
  <c r="P31" i="350"/>
  <c r="P49" i="350"/>
  <c r="P66" i="350"/>
  <c r="P33" i="350"/>
  <c r="P37" i="350"/>
  <c r="P38" i="350"/>
  <c r="P47" i="350"/>
  <c r="P67" i="350"/>
  <c r="P9" i="350"/>
  <c r="P14" i="350"/>
  <c r="P16" i="350"/>
  <c r="P12" i="350"/>
  <c r="P34" i="350"/>
  <c r="P17" i="350"/>
  <c r="P40" i="350"/>
  <c r="P55" i="350"/>
  <c r="P69" i="350"/>
  <c r="P13" i="350"/>
  <c r="P61" i="350"/>
  <c r="P64" i="350"/>
  <c r="P15" i="350"/>
  <c r="P20" i="350"/>
  <c r="P54" i="350"/>
  <c r="P44" i="350"/>
  <c r="P62" i="350"/>
  <c r="P18" i="350"/>
  <c r="P53" i="350"/>
  <c r="P41" i="350"/>
  <c r="P19" i="350"/>
  <c r="P22" i="350"/>
  <c r="P56" i="350"/>
  <c r="P5" i="350"/>
  <c r="P57" i="350"/>
  <c r="P57" i="349"/>
  <c r="P26" i="349"/>
  <c r="P32" i="349"/>
  <c r="P46" i="349"/>
  <c r="P44" i="349"/>
  <c r="P16" i="349"/>
  <c r="P13" i="349"/>
  <c r="P6" i="349"/>
  <c r="P34" i="349"/>
  <c r="P28" i="349"/>
  <c r="P7" i="349"/>
  <c r="P18" i="349"/>
  <c r="P8" i="349"/>
  <c r="P37" i="349"/>
  <c r="P36" i="349"/>
  <c r="P12" i="349"/>
  <c r="P45" i="349"/>
  <c r="P62" i="349"/>
  <c r="P31" i="349"/>
  <c r="P51" i="349"/>
  <c r="P63" i="349"/>
  <c r="P38" i="349"/>
  <c r="P30" i="349"/>
  <c r="P29" i="349"/>
  <c r="P53" i="349"/>
  <c r="P59" i="349"/>
  <c r="P9" i="349"/>
  <c r="P54" i="349"/>
  <c r="P68" i="349"/>
  <c r="P10" i="349"/>
  <c r="P11" i="349"/>
  <c r="P39" i="349"/>
  <c r="P52" i="349"/>
  <c r="P67" i="349"/>
  <c r="P27" i="349"/>
  <c r="P35" i="349"/>
  <c r="P55" i="349"/>
  <c r="P25" i="349"/>
  <c r="P20" i="348"/>
  <c r="P38" i="348"/>
  <c r="P61" i="348"/>
  <c r="N50" i="348"/>
  <c r="P50" i="348" s="1"/>
  <c r="P66" i="348"/>
  <c r="P42" i="348"/>
  <c r="P39" i="348"/>
  <c r="P17" i="348"/>
  <c r="P13" i="348"/>
  <c r="P47" i="348"/>
  <c r="P57" i="348"/>
  <c r="P21" i="348"/>
  <c r="P45" i="348"/>
  <c r="P60" i="348"/>
  <c r="P26" i="348"/>
  <c r="P5" i="348"/>
  <c r="P23" i="348"/>
  <c r="P48" i="348"/>
  <c r="P64" i="348"/>
  <c r="P34" i="348"/>
  <c r="P18" i="348"/>
  <c r="P14" i="348"/>
  <c r="P56" i="348"/>
  <c r="O26" i="336"/>
  <c r="P47" i="345"/>
  <c r="P41" i="345"/>
  <c r="P20" i="345"/>
  <c r="P36" i="345"/>
  <c r="P7" i="345"/>
  <c r="P9" i="345"/>
  <c r="P43" i="345"/>
  <c r="P56" i="345"/>
  <c r="P58" i="345"/>
  <c r="P42" i="345"/>
  <c r="P27" i="346"/>
  <c r="P58" i="346"/>
  <c r="P40" i="346"/>
  <c r="P29" i="346"/>
  <c r="P12" i="346"/>
  <c r="P61" i="346"/>
  <c r="P49" i="346"/>
  <c r="P6" i="346"/>
  <c r="P35" i="346"/>
  <c r="P59" i="346"/>
  <c r="P54" i="346"/>
  <c r="P65" i="346"/>
  <c r="P13" i="347"/>
  <c r="P37" i="347"/>
  <c r="P59" i="347"/>
  <c r="P42" i="347"/>
  <c r="P57" i="347"/>
  <c r="P46" i="347"/>
  <c r="P38" i="347"/>
  <c r="P11" i="347"/>
  <c r="P40" i="347"/>
  <c r="P26" i="347"/>
  <c r="P17" i="347"/>
  <c r="P47" i="347"/>
  <c r="P45" i="347"/>
  <c r="P27" i="347"/>
  <c r="P18" i="347"/>
  <c r="P39" i="347"/>
  <c r="P43" i="347"/>
  <c r="P60" i="347"/>
  <c r="P28" i="347"/>
  <c r="P48" i="347"/>
  <c r="P50" i="347"/>
  <c r="P61" i="347"/>
  <c r="P30" i="347"/>
  <c r="P19" i="347"/>
  <c r="P21" i="347"/>
  <c r="P64" i="347"/>
  <c r="P31" i="347"/>
  <c r="P5" i="347"/>
  <c r="P22" i="347"/>
  <c r="P51" i="347"/>
  <c r="P66" i="347"/>
  <c r="P19" i="348"/>
  <c r="P22" i="348"/>
  <c r="P15" i="348"/>
  <c r="P43" i="348"/>
  <c r="P58" i="348"/>
  <c r="P40" i="348"/>
  <c r="P6" i="348"/>
  <c r="P29" i="348"/>
  <c r="P52" i="348"/>
  <c r="P41" i="348"/>
  <c r="P44" i="348"/>
  <c r="P7" i="348"/>
  <c r="P25" i="348"/>
  <c r="P36" i="348"/>
  <c r="P31" i="348"/>
  <c r="P54" i="348"/>
  <c r="P67" i="348"/>
  <c r="P37" i="348"/>
  <c r="P32" i="348"/>
  <c r="P8" i="348"/>
  <c r="P30" i="348"/>
  <c r="P10" i="348"/>
  <c r="P27" i="348"/>
  <c r="P35" i="348"/>
  <c r="P24" i="348"/>
  <c r="P51" i="348"/>
  <c r="P28" i="348"/>
  <c r="P16" i="348"/>
  <c r="P11" i="348"/>
  <c r="P53" i="348"/>
  <c r="P68" i="348"/>
  <c r="P55" i="348"/>
  <c r="P69" i="348"/>
  <c r="P62" i="348"/>
  <c r="P9" i="348"/>
  <c r="P46" i="348"/>
  <c r="P33" i="348"/>
  <c r="P49" i="348"/>
  <c r="P65" i="348"/>
  <c r="P63" i="348"/>
  <c r="P65" i="347"/>
  <c r="P63" i="347"/>
  <c r="P58" i="347"/>
  <c r="P54" i="347"/>
  <c r="P35" i="347"/>
  <c r="P16" i="347"/>
  <c r="P12" i="347"/>
  <c r="P34" i="347"/>
  <c r="P32" i="347"/>
  <c r="P6" i="347"/>
  <c r="P23" i="347"/>
  <c r="P67" i="347"/>
  <c r="P33" i="347"/>
  <c r="P7" i="347"/>
  <c r="P41" i="347"/>
  <c r="P69" i="347"/>
  <c r="P36" i="347"/>
  <c r="P49" i="347"/>
  <c r="P25" i="347"/>
  <c r="P29" i="347"/>
  <c r="P20" i="347"/>
  <c r="P24" i="347"/>
  <c r="P52" i="347"/>
  <c r="P8" i="347"/>
  <c r="P53" i="347"/>
  <c r="P62" i="347"/>
  <c r="P9" i="347"/>
  <c r="P68" i="347"/>
  <c r="P14" i="347"/>
  <c r="P55" i="347"/>
  <c r="P44" i="347"/>
  <c r="P15" i="347"/>
  <c r="P10" i="347"/>
  <c r="P56" i="347"/>
  <c r="P45" i="346"/>
  <c r="P34" i="346"/>
  <c r="P28" i="346"/>
  <c r="P25" i="346"/>
  <c r="P50" i="346"/>
  <c r="P13" i="346"/>
  <c r="P51" i="346"/>
  <c r="P68" i="346"/>
  <c r="P66" i="346"/>
  <c r="P8" i="346"/>
  <c r="P22" i="346"/>
  <c r="P46" i="346"/>
  <c r="P31" i="346"/>
  <c r="P64" i="346"/>
  <c r="P33" i="346"/>
  <c r="P48" i="346"/>
  <c r="P15" i="346"/>
  <c r="P17" i="346"/>
  <c r="P10" i="346"/>
  <c r="P43" i="346"/>
  <c r="P53" i="346"/>
  <c r="P41" i="346"/>
  <c r="P55" i="346"/>
  <c r="P42" i="346"/>
  <c r="P19" i="346"/>
  <c r="P37" i="346"/>
  <c r="P47" i="346"/>
  <c r="P62" i="346"/>
  <c r="P36" i="346"/>
  <c r="P69" i="346"/>
  <c r="P23" i="346"/>
  <c r="P20" i="346"/>
  <c r="P18" i="346"/>
  <c r="P30" i="346"/>
  <c r="P52" i="346"/>
  <c r="P44" i="346"/>
  <c r="P57" i="346"/>
  <c r="P7" i="346"/>
  <c r="P18" i="345"/>
  <c r="P48" i="345"/>
  <c r="P30" i="345"/>
  <c r="P64" i="345"/>
  <c r="P38" i="345"/>
  <c r="P52" i="345"/>
  <c r="P16" i="345"/>
  <c r="P12" i="345"/>
  <c r="P31" i="345"/>
  <c r="P49" i="345"/>
  <c r="P57" i="345"/>
  <c r="P45" i="345"/>
  <c r="P69" i="345"/>
  <c r="P11" i="345"/>
  <c r="P51" i="345"/>
  <c r="P54" i="345"/>
  <c r="P33" i="345"/>
  <c r="P15" i="345"/>
  <c r="P5" i="345"/>
  <c r="P22" i="345"/>
  <c r="P27" i="345"/>
  <c r="P37" i="345"/>
  <c r="P63" i="345"/>
  <c r="P62" i="345"/>
  <c r="P19" i="345"/>
  <c r="P26" i="345"/>
  <c r="P23" i="345"/>
  <c r="P55" i="345"/>
  <c r="P10" i="345"/>
  <c r="P67" i="345"/>
  <c r="P66" i="345"/>
  <c r="P6" i="345"/>
  <c r="P64" i="344"/>
  <c r="P61" i="344"/>
  <c r="P33" i="344"/>
  <c r="P47" i="344"/>
  <c r="P14" i="344"/>
  <c r="P16" i="344"/>
  <c r="P6" i="344"/>
  <c r="P7" i="344"/>
  <c r="P5" i="344"/>
  <c r="P35" i="344"/>
  <c r="P57" i="344"/>
  <c r="P25" i="344"/>
  <c r="P8" i="344"/>
  <c r="P50" i="344"/>
  <c r="P67" i="344"/>
  <c r="P69" i="344"/>
  <c r="P43" i="344"/>
  <c r="P60" i="344"/>
  <c r="P20" i="344"/>
  <c r="P36" i="344"/>
  <c r="P30" i="344"/>
  <c r="P66" i="344"/>
  <c r="P17" i="344"/>
  <c r="P12" i="344"/>
  <c r="P56" i="344"/>
  <c r="P13" i="344"/>
  <c r="P19" i="344"/>
  <c r="P48" i="344"/>
  <c r="P41" i="344"/>
  <c r="P9" i="344"/>
  <c r="P63" i="344"/>
  <c r="P18" i="344"/>
  <c r="P11" i="344"/>
  <c r="P23" i="344"/>
  <c r="P15" i="344"/>
  <c r="P53" i="344"/>
  <c r="P21" i="344"/>
  <c r="P58" i="344"/>
  <c r="P38" i="344"/>
  <c r="P40" i="344"/>
  <c r="P63" i="343"/>
  <c r="P60" i="343"/>
  <c r="P29" i="343"/>
  <c r="P45" i="343"/>
  <c r="P49" i="343"/>
  <c r="P47" i="343"/>
  <c r="P56" i="343"/>
  <c r="P54" i="343"/>
  <c r="P22" i="343"/>
  <c r="P41" i="343"/>
  <c r="P48" i="343"/>
  <c r="P7" i="343"/>
  <c r="P27" i="343"/>
  <c r="P5" i="343"/>
  <c r="P40" i="343"/>
  <c r="P53" i="343"/>
  <c r="P59" i="343"/>
  <c r="P10" i="343"/>
  <c r="P14" i="343"/>
  <c r="P11" i="343"/>
  <c r="P38" i="343"/>
  <c r="P19" i="343"/>
  <c r="P35" i="343"/>
  <c r="P36" i="343"/>
  <c r="P12" i="343"/>
  <c r="P17" i="343"/>
  <c r="P58" i="343"/>
  <c r="P24" i="343"/>
  <c r="P64" i="343"/>
  <c r="P67" i="343"/>
  <c r="P44" i="343"/>
  <c r="P65" i="343"/>
  <c r="P69" i="343"/>
  <c r="P23" i="343"/>
  <c r="P31" i="343"/>
  <c r="P18" i="342"/>
  <c r="P51" i="342"/>
  <c r="P49" i="342"/>
  <c r="P63" i="342"/>
  <c r="P26" i="342"/>
  <c r="P61" i="342"/>
  <c r="P65" i="342"/>
  <c r="P15" i="342"/>
  <c r="P11" i="342"/>
  <c r="P48" i="342"/>
  <c r="P58" i="342"/>
  <c r="P46" i="342"/>
  <c r="P43" i="342"/>
  <c r="P6" i="342"/>
  <c r="P42" i="342"/>
  <c r="P36" i="342"/>
  <c r="P67" i="342"/>
  <c r="P33" i="342"/>
  <c r="P10" i="342"/>
  <c r="P45" i="342"/>
  <c r="P54" i="342"/>
  <c r="P41" i="342"/>
  <c r="P32" i="342"/>
  <c r="P27" i="342"/>
  <c r="P5" i="342"/>
  <c r="P17" i="342"/>
  <c r="P52" i="342"/>
  <c r="P30" i="342"/>
  <c r="P8" i="342"/>
  <c r="P39" i="342"/>
  <c r="P68" i="342"/>
  <c r="P29" i="342"/>
  <c r="P53" i="342"/>
  <c r="P66" i="342"/>
  <c r="P20" i="342"/>
  <c r="P59" i="342"/>
  <c r="P19" i="342"/>
  <c r="P13" i="342"/>
  <c r="P60" i="342"/>
  <c r="P62" i="342"/>
  <c r="P55" i="342"/>
  <c r="P23" i="342"/>
  <c r="P12" i="342"/>
  <c r="P69" i="342"/>
  <c r="P64" i="342"/>
  <c r="P22" i="342"/>
  <c r="P14" i="342"/>
  <c r="O58" i="341"/>
  <c r="O57" i="341"/>
  <c r="O34" i="341"/>
  <c r="O36" i="341"/>
  <c r="O17" i="341"/>
  <c r="O10" i="341"/>
  <c r="O20" i="341"/>
  <c r="O46" i="341"/>
  <c r="O49" i="341"/>
  <c r="O43" i="341"/>
  <c r="O9" i="341"/>
  <c r="O54" i="341"/>
  <c r="O14" i="341"/>
  <c r="O55" i="341"/>
  <c r="O67" i="341"/>
  <c r="O64" i="341"/>
  <c r="O61" i="341"/>
  <c r="O15" i="341"/>
  <c r="O23" i="341"/>
  <c r="O53" i="341"/>
  <c r="O5" i="341"/>
  <c r="O22" i="341"/>
  <c r="O26" i="341"/>
  <c r="O19" i="341"/>
  <c r="O11" i="341"/>
  <c r="O27" i="341"/>
  <c r="O50" i="341"/>
  <c r="O66" i="341"/>
  <c r="O35" i="341"/>
  <c r="O52" i="341"/>
  <c r="O65" i="341"/>
  <c r="O16" i="341"/>
  <c r="O37" i="341"/>
  <c r="O51" i="341"/>
  <c r="O68" i="341"/>
  <c r="O31" i="341"/>
  <c r="O47" i="341"/>
  <c r="O59" i="341"/>
  <c r="O6" i="341"/>
  <c r="O30" i="341"/>
  <c r="O63" i="341"/>
  <c r="O56" i="341"/>
  <c r="O28" i="341"/>
  <c r="O35" i="340"/>
  <c r="O6" i="340"/>
  <c r="O40" i="340"/>
  <c r="O15" i="340"/>
  <c r="O62" i="340"/>
  <c r="O57" i="340"/>
  <c r="O32" i="340"/>
  <c r="O17" i="340"/>
  <c r="O16" i="340"/>
  <c r="O58" i="340"/>
  <c r="O53" i="340"/>
  <c r="O13" i="340"/>
  <c r="O11" i="340"/>
  <c r="O50" i="340"/>
  <c r="O49" i="340"/>
  <c r="O47" i="340"/>
  <c r="O51" i="340"/>
  <c r="O12" i="340"/>
  <c r="O10" i="340"/>
  <c r="O9" i="340"/>
  <c r="O8" i="340"/>
  <c r="O7" i="340"/>
  <c r="O52" i="340"/>
  <c r="O43" i="340"/>
  <c r="O55" i="340"/>
  <c r="O18" i="340"/>
  <c r="O20" i="340"/>
  <c r="O44" i="340"/>
  <c r="O29" i="340"/>
  <c r="O24" i="340"/>
  <c r="O28" i="340"/>
  <c r="O27" i="340"/>
  <c r="O21" i="340"/>
  <c r="O60" i="340"/>
  <c r="O5" i="340"/>
  <c r="O38" i="340"/>
  <c r="O37" i="340"/>
  <c r="O45" i="340"/>
  <c r="O36" i="340"/>
  <c r="O66" i="340"/>
  <c r="O33" i="340"/>
  <c r="O31" i="340"/>
  <c r="O63" i="340"/>
  <c r="O30" i="340"/>
  <c r="O65" i="340"/>
  <c r="O23" i="340"/>
  <c r="O34" i="340"/>
  <c r="O42" i="340"/>
  <c r="O67" i="340"/>
  <c r="O46" i="340"/>
  <c r="O69" i="340"/>
  <c r="O61" i="340"/>
  <c r="O41" i="340"/>
  <c r="O26" i="340"/>
  <c r="O22" i="340"/>
  <c r="O14" i="340"/>
  <c r="O68" i="340"/>
  <c r="O48" i="340"/>
  <c r="O51" i="339"/>
  <c r="O20" i="339"/>
  <c r="O33" i="339"/>
  <c r="O41" i="339"/>
  <c r="O9" i="339"/>
  <c r="O5" i="339"/>
  <c r="O6" i="339"/>
  <c r="O45" i="339"/>
  <c r="O40" i="339"/>
  <c r="O60" i="339"/>
  <c r="O50" i="339"/>
  <c r="O7" i="339"/>
  <c r="O21" i="339"/>
  <c r="O42" i="339"/>
  <c r="O61" i="339"/>
  <c r="O13" i="339"/>
  <c r="O11" i="339"/>
  <c r="O25" i="339"/>
  <c r="O47" i="339"/>
  <c r="O67" i="339"/>
  <c r="O68" i="339"/>
  <c r="O10" i="339"/>
  <c r="O49" i="339"/>
  <c r="O48" i="339"/>
  <c r="O69" i="339"/>
  <c r="O27" i="339"/>
  <c r="O8" i="339"/>
  <c r="O17" i="339"/>
  <c r="O43" i="339"/>
  <c r="O66" i="339"/>
  <c r="O29" i="339"/>
  <c r="O34" i="339"/>
  <c r="O18" i="339"/>
  <c r="O46" i="339"/>
  <c r="O59" i="339"/>
  <c r="O54" i="339"/>
  <c r="O65" i="339"/>
  <c r="O22" i="339"/>
  <c r="O12" i="339"/>
  <c r="O44" i="339"/>
  <c r="O30" i="339"/>
  <c r="O53" i="339"/>
  <c r="M26" i="339"/>
  <c r="O26" i="339" s="1"/>
  <c r="O52" i="338"/>
  <c r="O9" i="338"/>
  <c r="O13" i="338"/>
  <c r="O21" i="338"/>
  <c r="O28" i="338"/>
  <c r="O26" i="338"/>
  <c r="O50" i="338"/>
  <c r="O31" i="338"/>
  <c r="O23" i="338"/>
  <c r="O37" i="338"/>
  <c r="O20" i="338"/>
  <c r="O46" i="338"/>
  <c r="O69" i="338"/>
  <c r="O22" i="338"/>
  <c r="O51" i="338"/>
  <c r="O57" i="338"/>
  <c r="O7" i="338"/>
  <c r="O60" i="338"/>
  <c r="O36" i="338"/>
  <c r="O55" i="338"/>
  <c r="O24" i="338"/>
  <c r="O38" i="338"/>
  <c r="O19" i="338"/>
  <c r="O47" i="338"/>
  <c r="O66" i="338"/>
  <c r="O14" i="338"/>
  <c r="N74" i="338"/>
  <c r="O61" i="338"/>
  <c r="K74" i="338"/>
  <c r="M34" i="338"/>
  <c r="O34" i="338" s="1"/>
  <c r="O60" i="337"/>
  <c r="O43" i="337"/>
  <c r="O35" i="337"/>
  <c r="O29" i="337"/>
  <c r="O52" i="337"/>
  <c r="O58" i="337"/>
  <c r="O38" i="337"/>
  <c r="O9" i="337"/>
  <c r="O39" i="337"/>
  <c r="O49" i="337"/>
  <c r="O40" i="337"/>
  <c r="O23" i="337"/>
  <c r="O22" i="337"/>
  <c r="O8" i="337"/>
  <c r="O26" i="337"/>
  <c r="O64" i="337"/>
  <c r="O36" i="337"/>
  <c r="O25" i="337"/>
  <c r="O48" i="337"/>
  <c r="O67" i="337"/>
  <c r="O51" i="337"/>
  <c r="O18" i="337"/>
  <c r="O57" i="337"/>
  <c r="O11" i="337"/>
  <c r="O59" i="337"/>
  <c r="O44" i="337"/>
  <c r="O24" i="337"/>
  <c r="O14" i="337"/>
  <c r="O54" i="337"/>
  <c r="O31" i="337"/>
  <c r="O28" i="337"/>
  <c r="O61" i="337"/>
  <c r="O68" i="337"/>
  <c r="N74" i="337"/>
  <c r="K74" i="337"/>
  <c r="M46" i="337"/>
  <c r="O46" i="337" s="1"/>
  <c r="O34" i="336"/>
  <c r="O16" i="336"/>
  <c r="O27" i="336"/>
  <c r="O63" i="336"/>
  <c r="O41" i="336"/>
  <c r="O17" i="336"/>
  <c r="O14" i="336"/>
  <c r="O29" i="336"/>
  <c r="O35" i="336"/>
  <c r="O55" i="336"/>
  <c r="O66" i="336"/>
  <c r="O67" i="336"/>
  <c r="O40" i="336"/>
  <c r="O53" i="336"/>
  <c r="O31" i="336"/>
  <c r="O6" i="336"/>
  <c r="O52" i="336"/>
  <c r="O22" i="336"/>
  <c r="O24" i="336"/>
  <c r="O13" i="336"/>
  <c r="O42" i="336"/>
  <c r="O59" i="336"/>
  <c r="O19" i="336"/>
  <c r="O20" i="336"/>
  <c r="O10" i="336"/>
  <c r="N74" i="336"/>
  <c r="O61" i="336"/>
  <c r="O60" i="336"/>
  <c r="K74" i="336"/>
  <c r="M43" i="336"/>
  <c r="O43" i="336" s="1"/>
  <c r="O49" i="335"/>
  <c r="O32" i="335"/>
  <c r="O20" i="335"/>
  <c r="O21" i="335"/>
  <c r="O8" i="335"/>
  <c r="O13" i="335"/>
  <c r="O10" i="335"/>
  <c r="O7" i="335"/>
  <c r="O12" i="335"/>
  <c r="O63" i="335"/>
  <c r="O23" i="335"/>
  <c r="O33" i="335"/>
  <c r="O6" i="335"/>
  <c r="O15" i="335"/>
  <c r="O56" i="335"/>
  <c r="O66" i="335"/>
  <c r="O41" i="335"/>
  <c r="O34" i="335"/>
  <c r="O5" i="335"/>
  <c r="O26" i="335"/>
  <c r="O37" i="335"/>
  <c r="O44" i="335"/>
  <c r="O27" i="335"/>
  <c r="N74" i="335"/>
  <c r="O29" i="335"/>
  <c r="O38" i="335"/>
  <c r="K74" i="335"/>
  <c r="M52" i="335"/>
  <c r="O52" i="335" s="1"/>
  <c r="B1" i="334"/>
  <c r="I6" i="334"/>
  <c r="K6" i="334" s="1"/>
  <c r="I7" i="334"/>
  <c r="K7" i="334" s="1"/>
  <c r="I8" i="334"/>
  <c r="K8" i="334" s="1"/>
  <c r="I9" i="334"/>
  <c r="K9" i="334" s="1"/>
  <c r="I10" i="334"/>
  <c r="K10" i="334" s="1"/>
  <c r="I11" i="334"/>
  <c r="K11" i="334" s="1"/>
  <c r="I12" i="334"/>
  <c r="K12" i="334" s="1"/>
  <c r="I13" i="334"/>
  <c r="K13" i="334" s="1"/>
  <c r="I14" i="334"/>
  <c r="K14" i="334" s="1"/>
  <c r="I15" i="334"/>
  <c r="K15" i="334" s="1"/>
  <c r="I16" i="334"/>
  <c r="K16" i="334" s="1"/>
  <c r="I17" i="334"/>
  <c r="K17" i="334" s="1"/>
  <c r="I18" i="334"/>
  <c r="K18" i="334" s="1"/>
  <c r="I19" i="334"/>
  <c r="I20" i="334"/>
  <c r="K20" i="334" s="1"/>
  <c r="I21" i="334"/>
  <c r="K21" i="334" s="1"/>
  <c r="I22" i="334"/>
  <c r="K22" i="334" s="1"/>
  <c r="I23" i="334"/>
  <c r="K23" i="334" s="1"/>
  <c r="I24" i="334"/>
  <c r="K24" i="334" s="1"/>
  <c r="I25" i="334"/>
  <c r="K25" i="334" s="1"/>
  <c r="I26" i="334"/>
  <c r="K26" i="334" s="1"/>
  <c r="I27" i="334"/>
  <c r="K27" i="334" s="1"/>
  <c r="I28" i="334"/>
  <c r="K28" i="334" s="1"/>
  <c r="I29" i="334"/>
  <c r="K29" i="334" s="1"/>
  <c r="I30" i="334"/>
  <c r="K30" i="334" s="1"/>
  <c r="I31" i="334"/>
  <c r="K31" i="334" s="1"/>
  <c r="I32" i="334"/>
  <c r="K32" i="334" s="1"/>
  <c r="I33" i="334"/>
  <c r="K33" i="334" s="1"/>
  <c r="I34" i="334"/>
  <c r="K34" i="334" s="1"/>
  <c r="I35" i="334"/>
  <c r="K35" i="334" s="1"/>
  <c r="I36" i="334"/>
  <c r="K36" i="334" s="1"/>
  <c r="I37" i="334"/>
  <c r="K37" i="334" s="1"/>
  <c r="I38" i="334"/>
  <c r="K38" i="334" s="1"/>
  <c r="I39" i="334"/>
  <c r="K39" i="334" s="1"/>
  <c r="I40" i="334"/>
  <c r="K40" i="334" s="1"/>
  <c r="I41" i="334"/>
  <c r="K41" i="334" s="1"/>
  <c r="I42" i="334"/>
  <c r="I43" i="334"/>
  <c r="K43" i="334" s="1"/>
  <c r="I44" i="334"/>
  <c r="K44" i="334" s="1"/>
  <c r="I45" i="334"/>
  <c r="K45" i="334" s="1"/>
  <c r="I46" i="334"/>
  <c r="I47" i="334"/>
  <c r="K47" i="334" s="1"/>
  <c r="I48" i="334"/>
  <c r="K48" i="334" s="1"/>
  <c r="I49" i="334"/>
  <c r="K49" i="334" s="1"/>
  <c r="I50" i="334"/>
  <c r="K50" i="334" s="1"/>
  <c r="I51" i="334"/>
  <c r="K51" i="334" s="1"/>
  <c r="I52" i="334"/>
  <c r="K52" i="334" s="1"/>
  <c r="I53" i="334"/>
  <c r="K53" i="334" s="1"/>
  <c r="I54" i="334"/>
  <c r="K54" i="334" s="1"/>
  <c r="I55" i="334"/>
  <c r="K55" i="334" s="1"/>
  <c r="I56" i="334"/>
  <c r="K56" i="334" s="1"/>
  <c r="I57" i="334"/>
  <c r="K57" i="334" s="1"/>
  <c r="I58" i="334"/>
  <c r="K58" i="334" s="1"/>
  <c r="I59" i="334"/>
  <c r="K59" i="334" s="1"/>
  <c r="I60" i="334"/>
  <c r="K60" i="334" s="1"/>
  <c r="I61" i="334"/>
  <c r="K61" i="334" s="1"/>
  <c r="I62" i="334"/>
  <c r="K62" i="334" s="1"/>
  <c r="I63" i="334"/>
  <c r="K63" i="334" s="1"/>
  <c r="I64" i="334"/>
  <c r="K64" i="334" s="1"/>
  <c r="I65" i="334"/>
  <c r="K65" i="334" s="1"/>
  <c r="I66" i="334"/>
  <c r="K66" i="334" s="1"/>
  <c r="I67" i="334"/>
  <c r="K67" i="334" s="1"/>
  <c r="I68" i="334"/>
  <c r="K68" i="334" s="1"/>
  <c r="I5" i="334"/>
  <c r="K5" i="334" s="1"/>
  <c r="K42" i="334"/>
  <c r="K46" i="334"/>
  <c r="N40" i="334"/>
  <c r="O40" i="334" s="1"/>
  <c r="N63" i="334"/>
  <c r="O63" i="334" s="1"/>
  <c r="N49" i="334"/>
  <c r="O49" i="334" s="1"/>
  <c r="N16" i="334"/>
  <c r="O16" i="334" s="1"/>
  <c r="N58" i="334"/>
  <c r="O58" i="334" s="1"/>
  <c r="N67" i="334"/>
  <c r="O67" i="334" s="1"/>
  <c r="N10" i="334"/>
  <c r="O10" i="334" s="1"/>
  <c r="N34" i="334"/>
  <c r="O34" i="334" s="1"/>
  <c r="N13" i="334"/>
  <c r="O13" i="334" s="1"/>
  <c r="N51" i="334"/>
  <c r="O51" i="334" s="1"/>
  <c r="N41" i="334"/>
  <c r="O41" i="334" s="1"/>
  <c r="N23" i="334"/>
  <c r="O23" i="334" s="1"/>
  <c r="N44" i="334"/>
  <c r="O44" i="334" s="1"/>
  <c r="N28" i="334"/>
  <c r="O28" i="334" s="1"/>
  <c r="N14" i="334"/>
  <c r="O14" i="334" s="1"/>
  <c r="N57" i="334"/>
  <c r="O57" i="334" s="1"/>
  <c r="N30" i="334"/>
  <c r="O30" i="334" s="1"/>
  <c r="N35" i="334"/>
  <c r="O35" i="334" s="1"/>
  <c r="N66" i="334"/>
  <c r="O66" i="334" s="1"/>
  <c r="N60" i="334"/>
  <c r="O60" i="334" s="1"/>
  <c r="N21" i="334"/>
  <c r="O21" i="334" s="1"/>
  <c r="N31" i="334"/>
  <c r="O31" i="334" s="1"/>
  <c r="N62" i="334"/>
  <c r="O62" i="334" s="1"/>
  <c r="N5" i="334"/>
  <c r="O5" i="334" s="1"/>
  <c r="N56" i="334"/>
  <c r="O56" i="334" s="1"/>
  <c r="N54" i="334"/>
  <c r="O54" i="334" s="1"/>
  <c r="N19" i="334"/>
  <c r="O19" i="334" s="1"/>
  <c r="K19" i="334"/>
  <c r="N61" i="334"/>
  <c r="O61" i="334" s="1"/>
  <c r="N20" i="334"/>
  <c r="O20" i="334" s="1"/>
  <c r="N47" i="334"/>
  <c r="O47" i="334" s="1"/>
  <c r="N11" i="334"/>
  <c r="O11" i="334" s="1"/>
  <c r="N32" i="334"/>
  <c r="O32" i="334" s="1"/>
  <c r="N26" i="334"/>
  <c r="O26" i="334" s="1"/>
  <c r="N45" i="334"/>
  <c r="O45" i="334" s="1"/>
  <c r="N53" i="334"/>
  <c r="O53" i="334" s="1"/>
  <c r="N39" i="334"/>
  <c r="O39" i="334" s="1"/>
  <c r="N7" i="334"/>
  <c r="O7" i="334" s="1"/>
  <c r="N37" i="334"/>
  <c r="O37" i="334" s="1"/>
  <c r="N64" i="334"/>
  <c r="O64" i="334" s="1"/>
  <c r="N59" i="334"/>
  <c r="O59" i="334" s="1"/>
  <c r="N38" i="334"/>
  <c r="O38" i="334" s="1"/>
  <c r="N18" i="334"/>
  <c r="O18" i="334" s="1"/>
  <c r="N8" i="334"/>
  <c r="O8" i="334" s="1"/>
  <c r="N55" i="334"/>
  <c r="O55" i="334" s="1"/>
  <c r="N68" i="334"/>
  <c r="O68" i="334" s="1"/>
  <c r="M45" i="334" l="1"/>
  <c r="N15" i="334"/>
  <c r="O15" i="334" s="1"/>
  <c r="M5" i="334"/>
  <c r="M24" i="334"/>
  <c r="M32" i="334"/>
  <c r="M23" i="334"/>
  <c r="M7" i="334"/>
  <c r="M14" i="334"/>
  <c r="M8" i="334"/>
  <c r="M22" i="334"/>
  <c r="M33" i="334"/>
  <c r="M13" i="334"/>
  <c r="M67" i="334"/>
  <c r="M37" i="334"/>
  <c r="M46" i="334"/>
  <c r="M52" i="334"/>
  <c r="M68" i="334"/>
  <c r="M17" i="334"/>
  <c r="M57" i="334"/>
  <c r="M38" i="334"/>
  <c r="M35" i="334"/>
  <c r="M41" i="334"/>
  <c r="M55" i="334"/>
  <c r="M61" i="334"/>
  <c r="M53" i="334"/>
  <c r="M28" i="334"/>
  <c r="M27" i="334"/>
  <c r="M63" i="334"/>
  <c r="M16" i="334"/>
  <c r="M34" i="334"/>
  <c r="M51" i="334"/>
  <c r="M65" i="334"/>
  <c r="M6" i="334"/>
  <c r="N22" i="334"/>
  <c r="O22" i="334" s="1"/>
  <c r="M50" i="334"/>
  <c r="M11" i="334"/>
  <c r="M62" i="334"/>
  <c r="M60" i="334"/>
  <c r="M15" i="334"/>
  <c r="M44" i="334"/>
  <c r="M12" i="334"/>
  <c r="M36" i="334"/>
  <c r="M10" i="334"/>
  <c r="M54" i="334"/>
  <c r="M58" i="334"/>
  <c r="M40" i="334"/>
  <c r="M30" i="334"/>
  <c r="N17" i="334"/>
  <c r="O17" i="334" s="1"/>
  <c r="M56" i="334"/>
  <c r="M25" i="334"/>
  <c r="M9" i="334"/>
  <c r="M42" i="334"/>
  <c r="M18" i="334"/>
  <c r="M20" i="334"/>
  <c r="M39" i="334"/>
  <c r="M26" i="334"/>
  <c r="M66" i="334"/>
  <c r="M43" i="334"/>
  <c r="M31" i="334"/>
  <c r="M59" i="334"/>
  <c r="M29" i="334"/>
  <c r="M48" i="334"/>
  <c r="M21" i="334"/>
  <c r="M49" i="334"/>
  <c r="M19" i="334"/>
  <c r="N48" i="334"/>
  <c r="O48" i="334" s="1"/>
  <c r="M64" i="334"/>
  <c r="M47" i="334"/>
  <c r="N29" i="334"/>
  <c r="O29" i="334" s="1"/>
  <c r="N43" i="334"/>
  <c r="O43" i="334" s="1"/>
  <c r="N50" i="334"/>
  <c r="O50" i="334" s="1"/>
  <c r="N36" i="334"/>
  <c r="O36" i="334" s="1"/>
  <c r="N25" i="334"/>
  <c r="O25" i="334" s="1"/>
  <c r="N65" i="334"/>
  <c r="O65" i="334" s="1"/>
  <c r="N9" i="334"/>
  <c r="O9" i="334" s="1"/>
  <c r="N6" i="334"/>
  <c r="O6" i="334" s="1"/>
  <c r="N24" i="334"/>
  <c r="O24" i="334" s="1"/>
  <c r="N46" i="334"/>
  <c r="O46" i="334" s="1"/>
  <c r="N33" i="334"/>
  <c r="O33" i="334" s="1"/>
  <c r="N12" i="334"/>
  <c r="O12" i="334" s="1"/>
  <c r="N52" i="334"/>
  <c r="O52" i="334" s="1"/>
  <c r="N27" i="334"/>
  <c r="O27" i="334" s="1"/>
  <c r="N42" i="334"/>
  <c r="O42" i="334" s="1"/>
  <c r="N74" i="334" l="1"/>
</calcChain>
</file>

<file path=xl/sharedStrings.xml><?xml version="1.0" encoding="utf-8"?>
<sst xmlns="http://schemas.openxmlformats.org/spreadsheetml/2006/main" count="4901" uniqueCount="133">
  <si>
    <t>礼包类别</t>
  </si>
  <si>
    <t>备注</t>
  </si>
  <si>
    <t>编号</t>
  </si>
  <si>
    <t>昵称</t>
  </si>
  <si>
    <t>曾用名</t>
  </si>
  <si>
    <t>分包</t>
  </si>
  <si>
    <t>分包总分</t>
  </si>
  <si>
    <t>人数</t>
  </si>
  <si>
    <t>消耗分数</t>
  </si>
  <si>
    <t>封印卷個數</t>
  </si>
  <si>
    <t>通靈卷個數</t>
  </si>
  <si>
    <t>價值（金幣）</t>
  </si>
  <si>
    <t>参战</t>
  </si>
  <si>
    <t>人物信息</t>
  </si>
  <si>
    <t>积分统计</t>
  </si>
  <si>
    <t>a跨服传说礼包</t>
  </si>
  <si>
    <t>人物账号</t>
  </si>
  <si>
    <t>参战得分</t>
  </si>
  <si>
    <t>本周得分</t>
  </si>
  <si>
    <t>上周得分</t>
  </si>
  <si>
    <t>结余分数</t>
  </si>
  <si>
    <t>b跨服英雄礼包</t>
  </si>
  <si>
    <t>c跨服精英礼包</t>
  </si>
  <si>
    <t>(未分包)</t>
  </si>
  <si>
    <t>周贡献参数</t>
  </si>
  <si>
    <t>礼包消耗参数</t>
  </si>
  <si>
    <t>年</t>
  </si>
  <si>
    <t>月</t>
  </si>
  <si>
    <t>日</t>
  </si>
  <si>
    <t>组织集结</t>
  </si>
  <si>
    <t>次数</t>
  </si>
  <si>
    <t>*组织集结指数</t>
  </si>
  <si>
    <t>奖励得分</t>
  </si>
  <si>
    <t>a传说功勋礼包</t>
  </si>
  <si>
    <t>b英雄功勋礼包</t>
  </si>
  <si>
    <t>c精英功勋礼包</t>
  </si>
  <si>
    <t>原石</t>
  </si>
  <si>
    <t>打满或漏1</t>
    <phoneticPr fontId="12" type="noConversion"/>
  </si>
  <si>
    <t>活跃</t>
  </si>
  <si>
    <t>欧皇P</t>
  </si>
  <si>
    <t>芝士分子</t>
  </si>
  <si>
    <t>吉外吉</t>
  </si>
  <si>
    <t>胖纸</t>
  </si>
  <si>
    <t>欧皇宇</t>
  </si>
  <si>
    <t>希望你五月还在</t>
  </si>
  <si>
    <t>欧皇7</t>
  </si>
  <si>
    <t>山不羁</t>
  </si>
  <si>
    <t>救人于水火</t>
  </si>
  <si>
    <t>0w0</t>
  </si>
  <si>
    <t>乱入的卡殿</t>
  </si>
  <si>
    <t>风起时</t>
  </si>
  <si>
    <t>小宫山云空</t>
  </si>
  <si>
    <t>过路人停驻</t>
  </si>
  <si>
    <t>瓜瓜爪爪</t>
  </si>
  <si>
    <t>嘿嘿嘿</t>
  </si>
  <si>
    <t>欧皇N@RUTO</t>
  </si>
  <si>
    <t>奈落之胧</t>
  </si>
  <si>
    <t>凸(3)凸</t>
  </si>
  <si>
    <t>血魂</t>
  </si>
  <si>
    <t>Ms音梵塔</t>
  </si>
  <si>
    <t>螺旋丸狗里剑</t>
  </si>
  <si>
    <t>风吹过</t>
  </si>
  <si>
    <t>焚,..城</t>
  </si>
  <si>
    <t>波风铁门</t>
  </si>
  <si>
    <t>千手白</t>
  </si>
  <si>
    <t>欧皇丑</t>
  </si>
  <si>
    <t>月读幻境</t>
  </si>
  <si>
    <t>逍遥李</t>
  </si>
  <si>
    <t>帕拉梅拉</t>
  </si>
  <si>
    <t>云儿怎么这么美</t>
  </si>
  <si>
    <t>八千里路云和月</t>
  </si>
  <si>
    <t>桃地再不斩</t>
  </si>
  <si>
    <t>欧皇吮指原味蛋</t>
  </si>
  <si>
    <t>懒猫.火</t>
  </si>
  <si>
    <t>糖爹</t>
  </si>
  <si>
    <t>⚪.捕风捉影</t>
  </si>
  <si>
    <t>神域 影皇</t>
  </si>
  <si>
    <t>#骆驼刺</t>
  </si>
  <si>
    <t>五好青年</t>
  </si>
  <si>
    <t>阿冰怎么这么帅</t>
  </si>
  <si>
    <t>宇智波！放水</t>
  </si>
  <si>
    <t>欧皇无名</t>
  </si>
  <si>
    <t>拾壹月拾壹</t>
  </si>
  <si>
    <t>小二八点秋香</t>
  </si>
  <si>
    <t>三十功名尘与土</t>
  </si>
  <si>
    <t>⚪.落花流水</t>
  </si>
  <si>
    <t>问你梆梆不梆梆</t>
  </si>
  <si>
    <t>老胡</t>
  </si>
  <si>
    <t>寒羽</t>
  </si>
  <si>
    <t>火之呼吸</t>
  </si>
  <si>
    <t>天道八野木</t>
  </si>
  <si>
    <t>光年</t>
  </si>
  <si>
    <t>宇智波！止水</t>
  </si>
  <si>
    <t>蓝宝石之泪</t>
  </si>
  <si>
    <t>青鸟</t>
  </si>
  <si>
    <t>鬼灭·上弦月零</t>
  </si>
  <si>
    <t>唐,..哇撒</t>
  </si>
  <si>
    <t>超爷</t>
  </si>
  <si>
    <t>叮当</t>
  </si>
  <si>
    <t>欧皇冻</t>
  </si>
  <si>
    <t>幼稚园学渣</t>
  </si>
  <si>
    <t>独饮独醉</t>
  </si>
  <si>
    <t>巴基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</si>
  <si>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3.本周得分=参战得分+奖励得分(奖励得分解释权归管理)。
4.参战得分= 组织成员本周参战次数*100。</t>
  </si>
  <si>
    <t>礼包消耗</t>
  </si>
  <si>
    <t>0-豪</t>
  </si>
  <si>
    <t>蓝宝石之迷</t>
  </si>
  <si>
    <t>PY</t>
  </si>
  <si>
    <t>s</t>
  </si>
  <si>
    <t>l</t>
  </si>
  <si>
    <t>y</t>
  </si>
  <si>
    <t>w</t>
  </si>
  <si>
    <t>g</t>
  </si>
  <si>
    <t>b</t>
  </si>
  <si>
    <t>t</t>
  </si>
  <si>
    <t>q</t>
  </si>
  <si>
    <t>d</t>
  </si>
  <si>
    <t>j</t>
  </si>
  <si>
    <t>h</t>
  </si>
  <si>
    <t>n</t>
  </si>
  <si>
    <t>x</t>
  </si>
  <si>
    <t>p</t>
  </si>
  <si>
    <t>o</t>
  </si>
  <si>
    <t>f</t>
  </si>
  <si>
    <t>z</t>
  </si>
  <si>
    <t>c</t>
  </si>
  <si>
    <t>a</t>
  </si>
  <si>
    <t>m</t>
  </si>
  <si>
    <t>欧皇地势坤</t>
  </si>
  <si>
    <t>欧皇天行健</t>
  </si>
  <si>
    <t>小一</t>
  </si>
  <si>
    <t>一只豆豆哇</t>
  </si>
  <si>
    <t>姆巴佩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</si>
</sst>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_ "/>
  </numFmts>
  <fonts count="18">
    <font>
      <sz val="11"/>
      <name val="宋体"/>
      <charset val="134"/>
    </font>
    <font>
      <b/>
      <sz val="16"/>
      <color rgb="FF1E1E1E"/>
      <name val="黑体"/>
      <family val="3"/>
      <charset val="134"/>
    </font>
    <font>
      <b/>
      <sz val="12"/>
      <color rgb="FF1E1E1E"/>
      <name val="黑体"/>
      <family val="3"/>
      <charset val="134"/>
    </font>
    <font>
      <b/>
      <sz val="14"/>
      <name val="楷体"/>
      <family val="3"/>
      <charset val="134"/>
    </font>
    <font>
      <sz val="11"/>
      <color theme="9" tint="-0.249977111117893"/>
      <name val="宋体"/>
      <family val="3"/>
      <charset val="134"/>
    </font>
    <font>
      <b/>
      <sz val="14"/>
      <color rgb="FF1E1E1E"/>
      <name val="楷体"/>
      <family val="3"/>
      <charset val="134"/>
    </font>
    <font>
      <b/>
      <sz val="12"/>
      <color rgb="FFE36B09"/>
      <name val="宋体"/>
      <family val="3"/>
      <charset val="134"/>
    </font>
    <font>
      <b/>
      <sz val="12"/>
      <color rgb="FF7030A0"/>
      <name val="宋体"/>
      <family val="3"/>
      <charset val="134"/>
    </font>
    <font>
      <b/>
      <sz val="12"/>
      <color rgb="FF0070C0"/>
      <name val="宋体"/>
      <family val="3"/>
      <charset val="134"/>
    </font>
    <font>
      <b/>
      <sz val="16"/>
      <name val="黑体"/>
      <family val="3"/>
      <charset val="134"/>
    </font>
    <font>
      <b/>
      <sz val="14"/>
      <color rgb="FFFF0000"/>
      <name val="楷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sz val="14"/>
      <name val="黑体"/>
      <family val="3"/>
      <charset val="134"/>
    </font>
    <font>
      <sz val="11"/>
      <name val="黑体"/>
      <family val="3"/>
      <charset val="134"/>
    </font>
    <font>
      <sz val="14"/>
      <color rgb="FF1E1E1E"/>
      <name val="黑体"/>
      <family val="3"/>
      <charset val="134"/>
    </font>
    <font>
      <sz val="14"/>
      <color theme="1"/>
      <name val="黑体"/>
      <family val="3"/>
      <charset val="134"/>
    </font>
    <font>
      <b/>
      <sz val="14"/>
      <color theme="9" tint="-0.499984740745262"/>
      <name val="楷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34080019531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2" borderId="1" xfId="0" applyFont="1" applyFill="1" applyBorder="1">
      <alignment vertical="center"/>
    </xf>
    <xf numFmtId="0" fontId="0" fillId="0" borderId="4" xfId="0" applyBorder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7" borderId="0" xfId="0" applyFill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>
      <alignment vertical="center"/>
    </xf>
    <xf numFmtId="0" fontId="16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164" fontId="10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11" fillId="2" borderId="0" xfId="0" applyFont="1" applyFill="1" applyBorder="1">
      <alignment vertical="center"/>
    </xf>
  </cellXfs>
  <cellStyles count="1">
    <cellStyle name="Normal" xfId="0" builtinId="0"/>
  </cellStyles>
  <dxfs count="4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&#27431;&#30343;N@RUT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&#27431;&#30343;N@RUTO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&#27431;&#30343;N@RUTO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&#27431;&#30343;N@RUTO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&#27431;&#30343;N@RUTO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&#27431;&#30343;N@RUTO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&#27431;&#30343;N@RUTO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&#27431;&#30343;N@RUTO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&#27431;&#30343;N@RUTO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&#27431;&#30343;N@RUTO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&#27431;&#30343;N@RUTO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&#27431;&#30343;N@RUTO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&#27431;&#30343;N@RUTO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&#27431;&#30343;N@RUTO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&#27431;&#30343;N@RUTO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&#27431;&#30343;N@RUTO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&#27431;&#30343;N@RUTO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&#27431;&#30343;N@RUTO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&#27431;&#30343;N@RUTO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&#27431;&#30343;N@RUTO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&#27431;&#30343;N@RUTO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&#27431;&#30343;N@RUTO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&#27431;&#30343;N@RU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9BF0-24AB-4D6C-8D11-7D5DC7BC7F96}">
  <dimension ref="A1:AA69"/>
  <sheetViews>
    <sheetView tabSelected="1" topLeftCell="A2" zoomScale="85" zoomScaleNormal="85" workbookViewId="0">
      <selection activeCell="T69" sqref="T69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欧皇宝宝2026年7月4日分包贡献明细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f>COUNTIF(G5:G69,"&lt;&gt;0")</f>
        <v>52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127</v>
      </c>
      <c r="C5" s="7">
        <v>21</v>
      </c>
      <c r="D5" s="6"/>
      <c r="E5" s="29" t="s">
        <v>59</v>
      </c>
      <c r="G5" s="8">
        <v>4</v>
      </c>
      <c r="H5" s="8">
        <v>0</v>
      </c>
      <c r="I5" s="10" t="s">
        <v>33</v>
      </c>
      <c r="J5" s="9">
        <f>G5*100</f>
        <v>400</v>
      </c>
      <c r="K5" s="8">
        <v>0</v>
      </c>
      <c r="L5" s="8">
        <f>SUM(J5+K5)</f>
        <v>400</v>
      </c>
      <c r="M5" s="44">
        <v>2011</v>
      </c>
      <c r="N5" s="42">
        <f>M5+L5</f>
        <v>2411</v>
      </c>
      <c r="O5" s="48">
        <f>VLOOKUP(I5,$R$3:$S$10,2,FALSE)</f>
        <v>312</v>
      </c>
      <c r="P5" s="43">
        <f>IF(N5-O5&gt;0,N5-O5,0)</f>
        <v>2099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120</v>
      </c>
      <c r="C6" s="7">
        <v>29</v>
      </c>
      <c r="D6" s="6"/>
      <c r="E6" s="29" t="s">
        <v>67</v>
      </c>
      <c r="F6" s="32"/>
      <c r="G6" s="8">
        <v>4</v>
      </c>
      <c r="H6" s="8">
        <v>0</v>
      </c>
      <c r="I6" s="10" t="s">
        <v>33</v>
      </c>
      <c r="J6" s="9">
        <f>G6*100</f>
        <v>400</v>
      </c>
      <c r="K6" s="8">
        <v>0</v>
      </c>
      <c r="L6" s="8">
        <f>SUM(J6+K6)</f>
        <v>400</v>
      </c>
      <c r="M6" s="44">
        <v>1984</v>
      </c>
      <c r="N6" s="42">
        <f>M6+L6</f>
        <v>2384</v>
      </c>
      <c r="O6" s="48">
        <f>VLOOKUP(I6,$R$3:$S$10,2,FALSE)</f>
        <v>312</v>
      </c>
      <c r="P6" s="43">
        <f>IF(N6-O6&gt;0,N6-O6,0)</f>
        <v>2072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110</v>
      </c>
      <c r="C7" s="7">
        <v>28</v>
      </c>
      <c r="D7" s="6"/>
      <c r="E7" s="29" t="s">
        <v>66</v>
      </c>
      <c r="F7" s="32"/>
      <c r="G7" s="8">
        <v>4</v>
      </c>
      <c r="H7" s="8">
        <v>0</v>
      </c>
      <c r="I7" s="10" t="s">
        <v>33</v>
      </c>
      <c r="J7" s="9">
        <f>G7*100</f>
        <v>400</v>
      </c>
      <c r="K7" s="8">
        <v>0</v>
      </c>
      <c r="L7" s="8">
        <f>SUM(J7+K7)</f>
        <v>400</v>
      </c>
      <c r="M7" s="44">
        <v>1982</v>
      </c>
      <c r="N7" s="42">
        <f>M7+L7</f>
        <v>2382</v>
      </c>
      <c r="O7" s="48">
        <f>VLOOKUP(I7,$R$3:$S$10,2,FALSE)</f>
        <v>312</v>
      </c>
      <c r="P7" s="43">
        <f>IF(N7-O7&gt;0,N7-O7,0)</f>
        <v>2070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109</v>
      </c>
      <c r="C8" s="7">
        <v>35</v>
      </c>
      <c r="D8" s="6"/>
      <c r="E8" s="29" t="s">
        <v>73</v>
      </c>
      <c r="F8" s="29"/>
      <c r="G8" s="8">
        <v>4</v>
      </c>
      <c r="H8" s="8">
        <v>0</v>
      </c>
      <c r="I8" s="10" t="s">
        <v>33</v>
      </c>
      <c r="J8" s="9">
        <f>G8*100</f>
        <v>400</v>
      </c>
      <c r="K8" s="8">
        <v>0</v>
      </c>
      <c r="L8" s="8">
        <f>SUM(J8+K8)</f>
        <v>400</v>
      </c>
      <c r="M8" s="44">
        <v>1974</v>
      </c>
      <c r="N8" s="42">
        <f>M8+L8</f>
        <v>2374</v>
      </c>
      <c r="O8" s="48">
        <f>VLOOKUP(I8,$R$3:$S$10,2,FALSE)</f>
        <v>312</v>
      </c>
      <c r="P8" s="43">
        <f>IF(N8-O8&gt;0,N8-O8,0)</f>
        <v>2062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113</v>
      </c>
      <c r="C9" s="7">
        <v>37</v>
      </c>
      <c r="D9" s="6"/>
      <c r="E9" s="29" t="s">
        <v>75</v>
      </c>
      <c r="G9" s="8">
        <v>4</v>
      </c>
      <c r="H9" s="8">
        <v>0</v>
      </c>
      <c r="I9" s="10" t="s">
        <v>33</v>
      </c>
      <c r="J9" s="9">
        <f>G9*100</f>
        <v>400</v>
      </c>
      <c r="K9" s="8">
        <v>0</v>
      </c>
      <c r="L9" s="8">
        <f>SUM(J9+K9)</f>
        <v>400</v>
      </c>
      <c r="M9" s="44">
        <v>1971</v>
      </c>
      <c r="N9" s="42">
        <f>M9+L9</f>
        <v>2371</v>
      </c>
      <c r="O9" s="48">
        <f>VLOOKUP(I9,$R$3:$S$10,2,FALSE)</f>
        <v>312</v>
      </c>
      <c r="P9" s="43">
        <f>IF(N9-O9&gt;0,N9-O9,0)</f>
        <v>2059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114</v>
      </c>
      <c r="C10" s="7">
        <v>36</v>
      </c>
      <c r="D10" s="6"/>
      <c r="E10" s="29" t="s">
        <v>74</v>
      </c>
      <c r="F10" s="29"/>
      <c r="G10" s="8">
        <v>4</v>
      </c>
      <c r="H10" s="8">
        <v>0</v>
      </c>
      <c r="I10" s="10" t="s">
        <v>33</v>
      </c>
      <c r="J10" s="9">
        <f>G10*100</f>
        <v>400</v>
      </c>
      <c r="K10" s="8">
        <v>0</v>
      </c>
      <c r="L10" s="8">
        <f>SUM(J10+K10)</f>
        <v>400</v>
      </c>
      <c r="M10" s="44">
        <v>1966</v>
      </c>
      <c r="N10" s="42">
        <f>M10+L10</f>
        <v>2366</v>
      </c>
      <c r="O10" s="48">
        <f>VLOOKUP(I10,$R$3:$S$10,2,FALSE)</f>
        <v>312</v>
      </c>
      <c r="P10" s="43">
        <f>IF(N10-O10&gt;0,N10-O10,0)</f>
        <v>2054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120</v>
      </c>
      <c r="C11" s="7">
        <v>45</v>
      </c>
      <c r="D11" s="6"/>
      <c r="E11" s="29" t="s">
        <v>83</v>
      </c>
      <c r="F11" s="29"/>
      <c r="G11" s="8">
        <v>4</v>
      </c>
      <c r="H11" s="8">
        <v>0</v>
      </c>
      <c r="I11" s="10" t="s">
        <v>33</v>
      </c>
      <c r="J11" s="9">
        <f>G11*100</f>
        <v>400</v>
      </c>
      <c r="K11" s="8">
        <v>0</v>
      </c>
      <c r="L11" s="8">
        <f>SUM(J11+K11)</f>
        <v>400</v>
      </c>
      <c r="M11" s="44">
        <v>1966</v>
      </c>
      <c r="N11" s="42">
        <f>M11+L11</f>
        <v>2366</v>
      </c>
      <c r="O11" s="48">
        <f>VLOOKUP(I11,$R$3:$S$10,2,FALSE)</f>
        <v>312</v>
      </c>
      <c r="P11" s="43">
        <f>IF(N11-O11&gt;0,N11-O11,0)</f>
        <v>2054</v>
      </c>
      <c r="Q11" s="1"/>
      <c r="R11" s="24"/>
    </row>
    <row r="12" spans="1:26" ht="18.75">
      <c r="A12" s="7">
        <v>1</v>
      </c>
      <c r="B12" s="7" t="s">
        <v>114</v>
      </c>
      <c r="C12" s="7">
        <v>58</v>
      </c>
      <c r="D12" s="6"/>
      <c r="E12" s="29" t="s">
        <v>96</v>
      </c>
      <c r="G12" s="8">
        <v>4</v>
      </c>
      <c r="H12" s="8">
        <v>0</v>
      </c>
      <c r="I12" s="11" t="s">
        <v>34</v>
      </c>
      <c r="J12" s="9">
        <f>G12*100</f>
        <v>400</v>
      </c>
      <c r="K12" s="8">
        <v>0</v>
      </c>
      <c r="L12" s="8">
        <f>SUM(J12+K12)</f>
        <v>400</v>
      </c>
      <c r="M12" s="44">
        <v>1964</v>
      </c>
      <c r="N12" s="42">
        <f>M12+L12</f>
        <v>2364</v>
      </c>
      <c r="O12" s="48">
        <f>VLOOKUP(I12,$R$3:$S$10,2,FALSE)</f>
        <v>240</v>
      </c>
      <c r="P12" s="43">
        <f>IF(N12-O12&gt;0,N12-O12,0)</f>
        <v>2124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117</v>
      </c>
      <c r="C13" s="7">
        <v>3</v>
      </c>
      <c r="D13" s="6"/>
      <c r="E13" s="29" t="s">
        <v>41</v>
      </c>
      <c r="F13" s="29"/>
      <c r="G13" s="8">
        <v>4</v>
      </c>
      <c r="H13" s="8">
        <v>0</v>
      </c>
      <c r="I13" s="11" t="s">
        <v>34</v>
      </c>
      <c r="J13" s="9">
        <f>G13*100</f>
        <v>400</v>
      </c>
      <c r="K13" s="8">
        <v>0</v>
      </c>
      <c r="L13" s="8">
        <f>SUM(J13+K13)</f>
        <v>400</v>
      </c>
      <c r="M13" s="44">
        <v>1951</v>
      </c>
      <c r="N13" s="42">
        <f>M13+L13</f>
        <v>2351</v>
      </c>
      <c r="O13" s="48">
        <f>VLOOKUP(I13,$R$3:$S$10,2,FALSE)</f>
        <v>240</v>
      </c>
      <c r="P13" s="43">
        <f>IF(N13-O13&gt;0,N13-O13,0)</f>
        <v>2111</v>
      </c>
      <c r="Q13" s="9"/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122</v>
      </c>
      <c r="C14" s="7">
        <v>32</v>
      </c>
      <c r="D14" s="6"/>
      <c r="E14" s="29" t="s">
        <v>128</v>
      </c>
      <c r="F14" s="32"/>
      <c r="G14" s="8">
        <v>4</v>
      </c>
      <c r="H14" s="8">
        <v>0</v>
      </c>
      <c r="I14" s="11" t="s">
        <v>34</v>
      </c>
      <c r="J14" s="9">
        <f>G14*100</f>
        <v>400</v>
      </c>
      <c r="K14" s="8">
        <v>0</v>
      </c>
      <c r="L14" s="8">
        <f>SUM(J14+K14)</f>
        <v>400</v>
      </c>
      <c r="M14" s="44">
        <v>1941</v>
      </c>
      <c r="N14" s="42">
        <f>M14+L14</f>
        <v>2341</v>
      </c>
      <c r="O14" s="48">
        <f>VLOOKUP(I14,$R$3:$S$10,2,FALSE)</f>
        <v>240</v>
      </c>
      <c r="P14" s="43">
        <f>IF(N14-O14&gt;0,N14-O14,0)</f>
        <v>2101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122</v>
      </c>
      <c r="C15" s="7">
        <v>17</v>
      </c>
      <c r="D15" s="6"/>
      <c r="E15" s="29" t="s">
        <v>55</v>
      </c>
      <c r="F15" s="29"/>
      <c r="G15" s="8">
        <v>4</v>
      </c>
      <c r="H15" s="8">
        <v>0</v>
      </c>
      <c r="I15" s="11" t="s">
        <v>34</v>
      </c>
      <c r="J15" s="9">
        <f>G15*100</f>
        <v>400</v>
      </c>
      <c r="K15" s="8">
        <v>0</v>
      </c>
      <c r="L15" s="8">
        <f>SUM(J15+K15)</f>
        <v>400</v>
      </c>
      <c r="M15" s="44">
        <v>1934</v>
      </c>
      <c r="N15" s="42">
        <f>M15+L15</f>
        <v>2334</v>
      </c>
      <c r="O15" s="48">
        <f>VLOOKUP(I15,$R$3:$S$10,2,FALSE)</f>
        <v>240</v>
      </c>
      <c r="P15" s="43">
        <f>IF(N15-O15&gt;0,N15-O15,0)</f>
        <v>2094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111</v>
      </c>
      <c r="C16" s="7">
        <v>40</v>
      </c>
      <c r="D16" s="6"/>
      <c r="E16" s="30" t="s">
        <v>78</v>
      </c>
      <c r="G16" s="8">
        <v>4</v>
      </c>
      <c r="H16" s="8">
        <v>0</v>
      </c>
      <c r="I16" s="11" t="s">
        <v>34</v>
      </c>
      <c r="J16" s="9">
        <f>G16*100</f>
        <v>400</v>
      </c>
      <c r="K16" s="8">
        <v>0</v>
      </c>
      <c r="L16" s="8">
        <f>SUM(J16+K16)</f>
        <v>400</v>
      </c>
      <c r="M16" s="44">
        <v>1934</v>
      </c>
      <c r="N16" s="42">
        <f>M16+L16</f>
        <v>2334</v>
      </c>
      <c r="O16" s="48">
        <f>VLOOKUP(I16,$R$3:$S$10,2,FALSE)</f>
        <v>240</v>
      </c>
      <c r="P16" s="43">
        <f>IF(N16-O16&gt;0,N16-O16,0)</f>
        <v>2094</v>
      </c>
      <c r="R16" t="s">
        <v>27</v>
      </c>
      <c r="S16">
        <v>7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109</v>
      </c>
      <c r="C17" s="7">
        <v>49</v>
      </c>
      <c r="D17" s="6"/>
      <c r="E17" s="29" t="s">
        <v>87</v>
      </c>
      <c r="F17" s="29"/>
      <c r="G17" s="8">
        <v>4</v>
      </c>
      <c r="H17" s="8">
        <v>0</v>
      </c>
      <c r="I17" s="11" t="s">
        <v>34</v>
      </c>
      <c r="J17" s="9">
        <f>G17*100</f>
        <v>400</v>
      </c>
      <c r="K17" s="8">
        <v>0</v>
      </c>
      <c r="L17" s="8">
        <f>SUM(J17+K17)</f>
        <v>400</v>
      </c>
      <c r="M17" s="44">
        <v>1932</v>
      </c>
      <c r="N17" s="42">
        <f>M17+L17</f>
        <v>2332</v>
      </c>
      <c r="O17" s="48">
        <f>VLOOKUP(I17,$R$3:$S$10,2,FALSE)</f>
        <v>240</v>
      </c>
      <c r="P17" s="43">
        <f>IF(N17-O17&gt;0,N17-O17,0)</f>
        <v>2092</v>
      </c>
      <c r="R17" t="s">
        <v>28</v>
      </c>
      <c r="S17">
        <v>4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122</v>
      </c>
      <c r="C18" s="7">
        <v>46</v>
      </c>
      <c r="D18" s="6"/>
      <c r="E18" s="29" t="s">
        <v>129</v>
      </c>
      <c r="F18" s="29"/>
      <c r="G18" s="8">
        <v>4</v>
      </c>
      <c r="H18" s="8">
        <v>0</v>
      </c>
      <c r="I18" s="11" t="s">
        <v>34</v>
      </c>
      <c r="J18" s="9">
        <f>G18*100</f>
        <v>400</v>
      </c>
      <c r="K18" s="8">
        <v>0</v>
      </c>
      <c r="L18" s="8">
        <f>SUM(J18+K18)</f>
        <v>400</v>
      </c>
      <c r="M18" s="44">
        <v>1930</v>
      </c>
      <c r="N18" s="42">
        <f>M18+L18</f>
        <v>2330</v>
      </c>
      <c r="O18" s="48">
        <f>VLOOKUP(I18,$R$3:$S$10,2,FALSE)</f>
        <v>240</v>
      </c>
      <c r="P18" s="43">
        <f>IF(N18-O18&gt;0,N18-O18,0)</f>
        <v>2090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110</v>
      </c>
      <c r="C19" s="7">
        <v>62</v>
      </c>
      <c r="D19" s="6"/>
      <c r="E19" s="29" t="s">
        <v>100</v>
      </c>
      <c r="F19" s="29"/>
      <c r="G19" s="8">
        <v>4</v>
      </c>
      <c r="H19" s="8">
        <v>0</v>
      </c>
      <c r="I19" s="12" t="s">
        <v>35</v>
      </c>
      <c r="J19" s="9">
        <f>G19*100</f>
        <v>400</v>
      </c>
      <c r="K19" s="8">
        <v>0</v>
      </c>
      <c r="L19" s="8">
        <f>SUM(J19+K19)</f>
        <v>400</v>
      </c>
      <c r="M19" s="44">
        <v>1928</v>
      </c>
      <c r="N19" s="42">
        <f>M19+L19</f>
        <v>2328</v>
      </c>
      <c r="O19" s="48">
        <f>VLOOKUP(I19,$R$3:$S$10,2,FALSE)</f>
        <v>175</v>
      </c>
      <c r="P19" s="43">
        <f>IF(N19-O19&gt;0,N19-O19,0)</f>
        <v>2153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122</v>
      </c>
      <c r="C20" s="7">
        <v>5</v>
      </c>
      <c r="D20" s="6"/>
      <c r="E20" s="29" t="s">
        <v>43</v>
      </c>
      <c r="F20" s="29"/>
      <c r="G20" s="8">
        <v>4</v>
      </c>
      <c r="H20" s="8">
        <v>0</v>
      </c>
      <c r="I20" s="12" t="s">
        <v>35</v>
      </c>
      <c r="J20" s="9">
        <f>G20*100</f>
        <v>400</v>
      </c>
      <c r="K20" s="8">
        <v>0</v>
      </c>
      <c r="L20" s="8">
        <f>SUM(J20+K20)</f>
        <v>400</v>
      </c>
      <c r="M20" s="44">
        <v>1927</v>
      </c>
      <c r="N20" s="42">
        <f>M20+L20</f>
        <v>2327</v>
      </c>
      <c r="O20" s="48">
        <f>VLOOKUP(I20,$R$3:$S$10,2,FALSE)</f>
        <v>175</v>
      </c>
      <c r="P20" s="43">
        <f>IF(N20-O20&gt;0,N20-O20,0)</f>
        <v>2152</v>
      </c>
      <c r="Q20" s="21"/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/>
      <c r="C21" s="7">
        <v>10</v>
      </c>
      <c r="D21" s="6"/>
      <c r="E21" s="29" t="s">
        <v>48</v>
      </c>
      <c r="F21" s="31"/>
      <c r="G21" s="8">
        <v>4</v>
      </c>
      <c r="H21" s="8">
        <v>0</v>
      </c>
      <c r="I21" s="12" t="s">
        <v>35</v>
      </c>
      <c r="J21" s="9">
        <f>G21*100</f>
        <v>400</v>
      </c>
      <c r="K21" s="8">
        <v>0</v>
      </c>
      <c r="L21" s="8">
        <f>SUM(J21+K21)</f>
        <v>400</v>
      </c>
      <c r="M21" s="44">
        <v>1927</v>
      </c>
      <c r="N21" s="42">
        <f>M21+L21</f>
        <v>2327</v>
      </c>
      <c r="O21" s="48">
        <f>VLOOKUP(I21,$R$3:$S$10,2,FALSE)</f>
        <v>175</v>
      </c>
      <c r="P21" s="43">
        <f>IF(N21-O21&gt;0,N21-O21,0)</f>
        <v>2152</v>
      </c>
      <c r="Q21" s="21"/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122</v>
      </c>
      <c r="C22" s="7">
        <v>1</v>
      </c>
      <c r="D22" s="6"/>
      <c r="E22" s="29" t="s">
        <v>39</v>
      </c>
      <c r="F22" s="29"/>
      <c r="G22" s="8">
        <v>4</v>
      </c>
      <c r="H22" s="8">
        <v>0</v>
      </c>
      <c r="I22" s="12" t="s">
        <v>35</v>
      </c>
      <c r="J22" s="9">
        <f>G22*100</f>
        <v>400</v>
      </c>
      <c r="K22" s="8">
        <v>0</v>
      </c>
      <c r="L22" s="8">
        <f>SUM(J22+K22)</f>
        <v>400</v>
      </c>
      <c r="M22" s="44">
        <v>1924</v>
      </c>
      <c r="N22" s="42">
        <f>M22+L22</f>
        <v>2324</v>
      </c>
      <c r="O22" s="48">
        <f>VLOOKUP(I22,$R$3:$S$10,2,FALSE)</f>
        <v>175</v>
      </c>
      <c r="P22" s="43">
        <f>IF(N22-O22&gt;0,N22-O22,0)</f>
        <v>2149</v>
      </c>
      <c r="Q22" s="9"/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109</v>
      </c>
      <c r="C23" s="7">
        <v>47</v>
      </c>
      <c r="D23" s="6"/>
      <c r="E23" s="29" t="s">
        <v>85</v>
      </c>
      <c r="F23" s="29"/>
      <c r="G23" s="8">
        <v>4</v>
      </c>
      <c r="H23" s="8">
        <v>0</v>
      </c>
      <c r="I23" s="12" t="s">
        <v>35</v>
      </c>
      <c r="J23" s="9">
        <f>G23*100</f>
        <v>400</v>
      </c>
      <c r="K23" s="8">
        <v>0</v>
      </c>
      <c r="L23" s="8">
        <f>SUM(J23+K23)</f>
        <v>400</v>
      </c>
      <c r="M23" s="44">
        <v>1921</v>
      </c>
      <c r="N23" s="42">
        <f>M23+L23</f>
        <v>2321</v>
      </c>
      <c r="O23" s="48">
        <f>VLOOKUP(I23,$R$3:$S$10,2,FALSE)</f>
        <v>175</v>
      </c>
      <c r="P23" s="43">
        <f>IF(N23-O23&gt;0,N23-O23,0)</f>
        <v>2146</v>
      </c>
      <c r="Q23" s="1"/>
    </row>
    <row r="24" spans="1:27" ht="18.75">
      <c r="A24" s="7">
        <v>1</v>
      </c>
      <c r="B24" s="7" t="s">
        <v>109</v>
      </c>
      <c r="C24" s="7">
        <v>22</v>
      </c>
      <c r="D24" s="6"/>
      <c r="E24" s="29" t="s">
        <v>60</v>
      </c>
      <c r="F24" s="32"/>
      <c r="G24" s="8">
        <v>4</v>
      </c>
      <c r="H24" s="8">
        <v>0</v>
      </c>
      <c r="I24" s="12" t="s">
        <v>35</v>
      </c>
      <c r="J24" s="9">
        <f>G24*100</f>
        <v>400</v>
      </c>
      <c r="K24" s="8">
        <v>0</v>
      </c>
      <c r="L24" s="8">
        <f>SUM(J24+K24)</f>
        <v>400</v>
      </c>
      <c r="M24" s="44">
        <v>1913</v>
      </c>
      <c r="N24" s="42">
        <f>M24+L24</f>
        <v>2313</v>
      </c>
      <c r="O24" s="48">
        <f>VLOOKUP(I24,$R$3:$S$10,2,FALSE)</f>
        <v>175</v>
      </c>
      <c r="P24" s="43">
        <f>IF(N24-O24&gt;0,N24-O24,0)</f>
        <v>2138</v>
      </c>
      <c r="Q24" s="1"/>
    </row>
    <row r="25" spans="1:27" ht="18.75">
      <c r="A25" s="7">
        <v>1</v>
      </c>
      <c r="B25" s="7" t="s">
        <v>121</v>
      </c>
      <c r="C25" s="7">
        <v>30</v>
      </c>
      <c r="D25" s="6"/>
      <c r="E25" s="29" t="s">
        <v>68</v>
      </c>
      <c r="F25" s="32"/>
      <c r="G25" s="8">
        <v>4</v>
      </c>
      <c r="H25" s="8">
        <v>0</v>
      </c>
      <c r="I25" s="12" t="s">
        <v>35</v>
      </c>
      <c r="J25" s="9">
        <f>G25*100</f>
        <v>400</v>
      </c>
      <c r="K25" s="8">
        <v>0</v>
      </c>
      <c r="L25" s="8">
        <f>SUM(J25+K25)</f>
        <v>400</v>
      </c>
      <c r="M25" s="44">
        <v>1892</v>
      </c>
      <c r="N25" s="42">
        <f>M25+L25</f>
        <v>2292</v>
      </c>
      <c r="O25" s="48">
        <f>VLOOKUP(I25,$R$3:$S$10,2,FALSE)</f>
        <v>175</v>
      </c>
      <c r="P25" s="43">
        <f>IF(N25-O25&gt;0,N25-O25,0)</f>
        <v>2117</v>
      </c>
      <c r="Q25" s="1"/>
    </row>
    <row r="26" spans="1:27" ht="18.75" customHeight="1">
      <c r="A26" s="7">
        <v>1</v>
      </c>
      <c r="B26" s="7" t="s">
        <v>123</v>
      </c>
      <c r="C26" s="7">
        <v>24</v>
      </c>
      <c r="D26" s="6"/>
      <c r="E26" s="29" t="s">
        <v>62</v>
      </c>
      <c r="F26" s="32"/>
      <c r="G26" s="8">
        <v>4</v>
      </c>
      <c r="H26" s="8">
        <v>0</v>
      </c>
      <c r="I26" s="12" t="s">
        <v>35</v>
      </c>
      <c r="J26" s="9">
        <f>G26*100</f>
        <v>400</v>
      </c>
      <c r="K26" s="8">
        <v>0</v>
      </c>
      <c r="L26" s="8">
        <f>SUM(J26+K26)</f>
        <v>400</v>
      </c>
      <c r="M26" s="44">
        <v>1886</v>
      </c>
      <c r="N26" s="42">
        <f>M26+L26</f>
        <v>2286</v>
      </c>
      <c r="O26" s="48">
        <f>VLOOKUP(I26,$R$3:$S$10,2,FALSE)</f>
        <v>175</v>
      </c>
      <c r="P26" s="43">
        <f>IF(N26-O26&gt;0,N26-O26,0)</f>
        <v>2111</v>
      </c>
      <c r="Q26" s="1"/>
    </row>
    <row r="27" spans="1:27" ht="18.75">
      <c r="A27" s="7">
        <v>1</v>
      </c>
      <c r="B27" s="7" t="s">
        <v>122</v>
      </c>
      <c r="C27" s="7">
        <v>43</v>
      </c>
      <c r="D27" s="6"/>
      <c r="E27" s="29" t="s">
        <v>81</v>
      </c>
      <c r="F27" s="31"/>
      <c r="G27" s="8">
        <v>4</v>
      </c>
      <c r="H27" s="8">
        <v>0</v>
      </c>
      <c r="I27" s="12" t="s">
        <v>35</v>
      </c>
      <c r="J27" s="9">
        <f>G27*100</f>
        <v>400</v>
      </c>
      <c r="K27" s="8">
        <v>0</v>
      </c>
      <c r="L27" s="8">
        <f>SUM(J27+K27)</f>
        <v>400</v>
      </c>
      <c r="M27" s="44">
        <v>1878</v>
      </c>
      <c r="N27" s="42">
        <f>M27+L27</f>
        <v>2278</v>
      </c>
      <c r="O27" s="48">
        <f>VLOOKUP(I27,$R$3:$S$10,2,FALSE)</f>
        <v>175</v>
      </c>
      <c r="P27" s="43">
        <f>IF(N27-O27&gt;0,N27-O27,0)</f>
        <v>2103</v>
      </c>
      <c r="Q27" s="1"/>
    </row>
    <row r="28" spans="1:27" ht="18.75">
      <c r="A28" s="7">
        <v>1</v>
      </c>
      <c r="B28" s="7" t="s">
        <v>123</v>
      </c>
      <c r="C28" s="7">
        <v>12</v>
      </c>
      <c r="D28" s="6"/>
      <c r="E28" s="29" t="s">
        <v>50</v>
      </c>
      <c r="F28" s="29"/>
      <c r="G28" s="8">
        <v>4</v>
      </c>
      <c r="H28" s="8">
        <v>0</v>
      </c>
      <c r="I28" s="12" t="s">
        <v>35</v>
      </c>
      <c r="J28" s="9">
        <f>G28*100</f>
        <v>400</v>
      </c>
      <c r="K28" s="8">
        <v>0</v>
      </c>
      <c r="L28" s="8">
        <f>SUM(J28+K28)</f>
        <v>400</v>
      </c>
      <c r="M28" s="44">
        <v>1874</v>
      </c>
      <c r="N28" s="42">
        <f>M28+L28</f>
        <v>2274</v>
      </c>
      <c r="O28" s="48">
        <f>VLOOKUP(I28,$R$3:$S$10,2,FALSE)</f>
        <v>175</v>
      </c>
      <c r="P28" s="43">
        <f>IF(N28-O28&gt;0,N28-O28,0)</f>
        <v>2099</v>
      </c>
      <c r="Q28" s="1"/>
    </row>
    <row r="29" spans="1:27" s="1" customFormat="1" ht="18.75">
      <c r="A29" s="7">
        <v>1</v>
      </c>
      <c r="B29" s="7" t="s">
        <v>110</v>
      </c>
      <c r="C29" s="7">
        <v>42</v>
      </c>
      <c r="D29" s="6"/>
      <c r="E29" s="29" t="s">
        <v>80</v>
      </c>
      <c r="F29" s="32"/>
      <c r="G29" s="8">
        <v>4</v>
      </c>
      <c r="H29" s="8">
        <v>0</v>
      </c>
      <c r="I29" s="12" t="s">
        <v>35</v>
      </c>
      <c r="J29" s="9">
        <f>G29*100</f>
        <v>400</v>
      </c>
      <c r="K29" s="8">
        <v>0</v>
      </c>
      <c r="L29" s="8">
        <f>SUM(J29+K29)</f>
        <v>400</v>
      </c>
      <c r="M29" s="44">
        <v>1871</v>
      </c>
      <c r="N29" s="42">
        <f>M29+L29</f>
        <v>2271</v>
      </c>
      <c r="O29" s="48">
        <f>VLOOKUP(I29,$R$3:$S$10,2,FALSE)</f>
        <v>175</v>
      </c>
      <c r="P29" s="43">
        <f>IF(N29-O29&gt;0,N29-O29,0)</f>
        <v>2096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119</v>
      </c>
      <c r="C30" s="7">
        <v>18</v>
      </c>
      <c r="D30" s="6"/>
      <c r="E30" s="29" t="s">
        <v>56</v>
      </c>
      <c r="F30" s="29"/>
      <c r="G30" s="8">
        <v>4</v>
      </c>
      <c r="H30" s="8">
        <v>0</v>
      </c>
      <c r="I30" s="12" t="s">
        <v>35</v>
      </c>
      <c r="J30" s="9">
        <f>G30*100</f>
        <v>400</v>
      </c>
      <c r="K30" s="8">
        <v>0</v>
      </c>
      <c r="L30" s="8">
        <f>SUM(J30+K30)</f>
        <v>400</v>
      </c>
      <c r="M30" s="44">
        <v>1869</v>
      </c>
      <c r="N30" s="42">
        <f>M30+L30</f>
        <v>2269</v>
      </c>
      <c r="O30" s="48">
        <f>VLOOKUP(I30,$R$3:$S$10,2,FALSE)</f>
        <v>175</v>
      </c>
      <c r="P30" s="43">
        <f>IF(N30-O30&gt;0,N30-O30,0)</f>
        <v>2094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116</v>
      </c>
      <c r="C31" s="7">
        <v>63</v>
      </c>
      <c r="D31" s="6"/>
      <c r="E31" s="29" t="s">
        <v>101</v>
      </c>
      <c r="G31" s="8">
        <v>4</v>
      </c>
      <c r="H31" s="8">
        <v>0</v>
      </c>
      <c r="I31" s="12" t="s">
        <v>35</v>
      </c>
      <c r="J31" s="9">
        <f>G31*100</f>
        <v>400</v>
      </c>
      <c r="K31" s="8">
        <v>0</v>
      </c>
      <c r="L31" s="8">
        <f>SUM(J31+K31)</f>
        <v>400</v>
      </c>
      <c r="M31" s="44">
        <v>1862</v>
      </c>
      <c r="N31" s="42">
        <f>M31+L31</f>
        <v>2262</v>
      </c>
      <c r="O31" s="48">
        <f>VLOOKUP(I31,$R$3:$S$10,2,FALSE)</f>
        <v>175</v>
      </c>
      <c r="P31" s="43">
        <f>IF(N31-O31&gt;0,N31-O31,0)</f>
        <v>2087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112</v>
      </c>
      <c r="C32" s="7">
        <v>53</v>
      </c>
      <c r="D32" s="6"/>
      <c r="E32" s="29" t="s">
        <v>91</v>
      </c>
      <c r="F32" s="29"/>
      <c r="G32" s="8">
        <v>4</v>
      </c>
      <c r="H32" s="8">
        <v>0</v>
      </c>
      <c r="I32" s="12" t="s">
        <v>35</v>
      </c>
      <c r="J32" s="9">
        <f>G32*100</f>
        <v>400</v>
      </c>
      <c r="K32" s="8">
        <v>0</v>
      </c>
      <c r="L32" s="8">
        <f>SUM(J32+K32)</f>
        <v>400</v>
      </c>
      <c r="M32" s="44">
        <v>1810</v>
      </c>
      <c r="N32" s="42">
        <f>M32+L32</f>
        <v>2210</v>
      </c>
      <c r="O32" s="48">
        <f>VLOOKUP(I32,$R$3:$S$10,2,FALSE)</f>
        <v>175</v>
      </c>
      <c r="P32" s="43">
        <f>IF(N32-O32&gt;0,N32-O32,0)</f>
        <v>2035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120</v>
      </c>
      <c r="C33" s="7">
        <v>20</v>
      </c>
      <c r="D33" s="6"/>
      <c r="E33" s="29" t="s">
        <v>58</v>
      </c>
      <c r="F33" s="32"/>
      <c r="G33" s="8">
        <v>3</v>
      </c>
      <c r="H33" s="8">
        <v>0</v>
      </c>
      <c r="I33" s="12" t="s">
        <v>35</v>
      </c>
      <c r="J33" s="9">
        <f>G33*100</f>
        <v>300</v>
      </c>
      <c r="K33" s="8">
        <v>0</v>
      </c>
      <c r="L33" s="8">
        <f>SUM(J33+K33)</f>
        <v>300</v>
      </c>
      <c r="M33" s="44">
        <v>1878</v>
      </c>
      <c r="N33" s="42">
        <f>M33+L33</f>
        <v>2178</v>
      </c>
      <c r="O33" s="48">
        <f>VLOOKUP(I33,$R$3:$S$10,2,FALSE)</f>
        <v>175</v>
      </c>
      <c r="P33" s="43">
        <f>IF(N33-O33&gt;0,N33-O33,0)</f>
        <v>2003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118</v>
      </c>
      <c r="C34" s="7">
        <v>50</v>
      </c>
      <c r="D34" s="6"/>
      <c r="E34" s="29" t="s">
        <v>88</v>
      </c>
      <c r="F34" s="29"/>
      <c r="G34" s="8">
        <v>4</v>
      </c>
      <c r="H34" s="8">
        <v>0</v>
      </c>
      <c r="I34" s="12" t="s">
        <v>35</v>
      </c>
      <c r="J34" s="9">
        <f>G34*100</f>
        <v>400</v>
      </c>
      <c r="K34" s="8">
        <v>0</v>
      </c>
      <c r="L34" s="8">
        <f>SUM(J34+K34)</f>
        <v>400</v>
      </c>
      <c r="M34" s="44">
        <v>1766</v>
      </c>
      <c r="N34" s="42">
        <f>M34+L34</f>
        <v>2166</v>
      </c>
      <c r="O34" s="48">
        <f>VLOOKUP(I34,$R$3:$S$10,2,FALSE)</f>
        <v>175</v>
      </c>
      <c r="P34" s="43">
        <f>IF(N34-O34&gt;0,N34-O34,0)</f>
        <v>1991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109</v>
      </c>
      <c r="C35" s="7">
        <v>55</v>
      </c>
      <c r="D35" s="6"/>
      <c r="E35" s="29" t="s">
        <v>106</v>
      </c>
      <c r="G35" s="8">
        <v>2</v>
      </c>
      <c r="H35" s="8">
        <v>0</v>
      </c>
      <c r="I35" s="12" t="s">
        <v>35</v>
      </c>
      <c r="J35" s="9">
        <f>G35*100</f>
        <v>200</v>
      </c>
      <c r="K35" s="8">
        <v>0</v>
      </c>
      <c r="L35" s="8">
        <f>SUM(J35+K35)</f>
        <v>200</v>
      </c>
      <c r="M35" s="44">
        <v>1957</v>
      </c>
      <c r="N35" s="42">
        <f>M35+L35</f>
        <v>2157</v>
      </c>
      <c r="O35" s="48">
        <f>VLOOKUP(I35,$R$3:$S$10,2,FALSE)</f>
        <v>175</v>
      </c>
      <c r="P35" s="43">
        <f>IF(N35-O35&gt;0,N35-O35,0)</f>
        <v>1982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112</v>
      </c>
      <c r="C36" s="7">
        <v>15</v>
      </c>
      <c r="D36" s="6"/>
      <c r="E36" s="29" t="s">
        <v>53</v>
      </c>
      <c r="F36" s="29"/>
      <c r="G36" s="8">
        <v>4</v>
      </c>
      <c r="H36" s="8">
        <v>0</v>
      </c>
      <c r="I36" s="12" t="s">
        <v>35</v>
      </c>
      <c r="J36" s="9">
        <f>G36*100</f>
        <v>400</v>
      </c>
      <c r="K36" s="8">
        <v>0</v>
      </c>
      <c r="L36" s="8">
        <f>SUM(J36+K36)</f>
        <v>400</v>
      </c>
      <c r="M36" s="44">
        <v>1717</v>
      </c>
      <c r="N36" s="42">
        <f>M36+L36</f>
        <v>2117</v>
      </c>
      <c r="O36" s="48">
        <f>VLOOKUP(I36,$R$3:$S$10,2,FALSE)</f>
        <v>175</v>
      </c>
      <c r="P36" s="43">
        <f>IF(N36-O36&gt;0,N36-O36,0)</f>
        <v>1942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114</v>
      </c>
      <c r="C37" s="7">
        <v>52</v>
      </c>
      <c r="D37" s="6"/>
      <c r="E37" s="29" t="s">
        <v>90</v>
      </c>
      <c r="G37" s="8">
        <v>2</v>
      </c>
      <c r="H37" s="8">
        <v>0</v>
      </c>
      <c r="I37" s="12" t="s">
        <v>35</v>
      </c>
      <c r="J37" s="9">
        <f>G37*100</f>
        <v>200</v>
      </c>
      <c r="K37" s="8">
        <v>0</v>
      </c>
      <c r="L37" s="8">
        <f>SUM(J37+K37)</f>
        <v>200</v>
      </c>
      <c r="M37" s="44">
        <v>1917</v>
      </c>
      <c r="N37" s="42">
        <f>M37+L37</f>
        <v>2117</v>
      </c>
      <c r="O37" s="48">
        <f>VLOOKUP(I37,$R$3:$S$10,2,FALSE)</f>
        <v>175</v>
      </c>
      <c r="P37" s="43">
        <f>IF(N37-O37&gt;0,N37-O37,0)</f>
        <v>1942</v>
      </c>
      <c r="Q37" s="1"/>
    </row>
    <row r="38" spans="1:27" s="1" customFormat="1" ht="18.75">
      <c r="A38" s="7">
        <v>1</v>
      </c>
      <c r="B38" s="7" t="s">
        <v>109</v>
      </c>
      <c r="C38" s="7">
        <v>11</v>
      </c>
      <c r="D38" s="6"/>
      <c r="E38" s="29" t="s">
        <v>49</v>
      </c>
      <c r="F38" s="29"/>
      <c r="G38" s="8">
        <v>2</v>
      </c>
      <c r="H38" s="8">
        <v>0</v>
      </c>
      <c r="I38" s="12" t="s">
        <v>35</v>
      </c>
      <c r="J38" s="9">
        <f>G38*100</f>
        <v>200</v>
      </c>
      <c r="K38" s="8">
        <v>0</v>
      </c>
      <c r="L38" s="8">
        <f>SUM(J38+K38)</f>
        <v>200</v>
      </c>
      <c r="M38" s="44">
        <v>1891</v>
      </c>
      <c r="N38" s="42">
        <f>M38+L38</f>
        <v>2091</v>
      </c>
      <c r="O38" s="48">
        <f>VLOOKUP(I38,$R$3:$S$10,2,FALSE)</f>
        <v>175</v>
      </c>
      <c r="P38" s="43">
        <f>IF(N38-O38&gt;0,N38-O38,0)</f>
        <v>1916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124</v>
      </c>
      <c r="C39" s="7">
        <v>2</v>
      </c>
      <c r="D39" s="6"/>
      <c r="E39" s="29" t="s">
        <v>40</v>
      </c>
      <c r="F39" s="29"/>
      <c r="G39" s="8">
        <v>3</v>
      </c>
      <c r="H39" s="8">
        <v>0</v>
      </c>
      <c r="I39" s="12" t="s">
        <v>35</v>
      </c>
      <c r="J39" s="9">
        <f>G39*100</f>
        <v>300</v>
      </c>
      <c r="K39" s="8">
        <v>0</v>
      </c>
      <c r="L39" s="8">
        <f>SUM(J39+K39)</f>
        <v>300</v>
      </c>
      <c r="M39" s="44">
        <v>1778</v>
      </c>
      <c r="N39" s="42">
        <f>M39+L39</f>
        <v>2078</v>
      </c>
      <c r="O39" s="48">
        <f>VLOOKUP(I39,$R$3:$S$10,2,FALSE)</f>
        <v>175</v>
      </c>
      <c r="P39" s="43">
        <f>IF(N39-O39&gt;0,N39-O39,0)</f>
        <v>1903</v>
      </c>
      <c r="Q39" s="9"/>
    </row>
    <row r="40" spans="1:27" ht="18.75">
      <c r="A40" s="7">
        <v>1</v>
      </c>
      <c r="B40" s="7" t="s">
        <v>115</v>
      </c>
      <c r="C40" s="7">
        <v>26</v>
      </c>
      <c r="D40" s="6"/>
      <c r="E40" s="29" t="s">
        <v>64</v>
      </c>
      <c r="F40" s="32"/>
      <c r="G40" s="8">
        <v>4</v>
      </c>
      <c r="H40" s="8">
        <v>0</v>
      </c>
      <c r="I40" s="12" t="s">
        <v>35</v>
      </c>
      <c r="J40" s="9">
        <f>G40*100</f>
        <v>400</v>
      </c>
      <c r="K40" s="8">
        <v>0</v>
      </c>
      <c r="L40" s="8">
        <f>SUM(J40+K40)</f>
        <v>400</v>
      </c>
      <c r="M40" s="44">
        <v>1619</v>
      </c>
      <c r="N40" s="42">
        <f>M40+L40</f>
        <v>2019</v>
      </c>
      <c r="O40" s="48">
        <f>VLOOKUP(I40,$R$3:$S$10,2,FALSE)</f>
        <v>175</v>
      </c>
      <c r="P40" s="43">
        <f>IF(N40-O40&gt;0,N40-O40,0)</f>
        <v>1844</v>
      </c>
      <c r="Q40" s="1"/>
    </row>
    <row r="41" spans="1:27" ht="18.75">
      <c r="A41" s="7">
        <v>1</v>
      </c>
      <c r="B41" s="7" t="s">
        <v>120</v>
      </c>
      <c r="C41" s="7">
        <v>64</v>
      </c>
      <c r="D41" s="6"/>
      <c r="E41" s="29" t="s">
        <v>131</v>
      </c>
      <c r="F41" s="29"/>
      <c r="G41" s="8">
        <v>3</v>
      </c>
      <c r="H41" s="8">
        <v>0</v>
      </c>
      <c r="I41" s="12" t="s">
        <v>35</v>
      </c>
      <c r="J41" s="9">
        <f>G41*100</f>
        <v>300</v>
      </c>
      <c r="K41" s="8">
        <v>0</v>
      </c>
      <c r="L41" s="8">
        <f>SUM(J41+K41)</f>
        <v>300</v>
      </c>
      <c r="M41" s="44">
        <v>1719</v>
      </c>
      <c r="N41" s="42">
        <f>M41+L41</f>
        <v>2019</v>
      </c>
      <c r="O41" s="48">
        <f>VLOOKUP(I41,$R$3:$S$10,2,FALSE)</f>
        <v>175</v>
      </c>
      <c r="P41" s="43">
        <f>IF(N41-O41&gt;0,N41-O41,0)</f>
        <v>1844</v>
      </c>
      <c r="Q41" s="1"/>
    </row>
    <row r="42" spans="1:27" ht="18.75">
      <c r="A42" s="7">
        <v>1</v>
      </c>
      <c r="B42" s="7" t="s">
        <v>112</v>
      </c>
      <c r="C42" s="7">
        <v>14</v>
      </c>
      <c r="D42" s="6"/>
      <c r="E42" s="29" t="s">
        <v>52</v>
      </c>
      <c r="F42" s="29"/>
      <c r="G42" s="8">
        <v>3</v>
      </c>
      <c r="H42" s="8">
        <v>0</v>
      </c>
      <c r="I42" s="12" t="s">
        <v>35</v>
      </c>
      <c r="J42" s="9">
        <f>G42*100</f>
        <v>300</v>
      </c>
      <c r="K42" s="8">
        <v>0</v>
      </c>
      <c r="L42" s="8">
        <f>SUM(J42+K42)</f>
        <v>300</v>
      </c>
      <c r="M42" s="44">
        <v>1716</v>
      </c>
      <c r="N42" s="42">
        <f>M42+L42</f>
        <v>2016</v>
      </c>
      <c r="O42" s="48">
        <f>VLOOKUP(I42,$R$3:$S$10,2,FALSE)</f>
        <v>175</v>
      </c>
      <c r="P42" s="43">
        <f>IF(N42-O42&gt;0,N42-O42,0)</f>
        <v>1841</v>
      </c>
      <c r="Q42" s="1"/>
    </row>
    <row r="43" spans="1:27" ht="18.75">
      <c r="A43" s="7">
        <v>1</v>
      </c>
      <c r="B43" s="7" t="s">
        <v>120</v>
      </c>
      <c r="C43" s="7">
        <v>13</v>
      </c>
      <c r="D43" s="6"/>
      <c r="E43" s="29" t="s">
        <v>51</v>
      </c>
      <c r="F43" s="29"/>
      <c r="G43" s="8">
        <v>2</v>
      </c>
      <c r="H43" s="8">
        <v>0</v>
      </c>
      <c r="I43" s="12" t="s">
        <v>35</v>
      </c>
      <c r="J43" s="9">
        <f>G43*100</f>
        <v>200</v>
      </c>
      <c r="K43" s="8">
        <v>0</v>
      </c>
      <c r="L43" s="8">
        <f>SUM(J43+K43)</f>
        <v>200</v>
      </c>
      <c r="M43" s="44">
        <v>1808</v>
      </c>
      <c r="N43" s="42">
        <f>M43+L43</f>
        <v>2008</v>
      </c>
      <c r="O43" s="48">
        <f>VLOOKUP(I43,$R$3:$S$10,2,FALSE)</f>
        <v>175</v>
      </c>
      <c r="P43" s="43">
        <f>IF(N43-O43&gt;0,N43-O43,0)</f>
        <v>1833</v>
      </c>
      <c r="Q43" s="1"/>
    </row>
    <row r="44" spans="1:27" ht="18.75">
      <c r="A44" s="7">
        <v>1</v>
      </c>
      <c r="B44" s="7" t="s">
        <v>110</v>
      </c>
      <c r="C44" s="7">
        <v>54</v>
      </c>
      <c r="D44" s="6"/>
      <c r="E44" s="29" t="s">
        <v>92</v>
      </c>
      <c r="G44" s="8">
        <v>4</v>
      </c>
      <c r="H44" s="8">
        <v>0</v>
      </c>
      <c r="I44" s="12" t="s">
        <v>35</v>
      </c>
      <c r="J44" s="9">
        <f>G44*100</f>
        <v>400</v>
      </c>
      <c r="K44" s="8">
        <v>0</v>
      </c>
      <c r="L44" s="8">
        <f>SUM(J44+K44)</f>
        <v>400</v>
      </c>
      <c r="M44" s="44">
        <v>1575</v>
      </c>
      <c r="N44" s="42">
        <f>M44+L44</f>
        <v>1975</v>
      </c>
      <c r="O44" s="48">
        <f>VLOOKUP(I44,$R$3:$S$10,2,FALSE)</f>
        <v>175</v>
      </c>
      <c r="P44" s="43">
        <f>IF(N44-O44&gt;0,N44-O44,0)</f>
        <v>1800</v>
      </c>
      <c r="Q44" s="1"/>
    </row>
    <row r="45" spans="1:27" ht="18.75">
      <c r="A45" s="7">
        <v>1</v>
      </c>
      <c r="B45" s="7" t="s">
        <v>120</v>
      </c>
      <c r="C45" s="7">
        <v>6</v>
      </c>
      <c r="D45" s="6"/>
      <c r="E45" s="29" t="s">
        <v>44</v>
      </c>
      <c r="F45" s="29"/>
      <c r="G45" s="8">
        <v>4</v>
      </c>
      <c r="H45" s="8">
        <v>0</v>
      </c>
      <c r="I45" s="12" t="s">
        <v>35</v>
      </c>
      <c r="J45" s="9">
        <f>G45*100</f>
        <v>400</v>
      </c>
      <c r="K45" s="8">
        <v>0</v>
      </c>
      <c r="L45" s="8">
        <f>SUM(J45+K45)</f>
        <v>400</v>
      </c>
      <c r="M45" s="44">
        <v>1564</v>
      </c>
      <c r="N45" s="42">
        <f>M45+L45</f>
        <v>1964</v>
      </c>
      <c r="O45" s="48">
        <f>VLOOKUP(I45,$R$3:$S$10,2,FALSE)</f>
        <v>175</v>
      </c>
      <c r="P45" s="43">
        <f>IF(N45-O45&gt;0,N45-O45,0)</f>
        <v>1789</v>
      </c>
      <c r="Q45" s="15"/>
    </row>
    <row r="46" spans="1:27" ht="18.75">
      <c r="A46" s="7">
        <v>1</v>
      </c>
      <c r="B46" s="7" t="s">
        <v>115</v>
      </c>
      <c r="C46" s="7">
        <v>56</v>
      </c>
      <c r="D46" s="6"/>
      <c r="E46" s="29" t="s">
        <v>94</v>
      </c>
      <c r="F46" s="29"/>
      <c r="G46" s="8">
        <v>3</v>
      </c>
      <c r="H46" s="8">
        <v>0</v>
      </c>
      <c r="I46" s="12" t="s">
        <v>35</v>
      </c>
      <c r="J46" s="9">
        <f>G46*100</f>
        <v>300</v>
      </c>
      <c r="K46" s="8">
        <v>0</v>
      </c>
      <c r="L46" s="8">
        <f>SUM(J46+K46)</f>
        <v>300</v>
      </c>
      <c r="M46" s="44">
        <v>1601</v>
      </c>
      <c r="N46" s="42">
        <f>M46+L46</f>
        <v>1901</v>
      </c>
      <c r="O46" s="48">
        <f>VLOOKUP(I46,$R$3:$S$10,2,FALSE)</f>
        <v>175</v>
      </c>
      <c r="P46" s="43">
        <f>IF(N46-O46&gt;0,N46-O46,0)</f>
        <v>1726</v>
      </c>
      <c r="Q46" s="1"/>
    </row>
    <row r="47" spans="1:27" ht="18.75">
      <c r="A47" s="7">
        <v>1</v>
      </c>
      <c r="B47" s="7" t="s">
        <v>118</v>
      </c>
      <c r="C47" s="7">
        <v>16</v>
      </c>
      <c r="D47" s="6"/>
      <c r="E47" s="29" t="s">
        <v>54</v>
      </c>
      <c r="F47" s="32"/>
      <c r="G47" s="8">
        <v>4</v>
      </c>
      <c r="H47" s="8">
        <v>0</v>
      </c>
      <c r="I47" s="12" t="s">
        <v>35</v>
      </c>
      <c r="J47" s="9">
        <f>G47*100</f>
        <v>400</v>
      </c>
      <c r="K47" s="8">
        <v>0</v>
      </c>
      <c r="L47" s="8">
        <f>SUM(J47+K47)</f>
        <v>400</v>
      </c>
      <c r="M47" s="44">
        <v>1410</v>
      </c>
      <c r="N47" s="42">
        <f>M47+L47</f>
        <v>1810</v>
      </c>
      <c r="O47" s="48">
        <f>VLOOKUP(I47,$R$3:$S$10,2,FALSE)</f>
        <v>175</v>
      </c>
      <c r="P47" s="43">
        <f>IF(N47-O47&gt;0,N47-O47,0)</f>
        <v>1635</v>
      </c>
      <c r="Q47" s="1"/>
    </row>
    <row r="48" spans="1:27" ht="18.75">
      <c r="A48" s="7">
        <v>1</v>
      </c>
      <c r="B48" s="7" t="s">
        <v>113</v>
      </c>
      <c r="C48" s="7">
        <v>25</v>
      </c>
      <c r="D48" s="6"/>
      <c r="E48" s="29" t="s">
        <v>63</v>
      </c>
      <c r="F48" s="32"/>
      <c r="G48" s="8">
        <v>4</v>
      </c>
      <c r="H48" s="8">
        <v>0</v>
      </c>
      <c r="I48" s="12" t="s">
        <v>35</v>
      </c>
      <c r="J48" s="9">
        <f>G48*100</f>
        <v>400</v>
      </c>
      <c r="K48" s="8">
        <v>0</v>
      </c>
      <c r="L48" s="8">
        <f>SUM(J48+K48)</f>
        <v>400</v>
      </c>
      <c r="M48" s="44">
        <v>1350</v>
      </c>
      <c r="N48" s="42">
        <f>M48+L48</f>
        <v>1750</v>
      </c>
      <c r="O48" s="48">
        <f>VLOOKUP(I48,$R$3:$S$10,2,FALSE)</f>
        <v>175</v>
      </c>
      <c r="P48" s="43">
        <f>IF(N48-O48&gt;0,N48-O48,0)</f>
        <v>1575</v>
      </c>
      <c r="Q48" s="58"/>
    </row>
    <row r="49" spans="1:17" ht="18.75">
      <c r="A49" s="7">
        <v>1</v>
      </c>
      <c r="B49" s="7" t="s">
        <v>127</v>
      </c>
      <c r="C49" s="7">
        <v>33</v>
      </c>
      <c r="D49" s="6"/>
      <c r="E49" s="29" t="s">
        <v>132</v>
      </c>
      <c r="F49" s="29"/>
      <c r="G49" s="8">
        <v>3</v>
      </c>
      <c r="H49" s="8">
        <v>0</v>
      </c>
      <c r="I49" s="12" t="s">
        <v>35</v>
      </c>
      <c r="J49" s="9">
        <f>G49*100</f>
        <v>300</v>
      </c>
      <c r="K49" s="8">
        <v>0</v>
      </c>
      <c r="L49" s="8">
        <f>SUM(J49+K49)</f>
        <v>300</v>
      </c>
      <c r="M49" s="44">
        <v>1303</v>
      </c>
      <c r="N49" s="42">
        <f>M49+L49</f>
        <v>1603</v>
      </c>
      <c r="O49" s="48">
        <f>VLOOKUP(I49,$R$3:$S$10,2,FALSE)</f>
        <v>175</v>
      </c>
      <c r="P49" s="43">
        <f>IF(N49-O49&gt;0,N49-O49,0)</f>
        <v>1428</v>
      </c>
    </row>
    <row r="50" spans="1:17" ht="18.75">
      <c r="A50" s="7">
        <v>1</v>
      </c>
      <c r="B50" s="7" t="s">
        <v>126</v>
      </c>
      <c r="C50" s="7">
        <v>41</v>
      </c>
      <c r="D50" s="6"/>
      <c r="E50" s="29" t="s">
        <v>79</v>
      </c>
      <c r="F50" s="32"/>
      <c r="G50" s="8">
        <v>2</v>
      </c>
      <c r="H50" s="8">
        <v>0</v>
      </c>
      <c r="I50" s="12" t="s">
        <v>35</v>
      </c>
      <c r="J50" s="9">
        <f>G50*100</f>
        <v>200</v>
      </c>
      <c r="K50" s="8">
        <v>0</v>
      </c>
      <c r="L50" s="8">
        <f>SUM(J50+K50)</f>
        <v>200</v>
      </c>
      <c r="M50" s="44">
        <v>1401</v>
      </c>
      <c r="N50" s="42">
        <f>M50+L50</f>
        <v>1601</v>
      </c>
      <c r="O50" s="48">
        <f>VLOOKUP(I50,$R$3:$S$10,2,FALSE)</f>
        <v>175</v>
      </c>
      <c r="P50" s="43">
        <f>IF(N50-O50&gt;0,N50-O50,0)</f>
        <v>1426</v>
      </c>
      <c r="Q50" s="58"/>
    </row>
    <row r="51" spans="1:17" ht="18.75">
      <c r="A51" s="7">
        <v>1</v>
      </c>
      <c r="B51" s="7" t="s">
        <v>109</v>
      </c>
      <c r="C51" s="7">
        <v>39</v>
      </c>
      <c r="D51" s="6"/>
      <c r="E51" s="29" t="s">
        <v>77</v>
      </c>
      <c r="F51" s="29"/>
      <c r="G51" s="8">
        <v>2</v>
      </c>
      <c r="H51" s="8">
        <v>0</v>
      </c>
      <c r="I51" s="12" t="s">
        <v>35</v>
      </c>
      <c r="J51" s="9">
        <f>G51*100</f>
        <v>200</v>
      </c>
      <c r="K51" s="8">
        <v>0</v>
      </c>
      <c r="L51" s="8">
        <f>SUM(J51+K51)</f>
        <v>200</v>
      </c>
      <c r="M51" s="44">
        <v>1300</v>
      </c>
      <c r="N51" s="42">
        <f>M51+L51</f>
        <v>1500</v>
      </c>
      <c r="O51" s="48">
        <f>VLOOKUP(I51,$R$3:$S$10,2,FALSE)</f>
        <v>175</v>
      </c>
      <c r="P51" s="43">
        <f>IF(N51-O51&gt;0,N51-O51,0)</f>
        <v>1325</v>
      </c>
      <c r="Q51" s="58"/>
    </row>
    <row r="52" spans="1:17" ht="18.75">
      <c r="A52" s="7">
        <v>1</v>
      </c>
      <c r="B52" s="7" t="s">
        <v>108</v>
      </c>
      <c r="C52" s="7">
        <v>44</v>
      </c>
      <c r="D52" s="6"/>
      <c r="E52" s="29" t="s">
        <v>82</v>
      </c>
      <c r="F52" s="29"/>
      <c r="G52" s="8">
        <v>3</v>
      </c>
      <c r="H52" s="8">
        <v>0</v>
      </c>
      <c r="I52" s="12" t="s">
        <v>35</v>
      </c>
      <c r="J52" s="9">
        <f>G52*100</f>
        <v>300</v>
      </c>
      <c r="K52" s="8">
        <v>0</v>
      </c>
      <c r="L52" s="8">
        <f>SUM(J52+K52)</f>
        <v>300</v>
      </c>
      <c r="M52" s="44">
        <v>1154</v>
      </c>
      <c r="N52" s="42">
        <f>M52+L52</f>
        <v>1454</v>
      </c>
      <c r="O52" s="48">
        <f>VLOOKUP(I52,$R$3:$S$10,2,FALSE)</f>
        <v>175</v>
      </c>
      <c r="P52" s="43">
        <f>IF(N52-O52&gt;0,N52-O52,0)</f>
        <v>1279</v>
      </c>
      <c r="Q52" s="58"/>
    </row>
    <row r="53" spans="1:17" ht="18.75">
      <c r="A53" s="7">
        <v>1</v>
      </c>
      <c r="B53" s="7" t="s">
        <v>121</v>
      </c>
      <c r="C53" s="7">
        <v>4</v>
      </c>
      <c r="D53" s="6"/>
      <c r="E53" s="29" t="s">
        <v>42</v>
      </c>
      <c r="F53" s="29"/>
      <c r="G53" s="8">
        <v>1</v>
      </c>
      <c r="H53" s="8">
        <v>0</v>
      </c>
      <c r="I53" s="12" t="s">
        <v>35</v>
      </c>
      <c r="J53" s="9">
        <f>G53*100</f>
        <v>100</v>
      </c>
      <c r="K53" s="8">
        <v>0</v>
      </c>
      <c r="L53" s="8">
        <f>SUM(J53+K53)</f>
        <v>100</v>
      </c>
      <c r="M53" s="44">
        <v>1219</v>
      </c>
      <c r="N53" s="42">
        <f>M53+L53</f>
        <v>1319</v>
      </c>
      <c r="O53" s="48">
        <f>VLOOKUP(I53,$R$3:$S$10,2,FALSE)</f>
        <v>175</v>
      </c>
      <c r="P53" s="43">
        <f>IF(N53-O53&gt;0,N53-O53,0)</f>
        <v>1144</v>
      </c>
      <c r="Q53" s="60"/>
    </row>
    <row r="54" spans="1:17" ht="18.75">
      <c r="A54" s="7">
        <v>1</v>
      </c>
      <c r="B54" s="7" t="s">
        <v>118</v>
      </c>
      <c r="C54" s="7">
        <v>65</v>
      </c>
      <c r="E54" s="29" t="s">
        <v>105</v>
      </c>
      <c r="G54" s="8">
        <v>3</v>
      </c>
      <c r="H54" s="8">
        <v>0</v>
      </c>
      <c r="I54" s="12" t="s">
        <v>35</v>
      </c>
      <c r="J54" s="9">
        <f>G54*100</f>
        <v>300</v>
      </c>
      <c r="K54" s="8">
        <v>0</v>
      </c>
      <c r="L54" s="8">
        <f>SUM(J54+K54)</f>
        <v>300</v>
      </c>
      <c r="M54" s="44">
        <v>825</v>
      </c>
      <c r="N54" s="42">
        <f>M54+L54</f>
        <v>1125</v>
      </c>
      <c r="O54" s="48">
        <f>VLOOKUP(I54,$R$3:$S$10,2,FALSE)</f>
        <v>175</v>
      </c>
      <c r="P54" s="43">
        <f>IF(N54-O54&gt;0,N54-O54,0)</f>
        <v>950</v>
      </c>
      <c r="Q54" s="58"/>
    </row>
    <row r="55" spans="1:17" ht="18.75">
      <c r="A55" s="7">
        <v>1</v>
      </c>
      <c r="B55" s="7" t="s">
        <v>117</v>
      </c>
      <c r="C55" s="7">
        <v>9</v>
      </c>
      <c r="D55" s="6"/>
      <c r="E55" s="29" t="s">
        <v>47</v>
      </c>
      <c r="F55" s="33"/>
      <c r="G55" s="8">
        <v>0</v>
      </c>
      <c r="H55" s="8">
        <v>0</v>
      </c>
      <c r="I55" s="27" t="s">
        <v>23</v>
      </c>
      <c r="J55" s="9">
        <f>G55*100</f>
        <v>0</v>
      </c>
      <c r="K55" s="8">
        <v>0</v>
      </c>
      <c r="L55" s="8">
        <f>SUM(J55+K55)</f>
        <v>0</v>
      </c>
      <c r="M55" s="44">
        <v>961</v>
      </c>
      <c r="N55" s="42">
        <f>M55+L55</f>
        <v>961</v>
      </c>
      <c r="O55" s="48">
        <f>VLOOKUP(I55,$R$3:$S$10,2,FALSE)</f>
        <v>0</v>
      </c>
      <c r="P55" s="43">
        <f>IF(N55-O55&gt;0,N55-O55,0)</f>
        <v>961</v>
      </c>
      <c r="Q55" s="59"/>
    </row>
    <row r="56" spans="1:17" ht="18.75">
      <c r="A56" s="7">
        <v>1</v>
      </c>
      <c r="B56" s="7" t="s">
        <v>123</v>
      </c>
      <c r="C56" s="7">
        <v>23</v>
      </c>
      <c r="D56" s="6"/>
      <c r="E56" s="29" t="s">
        <v>61</v>
      </c>
      <c r="F56" s="32"/>
      <c r="G56" s="8">
        <v>0</v>
      </c>
      <c r="H56" s="8">
        <v>0</v>
      </c>
      <c r="I56" s="27" t="s">
        <v>23</v>
      </c>
      <c r="J56" s="9">
        <f>G56*100</f>
        <v>0</v>
      </c>
      <c r="K56" s="8">
        <v>0</v>
      </c>
      <c r="L56" s="8">
        <f>SUM(J56+K56)</f>
        <v>0</v>
      </c>
      <c r="M56" s="44">
        <v>951</v>
      </c>
      <c r="N56" s="42">
        <f>M56+L56</f>
        <v>951</v>
      </c>
      <c r="O56" s="48">
        <f>VLOOKUP(I56,$R$3:$S$10,2,FALSE)</f>
        <v>0</v>
      </c>
      <c r="P56" s="43">
        <f>IF(N56-O56&gt;0,N56-O56,0)</f>
        <v>951</v>
      </c>
      <c r="Q56" s="58"/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2</v>
      </c>
      <c r="H57" s="8">
        <v>0</v>
      </c>
      <c r="I57" s="12" t="s">
        <v>35</v>
      </c>
      <c r="J57" s="9">
        <f>G57*100</f>
        <v>200</v>
      </c>
      <c r="K57" s="8">
        <v>0</v>
      </c>
      <c r="L57" s="8">
        <f>SUM(J57+K57)</f>
        <v>200</v>
      </c>
      <c r="M57" s="44">
        <v>750</v>
      </c>
      <c r="N57" s="42">
        <f>M57+L57</f>
        <v>950</v>
      </c>
      <c r="O57" s="48">
        <f>VLOOKUP(I57,$R$3:$S$10,2,FALSE)</f>
        <v>175</v>
      </c>
      <c r="P57" s="43">
        <f>IF(N57-O57&gt;0,N57-O57,0)</f>
        <v>775</v>
      </c>
    </row>
    <row r="58" spans="1:17" ht="18.75">
      <c r="A58" s="7">
        <v>1</v>
      </c>
      <c r="B58" s="7" t="s">
        <v>110</v>
      </c>
      <c r="C58" s="7">
        <v>31</v>
      </c>
      <c r="D58" s="6"/>
      <c r="E58" s="29" t="s">
        <v>69</v>
      </c>
      <c r="F58" s="32"/>
      <c r="G58" s="8">
        <v>3</v>
      </c>
      <c r="H58" s="8">
        <v>0</v>
      </c>
      <c r="I58" s="12" t="s">
        <v>35</v>
      </c>
      <c r="J58" s="9">
        <f>G58*100</f>
        <v>300</v>
      </c>
      <c r="K58" s="8">
        <v>0</v>
      </c>
      <c r="L58" s="8">
        <f>SUM(J58+K58)</f>
        <v>300</v>
      </c>
      <c r="M58" s="44">
        <v>375</v>
      </c>
      <c r="N58" s="42">
        <f>M58+L58</f>
        <v>675</v>
      </c>
      <c r="O58" s="48">
        <f>VLOOKUP(I58,$R$3:$S$10,2,FALSE)</f>
        <v>175</v>
      </c>
      <c r="P58" s="43">
        <f>IF(N58-O58&gt;0,N58-O58,0)</f>
        <v>500</v>
      </c>
    </row>
    <row r="59" spans="1:17" ht="18.75">
      <c r="A59" s="7">
        <v>1</v>
      </c>
      <c r="B59" s="7" t="s">
        <v>112</v>
      </c>
      <c r="C59" s="7">
        <v>57</v>
      </c>
      <c r="D59" s="6"/>
      <c r="E59" s="29" t="s">
        <v>95</v>
      </c>
      <c r="G59" s="8">
        <v>0</v>
      </c>
      <c r="H59" s="8">
        <v>0</v>
      </c>
      <c r="I59" s="27" t="s">
        <v>23</v>
      </c>
      <c r="J59" s="9">
        <f>G59*100</f>
        <v>0</v>
      </c>
      <c r="K59" s="8">
        <v>0</v>
      </c>
      <c r="L59" s="8">
        <f>SUM(J59+K59)</f>
        <v>0</v>
      </c>
      <c r="M59" s="44">
        <v>410</v>
      </c>
      <c r="N59" s="42">
        <f>M59+L59</f>
        <v>410</v>
      </c>
      <c r="O59" s="48">
        <f>VLOOKUP(I59,$R$3:$S$10,2,FALSE)</f>
        <v>0</v>
      </c>
      <c r="P59" s="43">
        <f>IF(N59-O59&gt;0,N59-O59,0)</f>
        <v>410</v>
      </c>
      <c r="Q59" s="58"/>
    </row>
    <row r="60" spans="1:17" ht="18.75">
      <c r="A60" s="7">
        <v>1</v>
      </c>
      <c r="B60" s="7" t="s">
        <v>122</v>
      </c>
      <c r="C60" s="7">
        <v>27</v>
      </c>
      <c r="D60" s="6"/>
      <c r="E60" s="29" t="s">
        <v>65</v>
      </c>
      <c r="F60" s="32"/>
      <c r="G60" s="8">
        <v>0</v>
      </c>
      <c r="H60" s="8">
        <v>0</v>
      </c>
      <c r="I60" s="27" t="s">
        <v>23</v>
      </c>
      <c r="J60" s="9">
        <f>G60*100</f>
        <v>0</v>
      </c>
      <c r="K60" s="8">
        <v>0</v>
      </c>
      <c r="L60" s="8">
        <f>SUM(J60+K60)</f>
        <v>0</v>
      </c>
      <c r="M60" s="44">
        <v>300</v>
      </c>
      <c r="N60" s="42">
        <f>M60+L60</f>
        <v>300</v>
      </c>
      <c r="O60" s="48">
        <f>VLOOKUP(I60,$R$3:$S$10,2,FALSE)</f>
        <v>0</v>
      </c>
      <c r="P60" s="43">
        <f>IF(N60-O60&gt;0,N60-O60,0)</f>
        <v>300</v>
      </c>
      <c r="Q60" s="58"/>
    </row>
    <row r="61" spans="1:17" ht="18.75">
      <c r="A61" s="7">
        <v>1</v>
      </c>
      <c r="B61" s="7" t="s">
        <v>116</v>
      </c>
      <c r="C61" s="7">
        <v>60</v>
      </c>
      <c r="D61" s="6"/>
      <c r="E61" s="29" t="s">
        <v>98</v>
      </c>
      <c r="G61" s="8">
        <v>0</v>
      </c>
      <c r="H61" s="8">
        <v>0</v>
      </c>
      <c r="I61" s="27" t="s">
        <v>23</v>
      </c>
      <c r="J61" s="9">
        <f>G61*100</f>
        <v>0</v>
      </c>
      <c r="K61" s="8">
        <v>0</v>
      </c>
      <c r="L61" s="8">
        <f>SUM(J61+K61)</f>
        <v>0</v>
      </c>
      <c r="M61" s="44">
        <v>225</v>
      </c>
      <c r="N61" s="42">
        <f>M61+L61</f>
        <v>225</v>
      </c>
      <c r="O61" s="48">
        <f>VLOOKUP(I61,$R$3:$S$10,2,FALSE)</f>
        <v>0</v>
      </c>
      <c r="P61" s="43">
        <f>IF(N61-O61&gt;0,N61-O61,0)</f>
        <v>225</v>
      </c>
      <c r="Q61" s="58"/>
    </row>
    <row r="62" spans="1:17" ht="18.75">
      <c r="A62" s="7">
        <v>1</v>
      </c>
      <c r="B62" s="7" t="s">
        <v>122</v>
      </c>
      <c r="C62" s="7">
        <v>61</v>
      </c>
      <c r="D62" s="6"/>
      <c r="E62" s="29" t="s">
        <v>99</v>
      </c>
      <c r="F62" s="29"/>
      <c r="G62" s="8">
        <v>0</v>
      </c>
      <c r="H62" s="8">
        <v>0</v>
      </c>
      <c r="I62" s="27" t="s">
        <v>23</v>
      </c>
      <c r="J62" s="9">
        <f>G62*100</f>
        <v>0</v>
      </c>
      <c r="K62" s="8">
        <v>0</v>
      </c>
      <c r="L62" s="8">
        <f>SUM(J62+K62)</f>
        <v>0</v>
      </c>
      <c r="M62" s="44">
        <v>225</v>
      </c>
      <c r="N62" s="42">
        <f>M62+L62</f>
        <v>225</v>
      </c>
      <c r="O62" s="48">
        <f>VLOOKUP(I62,$R$3:$S$10,2,FALSE)</f>
        <v>0</v>
      </c>
      <c r="P62" s="43">
        <f>IF(N62-O62&gt;0,N62-O62,0)</f>
        <v>225</v>
      </c>
      <c r="Q62" s="58"/>
    </row>
    <row r="63" spans="1:17" ht="18.75">
      <c r="A63" s="7">
        <v>1</v>
      </c>
      <c r="B63" s="7" t="s">
        <v>122</v>
      </c>
      <c r="C63" s="7">
        <v>34</v>
      </c>
      <c r="D63" s="6"/>
      <c r="E63" s="29" t="s">
        <v>72</v>
      </c>
      <c r="F63" s="29"/>
      <c r="G63" s="8">
        <v>0</v>
      </c>
      <c r="H63" s="8">
        <v>0</v>
      </c>
      <c r="I63" s="27" t="s">
        <v>23</v>
      </c>
      <c r="J63" s="9">
        <f>G63*100</f>
        <v>0</v>
      </c>
      <c r="K63" s="8">
        <v>0</v>
      </c>
      <c r="L63" s="8">
        <f>SUM(J63+K63)</f>
        <v>0</v>
      </c>
      <c r="M63" s="44">
        <v>219</v>
      </c>
      <c r="N63" s="42">
        <f>M63+L63</f>
        <v>219</v>
      </c>
      <c r="O63" s="48">
        <f>VLOOKUP(I63,$R$3:$S$10,2,FALSE)</f>
        <v>0</v>
      </c>
      <c r="P63" s="43">
        <f>IF(N63-O63&gt;0,N63-O63,0)</f>
        <v>219</v>
      </c>
      <c r="Q63" s="58"/>
    </row>
    <row r="64" spans="1:17" ht="18.75">
      <c r="A64" s="7">
        <v>1</v>
      </c>
      <c r="B64" s="7" t="s">
        <v>122</v>
      </c>
      <c r="C64" s="7">
        <v>7</v>
      </c>
      <c r="D64" s="6"/>
      <c r="E64" s="29" t="s">
        <v>45</v>
      </c>
      <c r="F64" s="29"/>
      <c r="G64" s="8">
        <v>0</v>
      </c>
      <c r="H64" s="8">
        <v>0</v>
      </c>
      <c r="I64" s="27" t="s">
        <v>23</v>
      </c>
      <c r="J64" s="9">
        <f>G64*100</f>
        <v>0</v>
      </c>
      <c r="K64" s="8">
        <v>0</v>
      </c>
      <c r="L64" s="8">
        <f>SUM(J64+K64)</f>
        <v>0</v>
      </c>
      <c r="M64" s="44">
        <v>138</v>
      </c>
      <c r="N64" s="42">
        <f>M64+L64</f>
        <v>138</v>
      </c>
      <c r="O64" s="48">
        <f>VLOOKUP(I64,$R$3:$S$10,2,FALSE)</f>
        <v>0</v>
      </c>
      <c r="P64" s="43">
        <f>IF(N64-O64&gt;0,N64-O64,0)</f>
        <v>138</v>
      </c>
      <c r="Q64" s="61"/>
    </row>
    <row r="65" spans="1:17" ht="18.75">
      <c r="A65" s="7">
        <v>1</v>
      </c>
      <c r="B65" s="7" t="s">
        <v>125</v>
      </c>
      <c r="C65" s="7">
        <v>59</v>
      </c>
      <c r="D65" s="6"/>
      <c r="E65" s="29" t="s">
        <v>97</v>
      </c>
      <c r="G65" s="8">
        <v>0</v>
      </c>
      <c r="H65" s="8">
        <v>0</v>
      </c>
      <c r="I65" s="27" t="s">
        <v>23</v>
      </c>
      <c r="J65" s="9">
        <f>G65*100</f>
        <v>0</v>
      </c>
      <c r="K65" s="8">
        <v>0</v>
      </c>
      <c r="L65" s="8">
        <f>SUM(J65+K65)</f>
        <v>0</v>
      </c>
      <c r="M65" s="44">
        <v>0</v>
      </c>
      <c r="N65" s="42">
        <f>M65+L65</f>
        <v>0</v>
      </c>
      <c r="O65" s="48">
        <f>VLOOKUP(I65,$R$3:$S$10,2,FALSE)</f>
        <v>0</v>
      </c>
      <c r="P65" s="43">
        <f>IF(N65-O65&gt;0,N65-O65,0)</f>
        <v>0</v>
      </c>
      <c r="Q65" s="58"/>
    </row>
    <row r="66" spans="1:17" ht="18.75">
      <c r="A66" s="7">
        <v>1</v>
      </c>
      <c r="B66" s="7" t="s">
        <v>118</v>
      </c>
      <c r="C66" s="7">
        <v>51</v>
      </c>
      <c r="D66" s="6"/>
      <c r="E66" s="29" t="s">
        <v>89</v>
      </c>
      <c r="F66" s="29"/>
      <c r="G66" s="8">
        <v>0</v>
      </c>
      <c r="H66" s="8">
        <v>0</v>
      </c>
      <c r="I66" s="27" t="s">
        <v>23</v>
      </c>
      <c r="J66" s="9">
        <f>G66*100</f>
        <v>0</v>
      </c>
      <c r="K66" s="8">
        <v>0</v>
      </c>
      <c r="L66" s="8">
        <f>SUM(J66+K66)</f>
        <v>0</v>
      </c>
      <c r="M66" s="44">
        <v>0</v>
      </c>
      <c r="N66" s="42">
        <f>M66+L66</f>
        <v>0</v>
      </c>
      <c r="O66" s="48">
        <f>VLOOKUP(I66,$R$3:$S$10,2,FALSE)</f>
        <v>0</v>
      </c>
      <c r="P66" s="43">
        <f>IF(N66-O66&gt;0,N66-O66,0)</f>
        <v>0</v>
      </c>
      <c r="Q66" s="58"/>
    </row>
    <row r="67" spans="1:17" ht="18.75">
      <c r="A67" s="7">
        <v>1</v>
      </c>
      <c r="B67" s="7" t="s">
        <v>108</v>
      </c>
      <c r="C67" s="7">
        <v>8</v>
      </c>
      <c r="D67" s="6"/>
      <c r="E67" s="29" t="s">
        <v>46</v>
      </c>
      <c r="F67" s="29"/>
      <c r="G67" s="8">
        <v>0</v>
      </c>
      <c r="H67" s="8">
        <v>0</v>
      </c>
      <c r="I67" s="27" t="s">
        <v>23</v>
      </c>
      <c r="J67" s="9">
        <f>G67*100</f>
        <v>0</v>
      </c>
      <c r="K67" s="8">
        <v>0</v>
      </c>
      <c r="L67" s="8">
        <f>SUM(J67+K67)</f>
        <v>0</v>
      </c>
      <c r="M67" s="44">
        <v>0</v>
      </c>
      <c r="N67" s="42">
        <f>M67+L67</f>
        <v>0</v>
      </c>
      <c r="O67" s="48">
        <f>VLOOKUP(I67,$R$3:$S$10,2,FALSE)</f>
        <v>0</v>
      </c>
      <c r="P67" s="43">
        <f>IF(N67-O67&gt;0,N67-O67,0)</f>
        <v>0</v>
      </c>
      <c r="Q67" s="40"/>
    </row>
    <row r="68" spans="1:17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>G68*100</f>
        <v>0</v>
      </c>
      <c r="K68" s="8">
        <v>0</v>
      </c>
      <c r="L68" s="8">
        <f>SUM(J68+K68)</f>
        <v>0</v>
      </c>
      <c r="M68" s="44">
        <v>0</v>
      </c>
      <c r="N68" s="42">
        <f>M68+L68</f>
        <v>0</v>
      </c>
      <c r="O68" s="48">
        <f>VLOOKUP(I68,$R$3:$S$10,2,FALSE)</f>
        <v>0</v>
      </c>
      <c r="P68" s="43">
        <f>IF(N68-O68&gt;0,N68-O68,0)</f>
        <v>0</v>
      </c>
    </row>
    <row r="69" spans="1:17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>G69*100</f>
        <v>0</v>
      </c>
      <c r="K69" s="8">
        <v>0</v>
      </c>
      <c r="L69" s="8">
        <f>SUM(J69+K69)</f>
        <v>0</v>
      </c>
      <c r="M69" s="44">
        <v>0</v>
      </c>
      <c r="N69" s="42">
        <f>M69+L69</f>
        <v>0</v>
      </c>
      <c r="O69" s="48">
        <f>VLOOKUP(I69,$R$3:$S$10,2,FALSE)</f>
        <v>0</v>
      </c>
      <c r="P69" s="43">
        <f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1" priority="2" operator="lessThan">
      <formula>1</formula>
    </cfRule>
  </conditionalFormatting>
  <conditionalFormatting sqref="K5:K69">
    <cfRule type="cellIs" dxfId="0" priority="1" operator="lessThan">
      <formula>1</formula>
    </cfRule>
  </conditionalFormatting>
  <hyperlinks>
    <hyperlink ref="E15" r:id="rId1" xr:uid="{58AB307A-8AF1-4F02-B265-781B21D5A9E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80F9-7485-4A7C-9478-79CDE600BB99}">
  <dimension ref="A1:AA69"/>
  <sheetViews>
    <sheetView topLeftCell="A2" zoomScale="85" zoomScaleNormal="85" workbookViewId="0">
      <selection activeCell="N33" sqref="N33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欧皇宝宝2026年6月20日分包贡献明细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f>COUNTIF(G5:G69,"&lt;&gt;0")</f>
        <v>52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121</v>
      </c>
      <c r="C5" s="7">
        <v>30</v>
      </c>
      <c r="D5" s="6"/>
      <c r="E5" s="29" t="s">
        <v>68</v>
      </c>
      <c r="F5" s="32"/>
      <c r="G5" s="8">
        <v>4</v>
      </c>
      <c r="H5" s="8">
        <v>0</v>
      </c>
      <c r="I5" s="10" t="s">
        <v>33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1804</v>
      </c>
      <c r="N5" s="42">
        <f t="shared" ref="N5:N36" si="2">M5+L5</f>
        <v>2204</v>
      </c>
      <c r="O5" s="48">
        <f t="shared" ref="O5:O36" si="3">VLOOKUP(I5,$R$3:$S$10,2,FALSE)</f>
        <v>312</v>
      </c>
      <c r="P5" s="43">
        <f t="shared" ref="P5:P36" si="4">IF(N5-O5&gt;0,N5-O5,0)</f>
        <v>1892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109</v>
      </c>
      <c r="C6" s="7">
        <v>11</v>
      </c>
      <c r="D6" s="6"/>
      <c r="E6" s="29" t="s">
        <v>49</v>
      </c>
      <c r="F6" s="29"/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1803</v>
      </c>
      <c r="N6" s="42">
        <f t="shared" si="2"/>
        <v>2203</v>
      </c>
      <c r="O6" s="48">
        <f t="shared" si="3"/>
        <v>312</v>
      </c>
      <c r="P6" s="43">
        <f t="shared" si="4"/>
        <v>1891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123</v>
      </c>
      <c r="C7" s="7">
        <v>24</v>
      </c>
      <c r="D7" s="6"/>
      <c r="E7" s="29" t="s">
        <v>62</v>
      </c>
      <c r="F7" s="32"/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1798</v>
      </c>
      <c r="N7" s="42">
        <f t="shared" si="2"/>
        <v>2198</v>
      </c>
      <c r="O7" s="48">
        <f t="shared" si="3"/>
        <v>312</v>
      </c>
      <c r="P7" s="43">
        <f t="shared" si="4"/>
        <v>1886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122</v>
      </c>
      <c r="C8" s="7">
        <v>43</v>
      </c>
      <c r="D8" s="6"/>
      <c r="E8" s="29" t="s">
        <v>81</v>
      </c>
      <c r="F8" s="31"/>
      <c r="G8" s="8">
        <v>4</v>
      </c>
      <c r="H8" s="8">
        <v>0</v>
      </c>
      <c r="I8" s="10" t="s">
        <v>33</v>
      </c>
      <c r="J8" s="9">
        <f t="shared" si="0"/>
        <v>400</v>
      </c>
      <c r="K8" s="8">
        <v>0</v>
      </c>
      <c r="L8" s="8">
        <f t="shared" si="1"/>
        <v>400</v>
      </c>
      <c r="M8" s="44">
        <v>1790</v>
      </c>
      <c r="N8" s="42">
        <f t="shared" si="2"/>
        <v>2190</v>
      </c>
      <c r="O8" s="48">
        <f t="shared" si="3"/>
        <v>312</v>
      </c>
      <c r="P8" s="43">
        <f t="shared" si="4"/>
        <v>1878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123</v>
      </c>
      <c r="C9" s="7">
        <v>12</v>
      </c>
      <c r="D9" s="6"/>
      <c r="E9" s="29" t="s">
        <v>50</v>
      </c>
      <c r="F9" s="29"/>
      <c r="G9" s="8">
        <v>4</v>
      </c>
      <c r="H9" s="8">
        <v>0</v>
      </c>
      <c r="I9" s="10" t="s">
        <v>33</v>
      </c>
      <c r="J9" s="9">
        <f t="shared" si="0"/>
        <v>400</v>
      </c>
      <c r="K9" s="8">
        <v>0</v>
      </c>
      <c r="L9" s="8">
        <f t="shared" si="1"/>
        <v>400</v>
      </c>
      <c r="M9" s="44">
        <v>1786</v>
      </c>
      <c r="N9" s="42">
        <f t="shared" si="2"/>
        <v>2186</v>
      </c>
      <c r="O9" s="48">
        <f t="shared" si="3"/>
        <v>312</v>
      </c>
      <c r="P9" s="43">
        <f t="shared" si="4"/>
        <v>1874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119</v>
      </c>
      <c r="C10" s="7">
        <v>18</v>
      </c>
      <c r="D10" s="6"/>
      <c r="E10" s="29" t="s">
        <v>56</v>
      </c>
      <c r="F10" s="29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1781</v>
      </c>
      <c r="N10" s="42">
        <f t="shared" si="2"/>
        <v>2181</v>
      </c>
      <c r="O10" s="48">
        <f t="shared" si="3"/>
        <v>312</v>
      </c>
      <c r="P10" s="43">
        <f t="shared" si="4"/>
        <v>1869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116</v>
      </c>
      <c r="C11" s="7">
        <v>63</v>
      </c>
      <c r="D11" s="6"/>
      <c r="E11" s="29" t="s">
        <v>101</v>
      </c>
      <c r="G11" s="8">
        <v>4</v>
      </c>
      <c r="H11" s="8">
        <v>0</v>
      </c>
      <c r="I11" s="10" t="s">
        <v>33</v>
      </c>
      <c r="J11" s="9">
        <f t="shared" si="0"/>
        <v>400</v>
      </c>
      <c r="K11" s="8">
        <v>0</v>
      </c>
      <c r="L11" s="8">
        <f t="shared" si="1"/>
        <v>400</v>
      </c>
      <c r="M11" s="44">
        <v>1774</v>
      </c>
      <c r="N11" s="42">
        <f t="shared" si="2"/>
        <v>2174</v>
      </c>
      <c r="O11" s="48">
        <f t="shared" si="3"/>
        <v>312</v>
      </c>
      <c r="P11" s="43">
        <f t="shared" si="4"/>
        <v>1862</v>
      </c>
      <c r="Q11" s="1"/>
      <c r="R11" s="24"/>
    </row>
    <row r="12" spans="1:26" ht="18.75">
      <c r="A12" s="7">
        <v>1</v>
      </c>
      <c r="B12" s="7" t="s">
        <v>122</v>
      </c>
      <c r="C12" s="7">
        <v>17</v>
      </c>
      <c r="D12" s="6"/>
      <c r="E12" s="29" t="s">
        <v>55</v>
      </c>
      <c r="F12" s="29"/>
      <c r="G12" s="8">
        <v>4</v>
      </c>
      <c r="H12" s="8">
        <v>0</v>
      </c>
      <c r="I12" s="11" t="s">
        <v>34</v>
      </c>
      <c r="J12" s="9">
        <f t="shared" si="0"/>
        <v>400</v>
      </c>
      <c r="K12" s="8">
        <v>0</v>
      </c>
      <c r="L12" s="8">
        <f t="shared" si="1"/>
        <v>400</v>
      </c>
      <c r="M12" s="44">
        <v>1774</v>
      </c>
      <c r="N12" s="42">
        <f t="shared" si="2"/>
        <v>2174</v>
      </c>
      <c r="O12" s="48">
        <f t="shared" si="3"/>
        <v>240</v>
      </c>
      <c r="P12" s="43">
        <f t="shared" si="4"/>
        <v>1934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111</v>
      </c>
      <c r="C13" s="7">
        <v>40</v>
      </c>
      <c r="D13" s="6"/>
      <c r="E13" s="30" t="s">
        <v>78</v>
      </c>
      <c r="G13" s="8">
        <v>4</v>
      </c>
      <c r="H13" s="8">
        <v>0</v>
      </c>
      <c r="I13" s="11" t="s">
        <v>34</v>
      </c>
      <c r="J13" s="9">
        <f t="shared" si="0"/>
        <v>400</v>
      </c>
      <c r="K13" s="8">
        <v>0</v>
      </c>
      <c r="L13" s="8">
        <f t="shared" si="1"/>
        <v>400</v>
      </c>
      <c r="M13" s="44">
        <v>1774</v>
      </c>
      <c r="N13" s="42">
        <f t="shared" si="2"/>
        <v>2174</v>
      </c>
      <c r="O13" s="48">
        <f t="shared" si="3"/>
        <v>240</v>
      </c>
      <c r="P13" s="43">
        <f t="shared" si="4"/>
        <v>1934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109</v>
      </c>
      <c r="C14" s="7">
        <v>49</v>
      </c>
      <c r="D14" s="6"/>
      <c r="E14" s="29" t="s">
        <v>87</v>
      </c>
      <c r="F14" s="29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1772</v>
      </c>
      <c r="N14" s="42">
        <f t="shared" si="2"/>
        <v>2172</v>
      </c>
      <c r="O14" s="48">
        <f t="shared" si="3"/>
        <v>240</v>
      </c>
      <c r="P14" s="43">
        <f t="shared" si="4"/>
        <v>1932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110</v>
      </c>
      <c r="C15" s="7">
        <v>62</v>
      </c>
      <c r="D15" s="6"/>
      <c r="E15" s="29" t="s">
        <v>100</v>
      </c>
      <c r="F15" s="29"/>
      <c r="G15" s="8">
        <v>4</v>
      </c>
      <c r="H15" s="8">
        <v>0</v>
      </c>
      <c r="I15" s="11" t="s">
        <v>34</v>
      </c>
      <c r="J15" s="9">
        <f t="shared" si="0"/>
        <v>400</v>
      </c>
      <c r="K15" s="8">
        <v>0</v>
      </c>
      <c r="L15" s="8">
        <f t="shared" si="1"/>
        <v>400</v>
      </c>
      <c r="M15" s="44">
        <v>1768</v>
      </c>
      <c r="N15" s="42">
        <f t="shared" si="2"/>
        <v>2168</v>
      </c>
      <c r="O15" s="48">
        <f t="shared" si="3"/>
        <v>240</v>
      </c>
      <c r="P15" s="43">
        <f t="shared" si="4"/>
        <v>1928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122</v>
      </c>
      <c r="C16" s="7">
        <v>5</v>
      </c>
      <c r="D16" s="6"/>
      <c r="E16" s="29" t="s">
        <v>43</v>
      </c>
      <c r="F16" s="29"/>
      <c r="G16" s="8">
        <v>4</v>
      </c>
      <c r="H16" s="8">
        <v>0</v>
      </c>
      <c r="I16" s="11" t="s">
        <v>34</v>
      </c>
      <c r="J16" s="9">
        <f t="shared" si="0"/>
        <v>400</v>
      </c>
      <c r="K16" s="8">
        <v>0</v>
      </c>
      <c r="L16" s="8">
        <f t="shared" si="1"/>
        <v>400</v>
      </c>
      <c r="M16" s="44">
        <v>1767</v>
      </c>
      <c r="N16" s="42">
        <f t="shared" si="2"/>
        <v>2167</v>
      </c>
      <c r="O16" s="48">
        <f t="shared" si="3"/>
        <v>240</v>
      </c>
      <c r="P16" s="43">
        <f t="shared" si="4"/>
        <v>1927</v>
      </c>
      <c r="Q16" s="21"/>
      <c r="R16" t="s">
        <v>27</v>
      </c>
      <c r="S16">
        <v>6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122</v>
      </c>
      <c r="C17" s="7">
        <v>1</v>
      </c>
      <c r="D17" s="6"/>
      <c r="E17" s="29" t="s">
        <v>39</v>
      </c>
      <c r="F17" s="29"/>
      <c r="G17" s="8">
        <v>4</v>
      </c>
      <c r="H17" s="8">
        <v>0</v>
      </c>
      <c r="I17" s="11" t="s">
        <v>34</v>
      </c>
      <c r="J17" s="9">
        <f t="shared" si="0"/>
        <v>400</v>
      </c>
      <c r="K17" s="8">
        <v>0</v>
      </c>
      <c r="L17" s="8">
        <f t="shared" si="1"/>
        <v>400</v>
      </c>
      <c r="M17" s="44">
        <v>1764</v>
      </c>
      <c r="N17" s="42">
        <f t="shared" si="2"/>
        <v>2164</v>
      </c>
      <c r="O17" s="48">
        <f t="shared" si="3"/>
        <v>240</v>
      </c>
      <c r="P17" s="43">
        <f t="shared" si="4"/>
        <v>1924</v>
      </c>
      <c r="Q17" s="9"/>
      <c r="R17" t="s">
        <v>28</v>
      </c>
      <c r="S17">
        <v>20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109</v>
      </c>
      <c r="C18" s="7">
        <v>47</v>
      </c>
      <c r="D18" s="6"/>
      <c r="E18" s="29" t="s">
        <v>85</v>
      </c>
      <c r="F18" s="29"/>
      <c r="G18" s="8">
        <v>4</v>
      </c>
      <c r="H18" s="8">
        <v>0</v>
      </c>
      <c r="I18" s="11" t="s">
        <v>34</v>
      </c>
      <c r="J18" s="9">
        <f t="shared" si="0"/>
        <v>400</v>
      </c>
      <c r="K18" s="8">
        <v>0</v>
      </c>
      <c r="L18" s="8">
        <f t="shared" si="1"/>
        <v>400</v>
      </c>
      <c r="M18" s="44">
        <v>1761</v>
      </c>
      <c r="N18" s="42">
        <f t="shared" si="2"/>
        <v>2161</v>
      </c>
      <c r="O18" s="48">
        <f t="shared" si="3"/>
        <v>240</v>
      </c>
      <c r="P18" s="43">
        <f t="shared" si="4"/>
        <v>1921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120</v>
      </c>
      <c r="C19" s="7">
        <v>29</v>
      </c>
      <c r="D19" s="6"/>
      <c r="E19" s="29" t="s">
        <v>67</v>
      </c>
      <c r="F19" s="32"/>
      <c r="G19" s="8">
        <v>4</v>
      </c>
      <c r="H19" s="8">
        <v>0</v>
      </c>
      <c r="I19" s="12" t="s">
        <v>35</v>
      </c>
      <c r="J19" s="9">
        <f t="shared" si="0"/>
        <v>400</v>
      </c>
      <c r="K19" s="8">
        <v>0</v>
      </c>
      <c r="L19" s="8">
        <f t="shared" si="1"/>
        <v>400</v>
      </c>
      <c r="M19" s="44">
        <v>1759</v>
      </c>
      <c r="N19" s="42">
        <f t="shared" si="2"/>
        <v>2159</v>
      </c>
      <c r="O19" s="48">
        <f t="shared" si="3"/>
        <v>175</v>
      </c>
      <c r="P19" s="43">
        <f t="shared" si="4"/>
        <v>1984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110</v>
      </c>
      <c r="C20" s="7">
        <v>28</v>
      </c>
      <c r="D20" s="6"/>
      <c r="E20" s="29" t="s">
        <v>66</v>
      </c>
      <c r="F20" s="32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1757</v>
      </c>
      <c r="N20" s="42">
        <f t="shared" si="2"/>
        <v>2157</v>
      </c>
      <c r="O20" s="48">
        <f t="shared" si="3"/>
        <v>175</v>
      </c>
      <c r="P20" s="43">
        <f t="shared" si="4"/>
        <v>1982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109</v>
      </c>
      <c r="C21" s="7">
        <v>35</v>
      </c>
      <c r="D21" s="6"/>
      <c r="E21" s="29" t="s">
        <v>73</v>
      </c>
      <c r="F21" s="29"/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1749</v>
      </c>
      <c r="N21" s="42">
        <f t="shared" si="2"/>
        <v>2149</v>
      </c>
      <c r="O21" s="48">
        <f t="shared" si="3"/>
        <v>175</v>
      </c>
      <c r="P21" s="43">
        <f t="shared" si="4"/>
        <v>1974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113</v>
      </c>
      <c r="C22" s="7">
        <v>37</v>
      </c>
      <c r="D22" s="6"/>
      <c r="E22" s="29" t="s">
        <v>75</v>
      </c>
      <c r="G22" s="8">
        <v>4</v>
      </c>
      <c r="H22" s="8">
        <v>0</v>
      </c>
      <c r="I22" s="12" t="s">
        <v>35</v>
      </c>
      <c r="J22" s="9">
        <f t="shared" si="0"/>
        <v>400</v>
      </c>
      <c r="K22" s="8">
        <v>0</v>
      </c>
      <c r="L22" s="8">
        <f t="shared" si="1"/>
        <v>400</v>
      </c>
      <c r="M22" s="44">
        <v>1746</v>
      </c>
      <c r="N22" s="42">
        <f t="shared" si="2"/>
        <v>2146</v>
      </c>
      <c r="O22" s="48">
        <f t="shared" si="3"/>
        <v>175</v>
      </c>
      <c r="P22" s="43">
        <f t="shared" si="4"/>
        <v>1971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114</v>
      </c>
      <c r="C23" s="7">
        <v>36</v>
      </c>
      <c r="D23" s="6"/>
      <c r="E23" s="29" t="s">
        <v>74</v>
      </c>
      <c r="F23" s="29"/>
      <c r="G23" s="8">
        <v>4</v>
      </c>
      <c r="H23" s="8">
        <v>0</v>
      </c>
      <c r="I23" s="12" t="s">
        <v>35</v>
      </c>
      <c r="J23" s="9">
        <f t="shared" si="0"/>
        <v>400</v>
      </c>
      <c r="K23" s="8">
        <v>0</v>
      </c>
      <c r="L23" s="8">
        <f t="shared" si="1"/>
        <v>400</v>
      </c>
      <c r="M23" s="44">
        <v>1741</v>
      </c>
      <c r="N23" s="42">
        <f t="shared" si="2"/>
        <v>2141</v>
      </c>
      <c r="O23" s="48">
        <f t="shared" si="3"/>
        <v>175</v>
      </c>
      <c r="P23" s="43">
        <f t="shared" si="4"/>
        <v>1966</v>
      </c>
      <c r="Q23" s="1"/>
    </row>
    <row r="24" spans="1:27" ht="18.75">
      <c r="A24" s="7">
        <v>1</v>
      </c>
      <c r="B24" s="7" t="s">
        <v>120</v>
      </c>
      <c r="C24" s="7">
        <v>45</v>
      </c>
      <c r="D24" s="6"/>
      <c r="E24" s="29" t="s">
        <v>83</v>
      </c>
      <c r="F24" s="29"/>
      <c r="G24" s="8">
        <v>4</v>
      </c>
      <c r="H24" s="8">
        <v>0</v>
      </c>
      <c r="I24" s="12" t="s">
        <v>35</v>
      </c>
      <c r="J24" s="9">
        <f t="shared" si="0"/>
        <v>400</v>
      </c>
      <c r="K24" s="8">
        <v>0</v>
      </c>
      <c r="L24" s="8">
        <f t="shared" si="1"/>
        <v>400</v>
      </c>
      <c r="M24" s="44">
        <v>1741</v>
      </c>
      <c r="N24" s="42">
        <f t="shared" si="2"/>
        <v>2141</v>
      </c>
      <c r="O24" s="48">
        <f t="shared" si="3"/>
        <v>175</v>
      </c>
      <c r="P24" s="43">
        <f t="shared" si="4"/>
        <v>1966</v>
      </c>
      <c r="Q24" s="1"/>
    </row>
    <row r="25" spans="1:27" ht="18.75">
      <c r="A25" s="7">
        <v>1</v>
      </c>
      <c r="B25" s="7" t="s">
        <v>114</v>
      </c>
      <c r="C25" s="7">
        <v>58</v>
      </c>
      <c r="D25" s="6"/>
      <c r="E25" s="29" t="s">
        <v>96</v>
      </c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1739</v>
      </c>
      <c r="N25" s="42">
        <f t="shared" si="2"/>
        <v>2139</v>
      </c>
      <c r="O25" s="48">
        <f t="shared" si="3"/>
        <v>175</v>
      </c>
      <c r="P25" s="43">
        <f t="shared" si="4"/>
        <v>1964</v>
      </c>
      <c r="Q25" s="1"/>
    </row>
    <row r="26" spans="1:27" ht="18.75" customHeight="1">
      <c r="A26" s="7">
        <v>1</v>
      </c>
      <c r="B26" s="7" t="s">
        <v>109</v>
      </c>
      <c r="C26" s="7">
        <v>55</v>
      </c>
      <c r="D26" s="6"/>
      <c r="E26" s="29" t="s">
        <v>106</v>
      </c>
      <c r="G26" s="8">
        <v>4</v>
      </c>
      <c r="H26" s="8">
        <v>0</v>
      </c>
      <c r="I26" s="12" t="s">
        <v>35</v>
      </c>
      <c r="J26" s="9">
        <f t="shared" si="0"/>
        <v>400</v>
      </c>
      <c r="K26" s="8">
        <v>0</v>
      </c>
      <c r="L26" s="8">
        <f t="shared" si="1"/>
        <v>400</v>
      </c>
      <c r="M26" s="44">
        <v>1732</v>
      </c>
      <c r="N26" s="42">
        <f t="shared" si="2"/>
        <v>2132</v>
      </c>
      <c r="O26" s="48">
        <f t="shared" si="3"/>
        <v>175</v>
      </c>
      <c r="P26" s="43">
        <f t="shared" si="4"/>
        <v>1957</v>
      </c>
      <c r="Q26" s="1"/>
    </row>
    <row r="27" spans="1:27" ht="18.75">
      <c r="A27" s="7">
        <v>1</v>
      </c>
      <c r="B27" s="7" t="s">
        <v>117</v>
      </c>
      <c r="C27" s="7">
        <v>3</v>
      </c>
      <c r="D27" s="6"/>
      <c r="E27" s="29" t="s">
        <v>41</v>
      </c>
      <c r="F27" s="29"/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1726</v>
      </c>
      <c r="N27" s="42">
        <f t="shared" si="2"/>
        <v>2126</v>
      </c>
      <c r="O27" s="48">
        <f t="shared" si="3"/>
        <v>175</v>
      </c>
      <c r="P27" s="43">
        <f t="shared" si="4"/>
        <v>1951</v>
      </c>
      <c r="Q27" s="9"/>
    </row>
    <row r="28" spans="1:27" ht="18.75">
      <c r="A28" s="7">
        <v>1</v>
      </c>
      <c r="B28" s="7" t="s">
        <v>122</v>
      </c>
      <c r="C28" s="7">
        <v>32</v>
      </c>
      <c r="D28" s="6"/>
      <c r="E28" s="29" t="s">
        <v>128</v>
      </c>
      <c r="F28" s="32"/>
      <c r="G28" s="8">
        <v>4</v>
      </c>
      <c r="H28" s="8">
        <v>0</v>
      </c>
      <c r="I28" s="12" t="s">
        <v>35</v>
      </c>
      <c r="J28" s="9">
        <f t="shared" si="0"/>
        <v>400</v>
      </c>
      <c r="K28" s="8">
        <v>0</v>
      </c>
      <c r="L28" s="8">
        <f t="shared" si="1"/>
        <v>400</v>
      </c>
      <c r="M28" s="44">
        <v>1716</v>
      </c>
      <c r="N28" s="42">
        <f t="shared" si="2"/>
        <v>2116</v>
      </c>
      <c r="O28" s="48">
        <f t="shared" si="3"/>
        <v>175</v>
      </c>
      <c r="P28" s="43">
        <f t="shared" si="4"/>
        <v>1941</v>
      </c>
      <c r="Q28" s="1"/>
    </row>
    <row r="29" spans="1:27" s="1" customFormat="1" ht="18.75">
      <c r="A29" s="7">
        <v>1</v>
      </c>
      <c r="B29" s="7" t="s">
        <v>122</v>
      </c>
      <c r="C29" s="7">
        <v>46</v>
      </c>
      <c r="D29" s="6"/>
      <c r="E29" s="29" t="s">
        <v>129</v>
      </c>
      <c r="F29" s="29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1705</v>
      </c>
      <c r="N29" s="42">
        <f t="shared" si="2"/>
        <v>2105</v>
      </c>
      <c r="O29" s="48">
        <f t="shared" si="3"/>
        <v>175</v>
      </c>
      <c r="P29" s="43">
        <f t="shared" si="4"/>
        <v>1930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/>
      <c r="C30" s="7">
        <v>10</v>
      </c>
      <c r="D30" s="6"/>
      <c r="E30" s="29" t="s">
        <v>48</v>
      </c>
      <c r="F30" s="31"/>
      <c r="G30" s="8">
        <v>4</v>
      </c>
      <c r="H30" s="8">
        <v>0</v>
      </c>
      <c r="I30" s="12" t="s">
        <v>35</v>
      </c>
      <c r="J30" s="9">
        <f t="shared" si="0"/>
        <v>400</v>
      </c>
      <c r="K30" s="8">
        <v>0</v>
      </c>
      <c r="L30" s="8">
        <f t="shared" si="1"/>
        <v>400</v>
      </c>
      <c r="M30" s="44">
        <v>1702</v>
      </c>
      <c r="N30" s="42">
        <f t="shared" si="2"/>
        <v>2102</v>
      </c>
      <c r="O30" s="48">
        <f t="shared" si="3"/>
        <v>175</v>
      </c>
      <c r="P30" s="43">
        <f t="shared" si="4"/>
        <v>1927</v>
      </c>
      <c r="Q30" s="21"/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114</v>
      </c>
      <c r="C31" s="7">
        <v>52</v>
      </c>
      <c r="D31" s="6"/>
      <c r="E31" s="29" t="s">
        <v>90</v>
      </c>
      <c r="G31" s="8">
        <v>4</v>
      </c>
      <c r="H31" s="8">
        <v>0</v>
      </c>
      <c r="I31" s="12" t="s">
        <v>35</v>
      </c>
      <c r="J31" s="9">
        <f t="shared" si="0"/>
        <v>400</v>
      </c>
      <c r="K31" s="8">
        <v>0</v>
      </c>
      <c r="L31" s="8">
        <f t="shared" si="1"/>
        <v>400</v>
      </c>
      <c r="M31" s="44">
        <v>1692</v>
      </c>
      <c r="N31" s="42">
        <f t="shared" si="2"/>
        <v>2092</v>
      </c>
      <c r="O31" s="48">
        <f t="shared" si="3"/>
        <v>175</v>
      </c>
      <c r="P31" s="43">
        <f t="shared" si="4"/>
        <v>1917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109</v>
      </c>
      <c r="C32" s="7">
        <v>22</v>
      </c>
      <c r="D32" s="6"/>
      <c r="E32" s="29" t="s">
        <v>60</v>
      </c>
      <c r="F32" s="32"/>
      <c r="G32" s="8">
        <v>4</v>
      </c>
      <c r="H32" s="8">
        <v>0</v>
      </c>
      <c r="I32" s="12" t="s">
        <v>35</v>
      </c>
      <c r="J32" s="9">
        <f t="shared" si="0"/>
        <v>400</v>
      </c>
      <c r="K32" s="8">
        <v>0</v>
      </c>
      <c r="L32" s="8">
        <f t="shared" si="1"/>
        <v>400</v>
      </c>
      <c r="M32" s="44">
        <v>1688</v>
      </c>
      <c r="N32" s="42">
        <f t="shared" si="2"/>
        <v>2088</v>
      </c>
      <c r="O32" s="48">
        <f t="shared" si="3"/>
        <v>175</v>
      </c>
      <c r="P32" s="43">
        <f t="shared" si="4"/>
        <v>1913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127</v>
      </c>
      <c r="C33" s="7">
        <v>21</v>
      </c>
      <c r="D33" s="6"/>
      <c r="E33" s="29" t="s">
        <v>59</v>
      </c>
      <c r="G33" s="8">
        <v>4</v>
      </c>
      <c r="H33" s="8">
        <v>0</v>
      </c>
      <c r="I33" s="12" t="s">
        <v>35</v>
      </c>
      <c r="J33" s="9">
        <f t="shared" si="0"/>
        <v>400</v>
      </c>
      <c r="K33" s="8">
        <v>0</v>
      </c>
      <c r="L33" s="8">
        <f t="shared" si="1"/>
        <v>400</v>
      </c>
      <c r="M33" s="44">
        <v>1786</v>
      </c>
      <c r="N33" s="42">
        <f t="shared" si="2"/>
        <v>2186</v>
      </c>
      <c r="O33" s="48">
        <f t="shared" si="3"/>
        <v>175</v>
      </c>
      <c r="P33" s="43">
        <f t="shared" si="4"/>
        <v>2011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120</v>
      </c>
      <c r="C34" s="7">
        <v>20</v>
      </c>
      <c r="D34" s="6"/>
      <c r="E34" s="29" t="s">
        <v>58</v>
      </c>
      <c r="F34" s="32"/>
      <c r="G34" s="8">
        <v>4</v>
      </c>
      <c r="H34" s="8">
        <v>0</v>
      </c>
      <c r="I34" s="12" t="s">
        <v>35</v>
      </c>
      <c r="J34" s="9">
        <f t="shared" si="0"/>
        <v>400</v>
      </c>
      <c r="K34" s="8">
        <v>0</v>
      </c>
      <c r="L34" s="8">
        <f t="shared" si="1"/>
        <v>400</v>
      </c>
      <c r="M34" s="44">
        <v>1653</v>
      </c>
      <c r="N34" s="42">
        <f t="shared" si="2"/>
        <v>2053</v>
      </c>
      <c r="O34" s="48">
        <f t="shared" si="3"/>
        <v>175</v>
      </c>
      <c r="P34" s="43">
        <f t="shared" si="4"/>
        <v>1878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110</v>
      </c>
      <c r="C35" s="7">
        <v>42</v>
      </c>
      <c r="D35" s="6"/>
      <c r="E35" s="29" t="s">
        <v>80</v>
      </c>
      <c r="F35" s="32"/>
      <c r="G35" s="8">
        <v>3</v>
      </c>
      <c r="H35" s="8">
        <v>0</v>
      </c>
      <c r="I35" s="12" t="s">
        <v>35</v>
      </c>
      <c r="J35" s="9">
        <f t="shared" si="0"/>
        <v>300</v>
      </c>
      <c r="K35" s="8">
        <v>0</v>
      </c>
      <c r="L35" s="8">
        <f t="shared" si="1"/>
        <v>300</v>
      </c>
      <c r="M35" s="44">
        <v>1746</v>
      </c>
      <c r="N35" s="42">
        <f t="shared" si="2"/>
        <v>2046</v>
      </c>
      <c r="O35" s="48">
        <f t="shared" si="3"/>
        <v>175</v>
      </c>
      <c r="P35" s="43">
        <f t="shared" si="4"/>
        <v>1871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112</v>
      </c>
      <c r="C36" s="7">
        <v>53</v>
      </c>
      <c r="D36" s="6"/>
      <c r="E36" s="29" t="s">
        <v>91</v>
      </c>
      <c r="F36" s="29"/>
      <c r="G36" s="8">
        <v>4</v>
      </c>
      <c r="H36" s="8">
        <v>0</v>
      </c>
      <c r="I36" s="12" t="s">
        <v>35</v>
      </c>
      <c r="J36" s="9">
        <f t="shared" si="0"/>
        <v>400</v>
      </c>
      <c r="K36" s="8">
        <v>0</v>
      </c>
      <c r="L36" s="8">
        <f t="shared" si="1"/>
        <v>400</v>
      </c>
      <c r="M36" s="44">
        <v>1585</v>
      </c>
      <c r="N36" s="42">
        <f t="shared" si="2"/>
        <v>1985</v>
      </c>
      <c r="O36" s="48">
        <f t="shared" si="3"/>
        <v>175</v>
      </c>
      <c r="P36" s="43">
        <f t="shared" si="4"/>
        <v>1810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124</v>
      </c>
      <c r="C37" s="7">
        <v>2</v>
      </c>
      <c r="D37" s="6"/>
      <c r="E37" s="29" t="s">
        <v>40</v>
      </c>
      <c r="F37" s="29"/>
      <c r="G37" s="8">
        <v>3</v>
      </c>
      <c r="H37" s="8">
        <v>0</v>
      </c>
      <c r="I37" s="12" t="s">
        <v>35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1653</v>
      </c>
      <c r="N37" s="42">
        <f t="shared" ref="N37:N68" si="7">M37+L37</f>
        <v>1953</v>
      </c>
      <c r="O37" s="48">
        <f t="shared" ref="O37:O69" si="8">VLOOKUP(I37,$R$3:$S$10,2,FALSE)</f>
        <v>175</v>
      </c>
      <c r="P37" s="43">
        <f t="shared" ref="P37:P68" si="9">IF(N37-O37&gt;0,N37-O37,0)</f>
        <v>1778</v>
      </c>
      <c r="Q37" s="9"/>
    </row>
    <row r="38" spans="1:27" s="1" customFormat="1" ht="18.75">
      <c r="A38" s="7">
        <v>1</v>
      </c>
      <c r="B38" s="7" t="s">
        <v>118</v>
      </c>
      <c r="C38" s="7">
        <v>50</v>
      </c>
      <c r="D38" s="6"/>
      <c r="E38" s="29" t="s">
        <v>88</v>
      </c>
      <c r="F38" s="29"/>
      <c r="G38" s="8">
        <v>3</v>
      </c>
      <c r="H38" s="8">
        <v>0</v>
      </c>
      <c r="I38" s="12" t="s">
        <v>35</v>
      </c>
      <c r="J38" s="9">
        <f t="shared" si="5"/>
        <v>300</v>
      </c>
      <c r="K38" s="8">
        <v>0</v>
      </c>
      <c r="L38" s="8">
        <f t="shared" si="6"/>
        <v>300</v>
      </c>
      <c r="M38" s="44">
        <v>1641</v>
      </c>
      <c r="N38" s="42">
        <f t="shared" si="7"/>
        <v>1941</v>
      </c>
      <c r="O38" s="48">
        <f t="shared" si="8"/>
        <v>175</v>
      </c>
      <c r="P38" s="43">
        <f t="shared" si="9"/>
        <v>1766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120</v>
      </c>
      <c r="C39" s="7">
        <v>64</v>
      </c>
      <c r="D39" s="6"/>
      <c r="E39" s="29" t="s">
        <v>131</v>
      </c>
      <c r="F39" s="29"/>
      <c r="G39" s="8">
        <v>2</v>
      </c>
      <c r="H39" s="8">
        <v>0</v>
      </c>
      <c r="I39" s="12" t="s">
        <v>35</v>
      </c>
      <c r="J39" s="9">
        <f t="shared" si="5"/>
        <v>200</v>
      </c>
      <c r="K39" s="8">
        <v>0</v>
      </c>
      <c r="L39" s="8">
        <f t="shared" si="6"/>
        <v>200</v>
      </c>
      <c r="M39" s="44">
        <v>1694</v>
      </c>
      <c r="N39" s="42">
        <f t="shared" si="7"/>
        <v>1894</v>
      </c>
      <c r="O39" s="48">
        <f t="shared" si="8"/>
        <v>175</v>
      </c>
      <c r="P39" s="43">
        <f t="shared" si="9"/>
        <v>1719</v>
      </c>
      <c r="Q39" s="1"/>
    </row>
    <row r="40" spans="1:27" ht="18.75">
      <c r="A40" s="7">
        <v>1</v>
      </c>
      <c r="B40" s="7" t="s">
        <v>112</v>
      </c>
      <c r="C40" s="7">
        <v>15</v>
      </c>
      <c r="D40" s="6"/>
      <c r="E40" s="29" t="s">
        <v>53</v>
      </c>
      <c r="F40" s="29"/>
      <c r="G40" s="8">
        <v>2</v>
      </c>
      <c r="H40" s="8">
        <v>0</v>
      </c>
      <c r="I40" s="12" t="s">
        <v>35</v>
      </c>
      <c r="J40" s="9">
        <f t="shared" si="5"/>
        <v>200</v>
      </c>
      <c r="K40" s="8">
        <v>0</v>
      </c>
      <c r="L40" s="8">
        <f t="shared" si="6"/>
        <v>200</v>
      </c>
      <c r="M40" s="44">
        <v>1692</v>
      </c>
      <c r="N40" s="42">
        <f t="shared" si="7"/>
        <v>1892</v>
      </c>
      <c r="O40" s="48">
        <f t="shared" si="8"/>
        <v>175</v>
      </c>
      <c r="P40" s="43">
        <f t="shared" si="9"/>
        <v>1717</v>
      </c>
      <c r="Q40" s="1"/>
    </row>
    <row r="41" spans="1:27" ht="18.75">
      <c r="A41" s="7">
        <v>1</v>
      </c>
      <c r="B41" s="7" t="s">
        <v>120</v>
      </c>
      <c r="C41" s="7">
        <v>13</v>
      </c>
      <c r="D41" s="6"/>
      <c r="E41" s="29" t="s">
        <v>51</v>
      </c>
      <c r="F41" s="29"/>
      <c r="G41" s="8">
        <v>0</v>
      </c>
      <c r="H41" s="8">
        <v>0</v>
      </c>
      <c r="I41" s="27" t="s">
        <v>23</v>
      </c>
      <c r="J41" s="9">
        <f t="shared" si="5"/>
        <v>0</v>
      </c>
      <c r="K41" s="8">
        <v>0</v>
      </c>
      <c r="L41" s="8">
        <f t="shared" si="6"/>
        <v>0</v>
      </c>
      <c r="M41" s="44">
        <v>1808</v>
      </c>
      <c r="N41" s="42">
        <f t="shared" si="7"/>
        <v>1808</v>
      </c>
      <c r="O41" s="48">
        <f t="shared" si="8"/>
        <v>0</v>
      </c>
      <c r="P41" s="43">
        <f t="shared" si="9"/>
        <v>1808</v>
      </c>
      <c r="Q41" s="1"/>
    </row>
    <row r="42" spans="1:27" ht="18.75">
      <c r="A42" s="7">
        <v>1</v>
      </c>
      <c r="B42" s="7" t="s">
        <v>115</v>
      </c>
      <c r="C42" s="7">
        <v>26</v>
      </c>
      <c r="D42" s="6"/>
      <c r="E42" s="29" t="s">
        <v>64</v>
      </c>
      <c r="F42" s="32"/>
      <c r="G42" s="8">
        <v>3</v>
      </c>
      <c r="H42" s="8">
        <v>0</v>
      </c>
      <c r="I42" s="12" t="s">
        <v>35</v>
      </c>
      <c r="J42" s="9">
        <f t="shared" si="5"/>
        <v>300</v>
      </c>
      <c r="K42" s="8">
        <v>0</v>
      </c>
      <c r="L42" s="8">
        <f t="shared" si="6"/>
        <v>300</v>
      </c>
      <c r="M42" s="44">
        <v>1494</v>
      </c>
      <c r="N42" s="42">
        <f t="shared" si="7"/>
        <v>1794</v>
      </c>
      <c r="O42" s="48">
        <f t="shared" si="8"/>
        <v>175</v>
      </c>
      <c r="P42" s="43">
        <f t="shared" si="9"/>
        <v>1619</v>
      </c>
      <c r="Q42" s="1"/>
    </row>
    <row r="43" spans="1:27" ht="18.75">
      <c r="A43" s="7">
        <v>1</v>
      </c>
      <c r="B43" s="7" t="s">
        <v>115</v>
      </c>
      <c r="C43" s="7">
        <v>56</v>
      </c>
      <c r="D43" s="6"/>
      <c r="E43" s="29" t="s">
        <v>94</v>
      </c>
      <c r="F43" s="29"/>
      <c r="G43" s="8">
        <v>4</v>
      </c>
      <c r="H43" s="8">
        <v>0</v>
      </c>
      <c r="I43" s="12" t="s">
        <v>35</v>
      </c>
      <c r="J43" s="9">
        <f t="shared" si="5"/>
        <v>400</v>
      </c>
      <c r="K43" s="8">
        <v>0</v>
      </c>
      <c r="L43" s="8">
        <f t="shared" si="6"/>
        <v>400</v>
      </c>
      <c r="M43" s="44">
        <v>1376</v>
      </c>
      <c r="N43" s="42">
        <f t="shared" si="7"/>
        <v>1776</v>
      </c>
      <c r="O43" s="48">
        <f t="shared" si="8"/>
        <v>175</v>
      </c>
      <c r="P43" s="43">
        <f t="shared" si="9"/>
        <v>1601</v>
      </c>
      <c r="Q43" s="1"/>
    </row>
    <row r="44" spans="1:27" ht="18.75">
      <c r="A44" s="7">
        <v>1</v>
      </c>
      <c r="B44" s="7" t="s">
        <v>110</v>
      </c>
      <c r="C44" s="7">
        <v>54</v>
      </c>
      <c r="D44" s="6"/>
      <c r="E44" s="29" t="s">
        <v>92</v>
      </c>
      <c r="G44" s="8">
        <v>4</v>
      </c>
      <c r="H44" s="8">
        <v>0</v>
      </c>
      <c r="I44" s="12" t="s">
        <v>35</v>
      </c>
      <c r="J44" s="9">
        <f t="shared" si="5"/>
        <v>400</v>
      </c>
      <c r="K44" s="8">
        <v>0</v>
      </c>
      <c r="L44" s="8">
        <f t="shared" si="6"/>
        <v>400</v>
      </c>
      <c r="M44" s="44">
        <v>1350</v>
      </c>
      <c r="N44" s="42">
        <f t="shared" si="7"/>
        <v>1750</v>
      </c>
      <c r="O44" s="48">
        <f t="shared" si="8"/>
        <v>175</v>
      </c>
      <c r="P44" s="43">
        <f t="shared" si="9"/>
        <v>1575</v>
      </c>
      <c r="Q44" s="1"/>
    </row>
    <row r="45" spans="1:27" ht="18.75">
      <c r="A45" s="7">
        <v>1</v>
      </c>
      <c r="B45" s="7" t="s">
        <v>120</v>
      </c>
      <c r="C45" s="7">
        <v>6</v>
      </c>
      <c r="D45" s="6"/>
      <c r="E45" s="29" t="s">
        <v>44</v>
      </c>
      <c r="F45" s="29"/>
      <c r="G45" s="8">
        <v>3</v>
      </c>
      <c r="H45" s="8">
        <v>0</v>
      </c>
      <c r="I45" s="12" t="s">
        <v>35</v>
      </c>
      <c r="J45" s="9">
        <f t="shared" si="5"/>
        <v>300</v>
      </c>
      <c r="K45" s="8">
        <v>0</v>
      </c>
      <c r="L45" s="8">
        <f t="shared" si="6"/>
        <v>300</v>
      </c>
      <c r="M45" s="44">
        <v>1439</v>
      </c>
      <c r="N45" s="42">
        <f t="shared" si="7"/>
        <v>1739</v>
      </c>
      <c r="O45" s="48">
        <f t="shared" si="8"/>
        <v>175</v>
      </c>
      <c r="P45" s="43">
        <f t="shared" si="9"/>
        <v>1564</v>
      </c>
      <c r="Q45" s="15"/>
    </row>
    <row r="46" spans="1:27" ht="18.75">
      <c r="A46" s="7">
        <v>1</v>
      </c>
      <c r="B46" s="7" t="s">
        <v>112</v>
      </c>
      <c r="C46" s="7">
        <v>14</v>
      </c>
      <c r="D46" s="6"/>
      <c r="E46" s="29" t="s">
        <v>52</v>
      </c>
      <c r="F46" s="29"/>
      <c r="G46" s="8">
        <v>0</v>
      </c>
      <c r="H46" s="8">
        <v>0</v>
      </c>
      <c r="I46" s="27" t="s">
        <v>23</v>
      </c>
      <c r="J46" s="9">
        <f t="shared" si="5"/>
        <v>0</v>
      </c>
      <c r="K46" s="8">
        <v>0</v>
      </c>
      <c r="L46" s="8">
        <f t="shared" si="6"/>
        <v>0</v>
      </c>
      <c r="M46" s="44">
        <v>1716</v>
      </c>
      <c r="N46" s="42">
        <f t="shared" si="7"/>
        <v>1716</v>
      </c>
      <c r="O46" s="48">
        <f t="shared" si="8"/>
        <v>0</v>
      </c>
      <c r="P46" s="43">
        <f t="shared" si="9"/>
        <v>1716</v>
      </c>
      <c r="Q46" s="1"/>
    </row>
    <row r="47" spans="1:27" ht="18.75">
      <c r="A47" s="7">
        <v>1</v>
      </c>
      <c r="B47" s="7" t="s">
        <v>118</v>
      </c>
      <c r="C47" s="7">
        <v>16</v>
      </c>
      <c r="D47" s="6"/>
      <c r="E47" s="29" t="s">
        <v>54</v>
      </c>
      <c r="F47" s="32"/>
      <c r="G47" s="8">
        <v>4</v>
      </c>
      <c r="H47" s="8">
        <v>0</v>
      </c>
      <c r="I47" s="12" t="s">
        <v>35</v>
      </c>
      <c r="J47" s="9">
        <f t="shared" si="5"/>
        <v>400</v>
      </c>
      <c r="K47" s="8">
        <v>0</v>
      </c>
      <c r="L47" s="8">
        <f t="shared" si="6"/>
        <v>400</v>
      </c>
      <c r="M47" s="44">
        <v>1185</v>
      </c>
      <c r="N47" s="42">
        <f t="shared" si="7"/>
        <v>1585</v>
      </c>
      <c r="O47" s="48">
        <f t="shared" si="8"/>
        <v>175</v>
      </c>
      <c r="P47" s="43">
        <f t="shared" si="9"/>
        <v>1410</v>
      </c>
      <c r="Q47" s="1"/>
    </row>
    <row r="48" spans="1:27" ht="18.75">
      <c r="A48" s="7">
        <v>1</v>
      </c>
      <c r="B48" s="7" t="s">
        <v>126</v>
      </c>
      <c r="C48" s="7">
        <v>41</v>
      </c>
      <c r="D48" s="6"/>
      <c r="E48" s="29" t="s">
        <v>79</v>
      </c>
      <c r="F48" s="32"/>
      <c r="G48" s="8">
        <v>2</v>
      </c>
      <c r="H48" s="8">
        <v>0</v>
      </c>
      <c r="I48" s="12" t="s">
        <v>35</v>
      </c>
      <c r="J48" s="9">
        <f t="shared" si="5"/>
        <v>200</v>
      </c>
      <c r="K48" s="8">
        <v>0</v>
      </c>
      <c r="L48" s="8">
        <f t="shared" si="6"/>
        <v>200</v>
      </c>
      <c r="M48" s="44">
        <v>1376</v>
      </c>
      <c r="N48" s="42">
        <f t="shared" si="7"/>
        <v>1576</v>
      </c>
      <c r="O48" s="48">
        <f t="shared" si="8"/>
        <v>175</v>
      </c>
      <c r="P48" s="43">
        <f t="shared" si="9"/>
        <v>1401</v>
      </c>
    </row>
    <row r="49" spans="1:17" ht="18.75">
      <c r="A49" s="7">
        <v>1</v>
      </c>
      <c r="B49" s="7" t="s">
        <v>113</v>
      </c>
      <c r="C49" s="7">
        <v>25</v>
      </c>
      <c r="D49" s="6"/>
      <c r="E49" s="29" t="s">
        <v>63</v>
      </c>
      <c r="F49" s="32"/>
      <c r="G49" s="8">
        <v>2</v>
      </c>
      <c r="H49" s="8">
        <v>0</v>
      </c>
      <c r="I49" s="12" t="s">
        <v>35</v>
      </c>
      <c r="J49" s="9">
        <f t="shared" si="5"/>
        <v>200</v>
      </c>
      <c r="K49" s="8">
        <v>0</v>
      </c>
      <c r="L49" s="8">
        <f t="shared" si="6"/>
        <v>200</v>
      </c>
      <c r="M49" s="44">
        <v>1325</v>
      </c>
      <c r="N49" s="42">
        <f t="shared" si="7"/>
        <v>1525</v>
      </c>
      <c r="O49" s="48">
        <f t="shared" si="8"/>
        <v>175</v>
      </c>
      <c r="P49" s="43">
        <f t="shared" si="9"/>
        <v>1350</v>
      </c>
    </row>
    <row r="50" spans="1:17" ht="18.75">
      <c r="A50" s="7">
        <v>1</v>
      </c>
      <c r="B50" s="7" t="s">
        <v>114</v>
      </c>
      <c r="C50" s="7">
        <v>33</v>
      </c>
      <c r="D50" s="6"/>
      <c r="E50" s="29" t="s">
        <v>71</v>
      </c>
      <c r="F50" s="29"/>
      <c r="G50" s="8">
        <v>4</v>
      </c>
      <c r="H50" s="8">
        <v>0</v>
      </c>
      <c r="I50" s="12" t="s">
        <v>35</v>
      </c>
      <c r="J50" s="9">
        <f t="shared" si="5"/>
        <v>400</v>
      </c>
      <c r="K50" s="8">
        <v>0</v>
      </c>
      <c r="L50" s="8">
        <f t="shared" si="6"/>
        <v>400</v>
      </c>
      <c r="M50" s="44">
        <v>1078</v>
      </c>
      <c r="N50" s="42">
        <f t="shared" si="7"/>
        <v>1478</v>
      </c>
      <c r="O50" s="48">
        <f t="shared" si="8"/>
        <v>175</v>
      </c>
      <c r="P50" s="43">
        <f t="shared" si="9"/>
        <v>1303</v>
      </c>
    </row>
    <row r="51" spans="1:17" ht="18.75">
      <c r="A51" s="7">
        <v>1</v>
      </c>
      <c r="B51" s="7" t="s">
        <v>109</v>
      </c>
      <c r="C51" s="7">
        <v>39</v>
      </c>
      <c r="D51" s="6"/>
      <c r="E51" s="29" t="s">
        <v>77</v>
      </c>
      <c r="F51" s="29"/>
      <c r="G51" s="8">
        <v>3</v>
      </c>
      <c r="H51" s="8">
        <v>0</v>
      </c>
      <c r="I51" s="12" t="s">
        <v>35</v>
      </c>
      <c r="J51" s="9">
        <f t="shared" si="5"/>
        <v>300</v>
      </c>
      <c r="K51" s="8">
        <v>0</v>
      </c>
      <c r="L51" s="8">
        <f t="shared" si="6"/>
        <v>300</v>
      </c>
      <c r="M51" s="44">
        <v>1175</v>
      </c>
      <c r="N51" s="42">
        <f t="shared" si="7"/>
        <v>1475</v>
      </c>
      <c r="O51" s="48">
        <f t="shared" si="8"/>
        <v>175</v>
      </c>
      <c r="P51" s="43">
        <f t="shared" si="9"/>
        <v>1300</v>
      </c>
    </row>
    <row r="52" spans="1:17" ht="18.75">
      <c r="A52" s="7">
        <v>1</v>
      </c>
      <c r="B52" s="7" t="s">
        <v>121</v>
      </c>
      <c r="C52" s="7">
        <v>4</v>
      </c>
      <c r="D52" s="6"/>
      <c r="E52" s="29" t="s">
        <v>42</v>
      </c>
      <c r="F52" s="29"/>
      <c r="G52" s="8">
        <v>1</v>
      </c>
      <c r="H52" s="8">
        <v>0</v>
      </c>
      <c r="I52" s="12" t="s">
        <v>35</v>
      </c>
      <c r="J52" s="9">
        <f t="shared" si="5"/>
        <v>100</v>
      </c>
      <c r="K52" s="8">
        <v>0</v>
      </c>
      <c r="L52" s="8">
        <f t="shared" si="6"/>
        <v>100</v>
      </c>
      <c r="M52" s="44">
        <v>1294</v>
      </c>
      <c r="N52" s="42">
        <f t="shared" si="7"/>
        <v>1394</v>
      </c>
      <c r="O52" s="48">
        <f t="shared" si="8"/>
        <v>175</v>
      </c>
      <c r="P52" s="43">
        <f t="shared" si="9"/>
        <v>1219</v>
      </c>
      <c r="Q52" s="28"/>
    </row>
    <row r="53" spans="1:17" ht="18.75">
      <c r="A53" s="7">
        <v>1</v>
      </c>
      <c r="B53" s="7" t="s">
        <v>108</v>
      </c>
      <c r="C53" s="7">
        <v>44</v>
      </c>
      <c r="D53" s="6"/>
      <c r="E53" s="29" t="s">
        <v>82</v>
      </c>
      <c r="F53" s="29"/>
      <c r="G53" s="8">
        <v>4</v>
      </c>
      <c r="H53" s="8">
        <v>0</v>
      </c>
      <c r="I53" s="12" t="s">
        <v>35</v>
      </c>
      <c r="J53" s="9">
        <f t="shared" si="5"/>
        <v>400</v>
      </c>
      <c r="K53" s="8">
        <v>0</v>
      </c>
      <c r="L53" s="8">
        <f t="shared" si="6"/>
        <v>400</v>
      </c>
      <c r="M53" s="44">
        <v>929</v>
      </c>
      <c r="N53" s="42">
        <f t="shared" si="7"/>
        <v>1329</v>
      </c>
      <c r="O53" s="48">
        <f t="shared" si="8"/>
        <v>175</v>
      </c>
      <c r="P53" s="43">
        <f t="shared" si="9"/>
        <v>1154</v>
      </c>
    </row>
    <row r="54" spans="1:17" ht="18.75">
      <c r="A54" s="7">
        <v>1</v>
      </c>
      <c r="B54" s="7" t="s">
        <v>118</v>
      </c>
      <c r="C54" s="7">
        <v>65</v>
      </c>
      <c r="E54" s="29" t="s">
        <v>105</v>
      </c>
      <c r="G54" s="8">
        <v>2</v>
      </c>
      <c r="H54" s="8">
        <v>0</v>
      </c>
      <c r="I54" s="12" t="s">
        <v>35</v>
      </c>
      <c r="J54" s="9">
        <f t="shared" si="5"/>
        <v>200</v>
      </c>
      <c r="K54" s="8">
        <v>0</v>
      </c>
      <c r="L54" s="8">
        <f t="shared" si="6"/>
        <v>200</v>
      </c>
      <c r="M54" s="44">
        <v>800</v>
      </c>
      <c r="N54" s="42">
        <f t="shared" si="7"/>
        <v>1000</v>
      </c>
      <c r="O54" s="48">
        <f t="shared" si="8"/>
        <v>175</v>
      </c>
      <c r="P54" s="43">
        <f t="shared" si="9"/>
        <v>825</v>
      </c>
    </row>
    <row r="55" spans="1:17" ht="18.75">
      <c r="A55" s="7">
        <v>1</v>
      </c>
      <c r="B55" s="7" t="s">
        <v>117</v>
      </c>
      <c r="C55" s="7">
        <v>9</v>
      </c>
      <c r="D55" s="6"/>
      <c r="E55" s="29" t="s">
        <v>47</v>
      </c>
      <c r="F55" s="33"/>
      <c r="G55" s="8">
        <v>0</v>
      </c>
      <c r="H55" s="8">
        <v>0</v>
      </c>
      <c r="I55" s="27" t="s">
        <v>23</v>
      </c>
      <c r="J55" s="9">
        <f t="shared" si="5"/>
        <v>0</v>
      </c>
      <c r="K55" s="8">
        <v>0</v>
      </c>
      <c r="L55" s="8">
        <f t="shared" si="6"/>
        <v>0</v>
      </c>
      <c r="M55" s="44">
        <v>961</v>
      </c>
      <c r="N55" s="42">
        <f t="shared" si="7"/>
        <v>961</v>
      </c>
      <c r="O55" s="48">
        <f t="shared" si="8"/>
        <v>0</v>
      </c>
      <c r="P55" s="43">
        <f t="shared" si="9"/>
        <v>961</v>
      </c>
      <c r="Q55" s="45"/>
    </row>
    <row r="56" spans="1:17" ht="18.75">
      <c r="A56" s="7">
        <v>1</v>
      </c>
      <c r="B56" s="7" t="s">
        <v>123</v>
      </c>
      <c r="C56" s="7">
        <v>23</v>
      </c>
      <c r="D56" s="6"/>
      <c r="E56" s="29" t="s">
        <v>61</v>
      </c>
      <c r="F56" s="32"/>
      <c r="G56" s="8">
        <v>0</v>
      </c>
      <c r="H56" s="8">
        <v>0</v>
      </c>
      <c r="I56" s="27" t="s">
        <v>23</v>
      </c>
      <c r="J56" s="9">
        <f t="shared" si="5"/>
        <v>0</v>
      </c>
      <c r="K56" s="8">
        <v>0</v>
      </c>
      <c r="L56" s="8">
        <f t="shared" si="6"/>
        <v>0</v>
      </c>
      <c r="M56" s="44">
        <v>951</v>
      </c>
      <c r="N56" s="42">
        <f t="shared" si="7"/>
        <v>951</v>
      </c>
      <c r="O56" s="48">
        <f t="shared" si="8"/>
        <v>0</v>
      </c>
      <c r="P56" s="43">
        <f t="shared" si="9"/>
        <v>951</v>
      </c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2</v>
      </c>
      <c r="H57" s="8">
        <v>0</v>
      </c>
      <c r="I57" s="12" t="s">
        <v>35</v>
      </c>
      <c r="J57" s="9">
        <f t="shared" si="5"/>
        <v>200</v>
      </c>
      <c r="K57" s="8">
        <v>0</v>
      </c>
      <c r="L57" s="8">
        <f t="shared" si="6"/>
        <v>200</v>
      </c>
      <c r="M57" s="44">
        <v>725</v>
      </c>
      <c r="N57" s="42">
        <f t="shared" si="7"/>
        <v>925</v>
      </c>
      <c r="O57" s="48">
        <f t="shared" si="8"/>
        <v>175</v>
      </c>
      <c r="P57" s="43">
        <f t="shared" si="9"/>
        <v>750</v>
      </c>
    </row>
    <row r="58" spans="1:17" ht="18.75">
      <c r="A58" s="7">
        <v>1</v>
      </c>
      <c r="B58" s="7" t="s">
        <v>110</v>
      </c>
      <c r="C58" s="7">
        <v>31</v>
      </c>
      <c r="D58" s="6"/>
      <c r="E58" s="29" t="s">
        <v>69</v>
      </c>
      <c r="F58" s="32"/>
      <c r="G58" s="8">
        <v>3</v>
      </c>
      <c r="H58" s="8">
        <v>0</v>
      </c>
      <c r="I58" s="12" t="s">
        <v>35</v>
      </c>
      <c r="J58" s="9">
        <f t="shared" si="5"/>
        <v>300</v>
      </c>
      <c r="K58" s="8">
        <v>0</v>
      </c>
      <c r="L58" s="8">
        <f t="shared" si="6"/>
        <v>300</v>
      </c>
      <c r="M58" s="44">
        <v>250</v>
      </c>
      <c r="N58" s="42">
        <f t="shared" si="7"/>
        <v>550</v>
      </c>
      <c r="O58" s="48">
        <f t="shared" si="8"/>
        <v>175</v>
      </c>
      <c r="P58" s="43">
        <f t="shared" si="9"/>
        <v>375</v>
      </c>
    </row>
    <row r="59" spans="1:17" ht="18.75">
      <c r="A59" s="7">
        <v>1</v>
      </c>
      <c r="B59" s="7" t="s">
        <v>122</v>
      </c>
      <c r="C59" s="7">
        <v>27</v>
      </c>
      <c r="D59" s="6"/>
      <c r="E59" s="29" t="s">
        <v>65</v>
      </c>
      <c r="F59" s="32"/>
      <c r="G59" s="8">
        <v>3</v>
      </c>
      <c r="H59" s="8">
        <v>0</v>
      </c>
      <c r="I59" s="12" t="s">
        <v>35</v>
      </c>
      <c r="J59" s="9">
        <f t="shared" si="5"/>
        <v>300</v>
      </c>
      <c r="K59" s="8">
        <v>0</v>
      </c>
      <c r="L59" s="8">
        <f t="shared" si="6"/>
        <v>300</v>
      </c>
      <c r="M59" s="44">
        <v>175</v>
      </c>
      <c r="N59" s="42">
        <f t="shared" si="7"/>
        <v>475</v>
      </c>
      <c r="O59" s="48">
        <f t="shared" si="8"/>
        <v>175</v>
      </c>
      <c r="P59" s="43">
        <f t="shared" si="9"/>
        <v>300</v>
      </c>
    </row>
    <row r="60" spans="1:17" ht="18.75">
      <c r="A60" s="7">
        <v>1</v>
      </c>
      <c r="B60" s="7" t="s">
        <v>112</v>
      </c>
      <c r="C60" s="7">
        <v>57</v>
      </c>
      <c r="D60" s="6"/>
      <c r="E60" s="29" t="s">
        <v>95</v>
      </c>
      <c r="G60" s="8">
        <v>0</v>
      </c>
      <c r="H60" s="8">
        <v>0</v>
      </c>
      <c r="I60" s="27" t="s">
        <v>23</v>
      </c>
      <c r="J60" s="9">
        <f t="shared" si="5"/>
        <v>0</v>
      </c>
      <c r="K60" s="8">
        <v>0</v>
      </c>
      <c r="L60" s="8">
        <f t="shared" si="6"/>
        <v>0</v>
      </c>
      <c r="M60" s="44">
        <v>410</v>
      </c>
      <c r="N60" s="42">
        <f t="shared" si="7"/>
        <v>410</v>
      </c>
      <c r="O60" s="48">
        <f t="shared" si="8"/>
        <v>0</v>
      </c>
      <c r="P60" s="43">
        <f t="shared" si="9"/>
        <v>410</v>
      </c>
    </row>
    <row r="61" spans="1:17" ht="18.75">
      <c r="A61" s="7">
        <v>1</v>
      </c>
      <c r="B61" s="7" t="s">
        <v>116</v>
      </c>
      <c r="C61" s="7">
        <v>60</v>
      </c>
      <c r="D61" s="6"/>
      <c r="E61" s="29" t="s">
        <v>98</v>
      </c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225</v>
      </c>
      <c r="N61" s="42">
        <f t="shared" si="7"/>
        <v>225</v>
      </c>
      <c r="O61" s="48">
        <f t="shared" si="8"/>
        <v>0</v>
      </c>
      <c r="P61" s="43">
        <f t="shared" si="9"/>
        <v>225</v>
      </c>
    </row>
    <row r="62" spans="1:17" ht="18.75">
      <c r="A62" s="7">
        <v>1</v>
      </c>
      <c r="B62" s="7" t="s">
        <v>122</v>
      </c>
      <c r="C62" s="7">
        <v>61</v>
      </c>
      <c r="D62" s="6"/>
      <c r="E62" s="29" t="s">
        <v>99</v>
      </c>
      <c r="F62" s="29"/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225</v>
      </c>
      <c r="N62" s="42">
        <f t="shared" si="7"/>
        <v>225</v>
      </c>
      <c r="O62" s="48">
        <f t="shared" si="8"/>
        <v>0</v>
      </c>
      <c r="P62" s="43">
        <f t="shared" si="9"/>
        <v>225</v>
      </c>
    </row>
    <row r="63" spans="1:17" ht="18.75">
      <c r="A63" s="7">
        <v>1</v>
      </c>
      <c r="B63" s="7" t="s">
        <v>122</v>
      </c>
      <c r="C63" s="7">
        <v>34</v>
      </c>
      <c r="D63" s="6"/>
      <c r="E63" s="29" t="s">
        <v>72</v>
      </c>
      <c r="F63" s="29"/>
      <c r="G63" s="8">
        <v>0</v>
      </c>
      <c r="H63" s="8">
        <v>0</v>
      </c>
      <c r="I63" s="27" t="s">
        <v>23</v>
      </c>
      <c r="J63" s="9">
        <f t="shared" si="5"/>
        <v>0</v>
      </c>
      <c r="K63" s="8">
        <v>0</v>
      </c>
      <c r="L63" s="8">
        <f t="shared" si="6"/>
        <v>0</v>
      </c>
      <c r="M63" s="44">
        <v>219</v>
      </c>
      <c r="N63" s="42">
        <f t="shared" si="7"/>
        <v>219</v>
      </c>
      <c r="O63" s="48">
        <f t="shared" si="8"/>
        <v>0</v>
      </c>
      <c r="P63" s="43">
        <f t="shared" si="9"/>
        <v>219</v>
      </c>
    </row>
    <row r="64" spans="1:17" ht="18.75">
      <c r="A64" s="7">
        <v>1</v>
      </c>
      <c r="B64" s="7" t="s">
        <v>122</v>
      </c>
      <c r="C64" s="7">
        <v>7</v>
      </c>
      <c r="D64" s="6"/>
      <c r="E64" s="29" t="s">
        <v>45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138</v>
      </c>
      <c r="N64" s="42">
        <f t="shared" si="7"/>
        <v>138</v>
      </c>
      <c r="O64" s="48">
        <f t="shared" si="8"/>
        <v>0</v>
      </c>
      <c r="P64" s="43">
        <f t="shared" si="9"/>
        <v>138</v>
      </c>
      <c r="Q64" s="40"/>
    </row>
    <row r="65" spans="1:17" ht="18.75">
      <c r="A65" s="7">
        <v>1</v>
      </c>
      <c r="B65" s="7" t="s">
        <v>125</v>
      </c>
      <c r="C65" s="7">
        <v>59</v>
      </c>
      <c r="D65" s="6"/>
      <c r="E65" s="29" t="s">
        <v>97</v>
      </c>
      <c r="G65" s="8">
        <v>1</v>
      </c>
      <c r="H65" s="8">
        <v>0</v>
      </c>
      <c r="I65" s="12" t="s">
        <v>35</v>
      </c>
      <c r="J65" s="9">
        <f t="shared" si="5"/>
        <v>100</v>
      </c>
      <c r="K65" s="8">
        <v>0</v>
      </c>
      <c r="L65" s="8">
        <f t="shared" si="6"/>
        <v>100</v>
      </c>
      <c r="M65" s="44">
        <v>0</v>
      </c>
      <c r="N65" s="42">
        <f t="shared" si="7"/>
        <v>100</v>
      </c>
      <c r="O65" s="48">
        <f t="shared" si="8"/>
        <v>175</v>
      </c>
      <c r="P65" s="43">
        <f t="shared" si="9"/>
        <v>0</v>
      </c>
    </row>
    <row r="66" spans="1:17" ht="18.75">
      <c r="A66" s="7">
        <v>1</v>
      </c>
      <c r="B66" s="7" t="s">
        <v>118</v>
      </c>
      <c r="C66" s="7">
        <v>51</v>
      </c>
      <c r="D66" s="6"/>
      <c r="E66" s="29" t="s">
        <v>89</v>
      </c>
      <c r="F66" s="29"/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0</v>
      </c>
      <c r="N66" s="42">
        <f t="shared" si="7"/>
        <v>0</v>
      </c>
      <c r="O66" s="48">
        <f t="shared" si="8"/>
        <v>0</v>
      </c>
      <c r="P66" s="43">
        <f t="shared" si="9"/>
        <v>0</v>
      </c>
    </row>
    <row r="67" spans="1:17" ht="18.75">
      <c r="A67" s="7">
        <v>1</v>
      </c>
      <c r="B67" s="7" t="s">
        <v>108</v>
      </c>
      <c r="C67" s="7">
        <v>8</v>
      </c>
      <c r="D67" s="6"/>
      <c r="E67" s="29" t="s">
        <v>46</v>
      </c>
      <c r="F67" s="29"/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0</v>
      </c>
      <c r="N67" s="42">
        <f t="shared" si="7"/>
        <v>0</v>
      </c>
      <c r="O67" s="48">
        <f t="shared" si="8"/>
        <v>0</v>
      </c>
      <c r="P67" s="43">
        <f t="shared" si="9"/>
        <v>0</v>
      </c>
      <c r="Q67" s="40"/>
    </row>
    <row r="68" spans="1:17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7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:L100" si="10">SUM(J69+K69)</f>
        <v>0</v>
      </c>
      <c r="M69" s="44">
        <v>0</v>
      </c>
      <c r="N69" s="42">
        <f t="shared" ref="N69:N100" si="11">M69+L69</f>
        <v>0</v>
      </c>
      <c r="O69" s="48">
        <f t="shared" si="8"/>
        <v>0</v>
      </c>
      <c r="P69" s="43">
        <f t="shared" ref="P69:P100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46" priority="2" operator="lessThan">
      <formula>1</formula>
    </cfRule>
  </conditionalFormatting>
  <conditionalFormatting sqref="K5:K69">
    <cfRule type="cellIs" dxfId="45" priority="1" operator="lessThan">
      <formula>1</formula>
    </cfRule>
  </conditionalFormatting>
  <hyperlinks>
    <hyperlink ref="E12" r:id="rId1" xr:uid="{58344E92-ACE8-4D34-A191-359E7028D3C4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06A3-4B7A-44F0-AD73-99E2080082F1}">
  <dimension ref="A1:AA69"/>
  <sheetViews>
    <sheetView topLeftCell="A37" zoomScale="85" zoomScaleNormal="85" workbookViewId="0">
      <selection activeCell="C1" sqref="C1:P69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欧皇宝宝2026年6月6日分包贡献明细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f>COUNTIF(G5:G69,"&lt;&gt;0")</f>
        <v>54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114</v>
      </c>
      <c r="C5" s="7">
        <v>36</v>
      </c>
      <c r="D5" s="6"/>
      <c r="E5" s="29" t="s">
        <v>74</v>
      </c>
      <c r="F5" s="29"/>
      <c r="G5" s="8">
        <v>4</v>
      </c>
      <c r="H5" s="8">
        <v>0</v>
      </c>
      <c r="I5" s="10" t="s">
        <v>33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1653</v>
      </c>
      <c r="N5" s="42">
        <f t="shared" ref="N5:N36" si="2">M5+L5</f>
        <v>2053</v>
      </c>
      <c r="O5" s="48">
        <f t="shared" ref="O5:O36" si="3">VLOOKUP(I5,$R$3:$S$10,2,FALSE)</f>
        <v>312</v>
      </c>
      <c r="P5" s="43">
        <f t="shared" ref="P5:P36" si="4">IF(N5-O5&gt;0,N5-O5,0)</f>
        <v>1741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120</v>
      </c>
      <c r="C6" s="7">
        <v>45</v>
      </c>
      <c r="D6" s="6"/>
      <c r="E6" s="29" t="s">
        <v>83</v>
      </c>
      <c r="F6" s="29"/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1653</v>
      </c>
      <c r="N6" s="42">
        <f t="shared" si="2"/>
        <v>2053</v>
      </c>
      <c r="O6" s="48">
        <f t="shared" si="3"/>
        <v>312</v>
      </c>
      <c r="P6" s="43">
        <f t="shared" si="4"/>
        <v>1741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109</v>
      </c>
      <c r="C7" s="7">
        <v>55</v>
      </c>
      <c r="D7" s="6"/>
      <c r="E7" s="29" t="s">
        <v>106</v>
      </c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1644</v>
      </c>
      <c r="N7" s="42">
        <f t="shared" si="2"/>
        <v>2044</v>
      </c>
      <c r="O7" s="48">
        <f t="shared" si="3"/>
        <v>312</v>
      </c>
      <c r="P7" s="43">
        <f t="shared" si="4"/>
        <v>1732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117</v>
      </c>
      <c r="C8" s="7">
        <v>3</v>
      </c>
      <c r="D8" s="6"/>
      <c r="E8" s="29" t="s">
        <v>41</v>
      </c>
      <c r="F8" s="29"/>
      <c r="G8" s="8">
        <v>4</v>
      </c>
      <c r="H8" s="8">
        <v>0</v>
      </c>
      <c r="I8" s="10" t="s">
        <v>33</v>
      </c>
      <c r="J8" s="9">
        <f t="shared" si="0"/>
        <v>400</v>
      </c>
      <c r="K8" s="8">
        <v>0</v>
      </c>
      <c r="L8" s="8">
        <f t="shared" si="1"/>
        <v>400</v>
      </c>
      <c r="M8" s="44">
        <v>1638</v>
      </c>
      <c r="N8" s="42">
        <f t="shared" si="2"/>
        <v>2038</v>
      </c>
      <c r="O8" s="48">
        <f t="shared" si="3"/>
        <v>312</v>
      </c>
      <c r="P8" s="43">
        <f t="shared" si="4"/>
        <v>1726</v>
      </c>
      <c r="Q8" s="9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112</v>
      </c>
      <c r="C9" s="7">
        <v>14</v>
      </c>
      <c r="D9" s="6"/>
      <c r="E9" s="29" t="s">
        <v>52</v>
      </c>
      <c r="F9" s="29"/>
      <c r="G9" s="8">
        <v>4</v>
      </c>
      <c r="H9" s="8">
        <v>0</v>
      </c>
      <c r="I9" s="10" t="s">
        <v>33</v>
      </c>
      <c r="J9" s="9">
        <f t="shared" si="0"/>
        <v>400</v>
      </c>
      <c r="K9" s="8">
        <v>0</v>
      </c>
      <c r="L9" s="8">
        <f t="shared" si="1"/>
        <v>400</v>
      </c>
      <c r="M9" s="44">
        <v>1628</v>
      </c>
      <c r="N9" s="42">
        <f t="shared" si="2"/>
        <v>2028</v>
      </c>
      <c r="O9" s="48">
        <f t="shared" si="3"/>
        <v>312</v>
      </c>
      <c r="P9" s="43">
        <f t="shared" si="4"/>
        <v>1716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122</v>
      </c>
      <c r="C10" s="7">
        <v>32</v>
      </c>
      <c r="D10" s="6"/>
      <c r="E10" s="29" t="s">
        <v>128</v>
      </c>
      <c r="F10" s="32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1628</v>
      </c>
      <c r="N10" s="42">
        <f t="shared" si="2"/>
        <v>2028</v>
      </c>
      <c r="O10" s="48">
        <f t="shared" si="3"/>
        <v>312</v>
      </c>
      <c r="P10" s="43">
        <f t="shared" si="4"/>
        <v>1716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122</v>
      </c>
      <c r="C11" s="7">
        <v>46</v>
      </c>
      <c r="D11" s="6"/>
      <c r="E11" s="29" t="s">
        <v>129</v>
      </c>
      <c r="F11" s="29"/>
      <c r="G11" s="8">
        <v>4</v>
      </c>
      <c r="H11" s="8">
        <v>0</v>
      </c>
      <c r="I11" s="10" t="s">
        <v>33</v>
      </c>
      <c r="J11" s="9">
        <f t="shared" si="0"/>
        <v>400</v>
      </c>
      <c r="K11" s="8">
        <v>0</v>
      </c>
      <c r="L11" s="8">
        <f t="shared" si="1"/>
        <v>400</v>
      </c>
      <c r="M11" s="44">
        <v>1617</v>
      </c>
      <c r="N11" s="42">
        <f t="shared" si="2"/>
        <v>2017</v>
      </c>
      <c r="O11" s="48">
        <f t="shared" si="3"/>
        <v>312</v>
      </c>
      <c r="P11" s="43">
        <f t="shared" si="4"/>
        <v>1705</v>
      </c>
      <c r="Q11" s="1"/>
      <c r="R11" s="24"/>
    </row>
    <row r="12" spans="1:26" ht="18.75">
      <c r="A12" s="7">
        <v>1</v>
      </c>
      <c r="B12" s="7" t="s">
        <v>122</v>
      </c>
      <c r="C12" s="7">
        <v>17</v>
      </c>
      <c r="D12" s="6"/>
      <c r="E12" s="29" t="s">
        <v>55</v>
      </c>
      <c r="F12" s="29"/>
      <c r="G12" s="8">
        <v>4</v>
      </c>
      <c r="H12" s="8">
        <v>0</v>
      </c>
      <c r="I12" s="11" t="s">
        <v>34</v>
      </c>
      <c r="J12" s="9">
        <f t="shared" si="0"/>
        <v>400</v>
      </c>
      <c r="K12" s="8">
        <v>0</v>
      </c>
      <c r="L12" s="8">
        <f t="shared" si="1"/>
        <v>400</v>
      </c>
      <c r="M12" s="44">
        <v>1614</v>
      </c>
      <c r="N12" s="42">
        <f t="shared" si="2"/>
        <v>2014</v>
      </c>
      <c r="O12" s="48">
        <f t="shared" si="3"/>
        <v>240</v>
      </c>
      <c r="P12" s="43">
        <f t="shared" si="4"/>
        <v>1774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110</v>
      </c>
      <c r="C13" s="7">
        <v>62</v>
      </c>
      <c r="D13" s="6"/>
      <c r="E13" s="29" t="s">
        <v>100</v>
      </c>
      <c r="F13" s="29"/>
      <c r="G13" s="8">
        <v>4</v>
      </c>
      <c r="H13" s="8">
        <v>0</v>
      </c>
      <c r="I13" s="11" t="s">
        <v>34</v>
      </c>
      <c r="J13" s="9">
        <f t="shared" si="0"/>
        <v>400</v>
      </c>
      <c r="K13" s="8">
        <v>0</v>
      </c>
      <c r="L13" s="8">
        <f t="shared" si="1"/>
        <v>400</v>
      </c>
      <c r="M13" s="44">
        <v>1608</v>
      </c>
      <c r="N13" s="42">
        <f t="shared" si="2"/>
        <v>2008</v>
      </c>
      <c r="O13" s="48">
        <f t="shared" si="3"/>
        <v>240</v>
      </c>
      <c r="P13" s="43">
        <f t="shared" si="4"/>
        <v>1768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122</v>
      </c>
      <c r="C14" s="7">
        <v>1</v>
      </c>
      <c r="D14" s="6"/>
      <c r="E14" s="29" t="s">
        <v>39</v>
      </c>
      <c r="F14" s="29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1604</v>
      </c>
      <c r="N14" s="42">
        <f t="shared" si="2"/>
        <v>2004</v>
      </c>
      <c r="O14" s="48">
        <f t="shared" si="3"/>
        <v>240</v>
      </c>
      <c r="P14" s="43">
        <f t="shared" si="4"/>
        <v>1764</v>
      </c>
      <c r="Q14" s="9"/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109</v>
      </c>
      <c r="C15" s="7">
        <v>47</v>
      </c>
      <c r="D15" s="6"/>
      <c r="E15" s="29" t="s">
        <v>85</v>
      </c>
      <c r="F15" s="29"/>
      <c r="G15" s="8">
        <v>4</v>
      </c>
      <c r="H15" s="8">
        <v>0</v>
      </c>
      <c r="I15" s="11" t="s">
        <v>34</v>
      </c>
      <c r="J15" s="9">
        <f t="shared" si="0"/>
        <v>400</v>
      </c>
      <c r="K15" s="8">
        <v>0</v>
      </c>
      <c r="L15" s="8">
        <f t="shared" si="1"/>
        <v>400</v>
      </c>
      <c r="M15" s="44">
        <v>1601</v>
      </c>
      <c r="N15" s="42">
        <f t="shared" si="2"/>
        <v>2001</v>
      </c>
      <c r="O15" s="48">
        <f t="shared" si="3"/>
        <v>240</v>
      </c>
      <c r="P15" s="43">
        <f t="shared" si="4"/>
        <v>1761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120</v>
      </c>
      <c r="C16" s="7">
        <v>29</v>
      </c>
      <c r="D16" s="6"/>
      <c r="E16" s="29" t="s">
        <v>67</v>
      </c>
      <c r="F16" s="32"/>
      <c r="G16" s="8">
        <v>4</v>
      </c>
      <c r="H16" s="8">
        <v>0</v>
      </c>
      <c r="I16" s="11" t="s">
        <v>34</v>
      </c>
      <c r="J16" s="9">
        <f t="shared" si="0"/>
        <v>400</v>
      </c>
      <c r="K16" s="8">
        <v>0</v>
      </c>
      <c r="L16" s="8">
        <f t="shared" si="1"/>
        <v>400</v>
      </c>
      <c r="M16" s="44">
        <v>1599</v>
      </c>
      <c r="N16" s="42">
        <f t="shared" si="2"/>
        <v>1999</v>
      </c>
      <c r="O16" s="48">
        <f t="shared" si="3"/>
        <v>240</v>
      </c>
      <c r="P16" s="43">
        <f t="shared" si="4"/>
        <v>1759</v>
      </c>
      <c r="R16" t="s">
        <v>27</v>
      </c>
      <c r="S16">
        <v>6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110</v>
      </c>
      <c r="C17" s="7">
        <v>28</v>
      </c>
      <c r="D17" s="6"/>
      <c r="E17" s="29" t="s">
        <v>66</v>
      </c>
      <c r="F17" s="32"/>
      <c r="G17" s="8">
        <v>4</v>
      </c>
      <c r="H17" s="8">
        <v>0</v>
      </c>
      <c r="I17" s="11" t="s">
        <v>34</v>
      </c>
      <c r="J17" s="9">
        <f t="shared" si="0"/>
        <v>400</v>
      </c>
      <c r="K17" s="8">
        <v>0</v>
      </c>
      <c r="L17" s="8">
        <f t="shared" si="1"/>
        <v>400</v>
      </c>
      <c r="M17" s="44">
        <v>1597</v>
      </c>
      <c r="N17" s="42">
        <f t="shared" si="2"/>
        <v>1997</v>
      </c>
      <c r="O17" s="48">
        <f t="shared" si="3"/>
        <v>240</v>
      </c>
      <c r="P17" s="43">
        <f t="shared" si="4"/>
        <v>1757</v>
      </c>
      <c r="R17" t="s">
        <v>28</v>
      </c>
      <c r="S17">
        <v>6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109</v>
      </c>
      <c r="C18" s="7">
        <v>35</v>
      </c>
      <c r="D18" s="6"/>
      <c r="E18" s="29" t="s">
        <v>73</v>
      </c>
      <c r="F18" s="29"/>
      <c r="G18" s="8">
        <v>4</v>
      </c>
      <c r="H18" s="8">
        <v>0</v>
      </c>
      <c r="I18" s="11" t="s">
        <v>34</v>
      </c>
      <c r="J18" s="9">
        <f t="shared" si="0"/>
        <v>400</v>
      </c>
      <c r="K18" s="8">
        <v>0</v>
      </c>
      <c r="L18" s="8">
        <f t="shared" si="1"/>
        <v>400</v>
      </c>
      <c r="M18" s="44">
        <v>1589</v>
      </c>
      <c r="N18" s="42">
        <f t="shared" si="2"/>
        <v>1989</v>
      </c>
      <c r="O18" s="48">
        <f t="shared" si="3"/>
        <v>240</v>
      </c>
      <c r="P18" s="43">
        <f t="shared" si="4"/>
        <v>1749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120</v>
      </c>
      <c r="C19" s="7">
        <v>13</v>
      </c>
      <c r="D19" s="6"/>
      <c r="E19" s="29" t="s">
        <v>51</v>
      </c>
      <c r="F19" s="29"/>
      <c r="G19" s="8">
        <v>4</v>
      </c>
      <c r="H19" s="8">
        <v>0</v>
      </c>
      <c r="I19" s="12" t="s">
        <v>35</v>
      </c>
      <c r="J19" s="9">
        <f t="shared" si="0"/>
        <v>400</v>
      </c>
      <c r="K19" s="8">
        <v>0</v>
      </c>
      <c r="L19" s="8">
        <f t="shared" si="1"/>
        <v>400</v>
      </c>
      <c r="M19" s="44">
        <v>1583</v>
      </c>
      <c r="N19" s="42">
        <f t="shared" si="2"/>
        <v>1983</v>
      </c>
      <c r="O19" s="48">
        <f t="shared" si="3"/>
        <v>175</v>
      </c>
      <c r="P19" s="43">
        <f t="shared" si="4"/>
        <v>1808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121</v>
      </c>
      <c r="C20" s="7">
        <v>30</v>
      </c>
      <c r="D20" s="6"/>
      <c r="E20" s="29" t="s">
        <v>68</v>
      </c>
      <c r="F20" s="32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1579</v>
      </c>
      <c r="N20" s="42">
        <f t="shared" si="2"/>
        <v>1979</v>
      </c>
      <c r="O20" s="48">
        <f t="shared" si="3"/>
        <v>175</v>
      </c>
      <c r="P20" s="43">
        <f t="shared" si="4"/>
        <v>1804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109</v>
      </c>
      <c r="C21" s="7">
        <v>11</v>
      </c>
      <c r="D21" s="6"/>
      <c r="E21" s="29" t="s">
        <v>49</v>
      </c>
      <c r="F21" s="29"/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1578</v>
      </c>
      <c r="N21" s="42">
        <f t="shared" si="2"/>
        <v>1978</v>
      </c>
      <c r="O21" s="48">
        <f t="shared" si="3"/>
        <v>175</v>
      </c>
      <c r="P21" s="43">
        <f t="shared" si="4"/>
        <v>1803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123</v>
      </c>
      <c r="C22" s="7">
        <v>24</v>
      </c>
      <c r="D22" s="6"/>
      <c r="E22" s="29" t="s">
        <v>62</v>
      </c>
      <c r="F22" s="32"/>
      <c r="G22" s="8">
        <v>4</v>
      </c>
      <c r="H22" s="8">
        <v>0</v>
      </c>
      <c r="I22" s="12" t="s">
        <v>35</v>
      </c>
      <c r="J22" s="9">
        <f t="shared" si="0"/>
        <v>400</v>
      </c>
      <c r="K22" s="8">
        <v>0</v>
      </c>
      <c r="L22" s="8">
        <f t="shared" si="1"/>
        <v>400</v>
      </c>
      <c r="M22" s="44">
        <v>1573</v>
      </c>
      <c r="N22" s="42">
        <f t="shared" si="2"/>
        <v>1973</v>
      </c>
      <c r="O22" s="48">
        <f t="shared" si="3"/>
        <v>175</v>
      </c>
      <c r="P22" s="43">
        <f t="shared" si="4"/>
        <v>1798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122</v>
      </c>
      <c r="C23" s="7">
        <v>43</v>
      </c>
      <c r="D23" s="6"/>
      <c r="E23" s="29" t="s">
        <v>81</v>
      </c>
      <c r="F23" s="31"/>
      <c r="G23" s="8">
        <v>4</v>
      </c>
      <c r="H23" s="8">
        <v>0</v>
      </c>
      <c r="I23" s="12" t="s">
        <v>35</v>
      </c>
      <c r="J23" s="9">
        <f t="shared" si="0"/>
        <v>400</v>
      </c>
      <c r="K23" s="8">
        <v>0</v>
      </c>
      <c r="L23" s="8">
        <f t="shared" si="1"/>
        <v>400</v>
      </c>
      <c r="M23" s="44">
        <v>1565</v>
      </c>
      <c r="N23" s="42">
        <f t="shared" si="2"/>
        <v>1965</v>
      </c>
      <c r="O23" s="48">
        <f t="shared" si="3"/>
        <v>175</v>
      </c>
      <c r="P23" s="43">
        <f t="shared" si="4"/>
        <v>1790</v>
      </c>
      <c r="Q23" s="1"/>
    </row>
    <row r="24" spans="1:27" ht="18.75">
      <c r="A24" s="7">
        <v>1</v>
      </c>
      <c r="B24" s="7" t="s">
        <v>123</v>
      </c>
      <c r="C24" s="7">
        <v>12</v>
      </c>
      <c r="D24" s="6"/>
      <c r="E24" s="29" t="s">
        <v>50</v>
      </c>
      <c r="F24" s="29"/>
      <c r="G24" s="8">
        <v>4</v>
      </c>
      <c r="H24" s="8">
        <v>0</v>
      </c>
      <c r="I24" s="12" t="s">
        <v>35</v>
      </c>
      <c r="J24" s="9">
        <f t="shared" si="0"/>
        <v>400</v>
      </c>
      <c r="K24" s="8">
        <v>0</v>
      </c>
      <c r="L24" s="8">
        <f t="shared" si="1"/>
        <v>400</v>
      </c>
      <c r="M24" s="44">
        <v>1561</v>
      </c>
      <c r="N24" s="42">
        <f t="shared" si="2"/>
        <v>1961</v>
      </c>
      <c r="O24" s="48">
        <f t="shared" si="3"/>
        <v>175</v>
      </c>
      <c r="P24" s="43">
        <f t="shared" si="4"/>
        <v>1786</v>
      </c>
      <c r="Q24" s="1"/>
    </row>
    <row r="25" spans="1:27" ht="18.75">
      <c r="A25" s="7">
        <v>1</v>
      </c>
      <c r="B25" s="7" t="s">
        <v>127</v>
      </c>
      <c r="C25" s="7">
        <v>21</v>
      </c>
      <c r="D25" s="6"/>
      <c r="E25" s="29" t="s">
        <v>59</v>
      </c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1561</v>
      </c>
      <c r="N25" s="42">
        <f t="shared" si="2"/>
        <v>1961</v>
      </c>
      <c r="O25" s="48">
        <f t="shared" si="3"/>
        <v>175</v>
      </c>
      <c r="P25" s="43">
        <f t="shared" si="4"/>
        <v>1786</v>
      </c>
      <c r="Q25" s="1"/>
    </row>
    <row r="26" spans="1:27" ht="18.75" customHeight="1">
      <c r="A26" s="7">
        <v>1</v>
      </c>
      <c r="B26" s="7" t="s">
        <v>119</v>
      </c>
      <c r="C26" s="7">
        <v>18</v>
      </c>
      <c r="D26" s="6"/>
      <c r="E26" s="29" t="s">
        <v>56</v>
      </c>
      <c r="F26" s="29"/>
      <c r="G26" s="8">
        <v>4</v>
      </c>
      <c r="H26" s="8">
        <v>0</v>
      </c>
      <c r="I26" s="12" t="s">
        <v>35</v>
      </c>
      <c r="J26" s="9">
        <f t="shared" si="0"/>
        <v>400</v>
      </c>
      <c r="K26" s="8">
        <v>0</v>
      </c>
      <c r="L26" s="8">
        <f t="shared" si="1"/>
        <v>400</v>
      </c>
      <c r="M26" s="44">
        <v>1556</v>
      </c>
      <c r="N26" s="42">
        <f t="shared" si="2"/>
        <v>1956</v>
      </c>
      <c r="O26" s="48">
        <f t="shared" si="3"/>
        <v>175</v>
      </c>
      <c r="P26" s="43">
        <f t="shared" si="4"/>
        <v>1781</v>
      </c>
      <c r="Q26" s="1"/>
    </row>
    <row r="27" spans="1:27" ht="18.75">
      <c r="A27" s="7">
        <v>1</v>
      </c>
      <c r="B27" s="7" t="s">
        <v>116</v>
      </c>
      <c r="C27" s="7">
        <v>63</v>
      </c>
      <c r="D27" s="6"/>
      <c r="E27" s="29" t="s">
        <v>101</v>
      </c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1549</v>
      </c>
      <c r="N27" s="42">
        <f t="shared" si="2"/>
        <v>1949</v>
      </c>
      <c r="O27" s="48">
        <f t="shared" si="3"/>
        <v>175</v>
      </c>
      <c r="P27" s="43">
        <f t="shared" si="4"/>
        <v>1774</v>
      </c>
      <c r="Q27" s="1"/>
    </row>
    <row r="28" spans="1:27" ht="18.75">
      <c r="A28" s="7">
        <v>1</v>
      </c>
      <c r="B28" s="7" t="s">
        <v>111</v>
      </c>
      <c r="C28" s="7">
        <v>40</v>
      </c>
      <c r="D28" s="6"/>
      <c r="E28" s="30" t="s">
        <v>78</v>
      </c>
      <c r="G28" s="8">
        <v>4</v>
      </c>
      <c r="H28" s="8">
        <v>0</v>
      </c>
      <c r="I28" s="12" t="s">
        <v>35</v>
      </c>
      <c r="J28" s="9">
        <f t="shared" si="0"/>
        <v>400</v>
      </c>
      <c r="K28" s="8">
        <v>0</v>
      </c>
      <c r="L28" s="8">
        <f t="shared" si="1"/>
        <v>400</v>
      </c>
      <c r="M28" s="44">
        <v>1549</v>
      </c>
      <c r="N28" s="42">
        <f t="shared" si="2"/>
        <v>1949</v>
      </c>
      <c r="O28" s="48">
        <f t="shared" si="3"/>
        <v>175</v>
      </c>
      <c r="P28" s="43">
        <f t="shared" si="4"/>
        <v>1774</v>
      </c>
      <c r="Q28" s="1"/>
    </row>
    <row r="29" spans="1:27" s="1" customFormat="1" ht="18.75">
      <c r="A29" s="7">
        <v>1</v>
      </c>
      <c r="B29" s="7" t="s">
        <v>109</v>
      </c>
      <c r="C29" s="7">
        <v>49</v>
      </c>
      <c r="D29" s="6"/>
      <c r="E29" s="29" t="s">
        <v>87</v>
      </c>
      <c r="F29" s="29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1547</v>
      </c>
      <c r="N29" s="42">
        <f t="shared" si="2"/>
        <v>1947</v>
      </c>
      <c r="O29" s="48">
        <f t="shared" si="3"/>
        <v>175</v>
      </c>
      <c r="P29" s="43">
        <f t="shared" si="4"/>
        <v>1772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122</v>
      </c>
      <c r="C30" s="7">
        <v>5</v>
      </c>
      <c r="D30" s="6"/>
      <c r="E30" s="29" t="s">
        <v>43</v>
      </c>
      <c r="F30" s="29"/>
      <c r="G30" s="8">
        <v>3</v>
      </c>
      <c r="H30" s="8">
        <v>0</v>
      </c>
      <c r="I30" s="12" t="s">
        <v>35</v>
      </c>
      <c r="J30" s="9">
        <f t="shared" si="0"/>
        <v>300</v>
      </c>
      <c r="K30" s="8">
        <v>0</v>
      </c>
      <c r="L30" s="8">
        <f t="shared" si="1"/>
        <v>300</v>
      </c>
      <c r="M30" s="44">
        <v>1642</v>
      </c>
      <c r="N30" s="42">
        <f t="shared" si="2"/>
        <v>1942</v>
      </c>
      <c r="O30" s="48">
        <f t="shared" si="3"/>
        <v>175</v>
      </c>
      <c r="P30" s="43">
        <f t="shared" si="4"/>
        <v>1767</v>
      </c>
      <c r="Q30" s="21"/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113</v>
      </c>
      <c r="C31" s="7">
        <v>37</v>
      </c>
      <c r="D31" s="6"/>
      <c r="E31" s="29" t="s">
        <v>75</v>
      </c>
      <c r="G31" s="8">
        <v>3</v>
      </c>
      <c r="H31" s="8">
        <v>0</v>
      </c>
      <c r="I31" s="12" t="s">
        <v>35</v>
      </c>
      <c r="J31" s="9">
        <f t="shared" si="0"/>
        <v>300</v>
      </c>
      <c r="K31" s="8">
        <v>0</v>
      </c>
      <c r="L31" s="8">
        <f t="shared" si="1"/>
        <v>300</v>
      </c>
      <c r="M31" s="44">
        <v>1621</v>
      </c>
      <c r="N31" s="42">
        <f t="shared" si="2"/>
        <v>1921</v>
      </c>
      <c r="O31" s="48">
        <f t="shared" si="3"/>
        <v>175</v>
      </c>
      <c r="P31" s="43">
        <f t="shared" si="4"/>
        <v>1746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110</v>
      </c>
      <c r="C32" s="7">
        <v>42</v>
      </c>
      <c r="D32" s="6"/>
      <c r="E32" s="29" t="s">
        <v>80</v>
      </c>
      <c r="F32" s="32"/>
      <c r="G32" s="8">
        <v>3</v>
      </c>
      <c r="H32" s="8">
        <v>0</v>
      </c>
      <c r="I32" s="12" t="s">
        <v>35</v>
      </c>
      <c r="J32" s="9">
        <f t="shared" si="0"/>
        <v>300</v>
      </c>
      <c r="K32" s="8">
        <v>0</v>
      </c>
      <c r="L32" s="8">
        <f t="shared" si="1"/>
        <v>300</v>
      </c>
      <c r="M32" s="44">
        <v>1621</v>
      </c>
      <c r="N32" s="42">
        <f t="shared" si="2"/>
        <v>1921</v>
      </c>
      <c r="O32" s="48">
        <f t="shared" si="3"/>
        <v>175</v>
      </c>
      <c r="P32" s="43">
        <f t="shared" si="4"/>
        <v>1746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114</v>
      </c>
      <c r="C33" s="7">
        <v>58</v>
      </c>
      <c r="D33" s="6"/>
      <c r="E33" s="29" t="s">
        <v>96</v>
      </c>
      <c r="G33" s="8">
        <v>3</v>
      </c>
      <c r="H33" s="8">
        <v>0</v>
      </c>
      <c r="I33" s="12" t="s">
        <v>35</v>
      </c>
      <c r="J33" s="9">
        <f t="shared" si="0"/>
        <v>300</v>
      </c>
      <c r="K33" s="8">
        <v>0</v>
      </c>
      <c r="L33" s="8">
        <f t="shared" si="1"/>
        <v>300</v>
      </c>
      <c r="M33" s="44">
        <v>1614</v>
      </c>
      <c r="N33" s="42">
        <f t="shared" si="2"/>
        <v>1914</v>
      </c>
      <c r="O33" s="48">
        <f t="shared" si="3"/>
        <v>175</v>
      </c>
      <c r="P33" s="43">
        <f t="shared" si="4"/>
        <v>1739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/>
      <c r="C34" s="7">
        <v>10</v>
      </c>
      <c r="D34" s="6"/>
      <c r="E34" s="29" t="s">
        <v>48</v>
      </c>
      <c r="F34" s="31"/>
      <c r="G34" s="8">
        <v>3</v>
      </c>
      <c r="H34" s="8">
        <v>0</v>
      </c>
      <c r="I34" s="12" t="s">
        <v>35</v>
      </c>
      <c r="J34" s="9">
        <f t="shared" si="0"/>
        <v>300</v>
      </c>
      <c r="K34" s="8">
        <v>0</v>
      </c>
      <c r="L34" s="8">
        <f t="shared" si="1"/>
        <v>300</v>
      </c>
      <c r="M34" s="44">
        <v>1577</v>
      </c>
      <c r="N34" s="42">
        <f t="shared" si="2"/>
        <v>1877</v>
      </c>
      <c r="O34" s="48">
        <f t="shared" si="3"/>
        <v>175</v>
      </c>
      <c r="P34" s="43">
        <f t="shared" si="4"/>
        <v>1702</v>
      </c>
      <c r="Q34" s="21"/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120</v>
      </c>
      <c r="C35" s="7">
        <v>64</v>
      </c>
      <c r="D35" s="6"/>
      <c r="E35" s="29" t="s">
        <v>130</v>
      </c>
      <c r="F35" s="29"/>
      <c r="G35" s="8">
        <v>4</v>
      </c>
      <c r="H35" s="8">
        <v>0</v>
      </c>
      <c r="I35" s="12" t="s">
        <v>35</v>
      </c>
      <c r="J35" s="9">
        <f t="shared" si="0"/>
        <v>400</v>
      </c>
      <c r="K35" s="8">
        <v>0</v>
      </c>
      <c r="L35" s="8">
        <f t="shared" si="1"/>
        <v>400</v>
      </c>
      <c r="M35" s="44">
        <v>1469</v>
      </c>
      <c r="N35" s="42">
        <f t="shared" si="2"/>
        <v>1869</v>
      </c>
      <c r="O35" s="48">
        <f t="shared" si="3"/>
        <v>175</v>
      </c>
      <c r="P35" s="43">
        <f t="shared" si="4"/>
        <v>1694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112</v>
      </c>
      <c r="C36" s="7">
        <v>15</v>
      </c>
      <c r="D36" s="6"/>
      <c r="E36" s="29" t="s">
        <v>53</v>
      </c>
      <c r="F36" s="29"/>
      <c r="G36" s="8">
        <v>4</v>
      </c>
      <c r="H36" s="8">
        <v>0</v>
      </c>
      <c r="I36" s="12" t="s">
        <v>35</v>
      </c>
      <c r="J36" s="9">
        <f t="shared" si="0"/>
        <v>400</v>
      </c>
      <c r="K36" s="8">
        <v>0</v>
      </c>
      <c r="L36" s="8">
        <f t="shared" si="1"/>
        <v>400</v>
      </c>
      <c r="M36" s="44">
        <v>1467</v>
      </c>
      <c r="N36" s="42">
        <f t="shared" si="2"/>
        <v>1867</v>
      </c>
      <c r="O36" s="48">
        <f t="shared" si="3"/>
        <v>175</v>
      </c>
      <c r="P36" s="43">
        <f t="shared" si="4"/>
        <v>1692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114</v>
      </c>
      <c r="C37" s="7">
        <v>52</v>
      </c>
      <c r="D37" s="6"/>
      <c r="E37" s="29" t="s">
        <v>90</v>
      </c>
      <c r="G37" s="8">
        <v>3</v>
      </c>
      <c r="H37" s="8">
        <v>0</v>
      </c>
      <c r="I37" s="12" t="s">
        <v>35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1567</v>
      </c>
      <c r="N37" s="42">
        <f t="shared" ref="N37:N68" si="7">M37+L37</f>
        <v>1867</v>
      </c>
      <c r="O37" s="48">
        <f t="shared" ref="O37:O69" si="8">VLOOKUP(I37,$R$3:$S$10,2,FALSE)</f>
        <v>175</v>
      </c>
      <c r="P37" s="43">
        <f t="shared" ref="P37:P68" si="9">IF(N37-O37&gt;0,N37-O37,0)</f>
        <v>1692</v>
      </c>
      <c r="Q37" s="1"/>
    </row>
    <row r="38" spans="1:27" s="1" customFormat="1" ht="18.75">
      <c r="A38" s="7">
        <v>1</v>
      </c>
      <c r="B38" s="7" t="s">
        <v>109</v>
      </c>
      <c r="C38" s="7">
        <v>22</v>
      </c>
      <c r="D38" s="6"/>
      <c r="E38" s="29" t="s">
        <v>60</v>
      </c>
      <c r="F38" s="32"/>
      <c r="G38" s="8">
        <v>4</v>
      </c>
      <c r="H38" s="8">
        <v>0</v>
      </c>
      <c r="I38" s="12" t="s">
        <v>35</v>
      </c>
      <c r="J38" s="9">
        <f t="shared" si="5"/>
        <v>400</v>
      </c>
      <c r="K38" s="8">
        <v>0</v>
      </c>
      <c r="L38" s="8">
        <f t="shared" si="6"/>
        <v>400</v>
      </c>
      <c r="M38" s="44">
        <v>1463</v>
      </c>
      <c r="N38" s="42">
        <f t="shared" si="7"/>
        <v>1863</v>
      </c>
      <c r="O38" s="48">
        <f t="shared" si="8"/>
        <v>175</v>
      </c>
      <c r="P38" s="43">
        <f t="shared" si="9"/>
        <v>1688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120</v>
      </c>
      <c r="C39" s="7">
        <v>20</v>
      </c>
      <c r="D39" s="6"/>
      <c r="E39" s="29" t="s">
        <v>58</v>
      </c>
      <c r="F39" s="32"/>
      <c r="G39" s="8">
        <v>2</v>
      </c>
      <c r="H39" s="8">
        <v>0</v>
      </c>
      <c r="I39" s="12" t="s">
        <v>35</v>
      </c>
      <c r="J39" s="9">
        <f t="shared" si="5"/>
        <v>200</v>
      </c>
      <c r="K39" s="8">
        <v>0</v>
      </c>
      <c r="L39" s="8">
        <f t="shared" si="6"/>
        <v>200</v>
      </c>
      <c r="M39" s="44">
        <v>1628</v>
      </c>
      <c r="N39" s="42">
        <f t="shared" si="7"/>
        <v>1828</v>
      </c>
      <c r="O39" s="48">
        <f t="shared" si="8"/>
        <v>175</v>
      </c>
      <c r="P39" s="43">
        <f t="shared" si="9"/>
        <v>1653</v>
      </c>
      <c r="Q39" s="1"/>
    </row>
    <row r="40" spans="1:27" ht="18.75">
      <c r="A40" s="7">
        <v>1</v>
      </c>
      <c r="B40" s="7" t="s">
        <v>124</v>
      </c>
      <c r="C40" s="7">
        <v>2</v>
      </c>
      <c r="D40" s="6"/>
      <c r="E40" s="29" t="s">
        <v>40</v>
      </c>
      <c r="F40" s="29"/>
      <c r="G40" s="8">
        <v>3</v>
      </c>
      <c r="H40" s="8">
        <v>0</v>
      </c>
      <c r="I40" s="12" t="s">
        <v>35</v>
      </c>
      <c r="J40" s="9">
        <f t="shared" si="5"/>
        <v>300</v>
      </c>
      <c r="K40" s="8">
        <v>0</v>
      </c>
      <c r="L40" s="8">
        <f t="shared" si="6"/>
        <v>300</v>
      </c>
      <c r="M40" s="44">
        <v>1528</v>
      </c>
      <c r="N40" s="42">
        <f t="shared" si="7"/>
        <v>1828</v>
      </c>
      <c r="O40" s="48">
        <f t="shared" si="8"/>
        <v>175</v>
      </c>
      <c r="P40" s="43">
        <f t="shared" si="9"/>
        <v>1653</v>
      </c>
      <c r="Q40" s="9"/>
    </row>
    <row r="41" spans="1:27" ht="18.75">
      <c r="A41" s="7">
        <v>1</v>
      </c>
      <c r="B41" s="7" t="s">
        <v>118</v>
      </c>
      <c r="C41" s="7">
        <v>50</v>
      </c>
      <c r="D41" s="6"/>
      <c r="E41" s="29" t="s">
        <v>88</v>
      </c>
      <c r="F41" s="29"/>
      <c r="G41" s="8">
        <v>4</v>
      </c>
      <c r="H41" s="8">
        <v>0</v>
      </c>
      <c r="I41" s="12" t="s">
        <v>35</v>
      </c>
      <c r="J41" s="9">
        <f t="shared" si="5"/>
        <v>400</v>
      </c>
      <c r="K41" s="8">
        <v>0</v>
      </c>
      <c r="L41" s="8">
        <f t="shared" si="6"/>
        <v>400</v>
      </c>
      <c r="M41" s="44">
        <v>1416</v>
      </c>
      <c r="N41" s="42">
        <f t="shared" si="7"/>
        <v>1816</v>
      </c>
      <c r="O41" s="48">
        <f t="shared" si="8"/>
        <v>175</v>
      </c>
      <c r="P41" s="43">
        <f t="shared" si="9"/>
        <v>1641</v>
      </c>
      <c r="Q41" s="1"/>
    </row>
    <row r="42" spans="1:27" ht="18.75">
      <c r="A42" s="7">
        <v>1</v>
      </c>
      <c r="B42" s="7" t="s">
        <v>112</v>
      </c>
      <c r="C42" s="7">
        <v>53</v>
      </c>
      <c r="D42" s="6"/>
      <c r="E42" s="29" t="s">
        <v>91</v>
      </c>
      <c r="F42" s="29"/>
      <c r="G42" s="8">
        <v>4</v>
      </c>
      <c r="H42" s="8">
        <v>0</v>
      </c>
      <c r="I42" s="12" t="s">
        <v>35</v>
      </c>
      <c r="J42" s="9">
        <f t="shared" si="5"/>
        <v>400</v>
      </c>
      <c r="K42" s="8">
        <v>0</v>
      </c>
      <c r="L42" s="8">
        <f t="shared" si="6"/>
        <v>400</v>
      </c>
      <c r="M42" s="44">
        <v>1360</v>
      </c>
      <c r="N42" s="42">
        <f t="shared" si="7"/>
        <v>1760</v>
      </c>
      <c r="O42" s="48">
        <f t="shared" si="8"/>
        <v>175</v>
      </c>
      <c r="P42" s="43">
        <f t="shared" si="9"/>
        <v>1585</v>
      </c>
      <c r="Q42" s="1"/>
    </row>
    <row r="43" spans="1:27" ht="18.75">
      <c r="A43" s="7">
        <v>1</v>
      </c>
      <c r="B43" s="7" t="s">
        <v>115</v>
      </c>
      <c r="C43" s="7">
        <v>26</v>
      </c>
      <c r="D43" s="6"/>
      <c r="E43" s="29" t="s">
        <v>64</v>
      </c>
      <c r="F43" s="32"/>
      <c r="G43" s="8">
        <v>4</v>
      </c>
      <c r="H43" s="8">
        <v>0</v>
      </c>
      <c r="I43" s="12" t="s">
        <v>35</v>
      </c>
      <c r="J43" s="9">
        <f t="shared" si="5"/>
        <v>400</v>
      </c>
      <c r="K43" s="8">
        <v>0</v>
      </c>
      <c r="L43" s="8">
        <f t="shared" si="6"/>
        <v>400</v>
      </c>
      <c r="M43" s="44">
        <v>1269</v>
      </c>
      <c r="N43" s="42">
        <f t="shared" si="7"/>
        <v>1669</v>
      </c>
      <c r="O43" s="48">
        <f t="shared" si="8"/>
        <v>175</v>
      </c>
      <c r="P43" s="43">
        <f t="shared" si="9"/>
        <v>1494</v>
      </c>
      <c r="Q43" s="1"/>
    </row>
    <row r="44" spans="1:27" ht="18.75">
      <c r="A44" s="7">
        <v>1</v>
      </c>
      <c r="B44" s="7" t="s">
        <v>120</v>
      </c>
      <c r="C44" s="7">
        <v>6</v>
      </c>
      <c r="D44" s="6"/>
      <c r="E44" s="29" t="s">
        <v>44</v>
      </c>
      <c r="F44" s="29"/>
      <c r="G44" s="8">
        <v>2</v>
      </c>
      <c r="H44" s="8">
        <v>0</v>
      </c>
      <c r="I44" s="12" t="s">
        <v>35</v>
      </c>
      <c r="J44" s="9">
        <f t="shared" si="5"/>
        <v>200</v>
      </c>
      <c r="K44" s="8">
        <v>0</v>
      </c>
      <c r="L44" s="8">
        <f t="shared" si="6"/>
        <v>200</v>
      </c>
      <c r="M44" s="44">
        <v>1414</v>
      </c>
      <c r="N44" s="42">
        <f t="shared" si="7"/>
        <v>1614</v>
      </c>
      <c r="O44" s="48">
        <f t="shared" si="8"/>
        <v>175</v>
      </c>
      <c r="P44" s="43">
        <f t="shared" si="9"/>
        <v>1439</v>
      </c>
      <c r="Q44" s="15"/>
    </row>
    <row r="45" spans="1:27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32"/>
      <c r="G45" s="8">
        <v>4</v>
      </c>
      <c r="H45" s="8">
        <v>0</v>
      </c>
      <c r="I45" s="12" t="s">
        <v>35</v>
      </c>
      <c r="J45" s="9">
        <f t="shared" si="5"/>
        <v>400</v>
      </c>
      <c r="K45" s="8">
        <v>0</v>
      </c>
      <c r="L45" s="8">
        <f t="shared" si="6"/>
        <v>400</v>
      </c>
      <c r="M45" s="44">
        <v>1151</v>
      </c>
      <c r="N45" s="42">
        <f t="shared" si="7"/>
        <v>1551</v>
      </c>
      <c r="O45" s="48">
        <f t="shared" si="8"/>
        <v>175</v>
      </c>
      <c r="P45" s="43">
        <f t="shared" si="9"/>
        <v>1376</v>
      </c>
      <c r="Q45" s="1"/>
    </row>
    <row r="46" spans="1:27" ht="18.75">
      <c r="A46" s="7">
        <v>1</v>
      </c>
      <c r="B46" s="7" t="s">
        <v>115</v>
      </c>
      <c r="C46" s="7">
        <v>56</v>
      </c>
      <c r="D46" s="6"/>
      <c r="E46" s="29" t="s">
        <v>94</v>
      </c>
      <c r="F46" s="29"/>
      <c r="G46" s="8">
        <v>3</v>
      </c>
      <c r="H46" s="8">
        <v>0</v>
      </c>
      <c r="I46" s="12" t="s">
        <v>35</v>
      </c>
      <c r="J46" s="9">
        <f t="shared" si="5"/>
        <v>300</v>
      </c>
      <c r="K46" s="8">
        <v>0</v>
      </c>
      <c r="L46" s="8">
        <f t="shared" si="6"/>
        <v>300</v>
      </c>
      <c r="M46" s="44">
        <v>1251</v>
      </c>
      <c r="N46" s="42">
        <f t="shared" si="7"/>
        <v>1551</v>
      </c>
      <c r="O46" s="48">
        <f t="shared" si="8"/>
        <v>175</v>
      </c>
      <c r="P46" s="43">
        <f t="shared" si="9"/>
        <v>1376</v>
      </c>
      <c r="Q46" s="1"/>
    </row>
    <row r="47" spans="1:27" ht="18.75">
      <c r="A47" s="7">
        <v>1</v>
      </c>
      <c r="B47" s="7" t="s">
        <v>110</v>
      </c>
      <c r="C47" s="7">
        <v>54</v>
      </c>
      <c r="D47" s="6"/>
      <c r="E47" s="29" t="s">
        <v>92</v>
      </c>
      <c r="G47" s="8">
        <v>3</v>
      </c>
      <c r="H47" s="8">
        <v>0</v>
      </c>
      <c r="I47" s="12" t="s">
        <v>35</v>
      </c>
      <c r="J47" s="9">
        <f t="shared" si="5"/>
        <v>300</v>
      </c>
      <c r="K47" s="8">
        <v>0</v>
      </c>
      <c r="L47" s="8">
        <f t="shared" si="6"/>
        <v>300</v>
      </c>
      <c r="M47" s="44">
        <v>1225</v>
      </c>
      <c r="N47" s="42">
        <f t="shared" si="7"/>
        <v>1525</v>
      </c>
      <c r="O47" s="48">
        <f t="shared" si="8"/>
        <v>175</v>
      </c>
      <c r="P47" s="43">
        <f t="shared" si="9"/>
        <v>1350</v>
      </c>
      <c r="Q47" s="1"/>
    </row>
    <row r="48" spans="1:27" ht="18.75">
      <c r="A48" s="7">
        <v>1</v>
      </c>
      <c r="B48" s="7" t="s">
        <v>113</v>
      </c>
      <c r="C48" s="7">
        <v>25</v>
      </c>
      <c r="D48" s="6"/>
      <c r="E48" s="29" t="s">
        <v>63</v>
      </c>
      <c r="F48" s="32"/>
      <c r="G48" s="8">
        <v>2</v>
      </c>
      <c r="H48" s="8">
        <v>0</v>
      </c>
      <c r="I48" s="12" t="s">
        <v>35</v>
      </c>
      <c r="J48" s="9">
        <f t="shared" si="5"/>
        <v>200</v>
      </c>
      <c r="K48" s="8">
        <v>0</v>
      </c>
      <c r="L48" s="8">
        <f t="shared" si="6"/>
        <v>200</v>
      </c>
      <c r="M48" s="44">
        <v>1300</v>
      </c>
      <c r="N48" s="42">
        <f t="shared" si="7"/>
        <v>1500</v>
      </c>
      <c r="O48" s="48">
        <f t="shared" si="8"/>
        <v>175</v>
      </c>
      <c r="P48" s="43">
        <f t="shared" si="9"/>
        <v>1325</v>
      </c>
    </row>
    <row r="49" spans="1:17" ht="18.75">
      <c r="A49" s="7">
        <v>1</v>
      </c>
      <c r="B49" s="7" t="s">
        <v>121</v>
      </c>
      <c r="C49" s="7">
        <v>4</v>
      </c>
      <c r="D49" s="6"/>
      <c r="E49" s="29" t="s">
        <v>42</v>
      </c>
      <c r="F49" s="29"/>
      <c r="G49" s="8">
        <v>3</v>
      </c>
      <c r="H49" s="8">
        <v>0</v>
      </c>
      <c r="I49" s="12" t="s">
        <v>35</v>
      </c>
      <c r="J49" s="9">
        <f t="shared" si="5"/>
        <v>300</v>
      </c>
      <c r="K49" s="8">
        <v>0</v>
      </c>
      <c r="L49" s="8">
        <f t="shared" si="6"/>
        <v>300</v>
      </c>
      <c r="M49" s="44">
        <v>1169</v>
      </c>
      <c r="N49" s="42">
        <f t="shared" si="7"/>
        <v>1469</v>
      </c>
      <c r="O49" s="48">
        <f t="shared" si="8"/>
        <v>175</v>
      </c>
      <c r="P49" s="43">
        <f t="shared" si="9"/>
        <v>1294</v>
      </c>
      <c r="Q49" s="28"/>
    </row>
    <row r="50" spans="1:17" ht="18.75">
      <c r="A50" s="7">
        <v>1</v>
      </c>
      <c r="B50" s="7" t="s">
        <v>118</v>
      </c>
      <c r="C50" s="7">
        <v>16</v>
      </c>
      <c r="D50" s="6"/>
      <c r="E50" s="29" t="s">
        <v>54</v>
      </c>
      <c r="F50" s="32"/>
      <c r="G50" s="8">
        <v>4</v>
      </c>
      <c r="H50" s="8">
        <v>0</v>
      </c>
      <c r="I50" s="12" t="s">
        <v>35</v>
      </c>
      <c r="J50" s="9">
        <f t="shared" si="5"/>
        <v>400</v>
      </c>
      <c r="K50" s="8">
        <v>0</v>
      </c>
      <c r="L50" s="8">
        <f t="shared" si="6"/>
        <v>400</v>
      </c>
      <c r="M50" s="44">
        <v>960</v>
      </c>
      <c r="N50" s="42">
        <f t="shared" si="7"/>
        <v>1360</v>
      </c>
      <c r="O50" s="48">
        <f t="shared" si="8"/>
        <v>175</v>
      </c>
      <c r="P50" s="43">
        <f t="shared" si="9"/>
        <v>1185</v>
      </c>
    </row>
    <row r="51" spans="1:17" ht="18.75">
      <c r="A51" s="7">
        <v>1</v>
      </c>
      <c r="B51" s="7" t="s">
        <v>109</v>
      </c>
      <c r="C51" s="7">
        <v>39</v>
      </c>
      <c r="D51" s="6"/>
      <c r="E51" s="29" t="s">
        <v>77</v>
      </c>
      <c r="F51" s="29"/>
      <c r="G51" s="8">
        <v>3</v>
      </c>
      <c r="H51" s="8">
        <v>0</v>
      </c>
      <c r="I51" s="12" t="s">
        <v>35</v>
      </c>
      <c r="J51" s="9">
        <f t="shared" si="5"/>
        <v>300</v>
      </c>
      <c r="K51" s="8">
        <v>0</v>
      </c>
      <c r="L51" s="8">
        <f t="shared" si="6"/>
        <v>300</v>
      </c>
      <c r="M51" s="44">
        <v>1050</v>
      </c>
      <c r="N51" s="42">
        <f t="shared" si="7"/>
        <v>1350</v>
      </c>
      <c r="O51" s="48">
        <f t="shared" si="8"/>
        <v>175</v>
      </c>
      <c r="P51" s="43">
        <f t="shared" si="9"/>
        <v>1175</v>
      </c>
    </row>
    <row r="52" spans="1:17" ht="18.75">
      <c r="A52" s="7">
        <v>1</v>
      </c>
      <c r="B52" s="7" t="s">
        <v>114</v>
      </c>
      <c r="C52" s="7">
        <v>33</v>
      </c>
      <c r="D52" s="6"/>
      <c r="E52" s="29" t="s">
        <v>71</v>
      </c>
      <c r="F52" s="29"/>
      <c r="G52" s="8">
        <v>3</v>
      </c>
      <c r="H52" s="8">
        <v>0</v>
      </c>
      <c r="I52" s="12" t="s">
        <v>35</v>
      </c>
      <c r="J52" s="9">
        <f t="shared" si="5"/>
        <v>300</v>
      </c>
      <c r="K52" s="8">
        <v>0</v>
      </c>
      <c r="L52" s="8">
        <f t="shared" si="6"/>
        <v>300</v>
      </c>
      <c r="M52" s="44">
        <v>953</v>
      </c>
      <c r="N52" s="42">
        <f t="shared" si="7"/>
        <v>1253</v>
      </c>
      <c r="O52" s="48">
        <f t="shared" si="8"/>
        <v>175</v>
      </c>
      <c r="P52" s="43">
        <f t="shared" si="9"/>
        <v>1078</v>
      </c>
    </row>
    <row r="53" spans="1:17" ht="18.75">
      <c r="A53" s="7">
        <v>1</v>
      </c>
      <c r="B53" s="7" t="s">
        <v>108</v>
      </c>
      <c r="C53" s="7">
        <v>44</v>
      </c>
      <c r="D53" s="6"/>
      <c r="E53" s="29" t="s">
        <v>82</v>
      </c>
      <c r="F53" s="29"/>
      <c r="G53" s="8">
        <v>4</v>
      </c>
      <c r="H53" s="8">
        <v>0</v>
      </c>
      <c r="I53" s="12" t="s">
        <v>35</v>
      </c>
      <c r="J53" s="9">
        <f t="shared" si="5"/>
        <v>400</v>
      </c>
      <c r="K53" s="8">
        <v>0</v>
      </c>
      <c r="L53" s="8">
        <f t="shared" si="6"/>
        <v>400</v>
      </c>
      <c r="M53" s="44">
        <v>704</v>
      </c>
      <c r="N53" s="42">
        <f t="shared" si="7"/>
        <v>1104</v>
      </c>
      <c r="O53" s="48">
        <f t="shared" si="8"/>
        <v>175</v>
      </c>
      <c r="P53" s="43">
        <f t="shared" si="9"/>
        <v>929</v>
      </c>
    </row>
    <row r="54" spans="1:17" ht="18.75">
      <c r="A54" s="7">
        <v>1</v>
      </c>
      <c r="B54" s="7" t="s">
        <v>118</v>
      </c>
      <c r="C54" s="7">
        <v>65</v>
      </c>
      <c r="E54" s="29" t="s">
        <v>105</v>
      </c>
      <c r="G54" s="8">
        <v>2</v>
      </c>
      <c r="H54" s="8">
        <v>0</v>
      </c>
      <c r="I54" s="12" t="s">
        <v>35</v>
      </c>
      <c r="J54" s="9">
        <f t="shared" si="5"/>
        <v>200</v>
      </c>
      <c r="K54" s="8">
        <v>0</v>
      </c>
      <c r="L54" s="8">
        <f t="shared" si="6"/>
        <v>200</v>
      </c>
      <c r="M54" s="44">
        <v>775</v>
      </c>
      <c r="N54" s="42">
        <f t="shared" si="7"/>
        <v>975</v>
      </c>
      <c r="O54" s="48">
        <f t="shared" si="8"/>
        <v>175</v>
      </c>
      <c r="P54" s="43">
        <f t="shared" si="9"/>
        <v>800</v>
      </c>
    </row>
    <row r="55" spans="1:17" ht="18.75">
      <c r="A55" s="7">
        <v>1</v>
      </c>
      <c r="B55" s="7" t="s">
        <v>117</v>
      </c>
      <c r="C55" s="7">
        <v>9</v>
      </c>
      <c r="D55" s="6"/>
      <c r="E55" s="29" t="s">
        <v>47</v>
      </c>
      <c r="F55" s="33"/>
      <c r="G55" s="8">
        <v>0</v>
      </c>
      <c r="H55" s="8">
        <v>0</v>
      </c>
      <c r="I55" s="27" t="s">
        <v>23</v>
      </c>
      <c r="J55" s="9">
        <f t="shared" si="5"/>
        <v>0</v>
      </c>
      <c r="K55" s="8">
        <v>0</v>
      </c>
      <c r="L55" s="8">
        <f t="shared" si="6"/>
        <v>0</v>
      </c>
      <c r="M55" s="44">
        <v>961</v>
      </c>
      <c r="N55" s="42">
        <f t="shared" si="7"/>
        <v>961</v>
      </c>
      <c r="O55" s="48">
        <f t="shared" si="8"/>
        <v>0</v>
      </c>
      <c r="P55" s="43">
        <f t="shared" si="9"/>
        <v>961</v>
      </c>
      <c r="Q55" s="45"/>
    </row>
    <row r="56" spans="1:17" ht="18.75">
      <c r="A56" s="7">
        <v>1</v>
      </c>
      <c r="B56" s="7" t="s">
        <v>123</v>
      </c>
      <c r="C56" s="7">
        <v>23</v>
      </c>
      <c r="D56" s="6"/>
      <c r="E56" s="29" t="s">
        <v>61</v>
      </c>
      <c r="F56" s="32"/>
      <c r="G56" s="8">
        <v>0</v>
      </c>
      <c r="H56" s="8">
        <v>0</v>
      </c>
      <c r="I56" s="27" t="s">
        <v>23</v>
      </c>
      <c r="J56" s="9">
        <f t="shared" si="5"/>
        <v>0</v>
      </c>
      <c r="K56" s="8">
        <v>0</v>
      </c>
      <c r="L56" s="8">
        <f t="shared" si="6"/>
        <v>0</v>
      </c>
      <c r="M56" s="44">
        <v>951</v>
      </c>
      <c r="N56" s="42">
        <f t="shared" si="7"/>
        <v>951</v>
      </c>
      <c r="O56" s="48">
        <f t="shared" si="8"/>
        <v>0</v>
      </c>
      <c r="P56" s="43">
        <f t="shared" si="9"/>
        <v>951</v>
      </c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3</v>
      </c>
      <c r="H57" s="8">
        <v>0</v>
      </c>
      <c r="I57" s="12" t="s">
        <v>35</v>
      </c>
      <c r="J57" s="9">
        <f t="shared" si="5"/>
        <v>300</v>
      </c>
      <c r="K57" s="8">
        <v>0</v>
      </c>
      <c r="L57" s="8">
        <f t="shared" si="6"/>
        <v>300</v>
      </c>
      <c r="M57" s="44">
        <v>600</v>
      </c>
      <c r="N57" s="42">
        <f t="shared" si="7"/>
        <v>900</v>
      </c>
      <c r="O57" s="48">
        <f t="shared" si="8"/>
        <v>175</v>
      </c>
      <c r="P57" s="43">
        <f t="shared" si="9"/>
        <v>725</v>
      </c>
    </row>
    <row r="58" spans="1:17" ht="18.75">
      <c r="A58" s="7">
        <v>1</v>
      </c>
      <c r="B58" s="7" t="s">
        <v>110</v>
      </c>
      <c r="C58" s="7">
        <v>31</v>
      </c>
      <c r="D58" s="6"/>
      <c r="E58" s="29" t="s">
        <v>69</v>
      </c>
      <c r="F58" s="32"/>
      <c r="G58" s="8">
        <v>4</v>
      </c>
      <c r="H58" s="8">
        <v>0</v>
      </c>
      <c r="I58" s="12" t="s">
        <v>35</v>
      </c>
      <c r="J58" s="9">
        <f t="shared" si="5"/>
        <v>400</v>
      </c>
      <c r="K58" s="8">
        <v>0</v>
      </c>
      <c r="L58" s="8">
        <f t="shared" si="6"/>
        <v>400</v>
      </c>
      <c r="M58" s="44">
        <v>25</v>
      </c>
      <c r="N58" s="42">
        <f t="shared" si="7"/>
        <v>425</v>
      </c>
      <c r="O58" s="48">
        <f t="shared" si="8"/>
        <v>175</v>
      </c>
      <c r="P58" s="43">
        <f t="shared" si="9"/>
        <v>250</v>
      </c>
    </row>
    <row r="59" spans="1:17" ht="18.75">
      <c r="A59" s="7">
        <v>1</v>
      </c>
      <c r="B59" s="7" t="s">
        <v>112</v>
      </c>
      <c r="C59" s="7">
        <v>57</v>
      </c>
      <c r="D59" s="6"/>
      <c r="E59" s="29" t="s">
        <v>95</v>
      </c>
      <c r="G59" s="8">
        <v>0</v>
      </c>
      <c r="H59" s="8">
        <v>0</v>
      </c>
      <c r="I59" s="27" t="s">
        <v>23</v>
      </c>
      <c r="J59" s="9">
        <f t="shared" si="5"/>
        <v>0</v>
      </c>
      <c r="K59" s="8">
        <v>0</v>
      </c>
      <c r="L59" s="8">
        <f t="shared" si="6"/>
        <v>0</v>
      </c>
      <c r="M59" s="44">
        <v>410</v>
      </c>
      <c r="N59" s="42">
        <f t="shared" si="7"/>
        <v>410</v>
      </c>
      <c r="O59" s="48">
        <f t="shared" si="8"/>
        <v>0</v>
      </c>
      <c r="P59" s="43">
        <f t="shared" si="9"/>
        <v>410</v>
      </c>
    </row>
    <row r="60" spans="1:17" ht="18.75">
      <c r="A60" s="7">
        <v>1</v>
      </c>
      <c r="B60" s="7" t="s">
        <v>122</v>
      </c>
      <c r="C60" s="7">
        <v>27</v>
      </c>
      <c r="D60" s="6"/>
      <c r="E60" s="29" t="s">
        <v>65</v>
      </c>
      <c r="F60" s="32"/>
      <c r="G60" s="8">
        <v>2</v>
      </c>
      <c r="H60" s="8">
        <v>0</v>
      </c>
      <c r="I60" s="12" t="s">
        <v>35</v>
      </c>
      <c r="J60" s="9">
        <f t="shared" si="5"/>
        <v>200</v>
      </c>
      <c r="K60" s="8">
        <v>0</v>
      </c>
      <c r="L60" s="8">
        <f t="shared" si="6"/>
        <v>200</v>
      </c>
      <c r="M60" s="44">
        <v>150</v>
      </c>
      <c r="N60" s="42">
        <f t="shared" si="7"/>
        <v>350</v>
      </c>
      <c r="O60" s="48">
        <f t="shared" si="8"/>
        <v>175</v>
      </c>
      <c r="P60" s="43">
        <f t="shared" si="9"/>
        <v>175</v>
      </c>
    </row>
    <row r="61" spans="1:17" ht="18.75">
      <c r="A61" s="7">
        <v>1</v>
      </c>
      <c r="B61" s="7" t="s">
        <v>116</v>
      </c>
      <c r="C61" s="7">
        <v>60</v>
      </c>
      <c r="D61" s="6"/>
      <c r="E61" s="29" t="s">
        <v>98</v>
      </c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225</v>
      </c>
      <c r="N61" s="42">
        <f t="shared" si="7"/>
        <v>225</v>
      </c>
      <c r="O61" s="48">
        <f t="shared" si="8"/>
        <v>0</v>
      </c>
      <c r="P61" s="43">
        <f t="shared" si="9"/>
        <v>225</v>
      </c>
    </row>
    <row r="62" spans="1:17" ht="18.75">
      <c r="A62" s="7">
        <v>1</v>
      </c>
      <c r="B62" s="7" t="s">
        <v>122</v>
      </c>
      <c r="C62" s="7">
        <v>61</v>
      </c>
      <c r="D62" s="6"/>
      <c r="E62" s="29" t="s">
        <v>99</v>
      </c>
      <c r="F62" s="29"/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225</v>
      </c>
      <c r="N62" s="42">
        <f t="shared" si="7"/>
        <v>225</v>
      </c>
      <c r="O62" s="48">
        <f t="shared" si="8"/>
        <v>0</v>
      </c>
      <c r="P62" s="43">
        <f t="shared" si="9"/>
        <v>225</v>
      </c>
    </row>
    <row r="63" spans="1:17" ht="18.75">
      <c r="A63" s="7">
        <v>1</v>
      </c>
      <c r="B63" s="7" t="s">
        <v>122</v>
      </c>
      <c r="C63" s="7">
        <v>34</v>
      </c>
      <c r="D63" s="6"/>
      <c r="E63" s="29" t="s">
        <v>72</v>
      </c>
      <c r="F63" s="29"/>
      <c r="G63" s="8">
        <v>0</v>
      </c>
      <c r="H63" s="8">
        <v>0</v>
      </c>
      <c r="I63" s="27" t="s">
        <v>23</v>
      </c>
      <c r="J63" s="9">
        <f t="shared" si="5"/>
        <v>0</v>
      </c>
      <c r="K63" s="8">
        <v>0</v>
      </c>
      <c r="L63" s="8">
        <f t="shared" si="6"/>
        <v>0</v>
      </c>
      <c r="M63" s="44">
        <v>219</v>
      </c>
      <c r="N63" s="42">
        <f t="shared" si="7"/>
        <v>219</v>
      </c>
      <c r="O63" s="48">
        <f t="shared" si="8"/>
        <v>0</v>
      </c>
      <c r="P63" s="43">
        <f t="shared" si="9"/>
        <v>219</v>
      </c>
    </row>
    <row r="64" spans="1:17" ht="18.75">
      <c r="A64" s="7">
        <v>1</v>
      </c>
      <c r="B64" s="7" t="s">
        <v>122</v>
      </c>
      <c r="C64" s="7">
        <v>7</v>
      </c>
      <c r="D64" s="6"/>
      <c r="E64" s="29" t="s">
        <v>45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138</v>
      </c>
      <c r="N64" s="42">
        <f t="shared" si="7"/>
        <v>138</v>
      </c>
      <c r="O64" s="48">
        <f t="shared" si="8"/>
        <v>0</v>
      </c>
      <c r="P64" s="43">
        <f t="shared" si="9"/>
        <v>138</v>
      </c>
      <c r="Q64" s="40"/>
    </row>
    <row r="65" spans="1:17" ht="18.75">
      <c r="A65" s="7">
        <v>1</v>
      </c>
      <c r="B65" s="7" t="s">
        <v>125</v>
      </c>
      <c r="C65" s="7">
        <v>59</v>
      </c>
      <c r="D65" s="6"/>
      <c r="E65" s="29" t="s">
        <v>97</v>
      </c>
      <c r="G65" s="8">
        <v>1</v>
      </c>
      <c r="H65" s="8">
        <v>0</v>
      </c>
      <c r="I65" s="12" t="s">
        <v>35</v>
      </c>
      <c r="J65" s="9">
        <f t="shared" si="5"/>
        <v>100</v>
      </c>
      <c r="K65" s="8">
        <v>0</v>
      </c>
      <c r="L65" s="8">
        <f t="shared" si="6"/>
        <v>100</v>
      </c>
      <c r="M65" s="44">
        <v>0</v>
      </c>
      <c r="N65" s="42">
        <f t="shared" si="7"/>
        <v>100</v>
      </c>
      <c r="O65" s="48">
        <f t="shared" si="8"/>
        <v>175</v>
      </c>
      <c r="P65" s="43">
        <f t="shared" si="9"/>
        <v>0</v>
      </c>
    </row>
    <row r="66" spans="1:17" ht="18.75">
      <c r="A66" s="7">
        <v>1</v>
      </c>
      <c r="B66" s="7" t="s">
        <v>118</v>
      </c>
      <c r="C66" s="7">
        <v>51</v>
      </c>
      <c r="D66" s="6"/>
      <c r="E66" s="29" t="s">
        <v>89</v>
      </c>
      <c r="F66" s="29"/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0</v>
      </c>
      <c r="N66" s="42">
        <f t="shared" si="7"/>
        <v>0</v>
      </c>
      <c r="O66" s="48">
        <f t="shared" si="8"/>
        <v>0</v>
      </c>
      <c r="P66" s="43">
        <f t="shared" si="9"/>
        <v>0</v>
      </c>
    </row>
    <row r="67" spans="1:17" ht="18.75">
      <c r="A67" s="7">
        <v>1</v>
      </c>
      <c r="B67" s="7" t="s">
        <v>108</v>
      </c>
      <c r="C67" s="7">
        <v>8</v>
      </c>
      <c r="D67" s="6"/>
      <c r="E67" s="29" t="s">
        <v>46</v>
      </c>
      <c r="F67" s="29"/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0</v>
      </c>
      <c r="N67" s="42">
        <f t="shared" si="7"/>
        <v>0</v>
      </c>
      <c r="O67" s="48">
        <f t="shared" si="8"/>
        <v>0</v>
      </c>
      <c r="P67" s="43">
        <f t="shared" si="9"/>
        <v>0</v>
      </c>
      <c r="Q67" s="40"/>
    </row>
    <row r="68" spans="1:17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7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44" priority="2" operator="lessThan">
      <formula>1</formula>
    </cfRule>
  </conditionalFormatting>
  <conditionalFormatting sqref="K5:K69">
    <cfRule type="cellIs" dxfId="43" priority="1" operator="lessThan">
      <formula>1</formula>
    </cfRule>
  </conditionalFormatting>
  <hyperlinks>
    <hyperlink ref="E12" r:id="rId1" xr:uid="{048AECBB-10D0-4150-95DB-8008AA6DC688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C94C-0047-436C-9818-3E4B513F4145}">
  <dimension ref="A1:AA69"/>
  <sheetViews>
    <sheetView topLeftCell="A40" zoomScale="85" zoomScaleNormal="85" workbookViewId="0">
      <selection activeCell="C1" sqref="C1:P69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欧皇宝宝2026年5月23日分包贡献明细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f>COUNTIF(G5:G69,"&lt;&gt;0")</f>
        <v>56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121</v>
      </c>
      <c r="C5" s="7">
        <v>30</v>
      </c>
      <c r="D5" s="6"/>
      <c r="E5" s="29" t="s">
        <v>68</v>
      </c>
      <c r="F5" s="32"/>
      <c r="G5" s="8">
        <v>4</v>
      </c>
      <c r="H5" s="8">
        <v>0</v>
      </c>
      <c r="I5" s="10" t="s">
        <v>33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1491</v>
      </c>
      <c r="N5" s="42">
        <f t="shared" ref="N5:N36" si="2">M5+L5</f>
        <v>1891</v>
      </c>
      <c r="O5" s="48">
        <f t="shared" ref="O5:O36" si="3">VLOOKUP(I5,$R$3:$S$10,2,FALSE)</f>
        <v>312</v>
      </c>
      <c r="P5" s="43">
        <f t="shared" ref="P5:P36" si="4">IF(N5-O5&gt;0,N5-O5,0)</f>
        <v>1579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123</v>
      </c>
      <c r="C6" s="7">
        <v>24</v>
      </c>
      <c r="D6" s="6"/>
      <c r="E6" s="29" t="s">
        <v>62</v>
      </c>
      <c r="F6" s="32"/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1485</v>
      </c>
      <c r="N6" s="42">
        <f t="shared" si="2"/>
        <v>1885</v>
      </c>
      <c r="O6" s="48">
        <f t="shared" si="3"/>
        <v>312</v>
      </c>
      <c r="P6" s="43">
        <f t="shared" si="4"/>
        <v>1573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123</v>
      </c>
      <c r="C7" s="7">
        <v>12</v>
      </c>
      <c r="D7" s="6"/>
      <c r="E7" s="29" t="s">
        <v>50</v>
      </c>
      <c r="F7" s="29"/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1473</v>
      </c>
      <c r="N7" s="42">
        <f t="shared" si="2"/>
        <v>1873</v>
      </c>
      <c r="O7" s="48">
        <f t="shared" si="3"/>
        <v>312</v>
      </c>
      <c r="P7" s="43">
        <f t="shared" si="4"/>
        <v>1561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127</v>
      </c>
      <c r="C8" s="7">
        <v>21</v>
      </c>
      <c r="D8" s="6"/>
      <c r="E8" s="29" t="s">
        <v>59</v>
      </c>
      <c r="G8" s="8">
        <v>4</v>
      </c>
      <c r="H8" s="8">
        <v>0</v>
      </c>
      <c r="I8" s="10" t="s">
        <v>33</v>
      </c>
      <c r="J8" s="9">
        <f t="shared" si="0"/>
        <v>400</v>
      </c>
      <c r="K8" s="8">
        <v>0</v>
      </c>
      <c r="L8" s="8">
        <f t="shared" si="1"/>
        <v>400</v>
      </c>
      <c r="M8" s="44">
        <v>1473</v>
      </c>
      <c r="N8" s="42">
        <f t="shared" si="2"/>
        <v>1873</v>
      </c>
      <c r="O8" s="48">
        <f t="shared" si="3"/>
        <v>312</v>
      </c>
      <c r="P8" s="43">
        <f t="shared" si="4"/>
        <v>1561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119</v>
      </c>
      <c r="C9" s="7">
        <v>18</v>
      </c>
      <c r="D9" s="6"/>
      <c r="E9" s="29" t="s">
        <v>56</v>
      </c>
      <c r="F9" s="29"/>
      <c r="G9" s="8">
        <v>4</v>
      </c>
      <c r="H9" s="8">
        <v>0</v>
      </c>
      <c r="I9" s="10" t="s">
        <v>33</v>
      </c>
      <c r="J9" s="9">
        <f t="shared" si="0"/>
        <v>400</v>
      </c>
      <c r="K9" s="8">
        <v>0</v>
      </c>
      <c r="L9" s="8">
        <f t="shared" si="1"/>
        <v>400</v>
      </c>
      <c r="M9" s="44">
        <v>1468</v>
      </c>
      <c r="N9" s="42">
        <f t="shared" si="2"/>
        <v>1868</v>
      </c>
      <c r="O9" s="48">
        <f t="shared" si="3"/>
        <v>312</v>
      </c>
      <c r="P9" s="43">
        <f t="shared" si="4"/>
        <v>1556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116</v>
      </c>
      <c r="C10" s="7">
        <v>63</v>
      </c>
      <c r="D10" s="6"/>
      <c r="E10" s="29" t="s">
        <v>101</v>
      </c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1461</v>
      </c>
      <c r="N10" s="42">
        <f t="shared" si="2"/>
        <v>1861</v>
      </c>
      <c r="O10" s="48">
        <f t="shared" si="3"/>
        <v>312</v>
      </c>
      <c r="P10" s="43">
        <f t="shared" si="4"/>
        <v>1549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111</v>
      </c>
      <c r="C11" s="7">
        <v>40</v>
      </c>
      <c r="D11" s="6"/>
      <c r="E11" s="30" t="s">
        <v>78</v>
      </c>
      <c r="G11" s="8">
        <v>4</v>
      </c>
      <c r="H11" s="8">
        <v>0</v>
      </c>
      <c r="I11" s="10" t="s">
        <v>33</v>
      </c>
      <c r="J11" s="9">
        <f t="shared" si="0"/>
        <v>400</v>
      </c>
      <c r="K11" s="8">
        <v>0</v>
      </c>
      <c r="L11" s="8">
        <f t="shared" si="1"/>
        <v>400</v>
      </c>
      <c r="M11" s="44">
        <v>1461</v>
      </c>
      <c r="N11" s="42">
        <f t="shared" si="2"/>
        <v>1861</v>
      </c>
      <c r="O11" s="48">
        <f t="shared" si="3"/>
        <v>312</v>
      </c>
      <c r="P11" s="43">
        <f t="shared" si="4"/>
        <v>1549</v>
      </c>
      <c r="Q11" s="1"/>
      <c r="R11" s="24"/>
    </row>
    <row r="12" spans="1:26" ht="18.75">
      <c r="A12" s="7">
        <v>1</v>
      </c>
      <c r="B12" s="7" t="s">
        <v>122</v>
      </c>
      <c r="C12" s="7">
        <v>46</v>
      </c>
      <c r="D12" s="6"/>
      <c r="E12" s="29" t="s">
        <v>129</v>
      </c>
      <c r="F12" s="29"/>
      <c r="G12" s="8">
        <v>4</v>
      </c>
      <c r="H12" s="8">
        <v>0</v>
      </c>
      <c r="I12" s="11" t="s">
        <v>34</v>
      </c>
      <c r="J12" s="9">
        <f t="shared" si="0"/>
        <v>400</v>
      </c>
      <c r="K12" s="8">
        <v>0</v>
      </c>
      <c r="L12" s="8">
        <f t="shared" si="1"/>
        <v>400</v>
      </c>
      <c r="M12" s="44">
        <v>1457</v>
      </c>
      <c r="N12" s="42">
        <f t="shared" si="2"/>
        <v>1857</v>
      </c>
      <c r="O12" s="48">
        <f t="shared" si="3"/>
        <v>240</v>
      </c>
      <c r="P12" s="43">
        <f t="shared" si="4"/>
        <v>1617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122</v>
      </c>
      <c r="C13" s="7">
        <v>17</v>
      </c>
      <c r="D13" s="6"/>
      <c r="E13" s="29" t="s">
        <v>55</v>
      </c>
      <c r="F13" s="29"/>
      <c r="G13" s="8">
        <v>4</v>
      </c>
      <c r="H13" s="8">
        <v>0</v>
      </c>
      <c r="I13" s="11" t="s">
        <v>34</v>
      </c>
      <c r="J13" s="9">
        <f t="shared" si="0"/>
        <v>400</v>
      </c>
      <c r="K13" s="8">
        <v>0</v>
      </c>
      <c r="L13" s="8">
        <f t="shared" si="1"/>
        <v>400</v>
      </c>
      <c r="M13" s="44">
        <v>1454</v>
      </c>
      <c r="N13" s="42">
        <f t="shared" si="2"/>
        <v>1854</v>
      </c>
      <c r="O13" s="48">
        <f t="shared" si="3"/>
        <v>240</v>
      </c>
      <c r="P13" s="43">
        <f t="shared" si="4"/>
        <v>1614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114</v>
      </c>
      <c r="C14" s="7">
        <v>58</v>
      </c>
      <c r="D14" s="6"/>
      <c r="E14" s="29" t="s">
        <v>96</v>
      </c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1454</v>
      </c>
      <c r="N14" s="42">
        <f t="shared" si="2"/>
        <v>1854</v>
      </c>
      <c r="O14" s="48">
        <f t="shared" si="3"/>
        <v>240</v>
      </c>
      <c r="P14" s="43">
        <f t="shared" si="4"/>
        <v>1614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110</v>
      </c>
      <c r="C15" s="7">
        <v>62</v>
      </c>
      <c r="D15" s="6"/>
      <c r="E15" s="29" t="s">
        <v>100</v>
      </c>
      <c r="F15" s="29"/>
      <c r="G15" s="8">
        <v>4</v>
      </c>
      <c r="H15" s="8">
        <v>0</v>
      </c>
      <c r="I15" s="11" t="s">
        <v>34</v>
      </c>
      <c r="J15" s="9">
        <f t="shared" si="0"/>
        <v>400</v>
      </c>
      <c r="K15" s="8">
        <v>0</v>
      </c>
      <c r="L15" s="8">
        <f t="shared" si="1"/>
        <v>400</v>
      </c>
      <c r="M15" s="44">
        <v>1448</v>
      </c>
      <c r="N15" s="42">
        <f t="shared" si="2"/>
        <v>1848</v>
      </c>
      <c r="O15" s="48">
        <f t="shared" si="3"/>
        <v>240</v>
      </c>
      <c r="P15" s="43">
        <f t="shared" si="4"/>
        <v>1608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122</v>
      </c>
      <c r="C16" s="7">
        <v>1</v>
      </c>
      <c r="D16" s="6"/>
      <c r="E16" s="29" t="s">
        <v>39</v>
      </c>
      <c r="F16" s="29"/>
      <c r="G16" s="8">
        <v>4</v>
      </c>
      <c r="H16" s="8">
        <v>0</v>
      </c>
      <c r="I16" s="11" t="s">
        <v>34</v>
      </c>
      <c r="J16" s="9">
        <f t="shared" si="0"/>
        <v>400</v>
      </c>
      <c r="K16" s="8">
        <v>0</v>
      </c>
      <c r="L16" s="8">
        <f t="shared" si="1"/>
        <v>400</v>
      </c>
      <c r="M16" s="44">
        <v>1444</v>
      </c>
      <c r="N16" s="42">
        <f t="shared" si="2"/>
        <v>1844</v>
      </c>
      <c r="O16" s="48">
        <f t="shared" si="3"/>
        <v>240</v>
      </c>
      <c r="P16" s="43">
        <f t="shared" si="4"/>
        <v>1604</v>
      </c>
      <c r="Q16" s="9"/>
      <c r="R16" t="s">
        <v>27</v>
      </c>
      <c r="S16">
        <v>5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120</v>
      </c>
      <c r="C17" s="7">
        <v>29</v>
      </c>
      <c r="D17" s="6"/>
      <c r="E17" s="29" t="s">
        <v>67</v>
      </c>
      <c r="F17" s="32"/>
      <c r="G17" s="8">
        <v>4</v>
      </c>
      <c r="H17" s="8">
        <v>0</v>
      </c>
      <c r="I17" s="11" t="s">
        <v>34</v>
      </c>
      <c r="J17" s="9">
        <f t="shared" si="0"/>
        <v>400</v>
      </c>
      <c r="K17" s="8">
        <v>0</v>
      </c>
      <c r="L17" s="8">
        <f t="shared" si="1"/>
        <v>400</v>
      </c>
      <c r="M17" s="44">
        <v>1439</v>
      </c>
      <c r="N17" s="42">
        <f t="shared" si="2"/>
        <v>1839</v>
      </c>
      <c r="O17" s="48">
        <f t="shared" si="3"/>
        <v>240</v>
      </c>
      <c r="P17" s="43">
        <f t="shared" si="4"/>
        <v>1599</v>
      </c>
      <c r="R17" t="s">
        <v>28</v>
      </c>
      <c r="S17">
        <v>23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109</v>
      </c>
      <c r="C18" s="7">
        <v>35</v>
      </c>
      <c r="D18" s="6"/>
      <c r="E18" s="29" t="s">
        <v>73</v>
      </c>
      <c r="F18" s="29"/>
      <c r="G18" s="8">
        <v>4</v>
      </c>
      <c r="H18" s="8">
        <v>0</v>
      </c>
      <c r="I18" s="11" t="s">
        <v>34</v>
      </c>
      <c r="J18" s="9">
        <f t="shared" si="0"/>
        <v>400</v>
      </c>
      <c r="K18" s="8">
        <v>0</v>
      </c>
      <c r="L18" s="8">
        <f t="shared" si="1"/>
        <v>400</v>
      </c>
      <c r="M18" s="44">
        <v>1429</v>
      </c>
      <c r="N18" s="42">
        <f t="shared" si="2"/>
        <v>1829</v>
      </c>
      <c r="O18" s="48">
        <f t="shared" si="3"/>
        <v>240</v>
      </c>
      <c r="P18" s="43">
        <f t="shared" si="4"/>
        <v>1589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114</v>
      </c>
      <c r="C19" s="7">
        <v>36</v>
      </c>
      <c r="D19" s="6"/>
      <c r="E19" s="29" t="s">
        <v>74</v>
      </c>
      <c r="F19" s="29"/>
      <c r="G19" s="8">
        <v>4</v>
      </c>
      <c r="H19" s="8">
        <v>0</v>
      </c>
      <c r="I19" s="12" t="s">
        <v>35</v>
      </c>
      <c r="J19" s="9">
        <f t="shared" si="0"/>
        <v>400</v>
      </c>
      <c r="K19" s="8">
        <v>0</v>
      </c>
      <c r="L19" s="8">
        <f t="shared" si="1"/>
        <v>400</v>
      </c>
      <c r="M19" s="44">
        <v>1428</v>
      </c>
      <c r="N19" s="42">
        <f t="shared" si="2"/>
        <v>1828</v>
      </c>
      <c r="O19" s="48">
        <f t="shared" si="3"/>
        <v>175</v>
      </c>
      <c r="P19" s="43">
        <f t="shared" si="4"/>
        <v>1653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120</v>
      </c>
      <c r="C20" s="7">
        <v>45</v>
      </c>
      <c r="D20" s="6"/>
      <c r="E20" s="29" t="s">
        <v>83</v>
      </c>
      <c r="F20" s="29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1428</v>
      </c>
      <c r="N20" s="42">
        <f t="shared" si="2"/>
        <v>1828</v>
      </c>
      <c r="O20" s="48">
        <f t="shared" si="3"/>
        <v>175</v>
      </c>
      <c r="P20" s="43">
        <f t="shared" si="4"/>
        <v>1653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109</v>
      </c>
      <c r="C21" s="7">
        <v>55</v>
      </c>
      <c r="D21" s="6"/>
      <c r="E21" s="29" t="s">
        <v>106</v>
      </c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1419</v>
      </c>
      <c r="N21" s="42">
        <f t="shared" si="2"/>
        <v>1819</v>
      </c>
      <c r="O21" s="48">
        <f t="shared" si="3"/>
        <v>175</v>
      </c>
      <c r="P21" s="43">
        <f t="shared" si="4"/>
        <v>1644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122</v>
      </c>
      <c r="C22" s="7">
        <v>5</v>
      </c>
      <c r="D22" s="6"/>
      <c r="E22" s="29" t="s">
        <v>43</v>
      </c>
      <c r="F22" s="29"/>
      <c r="G22" s="8">
        <v>4</v>
      </c>
      <c r="H22" s="8">
        <v>0</v>
      </c>
      <c r="I22" s="12" t="s">
        <v>35</v>
      </c>
      <c r="J22" s="9">
        <f t="shared" si="0"/>
        <v>400</v>
      </c>
      <c r="K22" s="8">
        <v>0</v>
      </c>
      <c r="L22" s="8">
        <f t="shared" si="1"/>
        <v>400</v>
      </c>
      <c r="M22" s="44">
        <v>1417</v>
      </c>
      <c r="N22" s="42">
        <f t="shared" si="2"/>
        <v>1817</v>
      </c>
      <c r="O22" s="48">
        <f t="shared" si="3"/>
        <v>175</v>
      </c>
      <c r="P22" s="43">
        <f t="shared" si="4"/>
        <v>1642</v>
      </c>
      <c r="Q22" s="21"/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117</v>
      </c>
      <c r="C23" s="7">
        <v>3</v>
      </c>
      <c r="D23" s="6"/>
      <c r="E23" s="29" t="s">
        <v>41</v>
      </c>
      <c r="F23" s="29"/>
      <c r="G23" s="8">
        <v>4</v>
      </c>
      <c r="H23" s="8">
        <v>0</v>
      </c>
      <c r="I23" s="12" t="s">
        <v>35</v>
      </c>
      <c r="J23" s="9">
        <f t="shared" si="0"/>
        <v>400</v>
      </c>
      <c r="K23" s="8">
        <v>0</v>
      </c>
      <c r="L23" s="8">
        <f t="shared" si="1"/>
        <v>400</v>
      </c>
      <c r="M23" s="44">
        <v>1413</v>
      </c>
      <c r="N23" s="42">
        <f t="shared" si="2"/>
        <v>1813</v>
      </c>
      <c r="O23" s="48">
        <f t="shared" si="3"/>
        <v>175</v>
      </c>
      <c r="P23" s="43">
        <f t="shared" si="4"/>
        <v>1638</v>
      </c>
      <c r="Q23" s="9"/>
    </row>
    <row r="24" spans="1:27" ht="18.75">
      <c r="A24" s="7">
        <v>1</v>
      </c>
      <c r="B24" s="7" t="s">
        <v>112</v>
      </c>
      <c r="C24" s="7">
        <v>14</v>
      </c>
      <c r="D24" s="6"/>
      <c r="E24" s="29" t="s">
        <v>52</v>
      </c>
      <c r="F24" s="29"/>
      <c r="G24" s="8">
        <v>4</v>
      </c>
      <c r="H24" s="8">
        <v>0</v>
      </c>
      <c r="I24" s="12" t="s">
        <v>35</v>
      </c>
      <c r="J24" s="9">
        <f t="shared" si="0"/>
        <v>400</v>
      </c>
      <c r="K24" s="8">
        <v>0</v>
      </c>
      <c r="L24" s="8">
        <f t="shared" si="1"/>
        <v>400</v>
      </c>
      <c r="M24" s="44">
        <v>1403</v>
      </c>
      <c r="N24" s="42">
        <f t="shared" si="2"/>
        <v>1803</v>
      </c>
      <c r="O24" s="48">
        <f t="shared" si="3"/>
        <v>175</v>
      </c>
      <c r="P24" s="43">
        <f t="shared" si="4"/>
        <v>1628</v>
      </c>
      <c r="Q24" s="1"/>
    </row>
    <row r="25" spans="1:27" ht="18.75">
      <c r="A25" s="7">
        <v>1</v>
      </c>
      <c r="B25" s="7" t="s">
        <v>122</v>
      </c>
      <c r="C25" s="7">
        <v>32</v>
      </c>
      <c r="D25" s="6"/>
      <c r="E25" s="29" t="s">
        <v>128</v>
      </c>
      <c r="F25" s="32"/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1403</v>
      </c>
      <c r="N25" s="42">
        <f t="shared" si="2"/>
        <v>1803</v>
      </c>
      <c r="O25" s="48">
        <f t="shared" si="3"/>
        <v>175</v>
      </c>
      <c r="P25" s="43">
        <f t="shared" si="4"/>
        <v>1628</v>
      </c>
      <c r="Q25" s="1"/>
    </row>
    <row r="26" spans="1:27" ht="18.75" customHeight="1">
      <c r="A26" s="7">
        <v>1</v>
      </c>
      <c r="B26" s="7" t="s">
        <v>120</v>
      </c>
      <c r="C26" s="7">
        <v>20</v>
      </c>
      <c r="D26" s="6"/>
      <c r="E26" s="29" t="s">
        <v>58</v>
      </c>
      <c r="F26" s="32"/>
      <c r="G26" s="8">
        <v>4</v>
      </c>
      <c r="H26" s="8">
        <v>0</v>
      </c>
      <c r="I26" s="12" t="s">
        <v>35</v>
      </c>
      <c r="J26" s="9">
        <f t="shared" si="0"/>
        <v>400</v>
      </c>
      <c r="K26" s="8">
        <v>0</v>
      </c>
      <c r="L26" s="8">
        <f t="shared" si="1"/>
        <v>400</v>
      </c>
      <c r="M26" s="44">
        <v>1403</v>
      </c>
      <c r="N26" s="42">
        <f t="shared" si="2"/>
        <v>1803</v>
      </c>
      <c r="O26" s="48">
        <f t="shared" si="3"/>
        <v>175</v>
      </c>
      <c r="P26" s="43">
        <f t="shared" si="4"/>
        <v>1628</v>
      </c>
      <c r="Q26" s="1"/>
    </row>
    <row r="27" spans="1:27" ht="18.75">
      <c r="A27" s="7">
        <v>1</v>
      </c>
      <c r="B27" s="7" t="s">
        <v>113</v>
      </c>
      <c r="C27" s="7">
        <v>37</v>
      </c>
      <c r="D27" s="6"/>
      <c r="E27" s="29" t="s">
        <v>75</v>
      </c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1396</v>
      </c>
      <c r="N27" s="42">
        <f t="shared" si="2"/>
        <v>1796</v>
      </c>
      <c r="O27" s="48">
        <f t="shared" si="3"/>
        <v>175</v>
      </c>
      <c r="P27" s="43">
        <f t="shared" si="4"/>
        <v>1621</v>
      </c>
      <c r="Q27" s="1"/>
    </row>
    <row r="28" spans="1:27" ht="18.75">
      <c r="A28" s="7">
        <v>1</v>
      </c>
      <c r="B28" s="7" t="s">
        <v>110</v>
      </c>
      <c r="C28" s="7">
        <v>42</v>
      </c>
      <c r="D28" s="6"/>
      <c r="E28" s="29" t="s">
        <v>80</v>
      </c>
      <c r="F28" s="32"/>
      <c r="G28" s="8">
        <v>4</v>
      </c>
      <c r="H28" s="8">
        <v>0</v>
      </c>
      <c r="I28" s="12" t="s">
        <v>35</v>
      </c>
      <c r="J28" s="9">
        <f t="shared" si="0"/>
        <v>400</v>
      </c>
      <c r="K28" s="8">
        <v>0</v>
      </c>
      <c r="L28" s="8">
        <f t="shared" si="1"/>
        <v>400</v>
      </c>
      <c r="M28" s="44">
        <v>1396</v>
      </c>
      <c r="N28" s="42">
        <f t="shared" si="2"/>
        <v>1796</v>
      </c>
      <c r="O28" s="48">
        <f t="shared" si="3"/>
        <v>175</v>
      </c>
      <c r="P28" s="43">
        <f t="shared" si="4"/>
        <v>1621</v>
      </c>
      <c r="Q28" s="1"/>
    </row>
    <row r="29" spans="1:27" s="1" customFormat="1" ht="18.75">
      <c r="A29" s="7">
        <v>1</v>
      </c>
      <c r="B29" s="7" t="s">
        <v>109</v>
      </c>
      <c r="C29" s="7">
        <v>47</v>
      </c>
      <c r="D29" s="6"/>
      <c r="E29" s="29" t="s">
        <v>85</v>
      </c>
      <c r="F29" s="29"/>
      <c r="G29" s="8">
        <v>3</v>
      </c>
      <c r="H29" s="8">
        <v>0</v>
      </c>
      <c r="I29" s="12" t="s">
        <v>35</v>
      </c>
      <c r="J29" s="9">
        <f t="shared" si="0"/>
        <v>300</v>
      </c>
      <c r="K29" s="8">
        <v>0</v>
      </c>
      <c r="L29" s="8">
        <f t="shared" si="1"/>
        <v>300</v>
      </c>
      <c r="M29" s="44">
        <v>1476</v>
      </c>
      <c r="N29" s="42">
        <f t="shared" si="2"/>
        <v>1776</v>
      </c>
      <c r="O29" s="48">
        <f t="shared" si="3"/>
        <v>175</v>
      </c>
      <c r="P29" s="43">
        <f t="shared" si="4"/>
        <v>1601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110</v>
      </c>
      <c r="C30" s="7">
        <v>28</v>
      </c>
      <c r="D30" s="6"/>
      <c r="E30" s="29" t="s">
        <v>66</v>
      </c>
      <c r="F30" s="32"/>
      <c r="G30" s="8">
        <v>3</v>
      </c>
      <c r="H30" s="8">
        <v>0</v>
      </c>
      <c r="I30" s="12" t="s">
        <v>35</v>
      </c>
      <c r="J30" s="9">
        <f t="shared" si="0"/>
        <v>300</v>
      </c>
      <c r="K30" s="8">
        <v>0</v>
      </c>
      <c r="L30" s="8">
        <f t="shared" si="1"/>
        <v>300</v>
      </c>
      <c r="M30" s="44">
        <v>1472</v>
      </c>
      <c r="N30" s="42">
        <f t="shared" si="2"/>
        <v>1772</v>
      </c>
      <c r="O30" s="48">
        <f t="shared" si="3"/>
        <v>175</v>
      </c>
      <c r="P30" s="43">
        <f t="shared" si="4"/>
        <v>1597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120</v>
      </c>
      <c r="C31" s="7">
        <v>13</v>
      </c>
      <c r="D31" s="6"/>
      <c r="E31" s="29" t="s">
        <v>51</v>
      </c>
      <c r="F31" s="29"/>
      <c r="G31" s="8">
        <v>4</v>
      </c>
      <c r="H31" s="8">
        <v>0</v>
      </c>
      <c r="I31" s="12" t="s">
        <v>35</v>
      </c>
      <c r="J31" s="9">
        <f t="shared" si="0"/>
        <v>400</v>
      </c>
      <c r="K31" s="8">
        <v>0</v>
      </c>
      <c r="L31" s="8">
        <f t="shared" si="1"/>
        <v>400</v>
      </c>
      <c r="M31" s="44">
        <v>1358</v>
      </c>
      <c r="N31" s="42">
        <f t="shared" si="2"/>
        <v>1758</v>
      </c>
      <c r="O31" s="48">
        <f t="shared" si="3"/>
        <v>175</v>
      </c>
      <c r="P31" s="43">
        <f t="shared" si="4"/>
        <v>1583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109</v>
      </c>
      <c r="C32" s="7">
        <v>11</v>
      </c>
      <c r="D32" s="6"/>
      <c r="E32" s="29" t="s">
        <v>49</v>
      </c>
      <c r="F32" s="29"/>
      <c r="G32" s="8">
        <v>3</v>
      </c>
      <c r="H32" s="8">
        <v>0</v>
      </c>
      <c r="I32" s="12" t="s">
        <v>35</v>
      </c>
      <c r="J32" s="9">
        <f t="shared" si="0"/>
        <v>300</v>
      </c>
      <c r="K32" s="8">
        <v>0</v>
      </c>
      <c r="L32" s="8">
        <f t="shared" si="1"/>
        <v>300</v>
      </c>
      <c r="M32" s="44">
        <v>1453</v>
      </c>
      <c r="N32" s="42">
        <f t="shared" si="2"/>
        <v>1753</v>
      </c>
      <c r="O32" s="48">
        <f t="shared" si="3"/>
        <v>175</v>
      </c>
      <c r="P32" s="43">
        <f t="shared" si="4"/>
        <v>1578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/>
      <c r="C33" s="7">
        <v>10</v>
      </c>
      <c r="D33" s="6"/>
      <c r="E33" s="29" t="s">
        <v>48</v>
      </c>
      <c r="F33" s="31"/>
      <c r="G33" s="8">
        <v>4</v>
      </c>
      <c r="H33" s="8">
        <v>0</v>
      </c>
      <c r="I33" s="12" t="s">
        <v>35</v>
      </c>
      <c r="J33" s="9">
        <f t="shared" si="0"/>
        <v>400</v>
      </c>
      <c r="K33" s="8">
        <v>0</v>
      </c>
      <c r="L33" s="8">
        <f t="shared" si="1"/>
        <v>400</v>
      </c>
      <c r="M33" s="44">
        <v>1352</v>
      </c>
      <c r="N33" s="42">
        <f t="shared" si="2"/>
        <v>1752</v>
      </c>
      <c r="O33" s="48">
        <f t="shared" si="3"/>
        <v>175</v>
      </c>
      <c r="P33" s="43">
        <f t="shared" si="4"/>
        <v>1577</v>
      </c>
      <c r="Q33" s="21"/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114</v>
      </c>
      <c r="C34" s="7">
        <v>52</v>
      </c>
      <c r="D34" s="6"/>
      <c r="E34" s="29" t="s">
        <v>90</v>
      </c>
      <c r="G34" s="8">
        <v>3</v>
      </c>
      <c r="H34" s="8">
        <v>0</v>
      </c>
      <c r="I34" s="12" t="s">
        <v>35</v>
      </c>
      <c r="J34" s="9">
        <f t="shared" si="0"/>
        <v>300</v>
      </c>
      <c r="K34" s="8">
        <v>0</v>
      </c>
      <c r="L34" s="8">
        <f t="shared" si="1"/>
        <v>300</v>
      </c>
      <c r="M34" s="44">
        <v>1442</v>
      </c>
      <c r="N34" s="42">
        <f t="shared" si="2"/>
        <v>1742</v>
      </c>
      <c r="O34" s="48">
        <f t="shared" si="3"/>
        <v>175</v>
      </c>
      <c r="P34" s="43">
        <f t="shared" si="4"/>
        <v>1567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122</v>
      </c>
      <c r="C35" s="7">
        <v>43</v>
      </c>
      <c r="D35" s="6"/>
      <c r="E35" s="29" t="s">
        <v>81</v>
      </c>
      <c r="F35" s="31"/>
      <c r="G35" s="8">
        <v>3</v>
      </c>
      <c r="H35" s="8">
        <v>0</v>
      </c>
      <c r="I35" s="12" t="s">
        <v>35</v>
      </c>
      <c r="J35" s="9">
        <f t="shared" si="0"/>
        <v>300</v>
      </c>
      <c r="K35" s="8">
        <v>0</v>
      </c>
      <c r="L35" s="8">
        <f t="shared" si="1"/>
        <v>300</v>
      </c>
      <c r="M35" s="44">
        <v>1440</v>
      </c>
      <c r="N35" s="42">
        <f t="shared" si="2"/>
        <v>1740</v>
      </c>
      <c r="O35" s="48">
        <f t="shared" si="3"/>
        <v>175</v>
      </c>
      <c r="P35" s="43">
        <f t="shared" si="4"/>
        <v>1565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109</v>
      </c>
      <c r="C36" s="7">
        <v>49</v>
      </c>
      <c r="D36" s="6"/>
      <c r="E36" s="29" t="s">
        <v>87</v>
      </c>
      <c r="F36" s="29"/>
      <c r="G36" s="8">
        <v>3</v>
      </c>
      <c r="H36" s="8">
        <v>0</v>
      </c>
      <c r="I36" s="12" t="s">
        <v>35</v>
      </c>
      <c r="J36" s="9">
        <f t="shared" si="0"/>
        <v>300</v>
      </c>
      <c r="K36" s="8">
        <v>0</v>
      </c>
      <c r="L36" s="8">
        <f t="shared" si="1"/>
        <v>300</v>
      </c>
      <c r="M36" s="44">
        <v>1422</v>
      </c>
      <c r="N36" s="42">
        <f t="shared" si="2"/>
        <v>1722</v>
      </c>
      <c r="O36" s="48">
        <f t="shared" si="3"/>
        <v>175</v>
      </c>
      <c r="P36" s="43">
        <f t="shared" si="4"/>
        <v>1547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124</v>
      </c>
      <c r="C37" s="7">
        <v>2</v>
      </c>
      <c r="D37" s="6"/>
      <c r="E37" s="29" t="s">
        <v>40</v>
      </c>
      <c r="F37" s="29"/>
      <c r="G37" s="8">
        <v>3</v>
      </c>
      <c r="H37" s="8">
        <v>0</v>
      </c>
      <c r="I37" s="12" t="s">
        <v>35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1403</v>
      </c>
      <c r="N37" s="42">
        <f t="shared" ref="N37:N68" si="7">M37+L37</f>
        <v>1703</v>
      </c>
      <c r="O37" s="48">
        <f t="shared" ref="O37:O69" si="8">VLOOKUP(I37,$R$3:$S$10,2,FALSE)</f>
        <v>175</v>
      </c>
      <c r="P37" s="43">
        <f t="shared" ref="P37:P68" si="9">IF(N37-O37&gt;0,N37-O37,0)</f>
        <v>1528</v>
      </c>
      <c r="Q37" s="9"/>
    </row>
    <row r="38" spans="1:27" s="1" customFormat="1" ht="18.75">
      <c r="A38" s="7">
        <v>1</v>
      </c>
      <c r="B38" s="7" t="s">
        <v>120</v>
      </c>
      <c r="C38" s="7">
        <v>64</v>
      </c>
      <c r="D38" s="6"/>
      <c r="E38" s="29" t="s">
        <v>130</v>
      </c>
      <c r="F38" s="29"/>
      <c r="G38" s="8">
        <v>4</v>
      </c>
      <c r="H38" s="8">
        <v>0</v>
      </c>
      <c r="I38" s="12" t="s">
        <v>35</v>
      </c>
      <c r="J38" s="9">
        <f t="shared" si="5"/>
        <v>400</v>
      </c>
      <c r="K38" s="8">
        <v>0</v>
      </c>
      <c r="L38" s="8">
        <f t="shared" si="6"/>
        <v>400</v>
      </c>
      <c r="M38" s="44">
        <v>1244</v>
      </c>
      <c r="N38" s="42">
        <f t="shared" si="7"/>
        <v>1644</v>
      </c>
      <c r="O38" s="48">
        <f t="shared" si="8"/>
        <v>175</v>
      </c>
      <c r="P38" s="43">
        <f t="shared" si="9"/>
        <v>1469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112</v>
      </c>
      <c r="C39" s="7">
        <v>15</v>
      </c>
      <c r="D39" s="6"/>
      <c r="E39" s="29" t="s">
        <v>53</v>
      </c>
      <c r="F39" s="29"/>
      <c r="G39" s="8">
        <v>4</v>
      </c>
      <c r="H39" s="8">
        <v>0</v>
      </c>
      <c r="I39" s="12" t="s">
        <v>35</v>
      </c>
      <c r="J39" s="9">
        <f t="shared" si="5"/>
        <v>400</v>
      </c>
      <c r="K39" s="8">
        <v>0</v>
      </c>
      <c r="L39" s="8">
        <f t="shared" si="6"/>
        <v>400</v>
      </c>
      <c r="M39" s="44">
        <v>1242</v>
      </c>
      <c r="N39" s="42">
        <f t="shared" si="7"/>
        <v>1642</v>
      </c>
      <c r="O39" s="48">
        <f t="shared" si="8"/>
        <v>175</v>
      </c>
      <c r="P39" s="43">
        <f t="shared" si="9"/>
        <v>1467</v>
      </c>
      <c r="Q39" s="1"/>
    </row>
    <row r="40" spans="1:27" ht="18.75">
      <c r="A40" s="7">
        <v>1</v>
      </c>
      <c r="B40" s="7" t="s">
        <v>109</v>
      </c>
      <c r="C40" s="7">
        <v>22</v>
      </c>
      <c r="D40" s="6"/>
      <c r="E40" s="29" t="s">
        <v>60</v>
      </c>
      <c r="F40" s="32"/>
      <c r="G40" s="8">
        <v>2</v>
      </c>
      <c r="H40" s="8">
        <v>0</v>
      </c>
      <c r="I40" s="12" t="s">
        <v>35</v>
      </c>
      <c r="J40" s="9">
        <f t="shared" si="5"/>
        <v>200</v>
      </c>
      <c r="K40" s="8">
        <v>0</v>
      </c>
      <c r="L40" s="8">
        <f t="shared" si="6"/>
        <v>200</v>
      </c>
      <c r="M40" s="44">
        <v>1438</v>
      </c>
      <c r="N40" s="42">
        <f t="shared" si="7"/>
        <v>1638</v>
      </c>
      <c r="O40" s="48">
        <f t="shared" si="8"/>
        <v>175</v>
      </c>
      <c r="P40" s="43">
        <f t="shared" si="9"/>
        <v>1463</v>
      </c>
      <c r="Q40" s="1"/>
    </row>
    <row r="41" spans="1:27" ht="18.75">
      <c r="A41" s="7">
        <v>1</v>
      </c>
      <c r="B41" s="7" t="s">
        <v>118</v>
      </c>
      <c r="C41" s="7">
        <v>50</v>
      </c>
      <c r="D41" s="6"/>
      <c r="E41" s="29" t="s">
        <v>88</v>
      </c>
      <c r="F41" s="29"/>
      <c r="G41" s="8">
        <v>4</v>
      </c>
      <c r="H41" s="8">
        <v>0</v>
      </c>
      <c r="I41" s="12" t="s">
        <v>35</v>
      </c>
      <c r="J41" s="9">
        <f t="shared" si="5"/>
        <v>400</v>
      </c>
      <c r="K41" s="8">
        <v>0</v>
      </c>
      <c r="L41" s="8">
        <f t="shared" si="6"/>
        <v>400</v>
      </c>
      <c r="M41" s="44">
        <v>1191</v>
      </c>
      <c r="N41" s="42">
        <f t="shared" si="7"/>
        <v>1591</v>
      </c>
      <c r="O41" s="48">
        <f t="shared" si="8"/>
        <v>175</v>
      </c>
      <c r="P41" s="43">
        <f t="shared" si="9"/>
        <v>1416</v>
      </c>
      <c r="Q41" s="1"/>
    </row>
    <row r="42" spans="1:27" ht="18.75">
      <c r="A42" s="7">
        <v>1</v>
      </c>
      <c r="B42" s="7" t="s">
        <v>120</v>
      </c>
      <c r="C42" s="7">
        <v>6</v>
      </c>
      <c r="D42" s="6"/>
      <c r="E42" s="29" t="s">
        <v>44</v>
      </c>
      <c r="F42" s="29"/>
      <c r="G42" s="8">
        <v>3</v>
      </c>
      <c r="H42" s="8">
        <v>0</v>
      </c>
      <c r="I42" s="12" t="s">
        <v>35</v>
      </c>
      <c r="J42" s="9">
        <f t="shared" si="5"/>
        <v>300</v>
      </c>
      <c r="K42" s="8">
        <v>0</v>
      </c>
      <c r="L42" s="8">
        <f t="shared" si="6"/>
        <v>300</v>
      </c>
      <c r="M42" s="44">
        <v>1289</v>
      </c>
      <c r="N42" s="42">
        <f t="shared" si="7"/>
        <v>1589</v>
      </c>
      <c r="O42" s="48">
        <f t="shared" si="8"/>
        <v>175</v>
      </c>
      <c r="P42" s="43">
        <f t="shared" si="9"/>
        <v>1414</v>
      </c>
      <c r="Q42" s="15"/>
    </row>
    <row r="43" spans="1:27" ht="18.75">
      <c r="A43" s="7">
        <v>1</v>
      </c>
      <c r="B43" s="7" t="s">
        <v>112</v>
      </c>
      <c r="C43" s="7">
        <v>53</v>
      </c>
      <c r="D43" s="6"/>
      <c r="E43" s="29" t="s">
        <v>91</v>
      </c>
      <c r="F43" s="29"/>
      <c r="G43" s="8">
        <v>4</v>
      </c>
      <c r="H43" s="8">
        <v>0</v>
      </c>
      <c r="I43" s="12" t="s">
        <v>35</v>
      </c>
      <c r="J43" s="9">
        <f t="shared" si="5"/>
        <v>400</v>
      </c>
      <c r="K43" s="8">
        <v>0</v>
      </c>
      <c r="L43" s="8">
        <f t="shared" si="6"/>
        <v>400</v>
      </c>
      <c r="M43" s="44">
        <v>1135</v>
      </c>
      <c r="N43" s="42">
        <f t="shared" si="7"/>
        <v>1535</v>
      </c>
      <c r="O43" s="48">
        <f t="shared" si="8"/>
        <v>175</v>
      </c>
      <c r="P43" s="43">
        <f t="shared" si="9"/>
        <v>1360</v>
      </c>
      <c r="Q43" s="1"/>
    </row>
    <row r="44" spans="1:27" ht="18.75">
      <c r="A44" s="7">
        <v>1</v>
      </c>
      <c r="B44" s="7" t="s">
        <v>113</v>
      </c>
      <c r="C44" s="7">
        <v>25</v>
      </c>
      <c r="D44" s="6"/>
      <c r="E44" s="29" t="s">
        <v>63</v>
      </c>
      <c r="F44" s="32"/>
      <c r="G44" s="8">
        <v>3</v>
      </c>
      <c r="H44" s="8">
        <v>0</v>
      </c>
      <c r="I44" s="12" t="s">
        <v>35</v>
      </c>
      <c r="J44" s="9">
        <f t="shared" si="5"/>
        <v>300</v>
      </c>
      <c r="K44" s="8">
        <v>0</v>
      </c>
      <c r="L44" s="8">
        <f t="shared" si="6"/>
        <v>300</v>
      </c>
      <c r="M44" s="44">
        <v>1175</v>
      </c>
      <c r="N44" s="42">
        <f t="shared" si="7"/>
        <v>1475</v>
      </c>
      <c r="O44" s="48">
        <f t="shared" si="8"/>
        <v>175</v>
      </c>
      <c r="P44" s="43">
        <f t="shared" si="9"/>
        <v>1300</v>
      </c>
      <c r="Q44" s="1"/>
    </row>
    <row r="45" spans="1:27" ht="18.75">
      <c r="A45" s="7">
        <v>1</v>
      </c>
      <c r="B45" s="7" t="s">
        <v>115</v>
      </c>
      <c r="C45" s="7">
        <v>26</v>
      </c>
      <c r="D45" s="6"/>
      <c r="E45" s="29" t="s">
        <v>64</v>
      </c>
      <c r="F45" s="32"/>
      <c r="G45" s="8">
        <v>4</v>
      </c>
      <c r="H45" s="8">
        <v>0</v>
      </c>
      <c r="I45" s="12" t="s">
        <v>35</v>
      </c>
      <c r="J45" s="9">
        <f t="shared" si="5"/>
        <v>400</v>
      </c>
      <c r="K45" s="8">
        <v>0</v>
      </c>
      <c r="L45" s="8">
        <f t="shared" si="6"/>
        <v>400</v>
      </c>
      <c r="M45" s="44">
        <v>1044</v>
      </c>
      <c r="N45" s="42">
        <f t="shared" si="7"/>
        <v>1444</v>
      </c>
      <c r="O45" s="48">
        <f t="shared" si="8"/>
        <v>175</v>
      </c>
      <c r="P45" s="43">
        <f t="shared" si="9"/>
        <v>1269</v>
      </c>
      <c r="Q45" s="1"/>
    </row>
    <row r="46" spans="1:27" ht="18.75">
      <c r="A46" s="7">
        <v>1</v>
      </c>
      <c r="B46" s="7" t="s">
        <v>115</v>
      </c>
      <c r="C46" s="7">
        <v>56</v>
      </c>
      <c r="D46" s="6"/>
      <c r="E46" s="29" t="s">
        <v>94</v>
      </c>
      <c r="F46" s="29"/>
      <c r="G46" s="8">
        <v>3</v>
      </c>
      <c r="H46" s="8">
        <v>0</v>
      </c>
      <c r="I46" s="12" t="s">
        <v>35</v>
      </c>
      <c r="J46" s="9">
        <f t="shared" si="5"/>
        <v>300</v>
      </c>
      <c r="K46" s="8">
        <v>0</v>
      </c>
      <c r="L46" s="8">
        <f t="shared" si="6"/>
        <v>300</v>
      </c>
      <c r="M46" s="44">
        <v>1126</v>
      </c>
      <c r="N46" s="42">
        <f t="shared" si="7"/>
        <v>1426</v>
      </c>
      <c r="O46" s="48">
        <f t="shared" si="8"/>
        <v>175</v>
      </c>
      <c r="P46" s="43">
        <f t="shared" si="9"/>
        <v>1251</v>
      </c>
      <c r="Q46" s="1"/>
    </row>
    <row r="47" spans="1:27" ht="18.75">
      <c r="A47" s="7">
        <v>1</v>
      </c>
      <c r="B47" s="7" t="s">
        <v>110</v>
      </c>
      <c r="C47" s="7">
        <v>54</v>
      </c>
      <c r="D47" s="6"/>
      <c r="E47" s="29" t="s">
        <v>92</v>
      </c>
      <c r="G47" s="8">
        <v>3</v>
      </c>
      <c r="H47" s="8">
        <v>0</v>
      </c>
      <c r="I47" s="12" t="s">
        <v>35</v>
      </c>
      <c r="J47" s="9">
        <f t="shared" si="5"/>
        <v>300</v>
      </c>
      <c r="K47" s="8">
        <v>0</v>
      </c>
      <c r="L47" s="8">
        <f t="shared" si="6"/>
        <v>300</v>
      </c>
      <c r="M47" s="44">
        <v>1100</v>
      </c>
      <c r="N47" s="42">
        <f t="shared" si="7"/>
        <v>1400</v>
      </c>
      <c r="O47" s="48">
        <f t="shared" si="8"/>
        <v>175</v>
      </c>
      <c r="P47" s="43">
        <f t="shared" si="9"/>
        <v>1225</v>
      </c>
      <c r="Q47" s="1"/>
    </row>
    <row r="48" spans="1:27" ht="18.75">
      <c r="A48" s="7">
        <v>1</v>
      </c>
      <c r="B48" s="7" t="s">
        <v>121</v>
      </c>
      <c r="C48" s="7">
        <v>4</v>
      </c>
      <c r="D48" s="6"/>
      <c r="E48" s="29" t="s">
        <v>42</v>
      </c>
      <c r="F48" s="29"/>
      <c r="G48" s="8">
        <v>2</v>
      </c>
      <c r="H48" s="8">
        <v>0</v>
      </c>
      <c r="I48" s="12" t="s">
        <v>35</v>
      </c>
      <c r="J48" s="9">
        <f t="shared" si="5"/>
        <v>200</v>
      </c>
      <c r="K48" s="8">
        <v>0</v>
      </c>
      <c r="L48" s="8">
        <f t="shared" si="6"/>
        <v>200</v>
      </c>
      <c r="M48" s="44">
        <v>1144</v>
      </c>
      <c r="N48" s="42">
        <f t="shared" si="7"/>
        <v>1344</v>
      </c>
      <c r="O48" s="48">
        <f t="shared" si="8"/>
        <v>175</v>
      </c>
      <c r="P48" s="43">
        <f t="shared" si="9"/>
        <v>1169</v>
      </c>
      <c r="Q48" s="28"/>
    </row>
    <row r="49" spans="1:17" ht="18.75">
      <c r="A49" s="7">
        <v>1</v>
      </c>
      <c r="B49" s="7" t="s">
        <v>126</v>
      </c>
      <c r="C49" s="7">
        <v>41</v>
      </c>
      <c r="D49" s="6"/>
      <c r="E49" s="29" t="s">
        <v>79</v>
      </c>
      <c r="F49" s="32"/>
      <c r="G49" s="8">
        <v>3</v>
      </c>
      <c r="H49" s="8">
        <v>0</v>
      </c>
      <c r="I49" s="12" t="s">
        <v>35</v>
      </c>
      <c r="J49" s="9">
        <f t="shared" si="5"/>
        <v>300</v>
      </c>
      <c r="K49" s="8">
        <v>0</v>
      </c>
      <c r="L49" s="8">
        <f t="shared" si="6"/>
        <v>300</v>
      </c>
      <c r="M49" s="44">
        <v>1026</v>
      </c>
      <c r="N49" s="42">
        <f t="shared" si="7"/>
        <v>1326</v>
      </c>
      <c r="O49" s="48">
        <f t="shared" si="8"/>
        <v>175</v>
      </c>
      <c r="P49" s="43">
        <f t="shared" si="9"/>
        <v>1151</v>
      </c>
    </row>
    <row r="50" spans="1:17" ht="18.75">
      <c r="A50" s="7">
        <v>1</v>
      </c>
      <c r="B50" s="7" t="s">
        <v>109</v>
      </c>
      <c r="C50" s="7">
        <v>39</v>
      </c>
      <c r="D50" s="6"/>
      <c r="E50" s="29" t="s">
        <v>77</v>
      </c>
      <c r="F50" s="29"/>
      <c r="G50" s="8">
        <v>2</v>
      </c>
      <c r="H50" s="8">
        <v>0</v>
      </c>
      <c r="I50" s="12" t="s">
        <v>35</v>
      </c>
      <c r="J50" s="9">
        <f t="shared" si="5"/>
        <v>200</v>
      </c>
      <c r="K50" s="8">
        <v>0</v>
      </c>
      <c r="L50" s="8">
        <f t="shared" si="6"/>
        <v>200</v>
      </c>
      <c r="M50" s="44">
        <v>1025</v>
      </c>
      <c r="N50" s="42">
        <f t="shared" si="7"/>
        <v>1225</v>
      </c>
      <c r="O50" s="48">
        <f t="shared" si="8"/>
        <v>175</v>
      </c>
      <c r="P50" s="43">
        <f t="shared" si="9"/>
        <v>1050</v>
      </c>
    </row>
    <row r="51" spans="1:17" ht="18.75">
      <c r="A51" s="7">
        <v>1</v>
      </c>
      <c r="B51" s="7" t="s">
        <v>118</v>
      </c>
      <c r="C51" s="7">
        <v>16</v>
      </c>
      <c r="D51" s="6"/>
      <c r="E51" s="29" t="s">
        <v>54</v>
      </c>
      <c r="F51" s="32"/>
      <c r="G51" s="8">
        <v>1</v>
      </c>
      <c r="H51" s="8">
        <v>0</v>
      </c>
      <c r="I51" s="12" t="s">
        <v>35</v>
      </c>
      <c r="J51" s="9">
        <f t="shared" si="5"/>
        <v>100</v>
      </c>
      <c r="K51" s="8">
        <v>0</v>
      </c>
      <c r="L51" s="8">
        <f t="shared" si="6"/>
        <v>100</v>
      </c>
      <c r="M51" s="44">
        <v>1035</v>
      </c>
      <c r="N51" s="42">
        <f t="shared" si="7"/>
        <v>1135</v>
      </c>
      <c r="O51" s="48">
        <f t="shared" si="8"/>
        <v>175</v>
      </c>
      <c r="P51" s="43">
        <f t="shared" si="9"/>
        <v>960</v>
      </c>
    </row>
    <row r="52" spans="1:17" ht="18.75">
      <c r="A52" s="7">
        <v>1</v>
      </c>
      <c r="B52" s="7" t="s">
        <v>114</v>
      </c>
      <c r="C52" s="7">
        <v>33</v>
      </c>
      <c r="D52" s="6"/>
      <c r="E52" s="29" t="s">
        <v>71</v>
      </c>
      <c r="F52" s="29"/>
      <c r="G52" s="8">
        <v>3</v>
      </c>
      <c r="H52" s="8">
        <v>0</v>
      </c>
      <c r="I52" s="12" t="s">
        <v>35</v>
      </c>
      <c r="J52" s="9">
        <f t="shared" si="5"/>
        <v>300</v>
      </c>
      <c r="K52" s="8">
        <v>0</v>
      </c>
      <c r="L52" s="8">
        <f t="shared" si="6"/>
        <v>300</v>
      </c>
      <c r="M52" s="44">
        <v>828</v>
      </c>
      <c r="N52" s="42">
        <f t="shared" si="7"/>
        <v>1128</v>
      </c>
      <c r="O52" s="48">
        <f t="shared" si="8"/>
        <v>175</v>
      </c>
      <c r="P52" s="43">
        <f t="shared" si="9"/>
        <v>953</v>
      </c>
    </row>
    <row r="53" spans="1:17" ht="18.75">
      <c r="A53" s="7">
        <v>1</v>
      </c>
      <c r="B53" s="7" t="s">
        <v>117</v>
      </c>
      <c r="C53" s="7">
        <v>9</v>
      </c>
      <c r="D53" s="6"/>
      <c r="E53" s="29" t="s">
        <v>47</v>
      </c>
      <c r="F53" s="33"/>
      <c r="G53" s="8">
        <v>0</v>
      </c>
      <c r="H53" s="8">
        <v>0</v>
      </c>
      <c r="I53" s="27" t="s">
        <v>23</v>
      </c>
      <c r="J53" s="9">
        <f t="shared" si="5"/>
        <v>0</v>
      </c>
      <c r="K53" s="8">
        <v>0</v>
      </c>
      <c r="L53" s="8">
        <f t="shared" si="6"/>
        <v>0</v>
      </c>
      <c r="M53" s="44">
        <v>961</v>
      </c>
      <c r="N53" s="42">
        <f t="shared" si="7"/>
        <v>961</v>
      </c>
      <c r="O53" s="48">
        <f t="shared" si="8"/>
        <v>0</v>
      </c>
      <c r="P53" s="43">
        <f t="shared" si="9"/>
        <v>961</v>
      </c>
      <c r="Q53" s="45"/>
    </row>
    <row r="54" spans="1:17" ht="18.75">
      <c r="A54" s="7">
        <v>1</v>
      </c>
      <c r="B54" s="7" t="s">
        <v>123</v>
      </c>
      <c r="C54" s="7">
        <v>23</v>
      </c>
      <c r="D54" s="6"/>
      <c r="E54" s="29" t="s">
        <v>61</v>
      </c>
      <c r="F54" s="32"/>
      <c r="G54" s="8">
        <v>0</v>
      </c>
      <c r="H54" s="8">
        <v>0</v>
      </c>
      <c r="I54" s="27" t="s">
        <v>23</v>
      </c>
      <c r="J54" s="9">
        <f t="shared" si="5"/>
        <v>0</v>
      </c>
      <c r="K54" s="8">
        <v>0</v>
      </c>
      <c r="L54" s="8">
        <f t="shared" si="6"/>
        <v>0</v>
      </c>
      <c r="M54" s="44">
        <v>951</v>
      </c>
      <c r="N54" s="42">
        <f t="shared" si="7"/>
        <v>951</v>
      </c>
      <c r="O54" s="48">
        <f t="shared" si="8"/>
        <v>0</v>
      </c>
      <c r="P54" s="43">
        <f t="shared" si="9"/>
        <v>951</v>
      </c>
    </row>
    <row r="55" spans="1:17" ht="18.75">
      <c r="A55" s="7">
        <v>1</v>
      </c>
      <c r="B55" s="7" t="s">
        <v>118</v>
      </c>
      <c r="C55" s="7">
        <v>65</v>
      </c>
      <c r="E55" s="29" t="s">
        <v>105</v>
      </c>
      <c r="G55" s="8">
        <v>3</v>
      </c>
      <c r="H55" s="8">
        <v>0</v>
      </c>
      <c r="I55" s="12" t="s">
        <v>35</v>
      </c>
      <c r="J55" s="9">
        <f t="shared" si="5"/>
        <v>300</v>
      </c>
      <c r="K55" s="8">
        <v>0</v>
      </c>
      <c r="L55" s="8">
        <f t="shared" si="6"/>
        <v>300</v>
      </c>
      <c r="M55" s="44">
        <v>650</v>
      </c>
      <c r="N55" s="42">
        <f t="shared" si="7"/>
        <v>950</v>
      </c>
      <c r="O55" s="48">
        <f t="shared" si="8"/>
        <v>175</v>
      </c>
      <c r="P55" s="43">
        <f t="shared" si="9"/>
        <v>775</v>
      </c>
    </row>
    <row r="56" spans="1:17" ht="18.75">
      <c r="A56" s="7">
        <v>1</v>
      </c>
      <c r="B56" s="7" t="s">
        <v>108</v>
      </c>
      <c r="C56" s="7">
        <v>44</v>
      </c>
      <c r="D56" s="6"/>
      <c r="E56" s="29" t="s">
        <v>82</v>
      </c>
      <c r="F56" s="29"/>
      <c r="G56" s="8">
        <v>3</v>
      </c>
      <c r="H56" s="8">
        <v>0</v>
      </c>
      <c r="I56" s="12" t="s">
        <v>35</v>
      </c>
      <c r="J56" s="9">
        <f t="shared" si="5"/>
        <v>300</v>
      </c>
      <c r="K56" s="8">
        <v>0</v>
      </c>
      <c r="L56" s="8">
        <f t="shared" si="6"/>
        <v>300</v>
      </c>
      <c r="M56" s="44">
        <v>579</v>
      </c>
      <c r="N56" s="42">
        <f t="shared" si="7"/>
        <v>879</v>
      </c>
      <c r="O56" s="48">
        <f t="shared" si="8"/>
        <v>175</v>
      </c>
      <c r="P56" s="43">
        <f t="shared" si="9"/>
        <v>704</v>
      </c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1</v>
      </c>
      <c r="H57" s="8">
        <v>0</v>
      </c>
      <c r="I57" s="12" t="s">
        <v>35</v>
      </c>
      <c r="J57" s="9">
        <f t="shared" si="5"/>
        <v>100</v>
      </c>
      <c r="K57" s="8">
        <v>0</v>
      </c>
      <c r="L57" s="8">
        <f t="shared" si="6"/>
        <v>100</v>
      </c>
      <c r="M57" s="44">
        <v>675</v>
      </c>
      <c r="N57" s="42">
        <f t="shared" si="7"/>
        <v>775</v>
      </c>
      <c r="O57" s="48">
        <f t="shared" si="8"/>
        <v>175</v>
      </c>
      <c r="P57" s="43">
        <f t="shared" si="9"/>
        <v>600</v>
      </c>
    </row>
    <row r="58" spans="1:17" ht="18.75">
      <c r="A58" s="7">
        <v>1</v>
      </c>
      <c r="B58" s="7" t="s">
        <v>112</v>
      </c>
      <c r="C58" s="7">
        <v>57</v>
      </c>
      <c r="D58" s="6"/>
      <c r="E58" s="29" t="s">
        <v>95</v>
      </c>
      <c r="G58" s="8">
        <v>0</v>
      </c>
      <c r="H58" s="8">
        <v>0</v>
      </c>
      <c r="I58" s="27" t="s">
        <v>23</v>
      </c>
      <c r="J58" s="9">
        <f t="shared" si="5"/>
        <v>0</v>
      </c>
      <c r="K58" s="8">
        <v>0</v>
      </c>
      <c r="L58" s="8">
        <f t="shared" si="6"/>
        <v>0</v>
      </c>
      <c r="M58" s="44">
        <v>410</v>
      </c>
      <c r="N58" s="42">
        <f t="shared" si="7"/>
        <v>410</v>
      </c>
      <c r="O58" s="48">
        <f t="shared" si="8"/>
        <v>0</v>
      </c>
      <c r="P58" s="43">
        <f t="shared" si="9"/>
        <v>410</v>
      </c>
    </row>
    <row r="59" spans="1:17" ht="18.75">
      <c r="A59" s="7">
        <v>1</v>
      </c>
      <c r="B59" s="7" t="s">
        <v>122</v>
      </c>
      <c r="C59" s="7">
        <v>27</v>
      </c>
      <c r="D59" s="6"/>
      <c r="E59" s="29" t="s">
        <v>65</v>
      </c>
      <c r="F59" s="32"/>
      <c r="G59" s="8">
        <v>2</v>
      </c>
      <c r="H59" s="8">
        <v>0</v>
      </c>
      <c r="I59" s="12" t="s">
        <v>35</v>
      </c>
      <c r="J59" s="9">
        <f t="shared" si="5"/>
        <v>200</v>
      </c>
      <c r="K59" s="8">
        <v>0</v>
      </c>
      <c r="L59" s="8">
        <f t="shared" si="6"/>
        <v>200</v>
      </c>
      <c r="M59" s="44">
        <v>125</v>
      </c>
      <c r="N59" s="42">
        <f t="shared" si="7"/>
        <v>325</v>
      </c>
      <c r="O59" s="48">
        <f t="shared" si="8"/>
        <v>175</v>
      </c>
      <c r="P59" s="43">
        <f t="shared" si="9"/>
        <v>150</v>
      </c>
    </row>
    <row r="60" spans="1:17" ht="18.75">
      <c r="A60" s="7">
        <v>1</v>
      </c>
      <c r="B60" s="7" t="s">
        <v>116</v>
      </c>
      <c r="C60" s="7">
        <v>60</v>
      </c>
      <c r="D60" s="6"/>
      <c r="E60" s="29" t="s">
        <v>98</v>
      </c>
      <c r="G60" s="8">
        <v>0</v>
      </c>
      <c r="H60" s="8">
        <v>0</v>
      </c>
      <c r="I60" s="27" t="s">
        <v>23</v>
      </c>
      <c r="J60" s="9">
        <f t="shared" si="5"/>
        <v>0</v>
      </c>
      <c r="K60" s="8">
        <v>0</v>
      </c>
      <c r="L60" s="8">
        <f t="shared" si="6"/>
        <v>0</v>
      </c>
      <c r="M60" s="44">
        <v>225</v>
      </c>
      <c r="N60" s="42">
        <f t="shared" si="7"/>
        <v>225</v>
      </c>
      <c r="O60" s="48">
        <f t="shared" si="8"/>
        <v>0</v>
      </c>
      <c r="P60" s="43">
        <f t="shared" si="9"/>
        <v>225</v>
      </c>
    </row>
    <row r="61" spans="1:17" ht="18.75">
      <c r="A61" s="7">
        <v>1</v>
      </c>
      <c r="B61" s="7" t="s">
        <v>122</v>
      </c>
      <c r="C61" s="7">
        <v>61</v>
      </c>
      <c r="D61" s="6"/>
      <c r="E61" s="29" t="s">
        <v>99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225</v>
      </c>
      <c r="N61" s="42">
        <f t="shared" si="7"/>
        <v>225</v>
      </c>
      <c r="O61" s="48">
        <f t="shared" si="8"/>
        <v>0</v>
      </c>
      <c r="P61" s="43">
        <f t="shared" si="9"/>
        <v>225</v>
      </c>
    </row>
    <row r="62" spans="1:17" ht="18.75">
      <c r="A62" s="7">
        <v>1</v>
      </c>
      <c r="B62" s="7" t="s">
        <v>122</v>
      </c>
      <c r="C62" s="7">
        <v>34</v>
      </c>
      <c r="D62" s="6"/>
      <c r="E62" s="29" t="s">
        <v>72</v>
      </c>
      <c r="F62" s="29"/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219</v>
      </c>
      <c r="N62" s="42">
        <f t="shared" si="7"/>
        <v>219</v>
      </c>
      <c r="O62" s="48">
        <f t="shared" si="8"/>
        <v>0</v>
      </c>
      <c r="P62" s="43">
        <f t="shared" si="9"/>
        <v>219</v>
      </c>
    </row>
    <row r="63" spans="1:17" ht="18.75">
      <c r="A63" s="7">
        <v>1</v>
      </c>
      <c r="B63" s="7" t="s">
        <v>110</v>
      </c>
      <c r="C63" s="7">
        <v>31</v>
      </c>
      <c r="D63" s="6"/>
      <c r="E63" s="29" t="s">
        <v>69</v>
      </c>
      <c r="F63" s="32"/>
      <c r="G63" s="8">
        <v>2</v>
      </c>
      <c r="H63" s="8">
        <v>0</v>
      </c>
      <c r="I63" s="12" t="s">
        <v>35</v>
      </c>
      <c r="J63" s="9">
        <f t="shared" si="5"/>
        <v>200</v>
      </c>
      <c r="K63" s="8">
        <v>0</v>
      </c>
      <c r="L63" s="8">
        <f t="shared" si="6"/>
        <v>200</v>
      </c>
      <c r="M63" s="44">
        <v>0</v>
      </c>
      <c r="N63" s="42">
        <f t="shared" si="7"/>
        <v>200</v>
      </c>
      <c r="O63" s="48">
        <f t="shared" si="8"/>
        <v>175</v>
      </c>
      <c r="P63" s="43">
        <f t="shared" si="9"/>
        <v>25</v>
      </c>
    </row>
    <row r="64" spans="1:17" ht="18.75">
      <c r="A64" s="7">
        <v>1</v>
      </c>
      <c r="B64" s="7" t="s">
        <v>122</v>
      </c>
      <c r="C64" s="7">
        <v>7</v>
      </c>
      <c r="D64" s="6"/>
      <c r="E64" s="29" t="s">
        <v>45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138</v>
      </c>
      <c r="N64" s="42">
        <f t="shared" si="7"/>
        <v>138</v>
      </c>
      <c r="O64" s="48">
        <f t="shared" si="8"/>
        <v>0</v>
      </c>
      <c r="P64" s="43">
        <f t="shared" si="9"/>
        <v>138</v>
      </c>
      <c r="Q64" s="40"/>
    </row>
    <row r="65" spans="1:17" ht="18.75">
      <c r="A65" s="7">
        <v>1</v>
      </c>
      <c r="B65" s="7" t="s">
        <v>108</v>
      </c>
      <c r="C65" s="7">
        <v>8</v>
      </c>
      <c r="D65" s="6"/>
      <c r="E65" s="29" t="s">
        <v>46</v>
      </c>
      <c r="F65" s="29"/>
      <c r="G65" s="8">
        <v>1</v>
      </c>
      <c r="H65" s="8">
        <v>0</v>
      </c>
      <c r="I65" s="12" t="s">
        <v>35</v>
      </c>
      <c r="J65" s="9">
        <f t="shared" si="5"/>
        <v>100</v>
      </c>
      <c r="K65" s="8">
        <v>0</v>
      </c>
      <c r="L65" s="8">
        <f t="shared" si="6"/>
        <v>100</v>
      </c>
      <c r="M65" s="44">
        <v>25</v>
      </c>
      <c r="N65" s="42">
        <f t="shared" si="7"/>
        <v>125</v>
      </c>
      <c r="O65" s="48">
        <f t="shared" si="8"/>
        <v>175</v>
      </c>
      <c r="P65" s="43">
        <f t="shared" si="9"/>
        <v>0</v>
      </c>
      <c r="Q65" s="40"/>
    </row>
    <row r="66" spans="1:17" ht="18.75">
      <c r="A66" s="7">
        <v>1</v>
      </c>
      <c r="B66" s="7" t="s">
        <v>125</v>
      </c>
      <c r="C66" s="7">
        <v>59</v>
      </c>
      <c r="D66" s="6"/>
      <c r="E66" s="29" t="s">
        <v>97</v>
      </c>
      <c r="G66" s="8">
        <v>1</v>
      </c>
      <c r="H66" s="8">
        <v>0</v>
      </c>
      <c r="I66" s="12" t="s">
        <v>35</v>
      </c>
      <c r="J66" s="9">
        <f t="shared" si="5"/>
        <v>100</v>
      </c>
      <c r="K66" s="8">
        <v>0</v>
      </c>
      <c r="L66" s="8">
        <f t="shared" si="6"/>
        <v>100</v>
      </c>
      <c r="M66" s="44">
        <v>0</v>
      </c>
      <c r="N66" s="42">
        <f t="shared" si="7"/>
        <v>100</v>
      </c>
      <c r="O66" s="48">
        <f t="shared" si="8"/>
        <v>175</v>
      </c>
      <c r="P66" s="43">
        <f t="shared" si="9"/>
        <v>0</v>
      </c>
    </row>
    <row r="67" spans="1:17" ht="18.75">
      <c r="A67" s="7">
        <v>1</v>
      </c>
      <c r="B67" s="7" t="s">
        <v>118</v>
      </c>
      <c r="C67" s="7">
        <v>51</v>
      </c>
      <c r="D67" s="6"/>
      <c r="E67" s="29" t="s">
        <v>89</v>
      </c>
      <c r="F67" s="29"/>
      <c r="G67" s="8">
        <v>1</v>
      </c>
      <c r="H67" s="8">
        <v>0</v>
      </c>
      <c r="I67" s="12" t="s">
        <v>35</v>
      </c>
      <c r="J67" s="9">
        <f t="shared" si="5"/>
        <v>100</v>
      </c>
      <c r="K67" s="8">
        <v>0</v>
      </c>
      <c r="L67" s="8">
        <f t="shared" si="6"/>
        <v>100</v>
      </c>
      <c r="M67" s="44">
        <v>0</v>
      </c>
      <c r="N67" s="42">
        <f t="shared" si="7"/>
        <v>100</v>
      </c>
      <c r="O67" s="48">
        <f t="shared" si="8"/>
        <v>175</v>
      </c>
      <c r="P67" s="43">
        <f t="shared" si="9"/>
        <v>0</v>
      </c>
    </row>
    <row r="68" spans="1:17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7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42" priority="2" operator="lessThan">
      <formula>1</formula>
    </cfRule>
  </conditionalFormatting>
  <conditionalFormatting sqref="K5:K69">
    <cfRule type="cellIs" dxfId="41" priority="1" operator="lessThan">
      <formula>1</formula>
    </cfRule>
  </conditionalFormatting>
  <hyperlinks>
    <hyperlink ref="E13" r:id="rId1" xr:uid="{49C89F91-59A6-4EAF-94EE-2ABC83CA6E17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72F3-CB61-436E-8846-C6A466280E0E}">
  <dimension ref="A1:AA69"/>
  <sheetViews>
    <sheetView topLeftCell="A37" zoomScale="85" zoomScaleNormal="85" workbookViewId="0">
      <selection activeCell="C1" sqref="C1:P69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欧皇宝宝2026年5月9日分包贡献明细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f>COUNTIF(G5:G69,"&lt;&gt;0")</f>
        <v>56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114</v>
      </c>
      <c r="C5" s="7">
        <v>36</v>
      </c>
      <c r="D5" s="6"/>
      <c r="E5" s="29" t="s">
        <v>74</v>
      </c>
      <c r="F5" s="29"/>
      <c r="G5" s="8">
        <v>4</v>
      </c>
      <c r="H5" s="8">
        <v>0</v>
      </c>
      <c r="I5" s="10" t="s">
        <v>33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1340</v>
      </c>
      <c r="N5" s="42">
        <f t="shared" ref="N5:N36" si="2">M5+L5</f>
        <v>1740</v>
      </c>
      <c r="O5" s="48">
        <f t="shared" ref="O5:O36" si="3">VLOOKUP(I5,$R$3:$S$10,2,FALSE)</f>
        <v>312</v>
      </c>
      <c r="P5" s="43">
        <f t="shared" ref="P5:P36" si="4">IF(N5-O5&gt;0,N5-O5,0)</f>
        <v>1428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120</v>
      </c>
      <c r="C6" s="7">
        <v>45</v>
      </c>
      <c r="D6" s="6"/>
      <c r="E6" s="29" t="s">
        <v>83</v>
      </c>
      <c r="F6" s="29"/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1340</v>
      </c>
      <c r="N6" s="42">
        <f t="shared" si="2"/>
        <v>1740</v>
      </c>
      <c r="O6" s="48">
        <f t="shared" si="3"/>
        <v>312</v>
      </c>
      <c r="P6" s="43">
        <f t="shared" si="4"/>
        <v>1428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117</v>
      </c>
      <c r="C7" s="7">
        <v>3</v>
      </c>
      <c r="D7" s="6"/>
      <c r="E7" s="29" t="s">
        <v>41</v>
      </c>
      <c r="F7" s="29"/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1325</v>
      </c>
      <c r="N7" s="42">
        <f t="shared" si="2"/>
        <v>1725</v>
      </c>
      <c r="O7" s="48">
        <f t="shared" si="3"/>
        <v>312</v>
      </c>
      <c r="P7" s="43">
        <f t="shared" si="4"/>
        <v>1413</v>
      </c>
      <c r="Q7" s="9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113</v>
      </c>
      <c r="C8" s="7">
        <v>32</v>
      </c>
      <c r="D8" s="6"/>
      <c r="E8" s="29" t="s">
        <v>70</v>
      </c>
      <c r="F8" s="32"/>
      <c r="G8" s="8">
        <v>4</v>
      </c>
      <c r="H8" s="8">
        <v>0</v>
      </c>
      <c r="I8" s="10" t="s">
        <v>33</v>
      </c>
      <c r="J8" s="9">
        <f t="shared" si="0"/>
        <v>400</v>
      </c>
      <c r="K8" s="8">
        <v>0</v>
      </c>
      <c r="L8" s="8">
        <f t="shared" si="1"/>
        <v>400</v>
      </c>
      <c r="M8" s="44">
        <v>1315</v>
      </c>
      <c r="N8" s="42">
        <f t="shared" si="2"/>
        <v>1715</v>
      </c>
      <c r="O8" s="48">
        <f t="shared" si="3"/>
        <v>312</v>
      </c>
      <c r="P8" s="43">
        <f t="shared" si="4"/>
        <v>1403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112</v>
      </c>
      <c r="C9" s="7">
        <v>14</v>
      </c>
      <c r="D9" s="6"/>
      <c r="E9" s="29" t="s">
        <v>52</v>
      </c>
      <c r="F9" s="29"/>
      <c r="G9" s="8">
        <v>4</v>
      </c>
      <c r="H9" s="8">
        <v>0</v>
      </c>
      <c r="I9" s="10" t="s">
        <v>33</v>
      </c>
      <c r="J9" s="9">
        <f t="shared" si="0"/>
        <v>400</v>
      </c>
      <c r="K9" s="8">
        <v>0</v>
      </c>
      <c r="L9" s="8">
        <f t="shared" si="1"/>
        <v>400</v>
      </c>
      <c r="M9" s="44">
        <v>1315</v>
      </c>
      <c r="N9" s="42">
        <f t="shared" si="2"/>
        <v>1715</v>
      </c>
      <c r="O9" s="48">
        <f t="shared" si="3"/>
        <v>312</v>
      </c>
      <c r="P9" s="43">
        <f t="shared" si="4"/>
        <v>1403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120</v>
      </c>
      <c r="C10" s="7">
        <v>20</v>
      </c>
      <c r="D10" s="6"/>
      <c r="E10" s="29" t="s">
        <v>58</v>
      </c>
      <c r="F10" s="32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1315</v>
      </c>
      <c r="N10" s="42">
        <f t="shared" si="2"/>
        <v>1715</v>
      </c>
      <c r="O10" s="48">
        <f t="shared" si="3"/>
        <v>312</v>
      </c>
      <c r="P10" s="43">
        <f t="shared" si="4"/>
        <v>1403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124</v>
      </c>
      <c r="C11" s="7">
        <v>2</v>
      </c>
      <c r="D11" s="6"/>
      <c r="E11" s="29" t="s">
        <v>40</v>
      </c>
      <c r="F11" s="29"/>
      <c r="G11" s="8">
        <v>4</v>
      </c>
      <c r="H11" s="8">
        <v>0</v>
      </c>
      <c r="I11" s="10" t="s">
        <v>33</v>
      </c>
      <c r="J11" s="9">
        <f t="shared" si="0"/>
        <v>400</v>
      </c>
      <c r="K11" s="8">
        <v>0</v>
      </c>
      <c r="L11" s="8">
        <f t="shared" si="1"/>
        <v>400</v>
      </c>
      <c r="M11" s="44">
        <v>1315</v>
      </c>
      <c r="N11" s="42">
        <f t="shared" si="2"/>
        <v>1715</v>
      </c>
      <c r="O11" s="48">
        <f t="shared" si="3"/>
        <v>312</v>
      </c>
      <c r="P11" s="43">
        <f t="shared" si="4"/>
        <v>1403</v>
      </c>
      <c r="Q11" s="9"/>
      <c r="R11" s="24"/>
    </row>
    <row r="12" spans="1:26" ht="18.75">
      <c r="A12" s="7">
        <v>1</v>
      </c>
      <c r="B12" s="7" t="s">
        <v>123</v>
      </c>
      <c r="C12" s="7">
        <v>12</v>
      </c>
      <c r="D12" s="6"/>
      <c r="E12" s="29" t="s">
        <v>50</v>
      </c>
      <c r="F12" s="29"/>
      <c r="G12" s="8">
        <v>4</v>
      </c>
      <c r="H12" s="8">
        <v>0</v>
      </c>
      <c r="I12" s="11" t="s">
        <v>34</v>
      </c>
      <c r="J12" s="9">
        <f t="shared" si="0"/>
        <v>400</v>
      </c>
      <c r="K12" s="8">
        <v>0</v>
      </c>
      <c r="L12" s="8">
        <f t="shared" si="1"/>
        <v>400</v>
      </c>
      <c r="M12" s="44">
        <v>1313</v>
      </c>
      <c r="N12" s="42">
        <f t="shared" si="2"/>
        <v>1713</v>
      </c>
      <c r="O12" s="48">
        <f t="shared" si="3"/>
        <v>240</v>
      </c>
      <c r="P12" s="43">
        <f t="shared" si="4"/>
        <v>1473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127</v>
      </c>
      <c r="C13" s="7">
        <v>21</v>
      </c>
      <c r="D13" s="6"/>
      <c r="E13" s="29" t="s">
        <v>59</v>
      </c>
      <c r="G13" s="8">
        <v>4</v>
      </c>
      <c r="H13" s="8">
        <v>0</v>
      </c>
      <c r="I13" s="11" t="s">
        <v>34</v>
      </c>
      <c r="J13" s="9">
        <f t="shared" si="0"/>
        <v>400</v>
      </c>
      <c r="K13" s="8">
        <v>0</v>
      </c>
      <c r="L13" s="8">
        <f t="shared" si="1"/>
        <v>400</v>
      </c>
      <c r="M13" s="44">
        <v>1313</v>
      </c>
      <c r="N13" s="42">
        <f t="shared" si="2"/>
        <v>1713</v>
      </c>
      <c r="O13" s="48">
        <f t="shared" si="3"/>
        <v>240</v>
      </c>
      <c r="P13" s="43">
        <f t="shared" si="4"/>
        <v>1473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108</v>
      </c>
      <c r="C14" s="7">
        <v>46</v>
      </c>
      <c r="D14" s="6"/>
      <c r="E14" s="29" t="s">
        <v>84</v>
      </c>
      <c r="F14" s="29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1297</v>
      </c>
      <c r="N14" s="42">
        <f t="shared" si="2"/>
        <v>1697</v>
      </c>
      <c r="O14" s="48">
        <f t="shared" si="3"/>
        <v>240</v>
      </c>
      <c r="P14" s="43">
        <f t="shared" si="4"/>
        <v>1457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122</v>
      </c>
      <c r="C15" s="7">
        <v>17</v>
      </c>
      <c r="D15" s="6"/>
      <c r="E15" s="29" t="s">
        <v>55</v>
      </c>
      <c r="F15" s="29"/>
      <c r="G15" s="8">
        <v>4</v>
      </c>
      <c r="H15" s="8">
        <v>0</v>
      </c>
      <c r="I15" s="11" t="s">
        <v>34</v>
      </c>
      <c r="J15" s="9">
        <f t="shared" si="0"/>
        <v>400</v>
      </c>
      <c r="K15" s="8">
        <v>0</v>
      </c>
      <c r="L15" s="8">
        <f t="shared" si="1"/>
        <v>400</v>
      </c>
      <c r="M15" s="44">
        <v>1294</v>
      </c>
      <c r="N15" s="42">
        <f t="shared" si="2"/>
        <v>1694</v>
      </c>
      <c r="O15" s="48">
        <f t="shared" si="3"/>
        <v>240</v>
      </c>
      <c r="P15" s="43">
        <f t="shared" si="4"/>
        <v>1454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109</v>
      </c>
      <c r="C16" s="7">
        <v>11</v>
      </c>
      <c r="D16" s="6"/>
      <c r="E16" s="29" t="s">
        <v>49</v>
      </c>
      <c r="F16" s="29"/>
      <c r="G16" s="8">
        <v>4</v>
      </c>
      <c r="H16" s="8">
        <v>0</v>
      </c>
      <c r="I16" s="11" t="s">
        <v>34</v>
      </c>
      <c r="J16" s="9">
        <f t="shared" si="0"/>
        <v>400</v>
      </c>
      <c r="K16" s="8">
        <v>0</v>
      </c>
      <c r="L16" s="8">
        <f t="shared" si="1"/>
        <v>400</v>
      </c>
      <c r="M16" s="44">
        <v>1293</v>
      </c>
      <c r="N16" s="42">
        <f t="shared" si="2"/>
        <v>1693</v>
      </c>
      <c r="O16" s="48">
        <f t="shared" si="3"/>
        <v>240</v>
      </c>
      <c r="P16" s="43">
        <f t="shared" si="4"/>
        <v>1453</v>
      </c>
      <c r="R16" t="s">
        <v>27</v>
      </c>
      <c r="S16">
        <v>5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122</v>
      </c>
      <c r="C17" s="7">
        <v>1</v>
      </c>
      <c r="D17" s="6"/>
      <c r="E17" s="29" t="s">
        <v>39</v>
      </c>
      <c r="F17" s="29"/>
      <c r="G17" s="8">
        <v>4</v>
      </c>
      <c r="H17" s="8">
        <v>0</v>
      </c>
      <c r="I17" s="11" t="s">
        <v>34</v>
      </c>
      <c r="J17" s="9">
        <f t="shared" si="0"/>
        <v>400</v>
      </c>
      <c r="K17" s="8">
        <v>0</v>
      </c>
      <c r="L17" s="8">
        <f t="shared" si="1"/>
        <v>400</v>
      </c>
      <c r="M17" s="44">
        <v>1284</v>
      </c>
      <c r="N17" s="42">
        <f t="shared" si="2"/>
        <v>1684</v>
      </c>
      <c r="O17" s="48">
        <f t="shared" si="3"/>
        <v>240</v>
      </c>
      <c r="P17" s="43">
        <f t="shared" si="4"/>
        <v>1444</v>
      </c>
      <c r="Q17" s="9"/>
      <c r="R17" t="s">
        <v>28</v>
      </c>
      <c r="S17">
        <v>9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109</v>
      </c>
      <c r="C18" s="7">
        <v>35</v>
      </c>
      <c r="D18" s="6"/>
      <c r="E18" s="29" t="s">
        <v>73</v>
      </c>
      <c r="F18" s="29"/>
      <c r="G18" s="8">
        <v>4</v>
      </c>
      <c r="H18" s="8">
        <v>0</v>
      </c>
      <c r="I18" s="11" t="s">
        <v>34</v>
      </c>
      <c r="J18" s="9">
        <f t="shared" si="0"/>
        <v>400</v>
      </c>
      <c r="K18" s="8">
        <v>0</v>
      </c>
      <c r="L18" s="8">
        <f t="shared" si="1"/>
        <v>400</v>
      </c>
      <c r="M18" s="44">
        <v>1269</v>
      </c>
      <c r="N18" s="42">
        <f t="shared" si="2"/>
        <v>1669</v>
      </c>
      <c r="O18" s="48">
        <f t="shared" si="3"/>
        <v>240</v>
      </c>
      <c r="P18" s="43">
        <f t="shared" si="4"/>
        <v>1429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121</v>
      </c>
      <c r="C19" s="7">
        <v>30</v>
      </c>
      <c r="D19" s="6"/>
      <c r="E19" s="29" t="s">
        <v>68</v>
      </c>
      <c r="F19" s="32"/>
      <c r="G19" s="8">
        <v>4</v>
      </c>
      <c r="H19" s="8">
        <v>0</v>
      </c>
      <c r="I19" s="12" t="s">
        <v>35</v>
      </c>
      <c r="J19" s="9">
        <f t="shared" si="0"/>
        <v>400</v>
      </c>
      <c r="K19" s="8">
        <v>0</v>
      </c>
      <c r="L19" s="8">
        <f t="shared" si="1"/>
        <v>400</v>
      </c>
      <c r="M19" s="44">
        <v>1266</v>
      </c>
      <c r="N19" s="42">
        <f t="shared" si="2"/>
        <v>1666</v>
      </c>
      <c r="O19" s="48">
        <f t="shared" si="3"/>
        <v>175</v>
      </c>
      <c r="P19" s="43">
        <f t="shared" si="4"/>
        <v>1491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123</v>
      </c>
      <c r="C20" s="7">
        <v>24</v>
      </c>
      <c r="D20" s="6"/>
      <c r="E20" s="29" t="s">
        <v>62</v>
      </c>
      <c r="F20" s="32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1260</v>
      </c>
      <c r="N20" s="42">
        <f t="shared" si="2"/>
        <v>1660</v>
      </c>
      <c r="O20" s="48">
        <f t="shared" si="3"/>
        <v>175</v>
      </c>
      <c r="P20" s="43">
        <f t="shared" si="4"/>
        <v>1485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109</v>
      </c>
      <c r="C21" s="7">
        <v>47</v>
      </c>
      <c r="D21" s="6"/>
      <c r="E21" s="29" t="s">
        <v>85</v>
      </c>
      <c r="F21" s="29"/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1251</v>
      </c>
      <c r="N21" s="42">
        <f t="shared" si="2"/>
        <v>1651</v>
      </c>
      <c r="O21" s="48">
        <f t="shared" si="3"/>
        <v>175</v>
      </c>
      <c r="P21" s="43">
        <f t="shared" si="4"/>
        <v>1476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110</v>
      </c>
      <c r="C22" s="7">
        <v>28</v>
      </c>
      <c r="D22" s="6"/>
      <c r="E22" s="29" t="s">
        <v>66</v>
      </c>
      <c r="F22" s="32"/>
      <c r="G22" s="8">
        <v>4</v>
      </c>
      <c r="H22" s="8">
        <v>0</v>
      </c>
      <c r="I22" s="12" t="s">
        <v>35</v>
      </c>
      <c r="J22" s="9">
        <f t="shared" si="0"/>
        <v>400</v>
      </c>
      <c r="K22" s="8">
        <v>0</v>
      </c>
      <c r="L22" s="8">
        <f t="shared" si="1"/>
        <v>400</v>
      </c>
      <c r="M22" s="44">
        <v>1247</v>
      </c>
      <c r="N22" s="42">
        <f t="shared" si="2"/>
        <v>1647</v>
      </c>
      <c r="O22" s="48">
        <f t="shared" si="3"/>
        <v>175</v>
      </c>
      <c r="P22" s="43">
        <f t="shared" si="4"/>
        <v>1472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119</v>
      </c>
      <c r="C23" s="7">
        <v>18</v>
      </c>
      <c r="D23" s="6"/>
      <c r="E23" s="29" t="s">
        <v>56</v>
      </c>
      <c r="F23" s="29"/>
      <c r="G23" s="8">
        <v>4</v>
      </c>
      <c r="H23" s="8">
        <v>0</v>
      </c>
      <c r="I23" s="12" t="s">
        <v>35</v>
      </c>
      <c r="J23" s="9">
        <f t="shared" si="0"/>
        <v>400</v>
      </c>
      <c r="K23" s="8">
        <v>0</v>
      </c>
      <c r="L23" s="8">
        <f t="shared" si="1"/>
        <v>400</v>
      </c>
      <c r="M23" s="44">
        <v>1243</v>
      </c>
      <c r="N23" s="42">
        <f t="shared" si="2"/>
        <v>1643</v>
      </c>
      <c r="O23" s="48">
        <f t="shared" si="3"/>
        <v>175</v>
      </c>
      <c r="P23" s="43">
        <f t="shared" si="4"/>
        <v>1468</v>
      </c>
      <c r="Q23" s="1"/>
    </row>
    <row r="24" spans="1:27" ht="18.75">
      <c r="A24" s="7">
        <v>1</v>
      </c>
      <c r="B24" s="7" t="s">
        <v>116</v>
      </c>
      <c r="C24" s="7">
        <v>63</v>
      </c>
      <c r="D24" s="6"/>
      <c r="E24" s="29" t="s">
        <v>101</v>
      </c>
      <c r="G24" s="8">
        <v>3</v>
      </c>
      <c r="H24" s="8">
        <v>0</v>
      </c>
      <c r="I24" s="12" t="s">
        <v>35</v>
      </c>
      <c r="J24" s="9">
        <f t="shared" si="0"/>
        <v>300</v>
      </c>
      <c r="K24" s="8">
        <v>0</v>
      </c>
      <c r="L24" s="8">
        <f t="shared" si="1"/>
        <v>300</v>
      </c>
      <c r="M24" s="44">
        <v>1336</v>
      </c>
      <c r="N24" s="42">
        <f t="shared" si="2"/>
        <v>1636</v>
      </c>
      <c r="O24" s="48">
        <f t="shared" si="3"/>
        <v>175</v>
      </c>
      <c r="P24" s="43">
        <f t="shared" si="4"/>
        <v>1461</v>
      </c>
      <c r="Q24" s="1"/>
    </row>
    <row r="25" spans="1:27" ht="18.75">
      <c r="A25" s="7">
        <v>1</v>
      </c>
      <c r="B25" s="7" t="s">
        <v>111</v>
      </c>
      <c r="C25" s="7">
        <v>40</v>
      </c>
      <c r="D25" s="6"/>
      <c r="E25" s="30" t="s">
        <v>78</v>
      </c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1236</v>
      </c>
      <c r="N25" s="42">
        <f t="shared" si="2"/>
        <v>1636</v>
      </c>
      <c r="O25" s="48">
        <f t="shared" si="3"/>
        <v>175</v>
      </c>
      <c r="P25" s="43">
        <f t="shared" si="4"/>
        <v>1461</v>
      </c>
      <c r="Q25" s="1"/>
    </row>
    <row r="26" spans="1:27" ht="18.75" customHeight="1">
      <c r="A26" s="7">
        <v>1</v>
      </c>
      <c r="B26" s="7" t="s">
        <v>114</v>
      </c>
      <c r="C26" s="7">
        <v>58</v>
      </c>
      <c r="D26" s="6"/>
      <c r="E26" s="29" t="s">
        <v>96</v>
      </c>
      <c r="G26" s="8">
        <v>3</v>
      </c>
      <c r="H26" s="8">
        <v>0</v>
      </c>
      <c r="I26" s="12" t="s">
        <v>35</v>
      </c>
      <c r="J26" s="9">
        <f t="shared" si="0"/>
        <v>300</v>
      </c>
      <c r="K26" s="8">
        <v>0</v>
      </c>
      <c r="L26" s="8">
        <f t="shared" si="1"/>
        <v>300</v>
      </c>
      <c r="M26" s="44">
        <v>1329</v>
      </c>
      <c r="N26" s="42">
        <f t="shared" si="2"/>
        <v>1629</v>
      </c>
      <c r="O26" s="48">
        <f t="shared" si="3"/>
        <v>175</v>
      </c>
      <c r="P26" s="43">
        <f t="shared" si="4"/>
        <v>1454</v>
      </c>
      <c r="Q26" s="1"/>
    </row>
    <row r="27" spans="1:27" ht="18.75">
      <c r="A27" s="7">
        <v>1</v>
      </c>
      <c r="B27" s="7" t="s">
        <v>110</v>
      </c>
      <c r="C27" s="7">
        <v>62</v>
      </c>
      <c r="D27" s="6"/>
      <c r="E27" s="29" t="s">
        <v>100</v>
      </c>
      <c r="F27" s="29"/>
      <c r="G27" s="8">
        <v>3</v>
      </c>
      <c r="H27" s="8">
        <v>0</v>
      </c>
      <c r="I27" s="12" t="s">
        <v>35</v>
      </c>
      <c r="J27" s="9">
        <f t="shared" si="0"/>
        <v>300</v>
      </c>
      <c r="K27" s="8">
        <v>0</v>
      </c>
      <c r="L27" s="8">
        <f t="shared" si="1"/>
        <v>300</v>
      </c>
      <c r="M27" s="44">
        <v>1323</v>
      </c>
      <c r="N27" s="42">
        <f t="shared" si="2"/>
        <v>1623</v>
      </c>
      <c r="O27" s="48">
        <f t="shared" si="3"/>
        <v>175</v>
      </c>
      <c r="P27" s="43">
        <f t="shared" si="4"/>
        <v>1448</v>
      </c>
      <c r="Q27" s="1"/>
    </row>
    <row r="28" spans="1:27" ht="18.75">
      <c r="A28" s="7">
        <v>1</v>
      </c>
      <c r="B28" s="7" t="s">
        <v>114</v>
      </c>
      <c r="C28" s="7">
        <v>52</v>
      </c>
      <c r="D28" s="6"/>
      <c r="E28" s="29" t="s">
        <v>90</v>
      </c>
      <c r="G28" s="8">
        <v>4</v>
      </c>
      <c r="H28" s="8">
        <v>0</v>
      </c>
      <c r="I28" s="12" t="s">
        <v>35</v>
      </c>
      <c r="J28" s="9">
        <f t="shared" si="0"/>
        <v>400</v>
      </c>
      <c r="K28" s="8">
        <v>0</v>
      </c>
      <c r="L28" s="8">
        <f t="shared" si="1"/>
        <v>400</v>
      </c>
      <c r="M28" s="44">
        <v>1217</v>
      </c>
      <c r="N28" s="42">
        <f t="shared" si="2"/>
        <v>1617</v>
      </c>
      <c r="O28" s="48">
        <f t="shared" si="3"/>
        <v>175</v>
      </c>
      <c r="P28" s="43">
        <f t="shared" si="4"/>
        <v>1442</v>
      </c>
      <c r="Q28" s="1"/>
    </row>
    <row r="29" spans="1:27" s="1" customFormat="1" ht="18.75">
      <c r="A29" s="7">
        <v>1</v>
      </c>
      <c r="B29" s="7" t="s">
        <v>122</v>
      </c>
      <c r="C29" s="7">
        <v>43</v>
      </c>
      <c r="D29" s="6"/>
      <c r="E29" s="29" t="s">
        <v>81</v>
      </c>
      <c r="F29" s="31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1215</v>
      </c>
      <c r="N29" s="42">
        <f t="shared" si="2"/>
        <v>1615</v>
      </c>
      <c r="O29" s="48">
        <f t="shared" si="3"/>
        <v>175</v>
      </c>
      <c r="P29" s="43">
        <f t="shared" si="4"/>
        <v>1440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120</v>
      </c>
      <c r="C30" s="7">
        <v>29</v>
      </c>
      <c r="D30" s="6"/>
      <c r="E30" s="29" t="s">
        <v>67</v>
      </c>
      <c r="F30" s="32"/>
      <c r="G30" s="8">
        <v>3</v>
      </c>
      <c r="H30" s="8">
        <v>0</v>
      </c>
      <c r="I30" s="12" t="s">
        <v>35</v>
      </c>
      <c r="J30" s="9">
        <f t="shared" si="0"/>
        <v>300</v>
      </c>
      <c r="K30" s="8">
        <v>0</v>
      </c>
      <c r="L30" s="8">
        <f t="shared" si="1"/>
        <v>300</v>
      </c>
      <c r="M30" s="44">
        <v>1314</v>
      </c>
      <c r="N30" s="42">
        <f t="shared" si="2"/>
        <v>1614</v>
      </c>
      <c r="O30" s="48">
        <f t="shared" si="3"/>
        <v>175</v>
      </c>
      <c r="P30" s="43">
        <f t="shared" si="4"/>
        <v>1439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109</v>
      </c>
      <c r="C31" s="7">
        <v>22</v>
      </c>
      <c r="D31" s="6"/>
      <c r="E31" s="29" t="s">
        <v>60</v>
      </c>
      <c r="F31" s="32"/>
      <c r="G31" s="8">
        <v>3</v>
      </c>
      <c r="H31" s="8">
        <v>0</v>
      </c>
      <c r="I31" s="12" t="s">
        <v>35</v>
      </c>
      <c r="J31" s="9">
        <f t="shared" si="0"/>
        <v>300</v>
      </c>
      <c r="K31" s="8">
        <v>0</v>
      </c>
      <c r="L31" s="8">
        <f t="shared" si="1"/>
        <v>300</v>
      </c>
      <c r="M31" s="44">
        <v>1313</v>
      </c>
      <c r="N31" s="42">
        <f t="shared" si="2"/>
        <v>1613</v>
      </c>
      <c r="O31" s="48">
        <f t="shared" si="3"/>
        <v>175</v>
      </c>
      <c r="P31" s="43">
        <f t="shared" si="4"/>
        <v>1438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109</v>
      </c>
      <c r="C32" s="7">
        <v>49</v>
      </c>
      <c r="D32" s="6"/>
      <c r="E32" s="29" t="s">
        <v>87</v>
      </c>
      <c r="F32" s="29"/>
      <c r="G32" s="8">
        <v>3</v>
      </c>
      <c r="H32" s="8">
        <v>0</v>
      </c>
      <c r="I32" s="12" t="s">
        <v>35</v>
      </c>
      <c r="J32" s="9">
        <f t="shared" si="0"/>
        <v>300</v>
      </c>
      <c r="K32" s="8">
        <v>0</v>
      </c>
      <c r="L32" s="8">
        <f t="shared" si="1"/>
        <v>300</v>
      </c>
      <c r="M32" s="44">
        <v>1297</v>
      </c>
      <c r="N32" s="42">
        <f t="shared" si="2"/>
        <v>1597</v>
      </c>
      <c r="O32" s="48">
        <f t="shared" si="3"/>
        <v>175</v>
      </c>
      <c r="P32" s="43">
        <f t="shared" si="4"/>
        <v>1422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109</v>
      </c>
      <c r="C33" s="7">
        <v>55</v>
      </c>
      <c r="D33" s="6"/>
      <c r="E33" s="29" t="s">
        <v>106</v>
      </c>
      <c r="G33" s="8">
        <v>3</v>
      </c>
      <c r="H33" s="8">
        <v>0</v>
      </c>
      <c r="I33" s="12" t="s">
        <v>35</v>
      </c>
      <c r="J33" s="9">
        <f t="shared" si="0"/>
        <v>300</v>
      </c>
      <c r="K33" s="8">
        <v>0</v>
      </c>
      <c r="L33" s="8">
        <f t="shared" si="1"/>
        <v>300</v>
      </c>
      <c r="M33" s="44">
        <v>1294</v>
      </c>
      <c r="N33" s="42">
        <f t="shared" si="2"/>
        <v>1594</v>
      </c>
      <c r="O33" s="48">
        <f t="shared" si="3"/>
        <v>175</v>
      </c>
      <c r="P33" s="43">
        <f t="shared" si="4"/>
        <v>1419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122</v>
      </c>
      <c r="C34" s="7">
        <v>5</v>
      </c>
      <c r="D34" s="6"/>
      <c r="E34" s="29" t="s">
        <v>43</v>
      </c>
      <c r="F34" s="29"/>
      <c r="G34" s="8">
        <v>3</v>
      </c>
      <c r="H34" s="8">
        <v>0</v>
      </c>
      <c r="I34" s="12" t="s">
        <v>35</v>
      </c>
      <c r="J34" s="9">
        <f t="shared" si="0"/>
        <v>300</v>
      </c>
      <c r="K34" s="8">
        <v>0</v>
      </c>
      <c r="L34" s="8">
        <f t="shared" si="1"/>
        <v>300</v>
      </c>
      <c r="M34" s="44">
        <v>1292</v>
      </c>
      <c r="N34" s="42">
        <f t="shared" si="2"/>
        <v>1592</v>
      </c>
      <c r="O34" s="48">
        <f t="shared" si="3"/>
        <v>175</v>
      </c>
      <c r="P34" s="43">
        <f t="shared" si="4"/>
        <v>1417</v>
      </c>
      <c r="Q34" s="21"/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113</v>
      </c>
      <c r="C35" s="7">
        <v>37</v>
      </c>
      <c r="D35" s="6"/>
      <c r="E35" s="29" t="s">
        <v>75</v>
      </c>
      <c r="G35" s="8">
        <v>3</v>
      </c>
      <c r="H35" s="8">
        <v>0</v>
      </c>
      <c r="I35" s="12" t="s">
        <v>35</v>
      </c>
      <c r="J35" s="9">
        <f t="shared" si="0"/>
        <v>300</v>
      </c>
      <c r="K35" s="8">
        <v>0</v>
      </c>
      <c r="L35" s="8">
        <f t="shared" si="1"/>
        <v>300</v>
      </c>
      <c r="M35" s="44">
        <v>1271</v>
      </c>
      <c r="N35" s="42">
        <f t="shared" si="2"/>
        <v>1571</v>
      </c>
      <c r="O35" s="48">
        <f t="shared" si="3"/>
        <v>175</v>
      </c>
      <c r="P35" s="43">
        <f t="shared" si="4"/>
        <v>1396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110</v>
      </c>
      <c r="C36" s="7">
        <v>42</v>
      </c>
      <c r="D36" s="6"/>
      <c r="E36" s="29" t="s">
        <v>80</v>
      </c>
      <c r="F36" s="32"/>
      <c r="G36" s="8">
        <v>3</v>
      </c>
      <c r="H36" s="8">
        <v>0</v>
      </c>
      <c r="I36" s="12" t="s">
        <v>35</v>
      </c>
      <c r="J36" s="9">
        <f t="shared" si="0"/>
        <v>300</v>
      </c>
      <c r="K36" s="8">
        <v>0</v>
      </c>
      <c r="L36" s="8">
        <f t="shared" si="1"/>
        <v>300</v>
      </c>
      <c r="M36" s="44">
        <v>1271</v>
      </c>
      <c r="N36" s="42">
        <f t="shared" si="2"/>
        <v>1571</v>
      </c>
      <c r="O36" s="48">
        <f t="shared" si="3"/>
        <v>175</v>
      </c>
      <c r="P36" s="43">
        <f t="shared" si="4"/>
        <v>1396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120</v>
      </c>
      <c r="C37" s="7">
        <v>13</v>
      </c>
      <c r="D37" s="6"/>
      <c r="E37" s="29" t="s">
        <v>51</v>
      </c>
      <c r="F37" s="29"/>
      <c r="G37" s="8">
        <v>3</v>
      </c>
      <c r="H37" s="8">
        <v>0</v>
      </c>
      <c r="I37" s="12" t="s">
        <v>35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1233</v>
      </c>
      <c r="N37" s="42">
        <f t="shared" ref="N37:N68" si="7">M37+L37</f>
        <v>1533</v>
      </c>
      <c r="O37" s="48">
        <f t="shared" ref="O37:O69" si="8">VLOOKUP(I37,$R$3:$S$10,2,FALSE)</f>
        <v>175</v>
      </c>
      <c r="P37" s="43">
        <f t="shared" ref="P37:P68" si="9">IF(N37-O37&gt;0,N37-O37,0)</f>
        <v>1358</v>
      </c>
      <c r="Q37" s="1"/>
    </row>
    <row r="38" spans="1:27" s="1" customFormat="1" ht="18.75">
      <c r="A38" s="7">
        <v>1</v>
      </c>
      <c r="B38" s="7"/>
      <c r="C38" s="7">
        <v>10</v>
      </c>
      <c r="D38" s="6"/>
      <c r="E38" s="29" t="s">
        <v>48</v>
      </c>
      <c r="F38" s="31"/>
      <c r="G38" s="8">
        <v>2</v>
      </c>
      <c r="H38" s="8">
        <v>0</v>
      </c>
      <c r="I38" s="12" t="s">
        <v>35</v>
      </c>
      <c r="J38" s="9">
        <f t="shared" si="5"/>
        <v>200</v>
      </c>
      <c r="K38" s="8">
        <v>0</v>
      </c>
      <c r="L38" s="8">
        <f t="shared" si="6"/>
        <v>200</v>
      </c>
      <c r="M38" s="44">
        <v>1327</v>
      </c>
      <c r="N38" s="42">
        <f t="shared" si="7"/>
        <v>1527</v>
      </c>
      <c r="O38" s="48">
        <f t="shared" si="8"/>
        <v>175</v>
      </c>
      <c r="P38" s="43">
        <f t="shared" si="9"/>
        <v>1352</v>
      </c>
      <c r="Q38" s="21"/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120</v>
      </c>
      <c r="C39" s="7">
        <v>6</v>
      </c>
      <c r="D39" s="6"/>
      <c r="E39" s="29" t="s">
        <v>44</v>
      </c>
      <c r="F39" s="29"/>
      <c r="G39" s="8">
        <v>4</v>
      </c>
      <c r="H39" s="8">
        <v>0</v>
      </c>
      <c r="I39" s="12" t="s">
        <v>35</v>
      </c>
      <c r="J39" s="9">
        <f t="shared" si="5"/>
        <v>400</v>
      </c>
      <c r="K39" s="8">
        <v>0</v>
      </c>
      <c r="L39" s="8">
        <f t="shared" si="6"/>
        <v>400</v>
      </c>
      <c r="M39" s="44">
        <v>1064</v>
      </c>
      <c r="N39" s="42">
        <f t="shared" si="7"/>
        <v>1464</v>
      </c>
      <c r="O39" s="48">
        <f t="shared" si="8"/>
        <v>175</v>
      </c>
      <c r="P39" s="43">
        <f t="shared" si="9"/>
        <v>1289</v>
      </c>
      <c r="Q39" s="15"/>
    </row>
    <row r="40" spans="1:27" ht="18.75">
      <c r="A40" s="7">
        <v>1</v>
      </c>
      <c r="B40" s="7" t="s">
        <v>113</v>
      </c>
      <c r="C40" s="7">
        <v>64</v>
      </c>
      <c r="D40" s="6"/>
      <c r="E40" s="29" t="s">
        <v>102</v>
      </c>
      <c r="F40" s="29"/>
      <c r="G40" s="8">
        <v>4</v>
      </c>
      <c r="H40" s="8">
        <v>0</v>
      </c>
      <c r="I40" s="12" t="s">
        <v>35</v>
      </c>
      <c r="J40" s="9">
        <f t="shared" si="5"/>
        <v>400</v>
      </c>
      <c r="K40" s="8">
        <v>0</v>
      </c>
      <c r="L40" s="8">
        <f t="shared" si="6"/>
        <v>400</v>
      </c>
      <c r="M40" s="44">
        <v>1019</v>
      </c>
      <c r="N40" s="42">
        <f t="shared" si="7"/>
        <v>1419</v>
      </c>
      <c r="O40" s="48">
        <f t="shared" si="8"/>
        <v>175</v>
      </c>
      <c r="P40" s="43">
        <f t="shared" si="9"/>
        <v>1244</v>
      </c>
      <c r="Q40" s="1"/>
    </row>
    <row r="41" spans="1:27" ht="18.75">
      <c r="A41" s="7">
        <v>1</v>
      </c>
      <c r="B41" s="7" t="s">
        <v>112</v>
      </c>
      <c r="C41" s="7">
        <v>15</v>
      </c>
      <c r="D41" s="6"/>
      <c r="E41" s="29" t="s">
        <v>53</v>
      </c>
      <c r="F41" s="29"/>
      <c r="G41" s="8">
        <v>3</v>
      </c>
      <c r="H41" s="8">
        <v>0</v>
      </c>
      <c r="I41" s="12" t="s">
        <v>35</v>
      </c>
      <c r="J41" s="9">
        <f t="shared" si="5"/>
        <v>300</v>
      </c>
      <c r="K41" s="8">
        <v>0</v>
      </c>
      <c r="L41" s="8">
        <f t="shared" si="6"/>
        <v>300</v>
      </c>
      <c r="M41" s="44">
        <v>1117</v>
      </c>
      <c r="N41" s="42">
        <f t="shared" si="7"/>
        <v>1417</v>
      </c>
      <c r="O41" s="48">
        <f t="shared" si="8"/>
        <v>175</v>
      </c>
      <c r="P41" s="43">
        <f t="shared" si="9"/>
        <v>1242</v>
      </c>
      <c r="Q41" s="1"/>
    </row>
    <row r="42" spans="1:27" ht="18.75">
      <c r="A42" s="7">
        <v>1</v>
      </c>
      <c r="B42" s="7" t="s">
        <v>118</v>
      </c>
      <c r="C42" s="7">
        <v>50</v>
      </c>
      <c r="D42" s="6"/>
      <c r="E42" s="29" t="s">
        <v>88</v>
      </c>
      <c r="F42" s="29"/>
      <c r="G42" s="8">
        <v>2</v>
      </c>
      <c r="H42" s="8">
        <v>0</v>
      </c>
      <c r="I42" s="12" t="s">
        <v>35</v>
      </c>
      <c r="J42" s="9">
        <f t="shared" si="5"/>
        <v>200</v>
      </c>
      <c r="K42" s="8">
        <v>0</v>
      </c>
      <c r="L42" s="8">
        <f t="shared" si="6"/>
        <v>200</v>
      </c>
      <c r="M42" s="44">
        <v>1166</v>
      </c>
      <c r="N42" s="42">
        <f t="shared" si="7"/>
        <v>1366</v>
      </c>
      <c r="O42" s="48">
        <f t="shared" si="8"/>
        <v>175</v>
      </c>
      <c r="P42" s="43">
        <f t="shared" si="9"/>
        <v>1191</v>
      </c>
      <c r="Q42" s="1"/>
    </row>
    <row r="43" spans="1:27" ht="18.75">
      <c r="A43" s="7">
        <v>1</v>
      </c>
      <c r="B43" s="7" t="s">
        <v>113</v>
      </c>
      <c r="C43" s="7">
        <v>25</v>
      </c>
      <c r="D43" s="6"/>
      <c r="E43" s="29" t="s">
        <v>63</v>
      </c>
      <c r="F43" s="32"/>
      <c r="G43" s="8">
        <v>4</v>
      </c>
      <c r="H43" s="8">
        <v>0</v>
      </c>
      <c r="I43" s="12" t="s">
        <v>35</v>
      </c>
      <c r="J43" s="9">
        <f t="shared" si="5"/>
        <v>400</v>
      </c>
      <c r="K43" s="8">
        <v>0</v>
      </c>
      <c r="L43" s="8">
        <f t="shared" si="6"/>
        <v>400</v>
      </c>
      <c r="M43" s="44">
        <v>950</v>
      </c>
      <c r="N43" s="42">
        <f t="shared" si="7"/>
        <v>1350</v>
      </c>
      <c r="O43" s="48">
        <f t="shared" si="8"/>
        <v>175</v>
      </c>
      <c r="P43" s="43">
        <f t="shared" si="9"/>
        <v>1175</v>
      </c>
      <c r="Q43" s="1"/>
    </row>
    <row r="44" spans="1:27" ht="18.75">
      <c r="A44" s="7">
        <v>1</v>
      </c>
      <c r="B44" s="7" t="s">
        <v>121</v>
      </c>
      <c r="C44" s="7">
        <v>4</v>
      </c>
      <c r="D44" s="6"/>
      <c r="E44" s="29" t="s">
        <v>42</v>
      </c>
      <c r="F44" s="29"/>
      <c r="G44" s="8">
        <v>2</v>
      </c>
      <c r="H44" s="8">
        <v>0</v>
      </c>
      <c r="I44" s="12" t="s">
        <v>35</v>
      </c>
      <c r="J44" s="9">
        <f t="shared" si="5"/>
        <v>200</v>
      </c>
      <c r="K44" s="8">
        <v>0</v>
      </c>
      <c r="L44" s="8">
        <f t="shared" si="6"/>
        <v>200</v>
      </c>
      <c r="M44" s="44">
        <v>1119</v>
      </c>
      <c r="N44" s="42">
        <f t="shared" si="7"/>
        <v>1319</v>
      </c>
      <c r="O44" s="48">
        <f t="shared" si="8"/>
        <v>175</v>
      </c>
      <c r="P44" s="43">
        <f t="shared" si="9"/>
        <v>1144</v>
      </c>
      <c r="Q44" s="9"/>
    </row>
    <row r="45" spans="1:27" ht="18.75">
      <c r="A45" s="7">
        <v>1</v>
      </c>
      <c r="B45" s="7" t="s">
        <v>112</v>
      </c>
      <c r="C45" s="7">
        <v>53</v>
      </c>
      <c r="D45" s="6"/>
      <c r="E45" s="29" t="s">
        <v>91</v>
      </c>
      <c r="F45" s="29"/>
      <c r="G45" s="8">
        <v>2</v>
      </c>
      <c r="H45" s="8">
        <v>0</v>
      </c>
      <c r="I45" s="12" t="s">
        <v>35</v>
      </c>
      <c r="J45" s="9">
        <f t="shared" si="5"/>
        <v>200</v>
      </c>
      <c r="K45" s="8">
        <v>0</v>
      </c>
      <c r="L45" s="8">
        <f t="shared" si="6"/>
        <v>200</v>
      </c>
      <c r="M45" s="44">
        <v>1110</v>
      </c>
      <c r="N45" s="42">
        <f t="shared" si="7"/>
        <v>1310</v>
      </c>
      <c r="O45" s="48">
        <f t="shared" si="8"/>
        <v>175</v>
      </c>
      <c r="P45" s="43">
        <f t="shared" si="9"/>
        <v>1135</v>
      </c>
      <c r="Q45" s="1"/>
    </row>
    <row r="46" spans="1:27" ht="18.75">
      <c r="A46" s="7">
        <v>1</v>
      </c>
      <c r="B46" s="7" t="s">
        <v>115</v>
      </c>
      <c r="C46" s="7">
        <v>56</v>
      </c>
      <c r="D46" s="6"/>
      <c r="E46" s="29" t="s">
        <v>94</v>
      </c>
      <c r="F46" s="29"/>
      <c r="G46" s="8">
        <v>3</v>
      </c>
      <c r="H46" s="8">
        <v>0</v>
      </c>
      <c r="I46" s="12" t="s">
        <v>35</v>
      </c>
      <c r="J46" s="9">
        <f t="shared" si="5"/>
        <v>300</v>
      </c>
      <c r="K46" s="8">
        <v>0</v>
      </c>
      <c r="L46" s="8">
        <f t="shared" si="6"/>
        <v>300</v>
      </c>
      <c r="M46" s="44">
        <v>1001</v>
      </c>
      <c r="N46" s="42">
        <f t="shared" si="7"/>
        <v>1301</v>
      </c>
      <c r="O46" s="48">
        <f t="shared" si="8"/>
        <v>175</v>
      </c>
      <c r="P46" s="43">
        <f t="shared" si="9"/>
        <v>1126</v>
      </c>
      <c r="Q46" s="1"/>
    </row>
    <row r="47" spans="1:27" ht="18.75">
      <c r="A47" s="7">
        <v>1</v>
      </c>
      <c r="B47" s="7" t="s">
        <v>110</v>
      </c>
      <c r="C47" s="7">
        <v>54</v>
      </c>
      <c r="D47" s="6"/>
      <c r="E47" s="29" t="s">
        <v>92</v>
      </c>
      <c r="G47" s="8">
        <v>4</v>
      </c>
      <c r="H47" s="8">
        <v>0</v>
      </c>
      <c r="I47" s="12" t="s">
        <v>35</v>
      </c>
      <c r="J47" s="9">
        <f t="shared" si="5"/>
        <v>400</v>
      </c>
      <c r="K47" s="8">
        <v>0</v>
      </c>
      <c r="L47" s="8">
        <f t="shared" si="6"/>
        <v>400</v>
      </c>
      <c r="M47" s="44">
        <v>875</v>
      </c>
      <c r="N47" s="42">
        <f t="shared" si="7"/>
        <v>1275</v>
      </c>
      <c r="O47" s="48">
        <f t="shared" si="8"/>
        <v>175</v>
      </c>
      <c r="P47" s="43">
        <f t="shared" si="9"/>
        <v>1100</v>
      </c>
      <c r="Q47" s="1"/>
    </row>
    <row r="48" spans="1:27" ht="18.75">
      <c r="A48" s="7">
        <v>1</v>
      </c>
      <c r="B48" s="7" t="s">
        <v>115</v>
      </c>
      <c r="C48" s="7">
        <v>26</v>
      </c>
      <c r="D48" s="6"/>
      <c r="E48" s="29" t="s">
        <v>64</v>
      </c>
      <c r="F48" s="32"/>
      <c r="G48" s="8">
        <v>3</v>
      </c>
      <c r="H48" s="8">
        <v>0</v>
      </c>
      <c r="I48" s="12" t="s">
        <v>35</v>
      </c>
      <c r="J48" s="9">
        <f t="shared" si="5"/>
        <v>300</v>
      </c>
      <c r="K48" s="8">
        <v>0</v>
      </c>
      <c r="L48" s="8">
        <f t="shared" si="6"/>
        <v>300</v>
      </c>
      <c r="M48" s="44">
        <v>919</v>
      </c>
      <c r="N48" s="42">
        <f t="shared" si="7"/>
        <v>1219</v>
      </c>
      <c r="O48" s="48">
        <f t="shared" si="8"/>
        <v>175</v>
      </c>
      <c r="P48" s="43">
        <f t="shared" si="9"/>
        <v>1044</v>
      </c>
    </row>
    <row r="49" spans="1:17" ht="18.75">
      <c r="A49" s="7">
        <v>1</v>
      </c>
      <c r="B49" s="7" t="s">
        <v>118</v>
      </c>
      <c r="C49" s="7">
        <v>16</v>
      </c>
      <c r="D49" s="6"/>
      <c r="E49" s="29" t="s">
        <v>54</v>
      </c>
      <c r="F49" s="32"/>
      <c r="G49" s="8">
        <v>4</v>
      </c>
      <c r="H49" s="8">
        <v>0</v>
      </c>
      <c r="I49" s="12" t="s">
        <v>35</v>
      </c>
      <c r="J49" s="9">
        <f t="shared" si="5"/>
        <v>400</v>
      </c>
      <c r="K49" s="8">
        <v>0</v>
      </c>
      <c r="L49" s="8">
        <f t="shared" si="6"/>
        <v>400</v>
      </c>
      <c r="M49" s="44">
        <v>810</v>
      </c>
      <c r="N49" s="42">
        <f t="shared" si="7"/>
        <v>1210</v>
      </c>
      <c r="O49" s="48">
        <f t="shared" si="8"/>
        <v>175</v>
      </c>
      <c r="P49" s="43">
        <f t="shared" si="9"/>
        <v>1035</v>
      </c>
    </row>
    <row r="50" spans="1:17" ht="18.75">
      <c r="A50" s="7">
        <v>1</v>
      </c>
      <c r="B50" s="7" t="s">
        <v>126</v>
      </c>
      <c r="C50" s="7">
        <v>41</v>
      </c>
      <c r="D50" s="6"/>
      <c r="E50" s="29" t="s">
        <v>79</v>
      </c>
      <c r="F50" s="32"/>
      <c r="G50" s="8">
        <v>4</v>
      </c>
      <c r="H50" s="8">
        <v>0</v>
      </c>
      <c r="I50" s="12" t="s">
        <v>35</v>
      </c>
      <c r="J50" s="9">
        <f t="shared" si="5"/>
        <v>400</v>
      </c>
      <c r="K50" s="8">
        <v>0</v>
      </c>
      <c r="L50" s="8">
        <f t="shared" si="6"/>
        <v>400</v>
      </c>
      <c r="M50" s="44">
        <v>801</v>
      </c>
      <c r="N50" s="42">
        <f t="shared" si="7"/>
        <v>1201</v>
      </c>
      <c r="O50" s="48">
        <f t="shared" si="8"/>
        <v>175</v>
      </c>
      <c r="P50" s="43">
        <f t="shared" si="9"/>
        <v>1026</v>
      </c>
    </row>
    <row r="51" spans="1:17" ht="18.75">
      <c r="A51" s="7">
        <v>1</v>
      </c>
      <c r="B51" s="7" t="s">
        <v>109</v>
      </c>
      <c r="C51" s="7">
        <v>39</v>
      </c>
      <c r="D51" s="6"/>
      <c r="E51" s="29" t="s">
        <v>77</v>
      </c>
      <c r="F51" s="29"/>
      <c r="G51" s="8">
        <v>3</v>
      </c>
      <c r="H51" s="8">
        <v>0</v>
      </c>
      <c r="I51" s="12" t="s">
        <v>35</v>
      </c>
      <c r="J51" s="9">
        <f t="shared" si="5"/>
        <v>300</v>
      </c>
      <c r="K51" s="8">
        <v>0</v>
      </c>
      <c r="L51" s="8">
        <f t="shared" si="6"/>
        <v>300</v>
      </c>
      <c r="M51" s="44">
        <v>900</v>
      </c>
      <c r="N51" s="42">
        <f t="shared" si="7"/>
        <v>1200</v>
      </c>
      <c r="O51" s="48">
        <f t="shared" si="8"/>
        <v>175</v>
      </c>
      <c r="P51" s="43">
        <f t="shared" si="9"/>
        <v>1025</v>
      </c>
    </row>
    <row r="52" spans="1:17" ht="18.75">
      <c r="A52" s="7">
        <v>1</v>
      </c>
      <c r="B52" s="7" t="s">
        <v>114</v>
      </c>
      <c r="C52" s="7">
        <v>33</v>
      </c>
      <c r="D52" s="6"/>
      <c r="E52" s="29" t="s">
        <v>71</v>
      </c>
      <c r="F52" s="29"/>
      <c r="G52" s="8">
        <v>3</v>
      </c>
      <c r="H52" s="8">
        <v>0</v>
      </c>
      <c r="I52" s="12" t="s">
        <v>35</v>
      </c>
      <c r="J52" s="9">
        <f t="shared" si="5"/>
        <v>300</v>
      </c>
      <c r="K52" s="8">
        <v>0</v>
      </c>
      <c r="L52" s="8">
        <f t="shared" si="6"/>
        <v>300</v>
      </c>
      <c r="M52" s="44">
        <v>703</v>
      </c>
      <c r="N52" s="42">
        <f t="shared" si="7"/>
        <v>1003</v>
      </c>
      <c r="O52" s="48">
        <f t="shared" si="8"/>
        <v>175</v>
      </c>
      <c r="P52" s="43">
        <f t="shared" si="9"/>
        <v>828</v>
      </c>
    </row>
    <row r="53" spans="1:17" ht="18.75">
      <c r="A53" s="7">
        <v>1</v>
      </c>
      <c r="B53" s="7" t="s">
        <v>117</v>
      </c>
      <c r="C53" s="7">
        <v>9</v>
      </c>
      <c r="D53" s="6"/>
      <c r="E53" s="29" t="s">
        <v>47</v>
      </c>
      <c r="F53" s="33"/>
      <c r="G53" s="8">
        <v>0</v>
      </c>
      <c r="H53" s="8">
        <v>0</v>
      </c>
      <c r="I53" s="27" t="s">
        <v>23</v>
      </c>
      <c r="J53" s="9">
        <f t="shared" si="5"/>
        <v>0</v>
      </c>
      <c r="K53" s="8">
        <v>0</v>
      </c>
      <c r="L53" s="8">
        <f t="shared" si="6"/>
        <v>0</v>
      </c>
      <c r="M53" s="44">
        <v>961</v>
      </c>
      <c r="N53" s="42">
        <f t="shared" si="7"/>
        <v>961</v>
      </c>
      <c r="O53" s="48">
        <f t="shared" si="8"/>
        <v>0</v>
      </c>
      <c r="P53" s="43">
        <f t="shared" si="9"/>
        <v>961</v>
      </c>
      <c r="Q53" s="45"/>
    </row>
    <row r="54" spans="1:17" ht="18.75">
      <c r="A54" s="7">
        <v>1</v>
      </c>
      <c r="B54" s="7" t="s">
        <v>123</v>
      </c>
      <c r="C54" s="7">
        <v>23</v>
      </c>
      <c r="D54" s="6"/>
      <c r="E54" s="29" t="s">
        <v>61</v>
      </c>
      <c r="F54" s="32"/>
      <c r="G54" s="8">
        <v>0</v>
      </c>
      <c r="H54" s="8">
        <v>0</v>
      </c>
      <c r="I54" s="27" t="s">
        <v>23</v>
      </c>
      <c r="J54" s="9">
        <f t="shared" si="5"/>
        <v>0</v>
      </c>
      <c r="K54" s="8">
        <v>0</v>
      </c>
      <c r="L54" s="8">
        <f t="shared" si="6"/>
        <v>0</v>
      </c>
      <c r="M54" s="44">
        <v>951</v>
      </c>
      <c r="N54" s="42">
        <f t="shared" si="7"/>
        <v>951</v>
      </c>
      <c r="O54" s="48">
        <f t="shared" si="8"/>
        <v>0</v>
      </c>
      <c r="P54" s="43">
        <f t="shared" si="9"/>
        <v>951</v>
      </c>
    </row>
    <row r="55" spans="1:17" ht="18.75">
      <c r="A55" s="7">
        <v>1</v>
      </c>
      <c r="B55" s="7" t="s">
        <v>108</v>
      </c>
      <c r="C55" s="7">
        <v>38</v>
      </c>
      <c r="D55" s="6"/>
      <c r="E55" s="29" t="s">
        <v>76</v>
      </c>
      <c r="F55" s="29"/>
      <c r="G55" s="8">
        <v>3</v>
      </c>
      <c r="H55" s="8">
        <v>0</v>
      </c>
      <c r="I55" s="12" t="s">
        <v>35</v>
      </c>
      <c r="J55" s="9">
        <f t="shared" si="5"/>
        <v>300</v>
      </c>
      <c r="K55" s="8">
        <v>0</v>
      </c>
      <c r="L55" s="8">
        <f t="shared" si="6"/>
        <v>300</v>
      </c>
      <c r="M55" s="44">
        <v>550</v>
      </c>
      <c r="N55" s="42">
        <f t="shared" si="7"/>
        <v>850</v>
      </c>
      <c r="O55" s="48">
        <f t="shared" si="8"/>
        <v>175</v>
      </c>
      <c r="P55" s="43">
        <f t="shared" si="9"/>
        <v>675</v>
      </c>
    </row>
    <row r="56" spans="1:17" ht="18.75">
      <c r="A56" s="7">
        <v>1</v>
      </c>
      <c r="B56" s="7" t="s">
        <v>118</v>
      </c>
      <c r="C56" s="7">
        <v>65</v>
      </c>
      <c r="E56" s="29" t="s">
        <v>105</v>
      </c>
      <c r="G56" s="8">
        <v>3</v>
      </c>
      <c r="H56" s="8">
        <v>0</v>
      </c>
      <c r="I56" s="12" t="s">
        <v>35</v>
      </c>
      <c r="J56" s="9">
        <f t="shared" si="5"/>
        <v>300</v>
      </c>
      <c r="K56" s="8">
        <v>0</v>
      </c>
      <c r="L56" s="8">
        <f t="shared" si="6"/>
        <v>300</v>
      </c>
      <c r="M56" s="44">
        <v>525</v>
      </c>
      <c r="N56" s="42">
        <f t="shared" si="7"/>
        <v>825</v>
      </c>
      <c r="O56" s="48">
        <f t="shared" si="8"/>
        <v>175</v>
      </c>
      <c r="P56" s="43">
        <f t="shared" si="9"/>
        <v>650</v>
      </c>
    </row>
    <row r="57" spans="1:17" ht="18.75">
      <c r="A57" s="7">
        <v>1</v>
      </c>
      <c r="B57" s="7" t="s">
        <v>108</v>
      </c>
      <c r="C57" s="7">
        <v>44</v>
      </c>
      <c r="D57" s="6"/>
      <c r="E57" s="29" t="s">
        <v>82</v>
      </c>
      <c r="F57" s="29"/>
      <c r="G57" s="8">
        <v>3</v>
      </c>
      <c r="H57" s="8">
        <v>0</v>
      </c>
      <c r="I57" s="12" t="s">
        <v>35</v>
      </c>
      <c r="J57" s="9">
        <f t="shared" si="5"/>
        <v>300</v>
      </c>
      <c r="K57" s="8">
        <v>0</v>
      </c>
      <c r="L57" s="8">
        <f t="shared" si="6"/>
        <v>300</v>
      </c>
      <c r="M57" s="44">
        <v>454</v>
      </c>
      <c r="N57" s="42">
        <f t="shared" si="7"/>
        <v>754</v>
      </c>
      <c r="O57" s="48">
        <f t="shared" si="8"/>
        <v>175</v>
      </c>
      <c r="P57" s="43">
        <f t="shared" si="9"/>
        <v>579</v>
      </c>
    </row>
    <row r="58" spans="1:17" ht="18.75">
      <c r="A58" s="7">
        <v>1</v>
      </c>
      <c r="B58" s="7" t="s">
        <v>112</v>
      </c>
      <c r="C58" s="7">
        <v>57</v>
      </c>
      <c r="D58" s="6"/>
      <c r="E58" s="29" t="s">
        <v>95</v>
      </c>
      <c r="G58" s="8">
        <v>0</v>
      </c>
      <c r="H58" s="8">
        <v>0</v>
      </c>
      <c r="I58" s="27" t="s">
        <v>23</v>
      </c>
      <c r="J58" s="9">
        <f t="shared" si="5"/>
        <v>0</v>
      </c>
      <c r="K58" s="8">
        <v>0</v>
      </c>
      <c r="L58" s="8">
        <f t="shared" si="6"/>
        <v>0</v>
      </c>
      <c r="M58" s="44">
        <v>410</v>
      </c>
      <c r="N58" s="42">
        <f t="shared" si="7"/>
        <v>410</v>
      </c>
      <c r="O58" s="48">
        <f t="shared" si="8"/>
        <v>0</v>
      </c>
      <c r="P58" s="43">
        <f t="shared" si="9"/>
        <v>410</v>
      </c>
    </row>
    <row r="59" spans="1:17" ht="18.75">
      <c r="A59" s="7">
        <v>1</v>
      </c>
      <c r="B59" s="7" t="s">
        <v>116</v>
      </c>
      <c r="C59" s="7">
        <v>60</v>
      </c>
      <c r="D59" s="6"/>
      <c r="E59" s="29" t="s">
        <v>98</v>
      </c>
      <c r="G59" s="8">
        <v>4</v>
      </c>
      <c r="H59" s="8">
        <v>0</v>
      </c>
      <c r="I59" s="12" t="s">
        <v>35</v>
      </c>
      <c r="J59" s="9">
        <f t="shared" si="5"/>
        <v>400</v>
      </c>
      <c r="K59" s="8">
        <v>0</v>
      </c>
      <c r="L59" s="8">
        <f t="shared" si="6"/>
        <v>400</v>
      </c>
      <c r="M59" s="44">
        <v>0</v>
      </c>
      <c r="N59" s="42">
        <f t="shared" si="7"/>
        <v>400</v>
      </c>
      <c r="O59" s="48">
        <f t="shared" si="8"/>
        <v>175</v>
      </c>
      <c r="P59" s="43">
        <f t="shared" si="9"/>
        <v>225</v>
      </c>
    </row>
    <row r="60" spans="1:17" ht="18.75">
      <c r="A60" s="7">
        <v>1</v>
      </c>
      <c r="B60" s="7" t="s">
        <v>122</v>
      </c>
      <c r="C60" s="7">
        <v>27</v>
      </c>
      <c r="D60" s="6"/>
      <c r="E60" s="29" t="s">
        <v>65</v>
      </c>
      <c r="F60" s="32"/>
      <c r="G60" s="8">
        <v>3</v>
      </c>
      <c r="H60" s="8">
        <v>0</v>
      </c>
      <c r="I60" s="12" t="s">
        <v>35</v>
      </c>
      <c r="J60" s="9">
        <f t="shared" si="5"/>
        <v>300</v>
      </c>
      <c r="K60" s="8">
        <v>0</v>
      </c>
      <c r="L60" s="8">
        <f t="shared" si="6"/>
        <v>300</v>
      </c>
      <c r="M60" s="44">
        <v>0</v>
      </c>
      <c r="N60" s="42">
        <f t="shared" si="7"/>
        <v>300</v>
      </c>
      <c r="O60" s="48">
        <f t="shared" si="8"/>
        <v>175</v>
      </c>
      <c r="P60" s="43">
        <f t="shared" si="9"/>
        <v>125</v>
      </c>
    </row>
    <row r="61" spans="1:17" ht="18.75">
      <c r="A61" s="7">
        <v>1</v>
      </c>
      <c r="B61" s="7" t="s">
        <v>122</v>
      </c>
      <c r="C61" s="7">
        <v>61</v>
      </c>
      <c r="D61" s="6"/>
      <c r="E61" s="29" t="s">
        <v>99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225</v>
      </c>
      <c r="N61" s="42">
        <f t="shared" si="7"/>
        <v>225</v>
      </c>
      <c r="O61" s="48">
        <f t="shared" si="8"/>
        <v>0</v>
      </c>
      <c r="P61" s="43">
        <f t="shared" si="9"/>
        <v>225</v>
      </c>
    </row>
    <row r="62" spans="1:17" ht="18.75">
      <c r="A62" s="7">
        <v>1</v>
      </c>
      <c r="B62" s="7" t="s">
        <v>122</v>
      </c>
      <c r="C62" s="7">
        <v>34</v>
      </c>
      <c r="D62" s="6"/>
      <c r="E62" s="29" t="s">
        <v>72</v>
      </c>
      <c r="F62" s="29"/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219</v>
      </c>
      <c r="N62" s="42">
        <f t="shared" si="7"/>
        <v>219</v>
      </c>
      <c r="O62" s="48">
        <f t="shared" si="8"/>
        <v>0</v>
      </c>
      <c r="P62" s="43">
        <f t="shared" si="9"/>
        <v>219</v>
      </c>
    </row>
    <row r="63" spans="1:17" ht="18.75">
      <c r="A63" s="7">
        <v>1</v>
      </c>
      <c r="B63" s="7" t="s">
        <v>108</v>
      </c>
      <c r="C63" s="7">
        <v>8</v>
      </c>
      <c r="D63" s="6"/>
      <c r="E63" s="29" t="s">
        <v>46</v>
      </c>
      <c r="F63" s="29"/>
      <c r="G63" s="8">
        <v>2</v>
      </c>
      <c r="H63" s="8">
        <v>0</v>
      </c>
      <c r="I63" s="12" t="s">
        <v>35</v>
      </c>
      <c r="J63" s="9">
        <f t="shared" si="5"/>
        <v>200</v>
      </c>
      <c r="K63" s="8">
        <v>0</v>
      </c>
      <c r="L63" s="8">
        <f t="shared" si="6"/>
        <v>200</v>
      </c>
      <c r="M63" s="44">
        <v>0</v>
      </c>
      <c r="N63" s="42">
        <f t="shared" si="7"/>
        <v>200</v>
      </c>
      <c r="O63" s="48">
        <f t="shared" si="8"/>
        <v>175</v>
      </c>
      <c r="P63" s="43">
        <f t="shared" si="9"/>
        <v>25</v>
      </c>
      <c r="Q63" s="40"/>
    </row>
    <row r="64" spans="1:17" ht="18.75">
      <c r="A64" s="7">
        <v>1</v>
      </c>
      <c r="B64" s="7" t="s">
        <v>122</v>
      </c>
      <c r="C64" s="7">
        <v>7</v>
      </c>
      <c r="D64" s="6"/>
      <c r="E64" s="29" t="s">
        <v>45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138</v>
      </c>
      <c r="N64" s="42">
        <f t="shared" si="7"/>
        <v>138</v>
      </c>
      <c r="O64" s="48">
        <f t="shared" si="8"/>
        <v>0</v>
      </c>
      <c r="P64" s="43">
        <f t="shared" si="9"/>
        <v>138</v>
      </c>
      <c r="Q64" s="40"/>
    </row>
    <row r="65" spans="1:16" ht="18.75">
      <c r="A65" s="7">
        <v>1</v>
      </c>
      <c r="B65" s="7" t="s">
        <v>110</v>
      </c>
      <c r="C65" s="7">
        <v>31</v>
      </c>
      <c r="D65" s="6"/>
      <c r="E65" s="29" t="s">
        <v>69</v>
      </c>
      <c r="F65" s="32"/>
      <c r="G65" s="8">
        <v>1</v>
      </c>
      <c r="H65" s="8">
        <v>0</v>
      </c>
      <c r="I65" s="12" t="s">
        <v>35</v>
      </c>
      <c r="J65" s="9">
        <f t="shared" si="5"/>
        <v>100</v>
      </c>
      <c r="K65" s="8">
        <v>0</v>
      </c>
      <c r="L65" s="8">
        <f t="shared" si="6"/>
        <v>100</v>
      </c>
      <c r="M65" s="44">
        <v>25</v>
      </c>
      <c r="N65" s="42">
        <f t="shared" si="7"/>
        <v>125</v>
      </c>
      <c r="O65" s="48">
        <f t="shared" si="8"/>
        <v>175</v>
      </c>
      <c r="P65" s="43">
        <f t="shared" si="9"/>
        <v>0</v>
      </c>
    </row>
    <row r="66" spans="1:16" ht="18.75">
      <c r="A66" s="7">
        <v>1</v>
      </c>
      <c r="B66" s="7" t="s">
        <v>125</v>
      </c>
      <c r="C66" s="7">
        <v>59</v>
      </c>
      <c r="D66" s="6"/>
      <c r="E66" s="29" t="s">
        <v>97</v>
      </c>
      <c r="G66" s="8">
        <v>1</v>
      </c>
      <c r="H66" s="8">
        <v>0</v>
      </c>
      <c r="I66" s="12" t="s">
        <v>35</v>
      </c>
      <c r="J66" s="9">
        <f t="shared" si="5"/>
        <v>100</v>
      </c>
      <c r="K66" s="8">
        <v>0</v>
      </c>
      <c r="L66" s="8">
        <f t="shared" si="6"/>
        <v>100</v>
      </c>
      <c r="M66" s="44">
        <v>0</v>
      </c>
      <c r="N66" s="42">
        <f t="shared" si="7"/>
        <v>100</v>
      </c>
      <c r="O66" s="48">
        <f t="shared" si="8"/>
        <v>175</v>
      </c>
      <c r="P66" s="43">
        <f t="shared" si="9"/>
        <v>0</v>
      </c>
    </row>
    <row r="67" spans="1:16" ht="18.75">
      <c r="A67" s="7">
        <v>1</v>
      </c>
      <c r="B67" s="7" t="s">
        <v>118</v>
      </c>
      <c r="C67" s="7">
        <v>51</v>
      </c>
      <c r="D67" s="6"/>
      <c r="E67" s="29" t="s">
        <v>89</v>
      </c>
      <c r="F67" s="29"/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0</v>
      </c>
      <c r="N67" s="42">
        <f t="shared" si="7"/>
        <v>0</v>
      </c>
      <c r="O67" s="48">
        <f t="shared" si="8"/>
        <v>0</v>
      </c>
      <c r="P67" s="43">
        <f t="shared" si="9"/>
        <v>0</v>
      </c>
    </row>
    <row r="68" spans="1:16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6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40" priority="2" operator="lessThan">
      <formula>1</formula>
    </cfRule>
  </conditionalFormatting>
  <conditionalFormatting sqref="K5:K69">
    <cfRule type="cellIs" dxfId="39" priority="1" operator="lessThan">
      <formula>1</formula>
    </cfRule>
  </conditionalFormatting>
  <hyperlinks>
    <hyperlink ref="E15" r:id="rId1" xr:uid="{C85B3D1F-E341-41D2-B87D-B0F785F36CE6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A164-84FB-4DBC-8A25-952E98A08A3A}">
  <dimension ref="A1:AA69"/>
  <sheetViews>
    <sheetView topLeftCell="A40" zoomScale="85" zoomScaleNormal="85" workbookViewId="0">
      <selection activeCell="R70" sqref="R70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欧皇宝宝2026年4月25日分包贡献明细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f>COUNTIF(G5:G69,"&lt;&gt;0")</f>
        <v>53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109</v>
      </c>
      <c r="C5" s="7">
        <v>55</v>
      </c>
      <c r="D5" s="6"/>
      <c r="E5" s="29" t="s">
        <v>106</v>
      </c>
      <c r="G5" s="8">
        <v>4</v>
      </c>
      <c r="H5" s="8">
        <v>0</v>
      </c>
      <c r="I5" s="10" t="s">
        <v>33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1206</v>
      </c>
      <c r="N5" s="42">
        <f t="shared" ref="N5:N36" si="2">M5+L5</f>
        <v>1606</v>
      </c>
      <c r="O5" s="48">
        <f t="shared" ref="O5:O36" si="3">VLOOKUP(I5,$R$3:$S$10,2,FALSE)</f>
        <v>312</v>
      </c>
      <c r="P5" s="43">
        <f t="shared" ref="P5:P36" si="4">IF(N5-O5&gt;0,N5-O5,0)</f>
        <v>1294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122</v>
      </c>
      <c r="C6" s="7">
        <v>17</v>
      </c>
      <c r="D6" s="6"/>
      <c r="E6" s="29" t="s">
        <v>55</v>
      </c>
      <c r="F6" s="29"/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1206</v>
      </c>
      <c r="N6" s="42">
        <f t="shared" si="2"/>
        <v>1606</v>
      </c>
      <c r="O6" s="48">
        <f t="shared" si="3"/>
        <v>312</v>
      </c>
      <c r="P6" s="43">
        <f t="shared" si="4"/>
        <v>1294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113</v>
      </c>
      <c r="C7" s="7">
        <v>37</v>
      </c>
      <c r="D7" s="6"/>
      <c r="E7" s="29" t="s">
        <v>75</v>
      </c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1183</v>
      </c>
      <c r="N7" s="42">
        <f t="shared" si="2"/>
        <v>1583</v>
      </c>
      <c r="O7" s="48">
        <f t="shared" si="3"/>
        <v>312</v>
      </c>
      <c r="P7" s="43">
        <f t="shared" si="4"/>
        <v>1271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110</v>
      </c>
      <c r="C8" s="7">
        <v>42</v>
      </c>
      <c r="D8" s="6"/>
      <c r="E8" s="29" t="s">
        <v>80</v>
      </c>
      <c r="F8" s="32"/>
      <c r="G8" s="8">
        <v>4</v>
      </c>
      <c r="H8" s="8">
        <v>0</v>
      </c>
      <c r="I8" s="10" t="s">
        <v>33</v>
      </c>
      <c r="J8" s="9">
        <f t="shared" si="0"/>
        <v>400</v>
      </c>
      <c r="K8" s="8">
        <v>0</v>
      </c>
      <c r="L8" s="8">
        <f t="shared" si="1"/>
        <v>400</v>
      </c>
      <c r="M8" s="44">
        <v>1183</v>
      </c>
      <c r="N8" s="42">
        <f t="shared" si="2"/>
        <v>1583</v>
      </c>
      <c r="O8" s="48">
        <f t="shared" si="3"/>
        <v>312</v>
      </c>
      <c r="P8" s="43">
        <f t="shared" si="4"/>
        <v>1271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109</v>
      </c>
      <c r="C9" s="7">
        <v>35</v>
      </c>
      <c r="D9" s="6"/>
      <c r="E9" s="29" t="s">
        <v>73</v>
      </c>
      <c r="F9" s="29"/>
      <c r="G9" s="8">
        <v>4</v>
      </c>
      <c r="H9" s="8">
        <v>0</v>
      </c>
      <c r="I9" s="10" t="s">
        <v>33</v>
      </c>
      <c r="J9" s="9">
        <f t="shared" si="0"/>
        <v>400</v>
      </c>
      <c r="K9" s="8">
        <v>0</v>
      </c>
      <c r="L9" s="8">
        <f t="shared" si="1"/>
        <v>400</v>
      </c>
      <c r="M9" s="44">
        <v>1181</v>
      </c>
      <c r="N9" s="42">
        <f t="shared" si="2"/>
        <v>1581</v>
      </c>
      <c r="O9" s="48">
        <f t="shared" si="3"/>
        <v>312</v>
      </c>
      <c r="P9" s="43">
        <f t="shared" si="4"/>
        <v>1269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123</v>
      </c>
      <c r="C10" s="7">
        <v>24</v>
      </c>
      <c r="D10" s="6"/>
      <c r="E10" s="29" t="s">
        <v>62</v>
      </c>
      <c r="F10" s="32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1172</v>
      </c>
      <c r="N10" s="42">
        <f t="shared" si="2"/>
        <v>1572</v>
      </c>
      <c r="O10" s="48">
        <f t="shared" si="3"/>
        <v>312</v>
      </c>
      <c r="P10" s="43">
        <f t="shared" si="4"/>
        <v>1260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109</v>
      </c>
      <c r="C11" s="7">
        <v>47</v>
      </c>
      <c r="D11" s="6"/>
      <c r="E11" s="29" t="s">
        <v>85</v>
      </c>
      <c r="F11" s="29"/>
      <c r="G11" s="8">
        <v>4</v>
      </c>
      <c r="H11" s="8">
        <v>0</v>
      </c>
      <c r="I11" s="10" t="s">
        <v>33</v>
      </c>
      <c r="J11" s="9">
        <f t="shared" si="0"/>
        <v>400</v>
      </c>
      <c r="K11" s="8">
        <v>0</v>
      </c>
      <c r="L11" s="8">
        <f t="shared" si="1"/>
        <v>400</v>
      </c>
      <c r="M11" s="44">
        <v>1163</v>
      </c>
      <c r="N11" s="42">
        <f t="shared" si="2"/>
        <v>1563</v>
      </c>
      <c r="O11" s="48">
        <f t="shared" si="3"/>
        <v>312</v>
      </c>
      <c r="P11" s="43">
        <f t="shared" si="4"/>
        <v>1251</v>
      </c>
      <c r="Q11" s="1"/>
      <c r="R11" s="24"/>
    </row>
    <row r="12" spans="1:26" ht="18.75">
      <c r="A12" s="7">
        <v>1</v>
      </c>
      <c r="B12" s="7" t="s">
        <v>110</v>
      </c>
      <c r="C12" s="7">
        <v>62</v>
      </c>
      <c r="D12" s="6"/>
      <c r="E12" s="29" t="s">
        <v>100</v>
      </c>
      <c r="F12" s="29"/>
      <c r="G12" s="8">
        <v>4</v>
      </c>
      <c r="H12" s="8">
        <v>0</v>
      </c>
      <c r="I12" s="11" t="s">
        <v>34</v>
      </c>
      <c r="J12" s="9">
        <f t="shared" si="0"/>
        <v>400</v>
      </c>
      <c r="K12" s="8">
        <v>0</v>
      </c>
      <c r="L12" s="8">
        <f t="shared" si="1"/>
        <v>400</v>
      </c>
      <c r="M12" s="44">
        <v>1163</v>
      </c>
      <c r="N12" s="42">
        <f t="shared" si="2"/>
        <v>1563</v>
      </c>
      <c r="O12" s="48">
        <f t="shared" si="3"/>
        <v>240</v>
      </c>
      <c r="P12" s="43">
        <f t="shared" si="4"/>
        <v>1323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113</v>
      </c>
      <c r="C13" s="7">
        <v>32</v>
      </c>
      <c r="D13" s="6"/>
      <c r="E13" s="29" t="s">
        <v>70</v>
      </c>
      <c r="F13" s="32"/>
      <c r="G13" s="8">
        <v>4</v>
      </c>
      <c r="H13" s="8">
        <v>0</v>
      </c>
      <c r="I13" s="11" t="s">
        <v>34</v>
      </c>
      <c r="J13" s="9">
        <f t="shared" si="0"/>
        <v>400</v>
      </c>
      <c r="K13" s="8">
        <v>0</v>
      </c>
      <c r="L13" s="8">
        <f t="shared" si="1"/>
        <v>400</v>
      </c>
      <c r="M13" s="44">
        <v>1155</v>
      </c>
      <c r="N13" s="42">
        <f t="shared" si="2"/>
        <v>1555</v>
      </c>
      <c r="O13" s="48">
        <f t="shared" si="3"/>
        <v>240</v>
      </c>
      <c r="P13" s="43">
        <f t="shared" si="4"/>
        <v>1315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120</v>
      </c>
      <c r="C14" s="7">
        <v>20</v>
      </c>
      <c r="D14" s="6"/>
      <c r="E14" s="29" t="s">
        <v>58</v>
      </c>
      <c r="F14" s="32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1155</v>
      </c>
      <c r="N14" s="42">
        <f t="shared" si="2"/>
        <v>1555</v>
      </c>
      <c r="O14" s="48">
        <f t="shared" si="3"/>
        <v>240</v>
      </c>
      <c r="P14" s="43">
        <f t="shared" si="4"/>
        <v>1315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127</v>
      </c>
      <c r="C15" s="7">
        <v>21</v>
      </c>
      <c r="D15" s="6"/>
      <c r="E15" s="29" t="s">
        <v>59</v>
      </c>
      <c r="G15" s="8">
        <v>4</v>
      </c>
      <c r="H15" s="8">
        <v>0</v>
      </c>
      <c r="I15" s="11" t="s">
        <v>34</v>
      </c>
      <c r="J15" s="9">
        <f t="shared" si="0"/>
        <v>400</v>
      </c>
      <c r="K15" s="8">
        <v>0</v>
      </c>
      <c r="L15" s="8">
        <f t="shared" si="1"/>
        <v>400</v>
      </c>
      <c r="M15" s="44">
        <v>1153</v>
      </c>
      <c r="N15" s="42">
        <f t="shared" si="2"/>
        <v>1553</v>
      </c>
      <c r="O15" s="48">
        <f t="shared" si="3"/>
        <v>240</v>
      </c>
      <c r="P15" s="43">
        <f t="shared" si="4"/>
        <v>1313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109</v>
      </c>
      <c r="C16" s="7">
        <v>49</v>
      </c>
      <c r="D16" s="6"/>
      <c r="E16" s="29" t="s">
        <v>87</v>
      </c>
      <c r="F16" s="29"/>
      <c r="G16" s="8">
        <v>4</v>
      </c>
      <c r="H16" s="8">
        <v>0</v>
      </c>
      <c r="I16" s="11" t="s">
        <v>34</v>
      </c>
      <c r="J16" s="9">
        <f t="shared" si="0"/>
        <v>400</v>
      </c>
      <c r="K16" s="8">
        <v>0</v>
      </c>
      <c r="L16" s="8">
        <f t="shared" si="1"/>
        <v>400</v>
      </c>
      <c r="M16" s="44">
        <v>1137</v>
      </c>
      <c r="N16" s="42">
        <f t="shared" si="2"/>
        <v>1537</v>
      </c>
      <c r="O16" s="48">
        <f t="shared" si="3"/>
        <v>240</v>
      </c>
      <c r="P16" s="43">
        <f t="shared" si="4"/>
        <v>1297</v>
      </c>
      <c r="R16" t="s">
        <v>27</v>
      </c>
      <c r="S16">
        <v>4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108</v>
      </c>
      <c r="C17" s="7">
        <v>46</v>
      </c>
      <c r="D17" s="6"/>
      <c r="E17" s="29" t="s">
        <v>84</v>
      </c>
      <c r="F17" s="29"/>
      <c r="G17" s="8">
        <v>4</v>
      </c>
      <c r="H17" s="8">
        <v>0</v>
      </c>
      <c r="I17" s="11" t="s">
        <v>34</v>
      </c>
      <c r="J17" s="9">
        <f t="shared" si="0"/>
        <v>400</v>
      </c>
      <c r="K17" s="8">
        <v>0</v>
      </c>
      <c r="L17" s="8">
        <f t="shared" si="1"/>
        <v>400</v>
      </c>
      <c r="M17" s="44">
        <v>1137</v>
      </c>
      <c r="N17" s="42">
        <f t="shared" si="2"/>
        <v>1537</v>
      </c>
      <c r="O17" s="48">
        <f t="shared" si="3"/>
        <v>240</v>
      </c>
      <c r="P17" s="43">
        <f t="shared" si="4"/>
        <v>1297</v>
      </c>
      <c r="R17" t="s">
        <v>28</v>
      </c>
      <c r="S17">
        <v>25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122</v>
      </c>
      <c r="C18" s="7">
        <v>1</v>
      </c>
      <c r="D18" s="6"/>
      <c r="E18" s="29" t="s">
        <v>39</v>
      </c>
      <c r="F18" s="29"/>
      <c r="G18" s="8">
        <v>4</v>
      </c>
      <c r="H18" s="8">
        <v>0</v>
      </c>
      <c r="I18" s="11" t="s">
        <v>34</v>
      </c>
      <c r="J18" s="9">
        <f t="shared" si="0"/>
        <v>400</v>
      </c>
      <c r="K18" s="8">
        <v>0</v>
      </c>
      <c r="L18" s="8">
        <f t="shared" si="1"/>
        <v>400</v>
      </c>
      <c r="M18" s="44">
        <v>1124</v>
      </c>
      <c r="N18" s="42">
        <f t="shared" si="2"/>
        <v>1524</v>
      </c>
      <c r="O18" s="48">
        <f t="shared" si="3"/>
        <v>240</v>
      </c>
      <c r="P18" s="43">
        <f t="shared" si="4"/>
        <v>1284</v>
      </c>
      <c r="Q18" s="9"/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114</v>
      </c>
      <c r="C19" s="7">
        <v>36</v>
      </c>
      <c r="D19" s="6"/>
      <c r="E19" s="29" t="s">
        <v>74</v>
      </c>
      <c r="F19" s="29"/>
      <c r="G19" s="8">
        <v>4</v>
      </c>
      <c r="H19" s="8">
        <v>0</v>
      </c>
      <c r="I19" s="12" t="s">
        <v>35</v>
      </c>
      <c r="J19" s="9">
        <f t="shared" si="0"/>
        <v>400</v>
      </c>
      <c r="K19" s="8">
        <v>0</v>
      </c>
      <c r="L19" s="8">
        <f t="shared" si="1"/>
        <v>400</v>
      </c>
      <c r="M19" s="44">
        <v>1115</v>
      </c>
      <c r="N19" s="42">
        <f t="shared" si="2"/>
        <v>1515</v>
      </c>
      <c r="O19" s="48">
        <f t="shared" si="3"/>
        <v>175</v>
      </c>
      <c r="P19" s="43">
        <f t="shared" si="4"/>
        <v>1340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120</v>
      </c>
      <c r="C20" s="7">
        <v>45</v>
      </c>
      <c r="D20" s="6"/>
      <c r="E20" s="29" t="s">
        <v>83</v>
      </c>
      <c r="F20" s="29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1115</v>
      </c>
      <c r="N20" s="42">
        <f t="shared" si="2"/>
        <v>1515</v>
      </c>
      <c r="O20" s="48">
        <f t="shared" si="3"/>
        <v>175</v>
      </c>
      <c r="P20" s="43">
        <f t="shared" si="4"/>
        <v>1340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116</v>
      </c>
      <c r="C21" s="7">
        <v>63</v>
      </c>
      <c r="D21" s="6"/>
      <c r="E21" s="29" t="s">
        <v>101</v>
      </c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1111</v>
      </c>
      <c r="N21" s="42">
        <f t="shared" si="2"/>
        <v>1511</v>
      </c>
      <c r="O21" s="48">
        <f t="shared" si="3"/>
        <v>175</v>
      </c>
      <c r="P21" s="43">
        <f t="shared" si="4"/>
        <v>1336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114</v>
      </c>
      <c r="C22" s="7">
        <v>58</v>
      </c>
      <c r="D22" s="6"/>
      <c r="E22" s="29" t="s">
        <v>96</v>
      </c>
      <c r="G22" s="8">
        <v>4</v>
      </c>
      <c r="H22" s="8">
        <v>0</v>
      </c>
      <c r="I22" s="12" t="s">
        <v>35</v>
      </c>
      <c r="J22" s="9">
        <f t="shared" si="0"/>
        <v>400</v>
      </c>
      <c r="K22" s="8">
        <v>0</v>
      </c>
      <c r="L22" s="8">
        <f t="shared" si="1"/>
        <v>400</v>
      </c>
      <c r="M22" s="44">
        <v>1104</v>
      </c>
      <c r="N22" s="42">
        <f t="shared" si="2"/>
        <v>1504</v>
      </c>
      <c r="O22" s="48">
        <f t="shared" si="3"/>
        <v>175</v>
      </c>
      <c r="P22" s="43">
        <f t="shared" si="4"/>
        <v>1329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/>
      <c r="C23" s="7">
        <v>10</v>
      </c>
      <c r="D23" s="6"/>
      <c r="E23" s="29" t="s">
        <v>48</v>
      </c>
      <c r="F23" s="31"/>
      <c r="G23" s="8">
        <v>4</v>
      </c>
      <c r="H23" s="8">
        <v>0</v>
      </c>
      <c r="I23" s="12" t="s">
        <v>35</v>
      </c>
      <c r="J23" s="9">
        <f t="shared" si="0"/>
        <v>400</v>
      </c>
      <c r="K23" s="8">
        <v>0</v>
      </c>
      <c r="L23" s="8">
        <f t="shared" si="1"/>
        <v>400</v>
      </c>
      <c r="M23" s="44">
        <v>1102</v>
      </c>
      <c r="N23" s="42">
        <f t="shared" si="2"/>
        <v>1502</v>
      </c>
      <c r="O23" s="48">
        <f t="shared" si="3"/>
        <v>175</v>
      </c>
      <c r="P23" s="43">
        <f t="shared" si="4"/>
        <v>1327</v>
      </c>
      <c r="Q23" s="21"/>
    </row>
    <row r="24" spans="1:27" ht="18.75">
      <c r="A24" s="7">
        <v>1</v>
      </c>
      <c r="B24" s="7" t="s">
        <v>117</v>
      </c>
      <c r="C24" s="7">
        <v>3</v>
      </c>
      <c r="D24" s="6"/>
      <c r="E24" s="29" t="s">
        <v>41</v>
      </c>
      <c r="F24" s="29"/>
      <c r="G24" s="8">
        <v>4</v>
      </c>
      <c r="H24" s="8">
        <v>0</v>
      </c>
      <c r="I24" s="12" t="s">
        <v>35</v>
      </c>
      <c r="J24" s="9">
        <f t="shared" si="0"/>
        <v>400</v>
      </c>
      <c r="K24" s="8">
        <v>0</v>
      </c>
      <c r="L24" s="8">
        <f t="shared" si="1"/>
        <v>400</v>
      </c>
      <c r="M24" s="44">
        <v>1100</v>
      </c>
      <c r="N24" s="42">
        <f t="shared" si="2"/>
        <v>1500</v>
      </c>
      <c r="O24" s="48">
        <f t="shared" si="3"/>
        <v>175</v>
      </c>
      <c r="P24" s="43">
        <f t="shared" si="4"/>
        <v>1325</v>
      </c>
      <c r="Q24" s="9"/>
    </row>
    <row r="25" spans="1:27" ht="18.75">
      <c r="A25" s="7">
        <v>1</v>
      </c>
      <c r="B25" s="7" t="s">
        <v>112</v>
      </c>
      <c r="C25" s="7">
        <v>14</v>
      </c>
      <c r="D25" s="6"/>
      <c r="E25" s="29" t="s">
        <v>52</v>
      </c>
      <c r="F25" s="29"/>
      <c r="G25" s="8">
        <v>3</v>
      </c>
      <c r="H25" s="8">
        <v>0</v>
      </c>
      <c r="I25" s="12" t="s">
        <v>35</v>
      </c>
      <c r="J25" s="9">
        <f t="shared" si="0"/>
        <v>300</v>
      </c>
      <c r="K25" s="8">
        <v>0</v>
      </c>
      <c r="L25" s="8">
        <f t="shared" si="1"/>
        <v>300</v>
      </c>
      <c r="M25" s="44">
        <v>1190</v>
      </c>
      <c r="N25" s="42">
        <f t="shared" si="2"/>
        <v>1490</v>
      </c>
      <c r="O25" s="48">
        <f t="shared" si="3"/>
        <v>175</v>
      </c>
      <c r="P25" s="43">
        <f t="shared" si="4"/>
        <v>1315</v>
      </c>
      <c r="Q25" s="1"/>
    </row>
    <row r="26" spans="1:27" ht="18.75" customHeight="1">
      <c r="A26" s="7">
        <v>1</v>
      </c>
      <c r="B26" s="7" t="s">
        <v>124</v>
      </c>
      <c r="C26" s="7">
        <v>2</v>
      </c>
      <c r="D26" s="6"/>
      <c r="E26" s="29" t="s">
        <v>40</v>
      </c>
      <c r="F26" s="29"/>
      <c r="G26" s="8">
        <v>4</v>
      </c>
      <c r="H26" s="8">
        <v>0</v>
      </c>
      <c r="I26" s="12" t="s">
        <v>35</v>
      </c>
      <c r="J26" s="9">
        <f t="shared" si="0"/>
        <v>400</v>
      </c>
      <c r="K26" s="8">
        <v>0</v>
      </c>
      <c r="L26" s="8">
        <f t="shared" si="1"/>
        <v>400</v>
      </c>
      <c r="M26" s="44">
        <v>1090</v>
      </c>
      <c r="N26" s="42">
        <f t="shared" si="2"/>
        <v>1490</v>
      </c>
      <c r="O26" s="48">
        <f t="shared" si="3"/>
        <v>175</v>
      </c>
      <c r="P26" s="43">
        <f t="shared" si="4"/>
        <v>1315</v>
      </c>
      <c r="Q26" s="9"/>
    </row>
    <row r="27" spans="1:27" ht="18.75">
      <c r="A27" s="7">
        <v>1</v>
      </c>
      <c r="B27" s="7" t="s">
        <v>120</v>
      </c>
      <c r="C27" s="7">
        <v>29</v>
      </c>
      <c r="D27" s="6"/>
      <c r="E27" s="29" t="s">
        <v>67</v>
      </c>
      <c r="F27" s="32"/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1089</v>
      </c>
      <c r="N27" s="42">
        <f t="shared" si="2"/>
        <v>1489</v>
      </c>
      <c r="O27" s="48">
        <f t="shared" si="3"/>
        <v>175</v>
      </c>
      <c r="P27" s="43">
        <f t="shared" si="4"/>
        <v>1314</v>
      </c>
      <c r="Q27" s="1"/>
    </row>
    <row r="28" spans="1:27" ht="18.75">
      <c r="A28" s="7">
        <v>1</v>
      </c>
      <c r="B28" s="7" t="s">
        <v>123</v>
      </c>
      <c r="C28" s="7">
        <v>12</v>
      </c>
      <c r="D28" s="6"/>
      <c r="E28" s="29" t="s">
        <v>50</v>
      </c>
      <c r="F28" s="29"/>
      <c r="G28" s="8">
        <v>4</v>
      </c>
      <c r="H28" s="8">
        <v>0</v>
      </c>
      <c r="I28" s="12" t="s">
        <v>35</v>
      </c>
      <c r="J28" s="9">
        <f t="shared" si="0"/>
        <v>400</v>
      </c>
      <c r="K28" s="8">
        <v>0</v>
      </c>
      <c r="L28" s="8">
        <f t="shared" si="1"/>
        <v>400</v>
      </c>
      <c r="M28" s="44">
        <v>1088</v>
      </c>
      <c r="N28" s="42">
        <f t="shared" si="2"/>
        <v>1488</v>
      </c>
      <c r="O28" s="48">
        <f t="shared" si="3"/>
        <v>175</v>
      </c>
      <c r="P28" s="43">
        <f t="shared" si="4"/>
        <v>1313</v>
      </c>
      <c r="Q28" s="1"/>
    </row>
    <row r="29" spans="1:27" s="1" customFormat="1" ht="18.75">
      <c r="A29" s="7">
        <v>1</v>
      </c>
      <c r="B29" s="7" t="s">
        <v>109</v>
      </c>
      <c r="C29" s="7">
        <v>22</v>
      </c>
      <c r="D29" s="6"/>
      <c r="E29" s="29" t="s">
        <v>60</v>
      </c>
      <c r="F29" s="32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1088</v>
      </c>
      <c r="N29" s="42">
        <f t="shared" si="2"/>
        <v>1488</v>
      </c>
      <c r="O29" s="48">
        <f t="shared" si="3"/>
        <v>175</v>
      </c>
      <c r="P29" s="43">
        <f t="shared" si="4"/>
        <v>1313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109</v>
      </c>
      <c r="C30" s="7">
        <v>11</v>
      </c>
      <c r="D30" s="6"/>
      <c r="E30" s="29" t="s">
        <v>49</v>
      </c>
      <c r="F30" s="29"/>
      <c r="G30" s="8">
        <v>3</v>
      </c>
      <c r="H30" s="8">
        <v>0</v>
      </c>
      <c r="I30" s="12" t="s">
        <v>35</v>
      </c>
      <c r="J30" s="9">
        <f t="shared" si="0"/>
        <v>300</v>
      </c>
      <c r="K30" s="8">
        <v>0</v>
      </c>
      <c r="L30" s="8">
        <f t="shared" si="1"/>
        <v>300</v>
      </c>
      <c r="M30" s="44">
        <v>1168</v>
      </c>
      <c r="N30" s="42">
        <f t="shared" si="2"/>
        <v>1468</v>
      </c>
      <c r="O30" s="48">
        <f t="shared" si="3"/>
        <v>175</v>
      </c>
      <c r="P30" s="43">
        <f t="shared" si="4"/>
        <v>1293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122</v>
      </c>
      <c r="C31" s="7">
        <v>5</v>
      </c>
      <c r="D31" s="6"/>
      <c r="E31" s="29" t="s">
        <v>43</v>
      </c>
      <c r="F31" s="29"/>
      <c r="G31" s="8">
        <v>3</v>
      </c>
      <c r="H31" s="8">
        <v>0</v>
      </c>
      <c r="I31" s="12" t="s">
        <v>35</v>
      </c>
      <c r="J31" s="9">
        <f t="shared" si="0"/>
        <v>300</v>
      </c>
      <c r="K31" s="8">
        <v>0</v>
      </c>
      <c r="L31" s="8">
        <f t="shared" si="1"/>
        <v>300</v>
      </c>
      <c r="M31" s="44">
        <v>1167</v>
      </c>
      <c r="N31" s="42">
        <f t="shared" si="2"/>
        <v>1467</v>
      </c>
      <c r="O31" s="48">
        <f t="shared" si="3"/>
        <v>175</v>
      </c>
      <c r="P31" s="43">
        <f t="shared" si="4"/>
        <v>1292</v>
      </c>
      <c r="Q31" s="21"/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121</v>
      </c>
      <c r="C32" s="7">
        <v>30</v>
      </c>
      <c r="D32" s="6"/>
      <c r="E32" s="29" t="s">
        <v>68</v>
      </c>
      <c r="F32" s="32"/>
      <c r="G32" s="8">
        <v>4</v>
      </c>
      <c r="H32" s="8">
        <v>0</v>
      </c>
      <c r="I32" s="12" t="s">
        <v>35</v>
      </c>
      <c r="J32" s="9">
        <f t="shared" si="0"/>
        <v>400</v>
      </c>
      <c r="K32" s="8">
        <v>0</v>
      </c>
      <c r="L32" s="8">
        <f t="shared" si="1"/>
        <v>400</v>
      </c>
      <c r="M32" s="44">
        <v>1041</v>
      </c>
      <c r="N32" s="42">
        <f t="shared" si="2"/>
        <v>1441</v>
      </c>
      <c r="O32" s="48">
        <f t="shared" si="3"/>
        <v>175</v>
      </c>
      <c r="P32" s="43">
        <f t="shared" si="4"/>
        <v>1266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110</v>
      </c>
      <c r="C33" s="7">
        <v>28</v>
      </c>
      <c r="D33" s="6"/>
      <c r="E33" s="29" t="s">
        <v>66</v>
      </c>
      <c r="F33" s="32"/>
      <c r="G33" s="8">
        <v>4</v>
      </c>
      <c r="H33" s="8">
        <v>0</v>
      </c>
      <c r="I33" s="12" t="s">
        <v>35</v>
      </c>
      <c r="J33" s="9">
        <f t="shared" si="0"/>
        <v>400</v>
      </c>
      <c r="K33" s="8">
        <v>0</v>
      </c>
      <c r="L33" s="8">
        <f t="shared" si="1"/>
        <v>400</v>
      </c>
      <c r="M33" s="44">
        <v>1022</v>
      </c>
      <c r="N33" s="42">
        <f t="shared" si="2"/>
        <v>1422</v>
      </c>
      <c r="O33" s="48">
        <f t="shared" si="3"/>
        <v>175</v>
      </c>
      <c r="P33" s="43">
        <f t="shared" si="4"/>
        <v>1247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119</v>
      </c>
      <c r="C34" s="7">
        <v>18</v>
      </c>
      <c r="D34" s="6"/>
      <c r="E34" s="29" t="s">
        <v>56</v>
      </c>
      <c r="F34" s="29"/>
      <c r="G34" s="8">
        <v>3</v>
      </c>
      <c r="H34" s="8">
        <v>0</v>
      </c>
      <c r="I34" s="12" t="s">
        <v>35</v>
      </c>
      <c r="J34" s="9">
        <f t="shared" si="0"/>
        <v>300</v>
      </c>
      <c r="K34" s="8">
        <v>0</v>
      </c>
      <c r="L34" s="8">
        <f t="shared" si="1"/>
        <v>300</v>
      </c>
      <c r="M34" s="44">
        <v>1118</v>
      </c>
      <c r="N34" s="42">
        <f t="shared" si="2"/>
        <v>1418</v>
      </c>
      <c r="O34" s="48">
        <f t="shared" si="3"/>
        <v>175</v>
      </c>
      <c r="P34" s="43">
        <f t="shared" si="4"/>
        <v>1243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111</v>
      </c>
      <c r="C35" s="7">
        <v>40</v>
      </c>
      <c r="D35" s="6"/>
      <c r="E35" s="30" t="s">
        <v>78</v>
      </c>
      <c r="G35" s="8">
        <v>3</v>
      </c>
      <c r="H35" s="8">
        <v>0</v>
      </c>
      <c r="I35" s="12" t="s">
        <v>35</v>
      </c>
      <c r="J35" s="9">
        <f t="shared" si="0"/>
        <v>300</v>
      </c>
      <c r="K35" s="8">
        <v>0</v>
      </c>
      <c r="L35" s="8">
        <f t="shared" si="1"/>
        <v>300</v>
      </c>
      <c r="M35" s="44">
        <v>1111</v>
      </c>
      <c r="N35" s="42">
        <f t="shared" si="2"/>
        <v>1411</v>
      </c>
      <c r="O35" s="48">
        <f t="shared" si="3"/>
        <v>175</v>
      </c>
      <c r="P35" s="43">
        <f t="shared" si="4"/>
        <v>1236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120</v>
      </c>
      <c r="C36" s="7">
        <v>13</v>
      </c>
      <c r="D36" s="6"/>
      <c r="E36" s="29" t="s">
        <v>51</v>
      </c>
      <c r="F36" s="29"/>
      <c r="G36" s="8">
        <v>2</v>
      </c>
      <c r="H36" s="8">
        <v>0</v>
      </c>
      <c r="I36" s="12" t="s">
        <v>35</v>
      </c>
      <c r="J36" s="9">
        <f t="shared" si="0"/>
        <v>200</v>
      </c>
      <c r="K36" s="8">
        <v>0</v>
      </c>
      <c r="L36" s="8">
        <f t="shared" si="1"/>
        <v>200</v>
      </c>
      <c r="M36" s="44">
        <v>1208</v>
      </c>
      <c r="N36" s="42">
        <f t="shared" si="2"/>
        <v>1408</v>
      </c>
      <c r="O36" s="48">
        <f t="shared" si="3"/>
        <v>175</v>
      </c>
      <c r="P36" s="43">
        <f t="shared" si="4"/>
        <v>1233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114</v>
      </c>
      <c r="C37" s="7">
        <v>52</v>
      </c>
      <c r="D37" s="6"/>
      <c r="E37" s="29" t="s">
        <v>90</v>
      </c>
      <c r="G37" s="8">
        <v>2</v>
      </c>
      <c r="H37" s="8">
        <v>0</v>
      </c>
      <c r="I37" s="12" t="s">
        <v>35</v>
      </c>
      <c r="J37" s="9">
        <f t="shared" ref="J37:J69" si="5">G37*100</f>
        <v>200</v>
      </c>
      <c r="K37" s="8">
        <v>0</v>
      </c>
      <c r="L37" s="8">
        <f t="shared" ref="L37:L68" si="6">SUM(J37+K37)</f>
        <v>200</v>
      </c>
      <c r="M37" s="44">
        <v>1192</v>
      </c>
      <c r="N37" s="42">
        <f t="shared" ref="N37:N68" si="7">M37+L37</f>
        <v>1392</v>
      </c>
      <c r="O37" s="48">
        <f t="shared" ref="O37:O69" si="8">VLOOKUP(I37,$R$3:$S$10,2,FALSE)</f>
        <v>175</v>
      </c>
      <c r="P37" s="43">
        <f t="shared" ref="P37:P68" si="9">IF(N37-O37&gt;0,N37-O37,0)</f>
        <v>1217</v>
      </c>
      <c r="Q37" s="1"/>
    </row>
    <row r="38" spans="1:27" s="1" customFormat="1" ht="18.75">
      <c r="A38" s="7">
        <v>1</v>
      </c>
      <c r="B38" s="7" t="s">
        <v>122</v>
      </c>
      <c r="C38" s="7">
        <v>43</v>
      </c>
      <c r="D38" s="6"/>
      <c r="E38" s="29" t="s">
        <v>81</v>
      </c>
      <c r="F38" s="31"/>
      <c r="G38" s="8">
        <v>2</v>
      </c>
      <c r="H38" s="8">
        <v>0</v>
      </c>
      <c r="I38" s="12" t="s">
        <v>35</v>
      </c>
      <c r="J38" s="9">
        <f t="shared" si="5"/>
        <v>200</v>
      </c>
      <c r="K38" s="8">
        <v>0</v>
      </c>
      <c r="L38" s="8">
        <f t="shared" si="6"/>
        <v>200</v>
      </c>
      <c r="M38" s="44">
        <v>1190</v>
      </c>
      <c r="N38" s="42">
        <f t="shared" si="7"/>
        <v>1390</v>
      </c>
      <c r="O38" s="48">
        <f t="shared" si="8"/>
        <v>175</v>
      </c>
      <c r="P38" s="43">
        <f t="shared" si="9"/>
        <v>1215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118</v>
      </c>
      <c r="C39" s="7">
        <v>50</v>
      </c>
      <c r="D39" s="6"/>
      <c r="E39" s="29" t="s">
        <v>88</v>
      </c>
      <c r="F39" s="29"/>
      <c r="G39" s="8">
        <v>3</v>
      </c>
      <c r="H39" s="8">
        <v>0</v>
      </c>
      <c r="I39" s="12" t="s">
        <v>35</v>
      </c>
      <c r="J39" s="9">
        <f t="shared" si="5"/>
        <v>300</v>
      </c>
      <c r="K39" s="8">
        <v>0</v>
      </c>
      <c r="L39" s="8">
        <f t="shared" si="6"/>
        <v>300</v>
      </c>
      <c r="M39" s="44">
        <v>1041</v>
      </c>
      <c r="N39" s="42">
        <f t="shared" si="7"/>
        <v>1341</v>
      </c>
      <c r="O39" s="48">
        <f t="shared" si="8"/>
        <v>175</v>
      </c>
      <c r="P39" s="43">
        <f t="shared" si="9"/>
        <v>1166</v>
      </c>
      <c r="Q39" s="1"/>
    </row>
    <row r="40" spans="1:27" ht="18.75">
      <c r="A40" s="7">
        <v>1</v>
      </c>
      <c r="B40" s="7" t="s">
        <v>121</v>
      </c>
      <c r="C40" s="7">
        <v>4</v>
      </c>
      <c r="D40" s="6"/>
      <c r="E40" s="29" t="s">
        <v>42</v>
      </c>
      <c r="F40" s="29"/>
      <c r="G40" s="8">
        <v>4</v>
      </c>
      <c r="H40" s="8">
        <v>0</v>
      </c>
      <c r="I40" s="12" t="s">
        <v>35</v>
      </c>
      <c r="J40" s="9">
        <f t="shared" si="5"/>
        <v>400</v>
      </c>
      <c r="K40" s="8">
        <v>0</v>
      </c>
      <c r="L40" s="8">
        <f t="shared" si="6"/>
        <v>400</v>
      </c>
      <c r="M40" s="44">
        <v>894</v>
      </c>
      <c r="N40" s="42">
        <f t="shared" si="7"/>
        <v>1294</v>
      </c>
      <c r="O40" s="48">
        <f t="shared" si="8"/>
        <v>175</v>
      </c>
      <c r="P40" s="43">
        <f t="shared" si="9"/>
        <v>1119</v>
      </c>
      <c r="Q40" s="9"/>
    </row>
    <row r="41" spans="1:27" ht="18.75">
      <c r="A41" s="7">
        <v>1</v>
      </c>
      <c r="B41" s="7" t="s">
        <v>112</v>
      </c>
      <c r="C41" s="7">
        <v>15</v>
      </c>
      <c r="D41" s="6"/>
      <c r="E41" s="29" t="s">
        <v>53</v>
      </c>
      <c r="F41" s="29"/>
      <c r="G41" s="8">
        <v>2</v>
      </c>
      <c r="H41" s="8">
        <v>0</v>
      </c>
      <c r="I41" s="12" t="s">
        <v>35</v>
      </c>
      <c r="J41" s="9">
        <f t="shared" si="5"/>
        <v>200</v>
      </c>
      <c r="K41" s="8">
        <v>0</v>
      </c>
      <c r="L41" s="8">
        <f t="shared" si="6"/>
        <v>200</v>
      </c>
      <c r="M41" s="44">
        <v>1092</v>
      </c>
      <c r="N41" s="42">
        <f t="shared" si="7"/>
        <v>1292</v>
      </c>
      <c r="O41" s="48">
        <f t="shared" si="8"/>
        <v>175</v>
      </c>
      <c r="P41" s="43">
        <f t="shared" si="9"/>
        <v>1117</v>
      </c>
      <c r="Q41" s="1"/>
    </row>
    <row r="42" spans="1:27" ht="18.75">
      <c r="A42" s="7">
        <v>1</v>
      </c>
      <c r="B42" s="7" t="s">
        <v>112</v>
      </c>
      <c r="C42" s="7">
        <v>53</v>
      </c>
      <c r="D42" s="6"/>
      <c r="E42" s="29" t="s">
        <v>91</v>
      </c>
      <c r="F42" s="29"/>
      <c r="G42" s="8">
        <v>2</v>
      </c>
      <c r="H42" s="8">
        <v>0</v>
      </c>
      <c r="I42" s="12" t="s">
        <v>35</v>
      </c>
      <c r="J42" s="9">
        <f t="shared" si="5"/>
        <v>200</v>
      </c>
      <c r="K42" s="8">
        <v>0</v>
      </c>
      <c r="L42" s="8">
        <f t="shared" si="6"/>
        <v>200</v>
      </c>
      <c r="M42" s="44">
        <v>1085</v>
      </c>
      <c r="N42" s="42">
        <f t="shared" si="7"/>
        <v>1285</v>
      </c>
      <c r="O42" s="48">
        <f t="shared" si="8"/>
        <v>175</v>
      </c>
      <c r="P42" s="43">
        <f t="shared" si="9"/>
        <v>1110</v>
      </c>
      <c r="Q42" s="1"/>
    </row>
    <row r="43" spans="1:27" ht="18.75">
      <c r="A43" s="7">
        <v>1</v>
      </c>
      <c r="B43" s="7" t="s">
        <v>120</v>
      </c>
      <c r="C43" s="7">
        <v>6</v>
      </c>
      <c r="D43" s="6"/>
      <c r="E43" s="29" t="s">
        <v>44</v>
      </c>
      <c r="F43" s="29"/>
      <c r="G43" s="8">
        <v>4</v>
      </c>
      <c r="H43" s="8">
        <v>0</v>
      </c>
      <c r="I43" s="12" t="s">
        <v>35</v>
      </c>
      <c r="J43" s="9">
        <f t="shared" si="5"/>
        <v>400</v>
      </c>
      <c r="K43" s="8">
        <v>0</v>
      </c>
      <c r="L43" s="8">
        <f t="shared" si="6"/>
        <v>400</v>
      </c>
      <c r="M43" s="44">
        <v>839</v>
      </c>
      <c r="N43" s="42">
        <f t="shared" si="7"/>
        <v>1239</v>
      </c>
      <c r="O43" s="48">
        <f t="shared" si="8"/>
        <v>175</v>
      </c>
      <c r="P43" s="43">
        <f t="shared" si="9"/>
        <v>1064</v>
      </c>
      <c r="Q43" s="15"/>
    </row>
    <row r="44" spans="1:27" ht="18.75">
      <c r="A44" s="7">
        <v>1</v>
      </c>
      <c r="B44" s="7" t="s">
        <v>113</v>
      </c>
      <c r="C44" s="7">
        <v>64</v>
      </c>
      <c r="D44" s="6"/>
      <c r="E44" s="29" t="s">
        <v>102</v>
      </c>
      <c r="F44" s="29"/>
      <c r="G44" s="8">
        <v>3</v>
      </c>
      <c r="H44" s="8">
        <v>0</v>
      </c>
      <c r="I44" s="12" t="s">
        <v>35</v>
      </c>
      <c r="J44" s="9">
        <f t="shared" si="5"/>
        <v>300</v>
      </c>
      <c r="K44" s="8">
        <v>0</v>
      </c>
      <c r="L44" s="8">
        <f t="shared" si="6"/>
        <v>300</v>
      </c>
      <c r="M44" s="44">
        <v>894</v>
      </c>
      <c r="N44" s="42">
        <f t="shared" si="7"/>
        <v>1194</v>
      </c>
      <c r="O44" s="48">
        <f t="shared" si="8"/>
        <v>175</v>
      </c>
      <c r="P44" s="43">
        <f t="shared" si="9"/>
        <v>1019</v>
      </c>
      <c r="Q44" s="1"/>
    </row>
    <row r="45" spans="1:27" ht="18.75">
      <c r="A45" s="7">
        <v>1</v>
      </c>
      <c r="B45" s="7" t="s">
        <v>115</v>
      </c>
      <c r="C45" s="7">
        <v>56</v>
      </c>
      <c r="D45" s="6"/>
      <c r="E45" s="29" t="s">
        <v>94</v>
      </c>
      <c r="F45" s="29"/>
      <c r="G45" s="8">
        <v>3</v>
      </c>
      <c r="H45" s="8">
        <v>0</v>
      </c>
      <c r="I45" s="12" t="s">
        <v>35</v>
      </c>
      <c r="J45" s="9">
        <f t="shared" si="5"/>
        <v>300</v>
      </c>
      <c r="K45" s="8">
        <v>0</v>
      </c>
      <c r="L45" s="8">
        <f t="shared" si="6"/>
        <v>300</v>
      </c>
      <c r="M45" s="44">
        <v>876</v>
      </c>
      <c r="N45" s="42">
        <f t="shared" si="7"/>
        <v>1176</v>
      </c>
      <c r="O45" s="48">
        <f t="shared" si="8"/>
        <v>175</v>
      </c>
      <c r="P45" s="43">
        <f t="shared" si="9"/>
        <v>1001</v>
      </c>
      <c r="Q45" s="1"/>
    </row>
    <row r="46" spans="1:27" ht="18.75">
      <c r="A46" s="7">
        <v>1</v>
      </c>
      <c r="B46" s="7" t="s">
        <v>113</v>
      </c>
      <c r="C46" s="7">
        <v>25</v>
      </c>
      <c r="D46" s="6"/>
      <c r="E46" s="29" t="s">
        <v>63</v>
      </c>
      <c r="F46" s="32"/>
      <c r="G46" s="8">
        <v>4</v>
      </c>
      <c r="H46" s="8">
        <v>0</v>
      </c>
      <c r="I46" s="12" t="s">
        <v>35</v>
      </c>
      <c r="J46" s="9">
        <f t="shared" si="5"/>
        <v>400</v>
      </c>
      <c r="K46" s="8">
        <v>0</v>
      </c>
      <c r="L46" s="8">
        <f t="shared" si="6"/>
        <v>400</v>
      </c>
      <c r="M46" s="44">
        <v>725</v>
      </c>
      <c r="N46" s="42">
        <f t="shared" si="7"/>
        <v>1125</v>
      </c>
      <c r="O46" s="48">
        <f t="shared" si="8"/>
        <v>175</v>
      </c>
      <c r="P46" s="43">
        <f t="shared" si="9"/>
        <v>950</v>
      </c>
      <c r="Q46" s="1"/>
    </row>
    <row r="47" spans="1:27" ht="18.75">
      <c r="A47" s="7">
        <v>1</v>
      </c>
      <c r="B47" s="7" t="s">
        <v>115</v>
      </c>
      <c r="C47" s="7">
        <v>26</v>
      </c>
      <c r="D47" s="6"/>
      <c r="E47" s="29" t="s">
        <v>64</v>
      </c>
      <c r="F47" s="32"/>
      <c r="G47" s="8">
        <v>4</v>
      </c>
      <c r="H47" s="8">
        <v>0</v>
      </c>
      <c r="I47" s="12" t="s">
        <v>35</v>
      </c>
      <c r="J47" s="9">
        <f t="shared" si="5"/>
        <v>400</v>
      </c>
      <c r="K47" s="8">
        <v>0</v>
      </c>
      <c r="L47" s="8">
        <f t="shared" si="6"/>
        <v>400</v>
      </c>
      <c r="M47" s="44">
        <v>694</v>
      </c>
      <c r="N47" s="42">
        <f t="shared" si="7"/>
        <v>1094</v>
      </c>
      <c r="O47" s="48">
        <f t="shared" si="8"/>
        <v>175</v>
      </c>
      <c r="P47" s="43">
        <f t="shared" si="9"/>
        <v>919</v>
      </c>
      <c r="Q47" s="1"/>
    </row>
    <row r="48" spans="1:27" ht="18.75">
      <c r="A48" s="7">
        <v>1</v>
      </c>
      <c r="B48" s="7" t="s">
        <v>109</v>
      </c>
      <c r="C48" s="7">
        <v>39</v>
      </c>
      <c r="D48" s="6"/>
      <c r="E48" s="29" t="s">
        <v>77</v>
      </c>
      <c r="F48" s="29"/>
      <c r="G48" s="8">
        <v>4</v>
      </c>
      <c r="H48" s="8">
        <v>0</v>
      </c>
      <c r="I48" s="12" t="s">
        <v>35</v>
      </c>
      <c r="J48" s="9">
        <f t="shared" si="5"/>
        <v>400</v>
      </c>
      <c r="K48" s="8">
        <v>0</v>
      </c>
      <c r="L48" s="8">
        <f t="shared" si="6"/>
        <v>400</v>
      </c>
      <c r="M48" s="44">
        <v>675</v>
      </c>
      <c r="N48" s="42">
        <f t="shared" si="7"/>
        <v>1075</v>
      </c>
      <c r="O48" s="48">
        <f t="shared" si="8"/>
        <v>175</v>
      </c>
      <c r="P48" s="43">
        <f t="shared" si="9"/>
        <v>900</v>
      </c>
    </row>
    <row r="49" spans="1:17" ht="18.75">
      <c r="A49" s="7">
        <v>1</v>
      </c>
      <c r="B49" s="7" t="s">
        <v>110</v>
      </c>
      <c r="C49" s="7">
        <v>54</v>
      </c>
      <c r="D49" s="6"/>
      <c r="E49" s="29" t="s">
        <v>92</v>
      </c>
      <c r="G49" s="8">
        <v>4</v>
      </c>
      <c r="H49" s="8">
        <v>0</v>
      </c>
      <c r="I49" s="12" t="s">
        <v>35</v>
      </c>
      <c r="J49" s="9">
        <f t="shared" si="5"/>
        <v>400</v>
      </c>
      <c r="K49" s="8">
        <v>0</v>
      </c>
      <c r="L49" s="8">
        <f t="shared" si="6"/>
        <v>400</v>
      </c>
      <c r="M49" s="44">
        <v>650</v>
      </c>
      <c r="N49" s="42">
        <f t="shared" si="7"/>
        <v>1050</v>
      </c>
      <c r="O49" s="48">
        <f t="shared" si="8"/>
        <v>175</v>
      </c>
      <c r="P49" s="43">
        <f t="shared" si="9"/>
        <v>875</v>
      </c>
    </row>
    <row r="50" spans="1:17" ht="18.75">
      <c r="A50" s="7">
        <v>1</v>
      </c>
      <c r="B50" s="7" t="s">
        <v>118</v>
      </c>
      <c r="C50" s="7">
        <v>16</v>
      </c>
      <c r="D50" s="6"/>
      <c r="E50" s="29" t="s">
        <v>54</v>
      </c>
      <c r="F50" s="32"/>
      <c r="G50" s="8">
        <v>2</v>
      </c>
      <c r="H50" s="8">
        <v>0</v>
      </c>
      <c r="I50" s="12" t="s">
        <v>35</v>
      </c>
      <c r="J50" s="9">
        <f t="shared" si="5"/>
        <v>200</v>
      </c>
      <c r="K50" s="8">
        <v>0</v>
      </c>
      <c r="L50" s="8">
        <f t="shared" si="6"/>
        <v>200</v>
      </c>
      <c r="M50" s="44">
        <v>785</v>
      </c>
      <c r="N50" s="42">
        <f t="shared" si="7"/>
        <v>985</v>
      </c>
      <c r="O50" s="48">
        <f t="shared" si="8"/>
        <v>175</v>
      </c>
      <c r="P50" s="43">
        <f t="shared" si="9"/>
        <v>810</v>
      </c>
    </row>
    <row r="51" spans="1:17" ht="18.75">
      <c r="A51" s="7">
        <v>1</v>
      </c>
      <c r="B51" s="7" t="s">
        <v>126</v>
      </c>
      <c r="C51" s="7">
        <v>41</v>
      </c>
      <c r="D51" s="6"/>
      <c r="E51" s="29" t="s">
        <v>79</v>
      </c>
      <c r="F51" s="32"/>
      <c r="G51" s="8">
        <v>3</v>
      </c>
      <c r="H51" s="8">
        <v>0</v>
      </c>
      <c r="I51" s="12" t="s">
        <v>35</v>
      </c>
      <c r="J51" s="9">
        <f t="shared" si="5"/>
        <v>300</v>
      </c>
      <c r="K51" s="8">
        <v>0</v>
      </c>
      <c r="L51" s="8">
        <f t="shared" si="6"/>
        <v>300</v>
      </c>
      <c r="M51" s="44">
        <v>676</v>
      </c>
      <c r="N51" s="42">
        <f t="shared" si="7"/>
        <v>976</v>
      </c>
      <c r="O51" s="48">
        <f t="shared" si="8"/>
        <v>175</v>
      </c>
      <c r="P51" s="43">
        <f t="shared" si="9"/>
        <v>801</v>
      </c>
    </row>
    <row r="52" spans="1:17" ht="18.75">
      <c r="A52" s="7">
        <v>1</v>
      </c>
      <c r="B52" s="7" t="s">
        <v>117</v>
      </c>
      <c r="C52" s="7">
        <v>9</v>
      </c>
      <c r="D52" s="6"/>
      <c r="E52" s="29" t="s">
        <v>47</v>
      </c>
      <c r="F52" s="33"/>
      <c r="G52" s="8">
        <v>0</v>
      </c>
      <c r="H52" s="8">
        <v>0</v>
      </c>
      <c r="I52" s="27" t="s">
        <v>23</v>
      </c>
      <c r="J52" s="9">
        <f t="shared" si="5"/>
        <v>0</v>
      </c>
      <c r="K52" s="8">
        <v>0</v>
      </c>
      <c r="L52" s="8">
        <f t="shared" si="6"/>
        <v>0</v>
      </c>
      <c r="M52" s="44">
        <v>961</v>
      </c>
      <c r="N52" s="42">
        <f t="shared" si="7"/>
        <v>961</v>
      </c>
      <c r="O52" s="48">
        <f t="shared" si="8"/>
        <v>0</v>
      </c>
      <c r="P52" s="43">
        <f t="shared" si="9"/>
        <v>961</v>
      </c>
      <c r="Q52" s="45"/>
    </row>
    <row r="53" spans="1:17" ht="18.75">
      <c r="A53" s="7">
        <v>1</v>
      </c>
      <c r="B53" s="7" t="s">
        <v>123</v>
      </c>
      <c r="C53" s="7">
        <v>23</v>
      </c>
      <c r="D53" s="6"/>
      <c r="E53" s="29" t="s">
        <v>61</v>
      </c>
      <c r="F53" s="32"/>
      <c r="G53" s="8">
        <v>0</v>
      </c>
      <c r="H53" s="8">
        <v>0</v>
      </c>
      <c r="I53" s="27" t="s">
        <v>23</v>
      </c>
      <c r="J53" s="9">
        <f t="shared" si="5"/>
        <v>0</v>
      </c>
      <c r="K53" s="8">
        <v>0</v>
      </c>
      <c r="L53" s="8">
        <f t="shared" si="6"/>
        <v>0</v>
      </c>
      <c r="M53" s="44">
        <v>951</v>
      </c>
      <c r="N53" s="42">
        <f t="shared" si="7"/>
        <v>951</v>
      </c>
      <c r="O53" s="48">
        <f t="shared" si="8"/>
        <v>0</v>
      </c>
      <c r="P53" s="43">
        <f t="shared" si="9"/>
        <v>951</v>
      </c>
    </row>
    <row r="54" spans="1:17" ht="18.75">
      <c r="A54" s="7">
        <v>1</v>
      </c>
      <c r="B54" s="7" t="s">
        <v>114</v>
      </c>
      <c r="C54" s="7">
        <v>33</v>
      </c>
      <c r="D54" s="6"/>
      <c r="E54" s="29" t="s">
        <v>71</v>
      </c>
      <c r="F54" s="29"/>
      <c r="G54" s="8">
        <v>3</v>
      </c>
      <c r="H54" s="8">
        <v>0</v>
      </c>
      <c r="I54" s="12" t="s">
        <v>35</v>
      </c>
      <c r="J54" s="9">
        <f t="shared" si="5"/>
        <v>300</v>
      </c>
      <c r="K54" s="8">
        <v>0</v>
      </c>
      <c r="L54" s="8">
        <f t="shared" si="6"/>
        <v>300</v>
      </c>
      <c r="M54" s="44">
        <v>578</v>
      </c>
      <c r="N54" s="42">
        <f t="shared" si="7"/>
        <v>878</v>
      </c>
      <c r="O54" s="48">
        <f t="shared" si="8"/>
        <v>175</v>
      </c>
      <c r="P54" s="43">
        <f t="shared" si="9"/>
        <v>703</v>
      </c>
    </row>
    <row r="55" spans="1:17" ht="18.75">
      <c r="A55" s="7">
        <v>1</v>
      </c>
      <c r="B55" s="7" t="s">
        <v>108</v>
      </c>
      <c r="C55" s="7">
        <v>38</v>
      </c>
      <c r="D55" s="6"/>
      <c r="E55" s="29" t="s">
        <v>76</v>
      </c>
      <c r="F55" s="29"/>
      <c r="G55" s="8">
        <v>4</v>
      </c>
      <c r="H55" s="8">
        <v>0</v>
      </c>
      <c r="I55" s="12" t="s">
        <v>35</v>
      </c>
      <c r="J55" s="9">
        <f t="shared" si="5"/>
        <v>400</v>
      </c>
      <c r="K55" s="8">
        <v>0</v>
      </c>
      <c r="L55" s="8">
        <f t="shared" si="6"/>
        <v>400</v>
      </c>
      <c r="M55" s="44">
        <v>325</v>
      </c>
      <c r="N55" s="42">
        <f t="shared" si="7"/>
        <v>725</v>
      </c>
      <c r="O55" s="48">
        <f t="shared" si="8"/>
        <v>175</v>
      </c>
      <c r="P55" s="43">
        <f t="shared" si="9"/>
        <v>550</v>
      </c>
    </row>
    <row r="56" spans="1:17" ht="18.75">
      <c r="A56" s="7">
        <v>1</v>
      </c>
      <c r="B56" s="7" t="s">
        <v>118</v>
      </c>
      <c r="C56" s="7">
        <v>65</v>
      </c>
      <c r="E56" s="29" t="s">
        <v>105</v>
      </c>
      <c r="G56" s="8">
        <v>2</v>
      </c>
      <c r="H56" s="8">
        <v>0</v>
      </c>
      <c r="I56" s="12" t="s">
        <v>35</v>
      </c>
      <c r="J56" s="9">
        <f t="shared" si="5"/>
        <v>200</v>
      </c>
      <c r="K56" s="8">
        <v>0</v>
      </c>
      <c r="L56" s="8">
        <f t="shared" si="6"/>
        <v>200</v>
      </c>
      <c r="M56" s="44">
        <v>500</v>
      </c>
      <c r="N56" s="42">
        <f t="shared" si="7"/>
        <v>700</v>
      </c>
      <c r="O56" s="48">
        <f t="shared" si="8"/>
        <v>175</v>
      </c>
      <c r="P56" s="43">
        <f t="shared" si="9"/>
        <v>525</v>
      </c>
    </row>
    <row r="57" spans="1:17" ht="18.75">
      <c r="A57" s="7">
        <v>1</v>
      </c>
      <c r="B57" s="7" t="s">
        <v>108</v>
      </c>
      <c r="C57" s="7">
        <v>44</v>
      </c>
      <c r="D57" s="6"/>
      <c r="E57" s="29" t="s">
        <v>82</v>
      </c>
      <c r="F57" s="29"/>
      <c r="G57" s="8">
        <v>3</v>
      </c>
      <c r="H57" s="8">
        <v>0</v>
      </c>
      <c r="I57" s="12" t="s">
        <v>35</v>
      </c>
      <c r="J57" s="9">
        <f t="shared" si="5"/>
        <v>300</v>
      </c>
      <c r="K57" s="8">
        <v>0</v>
      </c>
      <c r="L57" s="8">
        <f t="shared" si="6"/>
        <v>300</v>
      </c>
      <c r="M57" s="44">
        <v>329</v>
      </c>
      <c r="N57" s="42">
        <f t="shared" si="7"/>
        <v>629</v>
      </c>
      <c r="O57" s="48">
        <f t="shared" si="8"/>
        <v>175</v>
      </c>
      <c r="P57" s="43">
        <f t="shared" si="9"/>
        <v>454</v>
      </c>
    </row>
    <row r="58" spans="1:17" ht="18.75">
      <c r="A58" s="7">
        <v>1</v>
      </c>
      <c r="B58" s="7" t="s">
        <v>112</v>
      </c>
      <c r="C58" s="7">
        <v>57</v>
      </c>
      <c r="D58" s="6"/>
      <c r="E58" s="29" t="s">
        <v>95</v>
      </c>
      <c r="G58" s="8">
        <v>0</v>
      </c>
      <c r="H58" s="8">
        <v>0</v>
      </c>
      <c r="I58" s="27" t="s">
        <v>23</v>
      </c>
      <c r="J58" s="9">
        <f t="shared" si="5"/>
        <v>0</v>
      </c>
      <c r="K58" s="8">
        <v>0</v>
      </c>
      <c r="L58" s="8">
        <f t="shared" si="6"/>
        <v>0</v>
      </c>
      <c r="M58" s="44">
        <v>410</v>
      </c>
      <c r="N58" s="42">
        <f t="shared" si="7"/>
        <v>410</v>
      </c>
      <c r="O58" s="48">
        <f t="shared" si="8"/>
        <v>0</v>
      </c>
      <c r="P58" s="43">
        <f t="shared" si="9"/>
        <v>410</v>
      </c>
    </row>
    <row r="59" spans="1:17" ht="18.75">
      <c r="A59" s="7">
        <v>1</v>
      </c>
      <c r="B59" s="7" t="s">
        <v>122</v>
      </c>
      <c r="C59" s="7">
        <v>61</v>
      </c>
      <c r="D59" s="6"/>
      <c r="E59" s="29" t="s">
        <v>99</v>
      </c>
      <c r="F59" s="29"/>
      <c r="G59" s="8">
        <v>0</v>
      </c>
      <c r="H59" s="8">
        <v>0</v>
      </c>
      <c r="I59" s="27" t="s">
        <v>23</v>
      </c>
      <c r="J59" s="9">
        <f t="shared" si="5"/>
        <v>0</v>
      </c>
      <c r="K59" s="8">
        <v>0</v>
      </c>
      <c r="L59" s="8">
        <f t="shared" si="6"/>
        <v>0</v>
      </c>
      <c r="M59" s="44">
        <v>225</v>
      </c>
      <c r="N59" s="42">
        <f t="shared" si="7"/>
        <v>225</v>
      </c>
      <c r="O59" s="48">
        <f t="shared" si="8"/>
        <v>0</v>
      </c>
      <c r="P59" s="43">
        <f t="shared" si="9"/>
        <v>225</v>
      </c>
    </row>
    <row r="60" spans="1:17" ht="18.75">
      <c r="A60" s="7">
        <v>1</v>
      </c>
      <c r="B60" s="7" t="s">
        <v>122</v>
      </c>
      <c r="C60" s="7">
        <v>34</v>
      </c>
      <c r="D60" s="6"/>
      <c r="E60" s="29" t="s">
        <v>72</v>
      </c>
      <c r="F60" s="29"/>
      <c r="G60" s="8">
        <v>0</v>
      </c>
      <c r="H60" s="8">
        <v>0</v>
      </c>
      <c r="I60" s="27" t="s">
        <v>23</v>
      </c>
      <c r="J60" s="9">
        <f t="shared" si="5"/>
        <v>0</v>
      </c>
      <c r="K60" s="8">
        <v>0</v>
      </c>
      <c r="L60" s="8">
        <f t="shared" si="6"/>
        <v>0</v>
      </c>
      <c r="M60" s="44">
        <v>219</v>
      </c>
      <c r="N60" s="42">
        <f t="shared" si="7"/>
        <v>219</v>
      </c>
      <c r="O60" s="48">
        <f t="shared" si="8"/>
        <v>0</v>
      </c>
      <c r="P60" s="43">
        <f t="shared" si="9"/>
        <v>219</v>
      </c>
    </row>
    <row r="61" spans="1:17" ht="18.75">
      <c r="A61" s="7">
        <v>1</v>
      </c>
      <c r="B61" s="7" t="s">
        <v>110</v>
      </c>
      <c r="C61" s="7">
        <v>31</v>
      </c>
      <c r="D61" s="6"/>
      <c r="E61" s="29" t="s">
        <v>69</v>
      </c>
      <c r="F61" s="32"/>
      <c r="G61" s="8">
        <v>2</v>
      </c>
      <c r="H61" s="8">
        <v>0</v>
      </c>
      <c r="I61" s="12" t="s">
        <v>35</v>
      </c>
      <c r="J61" s="9">
        <f t="shared" si="5"/>
        <v>200</v>
      </c>
      <c r="K61" s="8">
        <v>0</v>
      </c>
      <c r="L61" s="8">
        <f t="shared" si="6"/>
        <v>200</v>
      </c>
      <c r="M61" s="44">
        <v>0</v>
      </c>
      <c r="N61" s="42">
        <f t="shared" si="7"/>
        <v>200</v>
      </c>
      <c r="O61" s="48">
        <f t="shared" si="8"/>
        <v>175</v>
      </c>
      <c r="P61" s="43">
        <f t="shared" si="9"/>
        <v>25</v>
      </c>
    </row>
    <row r="62" spans="1:17" ht="18.75">
      <c r="A62" s="7">
        <v>1</v>
      </c>
      <c r="B62" s="7" t="s">
        <v>122</v>
      </c>
      <c r="C62" s="7">
        <v>7</v>
      </c>
      <c r="D62" s="6"/>
      <c r="E62" s="29" t="s">
        <v>45</v>
      </c>
      <c r="F62" s="29"/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138</v>
      </c>
      <c r="N62" s="42">
        <f t="shared" si="7"/>
        <v>138</v>
      </c>
      <c r="O62" s="48">
        <f t="shared" si="8"/>
        <v>0</v>
      </c>
      <c r="P62" s="43">
        <f t="shared" si="9"/>
        <v>138</v>
      </c>
      <c r="Q62" s="40"/>
    </row>
    <row r="63" spans="1:17" ht="18.75">
      <c r="A63" s="7">
        <v>1</v>
      </c>
      <c r="B63" s="7" t="s">
        <v>116</v>
      </c>
      <c r="C63" s="7">
        <v>60</v>
      </c>
      <c r="D63" s="6"/>
      <c r="E63" s="29" t="s">
        <v>98</v>
      </c>
      <c r="G63" s="8">
        <v>1</v>
      </c>
      <c r="H63" s="8">
        <v>0</v>
      </c>
      <c r="I63" s="12" t="s">
        <v>35</v>
      </c>
      <c r="J63" s="9">
        <f t="shared" si="5"/>
        <v>100</v>
      </c>
      <c r="K63" s="8">
        <v>0</v>
      </c>
      <c r="L63" s="8">
        <f t="shared" si="6"/>
        <v>100</v>
      </c>
      <c r="M63" s="44">
        <v>25</v>
      </c>
      <c r="N63" s="42">
        <f t="shared" si="7"/>
        <v>125</v>
      </c>
      <c r="O63" s="48">
        <f t="shared" si="8"/>
        <v>175</v>
      </c>
      <c r="P63" s="43">
        <f t="shared" si="9"/>
        <v>0</v>
      </c>
    </row>
    <row r="64" spans="1:17" ht="18.75">
      <c r="A64" s="7">
        <v>1</v>
      </c>
      <c r="B64" s="7" t="s">
        <v>125</v>
      </c>
      <c r="C64" s="7">
        <v>59</v>
      </c>
      <c r="D64" s="6"/>
      <c r="E64" s="29" t="s">
        <v>97</v>
      </c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0</v>
      </c>
      <c r="N64" s="42">
        <f t="shared" si="7"/>
        <v>0</v>
      </c>
      <c r="O64" s="48">
        <f t="shared" si="8"/>
        <v>0</v>
      </c>
      <c r="P64" s="43">
        <f t="shared" si="9"/>
        <v>0</v>
      </c>
    </row>
    <row r="65" spans="1:17" ht="18.75">
      <c r="A65" s="7">
        <v>1</v>
      </c>
      <c r="B65" s="7" t="s">
        <v>118</v>
      </c>
      <c r="C65" s="7">
        <v>51</v>
      </c>
      <c r="D65" s="6"/>
      <c r="E65" s="29" t="s">
        <v>89</v>
      </c>
      <c r="F65" s="29"/>
      <c r="G65" s="8">
        <v>0</v>
      </c>
      <c r="H65" s="8">
        <v>0</v>
      </c>
      <c r="I65" s="27" t="s">
        <v>23</v>
      </c>
      <c r="J65" s="9">
        <f t="shared" si="5"/>
        <v>0</v>
      </c>
      <c r="K65" s="8">
        <v>0</v>
      </c>
      <c r="L65" s="8">
        <f t="shared" si="6"/>
        <v>0</v>
      </c>
      <c r="M65" s="44">
        <v>0</v>
      </c>
      <c r="N65" s="42">
        <f t="shared" si="7"/>
        <v>0</v>
      </c>
      <c r="O65" s="48">
        <f t="shared" si="8"/>
        <v>0</v>
      </c>
      <c r="P65" s="43">
        <f t="shared" si="9"/>
        <v>0</v>
      </c>
    </row>
    <row r="66" spans="1:17" ht="18.75">
      <c r="A66" s="7">
        <v>1</v>
      </c>
      <c r="B66" s="7" t="s">
        <v>122</v>
      </c>
      <c r="C66" s="7">
        <v>27</v>
      </c>
      <c r="D66" s="6"/>
      <c r="E66" s="29" t="s">
        <v>65</v>
      </c>
      <c r="F66" s="32"/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0</v>
      </c>
      <c r="N66" s="42">
        <f t="shared" si="7"/>
        <v>0</v>
      </c>
      <c r="O66" s="48">
        <f t="shared" si="8"/>
        <v>0</v>
      </c>
      <c r="P66" s="43">
        <f t="shared" si="9"/>
        <v>0</v>
      </c>
    </row>
    <row r="67" spans="1:17" ht="18.75">
      <c r="A67" s="7">
        <v>1</v>
      </c>
      <c r="B67" s="7" t="s">
        <v>108</v>
      </c>
      <c r="C67" s="7">
        <v>8</v>
      </c>
      <c r="D67" s="6"/>
      <c r="E67" s="29" t="s">
        <v>46</v>
      </c>
      <c r="F67" s="29"/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0</v>
      </c>
      <c r="N67" s="42">
        <f t="shared" si="7"/>
        <v>0</v>
      </c>
      <c r="O67" s="48">
        <f t="shared" si="8"/>
        <v>0</v>
      </c>
      <c r="P67" s="43">
        <f t="shared" si="9"/>
        <v>0</v>
      </c>
      <c r="Q67" s="40"/>
    </row>
    <row r="68" spans="1:17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7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38" priority="2" operator="lessThan">
      <formula>1</formula>
    </cfRule>
  </conditionalFormatting>
  <conditionalFormatting sqref="K5:K69">
    <cfRule type="cellIs" dxfId="37" priority="1" operator="lessThan">
      <formula>1</formula>
    </cfRule>
  </conditionalFormatting>
  <hyperlinks>
    <hyperlink ref="E6" r:id="rId1" xr:uid="{5A063DDA-321E-469B-9FF7-B578585EB28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A347-A972-4F0D-80B9-051FFF2307D9}">
  <dimension ref="A1:AA69"/>
  <sheetViews>
    <sheetView topLeftCell="A2" zoomScale="85" zoomScaleNormal="85" workbookViewId="0">
      <selection activeCell="E26" sqref="E26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欧皇宝宝2026年4月18日分包贡献明细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f>COUNTIF(G5:G69,"&lt;&gt;0")</f>
        <v>56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119</v>
      </c>
      <c r="C5" s="7">
        <v>18</v>
      </c>
      <c r="D5" s="6"/>
      <c r="E5" s="29" t="s">
        <v>56</v>
      </c>
      <c r="F5" s="29"/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8">
        <v>0</v>
      </c>
      <c r="L5" s="8">
        <f t="shared" ref="L5:L36" si="1">SUM(J5+K5)</f>
        <v>300</v>
      </c>
      <c r="M5" s="44">
        <v>1274</v>
      </c>
      <c r="N5" s="42">
        <f t="shared" ref="N5:N36" si="2">M5+L5</f>
        <v>1574</v>
      </c>
      <c r="O5" s="48">
        <f t="shared" ref="O5:O36" si="3">VLOOKUP(I5,$R$3:$S$10,2,FALSE)</f>
        <v>456</v>
      </c>
      <c r="P5" s="43">
        <f t="shared" ref="P5:P36" si="4">IF(N5-O5&gt;0,N5-O5,0)</f>
        <v>1118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114</v>
      </c>
      <c r="C6" s="7">
        <v>36</v>
      </c>
      <c r="D6" s="6"/>
      <c r="E6" s="29" t="s">
        <v>74</v>
      </c>
      <c r="F6" s="29"/>
      <c r="G6" s="8">
        <v>3</v>
      </c>
      <c r="H6" s="8">
        <v>0</v>
      </c>
      <c r="I6" s="19" t="s">
        <v>15</v>
      </c>
      <c r="J6" s="9">
        <f t="shared" si="0"/>
        <v>300</v>
      </c>
      <c r="K6" s="8">
        <v>0</v>
      </c>
      <c r="L6" s="8">
        <f t="shared" si="1"/>
        <v>300</v>
      </c>
      <c r="M6" s="44">
        <v>1271</v>
      </c>
      <c r="N6" s="42">
        <f t="shared" si="2"/>
        <v>1571</v>
      </c>
      <c r="O6" s="48">
        <f t="shared" si="3"/>
        <v>456</v>
      </c>
      <c r="P6" s="43">
        <f t="shared" si="4"/>
        <v>1115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120</v>
      </c>
      <c r="C7" s="7">
        <v>45</v>
      </c>
      <c r="D7" s="6"/>
      <c r="E7" s="29" t="s">
        <v>83</v>
      </c>
      <c r="F7" s="29"/>
      <c r="G7" s="8">
        <v>3</v>
      </c>
      <c r="H7" s="8">
        <v>0</v>
      </c>
      <c r="I7" s="19" t="s">
        <v>15</v>
      </c>
      <c r="J7" s="9">
        <f t="shared" si="0"/>
        <v>300</v>
      </c>
      <c r="K7" s="8">
        <v>0</v>
      </c>
      <c r="L7" s="8">
        <f t="shared" si="1"/>
        <v>300</v>
      </c>
      <c r="M7" s="44">
        <v>1271</v>
      </c>
      <c r="N7" s="42">
        <f t="shared" si="2"/>
        <v>1571</v>
      </c>
      <c r="O7" s="48">
        <f t="shared" si="3"/>
        <v>456</v>
      </c>
      <c r="P7" s="43">
        <f t="shared" si="4"/>
        <v>1115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111</v>
      </c>
      <c r="C8" s="7">
        <v>40</v>
      </c>
      <c r="D8" s="6"/>
      <c r="E8" s="30" t="s">
        <v>78</v>
      </c>
      <c r="G8" s="8">
        <v>3</v>
      </c>
      <c r="H8" s="8">
        <v>0</v>
      </c>
      <c r="I8" s="19" t="s">
        <v>15</v>
      </c>
      <c r="J8" s="9">
        <f t="shared" si="0"/>
        <v>300</v>
      </c>
      <c r="K8" s="8">
        <v>0</v>
      </c>
      <c r="L8" s="8">
        <f t="shared" si="1"/>
        <v>300</v>
      </c>
      <c r="M8" s="44">
        <v>1267</v>
      </c>
      <c r="N8" s="42">
        <f t="shared" si="2"/>
        <v>1567</v>
      </c>
      <c r="O8" s="48">
        <f t="shared" si="3"/>
        <v>456</v>
      </c>
      <c r="P8" s="43">
        <f t="shared" si="4"/>
        <v>1111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/>
      <c r="C9" s="7">
        <v>10</v>
      </c>
      <c r="D9" s="6"/>
      <c r="E9" s="29" t="s">
        <v>48</v>
      </c>
      <c r="F9" s="31"/>
      <c r="G9" s="8">
        <v>3</v>
      </c>
      <c r="H9" s="8">
        <v>0</v>
      </c>
      <c r="I9" s="19" t="s">
        <v>15</v>
      </c>
      <c r="J9" s="9">
        <f t="shared" si="0"/>
        <v>300</v>
      </c>
      <c r="K9" s="8">
        <v>0</v>
      </c>
      <c r="L9" s="8">
        <f t="shared" si="1"/>
        <v>300</v>
      </c>
      <c r="M9" s="44">
        <v>1258</v>
      </c>
      <c r="N9" s="42">
        <f t="shared" si="2"/>
        <v>1558</v>
      </c>
      <c r="O9" s="48">
        <f t="shared" si="3"/>
        <v>456</v>
      </c>
      <c r="P9" s="43">
        <f t="shared" si="4"/>
        <v>1102</v>
      </c>
      <c r="Q9" s="2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117</v>
      </c>
      <c r="C10" s="7">
        <v>3</v>
      </c>
      <c r="D10" s="6"/>
      <c r="E10" s="29" t="s">
        <v>41</v>
      </c>
      <c r="F10" s="29"/>
      <c r="G10" s="8">
        <v>3</v>
      </c>
      <c r="H10" s="8">
        <v>0</v>
      </c>
      <c r="I10" s="19" t="s">
        <v>15</v>
      </c>
      <c r="J10" s="9">
        <f t="shared" si="0"/>
        <v>300</v>
      </c>
      <c r="K10" s="8">
        <v>0</v>
      </c>
      <c r="L10" s="8">
        <f t="shared" si="1"/>
        <v>300</v>
      </c>
      <c r="M10" s="44">
        <v>1256</v>
      </c>
      <c r="N10" s="42">
        <f t="shared" si="2"/>
        <v>1556</v>
      </c>
      <c r="O10" s="48">
        <f t="shared" si="3"/>
        <v>456</v>
      </c>
      <c r="P10" s="43">
        <f t="shared" si="4"/>
        <v>1100</v>
      </c>
      <c r="Q10" s="9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112</v>
      </c>
      <c r="C11" s="7">
        <v>15</v>
      </c>
      <c r="D11" s="6"/>
      <c r="E11" s="29" t="s">
        <v>53</v>
      </c>
      <c r="F11" s="29"/>
      <c r="G11" s="8">
        <v>3</v>
      </c>
      <c r="H11" s="8">
        <v>0</v>
      </c>
      <c r="I11" s="19" t="s">
        <v>15</v>
      </c>
      <c r="J11" s="9">
        <f t="shared" si="0"/>
        <v>300</v>
      </c>
      <c r="K11" s="8">
        <v>0</v>
      </c>
      <c r="L11" s="8">
        <f t="shared" si="1"/>
        <v>300</v>
      </c>
      <c r="M11" s="44">
        <v>1248</v>
      </c>
      <c r="N11" s="42">
        <f t="shared" si="2"/>
        <v>1548</v>
      </c>
      <c r="O11" s="48">
        <f t="shared" si="3"/>
        <v>456</v>
      </c>
      <c r="P11" s="43">
        <f t="shared" si="4"/>
        <v>1092</v>
      </c>
      <c r="Q11" s="1"/>
      <c r="R11" s="24"/>
    </row>
    <row r="12" spans="1:26" ht="18.75">
      <c r="A12" s="7">
        <v>1</v>
      </c>
      <c r="B12" s="7" t="s">
        <v>124</v>
      </c>
      <c r="C12" s="7">
        <v>2</v>
      </c>
      <c r="D12" s="6"/>
      <c r="E12" s="29" t="s">
        <v>40</v>
      </c>
      <c r="F12" s="29"/>
      <c r="G12" s="8">
        <v>3</v>
      </c>
      <c r="H12" s="8">
        <v>0</v>
      </c>
      <c r="I12" s="19" t="s">
        <v>15</v>
      </c>
      <c r="J12" s="9">
        <f t="shared" si="0"/>
        <v>300</v>
      </c>
      <c r="K12" s="8">
        <v>0</v>
      </c>
      <c r="L12" s="8">
        <f t="shared" si="1"/>
        <v>300</v>
      </c>
      <c r="M12" s="44">
        <v>1246</v>
      </c>
      <c r="N12" s="42">
        <f t="shared" si="2"/>
        <v>1546</v>
      </c>
      <c r="O12" s="48">
        <f t="shared" si="3"/>
        <v>456</v>
      </c>
      <c r="P12" s="43">
        <f t="shared" si="4"/>
        <v>1090</v>
      </c>
      <c r="Q12" s="9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122</v>
      </c>
      <c r="C13" s="7">
        <v>5</v>
      </c>
      <c r="D13" s="6"/>
      <c r="E13" s="29" t="s">
        <v>43</v>
      </c>
      <c r="F13" s="29"/>
      <c r="G13" s="8">
        <v>3</v>
      </c>
      <c r="H13" s="8">
        <v>0</v>
      </c>
      <c r="I13" s="20" t="s">
        <v>21</v>
      </c>
      <c r="J13" s="9">
        <f t="shared" si="0"/>
        <v>300</v>
      </c>
      <c r="K13" s="8">
        <v>0</v>
      </c>
      <c r="L13" s="8">
        <f t="shared" si="1"/>
        <v>300</v>
      </c>
      <c r="M13" s="44">
        <v>1239</v>
      </c>
      <c r="N13" s="42">
        <f t="shared" si="2"/>
        <v>1539</v>
      </c>
      <c r="O13" s="48">
        <f t="shared" si="3"/>
        <v>372</v>
      </c>
      <c r="P13" s="43">
        <f t="shared" si="4"/>
        <v>1167</v>
      </c>
      <c r="Q13" s="21"/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109</v>
      </c>
      <c r="C14" s="7">
        <v>47</v>
      </c>
      <c r="D14" s="6"/>
      <c r="E14" s="29" t="s">
        <v>85</v>
      </c>
      <c r="F14" s="29"/>
      <c r="G14" s="8">
        <v>3</v>
      </c>
      <c r="H14" s="8">
        <v>0</v>
      </c>
      <c r="I14" s="20" t="s">
        <v>21</v>
      </c>
      <c r="J14" s="9">
        <f t="shared" si="0"/>
        <v>300</v>
      </c>
      <c r="K14" s="8">
        <v>0</v>
      </c>
      <c r="L14" s="8">
        <f t="shared" si="1"/>
        <v>300</v>
      </c>
      <c r="M14" s="44">
        <v>1235</v>
      </c>
      <c r="N14" s="42">
        <f t="shared" si="2"/>
        <v>1535</v>
      </c>
      <c r="O14" s="48">
        <f t="shared" si="3"/>
        <v>372</v>
      </c>
      <c r="P14" s="43">
        <f t="shared" si="4"/>
        <v>1163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110</v>
      </c>
      <c r="C15" s="7">
        <v>62</v>
      </c>
      <c r="D15" s="6"/>
      <c r="E15" s="29" t="s">
        <v>100</v>
      </c>
      <c r="F15" s="29"/>
      <c r="G15" s="8">
        <v>3</v>
      </c>
      <c r="H15" s="8">
        <v>0</v>
      </c>
      <c r="I15" s="20" t="s">
        <v>21</v>
      </c>
      <c r="J15" s="9">
        <f t="shared" si="0"/>
        <v>300</v>
      </c>
      <c r="K15" s="8">
        <v>0</v>
      </c>
      <c r="L15" s="8">
        <f t="shared" si="1"/>
        <v>300</v>
      </c>
      <c r="M15" s="44">
        <v>1235</v>
      </c>
      <c r="N15" s="42">
        <f t="shared" si="2"/>
        <v>1535</v>
      </c>
      <c r="O15" s="48">
        <f t="shared" si="3"/>
        <v>372</v>
      </c>
      <c r="P15" s="43">
        <f t="shared" si="4"/>
        <v>1163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113</v>
      </c>
      <c r="C16" s="7">
        <v>32</v>
      </c>
      <c r="D16" s="6"/>
      <c r="E16" s="29" t="s">
        <v>70</v>
      </c>
      <c r="F16" s="32"/>
      <c r="G16" s="8">
        <v>3</v>
      </c>
      <c r="H16" s="8">
        <v>0</v>
      </c>
      <c r="I16" s="20" t="s">
        <v>21</v>
      </c>
      <c r="J16" s="9">
        <f t="shared" si="0"/>
        <v>300</v>
      </c>
      <c r="K16" s="8">
        <v>0</v>
      </c>
      <c r="L16" s="8">
        <f t="shared" si="1"/>
        <v>300</v>
      </c>
      <c r="M16" s="44">
        <v>1227</v>
      </c>
      <c r="N16" s="42">
        <f t="shared" si="2"/>
        <v>1527</v>
      </c>
      <c r="O16" s="48">
        <f t="shared" si="3"/>
        <v>372</v>
      </c>
      <c r="P16" s="43">
        <f t="shared" si="4"/>
        <v>1155</v>
      </c>
      <c r="R16" t="s">
        <v>27</v>
      </c>
      <c r="S16">
        <v>4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120</v>
      </c>
      <c r="C17" s="7">
        <v>20</v>
      </c>
      <c r="D17" s="6"/>
      <c r="E17" s="29" t="s">
        <v>58</v>
      </c>
      <c r="F17" s="32"/>
      <c r="G17" s="8">
        <v>3</v>
      </c>
      <c r="H17" s="8">
        <v>0</v>
      </c>
      <c r="I17" s="20" t="s">
        <v>21</v>
      </c>
      <c r="J17" s="9">
        <f t="shared" si="0"/>
        <v>300</v>
      </c>
      <c r="K17" s="8">
        <v>0</v>
      </c>
      <c r="L17" s="8">
        <f t="shared" si="1"/>
        <v>300</v>
      </c>
      <c r="M17" s="44">
        <v>1227</v>
      </c>
      <c r="N17" s="42">
        <f t="shared" si="2"/>
        <v>1527</v>
      </c>
      <c r="O17" s="48">
        <f t="shared" si="3"/>
        <v>372</v>
      </c>
      <c r="P17" s="43">
        <f t="shared" si="4"/>
        <v>1155</v>
      </c>
      <c r="R17" t="s">
        <v>28</v>
      </c>
      <c r="S17">
        <v>18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127</v>
      </c>
      <c r="C18" s="7">
        <v>21</v>
      </c>
      <c r="D18" s="6"/>
      <c r="E18" s="29" t="s">
        <v>59</v>
      </c>
      <c r="G18" s="8">
        <v>3</v>
      </c>
      <c r="H18" s="8">
        <v>0</v>
      </c>
      <c r="I18" s="20" t="s">
        <v>21</v>
      </c>
      <c r="J18" s="9">
        <f t="shared" si="0"/>
        <v>300</v>
      </c>
      <c r="K18" s="8">
        <v>0</v>
      </c>
      <c r="L18" s="8">
        <f t="shared" si="1"/>
        <v>300</v>
      </c>
      <c r="M18" s="44">
        <v>1225</v>
      </c>
      <c r="N18" s="42">
        <f t="shared" si="2"/>
        <v>1525</v>
      </c>
      <c r="O18" s="48">
        <f t="shared" si="3"/>
        <v>372</v>
      </c>
      <c r="P18" s="43">
        <f t="shared" si="4"/>
        <v>1153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109</v>
      </c>
      <c r="C19" s="7">
        <v>49</v>
      </c>
      <c r="D19" s="6"/>
      <c r="E19" s="29" t="s">
        <v>87</v>
      </c>
      <c r="F19" s="29"/>
      <c r="G19" s="8">
        <v>3</v>
      </c>
      <c r="H19" s="8">
        <v>0</v>
      </c>
      <c r="I19" s="20" t="s">
        <v>21</v>
      </c>
      <c r="J19" s="9">
        <f t="shared" si="0"/>
        <v>300</v>
      </c>
      <c r="K19" s="8">
        <v>0</v>
      </c>
      <c r="L19" s="8">
        <f t="shared" si="1"/>
        <v>300</v>
      </c>
      <c r="M19" s="44">
        <v>1209</v>
      </c>
      <c r="N19" s="42">
        <f t="shared" si="2"/>
        <v>1509</v>
      </c>
      <c r="O19" s="48">
        <f t="shared" si="3"/>
        <v>372</v>
      </c>
      <c r="P19" s="43">
        <f t="shared" si="4"/>
        <v>1137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108</v>
      </c>
      <c r="C20" s="7">
        <v>46</v>
      </c>
      <c r="D20" s="6"/>
      <c r="E20" s="29" t="s">
        <v>84</v>
      </c>
      <c r="F20" s="29"/>
      <c r="G20" s="8">
        <v>3</v>
      </c>
      <c r="H20" s="8">
        <v>0</v>
      </c>
      <c r="I20" s="20" t="s">
        <v>21</v>
      </c>
      <c r="J20" s="9">
        <f t="shared" si="0"/>
        <v>300</v>
      </c>
      <c r="K20" s="8">
        <v>0</v>
      </c>
      <c r="L20" s="8">
        <f t="shared" si="1"/>
        <v>300</v>
      </c>
      <c r="M20" s="44">
        <v>1209</v>
      </c>
      <c r="N20" s="42">
        <f t="shared" si="2"/>
        <v>1509</v>
      </c>
      <c r="O20" s="48">
        <f t="shared" si="3"/>
        <v>372</v>
      </c>
      <c r="P20" s="43">
        <f t="shared" si="4"/>
        <v>1137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120</v>
      </c>
      <c r="C21" s="7">
        <v>13</v>
      </c>
      <c r="D21" s="6"/>
      <c r="E21" s="29" t="s">
        <v>51</v>
      </c>
      <c r="F21" s="29"/>
      <c r="G21" s="8">
        <v>3</v>
      </c>
      <c r="H21" s="8">
        <v>0</v>
      </c>
      <c r="I21" s="12" t="s">
        <v>22</v>
      </c>
      <c r="J21" s="9">
        <f t="shared" si="0"/>
        <v>300</v>
      </c>
      <c r="K21" s="8">
        <v>0</v>
      </c>
      <c r="L21" s="8">
        <f t="shared" si="1"/>
        <v>300</v>
      </c>
      <c r="M21" s="44">
        <v>1208</v>
      </c>
      <c r="N21" s="42">
        <f t="shared" si="2"/>
        <v>1508</v>
      </c>
      <c r="O21" s="48">
        <f t="shared" si="3"/>
        <v>300</v>
      </c>
      <c r="P21" s="43">
        <f t="shared" si="4"/>
        <v>1208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109</v>
      </c>
      <c r="C22" s="7">
        <v>55</v>
      </c>
      <c r="D22" s="6"/>
      <c r="E22" s="29" t="s">
        <v>106</v>
      </c>
      <c r="G22" s="8">
        <v>3</v>
      </c>
      <c r="H22" s="8">
        <v>0</v>
      </c>
      <c r="I22" s="12" t="s">
        <v>22</v>
      </c>
      <c r="J22" s="9">
        <f t="shared" si="0"/>
        <v>300</v>
      </c>
      <c r="K22" s="8">
        <v>0</v>
      </c>
      <c r="L22" s="8">
        <f t="shared" si="1"/>
        <v>300</v>
      </c>
      <c r="M22" s="44">
        <v>1206</v>
      </c>
      <c r="N22" s="42">
        <f t="shared" si="2"/>
        <v>1506</v>
      </c>
      <c r="O22" s="48">
        <f t="shared" si="3"/>
        <v>300</v>
      </c>
      <c r="P22" s="43">
        <f t="shared" si="4"/>
        <v>1206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122</v>
      </c>
      <c r="C23" s="7">
        <v>17</v>
      </c>
      <c r="D23" s="6"/>
      <c r="E23" s="29" t="s">
        <v>55</v>
      </c>
      <c r="F23" s="29"/>
      <c r="G23" s="8">
        <v>3</v>
      </c>
      <c r="H23" s="8">
        <v>0</v>
      </c>
      <c r="I23" s="12" t="s">
        <v>22</v>
      </c>
      <c r="J23" s="9">
        <f t="shared" si="0"/>
        <v>300</v>
      </c>
      <c r="K23" s="8">
        <v>0</v>
      </c>
      <c r="L23" s="8">
        <f t="shared" si="1"/>
        <v>300</v>
      </c>
      <c r="M23" s="44">
        <v>1206</v>
      </c>
      <c r="N23" s="42">
        <f t="shared" si="2"/>
        <v>1506</v>
      </c>
      <c r="O23" s="48">
        <f t="shared" si="3"/>
        <v>300</v>
      </c>
      <c r="P23" s="43">
        <f t="shared" si="4"/>
        <v>1206</v>
      </c>
      <c r="Q23" s="1"/>
    </row>
    <row r="24" spans="1:27" ht="18.75">
      <c r="A24" s="7">
        <v>1</v>
      </c>
      <c r="B24" s="7" t="s">
        <v>114</v>
      </c>
      <c r="C24" s="7">
        <v>52</v>
      </c>
      <c r="D24" s="6"/>
      <c r="E24" s="29" t="s">
        <v>90</v>
      </c>
      <c r="G24" s="8">
        <v>3</v>
      </c>
      <c r="H24" s="8">
        <v>0</v>
      </c>
      <c r="I24" s="12" t="s">
        <v>22</v>
      </c>
      <c r="J24" s="9">
        <f t="shared" si="0"/>
        <v>300</v>
      </c>
      <c r="K24" s="8">
        <v>0</v>
      </c>
      <c r="L24" s="8">
        <f t="shared" si="1"/>
        <v>300</v>
      </c>
      <c r="M24" s="44">
        <v>1192</v>
      </c>
      <c r="N24" s="42">
        <f t="shared" si="2"/>
        <v>1492</v>
      </c>
      <c r="O24" s="48">
        <f t="shared" si="3"/>
        <v>300</v>
      </c>
      <c r="P24" s="43">
        <f t="shared" si="4"/>
        <v>1192</v>
      </c>
      <c r="Q24" s="1"/>
    </row>
    <row r="25" spans="1:27" ht="18.75">
      <c r="A25" s="7">
        <v>1</v>
      </c>
      <c r="B25" s="7" t="s">
        <v>112</v>
      </c>
      <c r="C25" s="7">
        <v>14</v>
      </c>
      <c r="D25" s="6"/>
      <c r="E25" s="29" t="s">
        <v>52</v>
      </c>
      <c r="F25" s="29"/>
      <c r="G25" s="8">
        <v>3</v>
      </c>
      <c r="H25" s="8">
        <v>0</v>
      </c>
      <c r="I25" s="12" t="s">
        <v>22</v>
      </c>
      <c r="J25" s="9">
        <f t="shared" si="0"/>
        <v>300</v>
      </c>
      <c r="K25" s="8">
        <v>0</v>
      </c>
      <c r="L25" s="8">
        <f t="shared" si="1"/>
        <v>300</v>
      </c>
      <c r="M25" s="44">
        <v>1190</v>
      </c>
      <c r="N25" s="42">
        <f t="shared" si="2"/>
        <v>1490</v>
      </c>
      <c r="O25" s="48">
        <f t="shared" si="3"/>
        <v>300</v>
      </c>
      <c r="P25" s="43">
        <f t="shared" si="4"/>
        <v>1190</v>
      </c>
      <c r="Q25" s="1"/>
    </row>
    <row r="26" spans="1:27" ht="18.75" customHeight="1">
      <c r="A26" s="7">
        <v>1</v>
      </c>
      <c r="B26" s="7" t="s">
        <v>122</v>
      </c>
      <c r="C26" s="7">
        <v>43</v>
      </c>
      <c r="D26" s="6"/>
      <c r="E26" s="29" t="s">
        <v>81</v>
      </c>
      <c r="F26" s="31"/>
      <c r="G26" s="8">
        <v>3</v>
      </c>
      <c r="H26" s="8">
        <v>0</v>
      </c>
      <c r="I26" s="12" t="s">
        <v>22</v>
      </c>
      <c r="J26" s="9">
        <f t="shared" si="0"/>
        <v>300</v>
      </c>
      <c r="K26" s="8">
        <v>0</v>
      </c>
      <c r="L26" s="8">
        <f t="shared" si="1"/>
        <v>300</v>
      </c>
      <c r="M26" s="44">
        <v>1190</v>
      </c>
      <c r="N26" s="42">
        <f t="shared" si="2"/>
        <v>1490</v>
      </c>
      <c r="O26" s="48">
        <f t="shared" si="3"/>
        <v>300</v>
      </c>
      <c r="P26" s="43">
        <f t="shared" si="4"/>
        <v>1190</v>
      </c>
      <c r="Q26" s="1"/>
    </row>
    <row r="27" spans="1:27" ht="18.75">
      <c r="A27" s="7">
        <v>1</v>
      </c>
      <c r="B27" s="7" t="s">
        <v>113</v>
      </c>
      <c r="C27" s="7">
        <v>37</v>
      </c>
      <c r="D27" s="6"/>
      <c r="E27" s="29" t="s">
        <v>75</v>
      </c>
      <c r="G27" s="8">
        <v>3</v>
      </c>
      <c r="H27" s="8">
        <v>0</v>
      </c>
      <c r="I27" s="12" t="s">
        <v>22</v>
      </c>
      <c r="J27" s="9">
        <f t="shared" si="0"/>
        <v>300</v>
      </c>
      <c r="K27" s="8">
        <v>0</v>
      </c>
      <c r="L27" s="8">
        <f t="shared" si="1"/>
        <v>300</v>
      </c>
      <c r="M27" s="44">
        <v>1183</v>
      </c>
      <c r="N27" s="42">
        <f t="shared" si="2"/>
        <v>1483</v>
      </c>
      <c r="O27" s="48">
        <f t="shared" si="3"/>
        <v>300</v>
      </c>
      <c r="P27" s="43">
        <f t="shared" si="4"/>
        <v>1183</v>
      </c>
      <c r="Q27" s="1"/>
    </row>
    <row r="28" spans="1:27" ht="18.75">
      <c r="A28" s="7">
        <v>1</v>
      </c>
      <c r="B28" s="7" t="s">
        <v>110</v>
      </c>
      <c r="C28" s="7">
        <v>42</v>
      </c>
      <c r="D28" s="6"/>
      <c r="E28" s="29" t="s">
        <v>80</v>
      </c>
      <c r="F28" s="32"/>
      <c r="G28" s="8">
        <v>3</v>
      </c>
      <c r="H28" s="8">
        <v>0</v>
      </c>
      <c r="I28" s="12" t="s">
        <v>22</v>
      </c>
      <c r="J28" s="9">
        <f t="shared" si="0"/>
        <v>300</v>
      </c>
      <c r="K28" s="8">
        <v>0</v>
      </c>
      <c r="L28" s="8">
        <f t="shared" si="1"/>
        <v>300</v>
      </c>
      <c r="M28" s="44">
        <v>1183</v>
      </c>
      <c r="N28" s="42">
        <f t="shared" si="2"/>
        <v>1483</v>
      </c>
      <c r="O28" s="48">
        <f t="shared" si="3"/>
        <v>300</v>
      </c>
      <c r="P28" s="43">
        <f t="shared" si="4"/>
        <v>1183</v>
      </c>
      <c r="Q28" s="1"/>
    </row>
    <row r="29" spans="1:27" s="1" customFormat="1" ht="18.75">
      <c r="A29" s="7">
        <v>1</v>
      </c>
      <c r="B29" s="7" t="s">
        <v>109</v>
      </c>
      <c r="C29" s="7">
        <v>35</v>
      </c>
      <c r="D29" s="6"/>
      <c r="E29" s="29" t="s">
        <v>73</v>
      </c>
      <c r="F29" s="29"/>
      <c r="G29" s="8">
        <v>3</v>
      </c>
      <c r="H29" s="8">
        <v>0</v>
      </c>
      <c r="I29" s="12" t="s">
        <v>22</v>
      </c>
      <c r="J29" s="9">
        <f t="shared" si="0"/>
        <v>300</v>
      </c>
      <c r="K29" s="8">
        <v>0</v>
      </c>
      <c r="L29" s="8">
        <f t="shared" si="1"/>
        <v>300</v>
      </c>
      <c r="M29" s="44">
        <v>1181</v>
      </c>
      <c r="N29" s="42">
        <f t="shared" si="2"/>
        <v>1481</v>
      </c>
      <c r="O29" s="48">
        <f t="shared" si="3"/>
        <v>300</v>
      </c>
      <c r="P29" s="43">
        <f t="shared" si="4"/>
        <v>1181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123</v>
      </c>
      <c r="C30" s="7">
        <v>24</v>
      </c>
      <c r="D30" s="6"/>
      <c r="E30" s="29" t="s">
        <v>62</v>
      </c>
      <c r="F30" s="32"/>
      <c r="G30" s="8">
        <v>3</v>
      </c>
      <c r="H30" s="8">
        <v>0</v>
      </c>
      <c r="I30" s="12" t="s">
        <v>22</v>
      </c>
      <c r="J30" s="9">
        <f t="shared" si="0"/>
        <v>300</v>
      </c>
      <c r="K30" s="8">
        <v>0</v>
      </c>
      <c r="L30" s="8">
        <f t="shared" si="1"/>
        <v>300</v>
      </c>
      <c r="M30" s="44">
        <v>1172</v>
      </c>
      <c r="N30" s="42">
        <f t="shared" si="2"/>
        <v>1472</v>
      </c>
      <c r="O30" s="48">
        <f t="shared" si="3"/>
        <v>300</v>
      </c>
      <c r="P30" s="43">
        <f t="shared" si="4"/>
        <v>1172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109</v>
      </c>
      <c r="C31" s="7">
        <v>11</v>
      </c>
      <c r="D31" s="6"/>
      <c r="E31" s="29" t="s">
        <v>49</v>
      </c>
      <c r="F31" s="29"/>
      <c r="G31" s="8">
        <v>3</v>
      </c>
      <c r="H31" s="8">
        <v>0</v>
      </c>
      <c r="I31" s="12" t="s">
        <v>22</v>
      </c>
      <c r="J31" s="9">
        <f t="shared" si="0"/>
        <v>300</v>
      </c>
      <c r="K31" s="8">
        <v>0</v>
      </c>
      <c r="L31" s="8">
        <f t="shared" si="1"/>
        <v>300</v>
      </c>
      <c r="M31" s="44">
        <v>1168</v>
      </c>
      <c r="N31" s="42">
        <f t="shared" si="2"/>
        <v>1468</v>
      </c>
      <c r="O31" s="48">
        <f t="shared" si="3"/>
        <v>300</v>
      </c>
      <c r="P31" s="43">
        <f t="shared" si="4"/>
        <v>1168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122</v>
      </c>
      <c r="C32" s="7">
        <v>1</v>
      </c>
      <c r="D32" s="6"/>
      <c r="E32" s="29" t="s">
        <v>39</v>
      </c>
      <c r="F32" s="29"/>
      <c r="G32" s="8">
        <v>3</v>
      </c>
      <c r="H32" s="8">
        <v>0</v>
      </c>
      <c r="I32" s="12" t="s">
        <v>22</v>
      </c>
      <c r="J32" s="9">
        <f t="shared" si="0"/>
        <v>300</v>
      </c>
      <c r="K32" s="8">
        <v>0</v>
      </c>
      <c r="L32" s="8">
        <f t="shared" si="1"/>
        <v>300</v>
      </c>
      <c r="M32" s="44">
        <v>1124</v>
      </c>
      <c r="N32" s="42">
        <f t="shared" si="2"/>
        <v>1424</v>
      </c>
      <c r="O32" s="48">
        <f t="shared" si="3"/>
        <v>300</v>
      </c>
      <c r="P32" s="43">
        <f t="shared" si="4"/>
        <v>1124</v>
      </c>
      <c r="Q32" s="9"/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116</v>
      </c>
      <c r="C33" s="7">
        <v>63</v>
      </c>
      <c r="D33" s="6"/>
      <c r="E33" s="29" t="s">
        <v>101</v>
      </c>
      <c r="G33" s="8">
        <v>2</v>
      </c>
      <c r="H33" s="8">
        <v>0</v>
      </c>
      <c r="I33" s="12" t="s">
        <v>22</v>
      </c>
      <c r="J33" s="9">
        <f t="shared" si="0"/>
        <v>200</v>
      </c>
      <c r="K33" s="8">
        <v>0</v>
      </c>
      <c r="L33" s="8">
        <f t="shared" si="1"/>
        <v>200</v>
      </c>
      <c r="M33" s="44">
        <v>1211</v>
      </c>
      <c r="N33" s="42">
        <f t="shared" si="2"/>
        <v>1411</v>
      </c>
      <c r="O33" s="48">
        <f t="shared" si="3"/>
        <v>300</v>
      </c>
      <c r="P33" s="43">
        <f t="shared" si="4"/>
        <v>1111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114</v>
      </c>
      <c r="C34" s="7">
        <v>58</v>
      </c>
      <c r="D34" s="6"/>
      <c r="E34" s="29" t="s">
        <v>96</v>
      </c>
      <c r="G34" s="8">
        <v>3</v>
      </c>
      <c r="H34" s="8">
        <v>0</v>
      </c>
      <c r="I34" s="12" t="s">
        <v>22</v>
      </c>
      <c r="J34" s="9">
        <f t="shared" si="0"/>
        <v>300</v>
      </c>
      <c r="K34" s="8">
        <v>0</v>
      </c>
      <c r="L34" s="8">
        <f t="shared" si="1"/>
        <v>300</v>
      </c>
      <c r="M34" s="44">
        <v>1104</v>
      </c>
      <c r="N34" s="42">
        <f t="shared" si="2"/>
        <v>1404</v>
      </c>
      <c r="O34" s="48">
        <f t="shared" si="3"/>
        <v>300</v>
      </c>
      <c r="P34" s="43">
        <f t="shared" si="4"/>
        <v>1104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120</v>
      </c>
      <c r="C35" s="7">
        <v>29</v>
      </c>
      <c r="D35" s="6"/>
      <c r="E35" s="29" t="s">
        <v>67</v>
      </c>
      <c r="F35" s="32"/>
      <c r="G35" s="8">
        <v>2</v>
      </c>
      <c r="H35" s="8">
        <v>0</v>
      </c>
      <c r="I35" s="12" t="s">
        <v>22</v>
      </c>
      <c r="J35" s="9">
        <f t="shared" si="0"/>
        <v>200</v>
      </c>
      <c r="K35" s="8">
        <v>0</v>
      </c>
      <c r="L35" s="8">
        <f t="shared" si="1"/>
        <v>200</v>
      </c>
      <c r="M35" s="44">
        <v>1189</v>
      </c>
      <c r="N35" s="42">
        <f t="shared" si="2"/>
        <v>1389</v>
      </c>
      <c r="O35" s="48">
        <f t="shared" si="3"/>
        <v>300</v>
      </c>
      <c r="P35" s="43">
        <f t="shared" si="4"/>
        <v>1089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123</v>
      </c>
      <c r="C36" s="7">
        <v>12</v>
      </c>
      <c r="D36" s="6"/>
      <c r="E36" s="29" t="s">
        <v>50</v>
      </c>
      <c r="F36" s="29"/>
      <c r="G36" s="8">
        <v>2</v>
      </c>
      <c r="H36" s="8">
        <v>0</v>
      </c>
      <c r="I36" s="12" t="s">
        <v>22</v>
      </c>
      <c r="J36" s="9">
        <f t="shared" si="0"/>
        <v>200</v>
      </c>
      <c r="K36" s="8">
        <v>0</v>
      </c>
      <c r="L36" s="8">
        <f t="shared" si="1"/>
        <v>200</v>
      </c>
      <c r="M36" s="44">
        <v>1188</v>
      </c>
      <c r="N36" s="42">
        <f t="shared" si="2"/>
        <v>1388</v>
      </c>
      <c r="O36" s="48">
        <f t="shared" si="3"/>
        <v>300</v>
      </c>
      <c r="P36" s="43">
        <f t="shared" si="4"/>
        <v>1088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109</v>
      </c>
      <c r="C37" s="7">
        <v>22</v>
      </c>
      <c r="D37" s="6"/>
      <c r="E37" s="29" t="s">
        <v>60</v>
      </c>
      <c r="F37" s="32"/>
      <c r="G37" s="8">
        <v>2</v>
      </c>
      <c r="H37" s="8">
        <v>0</v>
      </c>
      <c r="I37" s="12" t="s">
        <v>22</v>
      </c>
      <c r="J37" s="9">
        <f t="shared" ref="J37:J69" si="5">G37*100</f>
        <v>200</v>
      </c>
      <c r="K37" s="8">
        <v>0</v>
      </c>
      <c r="L37" s="8">
        <f t="shared" ref="L37:L68" si="6">SUM(J37+K37)</f>
        <v>200</v>
      </c>
      <c r="M37" s="44">
        <v>1188</v>
      </c>
      <c r="N37" s="42">
        <f t="shared" ref="N37:N68" si="7">M37+L37</f>
        <v>1388</v>
      </c>
      <c r="O37" s="48">
        <f t="shared" ref="O37:O69" si="8">VLOOKUP(I37,$R$3:$S$10,2,FALSE)</f>
        <v>300</v>
      </c>
      <c r="P37" s="43">
        <f t="shared" ref="P37:P68" si="9">IF(N37-O37&gt;0,N37-O37,0)</f>
        <v>1088</v>
      </c>
      <c r="Q37" s="1"/>
    </row>
    <row r="38" spans="1:27" s="1" customFormat="1" ht="18.75">
      <c r="A38" s="7">
        <v>1</v>
      </c>
      <c r="B38" s="7" t="s">
        <v>112</v>
      </c>
      <c r="C38" s="7">
        <v>53</v>
      </c>
      <c r="D38" s="6"/>
      <c r="E38" s="29" t="s">
        <v>91</v>
      </c>
      <c r="F38" s="29"/>
      <c r="G38" s="8">
        <v>2</v>
      </c>
      <c r="H38" s="8">
        <v>0</v>
      </c>
      <c r="I38" s="12" t="s">
        <v>22</v>
      </c>
      <c r="J38" s="9">
        <f t="shared" si="5"/>
        <v>200</v>
      </c>
      <c r="K38" s="8">
        <v>0</v>
      </c>
      <c r="L38" s="8">
        <f t="shared" si="6"/>
        <v>200</v>
      </c>
      <c r="M38" s="44">
        <v>1185</v>
      </c>
      <c r="N38" s="42">
        <f t="shared" si="7"/>
        <v>1385</v>
      </c>
      <c r="O38" s="48">
        <f t="shared" si="8"/>
        <v>300</v>
      </c>
      <c r="P38" s="43">
        <f t="shared" si="9"/>
        <v>1085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118</v>
      </c>
      <c r="C39" s="7">
        <v>50</v>
      </c>
      <c r="D39" s="6"/>
      <c r="E39" s="29" t="s">
        <v>88</v>
      </c>
      <c r="F39" s="29"/>
      <c r="G39" s="8">
        <v>2</v>
      </c>
      <c r="H39" s="8">
        <v>0</v>
      </c>
      <c r="I39" s="12" t="s">
        <v>22</v>
      </c>
      <c r="J39" s="9">
        <f t="shared" si="5"/>
        <v>200</v>
      </c>
      <c r="K39" s="8">
        <v>0</v>
      </c>
      <c r="L39" s="8">
        <f t="shared" si="6"/>
        <v>200</v>
      </c>
      <c r="M39" s="44">
        <v>1141</v>
      </c>
      <c r="N39" s="42">
        <f t="shared" si="7"/>
        <v>1341</v>
      </c>
      <c r="O39" s="48">
        <f t="shared" si="8"/>
        <v>300</v>
      </c>
      <c r="P39" s="43">
        <f t="shared" si="9"/>
        <v>1041</v>
      </c>
      <c r="Q39" s="1"/>
    </row>
    <row r="40" spans="1:27" ht="18.75">
      <c r="A40" s="7">
        <v>1</v>
      </c>
      <c r="B40" s="7" t="s">
        <v>121</v>
      </c>
      <c r="C40" s="7">
        <v>30</v>
      </c>
      <c r="D40" s="6"/>
      <c r="E40" s="29" t="s">
        <v>68</v>
      </c>
      <c r="F40" s="32"/>
      <c r="G40" s="8">
        <v>3</v>
      </c>
      <c r="H40" s="8">
        <v>0</v>
      </c>
      <c r="I40" s="12" t="s">
        <v>22</v>
      </c>
      <c r="J40" s="9">
        <f t="shared" si="5"/>
        <v>300</v>
      </c>
      <c r="K40" s="8">
        <v>0</v>
      </c>
      <c r="L40" s="8">
        <f t="shared" si="6"/>
        <v>300</v>
      </c>
      <c r="M40" s="44">
        <v>1041</v>
      </c>
      <c r="N40" s="42">
        <f t="shared" si="7"/>
        <v>1341</v>
      </c>
      <c r="O40" s="48">
        <f t="shared" si="8"/>
        <v>300</v>
      </c>
      <c r="P40" s="43">
        <f t="shared" si="9"/>
        <v>1041</v>
      </c>
      <c r="Q40" s="1"/>
    </row>
    <row r="41" spans="1:27" ht="18.75">
      <c r="A41" s="7">
        <v>1</v>
      </c>
      <c r="B41" s="7" t="s">
        <v>110</v>
      </c>
      <c r="C41" s="7">
        <v>28</v>
      </c>
      <c r="D41" s="6"/>
      <c r="E41" s="29" t="s">
        <v>66</v>
      </c>
      <c r="F41" s="32"/>
      <c r="G41" s="8">
        <v>3</v>
      </c>
      <c r="H41" s="8">
        <v>0</v>
      </c>
      <c r="I41" s="12" t="s">
        <v>22</v>
      </c>
      <c r="J41" s="9">
        <f t="shared" si="5"/>
        <v>300</v>
      </c>
      <c r="K41" s="8">
        <v>0</v>
      </c>
      <c r="L41" s="8">
        <f t="shared" si="6"/>
        <v>300</v>
      </c>
      <c r="M41" s="44">
        <v>1022</v>
      </c>
      <c r="N41" s="42">
        <f t="shared" si="7"/>
        <v>1322</v>
      </c>
      <c r="O41" s="48">
        <f t="shared" si="8"/>
        <v>300</v>
      </c>
      <c r="P41" s="43">
        <f t="shared" si="9"/>
        <v>1022</v>
      </c>
      <c r="Q41" s="1"/>
    </row>
    <row r="42" spans="1:27" ht="18.75">
      <c r="A42" s="7">
        <v>1</v>
      </c>
      <c r="B42" s="7" t="s">
        <v>113</v>
      </c>
      <c r="C42" s="7">
        <v>64</v>
      </c>
      <c r="D42" s="6"/>
      <c r="E42" s="29" t="s">
        <v>102</v>
      </c>
      <c r="F42" s="29"/>
      <c r="G42" s="8">
        <v>3</v>
      </c>
      <c r="H42" s="8">
        <v>0</v>
      </c>
      <c r="I42" s="12" t="s">
        <v>22</v>
      </c>
      <c r="J42" s="9">
        <f t="shared" si="5"/>
        <v>300</v>
      </c>
      <c r="K42" s="8">
        <v>0</v>
      </c>
      <c r="L42" s="8">
        <f t="shared" si="6"/>
        <v>300</v>
      </c>
      <c r="M42" s="44">
        <v>894</v>
      </c>
      <c r="N42" s="42">
        <f t="shared" si="7"/>
        <v>1194</v>
      </c>
      <c r="O42" s="48">
        <f t="shared" si="8"/>
        <v>300</v>
      </c>
      <c r="P42" s="43">
        <f t="shared" si="9"/>
        <v>894</v>
      </c>
      <c r="Q42" s="1"/>
    </row>
    <row r="43" spans="1:27" ht="18.75">
      <c r="A43" s="7">
        <v>1</v>
      </c>
      <c r="B43" s="7" t="s">
        <v>121</v>
      </c>
      <c r="C43" s="7">
        <v>4</v>
      </c>
      <c r="D43" s="6"/>
      <c r="E43" s="29" t="s">
        <v>42</v>
      </c>
      <c r="F43" s="29"/>
      <c r="G43" s="8">
        <v>3</v>
      </c>
      <c r="H43" s="8">
        <v>0</v>
      </c>
      <c r="I43" s="12" t="s">
        <v>22</v>
      </c>
      <c r="J43" s="9">
        <f t="shared" si="5"/>
        <v>300</v>
      </c>
      <c r="K43" s="8">
        <v>0</v>
      </c>
      <c r="L43" s="8">
        <f t="shared" si="6"/>
        <v>300</v>
      </c>
      <c r="M43" s="44">
        <v>894</v>
      </c>
      <c r="N43" s="42">
        <f t="shared" si="7"/>
        <v>1194</v>
      </c>
      <c r="O43" s="48">
        <f t="shared" si="8"/>
        <v>300</v>
      </c>
      <c r="P43" s="43">
        <f t="shared" si="9"/>
        <v>894</v>
      </c>
      <c r="Q43" s="9"/>
    </row>
    <row r="44" spans="1:27" ht="18.75">
      <c r="A44" s="7">
        <v>1</v>
      </c>
      <c r="B44" s="7" t="s">
        <v>115</v>
      </c>
      <c r="C44" s="7">
        <v>56</v>
      </c>
      <c r="D44" s="6"/>
      <c r="E44" s="29" t="s">
        <v>94</v>
      </c>
      <c r="F44" s="29"/>
      <c r="G44" s="8">
        <v>1</v>
      </c>
      <c r="H44" s="8">
        <v>0</v>
      </c>
      <c r="I44" s="12" t="s">
        <v>22</v>
      </c>
      <c r="J44" s="9">
        <f t="shared" si="5"/>
        <v>100</v>
      </c>
      <c r="K44" s="8">
        <v>0</v>
      </c>
      <c r="L44" s="8">
        <f t="shared" si="6"/>
        <v>100</v>
      </c>
      <c r="M44" s="44">
        <v>1076</v>
      </c>
      <c r="N44" s="42">
        <f t="shared" si="7"/>
        <v>1176</v>
      </c>
      <c r="O44" s="48">
        <f t="shared" si="8"/>
        <v>300</v>
      </c>
      <c r="P44" s="43">
        <f t="shared" si="9"/>
        <v>876</v>
      </c>
      <c r="Q44" s="1"/>
    </row>
    <row r="45" spans="1:27" ht="18.75">
      <c r="A45" s="7">
        <v>1</v>
      </c>
      <c r="B45" s="7" t="s">
        <v>120</v>
      </c>
      <c r="C45" s="7">
        <v>6</v>
      </c>
      <c r="D45" s="6"/>
      <c r="E45" s="29" t="s">
        <v>44</v>
      </c>
      <c r="F45" s="29"/>
      <c r="G45" s="8">
        <v>2</v>
      </c>
      <c r="H45" s="8">
        <v>0</v>
      </c>
      <c r="I45" s="12" t="s">
        <v>22</v>
      </c>
      <c r="J45" s="9">
        <f t="shared" si="5"/>
        <v>200</v>
      </c>
      <c r="K45" s="8">
        <v>0</v>
      </c>
      <c r="L45" s="8">
        <f t="shared" si="6"/>
        <v>200</v>
      </c>
      <c r="M45" s="44">
        <v>939</v>
      </c>
      <c r="N45" s="42">
        <f t="shared" si="7"/>
        <v>1139</v>
      </c>
      <c r="O45" s="48">
        <f t="shared" si="8"/>
        <v>300</v>
      </c>
      <c r="P45" s="43">
        <f t="shared" si="9"/>
        <v>839</v>
      </c>
      <c r="Q45" s="15"/>
    </row>
    <row r="46" spans="1:27" ht="18.75">
      <c r="A46" s="7">
        <v>1</v>
      </c>
      <c r="B46" s="7" t="s">
        <v>118</v>
      </c>
      <c r="C46" s="7">
        <v>16</v>
      </c>
      <c r="D46" s="6"/>
      <c r="E46" s="29" t="s">
        <v>54</v>
      </c>
      <c r="F46" s="32"/>
      <c r="G46" s="8">
        <v>1</v>
      </c>
      <c r="H46" s="8">
        <v>0</v>
      </c>
      <c r="I46" s="12" t="s">
        <v>22</v>
      </c>
      <c r="J46" s="9">
        <f t="shared" si="5"/>
        <v>100</v>
      </c>
      <c r="K46" s="8">
        <v>0</v>
      </c>
      <c r="L46" s="8">
        <f t="shared" si="6"/>
        <v>100</v>
      </c>
      <c r="M46" s="44">
        <v>985</v>
      </c>
      <c r="N46" s="42">
        <f t="shared" si="7"/>
        <v>1085</v>
      </c>
      <c r="O46" s="48">
        <f t="shared" si="8"/>
        <v>300</v>
      </c>
      <c r="P46" s="43">
        <f t="shared" si="9"/>
        <v>785</v>
      </c>
      <c r="Q46" s="1"/>
    </row>
    <row r="47" spans="1:27" ht="18.75">
      <c r="A47" s="7">
        <v>1</v>
      </c>
      <c r="B47" s="7" t="s">
        <v>113</v>
      </c>
      <c r="C47" s="7">
        <v>25</v>
      </c>
      <c r="D47" s="6"/>
      <c r="E47" s="29" t="s">
        <v>63</v>
      </c>
      <c r="F47" s="32"/>
      <c r="G47" s="8">
        <v>2</v>
      </c>
      <c r="H47" s="8">
        <v>0</v>
      </c>
      <c r="I47" s="12" t="s">
        <v>22</v>
      </c>
      <c r="J47" s="9">
        <f t="shared" si="5"/>
        <v>200</v>
      </c>
      <c r="K47" s="8">
        <v>0</v>
      </c>
      <c r="L47" s="8">
        <f t="shared" si="6"/>
        <v>200</v>
      </c>
      <c r="M47" s="44">
        <v>825</v>
      </c>
      <c r="N47" s="42">
        <f t="shared" si="7"/>
        <v>1025</v>
      </c>
      <c r="O47" s="48">
        <f t="shared" si="8"/>
        <v>300</v>
      </c>
      <c r="P47" s="43">
        <f t="shared" si="9"/>
        <v>725</v>
      </c>
      <c r="Q47" s="1"/>
    </row>
    <row r="48" spans="1:27" ht="18.75">
      <c r="A48" s="7">
        <v>1</v>
      </c>
      <c r="B48" s="7" t="s">
        <v>115</v>
      </c>
      <c r="C48" s="7">
        <v>26</v>
      </c>
      <c r="D48" s="6"/>
      <c r="E48" s="29" t="s">
        <v>64</v>
      </c>
      <c r="F48" s="32"/>
      <c r="G48" s="8">
        <v>3</v>
      </c>
      <c r="H48" s="8">
        <v>0</v>
      </c>
      <c r="I48" s="12" t="s">
        <v>22</v>
      </c>
      <c r="J48" s="9">
        <f t="shared" si="5"/>
        <v>300</v>
      </c>
      <c r="K48" s="8">
        <v>0</v>
      </c>
      <c r="L48" s="8">
        <f t="shared" si="6"/>
        <v>300</v>
      </c>
      <c r="M48" s="44">
        <v>694</v>
      </c>
      <c r="N48" s="42">
        <f t="shared" si="7"/>
        <v>994</v>
      </c>
      <c r="O48" s="48">
        <f t="shared" si="8"/>
        <v>300</v>
      </c>
      <c r="P48" s="43">
        <f t="shared" si="9"/>
        <v>694</v>
      </c>
    </row>
    <row r="49" spans="1:17" ht="18.75">
      <c r="A49" s="7">
        <v>1</v>
      </c>
      <c r="B49" s="7" t="s">
        <v>126</v>
      </c>
      <c r="C49" s="7">
        <v>41</v>
      </c>
      <c r="D49" s="6"/>
      <c r="E49" s="29" t="s">
        <v>79</v>
      </c>
      <c r="F49" s="32"/>
      <c r="G49" s="8">
        <v>2</v>
      </c>
      <c r="H49" s="8">
        <v>0</v>
      </c>
      <c r="I49" s="12" t="s">
        <v>22</v>
      </c>
      <c r="J49" s="9">
        <f t="shared" si="5"/>
        <v>200</v>
      </c>
      <c r="K49" s="8">
        <v>0</v>
      </c>
      <c r="L49" s="8">
        <f t="shared" si="6"/>
        <v>200</v>
      </c>
      <c r="M49" s="44">
        <v>776</v>
      </c>
      <c r="N49" s="42">
        <f t="shared" si="7"/>
        <v>976</v>
      </c>
      <c r="O49" s="48">
        <f t="shared" si="8"/>
        <v>300</v>
      </c>
      <c r="P49" s="43">
        <f t="shared" si="9"/>
        <v>676</v>
      </c>
    </row>
    <row r="50" spans="1:17" ht="18.75">
      <c r="A50" s="7">
        <v>1</v>
      </c>
      <c r="B50" s="7" t="s">
        <v>109</v>
      </c>
      <c r="C50" s="7">
        <v>39</v>
      </c>
      <c r="D50" s="6"/>
      <c r="E50" s="29" t="s">
        <v>77</v>
      </c>
      <c r="F50" s="29"/>
      <c r="G50" s="8">
        <v>1</v>
      </c>
      <c r="H50" s="8">
        <v>0</v>
      </c>
      <c r="I50" s="12" t="s">
        <v>22</v>
      </c>
      <c r="J50" s="9">
        <f t="shared" si="5"/>
        <v>100</v>
      </c>
      <c r="K50" s="8">
        <v>0</v>
      </c>
      <c r="L50" s="8">
        <f t="shared" si="6"/>
        <v>100</v>
      </c>
      <c r="M50" s="44">
        <v>875</v>
      </c>
      <c r="N50" s="42">
        <f t="shared" si="7"/>
        <v>975</v>
      </c>
      <c r="O50" s="48">
        <f t="shared" si="8"/>
        <v>300</v>
      </c>
      <c r="P50" s="43">
        <f t="shared" si="9"/>
        <v>675</v>
      </c>
    </row>
    <row r="51" spans="1:17" ht="18.75">
      <c r="A51" s="7">
        <v>1</v>
      </c>
      <c r="B51" s="7" t="s">
        <v>117</v>
      </c>
      <c r="C51" s="7">
        <v>9</v>
      </c>
      <c r="D51" s="6"/>
      <c r="E51" s="29" t="s">
        <v>47</v>
      </c>
      <c r="F51" s="33"/>
      <c r="G51" s="8">
        <v>0</v>
      </c>
      <c r="H51" s="8">
        <v>0</v>
      </c>
      <c r="I51" s="27" t="s">
        <v>23</v>
      </c>
      <c r="J51" s="9">
        <f t="shared" si="5"/>
        <v>0</v>
      </c>
      <c r="K51" s="8">
        <v>0</v>
      </c>
      <c r="L51" s="8">
        <f t="shared" si="6"/>
        <v>0</v>
      </c>
      <c r="M51" s="44">
        <v>961</v>
      </c>
      <c r="N51" s="42">
        <f t="shared" si="7"/>
        <v>961</v>
      </c>
      <c r="O51" s="48">
        <f t="shared" si="8"/>
        <v>0</v>
      </c>
      <c r="P51" s="43">
        <f t="shared" si="9"/>
        <v>961</v>
      </c>
      <c r="Q51" s="45"/>
    </row>
    <row r="52" spans="1:17" ht="18.75">
      <c r="A52" s="7">
        <v>1</v>
      </c>
      <c r="B52" s="7" t="s">
        <v>123</v>
      </c>
      <c r="C52" s="7">
        <v>23</v>
      </c>
      <c r="D52" s="6"/>
      <c r="E52" s="29" t="s">
        <v>61</v>
      </c>
      <c r="F52" s="32"/>
      <c r="G52" s="8">
        <v>0</v>
      </c>
      <c r="H52" s="8">
        <v>0</v>
      </c>
      <c r="I52" s="27" t="s">
        <v>23</v>
      </c>
      <c r="J52" s="9">
        <f t="shared" si="5"/>
        <v>0</v>
      </c>
      <c r="K52" s="8">
        <v>0</v>
      </c>
      <c r="L52" s="8">
        <f t="shared" si="6"/>
        <v>0</v>
      </c>
      <c r="M52" s="44">
        <v>951</v>
      </c>
      <c r="N52" s="42">
        <f t="shared" si="7"/>
        <v>951</v>
      </c>
      <c r="O52" s="48">
        <f t="shared" si="8"/>
        <v>0</v>
      </c>
      <c r="P52" s="43">
        <f t="shared" si="9"/>
        <v>951</v>
      </c>
    </row>
    <row r="53" spans="1:17" ht="18.75">
      <c r="A53" s="7">
        <v>1</v>
      </c>
      <c r="B53" s="7" t="s">
        <v>110</v>
      </c>
      <c r="C53" s="7">
        <v>54</v>
      </c>
      <c r="D53" s="6"/>
      <c r="E53" s="29" t="s">
        <v>92</v>
      </c>
      <c r="G53" s="8">
        <v>3</v>
      </c>
      <c r="H53" s="8">
        <v>0</v>
      </c>
      <c r="I53" s="12" t="s">
        <v>22</v>
      </c>
      <c r="J53" s="9">
        <f t="shared" si="5"/>
        <v>300</v>
      </c>
      <c r="K53" s="8">
        <v>0</v>
      </c>
      <c r="L53" s="8">
        <f t="shared" si="6"/>
        <v>300</v>
      </c>
      <c r="M53" s="44">
        <v>650</v>
      </c>
      <c r="N53" s="42">
        <f t="shared" si="7"/>
        <v>950</v>
      </c>
      <c r="O53" s="48">
        <f t="shared" si="8"/>
        <v>300</v>
      </c>
      <c r="P53" s="43">
        <f t="shared" si="9"/>
        <v>650</v>
      </c>
    </row>
    <row r="54" spans="1:17" ht="18.75">
      <c r="A54" s="7">
        <v>1</v>
      </c>
      <c r="B54" s="7" t="s">
        <v>114</v>
      </c>
      <c r="C54" s="7">
        <v>33</v>
      </c>
      <c r="D54" s="6"/>
      <c r="E54" s="29" t="s">
        <v>71</v>
      </c>
      <c r="F54" s="29"/>
      <c r="G54" s="8">
        <v>2</v>
      </c>
      <c r="H54" s="8">
        <v>0</v>
      </c>
      <c r="I54" s="12" t="s">
        <v>22</v>
      </c>
      <c r="J54" s="9">
        <f t="shared" si="5"/>
        <v>200</v>
      </c>
      <c r="K54" s="8">
        <v>0</v>
      </c>
      <c r="L54" s="8">
        <f t="shared" si="6"/>
        <v>200</v>
      </c>
      <c r="M54" s="44">
        <v>678</v>
      </c>
      <c r="N54" s="42">
        <f t="shared" si="7"/>
        <v>878</v>
      </c>
      <c r="O54" s="48">
        <f t="shared" si="8"/>
        <v>300</v>
      </c>
      <c r="P54" s="43">
        <f t="shared" si="9"/>
        <v>578</v>
      </c>
    </row>
    <row r="55" spans="1:17" ht="18.75">
      <c r="A55" s="7">
        <v>1</v>
      </c>
      <c r="B55" s="7" t="s">
        <v>118</v>
      </c>
      <c r="C55" s="7">
        <v>65</v>
      </c>
      <c r="E55" s="29" t="s">
        <v>105</v>
      </c>
      <c r="G55" s="8">
        <v>2</v>
      </c>
      <c r="H55" s="8">
        <v>0</v>
      </c>
      <c r="I55" s="12" t="s">
        <v>22</v>
      </c>
      <c r="J55" s="9">
        <f t="shared" si="5"/>
        <v>200</v>
      </c>
      <c r="K55" s="8">
        <v>0</v>
      </c>
      <c r="L55" s="8">
        <f t="shared" si="6"/>
        <v>200</v>
      </c>
      <c r="M55" s="44">
        <v>600</v>
      </c>
      <c r="N55" s="42">
        <f t="shared" si="7"/>
        <v>800</v>
      </c>
      <c r="O55" s="48">
        <f t="shared" si="8"/>
        <v>300</v>
      </c>
      <c r="P55" s="43">
        <f t="shared" si="9"/>
        <v>500</v>
      </c>
    </row>
    <row r="56" spans="1:17" ht="18.75">
      <c r="A56" s="7">
        <v>1</v>
      </c>
      <c r="B56" s="7" t="s">
        <v>108</v>
      </c>
      <c r="C56" s="7">
        <v>44</v>
      </c>
      <c r="D56" s="6"/>
      <c r="E56" s="29" t="s">
        <v>82</v>
      </c>
      <c r="F56" s="29"/>
      <c r="G56" s="8">
        <v>1</v>
      </c>
      <c r="H56" s="8">
        <v>0</v>
      </c>
      <c r="I56" s="12" t="s">
        <v>22</v>
      </c>
      <c r="J56" s="9">
        <f t="shared" si="5"/>
        <v>100</v>
      </c>
      <c r="K56" s="8">
        <v>0</v>
      </c>
      <c r="L56" s="8">
        <f t="shared" si="6"/>
        <v>100</v>
      </c>
      <c r="M56" s="44">
        <v>529</v>
      </c>
      <c r="N56" s="42">
        <f t="shared" si="7"/>
        <v>629</v>
      </c>
      <c r="O56" s="48">
        <f t="shared" si="8"/>
        <v>300</v>
      </c>
      <c r="P56" s="43">
        <f t="shared" si="9"/>
        <v>329</v>
      </c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2</v>
      </c>
      <c r="H57" s="8">
        <v>0</v>
      </c>
      <c r="I57" s="12" t="s">
        <v>22</v>
      </c>
      <c r="J57" s="9">
        <f t="shared" si="5"/>
        <v>200</v>
      </c>
      <c r="K57" s="8">
        <v>0</v>
      </c>
      <c r="L57" s="8">
        <f t="shared" si="6"/>
        <v>200</v>
      </c>
      <c r="M57" s="44">
        <v>425</v>
      </c>
      <c r="N57" s="42">
        <f t="shared" si="7"/>
        <v>625</v>
      </c>
      <c r="O57" s="48">
        <f t="shared" si="8"/>
        <v>300</v>
      </c>
      <c r="P57" s="43">
        <f t="shared" si="9"/>
        <v>325</v>
      </c>
    </row>
    <row r="58" spans="1:17" ht="18.75">
      <c r="A58" s="7">
        <v>1</v>
      </c>
      <c r="B58" s="7" t="s">
        <v>112</v>
      </c>
      <c r="C58" s="7">
        <v>57</v>
      </c>
      <c r="D58" s="6"/>
      <c r="E58" s="29" t="s">
        <v>95</v>
      </c>
      <c r="G58" s="8">
        <v>0</v>
      </c>
      <c r="H58" s="8">
        <v>0</v>
      </c>
      <c r="I58" s="27" t="s">
        <v>23</v>
      </c>
      <c r="J58" s="9">
        <f t="shared" si="5"/>
        <v>0</v>
      </c>
      <c r="K58" s="8">
        <v>0</v>
      </c>
      <c r="L58" s="8">
        <f t="shared" si="6"/>
        <v>0</v>
      </c>
      <c r="M58" s="44">
        <v>410</v>
      </c>
      <c r="N58" s="42">
        <f t="shared" si="7"/>
        <v>410</v>
      </c>
      <c r="O58" s="48">
        <f t="shared" si="8"/>
        <v>0</v>
      </c>
      <c r="P58" s="43">
        <f t="shared" si="9"/>
        <v>410</v>
      </c>
    </row>
    <row r="59" spans="1:17" ht="18.75">
      <c r="A59" s="7">
        <v>1</v>
      </c>
      <c r="B59" s="7" t="s">
        <v>122</v>
      </c>
      <c r="C59" s="7">
        <v>61</v>
      </c>
      <c r="D59" s="6"/>
      <c r="E59" s="29" t="s">
        <v>99</v>
      </c>
      <c r="F59" s="29"/>
      <c r="G59" s="8">
        <v>0</v>
      </c>
      <c r="H59" s="8">
        <v>0</v>
      </c>
      <c r="I59" s="27" t="s">
        <v>23</v>
      </c>
      <c r="J59" s="9">
        <f t="shared" si="5"/>
        <v>0</v>
      </c>
      <c r="K59" s="8">
        <v>0</v>
      </c>
      <c r="L59" s="8">
        <f t="shared" si="6"/>
        <v>0</v>
      </c>
      <c r="M59" s="44">
        <v>225</v>
      </c>
      <c r="N59" s="42">
        <f t="shared" si="7"/>
        <v>225</v>
      </c>
      <c r="O59" s="48">
        <f t="shared" si="8"/>
        <v>0</v>
      </c>
      <c r="P59" s="43">
        <f t="shared" si="9"/>
        <v>225</v>
      </c>
    </row>
    <row r="60" spans="1:17" ht="18.75">
      <c r="A60" s="7">
        <v>1</v>
      </c>
      <c r="B60" s="7" t="s">
        <v>110</v>
      </c>
      <c r="C60" s="7">
        <v>31</v>
      </c>
      <c r="D60" s="6"/>
      <c r="E60" s="29" t="s">
        <v>69</v>
      </c>
      <c r="F60" s="32"/>
      <c r="G60" s="8">
        <v>2</v>
      </c>
      <c r="H60" s="8">
        <v>0</v>
      </c>
      <c r="I60" s="12" t="s">
        <v>22</v>
      </c>
      <c r="J60" s="9">
        <f t="shared" si="5"/>
        <v>200</v>
      </c>
      <c r="K60" s="8">
        <v>0</v>
      </c>
      <c r="L60" s="8">
        <f t="shared" si="6"/>
        <v>200</v>
      </c>
      <c r="M60" s="44">
        <v>25</v>
      </c>
      <c r="N60" s="42">
        <f t="shared" si="7"/>
        <v>225</v>
      </c>
      <c r="O60" s="48">
        <f t="shared" si="8"/>
        <v>300</v>
      </c>
      <c r="P60" s="43">
        <f t="shared" si="9"/>
        <v>0</v>
      </c>
    </row>
    <row r="61" spans="1:17" ht="18.75">
      <c r="A61" s="7">
        <v>1</v>
      </c>
      <c r="B61" s="7" t="s">
        <v>122</v>
      </c>
      <c r="C61" s="7">
        <v>34</v>
      </c>
      <c r="D61" s="6"/>
      <c r="E61" s="29" t="s">
        <v>72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219</v>
      </c>
      <c r="N61" s="42">
        <f t="shared" si="7"/>
        <v>219</v>
      </c>
      <c r="O61" s="48">
        <f t="shared" si="8"/>
        <v>0</v>
      </c>
      <c r="P61" s="43">
        <f t="shared" si="9"/>
        <v>219</v>
      </c>
    </row>
    <row r="62" spans="1:17" ht="18.75">
      <c r="A62" s="7">
        <v>1</v>
      </c>
      <c r="B62" s="7" t="s">
        <v>118</v>
      </c>
      <c r="C62" s="7">
        <v>51</v>
      </c>
      <c r="D62" s="6"/>
      <c r="E62" s="29" t="s">
        <v>89</v>
      </c>
      <c r="F62" s="29"/>
      <c r="G62" s="8">
        <v>2</v>
      </c>
      <c r="H62" s="8">
        <v>0</v>
      </c>
      <c r="I62" s="12" t="s">
        <v>22</v>
      </c>
      <c r="J62" s="9">
        <f t="shared" si="5"/>
        <v>200</v>
      </c>
      <c r="K62" s="8">
        <v>0</v>
      </c>
      <c r="L62" s="8">
        <f t="shared" si="6"/>
        <v>200</v>
      </c>
      <c r="M62" s="44">
        <v>0</v>
      </c>
      <c r="N62" s="42">
        <f t="shared" si="7"/>
        <v>200</v>
      </c>
      <c r="O62" s="48">
        <f t="shared" si="8"/>
        <v>300</v>
      </c>
      <c r="P62" s="43">
        <f t="shared" si="9"/>
        <v>0</v>
      </c>
    </row>
    <row r="63" spans="1:17" ht="18.75">
      <c r="A63" s="7">
        <v>1</v>
      </c>
      <c r="B63" s="7" t="s">
        <v>125</v>
      </c>
      <c r="C63" s="7">
        <v>59</v>
      </c>
      <c r="D63" s="6"/>
      <c r="E63" s="29" t="s">
        <v>97</v>
      </c>
      <c r="G63" s="8">
        <v>1</v>
      </c>
      <c r="H63" s="8">
        <v>0</v>
      </c>
      <c r="I63" s="12" t="s">
        <v>22</v>
      </c>
      <c r="J63" s="9">
        <f t="shared" si="5"/>
        <v>100</v>
      </c>
      <c r="K63" s="8">
        <v>0</v>
      </c>
      <c r="L63" s="8">
        <f t="shared" si="6"/>
        <v>100</v>
      </c>
      <c r="M63" s="44">
        <v>50</v>
      </c>
      <c r="N63" s="42">
        <f t="shared" si="7"/>
        <v>150</v>
      </c>
      <c r="O63" s="48">
        <f t="shared" si="8"/>
        <v>300</v>
      </c>
      <c r="P63" s="43">
        <f t="shared" si="9"/>
        <v>0</v>
      </c>
    </row>
    <row r="64" spans="1:17" ht="18.75">
      <c r="A64" s="7">
        <v>1</v>
      </c>
      <c r="B64" s="7" t="s">
        <v>122</v>
      </c>
      <c r="C64" s="7">
        <v>7</v>
      </c>
      <c r="D64" s="6"/>
      <c r="E64" s="29" t="s">
        <v>45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138</v>
      </c>
      <c r="N64" s="42">
        <f t="shared" si="7"/>
        <v>138</v>
      </c>
      <c r="O64" s="48">
        <f t="shared" si="8"/>
        <v>0</v>
      </c>
      <c r="P64" s="43">
        <f t="shared" si="9"/>
        <v>138</v>
      </c>
      <c r="Q64" s="40"/>
    </row>
    <row r="65" spans="1:17" ht="18.75">
      <c r="A65" s="7">
        <v>1</v>
      </c>
      <c r="B65" s="7" t="s">
        <v>122</v>
      </c>
      <c r="C65" s="7">
        <v>27</v>
      </c>
      <c r="D65" s="6"/>
      <c r="E65" s="29" t="s">
        <v>65</v>
      </c>
      <c r="F65" s="32"/>
      <c r="G65" s="8">
        <v>1</v>
      </c>
      <c r="H65" s="8">
        <v>0</v>
      </c>
      <c r="I65" s="12" t="s">
        <v>22</v>
      </c>
      <c r="J65" s="9">
        <f t="shared" si="5"/>
        <v>100</v>
      </c>
      <c r="K65" s="8">
        <v>0</v>
      </c>
      <c r="L65" s="8">
        <f t="shared" si="6"/>
        <v>100</v>
      </c>
      <c r="M65" s="44">
        <v>25</v>
      </c>
      <c r="N65" s="42">
        <f t="shared" si="7"/>
        <v>125</v>
      </c>
      <c r="O65" s="48">
        <f t="shared" si="8"/>
        <v>300</v>
      </c>
      <c r="P65" s="43">
        <f t="shared" si="9"/>
        <v>0</v>
      </c>
    </row>
    <row r="66" spans="1:17" ht="18.75">
      <c r="A66" s="7">
        <v>1</v>
      </c>
      <c r="B66" s="7" t="s">
        <v>108</v>
      </c>
      <c r="C66" s="7">
        <v>8</v>
      </c>
      <c r="D66" s="6"/>
      <c r="E66" s="29" t="s">
        <v>46</v>
      </c>
      <c r="F66" s="29"/>
      <c r="G66" s="8">
        <v>1</v>
      </c>
      <c r="H66" s="8">
        <v>0</v>
      </c>
      <c r="I66" s="12" t="s">
        <v>22</v>
      </c>
      <c r="J66" s="9">
        <f t="shared" si="5"/>
        <v>100</v>
      </c>
      <c r="K66" s="8">
        <v>0</v>
      </c>
      <c r="L66" s="8">
        <f t="shared" si="6"/>
        <v>100</v>
      </c>
      <c r="M66" s="44">
        <v>25</v>
      </c>
      <c r="N66" s="42">
        <f t="shared" si="7"/>
        <v>125</v>
      </c>
      <c r="O66" s="48">
        <f t="shared" si="8"/>
        <v>300</v>
      </c>
      <c r="P66" s="43">
        <f t="shared" si="9"/>
        <v>0</v>
      </c>
      <c r="Q66" s="40"/>
    </row>
    <row r="67" spans="1:17" ht="18.75">
      <c r="A67" s="7">
        <v>1</v>
      </c>
      <c r="B67" s="7" t="s">
        <v>116</v>
      </c>
      <c r="C67" s="7">
        <v>60</v>
      </c>
      <c r="D67" s="6"/>
      <c r="E67" s="29" t="s">
        <v>98</v>
      </c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25</v>
      </c>
      <c r="N67" s="42">
        <f t="shared" si="7"/>
        <v>25</v>
      </c>
      <c r="O67" s="48">
        <f t="shared" si="8"/>
        <v>0</v>
      </c>
      <c r="P67" s="43">
        <f t="shared" si="9"/>
        <v>25</v>
      </c>
    </row>
    <row r="68" spans="1:17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7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36" priority="2" operator="lessThan">
      <formula>1</formula>
    </cfRule>
  </conditionalFormatting>
  <conditionalFormatting sqref="K5:K69">
    <cfRule type="cellIs" dxfId="35" priority="1" operator="lessThan">
      <formula>1</formula>
    </cfRule>
  </conditionalFormatting>
  <hyperlinks>
    <hyperlink ref="E23" r:id="rId1" xr:uid="{273682C0-5DA3-432E-B281-98AB99E5968F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1621-FE96-44D0-923D-E86298C61F2E}">
  <dimension ref="A1:AA69"/>
  <sheetViews>
    <sheetView topLeftCell="A18" zoomScale="85" zoomScaleNormal="85" workbookViewId="0">
      <selection activeCell="E74" sqref="E74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欧皇宝宝2026年4月11日分包贡献明细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f>COUNTIF(G5:G69,"&lt;&gt;0")</f>
        <v>57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112</v>
      </c>
      <c r="C5" s="7">
        <v>14</v>
      </c>
      <c r="D5" s="6"/>
      <c r="E5" s="29" t="s">
        <v>52</v>
      </c>
      <c r="F5" s="29"/>
      <c r="G5" s="8">
        <v>4</v>
      </c>
      <c r="H5" s="8">
        <v>0</v>
      </c>
      <c r="I5" s="10" t="s">
        <v>33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1102</v>
      </c>
      <c r="N5" s="42">
        <f t="shared" ref="N5:N36" si="2">M5+L5</f>
        <v>1502</v>
      </c>
      <c r="O5" s="48">
        <f t="shared" ref="O5:O36" si="3">VLOOKUP(I5,$R$3:$S$10,2,FALSE)</f>
        <v>312</v>
      </c>
      <c r="P5" s="43">
        <f t="shared" ref="P5:P36" si="4">IF(N5-O5&gt;0,N5-O5,0)</f>
        <v>1190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122</v>
      </c>
      <c r="C6" s="7">
        <v>43</v>
      </c>
      <c r="D6" s="6"/>
      <c r="E6" s="29" t="s">
        <v>81</v>
      </c>
      <c r="F6" s="31"/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1102</v>
      </c>
      <c r="N6" s="42">
        <f t="shared" si="2"/>
        <v>1502</v>
      </c>
      <c r="O6" s="48">
        <f t="shared" si="3"/>
        <v>312</v>
      </c>
      <c r="P6" s="43">
        <f t="shared" si="4"/>
        <v>1190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120</v>
      </c>
      <c r="C7" s="7">
        <v>29</v>
      </c>
      <c r="D7" s="6"/>
      <c r="E7" s="29" t="s">
        <v>67</v>
      </c>
      <c r="F7" s="32"/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1101</v>
      </c>
      <c r="N7" s="42">
        <f t="shared" si="2"/>
        <v>1501</v>
      </c>
      <c r="O7" s="48">
        <f t="shared" si="3"/>
        <v>312</v>
      </c>
      <c r="P7" s="43">
        <f t="shared" si="4"/>
        <v>1189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109</v>
      </c>
      <c r="C8" s="7">
        <v>22</v>
      </c>
      <c r="D8" s="6"/>
      <c r="E8" s="29" t="s">
        <v>60</v>
      </c>
      <c r="F8" s="32"/>
      <c r="G8" s="8">
        <v>4</v>
      </c>
      <c r="H8" s="8">
        <v>0</v>
      </c>
      <c r="I8" s="10" t="s">
        <v>33</v>
      </c>
      <c r="J8" s="9">
        <f t="shared" si="0"/>
        <v>400</v>
      </c>
      <c r="K8" s="8">
        <v>0</v>
      </c>
      <c r="L8" s="8">
        <f t="shared" si="1"/>
        <v>400</v>
      </c>
      <c r="M8" s="44">
        <v>1100</v>
      </c>
      <c r="N8" s="42">
        <f t="shared" si="2"/>
        <v>1500</v>
      </c>
      <c r="O8" s="48">
        <f t="shared" si="3"/>
        <v>312</v>
      </c>
      <c r="P8" s="43">
        <f t="shared" si="4"/>
        <v>1188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113</v>
      </c>
      <c r="C9" s="7">
        <v>37</v>
      </c>
      <c r="D9" s="6"/>
      <c r="E9" s="29" t="s">
        <v>75</v>
      </c>
      <c r="G9" s="8">
        <v>4</v>
      </c>
      <c r="H9" s="8">
        <v>0</v>
      </c>
      <c r="I9" s="10" t="s">
        <v>33</v>
      </c>
      <c r="J9" s="9">
        <f t="shared" si="0"/>
        <v>400</v>
      </c>
      <c r="K9" s="8">
        <v>0</v>
      </c>
      <c r="L9" s="8">
        <f t="shared" si="1"/>
        <v>400</v>
      </c>
      <c r="M9" s="44">
        <v>1095</v>
      </c>
      <c r="N9" s="42">
        <f t="shared" si="2"/>
        <v>1495</v>
      </c>
      <c r="O9" s="48">
        <f t="shared" si="3"/>
        <v>312</v>
      </c>
      <c r="P9" s="43">
        <f t="shared" si="4"/>
        <v>1183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110</v>
      </c>
      <c r="C10" s="7">
        <v>42</v>
      </c>
      <c r="D10" s="6"/>
      <c r="E10" s="29" t="s">
        <v>80</v>
      </c>
      <c r="F10" s="32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1095</v>
      </c>
      <c r="N10" s="42">
        <f t="shared" si="2"/>
        <v>1495</v>
      </c>
      <c r="O10" s="48">
        <f t="shared" si="3"/>
        <v>312</v>
      </c>
      <c r="P10" s="43">
        <f t="shared" si="4"/>
        <v>1183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109</v>
      </c>
      <c r="C11" s="7">
        <v>35</v>
      </c>
      <c r="D11" s="6"/>
      <c r="E11" s="29" t="s">
        <v>73</v>
      </c>
      <c r="F11" s="29"/>
      <c r="G11" s="8">
        <v>4</v>
      </c>
      <c r="H11" s="8">
        <v>0</v>
      </c>
      <c r="I11" s="10" t="s">
        <v>33</v>
      </c>
      <c r="J11" s="9">
        <f t="shared" si="0"/>
        <v>400</v>
      </c>
      <c r="K11" s="8">
        <v>0</v>
      </c>
      <c r="L11" s="8">
        <f t="shared" si="1"/>
        <v>400</v>
      </c>
      <c r="M11" s="44">
        <v>1093</v>
      </c>
      <c r="N11" s="42">
        <f t="shared" si="2"/>
        <v>1493</v>
      </c>
      <c r="O11" s="48">
        <f t="shared" si="3"/>
        <v>312</v>
      </c>
      <c r="P11" s="43">
        <f t="shared" si="4"/>
        <v>1181</v>
      </c>
      <c r="Q11" s="1"/>
      <c r="R11" s="24"/>
    </row>
    <row r="12" spans="1:26" ht="18.75">
      <c r="A12" s="7">
        <v>1</v>
      </c>
      <c r="B12" s="7" t="s">
        <v>112</v>
      </c>
      <c r="C12" s="7">
        <v>15</v>
      </c>
      <c r="D12" s="6"/>
      <c r="E12" s="29" t="s">
        <v>53</v>
      </c>
      <c r="F12" s="29"/>
      <c r="G12" s="8">
        <v>4</v>
      </c>
      <c r="H12" s="8">
        <v>0</v>
      </c>
      <c r="I12" s="11" t="s">
        <v>34</v>
      </c>
      <c r="J12" s="9">
        <f t="shared" si="0"/>
        <v>400</v>
      </c>
      <c r="K12" s="8">
        <v>0</v>
      </c>
      <c r="L12" s="8">
        <f t="shared" si="1"/>
        <v>400</v>
      </c>
      <c r="M12" s="44">
        <v>1088</v>
      </c>
      <c r="N12" s="42">
        <f t="shared" si="2"/>
        <v>1488</v>
      </c>
      <c r="O12" s="48">
        <f t="shared" si="3"/>
        <v>240</v>
      </c>
      <c r="P12" s="43">
        <f t="shared" si="4"/>
        <v>1248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124</v>
      </c>
      <c r="C13" s="7">
        <v>2</v>
      </c>
      <c r="D13" s="6"/>
      <c r="E13" s="29" t="s">
        <v>40</v>
      </c>
      <c r="F13" s="29"/>
      <c r="G13" s="8">
        <v>4</v>
      </c>
      <c r="H13" s="8">
        <v>0</v>
      </c>
      <c r="I13" s="11" t="s">
        <v>34</v>
      </c>
      <c r="J13" s="9">
        <f t="shared" si="0"/>
        <v>400</v>
      </c>
      <c r="K13" s="8">
        <v>0</v>
      </c>
      <c r="L13" s="8">
        <f t="shared" si="1"/>
        <v>400</v>
      </c>
      <c r="M13" s="44">
        <v>1086</v>
      </c>
      <c r="N13" s="42">
        <f t="shared" si="2"/>
        <v>1486</v>
      </c>
      <c r="O13" s="48">
        <f t="shared" si="3"/>
        <v>240</v>
      </c>
      <c r="P13" s="43">
        <f t="shared" si="4"/>
        <v>1246</v>
      </c>
      <c r="Q13" s="9"/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122</v>
      </c>
      <c r="C14" s="7">
        <v>5</v>
      </c>
      <c r="D14" s="6"/>
      <c r="E14" s="29" t="s">
        <v>43</v>
      </c>
      <c r="F14" s="29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1079</v>
      </c>
      <c r="N14" s="42">
        <f t="shared" si="2"/>
        <v>1479</v>
      </c>
      <c r="O14" s="48">
        <f t="shared" si="3"/>
        <v>240</v>
      </c>
      <c r="P14" s="43">
        <f t="shared" si="4"/>
        <v>1239</v>
      </c>
      <c r="Q14" s="21"/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110</v>
      </c>
      <c r="C15" s="7">
        <v>62</v>
      </c>
      <c r="D15" s="6"/>
      <c r="E15" s="29" t="s">
        <v>100</v>
      </c>
      <c r="F15" s="29"/>
      <c r="G15" s="8">
        <v>4</v>
      </c>
      <c r="H15" s="8">
        <v>0</v>
      </c>
      <c r="I15" s="11" t="s">
        <v>34</v>
      </c>
      <c r="J15" s="9">
        <f t="shared" si="0"/>
        <v>400</v>
      </c>
      <c r="K15" s="8">
        <v>0</v>
      </c>
      <c r="L15" s="8">
        <f t="shared" si="1"/>
        <v>400</v>
      </c>
      <c r="M15" s="44">
        <v>1075</v>
      </c>
      <c r="N15" s="42">
        <f t="shared" si="2"/>
        <v>1475</v>
      </c>
      <c r="O15" s="48">
        <f t="shared" si="3"/>
        <v>240</v>
      </c>
      <c r="P15" s="43">
        <f t="shared" si="4"/>
        <v>1235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127</v>
      </c>
      <c r="C16" s="7">
        <v>21</v>
      </c>
      <c r="D16" s="6"/>
      <c r="E16" s="29" t="s">
        <v>59</v>
      </c>
      <c r="G16" s="8">
        <v>4</v>
      </c>
      <c r="H16" s="8">
        <v>0</v>
      </c>
      <c r="I16" s="11" t="s">
        <v>34</v>
      </c>
      <c r="J16" s="9">
        <f t="shared" si="0"/>
        <v>400</v>
      </c>
      <c r="K16" s="8">
        <v>0</v>
      </c>
      <c r="L16" s="8">
        <f t="shared" si="1"/>
        <v>400</v>
      </c>
      <c r="M16" s="44">
        <v>1065</v>
      </c>
      <c r="N16" s="42">
        <f t="shared" si="2"/>
        <v>1465</v>
      </c>
      <c r="O16" s="48">
        <f t="shared" si="3"/>
        <v>240</v>
      </c>
      <c r="P16" s="43">
        <f t="shared" si="4"/>
        <v>1225</v>
      </c>
      <c r="R16" t="s">
        <v>27</v>
      </c>
      <c r="S16">
        <v>4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116</v>
      </c>
      <c r="C17" s="7">
        <v>63</v>
      </c>
      <c r="D17" s="6"/>
      <c r="E17" s="29" t="s">
        <v>101</v>
      </c>
      <c r="G17" s="8">
        <v>4</v>
      </c>
      <c r="H17" s="8">
        <v>0</v>
      </c>
      <c r="I17" s="11" t="s">
        <v>34</v>
      </c>
      <c r="J17" s="9">
        <f t="shared" si="0"/>
        <v>400</v>
      </c>
      <c r="K17" s="8">
        <v>0</v>
      </c>
      <c r="L17" s="8">
        <f t="shared" si="1"/>
        <v>400</v>
      </c>
      <c r="M17" s="44">
        <v>1051</v>
      </c>
      <c r="N17" s="42">
        <f t="shared" si="2"/>
        <v>1451</v>
      </c>
      <c r="O17" s="48">
        <f t="shared" si="3"/>
        <v>240</v>
      </c>
      <c r="P17" s="43">
        <f t="shared" si="4"/>
        <v>1211</v>
      </c>
      <c r="R17" t="s">
        <v>28</v>
      </c>
      <c r="S17">
        <v>11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109</v>
      </c>
      <c r="C18" s="7">
        <v>49</v>
      </c>
      <c r="D18" s="6"/>
      <c r="E18" s="29" t="s">
        <v>87</v>
      </c>
      <c r="F18" s="29"/>
      <c r="G18" s="8">
        <v>4</v>
      </c>
      <c r="H18" s="8">
        <v>0</v>
      </c>
      <c r="I18" s="11" t="s">
        <v>34</v>
      </c>
      <c r="J18" s="9">
        <f t="shared" si="0"/>
        <v>400</v>
      </c>
      <c r="K18" s="8">
        <v>0</v>
      </c>
      <c r="L18" s="8">
        <f t="shared" si="1"/>
        <v>400</v>
      </c>
      <c r="M18" s="44">
        <v>1049</v>
      </c>
      <c r="N18" s="42">
        <f t="shared" si="2"/>
        <v>1449</v>
      </c>
      <c r="O18" s="48">
        <f t="shared" si="3"/>
        <v>240</v>
      </c>
      <c r="P18" s="43">
        <f t="shared" si="4"/>
        <v>1209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119</v>
      </c>
      <c r="C19" s="7">
        <v>18</v>
      </c>
      <c r="D19" s="6"/>
      <c r="E19" s="29" t="s">
        <v>56</v>
      </c>
      <c r="F19" s="29"/>
      <c r="G19" s="8">
        <v>4</v>
      </c>
      <c r="H19" s="8">
        <v>0</v>
      </c>
      <c r="I19" s="12" t="s">
        <v>35</v>
      </c>
      <c r="J19" s="9">
        <f t="shared" si="0"/>
        <v>400</v>
      </c>
      <c r="K19" s="8">
        <v>0</v>
      </c>
      <c r="L19" s="8">
        <f t="shared" si="1"/>
        <v>400</v>
      </c>
      <c r="M19" s="44">
        <v>1049</v>
      </c>
      <c r="N19" s="42">
        <f t="shared" si="2"/>
        <v>1449</v>
      </c>
      <c r="O19" s="48">
        <f t="shared" si="3"/>
        <v>175</v>
      </c>
      <c r="P19" s="43">
        <f t="shared" si="4"/>
        <v>1274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114</v>
      </c>
      <c r="C20" s="7">
        <v>36</v>
      </c>
      <c r="D20" s="6"/>
      <c r="E20" s="29" t="s">
        <v>74</v>
      </c>
      <c r="F20" s="29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1046</v>
      </c>
      <c r="N20" s="42">
        <f t="shared" si="2"/>
        <v>1446</v>
      </c>
      <c r="O20" s="48">
        <f t="shared" si="3"/>
        <v>175</v>
      </c>
      <c r="P20" s="43">
        <f t="shared" si="4"/>
        <v>1271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120</v>
      </c>
      <c r="C21" s="7">
        <v>45</v>
      </c>
      <c r="D21" s="6"/>
      <c r="E21" s="29" t="s">
        <v>83</v>
      </c>
      <c r="F21" s="29"/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1046</v>
      </c>
      <c r="N21" s="42">
        <f t="shared" si="2"/>
        <v>1446</v>
      </c>
      <c r="O21" s="48">
        <f t="shared" si="3"/>
        <v>175</v>
      </c>
      <c r="P21" s="43">
        <f t="shared" si="4"/>
        <v>1271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111</v>
      </c>
      <c r="C22" s="7">
        <v>40</v>
      </c>
      <c r="D22" s="6"/>
      <c r="E22" s="30" t="s">
        <v>78</v>
      </c>
      <c r="G22" s="8">
        <v>4</v>
      </c>
      <c r="H22" s="8">
        <v>0</v>
      </c>
      <c r="I22" s="12" t="s">
        <v>35</v>
      </c>
      <c r="J22" s="9">
        <f t="shared" si="0"/>
        <v>400</v>
      </c>
      <c r="K22" s="8">
        <v>0</v>
      </c>
      <c r="L22" s="8">
        <f t="shared" si="1"/>
        <v>400</v>
      </c>
      <c r="M22" s="44">
        <v>1042</v>
      </c>
      <c r="N22" s="42">
        <f t="shared" si="2"/>
        <v>1442</v>
      </c>
      <c r="O22" s="48">
        <f t="shared" si="3"/>
        <v>175</v>
      </c>
      <c r="P22" s="43">
        <f t="shared" si="4"/>
        <v>1267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/>
      <c r="C23" s="7">
        <v>10</v>
      </c>
      <c r="D23" s="6"/>
      <c r="E23" s="29" t="s">
        <v>48</v>
      </c>
      <c r="F23" s="31"/>
      <c r="G23" s="8">
        <v>4</v>
      </c>
      <c r="H23" s="8">
        <v>0</v>
      </c>
      <c r="I23" s="12" t="s">
        <v>35</v>
      </c>
      <c r="J23" s="9">
        <f t="shared" si="0"/>
        <v>400</v>
      </c>
      <c r="K23" s="8">
        <v>0</v>
      </c>
      <c r="L23" s="8">
        <f t="shared" si="1"/>
        <v>400</v>
      </c>
      <c r="M23" s="44">
        <v>1033</v>
      </c>
      <c r="N23" s="42">
        <f t="shared" si="2"/>
        <v>1433</v>
      </c>
      <c r="O23" s="48">
        <f t="shared" si="3"/>
        <v>175</v>
      </c>
      <c r="P23" s="43">
        <f t="shared" si="4"/>
        <v>1258</v>
      </c>
      <c r="Q23" s="21"/>
    </row>
    <row r="24" spans="1:27" ht="18.75">
      <c r="A24" s="7">
        <v>1</v>
      </c>
      <c r="B24" s="7" t="s">
        <v>117</v>
      </c>
      <c r="C24" s="7">
        <v>3</v>
      </c>
      <c r="D24" s="6"/>
      <c r="E24" s="29" t="s">
        <v>41</v>
      </c>
      <c r="F24" s="29"/>
      <c r="G24" s="8">
        <v>4</v>
      </c>
      <c r="H24" s="8">
        <v>0</v>
      </c>
      <c r="I24" s="12" t="s">
        <v>35</v>
      </c>
      <c r="J24" s="9">
        <f t="shared" si="0"/>
        <v>400</v>
      </c>
      <c r="K24" s="8">
        <v>0</v>
      </c>
      <c r="L24" s="8">
        <f t="shared" si="1"/>
        <v>400</v>
      </c>
      <c r="M24" s="44">
        <v>1031</v>
      </c>
      <c r="N24" s="42">
        <f t="shared" si="2"/>
        <v>1431</v>
      </c>
      <c r="O24" s="48">
        <f t="shared" si="3"/>
        <v>175</v>
      </c>
      <c r="P24" s="43">
        <f t="shared" si="4"/>
        <v>1256</v>
      </c>
      <c r="Q24" s="9"/>
    </row>
    <row r="25" spans="1:27" ht="18.75">
      <c r="A25" s="7">
        <v>1</v>
      </c>
      <c r="B25" s="7" t="s">
        <v>109</v>
      </c>
      <c r="C25" s="7">
        <v>47</v>
      </c>
      <c r="D25" s="6"/>
      <c r="E25" s="29" t="s">
        <v>85</v>
      </c>
      <c r="F25" s="29"/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1010</v>
      </c>
      <c r="N25" s="42">
        <f t="shared" si="2"/>
        <v>1410</v>
      </c>
      <c r="O25" s="48">
        <f t="shared" si="3"/>
        <v>175</v>
      </c>
      <c r="P25" s="43">
        <f t="shared" si="4"/>
        <v>1235</v>
      </c>
      <c r="Q25" s="1"/>
    </row>
    <row r="26" spans="1:27" ht="18.75" customHeight="1">
      <c r="A26" s="7">
        <v>1</v>
      </c>
      <c r="B26" s="7" t="s">
        <v>113</v>
      </c>
      <c r="C26" s="7">
        <v>32</v>
      </c>
      <c r="D26" s="6"/>
      <c r="E26" s="29" t="s">
        <v>70</v>
      </c>
      <c r="F26" s="32"/>
      <c r="G26" s="8">
        <v>4</v>
      </c>
      <c r="H26" s="8">
        <v>0</v>
      </c>
      <c r="I26" s="12" t="s">
        <v>35</v>
      </c>
      <c r="J26" s="9">
        <f t="shared" si="0"/>
        <v>400</v>
      </c>
      <c r="K26" s="8">
        <v>0</v>
      </c>
      <c r="L26" s="8">
        <f t="shared" si="1"/>
        <v>400</v>
      </c>
      <c r="M26" s="44">
        <v>1002</v>
      </c>
      <c r="N26" s="42">
        <f t="shared" si="2"/>
        <v>1402</v>
      </c>
      <c r="O26" s="48">
        <f t="shared" si="3"/>
        <v>175</v>
      </c>
      <c r="P26" s="43">
        <f t="shared" si="4"/>
        <v>1227</v>
      </c>
      <c r="Q26" s="1"/>
    </row>
    <row r="27" spans="1:27" ht="18.75">
      <c r="A27" s="7">
        <v>1</v>
      </c>
      <c r="B27" s="7" t="s">
        <v>120</v>
      </c>
      <c r="C27" s="7">
        <v>20</v>
      </c>
      <c r="D27" s="6"/>
      <c r="E27" s="29" t="s">
        <v>58</v>
      </c>
      <c r="F27" s="32"/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1002</v>
      </c>
      <c r="N27" s="42">
        <f t="shared" si="2"/>
        <v>1402</v>
      </c>
      <c r="O27" s="48">
        <f t="shared" si="3"/>
        <v>175</v>
      </c>
      <c r="P27" s="43">
        <f t="shared" si="4"/>
        <v>1227</v>
      </c>
      <c r="Q27" s="1"/>
    </row>
    <row r="28" spans="1:27" ht="18.75">
      <c r="A28" s="7">
        <v>1</v>
      </c>
      <c r="B28" s="7" t="s">
        <v>108</v>
      </c>
      <c r="C28" s="7">
        <v>46</v>
      </c>
      <c r="D28" s="6"/>
      <c r="E28" s="29" t="s">
        <v>84</v>
      </c>
      <c r="F28" s="29"/>
      <c r="G28" s="8">
        <v>4</v>
      </c>
      <c r="H28" s="8">
        <v>0</v>
      </c>
      <c r="I28" s="12" t="s">
        <v>35</v>
      </c>
      <c r="J28" s="9">
        <f t="shared" si="0"/>
        <v>400</v>
      </c>
      <c r="K28" s="8">
        <v>0</v>
      </c>
      <c r="L28" s="8">
        <f t="shared" si="1"/>
        <v>400</v>
      </c>
      <c r="M28" s="44">
        <v>984</v>
      </c>
      <c r="N28" s="42">
        <f t="shared" si="2"/>
        <v>1384</v>
      </c>
      <c r="O28" s="48">
        <f t="shared" si="3"/>
        <v>175</v>
      </c>
      <c r="P28" s="43">
        <f t="shared" si="4"/>
        <v>1209</v>
      </c>
      <c r="Q28" s="1"/>
    </row>
    <row r="29" spans="1:27" s="1" customFormat="1" ht="18.75">
      <c r="A29" s="7">
        <v>1</v>
      </c>
      <c r="B29" s="7" t="s">
        <v>120</v>
      </c>
      <c r="C29" s="7">
        <v>13</v>
      </c>
      <c r="D29" s="6"/>
      <c r="E29" s="29" t="s">
        <v>51</v>
      </c>
      <c r="F29" s="29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983</v>
      </c>
      <c r="N29" s="42">
        <f t="shared" si="2"/>
        <v>1383</v>
      </c>
      <c r="O29" s="48">
        <f t="shared" si="3"/>
        <v>175</v>
      </c>
      <c r="P29" s="43">
        <f t="shared" si="4"/>
        <v>1208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109</v>
      </c>
      <c r="C30" s="7">
        <v>55</v>
      </c>
      <c r="D30" s="6"/>
      <c r="E30" s="29" t="s">
        <v>106</v>
      </c>
      <c r="G30" s="8">
        <v>4</v>
      </c>
      <c r="H30" s="8">
        <v>0</v>
      </c>
      <c r="I30" s="12" t="s">
        <v>35</v>
      </c>
      <c r="J30" s="9">
        <f t="shared" si="0"/>
        <v>400</v>
      </c>
      <c r="K30" s="8">
        <v>0</v>
      </c>
      <c r="L30" s="8">
        <f t="shared" si="1"/>
        <v>400</v>
      </c>
      <c r="M30" s="44">
        <v>981</v>
      </c>
      <c r="N30" s="42">
        <f t="shared" si="2"/>
        <v>1381</v>
      </c>
      <c r="O30" s="48">
        <f t="shared" si="3"/>
        <v>175</v>
      </c>
      <c r="P30" s="43">
        <f t="shared" si="4"/>
        <v>1206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122</v>
      </c>
      <c r="C31" s="7">
        <v>17</v>
      </c>
      <c r="D31" s="6"/>
      <c r="E31" s="29" t="s">
        <v>55</v>
      </c>
      <c r="F31" s="29"/>
      <c r="G31" s="8">
        <v>4</v>
      </c>
      <c r="H31" s="8">
        <v>0</v>
      </c>
      <c r="I31" s="12" t="s">
        <v>35</v>
      </c>
      <c r="J31" s="9">
        <f t="shared" si="0"/>
        <v>400</v>
      </c>
      <c r="K31" s="8">
        <v>0</v>
      </c>
      <c r="L31" s="8">
        <f t="shared" si="1"/>
        <v>400</v>
      </c>
      <c r="M31" s="44">
        <v>981</v>
      </c>
      <c r="N31" s="42">
        <f t="shared" si="2"/>
        <v>1381</v>
      </c>
      <c r="O31" s="48">
        <f t="shared" si="3"/>
        <v>175</v>
      </c>
      <c r="P31" s="43">
        <f t="shared" si="4"/>
        <v>1206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114</v>
      </c>
      <c r="C32" s="7">
        <v>52</v>
      </c>
      <c r="D32" s="6"/>
      <c r="E32" s="29" t="s">
        <v>90</v>
      </c>
      <c r="G32" s="8">
        <v>3</v>
      </c>
      <c r="H32" s="8">
        <v>0</v>
      </c>
      <c r="I32" s="12" t="s">
        <v>35</v>
      </c>
      <c r="J32" s="9">
        <f t="shared" si="0"/>
        <v>300</v>
      </c>
      <c r="K32" s="8">
        <v>0</v>
      </c>
      <c r="L32" s="8">
        <f t="shared" si="1"/>
        <v>300</v>
      </c>
      <c r="M32" s="44">
        <v>1067</v>
      </c>
      <c r="N32" s="42">
        <f t="shared" si="2"/>
        <v>1367</v>
      </c>
      <c r="O32" s="48">
        <f t="shared" si="3"/>
        <v>175</v>
      </c>
      <c r="P32" s="43">
        <f t="shared" si="4"/>
        <v>1192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123</v>
      </c>
      <c r="C33" s="7">
        <v>12</v>
      </c>
      <c r="D33" s="6"/>
      <c r="E33" s="29" t="s">
        <v>50</v>
      </c>
      <c r="F33" s="29"/>
      <c r="G33" s="8">
        <v>3</v>
      </c>
      <c r="H33" s="8">
        <v>0</v>
      </c>
      <c r="I33" s="12" t="s">
        <v>35</v>
      </c>
      <c r="J33" s="9">
        <f t="shared" si="0"/>
        <v>300</v>
      </c>
      <c r="K33" s="8">
        <v>0</v>
      </c>
      <c r="L33" s="8">
        <f t="shared" si="1"/>
        <v>300</v>
      </c>
      <c r="M33" s="44">
        <v>1063</v>
      </c>
      <c r="N33" s="42">
        <f t="shared" si="2"/>
        <v>1363</v>
      </c>
      <c r="O33" s="48">
        <f t="shared" si="3"/>
        <v>175</v>
      </c>
      <c r="P33" s="43">
        <f t="shared" si="4"/>
        <v>1188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112</v>
      </c>
      <c r="C34" s="7">
        <v>53</v>
      </c>
      <c r="D34" s="6"/>
      <c r="E34" s="29" t="s">
        <v>91</v>
      </c>
      <c r="F34" s="29"/>
      <c r="G34" s="8">
        <v>3</v>
      </c>
      <c r="H34" s="8">
        <v>0</v>
      </c>
      <c r="I34" s="12" t="s">
        <v>35</v>
      </c>
      <c r="J34" s="9">
        <f t="shared" si="0"/>
        <v>300</v>
      </c>
      <c r="K34" s="8">
        <v>0</v>
      </c>
      <c r="L34" s="8">
        <f t="shared" si="1"/>
        <v>300</v>
      </c>
      <c r="M34" s="44">
        <v>1060</v>
      </c>
      <c r="N34" s="42">
        <f t="shared" si="2"/>
        <v>1360</v>
      </c>
      <c r="O34" s="48">
        <f t="shared" si="3"/>
        <v>175</v>
      </c>
      <c r="P34" s="43">
        <f t="shared" si="4"/>
        <v>1185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123</v>
      </c>
      <c r="C35" s="7">
        <v>24</v>
      </c>
      <c r="D35" s="6"/>
      <c r="E35" s="29" t="s">
        <v>62</v>
      </c>
      <c r="F35" s="32"/>
      <c r="G35" s="8">
        <v>4</v>
      </c>
      <c r="H35" s="8">
        <v>0</v>
      </c>
      <c r="I35" s="12" t="s">
        <v>35</v>
      </c>
      <c r="J35" s="9">
        <f t="shared" si="0"/>
        <v>400</v>
      </c>
      <c r="K35" s="8">
        <v>0</v>
      </c>
      <c r="L35" s="8">
        <f t="shared" si="1"/>
        <v>400</v>
      </c>
      <c r="M35" s="44">
        <v>947</v>
      </c>
      <c r="N35" s="42">
        <f t="shared" si="2"/>
        <v>1347</v>
      </c>
      <c r="O35" s="48">
        <f t="shared" si="3"/>
        <v>175</v>
      </c>
      <c r="P35" s="43">
        <f t="shared" si="4"/>
        <v>1172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109</v>
      </c>
      <c r="C36" s="7">
        <v>11</v>
      </c>
      <c r="D36" s="6"/>
      <c r="E36" s="29" t="s">
        <v>49</v>
      </c>
      <c r="F36" s="29"/>
      <c r="G36" s="8">
        <v>4</v>
      </c>
      <c r="H36" s="8">
        <v>0</v>
      </c>
      <c r="I36" s="12" t="s">
        <v>35</v>
      </c>
      <c r="J36" s="9">
        <f t="shared" si="0"/>
        <v>400</v>
      </c>
      <c r="K36" s="8">
        <v>0</v>
      </c>
      <c r="L36" s="8">
        <f t="shared" si="1"/>
        <v>400</v>
      </c>
      <c r="M36" s="44">
        <v>943</v>
      </c>
      <c r="N36" s="42">
        <f t="shared" si="2"/>
        <v>1343</v>
      </c>
      <c r="O36" s="48">
        <f t="shared" si="3"/>
        <v>175</v>
      </c>
      <c r="P36" s="43">
        <f t="shared" si="4"/>
        <v>1168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118</v>
      </c>
      <c r="C37" s="7">
        <v>50</v>
      </c>
      <c r="D37" s="6"/>
      <c r="E37" s="29" t="s">
        <v>88</v>
      </c>
      <c r="F37" s="29"/>
      <c r="G37" s="8">
        <v>3</v>
      </c>
      <c r="H37" s="8">
        <v>0</v>
      </c>
      <c r="I37" s="12" t="s">
        <v>35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1016</v>
      </c>
      <c r="N37" s="42">
        <f t="shared" ref="N37:N68" si="7">M37+L37</f>
        <v>1316</v>
      </c>
      <c r="O37" s="48">
        <f t="shared" ref="O37:O69" si="8">VLOOKUP(I37,$R$3:$S$10,2,FALSE)</f>
        <v>175</v>
      </c>
      <c r="P37" s="43">
        <f t="shared" ref="P37:P68" si="9">IF(N37-O37&gt;0,N37-O37,0)</f>
        <v>1141</v>
      </c>
      <c r="Q37" s="1"/>
    </row>
    <row r="38" spans="1:27" s="1" customFormat="1" ht="18.75">
      <c r="A38" s="7">
        <v>1</v>
      </c>
      <c r="B38" s="7" t="s">
        <v>122</v>
      </c>
      <c r="C38" s="7">
        <v>1</v>
      </c>
      <c r="D38" s="6"/>
      <c r="E38" s="29" t="s">
        <v>39</v>
      </c>
      <c r="F38" s="29"/>
      <c r="G38" s="8">
        <v>2</v>
      </c>
      <c r="H38" s="8">
        <v>0</v>
      </c>
      <c r="I38" s="12" t="s">
        <v>35</v>
      </c>
      <c r="J38" s="9">
        <f t="shared" si="5"/>
        <v>200</v>
      </c>
      <c r="K38" s="8">
        <v>0</v>
      </c>
      <c r="L38" s="8">
        <f t="shared" si="6"/>
        <v>200</v>
      </c>
      <c r="M38" s="44">
        <v>1099</v>
      </c>
      <c r="N38" s="42">
        <f t="shared" si="7"/>
        <v>1299</v>
      </c>
      <c r="O38" s="48">
        <f t="shared" si="8"/>
        <v>175</v>
      </c>
      <c r="P38" s="43">
        <f t="shared" si="9"/>
        <v>1124</v>
      </c>
      <c r="Q38" s="9"/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114</v>
      </c>
      <c r="C39" s="7">
        <v>58</v>
      </c>
      <c r="D39" s="6"/>
      <c r="E39" s="29" t="s">
        <v>96</v>
      </c>
      <c r="F39" s="1"/>
      <c r="G39" s="8">
        <v>3</v>
      </c>
      <c r="H39" s="8">
        <v>0</v>
      </c>
      <c r="I39" s="12" t="s">
        <v>35</v>
      </c>
      <c r="J39" s="9">
        <f t="shared" si="5"/>
        <v>300</v>
      </c>
      <c r="K39" s="8">
        <v>0</v>
      </c>
      <c r="L39" s="8">
        <f t="shared" si="6"/>
        <v>300</v>
      </c>
      <c r="M39" s="44">
        <v>979</v>
      </c>
      <c r="N39" s="42">
        <f t="shared" si="7"/>
        <v>1279</v>
      </c>
      <c r="O39" s="48">
        <f t="shared" si="8"/>
        <v>175</v>
      </c>
      <c r="P39" s="43">
        <f t="shared" si="9"/>
        <v>1104</v>
      </c>
      <c r="Q39" s="1"/>
    </row>
    <row r="40" spans="1:27" ht="18.75">
      <c r="A40" s="7">
        <v>1</v>
      </c>
      <c r="B40" s="7" t="s">
        <v>115</v>
      </c>
      <c r="C40" s="7">
        <v>56</v>
      </c>
      <c r="D40" s="6"/>
      <c r="E40" s="29" t="s">
        <v>94</v>
      </c>
      <c r="F40" s="29"/>
      <c r="G40" s="8">
        <v>2</v>
      </c>
      <c r="H40" s="8">
        <v>0</v>
      </c>
      <c r="I40" s="12" t="s">
        <v>35</v>
      </c>
      <c r="J40" s="9">
        <f t="shared" si="5"/>
        <v>200</v>
      </c>
      <c r="K40" s="8">
        <v>0</v>
      </c>
      <c r="L40" s="8">
        <f t="shared" si="6"/>
        <v>200</v>
      </c>
      <c r="M40" s="44">
        <v>1051</v>
      </c>
      <c r="N40" s="42">
        <f t="shared" si="7"/>
        <v>1251</v>
      </c>
      <c r="O40" s="48">
        <f t="shared" si="8"/>
        <v>175</v>
      </c>
      <c r="P40" s="43">
        <f t="shared" si="9"/>
        <v>1076</v>
      </c>
      <c r="Q40" s="1"/>
    </row>
    <row r="41" spans="1:27" ht="18.75">
      <c r="A41" s="7">
        <v>1</v>
      </c>
      <c r="B41" s="7" t="s">
        <v>121</v>
      </c>
      <c r="C41" s="7">
        <v>30</v>
      </c>
      <c r="D41" s="6"/>
      <c r="E41" s="29" t="s">
        <v>68</v>
      </c>
      <c r="F41" s="32"/>
      <c r="G41" s="8">
        <v>3</v>
      </c>
      <c r="H41" s="8">
        <v>0</v>
      </c>
      <c r="I41" s="12" t="s">
        <v>35</v>
      </c>
      <c r="J41" s="9">
        <f t="shared" si="5"/>
        <v>300</v>
      </c>
      <c r="K41" s="8">
        <v>0</v>
      </c>
      <c r="L41" s="8">
        <f t="shared" si="6"/>
        <v>300</v>
      </c>
      <c r="M41" s="44">
        <v>916</v>
      </c>
      <c r="N41" s="42">
        <f t="shared" si="7"/>
        <v>1216</v>
      </c>
      <c r="O41" s="48">
        <f t="shared" si="8"/>
        <v>175</v>
      </c>
      <c r="P41" s="43">
        <f t="shared" si="9"/>
        <v>1041</v>
      </c>
      <c r="Q41" s="1"/>
    </row>
    <row r="42" spans="1:27" ht="18.75">
      <c r="A42" s="7">
        <v>1</v>
      </c>
      <c r="B42" s="7" t="s">
        <v>110</v>
      </c>
      <c r="C42" s="7">
        <v>28</v>
      </c>
      <c r="D42" s="6"/>
      <c r="E42" s="29" t="s">
        <v>66</v>
      </c>
      <c r="F42" s="32"/>
      <c r="G42" s="8">
        <v>2</v>
      </c>
      <c r="H42" s="8">
        <v>0</v>
      </c>
      <c r="I42" s="12" t="s">
        <v>35</v>
      </c>
      <c r="J42" s="9">
        <f t="shared" si="5"/>
        <v>200</v>
      </c>
      <c r="K42" s="8">
        <v>0</v>
      </c>
      <c r="L42" s="8">
        <f t="shared" si="6"/>
        <v>200</v>
      </c>
      <c r="M42" s="44">
        <v>997</v>
      </c>
      <c r="N42" s="42">
        <f t="shared" si="7"/>
        <v>1197</v>
      </c>
      <c r="O42" s="48">
        <f t="shared" si="8"/>
        <v>175</v>
      </c>
      <c r="P42" s="43">
        <f t="shared" si="9"/>
        <v>1022</v>
      </c>
      <c r="Q42" s="1"/>
    </row>
    <row r="43" spans="1:27" ht="18.75">
      <c r="A43" s="7">
        <v>1</v>
      </c>
      <c r="B43" s="7" t="s">
        <v>118</v>
      </c>
      <c r="C43" s="7">
        <v>16</v>
      </c>
      <c r="D43" s="6"/>
      <c r="E43" s="29" t="s">
        <v>54</v>
      </c>
      <c r="F43" s="32"/>
      <c r="G43" s="8">
        <v>2</v>
      </c>
      <c r="H43" s="8">
        <v>0</v>
      </c>
      <c r="I43" s="12" t="s">
        <v>35</v>
      </c>
      <c r="J43" s="9">
        <f t="shared" si="5"/>
        <v>200</v>
      </c>
      <c r="K43" s="8">
        <v>0</v>
      </c>
      <c r="L43" s="8">
        <f t="shared" si="6"/>
        <v>200</v>
      </c>
      <c r="M43" s="44">
        <v>960</v>
      </c>
      <c r="N43" s="42">
        <f t="shared" si="7"/>
        <v>1160</v>
      </c>
      <c r="O43" s="48">
        <f t="shared" si="8"/>
        <v>175</v>
      </c>
      <c r="P43" s="43">
        <f t="shared" si="9"/>
        <v>985</v>
      </c>
      <c r="Q43" s="1"/>
    </row>
    <row r="44" spans="1:27" ht="18.75">
      <c r="A44" s="7">
        <v>1</v>
      </c>
      <c r="B44" s="7" t="s">
        <v>120</v>
      </c>
      <c r="C44" s="7">
        <v>6</v>
      </c>
      <c r="D44" s="6"/>
      <c r="E44" s="29" t="s">
        <v>44</v>
      </c>
      <c r="F44" s="29"/>
      <c r="G44" s="8">
        <v>3</v>
      </c>
      <c r="H44" s="8">
        <v>0</v>
      </c>
      <c r="I44" s="12" t="s">
        <v>35</v>
      </c>
      <c r="J44" s="9">
        <f t="shared" si="5"/>
        <v>300</v>
      </c>
      <c r="K44" s="8">
        <v>0</v>
      </c>
      <c r="L44" s="8">
        <f t="shared" si="6"/>
        <v>300</v>
      </c>
      <c r="M44" s="44">
        <v>814</v>
      </c>
      <c r="N44" s="42">
        <f t="shared" si="7"/>
        <v>1114</v>
      </c>
      <c r="O44" s="48">
        <f t="shared" si="8"/>
        <v>175</v>
      </c>
      <c r="P44" s="43">
        <f t="shared" si="9"/>
        <v>939</v>
      </c>
      <c r="Q44" s="15"/>
    </row>
    <row r="45" spans="1:27" ht="18.75">
      <c r="A45" s="7">
        <v>1</v>
      </c>
      <c r="B45" s="7" t="s">
        <v>113</v>
      </c>
      <c r="C45" s="7">
        <v>64</v>
      </c>
      <c r="D45" s="6"/>
      <c r="E45" s="29" t="s">
        <v>102</v>
      </c>
      <c r="F45" s="29"/>
      <c r="G45" s="8">
        <v>4</v>
      </c>
      <c r="H45" s="8">
        <v>0</v>
      </c>
      <c r="I45" s="12" t="s">
        <v>35</v>
      </c>
      <c r="J45" s="9">
        <f t="shared" si="5"/>
        <v>400</v>
      </c>
      <c r="K45" s="8">
        <v>0</v>
      </c>
      <c r="L45" s="8">
        <f t="shared" si="6"/>
        <v>400</v>
      </c>
      <c r="M45" s="44">
        <v>669</v>
      </c>
      <c r="N45" s="42">
        <f t="shared" si="7"/>
        <v>1069</v>
      </c>
      <c r="O45" s="48">
        <f t="shared" si="8"/>
        <v>175</v>
      </c>
      <c r="P45" s="43">
        <f t="shared" si="9"/>
        <v>894</v>
      </c>
      <c r="Q45" s="1"/>
    </row>
    <row r="46" spans="1:27" ht="18.75">
      <c r="A46" s="7">
        <v>1</v>
      </c>
      <c r="B46" s="7" t="s">
        <v>121</v>
      </c>
      <c r="C46" s="7">
        <v>4</v>
      </c>
      <c r="D46" s="6"/>
      <c r="E46" s="29" t="s">
        <v>42</v>
      </c>
      <c r="F46" s="29"/>
      <c r="G46" s="8">
        <v>4</v>
      </c>
      <c r="H46" s="8">
        <v>0</v>
      </c>
      <c r="I46" s="12" t="s">
        <v>35</v>
      </c>
      <c r="J46" s="9">
        <f t="shared" si="5"/>
        <v>400</v>
      </c>
      <c r="K46" s="8">
        <v>0</v>
      </c>
      <c r="L46" s="8">
        <f t="shared" si="6"/>
        <v>400</v>
      </c>
      <c r="M46" s="44">
        <v>669</v>
      </c>
      <c r="N46" s="42">
        <f t="shared" si="7"/>
        <v>1069</v>
      </c>
      <c r="O46" s="48">
        <f t="shared" si="8"/>
        <v>175</v>
      </c>
      <c r="P46" s="43">
        <f t="shared" si="9"/>
        <v>894</v>
      </c>
      <c r="Q46" s="9"/>
    </row>
    <row r="47" spans="1:27" ht="18.75">
      <c r="A47" s="7">
        <v>1</v>
      </c>
      <c r="B47" s="7" t="s">
        <v>109</v>
      </c>
      <c r="C47" s="7">
        <v>39</v>
      </c>
      <c r="D47" s="6"/>
      <c r="E47" s="29" t="s">
        <v>77</v>
      </c>
      <c r="F47" s="29"/>
      <c r="G47" s="8">
        <v>3</v>
      </c>
      <c r="H47" s="8">
        <v>0</v>
      </c>
      <c r="I47" s="12" t="s">
        <v>35</v>
      </c>
      <c r="J47" s="9">
        <f t="shared" si="5"/>
        <v>300</v>
      </c>
      <c r="K47" s="8">
        <v>0</v>
      </c>
      <c r="L47" s="8">
        <f t="shared" si="6"/>
        <v>300</v>
      </c>
      <c r="M47" s="44">
        <v>750</v>
      </c>
      <c r="N47" s="42">
        <f t="shared" si="7"/>
        <v>1050</v>
      </c>
      <c r="O47" s="48">
        <f t="shared" si="8"/>
        <v>175</v>
      </c>
      <c r="P47" s="43">
        <f t="shared" si="9"/>
        <v>875</v>
      </c>
      <c r="Q47" s="1"/>
    </row>
    <row r="48" spans="1:27" ht="18.75">
      <c r="A48" s="7">
        <v>1</v>
      </c>
      <c r="B48" s="7" t="s">
        <v>113</v>
      </c>
      <c r="C48" s="7">
        <v>25</v>
      </c>
      <c r="D48" s="6"/>
      <c r="E48" s="29" t="s">
        <v>63</v>
      </c>
      <c r="F48" s="32"/>
      <c r="G48" s="8">
        <v>3</v>
      </c>
      <c r="H48" s="8">
        <v>0</v>
      </c>
      <c r="I48" s="12" t="s">
        <v>35</v>
      </c>
      <c r="J48" s="9">
        <f t="shared" si="5"/>
        <v>300</v>
      </c>
      <c r="K48" s="8">
        <v>0</v>
      </c>
      <c r="L48" s="8">
        <f t="shared" si="6"/>
        <v>300</v>
      </c>
      <c r="M48" s="44">
        <v>700</v>
      </c>
      <c r="N48" s="42">
        <f t="shared" si="7"/>
        <v>1000</v>
      </c>
      <c r="O48" s="48">
        <f t="shared" si="8"/>
        <v>175</v>
      </c>
      <c r="P48" s="43">
        <f t="shared" si="9"/>
        <v>825</v>
      </c>
    </row>
    <row r="49" spans="1:17" ht="18.75">
      <c r="A49" s="7">
        <v>1</v>
      </c>
      <c r="B49" s="7" t="s">
        <v>117</v>
      </c>
      <c r="C49" s="7">
        <v>9</v>
      </c>
      <c r="D49" s="6"/>
      <c r="E49" s="29" t="s">
        <v>47</v>
      </c>
      <c r="F49" s="33"/>
      <c r="G49" s="8">
        <v>0</v>
      </c>
      <c r="H49" s="8">
        <v>0</v>
      </c>
      <c r="I49" s="27" t="s">
        <v>23</v>
      </c>
      <c r="J49" s="9">
        <f t="shared" si="5"/>
        <v>0</v>
      </c>
      <c r="K49" s="8">
        <v>0</v>
      </c>
      <c r="L49" s="8">
        <f t="shared" si="6"/>
        <v>0</v>
      </c>
      <c r="M49" s="44">
        <v>961</v>
      </c>
      <c r="N49" s="42">
        <f t="shared" si="7"/>
        <v>961</v>
      </c>
      <c r="O49" s="48">
        <f t="shared" si="8"/>
        <v>0</v>
      </c>
      <c r="P49" s="43">
        <f t="shared" si="9"/>
        <v>961</v>
      </c>
      <c r="Q49" s="45"/>
    </row>
    <row r="50" spans="1:17" ht="18.75">
      <c r="A50" s="7">
        <v>1</v>
      </c>
      <c r="B50" s="7" t="s">
        <v>126</v>
      </c>
      <c r="C50" s="7">
        <v>41</v>
      </c>
      <c r="D50" s="6"/>
      <c r="E50" s="29" t="s">
        <v>79</v>
      </c>
      <c r="F50" s="32"/>
      <c r="G50" s="8">
        <v>2</v>
      </c>
      <c r="H50" s="8">
        <v>0</v>
      </c>
      <c r="I50" s="12" t="s">
        <v>35</v>
      </c>
      <c r="J50" s="9">
        <f t="shared" si="5"/>
        <v>200</v>
      </c>
      <c r="K50" s="8">
        <v>0</v>
      </c>
      <c r="L50" s="8">
        <f t="shared" si="6"/>
        <v>200</v>
      </c>
      <c r="M50" s="44">
        <v>751</v>
      </c>
      <c r="N50" s="42">
        <f t="shared" si="7"/>
        <v>951</v>
      </c>
      <c r="O50" s="48">
        <f t="shared" si="8"/>
        <v>175</v>
      </c>
      <c r="P50" s="43">
        <f t="shared" si="9"/>
        <v>776</v>
      </c>
    </row>
    <row r="51" spans="1:17" ht="18.75">
      <c r="A51" s="7">
        <v>1</v>
      </c>
      <c r="B51" s="7" t="s">
        <v>123</v>
      </c>
      <c r="C51" s="7">
        <v>23</v>
      </c>
      <c r="D51" s="6"/>
      <c r="E51" s="29" t="s">
        <v>61</v>
      </c>
      <c r="F51" s="32"/>
      <c r="G51" s="8">
        <v>0</v>
      </c>
      <c r="H51" s="8">
        <v>0</v>
      </c>
      <c r="I51" s="27" t="s">
        <v>23</v>
      </c>
      <c r="J51" s="9">
        <f t="shared" si="5"/>
        <v>0</v>
      </c>
      <c r="K51" s="8">
        <v>0</v>
      </c>
      <c r="L51" s="8">
        <f t="shared" si="6"/>
        <v>0</v>
      </c>
      <c r="M51" s="44">
        <v>951</v>
      </c>
      <c r="N51" s="42">
        <f t="shared" si="7"/>
        <v>951</v>
      </c>
      <c r="O51" s="48">
        <f t="shared" si="8"/>
        <v>0</v>
      </c>
      <c r="P51" s="43">
        <f t="shared" si="9"/>
        <v>951</v>
      </c>
    </row>
    <row r="52" spans="1:17" ht="18.75">
      <c r="A52" s="7">
        <v>1</v>
      </c>
      <c r="B52" s="7" t="s">
        <v>115</v>
      </c>
      <c r="C52" s="7">
        <v>26</v>
      </c>
      <c r="D52" s="6"/>
      <c r="E52" s="29" t="s">
        <v>64</v>
      </c>
      <c r="F52" s="32"/>
      <c r="G52" s="8">
        <v>3</v>
      </c>
      <c r="H52" s="8">
        <v>0</v>
      </c>
      <c r="I52" s="12" t="s">
        <v>35</v>
      </c>
      <c r="J52" s="9">
        <f t="shared" si="5"/>
        <v>300</v>
      </c>
      <c r="K52" s="8">
        <v>0</v>
      </c>
      <c r="L52" s="8">
        <f t="shared" si="6"/>
        <v>300</v>
      </c>
      <c r="M52" s="44">
        <v>569</v>
      </c>
      <c r="N52" s="42">
        <f t="shared" si="7"/>
        <v>869</v>
      </c>
      <c r="O52" s="48">
        <f t="shared" si="8"/>
        <v>175</v>
      </c>
      <c r="P52" s="43">
        <f t="shared" si="9"/>
        <v>694</v>
      </c>
    </row>
    <row r="53" spans="1:17" ht="18.75">
      <c r="A53" s="7">
        <v>1</v>
      </c>
      <c r="B53" s="7" t="s">
        <v>114</v>
      </c>
      <c r="C53" s="7">
        <v>33</v>
      </c>
      <c r="D53" s="6"/>
      <c r="E53" s="29" t="s">
        <v>71</v>
      </c>
      <c r="F53" s="29"/>
      <c r="G53" s="8">
        <v>3</v>
      </c>
      <c r="H53" s="8">
        <v>0</v>
      </c>
      <c r="I53" s="12" t="s">
        <v>35</v>
      </c>
      <c r="J53" s="9">
        <f t="shared" si="5"/>
        <v>300</v>
      </c>
      <c r="K53" s="8">
        <v>0</v>
      </c>
      <c r="L53" s="8">
        <f t="shared" si="6"/>
        <v>300</v>
      </c>
      <c r="M53" s="44">
        <v>553</v>
      </c>
      <c r="N53" s="42">
        <f t="shared" si="7"/>
        <v>853</v>
      </c>
      <c r="O53" s="48">
        <f t="shared" si="8"/>
        <v>175</v>
      </c>
      <c r="P53" s="43">
        <f t="shared" si="9"/>
        <v>678</v>
      </c>
    </row>
    <row r="54" spans="1:17" ht="18.75">
      <c r="A54" s="7">
        <v>1</v>
      </c>
      <c r="B54" s="7" t="s">
        <v>110</v>
      </c>
      <c r="C54" s="7">
        <v>54</v>
      </c>
      <c r="D54" s="6"/>
      <c r="E54" s="29" t="s">
        <v>92</v>
      </c>
      <c r="G54" s="8">
        <v>4</v>
      </c>
      <c r="H54" s="8">
        <v>0</v>
      </c>
      <c r="I54" s="12" t="s">
        <v>35</v>
      </c>
      <c r="J54" s="9">
        <f t="shared" si="5"/>
        <v>400</v>
      </c>
      <c r="K54" s="8">
        <v>0</v>
      </c>
      <c r="L54" s="8">
        <f t="shared" si="6"/>
        <v>400</v>
      </c>
      <c r="M54" s="44">
        <v>425</v>
      </c>
      <c r="N54" s="42">
        <f t="shared" si="7"/>
        <v>825</v>
      </c>
      <c r="O54" s="48">
        <f t="shared" si="8"/>
        <v>175</v>
      </c>
      <c r="P54" s="43">
        <f t="shared" si="9"/>
        <v>650</v>
      </c>
    </row>
    <row r="55" spans="1:17" ht="18.75">
      <c r="A55" s="7">
        <v>1</v>
      </c>
      <c r="B55" s="7" t="s">
        <v>118</v>
      </c>
      <c r="C55" s="7">
        <v>65</v>
      </c>
      <c r="E55" s="29" t="s">
        <v>105</v>
      </c>
      <c r="G55" s="8">
        <v>4</v>
      </c>
      <c r="H55" s="8">
        <v>0</v>
      </c>
      <c r="I55" s="12" t="s">
        <v>35</v>
      </c>
      <c r="J55" s="9">
        <f t="shared" si="5"/>
        <v>400</v>
      </c>
      <c r="K55" s="8">
        <v>0</v>
      </c>
      <c r="L55" s="8">
        <f t="shared" si="6"/>
        <v>400</v>
      </c>
      <c r="M55" s="44">
        <v>375</v>
      </c>
      <c r="N55" s="42">
        <f t="shared" si="7"/>
        <v>775</v>
      </c>
      <c r="O55" s="48">
        <f t="shared" si="8"/>
        <v>175</v>
      </c>
      <c r="P55" s="43">
        <f t="shared" si="9"/>
        <v>600</v>
      </c>
    </row>
    <row r="56" spans="1:17" ht="18.75">
      <c r="A56" s="7">
        <v>1</v>
      </c>
      <c r="B56" s="7" t="s">
        <v>108</v>
      </c>
      <c r="C56" s="7">
        <v>44</v>
      </c>
      <c r="D56" s="6"/>
      <c r="E56" s="29" t="s">
        <v>82</v>
      </c>
      <c r="F56" s="29"/>
      <c r="G56" s="8">
        <v>3</v>
      </c>
      <c r="H56" s="8">
        <v>0</v>
      </c>
      <c r="I56" s="12" t="s">
        <v>35</v>
      </c>
      <c r="J56" s="9">
        <f t="shared" si="5"/>
        <v>300</v>
      </c>
      <c r="K56" s="8">
        <v>0</v>
      </c>
      <c r="L56" s="8">
        <f t="shared" si="6"/>
        <v>300</v>
      </c>
      <c r="M56" s="44">
        <v>404</v>
      </c>
      <c r="N56" s="42">
        <f t="shared" si="7"/>
        <v>704</v>
      </c>
      <c r="O56" s="48">
        <f t="shared" si="8"/>
        <v>175</v>
      </c>
      <c r="P56" s="43">
        <f t="shared" si="9"/>
        <v>529</v>
      </c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4</v>
      </c>
      <c r="H57" s="8">
        <v>0</v>
      </c>
      <c r="I57" s="12" t="s">
        <v>35</v>
      </c>
      <c r="J57" s="9">
        <f t="shared" si="5"/>
        <v>400</v>
      </c>
      <c r="K57" s="8">
        <v>0</v>
      </c>
      <c r="L57" s="8">
        <f t="shared" si="6"/>
        <v>400</v>
      </c>
      <c r="M57" s="44">
        <v>200</v>
      </c>
      <c r="N57" s="42">
        <f t="shared" si="7"/>
        <v>600</v>
      </c>
      <c r="O57" s="48">
        <f t="shared" si="8"/>
        <v>175</v>
      </c>
      <c r="P57" s="43">
        <f t="shared" si="9"/>
        <v>425</v>
      </c>
    </row>
    <row r="58" spans="1:17" ht="18.75">
      <c r="A58" s="7">
        <v>1</v>
      </c>
      <c r="B58" s="7" t="s">
        <v>112</v>
      </c>
      <c r="C58" s="7">
        <v>57</v>
      </c>
      <c r="D58" s="6"/>
      <c r="E58" s="29" t="s">
        <v>95</v>
      </c>
      <c r="G58" s="8">
        <v>0</v>
      </c>
      <c r="H58" s="8">
        <v>0</v>
      </c>
      <c r="I58" s="27" t="s">
        <v>23</v>
      </c>
      <c r="J58" s="9">
        <f t="shared" si="5"/>
        <v>0</v>
      </c>
      <c r="K58" s="8">
        <v>0</v>
      </c>
      <c r="L58" s="8">
        <f t="shared" si="6"/>
        <v>0</v>
      </c>
      <c r="M58" s="44">
        <v>410</v>
      </c>
      <c r="N58" s="42">
        <f t="shared" si="7"/>
        <v>410</v>
      </c>
      <c r="O58" s="48">
        <f t="shared" si="8"/>
        <v>0</v>
      </c>
      <c r="P58" s="43">
        <f t="shared" si="9"/>
        <v>410</v>
      </c>
    </row>
    <row r="59" spans="1:17" ht="18.75">
      <c r="A59" s="7">
        <v>1</v>
      </c>
      <c r="B59" s="7" t="s">
        <v>125</v>
      </c>
      <c r="C59" s="7">
        <v>59</v>
      </c>
      <c r="D59" s="6"/>
      <c r="E59" s="29" t="s">
        <v>97</v>
      </c>
      <c r="G59" s="8">
        <v>2</v>
      </c>
      <c r="H59" s="8">
        <v>0</v>
      </c>
      <c r="I59" s="12" t="s">
        <v>35</v>
      </c>
      <c r="J59" s="9">
        <f t="shared" si="5"/>
        <v>200</v>
      </c>
      <c r="K59" s="8">
        <v>0</v>
      </c>
      <c r="L59" s="8">
        <f t="shared" si="6"/>
        <v>200</v>
      </c>
      <c r="M59" s="44">
        <v>25</v>
      </c>
      <c r="N59" s="42">
        <f t="shared" si="7"/>
        <v>225</v>
      </c>
      <c r="O59" s="48">
        <f t="shared" si="8"/>
        <v>175</v>
      </c>
      <c r="P59" s="43">
        <f t="shared" si="9"/>
        <v>50</v>
      </c>
    </row>
    <row r="60" spans="1:17" ht="18.75">
      <c r="A60" s="7">
        <v>1</v>
      </c>
      <c r="B60" s="7" t="s">
        <v>122</v>
      </c>
      <c r="C60" s="7">
        <v>61</v>
      </c>
      <c r="D60" s="6"/>
      <c r="E60" s="29" t="s">
        <v>99</v>
      </c>
      <c r="F60" s="29"/>
      <c r="G60" s="8">
        <v>0</v>
      </c>
      <c r="H60" s="8">
        <v>0</v>
      </c>
      <c r="I60" s="27" t="s">
        <v>23</v>
      </c>
      <c r="J60" s="9">
        <f t="shared" si="5"/>
        <v>0</v>
      </c>
      <c r="K60" s="8">
        <v>0</v>
      </c>
      <c r="L60" s="8">
        <f t="shared" si="6"/>
        <v>0</v>
      </c>
      <c r="M60" s="44">
        <v>225</v>
      </c>
      <c r="N60" s="42">
        <f t="shared" si="7"/>
        <v>225</v>
      </c>
      <c r="O60" s="48">
        <f t="shared" si="8"/>
        <v>0</v>
      </c>
      <c r="P60" s="43">
        <f t="shared" si="9"/>
        <v>225</v>
      </c>
    </row>
    <row r="61" spans="1:17" ht="18.75">
      <c r="A61" s="7">
        <v>1</v>
      </c>
      <c r="B61" s="7" t="s">
        <v>122</v>
      </c>
      <c r="C61" s="7">
        <v>34</v>
      </c>
      <c r="D61" s="6"/>
      <c r="E61" s="29" t="s">
        <v>72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219</v>
      </c>
      <c r="N61" s="42">
        <f t="shared" si="7"/>
        <v>219</v>
      </c>
      <c r="O61" s="48">
        <f t="shared" si="8"/>
        <v>0</v>
      </c>
      <c r="P61" s="43">
        <f t="shared" si="9"/>
        <v>219</v>
      </c>
    </row>
    <row r="62" spans="1:17" ht="18.75">
      <c r="A62" s="7">
        <v>1</v>
      </c>
      <c r="B62" s="7" t="s">
        <v>116</v>
      </c>
      <c r="C62" s="7">
        <v>60</v>
      </c>
      <c r="D62" s="6"/>
      <c r="E62" s="29" t="s">
        <v>98</v>
      </c>
      <c r="G62" s="8">
        <v>2</v>
      </c>
      <c r="H62" s="8">
        <v>0</v>
      </c>
      <c r="I62" s="12" t="s">
        <v>35</v>
      </c>
      <c r="J62" s="9">
        <f t="shared" si="5"/>
        <v>200</v>
      </c>
      <c r="K62" s="8">
        <v>0</v>
      </c>
      <c r="L62" s="8">
        <f t="shared" si="6"/>
        <v>200</v>
      </c>
      <c r="M62" s="44">
        <v>0</v>
      </c>
      <c r="N62" s="42">
        <f t="shared" si="7"/>
        <v>200</v>
      </c>
      <c r="O62" s="48">
        <f t="shared" si="8"/>
        <v>175</v>
      </c>
      <c r="P62" s="43">
        <f t="shared" si="9"/>
        <v>25</v>
      </c>
    </row>
    <row r="63" spans="1:17" ht="18.75">
      <c r="A63" s="7">
        <v>1</v>
      </c>
      <c r="B63" s="7" t="s">
        <v>122</v>
      </c>
      <c r="C63" s="7">
        <v>27</v>
      </c>
      <c r="D63" s="6"/>
      <c r="E63" s="29" t="s">
        <v>65</v>
      </c>
      <c r="F63" s="32"/>
      <c r="G63" s="8">
        <v>2</v>
      </c>
      <c r="H63" s="8">
        <v>0</v>
      </c>
      <c r="I63" s="12" t="s">
        <v>35</v>
      </c>
      <c r="J63" s="9">
        <f t="shared" si="5"/>
        <v>200</v>
      </c>
      <c r="K63" s="8">
        <v>0</v>
      </c>
      <c r="L63" s="8">
        <f t="shared" si="6"/>
        <v>200</v>
      </c>
      <c r="M63" s="44">
        <v>0</v>
      </c>
      <c r="N63" s="42">
        <f t="shared" si="7"/>
        <v>200</v>
      </c>
      <c r="O63" s="48">
        <f t="shared" si="8"/>
        <v>175</v>
      </c>
      <c r="P63" s="43">
        <f t="shared" si="9"/>
        <v>25</v>
      </c>
    </row>
    <row r="64" spans="1:17" ht="18.75">
      <c r="A64" s="7">
        <v>1</v>
      </c>
      <c r="B64" s="7" t="s">
        <v>108</v>
      </c>
      <c r="C64" s="7">
        <v>8</v>
      </c>
      <c r="D64" s="6"/>
      <c r="E64" s="29" t="s">
        <v>46</v>
      </c>
      <c r="F64" s="29"/>
      <c r="G64" s="8">
        <v>2</v>
      </c>
      <c r="H64" s="8">
        <v>0</v>
      </c>
      <c r="I64" s="12" t="s">
        <v>35</v>
      </c>
      <c r="J64" s="9">
        <f t="shared" si="5"/>
        <v>200</v>
      </c>
      <c r="K64" s="8">
        <v>0</v>
      </c>
      <c r="L64" s="8">
        <f t="shared" si="6"/>
        <v>200</v>
      </c>
      <c r="M64" s="44">
        <v>0</v>
      </c>
      <c r="N64" s="42">
        <f t="shared" si="7"/>
        <v>200</v>
      </c>
      <c r="O64" s="48">
        <f t="shared" si="8"/>
        <v>175</v>
      </c>
      <c r="P64" s="43">
        <f t="shared" si="9"/>
        <v>25</v>
      </c>
      <c r="Q64" s="40"/>
    </row>
    <row r="65" spans="1:17" ht="18.75">
      <c r="A65" s="7">
        <v>1</v>
      </c>
      <c r="B65" s="7" t="s">
        <v>110</v>
      </c>
      <c r="C65" s="7">
        <v>31</v>
      </c>
      <c r="D65" s="6"/>
      <c r="E65" s="29" t="s">
        <v>69</v>
      </c>
      <c r="F65" s="32"/>
      <c r="G65" s="8">
        <v>2</v>
      </c>
      <c r="H65" s="8">
        <v>0</v>
      </c>
      <c r="I65" s="12" t="s">
        <v>35</v>
      </c>
      <c r="J65" s="9">
        <f t="shared" si="5"/>
        <v>200</v>
      </c>
      <c r="K65" s="8">
        <v>0</v>
      </c>
      <c r="L65" s="8">
        <f t="shared" si="6"/>
        <v>200</v>
      </c>
      <c r="M65" s="44">
        <v>0</v>
      </c>
      <c r="N65" s="42">
        <f t="shared" si="7"/>
        <v>200</v>
      </c>
      <c r="O65" s="48">
        <f t="shared" si="8"/>
        <v>175</v>
      </c>
      <c r="P65" s="43">
        <f t="shared" si="9"/>
        <v>25</v>
      </c>
    </row>
    <row r="66" spans="1:17" ht="18.75">
      <c r="A66" s="7">
        <v>1</v>
      </c>
      <c r="B66" s="7" t="s">
        <v>122</v>
      </c>
      <c r="C66" s="7">
        <v>7</v>
      </c>
      <c r="D66" s="6"/>
      <c r="E66" s="29" t="s">
        <v>45</v>
      </c>
      <c r="F66" s="29"/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138</v>
      </c>
      <c r="N66" s="42">
        <f t="shared" si="7"/>
        <v>138</v>
      </c>
      <c r="O66" s="48">
        <f t="shared" si="8"/>
        <v>0</v>
      </c>
      <c r="P66" s="43">
        <f t="shared" si="9"/>
        <v>138</v>
      </c>
      <c r="Q66" s="40"/>
    </row>
    <row r="67" spans="1:17" ht="18.75">
      <c r="A67" s="7">
        <v>1</v>
      </c>
      <c r="B67" s="7" t="s">
        <v>118</v>
      </c>
      <c r="C67" s="7">
        <v>51</v>
      </c>
      <c r="D67" s="6"/>
      <c r="E67" s="29" t="s">
        <v>89</v>
      </c>
      <c r="F67" s="29"/>
      <c r="G67" s="8">
        <v>1</v>
      </c>
      <c r="H67" s="8">
        <v>0</v>
      </c>
      <c r="I67" s="12" t="s">
        <v>35</v>
      </c>
      <c r="J67" s="9">
        <f t="shared" si="5"/>
        <v>100</v>
      </c>
      <c r="K67" s="8">
        <v>0</v>
      </c>
      <c r="L67" s="8">
        <f t="shared" si="6"/>
        <v>100</v>
      </c>
      <c r="M67" s="44">
        <v>25</v>
      </c>
      <c r="N67" s="42">
        <f t="shared" si="7"/>
        <v>125</v>
      </c>
      <c r="O67" s="48">
        <f t="shared" si="8"/>
        <v>175</v>
      </c>
      <c r="P67" s="43">
        <f t="shared" si="9"/>
        <v>0</v>
      </c>
    </row>
    <row r="68" spans="1:17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7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34" priority="2" operator="lessThan">
      <formula>1</formula>
    </cfRule>
  </conditionalFormatting>
  <conditionalFormatting sqref="K5:K69">
    <cfRule type="cellIs" dxfId="33" priority="1" operator="lessThan">
      <formula>1</formula>
    </cfRule>
  </conditionalFormatting>
  <hyperlinks>
    <hyperlink ref="E31" r:id="rId1" xr:uid="{10B2CD8C-0950-4106-B9EA-724653606CC8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61F6-92A3-435A-BC0B-277246EBFC77}">
  <dimension ref="A1:AA69"/>
  <sheetViews>
    <sheetView zoomScale="85" zoomScaleNormal="85" workbookViewId="0">
      <selection activeCell="I11" sqref="I11:O11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欧皇宝宝2026年4月4日分包贡献明细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f>COUNTIF(G5:G69,"&lt;&gt;0")</f>
        <v>55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109</v>
      </c>
      <c r="C5" s="7">
        <v>47</v>
      </c>
      <c r="D5" s="6"/>
      <c r="E5" s="29" t="s">
        <v>85</v>
      </c>
      <c r="F5" s="29"/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8">
        <v>0</v>
      </c>
      <c r="L5" s="8">
        <f t="shared" ref="L5:L36" si="1">SUM(J5+K5)</f>
        <v>300</v>
      </c>
      <c r="M5" s="44">
        <v>1166</v>
      </c>
      <c r="N5" s="42">
        <f t="shared" ref="N5:N36" si="2">M5+L5</f>
        <v>1466</v>
      </c>
      <c r="O5" s="48">
        <f t="shared" ref="O5:O36" si="3">VLOOKUP(I5,$R$3:$S$10,2,FALSE)</f>
        <v>456</v>
      </c>
      <c r="P5" s="43">
        <f t="shared" ref="P5:P36" si="4">IF(N5-O5&gt;0,N5-O5,0)</f>
        <v>1010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120</v>
      </c>
      <c r="C6" s="7">
        <v>20</v>
      </c>
      <c r="D6" s="6"/>
      <c r="E6" s="29" t="s">
        <v>58</v>
      </c>
      <c r="F6" s="32"/>
      <c r="G6" s="8">
        <v>3</v>
      </c>
      <c r="H6" s="8">
        <v>0</v>
      </c>
      <c r="I6" s="19" t="s">
        <v>15</v>
      </c>
      <c r="J6" s="9">
        <f t="shared" si="0"/>
        <v>300</v>
      </c>
      <c r="K6" s="8">
        <v>0</v>
      </c>
      <c r="L6" s="8">
        <f t="shared" si="1"/>
        <v>300</v>
      </c>
      <c r="M6" s="44">
        <v>1158</v>
      </c>
      <c r="N6" s="42">
        <f t="shared" si="2"/>
        <v>1458</v>
      </c>
      <c r="O6" s="48">
        <f t="shared" si="3"/>
        <v>456</v>
      </c>
      <c r="P6" s="43">
        <f t="shared" si="4"/>
        <v>1002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113</v>
      </c>
      <c r="C7" s="7">
        <v>32</v>
      </c>
      <c r="D7" s="6"/>
      <c r="E7" s="29" t="s">
        <v>70</v>
      </c>
      <c r="F7" s="32"/>
      <c r="G7" s="8">
        <v>3</v>
      </c>
      <c r="H7" s="8">
        <v>0</v>
      </c>
      <c r="I7" s="19" t="s">
        <v>15</v>
      </c>
      <c r="J7" s="9">
        <f t="shared" si="0"/>
        <v>300</v>
      </c>
      <c r="K7" s="8">
        <v>0</v>
      </c>
      <c r="L7" s="8">
        <f t="shared" si="1"/>
        <v>300</v>
      </c>
      <c r="M7" s="44">
        <v>1158</v>
      </c>
      <c r="N7" s="42">
        <f t="shared" si="2"/>
        <v>1458</v>
      </c>
      <c r="O7" s="48">
        <f t="shared" si="3"/>
        <v>456</v>
      </c>
      <c r="P7" s="43">
        <f t="shared" si="4"/>
        <v>1002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110</v>
      </c>
      <c r="C8" s="7">
        <v>28</v>
      </c>
      <c r="D8" s="6"/>
      <c r="E8" s="29" t="s">
        <v>66</v>
      </c>
      <c r="F8" s="32"/>
      <c r="G8" s="8">
        <v>3</v>
      </c>
      <c r="H8" s="8">
        <v>0</v>
      </c>
      <c r="I8" s="19" t="s">
        <v>15</v>
      </c>
      <c r="J8" s="9">
        <f t="shared" si="0"/>
        <v>300</v>
      </c>
      <c r="K8" s="8">
        <v>0</v>
      </c>
      <c r="L8" s="8">
        <f t="shared" si="1"/>
        <v>300</v>
      </c>
      <c r="M8" s="44">
        <v>1153</v>
      </c>
      <c r="N8" s="42">
        <f t="shared" si="2"/>
        <v>1453</v>
      </c>
      <c r="O8" s="48">
        <f t="shared" si="3"/>
        <v>456</v>
      </c>
      <c r="P8" s="43">
        <f t="shared" si="4"/>
        <v>997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108</v>
      </c>
      <c r="C9" s="7">
        <v>46</v>
      </c>
      <c r="D9" s="6"/>
      <c r="E9" s="29" t="s">
        <v>84</v>
      </c>
      <c r="F9" s="29"/>
      <c r="G9" s="8">
        <v>3</v>
      </c>
      <c r="H9" s="8">
        <v>0</v>
      </c>
      <c r="I9" s="19" t="s">
        <v>15</v>
      </c>
      <c r="J9" s="9">
        <f t="shared" si="0"/>
        <v>300</v>
      </c>
      <c r="K9" s="8">
        <v>0</v>
      </c>
      <c r="L9" s="8">
        <f t="shared" si="1"/>
        <v>300</v>
      </c>
      <c r="M9" s="44">
        <v>1140</v>
      </c>
      <c r="N9" s="42">
        <f t="shared" si="2"/>
        <v>1440</v>
      </c>
      <c r="O9" s="48">
        <f t="shared" si="3"/>
        <v>456</v>
      </c>
      <c r="P9" s="43">
        <f t="shared" si="4"/>
        <v>984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122</v>
      </c>
      <c r="C10" s="7">
        <v>17</v>
      </c>
      <c r="D10" s="6"/>
      <c r="E10" s="29" t="s">
        <v>55</v>
      </c>
      <c r="F10" s="29"/>
      <c r="G10" s="8">
        <v>3</v>
      </c>
      <c r="H10" s="8">
        <v>0</v>
      </c>
      <c r="I10" s="19" t="s">
        <v>15</v>
      </c>
      <c r="J10" s="9">
        <f t="shared" si="0"/>
        <v>300</v>
      </c>
      <c r="K10" s="8">
        <v>0</v>
      </c>
      <c r="L10" s="8">
        <f t="shared" si="1"/>
        <v>300</v>
      </c>
      <c r="M10" s="44">
        <v>1137</v>
      </c>
      <c r="N10" s="42">
        <f t="shared" si="2"/>
        <v>1437</v>
      </c>
      <c r="O10" s="48">
        <f t="shared" si="3"/>
        <v>456</v>
      </c>
      <c r="P10" s="43">
        <f t="shared" si="4"/>
        <v>981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127</v>
      </c>
      <c r="C11" s="7">
        <v>21</v>
      </c>
      <c r="D11" s="6"/>
      <c r="E11" s="29" t="s">
        <v>59</v>
      </c>
      <c r="G11" s="8">
        <v>3</v>
      </c>
      <c r="H11" s="8">
        <v>0</v>
      </c>
      <c r="I11" s="20" t="s">
        <v>21</v>
      </c>
      <c r="J11" s="9">
        <f t="shared" si="0"/>
        <v>300</v>
      </c>
      <c r="K11" s="8">
        <v>0</v>
      </c>
      <c r="L11" s="8">
        <f t="shared" si="1"/>
        <v>300</v>
      </c>
      <c r="M11" s="44">
        <v>1137</v>
      </c>
      <c r="N11" s="42">
        <f t="shared" si="2"/>
        <v>1437</v>
      </c>
      <c r="O11" s="48">
        <f t="shared" si="3"/>
        <v>372</v>
      </c>
      <c r="P11" s="43">
        <f t="shared" si="4"/>
        <v>1065</v>
      </c>
      <c r="Q11" s="1"/>
      <c r="R11" s="24"/>
    </row>
    <row r="12" spans="1:26" ht="18.75">
      <c r="A12" s="7">
        <v>1</v>
      </c>
      <c r="B12" s="7" t="s">
        <v>109</v>
      </c>
      <c r="C12" s="7">
        <v>55</v>
      </c>
      <c r="D12" s="6"/>
      <c r="E12" s="29" t="s">
        <v>106</v>
      </c>
      <c r="G12" s="8">
        <v>3</v>
      </c>
      <c r="H12" s="8">
        <v>0</v>
      </c>
      <c r="I12" s="19" t="s">
        <v>15</v>
      </c>
      <c r="J12" s="9">
        <f t="shared" si="0"/>
        <v>300</v>
      </c>
      <c r="K12" s="8">
        <v>0</v>
      </c>
      <c r="L12" s="8">
        <f t="shared" si="1"/>
        <v>300</v>
      </c>
      <c r="M12" s="44">
        <v>1137</v>
      </c>
      <c r="N12" s="42">
        <f t="shared" si="2"/>
        <v>1437</v>
      </c>
      <c r="O12" s="48">
        <f t="shared" si="3"/>
        <v>456</v>
      </c>
      <c r="P12" s="43">
        <f t="shared" si="4"/>
        <v>981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115</v>
      </c>
      <c r="C13" s="7">
        <v>56</v>
      </c>
      <c r="D13" s="6"/>
      <c r="E13" s="29" t="s">
        <v>94</v>
      </c>
      <c r="F13" s="29"/>
      <c r="G13" s="8">
        <v>3</v>
      </c>
      <c r="H13" s="8">
        <v>0</v>
      </c>
      <c r="I13" s="20" t="s">
        <v>21</v>
      </c>
      <c r="J13" s="9">
        <f t="shared" si="0"/>
        <v>300</v>
      </c>
      <c r="K13" s="8">
        <v>0</v>
      </c>
      <c r="L13" s="8">
        <f t="shared" si="1"/>
        <v>300</v>
      </c>
      <c r="M13" s="44">
        <v>1123</v>
      </c>
      <c r="N13" s="42">
        <f t="shared" si="2"/>
        <v>1423</v>
      </c>
      <c r="O13" s="48">
        <f t="shared" si="3"/>
        <v>372</v>
      </c>
      <c r="P13" s="43">
        <f t="shared" si="4"/>
        <v>1051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119</v>
      </c>
      <c r="C14" s="7">
        <v>18</v>
      </c>
      <c r="D14" s="6"/>
      <c r="E14" s="29" t="s">
        <v>56</v>
      </c>
      <c r="F14" s="29"/>
      <c r="G14" s="8">
        <v>3</v>
      </c>
      <c r="H14" s="8">
        <v>0</v>
      </c>
      <c r="I14" s="20" t="s">
        <v>21</v>
      </c>
      <c r="J14" s="9">
        <f t="shared" si="0"/>
        <v>300</v>
      </c>
      <c r="K14" s="8">
        <v>0</v>
      </c>
      <c r="L14" s="8">
        <f t="shared" si="1"/>
        <v>300</v>
      </c>
      <c r="M14" s="44">
        <v>1121</v>
      </c>
      <c r="N14" s="42">
        <f t="shared" si="2"/>
        <v>1421</v>
      </c>
      <c r="O14" s="48">
        <f t="shared" si="3"/>
        <v>372</v>
      </c>
      <c r="P14" s="43">
        <f t="shared" si="4"/>
        <v>1049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114</v>
      </c>
      <c r="C15" s="7">
        <v>36</v>
      </c>
      <c r="D15" s="6"/>
      <c r="E15" s="29" t="s">
        <v>74</v>
      </c>
      <c r="F15" s="29"/>
      <c r="G15" s="8">
        <v>3</v>
      </c>
      <c r="H15" s="8">
        <v>0</v>
      </c>
      <c r="I15" s="20" t="s">
        <v>21</v>
      </c>
      <c r="J15" s="9">
        <f t="shared" si="0"/>
        <v>300</v>
      </c>
      <c r="K15" s="8">
        <v>0</v>
      </c>
      <c r="L15" s="8">
        <f t="shared" si="1"/>
        <v>300</v>
      </c>
      <c r="M15" s="44">
        <v>1118</v>
      </c>
      <c r="N15" s="42">
        <f t="shared" si="2"/>
        <v>1418</v>
      </c>
      <c r="O15" s="48">
        <f t="shared" si="3"/>
        <v>372</v>
      </c>
      <c r="P15" s="43">
        <f t="shared" si="4"/>
        <v>1046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120</v>
      </c>
      <c r="C16" s="7">
        <v>45</v>
      </c>
      <c r="D16" s="6"/>
      <c r="E16" s="29" t="s">
        <v>83</v>
      </c>
      <c r="F16" s="29"/>
      <c r="G16" s="8">
        <v>3</v>
      </c>
      <c r="H16" s="8">
        <v>0</v>
      </c>
      <c r="I16" s="20" t="s">
        <v>21</v>
      </c>
      <c r="J16" s="9">
        <f t="shared" si="0"/>
        <v>300</v>
      </c>
      <c r="K16" s="8">
        <v>0</v>
      </c>
      <c r="L16" s="8">
        <f t="shared" si="1"/>
        <v>300</v>
      </c>
      <c r="M16" s="44">
        <v>1118</v>
      </c>
      <c r="N16" s="42">
        <f t="shared" si="2"/>
        <v>1418</v>
      </c>
      <c r="O16" s="48">
        <f t="shared" si="3"/>
        <v>372</v>
      </c>
      <c r="P16" s="43">
        <f t="shared" si="4"/>
        <v>1046</v>
      </c>
      <c r="R16" t="s">
        <v>27</v>
      </c>
      <c r="S16">
        <v>4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111</v>
      </c>
      <c r="C17" s="7">
        <v>40</v>
      </c>
      <c r="D17" s="6"/>
      <c r="E17" s="30" t="s">
        <v>78</v>
      </c>
      <c r="G17" s="8">
        <v>3</v>
      </c>
      <c r="H17" s="8">
        <v>0</v>
      </c>
      <c r="I17" s="20" t="s">
        <v>21</v>
      </c>
      <c r="J17" s="9">
        <f t="shared" si="0"/>
        <v>300</v>
      </c>
      <c r="K17" s="8">
        <v>0</v>
      </c>
      <c r="L17" s="8">
        <f t="shared" si="1"/>
        <v>300</v>
      </c>
      <c r="M17" s="44">
        <v>1114</v>
      </c>
      <c r="N17" s="42">
        <f t="shared" si="2"/>
        <v>1414</v>
      </c>
      <c r="O17" s="48">
        <f t="shared" si="3"/>
        <v>372</v>
      </c>
      <c r="P17" s="43">
        <f t="shared" si="4"/>
        <v>1042</v>
      </c>
      <c r="R17" t="s">
        <v>28</v>
      </c>
      <c r="S17">
        <v>4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/>
      <c r="C18" s="7">
        <v>10</v>
      </c>
      <c r="D18" s="6"/>
      <c r="E18" s="29" t="s">
        <v>48</v>
      </c>
      <c r="F18" s="31"/>
      <c r="G18" s="8">
        <v>3</v>
      </c>
      <c r="H18" s="8">
        <v>0</v>
      </c>
      <c r="I18" s="20" t="s">
        <v>21</v>
      </c>
      <c r="J18" s="9">
        <f t="shared" si="0"/>
        <v>300</v>
      </c>
      <c r="K18" s="8">
        <v>0</v>
      </c>
      <c r="L18" s="8">
        <f t="shared" si="1"/>
        <v>300</v>
      </c>
      <c r="M18" s="44">
        <v>1105</v>
      </c>
      <c r="N18" s="42">
        <f t="shared" si="2"/>
        <v>1405</v>
      </c>
      <c r="O18" s="48">
        <f t="shared" si="3"/>
        <v>372</v>
      </c>
      <c r="P18" s="43">
        <f t="shared" si="4"/>
        <v>1033</v>
      </c>
      <c r="Q18" s="21"/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117</v>
      </c>
      <c r="C19" s="7">
        <v>3</v>
      </c>
      <c r="D19" s="6"/>
      <c r="E19" s="29" t="s">
        <v>41</v>
      </c>
      <c r="F19" s="29"/>
      <c r="G19" s="8">
        <v>3</v>
      </c>
      <c r="H19" s="8">
        <v>0</v>
      </c>
      <c r="I19" s="20" t="s">
        <v>21</v>
      </c>
      <c r="J19" s="9">
        <f t="shared" si="0"/>
        <v>300</v>
      </c>
      <c r="K19" s="8">
        <v>0</v>
      </c>
      <c r="L19" s="8">
        <f t="shared" si="1"/>
        <v>300</v>
      </c>
      <c r="M19" s="44">
        <v>1103</v>
      </c>
      <c r="N19" s="42">
        <f t="shared" si="2"/>
        <v>1403</v>
      </c>
      <c r="O19" s="48">
        <f t="shared" si="3"/>
        <v>372</v>
      </c>
      <c r="P19" s="43">
        <f t="shared" si="4"/>
        <v>1031</v>
      </c>
      <c r="Q19" s="9"/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123</v>
      </c>
      <c r="C20" s="7">
        <v>24</v>
      </c>
      <c r="D20" s="6"/>
      <c r="E20" s="29" t="s">
        <v>62</v>
      </c>
      <c r="F20" s="32"/>
      <c r="G20" s="8">
        <v>3</v>
      </c>
      <c r="H20" s="8">
        <v>0</v>
      </c>
      <c r="I20" s="19" t="s">
        <v>15</v>
      </c>
      <c r="J20" s="9">
        <f t="shared" si="0"/>
        <v>300</v>
      </c>
      <c r="K20" s="8">
        <v>0</v>
      </c>
      <c r="L20" s="8">
        <f t="shared" si="1"/>
        <v>300</v>
      </c>
      <c r="M20" s="44">
        <v>1103</v>
      </c>
      <c r="N20" s="42">
        <f t="shared" si="2"/>
        <v>1403</v>
      </c>
      <c r="O20" s="48">
        <f t="shared" si="3"/>
        <v>456</v>
      </c>
      <c r="P20" s="43">
        <f t="shared" si="4"/>
        <v>947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112</v>
      </c>
      <c r="C21" s="7">
        <v>14</v>
      </c>
      <c r="D21" s="6"/>
      <c r="E21" s="29" t="s">
        <v>52</v>
      </c>
      <c r="F21" s="29"/>
      <c r="G21" s="8">
        <v>3</v>
      </c>
      <c r="H21" s="8">
        <v>0</v>
      </c>
      <c r="I21" s="12" t="s">
        <v>22</v>
      </c>
      <c r="J21" s="9">
        <f t="shared" si="0"/>
        <v>300</v>
      </c>
      <c r="K21" s="8">
        <v>0</v>
      </c>
      <c r="L21" s="8">
        <f t="shared" si="1"/>
        <v>300</v>
      </c>
      <c r="M21" s="44">
        <v>1102</v>
      </c>
      <c r="N21" s="42">
        <f t="shared" si="2"/>
        <v>1402</v>
      </c>
      <c r="O21" s="48">
        <f t="shared" si="3"/>
        <v>300</v>
      </c>
      <c r="P21" s="43">
        <f t="shared" si="4"/>
        <v>1102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122</v>
      </c>
      <c r="C22" s="7">
        <v>43</v>
      </c>
      <c r="D22" s="6"/>
      <c r="E22" s="29" t="s">
        <v>81</v>
      </c>
      <c r="F22" s="31"/>
      <c r="G22" s="8">
        <v>3</v>
      </c>
      <c r="H22" s="8">
        <v>0</v>
      </c>
      <c r="I22" s="12" t="s">
        <v>22</v>
      </c>
      <c r="J22" s="9">
        <f t="shared" si="0"/>
        <v>300</v>
      </c>
      <c r="K22" s="8">
        <v>0</v>
      </c>
      <c r="L22" s="8">
        <f t="shared" si="1"/>
        <v>300</v>
      </c>
      <c r="M22" s="44">
        <v>1102</v>
      </c>
      <c r="N22" s="42">
        <f t="shared" si="2"/>
        <v>1402</v>
      </c>
      <c r="O22" s="48">
        <f t="shared" si="3"/>
        <v>300</v>
      </c>
      <c r="P22" s="43">
        <f t="shared" si="4"/>
        <v>1102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120</v>
      </c>
      <c r="C23" s="7">
        <v>29</v>
      </c>
      <c r="D23" s="6"/>
      <c r="E23" s="29" t="s">
        <v>67</v>
      </c>
      <c r="F23" s="32"/>
      <c r="G23" s="8">
        <v>3</v>
      </c>
      <c r="H23" s="8">
        <v>0</v>
      </c>
      <c r="I23" s="12" t="s">
        <v>22</v>
      </c>
      <c r="J23" s="9">
        <f t="shared" si="0"/>
        <v>300</v>
      </c>
      <c r="K23" s="8">
        <v>0</v>
      </c>
      <c r="L23" s="8">
        <f t="shared" si="1"/>
        <v>300</v>
      </c>
      <c r="M23" s="44">
        <v>1101</v>
      </c>
      <c r="N23" s="42">
        <f t="shared" si="2"/>
        <v>1401</v>
      </c>
      <c r="O23" s="48">
        <f t="shared" si="3"/>
        <v>300</v>
      </c>
      <c r="P23" s="43">
        <f t="shared" si="4"/>
        <v>1101</v>
      </c>
      <c r="Q23" s="1"/>
    </row>
    <row r="24" spans="1:27" ht="18.75">
      <c r="A24" s="7">
        <v>1</v>
      </c>
      <c r="B24" s="7" t="s">
        <v>109</v>
      </c>
      <c r="C24" s="7">
        <v>22</v>
      </c>
      <c r="D24" s="6"/>
      <c r="E24" s="29" t="s">
        <v>60</v>
      </c>
      <c r="F24" s="32"/>
      <c r="G24" s="8">
        <v>3</v>
      </c>
      <c r="H24" s="8">
        <v>0</v>
      </c>
      <c r="I24" s="12" t="s">
        <v>22</v>
      </c>
      <c r="J24" s="9">
        <f t="shared" si="0"/>
        <v>300</v>
      </c>
      <c r="K24" s="8">
        <v>0</v>
      </c>
      <c r="L24" s="8">
        <f t="shared" si="1"/>
        <v>300</v>
      </c>
      <c r="M24" s="44">
        <v>1100</v>
      </c>
      <c r="N24" s="42">
        <f t="shared" si="2"/>
        <v>1400</v>
      </c>
      <c r="O24" s="48">
        <f t="shared" si="3"/>
        <v>300</v>
      </c>
      <c r="P24" s="43">
        <f t="shared" si="4"/>
        <v>1100</v>
      </c>
      <c r="Q24" s="1"/>
    </row>
    <row r="25" spans="1:27" ht="18.75">
      <c r="A25" s="7">
        <v>1</v>
      </c>
      <c r="B25" s="7" t="s">
        <v>122</v>
      </c>
      <c r="C25" s="7">
        <v>1</v>
      </c>
      <c r="D25" s="6"/>
      <c r="E25" s="29" t="s">
        <v>39</v>
      </c>
      <c r="F25" s="29"/>
      <c r="G25" s="8">
        <v>3</v>
      </c>
      <c r="H25" s="8">
        <v>0</v>
      </c>
      <c r="I25" s="12" t="s">
        <v>22</v>
      </c>
      <c r="J25" s="9">
        <f t="shared" si="0"/>
        <v>300</v>
      </c>
      <c r="K25" s="8">
        <v>0</v>
      </c>
      <c r="L25" s="8">
        <f t="shared" si="1"/>
        <v>300</v>
      </c>
      <c r="M25" s="44">
        <v>1099</v>
      </c>
      <c r="N25" s="42">
        <f t="shared" si="2"/>
        <v>1399</v>
      </c>
      <c r="O25" s="48">
        <f t="shared" si="3"/>
        <v>300</v>
      </c>
      <c r="P25" s="43">
        <f t="shared" si="4"/>
        <v>1099</v>
      </c>
      <c r="Q25" s="9"/>
    </row>
    <row r="26" spans="1:27" ht="18.75" customHeight="1">
      <c r="A26" s="7">
        <v>1</v>
      </c>
      <c r="B26" s="7" t="s">
        <v>113</v>
      </c>
      <c r="C26" s="7">
        <v>37</v>
      </c>
      <c r="D26" s="6"/>
      <c r="E26" s="29" t="s">
        <v>75</v>
      </c>
      <c r="G26" s="8">
        <v>3</v>
      </c>
      <c r="H26" s="8">
        <v>0</v>
      </c>
      <c r="I26" s="12" t="s">
        <v>22</v>
      </c>
      <c r="J26" s="9">
        <f t="shared" si="0"/>
        <v>300</v>
      </c>
      <c r="K26" s="8">
        <v>0</v>
      </c>
      <c r="L26" s="8">
        <f t="shared" si="1"/>
        <v>300</v>
      </c>
      <c r="M26" s="44">
        <v>1095</v>
      </c>
      <c r="N26" s="42">
        <f t="shared" si="2"/>
        <v>1395</v>
      </c>
      <c r="O26" s="48">
        <f t="shared" si="3"/>
        <v>300</v>
      </c>
      <c r="P26" s="43">
        <f t="shared" si="4"/>
        <v>1095</v>
      </c>
      <c r="Q26" s="1"/>
    </row>
    <row r="27" spans="1:27" ht="18.75">
      <c r="A27" s="7">
        <v>1</v>
      </c>
      <c r="B27" s="7" t="s">
        <v>110</v>
      </c>
      <c r="C27" s="7">
        <v>42</v>
      </c>
      <c r="D27" s="6"/>
      <c r="E27" s="29" t="s">
        <v>80</v>
      </c>
      <c r="F27" s="32"/>
      <c r="G27" s="8">
        <v>3</v>
      </c>
      <c r="H27" s="8">
        <v>0</v>
      </c>
      <c r="I27" s="12" t="s">
        <v>22</v>
      </c>
      <c r="J27" s="9">
        <f t="shared" si="0"/>
        <v>300</v>
      </c>
      <c r="K27" s="8">
        <v>0</v>
      </c>
      <c r="L27" s="8">
        <f t="shared" si="1"/>
        <v>300</v>
      </c>
      <c r="M27" s="44">
        <v>1095</v>
      </c>
      <c r="N27" s="42">
        <f t="shared" si="2"/>
        <v>1395</v>
      </c>
      <c r="O27" s="48">
        <f t="shared" si="3"/>
        <v>300</v>
      </c>
      <c r="P27" s="43">
        <f t="shared" si="4"/>
        <v>1095</v>
      </c>
      <c r="Q27" s="1"/>
    </row>
    <row r="28" spans="1:27" ht="18.75">
      <c r="A28" s="7">
        <v>1</v>
      </c>
      <c r="B28" s="7" t="s">
        <v>109</v>
      </c>
      <c r="C28" s="7">
        <v>35</v>
      </c>
      <c r="D28" s="6"/>
      <c r="E28" s="29" t="s">
        <v>73</v>
      </c>
      <c r="F28" s="29"/>
      <c r="G28" s="8">
        <v>3</v>
      </c>
      <c r="H28" s="8">
        <v>0</v>
      </c>
      <c r="I28" s="12" t="s">
        <v>22</v>
      </c>
      <c r="J28" s="9">
        <f t="shared" si="0"/>
        <v>300</v>
      </c>
      <c r="K28" s="8">
        <v>0</v>
      </c>
      <c r="L28" s="8">
        <f t="shared" si="1"/>
        <v>300</v>
      </c>
      <c r="M28" s="44">
        <v>1093</v>
      </c>
      <c r="N28" s="42">
        <f t="shared" si="2"/>
        <v>1393</v>
      </c>
      <c r="O28" s="48">
        <f t="shared" si="3"/>
        <v>300</v>
      </c>
      <c r="P28" s="43">
        <f t="shared" si="4"/>
        <v>1093</v>
      </c>
      <c r="Q28" s="1"/>
    </row>
    <row r="29" spans="1:27" s="1" customFormat="1" ht="18.75">
      <c r="A29" s="7">
        <v>1</v>
      </c>
      <c r="B29" s="7" t="s">
        <v>112</v>
      </c>
      <c r="C29" s="7">
        <v>15</v>
      </c>
      <c r="D29" s="6"/>
      <c r="E29" s="29" t="s">
        <v>53</v>
      </c>
      <c r="F29" s="29"/>
      <c r="G29" s="8">
        <v>3</v>
      </c>
      <c r="H29" s="8">
        <v>0</v>
      </c>
      <c r="I29" s="12" t="s">
        <v>22</v>
      </c>
      <c r="J29" s="9">
        <f t="shared" si="0"/>
        <v>300</v>
      </c>
      <c r="K29" s="8">
        <v>0</v>
      </c>
      <c r="L29" s="8">
        <f t="shared" si="1"/>
        <v>300</v>
      </c>
      <c r="M29" s="44">
        <v>1088</v>
      </c>
      <c r="N29" s="42">
        <f t="shared" si="2"/>
        <v>1388</v>
      </c>
      <c r="O29" s="48">
        <f t="shared" si="3"/>
        <v>300</v>
      </c>
      <c r="P29" s="43">
        <f t="shared" si="4"/>
        <v>1088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124</v>
      </c>
      <c r="C30" s="7">
        <v>2</v>
      </c>
      <c r="D30" s="6"/>
      <c r="E30" s="29" t="s">
        <v>40</v>
      </c>
      <c r="F30" s="29"/>
      <c r="G30" s="8">
        <v>3</v>
      </c>
      <c r="H30" s="8">
        <v>0</v>
      </c>
      <c r="I30" s="12" t="s">
        <v>22</v>
      </c>
      <c r="J30" s="9">
        <f t="shared" si="0"/>
        <v>300</v>
      </c>
      <c r="K30" s="8">
        <v>0</v>
      </c>
      <c r="L30" s="8">
        <f t="shared" si="1"/>
        <v>300</v>
      </c>
      <c r="M30" s="44">
        <v>1086</v>
      </c>
      <c r="N30" s="42">
        <f t="shared" si="2"/>
        <v>1386</v>
      </c>
      <c r="O30" s="48">
        <f t="shared" si="3"/>
        <v>300</v>
      </c>
      <c r="P30" s="43">
        <f t="shared" si="4"/>
        <v>1086</v>
      </c>
      <c r="Q30" s="9"/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122</v>
      </c>
      <c r="C31" s="7">
        <v>5</v>
      </c>
      <c r="D31" s="6"/>
      <c r="E31" s="29" t="s">
        <v>43</v>
      </c>
      <c r="F31" s="29"/>
      <c r="G31" s="8">
        <v>3</v>
      </c>
      <c r="H31" s="8">
        <v>0</v>
      </c>
      <c r="I31" s="12" t="s">
        <v>22</v>
      </c>
      <c r="J31" s="9">
        <f t="shared" si="0"/>
        <v>300</v>
      </c>
      <c r="K31" s="8">
        <v>0</v>
      </c>
      <c r="L31" s="8">
        <f t="shared" si="1"/>
        <v>300</v>
      </c>
      <c r="M31" s="44">
        <v>1079</v>
      </c>
      <c r="N31" s="42">
        <f t="shared" si="2"/>
        <v>1379</v>
      </c>
      <c r="O31" s="48">
        <f t="shared" si="3"/>
        <v>300</v>
      </c>
      <c r="P31" s="43">
        <f t="shared" si="4"/>
        <v>1079</v>
      </c>
      <c r="Q31" s="21"/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110</v>
      </c>
      <c r="C32" s="7">
        <v>62</v>
      </c>
      <c r="D32" s="6"/>
      <c r="E32" s="29" t="s">
        <v>100</v>
      </c>
      <c r="F32" s="29"/>
      <c r="G32" s="8">
        <v>3</v>
      </c>
      <c r="H32" s="8">
        <v>0</v>
      </c>
      <c r="I32" s="12" t="s">
        <v>22</v>
      </c>
      <c r="J32" s="9">
        <f t="shared" si="0"/>
        <v>300</v>
      </c>
      <c r="K32" s="8">
        <v>0</v>
      </c>
      <c r="L32" s="8">
        <f t="shared" si="1"/>
        <v>300</v>
      </c>
      <c r="M32" s="44">
        <v>1075</v>
      </c>
      <c r="N32" s="42">
        <f t="shared" si="2"/>
        <v>1375</v>
      </c>
      <c r="O32" s="48">
        <f t="shared" si="3"/>
        <v>300</v>
      </c>
      <c r="P32" s="43">
        <f t="shared" si="4"/>
        <v>1075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114</v>
      </c>
      <c r="C33" s="7">
        <v>52</v>
      </c>
      <c r="D33" s="6"/>
      <c r="E33" s="29" t="s">
        <v>90</v>
      </c>
      <c r="G33" s="8">
        <v>3</v>
      </c>
      <c r="H33" s="8">
        <v>0</v>
      </c>
      <c r="I33" s="12" t="s">
        <v>22</v>
      </c>
      <c r="J33" s="9">
        <f t="shared" si="0"/>
        <v>300</v>
      </c>
      <c r="K33" s="8">
        <v>0</v>
      </c>
      <c r="L33" s="8">
        <f t="shared" si="1"/>
        <v>300</v>
      </c>
      <c r="M33" s="44">
        <v>1067</v>
      </c>
      <c r="N33" s="42">
        <f t="shared" si="2"/>
        <v>1367</v>
      </c>
      <c r="O33" s="48">
        <f t="shared" si="3"/>
        <v>300</v>
      </c>
      <c r="P33" s="43">
        <f t="shared" si="4"/>
        <v>1067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123</v>
      </c>
      <c r="C34" s="7">
        <v>12</v>
      </c>
      <c r="D34" s="6"/>
      <c r="E34" s="29" t="s">
        <v>50</v>
      </c>
      <c r="F34" s="29"/>
      <c r="G34" s="8">
        <v>3</v>
      </c>
      <c r="H34" s="8">
        <v>0</v>
      </c>
      <c r="I34" s="12" t="s">
        <v>22</v>
      </c>
      <c r="J34" s="9">
        <f t="shared" si="0"/>
        <v>300</v>
      </c>
      <c r="K34" s="8">
        <v>0</v>
      </c>
      <c r="L34" s="8">
        <f t="shared" si="1"/>
        <v>300</v>
      </c>
      <c r="M34" s="44">
        <v>1063</v>
      </c>
      <c r="N34" s="42">
        <f t="shared" si="2"/>
        <v>1363</v>
      </c>
      <c r="O34" s="48">
        <f t="shared" si="3"/>
        <v>300</v>
      </c>
      <c r="P34" s="43">
        <f t="shared" si="4"/>
        <v>1063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112</v>
      </c>
      <c r="C35" s="7">
        <v>53</v>
      </c>
      <c r="D35" s="6"/>
      <c r="E35" s="29" t="s">
        <v>91</v>
      </c>
      <c r="F35" s="29"/>
      <c r="G35" s="8">
        <v>2</v>
      </c>
      <c r="H35" s="8">
        <v>0</v>
      </c>
      <c r="I35" s="12" t="s">
        <v>22</v>
      </c>
      <c r="J35" s="9">
        <f t="shared" si="0"/>
        <v>200</v>
      </c>
      <c r="K35" s="8">
        <v>0</v>
      </c>
      <c r="L35" s="8">
        <f t="shared" si="1"/>
        <v>200</v>
      </c>
      <c r="M35" s="44">
        <v>1160</v>
      </c>
      <c r="N35" s="42">
        <f t="shared" si="2"/>
        <v>1360</v>
      </c>
      <c r="O35" s="48">
        <f t="shared" si="3"/>
        <v>300</v>
      </c>
      <c r="P35" s="43">
        <f t="shared" si="4"/>
        <v>1060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116</v>
      </c>
      <c r="C36" s="7">
        <v>63</v>
      </c>
      <c r="D36" s="6"/>
      <c r="E36" s="29" t="s">
        <v>101</v>
      </c>
      <c r="G36" s="8">
        <v>2</v>
      </c>
      <c r="H36" s="8">
        <v>0</v>
      </c>
      <c r="I36" s="12" t="s">
        <v>22</v>
      </c>
      <c r="J36" s="9">
        <f t="shared" si="0"/>
        <v>200</v>
      </c>
      <c r="K36" s="8">
        <v>0</v>
      </c>
      <c r="L36" s="8">
        <f t="shared" si="1"/>
        <v>200</v>
      </c>
      <c r="M36" s="44">
        <v>1151</v>
      </c>
      <c r="N36" s="42">
        <f t="shared" si="2"/>
        <v>1351</v>
      </c>
      <c r="O36" s="48">
        <f t="shared" si="3"/>
        <v>300</v>
      </c>
      <c r="P36" s="43">
        <f t="shared" si="4"/>
        <v>1051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109</v>
      </c>
      <c r="C37" s="7">
        <v>49</v>
      </c>
      <c r="D37" s="6"/>
      <c r="E37" s="29" t="s">
        <v>87</v>
      </c>
      <c r="F37" s="29"/>
      <c r="G37" s="8">
        <v>3</v>
      </c>
      <c r="H37" s="8">
        <v>0</v>
      </c>
      <c r="I37" s="12" t="s">
        <v>22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1049</v>
      </c>
      <c r="N37" s="42">
        <f t="shared" ref="N37:N68" si="7">M37+L37</f>
        <v>1349</v>
      </c>
      <c r="O37" s="48">
        <f t="shared" ref="O37:O69" si="8">VLOOKUP(I37,$R$3:$S$10,2,FALSE)</f>
        <v>300</v>
      </c>
      <c r="P37" s="43">
        <f t="shared" ref="P37:P68" si="9">IF(N37-O37&gt;0,N37-O37,0)</f>
        <v>1049</v>
      </c>
      <c r="Q37" s="1"/>
    </row>
    <row r="38" spans="1:27" s="1" customFormat="1" ht="18.75">
      <c r="A38" s="7">
        <v>1</v>
      </c>
      <c r="B38" s="7" t="s">
        <v>118</v>
      </c>
      <c r="C38" s="7">
        <v>50</v>
      </c>
      <c r="D38" s="6"/>
      <c r="E38" s="29" t="s">
        <v>88</v>
      </c>
      <c r="F38" s="29"/>
      <c r="G38" s="8">
        <v>2</v>
      </c>
      <c r="H38" s="8">
        <v>0</v>
      </c>
      <c r="I38" s="12" t="s">
        <v>22</v>
      </c>
      <c r="J38" s="9">
        <f t="shared" si="5"/>
        <v>200</v>
      </c>
      <c r="K38" s="8">
        <v>0</v>
      </c>
      <c r="L38" s="8">
        <f t="shared" si="6"/>
        <v>200</v>
      </c>
      <c r="M38" s="44">
        <v>1116</v>
      </c>
      <c r="N38" s="42">
        <f t="shared" si="7"/>
        <v>1316</v>
      </c>
      <c r="O38" s="48">
        <f t="shared" si="8"/>
        <v>300</v>
      </c>
      <c r="P38" s="43">
        <f t="shared" si="9"/>
        <v>1016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120</v>
      </c>
      <c r="C39" s="7">
        <v>13</v>
      </c>
      <c r="D39" s="6"/>
      <c r="E39" s="29" t="s">
        <v>51</v>
      </c>
      <c r="F39" s="29"/>
      <c r="G39" s="8">
        <v>3</v>
      </c>
      <c r="H39" s="8">
        <v>0</v>
      </c>
      <c r="I39" s="12" t="s">
        <v>22</v>
      </c>
      <c r="J39" s="9">
        <f t="shared" si="5"/>
        <v>300</v>
      </c>
      <c r="K39" s="8">
        <v>0</v>
      </c>
      <c r="L39" s="8">
        <f t="shared" si="6"/>
        <v>300</v>
      </c>
      <c r="M39" s="44">
        <v>983</v>
      </c>
      <c r="N39" s="42">
        <f t="shared" si="7"/>
        <v>1283</v>
      </c>
      <c r="O39" s="48">
        <f t="shared" si="8"/>
        <v>300</v>
      </c>
      <c r="P39" s="43">
        <f t="shared" si="9"/>
        <v>983</v>
      </c>
      <c r="Q39" s="1"/>
    </row>
    <row r="40" spans="1:27" ht="18.75">
      <c r="A40" s="7">
        <v>1</v>
      </c>
      <c r="B40" s="7" t="s">
        <v>114</v>
      </c>
      <c r="C40" s="7">
        <v>58</v>
      </c>
      <c r="D40" s="6"/>
      <c r="E40" s="29" t="s">
        <v>96</v>
      </c>
      <c r="G40" s="8">
        <v>2</v>
      </c>
      <c r="H40" s="8">
        <v>0</v>
      </c>
      <c r="I40" s="12" t="s">
        <v>22</v>
      </c>
      <c r="J40" s="9">
        <f t="shared" si="5"/>
        <v>200</v>
      </c>
      <c r="K40" s="8">
        <v>0</v>
      </c>
      <c r="L40" s="8">
        <f t="shared" si="6"/>
        <v>200</v>
      </c>
      <c r="M40" s="44">
        <v>1079</v>
      </c>
      <c r="N40" s="42">
        <f t="shared" si="7"/>
        <v>1279</v>
      </c>
      <c r="O40" s="48">
        <f t="shared" si="8"/>
        <v>300</v>
      </c>
      <c r="P40" s="43">
        <f t="shared" si="9"/>
        <v>979</v>
      </c>
      <c r="Q40" s="1"/>
    </row>
    <row r="41" spans="1:27" ht="18.75">
      <c r="A41" s="7">
        <v>1</v>
      </c>
      <c r="B41" s="7" t="s">
        <v>118</v>
      </c>
      <c r="C41" s="7">
        <v>16</v>
      </c>
      <c r="D41" s="6"/>
      <c r="E41" s="29" t="s">
        <v>54</v>
      </c>
      <c r="F41" s="32"/>
      <c r="G41" s="8">
        <v>2</v>
      </c>
      <c r="H41" s="8">
        <v>0</v>
      </c>
      <c r="I41" s="12" t="s">
        <v>22</v>
      </c>
      <c r="J41" s="9">
        <f t="shared" si="5"/>
        <v>200</v>
      </c>
      <c r="K41" s="8">
        <v>0</v>
      </c>
      <c r="L41" s="8">
        <f t="shared" si="6"/>
        <v>200</v>
      </c>
      <c r="M41" s="44">
        <v>1060</v>
      </c>
      <c r="N41" s="42">
        <f t="shared" si="7"/>
        <v>1260</v>
      </c>
      <c r="O41" s="48">
        <f t="shared" si="8"/>
        <v>300</v>
      </c>
      <c r="P41" s="43">
        <f t="shared" si="9"/>
        <v>960</v>
      </c>
      <c r="Q41" s="1"/>
    </row>
    <row r="42" spans="1:27" ht="18.75">
      <c r="A42" s="7">
        <v>1</v>
      </c>
      <c r="B42" s="7" t="s">
        <v>109</v>
      </c>
      <c r="C42" s="7">
        <v>11</v>
      </c>
      <c r="D42" s="6"/>
      <c r="E42" s="29" t="s">
        <v>49</v>
      </c>
      <c r="F42" s="29"/>
      <c r="G42" s="8">
        <v>3</v>
      </c>
      <c r="H42" s="8">
        <v>0</v>
      </c>
      <c r="I42" s="12" t="s">
        <v>22</v>
      </c>
      <c r="J42" s="9">
        <f t="shared" si="5"/>
        <v>300</v>
      </c>
      <c r="K42" s="8">
        <v>0</v>
      </c>
      <c r="L42" s="8">
        <f t="shared" si="6"/>
        <v>300</v>
      </c>
      <c r="M42" s="44">
        <v>943</v>
      </c>
      <c r="N42" s="42">
        <f t="shared" si="7"/>
        <v>1243</v>
      </c>
      <c r="O42" s="48">
        <f t="shared" si="8"/>
        <v>300</v>
      </c>
      <c r="P42" s="43">
        <f t="shared" si="9"/>
        <v>943</v>
      </c>
      <c r="Q42" s="1"/>
    </row>
    <row r="43" spans="1:27" ht="18.75">
      <c r="A43" s="7">
        <v>1</v>
      </c>
      <c r="B43" s="7" t="s">
        <v>121</v>
      </c>
      <c r="C43" s="7">
        <v>30</v>
      </c>
      <c r="D43" s="6"/>
      <c r="E43" s="29" t="s">
        <v>68</v>
      </c>
      <c r="F43" s="32"/>
      <c r="G43" s="8">
        <v>3</v>
      </c>
      <c r="H43" s="8">
        <v>0</v>
      </c>
      <c r="I43" s="12" t="s">
        <v>22</v>
      </c>
      <c r="J43" s="9">
        <f t="shared" si="5"/>
        <v>300</v>
      </c>
      <c r="K43" s="8">
        <v>0</v>
      </c>
      <c r="L43" s="8">
        <f t="shared" si="6"/>
        <v>300</v>
      </c>
      <c r="M43" s="44">
        <v>916</v>
      </c>
      <c r="N43" s="42">
        <f t="shared" si="7"/>
        <v>1216</v>
      </c>
      <c r="O43" s="48">
        <f t="shared" si="8"/>
        <v>300</v>
      </c>
      <c r="P43" s="43">
        <f t="shared" si="9"/>
        <v>916</v>
      </c>
      <c r="Q43" s="1"/>
    </row>
    <row r="44" spans="1:27" ht="18.75">
      <c r="A44" s="7">
        <v>1</v>
      </c>
      <c r="B44" s="7" t="s">
        <v>120</v>
      </c>
      <c r="C44" s="7">
        <v>6</v>
      </c>
      <c r="D44" s="6"/>
      <c r="E44" s="29" t="s">
        <v>44</v>
      </c>
      <c r="F44" s="29"/>
      <c r="G44" s="8">
        <v>1</v>
      </c>
      <c r="H44" s="8">
        <v>0</v>
      </c>
      <c r="I44" s="12" t="s">
        <v>22</v>
      </c>
      <c r="J44" s="9">
        <f t="shared" si="5"/>
        <v>100</v>
      </c>
      <c r="K44" s="8">
        <v>0</v>
      </c>
      <c r="L44" s="8">
        <f t="shared" si="6"/>
        <v>100</v>
      </c>
      <c r="M44" s="44">
        <v>1014</v>
      </c>
      <c r="N44" s="42">
        <f t="shared" si="7"/>
        <v>1114</v>
      </c>
      <c r="O44" s="48">
        <f t="shared" si="8"/>
        <v>300</v>
      </c>
      <c r="P44" s="43">
        <f t="shared" si="9"/>
        <v>814</v>
      </c>
      <c r="Q44" s="15"/>
    </row>
    <row r="45" spans="1:27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32"/>
      <c r="G45" s="8">
        <v>2</v>
      </c>
      <c r="H45" s="8">
        <v>0</v>
      </c>
      <c r="I45" s="12" t="s">
        <v>22</v>
      </c>
      <c r="J45" s="9">
        <f t="shared" si="5"/>
        <v>200</v>
      </c>
      <c r="K45" s="8">
        <v>0</v>
      </c>
      <c r="L45" s="8">
        <f t="shared" si="6"/>
        <v>200</v>
      </c>
      <c r="M45" s="44">
        <v>851</v>
      </c>
      <c r="N45" s="42">
        <f t="shared" si="7"/>
        <v>1051</v>
      </c>
      <c r="O45" s="48">
        <f t="shared" si="8"/>
        <v>300</v>
      </c>
      <c r="P45" s="43">
        <f t="shared" si="9"/>
        <v>751</v>
      </c>
      <c r="Q45" s="1"/>
    </row>
    <row r="46" spans="1:27" ht="18.75">
      <c r="A46" s="7">
        <v>1</v>
      </c>
      <c r="B46" s="7" t="s">
        <v>109</v>
      </c>
      <c r="C46" s="7">
        <v>39</v>
      </c>
      <c r="D46" s="6"/>
      <c r="E46" s="29" t="s">
        <v>77</v>
      </c>
      <c r="F46" s="29"/>
      <c r="G46" s="8">
        <v>3</v>
      </c>
      <c r="H46" s="8">
        <v>0</v>
      </c>
      <c r="I46" s="12" t="s">
        <v>22</v>
      </c>
      <c r="J46" s="9">
        <f t="shared" si="5"/>
        <v>300</v>
      </c>
      <c r="K46" s="8">
        <v>0</v>
      </c>
      <c r="L46" s="8">
        <f t="shared" si="6"/>
        <v>300</v>
      </c>
      <c r="M46" s="44">
        <v>750</v>
      </c>
      <c r="N46" s="42">
        <f t="shared" si="7"/>
        <v>1050</v>
      </c>
      <c r="O46" s="48">
        <f t="shared" si="8"/>
        <v>300</v>
      </c>
      <c r="P46" s="43">
        <f t="shared" si="9"/>
        <v>750</v>
      </c>
      <c r="Q46" s="1"/>
    </row>
    <row r="47" spans="1:27" ht="18.75">
      <c r="A47" s="7">
        <v>1</v>
      </c>
      <c r="B47" s="7" t="s">
        <v>113</v>
      </c>
      <c r="C47" s="7">
        <v>25</v>
      </c>
      <c r="D47" s="6"/>
      <c r="E47" s="29" t="s">
        <v>63</v>
      </c>
      <c r="F47" s="32"/>
      <c r="G47" s="8">
        <v>1</v>
      </c>
      <c r="H47" s="8">
        <v>0</v>
      </c>
      <c r="I47" s="12" t="s">
        <v>22</v>
      </c>
      <c r="J47" s="9">
        <f t="shared" si="5"/>
        <v>100</v>
      </c>
      <c r="K47" s="8">
        <v>0</v>
      </c>
      <c r="L47" s="8">
        <f t="shared" si="6"/>
        <v>100</v>
      </c>
      <c r="M47" s="44">
        <v>900</v>
      </c>
      <c r="N47" s="42">
        <f t="shared" si="7"/>
        <v>1000</v>
      </c>
      <c r="O47" s="48">
        <f t="shared" si="8"/>
        <v>300</v>
      </c>
      <c r="P47" s="43">
        <f t="shared" si="9"/>
        <v>700</v>
      </c>
      <c r="Q47" s="1"/>
    </row>
    <row r="48" spans="1:27" ht="18.75">
      <c r="A48" s="7">
        <v>1</v>
      </c>
      <c r="B48" s="7" t="s">
        <v>121</v>
      </c>
      <c r="C48" s="7">
        <v>4</v>
      </c>
      <c r="D48" s="6"/>
      <c r="E48" s="29" t="s">
        <v>42</v>
      </c>
      <c r="F48" s="29"/>
      <c r="G48" s="8">
        <v>3</v>
      </c>
      <c r="H48" s="8">
        <v>0</v>
      </c>
      <c r="I48" s="12" t="s">
        <v>22</v>
      </c>
      <c r="J48" s="9">
        <f t="shared" si="5"/>
        <v>300</v>
      </c>
      <c r="K48" s="8">
        <v>0</v>
      </c>
      <c r="L48" s="8">
        <f t="shared" si="6"/>
        <v>300</v>
      </c>
      <c r="M48" s="44">
        <v>669</v>
      </c>
      <c r="N48" s="42">
        <f t="shared" si="7"/>
        <v>969</v>
      </c>
      <c r="O48" s="48">
        <f t="shared" si="8"/>
        <v>300</v>
      </c>
      <c r="P48" s="43">
        <f t="shared" si="9"/>
        <v>669</v>
      </c>
      <c r="Q48" s="28"/>
    </row>
    <row r="49" spans="1:17" ht="18.75">
      <c r="A49" s="7">
        <v>1</v>
      </c>
      <c r="B49" s="7" t="s">
        <v>113</v>
      </c>
      <c r="C49" s="7">
        <v>64</v>
      </c>
      <c r="D49" s="6"/>
      <c r="E49" s="29" t="s">
        <v>102</v>
      </c>
      <c r="F49" s="29"/>
      <c r="G49" s="8">
        <v>3</v>
      </c>
      <c r="H49" s="8">
        <v>0</v>
      </c>
      <c r="I49" s="12" t="s">
        <v>22</v>
      </c>
      <c r="J49" s="9">
        <f t="shared" si="5"/>
        <v>300</v>
      </c>
      <c r="K49" s="8">
        <v>0</v>
      </c>
      <c r="L49" s="8">
        <f t="shared" si="6"/>
        <v>300</v>
      </c>
      <c r="M49" s="44">
        <v>669</v>
      </c>
      <c r="N49" s="42">
        <f t="shared" si="7"/>
        <v>969</v>
      </c>
      <c r="O49" s="48">
        <f t="shared" si="8"/>
        <v>300</v>
      </c>
      <c r="P49" s="43">
        <f t="shared" si="9"/>
        <v>669</v>
      </c>
    </row>
    <row r="50" spans="1:17" ht="18.75">
      <c r="A50" s="7">
        <v>1</v>
      </c>
      <c r="B50" s="7" t="s">
        <v>117</v>
      </c>
      <c r="C50" s="7">
        <v>9</v>
      </c>
      <c r="D50" s="6"/>
      <c r="E50" s="29" t="s">
        <v>47</v>
      </c>
      <c r="F50" s="33"/>
      <c r="G50" s="8">
        <v>0</v>
      </c>
      <c r="H50" s="8">
        <v>0</v>
      </c>
      <c r="I50" s="27" t="s">
        <v>23</v>
      </c>
      <c r="J50" s="9">
        <f t="shared" si="5"/>
        <v>0</v>
      </c>
      <c r="K50" s="8">
        <v>0</v>
      </c>
      <c r="L50" s="8">
        <f t="shared" si="6"/>
        <v>0</v>
      </c>
      <c r="M50" s="44">
        <v>961</v>
      </c>
      <c r="N50" s="42">
        <f t="shared" si="7"/>
        <v>961</v>
      </c>
      <c r="O50" s="48">
        <f t="shared" si="8"/>
        <v>0</v>
      </c>
      <c r="P50" s="43">
        <f t="shared" si="9"/>
        <v>961</v>
      </c>
      <c r="Q50" s="45"/>
    </row>
    <row r="51" spans="1:17" ht="18.75">
      <c r="A51" s="7">
        <v>1</v>
      </c>
      <c r="B51" s="7" t="s">
        <v>123</v>
      </c>
      <c r="C51" s="7">
        <v>23</v>
      </c>
      <c r="D51" s="6"/>
      <c r="E51" s="29" t="s">
        <v>61</v>
      </c>
      <c r="F51" s="32"/>
      <c r="G51" s="8">
        <v>0</v>
      </c>
      <c r="H51" s="8">
        <v>0</v>
      </c>
      <c r="I51" s="27" t="s">
        <v>23</v>
      </c>
      <c r="J51" s="9">
        <f t="shared" si="5"/>
        <v>0</v>
      </c>
      <c r="K51" s="8">
        <v>0</v>
      </c>
      <c r="L51" s="8">
        <f t="shared" si="6"/>
        <v>0</v>
      </c>
      <c r="M51" s="44">
        <v>951</v>
      </c>
      <c r="N51" s="42">
        <f t="shared" si="7"/>
        <v>951</v>
      </c>
      <c r="O51" s="48">
        <f t="shared" si="8"/>
        <v>0</v>
      </c>
      <c r="P51" s="43">
        <f t="shared" si="9"/>
        <v>951</v>
      </c>
    </row>
    <row r="52" spans="1:17" ht="18.75">
      <c r="A52" s="7">
        <v>1</v>
      </c>
      <c r="B52" s="7" t="s">
        <v>115</v>
      </c>
      <c r="C52" s="7">
        <v>26</v>
      </c>
      <c r="D52" s="6"/>
      <c r="E52" s="29" t="s">
        <v>64</v>
      </c>
      <c r="F52" s="32"/>
      <c r="G52" s="8">
        <v>3</v>
      </c>
      <c r="H52" s="8">
        <v>0</v>
      </c>
      <c r="I52" s="12" t="s">
        <v>22</v>
      </c>
      <c r="J52" s="9">
        <f t="shared" si="5"/>
        <v>300</v>
      </c>
      <c r="K52" s="8">
        <v>0</v>
      </c>
      <c r="L52" s="8">
        <f t="shared" si="6"/>
        <v>300</v>
      </c>
      <c r="M52" s="44">
        <v>569</v>
      </c>
      <c r="N52" s="42">
        <f t="shared" si="7"/>
        <v>869</v>
      </c>
      <c r="O52" s="48">
        <f t="shared" si="8"/>
        <v>300</v>
      </c>
      <c r="P52" s="43">
        <f t="shared" si="9"/>
        <v>569</v>
      </c>
    </row>
    <row r="53" spans="1:17" ht="18.75">
      <c r="A53" s="7">
        <v>1</v>
      </c>
      <c r="B53" s="7" t="s">
        <v>114</v>
      </c>
      <c r="C53" s="7">
        <v>33</v>
      </c>
      <c r="D53" s="6"/>
      <c r="E53" s="29" t="s">
        <v>71</v>
      </c>
      <c r="F53" s="29"/>
      <c r="G53" s="8">
        <v>3</v>
      </c>
      <c r="H53" s="8">
        <v>0</v>
      </c>
      <c r="I53" s="12" t="s">
        <v>22</v>
      </c>
      <c r="J53" s="9">
        <f t="shared" si="5"/>
        <v>300</v>
      </c>
      <c r="K53" s="8">
        <v>0</v>
      </c>
      <c r="L53" s="8">
        <f t="shared" si="6"/>
        <v>300</v>
      </c>
      <c r="M53" s="44">
        <v>553</v>
      </c>
      <c r="N53" s="42">
        <f t="shared" si="7"/>
        <v>853</v>
      </c>
      <c r="O53" s="48">
        <f t="shared" si="8"/>
        <v>300</v>
      </c>
      <c r="P53" s="43">
        <f t="shared" si="9"/>
        <v>553</v>
      </c>
    </row>
    <row r="54" spans="1:17" ht="18.75">
      <c r="A54" s="7">
        <v>1</v>
      </c>
      <c r="B54" s="7" t="s">
        <v>110</v>
      </c>
      <c r="C54" s="7">
        <v>54</v>
      </c>
      <c r="D54" s="6"/>
      <c r="E54" s="29" t="s">
        <v>92</v>
      </c>
      <c r="G54" s="8">
        <v>1</v>
      </c>
      <c r="H54" s="8">
        <v>0</v>
      </c>
      <c r="I54" s="12" t="s">
        <v>22</v>
      </c>
      <c r="J54" s="9">
        <f t="shared" si="5"/>
        <v>100</v>
      </c>
      <c r="K54" s="8">
        <v>0</v>
      </c>
      <c r="L54" s="8">
        <f t="shared" si="6"/>
        <v>100</v>
      </c>
      <c r="M54" s="44">
        <v>625</v>
      </c>
      <c r="N54" s="42">
        <f t="shared" si="7"/>
        <v>725</v>
      </c>
      <c r="O54" s="48">
        <f t="shared" si="8"/>
        <v>300</v>
      </c>
      <c r="P54" s="43">
        <f t="shared" si="9"/>
        <v>425</v>
      </c>
    </row>
    <row r="55" spans="1:17" ht="18.75">
      <c r="A55" s="7">
        <v>1</v>
      </c>
      <c r="B55" s="7" t="s">
        <v>108</v>
      </c>
      <c r="C55" s="7">
        <v>44</v>
      </c>
      <c r="D55" s="6"/>
      <c r="E55" s="29" t="s">
        <v>82</v>
      </c>
      <c r="F55" s="29"/>
      <c r="G55" s="8">
        <v>3</v>
      </c>
      <c r="H55" s="8">
        <v>0</v>
      </c>
      <c r="I55" s="12" t="s">
        <v>22</v>
      </c>
      <c r="J55" s="9">
        <f t="shared" si="5"/>
        <v>300</v>
      </c>
      <c r="K55" s="8">
        <v>0</v>
      </c>
      <c r="L55" s="8">
        <f t="shared" si="6"/>
        <v>300</v>
      </c>
      <c r="M55" s="44">
        <v>404</v>
      </c>
      <c r="N55" s="42">
        <f t="shared" si="7"/>
        <v>704</v>
      </c>
      <c r="O55" s="48">
        <f t="shared" si="8"/>
        <v>300</v>
      </c>
      <c r="P55" s="43">
        <f t="shared" si="9"/>
        <v>404</v>
      </c>
    </row>
    <row r="56" spans="1:17" ht="18.75">
      <c r="A56" s="7">
        <v>1</v>
      </c>
      <c r="B56" s="7" t="s">
        <v>118</v>
      </c>
      <c r="C56" s="7">
        <v>65</v>
      </c>
      <c r="E56" s="29" t="s">
        <v>105</v>
      </c>
      <c r="G56" s="8">
        <v>3</v>
      </c>
      <c r="H56" s="8">
        <v>0</v>
      </c>
      <c r="I56" s="12" t="s">
        <v>22</v>
      </c>
      <c r="J56" s="9">
        <f t="shared" si="5"/>
        <v>300</v>
      </c>
      <c r="K56" s="8">
        <v>0</v>
      </c>
      <c r="L56" s="8">
        <f t="shared" si="6"/>
        <v>300</v>
      </c>
      <c r="M56" s="44">
        <v>375</v>
      </c>
      <c r="N56" s="42">
        <f t="shared" si="7"/>
        <v>675</v>
      </c>
      <c r="O56" s="48">
        <f t="shared" si="8"/>
        <v>300</v>
      </c>
      <c r="P56" s="43">
        <f t="shared" si="9"/>
        <v>375</v>
      </c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3</v>
      </c>
      <c r="H57" s="8">
        <v>0</v>
      </c>
      <c r="I57" s="12" t="s">
        <v>22</v>
      </c>
      <c r="J57" s="9">
        <f t="shared" si="5"/>
        <v>300</v>
      </c>
      <c r="K57" s="8">
        <v>0</v>
      </c>
      <c r="L57" s="8">
        <f t="shared" si="6"/>
        <v>300</v>
      </c>
      <c r="M57" s="44">
        <v>200</v>
      </c>
      <c r="N57" s="42">
        <f t="shared" si="7"/>
        <v>500</v>
      </c>
      <c r="O57" s="48">
        <f t="shared" si="8"/>
        <v>300</v>
      </c>
      <c r="P57" s="43">
        <f t="shared" si="9"/>
        <v>200</v>
      </c>
    </row>
    <row r="58" spans="1:17" ht="18.75">
      <c r="A58" s="7">
        <v>1</v>
      </c>
      <c r="B58" s="7" t="s">
        <v>112</v>
      </c>
      <c r="C58" s="7">
        <v>57</v>
      </c>
      <c r="D58" s="6"/>
      <c r="E58" s="29" t="s">
        <v>95</v>
      </c>
      <c r="G58" s="8">
        <v>0</v>
      </c>
      <c r="H58" s="8">
        <v>0</v>
      </c>
      <c r="I58" s="27" t="s">
        <v>23</v>
      </c>
      <c r="J58" s="9">
        <f t="shared" si="5"/>
        <v>0</v>
      </c>
      <c r="K58" s="8">
        <v>0</v>
      </c>
      <c r="L58" s="8">
        <f t="shared" si="6"/>
        <v>0</v>
      </c>
      <c r="M58" s="44">
        <v>410</v>
      </c>
      <c r="N58" s="42">
        <f t="shared" si="7"/>
        <v>410</v>
      </c>
      <c r="O58" s="48">
        <f t="shared" si="8"/>
        <v>0</v>
      </c>
      <c r="P58" s="43">
        <f t="shared" si="9"/>
        <v>410</v>
      </c>
    </row>
    <row r="59" spans="1:17" ht="18.75">
      <c r="A59" s="7">
        <v>1</v>
      </c>
      <c r="B59" s="7" t="s">
        <v>110</v>
      </c>
      <c r="C59" s="7">
        <v>31</v>
      </c>
      <c r="D59" s="6"/>
      <c r="E59" s="29" t="s">
        <v>69</v>
      </c>
      <c r="F59" s="32"/>
      <c r="G59" s="8">
        <v>3</v>
      </c>
      <c r="H59" s="8">
        <v>0</v>
      </c>
      <c r="I59" s="12" t="s">
        <v>22</v>
      </c>
      <c r="J59" s="9">
        <f t="shared" si="5"/>
        <v>300</v>
      </c>
      <c r="K59" s="8">
        <v>0</v>
      </c>
      <c r="L59" s="8">
        <f t="shared" si="6"/>
        <v>300</v>
      </c>
      <c r="M59" s="44">
        <v>0</v>
      </c>
      <c r="N59" s="42">
        <f t="shared" si="7"/>
        <v>300</v>
      </c>
      <c r="O59" s="48">
        <f t="shared" si="8"/>
        <v>300</v>
      </c>
      <c r="P59" s="43">
        <f t="shared" si="9"/>
        <v>0</v>
      </c>
    </row>
    <row r="60" spans="1:17" ht="18.75">
      <c r="A60" s="7">
        <v>1</v>
      </c>
      <c r="B60" s="7" t="s">
        <v>108</v>
      </c>
      <c r="C60" s="7">
        <v>8</v>
      </c>
      <c r="D60" s="6"/>
      <c r="E60" s="29" t="s">
        <v>46</v>
      </c>
      <c r="F60" s="29"/>
      <c r="G60" s="8">
        <v>1</v>
      </c>
      <c r="H60" s="8">
        <v>0</v>
      </c>
      <c r="I60" s="12" t="s">
        <v>22</v>
      </c>
      <c r="J60" s="9">
        <f t="shared" si="5"/>
        <v>100</v>
      </c>
      <c r="K60" s="8">
        <v>0</v>
      </c>
      <c r="L60" s="8">
        <f t="shared" si="6"/>
        <v>100</v>
      </c>
      <c r="M60" s="44">
        <v>150</v>
      </c>
      <c r="N60" s="42">
        <f t="shared" si="7"/>
        <v>250</v>
      </c>
      <c r="O60" s="48">
        <f t="shared" si="8"/>
        <v>300</v>
      </c>
      <c r="P60" s="43">
        <f t="shared" si="9"/>
        <v>0</v>
      </c>
      <c r="Q60" s="40"/>
    </row>
    <row r="61" spans="1:17" ht="18.75">
      <c r="A61" s="7">
        <v>1</v>
      </c>
      <c r="B61" s="7" t="s">
        <v>122</v>
      </c>
      <c r="C61" s="7">
        <v>61</v>
      </c>
      <c r="D61" s="6"/>
      <c r="E61" s="29" t="s">
        <v>99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225</v>
      </c>
      <c r="N61" s="42">
        <f t="shared" si="7"/>
        <v>225</v>
      </c>
      <c r="O61" s="48">
        <f t="shared" si="8"/>
        <v>0</v>
      </c>
      <c r="P61" s="43">
        <f t="shared" si="9"/>
        <v>225</v>
      </c>
    </row>
    <row r="62" spans="1:17" ht="18.75">
      <c r="A62" s="7">
        <v>1</v>
      </c>
      <c r="B62" s="7" t="s">
        <v>122</v>
      </c>
      <c r="C62" s="7">
        <v>34</v>
      </c>
      <c r="D62" s="6"/>
      <c r="E62" s="29" t="s">
        <v>72</v>
      </c>
      <c r="F62" s="29"/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219</v>
      </c>
      <c r="N62" s="42">
        <f t="shared" si="7"/>
        <v>219</v>
      </c>
      <c r="O62" s="48">
        <f t="shared" si="8"/>
        <v>0</v>
      </c>
      <c r="P62" s="43">
        <f t="shared" si="9"/>
        <v>219</v>
      </c>
    </row>
    <row r="63" spans="1:17" ht="18.75">
      <c r="A63" s="7">
        <v>1</v>
      </c>
      <c r="B63" s="7" t="s">
        <v>116</v>
      </c>
      <c r="C63" s="7">
        <v>60</v>
      </c>
      <c r="D63" s="6"/>
      <c r="E63" s="29" t="s">
        <v>98</v>
      </c>
      <c r="G63" s="8">
        <v>2</v>
      </c>
      <c r="H63" s="8">
        <v>0</v>
      </c>
      <c r="I63" s="12" t="s">
        <v>22</v>
      </c>
      <c r="J63" s="9">
        <f t="shared" si="5"/>
        <v>200</v>
      </c>
      <c r="K63" s="8">
        <v>0</v>
      </c>
      <c r="L63" s="8">
        <f t="shared" si="6"/>
        <v>200</v>
      </c>
      <c r="M63" s="44">
        <v>0</v>
      </c>
      <c r="N63" s="42">
        <f t="shared" si="7"/>
        <v>200</v>
      </c>
      <c r="O63" s="48">
        <f t="shared" si="8"/>
        <v>300</v>
      </c>
      <c r="P63" s="43">
        <f t="shared" si="9"/>
        <v>0</v>
      </c>
    </row>
    <row r="64" spans="1:17" ht="18.75">
      <c r="A64" s="7">
        <v>1</v>
      </c>
      <c r="B64" s="7" t="s">
        <v>122</v>
      </c>
      <c r="C64" s="7">
        <v>7</v>
      </c>
      <c r="D64" s="6"/>
      <c r="E64" s="29" t="s">
        <v>45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138</v>
      </c>
      <c r="N64" s="42">
        <f t="shared" si="7"/>
        <v>138</v>
      </c>
      <c r="O64" s="48">
        <f t="shared" si="8"/>
        <v>0</v>
      </c>
      <c r="P64" s="43">
        <f t="shared" si="9"/>
        <v>138</v>
      </c>
      <c r="Q64" s="40"/>
    </row>
    <row r="65" spans="1:16" ht="18.75">
      <c r="A65" s="7">
        <v>1</v>
      </c>
      <c r="B65" s="7" t="s">
        <v>122</v>
      </c>
      <c r="C65" s="7">
        <v>27</v>
      </c>
      <c r="D65" s="6"/>
      <c r="E65" s="29" t="s">
        <v>65</v>
      </c>
      <c r="F65" s="32"/>
      <c r="G65" s="8">
        <v>1</v>
      </c>
      <c r="H65" s="8">
        <v>0</v>
      </c>
      <c r="I65" s="12" t="s">
        <v>22</v>
      </c>
      <c r="J65" s="9">
        <f t="shared" si="5"/>
        <v>100</v>
      </c>
      <c r="K65" s="8">
        <v>0</v>
      </c>
      <c r="L65" s="8">
        <f t="shared" si="6"/>
        <v>100</v>
      </c>
      <c r="M65" s="44">
        <v>0</v>
      </c>
      <c r="N65" s="42">
        <f t="shared" si="7"/>
        <v>100</v>
      </c>
      <c r="O65" s="48">
        <f t="shared" si="8"/>
        <v>300</v>
      </c>
      <c r="P65" s="43">
        <f t="shared" si="9"/>
        <v>0</v>
      </c>
    </row>
    <row r="66" spans="1:16" ht="18.75">
      <c r="A66" s="7">
        <v>1</v>
      </c>
      <c r="B66" s="7" t="s">
        <v>118</v>
      </c>
      <c r="C66" s="7">
        <v>51</v>
      </c>
      <c r="D66" s="6"/>
      <c r="E66" s="29" t="s">
        <v>89</v>
      </c>
      <c r="F66" s="29"/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25</v>
      </c>
      <c r="N66" s="42">
        <f t="shared" si="7"/>
        <v>25</v>
      </c>
      <c r="O66" s="48">
        <f t="shared" si="8"/>
        <v>0</v>
      </c>
      <c r="P66" s="43">
        <f t="shared" si="9"/>
        <v>25</v>
      </c>
    </row>
    <row r="67" spans="1:16" ht="18.75">
      <c r="A67" s="7">
        <v>1</v>
      </c>
      <c r="B67" s="7" t="s">
        <v>125</v>
      </c>
      <c r="C67" s="7">
        <v>59</v>
      </c>
      <c r="D67" s="6"/>
      <c r="E67" s="29" t="s">
        <v>97</v>
      </c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25</v>
      </c>
      <c r="N67" s="42">
        <f t="shared" si="7"/>
        <v>25</v>
      </c>
      <c r="O67" s="48">
        <f t="shared" si="8"/>
        <v>0</v>
      </c>
      <c r="P67" s="43">
        <f t="shared" si="9"/>
        <v>25</v>
      </c>
    </row>
    <row r="68" spans="1:16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6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32" priority="2" operator="lessThan">
      <formula>1</formula>
    </cfRule>
  </conditionalFormatting>
  <conditionalFormatting sqref="K5:K69">
    <cfRule type="cellIs" dxfId="31" priority="1" operator="lessThan">
      <formula>1</formula>
    </cfRule>
  </conditionalFormatting>
  <hyperlinks>
    <hyperlink ref="E10" r:id="rId1" xr:uid="{F9C1C931-DD4A-4C0B-9CF2-F1E74461A489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3F53-3EFD-4199-8067-591F41572D6A}">
  <dimension ref="A1:AA69"/>
  <sheetViews>
    <sheetView zoomScale="85" zoomScaleNormal="85" workbookViewId="0">
      <selection activeCell="I17" sqref="I17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欧皇宝宝2026年3月28日分包贡献明细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113</v>
      </c>
      <c r="C5" s="7">
        <v>37</v>
      </c>
      <c r="D5" s="6"/>
      <c r="E5" s="29" t="s">
        <v>75</v>
      </c>
      <c r="G5" s="8">
        <v>4</v>
      </c>
      <c r="H5" s="8">
        <v>0</v>
      </c>
      <c r="I5" s="10" t="s">
        <v>33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1007</v>
      </c>
      <c r="N5" s="42">
        <f t="shared" ref="N5:N36" si="2">M5+L5</f>
        <v>1407</v>
      </c>
      <c r="O5" s="48">
        <f t="shared" ref="O5:O36" si="3">VLOOKUP(I5,$R$3:$S$10,2,FALSE)</f>
        <v>312</v>
      </c>
      <c r="P5" s="43">
        <f t="shared" ref="P5:P36" si="4">IF(N5-O5&gt;0,N5-O5,0)</f>
        <v>1095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110</v>
      </c>
      <c r="C6" s="7">
        <v>42</v>
      </c>
      <c r="D6" s="6"/>
      <c r="E6" s="29" t="s">
        <v>80</v>
      </c>
      <c r="F6" s="32"/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1007</v>
      </c>
      <c r="N6" s="42">
        <f t="shared" si="2"/>
        <v>1407</v>
      </c>
      <c r="O6" s="48">
        <f t="shared" si="3"/>
        <v>312</v>
      </c>
      <c r="P6" s="43">
        <f t="shared" si="4"/>
        <v>1095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109</v>
      </c>
      <c r="C7" s="7">
        <v>35</v>
      </c>
      <c r="D7" s="6"/>
      <c r="E7" s="29" t="s">
        <v>73</v>
      </c>
      <c r="F7" s="29"/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1005</v>
      </c>
      <c r="N7" s="42">
        <f t="shared" si="2"/>
        <v>1405</v>
      </c>
      <c r="O7" s="48">
        <f t="shared" si="3"/>
        <v>312</v>
      </c>
      <c r="P7" s="43">
        <f t="shared" si="4"/>
        <v>1093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114</v>
      </c>
      <c r="C8" s="7">
        <v>58</v>
      </c>
      <c r="D8" s="6"/>
      <c r="E8" s="29" t="s">
        <v>96</v>
      </c>
      <c r="G8" s="8">
        <v>4</v>
      </c>
      <c r="H8" s="8">
        <v>0</v>
      </c>
      <c r="I8" s="10" t="s">
        <v>33</v>
      </c>
      <c r="J8" s="9">
        <f t="shared" si="0"/>
        <v>400</v>
      </c>
      <c r="K8" s="8">
        <v>0</v>
      </c>
      <c r="L8" s="8">
        <f t="shared" si="1"/>
        <v>400</v>
      </c>
      <c r="M8" s="44">
        <v>991</v>
      </c>
      <c r="N8" s="42">
        <f t="shared" si="2"/>
        <v>1391</v>
      </c>
      <c r="O8" s="48">
        <f t="shared" si="3"/>
        <v>312</v>
      </c>
      <c r="P8" s="43">
        <f t="shared" si="4"/>
        <v>1079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110</v>
      </c>
      <c r="C9" s="7">
        <v>62</v>
      </c>
      <c r="D9" s="6"/>
      <c r="E9" s="29" t="s">
        <v>100</v>
      </c>
      <c r="F9" s="29"/>
      <c r="G9" s="8">
        <v>4</v>
      </c>
      <c r="H9" s="8">
        <v>0</v>
      </c>
      <c r="I9" s="10" t="s">
        <v>33</v>
      </c>
      <c r="J9" s="9">
        <f t="shared" si="0"/>
        <v>400</v>
      </c>
      <c r="K9" s="8">
        <v>0</v>
      </c>
      <c r="L9" s="8">
        <f t="shared" si="1"/>
        <v>400</v>
      </c>
      <c r="M9" s="44">
        <v>987</v>
      </c>
      <c r="N9" s="42">
        <f t="shared" si="2"/>
        <v>1387</v>
      </c>
      <c r="O9" s="48">
        <f t="shared" si="3"/>
        <v>312</v>
      </c>
      <c r="P9" s="43">
        <f t="shared" si="4"/>
        <v>1075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123</v>
      </c>
      <c r="C10" s="7">
        <v>12</v>
      </c>
      <c r="D10" s="6"/>
      <c r="E10" s="29" t="s">
        <v>50</v>
      </c>
      <c r="F10" s="29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975</v>
      </c>
      <c r="N10" s="42">
        <f t="shared" si="2"/>
        <v>1375</v>
      </c>
      <c r="O10" s="48">
        <f t="shared" si="3"/>
        <v>312</v>
      </c>
      <c r="P10" s="43">
        <f t="shared" si="4"/>
        <v>1063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109</v>
      </c>
      <c r="C11" s="7">
        <v>49</v>
      </c>
      <c r="D11" s="6"/>
      <c r="E11" s="29" t="s">
        <v>87</v>
      </c>
      <c r="F11" s="29"/>
      <c r="G11" s="8">
        <v>4</v>
      </c>
      <c r="H11" s="8">
        <v>0</v>
      </c>
      <c r="I11" s="10" t="s">
        <v>33</v>
      </c>
      <c r="J11" s="9">
        <f t="shared" si="0"/>
        <v>400</v>
      </c>
      <c r="K11" s="8">
        <v>0</v>
      </c>
      <c r="L11" s="8">
        <f t="shared" si="1"/>
        <v>400</v>
      </c>
      <c r="M11" s="44">
        <v>961</v>
      </c>
      <c r="N11" s="42">
        <f t="shared" si="2"/>
        <v>1361</v>
      </c>
      <c r="O11" s="48">
        <f t="shared" si="3"/>
        <v>312</v>
      </c>
      <c r="P11" s="43">
        <f t="shared" si="4"/>
        <v>1049</v>
      </c>
      <c r="Q11" s="1"/>
      <c r="R11" s="24"/>
    </row>
    <row r="12" spans="1:26" ht="18.75">
      <c r="A12" s="7">
        <v>1</v>
      </c>
      <c r="B12" s="7" t="s">
        <v>114</v>
      </c>
      <c r="C12" s="7">
        <v>36</v>
      </c>
      <c r="D12" s="6"/>
      <c r="E12" s="29" t="s">
        <v>74</v>
      </c>
      <c r="F12" s="29"/>
      <c r="G12" s="8">
        <v>4</v>
      </c>
      <c r="H12" s="8">
        <v>0</v>
      </c>
      <c r="I12" s="11" t="s">
        <v>34</v>
      </c>
      <c r="J12" s="9">
        <f t="shared" si="0"/>
        <v>400</v>
      </c>
      <c r="K12" s="8">
        <v>0</v>
      </c>
      <c r="L12" s="8">
        <f t="shared" si="1"/>
        <v>400</v>
      </c>
      <c r="M12" s="44">
        <v>958</v>
      </c>
      <c r="N12" s="42">
        <f t="shared" si="2"/>
        <v>1358</v>
      </c>
      <c r="O12" s="48">
        <f t="shared" si="3"/>
        <v>240</v>
      </c>
      <c r="P12" s="43">
        <f t="shared" si="4"/>
        <v>1118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120</v>
      </c>
      <c r="C13" s="7">
        <v>45</v>
      </c>
      <c r="D13" s="6"/>
      <c r="E13" s="29" t="s">
        <v>83</v>
      </c>
      <c r="F13" s="29"/>
      <c r="G13" s="8">
        <v>4</v>
      </c>
      <c r="H13" s="8">
        <v>0</v>
      </c>
      <c r="I13" s="11" t="s">
        <v>34</v>
      </c>
      <c r="J13" s="9">
        <f t="shared" si="0"/>
        <v>400</v>
      </c>
      <c r="K13" s="8">
        <v>0</v>
      </c>
      <c r="L13" s="8">
        <f t="shared" si="1"/>
        <v>400</v>
      </c>
      <c r="M13" s="44">
        <v>958</v>
      </c>
      <c r="N13" s="42">
        <f t="shared" si="2"/>
        <v>1358</v>
      </c>
      <c r="O13" s="48">
        <f t="shared" si="3"/>
        <v>240</v>
      </c>
      <c r="P13" s="43">
        <f t="shared" si="4"/>
        <v>1118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118</v>
      </c>
      <c r="C14" s="7">
        <v>50</v>
      </c>
      <c r="D14" s="6"/>
      <c r="E14" s="29" t="s">
        <v>88</v>
      </c>
      <c r="F14" s="29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956</v>
      </c>
      <c r="N14" s="42">
        <f t="shared" si="2"/>
        <v>1356</v>
      </c>
      <c r="O14" s="48">
        <f t="shared" si="3"/>
        <v>240</v>
      </c>
      <c r="P14" s="43">
        <f t="shared" si="4"/>
        <v>1116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111</v>
      </c>
      <c r="C15" s="7">
        <v>40</v>
      </c>
      <c r="D15" s="6"/>
      <c r="E15" s="30" t="s">
        <v>78</v>
      </c>
      <c r="G15" s="8">
        <v>4</v>
      </c>
      <c r="H15" s="8">
        <v>0</v>
      </c>
      <c r="I15" s="11" t="s">
        <v>34</v>
      </c>
      <c r="J15" s="9">
        <f t="shared" si="0"/>
        <v>400</v>
      </c>
      <c r="K15" s="8">
        <v>0</v>
      </c>
      <c r="L15" s="8">
        <f t="shared" si="1"/>
        <v>400</v>
      </c>
      <c r="M15" s="44">
        <v>954</v>
      </c>
      <c r="N15" s="42">
        <f t="shared" si="2"/>
        <v>1354</v>
      </c>
      <c r="O15" s="48">
        <f t="shared" si="3"/>
        <v>240</v>
      </c>
      <c r="P15" s="43">
        <f t="shared" si="4"/>
        <v>1114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/>
      <c r="C16" s="7">
        <v>10</v>
      </c>
      <c r="D16" s="6"/>
      <c r="E16" s="29" t="s">
        <v>48</v>
      </c>
      <c r="F16" s="31"/>
      <c r="G16" s="8">
        <v>4</v>
      </c>
      <c r="H16" s="8">
        <v>0</v>
      </c>
      <c r="I16" s="11" t="s">
        <v>34</v>
      </c>
      <c r="J16" s="9">
        <f t="shared" si="0"/>
        <v>400</v>
      </c>
      <c r="K16" s="8">
        <v>0</v>
      </c>
      <c r="L16" s="8">
        <f t="shared" si="1"/>
        <v>400</v>
      </c>
      <c r="M16" s="44">
        <v>945</v>
      </c>
      <c r="N16" s="42">
        <f t="shared" si="2"/>
        <v>1345</v>
      </c>
      <c r="O16" s="48">
        <f t="shared" si="3"/>
        <v>240</v>
      </c>
      <c r="P16" s="43">
        <f t="shared" si="4"/>
        <v>1105</v>
      </c>
      <c r="Q16" s="21"/>
      <c r="R16" t="s">
        <v>27</v>
      </c>
      <c r="S16">
        <v>3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123</v>
      </c>
      <c r="C17" s="7">
        <v>24</v>
      </c>
      <c r="D17" s="6"/>
      <c r="E17" s="29" t="s">
        <v>62</v>
      </c>
      <c r="F17" s="32"/>
      <c r="G17" s="8">
        <v>4</v>
      </c>
      <c r="H17" s="8">
        <v>0</v>
      </c>
      <c r="I17" s="11" t="s">
        <v>34</v>
      </c>
      <c r="J17" s="9">
        <f t="shared" si="0"/>
        <v>400</v>
      </c>
      <c r="K17" s="8">
        <v>0</v>
      </c>
      <c r="L17" s="8">
        <f t="shared" si="1"/>
        <v>400</v>
      </c>
      <c r="M17" s="44">
        <v>943</v>
      </c>
      <c r="N17" s="42">
        <f t="shared" si="2"/>
        <v>1343</v>
      </c>
      <c r="O17" s="48">
        <f t="shared" si="3"/>
        <v>240</v>
      </c>
      <c r="P17" s="43">
        <f t="shared" si="4"/>
        <v>1103</v>
      </c>
      <c r="R17" t="s">
        <v>28</v>
      </c>
      <c r="S17">
        <v>28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117</v>
      </c>
      <c r="C18" s="7">
        <v>3</v>
      </c>
      <c r="D18" s="6"/>
      <c r="E18" s="29" t="s">
        <v>41</v>
      </c>
      <c r="F18" s="29"/>
      <c r="G18" s="8">
        <v>4</v>
      </c>
      <c r="H18" s="8">
        <v>0</v>
      </c>
      <c r="I18" s="11" t="s">
        <v>34</v>
      </c>
      <c r="J18" s="9">
        <f t="shared" si="0"/>
        <v>400</v>
      </c>
      <c r="K18" s="8">
        <v>0</v>
      </c>
      <c r="L18" s="8">
        <f t="shared" si="1"/>
        <v>400</v>
      </c>
      <c r="M18" s="44">
        <v>943</v>
      </c>
      <c r="N18" s="42">
        <f t="shared" si="2"/>
        <v>1343</v>
      </c>
      <c r="O18" s="48">
        <f t="shared" si="3"/>
        <v>240</v>
      </c>
      <c r="P18" s="43">
        <f t="shared" si="4"/>
        <v>1103</v>
      </c>
      <c r="Q18" s="9"/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109</v>
      </c>
      <c r="C19" s="7">
        <v>47</v>
      </c>
      <c r="D19" s="6"/>
      <c r="E19" s="29" t="s">
        <v>85</v>
      </c>
      <c r="F19" s="29"/>
      <c r="G19" s="8">
        <v>4</v>
      </c>
      <c r="H19" s="8">
        <v>0</v>
      </c>
      <c r="I19" s="12" t="s">
        <v>35</v>
      </c>
      <c r="J19" s="9">
        <f t="shared" si="0"/>
        <v>400</v>
      </c>
      <c r="K19" s="8">
        <v>0</v>
      </c>
      <c r="L19" s="8">
        <f t="shared" si="1"/>
        <v>400</v>
      </c>
      <c r="M19" s="44">
        <v>941</v>
      </c>
      <c r="N19" s="42">
        <f t="shared" si="2"/>
        <v>1341</v>
      </c>
      <c r="O19" s="48">
        <f t="shared" si="3"/>
        <v>175</v>
      </c>
      <c r="P19" s="43">
        <f t="shared" si="4"/>
        <v>1166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112</v>
      </c>
      <c r="C20" s="7">
        <v>53</v>
      </c>
      <c r="D20" s="6"/>
      <c r="E20" s="29" t="s">
        <v>91</v>
      </c>
      <c r="F20" s="29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935</v>
      </c>
      <c r="N20" s="42">
        <f t="shared" si="2"/>
        <v>1335</v>
      </c>
      <c r="O20" s="48">
        <f t="shared" si="3"/>
        <v>175</v>
      </c>
      <c r="P20" s="43">
        <f t="shared" si="4"/>
        <v>1160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113</v>
      </c>
      <c r="C21" s="7">
        <v>32</v>
      </c>
      <c r="D21" s="6"/>
      <c r="E21" s="29" t="s">
        <v>70</v>
      </c>
      <c r="F21" s="32"/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933</v>
      </c>
      <c r="N21" s="42">
        <f t="shared" si="2"/>
        <v>1333</v>
      </c>
      <c r="O21" s="48">
        <f t="shared" si="3"/>
        <v>175</v>
      </c>
      <c r="P21" s="43">
        <f t="shared" si="4"/>
        <v>1158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120</v>
      </c>
      <c r="C22" s="7">
        <v>20</v>
      </c>
      <c r="D22" s="6"/>
      <c r="E22" s="29" t="s">
        <v>58</v>
      </c>
      <c r="F22" s="32"/>
      <c r="G22" s="8">
        <v>4</v>
      </c>
      <c r="H22" s="8">
        <v>0</v>
      </c>
      <c r="I22" s="12" t="s">
        <v>35</v>
      </c>
      <c r="J22" s="9">
        <f t="shared" si="0"/>
        <v>400</v>
      </c>
      <c r="K22" s="8">
        <v>0</v>
      </c>
      <c r="L22" s="8">
        <f t="shared" si="1"/>
        <v>400</v>
      </c>
      <c r="M22" s="44">
        <v>933</v>
      </c>
      <c r="N22" s="42">
        <f t="shared" si="2"/>
        <v>1333</v>
      </c>
      <c r="O22" s="48">
        <f t="shared" si="3"/>
        <v>175</v>
      </c>
      <c r="P22" s="43">
        <f t="shared" si="4"/>
        <v>1158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110</v>
      </c>
      <c r="C23" s="7">
        <v>28</v>
      </c>
      <c r="D23" s="6"/>
      <c r="E23" s="29" t="s">
        <v>66</v>
      </c>
      <c r="F23" s="32"/>
      <c r="G23" s="8">
        <v>4</v>
      </c>
      <c r="H23" s="8">
        <v>0</v>
      </c>
      <c r="I23" s="12" t="s">
        <v>35</v>
      </c>
      <c r="J23" s="9">
        <f t="shared" si="0"/>
        <v>400</v>
      </c>
      <c r="K23" s="8">
        <v>0</v>
      </c>
      <c r="L23" s="8">
        <f t="shared" si="1"/>
        <v>400</v>
      </c>
      <c r="M23" s="44">
        <v>928</v>
      </c>
      <c r="N23" s="42">
        <f t="shared" si="2"/>
        <v>1328</v>
      </c>
      <c r="O23" s="48">
        <f t="shared" si="3"/>
        <v>175</v>
      </c>
      <c r="P23" s="43">
        <f t="shared" si="4"/>
        <v>1153</v>
      </c>
      <c r="Q23" s="1"/>
    </row>
    <row r="24" spans="1:27" ht="18.75">
      <c r="A24" s="7">
        <v>1</v>
      </c>
      <c r="B24" s="7" t="s">
        <v>116</v>
      </c>
      <c r="C24" s="7">
        <v>63</v>
      </c>
      <c r="D24" s="6"/>
      <c r="E24" s="29" t="s">
        <v>101</v>
      </c>
      <c r="G24" s="8">
        <v>4</v>
      </c>
      <c r="H24" s="8">
        <v>0</v>
      </c>
      <c r="I24" s="12" t="s">
        <v>35</v>
      </c>
      <c r="J24" s="9">
        <f t="shared" si="0"/>
        <v>400</v>
      </c>
      <c r="K24" s="8">
        <v>0</v>
      </c>
      <c r="L24" s="8">
        <f t="shared" si="1"/>
        <v>400</v>
      </c>
      <c r="M24" s="44">
        <v>926</v>
      </c>
      <c r="N24" s="42">
        <f t="shared" si="2"/>
        <v>1326</v>
      </c>
      <c r="O24" s="48">
        <f t="shared" si="3"/>
        <v>175</v>
      </c>
      <c r="P24" s="43">
        <f t="shared" si="4"/>
        <v>1151</v>
      </c>
      <c r="Q24" s="1"/>
    </row>
    <row r="25" spans="1:27" ht="18.75">
      <c r="A25" s="7">
        <v>1</v>
      </c>
      <c r="B25" s="7" t="s">
        <v>108</v>
      </c>
      <c r="C25" s="7">
        <v>46</v>
      </c>
      <c r="D25" s="6"/>
      <c r="E25" s="29" t="s">
        <v>84</v>
      </c>
      <c r="F25" s="29"/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915</v>
      </c>
      <c r="N25" s="42">
        <f t="shared" si="2"/>
        <v>1315</v>
      </c>
      <c r="O25" s="48">
        <f t="shared" si="3"/>
        <v>175</v>
      </c>
      <c r="P25" s="43">
        <f t="shared" si="4"/>
        <v>1140</v>
      </c>
      <c r="Q25" s="1"/>
    </row>
    <row r="26" spans="1:27" ht="18.75" customHeight="1">
      <c r="A26" s="7">
        <v>1</v>
      </c>
      <c r="B26" s="7" t="s">
        <v>109</v>
      </c>
      <c r="C26" s="7">
        <v>55</v>
      </c>
      <c r="D26" s="6"/>
      <c r="E26" s="29" t="s">
        <v>106</v>
      </c>
      <c r="G26" s="8">
        <v>4</v>
      </c>
      <c r="H26" s="8">
        <v>0</v>
      </c>
      <c r="I26" s="12" t="s">
        <v>35</v>
      </c>
      <c r="J26" s="9">
        <f t="shared" si="0"/>
        <v>400</v>
      </c>
      <c r="K26" s="8">
        <v>0</v>
      </c>
      <c r="L26" s="8">
        <f t="shared" si="1"/>
        <v>400</v>
      </c>
      <c r="M26" s="44">
        <v>912</v>
      </c>
      <c r="N26" s="42">
        <f t="shared" si="2"/>
        <v>1312</v>
      </c>
      <c r="O26" s="48">
        <f t="shared" si="3"/>
        <v>175</v>
      </c>
      <c r="P26" s="43">
        <f t="shared" si="4"/>
        <v>1137</v>
      </c>
      <c r="Q26" s="1"/>
    </row>
    <row r="27" spans="1:27" ht="18.75">
      <c r="A27" s="7">
        <v>1</v>
      </c>
      <c r="B27" s="7" t="s">
        <v>127</v>
      </c>
      <c r="C27" s="7">
        <v>21</v>
      </c>
      <c r="D27" s="6"/>
      <c r="E27" s="29" t="s">
        <v>59</v>
      </c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912</v>
      </c>
      <c r="N27" s="42">
        <f t="shared" si="2"/>
        <v>1312</v>
      </c>
      <c r="O27" s="48">
        <f t="shared" si="3"/>
        <v>175</v>
      </c>
      <c r="P27" s="43">
        <f t="shared" si="4"/>
        <v>1137</v>
      </c>
      <c r="Q27" s="1"/>
    </row>
    <row r="28" spans="1:27" ht="18.75">
      <c r="A28" s="7">
        <v>1</v>
      </c>
      <c r="B28" s="7" t="s">
        <v>122</v>
      </c>
      <c r="C28" s="7">
        <v>17</v>
      </c>
      <c r="D28" s="6"/>
      <c r="E28" s="29" t="s">
        <v>55</v>
      </c>
      <c r="F28" s="29"/>
      <c r="G28" s="8">
        <v>4</v>
      </c>
      <c r="H28" s="8">
        <v>0</v>
      </c>
      <c r="I28" s="12" t="s">
        <v>35</v>
      </c>
      <c r="J28" s="9">
        <f t="shared" si="0"/>
        <v>400</v>
      </c>
      <c r="K28" s="8">
        <v>0</v>
      </c>
      <c r="L28" s="8">
        <f t="shared" si="1"/>
        <v>400</v>
      </c>
      <c r="M28" s="44">
        <v>912</v>
      </c>
      <c r="N28" s="42">
        <f t="shared" si="2"/>
        <v>1312</v>
      </c>
      <c r="O28" s="48">
        <f t="shared" si="3"/>
        <v>175</v>
      </c>
      <c r="P28" s="43">
        <f t="shared" si="4"/>
        <v>1137</v>
      </c>
      <c r="Q28" s="1"/>
    </row>
    <row r="29" spans="1:27" s="1" customFormat="1" ht="18.75">
      <c r="A29" s="7">
        <v>1</v>
      </c>
      <c r="B29" s="7" t="s">
        <v>115</v>
      </c>
      <c r="C29" s="7">
        <v>56</v>
      </c>
      <c r="D29" s="6"/>
      <c r="E29" s="29" t="s">
        <v>94</v>
      </c>
      <c r="F29" s="29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898</v>
      </c>
      <c r="N29" s="42">
        <f t="shared" si="2"/>
        <v>1298</v>
      </c>
      <c r="O29" s="48">
        <f t="shared" si="3"/>
        <v>175</v>
      </c>
      <c r="P29" s="43">
        <f t="shared" si="4"/>
        <v>1123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119</v>
      </c>
      <c r="C30" s="7">
        <v>18</v>
      </c>
      <c r="D30" s="6"/>
      <c r="E30" s="29" t="s">
        <v>56</v>
      </c>
      <c r="F30" s="29"/>
      <c r="G30" s="8">
        <v>4</v>
      </c>
      <c r="H30" s="8">
        <v>0</v>
      </c>
      <c r="I30" s="12" t="s">
        <v>35</v>
      </c>
      <c r="J30" s="9">
        <f t="shared" si="0"/>
        <v>400</v>
      </c>
      <c r="K30" s="8">
        <v>0</v>
      </c>
      <c r="L30" s="8">
        <f t="shared" si="1"/>
        <v>400</v>
      </c>
      <c r="M30" s="44">
        <v>896</v>
      </c>
      <c r="N30" s="42">
        <f t="shared" si="2"/>
        <v>1296</v>
      </c>
      <c r="O30" s="48">
        <f t="shared" si="3"/>
        <v>175</v>
      </c>
      <c r="P30" s="43">
        <f t="shared" si="4"/>
        <v>1121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112</v>
      </c>
      <c r="C31" s="7">
        <v>14</v>
      </c>
      <c r="D31" s="6"/>
      <c r="E31" s="29" t="s">
        <v>52</v>
      </c>
      <c r="F31" s="29"/>
      <c r="G31" s="8">
        <v>4</v>
      </c>
      <c r="H31" s="8">
        <v>0</v>
      </c>
      <c r="I31" s="12" t="s">
        <v>35</v>
      </c>
      <c r="J31" s="9">
        <f t="shared" si="0"/>
        <v>400</v>
      </c>
      <c r="K31" s="8">
        <v>0</v>
      </c>
      <c r="L31" s="8">
        <f t="shared" si="1"/>
        <v>400</v>
      </c>
      <c r="M31" s="44">
        <v>877</v>
      </c>
      <c r="N31" s="42">
        <f t="shared" si="2"/>
        <v>1277</v>
      </c>
      <c r="O31" s="48">
        <f t="shared" si="3"/>
        <v>175</v>
      </c>
      <c r="P31" s="43">
        <f t="shared" si="4"/>
        <v>1102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122</v>
      </c>
      <c r="C32" s="7">
        <v>43</v>
      </c>
      <c r="D32" s="6"/>
      <c r="E32" s="29" t="s">
        <v>81</v>
      </c>
      <c r="F32" s="31"/>
      <c r="G32" s="8">
        <v>4</v>
      </c>
      <c r="H32" s="8">
        <v>0</v>
      </c>
      <c r="I32" s="12" t="s">
        <v>35</v>
      </c>
      <c r="J32" s="9">
        <f t="shared" si="0"/>
        <v>400</v>
      </c>
      <c r="K32" s="8">
        <v>0</v>
      </c>
      <c r="L32" s="8">
        <f t="shared" si="1"/>
        <v>400</v>
      </c>
      <c r="M32" s="44">
        <v>877</v>
      </c>
      <c r="N32" s="42">
        <f t="shared" si="2"/>
        <v>1277</v>
      </c>
      <c r="O32" s="48">
        <f t="shared" si="3"/>
        <v>175</v>
      </c>
      <c r="P32" s="43">
        <f t="shared" si="4"/>
        <v>1102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120</v>
      </c>
      <c r="C33" s="7">
        <v>29</v>
      </c>
      <c r="D33" s="6"/>
      <c r="E33" s="29" t="s">
        <v>67</v>
      </c>
      <c r="F33" s="32"/>
      <c r="G33" s="8">
        <v>4</v>
      </c>
      <c r="H33" s="8">
        <v>0</v>
      </c>
      <c r="I33" s="12" t="s">
        <v>35</v>
      </c>
      <c r="J33" s="9">
        <f t="shared" si="0"/>
        <v>400</v>
      </c>
      <c r="K33" s="8">
        <v>0</v>
      </c>
      <c r="L33" s="8">
        <f t="shared" si="1"/>
        <v>400</v>
      </c>
      <c r="M33" s="44">
        <v>876</v>
      </c>
      <c r="N33" s="42">
        <f t="shared" si="2"/>
        <v>1276</v>
      </c>
      <c r="O33" s="48">
        <f t="shared" si="3"/>
        <v>175</v>
      </c>
      <c r="P33" s="43">
        <f t="shared" si="4"/>
        <v>1101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109</v>
      </c>
      <c r="C34" s="7">
        <v>22</v>
      </c>
      <c r="D34" s="6"/>
      <c r="E34" s="29" t="s">
        <v>60</v>
      </c>
      <c r="F34" s="32"/>
      <c r="G34" s="8">
        <v>4</v>
      </c>
      <c r="H34" s="8">
        <v>0</v>
      </c>
      <c r="I34" s="12" t="s">
        <v>35</v>
      </c>
      <c r="J34" s="9">
        <f t="shared" si="0"/>
        <v>400</v>
      </c>
      <c r="K34" s="8">
        <v>0</v>
      </c>
      <c r="L34" s="8">
        <f t="shared" si="1"/>
        <v>400</v>
      </c>
      <c r="M34" s="44">
        <v>875</v>
      </c>
      <c r="N34" s="42">
        <f t="shared" si="2"/>
        <v>1275</v>
      </c>
      <c r="O34" s="48">
        <f t="shared" si="3"/>
        <v>175</v>
      </c>
      <c r="P34" s="43">
        <f t="shared" si="4"/>
        <v>1100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122</v>
      </c>
      <c r="C35" s="7">
        <v>1</v>
      </c>
      <c r="D35" s="6"/>
      <c r="E35" s="29" t="s">
        <v>39</v>
      </c>
      <c r="F35" s="29"/>
      <c r="G35" s="8">
        <v>4</v>
      </c>
      <c r="H35" s="8">
        <v>0</v>
      </c>
      <c r="I35" s="12" t="s">
        <v>35</v>
      </c>
      <c r="J35" s="9">
        <f t="shared" si="0"/>
        <v>400</v>
      </c>
      <c r="K35" s="8">
        <v>0</v>
      </c>
      <c r="L35" s="8">
        <f t="shared" si="1"/>
        <v>400</v>
      </c>
      <c r="M35" s="44">
        <v>874</v>
      </c>
      <c r="N35" s="42">
        <f t="shared" si="2"/>
        <v>1274</v>
      </c>
      <c r="O35" s="48">
        <f t="shared" si="3"/>
        <v>175</v>
      </c>
      <c r="P35" s="43">
        <f t="shared" si="4"/>
        <v>1099</v>
      </c>
      <c r="Q35" s="9"/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112</v>
      </c>
      <c r="C36" s="7">
        <v>15</v>
      </c>
      <c r="D36" s="6"/>
      <c r="E36" s="29" t="s">
        <v>53</v>
      </c>
      <c r="F36" s="29"/>
      <c r="G36" s="8">
        <v>3</v>
      </c>
      <c r="H36" s="8">
        <v>0</v>
      </c>
      <c r="I36" s="12" t="s">
        <v>35</v>
      </c>
      <c r="J36" s="9">
        <f t="shared" si="0"/>
        <v>300</v>
      </c>
      <c r="K36" s="8">
        <v>0</v>
      </c>
      <c r="L36" s="8">
        <f t="shared" si="1"/>
        <v>300</v>
      </c>
      <c r="M36" s="44">
        <v>963</v>
      </c>
      <c r="N36" s="42">
        <f t="shared" si="2"/>
        <v>1263</v>
      </c>
      <c r="O36" s="48">
        <f t="shared" si="3"/>
        <v>175</v>
      </c>
      <c r="P36" s="43">
        <f t="shared" si="4"/>
        <v>1088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124</v>
      </c>
      <c r="C37" s="7">
        <v>2</v>
      </c>
      <c r="D37" s="6"/>
      <c r="E37" s="29" t="s">
        <v>40</v>
      </c>
      <c r="F37" s="29"/>
      <c r="G37" s="8">
        <v>4</v>
      </c>
      <c r="H37" s="8">
        <v>0</v>
      </c>
      <c r="I37" s="12" t="s">
        <v>35</v>
      </c>
      <c r="J37" s="9">
        <f t="shared" ref="J37:J69" si="5">G37*100</f>
        <v>400</v>
      </c>
      <c r="K37" s="8">
        <v>0</v>
      </c>
      <c r="L37" s="8">
        <f t="shared" ref="L37:L68" si="6">SUM(J37+K37)</f>
        <v>400</v>
      </c>
      <c r="M37" s="44">
        <v>861</v>
      </c>
      <c r="N37" s="42">
        <f t="shared" ref="N37:N68" si="7">M37+L37</f>
        <v>1261</v>
      </c>
      <c r="O37" s="48">
        <f t="shared" ref="O37:O69" si="8">VLOOKUP(I37,$R$3:$S$10,2,FALSE)</f>
        <v>175</v>
      </c>
      <c r="P37" s="43">
        <f t="shared" ref="P37:P68" si="9">IF(N37-O37&gt;0,N37-O37,0)</f>
        <v>1086</v>
      </c>
      <c r="Q37" s="9"/>
    </row>
    <row r="38" spans="1:27" s="1" customFormat="1" ht="18.75">
      <c r="A38" s="7">
        <v>1</v>
      </c>
      <c r="B38" s="7" t="s">
        <v>122</v>
      </c>
      <c r="C38" s="7">
        <v>5</v>
      </c>
      <c r="D38" s="6"/>
      <c r="E38" s="29" t="s">
        <v>43</v>
      </c>
      <c r="F38" s="29"/>
      <c r="G38" s="8">
        <v>4</v>
      </c>
      <c r="H38" s="8">
        <v>0</v>
      </c>
      <c r="I38" s="12" t="s">
        <v>35</v>
      </c>
      <c r="J38" s="9">
        <f t="shared" si="5"/>
        <v>400</v>
      </c>
      <c r="K38" s="8">
        <v>0</v>
      </c>
      <c r="L38" s="8">
        <f t="shared" si="6"/>
        <v>400</v>
      </c>
      <c r="M38" s="44">
        <v>854</v>
      </c>
      <c r="N38" s="42">
        <f t="shared" si="7"/>
        <v>1254</v>
      </c>
      <c r="O38" s="48">
        <f t="shared" si="8"/>
        <v>175</v>
      </c>
      <c r="P38" s="43">
        <f t="shared" si="9"/>
        <v>1079</v>
      </c>
      <c r="Q38" s="21"/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114</v>
      </c>
      <c r="C39" s="7">
        <v>52</v>
      </c>
      <c r="D39" s="6"/>
      <c r="E39" s="29" t="s">
        <v>90</v>
      </c>
      <c r="F39" s="1"/>
      <c r="G39" s="8">
        <v>3</v>
      </c>
      <c r="H39" s="8">
        <v>0</v>
      </c>
      <c r="I39" s="12" t="s">
        <v>35</v>
      </c>
      <c r="J39" s="9">
        <f t="shared" si="5"/>
        <v>300</v>
      </c>
      <c r="K39" s="8">
        <v>0</v>
      </c>
      <c r="L39" s="8">
        <f t="shared" si="6"/>
        <v>300</v>
      </c>
      <c r="M39" s="44">
        <v>942</v>
      </c>
      <c r="N39" s="42">
        <f t="shared" si="7"/>
        <v>1242</v>
      </c>
      <c r="O39" s="48">
        <f t="shared" si="8"/>
        <v>175</v>
      </c>
      <c r="P39" s="43">
        <f t="shared" si="9"/>
        <v>1067</v>
      </c>
      <c r="Q39" s="1"/>
    </row>
    <row r="40" spans="1:27" ht="18.75">
      <c r="A40" s="7">
        <v>1</v>
      </c>
      <c r="B40" s="7" t="s">
        <v>118</v>
      </c>
      <c r="C40" s="7">
        <v>16</v>
      </c>
      <c r="D40" s="6"/>
      <c r="E40" s="29" t="s">
        <v>54</v>
      </c>
      <c r="F40" s="32"/>
      <c r="G40" s="8">
        <v>4</v>
      </c>
      <c r="H40" s="8">
        <v>0</v>
      </c>
      <c r="I40" s="12" t="s">
        <v>35</v>
      </c>
      <c r="J40" s="9">
        <f t="shared" si="5"/>
        <v>400</v>
      </c>
      <c r="K40" s="8">
        <v>0</v>
      </c>
      <c r="L40" s="8">
        <f t="shared" si="6"/>
        <v>400</v>
      </c>
      <c r="M40" s="44">
        <v>835</v>
      </c>
      <c r="N40" s="42">
        <f t="shared" si="7"/>
        <v>1235</v>
      </c>
      <c r="O40" s="48">
        <f t="shared" si="8"/>
        <v>175</v>
      </c>
      <c r="P40" s="43">
        <f t="shared" si="9"/>
        <v>1060</v>
      </c>
      <c r="Q40" s="1"/>
    </row>
    <row r="41" spans="1:27" ht="18.75">
      <c r="A41" s="7">
        <v>1</v>
      </c>
      <c r="B41" s="7" t="s">
        <v>120</v>
      </c>
      <c r="C41" s="7">
        <v>6</v>
      </c>
      <c r="D41" s="6"/>
      <c r="E41" s="29" t="s">
        <v>44</v>
      </c>
      <c r="F41" s="29"/>
      <c r="G41" s="8">
        <v>2</v>
      </c>
      <c r="H41" s="8">
        <v>0</v>
      </c>
      <c r="I41" s="12" t="s">
        <v>35</v>
      </c>
      <c r="J41" s="9">
        <f t="shared" si="5"/>
        <v>200</v>
      </c>
      <c r="K41" s="8">
        <v>0</v>
      </c>
      <c r="L41" s="8">
        <f t="shared" si="6"/>
        <v>200</v>
      </c>
      <c r="M41" s="44">
        <v>989</v>
      </c>
      <c r="N41" s="42">
        <f t="shared" si="7"/>
        <v>1189</v>
      </c>
      <c r="O41" s="48">
        <f t="shared" si="8"/>
        <v>175</v>
      </c>
      <c r="P41" s="43">
        <f t="shared" si="9"/>
        <v>1014</v>
      </c>
      <c r="Q41" s="15"/>
    </row>
    <row r="42" spans="1:27" ht="18.75">
      <c r="A42" s="7">
        <v>1</v>
      </c>
      <c r="B42" s="7" t="s">
        <v>120</v>
      </c>
      <c r="C42" s="7">
        <v>13</v>
      </c>
      <c r="D42" s="6"/>
      <c r="E42" s="29" t="s">
        <v>51</v>
      </c>
      <c r="F42" s="29"/>
      <c r="G42" s="8">
        <v>3</v>
      </c>
      <c r="H42" s="8">
        <v>0</v>
      </c>
      <c r="I42" s="12" t="s">
        <v>35</v>
      </c>
      <c r="J42" s="9">
        <f t="shared" si="5"/>
        <v>300</v>
      </c>
      <c r="K42" s="8">
        <v>0</v>
      </c>
      <c r="L42" s="8">
        <f t="shared" si="6"/>
        <v>300</v>
      </c>
      <c r="M42" s="44">
        <v>858</v>
      </c>
      <c r="N42" s="42">
        <f t="shared" si="7"/>
        <v>1158</v>
      </c>
      <c r="O42" s="48">
        <f t="shared" si="8"/>
        <v>175</v>
      </c>
      <c r="P42" s="43">
        <f t="shared" si="9"/>
        <v>983</v>
      </c>
      <c r="Q42" s="1"/>
    </row>
    <row r="43" spans="1:27" ht="18.75">
      <c r="A43" s="7">
        <v>1</v>
      </c>
      <c r="B43" s="7" t="s">
        <v>121</v>
      </c>
      <c r="C43" s="7">
        <v>30</v>
      </c>
      <c r="D43" s="6"/>
      <c r="E43" s="29" t="s">
        <v>68</v>
      </c>
      <c r="F43" s="32"/>
      <c r="G43" s="8">
        <v>4</v>
      </c>
      <c r="H43" s="8">
        <v>0</v>
      </c>
      <c r="I43" s="12" t="s">
        <v>35</v>
      </c>
      <c r="J43" s="9">
        <f t="shared" si="5"/>
        <v>400</v>
      </c>
      <c r="K43" s="8">
        <v>0</v>
      </c>
      <c r="L43" s="8">
        <f t="shared" si="6"/>
        <v>400</v>
      </c>
      <c r="M43" s="44">
        <v>691</v>
      </c>
      <c r="N43" s="42">
        <f t="shared" si="7"/>
        <v>1091</v>
      </c>
      <c r="O43" s="48">
        <f t="shared" si="8"/>
        <v>175</v>
      </c>
      <c r="P43" s="43">
        <f t="shared" si="9"/>
        <v>916</v>
      </c>
      <c r="Q43" s="1"/>
    </row>
    <row r="44" spans="1:27" ht="18.75">
      <c r="A44" s="7">
        <v>1</v>
      </c>
      <c r="B44" s="7" t="s">
        <v>113</v>
      </c>
      <c r="C44" s="7">
        <v>25</v>
      </c>
      <c r="D44" s="6"/>
      <c r="E44" s="29" t="s">
        <v>63</v>
      </c>
      <c r="F44" s="32"/>
      <c r="G44" s="8">
        <v>2</v>
      </c>
      <c r="H44" s="8">
        <v>0</v>
      </c>
      <c r="I44" s="12" t="s">
        <v>35</v>
      </c>
      <c r="J44" s="9">
        <f t="shared" si="5"/>
        <v>200</v>
      </c>
      <c r="K44" s="8">
        <v>0</v>
      </c>
      <c r="L44" s="8">
        <f t="shared" si="6"/>
        <v>200</v>
      </c>
      <c r="M44" s="44">
        <v>875</v>
      </c>
      <c r="N44" s="42">
        <f t="shared" si="7"/>
        <v>1075</v>
      </c>
      <c r="O44" s="48">
        <f t="shared" si="8"/>
        <v>175</v>
      </c>
      <c r="P44" s="43">
        <f t="shared" si="9"/>
        <v>900</v>
      </c>
      <c r="Q44" s="1"/>
    </row>
    <row r="45" spans="1:27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32"/>
      <c r="G45" s="8">
        <v>2</v>
      </c>
      <c r="H45" s="8">
        <v>0</v>
      </c>
      <c r="I45" s="12" t="s">
        <v>35</v>
      </c>
      <c r="J45" s="9">
        <f t="shared" si="5"/>
        <v>200</v>
      </c>
      <c r="K45" s="8">
        <v>0</v>
      </c>
      <c r="L45" s="8">
        <f t="shared" si="6"/>
        <v>200</v>
      </c>
      <c r="M45" s="44">
        <v>826</v>
      </c>
      <c r="N45" s="42">
        <f t="shared" si="7"/>
        <v>1026</v>
      </c>
      <c r="O45" s="48">
        <f t="shared" si="8"/>
        <v>175</v>
      </c>
      <c r="P45" s="43">
        <f t="shared" si="9"/>
        <v>851</v>
      </c>
      <c r="Q45" s="1"/>
    </row>
    <row r="46" spans="1:27" ht="18.75">
      <c r="A46" s="7">
        <v>1</v>
      </c>
      <c r="B46" s="7" t="s">
        <v>117</v>
      </c>
      <c r="C46" s="7">
        <v>9</v>
      </c>
      <c r="D46" s="6"/>
      <c r="E46" s="29" t="s">
        <v>47</v>
      </c>
      <c r="F46" s="33"/>
      <c r="G46" s="8">
        <v>0</v>
      </c>
      <c r="H46" s="8">
        <v>0</v>
      </c>
      <c r="I46" s="27" t="s">
        <v>23</v>
      </c>
      <c r="J46" s="9">
        <f t="shared" si="5"/>
        <v>0</v>
      </c>
      <c r="K46" s="8">
        <v>0</v>
      </c>
      <c r="L46" s="8">
        <f t="shared" si="6"/>
        <v>0</v>
      </c>
      <c r="M46" s="44">
        <v>961</v>
      </c>
      <c r="N46" s="42">
        <f t="shared" si="7"/>
        <v>961</v>
      </c>
      <c r="O46" s="48">
        <f t="shared" si="8"/>
        <v>0</v>
      </c>
      <c r="P46" s="43">
        <f t="shared" si="9"/>
        <v>961</v>
      </c>
      <c r="Q46" s="21"/>
    </row>
    <row r="47" spans="1:27" ht="18.75">
      <c r="A47" s="7">
        <v>1</v>
      </c>
      <c r="B47" s="7" t="s">
        <v>123</v>
      </c>
      <c r="C47" s="7">
        <v>23</v>
      </c>
      <c r="D47" s="6"/>
      <c r="E47" s="29" t="s">
        <v>61</v>
      </c>
      <c r="F47" s="32"/>
      <c r="G47" s="8">
        <v>0</v>
      </c>
      <c r="H47" s="8">
        <v>0</v>
      </c>
      <c r="I47" s="27" t="s">
        <v>23</v>
      </c>
      <c r="J47" s="9">
        <f t="shared" si="5"/>
        <v>0</v>
      </c>
      <c r="K47" s="8">
        <v>0</v>
      </c>
      <c r="L47" s="8">
        <f t="shared" si="6"/>
        <v>0</v>
      </c>
      <c r="M47" s="44">
        <v>951</v>
      </c>
      <c r="N47" s="42">
        <f t="shared" si="7"/>
        <v>951</v>
      </c>
      <c r="O47" s="48">
        <f t="shared" si="8"/>
        <v>0</v>
      </c>
      <c r="P47" s="43">
        <f t="shared" si="9"/>
        <v>951</v>
      </c>
      <c r="Q47" s="1"/>
    </row>
    <row r="48" spans="1:27" ht="18.75">
      <c r="A48" s="7">
        <v>1</v>
      </c>
      <c r="B48" s="7" t="s">
        <v>109</v>
      </c>
      <c r="C48" s="7">
        <v>11</v>
      </c>
      <c r="D48" s="6"/>
      <c r="E48" s="29" t="s">
        <v>49</v>
      </c>
      <c r="F48" s="29"/>
      <c r="G48" s="8">
        <v>0</v>
      </c>
      <c r="H48" s="8">
        <v>0</v>
      </c>
      <c r="I48" s="27" t="s">
        <v>23</v>
      </c>
      <c r="J48" s="9">
        <f t="shared" si="5"/>
        <v>0</v>
      </c>
      <c r="K48" s="8">
        <v>0</v>
      </c>
      <c r="L48" s="8">
        <f t="shared" si="6"/>
        <v>0</v>
      </c>
      <c r="M48" s="44">
        <v>943</v>
      </c>
      <c r="N48" s="42">
        <f t="shared" si="7"/>
        <v>943</v>
      </c>
      <c r="O48" s="48">
        <f t="shared" si="8"/>
        <v>0</v>
      </c>
      <c r="P48" s="43">
        <f t="shared" si="9"/>
        <v>943</v>
      </c>
    </row>
    <row r="49" spans="1:17" ht="18.75">
      <c r="A49" s="7">
        <v>1</v>
      </c>
      <c r="B49" s="7" t="s">
        <v>109</v>
      </c>
      <c r="C49" s="7">
        <v>39</v>
      </c>
      <c r="D49" s="6"/>
      <c r="E49" s="29" t="s">
        <v>77</v>
      </c>
      <c r="F49" s="29"/>
      <c r="G49" s="8">
        <v>4</v>
      </c>
      <c r="H49" s="8">
        <v>0</v>
      </c>
      <c r="I49" s="12" t="s">
        <v>35</v>
      </c>
      <c r="J49" s="9">
        <f t="shared" si="5"/>
        <v>400</v>
      </c>
      <c r="K49" s="8">
        <v>0</v>
      </c>
      <c r="L49" s="8">
        <f t="shared" si="6"/>
        <v>400</v>
      </c>
      <c r="M49" s="44">
        <v>525</v>
      </c>
      <c r="N49" s="42">
        <f t="shared" si="7"/>
        <v>925</v>
      </c>
      <c r="O49" s="48">
        <f t="shared" si="8"/>
        <v>175</v>
      </c>
      <c r="P49" s="43">
        <f t="shared" si="9"/>
        <v>750</v>
      </c>
    </row>
    <row r="50" spans="1:17" ht="18.75">
      <c r="A50" s="7">
        <v>1</v>
      </c>
      <c r="B50" s="7" t="s">
        <v>113</v>
      </c>
      <c r="C50" s="7">
        <v>64</v>
      </c>
      <c r="D50" s="6"/>
      <c r="E50" s="29" t="s">
        <v>102</v>
      </c>
      <c r="F50" s="29"/>
      <c r="G50" s="8">
        <v>3</v>
      </c>
      <c r="H50" s="8">
        <v>0</v>
      </c>
      <c r="I50" s="12" t="s">
        <v>35</v>
      </c>
      <c r="J50" s="9">
        <f t="shared" si="5"/>
        <v>300</v>
      </c>
      <c r="K50" s="8">
        <v>0</v>
      </c>
      <c r="L50" s="8">
        <f t="shared" si="6"/>
        <v>300</v>
      </c>
      <c r="M50" s="44">
        <v>544</v>
      </c>
      <c r="N50" s="42">
        <f t="shared" si="7"/>
        <v>844</v>
      </c>
      <c r="O50" s="48">
        <f t="shared" si="8"/>
        <v>175</v>
      </c>
      <c r="P50" s="43">
        <f t="shared" si="9"/>
        <v>669</v>
      </c>
    </row>
    <row r="51" spans="1:17" ht="18.75">
      <c r="A51" s="7">
        <v>1</v>
      </c>
      <c r="B51" s="7" t="s">
        <v>121</v>
      </c>
      <c r="C51" s="7">
        <v>4</v>
      </c>
      <c r="D51" s="6"/>
      <c r="E51" s="29" t="s">
        <v>42</v>
      </c>
      <c r="F51" s="29"/>
      <c r="G51" s="8">
        <v>4</v>
      </c>
      <c r="H51" s="8">
        <v>0</v>
      </c>
      <c r="I51" s="12" t="s">
        <v>35</v>
      </c>
      <c r="J51" s="9">
        <f t="shared" si="5"/>
        <v>400</v>
      </c>
      <c r="K51" s="8">
        <v>0</v>
      </c>
      <c r="L51" s="8">
        <f t="shared" si="6"/>
        <v>400</v>
      </c>
      <c r="M51" s="44">
        <v>444</v>
      </c>
      <c r="N51" s="42">
        <f t="shared" si="7"/>
        <v>844</v>
      </c>
      <c r="O51" s="48">
        <f t="shared" si="8"/>
        <v>175</v>
      </c>
      <c r="P51" s="43">
        <f t="shared" si="9"/>
        <v>669</v>
      </c>
      <c r="Q51" s="28"/>
    </row>
    <row r="52" spans="1:17" ht="18.75">
      <c r="A52" s="7">
        <v>1</v>
      </c>
      <c r="B52" s="7" t="s">
        <v>110</v>
      </c>
      <c r="C52" s="7">
        <v>54</v>
      </c>
      <c r="D52" s="6"/>
      <c r="E52" s="29" t="s">
        <v>92</v>
      </c>
      <c r="G52" s="8">
        <v>4</v>
      </c>
      <c r="H52" s="8">
        <v>0</v>
      </c>
      <c r="I52" s="12" t="s">
        <v>35</v>
      </c>
      <c r="J52" s="9">
        <f t="shared" si="5"/>
        <v>400</v>
      </c>
      <c r="K52" s="8">
        <v>0</v>
      </c>
      <c r="L52" s="8">
        <f t="shared" si="6"/>
        <v>400</v>
      </c>
      <c r="M52" s="44">
        <v>400</v>
      </c>
      <c r="N52" s="42">
        <f t="shared" si="7"/>
        <v>800</v>
      </c>
      <c r="O52" s="48">
        <f t="shared" si="8"/>
        <v>175</v>
      </c>
      <c r="P52" s="43">
        <f t="shared" si="9"/>
        <v>625</v>
      </c>
    </row>
    <row r="53" spans="1:17" ht="18.75">
      <c r="A53" s="7">
        <v>1</v>
      </c>
      <c r="B53" s="7" t="s">
        <v>115</v>
      </c>
      <c r="C53" s="7">
        <v>26</v>
      </c>
      <c r="D53" s="6"/>
      <c r="E53" s="29" t="s">
        <v>64</v>
      </c>
      <c r="F53" s="32"/>
      <c r="G53" s="8">
        <v>4</v>
      </c>
      <c r="H53" s="8">
        <v>0</v>
      </c>
      <c r="I53" s="12" t="s">
        <v>35</v>
      </c>
      <c r="J53" s="9">
        <f t="shared" si="5"/>
        <v>400</v>
      </c>
      <c r="K53" s="8">
        <v>0</v>
      </c>
      <c r="L53" s="8">
        <f t="shared" si="6"/>
        <v>400</v>
      </c>
      <c r="M53" s="44">
        <v>344</v>
      </c>
      <c r="N53" s="42">
        <f t="shared" si="7"/>
        <v>744</v>
      </c>
      <c r="O53" s="48">
        <f t="shared" si="8"/>
        <v>175</v>
      </c>
      <c r="P53" s="43">
        <f t="shared" si="9"/>
        <v>569</v>
      </c>
    </row>
    <row r="54" spans="1:17" ht="18.75">
      <c r="A54" s="7">
        <v>1</v>
      </c>
      <c r="B54" s="7" t="s">
        <v>114</v>
      </c>
      <c r="C54" s="7">
        <v>33</v>
      </c>
      <c r="D54" s="6"/>
      <c r="E54" s="29" t="s">
        <v>71</v>
      </c>
      <c r="F54" s="29"/>
      <c r="G54" s="8">
        <v>4</v>
      </c>
      <c r="H54" s="8">
        <v>0</v>
      </c>
      <c r="I54" s="12" t="s">
        <v>35</v>
      </c>
      <c r="J54" s="9">
        <f t="shared" si="5"/>
        <v>400</v>
      </c>
      <c r="K54" s="8">
        <v>0</v>
      </c>
      <c r="L54" s="8">
        <f t="shared" si="6"/>
        <v>400</v>
      </c>
      <c r="M54" s="44">
        <v>328</v>
      </c>
      <c r="N54" s="42">
        <f t="shared" si="7"/>
        <v>728</v>
      </c>
      <c r="O54" s="48">
        <f t="shared" si="8"/>
        <v>175</v>
      </c>
      <c r="P54" s="43">
        <f t="shared" si="9"/>
        <v>553</v>
      </c>
    </row>
    <row r="55" spans="1:17" ht="18.75">
      <c r="A55" s="7">
        <v>1</v>
      </c>
      <c r="B55" s="7" t="s">
        <v>108</v>
      </c>
      <c r="C55" s="7">
        <v>44</v>
      </c>
      <c r="D55" s="6"/>
      <c r="E55" s="29" t="s">
        <v>82</v>
      </c>
      <c r="F55" s="29"/>
      <c r="G55" s="8">
        <v>3</v>
      </c>
      <c r="H55" s="8">
        <v>0</v>
      </c>
      <c r="I55" s="12" t="s">
        <v>35</v>
      </c>
      <c r="J55" s="9">
        <f t="shared" si="5"/>
        <v>300</v>
      </c>
      <c r="K55" s="8">
        <v>0</v>
      </c>
      <c r="L55" s="8">
        <f t="shared" si="6"/>
        <v>300</v>
      </c>
      <c r="M55" s="44">
        <v>279</v>
      </c>
      <c r="N55" s="42">
        <f t="shared" si="7"/>
        <v>579</v>
      </c>
      <c r="O55" s="48">
        <f t="shared" si="8"/>
        <v>175</v>
      </c>
      <c r="P55" s="43">
        <f t="shared" si="9"/>
        <v>404</v>
      </c>
    </row>
    <row r="56" spans="1:17" ht="18.75">
      <c r="A56" s="7">
        <v>1</v>
      </c>
      <c r="B56" s="7" t="s">
        <v>118</v>
      </c>
      <c r="C56" s="7">
        <v>65</v>
      </c>
      <c r="E56" s="29" t="s">
        <v>105</v>
      </c>
      <c r="G56" s="8">
        <v>3</v>
      </c>
      <c r="H56" s="8">
        <v>0</v>
      </c>
      <c r="I56" s="12" t="s">
        <v>35</v>
      </c>
      <c r="J56" s="9">
        <f t="shared" si="5"/>
        <v>300</v>
      </c>
      <c r="K56" s="8">
        <v>0</v>
      </c>
      <c r="L56" s="8">
        <f t="shared" si="6"/>
        <v>300</v>
      </c>
      <c r="M56" s="44">
        <v>250</v>
      </c>
      <c r="N56" s="42">
        <f t="shared" si="7"/>
        <v>550</v>
      </c>
      <c r="O56" s="48">
        <f t="shared" si="8"/>
        <v>175</v>
      </c>
      <c r="P56" s="43">
        <f t="shared" si="9"/>
        <v>375</v>
      </c>
    </row>
    <row r="57" spans="1:17" ht="18.75">
      <c r="A57" s="7">
        <v>1</v>
      </c>
      <c r="B57" s="7" t="s">
        <v>112</v>
      </c>
      <c r="C57" s="7">
        <v>57</v>
      </c>
      <c r="D57" s="6"/>
      <c r="E57" s="29" t="s">
        <v>95</v>
      </c>
      <c r="G57" s="8">
        <v>0</v>
      </c>
      <c r="H57" s="8">
        <v>0</v>
      </c>
      <c r="I57" s="27" t="s">
        <v>23</v>
      </c>
      <c r="J57" s="9">
        <f t="shared" si="5"/>
        <v>0</v>
      </c>
      <c r="K57" s="8">
        <v>0</v>
      </c>
      <c r="L57" s="8">
        <f t="shared" si="6"/>
        <v>0</v>
      </c>
      <c r="M57" s="44">
        <v>410</v>
      </c>
      <c r="N57" s="42">
        <f t="shared" si="7"/>
        <v>410</v>
      </c>
      <c r="O57" s="48">
        <f t="shared" si="8"/>
        <v>0</v>
      </c>
      <c r="P57" s="43">
        <f t="shared" si="9"/>
        <v>410</v>
      </c>
    </row>
    <row r="58" spans="1:17" ht="18.75">
      <c r="A58" s="7">
        <v>1</v>
      </c>
      <c r="B58" s="7" t="s">
        <v>108</v>
      </c>
      <c r="C58" s="7">
        <v>38</v>
      </c>
      <c r="D58" s="6"/>
      <c r="E58" s="29" t="s">
        <v>76</v>
      </c>
      <c r="F58" s="29"/>
      <c r="G58" s="8">
        <v>3</v>
      </c>
      <c r="H58" s="8">
        <v>0</v>
      </c>
      <c r="I58" s="12" t="s">
        <v>35</v>
      </c>
      <c r="J58" s="9">
        <f t="shared" si="5"/>
        <v>300</v>
      </c>
      <c r="K58" s="8">
        <v>0</v>
      </c>
      <c r="L58" s="8">
        <f t="shared" si="6"/>
        <v>300</v>
      </c>
      <c r="M58" s="44">
        <v>75</v>
      </c>
      <c r="N58" s="42">
        <f t="shared" si="7"/>
        <v>375</v>
      </c>
      <c r="O58" s="48">
        <f t="shared" si="8"/>
        <v>175</v>
      </c>
      <c r="P58" s="43">
        <f t="shared" si="9"/>
        <v>200</v>
      </c>
    </row>
    <row r="59" spans="1:17" ht="18.75">
      <c r="A59" s="7">
        <v>1</v>
      </c>
      <c r="B59" s="7" t="s">
        <v>108</v>
      </c>
      <c r="C59" s="7">
        <v>8</v>
      </c>
      <c r="D59" s="6"/>
      <c r="E59" s="29" t="s">
        <v>46</v>
      </c>
      <c r="F59" s="29"/>
      <c r="G59" s="8">
        <v>1</v>
      </c>
      <c r="H59" s="8">
        <v>0</v>
      </c>
      <c r="I59" s="12" t="s">
        <v>35</v>
      </c>
      <c r="J59" s="9">
        <f t="shared" si="5"/>
        <v>100</v>
      </c>
      <c r="K59" s="8">
        <v>0</v>
      </c>
      <c r="L59" s="8">
        <f t="shared" si="6"/>
        <v>100</v>
      </c>
      <c r="M59" s="44">
        <v>225</v>
      </c>
      <c r="N59" s="42">
        <f t="shared" si="7"/>
        <v>325</v>
      </c>
      <c r="O59" s="48">
        <f t="shared" si="8"/>
        <v>175</v>
      </c>
      <c r="P59" s="43">
        <f t="shared" si="9"/>
        <v>150</v>
      </c>
      <c r="Q59" s="40"/>
    </row>
    <row r="60" spans="1:17" ht="18.75">
      <c r="A60" s="7">
        <v>1</v>
      </c>
      <c r="B60" s="7" t="s">
        <v>122</v>
      </c>
      <c r="C60" s="7">
        <v>61</v>
      </c>
      <c r="D60" s="6"/>
      <c r="E60" s="29" t="s">
        <v>99</v>
      </c>
      <c r="F60" s="29"/>
      <c r="G60" s="8">
        <v>0</v>
      </c>
      <c r="H60" s="8">
        <v>0</v>
      </c>
      <c r="I60" s="27" t="s">
        <v>23</v>
      </c>
      <c r="J60" s="9">
        <f t="shared" si="5"/>
        <v>0</v>
      </c>
      <c r="K60" s="8">
        <v>0</v>
      </c>
      <c r="L60" s="8">
        <f t="shared" si="6"/>
        <v>0</v>
      </c>
      <c r="M60" s="44">
        <v>225</v>
      </c>
      <c r="N60" s="42">
        <f t="shared" si="7"/>
        <v>225</v>
      </c>
      <c r="O60" s="48">
        <f t="shared" si="8"/>
        <v>0</v>
      </c>
      <c r="P60" s="43">
        <f t="shared" si="9"/>
        <v>225</v>
      </c>
    </row>
    <row r="61" spans="1:17" ht="18.75">
      <c r="A61" s="7">
        <v>1</v>
      </c>
      <c r="B61" s="7" t="s">
        <v>122</v>
      </c>
      <c r="C61" s="7">
        <v>34</v>
      </c>
      <c r="D61" s="6"/>
      <c r="E61" s="29" t="s">
        <v>72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219</v>
      </c>
      <c r="N61" s="42">
        <f t="shared" si="7"/>
        <v>219</v>
      </c>
      <c r="O61" s="48">
        <f t="shared" si="8"/>
        <v>0</v>
      </c>
      <c r="P61" s="43">
        <f t="shared" si="9"/>
        <v>219</v>
      </c>
    </row>
    <row r="62" spans="1:17" ht="18.75">
      <c r="A62" s="7">
        <v>1</v>
      </c>
      <c r="B62" s="7" t="s">
        <v>118</v>
      </c>
      <c r="C62" s="7">
        <v>51</v>
      </c>
      <c r="D62" s="6"/>
      <c r="E62" s="29" t="s">
        <v>89</v>
      </c>
      <c r="F62" s="29"/>
      <c r="G62" s="8">
        <v>2</v>
      </c>
      <c r="H62" s="8">
        <v>0</v>
      </c>
      <c r="I62" s="12" t="s">
        <v>35</v>
      </c>
      <c r="J62" s="9">
        <f t="shared" si="5"/>
        <v>200</v>
      </c>
      <c r="K62" s="8">
        <v>0</v>
      </c>
      <c r="L62" s="8">
        <f t="shared" si="6"/>
        <v>200</v>
      </c>
      <c r="M62" s="44">
        <v>0</v>
      </c>
      <c r="N62" s="42">
        <f t="shared" si="7"/>
        <v>200</v>
      </c>
      <c r="O62" s="48">
        <f t="shared" si="8"/>
        <v>175</v>
      </c>
      <c r="P62" s="43">
        <f t="shared" si="9"/>
        <v>25</v>
      </c>
    </row>
    <row r="63" spans="1:17" ht="18.75">
      <c r="A63" s="7">
        <v>1</v>
      </c>
      <c r="B63" s="7" t="s">
        <v>110</v>
      </c>
      <c r="C63" s="7">
        <v>31</v>
      </c>
      <c r="D63" s="6"/>
      <c r="E63" s="29" t="s">
        <v>69</v>
      </c>
      <c r="F63" s="32"/>
      <c r="G63" s="8">
        <v>1</v>
      </c>
      <c r="H63" s="8">
        <v>0</v>
      </c>
      <c r="I63" s="12" t="s">
        <v>35</v>
      </c>
      <c r="J63" s="9">
        <f t="shared" si="5"/>
        <v>100</v>
      </c>
      <c r="K63" s="8">
        <v>0</v>
      </c>
      <c r="L63" s="8">
        <f t="shared" si="6"/>
        <v>100</v>
      </c>
      <c r="M63" s="44">
        <v>75</v>
      </c>
      <c r="N63" s="42">
        <f t="shared" si="7"/>
        <v>175</v>
      </c>
      <c r="O63" s="48">
        <f t="shared" si="8"/>
        <v>175</v>
      </c>
      <c r="P63" s="43">
        <f t="shared" si="9"/>
        <v>0</v>
      </c>
    </row>
    <row r="64" spans="1:17" ht="18.75">
      <c r="A64" s="7">
        <v>1</v>
      </c>
      <c r="B64" s="7" t="s">
        <v>122</v>
      </c>
      <c r="C64" s="7">
        <v>7</v>
      </c>
      <c r="D64" s="6"/>
      <c r="E64" s="29" t="s">
        <v>45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138</v>
      </c>
      <c r="N64" s="42">
        <f t="shared" si="7"/>
        <v>138</v>
      </c>
      <c r="O64" s="48">
        <f t="shared" si="8"/>
        <v>0</v>
      </c>
      <c r="P64" s="43">
        <f t="shared" si="9"/>
        <v>138</v>
      </c>
      <c r="Q64" s="40"/>
    </row>
    <row r="65" spans="1:16" ht="18.75">
      <c r="A65" s="7">
        <v>1</v>
      </c>
      <c r="B65" s="7" t="s">
        <v>122</v>
      </c>
      <c r="C65" s="7">
        <v>27</v>
      </c>
      <c r="D65" s="6"/>
      <c r="E65" s="29" t="s">
        <v>65</v>
      </c>
      <c r="F65" s="32"/>
      <c r="G65" s="8">
        <v>1</v>
      </c>
      <c r="H65" s="8">
        <v>0</v>
      </c>
      <c r="I65" s="12" t="s">
        <v>35</v>
      </c>
      <c r="J65" s="9">
        <f t="shared" si="5"/>
        <v>100</v>
      </c>
      <c r="K65" s="8">
        <v>0</v>
      </c>
      <c r="L65" s="8">
        <f t="shared" si="6"/>
        <v>100</v>
      </c>
      <c r="M65" s="44">
        <v>0</v>
      </c>
      <c r="N65" s="42">
        <f t="shared" si="7"/>
        <v>100</v>
      </c>
      <c r="O65" s="48">
        <f t="shared" si="8"/>
        <v>175</v>
      </c>
      <c r="P65" s="43">
        <f t="shared" si="9"/>
        <v>0</v>
      </c>
    </row>
    <row r="66" spans="1:16" ht="18.75">
      <c r="A66" s="7">
        <v>1</v>
      </c>
      <c r="B66" s="7" t="s">
        <v>125</v>
      </c>
      <c r="C66" s="7">
        <v>59</v>
      </c>
      <c r="D66" s="6"/>
      <c r="E66" s="29" t="s">
        <v>97</v>
      </c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25</v>
      </c>
      <c r="N66" s="42">
        <f t="shared" si="7"/>
        <v>25</v>
      </c>
      <c r="O66" s="48">
        <f t="shared" si="8"/>
        <v>0</v>
      </c>
      <c r="P66" s="43">
        <f t="shared" si="9"/>
        <v>25</v>
      </c>
    </row>
    <row r="67" spans="1:16" ht="18.75">
      <c r="A67" s="7">
        <v>1</v>
      </c>
      <c r="B67" s="7" t="s">
        <v>116</v>
      </c>
      <c r="C67" s="7">
        <v>60</v>
      </c>
      <c r="D67" s="6"/>
      <c r="E67" s="29" t="s">
        <v>98</v>
      </c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0</v>
      </c>
      <c r="N67" s="42">
        <f t="shared" si="7"/>
        <v>0</v>
      </c>
      <c r="O67" s="48">
        <f t="shared" si="8"/>
        <v>0</v>
      </c>
      <c r="P67" s="43">
        <f t="shared" si="9"/>
        <v>0</v>
      </c>
    </row>
    <row r="68" spans="1:16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6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30" priority="2" operator="lessThan">
      <formula>1</formula>
    </cfRule>
  </conditionalFormatting>
  <conditionalFormatting sqref="K5:K69">
    <cfRule type="cellIs" dxfId="29" priority="1" operator="lessThan">
      <formula>1</formula>
    </cfRule>
  </conditionalFormatting>
  <hyperlinks>
    <hyperlink ref="E28" r:id="rId1" xr:uid="{A09BF423-5963-4CE1-B118-A2733AA0B837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6F0C-692D-406E-B83C-79B511E7A314}">
  <dimension ref="A1:AA69"/>
  <sheetViews>
    <sheetView zoomScale="85" zoomScaleNormal="85" workbookViewId="0">
      <selection activeCell="N13" sqref="N13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欧皇宝宝2026年3月21日分包贡献明细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122</v>
      </c>
      <c r="C5" s="7">
        <v>1</v>
      </c>
      <c r="D5" s="6"/>
      <c r="E5" s="29" t="s">
        <v>39</v>
      </c>
      <c r="F5" s="29"/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8">
        <v>0</v>
      </c>
      <c r="L5" s="8">
        <f t="shared" ref="L5:L36" si="1">SUM(J5+K5)</f>
        <v>300</v>
      </c>
      <c r="M5" s="44">
        <v>1030</v>
      </c>
      <c r="N5" s="42">
        <f t="shared" ref="N5:N36" si="2">M5+L5</f>
        <v>1330</v>
      </c>
      <c r="O5" s="48">
        <f t="shared" ref="O5:O36" si="3">VLOOKUP(I5,$R$3:$S$10,2,FALSE)</f>
        <v>456</v>
      </c>
      <c r="P5" s="43">
        <f t="shared" ref="P5:P36" si="4">IF(N5-O5&gt;0,N5-O5,0)</f>
        <v>874</v>
      </c>
      <c r="Q5" s="9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124</v>
      </c>
      <c r="C6" s="7">
        <v>2</v>
      </c>
      <c r="D6" s="6"/>
      <c r="E6" s="29" t="s">
        <v>40</v>
      </c>
      <c r="F6" s="29"/>
      <c r="G6" s="8">
        <v>3</v>
      </c>
      <c r="H6" s="8">
        <v>0</v>
      </c>
      <c r="I6" s="12" t="s">
        <v>22</v>
      </c>
      <c r="J6" s="9">
        <f t="shared" si="0"/>
        <v>300</v>
      </c>
      <c r="K6" s="8">
        <v>0</v>
      </c>
      <c r="L6" s="8">
        <f t="shared" si="1"/>
        <v>300</v>
      </c>
      <c r="M6" s="44">
        <v>861</v>
      </c>
      <c r="N6" s="42">
        <f t="shared" si="2"/>
        <v>1161</v>
      </c>
      <c r="O6" s="48">
        <f t="shared" si="3"/>
        <v>300</v>
      </c>
      <c r="P6" s="43">
        <f t="shared" si="4"/>
        <v>861</v>
      </c>
      <c r="Q6" s="9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117</v>
      </c>
      <c r="C7" s="7">
        <v>3</v>
      </c>
      <c r="D7" s="6"/>
      <c r="E7" s="29" t="s">
        <v>41</v>
      </c>
      <c r="F7" s="29"/>
      <c r="G7" s="8">
        <v>3</v>
      </c>
      <c r="H7" s="8">
        <v>0</v>
      </c>
      <c r="I7" s="20" t="s">
        <v>21</v>
      </c>
      <c r="J7" s="9">
        <f t="shared" si="0"/>
        <v>300</v>
      </c>
      <c r="K7" s="8">
        <v>0</v>
      </c>
      <c r="L7" s="8">
        <f t="shared" si="1"/>
        <v>300</v>
      </c>
      <c r="M7" s="44">
        <v>1015</v>
      </c>
      <c r="N7" s="42">
        <f t="shared" si="2"/>
        <v>1315</v>
      </c>
      <c r="O7" s="48">
        <f t="shared" si="3"/>
        <v>372</v>
      </c>
      <c r="P7" s="43">
        <f t="shared" si="4"/>
        <v>943</v>
      </c>
      <c r="Q7" s="9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121</v>
      </c>
      <c r="C8" s="7">
        <v>4</v>
      </c>
      <c r="D8" s="6"/>
      <c r="E8" s="29" t="s">
        <v>42</v>
      </c>
      <c r="F8" s="29"/>
      <c r="G8" s="8">
        <v>2</v>
      </c>
      <c r="H8" s="8">
        <v>0</v>
      </c>
      <c r="I8" s="12" t="s">
        <v>22</v>
      </c>
      <c r="J8" s="9">
        <f t="shared" si="0"/>
        <v>200</v>
      </c>
      <c r="K8" s="8">
        <v>0</v>
      </c>
      <c r="L8" s="8">
        <f t="shared" si="1"/>
        <v>200</v>
      </c>
      <c r="M8" s="44">
        <v>544</v>
      </c>
      <c r="N8" s="42">
        <f t="shared" si="2"/>
        <v>744</v>
      </c>
      <c r="O8" s="48">
        <f t="shared" si="3"/>
        <v>300</v>
      </c>
      <c r="P8" s="43">
        <f t="shared" si="4"/>
        <v>444</v>
      </c>
      <c r="Q8" s="9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122</v>
      </c>
      <c r="C9" s="7">
        <v>5</v>
      </c>
      <c r="D9" s="6"/>
      <c r="E9" s="29" t="s">
        <v>43</v>
      </c>
      <c r="F9" s="29"/>
      <c r="G9" s="8">
        <v>2</v>
      </c>
      <c r="H9" s="8">
        <v>0</v>
      </c>
      <c r="I9" s="12" t="s">
        <v>22</v>
      </c>
      <c r="J9" s="9">
        <f t="shared" si="0"/>
        <v>200</v>
      </c>
      <c r="K9" s="8">
        <v>0</v>
      </c>
      <c r="L9" s="8">
        <f t="shared" si="1"/>
        <v>200</v>
      </c>
      <c r="M9" s="44">
        <v>954</v>
      </c>
      <c r="N9" s="42">
        <f t="shared" si="2"/>
        <v>1154</v>
      </c>
      <c r="O9" s="48">
        <f t="shared" si="3"/>
        <v>300</v>
      </c>
      <c r="P9" s="43">
        <f t="shared" si="4"/>
        <v>854</v>
      </c>
      <c r="Q9" s="2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120</v>
      </c>
      <c r="C10" s="7">
        <v>6</v>
      </c>
      <c r="D10" s="6"/>
      <c r="E10" s="29" t="s">
        <v>44</v>
      </c>
      <c r="F10" s="29"/>
      <c r="G10" s="8">
        <v>3</v>
      </c>
      <c r="H10" s="8">
        <v>0</v>
      </c>
      <c r="I10" s="12" t="s">
        <v>22</v>
      </c>
      <c r="J10" s="9">
        <f t="shared" si="0"/>
        <v>300</v>
      </c>
      <c r="K10" s="8">
        <v>0</v>
      </c>
      <c r="L10" s="8">
        <f t="shared" si="1"/>
        <v>300</v>
      </c>
      <c r="M10" s="44">
        <v>989</v>
      </c>
      <c r="N10" s="42">
        <f t="shared" si="2"/>
        <v>1289</v>
      </c>
      <c r="O10" s="48">
        <f t="shared" si="3"/>
        <v>300</v>
      </c>
      <c r="P10" s="43">
        <f t="shared" si="4"/>
        <v>989</v>
      </c>
      <c r="Q10" s="15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122</v>
      </c>
      <c r="C11" s="7">
        <v>7</v>
      </c>
      <c r="D11" s="6"/>
      <c r="E11" s="29" t="s">
        <v>45</v>
      </c>
      <c r="F11" s="29"/>
      <c r="G11" s="8">
        <v>0</v>
      </c>
      <c r="H11" s="8">
        <v>0</v>
      </c>
      <c r="I11" s="27" t="s">
        <v>23</v>
      </c>
      <c r="J11" s="9">
        <f t="shared" si="0"/>
        <v>0</v>
      </c>
      <c r="K11" s="8">
        <v>0</v>
      </c>
      <c r="L11" s="8">
        <f t="shared" si="1"/>
        <v>0</v>
      </c>
      <c r="M11" s="44">
        <v>138</v>
      </c>
      <c r="N11" s="42">
        <f t="shared" si="2"/>
        <v>138</v>
      </c>
      <c r="O11" s="48">
        <f t="shared" si="3"/>
        <v>0</v>
      </c>
      <c r="P11" s="43">
        <f t="shared" si="4"/>
        <v>138</v>
      </c>
      <c r="Q11" s="22"/>
      <c r="R11" s="24"/>
    </row>
    <row r="12" spans="1:26" ht="18.75">
      <c r="A12" s="7">
        <v>1</v>
      </c>
      <c r="B12" s="7" t="s">
        <v>108</v>
      </c>
      <c r="C12" s="7">
        <v>8</v>
      </c>
      <c r="D12" s="6"/>
      <c r="E12" s="29" t="s">
        <v>46</v>
      </c>
      <c r="F12" s="29"/>
      <c r="G12" s="8">
        <v>3</v>
      </c>
      <c r="H12" s="8">
        <v>0</v>
      </c>
      <c r="I12" s="12" t="s">
        <v>22</v>
      </c>
      <c r="J12" s="9">
        <f t="shared" si="0"/>
        <v>300</v>
      </c>
      <c r="K12" s="8">
        <v>0</v>
      </c>
      <c r="L12" s="8">
        <f t="shared" si="1"/>
        <v>300</v>
      </c>
      <c r="M12" s="44">
        <v>225</v>
      </c>
      <c r="N12" s="42">
        <f t="shared" si="2"/>
        <v>525</v>
      </c>
      <c r="O12" s="48">
        <f t="shared" si="3"/>
        <v>300</v>
      </c>
      <c r="P12" s="43">
        <f t="shared" si="4"/>
        <v>225</v>
      </c>
      <c r="Q12" s="22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117</v>
      </c>
      <c r="C13" s="7">
        <v>9</v>
      </c>
      <c r="D13" s="6"/>
      <c r="E13" s="29" t="s">
        <v>47</v>
      </c>
      <c r="F13" s="33"/>
      <c r="G13" s="8">
        <v>2</v>
      </c>
      <c r="H13" s="8">
        <v>0</v>
      </c>
      <c r="I13" s="12" t="s">
        <v>22</v>
      </c>
      <c r="J13" s="9">
        <f t="shared" si="0"/>
        <v>200</v>
      </c>
      <c r="K13" s="8">
        <v>0</v>
      </c>
      <c r="L13" s="8">
        <f t="shared" si="1"/>
        <v>200</v>
      </c>
      <c r="M13" s="44">
        <v>1061</v>
      </c>
      <c r="N13" s="42">
        <f t="shared" si="2"/>
        <v>1261</v>
      </c>
      <c r="O13" s="48">
        <f t="shared" si="3"/>
        <v>300</v>
      </c>
      <c r="P13" s="43">
        <f t="shared" si="4"/>
        <v>961</v>
      </c>
      <c r="Q13" s="21"/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/>
      <c r="C14" s="7">
        <v>10</v>
      </c>
      <c r="D14" s="6"/>
      <c r="E14" s="29" t="s">
        <v>48</v>
      </c>
      <c r="F14" s="31"/>
      <c r="G14" s="8">
        <v>3</v>
      </c>
      <c r="H14" s="8">
        <v>0</v>
      </c>
      <c r="I14" s="20" t="s">
        <v>21</v>
      </c>
      <c r="J14" s="9">
        <f t="shared" si="0"/>
        <v>300</v>
      </c>
      <c r="K14" s="8">
        <v>0</v>
      </c>
      <c r="L14" s="8">
        <f t="shared" si="1"/>
        <v>300</v>
      </c>
      <c r="M14" s="44">
        <v>1017</v>
      </c>
      <c r="N14" s="42">
        <f t="shared" si="2"/>
        <v>1317</v>
      </c>
      <c r="O14" s="48">
        <f t="shared" si="3"/>
        <v>372</v>
      </c>
      <c r="P14" s="43">
        <f t="shared" si="4"/>
        <v>945</v>
      </c>
      <c r="Q14" s="21"/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109</v>
      </c>
      <c r="C15" s="7">
        <v>11</v>
      </c>
      <c r="D15" s="6"/>
      <c r="E15" s="29" t="s">
        <v>49</v>
      </c>
      <c r="F15" s="29"/>
      <c r="G15" s="8">
        <v>3</v>
      </c>
      <c r="H15" s="8">
        <v>0</v>
      </c>
      <c r="I15" s="20" t="s">
        <v>21</v>
      </c>
      <c r="J15" s="9">
        <f t="shared" si="0"/>
        <v>300</v>
      </c>
      <c r="K15" s="8">
        <v>0</v>
      </c>
      <c r="L15" s="8">
        <f t="shared" si="1"/>
        <v>300</v>
      </c>
      <c r="M15" s="44">
        <v>1015</v>
      </c>
      <c r="N15" s="42">
        <f t="shared" si="2"/>
        <v>1315</v>
      </c>
      <c r="O15" s="48">
        <f t="shared" si="3"/>
        <v>372</v>
      </c>
      <c r="P15" s="43">
        <f t="shared" si="4"/>
        <v>943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123</v>
      </c>
      <c r="C16" s="7">
        <v>12</v>
      </c>
      <c r="D16" s="6"/>
      <c r="E16" s="29" t="s">
        <v>50</v>
      </c>
      <c r="F16" s="29"/>
      <c r="G16" s="8">
        <v>3</v>
      </c>
      <c r="H16" s="8">
        <v>0</v>
      </c>
      <c r="I16" s="12" t="s">
        <v>22</v>
      </c>
      <c r="J16" s="9">
        <f t="shared" si="0"/>
        <v>300</v>
      </c>
      <c r="K16" s="8">
        <v>0</v>
      </c>
      <c r="L16" s="8">
        <f t="shared" si="1"/>
        <v>300</v>
      </c>
      <c r="M16" s="44">
        <v>975</v>
      </c>
      <c r="N16" s="42">
        <f t="shared" si="2"/>
        <v>1275</v>
      </c>
      <c r="O16" s="48">
        <f t="shared" si="3"/>
        <v>300</v>
      </c>
      <c r="P16" s="43">
        <f t="shared" si="4"/>
        <v>975</v>
      </c>
      <c r="R16" t="s">
        <v>27</v>
      </c>
      <c r="S16">
        <v>3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120</v>
      </c>
      <c r="C17" s="7">
        <v>13</v>
      </c>
      <c r="D17" s="6"/>
      <c r="E17" s="29" t="s">
        <v>51</v>
      </c>
      <c r="F17" s="29"/>
      <c r="G17" s="8">
        <v>3</v>
      </c>
      <c r="H17" s="8">
        <v>0</v>
      </c>
      <c r="I17" s="12" t="s">
        <v>22</v>
      </c>
      <c r="J17" s="9">
        <f t="shared" si="0"/>
        <v>300</v>
      </c>
      <c r="K17" s="8">
        <v>0</v>
      </c>
      <c r="L17" s="8">
        <f t="shared" si="1"/>
        <v>300</v>
      </c>
      <c r="M17" s="44">
        <v>858</v>
      </c>
      <c r="N17" s="42">
        <f t="shared" si="2"/>
        <v>1158</v>
      </c>
      <c r="O17" s="48">
        <f t="shared" si="3"/>
        <v>300</v>
      </c>
      <c r="P17" s="43">
        <f t="shared" si="4"/>
        <v>858</v>
      </c>
      <c r="R17" t="s">
        <v>28</v>
      </c>
      <c r="S17">
        <v>21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112</v>
      </c>
      <c r="C18" s="7">
        <v>14</v>
      </c>
      <c r="D18" s="6"/>
      <c r="E18" s="29" t="s">
        <v>52</v>
      </c>
      <c r="F18" s="29"/>
      <c r="G18" s="8">
        <v>3</v>
      </c>
      <c r="H18" s="8">
        <v>0</v>
      </c>
      <c r="I18" s="19" t="s">
        <v>15</v>
      </c>
      <c r="J18" s="9">
        <f t="shared" si="0"/>
        <v>300</v>
      </c>
      <c r="K18" s="8">
        <v>0</v>
      </c>
      <c r="L18" s="8">
        <f t="shared" si="1"/>
        <v>300</v>
      </c>
      <c r="M18" s="44">
        <v>1033</v>
      </c>
      <c r="N18" s="42">
        <f t="shared" si="2"/>
        <v>1333</v>
      </c>
      <c r="O18" s="48">
        <f t="shared" si="3"/>
        <v>456</v>
      </c>
      <c r="P18" s="43">
        <f t="shared" si="4"/>
        <v>877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112</v>
      </c>
      <c r="C19" s="7">
        <v>15</v>
      </c>
      <c r="D19" s="6"/>
      <c r="E19" s="29" t="s">
        <v>53</v>
      </c>
      <c r="F19" s="29"/>
      <c r="G19" s="8">
        <v>3</v>
      </c>
      <c r="H19" s="8">
        <v>0</v>
      </c>
      <c r="I19" s="12" t="s">
        <v>22</v>
      </c>
      <c r="J19" s="9">
        <f t="shared" si="0"/>
        <v>300</v>
      </c>
      <c r="K19" s="8">
        <v>0</v>
      </c>
      <c r="L19" s="8">
        <f t="shared" si="1"/>
        <v>300</v>
      </c>
      <c r="M19" s="44">
        <v>963</v>
      </c>
      <c r="N19" s="42">
        <f t="shared" si="2"/>
        <v>1263</v>
      </c>
      <c r="O19" s="48">
        <f t="shared" si="3"/>
        <v>300</v>
      </c>
      <c r="P19" s="43">
        <f t="shared" si="4"/>
        <v>963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118</v>
      </c>
      <c r="C20" s="7">
        <v>16</v>
      </c>
      <c r="D20" s="6"/>
      <c r="E20" s="29" t="s">
        <v>54</v>
      </c>
      <c r="F20" s="32"/>
      <c r="G20" s="8">
        <v>2</v>
      </c>
      <c r="H20" s="8">
        <v>0</v>
      </c>
      <c r="I20" s="12" t="s">
        <v>22</v>
      </c>
      <c r="J20" s="9">
        <f t="shared" si="0"/>
        <v>200</v>
      </c>
      <c r="K20" s="8">
        <v>0</v>
      </c>
      <c r="L20" s="8">
        <f t="shared" si="1"/>
        <v>200</v>
      </c>
      <c r="M20" s="44">
        <v>935</v>
      </c>
      <c r="N20" s="42">
        <f t="shared" si="2"/>
        <v>1135</v>
      </c>
      <c r="O20" s="48">
        <f t="shared" si="3"/>
        <v>300</v>
      </c>
      <c r="P20" s="43">
        <f t="shared" si="4"/>
        <v>835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122</v>
      </c>
      <c r="C21" s="7">
        <v>17</v>
      </c>
      <c r="D21" s="6"/>
      <c r="E21" s="29" t="s">
        <v>55</v>
      </c>
      <c r="F21" s="29"/>
      <c r="G21" s="8">
        <v>3</v>
      </c>
      <c r="H21" s="8">
        <v>0</v>
      </c>
      <c r="I21" s="19" t="s">
        <v>15</v>
      </c>
      <c r="J21" s="9">
        <f t="shared" si="0"/>
        <v>300</v>
      </c>
      <c r="K21" s="8">
        <v>0</v>
      </c>
      <c r="L21" s="8">
        <f t="shared" si="1"/>
        <v>300</v>
      </c>
      <c r="M21" s="44">
        <v>1068</v>
      </c>
      <c r="N21" s="42">
        <f t="shared" si="2"/>
        <v>1368</v>
      </c>
      <c r="O21" s="48">
        <f t="shared" si="3"/>
        <v>456</v>
      </c>
      <c r="P21" s="43">
        <f t="shared" si="4"/>
        <v>912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119</v>
      </c>
      <c r="C22" s="7">
        <v>18</v>
      </c>
      <c r="D22" s="6"/>
      <c r="E22" s="29" t="s">
        <v>56</v>
      </c>
      <c r="F22" s="29"/>
      <c r="G22" s="8">
        <v>3</v>
      </c>
      <c r="H22" s="8">
        <v>0</v>
      </c>
      <c r="I22" s="19" t="s">
        <v>15</v>
      </c>
      <c r="J22" s="9">
        <f t="shared" si="0"/>
        <v>300</v>
      </c>
      <c r="K22" s="8">
        <v>0</v>
      </c>
      <c r="L22" s="8">
        <f t="shared" si="1"/>
        <v>300</v>
      </c>
      <c r="M22" s="44">
        <v>1052</v>
      </c>
      <c r="N22" s="42">
        <f t="shared" si="2"/>
        <v>1352</v>
      </c>
      <c r="O22" s="48">
        <f t="shared" si="3"/>
        <v>456</v>
      </c>
      <c r="P22" s="43">
        <f t="shared" si="4"/>
        <v>896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114</v>
      </c>
      <c r="C23" s="7">
        <v>19</v>
      </c>
      <c r="D23" s="6"/>
      <c r="E23" s="29" t="s">
        <v>57</v>
      </c>
      <c r="F23" s="29"/>
      <c r="G23" s="8">
        <v>0</v>
      </c>
      <c r="H23" s="8">
        <v>0</v>
      </c>
      <c r="I23" s="27" t="s">
        <v>23</v>
      </c>
      <c r="J23" s="9">
        <f t="shared" si="0"/>
        <v>0</v>
      </c>
      <c r="K23" s="8">
        <v>0</v>
      </c>
      <c r="L23" s="8">
        <f t="shared" si="1"/>
        <v>0</v>
      </c>
      <c r="M23" s="44">
        <v>0</v>
      </c>
      <c r="N23" s="42">
        <f t="shared" si="2"/>
        <v>0</v>
      </c>
      <c r="O23" s="48">
        <f t="shared" si="3"/>
        <v>0</v>
      </c>
      <c r="P23" s="43">
        <f t="shared" si="4"/>
        <v>0</v>
      </c>
      <c r="Q23" s="1"/>
    </row>
    <row r="24" spans="1:27" ht="18.75">
      <c r="A24" s="7">
        <v>1</v>
      </c>
      <c r="B24" s="7" t="s">
        <v>120</v>
      </c>
      <c r="C24" s="7">
        <v>20</v>
      </c>
      <c r="D24" s="6"/>
      <c r="E24" s="29" t="s">
        <v>58</v>
      </c>
      <c r="F24" s="32"/>
      <c r="G24" s="8">
        <v>2</v>
      </c>
      <c r="H24" s="8">
        <v>0</v>
      </c>
      <c r="I24" s="12" t="s">
        <v>22</v>
      </c>
      <c r="J24" s="9">
        <f t="shared" si="0"/>
        <v>200</v>
      </c>
      <c r="K24" s="8">
        <v>0</v>
      </c>
      <c r="L24" s="8">
        <f t="shared" si="1"/>
        <v>200</v>
      </c>
      <c r="M24" s="44">
        <v>1033</v>
      </c>
      <c r="N24" s="42">
        <f t="shared" si="2"/>
        <v>1233</v>
      </c>
      <c r="O24" s="48">
        <f t="shared" si="3"/>
        <v>300</v>
      </c>
      <c r="P24" s="43">
        <f t="shared" si="4"/>
        <v>933</v>
      </c>
      <c r="Q24" s="1"/>
    </row>
    <row r="25" spans="1:27" ht="18.75">
      <c r="A25" s="7">
        <v>1</v>
      </c>
      <c r="B25" s="7" t="s">
        <v>127</v>
      </c>
      <c r="C25" s="7">
        <v>21</v>
      </c>
      <c r="D25" s="6"/>
      <c r="E25" s="29" t="s">
        <v>59</v>
      </c>
      <c r="G25" s="8">
        <v>3</v>
      </c>
      <c r="H25" s="8">
        <v>0</v>
      </c>
      <c r="I25" s="19" t="s">
        <v>15</v>
      </c>
      <c r="J25" s="9">
        <f t="shared" si="0"/>
        <v>300</v>
      </c>
      <c r="K25" s="8">
        <v>0</v>
      </c>
      <c r="L25" s="8">
        <f t="shared" si="1"/>
        <v>300</v>
      </c>
      <c r="M25" s="44">
        <v>1068</v>
      </c>
      <c r="N25" s="42">
        <f t="shared" si="2"/>
        <v>1368</v>
      </c>
      <c r="O25" s="48">
        <f t="shared" si="3"/>
        <v>456</v>
      </c>
      <c r="P25" s="43">
        <f t="shared" si="4"/>
        <v>912</v>
      </c>
      <c r="Q25" s="1"/>
    </row>
    <row r="26" spans="1:27" ht="18.75" customHeight="1">
      <c r="A26" s="7">
        <v>1</v>
      </c>
      <c r="B26" s="7" t="s">
        <v>109</v>
      </c>
      <c r="C26" s="7">
        <v>22</v>
      </c>
      <c r="D26" s="6"/>
      <c r="E26" s="29" t="s">
        <v>60</v>
      </c>
      <c r="F26" s="32"/>
      <c r="G26" s="8">
        <v>3</v>
      </c>
      <c r="H26" s="8">
        <v>0</v>
      </c>
      <c r="I26" s="19" t="s">
        <v>15</v>
      </c>
      <c r="J26" s="9">
        <f t="shared" si="0"/>
        <v>300</v>
      </c>
      <c r="K26" s="8">
        <v>0</v>
      </c>
      <c r="L26" s="8">
        <f t="shared" si="1"/>
        <v>300</v>
      </c>
      <c r="M26" s="44">
        <v>1031</v>
      </c>
      <c r="N26" s="42">
        <f t="shared" si="2"/>
        <v>1331</v>
      </c>
      <c r="O26" s="48">
        <f t="shared" si="3"/>
        <v>456</v>
      </c>
      <c r="P26" s="43">
        <f t="shared" si="4"/>
        <v>875</v>
      </c>
      <c r="Q26" s="1"/>
    </row>
    <row r="27" spans="1:27" ht="18.75">
      <c r="A27" s="7">
        <v>1</v>
      </c>
      <c r="B27" s="7" t="s">
        <v>123</v>
      </c>
      <c r="C27" s="7">
        <v>23</v>
      </c>
      <c r="D27" s="6"/>
      <c r="E27" s="29" t="s">
        <v>61</v>
      </c>
      <c r="F27" s="32"/>
      <c r="G27" s="8">
        <v>2</v>
      </c>
      <c r="H27" s="8">
        <v>0</v>
      </c>
      <c r="I27" s="12" t="s">
        <v>22</v>
      </c>
      <c r="J27" s="9">
        <f t="shared" si="0"/>
        <v>200</v>
      </c>
      <c r="K27" s="8">
        <v>0</v>
      </c>
      <c r="L27" s="8">
        <f t="shared" si="1"/>
        <v>200</v>
      </c>
      <c r="M27" s="44">
        <v>1051</v>
      </c>
      <c r="N27" s="42">
        <f t="shared" si="2"/>
        <v>1251</v>
      </c>
      <c r="O27" s="48">
        <f t="shared" si="3"/>
        <v>300</v>
      </c>
      <c r="P27" s="43">
        <f t="shared" si="4"/>
        <v>951</v>
      </c>
      <c r="Q27" s="1"/>
    </row>
    <row r="28" spans="1:27" ht="18.75">
      <c r="A28" s="7">
        <v>1</v>
      </c>
      <c r="B28" s="7" t="s">
        <v>123</v>
      </c>
      <c r="C28" s="7">
        <v>24</v>
      </c>
      <c r="D28" s="6"/>
      <c r="E28" s="29" t="s">
        <v>62</v>
      </c>
      <c r="F28" s="32"/>
      <c r="G28" s="8">
        <v>3</v>
      </c>
      <c r="H28" s="8">
        <v>0</v>
      </c>
      <c r="I28" s="20" t="s">
        <v>21</v>
      </c>
      <c r="J28" s="9">
        <f t="shared" si="0"/>
        <v>300</v>
      </c>
      <c r="K28" s="8">
        <v>0</v>
      </c>
      <c r="L28" s="8">
        <f t="shared" si="1"/>
        <v>300</v>
      </c>
      <c r="M28" s="44">
        <v>1015</v>
      </c>
      <c r="N28" s="42">
        <f t="shared" si="2"/>
        <v>1315</v>
      </c>
      <c r="O28" s="48">
        <f t="shared" si="3"/>
        <v>372</v>
      </c>
      <c r="P28" s="43">
        <f t="shared" si="4"/>
        <v>943</v>
      </c>
      <c r="Q28" s="1"/>
    </row>
    <row r="29" spans="1:27" s="1" customFormat="1" ht="18.75">
      <c r="A29" s="7">
        <v>1</v>
      </c>
      <c r="B29" s="7" t="s">
        <v>113</v>
      </c>
      <c r="C29" s="7">
        <v>25</v>
      </c>
      <c r="D29" s="6"/>
      <c r="E29" s="29" t="s">
        <v>63</v>
      </c>
      <c r="F29" s="32"/>
      <c r="G29" s="8">
        <v>3</v>
      </c>
      <c r="H29" s="8">
        <v>0</v>
      </c>
      <c r="I29" s="12" t="s">
        <v>22</v>
      </c>
      <c r="J29" s="9">
        <f t="shared" si="0"/>
        <v>300</v>
      </c>
      <c r="K29" s="8">
        <v>0</v>
      </c>
      <c r="L29" s="8">
        <f t="shared" si="1"/>
        <v>300</v>
      </c>
      <c r="M29" s="44">
        <v>875</v>
      </c>
      <c r="N29" s="42">
        <f t="shared" si="2"/>
        <v>1175</v>
      </c>
      <c r="O29" s="48">
        <f t="shared" si="3"/>
        <v>300</v>
      </c>
      <c r="P29" s="43">
        <f t="shared" si="4"/>
        <v>875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115</v>
      </c>
      <c r="C30" s="7">
        <v>26</v>
      </c>
      <c r="D30" s="6"/>
      <c r="E30" s="29" t="s">
        <v>64</v>
      </c>
      <c r="F30" s="32"/>
      <c r="G30" s="8">
        <v>3</v>
      </c>
      <c r="H30" s="8">
        <v>0</v>
      </c>
      <c r="I30" s="12" t="s">
        <v>22</v>
      </c>
      <c r="J30" s="9">
        <f t="shared" si="0"/>
        <v>300</v>
      </c>
      <c r="K30" s="8">
        <v>0</v>
      </c>
      <c r="L30" s="8">
        <f t="shared" si="1"/>
        <v>300</v>
      </c>
      <c r="M30" s="44">
        <v>344</v>
      </c>
      <c r="N30" s="42">
        <f t="shared" si="2"/>
        <v>644</v>
      </c>
      <c r="O30" s="48">
        <f t="shared" si="3"/>
        <v>300</v>
      </c>
      <c r="P30" s="43">
        <f t="shared" si="4"/>
        <v>344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122</v>
      </c>
      <c r="C31" s="7">
        <v>27</v>
      </c>
      <c r="D31" s="6"/>
      <c r="E31" s="29" t="s">
        <v>65</v>
      </c>
      <c r="F31" s="32"/>
      <c r="G31" s="8">
        <v>3</v>
      </c>
      <c r="H31" s="8">
        <v>0</v>
      </c>
      <c r="I31" s="12" t="s">
        <v>22</v>
      </c>
      <c r="J31" s="9">
        <f t="shared" si="0"/>
        <v>300</v>
      </c>
      <c r="K31" s="8">
        <v>0</v>
      </c>
      <c r="L31" s="8">
        <f t="shared" si="1"/>
        <v>300</v>
      </c>
      <c r="M31" s="44">
        <v>0</v>
      </c>
      <c r="N31" s="42">
        <f t="shared" si="2"/>
        <v>300</v>
      </c>
      <c r="O31" s="48">
        <f t="shared" si="3"/>
        <v>300</v>
      </c>
      <c r="P31" s="43">
        <f t="shared" si="4"/>
        <v>0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110</v>
      </c>
      <c r="C32" s="7">
        <v>28</v>
      </c>
      <c r="D32" s="6"/>
      <c r="E32" s="29" t="s">
        <v>66</v>
      </c>
      <c r="F32" s="32"/>
      <c r="G32" s="8">
        <v>3</v>
      </c>
      <c r="H32" s="8">
        <v>0</v>
      </c>
      <c r="I32" s="12" t="s">
        <v>22</v>
      </c>
      <c r="J32" s="9">
        <f t="shared" si="0"/>
        <v>300</v>
      </c>
      <c r="K32" s="8">
        <v>0</v>
      </c>
      <c r="L32" s="8">
        <f t="shared" si="1"/>
        <v>300</v>
      </c>
      <c r="M32" s="44">
        <v>928</v>
      </c>
      <c r="N32" s="42">
        <f t="shared" si="2"/>
        <v>1228</v>
      </c>
      <c r="O32" s="48">
        <f t="shared" si="3"/>
        <v>300</v>
      </c>
      <c r="P32" s="43">
        <f t="shared" si="4"/>
        <v>928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120</v>
      </c>
      <c r="C33" s="7">
        <v>29</v>
      </c>
      <c r="D33" s="6"/>
      <c r="E33" s="29" t="s">
        <v>67</v>
      </c>
      <c r="F33" s="32"/>
      <c r="G33" s="8">
        <v>3</v>
      </c>
      <c r="H33" s="8">
        <v>0</v>
      </c>
      <c r="I33" s="19" t="s">
        <v>15</v>
      </c>
      <c r="J33" s="9">
        <f t="shared" si="0"/>
        <v>300</v>
      </c>
      <c r="K33" s="8">
        <v>0</v>
      </c>
      <c r="L33" s="8">
        <f t="shared" si="1"/>
        <v>300</v>
      </c>
      <c r="M33" s="44">
        <v>1032</v>
      </c>
      <c r="N33" s="42">
        <f t="shared" si="2"/>
        <v>1332</v>
      </c>
      <c r="O33" s="48">
        <f t="shared" si="3"/>
        <v>456</v>
      </c>
      <c r="P33" s="43">
        <f t="shared" si="4"/>
        <v>876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121</v>
      </c>
      <c r="C34" s="7">
        <v>30</v>
      </c>
      <c r="D34" s="6"/>
      <c r="E34" s="29" t="s">
        <v>68</v>
      </c>
      <c r="F34" s="32"/>
      <c r="G34" s="8">
        <v>3</v>
      </c>
      <c r="H34" s="8">
        <v>0</v>
      </c>
      <c r="I34" s="12" t="s">
        <v>22</v>
      </c>
      <c r="J34" s="9">
        <f t="shared" si="0"/>
        <v>300</v>
      </c>
      <c r="K34" s="8">
        <v>0</v>
      </c>
      <c r="L34" s="8">
        <f t="shared" si="1"/>
        <v>300</v>
      </c>
      <c r="M34" s="44">
        <v>691</v>
      </c>
      <c r="N34" s="42">
        <f t="shared" si="2"/>
        <v>991</v>
      </c>
      <c r="O34" s="48">
        <f t="shared" si="3"/>
        <v>300</v>
      </c>
      <c r="P34" s="43">
        <f t="shared" si="4"/>
        <v>691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110</v>
      </c>
      <c r="C35" s="7">
        <v>31</v>
      </c>
      <c r="D35" s="6"/>
      <c r="E35" s="29" t="s">
        <v>69</v>
      </c>
      <c r="F35" s="32"/>
      <c r="G35" s="8">
        <v>2</v>
      </c>
      <c r="H35" s="8">
        <v>0</v>
      </c>
      <c r="I35" s="12" t="s">
        <v>22</v>
      </c>
      <c r="J35" s="9">
        <f t="shared" si="0"/>
        <v>200</v>
      </c>
      <c r="K35" s="8">
        <v>0</v>
      </c>
      <c r="L35" s="8">
        <f t="shared" si="1"/>
        <v>200</v>
      </c>
      <c r="M35" s="44">
        <v>175</v>
      </c>
      <c r="N35" s="42">
        <f t="shared" si="2"/>
        <v>375</v>
      </c>
      <c r="O35" s="48">
        <f t="shared" si="3"/>
        <v>300</v>
      </c>
      <c r="P35" s="43">
        <f t="shared" si="4"/>
        <v>75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113</v>
      </c>
      <c r="C36" s="7">
        <v>32</v>
      </c>
      <c r="D36" s="6"/>
      <c r="E36" s="29" t="s">
        <v>70</v>
      </c>
      <c r="F36" s="32"/>
      <c r="G36" s="8">
        <v>2</v>
      </c>
      <c r="H36" s="8">
        <v>0</v>
      </c>
      <c r="I36" s="12" t="s">
        <v>22</v>
      </c>
      <c r="J36" s="9">
        <f t="shared" si="0"/>
        <v>200</v>
      </c>
      <c r="K36" s="8">
        <v>0</v>
      </c>
      <c r="L36" s="8">
        <f t="shared" si="1"/>
        <v>200</v>
      </c>
      <c r="M36" s="44">
        <v>1033</v>
      </c>
      <c r="N36" s="42">
        <f t="shared" si="2"/>
        <v>1233</v>
      </c>
      <c r="O36" s="48">
        <f t="shared" si="3"/>
        <v>300</v>
      </c>
      <c r="P36" s="43">
        <f t="shared" si="4"/>
        <v>933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114</v>
      </c>
      <c r="C37" s="7">
        <v>33</v>
      </c>
      <c r="D37" s="6"/>
      <c r="E37" s="29" t="s">
        <v>71</v>
      </c>
      <c r="F37" s="29"/>
      <c r="G37" s="8">
        <v>2</v>
      </c>
      <c r="H37" s="8">
        <v>0</v>
      </c>
      <c r="I37" s="12" t="s">
        <v>22</v>
      </c>
      <c r="J37" s="9">
        <f t="shared" ref="J37:J69" si="5">G37*100</f>
        <v>200</v>
      </c>
      <c r="K37" s="8">
        <v>0</v>
      </c>
      <c r="L37" s="8">
        <f t="shared" ref="L37:L68" si="6">SUM(J37+K37)</f>
        <v>200</v>
      </c>
      <c r="M37" s="44">
        <v>428</v>
      </c>
      <c r="N37" s="42">
        <f t="shared" ref="N37:N68" si="7">M37+L37</f>
        <v>628</v>
      </c>
      <c r="O37" s="48">
        <f t="shared" ref="O37:O69" si="8">VLOOKUP(I37,$R$3:$S$10,2,FALSE)</f>
        <v>300</v>
      </c>
      <c r="P37" s="43">
        <f t="shared" ref="P37:P68" si="9">IF(N37-O37&gt;0,N37-O37,0)</f>
        <v>328</v>
      </c>
      <c r="Q37" s="1"/>
    </row>
    <row r="38" spans="1:27" s="1" customFormat="1" ht="18.75">
      <c r="A38" s="7">
        <v>1</v>
      </c>
      <c r="B38" s="7" t="s">
        <v>122</v>
      </c>
      <c r="C38" s="7">
        <v>34</v>
      </c>
      <c r="D38" s="6"/>
      <c r="E38" s="29" t="s">
        <v>72</v>
      </c>
      <c r="F38" s="29"/>
      <c r="G38" s="8">
        <v>0</v>
      </c>
      <c r="H38" s="8">
        <v>0</v>
      </c>
      <c r="I38" s="27" t="s">
        <v>23</v>
      </c>
      <c r="J38" s="9">
        <f t="shared" si="5"/>
        <v>0</v>
      </c>
      <c r="K38" s="8">
        <v>0</v>
      </c>
      <c r="L38" s="8">
        <f t="shared" si="6"/>
        <v>0</v>
      </c>
      <c r="M38" s="44">
        <v>219</v>
      </c>
      <c r="N38" s="42">
        <f t="shared" si="7"/>
        <v>219</v>
      </c>
      <c r="O38" s="48">
        <f t="shared" si="8"/>
        <v>0</v>
      </c>
      <c r="P38" s="43">
        <f t="shared" si="9"/>
        <v>219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109</v>
      </c>
      <c r="C39" s="7">
        <v>35</v>
      </c>
      <c r="D39" s="6"/>
      <c r="E39" s="29" t="s">
        <v>73</v>
      </c>
      <c r="F39" s="29"/>
      <c r="G39" s="8">
        <v>3</v>
      </c>
      <c r="H39" s="8">
        <v>0</v>
      </c>
      <c r="I39" s="12" t="s">
        <v>22</v>
      </c>
      <c r="J39" s="9">
        <f t="shared" si="5"/>
        <v>300</v>
      </c>
      <c r="K39" s="8">
        <v>0</v>
      </c>
      <c r="L39" s="8">
        <f t="shared" si="6"/>
        <v>300</v>
      </c>
      <c r="M39" s="44">
        <v>1005</v>
      </c>
      <c r="N39" s="42">
        <f t="shared" si="7"/>
        <v>1305</v>
      </c>
      <c r="O39" s="48">
        <f t="shared" si="8"/>
        <v>300</v>
      </c>
      <c r="P39" s="43">
        <f t="shared" si="9"/>
        <v>1005</v>
      </c>
      <c r="Q39" s="1"/>
    </row>
    <row r="40" spans="1:27" ht="18.75">
      <c r="A40" s="7">
        <v>1</v>
      </c>
      <c r="B40" s="7" t="s">
        <v>114</v>
      </c>
      <c r="C40" s="7">
        <v>36</v>
      </c>
      <c r="D40" s="6"/>
      <c r="E40" s="29" t="s">
        <v>74</v>
      </c>
      <c r="F40" s="29"/>
      <c r="G40" s="8">
        <v>3</v>
      </c>
      <c r="H40" s="8">
        <v>0</v>
      </c>
      <c r="I40" s="20" t="s">
        <v>21</v>
      </c>
      <c r="J40" s="9">
        <f t="shared" si="5"/>
        <v>300</v>
      </c>
      <c r="K40" s="8">
        <v>0</v>
      </c>
      <c r="L40" s="8">
        <f t="shared" si="6"/>
        <v>300</v>
      </c>
      <c r="M40" s="44">
        <v>1030</v>
      </c>
      <c r="N40" s="42">
        <f t="shared" si="7"/>
        <v>1330</v>
      </c>
      <c r="O40" s="48">
        <f t="shared" si="8"/>
        <v>372</v>
      </c>
      <c r="P40" s="43">
        <f t="shared" si="9"/>
        <v>958</v>
      </c>
      <c r="Q40" s="1"/>
    </row>
    <row r="41" spans="1:27" ht="18.75">
      <c r="A41" s="7">
        <v>1</v>
      </c>
      <c r="B41" s="7" t="s">
        <v>113</v>
      </c>
      <c r="C41" s="7">
        <v>37</v>
      </c>
      <c r="D41" s="6"/>
      <c r="E41" s="29" t="s">
        <v>75</v>
      </c>
      <c r="G41" s="8">
        <v>3</v>
      </c>
      <c r="H41" s="8">
        <v>0</v>
      </c>
      <c r="I41" s="12" t="s">
        <v>22</v>
      </c>
      <c r="J41" s="9">
        <f t="shared" si="5"/>
        <v>300</v>
      </c>
      <c r="K41" s="8">
        <v>0</v>
      </c>
      <c r="L41" s="8">
        <f t="shared" si="6"/>
        <v>300</v>
      </c>
      <c r="M41" s="44">
        <v>1007</v>
      </c>
      <c r="N41" s="42">
        <f t="shared" si="7"/>
        <v>1307</v>
      </c>
      <c r="O41" s="48">
        <f t="shared" si="8"/>
        <v>300</v>
      </c>
      <c r="P41" s="43">
        <f t="shared" si="9"/>
        <v>1007</v>
      </c>
      <c r="Q41" s="1"/>
    </row>
    <row r="42" spans="1:27" ht="18.75">
      <c r="A42" s="7">
        <v>1</v>
      </c>
      <c r="B42" s="7" t="s">
        <v>108</v>
      </c>
      <c r="C42" s="7">
        <v>38</v>
      </c>
      <c r="D42" s="6"/>
      <c r="E42" s="29" t="s">
        <v>76</v>
      </c>
      <c r="F42" s="29"/>
      <c r="G42" s="8">
        <v>1</v>
      </c>
      <c r="H42" s="8">
        <v>0</v>
      </c>
      <c r="I42" s="12" t="s">
        <v>22</v>
      </c>
      <c r="J42" s="9">
        <f t="shared" si="5"/>
        <v>100</v>
      </c>
      <c r="K42" s="8">
        <v>0</v>
      </c>
      <c r="L42" s="8">
        <f t="shared" si="6"/>
        <v>100</v>
      </c>
      <c r="M42" s="44">
        <v>275</v>
      </c>
      <c r="N42" s="42">
        <f t="shared" si="7"/>
        <v>375</v>
      </c>
      <c r="O42" s="48">
        <f t="shared" si="8"/>
        <v>300</v>
      </c>
      <c r="P42" s="43">
        <f t="shared" si="9"/>
        <v>75</v>
      </c>
      <c r="Q42" s="1"/>
    </row>
    <row r="43" spans="1:27" ht="18.75">
      <c r="A43" s="7">
        <v>1</v>
      </c>
      <c r="B43" s="7" t="s">
        <v>109</v>
      </c>
      <c r="C43" s="7">
        <v>39</v>
      </c>
      <c r="D43" s="6"/>
      <c r="E43" s="29" t="s">
        <v>77</v>
      </c>
      <c r="F43" s="29"/>
      <c r="G43" s="8">
        <v>2</v>
      </c>
      <c r="H43" s="8">
        <v>0</v>
      </c>
      <c r="I43" s="12" t="s">
        <v>22</v>
      </c>
      <c r="J43" s="9">
        <f t="shared" si="5"/>
        <v>200</v>
      </c>
      <c r="K43" s="8">
        <v>0</v>
      </c>
      <c r="L43" s="8">
        <f t="shared" si="6"/>
        <v>200</v>
      </c>
      <c r="M43" s="44">
        <v>625</v>
      </c>
      <c r="N43" s="42">
        <f t="shared" si="7"/>
        <v>825</v>
      </c>
      <c r="O43" s="48">
        <f t="shared" si="8"/>
        <v>300</v>
      </c>
      <c r="P43" s="43">
        <f t="shared" si="9"/>
        <v>525</v>
      </c>
      <c r="Q43" s="1"/>
    </row>
    <row r="44" spans="1:27" ht="18.75">
      <c r="A44" s="7">
        <v>1</v>
      </c>
      <c r="B44" s="7" t="s">
        <v>111</v>
      </c>
      <c r="C44" s="7">
        <v>40</v>
      </c>
      <c r="D44" s="6"/>
      <c r="E44" s="30" t="s">
        <v>78</v>
      </c>
      <c r="G44" s="8">
        <v>3</v>
      </c>
      <c r="H44" s="8">
        <v>0</v>
      </c>
      <c r="I44" s="20" t="s">
        <v>21</v>
      </c>
      <c r="J44" s="9">
        <f t="shared" si="5"/>
        <v>300</v>
      </c>
      <c r="K44" s="8">
        <v>0</v>
      </c>
      <c r="L44" s="8">
        <f t="shared" si="6"/>
        <v>300</v>
      </c>
      <c r="M44" s="44">
        <v>1026</v>
      </c>
      <c r="N44" s="42">
        <f t="shared" si="7"/>
        <v>1326</v>
      </c>
      <c r="O44" s="48">
        <f t="shared" si="8"/>
        <v>372</v>
      </c>
      <c r="P44" s="43">
        <f t="shared" si="9"/>
        <v>954</v>
      </c>
      <c r="Q44" s="1"/>
    </row>
    <row r="45" spans="1:27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32"/>
      <c r="G45" s="8">
        <v>1</v>
      </c>
      <c r="H45" s="8">
        <v>0</v>
      </c>
      <c r="I45" s="12" t="s">
        <v>22</v>
      </c>
      <c r="J45" s="9">
        <f t="shared" si="5"/>
        <v>100</v>
      </c>
      <c r="K45" s="8">
        <v>0</v>
      </c>
      <c r="L45" s="8">
        <f t="shared" si="6"/>
        <v>100</v>
      </c>
      <c r="M45" s="44">
        <v>1026</v>
      </c>
      <c r="N45" s="42">
        <f t="shared" si="7"/>
        <v>1126</v>
      </c>
      <c r="O45" s="48">
        <f t="shared" si="8"/>
        <v>300</v>
      </c>
      <c r="P45" s="43">
        <f t="shared" si="9"/>
        <v>826</v>
      </c>
      <c r="Q45" s="1"/>
    </row>
    <row r="46" spans="1:27" ht="18.75">
      <c r="A46" s="7">
        <v>1</v>
      </c>
      <c r="B46" s="7" t="s">
        <v>110</v>
      </c>
      <c r="C46" s="7">
        <v>42</v>
      </c>
      <c r="D46" s="6"/>
      <c r="E46" s="29" t="s">
        <v>80</v>
      </c>
      <c r="F46" s="32"/>
      <c r="G46" s="8">
        <v>3</v>
      </c>
      <c r="H46" s="8">
        <v>0</v>
      </c>
      <c r="I46" s="12" t="s">
        <v>22</v>
      </c>
      <c r="J46" s="9">
        <f t="shared" si="5"/>
        <v>300</v>
      </c>
      <c r="K46" s="8">
        <v>0</v>
      </c>
      <c r="L46" s="8">
        <f t="shared" si="6"/>
        <v>300</v>
      </c>
      <c r="M46" s="44">
        <v>1007</v>
      </c>
      <c r="N46" s="42">
        <f t="shared" si="7"/>
        <v>1307</v>
      </c>
      <c r="O46" s="48">
        <f t="shared" si="8"/>
        <v>300</v>
      </c>
      <c r="P46" s="43">
        <f t="shared" si="9"/>
        <v>1007</v>
      </c>
      <c r="Q46" s="1"/>
    </row>
    <row r="47" spans="1:27" ht="18.75">
      <c r="A47" s="7">
        <v>1</v>
      </c>
      <c r="B47" s="7" t="s">
        <v>122</v>
      </c>
      <c r="C47" s="7">
        <v>43</v>
      </c>
      <c r="D47" s="6"/>
      <c r="E47" s="29" t="s">
        <v>81</v>
      </c>
      <c r="F47" s="31"/>
      <c r="G47" s="8">
        <v>3</v>
      </c>
      <c r="H47" s="8">
        <v>0</v>
      </c>
      <c r="I47" s="19" t="s">
        <v>15</v>
      </c>
      <c r="J47" s="9">
        <f t="shared" si="5"/>
        <v>300</v>
      </c>
      <c r="K47" s="8">
        <v>0</v>
      </c>
      <c r="L47" s="8">
        <f t="shared" si="6"/>
        <v>300</v>
      </c>
      <c r="M47" s="44">
        <v>1033</v>
      </c>
      <c r="N47" s="42">
        <f t="shared" si="7"/>
        <v>1333</v>
      </c>
      <c r="O47" s="48">
        <f t="shared" si="8"/>
        <v>456</v>
      </c>
      <c r="P47" s="43">
        <f t="shared" si="9"/>
        <v>877</v>
      </c>
      <c r="Q47" s="1"/>
    </row>
    <row r="48" spans="1:27" ht="18.75">
      <c r="A48" s="7">
        <v>1</v>
      </c>
      <c r="B48" s="7" t="s">
        <v>108</v>
      </c>
      <c r="C48" s="7">
        <v>44</v>
      </c>
      <c r="D48" s="6"/>
      <c r="E48" s="29" t="s">
        <v>82</v>
      </c>
      <c r="F48" s="29"/>
      <c r="G48" s="8">
        <v>3</v>
      </c>
      <c r="H48" s="8">
        <v>0</v>
      </c>
      <c r="I48" s="12" t="s">
        <v>22</v>
      </c>
      <c r="J48" s="9">
        <f t="shared" si="5"/>
        <v>300</v>
      </c>
      <c r="K48" s="8">
        <v>0</v>
      </c>
      <c r="L48" s="8">
        <f t="shared" si="6"/>
        <v>300</v>
      </c>
      <c r="M48" s="44">
        <v>279</v>
      </c>
      <c r="N48" s="42">
        <f t="shared" si="7"/>
        <v>579</v>
      </c>
      <c r="O48" s="48">
        <f t="shared" si="8"/>
        <v>300</v>
      </c>
      <c r="P48" s="43">
        <f t="shared" si="9"/>
        <v>279</v>
      </c>
    </row>
    <row r="49" spans="1:16" ht="18.75">
      <c r="A49" s="7">
        <v>1</v>
      </c>
      <c r="B49" s="7" t="s">
        <v>120</v>
      </c>
      <c r="C49" s="7">
        <v>45</v>
      </c>
      <c r="D49" s="6"/>
      <c r="E49" s="29" t="s">
        <v>83</v>
      </c>
      <c r="F49" s="29"/>
      <c r="G49" s="8">
        <v>3</v>
      </c>
      <c r="H49" s="8">
        <v>0</v>
      </c>
      <c r="I49" s="20" t="s">
        <v>21</v>
      </c>
      <c r="J49" s="9">
        <f t="shared" si="5"/>
        <v>300</v>
      </c>
      <c r="K49" s="8">
        <v>0</v>
      </c>
      <c r="L49" s="8">
        <f t="shared" si="6"/>
        <v>300</v>
      </c>
      <c r="M49" s="44">
        <v>1030</v>
      </c>
      <c r="N49" s="42">
        <f t="shared" si="7"/>
        <v>1330</v>
      </c>
      <c r="O49" s="48">
        <f t="shared" si="8"/>
        <v>372</v>
      </c>
      <c r="P49" s="43">
        <f t="shared" si="9"/>
        <v>958</v>
      </c>
    </row>
    <row r="50" spans="1:16" ht="18.75">
      <c r="A50" s="7">
        <v>1</v>
      </c>
      <c r="B50" s="7" t="s">
        <v>108</v>
      </c>
      <c r="C50" s="7">
        <v>46</v>
      </c>
      <c r="D50" s="6"/>
      <c r="E50" s="29" t="s">
        <v>84</v>
      </c>
      <c r="F50" s="29"/>
      <c r="G50" s="8">
        <v>2</v>
      </c>
      <c r="H50" s="8">
        <v>0</v>
      </c>
      <c r="I50" s="12" t="s">
        <v>22</v>
      </c>
      <c r="J50" s="9">
        <f t="shared" si="5"/>
        <v>200</v>
      </c>
      <c r="K50" s="8">
        <v>0</v>
      </c>
      <c r="L50" s="8">
        <f t="shared" si="6"/>
        <v>200</v>
      </c>
      <c r="M50" s="44">
        <v>1015</v>
      </c>
      <c r="N50" s="42">
        <f t="shared" si="7"/>
        <v>1215</v>
      </c>
      <c r="O50" s="48">
        <f t="shared" si="8"/>
        <v>300</v>
      </c>
      <c r="P50" s="43">
        <f t="shared" si="9"/>
        <v>915</v>
      </c>
    </row>
    <row r="51" spans="1:16" ht="18.75">
      <c r="A51" s="7">
        <v>1</v>
      </c>
      <c r="B51" s="7" t="s">
        <v>109</v>
      </c>
      <c r="C51" s="7">
        <v>47</v>
      </c>
      <c r="D51" s="6"/>
      <c r="E51" s="29" t="s">
        <v>85</v>
      </c>
      <c r="F51" s="29"/>
      <c r="G51" s="8">
        <v>3</v>
      </c>
      <c r="H51" s="8">
        <v>0</v>
      </c>
      <c r="I51" s="20" t="s">
        <v>21</v>
      </c>
      <c r="J51" s="9">
        <f t="shared" si="5"/>
        <v>300</v>
      </c>
      <c r="K51" s="8">
        <v>0</v>
      </c>
      <c r="L51" s="8">
        <f t="shared" si="6"/>
        <v>300</v>
      </c>
      <c r="M51" s="44">
        <v>1013</v>
      </c>
      <c r="N51" s="42">
        <f t="shared" si="7"/>
        <v>1313</v>
      </c>
      <c r="O51" s="48">
        <f t="shared" si="8"/>
        <v>372</v>
      </c>
      <c r="P51" s="43">
        <f t="shared" si="9"/>
        <v>941</v>
      </c>
    </row>
    <row r="52" spans="1:16" ht="18.75">
      <c r="A52" s="7">
        <v>1</v>
      </c>
      <c r="B52" s="7" t="s">
        <v>111</v>
      </c>
      <c r="C52" s="7">
        <v>48</v>
      </c>
      <c r="D52" s="6"/>
      <c r="E52" s="29" t="s">
        <v>86</v>
      </c>
      <c r="F52" s="29"/>
      <c r="G52" s="8">
        <v>0</v>
      </c>
      <c r="H52" s="8">
        <v>0</v>
      </c>
      <c r="I52" s="27" t="s">
        <v>23</v>
      </c>
      <c r="J52" s="9">
        <f t="shared" si="5"/>
        <v>0</v>
      </c>
      <c r="K52" s="8">
        <v>0</v>
      </c>
      <c r="L52" s="8">
        <f t="shared" si="6"/>
        <v>0</v>
      </c>
      <c r="M52" s="44">
        <v>0</v>
      </c>
      <c r="N52" s="42">
        <f t="shared" si="7"/>
        <v>0</v>
      </c>
      <c r="O52" s="48">
        <f t="shared" si="8"/>
        <v>0</v>
      </c>
      <c r="P52" s="43">
        <f t="shared" si="9"/>
        <v>0</v>
      </c>
    </row>
    <row r="53" spans="1:16" ht="18.75">
      <c r="A53" s="7">
        <v>1</v>
      </c>
      <c r="B53" s="7" t="s">
        <v>109</v>
      </c>
      <c r="C53" s="7">
        <v>49</v>
      </c>
      <c r="D53" s="6"/>
      <c r="E53" s="29" t="s">
        <v>87</v>
      </c>
      <c r="F53" s="29"/>
      <c r="G53" s="8">
        <v>2</v>
      </c>
      <c r="H53" s="8">
        <v>0</v>
      </c>
      <c r="I53" s="12" t="s">
        <v>22</v>
      </c>
      <c r="J53" s="9">
        <f t="shared" si="5"/>
        <v>200</v>
      </c>
      <c r="K53" s="8">
        <v>0</v>
      </c>
      <c r="L53" s="8">
        <f t="shared" si="6"/>
        <v>200</v>
      </c>
      <c r="M53" s="44">
        <v>1061</v>
      </c>
      <c r="N53" s="42">
        <f t="shared" si="7"/>
        <v>1261</v>
      </c>
      <c r="O53" s="48">
        <f t="shared" si="8"/>
        <v>300</v>
      </c>
      <c r="P53" s="43">
        <f t="shared" si="9"/>
        <v>961</v>
      </c>
    </row>
    <row r="54" spans="1:16" ht="18.75">
      <c r="A54" s="7">
        <v>1</v>
      </c>
      <c r="B54" s="7" t="s">
        <v>118</v>
      </c>
      <c r="C54" s="7">
        <v>50</v>
      </c>
      <c r="D54" s="6"/>
      <c r="E54" s="29" t="s">
        <v>88</v>
      </c>
      <c r="F54" s="29"/>
      <c r="G54" s="8">
        <v>3</v>
      </c>
      <c r="H54" s="8">
        <v>0</v>
      </c>
      <c r="I54" s="20" t="s">
        <v>21</v>
      </c>
      <c r="J54" s="9">
        <f t="shared" si="5"/>
        <v>300</v>
      </c>
      <c r="K54" s="8">
        <v>0</v>
      </c>
      <c r="L54" s="8">
        <f t="shared" si="6"/>
        <v>300</v>
      </c>
      <c r="M54" s="44">
        <v>1028</v>
      </c>
      <c r="N54" s="42">
        <f t="shared" si="7"/>
        <v>1328</v>
      </c>
      <c r="O54" s="48">
        <f t="shared" si="8"/>
        <v>372</v>
      </c>
      <c r="P54" s="43">
        <f t="shared" si="9"/>
        <v>956</v>
      </c>
    </row>
    <row r="55" spans="1:16" ht="18.75">
      <c r="A55" s="7">
        <v>1</v>
      </c>
      <c r="B55" s="7" t="s">
        <v>118</v>
      </c>
      <c r="C55" s="7">
        <v>51</v>
      </c>
      <c r="D55" s="6"/>
      <c r="E55" s="29" t="s">
        <v>89</v>
      </c>
      <c r="F55" s="29"/>
      <c r="G55" s="8">
        <v>0</v>
      </c>
      <c r="H55" s="8">
        <v>0</v>
      </c>
      <c r="I55" s="27" t="s">
        <v>23</v>
      </c>
      <c r="J55" s="9">
        <f t="shared" si="5"/>
        <v>0</v>
      </c>
      <c r="K55" s="8">
        <v>0</v>
      </c>
      <c r="L55" s="8">
        <f t="shared" si="6"/>
        <v>0</v>
      </c>
      <c r="M55" s="44">
        <v>0</v>
      </c>
      <c r="N55" s="42">
        <f t="shared" si="7"/>
        <v>0</v>
      </c>
      <c r="O55" s="48">
        <f t="shared" si="8"/>
        <v>0</v>
      </c>
      <c r="P55" s="43">
        <f t="shared" si="9"/>
        <v>0</v>
      </c>
    </row>
    <row r="56" spans="1:16" ht="18.75">
      <c r="A56" s="7">
        <v>1</v>
      </c>
      <c r="B56" s="7" t="s">
        <v>114</v>
      </c>
      <c r="C56" s="7">
        <v>52</v>
      </c>
      <c r="D56" s="6"/>
      <c r="E56" s="29" t="s">
        <v>90</v>
      </c>
      <c r="G56" s="8">
        <v>2</v>
      </c>
      <c r="H56" s="8">
        <v>0</v>
      </c>
      <c r="I56" s="12" t="s">
        <v>22</v>
      </c>
      <c r="J56" s="9">
        <f t="shared" si="5"/>
        <v>200</v>
      </c>
      <c r="K56" s="8">
        <v>0</v>
      </c>
      <c r="L56" s="8">
        <f t="shared" si="6"/>
        <v>200</v>
      </c>
      <c r="M56" s="44">
        <v>1042</v>
      </c>
      <c r="N56" s="42">
        <f t="shared" si="7"/>
        <v>1242</v>
      </c>
      <c r="O56" s="48">
        <f t="shared" si="8"/>
        <v>300</v>
      </c>
      <c r="P56" s="43">
        <f t="shared" si="9"/>
        <v>942</v>
      </c>
    </row>
    <row r="57" spans="1:16" ht="18.75">
      <c r="A57" s="7">
        <v>1</v>
      </c>
      <c r="B57" s="7" t="s">
        <v>112</v>
      </c>
      <c r="C57" s="7">
        <v>53</v>
      </c>
      <c r="D57" s="6"/>
      <c r="E57" s="29" t="s">
        <v>91</v>
      </c>
      <c r="F57" s="29"/>
      <c r="G57" s="8">
        <v>3</v>
      </c>
      <c r="H57" s="8">
        <v>0</v>
      </c>
      <c r="I57" s="12" t="s">
        <v>22</v>
      </c>
      <c r="J57" s="9">
        <f t="shared" si="5"/>
        <v>300</v>
      </c>
      <c r="K57" s="8">
        <v>0</v>
      </c>
      <c r="L57" s="8">
        <f t="shared" si="6"/>
        <v>300</v>
      </c>
      <c r="M57" s="44">
        <v>935</v>
      </c>
      <c r="N57" s="42">
        <f t="shared" si="7"/>
        <v>1235</v>
      </c>
      <c r="O57" s="48">
        <f t="shared" si="8"/>
        <v>300</v>
      </c>
      <c r="P57" s="43">
        <f t="shared" si="9"/>
        <v>935</v>
      </c>
    </row>
    <row r="58" spans="1:16" ht="18.75">
      <c r="A58" s="7">
        <v>1</v>
      </c>
      <c r="B58" s="7" t="s">
        <v>110</v>
      </c>
      <c r="C58" s="7">
        <v>54</v>
      </c>
      <c r="D58" s="6"/>
      <c r="E58" s="29" t="s">
        <v>92</v>
      </c>
      <c r="G58" s="8">
        <v>3</v>
      </c>
      <c r="H58" s="8">
        <v>0</v>
      </c>
      <c r="I58" s="12" t="s">
        <v>22</v>
      </c>
      <c r="J58" s="9">
        <f t="shared" si="5"/>
        <v>300</v>
      </c>
      <c r="K58" s="8">
        <v>0</v>
      </c>
      <c r="L58" s="8">
        <f t="shared" si="6"/>
        <v>300</v>
      </c>
      <c r="M58" s="44">
        <v>400</v>
      </c>
      <c r="N58" s="42">
        <f t="shared" si="7"/>
        <v>700</v>
      </c>
      <c r="O58" s="48">
        <f t="shared" si="8"/>
        <v>300</v>
      </c>
      <c r="P58" s="43">
        <f t="shared" si="9"/>
        <v>400</v>
      </c>
    </row>
    <row r="59" spans="1:16" ht="18.75">
      <c r="A59" s="7">
        <v>1</v>
      </c>
      <c r="B59" s="7" t="s">
        <v>109</v>
      </c>
      <c r="C59" s="7">
        <v>55</v>
      </c>
      <c r="D59" s="6"/>
      <c r="E59" s="29" t="s">
        <v>106</v>
      </c>
      <c r="G59" s="8">
        <v>3</v>
      </c>
      <c r="H59" s="8">
        <v>0</v>
      </c>
      <c r="I59" s="19" t="s">
        <v>15</v>
      </c>
      <c r="J59" s="9">
        <f t="shared" si="5"/>
        <v>300</v>
      </c>
      <c r="K59" s="8">
        <v>0</v>
      </c>
      <c r="L59" s="8">
        <f t="shared" si="6"/>
        <v>300</v>
      </c>
      <c r="M59" s="44">
        <v>1068</v>
      </c>
      <c r="N59" s="42">
        <f t="shared" si="7"/>
        <v>1368</v>
      </c>
      <c r="O59" s="48">
        <f t="shared" si="8"/>
        <v>456</v>
      </c>
      <c r="P59" s="43">
        <f t="shared" si="9"/>
        <v>912</v>
      </c>
    </row>
    <row r="60" spans="1:16" ht="18.75">
      <c r="A60" s="7">
        <v>1</v>
      </c>
      <c r="B60" s="7" t="s">
        <v>115</v>
      </c>
      <c r="C60" s="7">
        <v>56</v>
      </c>
      <c r="D60" s="6"/>
      <c r="E60" s="29" t="s">
        <v>94</v>
      </c>
      <c r="F60" s="29"/>
      <c r="G60" s="8">
        <v>3</v>
      </c>
      <c r="H60" s="8">
        <v>0</v>
      </c>
      <c r="I60" s="12" t="s">
        <v>22</v>
      </c>
      <c r="J60" s="9">
        <f t="shared" si="5"/>
        <v>300</v>
      </c>
      <c r="K60" s="8">
        <v>0</v>
      </c>
      <c r="L60" s="8">
        <f t="shared" si="6"/>
        <v>300</v>
      </c>
      <c r="M60" s="44">
        <v>898</v>
      </c>
      <c r="N60" s="42">
        <f t="shared" si="7"/>
        <v>1198</v>
      </c>
      <c r="O60" s="48">
        <f t="shared" si="8"/>
        <v>300</v>
      </c>
      <c r="P60" s="43">
        <f t="shared" si="9"/>
        <v>898</v>
      </c>
    </row>
    <row r="61" spans="1:16" ht="18.75">
      <c r="A61" s="7">
        <v>1</v>
      </c>
      <c r="B61" s="7" t="s">
        <v>112</v>
      </c>
      <c r="C61" s="7">
        <v>57</v>
      </c>
      <c r="D61" s="6"/>
      <c r="E61" s="29" t="s">
        <v>95</v>
      </c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410</v>
      </c>
      <c r="N61" s="42">
        <f t="shared" si="7"/>
        <v>410</v>
      </c>
      <c r="O61" s="48">
        <f t="shared" si="8"/>
        <v>0</v>
      </c>
      <c r="P61" s="43">
        <f t="shared" si="9"/>
        <v>410</v>
      </c>
    </row>
    <row r="62" spans="1:16" ht="18.75">
      <c r="A62" s="7">
        <v>1</v>
      </c>
      <c r="B62" s="7" t="s">
        <v>114</v>
      </c>
      <c r="C62" s="7">
        <v>58</v>
      </c>
      <c r="D62" s="6"/>
      <c r="E62" s="29" t="s">
        <v>96</v>
      </c>
      <c r="G62" s="8">
        <v>3</v>
      </c>
      <c r="H62" s="8">
        <v>0</v>
      </c>
      <c r="I62" s="12" t="s">
        <v>22</v>
      </c>
      <c r="J62" s="9">
        <f t="shared" si="5"/>
        <v>300</v>
      </c>
      <c r="K62" s="8">
        <v>0</v>
      </c>
      <c r="L62" s="8">
        <f t="shared" si="6"/>
        <v>300</v>
      </c>
      <c r="M62" s="44">
        <v>991</v>
      </c>
      <c r="N62" s="42">
        <f t="shared" si="7"/>
        <v>1291</v>
      </c>
      <c r="O62" s="48">
        <f t="shared" si="8"/>
        <v>300</v>
      </c>
      <c r="P62" s="43">
        <f t="shared" si="9"/>
        <v>991</v>
      </c>
    </row>
    <row r="63" spans="1:16" ht="18.75">
      <c r="A63" s="7">
        <v>1</v>
      </c>
      <c r="B63" s="7" t="s">
        <v>125</v>
      </c>
      <c r="C63" s="7">
        <v>59</v>
      </c>
      <c r="D63" s="6"/>
      <c r="E63" s="29" t="s">
        <v>97</v>
      </c>
      <c r="G63" s="8">
        <v>0</v>
      </c>
      <c r="H63" s="8">
        <v>0</v>
      </c>
      <c r="I63" s="27" t="s">
        <v>23</v>
      </c>
      <c r="J63" s="9">
        <f t="shared" si="5"/>
        <v>0</v>
      </c>
      <c r="K63" s="8">
        <v>0</v>
      </c>
      <c r="L63" s="8">
        <f t="shared" si="6"/>
        <v>0</v>
      </c>
      <c r="M63" s="44">
        <v>25</v>
      </c>
      <c r="N63" s="42">
        <f t="shared" si="7"/>
        <v>25</v>
      </c>
      <c r="O63" s="48">
        <f t="shared" si="8"/>
        <v>0</v>
      </c>
      <c r="P63" s="43">
        <f t="shared" si="9"/>
        <v>25</v>
      </c>
    </row>
    <row r="64" spans="1:16" ht="18.75">
      <c r="A64" s="7">
        <v>1</v>
      </c>
      <c r="B64" s="7" t="s">
        <v>116</v>
      </c>
      <c r="C64" s="7">
        <v>60</v>
      </c>
      <c r="D64" s="6"/>
      <c r="E64" s="29" t="s">
        <v>98</v>
      </c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0</v>
      </c>
      <c r="N64" s="42">
        <f t="shared" si="7"/>
        <v>0</v>
      </c>
      <c r="O64" s="48">
        <f t="shared" si="8"/>
        <v>0</v>
      </c>
      <c r="P64" s="43">
        <f t="shared" si="9"/>
        <v>0</v>
      </c>
    </row>
    <row r="65" spans="1:16" ht="18.75">
      <c r="A65" s="7">
        <v>1</v>
      </c>
      <c r="B65" s="7" t="s">
        <v>122</v>
      </c>
      <c r="C65" s="7">
        <v>61</v>
      </c>
      <c r="D65" s="6"/>
      <c r="E65" s="29" t="s">
        <v>99</v>
      </c>
      <c r="F65" s="29"/>
      <c r="G65" s="8">
        <v>0</v>
      </c>
      <c r="H65" s="8">
        <v>0</v>
      </c>
      <c r="I65" s="27" t="s">
        <v>23</v>
      </c>
      <c r="J65" s="9">
        <f t="shared" si="5"/>
        <v>0</v>
      </c>
      <c r="K65" s="8">
        <v>0</v>
      </c>
      <c r="L65" s="8">
        <f t="shared" si="6"/>
        <v>0</v>
      </c>
      <c r="M65" s="44">
        <v>225</v>
      </c>
      <c r="N65" s="42">
        <f t="shared" si="7"/>
        <v>225</v>
      </c>
      <c r="O65" s="48">
        <f t="shared" si="8"/>
        <v>0</v>
      </c>
      <c r="P65" s="43">
        <f t="shared" si="9"/>
        <v>225</v>
      </c>
    </row>
    <row r="66" spans="1:16" ht="18.75">
      <c r="A66" s="7">
        <v>1</v>
      </c>
      <c r="B66" s="7" t="s">
        <v>110</v>
      </c>
      <c r="C66" s="7">
        <v>62</v>
      </c>
      <c r="D66" s="6"/>
      <c r="E66" s="29" t="s">
        <v>100</v>
      </c>
      <c r="F66" s="29"/>
      <c r="G66" s="8">
        <v>3</v>
      </c>
      <c r="H66" s="8">
        <v>0</v>
      </c>
      <c r="I66" s="12" t="s">
        <v>22</v>
      </c>
      <c r="J66" s="9">
        <f t="shared" si="5"/>
        <v>300</v>
      </c>
      <c r="K66" s="8">
        <v>0</v>
      </c>
      <c r="L66" s="8">
        <f t="shared" si="6"/>
        <v>300</v>
      </c>
      <c r="M66" s="44">
        <v>987</v>
      </c>
      <c r="N66" s="42">
        <f t="shared" si="7"/>
        <v>1287</v>
      </c>
      <c r="O66" s="48">
        <f t="shared" si="8"/>
        <v>300</v>
      </c>
      <c r="P66" s="43">
        <f t="shared" si="9"/>
        <v>987</v>
      </c>
    </row>
    <row r="67" spans="1:16" ht="18.75">
      <c r="A67" s="7">
        <v>1</v>
      </c>
      <c r="B67" s="7" t="s">
        <v>116</v>
      </c>
      <c r="C67" s="7">
        <v>63</v>
      </c>
      <c r="D67" s="6"/>
      <c r="E67" s="29" t="s">
        <v>101</v>
      </c>
      <c r="G67" s="8">
        <v>2</v>
      </c>
      <c r="H67" s="8">
        <v>0</v>
      </c>
      <c r="I67" s="12" t="s">
        <v>22</v>
      </c>
      <c r="J67" s="9">
        <f t="shared" si="5"/>
        <v>200</v>
      </c>
      <c r="K67" s="8">
        <v>0</v>
      </c>
      <c r="L67" s="8">
        <f t="shared" si="6"/>
        <v>200</v>
      </c>
      <c r="M67" s="44">
        <v>1026</v>
      </c>
      <c r="N67" s="42">
        <f t="shared" si="7"/>
        <v>1226</v>
      </c>
      <c r="O67" s="48">
        <f t="shared" si="8"/>
        <v>300</v>
      </c>
      <c r="P67" s="43">
        <f t="shared" si="9"/>
        <v>926</v>
      </c>
    </row>
    <row r="68" spans="1:16" ht="18.75">
      <c r="A68" s="7">
        <v>1</v>
      </c>
      <c r="B68" s="7" t="s">
        <v>113</v>
      </c>
      <c r="C68" s="7">
        <v>64</v>
      </c>
      <c r="D68" s="6"/>
      <c r="E68" s="29" t="s">
        <v>102</v>
      </c>
      <c r="F68" s="29"/>
      <c r="G68" s="8">
        <v>3</v>
      </c>
      <c r="H68" s="8">
        <v>0</v>
      </c>
      <c r="I68" s="12" t="s">
        <v>22</v>
      </c>
      <c r="J68" s="9">
        <f t="shared" si="5"/>
        <v>300</v>
      </c>
      <c r="K68" s="8">
        <v>0</v>
      </c>
      <c r="L68" s="8">
        <f t="shared" si="6"/>
        <v>300</v>
      </c>
      <c r="M68" s="44">
        <v>544</v>
      </c>
      <c r="N68" s="42">
        <f t="shared" si="7"/>
        <v>844</v>
      </c>
      <c r="O68" s="48">
        <f t="shared" si="8"/>
        <v>300</v>
      </c>
      <c r="P68" s="43">
        <f t="shared" si="9"/>
        <v>544</v>
      </c>
    </row>
    <row r="69" spans="1:16" ht="18.75">
      <c r="A69" s="47">
        <v>1</v>
      </c>
      <c r="B69" s="47" t="s">
        <v>118</v>
      </c>
      <c r="C69" s="7">
        <v>65</v>
      </c>
      <c r="E69" s="29" t="s">
        <v>105</v>
      </c>
      <c r="G69" s="8">
        <v>2</v>
      </c>
      <c r="H69" s="8">
        <v>0</v>
      </c>
      <c r="I69" s="12" t="s">
        <v>22</v>
      </c>
      <c r="J69" s="9">
        <f t="shared" si="5"/>
        <v>200</v>
      </c>
      <c r="K69" s="8">
        <v>0</v>
      </c>
      <c r="L69" s="8">
        <f t="shared" ref="L69" si="10">SUM(J69+K69)</f>
        <v>200</v>
      </c>
      <c r="M69" s="44">
        <v>350</v>
      </c>
      <c r="N69" s="42">
        <f t="shared" ref="N69" si="11">M69+L69</f>
        <v>550</v>
      </c>
      <c r="O69" s="48">
        <f t="shared" si="8"/>
        <v>300</v>
      </c>
      <c r="P69" s="43">
        <f t="shared" ref="P69" si="12">IF(N69-O69&gt;0,N69-O69,0)</f>
        <v>250</v>
      </c>
    </row>
  </sheetData>
  <autoFilter ref="A4:Q69" xr:uid="{D50916F0-4EB1-4E61-AB8D-B58C4FC21503}">
    <sortState xmlns:xlrd2="http://schemas.microsoft.com/office/spreadsheetml/2017/richdata2" ref="A5:Q69">
      <sortCondition ref="C4:C69"/>
    </sortState>
  </autoFilter>
  <mergeCells count="4">
    <mergeCell ref="C1:P1"/>
    <mergeCell ref="C2:P2"/>
    <mergeCell ref="C3:F3"/>
    <mergeCell ref="I3:P3"/>
  </mergeCells>
  <conditionalFormatting sqref="G5:H69">
    <cfRule type="cellIs" dxfId="28" priority="2" operator="lessThan">
      <formula>1</formula>
    </cfRule>
  </conditionalFormatting>
  <conditionalFormatting sqref="K5:K69">
    <cfRule type="cellIs" dxfId="27" priority="1" operator="lessThan">
      <formula>1</formula>
    </cfRule>
  </conditionalFormatting>
  <hyperlinks>
    <hyperlink ref="E21" r:id="rId1" xr:uid="{6B9B5A96-A6C5-444D-9F9F-D24C4418965A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F8F3-E5BE-4CF2-A787-F79B91A9386E}">
  <dimension ref="A1:AA69"/>
  <sheetViews>
    <sheetView topLeftCell="A2" zoomScale="85" zoomScaleNormal="85" workbookViewId="0">
      <selection activeCell="E28" sqref="E28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欧皇宝宝2026年3月14日分包贡献明细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122</v>
      </c>
      <c r="C5" s="7">
        <v>1</v>
      </c>
      <c r="D5" s="6"/>
      <c r="E5" s="29" t="s">
        <v>39</v>
      </c>
      <c r="F5" s="29"/>
      <c r="G5" s="8">
        <v>4</v>
      </c>
      <c r="H5" s="8">
        <v>0</v>
      </c>
      <c r="I5" s="12" t="s">
        <v>35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805</v>
      </c>
      <c r="N5" s="42">
        <f t="shared" ref="N5:N36" si="2">M5+L5</f>
        <v>1205</v>
      </c>
      <c r="O5" s="48">
        <f t="shared" ref="O5:O36" si="3">VLOOKUP(I5,$R$3:$S$10,2,FALSE)</f>
        <v>175</v>
      </c>
      <c r="P5" s="43">
        <f t="shared" ref="P5:P36" si="4">IF(N5-O5&gt;0,N5-O5,0)</f>
        <v>1030</v>
      </c>
      <c r="Q5" s="9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124</v>
      </c>
      <c r="C6" s="7">
        <v>2</v>
      </c>
      <c r="D6" s="6"/>
      <c r="E6" s="29" t="s">
        <v>40</v>
      </c>
      <c r="F6" s="29"/>
      <c r="G6" s="8">
        <v>3</v>
      </c>
      <c r="H6" s="8">
        <v>0</v>
      </c>
      <c r="I6" s="12" t="s">
        <v>35</v>
      </c>
      <c r="J6" s="9">
        <f t="shared" si="0"/>
        <v>300</v>
      </c>
      <c r="K6" s="8">
        <v>0</v>
      </c>
      <c r="L6" s="8">
        <f t="shared" si="1"/>
        <v>300</v>
      </c>
      <c r="M6" s="44">
        <v>736</v>
      </c>
      <c r="N6" s="42">
        <f t="shared" si="2"/>
        <v>1036</v>
      </c>
      <c r="O6" s="48">
        <f t="shared" si="3"/>
        <v>175</v>
      </c>
      <c r="P6" s="43">
        <f t="shared" si="4"/>
        <v>861</v>
      </c>
      <c r="Q6" s="9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117</v>
      </c>
      <c r="C7" s="7">
        <v>3</v>
      </c>
      <c r="D7" s="6"/>
      <c r="E7" s="29" t="s">
        <v>41</v>
      </c>
      <c r="F7" s="29"/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927</v>
      </c>
      <c r="N7" s="42">
        <f t="shared" si="2"/>
        <v>1327</v>
      </c>
      <c r="O7" s="48">
        <f t="shared" si="3"/>
        <v>312</v>
      </c>
      <c r="P7" s="43">
        <f t="shared" si="4"/>
        <v>1015</v>
      </c>
      <c r="Q7" s="9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121</v>
      </c>
      <c r="C8" s="7">
        <v>4</v>
      </c>
      <c r="D8" s="6"/>
      <c r="E8" s="29" t="s">
        <v>42</v>
      </c>
      <c r="F8" s="29"/>
      <c r="G8" s="8">
        <v>1</v>
      </c>
      <c r="H8" s="8">
        <v>0</v>
      </c>
      <c r="I8" s="12" t="s">
        <v>35</v>
      </c>
      <c r="J8" s="9">
        <f t="shared" si="0"/>
        <v>100</v>
      </c>
      <c r="K8" s="8">
        <v>0</v>
      </c>
      <c r="L8" s="8">
        <f t="shared" si="1"/>
        <v>100</v>
      </c>
      <c r="M8" s="44">
        <v>619</v>
      </c>
      <c r="N8" s="42">
        <f t="shared" si="2"/>
        <v>719</v>
      </c>
      <c r="O8" s="48">
        <f t="shared" si="3"/>
        <v>175</v>
      </c>
      <c r="P8" s="43">
        <f t="shared" si="4"/>
        <v>544</v>
      </c>
      <c r="Q8" s="9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122</v>
      </c>
      <c r="C9" s="7">
        <v>5</v>
      </c>
      <c r="D9" s="6"/>
      <c r="E9" s="29" t="s">
        <v>43</v>
      </c>
      <c r="F9" s="29"/>
      <c r="G9" s="8">
        <v>3</v>
      </c>
      <c r="H9" s="8">
        <v>0</v>
      </c>
      <c r="I9" s="12" t="s">
        <v>35</v>
      </c>
      <c r="J9" s="9">
        <f t="shared" si="0"/>
        <v>300</v>
      </c>
      <c r="K9" s="8">
        <v>0</v>
      </c>
      <c r="L9" s="8">
        <f t="shared" si="1"/>
        <v>300</v>
      </c>
      <c r="M9" s="44">
        <v>829</v>
      </c>
      <c r="N9" s="42">
        <f t="shared" si="2"/>
        <v>1129</v>
      </c>
      <c r="O9" s="48">
        <f t="shared" si="3"/>
        <v>175</v>
      </c>
      <c r="P9" s="43">
        <f t="shared" si="4"/>
        <v>954</v>
      </c>
      <c r="Q9" s="2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120</v>
      </c>
      <c r="C10" s="7">
        <v>6</v>
      </c>
      <c r="D10" s="6"/>
      <c r="E10" s="29" t="s">
        <v>44</v>
      </c>
      <c r="F10" s="29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901</v>
      </c>
      <c r="N10" s="42">
        <f t="shared" si="2"/>
        <v>1301</v>
      </c>
      <c r="O10" s="48">
        <f t="shared" si="3"/>
        <v>312</v>
      </c>
      <c r="P10" s="43">
        <f t="shared" si="4"/>
        <v>989</v>
      </c>
      <c r="Q10" s="15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122</v>
      </c>
      <c r="C11" s="7">
        <v>7</v>
      </c>
      <c r="D11" s="6"/>
      <c r="E11" s="29" t="s">
        <v>45</v>
      </c>
      <c r="F11" s="29"/>
      <c r="G11" s="8">
        <v>0</v>
      </c>
      <c r="H11" s="8">
        <v>0</v>
      </c>
      <c r="I11" s="27" t="s">
        <v>23</v>
      </c>
      <c r="J11" s="9">
        <f t="shared" si="0"/>
        <v>0</v>
      </c>
      <c r="K11" s="8">
        <v>0</v>
      </c>
      <c r="L11" s="8">
        <f t="shared" si="1"/>
        <v>0</v>
      </c>
      <c r="M11" s="44">
        <v>138</v>
      </c>
      <c r="N11" s="42">
        <f t="shared" si="2"/>
        <v>138</v>
      </c>
      <c r="O11" s="48">
        <f t="shared" si="3"/>
        <v>0</v>
      </c>
      <c r="P11" s="43">
        <f t="shared" si="4"/>
        <v>138</v>
      </c>
      <c r="Q11" s="22"/>
      <c r="R11" s="24"/>
    </row>
    <row r="12" spans="1:26" ht="18.75">
      <c r="A12" s="7">
        <v>1</v>
      </c>
      <c r="B12" s="7" t="s">
        <v>108</v>
      </c>
      <c r="C12" s="7">
        <v>8</v>
      </c>
      <c r="D12" s="6"/>
      <c r="E12" s="29" t="s">
        <v>46</v>
      </c>
      <c r="F12" s="29"/>
      <c r="G12" s="8">
        <v>4</v>
      </c>
      <c r="H12" s="8">
        <v>0</v>
      </c>
      <c r="I12" s="12" t="s">
        <v>35</v>
      </c>
      <c r="J12" s="9">
        <f t="shared" si="0"/>
        <v>400</v>
      </c>
      <c r="K12" s="8">
        <v>0</v>
      </c>
      <c r="L12" s="8">
        <f t="shared" si="1"/>
        <v>400</v>
      </c>
      <c r="M12" s="44">
        <v>0</v>
      </c>
      <c r="N12" s="42">
        <f t="shared" si="2"/>
        <v>400</v>
      </c>
      <c r="O12" s="48">
        <f t="shared" si="3"/>
        <v>175</v>
      </c>
      <c r="P12" s="43">
        <f t="shared" si="4"/>
        <v>225</v>
      </c>
      <c r="Q12" s="22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117</v>
      </c>
      <c r="C13" s="7">
        <v>9</v>
      </c>
      <c r="D13" s="6"/>
      <c r="E13" s="29" t="s">
        <v>47</v>
      </c>
      <c r="F13" s="33"/>
      <c r="G13" s="8">
        <v>4</v>
      </c>
      <c r="H13" s="8">
        <v>0</v>
      </c>
      <c r="I13" s="12" t="s">
        <v>35</v>
      </c>
      <c r="J13" s="9">
        <f t="shared" si="0"/>
        <v>400</v>
      </c>
      <c r="K13" s="8">
        <v>0</v>
      </c>
      <c r="L13" s="8">
        <f t="shared" si="1"/>
        <v>400</v>
      </c>
      <c r="M13" s="44">
        <v>836</v>
      </c>
      <c r="N13" s="42">
        <f t="shared" si="2"/>
        <v>1236</v>
      </c>
      <c r="O13" s="48">
        <f t="shared" si="3"/>
        <v>175</v>
      </c>
      <c r="P13" s="43">
        <f t="shared" si="4"/>
        <v>1061</v>
      </c>
      <c r="Q13" s="21"/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/>
      <c r="C14" s="7">
        <v>10</v>
      </c>
      <c r="D14" s="6"/>
      <c r="E14" s="29" t="s">
        <v>48</v>
      </c>
      <c r="F14" s="31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857</v>
      </c>
      <c r="N14" s="42">
        <f t="shared" si="2"/>
        <v>1257</v>
      </c>
      <c r="O14" s="48">
        <f t="shared" si="3"/>
        <v>240</v>
      </c>
      <c r="P14" s="43">
        <f t="shared" si="4"/>
        <v>1017</v>
      </c>
      <c r="Q14" s="21"/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109</v>
      </c>
      <c r="C15" s="7">
        <v>11</v>
      </c>
      <c r="D15" s="6"/>
      <c r="E15" s="29" t="s">
        <v>49</v>
      </c>
      <c r="F15" s="29"/>
      <c r="G15" s="8">
        <v>4</v>
      </c>
      <c r="H15" s="8">
        <v>0</v>
      </c>
      <c r="I15" s="10" t="s">
        <v>33</v>
      </c>
      <c r="J15" s="9">
        <f t="shared" si="0"/>
        <v>400</v>
      </c>
      <c r="K15" s="8">
        <v>0</v>
      </c>
      <c r="L15" s="8">
        <f t="shared" si="1"/>
        <v>400</v>
      </c>
      <c r="M15" s="44">
        <v>927</v>
      </c>
      <c r="N15" s="42">
        <f t="shared" si="2"/>
        <v>1327</v>
      </c>
      <c r="O15" s="48">
        <f t="shared" si="3"/>
        <v>312</v>
      </c>
      <c r="P15" s="43">
        <f t="shared" si="4"/>
        <v>1015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123</v>
      </c>
      <c r="C16" s="7">
        <v>12</v>
      </c>
      <c r="D16" s="6"/>
      <c r="E16" s="29" t="s">
        <v>50</v>
      </c>
      <c r="F16" s="29"/>
      <c r="G16" s="8">
        <v>4</v>
      </c>
      <c r="H16" s="8">
        <v>0</v>
      </c>
      <c r="I16" s="10" t="s">
        <v>33</v>
      </c>
      <c r="J16" s="9">
        <f t="shared" si="0"/>
        <v>400</v>
      </c>
      <c r="K16" s="8">
        <v>0</v>
      </c>
      <c r="L16" s="8">
        <f t="shared" si="1"/>
        <v>400</v>
      </c>
      <c r="M16" s="44">
        <v>887</v>
      </c>
      <c r="N16" s="42">
        <f t="shared" si="2"/>
        <v>1287</v>
      </c>
      <c r="O16" s="48">
        <f t="shared" si="3"/>
        <v>312</v>
      </c>
      <c r="P16" s="43">
        <f t="shared" si="4"/>
        <v>975</v>
      </c>
      <c r="R16" t="s">
        <v>27</v>
      </c>
      <c r="S16">
        <v>3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120</v>
      </c>
      <c r="C17" s="7">
        <v>13</v>
      </c>
      <c r="D17" s="6"/>
      <c r="E17" s="29" t="s">
        <v>51</v>
      </c>
      <c r="F17" s="29"/>
      <c r="G17" s="8">
        <v>3</v>
      </c>
      <c r="H17" s="8">
        <v>0</v>
      </c>
      <c r="I17" s="12" t="s">
        <v>35</v>
      </c>
      <c r="J17" s="9">
        <f t="shared" si="0"/>
        <v>300</v>
      </c>
      <c r="K17" s="8">
        <v>0</v>
      </c>
      <c r="L17" s="8">
        <f t="shared" si="1"/>
        <v>300</v>
      </c>
      <c r="M17" s="44">
        <v>733</v>
      </c>
      <c r="N17" s="42">
        <f t="shared" si="2"/>
        <v>1033</v>
      </c>
      <c r="O17" s="48">
        <f t="shared" si="3"/>
        <v>175</v>
      </c>
      <c r="P17" s="43">
        <f t="shared" si="4"/>
        <v>858</v>
      </c>
      <c r="R17" t="s">
        <v>28</v>
      </c>
      <c r="S17">
        <v>14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112</v>
      </c>
      <c r="C18" s="7">
        <v>14</v>
      </c>
      <c r="D18" s="6"/>
      <c r="E18" s="29" t="s">
        <v>52</v>
      </c>
      <c r="F18" s="29"/>
      <c r="G18" s="8">
        <v>4</v>
      </c>
      <c r="H18" s="8">
        <v>0</v>
      </c>
      <c r="I18" s="12" t="s">
        <v>35</v>
      </c>
      <c r="J18" s="9">
        <f t="shared" si="0"/>
        <v>400</v>
      </c>
      <c r="K18" s="8">
        <v>0</v>
      </c>
      <c r="L18" s="8">
        <f t="shared" si="1"/>
        <v>400</v>
      </c>
      <c r="M18" s="44">
        <v>808</v>
      </c>
      <c r="N18" s="42">
        <f t="shared" si="2"/>
        <v>1208</v>
      </c>
      <c r="O18" s="48">
        <f t="shared" si="3"/>
        <v>175</v>
      </c>
      <c r="P18" s="43">
        <f t="shared" si="4"/>
        <v>1033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112</v>
      </c>
      <c r="C19" s="7">
        <v>15</v>
      </c>
      <c r="D19" s="6"/>
      <c r="E19" s="29" t="s">
        <v>53</v>
      </c>
      <c r="F19" s="29"/>
      <c r="G19" s="8">
        <v>4</v>
      </c>
      <c r="H19" s="8">
        <v>0</v>
      </c>
      <c r="I19" s="10" t="s">
        <v>33</v>
      </c>
      <c r="J19" s="9">
        <f t="shared" si="0"/>
        <v>400</v>
      </c>
      <c r="K19" s="8">
        <v>0</v>
      </c>
      <c r="L19" s="8">
        <f t="shared" si="1"/>
        <v>400</v>
      </c>
      <c r="M19" s="44">
        <v>875</v>
      </c>
      <c r="N19" s="42">
        <f t="shared" si="2"/>
        <v>1275</v>
      </c>
      <c r="O19" s="48">
        <f t="shared" si="3"/>
        <v>312</v>
      </c>
      <c r="P19" s="43">
        <f t="shared" si="4"/>
        <v>963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118</v>
      </c>
      <c r="C20" s="7">
        <v>16</v>
      </c>
      <c r="D20" s="6"/>
      <c r="E20" s="29" t="s">
        <v>54</v>
      </c>
      <c r="F20" s="32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710</v>
      </c>
      <c r="N20" s="42">
        <f t="shared" si="2"/>
        <v>1110</v>
      </c>
      <c r="O20" s="48">
        <f t="shared" si="3"/>
        <v>175</v>
      </c>
      <c r="P20" s="43">
        <f t="shared" si="4"/>
        <v>935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122</v>
      </c>
      <c r="C21" s="7">
        <v>17</v>
      </c>
      <c r="D21" s="6"/>
      <c r="E21" s="29" t="s">
        <v>55</v>
      </c>
      <c r="F21" s="29"/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843</v>
      </c>
      <c r="N21" s="42">
        <f t="shared" si="2"/>
        <v>1243</v>
      </c>
      <c r="O21" s="48">
        <f t="shared" si="3"/>
        <v>175</v>
      </c>
      <c r="P21" s="43">
        <f t="shared" si="4"/>
        <v>1068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119</v>
      </c>
      <c r="C22" s="7">
        <v>18</v>
      </c>
      <c r="D22" s="6"/>
      <c r="E22" s="29" t="s">
        <v>56</v>
      </c>
      <c r="F22" s="29"/>
      <c r="G22" s="8">
        <v>3</v>
      </c>
      <c r="H22" s="8">
        <v>0</v>
      </c>
      <c r="I22" s="12" t="s">
        <v>35</v>
      </c>
      <c r="J22" s="9">
        <f t="shared" si="0"/>
        <v>300</v>
      </c>
      <c r="K22" s="8">
        <v>0</v>
      </c>
      <c r="L22" s="8">
        <f t="shared" si="1"/>
        <v>300</v>
      </c>
      <c r="M22" s="44">
        <v>927</v>
      </c>
      <c r="N22" s="42">
        <f t="shared" si="2"/>
        <v>1227</v>
      </c>
      <c r="O22" s="48">
        <f t="shared" si="3"/>
        <v>175</v>
      </c>
      <c r="P22" s="43">
        <f t="shared" si="4"/>
        <v>1052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114</v>
      </c>
      <c r="C23" s="7">
        <v>19</v>
      </c>
      <c r="D23" s="6"/>
      <c r="E23" s="29" t="s">
        <v>57</v>
      </c>
      <c r="F23" s="29"/>
      <c r="G23" s="8">
        <v>0</v>
      </c>
      <c r="H23" s="8">
        <v>0</v>
      </c>
      <c r="I23" s="27" t="s">
        <v>23</v>
      </c>
      <c r="J23" s="9">
        <f t="shared" si="0"/>
        <v>0</v>
      </c>
      <c r="K23" s="8">
        <v>0</v>
      </c>
      <c r="L23" s="8">
        <f t="shared" si="1"/>
        <v>0</v>
      </c>
      <c r="M23" s="44">
        <v>0</v>
      </c>
      <c r="N23" s="42">
        <f t="shared" si="2"/>
        <v>0</v>
      </c>
      <c r="O23" s="48">
        <f t="shared" si="3"/>
        <v>0</v>
      </c>
      <c r="P23" s="43">
        <f t="shared" si="4"/>
        <v>0</v>
      </c>
      <c r="Q23" s="1"/>
    </row>
    <row r="24" spans="1:27" ht="18.75">
      <c r="A24" s="7">
        <v>1</v>
      </c>
      <c r="B24" s="7" t="s">
        <v>120</v>
      </c>
      <c r="C24" s="7">
        <v>20</v>
      </c>
      <c r="D24" s="6"/>
      <c r="E24" s="29" t="s">
        <v>58</v>
      </c>
      <c r="F24" s="32"/>
      <c r="G24" s="8">
        <v>4</v>
      </c>
      <c r="H24" s="8">
        <v>0</v>
      </c>
      <c r="I24" s="11" t="s">
        <v>34</v>
      </c>
      <c r="J24" s="9">
        <f t="shared" si="0"/>
        <v>400</v>
      </c>
      <c r="K24" s="8">
        <v>0</v>
      </c>
      <c r="L24" s="8">
        <f t="shared" si="1"/>
        <v>400</v>
      </c>
      <c r="M24" s="44">
        <v>873</v>
      </c>
      <c r="N24" s="42">
        <f t="shared" si="2"/>
        <v>1273</v>
      </c>
      <c r="O24" s="48">
        <f t="shared" si="3"/>
        <v>240</v>
      </c>
      <c r="P24" s="43">
        <f t="shared" si="4"/>
        <v>1033</v>
      </c>
      <c r="Q24" s="1"/>
    </row>
    <row r="25" spans="1:27" ht="18.75">
      <c r="A25" s="7">
        <v>1</v>
      </c>
      <c r="B25" s="7" t="s">
        <v>127</v>
      </c>
      <c r="C25" s="7">
        <v>21</v>
      </c>
      <c r="D25" s="6"/>
      <c r="E25" s="29" t="s">
        <v>59</v>
      </c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843</v>
      </c>
      <c r="N25" s="42">
        <f t="shared" si="2"/>
        <v>1243</v>
      </c>
      <c r="O25" s="48">
        <f t="shared" si="3"/>
        <v>175</v>
      </c>
      <c r="P25" s="43">
        <f t="shared" si="4"/>
        <v>1068</v>
      </c>
      <c r="Q25" s="1"/>
    </row>
    <row r="26" spans="1:27" ht="18.75" customHeight="1">
      <c r="A26" s="7">
        <v>1</v>
      </c>
      <c r="B26" s="7" t="s">
        <v>109</v>
      </c>
      <c r="C26" s="7">
        <v>22</v>
      </c>
      <c r="D26" s="6"/>
      <c r="E26" s="29" t="s">
        <v>60</v>
      </c>
      <c r="F26" s="32"/>
      <c r="G26" s="8">
        <v>4</v>
      </c>
      <c r="H26" s="8">
        <v>0</v>
      </c>
      <c r="I26" s="11" t="s">
        <v>34</v>
      </c>
      <c r="J26" s="9">
        <f t="shared" si="0"/>
        <v>400</v>
      </c>
      <c r="K26" s="8">
        <v>0</v>
      </c>
      <c r="L26" s="8">
        <f t="shared" si="1"/>
        <v>400</v>
      </c>
      <c r="M26" s="44">
        <v>871</v>
      </c>
      <c r="N26" s="42">
        <f t="shared" si="2"/>
        <v>1271</v>
      </c>
      <c r="O26" s="48">
        <f t="shared" si="3"/>
        <v>240</v>
      </c>
      <c r="P26" s="43">
        <f t="shared" si="4"/>
        <v>1031</v>
      </c>
      <c r="Q26" s="1"/>
    </row>
    <row r="27" spans="1:27" ht="18.75">
      <c r="A27" s="7">
        <v>1</v>
      </c>
      <c r="B27" s="7" t="s">
        <v>123</v>
      </c>
      <c r="C27" s="7">
        <v>23</v>
      </c>
      <c r="D27" s="6"/>
      <c r="E27" s="29" t="s">
        <v>61</v>
      </c>
      <c r="F27" s="32"/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826</v>
      </c>
      <c r="N27" s="42">
        <f t="shared" si="2"/>
        <v>1226</v>
      </c>
      <c r="O27" s="48">
        <f t="shared" si="3"/>
        <v>175</v>
      </c>
      <c r="P27" s="43">
        <f t="shared" si="4"/>
        <v>1051</v>
      </c>
      <c r="Q27" s="1"/>
    </row>
    <row r="28" spans="1:27" ht="18.75">
      <c r="A28" s="7">
        <v>1</v>
      </c>
      <c r="B28" s="7" t="s">
        <v>123</v>
      </c>
      <c r="C28" s="7">
        <v>24</v>
      </c>
      <c r="D28" s="6"/>
      <c r="E28" s="29" t="s">
        <v>62</v>
      </c>
      <c r="F28" s="32"/>
      <c r="G28" s="8">
        <v>4</v>
      </c>
      <c r="H28" s="8">
        <v>0</v>
      </c>
      <c r="I28" s="11" t="s">
        <v>34</v>
      </c>
      <c r="J28" s="9">
        <f t="shared" si="0"/>
        <v>400</v>
      </c>
      <c r="K28" s="8">
        <v>0</v>
      </c>
      <c r="L28" s="8">
        <f t="shared" si="1"/>
        <v>400</v>
      </c>
      <c r="M28" s="44">
        <v>855</v>
      </c>
      <c r="N28" s="42">
        <f t="shared" si="2"/>
        <v>1255</v>
      </c>
      <c r="O28" s="48">
        <f t="shared" si="3"/>
        <v>240</v>
      </c>
      <c r="P28" s="43">
        <f t="shared" si="4"/>
        <v>1015</v>
      </c>
      <c r="Q28" s="1"/>
    </row>
    <row r="29" spans="1:27" s="1" customFormat="1" ht="18.75">
      <c r="A29" s="7">
        <v>1</v>
      </c>
      <c r="B29" s="7" t="s">
        <v>113</v>
      </c>
      <c r="C29" s="7">
        <v>25</v>
      </c>
      <c r="D29" s="6"/>
      <c r="E29" s="29" t="s">
        <v>63</v>
      </c>
      <c r="F29" s="32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650</v>
      </c>
      <c r="N29" s="42">
        <f t="shared" si="2"/>
        <v>1050</v>
      </c>
      <c r="O29" s="48">
        <f t="shared" si="3"/>
        <v>175</v>
      </c>
      <c r="P29" s="43">
        <f t="shared" si="4"/>
        <v>875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115</v>
      </c>
      <c r="C30" s="7">
        <v>26</v>
      </c>
      <c r="D30" s="6"/>
      <c r="E30" s="29" t="s">
        <v>64</v>
      </c>
      <c r="F30" s="32"/>
      <c r="G30" s="8">
        <v>3</v>
      </c>
      <c r="H30" s="8">
        <v>0</v>
      </c>
      <c r="I30" s="12" t="s">
        <v>35</v>
      </c>
      <c r="J30" s="9">
        <f t="shared" si="0"/>
        <v>300</v>
      </c>
      <c r="K30" s="8">
        <v>0</v>
      </c>
      <c r="L30" s="8">
        <f t="shared" si="1"/>
        <v>300</v>
      </c>
      <c r="M30" s="44">
        <v>219</v>
      </c>
      <c r="N30" s="42">
        <f t="shared" si="2"/>
        <v>519</v>
      </c>
      <c r="O30" s="48">
        <f t="shared" si="3"/>
        <v>175</v>
      </c>
      <c r="P30" s="43">
        <f t="shared" si="4"/>
        <v>344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122</v>
      </c>
      <c r="C31" s="7">
        <v>27</v>
      </c>
      <c r="D31" s="6"/>
      <c r="E31" s="29" t="s">
        <v>65</v>
      </c>
      <c r="F31" s="32"/>
      <c r="G31" s="8">
        <v>1</v>
      </c>
      <c r="H31" s="8">
        <v>0</v>
      </c>
      <c r="I31" s="12" t="s">
        <v>35</v>
      </c>
      <c r="J31" s="9">
        <f t="shared" si="0"/>
        <v>100</v>
      </c>
      <c r="K31" s="8">
        <v>0</v>
      </c>
      <c r="L31" s="8">
        <f t="shared" si="1"/>
        <v>100</v>
      </c>
      <c r="M31" s="44">
        <v>0</v>
      </c>
      <c r="N31" s="42">
        <f t="shared" si="2"/>
        <v>100</v>
      </c>
      <c r="O31" s="48">
        <f t="shared" si="3"/>
        <v>175</v>
      </c>
      <c r="P31" s="43">
        <f t="shared" si="4"/>
        <v>0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110</v>
      </c>
      <c r="C32" s="7">
        <v>28</v>
      </c>
      <c r="D32" s="6"/>
      <c r="E32" s="29" t="s">
        <v>66</v>
      </c>
      <c r="F32" s="32"/>
      <c r="G32" s="8">
        <v>4</v>
      </c>
      <c r="H32" s="8">
        <v>0</v>
      </c>
      <c r="I32" s="12" t="s">
        <v>35</v>
      </c>
      <c r="J32" s="9">
        <f t="shared" si="0"/>
        <v>400</v>
      </c>
      <c r="K32" s="8">
        <v>0</v>
      </c>
      <c r="L32" s="8">
        <f t="shared" si="1"/>
        <v>400</v>
      </c>
      <c r="M32" s="44">
        <v>703</v>
      </c>
      <c r="N32" s="42">
        <f t="shared" si="2"/>
        <v>1103</v>
      </c>
      <c r="O32" s="48">
        <f t="shared" si="3"/>
        <v>175</v>
      </c>
      <c r="P32" s="43">
        <f t="shared" si="4"/>
        <v>928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120</v>
      </c>
      <c r="C33" s="7">
        <v>29</v>
      </c>
      <c r="D33" s="6"/>
      <c r="E33" s="29" t="s">
        <v>67</v>
      </c>
      <c r="F33" s="32"/>
      <c r="G33" s="8">
        <v>4</v>
      </c>
      <c r="H33" s="8">
        <v>0</v>
      </c>
      <c r="I33" s="12" t="s">
        <v>35</v>
      </c>
      <c r="J33" s="9">
        <f t="shared" si="0"/>
        <v>400</v>
      </c>
      <c r="K33" s="8">
        <v>0</v>
      </c>
      <c r="L33" s="8">
        <f t="shared" si="1"/>
        <v>400</v>
      </c>
      <c r="M33" s="44">
        <v>807</v>
      </c>
      <c r="N33" s="42">
        <f t="shared" si="2"/>
        <v>1207</v>
      </c>
      <c r="O33" s="48">
        <f t="shared" si="3"/>
        <v>175</v>
      </c>
      <c r="P33" s="43">
        <f t="shared" si="4"/>
        <v>1032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121</v>
      </c>
      <c r="C34" s="7">
        <v>30</v>
      </c>
      <c r="D34" s="6"/>
      <c r="E34" s="29" t="s">
        <v>68</v>
      </c>
      <c r="F34" s="32"/>
      <c r="G34" s="8">
        <v>3</v>
      </c>
      <c r="H34" s="8">
        <v>0</v>
      </c>
      <c r="I34" s="12" t="s">
        <v>35</v>
      </c>
      <c r="J34" s="9">
        <f t="shared" si="0"/>
        <v>300</v>
      </c>
      <c r="K34" s="8">
        <v>0</v>
      </c>
      <c r="L34" s="8">
        <f t="shared" si="1"/>
        <v>300</v>
      </c>
      <c r="M34" s="44">
        <v>566</v>
      </c>
      <c r="N34" s="42">
        <f t="shared" si="2"/>
        <v>866</v>
      </c>
      <c r="O34" s="48">
        <f t="shared" si="3"/>
        <v>175</v>
      </c>
      <c r="P34" s="43">
        <f t="shared" si="4"/>
        <v>691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110</v>
      </c>
      <c r="C35" s="7">
        <v>31</v>
      </c>
      <c r="D35" s="6"/>
      <c r="E35" s="29" t="s">
        <v>69</v>
      </c>
      <c r="F35" s="32"/>
      <c r="G35" s="8">
        <v>2</v>
      </c>
      <c r="H35" s="8">
        <v>0</v>
      </c>
      <c r="I35" s="12" t="s">
        <v>35</v>
      </c>
      <c r="J35" s="9">
        <f t="shared" si="0"/>
        <v>200</v>
      </c>
      <c r="K35" s="8">
        <v>0</v>
      </c>
      <c r="L35" s="8">
        <f t="shared" si="1"/>
        <v>200</v>
      </c>
      <c r="M35" s="44">
        <v>150</v>
      </c>
      <c r="N35" s="42">
        <f t="shared" si="2"/>
        <v>350</v>
      </c>
      <c r="O35" s="48">
        <f t="shared" si="3"/>
        <v>175</v>
      </c>
      <c r="P35" s="43">
        <f t="shared" si="4"/>
        <v>175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113</v>
      </c>
      <c r="C36" s="7">
        <v>32</v>
      </c>
      <c r="D36" s="6"/>
      <c r="E36" s="29" t="s">
        <v>70</v>
      </c>
      <c r="F36" s="32"/>
      <c r="G36" s="8">
        <v>4</v>
      </c>
      <c r="H36" s="8">
        <v>0</v>
      </c>
      <c r="I36" s="12" t="s">
        <v>35</v>
      </c>
      <c r="J36" s="9">
        <f t="shared" si="0"/>
        <v>400</v>
      </c>
      <c r="K36" s="8">
        <v>0</v>
      </c>
      <c r="L36" s="8">
        <f t="shared" si="1"/>
        <v>400</v>
      </c>
      <c r="M36" s="44">
        <v>808</v>
      </c>
      <c r="N36" s="42">
        <f t="shared" si="2"/>
        <v>1208</v>
      </c>
      <c r="O36" s="48">
        <f t="shared" si="3"/>
        <v>175</v>
      </c>
      <c r="P36" s="43">
        <f t="shared" si="4"/>
        <v>1033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114</v>
      </c>
      <c r="C37" s="7">
        <v>33</v>
      </c>
      <c r="D37" s="6"/>
      <c r="E37" s="29" t="s">
        <v>71</v>
      </c>
      <c r="F37" s="29"/>
      <c r="G37" s="8">
        <v>3</v>
      </c>
      <c r="H37" s="8">
        <v>0</v>
      </c>
      <c r="I37" s="12" t="s">
        <v>35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303</v>
      </c>
      <c r="N37" s="42">
        <f t="shared" ref="N37:N68" si="7">M37+L37</f>
        <v>603</v>
      </c>
      <c r="O37" s="48">
        <f t="shared" ref="O37:O69" si="8">VLOOKUP(I37,$R$3:$S$10,2,FALSE)</f>
        <v>175</v>
      </c>
      <c r="P37" s="43">
        <f t="shared" ref="P37:P68" si="9">IF(N37-O37&gt;0,N37-O37,0)</f>
        <v>428</v>
      </c>
      <c r="Q37" s="1"/>
    </row>
    <row r="38" spans="1:27" s="1" customFormat="1" ht="18.75">
      <c r="A38" s="7">
        <v>1</v>
      </c>
      <c r="B38" s="7" t="s">
        <v>122</v>
      </c>
      <c r="C38" s="7">
        <v>34</v>
      </c>
      <c r="D38" s="6"/>
      <c r="E38" s="29" t="s">
        <v>72</v>
      </c>
      <c r="F38" s="29"/>
      <c r="G38" s="8">
        <v>0</v>
      </c>
      <c r="H38" s="8">
        <v>0</v>
      </c>
      <c r="I38" s="27" t="s">
        <v>23</v>
      </c>
      <c r="J38" s="9">
        <f t="shared" si="5"/>
        <v>0</v>
      </c>
      <c r="K38" s="8">
        <v>0</v>
      </c>
      <c r="L38" s="8">
        <f t="shared" si="6"/>
        <v>0</v>
      </c>
      <c r="M38" s="44">
        <v>219</v>
      </c>
      <c r="N38" s="42">
        <f t="shared" si="7"/>
        <v>219</v>
      </c>
      <c r="O38" s="48">
        <f t="shared" si="8"/>
        <v>0</v>
      </c>
      <c r="P38" s="43">
        <f t="shared" si="9"/>
        <v>219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109</v>
      </c>
      <c r="C39" s="7">
        <v>35</v>
      </c>
      <c r="D39" s="6"/>
      <c r="E39" s="29" t="s">
        <v>73</v>
      </c>
      <c r="F39" s="29"/>
      <c r="G39" s="8">
        <v>4</v>
      </c>
      <c r="H39" s="8">
        <v>0</v>
      </c>
      <c r="I39" s="11" t="s">
        <v>34</v>
      </c>
      <c r="J39" s="9">
        <f t="shared" si="5"/>
        <v>400</v>
      </c>
      <c r="K39" s="8">
        <v>0</v>
      </c>
      <c r="L39" s="8">
        <f t="shared" si="6"/>
        <v>400</v>
      </c>
      <c r="M39" s="44">
        <v>845</v>
      </c>
      <c r="N39" s="42">
        <f t="shared" si="7"/>
        <v>1245</v>
      </c>
      <c r="O39" s="48">
        <f t="shared" si="8"/>
        <v>240</v>
      </c>
      <c r="P39" s="43">
        <f t="shared" si="9"/>
        <v>1005</v>
      </c>
      <c r="Q39" s="1"/>
    </row>
    <row r="40" spans="1:27" ht="18.75">
      <c r="A40" s="7">
        <v>1</v>
      </c>
      <c r="B40" s="7" t="s">
        <v>114</v>
      </c>
      <c r="C40" s="7">
        <v>36</v>
      </c>
      <c r="D40" s="6"/>
      <c r="E40" s="29" t="s">
        <v>74</v>
      </c>
      <c r="F40" s="29"/>
      <c r="G40" s="8">
        <v>4</v>
      </c>
      <c r="H40" s="8">
        <v>0</v>
      </c>
      <c r="I40" s="12" t="s">
        <v>35</v>
      </c>
      <c r="J40" s="9">
        <f t="shared" si="5"/>
        <v>400</v>
      </c>
      <c r="K40" s="8">
        <v>0</v>
      </c>
      <c r="L40" s="8">
        <f t="shared" si="6"/>
        <v>400</v>
      </c>
      <c r="M40" s="44">
        <v>805</v>
      </c>
      <c r="N40" s="42">
        <f t="shared" si="7"/>
        <v>1205</v>
      </c>
      <c r="O40" s="48">
        <f t="shared" si="8"/>
        <v>175</v>
      </c>
      <c r="P40" s="43">
        <f t="shared" si="9"/>
        <v>1030</v>
      </c>
      <c r="Q40" s="1"/>
    </row>
    <row r="41" spans="1:27" ht="18.75">
      <c r="A41" s="7">
        <v>1</v>
      </c>
      <c r="B41" s="7" t="s">
        <v>113</v>
      </c>
      <c r="C41" s="7">
        <v>37</v>
      </c>
      <c r="D41" s="6"/>
      <c r="E41" s="29" t="s">
        <v>75</v>
      </c>
      <c r="G41" s="8">
        <v>3</v>
      </c>
      <c r="H41" s="8">
        <v>0</v>
      </c>
      <c r="I41" s="12" t="s">
        <v>35</v>
      </c>
      <c r="J41" s="9">
        <f t="shared" si="5"/>
        <v>300</v>
      </c>
      <c r="K41" s="8">
        <v>0</v>
      </c>
      <c r="L41" s="8">
        <f t="shared" si="6"/>
        <v>300</v>
      </c>
      <c r="M41" s="44">
        <v>882</v>
      </c>
      <c r="N41" s="42">
        <f t="shared" si="7"/>
        <v>1182</v>
      </c>
      <c r="O41" s="48">
        <f t="shared" si="8"/>
        <v>175</v>
      </c>
      <c r="P41" s="43">
        <f t="shared" si="9"/>
        <v>1007</v>
      </c>
      <c r="Q41" s="1"/>
    </row>
    <row r="42" spans="1:27" ht="18.75">
      <c r="A42" s="7">
        <v>1</v>
      </c>
      <c r="B42" s="7" t="s">
        <v>108</v>
      </c>
      <c r="C42" s="7">
        <v>38</v>
      </c>
      <c r="D42" s="6"/>
      <c r="E42" s="29" t="s">
        <v>76</v>
      </c>
      <c r="F42" s="29"/>
      <c r="G42" s="8">
        <v>3</v>
      </c>
      <c r="H42" s="8">
        <v>0</v>
      </c>
      <c r="I42" s="12" t="s">
        <v>35</v>
      </c>
      <c r="J42" s="9">
        <f t="shared" si="5"/>
        <v>300</v>
      </c>
      <c r="K42" s="8">
        <v>0</v>
      </c>
      <c r="L42" s="8">
        <f t="shared" si="6"/>
        <v>300</v>
      </c>
      <c r="M42" s="44">
        <v>150</v>
      </c>
      <c r="N42" s="42">
        <f t="shared" si="7"/>
        <v>450</v>
      </c>
      <c r="O42" s="48">
        <f t="shared" si="8"/>
        <v>175</v>
      </c>
      <c r="P42" s="43">
        <f t="shared" si="9"/>
        <v>275</v>
      </c>
      <c r="Q42" s="1"/>
    </row>
    <row r="43" spans="1:27" ht="18.75">
      <c r="A43" s="7">
        <v>1</v>
      </c>
      <c r="B43" s="7" t="s">
        <v>109</v>
      </c>
      <c r="C43" s="7">
        <v>39</v>
      </c>
      <c r="D43" s="6"/>
      <c r="E43" s="29" t="s">
        <v>77</v>
      </c>
      <c r="F43" s="29"/>
      <c r="G43" s="8">
        <v>3</v>
      </c>
      <c r="H43" s="8">
        <v>0</v>
      </c>
      <c r="I43" s="12" t="s">
        <v>35</v>
      </c>
      <c r="J43" s="9">
        <f t="shared" si="5"/>
        <v>300</v>
      </c>
      <c r="K43" s="8">
        <v>0</v>
      </c>
      <c r="L43" s="8">
        <f t="shared" si="6"/>
        <v>300</v>
      </c>
      <c r="M43" s="44">
        <v>500</v>
      </c>
      <c r="N43" s="42">
        <f t="shared" si="7"/>
        <v>800</v>
      </c>
      <c r="O43" s="48">
        <f t="shared" si="8"/>
        <v>175</v>
      </c>
      <c r="P43" s="43">
        <f t="shared" si="9"/>
        <v>625</v>
      </c>
      <c r="Q43" s="1"/>
    </row>
    <row r="44" spans="1:27" ht="18.75">
      <c r="A44" s="7">
        <v>1</v>
      </c>
      <c r="B44" s="7" t="s">
        <v>111</v>
      </c>
      <c r="C44" s="7">
        <v>40</v>
      </c>
      <c r="D44" s="6"/>
      <c r="E44" s="30" t="s">
        <v>78</v>
      </c>
      <c r="G44" s="8">
        <v>4</v>
      </c>
      <c r="H44" s="8">
        <v>0</v>
      </c>
      <c r="I44" s="11" t="s">
        <v>34</v>
      </c>
      <c r="J44" s="9">
        <f t="shared" si="5"/>
        <v>400</v>
      </c>
      <c r="K44" s="8">
        <v>0</v>
      </c>
      <c r="L44" s="8">
        <f t="shared" si="6"/>
        <v>400</v>
      </c>
      <c r="M44" s="44">
        <v>866</v>
      </c>
      <c r="N44" s="42">
        <f t="shared" si="7"/>
        <v>1266</v>
      </c>
      <c r="O44" s="48">
        <f t="shared" si="8"/>
        <v>240</v>
      </c>
      <c r="P44" s="43">
        <f t="shared" si="9"/>
        <v>1026</v>
      </c>
      <c r="Q44" s="1"/>
    </row>
    <row r="45" spans="1:27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32"/>
      <c r="G45" s="8">
        <v>4</v>
      </c>
      <c r="H45" s="8">
        <v>0</v>
      </c>
      <c r="I45" s="12" t="s">
        <v>35</v>
      </c>
      <c r="J45" s="9">
        <f t="shared" si="5"/>
        <v>400</v>
      </c>
      <c r="K45" s="8">
        <v>0</v>
      </c>
      <c r="L45" s="8">
        <f t="shared" si="6"/>
        <v>400</v>
      </c>
      <c r="M45" s="44">
        <v>801</v>
      </c>
      <c r="N45" s="42">
        <f t="shared" si="7"/>
        <v>1201</v>
      </c>
      <c r="O45" s="48">
        <f t="shared" si="8"/>
        <v>175</v>
      </c>
      <c r="P45" s="43">
        <f t="shared" si="9"/>
        <v>1026</v>
      </c>
      <c r="Q45" s="1"/>
    </row>
    <row r="46" spans="1:27" ht="18.75">
      <c r="A46" s="7">
        <v>1</v>
      </c>
      <c r="B46" s="7" t="s">
        <v>110</v>
      </c>
      <c r="C46" s="7">
        <v>42</v>
      </c>
      <c r="D46" s="6"/>
      <c r="E46" s="29" t="s">
        <v>80</v>
      </c>
      <c r="F46" s="32"/>
      <c r="G46" s="8">
        <v>3</v>
      </c>
      <c r="H46" s="8">
        <v>0</v>
      </c>
      <c r="I46" s="12" t="s">
        <v>35</v>
      </c>
      <c r="J46" s="9">
        <f t="shared" si="5"/>
        <v>300</v>
      </c>
      <c r="K46" s="8">
        <v>0</v>
      </c>
      <c r="L46" s="8">
        <f t="shared" si="6"/>
        <v>300</v>
      </c>
      <c r="M46" s="44">
        <v>882</v>
      </c>
      <c r="N46" s="42">
        <f t="shared" si="7"/>
        <v>1182</v>
      </c>
      <c r="O46" s="48">
        <f t="shared" si="8"/>
        <v>175</v>
      </c>
      <c r="P46" s="43">
        <f t="shared" si="9"/>
        <v>1007</v>
      </c>
      <c r="Q46" s="1"/>
    </row>
    <row r="47" spans="1:27" ht="18.75">
      <c r="A47" s="7">
        <v>1</v>
      </c>
      <c r="B47" s="7" t="s">
        <v>122</v>
      </c>
      <c r="C47" s="7">
        <v>43</v>
      </c>
      <c r="D47" s="6"/>
      <c r="E47" s="29" t="s">
        <v>81</v>
      </c>
      <c r="F47" s="31"/>
      <c r="G47" s="8">
        <v>4</v>
      </c>
      <c r="H47" s="8">
        <v>0</v>
      </c>
      <c r="I47" s="11" t="s">
        <v>34</v>
      </c>
      <c r="J47" s="9">
        <f t="shared" si="5"/>
        <v>400</v>
      </c>
      <c r="K47" s="8">
        <v>0</v>
      </c>
      <c r="L47" s="8">
        <f t="shared" si="6"/>
        <v>400</v>
      </c>
      <c r="M47" s="44">
        <v>873</v>
      </c>
      <c r="N47" s="42">
        <f t="shared" si="7"/>
        <v>1273</v>
      </c>
      <c r="O47" s="48">
        <f t="shared" si="8"/>
        <v>240</v>
      </c>
      <c r="P47" s="43">
        <f t="shared" si="9"/>
        <v>1033</v>
      </c>
      <c r="Q47" s="1"/>
    </row>
    <row r="48" spans="1:27" ht="18.75">
      <c r="A48" s="7">
        <v>1</v>
      </c>
      <c r="B48" s="7" t="s">
        <v>108</v>
      </c>
      <c r="C48" s="7">
        <v>44</v>
      </c>
      <c r="D48" s="6"/>
      <c r="E48" s="29" t="s">
        <v>82</v>
      </c>
      <c r="F48" s="29"/>
      <c r="G48" s="8">
        <v>2</v>
      </c>
      <c r="H48" s="8">
        <v>0</v>
      </c>
      <c r="I48" s="12" t="s">
        <v>35</v>
      </c>
      <c r="J48" s="9">
        <f t="shared" si="5"/>
        <v>200</v>
      </c>
      <c r="K48" s="8">
        <v>0</v>
      </c>
      <c r="L48" s="8">
        <f t="shared" si="6"/>
        <v>200</v>
      </c>
      <c r="M48" s="44">
        <v>254</v>
      </c>
      <c r="N48" s="42">
        <f t="shared" si="7"/>
        <v>454</v>
      </c>
      <c r="O48" s="48">
        <f t="shared" si="8"/>
        <v>175</v>
      </c>
      <c r="P48" s="43">
        <f t="shared" si="9"/>
        <v>279</v>
      </c>
    </row>
    <row r="49" spans="1:16" ht="18.75">
      <c r="A49" s="7">
        <v>1</v>
      </c>
      <c r="B49" s="7" t="s">
        <v>120</v>
      </c>
      <c r="C49" s="7">
        <v>45</v>
      </c>
      <c r="D49" s="6"/>
      <c r="E49" s="29" t="s">
        <v>83</v>
      </c>
      <c r="F49" s="29"/>
      <c r="G49" s="8">
        <v>4</v>
      </c>
      <c r="H49" s="8">
        <v>0</v>
      </c>
      <c r="I49" s="12" t="s">
        <v>35</v>
      </c>
      <c r="J49" s="9">
        <f t="shared" si="5"/>
        <v>400</v>
      </c>
      <c r="K49" s="8">
        <v>0</v>
      </c>
      <c r="L49" s="8">
        <f t="shared" si="6"/>
        <v>400</v>
      </c>
      <c r="M49" s="44">
        <v>805</v>
      </c>
      <c r="N49" s="42">
        <f t="shared" si="7"/>
        <v>1205</v>
      </c>
      <c r="O49" s="48">
        <f t="shared" si="8"/>
        <v>175</v>
      </c>
      <c r="P49" s="43">
        <f t="shared" si="9"/>
        <v>1030</v>
      </c>
    </row>
    <row r="50" spans="1:16" ht="18.75">
      <c r="A50" s="7">
        <v>1</v>
      </c>
      <c r="B50" s="7" t="s">
        <v>108</v>
      </c>
      <c r="C50" s="7">
        <v>46</v>
      </c>
      <c r="D50" s="6"/>
      <c r="E50" s="29" t="s">
        <v>84</v>
      </c>
      <c r="F50" s="29"/>
      <c r="G50" s="8">
        <v>4</v>
      </c>
      <c r="H50" s="8">
        <v>0</v>
      </c>
      <c r="I50" s="10" t="s">
        <v>33</v>
      </c>
      <c r="J50" s="9">
        <f t="shared" si="5"/>
        <v>400</v>
      </c>
      <c r="K50" s="8">
        <v>0</v>
      </c>
      <c r="L50" s="8">
        <f t="shared" si="6"/>
        <v>400</v>
      </c>
      <c r="M50" s="44">
        <v>927</v>
      </c>
      <c r="N50" s="42">
        <f t="shared" si="7"/>
        <v>1327</v>
      </c>
      <c r="O50" s="48">
        <f t="shared" si="8"/>
        <v>312</v>
      </c>
      <c r="P50" s="43">
        <f t="shared" si="9"/>
        <v>1015</v>
      </c>
    </row>
    <row r="51" spans="1:16" ht="18.75">
      <c r="A51" s="7">
        <v>1</v>
      </c>
      <c r="B51" s="7" t="s">
        <v>109</v>
      </c>
      <c r="C51" s="7">
        <v>47</v>
      </c>
      <c r="D51" s="6"/>
      <c r="E51" s="29" t="s">
        <v>85</v>
      </c>
      <c r="F51" s="29"/>
      <c r="G51" s="8">
        <v>3</v>
      </c>
      <c r="H51" s="8">
        <v>0</v>
      </c>
      <c r="I51" s="12" t="s">
        <v>35</v>
      </c>
      <c r="J51" s="9">
        <f t="shared" si="5"/>
        <v>300</v>
      </c>
      <c r="K51" s="8">
        <v>0</v>
      </c>
      <c r="L51" s="8">
        <f t="shared" si="6"/>
        <v>300</v>
      </c>
      <c r="M51" s="44">
        <v>888</v>
      </c>
      <c r="N51" s="42">
        <f t="shared" si="7"/>
        <v>1188</v>
      </c>
      <c r="O51" s="48">
        <f t="shared" si="8"/>
        <v>175</v>
      </c>
      <c r="P51" s="43">
        <f t="shared" si="9"/>
        <v>1013</v>
      </c>
    </row>
    <row r="52" spans="1:16" ht="18.75">
      <c r="A52" s="7">
        <v>1</v>
      </c>
      <c r="B52" s="7" t="s">
        <v>111</v>
      </c>
      <c r="C52" s="7">
        <v>48</v>
      </c>
      <c r="D52" s="6"/>
      <c r="E52" s="29" t="s">
        <v>86</v>
      </c>
      <c r="F52" s="29"/>
      <c r="G52" s="8">
        <v>0</v>
      </c>
      <c r="H52" s="8">
        <v>0</v>
      </c>
      <c r="I52" s="27" t="s">
        <v>23</v>
      </c>
      <c r="J52" s="9">
        <f t="shared" si="5"/>
        <v>0</v>
      </c>
      <c r="K52" s="8">
        <v>0</v>
      </c>
      <c r="L52" s="8">
        <f t="shared" si="6"/>
        <v>0</v>
      </c>
      <c r="M52" s="44">
        <v>0</v>
      </c>
      <c r="N52" s="42">
        <f t="shared" si="7"/>
        <v>0</v>
      </c>
      <c r="O52" s="48">
        <f t="shared" si="8"/>
        <v>0</v>
      </c>
      <c r="P52" s="43">
        <f t="shared" si="9"/>
        <v>0</v>
      </c>
    </row>
    <row r="53" spans="1:16" ht="18.75">
      <c r="A53" s="7">
        <v>1</v>
      </c>
      <c r="B53" s="7" t="s">
        <v>109</v>
      </c>
      <c r="C53" s="7">
        <v>49</v>
      </c>
      <c r="D53" s="6"/>
      <c r="E53" s="29" t="s">
        <v>87</v>
      </c>
      <c r="F53" s="29"/>
      <c r="G53" s="8">
        <v>4</v>
      </c>
      <c r="H53" s="8">
        <v>0</v>
      </c>
      <c r="I53" s="12" t="s">
        <v>35</v>
      </c>
      <c r="J53" s="9">
        <f t="shared" si="5"/>
        <v>400</v>
      </c>
      <c r="K53" s="8">
        <v>0</v>
      </c>
      <c r="L53" s="8">
        <f t="shared" si="6"/>
        <v>400</v>
      </c>
      <c r="M53" s="44">
        <v>836</v>
      </c>
      <c r="N53" s="42">
        <f t="shared" si="7"/>
        <v>1236</v>
      </c>
      <c r="O53" s="48">
        <f t="shared" si="8"/>
        <v>175</v>
      </c>
      <c r="P53" s="43">
        <f t="shared" si="9"/>
        <v>1061</v>
      </c>
    </row>
    <row r="54" spans="1:16" ht="18.75">
      <c r="A54" s="7">
        <v>1</v>
      </c>
      <c r="B54" s="7" t="s">
        <v>118</v>
      </c>
      <c r="C54" s="7">
        <v>50</v>
      </c>
      <c r="D54" s="6"/>
      <c r="E54" s="29" t="s">
        <v>88</v>
      </c>
      <c r="F54" s="29"/>
      <c r="G54" s="8">
        <v>3</v>
      </c>
      <c r="H54" s="8">
        <v>0</v>
      </c>
      <c r="I54" s="12" t="s">
        <v>35</v>
      </c>
      <c r="J54" s="9">
        <f t="shared" si="5"/>
        <v>300</v>
      </c>
      <c r="K54" s="8">
        <v>0</v>
      </c>
      <c r="L54" s="8">
        <f t="shared" si="6"/>
        <v>300</v>
      </c>
      <c r="M54" s="44">
        <v>903</v>
      </c>
      <c r="N54" s="42">
        <f t="shared" si="7"/>
        <v>1203</v>
      </c>
      <c r="O54" s="48">
        <f t="shared" si="8"/>
        <v>175</v>
      </c>
      <c r="P54" s="43">
        <f t="shared" si="9"/>
        <v>1028</v>
      </c>
    </row>
    <row r="55" spans="1:16" ht="18.75">
      <c r="A55" s="7">
        <v>1</v>
      </c>
      <c r="B55" s="7" t="s">
        <v>118</v>
      </c>
      <c r="C55" s="7">
        <v>51</v>
      </c>
      <c r="D55" s="6"/>
      <c r="E55" s="29" t="s">
        <v>89</v>
      </c>
      <c r="F55" s="29"/>
      <c r="G55" s="8">
        <v>1</v>
      </c>
      <c r="H55" s="8">
        <v>0</v>
      </c>
      <c r="I55" s="12" t="s">
        <v>35</v>
      </c>
      <c r="J55" s="9">
        <f t="shared" si="5"/>
        <v>100</v>
      </c>
      <c r="K55" s="8">
        <v>0</v>
      </c>
      <c r="L55" s="8">
        <f t="shared" si="6"/>
        <v>100</v>
      </c>
      <c r="M55" s="44">
        <v>0</v>
      </c>
      <c r="N55" s="42">
        <f t="shared" si="7"/>
        <v>100</v>
      </c>
      <c r="O55" s="48">
        <f t="shared" si="8"/>
        <v>175</v>
      </c>
      <c r="P55" s="43">
        <f t="shared" si="9"/>
        <v>0</v>
      </c>
    </row>
    <row r="56" spans="1:16" ht="18.75">
      <c r="A56" s="7">
        <v>1</v>
      </c>
      <c r="B56" s="7" t="s">
        <v>114</v>
      </c>
      <c r="C56" s="7">
        <v>52</v>
      </c>
      <c r="D56" s="6"/>
      <c r="E56" s="29" t="s">
        <v>90</v>
      </c>
      <c r="G56" s="8">
        <v>4</v>
      </c>
      <c r="H56" s="8">
        <v>0</v>
      </c>
      <c r="I56" s="12" t="s">
        <v>35</v>
      </c>
      <c r="J56" s="9">
        <f t="shared" si="5"/>
        <v>400</v>
      </c>
      <c r="K56" s="8">
        <v>0</v>
      </c>
      <c r="L56" s="8">
        <f t="shared" si="6"/>
        <v>400</v>
      </c>
      <c r="M56" s="44">
        <v>817</v>
      </c>
      <c r="N56" s="42">
        <f t="shared" si="7"/>
        <v>1217</v>
      </c>
      <c r="O56" s="48">
        <f t="shared" si="8"/>
        <v>175</v>
      </c>
      <c r="P56" s="43">
        <f t="shared" si="9"/>
        <v>1042</v>
      </c>
    </row>
    <row r="57" spans="1:16" ht="18.75">
      <c r="A57" s="7">
        <v>1</v>
      </c>
      <c r="B57" s="7" t="s">
        <v>112</v>
      </c>
      <c r="C57" s="7">
        <v>53</v>
      </c>
      <c r="D57" s="6"/>
      <c r="E57" s="29" t="s">
        <v>91</v>
      </c>
      <c r="F57" s="29"/>
      <c r="G57" s="8">
        <v>2</v>
      </c>
      <c r="H57" s="8">
        <v>0</v>
      </c>
      <c r="I57" s="12" t="s">
        <v>35</v>
      </c>
      <c r="J57" s="9">
        <f t="shared" si="5"/>
        <v>200</v>
      </c>
      <c r="K57" s="8">
        <v>0</v>
      </c>
      <c r="L57" s="8">
        <f t="shared" si="6"/>
        <v>200</v>
      </c>
      <c r="M57" s="44">
        <v>910</v>
      </c>
      <c r="N57" s="42">
        <f t="shared" si="7"/>
        <v>1110</v>
      </c>
      <c r="O57" s="48">
        <f t="shared" si="8"/>
        <v>175</v>
      </c>
      <c r="P57" s="43">
        <f t="shared" si="9"/>
        <v>935</v>
      </c>
    </row>
    <row r="58" spans="1:16" ht="18.75">
      <c r="A58" s="7">
        <v>1</v>
      </c>
      <c r="B58" s="7" t="s">
        <v>110</v>
      </c>
      <c r="C58" s="7">
        <v>54</v>
      </c>
      <c r="D58" s="6"/>
      <c r="E58" s="29" t="s">
        <v>92</v>
      </c>
      <c r="G58" s="8">
        <v>3</v>
      </c>
      <c r="H58" s="8">
        <v>0</v>
      </c>
      <c r="I58" s="12" t="s">
        <v>35</v>
      </c>
      <c r="J58" s="9">
        <f t="shared" si="5"/>
        <v>300</v>
      </c>
      <c r="K58" s="8">
        <v>0</v>
      </c>
      <c r="L58" s="8">
        <f t="shared" si="6"/>
        <v>300</v>
      </c>
      <c r="M58" s="44">
        <v>275</v>
      </c>
      <c r="N58" s="42">
        <f t="shared" si="7"/>
        <v>575</v>
      </c>
      <c r="O58" s="48">
        <f t="shared" si="8"/>
        <v>175</v>
      </c>
      <c r="P58" s="43">
        <f t="shared" si="9"/>
        <v>400</v>
      </c>
    </row>
    <row r="59" spans="1:16" ht="18.75">
      <c r="A59" s="7">
        <v>1</v>
      </c>
      <c r="B59" s="7" t="s">
        <v>109</v>
      </c>
      <c r="C59" s="7">
        <v>55</v>
      </c>
      <c r="D59" s="6"/>
      <c r="E59" s="29" t="s">
        <v>106</v>
      </c>
      <c r="G59" s="8">
        <v>4</v>
      </c>
      <c r="H59" s="8">
        <v>0</v>
      </c>
      <c r="I59" s="12" t="s">
        <v>35</v>
      </c>
      <c r="J59" s="9">
        <f t="shared" si="5"/>
        <v>400</v>
      </c>
      <c r="K59" s="8">
        <v>0</v>
      </c>
      <c r="L59" s="8">
        <f t="shared" si="6"/>
        <v>400</v>
      </c>
      <c r="M59" s="44">
        <v>843</v>
      </c>
      <c r="N59" s="42">
        <f t="shared" si="7"/>
        <v>1243</v>
      </c>
      <c r="O59" s="48">
        <f t="shared" si="8"/>
        <v>175</v>
      </c>
      <c r="P59" s="43">
        <f t="shared" si="9"/>
        <v>1068</v>
      </c>
    </row>
    <row r="60" spans="1:16" ht="18.75">
      <c r="A60" s="7">
        <v>1</v>
      </c>
      <c r="B60" s="7" t="s">
        <v>115</v>
      </c>
      <c r="C60" s="7">
        <v>56</v>
      </c>
      <c r="D60" s="6"/>
      <c r="E60" s="29" t="s">
        <v>94</v>
      </c>
      <c r="F60" s="29"/>
      <c r="G60" s="8">
        <v>2</v>
      </c>
      <c r="H60" s="8">
        <v>0</v>
      </c>
      <c r="I60" s="12" t="s">
        <v>35</v>
      </c>
      <c r="J60" s="9">
        <f t="shared" si="5"/>
        <v>200</v>
      </c>
      <c r="K60" s="8">
        <v>0</v>
      </c>
      <c r="L60" s="8">
        <f t="shared" si="6"/>
        <v>200</v>
      </c>
      <c r="M60" s="44">
        <v>873</v>
      </c>
      <c r="N60" s="42">
        <f t="shared" si="7"/>
        <v>1073</v>
      </c>
      <c r="O60" s="48">
        <f t="shared" si="8"/>
        <v>175</v>
      </c>
      <c r="P60" s="43">
        <f t="shared" si="9"/>
        <v>898</v>
      </c>
    </row>
    <row r="61" spans="1:16" ht="18.75">
      <c r="A61" s="7">
        <v>1</v>
      </c>
      <c r="B61" s="7" t="s">
        <v>112</v>
      </c>
      <c r="C61" s="7">
        <v>57</v>
      </c>
      <c r="D61" s="6"/>
      <c r="E61" s="29" t="s">
        <v>95</v>
      </c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410</v>
      </c>
      <c r="N61" s="42">
        <f t="shared" si="7"/>
        <v>410</v>
      </c>
      <c r="O61" s="48">
        <f t="shared" si="8"/>
        <v>0</v>
      </c>
      <c r="P61" s="43">
        <f t="shared" si="9"/>
        <v>410</v>
      </c>
    </row>
    <row r="62" spans="1:16" ht="18.75">
      <c r="A62" s="7">
        <v>1</v>
      </c>
      <c r="B62" s="7" t="s">
        <v>114</v>
      </c>
      <c r="C62" s="7">
        <v>58</v>
      </c>
      <c r="D62" s="6"/>
      <c r="E62" s="29" t="s">
        <v>96</v>
      </c>
      <c r="G62" s="8">
        <v>3</v>
      </c>
      <c r="H62" s="8">
        <v>0</v>
      </c>
      <c r="I62" s="12" t="s">
        <v>35</v>
      </c>
      <c r="J62" s="9">
        <f t="shared" si="5"/>
        <v>300</v>
      </c>
      <c r="K62" s="8">
        <v>0</v>
      </c>
      <c r="L62" s="8">
        <f t="shared" si="6"/>
        <v>300</v>
      </c>
      <c r="M62" s="44">
        <v>866</v>
      </c>
      <c r="N62" s="42">
        <f t="shared" si="7"/>
        <v>1166</v>
      </c>
      <c r="O62" s="48">
        <f t="shared" si="8"/>
        <v>175</v>
      </c>
      <c r="P62" s="43">
        <f t="shared" si="9"/>
        <v>991</v>
      </c>
    </row>
    <row r="63" spans="1:16" ht="18.75">
      <c r="A63" s="7">
        <v>1</v>
      </c>
      <c r="B63" s="7" t="s">
        <v>125</v>
      </c>
      <c r="C63" s="7">
        <v>59</v>
      </c>
      <c r="D63" s="6"/>
      <c r="E63" s="29" t="s">
        <v>97</v>
      </c>
      <c r="G63" s="8">
        <v>0</v>
      </c>
      <c r="H63" s="8">
        <v>0</v>
      </c>
      <c r="I63" s="27" t="s">
        <v>23</v>
      </c>
      <c r="J63" s="9">
        <f t="shared" si="5"/>
        <v>0</v>
      </c>
      <c r="K63" s="8">
        <v>0</v>
      </c>
      <c r="L63" s="8">
        <f t="shared" si="6"/>
        <v>0</v>
      </c>
      <c r="M63" s="44">
        <v>25</v>
      </c>
      <c r="N63" s="42">
        <f t="shared" si="7"/>
        <v>25</v>
      </c>
      <c r="O63" s="48">
        <f t="shared" si="8"/>
        <v>0</v>
      </c>
      <c r="P63" s="43">
        <f t="shared" si="9"/>
        <v>25</v>
      </c>
    </row>
    <row r="64" spans="1:16" ht="18.75">
      <c r="A64" s="7">
        <v>1</v>
      </c>
      <c r="B64" s="7" t="s">
        <v>116</v>
      </c>
      <c r="C64" s="7">
        <v>60</v>
      </c>
      <c r="D64" s="6"/>
      <c r="E64" s="29" t="s">
        <v>98</v>
      </c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0</v>
      </c>
      <c r="N64" s="42">
        <f t="shared" si="7"/>
        <v>0</v>
      </c>
      <c r="O64" s="48">
        <f t="shared" si="8"/>
        <v>0</v>
      </c>
      <c r="P64" s="43">
        <f t="shared" si="9"/>
        <v>0</v>
      </c>
    </row>
    <row r="65" spans="1:16" ht="18.75">
      <c r="A65" s="7">
        <v>1</v>
      </c>
      <c r="B65" s="7" t="s">
        <v>122</v>
      </c>
      <c r="C65" s="7">
        <v>61</v>
      </c>
      <c r="D65" s="6"/>
      <c r="E65" s="29" t="s">
        <v>99</v>
      </c>
      <c r="F65" s="29"/>
      <c r="G65" s="8">
        <v>0</v>
      </c>
      <c r="H65" s="8">
        <v>0</v>
      </c>
      <c r="I65" s="27" t="s">
        <v>23</v>
      </c>
      <c r="J65" s="9">
        <f t="shared" si="5"/>
        <v>0</v>
      </c>
      <c r="K65" s="8">
        <v>0</v>
      </c>
      <c r="L65" s="8">
        <f t="shared" si="6"/>
        <v>0</v>
      </c>
      <c r="M65" s="44">
        <v>225</v>
      </c>
      <c r="N65" s="42">
        <f t="shared" si="7"/>
        <v>225</v>
      </c>
      <c r="O65" s="48">
        <f t="shared" si="8"/>
        <v>0</v>
      </c>
      <c r="P65" s="43">
        <f t="shared" si="9"/>
        <v>225</v>
      </c>
    </row>
    <row r="66" spans="1:16" ht="18.75">
      <c r="A66" s="7">
        <v>1</v>
      </c>
      <c r="B66" s="7" t="s">
        <v>110</v>
      </c>
      <c r="C66" s="7">
        <v>62</v>
      </c>
      <c r="D66" s="6"/>
      <c r="E66" s="29" t="s">
        <v>100</v>
      </c>
      <c r="F66" s="29"/>
      <c r="G66" s="8">
        <v>4</v>
      </c>
      <c r="H66" s="8">
        <v>0</v>
      </c>
      <c r="I66" s="10" t="s">
        <v>33</v>
      </c>
      <c r="J66" s="9">
        <f t="shared" si="5"/>
        <v>400</v>
      </c>
      <c r="K66" s="8">
        <v>0</v>
      </c>
      <c r="L66" s="8">
        <f t="shared" si="6"/>
        <v>400</v>
      </c>
      <c r="M66" s="44">
        <v>899</v>
      </c>
      <c r="N66" s="42">
        <f t="shared" si="7"/>
        <v>1299</v>
      </c>
      <c r="O66" s="48">
        <f t="shared" si="8"/>
        <v>312</v>
      </c>
      <c r="P66" s="43">
        <f t="shared" si="9"/>
        <v>987</v>
      </c>
    </row>
    <row r="67" spans="1:16" ht="18.75">
      <c r="A67" s="7">
        <v>1</v>
      </c>
      <c r="B67" s="7" t="s">
        <v>116</v>
      </c>
      <c r="C67" s="7">
        <v>63</v>
      </c>
      <c r="D67" s="6"/>
      <c r="E67" s="29" t="s">
        <v>101</v>
      </c>
      <c r="G67" s="8">
        <v>4</v>
      </c>
      <c r="H67" s="8">
        <v>0</v>
      </c>
      <c r="I67" s="12" t="s">
        <v>35</v>
      </c>
      <c r="J67" s="9">
        <f t="shared" si="5"/>
        <v>400</v>
      </c>
      <c r="K67" s="8">
        <v>0</v>
      </c>
      <c r="L67" s="8">
        <f t="shared" si="6"/>
        <v>400</v>
      </c>
      <c r="M67" s="44">
        <v>801</v>
      </c>
      <c r="N67" s="42">
        <f t="shared" si="7"/>
        <v>1201</v>
      </c>
      <c r="O67" s="48">
        <f t="shared" si="8"/>
        <v>175</v>
      </c>
      <c r="P67" s="43">
        <f t="shared" si="9"/>
        <v>1026</v>
      </c>
    </row>
    <row r="68" spans="1:16" ht="18.75">
      <c r="A68" s="7">
        <v>1</v>
      </c>
      <c r="B68" s="7" t="s">
        <v>113</v>
      </c>
      <c r="C68" s="7">
        <v>64</v>
      </c>
      <c r="D68" s="6"/>
      <c r="E68" s="29" t="s">
        <v>102</v>
      </c>
      <c r="F68" s="29"/>
      <c r="G68" s="8">
        <v>2</v>
      </c>
      <c r="H68" s="8">
        <v>0</v>
      </c>
      <c r="I68" s="12" t="s">
        <v>35</v>
      </c>
      <c r="J68" s="9">
        <f t="shared" si="5"/>
        <v>200</v>
      </c>
      <c r="K68" s="8">
        <v>0</v>
      </c>
      <c r="L68" s="8">
        <f t="shared" si="6"/>
        <v>200</v>
      </c>
      <c r="M68" s="44">
        <v>519</v>
      </c>
      <c r="N68" s="42">
        <f t="shared" si="7"/>
        <v>719</v>
      </c>
      <c r="O68" s="48">
        <f t="shared" si="8"/>
        <v>175</v>
      </c>
      <c r="P68" s="43">
        <f t="shared" si="9"/>
        <v>544</v>
      </c>
    </row>
    <row r="69" spans="1:16" ht="18.75">
      <c r="A69" s="47">
        <v>1</v>
      </c>
      <c r="B69" s="47" t="s">
        <v>118</v>
      </c>
      <c r="C69" s="7">
        <v>65</v>
      </c>
      <c r="E69" s="29" t="s">
        <v>105</v>
      </c>
      <c r="G69" s="8">
        <v>3</v>
      </c>
      <c r="H69" s="8">
        <v>0</v>
      </c>
      <c r="I69" s="12" t="s">
        <v>35</v>
      </c>
      <c r="J69" s="9">
        <f t="shared" si="5"/>
        <v>300</v>
      </c>
      <c r="K69" s="8">
        <v>0</v>
      </c>
      <c r="L69" s="8">
        <f t="shared" ref="L69" si="10">SUM(J69+K69)</f>
        <v>300</v>
      </c>
      <c r="M69" s="44">
        <v>225</v>
      </c>
      <c r="N69" s="42">
        <f t="shared" ref="N69" si="11">M69+L69</f>
        <v>525</v>
      </c>
      <c r="O69" s="48">
        <f t="shared" si="8"/>
        <v>175</v>
      </c>
      <c r="P69" s="43">
        <f t="shared" ref="P69" si="12">IF(N69-O69&gt;0,N69-O69,0)</f>
        <v>350</v>
      </c>
    </row>
  </sheetData>
  <autoFilter ref="A4:Q69" xr:uid="{D50916F0-4EB1-4E61-AB8D-B58C4FC21503}">
    <sortState xmlns:xlrd2="http://schemas.microsoft.com/office/spreadsheetml/2017/richdata2" ref="A5:Q69">
      <sortCondition ref="C4:C69"/>
    </sortState>
  </autoFilter>
  <mergeCells count="4">
    <mergeCell ref="C1:P1"/>
    <mergeCell ref="C2:P2"/>
    <mergeCell ref="C3:F3"/>
    <mergeCell ref="I3:P3"/>
  </mergeCells>
  <conditionalFormatting sqref="G5:H69">
    <cfRule type="cellIs" dxfId="26" priority="2" operator="lessThan">
      <formula>1</formula>
    </cfRule>
  </conditionalFormatting>
  <conditionalFormatting sqref="K5:K69">
    <cfRule type="cellIs" dxfId="25" priority="1" operator="lessThan">
      <formula>1</formula>
    </cfRule>
  </conditionalFormatting>
  <hyperlinks>
    <hyperlink ref="E21" r:id="rId1" xr:uid="{2D4D8C20-2994-46B5-9F7A-2EA9F0360E49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0045-8A83-4337-809B-C31811D84014}">
  <dimension ref="A1:AA69"/>
  <sheetViews>
    <sheetView topLeftCell="A2" zoomScale="85" zoomScaleNormal="85" workbookViewId="0">
      <selection activeCell="E14" sqref="E14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欧皇宝宝2026年3月7日分包贡献明细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109</v>
      </c>
      <c r="C5" s="7">
        <v>35</v>
      </c>
      <c r="D5" s="6"/>
      <c r="E5" s="29" t="s">
        <v>73</v>
      </c>
      <c r="F5" s="29"/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8">
        <v>0</v>
      </c>
      <c r="L5" s="8">
        <f t="shared" ref="L5:L36" si="1">SUM(J5+K5)</f>
        <v>300</v>
      </c>
      <c r="M5" s="44">
        <v>1001</v>
      </c>
      <c r="N5" s="42">
        <f t="shared" ref="N5:N36" si="2">M5+L5</f>
        <v>1301</v>
      </c>
      <c r="O5" s="48">
        <f t="shared" ref="O5:O36" si="3">VLOOKUP(I5,$R$3:$S$10,2,FALSE)</f>
        <v>456</v>
      </c>
      <c r="P5" s="43">
        <f t="shared" ref="P5:P36" si="4">IF(N5-O5&gt;0,N5-O5,0)</f>
        <v>845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109</v>
      </c>
      <c r="C6" s="7">
        <v>55</v>
      </c>
      <c r="D6" s="6"/>
      <c r="E6" s="29" t="s">
        <v>106</v>
      </c>
      <c r="G6" s="8">
        <v>3</v>
      </c>
      <c r="H6" s="8">
        <v>0</v>
      </c>
      <c r="I6" s="19" t="s">
        <v>15</v>
      </c>
      <c r="J6" s="9">
        <f t="shared" si="0"/>
        <v>300</v>
      </c>
      <c r="K6" s="8">
        <v>0</v>
      </c>
      <c r="L6" s="8">
        <f t="shared" si="1"/>
        <v>300</v>
      </c>
      <c r="M6" s="44">
        <v>999</v>
      </c>
      <c r="N6" s="42">
        <f t="shared" si="2"/>
        <v>1299</v>
      </c>
      <c r="O6" s="48">
        <f t="shared" si="3"/>
        <v>456</v>
      </c>
      <c r="P6" s="43">
        <f t="shared" si="4"/>
        <v>843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127</v>
      </c>
      <c r="C7" s="7">
        <v>21</v>
      </c>
      <c r="D7" s="6"/>
      <c r="E7" s="29" t="s">
        <v>59</v>
      </c>
      <c r="G7" s="8">
        <v>3</v>
      </c>
      <c r="H7" s="8">
        <v>0</v>
      </c>
      <c r="I7" s="19" t="s">
        <v>15</v>
      </c>
      <c r="J7" s="9">
        <f t="shared" si="0"/>
        <v>300</v>
      </c>
      <c r="K7" s="8">
        <v>0</v>
      </c>
      <c r="L7" s="8">
        <f t="shared" si="1"/>
        <v>300</v>
      </c>
      <c r="M7" s="44">
        <v>999</v>
      </c>
      <c r="N7" s="42">
        <f t="shared" si="2"/>
        <v>1299</v>
      </c>
      <c r="O7" s="48">
        <f t="shared" si="3"/>
        <v>456</v>
      </c>
      <c r="P7" s="43">
        <f t="shared" si="4"/>
        <v>843</v>
      </c>
      <c r="Q7" s="1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122</v>
      </c>
      <c r="C8" s="7">
        <v>17</v>
      </c>
      <c r="D8" s="6"/>
      <c r="E8" s="29" t="s">
        <v>55</v>
      </c>
      <c r="F8" s="29"/>
      <c r="G8" s="8">
        <v>3</v>
      </c>
      <c r="H8" s="8">
        <v>0</v>
      </c>
      <c r="I8" s="19" t="s">
        <v>15</v>
      </c>
      <c r="J8" s="9">
        <f t="shared" si="0"/>
        <v>300</v>
      </c>
      <c r="K8" s="8">
        <v>0</v>
      </c>
      <c r="L8" s="8">
        <f t="shared" si="1"/>
        <v>300</v>
      </c>
      <c r="M8" s="44">
        <v>999</v>
      </c>
      <c r="N8" s="42">
        <f t="shared" si="2"/>
        <v>1299</v>
      </c>
      <c r="O8" s="48">
        <f t="shared" si="3"/>
        <v>456</v>
      </c>
      <c r="P8" s="43">
        <f t="shared" si="4"/>
        <v>843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113</v>
      </c>
      <c r="C9" s="7">
        <v>32</v>
      </c>
      <c r="D9" s="6"/>
      <c r="E9" s="29" t="s">
        <v>70</v>
      </c>
      <c r="F9" s="32"/>
      <c r="G9" s="8">
        <v>3</v>
      </c>
      <c r="H9" s="8">
        <v>0</v>
      </c>
      <c r="I9" s="19" t="s">
        <v>15</v>
      </c>
      <c r="J9" s="9">
        <f t="shared" si="0"/>
        <v>300</v>
      </c>
      <c r="K9" s="8">
        <v>0</v>
      </c>
      <c r="L9" s="8">
        <f t="shared" si="1"/>
        <v>300</v>
      </c>
      <c r="M9" s="44">
        <v>964</v>
      </c>
      <c r="N9" s="42">
        <f t="shared" si="2"/>
        <v>1264</v>
      </c>
      <c r="O9" s="48">
        <f t="shared" si="3"/>
        <v>456</v>
      </c>
      <c r="P9" s="43">
        <f t="shared" si="4"/>
        <v>808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120</v>
      </c>
      <c r="C10" s="7">
        <v>29</v>
      </c>
      <c r="D10" s="6"/>
      <c r="E10" s="29" t="s">
        <v>67</v>
      </c>
      <c r="F10" s="32"/>
      <c r="G10" s="8">
        <v>3</v>
      </c>
      <c r="H10" s="8">
        <v>0</v>
      </c>
      <c r="I10" s="19" t="s">
        <v>15</v>
      </c>
      <c r="J10" s="9">
        <f t="shared" si="0"/>
        <v>300</v>
      </c>
      <c r="K10" s="8">
        <v>0</v>
      </c>
      <c r="L10" s="8">
        <f t="shared" si="1"/>
        <v>300</v>
      </c>
      <c r="M10" s="44">
        <v>963</v>
      </c>
      <c r="N10" s="42">
        <f t="shared" si="2"/>
        <v>1263</v>
      </c>
      <c r="O10" s="48">
        <f t="shared" si="3"/>
        <v>456</v>
      </c>
      <c r="P10" s="43">
        <f t="shared" si="4"/>
        <v>807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122</v>
      </c>
      <c r="C11" s="7">
        <v>1</v>
      </c>
      <c r="D11" s="6"/>
      <c r="E11" s="29" t="s">
        <v>39</v>
      </c>
      <c r="F11" s="29"/>
      <c r="G11" s="8">
        <v>3</v>
      </c>
      <c r="H11" s="8">
        <v>0</v>
      </c>
      <c r="I11" s="19" t="s">
        <v>15</v>
      </c>
      <c r="J11" s="9">
        <f t="shared" si="0"/>
        <v>300</v>
      </c>
      <c r="K11" s="8">
        <v>0</v>
      </c>
      <c r="L11" s="8">
        <f t="shared" si="1"/>
        <v>300</v>
      </c>
      <c r="M11" s="44">
        <v>961</v>
      </c>
      <c r="N11" s="42">
        <f t="shared" si="2"/>
        <v>1261</v>
      </c>
      <c r="O11" s="48">
        <f t="shared" si="3"/>
        <v>456</v>
      </c>
      <c r="P11" s="43">
        <f t="shared" si="4"/>
        <v>805</v>
      </c>
      <c r="Q11" s="9"/>
      <c r="R11" s="24"/>
    </row>
    <row r="12" spans="1:26" ht="18.75">
      <c r="A12" s="7">
        <v>1</v>
      </c>
      <c r="B12" s="7" t="s">
        <v>114</v>
      </c>
      <c r="C12" s="7">
        <v>36</v>
      </c>
      <c r="D12" s="6"/>
      <c r="E12" s="29" t="s">
        <v>74</v>
      </c>
      <c r="F12" s="29"/>
      <c r="G12" s="8">
        <v>3</v>
      </c>
      <c r="H12" s="8">
        <v>0</v>
      </c>
      <c r="I12" s="19" t="s">
        <v>15</v>
      </c>
      <c r="J12" s="9">
        <f t="shared" si="0"/>
        <v>300</v>
      </c>
      <c r="K12" s="8">
        <v>0</v>
      </c>
      <c r="L12" s="8">
        <f t="shared" si="1"/>
        <v>300</v>
      </c>
      <c r="M12" s="44">
        <v>961</v>
      </c>
      <c r="N12" s="42">
        <f t="shared" si="2"/>
        <v>1261</v>
      </c>
      <c r="O12" s="48">
        <f t="shared" si="3"/>
        <v>456</v>
      </c>
      <c r="P12" s="43">
        <f t="shared" si="4"/>
        <v>805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120</v>
      </c>
      <c r="C13" s="7">
        <v>45</v>
      </c>
      <c r="D13" s="6"/>
      <c r="E13" s="29" t="s">
        <v>83</v>
      </c>
      <c r="F13" s="29"/>
      <c r="G13" s="8">
        <v>3</v>
      </c>
      <c r="H13" s="8">
        <v>0</v>
      </c>
      <c r="I13" s="19" t="s">
        <v>15</v>
      </c>
      <c r="J13" s="9">
        <f t="shared" si="0"/>
        <v>300</v>
      </c>
      <c r="K13" s="8">
        <v>0</v>
      </c>
      <c r="L13" s="8">
        <f t="shared" si="1"/>
        <v>300</v>
      </c>
      <c r="M13" s="44">
        <v>961</v>
      </c>
      <c r="N13" s="42">
        <f t="shared" si="2"/>
        <v>1261</v>
      </c>
      <c r="O13" s="48">
        <f t="shared" si="3"/>
        <v>456</v>
      </c>
      <c r="P13" s="43">
        <f t="shared" si="4"/>
        <v>805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109</v>
      </c>
      <c r="C14" s="7">
        <v>47</v>
      </c>
      <c r="D14" s="6"/>
      <c r="E14" s="29" t="s">
        <v>85</v>
      </c>
      <c r="F14" s="29"/>
      <c r="G14" s="8">
        <v>3</v>
      </c>
      <c r="H14" s="8">
        <v>0</v>
      </c>
      <c r="I14" s="20" t="s">
        <v>21</v>
      </c>
      <c r="J14" s="9">
        <f t="shared" si="0"/>
        <v>300</v>
      </c>
      <c r="K14" s="8">
        <v>0</v>
      </c>
      <c r="L14" s="8">
        <f t="shared" si="1"/>
        <v>300</v>
      </c>
      <c r="M14" s="44">
        <v>960</v>
      </c>
      <c r="N14" s="42">
        <f t="shared" si="2"/>
        <v>1260</v>
      </c>
      <c r="O14" s="48">
        <f t="shared" si="3"/>
        <v>372</v>
      </c>
      <c r="P14" s="43">
        <f t="shared" si="4"/>
        <v>888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123</v>
      </c>
      <c r="C15" s="7">
        <v>12</v>
      </c>
      <c r="D15" s="6"/>
      <c r="E15" s="29" t="s">
        <v>50</v>
      </c>
      <c r="F15" s="29"/>
      <c r="G15" s="8">
        <v>3</v>
      </c>
      <c r="H15" s="8">
        <v>0</v>
      </c>
      <c r="I15" s="20" t="s">
        <v>21</v>
      </c>
      <c r="J15" s="9">
        <f t="shared" si="0"/>
        <v>300</v>
      </c>
      <c r="K15" s="8">
        <v>0</v>
      </c>
      <c r="L15" s="8">
        <f t="shared" si="1"/>
        <v>300</v>
      </c>
      <c r="M15" s="44">
        <v>959</v>
      </c>
      <c r="N15" s="42">
        <f t="shared" si="2"/>
        <v>1259</v>
      </c>
      <c r="O15" s="48">
        <f t="shared" si="3"/>
        <v>372</v>
      </c>
      <c r="P15" s="43">
        <f t="shared" si="4"/>
        <v>887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110</v>
      </c>
      <c r="C16" s="7">
        <v>42</v>
      </c>
      <c r="D16" s="6"/>
      <c r="E16" s="29" t="s">
        <v>80</v>
      </c>
      <c r="F16" s="32"/>
      <c r="G16" s="8">
        <v>3</v>
      </c>
      <c r="H16" s="8">
        <v>0</v>
      </c>
      <c r="I16" s="20" t="s">
        <v>21</v>
      </c>
      <c r="J16" s="9">
        <f t="shared" si="0"/>
        <v>300</v>
      </c>
      <c r="K16" s="8">
        <v>0</v>
      </c>
      <c r="L16" s="8">
        <f t="shared" si="1"/>
        <v>300</v>
      </c>
      <c r="M16" s="44">
        <v>954</v>
      </c>
      <c r="N16" s="42">
        <f t="shared" si="2"/>
        <v>1254</v>
      </c>
      <c r="O16" s="48">
        <f t="shared" si="3"/>
        <v>372</v>
      </c>
      <c r="P16" s="43">
        <f t="shared" si="4"/>
        <v>882</v>
      </c>
      <c r="R16" t="s">
        <v>27</v>
      </c>
      <c r="S16">
        <v>3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122</v>
      </c>
      <c r="C17" s="7">
        <v>43</v>
      </c>
      <c r="D17" s="6"/>
      <c r="E17" s="29" t="s">
        <v>81</v>
      </c>
      <c r="F17" s="31"/>
      <c r="G17" s="8">
        <v>3</v>
      </c>
      <c r="H17" s="8">
        <v>0</v>
      </c>
      <c r="I17" s="20" t="s">
        <v>21</v>
      </c>
      <c r="J17" s="9">
        <f t="shared" si="0"/>
        <v>300</v>
      </c>
      <c r="K17" s="8">
        <v>0</v>
      </c>
      <c r="L17" s="8">
        <f t="shared" si="1"/>
        <v>300</v>
      </c>
      <c r="M17" s="44">
        <v>945</v>
      </c>
      <c r="N17" s="42">
        <f t="shared" si="2"/>
        <v>1245</v>
      </c>
      <c r="O17" s="48">
        <f t="shared" si="3"/>
        <v>372</v>
      </c>
      <c r="P17" s="43">
        <f t="shared" si="4"/>
        <v>873</v>
      </c>
      <c r="R17" t="s">
        <v>28</v>
      </c>
      <c r="S17">
        <v>7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120</v>
      </c>
      <c r="C18" s="7">
        <v>20</v>
      </c>
      <c r="D18" s="6"/>
      <c r="E18" s="29" t="s">
        <v>58</v>
      </c>
      <c r="F18" s="32"/>
      <c r="G18" s="8">
        <v>3</v>
      </c>
      <c r="H18" s="8">
        <v>0</v>
      </c>
      <c r="I18" s="20" t="s">
        <v>21</v>
      </c>
      <c r="J18" s="9">
        <f t="shared" si="0"/>
        <v>300</v>
      </c>
      <c r="K18" s="8">
        <v>0</v>
      </c>
      <c r="L18" s="8">
        <f t="shared" si="1"/>
        <v>300</v>
      </c>
      <c r="M18" s="44">
        <v>945</v>
      </c>
      <c r="N18" s="42">
        <f t="shared" si="2"/>
        <v>1245</v>
      </c>
      <c r="O18" s="48">
        <f t="shared" si="3"/>
        <v>372</v>
      </c>
      <c r="P18" s="43">
        <f t="shared" si="4"/>
        <v>873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109</v>
      </c>
      <c r="C19" s="7">
        <v>22</v>
      </c>
      <c r="D19" s="6"/>
      <c r="E19" s="29" t="s">
        <v>60</v>
      </c>
      <c r="F19" s="32"/>
      <c r="G19" s="8">
        <v>3</v>
      </c>
      <c r="H19" s="8">
        <v>0</v>
      </c>
      <c r="I19" s="20" t="s">
        <v>21</v>
      </c>
      <c r="J19" s="9">
        <f t="shared" si="0"/>
        <v>300</v>
      </c>
      <c r="K19" s="8">
        <v>0</v>
      </c>
      <c r="L19" s="8">
        <f t="shared" si="1"/>
        <v>300</v>
      </c>
      <c r="M19" s="44">
        <v>943</v>
      </c>
      <c r="N19" s="42">
        <f t="shared" si="2"/>
        <v>1243</v>
      </c>
      <c r="O19" s="48">
        <f t="shared" si="3"/>
        <v>372</v>
      </c>
      <c r="P19" s="43">
        <f t="shared" si="4"/>
        <v>871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114</v>
      </c>
      <c r="C20" s="7">
        <v>58</v>
      </c>
      <c r="D20" s="6"/>
      <c r="E20" s="29" t="s">
        <v>96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8">
        <v>0</v>
      </c>
      <c r="L20" s="8">
        <f t="shared" si="1"/>
        <v>300</v>
      </c>
      <c r="M20" s="44">
        <v>938</v>
      </c>
      <c r="N20" s="42">
        <f t="shared" si="2"/>
        <v>1238</v>
      </c>
      <c r="O20" s="48">
        <f t="shared" si="3"/>
        <v>372</v>
      </c>
      <c r="P20" s="43">
        <f t="shared" si="4"/>
        <v>866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/>
      <c r="C21" s="7">
        <v>10</v>
      </c>
      <c r="D21" s="6"/>
      <c r="E21" s="29" t="s">
        <v>48</v>
      </c>
      <c r="F21" s="31"/>
      <c r="G21" s="8">
        <v>3</v>
      </c>
      <c r="H21" s="8">
        <v>0</v>
      </c>
      <c r="I21" s="20" t="s">
        <v>21</v>
      </c>
      <c r="J21" s="9">
        <f t="shared" si="0"/>
        <v>300</v>
      </c>
      <c r="K21" s="8">
        <v>0</v>
      </c>
      <c r="L21" s="8">
        <f t="shared" si="1"/>
        <v>300</v>
      </c>
      <c r="M21" s="44">
        <v>929</v>
      </c>
      <c r="N21" s="42">
        <f t="shared" si="2"/>
        <v>1229</v>
      </c>
      <c r="O21" s="48">
        <f t="shared" si="3"/>
        <v>372</v>
      </c>
      <c r="P21" s="43">
        <f t="shared" si="4"/>
        <v>857</v>
      </c>
      <c r="Q21" s="21"/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123</v>
      </c>
      <c r="C22" s="7">
        <v>24</v>
      </c>
      <c r="D22" s="6"/>
      <c r="E22" s="29" t="s">
        <v>62</v>
      </c>
      <c r="F22" s="32"/>
      <c r="G22" s="8">
        <v>3</v>
      </c>
      <c r="H22" s="8">
        <v>0</v>
      </c>
      <c r="I22" s="20" t="s">
        <v>21</v>
      </c>
      <c r="J22" s="9">
        <f t="shared" si="0"/>
        <v>300</v>
      </c>
      <c r="K22" s="8">
        <v>0</v>
      </c>
      <c r="L22" s="8">
        <f t="shared" si="1"/>
        <v>300</v>
      </c>
      <c r="M22" s="44">
        <v>927</v>
      </c>
      <c r="N22" s="42">
        <f t="shared" si="2"/>
        <v>1227</v>
      </c>
      <c r="O22" s="48">
        <f t="shared" si="3"/>
        <v>372</v>
      </c>
      <c r="P22" s="43">
        <f t="shared" si="4"/>
        <v>855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117</v>
      </c>
      <c r="C23" s="7">
        <v>3</v>
      </c>
      <c r="D23" s="6"/>
      <c r="E23" s="29" t="s">
        <v>41</v>
      </c>
      <c r="F23" s="29"/>
      <c r="G23" s="8">
        <v>3</v>
      </c>
      <c r="H23" s="8">
        <v>0</v>
      </c>
      <c r="I23" s="12" t="s">
        <v>22</v>
      </c>
      <c r="J23" s="9">
        <f t="shared" si="0"/>
        <v>300</v>
      </c>
      <c r="K23" s="8">
        <v>0</v>
      </c>
      <c r="L23" s="8">
        <f t="shared" si="1"/>
        <v>300</v>
      </c>
      <c r="M23" s="44">
        <v>927</v>
      </c>
      <c r="N23" s="42">
        <f t="shared" si="2"/>
        <v>1227</v>
      </c>
      <c r="O23" s="48">
        <f t="shared" si="3"/>
        <v>300</v>
      </c>
      <c r="P23" s="43">
        <f t="shared" si="4"/>
        <v>927</v>
      </c>
      <c r="Q23" s="9"/>
    </row>
    <row r="24" spans="1:27" ht="18.75">
      <c r="A24" s="7">
        <v>1</v>
      </c>
      <c r="B24" s="7" t="s">
        <v>109</v>
      </c>
      <c r="C24" s="7">
        <v>11</v>
      </c>
      <c r="D24" s="6"/>
      <c r="E24" s="29" t="s">
        <v>49</v>
      </c>
      <c r="F24" s="29"/>
      <c r="G24" s="8">
        <v>3</v>
      </c>
      <c r="H24" s="8">
        <v>0</v>
      </c>
      <c r="I24" s="12" t="s">
        <v>22</v>
      </c>
      <c r="J24" s="9">
        <f t="shared" si="0"/>
        <v>300</v>
      </c>
      <c r="K24" s="8">
        <v>0</v>
      </c>
      <c r="L24" s="8">
        <f t="shared" si="1"/>
        <v>300</v>
      </c>
      <c r="M24" s="44">
        <v>927</v>
      </c>
      <c r="N24" s="42">
        <f t="shared" si="2"/>
        <v>1227</v>
      </c>
      <c r="O24" s="48">
        <f t="shared" si="3"/>
        <v>300</v>
      </c>
      <c r="P24" s="43">
        <f t="shared" si="4"/>
        <v>927</v>
      </c>
      <c r="Q24" s="1"/>
    </row>
    <row r="25" spans="1:27" ht="18.75">
      <c r="A25" s="7">
        <v>1</v>
      </c>
      <c r="B25" s="7" t="s">
        <v>119</v>
      </c>
      <c r="C25" s="7">
        <v>18</v>
      </c>
      <c r="D25" s="6"/>
      <c r="E25" s="29" t="s">
        <v>56</v>
      </c>
      <c r="F25" s="29"/>
      <c r="G25" s="8">
        <v>3</v>
      </c>
      <c r="H25" s="8">
        <v>0</v>
      </c>
      <c r="I25" s="12" t="s">
        <v>22</v>
      </c>
      <c r="J25" s="9">
        <f t="shared" si="0"/>
        <v>300</v>
      </c>
      <c r="K25" s="8">
        <v>0</v>
      </c>
      <c r="L25" s="8">
        <f t="shared" si="1"/>
        <v>300</v>
      </c>
      <c r="M25" s="44">
        <v>927</v>
      </c>
      <c r="N25" s="42">
        <f t="shared" si="2"/>
        <v>1227</v>
      </c>
      <c r="O25" s="48">
        <f t="shared" si="3"/>
        <v>300</v>
      </c>
      <c r="P25" s="43">
        <f t="shared" si="4"/>
        <v>927</v>
      </c>
      <c r="Q25" s="1"/>
    </row>
    <row r="26" spans="1:27" ht="18.75" customHeight="1">
      <c r="A26" s="7">
        <v>1</v>
      </c>
      <c r="B26" s="7" t="s">
        <v>108</v>
      </c>
      <c r="C26" s="7">
        <v>46</v>
      </c>
      <c r="D26" s="6"/>
      <c r="E26" s="29" t="s">
        <v>84</v>
      </c>
      <c r="F26" s="29"/>
      <c r="G26" s="8">
        <v>3</v>
      </c>
      <c r="H26" s="8">
        <v>0</v>
      </c>
      <c r="I26" s="12" t="s">
        <v>22</v>
      </c>
      <c r="J26" s="9">
        <f t="shared" si="0"/>
        <v>300</v>
      </c>
      <c r="K26" s="8">
        <v>0</v>
      </c>
      <c r="L26" s="8">
        <f t="shared" si="1"/>
        <v>300</v>
      </c>
      <c r="M26" s="44">
        <v>927</v>
      </c>
      <c r="N26" s="42">
        <f t="shared" si="2"/>
        <v>1227</v>
      </c>
      <c r="O26" s="48">
        <f t="shared" si="3"/>
        <v>300</v>
      </c>
      <c r="P26" s="43">
        <f t="shared" si="4"/>
        <v>927</v>
      </c>
      <c r="Q26" s="1"/>
    </row>
    <row r="27" spans="1:27" ht="18.75">
      <c r="A27" s="7">
        <v>1</v>
      </c>
      <c r="B27" s="7" t="s">
        <v>112</v>
      </c>
      <c r="C27" s="7">
        <v>53</v>
      </c>
      <c r="D27" s="6"/>
      <c r="E27" s="29" t="s">
        <v>91</v>
      </c>
      <c r="F27" s="29"/>
      <c r="G27" s="8">
        <v>3</v>
      </c>
      <c r="H27" s="8">
        <v>0</v>
      </c>
      <c r="I27" s="12" t="s">
        <v>22</v>
      </c>
      <c r="J27" s="9">
        <f t="shared" si="0"/>
        <v>300</v>
      </c>
      <c r="K27" s="8">
        <v>0</v>
      </c>
      <c r="L27" s="8">
        <f t="shared" si="1"/>
        <v>300</v>
      </c>
      <c r="M27" s="44">
        <v>910</v>
      </c>
      <c r="N27" s="42">
        <f t="shared" si="2"/>
        <v>1210</v>
      </c>
      <c r="O27" s="48">
        <f t="shared" si="3"/>
        <v>300</v>
      </c>
      <c r="P27" s="43">
        <f t="shared" si="4"/>
        <v>910</v>
      </c>
      <c r="Q27" s="1"/>
    </row>
    <row r="28" spans="1:27" ht="18.75">
      <c r="A28" s="7">
        <v>1</v>
      </c>
      <c r="B28" s="7" t="s">
        <v>118</v>
      </c>
      <c r="C28" s="7">
        <v>50</v>
      </c>
      <c r="D28" s="6"/>
      <c r="E28" s="29" t="s">
        <v>88</v>
      </c>
      <c r="F28" s="29"/>
      <c r="G28" s="8">
        <v>3</v>
      </c>
      <c r="H28" s="8">
        <v>0</v>
      </c>
      <c r="I28" s="12" t="s">
        <v>22</v>
      </c>
      <c r="J28" s="9">
        <f t="shared" si="0"/>
        <v>300</v>
      </c>
      <c r="K28" s="8">
        <v>0</v>
      </c>
      <c r="L28" s="8">
        <f t="shared" si="1"/>
        <v>300</v>
      </c>
      <c r="M28" s="44">
        <v>903</v>
      </c>
      <c r="N28" s="42">
        <f t="shared" si="2"/>
        <v>1203</v>
      </c>
      <c r="O28" s="48">
        <f t="shared" si="3"/>
        <v>300</v>
      </c>
      <c r="P28" s="43">
        <f t="shared" si="4"/>
        <v>903</v>
      </c>
      <c r="Q28" s="1"/>
    </row>
    <row r="29" spans="1:27" s="1" customFormat="1" ht="18.75">
      <c r="A29" s="7">
        <v>1</v>
      </c>
      <c r="B29" s="7" t="s">
        <v>120</v>
      </c>
      <c r="C29" s="7">
        <v>6</v>
      </c>
      <c r="D29" s="6"/>
      <c r="E29" s="29" t="s">
        <v>44</v>
      </c>
      <c r="F29" s="29"/>
      <c r="G29" s="8">
        <v>2</v>
      </c>
      <c r="H29" s="8">
        <v>0</v>
      </c>
      <c r="I29" s="12" t="s">
        <v>22</v>
      </c>
      <c r="J29" s="9">
        <f t="shared" si="0"/>
        <v>200</v>
      </c>
      <c r="K29" s="8">
        <v>0</v>
      </c>
      <c r="L29" s="8">
        <f t="shared" si="1"/>
        <v>200</v>
      </c>
      <c r="M29" s="44">
        <v>1001</v>
      </c>
      <c r="N29" s="42">
        <f t="shared" si="2"/>
        <v>1201</v>
      </c>
      <c r="O29" s="48">
        <f t="shared" si="3"/>
        <v>300</v>
      </c>
      <c r="P29" s="43">
        <f t="shared" si="4"/>
        <v>901</v>
      </c>
      <c r="Q29" s="15"/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110</v>
      </c>
      <c r="C30" s="7">
        <v>62</v>
      </c>
      <c r="D30" s="6"/>
      <c r="E30" s="29" t="s">
        <v>100</v>
      </c>
      <c r="F30" s="29"/>
      <c r="G30" s="8">
        <v>3</v>
      </c>
      <c r="H30" s="8">
        <v>0</v>
      </c>
      <c r="I30" s="12" t="s">
        <v>22</v>
      </c>
      <c r="J30" s="9">
        <f t="shared" si="0"/>
        <v>300</v>
      </c>
      <c r="K30" s="8">
        <v>0</v>
      </c>
      <c r="L30" s="8">
        <f t="shared" si="1"/>
        <v>300</v>
      </c>
      <c r="M30" s="44">
        <v>899</v>
      </c>
      <c r="N30" s="42">
        <f t="shared" si="2"/>
        <v>1199</v>
      </c>
      <c r="O30" s="48">
        <f t="shared" si="3"/>
        <v>300</v>
      </c>
      <c r="P30" s="43">
        <f t="shared" si="4"/>
        <v>899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113</v>
      </c>
      <c r="C31" s="7">
        <v>37</v>
      </c>
      <c r="D31" s="6"/>
      <c r="E31" s="29" t="s">
        <v>75</v>
      </c>
      <c r="G31" s="8">
        <v>3</v>
      </c>
      <c r="H31" s="8">
        <v>0</v>
      </c>
      <c r="I31" s="12" t="s">
        <v>22</v>
      </c>
      <c r="J31" s="9">
        <f t="shared" si="0"/>
        <v>300</v>
      </c>
      <c r="K31" s="8">
        <v>0</v>
      </c>
      <c r="L31" s="8">
        <f t="shared" si="1"/>
        <v>300</v>
      </c>
      <c r="M31" s="44">
        <v>882</v>
      </c>
      <c r="N31" s="42">
        <f t="shared" si="2"/>
        <v>1182</v>
      </c>
      <c r="O31" s="48">
        <f t="shared" si="3"/>
        <v>300</v>
      </c>
      <c r="P31" s="43">
        <f t="shared" si="4"/>
        <v>882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112</v>
      </c>
      <c r="C32" s="7">
        <v>15</v>
      </c>
      <c r="D32" s="6"/>
      <c r="E32" s="29" t="s">
        <v>53</v>
      </c>
      <c r="F32" s="29"/>
      <c r="G32" s="8">
        <v>3</v>
      </c>
      <c r="H32" s="8">
        <v>0</v>
      </c>
      <c r="I32" s="12" t="s">
        <v>22</v>
      </c>
      <c r="J32" s="9">
        <f t="shared" si="0"/>
        <v>300</v>
      </c>
      <c r="K32" s="8">
        <v>0</v>
      </c>
      <c r="L32" s="8">
        <f t="shared" si="1"/>
        <v>300</v>
      </c>
      <c r="M32" s="44">
        <v>875</v>
      </c>
      <c r="N32" s="42">
        <f t="shared" si="2"/>
        <v>1175</v>
      </c>
      <c r="O32" s="48">
        <f t="shared" si="3"/>
        <v>300</v>
      </c>
      <c r="P32" s="43">
        <f t="shared" si="4"/>
        <v>875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115</v>
      </c>
      <c r="C33" s="7">
        <v>56</v>
      </c>
      <c r="D33" s="6"/>
      <c r="E33" s="29" t="s">
        <v>94</v>
      </c>
      <c r="F33" s="29"/>
      <c r="G33" s="8">
        <v>3</v>
      </c>
      <c r="H33" s="8">
        <v>0</v>
      </c>
      <c r="I33" s="12" t="s">
        <v>22</v>
      </c>
      <c r="J33" s="9">
        <f t="shared" si="0"/>
        <v>300</v>
      </c>
      <c r="K33" s="8">
        <v>0</v>
      </c>
      <c r="L33" s="8">
        <f t="shared" si="1"/>
        <v>300</v>
      </c>
      <c r="M33" s="44">
        <v>873</v>
      </c>
      <c r="N33" s="42">
        <f t="shared" si="2"/>
        <v>1173</v>
      </c>
      <c r="O33" s="48">
        <f t="shared" si="3"/>
        <v>300</v>
      </c>
      <c r="P33" s="43">
        <f t="shared" si="4"/>
        <v>873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111</v>
      </c>
      <c r="C34" s="7">
        <v>40</v>
      </c>
      <c r="D34" s="6"/>
      <c r="E34" s="30" t="s">
        <v>78</v>
      </c>
      <c r="G34" s="8">
        <v>2</v>
      </c>
      <c r="H34" s="8">
        <v>0</v>
      </c>
      <c r="I34" s="12" t="s">
        <v>22</v>
      </c>
      <c r="J34" s="9">
        <f t="shared" si="0"/>
        <v>200</v>
      </c>
      <c r="K34" s="8">
        <v>0</v>
      </c>
      <c r="L34" s="8">
        <f t="shared" si="1"/>
        <v>200</v>
      </c>
      <c r="M34" s="44">
        <v>966</v>
      </c>
      <c r="N34" s="42">
        <f t="shared" si="2"/>
        <v>1166</v>
      </c>
      <c r="O34" s="48">
        <f t="shared" si="3"/>
        <v>300</v>
      </c>
      <c r="P34" s="43">
        <f t="shared" si="4"/>
        <v>866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117</v>
      </c>
      <c r="C35" s="7">
        <v>9</v>
      </c>
      <c r="D35" s="6"/>
      <c r="E35" s="29" t="s">
        <v>47</v>
      </c>
      <c r="F35" s="33"/>
      <c r="G35" s="8">
        <v>2</v>
      </c>
      <c r="H35" s="8">
        <v>0</v>
      </c>
      <c r="I35" s="12" t="s">
        <v>22</v>
      </c>
      <c r="J35" s="9">
        <f t="shared" si="0"/>
        <v>200</v>
      </c>
      <c r="K35" s="8">
        <v>0</v>
      </c>
      <c r="L35" s="8">
        <f t="shared" si="1"/>
        <v>200</v>
      </c>
      <c r="M35" s="44">
        <v>936</v>
      </c>
      <c r="N35" s="42">
        <f t="shared" si="2"/>
        <v>1136</v>
      </c>
      <c r="O35" s="48">
        <f t="shared" si="3"/>
        <v>300</v>
      </c>
      <c r="P35" s="43">
        <f t="shared" si="4"/>
        <v>836</v>
      </c>
      <c r="Q35" s="21"/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109</v>
      </c>
      <c r="C36" s="7">
        <v>49</v>
      </c>
      <c r="D36" s="6"/>
      <c r="E36" s="29" t="s">
        <v>87</v>
      </c>
      <c r="F36" s="29"/>
      <c r="G36" s="8">
        <v>2</v>
      </c>
      <c r="H36" s="8">
        <v>0</v>
      </c>
      <c r="I36" s="12" t="s">
        <v>22</v>
      </c>
      <c r="J36" s="9">
        <f t="shared" si="0"/>
        <v>200</v>
      </c>
      <c r="K36" s="8">
        <v>0</v>
      </c>
      <c r="L36" s="8">
        <f t="shared" si="1"/>
        <v>200</v>
      </c>
      <c r="M36" s="44">
        <v>936</v>
      </c>
      <c r="N36" s="42">
        <f t="shared" si="2"/>
        <v>1136</v>
      </c>
      <c r="O36" s="48">
        <f t="shared" si="3"/>
        <v>300</v>
      </c>
      <c r="P36" s="43">
        <f t="shared" si="4"/>
        <v>836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122</v>
      </c>
      <c r="C37" s="7">
        <v>5</v>
      </c>
      <c r="D37" s="6"/>
      <c r="E37" s="29" t="s">
        <v>43</v>
      </c>
      <c r="F37" s="29"/>
      <c r="G37" s="8">
        <v>2</v>
      </c>
      <c r="H37" s="8">
        <v>0</v>
      </c>
      <c r="I37" s="12" t="s">
        <v>22</v>
      </c>
      <c r="J37" s="9">
        <f t="shared" ref="J37:J69" si="5">G37*100</f>
        <v>200</v>
      </c>
      <c r="K37" s="8">
        <v>0</v>
      </c>
      <c r="L37" s="8">
        <f t="shared" ref="L37:L68" si="6">SUM(J37+K37)</f>
        <v>200</v>
      </c>
      <c r="M37" s="44">
        <v>929</v>
      </c>
      <c r="N37" s="42">
        <f t="shared" ref="N37:N68" si="7">M37+L37</f>
        <v>1129</v>
      </c>
      <c r="O37" s="48">
        <f t="shared" ref="O37:O69" si="8">VLOOKUP(I37,$R$3:$S$10,2,FALSE)</f>
        <v>300</v>
      </c>
      <c r="P37" s="43">
        <f t="shared" ref="P37:P68" si="9">IF(N37-O37&gt;0,N37-O37,0)</f>
        <v>829</v>
      </c>
      <c r="Q37" s="21"/>
    </row>
    <row r="38" spans="1:27" s="1" customFormat="1" ht="18.75">
      <c r="A38" s="7">
        <v>1</v>
      </c>
      <c r="B38" s="7" t="s">
        <v>123</v>
      </c>
      <c r="C38" s="7">
        <v>23</v>
      </c>
      <c r="D38" s="6"/>
      <c r="E38" s="29" t="s">
        <v>61</v>
      </c>
      <c r="F38" s="32"/>
      <c r="G38" s="8">
        <v>2</v>
      </c>
      <c r="H38" s="8">
        <v>0</v>
      </c>
      <c r="I38" s="12" t="s">
        <v>22</v>
      </c>
      <c r="J38" s="9">
        <f t="shared" si="5"/>
        <v>200</v>
      </c>
      <c r="K38" s="8">
        <v>0</v>
      </c>
      <c r="L38" s="8">
        <f t="shared" si="6"/>
        <v>200</v>
      </c>
      <c r="M38" s="44">
        <v>926</v>
      </c>
      <c r="N38" s="42">
        <f t="shared" si="7"/>
        <v>1126</v>
      </c>
      <c r="O38" s="48">
        <f t="shared" si="8"/>
        <v>300</v>
      </c>
      <c r="P38" s="43">
        <f t="shared" si="9"/>
        <v>826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114</v>
      </c>
      <c r="C39" s="7">
        <v>52</v>
      </c>
      <c r="D39" s="6"/>
      <c r="E39" s="29" t="s">
        <v>90</v>
      </c>
      <c r="F39" s="1"/>
      <c r="G39" s="8">
        <v>2</v>
      </c>
      <c r="H39" s="8">
        <v>0</v>
      </c>
      <c r="I39" s="12" t="s">
        <v>22</v>
      </c>
      <c r="J39" s="9">
        <f t="shared" si="5"/>
        <v>200</v>
      </c>
      <c r="K39" s="8">
        <v>0</v>
      </c>
      <c r="L39" s="8">
        <f t="shared" si="6"/>
        <v>200</v>
      </c>
      <c r="M39" s="44">
        <v>917</v>
      </c>
      <c r="N39" s="42">
        <f t="shared" si="7"/>
        <v>1117</v>
      </c>
      <c r="O39" s="48">
        <f t="shared" si="8"/>
        <v>300</v>
      </c>
      <c r="P39" s="43">
        <f t="shared" si="9"/>
        <v>817</v>
      </c>
      <c r="Q39" s="1"/>
    </row>
    <row r="40" spans="1:27" ht="18.75">
      <c r="A40" s="7">
        <v>1</v>
      </c>
      <c r="B40" s="7" t="s">
        <v>112</v>
      </c>
      <c r="C40" s="7">
        <v>14</v>
      </c>
      <c r="D40" s="6"/>
      <c r="E40" s="29" t="s">
        <v>52</v>
      </c>
      <c r="F40" s="29"/>
      <c r="G40" s="8">
        <v>3</v>
      </c>
      <c r="H40" s="8">
        <v>0</v>
      </c>
      <c r="I40" s="12" t="s">
        <v>22</v>
      </c>
      <c r="J40" s="9">
        <f t="shared" si="5"/>
        <v>300</v>
      </c>
      <c r="K40" s="8">
        <v>0</v>
      </c>
      <c r="L40" s="8">
        <f t="shared" si="6"/>
        <v>300</v>
      </c>
      <c r="M40" s="44">
        <v>808</v>
      </c>
      <c r="N40" s="42">
        <f t="shared" si="7"/>
        <v>1108</v>
      </c>
      <c r="O40" s="48">
        <f t="shared" si="8"/>
        <v>300</v>
      </c>
      <c r="P40" s="43">
        <f t="shared" si="9"/>
        <v>808</v>
      </c>
      <c r="Q40" s="1"/>
    </row>
    <row r="41" spans="1:27" ht="18.75">
      <c r="A41" s="7">
        <v>1</v>
      </c>
      <c r="B41" s="7" t="s">
        <v>126</v>
      </c>
      <c r="C41" s="7">
        <v>41</v>
      </c>
      <c r="D41" s="6"/>
      <c r="E41" s="29" t="s">
        <v>79</v>
      </c>
      <c r="F41" s="32"/>
      <c r="G41" s="8">
        <v>3</v>
      </c>
      <c r="H41" s="8">
        <v>0</v>
      </c>
      <c r="I41" s="12" t="s">
        <v>22</v>
      </c>
      <c r="J41" s="9">
        <f t="shared" si="5"/>
        <v>300</v>
      </c>
      <c r="K41" s="8">
        <v>0</v>
      </c>
      <c r="L41" s="8">
        <f t="shared" si="6"/>
        <v>300</v>
      </c>
      <c r="M41" s="44">
        <v>801</v>
      </c>
      <c r="N41" s="42">
        <f t="shared" si="7"/>
        <v>1101</v>
      </c>
      <c r="O41" s="48">
        <f t="shared" si="8"/>
        <v>300</v>
      </c>
      <c r="P41" s="43">
        <f t="shared" si="9"/>
        <v>801</v>
      </c>
      <c r="Q41" s="1"/>
    </row>
    <row r="42" spans="1:27" ht="18.75">
      <c r="A42" s="7">
        <v>1</v>
      </c>
      <c r="B42" s="7" t="s">
        <v>116</v>
      </c>
      <c r="C42" s="7">
        <v>63</v>
      </c>
      <c r="D42" s="6"/>
      <c r="E42" s="29" t="s">
        <v>101</v>
      </c>
      <c r="G42" s="8">
        <v>2</v>
      </c>
      <c r="H42" s="8">
        <v>0</v>
      </c>
      <c r="I42" s="12" t="s">
        <v>22</v>
      </c>
      <c r="J42" s="9">
        <f t="shared" si="5"/>
        <v>200</v>
      </c>
      <c r="K42" s="8">
        <v>0</v>
      </c>
      <c r="L42" s="8">
        <f t="shared" si="6"/>
        <v>200</v>
      </c>
      <c r="M42" s="44">
        <v>901</v>
      </c>
      <c r="N42" s="42">
        <f t="shared" si="7"/>
        <v>1101</v>
      </c>
      <c r="O42" s="48">
        <f t="shared" si="8"/>
        <v>300</v>
      </c>
      <c r="P42" s="43">
        <f t="shared" si="9"/>
        <v>801</v>
      </c>
      <c r="Q42" s="1"/>
    </row>
    <row r="43" spans="1:27" ht="18.75">
      <c r="A43" s="7">
        <v>1</v>
      </c>
      <c r="B43" s="7" t="s">
        <v>124</v>
      </c>
      <c r="C43" s="7">
        <v>2</v>
      </c>
      <c r="D43" s="6"/>
      <c r="E43" s="29" t="s">
        <v>40</v>
      </c>
      <c r="F43" s="29"/>
      <c r="G43" s="8">
        <v>2</v>
      </c>
      <c r="H43" s="8">
        <v>0</v>
      </c>
      <c r="I43" s="12" t="s">
        <v>22</v>
      </c>
      <c r="J43" s="9">
        <f t="shared" si="5"/>
        <v>200</v>
      </c>
      <c r="K43" s="8">
        <v>0</v>
      </c>
      <c r="L43" s="8">
        <f t="shared" si="6"/>
        <v>200</v>
      </c>
      <c r="M43" s="44">
        <v>836</v>
      </c>
      <c r="N43" s="42">
        <f t="shared" si="7"/>
        <v>1036</v>
      </c>
      <c r="O43" s="48">
        <f t="shared" si="8"/>
        <v>300</v>
      </c>
      <c r="P43" s="43">
        <f t="shared" si="9"/>
        <v>736</v>
      </c>
      <c r="Q43" s="9"/>
    </row>
    <row r="44" spans="1:27" ht="18.75">
      <c r="A44" s="7">
        <v>1</v>
      </c>
      <c r="B44" s="7" t="s">
        <v>120</v>
      </c>
      <c r="C44" s="7">
        <v>13</v>
      </c>
      <c r="D44" s="6"/>
      <c r="E44" s="29" t="s">
        <v>51</v>
      </c>
      <c r="F44" s="29"/>
      <c r="G44" s="8">
        <v>3</v>
      </c>
      <c r="H44" s="8">
        <v>0</v>
      </c>
      <c r="I44" s="12" t="s">
        <v>22</v>
      </c>
      <c r="J44" s="9">
        <f t="shared" si="5"/>
        <v>300</v>
      </c>
      <c r="K44" s="8">
        <v>0</v>
      </c>
      <c r="L44" s="8">
        <f t="shared" si="6"/>
        <v>300</v>
      </c>
      <c r="M44" s="44">
        <v>733</v>
      </c>
      <c r="N44" s="42">
        <f t="shared" si="7"/>
        <v>1033</v>
      </c>
      <c r="O44" s="48">
        <f t="shared" si="8"/>
        <v>300</v>
      </c>
      <c r="P44" s="43">
        <f t="shared" si="9"/>
        <v>733</v>
      </c>
      <c r="Q44" s="1"/>
    </row>
    <row r="45" spans="1:27" ht="18.75">
      <c r="A45" s="7">
        <v>1</v>
      </c>
      <c r="B45" s="7" t="s">
        <v>118</v>
      </c>
      <c r="C45" s="7">
        <v>16</v>
      </c>
      <c r="D45" s="6"/>
      <c r="E45" s="29" t="s">
        <v>54</v>
      </c>
      <c r="F45" s="32"/>
      <c r="G45" s="8">
        <v>3</v>
      </c>
      <c r="H45" s="8">
        <v>0</v>
      </c>
      <c r="I45" s="12" t="s">
        <v>22</v>
      </c>
      <c r="J45" s="9">
        <f t="shared" si="5"/>
        <v>300</v>
      </c>
      <c r="K45" s="8">
        <v>0</v>
      </c>
      <c r="L45" s="8">
        <f t="shared" si="6"/>
        <v>300</v>
      </c>
      <c r="M45" s="44">
        <v>710</v>
      </c>
      <c r="N45" s="42">
        <f t="shared" si="7"/>
        <v>1010</v>
      </c>
      <c r="O45" s="48">
        <f t="shared" si="8"/>
        <v>300</v>
      </c>
      <c r="P45" s="43">
        <f t="shared" si="9"/>
        <v>710</v>
      </c>
      <c r="Q45" s="1"/>
    </row>
    <row r="46" spans="1:27" ht="18.75">
      <c r="A46" s="7">
        <v>1</v>
      </c>
      <c r="B46" s="7" t="s">
        <v>110</v>
      </c>
      <c r="C46" s="7">
        <v>28</v>
      </c>
      <c r="D46" s="6"/>
      <c r="E46" s="29" t="s">
        <v>66</v>
      </c>
      <c r="F46" s="32"/>
      <c r="G46" s="8">
        <v>3</v>
      </c>
      <c r="H46" s="8">
        <v>0</v>
      </c>
      <c r="I46" s="12" t="s">
        <v>22</v>
      </c>
      <c r="J46" s="9">
        <f t="shared" si="5"/>
        <v>300</v>
      </c>
      <c r="K46" s="8">
        <v>0</v>
      </c>
      <c r="L46" s="8">
        <f t="shared" si="6"/>
        <v>300</v>
      </c>
      <c r="M46" s="44">
        <v>703</v>
      </c>
      <c r="N46" s="42">
        <f t="shared" si="7"/>
        <v>1003</v>
      </c>
      <c r="O46" s="48">
        <f t="shared" si="8"/>
        <v>300</v>
      </c>
      <c r="P46" s="43">
        <f t="shared" si="9"/>
        <v>703</v>
      </c>
      <c r="Q46" s="1"/>
    </row>
    <row r="47" spans="1:27" ht="18.75">
      <c r="A47" s="7">
        <v>1</v>
      </c>
      <c r="B47" s="7" t="s">
        <v>113</v>
      </c>
      <c r="C47" s="7">
        <v>25</v>
      </c>
      <c r="D47" s="6"/>
      <c r="E47" s="29" t="s">
        <v>63</v>
      </c>
      <c r="F47" s="32"/>
      <c r="G47" s="8">
        <v>1</v>
      </c>
      <c r="H47" s="8">
        <v>0</v>
      </c>
      <c r="I47" s="12" t="s">
        <v>22</v>
      </c>
      <c r="J47" s="9">
        <f t="shared" si="5"/>
        <v>100</v>
      </c>
      <c r="K47" s="8">
        <v>0</v>
      </c>
      <c r="L47" s="8">
        <f t="shared" si="6"/>
        <v>100</v>
      </c>
      <c r="M47" s="44">
        <v>850</v>
      </c>
      <c r="N47" s="42">
        <f t="shared" si="7"/>
        <v>950</v>
      </c>
      <c r="O47" s="48">
        <f t="shared" si="8"/>
        <v>300</v>
      </c>
      <c r="P47" s="43">
        <f t="shared" si="9"/>
        <v>650</v>
      </c>
      <c r="Q47" s="1"/>
    </row>
    <row r="48" spans="1:27" ht="18.75">
      <c r="A48" s="7">
        <v>1</v>
      </c>
      <c r="B48" s="7" t="s">
        <v>121</v>
      </c>
      <c r="C48" s="7">
        <v>4</v>
      </c>
      <c r="D48" s="6"/>
      <c r="E48" s="29" t="s">
        <v>42</v>
      </c>
      <c r="F48" s="29"/>
      <c r="G48" s="8">
        <v>1</v>
      </c>
      <c r="H48" s="8">
        <v>0</v>
      </c>
      <c r="I48" s="12" t="s">
        <v>22</v>
      </c>
      <c r="J48" s="9">
        <f t="shared" si="5"/>
        <v>100</v>
      </c>
      <c r="K48" s="8">
        <v>0</v>
      </c>
      <c r="L48" s="8">
        <f t="shared" si="6"/>
        <v>100</v>
      </c>
      <c r="M48" s="44">
        <v>819</v>
      </c>
      <c r="N48" s="42">
        <f t="shared" si="7"/>
        <v>919</v>
      </c>
      <c r="O48" s="48">
        <f t="shared" si="8"/>
        <v>300</v>
      </c>
      <c r="P48" s="43">
        <f t="shared" si="9"/>
        <v>619</v>
      </c>
      <c r="Q48" s="28"/>
    </row>
    <row r="49" spans="1:17" ht="18.75">
      <c r="A49" s="7">
        <v>1</v>
      </c>
      <c r="B49" s="7" t="s">
        <v>121</v>
      </c>
      <c r="C49" s="7">
        <v>30</v>
      </c>
      <c r="D49" s="6"/>
      <c r="E49" s="29" t="s">
        <v>68</v>
      </c>
      <c r="F49" s="32"/>
      <c r="G49" s="8">
        <v>1</v>
      </c>
      <c r="H49" s="8">
        <v>0</v>
      </c>
      <c r="I49" s="12" t="s">
        <v>22</v>
      </c>
      <c r="J49" s="9">
        <f t="shared" si="5"/>
        <v>100</v>
      </c>
      <c r="K49" s="8">
        <v>0</v>
      </c>
      <c r="L49" s="8">
        <f t="shared" si="6"/>
        <v>100</v>
      </c>
      <c r="M49" s="44">
        <v>766</v>
      </c>
      <c r="N49" s="42">
        <f t="shared" si="7"/>
        <v>866</v>
      </c>
      <c r="O49" s="48">
        <f t="shared" si="8"/>
        <v>300</v>
      </c>
      <c r="P49" s="43">
        <f t="shared" si="9"/>
        <v>566</v>
      </c>
    </row>
    <row r="50" spans="1:17" ht="18.75">
      <c r="A50" s="7">
        <v>1</v>
      </c>
      <c r="B50" s="7" t="s">
        <v>113</v>
      </c>
      <c r="C50" s="7">
        <v>64</v>
      </c>
      <c r="D50" s="6"/>
      <c r="E50" s="29" t="s">
        <v>102</v>
      </c>
      <c r="F50" s="29"/>
      <c r="G50" s="8">
        <v>2</v>
      </c>
      <c r="H50" s="8">
        <v>0</v>
      </c>
      <c r="I50" s="12" t="s">
        <v>22</v>
      </c>
      <c r="J50" s="9">
        <f t="shared" si="5"/>
        <v>200</v>
      </c>
      <c r="K50" s="8">
        <v>0</v>
      </c>
      <c r="L50" s="8">
        <f t="shared" si="6"/>
        <v>200</v>
      </c>
      <c r="M50" s="44">
        <v>619</v>
      </c>
      <c r="N50" s="42">
        <f t="shared" si="7"/>
        <v>819</v>
      </c>
      <c r="O50" s="48">
        <f t="shared" si="8"/>
        <v>300</v>
      </c>
      <c r="P50" s="43">
        <f t="shared" si="9"/>
        <v>519</v>
      </c>
    </row>
    <row r="51" spans="1:17" ht="18.75">
      <c r="A51" s="7">
        <v>1</v>
      </c>
      <c r="B51" s="7" t="s">
        <v>109</v>
      </c>
      <c r="C51" s="7">
        <v>39</v>
      </c>
      <c r="D51" s="6"/>
      <c r="E51" s="29" t="s">
        <v>77</v>
      </c>
      <c r="F51" s="29"/>
      <c r="G51" s="8">
        <v>1</v>
      </c>
      <c r="H51" s="8">
        <v>0</v>
      </c>
      <c r="I51" s="12" t="s">
        <v>22</v>
      </c>
      <c r="J51" s="9">
        <f t="shared" si="5"/>
        <v>100</v>
      </c>
      <c r="K51" s="8">
        <v>0</v>
      </c>
      <c r="L51" s="8">
        <f t="shared" si="6"/>
        <v>100</v>
      </c>
      <c r="M51" s="44">
        <v>700</v>
      </c>
      <c r="N51" s="42">
        <f t="shared" si="7"/>
        <v>800</v>
      </c>
      <c r="O51" s="48">
        <f t="shared" si="8"/>
        <v>300</v>
      </c>
      <c r="P51" s="43">
        <f t="shared" si="9"/>
        <v>500</v>
      </c>
    </row>
    <row r="52" spans="1:17" ht="18.75">
      <c r="A52" s="7">
        <v>1</v>
      </c>
      <c r="B52" s="7" t="s">
        <v>114</v>
      </c>
      <c r="C52" s="7">
        <v>33</v>
      </c>
      <c r="D52" s="6"/>
      <c r="E52" s="29" t="s">
        <v>71</v>
      </c>
      <c r="F52" s="29"/>
      <c r="G52" s="8">
        <v>2</v>
      </c>
      <c r="H52" s="8">
        <v>0</v>
      </c>
      <c r="I52" s="12" t="s">
        <v>22</v>
      </c>
      <c r="J52" s="9">
        <f t="shared" si="5"/>
        <v>200</v>
      </c>
      <c r="K52" s="8">
        <v>0</v>
      </c>
      <c r="L52" s="8">
        <f t="shared" si="6"/>
        <v>200</v>
      </c>
      <c r="M52" s="44">
        <v>403</v>
      </c>
      <c r="N52" s="42">
        <f t="shared" si="7"/>
        <v>603</v>
      </c>
      <c r="O52" s="48">
        <f t="shared" si="8"/>
        <v>300</v>
      </c>
      <c r="P52" s="43">
        <f t="shared" si="9"/>
        <v>303</v>
      </c>
    </row>
    <row r="53" spans="1:17" ht="18.75">
      <c r="A53" s="7">
        <v>1</v>
      </c>
      <c r="B53" s="7" t="s">
        <v>110</v>
      </c>
      <c r="C53" s="7">
        <v>54</v>
      </c>
      <c r="D53" s="6"/>
      <c r="E53" s="29" t="s">
        <v>92</v>
      </c>
      <c r="G53" s="8">
        <v>2</v>
      </c>
      <c r="H53" s="8">
        <v>0</v>
      </c>
      <c r="I53" s="12" t="s">
        <v>22</v>
      </c>
      <c r="J53" s="9">
        <f t="shared" si="5"/>
        <v>200</v>
      </c>
      <c r="K53" s="8">
        <v>0</v>
      </c>
      <c r="L53" s="8">
        <f t="shared" si="6"/>
        <v>200</v>
      </c>
      <c r="M53" s="44">
        <v>375</v>
      </c>
      <c r="N53" s="42">
        <f t="shared" si="7"/>
        <v>575</v>
      </c>
      <c r="O53" s="48">
        <f t="shared" si="8"/>
        <v>300</v>
      </c>
      <c r="P53" s="43">
        <f t="shared" si="9"/>
        <v>275</v>
      </c>
    </row>
    <row r="54" spans="1:17" ht="18.75">
      <c r="A54" s="7">
        <v>1</v>
      </c>
      <c r="B54" s="7" t="s">
        <v>108</v>
      </c>
      <c r="C54" s="7">
        <v>44</v>
      </c>
      <c r="D54" s="6"/>
      <c r="E54" s="29" t="s">
        <v>82</v>
      </c>
      <c r="F54" s="29"/>
      <c r="G54" s="8">
        <v>1</v>
      </c>
      <c r="H54" s="8">
        <v>0</v>
      </c>
      <c r="I54" s="12" t="s">
        <v>22</v>
      </c>
      <c r="J54" s="9">
        <f t="shared" si="5"/>
        <v>100</v>
      </c>
      <c r="K54" s="8">
        <v>0</v>
      </c>
      <c r="L54" s="8">
        <f t="shared" si="6"/>
        <v>100</v>
      </c>
      <c r="M54" s="44">
        <v>454</v>
      </c>
      <c r="N54" s="42">
        <f t="shared" si="7"/>
        <v>554</v>
      </c>
      <c r="O54" s="48">
        <f t="shared" si="8"/>
        <v>300</v>
      </c>
      <c r="P54" s="43">
        <f t="shared" si="9"/>
        <v>254</v>
      </c>
    </row>
    <row r="55" spans="1:17" ht="18.75">
      <c r="A55" s="7">
        <v>1</v>
      </c>
      <c r="B55" s="7" t="s">
        <v>118</v>
      </c>
      <c r="C55" s="7">
        <v>65</v>
      </c>
      <c r="E55" s="29" t="s">
        <v>105</v>
      </c>
      <c r="G55" s="8">
        <v>3</v>
      </c>
      <c r="H55" s="8">
        <v>0</v>
      </c>
      <c r="I55" s="12" t="s">
        <v>22</v>
      </c>
      <c r="J55" s="9">
        <f t="shared" si="5"/>
        <v>300</v>
      </c>
      <c r="K55" s="8">
        <v>0</v>
      </c>
      <c r="L55" s="8">
        <f t="shared" si="6"/>
        <v>300</v>
      </c>
      <c r="M55" s="44">
        <v>225</v>
      </c>
      <c r="N55" s="42">
        <f t="shared" si="7"/>
        <v>525</v>
      </c>
      <c r="O55" s="48">
        <f t="shared" si="8"/>
        <v>300</v>
      </c>
      <c r="P55" s="43">
        <f t="shared" si="9"/>
        <v>225</v>
      </c>
    </row>
    <row r="56" spans="1:17" ht="18.75">
      <c r="A56" s="7">
        <v>1</v>
      </c>
      <c r="B56" s="7" t="s">
        <v>115</v>
      </c>
      <c r="C56" s="7">
        <v>26</v>
      </c>
      <c r="D56" s="6"/>
      <c r="E56" s="29" t="s">
        <v>64</v>
      </c>
      <c r="F56" s="32"/>
      <c r="G56" s="8">
        <v>2</v>
      </c>
      <c r="H56" s="8">
        <v>0</v>
      </c>
      <c r="I56" s="12" t="s">
        <v>22</v>
      </c>
      <c r="J56" s="9">
        <f t="shared" si="5"/>
        <v>200</v>
      </c>
      <c r="K56" s="8">
        <v>0</v>
      </c>
      <c r="L56" s="8">
        <f t="shared" si="6"/>
        <v>200</v>
      </c>
      <c r="M56" s="44">
        <v>319</v>
      </c>
      <c r="N56" s="42">
        <f t="shared" si="7"/>
        <v>519</v>
      </c>
      <c r="O56" s="48">
        <f t="shared" si="8"/>
        <v>300</v>
      </c>
      <c r="P56" s="43">
        <f t="shared" si="9"/>
        <v>219</v>
      </c>
    </row>
    <row r="57" spans="1:17" ht="18.75">
      <c r="A57" s="7">
        <v>1</v>
      </c>
      <c r="B57" s="7" t="s">
        <v>108</v>
      </c>
      <c r="C57" s="7">
        <v>38</v>
      </c>
      <c r="D57" s="6"/>
      <c r="E57" s="29" t="s">
        <v>76</v>
      </c>
      <c r="F57" s="29"/>
      <c r="G57" s="8">
        <v>3</v>
      </c>
      <c r="H57" s="8">
        <v>0</v>
      </c>
      <c r="I57" s="12" t="s">
        <v>22</v>
      </c>
      <c r="J57" s="9">
        <f t="shared" si="5"/>
        <v>300</v>
      </c>
      <c r="K57" s="8">
        <v>0</v>
      </c>
      <c r="L57" s="8">
        <f t="shared" si="6"/>
        <v>300</v>
      </c>
      <c r="M57" s="44">
        <v>150</v>
      </c>
      <c r="N57" s="42">
        <f t="shared" si="7"/>
        <v>450</v>
      </c>
      <c r="O57" s="48">
        <f t="shared" si="8"/>
        <v>300</v>
      </c>
      <c r="P57" s="43">
        <f t="shared" si="9"/>
        <v>150</v>
      </c>
    </row>
    <row r="58" spans="1:17" ht="18.75">
      <c r="A58" s="7">
        <v>1</v>
      </c>
      <c r="B58" s="7" t="s">
        <v>110</v>
      </c>
      <c r="C58" s="7">
        <v>31</v>
      </c>
      <c r="D58" s="6"/>
      <c r="E58" s="29" t="s">
        <v>69</v>
      </c>
      <c r="F58" s="32"/>
      <c r="G58" s="8">
        <v>2</v>
      </c>
      <c r="H58" s="8">
        <v>0</v>
      </c>
      <c r="I58" s="12" t="s">
        <v>22</v>
      </c>
      <c r="J58" s="9">
        <f t="shared" si="5"/>
        <v>200</v>
      </c>
      <c r="K58" s="8">
        <v>0</v>
      </c>
      <c r="L58" s="8">
        <f t="shared" si="6"/>
        <v>200</v>
      </c>
      <c r="M58" s="44">
        <v>250</v>
      </c>
      <c r="N58" s="42">
        <f t="shared" si="7"/>
        <v>450</v>
      </c>
      <c r="O58" s="48">
        <f t="shared" si="8"/>
        <v>300</v>
      </c>
      <c r="P58" s="43">
        <f t="shared" si="9"/>
        <v>150</v>
      </c>
    </row>
    <row r="59" spans="1:17" ht="18.75">
      <c r="A59" s="7">
        <v>1</v>
      </c>
      <c r="B59" s="7" t="s">
        <v>122</v>
      </c>
      <c r="C59" s="7">
        <v>7</v>
      </c>
      <c r="D59" s="6"/>
      <c r="E59" s="29" t="s">
        <v>45</v>
      </c>
      <c r="F59" s="29"/>
      <c r="G59" s="8">
        <v>2</v>
      </c>
      <c r="H59" s="8">
        <v>0</v>
      </c>
      <c r="I59" s="12" t="s">
        <v>22</v>
      </c>
      <c r="J59" s="9">
        <f t="shared" si="5"/>
        <v>200</v>
      </c>
      <c r="K59" s="8">
        <v>0</v>
      </c>
      <c r="L59" s="8">
        <f t="shared" si="6"/>
        <v>200</v>
      </c>
      <c r="M59" s="44">
        <v>238</v>
      </c>
      <c r="N59" s="42">
        <f t="shared" si="7"/>
        <v>438</v>
      </c>
      <c r="O59" s="48">
        <f t="shared" si="8"/>
        <v>300</v>
      </c>
      <c r="P59" s="43">
        <f t="shared" si="9"/>
        <v>138</v>
      </c>
      <c r="Q59" s="40"/>
    </row>
    <row r="60" spans="1:17" ht="18.75">
      <c r="A60" s="7">
        <v>1</v>
      </c>
      <c r="B60" s="7" t="s">
        <v>112</v>
      </c>
      <c r="C60" s="7">
        <v>57</v>
      </c>
      <c r="D60" s="6"/>
      <c r="E60" s="29" t="s">
        <v>95</v>
      </c>
      <c r="G60" s="8">
        <v>0</v>
      </c>
      <c r="H60" s="8">
        <v>0</v>
      </c>
      <c r="I60" s="27" t="s">
        <v>23</v>
      </c>
      <c r="J60" s="9">
        <f t="shared" si="5"/>
        <v>0</v>
      </c>
      <c r="K60" s="8">
        <v>0</v>
      </c>
      <c r="L60" s="8">
        <f t="shared" si="6"/>
        <v>0</v>
      </c>
      <c r="M60" s="44">
        <v>410</v>
      </c>
      <c r="N60" s="42">
        <f t="shared" si="7"/>
        <v>410</v>
      </c>
      <c r="O60" s="48">
        <f t="shared" si="8"/>
        <v>0</v>
      </c>
      <c r="P60" s="43">
        <f t="shared" si="9"/>
        <v>410</v>
      </c>
    </row>
    <row r="61" spans="1:17" ht="18.75">
      <c r="A61" s="7">
        <v>1</v>
      </c>
      <c r="B61" s="7" t="s">
        <v>108</v>
      </c>
      <c r="C61" s="7">
        <v>8</v>
      </c>
      <c r="D61" s="6"/>
      <c r="E61" s="29" t="s">
        <v>46</v>
      </c>
      <c r="F61" s="29"/>
      <c r="G61" s="8">
        <v>2</v>
      </c>
      <c r="H61" s="8">
        <v>0</v>
      </c>
      <c r="I61" s="12" t="s">
        <v>22</v>
      </c>
      <c r="J61" s="9">
        <f t="shared" si="5"/>
        <v>200</v>
      </c>
      <c r="K61" s="8">
        <v>0</v>
      </c>
      <c r="L61" s="8">
        <f t="shared" si="6"/>
        <v>200</v>
      </c>
      <c r="M61" s="44">
        <v>25</v>
      </c>
      <c r="N61" s="42">
        <f t="shared" si="7"/>
        <v>225</v>
      </c>
      <c r="O61" s="48">
        <f t="shared" si="8"/>
        <v>300</v>
      </c>
      <c r="P61" s="43">
        <f t="shared" si="9"/>
        <v>0</v>
      </c>
      <c r="Q61" s="40"/>
    </row>
    <row r="62" spans="1:17" ht="18.75">
      <c r="A62" s="7">
        <v>1</v>
      </c>
      <c r="B62" s="7" t="s">
        <v>122</v>
      </c>
      <c r="C62" s="7">
        <v>61</v>
      </c>
      <c r="D62" s="6"/>
      <c r="E62" s="29" t="s">
        <v>99</v>
      </c>
      <c r="F62" s="29"/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225</v>
      </c>
      <c r="N62" s="42">
        <f t="shared" si="7"/>
        <v>225</v>
      </c>
      <c r="O62" s="48">
        <f t="shared" si="8"/>
        <v>0</v>
      </c>
      <c r="P62" s="43">
        <f t="shared" si="9"/>
        <v>225</v>
      </c>
    </row>
    <row r="63" spans="1:17" ht="18.75">
      <c r="A63" s="7">
        <v>1</v>
      </c>
      <c r="B63" s="7" t="s">
        <v>122</v>
      </c>
      <c r="C63" s="7">
        <v>34</v>
      </c>
      <c r="D63" s="6"/>
      <c r="E63" s="29" t="s">
        <v>72</v>
      </c>
      <c r="F63" s="29"/>
      <c r="G63" s="8">
        <v>0</v>
      </c>
      <c r="H63" s="8">
        <v>0</v>
      </c>
      <c r="I63" s="27" t="s">
        <v>23</v>
      </c>
      <c r="J63" s="9">
        <f t="shared" si="5"/>
        <v>0</v>
      </c>
      <c r="K63" s="8">
        <v>0</v>
      </c>
      <c r="L63" s="8">
        <f t="shared" si="6"/>
        <v>0</v>
      </c>
      <c r="M63" s="44">
        <v>219</v>
      </c>
      <c r="N63" s="42">
        <f t="shared" si="7"/>
        <v>219</v>
      </c>
      <c r="O63" s="48">
        <f t="shared" si="8"/>
        <v>0</v>
      </c>
      <c r="P63" s="43">
        <f t="shared" si="9"/>
        <v>219</v>
      </c>
    </row>
    <row r="64" spans="1:17" ht="18.75">
      <c r="A64" s="7">
        <v>1</v>
      </c>
      <c r="B64" s="7" t="s">
        <v>116</v>
      </c>
      <c r="C64" s="7">
        <v>60</v>
      </c>
      <c r="D64" s="6"/>
      <c r="E64" s="29" t="s">
        <v>98</v>
      </c>
      <c r="G64" s="8">
        <v>1</v>
      </c>
      <c r="H64" s="8">
        <v>0</v>
      </c>
      <c r="I64" s="12" t="s">
        <v>22</v>
      </c>
      <c r="J64" s="9">
        <f t="shared" si="5"/>
        <v>100</v>
      </c>
      <c r="K64" s="8">
        <v>0</v>
      </c>
      <c r="L64" s="8">
        <f t="shared" si="6"/>
        <v>100</v>
      </c>
      <c r="M64" s="44">
        <v>50</v>
      </c>
      <c r="N64" s="42">
        <f t="shared" si="7"/>
        <v>150</v>
      </c>
      <c r="O64" s="48">
        <f t="shared" si="8"/>
        <v>300</v>
      </c>
      <c r="P64" s="43">
        <f t="shared" si="9"/>
        <v>0</v>
      </c>
    </row>
    <row r="65" spans="1:16" ht="18.75">
      <c r="A65" s="7">
        <v>1</v>
      </c>
      <c r="B65" s="7" t="s">
        <v>122</v>
      </c>
      <c r="C65" s="7">
        <v>27</v>
      </c>
      <c r="D65" s="6"/>
      <c r="E65" s="29" t="s">
        <v>65</v>
      </c>
      <c r="F65" s="32"/>
      <c r="G65" s="8">
        <v>1</v>
      </c>
      <c r="H65" s="8">
        <v>0</v>
      </c>
      <c r="I65" s="12" t="s">
        <v>22</v>
      </c>
      <c r="J65" s="9">
        <f t="shared" si="5"/>
        <v>100</v>
      </c>
      <c r="K65" s="8">
        <v>0</v>
      </c>
      <c r="L65" s="8">
        <f t="shared" si="6"/>
        <v>100</v>
      </c>
      <c r="M65" s="44">
        <v>0</v>
      </c>
      <c r="N65" s="42">
        <f t="shared" si="7"/>
        <v>100</v>
      </c>
      <c r="O65" s="48">
        <f t="shared" si="8"/>
        <v>300</v>
      </c>
      <c r="P65" s="43">
        <f t="shared" si="9"/>
        <v>0</v>
      </c>
    </row>
    <row r="66" spans="1:16" ht="18.75">
      <c r="A66" s="7">
        <v>1</v>
      </c>
      <c r="B66" s="7" t="s">
        <v>125</v>
      </c>
      <c r="C66" s="7">
        <v>59</v>
      </c>
      <c r="D66" s="6"/>
      <c r="E66" s="29" t="s">
        <v>97</v>
      </c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25</v>
      </c>
      <c r="N66" s="42">
        <f t="shared" si="7"/>
        <v>25</v>
      </c>
      <c r="O66" s="48">
        <f t="shared" si="8"/>
        <v>0</v>
      </c>
      <c r="P66" s="43">
        <f t="shared" si="9"/>
        <v>25</v>
      </c>
    </row>
    <row r="67" spans="1:16" ht="18.75">
      <c r="A67" s="7">
        <v>1</v>
      </c>
      <c r="B67" s="7" t="s">
        <v>118</v>
      </c>
      <c r="C67" s="7">
        <v>51</v>
      </c>
      <c r="D67" s="6"/>
      <c r="E67" s="29" t="s">
        <v>89</v>
      </c>
      <c r="F67" s="29"/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0</v>
      </c>
      <c r="N67" s="42">
        <f t="shared" si="7"/>
        <v>0</v>
      </c>
      <c r="O67" s="48">
        <f t="shared" si="8"/>
        <v>0</v>
      </c>
      <c r="P67" s="43">
        <f t="shared" si="9"/>
        <v>0</v>
      </c>
    </row>
    <row r="68" spans="1:16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6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24" priority="2" operator="lessThan">
      <formula>1</formula>
    </cfRule>
  </conditionalFormatting>
  <conditionalFormatting sqref="K5:K69">
    <cfRule type="cellIs" dxfId="23" priority="1" operator="lessThan">
      <formula>1</formula>
    </cfRule>
  </conditionalFormatting>
  <hyperlinks>
    <hyperlink ref="E8" r:id="rId1" xr:uid="{847AAC1B-1BFC-41AC-B23D-1E39606F6000}"/>
  </hyperlink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D304-0506-43E2-8CE9-D6184950DEE0}">
  <dimension ref="A1:AA69"/>
  <sheetViews>
    <sheetView topLeftCell="A2" zoomScale="85" zoomScaleNormal="85" workbookViewId="0">
      <selection activeCell="S61" sqref="S61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欧皇宝宝2026年2月28日分包贡献明细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122</v>
      </c>
      <c r="C5" s="7">
        <v>5</v>
      </c>
      <c r="D5" s="6"/>
      <c r="E5" s="29" t="s">
        <v>43</v>
      </c>
      <c r="F5" s="29"/>
      <c r="G5" s="8">
        <v>4</v>
      </c>
      <c r="H5" s="8">
        <v>0</v>
      </c>
      <c r="I5" s="10" t="s">
        <v>33</v>
      </c>
      <c r="J5" s="9">
        <f t="shared" ref="J5:J36" si="0">G5*100</f>
        <v>400</v>
      </c>
      <c r="K5" s="8">
        <v>0</v>
      </c>
      <c r="L5" s="8">
        <f t="shared" ref="L5:L36" si="1">SUM(J5+K5)</f>
        <v>400</v>
      </c>
      <c r="M5" s="44">
        <v>841</v>
      </c>
      <c r="N5" s="42">
        <f t="shared" ref="N5:N36" si="2">M5+L5</f>
        <v>1241</v>
      </c>
      <c r="O5" s="48">
        <f t="shared" ref="O5:O36" si="3">VLOOKUP(I5,$R$3:$S$10,2,FALSE)</f>
        <v>312</v>
      </c>
      <c r="P5" s="43">
        <f t="shared" ref="P5:P36" si="4">IF(N5-O5&gt;0,N5-O5,0)</f>
        <v>929</v>
      </c>
      <c r="Q5" s="2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123</v>
      </c>
      <c r="C6" s="7">
        <v>24</v>
      </c>
      <c r="D6" s="6"/>
      <c r="E6" s="29" t="s">
        <v>62</v>
      </c>
      <c r="F6" s="32"/>
      <c r="G6" s="8">
        <v>4</v>
      </c>
      <c r="H6" s="8">
        <v>0</v>
      </c>
      <c r="I6" s="10" t="s">
        <v>33</v>
      </c>
      <c r="J6" s="9">
        <f t="shared" si="0"/>
        <v>400</v>
      </c>
      <c r="K6" s="8">
        <v>0</v>
      </c>
      <c r="L6" s="8">
        <f t="shared" si="1"/>
        <v>400</v>
      </c>
      <c r="M6" s="44">
        <v>839</v>
      </c>
      <c r="N6" s="42">
        <f t="shared" si="2"/>
        <v>1239</v>
      </c>
      <c r="O6" s="48">
        <f t="shared" si="3"/>
        <v>312</v>
      </c>
      <c r="P6" s="43">
        <f t="shared" si="4"/>
        <v>927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117</v>
      </c>
      <c r="C7" s="7">
        <v>3</v>
      </c>
      <c r="D7" s="6"/>
      <c r="E7" s="29" t="s">
        <v>41</v>
      </c>
      <c r="F7" s="29"/>
      <c r="G7" s="8">
        <v>4</v>
      </c>
      <c r="H7" s="8">
        <v>0</v>
      </c>
      <c r="I7" s="10" t="s">
        <v>33</v>
      </c>
      <c r="J7" s="9">
        <f t="shared" si="0"/>
        <v>400</v>
      </c>
      <c r="K7" s="8">
        <v>0</v>
      </c>
      <c r="L7" s="8">
        <f t="shared" si="1"/>
        <v>400</v>
      </c>
      <c r="M7" s="44">
        <v>839</v>
      </c>
      <c r="N7" s="42">
        <f t="shared" si="2"/>
        <v>1239</v>
      </c>
      <c r="O7" s="48">
        <f t="shared" si="3"/>
        <v>312</v>
      </c>
      <c r="P7" s="43">
        <f t="shared" si="4"/>
        <v>927</v>
      </c>
      <c r="Q7" s="9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109</v>
      </c>
      <c r="C8" s="7">
        <v>11</v>
      </c>
      <c r="D8" s="6"/>
      <c r="E8" s="29" t="s">
        <v>49</v>
      </c>
      <c r="F8" s="29"/>
      <c r="G8" s="8">
        <v>4</v>
      </c>
      <c r="H8" s="8">
        <v>0</v>
      </c>
      <c r="I8" s="10" t="s">
        <v>33</v>
      </c>
      <c r="J8" s="9">
        <f t="shared" si="0"/>
        <v>400</v>
      </c>
      <c r="K8" s="8">
        <v>0</v>
      </c>
      <c r="L8" s="8">
        <f t="shared" si="1"/>
        <v>400</v>
      </c>
      <c r="M8" s="44">
        <v>839</v>
      </c>
      <c r="N8" s="42">
        <f t="shared" si="2"/>
        <v>1239</v>
      </c>
      <c r="O8" s="48">
        <f t="shared" si="3"/>
        <v>312</v>
      </c>
      <c r="P8" s="43">
        <f t="shared" si="4"/>
        <v>927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119</v>
      </c>
      <c r="C9" s="7">
        <v>18</v>
      </c>
      <c r="D9" s="6"/>
      <c r="E9" s="29" t="s">
        <v>56</v>
      </c>
      <c r="F9" s="29"/>
      <c r="G9" s="8">
        <v>4</v>
      </c>
      <c r="H9" s="8">
        <v>0</v>
      </c>
      <c r="I9" s="10" t="s">
        <v>33</v>
      </c>
      <c r="J9" s="9">
        <f t="shared" si="0"/>
        <v>400</v>
      </c>
      <c r="K9" s="8">
        <v>0</v>
      </c>
      <c r="L9" s="8">
        <f t="shared" si="1"/>
        <v>400</v>
      </c>
      <c r="M9" s="44">
        <v>839</v>
      </c>
      <c r="N9" s="42">
        <f t="shared" si="2"/>
        <v>1239</v>
      </c>
      <c r="O9" s="48">
        <f t="shared" si="3"/>
        <v>312</v>
      </c>
      <c r="P9" s="43">
        <f t="shared" si="4"/>
        <v>927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108</v>
      </c>
      <c r="C10" s="7">
        <v>46</v>
      </c>
      <c r="D10" s="6"/>
      <c r="E10" s="29" t="s">
        <v>84</v>
      </c>
      <c r="F10" s="29"/>
      <c r="G10" s="8">
        <v>4</v>
      </c>
      <c r="H10" s="8">
        <v>0</v>
      </c>
      <c r="I10" s="10" t="s">
        <v>33</v>
      </c>
      <c r="J10" s="9">
        <f t="shared" si="0"/>
        <v>400</v>
      </c>
      <c r="K10" s="8">
        <v>0</v>
      </c>
      <c r="L10" s="8">
        <f t="shared" si="1"/>
        <v>400</v>
      </c>
      <c r="M10" s="44">
        <v>839</v>
      </c>
      <c r="N10" s="42">
        <f t="shared" si="2"/>
        <v>1239</v>
      </c>
      <c r="O10" s="48">
        <f t="shared" si="3"/>
        <v>312</v>
      </c>
      <c r="P10" s="43">
        <f t="shared" si="4"/>
        <v>927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116</v>
      </c>
      <c r="C11" s="7">
        <v>63</v>
      </c>
      <c r="D11" s="6"/>
      <c r="E11" s="29" t="s">
        <v>101</v>
      </c>
      <c r="G11" s="8">
        <v>4</v>
      </c>
      <c r="H11" s="8">
        <v>0</v>
      </c>
      <c r="I11" s="10" t="s">
        <v>33</v>
      </c>
      <c r="J11" s="9">
        <f t="shared" si="0"/>
        <v>400</v>
      </c>
      <c r="K11" s="8">
        <v>0</v>
      </c>
      <c r="L11" s="8">
        <f t="shared" si="1"/>
        <v>400</v>
      </c>
      <c r="M11" s="44">
        <v>813</v>
      </c>
      <c r="N11" s="42">
        <f t="shared" si="2"/>
        <v>1213</v>
      </c>
      <c r="O11" s="48">
        <f t="shared" si="3"/>
        <v>312</v>
      </c>
      <c r="P11" s="43">
        <f t="shared" si="4"/>
        <v>901</v>
      </c>
      <c r="Q11" s="1"/>
      <c r="R11" s="24"/>
    </row>
    <row r="12" spans="1:26" ht="18.75">
      <c r="A12" s="7">
        <v>1</v>
      </c>
      <c r="B12" s="7" t="s">
        <v>109</v>
      </c>
      <c r="C12" s="7">
        <v>47</v>
      </c>
      <c r="D12" s="6"/>
      <c r="E12" s="29" t="s">
        <v>85</v>
      </c>
      <c r="F12" s="29"/>
      <c r="G12" s="8">
        <v>4</v>
      </c>
      <c r="H12" s="8">
        <v>0</v>
      </c>
      <c r="I12" s="11" t="s">
        <v>34</v>
      </c>
      <c r="J12" s="9">
        <f t="shared" si="0"/>
        <v>400</v>
      </c>
      <c r="K12" s="8">
        <v>0</v>
      </c>
      <c r="L12" s="8">
        <f t="shared" si="1"/>
        <v>400</v>
      </c>
      <c r="M12" s="44">
        <v>800</v>
      </c>
      <c r="N12" s="42">
        <f t="shared" si="2"/>
        <v>1200</v>
      </c>
      <c r="O12" s="48">
        <f t="shared" si="3"/>
        <v>240</v>
      </c>
      <c r="P12" s="43">
        <f t="shared" si="4"/>
        <v>960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110</v>
      </c>
      <c r="C13" s="7">
        <v>42</v>
      </c>
      <c r="D13" s="6"/>
      <c r="E13" s="29" t="s">
        <v>80</v>
      </c>
      <c r="F13" s="32"/>
      <c r="G13" s="8">
        <v>4</v>
      </c>
      <c r="H13" s="8">
        <v>0</v>
      </c>
      <c r="I13" s="11" t="s">
        <v>34</v>
      </c>
      <c r="J13" s="9">
        <f t="shared" si="0"/>
        <v>400</v>
      </c>
      <c r="K13" s="8">
        <v>0</v>
      </c>
      <c r="L13" s="8">
        <f t="shared" si="1"/>
        <v>400</v>
      </c>
      <c r="M13" s="44">
        <v>794</v>
      </c>
      <c r="N13" s="42">
        <f t="shared" si="2"/>
        <v>1194</v>
      </c>
      <c r="O13" s="48">
        <f t="shared" si="3"/>
        <v>240</v>
      </c>
      <c r="P13" s="43">
        <f t="shared" si="4"/>
        <v>954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122</v>
      </c>
      <c r="C14" s="7">
        <v>43</v>
      </c>
      <c r="D14" s="6"/>
      <c r="E14" s="29" t="s">
        <v>81</v>
      </c>
      <c r="F14" s="31"/>
      <c r="G14" s="8">
        <v>4</v>
      </c>
      <c r="H14" s="8">
        <v>0</v>
      </c>
      <c r="I14" s="11" t="s">
        <v>34</v>
      </c>
      <c r="J14" s="9">
        <f t="shared" si="0"/>
        <v>400</v>
      </c>
      <c r="K14" s="8">
        <v>0</v>
      </c>
      <c r="L14" s="8">
        <f t="shared" si="1"/>
        <v>400</v>
      </c>
      <c r="M14" s="44">
        <v>785</v>
      </c>
      <c r="N14" s="42">
        <f t="shared" si="2"/>
        <v>1185</v>
      </c>
      <c r="O14" s="48">
        <f t="shared" si="3"/>
        <v>240</v>
      </c>
      <c r="P14" s="43">
        <f t="shared" si="4"/>
        <v>945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120</v>
      </c>
      <c r="C15" s="7">
        <v>20</v>
      </c>
      <c r="D15" s="6"/>
      <c r="E15" s="29" t="s">
        <v>58</v>
      </c>
      <c r="F15" s="32"/>
      <c r="G15" s="8">
        <v>4</v>
      </c>
      <c r="H15" s="8">
        <v>0</v>
      </c>
      <c r="I15" s="11" t="s">
        <v>34</v>
      </c>
      <c r="J15" s="9">
        <f t="shared" si="0"/>
        <v>400</v>
      </c>
      <c r="K15" s="8">
        <v>0</v>
      </c>
      <c r="L15" s="8">
        <f t="shared" si="1"/>
        <v>400</v>
      </c>
      <c r="M15" s="44">
        <v>785</v>
      </c>
      <c r="N15" s="42">
        <f t="shared" si="2"/>
        <v>1185</v>
      </c>
      <c r="O15" s="48">
        <f t="shared" si="3"/>
        <v>240</v>
      </c>
      <c r="P15" s="43">
        <f t="shared" si="4"/>
        <v>945</v>
      </c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109</v>
      </c>
      <c r="C16" s="7">
        <v>22</v>
      </c>
      <c r="D16" s="6"/>
      <c r="E16" s="29" t="s">
        <v>60</v>
      </c>
      <c r="F16" s="32"/>
      <c r="G16" s="8">
        <v>4</v>
      </c>
      <c r="H16" s="8">
        <v>0</v>
      </c>
      <c r="I16" s="11" t="s">
        <v>34</v>
      </c>
      <c r="J16" s="9">
        <f t="shared" si="0"/>
        <v>400</v>
      </c>
      <c r="K16" s="8">
        <v>0</v>
      </c>
      <c r="L16" s="8">
        <f t="shared" si="1"/>
        <v>400</v>
      </c>
      <c r="M16" s="44">
        <v>783</v>
      </c>
      <c r="N16" s="42">
        <f t="shared" si="2"/>
        <v>1183</v>
      </c>
      <c r="O16" s="48">
        <f t="shared" si="3"/>
        <v>240</v>
      </c>
      <c r="P16" s="43">
        <f t="shared" si="4"/>
        <v>943</v>
      </c>
      <c r="R16" t="s">
        <v>27</v>
      </c>
      <c r="S16">
        <v>2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114</v>
      </c>
      <c r="C17" s="7">
        <v>58</v>
      </c>
      <c r="D17" s="6"/>
      <c r="E17" s="29" t="s">
        <v>96</v>
      </c>
      <c r="G17" s="8">
        <v>4</v>
      </c>
      <c r="H17" s="8">
        <v>0</v>
      </c>
      <c r="I17" s="11" t="s">
        <v>34</v>
      </c>
      <c r="J17" s="9">
        <f t="shared" si="0"/>
        <v>400</v>
      </c>
      <c r="K17" s="8">
        <v>0</v>
      </c>
      <c r="L17" s="8">
        <f t="shared" si="1"/>
        <v>400</v>
      </c>
      <c r="M17" s="44">
        <v>778</v>
      </c>
      <c r="N17" s="42">
        <f t="shared" si="2"/>
        <v>1178</v>
      </c>
      <c r="O17" s="48">
        <f t="shared" si="3"/>
        <v>240</v>
      </c>
      <c r="P17" s="43">
        <f t="shared" si="4"/>
        <v>938</v>
      </c>
      <c r="R17" t="s">
        <v>28</v>
      </c>
      <c r="S17">
        <v>28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117</v>
      </c>
      <c r="C18" s="7">
        <v>9</v>
      </c>
      <c r="D18" s="6"/>
      <c r="E18" s="29" t="s">
        <v>47</v>
      </c>
      <c r="F18" s="33"/>
      <c r="G18" s="8">
        <v>4</v>
      </c>
      <c r="H18" s="8">
        <v>0</v>
      </c>
      <c r="I18" s="11" t="s">
        <v>34</v>
      </c>
      <c r="J18" s="9">
        <f t="shared" si="0"/>
        <v>400</v>
      </c>
      <c r="K18" s="8">
        <v>0</v>
      </c>
      <c r="L18" s="8">
        <f t="shared" si="1"/>
        <v>400</v>
      </c>
      <c r="M18" s="44">
        <v>776</v>
      </c>
      <c r="N18" s="42">
        <f t="shared" si="2"/>
        <v>1176</v>
      </c>
      <c r="O18" s="48">
        <f t="shared" si="3"/>
        <v>240</v>
      </c>
      <c r="P18" s="43">
        <f t="shared" si="4"/>
        <v>936</v>
      </c>
      <c r="Q18" s="21"/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109</v>
      </c>
      <c r="C19" s="7">
        <v>35</v>
      </c>
      <c r="D19" s="6"/>
      <c r="E19" s="29" t="s">
        <v>73</v>
      </c>
      <c r="F19" s="29"/>
      <c r="G19" s="8">
        <v>4</v>
      </c>
      <c r="H19" s="8">
        <v>0</v>
      </c>
      <c r="I19" s="12" t="s">
        <v>35</v>
      </c>
      <c r="J19" s="9">
        <f t="shared" si="0"/>
        <v>400</v>
      </c>
      <c r="K19" s="8">
        <v>0</v>
      </c>
      <c r="L19" s="8">
        <f t="shared" si="1"/>
        <v>400</v>
      </c>
      <c r="M19" s="44">
        <v>776</v>
      </c>
      <c r="N19" s="42">
        <f t="shared" si="2"/>
        <v>1176</v>
      </c>
      <c r="O19" s="48">
        <f t="shared" si="3"/>
        <v>175</v>
      </c>
      <c r="P19" s="43">
        <f t="shared" si="4"/>
        <v>1001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120</v>
      </c>
      <c r="C20" s="7">
        <v>6</v>
      </c>
      <c r="D20" s="6"/>
      <c r="E20" s="29" t="s">
        <v>44</v>
      </c>
      <c r="F20" s="29"/>
      <c r="G20" s="8">
        <v>4</v>
      </c>
      <c r="H20" s="8">
        <v>0</v>
      </c>
      <c r="I20" s="12" t="s">
        <v>35</v>
      </c>
      <c r="J20" s="9">
        <f t="shared" si="0"/>
        <v>400</v>
      </c>
      <c r="K20" s="8">
        <v>0</v>
      </c>
      <c r="L20" s="8">
        <f t="shared" si="1"/>
        <v>400</v>
      </c>
      <c r="M20" s="44">
        <v>776</v>
      </c>
      <c r="N20" s="42">
        <f t="shared" si="2"/>
        <v>1176</v>
      </c>
      <c r="O20" s="48">
        <f t="shared" si="3"/>
        <v>175</v>
      </c>
      <c r="P20" s="43">
        <f t="shared" si="4"/>
        <v>1001</v>
      </c>
      <c r="Q20" s="15"/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109</v>
      </c>
      <c r="C21" s="7">
        <v>55</v>
      </c>
      <c r="D21" s="6"/>
      <c r="E21" s="29" t="s">
        <v>106</v>
      </c>
      <c r="G21" s="8">
        <v>4</v>
      </c>
      <c r="H21" s="8">
        <v>0</v>
      </c>
      <c r="I21" s="12" t="s">
        <v>35</v>
      </c>
      <c r="J21" s="9">
        <f t="shared" si="0"/>
        <v>400</v>
      </c>
      <c r="K21" s="8">
        <v>0</v>
      </c>
      <c r="L21" s="8">
        <f t="shared" si="1"/>
        <v>400</v>
      </c>
      <c r="M21" s="44">
        <v>774</v>
      </c>
      <c r="N21" s="42">
        <f t="shared" si="2"/>
        <v>1174</v>
      </c>
      <c r="O21" s="48">
        <f t="shared" si="3"/>
        <v>175</v>
      </c>
      <c r="P21" s="43">
        <f t="shared" si="4"/>
        <v>999</v>
      </c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127</v>
      </c>
      <c r="C22" s="7">
        <v>21</v>
      </c>
      <c r="D22" s="6"/>
      <c r="E22" s="29" t="s">
        <v>59</v>
      </c>
      <c r="G22" s="8">
        <v>4</v>
      </c>
      <c r="H22" s="8">
        <v>0</v>
      </c>
      <c r="I22" s="12" t="s">
        <v>35</v>
      </c>
      <c r="J22" s="9">
        <f t="shared" si="0"/>
        <v>400</v>
      </c>
      <c r="K22" s="8">
        <v>0</v>
      </c>
      <c r="L22" s="8">
        <f t="shared" si="1"/>
        <v>400</v>
      </c>
      <c r="M22" s="44">
        <v>774</v>
      </c>
      <c r="N22" s="42">
        <f t="shared" si="2"/>
        <v>1174</v>
      </c>
      <c r="O22" s="48">
        <f t="shared" si="3"/>
        <v>175</v>
      </c>
      <c r="P22" s="43">
        <f t="shared" si="4"/>
        <v>999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122</v>
      </c>
      <c r="C23" s="7">
        <v>17</v>
      </c>
      <c r="D23" s="6"/>
      <c r="E23" s="29" t="s">
        <v>55</v>
      </c>
      <c r="F23" s="29"/>
      <c r="G23" s="8">
        <v>4</v>
      </c>
      <c r="H23" s="8">
        <v>0</v>
      </c>
      <c r="I23" s="12" t="s">
        <v>35</v>
      </c>
      <c r="J23" s="9">
        <f t="shared" si="0"/>
        <v>400</v>
      </c>
      <c r="K23" s="8">
        <v>0</v>
      </c>
      <c r="L23" s="8">
        <f t="shared" si="1"/>
        <v>400</v>
      </c>
      <c r="M23" s="44">
        <v>774</v>
      </c>
      <c r="N23" s="42">
        <f t="shared" si="2"/>
        <v>1174</v>
      </c>
      <c r="O23" s="48">
        <f t="shared" si="3"/>
        <v>175</v>
      </c>
      <c r="P23" s="43">
        <f t="shared" si="4"/>
        <v>999</v>
      </c>
      <c r="Q23" s="1"/>
    </row>
    <row r="24" spans="1:27" ht="18.75">
      <c r="A24" s="7">
        <v>1</v>
      </c>
      <c r="B24" s="7" t="s">
        <v>111</v>
      </c>
      <c r="C24" s="7">
        <v>40</v>
      </c>
      <c r="D24" s="6"/>
      <c r="E24" s="30" t="s">
        <v>78</v>
      </c>
      <c r="G24" s="8">
        <v>4</v>
      </c>
      <c r="H24" s="8">
        <v>0</v>
      </c>
      <c r="I24" s="12" t="s">
        <v>35</v>
      </c>
      <c r="J24" s="9">
        <f t="shared" si="0"/>
        <v>400</v>
      </c>
      <c r="K24" s="8">
        <v>0</v>
      </c>
      <c r="L24" s="8">
        <f t="shared" si="1"/>
        <v>400</v>
      </c>
      <c r="M24" s="44">
        <v>741</v>
      </c>
      <c r="N24" s="42">
        <f t="shared" si="2"/>
        <v>1141</v>
      </c>
      <c r="O24" s="48">
        <f t="shared" si="3"/>
        <v>175</v>
      </c>
      <c r="P24" s="43">
        <f t="shared" si="4"/>
        <v>966</v>
      </c>
      <c r="Q24" s="1"/>
    </row>
    <row r="25" spans="1:27" ht="18.75">
      <c r="A25" s="7">
        <v>1</v>
      </c>
      <c r="B25" s="7" t="s">
        <v>113</v>
      </c>
      <c r="C25" s="7">
        <v>32</v>
      </c>
      <c r="D25" s="6"/>
      <c r="E25" s="29" t="s">
        <v>70</v>
      </c>
      <c r="F25" s="32"/>
      <c r="G25" s="8">
        <v>4</v>
      </c>
      <c r="H25" s="8">
        <v>0</v>
      </c>
      <c r="I25" s="12" t="s">
        <v>35</v>
      </c>
      <c r="J25" s="9">
        <f t="shared" si="0"/>
        <v>400</v>
      </c>
      <c r="K25" s="8">
        <v>0</v>
      </c>
      <c r="L25" s="8">
        <f t="shared" si="1"/>
        <v>400</v>
      </c>
      <c r="M25" s="44">
        <v>739</v>
      </c>
      <c r="N25" s="42">
        <f t="shared" si="2"/>
        <v>1139</v>
      </c>
      <c r="O25" s="48">
        <f t="shared" si="3"/>
        <v>175</v>
      </c>
      <c r="P25" s="43">
        <f t="shared" si="4"/>
        <v>964</v>
      </c>
      <c r="Q25" s="1"/>
    </row>
    <row r="26" spans="1:27" ht="18.75" customHeight="1">
      <c r="A26" s="7">
        <v>1</v>
      </c>
      <c r="B26" s="7" t="s">
        <v>120</v>
      </c>
      <c r="C26" s="7">
        <v>29</v>
      </c>
      <c r="D26" s="6"/>
      <c r="E26" s="29" t="s">
        <v>67</v>
      </c>
      <c r="F26" s="32"/>
      <c r="G26" s="8">
        <v>4</v>
      </c>
      <c r="H26" s="8">
        <v>0</v>
      </c>
      <c r="I26" s="12" t="s">
        <v>35</v>
      </c>
      <c r="J26" s="9">
        <f t="shared" si="0"/>
        <v>400</v>
      </c>
      <c r="K26" s="8">
        <v>0</v>
      </c>
      <c r="L26" s="8">
        <f t="shared" si="1"/>
        <v>400</v>
      </c>
      <c r="M26" s="44">
        <v>738</v>
      </c>
      <c r="N26" s="42">
        <f t="shared" si="2"/>
        <v>1138</v>
      </c>
      <c r="O26" s="48">
        <f t="shared" si="3"/>
        <v>175</v>
      </c>
      <c r="P26" s="43">
        <f t="shared" si="4"/>
        <v>963</v>
      </c>
      <c r="Q26" s="1"/>
    </row>
    <row r="27" spans="1:27" ht="18.75">
      <c r="A27" s="7">
        <v>1</v>
      </c>
      <c r="B27" s="7" t="s">
        <v>122</v>
      </c>
      <c r="C27" s="7">
        <v>1</v>
      </c>
      <c r="D27" s="6"/>
      <c r="E27" s="29" t="s">
        <v>39</v>
      </c>
      <c r="F27" s="29"/>
      <c r="G27" s="8">
        <v>4</v>
      </c>
      <c r="H27" s="8">
        <v>0</v>
      </c>
      <c r="I27" s="12" t="s">
        <v>35</v>
      </c>
      <c r="J27" s="9">
        <f t="shared" si="0"/>
        <v>400</v>
      </c>
      <c r="K27" s="8">
        <v>0</v>
      </c>
      <c r="L27" s="8">
        <f t="shared" si="1"/>
        <v>400</v>
      </c>
      <c r="M27" s="44">
        <v>736</v>
      </c>
      <c r="N27" s="42">
        <f t="shared" si="2"/>
        <v>1136</v>
      </c>
      <c r="O27" s="48">
        <f t="shared" si="3"/>
        <v>175</v>
      </c>
      <c r="P27" s="43">
        <f t="shared" si="4"/>
        <v>961</v>
      </c>
      <c r="Q27" s="9"/>
    </row>
    <row r="28" spans="1:27" ht="18.75">
      <c r="A28" s="7">
        <v>1</v>
      </c>
      <c r="B28" s="7" t="s">
        <v>114</v>
      </c>
      <c r="C28" s="7">
        <v>36</v>
      </c>
      <c r="D28" s="6"/>
      <c r="E28" s="29" t="s">
        <v>74</v>
      </c>
      <c r="F28" s="29"/>
      <c r="G28" s="8">
        <v>4</v>
      </c>
      <c r="H28" s="8">
        <v>0</v>
      </c>
      <c r="I28" s="12" t="s">
        <v>35</v>
      </c>
      <c r="J28" s="9">
        <f t="shared" si="0"/>
        <v>400</v>
      </c>
      <c r="K28" s="8">
        <v>0</v>
      </c>
      <c r="L28" s="8">
        <f t="shared" si="1"/>
        <v>400</v>
      </c>
      <c r="M28" s="44">
        <v>736</v>
      </c>
      <c r="N28" s="42">
        <f t="shared" si="2"/>
        <v>1136</v>
      </c>
      <c r="O28" s="48">
        <f t="shared" si="3"/>
        <v>175</v>
      </c>
      <c r="P28" s="43">
        <f t="shared" si="4"/>
        <v>961</v>
      </c>
      <c r="Q28" s="1"/>
    </row>
    <row r="29" spans="1:27" s="1" customFormat="1" ht="18.75">
      <c r="A29" s="7">
        <v>1</v>
      </c>
      <c r="B29" s="7" t="s">
        <v>120</v>
      </c>
      <c r="C29" s="7">
        <v>45</v>
      </c>
      <c r="D29" s="6"/>
      <c r="E29" s="29" t="s">
        <v>83</v>
      </c>
      <c r="F29" s="29"/>
      <c r="G29" s="8">
        <v>4</v>
      </c>
      <c r="H29" s="8">
        <v>0</v>
      </c>
      <c r="I29" s="12" t="s">
        <v>35</v>
      </c>
      <c r="J29" s="9">
        <f t="shared" si="0"/>
        <v>400</v>
      </c>
      <c r="K29" s="8">
        <v>0</v>
      </c>
      <c r="L29" s="8">
        <f t="shared" si="1"/>
        <v>400</v>
      </c>
      <c r="M29" s="44">
        <v>736</v>
      </c>
      <c r="N29" s="42">
        <f t="shared" si="2"/>
        <v>1136</v>
      </c>
      <c r="O29" s="48">
        <f t="shared" si="3"/>
        <v>175</v>
      </c>
      <c r="P29" s="43">
        <f t="shared" si="4"/>
        <v>961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123</v>
      </c>
      <c r="C30" s="7">
        <v>12</v>
      </c>
      <c r="D30" s="6"/>
      <c r="E30" s="29" t="s">
        <v>50</v>
      </c>
      <c r="F30" s="29"/>
      <c r="G30" s="8">
        <v>4</v>
      </c>
      <c r="H30" s="8">
        <v>0</v>
      </c>
      <c r="I30" s="12" t="s">
        <v>35</v>
      </c>
      <c r="J30" s="9">
        <f t="shared" si="0"/>
        <v>400</v>
      </c>
      <c r="K30" s="8">
        <v>0</v>
      </c>
      <c r="L30" s="8">
        <f t="shared" si="1"/>
        <v>400</v>
      </c>
      <c r="M30" s="44">
        <v>734</v>
      </c>
      <c r="N30" s="42">
        <f t="shared" si="2"/>
        <v>1134</v>
      </c>
      <c r="O30" s="48">
        <f t="shared" si="3"/>
        <v>175</v>
      </c>
      <c r="P30" s="43">
        <f t="shared" si="4"/>
        <v>959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109</v>
      </c>
      <c r="C31" s="7">
        <v>49</v>
      </c>
      <c r="D31" s="6"/>
      <c r="E31" s="29" t="s">
        <v>87</v>
      </c>
      <c r="F31" s="29"/>
      <c r="G31" s="8">
        <v>4</v>
      </c>
      <c r="H31" s="8">
        <v>0</v>
      </c>
      <c r="I31" s="12" t="s">
        <v>35</v>
      </c>
      <c r="J31" s="9">
        <f t="shared" si="0"/>
        <v>400</v>
      </c>
      <c r="K31" s="8">
        <v>0</v>
      </c>
      <c r="L31" s="8">
        <f t="shared" si="1"/>
        <v>400</v>
      </c>
      <c r="M31" s="44">
        <v>711</v>
      </c>
      <c r="N31" s="42">
        <f t="shared" si="2"/>
        <v>1111</v>
      </c>
      <c r="O31" s="48">
        <f t="shared" si="3"/>
        <v>175</v>
      </c>
      <c r="P31" s="43">
        <f t="shared" si="4"/>
        <v>936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/>
      <c r="C32" s="7">
        <v>10</v>
      </c>
      <c r="D32" s="6"/>
      <c r="E32" s="29" t="s">
        <v>48</v>
      </c>
      <c r="F32" s="31"/>
      <c r="G32" s="8">
        <v>4</v>
      </c>
      <c r="H32" s="8">
        <v>0</v>
      </c>
      <c r="I32" s="12" t="s">
        <v>35</v>
      </c>
      <c r="J32" s="9">
        <f t="shared" si="0"/>
        <v>400</v>
      </c>
      <c r="K32" s="8">
        <v>0</v>
      </c>
      <c r="L32" s="8">
        <f t="shared" si="1"/>
        <v>400</v>
      </c>
      <c r="M32" s="44">
        <v>704</v>
      </c>
      <c r="N32" s="42">
        <f t="shared" si="2"/>
        <v>1104</v>
      </c>
      <c r="O32" s="48">
        <f t="shared" si="3"/>
        <v>175</v>
      </c>
      <c r="P32" s="43">
        <f t="shared" si="4"/>
        <v>929</v>
      </c>
      <c r="Q32" s="21"/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123</v>
      </c>
      <c r="C33" s="7">
        <v>23</v>
      </c>
      <c r="D33" s="6"/>
      <c r="E33" s="29" t="s">
        <v>61</v>
      </c>
      <c r="F33" s="32"/>
      <c r="G33" s="8">
        <v>4</v>
      </c>
      <c r="H33" s="8">
        <v>0</v>
      </c>
      <c r="I33" s="12" t="s">
        <v>35</v>
      </c>
      <c r="J33" s="9">
        <f t="shared" si="0"/>
        <v>400</v>
      </c>
      <c r="K33" s="8">
        <v>0</v>
      </c>
      <c r="L33" s="8">
        <f t="shared" si="1"/>
        <v>400</v>
      </c>
      <c r="M33" s="44">
        <v>701</v>
      </c>
      <c r="N33" s="42">
        <f t="shared" si="2"/>
        <v>1101</v>
      </c>
      <c r="O33" s="48">
        <f t="shared" si="3"/>
        <v>175</v>
      </c>
      <c r="P33" s="43">
        <f t="shared" si="4"/>
        <v>926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 t="s">
        <v>114</v>
      </c>
      <c r="C34" s="7">
        <v>52</v>
      </c>
      <c r="D34" s="6"/>
      <c r="E34" s="29" t="s">
        <v>90</v>
      </c>
      <c r="G34" s="8">
        <v>4</v>
      </c>
      <c r="H34" s="8">
        <v>0</v>
      </c>
      <c r="I34" s="12" t="s">
        <v>35</v>
      </c>
      <c r="J34" s="9">
        <f t="shared" si="0"/>
        <v>400</v>
      </c>
      <c r="K34" s="8">
        <v>0</v>
      </c>
      <c r="L34" s="8">
        <f t="shared" si="1"/>
        <v>400</v>
      </c>
      <c r="M34" s="44">
        <v>692</v>
      </c>
      <c r="N34" s="42">
        <f t="shared" si="2"/>
        <v>1092</v>
      </c>
      <c r="O34" s="48">
        <f t="shared" si="3"/>
        <v>175</v>
      </c>
      <c r="P34" s="43">
        <f t="shared" si="4"/>
        <v>917</v>
      </c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112</v>
      </c>
      <c r="C35" s="7">
        <v>53</v>
      </c>
      <c r="D35" s="6"/>
      <c r="E35" s="29" t="s">
        <v>91</v>
      </c>
      <c r="F35" s="29"/>
      <c r="G35" s="8">
        <v>4</v>
      </c>
      <c r="H35" s="8">
        <v>0</v>
      </c>
      <c r="I35" s="12" t="s">
        <v>35</v>
      </c>
      <c r="J35" s="9">
        <f t="shared" si="0"/>
        <v>400</v>
      </c>
      <c r="K35" s="8">
        <v>0</v>
      </c>
      <c r="L35" s="8">
        <f t="shared" si="1"/>
        <v>400</v>
      </c>
      <c r="M35" s="44">
        <v>685</v>
      </c>
      <c r="N35" s="42">
        <f t="shared" si="2"/>
        <v>1085</v>
      </c>
      <c r="O35" s="48">
        <f t="shared" si="3"/>
        <v>175</v>
      </c>
      <c r="P35" s="43">
        <f t="shared" si="4"/>
        <v>910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118</v>
      </c>
      <c r="C36" s="7">
        <v>50</v>
      </c>
      <c r="D36" s="6"/>
      <c r="E36" s="29" t="s">
        <v>88</v>
      </c>
      <c r="F36" s="29"/>
      <c r="G36" s="8">
        <v>3</v>
      </c>
      <c r="H36" s="8">
        <v>0</v>
      </c>
      <c r="I36" s="12" t="s">
        <v>35</v>
      </c>
      <c r="J36" s="9">
        <f t="shared" si="0"/>
        <v>300</v>
      </c>
      <c r="K36" s="8">
        <v>0</v>
      </c>
      <c r="L36" s="8">
        <f t="shared" si="1"/>
        <v>300</v>
      </c>
      <c r="M36" s="44">
        <v>778</v>
      </c>
      <c r="N36" s="42">
        <f t="shared" si="2"/>
        <v>1078</v>
      </c>
      <c r="O36" s="48">
        <f t="shared" si="3"/>
        <v>175</v>
      </c>
      <c r="P36" s="43">
        <f t="shared" si="4"/>
        <v>903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110</v>
      </c>
      <c r="C37" s="7">
        <v>62</v>
      </c>
      <c r="D37" s="6"/>
      <c r="E37" s="29" t="s">
        <v>100</v>
      </c>
      <c r="F37" s="29"/>
      <c r="G37" s="8">
        <v>3</v>
      </c>
      <c r="H37" s="8">
        <v>0</v>
      </c>
      <c r="I37" s="12" t="s">
        <v>35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774</v>
      </c>
      <c r="N37" s="42">
        <f t="shared" ref="N37:N68" si="7">M37+L37</f>
        <v>1074</v>
      </c>
      <c r="O37" s="48">
        <f t="shared" ref="O37:O69" si="8">VLOOKUP(I37,$R$3:$S$10,2,FALSE)</f>
        <v>175</v>
      </c>
      <c r="P37" s="43">
        <f t="shared" ref="P37:P68" si="9">IF(N37-O37&gt;0,N37-O37,0)</f>
        <v>899</v>
      </c>
      <c r="Q37" s="1"/>
    </row>
    <row r="38" spans="1:27" s="1" customFormat="1" ht="18.75">
      <c r="A38" s="7">
        <v>1</v>
      </c>
      <c r="B38" s="7" t="s">
        <v>113</v>
      </c>
      <c r="C38" s="7">
        <v>37</v>
      </c>
      <c r="D38" s="6"/>
      <c r="E38" s="29" t="s">
        <v>75</v>
      </c>
      <c r="G38" s="8">
        <v>3</v>
      </c>
      <c r="H38" s="8">
        <v>0</v>
      </c>
      <c r="I38" s="12" t="s">
        <v>35</v>
      </c>
      <c r="J38" s="9">
        <f t="shared" si="5"/>
        <v>300</v>
      </c>
      <c r="K38" s="8">
        <v>0</v>
      </c>
      <c r="L38" s="8">
        <f t="shared" si="6"/>
        <v>300</v>
      </c>
      <c r="M38" s="44">
        <v>757</v>
      </c>
      <c r="N38" s="42">
        <f t="shared" si="7"/>
        <v>1057</v>
      </c>
      <c r="O38" s="48">
        <f t="shared" si="8"/>
        <v>175</v>
      </c>
      <c r="P38" s="43">
        <f t="shared" si="9"/>
        <v>882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112</v>
      </c>
      <c r="C39" s="7">
        <v>15</v>
      </c>
      <c r="D39" s="6"/>
      <c r="E39" s="29" t="s">
        <v>53</v>
      </c>
      <c r="F39" s="29"/>
      <c r="G39" s="8">
        <v>3</v>
      </c>
      <c r="H39" s="8">
        <v>0</v>
      </c>
      <c r="I39" s="12" t="s">
        <v>35</v>
      </c>
      <c r="J39" s="9">
        <f t="shared" si="5"/>
        <v>300</v>
      </c>
      <c r="K39" s="8">
        <v>0</v>
      </c>
      <c r="L39" s="8">
        <f t="shared" si="6"/>
        <v>300</v>
      </c>
      <c r="M39" s="44">
        <v>750</v>
      </c>
      <c r="N39" s="42">
        <f t="shared" si="7"/>
        <v>1050</v>
      </c>
      <c r="O39" s="48">
        <f t="shared" si="8"/>
        <v>175</v>
      </c>
      <c r="P39" s="43">
        <f t="shared" si="9"/>
        <v>875</v>
      </c>
      <c r="Q39" s="1"/>
    </row>
    <row r="40" spans="1:27" ht="18.75">
      <c r="A40" s="7">
        <v>1</v>
      </c>
      <c r="B40" s="7" t="s">
        <v>115</v>
      </c>
      <c r="C40" s="7">
        <v>56</v>
      </c>
      <c r="D40" s="6"/>
      <c r="E40" s="29" t="s">
        <v>94</v>
      </c>
      <c r="F40" s="29"/>
      <c r="G40" s="8">
        <v>4</v>
      </c>
      <c r="H40" s="8">
        <v>0</v>
      </c>
      <c r="I40" s="12" t="s">
        <v>35</v>
      </c>
      <c r="J40" s="9">
        <f t="shared" si="5"/>
        <v>400</v>
      </c>
      <c r="K40" s="8">
        <v>0</v>
      </c>
      <c r="L40" s="8">
        <f t="shared" si="6"/>
        <v>400</v>
      </c>
      <c r="M40" s="44">
        <v>648</v>
      </c>
      <c r="N40" s="42">
        <f t="shared" si="7"/>
        <v>1048</v>
      </c>
      <c r="O40" s="48">
        <f t="shared" si="8"/>
        <v>175</v>
      </c>
      <c r="P40" s="43">
        <f t="shared" si="9"/>
        <v>873</v>
      </c>
      <c r="Q40" s="1"/>
    </row>
    <row r="41" spans="1:27" ht="18.75">
      <c r="A41" s="7">
        <v>1</v>
      </c>
      <c r="B41" s="7" t="s">
        <v>113</v>
      </c>
      <c r="C41" s="7">
        <v>25</v>
      </c>
      <c r="D41" s="6"/>
      <c r="E41" s="29" t="s">
        <v>63</v>
      </c>
      <c r="F41" s="32"/>
      <c r="G41" s="8">
        <v>4</v>
      </c>
      <c r="H41" s="8">
        <v>0</v>
      </c>
      <c r="I41" s="12" t="s">
        <v>35</v>
      </c>
      <c r="J41" s="9">
        <f t="shared" si="5"/>
        <v>400</v>
      </c>
      <c r="K41" s="8">
        <v>0</v>
      </c>
      <c r="L41" s="8">
        <f t="shared" si="6"/>
        <v>400</v>
      </c>
      <c r="M41" s="44">
        <v>625</v>
      </c>
      <c r="N41" s="42">
        <f t="shared" si="7"/>
        <v>1025</v>
      </c>
      <c r="O41" s="48">
        <f t="shared" si="8"/>
        <v>175</v>
      </c>
      <c r="P41" s="43">
        <f t="shared" si="9"/>
        <v>850</v>
      </c>
      <c r="Q41" s="1"/>
    </row>
    <row r="42" spans="1:27" ht="18.75">
      <c r="A42" s="7">
        <v>1</v>
      </c>
      <c r="B42" s="7" t="s">
        <v>124</v>
      </c>
      <c r="C42" s="7">
        <v>2</v>
      </c>
      <c r="D42" s="6"/>
      <c r="E42" s="29" t="s">
        <v>40</v>
      </c>
      <c r="F42" s="29"/>
      <c r="G42" s="8">
        <v>4</v>
      </c>
      <c r="H42" s="8">
        <v>0</v>
      </c>
      <c r="I42" s="12" t="s">
        <v>35</v>
      </c>
      <c r="J42" s="9">
        <f t="shared" si="5"/>
        <v>400</v>
      </c>
      <c r="K42" s="8">
        <v>0</v>
      </c>
      <c r="L42" s="8">
        <f t="shared" si="6"/>
        <v>400</v>
      </c>
      <c r="M42" s="44">
        <v>611</v>
      </c>
      <c r="N42" s="42">
        <f t="shared" si="7"/>
        <v>1011</v>
      </c>
      <c r="O42" s="48">
        <f t="shared" si="8"/>
        <v>175</v>
      </c>
      <c r="P42" s="43">
        <f t="shared" si="9"/>
        <v>836</v>
      </c>
      <c r="Q42" s="9"/>
    </row>
    <row r="43" spans="1:27" ht="18.75">
      <c r="A43" s="7">
        <v>1</v>
      </c>
      <c r="B43" s="7" t="s">
        <v>121</v>
      </c>
      <c r="C43" s="7">
        <v>4</v>
      </c>
      <c r="D43" s="6"/>
      <c r="E43" s="29" t="s">
        <v>42</v>
      </c>
      <c r="F43" s="29"/>
      <c r="G43" s="8">
        <v>4</v>
      </c>
      <c r="H43" s="8">
        <v>0</v>
      </c>
      <c r="I43" s="12" t="s">
        <v>35</v>
      </c>
      <c r="J43" s="9">
        <f t="shared" si="5"/>
        <v>400</v>
      </c>
      <c r="K43" s="8">
        <v>0</v>
      </c>
      <c r="L43" s="8">
        <f t="shared" si="6"/>
        <v>400</v>
      </c>
      <c r="M43" s="44">
        <v>594</v>
      </c>
      <c r="N43" s="42">
        <f t="shared" si="7"/>
        <v>994</v>
      </c>
      <c r="O43" s="48">
        <f t="shared" si="8"/>
        <v>175</v>
      </c>
      <c r="P43" s="43">
        <f t="shared" si="9"/>
        <v>819</v>
      </c>
      <c r="Q43" s="9"/>
    </row>
    <row r="44" spans="1:27" ht="18.75">
      <c r="A44" s="7">
        <v>1</v>
      </c>
      <c r="B44" s="7" t="s">
        <v>112</v>
      </c>
      <c r="C44" s="7">
        <v>14</v>
      </c>
      <c r="D44" s="6"/>
      <c r="E44" s="29" t="s">
        <v>52</v>
      </c>
      <c r="F44" s="29"/>
      <c r="G44" s="8">
        <v>2</v>
      </c>
      <c r="H44" s="8">
        <v>0</v>
      </c>
      <c r="I44" s="12" t="s">
        <v>35</v>
      </c>
      <c r="J44" s="9">
        <f t="shared" si="5"/>
        <v>200</v>
      </c>
      <c r="K44" s="8">
        <v>0</v>
      </c>
      <c r="L44" s="8">
        <f t="shared" si="6"/>
        <v>200</v>
      </c>
      <c r="M44" s="44">
        <v>783</v>
      </c>
      <c r="N44" s="42">
        <f t="shared" si="7"/>
        <v>983</v>
      </c>
      <c r="O44" s="48">
        <f t="shared" si="8"/>
        <v>175</v>
      </c>
      <c r="P44" s="43">
        <f t="shared" si="9"/>
        <v>808</v>
      </c>
      <c r="Q44" s="1"/>
    </row>
    <row r="45" spans="1:27" ht="18.75">
      <c r="A45" s="7">
        <v>1</v>
      </c>
      <c r="B45" s="7" t="s">
        <v>126</v>
      </c>
      <c r="C45" s="7">
        <v>41</v>
      </c>
      <c r="D45" s="6"/>
      <c r="E45" s="29" t="s">
        <v>79</v>
      </c>
      <c r="F45" s="32"/>
      <c r="G45" s="8">
        <v>4</v>
      </c>
      <c r="H45" s="8">
        <v>0</v>
      </c>
      <c r="I45" s="12" t="s">
        <v>35</v>
      </c>
      <c r="J45" s="9">
        <f t="shared" si="5"/>
        <v>400</v>
      </c>
      <c r="K45" s="8">
        <v>0</v>
      </c>
      <c r="L45" s="8">
        <f t="shared" si="6"/>
        <v>400</v>
      </c>
      <c r="M45" s="44">
        <v>576</v>
      </c>
      <c r="N45" s="42">
        <f t="shared" si="7"/>
        <v>976</v>
      </c>
      <c r="O45" s="48">
        <f t="shared" si="8"/>
        <v>175</v>
      </c>
      <c r="P45" s="43">
        <f t="shared" si="9"/>
        <v>801</v>
      </c>
      <c r="Q45" s="1"/>
    </row>
    <row r="46" spans="1:27" ht="18.75">
      <c r="A46" s="7">
        <v>1</v>
      </c>
      <c r="B46" s="7" t="s">
        <v>121</v>
      </c>
      <c r="C46" s="7">
        <v>30</v>
      </c>
      <c r="D46" s="6"/>
      <c r="E46" s="29" t="s">
        <v>68</v>
      </c>
      <c r="F46" s="32"/>
      <c r="G46" s="8">
        <v>2</v>
      </c>
      <c r="H46" s="8">
        <v>0</v>
      </c>
      <c r="I46" s="12" t="s">
        <v>35</v>
      </c>
      <c r="J46" s="9">
        <f t="shared" si="5"/>
        <v>200</v>
      </c>
      <c r="K46" s="8">
        <v>0</v>
      </c>
      <c r="L46" s="8">
        <f t="shared" si="6"/>
        <v>200</v>
      </c>
      <c r="M46" s="44">
        <v>741</v>
      </c>
      <c r="N46" s="42">
        <f t="shared" si="7"/>
        <v>941</v>
      </c>
      <c r="O46" s="48">
        <f t="shared" si="8"/>
        <v>175</v>
      </c>
      <c r="P46" s="43">
        <f t="shared" si="9"/>
        <v>766</v>
      </c>
      <c r="Q46" s="1"/>
    </row>
    <row r="47" spans="1:27" ht="18.75">
      <c r="A47" s="7">
        <v>1</v>
      </c>
      <c r="B47" s="7" t="s">
        <v>120</v>
      </c>
      <c r="C47" s="7">
        <v>13</v>
      </c>
      <c r="D47" s="6"/>
      <c r="E47" s="29" t="s">
        <v>51</v>
      </c>
      <c r="F47" s="29"/>
      <c r="G47" s="8">
        <v>2</v>
      </c>
      <c r="H47" s="8">
        <v>0</v>
      </c>
      <c r="I47" s="12" t="s">
        <v>35</v>
      </c>
      <c r="J47" s="9">
        <f t="shared" si="5"/>
        <v>200</v>
      </c>
      <c r="K47" s="8">
        <v>0</v>
      </c>
      <c r="L47" s="8">
        <f t="shared" si="6"/>
        <v>200</v>
      </c>
      <c r="M47" s="44">
        <v>708</v>
      </c>
      <c r="N47" s="42">
        <f t="shared" si="7"/>
        <v>908</v>
      </c>
      <c r="O47" s="48">
        <f t="shared" si="8"/>
        <v>175</v>
      </c>
      <c r="P47" s="43">
        <f t="shared" si="9"/>
        <v>733</v>
      </c>
      <c r="Q47" s="1"/>
    </row>
    <row r="48" spans="1:27" ht="18.75">
      <c r="A48" s="7">
        <v>1</v>
      </c>
      <c r="B48" s="7" t="s">
        <v>118</v>
      </c>
      <c r="C48" s="7">
        <v>16</v>
      </c>
      <c r="D48" s="6"/>
      <c r="E48" s="29" t="s">
        <v>54</v>
      </c>
      <c r="F48" s="32"/>
      <c r="G48" s="8">
        <v>4</v>
      </c>
      <c r="H48" s="8">
        <v>0</v>
      </c>
      <c r="I48" s="12" t="s">
        <v>35</v>
      </c>
      <c r="J48" s="9">
        <f t="shared" si="5"/>
        <v>400</v>
      </c>
      <c r="K48" s="8">
        <v>0</v>
      </c>
      <c r="L48" s="8">
        <f t="shared" si="6"/>
        <v>400</v>
      </c>
      <c r="M48" s="44">
        <v>485</v>
      </c>
      <c r="N48" s="42">
        <f t="shared" si="7"/>
        <v>885</v>
      </c>
      <c r="O48" s="48">
        <f t="shared" si="8"/>
        <v>175</v>
      </c>
      <c r="P48" s="43">
        <f t="shared" si="9"/>
        <v>710</v>
      </c>
    </row>
    <row r="49" spans="1:17" ht="18.75">
      <c r="A49" s="7">
        <v>1</v>
      </c>
      <c r="B49" s="7" t="s">
        <v>110</v>
      </c>
      <c r="C49" s="7">
        <v>28</v>
      </c>
      <c r="D49" s="6"/>
      <c r="E49" s="29" t="s">
        <v>66</v>
      </c>
      <c r="F49" s="32"/>
      <c r="G49" s="8">
        <v>3</v>
      </c>
      <c r="H49" s="8">
        <v>0</v>
      </c>
      <c r="I49" s="12" t="s">
        <v>35</v>
      </c>
      <c r="J49" s="9">
        <f t="shared" si="5"/>
        <v>300</v>
      </c>
      <c r="K49" s="8">
        <v>0</v>
      </c>
      <c r="L49" s="8">
        <f t="shared" si="6"/>
        <v>300</v>
      </c>
      <c r="M49" s="44">
        <v>578</v>
      </c>
      <c r="N49" s="42">
        <f t="shared" si="7"/>
        <v>878</v>
      </c>
      <c r="O49" s="48">
        <f t="shared" si="8"/>
        <v>175</v>
      </c>
      <c r="P49" s="43">
        <f t="shared" si="9"/>
        <v>703</v>
      </c>
    </row>
    <row r="50" spans="1:17" ht="18.75">
      <c r="A50" s="7">
        <v>1</v>
      </c>
      <c r="B50" s="7" t="s">
        <v>109</v>
      </c>
      <c r="C50" s="7">
        <v>39</v>
      </c>
      <c r="D50" s="6"/>
      <c r="E50" s="29" t="s">
        <v>77</v>
      </c>
      <c r="F50" s="29"/>
      <c r="G50" s="8">
        <v>4</v>
      </c>
      <c r="H50" s="8">
        <v>0</v>
      </c>
      <c r="I50" s="12" t="s">
        <v>35</v>
      </c>
      <c r="J50" s="9">
        <f t="shared" si="5"/>
        <v>400</v>
      </c>
      <c r="K50" s="8">
        <v>0</v>
      </c>
      <c r="L50" s="8">
        <f t="shared" si="6"/>
        <v>400</v>
      </c>
      <c r="M50" s="44">
        <v>475</v>
      </c>
      <c r="N50" s="42">
        <f t="shared" si="7"/>
        <v>875</v>
      </c>
      <c r="O50" s="48">
        <f t="shared" si="8"/>
        <v>175</v>
      </c>
      <c r="P50" s="43">
        <f t="shared" si="9"/>
        <v>700</v>
      </c>
    </row>
    <row r="51" spans="1:17" ht="18.75">
      <c r="A51" s="7">
        <v>1</v>
      </c>
      <c r="B51" s="7" t="s">
        <v>113</v>
      </c>
      <c r="C51" s="7">
        <v>64</v>
      </c>
      <c r="D51" s="6"/>
      <c r="E51" s="29" t="s">
        <v>102</v>
      </c>
      <c r="F51" s="29"/>
      <c r="G51" s="8">
        <v>2</v>
      </c>
      <c r="H51" s="8">
        <v>0</v>
      </c>
      <c r="I51" s="12" t="s">
        <v>35</v>
      </c>
      <c r="J51" s="9">
        <f t="shared" si="5"/>
        <v>200</v>
      </c>
      <c r="K51" s="8">
        <v>0</v>
      </c>
      <c r="L51" s="8">
        <f t="shared" si="6"/>
        <v>200</v>
      </c>
      <c r="M51" s="44">
        <v>594</v>
      </c>
      <c r="N51" s="42">
        <f t="shared" si="7"/>
        <v>794</v>
      </c>
      <c r="O51" s="48">
        <f t="shared" si="8"/>
        <v>175</v>
      </c>
      <c r="P51" s="43">
        <f t="shared" si="9"/>
        <v>619</v>
      </c>
    </row>
    <row r="52" spans="1:17" ht="18.75">
      <c r="A52" s="7">
        <v>1</v>
      </c>
      <c r="B52" s="7" t="s">
        <v>108</v>
      </c>
      <c r="C52" s="7">
        <v>44</v>
      </c>
      <c r="D52" s="6"/>
      <c r="E52" s="29" t="s">
        <v>82</v>
      </c>
      <c r="F52" s="29"/>
      <c r="G52" s="8">
        <v>3</v>
      </c>
      <c r="H52" s="8">
        <v>0</v>
      </c>
      <c r="I52" s="12" t="s">
        <v>35</v>
      </c>
      <c r="J52" s="9">
        <f t="shared" si="5"/>
        <v>300</v>
      </c>
      <c r="K52" s="8">
        <v>0</v>
      </c>
      <c r="L52" s="8">
        <f t="shared" si="6"/>
        <v>300</v>
      </c>
      <c r="M52" s="44">
        <v>329</v>
      </c>
      <c r="N52" s="42">
        <f t="shared" si="7"/>
        <v>629</v>
      </c>
      <c r="O52" s="48">
        <f t="shared" si="8"/>
        <v>175</v>
      </c>
      <c r="P52" s="43">
        <f t="shared" si="9"/>
        <v>454</v>
      </c>
    </row>
    <row r="53" spans="1:17" ht="18.75">
      <c r="A53" s="7">
        <v>1</v>
      </c>
      <c r="B53" s="7" t="s">
        <v>114</v>
      </c>
      <c r="C53" s="7">
        <v>33</v>
      </c>
      <c r="D53" s="6"/>
      <c r="E53" s="29" t="s">
        <v>71</v>
      </c>
      <c r="F53" s="29"/>
      <c r="G53" s="8">
        <v>3</v>
      </c>
      <c r="H53" s="8">
        <v>0</v>
      </c>
      <c r="I53" s="12" t="s">
        <v>35</v>
      </c>
      <c r="J53" s="9">
        <f t="shared" si="5"/>
        <v>300</v>
      </c>
      <c r="K53" s="8">
        <v>0</v>
      </c>
      <c r="L53" s="8">
        <f t="shared" si="6"/>
        <v>300</v>
      </c>
      <c r="M53" s="44">
        <v>278</v>
      </c>
      <c r="N53" s="42">
        <f t="shared" si="7"/>
        <v>578</v>
      </c>
      <c r="O53" s="48">
        <f t="shared" si="8"/>
        <v>175</v>
      </c>
      <c r="P53" s="43">
        <f t="shared" si="9"/>
        <v>403</v>
      </c>
    </row>
    <row r="54" spans="1:17" ht="18.75">
      <c r="A54" s="7">
        <v>1</v>
      </c>
      <c r="B54" s="7" t="s">
        <v>110</v>
      </c>
      <c r="C54" s="7">
        <v>54</v>
      </c>
      <c r="D54" s="6"/>
      <c r="E54" s="29" t="s">
        <v>92</v>
      </c>
      <c r="G54" s="8">
        <v>2</v>
      </c>
      <c r="H54" s="8">
        <v>0</v>
      </c>
      <c r="I54" s="12" t="s">
        <v>35</v>
      </c>
      <c r="J54" s="9">
        <f t="shared" si="5"/>
        <v>200</v>
      </c>
      <c r="K54" s="8">
        <v>0</v>
      </c>
      <c r="L54" s="8">
        <f t="shared" si="6"/>
        <v>200</v>
      </c>
      <c r="M54" s="44">
        <v>350</v>
      </c>
      <c r="N54" s="42">
        <f t="shared" si="7"/>
        <v>550</v>
      </c>
      <c r="O54" s="48">
        <f t="shared" si="8"/>
        <v>175</v>
      </c>
      <c r="P54" s="43">
        <f t="shared" si="9"/>
        <v>375</v>
      </c>
    </row>
    <row r="55" spans="1:17" ht="18.75">
      <c r="A55" s="7">
        <v>1</v>
      </c>
      <c r="B55" s="7" t="s">
        <v>115</v>
      </c>
      <c r="C55" s="7">
        <v>26</v>
      </c>
      <c r="D55" s="6"/>
      <c r="E55" s="29" t="s">
        <v>64</v>
      </c>
      <c r="F55" s="32"/>
      <c r="G55" s="8">
        <v>3</v>
      </c>
      <c r="H55" s="8">
        <v>0</v>
      </c>
      <c r="I55" s="12" t="s">
        <v>35</v>
      </c>
      <c r="J55" s="9">
        <f t="shared" si="5"/>
        <v>300</v>
      </c>
      <c r="K55" s="8">
        <v>0</v>
      </c>
      <c r="L55" s="8">
        <f t="shared" si="6"/>
        <v>300</v>
      </c>
      <c r="M55" s="44">
        <v>194</v>
      </c>
      <c r="N55" s="42">
        <f t="shared" si="7"/>
        <v>494</v>
      </c>
      <c r="O55" s="48">
        <f t="shared" si="8"/>
        <v>175</v>
      </c>
      <c r="P55" s="43">
        <f t="shared" si="9"/>
        <v>319</v>
      </c>
    </row>
    <row r="56" spans="1:17" ht="18.75">
      <c r="A56" s="7">
        <v>1</v>
      </c>
      <c r="B56" s="7" t="s">
        <v>110</v>
      </c>
      <c r="C56" s="7">
        <v>31</v>
      </c>
      <c r="D56" s="6"/>
      <c r="E56" s="29" t="s">
        <v>69</v>
      </c>
      <c r="F56" s="32"/>
      <c r="G56" s="8">
        <v>4</v>
      </c>
      <c r="H56" s="8">
        <v>0</v>
      </c>
      <c r="I56" s="12" t="s">
        <v>35</v>
      </c>
      <c r="J56" s="9">
        <f t="shared" si="5"/>
        <v>400</v>
      </c>
      <c r="K56" s="8">
        <v>0</v>
      </c>
      <c r="L56" s="8">
        <f t="shared" si="6"/>
        <v>400</v>
      </c>
      <c r="M56" s="44">
        <v>25</v>
      </c>
      <c r="N56" s="42">
        <f t="shared" si="7"/>
        <v>425</v>
      </c>
      <c r="O56" s="48">
        <f t="shared" si="8"/>
        <v>175</v>
      </c>
      <c r="P56" s="43">
        <f t="shared" si="9"/>
        <v>250</v>
      </c>
    </row>
    <row r="57" spans="1:17" ht="18.75">
      <c r="A57" s="7">
        <v>1</v>
      </c>
      <c r="B57" s="7" t="s">
        <v>112</v>
      </c>
      <c r="C57" s="7">
        <v>57</v>
      </c>
      <c r="D57" s="6"/>
      <c r="E57" s="29" t="s">
        <v>95</v>
      </c>
      <c r="G57" s="8">
        <v>0</v>
      </c>
      <c r="H57" s="8">
        <v>0</v>
      </c>
      <c r="I57" s="27" t="s">
        <v>23</v>
      </c>
      <c r="J57" s="9">
        <f t="shared" si="5"/>
        <v>0</v>
      </c>
      <c r="K57" s="8">
        <v>0</v>
      </c>
      <c r="L57" s="8">
        <f t="shared" si="6"/>
        <v>0</v>
      </c>
      <c r="M57" s="44">
        <v>410</v>
      </c>
      <c r="N57" s="42">
        <f t="shared" si="7"/>
        <v>410</v>
      </c>
      <c r="O57" s="48">
        <f t="shared" si="8"/>
        <v>0</v>
      </c>
      <c r="P57" s="43">
        <f t="shared" si="9"/>
        <v>410</v>
      </c>
    </row>
    <row r="58" spans="1:17" ht="18.75">
      <c r="A58" s="7">
        <v>1</v>
      </c>
      <c r="B58" s="7" t="s">
        <v>118</v>
      </c>
      <c r="C58" s="7">
        <v>65</v>
      </c>
      <c r="E58" s="29" t="s">
        <v>105</v>
      </c>
      <c r="G58" s="8">
        <v>4</v>
      </c>
      <c r="H58" s="8">
        <v>0</v>
      </c>
      <c r="I58" s="12" t="s">
        <v>35</v>
      </c>
      <c r="J58" s="9">
        <f t="shared" si="5"/>
        <v>400</v>
      </c>
      <c r="K58" s="8">
        <v>0</v>
      </c>
      <c r="L58" s="8">
        <f t="shared" si="6"/>
        <v>400</v>
      </c>
      <c r="M58" s="44">
        <v>0</v>
      </c>
      <c r="N58" s="42">
        <f t="shared" si="7"/>
        <v>400</v>
      </c>
      <c r="O58" s="48">
        <f t="shared" si="8"/>
        <v>175</v>
      </c>
      <c r="P58" s="43">
        <f t="shared" si="9"/>
        <v>225</v>
      </c>
    </row>
    <row r="59" spans="1:17" ht="18.75">
      <c r="A59" s="7">
        <v>1</v>
      </c>
      <c r="B59" s="7" t="s">
        <v>122</v>
      </c>
      <c r="C59" s="7">
        <v>7</v>
      </c>
      <c r="D59" s="6"/>
      <c r="E59" s="29" t="s">
        <v>45</v>
      </c>
      <c r="F59" s="29"/>
      <c r="G59" s="8">
        <v>0</v>
      </c>
      <c r="H59" s="8">
        <v>0</v>
      </c>
      <c r="I59" s="27" t="s">
        <v>23</v>
      </c>
      <c r="J59" s="9">
        <f t="shared" si="5"/>
        <v>0</v>
      </c>
      <c r="K59" s="8">
        <v>0</v>
      </c>
      <c r="L59" s="8">
        <f t="shared" si="6"/>
        <v>0</v>
      </c>
      <c r="M59" s="44">
        <v>238</v>
      </c>
      <c r="N59" s="42">
        <f t="shared" si="7"/>
        <v>238</v>
      </c>
      <c r="O59" s="48">
        <f t="shared" si="8"/>
        <v>0</v>
      </c>
      <c r="P59" s="43">
        <f t="shared" si="9"/>
        <v>238</v>
      </c>
      <c r="Q59" s="40"/>
    </row>
    <row r="60" spans="1:17" ht="18.75">
      <c r="A60" s="7">
        <v>1</v>
      </c>
      <c r="B60" s="7" t="s">
        <v>116</v>
      </c>
      <c r="C60" s="7">
        <v>60</v>
      </c>
      <c r="D60" s="6"/>
      <c r="E60" s="29" t="s">
        <v>98</v>
      </c>
      <c r="G60" s="8">
        <v>2</v>
      </c>
      <c r="H60" s="8">
        <v>0</v>
      </c>
      <c r="I60" s="12" t="s">
        <v>35</v>
      </c>
      <c r="J60" s="9">
        <f t="shared" si="5"/>
        <v>200</v>
      </c>
      <c r="K60" s="8">
        <v>0</v>
      </c>
      <c r="L60" s="8">
        <f t="shared" si="6"/>
        <v>200</v>
      </c>
      <c r="M60" s="44">
        <v>25</v>
      </c>
      <c r="N60" s="42">
        <f t="shared" si="7"/>
        <v>225</v>
      </c>
      <c r="O60" s="48">
        <f t="shared" si="8"/>
        <v>175</v>
      </c>
      <c r="P60" s="43">
        <f t="shared" si="9"/>
        <v>50</v>
      </c>
    </row>
    <row r="61" spans="1:17" ht="18.75">
      <c r="A61" s="7">
        <v>1</v>
      </c>
      <c r="B61" s="7" t="s">
        <v>122</v>
      </c>
      <c r="C61" s="7">
        <v>61</v>
      </c>
      <c r="D61" s="6"/>
      <c r="E61" s="29" t="s">
        <v>99</v>
      </c>
      <c r="F61" s="29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225</v>
      </c>
      <c r="N61" s="42">
        <f t="shared" si="7"/>
        <v>225</v>
      </c>
      <c r="O61" s="48">
        <f t="shared" si="8"/>
        <v>0</v>
      </c>
      <c r="P61" s="43">
        <f t="shared" si="9"/>
        <v>225</v>
      </c>
    </row>
    <row r="62" spans="1:17" ht="18.75">
      <c r="A62" s="7">
        <v>1</v>
      </c>
      <c r="B62" s="7" t="s">
        <v>122</v>
      </c>
      <c r="C62" s="7">
        <v>34</v>
      </c>
      <c r="D62" s="6"/>
      <c r="E62" s="29" t="s">
        <v>72</v>
      </c>
      <c r="F62" s="29"/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219</v>
      </c>
      <c r="N62" s="42">
        <f t="shared" si="7"/>
        <v>219</v>
      </c>
      <c r="O62" s="48">
        <f t="shared" si="8"/>
        <v>0</v>
      </c>
      <c r="P62" s="43">
        <f t="shared" si="9"/>
        <v>219</v>
      </c>
    </row>
    <row r="63" spans="1:17" ht="18.75">
      <c r="A63" s="7">
        <v>1</v>
      </c>
      <c r="B63" s="7" t="s">
        <v>108</v>
      </c>
      <c r="C63" s="7">
        <v>8</v>
      </c>
      <c r="D63" s="6"/>
      <c r="E63" s="29" t="s">
        <v>46</v>
      </c>
      <c r="F63" s="29"/>
      <c r="G63" s="8">
        <v>2</v>
      </c>
      <c r="H63" s="8">
        <v>0</v>
      </c>
      <c r="I63" s="12" t="s">
        <v>35</v>
      </c>
      <c r="J63" s="9">
        <f t="shared" si="5"/>
        <v>200</v>
      </c>
      <c r="K63" s="8">
        <v>0</v>
      </c>
      <c r="L63" s="8">
        <f t="shared" si="6"/>
        <v>200</v>
      </c>
      <c r="M63" s="44">
        <v>0</v>
      </c>
      <c r="N63" s="42">
        <f t="shared" si="7"/>
        <v>200</v>
      </c>
      <c r="O63" s="48">
        <f t="shared" si="8"/>
        <v>175</v>
      </c>
      <c r="P63" s="43">
        <f t="shared" si="9"/>
        <v>25</v>
      </c>
      <c r="Q63" s="40"/>
    </row>
    <row r="64" spans="1:17" ht="18.75">
      <c r="A64" s="7">
        <v>1</v>
      </c>
      <c r="B64" s="7" t="s">
        <v>108</v>
      </c>
      <c r="C64" s="7">
        <v>38</v>
      </c>
      <c r="D64" s="6"/>
      <c r="E64" s="29" t="s">
        <v>76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150</v>
      </c>
      <c r="N64" s="42">
        <f t="shared" si="7"/>
        <v>150</v>
      </c>
      <c r="O64" s="48">
        <f t="shared" si="8"/>
        <v>0</v>
      </c>
      <c r="P64" s="43">
        <f t="shared" si="9"/>
        <v>150</v>
      </c>
    </row>
    <row r="65" spans="1:16" ht="18.75">
      <c r="A65" s="7">
        <v>1</v>
      </c>
      <c r="B65" s="7" t="s">
        <v>122</v>
      </c>
      <c r="C65" s="7">
        <v>27</v>
      </c>
      <c r="D65" s="6"/>
      <c r="E65" s="29" t="s">
        <v>65</v>
      </c>
      <c r="F65" s="32"/>
      <c r="G65" s="8">
        <v>1</v>
      </c>
      <c r="H65" s="8">
        <v>0</v>
      </c>
      <c r="I65" s="12" t="s">
        <v>35</v>
      </c>
      <c r="J65" s="9">
        <f t="shared" si="5"/>
        <v>100</v>
      </c>
      <c r="K65" s="8">
        <v>0</v>
      </c>
      <c r="L65" s="8">
        <f t="shared" si="6"/>
        <v>100</v>
      </c>
      <c r="M65" s="44">
        <v>25</v>
      </c>
      <c r="N65" s="42">
        <f t="shared" si="7"/>
        <v>125</v>
      </c>
      <c r="O65" s="48">
        <f t="shared" si="8"/>
        <v>175</v>
      </c>
      <c r="P65" s="43">
        <f t="shared" si="9"/>
        <v>0</v>
      </c>
    </row>
    <row r="66" spans="1:16" ht="18.75">
      <c r="A66" s="7">
        <v>1</v>
      </c>
      <c r="B66" s="7" t="s">
        <v>125</v>
      </c>
      <c r="C66" s="7">
        <v>59</v>
      </c>
      <c r="D66" s="6"/>
      <c r="E66" s="29" t="s">
        <v>97</v>
      </c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25</v>
      </c>
      <c r="N66" s="42">
        <f t="shared" si="7"/>
        <v>25</v>
      </c>
      <c r="O66" s="48">
        <f t="shared" si="8"/>
        <v>0</v>
      </c>
      <c r="P66" s="43">
        <f t="shared" si="9"/>
        <v>25</v>
      </c>
    </row>
    <row r="67" spans="1:16" ht="18.75">
      <c r="A67" s="7">
        <v>1</v>
      </c>
      <c r="B67" s="7" t="s">
        <v>118</v>
      </c>
      <c r="C67" s="7">
        <v>51</v>
      </c>
      <c r="D67" s="6"/>
      <c r="E67" s="29" t="s">
        <v>89</v>
      </c>
      <c r="F67" s="29"/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0</v>
      </c>
      <c r="N67" s="42">
        <f t="shared" si="7"/>
        <v>0</v>
      </c>
      <c r="O67" s="48">
        <f t="shared" si="8"/>
        <v>0</v>
      </c>
      <c r="P67" s="43">
        <f t="shared" si="9"/>
        <v>0</v>
      </c>
    </row>
    <row r="68" spans="1:16" ht="18.75">
      <c r="A68" s="7">
        <v>1</v>
      </c>
      <c r="B68" s="7" t="s">
        <v>114</v>
      </c>
      <c r="C68" s="7">
        <v>19</v>
      </c>
      <c r="D68" s="6"/>
      <c r="E68" s="29" t="s">
        <v>57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6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N4:N69"/>
    </sortState>
  </autoFilter>
  <mergeCells count="4">
    <mergeCell ref="C1:P1"/>
    <mergeCell ref="C2:P2"/>
    <mergeCell ref="C3:F3"/>
    <mergeCell ref="I3:P3"/>
  </mergeCells>
  <conditionalFormatting sqref="G5:H69">
    <cfRule type="cellIs" dxfId="22" priority="2" operator="lessThan">
      <formula>1</formula>
    </cfRule>
  </conditionalFormatting>
  <conditionalFormatting sqref="K5:K69">
    <cfRule type="cellIs" dxfId="21" priority="1" operator="lessThan">
      <formula>1</formula>
    </cfRule>
  </conditionalFormatting>
  <hyperlinks>
    <hyperlink ref="E23" r:id="rId1" xr:uid="{165F6A4B-EEE8-48CF-A34D-C331E170E5E8}"/>
  </hyperlinks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6F8A-21A5-44F0-A52C-084A3858A9DA}">
  <dimension ref="A1:AA69"/>
  <sheetViews>
    <sheetView topLeftCell="A37" zoomScale="85" zoomScaleNormal="85" workbookViewId="0">
      <selection activeCell="C1" sqref="C1:P69"/>
    </sheetView>
  </sheetViews>
  <sheetFormatPr defaultColWidth="9" defaultRowHeight="13.5"/>
  <cols>
    <col min="1" max="2" width="6.5" customWidth="1"/>
    <col min="3" max="3" width="6.625" style="1" customWidth="1"/>
    <col min="4" max="4" width="19.75" style="3" hidden="1" customWidth="1"/>
    <col min="5" max="5" width="21.25" style="3" customWidth="1"/>
    <col min="6" max="6" width="18.375" style="1" hidden="1" customWidth="1"/>
    <col min="7" max="7" width="13.125" style="1" customWidth="1"/>
    <col min="8" max="8" width="13.75" style="1" hidden="1" customWidth="1"/>
    <col min="9" max="9" width="20" style="1" customWidth="1"/>
    <col min="10" max="10" width="9" style="1" customWidth="1"/>
    <col min="11" max="11" width="10" style="1" customWidth="1"/>
    <col min="12" max="12" width="9" style="1" customWidth="1"/>
    <col min="13" max="13" width="10.5" style="1" customWidth="1"/>
    <col min="14" max="14" width="13" style="1" customWidth="1"/>
    <col min="15" max="15" width="9.25" style="1" customWidth="1"/>
    <col min="16" max="16" width="12.625" style="1" customWidth="1"/>
    <col min="17" max="17" width="11.125" customWidth="1"/>
    <col min="18" max="18" width="22.5" customWidth="1"/>
  </cols>
  <sheetData>
    <row r="1" spans="1:26" ht="36.6" customHeight="1">
      <c r="C1" s="49" t="str">
        <f>CONCATENATE("5-8，97-104区 欧皇宝宝",S15,"年",S16,"月",S17,"日","分包贡献明细"," 统计：")</f>
        <v>5-8，97-104区 欧皇宝宝2026年2月21日分包贡献明细 统计：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6"/>
      <c r="R1" s="3" t="s">
        <v>7</v>
      </c>
      <c r="S1" s="3">
        <v>62</v>
      </c>
      <c r="T1" s="2"/>
      <c r="U1" s="2"/>
      <c r="V1" s="2"/>
      <c r="W1" s="2"/>
    </row>
    <row r="2" spans="1:26" ht="86.45" customHeight="1">
      <c r="C2" s="51" t="s">
        <v>103</v>
      </c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37"/>
      <c r="R2" s="3" t="s">
        <v>0</v>
      </c>
      <c r="S2" s="17" t="s">
        <v>8</v>
      </c>
      <c r="T2" s="3" t="s">
        <v>9</v>
      </c>
      <c r="U2" s="3" t="s">
        <v>10</v>
      </c>
      <c r="V2" s="3" t="s">
        <v>36</v>
      </c>
      <c r="W2" s="18" t="s">
        <v>11</v>
      </c>
    </row>
    <row r="3" spans="1:26" ht="20.25">
      <c r="C3" s="54" t="s">
        <v>13</v>
      </c>
      <c r="D3" s="54"/>
      <c r="E3" s="54"/>
      <c r="F3" s="54"/>
      <c r="G3" s="38" t="s">
        <v>12</v>
      </c>
      <c r="H3" s="39" t="s">
        <v>29</v>
      </c>
      <c r="I3" s="55" t="s">
        <v>14</v>
      </c>
      <c r="J3" s="56"/>
      <c r="K3" s="56"/>
      <c r="L3" s="56"/>
      <c r="M3" s="56"/>
      <c r="N3" s="56"/>
      <c r="O3" s="56"/>
      <c r="P3" s="57"/>
      <c r="Q3" s="35"/>
      <c r="R3" s="19" t="s">
        <v>15</v>
      </c>
      <c r="S3" s="17">
        <v>456</v>
      </c>
      <c r="T3" s="3">
        <v>5</v>
      </c>
      <c r="U3" s="3">
        <v>7</v>
      </c>
      <c r="V3" s="3">
        <v>20</v>
      </c>
      <c r="W3" s="3">
        <v>1900</v>
      </c>
    </row>
    <row r="4" spans="1:26" ht="40.5">
      <c r="A4" s="41" t="s">
        <v>38</v>
      </c>
      <c r="B4" s="41" t="s">
        <v>107</v>
      </c>
      <c r="C4" s="41" t="s">
        <v>2</v>
      </c>
      <c r="D4" s="34" t="s">
        <v>16</v>
      </c>
      <c r="E4" s="41" t="s">
        <v>3</v>
      </c>
      <c r="F4" s="41" t="s">
        <v>4</v>
      </c>
      <c r="G4" s="4" t="s">
        <v>30</v>
      </c>
      <c r="H4" s="5" t="s">
        <v>37</v>
      </c>
      <c r="I4" s="4" t="s">
        <v>5</v>
      </c>
      <c r="J4" s="4" t="s">
        <v>17</v>
      </c>
      <c r="K4" s="5" t="s">
        <v>32</v>
      </c>
      <c r="L4" s="13" t="s">
        <v>18</v>
      </c>
      <c r="M4" s="34" t="s">
        <v>19</v>
      </c>
      <c r="N4" s="14" t="s">
        <v>6</v>
      </c>
      <c r="O4" s="34" t="s">
        <v>104</v>
      </c>
      <c r="P4" s="34" t="s">
        <v>20</v>
      </c>
      <c r="Q4" s="34" t="s">
        <v>1</v>
      </c>
      <c r="R4" s="20" t="s">
        <v>21</v>
      </c>
      <c r="S4" s="17">
        <v>372</v>
      </c>
      <c r="T4" s="3">
        <v>4</v>
      </c>
      <c r="U4" s="3">
        <v>6</v>
      </c>
      <c r="V4" s="3">
        <v>15</v>
      </c>
      <c r="W4" s="3">
        <v>1550</v>
      </c>
    </row>
    <row r="5" spans="1:26" ht="18.75">
      <c r="A5" s="7">
        <v>1</v>
      </c>
      <c r="B5" s="7" t="s">
        <v>113</v>
      </c>
      <c r="C5" s="7">
        <v>32</v>
      </c>
      <c r="D5" s="6"/>
      <c r="E5" s="29" t="s">
        <v>70</v>
      </c>
      <c r="F5" s="32"/>
      <c r="G5" s="8">
        <v>3</v>
      </c>
      <c r="H5" s="8">
        <v>0</v>
      </c>
      <c r="I5" s="19" t="s">
        <v>15</v>
      </c>
      <c r="J5" s="9">
        <f t="shared" ref="J5:J36" si="0">G5*100</f>
        <v>300</v>
      </c>
      <c r="K5" s="8">
        <v>0</v>
      </c>
      <c r="L5" s="8">
        <f t="shared" ref="L5:L36" si="1">SUM(J5+K5)</f>
        <v>300</v>
      </c>
      <c r="M5" s="44">
        <v>895</v>
      </c>
      <c r="N5" s="42">
        <f t="shared" ref="N5:N36" si="2">M5+L5</f>
        <v>1195</v>
      </c>
      <c r="O5" s="48">
        <f t="shared" ref="O5:O36" si="3">VLOOKUP(I5,$R$3:$S$10,2,FALSE)</f>
        <v>456</v>
      </c>
      <c r="P5" s="43">
        <f t="shared" ref="P5:P36" si="4">IF(N5-O5&gt;0,N5-O5,0)</f>
        <v>739</v>
      </c>
      <c r="Q5" s="1"/>
      <c r="R5" s="12" t="s">
        <v>22</v>
      </c>
      <c r="S5" s="17">
        <v>300</v>
      </c>
      <c r="T5" s="1">
        <v>3</v>
      </c>
      <c r="U5" s="1">
        <v>5</v>
      </c>
      <c r="V5" s="1">
        <v>10</v>
      </c>
      <c r="W5" s="1">
        <v>1200</v>
      </c>
    </row>
    <row r="6" spans="1:26" ht="18.75">
      <c r="A6" s="7">
        <v>1</v>
      </c>
      <c r="B6" s="7" t="s">
        <v>120</v>
      </c>
      <c r="C6" s="7">
        <v>29</v>
      </c>
      <c r="D6" s="6"/>
      <c r="E6" s="29" t="s">
        <v>67</v>
      </c>
      <c r="F6" s="32"/>
      <c r="G6" s="8">
        <v>3</v>
      </c>
      <c r="H6" s="8">
        <v>0</v>
      </c>
      <c r="I6" s="19" t="s">
        <v>15</v>
      </c>
      <c r="J6" s="9">
        <f t="shared" si="0"/>
        <v>300</v>
      </c>
      <c r="K6" s="8">
        <v>0</v>
      </c>
      <c r="L6" s="8">
        <f t="shared" si="1"/>
        <v>300</v>
      </c>
      <c r="M6" s="44">
        <v>894</v>
      </c>
      <c r="N6" s="42">
        <f t="shared" si="2"/>
        <v>1194</v>
      </c>
      <c r="O6" s="48">
        <f t="shared" si="3"/>
        <v>456</v>
      </c>
      <c r="P6" s="43">
        <f t="shared" si="4"/>
        <v>738</v>
      </c>
      <c r="Q6" s="1"/>
      <c r="R6" s="12"/>
      <c r="S6" s="17"/>
      <c r="T6" s="1"/>
      <c r="U6" s="1"/>
      <c r="V6" s="1"/>
      <c r="W6" s="1"/>
    </row>
    <row r="7" spans="1:26" ht="18.75">
      <c r="A7" s="7">
        <v>1</v>
      </c>
      <c r="B7" s="7" t="s">
        <v>122</v>
      </c>
      <c r="C7" s="7">
        <v>1</v>
      </c>
      <c r="D7" s="6"/>
      <c r="E7" s="29" t="s">
        <v>39</v>
      </c>
      <c r="F7" s="29"/>
      <c r="G7" s="8">
        <v>3</v>
      </c>
      <c r="H7" s="8">
        <v>0</v>
      </c>
      <c r="I7" s="19" t="s">
        <v>15</v>
      </c>
      <c r="J7" s="9">
        <f t="shared" si="0"/>
        <v>300</v>
      </c>
      <c r="K7" s="8">
        <v>0</v>
      </c>
      <c r="L7" s="8">
        <f t="shared" si="1"/>
        <v>300</v>
      </c>
      <c r="M7" s="44">
        <v>892</v>
      </c>
      <c r="N7" s="42">
        <f t="shared" si="2"/>
        <v>1192</v>
      </c>
      <c r="O7" s="48">
        <f t="shared" si="3"/>
        <v>456</v>
      </c>
      <c r="P7" s="43">
        <f t="shared" si="4"/>
        <v>736</v>
      </c>
      <c r="Q7" s="9"/>
      <c r="R7" s="10" t="s">
        <v>33</v>
      </c>
      <c r="S7" s="17">
        <v>312</v>
      </c>
      <c r="T7" s="1">
        <v>4</v>
      </c>
      <c r="U7" s="1">
        <v>5</v>
      </c>
      <c r="V7" s="1"/>
      <c r="W7" s="1">
        <v>1300</v>
      </c>
    </row>
    <row r="8" spans="1:26" ht="18.75">
      <c r="A8" s="7">
        <v>1</v>
      </c>
      <c r="B8" s="7" t="s">
        <v>114</v>
      </c>
      <c r="C8" s="7">
        <v>36</v>
      </c>
      <c r="D8" s="6"/>
      <c r="E8" s="29" t="s">
        <v>74</v>
      </c>
      <c r="F8" s="29"/>
      <c r="G8" s="8">
        <v>3</v>
      </c>
      <c r="H8" s="8">
        <v>0</v>
      </c>
      <c r="I8" s="19" t="s">
        <v>15</v>
      </c>
      <c r="J8" s="9">
        <f t="shared" si="0"/>
        <v>300</v>
      </c>
      <c r="K8" s="8">
        <v>0</v>
      </c>
      <c r="L8" s="8">
        <f t="shared" si="1"/>
        <v>300</v>
      </c>
      <c r="M8" s="44">
        <v>892</v>
      </c>
      <c r="N8" s="42">
        <f t="shared" si="2"/>
        <v>1192</v>
      </c>
      <c r="O8" s="48">
        <f t="shared" si="3"/>
        <v>456</v>
      </c>
      <c r="P8" s="43">
        <f t="shared" si="4"/>
        <v>736</v>
      </c>
      <c r="Q8" s="1"/>
      <c r="R8" s="11" t="s">
        <v>34</v>
      </c>
      <c r="S8" s="17">
        <v>240</v>
      </c>
      <c r="T8" s="1">
        <v>3</v>
      </c>
      <c r="U8" s="1">
        <v>4</v>
      </c>
      <c r="V8" s="1"/>
      <c r="W8" s="1">
        <v>1000</v>
      </c>
    </row>
    <row r="9" spans="1:26" ht="18.75">
      <c r="A9" s="7">
        <v>1</v>
      </c>
      <c r="B9" s="7" t="s">
        <v>120</v>
      </c>
      <c r="C9" s="7">
        <v>45</v>
      </c>
      <c r="D9" s="6"/>
      <c r="E9" s="29" t="s">
        <v>83</v>
      </c>
      <c r="F9" s="29"/>
      <c r="G9" s="8">
        <v>3</v>
      </c>
      <c r="H9" s="8">
        <v>0</v>
      </c>
      <c r="I9" s="19" t="s">
        <v>15</v>
      </c>
      <c r="J9" s="9">
        <f t="shared" si="0"/>
        <v>300</v>
      </c>
      <c r="K9" s="8">
        <v>0</v>
      </c>
      <c r="L9" s="8">
        <f t="shared" si="1"/>
        <v>300</v>
      </c>
      <c r="M9" s="44">
        <v>892</v>
      </c>
      <c r="N9" s="42">
        <f t="shared" si="2"/>
        <v>1192</v>
      </c>
      <c r="O9" s="48">
        <f t="shared" si="3"/>
        <v>456</v>
      </c>
      <c r="P9" s="43">
        <f t="shared" si="4"/>
        <v>736</v>
      </c>
      <c r="Q9" s="1"/>
      <c r="R9" s="12" t="s">
        <v>35</v>
      </c>
      <c r="S9" s="17">
        <v>175</v>
      </c>
      <c r="T9" s="1">
        <v>2</v>
      </c>
      <c r="U9" s="1">
        <v>3</v>
      </c>
      <c r="V9" s="1"/>
      <c r="W9" s="1">
        <v>700</v>
      </c>
    </row>
    <row r="10" spans="1:26" ht="18.75">
      <c r="A10" s="7">
        <v>1</v>
      </c>
      <c r="B10" s="7" t="s">
        <v>123</v>
      </c>
      <c r="C10" s="7">
        <v>12</v>
      </c>
      <c r="D10" s="6"/>
      <c r="E10" s="29" t="s">
        <v>50</v>
      </c>
      <c r="F10" s="29"/>
      <c r="G10" s="8">
        <v>3</v>
      </c>
      <c r="H10" s="8">
        <v>0</v>
      </c>
      <c r="I10" s="19" t="s">
        <v>15</v>
      </c>
      <c r="J10" s="9">
        <f t="shared" si="0"/>
        <v>300</v>
      </c>
      <c r="K10" s="8">
        <v>0</v>
      </c>
      <c r="L10" s="8">
        <f t="shared" si="1"/>
        <v>300</v>
      </c>
      <c r="M10" s="44">
        <v>890</v>
      </c>
      <c r="N10" s="42">
        <f t="shared" si="2"/>
        <v>1190</v>
      </c>
      <c r="O10" s="48">
        <f t="shared" si="3"/>
        <v>456</v>
      </c>
      <c r="P10" s="43">
        <f t="shared" si="4"/>
        <v>734</v>
      </c>
      <c r="Q10" s="1"/>
      <c r="R10" s="23" t="s">
        <v>23</v>
      </c>
      <c r="S10" s="1">
        <v>0</v>
      </c>
      <c r="T10" s="1"/>
      <c r="U10" s="1"/>
      <c r="V10" s="1"/>
      <c r="W10" s="1"/>
    </row>
    <row r="11" spans="1:26" ht="18.75">
      <c r="A11" s="7">
        <v>1</v>
      </c>
      <c r="B11" s="7" t="s">
        <v>120</v>
      </c>
      <c r="C11" s="7">
        <v>13</v>
      </c>
      <c r="D11" s="6"/>
      <c r="E11" s="29" t="s">
        <v>51</v>
      </c>
      <c r="F11" s="29"/>
      <c r="G11" s="8">
        <v>3</v>
      </c>
      <c r="H11" s="8">
        <v>0</v>
      </c>
      <c r="I11" s="19" t="s">
        <v>15</v>
      </c>
      <c r="J11" s="9">
        <f t="shared" si="0"/>
        <v>300</v>
      </c>
      <c r="K11" s="8">
        <v>0</v>
      </c>
      <c r="L11" s="8">
        <f t="shared" si="1"/>
        <v>300</v>
      </c>
      <c r="M11" s="44">
        <v>864</v>
      </c>
      <c r="N11" s="42">
        <f t="shared" si="2"/>
        <v>1164</v>
      </c>
      <c r="O11" s="48">
        <f t="shared" si="3"/>
        <v>456</v>
      </c>
      <c r="P11" s="43">
        <f t="shared" si="4"/>
        <v>708</v>
      </c>
      <c r="Q11" s="1"/>
      <c r="R11" s="24"/>
    </row>
    <row r="12" spans="1:26" ht="18.75">
      <c r="A12" s="7">
        <v>1</v>
      </c>
      <c r="B12" s="7" t="s">
        <v>123</v>
      </c>
      <c r="C12" s="7">
        <v>23</v>
      </c>
      <c r="D12" s="6"/>
      <c r="E12" s="29" t="s">
        <v>61</v>
      </c>
      <c r="F12" s="32"/>
      <c r="G12" s="8">
        <v>3</v>
      </c>
      <c r="H12" s="8">
        <v>0</v>
      </c>
      <c r="I12" s="19" t="s">
        <v>15</v>
      </c>
      <c r="J12" s="9">
        <f t="shared" si="0"/>
        <v>300</v>
      </c>
      <c r="K12" s="8">
        <v>0</v>
      </c>
      <c r="L12" s="8">
        <f t="shared" si="1"/>
        <v>300</v>
      </c>
      <c r="M12" s="44">
        <v>857</v>
      </c>
      <c r="N12" s="42">
        <f t="shared" si="2"/>
        <v>1157</v>
      </c>
      <c r="O12" s="48">
        <f t="shared" si="3"/>
        <v>456</v>
      </c>
      <c r="P12" s="43">
        <f t="shared" si="4"/>
        <v>701</v>
      </c>
      <c r="Q12" s="1"/>
      <c r="R12" s="25" t="s">
        <v>24</v>
      </c>
      <c r="S12">
        <v>15000</v>
      </c>
    </row>
    <row r="13" spans="1:26" s="1" customFormat="1" ht="18.75">
      <c r="A13" s="7">
        <v>1</v>
      </c>
      <c r="B13" s="7" t="s">
        <v>122</v>
      </c>
      <c r="C13" s="7">
        <v>43</v>
      </c>
      <c r="D13" s="6"/>
      <c r="E13" s="29" t="s">
        <v>81</v>
      </c>
      <c r="F13" s="31"/>
      <c r="G13" s="8">
        <v>3</v>
      </c>
      <c r="H13" s="8">
        <v>0</v>
      </c>
      <c r="I13" s="20" t="s">
        <v>21</v>
      </c>
      <c r="J13" s="9">
        <f t="shared" si="0"/>
        <v>300</v>
      </c>
      <c r="K13" s="8">
        <v>0</v>
      </c>
      <c r="L13" s="8">
        <f t="shared" si="1"/>
        <v>300</v>
      </c>
      <c r="M13" s="44">
        <v>857</v>
      </c>
      <c r="N13" s="42">
        <f t="shared" si="2"/>
        <v>1157</v>
      </c>
      <c r="O13" s="48">
        <f t="shared" si="3"/>
        <v>372</v>
      </c>
      <c r="P13" s="43">
        <f t="shared" si="4"/>
        <v>785</v>
      </c>
      <c r="R13" s="26" t="s">
        <v>25</v>
      </c>
      <c r="S13">
        <v>250</v>
      </c>
      <c r="T13"/>
      <c r="U13"/>
      <c r="V13"/>
      <c r="W13"/>
      <c r="X13"/>
      <c r="Y13"/>
      <c r="Z13"/>
    </row>
    <row r="14" spans="1:26" s="1" customFormat="1" ht="18.75">
      <c r="A14" s="7">
        <v>1</v>
      </c>
      <c r="B14" s="7" t="s">
        <v>118</v>
      </c>
      <c r="C14" s="7">
        <v>50</v>
      </c>
      <c r="D14" s="6"/>
      <c r="E14" s="29" t="s">
        <v>88</v>
      </c>
      <c r="F14" s="29"/>
      <c r="G14" s="8">
        <v>3</v>
      </c>
      <c r="H14" s="8">
        <v>0</v>
      </c>
      <c r="I14" s="20" t="s">
        <v>21</v>
      </c>
      <c r="J14" s="9">
        <f t="shared" si="0"/>
        <v>300</v>
      </c>
      <c r="K14" s="8">
        <v>0</v>
      </c>
      <c r="L14" s="8">
        <f t="shared" si="1"/>
        <v>300</v>
      </c>
      <c r="M14" s="44">
        <v>850</v>
      </c>
      <c r="N14" s="42">
        <f t="shared" si="2"/>
        <v>1150</v>
      </c>
      <c r="O14" s="48">
        <f t="shared" si="3"/>
        <v>372</v>
      </c>
      <c r="P14" s="43">
        <f t="shared" si="4"/>
        <v>778</v>
      </c>
      <c r="R14" s="24" t="s">
        <v>31</v>
      </c>
      <c r="S14">
        <v>1.2</v>
      </c>
      <c r="T14"/>
      <c r="U14"/>
      <c r="V14"/>
      <c r="W14"/>
      <c r="X14"/>
      <c r="Y14"/>
      <c r="Z14"/>
    </row>
    <row r="15" spans="1:26" s="1" customFormat="1" ht="18.75">
      <c r="A15" s="7">
        <v>1</v>
      </c>
      <c r="B15" s="7" t="s">
        <v>117</v>
      </c>
      <c r="C15" s="7">
        <v>9</v>
      </c>
      <c r="D15" s="6"/>
      <c r="E15" s="29" t="s">
        <v>47</v>
      </c>
      <c r="F15" s="33"/>
      <c r="G15" s="8">
        <v>3</v>
      </c>
      <c r="H15" s="8">
        <v>0</v>
      </c>
      <c r="I15" s="20" t="s">
        <v>21</v>
      </c>
      <c r="J15" s="9">
        <f t="shared" si="0"/>
        <v>300</v>
      </c>
      <c r="K15" s="8">
        <v>0</v>
      </c>
      <c r="L15" s="8">
        <f t="shared" si="1"/>
        <v>300</v>
      </c>
      <c r="M15" s="44">
        <v>848</v>
      </c>
      <c r="N15" s="42">
        <f t="shared" si="2"/>
        <v>1148</v>
      </c>
      <c r="O15" s="48">
        <f t="shared" si="3"/>
        <v>372</v>
      </c>
      <c r="P15" s="43">
        <f t="shared" si="4"/>
        <v>776</v>
      </c>
      <c r="Q15" s="21"/>
      <c r="R15" t="s">
        <v>26</v>
      </c>
      <c r="S15">
        <v>2026</v>
      </c>
      <c r="T15"/>
      <c r="U15"/>
      <c r="V15"/>
      <c r="W15"/>
      <c r="X15"/>
      <c r="Y15"/>
      <c r="Z15"/>
    </row>
    <row r="16" spans="1:26" s="1" customFormat="1" ht="18.75">
      <c r="A16" s="7">
        <v>1</v>
      </c>
      <c r="B16" s="7" t="s">
        <v>109</v>
      </c>
      <c r="C16" s="7">
        <v>35</v>
      </c>
      <c r="D16" s="6"/>
      <c r="E16" s="29" t="s">
        <v>73</v>
      </c>
      <c r="F16" s="29"/>
      <c r="G16" s="8">
        <v>3</v>
      </c>
      <c r="H16" s="8">
        <v>0</v>
      </c>
      <c r="I16" s="20" t="s">
        <v>21</v>
      </c>
      <c r="J16" s="9">
        <f t="shared" si="0"/>
        <v>300</v>
      </c>
      <c r="K16" s="8">
        <v>0</v>
      </c>
      <c r="L16" s="8">
        <f t="shared" si="1"/>
        <v>300</v>
      </c>
      <c r="M16" s="44">
        <v>848</v>
      </c>
      <c r="N16" s="42">
        <f t="shared" si="2"/>
        <v>1148</v>
      </c>
      <c r="O16" s="48">
        <f t="shared" si="3"/>
        <v>372</v>
      </c>
      <c r="P16" s="43">
        <f t="shared" si="4"/>
        <v>776</v>
      </c>
      <c r="R16" t="s">
        <v>27</v>
      </c>
      <c r="S16">
        <v>2</v>
      </c>
      <c r="T16"/>
      <c r="U16"/>
      <c r="V16"/>
      <c r="W16"/>
      <c r="X16"/>
      <c r="Y16"/>
      <c r="Z16"/>
    </row>
    <row r="17" spans="1:27" s="1" customFormat="1" ht="18.75">
      <c r="A17" s="7">
        <v>1</v>
      </c>
      <c r="B17" s="7" t="s">
        <v>120</v>
      </c>
      <c r="C17" s="7">
        <v>6</v>
      </c>
      <c r="D17" s="6"/>
      <c r="E17" s="29" t="s">
        <v>44</v>
      </c>
      <c r="F17" s="29"/>
      <c r="G17" s="8">
        <v>3</v>
      </c>
      <c r="H17" s="8">
        <v>0</v>
      </c>
      <c r="I17" s="20" t="s">
        <v>21</v>
      </c>
      <c r="J17" s="9">
        <f t="shared" si="0"/>
        <v>300</v>
      </c>
      <c r="K17" s="8">
        <v>0</v>
      </c>
      <c r="L17" s="8">
        <f t="shared" si="1"/>
        <v>300</v>
      </c>
      <c r="M17" s="44">
        <v>848</v>
      </c>
      <c r="N17" s="42">
        <f t="shared" si="2"/>
        <v>1148</v>
      </c>
      <c r="O17" s="48">
        <f t="shared" si="3"/>
        <v>372</v>
      </c>
      <c r="P17" s="43">
        <f t="shared" si="4"/>
        <v>776</v>
      </c>
      <c r="Q17" s="15"/>
      <c r="R17" t="s">
        <v>28</v>
      </c>
      <c r="S17">
        <v>21</v>
      </c>
      <c r="T17"/>
      <c r="U17"/>
      <c r="V17"/>
      <c r="W17"/>
      <c r="X17"/>
      <c r="Y17"/>
      <c r="Z17"/>
    </row>
    <row r="18" spans="1:27" s="1" customFormat="1" ht="18.75">
      <c r="A18" s="7">
        <v>1</v>
      </c>
      <c r="B18" s="7" t="s">
        <v>122</v>
      </c>
      <c r="C18" s="7">
        <v>17</v>
      </c>
      <c r="D18" s="6"/>
      <c r="E18" s="29" t="s">
        <v>55</v>
      </c>
      <c r="F18" s="29"/>
      <c r="G18" s="8">
        <v>3</v>
      </c>
      <c r="H18" s="8">
        <v>0</v>
      </c>
      <c r="I18" s="20" t="s">
        <v>21</v>
      </c>
      <c r="J18" s="9">
        <f t="shared" si="0"/>
        <v>300</v>
      </c>
      <c r="K18" s="8">
        <v>0</v>
      </c>
      <c r="L18" s="8">
        <f t="shared" si="1"/>
        <v>300</v>
      </c>
      <c r="M18" s="44">
        <v>846</v>
      </c>
      <c r="N18" s="42">
        <f t="shared" si="2"/>
        <v>1146</v>
      </c>
      <c r="O18" s="48">
        <f t="shared" si="3"/>
        <v>372</v>
      </c>
      <c r="P18" s="43">
        <f t="shared" si="4"/>
        <v>774</v>
      </c>
      <c r="R18"/>
      <c r="S18"/>
      <c r="T18"/>
      <c r="U18"/>
      <c r="V18"/>
      <c r="W18"/>
      <c r="X18"/>
      <c r="Y18"/>
      <c r="Z18"/>
    </row>
    <row r="19" spans="1:27" s="1" customFormat="1" ht="18.75">
      <c r="A19" s="7">
        <v>1</v>
      </c>
      <c r="B19" s="7" t="s">
        <v>110</v>
      </c>
      <c r="C19" s="7">
        <v>62</v>
      </c>
      <c r="D19" s="6"/>
      <c r="E19" s="29" t="s">
        <v>100</v>
      </c>
      <c r="F19" s="29"/>
      <c r="G19" s="8">
        <v>3</v>
      </c>
      <c r="H19" s="8">
        <v>0</v>
      </c>
      <c r="I19" s="20" t="s">
        <v>21</v>
      </c>
      <c r="J19" s="9">
        <f t="shared" si="0"/>
        <v>300</v>
      </c>
      <c r="K19" s="8">
        <v>0</v>
      </c>
      <c r="L19" s="8">
        <f t="shared" si="1"/>
        <v>300</v>
      </c>
      <c r="M19" s="44">
        <v>846</v>
      </c>
      <c r="N19" s="42">
        <f t="shared" si="2"/>
        <v>1146</v>
      </c>
      <c r="O19" s="48">
        <f t="shared" si="3"/>
        <v>372</v>
      </c>
      <c r="P19" s="43">
        <f t="shared" si="4"/>
        <v>774</v>
      </c>
      <c r="R19"/>
      <c r="S19"/>
      <c r="T19"/>
      <c r="U19"/>
      <c r="V19"/>
      <c r="W19"/>
      <c r="X19"/>
      <c r="Y19"/>
      <c r="Z19"/>
    </row>
    <row r="20" spans="1:27" s="1" customFormat="1" ht="18.75">
      <c r="A20" s="7">
        <v>1</v>
      </c>
      <c r="B20" s="7" t="s">
        <v>109</v>
      </c>
      <c r="C20" s="7">
        <v>55</v>
      </c>
      <c r="D20" s="6"/>
      <c r="E20" s="29" t="s">
        <v>106</v>
      </c>
      <c r="G20" s="8">
        <v>3</v>
      </c>
      <c r="H20" s="8">
        <v>0</v>
      </c>
      <c r="I20" s="20" t="s">
        <v>21</v>
      </c>
      <c r="J20" s="9">
        <f t="shared" si="0"/>
        <v>300</v>
      </c>
      <c r="K20" s="8">
        <v>0</v>
      </c>
      <c r="L20" s="8">
        <f t="shared" si="1"/>
        <v>300</v>
      </c>
      <c r="M20" s="44">
        <v>846</v>
      </c>
      <c r="N20" s="42">
        <f t="shared" si="2"/>
        <v>1146</v>
      </c>
      <c r="O20" s="48">
        <f t="shared" si="3"/>
        <v>372</v>
      </c>
      <c r="P20" s="43">
        <f t="shared" si="4"/>
        <v>774</v>
      </c>
      <c r="R20"/>
      <c r="S20"/>
      <c r="T20"/>
      <c r="U20"/>
      <c r="V20"/>
      <c r="W20"/>
      <c r="X20"/>
      <c r="Y20"/>
      <c r="Z20"/>
    </row>
    <row r="21" spans="1:27" s="1" customFormat="1" ht="18.75">
      <c r="A21" s="7">
        <v>1</v>
      </c>
      <c r="B21" s="7" t="s">
        <v>122</v>
      </c>
      <c r="C21" s="7">
        <v>5</v>
      </c>
      <c r="D21" s="6"/>
      <c r="E21" s="29" t="s">
        <v>43</v>
      </c>
      <c r="F21" s="29"/>
      <c r="G21" s="8">
        <v>3</v>
      </c>
      <c r="H21" s="8">
        <v>0</v>
      </c>
      <c r="I21" s="12" t="s">
        <v>22</v>
      </c>
      <c r="J21" s="9">
        <f t="shared" si="0"/>
        <v>300</v>
      </c>
      <c r="K21" s="8">
        <v>0</v>
      </c>
      <c r="L21" s="8">
        <f t="shared" si="1"/>
        <v>300</v>
      </c>
      <c r="M21" s="44">
        <v>841</v>
      </c>
      <c r="N21" s="42">
        <f t="shared" si="2"/>
        <v>1141</v>
      </c>
      <c r="O21" s="48">
        <f t="shared" si="3"/>
        <v>300</v>
      </c>
      <c r="P21" s="43">
        <f t="shared" si="4"/>
        <v>841</v>
      </c>
      <c r="Q21" s="21"/>
      <c r="R21"/>
      <c r="S21"/>
      <c r="T21"/>
      <c r="U21"/>
      <c r="V21"/>
      <c r="W21"/>
      <c r="X21"/>
      <c r="Y21"/>
      <c r="Z21"/>
    </row>
    <row r="22" spans="1:27" s="1" customFormat="1" ht="18.75">
      <c r="A22" s="7">
        <v>1</v>
      </c>
      <c r="B22" s="7" t="s">
        <v>123</v>
      </c>
      <c r="C22" s="7">
        <v>24</v>
      </c>
      <c r="D22" s="6"/>
      <c r="E22" s="29" t="s">
        <v>62</v>
      </c>
      <c r="F22" s="32"/>
      <c r="G22" s="8">
        <v>3</v>
      </c>
      <c r="H22" s="8">
        <v>0</v>
      </c>
      <c r="I22" s="12" t="s">
        <v>22</v>
      </c>
      <c r="J22" s="9">
        <f t="shared" si="0"/>
        <v>300</v>
      </c>
      <c r="K22" s="8">
        <v>0</v>
      </c>
      <c r="L22" s="8">
        <f t="shared" si="1"/>
        <v>300</v>
      </c>
      <c r="M22" s="44">
        <v>839</v>
      </c>
      <c r="N22" s="42">
        <f t="shared" si="2"/>
        <v>1139</v>
      </c>
      <c r="O22" s="48">
        <f t="shared" si="3"/>
        <v>300</v>
      </c>
      <c r="P22" s="43">
        <f t="shared" si="4"/>
        <v>839</v>
      </c>
      <c r="R22"/>
      <c r="S22"/>
      <c r="T22"/>
      <c r="U22"/>
      <c r="V22"/>
      <c r="W22"/>
      <c r="X22"/>
      <c r="Y22"/>
      <c r="Z22"/>
    </row>
    <row r="23" spans="1:27" ht="18.75">
      <c r="A23" s="7">
        <v>1</v>
      </c>
      <c r="B23" s="7" t="s">
        <v>117</v>
      </c>
      <c r="C23" s="7">
        <v>3</v>
      </c>
      <c r="D23" s="6"/>
      <c r="E23" s="29" t="s">
        <v>41</v>
      </c>
      <c r="F23" s="29"/>
      <c r="G23" s="8">
        <v>3</v>
      </c>
      <c r="H23" s="8">
        <v>0</v>
      </c>
      <c r="I23" s="12" t="s">
        <v>22</v>
      </c>
      <c r="J23" s="9">
        <f t="shared" si="0"/>
        <v>300</v>
      </c>
      <c r="K23" s="8">
        <v>0</v>
      </c>
      <c r="L23" s="8">
        <f t="shared" si="1"/>
        <v>300</v>
      </c>
      <c r="M23" s="44">
        <v>839</v>
      </c>
      <c r="N23" s="42">
        <f t="shared" si="2"/>
        <v>1139</v>
      </c>
      <c r="O23" s="48">
        <f t="shared" si="3"/>
        <v>300</v>
      </c>
      <c r="P23" s="43">
        <f t="shared" si="4"/>
        <v>839</v>
      </c>
      <c r="Q23" s="9"/>
    </row>
    <row r="24" spans="1:27" ht="18.75">
      <c r="A24" s="7">
        <v>1</v>
      </c>
      <c r="B24" s="7" t="s">
        <v>109</v>
      </c>
      <c r="C24" s="7">
        <v>11</v>
      </c>
      <c r="D24" s="6"/>
      <c r="E24" s="29" t="s">
        <v>49</v>
      </c>
      <c r="F24" s="29"/>
      <c r="G24" s="8">
        <v>3</v>
      </c>
      <c r="H24" s="8">
        <v>0</v>
      </c>
      <c r="I24" s="12" t="s">
        <v>22</v>
      </c>
      <c r="J24" s="9">
        <f t="shared" si="0"/>
        <v>300</v>
      </c>
      <c r="K24" s="8">
        <v>0</v>
      </c>
      <c r="L24" s="8">
        <f t="shared" si="1"/>
        <v>300</v>
      </c>
      <c r="M24" s="44">
        <v>839</v>
      </c>
      <c r="N24" s="42">
        <f t="shared" si="2"/>
        <v>1139</v>
      </c>
      <c r="O24" s="48">
        <f t="shared" si="3"/>
        <v>300</v>
      </c>
      <c r="P24" s="43">
        <f t="shared" si="4"/>
        <v>839</v>
      </c>
      <c r="Q24" s="1"/>
    </row>
    <row r="25" spans="1:27" ht="18.75">
      <c r="A25" s="7">
        <v>1</v>
      </c>
      <c r="B25" s="7" t="s">
        <v>119</v>
      </c>
      <c r="C25" s="7">
        <v>18</v>
      </c>
      <c r="D25" s="6"/>
      <c r="E25" s="29" t="s">
        <v>56</v>
      </c>
      <c r="F25" s="29"/>
      <c r="G25" s="8">
        <v>3</v>
      </c>
      <c r="H25" s="8">
        <v>0</v>
      </c>
      <c r="I25" s="12" t="s">
        <v>22</v>
      </c>
      <c r="J25" s="9">
        <f t="shared" si="0"/>
        <v>300</v>
      </c>
      <c r="K25" s="8">
        <v>0</v>
      </c>
      <c r="L25" s="8">
        <f t="shared" si="1"/>
        <v>300</v>
      </c>
      <c r="M25" s="44">
        <v>839</v>
      </c>
      <c r="N25" s="42">
        <f t="shared" si="2"/>
        <v>1139</v>
      </c>
      <c r="O25" s="48">
        <f t="shared" si="3"/>
        <v>300</v>
      </c>
      <c r="P25" s="43">
        <f t="shared" si="4"/>
        <v>839</v>
      </c>
      <c r="Q25" s="1"/>
    </row>
    <row r="26" spans="1:27" ht="18.75" customHeight="1">
      <c r="A26" s="7">
        <v>1</v>
      </c>
      <c r="B26" s="7" t="s">
        <v>108</v>
      </c>
      <c r="C26" s="7">
        <v>46</v>
      </c>
      <c r="D26" s="6"/>
      <c r="E26" s="29" t="s">
        <v>84</v>
      </c>
      <c r="F26" s="29"/>
      <c r="G26" s="8">
        <v>3</v>
      </c>
      <c r="H26" s="8">
        <v>0</v>
      </c>
      <c r="I26" s="12" t="s">
        <v>22</v>
      </c>
      <c r="J26" s="9">
        <f t="shared" si="0"/>
        <v>300</v>
      </c>
      <c r="K26" s="8">
        <v>0</v>
      </c>
      <c r="L26" s="8">
        <f t="shared" si="1"/>
        <v>300</v>
      </c>
      <c r="M26" s="44">
        <v>839</v>
      </c>
      <c r="N26" s="42">
        <f t="shared" si="2"/>
        <v>1139</v>
      </c>
      <c r="O26" s="48">
        <f t="shared" si="3"/>
        <v>300</v>
      </c>
      <c r="P26" s="43">
        <f t="shared" si="4"/>
        <v>839</v>
      </c>
      <c r="Q26" s="1"/>
    </row>
    <row r="27" spans="1:27" ht="18.75">
      <c r="A27" s="7">
        <v>1</v>
      </c>
      <c r="B27" s="7" t="s">
        <v>116</v>
      </c>
      <c r="C27" s="7">
        <v>63</v>
      </c>
      <c r="D27" s="6"/>
      <c r="E27" s="29" t="s">
        <v>101</v>
      </c>
      <c r="G27" s="8">
        <v>3</v>
      </c>
      <c r="H27" s="8">
        <v>0</v>
      </c>
      <c r="I27" s="12" t="s">
        <v>22</v>
      </c>
      <c r="J27" s="9">
        <f t="shared" si="0"/>
        <v>300</v>
      </c>
      <c r="K27" s="8">
        <v>0</v>
      </c>
      <c r="L27" s="8">
        <f t="shared" si="1"/>
        <v>300</v>
      </c>
      <c r="M27" s="44">
        <v>813</v>
      </c>
      <c r="N27" s="42">
        <f t="shared" si="2"/>
        <v>1113</v>
      </c>
      <c r="O27" s="48">
        <f t="shared" si="3"/>
        <v>300</v>
      </c>
      <c r="P27" s="43">
        <f t="shared" si="4"/>
        <v>813</v>
      </c>
      <c r="Q27" s="1"/>
    </row>
    <row r="28" spans="1:27" ht="18.75">
      <c r="A28" s="7">
        <v>1</v>
      </c>
      <c r="B28" s="7" t="s">
        <v>109</v>
      </c>
      <c r="C28" s="7">
        <v>47</v>
      </c>
      <c r="D28" s="6"/>
      <c r="E28" s="29" t="s">
        <v>85</v>
      </c>
      <c r="F28" s="29"/>
      <c r="G28" s="8">
        <v>3</v>
      </c>
      <c r="H28" s="8">
        <v>0</v>
      </c>
      <c r="I28" s="12" t="s">
        <v>22</v>
      </c>
      <c r="J28" s="9">
        <f t="shared" si="0"/>
        <v>300</v>
      </c>
      <c r="K28" s="8">
        <v>0</v>
      </c>
      <c r="L28" s="8">
        <f t="shared" si="1"/>
        <v>300</v>
      </c>
      <c r="M28" s="44">
        <v>800</v>
      </c>
      <c r="N28" s="42">
        <f t="shared" si="2"/>
        <v>1100</v>
      </c>
      <c r="O28" s="48">
        <f t="shared" si="3"/>
        <v>300</v>
      </c>
      <c r="P28" s="43">
        <f t="shared" si="4"/>
        <v>800</v>
      </c>
      <c r="Q28" s="1"/>
    </row>
    <row r="29" spans="1:27" s="1" customFormat="1" ht="18.75">
      <c r="A29" s="7">
        <v>1</v>
      </c>
      <c r="B29" s="7" t="s">
        <v>120</v>
      </c>
      <c r="C29" s="7">
        <v>20</v>
      </c>
      <c r="D29" s="6"/>
      <c r="E29" s="29" t="s">
        <v>58</v>
      </c>
      <c r="F29" s="32"/>
      <c r="G29" s="8">
        <v>3</v>
      </c>
      <c r="H29" s="8">
        <v>0</v>
      </c>
      <c r="I29" s="12" t="s">
        <v>22</v>
      </c>
      <c r="J29" s="9">
        <f t="shared" si="0"/>
        <v>300</v>
      </c>
      <c r="K29" s="8">
        <v>0</v>
      </c>
      <c r="L29" s="8">
        <f t="shared" si="1"/>
        <v>300</v>
      </c>
      <c r="M29" s="44">
        <v>785</v>
      </c>
      <c r="N29" s="42">
        <f t="shared" si="2"/>
        <v>1085</v>
      </c>
      <c r="O29" s="48">
        <f t="shared" si="3"/>
        <v>300</v>
      </c>
      <c r="P29" s="43">
        <f t="shared" si="4"/>
        <v>785</v>
      </c>
      <c r="R29"/>
      <c r="S29"/>
      <c r="T29"/>
      <c r="U29"/>
      <c r="V29"/>
      <c r="W29"/>
      <c r="X29"/>
      <c r="Y29"/>
      <c r="Z29"/>
      <c r="AA29" s="23"/>
    </row>
    <row r="30" spans="1:27" s="1" customFormat="1" ht="18.75">
      <c r="A30" s="7">
        <v>1</v>
      </c>
      <c r="B30" s="7" t="s">
        <v>112</v>
      </c>
      <c r="C30" s="7">
        <v>14</v>
      </c>
      <c r="D30" s="6"/>
      <c r="E30" s="29" t="s">
        <v>52</v>
      </c>
      <c r="F30" s="29"/>
      <c r="G30" s="8">
        <v>3</v>
      </c>
      <c r="H30" s="8">
        <v>0</v>
      </c>
      <c r="I30" s="12" t="s">
        <v>22</v>
      </c>
      <c r="J30" s="9">
        <f t="shared" si="0"/>
        <v>300</v>
      </c>
      <c r="K30" s="8">
        <v>0</v>
      </c>
      <c r="L30" s="8">
        <f t="shared" si="1"/>
        <v>300</v>
      </c>
      <c r="M30" s="44">
        <v>783</v>
      </c>
      <c r="N30" s="42">
        <f t="shared" si="2"/>
        <v>1083</v>
      </c>
      <c r="O30" s="48">
        <f t="shared" si="3"/>
        <v>300</v>
      </c>
      <c r="P30" s="43">
        <f t="shared" si="4"/>
        <v>783</v>
      </c>
      <c r="R30"/>
      <c r="S30"/>
      <c r="T30"/>
      <c r="U30"/>
      <c r="V30"/>
      <c r="W30"/>
      <c r="X30"/>
      <c r="Y30"/>
      <c r="Z30"/>
      <c r="AA30" s="23"/>
    </row>
    <row r="31" spans="1:27" s="1" customFormat="1" ht="18.75">
      <c r="A31" s="7">
        <v>1</v>
      </c>
      <c r="B31" s="7" t="s">
        <v>109</v>
      </c>
      <c r="C31" s="7">
        <v>22</v>
      </c>
      <c r="D31" s="6"/>
      <c r="E31" s="29" t="s">
        <v>60</v>
      </c>
      <c r="F31" s="32"/>
      <c r="G31" s="8">
        <v>3</v>
      </c>
      <c r="H31" s="8">
        <v>0</v>
      </c>
      <c r="I31" s="12" t="s">
        <v>22</v>
      </c>
      <c r="J31" s="9">
        <f t="shared" si="0"/>
        <v>300</v>
      </c>
      <c r="K31" s="8">
        <v>0</v>
      </c>
      <c r="L31" s="8">
        <f t="shared" si="1"/>
        <v>300</v>
      </c>
      <c r="M31" s="44">
        <v>783</v>
      </c>
      <c r="N31" s="42">
        <f t="shared" si="2"/>
        <v>1083</v>
      </c>
      <c r="O31" s="48">
        <f t="shared" si="3"/>
        <v>300</v>
      </c>
      <c r="P31" s="43">
        <f t="shared" si="4"/>
        <v>783</v>
      </c>
      <c r="R31"/>
      <c r="S31"/>
      <c r="T31"/>
      <c r="U31"/>
      <c r="V31"/>
      <c r="W31"/>
      <c r="X31"/>
      <c r="Y31"/>
      <c r="Z31"/>
      <c r="AA31" s="23"/>
    </row>
    <row r="32" spans="1:27" s="1" customFormat="1" ht="18.75">
      <c r="A32" s="7">
        <v>1</v>
      </c>
      <c r="B32" s="7" t="s">
        <v>114</v>
      </c>
      <c r="C32" s="7">
        <v>58</v>
      </c>
      <c r="D32" s="6"/>
      <c r="E32" s="29" t="s">
        <v>96</v>
      </c>
      <c r="G32" s="8">
        <v>3</v>
      </c>
      <c r="H32" s="8">
        <v>0</v>
      </c>
      <c r="I32" s="12" t="s">
        <v>22</v>
      </c>
      <c r="J32" s="9">
        <f t="shared" si="0"/>
        <v>300</v>
      </c>
      <c r="K32" s="8">
        <v>0</v>
      </c>
      <c r="L32" s="8">
        <f t="shared" si="1"/>
        <v>300</v>
      </c>
      <c r="M32" s="44">
        <v>778</v>
      </c>
      <c r="N32" s="42">
        <f t="shared" si="2"/>
        <v>1078</v>
      </c>
      <c r="O32" s="48">
        <f t="shared" si="3"/>
        <v>300</v>
      </c>
      <c r="P32" s="43">
        <f t="shared" si="4"/>
        <v>778</v>
      </c>
      <c r="R32"/>
      <c r="S32"/>
      <c r="T32"/>
      <c r="U32"/>
      <c r="V32"/>
      <c r="W32"/>
      <c r="X32"/>
      <c r="Y32"/>
      <c r="Z32"/>
      <c r="AA32" s="23"/>
    </row>
    <row r="33" spans="1:27" s="1" customFormat="1" ht="18.75">
      <c r="A33" s="7">
        <v>1</v>
      </c>
      <c r="B33" s="7" t="s">
        <v>127</v>
      </c>
      <c r="C33" s="7">
        <v>21</v>
      </c>
      <c r="D33" s="6"/>
      <c r="E33" s="29" t="s">
        <v>59</v>
      </c>
      <c r="G33" s="8">
        <v>3</v>
      </c>
      <c r="H33" s="8">
        <v>0</v>
      </c>
      <c r="I33" s="12" t="s">
        <v>22</v>
      </c>
      <c r="J33" s="9">
        <f t="shared" si="0"/>
        <v>300</v>
      </c>
      <c r="K33" s="8">
        <v>0</v>
      </c>
      <c r="L33" s="8">
        <f t="shared" si="1"/>
        <v>300</v>
      </c>
      <c r="M33" s="44">
        <v>774</v>
      </c>
      <c r="N33" s="42">
        <f t="shared" si="2"/>
        <v>1074</v>
      </c>
      <c r="O33" s="48">
        <f t="shared" si="3"/>
        <v>300</v>
      </c>
      <c r="P33" s="43">
        <f t="shared" si="4"/>
        <v>774</v>
      </c>
      <c r="R33"/>
      <c r="S33"/>
      <c r="T33"/>
      <c r="U33"/>
      <c r="V33"/>
      <c r="W33"/>
      <c r="X33"/>
      <c r="Y33"/>
      <c r="Z33"/>
      <c r="AA33" s="23"/>
    </row>
    <row r="34" spans="1:27" s="1" customFormat="1" ht="18.75">
      <c r="A34" s="7">
        <v>1</v>
      </c>
      <c r="B34" s="7"/>
      <c r="C34" s="7">
        <v>10</v>
      </c>
      <c r="D34" s="6"/>
      <c r="E34" s="29" t="s">
        <v>48</v>
      </c>
      <c r="F34" s="31"/>
      <c r="G34" s="8">
        <v>3</v>
      </c>
      <c r="H34" s="8">
        <v>0</v>
      </c>
      <c r="I34" s="12" t="s">
        <v>22</v>
      </c>
      <c r="J34" s="9">
        <f t="shared" si="0"/>
        <v>300</v>
      </c>
      <c r="K34" s="8">
        <v>0</v>
      </c>
      <c r="L34" s="8">
        <f t="shared" si="1"/>
        <v>300</v>
      </c>
      <c r="M34" s="44">
        <v>704</v>
      </c>
      <c r="N34" s="42">
        <f t="shared" si="2"/>
        <v>1004</v>
      </c>
      <c r="O34" s="48">
        <f t="shared" si="3"/>
        <v>300</v>
      </c>
      <c r="P34" s="43">
        <f t="shared" si="4"/>
        <v>704</v>
      </c>
      <c r="Q34" s="21"/>
      <c r="R34"/>
      <c r="S34"/>
      <c r="T34"/>
      <c r="U34"/>
      <c r="V34"/>
      <c r="W34"/>
      <c r="X34"/>
      <c r="Y34"/>
      <c r="Z34"/>
      <c r="AA34" s="23"/>
    </row>
    <row r="35" spans="1:27" s="1" customFormat="1" ht="18.75">
      <c r="A35" s="7">
        <v>1</v>
      </c>
      <c r="B35" s="7" t="s">
        <v>115</v>
      </c>
      <c r="C35" s="7">
        <v>56</v>
      </c>
      <c r="D35" s="6"/>
      <c r="E35" s="29" t="s">
        <v>94</v>
      </c>
      <c r="F35" s="29"/>
      <c r="G35" s="8">
        <v>3</v>
      </c>
      <c r="H35" s="8">
        <v>0</v>
      </c>
      <c r="I35" s="12" t="s">
        <v>22</v>
      </c>
      <c r="J35" s="9">
        <f t="shared" si="0"/>
        <v>300</v>
      </c>
      <c r="K35" s="8">
        <v>0</v>
      </c>
      <c r="L35" s="8">
        <f t="shared" si="1"/>
        <v>300</v>
      </c>
      <c r="M35" s="44">
        <v>648</v>
      </c>
      <c r="N35" s="42">
        <f t="shared" si="2"/>
        <v>948</v>
      </c>
      <c r="O35" s="48">
        <f t="shared" si="3"/>
        <v>300</v>
      </c>
      <c r="P35" s="43">
        <f t="shared" si="4"/>
        <v>648</v>
      </c>
      <c r="R35"/>
      <c r="S35"/>
      <c r="T35"/>
      <c r="U35"/>
      <c r="V35"/>
      <c r="W35"/>
      <c r="X35"/>
      <c r="Y35"/>
      <c r="Z35"/>
      <c r="AA35" s="23"/>
    </row>
    <row r="36" spans="1:27" s="1" customFormat="1" ht="18.75">
      <c r="A36" s="7">
        <v>1</v>
      </c>
      <c r="B36" s="7" t="s">
        <v>113</v>
      </c>
      <c r="C36" s="7">
        <v>25</v>
      </c>
      <c r="D36" s="6"/>
      <c r="E36" s="29" t="s">
        <v>63</v>
      </c>
      <c r="F36" s="32"/>
      <c r="G36" s="8">
        <v>3</v>
      </c>
      <c r="H36" s="8">
        <v>0</v>
      </c>
      <c r="I36" s="12" t="s">
        <v>22</v>
      </c>
      <c r="J36" s="9">
        <f t="shared" si="0"/>
        <v>300</v>
      </c>
      <c r="K36" s="8">
        <v>0</v>
      </c>
      <c r="L36" s="8">
        <f t="shared" si="1"/>
        <v>300</v>
      </c>
      <c r="M36" s="44">
        <v>625</v>
      </c>
      <c r="N36" s="42">
        <f t="shared" si="2"/>
        <v>925</v>
      </c>
      <c r="O36" s="48">
        <f t="shared" si="3"/>
        <v>300</v>
      </c>
      <c r="P36" s="43">
        <f t="shared" si="4"/>
        <v>625</v>
      </c>
      <c r="R36"/>
      <c r="S36"/>
      <c r="T36"/>
      <c r="U36"/>
      <c r="V36"/>
      <c r="W36"/>
      <c r="X36"/>
      <c r="Y36"/>
      <c r="Z36"/>
      <c r="AA36" s="23"/>
    </row>
    <row r="37" spans="1:27" ht="18.75">
      <c r="A37" s="7">
        <v>1</v>
      </c>
      <c r="B37" s="7" t="s">
        <v>126</v>
      </c>
      <c r="C37" s="7">
        <v>41</v>
      </c>
      <c r="D37" s="6"/>
      <c r="E37" s="29" t="s">
        <v>79</v>
      </c>
      <c r="F37" s="32"/>
      <c r="G37" s="8">
        <v>3</v>
      </c>
      <c r="H37" s="8">
        <v>0</v>
      </c>
      <c r="I37" s="12" t="s">
        <v>22</v>
      </c>
      <c r="J37" s="9">
        <f t="shared" ref="J37:J69" si="5">G37*100</f>
        <v>300</v>
      </c>
      <c r="K37" s="8">
        <v>0</v>
      </c>
      <c r="L37" s="8">
        <f t="shared" ref="L37:L68" si="6">SUM(J37+K37)</f>
        <v>300</v>
      </c>
      <c r="M37" s="44">
        <v>576</v>
      </c>
      <c r="N37" s="42">
        <f t="shared" ref="N37:N68" si="7">M37+L37</f>
        <v>876</v>
      </c>
      <c r="O37" s="48">
        <f t="shared" ref="O37:O69" si="8">VLOOKUP(I37,$R$3:$S$10,2,FALSE)</f>
        <v>300</v>
      </c>
      <c r="P37" s="43">
        <f t="shared" ref="P37:P68" si="9">IF(N37-O37&gt;0,N37-O37,0)</f>
        <v>576</v>
      </c>
      <c r="Q37" s="1"/>
    </row>
    <row r="38" spans="1:27" s="1" customFormat="1" ht="18.75">
      <c r="A38" s="7">
        <v>1</v>
      </c>
      <c r="B38" s="7" t="s">
        <v>115</v>
      </c>
      <c r="C38" s="7">
        <v>26</v>
      </c>
      <c r="D38" s="6"/>
      <c r="E38" s="29" t="s">
        <v>64</v>
      </c>
      <c r="F38" s="32"/>
      <c r="G38" s="8">
        <v>3</v>
      </c>
      <c r="H38" s="8">
        <v>0</v>
      </c>
      <c r="I38" s="12" t="s">
        <v>22</v>
      </c>
      <c r="J38" s="9">
        <f t="shared" si="5"/>
        <v>300</v>
      </c>
      <c r="K38" s="8">
        <v>0</v>
      </c>
      <c r="L38" s="8">
        <f t="shared" si="6"/>
        <v>300</v>
      </c>
      <c r="M38" s="44">
        <v>194</v>
      </c>
      <c r="N38" s="42">
        <f t="shared" si="7"/>
        <v>494</v>
      </c>
      <c r="O38" s="48">
        <f t="shared" si="8"/>
        <v>300</v>
      </c>
      <c r="P38" s="43">
        <f t="shared" si="9"/>
        <v>194</v>
      </c>
      <c r="R38"/>
      <c r="S38"/>
      <c r="T38"/>
      <c r="U38"/>
      <c r="V38"/>
      <c r="W38"/>
      <c r="X38"/>
      <c r="Y38"/>
      <c r="Z38"/>
      <c r="AA38" s="23"/>
    </row>
    <row r="39" spans="1:27" s="2" customFormat="1" ht="18.75">
      <c r="A39" s="7">
        <v>1</v>
      </c>
      <c r="B39" s="7" t="s">
        <v>110</v>
      </c>
      <c r="C39" s="7">
        <v>31</v>
      </c>
      <c r="D39" s="6"/>
      <c r="E39" s="29" t="s">
        <v>69</v>
      </c>
      <c r="F39" s="32"/>
      <c r="G39" s="8">
        <v>3</v>
      </c>
      <c r="H39" s="8">
        <v>0</v>
      </c>
      <c r="I39" s="12" t="s">
        <v>22</v>
      </c>
      <c r="J39" s="9">
        <f t="shared" si="5"/>
        <v>300</v>
      </c>
      <c r="K39" s="8">
        <v>0</v>
      </c>
      <c r="L39" s="8">
        <f t="shared" si="6"/>
        <v>300</v>
      </c>
      <c r="M39" s="44">
        <v>25</v>
      </c>
      <c r="N39" s="42">
        <f t="shared" si="7"/>
        <v>325</v>
      </c>
      <c r="O39" s="48">
        <f t="shared" si="8"/>
        <v>300</v>
      </c>
      <c r="P39" s="43">
        <f t="shared" si="9"/>
        <v>25</v>
      </c>
      <c r="Q39" s="1"/>
    </row>
    <row r="40" spans="1:27" ht="18.75">
      <c r="A40" s="7">
        <v>1</v>
      </c>
      <c r="B40" s="7" t="s">
        <v>110</v>
      </c>
      <c r="C40" s="7">
        <v>42</v>
      </c>
      <c r="D40" s="6"/>
      <c r="E40" s="29" t="s">
        <v>80</v>
      </c>
      <c r="F40" s="32"/>
      <c r="G40" s="8">
        <v>2</v>
      </c>
      <c r="H40" s="8">
        <v>0</v>
      </c>
      <c r="I40" s="12" t="s">
        <v>22</v>
      </c>
      <c r="J40" s="9">
        <f t="shared" si="5"/>
        <v>200</v>
      </c>
      <c r="K40" s="8">
        <v>0</v>
      </c>
      <c r="L40" s="8">
        <f t="shared" si="6"/>
        <v>200</v>
      </c>
      <c r="M40" s="44">
        <v>894</v>
      </c>
      <c r="N40" s="42">
        <f t="shared" si="7"/>
        <v>1094</v>
      </c>
      <c r="O40" s="48">
        <f t="shared" si="8"/>
        <v>300</v>
      </c>
      <c r="P40" s="43">
        <f t="shared" si="9"/>
        <v>794</v>
      </c>
      <c r="Q40" s="1"/>
    </row>
    <row r="41" spans="1:27" ht="18.75">
      <c r="A41" s="7">
        <v>1</v>
      </c>
      <c r="B41" s="7" t="s">
        <v>113</v>
      </c>
      <c r="C41" s="7">
        <v>37</v>
      </c>
      <c r="D41" s="6"/>
      <c r="E41" s="29" t="s">
        <v>75</v>
      </c>
      <c r="G41" s="8">
        <v>2</v>
      </c>
      <c r="H41" s="8">
        <v>0</v>
      </c>
      <c r="I41" s="12" t="s">
        <v>22</v>
      </c>
      <c r="J41" s="9">
        <f t="shared" si="5"/>
        <v>200</v>
      </c>
      <c r="K41" s="8">
        <v>0</v>
      </c>
      <c r="L41" s="8">
        <f t="shared" si="6"/>
        <v>200</v>
      </c>
      <c r="M41" s="44">
        <v>857</v>
      </c>
      <c r="N41" s="42">
        <f t="shared" si="7"/>
        <v>1057</v>
      </c>
      <c r="O41" s="48">
        <f t="shared" si="8"/>
        <v>300</v>
      </c>
      <c r="P41" s="43">
        <f t="shared" si="9"/>
        <v>757</v>
      </c>
      <c r="Q41" s="1"/>
    </row>
    <row r="42" spans="1:27" ht="18.75">
      <c r="A42" s="7">
        <v>1</v>
      </c>
      <c r="B42" s="7" t="s">
        <v>111</v>
      </c>
      <c r="C42" s="7">
        <v>40</v>
      </c>
      <c r="D42" s="6"/>
      <c r="E42" s="30" t="s">
        <v>78</v>
      </c>
      <c r="G42" s="8">
        <v>2</v>
      </c>
      <c r="H42" s="8">
        <v>0</v>
      </c>
      <c r="I42" s="12" t="s">
        <v>22</v>
      </c>
      <c r="J42" s="9">
        <f t="shared" si="5"/>
        <v>200</v>
      </c>
      <c r="K42" s="8">
        <v>0</v>
      </c>
      <c r="L42" s="8">
        <f t="shared" si="6"/>
        <v>200</v>
      </c>
      <c r="M42" s="44">
        <v>841</v>
      </c>
      <c r="N42" s="42">
        <f t="shared" si="7"/>
        <v>1041</v>
      </c>
      <c r="O42" s="48">
        <f t="shared" si="8"/>
        <v>300</v>
      </c>
      <c r="P42" s="43">
        <f t="shared" si="9"/>
        <v>741</v>
      </c>
      <c r="Q42" s="1"/>
    </row>
    <row r="43" spans="1:27" ht="18.75">
      <c r="A43" s="7">
        <v>1</v>
      </c>
      <c r="B43" s="7" t="s">
        <v>109</v>
      </c>
      <c r="C43" s="7">
        <v>49</v>
      </c>
      <c r="D43" s="6"/>
      <c r="E43" s="29" t="s">
        <v>87</v>
      </c>
      <c r="F43" s="29"/>
      <c r="G43" s="8">
        <v>2</v>
      </c>
      <c r="H43" s="8">
        <v>0</v>
      </c>
      <c r="I43" s="12" t="s">
        <v>22</v>
      </c>
      <c r="J43" s="9">
        <f t="shared" si="5"/>
        <v>200</v>
      </c>
      <c r="K43" s="8">
        <v>0</v>
      </c>
      <c r="L43" s="8">
        <f t="shared" si="6"/>
        <v>200</v>
      </c>
      <c r="M43" s="44">
        <v>811</v>
      </c>
      <c r="N43" s="42">
        <f t="shared" si="7"/>
        <v>1011</v>
      </c>
      <c r="O43" s="48">
        <f t="shared" si="8"/>
        <v>300</v>
      </c>
      <c r="P43" s="43">
        <f t="shared" si="9"/>
        <v>711</v>
      </c>
      <c r="Q43" s="1"/>
    </row>
    <row r="44" spans="1:27" ht="18.75">
      <c r="A44" s="7">
        <v>1</v>
      </c>
      <c r="B44" s="7" t="s">
        <v>114</v>
      </c>
      <c r="C44" s="7">
        <v>52</v>
      </c>
      <c r="D44" s="6"/>
      <c r="E44" s="29" t="s">
        <v>90</v>
      </c>
      <c r="G44" s="8">
        <v>2</v>
      </c>
      <c r="H44" s="8">
        <v>0</v>
      </c>
      <c r="I44" s="12" t="s">
        <v>22</v>
      </c>
      <c r="J44" s="9">
        <f t="shared" si="5"/>
        <v>200</v>
      </c>
      <c r="K44" s="8">
        <v>0</v>
      </c>
      <c r="L44" s="8">
        <f t="shared" si="6"/>
        <v>200</v>
      </c>
      <c r="M44" s="44">
        <v>792</v>
      </c>
      <c r="N44" s="42">
        <f t="shared" si="7"/>
        <v>992</v>
      </c>
      <c r="O44" s="48">
        <f t="shared" si="8"/>
        <v>300</v>
      </c>
      <c r="P44" s="43">
        <f t="shared" si="9"/>
        <v>692</v>
      </c>
      <c r="Q44" s="1"/>
    </row>
    <row r="45" spans="1:27" ht="18.75">
      <c r="A45" s="7">
        <v>1</v>
      </c>
      <c r="B45" s="7" t="s">
        <v>112</v>
      </c>
      <c r="C45" s="7">
        <v>53</v>
      </c>
      <c r="D45" s="6"/>
      <c r="E45" s="29" t="s">
        <v>91</v>
      </c>
      <c r="F45" s="29"/>
      <c r="G45" s="8">
        <v>2</v>
      </c>
      <c r="H45" s="8">
        <v>0</v>
      </c>
      <c r="I45" s="12" t="s">
        <v>22</v>
      </c>
      <c r="J45" s="9">
        <f t="shared" si="5"/>
        <v>200</v>
      </c>
      <c r="K45" s="8">
        <v>0</v>
      </c>
      <c r="L45" s="8">
        <f t="shared" si="6"/>
        <v>200</v>
      </c>
      <c r="M45" s="44">
        <v>785</v>
      </c>
      <c r="N45" s="42">
        <f t="shared" si="7"/>
        <v>985</v>
      </c>
      <c r="O45" s="48">
        <f t="shared" si="8"/>
        <v>300</v>
      </c>
      <c r="P45" s="43">
        <f t="shared" si="9"/>
        <v>685</v>
      </c>
      <c r="Q45" s="1"/>
    </row>
    <row r="46" spans="1:27" ht="18.75">
      <c r="A46" s="7">
        <v>1</v>
      </c>
      <c r="B46" s="7" t="s">
        <v>113</v>
      </c>
      <c r="C46" s="7">
        <v>64</v>
      </c>
      <c r="D46" s="6"/>
      <c r="E46" s="29" t="s">
        <v>102</v>
      </c>
      <c r="F46" s="29"/>
      <c r="G46" s="8">
        <v>2</v>
      </c>
      <c r="H46" s="8">
        <v>0</v>
      </c>
      <c r="I46" s="12" t="s">
        <v>22</v>
      </c>
      <c r="J46" s="9">
        <f t="shared" si="5"/>
        <v>200</v>
      </c>
      <c r="K46" s="8">
        <v>0</v>
      </c>
      <c r="L46" s="8">
        <f t="shared" si="6"/>
        <v>200</v>
      </c>
      <c r="M46" s="44">
        <v>694</v>
      </c>
      <c r="N46" s="42">
        <f t="shared" si="7"/>
        <v>894</v>
      </c>
      <c r="O46" s="48">
        <f t="shared" si="8"/>
        <v>300</v>
      </c>
      <c r="P46" s="43">
        <f t="shared" si="9"/>
        <v>594</v>
      </c>
      <c r="Q46" s="1"/>
    </row>
    <row r="47" spans="1:27" ht="18.75">
      <c r="A47" s="7">
        <v>1</v>
      </c>
      <c r="B47" s="7" t="s">
        <v>121</v>
      </c>
      <c r="C47" s="7">
        <v>4</v>
      </c>
      <c r="D47" s="6"/>
      <c r="E47" s="29" t="s">
        <v>42</v>
      </c>
      <c r="F47" s="29"/>
      <c r="G47" s="8">
        <v>2</v>
      </c>
      <c r="H47" s="8">
        <v>0</v>
      </c>
      <c r="I47" s="12" t="s">
        <v>22</v>
      </c>
      <c r="J47" s="9">
        <f t="shared" si="5"/>
        <v>200</v>
      </c>
      <c r="K47" s="8">
        <v>0</v>
      </c>
      <c r="L47" s="8">
        <f t="shared" si="6"/>
        <v>200</v>
      </c>
      <c r="M47" s="44">
        <v>694</v>
      </c>
      <c r="N47" s="42">
        <f t="shared" si="7"/>
        <v>894</v>
      </c>
      <c r="O47" s="48">
        <f t="shared" si="8"/>
        <v>300</v>
      </c>
      <c r="P47" s="43">
        <f t="shared" si="9"/>
        <v>594</v>
      </c>
      <c r="Q47" s="9"/>
    </row>
    <row r="48" spans="1:27" ht="18.75">
      <c r="A48" s="7">
        <v>1</v>
      </c>
      <c r="B48" s="7" t="s">
        <v>109</v>
      </c>
      <c r="C48" s="7">
        <v>39</v>
      </c>
      <c r="D48" s="6"/>
      <c r="E48" s="29" t="s">
        <v>77</v>
      </c>
      <c r="F48" s="29"/>
      <c r="G48" s="8">
        <v>2</v>
      </c>
      <c r="H48" s="8">
        <v>0</v>
      </c>
      <c r="I48" s="12" t="s">
        <v>22</v>
      </c>
      <c r="J48" s="9">
        <f t="shared" si="5"/>
        <v>200</v>
      </c>
      <c r="K48" s="8">
        <v>0</v>
      </c>
      <c r="L48" s="8">
        <f t="shared" si="6"/>
        <v>200</v>
      </c>
      <c r="M48" s="44">
        <v>575</v>
      </c>
      <c r="N48" s="42">
        <f t="shared" si="7"/>
        <v>775</v>
      </c>
      <c r="O48" s="48">
        <f t="shared" si="8"/>
        <v>300</v>
      </c>
      <c r="P48" s="43">
        <f t="shared" si="9"/>
        <v>475</v>
      </c>
    </row>
    <row r="49" spans="1:17" ht="18.75">
      <c r="A49" s="7">
        <v>1</v>
      </c>
      <c r="B49" s="7" t="s">
        <v>114</v>
      </c>
      <c r="C49" s="7">
        <v>33</v>
      </c>
      <c r="D49" s="6"/>
      <c r="E49" s="29" t="s">
        <v>71</v>
      </c>
      <c r="F49" s="29"/>
      <c r="G49" s="8">
        <v>2</v>
      </c>
      <c r="H49" s="8">
        <v>0</v>
      </c>
      <c r="I49" s="12" t="s">
        <v>22</v>
      </c>
      <c r="J49" s="9">
        <f t="shared" si="5"/>
        <v>200</v>
      </c>
      <c r="K49" s="8">
        <v>0</v>
      </c>
      <c r="L49" s="8">
        <f t="shared" si="6"/>
        <v>200</v>
      </c>
      <c r="M49" s="44">
        <v>378</v>
      </c>
      <c r="N49" s="42">
        <f t="shared" si="7"/>
        <v>578</v>
      </c>
      <c r="O49" s="48">
        <f t="shared" si="8"/>
        <v>300</v>
      </c>
      <c r="P49" s="43">
        <f t="shared" si="9"/>
        <v>278</v>
      </c>
    </row>
    <row r="50" spans="1:17" ht="18.75">
      <c r="A50" s="7">
        <v>1</v>
      </c>
      <c r="B50" s="7" t="s">
        <v>124</v>
      </c>
      <c r="C50" s="7">
        <v>2</v>
      </c>
      <c r="D50" s="6"/>
      <c r="E50" s="29" t="s">
        <v>40</v>
      </c>
      <c r="F50" s="29"/>
      <c r="G50" s="8">
        <v>1</v>
      </c>
      <c r="H50" s="8">
        <v>0</v>
      </c>
      <c r="I50" s="12" t="s">
        <v>22</v>
      </c>
      <c r="J50" s="9">
        <f t="shared" si="5"/>
        <v>100</v>
      </c>
      <c r="K50" s="8">
        <v>0</v>
      </c>
      <c r="L50" s="8">
        <f t="shared" si="6"/>
        <v>100</v>
      </c>
      <c r="M50" s="44">
        <v>811</v>
      </c>
      <c r="N50" s="42">
        <f t="shared" si="7"/>
        <v>911</v>
      </c>
      <c r="O50" s="48">
        <f t="shared" si="8"/>
        <v>300</v>
      </c>
      <c r="P50" s="43">
        <f t="shared" si="9"/>
        <v>611</v>
      </c>
      <c r="Q50" s="28"/>
    </row>
    <row r="51" spans="1:17" ht="18.75">
      <c r="A51" s="7">
        <v>1</v>
      </c>
      <c r="B51" s="7" t="s">
        <v>110</v>
      </c>
      <c r="C51" s="7">
        <v>28</v>
      </c>
      <c r="D51" s="6"/>
      <c r="E51" s="29" t="s">
        <v>66</v>
      </c>
      <c r="F51" s="32"/>
      <c r="G51" s="8">
        <v>1</v>
      </c>
      <c r="H51" s="8">
        <v>0</v>
      </c>
      <c r="I51" s="12" t="s">
        <v>22</v>
      </c>
      <c r="J51" s="9">
        <f t="shared" si="5"/>
        <v>100</v>
      </c>
      <c r="K51" s="8">
        <v>0</v>
      </c>
      <c r="L51" s="8">
        <f t="shared" si="6"/>
        <v>100</v>
      </c>
      <c r="M51" s="44">
        <v>778</v>
      </c>
      <c r="N51" s="42">
        <f t="shared" si="7"/>
        <v>878</v>
      </c>
      <c r="O51" s="48">
        <f t="shared" si="8"/>
        <v>300</v>
      </c>
      <c r="P51" s="43">
        <f t="shared" si="9"/>
        <v>578</v>
      </c>
    </row>
    <row r="52" spans="1:17" ht="18.75">
      <c r="A52" s="7">
        <v>1</v>
      </c>
      <c r="B52" s="7" t="s">
        <v>118</v>
      </c>
      <c r="C52" s="7">
        <v>16</v>
      </c>
      <c r="D52" s="6"/>
      <c r="E52" s="29" t="s">
        <v>54</v>
      </c>
      <c r="F52" s="32"/>
      <c r="G52" s="8">
        <v>1</v>
      </c>
      <c r="H52" s="8">
        <v>0</v>
      </c>
      <c r="I52" s="12" t="s">
        <v>22</v>
      </c>
      <c r="J52" s="9">
        <f t="shared" si="5"/>
        <v>100</v>
      </c>
      <c r="K52" s="8">
        <v>0</v>
      </c>
      <c r="L52" s="8">
        <f t="shared" si="6"/>
        <v>100</v>
      </c>
      <c r="M52" s="44">
        <v>685</v>
      </c>
      <c r="N52" s="42">
        <f t="shared" si="7"/>
        <v>785</v>
      </c>
      <c r="O52" s="48">
        <f t="shared" si="8"/>
        <v>300</v>
      </c>
      <c r="P52" s="43">
        <f t="shared" si="9"/>
        <v>485</v>
      </c>
    </row>
    <row r="53" spans="1:17" ht="18.75">
      <c r="A53" s="7">
        <v>1</v>
      </c>
      <c r="B53" s="7" t="s">
        <v>110</v>
      </c>
      <c r="C53" s="7">
        <v>54</v>
      </c>
      <c r="D53" s="6"/>
      <c r="E53" s="29" t="s">
        <v>92</v>
      </c>
      <c r="G53" s="8">
        <v>1</v>
      </c>
      <c r="H53" s="8">
        <v>0</v>
      </c>
      <c r="I53" s="12" t="s">
        <v>22</v>
      </c>
      <c r="J53" s="9">
        <f t="shared" si="5"/>
        <v>100</v>
      </c>
      <c r="K53" s="8">
        <v>0</v>
      </c>
      <c r="L53" s="8">
        <f t="shared" si="6"/>
        <v>100</v>
      </c>
      <c r="M53" s="44">
        <v>550</v>
      </c>
      <c r="N53" s="42">
        <f t="shared" si="7"/>
        <v>650</v>
      </c>
      <c r="O53" s="48">
        <f t="shared" si="8"/>
        <v>300</v>
      </c>
      <c r="P53" s="43">
        <f t="shared" si="9"/>
        <v>350</v>
      </c>
    </row>
    <row r="54" spans="1:17" ht="18.75">
      <c r="A54" s="7">
        <v>1</v>
      </c>
      <c r="B54" s="7" t="s">
        <v>108</v>
      </c>
      <c r="C54" s="7">
        <v>44</v>
      </c>
      <c r="D54" s="6"/>
      <c r="E54" s="29" t="s">
        <v>82</v>
      </c>
      <c r="F54" s="29"/>
      <c r="G54" s="8">
        <v>1</v>
      </c>
      <c r="H54" s="8">
        <v>0</v>
      </c>
      <c r="I54" s="12" t="s">
        <v>22</v>
      </c>
      <c r="J54" s="9">
        <f t="shared" si="5"/>
        <v>100</v>
      </c>
      <c r="K54" s="8">
        <v>0</v>
      </c>
      <c r="L54" s="8">
        <f t="shared" si="6"/>
        <v>100</v>
      </c>
      <c r="M54" s="44">
        <v>529</v>
      </c>
      <c r="N54" s="42">
        <f t="shared" si="7"/>
        <v>629</v>
      </c>
      <c r="O54" s="48">
        <f t="shared" si="8"/>
        <v>300</v>
      </c>
      <c r="P54" s="43">
        <f t="shared" si="9"/>
        <v>329</v>
      </c>
    </row>
    <row r="55" spans="1:17" ht="18.75">
      <c r="A55" s="7">
        <v>1</v>
      </c>
      <c r="B55" s="7" t="s">
        <v>108</v>
      </c>
      <c r="C55" s="7">
        <v>38</v>
      </c>
      <c r="D55" s="6"/>
      <c r="E55" s="29" t="s">
        <v>76</v>
      </c>
      <c r="F55" s="29"/>
      <c r="G55" s="8">
        <v>1</v>
      </c>
      <c r="H55" s="8">
        <v>0</v>
      </c>
      <c r="I55" s="12" t="s">
        <v>22</v>
      </c>
      <c r="J55" s="9">
        <f t="shared" si="5"/>
        <v>100</v>
      </c>
      <c r="K55" s="8">
        <v>0</v>
      </c>
      <c r="L55" s="8">
        <f t="shared" si="6"/>
        <v>100</v>
      </c>
      <c r="M55" s="44">
        <v>350</v>
      </c>
      <c r="N55" s="42">
        <f t="shared" si="7"/>
        <v>450</v>
      </c>
      <c r="O55" s="48">
        <f t="shared" si="8"/>
        <v>300</v>
      </c>
      <c r="P55" s="43">
        <f t="shared" si="9"/>
        <v>150</v>
      </c>
    </row>
    <row r="56" spans="1:17" ht="18.75">
      <c r="A56" s="7">
        <v>1</v>
      </c>
      <c r="B56" s="7" t="s">
        <v>122</v>
      </c>
      <c r="C56" s="7">
        <v>27</v>
      </c>
      <c r="D56" s="6"/>
      <c r="E56" s="29" t="s">
        <v>65</v>
      </c>
      <c r="F56" s="32"/>
      <c r="G56" s="8">
        <v>1</v>
      </c>
      <c r="H56" s="8">
        <v>0</v>
      </c>
      <c r="I56" s="12" t="s">
        <v>22</v>
      </c>
      <c r="J56" s="9">
        <f t="shared" si="5"/>
        <v>100</v>
      </c>
      <c r="K56" s="8">
        <v>0</v>
      </c>
      <c r="L56" s="8">
        <f t="shared" si="6"/>
        <v>100</v>
      </c>
      <c r="M56" s="44">
        <v>225</v>
      </c>
      <c r="N56" s="42">
        <f t="shared" si="7"/>
        <v>325</v>
      </c>
      <c r="O56" s="48">
        <f t="shared" si="8"/>
        <v>300</v>
      </c>
      <c r="P56" s="43">
        <f t="shared" si="9"/>
        <v>25</v>
      </c>
    </row>
    <row r="57" spans="1:17" ht="18.75">
      <c r="A57" s="7">
        <v>1</v>
      </c>
      <c r="B57" s="7" t="s">
        <v>108</v>
      </c>
      <c r="C57" s="7">
        <v>8</v>
      </c>
      <c r="D57" s="6"/>
      <c r="E57" s="29" t="s">
        <v>46</v>
      </c>
      <c r="F57" s="29"/>
      <c r="G57" s="8">
        <v>1</v>
      </c>
      <c r="H57" s="8">
        <v>0</v>
      </c>
      <c r="I57" s="12" t="s">
        <v>22</v>
      </c>
      <c r="J57" s="9">
        <f t="shared" si="5"/>
        <v>100</v>
      </c>
      <c r="K57" s="8">
        <v>0</v>
      </c>
      <c r="L57" s="8">
        <f t="shared" si="6"/>
        <v>100</v>
      </c>
      <c r="M57" s="44">
        <v>200</v>
      </c>
      <c r="N57" s="42">
        <f t="shared" si="7"/>
        <v>300</v>
      </c>
      <c r="O57" s="48">
        <f t="shared" si="8"/>
        <v>300</v>
      </c>
      <c r="P57" s="43">
        <f t="shared" si="9"/>
        <v>0</v>
      </c>
      <c r="Q57" s="40"/>
    </row>
    <row r="58" spans="1:17" ht="18.75">
      <c r="A58" s="7">
        <v>1</v>
      </c>
      <c r="B58" s="7" t="s">
        <v>118</v>
      </c>
      <c r="C58" s="7">
        <v>65</v>
      </c>
      <c r="E58" s="29" t="s">
        <v>105</v>
      </c>
      <c r="G58" s="8">
        <v>1</v>
      </c>
      <c r="H58" s="8">
        <v>0</v>
      </c>
      <c r="I58" s="12" t="s">
        <v>22</v>
      </c>
      <c r="J58" s="9">
        <f t="shared" si="5"/>
        <v>100</v>
      </c>
      <c r="K58" s="8">
        <v>0</v>
      </c>
      <c r="L58" s="8">
        <f t="shared" si="6"/>
        <v>100</v>
      </c>
      <c r="M58" s="44">
        <v>25</v>
      </c>
      <c r="N58" s="42">
        <f t="shared" si="7"/>
        <v>125</v>
      </c>
      <c r="O58" s="48">
        <f t="shared" si="8"/>
        <v>300</v>
      </c>
      <c r="P58" s="43">
        <f t="shared" si="9"/>
        <v>0</v>
      </c>
    </row>
    <row r="59" spans="1:17" ht="18.75">
      <c r="A59" s="7">
        <v>1</v>
      </c>
      <c r="B59" s="7" t="s">
        <v>114</v>
      </c>
      <c r="C59" s="7">
        <v>19</v>
      </c>
      <c r="D59" s="6"/>
      <c r="E59" s="29" t="s">
        <v>57</v>
      </c>
      <c r="F59" s="29"/>
      <c r="G59" s="8">
        <v>1</v>
      </c>
      <c r="H59" s="8">
        <v>0</v>
      </c>
      <c r="I59" s="12" t="s">
        <v>22</v>
      </c>
      <c r="J59" s="9">
        <f t="shared" si="5"/>
        <v>100</v>
      </c>
      <c r="K59" s="8">
        <v>0</v>
      </c>
      <c r="L59" s="8">
        <f t="shared" si="6"/>
        <v>100</v>
      </c>
      <c r="M59" s="44">
        <v>0</v>
      </c>
      <c r="N59" s="42">
        <f t="shared" si="7"/>
        <v>100</v>
      </c>
      <c r="O59" s="48">
        <f t="shared" si="8"/>
        <v>300</v>
      </c>
      <c r="P59" s="43">
        <f t="shared" si="9"/>
        <v>0</v>
      </c>
    </row>
    <row r="60" spans="1:17" ht="18.75">
      <c r="A60" s="7">
        <v>1</v>
      </c>
      <c r="B60" s="7" t="s">
        <v>112</v>
      </c>
      <c r="C60" s="7">
        <v>15</v>
      </c>
      <c r="D60" s="6"/>
      <c r="E60" s="29" t="s">
        <v>53</v>
      </c>
      <c r="F60" s="29"/>
      <c r="G60" s="8">
        <v>0</v>
      </c>
      <c r="H60" s="8">
        <v>0</v>
      </c>
      <c r="I60" s="27" t="s">
        <v>23</v>
      </c>
      <c r="J60" s="9">
        <f t="shared" si="5"/>
        <v>0</v>
      </c>
      <c r="K60" s="8">
        <v>0</v>
      </c>
      <c r="L60" s="8">
        <f t="shared" si="6"/>
        <v>0</v>
      </c>
      <c r="M60" s="44">
        <v>750</v>
      </c>
      <c r="N60" s="42">
        <f t="shared" si="7"/>
        <v>750</v>
      </c>
      <c r="O60" s="48">
        <f t="shared" si="8"/>
        <v>0</v>
      </c>
      <c r="P60" s="43">
        <f t="shared" si="9"/>
        <v>750</v>
      </c>
    </row>
    <row r="61" spans="1:17" ht="18.75">
      <c r="A61" s="7">
        <v>1</v>
      </c>
      <c r="B61" s="7" t="s">
        <v>121</v>
      </c>
      <c r="C61" s="7">
        <v>30</v>
      </c>
      <c r="D61" s="6"/>
      <c r="E61" s="29" t="s">
        <v>68</v>
      </c>
      <c r="F61" s="32"/>
      <c r="G61" s="8">
        <v>0</v>
      </c>
      <c r="H61" s="8">
        <v>0</v>
      </c>
      <c r="I61" s="27" t="s">
        <v>23</v>
      </c>
      <c r="J61" s="9">
        <f t="shared" si="5"/>
        <v>0</v>
      </c>
      <c r="K61" s="8">
        <v>0</v>
      </c>
      <c r="L61" s="8">
        <f t="shared" si="6"/>
        <v>0</v>
      </c>
      <c r="M61" s="44">
        <v>741</v>
      </c>
      <c r="N61" s="42">
        <f t="shared" si="7"/>
        <v>741</v>
      </c>
      <c r="O61" s="48">
        <f t="shared" si="8"/>
        <v>0</v>
      </c>
      <c r="P61" s="43">
        <f t="shared" si="9"/>
        <v>741</v>
      </c>
    </row>
    <row r="62" spans="1:17" ht="18.75">
      <c r="A62" s="7">
        <v>1</v>
      </c>
      <c r="B62" s="7" t="s">
        <v>112</v>
      </c>
      <c r="C62" s="7">
        <v>57</v>
      </c>
      <c r="D62" s="6"/>
      <c r="E62" s="29" t="s">
        <v>95</v>
      </c>
      <c r="G62" s="8">
        <v>0</v>
      </c>
      <c r="H62" s="8">
        <v>0</v>
      </c>
      <c r="I62" s="27" t="s">
        <v>23</v>
      </c>
      <c r="J62" s="9">
        <f t="shared" si="5"/>
        <v>0</v>
      </c>
      <c r="K62" s="8">
        <v>0</v>
      </c>
      <c r="L62" s="8">
        <f t="shared" si="6"/>
        <v>0</v>
      </c>
      <c r="M62" s="44">
        <v>410</v>
      </c>
      <c r="N62" s="42">
        <f t="shared" si="7"/>
        <v>410</v>
      </c>
      <c r="O62" s="48">
        <f t="shared" si="8"/>
        <v>0</v>
      </c>
      <c r="P62" s="43">
        <f t="shared" si="9"/>
        <v>410</v>
      </c>
    </row>
    <row r="63" spans="1:17" ht="18.75">
      <c r="A63" s="7">
        <v>1</v>
      </c>
      <c r="B63" s="7" t="s">
        <v>122</v>
      </c>
      <c r="C63" s="7">
        <v>7</v>
      </c>
      <c r="D63" s="6"/>
      <c r="E63" s="29" t="s">
        <v>45</v>
      </c>
      <c r="F63" s="29"/>
      <c r="G63" s="8">
        <v>0</v>
      </c>
      <c r="H63" s="8">
        <v>0</v>
      </c>
      <c r="I63" s="27" t="s">
        <v>23</v>
      </c>
      <c r="J63" s="9">
        <f t="shared" si="5"/>
        <v>0</v>
      </c>
      <c r="K63" s="8">
        <v>0</v>
      </c>
      <c r="L63" s="8">
        <f t="shared" si="6"/>
        <v>0</v>
      </c>
      <c r="M63" s="44">
        <v>238</v>
      </c>
      <c r="N63" s="42">
        <f t="shared" si="7"/>
        <v>238</v>
      </c>
      <c r="O63" s="48">
        <f t="shared" si="8"/>
        <v>0</v>
      </c>
      <c r="P63" s="43">
        <f t="shared" si="9"/>
        <v>238</v>
      </c>
      <c r="Q63" s="40"/>
    </row>
    <row r="64" spans="1:17" ht="18.75">
      <c r="A64" s="7">
        <v>1</v>
      </c>
      <c r="B64" s="7" t="s">
        <v>122</v>
      </c>
      <c r="C64" s="7">
        <v>61</v>
      </c>
      <c r="D64" s="6"/>
      <c r="E64" s="29" t="s">
        <v>99</v>
      </c>
      <c r="F64" s="29"/>
      <c r="G64" s="8">
        <v>0</v>
      </c>
      <c r="H64" s="8">
        <v>0</v>
      </c>
      <c r="I64" s="27" t="s">
        <v>23</v>
      </c>
      <c r="J64" s="9">
        <f t="shared" si="5"/>
        <v>0</v>
      </c>
      <c r="K64" s="8">
        <v>0</v>
      </c>
      <c r="L64" s="8">
        <f t="shared" si="6"/>
        <v>0</v>
      </c>
      <c r="M64" s="44">
        <v>225</v>
      </c>
      <c r="N64" s="42">
        <f t="shared" si="7"/>
        <v>225</v>
      </c>
      <c r="O64" s="48">
        <f t="shared" si="8"/>
        <v>0</v>
      </c>
      <c r="P64" s="43">
        <f t="shared" si="9"/>
        <v>225</v>
      </c>
    </row>
    <row r="65" spans="1:16" ht="18.75">
      <c r="A65" s="7">
        <v>1</v>
      </c>
      <c r="B65" s="7" t="s">
        <v>122</v>
      </c>
      <c r="C65" s="7">
        <v>34</v>
      </c>
      <c r="D65" s="6"/>
      <c r="E65" s="29" t="s">
        <v>72</v>
      </c>
      <c r="F65" s="29"/>
      <c r="G65" s="8">
        <v>0</v>
      </c>
      <c r="H65" s="8">
        <v>0</v>
      </c>
      <c r="I65" s="27" t="s">
        <v>23</v>
      </c>
      <c r="J65" s="9">
        <f t="shared" si="5"/>
        <v>0</v>
      </c>
      <c r="K65" s="8">
        <v>0</v>
      </c>
      <c r="L65" s="8">
        <f t="shared" si="6"/>
        <v>0</v>
      </c>
      <c r="M65" s="44">
        <v>219</v>
      </c>
      <c r="N65" s="42">
        <f t="shared" si="7"/>
        <v>219</v>
      </c>
      <c r="O65" s="48">
        <f t="shared" si="8"/>
        <v>0</v>
      </c>
      <c r="P65" s="43">
        <f t="shared" si="9"/>
        <v>219</v>
      </c>
    </row>
    <row r="66" spans="1:16" ht="18.75">
      <c r="A66" s="7">
        <v>1</v>
      </c>
      <c r="B66" s="7" t="s">
        <v>125</v>
      </c>
      <c r="C66" s="7">
        <v>59</v>
      </c>
      <c r="D66" s="6"/>
      <c r="E66" s="29" t="s">
        <v>97</v>
      </c>
      <c r="G66" s="8">
        <v>0</v>
      </c>
      <c r="H66" s="8">
        <v>0</v>
      </c>
      <c r="I66" s="27" t="s">
        <v>23</v>
      </c>
      <c r="J66" s="9">
        <f t="shared" si="5"/>
        <v>0</v>
      </c>
      <c r="K66" s="8">
        <v>0</v>
      </c>
      <c r="L66" s="8">
        <f t="shared" si="6"/>
        <v>0</v>
      </c>
      <c r="M66" s="44">
        <v>25</v>
      </c>
      <c r="N66" s="42">
        <f t="shared" si="7"/>
        <v>25</v>
      </c>
      <c r="O66" s="48">
        <f t="shared" si="8"/>
        <v>0</v>
      </c>
      <c r="P66" s="43">
        <f t="shared" si="9"/>
        <v>25</v>
      </c>
    </row>
    <row r="67" spans="1:16" ht="18.75">
      <c r="A67" s="7">
        <v>1</v>
      </c>
      <c r="B67" s="7" t="s">
        <v>116</v>
      </c>
      <c r="C67" s="7">
        <v>60</v>
      </c>
      <c r="D67" s="6"/>
      <c r="E67" s="29" t="s">
        <v>98</v>
      </c>
      <c r="G67" s="8">
        <v>0</v>
      </c>
      <c r="H67" s="8">
        <v>0</v>
      </c>
      <c r="I67" s="27" t="s">
        <v>23</v>
      </c>
      <c r="J67" s="9">
        <f t="shared" si="5"/>
        <v>0</v>
      </c>
      <c r="K67" s="8">
        <v>0</v>
      </c>
      <c r="L67" s="8">
        <f t="shared" si="6"/>
        <v>0</v>
      </c>
      <c r="M67" s="44">
        <v>25</v>
      </c>
      <c r="N67" s="42">
        <f t="shared" si="7"/>
        <v>25</v>
      </c>
      <c r="O67" s="48">
        <f t="shared" si="8"/>
        <v>0</v>
      </c>
      <c r="P67" s="43">
        <f t="shared" si="9"/>
        <v>25</v>
      </c>
    </row>
    <row r="68" spans="1:16" ht="18.75">
      <c r="A68" s="7">
        <v>1</v>
      </c>
      <c r="B68" s="7" t="s">
        <v>118</v>
      </c>
      <c r="C68" s="7">
        <v>51</v>
      </c>
      <c r="D68" s="6"/>
      <c r="E68" s="29" t="s">
        <v>89</v>
      </c>
      <c r="F68" s="29"/>
      <c r="G68" s="8">
        <v>0</v>
      </c>
      <c r="H68" s="8">
        <v>0</v>
      </c>
      <c r="I68" s="27" t="s">
        <v>23</v>
      </c>
      <c r="J68" s="9">
        <f t="shared" si="5"/>
        <v>0</v>
      </c>
      <c r="K68" s="8">
        <v>0</v>
      </c>
      <c r="L68" s="8">
        <f t="shared" si="6"/>
        <v>0</v>
      </c>
      <c r="M68" s="44">
        <v>0</v>
      </c>
      <c r="N68" s="42">
        <f t="shared" si="7"/>
        <v>0</v>
      </c>
      <c r="O68" s="48">
        <f t="shared" si="8"/>
        <v>0</v>
      </c>
      <c r="P68" s="43">
        <f t="shared" si="9"/>
        <v>0</v>
      </c>
    </row>
    <row r="69" spans="1:16" ht="18.75">
      <c r="A69" s="47">
        <v>1</v>
      </c>
      <c r="B69" s="47" t="s">
        <v>111</v>
      </c>
      <c r="C69" s="7">
        <v>48</v>
      </c>
      <c r="D69" s="6"/>
      <c r="E69" s="29" t="s">
        <v>86</v>
      </c>
      <c r="F69" s="29"/>
      <c r="G69" s="8">
        <v>0</v>
      </c>
      <c r="H69" s="8">
        <v>0</v>
      </c>
      <c r="I69" s="27" t="s">
        <v>23</v>
      </c>
      <c r="J69" s="9">
        <f t="shared" si="5"/>
        <v>0</v>
      </c>
      <c r="K69" s="8">
        <v>0</v>
      </c>
      <c r="L69" s="8">
        <f t="shared" ref="L69" si="10">SUM(J69+K69)</f>
        <v>0</v>
      </c>
      <c r="M69" s="44">
        <v>0</v>
      </c>
      <c r="N69" s="42">
        <f t="shared" ref="N69" si="11">M69+L69</f>
        <v>0</v>
      </c>
      <c r="O69" s="48">
        <f t="shared" si="8"/>
        <v>0</v>
      </c>
      <c r="P69" s="43">
        <f t="shared" ref="P69" si="12">IF(N69-O69&gt;0,N69-O69,0)</f>
        <v>0</v>
      </c>
    </row>
  </sheetData>
  <autoFilter ref="A4:Q69" xr:uid="{D50916F0-4EB1-4E61-AB8D-B58C4FC21503}">
    <sortState xmlns:xlrd2="http://schemas.microsoft.com/office/spreadsheetml/2017/richdata2" ref="A5:Q69">
      <sortCondition descending="1" ref="G4:G69"/>
    </sortState>
  </autoFilter>
  <mergeCells count="4">
    <mergeCell ref="C1:P1"/>
    <mergeCell ref="C2:P2"/>
    <mergeCell ref="C3:F3"/>
    <mergeCell ref="I3:P3"/>
  </mergeCells>
  <conditionalFormatting sqref="G5:H69">
    <cfRule type="cellIs" dxfId="20" priority="2" operator="lessThan">
      <formula>1</formula>
    </cfRule>
  </conditionalFormatting>
  <conditionalFormatting sqref="K5:K69">
    <cfRule type="cellIs" dxfId="19" priority="1" operator="lessThan">
      <formula>1</formula>
    </cfRule>
  </conditionalFormatting>
  <hyperlinks>
    <hyperlink ref="E18" r:id="rId1" xr:uid="{9849F53E-EBC1-4E8F-9FC7-354DFD2A7708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978C-CFDC-4D98-8257-D4DC3758B253}">
  <dimension ref="A1:Z69"/>
  <sheetViews>
    <sheetView topLeftCell="A33" zoomScale="85" zoomScaleNormal="85" workbookViewId="0">
      <selection activeCell="D66" sqref="D66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49" t="str">
        <f>CONCATENATE("5-8，97-104区 欧皇宝宝",R15,"年",R16,"月",R17,"日","分包贡献明细"," 统计：")</f>
        <v>5-8，97-104区 欧皇宝宝2026年2月14日分包贡献明细 统计：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1" t="s">
        <v>103</v>
      </c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54" t="s">
        <v>13</v>
      </c>
      <c r="C3" s="54"/>
      <c r="D3" s="54"/>
      <c r="E3" s="54"/>
      <c r="F3" s="38" t="s">
        <v>12</v>
      </c>
      <c r="G3" s="39" t="s">
        <v>29</v>
      </c>
      <c r="H3" s="55" t="s">
        <v>14</v>
      </c>
      <c r="I3" s="56"/>
      <c r="J3" s="56"/>
      <c r="K3" s="56"/>
      <c r="L3" s="56"/>
      <c r="M3" s="56"/>
      <c r="N3" s="56"/>
      <c r="O3" s="57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63</v>
      </c>
      <c r="C5" s="6"/>
      <c r="D5" s="29" t="s">
        <v>101</v>
      </c>
      <c r="F5" s="8">
        <v>4</v>
      </c>
      <c r="G5" s="8">
        <v>0</v>
      </c>
      <c r="H5" s="10" t="s">
        <v>33</v>
      </c>
      <c r="I5" s="9">
        <f t="shared" ref="I5:I36" si="0">F5*100</f>
        <v>400</v>
      </c>
      <c r="J5" s="8">
        <v>0</v>
      </c>
      <c r="K5" s="8">
        <f t="shared" ref="K5:K36" si="1">SUM(I5+J5)</f>
        <v>400</v>
      </c>
      <c r="L5" s="44">
        <v>725</v>
      </c>
      <c r="M5" s="42">
        <f t="shared" ref="M5:M36" si="2">L5+K5</f>
        <v>1125</v>
      </c>
      <c r="N5" s="16">
        <f t="shared" ref="N5:N36" si="3">VLOOKUP(H5,$Q$3:$R$10,2,FALSE)</f>
        <v>312</v>
      </c>
      <c r="O5" s="43">
        <f t="shared" ref="O5:O36" si="4">IF(M5-N5&gt;0,M5-N5,0)</f>
        <v>813</v>
      </c>
      <c r="P5" s="1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2</v>
      </c>
      <c r="C6" s="6"/>
      <c r="D6" s="29" t="s">
        <v>40</v>
      </c>
      <c r="E6" s="29"/>
      <c r="F6" s="8">
        <v>4</v>
      </c>
      <c r="G6" s="8">
        <v>0</v>
      </c>
      <c r="H6" s="10" t="s">
        <v>33</v>
      </c>
      <c r="I6" s="9">
        <f t="shared" si="0"/>
        <v>400</v>
      </c>
      <c r="J6" s="8">
        <v>0</v>
      </c>
      <c r="K6" s="8">
        <f t="shared" si="1"/>
        <v>400</v>
      </c>
      <c r="L6" s="44">
        <v>723</v>
      </c>
      <c r="M6" s="42">
        <f t="shared" si="2"/>
        <v>1123</v>
      </c>
      <c r="N6" s="16">
        <f t="shared" si="3"/>
        <v>312</v>
      </c>
      <c r="O6" s="43">
        <f t="shared" si="4"/>
        <v>811</v>
      </c>
      <c r="P6" s="9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49</v>
      </c>
      <c r="C7" s="6"/>
      <c r="D7" s="29" t="s">
        <v>87</v>
      </c>
      <c r="E7" s="29"/>
      <c r="F7" s="8">
        <v>4</v>
      </c>
      <c r="G7" s="8">
        <v>0</v>
      </c>
      <c r="H7" s="10" t="s">
        <v>33</v>
      </c>
      <c r="I7" s="9">
        <f t="shared" si="0"/>
        <v>400</v>
      </c>
      <c r="J7" s="8">
        <v>0</v>
      </c>
      <c r="K7" s="8">
        <f t="shared" si="1"/>
        <v>400</v>
      </c>
      <c r="L7" s="44">
        <v>723</v>
      </c>
      <c r="M7" s="42">
        <f t="shared" si="2"/>
        <v>1123</v>
      </c>
      <c r="N7" s="16">
        <f t="shared" si="3"/>
        <v>312</v>
      </c>
      <c r="O7" s="43">
        <f t="shared" si="4"/>
        <v>811</v>
      </c>
      <c r="P7" s="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52</v>
      </c>
      <c r="C8" s="6"/>
      <c r="D8" s="29" t="s">
        <v>90</v>
      </c>
      <c r="F8" s="8">
        <v>4</v>
      </c>
      <c r="G8" s="8">
        <v>0</v>
      </c>
      <c r="H8" s="10" t="s">
        <v>33</v>
      </c>
      <c r="I8" s="9">
        <f t="shared" si="0"/>
        <v>400</v>
      </c>
      <c r="J8" s="8">
        <v>0</v>
      </c>
      <c r="K8" s="8">
        <f t="shared" si="1"/>
        <v>400</v>
      </c>
      <c r="L8" s="44">
        <v>704</v>
      </c>
      <c r="M8" s="42">
        <f t="shared" si="2"/>
        <v>1104</v>
      </c>
      <c r="N8" s="16">
        <f t="shared" si="3"/>
        <v>312</v>
      </c>
      <c r="O8" s="43">
        <f t="shared" si="4"/>
        <v>792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22</v>
      </c>
      <c r="C9" s="6"/>
      <c r="D9" s="29" t="s">
        <v>60</v>
      </c>
      <c r="E9" s="32"/>
      <c r="F9" s="8">
        <v>4</v>
      </c>
      <c r="G9" s="8">
        <v>0</v>
      </c>
      <c r="H9" s="10" t="s">
        <v>33</v>
      </c>
      <c r="I9" s="9">
        <f t="shared" si="0"/>
        <v>400</v>
      </c>
      <c r="J9" s="8">
        <v>0</v>
      </c>
      <c r="K9" s="8">
        <f t="shared" si="1"/>
        <v>400</v>
      </c>
      <c r="L9" s="44">
        <v>695</v>
      </c>
      <c r="M9" s="42">
        <f t="shared" si="2"/>
        <v>1095</v>
      </c>
      <c r="N9" s="16">
        <f t="shared" si="3"/>
        <v>312</v>
      </c>
      <c r="O9" s="43">
        <f t="shared" si="4"/>
        <v>783</v>
      </c>
      <c r="P9" s="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14</v>
      </c>
      <c r="C10" s="6"/>
      <c r="D10" s="29" t="s">
        <v>52</v>
      </c>
      <c r="E10" s="29"/>
      <c r="F10" s="8">
        <v>4</v>
      </c>
      <c r="G10" s="8">
        <v>0</v>
      </c>
      <c r="H10" s="10" t="s">
        <v>33</v>
      </c>
      <c r="I10" s="9">
        <f t="shared" si="0"/>
        <v>400</v>
      </c>
      <c r="J10" s="8">
        <v>0</v>
      </c>
      <c r="K10" s="8">
        <f t="shared" si="1"/>
        <v>400</v>
      </c>
      <c r="L10" s="44">
        <v>695</v>
      </c>
      <c r="M10" s="42">
        <f t="shared" si="2"/>
        <v>1095</v>
      </c>
      <c r="N10" s="16">
        <f t="shared" si="3"/>
        <v>312</v>
      </c>
      <c r="O10" s="43">
        <f t="shared" si="4"/>
        <v>783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21</v>
      </c>
      <c r="C11" s="6"/>
      <c r="D11" s="29" t="s">
        <v>59</v>
      </c>
      <c r="F11" s="8">
        <v>4</v>
      </c>
      <c r="G11" s="8">
        <v>0</v>
      </c>
      <c r="H11" s="10" t="s">
        <v>33</v>
      </c>
      <c r="I11" s="9">
        <f t="shared" si="0"/>
        <v>400</v>
      </c>
      <c r="J11" s="8">
        <v>0</v>
      </c>
      <c r="K11" s="8">
        <f t="shared" si="1"/>
        <v>400</v>
      </c>
      <c r="L11" s="44">
        <v>686</v>
      </c>
      <c r="M11" s="42">
        <f t="shared" si="2"/>
        <v>1086</v>
      </c>
      <c r="N11" s="16">
        <f t="shared" si="3"/>
        <v>312</v>
      </c>
      <c r="O11" s="43">
        <f t="shared" si="4"/>
        <v>774</v>
      </c>
      <c r="P11" s="1"/>
      <c r="Q11" s="24"/>
    </row>
    <row r="12" spans="1:25" ht="18.75">
      <c r="A12" s="7">
        <v>1</v>
      </c>
      <c r="B12" s="7">
        <v>17</v>
      </c>
      <c r="C12" s="6"/>
      <c r="D12" s="29" t="s">
        <v>55</v>
      </c>
      <c r="E12" s="29"/>
      <c r="F12" s="8">
        <v>4</v>
      </c>
      <c r="G12" s="8">
        <v>0</v>
      </c>
      <c r="H12" s="11" t="s">
        <v>34</v>
      </c>
      <c r="I12" s="9">
        <f t="shared" si="0"/>
        <v>400</v>
      </c>
      <c r="J12" s="8">
        <v>0</v>
      </c>
      <c r="K12" s="8">
        <f t="shared" si="1"/>
        <v>400</v>
      </c>
      <c r="L12" s="44">
        <v>686</v>
      </c>
      <c r="M12" s="42">
        <f t="shared" si="2"/>
        <v>1086</v>
      </c>
      <c r="N12" s="16">
        <f t="shared" si="3"/>
        <v>240</v>
      </c>
      <c r="O12" s="43">
        <f t="shared" si="4"/>
        <v>846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55</v>
      </c>
      <c r="C13" s="6"/>
      <c r="D13" s="29" t="s">
        <v>106</v>
      </c>
      <c r="F13" s="8">
        <v>4</v>
      </c>
      <c r="G13" s="8">
        <v>0</v>
      </c>
      <c r="H13" s="11" t="s">
        <v>34</v>
      </c>
      <c r="I13" s="9">
        <f t="shared" si="0"/>
        <v>400</v>
      </c>
      <c r="J13" s="8">
        <v>0</v>
      </c>
      <c r="K13" s="8">
        <f t="shared" si="1"/>
        <v>400</v>
      </c>
      <c r="L13" s="44">
        <v>686</v>
      </c>
      <c r="M13" s="42">
        <f t="shared" si="2"/>
        <v>1086</v>
      </c>
      <c r="N13" s="16">
        <f t="shared" si="3"/>
        <v>240</v>
      </c>
      <c r="O13" s="43">
        <f t="shared" si="4"/>
        <v>846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62</v>
      </c>
      <c r="C14" s="6"/>
      <c r="D14" s="29" t="s">
        <v>100</v>
      </c>
      <c r="E14" s="29"/>
      <c r="F14" s="8">
        <v>4</v>
      </c>
      <c r="G14" s="8">
        <v>0</v>
      </c>
      <c r="H14" s="11" t="s">
        <v>34</v>
      </c>
      <c r="I14" s="9">
        <f t="shared" si="0"/>
        <v>400</v>
      </c>
      <c r="J14" s="8">
        <v>0</v>
      </c>
      <c r="K14" s="8">
        <f t="shared" si="1"/>
        <v>400</v>
      </c>
      <c r="L14" s="44">
        <v>686</v>
      </c>
      <c r="M14" s="42">
        <f t="shared" si="2"/>
        <v>1086</v>
      </c>
      <c r="N14" s="16">
        <f t="shared" si="3"/>
        <v>240</v>
      </c>
      <c r="O14" s="43">
        <f t="shared" si="4"/>
        <v>846</v>
      </c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11</v>
      </c>
      <c r="C15" s="6"/>
      <c r="D15" s="29" t="s">
        <v>49</v>
      </c>
      <c r="E15" s="29"/>
      <c r="F15" s="8">
        <v>4</v>
      </c>
      <c r="G15" s="8">
        <v>0</v>
      </c>
      <c r="H15" s="11" t="s">
        <v>34</v>
      </c>
      <c r="I15" s="9">
        <f t="shared" si="0"/>
        <v>400</v>
      </c>
      <c r="J15" s="8">
        <v>0</v>
      </c>
      <c r="K15" s="8">
        <f t="shared" si="1"/>
        <v>400</v>
      </c>
      <c r="L15" s="44">
        <v>679</v>
      </c>
      <c r="M15" s="42">
        <f t="shared" si="2"/>
        <v>1079</v>
      </c>
      <c r="N15" s="16">
        <f t="shared" si="3"/>
        <v>240</v>
      </c>
      <c r="O15" s="43">
        <f t="shared" si="4"/>
        <v>839</v>
      </c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3</v>
      </c>
      <c r="C16" s="6"/>
      <c r="D16" s="29" t="s">
        <v>41</v>
      </c>
      <c r="E16" s="29"/>
      <c r="F16" s="8">
        <v>4</v>
      </c>
      <c r="G16" s="8">
        <v>0</v>
      </c>
      <c r="H16" s="11" t="s">
        <v>34</v>
      </c>
      <c r="I16" s="9">
        <f t="shared" si="0"/>
        <v>400</v>
      </c>
      <c r="J16" s="8">
        <v>0</v>
      </c>
      <c r="K16" s="8">
        <f t="shared" si="1"/>
        <v>400</v>
      </c>
      <c r="L16" s="44">
        <v>679</v>
      </c>
      <c r="M16" s="42">
        <f t="shared" si="2"/>
        <v>1079</v>
      </c>
      <c r="N16" s="16">
        <f t="shared" si="3"/>
        <v>240</v>
      </c>
      <c r="O16" s="43">
        <f t="shared" si="4"/>
        <v>839</v>
      </c>
      <c r="P16" s="9"/>
      <c r="Q16" t="s">
        <v>27</v>
      </c>
      <c r="R16">
        <v>2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24</v>
      </c>
      <c r="C17" s="6"/>
      <c r="D17" s="29" t="s">
        <v>62</v>
      </c>
      <c r="E17" s="32"/>
      <c r="F17" s="8">
        <v>4</v>
      </c>
      <c r="G17" s="8">
        <v>0</v>
      </c>
      <c r="H17" s="11" t="s">
        <v>34</v>
      </c>
      <c r="I17" s="9">
        <f t="shared" si="0"/>
        <v>400</v>
      </c>
      <c r="J17" s="8">
        <v>0</v>
      </c>
      <c r="K17" s="8">
        <f t="shared" si="1"/>
        <v>400</v>
      </c>
      <c r="L17" s="44">
        <v>679</v>
      </c>
      <c r="M17" s="42">
        <f t="shared" si="2"/>
        <v>1079</v>
      </c>
      <c r="N17" s="16">
        <f t="shared" si="3"/>
        <v>240</v>
      </c>
      <c r="O17" s="43">
        <f t="shared" si="4"/>
        <v>839</v>
      </c>
      <c r="Q17" t="s">
        <v>28</v>
      </c>
      <c r="R17">
        <v>14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18</v>
      </c>
      <c r="C18" s="6"/>
      <c r="D18" s="29" t="s">
        <v>56</v>
      </c>
      <c r="E18" s="29"/>
      <c r="F18" s="8">
        <v>4</v>
      </c>
      <c r="G18" s="8">
        <v>0</v>
      </c>
      <c r="H18" s="11" t="s">
        <v>34</v>
      </c>
      <c r="I18" s="9">
        <f t="shared" si="0"/>
        <v>400</v>
      </c>
      <c r="J18" s="8">
        <v>0</v>
      </c>
      <c r="K18" s="8">
        <f t="shared" si="1"/>
        <v>400</v>
      </c>
      <c r="L18" s="44">
        <v>679</v>
      </c>
      <c r="M18" s="42">
        <f t="shared" si="2"/>
        <v>1079</v>
      </c>
      <c r="N18" s="16">
        <f t="shared" si="3"/>
        <v>240</v>
      </c>
      <c r="O18" s="43">
        <f t="shared" si="4"/>
        <v>839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32</v>
      </c>
      <c r="C19" s="6"/>
      <c r="D19" s="29" t="s">
        <v>70</v>
      </c>
      <c r="E19" s="32"/>
      <c r="F19" s="8">
        <v>4</v>
      </c>
      <c r="G19" s="8">
        <v>0</v>
      </c>
      <c r="H19" s="12" t="s">
        <v>35</v>
      </c>
      <c r="I19" s="9">
        <f t="shared" si="0"/>
        <v>400</v>
      </c>
      <c r="J19" s="8">
        <v>0</v>
      </c>
      <c r="K19" s="8">
        <f t="shared" si="1"/>
        <v>400</v>
      </c>
      <c r="L19" s="44">
        <v>670</v>
      </c>
      <c r="M19" s="42">
        <f t="shared" si="2"/>
        <v>1070</v>
      </c>
      <c r="N19" s="16">
        <f t="shared" si="3"/>
        <v>175</v>
      </c>
      <c r="O19" s="43">
        <f t="shared" si="4"/>
        <v>895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42</v>
      </c>
      <c r="C20" s="6"/>
      <c r="D20" s="29" t="s">
        <v>80</v>
      </c>
      <c r="E20" s="32"/>
      <c r="F20" s="8">
        <v>4</v>
      </c>
      <c r="G20" s="8">
        <v>0</v>
      </c>
      <c r="H20" s="12" t="s">
        <v>35</v>
      </c>
      <c r="I20" s="9">
        <f t="shared" si="0"/>
        <v>400</v>
      </c>
      <c r="J20" s="8">
        <v>0</v>
      </c>
      <c r="K20" s="8">
        <f t="shared" si="1"/>
        <v>400</v>
      </c>
      <c r="L20" s="44">
        <v>669</v>
      </c>
      <c r="M20" s="42">
        <f t="shared" si="2"/>
        <v>1069</v>
      </c>
      <c r="N20" s="16">
        <f t="shared" si="3"/>
        <v>175</v>
      </c>
      <c r="O20" s="43">
        <f t="shared" si="4"/>
        <v>894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29</v>
      </c>
      <c r="C21" s="6"/>
      <c r="D21" s="29" t="s">
        <v>67</v>
      </c>
      <c r="E21" s="32"/>
      <c r="F21" s="8">
        <v>4</v>
      </c>
      <c r="G21" s="8">
        <v>0</v>
      </c>
      <c r="H21" s="12" t="s">
        <v>35</v>
      </c>
      <c r="I21" s="9">
        <f t="shared" si="0"/>
        <v>400</v>
      </c>
      <c r="J21" s="8">
        <v>0</v>
      </c>
      <c r="K21" s="8">
        <f t="shared" si="1"/>
        <v>400</v>
      </c>
      <c r="L21" s="44">
        <v>669</v>
      </c>
      <c r="M21" s="42">
        <f t="shared" si="2"/>
        <v>1069</v>
      </c>
      <c r="N21" s="16">
        <f t="shared" si="3"/>
        <v>175</v>
      </c>
      <c r="O21" s="43">
        <f t="shared" si="4"/>
        <v>894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45</v>
      </c>
      <c r="C22" s="6"/>
      <c r="D22" s="29" t="s">
        <v>83</v>
      </c>
      <c r="E22" s="29"/>
      <c r="F22" s="8">
        <v>4</v>
      </c>
      <c r="G22" s="8">
        <v>0</v>
      </c>
      <c r="H22" s="12" t="s">
        <v>35</v>
      </c>
      <c r="I22" s="9">
        <f t="shared" si="0"/>
        <v>400</v>
      </c>
      <c r="J22" s="8">
        <v>0</v>
      </c>
      <c r="K22" s="8">
        <f t="shared" si="1"/>
        <v>400</v>
      </c>
      <c r="L22" s="44">
        <v>667</v>
      </c>
      <c r="M22" s="42">
        <f t="shared" si="2"/>
        <v>1067</v>
      </c>
      <c r="N22" s="16">
        <f t="shared" si="3"/>
        <v>175</v>
      </c>
      <c r="O22" s="43">
        <f t="shared" si="4"/>
        <v>892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1</v>
      </c>
      <c r="C23" s="6"/>
      <c r="D23" s="29" t="s">
        <v>39</v>
      </c>
      <c r="E23" s="29"/>
      <c r="F23" s="8">
        <v>4</v>
      </c>
      <c r="G23" s="8">
        <v>0</v>
      </c>
      <c r="H23" s="12" t="s">
        <v>35</v>
      </c>
      <c r="I23" s="9">
        <f t="shared" si="0"/>
        <v>400</v>
      </c>
      <c r="J23" s="8">
        <v>0</v>
      </c>
      <c r="K23" s="8">
        <f t="shared" si="1"/>
        <v>400</v>
      </c>
      <c r="L23" s="44">
        <v>667</v>
      </c>
      <c r="M23" s="42">
        <f t="shared" si="2"/>
        <v>1067</v>
      </c>
      <c r="N23" s="16">
        <f t="shared" si="3"/>
        <v>175</v>
      </c>
      <c r="O23" s="43">
        <f t="shared" si="4"/>
        <v>892</v>
      </c>
      <c r="P23" s="9"/>
    </row>
    <row r="24" spans="1:26" ht="18.75">
      <c r="A24" s="7">
        <v>1</v>
      </c>
      <c r="B24" s="7">
        <v>36</v>
      </c>
      <c r="C24" s="6"/>
      <c r="D24" s="29" t="s">
        <v>74</v>
      </c>
      <c r="E24" s="29"/>
      <c r="F24" s="8">
        <v>4</v>
      </c>
      <c r="G24" s="8">
        <v>0</v>
      </c>
      <c r="H24" s="12" t="s">
        <v>35</v>
      </c>
      <c r="I24" s="9">
        <f t="shared" si="0"/>
        <v>400</v>
      </c>
      <c r="J24" s="8">
        <v>0</v>
      </c>
      <c r="K24" s="8">
        <f t="shared" si="1"/>
        <v>400</v>
      </c>
      <c r="L24" s="44">
        <v>667</v>
      </c>
      <c r="M24" s="42">
        <f t="shared" si="2"/>
        <v>1067</v>
      </c>
      <c r="N24" s="16">
        <f t="shared" si="3"/>
        <v>175</v>
      </c>
      <c r="O24" s="43">
        <f t="shared" si="4"/>
        <v>892</v>
      </c>
      <c r="P24" s="1"/>
    </row>
    <row r="25" spans="1:26" ht="18.75">
      <c r="A25" s="7">
        <v>1</v>
      </c>
      <c r="B25" s="7">
        <v>12</v>
      </c>
      <c r="C25" s="6"/>
      <c r="D25" s="29" t="s">
        <v>50</v>
      </c>
      <c r="E25" s="29"/>
      <c r="F25" s="8">
        <v>4</v>
      </c>
      <c r="G25" s="8">
        <v>0</v>
      </c>
      <c r="H25" s="12" t="s">
        <v>35</v>
      </c>
      <c r="I25" s="9">
        <f t="shared" si="0"/>
        <v>400</v>
      </c>
      <c r="J25" s="8">
        <v>0</v>
      </c>
      <c r="K25" s="8">
        <f t="shared" si="1"/>
        <v>400</v>
      </c>
      <c r="L25" s="44">
        <v>665</v>
      </c>
      <c r="M25" s="42">
        <f t="shared" si="2"/>
        <v>1065</v>
      </c>
      <c r="N25" s="16">
        <f t="shared" si="3"/>
        <v>175</v>
      </c>
      <c r="O25" s="43">
        <f t="shared" si="4"/>
        <v>890</v>
      </c>
      <c r="P25" s="1"/>
    </row>
    <row r="26" spans="1:26" ht="18.75" customHeight="1">
      <c r="A26" s="7">
        <v>1</v>
      </c>
      <c r="B26" s="7">
        <v>13</v>
      </c>
      <c r="C26" s="6"/>
      <c r="D26" s="29" t="s">
        <v>51</v>
      </c>
      <c r="E26" s="29"/>
      <c r="F26" s="8">
        <v>4</v>
      </c>
      <c r="G26" s="8">
        <v>0</v>
      </c>
      <c r="H26" s="12" t="s">
        <v>35</v>
      </c>
      <c r="I26" s="9">
        <f t="shared" si="0"/>
        <v>400</v>
      </c>
      <c r="J26" s="8">
        <v>0</v>
      </c>
      <c r="K26" s="8">
        <f t="shared" si="1"/>
        <v>400</v>
      </c>
      <c r="L26" s="44">
        <v>639</v>
      </c>
      <c r="M26" s="42">
        <f t="shared" si="2"/>
        <v>1039</v>
      </c>
      <c r="N26" s="16">
        <f t="shared" si="3"/>
        <v>175</v>
      </c>
      <c r="O26" s="43">
        <f t="shared" si="4"/>
        <v>864</v>
      </c>
      <c r="P26" s="1"/>
    </row>
    <row r="27" spans="1:26" ht="18.75">
      <c r="A27" s="7">
        <v>1</v>
      </c>
      <c r="B27" s="7">
        <v>37</v>
      </c>
      <c r="C27" s="6"/>
      <c r="D27" s="29" t="s">
        <v>75</v>
      </c>
      <c r="F27" s="8">
        <v>4</v>
      </c>
      <c r="G27" s="8">
        <v>0</v>
      </c>
      <c r="H27" s="12" t="s">
        <v>35</v>
      </c>
      <c r="I27" s="9">
        <f t="shared" si="0"/>
        <v>400</v>
      </c>
      <c r="J27" s="8">
        <v>0</v>
      </c>
      <c r="K27" s="8">
        <f t="shared" si="1"/>
        <v>400</v>
      </c>
      <c r="L27" s="44">
        <v>632</v>
      </c>
      <c r="M27" s="42">
        <f t="shared" si="2"/>
        <v>1032</v>
      </c>
      <c r="N27" s="16">
        <f t="shared" si="3"/>
        <v>175</v>
      </c>
      <c r="O27" s="43">
        <f t="shared" si="4"/>
        <v>857</v>
      </c>
      <c r="P27" s="1"/>
    </row>
    <row r="28" spans="1:26" ht="18.75">
      <c r="A28" s="7">
        <v>1</v>
      </c>
      <c r="B28" s="7">
        <v>43</v>
      </c>
      <c r="C28" s="6"/>
      <c r="D28" s="29" t="s">
        <v>81</v>
      </c>
      <c r="E28" s="31"/>
      <c r="F28" s="8">
        <v>4</v>
      </c>
      <c r="G28" s="8">
        <v>0</v>
      </c>
      <c r="H28" s="12" t="s">
        <v>35</v>
      </c>
      <c r="I28" s="9">
        <f t="shared" si="0"/>
        <v>400</v>
      </c>
      <c r="J28" s="8">
        <v>0</v>
      </c>
      <c r="K28" s="8">
        <f t="shared" si="1"/>
        <v>400</v>
      </c>
      <c r="L28" s="44">
        <v>632</v>
      </c>
      <c r="M28" s="42">
        <f t="shared" si="2"/>
        <v>1032</v>
      </c>
      <c r="N28" s="16">
        <f t="shared" si="3"/>
        <v>175</v>
      </c>
      <c r="O28" s="43">
        <f t="shared" si="4"/>
        <v>857</v>
      </c>
      <c r="P28" s="1"/>
    </row>
    <row r="29" spans="1:26" s="1" customFormat="1" ht="18.75">
      <c r="A29" s="7">
        <v>1</v>
      </c>
      <c r="B29" s="7">
        <v>23</v>
      </c>
      <c r="C29" s="6"/>
      <c r="D29" s="29" t="s">
        <v>61</v>
      </c>
      <c r="E29" s="32"/>
      <c r="F29" s="8">
        <v>4</v>
      </c>
      <c r="G29" s="8">
        <v>0</v>
      </c>
      <c r="H29" s="12" t="s">
        <v>35</v>
      </c>
      <c r="I29" s="9">
        <f t="shared" si="0"/>
        <v>400</v>
      </c>
      <c r="J29" s="8">
        <v>0</v>
      </c>
      <c r="K29" s="8">
        <f t="shared" si="1"/>
        <v>400</v>
      </c>
      <c r="L29" s="44">
        <v>632</v>
      </c>
      <c r="M29" s="42">
        <f t="shared" si="2"/>
        <v>1032</v>
      </c>
      <c r="N29" s="16">
        <f t="shared" si="3"/>
        <v>175</v>
      </c>
      <c r="O29" s="43">
        <f t="shared" si="4"/>
        <v>857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50</v>
      </c>
      <c r="C30" s="6"/>
      <c r="D30" s="29" t="s">
        <v>88</v>
      </c>
      <c r="E30" s="29"/>
      <c r="F30" s="8">
        <v>4</v>
      </c>
      <c r="G30" s="8">
        <v>0</v>
      </c>
      <c r="H30" s="12" t="s">
        <v>35</v>
      </c>
      <c r="I30" s="9">
        <f t="shared" si="0"/>
        <v>400</v>
      </c>
      <c r="J30" s="8">
        <v>0</v>
      </c>
      <c r="K30" s="8">
        <f t="shared" si="1"/>
        <v>400</v>
      </c>
      <c r="L30" s="44">
        <v>625</v>
      </c>
      <c r="M30" s="42">
        <f t="shared" si="2"/>
        <v>1025</v>
      </c>
      <c r="N30" s="16">
        <f t="shared" si="3"/>
        <v>175</v>
      </c>
      <c r="O30" s="43">
        <f t="shared" si="4"/>
        <v>850</v>
      </c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35</v>
      </c>
      <c r="C31" s="6"/>
      <c r="D31" s="29" t="s">
        <v>73</v>
      </c>
      <c r="E31" s="29"/>
      <c r="F31" s="8">
        <v>4</v>
      </c>
      <c r="G31" s="8">
        <v>0</v>
      </c>
      <c r="H31" s="12" t="s">
        <v>35</v>
      </c>
      <c r="I31" s="9">
        <f t="shared" si="0"/>
        <v>400</v>
      </c>
      <c r="J31" s="8">
        <v>0</v>
      </c>
      <c r="K31" s="8">
        <f t="shared" si="1"/>
        <v>400</v>
      </c>
      <c r="L31" s="44">
        <v>623</v>
      </c>
      <c r="M31" s="42">
        <f t="shared" si="2"/>
        <v>1023</v>
      </c>
      <c r="N31" s="16">
        <f t="shared" si="3"/>
        <v>175</v>
      </c>
      <c r="O31" s="43">
        <f t="shared" si="4"/>
        <v>848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9</v>
      </c>
      <c r="C32" s="6"/>
      <c r="D32" s="29" t="s">
        <v>47</v>
      </c>
      <c r="E32" s="33"/>
      <c r="F32" s="8">
        <v>4</v>
      </c>
      <c r="G32" s="8">
        <v>0</v>
      </c>
      <c r="H32" s="12" t="s">
        <v>35</v>
      </c>
      <c r="I32" s="9">
        <f t="shared" si="0"/>
        <v>400</v>
      </c>
      <c r="J32" s="8">
        <v>0</v>
      </c>
      <c r="K32" s="8">
        <f t="shared" si="1"/>
        <v>400</v>
      </c>
      <c r="L32" s="44">
        <v>623</v>
      </c>
      <c r="M32" s="42">
        <f t="shared" si="2"/>
        <v>1023</v>
      </c>
      <c r="N32" s="16">
        <f t="shared" si="3"/>
        <v>175</v>
      </c>
      <c r="O32" s="43">
        <f t="shared" si="4"/>
        <v>848</v>
      </c>
      <c r="P32" s="21"/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6</v>
      </c>
      <c r="C33" s="6"/>
      <c r="D33" s="29" t="s">
        <v>44</v>
      </c>
      <c r="E33" s="29"/>
      <c r="F33" s="8">
        <v>3</v>
      </c>
      <c r="G33" s="8">
        <v>0</v>
      </c>
      <c r="H33" s="12" t="s">
        <v>35</v>
      </c>
      <c r="I33" s="9">
        <f t="shared" si="0"/>
        <v>300</v>
      </c>
      <c r="J33" s="8">
        <v>0</v>
      </c>
      <c r="K33" s="8">
        <f t="shared" si="1"/>
        <v>300</v>
      </c>
      <c r="L33" s="44">
        <v>723</v>
      </c>
      <c r="M33" s="42">
        <f t="shared" si="2"/>
        <v>1023</v>
      </c>
      <c r="N33" s="16">
        <f t="shared" si="3"/>
        <v>175</v>
      </c>
      <c r="O33" s="43">
        <f t="shared" si="4"/>
        <v>848</v>
      </c>
      <c r="P33" s="15"/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5</v>
      </c>
      <c r="C34" s="6"/>
      <c r="D34" s="29" t="s">
        <v>43</v>
      </c>
      <c r="E34" s="29"/>
      <c r="F34" s="8">
        <v>4</v>
      </c>
      <c r="G34" s="8">
        <v>0</v>
      </c>
      <c r="H34" s="12" t="s">
        <v>35</v>
      </c>
      <c r="I34" s="9">
        <f t="shared" si="0"/>
        <v>400</v>
      </c>
      <c r="J34" s="8">
        <v>0</v>
      </c>
      <c r="K34" s="8">
        <f t="shared" si="1"/>
        <v>400</v>
      </c>
      <c r="L34" s="44">
        <v>616</v>
      </c>
      <c r="M34" s="42">
        <f t="shared" si="2"/>
        <v>1016</v>
      </c>
      <c r="N34" s="16">
        <f t="shared" si="3"/>
        <v>175</v>
      </c>
      <c r="O34" s="43">
        <f t="shared" si="4"/>
        <v>841</v>
      </c>
      <c r="P34" s="21"/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40</v>
      </c>
      <c r="C35" s="6"/>
      <c r="D35" s="30" t="s">
        <v>78</v>
      </c>
      <c r="F35" s="8">
        <v>4</v>
      </c>
      <c r="G35" s="8">
        <v>0</v>
      </c>
      <c r="H35" s="12" t="s">
        <v>35</v>
      </c>
      <c r="I35" s="9">
        <f t="shared" si="0"/>
        <v>400</v>
      </c>
      <c r="J35" s="8">
        <v>0</v>
      </c>
      <c r="K35" s="8">
        <f t="shared" si="1"/>
        <v>400</v>
      </c>
      <c r="L35" s="44">
        <v>616</v>
      </c>
      <c r="M35" s="42">
        <f t="shared" si="2"/>
        <v>1016</v>
      </c>
      <c r="N35" s="16">
        <f t="shared" si="3"/>
        <v>175</v>
      </c>
      <c r="O35" s="43">
        <f t="shared" si="4"/>
        <v>841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46</v>
      </c>
      <c r="C36" s="6"/>
      <c r="D36" s="29" t="s">
        <v>84</v>
      </c>
      <c r="E36" s="29"/>
      <c r="F36" s="8">
        <v>4</v>
      </c>
      <c r="G36" s="8">
        <v>0</v>
      </c>
      <c r="H36" s="12" t="s">
        <v>35</v>
      </c>
      <c r="I36" s="9">
        <f t="shared" si="0"/>
        <v>400</v>
      </c>
      <c r="J36" s="8">
        <v>0</v>
      </c>
      <c r="K36" s="8">
        <f t="shared" si="1"/>
        <v>400</v>
      </c>
      <c r="L36" s="44">
        <v>614</v>
      </c>
      <c r="M36" s="42">
        <f t="shared" si="2"/>
        <v>1014</v>
      </c>
      <c r="N36" s="16">
        <f t="shared" si="3"/>
        <v>175</v>
      </c>
      <c r="O36" s="43">
        <f t="shared" si="4"/>
        <v>839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47</v>
      </c>
      <c r="C37" s="6"/>
      <c r="D37" s="29" t="s">
        <v>85</v>
      </c>
      <c r="E37" s="29"/>
      <c r="F37" s="8">
        <v>4</v>
      </c>
      <c r="G37" s="8">
        <v>0</v>
      </c>
      <c r="H37" s="12" t="s">
        <v>35</v>
      </c>
      <c r="I37" s="9">
        <f t="shared" ref="I37:I69" si="5">F37*100</f>
        <v>400</v>
      </c>
      <c r="J37" s="8">
        <v>0</v>
      </c>
      <c r="K37" s="8">
        <f t="shared" ref="K37:K68" si="6">SUM(I37+J37)</f>
        <v>400</v>
      </c>
      <c r="L37" s="44">
        <v>575</v>
      </c>
      <c r="M37" s="42">
        <f t="shared" ref="M37:M68" si="7">L37+K37</f>
        <v>975</v>
      </c>
      <c r="N37" s="16">
        <f t="shared" ref="N37:N69" si="8">VLOOKUP(H37,$Q$3:$R$10,2,FALSE)</f>
        <v>175</v>
      </c>
      <c r="O37" s="43">
        <f t="shared" ref="O37:O68" si="9">IF(M37-N37&gt;0,M37-N37,0)</f>
        <v>800</v>
      </c>
      <c r="P37" s="1"/>
    </row>
    <row r="38" spans="1:26" s="1" customFormat="1" ht="18.75">
      <c r="A38" s="7">
        <v>1</v>
      </c>
      <c r="B38" s="7">
        <v>20</v>
      </c>
      <c r="C38" s="6"/>
      <c r="D38" s="29" t="s">
        <v>58</v>
      </c>
      <c r="E38" s="32"/>
      <c r="F38" s="8">
        <v>4</v>
      </c>
      <c r="G38" s="8">
        <v>0</v>
      </c>
      <c r="H38" s="12" t="s">
        <v>35</v>
      </c>
      <c r="I38" s="9">
        <f t="shared" si="5"/>
        <v>400</v>
      </c>
      <c r="J38" s="8">
        <v>0</v>
      </c>
      <c r="K38" s="8">
        <f t="shared" si="6"/>
        <v>400</v>
      </c>
      <c r="L38" s="44">
        <v>560</v>
      </c>
      <c r="M38" s="42">
        <f t="shared" si="7"/>
        <v>960</v>
      </c>
      <c r="N38" s="16">
        <f t="shared" si="8"/>
        <v>175</v>
      </c>
      <c r="O38" s="43">
        <f t="shared" si="9"/>
        <v>785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53</v>
      </c>
      <c r="C39" s="6"/>
      <c r="D39" s="29" t="s">
        <v>91</v>
      </c>
      <c r="E39" s="29"/>
      <c r="F39" s="8">
        <v>3</v>
      </c>
      <c r="G39" s="8">
        <v>0</v>
      </c>
      <c r="H39" s="12" t="s">
        <v>35</v>
      </c>
      <c r="I39" s="9">
        <f t="shared" si="5"/>
        <v>300</v>
      </c>
      <c r="J39" s="8">
        <v>0</v>
      </c>
      <c r="K39" s="8">
        <f t="shared" si="6"/>
        <v>300</v>
      </c>
      <c r="L39" s="44">
        <v>660</v>
      </c>
      <c r="M39" s="42">
        <f t="shared" si="7"/>
        <v>960</v>
      </c>
      <c r="N39" s="16">
        <f t="shared" si="8"/>
        <v>175</v>
      </c>
      <c r="O39" s="43">
        <f t="shared" si="9"/>
        <v>785</v>
      </c>
      <c r="P39" s="1"/>
    </row>
    <row r="40" spans="1:26" ht="18.75">
      <c r="A40" s="7">
        <v>1</v>
      </c>
      <c r="B40" s="7">
        <v>28</v>
      </c>
      <c r="C40" s="6"/>
      <c r="D40" s="29" t="s">
        <v>66</v>
      </c>
      <c r="E40" s="32"/>
      <c r="F40" s="8">
        <v>4</v>
      </c>
      <c r="G40" s="8">
        <v>0</v>
      </c>
      <c r="H40" s="12" t="s">
        <v>35</v>
      </c>
      <c r="I40" s="9">
        <f t="shared" si="5"/>
        <v>400</v>
      </c>
      <c r="J40" s="8">
        <v>0</v>
      </c>
      <c r="K40" s="8">
        <f t="shared" si="6"/>
        <v>400</v>
      </c>
      <c r="L40" s="44">
        <v>553</v>
      </c>
      <c r="M40" s="42">
        <f t="shared" si="7"/>
        <v>953</v>
      </c>
      <c r="N40" s="16">
        <f t="shared" si="8"/>
        <v>175</v>
      </c>
      <c r="O40" s="43">
        <f t="shared" si="9"/>
        <v>778</v>
      </c>
      <c r="P40" s="1"/>
    </row>
    <row r="41" spans="1:26" ht="18.75">
      <c r="A41" s="7">
        <v>1</v>
      </c>
      <c r="B41" s="7">
        <v>58</v>
      </c>
      <c r="C41" s="6"/>
      <c r="D41" s="29" t="s">
        <v>96</v>
      </c>
      <c r="F41" s="8">
        <v>3</v>
      </c>
      <c r="G41" s="8">
        <v>0</v>
      </c>
      <c r="H41" s="12" t="s">
        <v>35</v>
      </c>
      <c r="I41" s="9">
        <f t="shared" si="5"/>
        <v>300</v>
      </c>
      <c r="J41" s="8">
        <v>0</v>
      </c>
      <c r="K41" s="8">
        <f t="shared" si="6"/>
        <v>300</v>
      </c>
      <c r="L41" s="44">
        <v>653</v>
      </c>
      <c r="M41" s="42">
        <f t="shared" si="7"/>
        <v>953</v>
      </c>
      <c r="N41" s="16">
        <f t="shared" si="8"/>
        <v>175</v>
      </c>
      <c r="O41" s="43">
        <f t="shared" si="9"/>
        <v>778</v>
      </c>
      <c r="P41" s="1"/>
    </row>
    <row r="42" spans="1:26" ht="18.75">
      <c r="A42" s="7">
        <v>1</v>
      </c>
      <c r="B42" s="7">
        <v>15</v>
      </c>
      <c r="C42" s="6"/>
      <c r="D42" s="29" t="s">
        <v>53</v>
      </c>
      <c r="E42" s="29"/>
      <c r="F42" s="8">
        <v>4</v>
      </c>
      <c r="G42" s="8">
        <v>0</v>
      </c>
      <c r="H42" s="12" t="s">
        <v>35</v>
      </c>
      <c r="I42" s="9">
        <f t="shared" si="5"/>
        <v>400</v>
      </c>
      <c r="J42" s="8">
        <v>0</v>
      </c>
      <c r="K42" s="8">
        <f t="shared" si="6"/>
        <v>400</v>
      </c>
      <c r="L42" s="44">
        <v>525</v>
      </c>
      <c r="M42" s="42">
        <f t="shared" si="7"/>
        <v>925</v>
      </c>
      <c r="N42" s="16">
        <f t="shared" si="8"/>
        <v>175</v>
      </c>
      <c r="O42" s="43">
        <f t="shared" si="9"/>
        <v>750</v>
      </c>
      <c r="P42" s="1"/>
    </row>
    <row r="43" spans="1:26" ht="18.75">
      <c r="A43" s="7">
        <v>1</v>
      </c>
      <c r="B43" s="7">
        <v>30</v>
      </c>
      <c r="C43" s="6"/>
      <c r="D43" s="29" t="s">
        <v>68</v>
      </c>
      <c r="E43" s="32"/>
      <c r="F43" s="8">
        <v>3</v>
      </c>
      <c r="G43" s="8">
        <v>0</v>
      </c>
      <c r="H43" s="12" t="s">
        <v>35</v>
      </c>
      <c r="I43" s="9">
        <f t="shared" si="5"/>
        <v>300</v>
      </c>
      <c r="J43" s="8">
        <v>0</v>
      </c>
      <c r="K43" s="8">
        <f t="shared" si="6"/>
        <v>300</v>
      </c>
      <c r="L43" s="44">
        <v>616</v>
      </c>
      <c r="M43" s="42">
        <f t="shared" si="7"/>
        <v>916</v>
      </c>
      <c r="N43" s="16">
        <f t="shared" si="8"/>
        <v>175</v>
      </c>
      <c r="O43" s="43">
        <f t="shared" si="9"/>
        <v>741</v>
      </c>
      <c r="P43" s="1"/>
    </row>
    <row r="44" spans="1:26" ht="18.75">
      <c r="A44" s="7">
        <v>1</v>
      </c>
      <c r="B44" s="7">
        <v>10</v>
      </c>
      <c r="C44" s="6"/>
      <c r="D44" s="29" t="s">
        <v>48</v>
      </c>
      <c r="E44" s="31"/>
      <c r="F44" s="8">
        <v>2</v>
      </c>
      <c r="G44" s="8">
        <v>0</v>
      </c>
      <c r="H44" s="12" t="s">
        <v>35</v>
      </c>
      <c r="I44" s="9">
        <f t="shared" si="5"/>
        <v>200</v>
      </c>
      <c r="J44" s="8">
        <v>0</v>
      </c>
      <c r="K44" s="8">
        <f t="shared" si="6"/>
        <v>200</v>
      </c>
      <c r="L44" s="44">
        <v>679</v>
      </c>
      <c r="M44" s="42">
        <f t="shared" si="7"/>
        <v>879</v>
      </c>
      <c r="N44" s="16">
        <f t="shared" si="8"/>
        <v>175</v>
      </c>
      <c r="O44" s="43">
        <f t="shared" si="9"/>
        <v>704</v>
      </c>
      <c r="P44" s="21"/>
    </row>
    <row r="45" spans="1:26" ht="18.75">
      <c r="A45" s="7">
        <v>1</v>
      </c>
      <c r="B45" s="7">
        <v>64</v>
      </c>
      <c r="C45" s="6"/>
      <c r="D45" s="29" t="s">
        <v>102</v>
      </c>
      <c r="E45" s="29"/>
      <c r="F45" s="8">
        <v>4</v>
      </c>
      <c r="G45" s="8">
        <v>0</v>
      </c>
      <c r="H45" s="12" t="s">
        <v>35</v>
      </c>
      <c r="I45" s="9">
        <f t="shared" si="5"/>
        <v>400</v>
      </c>
      <c r="J45" s="8">
        <v>0</v>
      </c>
      <c r="K45" s="8">
        <f t="shared" si="6"/>
        <v>400</v>
      </c>
      <c r="L45" s="44">
        <v>469</v>
      </c>
      <c r="M45" s="42">
        <f t="shared" si="7"/>
        <v>869</v>
      </c>
      <c r="N45" s="16">
        <f t="shared" si="8"/>
        <v>175</v>
      </c>
      <c r="O45" s="43">
        <f t="shared" si="9"/>
        <v>694</v>
      </c>
      <c r="P45" s="1"/>
    </row>
    <row r="46" spans="1:26" ht="18.75">
      <c r="A46" s="7">
        <v>1</v>
      </c>
      <c r="B46" s="7">
        <v>4</v>
      </c>
      <c r="C46" s="6"/>
      <c r="D46" s="29" t="s">
        <v>42</v>
      </c>
      <c r="E46" s="29"/>
      <c r="F46" s="8">
        <v>2</v>
      </c>
      <c r="G46" s="8">
        <v>0</v>
      </c>
      <c r="H46" s="12" t="s">
        <v>35</v>
      </c>
      <c r="I46" s="9">
        <f t="shared" si="5"/>
        <v>200</v>
      </c>
      <c r="J46" s="8">
        <v>0</v>
      </c>
      <c r="K46" s="8">
        <f t="shared" si="6"/>
        <v>200</v>
      </c>
      <c r="L46" s="44">
        <v>669</v>
      </c>
      <c r="M46" s="42">
        <f t="shared" si="7"/>
        <v>869</v>
      </c>
      <c r="N46" s="16">
        <f t="shared" si="8"/>
        <v>175</v>
      </c>
      <c r="O46" s="43">
        <f t="shared" si="9"/>
        <v>694</v>
      </c>
      <c r="P46" s="9"/>
    </row>
    <row r="47" spans="1:26" ht="18.75">
      <c r="A47" s="7">
        <v>1</v>
      </c>
      <c r="B47" s="7">
        <v>16</v>
      </c>
      <c r="C47" s="6"/>
      <c r="D47" s="29" t="s">
        <v>54</v>
      </c>
      <c r="E47" s="32"/>
      <c r="F47" s="8">
        <v>3</v>
      </c>
      <c r="G47" s="8">
        <v>0</v>
      </c>
      <c r="H47" s="12" t="s">
        <v>35</v>
      </c>
      <c r="I47" s="9">
        <f t="shared" si="5"/>
        <v>300</v>
      </c>
      <c r="J47" s="8">
        <v>0</v>
      </c>
      <c r="K47" s="8">
        <f t="shared" si="6"/>
        <v>300</v>
      </c>
      <c r="L47" s="44">
        <v>560</v>
      </c>
      <c r="M47" s="42">
        <f t="shared" si="7"/>
        <v>860</v>
      </c>
      <c r="N47" s="16">
        <f t="shared" si="8"/>
        <v>175</v>
      </c>
      <c r="O47" s="43">
        <f t="shared" si="9"/>
        <v>685</v>
      </c>
      <c r="P47" s="1"/>
    </row>
    <row r="48" spans="1:26" ht="18.75">
      <c r="A48" s="7">
        <v>1</v>
      </c>
      <c r="B48" s="7">
        <v>56</v>
      </c>
      <c r="C48" s="6"/>
      <c r="D48" s="29" t="s">
        <v>94</v>
      </c>
      <c r="E48" s="29"/>
      <c r="F48" s="8">
        <v>2</v>
      </c>
      <c r="G48" s="8">
        <v>0</v>
      </c>
      <c r="H48" s="12" t="s">
        <v>35</v>
      </c>
      <c r="I48" s="9">
        <f t="shared" si="5"/>
        <v>200</v>
      </c>
      <c r="J48" s="8">
        <v>0</v>
      </c>
      <c r="K48" s="8">
        <f t="shared" si="6"/>
        <v>200</v>
      </c>
      <c r="L48" s="44">
        <v>623</v>
      </c>
      <c r="M48" s="42">
        <f t="shared" si="7"/>
        <v>823</v>
      </c>
      <c r="N48" s="16">
        <f t="shared" si="8"/>
        <v>175</v>
      </c>
      <c r="O48" s="43">
        <f t="shared" si="9"/>
        <v>648</v>
      </c>
    </row>
    <row r="49" spans="1:16" ht="18.75">
      <c r="A49" s="7">
        <v>1</v>
      </c>
      <c r="B49" s="7">
        <v>25</v>
      </c>
      <c r="C49" s="6"/>
      <c r="D49" s="29" t="s">
        <v>63</v>
      </c>
      <c r="E49" s="32"/>
      <c r="F49" s="8">
        <v>3</v>
      </c>
      <c r="G49" s="8">
        <v>0</v>
      </c>
      <c r="H49" s="12" t="s">
        <v>35</v>
      </c>
      <c r="I49" s="9">
        <f t="shared" si="5"/>
        <v>300</v>
      </c>
      <c r="J49" s="8">
        <v>0</v>
      </c>
      <c r="K49" s="8">
        <f t="shared" si="6"/>
        <v>300</v>
      </c>
      <c r="L49" s="44">
        <v>500</v>
      </c>
      <c r="M49" s="42">
        <f t="shared" si="7"/>
        <v>800</v>
      </c>
      <c r="N49" s="16">
        <f t="shared" si="8"/>
        <v>175</v>
      </c>
      <c r="O49" s="43">
        <f t="shared" si="9"/>
        <v>625</v>
      </c>
    </row>
    <row r="50" spans="1:16" ht="18.75">
      <c r="A50" s="7">
        <v>1</v>
      </c>
      <c r="B50" s="7">
        <v>41</v>
      </c>
      <c r="C50" s="6"/>
      <c r="D50" s="29" t="s">
        <v>79</v>
      </c>
      <c r="E50" s="32"/>
      <c r="F50" s="8">
        <v>3</v>
      </c>
      <c r="G50" s="8">
        <v>0</v>
      </c>
      <c r="H50" s="12" t="s">
        <v>35</v>
      </c>
      <c r="I50" s="9">
        <f t="shared" si="5"/>
        <v>300</v>
      </c>
      <c r="J50" s="8">
        <v>0</v>
      </c>
      <c r="K50" s="8">
        <f t="shared" si="6"/>
        <v>300</v>
      </c>
      <c r="L50" s="44">
        <v>451</v>
      </c>
      <c r="M50" s="42">
        <f t="shared" si="7"/>
        <v>751</v>
      </c>
      <c r="N50" s="16">
        <f t="shared" si="8"/>
        <v>175</v>
      </c>
      <c r="O50" s="43">
        <f t="shared" si="9"/>
        <v>576</v>
      </c>
    </row>
    <row r="51" spans="1:16" ht="18.75">
      <c r="A51" s="7">
        <v>1</v>
      </c>
      <c r="B51" s="7">
        <v>39</v>
      </c>
      <c r="C51" s="6"/>
      <c r="D51" s="29" t="s">
        <v>77</v>
      </c>
      <c r="E51" s="29"/>
      <c r="F51" s="8">
        <v>3</v>
      </c>
      <c r="G51" s="8">
        <v>0</v>
      </c>
      <c r="H51" s="12" t="s">
        <v>35</v>
      </c>
      <c r="I51" s="9">
        <f t="shared" si="5"/>
        <v>300</v>
      </c>
      <c r="J51" s="8">
        <v>0</v>
      </c>
      <c r="K51" s="8">
        <f t="shared" si="6"/>
        <v>300</v>
      </c>
      <c r="L51" s="44">
        <v>450</v>
      </c>
      <c r="M51" s="42">
        <f t="shared" si="7"/>
        <v>750</v>
      </c>
      <c r="N51" s="16">
        <f t="shared" si="8"/>
        <v>175</v>
      </c>
      <c r="O51" s="43">
        <f t="shared" si="9"/>
        <v>575</v>
      </c>
    </row>
    <row r="52" spans="1:16" ht="18.75">
      <c r="A52" s="7">
        <v>1</v>
      </c>
      <c r="B52" s="7">
        <v>54</v>
      </c>
      <c r="C52" s="6"/>
      <c r="D52" s="29" t="s">
        <v>92</v>
      </c>
      <c r="F52" s="8">
        <v>4</v>
      </c>
      <c r="G52" s="8">
        <v>0</v>
      </c>
      <c r="H52" s="12" t="s">
        <v>35</v>
      </c>
      <c r="I52" s="9">
        <f t="shared" si="5"/>
        <v>400</v>
      </c>
      <c r="J52" s="8">
        <v>0</v>
      </c>
      <c r="K52" s="8">
        <f t="shared" si="6"/>
        <v>400</v>
      </c>
      <c r="L52" s="44">
        <v>325</v>
      </c>
      <c r="M52" s="42">
        <f t="shared" si="7"/>
        <v>725</v>
      </c>
      <c r="N52" s="16">
        <f t="shared" si="8"/>
        <v>175</v>
      </c>
      <c r="O52" s="43">
        <f t="shared" si="9"/>
        <v>550</v>
      </c>
    </row>
    <row r="53" spans="1:16" ht="18.75">
      <c r="A53" s="7">
        <v>1</v>
      </c>
      <c r="B53" s="7">
        <v>44</v>
      </c>
      <c r="C53" s="6"/>
      <c r="D53" s="29" t="s">
        <v>82</v>
      </c>
      <c r="E53" s="29"/>
      <c r="F53" s="8">
        <v>2</v>
      </c>
      <c r="G53" s="8">
        <v>0</v>
      </c>
      <c r="H53" s="12" t="s">
        <v>35</v>
      </c>
      <c r="I53" s="9">
        <f t="shared" si="5"/>
        <v>200</v>
      </c>
      <c r="J53" s="8">
        <v>0</v>
      </c>
      <c r="K53" s="8">
        <f t="shared" si="6"/>
        <v>200</v>
      </c>
      <c r="L53" s="44">
        <v>504</v>
      </c>
      <c r="M53" s="42">
        <f t="shared" si="7"/>
        <v>704</v>
      </c>
      <c r="N53" s="16">
        <f t="shared" si="8"/>
        <v>175</v>
      </c>
      <c r="O53" s="43">
        <f t="shared" si="9"/>
        <v>529</v>
      </c>
    </row>
    <row r="54" spans="1:16" ht="18.75">
      <c r="A54" s="7">
        <v>1</v>
      </c>
      <c r="B54" s="7">
        <v>33</v>
      </c>
      <c r="C54" s="6"/>
      <c r="D54" s="29" t="s">
        <v>71</v>
      </c>
      <c r="E54" s="29"/>
      <c r="F54" s="8">
        <v>2</v>
      </c>
      <c r="G54" s="8">
        <v>0</v>
      </c>
      <c r="H54" s="12" t="s">
        <v>35</v>
      </c>
      <c r="I54" s="9">
        <f t="shared" si="5"/>
        <v>200</v>
      </c>
      <c r="J54" s="8">
        <v>0</v>
      </c>
      <c r="K54" s="8">
        <f t="shared" si="6"/>
        <v>200</v>
      </c>
      <c r="L54" s="44">
        <v>353</v>
      </c>
      <c r="M54" s="42">
        <f t="shared" si="7"/>
        <v>553</v>
      </c>
      <c r="N54" s="16">
        <f t="shared" si="8"/>
        <v>175</v>
      </c>
      <c r="O54" s="43">
        <f t="shared" si="9"/>
        <v>378</v>
      </c>
    </row>
    <row r="55" spans="1:16" ht="18.75">
      <c r="A55" s="7">
        <v>1</v>
      </c>
      <c r="B55" s="7">
        <v>38</v>
      </c>
      <c r="C55" s="6"/>
      <c r="D55" s="29" t="s">
        <v>76</v>
      </c>
      <c r="E55" s="29"/>
      <c r="F55" s="8">
        <v>2</v>
      </c>
      <c r="G55" s="8">
        <v>0</v>
      </c>
      <c r="H55" s="12" t="s">
        <v>35</v>
      </c>
      <c r="I55" s="9">
        <f t="shared" si="5"/>
        <v>200</v>
      </c>
      <c r="J55" s="8">
        <v>0</v>
      </c>
      <c r="K55" s="8">
        <f t="shared" si="6"/>
        <v>200</v>
      </c>
      <c r="L55" s="44">
        <v>325</v>
      </c>
      <c r="M55" s="42">
        <f t="shared" si="7"/>
        <v>525</v>
      </c>
      <c r="N55" s="16">
        <f t="shared" si="8"/>
        <v>175</v>
      </c>
      <c r="O55" s="43">
        <f t="shared" si="9"/>
        <v>350</v>
      </c>
    </row>
    <row r="56" spans="1:16" ht="18.75">
      <c r="A56" s="7">
        <v>1</v>
      </c>
      <c r="B56" s="7">
        <v>57</v>
      </c>
      <c r="C56" s="6"/>
      <c r="D56" s="29" t="s">
        <v>95</v>
      </c>
      <c r="F56" s="8">
        <v>0</v>
      </c>
      <c r="G56" s="8">
        <v>0</v>
      </c>
      <c r="H56" s="27" t="s">
        <v>23</v>
      </c>
      <c r="I56" s="9">
        <f t="shared" si="5"/>
        <v>0</v>
      </c>
      <c r="J56" s="8">
        <v>0</v>
      </c>
      <c r="K56" s="8">
        <f t="shared" si="6"/>
        <v>0</v>
      </c>
      <c r="L56" s="44">
        <v>410</v>
      </c>
      <c r="M56" s="42">
        <f t="shared" si="7"/>
        <v>410</v>
      </c>
      <c r="N56" s="16">
        <f t="shared" si="8"/>
        <v>0</v>
      </c>
      <c r="O56" s="43">
        <f t="shared" si="9"/>
        <v>410</v>
      </c>
    </row>
    <row r="57" spans="1:16" ht="18.75">
      <c r="A57" s="7">
        <v>1</v>
      </c>
      <c r="B57" s="7">
        <v>27</v>
      </c>
      <c r="C57" s="6"/>
      <c r="D57" s="29" t="s">
        <v>65</v>
      </c>
      <c r="E57" s="32"/>
      <c r="F57" s="8">
        <v>3</v>
      </c>
      <c r="G57" s="8">
        <v>0</v>
      </c>
      <c r="H57" s="12" t="s">
        <v>35</v>
      </c>
      <c r="I57" s="9">
        <f t="shared" si="5"/>
        <v>300</v>
      </c>
      <c r="J57" s="8">
        <v>0</v>
      </c>
      <c r="K57" s="8">
        <f t="shared" si="6"/>
        <v>300</v>
      </c>
      <c r="L57" s="44">
        <v>100</v>
      </c>
      <c r="M57" s="42">
        <f t="shared" si="7"/>
        <v>400</v>
      </c>
      <c r="N57" s="16">
        <f t="shared" si="8"/>
        <v>175</v>
      </c>
      <c r="O57" s="43">
        <f t="shared" si="9"/>
        <v>225</v>
      </c>
    </row>
    <row r="58" spans="1:16" ht="18.75">
      <c r="A58" s="7">
        <v>1</v>
      </c>
      <c r="B58" s="7">
        <v>8</v>
      </c>
      <c r="C58" s="6"/>
      <c r="D58" s="29" t="s">
        <v>46</v>
      </c>
      <c r="E58" s="29"/>
      <c r="F58" s="8">
        <v>2</v>
      </c>
      <c r="G58" s="8">
        <v>0</v>
      </c>
      <c r="H58" s="12" t="s">
        <v>35</v>
      </c>
      <c r="I58" s="9">
        <f t="shared" si="5"/>
        <v>200</v>
      </c>
      <c r="J58" s="8">
        <v>0</v>
      </c>
      <c r="K58" s="8">
        <f t="shared" si="6"/>
        <v>200</v>
      </c>
      <c r="L58" s="44">
        <v>175</v>
      </c>
      <c r="M58" s="42">
        <f t="shared" si="7"/>
        <v>375</v>
      </c>
      <c r="N58" s="16">
        <f t="shared" si="8"/>
        <v>175</v>
      </c>
      <c r="O58" s="43">
        <f t="shared" si="9"/>
        <v>200</v>
      </c>
      <c r="P58" s="40"/>
    </row>
    <row r="59" spans="1:16" ht="18.75">
      <c r="A59" s="7">
        <v>1</v>
      </c>
      <c r="B59" s="7">
        <v>26</v>
      </c>
      <c r="C59" s="6"/>
      <c r="D59" s="29" t="s">
        <v>64</v>
      </c>
      <c r="E59" s="32"/>
      <c r="F59" s="8">
        <v>1</v>
      </c>
      <c r="G59" s="8">
        <v>0</v>
      </c>
      <c r="H59" s="12" t="s">
        <v>35</v>
      </c>
      <c r="I59" s="9">
        <f t="shared" si="5"/>
        <v>100</v>
      </c>
      <c r="J59" s="8">
        <v>0</v>
      </c>
      <c r="K59" s="8">
        <f t="shared" si="6"/>
        <v>100</v>
      </c>
      <c r="L59" s="44">
        <v>269</v>
      </c>
      <c r="M59" s="42">
        <f t="shared" si="7"/>
        <v>369</v>
      </c>
      <c r="N59" s="16">
        <f t="shared" si="8"/>
        <v>175</v>
      </c>
      <c r="O59" s="43">
        <f t="shared" si="9"/>
        <v>194</v>
      </c>
    </row>
    <row r="60" spans="1:16" ht="18.75">
      <c r="A60" s="7">
        <v>1</v>
      </c>
      <c r="B60" s="7">
        <v>7</v>
      </c>
      <c r="C60" s="6"/>
      <c r="D60" s="29" t="s">
        <v>45</v>
      </c>
      <c r="E60" s="29"/>
      <c r="F60" s="8">
        <v>0</v>
      </c>
      <c r="G60" s="8">
        <v>0</v>
      </c>
      <c r="H60" s="27" t="s">
        <v>23</v>
      </c>
      <c r="I60" s="9">
        <f t="shared" si="5"/>
        <v>0</v>
      </c>
      <c r="J60" s="8">
        <v>0</v>
      </c>
      <c r="K60" s="8">
        <f t="shared" si="6"/>
        <v>0</v>
      </c>
      <c r="L60" s="44">
        <v>238</v>
      </c>
      <c r="M60" s="42">
        <f t="shared" si="7"/>
        <v>238</v>
      </c>
      <c r="N60" s="16">
        <f t="shared" si="8"/>
        <v>0</v>
      </c>
      <c r="O60" s="43">
        <f t="shared" si="9"/>
        <v>238</v>
      </c>
      <c r="P60" s="40"/>
    </row>
    <row r="61" spans="1:16" ht="18.75">
      <c r="A61" s="7">
        <v>1</v>
      </c>
      <c r="B61" s="7">
        <v>61</v>
      </c>
      <c r="C61" s="6"/>
      <c r="D61" s="29" t="s">
        <v>99</v>
      </c>
      <c r="E61" s="29"/>
      <c r="F61" s="8">
        <v>0</v>
      </c>
      <c r="G61" s="8">
        <v>0</v>
      </c>
      <c r="H61" s="27" t="s">
        <v>23</v>
      </c>
      <c r="I61" s="9">
        <f t="shared" si="5"/>
        <v>0</v>
      </c>
      <c r="J61" s="8">
        <v>0</v>
      </c>
      <c r="K61" s="8">
        <f t="shared" si="6"/>
        <v>0</v>
      </c>
      <c r="L61" s="44">
        <v>225</v>
      </c>
      <c r="M61" s="42">
        <f t="shared" si="7"/>
        <v>225</v>
      </c>
      <c r="N61" s="16">
        <f t="shared" si="8"/>
        <v>0</v>
      </c>
      <c r="O61" s="43">
        <f t="shared" si="9"/>
        <v>225</v>
      </c>
    </row>
    <row r="62" spans="1:16" ht="18.75">
      <c r="A62" s="7">
        <v>1</v>
      </c>
      <c r="B62" s="7">
        <v>34</v>
      </c>
      <c r="C62" s="6"/>
      <c r="D62" s="29" t="s">
        <v>72</v>
      </c>
      <c r="E62" s="29"/>
      <c r="F62" s="8">
        <v>0</v>
      </c>
      <c r="G62" s="8">
        <v>0</v>
      </c>
      <c r="H62" s="27" t="s">
        <v>23</v>
      </c>
      <c r="I62" s="9">
        <f t="shared" si="5"/>
        <v>0</v>
      </c>
      <c r="J62" s="8">
        <v>0</v>
      </c>
      <c r="K62" s="8">
        <f t="shared" si="6"/>
        <v>0</v>
      </c>
      <c r="L62" s="44">
        <v>219</v>
      </c>
      <c r="M62" s="42">
        <f t="shared" si="7"/>
        <v>219</v>
      </c>
      <c r="N62" s="16">
        <f t="shared" si="8"/>
        <v>0</v>
      </c>
      <c r="O62" s="43">
        <f t="shared" si="9"/>
        <v>219</v>
      </c>
    </row>
    <row r="63" spans="1:16" ht="18.75">
      <c r="A63" s="7">
        <v>1</v>
      </c>
      <c r="B63" s="7">
        <v>60</v>
      </c>
      <c r="C63" s="6"/>
      <c r="D63" s="29" t="s">
        <v>98</v>
      </c>
      <c r="F63" s="8">
        <v>2</v>
      </c>
      <c r="G63" s="8">
        <v>0</v>
      </c>
      <c r="H63" s="12" t="s">
        <v>35</v>
      </c>
      <c r="I63" s="9">
        <f t="shared" si="5"/>
        <v>200</v>
      </c>
      <c r="J63" s="8">
        <v>0</v>
      </c>
      <c r="K63" s="8">
        <f t="shared" si="6"/>
        <v>200</v>
      </c>
      <c r="L63" s="44">
        <v>0</v>
      </c>
      <c r="M63" s="42">
        <f t="shared" si="7"/>
        <v>200</v>
      </c>
      <c r="N63" s="16">
        <f t="shared" si="8"/>
        <v>175</v>
      </c>
      <c r="O63" s="43">
        <f t="shared" si="9"/>
        <v>25</v>
      </c>
    </row>
    <row r="64" spans="1:16" ht="18.75">
      <c r="A64" s="7">
        <v>1</v>
      </c>
      <c r="B64" s="7">
        <v>51</v>
      </c>
      <c r="C64" s="6"/>
      <c r="D64" s="29" t="s">
        <v>89</v>
      </c>
      <c r="E64" s="29"/>
      <c r="F64" s="8">
        <v>1</v>
      </c>
      <c r="G64" s="8">
        <v>0</v>
      </c>
      <c r="H64" s="12" t="s">
        <v>35</v>
      </c>
      <c r="I64" s="9">
        <f t="shared" si="5"/>
        <v>100</v>
      </c>
      <c r="J64" s="8">
        <v>0</v>
      </c>
      <c r="K64" s="8">
        <f t="shared" si="6"/>
        <v>100</v>
      </c>
      <c r="L64" s="44">
        <v>25</v>
      </c>
      <c r="M64" s="42">
        <f t="shared" si="7"/>
        <v>125</v>
      </c>
      <c r="N64" s="16">
        <f t="shared" si="8"/>
        <v>175</v>
      </c>
      <c r="O64" s="43">
        <f t="shared" si="9"/>
        <v>0</v>
      </c>
    </row>
    <row r="65" spans="1:15" ht="18.75">
      <c r="A65" s="7">
        <v>1</v>
      </c>
      <c r="B65" s="7">
        <v>65</v>
      </c>
      <c r="D65" s="29" t="s">
        <v>105</v>
      </c>
      <c r="F65" s="8">
        <v>0</v>
      </c>
      <c r="G65" s="8">
        <v>0</v>
      </c>
      <c r="H65" s="27" t="s">
        <v>23</v>
      </c>
      <c r="I65" s="9">
        <f t="shared" si="5"/>
        <v>0</v>
      </c>
      <c r="J65" s="8">
        <v>0</v>
      </c>
      <c r="K65" s="8">
        <f t="shared" si="6"/>
        <v>0</v>
      </c>
      <c r="L65" s="44">
        <v>25</v>
      </c>
      <c r="M65" s="42">
        <f t="shared" si="7"/>
        <v>25</v>
      </c>
      <c r="N65" s="16">
        <f t="shared" si="8"/>
        <v>0</v>
      </c>
      <c r="O65" s="43">
        <f t="shared" si="9"/>
        <v>25</v>
      </c>
    </row>
    <row r="66" spans="1:15" ht="18.75">
      <c r="A66" s="7">
        <v>1</v>
      </c>
      <c r="B66" s="7">
        <v>31</v>
      </c>
      <c r="C66" s="6"/>
      <c r="D66" s="29" t="s">
        <v>69</v>
      </c>
      <c r="E66" s="32"/>
      <c r="F66" s="8">
        <v>0</v>
      </c>
      <c r="G66" s="8">
        <v>0</v>
      </c>
      <c r="H66" s="27" t="s">
        <v>23</v>
      </c>
      <c r="I66" s="9">
        <f t="shared" si="5"/>
        <v>0</v>
      </c>
      <c r="J66" s="8">
        <v>0</v>
      </c>
      <c r="K66" s="8">
        <f t="shared" si="6"/>
        <v>0</v>
      </c>
      <c r="L66" s="44">
        <v>25</v>
      </c>
      <c r="M66" s="42">
        <f t="shared" si="7"/>
        <v>25</v>
      </c>
      <c r="N66" s="16">
        <f t="shared" si="8"/>
        <v>0</v>
      </c>
      <c r="O66" s="43">
        <f t="shared" si="9"/>
        <v>25</v>
      </c>
    </row>
    <row r="67" spans="1:15" ht="18.75">
      <c r="A67" s="7">
        <v>1</v>
      </c>
      <c r="B67" s="7">
        <v>59</v>
      </c>
      <c r="C67" s="6"/>
      <c r="D67" s="29" t="s">
        <v>97</v>
      </c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25</v>
      </c>
      <c r="M67" s="42">
        <f t="shared" si="7"/>
        <v>25</v>
      </c>
      <c r="N67" s="16">
        <f t="shared" si="8"/>
        <v>0</v>
      </c>
      <c r="O67" s="43">
        <f t="shared" si="9"/>
        <v>25</v>
      </c>
    </row>
    <row r="68" spans="1:15" ht="18.75">
      <c r="A68" s="7">
        <v>1</v>
      </c>
      <c r="B68" s="7">
        <v>19</v>
      </c>
      <c r="C68" s="6"/>
      <c r="D68" s="29" t="s">
        <v>57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69" spans="1:15" ht="18.75">
      <c r="A69" s="47">
        <v>1</v>
      </c>
      <c r="B69" s="7">
        <v>48</v>
      </c>
      <c r="C69" s="6"/>
      <c r="D69" s="29" t="s">
        <v>86</v>
      </c>
      <c r="E69" s="29"/>
      <c r="F69" s="8">
        <v>0</v>
      </c>
      <c r="G69" s="8">
        <v>0</v>
      </c>
      <c r="H69" s="27" t="s">
        <v>23</v>
      </c>
      <c r="I69" s="9">
        <f t="shared" si="5"/>
        <v>0</v>
      </c>
      <c r="J69" s="8">
        <v>0</v>
      </c>
      <c r="K69" s="8">
        <f t="shared" ref="K69" si="10">SUM(I69+J69)</f>
        <v>0</v>
      </c>
      <c r="L69" s="44">
        <v>0</v>
      </c>
      <c r="M69" s="42">
        <f t="shared" ref="M69" si="11">L69+K69</f>
        <v>0</v>
      </c>
      <c r="N69" s="16">
        <f t="shared" si="8"/>
        <v>0</v>
      </c>
      <c r="O69" s="43">
        <f t="shared" ref="O69" si="12">IF(M69-N69&gt;0,M69-N69,0)</f>
        <v>0</v>
      </c>
    </row>
  </sheetData>
  <autoFilter ref="A4:P69" xr:uid="{D50916F0-4EB1-4E61-AB8D-B58C4FC21503}">
    <sortState xmlns:xlrd2="http://schemas.microsoft.com/office/spreadsheetml/2017/richdata2" ref="A5:P69">
      <sortCondition descending="1" ref="M4:M69"/>
    </sortState>
  </autoFilter>
  <mergeCells count="4">
    <mergeCell ref="B1:O1"/>
    <mergeCell ref="B2:O2"/>
    <mergeCell ref="B3:E3"/>
    <mergeCell ref="H3:O3"/>
  </mergeCells>
  <conditionalFormatting sqref="F5:G5 G6:G68 F6:F69">
    <cfRule type="cellIs" dxfId="18" priority="2" operator="lessThan">
      <formula>1</formula>
    </cfRule>
  </conditionalFormatting>
  <conditionalFormatting sqref="J5:J69">
    <cfRule type="cellIs" dxfId="17" priority="1" operator="lessThan">
      <formula>1</formula>
    </cfRule>
  </conditionalFormatting>
  <hyperlinks>
    <hyperlink ref="D12" r:id="rId1" xr:uid="{AB2AC5D2-D990-4A1B-9E88-57DB7B97E8C0}"/>
  </hyperlinks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C669-D29F-4D79-8ABA-B7FDC17CCAA9}">
  <dimension ref="A1:Z69"/>
  <sheetViews>
    <sheetView topLeftCell="A29" zoomScale="79" zoomScaleNormal="85" workbookViewId="0">
      <selection activeCell="U38" sqref="U38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49" t="str">
        <f>CONCATENATE("5-8，97-104区 欧皇宝宝",R15,"年",R16,"月",R17,"日","分包贡献明细"," 统计：")</f>
        <v>5-8，97-104区 欧皇宝宝2026年2月7日分包贡献明细 统计：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1" t="s">
        <v>103</v>
      </c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54" t="s">
        <v>13</v>
      </c>
      <c r="C3" s="54"/>
      <c r="D3" s="54"/>
      <c r="E3" s="54"/>
      <c r="F3" s="38" t="s">
        <v>12</v>
      </c>
      <c r="G3" s="39" t="s">
        <v>29</v>
      </c>
      <c r="H3" s="55" t="s">
        <v>14</v>
      </c>
      <c r="I3" s="56"/>
      <c r="J3" s="56"/>
      <c r="K3" s="56"/>
      <c r="L3" s="56"/>
      <c r="M3" s="56"/>
      <c r="N3" s="56"/>
      <c r="O3" s="57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43</v>
      </c>
      <c r="C5" s="6"/>
      <c r="D5" s="29" t="s">
        <v>81</v>
      </c>
      <c r="E5" s="31"/>
      <c r="F5" s="8">
        <v>3</v>
      </c>
      <c r="G5" s="8">
        <v>0</v>
      </c>
      <c r="H5" s="10" t="s">
        <v>33</v>
      </c>
      <c r="I5" s="9">
        <f t="shared" ref="I5:I36" si="0">F5*100</f>
        <v>300</v>
      </c>
      <c r="J5" s="8">
        <v>0</v>
      </c>
      <c r="K5" s="8">
        <f t="shared" ref="K5:K36" si="1">SUM(I5+J5)</f>
        <v>300</v>
      </c>
      <c r="L5" s="44">
        <v>644</v>
      </c>
      <c r="M5" s="42">
        <f t="shared" ref="M5:M36" si="2">L5+K5</f>
        <v>944</v>
      </c>
      <c r="N5" s="16">
        <f t="shared" ref="N5:N36" si="3">VLOOKUP(H5,$Q$3:$R$10,2,FALSE)</f>
        <v>312</v>
      </c>
      <c r="O5" s="43">
        <f t="shared" ref="O5:O36" si="4">IF(M5-N5&gt;0,M5-N5,0)</f>
        <v>632</v>
      </c>
      <c r="P5" s="1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23</v>
      </c>
      <c r="C6" s="6"/>
      <c r="D6" s="29" t="s">
        <v>61</v>
      </c>
      <c r="E6" s="32"/>
      <c r="F6" s="8">
        <v>3</v>
      </c>
      <c r="G6" s="8">
        <v>0</v>
      </c>
      <c r="H6" s="10" t="s">
        <v>33</v>
      </c>
      <c r="I6" s="9">
        <f t="shared" si="0"/>
        <v>300</v>
      </c>
      <c r="J6" s="8">
        <v>0</v>
      </c>
      <c r="K6" s="8">
        <f t="shared" si="1"/>
        <v>300</v>
      </c>
      <c r="L6" s="44">
        <v>644</v>
      </c>
      <c r="M6" s="42">
        <f t="shared" si="2"/>
        <v>944</v>
      </c>
      <c r="N6" s="16">
        <f t="shared" si="3"/>
        <v>312</v>
      </c>
      <c r="O6" s="43">
        <f t="shared" si="4"/>
        <v>632</v>
      </c>
      <c r="P6" s="1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35</v>
      </c>
      <c r="C7" s="6"/>
      <c r="D7" s="29" t="s">
        <v>73</v>
      </c>
      <c r="E7" s="29"/>
      <c r="F7" s="8">
        <v>3</v>
      </c>
      <c r="G7" s="8">
        <v>0</v>
      </c>
      <c r="H7" s="10" t="s">
        <v>33</v>
      </c>
      <c r="I7" s="9">
        <f t="shared" si="0"/>
        <v>300</v>
      </c>
      <c r="J7" s="8">
        <v>0</v>
      </c>
      <c r="K7" s="8">
        <f t="shared" si="1"/>
        <v>300</v>
      </c>
      <c r="L7" s="44">
        <v>635</v>
      </c>
      <c r="M7" s="42">
        <f t="shared" si="2"/>
        <v>935</v>
      </c>
      <c r="N7" s="16">
        <f t="shared" si="3"/>
        <v>312</v>
      </c>
      <c r="O7" s="43">
        <f t="shared" si="4"/>
        <v>623</v>
      </c>
      <c r="P7" s="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56</v>
      </c>
      <c r="C8" s="6"/>
      <c r="D8" s="29" t="s">
        <v>94</v>
      </c>
      <c r="E8" s="29"/>
      <c r="F8" s="8">
        <v>3</v>
      </c>
      <c r="G8" s="8">
        <v>0</v>
      </c>
      <c r="H8" s="10" t="s">
        <v>33</v>
      </c>
      <c r="I8" s="9">
        <f t="shared" si="0"/>
        <v>300</v>
      </c>
      <c r="J8" s="8">
        <v>0</v>
      </c>
      <c r="K8" s="8">
        <f t="shared" si="1"/>
        <v>300</v>
      </c>
      <c r="L8" s="44">
        <v>635</v>
      </c>
      <c r="M8" s="42">
        <f t="shared" si="2"/>
        <v>935</v>
      </c>
      <c r="N8" s="16">
        <f t="shared" si="3"/>
        <v>312</v>
      </c>
      <c r="O8" s="43">
        <f t="shared" si="4"/>
        <v>623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9</v>
      </c>
      <c r="C9" s="6"/>
      <c r="D9" s="29" t="s">
        <v>47</v>
      </c>
      <c r="E9" s="33"/>
      <c r="F9" s="8">
        <v>3</v>
      </c>
      <c r="G9" s="8">
        <v>0</v>
      </c>
      <c r="H9" s="10" t="s">
        <v>33</v>
      </c>
      <c r="I9" s="9">
        <f t="shared" si="0"/>
        <v>300</v>
      </c>
      <c r="J9" s="8">
        <v>0</v>
      </c>
      <c r="K9" s="8">
        <f t="shared" si="1"/>
        <v>300</v>
      </c>
      <c r="L9" s="44">
        <v>635</v>
      </c>
      <c r="M9" s="42">
        <f t="shared" si="2"/>
        <v>935</v>
      </c>
      <c r="N9" s="16">
        <f t="shared" si="3"/>
        <v>312</v>
      </c>
      <c r="O9" s="43">
        <f t="shared" si="4"/>
        <v>623</v>
      </c>
      <c r="P9" s="2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30</v>
      </c>
      <c r="C10" s="6"/>
      <c r="D10" s="29" t="s">
        <v>68</v>
      </c>
      <c r="E10" s="32"/>
      <c r="F10" s="8">
        <v>3</v>
      </c>
      <c r="G10" s="8">
        <v>0</v>
      </c>
      <c r="H10" s="10" t="s">
        <v>33</v>
      </c>
      <c r="I10" s="9">
        <f t="shared" si="0"/>
        <v>300</v>
      </c>
      <c r="J10" s="8">
        <v>0</v>
      </c>
      <c r="K10" s="8">
        <f t="shared" si="1"/>
        <v>300</v>
      </c>
      <c r="L10" s="44">
        <v>628</v>
      </c>
      <c r="M10" s="42">
        <f t="shared" si="2"/>
        <v>928</v>
      </c>
      <c r="N10" s="16">
        <f t="shared" si="3"/>
        <v>312</v>
      </c>
      <c r="O10" s="43">
        <f t="shared" si="4"/>
        <v>616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46</v>
      </c>
      <c r="C11" s="6"/>
      <c r="D11" s="29" t="s">
        <v>84</v>
      </c>
      <c r="E11" s="29"/>
      <c r="F11" s="8">
        <v>3</v>
      </c>
      <c r="G11" s="8">
        <v>0</v>
      </c>
      <c r="H11" s="10" t="s">
        <v>33</v>
      </c>
      <c r="I11" s="9">
        <f t="shared" si="0"/>
        <v>300</v>
      </c>
      <c r="J11" s="8">
        <v>0</v>
      </c>
      <c r="K11" s="8">
        <f t="shared" si="1"/>
        <v>300</v>
      </c>
      <c r="L11" s="44">
        <v>626</v>
      </c>
      <c r="M11" s="42">
        <f t="shared" si="2"/>
        <v>926</v>
      </c>
      <c r="N11" s="16">
        <f t="shared" si="3"/>
        <v>312</v>
      </c>
      <c r="O11" s="43">
        <f t="shared" si="4"/>
        <v>614</v>
      </c>
      <c r="P11" s="1"/>
      <c r="Q11" s="24"/>
    </row>
    <row r="12" spans="1:25" ht="18.75">
      <c r="A12" s="7">
        <v>1</v>
      </c>
      <c r="B12" s="7">
        <v>62</v>
      </c>
      <c r="C12" s="6"/>
      <c r="D12" s="29" t="s">
        <v>100</v>
      </c>
      <c r="E12" s="29"/>
      <c r="F12" s="8">
        <v>3</v>
      </c>
      <c r="G12" s="8">
        <v>0</v>
      </c>
      <c r="H12" s="11" t="s">
        <v>34</v>
      </c>
      <c r="I12" s="9">
        <f t="shared" si="0"/>
        <v>300</v>
      </c>
      <c r="J12" s="8">
        <v>0</v>
      </c>
      <c r="K12" s="8">
        <f t="shared" si="1"/>
        <v>300</v>
      </c>
      <c r="L12" s="44">
        <v>626</v>
      </c>
      <c r="M12" s="42">
        <f t="shared" si="2"/>
        <v>926</v>
      </c>
      <c r="N12" s="16">
        <f t="shared" si="3"/>
        <v>240</v>
      </c>
      <c r="O12" s="43">
        <f t="shared" si="4"/>
        <v>686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55</v>
      </c>
      <c r="C13" s="6"/>
      <c r="D13" s="29">
        <v>3</v>
      </c>
      <c r="F13" s="8">
        <v>3</v>
      </c>
      <c r="G13" s="8">
        <v>0</v>
      </c>
      <c r="H13" s="11" t="s">
        <v>34</v>
      </c>
      <c r="I13" s="9">
        <f t="shared" si="0"/>
        <v>300</v>
      </c>
      <c r="J13" s="8">
        <v>0</v>
      </c>
      <c r="K13" s="8">
        <f t="shared" si="1"/>
        <v>300</v>
      </c>
      <c r="L13" s="44">
        <v>626</v>
      </c>
      <c r="M13" s="42">
        <f t="shared" si="2"/>
        <v>926</v>
      </c>
      <c r="N13" s="16">
        <f t="shared" si="3"/>
        <v>240</v>
      </c>
      <c r="O13" s="43">
        <f t="shared" si="4"/>
        <v>686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32</v>
      </c>
      <c r="C14" s="6"/>
      <c r="D14" s="29" t="s">
        <v>70</v>
      </c>
      <c r="E14" s="32"/>
      <c r="F14" s="8">
        <v>3</v>
      </c>
      <c r="G14" s="8">
        <v>0</v>
      </c>
      <c r="H14" s="11" t="s">
        <v>34</v>
      </c>
      <c r="I14" s="9">
        <f t="shared" si="0"/>
        <v>300</v>
      </c>
      <c r="J14" s="8">
        <v>0</v>
      </c>
      <c r="K14" s="8">
        <f t="shared" si="1"/>
        <v>300</v>
      </c>
      <c r="L14" s="44">
        <v>610</v>
      </c>
      <c r="M14" s="42">
        <f t="shared" si="2"/>
        <v>910</v>
      </c>
      <c r="N14" s="16">
        <f t="shared" si="3"/>
        <v>240</v>
      </c>
      <c r="O14" s="43">
        <f t="shared" si="4"/>
        <v>670</v>
      </c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45</v>
      </c>
      <c r="C15" s="6"/>
      <c r="D15" s="29" t="s">
        <v>83</v>
      </c>
      <c r="E15" s="29"/>
      <c r="F15" s="8">
        <v>3</v>
      </c>
      <c r="G15" s="8">
        <v>0</v>
      </c>
      <c r="H15" s="11" t="s">
        <v>34</v>
      </c>
      <c r="I15" s="9">
        <f t="shared" si="0"/>
        <v>300</v>
      </c>
      <c r="J15" s="8">
        <v>0</v>
      </c>
      <c r="K15" s="8">
        <f t="shared" si="1"/>
        <v>300</v>
      </c>
      <c r="L15" s="44">
        <v>607</v>
      </c>
      <c r="M15" s="42">
        <f t="shared" si="2"/>
        <v>907</v>
      </c>
      <c r="N15" s="16">
        <f t="shared" si="3"/>
        <v>240</v>
      </c>
      <c r="O15" s="43">
        <f t="shared" si="4"/>
        <v>667</v>
      </c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1</v>
      </c>
      <c r="C16" s="6"/>
      <c r="D16" s="29" t="s">
        <v>39</v>
      </c>
      <c r="E16" s="29"/>
      <c r="F16" s="8">
        <v>3</v>
      </c>
      <c r="G16" s="8">
        <v>0</v>
      </c>
      <c r="H16" s="11" t="s">
        <v>34</v>
      </c>
      <c r="I16" s="9">
        <f t="shared" si="0"/>
        <v>300</v>
      </c>
      <c r="J16" s="8">
        <v>0</v>
      </c>
      <c r="K16" s="8">
        <f t="shared" si="1"/>
        <v>300</v>
      </c>
      <c r="L16" s="44">
        <v>607</v>
      </c>
      <c r="M16" s="42">
        <f t="shared" si="2"/>
        <v>907</v>
      </c>
      <c r="N16" s="16">
        <f t="shared" si="3"/>
        <v>240</v>
      </c>
      <c r="O16" s="43">
        <f t="shared" si="4"/>
        <v>667</v>
      </c>
      <c r="P16" s="9"/>
      <c r="Q16" t="s">
        <v>27</v>
      </c>
      <c r="R16">
        <v>2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36</v>
      </c>
      <c r="C17" s="6"/>
      <c r="D17" s="29" t="s">
        <v>74</v>
      </c>
      <c r="E17" s="29"/>
      <c r="F17" s="8">
        <v>3</v>
      </c>
      <c r="G17" s="8">
        <v>0</v>
      </c>
      <c r="H17" s="11" t="s">
        <v>34</v>
      </c>
      <c r="I17" s="9">
        <f t="shared" si="0"/>
        <v>300</v>
      </c>
      <c r="J17" s="8">
        <v>0</v>
      </c>
      <c r="K17" s="8">
        <f t="shared" si="1"/>
        <v>300</v>
      </c>
      <c r="L17" s="44">
        <v>607</v>
      </c>
      <c r="M17" s="42">
        <f t="shared" si="2"/>
        <v>907</v>
      </c>
      <c r="N17" s="16">
        <f t="shared" si="3"/>
        <v>240</v>
      </c>
      <c r="O17" s="43">
        <f t="shared" si="4"/>
        <v>667</v>
      </c>
      <c r="Q17" t="s">
        <v>28</v>
      </c>
      <c r="R17">
        <v>7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12</v>
      </c>
      <c r="C18" s="6"/>
      <c r="D18" s="29" t="s">
        <v>50</v>
      </c>
      <c r="E18" s="29"/>
      <c r="F18" s="8">
        <v>3</v>
      </c>
      <c r="G18" s="8">
        <v>0</v>
      </c>
      <c r="H18" s="11" t="s">
        <v>34</v>
      </c>
      <c r="I18" s="9">
        <f t="shared" si="0"/>
        <v>300</v>
      </c>
      <c r="J18" s="8">
        <v>0</v>
      </c>
      <c r="K18" s="8">
        <f t="shared" si="1"/>
        <v>300</v>
      </c>
      <c r="L18" s="44">
        <v>605</v>
      </c>
      <c r="M18" s="42">
        <f t="shared" si="2"/>
        <v>905</v>
      </c>
      <c r="N18" s="16">
        <f t="shared" si="3"/>
        <v>240</v>
      </c>
      <c r="O18" s="43">
        <f t="shared" si="4"/>
        <v>665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63</v>
      </c>
      <c r="C19" s="6"/>
      <c r="D19" s="29" t="s">
        <v>101</v>
      </c>
      <c r="F19" s="8">
        <v>3</v>
      </c>
      <c r="G19" s="8">
        <v>0</v>
      </c>
      <c r="H19" s="12" t="s">
        <v>35</v>
      </c>
      <c r="I19" s="9">
        <f t="shared" si="0"/>
        <v>300</v>
      </c>
      <c r="J19" s="8">
        <v>0</v>
      </c>
      <c r="K19" s="8">
        <f t="shared" si="1"/>
        <v>300</v>
      </c>
      <c r="L19" s="44">
        <v>600</v>
      </c>
      <c r="M19" s="42">
        <f t="shared" si="2"/>
        <v>900</v>
      </c>
      <c r="N19" s="16">
        <f t="shared" si="3"/>
        <v>175</v>
      </c>
      <c r="O19" s="43">
        <f t="shared" si="4"/>
        <v>725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6</v>
      </c>
      <c r="C20" s="6"/>
      <c r="D20" s="29" t="s">
        <v>44</v>
      </c>
      <c r="E20" s="29"/>
      <c r="F20" s="8">
        <v>3</v>
      </c>
      <c r="G20" s="8">
        <v>0</v>
      </c>
      <c r="H20" s="12" t="s">
        <v>35</v>
      </c>
      <c r="I20" s="9">
        <f t="shared" si="0"/>
        <v>300</v>
      </c>
      <c r="J20" s="8">
        <v>0</v>
      </c>
      <c r="K20" s="8">
        <f t="shared" si="1"/>
        <v>300</v>
      </c>
      <c r="L20" s="44">
        <v>598</v>
      </c>
      <c r="M20" s="42">
        <f t="shared" si="2"/>
        <v>898</v>
      </c>
      <c r="N20" s="16">
        <f t="shared" si="3"/>
        <v>175</v>
      </c>
      <c r="O20" s="43">
        <f t="shared" si="4"/>
        <v>723</v>
      </c>
      <c r="P20" s="15"/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2</v>
      </c>
      <c r="C21" s="6"/>
      <c r="D21" s="29" t="s">
        <v>40</v>
      </c>
      <c r="E21" s="29"/>
      <c r="F21" s="8">
        <v>3</v>
      </c>
      <c r="G21" s="8">
        <v>0</v>
      </c>
      <c r="H21" s="12" t="s">
        <v>35</v>
      </c>
      <c r="I21" s="9">
        <f t="shared" si="0"/>
        <v>300</v>
      </c>
      <c r="J21" s="8">
        <v>0</v>
      </c>
      <c r="K21" s="8">
        <f t="shared" si="1"/>
        <v>300</v>
      </c>
      <c r="L21" s="44">
        <v>598</v>
      </c>
      <c r="M21" s="42">
        <f t="shared" si="2"/>
        <v>898</v>
      </c>
      <c r="N21" s="16">
        <f t="shared" si="3"/>
        <v>175</v>
      </c>
      <c r="O21" s="43">
        <f t="shared" si="4"/>
        <v>723</v>
      </c>
      <c r="P21" s="9"/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49</v>
      </c>
      <c r="C22" s="6"/>
      <c r="D22" s="29" t="s">
        <v>87</v>
      </c>
      <c r="E22" s="29"/>
      <c r="F22" s="8">
        <v>3</v>
      </c>
      <c r="G22" s="8">
        <v>0</v>
      </c>
      <c r="H22" s="12" t="s">
        <v>35</v>
      </c>
      <c r="I22" s="9">
        <f t="shared" si="0"/>
        <v>300</v>
      </c>
      <c r="J22" s="8">
        <v>0</v>
      </c>
      <c r="K22" s="8">
        <f t="shared" si="1"/>
        <v>300</v>
      </c>
      <c r="L22" s="44">
        <v>598</v>
      </c>
      <c r="M22" s="42">
        <f t="shared" si="2"/>
        <v>898</v>
      </c>
      <c r="N22" s="16">
        <f t="shared" si="3"/>
        <v>175</v>
      </c>
      <c r="O22" s="43">
        <f t="shared" si="4"/>
        <v>723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52</v>
      </c>
      <c r="C23" s="6"/>
      <c r="D23" s="29" t="s">
        <v>90</v>
      </c>
      <c r="F23" s="8">
        <v>3</v>
      </c>
      <c r="G23" s="8">
        <v>0</v>
      </c>
      <c r="H23" s="12" t="s">
        <v>35</v>
      </c>
      <c r="I23" s="9">
        <f t="shared" si="0"/>
        <v>300</v>
      </c>
      <c r="J23" s="8">
        <v>0</v>
      </c>
      <c r="K23" s="8">
        <f t="shared" si="1"/>
        <v>300</v>
      </c>
      <c r="L23" s="44">
        <v>579</v>
      </c>
      <c r="M23" s="42">
        <f t="shared" si="2"/>
        <v>879</v>
      </c>
      <c r="N23" s="16">
        <f t="shared" si="3"/>
        <v>175</v>
      </c>
      <c r="O23" s="43">
        <f t="shared" si="4"/>
        <v>704</v>
      </c>
      <c r="P23" s="1"/>
    </row>
    <row r="24" spans="1:26" ht="18.75">
      <c r="A24" s="7">
        <v>1</v>
      </c>
      <c r="B24" s="7">
        <v>22</v>
      </c>
      <c r="C24" s="6"/>
      <c r="D24" s="29" t="s">
        <v>60</v>
      </c>
      <c r="E24" s="32"/>
      <c r="F24" s="8">
        <v>3</v>
      </c>
      <c r="G24" s="8">
        <v>0</v>
      </c>
      <c r="H24" s="12" t="s">
        <v>35</v>
      </c>
      <c r="I24" s="9">
        <f t="shared" si="0"/>
        <v>300</v>
      </c>
      <c r="J24" s="8">
        <v>0</v>
      </c>
      <c r="K24" s="8">
        <f t="shared" si="1"/>
        <v>300</v>
      </c>
      <c r="L24" s="44">
        <v>570</v>
      </c>
      <c r="M24" s="42">
        <f t="shared" si="2"/>
        <v>870</v>
      </c>
      <c r="N24" s="16">
        <f t="shared" si="3"/>
        <v>175</v>
      </c>
      <c r="O24" s="43">
        <f t="shared" si="4"/>
        <v>695</v>
      </c>
      <c r="P24" s="1"/>
    </row>
    <row r="25" spans="1:26" ht="18.75">
      <c r="A25" s="7">
        <v>1</v>
      </c>
      <c r="B25" s="7">
        <v>14</v>
      </c>
      <c r="C25" s="6"/>
      <c r="D25" s="29" t="s">
        <v>52</v>
      </c>
      <c r="E25" s="29"/>
      <c r="F25" s="8">
        <v>3</v>
      </c>
      <c r="G25" s="8">
        <v>0</v>
      </c>
      <c r="H25" s="12" t="s">
        <v>35</v>
      </c>
      <c r="I25" s="9">
        <f t="shared" si="0"/>
        <v>300</v>
      </c>
      <c r="J25" s="8">
        <v>0</v>
      </c>
      <c r="K25" s="8">
        <f t="shared" si="1"/>
        <v>300</v>
      </c>
      <c r="L25" s="44">
        <v>570</v>
      </c>
      <c r="M25" s="42">
        <f t="shared" si="2"/>
        <v>870</v>
      </c>
      <c r="N25" s="16">
        <f t="shared" si="3"/>
        <v>175</v>
      </c>
      <c r="O25" s="43">
        <f t="shared" si="4"/>
        <v>695</v>
      </c>
      <c r="P25" s="1"/>
    </row>
    <row r="26" spans="1:26" ht="18.75" customHeight="1">
      <c r="A26" s="7">
        <v>1</v>
      </c>
      <c r="B26" s="7">
        <v>21</v>
      </c>
      <c r="C26" s="6"/>
      <c r="D26" s="29" t="s">
        <v>59</v>
      </c>
      <c r="F26" s="8">
        <v>3</v>
      </c>
      <c r="G26" s="8">
        <v>0</v>
      </c>
      <c r="H26" s="12" t="s">
        <v>35</v>
      </c>
      <c r="I26" s="9">
        <f t="shared" si="0"/>
        <v>300</v>
      </c>
      <c r="J26" s="8">
        <v>0</v>
      </c>
      <c r="K26" s="8">
        <f t="shared" si="1"/>
        <v>300</v>
      </c>
      <c r="L26" s="44">
        <v>561</v>
      </c>
      <c r="M26" s="42">
        <f t="shared" si="2"/>
        <v>861</v>
      </c>
      <c r="N26" s="16">
        <f t="shared" si="3"/>
        <v>175</v>
      </c>
      <c r="O26" s="43">
        <f t="shared" si="4"/>
        <v>686</v>
      </c>
      <c r="P26" s="1"/>
    </row>
    <row r="27" spans="1:26" ht="18.75">
      <c r="A27" s="7">
        <v>1</v>
      </c>
      <c r="B27" s="7">
        <v>17</v>
      </c>
      <c r="C27" s="6"/>
      <c r="D27" s="29" t="s">
        <v>55</v>
      </c>
      <c r="E27" s="29"/>
      <c r="F27" s="8">
        <v>3</v>
      </c>
      <c r="G27" s="8">
        <v>0</v>
      </c>
      <c r="H27" s="12" t="s">
        <v>35</v>
      </c>
      <c r="I27" s="9">
        <f t="shared" si="0"/>
        <v>300</v>
      </c>
      <c r="J27" s="8">
        <v>0</v>
      </c>
      <c r="K27" s="8">
        <f t="shared" si="1"/>
        <v>300</v>
      </c>
      <c r="L27" s="44">
        <v>561</v>
      </c>
      <c r="M27" s="42">
        <f t="shared" si="2"/>
        <v>861</v>
      </c>
      <c r="N27" s="16">
        <f t="shared" si="3"/>
        <v>175</v>
      </c>
      <c r="O27" s="43">
        <f t="shared" si="4"/>
        <v>686</v>
      </c>
      <c r="P27" s="1"/>
    </row>
    <row r="28" spans="1:26" ht="18.75">
      <c r="A28" s="7">
        <v>1</v>
      </c>
      <c r="B28" s="7">
        <v>10</v>
      </c>
      <c r="C28" s="6"/>
      <c r="D28" s="29" t="s">
        <v>48</v>
      </c>
      <c r="E28" s="31"/>
      <c r="F28" s="8">
        <v>3</v>
      </c>
      <c r="G28" s="8">
        <v>0</v>
      </c>
      <c r="H28" s="12" t="s">
        <v>35</v>
      </c>
      <c r="I28" s="9">
        <f t="shared" si="0"/>
        <v>300</v>
      </c>
      <c r="J28" s="8">
        <v>0</v>
      </c>
      <c r="K28" s="8">
        <f t="shared" si="1"/>
        <v>300</v>
      </c>
      <c r="L28" s="44">
        <v>554</v>
      </c>
      <c r="M28" s="42">
        <f t="shared" si="2"/>
        <v>854</v>
      </c>
      <c r="N28" s="16">
        <f t="shared" si="3"/>
        <v>175</v>
      </c>
      <c r="O28" s="43">
        <f t="shared" si="4"/>
        <v>679</v>
      </c>
      <c r="P28" s="21"/>
    </row>
    <row r="29" spans="1:26" s="1" customFormat="1" ht="18.75">
      <c r="A29" s="7">
        <v>1</v>
      </c>
      <c r="B29" s="7">
        <v>11</v>
      </c>
      <c r="C29" s="6"/>
      <c r="D29" s="29" t="s">
        <v>49</v>
      </c>
      <c r="E29" s="29"/>
      <c r="F29" s="8">
        <v>3</v>
      </c>
      <c r="G29" s="8">
        <v>0</v>
      </c>
      <c r="H29" s="12" t="s">
        <v>35</v>
      </c>
      <c r="I29" s="9">
        <f t="shared" si="0"/>
        <v>300</v>
      </c>
      <c r="J29" s="8">
        <v>0</v>
      </c>
      <c r="K29" s="8">
        <f t="shared" si="1"/>
        <v>300</v>
      </c>
      <c r="L29" s="44">
        <v>554</v>
      </c>
      <c r="M29" s="42">
        <f t="shared" si="2"/>
        <v>854</v>
      </c>
      <c r="N29" s="16">
        <f t="shared" si="3"/>
        <v>175</v>
      </c>
      <c r="O29" s="43">
        <f t="shared" si="4"/>
        <v>679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3</v>
      </c>
      <c r="C30" s="6"/>
      <c r="D30" s="29" t="s">
        <v>41</v>
      </c>
      <c r="E30" s="29"/>
      <c r="F30" s="8">
        <v>3</v>
      </c>
      <c r="G30" s="8">
        <v>0</v>
      </c>
      <c r="H30" s="12" t="s">
        <v>35</v>
      </c>
      <c r="I30" s="9">
        <f t="shared" si="0"/>
        <v>300</v>
      </c>
      <c r="J30" s="8">
        <v>0</v>
      </c>
      <c r="K30" s="8">
        <f t="shared" si="1"/>
        <v>300</v>
      </c>
      <c r="L30" s="44">
        <v>554</v>
      </c>
      <c r="M30" s="42">
        <f t="shared" si="2"/>
        <v>854</v>
      </c>
      <c r="N30" s="16">
        <f t="shared" si="3"/>
        <v>175</v>
      </c>
      <c r="O30" s="43">
        <f t="shared" si="4"/>
        <v>679</v>
      </c>
      <c r="P30" s="9"/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24</v>
      </c>
      <c r="C31" s="6"/>
      <c r="D31" s="29" t="s">
        <v>62</v>
      </c>
      <c r="E31" s="32"/>
      <c r="F31" s="8">
        <v>3</v>
      </c>
      <c r="G31" s="8">
        <v>0</v>
      </c>
      <c r="H31" s="12" t="s">
        <v>35</v>
      </c>
      <c r="I31" s="9">
        <f t="shared" si="0"/>
        <v>300</v>
      </c>
      <c r="J31" s="8">
        <v>0</v>
      </c>
      <c r="K31" s="8">
        <f t="shared" si="1"/>
        <v>300</v>
      </c>
      <c r="L31" s="44">
        <v>554</v>
      </c>
      <c r="M31" s="42">
        <f t="shared" si="2"/>
        <v>854</v>
      </c>
      <c r="N31" s="16">
        <f t="shared" si="3"/>
        <v>175</v>
      </c>
      <c r="O31" s="43">
        <f t="shared" si="4"/>
        <v>679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18</v>
      </c>
      <c r="C32" s="6"/>
      <c r="D32" s="29" t="s">
        <v>56</v>
      </c>
      <c r="E32" s="29"/>
      <c r="F32" s="8">
        <v>3</v>
      </c>
      <c r="G32" s="8">
        <v>0</v>
      </c>
      <c r="H32" s="12" t="s">
        <v>35</v>
      </c>
      <c r="I32" s="9">
        <f t="shared" si="0"/>
        <v>300</v>
      </c>
      <c r="J32" s="8">
        <v>0</v>
      </c>
      <c r="K32" s="8">
        <f t="shared" si="1"/>
        <v>300</v>
      </c>
      <c r="L32" s="44">
        <v>554</v>
      </c>
      <c r="M32" s="42">
        <f t="shared" si="2"/>
        <v>854</v>
      </c>
      <c r="N32" s="16">
        <f t="shared" si="3"/>
        <v>175</v>
      </c>
      <c r="O32" s="43">
        <f t="shared" si="4"/>
        <v>679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42</v>
      </c>
      <c r="C33" s="6"/>
      <c r="D33" s="29" t="s">
        <v>80</v>
      </c>
      <c r="E33" s="32"/>
      <c r="F33" s="8">
        <v>3</v>
      </c>
      <c r="G33" s="8">
        <v>0</v>
      </c>
      <c r="H33" s="12" t="s">
        <v>35</v>
      </c>
      <c r="I33" s="9">
        <f t="shared" si="0"/>
        <v>300</v>
      </c>
      <c r="J33" s="8">
        <v>0</v>
      </c>
      <c r="K33" s="8">
        <f t="shared" si="1"/>
        <v>300</v>
      </c>
      <c r="L33" s="44">
        <v>544</v>
      </c>
      <c r="M33" s="42">
        <f t="shared" si="2"/>
        <v>844</v>
      </c>
      <c r="N33" s="16">
        <f t="shared" si="3"/>
        <v>175</v>
      </c>
      <c r="O33" s="43">
        <f t="shared" si="4"/>
        <v>669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29</v>
      </c>
      <c r="C34" s="6"/>
      <c r="D34" s="29" t="s">
        <v>67</v>
      </c>
      <c r="E34" s="32"/>
      <c r="F34" s="8">
        <v>3</v>
      </c>
      <c r="G34" s="8">
        <v>0</v>
      </c>
      <c r="H34" s="12" t="s">
        <v>35</v>
      </c>
      <c r="I34" s="9">
        <f t="shared" si="0"/>
        <v>300</v>
      </c>
      <c r="J34" s="8">
        <v>0</v>
      </c>
      <c r="K34" s="8">
        <f t="shared" si="1"/>
        <v>300</v>
      </c>
      <c r="L34" s="44">
        <v>544</v>
      </c>
      <c r="M34" s="42">
        <f t="shared" si="2"/>
        <v>844</v>
      </c>
      <c r="N34" s="16">
        <f t="shared" si="3"/>
        <v>175</v>
      </c>
      <c r="O34" s="43">
        <f t="shared" si="4"/>
        <v>669</v>
      </c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4</v>
      </c>
      <c r="C35" s="6"/>
      <c r="D35" s="29" t="s">
        <v>42</v>
      </c>
      <c r="E35" s="29"/>
      <c r="F35" s="8">
        <v>2</v>
      </c>
      <c r="G35" s="8">
        <v>0</v>
      </c>
      <c r="H35" s="12" t="s">
        <v>35</v>
      </c>
      <c r="I35" s="9">
        <f t="shared" si="0"/>
        <v>200</v>
      </c>
      <c r="J35" s="8">
        <v>0</v>
      </c>
      <c r="K35" s="8">
        <f t="shared" si="1"/>
        <v>200</v>
      </c>
      <c r="L35" s="44">
        <v>644</v>
      </c>
      <c r="M35" s="42">
        <f t="shared" si="2"/>
        <v>844</v>
      </c>
      <c r="N35" s="16">
        <f t="shared" si="3"/>
        <v>175</v>
      </c>
      <c r="O35" s="43">
        <f t="shared" si="4"/>
        <v>669</v>
      </c>
      <c r="P35" s="9"/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53</v>
      </c>
      <c r="C36" s="6"/>
      <c r="D36" s="29" t="s">
        <v>91</v>
      </c>
      <c r="E36" s="29"/>
      <c r="F36" s="8">
        <v>3</v>
      </c>
      <c r="G36" s="8">
        <v>0</v>
      </c>
      <c r="H36" s="12" t="s">
        <v>35</v>
      </c>
      <c r="I36" s="9">
        <f t="shared" si="0"/>
        <v>300</v>
      </c>
      <c r="J36" s="8">
        <v>0</v>
      </c>
      <c r="K36" s="8">
        <f t="shared" si="1"/>
        <v>300</v>
      </c>
      <c r="L36" s="44">
        <v>535</v>
      </c>
      <c r="M36" s="42">
        <f t="shared" si="2"/>
        <v>835</v>
      </c>
      <c r="N36" s="16">
        <f t="shared" si="3"/>
        <v>175</v>
      </c>
      <c r="O36" s="43">
        <f t="shared" si="4"/>
        <v>660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58</v>
      </c>
      <c r="C37" s="6"/>
      <c r="D37" s="29" t="s">
        <v>96</v>
      </c>
      <c r="F37" s="8">
        <v>3</v>
      </c>
      <c r="G37" s="8">
        <v>0</v>
      </c>
      <c r="H37" s="12" t="s">
        <v>35</v>
      </c>
      <c r="I37" s="9">
        <f t="shared" ref="I37:I69" si="5">F37*100</f>
        <v>300</v>
      </c>
      <c r="J37" s="8">
        <v>0</v>
      </c>
      <c r="K37" s="8">
        <f t="shared" ref="K37:K68" si="6">SUM(I37+J37)</f>
        <v>300</v>
      </c>
      <c r="L37" s="44">
        <v>528</v>
      </c>
      <c r="M37" s="42">
        <f t="shared" ref="M37:M68" si="7">L37+K37</f>
        <v>828</v>
      </c>
      <c r="N37" s="16">
        <f t="shared" ref="N37:N69" si="8">VLOOKUP(H37,$Q$3:$R$10,2,FALSE)</f>
        <v>175</v>
      </c>
      <c r="O37" s="43">
        <f t="shared" ref="O37:O68" si="9">IF(M37-N37&gt;0,M37-N37,0)</f>
        <v>653</v>
      </c>
      <c r="P37" s="1"/>
    </row>
    <row r="38" spans="1:26" s="1" customFormat="1" ht="18.75">
      <c r="A38" s="7">
        <v>1</v>
      </c>
      <c r="B38" s="7">
        <v>13</v>
      </c>
      <c r="C38" s="6"/>
      <c r="D38" s="29" t="s">
        <v>51</v>
      </c>
      <c r="E38" s="29"/>
      <c r="F38" s="8">
        <v>3</v>
      </c>
      <c r="G38" s="8">
        <v>0</v>
      </c>
      <c r="H38" s="12" t="s">
        <v>35</v>
      </c>
      <c r="I38" s="9">
        <f t="shared" si="5"/>
        <v>300</v>
      </c>
      <c r="J38" s="8">
        <v>0</v>
      </c>
      <c r="K38" s="8">
        <f t="shared" si="6"/>
        <v>300</v>
      </c>
      <c r="L38" s="44">
        <v>514</v>
      </c>
      <c r="M38" s="42">
        <f t="shared" si="7"/>
        <v>814</v>
      </c>
      <c r="N38" s="16">
        <f t="shared" si="8"/>
        <v>175</v>
      </c>
      <c r="O38" s="43">
        <f t="shared" si="9"/>
        <v>639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37</v>
      </c>
      <c r="C39" s="6"/>
      <c r="D39" s="29" t="s">
        <v>75</v>
      </c>
      <c r="E39" s="1"/>
      <c r="F39" s="8">
        <v>3</v>
      </c>
      <c r="G39" s="8">
        <v>0</v>
      </c>
      <c r="H39" s="12" t="s">
        <v>35</v>
      </c>
      <c r="I39" s="9">
        <f t="shared" si="5"/>
        <v>300</v>
      </c>
      <c r="J39" s="8">
        <v>0</v>
      </c>
      <c r="K39" s="8">
        <f t="shared" si="6"/>
        <v>300</v>
      </c>
      <c r="L39" s="44">
        <v>507</v>
      </c>
      <c r="M39" s="42">
        <f t="shared" si="7"/>
        <v>807</v>
      </c>
      <c r="N39" s="16">
        <f t="shared" si="8"/>
        <v>175</v>
      </c>
      <c r="O39" s="43">
        <f t="shared" si="9"/>
        <v>632</v>
      </c>
      <c r="P39" s="1"/>
    </row>
    <row r="40" spans="1:26" ht="18.75">
      <c r="A40" s="7">
        <v>1</v>
      </c>
      <c r="B40" s="7">
        <v>50</v>
      </c>
      <c r="C40" s="6"/>
      <c r="D40" s="29" t="s">
        <v>88</v>
      </c>
      <c r="E40" s="29"/>
      <c r="F40" s="8">
        <v>3</v>
      </c>
      <c r="G40" s="8">
        <v>0</v>
      </c>
      <c r="H40" s="12" t="s">
        <v>35</v>
      </c>
      <c r="I40" s="9">
        <f t="shared" si="5"/>
        <v>300</v>
      </c>
      <c r="J40" s="8">
        <v>0</v>
      </c>
      <c r="K40" s="8">
        <f t="shared" si="6"/>
        <v>300</v>
      </c>
      <c r="L40" s="44">
        <v>500</v>
      </c>
      <c r="M40" s="42">
        <f t="shared" si="7"/>
        <v>800</v>
      </c>
      <c r="N40" s="16">
        <f t="shared" si="8"/>
        <v>175</v>
      </c>
      <c r="O40" s="43">
        <f t="shared" si="9"/>
        <v>625</v>
      </c>
      <c r="P40" s="1"/>
    </row>
    <row r="41" spans="1:26" ht="18.75">
      <c r="A41" s="7">
        <v>1</v>
      </c>
      <c r="B41" s="7">
        <v>40</v>
      </c>
      <c r="C41" s="6"/>
      <c r="D41" s="30" t="s">
        <v>78</v>
      </c>
      <c r="F41" s="8">
        <v>2</v>
      </c>
      <c r="G41" s="8">
        <v>0</v>
      </c>
      <c r="H41" s="12" t="s">
        <v>35</v>
      </c>
      <c r="I41" s="9">
        <f t="shared" si="5"/>
        <v>200</v>
      </c>
      <c r="J41" s="8">
        <v>0</v>
      </c>
      <c r="K41" s="8">
        <f t="shared" si="6"/>
        <v>200</v>
      </c>
      <c r="L41" s="44">
        <v>591</v>
      </c>
      <c r="M41" s="42">
        <f t="shared" si="7"/>
        <v>791</v>
      </c>
      <c r="N41" s="16">
        <f t="shared" si="8"/>
        <v>175</v>
      </c>
      <c r="O41" s="43">
        <f t="shared" si="9"/>
        <v>616</v>
      </c>
      <c r="P41" s="1"/>
    </row>
    <row r="42" spans="1:26" ht="18.75">
      <c r="A42" s="7">
        <v>1</v>
      </c>
      <c r="B42" s="7">
        <v>5</v>
      </c>
      <c r="C42" s="6"/>
      <c r="D42" s="29" t="s">
        <v>43</v>
      </c>
      <c r="E42" s="29"/>
      <c r="F42" s="8">
        <v>2</v>
      </c>
      <c r="G42" s="8">
        <v>0</v>
      </c>
      <c r="H42" s="12" t="s">
        <v>35</v>
      </c>
      <c r="I42" s="9">
        <f t="shared" si="5"/>
        <v>200</v>
      </c>
      <c r="J42" s="8">
        <v>0</v>
      </c>
      <c r="K42" s="8">
        <f t="shared" si="6"/>
        <v>200</v>
      </c>
      <c r="L42" s="44">
        <v>591</v>
      </c>
      <c r="M42" s="42">
        <f t="shared" si="7"/>
        <v>791</v>
      </c>
      <c r="N42" s="16">
        <f t="shared" si="8"/>
        <v>175</v>
      </c>
      <c r="O42" s="43">
        <f t="shared" si="9"/>
        <v>616</v>
      </c>
      <c r="P42" s="21"/>
    </row>
    <row r="43" spans="1:26" ht="18.75">
      <c r="A43" s="7">
        <v>1</v>
      </c>
      <c r="B43" s="7">
        <v>47</v>
      </c>
      <c r="C43" s="6"/>
      <c r="D43" s="29" t="s">
        <v>85</v>
      </c>
      <c r="E43" s="29"/>
      <c r="F43" s="8">
        <v>3</v>
      </c>
      <c r="G43" s="8">
        <v>0</v>
      </c>
      <c r="H43" s="12" t="s">
        <v>35</v>
      </c>
      <c r="I43" s="9">
        <f t="shared" si="5"/>
        <v>300</v>
      </c>
      <c r="J43" s="8">
        <v>0</v>
      </c>
      <c r="K43" s="8">
        <f t="shared" si="6"/>
        <v>300</v>
      </c>
      <c r="L43" s="44">
        <v>450</v>
      </c>
      <c r="M43" s="42">
        <f t="shared" si="7"/>
        <v>750</v>
      </c>
      <c r="N43" s="16">
        <f t="shared" si="8"/>
        <v>175</v>
      </c>
      <c r="O43" s="43">
        <f t="shared" si="9"/>
        <v>575</v>
      </c>
      <c r="P43" s="1"/>
    </row>
    <row r="44" spans="1:26" ht="18.75">
      <c r="A44" s="7">
        <v>1</v>
      </c>
      <c r="B44" s="7">
        <v>16</v>
      </c>
      <c r="C44" s="6"/>
      <c r="D44" s="29" t="s">
        <v>54</v>
      </c>
      <c r="E44" s="32"/>
      <c r="F44" s="8">
        <v>2</v>
      </c>
      <c r="G44" s="8">
        <v>0</v>
      </c>
      <c r="H44" s="12" t="s">
        <v>35</v>
      </c>
      <c r="I44" s="9">
        <f t="shared" si="5"/>
        <v>200</v>
      </c>
      <c r="J44" s="8">
        <v>0</v>
      </c>
      <c r="K44" s="8">
        <f t="shared" si="6"/>
        <v>200</v>
      </c>
      <c r="L44" s="44">
        <v>535</v>
      </c>
      <c r="M44" s="42">
        <f t="shared" si="7"/>
        <v>735</v>
      </c>
      <c r="N44" s="16">
        <f t="shared" si="8"/>
        <v>175</v>
      </c>
      <c r="O44" s="43">
        <f t="shared" si="9"/>
        <v>560</v>
      </c>
      <c r="P44" s="1"/>
    </row>
    <row r="45" spans="1:26" ht="18.75">
      <c r="A45" s="7">
        <v>1</v>
      </c>
      <c r="B45" s="7">
        <v>20</v>
      </c>
      <c r="C45" s="6"/>
      <c r="D45" s="29" t="s">
        <v>58</v>
      </c>
      <c r="E45" s="32"/>
      <c r="F45" s="8">
        <v>2</v>
      </c>
      <c r="G45" s="8">
        <v>0</v>
      </c>
      <c r="H45" s="12" t="s">
        <v>35</v>
      </c>
      <c r="I45" s="9">
        <f t="shared" si="5"/>
        <v>200</v>
      </c>
      <c r="J45" s="8">
        <v>0</v>
      </c>
      <c r="K45" s="8">
        <f t="shared" si="6"/>
        <v>200</v>
      </c>
      <c r="L45" s="44">
        <v>535</v>
      </c>
      <c r="M45" s="42">
        <f t="shared" si="7"/>
        <v>735</v>
      </c>
      <c r="N45" s="16">
        <f t="shared" si="8"/>
        <v>175</v>
      </c>
      <c r="O45" s="43">
        <f t="shared" si="9"/>
        <v>560</v>
      </c>
      <c r="P45" s="1"/>
    </row>
    <row r="46" spans="1:26" ht="18.75">
      <c r="A46" s="7">
        <v>1</v>
      </c>
      <c r="B46" s="7">
        <v>28</v>
      </c>
      <c r="C46" s="6"/>
      <c r="D46" s="29" t="s">
        <v>66</v>
      </c>
      <c r="E46" s="32"/>
      <c r="F46" s="8">
        <v>2</v>
      </c>
      <c r="G46" s="8">
        <v>0</v>
      </c>
      <c r="H46" s="12" t="s">
        <v>35</v>
      </c>
      <c r="I46" s="9">
        <f t="shared" si="5"/>
        <v>200</v>
      </c>
      <c r="J46" s="8">
        <v>0</v>
      </c>
      <c r="K46" s="8">
        <f t="shared" si="6"/>
        <v>200</v>
      </c>
      <c r="L46" s="44">
        <v>528</v>
      </c>
      <c r="M46" s="42">
        <f t="shared" si="7"/>
        <v>728</v>
      </c>
      <c r="N46" s="16">
        <f t="shared" si="8"/>
        <v>175</v>
      </c>
      <c r="O46" s="43">
        <f t="shared" si="9"/>
        <v>553</v>
      </c>
      <c r="P46" s="1"/>
    </row>
    <row r="47" spans="1:26" ht="18.75">
      <c r="A47" s="7">
        <v>1</v>
      </c>
      <c r="B47" s="7">
        <v>15</v>
      </c>
      <c r="C47" s="6"/>
      <c r="D47" s="29" t="s">
        <v>53</v>
      </c>
      <c r="E47" s="29"/>
      <c r="F47" s="8">
        <v>3</v>
      </c>
      <c r="G47" s="8">
        <v>0</v>
      </c>
      <c r="H47" s="12" t="s">
        <v>35</v>
      </c>
      <c r="I47" s="9">
        <f t="shared" si="5"/>
        <v>300</v>
      </c>
      <c r="J47" s="8">
        <v>0</v>
      </c>
      <c r="K47" s="8">
        <f t="shared" si="6"/>
        <v>300</v>
      </c>
      <c r="L47" s="44">
        <v>400</v>
      </c>
      <c r="M47" s="42">
        <f t="shared" si="7"/>
        <v>700</v>
      </c>
      <c r="N47" s="16">
        <f t="shared" si="8"/>
        <v>175</v>
      </c>
      <c r="O47" s="43">
        <f t="shared" si="9"/>
        <v>525</v>
      </c>
      <c r="P47" s="1"/>
    </row>
    <row r="48" spans="1:26" ht="18.75">
      <c r="A48" s="7">
        <v>1</v>
      </c>
      <c r="B48" s="7">
        <v>44</v>
      </c>
      <c r="C48" s="6"/>
      <c r="D48" s="29" t="s">
        <v>82</v>
      </c>
      <c r="E48" s="29"/>
      <c r="F48" s="8">
        <v>1</v>
      </c>
      <c r="G48" s="8">
        <v>0</v>
      </c>
      <c r="H48" s="12" t="s">
        <v>35</v>
      </c>
      <c r="I48" s="9">
        <f t="shared" si="5"/>
        <v>100</v>
      </c>
      <c r="J48" s="8">
        <v>0</v>
      </c>
      <c r="K48" s="8">
        <f t="shared" si="6"/>
        <v>100</v>
      </c>
      <c r="L48" s="44">
        <v>579</v>
      </c>
      <c r="M48" s="42">
        <f t="shared" si="7"/>
        <v>679</v>
      </c>
      <c r="N48" s="16">
        <f t="shared" si="8"/>
        <v>175</v>
      </c>
      <c r="O48" s="43">
        <f t="shared" si="9"/>
        <v>504</v>
      </c>
    </row>
    <row r="49" spans="1:16" ht="18.75">
      <c r="A49" s="7">
        <v>1</v>
      </c>
      <c r="B49" s="7">
        <v>25</v>
      </c>
      <c r="C49" s="6"/>
      <c r="D49" s="29" t="s">
        <v>63</v>
      </c>
      <c r="E49" s="32"/>
      <c r="F49" s="8">
        <v>3</v>
      </c>
      <c r="G49" s="8">
        <v>0</v>
      </c>
      <c r="H49" s="12" t="s">
        <v>35</v>
      </c>
      <c r="I49" s="9">
        <f t="shared" si="5"/>
        <v>300</v>
      </c>
      <c r="J49" s="8">
        <v>0</v>
      </c>
      <c r="K49" s="8">
        <f t="shared" si="6"/>
        <v>300</v>
      </c>
      <c r="L49" s="44">
        <v>375</v>
      </c>
      <c r="M49" s="42">
        <f t="shared" si="7"/>
        <v>675</v>
      </c>
      <c r="N49" s="16">
        <f t="shared" si="8"/>
        <v>175</v>
      </c>
      <c r="O49" s="43">
        <f t="shared" si="9"/>
        <v>500</v>
      </c>
    </row>
    <row r="50" spans="1:16" ht="18.75">
      <c r="A50" s="7">
        <v>1</v>
      </c>
      <c r="B50" s="7">
        <v>64</v>
      </c>
      <c r="C50" s="6"/>
      <c r="D50" s="29" t="s">
        <v>102</v>
      </c>
      <c r="E50" s="29"/>
      <c r="F50" s="8">
        <v>3</v>
      </c>
      <c r="G50" s="8">
        <v>0</v>
      </c>
      <c r="H50" s="12" t="s">
        <v>35</v>
      </c>
      <c r="I50" s="9">
        <f t="shared" si="5"/>
        <v>300</v>
      </c>
      <c r="J50" s="8">
        <v>0</v>
      </c>
      <c r="K50" s="8">
        <f t="shared" si="6"/>
        <v>300</v>
      </c>
      <c r="L50" s="44">
        <v>344</v>
      </c>
      <c r="M50" s="42">
        <f t="shared" si="7"/>
        <v>644</v>
      </c>
      <c r="N50" s="16">
        <f t="shared" si="8"/>
        <v>175</v>
      </c>
      <c r="O50" s="43">
        <f t="shared" si="9"/>
        <v>469</v>
      </c>
    </row>
    <row r="51" spans="1:16" ht="18.75">
      <c r="A51" s="7">
        <v>1</v>
      </c>
      <c r="B51" s="7">
        <v>41</v>
      </c>
      <c r="C51" s="6"/>
      <c r="D51" s="29" t="s">
        <v>79</v>
      </c>
      <c r="E51" s="32"/>
      <c r="F51" s="8">
        <v>2</v>
      </c>
      <c r="G51" s="8">
        <v>0</v>
      </c>
      <c r="H51" s="12" t="s">
        <v>35</v>
      </c>
      <c r="I51" s="9">
        <f t="shared" si="5"/>
        <v>200</v>
      </c>
      <c r="J51" s="8">
        <v>0</v>
      </c>
      <c r="K51" s="8">
        <f t="shared" si="6"/>
        <v>200</v>
      </c>
      <c r="L51" s="44">
        <v>426</v>
      </c>
      <c r="M51" s="42">
        <f t="shared" si="7"/>
        <v>626</v>
      </c>
      <c r="N51" s="16">
        <f t="shared" si="8"/>
        <v>175</v>
      </c>
      <c r="O51" s="43">
        <f t="shared" si="9"/>
        <v>451</v>
      </c>
    </row>
    <row r="52" spans="1:16" ht="18.75">
      <c r="A52" s="7">
        <v>1</v>
      </c>
      <c r="B52" s="7">
        <v>33</v>
      </c>
      <c r="C52" s="6"/>
      <c r="D52" s="29" t="s">
        <v>71</v>
      </c>
      <c r="E52" s="29"/>
      <c r="F52" s="8">
        <v>1</v>
      </c>
      <c r="G52" s="8">
        <v>0</v>
      </c>
      <c r="H52" s="12" t="s">
        <v>35</v>
      </c>
      <c r="I52" s="9">
        <f t="shared" si="5"/>
        <v>100</v>
      </c>
      <c r="J52" s="8">
        <v>0</v>
      </c>
      <c r="K52" s="8">
        <f t="shared" si="6"/>
        <v>100</v>
      </c>
      <c r="L52" s="44">
        <v>428</v>
      </c>
      <c r="M52" s="42">
        <f t="shared" si="7"/>
        <v>528</v>
      </c>
      <c r="N52" s="16">
        <f t="shared" si="8"/>
        <v>175</v>
      </c>
      <c r="O52" s="43">
        <f t="shared" si="9"/>
        <v>353</v>
      </c>
    </row>
    <row r="53" spans="1:16" ht="18.75">
      <c r="A53" s="7">
        <v>1</v>
      </c>
      <c r="B53" s="7">
        <v>54</v>
      </c>
      <c r="C53" s="6"/>
      <c r="D53" s="29" t="s">
        <v>92</v>
      </c>
      <c r="F53" s="8">
        <v>3</v>
      </c>
      <c r="G53" s="8">
        <v>0</v>
      </c>
      <c r="H53" s="12" t="s">
        <v>35</v>
      </c>
      <c r="I53" s="9">
        <f t="shared" si="5"/>
        <v>300</v>
      </c>
      <c r="J53" s="8">
        <v>0</v>
      </c>
      <c r="K53" s="8">
        <f t="shared" si="6"/>
        <v>300</v>
      </c>
      <c r="L53" s="44">
        <v>200</v>
      </c>
      <c r="M53" s="42">
        <f t="shared" si="7"/>
        <v>500</v>
      </c>
      <c r="N53" s="16">
        <f t="shared" si="8"/>
        <v>175</v>
      </c>
      <c r="O53" s="43">
        <f t="shared" si="9"/>
        <v>325</v>
      </c>
    </row>
    <row r="54" spans="1:16" ht="18.75">
      <c r="A54" s="7">
        <v>1</v>
      </c>
      <c r="B54" s="7">
        <v>38</v>
      </c>
      <c r="C54" s="6"/>
      <c r="D54" s="29" t="s">
        <v>76</v>
      </c>
      <c r="E54" s="29"/>
      <c r="F54" s="8">
        <v>2</v>
      </c>
      <c r="G54" s="8">
        <v>0</v>
      </c>
      <c r="H54" s="12" t="s">
        <v>35</v>
      </c>
      <c r="I54" s="9">
        <f t="shared" si="5"/>
        <v>200</v>
      </c>
      <c r="J54" s="8">
        <v>0</v>
      </c>
      <c r="K54" s="8">
        <f t="shared" si="6"/>
        <v>200</v>
      </c>
      <c r="L54" s="44">
        <v>300</v>
      </c>
      <c r="M54" s="42">
        <f t="shared" si="7"/>
        <v>500</v>
      </c>
      <c r="N54" s="16">
        <f t="shared" si="8"/>
        <v>175</v>
      </c>
      <c r="O54" s="43">
        <f t="shared" si="9"/>
        <v>325</v>
      </c>
    </row>
    <row r="55" spans="1:16" ht="18.75">
      <c r="A55" s="7">
        <v>1</v>
      </c>
      <c r="B55" s="7">
        <v>39</v>
      </c>
      <c r="C55" s="6"/>
      <c r="D55" s="29" t="s">
        <v>77</v>
      </c>
      <c r="E55" s="29"/>
      <c r="F55" s="8">
        <v>0</v>
      </c>
      <c r="G55" s="8">
        <v>0</v>
      </c>
      <c r="H55" s="27" t="s">
        <v>23</v>
      </c>
      <c r="I55" s="9">
        <f t="shared" si="5"/>
        <v>0</v>
      </c>
      <c r="J55" s="8">
        <v>0</v>
      </c>
      <c r="K55" s="8">
        <f t="shared" si="6"/>
        <v>0</v>
      </c>
      <c r="L55" s="44">
        <v>450</v>
      </c>
      <c r="M55" s="42">
        <f t="shared" si="7"/>
        <v>450</v>
      </c>
      <c r="N55" s="16">
        <f t="shared" si="8"/>
        <v>0</v>
      </c>
      <c r="O55" s="43">
        <f t="shared" si="9"/>
        <v>450</v>
      </c>
    </row>
    <row r="56" spans="1:16" ht="18.75">
      <c r="A56" s="7">
        <v>1</v>
      </c>
      <c r="B56" s="7">
        <v>26</v>
      </c>
      <c r="C56" s="6"/>
      <c r="D56" s="29" t="s">
        <v>64</v>
      </c>
      <c r="E56" s="32"/>
      <c r="F56" s="8">
        <v>1</v>
      </c>
      <c r="G56" s="8">
        <v>0</v>
      </c>
      <c r="H56" s="12" t="s">
        <v>35</v>
      </c>
      <c r="I56" s="9">
        <f t="shared" si="5"/>
        <v>100</v>
      </c>
      <c r="J56" s="8">
        <v>0</v>
      </c>
      <c r="K56" s="8">
        <f t="shared" si="6"/>
        <v>100</v>
      </c>
      <c r="L56" s="44">
        <v>344</v>
      </c>
      <c r="M56" s="42">
        <f t="shared" si="7"/>
        <v>444</v>
      </c>
      <c r="N56" s="16">
        <f t="shared" si="8"/>
        <v>175</v>
      </c>
      <c r="O56" s="43">
        <f t="shared" si="9"/>
        <v>269</v>
      </c>
    </row>
    <row r="57" spans="1:16" ht="18.75">
      <c r="A57" s="7">
        <v>1</v>
      </c>
      <c r="B57" s="7">
        <v>57</v>
      </c>
      <c r="C57" s="6"/>
      <c r="D57" s="29" t="s">
        <v>95</v>
      </c>
      <c r="F57" s="8">
        <v>0</v>
      </c>
      <c r="G57" s="8">
        <v>0</v>
      </c>
      <c r="H57" s="27" t="s">
        <v>23</v>
      </c>
      <c r="I57" s="9">
        <f t="shared" si="5"/>
        <v>0</v>
      </c>
      <c r="J57" s="8">
        <v>0</v>
      </c>
      <c r="K57" s="8">
        <f t="shared" si="6"/>
        <v>0</v>
      </c>
      <c r="L57" s="44">
        <v>410</v>
      </c>
      <c r="M57" s="42">
        <f t="shared" si="7"/>
        <v>410</v>
      </c>
      <c r="N57" s="16">
        <f t="shared" si="8"/>
        <v>0</v>
      </c>
      <c r="O57" s="43">
        <f t="shared" si="9"/>
        <v>410</v>
      </c>
    </row>
    <row r="58" spans="1:16" ht="18.75">
      <c r="A58" s="7">
        <v>1</v>
      </c>
      <c r="B58" s="7">
        <v>8</v>
      </c>
      <c r="C58" s="6"/>
      <c r="D58" s="29" t="s">
        <v>46</v>
      </c>
      <c r="E58" s="29"/>
      <c r="F58" s="8">
        <v>2</v>
      </c>
      <c r="G58" s="8">
        <v>0</v>
      </c>
      <c r="H58" s="12" t="s">
        <v>35</v>
      </c>
      <c r="I58" s="9">
        <f t="shared" si="5"/>
        <v>200</v>
      </c>
      <c r="J58" s="8">
        <v>0</v>
      </c>
      <c r="K58" s="8">
        <f t="shared" si="6"/>
        <v>200</v>
      </c>
      <c r="L58" s="44">
        <v>150</v>
      </c>
      <c r="M58" s="42">
        <f t="shared" si="7"/>
        <v>350</v>
      </c>
      <c r="N58" s="16">
        <f t="shared" si="8"/>
        <v>175</v>
      </c>
      <c r="O58" s="43">
        <f t="shared" si="9"/>
        <v>175</v>
      </c>
      <c r="P58" s="40"/>
    </row>
    <row r="59" spans="1:16" ht="18.75">
      <c r="A59" s="7">
        <v>1</v>
      </c>
      <c r="B59" s="7">
        <v>27</v>
      </c>
      <c r="C59" s="6"/>
      <c r="D59" s="29" t="s">
        <v>65</v>
      </c>
      <c r="E59" s="32"/>
      <c r="F59" s="8">
        <v>1</v>
      </c>
      <c r="G59" s="8">
        <v>0</v>
      </c>
      <c r="H59" s="12" t="s">
        <v>35</v>
      </c>
      <c r="I59" s="9">
        <f t="shared" si="5"/>
        <v>100</v>
      </c>
      <c r="J59" s="8">
        <v>0</v>
      </c>
      <c r="K59" s="8">
        <f t="shared" si="6"/>
        <v>100</v>
      </c>
      <c r="L59" s="44">
        <v>175</v>
      </c>
      <c r="M59" s="42">
        <f t="shared" si="7"/>
        <v>275</v>
      </c>
      <c r="N59" s="16">
        <f t="shared" si="8"/>
        <v>175</v>
      </c>
      <c r="O59" s="43">
        <f t="shared" si="9"/>
        <v>100</v>
      </c>
    </row>
    <row r="60" spans="1:16" ht="18.75">
      <c r="A60" s="7">
        <v>1</v>
      </c>
      <c r="B60" s="7">
        <v>7</v>
      </c>
      <c r="C60" s="6"/>
      <c r="D60" s="29" t="s">
        <v>45</v>
      </c>
      <c r="E60" s="29"/>
      <c r="F60" s="8">
        <v>0</v>
      </c>
      <c r="G60" s="8">
        <v>0</v>
      </c>
      <c r="H60" s="27" t="s">
        <v>23</v>
      </c>
      <c r="I60" s="9">
        <f t="shared" si="5"/>
        <v>0</v>
      </c>
      <c r="J60" s="8">
        <v>0</v>
      </c>
      <c r="K60" s="8">
        <f t="shared" si="6"/>
        <v>0</v>
      </c>
      <c r="L60" s="44">
        <v>238</v>
      </c>
      <c r="M60" s="42">
        <f t="shared" si="7"/>
        <v>238</v>
      </c>
      <c r="N60" s="16">
        <f t="shared" si="8"/>
        <v>0</v>
      </c>
      <c r="O60" s="43">
        <f t="shared" si="9"/>
        <v>238</v>
      </c>
      <c r="P60" s="40"/>
    </row>
    <row r="61" spans="1:16" ht="18.75">
      <c r="A61" s="7">
        <v>1</v>
      </c>
      <c r="B61" s="7">
        <v>61</v>
      </c>
      <c r="C61" s="6"/>
      <c r="D61" s="29" t="s">
        <v>99</v>
      </c>
      <c r="E61" s="29"/>
      <c r="F61" s="8">
        <v>0</v>
      </c>
      <c r="G61" s="8">
        <v>0</v>
      </c>
      <c r="H61" s="27" t="s">
        <v>23</v>
      </c>
      <c r="I61" s="9">
        <f t="shared" si="5"/>
        <v>0</v>
      </c>
      <c r="J61" s="8">
        <v>0</v>
      </c>
      <c r="K61" s="8">
        <f t="shared" si="6"/>
        <v>0</v>
      </c>
      <c r="L61" s="44">
        <v>225</v>
      </c>
      <c r="M61" s="42">
        <f t="shared" si="7"/>
        <v>225</v>
      </c>
      <c r="N61" s="16">
        <f t="shared" si="8"/>
        <v>0</v>
      </c>
      <c r="O61" s="43">
        <f t="shared" si="9"/>
        <v>225</v>
      </c>
    </row>
    <row r="62" spans="1:16" ht="18.75">
      <c r="A62" s="7">
        <v>1</v>
      </c>
      <c r="B62" s="7">
        <v>34</v>
      </c>
      <c r="C62" s="6"/>
      <c r="D62" s="29" t="s">
        <v>72</v>
      </c>
      <c r="E62" s="29"/>
      <c r="F62" s="8">
        <v>0</v>
      </c>
      <c r="G62" s="8">
        <v>0</v>
      </c>
      <c r="H62" s="27" t="s">
        <v>23</v>
      </c>
      <c r="I62" s="9">
        <f t="shared" si="5"/>
        <v>0</v>
      </c>
      <c r="J62" s="8">
        <v>0</v>
      </c>
      <c r="K62" s="8">
        <f t="shared" si="6"/>
        <v>0</v>
      </c>
      <c r="L62" s="44">
        <v>219</v>
      </c>
      <c r="M62" s="42">
        <f t="shared" si="7"/>
        <v>219</v>
      </c>
      <c r="N62" s="16">
        <f t="shared" si="8"/>
        <v>0</v>
      </c>
      <c r="O62" s="43">
        <f t="shared" si="9"/>
        <v>219</v>
      </c>
    </row>
    <row r="63" spans="1:16" ht="18.75">
      <c r="A63" s="7">
        <v>1</v>
      </c>
      <c r="B63" s="7">
        <v>51</v>
      </c>
      <c r="C63" s="6"/>
      <c r="D63" s="29" t="s">
        <v>89</v>
      </c>
      <c r="E63" s="29"/>
      <c r="F63" s="8">
        <v>2</v>
      </c>
      <c r="G63" s="8">
        <v>0</v>
      </c>
      <c r="H63" s="12" t="s">
        <v>35</v>
      </c>
      <c r="I63" s="9">
        <f t="shared" si="5"/>
        <v>200</v>
      </c>
      <c r="J63" s="8">
        <v>0</v>
      </c>
      <c r="K63" s="8">
        <f t="shared" si="6"/>
        <v>200</v>
      </c>
      <c r="L63" s="44">
        <v>0</v>
      </c>
      <c r="M63" s="42">
        <f t="shared" si="7"/>
        <v>200</v>
      </c>
      <c r="N63" s="16">
        <f t="shared" si="8"/>
        <v>175</v>
      </c>
      <c r="O63" s="43">
        <f t="shared" si="9"/>
        <v>25</v>
      </c>
    </row>
    <row r="64" spans="1:16" ht="18.75">
      <c r="A64" s="7">
        <v>1</v>
      </c>
      <c r="B64" s="7">
        <v>31</v>
      </c>
      <c r="C64" s="6"/>
      <c r="D64" s="29" t="s">
        <v>69</v>
      </c>
      <c r="E64" s="32"/>
      <c r="F64" s="8">
        <v>1</v>
      </c>
      <c r="G64" s="8">
        <v>0</v>
      </c>
      <c r="H64" s="12" t="s">
        <v>35</v>
      </c>
      <c r="I64" s="9">
        <f t="shared" si="5"/>
        <v>100</v>
      </c>
      <c r="J64" s="8">
        <v>0</v>
      </c>
      <c r="K64" s="8">
        <f t="shared" si="6"/>
        <v>100</v>
      </c>
      <c r="L64" s="44">
        <v>100</v>
      </c>
      <c r="M64" s="42">
        <f t="shared" si="7"/>
        <v>200</v>
      </c>
      <c r="N64" s="16">
        <f t="shared" si="8"/>
        <v>175</v>
      </c>
      <c r="O64" s="43">
        <f t="shared" si="9"/>
        <v>25</v>
      </c>
    </row>
    <row r="65" spans="1:15" ht="18.75">
      <c r="A65" s="7">
        <v>1</v>
      </c>
      <c r="B65" s="7">
        <v>60</v>
      </c>
      <c r="C65" s="6"/>
      <c r="D65" s="29" t="s">
        <v>98</v>
      </c>
      <c r="F65" s="8">
        <v>1</v>
      </c>
      <c r="G65" s="8">
        <v>0</v>
      </c>
      <c r="H65" s="12" t="s">
        <v>35</v>
      </c>
      <c r="I65" s="9">
        <f t="shared" si="5"/>
        <v>100</v>
      </c>
      <c r="J65" s="8">
        <v>0</v>
      </c>
      <c r="K65" s="8">
        <f t="shared" si="6"/>
        <v>100</v>
      </c>
      <c r="L65" s="44">
        <v>0</v>
      </c>
      <c r="M65" s="42">
        <f t="shared" si="7"/>
        <v>100</v>
      </c>
      <c r="N65" s="16">
        <f t="shared" si="8"/>
        <v>175</v>
      </c>
      <c r="O65" s="43">
        <f t="shared" si="9"/>
        <v>0</v>
      </c>
    </row>
    <row r="66" spans="1:15" ht="18.75">
      <c r="A66" s="7">
        <v>1</v>
      </c>
      <c r="B66" s="7">
        <v>65</v>
      </c>
      <c r="D66" s="29" t="s">
        <v>105</v>
      </c>
      <c r="F66" s="8">
        <v>0</v>
      </c>
      <c r="G66" s="8">
        <v>0</v>
      </c>
      <c r="H66" s="27" t="s">
        <v>23</v>
      </c>
      <c r="I66" s="9">
        <f t="shared" si="5"/>
        <v>0</v>
      </c>
      <c r="J66" s="8">
        <v>0</v>
      </c>
      <c r="K66" s="8">
        <f t="shared" si="6"/>
        <v>0</v>
      </c>
      <c r="L66" s="44">
        <v>25</v>
      </c>
      <c r="M66" s="42">
        <f t="shared" si="7"/>
        <v>25</v>
      </c>
      <c r="N66" s="16">
        <f t="shared" si="8"/>
        <v>0</v>
      </c>
      <c r="O66" s="43">
        <f t="shared" si="9"/>
        <v>25</v>
      </c>
    </row>
    <row r="67" spans="1:15" ht="18.75">
      <c r="A67" s="7">
        <v>1</v>
      </c>
      <c r="B67" s="7">
        <v>59</v>
      </c>
      <c r="C67" s="6"/>
      <c r="D67" s="29" t="s">
        <v>97</v>
      </c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25</v>
      </c>
      <c r="M67" s="42">
        <f t="shared" si="7"/>
        <v>25</v>
      </c>
      <c r="N67" s="16">
        <f t="shared" si="8"/>
        <v>0</v>
      </c>
      <c r="O67" s="43">
        <f t="shared" si="9"/>
        <v>25</v>
      </c>
    </row>
    <row r="68" spans="1:15" ht="18.75">
      <c r="A68" s="7">
        <v>1</v>
      </c>
      <c r="B68" s="7">
        <v>19</v>
      </c>
      <c r="C68" s="6"/>
      <c r="D68" s="29" t="s">
        <v>57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69" spans="1:15" ht="18.75">
      <c r="A69" s="47">
        <v>1</v>
      </c>
      <c r="B69" s="7">
        <v>48</v>
      </c>
      <c r="C69" s="6"/>
      <c r="D69" s="29" t="s">
        <v>86</v>
      </c>
      <c r="E69" s="29"/>
      <c r="F69" s="8">
        <v>0</v>
      </c>
      <c r="G69" s="8">
        <v>0</v>
      </c>
      <c r="H69" s="27" t="s">
        <v>23</v>
      </c>
      <c r="I69" s="9">
        <f t="shared" si="5"/>
        <v>0</v>
      </c>
      <c r="J69" s="8">
        <v>0</v>
      </c>
      <c r="K69" s="8">
        <f t="shared" ref="K69" si="10">SUM(I69+J69)</f>
        <v>0</v>
      </c>
      <c r="L69" s="44">
        <v>0</v>
      </c>
      <c r="M69" s="42">
        <f t="shared" ref="M69" si="11">L69+K69</f>
        <v>0</v>
      </c>
      <c r="N69" s="16">
        <f t="shared" si="8"/>
        <v>0</v>
      </c>
      <c r="O69" s="43">
        <f t="shared" ref="O69" si="12">IF(M69-N69&gt;0,M69-N69,0)</f>
        <v>0</v>
      </c>
    </row>
  </sheetData>
  <autoFilter ref="A4:P69" xr:uid="{D50916F0-4EB1-4E61-AB8D-B58C4FC21503}">
    <sortState xmlns:xlrd2="http://schemas.microsoft.com/office/spreadsheetml/2017/richdata2" ref="A5:P69">
      <sortCondition descending="1" ref="M4:M68"/>
    </sortState>
  </autoFilter>
  <mergeCells count="4">
    <mergeCell ref="B1:O1"/>
    <mergeCell ref="B2:O2"/>
    <mergeCell ref="B3:E3"/>
    <mergeCell ref="H3:O3"/>
  </mergeCells>
  <conditionalFormatting sqref="F5:G5 G6:G68 F6:F69">
    <cfRule type="cellIs" dxfId="16" priority="2" operator="lessThan">
      <formula>1</formula>
    </cfRule>
  </conditionalFormatting>
  <conditionalFormatting sqref="J5:J69">
    <cfRule type="cellIs" dxfId="15" priority="1" operator="lessThan">
      <formula>1</formula>
    </cfRule>
  </conditionalFormatting>
  <hyperlinks>
    <hyperlink ref="D27" r:id="rId1" xr:uid="{C1DC91F0-83D0-434E-B1C1-171A7FF2A6C3}"/>
  </hyperlinks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4D26-6570-49A9-A11F-C598D307C37B}">
  <dimension ref="A1:Z69"/>
  <sheetViews>
    <sheetView zoomScale="79" zoomScaleNormal="85" workbookViewId="0">
      <selection activeCell="D28" sqref="D28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49" t="str">
        <f>CONCATENATE("5-8，97-104区 欧皇宝宝",R15,"年",R16,"月",R17,"日","分包贡献明细"," 统计：")</f>
        <v>5-8，97-104区 欧皇宝宝2026年1月31日分包贡献明细 统计：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1" t="s">
        <v>103</v>
      </c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54" t="s">
        <v>13</v>
      </c>
      <c r="C3" s="54"/>
      <c r="D3" s="54"/>
      <c r="E3" s="54"/>
      <c r="F3" s="38" t="s">
        <v>12</v>
      </c>
      <c r="G3" s="39" t="s">
        <v>29</v>
      </c>
      <c r="H3" s="55" t="s">
        <v>14</v>
      </c>
      <c r="I3" s="56"/>
      <c r="J3" s="56"/>
      <c r="K3" s="56"/>
      <c r="L3" s="56"/>
      <c r="M3" s="56"/>
      <c r="N3" s="56"/>
      <c r="O3" s="57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21</v>
      </c>
      <c r="C5" s="6"/>
      <c r="D5" s="29" t="s">
        <v>59</v>
      </c>
      <c r="F5" s="8">
        <v>4</v>
      </c>
      <c r="G5" s="8">
        <v>0</v>
      </c>
      <c r="H5" s="10" t="s">
        <v>33</v>
      </c>
      <c r="I5" s="9">
        <f t="shared" ref="I5:I36" si="0">F5*100</f>
        <v>400</v>
      </c>
      <c r="J5" s="8">
        <v>0</v>
      </c>
      <c r="K5" s="8">
        <f t="shared" ref="K5:K36" si="1">SUM(I5+J5)</f>
        <v>400</v>
      </c>
      <c r="L5" s="44">
        <v>473</v>
      </c>
      <c r="M5" s="42">
        <f t="shared" ref="M5:M36" si="2">L5+K5</f>
        <v>873</v>
      </c>
      <c r="N5" s="16">
        <f t="shared" ref="N5:N36" si="3">VLOOKUP(H5,$Q$3:$R$10,2,FALSE)</f>
        <v>312</v>
      </c>
      <c r="O5" s="43">
        <f t="shared" ref="O5:O36" si="4">IF(M5-N5&gt;0,M5-N5,0)</f>
        <v>561</v>
      </c>
      <c r="P5" s="1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17</v>
      </c>
      <c r="C6" s="6"/>
      <c r="D6" s="29" t="s">
        <v>55</v>
      </c>
      <c r="E6" s="29"/>
      <c r="F6" s="8">
        <v>4</v>
      </c>
      <c r="G6" s="8">
        <v>0</v>
      </c>
      <c r="H6" s="10" t="s">
        <v>33</v>
      </c>
      <c r="I6" s="9">
        <f t="shared" si="0"/>
        <v>400</v>
      </c>
      <c r="J6" s="8">
        <v>0</v>
      </c>
      <c r="K6" s="8">
        <f t="shared" si="1"/>
        <v>400</v>
      </c>
      <c r="L6" s="44">
        <v>473</v>
      </c>
      <c r="M6" s="42">
        <f t="shared" si="2"/>
        <v>873</v>
      </c>
      <c r="N6" s="16">
        <f t="shared" si="3"/>
        <v>312</v>
      </c>
      <c r="O6" s="43">
        <f t="shared" si="4"/>
        <v>561</v>
      </c>
      <c r="P6" s="1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10</v>
      </c>
      <c r="C7" s="6"/>
      <c r="D7" s="29" t="s">
        <v>48</v>
      </c>
      <c r="E7" s="31"/>
      <c r="F7" s="8">
        <v>4</v>
      </c>
      <c r="G7" s="8">
        <v>0</v>
      </c>
      <c r="H7" s="10" t="s">
        <v>33</v>
      </c>
      <c r="I7" s="9">
        <f t="shared" si="0"/>
        <v>400</v>
      </c>
      <c r="J7" s="8">
        <v>0</v>
      </c>
      <c r="K7" s="8">
        <f t="shared" si="1"/>
        <v>400</v>
      </c>
      <c r="L7" s="44">
        <v>466</v>
      </c>
      <c r="M7" s="42">
        <f t="shared" si="2"/>
        <v>866</v>
      </c>
      <c r="N7" s="16">
        <f t="shared" si="3"/>
        <v>312</v>
      </c>
      <c r="O7" s="43">
        <f t="shared" si="4"/>
        <v>554</v>
      </c>
      <c r="P7" s="2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11</v>
      </c>
      <c r="C8" s="6"/>
      <c r="D8" s="29" t="s">
        <v>49</v>
      </c>
      <c r="E8" s="29"/>
      <c r="F8" s="8">
        <v>4</v>
      </c>
      <c r="G8" s="8">
        <v>0</v>
      </c>
      <c r="H8" s="10" t="s">
        <v>33</v>
      </c>
      <c r="I8" s="9">
        <f t="shared" si="0"/>
        <v>400</v>
      </c>
      <c r="J8" s="8">
        <v>0</v>
      </c>
      <c r="K8" s="8">
        <f t="shared" si="1"/>
        <v>400</v>
      </c>
      <c r="L8" s="44">
        <v>466</v>
      </c>
      <c r="M8" s="42">
        <f t="shared" si="2"/>
        <v>866</v>
      </c>
      <c r="N8" s="16">
        <f t="shared" si="3"/>
        <v>312</v>
      </c>
      <c r="O8" s="43">
        <f t="shared" si="4"/>
        <v>554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3</v>
      </c>
      <c r="C9" s="6"/>
      <c r="D9" s="29" t="s">
        <v>41</v>
      </c>
      <c r="E9" s="29"/>
      <c r="F9" s="8">
        <v>4</v>
      </c>
      <c r="G9" s="8">
        <v>0</v>
      </c>
      <c r="H9" s="10" t="s">
        <v>33</v>
      </c>
      <c r="I9" s="9">
        <f t="shared" si="0"/>
        <v>400</v>
      </c>
      <c r="J9" s="8">
        <v>0</v>
      </c>
      <c r="K9" s="8">
        <f t="shared" si="1"/>
        <v>400</v>
      </c>
      <c r="L9" s="44">
        <v>466</v>
      </c>
      <c r="M9" s="42">
        <f t="shared" si="2"/>
        <v>866</v>
      </c>
      <c r="N9" s="16">
        <f t="shared" si="3"/>
        <v>312</v>
      </c>
      <c r="O9" s="43">
        <f t="shared" si="4"/>
        <v>554</v>
      </c>
      <c r="P9" s="9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24</v>
      </c>
      <c r="C10" s="6"/>
      <c r="D10" s="29" t="s">
        <v>62</v>
      </c>
      <c r="E10" s="32"/>
      <c r="F10" s="8">
        <v>4</v>
      </c>
      <c r="G10" s="8">
        <v>0</v>
      </c>
      <c r="H10" s="10" t="s">
        <v>33</v>
      </c>
      <c r="I10" s="9">
        <f t="shared" si="0"/>
        <v>400</v>
      </c>
      <c r="J10" s="8">
        <v>0</v>
      </c>
      <c r="K10" s="8">
        <f t="shared" si="1"/>
        <v>400</v>
      </c>
      <c r="L10" s="44">
        <v>466</v>
      </c>
      <c r="M10" s="42">
        <f t="shared" si="2"/>
        <v>866</v>
      </c>
      <c r="N10" s="16">
        <f t="shared" si="3"/>
        <v>312</v>
      </c>
      <c r="O10" s="43">
        <f t="shared" si="4"/>
        <v>554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18</v>
      </c>
      <c r="C11" s="6"/>
      <c r="D11" s="29" t="s">
        <v>56</v>
      </c>
      <c r="E11" s="29"/>
      <c r="F11" s="8">
        <v>4</v>
      </c>
      <c r="G11" s="8">
        <v>0</v>
      </c>
      <c r="H11" s="10" t="s">
        <v>33</v>
      </c>
      <c r="I11" s="9">
        <f t="shared" si="0"/>
        <v>400</v>
      </c>
      <c r="J11" s="8">
        <v>0</v>
      </c>
      <c r="K11" s="8">
        <f t="shared" si="1"/>
        <v>400</v>
      </c>
      <c r="L11" s="44">
        <v>466</v>
      </c>
      <c r="M11" s="42">
        <f t="shared" si="2"/>
        <v>866</v>
      </c>
      <c r="N11" s="16">
        <f t="shared" si="3"/>
        <v>312</v>
      </c>
      <c r="O11" s="43">
        <f t="shared" si="4"/>
        <v>554</v>
      </c>
      <c r="P11" s="1"/>
      <c r="Q11" s="24"/>
    </row>
    <row r="12" spans="1:25" ht="18.75">
      <c r="A12" s="7">
        <v>1</v>
      </c>
      <c r="B12" s="7">
        <v>32</v>
      </c>
      <c r="C12" s="6"/>
      <c r="D12" s="29" t="s">
        <v>70</v>
      </c>
      <c r="E12" s="32"/>
      <c r="F12" s="8">
        <v>4</v>
      </c>
      <c r="G12" s="8">
        <v>0</v>
      </c>
      <c r="H12" s="11" t="s">
        <v>34</v>
      </c>
      <c r="I12" s="9">
        <f t="shared" si="0"/>
        <v>400</v>
      </c>
      <c r="J12" s="8">
        <v>0</v>
      </c>
      <c r="K12" s="8">
        <f t="shared" si="1"/>
        <v>400</v>
      </c>
      <c r="L12" s="44">
        <v>450</v>
      </c>
      <c r="M12" s="42">
        <f t="shared" si="2"/>
        <v>850</v>
      </c>
      <c r="N12" s="16">
        <f t="shared" si="3"/>
        <v>240</v>
      </c>
      <c r="O12" s="43">
        <f t="shared" si="4"/>
        <v>610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12</v>
      </c>
      <c r="C13" s="6"/>
      <c r="D13" s="29" t="s">
        <v>50</v>
      </c>
      <c r="E13" s="29"/>
      <c r="F13" s="8">
        <v>4</v>
      </c>
      <c r="G13" s="8">
        <v>0</v>
      </c>
      <c r="H13" s="11" t="s">
        <v>34</v>
      </c>
      <c r="I13" s="9">
        <f t="shared" si="0"/>
        <v>400</v>
      </c>
      <c r="J13" s="8">
        <v>0</v>
      </c>
      <c r="K13" s="8">
        <f t="shared" si="1"/>
        <v>400</v>
      </c>
      <c r="L13" s="44">
        <v>445</v>
      </c>
      <c r="M13" s="42">
        <f t="shared" si="2"/>
        <v>845</v>
      </c>
      <c r="N13" s="16">
        <f t="shared" si="3"/>
        <v>240</v>
      </c>
      <c r="O13" s="43">
        <f t="shared" si="4"/>
        <v>605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6</v>
      </c>
      <c r="C14" s="6"/>
      <c r="D14" s="29" t="s">
        <v>44</v>
      </c>
      <c r="E14" s="29"/>
      <c r="F14" s="8">
        <v>4</v>
      </c>
      <c r="G14" s="8">
        <v>0</v>
      </c>
      <c r="H14" s="11" t="s">
        <v>34</v>
      </c>
      <c r="I14" s="9">
        <f t="shared" si="0"/>
        <v>400</v>
      </c>
      <c r="J14" s="8">
        <v>0</v>
      </c>
      <c r="K14" s="8">
        <f t="shared" si="1"/>
        <v>400</v>
      </c>
      <c r="L14" s="44">
        <v>438</v>
      </c>
      <c r="M14" s="42">
        <f t="shared" si="2"/>
        <v>838</v>
      </c>
      <c r="N14" s="16">
        <f t="shared" si="3"/>
        <v>240</v>
      </c>
      <c r="O14" s="43">
        <f t="shared" si="4"/>
        <v>598</v>
      </c>
      <c r="P14" s="15"/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2</v>
      </c>
      <c r="C15" s="6"/>
      <c r="D15" s="29" t="s">
        <v>40</v>
      </c>
      <c r="E15" s="29"/>
      <c r="F15" s="8">
        <v>4</v>
      </c>
      <c r="G15" s="8">
        <v>0</v>
      </c>
      <c r="H15" s="11" t="s">
        <v>34</v>
      </c>
      <c r="I15" s="9">
        <f t="shared" si="0"/>
        <v>400</v>
      </c>
      <c r="J15" s="8">
        <v>0</v>
      </c>
      <c r="K15" s="8">
        <f t="shared" si="1"/>
        <v>400</v>
      </c>
      <c r="L15" s="44">
        <v>438</v>
      </c>
      <c r="M15" s="42">
        <f t="shared" si="2"/>
        <v>838</v>
      </c>
      <c r="N15" s="16">
        <f t="shared" si="3"/>
        <v>240</v>
      </c>
      <c r="O15" s="43">
        <f t="shared" si="4"/>
        <v>598</v>
      </c>
      <c r="P15" s="9"/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49</v>
      </c>
      <c r="C16" s="6"/>
      <c r="D16" s="29" t="s">
        <v>87</v>
      </c>
      <c r="E16" s="29"/>
      <c r="F16" s="8">
        <v>4</v>
      </c>
      <c r="G16" s="8">
        <v>0</v>
      </c>
      <c r="H16" s="11" t="s">
        <v>34</v>
      </c>
      <c r="I16" s="9">
        <f t="shared" si="0"/>
        <v>400</v>
      </c>
      <c r="J16" s="8">
        <v>0</v>
      </c>
      <c r="K16" s="8">
        <f t="shared" si="1"/>
        <v>400</v>
      </c>
      <c r="L16" s="44">
        <v>438</v>
      </c>
      <c r="M16" s="42">
        <f t="shared" si="2"/>
        <v>838</v>
      </c>
      <c r="N16" s="16">
        <f t="shared" si="3"/>
        <v>240</v>
      </c>
      <c r="O16" s="43">
        <f t="shared" si="4"/>
        <v>598</v>
      </c>
      <c r="Q16" t="s">
        <v>27</v>
      </c>
      <c r="R16">
        <v>1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52</v>
      </c>
      <c r="C17" s="6"/>
      <c r="D17" s="29" t="s">
        <v>90</v>
      </c>
      <c r="F17" s="8">
        <v>4</v>
      </c>
      <c r="G17" s="8">
        <v>0</v>
      </c>
      <c r="H17" s="11" t="s">
        <v>34</v>
      </c>
      <c r="I17" s="9">
        <f t="shared" si="0"/>
        <v>400</v>
      </c>
      <c r="J17" s="8">
        <v>0</v>
      </c>
      <c r="K17" s="8">
        <f t="shared" si="1"/>
        <v>400</v>
      </c>
      <c r="L17" s="44">
        <v>419</v>
      </c>
      <c r="M17" s="42">
        <f t="shared" si="2"/>
        <v>819</v>
      </c>
      <c r="N17" s="16">
        <f t="shared" si="3"/>
        <v>240</v>
      </c>
      <c r="O17" s="43">
        <f t="shared" si="4"/>
        <v>579</v>
      </c>
      <c r="Q17" t="s">
        <v>28</v>
      </c>
      <c r="R17">
        <v>31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44</v>
      </c>
      <c r="C18" s="6"/>
      <c r="D18" s="29" t="s">
        <v>82</v>
      </c>
      <c r="E18" s="29"/>
      <c r="F18" s="8">
        <v>4</v>
      </c>
      <c r="G18" s="8">
        <v>0</v>
      </c>
      <c r="H18" s="11" t="s">
        <v>34</v>
      </c>
      <c r="I18" s="9">
        <f t="shared" si="0"/>
        <v>400</v>
      </c>
      <c r="J18" s="8">
        <v>0</v>
      </c>
      <c r="K18" s="8">
        <f t="shared" si="1"/>
        <v>400</v>
      </c>
      <c r="L18" s="44">
        <v>419</v>
      </c>
      <c r="M18" s="42">
        <f t="shared" si="2"/>
        <v>819</v>
      </c>
      <c r="N18" s="16">
        <f t="shared" si="3"/>
        <v>240</v>
      </c>
      <c r="O18" s="43">
        <f t="shared" si="4"/>
        <v>579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43</v>
      </c>
      <c r="C19" s="6"/>
      <c r="D19" s="29" t="s">
        <v>81</v>
      </c>
      <c r="E19" s="31"/>
      <c r="F19" s="8">
        <v>4</v>
      </c>
      <c r="G19" s="8">
        <v>0</v>
      </c>
      <c r="H19" s="12" t="s">
        <v>35</v>
      </c>
      <c r="I19" s="9">
        <f t="shared" si="0"/>
        <v>400</v>
      </c>
      <c r="J19" s="8">
        <v>0</v>
      </c>
      <c r="K19" s="8">
        <f t="shared" si="1"/>
        <v>400</v>
      </c>
      <c r="L19" s="44">
        <v>419</v>
      </c>
      <c r="M19" s="42">
        <f t="shared" si="2"/>
        <v>819</v>
      </c>
      <c r="N19" s="16">
        <f t="shared" si="3"/>
        <v>175</v>
      </c>
      <c r="O19" s="43">
        <f t="shared" si="4"/>
        <v>644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4</v>
      </c>
      <c r="C20" s="6"/>
      <c r="D20" s="29" t="s">
        <v>42</v>
      </c>
      <c r="E20" s="29"/>
      <c r="F20" s="8">
        <v>4</v>
      </c>
      <c r="G20" s="8">
        <v>0</v>
      </c>
      <c r="H20" s="12" t="s">
        <v>35</v>
      </c>
      <c r="I20" s="9">
        <f t="shared" si="0"/>
        <v>400</v>
      </c>
      <c r="J20" s="8">
        <v>0</v>
      </c>
      <c r="K20" s="8">
        <f t="shared" si="1"/>
        <v>400</v>
      </c>
      <c r="L20" s="44">
        <v>419</v>
      </c>
      <c r="M20" s="42">
        <f t="shared" si="2"/>
        <v>819</v>
      </c>
      <c r="N20" s="16">
        <f t="shared" si="3"/>
        <v>175</v>
      </c>
      <c r="O20" s="43">
        <f t="shared" si="4"/>
        <v>644</v>
      </c>
      <c r="P20" s="9"/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23</v>
      </c>
      <c r="C21" s="6"/>
      <c r="D21" s="29" t="s">
        <v>61</v>
      </c>
      <c r="E21" s="32"/>
      <c r="F21" s="8">
        <v>4</v>
      </c>
      <c r="G21" s="8">
        <v>0</v>
      </c>
      <c r="H21" s="12" t="s">
        <v>35</v>
      </c>
      <c r="I21" s="9">
        <f t="shared" si="0"/>
        <v>400</v>
      </c>
      <c r="J21" s="8">
        <v>0</v>
      </c>
      <c r="K21" s="8">
        <f t="shared" si="1"/>
        <v>400</v>
      </c>
      <c r="L21" s="44">
        <v>419</v>
      </c>
      <c r="M21" s="42">
        <f t="shared" si="2"/>
        <v>819</v>
      </c>
      <c r="N21" s="16">
        <f t="shared" si="3"/>
        <v>175</v>
      </c>
      <c r="O21" s="43">
        <f t="shared" si="4"/>
        <v>644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35</v>
      </c>
      <c r="C22" s="6"/>
      <c r="D22" s="29" t="s">
        <v>73</v>
      </c>
      <c r="E22" s="29"/>
      <c r="F22" s="8">
        <v>4</v>
      </c>
      <c r="G22" s="8">
        <v>0</v>
      </c>
      <c r="H22" s="12" t="s">
        <v>35</v>
      </c>
      <c r="I22" s="9">
        <f t="shared" si="0"/>
        <v>400</v>
      </c>
      <c r="J22" s="8">
        <v>0</v>
      </c>
      <c r="K22" s="8">
        <f t="shared" si="1"/>
        <v>400</v>
      </c>
      <c r="L22" s="44">
        <v>410</v>
      </c>
      <c r="M22" s="42">
        <f t="shared" si="2"/>
        <v>810</v>
      </c>
      <c r="N22" s="16">
        <f t="shared" si="3"/>
        <v>175</v>
      </c>
      <c r="O22" s="43">
        <f t="shared" si="4"/>
        <v>635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56</v>
      </c>
      <c r="C23" s="6"/>
      <c r="D23" s="29" t="s">
        <v>94</v>
      </c>
      <c r="E23" s="29"/>
      <c r="F23" s="8">
        <v>4</v>
      </c>
      <c r="G23" s="8">
        <v>0</v>
      </c>
      <c r="H23" s="12" t="s">
        <v>35</v>
      </c>
      <c r="I23" s="9">
        <f t="shared" si="0"/>
        <v>400</v>
      </c>
      <c r="J23" s="8">
        <v>0</v>
      </c>
      <c r="K23" s="8">
        <f t="shared" si="1"/>
        <v>400</v>
      </c>
      <c r="L23" s="44">
        <v>410</v>
      </c>
      <c r="M23" s="42">
        <f t="shared" si="2"/>
        <v>810</v>
      </c>
      <c r="N23" s="16">
        <f t="shared" si="3"/>
        <v>175</v>
      </c>
      <c r="O23" s="43">
        <f t="shared" si="4"/>
        <v>635</v>
      </c>
      <c r="P23" s="1"/>
    </row>
    <row r="24" spans="1:26" ht="18.75">
      <c r="A24" s="7">
        <v>1</v>
      </c>
      <c r="B24" s="7">
        <v>9</v>
      </c>
      <c r="C24" s="6"/>
      <c r="D24" s="29" t="s">
        <v>47</v>
      </c>
      <c r="E24" s="33"/>
      <c r="F24" s="8">
        <v>4</v>
      </c>
      <c r="G24" s="8">
        <v>0</v>
      </c>
      <c r="H24" s="12" t="s">
        <v>35</v>
      </c>
      <c r="I24" s="9">
        <f t="shared" si="0"/>
        <v>400</v>
      </c>
      <c r="J24" s="8">
        <v>0</v>
      </c>
      <c r="K24" s="8">
        <f t="shared" si="1"/>
        <v>400</v>
      </c>
      <c r="L24" s="44">
        <v>410</v>
      </c>
      <c r="M24" s="42">
        <f t="shared" si="2"/>
        <v>810</v>
      </c>
      <c r="N24" s="16">
        <f t="shared" si="3"/>
        <v>175</v>
      </c>
      <c r="O24" s="43">
        <f t="shared" si="4"/>
        <v>635</v>
      </c>
      <c r="P24" s="21"/>
    </row>
    <row r="25" spans="1:26" ht="18.75">
      <c r="A25" s="7">
        <v>1</v>
      </c>
      <c r="B25" s="7">
        <v>30</v>
      </c>
      <c r="C25" s="6"/>
      <c r="D25" s="29" t="s">
        <v>68</v>
      </c>
      <c r="E25" s="32"/>
      <c r="F25" s="8">
        <v>4</v>
      </c>
      <c r="G25" s="8">
        <v>0</v>
      </c>
      <c r="H25" s="12" t="s">
        <v>35</v>
      </c>
      <c r="I25" s="9">
        <f t="shared" si="0"/>
        <v>400</v>
      </c>
      <c r="J25" s="8">
        <v>0</v>
      </c>
      <c r="K25" s="8">
        <f t="shared" si="1"/>
        <v>400</v>
      </c>
      <c r="L25" s="44">
        <v>403</v>
      </c>
      <c r="M25" s="42">
        <f t="shared" si="2"/>
        <v>803</v>
      </c>
      <c r="N25" s="16">
        <f t="shared" si="3"/>
        <v>175</v>
      </c>
      <c r="O25" s="43">
        <f t="shared" si="4"/>
        <v>628</v>
      </c>
      <c r="P25" s="1"/>
    </row>
    <row r="26" spans="1:26" ht="18.75" customHeight="1">
      <c r="A26" s="7">
        <v>1</v>
      </c>
      <c r="B26" s="7">
        <v>46</v>
      </c>
      <c r="C26" s="6"/>
      <c r="D26" s="29" t="s">
        <v>84</v>
      </c>
      <c r="E26" s="29"/>
      <c r="F26" s="8">
        <v>4</v>
      </c>
      <c r="G26" s="8">
        <v>0</v>
      </c>
      <c r="H26" s="12" t="s">
        <v>35</v>
      </c>
      <c r="I26" s="9">
        <f t="shared" si="0"/>
        <v>400</v>
      </c>
      <c r="J26" s="8">
        <v>0</v>
      </c>
      <c r="K26" s="8">
        <f t="shared" si="1"/>
        <v>400</v>
      </c>
      <c r="L26" s="44">
        <v>401</v>
      </c>
      <c r="M26" s="42">
        <f t="shared" si="2"/>
        <v>801</v>
      </c>
      <c r="N26" s="16">
        <f t="shared" si="3"/>
        <v>175</v>
      </c>
      <c r="O26" s="43">
        <f t="shared" si="4"/>
        <v>626</v>
      </c>
      <c r="P26" s="1"/>
    </row>
    <row r="27" spans="1:26" ht="18.75">
      <c r="A27" s="7">
        <v>1</v>
      </c>
      <c r="B27" s="7">
        <v>62</v>
      </c>
      <c r="C27" s="6"/>
      <c r="D27" s="29" t="s">
        <v>100</v>
      </c>
      <c r="E27" s="29"/>
      <c r="F27" s="8">
        <v>4</v>
      </c>
      <c r="G27" s="8">
        <v>0</v>
      </c>
      <c r="H27" s="12" t="s">
        <v>35</v>
      </c>
      <c r="I27" s="9">
        <f t="shared" si="0"/>
        <v>400</v>
      </c>
      <c r="J27" s="8">
        <v>0</v>
      </c>
      <c r="K27" s="8">
        <f t="shared" si="1"/>
        <v>400</v>
      </c>
      <c r="L27" s="44">
        <v>401</v>
      </c>
      <c r="M27" s="42">
        <f t="shared" si="2"/>
        <v>801</v>
      </c>
      <c r="N27" s="16">
        <f t="shared" si="3"/>
        <v>175</v>
      </c>
      <c r="O27" s="43">
        <f t="shared" si="4"/>
        <v>626</v>
      </c>
      <c r="P27" s="1"/>
    </row>
    <row r="28" spans="1:26" ht="18.75">
      <c r="A28" s="7">
        <v>1</v>
      </c>
      <c r="B28" s="7">
        <v>55</v>
      </c>
      <c r="C28" s="6"/>
      <c r="D28" s="29" t="s">
        <v>106</v>
      </c>
      <c r="F28" s="8">
        <v>4</v>
      </c>
      <c r="G28" s="8">
        <v>0</v>
      </c>
      <c r="H28" s="12" t="s">
        <v>35</v>
      </c>
      <c r="I28" s="9">
        <f t="shared" si="0"/>
        <v>400</v>
      </c>
      <c r="J28" s="8">
        <v>0</v>
      </c>
      <c r="K28" s="8">
        <f t="shared" si="1"/>
        <v>400</v>
      </c>
      <c r="L28" s="44">
        <v>401</v>
      </c>
      <c r="M28" s="42">
        <f t="shared" si="2"/>
        <v>801</v>
      </c>
      <c r="N28" s="16">
        <f t="shared" si="3"/>
        <v>175</v>
      </c>
      <c r="O28" s="43">
        <f t="shared" si="4"/>
        <v>626</v>
      </c>
      <c r="P28" s="1"/>
    </row>
    <row r="29" spans="1:26" s="1" customFormat="1" ht="18.75">
      <c r="A29" s="7">
        <v>1</v>
      </c>
      <c r="B29" s="7">
        <v>45</v>
      </c>
      <c r="C29" s="6"/>
      <c r="D29" s="29" t="s">
        <v>83</v>
      </c>
      <c r="E29" s="29"/>
      <c r="F29" s="8">
        <v>4</v>
      </c>
      <c r="G29" s="8">
        <v>0</v>
      </c>
      <c r="H29" s="12" t="s">
        <v>35</v>
      </c>
      <c r="I29" s="9">
        <f t="shared" si="0"/>
        <v>400</v>
      </c>
      <c r="J29" s="8">
        <v>0</v>
      </c>
      <c r="K29" s="8">
        <f t="shared" si="1"/>
        <v>400</v>
      </c>
      <c r="L29" s="44">
        <v>382</v>
      </c>
      <c r="M29" s="42">
        <f t="shared" si="2"/>
        <v>782</v>
      </c>
      <c r="N29" s="16">
        <f t="shared" si="3"/>
        <v>175</v>
      </c>
      <c r="O29" s="43">
        <f t="shared" si="4"/>
        <v>607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1</v>
      </c>
      <c r="C30" s="6"/>
      <c r="D30" s="29" t="s">
        <v>39</v>
      </c>
      <c r="E30" s="29"/>
      <c r="F30" s="8">
        <v>4</v>
      </c>
      <c r="G30" s="8">
        <v>0</v>
      </c>
      <c r="H30" s="12" t="s">
        <v>35</v>
      </c>
      <c r="I30" s="9">
        <f t="shared" si="0"/>
        <v>400</v>
      </c>
      <c r="J30" s="8">
        <v>0</v>
      </c>
      <c r="K30" s="8">
        <f t="shared" si="1"/>
        <v>400</v>
      </c>
      <c r="L30" s="44">
        <v>382</v>
      </c>
      <c r="M30" s="42">
        <f t="shared" si="2"/>
        <v>782</v>
      </c>
      <c r="N30" s="16">
        <f t="shared" si="3"/>
        <v>175</v>
      </c>
      <c r="O30" s="43">
        <f t="shared" si="4"/>
        <v>607</v>
      </c>
      <c r="P30" s="9"/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36</v>
      </c>
      <c r="C31" s="6"/>
      <c r="D31" s="29" t="s">
        <v>74</v>
      </c>
      <c r="E31" s="29"/>
      <c r="F31" s="8">
        <v>4</v>
      </c>
      <c r="G31" s="8">
        <v>0</v>
      </c>
      <c r="H31" s="12" t="s">
        <v>35</v>
      </c>
      <c r="I31" s="9">
        <f t="shared" si="0"/>
        <v>400</v>
      </c>
      <c r="J31" s="8">
        <v>0</v>
      </c>
      <c r="K31" s="8">
        <f t="shared" si="1"/>
        <v>400</v>
      </c>
      <c r="L31" s="44">
        <v>382</v>
      </c>
      <c r="M31" s="42">
        <f t="shared" si="2"/>
        <v>782</v>
      </c>
      <c r="N31" s="16">
        <f t="shared" si="3"/>
        <v>175</v>
      </c>
      <c r="O31" s="43">
        <f t="shared" si="4"/>
        <v>607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63</v>
      </c>
      <c r="C32" s="6"/>
      <c r="D32" s="29" t="s">
        <v>101</v>
      </c>
      <c r="F32" s="8">
        <v>4</v>
      </c>
      <c r="G32" s="8">
        <v>0</v>
      </c>
      <c r="H32" s="12" t="s">
        <v>35</v>
      </c>
      <c r="I32" s="9">
        <f t="shared" si="0"/>
        <v>400</v>
      </c>
      <c r="J32" s="8">
        <v>0</v>
      </c>
      <c r="K32" s="8">
        <f t="shared" si="1"/>
        <v>400</v>
      </c>
      <c r="L32" s="44">
        <v>375</v>
      </c>
      <c r="M32" s="42">
        <f t="shared" si="2"/>
        <v>775</v>
      </c>
      <c r="N32" s="16">
        <f t="shared" si="3"/>
        <v>175</v>
      </c>
      <c r="O32" s="43">
        <f t="shared" si="4"/>
        <v>600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40</v>
      </c>
      <c r="C33" s="6"/>
      <c r="D33" s="30" t="s">
        <v>78</v>
      </c>
      <c r="F33" s="8">
        <v>3</v>
      </c>
      <c r="G33" s="8">
        <v>0</v>
      </c>
      <c r="H33" s="12" t="s">
        <v>35</v>
      </c>
      <c r="I33" s="9">
        <f t="shared" si="0"/>
        <v>300</v>
      </c>
      <c r="J33" s="8">
        <v>0</v>
      </c>
      <c r="K33" s="8">
        <f t="shared" si="1"/>
        <v>300</v>
      </c>
      <c r="L33" s="44">
        <v>466</v>
      </c>
      <c r="M33" s="42">
        <f t="shared" si="2"/>
        <v>766</v>
      </c>
      <c r="N33" s="16">
        <f t="shared" si="3"/>
        <v>175</v>
      </c>
      <c r="O33" s="43">
        <f t="shared" si="4"/>
        <v>591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5</v>
      </c>
      <c r="C34" s="6"/>
      <c r="D34" s="29" t="s">
        <v>43</v>
      </c>
      <c r="E34" s="29"/>
      <c r="F34" s="8">
        <v>3</v>
      </c>
      <c r="G34" s="8">
        <v>0</v>
      </c>
      <c r="H34" s="12" t="s">
        <v>35</v>
      </c>
      <c r="I34" s="9">
        <f t="shared" si="0"/>
        <v>300</v>
      </c>
      <c r="J34" s="8">
        <v>0</v>
      </c>
      <c r="K34" s="8">
        <f t="shared" si="1"/>
        <v>300</v>
      </c>
      <c r="L34" s="44">
        <v>466</v>
      </c>
      <c r="M34" s="42">
        <f t="shared" si="2"/>
        <v>766</v>
      </c>
      <c r="N34" s="16">
        <f t="shared" si="3"/>
        <v>175</v>
      </c>
      <c r="O34" s="43">
        <f t="shared" si="4"/>
        <v>591</v>
      </c>
      <c r="P34" s="21"/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22</v>
      </c>
      <c r="C35" s="6"/>
      <c r="D35" s="29" t="s">
        <v>60</v>
      </c>
      <c r="E35" s="32"/>
      <c r="F35" s="8">
        <v>4</v>
      </c>
      <c r="G35" s="8">
        <v>0</v>
      </c>
      <c r="H35" s="12" t="s">
        <v>35</v>
      </c>
      <c r="I35" s="9">
        <f t="shared" si="0"/>
        <v>400</v>
      </c>
      <c r="J35" s="8">
        <v>0</v>
      </c>
      <c r="K35" s="8">
        <f t="shared" si="1"/>
        <v>400</v>
      </c>
      <c r="L35" s="44">
        <v>345</v>
      </c>
      <c r="M35" s="42">
        <f t="shared" si="2"/>
        <v>745</v>
      </c>
      <c r="N35" s="16">
        <f t="shared" si="3"/>
        <v>175</v>
      </c>
      <c r="O35" s="43">
        <f t="shared" si="4"/>
        <v>570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14</v>
      </c>
      <c r="C36" s="6"/>
      <c r="D36" s="29" t="s">
        <v>52</v>
      </c>
      <c r="E36" s="29"/>
      <c r="F36" s="8">
        <v>3</v>
      </c>
      <c r="G36" s="8">
        <v>0</v>
      </c>
      <c r="H36" s="12" t="s">
        <v>35</v>
      </c>
      <c r="I36" s="9">
        <f t="shared" si="0"/>
        <v>300</v>
      </c>
      <c r="J36" s="8">
        <v>0</v>
      </c>
      <c r="K36" s="8">
        <f t="shared" si="1"/>
        <v>300</v>
      </c>
      <c r="L36" s="44">
        <v>445</v>
      </c>
      <c r="M36" s="42">
        <f t="shared" si="2"/>
        <v>745</v>
      </c>
      <c r="N36" s="16">
        <f t="shared" si="3"/>
        <v>175</v>
      </c>
      <c r="O36" s="43">
        <f t="shared" si="4"/>
        <v>570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29</v>
      </c>
      <c r="C37" s="6"/>
      <c r="D37" s="29" t="s">
        <v>67</v>
      </c>
      <c r="E37" s="32"/>
      <c r="F37" s="8">
        <v>4</v>
      </c>
      <c r="G37" s="8">
        <v>0</v>
      </c>
      <c r="H37" s="12" t="s">
        <v>35</v>
      </c>
      <c r="I37" s="9">
        <f t="shared" ref="I37:I69" si="5">F37*100</f>
        <v>400</v>
      </c>
      <c r="J37" s="8">
        <v>0</v>
      </c>
      <c r="K37" s="8">
        <f t="shared" ref="K37:K68" si="6">SUM(I37+J37)</f>
        <v>400</v>
      </c>
      <c r="L37" s="44">
        <v>319</v>
      </c>
      <c r="M37" s="42">
        <f t="shared" ref="M37:M68" si="7">L37+K37</f>
        <v>719</v>
      </c>
      <c r="N37" s="16">
        <f t="shared" ref="N37:N69" si="8">VLOOKUP(H37,$Q$3:$R$10,2,FALSE)</f>
        <v>175</v>
      </c>
      <c r="O37" s="43">
        <f t="shared" ref="O37:O68" si="9">IF(M37-N37&gt;0,M37-N37,0)</f>
        <v>544</v>
      </c>
      <c r="P37" s="1"/>
    </row>
    <row r="38" spans="1:26" s="1" customFormat="1" ht="18.75">
      <c r="A38" s="7">
        <v>1</v>
      </c>
      <c r="B38" s="7">
        <v>42</v>
      </c>
      <c r="C38" s="6"/>
      <c r="D38" s="29" t="s">
        <v>80</v>
      </c>
      <c r="E38" s="32"/>
      <c r="F38" s="8">
        <v>3</v>
      </c>
      <c r="G38" s="8">
        <v>0</v>
      </c>
      <c r="H38" s="12" t="s">
        <v>35</v>
      </c>
      <c r="I38" s="9">
        <f t="shared" si="5"/>
        <v>300</v>
      </c>
      <c r="J38" s="8">
        <v>0</v>
      </c>
      <c r="K38" s="8">
        <f t="shared" si="6"/>
        <v>300</v>
      </c>
      <c r="L38" s="44">
        <v>419</v>
      </c>
      <c r="M38" s="42">
        <f t="shared" si="7"/>
        <v>719</v>
      </c>
      <c r="N38" s="16">
        <f t="shared" si="8"/>
        <v>175</v>
      </c>
      <c r="O38" s="43">
        <f t="shared" si="9"/>
        <v>544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53</v>
      </c>
      <c r="C39" s="6"/>
      <c r="D39" s="29" t="s">
        <v>91</v>
      </c>
      <c r="E39" s="29"/>
      <c r="F39" s="8">
        <v>3</v>
      </c>
      <c r="G39" s="8">
        <v>0</v>
      </c>
      <c r="H39" s="12" t="s">
        <v>35</v>
      </c>
      <c r="I39" s="9">
        <f t="shared" si="5"/>
        <v>300</v>
      </c>
      <c r="J39" s="8">
        <v>0</v>
      </c>
      <c r="K39" s="8">
        <f t="shared" si="6"/>
        <v>300</v>
      </c>
      <c r="L39" s="44">
        <v>410</v>
      </c>
      <c r="M39" s="42">
        <f t="shared" si="7"/>
        <v>710</v>
      </c>
      <c r="N39" s="16">
        <f t="shared" si="8"/>
        <v>175</v>
      </c>
      <c r="O39" s="43">
        <f t="shared" si="9"/>
        <v>535</v>
      </c>
      <c r="P39" s="1"/>
    </row>
    <row r="40" spans="1:26" ht="18.75">
      <c r="A40" s="7">
        <v>1</v>
      </c>
      <c r="B40" s="7">
        <v>16</v>
      </c>
      <c r="C40" s="6"/>
      <c r="D40" s="29" t="s">
        <v>54</v>
      </c>
      <c r="E40" s="32"/>
      <c r="F40" s="8">
        <v>3</v>
      </c>
      <c r="G40" s="8">
        <v>0</v>
      </c>
      <c r="H40" s="12" t="s">
        <v>35</v>
      </c>
      <c r="I40" s="9">
        <f t="shared" si="5"/>
        <v>300</v>
      </c>
      <c r="J40" s="8">
        <v>0</v>
      </c>
      <c r="K40" s="8">
        <f t="shared" si="6"/>
        <v>300</v>
      </c>
      <c r="L40" s="44">
        <v>410</v>
      </c>
      <c r="M40" s="42">
        <f t="shared" si="7"/>
        <v>710</v>
      </c>
      <c r="N40" s="16">
        <f t="shared" si="8"/>
        <v>175</v>
      </c>
      <c r="O40" s="43">
        <f t="shared" si="9"/>
        <v>535</v>
      </c>
      <c r="P40" s="1"/>
    </row>
    <row r="41" spans="1:26" ht="18.75">
      <c r="A41" s="7">
        <v>1</v>
      </c>
      <c r="B41" s="7">
        <v>20</v>
      </c>
      <c r="C41" s="6"/>
      <c r="D41" s="29" t="s">
        <v>58</v>
      </c>
      <c r="E41" s="32"/>
      <c r="F41" s="8">
        <v>3</v>
      </c>
      <c r="G41" s="8">
        <v>0</v>
      </c>
      <c r="H41" s="12" t="s">
        <v>35</v>
      </c>
      <c r="I41" s="9">
        <f t="shared" si="5"/>
        <v>300</v>
      </c>
      <c r="J41" s="8">
        <v>0</v>
      </c>
      <c r="K41" s="8">
        <f t="shared" si="6"/>
        <v>300</v>
      </c>
      <c r="L41" s="44">
        <v>410</v>
      </c>
      <c r="M41" s="42">
        <f t="shared" si="7"/>
        <v>710</v>
      </c>
      <c r="N41" s="16">
        <f t="shared" si="8"/>
        <v>175</v>
      </c>
      <c r="O41" s="43">
        <f t="shared" si="9"/>
        <v>535</v>
      </c>
      <c r="P41" s="1"/>
    </row>
    <row r="42" spans="1:26" ht="18.75">
      <c r="A42" s="7">
        <v>1</v>
      </c>
      <c r="B42" s="7">
        <v>28</v>
      </c>
      <c r="C42" s="6"/>
      <c r="D42" s="29" t="s">
        <v>66</v>
      </c>
      <c r="E42" s="32"/>
      <c r="F42" s="8">
        <v>4</v>
      </c>
      <c r="G42" s="8">
        <v>0</v>
      </c>
      <c r="H42" s="12" t="s">
        <v>35</v>
      </c>
      <c r="I42" s="9">
        <f t="shared" si="5"/>
        <v>400</v>
      </c>
      <c r="J42" s="8">
        <v>0</v>
      </c>
      <c r="K42" s="8">
        <f t="shared" si="6"/>
        <v>400</v>
      </c>
      <c r="L42" s="44">
        <v>303</v>
      </c>
      <c r="M42" s="42">
        <f t="shared" si="7"/>
        <v>703</v>
      </c>
      <c r="N42" s="16">
        <f t="shared" si="8"/>
        <v>175</v>
      </c>
      <c r="O42" s="43">
        <f t="shared" si="9"/>
        <v>528</v>
      </c>
      <c r="P42" s="1"/>
    </row>
    <row r="43" spans="1:26" ht="18.75">
      <c r="A43" s="7">
        <v>1</v>
      </c>
      <c r="B43" s="7">
        <v>58</v>
      </c>
      <c r="C43" s="6"/>
      <c r="D43" s="29" t="s">
        <v>96</v>
      </c>
      <c r="F43" s="8">
        <v>4</v>
      </c>
      <c r="G43" s="8">
        <v>0</v>
      </c>
      <c r="H43" s="12" t="s">
        <v>35</v>
      </c>
      <c r="I43" s="9">
        <f t="shared" si="5"/>
        <v>400</v>
      </c>
      <c r="J43" s="8">
        <v>0</v>
      </c>
      <c r="K43" s="8">
        <f t="shared" si="6"/>
        <v>400</v>
      </c>
      <c r="L43" s="44">
        <v>303</v>
      </c>
      <c r="M43" s="42">
        <f t="shared" si="7"/>
        <v>703</v>
      </c>
      <c r="N43" s="16">
        <f t="shared" si="8"/>
        <v>175</v>
      </c>
      <c r="O43" s="43">
        <f t="shared" si="9"/>
        <v>528</v>
      </c>
      <c r="P43" s="1"/>
    </row>
    <row r="44" spans="1:26" ht="18.75">
      <c r="A44" s="7">
        <v>1</v>
      </c>
      <c r="B44" s="7">
        <v>13</v>
      </c>
      <c r="C44" s="6"/>
      <c r="D44" s="29" t="s">
        <v>51</v>
      </c>
      <c r="E44" s="29"/>
      <c r="F44" s="8">
        <v>3</v>
      </c>
      <c r="G44" s="8">
        <v>0</v>
      </c>
      <c r="H44" s="12" t="s">
        <v>35</v>
      </c>
      <c r="I44" s="9">
        <f t="shared" si="5"/>
        <v>300</v>
      </c>
      <c r="J44" s="8">
        <v>0</v>
      </c>
      <c r="K44" s="8">
        <f t="shared" si="6"/>
        <v>300</v>
      </c>
      <c r="L44" s="44">
        <v>389</v>
      </c>
      <c r="M44" s="42">
        <f t="shared" si="7"/>
        <v>689</v>
      </c>
      <c r="N44" s="16">
        <f t="shared" si="8"/>
        <v>175</v>
      </c>
      <c r="O44" s="43">
        <f t="shared" si="9"/>
        <v>514</v>
      </c>
      <c r="P44" s="1"/>
    </row>
    <row r="45" spans="1:26" ht="18.75">
      <c r="A45" s="7">
        <v>1</v>
      </c>
      <c r="B45" s="7">
        <v>37</v>
      </c>
      <c r="C45" s="6"/>
      <c r="D45" s="29" t="s">
        <v>75</v>
      </c>
      <c r="F45" s="8">
        <v>3</v>
      </c>
      <c r="G45" s="8">
        <v>0</v>
      </c>
      <c r="H45" s="12" t="s">
        <v>35</v>
      </c>
      <c r="I45" s="9">
        <f t="shared" si="5"/>
        <v>300</v>
      </c>
      <c r="J45" s="8">
        <v>0</v>
      </c>
      <c r="K45" s="8">
        <f t="shared" si="6"/>
        <v>300</v>
      </c>
      <c r="L45" s="44">
        <v>382</v>
      </c>
      <c r="M45" s="42">
        <f t="shared" si="7"/>
        <v>682</v>
      </c>
      <c r="N45" s="16">
        <f t="shared" si="8"/>
        <v>175</v>
      </c>
      <c r="O45" s="43">
        <f t="shared" si="9"/>
        <v>507</v>
      </c>
      <c r="P45" s="1"/>
    </row>
    <row r="46" spans="1:26" ht="18.75">
      <c r="A46" s="7">
        <v>1</v>
      </c>
      <c r="B46" s="7">
        <v>50</v>
      </c>
      <c r="C46" s="6"/>
      <c r="D46" s="29" t="s">
        <v>88</v>
      </c>
      <c r="E46" s="29"/>
      <c r="F46" s="8">
        <v>4</v>
      </c>
      <c r="G46" s="8">
        <v>0</v>
      </c>
      <c r="H46" s="12" t="s">
        <v>35</v>
      </c>
      <c r="I46" s="9">
        <f t="shared" si="5"/>
        <v>400</v>
      </c>
      <c r="J46" s="8">
        <v>0</v>
      </c>
      <c r="K46" s="8">
        <f t="shared" si="6"/>
        <v>400</v>
      </c>
      <c r="L46" s="44">
        <v>275</v>
      </c>
      <c r="M46" s="42">
        <f t="shared" si="7"/>
        <v>675</v>
      </c>
      <c r="N46" s="16">
        <f t="shared" si="8"/>
        <v>175</v>
      </c>
      <c r="O46" s="43">
        <f t="shared" si="9"/>
        <v>500</v>
      </c>
      <c r="P46" s="1"/>
    </row>
    <row r="47" spans="1:26" ht="18.75">
      <c r="A47" s="7">
        <v>1</v>
      </c>
      <c r="B47" s="7">
        <v>39</v>
      </c>
      <c r="C47" s="6"/>
      <c r="D47" s="29" t="s">
        <v>77</v>
      </c>
      <c r="E47" s="29"/>
      <c r="F47" s="8">
        <v>4</v>
      </c>
      <c r="G47" s="8">
        <v>0</v>
      </c>
      <c r="H47" s="12" t="s">
        <v>35</v>
      </c>
      <c r="I47" s="9">
        <f t="shared" si="5"/>
        <v>400</v>
      </c>
      <c r="J47" s="8">
        <v>0</v>
      </c>
      <c r="K47" s="8">
        <f t="shared" si="6"/>
        <v>400</v>
      </c>
      <c r="L47" s="44">
        <v>225</v>
      </c>
      <c r="M47" s="42">
        <f t="shared" si="7"/>
        <v>625</v>
      </c>
      <c r="N47" s="16">
        <f t="shared" si="8"/>
        <v>175</v>
      </c>
      <c r="O47" s="43">
        <f t="shared" si="9"/>
        <v>450</v>
      </c>
      <c r="P47" s="1"/>
    </row>
    <row r="48" spans="1:26" ht="18.75">
      <c r="A48" s="7">
        <v>1</v>
      </c>
      <c r="B48" s="7">
        <v>47</v>
      </c>
      <c r="C48" s="6"/>
      <c r="D48" s="29" t="s">
        <v>85</v>
      </c>
      <c r="E48" s="29"/>
      <c r="F48" s="8">
        <v>4</v>
      </c>
      <c r="G48" s="8">
        <v>0</v>
      </c>
      <c r="H48" s="12" t="s">
        <v>35</v>
      </c>
      <c r="I48" s="9">
        <f t="shared" si="5"/>
        <v>400</v>
      </c>
      <c r="J48" s="8">
        <v>0</v>
      </c>
      <c r="K48" s="8">
        <f t="shared" si="6"/>
        <v>400</v>
      </c>
      <c r="L48" s="44">
        <v>225</v>
      </c>
      <c r="M48" s="42">
        <f t="shared" si="7"/>
        <v>625</v>
      </c>
      <c r="N48" s="16">
        <f t="shared" si="8"/>
        <v>175</v>
      </c>
      <c r="O48" s="43">
        <f t="shared" si="9"/>
        <v>450</v>
      </c>
    </row>
    <row r="49" spans="1:16" ht="18.75">
      <c r="A49" s="7">
        <v>1</v>
      </c>
      <c r="B49" s="7">
        <v>33</v>
      </c>
      <c r="C49" s="6"/>
      <c r="D49" s="29" t="s">
        <v>71</v>
      </c>
      <c r="E49" s="29"/>
      <c r="F49" s="8">
        <v>2</v>
      </c>
      <c r="G49" s="8">
        <v>0</v>
      </c>
      <c r="H49" s="12" t="s">
        <v>35</v>
      </c>
      <c r="I49" s="9">
        <f t="shared" si="5"/>
        <v>200</v>
      </c>
      <c r="J49" s="8">
        <v>0</v>
      </c>
      <c r="K49" s="8">
        <f t="shared" si="6"/>
        <v>200</v>
      </c>
      <c r="L49" s="44">
        <v>403</v>
      </c>
      <c r="M49" s="42">
        <f t="shared" si="7"/>
        <v>603</v>
      </c>
      <c r="N49" s="16">
        <f t="shared" si="8"/>
        <v>175</v>
      </c>
      <c r="O49" s="43">
        <f t="shared" si="9"/>
        <v>428</v>
      </c>
    </row>
    <row r="50" spans="1:16" ht="18.75">
      <c r="A50" s="7">
        <v>1</v>
      </c>
      <c r="B50" s="7">
        <v>41</v>
      </c>
      <c r="C50" s="6"/>
      <c r="D50" s="29" t="s">
        <v>79</v>
      </c>
      <c r="E50" s="32"/>
      <c r="F50" s="8">
        <v>2</v>
      </c>
      <c r="G50" s="8">
        <v>0</v>
      </c>
      <c r="H50" s="12" t="s">
        <v>35</v>
      </c>
      <c r="I50" s="9">
        <f t="shared" si="5"/>
        <v>200</v>
      </c>
      <c r="J50" s="8">
        <v>0</v>
      </c>
      <c r="K50" s="8">
        <f t="shared" si="6"/>
        <v>200</v>
      </c>
      <c r="L50" s="44">
        <v>401</v>
      </c>
      <c r="M50" s="42">
        <f t="shared" si="7"/>
        <v>601</v>
      </c>
      <c r="N50" s="16">
        <f t="shared" si="8"/>
        <v>175</v>
      </c>
      <c r="O50" s="43">
        <f t="shared" si="9"/>
        <v>426</v>
      </c>
    </row>
    <row r="51" spans="1:16" ht="18.75">
      <c r="A51" s="7">
        <v>1</v>
      </c>
      <c r="B51" s="7">
        <v>15</v>
      </c>
      <c r="C51" s="6"/>
      <c r="D51" s="29" t="s">
        <v>53</v>
      </c>
      <c r="E51" s="29"/>
      <c r="F51" s="8">
        <v>4</v>
      </c>
      <c r="G51" s="8">
        <v>0</v>
      </c>
      <c r="H51" s="12" t="s">
        <v>35</v>
      </c>
      <c r="I51" s="9">
        <f t="shared" si="5"/>
        <v>400</v>
      </c>
      <c r="J51" s="8">
        <v>0</v>
      </c>
      <c r="K51" s="8">
        <f t="shared" si="6"/>
        <v>400</v>
      </c>
      <c r="L51" s="44">
        <v>175</v>
      </c>
      <c r="M51" s="42">
        <f t="shared" si="7"/>
        <v>575</v>
      </c>
      <c r="N51" s="16">
        <f t="shared" si="8"/>
        <v>175</v>
      </c>
      <c r="O51" s="43">
        <f t="shared" si="9"/>
        <v>400</v>
      </c>
    </row>
    <row r="52" spans="1:16" ht="18.75">
      <c r="A52" s="7">
        <v>1</v>
      </c>
      <c r="B52" s="7">
        <v>25</v>
      </c>
      <c r="C52" s="6"/>
      <c r="D52" s="29" t="s">
        <v>63</v>
      </c>
      <c r="E52" s="32"/>
      <c r="F52" s="8">
        <v>2</v>
      </c>
      <c r="G52" s="8">
        <v>0</v>
      </c>
      <c r="H52" s="12" t="s">
        <v>35</v>
      </c>
      <c r="I52" s="9">
        <f t="shared" si="5"/>
        <v>200</v>
      </c>
      <c r="J52" s="8">
        <v>0</v>
      </c>
      <c r="K52" s="8">
        <f t="shared" si="6"/>
        <v>200</v>
      </c>
      <c r="L52" s="44">
        <v>350</v>
      </c>
      <c r="M52" s="42">
        <f t="shared" si="7"/>
        <v>550</v>
      </c>
      <c r="N52" s="16">
        <f t="shared" si="8"/>
        <v>175</v>
      </c>
      <c r="O52" s="43">
        <f t="shared" si="9"/>
        <v>375</v>
      </c>
    </row>
    <row r="53" spans="1:16" ht="18.75">
      <c r="A53" s="7">
        <v>1</v>
      </c>
      <c r="B53" s="7">
        <v>64</v>
      </c>
      <c r="C53" s="6"/>
      <c r="D53" s="29" t="s">
        <v>102</v>
      </c>
      <c r="E53" s="29"/>
      <c r="F53" s="8">
        <v>3</v>
      </c>
      <c r="G53" s="8">
        <v>0</v>
      </c>
      <c r="H53" s="12" t="s">
        <v>35</v>
      </c>
      <c r="I53" s="9">
        <f t="shared" si="5"/>
        <v>300</v>
      </c>
      <c r="J53" s="8">
        <v>0</v>
      </c>
      <c r="K53" s="8">
        <f t="shared" si="6"/>
        <v>300</v>
      </c>
      <c r="L53" s="44">
        <v>219</v>
      </c>
      <c r="M53" s="42">
        <f t="shared" si="7"/>
        <v>519</v>
      </c>
      <c r="N53" s="16">
        <f t="shared" si="8"/>
        <v>175</v>
      </c>
      <c r="O53" s="43">
        <f t="shared" si="9"/>
        <v>344</v>
      </c>
    </row>
    <row r="54" spans="1:16" ht="18.75">
      <c r="A54" s="7">
        <v>1</v>
      </c>
      <c r="B54" s="7">
        <v>26</v>
      </c>
      <c r="C54" s="6"/>
      <c r="D54" s="29" t="s">
        <v>64</v>
      </c>
      <c r="E54" s="32"/>
      <c r="F54" s="8">
        <v>2</v>
      </c>
      <c r="G54" s="8">
        <v>0</v>
      </c>
      <c r="H54" s="12" t="s">
        <v>35</v>
      </c>
      <c r="I54" s="9">
        <f t="shared" si="5"/>
        <v>200</v>
      </c>
      <c r="J54" s="8">
        <v>0</v>
      </c>
      <c r="K54" s="8">
        <f t="shared" si="6"/>
        <v>200</v>
      </c>
      <c r="L54" s="44">
        <v>319</v>
      </c>
      <c r="M54" s="42">
        <f t="shared" si="7"/>
        <v>519</v>
      </c>
      <c r="N54" s="16">
        <f t="shared" si="8"/>
        <v>175</v>
      </c>
      <c r="O54" s="43">
        <f t="shared" si="9"/>
        <v>344</v>
      </c>
    </row>
    <row r="55" spans="1:16" ht="18.75">
      <c r="A55" s="7">
        <v>1</v>
      </c>
      <c r="B55" s="7">
        <v>38</v>
      </c>
      <c r="C55" s="6"/>
      <c r="D55" s="29" t="s">
        <v>76</v>
      </c>
      <c r="E55" s="29"/>
      <c r="F55" s="8">
        <v>2</v>
      </c>
      <c r="G55" s="8">
        <v>0</v>
      </c>
      <c r="H55" s="12" t="s">
        <v>35</v>
      </c>
      <c r="I55" s="9">
        <f t="shared" si="5"/>
        <v>200</v>
      </c>
      <c r="J55" s="8">
        <v>0</v>
      </c>
      <c r="K55" s="8">
        <f t="shared" si="6"/>
        <v>200</v>
      </c>
      <c r="L55" s="44">
        <v>275</v>
      </c>
      <c r="M55" s="42">
        <f t="shared" si="7"/>
        <v>475</v>
      </c>
      <c r="N55" s="16">
        <f t="shared" si="8"/>
        <v>175</v>
      </c>
      <c r="O55" s="43">
        <f t="shared" si="9"/>
        <v>300</v>
      </c>
    </row>
    <row r="56" spans="1:16" ht="18.75">
      <c r="A56" s="7">
        <v>1</v>
      </c>
      <c r="B56" s="7">
        <v>57</v>
      </c>
      <c r="C56" s="6"/>
      <c r="D56" s="29" t="s">
        <v>95</v>
      </c>
      <c r="F56" s="8">
        <v>0</v>
      </c>
      <c r="G56" s="8">
        <v>0</v>
      </c>
      <c r="H56" s="27" t="s">
        <v>23</v>
      </c>
      <c r="I56" s="9">
        <f t="shared" si="5"/>
        <v>0</v>
      </c>
      <c r="J56" s="8">
        <v>0</v>
      </c>
      <c r="K56" s="8">
        <f t="shared" si="6"/>
        <v>0</v>
      </c>
      <c r="L56" s="44">
        <v>410</v>
      </c>
      <c r="M56" s="42">
        <f t="shared" si="7"/>
        <v>410</v>
      </c>
      <c r="N56" s="16">
        <f t="shared" si="8"/>
        <v>0</v>
      </c>
      <c r="O56" s="43">
        <f t="shared" si="9"/>
        <v>410</v>
      </c>
    </row>
    <row r="57" spans="1:16" ht="18.75">
      <c r="A57" s="7">
        <v>1</v>
      </c>
      <c r="B57" s="7">
        <v>54</v>
      </c>
      <c r="C57" s="6"/>
      <c r="D57" s="29" t="s">
        <v>92</v>
      </c>
      <c r="F57" s="8">
        <v>3</v>
      </c>
      <c r="G57" s="8">
        <v>0</v>
      </c>
      <c r="H57" s="12" t="s">
        <v>35</v>
      </c>
      <c r="I57" s="9">
        <f t="shared" si="5"/>
        <v>300</v>
      </c>
      <c r="J57" s="8">
        <v>0</v>
      </c>
      <c r="K57" s="8">
        <f t="shared" si="6"/>
        <v>300</v>
      </c>
      <c r="L57" s="44">
        <v>75</v>
      </c>
      <c r="M57" s="42">
        <f t="shared" si="7"/>
        <v>375</v>
      </c>
      <c r="N57" s="16">
        <f t="shared" si="8"/>
        <v>175</v>
      </c>
      <c r="O57" s="43">
        <f t="shared" si="9"/>
        <v>200</v>
      </c>
    </row>
    <row r="58" spans="1:16" ht="18.75">
      <c r="A58" s="7">
        <v>1</v>
      </c>
      <c r="B58" s="7">
        <v>8</v>
      </c>
      <c r="C58" s="6"/>
      <c r="D58" s="29" t="s">
        <v>46</v>
      </c>
      <c r="E58" s="29"/>
      <c r="F58" s="8">
        <v>2</v>
      </c>
      <c r="G58" s="8">
        <v>0</v>
      </c>
      <c r="H58" s="12" t="s">
        <v>35</v>
      </c>
      <c r="I58" s="9">
        <f t="shared" si="5"/>
        <v>200</v>
      </c>
      <c r="J58" s="8">
        <v>0</v>
      </c>
      <c r="K58" s="8">
        <f t="shared" si="6"/>
        <v>200</v>
      </c>
      <c r="L58" s="44">
        <v>125</v>
      </c>
      <c r="M58" s="42">
        <f t="shared" si="7"/>
        <v>325</v>
      </c>
      <c r="N58" s="16">
        <f t="shared" si="8"/>
        <v>175</v>
      </c>
      <c r="O58" s="43">
        <f t="shared" si="9"/>
        <v>150</v>
      </c>
      <c r="P58" s="40"/>
    </row>
    <row r="59" spans="1:16" ht="18.75">
      <c r="A59" s="7">
        <v>1</v>
      </c>
      <c r="B59" s="7">
        <v>31</v>
      </c>
      <c r="C59" s="6"/>
      <c r="D59" s="29" t="s">
        <v>69</v>
      </c>
      <c r="E59" s="32"/>
      <c r="F59" s="8">
        <v>1</v>
      </c>
      <c r="G59" s="8">
        <v>0</v>
      </c>
      <c r="H59" s="12" t="s">
        <v>35</v>
      </c>
      <c r="I59" s="9">
        <f t="shared" si="5"/>
        <v>100</v>
      </c>
      <c r="J59" s="8">
        <v>0</v>
      </c>
      <c r="K59" s="8">
        <f t="shared" si="6"/>
        <v>100</v>
      </c>
      <c r="L59" s="44">
        <v>175</v>
      </c>
      <c r="M59" s="42">
        <f t="shared" si="7"/>
        <v>275</v>
      </c>
      <c r="N59" s="16">
        <f t="shared" si="8"/>
        <v>175</v>
      </c>
      <c r="O59" s="43">
        <f t="shared" si="9"/>
        <v>100</v>
      </c>
    </row>
    <row r="60" spans="1:16" ht="18.75">
      <c r="A60" s="7">
        <v>1</v>
      </c>
      <c r="B60" s="7">
        <v>7</v>
      </c>
      <c r="C60" s="6"/>
      <c r="D60" s="29" t="s">
        <v>45</v>
      </c>
      <c r="E60" s="29"/>
      <c r="F60" s="8">
        <v>0</v>
      </c>
      <c r="G60" s="8">
        <v>0</v>
      </c>
      <c r="H60" s="27" t="s">
        <v>23</v>
      </c>
      <c r="I60" s="9">
        <f t="shared" si="5"/>
        <v>0</v>
      </c>
      <c r="J60" s="8">
        <v>0</v>
      </c>
      <c r="K60" s="8">
        <f t="shared" si="6"/>
        <v>0</v>
      </c>
      <c r="L60" s="44">
        <v>238</v>
      </c>
      <c r="M60" s="42">
        <f t="shared" si="7"/>
        <v>238</v>
      </c>
      <c r="N60" s="16">
        <f t="shared" si="8"/>
        <v>0</v>
      </c>
      <c r="O60" s="43">
        <f t="shared" si="9"/>
        <v>238</v>
      </c>
      <c r="P60" s="40"/>
    </row>
    <row r="61" spans="1:16" ht="18.75">
      <c r="A61" s="7">
        <v>1</v>
      </c>
      <c r="B61" s="7">
        <v>61</v>
      </c>
      <c r="C61" s="6"/>
      <c r="D61" s="29" t="s">
        <v>99</v>
      </c>
      <c r="E61" s="29"/>
      <c r="F61" s="8">
        <v>0</v>
      </c>
      <c r="G61" s="8">
        <v>0</v>
      </c>
      <c r="H61" s="27" t="s">
        <v>23</v>
      </c>
      <c r="I61" s="9">
        <f t="shared" si="5"/>
        <v>0</v>
      </c>
      <c r="J61" s="8">
        <v>0</v>
      </c>
      <c r="K61" s="8">
        <f t="shared" si="6"/>
        <v>0</v>
      </c>
      <c r="L61" s="44">
        <v>225</v>
      </c>
      <c r="M61" s="42">
        <f t="shared" si="7"/>
        <v>225</v>
      </c>
      <c r="N61" s="16">
        <f t="shared" si="8"/>
        <v>0</v>
      </c>
      <c r="O61" s="43">
        <f t="shared" si="9"/>
        <v>225</v>
      </c>
    </row>
    <row r="62" spans="1:16" ht="18.75">
      <c r="A62" s="7">
        <v>1</v>
      </c>
      <c r="B62" s="7">
        <v>34</v>
      </c>
      <c r="C62" s="6"/>
      <c r="D62" s="29" t="s">
        <v>72</v>
      </c>
      <c r="E62" s="29"/>
      <c r="F62" s="8">
        <v>0</v>
      </c>
      <c r="G62" s="8">
        <v>0</v>
      </c>
      <c r="H62" s="27" t="s">
        <v>23</v>
      </c>
      <c r="I62" s="9">
        <f t="shared" si="5"/>
        <v>0</v>
      </c>
      <c r="J62" s="8">
        <v>0</v>
      </c>
      <c r="K62" s="8">
        <f t="shared" si="6"/>
        <v>0</v>
      </c>
      <c r="L62" s="44">
        <v>219</v>
      </c>
      <c r="M62" s="42">
        <f t="shared" si="7"/>
        <v>219</v>
      </c>
      <c r="N62" s="16">
        <f t="shared" si="8"/>
        <v>0</v>
      </c>
      <c r="O62" s="43">
        <f t="shared" si="9"/>
        <v>219</v>
      </c>
    </row>
    <row r="63" spans="1:16" ht="18.75">
      <c r="A63" s="7">
        <v>1</v>
      </c>
      <c r="B63" s="7">
        <v>27</v>
      </c>
      <c r="C63" s="6"/>
      <c r="D63" s="29" t="s">
        <v>65</v>
      </c>
      <c r="E63" s="32"/>
      <c r="F63" s="8">
        <v>0</v>
      </c>
      <c r="G63" s="8">
        <v>0</v>
      </c>
      <c r="H63" s="27" t="s">
        <v>23</v>
      </c>
      <c r="I63" s="9">
        <f t="shared" si="5"/>
        <v>0</v>
      </c>
      <c r="J63" s="8">
        <v>0</v>
      </c>
      <c r="K63" s="8">
        <f t="shared" si="6"/>
        <v>0</v>
      </c>
      <c r="L63" s="44">
        <v>175</v>
      </c>
      <c r="M63" s="42">
        <f t="shared" si="7"/>
        <v>175</v>
      </c>
      <c r="N63" s="16">
        <f t="shared" si="8"/>
        <v>0</v>
      </c>
      <c r="O63" s="43">
        <f t="shared" si="9"/>
        <v>175</v>
      </c>
    </row>
    <row r="64" spans="1:16" ht="18.75">
      <c r="A64" s="7">
        <v>1</v>
      </c>
      <c r="B64" s="7">
        <v>60</v>
      </c>
      <c r="C64" s="6"/>
      <c r="D64" s="29" t="s">
        <v>98</v>
      </c>
      <c r="F64" s="8">
        <v>1</v>
      </c>
      <c r="G64" s="8">
        <v>0</v>
      </c>
      <c r="H64" s="12" t="s">
        <v>35</v>
      </c>
      <c r="I64" s="9">
        <f t="shared" si="5"/>
        <v>100</v>
      </c>
      <c r="J64" s="8">
        <v>0</v>
      </c>
      <c r="K64" s="8">
        <f t="shared" si="6"/>
        <v>100</v>
      </c>
      <c r="L64" s="44">
        <v>25</v>
      </c>
      <c r="M64" s="42">
        <f t="shared" si="7"/>
        <v>125</v>
      </c>
      <c r="N64" s="16">
        <f t="shared" si="8"/>
        <v>175</v>
      </c>
      <c r="O64" s="43">
        <f t="shared" si="9"/>
        <v>0</v>
      </c>
    </row>
    <row r="65" spans="1:15" ht="18.75">
      <c r="A65" s="7">
        <v>1</v>
      </c>
      <c r="B65" s="7">
        <v>51</v>
      </c>
      <c r="C65" s="6"/>
      <c r="D65" s="29" t="s">
        <v>89</v>
      </c>
      <c r="E65" s="29"/>
      <c r="F65" s="8">
        <v>1</v>
      </c>
      <c r="G65" s="8">
        <v>0</v>
      </c>
      <c r="H65" s="12" t="s">
        <v>35</v>
      </c>
      <c r="I65" s="9">
        <f t="shared" si="5"/>
        <v>100</v>
      </c>
      <c r="J65" s="8">
        <v>0</v>
      </c>
      <c r="K65" s="8">
        <f t="shared" si="6"/>
        <v>100</v>
      </c>
      <c r="L65" s="44">
        <v>25</v>
      </c>
      <c r="M65" s="42">
        <f t="shared" si="7"/>
        <v>125</v>
      </c>
      <c r="N65" s="16">
        <f t="shared" si="8"/>
        <v>175</v>
      </c>
      <c r="O65" s="43">
        <f t="shared" si="9"/>
        <v>0</v>
      </c>
    </row>
    <row r="66" spans="1:15" ht="18.75">
      <c r="A66" s="7">
        <v>1</v>
      </c>
      <c r="B66" s="7">
        <v>65</v>
      </c>
      <c r="D66" s="29" t="s">
        <v>105</v>
      </c>
      <c r="F66" s="8">
        <v>0</v>
      </c>
      <c r="G66" s="8">
        <v>0</v>
      </c>
      <c r="H66" s="27" t="s">
        <v>23</v>
      </c>
      <c r="I66" s="9">
        <f t="shared" si="5"/>
        <v>0</v>
      </c>
      <c r="J66" s="8">
        <v>0</v>
      </c>
      <c r="K66" s="8">
        <f t="shared" si="6"/>
        <v>0</v>
      </c>
      <c r="L66" s="44">
        <v>25</v>
      </c>
      <c r="M66" s="42">
        <f t="shared" si="7"/>
        <v>25</v>
      </c>
      <c r="N66" s="16">
        <f t="shared" si="8"/>
        <v>0</v>
      </c>
      <c r="O66" s="43">
        <f t="shared" si="9"/>
        <v>25</v>
      </c>
    </row>
    <row r="67" spans="1:15" ht="18.75">
      <c r="A67" s="7">
        <v>1</v>
      </c>
      <c r="B67" s="7">
        <v>59</v>
      </c>
      <c r="C67" s="6"/>
      <c r="D67" s="29" t="s">
        <v>97</v>
      </c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25</v>
      </c>
      <c r="M67" s="42">
        <f t="shared" si="7"/>
        <v>25</v>
      </c>
      <c r="N67" s="16">
        <f t="shared" si="8"/>
        <v>0</v>
      </c>
      <c r="O67" s="43">
        <f t="shared" si="9"/>
        <v>25</v>
      </c>
    </row>
    <row r="68" spans="1:15" ht="18.75">
      <c r="A68" s="7">
        <v>1</v>
      </c>
      <c r="B68" s="7">
        <v>19</v>
      </c>
      <c r="C68" s="6"/>
      <c r="D68" s="29" t="s">
        <v>57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69" spans="1:15" ht="18.75">
      <c r="A69" s="47">
        <v>1</v>
      </c>
      <c r="B69" s="7">
        <v>48</v>
      </c>
      <c r="C69" s="6"/>
      <c r="D69" s="29" t="s">
        <v>86</v>
      </c>
      <c r="E69" s="29"/>
      <c r="F69" s="8">
        <v>0</v>
      </c>
      <c r="G69" s="8">
        <v>0</v>
      </c>
      <c r="H69" s="27" t="s">
        <v>23</v>
      </c>
      <c r="I69" s="9">
        <f t="shared" si="5"/>
        <v>0</v>
      </c>
      <c r="J69" s="8">
        <v>0</v>
      </c>
      <c r="K69" s="8">
        <f t="shared" ref="K69" si="10">SUM(I69+J69)</f>
        <v>0</v>
      </c>
      <c r="L69" s="44">
        <v>0</v>
      </c>
      <c r="M69" s="42">
        <f t="shared" ref="M69" si="11">L69+K69</f>
        <v>0</v>
      </c>
      <c r="N69" s="16">
        <f t="shared" si="8"/>
        <v>0</v>
      </c>
      <c r="O69" s="43">
        <f t="shared" ref="O69" si="12">IF(M69-N69&gt;0,M69-N69,0)</f>
        <v>0</v>
      </c>
    </row>
  </sheetData>
  <autoFilter ref="A4:P68" xr:uid="{D50916F0-4EB1-4E61-AB8D-B58C4FC21503}">
    <sortState xmlns:xlrd2="http://schemas.microsoft.com/office/spreadsheetml/2017/richdata2" ref="A5:P69">
      <sortCondition descending="1" ref="M4:M68"/>
    </sortState>
  </autoFilter>
  <mergeCells count="4">
    <mergeCell ref="B1:O1"/>
    <mergeCell ref="B2:O2"/>
    <mergeCell ref="B3:E3"/>
    <mergeCell ref="H3:O3"/>
  </mergeCells>
  <conditionalFormatting sqref="F5:G66 G67:G68 F67:F69">
    <cfRule type="cellIs" dxfId="14" priority="2" operator="lessThan">
      <formula>1</formula>
    </cfRule>
  </conditionalFormatting>
  <conditionalFormatting sqref="J5:J69">
    <cfRule type="cellIs" dxfId="13" priority="1" operator="lessThan">
      <formula>1</formula>
    </cfRule>
  </conditionalFormatting>
  <hyperlinks>
    <hyperlink ref="D6" r:id="rId1" xr:uid="{90F1E699-B68A-4516-BEF2-9AA95F1D635D}"/>
  </hyperlinks>
  <pageMargins left="0.7" right="0.7" top="0.75" bottom="0.75" header="0.3" footer="0.3"/>
  <pageSetup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D9AB-29A8-4131-90FE-68005134710E}">
  <dimension ref="A1:Z74"/>
  <sheetViews>
    <sheetView topLeftCell="A2" zoomScale="79" zoomScaleNormal="85" workbookViewId="0">
      <selection activeCell="H19" sqref="H19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49" t="str">
        <f>CONCATENATE("5-8，97-104区 欧皇宝宝",R15,"年",R16,"月",R17,"日","分包贡献明细"," 统计：")</f>
        <v>5-8，97-104区 欧皇宝宝2026年1月17日分包贡献明细 统计：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1" t="s">
        <v>103</v>
      </c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54" t="s">
        <v>13</v>
      </c>
      <c r="C3" s="54"/>
      <c r="D3" s="54"/>
      <c r="E3" s="54"/>
      <c r="F3" s="38" t="s">
        <v>12</v>
      </c>
      <c r="G3" s="39" t="s">
        <v>29</v>
      </c>
      <c r="H3" s="55" t="s">
        <v>14</v>
      </c>
      <c r="I3" s="56"/>
      <c r="J3" s="56"/>
      <c r="K3" s="56"/>
      <c r="L3" s="56"/>
      <c r="M3" s="56"/>
      <c r="N3" s="56"/>
      <c r="O3" s="57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46</v>
      </c>
      <c r="C5" s="6"/>
      <c r="D5" s="29" t="s">
        <v>84</v>
      </c>
      <c r="E5" s="29"/>
      <c r="F5" s="8">
        <v>4</v>
      </c>
      <c r="G5" s="8">
        <v>0</v>
      </c>
      <c r="H5" s="10" t="s">
        <v>33</v>
      </c>
      <c r="I5" s="9">
        <f t="shared" ref="I5:I36" si="0">F5*100</f>
        <v>400</v>
      </c>
      <c r="J5" s="8">
        <v>0</v>
      </c>
      <c r="K5" s="8">
        <f t="shared" ref="K5:K36" si="1">SUM(I5+J5)</f>
        <v>400</v>
      </c>
      <c r="L5" s="44">
        <v>313</v>
      </c>
      <c r="M5" s="42">
        <f t="shared" ref="M5:M36" si="2">L5+K5</f>
        <v>713</v>
      </c>
      <c r="N5" s="16">
        <f t="shared" ref="N5:N36" si="3">VLOOKUP(H5,$Q$3:$R$10,2,FALSE)</f>
        <v>312</v>
      </c>
      <c r="O5" s="43">
        <f t="shared" ref="O5:O36" si="4">IF(M5-N5&gt;0,M5-N5,0)</f>
        <v>401</v>
      </c>
      <c r="P5" s="1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55</v>
      </c>
      <c r="C6" s="6"/>
      <c r="D6" s="29" t="s">
        <v>106</v>
      </c>
      <c r="F6" s="8">
        <v>4</v>
      </c>
      <c r="G6" s="8">
        <v>0</v>
      </c>
      <c r="H6" s="10" t="s">
        <v>33</v>
      </c>
      <c r="I6" s="9">
        <f t="shared" si="0"/>
        <v>400</v>
      </c>
      <c r="J6" s="8">
        <v>0</v>
      </c>
      <c r="K6" s="8">
        <f t="shared" si="1"/>
        <v>400</v>
      </c>
      <c r="L6" s="44">
        <v>313</v>
      </c>
      <c r="M6" s="42">
        <f t="shared" si="2"/>
        <v>713</v>
      </c>
      <c r="N6" s="16">
        <f t="shared" si="3"/>
        <v>312</v>
      </c>
      <c r="O6" s="43">
        <f t="shared" si="4"/>
        <v>401</v>
      </c>
      <c r="P6" s="1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41</v>
      </c>
      <c r="C7" s="6"/>
      <c r="D7" s="29" t="s">
        <v>79</v>
      </c>
      <c r="E7" s="32"/>
      <c r="F7" s="8">
        <v>4</v>
      </c>
      <c r="G7" s="8">
        <v>0</v>
      </c>
      <c r="H7" s="10" t="s">
        <v>33</v>
      </c>
      <c r="I7" s="9">
        <f t="shared" si="0"/>
        <v>400</v>
      </c>
      <c r="J7" s="8">
        <v>0</v>
      </c>
      <c r="K7" s="8">
        <f t="shared" si="1"/>
        <v>400</v>
      </c>
      <c r="L7" s="44">
        <v>313</v>
      </c>
      <c r="M7" s="42">
        <f t="shared" si="2"/>
        <v>713</v>
      </c>
      <c r="N7" s="16">
        <f t="shared" si="3"/>
        <v>312</v>
      </c>
      <c r="O7" s="43">
        <f t="shared" si="4"/>
        <v>401</v>
      </c>
      <c r="P7" s="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62</v>
      </c>
      <c r="C8" s="6"/>
      <c r="D8" s="29" t="s">
        <v>100</v>
      </c>
      <c r="E8" s="29"/>
      <c r="F8" s="8">
        <v>4</v>
      </c>
      <c r="G8" s="8">
        <v>0</v>
      </c>
      <c r="H8" s="10" t="s">
        <v>33</v>
      </c>
      <c r="I8" s="9">
        <f t="shared" si="0"/>
        <v>400</v>
      </c>
      <c r="J8" s="8">
        <v>0</v>
      </c>
      <c r="K8" s="8">
        <f t="shared" si="1"/>
        <v>400</v>
      </c>
      <c r="L8" s="44">
        <v>313</v>
      </c>
      <c r="M8" s="42">
        <f t="shared" si="2"/>
        <v>713</v>
      </c>
      <c r="N8" s="16">
        <f t="shared" si="3"/>
        <v>312</v>
      </c>
      <c r="O8" s="43">
        <f t="shared" si="4"/>
        <v>401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37</v>
      </c>
      <c r="C9" s="6"/>
      <c r="D9" s="29" t="s">
        <v>75</v>
      </c>
      <c r="F9" s="8">
        <v>4</v>
      </c>
      <c r="G9" s="8">
        <v>0</v>
      </c>
      <c r="H9" s="10" t="s">
        <v>33</v>
      </c>
      <c r="I9" s="9">
        <f t="shared" si="0"/>
        <v>400</v>
      </c>
      <c r="J9" s="8">
        <v>0</v>
      </c>
      <c r="K9" s="8">
        <f t="shared" si="1"/>
        <v>400</v>
      </c>
      <c r="L9" s="44">
        <v>294</v>
      </c>
      <c r="M9" s="42">
        <f t="shared" si="2"/>
        <v>694</v>
      </c>
      <c r="N9" s="16">
        <f t="shared" si="3"/>
        <v>312</v>
      </c>
      <c r="O9" s="43">
        <f t="shared" si="4"/>
        <v>382</v>
      </c>
      <c r="P9" s="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45</v>
      </c>
      <c r="C10" s="6"/>
      <c r="D10" s="29" t="s">
        <v>83</v>
      </c>
      <c r="E10" s="29"/>
      <c r="F10" s="8">
        <v>4</v>
      </c>
      <c r="G10" s="8">
        <v>0</v>
      </c>
      <c r="H10" s="10" t="s">
        <v>33</v>
      </c>
      <c r="I10" s="9">
        <f t="shared" si="0"/>
        <v>400</v>
      </c>
      <c r="J10" s="8">
        <v>0</v>
      </c>
      <c r="K10" s="8">
        <f t="shared" si="1"/>
        <v>400</v>
      </c>
      <c r="L10" s="44">
        <v>294</v>
      </c>
      <c r="M10" s="42">
        <f t="shared" si="2"/>
        <v>694</v>
      </c>
      <c r="N10" s="16">
        <f t="shared" si="3"/>
        <v>312</v>
      </c>
      <c r="O10" s="43">
        <f t="shared" si="4"/>
        <v>382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36</v>
      </c>
      <c r="C11" s="6"/>
      <c r="D11" s="29" t="s">
        <v>74</v>
      </c>
      <c r="E11" s="29"/>
      <c r="F11" s="8">
        <v>4</v>
      </c>
      <c r="G11" s="8">
        <v>0</v>
      </c>
      <c r="H11" s="10" t="s">
        <v>33</v>
      </c>
      <c r="I11" s="9">
        <f t="shared" si="0"/>
        <v>400</v>
      </c>
      <c r="J11" s="8">
        <v>0</v>
      </c>
      <c r="K11" s="8">
        <f t="shared" si="1"/>
        <v>400</v>
      </c>
      <c r="L11" s="44">
        <v>294</v>
      </c>
      <c r="M11" s="42">
        <f t="shared" si="2"/>
        <v>694</v>
      </c>
      <c r="N11" s="16">
        <f t="shared" si="3"/>
        <v>312</v>
      </c>
      <c r="O11" s="43">
        <f t="shared" si="4"/>
        <v>382</v>
      </c>
      <c r="P11" s="1"/>
      <c r="Q11" s="24"/>
    </row>
    <row r="12" spans="1:25" ht="18.75">
      <c r="A12" s="7">
        <v>1</v>
      </c>
      <c r="B12" s="7">
        <v>12</v>
      </c>
      <c r="C12" s="6"/>
      <c r="D12" s="29" t="s">
        <v>50</v>
      </c>
      <c r="E12" s="29"/>
      <c r="F12" s="8">
        <v>4</v>
      </c>
      <c r="G12" s="8">
        <v>0</v>
      </c>
      <c r="H12" s="11" t="s">
        <v>34</v>
      </c>
      <c r="I12" s="9">
        <f t="shared" si="0"/>
        <v>400</v>
      </c>
      <c r="J12" s="8">
        <v>0</v>
      </c>
      <c r="K12" s="8">
        <f t="shared" si="1"/>
        <v>400</v>
      </c>
      <c r="L12" s="44">
        <v>285</v>
      </c>
      <c r="M12" s="42">
        <f t="shared" si="2"/>
        <v>685</v>
      </c>
      <c r="N12" s="16">
        <f t="shared" si="3"/>
        <v>240</v>
      </c>
      <c r="O12" s="43">
        <f t="shared" si="4"/>
        <v>445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16</v>
      </c>
      <c r="C13" s="6"/>
      <c r="D13" s="29" t="s">
        <v>54</v>
      </c>
      <c r="E13" s="32"/>
      <c r="F13" s="8">
        <v>4</v>
      </c>
      <c r="G13" s="8">
        <v>0</v>
      </c>
      <c r="H13" s="11" t="s">
        <v>34</v>
      </c>
      <c r="I13" s="9">
        <f t="shared" si="0"/>
        <v>400</v>
      </c>
      <c r="J13" s="8">
        <v>0</v>
      </c>
      <c r="K13" s="8">
        <f t="shared" si="1"/>
        <v>400</v>
      </c>
      <c r="L13" s="44">
        <v>250</v>
      </c>
      <c r="M13" s="42">
        <f t="shared" si="2"/>
        <v>650</v>
      </c>
      <c r="N13" s="16">
        <f t="shared" si="3"/>
        <v>240</v>
      </c>
      <c r="O13" s="43">
        <f t="shared" si="4"/>
        <v>410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35</v>
      </c>
      <c r="C14" s="6"/>
      <c r="D14" s="29" t="s">
        <v>73</v>
      </c>
      <c r="E14" s="29"/>
      <c r="F14" s="8">
        <v>4</v>
      </c>
      <c r="G14" s="8">
        <v>0</v>
      </c>
      <c r="H14" s="11" t="s">
        <v>34</v>
      </c>
      <c r="I14" s="9">
        <f t="shared" si="0"/>
        <v>400</v>
      </c>
      <c r="J14" s="8">
        <v>0</v>
      </c>
      <c r="K14" s="8">
        <f t="shared" si="1"/>
        <v>400</v>
      </c>
      <c r="L14" s="44">
        <v>250</v>
      </c>
      <c r="M14" s="42">
        <f t="shared" si="2"/>
        <v>650</v>
      </c>
      <c r="N14" s="16">
        <f t="shared" si="3"/>
        <v>240</v>
      </c>
      <c r="O14" s="43">
        <f t="shared" si="4"/>
        <v>410</v>
      </c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53</v>
      </c>
      <c r="C15" s="6"/>
      <c r="D15" s="29" t="s">
        <v>91</v>
      </c>
      <c r="E15" s="29"/>
      <c r="F15" s="8">
        <v>4</v>
      </c>
      <c r="G15" s="8">
        <v>0</v>
      </c>
      <c r="H15" s="11" t="s">
        <v>34</v>
      </c>
      <c r="I15" s="9">
        <f t="shared" si="0"/>
        <v>400</v>
      </c>
      <c r="J15" s="8">
        <v>0</v>
      </c>
      <c r="K15" s="8">
        <f t="shared" si="1"/>
        <v>400</v>
      </c>
      <c r="L15" s="44">
        <v>250</v>
      </c>
      <c r="M15" s="42">
        <f t="shared" si="2"/>
        <v>650</v>
      </c>
      <c r="N15" s="16">
        <f t="shared" si="3"/>
        <v>240</v>
      </c>
      <c r="O15" s="43">
        <f t="shared" si="4"/>
        <v>410</v>
      </c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9</v>
      </c>
      <c r="C16" s="6"/>
      <c r="D16" s="29" t="s">
        <v>47</v>
      </c>
      <c r="E16" s="33"/>
      <c r="F16" s="8">
        <v>4</v>
      </c>
      <c r="G16" s="8">
        <v>0</v>
      </c>
      <c r="H16" s="11" t="s">
        <v>34</v>
      </c>
      <c r="I16" s="9">
        <f t="shared" si="0"/>
        <v>400</v>
      </c>
      <c r="J16" s="8">
        <v>0</v>
      </c>
      <c r="K16" s="8">
        <f t="shared" si="1"/>
        <v>400</v>
      </c>
      <c r="L16" s="44">
        <v>250</v>
      </c>
      <c r="M16" s="42">
        <f t="shared" si="2"/>
        <v>650</v>
      </c>
      <c r="N16" s="16">
        <f t="shared" si="3"/>
        <v>240</v>
      </c>
      <c r="O16" s="43">
        <f t="shared" si="4"/>
        <v>410</v>
      </c>
      <c r="P16" s="21"/>
      <c r="Q16" t="s">
        <v>27</v>
      </c>
      <c r="R16">
        <v>1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56</v>
      </c>
      <c r="C17" s="6"/>
      <c r="D17" s="29" t="s">
        <v>94</v>
      </c>
      <c r="E17" s="29"/>
      <c r="F17" s="8">
        <v>4</v>
      </c>
      <c r="G17" s="8">
        <v>0</v>
      </c>
      <c r="H17" s="11" t="s">
        <v>34</v>
      </c>
      <c r="I17" s="9">
        <f t="shared" si="0"/>
        <v>400</v>
      </c>
      <c r="J17" s="8">
        <v>0</v>
      </c>
      <c r="K17" s="8">
        <f t="shared" si="1"/>
        <v>400</v>
      </c>
      <c r="L17" s="44">
        <v>250</v>
      </c>
      <c r="M17" s="42">
        <f t="shared" si="2"/>
        <v>650</v>
      </c>
      <c r="N17" s="16">
        <f t="shared" si="3"/>
        <v>240</v>
      </c>
      <c r="O17" s="43">
        <f t="shared" si="4"/>
        <v>410</v>
      </c>
      <c r="Q17" t="s">
        <v>28</v>
      </c>
      <c r="R17">
        <v>17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57</v>
      </c>
      <c r="C18" s="6"/>
      <c r="D18" s="29" t="s">
        <v>95</v>
      </c>
      <c r="F18" s="8">
        <v>4</v>
      </c>
      <c r="G18" s="8">
        <v>0</v>
      </c>
      <c r="H18" s="11" t="s">
        <v>34</v>
      </c>
      <c r="I18" s="9">
        <f t="shared" si="0"/>
        <v>400</v>
      </c>
      <c r="J18" s="8">
        <v>0</v>
      </c>
      <c r="K18" s="8">
        <f t="shared" si="1"/>
        <v>400</v>
      </c>
      <c r="L18" s="44">
        <v>250</v>
      </c>
      <c r="M18" s="42">
        <f t="shared" si="2"/>
        <v>650</v>
      </c>
      <c r="N18" s="16">
        <f t="shared" si="3"/>
        <v>240</v>
      </c>
      <c r="O18" s="43">
        <f t="shared" si="4"/>
        <v>410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21</v>
      </c>
      <c r="C19" s="6"/>
      <c r="D19" s="29" t="s">
        <v>59</v>
      </c>
      <c r="F19" s="8">
        <v>4</v>
      </c>
      <c r="G19" s="8">
        <v>0</v>
      </c>
      <c r="H19" s="12" t="s">
        <v>35</v>
      </c>
      <c r="I19" s="9">
        <f t="shared" si="0"/>
        <v>400</v>
      </c>
      <c r="J19" s="8">
        <v>0</v>
      </c>
      <c r="K19" s="8">
        <f t="shared" si="1"/>
        <v>400</v>
      </c>
      <c r="L19" s="44">
        <v>248</v>
      </c>
      <c r="M19" s="42">
        <f t="shared" si="2"/>
        <v>648</v>
      </c>
      <c r="N19" s="16">
        <f t="shared" si="3"/>
        <v>175</v>
      </c>
      <c r="O19" s="43">
        <f t="shared" si="4"/>
        <v>473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17</v>
      </c>
      <c r="C20" s="6"/>
      <c r="D20" s="29" t="s">
        <v>55</v>
      </c>
      <c r="E20" s="29"/>
      <c r="F20" s="8">
        <v>4</v>
      </c>
      <c r="G20" s="8">
        <v>0</v>
      </c>
      <c r="H20" s="12" t="s">
        <v>35</v>
      </c>
      <c r="I20" s="9">
        <f t="shared" si="0"/>
        <v>400</v>
      </c>
      <c r="J20" s="8">
        <v>0</v>
      </c>
      <c r="K20" s="8">
        <f t="shared" si="1"/>
        <v>400</v>
      </c>
      <c r="L20" s="44">
        <v>248</v>
      </c>
      <c r="M20" s="42">
        <f t="shared" si="2"/>
        <v>648</v>
      </c>
      <c r="N20" s="16">
        <f t="shared" si="3"/>
        <v>175</v>
      </c>
      <c r="O20" s="43">
        <f t="shared" si="4"/>
        <v>473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10</v>
      </c>
      <c r="C21" s="6"/>
      <c r="D21" s="29" t="s">
        <v>48</v>
      </c>
      <c r="E21" s="31"/>
      <c r="F21" s="8">
        <v>4</v>
      </c>
      <c r="G21" s="8">
        <v>0</v>
      </c>
      <c r="H21" s="12" t="s">
        <v>35</v>
      </c>
      <c r="I21" s="9">
        <f t="shared" si="0"/>
        <v>400</v>
      </c>
      <c r="J21" s="8">
        <v>0</v>
      </c>
      <c r="K21" s="8">
        <f t="shared" si="1"/>
        <v>400</v>
      </c>
      <c r="L21" s="44">
        <v>241</v>
      </c>
      <c r="M21" s="42">
        <f t="shared" si="2"/>
        <v>641</v>
      </c>
      <c r="N21" s="16">
        <f t="shared" si="3"/>
        <v>175</v>
      </c>
      <c r="O21" s="43">
        <f t="shared" si="4"/>
        <v>466</v>
      </c>
      <c r="P21" s="21"/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11</v>
      </c>
      <c r="C22" s="6"/>
      <c r="D22" s="29" t="s">
        <v>49</v>
      </c>
      <c r="E22" s="29"/>
      <c r="F22" s="8">
        <v>4</v>
      </c>
      <c r="G22" s="8">
        <v>0</v>
      </c>
      <c r="H22" s="12" t="s">
        <v>35</v>
      </c>
      <c r="I22" s="9">
        <f t="shared" si="0"/>
        <v>400</v>
      </c>
      <c r="J22" s="8">
        <v>0</v>
      </c>
      <c r="K22" s="8">
        <f t="shared" si="1"/>
        <v>400</v>
      </c>
      <c r="L22" s="44">
        <v>241</v>
      </c>
      <c r="M22" s="42">
        <f t="shared" si="2"/>
        <v>641</v>
      </c>
      <c r="N22" s="16">
        <f t="shared" si="3"/>
        <v>175</v>
      </c>
      <c r="O22" s="43">
        <f t="shared" si="4"/>
        <v>466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3</v>
      </c>
      <c r="C23" s="6"/>
      <c r="D23" s="29" t="s">
        <v>41</v>
      </c>
      <c r="E23" s="29"/>
      <c r="F23" s="8">
        <v>4</v>
      </c>
      <c r="G23" s="8">
        <v>0</v>
      </c>
      <c r="H23" s="12" t="s">
        <v>35</v>
      </c>
      <c r="I23" s="9">
        <f t="shared" si="0"/>
        <v>400</v>
      </c>
      <c r="J23" s="8">
        <v>0</v>
      </c>
      <c r="K23" s="8">
        <f t="shared" si="1"/>
        <v>400</v>
      </c>
      <c r="L23" s="44">
        <v>241</v>
      </c>
      <c r="M23" s="42">
        <f t="shared" si="2"/>
        <v>641</v>
      </c>
      <c r="N23" s="16">
        <f t="shared" si="3"/>
        <v>175</v>
      </c>
      <c r="O23" s="43">
        <f t="shared" si="4"/>
        <v>466</v>
      </c>
      <c r="P23" s="9"/>
    </row>
    <row r="24" spans="1:26" ht="18.75">
      <c r="A24" s="7">
        <v>1</v>
      </c>
      <c r="B24" s="7">
        <v>5</v>
      </c>
      <c r="C24" s="6"/>
      <c r="D24" s="29" t="s">
        <v>43</v>
      </c>
      <c r="E24" s="29"/>
      <c r="F24" s="8">
        <v>4</v>
      </c>
      <c r="G24" s="8">
        <v>0</v>
      </c>
      <c r="H24" s="12" t="s">
        <v>35</v>
      </c>
      <c r="I24" s="9">
        <f t="shared" si="0"/>
        <v>400</v>
      </c>
      <c r="J24" s="8">
        <v>0</v>
      </c>
      <c r="K24" s="8">
        <f t="shared" si="1"/>
        <v>400</v>
      </c>
      <c r="L24" s="44">
        <v>241</v>
      </c>
      <c r="M24" s="42">
        <f t="shared" si="2"/>
        <v>641</v>
      </c>
      <c r="N24" s="16">
        <f t="shared" si="3"/>
        <v>175</v>
      </c>
      <c r="O24" s="43">
        <f t="shared" si="4"/>
        <v>466</v>
      </c>
      <c r="P24" s="21"/>
    </row>
    <row r="25" spans="1:26" ht="18.75">
      <c r="A25" s="7">
        <v>1</v>
      </c>
      <c r="B25" s="7">
        <v>40</v>
      </c>
      <c r="C25" s="6"/>
      <c r="D25" s="30" t="s">
        <v>78</v>
      </c>
      <c r="F25" s="8">
        <v>4</v>
      </c>
      <c r="G25" s="8">
        <v>0</v>
      </c>
      <c r="H25" s="12" t="s">
        <v>35</v>
      </c>
      <c r="I25" s="9">
        <f t="shared" si="0"/>
        <v>400</v>
      </c>
      <c r="J25" s="8">
        <v>0</v>
      </c>
      <c r="K25" s="8">
        <f t="shared" si="1"/>
        <v>400</v>
      </c>
      <c r="L25" s="44">
        <v>241</v>
      </c>
      <c r="M25" s="42">
        <f t="shared" si="2"/>
        <v>641</v>
      </c>
      <c r="N25" s="16">
        <f t="shared" si="3"/>
        <v>175</v>
      </c>
      <c r="O25" s="43">
        <f t="shared" si="4"/>
        <v>466</v>
      </c>
      <c r="P25" s="1"/>
    </row>
    <row r="26" spans="1:26" ht="18.75" customHeight="1">
      <c r="A26" s="7">
        <v>1</v>
      </c>
      <c r="B26" s="7">
        <v>18</v>
      </c>
      <c r="C26" s="6"/>
      <c r="D26" s="29" t="s">
        <v>56</v>
      </c>
      <c r="E26" s="29"/>
      <c r="F26" s="8">
        <v>4</v>
      </c>
      <c r="G26" s="8">
        <v>0</v>
      </c>
      <c r="H26" s="12" t="s">
        <v>35</v>
      </c>
      <c r="I26" s="9">
        <f t="shared" si="0"/>
        <v>400</v>
      </c>
      <c r="J26" s="8">
        <v>0</v>
      </c>
      <c r="K26" s="8">
        <f t="shared" si="1"/>
        <v>400</v>
      </c>
      <c r="L26" s="44">
        <v>241</v>
      </c>
      <c r="M26" s="42">
        <f t="shared" si="2"/>
        <v>641</v>
      </c>
      <c r="N26" s="16">
        <f t="shared" si="3"/>
        <v>175</v>
      </c>
      <c r="O26" s="43">
        <f t="shared" si="4"/>
        <v>466</v>
      </c>
      <c r="P26" s="1"/>
    </row>
    <row r="27" spans="1:26" ht="18.75">
      <c r="A27" s="7">
        <v>1</v>
      </c>
      <c r="B27" s="7">
        <v>24</v>
      </c>
      <c r="C27" s="6"/>
      <c r="D27" s="29" t="s">
        <v>62</v>
      </c>
      <c r="E27" s="32"/>
      <c r="F27" s="8">
        <v>4</v>
      </c>
      <c r="G27" s="8">
        <v>0</v>
      </c>
      <c r="H27" s="12" t="s">
        <v>35</v>
      </c>
      <c r="I27" s="9">
        <f t="shared" si="0"/>
        <v>400</v>
      </c>
      <c r="J27" s="8">
        <v>0</v>
      </c>
      <c r="K27" s="8">
        <f t="shared" si="1"/>
        <v>400</v>
      </c>
      <c r="L27" s="44">
        <v>241</v>
      </c>
      <c r="M27" s="42">
        <f t="shared" si="2"/>
        <v>641</v>
      </c>
      <c r="N27" s="16">
        <f t="shared" si="3"/>
        <v>175</v>
      </c>
      <c r="O27" s="43">
        <f t="shared" si="4"/>
        <v>466</v>
      </c>
      <c r="P27" s="1"/>
    </row>
    <row r="28" spans="1:26" ht="18.75">
      <c r="A28" s="7">
        <v>1</v>
      </c>
      <c r="B28" s="7">
        <v>32</v>
      </c>
      <c r="C28" s="6"/>
      <c r="D28" s="29" t="s">
        <v>70</v>
      </c>
      <c r="E28" s="32"/>
      <c r="F28" s="8">
        <v>4</v>
      </c>
      <c r="G28" s="8">
        <v>0</v>
      </c>
      <c r="H28" s="12" t="s">
        <v>35</v>
      </c>
      <c r="I28" s="9">
        <f t="shared" si="0"/>
        <v>400</v>
      </c>
      <c r="J28" s="8">
        <v>0</v>
      </c>
      <c r="K28" s="8">
        <f t="shared" si="1"/>
        <v>400</v>
      </c>
      <c r="L28" s="44">
        <v>225</v>
      </c>
      <c r="M28" s="42">
        <f t="shared" si="2"/>
        <v>625</v>
      </c>
      <c r="N28" s="16">
        <f t="shared" si="3"/>
        <v>175</v>
      </c>
      <c r="O28" s="43">
        <f t="shared" si="4"/>
        <v>450</v>
      </c>
      <c r="P28" s="1"/>
    </row>
    <row r="29" spans="1:26" s="1" customFormat="1" ht="18.75">
      <c r="A29" s="7">
        <v>1</v>
      </c>
      <c r="B29" s="7">
        <v>14</v>
      </c>
      <c r="C29" s="6"/>
      <c r="D29" s="29" t="s">
        <v>52</v>
      </c>
      <c r="E29" s="29"/>
      <c r="F29" s="8">
        <v>4</v>
      </c>
      <c r="G29" s="8">
        <v>0</v>
      </c>
      <c r="H29" s="12" t="s">
        <v>35</v>
      </c>
      <c r="I29" s="9">
        <f t="shared" si="0"/>
        <v>400</v>
      </c>
      <c r="J29" s="8">
        <v>0</v>
      </c>
      <c r="K29" s="8">
        <f t="shared" si="1"/>
        <v>400</v>
      </c>
      <c r="L29" s="44">
        <v>220</v>
      </c>
      <c r="M29" s="42">
        <f t="shared" si="2"/>
        <v>620</v>
      </c>
      <c r="N29" s="16">
        <f t="shared" si="3"/>
        <v>175</v>
      </c>
      <c r="O29" s="43">
        <f t="shared" si="4"/>
        <v>445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6</v>
      </c>
      <c r="C30" s="6"/>
      <c r="D30" s="29" t="s">
        <v>44</v>
      </c>
      <c r="E30" s="29"/>
      <c r="F30" s="8">
        <v>4</v>
      </c>
      <c r="G30" s="8">
        <v>0</v>
      </c>
      <c r="H30" s="12" t="s">
        <v>35</v>
      </c>
      <c r="I30" s="9">
        <f t="shared" si="0"/>
        <v>400</v>
      </c>
      <c r="J30" s="8">
        <v>0</v>
      </c>
      <c r="K30" s="8">
        <f t="shared" si="1"/>
        <v>400</v>
      </c>
      <c r="L30" s="44">
        <v>213</v>
      </c>
      <c r="M30" s="42">
        <f t="shared" si="2"/>
        <v>613</v>
      </c>
      <c r="N30" s="16">
        <f t="shared" si="3"/>
        <v>175</v>
      </c>
      <c r="O30" s="43">
        <f t="shared" si="4"/>
        <v>438</v>
      </c>
      <c r="P30" s="15"/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2</v>
      </c>
      <c r="C31" s="6"/>
      <c r="D31" s="29" t="s">
        <v>40</v>
      </c>
      <c r="E31" s="29"/>
      <c r="F31" s="8">
        <v>4</v>
      </c>
      <c r="G31" s="8">
        <v>0</v>
      </c>
      <c r="H31" s="12" t="s">
        <v>35</v>
      </c>
      <c r="I31" s="9">
        <f t="shared" si="0"/>
        <v>400</v>
      </c>
      <c r="J31" s="8">
        <v>0</v>
      </c>
      <c r="K31" s="8">
        <f t="shared" si="1"/>
        <v>400</v>
      </c>
      <c r="L31" s="44">
        <v>213</v>
      </c>
      <c r="M31" s="42">
        <f t="shared" si="2"/>
        <v>613</v>
      </c>
      <c r="N31" s="16">
        <f t="shared" si="3"/>
        <v>175</v>
      </c>
      <c r="O31" s="43">
        <f t="shared" si="4"/>
        <v>438</v>
      </c>
      <c r="P31" s="9"/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49</v>
      </c>
      <c r="C32" s="6"/>
      <c r="D32" s="29" t="s">
        <v>87</v>
      </c>
      <c r="E32" s="29"/>
      <c r="F32" s="8">
        <v>3</v>
      </c>
      <c r="G32" s="8">
        <v>0</v>
      </c>
      <c r="H32" s="12" t="s">
        <v>35</v>
      </c>
      <c r="I32" s="9">
        <f t="shared" si="0"/>
        <v>300</v>
      </c>
      <c r="J32" s="8">
        <v>0</v>
      </c>
      <c r="K32" s="8">
        <f t="shared" si="1"/>
        <v>300</v>
      </c>
      <c r="L32" s="44">
        <v>313</v>
      </c>
      <c r="M32" s="42">
        <f t="shared" si="2"/>
        <v>613</v>
      </c>
      <c r="N32" s="16">
        <f t="shared" si="3"/>
        <v>175</v>
      </c>
      <c r="O32" s="43">
        <f t="shared" si="4"/>
        <v>438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43</v>
      </c>
      <c r="C33" s="6"/>
      <c r="D33" s="29" t="s">
        <v>81</v>
      </c>
      <c r="E33" s="31"/>
      <c r="F33" s="8">
        <v>4</v>
      </c>
      <c r="G33" s="8">
        <v>0</v>
      </c>
      <c r="H33" s="12" t="s">
        <v>35</v>
      </c>
      <c r="I33" s="9">
        <f t="shared" si="0"/>
        <v>400</v>
      </c>
      <c r="J33" s="8">
        <v>0</v>
      </c>
      <c r="K33" s="8">
        <f t="shared" si="1"/>
        <v>400</v>
      </c>
      <c r="L33" s="44">
        <v>194</v>
      </c>
      <c r="M33" s="42">
        <f t="shared" si="2"/>
        <v>594</v>
      </c>
      <c r="N33" s="16">
        <f t="shared" si="3"/>
        <v>175</v>
      </c>
      <c r="O33" s="43">
        <f t="shared" si="4"/>
        <v>419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4</v>
      </c>
      <c r="C34" s="6"/>
      <c r="D34" s="29" t="s">
        <v>42</v>
      </c>
      <c r="E34" s="29"/>
      <c r="F34" s="8">
        <v>4</v>
      </c>
      <c r="G34" s="8">
        <v>0</v>
      </c>
      <c r="H34" s="12" t="s">
        <v>35</v>
      </c>
      <c r="I34" s="9">
        <f t="shared" si="0"/>
        <v>400</v>
      </c>
      <c r="J34" s="8">
        <v>0</v>
      </c>
      <c r="K34" s="8">
        <f t="shared" si="1"/>
        <v>400</v>
      </c>
      <c r="L34" s="44">
        <v>194</v>
      </c>
      <c r="M34" s="42">
        <f t="shared" si="2"/>
        <v>594</v>
      </c>
      <c r="N34" s="16">
        <f t="shared" si="3"/>
        <v>175</v>
      </c>
      <c r="O34" s="43">
        <f t="shared" si="4"/>
        <v>419</v>
      </c>
      <c r="P34" s="9"/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23</v>
      </c>
      <c r="C35" s="6"/>
      <c r="D35" s="29" t="s">
        <v>61</v>
      </c>
      <c r="E35" s="32"/>
      <c r="F35" s="8">
        <v>4</v>
      </c>
      <c r="G35" s="8">
        <v>0</v>
      </c>
      <c r="H35" s="12" t="s">
        <v>35</v>
      </c>
      <c r="I35" s="9">
        <f t="shared" si="0"/>
        <v>400</v>
      </c>
      <c r="J35" s="8">
        <v>0</v>
      </c>
      <c r="K35" s="8">
        <f t="shared" si="1"/>
        <v>400</v>
      </c>
      <c r="L35" s="44">
        <v>194</v>
      </c>
      <c r="M35" s="42">
        <f t="shared" si="2"/>
        <v>594</v>
      </c>
      <c r="N35" s="16">
        <f t="shared" si="3"/>
        <v>175</v>
      </c>
      <c r="O35" s="43">
        <f t="shared" si="4"/>
        <v>419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52</v>
      </c>
      <c r="C36" s="6"/>
      <c r="D36" s="29" t="s">
        <v>90</v>
      </c>
      <c r="F36" s="8">
        <v>4</v>
      </c>
      <c r="G36" s="8">
        <v>0</v>
      </c>
      <c r="H36" s="12" t="s">
        <v>35</v>
      </c>
      <c r="I36" s="9">
        <f t="shared" si="0"/>
        <v>400</v>
      </c>
      <c r="J36" s="8">
        <v>0</v>
      </c>
      <c r="K36" s="8">
        <f t="shared" si="1"/>
        <v>400</v>
      </c>
      <c r="L36" s="44">
        <v>194</v>
      </c>
      <c r="M36" s="42">
        <f t="shared" si="2"/>
        <v>594</v>
      </c>
      <c r="N36" s="16">
        <f t="shared" si="3"/>
        <v>175</v>
      </c>
      <c r="O36" s="43">
        <f t="shared" si="4"/>
        <v>419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42</v>
      </c>
      <c r="C37" s="6"/>
      <c r="D37" s="29" t="s">
        <v>80</v>
      </c>
      <c r="E37" s="32"/>
      <c r="F37" s="8">
        <v>3</v>
      </c>
      <c r="G37" s="8">
        <v>0</v>
      </c>
      <c r="H37" s="12" t="s">
        <v>35</v>
      </c>
      <c r="I37" s="9">
        <f t="shared" ref="I37:I69" si="5">F37*100</f>
        <v>300</v>
      </c>
      <c r="J37" s="8">
        <v>0</v>
      </c>
      <c r="K37" s="8">
        <f t="shared" ref="K37:K68" si="6">SUM(I37+J37)</f>
        <v>300</v>
      </c>
      <c r="L37" s="44">
        <v>294</v>
      </c>
      <c r="M37" s="42">
        <f t="shared" ref="M37:M68" si="7">L37+K37</f>
        <v>594</v>
      </c>
      <c r="N37" s="16">
        <f t="shared" ref="N37:N69" si="8">VLOOKUP(H37,$Q$3:$R$10,2,FALSE)</f>
        <v>175</v>
      </c>
      <c r="O37" s="43">
        <f t="shared" ref="O37:O68" si="9">IF(M37-N37&gt;0,M37-N37,0)</f>
        <v>419</v>
      </c>
      <c r="P37" s="1"/>
    </row>
    <row r="38" spans="1:26" s="1" customFormat="1" ht="18.75">
      <c r="A38" s="7">
        <v>1</v>
      </c>
      <c r="B38" s="7">
        <v>44</v>
      </c>
      <c r="C38" s="6"/>
      <c r="D38" s="29" t="s">
        <v>82</v>
      </c>
      <c r="E38" s="29"/>
      <c r="F38" s="8">
        <v>3</v>
      </c>
      <c r="G38" s="8">
        <v>0</v>
      </c>
      <c r="H38" s="12" t="s">
        <v>35</v>
      </c>
      <c r="I38" s="9">
        <f t="shared" si="5"/>
        <v>300</v>
      </c>
      <c r="J38" s="8">
        <v>0</v>
      </c>
      <c r="K38" s="8">
        <f t="shared" si="6"/>
        <v>300</v>
      </c>
      <c r="L38" s="44">
        <v>294</v>
      </c>
      <c r="M38" s="42">
        <f t="shared" si="7"/>
        <v>594</v>
      </c>
      <c r="N38" s="16">
        <f t="shared" si="8"/>
        <v>175</v>
      </c>
      <c r="O38" s="43">
        <f t="shared" si="9"/>
        <v>419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20</v>
      </c>
      <c r="C39" s="6"/>
      <c r="D39" s="29" t="s">
        <v>58</v>
      </c>
      <c r="E39" s="32"/>
      <c r="F39" s="8">
        <v>4</v>
      </c>
      <c r="G39" s="8">
        <v>0</v>
      </c>
      <c r="H39" s="12" t="s">
        <v>35</v>
      </c>
      <c r="I39" s="9">
        <f t="shared" si="5"/>
        <v>400</v>
      </c>
      <c r="J39" s="8">
        <v>0</v>
      </c>
      <c r="K39" s="8">
        <f t="shared" si="6"/>
        <v>400</v>
      </c>
      <c r="L39" s="44">
        <v>185</v>
      </c>
      <c r="M39" s="42">
        <f t="shared" si="7"/>
        <v>585</v>
      </c>
      <c r="N39" s="16">
        <f t="shared" si="8"/>
        <v>175</v>
      </c>
      <c r="O39" s="43">
        <f t="shared" si="9"/>
        <v>410</v>
      </c>
      <c r="P39" s="1"/>
    </row>
    <row r="40" spans="1:26" ht="18.75">
      <c r="A40" s="7">
        <v>1</v>
      </c>
      <c r="B40" s="7">
        <v>30</v>
      </c>
      <c r="C40" s="6"/>
      <c r="D40" s="29" t="s">
        <v>68</v>
      </c>
      <c r="E40" s="32"/>
      <c r="F40" s="8">
        <v>4</v>
      </c>
      <c r="G40" s="8">
        <v>0</v>
      </c>
      <c r="H40" s="12" t="s">
        <v>35</v>
      </c>
      <c r="I40" s="9">
        <f t="shared" si="5"/>
        <v>400</v>
      </c>
      <c r="J40" s="8">
        <v>0</v>
      </c>
      <c r="K40" s="8">
        <f t="shared" si="6"/>
        <v>400</v>
      </c>
      <c r="L40" s="44">
        <v>178</v>
      </c>
      <c r="M40" s="42">
        <f t="shared" si="7"/>
        <v>578</v>
      </c>
      <c r="N40" s="16">
        <f t="shared" si="8"/>
        <v>175</v>
      </c>
      <c r="O40" s="43">
        <f t="shared" si="9"/>
        <v>403</v>
      </c>
      <c r="P40" s="1"/>
    </row>
    <row r="41" spans="1:26" ht="18.75">
      <c r="A41" s="7">
        <v>1</v>
      </c>
      <c r="B41" s="7">
        <v>33</v>
      </c>
      <c r="C41" s="6"/>
      <c r="D41" s="29" t="s">
        <v>71</v>
      </c>
      <c r="E41" s="29"/>
      <c r="F41" s="8">
        <v>4</v>
      </c>
      <c r="G41" s="8">
        <v>0</v>
      </c>
      <c r="H41" s="12" t="s">
        <v>35</v>
      </c>
      <c r="I41" s="9">
        <f t="shared" si="5"/>
        <v>400</v>
      </c>
      <c r="J41" s="8">
        <v>0</v>
      </c>
      <c r="K41" s="8">
        <f t="shared" si="6"/>
        <v>400</v>
      </c>
      <c r="L41" s="44">
        <v>178</v>
      </c>
      <c r="M41" s="42">
        <f t="shared" si="7"/>
        <v>578</v>
      </c>
      <c r="N41" s="16">
        <f t="shared" si="8"/>
        <v>175</v>
      </c>
      <c r="O41" s="43">
        <f t="shared" si="9"/>
        <v>403</v>
      </c>
      <c r="P41" s="1"/>
    </row>
    <row r="42" spans="1:26" ht="18.75">
      <c r="A42" s="7">
        <v>1</v>
      </c>
      <c r="B42" s="7">
        <v>13</v>
      </c>
      <c r="C42" s="6"/>
      <c r="D42" s="29" t="s">
        <v>51</v>
      </c>
      <c r="E42" s="29"/>
      <c r="F42" s="8">
        <v>4</v>
      </c>
      <c r="G42" s="8">
        <v>0</v>
      </c>
      <c r="H42" s="12" t="s">
        <v>35</v>
      </c>
      <c r="I42" s="9">
        <f t="shared" si="5"/>
        <v>400</v>
      </c>
      <c r="J42" s="8">
        <v>0</v>
      </c>
      <c r="K42" s="8">
        <f t="shared" si="6"/>
        <v>400</v>
      </c>
      <c r="L42" s="44">
        <v>164</v>
      </c>
      <c r="M42" s="42">
        <f t="shared" si="7"/>
        <v>564</v>
      </c>
      <c r="N42" s="16">
        <f t="shared" si="8"/>
        <v>175</v>
      </c>
      <c r="O42" s="43">
        <f t="shared" si="9"/>
        <v>389</v>
      </c>
      <c r="P42" s="1"/>
    </row>
    <row r="43" spans="1:26" ht="18.75">
      <c r="A43" s="7">
        <v>1</v>
      </c>
      <c r="B43" s="7">
        <v>1</v>
      </c>
      <c r="C43" s="6"/>
      <c r="D43" s="29" t="s">
        <v>39</v>
      </c>
      <c r="E43" s="29"/>
      <c r="F43" s="8">
        <v>4</v>
      </c>
      <c r="G43" s="8">
        <v>0</v>
      </c>
      <c r="H43" s="12" t="s">
        <v>35</v>
      </c>
      <c r="I43" s="9">
        <f t="shared" si="5"/>
        <v>400</v>
      </c>
      <c r="J43" s="8">
        <v>0</v>
      </c>
      <c r="K43" s="8">
        <f t="shared" si="6"/>
        <v>400</v>
      </c>
      <c r="L43" s="44">
        <v>157</v>
      </c>
      <c r="M43" s="42">
        <f t="shared" si="7"/>
        <v>557</v>
      </c>
      <c r="N43" s="16">
        <f t="shared" si="8"/>
        <v>175</v>
      </c>
      <c r="O43" s="43">
        <f t="shared" si="9"/>
        <v>382</v>
      </c>
      <c r="P43" s="9"/>
    </row>
    <row r="44" spans="1:26" ht="18.75">
      <c r="A44" s="7">
        <v>1</v>
      </c>
      <c r="B44" s="7">
        <v>63</v>
      </c>
      <c r="C44" s="6"/>
      <c r="D44" s="29" t="s">
        <v>101</v>
      </c>
      <c r="F44" s="8">
        <v>3</v>
      </c>
      <c r="G44" s="8">
        <v>0</v>
      </c>
      <c r="H44" s="12" t="s">
        <v>35</v>
      </c>
      <c r="I44" s="9">
        <f t="shared" si="5"/>
        <v>300</v>
      </c>
      <c r="J44" s="8">
        <v>0</v>
      </c>
      <c r="K44" s="8">
        <f t="shared" si="6"/>
        <v>300</v>
      </c>
      <c r="L44" s="44">
        <v>250</v>
      </c>
      <c r="M44" s="42">
        <f t="shared" si="7"/>
        <v>550</v>
      </c>
      <c r="N44" s="16">
        <f t="shared" si="8"/>
        <v>175</v>
      </c>
      <c r="O44" s="43">
        <f t="shared" si="9"/>
        <v>375</v>
      </c>
      <c r="P44" s="1"/>
    </row>
    <row r="45" spans="1:26" ht="18.75">
      <c r="A45" s="7">
        <v>1</v>
      </c>
      <c r="B45" s="7">
        <v>25</v>
      </c>
      <c r="C45" s="6"/>
      <c r="D45" s="29" t="s">
        <v>63</v>
      </c>
      <c r="E45" s="32"/>
      <c r="F45" s="8">
        <v>4</v>
      </c>
      <c r="G45" s="8">
        <v>0</v>
      </c>
      <c r="H45" s="12" t="s">
        <v>35</v>
      </c>
      <c r="I45" s="9">
        <f t="shared" si="5"/>
        <v>400</v>
      </c>
      <c r="J45" s="8">
        <v>0</v>
      </c>
      <c r="K45" s="8">
        <f t="shared" si="6"/>
        <v>400</v>
      </c>
      <c r="L45" s="44">
        <v>125</v>
      </c>
      <c r="M45" s="42">
        <f t="shared" si="7"/>
        <v>525</v>
      </c>
      <c r="N45" s="16">
        <f t="shared" si="8"/>
        <v>175</v>
      </c>
      <c r="O45" s="43">
        <f t="shared" si="9"/>
        <v>350</v>
      </c>
      <c r="P45" s="1"/>
    </row>
    <row r="46" spans="1:26" ht="18.75">
      <c r="A46" s="7">
        <v>1</v>
      </c>
      <c r="B46" s="7">
        <v>22</v>
      </c>
      <c r="C46" s="6"/>
      <c r="D46" s="29" t="s">
        <v>60</v>
      </c>
      <c r="E46" s="32"/>
      <c r="F46" s="8">
        <v>4</v>
      </c>
      <c r="G46" s="8">
        <v>0</v>
      </c>
      <c r="H46" s="12" t="s">
        <v>35</v>
      </c>
      <c r="I46" s="9">
        <f t="shared" si="5"/>
        <v>400</v>
      </c>
      <c r="J46" s="8">
        <v>0</v>
      </c>
      <c r="K46" s="8">
        <f t="shared" si="6"/>
        <v>400</v>
      </c>
      <c r="L46" s="44">
        <v>120</v>
      </c>
      <c r="M46" s="42">
        <f t="shared" si="7"/>
        <v>520</v>
      </c>
      <c r="N46" s="16">
        <f t="shared" si="8"/>
        <v>175</v>
      </c>
      <c r="O46" s="43">
        <f t="shared" si="9"/>
        <v>345</v>
      </c>
      <c r="P46" s="1"/>
    </row>
    <row r="47" spans="1:26" ht="18.75">
      <c r="A47" s="7">
        <v>1</v>
      </c>
      <c r="B47" s="7">
        <v>26</v>
      </c>
      <c r="C47" s="6"/>
      <c r="D47" s="29" t="s">
        <v>64</v>
      </c>
      <c r="E47" s="32"/>
      <c r="F47" s="8">
        <v>4</v>
      </c>
      <c r="G47" s="8">
        <v>0</v>
      </c>
      <c r="H47" s="12" t="s">
        <v>35</v>
      </c>
      <c r="I47" s="9">
        <f t="shared" si="5"/>
        <v>400</v>
      </c>
      <c r="J47" s="8">
        <v>0</v>
      </c>
      <c r="K47" s="8">
        <f t="shared" si="6"/>
        <v>400</v>
      </c>
      <c r="L47" s="44">
        <v>94</v>
      </c>
      <c r="M47" s="42">
        <f t="shared" si="7"/>
        <v>494</v>
      </c>
      <c r="N47" s="16">
        <f t="shared" si="8"/>
        <v>175</v>
      </c>
      <c r="O47" s="43">
        <f t="shared" si="9"/>
        <v>319</v>
      </c>
      <c r="P47" s="1"/>
    </row>
    <row r="48" spans="1:26" ht="18.75">
      <c r="A48" s="7">
        <v>1</v>
      </c>
      <c r="B48" s="7">
        <v>29</v>
      </c>
      <c r="C48" s="6"/>
      <c r="D48" s="29" t="s">
        <v>67</v>
      </c>
      <c r="E48" s="32"/>
      <c r="F48" s="8">
        <v>4</v>
      </c>
      <c r="G48" s="8">
        <v>0</v>
      </c>
      <c r="H48" s="12" t="s">
        <v>35</v>
      </c>
      <c r="I48" s="9">
        <f t="shared" si="5"/>
        <v>400</v>
      </c>
      <c r="J48" s="8">
        <v>0</v>
      </c>
      <c r="K48" s="8">
        <f t="shared" si="6"/>
        <v>400</v>
      </c>
      <c r="L48" s="44">
        <v>94</v>
      </c>
      <c r="M48" s="42">
        <f t="shared" si="7"/>
        <v>494</v>
      </c>
      <c r="N48" s="16">
        <f t="shared" si="8"/>
        <v>175</v>
      </c>
      <c r="O48" s="43">
        <f t="shared" si="9"/>
        <v>319</v>
      </c>
    </row>
    <row r="49" spans="1:16" ht="18.75">
      <c r="A49" s="7">
        <v>1</v>
      </c>
      <c r="B49" s="7">
        <v>28</v>
      </c>
      <c r="C49" s="6"/>
      <c r="D49" s="29" t="s">
        <v>66</v>
      </c>
      <c r="E49" s="32"/>
      <c r="F49" s="8">
        <v>3</v>
      </c>
      <c r="G49" s="8">
        <v>0</v>
      </c>
      <c r="H49" s="12" t="s">
        <v>35</v>
      </c>
      <c r="I49" s="9">
        <f t="shared" si="5"/>
        <v>300</v>
      </c>
      <c r="J49" s="8">
        <v>0</v>
      </c>
      <c r="K49" s="8">
        <f t="shared" si="6"/>
        <v>300</v>
      </c>
      <c r="L49" s="44">
        <v>178</v>
      </c>
      <c r="M49" s="42">
        <f t="shared" si="7"/>
        <v>478</v>
      </c>
      <c r="N49" s="16">
        <f t="shared" si="8"/>
        <v>175</v>
      </c>
      <c r="O49" s="43">
        <f t="shared" si="9"/>
        <v>303</v>
      </c>
    </row>
    <row r="50" spans="1:16" ht="18.75">
      <c r="A50" s="7">
        <v>1</v>
      </c>
      <c r="B50" s="7">
        <v>58</v>
      </c>
      <c r="C50" s="6"/>
      <c r="D50" s="29" t="s">
        <v>96</v>
      </c>
      <c r="F50" s="8">
        <v>2</v>
      </c>
      <c r="G50" s="8">
        <v>0</v>
      </c>
      <c r="H50" s="12" t="s">
        <v>35</v>
      </c>
      <c r="I50" s="9">
        <f t="shared" si="5"/>
        <v>200</v>
      </c>
      <c r="J50" s="8">
        <v>0</v>
      </c>
      <c r="K50" s="8">
        <f t="shared" si="6"/>
        <v>200</v>
      </c>
      <c r="L50" s="44">
        <v>278</v>
      </c>
      <c r="M50" s="42">
        <f t="shared" si="7"/>
        <v>478</v>
      </c>
      <c r="N50" s="16">
        <f t="shared" si="8"/>
        <v>175</v>
      </c>
      <c r="O50" s="43">
        <f t="shared" si="9"/>
        <v>303</v>
      </c>
    </row>
    <row r="51" spans="1:16" ht="18.75">
      <c r="A51" s="7">
        <v>1</v>
      </c>
      <c r="B51" s="7">
        <v>38</v>
      </c>
      <c r="C51" s="6"/>
      <c r="D51" s="29" t="s">
        <v>76</v>
      </c>
      <c r="E51" s="29"/>
      <c r="F51" s="8">
        <v>4</v>
      </c>
      <c r="G51" s="8">
        <v>0</v>
      </c>
      <c r="H51" s="12" t="s">
        <v>35</v>
      </c>
      <c r="I51" s="9">
        <f t="shared" si="5"/>
        <v>400</v>
      </c>
      <c r="J51" s="8">
        <v>0</v>
      </c>
      <c r="K51" s="8">
        <f t="shared" si="6"/>
        <v>400</v>
      </c>
      <c r="L51" s="44">
        <v>50</v>
      </c>
      <c r="M51" s="42">
        <f t="shared" si="7"/>
        <v>450</v>
      </c>
      <c r="N51" s="16">
        <f t="shared" si="8"/>
        <v>175</v>
      </c>
      <c r="O51" s="43">
        <f t="shared" si="9"/>
        <v>275</v>
      </c>
    </row>
    <row r="52" spans="1:16" ht="18.75">
      <c r="A52" s="7">
        <v>1</v>
      </c>
      <c r="B52" s="7">
        <v>50</v>
      </c>
      <c r="C52" s="6"/>
      <c r="D52" s="29" t="s">
        <v>88</v>
      </c>
      <c r="E52" s="29"/>
      <c r="F52" s="8">
        <v>2</v>
      </c>
      <c r="G52" s="8">
        <v>0</v>
      </c>
      <c r="H52" s="12" t="s">
        <v>35</v>
      </c>
      <c r="I52" s="9">
        <f t="shared" si="5"/>
        <v>200</v>
      </c>
      <c r="J52" s="8">
        <v>0</v>
      </c>
      <c r="K52" s="8">
        <f t="shared" si="6"/>
        <v>200</v>
      </c>
      <c r="L52" s="44">
        <v>250</v>
      </c>
      <c r="M52" s="42">
        <f t="shared" si="7"/>
        <v>450</v>
      </c>
      <c r="N52" s="16">
        <f t="shared" si="8"/>
        <v>175</v>
      </c>
      <c r="O52" s="43">
        <f t="shared" si="9"/>
        <v>275</v>
      </c>
    </row>
    <row r="53" spans="1:16" ht="18.75">
      <c r="A53" s="7">
        <v>1</v>
      </c>
      <c r="B53" s="7">
        <v>7</v>
      </c>
      <c r="C53" s="6"/>
      <c r="D53" s="29" t="s">
        <v>45</v>
      </c>
      <c r="E53" s="29"/>
      <c r="F53" s="8">
        <v>2</v>
      </c>
      <c r="G53" s="8">
        <v>0</v>
      </c>
      <c r="H53" s="12" t="s">
        <v>35</v>
      </c>
      <c r="I53" s="9">
        <f t="shared" si="5"/>
        <v>200</v>
      </c>
      <c r="J53" s="8">
        <v>0</v>
      </c>
      <c r="K53" s="8">
        <f t="shared" si="6"/>
        <v>200</v>
      </c>
      <c r="L53" s="44">
        <v>213</v>
      </c>
      <c r="M53" s="42">
        <f t="shared" si="7"/>
        <v>413</v>
      </c>
      <c r="N53" s="16">
        <f t="shared" si="8"/>
        <v>175</v>
      </c>
      <c r="O53" s="43">
        <f t="shared" si="9"/>
        <v>238</v>
      </c>
      <c r="P53" s="40"/>
    </row>
    <row r="54" spans="1:16" ht="18.75">
      <c r="A54" s="7">
        <v>1</v>
      </c>
      <c r="B54" s="7">
        <v>39</v>
      </c>
      <c r="C54" s="6"/>
      <c r="D54" s="29" t="s">
        <v>77</v>
      </c>
      <c r="E54" s="29"/>
      <c r="F54" s="8">
        <v>4</v>
      </c>
      <c r="G54" s="8">
        <v>0</v>
      </c>
      <c r="H54" s="12" t="s">
        <v>35</v>
      </c>
      <c r="I54" s="9">
        <f t="shared" si="5"/>
        <v>400</v>
      </c>
      <c r="J54" s="8">
        <v>0</v>
      </c>
      <c r="K54" s="8">
        <f t="shared" si="6"/>
        <v>400</v>
      </c>
      <c r="L54" s="44">
        <v>0</v>
      </c>
      <c r="M54" s="42">
        <f t="shared" si="7"/>
        <v>400</v>
      </c>
      <c r="N54" s="16">
        <f t="shared" si="8"/>
        <v>175</v>
      </c>
      <c r="O54" s="43">
        <f t="shared" si="9"/>
        <v>225</v>
      </c>
    </row>
    <row r="55" spans="1:16" ht="18.75">
      <c r="A55" s="7">
        <v>1</v>
      </c>
      <c r="B55" s="7">
        <v>47</v>
      </c>
      <c r="C55" s="6"/>
      <c r="D55" s="29" t="s">
        <v>85</v>
      </c>
      <c r="E55" s="29"/>
      <c r="F55" s="8">
        <v>4</v>
      </c>
      <c r="G55" s="8">
        <v>0</v>
      </c>
      <c r="H55" s="12" t="s">
        <v>35</v>
      </c>
      <c r="I55" s="9">
        <f t="shared" si="5"/>
        <v>400</v>
      </c>
      <c r="J55" s="8">
        <v>0</v>
      </c>
      <c r="K55" s="8">
        <f t="shared" si="6"/>
        <v>400</v>
      </c>
      <c r="L55" s="44">
        <v>0</v>
      </c>
      <c r="M55" s="42">
        <f t="shared" si="7"/>
        <v>400</v>
      </c>
      <c r="N55" s="16">
        <f t="shared" si="8"/>
        <v>175</v>
      </c>
      <c r="O55" s="43">
        <f t="shared" si="9"/>
        <v>225</v>
      </c>
    </row>
    <row r="56" spans="1:16" ht="18.75">
      <c r="A56" s="7">
        <v>1</v>
      </c>
      <c r="B56" s="7">
        <v>64</v>
      </c>
      <c r="C56" s="6"/>
      <c r="D56" s="29" t="s">
        <v>102</v>
      </c>
      <c r="E56" s="29"/>
      <c r="F56" s="8">
        <v>2</v>
      </c>
      <c r="G56" s="8">
        <v>0</v>
      </c>
      <c r="H56" s="12" t="s">
        <v>35</v>
      </c>
      <c r="I56" s="9">
        <f t="shared" si="5"/>
        <v>200</v>
      </c>
      <c r="J56" s="8">
        <v>0</v>
      </c>
      <c r="K56" s="8">
        <f t="shared" si="6"/>
        <v>200</v>
      </c>
      <c r="L56" s="44">
        <v>194</v>
      </c>
      <c r="M56" s="42">
        <f t="shared" si="7"/>
        <v>394</v>
      </c>
      <c r="N56" s="16">
        <f t="shared" si="8"/>
        <v>175</v>
      </c>
      <c r="O56" s="43">
        <f t="shared" si="9"/>
        <v>219</v>
      </c>
    </row>
    <row r="57" spans="1:16" ht="18.75">
      <c r="A57" s="7">
        <v>1</v>
      </c>
      <c r="B57" s="7">
        <v>34</v>
      </c>
      <c r="C57" s="6"/>
      <c r="D57" s="29" t="s">
        <v>72</v>
      </c>
      <c r="E57" s="29"/>
      <c r="F57" s="8">
        <v>2</v>
      </c>
      <c r="G57" s="8">
        <v>0</v>
      </c>
      <c r="H57" s="12" t="s">
        <v>35</v>
      </c>
      <c r="I57" s="9">
        <f t="shared" si="5"/>
        <v>200</v>
      </c>
      <c r="J57" s="8">
        <v>0</v>
      </c>
      <c r="K57" s="8">
        <f t="shared" si="6"/>
        <v>200</v>
      </c>
      <c r="L57" s="44">
        <v>194</v>
      </c>
      <c r="M57" s="42">
        <f t="shared" si="7"/>
        <v>394</v>
      </c>
      <c r="N57" s="16">
        <f t="shared" si="8"/>
        <v>175</v>
      </c>
      <c r="O57" s="43">
        <f t="shared" si="9"/>
        <v>219</v>
      </c>
    </row>
    <row r="58" spans="1:16" ht="18.75">
      <c r="A58" s="7">
        <v>1</v>
      </c>
      <c r="B58" s="7">
        <v>31</v>
      </c>
      <c r="C58" s="6"/>
      <c r="D58" s="29" t="s">
        <v>69</v>
      </c>
      <c r="E58" s="32"/>
      <c r="F58" s="8">
        <v>3</v>
      </c>
      <c r="G58" s="8">
        <v>0</v>
      </c>
      <c r="H58" s="12" t="s">
        <v>35</v>
      </c>
      <c r="I58" s="9">
        <f t="shared" si="5"/>
        <v>300</v>
      </c>
      <c r="J58" s="8">
        <v>0</v>
      </c>
      <c r="K58" s="8">
        <f t="shared" si="6"/>
        <v>300</v>
      </c>
      <c r="L58" s="44">
        <v>50</v>
      </c>
      <c r="M58" s="42">
        <f t="shared" si="7"/>
        <v>350</v>
      </c>
      <c r="N58" s="16">
        <f t="shared" si="8"/>
        <v>175</v>
      </c>
      <c r="O58" s="43">
        <f t="shared" si="9"/>
        <v>175</v>
      </c>
    </row>
    <row r="59" spans="1:16" ht="18.75">
      <c r="A59" s="7">
        <v>1</v>
      </c>
      <c r="B59" s="7">
        <v>15</v>
      </c>
      <c r="C59" s="6"/>
      <c r="D59" s="29" t="s">
        <v>53</v>
      </c>
      <c r="E59" s="29"/>
      <c r="F59" s="8">
        <v>3</v>
      </c>
      <c r="G59" s="8">
        <v>0</v>
      </c>
      <c r="H59" s="12" t="s">
        <v>35</v>
      </c>
      <c r="I59" s="9">
        <f t="shared" si="5"/>
        <v>300</v>
      </c>
      <c r="J59" s="8">
        <v>0</v>
      </c>
      <c r="K59" s="8">
        <f t="shared" si="6"/>
        <v>300</v>
      </c>
      <c r="L59" s="44">
        <v>50</v>
      </c>
      <c r="M59" s="42">
        <f t="shared" si="7"/>
        <v>350</v>
      </c>
      <c r="N59" s="16">
        <f t="shared" si="8"/>
        <v>175</v>
      </c>
      <c r="O59" s="43">
        <f t="shared" si="9"/>
        <v>175</v>
      </c>
    </row>
    <row r="60" spans="1:16" ht="18.75">
      <c r="A60" s="7">
        <v>1</v>
      </c>
      <c r="B60" s="7">
        <v>27</v>
      </c>
      <c r="C60" s="6"/>
      <c r="D60" s="29" t="s">
        <v>65</v>
      </c>
      <c r="E60" s="32"/>
      <c r="F60" s="8">
        <v>1</v>
      </c>
      <c r="G60" s="8">
        <v>0</v>
      </c>
      <c r="H60" s="12" t="s">
        <v>35</v>
      </c>
      <c r="I60" s="9">
        <f t="shared" si="5"/>
        <v>100</v>
      </c>
      <c r="J60" s="8">
        <v>0</v>
      </c>
      <c r="K60" s="8">
        <f t="shared" si="6"/>
        <v>100</v>
      </c>
      <c r="L60" s="44">
        <v>250</v>
      </c>
      <c r="M60" s="42">
        <f t="shared" si="7"/>
        <v>350</v>
      </c>
      <c r="N60" s="16">
        <f t="shared" si="8"/>
        <v>175</v>
      </c>
      <c r="O60" s="43">
        <f t="shared" si="9"/>
        <v>175</v>
      </c>
    </row>
    <row r="61" spans="1:16" ht="18.75">
      <c r="A61" s="7">
        <v>1</v>
      </c>
      <c r="B61" s="7">
        <v>8</v>
      </c>
      <c r="C61" s="6"/>
      <c r="D61" s="29" t="s">
        <v>46</v>
      </c>
      <c r="E61" s="29"/>
      <c r="F61" s="8">
        <v>3</v>
      </c>
      <c r="G61" s="8">
        <v>0</v>
      </c>
      <c r="H61" s="12" t="s">
        <v>35</v>
      </c>
      <c r="I61" s="9">
        <f t="shared" si="5"/>
        <v>300</v>
      </c>
      <c r="J61" s="8">
        <v>0</v>
      </c>
      <c r="K61" s="8">
        <f t="shared" si="6"/>
        <v>300</v>
      </c>
      <c r="L61" s="44">
        <v>0</v>
      </c>
      <c r="M61" s="42">
        <f t="shared" si="7"/>
        <v>300</v>
      </c>
      <c r="N61" s="16">
        <f t="shared" si="8"/>
        <v>175</v>
      </c>
      <c r="O61" s="43">
        <f t="shared" si="9"/>
        <v>125</v>
      </c>
      <c r="P61" s="40"/>
    </row>
    <row r="62" spans="1:16" ht="18.75">
      <c r="A62" s="7">
        <v>1</v>
      </c>
      <c r="B62" s="7">
        <v>54</v>
      </c>
      <c r="C62" s="6"/>
      <c r="D62" s="29" t="s">
        <v>92</v>
      </c>
      <c r="F62" s="8">
        <v>1</v>
      </c>
      <c r="G62" s="8">
        <v>0</v>
      </c>
      <c r="H62" s="12" t="s">
        <v>35</v>
      </c>
      <c r="I62" s="9">
        <f t="shared" si="5"/>
        <v>100</v>
      </c>
      <c r="J62" s="8">
        <v>0</v>
      </c>
      <c r="K62" s="8">
        <f t="shared" si="6"/>
        <v>100</v>
      </c>
      <c r="L62" s="44">
        <v>150</v>
      </c>
      <c r="M62" s="42">
        <f t="shared" si="7"/>
        <v>250</v>
      </c>
      <c r="N62" s="16">
        <f t="shared" si="8"/>
        <v>175</v>
      </c>
      <c r="O62" s="43">
        <f t="shared" si="9"/>
        <v>75</v>
      </c>
    </row>
    <row r="63" spans="1:16" ht="18.75">
      <c r="A63" s="7">
        <v>1</v>
      </c>
      <c r="B63" s="7">
        <v>61</v>
      </c>
      <c r="C63" s="6"/>
      <c r="D63" s="29" t="s">
        <v>99</v>
      </c>
      <c r="E63" s="29"/>
      <c r="F63" s="8">
        <v>0</v>
      </c>
      <c r="G63" s="8">
        <v>0</v>
      </c>
      <c r="H63" s="27" t="s">
        <v>23</v>
      </c>
      <c r="I63" s="9">
        <f t="shared" si="5"/>
        <v>0</v>
      </c>
      <c r="J63" s="8">
        <v>0</v>
      </c>
      <c r="K63" s="8">
        <f t="shared" si="6"/>
        <v>0</v>
      </c>
      <c r="L63" s="44">
        <v>225</v>
      </c>
      <c r="M63" s="42">
        <f t="shared" si="7"/>
        <v>225</v>
      </c>
      <c r="N63" s="16">
        <f t="shared" si="8"/>
        <v>0</v>
      </c>
      <c r="O63" s="43">
        <f t="shared" si="9"/>
        <v>225</v>
      </c>
    </row>
    <row r="64" spans="1:16" ht="18.75">
      <c r="A64" s="7">
        <v>1</v>
      </c>
      <c r="B64" s="7">
        <v>65</v>
      </c>
      <c r="D64" s="29" t="s">
        <v>105</v>
      </c>
      <c r="F64" s="8">
        <v>2</v>
      </c>
      <c r="H64" s="12" t="s">
        <v>35</v>
      </c>
      <c r="I64" s="9">
        <f t="shared" si="5"/>
        <v>200</v>
      </c>
      <c r="J64" s="8">
        <v>0</v>
      </c>
      <c r="K64" s="8">
        <f t="shared" si="6"/>
        <v>200</v>
      </c>
      <c r="L64" s="44">
        <v>0</v>
      </c>
      <c r="M64" s="42">
        <f t="shared" si="7"/>
        <v>200</v>
      </c>
      <c r="N64" s="16">
        <f t="shared" si="8"/>
        <v>175</v>
      </c>
      <c r="O64" s="43">
        <f t="shared" si="9"/>
        <v>25</v>
      </c>
    </row>
    <row r="65" spans="1:15" ht="18.75">
      <c r="A65" s="7">
        <v>1</v>
      </c>
      <c r="B65" s="7">
        <v>60</v>
      </c>
      <c r="C65" s="6"/>
      <c r="D65" s="29" t="s">
        <v>98</v>
      </c>
      <c r="F65" s="8">
        <v>2</v>
      </c>
      <c r="G65" s="8">
        <v>0</v>
      </c>
      <c r="H65" s="12" t="s">
        <v>35</v>
      </c>
      <c r="I65" s="9">
        <f t="shared" si="5"/>
        <v>200</v>
      </c>
      <c r="J65" s="8">
        <v>0</v>
      </c>
      <c r="K65" s="8">
        <f t="shared" si="6"/>
        <v>200</v>
      </c>
      <c r="L65" s="44">
        <v>0</v>
      </c>
      <c r="M65" s="42">
        <f t="shared" si="7"/>
        <v>200</v>
      </c>
      <c r="N65" s="16">
        <f t="shared" si="8"/>
        <v>175</v>
      </c>
      <c r="O65" s="43">
        <f t="shared" si="9"/>
        <v>25</v>
      </c>
    </row>
    <row r="66" spans="1:15" ht="18.75">
      <c r="A66" s="7">
        <v>1</v>
      </c>
      <c r="B66" s="7">
        <v>51</v>
      </c>
      <c r="C66" s="6"/>
      <c r="D66" s="29" t="s">
        <v>89</v>
      </c>
      <c r="E66" s="29"/>
      <c r="F66" s="8">
        <v>2</v>
      </c>
      <c r="G66" s="8">
        <v>0</v>
      </c>
      <c r="H66" s="12" t="s">
        <v>35</v>
      </c>
      <c r="I66" s="9">
        <f t="shared" si="5"/>
        <v>200</v>
      </c>
      <c r="J66" s="8">
        <v>0</v>
      </c>
      <c r="K66" s="8">
        <f t="shared" si="6"/>
        <v>200</v>
      </c>
      <c r="L66" s="44">
        <v>0</v>
      </c>
      <c r="M66" s="42">
        <f t="shared" si="7"/>
        <v>200</v>
      </c>
      <c r="N66" s="16">
        <f t="shared" si="8"/>
        <v>175</v>
      </c>
      <c r="O66" s="43">
        <f t="shared" si="9"/>
        <v>25</v>
      </c>
    </row>
    <row r="67" spans="1:15" ht="18.75">
      <c r="A67" s="7">
        <v>1</v>
      </c>
      <c r="B67" s="7">
        <v>59</v>
      </c>
      <c r="C67" s="6"/>
      <c r="D67" s="29" t="s">
        <v>97</v>
      </c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25</v>
      </c>
      <c r="M67" s="42">
        <f t="shared" si="7"/>
        <v>25</v>
      </c>
      <c r="N67" s="16">
        <f t="shared" si="8"/>
        <v>0</v>
      </c>
      <c r="O67" s="43">
        <f t="shared" si="9"/>
        <v>25</v>
      </c>
    </row>
    <row r="68" spans="1:15" ht="18.75">
      <c r="A68" s="7">
        <v>1</v>
      </c>
      <c r="B68" s="7">
        <v>19</v>
      </c>
      <c r="C68" s="6"/>
      <c r="D68" s="29" t="s">
        <v>57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69" spans="1:15" ht="18.75">
      <c r="A69" s="47">
        <v>1</v>
      </c>
      <c r="B69" s="7">
        <v>48</v>
      </c>
      <c r="C69" s="6"/>
      <c r="D69" s="29" t="s">
        <v>86</v>
      </c>
      <c r="E69" s="29"/>
      <c r="F69" s="8">
        <v>0</v>
      </c>
      <c r="G69" s="8">
        <v>0</v>
      </c>
      <c r="H69" s="27" t="s">
        <v>23</v>
      </c>
      <c r="I69" s="9">
        <f t="shared" si="5"/>
        <v>0</v>
      </c>
      <c r="J69" s="8">
        <v>0</v>
      </c>
      <c r="K69" s="8">
        <f t="shared" ref="K69" si="10">SUM(I69+J69)</f>
        <v>0</v>
      </c>
      <c r="L69" s="44">
        <v>0</v>
      </c>
      <c r="M69" s="42">
        <f t="shared" ref="M69" si="11">L69+K69</f>
        <v>0</v>
      </c>
      <c r="N69" s="16">
        <f t="shared" si="8"/>
        <v>0</v>
      </c>
      <c r="O69" s="43">
        <f t="shared" ref="O69" si="12">IF(M69-N69&gt;0,M69-N69,0)</f>
        <v>0</v>
      </c>
    </row>
    <row r="74" spans="1:15">
      <c r="K74" s="1">
        <f>SUM(K5:K63)</f>
        <v>20800</v>
      </c>
      <c r="N74" s="1">
        <f>SUM(N5:N63)</f>
        <v>11564</v>
      </c>
    </row>
  </sheetData>
  <autoFilter ref="A4:P68" xr:uid="{D50916F0-4EB1-4E61-AB8D-B58C4FC21503}">
    <sortState xmlns:xlrd2="http://schemas.microsoft.com/office/spreadsheetml/2017/richdata2" ref="A5:P69">
      <sortCondition descending="1" ref="M4:M68"/>
    </sortState>
  </autoFilter>
  <mergeCells count="4">
    <mergeCell ref="B1:O1"/>
    <mergeCell ref="B2:O2"/>
    <mergeCell ref="B3:E3"/>
    <mergeCell ref="H3:O3"/>
  </mergeCells>
  <conditionalFormatting sqref="F5:G5 G6:G68 F6:F69">
    <cfRule type="cellIs" dxfId="12" priority="3" operator="lessThan">
      <formula>1</formula>
    </cfRule>
  </conditionalFormatting>
  <conditionalFormatting sqref="J5:J69">
    <cfRule type="cellIs" dxfId="11" priority="2" operator="lessThan">
      <formula>1</formula>
    </cfRule>
  </conditionalFormatting>
  <hyperlinks>
    <hyperlink ref="D20" r:id="rId1" xr:uid="{5E141BDF-80A6-4651-AF85-9A51AC9361D0}"/>
  </hyperlinks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9208-5A84-4B3B-B651-F02803AAFBED}">
  <dimension ref="A1:Z74"/>
  <sheetViews>
    <sheetView topLeftCell="A46" zoomScale="79" zoomScaleNormal="85" workbookViewId="0">
      <selection activeCell="Q68" sqref="Q68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49" t="str">
        <f>CONCATENATE("5-8，97-104区 欧皇宝宝",R15,"年",R16,"月",R17,"日","分包贡献明细"," 统计：")</f>
        <v>5-8，97-104区 欧皇宝宝2026年1月10日分包贡献明细 统计：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1" t="s">
        <v>103</v>
      </c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54" t="s">
        <v>13</v>
      </c>
      <c r="C3" s="54"/>
      <c r="D3" s="54"/>
      <c r="E3" s="54"/>
      <c r="F3" s="38" t="s">
        <v>12</v>
      </c>
      <c r="G3" s="39" t="s">
        <v>29</v>
      </c>
      <c r="H3" s="55" t="s">
        <v>14</v>
      </c>
      <c r="I3" s="56"/>
      <c r="J3" s="56"/>
      <c r="K3" s="56"/>
      <c r="L3" s="56"/>
      <c r="M3" s="56"/>
      <c r="N3" s="56"/>
      <c r="O3" s="57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4</v>
      </c>
      <c r="C5" s="6"/>
      <c r="D5" s="29" t="s">
        <v>42</v>
      </c>
      <c r="E5" s="29"/>
      <c r="F5" s="8">
        <v>3</v>
      </c>
      <c r="G5" s="8">
        <v>0</v>
      </c>
      <c r="H5" s="19" t="s">
        <v>15</v>
      </c>
      <c r="I5" s="9">
        <f t="shared" ref="I5:I36" si="0">F5*100</f>
        <v>300</v>
      </c>
      <c r="J5" s="8">
        <v>0</v>
      </c>
      <c r="K5" s="8">
        <f t="shared" ref="K5:K36" si="1">SUM(I5+J5)</f>
        <v>300</v>
      </c>
      <c r="L5" s="44">
        <v>350</v>
      </c>
      <c r="M5" s="42">
        <f t="shared" ref="M5:M36" si="2">L5+K5</f>
        <v>650</v>
      </c>
      <c r="N5" s="16">
        <f t="shared" ref="N5:N36" si="3">VLOOKUP(H5,$Q$3:$R$10,2,FALSE)</f>
        <v>456</v>
      </c>
      <c r="O5" s="43">
        <f t="shared" ref="O5:O36" si="4">IF(M5-N5&gt;0,M5-N5,0)</f>
        <v>194</v>
      </c>
      <c r="P5" s="9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23</v>
      </c>
      <c r="C6" s="6"/>
      <c r="D6" s="29" t="s">
        <v>61</v>
      </c>
      <c r="E6" s="32"/>
      <c r="F6" s="8">
        <v>3</v>
      </c>
      <c r="G6" s="8">
        <v>0</v>
      </c>
      <c r="H6" s="19" t="s">
        <v>15</v>
      </c>
      <c r="I6" s="9">
        <f t="shared" si="0"/>
        <v>300</v>
      </c>
      <c r="J6" s="8">
        <v>0</v>
      </c>
      <c r="K6" s="8">
        <f t="shared" si="1"/>
        <v>300</v>
      </c>
      <c r="L6" s="44">
        <v>350</v>
      </c>
      <c r="M6" s="42">
        <f t="shared" si="2"/>
        <v>650</v>
      </c>
      <c r="N6" s="16">
        <f t="shared" si="3"/>
        <v>456</v>
      </c>
      <c r="O6" s="43">
        <f t="shared" si="4"/>
        <v>194</v>
      </c>
      <c r="P6" s="1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34</v>
      </c>
      <c r="C7" s="6"/>
      <c r="D7" s="29" t="s">
        <v>72</v>
      </c>
      <c r="E7" s="29"/>
      <c r="F7" s="8">
        <v>3</v>
      </c>
      <c r="G7" s="8">
        <v>0</v>
      </c>
      <c r="H7" s="19" t="s">
        <v>15</v>
      </c>
      <c r="I7" s="9">
        <f t="shared" si="0"/>
        <v>300</v>
      </c>
      <c r="J7" s="8">
        <v>0</v>
      </c>
      <c r="K7" s="8">
        <f t="shared" si="1"/>
        <v>300</v>
      </c>
      <c r="L7" s="44">
        <v>350</v>
      </c>
      <c r="M7" s="42">
        <f t="shared" si="2"/>
        <v>650</v>
      </c>
      <c r="N7" s="16">
        <f t="shared" si="3"/>
        <v>456</v>
      </c>
      <c r="O7" s="43">
        <f t="shared" si="4"/>
        <v>194</v>
      </c>
      <c r="P7" s="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43</v>
      </c>
      <c r="C8" s="6"/>
      <c r="D8" s="29" t="s">
        <v>81</v>
      </c>
      <c r="E8" s="31"/>
      <c r="F8" s="8">
        <v>3</v>
      </c>
      <c r="G8" s="8">
        <v>0</v>
      </c>
      <c r="H8" s="19" t="s">
        <v>15</v>
      </c>
      <c r="I8" s="9">
        <f t="shared" si="0"/>
        <v>300</v>
      </c>
      <c r="J8" s="8">
        <v>0</v>
      </c>
      <c r="K8" s="8">
        <f t="shared" si="1"/>
        <v>300</v>
      </c>
      <c r="L8" s="44">
        <v>350</v>
      </c>
      <c r="M8" s="42">
        <f t="shared" si="2"/>
        <v>650</v>
      </c>
      <c r="N8" s="16">
        <f t="shared" si="3"/>
        <v>456</v>
      </c>
      <c r="O8" s="43">
        <f t="shared" si="4"/>
        <v>194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64</v>
      </c>
      <c r="C9" s="6"/>
      <c r="D9" s="29" t="s">
        <v>102</v>
      </c>
      <c r="E9" s="29"/>
      <c r="F9" s="8">
        <v>3</v>
      </c>
      <c r="G9" s="8">
        <v>0</v>
      </c>
      <c r="H9" s="19" t="s">
        <v>15</v>
      </c>
      <c r="I9" s="9">
        <f t="shared" si="0"/>
        <v>300</v>
      </c>
      <c r="J9" s="8">
        <v>0</v>
      </c>
      <c r="K9" s="8">
        <f t="shared" si="1"/>
        <v>300</v>
      </c>
      <c r="L9" s="44">
        <v>350</v>
      </c>
      <c r="M9" s="42">
        <f t="shared" si="2"/>
        <v>650</v>
      </c>
      <c r="N9" s="16">
        <f t="shared" si="3"/>
        <v>456</v>
      </c>
      <c r="O9" s="43">
        <f t="shared" si="4"/>
        <v>194</v>
      </c>
      <c r="P9" s="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13</v>
      </c>
      <c r="C10" s="6"/>
      <c r="D10" s="29" t="s">
        <v>51</v>
      </c>
      <c r="E10" s="29"/>
      <c r="F10" s="8">
        <v>3</v>
      </c>
      <c r="G10" s="8">
        <v>0</v>
      </c>
      <c r="H10" s="19" t="s">
        <v>15</v>
      </c>
      <c r="I10" s="9">
        <f t="shared" si="0"/>
        <v>300</v>
      </c>
      <c r="J10" s="8">
        <v>0</v>
      </c>
      <c r="K10" s="8">
        <f t="shared" si="1"/>
        <v>300</v>
      </c>
      <c r="L10" s="44">
        <v>320</v>
      </c>
      <c r="M10" s="42">
        <f t="shared" si="2"/>
        <v>620</v>
      </c>
      <c r="N10" s="16">
        <f t="shared" si="3"/>
        <v>456</v>
      </c>
      <c r="O10" s="43">
        <f t="shared" si="4"/>
        <v>164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1</v>
      </c>
      <c r="C11" s="6"/>
      <c r="D11" s="29" t="s">
        <v>39</v>
      </c>
      <c r="E11" s="29"/>
      <c r="F11" s="8">
        <v>3</v>
      </c>
      <c r="G11" s="8">
        <v>0</v>
      </c>
      <c r="H11" s="19" t="s">
        <v>15</v>
      </c>
      <c r="I11" s="9">
        <f t="shared" si="0"/>
        <v>300</v>
      </c>
      <c r="J11" s="8">
        <v>0</v>
      </c>
      <c r="K11" s="8">
        <f t="shared" si="1"/>
        <v>300</v>
      </c>
      <c r="L11" s="44">
        <v>313</v>
      </c>
      <c r="M11" s="42">
        <f t="shared" si="2"/>
        <v>613</v>
      </c>
      <c r="N11" s="16">
        <f t="shared" si="3"/>
        <v>456</v>
      </c>
      <c r="O11" s="43">
        <f t="shared" si="4"/>
        <v>157</v>
      </c>
      <c r="P11" s="9"/>
      <c r="Q11" s="24"/>
    </row>
    <row r="12" spans="1:25" ht="18.75">
      <c r="A12" s="7">
        <v>1</v>
      </c>
      <c r="B12" s="7">
        <v>3</v>
      </c>
      <c r="C12" s="6"/>
      <c r="D12" s="29" t="s">
        <v>41</v>
      </c>
      <c r="E12" s="29"/>
      <c r="F12" s="8">
        <v>3</v>
      </c>
      <c r="G12" s="8">
        <v>0</v>
      </c>
      <c r="H12" s="20" t="s">
        <v>21</v>
      </c>
      <c r="I12" s="9">
        <f t="shared" si="0"/>
        <v>300</v>
      </c>
      <c r="J12" s="8">
        <v>0</v>
      </c>
      <c r="K12" s="8">
        <f t="shared" si="1"/>
        <v>300</v>
      </c>
      <c r="L12" s="44">
        <v>313</v>
      </c>
      <c r="M12" s="42">
        <f t="shared" si="2"/>
        <v>613</v>
      </c>
      <c r="N12" s="16">
        <f t="shared" si="3"/>
        <v>372</v>
      </c>
      <c r="O12" s="43">
        <f t="shared" si="4"/>
        <v>241</v>
      </c>
      <c r="P12" s="9"/>
      <c r="Q12" s="25" t="s">
        <v>24</v>
      </c>
      <c r="R12">
        <v>15000</v>
      </c>
    </row>
    <row r="13" spans="1:25" s="1" customFormat="1" ht="18.75">
      <c r="A13" s="7">
        <v>1</v>
      </c>
      <c r="B13" s="7">
        <v>5</v>
      </c>
      <c r="C13" s="6"/>
      <c r="D13" s="29" t="s">
        <v>43</v>
      </c>
      <c r="E13" s="29"/>
      <c r="F13" s="8">
        <v>3</v>
      </c>
      <c r="G13" s="8">
        <v>0</v>
      </c>
      <c r="H13" s="20" t="s">
        <v>21</v>
      </c>
      <c r="I13" s="9">
        <f t="shared" si="0"/>
        <v>300</v>
      </c>
      <c r="J13" s="8">
        <v>0</v>
      </c>
      <c r="K13" s="8">
        <f t="shared" si="1"/>
        <v>300</v>
      </c>
      <c r="L13" s="44">
        <v>313</v>
      </c>
      <c r="M13" s="42">
        <f t="shared" si="2"/>
        <v>613</v>
      </c>
      <c r="N13" s="16">
        <f t="shared" si="3"/>
        <v>372</v>
      </c>
      <c r="O13" s="43">
        <f t="shared" si="4"/>
        <v>241</v>
      </c>
      <c r="P13" s="21"/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10</v>
      </c>
      <c r="C14" s="6"/>
      <c r="D14" s="29" t="s">
        <v>48</v>
      </c>
      <c r="E14" s="31"/>
      <c r="F14" s="8">
        <v>3</v>
      </c>
      <c r="G14" s="8">
        <v>0</v>
      </c>
      <c r="H14" s="20" t="s">
        <v>21</v>
      </c>
      <c r="I14" s="9">
        <f t="shared" si="0"/>
        <v>300</v>
      </c>
      <c r="J14" s="8">
        <v>0</v>
      </c>
      <c r="K14" s="8">
        <f t="shared" si="1"/>
        <v>300</v>
      </c>
      <c r="L14" s="44">
        <v>313</v>
      </c>
      <c r="M14" s="42">
        <f t="shared" si="2"/>
        <v>613</v>
      </c>
      <c r="N14" s="16">
        <f t="shared" si="3"/>
        <v>372</v>
      </c>
      <c r="O14" s="43">
        <f t="shared" si="4"/>
        <v>241</v>
      </c>
      <c r="P14" s="21"/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11</v>
      </c>
      <c r="C15" s="6"/>
      <c r="D15" s="29" t="s">
        <v>49</v>
      </c>
      <c r="E15" s="29"/>
      <c r="F15" s="8">
        <v>3</v>
      </c>
      <c r="G15" s="8">
        <v>0</v>
      </c>
      <c r="H15" s="20" t="s">
        <v>21</v>
      </c>
      <c r="I15" s="9">
        <f t="shared" si="0"/>
        <v>300</v>
      </c>
      <c r="J15" s="8">
        <v>0</v>
      </c>
      <c r="K15" s="8">
        <f t="shared" si="1"/>
        <v>300</v>
      </c>
      <c r="L15" s="44">
        <v>313</v>
      </c>
      <c r="M15" s="42">
        <f t="shared" si="2"/>
        <v>613</v>
      </c>
      <c r="N15" s="16">
        <f t="shared" si="3"/>
        <v>372</v>
      </c>
      <c r="O15" s="43">
        <f t="shared" si="4"/>
        <v>241</v>
      </c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18</v>
      </c>
      <c r="C16" s="6"/>
      <c r="D16" s="29" t="s">
        <v>56</v>
      </c>
      <c r="E16" s="29"/>
      <c r="F16" s="8">
        <v>3</v>
      </c>
      <c r="G16" s="8">
        <v>0</v>
      </c>
      <c r="H16" s="20" t="s">
        <v>21</v>
      </c>
      <c r="I16" s="9">
        <f t="shared" si="0"/>
        <v>300</v>
      </c>
      <c r="J16" s="8">
        <v>0</v>
      </c>
      <c r="K16" s="8">
        <f t="shared" si="1"/>
        <v>300</v>
      </c>
      <c r="L16" s="44">
        <v>313</v>
      </c>
      <c r="M16" s="42">
        <f t="shared" si="2"/>
        <v>613</v>
      </c>
      <c r="N16" s="16">
        <f t="shared" si="3"/>
        <v>372</v>
      </c>
      <c r="O16" s="43">
        <f t="shared" si="4"/>
        <v>241</v>
      </c>
      <c r="Q16" t="s">
        <v>27</v>
      </c>
      <c r="R16">
        <v>1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24</v>
      </c>
      <c r="C17" s="6"/>
      <c r="D17" s="29" t="s">
        <v>62</v>
      </c>
      <c r="E17" s="32"/>
      <c r="F17" s="8">
        <v>3</v>
      </c>
      <c r="G17" s="8">
        <v>0</v>
      </c>
      <c r="H17" s="20" t="s">
        <v>21</v>
      </c>
      <c r="I17" s="9">
        <f t="shared" si="0"/>
        <v>300</v>
      </c>
      <c r="J17" s="8">
        <v>0</v>
      </c>
      <c r="K17" s="8">
        <f t="shared" si="1"/>
        <v>300</v>
      </c>
      <c r="L17" s="44">
        <v>313</v>
      </c>
      <c r="M17" s="42">
        <f t="shared" si="2"/>
        <v>613</v>
      </c>
      <c r="N17" s="16">
        <f t="shared" si="3"/>
        <v>372</v>
      </c>
      <c r="O17" s="43">
        <f t="shared" si="4"/>
        <v>241</v>
      </c>
      <c r="Q17" t="s">
        <v>28</v>
      </c>
      <c r="R17">
        <v>10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40</v>
      </c>
      <c r="C18" s="6"/>
      <c r="D18" s="30" t="s">
        <v>78</v>
      </c>
      <c r="F18" s="8">
        <v>3</v>
      </c>
      <c r="G18" s="8">
        <v>0</v>
      </c>
      <c r="H18" s="20" t="s">
        <v>21</v>
      </c>
      <c r="I18" s="9">
        <f t="shared" si="0"/>
        <v>300</v>
      </c>
      <c r="J18" s="8">
        <v>0</v>
      </c>
      <c r="K18" s="8">
        <f t="shared" si="1"/>
        <v>300</v>
      </c>
      <c r="L18" s="44">
        <v>313</v>
      </c>
      <c r="M18" s="42">
        <f t="shared" si="2"/>
        <v>613</v>
      </c>
      <c r="N18" s="16">
        <f t="shared" si="3"/>
        <v>372</v>
      </c>
      <c r="O18" s="43">
        <f t="shared" si="4"/>
        <v>241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41</v>
      </c>
      <c r="C19" s="6"/>
      <c r="D19" s="29" t="s">
        <v>79</v>
      </c>
      <c r="E19" s="32"/>
      <c r="F19" s="8">
        <v>3</v>
      </c>
      <c r="G19" s="8">
        <v>0</v>
      </c>
      <c r="H19" s="12" t="s">
        <v>22</v>
      </c>
      <c r="I19" s="9">
        <f t="shared" si="0"/>
        <v>300</v>
      </c>
      <c r="J19" s="8">
        <v>0</v>
      </c>
      <c r="K19" s="8">
        <f t="shared" si="1"/>
        <v>300</v>
      </c>
      <c r="L19" s="44">
        <v>313</v>
      </c>
      <c r="M19" s="42">
        <f t="shared" si="2"/>
        <v>613</v>
      </c>
      <c r="N19" s="16">
        <f t="shared" si="3"/>
        <v>300</v>
      </c>
      <c r="O19" s="43">
        <f t="shared" si="4"/>
        <v>313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46</v>
      </c>
      <c r="C20" s="6"/>
      <c r="D20" s="29" t="s">
        <v>84</v>
      </c>
      <c r="E20" s="29"/>
      <c r="F20" s="8">
        <v>3</v>
      </c>
      <c r="G20" s="8">
        <v>0</v>
      </c>
      <c r="H20" s="12" t="s">
        <v>22</v>
      </c>
      <c r="I20" s="9">
        <f t="shared" si="0"/>
        <v>300</v>
      </c>
      <c r="J20" s="8">
        <v>0</v>
      </c>
      <c r="K20" s="8">
        <f t="shared" si="1"/>
        <v>300</v>
      </c>
      <c r="L20" s="44">
        <v>313</v>
      </c>
      <c r="M20" s="42">
        <f t="shared" si="2"/>
        <v>613</v>
      </c>
      <c r="N20" s="16">
        <f t="shared" si="3"/>
        <v>300</v>
      </c>
      <c r="O20" s="43">
        <f t="shared" si="4"/>
        <v>313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49</v>
      </c>
      <c r="C21" s="6"/>
      <c r="D21" s="29" t="s">
        <v>87</v>
      </c>
      <c r="E21" s="29"/>
      <c r="F21" s="8">
        <v>3</v>
      </c>
      <c r="G21" s="8">
        <v>0</v>
      </c>
      <c r="H21" s="12" t="s">
        <v>22</v>
      </c>
      <c r="I21" s="9">
        <f t="shared" si="0"/>
        <v>300</v>
      </c>
      <c r="J21" s="8">
        <v>0</v>
      </c>
      <c r="K21" s="8">
        <f t="shared" si="1"/>
        <v>300</v>
      </c>
      <c r="L21" s="44">
        <v>313</v>
      </c>
      <c r="M21" s="42">
        <f t="shared" si="2"/>
        <v>613</v>
      </c>
      <c r="N21" s="16">
        <f t="shared" si="3"/>
        <v>300</v>
      </c>
      <c r="O21" s="43">
        <f t="shared" si="4"/>
        <v>313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55</v>
      </c>
      <c r="C22" s="6"/>
      <c r="D22" s="29" t="s">
        <v>93</v>
      </c>
      <c r="F22" s="8">
        <v>3</v>
      </c>
      <c r="G22" s="8">
        <v>0</v>
      </c>
      <c r="H22" s="12" t="s">
        <v>22</v>
      </c>
      <c r="I22" s="9">
        <f t="shared" si="0"/>
        <v>300</v>
      </c>
      <c r="J22" s="8">
        <v>0</v>
      </c>
      <c r="K22" s="8">
        <f t="shared" si="1"/>
        <v>300</v>
      </c>
      <c r="L22" s="44">
        <v>313</v>
      </c>
      <c r="M22" s="42">
        <f t="shared" si="2"/>
        <v>613</v>
      </c>
      <c r="N22" s="16">
        <f t="shared" si="3"/>
        <v>300</v>
      </c>
      <c r="O22" s="43">
        <f t="shared" si="4"/>
        <v>313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62</v>
      </c>
      <c r="C23" s="6"/>
      <c r="D23" s="29" t="s">
        <v>100</v>
      </c>
      <c r="E23" s="29"/>
      <c r="F23" s="8">
        <v>3</v>
      </c>
      <c r="G23" s="8">
        <v>0</v>
      </c>
      <c r="H23" s="12" t="s">
        <v>22</v>
      </c>
      <c r="I23" s="9">
        <f t="shared" si="0"/>
        <v>300</v>
      </c>
      <c r="J23" s="8">
        <v>0</v>
      </c>
      <c r="K23" s="8">
        <f t="shared" si="1"/>
        <v>300</v>
      </c>
      <c r="L23" s="44">
        <v>313</v>
      </c>
      <c r="M23" s="42">
        <f t="shared" si="2"/>
        <v>613</v>
      </c>
      <c r="N23" s="16">
        <f t="shared" si="3"/>
        <v>300</v>
      </c>
      <c r="O23" s="43">
        <f t="shared" si="4"/>
        <v>313</v>
      </c>
      <c r="P23" s="1"/>
    </row>
    <row r="24" spans="1:26" ht="18.75">
      <c r="A24" s="7">
        <v>1</v>
      </c>
      <c r="B24" s="7">
        <v>36</v>
      </c>
      <c r="C24" s="6"/>
      <c r="D24" s="29" t="s">
        <v>74</v>
      </c>
      <c r="E24" s="29"/>
      <c r="F24" s="8">
        <v>3</v>
      </c>
      <c r="G24" s="8">
        <v>0</v>
      </c>
      <c r="H24" s="12" t="s">
        <v>22</v>
      </c>
      <c r="I24" s="9">
        <f t="shared" si="0"/>
        <v>300</v>
      </c>
      <c r="J24" s="8">
        <v>0</v>
      </c>
      <c r="K24" s="8">
        <f t="shared" si="1"/>
        <v>300</v>
      </c>
      <c r="L24" s="44">
        <v>294</v>
      </c>
      <c r="M24" s="42">
        <f t="shared" si="2"/>
        <v>594</v>
      </c>
      <c r="N24" s="16">
        <f t="shared" si="3"/>
        <v>300</v>
      </c>
      <c r="O24" s="43">
        <f t="shared" si="4"/>
        <v>294</v>
      </c>
      <c r="P24" s="1"/>
    </row>
    <row r="25" spans="1:26" ht="18.75">
      <c r="A25" s="7">
        <v>1</v>
      </c>
      <c r="B25" s="7">
        <v>37</v>
      </c>
      <c r="C25" s="6"/>
      <c r="D25" s="29" t="s">
        <v>75</v>
      </c>
      <c r="F25" s="8">
        <v>3</v>
      </c>
      <c r="G25" s="8">
        <v>0</v>
      </c>
      <c r="H25" s="12" t="s">
        <v>22</v>
      </c>
      <c r="I25" s="9">
        <f t="shared" si="0"/>
        <v>300</v>
      </c>
      <c r="J25" s="8">
        <v>0</v>
      </c>
      <c r="K25" s="8">
        <f t="shared" si="1"/>
        <v>300</v>
      </c>
      <c r="L25" s="44">
        <v>294</v>
      </c>
      <c r="M25" s="42">
        <f t="shared" si="2"/>
        <v>594</v>
      </c>
      <c r="N25" s="16">
        <f t="shared" si="3"/>
        <v>300</v>
      </c>
      <c r="O25" s="43">
        <f t="shared" si="4"/>
        <v>294</v>
      </c>
      <c r="P25" s="1"/>
    </row>
    <row r="26" spans="1:26" ht="18.75" customHeight="1">
      <c r="A26" s="7">
        <v>1</v>
      </c>
      <c r="B26" s="7">
        <v>42</v>
      </c>
      <c r="C26" s="6"/>
      <c r="D26" s="29" t="s">
        <v>80</v>
      </c>
      <c r="E26" s="32"/>
      <c r="F26" s="8">
        <v>3</v>
      </c>
      <c r="G26" s="8">
        <v>0</v>
      </c>
      <c r="H26" s="12" t="s">
        <v>22</v>
      </c>
      <c r="I26" s="9">
        <f t="shared" si="0"/>
        <v>300</v>
      </c>
      <c r="J26" s="8">
        <v>0</v>
      </c>
      <c r="K26" s="8">
        <f t="shared" si="1"/>
        <v>300</v>
      </c>
      <c r="L26" s="44">
        <v>294</v>
      </c>
      <c r="M26" s="42">
        <f t="shared" si="2"/>
        <v>594</v>
      </c>
      <c r="N26" s="16">
        <f t="shared" si="3"/>
        <v>300</v>
      </c>
      <c r="O26" s="43">
        <f t="shared" si="4"/>
        <v>294</v>
      </c>
      <c r="P26" s="1"/>
    </row>
    <row r="27" spans="1:26" ht="18.75">
      <c r="A27" s="7">
        <v>1</v>
      </c>
      <c r="B27" s="7">
        <v>44</v>
      </c>
      <c r="C27" s="6"/>
      <c r="D27" s="29" t="s">
        <v>82</v>
      </c>
      <c r="E27" s="29"/>
      <c r="F27" s="8">
        <v>3</v>
      </c>
      <c r="G27" s="8">
        <v>0</v>
      </c>
      <c r="H27" s="12" t="s">
        <v>22</v>
      </c>
      <c r="I27" s="9">
        <f t="shared" si="0"/>
        <v>300</v>
      </c>
      <c r="J27" s="8">
        <v>0</v>
      </c>
      <c r="K27" s="8">
        <f t="shared" si="1"/>
        <v>300</v>
      </c>
      <c r="L27" s="44">
        <v>294</v>
      </c>
      <c r="M27" s="42">
        <f t="shared" si="2"/>
        <v>594</v>
      </c>
      <c r="N27" s="16">
        <f t="shared" si="3"/>
        <v>300</v>
      </c>
      <c r="O27" s="43">
        <f t="shared" si="4"/>
        <v>294</v>
      </c>
      <c r="P27" s="1"/>
    </row>
    <row r="28" spans="1:26" ht="18.75">
      <c r="A28" s="7">
        <v>1</v>
      </c>
      <c r="B28" s="7">
        <v>45</v>
      </c>
      <c r="C28" s="6"/>
      <c r="D28" s="29" t="s">
        <v>83</v>
      </c>
      <c r="E28" s="29"/>
      <c r="F28" s="8">
        <v>3</v>
      </c>
      <c r="G28" s="8">
        <v>0</v>
      </c>
      <c r="H28" s="12" t="s">
        <v>22</v>
      </c>
      <c r="I28" s="9">
        <f t="shared" si="0"/>
        <v>300</v>
      </c>
      <c r="J28" s="8">
        <v>0</v>
      </c>
      <c r="K28" s="8">
        <f t="shared" si="1"/>
        <v>300</v>
      </c>
      <c r="L28" s="44">
        <v>294</v>
      </c>
      <c r="M28" s="42">
        <f t="shared" si="2"/>
        <v>594</v>
      </c>
      <c r="N28" s="16">
        <f t="shared" si="3"/>
        <v>300</v>
      </c>
      <c r="O28" s="43">
        <f t="shared" si="4"/>
        <v>294</v>
      </c>
      <c r="P28" s="1"/>
    </row>
    <row r="29" spans="1:26" s="1" customFormat="1" ht="18.75">
      <c r="A29" s="7">
        <v>1</v>
      </c>
      <c r="B29" s="7">
        <v>12</v>
      </c>
      <c r="C29" s="6"/>
      <c r="D29" s="29" t="s">
        <v>50</v>
      </c>
      <c r="E29" s="29"/>
      <c r="F29" s="8">
        <v>3</v>
      </c>
      <c r="G29" s="8">
        <v>0</v>
      </c>
      <c r="H29" s="12" t="s">
        <v>22</v>
      </c>
      <c r="I29" s="9">
        <f t="shared" si="0"/>
        <v>300</v>
      </c>
      <c r="J29" s="8">
        <v>0</v>
      </c>
      <c r="K29" s="8">
        <f t="shared" si="1"/>
        <v>300</v>
      </c>
      <c r="L29" s="44">
        <v>285</v>
      </c>
      <c r="M29" s="42">
        <f t="shared" si="2"/>
        <v>585</v>
      </c>
      <c r="N29" s="16">
        <f t="shared" si="3"/>
        <v>300</v>
      </c>
      <c r="O29" s="43">
        <f t="shared" si="4"/>
        <v>285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58</v>
      </c>
      <c r="C30" s="6"/>
      <c r="D30" s="29" t="s">
        <v>96</v>
      </c>
      <c r="F30" s="8">
        <v>3</v>
      </c>
      <c r="G30" s="8">
        <v>0</v>
      </c>
      <c r="H30" s="12" t="s">
        <v>22</v>
      </c>
      <c r="I30" s="9">
        <f t="shared" si="0"/>
        <v>300</v>
      </c>
      <c r="J30" s="8">
        <v>0</v>
      </c>
      <c r="K30" s="8">
        <f t="shared" si="1"/>
        <v>300</v>
      </c>
      <c r="L30" s="44">
        <v>278</v>
      </c>
      <c r="M30" s="42">
        <f t="shared" si="2"/>
        <v>578</v>
      </c>
      <c r="N30" s="16">
        <f t="shared" si="3"/>
        <v>300</v>
      </c>
      <c r="O30" s="43">
        <f t="shared" si="4"/>
        <v>278</v>
      </c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9</v>
      </c>
      <c r="C31" s="6"/>
      <c r="D31" s="29" t="s">
        <v>47</v>
      </c>
      <c r="E31" s="33"/>
      <c r="F31" s="8">
        <v>2</v>
      </c>
      <c r="G31" s="8">
        <v>0</v>
      </c>
      <c r="H31" s="12" t="s">
        <v>22</v>
      </c>
      <c r="I31" s="9">
        <f t="shared" si="0"/>
        <v>200</v>
      </c>
      <c r="J31" s="8">
        <v>0</v>
      </c>
      <c r="K31" s="8">
        <f t="shared" si="1"/>
        <v>200</v>
      </c>
      <c r="L31" s="44">
        <v>350</v>
      </c>
      <c r="M31" s="42">
        <f t="shared" si="2"/>
        <v>550</v>
      </c>
      <c r="N31" s="16">
        <f t="shared" si="3"/>
        <v>300</v>
      </c>
      <c r="O31" s="43">
        <f t="shared" si="4"/>
        <v>250</v>
      </c>
      <c r="P31" s="21"/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16</v>
      </c>
      <c r="C32" s="6"/>
      <c r="D32" s="29" t="s">
        <v>54</v>
      </c>
      <c r="E32" s="32"/>
      <c r="F32" s="8">
        <v>3</v>
      </c>
      <c r="G32" s="8">
        <v>0</v>
      </c>
      <c r="H32" s="12" t="s">
        <v>22</v>
      </c>
      <c r="I32" s="9">
        <f t="shared" si="0"/>
        <v>300</v>
      </c>
      <c r="J32" s="8">
        <v>0</v>
      </c>
      <c r="K32" s="8">
        <f t="shared" si="1"/>
        <v>300</v>
      </c>
      <c r="L32" s="44">
        <v>250</v>
      </c>
      <c r="M32" s="42">
        <f t="shared" si="2"/>
        <v>550</v>
      </c>
      <c r="N32" s="16">
        <f t="shared" si="3"/>
        <v>300</v>
      </c>
      <c r="O32" s="43">
        <f t="shared" si="4"/>
        <v>250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27</v>
      </c>
      <c r="C33" s="6"/>
      <c r="D33" s="29" t="s">
        <v>65</v>
      </c>
      <c r="E33" s="32"/>
      <c r="F33" s="8">
        <v>2</v>
      </c>
      <c r="G33" s="8">
        <v>0</v>
      </c>
      <c r="H33" s="12" t="s">
        <v>22</v>
      </c>
      <c r="I33" s="9">
        <f t="shared" si="0"/>
        <v>200</v>
      </c>
      <c r="J33" s="8">
        <v>0</v>
      </c>
      <c r="K33" s="8">
        <f t="shared" si="1"/>
        <v>200</v>
      </c>
      <c r="L33" s="44">
        <v>350</v>
      </c>
      <c r="M33" s="42">
        <f t="shared" si="2"/>
        <v>550</v>
      </c>
      <c r="N33" s="16">
        <f t="shared" si="3"/>
        <v>300</v>
      </c>
      <c r="O33" s="43">
        <f t="shared" si="4"/>
        <v>250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35</v>
      </c>
      <c r="C34" s="6"/>
      <c r="D34" s="29" t="s">
        <v>73</v>
      </c>
      <c r="E34" s="29"/>
      <c r="F34" s="8">
        <v>2</v>
      </c>
      <c r="G34" s="8">
        <v>0</v>
      </c>
      <c r="H34" s="12" t="s">
        <v>22</v>
      </c>
      <c r="I34" s="9">
        <f t="shared" si="0"/>
        <v>200</v>
      </c>
      <c r="J34" s="8">
        <v>0</v>
      </c>
      <c r="K34" s="8">
        <f t="shared" si="1"/>
        <v>200</v>
      </c>
      <c r="L34" s="44">
        <v>350</v>
      </c>
      <c r="M34" s="42">
        <f t="shared" si="2"/>
        <v>550</v>
      </c>
      <c r="N34" s="16">
        <f t="shared" si="3"/>
        <v>300</v>
      </c>
      <c r="O34" s="43">
        <f t="shared" si="4"/>
        <v>250</v>
      </c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50</v>
      </c>
      <c r="C35" s="6"/>
      <c r="D35" s="29" t="s">
        <v>88</v>
      </c>
      <c r="E35" s="29"/>
      <c r="F35" s="8">
        <v>2</v>
      </c>
      <c r="G35" s="8">
        <v>0</v>
      </c>
      <c r="H35" s="12" t="s">
        <v>22</v>
      </c>
      <c r="I35" s="9">
        <f t="shared" si="0"/>
        <v>200</v>
      </c>
      <c r="J35" s="8">
        <v>0</v>
      </c>
      <c r="K35" s="8">
        <f t="shared" si="1"/>
        <v>200</v>
      </c>
      <c r="L35" s="44">
        <v>350</v>
      </c>
      <c r="M35" s="42">
        <f t="shared" si="2"/>
        <v>550</v>
      </c>
      <c r="N35" s="16">
        <f t="shared" si="3"/>
        <v>300</v>
      </c>
      <c r="O35" s="43">
        <f t="shared" si="4"/>
        <v>250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53</v>
      </c>
      <c r="C36" s="6"/>
      <c r="D36" s="29" t="s">
        <v>91</v>
      </c>
      <c r="E36" s="29"/>
      <c r="F36" s="8">
        <v>2</v>
      </c>
      <c r="G36" s="8">
        <v>0</v>
      </c>
      <c r="H36" s="12" t="s">
        <v>22</v>
      </c>
      <c r="I36" s="9">
        <f t="shared" si="0"/>
        <v>200</v>
      </c>
      <c r="J36" s="8">
        <v>0</v>
      </c>
      <c r="K36" s="8">
        <f t="shared" si="1"/>
        <v>200</v>
      </c>
      <c r="L36" s="44">
        <v>350</v>
      </c>
      <c r="M36" s="42">
        <f t="shared" si="2"/>
        <v>550</v>
      </c>
      <c r="N36" s="16">
        <f t="shared" si="3"/>
        <v>300</v>
      </c>
      <c r="O36" s="43">
        <f t="shared" si="4"/>
        <v>250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56</v>
      </c>
      <c r="C37" s="6"/>
      <c r="D37" s="29" t="s">
        <v>94</v>
      </c>
      <c r="E37" s="29"/>
      <c r="F37" s="8">
        <v>3</v>
      </c>
      <c r="G37" s="8">
        <v>0</v>
      </c>
      <c r="H37" s="12" t="s">
        <v>22</v>
      </c>
      <c r="I37" s="9">
        <f t="shared" ref="I37:I69" si="5">F37*100</f>
        <v>300</v>
      </c>
      <c r="J37" s="8">
        <v>0</v>
      </c>
      <c r="K37" s="8">
        <f t="shared" ref="K37:K68" si="6">SUM(I37+J37)</f>
        <v>300</v>
      </c>
      <c r="L37" s="44">
        <v>250</v>
      </c>
      <c r="M37" s="42">
        <f t="shared" ref="M37:M68" si="7">L37+K37</f>
        <v>550</v>
      </c>
      <c r="N37" s="16">
        <f t="shared" ref="N37:N69" si="8">VLOOKUP(H37,$Q$3:$R$10,2,FALSE)</f>
        <v>300</v>
      </c>
      <c r="O37" s="43">
        <f t="shared" ref="O37:O68" si="9">IF(M37-N37&gt;0,M37-N37,0)</f>
        <v>250</v>
      </c>
      <c r="P37" s="1"/>
    </row>
    <row r="38" spans="1:26" s="1" customFormat="1" ht="18.75">
      <c r="A38" s="7">
        <v>1</v>
      </c>
      <c r="B38" s="7">
        <v>57</v>
      </c>
      <c r="C38" s="6"/>
      <c r="D38" s="29" t="s">
        <v>95</v>
      </c>
      <c r="F38" s="8">
        <v>3</v>
      </c>
      <c r="G38" s="8">
        <v>0</v>
      </c>
      <c r="H38" s="12" t="s">
        <v>22</v>
      </c>
      <c r="I38" s="9">
        <f t="shared" si="5"/>
        <v>300</v>
      </c>
      <c r="J38" s="8">
        <v>0</v>
      </c>
      <c r="K38" s="8">
        <f t="shared" si="6"/>
        <v>300</v>
      </c>
      <c r="L38" s="44">
        <v>250</v>
      </c>
      <c r="M38" s="42">
        <f t="shared" si="7"/>
        <v>550</v>
      </c>
      <c r="N38" s="16">
        <f t="shared" si="8"/>
        <v>300</v>
      </c>
      <c r="O38" s="43">
        <f t="shared" si="9"/>
        <v>250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63</v>
      </c>
      <c r="C39" s="6"/>
      <c r="D39" s="29" t="s">
        <v>101</v>
      </c>
      <c r="E39" s="1"/>
      <c r="F39" s="8">
        <v>3</v>
      </c>
      <c r="G39" s="8">
        <v>0</v>
      </c>
      <c r="H39" s="12" t="s">
        <v>22</v>
      </c>
      <c r="I39" s="9">
        <f t="shared" si="5"/>
        <v>300</v>
      </c>
      <c r="J39" s="8">
        <v>0</v>
      </c>
      <c r="K39" s="8">
        <f t="shared" si="6"/>
        <v>300</v>
      </c>
      <c r="L39" s="44">
        <v>250</v>
      </c>
      <c r="M39" s="42">
        <f t="shared" si="7"/>
        <v>550</v>
      </c>
      <c r="N39" s="16">
        <f t="shared" si="8"/>
        <v>300</v>
      </c>
      <c r="O39" s="43">
        <f t="shared" si="9"/>
        <v>250</v>
      </c>
      <c r="P39" s="1"/>
    </row>
    <row r="40" spans="1:26" ht="18.75">
      <c r="A40" s="7">
        <v>1</v>
      </c>
      <c r="B40" s="7">
        <v>17</v>
      </c>
      <c r="C40" s="6"/>
      <c r="D40" s="29" t="s">
        <v>55</v>
      </c>
      <c r="E40" s="29"/>
      <c r="F40" s="8">
        <v>3</v>
      </c>
      <c r="G40" s="8">
        <v>0</v>
      </c>
      <c r="H40" s="12" t="s">
        <v>22</v>
      </c>
      <c r="I40" s="9">
        <f t="shared" si="5"/>
        <v>300</v>
      </c>
      <c r="J40" s="8">
        <v>0</v>
      </c>
      <c r="K40" s="8">
        <f t="shared" si="6"/>
        <v>300</v>
      </c>
      <c r="L40" s="44">
        <v>248</v>
      </c>
      <c r="M40" s="42">
        <f t="shared" si="7"/>
        <v>548</v>
      </c>
      <c r="N40" s="16">
        <f t="shared" si="8"/>
        <v>300</v>
      </c>
      <c r="O40" s="43">
        <f t="shared" si="9"/>
        <v>248</v>
      </c>
      <c r="P40" s="1"/>
    </row>
    <row r="41" spans="1:26" ht="18.75">
      <c r="A41" s="7">
        <v>1</v>
      </c>
      <c r="B41" s="7">
        <v>21</v>
      </c>
      <c r="C41" s="6"/>
      <c r="D41" s="29" t="s">
        <v>59</v>
      </c>
      <c r="F41" s="8">
        <v>3</v>
      </c>
      <c r="G41" s="8">
        <v>0</v>
      </c>
      <c r="H41" s="12" t="s">
        <v>22</v>
      </c>
      <c r="I41" s="9">
        <f t="shared" si="5"/>
        <v>300</v>
      </c>
      <c r="J41" s="8">
        <v>0</v>
      </c>
      <c r="K41" s="8">
        <f t="shared" si="6"/>
        <v>300</v>
      </c>
      <c r="L41" s="44">
        <v>248</v>
      </c>
      <c r="M41" s="42">
        <f t="shared" si="7"/>
        <v>548</v>
      </c>
      <c r="N41" s="16">
        <f t="shared" si="8"/>
        <v>300</v>
      </c>
      <c r="O41" s="43">
        <f t="shared" si="9"/>
        <v>248</v>
      </c>
      <c r="P41" s="1"/>
    </row>
    <row r="42" spans="1:26" ht="18.75">
      <c r="A42" s="7">
        <v>1</v>
      </c>
      <c r="B42" s="7">
        <v>32</v>
      </c>
      <c r="C42" s="6"/>
      <c r="D42" s="29" t="s">
        <v>70</v>
      </c>
      <c r="E42" s="32"/>
      <c r="F42" s="8">
        <v>3</v>
      </c>
      <c r="G42" s="8">
        <v>0</v>
      </c>
      <c r="H42" s="12" t="s">
        <v>22</v>
      </c>
      <c r="I42" s="9">
        <f t="shared" si="5"/>
        <v>300</v>
      </c>
      <c r="J42" s="8">
        <v>0</v>
      </c>
      <c r="K42" s="8">
        <f t="shared" si="6"/>
        <v>300</v>
      </c>
      <c r="L42" s="44">
        <v>225</v>
      </c>
      <c r="M42" s="42">
        <f t="shared" si="7"/>
        <v>525</v>
      </c>
      <c r="N42" s="16">
        <f t="shared" si="8"/>
        <v>300</v>
      </c>
      <c r="O42" s="43">
        <f t="shared" si="9"/>
        <v>225</v>
      </c>
      <c r="P42" s="1"/>
    </row>
    <row r="43" spans="1:26" ht="18.75">
      <c r="A43" s="7">
        <v>1</v>
      </c>
      <c r="B43" s="7">
        <v>14</v>
      </c>
      <c r="C43" s="6"/>
      <c r="D43" s="29" t="s">
        <v>52</v>
      </c>
      <c r="E43" s="29"/>
      <c r="F43" s="8">
        <v>2</v>
      </c>
      <c r="G43" s="8">
        <v>0</v>
      </c>
      <c r="H43" s="12" t="s">
        <v>22</v>
      </c>
      <c r="I43" s="9">
        <f t="shared" si="5"/>
        <v>200</v>
      </c>
      <c r="J43" s="8">
        <v>0</v>
      </c>
      <c r="K43" s="8">
        <f t="shared" si="6"/>
        <v>200</v>
      </c>
      <c r="L43" s="44">
        <v>320</v>
      </c>
      <c r="M43" s="42">
        <f t="shared" si="7"/>
        <v>520</v>
      </c>
      <c r="N43" s="16">
        <f t="shared" si="8"/>
        <v>300</v>
      </c>
      <c r="O43" s="43">
        <f t="shared" si="9"/>
        <v>220</v>
      </c>
      <c r="P43" s="1"/>
    </row>
    <row r="44" spans="1:26" ht="18.75">
      <c r="A44" s="7">
        <v>1</v>
      </c>
      <c r="B44" s="7">
        <v>2</v>
      </c>
      <c r="C44" s="6"/>
      <c r="D44" s="29" t="s">
        <v>40</v>
      </c>
      <c r="E44" s="29"/>
      <c r="F44" s="8">
        <v>3</v>
      </c>
      <c r="G44" s="8">
        <v>0</v>
      </c>
      <c r="H44" s="12" t="s">
        <v>22</v>
      </c>
      <c r="I44" s="9">
        <f t="shared" si="5"/>
        <v>300</v>
      </c>
      <c r="J44" s="8">
        <v>0</v>
      </c>
      <c r="K44" s="8">
        <f t="shared" si="6"/>
        <v>300</v>
      </c>
      <c r="L44" s="44">
        <v>213</v>
      </c>
      <c r="M44" s="42">
        <f t="shared" si="7"/>
        <v>513</v>
      </c>
      <c r="N44" s="16">
        <f t="shared" si="8"/>
        <v>300</v>
      </c>
      <c r="O44" s="43">
        <f t="shared" si="9"/>
        <v>213</v>
      </c>
      <c r="P44" s="9"/>
    </row>
    <row r="45" spans="1:26" ht="18.75">
      <c r="A45" s="7">
        <v>1</v>
      </c>
      <c r="B45" s="7">
        <v>6</v>
      </c>
      <c r="C45" s="6"/>
      <c r="D45" s="29" t="s">
        <v>44</v>
      </c>
      <c r="E45" s="29"/>
      <c r="F45" s="8">
        <v>3</v>
      </c>
      <c r="G45" s="8">
        <v>0</v>
      </c>
      <c r="H45" s="12" t="s">
        <v>22</v>
      </c>
      <c r="I45" s="9">
        <f t="shared" si="5"/>
        <v>300</v>
      </c>
      <c r="J45" s="8">
        <v>0</v>
      </c>
      <c r="K45" s="8">
        <f t="shared" si="6"/>
        <v>300</v>
      </c>
      <c r="L45" s="44">
        <v>213</v>
      </c>
      <c r="M45" s="42">
        <f t="shared" si="7"/>
        <v>513</v>
      </c>
      <c r="N45" s="16">
        <f t="shared" si="8"/>
        <v>300</v>
      </c>
      <c r="O45" s="43">
        <f t="shared" si="9"/>
        <v>213</v>
      </c>
      <c r="P45" s="15"/>
    </row>
    <row r="46" spans="1:26" ht="18.75">
      <c r="A46" s="7">
        <v>1</v>
      </c>
      <c r="B46" s="7">
        <v>7</v>
      </c>
      <c r="C46" s="6"/>
      <c r="D46" s="29" t="s">
        <v>45</v>
      </c>
      <c r="E46" s="29"/>
      <c r="F46" s="8">
        <v>2</v>
      </c>
      <c r="G46" s="8">
        <v>0</v>
      </c>
      <c r="H46" s="12" t="s">
        <v>22</v>
      </c>
      <c r="I46" s="9">
        <f t="shared" si="5"/>
        <v>200</v>
      </c>
      <c r="J46" s="8">
        <v>0</v>
      </c>
      <c r="K46" s="8">
        <f t="shared" si="6"/>
        <v>200</v>
      </c>
      <c r="L46" s="44">
        <v>313</v>
      </c>
      <c r="M46" s="42">
        <f t="shared" si="7"/>
        <v>513</v>
      </c>
      <c r="N46" s="16">
        <f t="shared" si="8"/>
        <v>300</v>
      </c>
      <c r="O46" s="43">
        <f t="shared" si="9"/>
        <v>213</v>
      </c>
      <c r="P46" s="22"/>
    </row>
    <row r="47" spans="1:26" ht="18.75">
      <c r="A47" s="7">
        <v>1</v>
      </c>
      <c r="B47" s="7">
        <v>52</v>
      </c>
      <c r="C47" s="6"/>
      <c r="D47" s="29" t="s">
        <v>90</v>
      </c>
      <c r="F47" s="8">
        <v>3</v>
      </c>
      <c r="G47" s="8">
        <v>0</v>
      </c>
      <c r="H47" s="12" t="s">
        <v>22</v>
      </c>
      <c r="I47" s="9">
        <f t="shared" si="5"/>
        <v>300</v>
      </c>
      <c r="J47" s="8">
        <v>0</v>
      </c>
      <c r="K47" s="8">
        <f t="shared" si="6"/>
        <v>300</v>
      </c>
      <c r="L47" s="44">
        <v>194</v>
      </c>
      <c r="M47" s="42">
        <f t="shared" si="7"/>
        <v>494</v>
      </c>
      <c r="N47" s="16">
        <f t="shared" si="8"/>
        <v>300</v>
      </c>
      <c r="O47" s="43">
        <f t="shared" si="9"/>
        <v>194</v>
      </c>
      <c r="P47" s="1"/>
    </row>
    <row r="48" spans="1:26" ht="18.75">
      <c r="A48" s="7">
        <v>1</v>
      </c>
      <c r="B48" s="7">
        <v>20</v>
      </c>
      <c r="C48" s="6"/>
      <c r="D48" s="29" t="s">
        <v>58</v>
      </c>
      <c r="E48" s="32"/>
      <c r="F48" s="8">
        <v>3</v>
      </c>
      <c r="G48" s="8">
        <v>0</v>
      </c>
      <c r="H48" s="12" t="s">
        <v>22</v>
      </c>
      <c r="I48" s="9">
        <f t="shared" si="5"/>
        <v>300</v>
      </c>
      <c r="J48" s="8">
        <v>0</v>
      </c>
      <c r="K48" s="8">
        <f t="shared" si="6"/>
        <v>300</v>
      </c>
      <c r="L48" s="44">
        <v>185</v>
      </c>
      <c r="M48" s="42">
        <f t="shared" si="7"/>
        <v>485</v>
      </c>
      <c r="N48" s="16">
        <f t="shared" si="8"/>
        <v>300</v>
      </c>
      <c r="O48" s="43">
        <f t="shared" si="9"/>
        <v>185</v>
      </c>
    </row>
    <row r="49" spans="1:16" ht="18.75">
      <c r="A49" s="7">
        <v>1</v>
      </c>
      <c r="B49" s="7">
        <v>28</v>
      </c>
      <c r="C49" s="6"/>
      <c r="D49" s="29" t="s">
        <v>66</v>
      </c>
      <c r="E49" s="32"/>
      <c r="F49" s="8">
        <v>2</v>
      </c>
      <c r="G49" s="8">
        <v>0</v>
      </c>
      <c r="H49" s="12" t="s">
        <v>22</v>
      </c>
      <c r="I49" s="9">
        <f t="shared" si="5"/>
        <v>200</v>
      </c>
      <c r="J49" s="8">
        <v>0</v>
      </c>
      <c r="K49" s="8">
        <f t="shared" si="6"/>
        <v>200</v>
      </c>
      <c r="L49" s="44">
        <v>278</v>
      </c>
      <c r="M49" s="42">
        <f t="shared" si="7"/>
        <v>478</v>
      </c>
      <c r="N49" s="16">
        <f t="shared" si="8"/>
        <v>300</v>
      </c>
      <c r="O49" s="43">
        <f t="shared" si="9"/>
        <v>178</v>
      </c>
    </row>
    <row r="50" spans="1:16" ht="18.75">
      <c r="A50" s="7">
        <v>1</v>
      </c>
      <c r="B50" s="7">
        <v>30</v>
      </c>
      <c r="C50" s="6"/>
      <c r="D50" s="29" t="s">
        <v>68</v>
      </c>
      <c r="E50" s="32"/>
      <c r="F50" s="8">
        <v>3</v>
      </c>
      <c r="G50" s="8">
        <v>0</v>
      </c>
      <c r="H50" s="12" t="s">
        <v>22</v>
      </c>
      <c r="I50" s="9">
        <f t="shared" si="5"/>
        <v>300</v>
      </c>
      <c r="J50" s="8">
        <v>0</v>
      </c>
      <c r="K50" s="8">
        <f t="shared" si="6"/>
        <v>300</v>
      </c>
      <c r="L50" s="44">
        <v>178</v>
      </c>
      <c r="M50" s="42">
        <f t="shared" si="7"/>
        <v>478</v>
      </c>
      <c r="N50" s="16">
        <f t="shared" si="8"/>
        <v>300</v>
      </c>
      <c r="O50" s="43">
        <f t="shared" si="9"/>
        <v>178</v>
      </c>
    </row>
    <row r="51" spans="1:16" ht="18.75">
      <c r="A51" s="7">
        <v>1</v>
      </c>
      <c r="B51" s="7">
        <v>33</v>
      </c>
      <c r="C51" s="6"/>
      <c r="D51" s="29" t="s">
        <v>71</v>
      </c>
      <c r="E51" s="29"/>
      <c r="F51" s="8">
        <v>1</v>
      </c>
      <c r="G51" s="8">
        <v>0</v>
      </c>
      <c r="H51" s="12" t="s">
        <v>22</v>
      </c>
      <c r="I51" s="9">
        <f t="shared" si="5"/>
        <v>100</v>
      </c>
      <c r="J51" s="8">
        <v>0</v>
      </c>
      <c r="K51" s="8">
        <f t="shared" si="6"/>
        <v>100</v>
      </c>
      <c r="L51" s="44">
        <v>378</v>
      </c>
      <c r="M51" s="42">
        <f t="shared" si="7"/>
        <v>478</v>
      </c>
      <c r="N51" s="16">
        <f t="shared" si="8"/>
        <v>300</v>
      </c>
      <c r="O51" s="43">
        <f t="shared" si="9"/>
        <v>178</v>
      </c>
    </row>
    <row r="52" spans="1:16" ht="18.75">
      <c r="A52" s="7">
        <v>1</v>
      </c>
      <c r="B52" s="7">
        <v>54</v>
      </c>
      <c r="C52" s="6"/>
      <c r="D52" s="29" t="s">
        <v>92</v>
      </c>
      <c r="F52" s="8">
        <v>3</v>
      </c>
      <c r="G52" s="8">
        <v>0</v>
      </c>
      <c r="H52" s="12" t="s">
        <v>22</v>
      </c>
      <c r="I52" s="9">
        <f t="shared" si="5"/>
        <v>300</v>
      </c>
      <c r="J52" s="8">
        <v>0</v>
      </c>
      <c r="K52" s="8">
        <f t="shared" si="6"/>
        <v>300</v>
      </c>
      <c r="L52" s="44">
        <v>150</v>
      </c>
      <c r="M52" s="42">
        <f t="shared" si="7"/>
        <v>450</v>
      </c>
      <c r="N52" s="16">
        <f t="shared" si="8"/>
        <v>300</v>
      </c>
      <c r="O52" s="43">
        <f t="shared" si="9"/>
        <v>150</v>
      </c>
    </row>
    <row r="53" spans="1:16" ht="18.75">
      <c r="A53" s="7">
        <v>1</v>
      </c>
      <c r="B53" s="7">
        <v>25</v>
      </c>
      <c r="C53" s="6"/>
      <c r="D53" s="29" t="s">
        <v>63</v>
      </c>
      <c r="E53" s="32"/>
      <c r="F53" s="8">
        <v>3</v>
      </c>
      <c r="G53" s="8">
        <v>0</v>
      </c>
      <c r="H53" s="12" t="s">
        <v>22</v>
      </c>
      <c r="I53" s="9">
        <f t="shared" si="5"/>
        <v>300</v>
      </c>
      <c r="J53" s="8">
        <v>0</v>
      </c>
      <c r="K53" s="8">
        <f t="shared" si="6"/>
        <v>300</v>
      </c>
      <c r="L53" s="44">
        <v>125</v>
      </c>
      <c r="M53" s="42">
        <f t="shared" si="7"/>
        <v>425</v>
      </c>
      <c r="N53" s="16">
        <f t="shared" si="8"/>
        <v>300</v>
      </c>
      <c r="O53" s="43">
        <f t="shared" si="9"/>
        <v>125</v>
      </c>
    </row>
    <row r="54" spans="1:16" ht="18.75">
      <c r="A54" s="7">
        <v>1</v>
      </c>
      <c r="B54" s="7">
        <v>22</v>
      </c>
      <c r="C54" s="6"/>
      <c r="D54" s="29" t="s">
        <v>60</v>
      </c>
      <c r="E54" s="32"/>
      <c r="F54" s="8">
        <v>1</v>
      </c>
      <c r="G54" s="8">
        <v>0</v>
      </c>
      <c r="H54" s="12" t="s">
        <v>22</v>
      </c>
      <c r="I54" s="9">
        <f t="shared" si="5"/>
        <v>100</v>
      </c>
      <c r="J54" s="8">
        <v>0</v>
      </c>
      <c r="K54" s="8">
        <f t="shared" si="6"/>
        <v>100</v>
      </c>
      <c r="L54" s="44">
        <v>320</v>
      </c>
      <c r="M54" s="42">
        <f t="shared" si="7"/>
        <v>420</v>
      </c>
      <c r="N54" s="16">
        <f t="shared" si="8"/>
        <v>300</v>
      </c>
      <c r="O54" s="43">
        <f t="shared" si="9"/>
        <v>120</v>
      </c>
    </row>
    <row r="55" spans="1:16" ht="18.75">
      <c r="A55" s="7">
        <v>1</v>
      </c>
      <c r="B55" s="7">
        <v>26</v>
      </c>
      <c r="C55" s="6"/>
      <c r="D55" s="29" t="s">
        <v>64</v>
      </c>
      <c r="E55" s="32"/>
      <c r="F55" s="8">
        <v>1</v>
      </c>
      <c r="G55" s="8">
        <v>0</v>
      </c>
      <c r="H55" s="12" t="s">
        <v>22</v>
      </c>
      <c r="I55" s="9">
        <f t="shared" si="5"/>
        <v>100</v>
      </c>
      <c r="J55" s="8">
        <v>0</v>
      </c>
      <c r="K55" s="8">
        <f t="shared" si="6"/>
        <v>100</v>
      </c>
      <c r="L55" s="44">
        <v>294</v>
      </c>
      <c r="M55" s="42">
        <f t="shared" si="7"/>
        <v>394</v>
      </c>
      <c r="N55" s="16">
        <f t="shared" si="8"/>
        <v>300</v>
      </c>
      <c r="O55" s="43">
        <f t="shared" si="9"/>
        <v>94</v>
      </c>
    </row>
    <row r="56" spans="1:16" ht="18.75">
      <c r="A56" s="7">
        <v>1</v>
      </c>
      <c r="B56" s="7">
        <v>29</v>
      </c>
      <c r="C56" s="6"/>
      <c r="D56" s="29" t="s">
        <v>67</v>
      </c>
      <c r="E56" s="32"/>
      <c r="F56" s="8">
        <v>1</v>
      </c>
      <c r="G56" s="8">
        <v>0</v>
      </c>
      <c r="H56" s="12" t="s">
        <v>22</v>
      </c>
      <c r="I56" s="9">
        <f t="shared" si="5"/>
        <v>100</v>
      </c>
      <c r="J56" s="8">
        <v>0</v>
      </c>
      <c r="K56" s="8">
        <f t="shared" si="6"/>
        <v>100</v>
      </c>
      <c r="L56" s="44">
        <v>294</v>
      </c>
      <c r="M56" s="42">
        <f t="shared" si="7"/>
        <v>394</v>
      </c>
      <c r="N56" s="16">
        <f t="shared" si="8"/>
        <v>300</v>
      </c>
      <c r="O56" s="43">
        <f t="shared" si="9"/>
        <v>94</v>
      </c>
    </row>
    <row r="57" spans="1:16" ht="18.75">
      <c r="A57" s="7">
        <v>1</v>
      </c>
      <c r="B57" s="7">
        <v>15</v>
      </c>
      <c r="C57" s="6"/>
      <c r="D57" s="29" t="s">
        <v>53</v>
      </c>
      <c r="E57" s="29"/>
      <c r="F57" s="8">
        <v>3</v>
      </c>
      <c r="G57" s="8">
        <v>0</v>
      </c>
      <c r="H57" s="12" t="s">
        <v>22</v>
      </c>
      <c r="I57" s="9">
        <f t="shared" si="5"/>
        <v>300</v>
      </c>
      <c r="J57" s="8">
        <v>0</v>
      </c>
      <c r="K57" s="8">
        <f t="shared" si="6"/>
        <v>300</v>
      </c>
      <c r="L57" s="44">
        <v>50</v>
      </c>
      <c r="M57" s="42">
        <f t="shared" si="7"/>
        <v>350</v>
      </c>
      <c r="N57" s="16">
        <f t="shared" si="8"/>
        <v>300</v>
      </c>
      <c r="O57" s="43">
        <f t="shared" si="9"/>
        <v>50</v>
      </c>
    </row>
    <row r="58" spans="1:16" ht="18.75">
      <c r="A58" s="7">
        <v>1</v>
      </c>
      <c r="B58" s="7">
        <v>31</v>
      </c>
      <c r="C58" s="6"/>
      <c r="D58" s="29" t="s">
        <v>69</v>
      </c>
      <c r="E58" s="32"/>
      <c r="F58" s="8">
        <v>2</v>
      </c>
      <c r="G58" s="8">
        <v>0</v>
      </c>
      <c r="H58" s="12" t="s">
        <v>22</v>
      </c>
      <c r="I58" s="9">
        <f t="shared" si="5"/>
        <v>200</v>
      </c>
      <c r="J58" s="8">
        <v>0</v>
      </c>
      <c r="K58" s="8">
        <f t="shared" si="6"/>
        <v>200</v>
      </c>
      <c r="L58" s="44">
        <v>150</v>
      </c>
      <c r="M58" s="42">
        <f t="shared" si="7"/>
        <v>350</v>
      </c>
      <c r="N58" s="16">
        <f t="shared" si="8"/>
        <v>300</v>
      </c>
      <c r="O58" s="43">
        <f t="shared" si="9"/>
        <v>50</v>
      </c>
    </row>
    <row r="59" spans="1:16" ht="18.75">
      <c r="A59" s="7">
        <v>1</v>
      </c>
      <c r="B59" s="7">
        <v>38</v>
      </c>
      <c r="C59" s="6"/>
      <c r="D59" s="29" t="s">
        <v>76</v>
      </c>
      <c r="E59" s="29"/>
      <c r="F59" s="8">
        <v>3</v>
      </c>
      <c r="G59" s="8">
        <v>0</v>
      </c>
      <c r="H59" s="12" t="s">
        <v>22</v>
      </c>
      <c r="I59" s="9">
        <f t="shared" si="5"/>
        <v>300</v>
      </c>
      <c r="J59" s="8">
        <v>0</v>
      </c>
      <c r="K59" s="8">
        <f t="shared" si="6"/>
        <v>300</v>
      </c>
      <c r="L59" s="44">
        <v>50</v>
      </c>
      <c r="M59" s="42">
        <f t="shared" si="7"/>
        <v>350</v>
      </c>
      <c r="N59" s="16">
        <f t="shared" si="8"/>
        <v>300</v>
      </c>
      <c r="O59" s="43">
        <f t="shared" si="9"/>
        <v>50</v>
      </c>
    </row>
    <row r="60" spans="1:16" ht="18.75">
      <c r="A60" s="7">
        <v>1</v>
      </c>
      <c r="B60" s="7">
        <v>65</v>
      </c>
      <c r="D60" s="29" t="s">
        <v>105</v>
      </c>
      <c r="F60" s="8">
        <v>3</v>
      </c>
      <c r="H60" s="12" t="s">
        <v>22</v>
      </c>
      <c r="I60" s="9">
        <f t="shared" si="5"/>
        <v>300</v>
      </c>
      <c r="J60" s="8">
        <v>0</v>
      </c>
      <c r="K60" s="8">
        <f t="shared" si="6"/>
        <v>300</v>
      </c>
      <c r="L60" s="44">
        <v>0</v>
      </c>
      <c r="M60" s="42">
        <f t="shared" si="7"/>
        <v>300</v>
      </c>
      <c r="N60" s="16">
        <f t="shared" si="8"/>
        <v>300</v>
      </c>
      <c r="O60" s="43">
        <f t="shared" si="9"/>
        <v>0</v>
      </c>
    </row>
    <row r="61" spans="1:16" ht="18.75">
      <c r="A61" s="7">
        <v>1</v>
      </c>
      <c r="B61" s="7">
        <v>47</v>
      </c>
      <c r="C61" s="6"/>
      <c r="D61" s="29" t="s">
        <v>85</v>
      </c>
      <c r="E61" s="29"/>
      <c r="F61" s="8">
        <v>1</v>
      </c>
      <c r="G61" s="8">
        <v>0</v>
      </c>
      <c r="H61" s="12" t="s">
        <v>22</v>
      </c>
      <c r="I61" s="9">
        <f t="shared" si="5"/>
        <v>100</v>
      </c>
      <c r="J61" s="8">
        <v>0</v>
      </c>
      <c r="K61" s="8">
        <f t="shared" si="6"/>
        <v>100</v>
      </c>
      <c r="L61" s="44">
        <v>178</v>
      </c>
      <c r="M61" s="42">
        <f t="shared" si="7"/>
        <v>278</v>
      </c>
      <c r="N61" s="16">
        <f t="shared" si="8"/>
        <v>300</v>
      </c>
      <c r="O61" s="43">
        <f t="shared" si="9"/>
        <v>0</v>
      </c>
    </row>
    <row r="62" spans="1:16" ht="18.75">
      <c r="A62" s="7">
        <v>1</v>
      </c>
      <c r="B62" s="7">
        <v>60</v>
      </c>
      <c r="C62" s="6"/>
      <c r="D62" s="29" t="s">
        <v>98</v>
      </c>
      <c r="F62" s="8">
        <v>1</v>
      </c>
      <c r="G62" s="8">
        <v>0</v>
      </c>
      <c r="H62" s="12" t="s">
        <v>22</v>
      </c>
      <c r="I62" s="9">
        <f t="shared" si="5"/>
        <v>100</v>
      </c>
      <c r="J62" s="8">
        <v>0</v>
      </c>
      <c r="K62" s="8">
        <f t="shared" si="6"/>
        <v>100</v>
      </c>
      <c r="L62" s="44">
        <v>125</v>
      </c>
      <c r="M62" s="42">
        <f t="shared" si="7"/>
        <v>225</v>
      </c>
      <c r="N62" s="16">
        <f t="shared" si="8"/>
        <v>300</v>
      </c>
      <c r="O62" s="43">
        <f t="shared" si="9"/>
        <v>0</v>
      </c>
    </row>
    <row r="63" spans="1:16" ht="18.75">
      <c r="A63" s="7">
        <v>1</v>
      </c>
      <c r="B63" s="7">
        <v>61</v>
      </c>
      <c r="C63" s="6"/>
      <c r="D63" s="29" t="s">
        <v>99</v>
      </c>
      <c r="E63" s="29"/>
      <c r="F63" s="8">
        <v>0</v>
      </c>
      <c r="G63" s="8">
        <v>0</v>
      </c>
      <c r="H63" s="27" t="s">
        <v>23</v>
      </c>
      <c r="I63" s="9">
        <f t="shared" si="5"/>
        <v>0</v>
      </c>
      <c r="J63" s="8">
        <v>0</v>
      </c>
      <c r="K63" s="8">
        <f t="shared" si="6"/>
        <v>0</v>
      </c>
      <c r="L63" s="44">
        <v>225</v>
      </c>
      <c r="M63" s="42">
        <f t="shared" si="7"/>
        <v>225</v>
      </c>
      <c r="N63" s="16">
        <f t="shared" si="8"/>
        <v>0</v>
      </c>
      <c r="O63" s="43">
        <f t="shared" si="9"/>
        <v>225</v>
      </c>
    </row>
    <row r="64" spans="1:16" ht="18.75">
      <c r="A64" s="7">
        <v>1</v>
      </c>
      <c r="B64" s="7">
        <v>8</v>
      </c>
      <c r="C64" s="6"/>
      <c r="D64" s="29" t="s">
        <v>46</v>
      </c>
      <c r="E64" s="29"/>
      <c r="F64" s="8">
        <v>2</v>
      </c>
      <c r="G64" s="8">
        <v>0</v>
      </c>
      <c r="H64" s="12" t="s">
        <v>22</v>
      </c>
      <c r="I64" s="9">
        <f t="shared" si="5"/>
        <v>200</v>
      </c>
      <c r="J64" s="8">
        <v>0</v>
      </c>
      <c r="K64" s="8">
        <f t="shared" si="6"/>
        <v>200</v>
      </c>
      <c r="L64" s="44">
        <v>0</v>
      </c>
      <c r="M64" s="42">
        <f t="shared" si="7"/>
        <v>200</v>
      </c>
      <c r="N64" s="16">
        <f t="shared" si="8"/>
        <v>300</v>
      </c>
      <c r="O64" s="43">
        <f t="shared" si="9"/>
        <v>0</v>
      </c>
      <c r="P64" s="40"/>
    </row>
    <row r="65" spans="1:15" ht="18.75">
      <c r="A65" s="7">
        <v>1</v>
      </c>
      <c r="B65" s="7">
        <v>39</v>
      </c>
      <c r="C65" s="6"/>
      <c r="D65" s="29" t="s">
        <v>77</v>
      </c>
      <c r="E65" s="29"/>
      <c r="F65" s="8">
        <v>1</v>
      </c>
      <c r="G65" s="8">
        <v>0</v>
      </c>
      <c r="H65" s="12" t="s">
        <v>22</v>
      </c>
      <c r="I65" s="9">
        <f t="shared" si="5"/>
        <v>100</v>
      </c>
      <c r="J65" s="8">
        <v>0</v>
      </c>
      <c r="K65" s="8">
        <f t="shared" si="6"/>
        <v>100</v>
      </c>
      <c r="L65" s="44">
        <v>0</v>
      </c>
      <c r="M65" s="42">
        <f t="shared" si="7"/>
        <v>100</v>
      </c>
      <c r="N65" s="16">
        <f t="shared" si="8"/>
        <v>300</v>
      </c>
      <c r="O65" s="43">
        <f t="shared" si="9"/>
        <v>0</v>
      </c>
    </row>
    <row r="66" spans="1:15" ht="18.75">
      <c r="A66" s="7">
        <v>1</v>
      </c>
      <c r="B66" s="7">
        <v>59</v>
      </c>
      <c r="C66" s="6"/>
      <c r="D66" s="29" t="s">
        <v>97</v>
      </c>
      <c r="F66" s="8">
        <v>0</v>
      </c>
      <c r="G66" s="8">
        <v>0</v>
      </c>
      <c r="H66" s="27" t="s">
        <v>23</v>
      </c>
      <c r="I66" s="9">
        <f t="shared" si="5"/>
        <v>0</v>
      </c>
      <c r="J66" s="8">
        <v>0</v>
      </c>
      <c r="K66" s="8">
        <f t="shared" si="6"/>
        <v>0</v>
      </c>
      <c r="L66" s="44">
        <v>25</v>
      </c>
      <c r="M66" s="42">
        <f t="shared" si="7"/>
        <v>25</v>
      </c>
      <c r="N66" s="16">
        <f t="shared" si="8"/>
        <v>0</v>
      </c>
      <c r="O66" s="43">
        <f t="shared" si="9"/>
        <v>25</v>
      </c>
    </row>
    <row r="67" spans="1:15" ht="18.75">
      <c r="A67" s="7">
        <v>1</v>
      </c>
      <c r="B67" s="7">
        <v>19</v>
      </c>
      <c r="C67" s="6"/>
      <c r="D67" s="29" t="s">
        <v>57</v>
      </c>
      <c r="E67" s="29"/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0</v>
      </c>
      <c r="M67" s="42">
        <f t="shared" si="7"/>
        <v>0</v>
      </c>
      <c r="N67" s="16">
        <f t="shared" si="8"/>
        <v>0</v>
      </c>
      <c r="O67" s="43">
        <f t="shared" si="9"/>
        <v>0</v>
      </c>
    </row>
    <row r="68" spans="1:15" ht="18.75">
      <c r="A68" s="7">
        <v>1</v>
      </c>
      <c r="B68" s="7">
        <v>48</v>
      </c>
      <c r="C68" s="6"/>
      <c r="D68" s="29" t="s">
        <v>86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69" spans="1:15" ht="18.75">
      <c r="A69" s="47">
        <v>1</v>
      </c>
      <c r="B69" s="7">
        <v>51</v>
      </c>
      <c r="C69" s="6"/>
      <c r="D69" s="29" t="s">
        <v>89</v>
      </c>
      <c r="E69" s="29"/>
      <c r="F69" s="8">
        <v>0</v>
      </c>
      <c r="G69" s="8">
        <v>0</v>
      </c>
      <c r="H69" s="27" t="s">
        <v>23</v>
      </c>
      <c r="I69" s="9">
        <f t="shared" si="5"/>
        <v>0</v>
      </c>
      <c r="J69" s="8">
        <v>0</v>
      </c>
      <c r="K69" s="8">
        <f t="shared" ref="K69" si="10">SUM(I69+J69)</f>
        <v>0</v>
      </c>
      <c r="L69" s="44">
        <v>0</v>
      </c>
      <c r="M69" s="42">
        <f t="shared" ref="M69" si="11">L69+K69</f>
        <v>0</v>
      </c>
      <c r="N69" s="16">
        <f t="shared" si="8"/>
        <v>0</v>
      </c>
      <c r="O69" s="43">
        <f t="shared" ref="O69" si="12">IF(M69-N69&gt;0,M69-N69,0)</f>
        <v>0</v>
      </c>
    </row>
    <row r="74" spans="1:15">
      <c r="K74" s="1">
        <f>SUM(K5:K63)</f>
        <v>15300</v>
      </c>
      <c r="N74" s="1">
        <f>SUM(N5:N63)</f>
        <v>18996</v>
      </c>
    </row>
  </sheetData>
  <autoFilter ref="A4:P68" xr:uid="{D50916F0-4EB1-4E61-AB8D-B58C4FC21503}">
    <sortState xmlns:xlrd2="http://schemas.microsoft.com/office/spreadsheetml/2017/richdata2" ref="A5:P69">
      <sortCondition descending="1" ref="M4:M68"/>
    </sortState>
  </autoFilter>
  <mergeCells count="4">
    <mergeCell ref="B1:O1"/>
    <mergeCell ref="B2:O2"/>
    <mergeCell ref="B3:E3"/>
    <mergeCell ref="H3:O3"/>
  </mergeCells>
  <conditionalFormatting sqref="F69">
    <cfRule type="cellIs" dxfId="10" priority="1" operator="lessThan">
      <formula>1</formula>
    </cfRule>
  </conditionalFormatting>
  <conditionalFormatting sqref="F5:G68">
    <cfRule type="cellIs" dxfId="9" priority="3" operator="lessThan">
      <formula>1</formula>
    </cfRule>
  </conditionalFormatting>
  <conditionalFormatting sqref="J5:J69">
    <cfRule type="cellIs" dxfId="8" priority="2" operator="lessThan">
      <formula>1</formula>
    </cfRule>
  </conditionalFormatting>
  <hyperlinks>
    <hyperlink ref="D40" r:id="rId1" xr:uid="{9669B4E6-0B67-43EE-A369-511E9871DE33}"/>
  </hyperlinks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6253-C82F-40C9-BC85-7A67ED532C51}">
  <dimension ref="A1:Z74"/>
  <sheetViews>
    <sheetView zoomScale="79" zoomScaleNormal="85" workbookViewId="0">
      <selection activeCell="Q2" sqref="Q2:R10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49" t="str">
        <f>CONCATENATE("5-8，97-104区 欧皇宝宝",R15,"年",R16,"月",R17,"日","分包贡献明细"," 统计：")</f>
        <v>5-8，97-104区 欧皇宝宝2026年1月3日分包贡献明细 统计：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1" t="s">
        <v>103</v>
      </c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54" t="s">
        <v>13</v>
      </c>
      <c r="C3" s="54"/>
      <c r="D3" s="54"/>
      <c r="E3" s="54"/>
      <c r="F3" s="38" t="s">
        <v>12</v>
      </c>
      <c r="G3" s="39" t="s">
        <v>29</v>
      </c>
      <c r="H3" s="55" t="s">
        <v>14</v>
      </c>
      <c r="I3" s="56"/>
      <c r="J3" s="56"/>
      <c r="K3" s="56"/>
      <c r="L3" s="56"/>
      <c r="M3" s="56"/>
      <c r="N3" s="56"/>
      <c r="O3" s="57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1</v>
      </c>
      <c r="C5" s="6"/>
      <c r="D5" s="29" t="s">
        <v>39</v>
      </c>
      <c r="E5" s="29"/>
      <c r="F5" s="8">
        <v>4</v>
      </c>
      <c r="G5" s="8">
        <v>0</v>
      </c>
      <c r="H5" s="12" t="s">
        <v>35</v>
      </c>
      <c r="I5" s="9">
        <f t="shared" ref="I5:I36" si="0">F5*100</f>
        <v>400</v>
      </c>
      <c r="J5" s="8">
        <v>0</v>
      </c>
      <c r="K5" s="8">
        <f t="shared" ref="K5:K36" si="1">SUM(I5+J5)</f>
        <v>400</v>
      </c>
      <c r="L5" s="44">
        <v>88</v>
      </c>
      <c r="M5" s="42">
        <f t="shared" ref="M5:M36" si="2">L5+K5</f>
        <v>488</v>
      </c>
      <c r="N5" s="16">
        <f t="shared" ref="N5:N36" si="3">VLOOKUP(H5,$Q$3:$R$10,2,FALSE)</f>
        <v>175</v>
      </c>
      <c r="O5" s="43">
        <f t="shared" ref="O5:O36" si="4">IF(M5-N5&gt;0,M5-N5,0)</f>
        <v>313</v>
      </c>
      <c r="P5" s="9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2</v>
      </c>
      <c r="C6" s="6"/>
      <c r="D6" s="29" t="s">
        <v>40</v>
      </c>
      <c r="E6" s="29"/>
      <c r="F6" s="8">
        <v>3</v>
      </c>
      <c r="G6" s="8">
        <v>0</v>
      </c>
      <c r="H6" s="12" t="s">
        <v>35</v>
      </c>
      <c r="I6" s="9">
        <f t="shared" si="0"/>
        <v>300</v>
      </c>
      <c r="J6" s="8">
        <v>0</v>
      </c>
      <c r="K6" s="8">
        <f t="shared" si="1"/>
        <v>300</v>
      </c>
      <c r="L6" s="44">
        <v>88</v>
      </c>
      <c r="M6" s="42">
        <f t="shared" si="2"/>
        <v>388</v>
      </c>
      <c r="N6" s="16">
        <f t="shared" si="3"/>
        <v>175</v>
      </c>
      <c r="O6" s="43">
        <f t="shared" si="4"/>
        <v>213</v>
      </c>
      <c r="P6" s="9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3</v>
      </c>
      <c r="C7" s="6"/>
      <c r="D7" s="29" t="s">
        <v>41</v>
      </c>
      <c r="E7" s="29"/>
      <c r="F7" s="8">
        <v>4</v>
      </c>
      <c r="G7" s="8">
        <v>0</v>
      </c>
      <c r="H7" s="12" t="s">
        <v>35</v>
      </c>
      <c r="I7" s="9">
        <f t="shared" si="0"/>
        <v>400</v>
      </c>
      <c r="J7" s="8">
        <v>0</v>
      </c>
      <c r="K7" s="8">
        <f t="shared" si="1"/>
        <v>400</v>
      </c>
      <c r="L7" s="44">
        <v>88</v>
      </c>
      <c r="M7" s="42">
        <f t="shared" si="2"/>
        <v>488</v>
      </c>
      <c r="N7" s="16">
        <f t="shared" si="3"/>
        <v>175</v>
      </c>
      <c r="O7" s="43">
        <f t="shared" si="4"/>
        <v>313</v>
      </c>
      <c r="P7" s="9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4</v>
      </c>
      <c r="C8" s="6"/>
      <c r="D8" s="29" t="s">
        <v>42</v>
      </c>
      <c r="E8" s="29"/>
      <c r="F8" s="8">
        <v>4</v>
      </c>
      <c r="G8" s="8">
        <v>0</v>
      </c>
      <c r="H8" s="12" t="s">
        <v>35</v>
      </c>
      <c r="I8" s="9">
        <f t="shared" si="0"/>
        <v>400</v>
      </c>
      <c r="J8" s="8">
        <v>0</v>
      </c>
      <c r="K8" s="8">
        <f t="shared" si="1"/>
        <v>400</v>
      </c>
      <c r="L8" s="44">
        <v>125</v>
      </c>
      <c r="M8" s="42">
        <f t="shared" si="2"/>
        <v>525</v>
      </c>
      <c r="N8" s="16">
        <f t="shared" si="3"/>
        <v>175</v>
      </c>
      <c r="O8" s="43">
        <f t="shared" si="4"/>
        <v>350</v>
      </c>
      <c r="P8" s="9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5</v>
      </c>
      <c r="C9" s="6"/>
      <c r="D9" s="29" t="s">
        <v>43</v>
      </c>
      <c r="E9" s="29"/>
      <c r="F9" s="8">
        <v>4</v>
      </c>
      <c r="G9" s="8">
        <v>0</v>
      </c>
      <c r="H9" s="12" t="s">
        <v>35</v>
      </c>
      <c r="I9" s="9">
        <f t="shared" si="0"/>
        <v>400</v>
      </c>
      <c r="J9" s="8">
        <v>0</v>
      </c>
      <c r="K9" s="8">
        <f t="shared" si="1"/>
        <v>400</v>
      </c>
      <c r="L9" s="44">
        <v>88</v>
      </c>
      <c r="M9" s="42">
        <f t="shared" si="2"/>
        <v>488</v>
      </c>
      <c r="N9" s="16">
        <f t="shared" si="3"/>
        <v>175</v>
      </c>
      <c r="O9" s="43">
        <f t="shared" si="4"/>
        <v>313</v>
      </c>
      <c r="P9" s="2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6</v>
      </c>
      <c r="C10" s="6"/>
      <c r="D10" s="29" t="s">
        <v>44</v>
      </c>
      <c r="E10" s="29"/>
      <c r="F10" s="8">
        <v>3</v>
      </c>
      <c r="G10" s="8">
        <v>0</v>
      </c>
      <c r="H10" s="12" t="s">
        <v>35</v>
      </c>
      <c r="I10" s="9">
        <f t="shared" si="0"/>
        <v>300</v>
      </c>
      <c r="J10" s="8">
        <v>0</v>
      </c>
      <c r="K10" s="8">
        <f t="shared" si="1"/>
        <v>300</v>
      </c>
      <c r="L10" s="44">
        <v>88</v>
      </c>
      <c r="M10" s="42">
        <f t="shared" si="2"/>
        <v>388</v>
      </c>
      <c r="N10" s="16">
        <f t="shared" si="3"/>
        <v>175</v>
      </c>
      <c r="O10" s="43">
        <f t="shared" si="4"/>
        <v>213</v>
      </c>
      <c r="P10" s="15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7</v>
      </c>
      <c r="C11" s="6"/>
      <c r="D11" s="29" t="s">
        <v>45</v>
      </c>
      <c r="E11" s="29"/>
      <c r="F11" s="8">
        <v>4</v>
      </c>
      <c r="G11" s="8">
        <v>0</v>
      </c>
      <c r="H11" s="10" t="s">
        <v>33</v>
      </c>
      <c r="I11" s="9">
        <f t="shared" si="0"/>
        <v>400</v>
      </c>
      <c r="J11" s="8">
        <v>0</v>
      </c>
      <c r="K11" s="8">
        <f t="shared" si="1"/>
        <v>400</v>
      </c>
      <c r="L11" s="44">
        <v>225</v>
      </c>
      <c r="M11" s="42">
        <f t="shared" si="2"/>
        <v>625</v>
      </c>
      <c r="N11" s="16">
        <f t="shared" si="3"/>
        <v>312</v>
      </c>
      <c r="O11" s="43">
        <f t="shared" si="4"/>
        <v>313</v>
      </c>
      <c r="P11" s="22"/>
      <c r="Q11" s="24"/>
    </row>
    <row r="12" spans="1:25" ht="18.75">
      <c r="A12" s="7">
        <v>1</v>
      </c>
      <c r="B12" s="7">
        <v>8</v>
      </c>
      <c r="C12" s="6"/>
      <c r="D12" s="29" t="s">
        <v>46</v>
      </c>
      <c r="E12" s="29"/>
      <c r="F12" s="8">
        <v>1</v>
      </c>
      <c r="G12" s="8">
        <v>0</v>
      </c>
      <c r="H12" s="12" t="s">
        <v>35</v>
      </c>
      <c r="I12" s="9">
        <f t="shared" si="0"/>
        <v>100</v>
      </c>
      <c r="J12" s="8">
        <v>0</v>
      </c>
      <c r="K12" s="8">
        <f t="shared" si="1"/>
        <v>100</v>
      </c>
      <c r="L12" s="44">
        <v>0</v>
      </c>
      <c r="M12" s="42">
        <f t="shared" si="2"/>
        <v>100</v>
      </c>
      <c r="N12" s="16">
        <f t="shared" si="3"/>
        <v>175</v>
      </c>
      <c r="O12" s="43">
        <f t="shared" si="4"/>
        <v>0</v>
      </c>
      <c r="P12" s="22"/>
      <c r="Q12" s="25" t="s">
        <v>24</v>
      </c>
      <c r="R12">
        <v>15000</v>
      </c>
    </row>
    <row r="13" spans="1:25" s="1" customFormat="1" ht="18.75">
      <c r="A13" s="7">
        <v>1</v>
      </c>
      <c r="B13" s="7">
        <v>9</v>
      </c>
      <c r="C13" s="6"/>
      <c r="D13" s="29" t="s">
        <v>47</v>
      </c>
      <c r="E13" s="33"/>
      <c r="F13" s="8">
        <v>4</v>
      </c>
      <c r="G13" s="8">
        <v>0</v>
      </c>
      <c r="H13" s="12" t="s">
        <v>35</v>
      </c>
      <c r="I13" s="9">
        <f t="shared" si="0"/>
        <v>400</v>
      </c>
      <c r="J13" s="8">
        <v>0</v>
      </c>
      <c r="K13" s="8">
        <f t="shared" si="1"/>
        <v>400</v>
      </c>
      <c r="L13" s="44">
        <v>125</v>
      </c>
      <c r="M13" s="42">
        <f t="shared" si="2"/>
        <v>525</v>
      </c>
      <c r="N13" s="16">
        <f t="shared" si="3"/>
        <v>175</v>
      </c>
      <c r="O13" s="43">
        <f t="shared" si="4"/>
        <v>350</v>
      </c>
      <c r="P13" s="21"/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10</v>
      </c>
      <c r="C14" s="6"/>
      <c r="D14" s="29" t="s">
        <v>48</v>
      </c>
      <c r="E14" s="31"/>
      <c r="F14" s="8">
        <v>4</v>
      </c>
      <c r="G14" s="8">
        <v>0</v>
      </c>
      <c r="H14" s="12" t="s">
        <v>35</v>
      </c>
      <c r="I14" s="9">
        <f t="shared" si="0"/>
        <v>400</v>
      </c>
      <c r="J14" s="8">
        <v>0</v>
      </c>
      <c r="K14" s="8">
        <f t="shared" si="1"/>
        <v>400</v>
      </c>
      <c r="L14" s="44">
        <v>88</v>
      </c>
      <c r="M14" s="42">
        <f t="shared" si="2"/>
        <v>488</v>
      </c>
      <c r="N14" s="16">
        <f t="shared" si="3"/>
        <v>175</v>
      </c>
      <c r="O14" s="43">
        <f t="shared" si="4"/>
        <v>313</v>
      </c>
      <c r="P14" s="21"/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11</v>
      </c>
      <c r="C15" s="6"/>
      <c r="D15" s="29" t="s">
        <v>49</v>
      </c>
      <c r="E15" s="29"/>
      <c r="F15" s="8">
        <v>4</v>
      </c>
      <c r="G15" s="8">
        <v>0</v>
      </c>
      <c r="H15" s="12" t="s">
        <v>35</v>
      </c>
      <c r="I15" s="9">
        <f t="shared" si="0"/>
        <v>400</v>
      </c>
      <c r="J15" s="8">
        <v>0</v>
      </c>
      <c r="K15" s="8">
        <f t="shared" si="1"/>
        <v>400</v>
      </c>
      <c r="L15" s="44">
        <v>88</v>
      </c>
      <c r="M15" s="42">
        <f t="shared" si="2"/>
        <v>488</v>
      </c>
      <c r="N15" s="16">
        <f t="shared" si="3"/>
        <v>175</v>
      </c>
      <c r="O15" s="43">
        <f t="shared" si="4"/>
        <v>313</v>
      </c>
      <c r="Q15" t="s">
        <v>26</v>
      </c>
      <c r="R15">
        <v>2026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12</v>
      </c>
      <c r="C16" s="6"/>
      <c r="D16" s="29" t="s">
        <v>50</v>
      </c>
      <c r="E16" s="29"/>
      <c r="F16" s="8">
        <v>3</v>
      </c>
      <c r="G16" s="8">
        <v>0</v>
      </c>
      <c r="H16" s="12" t="s">
        <v>35</v>
      </c>
      <c r="I16" s="9">
        <f t="shared" si="0"/>
        <v>300</v>
      </c>
      <c r="J16" s="8">
        <v>0</v>
      </c>
      <c r="K16" s="8">
        <f t="shared" si="1"/>
        <v>300</v>
      </c>
      <c r="L16" s="44">
        <v>160</v>
      </c>
      <c r="M16" s="42">
        <f t="shared" si="2"/>
        <v>460</v>
      </c>
      <c r="N16" s="16">
        <f t="shared" si="3"/>
        <v>175</v>
      </c>
      <c r="O16" s="43">
        <f t="shared" si="4"/>
        <v>285</v>
      </c>
      <c r="Q16" t="s">
        <v>27</v>
      </c>
      <c r="R16">
        <v>1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13</v>
      </c>
      <c r="C17" s="6"/>
      <c r="D17" s="29" t="s">
        <v>51</v>
      </c>
      <c r="E17" s="29"/>
      <c r="F17" s="8">
        <v>4</v>
      </c>
      <c r="G17" s="8">
        <v>0</v>
      </c>
      <c r="H17" s="11" t="s">
        <v>34</v>
      </c>
      <c r="I17" s="9">
        <f t="shared" si="0"/>
        <v>400</v>
      </c>
      <c r="J17" s="8">
        <v>0</v>
      </c>
      <c r="K17" s="8">
        <f t="shared" si="1"/>
        <v>400</v>
      </c>
      <c r="L17" s="44">
        <v>160</v>
      </c>
      <c r="M17" s="42">
        <f t="shared" si="2"/>
        <v>560</v>
      </c>
      <c r="N17" s="16">
        <f t="shared" si="3"/>
        <v>240</v>
      </c>
      <c r="O17" s="43">
        <f t="shared" si="4"/>
        <v>320</v>
      </c>
      <c r="Q17" t="s">
        <v>28</v>
      </c>
      <c r="R17">
        <v>3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14</v>
      </c>
      <c r="C18" s="6"/>
      <c r="D18" s="29" t="s">
        <v>52</v>
      </c>
      <c r="E18" s="29"/>
      <c r="F18" s="8">
        <v>4</v>
      </c>
      <c r="G18" s="8">
        <v>0</v>
      </c>
      <c r="H18" s="11" t="s">
        <v>34</v>
      </c>
      <c r="I18" s="9">
        <f t="shared" si="0"/>
        <v>400</v>
      </c>
      <c r="J18" s="8">
        <v>0</v>
      </c>
      <c r="K18" s="8">
        <f t="shared" si="1"/>
        <v>400</v>
      </c>
      <c r="L18" s="44">
        <v>160</v>
      </c>
      <c r="M18" s="42">
        <f t="shared" si="2"/>
        <v>560</v>
      </c>
      <c r="N18" s="16">
        <f t="shared" si="3"/>
        <v>240</v>
      </c>
      <c r="O18" s="43">
        <f t="shared" si="4"/>
        <v>320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15</v>
      </c>
      <c r="C19" s="6"/>
      <c r="D19" s="29" t="s">
        <v>53</v>
      </c>
      <c r="E19" s="29"/>
      <c r="F19" s="8">
        <v>2</v>
      </c>
      <c r="G19" s="8">
        <v>0</v>
      </c>
      <c r="H19" s="12" t="s">
        <v>35</v>
      </c>
      <c r="I19" s="9">
        <f t="shared" si="0"/>
        <v>200</v>
      </c>
      <c r="J19" s="8">
        <v>0</v>
      </c>
      <c r="K19" s="8">
        <f t="shared" si="1"/>
        <v>200</v>
      </c>
      <c r="L19" s="44">
        <v>25</v>
      </c>
      <c r="M19" s="42">
        <f t="shared" si="2"/>
        <v>225</v>
      </c>
      <c r="N19" s="16">
        <f t="shared" si="3"/>
        <v>175</v>
      </c>
      <c r="O19" s="43">
        <f t="shared" si="4"/>
        <v>50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16</v>
      </c>
      <c r="C20" s="6"/>
      <c r="D20" s="29" t="s">
        <v>54</v>
      </c>
      <c r="E20" s="32"/>
      <c r="F20" s="8">
        <v>3</v>
      </c>
      <c r="G20" s="8">
        <v>0</v>
      </c>
      <c r="H20" s="12" t="s">
        <v>35</v>
      </c>
      <c r="I20" s="9">
        <f t="shared" si="0"/>
        <v>300</v>
      </c>
      <c r="J20" s="8">
        <v>0</v>
      </c>
      <c r="K20" s="8">
        <f t="shared" si="1"/>
        <v>300</v>
      </c>
      <c r="L20" s="44">
        <v>125</v>
      </c>
      <c r="M20" s="42">
        <f t="shared" si="2"/>
        <v>425</v>
      </c>
      <c r="N20" s="16">
        <f t="shared" si="3"/>
        <v>175</v>
      </c>
      <c r="O20" s="43">
        <f t="shared" si="4"/>
        <v>250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17</v>
      </c>
      <c r="C21" s="6"/>
      <c r="D21" s="29" t="s">
        <v>55</v>
      </c>
      <c r="E21" s="29"/>
      <c r="F21" s="8">
        <v>4</v>
      </c>
      <c r="G21" s="8">
        <v>0</v>
      </c>
      <c r="H21" s="10" t="s">
        <v>33</v>
      </c>
      <c r="I21" s="9">
        <f t="shared" si="0"/>
        <v>400</v>
      </c>
      <c r="J21" s="8">
        <v>0</v>
      </c>
      <c r="K21" s="8">
        <f t="shared" si="1"/>
        <v>400</v>
      </c>
      <c r="L21" s="44">
        <v>160</v>
      </c>
      <c r="M21" s="42">
        <f t="shared" si="2"/>
        <v>560</v>
      </c>
      <c r="N21" s="16">
        <f t="shared" si="3"/>
        <v>312</v>
      </c>
      <c r="O21" s="43">
        <f t="shared" si="4"/>
        <v>248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18</v>
      </c>
      <c r="C22" s="6"/>
      <c r="D22" s="29" t="s">
        <v>56</v>
      </c>
      <c r="E22" s="29"/>
      <c r="F22" s="8">
        <v>4</v>
      </c>
      <c r="G22" s="8">
        <v>0</v>
      </c>
      <c r="H22" s="11" t="s">
        <v>34</v>
      </c>
      <c r="I22" s="9">
        <f t="shared" si="0"/>
        <v>400</v>
      </c>
      <c r="J22" s="8">
        <v>0</v>
      </c>
      <c r="K22" s="8">
        <f t="shared" si="1"/>
        <v>400</v>
      </c>
      <c r="L22" s="44">
        <v>153</v>
      </c>
      <c r="M22" s="42">
        <f t="shared" si="2"/>
        <v>553</v>
      </c>
      <c r="N22" s="16">
        <f t="shared" si="3"/>
        <v>240</v>
      </c>
      <c r="O22" s="43">
        <f t="shared" si="4"/>
        <v>313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19</v>
      </c>
      <c r="C23" s="6"/>
      <c r="D23" s="29" t="s">
        <v>57</v>
      </c>
      <c r="E23" s="29"/>
      <c r="F23" s="8">
        <v>0</v>
      </c>
      <c r="G23" s="8">
        <v>0</v>
      </c>
      <c r="H23" s="27" t="s">
        <v>23</v>
      </c>
      <c r="I23" s="9">
        <f t="shared" si="0"/>
        <v>0</v>
      </c>
      <c r="J23" s="8">
        <v>0</v>
      </c>
      <c r="K23" s="8">
        <f t="shared" si="1"/>
        <v>0</v>
      </c>
      <c r="L23" s="44">
        <v>0</v>
      </c>
      <c r="M23" s="42">
        <f t="shared" si="2"/>
        <v>0</v>
      </c>
      <c r="N23" s="16">
        <f t="shared" si="3"/>
        <v>0</v>
      </c>
      <c r="O23" s="43">
        <f t="shared" si="4"/>
        <v>0</v>
      </c>
      <c r="P23" s="1"/>
    </row>
    <row r="24" spans="1:26" ht="18.75">
      <c r="A24" s="7">
        <v>1</v>
      </c>
      <c r="B24" s="7">
        <v>20</v>
      </c>
      <c r="C24" s="6"/>
      <c r="D24" s="29" t="s">
        <v>58</v>
      </c>
      <c r="E24" s="32"/>
      <c r="F24" s="8">
        <v>2</v>
      </c>
      <c r="G24" s="8">
        <v>0</v>
      </c>
      <c r="H24" s="12" t="s">
        <v>35</v>
      </c>
      <c r="I24" s="9">
        <f t="shared" si="0"/>
        <v>200</v>
      </c>
      <c r="J24" s="8">
        <v>0</v>
      </c>
      <c r="K24" s="8">
        <f t="shared" si="1"/>
        <v>200</v>
      </c>
      <c r="L24" s="44">
        <v>160</v>
      </c>
      <c r="M24" s="42">
        <f t="shared" si="2"/>
        <v>360</v>
      </c>
      <c r="N24" s="16">
        <f t="shared" si="3"/>
        <v>175</v>
      </c>
      <c r="O24" s="43">
        <f t="shared" si="4"/>
        <v>185</v>
      </c>
      <c r="P24" s="1"/>
    </row>
    <row r="25" spans="1:26" ht="18.75">
      <c r="A25" s="7">
        <v>1</v>
      </c>
      <c r="B25" s="7">
        <v>21</v>
      </c>
      <c r="C25" s="6"/>
      <c r="D25" s="29" t="s">
        <v>59</v>
      </c>
      <c r="F25" s="8">
        <v>4</v>
      </c>
      <c r="G25" s="8">
        <v>0</v>
      </c>
      <c r="H25" s="10" t="s">
        <v>33</v>
      </c>
      <c r="I25" s="9">
        <f t="shared" si="0"/>
        <v>400</v>
      </c>
      <c r="J25" s="8">
        <v>0</v>
      </c>
      <c r="K25" s="8">
        <f t="shared" si="1"/>
        <v>400</v>
      </c>
      <c r="L25" s="44">
        <v>160</v>
      </c>
      <c r="M25" s="42">
        <f t="shared" si="2"/>
        <v>560</v>
      </c>
      <c r="N25" s="16">
        <f t="shared" si="3"/>
        <v>312</v>
      </c>
      <c r="O25" s="43">
        <f t="shared" si="4"/>
        <v>248</v>
      </c>
      <c r="P25" s="1"/>
    </row>
    <row r="26" spans="1:26" ht="18.75" customHeight="1">
      <c r="A26" s="7">
        <v>1</v>
      </c>
      <c r="B26" s="7">
        <v>22</v>
      </c>
      <c r="C26" s="6"/>
      <c r="D26" s="29" t="s">
        <v>60</v>
      </c>
      <c r="E26" s="32"/>
      <c r="F26" s="8">
        <v>4</v>
      </c>
      <c r="G26" s="8">
        <v>0</v>
      </c>
      <c r="H26" s="11" t="s">
        <v>34</v>
      </c>
      <c r="I26" s="9">
        <f t="shared" si="0"/>
        <v>400</v>
      </c>
      <c r="J26" s="8">
        <v>0</v>
      </c>
      <c r="K26" s="8">
        <f t="shared" si="1"/>
        <v>400</v>
      </c>
      <c r="L26" s="44">
        <v>160</v>
      </c>
      <c r="M26" s="42">
        <f t="shared" si="2"/>
        <v>560</v>
      </c>
      <c r="N26" s="16">
        <f t="shared" si="3"/>
        <v>240</v>
      </c>
      <c r="O26" s="43">
        <f t="shared" si="4"/>
        <v>320</v>
      </c>
      <c r="P26" s="1"/>
    </row>
    <row r="27" spans="1:26" ht="18.75">
      <c r="A27" s="7">
        <v>1</v>
      </c>
      <c r="B27" s="7">
        <v>23</v>
      </c>
      <c r="C27" s="6"/>
      <c r="D27" s="29" t="s">
        <v>61</v>
      </c>
      <c r="E27" s="32"/>
      <c r="F27" s="8">
        <v>4</v>
      </c>
      <c r="G27" s="8">
        <v>0</v>
      </c>
      <c r="H27" s="12" t="s">
        <v>35</v>
      </c>
      <c r="I27" s="9">
        <f t="shared" si="0"/>
        <v>400</v>
      </c>
      <c r="J27" s="8">
        <v>0</v>
      </c>
      <c r="K27" s="8">
        <f t="shared" si="1"/>
        <v>400</v>
      </c>
      <c r="L27" s="44">
        <v>125</v>
      </c>
      <c r="M27" s="42">
        <f t="shared" si="2"/>
        <v>525</v>
      </c>
      <c r="N27" s="16">
        <f t="shared" si="3"/>
        <v>175</v>
      </c>
      <c r="O27" s="43">
        <f t="shared" si="4"/>
        <v>350</v>
      </c>
      <c r="P27" s="1"/>
    </row>
    <row r="28" spans="1:26" ht="18.75">
      <c r="A28" s="7">
        <v>1</v>
      </c>
      <c r="B28" s="7">
        <v>24</v>
      </c>
      <c r="C28" s="6"/>
      <c r="D28" s="29" t="s">
        <v>62</v>
      </c>
      <c r="E28" s="32"/>
      <c r="F28" s="8">
        <v>4</v>
      </c>
      <c r="G28" s="8">
        <v>0</v>
      </c>
      <c r="H28" s="10" t="s">
        <v>33</v>
      </c>
      <c r="I28" s="9">
        <f t="shared" si="0"/>
        <v>400</v>
      </c>
      <c r="J28" s="8">
        <v>0</v>
      </c>
      <c r="K28" s="8">
        <f t="shared" si="1"/>
        <v>400</v>
      </c>
      <c r="L28" s="44">
        <v>225</v>
      </c>
      <c r="M28" s="42">
        <f t="shared" si="2"/>
        <v>625</v>
      </c>
      <c r="N28" s="16">
        <f t="shared" si="3"/>
        <v>312</v>
      </c>
      <c r="O28" s="43">
        <f t="shared" si="4"/>
        <v>313</v>
      </c>
      <c r="P28" s="1"/>
    </row>
    <row r="29" spans="1:26" s="1" customFormat="1" ht="18.75">
      <c r="A29" s="7">
        <v>1</v>
      </c>
      <c r="B29" s="7">
        <v>25</v>
      </c>
      <c r="C29" s="6"/>
      <c r="D29" s="29" t="s">
        <v>63</v>
      </c>
      <c r="E29" s="32"/>
      <c r="F29" s="8">
        <v>3</v>
      </c>
      <c r="G29" s="8">
        <v>0</v>
      </c>
      <c r="H29" s="12" t="s">
        <v>35</v>
      </c>
      <c r="I29" s="9">
        <f t="shared" si="0"/>
        <v>300</v>
      </c>
      <c r="J29" s="8">
        <v>0</v>
      </c>
      <c r="K29" s="8">
        <f t="shared" si="1"/>
        <v>300</v>
      </c>
      <c r="L29" s="44">
        <v>0</v>
      </c>
      <c r="M29" s="42">
        <f t="shared" si="2"/>
        <v>300</v>
      </c>
      <c r="N29" s="16">
        <f t="shared" si="3"/>
        <v>175</v>
      </c>
      <c r="O29" s="43">
        <f t="shared" si="4"/>
        <v>125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26</v>
      </c>
      <c r="C30" s="6"/>
      <c r="D30" s="29" t="s">
        <v>64</v>
      </c>
      <c r="E30" s="32"/>
      <c r="F30" s="8">
        <v>4</v>
      </c>
      <c r="G30" s="8">
        <v>0</v>
      </c>
      <c r="H30" s="12" t="s">
        <v>35</v>
      </c>
      <c r="I30" s="9">
        <f t="shared" si="0"/>
        <v>400</v>
      </c>
      <c r="J30" s="8">
        <v>0</v>
      </c>
      <c r="K30" s="8">
        <f t="shared" si="1"/>
        <v>400</v>
      </c>
      <c r="L30" s="44">
        <v>69</v>
      </c>
      <c r="M30" s="42">
        <f t="shared" si="2"/>
        <v>469</v>
      </c>
      <c r="N30" s="16">
        <f t="shared" si="3"/>
        <v>175</v>
      </c>
      <c r="O30" s="43">
        <f t="shared" si="4"/>
        <v>294</v>
      </c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27</v>
      </c>
      <c r="C31" s="6"/>
      <c r="D31" s="29" t="s">
        <v>65</v>
      </c>
      <c r="E31" s="32"/>
      <c r="F31" s="8">
        <v>4</v>
      </c>
      <c r="G31" s="8">
        <v>0</v>
      </c>
      <c r="H31" s="12" t="s">
        <v>35</v>
      </c>
      <c r="I31" s="9">
        <f t="shared" si="0"/>
        <v>400</v>
      </c>
      <c r="J31" s="8">
        <v>0</v>
      </c>
      <c r="K31" s="8">
        <f t="shared" si="1"/>
        <v>400</v>
      </c>
      <c r="L31" s="44">
        <v>125</v>
      </c>
      <c r="M31" s="42">
        <f t="shared" si="2"/>
        <v>525</v>
      </c>
      <c r="N31" s="16">
        <f t="shared" si="3"/>
        <v>175</v>
      </c>
      <c r="O31" s="43">
        <f t="shared" si="4"/>
        <v>350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28</v>
      </c>
      <c r="C32" s="6"/>
      <c r="D32" s="29" t="s">
        <v>66</v>
      </c>
      <c r="E32" s="32"/>
      <c r="F32" s="8">
        <v>3</v>
      </c>
      <c r="G32" s="8">
        <v>0</v>
      </c>
      <c r="H32" s="12" t="s">
        <v>35</v>
      </c>
      <c r="I32" s="9">
        <f t="shared" si="0"/>
        <v>300</v>
      </c>
      <c r="J32" s="8">
        <v>0</v>
      </c>
      <c r="K32" s="8">
        <f t="shared" si="1"/>
        <v>300</v>
      </c>
      <c r="L32" s="44">
        <v>153</v>
      </c>
      <c r="M32" s="42">
        <f t="shared" si="2"/>
        <v>453</v>
      </c>
      <c r="N32" s="16">
        <f t="shared" si="3"/>
        <v>175</v>
      </c>
      <c r="O32" s="43">
        <f t="shared" si="4"/>
        <v>278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29</v>
      </c>
      <c r="C33" s="6"/>
      <c r="D33" s="29" t="s">
        <v>67</v>
      </c>
      <c r="E33" s="32"/>
      <c r="F33" s="8">
        <v>4</v>
      </c>
      <c r="G33" s="8">
        <v>0</v>
      </c>
      <c r="H33" s="12" t="s">
        <v>35</v>
      </c>
      <c r="I33" s="9">
        <f t="shared" si="0"/>
        <v>400</v>
      </c>
      <c r="J33" s="8">
        <v>0</v>
      </c>
      <c r="K33" s="8">
        <f t="shared" si="1"/>
        <v>400</v>
      </c>
      <c r="L33" s="44">
        <v>69</v>
      </c>
      <c r="M33" s="42">
        <f t="shared" si="2"/>
        <v>469</v>
      </c>
      <c r="N33" s="16">
        <f t="shared" si="3"/>
        <v>175</v>
      </c>
      <c r="O33" s="43">
        <f t="shared" si="4"/>
        <v>294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30</v>
      </c>
      <c r="C34" s="6"/>
      <c r="D34" s="29" t="s">
        <v>68</v>
      </c>
      <c r="E34" s="32"/>
      <c r="F34" s="8">
        <v>2</v>
      </c>
      <c r="G34" s="8">
        <v>0</v>
      </c>
      <c r="H34" s="12" t="s">
        <v>35</v>
      </c>
      <c r="I34" s="9">
        <f t="shared" si="0"/>
        <v>200</v>
      </c>
      <c r="J34" s="8">
        <v>0</v>
      </c>
      <c r="K34" s="8">
        <f t="shared" si="1"/>
        <v>200</v>
      </c>
      <c r="L34" s="44">
        <v>153</v>
      </c>
      <c r="M34" s="42">
        <f t="shared" si="2"/>
        <v>353</v>
      </c>
      <c r="N34" s="16">
        <f t="shared" si="3"/>
        <v>175</v>
      </c>
      <c r="O34" s="43">
        <f t="shared" si="4"/>
        <v>178</v>
      </c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31</v>
      </c>
      <c r="C35" s="6"/>
      <c r="D35" s="29" t="s">
        <v>69</v>
      </c>
      <c r="E35" s="32"/>
      <c r="F35" s="8">
        <v>3</v>
      </c>
      <c r="G35" s="8">
        <v>0</v>
      </c>
      <c r="H35" s="12" t="s">
        <v>35</v>
      </c>
      <c r="I35" s="9">
        <f t="shared" si="0"/>
        <v>300</v>
      </c>
      <c r="J35" s="8">
        <v>0</v>
      </c>
      <c r="K35" s="8">
        <f t="shared" si="1"/>
        <v>300</v>
      </c>
      <c r="L35" s="44">
        <v>25</v>
      </c>
      <c r="M35" s="42">
        <f t="shared" si="2"/>
        <v>325</v>
      </c>
      <c r="N35" s="16">
        <f t="shared" si="3"/>
        <v>175</v>
      </c>
      <c r="O35" s="43">
        <f t="shared" si="4"/>
        <v>150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32</v>
      </c>
      <c r="C36" s="6"/>
      <c r="D36" s="29" t="s">
        <v>70</v>
      </c>
      <c r="E36" s="32"/>
      <c r="F36" s="8">
        <v>4</v>
      </c>
      <c r="G36" s="8">
        <v>0</v>
      </c>
      <c r="H36" s="12" t="s">
        <v>35</v>
      </c>
      <c r="I36" s="9">
        <f t="shared" si="0"/>
        <v>400</v>
      </c>
      <c r="J36" s="8">
        <v>0</v>
      </c>
      <c r="K36" s="8">
        <f t="shared" si="1"/>
        <v>400</v>
      </c>
      <c r="L36" s="44">
        <v>0</v>
      </c>
      <c r="M36" s="42">
        <f t="shared" si="2"/>
        <v>400</v>
      </c>
      <c r="N36" s="16">
        <f t="shared" si="3"/>
        <v>175</v>
      </c>
      <c r="O36" s="43">
        <f t="shared" si="4"/>
        <v>225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33</v>
      </c>
      <c r="C37" s="6"/>
      <c r="D37" s="29" t="s">
        <v>71</v>
      </c>
      <c r="E37" s="29"/>
      <c r="F37" s="8">
        <v>4</v>
      </c>
      <c r="G37" s="8">
        <v>0</v>
      </c>
      <c r="H37" s="12" t="s">
        <v>35</v>
      </c>
      <c r="I37" s="9">
        <f t="shared" ref="I37:I68" si="5">F37*100</f>
        <v>400</v>
      </c>
      <c r="J37" s="8">
        <v>0</v>
      </c>
      <c r="K37" s="8">
        <f t="shared" ref="K37:K68" si="6">SUM(I37+J37)</f>
        <v>400</v>
      </c>
      <c r="L37" s="44">
        <v>153</v>
      </c>
      <c r="M37" s="42">
        <f t="shared" ref="M37:M68" si="7">L37+K37</f>
        <v>553</v>
      </c>
      <c r="N37" s="16">
        <f t="shared" ref="N37:N68" si="8">VLOOKUP(H37,$Q$3:$R$10,2,FALSE)</f>
        <v>175</v>
      </c>
      <c r="O37" s="43">
        <f t="shared" ref="O37:O68" si="9">IF(M37-N37&gt;0,M37-N37,0)</f>
        <v>378</v>
      </c>
      <c r="P37" s="1"/>
    </row>
    <row r="38" spans="1:26" s="1" customFormat="1" ht="18.75">
      <c r="A38" s="7">
        <v>1</v>
      </c>
      <c r="B38" s="7">
        <v>34</v>
      </c>
      <c r="C38" s="6"/>
      <c r="D38" s="29" t="s">
        <v>72</v>
      </c>
      <c r="E38" s="29"/>
      <c r="F38" s="8">
        <v>4</v>
      </c>
      <c r="G38" s="8">
        <v>0</v>
      </c>
      <c r="H38" s="12" t="s">
        <v>35</v>
      </c>
      <c r="I38" s="9">
        <f t="shared" si="5"/>
        <v>400</v>
      </c>
      <c r="J38" s="8">
        <v>0</v>
      </c>
      <c r="K38" s="8">
        <f t="shared" si="6"/>
        <v>400</v>
      </c>
      <c r="L38" s="44">
        <v>125</v>
      </c>
      <c r="M38" s="42">
        <f t="shared" si="7"/>
        <v>525</v>
      </c>
      <c r="N38" s="16">
        <f t="shared" si="8"/>
        <v>175</v>
      </c>
      <c r="O38" s="43">
        <f t="shared" si="9"/>
        <v>350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35</v>
      </c>
      <c r="C39" s="6"/>
      <c r="D39" s="29" t="s">
        <v>73</v>
      </c>
      <c r="E39" s="29"/>
      <c r="F39" s="8">
        <v>4</v>
      </c>
      <c r="G39" s="8">
        <v>0</v>
      </c>
      <c r="H39" s="12" t="s">
        <v>35</v>
      </c>
      <c r="I39" s="9">
        <f t="shared" si="5"/>
        <v>400</v>
      </c>
      <c r="J39" s="8">
        <v>0</v>
      </c>
      <c r="K39" s="8">
        <f t="shared" si="6"/>
        <v>400</v>
      </c>
      <c r="L39" s="44">
        <v>125</v>
      </c>
      <c r="M39" s="42">
        <f t="shared" si="7"/>
        <v>525</v>
      </c>
      <c r="N39" s="16">
        <f t="shared" si="8"/>
        <v>175</v>
      </c>
      <c r="O39" s="43">
        <f t="shared" si="9"/>
        <v>350</v>
      </c>
      <c r="P39" s="1"/>
    </row>
    <row r="40" spans="1:26" ht="18.75">
      <c r="A40" s="7">
        <v>1</v>
      </c>
      <c r="B40" s="7">
        <v>36</v>
      </c>
      <c r="C40" s="6"/>
      <c r="D40" s="29" t="s">
        <v>74</v>
      </c>
      <c r="E40" s="29"/>
      <c r="F40" s="8">
        <v>4</v>
      </c>
      <c r="G40" s="8">
        <v>0</v>
      </c>
      <c r="H40" s="12" t="s">
        <v>35</v>
      </c>
      <c r="I40" s="9">
        <f t="shared" si="5"/>
        <v>400</v>
      </c>
      <c r="J40" s="8">
        <v>0</v>
      </c>
      <c r="K40" s="8">
        <f t="shared" si="6"/>
        <v>400</v>
      </c>
      <c r="L40" s="44">
        <v>69</v>
      </c>
      <c r="M40" s="42">
        <f t="shared" si="7"/>
        <v>469</v>
      </c>
      <c r="N40" s="16">
        <f t="shared" si="8"/>
        <v>175</v>
      </c>
      <c r="O40" s="43">
        <f t="shared" si="9"/>
        <v>294</v>
      </c>
      <c r="P40" s="1"/>
    </row>
    <row r="41" spans="1:26" ht="18.75">
      <c r="A41" s="7">
        <v>1</v>
      </c>
      <c r="B41" s="7">
        <v>37</v>
      </c>
      <c r="C41" s="6"/>
      <c r="D41" s="29" t="s">
        <v>75</v>
      </c>
      <c r="F41" s="8">
        <v>4</v>
      </c>
      <c r="G41" s="8">
        <v>0</v>
      </c>
      <c r="H41" s="12" t="s">
        <v>35</v>
      </c>
      <c r="I41" s="9">
        <f t="shared" si="5"/>
        <v>400</v>
      </c>
      <c r="J41" s="8">
        <v>0</v>
      </c>
      <c r="K41" s="8">
        <f t="shared" si="6"/>
        <v>400</v>
      </c>
      <c r="L41" s="44">
        <v>69</v>
      </c>
      <c r="M41" s="42">
        <f t="shared" si="7"/>
        <v>469</v>
      </c>
      <c r="N41" s="16">
        <f t="shared" si="8"/>
        <v>175</v>
      </c>
      <c r="O41" s="43">
        <f t="shared" si="9"/>
        <v>294</v>
      </c>
      <c r="P41" s="1"/>
    </row>
    <row r="42" spans="1:26" ht="18.75">
      <c r="A42" s="7">
        <v>1</v>
      </c>
      <c r="B42" s="7">
        <v>38</v>
      </c>
      <c r="C42" s="6"/>
      <c r="D42" s="29" t="s">
        <v>76</v>
      </c>
      <c r="E42" s="29"/>
      <c r="F42" s="8">
        <v>2</v>
      </c>
      <c r="G42" s="8">
        <v>0</v>
      </c>
      <c r="H42" s="12" t="s">
        <v>35</v>
      </c>
      <c r="I42" s="9">
        <f t="shared" si="5"/>
        <v>200</v>
      </c>
      <c r="J42" s="8">
        <v>0</v>
      </c>
      <c r="K42" s="8">
        <f t="shared" si="6"/>
        <v>200</v>
      </c>
      <c r="L42" s="44">
        <v>25</v>
      </c>
      <c r="M42" s="42">
        <f t="shared" si="7"/>
        <v>225</v>
      </c>
      <c r="N42" s="16">
        <f t="shared" si="8"/>
        <v>175</v>
      </c>
      <c r="O42" s="43">
        <f t="shared" si="9"/>
        <v>50</v>
      </c>
      <c r="P42" s="1"/>
    </row>
    <row r="43" spans="1:26" ht="18.75">
      <c r="A43" s="7">
        <v>1</v>
      </c>
      <c r="B43" s="7">
        <v>39</v>
      </c>
      <c r="C43" s="6"/>
      <c r="D43" s="29" t="s">
        <v>77</v>
      </c>
      <c r="E43" s="29"/>
      <c r="F43" s="8">
        <v>1</v>
      </c>
      <c r="G43" s="8">
        <v>0</v>
      </c>
      <c r="H43" s="12" t="s">
        <v>35</v>
      </c>
      <c r="I43" s="9">
        <f t="shared" si="5"/>
        <v>100</v>
      </c>
      <c r="J43" s="8">
        <v>0</v>
      </c>
      <c r="K43" s="8">
        <f t="shared" si="6"/>
        <v>100</v>
      </c>
      <c r="L43" s="44">
        <v>69</v>
      </c>
      <c r="M43" s="42">
        <f t="shared" si="7"/>
        <v>169</v>
      </c>
      <c r="N43" s="16">
        <f t="shared" si="8"/>
        <v>175</v>
      </c>
      <c r="O43" s="43">
        <f t="shared" si="9"/>
        <v>0</v>
      </c>
      <c r="P43" s="1"/>
    </row>
    <row r="44" spans="1:26" ht="18.75">
      <c r="A44" s="7">
        <v>1</v>
      </c>
      <c r="B44" s="7">
        <v>40</v>
      </c>
      <c r="C44" s="6"/>
      <c r="D44" s="30" t="s">
        <v>78</v>
      </c>
      <c r="F44" s="8">
        <v>4</v>
      </c>
      <c r="G44" s="8">
        <v>0</v>
      </c>
      <c r="H44" s="11" t="s">
        <v>34</v>
      </c>
      <c r="I44" s="9">
        <f t="shared" si="5"/>
        <v>400</v>
      </c>
      <c r="J44" s="8">
        <v>0</v>
      </c>
      <c r="K44" s="8">
        <f t="shared" si="6"/>
        <v>400</v>
      </c>
      <c r="L44" s="44">
        <v>153</v>
      </c>
      <c r="M44" s="42">
        <f t="shared" si="7"/>
        <v>553</v>
      </c>
      <c r="N44" s="16">
        <f t="shared" si="8"/>
        <v>240</v>
      </c>
      <c r="O44" s="43">
        <f t="shared" si="9"/>
        <v>313</v>
      </c>
      <c r="P44" s="1"/>
    </row>
    <row r="45" spans="1:26" ht="18.75">
      <c r="A45" s="7">
        <v>1</v>
      </c>
      <c r="B45" s="7">
        <v>41</v>
      </c>
      <c r="C45" s="6"/>
      <c r="D45" s="29" t="s">
        <v>79</v>
      </c>
      <c r="E45" s="32"/>
      <c r="F45" s="8">
        <v>4</v>
      </c>
      <c r="G45" s="8">
        <v>0</v>
      </c>
      <c r="H45" s="10" t="s">
        <v>33</v>
      </c>
      <c r="I45" s="9">
        <f t="shared" si="5"/>
        <v>400</v>
      </c>
      <c r="J45" s="8">
        <v>0</v>
      </c>
      <c r="K45" s="8">
        <f t="shared" si="6"/>
        <v>400</v>
      </c>
      <c r="L45" s="44">
        <v>225</v>
      </c>
      <c r="M45" s="42">
        <f t="shared" si="7"/>
        <v>625</v>
      </c>
      <c r="N45" s="16">
        <f t="shared" si="8"/>
        <v>312</v>
      </c>
      <c r="O45" s="43">
        <f t="shared" si="9"/>
        <v>313</v>
      </c>
      <c r="P45" s="1"/>
    </row>
    <row r="46" spans="1:26" ht="18.75">
      <c r="A46" s="7">
        <v>1</v>
      </c>
      <c r="B46" s="7">
        <v>42</v>
      </c>
      <c r="C46" s="6"/>
      <c r="D46" s="29" t="s">
        <v>80</v>
      </c>
      <c r="E46" s="32"/>
      <c r="F46" s="8">
        <v>4</v>
      </c>
      <c r="G46" s="8">
        <v>0</v>
      </c>
      <c r="H46" s="12" t="s">
        <v>35</v>
      </c>
      <c r="I46" s="9">
        <f t="shared" si="5"/>
        <v>400</v>
      </c>
      <c r="J46" s="8">
        <v>0</v>
      </c>
      <c r="K46" s="8">
        <f t="shared" si="6"/>
        <v>400</v>
      </c>
      <c r="L46" s="44">
        <v>69</v>
      </c>
      <c r="M46" s="42">
        <f t="shared" si="7"/>
        <v>469</v>
      </c>
      <c r="N46" s="16">
        <f t="shared" si="8"/>
        <v>175</v>
      </c>
      <c r="O46" s="43">
        <f t="shared" si="9"/>
        <v>294</v>
      </c>
      <c r="P46" s="1"/>
    </row>
    <row r="47" spans="1:26" ht="18.75">
      <c r="A47" s="7">
        <v>1</v>
      </c>
      <c r="B47" s="7">
        <v>43</v>
      </c>
      <c r="C47" s="6"/>
      <c r="D47" s="29" t="s">
        <v>81</v>
      </c>
      <c r="E47" s="31"/>
      <c r="F47" s="8">
        <v>4</v>
      </c>
      <c r="G47" s="8">
        <v>0</v>
      </c>
      <c r="H47" s="12" t="s">
        <v>35</v>
      </c>
      <c r="I47" s="9">
        <f t="shared" si="5"/>
        <v>400</v>
      </c>
      <c r="J47" s="8">
        <v>0</v>
      </c>
      <c r="K47" s="8">
        <f t="shared" si="6"/>
        <v>400</v>
      </c>
      <c r="L47" s="44">
        <v>125</v>
      </c>
      <c r="M47" s="42">
        <f t="shared" si="7"/>
        <v>525</v>
      </c>
      <c r="N47" s="16">
        <f t="shared" si="8"/>
        <v>175</v>
      </c>
      <c r="O47" s="43">
        <f t="shared" si="9"/>
        <v>350</v>
      </c>
      <c r="P47" s="1"/>
    </row>
    <row r="48" spans="1:26" ht="18.75">
      <c r="A48" s="7">
        <v>1</v>
      </c>
      <c r="B48" s="7">
        <v>44</v>
      </c>
      <c r="C48" s="6"/>
      <c r="D48" s="29" t="s">
        <v>82</v>
      </c>
      <c r="E48" s="29"/>
      <c r="F48" s="8">
        <v>4</v>
      </c>
      <c r="G48" s="8">
        <v>0</v>
      </c>
      <c r="H48" s="12" t="s">
        <v>35</v>
      </c>
      <c r="I48" s="9">
        <f t="shared" si="5"/>
        <v>400</v>
      </c>
      <c r="J48" s="8">
        <v>0</v>
      </c>
      <c r="K48" s="8">
        <f t="shared" si="6"/>
        <v>400</v>
      </c>
      <c r="L48" s="44">
        <v>69</v>
      </c>
      <c r="M48" s="42">
        <f t="shared" si="7"/>
        <v>469</v>
      </c>
      <c r="N48" s="16">
        <f t="shared" si="8"/>
        <v>175</v>
      </c>
      <c r="O48" s="43">
        <f t="shared" si="9"/>
        <v>294</v>
      </c>
    </row>
    <row r="49" spans="1:15" ht="18.75">
      <c r="A49" s="7">
        <v>1</v>
      </c>
      <c r="B49" s="7">
        <v>45</v>
      </c>
      <c r="C49" s="6"/>
      <c r="D49" s="29" t="s">
        <v>83</v>
      </c>
      <c r="E49" s="29"/>
      <c r="F49" s="8">
        <v>4</v>
      </c>
      <c r="G49" s="8">
        <v>0</v>
      </c>
      <c r="H49" s="12" t="s">
        <v>35</v>
      </c>
      <c r="I49" s="9">
        <f t="shared" si="5"/>
        <v>400</v>
      </c>
      <c r="J49" s="8">
        <v>0</v>
      </c>
      <c r="K49" s="8">
        <f t="shared" si="6"/>
        <v>400</v>
      </c>
      <c r="L49" s="44">
        <v>69</v>
      </c>
      <c r="M49" s="42">
        <f t="shared" si="7"/>
        <v>469</v>
      </c>
      <c r="N49" s="16">
        <f t="shared" si="8"/>
        <v>175</v>
      </c>
      <c r="O49" s="43">
        <f t="shared" si="9"/>
        <v>294</v>
      </c>
    </row>
    <row r="50" spans="1:15" ht="18.75">
      <c r="A50" s="7">
        <v>1</v>
      </c>
      <c r="B50" s="7">
        <v>46</v>
      </c>
      <c r="C50" s="6"/>
      <c r="D50" s="29" t="s">
        <v>84</v>
      </c>
      <c r="E50" s="29"/>
      <c r="F50" s="8">
        <v>4</v>
      </c>
      <c r="G50" s="8">
        <v>0</v>
      </c>
      <c r="H50" s="11" t="s">
        <v>34</v>
      </c>
      <c r="I50" s="9">
        <f t="shared" si="5"/>
        <v>400</v>
      </c>
      <c r="J50" s="8">
        <v>0</v>
      </c>
      <c r="K50" s="8">
        <f t="shared" si="6"/>
        <v>400</v>
      </c>
      <c r="L50" s="44">
        <v>153</v>
      </c>
      <c r="M50" s="42">
        <f t="shared" si="7"/>
        <v>553</v>
      </c>
      <c r="N50" s="16">
        <f t="shared" si="8"/>
        <v>240</v>
      </c>
      <c r="O50" s="43">
        <f t="shared" si="9"/>
        <v>313</v>
      </c>
    </row>
    <row r="51" spans="1:15" ht="18.75">
      <c r="A51" s="7">
        <v>1</v>
      </c>
      <c r="B51" s="7">
        <v>47</v>
      </c>
      <c r="C51" s="6"/>
      <c r="D51" s="29" t="s">
        <v>85</v>
      </c>
      <c r="E51" s="29"/>
      <c r="F51" s="8">
        <v>2</v>
      </c>
      <c r="G51" s="8">
        <v>0</v>
      </c>
      <c r="H51" s="12" t="s">
        <v>35</v>
      </c>
      <c r="I51" s="9">
        <f t="shared" si="5"/>
        <v>200</v>
      </c>
      <c r="J51" s="8">
        <v>0</v>
      </c>
      <c r="K51" s="8">
        <f t="shared" si="6"/>
        <v>200</v>
      </c>
      <c r="L51" s="44">
        <v>153</v>
      </c>
      <c r="M51" s="42">
        <f t="shared" si="7"/>
        <v>353</v>
      </c>
      <c r="N51" s="16">
        <f t="shared" si="8"/>
        <v>175</v>
      </c>
      <c r="O51" s="43">
        <f t="shared" si="9"/>
        <v>178</v>
      </c>
    </row>
    <row r="52" spans="1:15" ht="18.75">
      <c r="A52" s="7">
        <v>1</v>
      </c>
      <c r="B52" s="7">
        <v>48</v>
      </c>
      <c r="C52" s="6"/>
      <c r="D52" s="29" t="s">
        <v>86</v>
      </c>
      <c r="E52" s="29"/>
      <c r="F52" s="8">
        <v>0</v>
      </c>
      <c r="G52" s="8">
        <v>0</v>
      </c>
      <c r="H52" s="27" t="s">
        <v>23</v>
      </c>
      <c r="I52" s="9">
        <f t="shared" si="5"/>
        <v>0</v>
      </c>
      <c r="J52" s="8">
        <v>0</v>
      </c>
      <c r="K52" s="8">
        <f t="shared" si="6"/>
        <v>0</v>
      </c>
      <c r="L52" s="44">
        <v>0</v>
      </c>
      <c r="M52" s="42">
        <f t="shared" si="7"/>
        <v>0</v>
      </c>
      <c r="N52" s="16">
        <f t="shared" si="8"/>
        <v>0</v>
      </c>
      <c r="O52" s="43">
        <f t="shared" si="9"/>
        <v>0</v>
      </c>
    </row>
    <row r="53" spans="1:15" ht="18.75">
      <c r="A53" s="7">
        <v>1</v>
      </c>
      <c r="B53" s="7">
        <v>49</v>
      </c>
      <c r="C53" s="6"/>
      <c r="D53" s="29" t="s">
        <v>87</v>
      </c>
      <c r="E53" s="29"/>
      <c r="F53" s="8">
        <v>4</v>
      </c>
      <c r="G53" s="8">
        <v>0</v>
      </c>
      <c r="H53" s="10" t="s">
        <v>33</v>
      </c>
      <c r="I53" s="9">
        <f t="shared" si="5"/>
        <v>400</v>
      </c>
      <c r="J53" s="8">
        <v>0</v>
      </c>
      <c r="K53" s="8">
        <f t="shared" si="6"/>
        <v>400</v>
      </c>
      <c r="L53" s="44">
        <v>225</v>
      </c>
      <c r="M53" s="42">
        <f t="shared" si="7"/>
        <v>625</v>
      </c>
      <c r="N53" s="16">
        <f t="shared" si="8"/>
        <v>312</v>
      </c>
      <c r="O53" s="43">
        <f t="shared" si="9"/>
        <v>313</v>
      </c>
    </row>
    <row r="54" spans="1:15" ht="18.75">
      <c r="A54" s="7">
        <v>1</v>
      </c>
      <c r="B54" s="7">
        <v>50</v>
      </c>
      <c r="C54" s="6"/>
      <c r="D54" s="29" t="s">
        <v>88</v>
      </c>
      <c r="E54" s="29"/>
      <c r="F54" s="8">
        <v>4</v>
      </c>
      <c r="G54" s="8">
        <v>0</v>
      </c>
      <c r="H54" s="12" t="s">
        <v>35</v>
      </c>
      <c r="I54" s="9">
        <f t="shared" si="5"/>
        <v>400</v>
      </c>
      <c r="J54" s="8">
        <v>0</v>
      </c>
      <c r="K54" s="8">
        <f t="shared" si="6"/>
        <v>400</v>
      </c>
      <c r="L54" s="44">
        <v>125</v>
      </c>
      <c r="M54" s="42">
        <f t="shared" si="7"/>
        <v>525</v>
      </c>
      <c r="N54" s="16">
        <f t="shared" si="8"/>
        <v>175</v>
      </c>
      <c r="O54" s="43">
        <f t="shared" si="9"/>
        <v>350</v>
      </c>
    </row>
    <row r="55" spans="1:15" ht="18.75">
      <c r="A55" s="7">
        <v>1</v>
      </c>
      <c r="B55" s="7">
        <v>51</v>
      </c>
      <c r="C55" s="6"/>
      <c r="D55" s="29" t="s">
        <v>89</v>
      </c>
      <c r="E55" s="29"/>
      <c r="F55" s="8">
        <v>1</v>
      </c>
      <c r="G55" s="8">
        <v>0</v>
      </c>
      <c r="H55" s="12" t="s">
        <v>35</v>
      </c>
      <c r="I55" s="9">
        <f t="shared" si="5"/>
        <v>100</v>
      </c>
      <c r="J55" s="8">
        <v>0</v>
      </c>
      <c r="K55" s="8">
        <f t="shared" si="6"/>
        <v>100</v>
      </c>
      <c r="L55" s="44">
        <v>0</v>
      </c>
      <c r="M55" s="42">
        <f t="shared" si="7"/>
        <v>100</v>
      </c>
      <c r="N55" s="16">
        <f t="shared" si="8"/>
        <v>175</v>
      </c>
      <c r="O55" s="43">
        <f t="shared" si="9"/>
        <v>0</v>
      </c>
    </row>
    <row r="56" spans="1:15" ht="18.75">
      <c r="A56" s="7">
        <v>1</v>
      </c>
      <c r="B56" s="7">
        <v>52</v>
      </c>
      <c r="C56" s="6"/>
      <c r="D56" s="29" t="s">
        <v>90</v>
      </c>
      <c r="F56" s="8">
        <v>3</v>
      </c>
      <c r="G56" s="8">
        <v>0</v>
      </c>
      <c r="H56" s="12" t="s">
        <v>35</v>
      </c>
      <c r="I56" s="9">
        <f t="shared" si="5"/>
        <v>300</v>
      </c>
      <c r="J56" s="8">
        <v>0</v>
      </c>
      <c r="K56" s="8">
        <f t="shared" si="6"/>
        <v>300</v>
      </c>
      <c r="L56" s="44">
        <v>69</v>
      </c>
      <c r="M56" s="42">
        <f t="shared" si="7"/>
        <v>369</v>
      </c>
      <c r="N56" s="16">
        <f t="shared" si="8"/>
        <v>175</v>
      </c>
      <c r="O56" s="43">
        <f t="shared" si="9"/>
        <v>194</v>
      </c>
    </row>
    <row r="57" spans="1:15" ht="18.75">
      <c r="A57" s="7">
        <v>1</v>
      </c>
      <c r="B57" s="7">
        <v>53</v>
      </c>
      <c r="C57" s="6"/>
      <c r="D57" s="29" t="s">
        <v>91</v>
      </c>
      <c r="E57" s="29"/>
      <c r="F57" s="8">
        <v>4</v>
      </c>
      <c r="G57" s="8">
        <v>0</v>
      </c>
      <c r="H57" s="12" t="s">
        <v>35</v>
      </c>
      <c r="I57" s="9">
        <f t="shared" si="5"/>
        <v>400</v>
      </c>
      <c r="J57" s="8">
        <v>0</v>
      </c>
      <c r="K57" s="8">
        <f t="shared" si="6"/>
        <v>400</v>
      </c>
      <c r="L57" s="44">
        <v>125</v>
      </c>
      <c r="M57" s="42">
        <f t="shared" si="7"/>
        <v>525</v>
      </c>
      <c r="N57" s="16">
        <f t="shared" si="8"/>
        <v>175</v>
      </c>
      <c r="O57" s="43">
        <f t="shared" si="9"/>
        <v>350</v>
      </c>
    </row>
    <row r="58" spans="1:15" ht="18.75">
      <c r="A58" s="7">
        <v>1</v>
      </c>
      <c r="B58" s="7">
        <v>54</v>
      </c>
      <c r="C58" s="6"/>
      <c r="D58" s="29" t="s">
        <v>92</v>
      </c>
      <c r="F58" s="8">
        <v>3</v>
      </c>
      <c r="G58" s="8">
        <v>0</v>
      </c>
      <c r="H58" s="12" t="s">
        <v>35</v>
      </c>
      <c r="I58" s="9">
        <f t="shared" si="5"/>
        <v>300</v>
      </c>
      <c r="J58" s="8">
        <v>0</v>
      </c>
      <c r="K58" s="8">
        <f t="shared" si="6"/>
        <v>300</v>
      </c>
      <c r="L58" s="44">
        <v>25</v>
      </c>
      <c r="M58" s="42">
        <f t="shared" si="7"/>
        <v>325</v>
      </c>
      <c r="N58" s="16">
        <f t="shared" si="8"/>
        <v>175</v>
      </c>
      <c r="O58" s="43">
        <f t="shared" si="9"/>
        <v>150</v>
      </c>
    </row>
    <row r="59" spans="1:15" ht="18.75">
      <c r="A59" s="7">
        <v>1</v>
      </c>
      <c r="B59" s="7">
        <v>55</v>
      </c>
      <c r="C59" s="6"/>
      <c r="D59" s="29" t="s">
        <v>93</v>
      </c>
      <c r="F59" s="8">
        <v>4</v>
      </c>
      <c r="G59" s="8">
        <v>0</v>
      </c>
      <c r="H59" s="10" t="s">
        <v>33</v>
      </c>
      <c r="I59" s="9">
        <f t="shared" si="5"/>
        <v>400</v>
      </c>
      <c r="J59" s="8">
        <v>0</v>
      </c>
      <c r="K59" s="8">
        <f t="shared" si="6"/>
        <v>400</v>
      </c>
      <c r="L59" s="44">
        <v>225</v>
      </c>
      <c r="M59" s="42">
        <f t="shared" si="7"/>
        <v>625</v>
      </c>
      <c r="N59" s="16">
        <f t="shared" si="8"/>
        <v>312</v>
      </c>
      <c r="O59" s="43">
        <f t="shared" si="9"/>
        <v>313</v>
      </c>
    </row>
    <row r="60" spans="1:15" ht="18.75">
      <c r="A60" s="7">
        <v>1</v>
      </c>
      <c r="B60" s="7">
        <v>56</v>
      </c>
      <c r="C60" s="6"/>
      <c r="D60" s="29" t="s">
        <v>94</v>
      </c>
      <c r="E60" s="29"/>
      <c r="F60" s="8">
        <v>4</v>
      </c>
      <c r="G60" s="8">
        <v>0</v>
      </c>
      <c r="H60" s="12" t="s">
        <v>35</v>
      </c>
      <c r="I60" s="9">
        <f t="shared" si="5"/>
        <v>400</v>
      </c>
      <c r="J60" s="8">
        <v>0</v>
      </c>
      <c r="K60" s="8">
        <f t="shared" si="6"/>
        <v>400</v>
      </c>
      <c r="L60" s="44">
        <v>25</v>
      </c>
      <c r="M60" s="42">
        <f t="shared" si="7"/>
        <v>425</v>
      </c>
      <c r="N60" s="16">
        <f t="shared" si="8"/>
        <v>175</v>
      </c>
      <c r="O60" s="43">
        <f t="shared" si="9"/>
        <v>250</v>
      </c>
    </row>
    <row r="61" spans="1:15" ht="18.75">
      <c r="A61" s="7">
        <v>1</v>
      </c>
      <c r="B61" s="7">
        <v>57</v>
      </c>
      <c r="C61" s="6"/>
      <c r="D61" s="29" t="s">
        <v>95</v>
      </c>
      <c r="F61" s="8">
        <v>3</v>
      </c>
      <c r="G61" s="8">
        <v>0</v>
      </c>
      <c r="H61" s="12" t="s">
        <v>35</v>
      </c>
      <c r="I61" s="9">
        <f t="shared" si="5"/>
        <v>300</v>
      </c>
      <c r="J61" s="8">
        <v>0</v>
      </c>
      <c r="K61" s="8">
        <f t="shared" si="6"/>
        <v>300</v>
      </c>
      <c r="L61" s="44">
        <v>125</v>
      </c>
      <c r="M61" s="42">
        <f t="shared" si="7"/>
        <v>425</v>
      </c>
      <c r="N61" s="16">
        <f t="shared" si="8"/>
        <v>175</v>
      </c>
      <c r="O61" s="43">
        <f t="shared" si="9"/>
        <v>250</v>
      </c>
    </row>
    <row r="62" spans="1:15" ht="18.75">
      <c r="A62" s="7">
        <v>1</v>
      </c>
      <c r="B62" s="7">
        <v>58</v>
      </c>
      <c r="C62" s="6"/>
      <c r="D62" s="29" t="s">
        <v>96</v>
      </c>
      <c r="F62" s="8">
        <v>3</v>
      </c>
      <c r="G62" s="8">
        <v>0</v>
      </c>
      <c r="H62" s="12" t="s">
        <v>35</v>
      </c>
      <c r="I62" s="9">
        <f t="shared" si="5"/>
        <v>300</v>
      </c>
      <c r="J62" s="8">
        <v>0</v>
      </c>
      <c r="K62" s="8">
        <f t="shared" si="6"/>
        <v>300</v>
      </c>
      <c r="L62" s="44">
        <v>153</v>
      </c>
      <c r="M62" s="42">
        <f t="shared" si="7"/>
        <v>453</v>
      </c>
      <c r="N62" s="16">
        <f t="shared" si="8"/>
        <v>175</v>
      </c>
      <c r="O62" s="43">
        <f t="shared" si="9"/>
        <v>278</v>
      </c>
    </row>
    <row r="63" spans="1:15" ht="18.75">
      <c r="A63" s="7">
        <v>1</v>
      </c>
      <c r="B63" s="7">
        <v>59</v>
      </c>
      <c r="C63" s="6"/>
      <c r="D63" s="29" t="s">
        <v>97</v>
      </c>
      <c r="F63" s="8">
        <v>0</v>
      </c>
      <c r="G63" s="8">
        <v>0</v>
      </c>
      <c r="H63" s="27" t="s">
        <v>23</v>
      </c>
      <c r="I63" s="9">
        <f t="shared" si="5"/>
        <v>0</v>
      </c>
      <c r="J63" s="8">
        <v>0</v>
      </c>
      <c r="K63" s="8">
        <f t="shared" si="6"/>
        <v>0</v>
      </c>
      <c r="L63" s="44">
        <v>25</v>
      </c>
      <c r="M63" s="42">
        <f t="shared" si="7"/>
        <v>25</v>
      </c>
      <c r="N63" s="16">
        <f t="shared" si="8"/>
        <v>0</v>
      </c>
      <c r="O63" s="43">
        <f t="shared" si="9"/>
        <v>25</v>
      </c>
    </row>
    <row r="64" spans="1:15" ht="18.75">
      <c r="A64" s="7">
        <v>1</v>
      </c>
      <c r="B64" s="7">
        <v>60</v>
      </c>
      <c r="C64" s="6"/>
      <c r="D64" s="29" t="s">
        <v>98</v>
      </c>
      <c r="F64" s="8">
        <v>3</v>
      </c>
      <c r="G64" s="8">
        <v>0</v>
      </c>
      <c r="H64" s="12" t="s">
        <v>35</v>
      </c>
      <c r="I64" s="9">
        <f t="shared" si="5"/>
        <v>300</v>
      </c>
      <c r="J64" s="8">
        <v>0</v>
      </c>
      <c r="K64" s="8">
        <f t="shared" si="6"/>
        <v>300</v>
      </c>
      <c r="L64" s="44">
        <v>0</v>
      </c>
      <c r="M64" s="42">
        <f t="shared" si="7"/>
        <v>300</v>
      </c>
      <c r="N64" s="16">
        <f t="shared" si="8"/>
        <v>175</v>
      </c>
      <c r="O64" s="43">
        <f t="shared" si="9"/>
        <v>125</v>
      </c>
    </row>
    <row r="65" spans="1:15" ht="18.75">
      <c r="A65" s="7">
        <v>1</v>
      </c>
      <c r="B65" s="7">
        <v>61</v>
      </c>
      <c r="C65" s="6"/>
      <c r="D65" s="29" t="s">
        <v>99</v>
      </c>
      <c r="E65" s="29"/>
      <c r="F65" s="8">
        <v>0</v>
      </c>
      <c r="G65" s="8">
        <v>0</v>
      </c>
      <c r="H65" s="27" t="s">
        <v>23</v>
      </c>
      <c r="I65" s="9">
        <f t="shared" si="5"/>
        <v>0</v>
      </c>
      <c r="J65" s="8">
        <v>0</v>
      </c>
      <c r="K65" s="8">
        <f t="shared" si="6"/>
        <v>0</v>
      </c>
      <c r="L65" s="44">
        <v>225</v>
      </c>
      <c r="M65" s="42">
        <f t="shared" si="7"/>
        <v>225</v>
      </c>
      <c r="N65" s="16">
        <f t="shared" si="8"/>
        <v>0</v>
      </c>
      <c r="O65" s="43">
        <f t="shared" si="9"/>
        <v>225</v>
      </c>
    </row>
    <row r="66" spans="1:15" ht="18.75">
      <c r="A66" s="7">
        <v>1</v>
      </c>
      <c r="B66" s="7">
        <v>62</v>
      </c>
      <c r="C66" s="6"/>
      <c r="D66" s="29" t="s">
        <v>100</v>
      </c>
      <c r="E66" s="29"/>
      <c r="F66" s="8">
        <v>4</v>
      </c>
      <c r="G66" s="8">
        <v>0</v>
      </c>
      <c r="H66" s="11" t="s">
        <v>34</v>
      </c>
      <c r="I66" s="9">
        <f t="shared" si="5"/>
        <v>400</v>
      </c>
      <c r="J66" s="8">
        <v>0</v>
      </c>
      <c r="K66" s="8">
        <f t="shared" si="6"/>
        <v>400</v>
      </c>
      <c r="L66" s="44">
        <v>153</v>
      </c>
      <c r="M66" s="42">
        <f t="shared" si="7"/>
        <v>553</v>
      </c>
      <c r="N66" s="16">
        <f t="shared" si="8"/>
        <v>240</v>
      </c>
      <c r="O66" s="43">
        <f t="shared" si="9"/>
        <v>313</v>
      </c>
    </row>
    <row r="67" spans="1:15" ht="18.75">
      <c r="A67" s="7">
        <v>1</v>
      </c>
      <c r="B67" s="7">
        <v>63</v>
      </c>
      <c r="C67" s="6"/>
      <c r="D67" s="29" t="s">
        <v>101</v>
      </c>
      <c r="F67" s="8">
        <v>4</v>
      </c>
      <c r="G67" s="8">
        <v>0</v>
      </c>
      <c r="H67" s="12" t="s">
        <v>35</v>
      </c>
      <c r="I67" s="9">
        <f t="shared" si="5"/>
        <v>400</v>
      </c>
      <c r="J67" s="8">
        <v>0</v>
      </c>
      <c r="K67" s="8">
        <f t="shared" si="6"/>
        <v>400</v>
      </c>
      <c r="L67" s="44">
        <v>25</v>
      </c>
      <c r="M67" s="42">
        <f t="shared" si="7"/>
        <v>425</v>
      </c>
      <c r="N67" s="16">
        <f t="shared" si="8"/>
        <v>175</v>
      </c>
      <c r="O67" s="43">
        <f t="shared" si="9"/>
        <v>250</v>
      </c>
    </row>
    <row r="68" spans="1:15" ht="18.75">
      <c r="A68" s="7">
        <v>1</v>
      </c>
      <c r="B68" s="7">
        <v>64</v>
      </c>
      <c r="C68" s="6"/>
      <c r="D68" s="29" t="s">
        <v>102</v>
      </c>
      <c r="E68" s="29"/>
      <c r="F68" s="8">
        <v>4</v>
      </c>
      <c r="G68" s="8">
        <v>0</v>
      </c>
      <c r="H68" s="12" t="s">
        <v>35</v>
      </c>
      <c r="I68" s="9">
        <f t="shared" si="5"/>
        <v>400</v>
      </c>
      <c r="J68" s="8">
        <v>0</v>
      </c>
      <c r="K68" s="8">
        <f t="shared" si="6"/>
        <v>400</v>
      </c>
      <c r="L68" s="44">
        <v>125</v>
      </c>
      <c r="M68" s="42">
        <f t="shared" si="7"/>
        <v>525</v>
      </c>
      <c r="N68" s="16">
        <f t="shared" si="8"/>
        <v>175</v>
      </c>
      <c r="O68" s="43">
        <f t="shared" si="9"/>
        <v>350</v>
      </c>
    </row>
    <row r="74" spans="1:15">
      <c r="K74" s="1">
        <f>SUM(K5:K63)</f>
        <v>19400</v>
      </c>
      <c r="N74" s="1">
        <f>SUM(N5:N63)</f>
        <v>11149</v>
      </c>
    </row>
  </sheetData>
  <autoFilter ref="A4:P68" xr:uid="{D50916F0-4EB1-4E61-AB8D-B58C4FC21503}">
    <sortState xmlns:xlrd2="http://schemas.microsoft.com/office/spreadsheetml/2017/richdata2" ref="A5:P68">
      <sortCondition ref="B4:B68"/>
    </sortState>
  </autoFilter>
  <mergeCells count="4">
    <mergeCell ref="B1:O1"/>
    <mergeCell ref="B2:O2"/>
    <mergeCell ref="B3:E3"/>
    <mergeCell ref="H3:O3"/>
  </mergeCells>
  <conditionalFormatting sqref="F5:G68">
    <cfRule type="cellIs" dxfId="7" priority="2" operator="lessThan">
      <formula>1</formula>
    </cfRule>
  </conditionalFormatting>
  <conditionalFormatting sqref="J5:J68">
    <cfRule type="cellIs" dxfId="6" priority="1" operator="lessThan">
      <formula>1</formula>
    </cfRule>
  </conditionalFormatting>
  <hyperlinks>
    <hyperlink ref="D21" r:id="rId1" xr:uid="{4DF1170F-206F-4137-A240-7477A227AC37}"/>
  </hyperlinks>
  <pageMargins left="0.7" right="0.7" top="0.75" bottom="0.75" header="0.3" footer="0.3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62A2-38E5-49DD-8BFE-7E946CA35F4B}">
  <dimension ref="A1:Z74"/>
  <sheetViews>
    <sheetView topLeftCell="A2" zoomScale="85" zoomScaleNormal="85" workbookViewId="0">
      <selection activeCell="H25" sqref="H25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49" t="str">
        <f>CONCATENATE("5-8，97-104区 欧皇宝宝",R15,"年",R16,"月",R17,"日","分包贡献明细"," 统计：")</f>
        <v>5-8，97-104区 欧皇宝宝2025年12月20日分包贡献明细 统计：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1" t="s">
        <v>103</v>
      </c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54" t="s">
        <v>13</v>
      </c>
      <c r="C3" s="54"/>
      <c r="D3" s="54"/>
      <c r="E3" s="54"/>
      <c r="F3" s="38" t="s">
        <v>12</v>
      </c>
      <c r="G3" s="39" t="s">
        <v>29</v>
      </c>
      <c r="H3" s="55" t="s">
        <v>14</v>
      </c>
      <c r="I3" s="56"/>
      <c r="J3" s="56"/>
      <c r="K3" s="56"/>
      <c r="L3" s="56"/>
      <c r="M3" s="56"/>
      <c r="N3" s="56"/>
      <c r="O3" s="57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39</v>
      </c>
      <c r="C5" s="6"/>
      <c r="D5" s="29" t="s">
        <v>77</v>
      </c>
      <c r="E5" s="29"/>
      <c r="F5" s="8">
        <v>3</v>
      </c>
      <c r="G5" s="8">
        <v>0</v>
      </c>
      <c r="H5" s="19" t="s">
        <v>15</v>
      </c>
      <c r="I5" s="9">
        <f t="shared" ref="I5:I36" si="0">F5*100</f>
        <v>300</v>
      </c>
      <c r="J5" s="8">
        <v>0</v>
      </c>
      <c r="K5" s="8">
        <f t="shared" ref="K5:K36" si="1">SUM(I5+J5)</f>
        <v>300</v>
      </c>
      <c r="L5" s="44">
        <v>225</v>
      </c>
      <c r="M5" s="42">
        <f t="shared" ref="M5:M36" si="2">L5+K5</f>
        <v>525</v>
      </c>
      <c r="N5" s="16">
        <f t="shared" ref="N5:N36" si="3">VLOOKUP(H5,$Q$3:$R$10,2,FALSE)</f>
        <v>456</v>
      </c>
      <c r="O5" s="43">
        <f t="shared" ref="O5:O36" si="4">IF(M5-N5&gt;0,M5-N5,0)</f>
        <v>69</v>
      </c>
      <c r="P5" s="1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37</v>
      </c>
      <c r="C6" s="6"/>
      <c r="D6" s="29" t="s">
        <v>75</v>
      </c>
      <c r="F6" s="8">
        <v>3</v>
      </c>
      <c r="G6" s="8">
        <v>0</v>
      </c>
      <c r="H6" s="19" t="s">
        <v>15</v>
      </c>
      <c r="I6" s="9">
        <f t="shared" si="0"/>
        <v>300</v>
      </c>
      <c r="J6" s="8">
        <v>0</v>
      </c>
      <c r="K6" s="8">
        <f t="shared" si="1"/>
        <v>300</v>
      </c>
      <c r="L6" s="44">
        <v>225</v>
      </c>
      <c r="M6" s="42">
        <f t="shared" si="2"/>
        <v>525</v>
      </c>
      <c r="N6" s="16">
        <f t="shared" si="3"/>
        <v>456</v>
      </c>
      <c r="O6" s="43">
        <f t="shared" si="4"/>
        <v>69</v>
      </c>
      <c r="P6" s="1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26</v>
      </c>
      <c r="C7" s="6"/>
      <c r="D7" s="29" t="s">
        <v>64</v>
      </c>
      <c r="E7" s="32"/>
      <c r="F7" s="8">
        <v>3</v>
      </c>
      <c r="G7" s="8">
        <v>0</v>
      </c>
      <c r="H7" s="19" t="s">
        <v>15</v>
      </c>
      <c r="I7" s="9">
        <f t="shared" si="0"/>
        <v>300</v>
      </c>
      <c r="J7" s="8">
        <v>0</v>
      </c>
      <c r="K7" s="8">
        <f t="shared" si="1"/>
        <v>300</v>
      </c>
      <c r="L7" s="44">
        <v>225</v>
      </c>
      <c r="M7" s="42">
        <f t="shared" si="2"/>
        <v>525</v>
      </c>
      <c r="N7" s="16">
        <f t="shared" si="3"/>
        <v>456</v>
      </c>
      <c r="O7" s="43">
        <f t="shared" si="4"/>
        <v>69</v>
      </c>
      <c r="P7" s="1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52</v>
      </c>
      <c r="C8" s="6"/>
      <c r="D8" s="29" t="s">
        <v>90</v>
      </c>
      <c r="F8" s="8">
        <v>3</v>
      </c>
      <c r="G8" s="8">
        <v>0</v>
      </c>
      <c r="H8" s="19" t="s">
        <v>15</v>
      </c>
      <c r="I8" s="9">
        <f t="shared" si="0"/>
        <v>300</v>
      </c>
      <c r="J8" s="8">
        <v>0</v>
      </c>
      <c r="K8" s="8">
        <f t="shared" si="1"/>
        <v>300</v>
      </c>
      <c r="L8" s="44">
        <v>225</v>
      </c>
      <c r="M8" s="42">
        <f t="shared" si="2"/>
        <v>525</v>
      </c>
      <c r="N8" s="16">
        <f t="shared" si="3"/>
        <v>456</v>
      </c>
      <c r="O8" s="43">
        <f t="shared" si="4"/>
        <v>69</v>
      </c>
      <c r="P8" s="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42</v>
      </c>
      <c r="C9" s="6"/>
      <c r="D9" s="29" t="s">
        <v>80</v>
      </c>
      <c r="E9" s="32"/>
      <c r="F9" s="8">
        <v>3</v>
      </c>
      <c r="G9" s="8">
        <v>0</v>
      </c>
      <c r="H9" s="19" t="s">
        <v>15</v>
      </c>
      <c r="I9" s="9">
        <f t="shared" si="0"/>
        <v>300</v>
      </c>
      <c r="J9" s="8">
        <v>0</v>
      </c>
      <c r="K9" s="8">
        <f t="shared" si="1"/>
        <v>300</v>
      </c>
      <c r="L9" s="44">
        <v>225</v>
      </c>
      <c r="M9" s="42">
        <f t="shared" si="2"/>
        <v>525</v>
      </c>
      <c r="N9" s="16">
        <f t="shared" si="3"/>
        <v>456</v>
      </c>
      <c r="O9" s="43">
        <f t="shared" si="4"/>
        <v>69</v>
      </c>
      <c r="P9" s="1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45</v>
      </c>
      <c r="C10" s="6"/>
      <c r="D10" s="29" t="s">
        <v>83</v>
      </c>
      <c r="E10" s="29"/>
      <c r="F10" s="8">
        <v>3</v>
      </c>
      <c r="G10" s="8">
        <v>0</v>
      </c>
      <c r="H10" s="19" t="s">
        <v>15</v>
      </c>
      <c r="I10" s="9">
        <f t="shared" si="0"/>
        <v>300</v>
      </c>
      <c r="J10" s="8">
        <v>0</v>
      </c>
      <c r="K10" s="8">
        <f t="shared" si="1"/>
        <v>300</v>
      </c>
      <c r="L10" s="44">
        <v>225</v>
      </c>
      <c r="M10" s="42">
        <f t="shared" si="2"/>
        <v>525</v>
      </c>
      <c r="N10" s="16">
        <f t="shared" si="3"/>
        <v>456</v>
      </c>
      <c r="O10" s="43">
        <f t="shared" si="4"/>
        <v>69</v>
      </c>
      <c r="P10" s="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44</v>
      </c>
      <c r="C11" s="6"/>
      <c r="D11" s="29" t="s">
        <v>82</v>
      </c>
      <c r="E11" s="29"/>
      <c r="F11" s="8">
        <v>3</v>
      </c>
      <c r="G11" s="8">
        <v>0</v>
      </c>
      <c r="H11" s="19" t="s">
        <v>15</v>
      </c>
      <c r="I11" s="9">
        <f t="shared" si="0"/>
        <v>300</v>
      </c>
      <c r="J11" s="8">
        <v>0</v>
      </c>
      <c r="K11" s="8">
        <f t="shared" si="1"/>
        <v>300</v>
      </c>
      <c r="L11" s="44">
        <v>225</v>
      </c>
      <c r="M11" s="42">
        <f t="shared" si="2"/>
        <v>525</v>
      </c>
      <c r="N11" s="16">
        <f t="shared" si="3"/>
        <v>456</v>
      </c>
      <c r="O11" s="43">
        <f t="shared" si="4"/>
        <v>69</v>
      </c>
      <c r="P11" s="1"/>
      <c r="Q11" s="24"/>
    </row>
    <row r="12" spans="1:25" ht="18.75">
      <c r="A12" s="7">
        <v>1</v>
      </c>
      <c r="B12" s="7">
        <v>36</v>
      </c>
      <c r="C12" s="6"/>
      <c r="D12" s="29" t="s">
        <v>74</v>
      </c>
      <c r="E12" s="29"/>
      <c r="F12" s="8">
        <v>3</v>
      </c>
      <c r="G12" s="8">
        <v>0</v>
      </c>
      <c r="H12" s="19" t="s">
        <v>15</v>
      </c>
      <c r="I12" s="9">
        <f t="shared" si="0"/>
        <v>300</v>
      </c>
      <c r="J12" s="8">
        <v>0</v>
      </c>
      <c r="K12" s="8">
        <f t="shared" si="1"/>
        <v>300</v>
      </c>
      <c r="L12" s="44">
        <v>225</v>
      </c>
      <c r="M12" s="42">
        <f t="shared" si="2"/>
        <v>525</v>
      </c>
      <c r="N12" s="16">
        <f t="shared" si="3"/>
        <v>456</v>
      </c>
      <c r="O12" s="43">
        <f t="shared" si="4"/>
        <v>69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29</v>
      </c>
      <c r="C13" s="6"/>
      <c r="D13" s="29" t="s">
        <v>67</v>
      </c>
      <c r="E13" s="32"/>
      <c r="F13" s="8">
        <v>3</v>
      </c>
      <c r="G13" s="8">
        <v>0</v>
      </c>
      <c r="H13" s="19" t="s">
        <v>15</v>
      </c>
      <c r="I13" s="9">
        <f t="shared" si="0"/>
        <v>300</v>
      </c>
      <c r="J13" s="8">
        <v>0</v>
      </c>
      <c r="K13" s="8">
        <f t="shared" si="1"/>
        <v>300</v>
      </c>
      <c r="L13" s="44">
        <v>225</v>
      </c>
      <c r="M13" s="42">
        <f t="shared" si="2"/>
        <v>525</v>
      </c>
      <c r="N13" s="16">
        <f t="shared" si="3"/>
        <v>456</v>
      </c>
      <c r="O13" s="43">
        <f t="shared" si="4"/>
        <v>69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47</v>
      </c>
      <c r="C14" s="6"/>
      <c r="D14" s="29" t="s">
        <v>85</v>
      </c>
      <c r="E14" s="29"/>
      <c r="F14" s="8">
        <v>3</v>
      </c>
      <c r="G14" s="8">
        <v>0</v>
      </c>
      <c r="H14" s="20" t="s">
        <v>21</v>
      </c>
      <c r="I14" s="9">
        <f t="shared" si="0"/>
        <v>300</v>
      </c>
      <c r="J14" s="8">
        <v>0</v>
      </c>
      <c r="K14" s="8">
        <f t="shared" si="1"/>
        <v>300</v>
      </c>
      <c r="L14" s="44">
        <v>225</v>
      </c>
      <c r="M14" s="42">
        <f t="shared" si="2"/>
        <v>525</v>
      </c>
      <c r="N14" s="16">
        <f t="shared" si="3"/>
        <v>372</v>
      </c>
      <c r="O14" s="43">
        <f t="shared" si="4"/>
        <v>153</v>
      </c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46</v>
      </c>
      <c r="C15" s="6"/>
      <c r="D15" s="29" t="s">
        <v>84</v>
      </c>
      <c r="E15" s="29"/>
      <c r="F15" s="8">
        <v>3</v>
      </c>
      <c r="G15" s="8">
        <v>0</v>
      </c>
      <c r="H15" s="20" t="s">
        <v>21</v>
      </c>
      <c r="I15" s="9">
        <f t="shared" si="0"/>
        <v>300</v>
      </c>
      <c r="J15" s="8">
        <v>0</v>
      </c>
      <c r="K15" s="8">
        <f t="shared" si="1"/>
        <v>300</v>
      </c>
      <c r="L15" s="44">
        <v>225</v>
      </c>
      <c r="M15" s="42">
        <f t="shared" si="2"/>
        <v>525</v>
      </c>
      <c r="N15" s="16">
        <f t="shared" si="3"/>
        <v>372</v>
      </c>
      <c r="O15" s="43">
        <f t="shared" si="4"/>
        <v>153</v>
      </c>
      <c r="Q15" t="s">
        <v>26</v>
      </c>
      <c r="R15">
        <v>2025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40</v>
      </c>
      <c r="C16" s="6"/>
      <c r="D16" s="30" t="s">
        <v>78</v>
      </c>
      <c r="F16" s="8">
        <v>3</v>
      </c>
      <c r="G16" s="8">
        <v>0</v>
      </c>
      <c r="H16" s="20" t="s">
        <v>21</v>
      </c>
      <c r="I16" s="9">
        <f t="shared" si="0"/>
        <v>300</v>
      </c>
      <c r="J16" s="8">
        <v>0</v>
      </c>
      <c r="K16" s="8">
        <f t="shared" si="1"/>
        <v>300</v>
      </c>
      <c r="L16" s="44">
        <v>225</v>
      </c>
      <c r="M16" s="42">
        <f t="shared" si="2"/>
        <v>525</v>
      </c>
      <c r="N16" s="16">
        <f t="shared" si="3"/>
        <v>372</v>
      </c>
      <c r="O16" s="43">
        <f t="shared" si="4"/>
        <v>153</v>
      </c>
      <c r="Q16" t="s">
        <v>27</v>
      </c>
      <c r="R16">
        <v>12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58</v>
      </c>
      <c r="C17" s="6"/>
      <c r="D17" s="29" t="s">
        <v>96</v>
      </c>
      <c r="F17" s="8">
        <v>3</v>
      </c>
      <c r="G17" s="8">
        <v>0</v>
      </c>
      <c r="H17" s="20" t="s">
        <v>21</v>
      </c>
      <c r="I17" s="9">
        <f t="shared" si="0"/>
        <v>300</v>
      </c>
      <c r="J17" s="8">
        <v>0</v>
      </c>
      <c r="K17" s="8">
        <f t="shared" si="1"/>
        <v>300</v>
      </c>
      <c r="L17" s="44">
        <v>225</v>
      </c>
      <c r="M17" s="42">
        <f t="shared" si="2"/>
        <v>525</v>
      </c>
      <c r="N17" s="16">
        <f t="shared" si="3"/>
        <v>372</v>
      </c>
      <c r="O17" s="43">
        <f t="shared" si="4"/>
        <v>153</v>
      </c>
      <c r="Q17" t="s">
        <v>28</v>
      </c>
      <c r="R17">
        <v>20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18</v>
      </c>
      <c r="C18" s="6"/>
      <c r="D18" s="29" t="s">
        <v>56</v>
      </c>
      <c r="E18" s="29"/>
      <c r="F18" s="8">
        <v>3</v>
      </c>
      <c r="G18" s="8">
        <v>0</v>
      </c>
      <c r="H18" s="20" t="s">
        <v>21</v>
      </c>
      <c r="I18" s="9">
        <f t="shared" si="0"/>
        <v>300</v>
      </c>
      <c r="J18" s="8">
        <v>0</v>
      </c>
      <c r="K18" s="8">
        <f t="shared" si="1"/>
        <v>300</v>
      </c>
      <c r="L18" s="44">
        <v>225</v>
      </c>
      <c r="M18" s="42">
        <f t="shared" si="2"/>
        <v>525</v>
      </c>
      <c r="N18" s="16">
        <f t="shared" si="3"/>
        <v>372</v>
      </c>
      <c r="O18" s="43">
        <f t="shared" si="4"/>
        <v>153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30</v>
      </c>
      <c r="C19" s="6"/>
      <c r="D19" s="29" t="s">
        <v>68</v>
      </c>
      <c r="E19" s="32"/>
      <c r="F19" s="8">
        <v>3</v>
      </c>
      <c r="G19" s="8">
        <v>0</v>
      </c>
      <c r="H19" s="20" t="s">
        <v>21</v>
      </c>
      <c r="I19" s="9">
        <f t="shared" si="0"/>
        <v>300</v>
      </c>
      <c r="J19" s="8">
        <v>0</v>
      </c>
      <c r="K19" s="8">
        <f t="shared" si="1"/>
        <v>300</v>
      </c>
      <c r="L19" s="44">
        <v>225</v>
      </c>
      <c r="M19" s="42">
        <f t="shared" si="2"/>
        <v>525</v>
      </c>
      <c r="N19" s="16">
        <f t="shared" si="3"/>
        <v>372</v>
      </c>
      <c r="O19" s="43">
        <f t="shared" si="4"/>
        <v>153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62</v>
      </c>
      <c r="C20" s="6"/>
      <c r="D20" s="29" t="s">
        <v>100</v>
      </c>
      <c r="E20" s="29"/>
      <c r="F20" s="8">
        <v>3</v>
      </c>
      <c r="G20" s="8">
        <v>0</v>
      </c>
      <c r="H20" s="20" t="s">
        <v>21</v>
      </c>
      <c r="I20" s="9">
        <f t="shared" si="0"/>
        <v>300</v>
      </c>
      <c r="J20" s="8">
        <v>0</v>
      </c>
      <c r="K20" s="8">
        <f t="shared" si="1"/>
        <v>300</v>
      </c>
      <c r="L20" s="44">
        <v>225</v>
      </c>
      <c r="M20" s="42">
        <f t="shared" si="2"/>
        <v>525</v>
      </c>
      <c r="N20" s="16">
        <f t="shared" si="3"/>
        <v>372</v>
      </c>
      <c r="O20" s="43">
        <f t="shared" si="4"/>
        <v>153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28</v>
      </c>
      <c r="C21" s="6"/>
      <c r="D21" s="29" t="s">
        <v>66</v>
      </c>
      <c r="E21" s="32"/>
      <c r="F21" s="8">
        <v>3</v>
      </c>
      <c r="G21" s="8">
        <v>0</v>
      </c>
      <c r="H21" s="20" t="s">
        <v>21</v>
      </c>
      <c r="I21" s="9">
        <f t="shared" si="0"/>
        <v>300</v>
      </c>
      <c r="J21" s="8">
        <v>0</v>
      </c>
      <c r="K21" s="8">
        <f t="shared" si="1"/>
        <v>300</v>
      </c>
      <c r="L21" s="44">
        <v>225</v>
      </c>
      <c r="M21" s="42">
        <f t="shared" si="2"/>
        <v>525</v>
      </c>
      <c r="N21" s="16">
        <f t="shared" si="3"/>
        <v>372</v>
      </c>
      <c r="O21" s="43">
        <f t="shared" si="4"/>
        <v>153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33</v>
      </c>
      <c r="C22" s="6"/>
      <c r="D22" s="29" t="s">
        <v>71</v>
      </c>
      <c r="E22" s="29"/>
      <c r="F22" s="8">
        <v>3</v>
      </c>
      <c r="G22" s="8">
        <v>0</v>
      </c>
      <c r="H22" s="20" t="s">
        <v>21</v>
      </c>
      <c r="I22" s="9">
        <f t="shared" si="0"/>
        <v>300</v>
      </c>
      <c r="J22" s="8">
        <v>0</v>
      </c>
      <c r="K22" s="8">
        <f t="shared" si="1"/>
        <v>300</v>
      </c>
      <c r="L22" s="44">
        <v>225</v>
      </c>
      <c r="M22" s="42">
        <f t="shared" si="2"/>
        <v>525</v>
      </c>
      <c r="N22" s="16">
        <f t="shared" si="3"/>
        <v>372</v>
      </c>
      <c r="O22" s="43">
        <f t="shared" si="4"/>
        <v>153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7</v>
      </c>
      <c r="C23" s="6"/>
      <c r="D23" s="29" t="s">
        <v>45</v>
      </c>
      <c r="E23" s="29"/>
      <c r="F23" s="8">
        <v>3</v>
      </c>
      <c r="G23" s="8">
        <v>0</v>
      </c>
      <c r="H23" s="12" t="s">
        <v>22</v>
      </c>
      <c r="I23" s="9">
        <f t="shared" si="0"/>
        <v>300</v>
      </c>
      <c r="J23" s="8">
        <v>0</v>
      </c>
      <c r="K23" s="8">
        <f t="shared" si="1"/>
        <v>300</v>
      </c>
      <c r="L23" s="44">
        <v>225</v>
      </c>
      <c r="M23" s="42">
        <f t="shared" si="2"/>
        <v>525</v>
      </c>
      <c r="N23" s="16">
        <f t="shared" si="3"/>
        <v>300</v>
      </c>
      <c r="O23" s="43">
        <f t="shared" si="4"/>
        <v>225</v>
      </c>
      <c r="P23" s="22"/>
    </row>
    <row r="24" spans="1:26" ht="18.75">
      <c r="A24" s="7">
        <v>1</v>
      </c>
      <c r="B24" s="7">
        <v>61</v>
      </c>
      <c r="C24" s="6"/>
      <c r="D24" s="29" t="s">
        <v>99</v>
      </c>
      <c r="E24" s="29"/>
      <c r="F24" s="8">
        <v>3</v>
      </c>
      <c r="G24" s="8">
        <v>0</v>
      </c>
      <c r="H24" s="12" t="s">
        <v>22</v>
      </c>
      <c r="I24" s="9">
        <f t="shared" si="0"/>
        <v>300</v>
      </c>
      <c r="J24" s="8">
        <v>0</v>
      </c>
      <c r="K24" s="8">
        <f t="shared" si="1"/>
        <v>300</v>
      </c>
      <c r="L24" s="44">
        <v>225</v>
      </c>
      <c r="M24" s="42">
        <f t="shared" si="2"/>
        <v>525</v>
      </c>
      <c r="N24" s="16">
        <f t="shared" si="3"/>
        <v>300</v>
      </c>
      <c r="O24" s="43">
        <f t="shared" si="4"/>
        <v>225</v>
      </c>
      <c r="P24" s="1"/>
    </row>
    <row r="25" spans="1:26" ht="18.75">
      <c r="A25" s="7">
        <v>1</v>
      </c>
      <c r="B25" s="7">
        <v>24</v>
      </c>
      <c r="C25" s="6"/>
      <c r="D25" s="29" t="s">
        <v>62</v>
      </c>
      <c r="E25" s="32"/>
      <c r="F25" s="8">
        <v>3</v>
      </c>
      <c r="G25" s="8">
        <v>0</v>
      </c>
      <c r="H25" s="12" t="s">
        <v>22</v>
      </c>
      <c r="I25" s="9">
        <f t="shared" si="0"/>
        <v>300</v>
      </c>
      <c r="J25" s="8">
        <v>0</v>
      </c>
      <c r="K25" s="8">
        <f t="shared" si="1"/>
        <v>300</v>
      </c>
      <c r="L25" s="44">
        <v>225</v>
      </c>
      <c r="M25" s="42">
        <f t="shared" si="2"/>
        <v>525</v>
      </c>
      <c r="N25" s="16">
        <f t="shared" si="3"/>
        <v>300</v>
      </c>
      <c r="O25" s="43">
        <f t="shared" si="4"/>
        <v>225</v>
      </c>
      <c r="P25" s="1"/>
    </row>
    <row r="26" spans="1:26" ht="18.75" customHeight="1">
      <c r="A26" s="7">
        <v>1</v>
      </c>
      <c r="B26" s="7">
        <v>49</v>
      </c>
      <c r="C26" s="6"/>
      <c r="D26" s="29" t="s">
        <v>87</v>
      </c>
      <c r="E26" s="29"/>
      <c r="F26" s="8">
        <v>3</v>
      </c>
      <c r="G26" s="8">
        <v>0</v>
      </c>
      <c r="H26" s="12" t="s">
        <v>22</v>
      </c>
      <c r="I26" s="9">
        <f t="shared" si="0"/>
        <v>300</v>
      </c>
      <c r="J26" s="8">
        <v>0</v>
      </c>
      <c r="K26" s="8">
        <f t="shared" si="1"/>
        <v>300</v>
      </c>
      <c r="L26" s="44">
        <v>225</v>
      </c>
      <c r="M26" s="42">
        <f t="shared" si="2"/>
        <v>525</v>
      </c>
      <c r="N26" s="16">
        <f t="shared" si="3"/>
        <v>300</v>
      </c>
      <c r="O26" s="43">
        <f t="shared" si="4"/>
        <v>225</v>
      </c>
      <c r="P26" s="1"/>
    </row>
    <row r="27" spans="1:26" ht="18.75">
      <c r="A27" s="7">
        <v>1</v>
      </c>
      <c r="B27" s="7">
        <v>55</v>
      </c>
      <c r="C27" s="6"/>
      <c r="D27" s="29" t="s">
        <v>93</v>
      </c>
      <c r="F27" s="8">
        <v>3</v>
      </c>
      <c r="G27" s="8">
        <v>0</v>
      </c>
      <c r="H27" s="12" t="s">
        <v>22</v>
      </c>
      <c r="I27" s="9">
        <f t="shared" si="0"/>
        <v>300</v>
      </c>
      <c r="J27" s="8">
        <v>0</v>
      </c>
      <c r="K27" s="8">
        <f t="shared" si="1"/>
        <v>300</v>
      </c>
      <c r="L27" s="44">
        <v>225</v>
      </c>
      <c r="M27" s="42">
        <f t="shared" si="2"/>
        <v>525</v>
      </c>
      <c r="N27" s="16">
        <f t="shared" si="3"/>
        <v>300</v>
      </c>
      <c r="O27" s="43">
        <f t="shared" si="4"/>
        <v>225</v>
      </c>
      <c r="P27" s="1"/>
    </row>
    <row r="28" spans="1:26" ht="18.75">
      <c r="A28" s="7">
        <v>1</v>
      </c>
      <c r="B28" s="7">
        <v>41</v>
      </c>
      <c r="C28" s="6"/>
      <c r="D28" s="29" t="s">
        <v>79</v>
      </c>
      <c r="E28" s="32"/>
      <c r="F28" s="8">
        <v>3</v>
      </c>
      <c r="G28" s="8">
        <v>0</v>
      </c>
      <c r="H28" s="12" t="s">
        <v>22</v>
      </c>
      <c r="I28" s="9">
        <f t="shared" si="0"/>
        <v>300</v>
      </c>
      <c r="J28" s="8">
        <v>0</v>
      </c>
      <c r="K28" s="8">
        <f t="shared" si="1"/>
        <v>300</v>
      </c>
      <c r="L28" s="44">
        <v>225</v>
      </c>
      <c r="M28" s="42">
        <f t="shared" si="2"/>
        <v>525</v>
      </c>
      <c r="N28" s="16">
        <f t="shared" si="3"/>
        <v>300</v>
      </c>
      <c r="O28" s="43">
        <f t="shared" si="4"/>
        <v>225</v>
      </c>
      <c r="P28" s="1"/>
    </row>
    <row r="29" spans="1:26" s="1" customFormat="1" ht="18.75">
      <c r="A29" s="7">
        <v>1</v>
      </c>
      <c r="B29" s="7">
        <v>21</v>
      </c>
      <c r="C29" s="6"/>
      <c r="D29" s="29" t="s">
        <v>59</v>
      </c>
      <c r="F29" s="8">
        <v>3</v>
      </c>
      <c r="G29" s="8">
        <v>0</v>
      </c>
      <c r="H29" s="12" t="s">
        <v>22</v>
      </c>
      <c r="I29" s="9">
        <f t="shared" si="0"/>
        <v>300</v>
      </c>
      <c r="J29" s="8">
        <v>0</v>
      </c>
      <c r="K29" s="8">
        <f t="shared" si="1"/>
        <v>300</v>
      </c>
      <c r="L29" s="44">
        <v>160</v>
      </c>
      <c r="M29" s="42">
        <f t="shared" si="2"/>
        <v>460</v>
      </c>
      <c r="N29" s="16">
        <f t="shared" si="3"/>
        <v>300</v>
      </c>
      <c r="O29" s="43">
        <f t="shared" si="4"/>
        <v>160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17</v>
      </c>
      <c r="C30" s="6"/>
      <c r="D30" s="29" t="s">
        <v>55</v>
      </c>
      <c r="E30" s="29"/>
      <c r="F30" s="8">
        <v>3</v>
      </c>
      <c r="G30" s="8">
        <v>0</v>
      </c>
      <c r="H30" s="12" t="s">
        <v>22</v>
      </c>
      <c r="I30" s="9">
        <f t="shared" si="0"/>
        <v>300</v>
      </c>
      <c r="J30" s="8">
        <v>0</v>
      </c>
      <c r="K30" s="8">
        <f t="shared" si="1"/>
        <v>300</v>
      </c>
      <c r="L30" s="44">
        <v>160</v>
      </c>
      <c r="M30" s="42">
        <f t="shared" si="2"/>
        <v>460</v>
      </c>
      <c r="N30" s="16">
        <f t="shared" si="3"/>
        <v>300</v>
      </c>
      <c r="O30" s="43">
        <f t="shared" si="4"/>
        <v>160</v>
      </c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22</v>
      </c>
      <c r="C31" s="6"/>
      <c r="D31" s="29" t="s">
        <v>60</v>
      </c>
      <c r="E31" s="32"/>
      <c r="F31" s="8">
        <v>3</v>
      </c>
      <c r="G31" s="8">
        <v>0</v>
      </c>
      <c r="H31" s="12" t="s">
        <v>22</v>
      </c>
      <c r="I31" s="9">
        <f t="shared" si="0"/>
        <v>300</v>
      </c>
      <c r="J31" s="8">
        <v>0</v>
      </c>
      <c r="K31" s="8">
        <f t="shared" si="1"/>
        <v>300</v>
      </c>
      <c r="L31" s="44">
        <v>160</v>
      </c>
      <c r="M31" s="42">
        <f t="shared" si="2"/>
        <v>460</v>
      </c>
      <c r="N31" s="16">
        <f t="shared" si="3"/>
        <v>300</v>
      </c>
      <c r="O31" s="43">
        <f t="shared" si="4"/>
        <v>160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20</v>
      </c>
      <c r="C32" s="6"/>
      <c r="D32" s="29" t="s">
        <v>58</v>
      </c>
      <c r="E32" s="32"/>
      <c r="F32" s="8">
        <v>3</v>
      </c>
      <c r="G32" s="8">
        <v>0</v>
      </c>
      <c r="H32" s="12" t="s">
        <v>22</v>
      </c>
      <c r="I32" s="9">
        <f t="shared" si="0"/>
        <v>300</v>
      </c>
      <c r="J32" s="8">
        <v>0</v>
      </c>
      <c r="K32" s="8">
        <f t="shared" si="1"/>
        <v>300</v>
      </c>
      <c r="L32" s="44">
        <v>160</v>
      </c>
      <c r="M32" s="42">
        <f t="shared" si="2"/>
        <v>460</v>
      </c>
      <c r="N32" s="16">
        <f t="shared" si="3"/>
        <v>300</v>
      </c>
      <c r="O32" s="43">
        <f t="shared" si="4"/>
        <v>160</v>
      </c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12</v>
      </c>
      <c r="C33" s="6"/>
      <c r="D33" s="29" t="s">
        <v>50</v>
      </c>
      <c r="E33" s="29"/>
      <c r="F33" s="8">
        <v>3</v>
      </c>
      <c r="G33" s="8">
        <v>0</v>
      </c>
      <c r="H33" s="12" t="s">
        <v>22</v>
      </c>
      <c r="I33" s="9">
        <f t="shared" si="0"/>
        <v>300</v>
      </c>
      <c r="J33" s="8">
        <v>0</v>
      </c>
      <c r="K33" s="8">
        <f t="shared" si="1"/>
        <v>300</v>
      </c>
      <c r="L33" s="44">
        <v>160</v>
      </c>
      <c r="M33" s="42">
        <f t="shared" si="2"/>
        <v>460</v>
      </c>
      <c r="N33" s="16">
        <f t="shared" si="3"/>
        <v>300</v>
      </c>
      <c r="O33" s="43">
        <f t="shared" si="4"/>
        <v>160</v>
      </c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13</v>
      </c>
      <c r="C34" s="6"/>
      <c r="D34" s="29" t="s">
        <v>51</v>
      </c>
      <c r="E34" s="29"/>
      <c r="F34" s="8">
        <v>3</v>
      </c>
      <c r="G34" s="8">
        <v>0</v>
      </c>
      <c r="H34" s="12" t="s">
        <v>22</v>
      </c>
      <c r="I34" s="9">
        <f t="shared" si="0"/>
        <v>300</v>
      </c>
      <c r="J34" s="8">
        <v>0</v>
      </c>
      <c r="K34" s="8">
        <f t="shared" si="1"/>
        <v>300</v>
      </c>
      <c r="L34" s="44">
        <v>160</v>
      </c>
      <c r="M34" s="42">
        <f t="shared" si="2"/>
        <v>460</v>
      </c>
      <c r="N34" s="16">
        <f t="shared" si="3"/>
        <v>300</v>
      </c>
      <c r="O34" s="43">
        <f t="shared" si="4"/>
        <v>160</v>
      </c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14</v>
      </c>
      <c r="C35" s="6"/>
      <c r="D35" s="29" t="s">
        <v>52</v>
      </c>
      <c r="E35" s="29"/>
      <c r="F35" s="8">
        <v>3</v>
      </c>
      <c r="G35" s="8">
        <v>0</v>
      </c>
      <c r="H35" s="12" t="s">
        <v>22</v>
      </c>
      <c r="I35" s="9">
        <f t="shared" si="0"/>
        <v>300</v>
      </c>
      <c r="J35" s="8">
        <v>0</v>
      </c>
      <c r="K35" s="8">
        <f t="shared" si="1"/>
        <v>300</v>
      </c>
      <c r="L35" s="44">
        <v>160</v>
      </c>
      <c r="M35" s="42">
        <f t="shared" si="2"/>
        <v>460</v>
      </c>
      <c r="N35" s="16">
        <f t="shared" si="3"/>
        <v>300</v>
      </c>
      <c r="O35" s="43">
        <f t="shared" si="4"/>
        <v>160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16</v>
      </c>
      <c r="C36" s="6"/>
      <c r="D36" s="29" t="s">
        <v>54</v>
      </c>
      <c r="E36" s="32"/>
      <c r="F36" s="8">
        <v>3</v>
      </c>
      <c r="G36" s="8">
        <v>0</v>
      </c>
      <c r="H36" s="12" t="s">
        <v>22</v>
      </c>
      <c r="I36" s="9">
        <f t="shared" si="0"/>
        <v>300</v>
      </c>
      <c r="J36" s="8">
        <v>0</v>
      </c>
      <c r="K36" s="8">
        <f t="shared" si="1"/>
        <v>300</v>
      </c>
      <c r="L36" s="44">
        <v>125</v>
      </c>
      <c r="M36" s="42">
        <f t="shared" si="2"/>
        <v>425</v>
      </c>
      <c r="N36" s="16">
        <f t="shared" si="3"/>
        <v>300</v>
      </c>
      <c r="O36" s="43">
        <f t="shared" si="4"/>
        <v>125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34</v>
      </c>
      <c r="C37" s="6"/>
      <c r="D37" s="29" t="s">
        <v>72</v>
      </c>
      <c r="E37" s="29"/>
      <c r="F37" s="8">
        <v>3</v>
      </c>
      <c r="G37" s="8">
        <v>0</v>
      </c>
      <c r="H37" s="12" t="s">
        <v>22</v>
      </c>
      <c r="I37" s="9">
        <f t="shared" ref="I37:I68" si="5">F37*100</f>
        <v>300</v>
      </c>
      <c r="J37" s="8">
        <v>0</v>
      </c>
      <c r="K37" s="8">
        <f t="shared" ref="K37:K68" si="6">SUM(I37+J37)</f>
        <v>300</v>
      </c>
      <c r="L37" s="44">
        <v>125</v>
      </c>
      <c r="M37" s="42">
        <f t="shared" ref="M37:M68" si="7">L37+K37</f>
        <v>425</v>
      </c>
      <c r="N37" s="16">
        <f t="shared" ref="N37:N68" si="8">VLOOKUP(H37,$Q$3:$R$10,2,FALSE)</f>
        <v>300</v>
      </c>
      <c r="O37" s="43">
        <f t="shared" ref="O37:O68" si="9">IF(M37-N37&gt;0,M37-N37,0)</f>
        <v>125</v>
      </c>
      <c r="P37" s="1"/>
    </row>
    <row r="38" spans="1:26" s="1" customFormat="1" ht="18.75">
      <c r="A38" s="7">
        <v>1</v>
      </c>
      <c r="B38" s="7">
        <v>43</v>
      </c>
      <c r="C38" s="6"/>
      <c r="D38" s="29" t="s">
        <v>81</v>
      </c>
      <c r="E38" s="31"/>
      <c r="F38" s="8">
        <v>3</v>
      </c>
      <c r="G38" s="8">
        <v>0</v>
      </c>
      <c r="H38" s="12" t="s">
        <v>22</v>
      </c>
      <c r="I38" s="9">
        <f t="shared" si="5"/>
        <v>300</v>
      </c>
      <c r="J38" s="8">
        <v>0</v>
      </c>
      <c r="K38" s="8">
        <f t="shared" si="6"/>
        <v>300</v>
      </c>
      <c r="L38" s="44">
        <v>125</v>
      </c>
      <c r="M38" s="42">
        <f t="shared" si="7"/>
        <v>425</v>
      </c>
      <c r="N38" s="16">
        <f t="shared" si="8"/>
        <v>300</v>
      </c>
      <c r="O38" s="43">
        <f t="shared" si="9"/>
        <v>125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4</v>
      </c>
      <c r="C39" s="6"/>
      <c r="D39" s="29" t="s">
        <v>42</v>
      </c>
      <c r="E39" s="29"/>
      <c r="F39" s="8">
        <v>3</v>
      </c>
      <c r="G39" s="8">
        <v>0</v>
      </c>
      <c r="H39" s="12" t="s">
        <v>22</v>
      </c>
      <c r="I39" s="9">
        <f t="shared" si="5"/>
        <v>300</v>
      </c>
      <c r="J39" s="8">
        <v>0</v>
      </c>
      <c r="K39" s="8">
        <f t="shared" si="6"/>
        <v>300</v>
      </c>
      <c r="L39" s="44">
        <v>125</v>
      </c>
      <c r="M39" s="42">
        <f t="shared" si="7"/>
        <v>425</v>
      </c>
      <c r="N39" s="16">
        <f t="shared" si="8"/>
        <v>300</v>
      </c>
      <c r="O39" s="43">
        <f t="shared" si="9"/>
        <v>125</v>
      </c>
      <c r="P39" s="9"/>
    </row>
    <row r="40" spans="1:26" ht="18.75">
      <c r="A40" s="7">
        <v>1</v>
      </c>
      <c r="B40" s="7">
        <v>27</v>
      </c>
      <c r="C40" s="6"/>
      <c r="D40" s="29" t="s">
        <v>65</v>
      </c>
      <c r="E40" s="32"/>
      <c r="F40" s="8">
        <v>3</v>
      </c>
      <c r="G40" s="8">
        <v>0</v>
      </c>
      <c r="H40" s="12" t="s">
        <v>22</v>
      </c>
      <c r="I40" s="9">
        <f t="shared" si="5"/>
        <v>300</v>
      </c>
      <c r="J40" s="8">
        <v>0</v>
      </c>
      <c r="K40" s="8">
        <f t="shared" si="6"/>
        <v>300</v>
      </c>
      <c r="L40" s="44">
        <v>125</v>
      </c>
      <c r="M40" s="42">
        <f t="shared" si="7"/>
        <v>425</v>
      </c>
      <c r="N40" s="16">
        <f t="shared" si="8"/>
        <v>300</v>
      </c>
      <c r="O40" s="43">
        <f t="shared" si="9"/>
        <v>125</v>
      </c>
      <c r="P40" s="1"/>
    </row>
    <row r="41" spans="1:26" ht="18.75">
      <c r="A41" s="7">
        <v>1</v>
      </c>
      <c r="B41" s="7">
        <v>57</v>
      </c>
      <c r="C41" s="6"/>
      <c r="D41" s="29" t="s">
        <v>95</v>
      </c>
      <c r="F41" s="8">
        <v>3</v>
      </c>
      <c r="G41" s="8">
        <v>0</v>
      </c>
      <c r="H41" s="12" t="s">
        <v>22</v>
      </c>
      <c r="I41" s="9">
        <f t="shared" si="5"/>
        <v>300</v>
      </c>
      <c r="J41" s="8">
        <v>0</v>
      </c>
      <c r="K41" s="8">
        <f t="shared" si="6"/>
        <v>300</v>
      </c>
      <c r="L41" s="44">
        <v>125</v>
      </c>
      <c r="M41" s="42">
        <f t="shared" si="7"/>
        <v>425</v>
      </c>
      <c r="N41" s="16">
        <f t="shared" si="8"/>
        <v>300</v>
      </c>
      <c r="O41" s="43">
        <f t="shared" si="9"/>
        <v>125</v>
      </c>
      <c r="P41" s="1"/>
    </row>
    <row r="42" spans="1:26" ht="18.75">
      <c r="A42" s="7">
        <v>1</v>
      </c>
      <c r="B42" s="7">
        <v>53</v>
      </c>
      <c r="C42" s="6"/>
      <c r="D42" s="29" t="s">
        <v>91</v>
      </c>
      <c r="E42" s="29"/>
      <c r="F42" s="8">
        <v>2</v>
      </c>
      <c r="G42" s="8">
        <v>0</v>
      </c>
      <c r="H42" s="12" t="s">
        <v>22</v>
      </c>
      <c r="I42" s="9">
        <f t="shared" si="5"/>
        <v>200</v>
      </c>
      <c r="J42" s="8">
        <v>0</v>
      </c>
      <c r="K42" s="8">
        <f t="shared" si="6"/>
        <v>200</v>
      </c>
      <c r="L42" s="44">
        <v>225</v>
      </c>
      <c r="M42" s="42">
        <f t="shared" si="7"/>
        <v>425</v>
      </c>
      <c r="N42" s="16">
        <f t="shared" si="8"/>
        <v>300</v>
      </c>
      <c r="O42" s="43">
        <f t="shared" si="9"/>
        <v>125</v>
      </c>
      <c r="P42" s="1"/>
    </row>
    <row r="43" spans="1:26" ht="18.75">
      <c r="A43" s="7">
        <v>1</v>
      </c>
      <c r="B43" s="7">
        <v>50</v>
      </c>
      <c r="C43" s="6"/>
      <c r="D43" s="29" t="s">
        <v>88</v>
      </c>
      <c r="E43" s="29"/>
      <c r="F43" s="8">
        <v>3</v>
      </c>
      <c r="G43" s="8">
        <v>0</v>
      </c>
      <c r="H43" s="12" t="s">
        <v>22</v>
      </c>
      <c r="I43" s="9">
        <f t="shared" si="5"/>
        <v>300</v>
      </c>
      <c r="J43" s="8">
        <v>0</v>
      </c>
      <c r="K43" s="8">
        <f t="shared" si="6"/>
        <v>300</v>
      </c>
      <c r="L43" s="44">
        <v>125</v>
      </c>
      <c r="M43" s="42">
        <f t="shared" si="7"/>
        <v>425</v>
      </c>
      <c r="N43" s="16">
        <f t="shared" si="8"/>
        <v>300</v>
      </c>
      <c r="O43" s="43">
        <f t="shared" si="9"/>
        <v>125</v>
      </c>
      <c r="P43" s="1"/>
    </row>
    <row r="44" spans="1:26" ht="18.75">
      <c r="A44" s="7">
        <v>1</v>
      </c>
      <c r="B44" s="7">
        <v>64</v>
      </c>
      <c r="C44" s="6"/>
      <c r="D44" s="29" t="s">
        <v>102</v>
      </c>
      <c r="E44" s="29"/>
      <c r="F44" s="8">
        <v>2</v>
      </c>
      <c r="G44" s="8">
        <v>0</v>
      </c>
      <c r="H44" s="12" t="s">
        <v>22</v>
      </c>
      <c r="I44" s="9">
        <f t="shared" si="5"/>
        <v>200</v>
      </c>
      <c r="J44" s="8">
        <v>0</v>
      </c>
      <c r="K44" s="8">
        <f t="shared" si="6"/>
        <v>200</v>
      </c>
      <c r="L44" s="44">
        <v>225</v>
      </c>
      <c r="M44" s="42">
        <f t="shared" si="7"/>
        <v>425</v>
      </c>
      <c r="N44" s="16">
        <f t="shared" si="8"/>
        <v>300</v>
      </c>
      <c r="O44" s="43">
        <f t="shared" si="9"/>
        <v>125</v>
      </c>
      <c r="P44" s="1"/>
    </row>
    <row r="45" spans="1:26" ht="18.75">
      <c r="A45" s="7">
        <v>1</v>
      </c>
      <c r="B45" s="7">
        <v>35</v>
      </c>
      <c r="C45" s="6"/>
      <c r="D45" s="29" t="s">
        <v>73</v>
      </c>
      <c r="E45" s="29"/>
      <c r="F45" s="8">
        <v>2</v>
      </c>
      <c r="G45" s="8">
        <v>0</v>
      </c>
      <c r="H45" s="12" t="s">
        <v>22</v>
      </c>
      <c r="I45" s="9">
        <f t="shared" si="5"/>
        <v>200</v>
      </c>
      <c r="J45" s="8">
        <v>0</v>
      </c>
      <c r="K45" s="8">
        <f t="shared" si="6"/>
        <v>200</v>
      </c>
      <c r="L45" s="44">
        <v>225</v>
      </c>
      <c r="M45" s="42">
        <f t="shared" si="7"/>
        <v>425</v>
      </c>
      <c r="N45" s="16">
        <f t="shared" si="8"/>
        <v>300</v>
      </c>
      <c r="O45" s="43">
        <f t="shared" si="9"/>
        <v>125</v>
      </c>
      <c r="P45" s="1"/>
    </row>
    <row r="46" spans="1:26" ht="18.75">
      <c r="A46" s="7">
        <v>1</v>
      </c>
      <c r="B46" s="7">
        <v>9</v>
      </c>
      <c r="C46" s="6"/>
      <c r="D46" s="29" t="s">
        <v>47</v>
      </c>
      <c r="E46" s="33"/>
      <c r="F46" s="8">
        <v>2</v>
      </c>
      <c r="G46" s="8">
        <v>0</v>
      </c>
      <c r="H46" s="12" t="s">
        <v>22</v>
      </c>
      <c r="I46" s="9">
        <f t="shared" si="5"/>
        <v>200</v>
      </c>
      <c r="J46" s="8">
        <v>0</v>
      </c>
      <c r="K46" s="8">
        <f t="shared" si="6"/>
        <v>200</v>
      </c>
      <c r="L46" s="44">
        <v>225</v>
      </c>
      <c r="M46" s="42">
        <f t="shared" si="7"/>
        <v>425</v>
      </c>
      <c r="N46" s="16">
        <f t="shared" si="8"/>
        <v>300</v>
      </c>
      <c r="O46" s="43">
        <f t="shared" si="9"/>
        <v>125</v>
      </c>
      <c r="P46" s="21"/>
    </row>
    <row r="47" spans="1:26" ht="18.75">
      <c r="A47" s="7">
        <v>1</v>
      </c>
      <c r="B47" s="7">
        <v>23</v>
      </c>
      <c r="C47" s="6"/>
      <c r="D47" s="29" t="s">
        <v>61</v>
      </c>
      <c r="E47" s="32"/>
      <c r="F47" s="8">
        <v>2</v>
      </c>
      <c r="G47" s="8">
        <v>0</v>
      </c>
      <c r="H47" s="12" t="s">
        <v>22</v>
      </c>
      <c r="I47" s="9">
        <f t="shared" si="5"/>
        <v>200</v>
      </c>
      <c r="J47" s="8">
        <v>0</v>
      </c>
      <c r="K47" s="8">
        <f t="shared" si="6"/>
        <v>200</v>
      </c>
      <c r="L47" s="44">
        <v>225</v>
      </c>
      <c r="M47" s="42">
        <f t="shared" si="7"/>
        <v>425</v>
      </c>
      <c r="N47" s="16">
        <f t="shared" si="8"/>
        <v>300</v>
      </c>
      <c r="O47" s="43">
        <f t="shared" si="9"/>
        <v>125</v>
      </c>
      <c r="P47" s="1"/>
    </row>
    <row r="48" spans="1:26" ht="18.75">
      <c r="A48" s="7">
        <v>1</v>
      </c>
      <c r="B48" s="7">
        <v>10</v>
      </c>
      <c r="C48" s="6"/>
      <c r="D48" s="29" t="s">
        <v>48</v>
      </c>
      <c r="E48" s="31"/>
      <c r="F48" s="8">
        <v>3</v>
      </c>
      <c r="G48" s="8">
        <v>0</v>
      </c>
      <c r="H48" s="12" t="s">
        <v>22</v>
      </c>
      <c r="I48" s="9">
        <f t="shared" si="5"/>
        <v>300</v>
      </c>
      <c r="J48" s="8">
        <v>0</v>
      </c>
      <c r="K48" s="8">
        <f t="shared" si="6"/>
        <v>300</v>
      </c>
      <c r="L48" s="44">
        <v>88</v>
      </c>
      <c r="M48" s="42">
        <f t="shared" si="7"/>
        <v>388</v>
      </c>
      <c r="N48" s="16">
        <f t="shared" si="8"/>
        <v>300</v>
      </c>
      <c r="O48" s="43">
        <f t="shared" si="9"/>
        <v>88</v>
      </c>
      <c r="P48" s="45"/>
    </row>
    <row r="49" spans="1:16" ht="18.75">
      <c r="A49" s="7">
        <v>1</v>
      </c>
      <c r="B49" s="7">
        <v>11</v>
      </c>
      <c r="C49" s="6"/>
      <c r="D49" s="29" t="s">
        <v>49</v>
      </c>
      <c r="E49" s="29"/>
      <c r="F49" s="8">
        <v>3</v>
      </c>
      <c r="G49" s="8">
        <v>0</v>
      </c>
      <c r="H49" s="12" t="s">
        <v>22</v>
      </c>
      <c r="I49" s="9">
        <f t="shared" si="5"/>
        <v>300</v>
      </c>
      <c r="J49" s="8">
        <v>0</v>
      </c>
      <c r="K49" s="8">
        <f t="shared" si="6"/>
        <v>300</v>
      </c>
      <c r="L49" s="44">
        <v>88</v>
      </c>
      <c r="M49" s="42">
        <f t="shared" si="7"/>
        <v>388</v>
      </c>
      <c r="N49" s="16">
        <f t="shared" si="8"/>
        <v>300</v>
      </c>
      <c r="O49" s="43">
        <f t="shared" si="9"/>
        <v>88</v>
      </c>
    </row>
    <row r="50" spans="1:16" ht="18.75">
      <c r="A50" s="7">
        <v>1</v>
      </c>
      <c r="B50" s="7">
        <v>3</v>
      </c>
      <c r="C50" s="6"/>
      <c r="D50" s="29" t="s">
        <v>41</v>
      </c>
      <c r="E50" s="29"/>
      <c r="F50" s="8">
        <v>3</v>
      </c>
      <c r="G50" s="8">
        <v>0</v>
      </c>
      <c r="H50" s="12" t="s">
        <v>22</v>
      </c>
      <c r="I50" s="9">
        <f t="shared" si="5"/>
        <v>300</v>
      </c>
      <c r="J50" s="8">
        <v>0</v>
      </c>
      <c r="K50" s="8">
        <f t="shared" si="6"/>
        <v>300</v>
      </c>
      <c r="L50" s="44">
        <v>88</v>
      </c>
      <c r="M50" s="42">
        <f t="shared" si="7"/>
        <v>388</v>
      </c>
      <c r="N50" s="16">
        <f t="shared" si="8"/>
        <v>300</v>
      </c>
      <c r="O50" s="43">
        <f t="shared" si="9"/>
        <v>88</v>
      </c>
      <c r="P50" s="28"/>
    </row>
    <row r="51" spans="1:16" ht="18.75">
      <c r="A51" s="7">
        <v>1</v>
      </c>
      <c r="B51" s="7">
        <v>6</v>
      </c>
      <c r="C51" s="6"/>
      <c r="D51" s="29" t="s">
        <v>44</v>
      </c>
      <c r="E51" s="29"/>
      <c r="F51" s="8">
        <v>3</v>
      </c>
      <c r="G51" s="8">
        <v>0</v>
      </c>
      <c r="H51" s="12" t="s">
        <v>22</v>
      </c>
      <c r="I51" s="9">
        <f t="shared" si="5"/>
        <v>300</v>
      </c>
      <c r="J51" s="8">
        <v>0</v>
      </c>
      <c r="K51" s="8">
        <f t="shared" si="6"/>
        <v>300</v>
      </c>
      <c r="L51" s="44">
        <v>88</v>
      </c>
      <c r="M51" s="42">
        <f t="shared" si="7"/>
        <v>388</v>
      </c>
      <c r="N51" s="16">
        <f t="shared" si="8"/>
        <v>300</v>
      </c>
      <c r="O51" s="43">
        <f t="shared" si="9"/>
        <v>88</v>
      </c>
      <c r="P51" s="46"/>
    </row>
    <row r="52" spans="1:16" ht="18.75">
      <c r="A52" s="7">
        <v>1</v>
      </c>
      <c r="B52" s="7">
        <v>1</v>
      </c>
      <c r="C52" s="6"/>
      <c r="D52" s="29" t="s">
        <v>39</v>
      </c>
      <c r="E52" s="29"/>
      <c r="F52" s="8">
        <v>3</v>
      </c>
      <c r="G52" s="8">
        <v>0</v>
      </c>
      <c r="H52" s="12" t="s">
        <v>22</v>
      </c>
      <c r="I52" s="9">
        <f t="shared" si="5"/>
        <v>300</v>
      </c>
      <c r="J52" s="8">
        <v>0</v>
      </c>
      <c r="K52" s="8">
        <f t="shared" si="6"/>
        <v>300</v>
      </c>
      <c r="L52" s="44">
        <v>88</v>
      </c>
      <c r="M52" s="42">
        <f t="shared" si="7"/>
        <v>388</v>
      </c>
      <c r="N52" s="16">
        <f t="shared" si="8"/>
        <v>300</v>
      </c>
      <c r="O52" s="43">
        <f t="shared" si="9"/>
        <v>88</v>
      </c>
      <c r="P52" s="28"/>
    </row>
    <row r="53" spans="1:16" ht="18.75">
      <c r="A53" s="7">
        <v>1</v>
      </c>
      <c r="B53" s="7">
        <v>5</v>
      </c>
      <c r="C53" s="6"/>
      <c r="D53" s="29" t="s">
        <v>43</v>
      </c>
      <c r="E53" s="29"/>
      <c r="F53" s="8">
        <v>3</v>
      </c>
      <c r="G53" s="8">
        <v>0</v>
      </c>
      <c r="H53" s="12" t="s">
        <v>22</v>
      </c>
      <c r="I53" s="9">
        <f t="shared" si="5"/>
        <v>300</v>
      </c>
      <c r="J53" s="8">
        <v>0</v>
      </c>
      <c r="K53" s="8">
        <f t="shared" si="6"/>
        <v>300</v>
      </c>
      <c r="L53" s="44">
        <v>88</v>
      </c>
      <c r="M53" s="42">
        <f t="shared" si="7"/>
        <v>388</v>
      </c>
      <c r="N53" s="16">
        <f t="shared" si="8"/>
        <v>300</v>
      </c>
      <c r="O53" s="43">
        <f t="shared" si="9"/>
        <v>88</v>
      </c>
      <c r="P53" s="45"/>
    </row>
    <row r="54" spans="1:16" ht="18.75">
      <c r="A54" s="7">
        <v>1</v>
      </c>
      <c r="B54" s="7">
        <v>2</v>
      </c>
      <c r="C54" s="6"/>
      <c r="D54" s="29" t="s">
        <v>40</v>
      </c>
      <c r="E54" s="29"/>
      <c r="F54" s="8">
        <v>3</v>
      </c>
      <c r="G54" s="8">
        <v>0</v>
      </c>
      <c r="H54" s="12" t="s">
        <v>22</v>
      </c>
      <c r="I54" s="9">
        <f t="shared" si="5"/>
        <v>300</v>
      </c>
      <c r="J54" s="8">
        <v>0</v>
      </c>
      <c r="K54" s="8">
        <f t="shared" si="6"/>
        <v>300</v>
      </c>
      <c r="L54" s="44">
        <v>88</v>
      </c>
      <c r="M54" s="42">
        <f t="shared" si="7"/>
        <v>388</v>
      </c>
      <c r="N54" s="16">
        <f t="shared" si="8"/>
        <v>300</v>
      </c>
      <c r="O54" s="43">
        <f t="shared" si="9"/>
        <v>88</v>
      </c>
      <c r="P54" s="28"/>
    </row>
    <row r="55" spans="1:16" ht="18.75">
      <c r="A55" s="7">
        <v>1</v>
      </c>
      <c r="B55" s="7">
        <v>56</v>
      </c>
      <c r="C55" s="6"/>
      <c r="D55" s="29" t="s">
        <v>94</v>
      </c>
      <c r="E55" s="29"/>
      <c r="F55" s="8">
        <v>3</v>
      </c>
      <c r="G55" s="8">
        <v>0</v>
      </c>
      <c r="H55" s="12" t="s">
        <v>22</v>
      </c>
      <c r="I55" s="9">
        <f t="shared" si="5"/>
        <v>300</v>
      </c>
      <c r="J55" s="8">
        <v>0</v>
      </c>
      <c r="K55" s="8">
        <f t="shared" si="6"/>
        <v>300</v>
      </c>
      <c r="L55" s="44">
        <v>25</v>
      </c>
      <c r="M55" s="42">
        <f t="shared" si="7"/>
        <v>325</v>
      </c>
      <c r="N55" s="16">
        <f t="shared" si="8"/>
        <v>300</v>
      </c>
      <c r="O55" s="43">
        <f t="shared" si="9"/>
        <v>25</v>
      </c>
    </row>
    <row r="56" spans="1:16" ht="18.75">
      <c r="A56" s="7">
        <v>1</v>
      </c>
      <c r="B56" s="7">
        <v>31</v>
      </c>
      <c r="C56" s="6"/>
      <c r="D56" s="29" t="s">
        <v>69</v>
      </c>
      <c r="E56" s="32"/>
      <c r="F56" s="8">
        <v>2</v>
      </c>
      <c r="G56" s="8">
        <v>0</v>
      </c>
      <c r="H56" s="12" t="s">
        <v>22</v>
      </c>
      <c r="I56" s="9">
        <f t="shared" si="5"/>
        <v>200</v>
      </c>
      <c r="J56" s="8">
        <v>0</v>
      </c>
      <c r="K56" s="8">
        <f t="shared" si="6"/>
        <v>200</v>
      </c>
      <c r="L56" s="44">
        <v>125</v>
      </c>
      <c r="M56" s="42">
        <f t="shared" si="7"/>
        <v>325</v>
      </c>
      <c r="N56" s="16">
        <f t="shared" si="8"/>
        <v>300</v>
      </c>
      <c r="O56" s="43">
        <f t="shared" si="9"/>
        <v>25</v>
      </c>
    </row>
    <row r="57" spans="1:16" ht="18.75">
      <c r="A57" s="7">
        <v>1</v>
      </c>
      <c r="B57" s="7">
        <v>54</v>
      </c>
      <c r="C57" s="6"/>
      <c r="D57" s="29" t="s">
        <v>92</v>
      </c>
      <c r="F57" s="8">
        <v>2</v>
      </c>
      <c r="G57" s="8">
        <v>0</v>
      </c>
      <c r="H57" s="12" t="s">
        <v>22</v>
      </c>
      <c r="I57" s="9">
        <f t="shared" si="5"/>
        <v>200</v>
      </c>
      <c r="J57" s="8">
        <v>0</v>
      </c>
      <c r="K57" s="8">
        <f t="shared" si="6"/>
        <v>200</v>
      </c>
      <c r="L57" s="44">
        <v>125</v>
      </c>
      <c r="M57" s="42">
        <f t="shared" si="7"/>
        <v>325</v>
      </c>
      <c r="N57" s="16">
        <f t="shared" si="8"/>
        <v>300</v>
      </c>
      <c r="O57" s="43">
        <f t="shared" si="9"/>
        <v>25</v>
      </c>
    </row>
    <row r="58" spans="1:16" ht="18.75">
      <c r="A58" s="7">
        <v>1</v>
      </c>
      <c r="B58" s="7">
        <v>63</v>
      </c>
      <c r="C58" s="6"/>
      <c r="D58" s="29" t="s">
        <v>101</v>
      </c>
      <c r="F58" s="8">
        <v>2</v>
      </c>
      <c r="G58" s="8">
        <v>0</v>
      </c>
      <c r="H58" s="12" t="s">
        <v>22</v>
      </c>
      <c r="I58" s="9">
        <f t="shared" si="5"/>
        <v>200</v>
      </c>
      <c r="J58" s="8">
        <v>0</v>
      </c>
      <c r="K58" s="8">
        <f t="shared" si="6"/>
        <v>200</v>
      </c>
      <c r="L58" s="44">
        <v>125</v>
      </c>
      <c r="M58" s="42">
        <f t="shared" si="7"/>
        <v>325</v>
      </c>
      <c r="N58" s="16">
        <f t="shared" si="8"/>
        <v>300</v>
      </c>
      <c r="O58" s="43">
        <f t="shared" si="9"/>
        <v>25</v>
      </c>
    </row>
    <row r="59" spans="1:16" ht="18.75">
      <c r="A59" s="7">
        <v>1</v>
      </c>
      <c r="B59" s="7">
        <v>15</v>
      </c>
      <c r="C59" s="6"/>
      <c r="D59" s="29" t="s">
        <v>53</v>
      </c>
      <c r="E59" s="29"/>
      <c r="F59" s="8">
        <v>2</v>
      </c>
      <c r="G59" s="8">
        <v>0</v>
      </c>
      <c r="H59" s="12" t="s">
        <v>22</v>
      </c>
      <c r="I59" s="9">
        <f t="shared" si="5"/>
        <v>200</v>
      </c>
      <c r="J59" s="8">
        <v>0</v>
      </c>
      <c r="K59" s="8">
        <f t="shared" si="6"/>
        <v>200</v>
      </c>
      <c r="L59" s="44">
        <v>125</v>
      </c>
      <c r="M59" s="42">
        <f t="shared" si="7"/>
        <v>325</v>
      </c>
      <c r="N59" s="16">
        <f t="shared" si="8"/>
        <v>300</v>
      </c>
      <c r="O59" s="43">
        <f t="shared" si="9"/>
        <v>25</v>
      </c>
    </row>
    <row r="60" spans="1:16" ht="18.75">
      <c r="A60" s="7">
        <v>1</v>
      </c>
      <c r="B60" s="7">
        <v>38</v>
      </c>
      <c r="C60" s="6"/>
      <c r="D60" s="29" t="s">
        <v>76</v>
      </c>
      <c r="E60" s="29"/>
      <c r="F60" s="8">
        <v>1</v>
      </c>
      <c r="G60" s="8">
        <v>0</v>
      </c>
      <c r="H60" s="12" t="s">
        <v>22</v>
      </c>
      <c r="I60" s="9">
        <f t="shared" si="5"/>
        <v>100</v>
      </c>
      <c r="J60" s="8">
        <v>0</v>
      </c>
      <c r="K60" s="8">
        <f t="shared" si="6"/>
        <v>100</v>
      </c>
      <c r="L60" s="44">
        <v>225</v>
      </c>
      <c r="M60" s="42">
        <f t="shared" si="7"/>
        <v>325</v>
      </c>
      <c r="N60" s="16">
        <f t="shared" si="8"/>
        <v>300</v>
      </c>
      <c r="O60" s="43">
        <f t="shared" si="9"/>
        <v>25</v>
      </c>
    </row>
    <row r="61" spans="1:16" ht="18.75">
      <c r="A61" s="7">
        <v>1</v>
      </c>
      <c r="B61" s="7">
        <v>59</v>
      </c>
      <c r="C61" s="6"/>
      <c r="D61" s="29" t="s">
        <v>97</v>
      </c>
      <c r="F61" s="8">
        <v>2</v>
      </c>
      <c r="G61" s="8">
        <v>0</v>
      </c>
      <c r="H61" s="12" t="s">
        <v>22</v>
      </c>
      <c r="I61" s="9">
        <f t="shared" si="5"/>
        <v>200</v>
      </c>
      <c r="J61" s="8">
        <v>0</v>
      </c>
      <c r="K61" s="8">
        <f t="shared" si="6"/>
        <v>200</v>
      </c>
      <c r="L61" s="44">
        <v>125</v>
      </c>
      <c r="M61" s="42">
        <f t="shared" si="7"/>
        <v>325</v>
      </c>
      <c r="N61" s="16">
        <f t="shared" si="8"/>
        <v>300</v>
      </c>
      <c r="O61" s="43">
        <f t="shared" si="9"/>
        <v>25</v>
      </c>
    </row>
    <row r="62" spans="1:16" ht="18.75">
      <c r="A62" s="7">
        <v>1</v>
      </c>
      <c r="B62" s="7">
        <v>25</v>
      </c>
      <c r="C62" s="6"/>
      <c r="D62" s="29" t="s">
        <v>63</v>
      </c>
      <c r="E62" s="32"/>
      <c r="F62" s="8">
        <v>3</v>
      </c>
      <c r="G62" s="8">
        <v>0</v>
      </c>
      <c r="H62" s="12" t="s">
        <v>22</v>
      </c>
      <c r="I62" s="9">
        <f t="shared" si="5"/>
        <v>300</v>
      </c>
      <c r="J62" s="8">
        <v>0</v>
      </c>
      <c r="K62" s="8">
        <f t="shared" si="6"/>
        <v>300</v>
      </c>
      <c r="L62" s="44">
        <v>0</v>
      </c>
      <c r="M62" s="42">
        <f t="shared" si="7"/>
        <v>300</v>
      </c>
      <c r="N62" s="16">
        <f t="shared" si="8"/>
        <v>300</v>
      </c>
      <c r="O62" s="43">
        <f t="shared" si="9"/>
        <v>0</v>
      </c>
    </row>
    <row r="63" spans="1:16" ht="18.75">
      <c r="A63" s="7">
        <v>1</v>
      </c>
      <c r="B63" s="7">
        <v>32</v>
      </c>
      <c r="C63" s="6"/>
      <c r="D63" s="29" t="s">
        <v>70</v>
      </c>
      <c r="E63" s="32"/>
      <c r="F63" s="8">
        <v>3</v>
      </c>
      <c r="G63" s="8">
        <v>0</v>
      </c>
      <c r="H63" s="12" t="s">
        <v>22</v>
      </c>
      <c r="I63" s="9">
        <f t="shared" si="5"/>
        <v>300</v>
      </c>
      <c r="J63" s="8">
        <v>0</v>
      </c>
      <c r="K63" s="8">
        <f t="shared" si="6"/>
        <v>300</v>
      </c>
      <c r="L63" s="44">
        <v>0</v>
      </c>
      <c r="M63" s="42">
        <f t="shared" si="7"/>
        <v>300</v>
      </c>
      <c r="N63" s="16">
        <f t="shared" si="8"/>
        <v>300</v>
      </c>
      <c r="O63" s="43">
        <f t="shared" si="9"/>
        <v>0</v>
      </c>
    </row>
    <row r="64" spans="1:16" ht="18.75">
      <c r="A64" s="7">
        <v>1</v>
      </c>
      <c r="B64" s="7">
        <v>60</v>
      </c>
      <c r="C64" s="6"/>
      <c r="D64" s="29" t="s">
        <v>98</v>
      </c>
      <c r="F64" s="8">
        <v>3</v>
      </c>
      <c r="G64" s="8">
        <v>0</v>
      </c>
      <c r="H64" s="12" t="s">
        <v>22</v>
      </c>
      <c r="I64" s="9">
        <f t="shared" si="5"/>
        <v>300</v>
      </c>
      <c r="J64" s="8">
        <v>0</v>
      </c>
      <c r="K64" s="8">
        <f t="shared" si="6"/>
        <v>300</v>
      </c>
      <c r="L64" s="44">
        <v>0</v>
      </c>
      <c r="M64" s="42">
        <f t="shared" si="7"/>
        <v>300</v>
      </c>
      <c r="N64" s="16">
        <f t="shared" si="8"/>
        <v>300</v>
      </c>
      <c r="O64" s="43">
        <f t="shared" si="9"/>
        <v>0</v>
      </c>
    </row>
    <row r="65" spans="1:16" ht="18.75">
      <c r="A65" s="7">
        <v>1</v>
      </c>
      <c r="B65" s="7">
        <v>8</v>
      </c>
      <c r="C65" s="6"/>
      <c r="D65" s="29" t="s">
        <v>46</v>
      </c>
      <c r="E65" s="29"/>
      <c r="F65" s="8">
        <v>2</v>
      </c>
      <c r="G65" s="8">
        <v>0</v>
      </c>
      <c r="H65" s="12" t="s">
        <v>22</v>
      </c>
      <c r="I65" s="9">
        <f t="shared" si="5"/>
        <v>200</v>
      </c>
      <c r="J65" s="8">
        <v>0</v>
      </c>
      <c r="K65" s="8">
        <f t="shared" si="6"/>
        <v>200</v>
      </c>
      <c r="L65" s="44">
        <v>0</v>
      </c>
      <c r="M65" s="42">
        <f t="shared" si="7"/>
        <v>200</v>
      </c>
      <c r="N65" s="16">
        <f t="shared" si="8"/>
        <v>300</v>
      </c>
      <c r="O65" s="43">
        <f t="shared" si="9"/>
        <v>0</v>
      </c>
      <c r="P65" s="40"/>
    </row>
    <row r="66" spans="1:16" ht="18.75">
      <c r="A66" s="7">
        <v>1</v>
      </c>
      <c r="B66" s="7">
        <v>51</v>
      </c>
      <c r="C66" s="6"/>
      <c r="D66" s="29" t="s">
        <v>89</v>
      </c>
      <c r="E66" s="29"/>
      <c r="F66" s="8">
        <v>2</v>
      </c>
      <c r="G66" s="8">
        <v>0</v>
      </c>
      <c r="H66" s="12" t="s">
        <v>22</v>
      </c>
      <c r="I66" s="9">
        <f t="shared" si="5"/>
        <v>200</v>
      </c>
      <c r="J66" s="8">
        <v>0</v>
      </c>
      <c r="K66" s="8">
        <f t="shared" si="6"/>
        <v>200</v>
      </c>
      <c r="L66" s="44">
        <v>0</v>
      </c>
      <c r="M66" s="42">
        <f t="shared" si="7"/>
        <v>200</v>
      </c>
      <c r="N66" s="16">
        <f t="shared" si="8"/>
        <v>300</v>
      </c>
      <c r="O66" s="43">
        <f t="shared" si="9"/>
        <v>0</v>
      </c>
    </row>
    <row r="67" spans="1:16" ht="18.75">
      <c r="A67" s="7">
        <v>1</v>
      </c>
      <c r="B67" s="7">
        <v>19</v>
      </c>
      <c r="C67" s="6"/>
      <c r="D67" s="29" t="s">
        <v>57</v>
      </c>
      <c r="E67" s="29"/>
      <c r="F67" s="8">
        <v>0</v>
      </c>
      <c r="G67" s="8">
        <v>0</v>
      </c>
      <c r="H67" s="27" t="s">
        <v>23</v>
      </c>
      <c r="I67" s="9">
        <f t="shared" si="5"/>
        <v>0</v>
      </c>
      <c r="J67" s="8">
        <v>0</v>
      </c>
      <c r="K67" s="8">
        <f t="shared" si="6"/>
        <v>0</v>
      </c>
      <c r="L67" s="44">
        <v>0</v>
      </c>
      <c r="M67" s="42">
        <f t="shared" si="7"/>
        <v>0</v>
      </c>
      <c r="N67" s="16">
        <f t="shared" si="8"/>
        <v>0</v>
      </c>
      <c r="O67" s="43">
        <f t="shared" si="9"/>
        <v>0</v>
      </c>
    </row>
    <row r="68" spans="1:16" ht="18.75">
      <c r="A68" s="7">
        <v>1</v>
      </c>
      <c r="B68" s="7">
        <v>48</v>
      </c>
      <c r="C68" s="6"/>
      <c r="D68" s="29" t="s">
        <v>86</v>
      </c>
      <c r="E68" s="29"/>
      <c r="F68" s="8">
        <v>0</v>
      </c>
      <c r="G68" s="8">
        <v>0</v>
      </c>
      <c r="H68" s="27" t="s">
        <v>23</v>
      </c>
      <c r="I68" s="9">
        <f t="shared" si="5"/>
        <v>0</v>
      </c>
      <c r="J68" s="8">
        <v>0</v>
      </c>
      <c r="K68" s="8">
        <f t="shared" si="6"/>
        <v>0</v>
      </c>
      <c r="L68" s="44">
        <v>0</v>
      </c>
      <c r="M68" s="42">
        <f t="shared" si="7"/>
        <v>0</v>
      </c>
      <c r="N68" s="16">
        <f t="shared" si="8"/>
        <v>0</v>
      </c>
      <c r="O68" s="43">
        <f t="shared" si="9"/>
        <v>0</v>
      </c>
    </row>
    <row r="74" spans="1:16">
      <c r="K74" s="1">
        <f>SUM(K5:K63)</f>
        <v>16500</v>
      </c>
      <c r="N74" s="1">
        <f>SUM(N5:N63)</f>
        <v>19752</v>
      </c>
    </row>
  </sheetData>
  <autoFilter ref="A4:P68" xr:uid="{D50916F0-4EB1-4E61-AB8D-B58C4FC21503}">
    <sortState xmlns:xlrd2="http://schemas.microsoft.com/office/spreadsheetml/2017/richdata2" ref="A5:P68">
      <sortCondition descending="1" ref="M4:M68"/>
    </sortState>
  </autoFilter>
  <mergeCells count="4">
    <mergeCell ref="B1:O1"/>
    <mergeCell ref="B2:O2"/>
    <mergeCell ref="B3:E3"/>
    <mergeCell ref="H3:O3"/>
  </mergeCells>
  <conditionalFormatting sqref="F5:G68">
    <cfRule type="cellIs" dxfId="5" priority="2" operator="lessThan">
      <formula>1</formula>
    </cfRule>
  </conditionalFormatting>
  <conditionalFormatting sqref="J5:J68">
    <cfRule type="cellIs" dxfId="4" priority="1" operator="lessThan">
      <formula>1</formula>
    </cfRule>
  </conditionalFormatting>
  <hyperlinks>
    <hyperlink ref="D30" r:id="rId1" xr:uid="{C35CB30E-D4F0-4B64-9B7D-2E8A5D4340E1}"/>
  </hyperlinks>
  <pageMargins left="0.7" right="0.7" top="0.75" bottom="0.75" header="0.3" footer="0.3"/>
  <pageSetup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FF52-54C3-4027-81C3-209FED5B6FA1}">
  <dimension ref="A1:Z74"/>
  <sheetViews>
    <sheetView topLeftCell="A3" zoomScale="85" zoomScaleNormal="85" workbookViewId="0">
      <selection activeCell="H20" sqref="H20"/>
    </sheetView>
  </sheetViews>
  <sheetFormatPr defaultColWidth="9" defaultRowHeight="13.5"/>
  <cols>
    <col min="1" max="1" width="6.5" customWidth="1"/>
    <col min="2" max="2" width="6.625" style="1" customWidth="1"/>
    <col min="3" max="3" width="19.75" style="3" hidden="1" customWidth="1"/>
    <col min="4" max="4" width="21.25" style="3" customWidth="1"/>
    <col min="5" max="5" width="18.375" style="1" hidden="1" customWidth="1"/>
    <col min="6" max="6" width="13.125" style="1" customWidth="1"/>
    <col min="7" max="7" width="13.75" style="1" hidden="1" customWidth="1"/>
    <col min="8" max="8" width="20" style="1" customWidth="1"/>
    <col min="9" max="9" width="9" style="1" customWidth="1"/>
    <col min="10" max="10" width="10" style="1" customWidth="1"/>
    <col min="11" max="11" width="9" style="1" customWidth="1"/>
    <col min="12" max="12" width="10.5" style="1" customWidth="1"/>
    <col min="13" max="13" width="13" style="1" customWidth="1"/>
    <col min="14" max="14" width="9.25" style="1" customWidth="1"/>
    <col min="15" max="15" width="12.625" style="1" customWidth="1"/>
    <col min="16" max="16" width="11.125" customWidth="1"/>
    <col min="17" max="17" width="22.5" customWidth="1"/>
  </cols>
  <sheetData>
    <row r="1" spans="1:25" ht="36.6" customHeight="1">
      <c r="B1" s="49" t="str">
        <f>CONCATENATE("5-8，97-104区 欧皇宝宝",R15,"年",R16,"月",R17,"日","分包贡献明细"," 统计：")</f>
        <v>5-8，97-104区 欧皇宝宝2025年12月20日分包贡献明细 统计：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6"/>
      <c r="Q1" s="3" t="s">
        <v>7</v>
      </c>
      <c r="R1" s="3">
        <v>62</v>
      </c>
      <c r="S1" s="2"/>
      <c r="T1" s="2"/>
      <c r="U1" s="2"/>
      <c r="V1" s="2"/>
    </row>
    <row r="2" spans="1:25" ht="86.45" customHeight="1">
      <c r="B2" s="51" t="s">
        <v>103</v>
      </c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37"/>
      <c r="Q2" s="3" t="s">
        <v>0</v>
      </c>
      <c r="R2" s="17" t="s">
        <v>8</v>
      </c>
      <c r="S2" s="3" t="s">
        <v>9</v>
      </c>
      <c r="T2" s="3" t="s">
        <v>10</v>
      </c>
      <c r="U2" s="3" t="s">
        <v>36</v>
      </c>
      <c r="V2" s="18" t="s">
        <v>11</v>
      </c>
    </row>
    <row r="3" spans="1:25" ht="20.25">
      <c r="B3" s="54" t="s">
        <v>13</v>
      </c>
      <c r="C3" s="54"/>
      <c r="D3" s="54"/>
      <c r="E3" s="54"/>
      <c r="F3" s="38" t="s">
        <v>12</v>
      </c>
      <c r="G3" s="39" t="s">
        <v>29</v>
      </c>
      <c r="H3" s="55" t="s">
        <v>14</v>
      </c>
      <c r="I3" s="56"/>
      <c r="J3" s="56"/>
      <c r="K3" s="56"/>
      <c r="L3" s="56"/>
      <c r="M3" s="56"/>
      <c r="N3" s="56"/>
      <c r="O3" s="57"/>
      <c r="P3" s="35"/>
      <c r="Q3" s="19" t="s">
        <v>15</v>
      </c>
      <c r="R3" s="17">
        <v>456</v>
      </c>
      <c r="S3" s="3">
        <v>5</v>
      </c>
      <c r="T3" s="3">
        <v>7</v>
      </c>
      <c r="U3" s="3">
        <v>20</v>
      </c>
      <c r="V3" s="3">
        <v>1900</v>
      </c>
    </row>
    <row r="4" spans="1:25" ht="40.5">
      <c r="A4" s="41" t="s">
        <v>38</v>
      </c>
      <c r="B4" s="41" t="s">
        <v>2</v>
      </c>
      <c r="C4" s="34" t="s">
        <v>16</v>
      </c>
      <c r="D4" s="41" t="s">
        <v>3</v>
      </c>
      <c r="E4" s="41" t="s">
        <v>4</v>
      </c>
      <c r="F4" s="4" t="s">
        <v>30</v>
      </c>
      <c r="G4" s="5" t="s">
        <v>37</v>
      </c>
      <c r="H4" s="4" t="s">
        <v>5</v>
      </c>
      <c r="I4" s="4" t="s">
        <v>17</v>
      </c>
      <c r="J4" s="5" t="s">
        <v>32</v>
      </c>
      <c r="K4" s="13" t="s">
        <v>18</v>
      </c>
      <c r="L4" s="34" t="s">
        <v>19</v>
      </c>
      <c r="M4" s="14" t="s">
        <v>6</v>
      </c>
      <c r="N4" s="34" t="s">
        <v>104</v>
      </c>
      <c r="O4" s="34" t="s">
        <v>20</v>
      </c>
      <c r="P4" s="34" t="s">
        <v>1</v>
      </c>
      <c r="Q4" s="20" t="s">
        <v>21</v>
      </c>
      <c r="R4" s="17">
        <v>372</v>
      </c>
      <c r="S4" s="3">
        <v>4</v>
      </c>
      <c r="T4" s="3">
        <v>6</v>
      </c>
      <c r="U4" s="3">
        <v>15</v>
      </c>
      <c r="V4" s="3">
        <v>1550</v>
      </c>
    </row>
    <row r="5" spans="1:25" ht="18.75">
      <c r="A5" s="7">
        <v>1</v>
      </c>
      <c r="B5" s="7">
        <v>1</v>
      </c>
      <c r="C5" s="6"/>
      <c r="D5" s="29" t="s">
        <v>39</v>
      </c>
      <c r="E5" s="29"/>
      <c r="F5" s="8">
        <v>4</v>
      </c>
      <c r="G5" s="8">
        <v>0</v>
      </c>
      <c r="H5" s="10" t="s">
        <v>33</v>
      </c>
      <c r="I5" s="9">
        <f>F5*100</f>
        <v>400</v>
      </c>
      <c r="J5" s="8">
        <v>0</v>
      </c>
      <c r="K5" s="8">
        <f t="shared" ref="K5:K36" si="0">SUM(I5+J5)</f>
        <v>400</v>
      </c>
      <c r="L5" s="44">
        <v>0</v>
      </c>
      <c r="M5" s="42">
        <f t="shared" ref="M5:M36" si="1">L5+K5</f>
        <v>400</v>
      </c>
      <c r="N5" s="16">
        <f t="shared" ref="N5:N36" si="2">VLOOKUP(H5,$Q$3:$R$10,2,FALSE)</f>
        <v>312</v>
      </c>
      <c r="O5" s="43">
        <f>IF(M5-N5&gt;0,M5-N5,0)</f>
        <v>88</v>
      </c>
      <c r="P5" s="9"/>
      <c r="Q5" s="12" t="s">
        <v>22</v>
      </c>
      <c r="R5" s="17">
        <v>300</v>
      </c>
      <c r="S5" s="1">
        <v>3</v>
      </c>
      <c r="T5" s="1">
        <v>5</v>
      </c>
      <c r="U5" s="1">
        <v>10</v>
      </c>
      <c r="V5" s="1">
        <v>1200</v>
      </c>
    </row>
    <row r="6" spans="1:25" ht="18.75">
      <c r="A6" s="7">
        <v>1</v>
      </c>
      <c r="B6" s="7">
        <v>2</v>
      </c>
      <c r="C6" s="6"/>
      <c r="D6" s="29" t="s">
        <v>40</v>
      </c>
      <c r="E6" s="29"/>
      <c r="F6" s="8">
        <v>4</v>
      </c>
      <c r="G6" s="8">
        <v>0</v>
      </c>
      <c r="H6" s="10" t="s">
        <v>33</v>
      </c>
      <c r="I6" s="9">
        <f t="shared" ref="I6:I68" si="3">F6*100</f>
        <v>400</v>
      </c>
      <c r="J6" s="8">
        <v>0</v>
      </c>
      <c r="K6" s="8">
        <f t="shared" si="0"/>
        <v>400</v>
      </c>
      <c r="L6" s="44">
        <v>0</v>
      </c>
      <c r="M6" s="42">
        <f t="shared" si="1"/>
        <v>400</v>
      </c>
      <c r="N6" s="16">
        <f t="shared" si="2"/>
        <v>312</v>
      </c>
      <c r="O6" s="43">
        <f t="shared" ref="O6:O68" si="4">IF(M6-N6&gt;0,M6-N6,0)</f>
        <v>88</v>
      </c>
      <c r="P6" s="9"/>
      <c r="Q6" s="12"/>
      <c r="R6" s="17"/>
      <c r="S6" s="1"/>
      <c r="T6" s="1"/>
      <c r="U6" s="1"/>
      <c r="V6" s="1"/>
    </row>
    <row r="7" spans="1:25" ht="18.75">
      <c r="A7" s="7">
        <v>1</v>
      </c>
      <c r="B7" s="7">
        <v>3</v>
      </c>
      <c r="C7" s="6"/>
      <c r="D7" s="29" t="s">
        <v>41</v>
      </c>
      <c r="E7" s="29"/>
      <c r="F7" s="8">
        <v>4</v>
      </c>
      <c r="G7" s="8">
        <v>0</v>
      </c>
      <c r="H7" s="10" t="s">
        <v>33</v>
      </c>
      <c r="I7" s="9">
        <f t="shared" si="3"/>
        <v>400</v>
      </c>
      <c r="J7" s="8">
        <v>0</v>
      </c>
      <c r="K7" s="8">
        <f t="shared" si="0"/>
        <v>400</v>
      </c>
      <c r="L7" s="44">
        <v>0</v>
      </c>
      <c r="M7" s="42">
        <f t="shared" si="1"/>
        <v>400</v>
      </c>
      <c r="N7" s="16">
        <f t="shared" si="2"/>
        <v>312</v>
      </c>
      <c r="O7" s="43">
        <f t="shared" si="4"/>
        <v>88</v>
      </c>
      <c r="P7" s="9"/>
      <c r="Q7" s="10" t="s">
        <v>33</v>
      </c>
      <c r="R7" s="17">
        <v>312</v>
      </c>
      <c r="S7" s="1">
        <v>4</v>
      </c>
      <c r="T7" s="1">
        <v>5</v>
      </c>
      <c r="U7" s="1"/>
      <c r="V7" s="1">
        <v>1300</v>
      </c>
    </row>
    <row r="8" spans="1:25" ht="18.75">
      <c r="A8" s="7">
        <v>1</v>
      </c>
      <c r="B8" s="7">
        <v>5</v>
      </c>
      <c r="C8" s="6"/>
      <c r="D8" s="29" t="s">
        <v>43</v>
      </c>
      <c r="E8" s="29"/>
      <c r="F8" s="8">
        <v>4</v>
      </c>
      <c r="G8" s="8">
        <v>0</v>
      </c>
      <c r="H8" s="10" t="s">
        <v>33</v>
      </c>
      <c r="I8" s="9">
        <f t="shared" si="3"/>
        <v>400</v>
      </c>
      <c r="J8" s="8">
        <v>0</v>
      </c>
      <c r="K8" s="8">
        <f t="shared" si="0"/>
        <v>400</v>
      </c>
      <c r="L8" s="44">
        <v>0</v>
      </c>
      <c r="M8" s="42">
        <f t="shared" si="1"/>
        <v>400</v>
      </c>
      <c r="N8" s="16">
        <f t="shared" si="2"/>
        <v>312</v>
      </c>
      <c r="O8" s="43">
        <f t="shared" si="4"/>
        <v>88</v>
      </c>
      <c r="P8" s="21"/>
      <c r="Q8" s="11" t="s">
        <v>34</v>
      </c>
      <c r="R8" s="17">
        <v>240</v>
      </c>
      <c r="S8" s="1">
        <v>3</v>
      </c>
      <c r="T8" s="1">
        <v>4</v>
      </c>
      <c r="U8" s="1"/>
      <c r="V8" s="1">
        <v>1000</v>
      </c>
    </row>
    <row r="9" spans="1:25" ht="18.75">
      <c r="A9" s="7">
        <v>1</v>
      </c>
      <c r="B9" s="7">
        <v>6</v>
      </c>
      <c r="C9" s="6"/>
      <c r="D9" s="29" t="s">
        <v>44</v>
      </c>
      <c r="E9" s="29"/>
      <c r="F9" s="8">
        <v>4</v>
      </c>
      <c r="G9" s="8">
        <v>0</v>
      </c>
      <c r="H9" s="10" t="s">
        <v>33</v>
      </c>
      <c r="I9" s="9">
        <f t="shared" si="3"/>
        <v>400</v>
      </c>
      <c r="J9" s="8">
        <v>0</v>
      </c>
      <c r="K9" s="8">
        <f t="shared" si="0"/>
        <v>400</v>
      </c>
      <c r="L9" s="44">
        <v>0</v>
      </c>
      <c r="M9" s="42">
        <f t="shared" si="1"/>
        <v>400</v>
      </c>
      <c r="N9" s="16">
        <f t="shared" si="2"/>
        <v>312</v>
      </c>
      <c r="O9" s="43">
        <f t="shared" si="4"/>
        <v>88</v>
      </c>
      <c r="P9" s="15"/>
      <c r="Q9" s="12" t="s">
        <v>35</v>
      </c>
      <c r="R9" s="17">
        <v>175</v>
      </c>
      <c r="S9" s="1">
        <v>2</v>
      </c>
      <c r="T9" s="1">
        <v>3</v>
      </c>
      <c r="U9" s="1"/>
      <c r="V9" s="1">
        <v>700</v>
      </c>
    </row>
    <row r="10" spans="1:25" ht="18.75">
      <c r="A10" s="7">
        <v>1</v>
      </c>
      <c r="B10" s="7">
        <v>10</v>
      </c>
      <c r="C10" s="6"/>
      <c r="D10" s="29" t="s">
        <v>48</v>
      </c>
      <c r="E10" s="31"/>
      <c r="F10" s="8">
        <v>4</v>
      </c>
      <c r="G10" s="8">
        <v>0</v>
      </c>
      <c r="H10" s="10" t="s">
        <v>33</v>
      </c>
      <c r="I10" s="9">
        <f t="shared" si="3"/>
        <v>400</v>
      </c>
      <c r="J10" s="8">
        <v>0</v>
      </c>
      <c r="K10" s="8">
        <f t="shared" si="0"/>
        <v>400</v>
      </c>
      <c r="L10" s="44">
        <v>0</v>
      </c>
      <c r="M10" s="42">
        <f t="shared" si="1"/>
        <v>400</v>
      </c>
      <c r="N10" s="16">
        <f t="shared" si="2"/>
        <v>312</v>
      </c>
      <c r="O10" s="43">
        <f t="shared" si="4"/>
        <v>88</v>
      </c>
      <c r="P10" s="21"/>
      <c r="Q10" s="23" t="s">
        <v>23</v>
      </c>
      <c r="R10" s="1">
        <v>0</v>
      </c>
      <c r="S10" s="1"/>
      <c r="T10" s="1"/>
      <c r="U10" s="1"/>
      <c r="V10" s="1"/>
    </row>
    <row r="11" spans="1:25" ht="18.75">
      <c r="A11" s="7">
        <v>1</v>
      </c>
      <c r="B11" s="7">
        <v>11</v>
      </c>
      <c r="C11" s="6"/>
      <c r="D11" s="29" t="s">
        <v>49</v>
      </c>
      <c r="E11" s="29"/>
      <c r="F11" s="8">
        <v>4</v>
      </c>
      <c r="G11" s="8">
        <v>0</v>
      </c>
      <c r="H11" s="10" t="s">
        <v>33</v>
      </c>
      <c r="I11" s="9">
        <f t="shared" si="3"/>
        <v>400</v>
      </c>
      <c r="J11" s="8">
        <v>0</v>
      </c>
      <c r="K11" s="8">
        <f t="shared" si="0"/>
        <v>400</v>
      </c>
      <c r="L11" s="44">
        <v>0</v>
      </c>
      <c r="M11" s="42">
        <f t="shared" si="1"/>
        <v>400</v>
      </c>
      <c r="N11" s="16">
        <f t="shared" si="2"/>
        <v>312</v>
      </c>
      <c r="O11" s="43">
        <f t="shared" si="4"/>
        <v>88</v>
      </c>
      <c r="P11" s="1"/>
      <c r="Q11" s="24"/>
    </row>
    <row r="12" spans="1:25" ht="18.75">
      <c r="A12" s="7">
        <v>1</v>
      </c>
      <c r="B12" s="7">
        <v>12</v>
      </c>
      <c r="C12" s="6"/>
      <c r="D12" s="29" t="s">
        <v>50</v>
      </c>
      <c r="E12" s="29"/>
      <c r="F12" s="8">
        <v>4</v>
      </c>
      <c r="G12" s="8">
        <v>0</v>
      </c>
      <c r="H12" s="11" t="s">
        <v>34</v>
      </c>
      <c r="I12" s="9">
        <f t="shared" si="3"/>
        <v>400</v>
      </c>
      <c r="J12" s="8">
        <v>0</v>
      </c>
      <c r="K12" s="8">
        <f t="shared" si="0"/>
        <v>400</v>
      </c>
      <c r="L12" s="44">
        <v>0</v>
      </c>
      <c r="M12" s="42">
        <f t="shared" si="1"/>
        <v>400</v>
      </c>
      <c r="N12" s="16">
        <f t="shared" si="2"/>
        <v>240</v>
      </c>
      <c r="O12" s="43">
        <f t="shared" si="4"/>
        <v>160</v>
      </c>
      <c r="P12" s="1"/>
      <c r="Q12" s="25" t="s">
        <v>24</v>
      </c>
      <c r="R12">
        <v>15000</v>
      </c>
    </row>
    <row r="13" spans="1:25" s="1" customFormat="1" ht="18.75">
      <c r="A13" s="7">
        <v>1</v>
      </c>
      <c r="B13" s="7">
        <v>13</v>
      </c>
      <c r="C13" s="6"/>
      <c r="D13" s="29" t="s">
        <v>51</v>
      </c>
      <c r="E13" s="29"/>
      <c r="F13" s="8">
        <v>4</v>
      </c>
      <c r="G13" s="8">
        <v>0</v>
      </c>
      <c r="H13" s="11" t="s">
        <v>34</v>
      </c>
      <c r="I13" s="9">
        <f t="shared" si="3"/>
        <v>400</v>
      </c>
      <c r="J13" s="8">
        <v>0</v>
      </c>
      <c r="K13" s="8">
        <f t="shared" si="0"/>
        <v>400</v>
      </c>
      <c r="L13" s="44">
        <v>0</v>
      </c>
      <c r="M13" s="42">
        <f t="shared" si="1"/>
        <v>400</v>
      </c>
      <c r="N13" s="16">
        <f t="shared" si="2"/>
        <v>240</v>
      </c>
      <c r="O13" s="43">
        <f t="shared" si="4"/>
        <v>160</v>
      </c>
      <c r="Q13" s="26" t="s">
        <v>25</v>
      </c>
      <c r="R13">
        <v>250</v>
      </c>
      <c r="S13"/>
      <c r="T13"/>
      <c r="U13"/>
      <c r="V13"/>
      <c r="W13"/>
      <c r="X13"/>
      <c r="Y13"/>
    </row>
    <row r="14" spans="1:25" s="1" customFormat="1" ht="18.75">
      <c r="A14" s="7">
        <v>1</v>
      </c>
      <c r="B14" s="7">
        <v>14</v>
      </c>
      <c r="C14" s="6"/>
      <c r="D14" s="29" t="s">
        <v>52</v>
      </c>
      <c r="E14" s="29"/>
      <c r="F14" s="8">
        <v>4</v>
      </c>
      <c r="G14" s="8">
        <v>0</v>
      </c>
      <c r="H14" s="11" t="s">
        <v>34</v>
      </c>
      <c r="I14" s="9">
        <f t="shared" si="3"/>
        <v>400</v>
      </c>
      <c r="J14" s="8">
        <v>0</v>
      </c>
      <c r="K14" s="8">
        <f t="shared" si="0"/>
        <v>400</v>
      </c>
      <c r="L14" s="44">
        <v>0</v>
      </c>
      <c r="M14" s="42">
        <f t="shared" si="1"/>
        <v>400</v>
      </c>
      <c r="N14" s="16">
        <f t="shared" si="2"/>
        <v>240</v>
      </c>
      <c r="O14" s="43">
        <f t="shared" si="4"/>
        <v>160</v>
      </c>
      <c r="Q14" s="24" t="s">
        <v>31</v>
      </c>
      <c r="R14">
        <v>1.2</v>
      </c>
      <c r="S14"/>
      <c r="T14"/>
      <c r="U14"/>
      <c r="V14"/>
      <c r="W14"/>
      <c r="X14"/>
      <c r="Y14"/>
    </row>
    <row r="15" spans="1:25" s="1" customFormat="1" ht="18.75">
      <c r="A15" s="7">
        <v>1</v>
      </c>
      <c r="B15" s="7">
        <v>17</v>
      </c>
      <c r="C15" s="6"/>
      <c r="D15" s="29" t="s">
        <v>55</v>
      </c>
      <c r="E15" s="29"/>
      <c r="F15" s="8">
        <v>4</v>
      </c>
      <c r="G15" s="8">
        <v>0</v>
      </c>
      <c r="H15" s="11" t="s">
        <v>34</v>
      </c>
      <c r="I15" s="9">
        <f t="shared" si="3"/>
        <v>400</v>
      </c>
      <c r="J15" s="8">
        <v>0</v>
      </c>
      <c r="K15" s="8">
        <f t="shared" si="0"/>
        <v>400</v>
      </c>
      <c r="L15" s="44">
        <v>0</v>
      </c>
      <c r="M15" s="42">
        <f t="shared" si="1"/>
        <v>400</v>
      </c>
      <c r="N15" s="16">
        <f t="shared" si="2"/>
        <v>240</v>
      </c>
      <c r="O15" s="43">
        <f t="shared" si="4"/>
        <v>160</v>
      </c>
      <c r="Q15" t="s">
        <v>26</v>
      </c>
      <c r="R15">
        <v>2025</v>
      </c>
      <c r="S15"/>
      <c r="T15"/>
      <c r="U15"/>
      <c r="V15"/>
      <c r="W15"/>
      <c r="X15"/>
      <c r="Y15"/>
    </row>
    <row r="16" spans="1:25" s="1" customFormat="1" ht="18.75">
      <c r="A16" s="7">
        <v>1</v>
      </c>
      <c r="B16" s="7">
        <v>20</v>
      </c>
      <c r="C16" s="6"/>
      <c r="D16" s="29" t="s">
        <v>58</v>
      </c>
      <c r="E16" s="32"/>
      <c r="F16" s="8">
        <v>4</v>
      </c>
      <c r="G16" s="8">
        <v>0</v>
      </c>
      <c r="H16" s="11" t="s">
        <v>34</v>
      </c>
      <c r="I16" s="9">
        <f t="shared" si="3"/>
        <v>400</v>
      </c>
      <c r="J16" s="8">
        <v>0</v>
      </c>
      <c r="K16" s="8">
        <f t="shared" si="0"/>
        <v>400</v>
      </c>
      <c r="L16" s="44">
        <v>0</v>
      </c>
      <c r="M16" s="42">
        <f t="shared" si="1"/>
        <v>400</v>
      </c>
      <c r="N16" s="16">
        <f t="shared" si="2"/>
        <v>240</v>
      </c>
      <c r="O16" s="43">
        <f t="shared" si="4"/>
        <v>160</v>
      </c>
      <c r="Q16" t="s">
        <v>27</v>
      </c>
      <c r="R16">
        <v>12</v>
      </c>
      <c r="S16"/>
      <c r="T16"/>
      <c r="U16"/>
      <c r="V16"/>
      <c r="W16"/>
      <c r="X16"/>
      <c r="Y16"/>
    </row>
    <row r="17" spans="1:26" s="1" customFormat="1" ht="18.75">
      <c r="A17" s="7">
        <v>1</v>
      </c>
      <c r="B17" s="7">
        <v>21</v>
      </c>
      <c r="C17" s="6"/>
      <c r="D17" s="29" t="s">
        <v>59</v>
      </c>
      <c r="F17" s="8">
        <v>4</v>
      </c>
      <c r="G17" s="8">
        <v>0</v>
      </c>
      <c r="H17" s="11" t="s">
        <v>34</v>
      </c>
      <c r="I17" s="9">
        <f t="shared" si="3"/>
        <v>400</v>
      </c>
      <c r="J17" s="8">
        <v>0</v>
      </c>
      <c r="K17" s="8">
        <f t="shared" si="0"/>
        <v>400</v>
      </c>
      <c r="L17" s="44">
        <v>0</v>
      </c>
      <c r="M17" s="42">
        <f t="shared" si="1"/>
        <v>400</v>
      </c>
      <c r="N17" s="16">
        <f t="shared" si="2"/>
        <v>240</v>
      </c>
      <c r="O17" s="43">
        <f t="shared" si="4"/>
        <v>160</v>
      </c>
      <c r="Q17" t="s">
        <v>28</v>
      </c>
      <c r="R17">
        <v>20</v>
      </c>
      <c r="S17"/>
      <c r="T17"/>
      <c r="U17"/>
      <c r="V17"/>
      <c r="W17"/>
      <c r="X17"/>
      <c r="Y17"/>
    </row>
    <row r="18" spans="1:26" s="1" customFormat="1" ht="18.75">
      <c r="A18" s="7">
        <v>1</v>
      </c>
      <c r="B18" s="7">
        <v>22</v>
      </c>
      <c r="C18" s="6"/>
      <c r="D18" s="29" t="s">
        <v>60</v>
      </c>
      <c r="E18" s="32"/>
      <c r="F18" s="8">
        <v>4</v>
      </c>
      <c r="G18" s="8">
        <v>0</v>
      </c>
      <c r="H18" s="11" t="s">
        <v>34</v>
      </c>
      <c r="I18" s="9">
        <f t="shared" si="3"/>
        <v>400</v>
      </c>
      <c r="J18" s="8">
        <v>0</v>
      </c>
      <c r="K18" s="8">
        <f t="shared" si="0"/>
        <v>400</v>
      </c>
      <c r="L18" s="44">
        <v>0</v>
      </c>
      <c r="M18" s="42">
        <f t="shared" si="1"/>
        <v>400</v>
      </c>
      <c r="N18" s="16">
        <f t="shared" si="2"/>
        <v>240</v>
      </c>
      <c r="O18" s="43">
        <f t="shared" si="4"/>
        <v>160</v>
      </c>
      <c r="Q18"/>
      <c r="R18"/>
      <c r="S18"/>
      <c r="T18"/>
      <c r="U18"/>
      <c r="V18"/>
      <c r="W18"/>
      <c r="X18"/>
      <c r="Y18"/>
    </row>
    <row r="19" spans="1:26" s="1" customFormat="1" ht="18.75">
      <c r="A19" s="7">
        <v>1</v>
      </c>
      <c r="B19" s="7">
        <v>23</v>
      </c>
      <c r="C19" s="6"/>
      <c r="D19" s="29" t="s">
        <v>61</v>
      </c>
      <c r="E19" s="32"/>
      <c r="F19" s="8">
        <v>4</v>
      </c>
      <c r="G19" s="8">
        <v>0</v>
      </c>
      <c r="H19" s="12" t="s">
        <v>35</v>
      </c>
      <c r="I19" s="9">
        <f t="shared" si="3"/>
        <v>400</v>
      </c>
      <c r="J19" s="8">
        <v>0</v>
      </c>
      <c r="K19" s="8">
        <f t="shared" si="0"/>
        <v>400</v>
      </c>
      <c r="L19" s="44">
        <v>0</v>
      </c>
      <c r="M19" s="42">
        <f t="shared" si="1"/>
        <v>400</v>
      </c>
      <c r="N19" s="16">
        <f t="shared" si="2"/>
        <v>175</v>
      </c>
      <c r="O19" s="43">
        <f t="shared" si="4"/>
        <v>225</v>
      </c>
      <c r="Q19"/>
      <c r="R19"/>
      <c r="S19"/>
      <c r="T19"/>
      <c r="U19"/>
      <c r="V19"/>
      <c r="W19"/>
      <c r="X19"/>
      <c r="Y19"/>
    </row>
    <row r="20" spans="1:26" s="1" customFormat="1" ht="18.75">
      <c r="A20" s="7">
        <v>1</v>
      </c>
      <c r="B20" s="7">
        <v>24</v>
      </c>
      <c r="C20" s="6"/>
      <c r="D20" s="29" t="s">
        <v>62</v>
      </c>
      <c r="E20" s="32"/>
      <c r="F20" s="8">
        <v>4</v>
      </c>
      <c r="G20" s="8">
        <v>0</v>
      </c>
      <c r="H20" s="12" t="s">
        <v>35</v>
      </c>
      <c r="I20" s="9">
        <f t="shared" si="3"/>
        <v>400</v>
      </c>
      <c r="J20" s="8">
        <v>0</v>
      </c>
      <c r="K20" s="8">
        <f t="shared" si="0"/>
        <v>400</v>
      </c>
      <c r="L20" s="44">
        <v>0</v>
      </c>
      <c r="M20" s="42">
        <f t="shared" si="1"/>
        <v>400</v>
      </c>
      <c r="N20" s="16">
        <f t="shared" si="2"/>
        <v>175</v>
      </c>
      <c r="O20" s="43">
        <f t="shared" si="4"/>
        <v>225</v>
      </c>
      <c r="Q20"/>
      <c r="R20"/>
      <c r="S20"/>
      <c r="T20"/>
      <c r="U20"/>
      <c r="V20"/>
      <c r="W20"/>
      <c r="X20"/>
      <c r="Y20"/>
    </row>
    <row r="21" spans="1:26" s="1" customFormat="1" ht="18.75">
      <c r="A21" s="7">
        <v>1</v>
      </c>
      <c r="B21" s="7">
        <v>26</v>
      </c>
      <c r="C21" s="6"/>
      <c r="D21" s="29" t="s">
        <v>64</v>
      </c>
      <c r="E21" s="32"/>
      <c r="F21" s="8">
        <v>4</v>
      </c>
      <c r="G21" s="8">
        <v>0</v>
      </c>
      <c r="H21" s="12" t="s">
        <v>35</v>
      </c>
      <c r="I21" s="9">
        <f t="shared" si="3"/>
        <v>400</v>
      </c>
      <c r="J21" s="8">
        <v>0</v>
      </c>
      <c r="K21" s="8">
        <f t="shared" si="0"/>
        <v>400</v>
      </c>
      <c r="L21" s="44">
        <v>0</v>
      </c>
      <c r="M21" s="42">
        <f t="shared" si="1"/>
        <v>400</v>
      </c>
      <c r="N21" s="16">
        <f t="shared" si="2"/>
        <v>175</v>
      </c>
      <c r="O21" s="43">
        <f t="shared" si="4"/>
        <v>225</v>
      </c>
      <c r="Q21"/>
      <c r="R21"/>
      <c r="S21"/>
      <c r="T21"/>
      <c r="U21"/>
      <c r="V21"/>
      <c r="W21"/>
      <c r="X21"/>
      <c r="Y21"/>
    </row>
    <row r="22" spans="1:26" s="1" customFormat="1" ht="18.75">
      <c r="A22" s="7">
        <v>1</v>
      </c>
      <c r="B22" s="7">
        <v>29</v>
      </c>
      <c r="C22" s="6"/>
      <c r="D22" s="29" t="s">
        <v>67</v>
      </c>
      <c r="E22" s="32"/>
      <c r="F22" s="8">
        <v>4</v>
      </c>
      <c r="G22" s="8">
        <v>0</v>
      </c>
      <c r="H22" s="12" t="s">
        <v>35</v>
      </c>
      <c r="I22" s="9">
        <f t="shared" si="3"/>
        <v>400</v>
      </c>
      <c r="J22" s="8">
        <v>0</v>
      </c>
      <c r="K22" s="8">
        <f t="shared" si="0"/>
        <v>400</v>
      </c>
      <c r="L22" s="44">
        <v>0</v>
      </c>
      <c r="M22" s="42">
        <f t="shared" si="1"/>
        <v>400</v>
      </c>
      <c r="N22" s="16">
        <f t="shared" si="2"/>
        <v>175</v>
      </c>
      <c r="O22" s="43">
        <f t="shared" si="4"/>
        <v>225</v>
      </c>
      <c r="Q22"/>
      <c r="R22"/>
      <c r="S22"/>
      <c r="T22"/>
      <c r="U22"/>
      <c r="V22"/>
      <c r="W22"/>
      <c r="X22"/>
      <c r="Y22"/>
    </row>
    <row r="23" spans="1:26" ht="18.75">
      <c r="A23" s="7">
        <v>1</v>
      </c>
      <c r="B23" s="7">
        <v>30</v>
      </c>
      <c r="C23" s="6"/>
      <c r="D23" s="29" t="s">
        <v>68</v>
      </c>
      <c r="E23" s="32"/>
      <c r="F23" s="8">
        <v>4</v>
      </c>
      <c r="G23" s="8">
        <v>0</v>
      </c>
      <c r="H23" s="12" t="s">
        <v>35</v>
      </c>
      <c r="I23" s="9">
        <f t="shared" si="3"/>
        <v>400</v>
      </c>
      <c r="J23" s="8">
        <v>0</v>
      </c>
      <c r="K23" s="8">
        <f t="shared" si="0"/>
        <v>400</v>
      </c>
      <c r="L23" s="44">
        <v>0</v>
      </c>
      <c r="M23" s="42">
        <f t="shared" si="1"/>
        <v>400</v>
      </c>
      <c r="N23" s="16">
        <f t="shared" si="2"/>
        <v>175</v>
      </c>
      <c r="O23" s="43">
        <f t="shared" si="4"/>
        <v>225</v>
      </c>
      <c r="P23" s="1"/>
    </row>
    <row r="24" spans="1:26" ht="18.75">
      <c r="A24" s="7">
        <v>1</v>
      </c>
      <c r="B24" s="7">
        <v>35</v>
      </c>
      <c r="C24" s="6"/>
      <c r="D24" s="29" t="s">
        <v>73</v>
      </c>
      <c r="E24" s="29"/>
      <c r="F24" s="8">
        <v>4</v>
      </c>
      <c r="G24" s="8">
        <v>0</v>
      </c>
      <c r="H24" s="12" t="s">
        <v>35</v>
      </c>
      <c r="I24" s="9">
        <f t="shared" si="3"/>
        <v>400</v>
      </c>
      <c r="J24" s="8">
        <v>0</v>
      </c>
      <c r="K24" s="8">
        <f t="shared" si="0"/>
        <v>400</v>
      </c>
      <c r="L24" s="44">
        <v>0</v>
      </c>
      <c r="M24" s="42">
        <f t="shared" si="1"/>
        <v>400</v>
      </c>
      <c r="N24" s="16">
        <f t="shared" si="2"/>
        <v>175</v>
      </c>
      <c r="O24" s="43">
        <f t="shared" si="4"/>
        <v>225</v>
      </c>
      <c r="P24" s="1"/>
    </row>
    <row r="25" spans="1:26" ht="18.75">
      <c r="A25" s="7">
        <v>1</v>
      </c>
      <c r="B25" s="7">
        <v>36</v>
      </c>
      <c r="C25" s="6"/>
      <c r="D25" s="29" t="s">
        <v>74</v>
      </c>
      <c r="E25" s="29"/>
      <c r="F25" s="8">
        <v>4</v>
      </c>
      <c r="G25" s="8">
        <v>0</v>
      </c>
      <c r="H25" s="12" t="s">
        <v>35</v>
      </c>
      <c r="I25" s="9">
        <f t="shared" si="3"/>
        <v>400</v>
      </c>
      <c r="J25" s="8">
        <v>0</v>
      </c>
      <c r="K25" s="8">
        <f t="shared" si="0"/>
        <v>400</v>
      </c>
      <c r="L25" s="44">
        <v>0</v>
      </c>
      <c r="M25" s="42">
        <f t="shared" si="1"/>
        <v>400</v>
      </c>
      <c r="N25" s="16">
        <f t="shared" si="2"/>
        <v>175</v>
      </c>
      <c r="O25" s="43">
        <f t="shared" si="4"/>
        <v>225</v>
      </c>
      <c r="P25" s="1"/>
    </row>
    <row r="26" spans="1:26" ht="18.75" customHeight="1">
      <c r="A26" s="7">
        <v>1</v>
      </c>
      <c r="B26" s="7">
        <v>37</v>
      </c>
      <c r="C26" s="6"/>
      <c r="D26" s="29" t="s">
        <v>75</v>
      </c>
      <c r="F26" s="8">
        <v>4</v>
      </c>
      <c r="G26" s="8">
        <v>0</v>
      </c>
      <c r="H26" s="12" t="s">
        <v>35</v>
      </c>
      <c r="I26" s="9">
        <f t="shared" si="3"/>
        <v>400</v>
      </c>
      <c r="J26" s="8">
        <v>0</v>
      </c>
      <c r="K26" s="8">
        <f t="shared" si="0"/>
        <v>400</v>
      </c>
      <c r="L26" s="44">
        <v>0</v>
      </c>
      <c r="M26" s="42">
        <f t="shared" si="1"/>
        <v>400</v>
      </c>
      <c r="N26" s="16">
        <f t="shared" si="2"/>
        <v>175</v>
      </c>
      <c r="O26" s="43">
        <f t="shared" si="4"/>
        <v>225</v>
      </c>
      <c r="P26" s="1"/>
    </row>
    <row r="27" spans="1:26" ht="18.75">
      <c r="A27" s="7">
        <v>1</v>
      </c>
      <c r="B27" s="7">
        <v>39</v>
      </c>
      <c r="C27" s="6"/>
      <c r="D27" s="29" t="s">
        <v>77</v>
      </c>
      <c r="E27" s="29"/>
      <c r="F27" s="8">
        <v>4</v>
      </c>
      <c r="G27" s="8">
        <v>0</v>
      </c>
      <c r="H27" s="12" t="s">
        <v>35</v>
      </c>
      <c r="I27" s="9">
        <f t="shared" si="3"/>
        <v>400</v>
      </c>
      <c r="J27" s="8">
        <v>0</v>
      </c>
      <c r="K27" s="8">
        <f t="shared" si="0"/>
        <v>400</v>
      </c>
      <c r="L27" s="44">
        <v>0</v>
      </c>
      <c r="M27" s="42">
        <f t="shared" si="1"/>
        <v>400</v>
      </c>
      <c r="N27" s="16">
        <f t="shared" si="2"/>
        <v>175</v>
      </c>
      <c r="O27" s="43">
        <f t="shared" si="4"/>
        <v>225</v>
      </c>
      <c r="P27" s="1"/>
    </row>
    <row r="28" spans="1:26" ht="18.75">
      <c r="A28" s="7">
        <v>1</v>
      </c>
      <c r="B28" s="7">
        <v>42</v>
      </c>
      <c r="C28" s="6"/>
      <c r="D28" s="29" t="s">
        <v>80</v>
      </c>
      <c r="E28" s="32"/>
      <c r="F28" s="8">
        <v>4</v>
      </c>
      <c r="G28" s="8">
        <v>0</v>
      </c>
      <c r="H28" s="12" t="s">
        <v>35</v>
      </c>
      <c r="I28" s="9">
        <f t="shared" si="3"/>
        <v>400</v>
      </c>
      <c r="J28" s="8">
        <v>0</v>
      </c>
      <c r="K28" s="8">
        <f t="shared" si="0"/>
        <v>400</v>
      </c>
      <c r="L28" s="44">
        <v>0</v>
      </c>
      <c r="M28" s="42">
        <f t="shared" si="1"/>
        <v>400</v>
      </c>
      <c r="N28" s="16">
        <f t="shared" si="2"/>
        <v>175</v>
      </c>
      <c r="O28" s="43">
        <f t="shared" si="4"/>
        <v>225</v>
      </c>
      <c r="P28" s="1"/>
    </row>
    <row r="29" spans="1:26" s="1" customFormat="1" ht="18.75">
      <c r="A29" s="7">
        <v>1</v>
      </c>
      <c r="B29" s="7">
        <v>44</v>
      </c>
      <c r="C29" s="6"/>
      <c r="D29" s="29" t="s">
        <v>82</v>
      </c>
      <c r="E29" s="29"/>
      <c r="F29" s="8">
        <v>4</v>
      </c>
      <c r="G29" s="8">
        <v>0</v>
      </c>
      <c r="H29" s="12" t="s">
        <v>35</v>
      </c>
      <c r="I29" s="9">
        <f t="shared" si="3"/>
        <v>400</v>
      </c>
      <c r="J29" s="8">
        <v>0</v>
      </c>
      <c r="K29" s="8">
        <f t="shared" si="0"/>
        <v>400</v>
      </c>
      <c r="L29" s="44">
        <v>0</v>
      </c>
      <c r="M29" s="42">
        <f t="shared" si="1"/>
        <v>400</v>
      </c>
      <c r="N29" s="16">
        <f t="shared" si="2"/>
        <v>175</v>
      </c>
      <c r="O29" s="43">
        <f t="shared" si="4"/>
        <v>225</v>
      </c>
      <c r="Q29"/>
      <c r="R29"/>
      <c r="S29"/>
      <c r="T29"/>
      <c r="U29"/>
      <c r="V29"/>
      <c r="W29"/>
      <c r="X29"/>
      <c r="Y29"/>
      <c r="Z29" s="23"/>
    </row>
    <row r="30" spans="1:26" s="1" customFormat="1" ht="18.75">
      <c r="A30" s="7">
        <v>1</v>
      </c>
      <c r="B30" s="7">
        <v>45</v>
      </c>
      <c r="C30" s="6"/>
      <c r="D30" s="29" t="s">
        <v>83</v>
      </c>
      <c r="E30" s="29"/>
      <c r="F30" s="8">
        <v>4</v>
      </c>
      <c r="G30" s="8">
        <v>0</v>
      </c>
      <c r="H30" s="12" t="s">
        <v>35</v>
      </c>
      <c r="I30" s="9">
        <f t="shared" si="3"/>
        <v>400</v>
      </c>
      <c r="J30" s="8">
        <v>0</v>
      </c>
      <c r="K30" s="8">
        <f t="shared" si="0"/>
        <v>400</v>
      </c>
      <c r="L30" s="44">
        <v>0</v>
      </c>
      <c r="M30" s="42">
        <f t="shared" si="1"/>
        <v>400</v>
      </c>
      <c r="N30" s="16">
        <f t="shared" si="2"/>
        <v>175</v>
      </c>
      <c r="O30" s="43">
        <f t="shared" si="4"/>
        <v>225</v>
      </c>
      <c r="Q30"/>
      <c r="R30"/>
      <c r="S30"/>
      <c r="T30"/>
      <c r="U30"/>
      <c r="V30"/>
      <c r="W30"/>
      <c r="X30"/>
      <c r="Y30"/>
      <c r="Z30" s="23"/>
    </row>
    <row r="31" spans="1:26" s="1" customFormat="1" ht="18.75">
      <c r="A31" s="7">
        <v>1</v>
      </c>
      <c r="B31" s="7">
        <v>47</v>
      </c>
      <c r="C31" s="6"/>
      <c r="D31" s="29" t="s">
        <v>85</v>
      </c>
      <c r="E31" s="29"/>
      <c r="F31" s="8">
        <v>4</v>
      </c>
      <c r="G31" s="8">
        <v>0</v>
      </c>
      <c r="H31" s="12" t="s">
        <v>35</v>
      </c>
      <c r="I31" s="9">
        <f t="shared" si="3"/>
        <v>400</v>
      </c>
      <c r="J31" s="8">
        <v>0</v>
      </c>
      <c r="K31" s="8">
        <f t="shared" si="0"/>
        <v>400</v>
      </c>
      <c r="L31" s="44">
        <v>0</v>
      </c>
      <c r="M31" s="42">
        <f t="shared" si="1"/>
        <v>400</v>
      </c>
      <c r="N31" s="16">
        <f t="shared" si="2"/>
        <v>175</v>
      </c>
      <c r="O31" s="43">
        <f t="shared" si="4"/>
        <v>225</v>
      </c>
      <c r="Q31"/>
      <c r="R31"/>
      <c r="S31"/>
      <c r="T31"/>
      <c r="U31"/>
      <c r="V31"/>
      <c r="W31"/>
      <c r="X31"/>
      <c r="Y31"/>
      <c r="Z31" s="23"/>
    </row>
    <row r="32" spans="1:26" s="1" customFormat="1" ht="18.75">
      <c r="A32" s="7">
        <v>1</v>
      </c>
      <c r="B32" s="7">
        <v>7</v>
      </c>
      <c r="C32" s="6"/>
      <c r="D32" s="29" t="s">
        <v>45</v>
      </c>
      <c r="E32" s="29"/>
      <c r="F32" s="8">
        <v>4</v>
      </c>
      <c r="G32" s="8">
        <v>0</v>
      </c>
      <c r="H32" s="12" t="s">
        <v>35</v>
      </c>
      <c r="I32" s="9">
        <f t="shared" si="3"/>
        <v>400</v>
      </c>
      <c r="J32" s="8">
        <v>0</v>
      </c>
      <c r="K32" s="8">
        <f t="shared" si="0"/>
        <v>400</v>
      </c>
      <c r="L32" s="44">
        <v>0</v>
      </c>
      <c r="M32" s="42">
        <f t="shared" si="1"/>
        <v>400</v>
      </c>
      <c r="N32" s="16">
        <f t="shared" si="2"/>
        <v>175</v>
      </c>
      <c r="O32" s="43">
        <f t="shared" si="4"/>
        <v>225</v>
      </c>
      <c r="P32" s="22"/>
      <c r="Q32"/>
      <c r="R32"/>
      <c r="S32"/>
      <c r="T32"/>
      <c r="U32"/>
      <c r="V32"/>
      <c r="W32"/>
      <c r="X32"/>
      <c r="Y32"/>
      <c r="Z32" s="23"/>
    </row>
    <row r="33" spans="1:26" s="1" customFormat="1" ht="18.75">
      <c r="A33" s="7">
        <v>1</v>
      </c>
      <c r="B33" s="7">
        <v>9</v>
      </c>
      <c r="C33" s="6"/>
      <c r="D33" s="29" t="s">
        <v>47</v>
      </c>
      <c r="E33" s="33"/>
      <c r="F33" s="8">
        <v>4</v>
      </c>
      <c r="G33" s="8">
        <v>0</v>
      </c>
      <c r="H33" s="12" t="s">
        <v>35</v>
      </c>
      <c r="I33" s="9">
        <f t="shared" si="3"/>
        <v>400</v>
      </c>
      <c r="J33" s="8">
        <v>0</v>
      </c>
      <c r="K33" s="8">
        <f t="shared" si="0"/>
        <v>400</v>
      </c>
      <c r="L33" s="44">
        <v>0</v>
      </c>
      <c r="M33" s="42">
        <f t="shared" si="1"/>
        <v>400</v>
      </c>
      <c r="N33" s="16">
        <f t="shared" si="2"/>
        <v>175</v>
      </c>
      <c r="O33" s="43">
        <f t="shared" si="4"/>
        <v>225</v>
      </c>
      <c r="P33" s="21"/>
      <c r="Q33"/>
      <c r="R33"/>
      <c r="S33"/>
      <c r="T33"/>
      <c r="U33"/>
      <c r="V33"/>
      <c r="W33"/>
      <c r="X33"/>
      <c r="Y33"/>
      <c r="Z33" s="23"/>
    </row>
    <row r="34" spans="1:26" s="1" customFormat="1" ht="18.75">
      <c r="A34" s="7">
        <v>1</v>
      </c>
      <c r="B34" s="7">
        <v>18</v>
      </c>
      <c r="C34" s="6"/>
      <c r="D34" s="29" t="s">
        <v>56</v>
      </c>
      <c r="E34" s="29"/>
      <c r="F34" s="8">
        <v>4</v>
      </c>
      <c r="G34" s="8">
        <v>0</v>
      </c>
      <c r="H34" s="12" t="s">
        <v>35</v>
      </c>
      <c r="I34" s="9">
        <f t="shared" si="3"/>
        <v>400</v>
      </c>
      <c r="J34" s="8">
        <v>0</v>
      </c>
      <c r="K34" s="8">
        <f t="shared" si="0"/>
        <v>400</v>
      </c>
      <c r="L34" s="44">
        <v>0</v>
      </c>
      <c r="M34" s="42">
        <f t="shared" si="1"/>
        <v>400</v>
      </c>
      <c r="N34" s="16">
        <f t="shared" si="2"/>
        <v>175</v>
      </c>
      <c r="O34" s="43">
        <f t="shared" si="4"/>
        <v>225</v>
      </c>
      <c r="Q34"/>
      <c r="R34"/>
      <c r="S34"/>
      <c r="T34"/>
      <c r="U34"/>
      <c r="V34"/>
      <c r="W34"/>
      <c r="X34"/>
      <c r="Y34"/>
      <c r="Z34" s="23"/>
    </row>
    <row r="35" spans="1:26" s="1" customFormat="1" ht="18.75">
      <c r="A35" s="7">
        <v>1</v>
      </c>
      <c r="B35" s="7">
        <v>28</v>
      </c>
      <c r="C35" s="6"/>
      <c r="D35" s="29" t="s">
        <v>66</v>
      </c>
      <c r="E35" s="32"/>
      <c r="F35" s="8">
        <v>4</v>
      </c>
      <c r="G35" s="8">
        <v>0</v>
      </c>
      <c r="H35" s="12" t="s">
        <v>35</v>
      </c>
      <c r="I35" s="9">
        <f t="shared" si="3"/>
        <v>400</v>
      </c>
      <c r="J35" s="8">
        <v>0</v>
      </c>
      <c r="K35" s="8">
        <f t="shared" si="0"/>
        <v>400</v>
      </c>
      <c r="L35" s="44">
        <v>0</v>
      </c>
      <c r="M35" s="42">
        <f t="shared" si="1"/>
        <v>400</v>
      </c>
      <c r="N35" s="16">
        <f t="shared" si="2"/>
        <v>175</v>
      </c>
      <c r="O35" s="43">
        <f t="shared" si="4"/>
        <v>225</v>
      </c>
      <c r="Q35"/>
      <c r="R35"/>
      <c r="S35"/>
      <c r="T35"/>
      <c r="U35"/>
      <c r="V35"/>
      <c r="W35"/>
      <c r="X35"/>
      <c r="Y35"/>
      <c r="Z35" s="23"/>
    </row>
    <row r="36" spans="1:26" s="1" customFormat="1" ht="18.75">
      <c r="A36" s="7">
        <v>1</v>
      </c>
      <c r="B36" s="7">
        <v>33</v>
      </c>
      <c r="C36" s="6"/>
      <c r="D36" s="29" t="s">
        <v>71</v>
      </c>
      <c r="E36" s="29"/>
      <c r="F36" s="8">
        <v>4</v>
      </c>
      <c r="G36" s="8">
        <v>0</v>
      </c>
      <c r="H36" s="12" t="s">
        <v>35</v>
      </c>
      <c r="I36" s="9">
        <f t="shared" si="3"/>
        <v>400</v>
      </c>
      <c r="J36" s="8">
        <v>0</v>
      </c>
      <c r="K36" s="8">
        <f t="shared" si="0"/>
        <v>400</v>
      </c>
      <c r="L36" s="44">
        <v>0</v>
      </c>
      <c r="M36" s="42">
        <f t="shared" si="1"/>
        <v>400</v>
      </c>
      <c r="N36" s="16">
        <f t="shared" si="2"/>
        <v>175</v>
      </c>
      <c r="O36" s="43">
        <f t="shared" si="4"/>
        <v>225</v>
      </c>
      <c r="Q36"/>
      <c r="R36"/>
      <c r="S36"/>
      <c r="T36"/>
      <c r="U36"/>
      <c r="V36"/>
      <c r="W36"/>
      <c r="X36"/>
      <c r="Y36"/>
      <c r="Z36" s="23"/>
    </row>
    <row r="37" spans="1:26" ht="18.75">
      <c r="A37" s="7">
        <v>1</v>
      </c>
      <c r="B37" s="7">
        <v>38</v>
      </c>
      <c r="C37" s="6"/>
      <c r="D37" s="29" t="s">
        <v>76</v>
      </c>
      <c r="E37" s="29"/>
      <c r="F37" s="8">
        <v>4</v>
      </c>
      <c r="G37" s="8">
        <v>0</v>
      </c>
      <c r="H37" s="12" t="s">
        <v>35</v>
      </c>
      <c r="I37" s="9">
        <f t="shared" si="3"/>
        <v>400</v>
      </c>
      <c r="J37" s="8">
        <v>0</v>
      </c>
      <c r="K37" s="8">
        <f t="shared" ref="K37:K68" si="5">SUM(I37+J37)</f>
        <v>400</v>
      </c>
      <c r="L37" s="44">
        <v>0</v>
      </c>
      <c r="M37" s="42">
        <f t="shared" ref="M37:M68" si="6">L37+K37</f>
        <v>400</v>
      </c>
      <c r="N37" s="16">
        <f t="shared" ref="N37:N68" si="7">VLOOKUP(H37,$Q$3:$R$10,2,FALSE)</f>
        <v>175</v>
      </c>
      <c r="O37" s="43">
        <f t="shared" si="4"/>
        <v>225</v>
      </c>
      <c r="P37" s="1"/>
    </row>
    <row r="38" spans="1:26" s="1" customFormat="1" ht="18.75">
      <c r="A38" s="7">
        <v>1</v>
      </c>
      <c r="B38" s="7">
        <v>40</v>
      </c>
      <c r="C38" s="6"/>
      <c r="D38" s="30" t="s">
        <v>78</v>
      </c>
      <c r="F38" s="8">
        <v>4</v>
      </c>
      <c r="G38" s="8">
        <v>0</v>
      </c>
      <c r="H38" s="12" t="s">
        <v>35</v>
      </c>
      <c r="I38" s="9">
        <f t="shared" si="3"/>
        <v>400</v>
      </c>
      <c r="J38" s="8">
        <v>0</v>
      </c>
      <c r="K38" s="8">
        <f t="shared" si="5"/>
        <v>400</v>
      </c>
      <c r="L38" s="44">
        <v>0</v>
      </c>
      <c r="M38" s="42">
        <f t="shared" si="6"/>
        <v>400</v>
      </c>
      <c r="N38" s="16">
        <f t="shared" si="7"/>
        <v>175</v>
      </c>
      <c r="O38" s="43">
        <f t="shared" si="4"/>
        <v>225</v>
      </c>
      <c r="Q38"/>
      <c r="R38"/>
      <c r="S38"/>
      <c r="T38"/>
      <c r="U38"/>
      <c r="V38"/>
      <c r="W38"/>
      <c r="X38"/>
      <c r="Y38"/>
      <c r="Z38" s="23"/>
    </row>
    <row r="39" spans="1:26" s="2" customFormat="1" ht="18.75">
      <c r="A39" s="7">
        <v>1</v>
      </c>
      <c r="B39" s="7">
        <v>41</v>
      </c>
      <c r="C39" s="6"/>
      <c r="D39" s="29" t="s">
        <v>79</v>
      </c>
      <c r="E39" s="32"/>
      <c r="F39" s="8">
        <v>4</v>
      </c>
      <c r="G39" s="8">
        <v>0</v>
      </c>
      <c r="H39" s="12" t="s">
        <v>35</v>
      </c>
      <c r="I39" s="9">
        <f t="shared" si="3"/>
        <v>400</v>
      </c>
      <c r="J39" s="8">
        <v>0</v>
      </c>
      <c r="K39" s="8">
        <f t="shared" si="5"/>
        <v>400</v>
      </c>
      <c r="L39" s="44">
        <v>0</v>
      </c>
      <c r="M39" s="42">
        <f t="shared" si="6"/>
        <v>400</v>
      </c>
      <c r="N39" s="16">
        <f t="shared" si="7"/>
        <v>175</v>
      </c>
      <c r="O39" s="43">
        <f t="shared" si="4"/>
        <v>225</v>
      </c>
      <c r="P39" s="1"/>
    </row>
    <row r="40" spans="1:26" ht="18.75">
      <c r="A40" s="7">
        <v>1</v>
      </c>
      <c r="B40" s="7">
        <v>46</v>
      </c>
      <c r="C40" s="6"/>
      <c r="D40" s="29" t="s">
        <v>84</v>
      </c>
      <c r="E40" s="29"/>
      <c r="F40" s="8">
        <v>4</v>
      </c>
      <c r="G40" s="8">
        <v>0</v>
      </c>
      <c r="H40" s="12" t="s">
        <v>35</v>
      </c>
      <c r="I40" s="9">
        <f t="shared" si="3"/>
        <v>400</v>
      </c>
      <c r="J40" s="8">
        <v>0</v>
      </c>
      <c r="K40" s="8">
        <f t="shared" si="5"/>
        <v>400</v>
      </c>
      <c r="L40" s="44">
        <v>0</v>
      </c>
      <c r="M40" s="42">
        <f t="shared" si="6"/>
        <v>400</v>
      </c>
      <c r="N40" s="16">
        <f t="shared" si="7"/>
        <v>175</v>
      </c>
      <c r="O40" s="43">
        <f t="shared" si="4"/>
        <v>225</v>
      </c>
      <c r="P40" s="1"/>
    </row>
    <row r="41" spans="1:26" ht="18.75">
      <c r="A41" s="7">
        <v>1</v>
      </c>
      <c r="B41" s="7">
        <v>49</v>
      </c>
      <c r="C41" s="6"/>
      <c r="D41" s="29" t="s">
        <v>87</v>
      </c>
      <c r="E41" s="29"/>
      <c r="F41" s="8">
        <v>4</v>
      </c>
      <c r="G41" s="8">
        <v>0</v>
      </c>
      <c r="H41" s="12" t="s">
        <v>35</v>
      </c>
      <c r="I41" s="9">
        <f t="shared" si="3"/>
        <v>400</v>
      </c>
      <c r="J41" s="8">
        <v>0</v>
      </c>
      <c r="K41" s="8">
        <f t="shared" si="5"/>
        <v>400</v>
      </c>
      <c r="L41" s="44">
        <v>0</v>
      </c>
      <c r="M41" s="42">
        <f t="shared" si="6"/>
        <v>400</v>
      </c>
      <c r="N41" s="16">
        <f t="shared" si="7"/>
        <v>175</v>
      </c>
      <c r="O41" s="43">
        <f t="shared" si="4"/>
        <v>225</v>
      </c>
      <c r="P41" s="1"/>
    </row>
    <row r="42" spans="1:26" ht="18.75">
      <c r="A42" s="7">
        <v>1</v>
      </c>
      <c r="B42" s="7">
        <v>52</v>
      </c>
      <c r="C42" s="6"/>
      <c r="D42" s="29" t="s">
        <v>90</v>
      </c>
      <c r="F42" s="8">
        <v>4</v>
      </c>
      <c r="G42" s="8">
        <v>0</v>
      </c>
      <c r="H42" s="12" t="s">
        <v>35</v>
      </c>
      <c r="I42" s="9">
        <f t="shared" si="3"/>
        <v>400</v>
      </c>
      <c r="J42" s="8">
        <v>0</v>
      </c>
      <c r="K42" s="8">
        <f t="shared" si="5"/>
        <v>400</v>
      </c>
      <c r="L42" s="44">
        <v>0</v>
      </c>
      <c r="M42" s="42">
        <f t="shared" si="6"/>
        <v>400</v>
      </c>
      <c r="N42" s="16">
        <f t="shared" si="7"/>
        <v>175</v>
      </c>
      <c r="O42" s="43">
        <f t="shared" si="4"/>
        <v>225</v>
      </c>
      <c r="P42" s="1"/>
    </row>
    <row r="43" spans="1:26" ht="18.75">
      <c r="A43" s="7">
        <v>1</v>
      </c>
      <c r="B43" s="7">
        <v>53</v>
      </c>
      <c r="C43" s="6"/>
      <c r="D43" s="29" t="s">
        <v>91</v>
      </c>
      <c r="E43" s="29"/>
      <c r="F43" s="8">
        <v>4</v>
      </c>
      <c r="G43" s="8">
        <v>0</v>
      </c>
      <c r="H43" s="12" t="s">
        <v>35</v>
      </c>
      <c r="I43" s="9">
        <f t="shared" si="3"/>
        <v>400</v>
      </c>
      <c r="J43" s="8">
        <v>0</v>
      </c>
      <c r="K43" s="8">
        <f t="shared" si="5"/>
        <v>400</v>
      </c>
      <c r="L43" s="44">
        <v>0</v>
      </c>
      <c r="M43" s="42">
        <f t="shared" si="6"/>
        <v>400</v>
      </c>
      <c r="N43" s="16">
        <f t="shared" si="7"/>
        <v>175</v>
      </c>
      <c r="O43" s="43">
        <f t="shared" si="4"/>
        <v>225</v>
      </c>
      <c r="P43" s="1"/>
    </row>
    <row r="44" spans="1:26" ht="18.75">
      <c r="A44" s="7">
        <v>1</v>
      </c>
      <c r="B44" s="7">
        <v>55</v>
      </c>
      <c r="C44" s="6"/>
      <c r="D44" s="29" t="s">
        <v>93</v>
      </c>
      <c r="F44" s="8">
        <v>4</v>
      </c>
      <c r="G44" s="8">
        <v>0</v>
      </c>
      <c r="H44" s="12" t="s">
        <v>35</v>
      </c>
      <c r="I44" s="9">
        <f t="shared" si="3"/>
        <v>400</v>
      </c>
      <c r="J44" s="8">
        <v>0</v>
      </c>
      <c r="K44" s="8">
        <f t="shared" si="5"/>
        <v>400</v>
      </c>
      <c r="L44" s="44">
        <v>0</v>
      </c>
      <c r="M44" s="42">
        <f t="shared" si="6"/>
        <v>400</v>
      </c>
      <c r="N44" s="16">
        <f t="shared" si="7"/>
        <v>175</v>
      </c>
      <c r="O44" s="43">
        <f t="shared" si="4"/>
        <v>225</v>
      </c>
      <c r="P44" s="1"/>
    </row>
    <row r="45" spans="1:26" ht="18.75">
      <c r="A45" s="7">
        <v>1</v>
      </c>
      <c r="B45" s="7">
        <v>58</v>
      </c>
      <c r="C45" s="6"/>
      <c r="D45" s="29" t="s">
        <v>96</v>
      </c>
      <c r="F45" s="8">
        <v>4</v>
      </c>
      <c r="G45" s="8">
        <v>0</v>
      </c>
      <c r="H45" s="12" t="s">
        <v>35</v>
      </c>
      <c r="I45" s="9">
        <f t="shared" si="3"/>
        <v>400</v>
      </c>
      <c r="J45" s="8">
        <v>0</v>
      </c>
      <c r="K45" s="8">
        <f t="shared" si="5"/>
        <v>400</v>
      </c>
      <c r="L45" s="44">
        <v>0</v>
      </c>
      <c r="M45" s="42">
        <f t="shared" si="6"/>
        <v>400</v>
      </c>
      <c r="N45" s="16">
        <f t="shared" si="7"/>
        <v>175</v>
      </c>
      <c r="O45" s="43">
        <f t="shared" si="4"/>
        <v>225</v>
      </c>
      <c r="P45" s="1"/>
    </row>
    <row r="46" spans="1:26" ht="18.75">
      <c r="A46" s="7">
        <v>1</v>
      </c>
      <c r="B46" s="7">
        <v>61</v>
      </c>
      <c r="C46" s="6"/>
      <c r="D46" s="29" t="s">
        <v>99</v>
      </c>
      <c r="E46" s="29"/>
      <c r="F46" s="8">
        <v>4</v>
      </c>
      <c r="G46" s="8">
        <v>0</v>
      </c>
      <c r="H46" s="12" t="s">
        <v>35</v>
      </c>
      <c r="I46" s="9">
        <f t="shared" si="3"/>
        <v>400</v>
      </c>
      <c r="J46" s="8">
        <v>0</v>
      </c>
      <c r="K46" s="8">
        <f t="shared" si="5"/>
        <v>400</v>
      </c>
      <c r="L46" s="44">
        <v>0</v>
      </c>
      <c r="M46" s="42">
        <f t="shared" si="6"/>
        <v>400</v>
      </c>
      <c r="N46" s="16">
        <f t="shared" si="7"/>
        <v>175</v>
      </c>
      <c r="O46" s="43">
        <f t="shared" si="4"/>
        <v>225</v>
      </c>
      <c r="P46" s="1"/>
    </row>
    <row r="47" spans="1:26" ht="18.75">
      <c r="A47" s="7">
        <v>1</v>
      </c>
      <c r="B47" s="7">
        <v>62</v>
      </c>
      <c r="C47" s="6"/>
      <c r="D47" s="29" t="s">
        <v>100</v>
      </c>
      <c r="E47" s="29"/>
      <c r="F47" s="8">
        <v>4</v>
      </c>
      <c r="G47" s="8">
        <v>0</v>
      </c>
      <c r="H47" s="12" t="s">
        <v>35</v>
      </c>
      <c r="I47" s="9">
        <f t="shared" si="3"/>
        <v>400</v>
      </c>
      <c r="J47" s="8">
        <v>0</v>
      </c>
      <c r="K47" s="8">
        <f t="shared" si="5"/>
        <v>400</v>
      </c>
      <c r="L47" s="44">
        <v>0</v>
      </c>
      <c r="M47" s="42">
        <f t="shared" si="6"/>
        <v>400</v>
      </c>
      <c r="N47" s="16">
        <f t="shared" si="7"/>
        <v>175</v>
      </c>
      <c r="O47" s="43">
        <f t="shared" si="4"/>
        <v>225</v>
      </c>
      <c r="P47" s="1"/>
    </row>
    <row r="48" spans="1:26" ht="18.75">
      <c r="A48" s="7">
        <v>1</v>
      </c>
      <c r="B48" s="7">
        <v>64</v>
      </c>
      <c r="C48" s="6"/>
      <c r="D48" s="29" t="s">
        <v>102</v>
      </c>
      <c r="E48" s="29"/>
      <c r="F48" s="8">
        <v>4</v>
      </c>
      <c r="G48" s="8">
        <v>0</v>
      </c>
      <c r="H48" s="12" t="s">
        <v>35</v>
      </c>
      <c r="I48" s="9">
        <f t="shared" si="3"/>
        <v>400</v>
      </c>
      <c r="J48" s="8">
        <v>0</v>
      </c>
      <c r="K48" s="8">
        <f t="shared" si="5"/>
        <v>400</v>
      </c>
      <c r="L48" s="44">
        <v>0</v>
      </c>
      <c r="M48" s="42">
        <f t="shared" si="6"/>
        <v>400</v>
      </c>
      <c r="N48" s="16">
        <f t="shared" si="7"/>
        <v>175</v>
      </c>
      <c r="O48" s="43">
        <f t="shared" si="4"/>
        <v>225</v>
      </c>
    </row>
    <row r="49" spans="1:16" ht="18.75">
      <c r="A49" s="7">
        <v>1</v>
      </c>
      <c r="B49" s="7">
        <v>54</v>
      </c>
      <c r="C49" s="6"/>
      <c r="D49" s="29" t="s">
        <v>92</v>
      </c>
      <c r="F49" s="8">
        <v>3</v>
      </c>
      <c r="G49" s="8">
        <v>0</v>
      </c>
      <c r="H49" s="12" t="s">
        <v>35</v>
      </c>
      <c r="I49" s="9">
        <f t="shared" si="3"/>
        <v>300</v>
      </c>
      <c r="J49" s="8">
        <v>0</v>
      </c>
      <c r="K49" s="8">
        <f t="shared" si="5"/>
        <v>300</v>
      </c>
      <c r="L49" s="44">
        <v>0</v>
      </c>
      <c r="M49" s="42">
        <f t="shared" si="6"/>
        <v>300</v>
      </c>
      <c r="N49" s="16">
        <f t="shared" si="7"/>
        <v>175</v>
      </c>
      <c r="O49" s="43">
        <f t="shared" si="4"/>
        <v>125</v>
      </c>
    </row>
    <row r="50" spans="1:16" ht="18.75">
      <c r="A50" s="7">
        <v>1</v>
      </c>
      <c r="B50" s="7">
        <v>4</v>
      </c>
      <c r="C50" s="6"/>
      <c r="D50" s="29" t="s">
        <v>42</v>
      </c>
      <c r="E50" s="29"/>
      <c r="F50" s="8">
        <v>3</v>
      </c>
      <c r="G50" s="8">
        <v>0</v>
      </c>
      <c r="H50" s="12" t="s">
        <v>35</v>
      </c>
      <c r="I50" s="9">
        <f t="shared" si="3"/>
        <v>300</v>
      </c>
      <c r="J50" s="8">
        <v>0</v>
      </c>
      <c r="K50" s="8">
        <f t="shared" si="5"/>
        <v>300</v>
      </c>
      <c r="L50" s="44">
        <v>0</v>
      </c>
      <c r="M50" s="42">
        <f t="shared" si="6"/>
        <v>300</v>
      </c>
      <c r="N50" s="16">
        <f t="shared" si="7"/>
        <v>175</v>
      </c>
      <c r="O50" s="43">
        <f t="shared" si="4"/>
        <v>125</v>
      </c>
      <c r="P50" s="28"/>
    </row>
    <row r="51" spans="1:16" ht="18.75">
      <c r="A51" s="7">
        <v>1</v>
      </c>
      <c r="B51" s="7">
        <v>15</v>
      </c>
      <c r="C51" s="6"/>
      <c r="D51" s="29" t="s">
        <v>53</v>
      </c>
      <c r="E51" s="29"/>
      <c r="F51" s="8">
        <v>3</v>
      </c>
      <c r="G51" s="8">
        <v>0</v>
      </c>
      <c r="H51" s="12" t="s">
        <v>35</v>
      </c>
      <c r="I51" s="9">
        <f t="shared" si="3"/>
        <v>300</v>
      </c>
      <c r="J51" s="8">
        <v>0</v>
      </c>
      <c r="K51" s="8">
        <f t="shared" si="5"/>
        <v>300</v>
      </c>
      <c r="L51" s="44">
        <v>0</v>
      </c>
      <c r="M51" s="42">
        <f t="shared" si="6"/>
        <v>300</v>
      </c>
      <c r="N51" s="16">
        <f t="shared" si="7"/>
        <v>175</v>
      </c>
      <c r="O51" s="43">
        <f t="shared" si="4"/>
        <v>125</v>
      </c>
    </row>
    <row r="52" spans="1:16" ht="18.75">
      <c r="A52" s="7">
        <v>1</v>
      </c>
      <c r="B52" s="7">
        <v>16</v>
      </c>
      <c r="C52" s="6"/>
      <c r="D52" s="29" t="s">
        <v>54</v>
      </c>
      <c r="E52" s="32"/>
      <c r="F52" s="8">
        <v>3</v>
      </c>
      <c r="G52" s="8">
        <v>0</v>
      </c>
      <c r="H52" s="12" t="s">
        <v>35</v>
      </c>
      <c r="I52" s="9">
        <f t="shared" si="3"/>
        <v>300</v>
      </c>
      <c r="J52" s="8">
        <v>0</v>
      </c>
      <c r="K52" s="8">
        <f t="shared" si="5"/>
        <v>300</v>
      </c>
      <c r="L52" s="44">
        <v>0</v>
      </c>
      <c r="M52" s="42">
        <f t="shared" si="6"/>
        <v>300</v>
      </c>
      <c r="N52" s="16">
        <f t="shared" si="7"/>
        <v>175</v>
      </c>
      <c r="O52" s="43">
        <f t="shared" si="4"/>
        <v>125</v>
      </c>
    </row>
    <row r="53" spans="1:16" ht="18.75">
      <c r="A53" s="7">
        <v>1</v>
      </c>
      <c r="B53" s="7">
        <v>27</v>
      </c>
      <c r="C53" s="6"/>
      <c r="D53" s="29" t="s">
        <v>65</v>
      </c>
      <c r="E53" s="32"/>
      <c r="F53" s="8">
        <v>3</v>
      </c>
      <c r="G53" s="8">
        <v>0</v>
      </c>
      <c r="H53" s="12" t="s">
        <v>35</v>
      </c>
      <c r="I53" s="9">
        <f t="shared" si="3"/>
        <v>300</v>
      </c>
      <c r="J53" s="8">
        <v>0</v>
      </c>
      <c r="K53" s="8">
        <f t="shared" si="5"/>
        <v>300</v>
      </c>
      <c r="L53" s="44">
        <v>0</v>
      </c>
      <c r="M53" s="42">
        <f t="shared" si="6"/>
        <v>300</v>
      </c>
      <c r="N53" s="16">
        <f t="shared" si="7"/>
        <v>175</v>
      </c>
      <c r="O53" s="43">
        <f t="shared" si="4"/>
        <v>125</v>
      </c>
    </row>
    <row r="54" spans="1:16" ht="18.75">
      <c r="A54" s="7">
        <v>1</v>
      </c>
      <c r="B54" s="7">
        <v>31</v>
      </c>
      <c r="C54" s="6"/>
      <c r="D54" s="29" t="s">
        <v>69</v>
      </c>
      <c r="E54" s="32"/>
      <c r="F54" s="8">
        <v>3</v>
      </c>
      <c r="G54" s="8">
        <v>0</v>
      </c>
      <c r="H54" s="12" t="s">
        <v>35</v>
      </c>
      <c r="I54" s="9">
        <f t="shared" si="3"/>
        <v>300</v>
      </c>
      <c r="J54" s="8">
        <v>0</v>
      </c>
      <c r="K54" s="8">
        <f t="shared" si="5"/>
        <v>300</v>
      </c>
      <c r="L54" s="44">
        <v>0</v>
      </c>
      <c r="M54" s="42">
        <f t="shared" si="6"/>
        <v>300</v>
      </c>
      <c r="N54" s="16">
        <f t="shared" si="7"/>
        <v>175</v>
      </c>
      <c r="O54" s="43">
        <f t="shared" si="4"/>
        <v>125</v>
      </c>
    </row>
    <row r="55" spans="1:16" ht="18.75">
      <c r="A55" s="7">
        <v>1</v>
      </c>
      <c r="B55" s="7">
        <v>34</v>
      </c>
      <c r="C55" s="6"/>
      <c r="D55" s="29" t="s">
        <v>72</v>
      </c>
      <c r="E55" s="29"/>
      <c r="F55" s="8">
        <v>3</v>
      </c>
      <c r="G55" s="8">
        <v>0</v>
      </c>
      <c r="H55" s="12" t="s">
        <v>35</v>
      </c>
      <c r="I55" s="9">
        <f t="shared" si="3"/>
        <v>300</v>
      </c>
      <c r="J55" s="8">
        <v>0</v>
      </c>
      <c r="K55" s="8">
        <f t="shared" si="5"/>
        <v>300</v>
      </c>
      <c r="L55" s="44">
        <v>0</v>
      </c>
      <c r="M55" s="42">
        <f t="shared" si="6"/>
        <v>300</v>
      </c>
      <c r="N55" s="16">
        <f t="shared" si="7"/>
        <v>175</v>
      </c>
      <c r="O55" s="43">
        <f t="shared" si="4"/>
        <v>125</v>
      </c>
    </row>
    <row r="56" spans="1:16" ht="18.75">
      <c r="A56" s="7">
        <v>1</v>
      </c>
      <c r="B56" s="7">
        <v>43</v>
      </c>
      <c r="C56" s="6"/>
      <c r="D56" s="29" t="s">
        <v>81</v>
      </c>
      <c r="E56" s="31"/>
      <c r="F56" s="8">
        <v>3</v>
      </c>
      <c r="G56" s="8">
        <v>0</v>
      </c>
      <c r="H56" s="12" t="s">
        <v>35</v>
      </c>
      <c r="I56" s="9">
        <f t="shared" si="3"/>
        <v>300</v>
      </c>
      <c r="J56" s="8">
        <v>0</v>
      </c>
      <c r="K56" s="8">
        <f t="shared" si="5"/>
        <v>300</v>
      </c>
      <c r="L56" s="44">
        <v>0</v>
      </c>
      <c r="M56" s="42">
        <f t="shared" si="6"/>
        <v>300</v>
      </c>
      <c r="N56" s="16">
        <f t="shared" si="7"/>
        <v>175</v>
      </c>
      <c r="O56" s="43">
        <f t="shared" si="4"/>
        <v>125</v>
      </c>
    </row>
    <row r="57" spans="1:16" ht="18.75">
      <c r="A57" s="7">
        <v>1</v>
      </c>
      <c r="B57" s="7">
        <v>50</v>
      </c>
      <c r="C57" s="6"/>
      <c r="D57" s="29" t="s">
        <v>88</v>
      </c>
      <c r="E57" s="29"/>
      <c r="F57" s="8">
        <v>3</v>
      </c>
      <c r="G57" s="8">
        <v>0</v>
      </c>
      <c r="H57" s="12" t="s">
        <v>35</v>
      </c>
      <c r="I57" s="9">
        <f t="shared" si="3"/>
        <v>300</v>
      </c>
      <c r="J57" s="8">
        <v>0</v>
      </c>
      <c r="K57" s="8">
        <f t="shared" si="5"/>
        <v>300</v>
      </c>
      <c r="L57" s="44">
        <v>0</v>
      </c>
      <c r="M57" s="42">
        <f t="shared" si="6"/>
        <v>300</v>
      </c>
      <c r="N57" s="16">
        <f t="shared" si="7"/>
        <v>175</v>
      </c>
      <c r="O57" s="43">
        <f t="shared" si="4"/>
        <v>125</v>
      </c>
    </row>
    <row r="58" spans="1:16" ht="18.75">
      <c r="A58" s="7">
        <v>1</v>
      </c>
      <c r="B58" s="7">
        <v>57</v>
      </c>
      <c r="C58" s="6"/>
      <c r="D58" s="29" t="s">
        <v>95</v>
      </c>
      <c r="F58" s="8">
        <v>3</v>
      </c>
      <c r="G58" s="8">
        <v>0</v>
      </c>
      <c r="H58" s="12" t="s">
        <v>35</v>
      </c>
      <c r="I58" s="9">
        <f t="shared" si="3"/>
        <v>300</v>
      </c>
      <c r="J58" s="8">
        <v>0</v>
      </c>
      <c r="K58" s="8">
        <f t="shared" si="5"/>
        <v>300</v>
      </c>
      <c r="L58" s="44">
        <v>0</v>
      </c>
      <c r="M58" s="42">
        <f t="shared" si="6"/>
        <v>300</v>
      </c>
      <c r="N58" s="16">
        <f t="shared" si="7"/>
        <v>175</v>
      </c>
      <c r="O58" s="43">
        <f t="shared" si="4"/>
        <v>125</v>
      </c>
    </row>
    <row r="59" spans="1:16" ht="18.75">
      <c r="A59" s="7">
        <v>1</v>
      </c>
      <c r="B59" s="7">
        <v>59</v>
      </c>
      <c r="C59" s="6"/>
      <c r="D59" s="29" t="s">
        <v>97</v>
      </c>
      <c r="F59" s="8">
        <v>3</v>
      </c>
      <c r="G59" s="8">
        <v>0</v>
      </c>
      <c r="H59" s="12" t="s">
        <v>35</v>
      </c>
      <c r="I59" s="9">
        <f t="shared" si="3"/>
        <v>300</v>
      </c>
      <c r="J59" s="8">
        <v>0</v>
      </c>
      <c r="K59" s="8">
        <f t="shared" si="5"/>
        <v>300</v>
      </c>
      <c r="L59" s="44">
        <v>0</v>
      </c>
      <c r="M59" s="42">
        <f t="shared" si="6"/>
        <v>300</v>
      </c>
      <c r="N59" s="16">
        <f t="shared" si="7"/>
        <v>175</v>
      </c>
      <c r="O59" s="43">
        <f t="shared" si="4"/>
        <v>125</v>
      </c>
    </row>
    <row r="60" spans="1:16" ht="18.75">
      <c r="A60" s="7">
        <v>1</v>
      </c>
      <c r="B60" s="7">
        <v>63</v>
      </c>
      <c r="C60" s="6"/>
      <c r="D60" s="29" t="s">
        <v>101</v>
      </c>
      <c r="F60" s="8">
        <v>3</v>
      </c>
      <c r="G60" s="8">
        <v>0</v>
      </c>
      <c r="H60" s="12" t="s">
        <v>35</v>
      </c>
      <c r="I60" s="9">
        <f t="shared" si="3"/>
        <v>300</v>
      </c>
      <c r="J60" s="8">
        <v>0</v>
      </c>
      <c r="K60" s="8">
        <f t="shared" si="5"/>
        <v>300</v>
      </c>
      <c r="L60" s="44">
        <v>0</v>
      </c>
      <c r="M60" s="42">
        <f t="shared" si="6"/>
        <v>300</v>
      </c>
      <c r="N60" s="16">
        <f t="shared" si="7"/>
        <v>175</v>
      </c>
      <c r="O60" s="43">
        <f t="shared" si="4"/>
        <v>125</v>
      </c>
    </row>
    <row r="61" spans="1:16" ht="18.75">
      <c r="A61" s="7">
        <v>1</v>
      </c>
      <c r="B61" s="7">
        <v>56</v>
      </c>
      <c r="C61" s="6"/>
      <c r="D61" s="29" t="s">
        <v>94</v>
      </c>
      <c r="E61" s="29"/>
      <c r="F61" s="8">
        <v>2</v>
      </c>
      <c r="G61" s="8">
        <v>0</v>
      </c>
      <c r="H61" s="12" t="s">
        <v>35</v>
      </c>
      <c r="I61" s="9">
        <f t="shared" si="3"/>
        <v>200</v>
      </c>
      <c r="J61" s="8">
        <v>0</v>
      </c>
      <c r="K61" s="8">
        <f t="shared" si="5"/>
        <v>200</v>
      </c>
      <c r="L61" s="44">
        <v>0</v>
      </c>
      <c r="M61" s="42">
        <f t="shared" si="6"/>
        <v>200</v>
      </c>
      <c r="N61" s="16">
        <f t="shared" si="7"/>
        <v>175</v>
      </c>
      <c r="O61" s="43">
        <f t="shared" si="4"/>
        <v>25</v>
      </c>
    </row>
    <row r="62" spans="1:16" ht="18.75">
      <c r="A62" s="7">
        <v>1</v>
      </c>
      <c r="B62" s="7">
        <v>25</v>
      </c>
      <c r="C62" s="6"/>
      <c r="D62" s="29" t="s">
        <v>63</v>
      </c>
      <c r="E62" s="32"/>
      <c r="F62" s="8">
        <v>1</v>
      </c>
      <c r="G62" s="8">
        <v>0</v>
      </c>
      <c r="H62" s="12" t="s">
        <v>35</v>
      </c>
      <c r="I62" s="9">
        <f t="shared" si="3"/>
        <v>100</v>
      </c>
      <c r="J62" s="8">
        <v>0</v>
      </c>
      <c r="K62" s="8">
        <f t="shared" si="5"/>
        <v>100</v>
      </c>
      <c r="L62" s="44">
        <v>0</v>
      </c>
      <c r="M62" s="42">
        <f t="shared" si="6"/>
        <v>100</v>
      </c>
      <c r="N62" s="16">
        <f t="shared" si="7"/>
        <v>175</v>
      </c>
      <c r="O62" s="43">
        <f t="shared" si="4"/>
        <v>0</v>
      </c>
    </row>
    <row r="63" spans="1:16" ht="18.75">
      <c r="A63" s="7">
        <v>1</v>
      </c>
      <c r="B63" s="7">
        <v>60</v>
      </c>
      <c r="C63" s="6"/>
      <c r="D63" s="29" t="s">
        <v>98</v>
      </c>
      <c r="F63" s="8">
        <v>1</v>
      </c>
      <c r="G63" s="8">
        <v>0</v>
      </c>
      <c r="H63" s="12" t="s">
        <v>35</v>
      </c>
      <c r="I63" s="9">
        <f t="shared" si="3"/>
        <v>100</v>
      </c>
      <c r="J63" s="8">
        <v>0</v>
      </c>
      <c r="K63" s="8">
        <f t="shared" si="5"/>
        <v>100</v>
      </c>
      <c r="L63" s="44">
        <v>0</v>
      </c>
      <c r="M63" s="42">
        <f t="shared" si="6"/>
        <v>100</v>
      </c>
      <c r="N63" s="16">
        <f t="shared" si="7"/>
        <v>175</v>
      </c>
      <c r="O63" s="43">
        <f t="shared" si="4"/>
        <v>0</v>
      </c>
    </row>
    <row r="64" spans="1:16" ht="18.75">
      <c r="A64" s="7">
        <v>1</v>
      </c>
      <c r="B64" s="7">
        <v>8</v>
      </c>
      <c r="C64" s="6"/>
      <c r="D64" s="29" t="s">
        <v>46</v>
      </c>
      <c r="E64" s="29"/>
      <c r="F64" s="8">
        <v>0</v>
      </c>
      <c r="G64" s="8">
        <v>0</v>
      </c>
      <c r="H64" s="27" t="s">
        <v>23</v>
      </c>
      <c r="I64" s="9">
        <f t="shared" si="3"/>
        <v>0</v>
      </c>
      <c r="J64" s="8">
        <v>0</v>
      </c>
      <c r="K64" s="8">
        <f t="shared" si="5"/>
        <v>0</v>
      </c>
      <c r="L64" s="44">
        <v>0</v>
      </c>
      <c r="M64" s="42">
        <f t="shared" si="6"/>
        <v>0</v>
      </c>
      <c r="N64" s="16">
        <f t="shared" si="7"/>
        <v>0</v>
      </c>
      <c r="O64" s="43">
        <f t="shared" si="4"/>
        <v>0</v>
      </c>
      <c r="P64" s="40"/>
    </row>
    <row r="65" spans="1:15" ht="18.75">
      <c r="A65" s="7">
        <v>1</v>
      </c>
      <c r="B65" s="7">
        <v>19</v>
      </c>
      <c r="C65" s="6"/>
      <c r="D65" s="29" t="s">
        <v>57</v>
      </c>
      <c r="E65" s="29"/>
      <c r="F65" s="8">
        <v>0</v>
      </c>
      <c r="G65" s="8">
        <v>0</v>
      </c>
      <c r="H65" s="27" t="s">
        <v>23</v>
      </c>
      <c r="I65" s="9">
        <f t="shared" si="3"/>
        <v>0</v>
      </c>
      <c r="J65" s="8">
        <v>0</v>
      </c>
      <c r="K65" s="8">
        <f t="shared" si="5"/>
        <v>0</v>
      </c>
      <c r="L65" s="44">
        <v>0</v>
      </c>
      <c r="M65" s="42">
        <f t="shared" si="6"/>
        <v>0</v>
      </c>
      <c r="N65" s="16">
        <f t="shared" si="7"/>
        <v>0</v>
      </c>
      <c r="O65" s="43">
        <f t="shared" si="4"/>
        <v>0</v>
      </c>
    </row>
    <row r="66" spans="1:15" ht="18.75">
      <c r="A66" s="7">
        <v>1</v>
      </c>
      <c r="B66" s="7">
        <v>32</v>
      </c>
      <c r="C66" s="6"/>
      <c r="D66" s="29" t="s">
        <v>70</v>
      </c>
      <c r="E66" s="32"/>
      <c r="F66" s="8">
        <v>0</v>
      </c>
      <c r="G66" s="8">
        <v>0</v>
      </c>
      <c r="H66" s="27" t="s">
        <v>23</v>
      </c>
      <c r="I66" s="9">
        <f t="shared" si="3"/>
        <v>0</v>
      </c>
      <c r="J66" s="8">
        <v>0</v>
      </c>
      <c r="K66" s="8">
        <f t="shared" si="5"/>
        <v>0</v>
      </c>
      <c r="L66" s="44">
        <v>0</v>
      </c>
      <c r="M66" s="42">
        <f t="shared" si="6"/>
        <v>0</v>
      </c>
      <c r="N66" s="16">
        <f t="shared" si="7"/>
        <v>0</v>
      </c>
      <c r="O66" s="43">
        <f t="shared" si="4"/>
        <v>0</v>
      </c>
    </row>
    <row r="67" spans="1:15" ht="18.75">
      <c r="A67" s="7">
        <v>1</v>
      </c>
      <c r="B67" s="7">
        <v>48</v>
      </c>
      <c r="C67" s="6"/>
      <c r="D67" s="29" t="s">
        <v>86</v>
      </c>
      <c r="E67" s="29"/>
      <c r="F67" s="8">
        <v>0</v>
      </c>
      <c r="G67" s="8">
        <v>0</v>
      </c>
      <c r="H67" s="27" t="s">
        <v>23</v>
      </c>
      <c r="I67" s="9">
        <f t="shared" si="3"/>
        <v>0</v>
      </c>
      <c r="J67" s="8">
        <v>0</v>
      </c>
      <c r="K67" s="8">
        <f t="shared" si="5"/>
        <v>0</v>
      </c>
      <c r="L67" s="44">
        <v>0</v>
      </c>
      <c r="M67" s="42">
        <f t="shared" si="6"/>
        <v>0</v>
      </c>
      <c r="N67" s="16">
        <f t="shared" si="7"/>
        <v>0</v>
      </c>
      <c r="O67" s="43">
        <f t="shared" si="4"/>
        <v>0</v>
      </c>
    </row>
    <row r="68" spans="1:15" ht="18.75">
      <c r="A68" s="7">
        <v>1</v>
      </c>
      <c r="B68" s="7">
        <v>51</v>
      </c>
      <c r="C68" s="6"/>
      <c r="D68" s="29" t="s">
        <v>89</v>
      </c>
      <c r="E68" s="29"/>
      <c r="F68" s="8">
        <v>0</v>
      </c>
      <c r="G68" s="8">
        <v>0</v>
      </c>
      <c r="H68" s="27" t="s">
        <v>23</v>
      </c>
      <c r="I68" s="9">
        <f t="shared" si="3"/>
        <v>0</v>
      </c>
      <c r="J68" s="8">
        <v>0</v>
      </c>
      <c r="K68" s="8">
        <f t="shared" si="5"/>
        <v>0</v>
      </c>
      <c r="L68" s="44">
        <v>0</v>
      </c>
      <c r="M68" s="42">
        <f t="shared" si="6"/>
        <v>0</v>
      </c>
      <c r="N68" s="16">
        <f t="shared" si="7"/>
        <v>0</v>
      </c>
      <c r="O68" s="43">
        <f t="shared" si="4"/>
        <v>0</v>
      </c>
    </row>
    <row r="74" spans="1:15">
      <c r="K74" s="1">
        <f>SUM(K5:K63)</f>
        <v>21600</v>
      </c>
      <c r="N74" s="1">
        <f>SUM(N5:N63)</f>
        <v>11739</v>
      </c>
    </row>
  </sheetData>
  <autoFilter ref="A4:P68" xr:uid="{D50916F0-4EB1-4E61-AB8D-B58C4FC21503}">
    <sortState xmlns:xlrd2="http://schemas.microsoft.com/office/spreadsheetml/2017/richdata2" ref="A5:P68">
      <sortCondition descending="1" ref="M4:M68"/>
    </sortState>
  </autoFilter>
  <mergeCells count="4">
    <mergeCell ref="B1:O1"/>
    <mergeCell ref="B2:O2"/>
    <mergeCell ref="B3:E3"/>
    <mergeCell ref="H3:O3"/>
  </mergeCells>
  <conditionalFormatting sqref="F5:G68">
    <cfRule type="cellIs" dxfId="3" priority="2" operator="lessThan">
      <formula>1</formula>
    </cfRule>
  </conditionalFormatting>
  <conditionalFormatting sqref="J5:J68">
    <cfRule type="cellIs" dxfId="2" priority="1" operator="lessThan">
      <formula>1</formula>
    </cfRule>
  </conditionalFormatting>
  <hyperlinks>
    <hyperlink ref="D15" r:id="rId1" xr:uid="{56352815-1E25-4070-92CA-5F66F919E41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July4</vt:lpstr>
      <vt:lpstr>Jun20</vt:lpstr>
      <vt:lpstr>Jun6</vt:lpstr>
      <vt:lpstr>May23</vt:lpstr>
      <vt:lpstr>May9</vt:lpstr>
      <vt:lpstr>Apr25</vt:lpstr>
      <vt:lpstr>Apr18</vt:lpstr>
      <vt:lpstr>Apr11</vt:lpstr>
      <vt:lpstr>Apr4</vt:lpstr>
      <vt:lpstr>Mar28</vt:lpstr>
      <vt:lpstr>Mar21</vt:lpstr>
      <vt:lpstr>Mar14</vt:lpstr>
      <vt:lpstr>Mar7</vt:lpstr>
      <vt:lpstr>Feb28</vt:lpstr>
      <vt:lpstr>Feb21</vt:lpstr>
      <vt:lpstr>Feb14</vt:lpstr>
      <vt:lpstr>Feb7</vt:lpstr>
      <vt:lpstr>Jan31</vt:lpstr>
      <vt:lpstr>Jan17</vt:lpstr>
      <vt:lpstr>Jan10</vt:lpstr>
      <vt:lpstr>Jan3</vt:lpstr>
      <vt:lpstr>Dec27</vt:lpstr>
      <vt:lpstr>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MIX 2S</dc:creator>
  <cp:lastModifiedBy>Jiang, Ruoli</cp:lastModifiedBy>
  <dcterms:created xsi:type="dcterms:W3CDTF">2006-09-14T08:00:00Z</dcterms:created>
  <dcterms:modified xsi:type="dcterms:W3CDTF">2026-07-06T23:59:15Z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2052-11.1.0.9582</vt:lpwstr>
  </property>
</Properties>
</file>