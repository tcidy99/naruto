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5" rupBuild="23901"/>
  <workbookPr defaultThemeVersion="153222"/>
  <bookViews>
    <workbookView xWindow="-108" yWindow="-108" windowWidth="23256" windowHeight="12576" activeTab="0"/>
  </bookViews>
  <sheets>
    <sheet name="Sheet1" sheetId="1" r:id="rId1"/>
  </sheets>
  <definedNames>
    <definedName name="_xlnm._FilterDatabase" localSheetId="0" hidden="1">Sheet1!$A$1:$I$55</definedName>
    <definedName name="_xlnm._FilterDatabase" localSheetId="0" hidden="1">Sheet1!$A$1:$I$55</definedName>
  </definedNames>
</workbook>
</file>

<file path=xl/sharedStrings.xml><?xml version="1.0" encoding="utf-8"?>
<sst xmlns="http://schemas.openxmlformats.org/spreadsheetml/2006/main" uniqueCount="70" count="70">
  <si>
    <t>名字</t>
  </si>
  <si>
    <t>上周剩余积分</t>
  </si>
  <si>
    <t>忍战次数</t>
  </si>
  <si>
    <t>忍战积分</t>
  </si>
  <si>
    <t>贡献分数</t>
  </si>
  <si>
    <t>贡献积分</t>
  </si>
  <si>
    <t>总积分</t>
  </si>
  <si>
    <t>本周积分</t>
  </si>
  <si>
    <t>备注</t>
  </si>
  <si>
    <t>爱因斯坦</t>
  </si>
  <si>
    <t>橙包</t>
  </si>
  <si>
    <t>魔域 蔡徐坤</t>
  </si>
  <si>
    <t>魔域 Lvin</t>
  </si>
  <si>
    <t>魔域 猫猫锭</t>
  </si>
  <si>
    <t>魔域 混吃等死</t>
  </si>
  <si>
    <t>魔域 怼怼</t>
  </si>
  <si>
    <t>马谡</t>
  </si>
  <si>
    <t>紫包</t>
  </si>
  <si>
    <t>九亿少女的梦</t>
  </si>
  <si>
    <t>任虎</t>
  </si>
  <si>
    <t>魔域 小晴天</t>
  </si>
  <si>
    <t>魔域 碎碎念</t>
  </si>
  <si>
    <t>魔域 桃太郎</t>
  </si>
  <si>
    <t>魔域 至高神</t>
  </si>
  <si>
    <t>蓝包</t>
  </si>
  <si>
    <t>魏文长</t>
  </si>
  <si>
    <t>魔域 御</t>
  </si>
  <si>
    <t>陆伯言</t>
  </si>
  <si>
    <t>魔域 卿九</t>
  </si>
  <si>
    <t>汤姆</t>
  </si>
  <si>
    <t>草船</t>
  </si>
  <si>
    <t>魔域 逍遥</t>
  </si>
  <si>
    <t>魔域 平静</t>
  </si>
  <si>
    <t>周泰</t>
  </si>
  <si>
    <t>鹿鹿无为</t>
  </si>
  <si>
    <t>魔域 班尼特</t>
  </si>
  <si>
    <t>郭奉孝</t>
  </si>
  <si>
    <t>木之本樱</t>
  </si>
  <si>
    <t>星落</t>
  </si>
  <si>
    <t>魔域 散人</t>
  </si>
  <si>
    <t>魔域 牙神十八</t>
  </si>
  <si>
    <t>魔域 豆干</t>
  </si>
  <si>
    <t>魔域 樱岛麻衣</t>
  </si>
  <si>
    <t>魔域 猫猫头</t>
  </si>
  <si>
    <t>微微微风</t>
  </si>
  <si>
    <t>一杯美式</t>
  </si>
  <si>
    <t>魔域 小希</t>
  </si>
  <si>
    <t>魔域 白蛇</t>
  </si>
  <si>
    <t>魔域 小庄</t>
  </si>
  <si>
    <t>赵子龙</t>
  </si>
  <si>
    <t>卧龙</t>
  </si>
  <si>
    <t>张文远</t>
  </si>
  <si>
    <t>司马懿</t>
  </si>
  <si>
    <t>统计分包所得</t>
  </si>
  <si>
    <t>左元放</t>
  </si>
  <si>
    <t>魔域 清涟</t>
  </si>
  <si>
    <t>魔域 闭月</t>
  </si>
  <si>
    <t>嫖老师</t>
  </si>
  <si>
    <t>弃坑的边缘养老</t>
  </si>
  <si>
    <t>魔域 陌雨</t>
  </si>
  <si>
    <t>魔域 潇洒</t>
  </si>
  <si>
    <t>爆劦熊</t>
  </si>
  <si>
    <t>收集癖</t>
  </si>
  <si>
    <t xml:space="preserve"> 乐哥哥最棒</t>
  </si>
  <si>
    <t>木叶丸</t>
  </si>
  <si>
    <t>夏侯惇</t>
  </si>
  <si>
    <t>老根</t>
  </si>
  <si>
    <t xml:space="preserve"> 宇智波斑</t>
  </si>
  <si>
    <t>蓝包紫包</t>
  </si>
  <si>
    <t>统计表格所得包</t>
  </si>
</sst>
</file>

<file path=xl/styles.xml><?xml version="1.0" encoding="utf-8"?>
<styleSheet xmlns="http://schemas.openxmlformats.org/spreadsheetml/2006/main">
  <numFmts count="3">
    <numFmt numFmtId="0" formatCode="General"/>
    <numFmt numFmtId="164" formatCode="0.00_ "/>
    <numFmt numFmtId="165" formatCode="0_ "/>
  </numFmts>
  <fonts count="13">
    <font>
      <name val="宋体"/>
      <sz val="11"/>
    </font>
    <font>
      <name val="宋体"/>
      <charset val="134"/>
      <sz val="11"/>
    </font>
    <font>
      <name val="宋体"/>
      <charset val="134"/>
      <sz val="18"/>
      <color indexed="8"/>
    </font>
    <font>
      <name val="宋体"/>
      <charset val="134"/>
      <sz val="18"/>
    </font>
    <font>
      <name val="宋体"/>
      <charset val="134"/>
      <sz val="18"/>
      <color rgb="FFFFC000"/>
    </font>
    <font>
      <name val="宋体"/>
      <charset val="134"/>
      <sz val="18"/>
      <color rgb="FFFF9900"/>
    </font>
    <font>
      <name val="宋体"/>
      <sz val="18"/>
      <color rgb="FFFF9900"/>
    </font>
    <font>
      <name val="宋体"/>
      <charset val="134"/>
      <sz val="18"/>
      <color rgb="FF000000"/>
    </font>
    <font>
      <name val="宋体"/>
      <charset val="134"/>
      <sz val="18"/>
      <color rgb="FF6600CC"/>
    </font>
    <font>
      <name val="宋体"/>
      <sz val="18"/>
      <color rgb="FF6600CC"/>
    </font>
    <font>
      <name val="宋体"/>
      <charset val="134"/>
      <sz val="18"/>
      <color rgb="FF7030A0"/>
    </font>
    <font>
      <name val="宋体"/>
      <sz val="18"/>
      <color rgb="FF000000"/>
    </font>
    <font>
      <name val="宋体"/>
      <charset val="134"/>
      <sz val="18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1" fillId="0" borderId="0" xfId="0" applyAlignment="1">
      <alignment horizontal="center" vertical="center"/>
    </xf>
    <xf numFmtId="0" fontId="1" fillId="0" borderId="0" xfId="0" applyFill="1">
      <alignment vertical="center"/>
    </xf>
    <xf numFmtId="0" fontId="2" fillId="0" borderId="0" xfId="0" applyFont="1" applyFill="1" applyBorder="1">
      <alignment vertical="center"/>
    </xf>
    <xf numFmtId="164" fontId="2" fillId="0" borderId="0" xfId="0" applyNumberFormat="1" applyFont="1" applyFill="1" applyBorder="1" applyAlignment="1">
      <alignment horizontal="center" vertical="center"/>
    </xf>
    <xf numFmtId="165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bottom"/>
    </xf>
    <xf numFmtId="164" fontId="2" fillId="0" borderId="0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6" fillId="0" borderId="1" xfId="0" applyNumberFormat="1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NumberFormat="1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0" borderId="1" xfId="0" applyNumberFormat="1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0" fontId="10" fillId="0" borderId="0" xfId="0" applyFo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11" fillId="0" borderId="1" xfId="0" applyNumberFormat="1" applyFont="1" applyFill="1" applyBorder="1" applyAlignment="1">
      <alignment horizontal="center" vertical="top"/>
    </xf>
    <xf numFmtId="0" fontId="7" fillId="0" borderId="1" xfId="0" applyNumberFormat="1" applyFont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3" fillId="0" borderId="0" xfId="0" applyFont="1">
      <alignment vertical="center"/>
    </xf>
    <xf numFmtId="0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>
      <alignment vertical="center"/>
    </xf>
    <xf numFmtId="0" fontId="3" fillId="0" borderId="0" xfId="0" applyFont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</cellXfs>
  <cellStyles count="1">
    <cellStyle name="常规" xfId="0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579474</xdr:colOff>
      <xdr:row>0</xdr:row>
      <xdr:rowOff>0</xdr:rowOff>
    </xdr:from>
    <xdr:to>
      <xdr:col>18</xdr:col>
      <xdr:colOff>371475</xdr:colOff>
      <xdr:row>16</xdr:row>
      <xdr:rowOff>0</xdr:rowOff>
    </xdr:to>
    <xdr:sp macro="" textlink="">
      <xdr:nvSpPr>
        <xdr:cNvPr id="2" name="rect"/>
        <xdr:cNvSpPr/>
      </xdr:nvSpPr>
      <xdr:spPr>
        <a:xfrm>
          <a:off x="19002376" y="0"/>
          <a:ext cx="4592320" cy="4572000"/>
        </a:xfrm>
        <a:prstGeom prst="rect">
          <a:avLst/>
        </a:prstGeom>
        <a:solidFill>
          <a:srgbClr val="599bd5"/>
        </a:solidFill>
        <a:ln w="9525" cap="flat" cmpd="sng">
          <a:solidFill>
            <a:srgbClr val="40709c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100">
              <a:solidFill>
                <a:srgbClr val="FFFFFF"/>
              </a:solidFill>
              <a:latin typeface="宋体" panose="" pitchFamily="0" charset="0"/>
              <a:ea typeface="宋体" panose="" pitchFamily="0" charset="0"/>
            </a:rPr>
            <a:t>分包积分规则：									</a:t>
          </a:r>
        </a:p>
        <a:p>
          <a:pPr algn="l"/>
          <a:r>
            <a:rPr lang="en-US" altLang="zh-CN" sz="11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1：忍战积分：每参加一次忍战+5分									</a:t>
          </a:r>
        </a:p>
        <a:p>
          <a:pPr algn="l"/>
          <a:r>
            <a:rPr lang="en-US" altLang="zh-CN" sz="11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2：组织贡献积分：周组织贡献*0.001									</a:t>
          </a:r>
        </a:p>
        <a:p>
          <a:pPr algn="l"/>
          <a:r>
            <a:rPr lang="en-US" altLang="zh-CN" sz="1100">
              <a:solidFill>
                <a:srgbClr val="FFFFFF"/>
              </a:solidFill>
              <a:latin typeface="Calibri" panose="" pitchFamily="0" charset="0"/>
              <a:ea typeface="Calibri" panose="" pitchFamily="0" charset="0"/>
            </a:rPr>
            <a:t>3：按照总积分排行分橙、紫、蓝包，拿到橙包积分清零，拿到紫包积分保留0.25，拿到蓝包积分保留0.5，没拿到包的积分全保留									</a:t>
          </a:r>
        </a:p>
        <a:p>
          <a:pPr algn="l"/>
          <a:r>
            <a:rPr lang="en-US" altLang="zh-CN" sz="1100">
              <a:solidFill>
                <a:srgbClr val="FFFFFF"/>
              </a:solidFill>
              <a:latin typeface="宋体" panose="" pitchFamily="0" charset="0"/>
              <a:ea typeface="宋体" panose="" pitchFamily="0" charset="0"/>
            </a:rPr>
            <a:t>注：只要长期玩的都会拿到橙包！	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5"/>
  <sheetViews>
    <sheetView tabSelected="1" workbookViewId="0" topLeftCell="D1" zoomScale="30">
      <selection activeCell="A2" sqref="A2:J52"/>
    </sheetView>
  </sheetViews>
  <sheetFormatPr defaultRowHeight="14.4" defaultColWidth="9"/>
  <cols>
    <col min="1" max="1" customWidth="1" width="36.664062" style="0"/>
    <col min="2" max="2" customWidth="1" width="23.664062" style="1"/>
    <col min="3" max="3" customWidth="1" width="22.0" style="1"/>
    <col min="4" max="4" customWidth="1" width="22.21875" style="1"/>
    <col min="5" max="5" customWidth="1" width="20.21875" style="1"/>
    <col min="6" max="6" customWidth="1" width="24.441406" style="1"/>
    <col min="7" max="7" customWidth="1" width="15.332031" style="1"/>
    <col min="8" max="8" customWidth="1" width="24.554688" style="0"/>
    <col min="9" max="9" customWidth="0" width="9.0" style="2"/>
    <col min="10" max="10" customWidth="1" width="34.664062" style="1"/>
  </cols>
  <sheetData>
    <row r="1" spans="8:8" s="3" ht="22.2" customFormat="1">
      <c r="A1" s="3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7"/>
      <c r="K1" s="8"/>
    </row>
    <row r="2" spans="8:8" s="9" ht="24.45" customFormat="1">
      <c r="A2" s="10" t="s">
        <v>25</v>
      </c>
      <c r="B2" s="11">
        <v>62.4</v>
      </c>
      <c r="C2" s="12">
        <v>4.0</v>
      </c>
      <c r="D2" s="12">
        <f>C2*5</f>
        <v>20.0</v>
      </c>
      <c r="E2" s="12">
        <v>6000.0</v>
      </c>
      <c r="F2" s="12">
        <f>E2*0.001</f>
        <v>6.0</v>
      </c>
      <c r="G2" s="13">
        <f>B2+D2+F2</f>
        <v>88.4</v>
      </c>
      <c r="H2" s="14">
        <f>G2</f>
        <v>88.4</v>
      </c>
      <c r="I2" s="15" t="s">
        <v>10</v>
      </c>
      <c r="J2" s="16"/>
    </row>
    <row r="3" spans="8:8" s="9" ht="24.45" customFormat="1">
      <c r="A3" s="10" t="s">
        <v>30</v>
      </c>
      <c r="B3" s="11">
        <v>57.25</v>
      </c>
      <c r="C3" s="12">
        <v>4.0</v>
      </c>
      <c r="D3" s="12">
        <f>C3*5</f>
        <v>20.0</v>
      </c>
      <c r="E3" s="12">
        <v>11000.0</v>
      </c>
      <c r="F3" s="12">
        <f>E3*0.001</f>
        <v>11.0</v>
      </c>
      <c r="G3" s="13">
        <f>B3+D3+F3</f>
        <v>88.25</v>
      </c>
      <c r="H3" s="14">
        <f>G3</f>
        <v>88.25</v>
      </c>
      <c r="I3" s="15" t="s">
        <v>10</v>
      </c>
      <c r="J3" s="16"/>
    </row>
    <row r="4" spans="8:8" s="9" ht="24.45" customFormat="1">
      <c r="A4" s="10" t="s">
        <v>26</v>
      </c>
      <c r="B4" s="11">
        <v>59.0</v>
      </c>
      <c r="C4" s="12">
        <v>3.0</v>
      </c>
      <c r="D4" s="12">
        <f>C4*5</f>
        <v>15.0</v>
      </c>
      <c r="E4" s="12">
        <v>12000.0</v>
      </c>
      <c r="F4" s="12">
        <f>E4*0.001</f>
        <v>12.0</v>
      </c>
      <c r="G4" s="13">
        <f>B4+D4+F4</f>
        <v>86.0</v>
      </c>
      <c r="H4" s="14">
        <f>G4</f>
        <v>86.0</v>
      </c>
      <c r="I4" s="15" t="s">
        <v>10</v>
      </c>
      <c r="J4" s="16"/>
    </row>
    <row r="5" spans="8:8" s="9" ht="24.45" customFormat="1">
      <c r="A5" s="10" t="s">
        <v>27</v>
      </c>
      <c r="B5" s="11">
        <v>59.0</v>
      </c>
      <c r="C5" s="12">
        <v>4.0</v>
      </c>
      <c r="D5" s="12">
        <f>C5*5</f>
        <v>20.0</v>
      </c>
      <c r="E5" s="12">
        <v>6000.0</v>
      </c>
      <c r="F5" s="12">
        <f>E5*0.001</f>
        <v>6.0</v>
      </c>
      <c r="G5" s="13">
        <f>B5+D5+F5</f>
        <v>85.0</v>
      </c>
      <c r="H5" s="14">
        <f>G5</f>
        <v>85.0</v>
      </c>
      <c r="I5" s="15" t="s">
        <v>10</v>
      </c>
      <c r="J5" s="16"/>
    </row>
    <row r="6" spans="8:8" s="9" ht="24.45" customFormat="1">
      <c r="A6" s="10" t="s">
        <v>28</v>
      </c>
      <c r="B6" s="11">
        <v>58.3</v>
      </c>
      <c r="C6" s="12">
        <v>4.0</v>
      </c>
      <c r="D6" s="12">
        <f>C6*5</f>
        <v>20.0</v>
      </c>
      <c r="E6" s="12">
        <v>6000.0</v>
      </c>
      <c r="F6" s="12">
        <f>E6*0.001</f>
        <v>6.0</v>
      </c>
      <c r="G6" s="13">
        <f>B6+D6+F6</f>
        <v>84.3</v>
      </c>
      <c r="H6" s="14">
        <f>G6</f>
        <v>84.3</v>
      </c>
      <c r="I6" s="15" t="s">
        <v>10</v>
      </c>
      <c r="J6" s="16"/>
    </row>
    <row r="7" spans="8:8" s="9" ht="24.45" customFormat="1">
      <c r="A7" s="10" t="s">
        <v>29</v>
      </c>
      <c r="B7" s="11">
        <v>58.3</v>
      </c>
      <c r="C7" s="12">
        <v>4.0</v>
      </c>
      <c r="D7" s="12">
        <f>C7*5</f>
        <v>20.0</v>
      </c>
      <c r="E7" s="12">
        <v>6000.0</v>
      </c>
      <c r="F7" s="12">
        <f>E7*0.001</f>
        <v>6.0</v>
      </c>
      <c r="G7" s="13">
        <f>B7+D7+F7</f>
        <v>84.3</v>
      </c>
      <c r="H7" s="14">
        <f>G7</f>
        <v>84.3</v>
      </c>
      <c r="I7" s="15" t="s">
        <v>10</v>
      </c>
      <c r="J7" s="16"/>
    </row>
    <row r="8" spans="8:8" s="9" ht="24.45" customFormat="1">
      <c r="A8" s="17" t="s">
        <v>23</v>
      </c>
      <c r="B8" s="18">
        <v>63.0</v>
      </c>
      <c r="C8" s="19">
        <v>3.0</v>
      </c>
      <c r="D8" s="19">
        <f>C8*5</f>
        <v>15.0</v>
      </c>
      <c r="E8" s="19">
        <v>6000.0</v>
      </c>
      <c r="F8" s="19">
        <f>E8*0.001</f>
        <v>6.0</v>
      </c>
      <c r="G8" s="20">
        <f>B8+D8+F8</f>
        <v>84.0</v>
      </c>
      <c r="H8" s="21">
        <f>G8</f>
        <v>84.0</v>
      </c>
      <c r="I8" s="22" t="s">
        <v>17</v>
      </c>
      <c r="J8" s="16"/>
    </row>
    <row r="9" spans="8:8" s="23" ht="24.45" customFormat="1">
      <c r="A9" s="17" t="s">
        <v>33</v>
      </c>
      <c r="B9" s="18">
        <v>53.6</v>
      </c>
      <c r="C9" s="19">
        <v>4.0</v>
      </c>
      <c r="D9" s="19">
        <f>C9*5</f>
        <v>20.0</v>
      </c>
      <c r="E9" s="19">
        <v>9600.0</v>
      </c>
      <c r="F9" s="19">
        <f>E9*0.001</f>
        <v>9.6</v>
      </c>
      <c r="G9" s="20">
        <f>B9+D9+F9</f>
        <v>83.19999999999999</v>
      </c>
      <c r="H9" s="21">
        <f>G9</f>
        <v>83.19999999999999</v>
      </c>
      <c r="I9" s="22" t="s">
        <v>17</v>
      </c>
      <c r="J9" s="16"/>
    </row>
    <row r="10" spans="8:8" s="23" ht="24.45" customFormat="1">
      <c r="A10" s="24" t="s">
        <v>31</v>
      </c>
      <c r="B10" s="18">
        <v>57.0</v>
      </c>
      <c r="C10" s="19">
        <v>4.0</v>
      </c>
      <c r="D10" s="19">
        <f>C10*5</f>
        <v>20.0</v>
      </c>
      <c r="E10" s="19">
        <v>6000.0</v>
      </c>
      <c r="F10" s="19">
        <f>E10*0.001</f>
        <v>6.0</v>
      </c>
      <c r="G10" s="20">
        <f>B10+D10+F10</f>
        <v>83.0</v>
      </c>
      <c r="H10" s="21">
        <f>G10</f>
        <v>83.0</v>
      </c>
      <c r="I10" s="22" t="s">
        <v>17</v>
      </c>
      <c r="J10" s="16"/>
    </row>
    <row r="11" spans="8:8" s="23" ht="24.45" customFormat="1">
      <c r="A11" s="17" t="s">
        <v>34</v>
      </c>
      <c r="B11" s="18">
        <v>52.449999999999996</v>
      </c>
      <c r="C11" s="19">
        <v>4.0</v>
      </c>
      <c r="D11" s="19">
        <f>C11*5</f>
        <v>20.0</v>
      </c>
      <c r="E11" s="19">
        <v>10400.0</v>
      </c>
      <c r="F11" s="19">
        <f>E11*0.001</f>
        <v>10.4</v>
      </c>
      <c r="G11" s="20">
        <f>B11+D11+F11</f>
        <v>82.85000000000001</v>
      </c>
      <c r="H11" s="21">
        <f>G11</f>
        <v>82.85000000000001</v>
      </c>
      <c r="I11" s="22" t="s">
        <v>17</v>
      </c>
      <c r="J11" s="16"/>
    </row>
    <row r="12" spans="8:8" s="23" ht="24.45" customFormat="1">
      <c r="A12" s="17" t="s">
        <v>32</v>
      </c>
      <c r="B12" s="18">
        <v>56.25</v>
      </c>
      <c r="C12" s="19">
        <v>4.0</v>
      </c>
      <c r="D12" s="19">
        <f>C12*5</f>
        <v>20.0</v>
      </c>
      <c r="E12" s="19">
        <v>6000.0</v>
      </c>
      <c r="F12" s="19">
        <f>E12*0.001</f>
        <v>6.0</v>
      </c>
      <c r="G12" s="20">
        <f>B12+D12+F12</f>
        <v>82.25</v>
      </c>
      <c r="H12" s="21">
        <f>G12</f>
        <v>82.25</v>
      </c>
      <c r="I12" s="22" t="s">
        <v>17</v>
      </c>
      <c r="J12" s="16"/>
    </row>
    <row r="13" spans="8:8" s="23" ht="24.45" customFormat="1">
      <c r="A13" s="17" t="s">
        <v>36</v>
      </c>
      <c r="B13" s="18">
        <v>50.05</v>
      </c>
      <c r="C13" s="19">
        <v>4.0</v>
      </c>
      <c r="D13" s="19">
        <f>C13*5</f>
        <v>20.0</v>
      </c>
      <c r="E13" s="19">
        <v>7800.0</v>
      </c>
      <c r="F13" s="19">
        <f>E13*0.001</f>
        <v>7.8</v>
      </c>
      <c r="G13" s="20">
        <f>B13+D13+F13</f>
        <v>77.85</v>
      </c>
      <c r="H13" s="21">
        <f>G13</f>
        <v>77.85</v>
      </c>
      <c r="I13" s="22" t="s">
        <v>17</v>
      </c>
      <c r="J13" s="25"/>
    </row>
    <row r="14" spans="8:8" s="23" ht="24.45" customFormat="1">
      <c r="A14" s="17" t="s">
        <v>67</v>
      </c>
      <c r="B14" s="18">
        <v>47.25</v>
      </c>
      <c r="C14" s="19">
        <v>4.0</v>
      </c>
      <c r="D14" s="19">
        <f>C14*5</f>
        <v>20.0</v>
      </c>
      <c r="E14" s="19">
        <v>6000.0</v>
      </c>
      <c r="F14" s="19">
        <f>E14*0.001</f>
        <v>6.0</v>
      </c>
      <c r="G14" s="20">
        <f>B14+D14+F14</f>
        <v>73.25</v>
      </c>
      <c r="H14" s="21">
        <f>G14</f>
        <v>73.25</v>
      </c>
      <c r="I14" s="22" t="s">
        <v>17</v>
      </c>
      <c r="J14" s="16"/>
    </row>
    <row r="15" spans="8:8" s="26" ht="24.45" customFormat="1">
      <c r="A15" s="27" t="s">
        <v>37</v>
      </c>
      <c r="B15" s="28">
        <v>47.25</v>
      </c>
      <c r="C15" s="16">
        <v>4.0</v>
      </c>
      <c r="D15" s="16">
        <f>C15*5</f>
        <v>20.0</v>
      </c>
      <c r="E15" s="16">
        <v>6000.0</v>
      </c>
      <c r="F15" s="16">
        <f>E15*0.001</f>
        <v>6.0</v>
      </c>
      <c r="G15" s="29">
        <f>B15+D15+F15</f>
        <v>73.25</v>
      </c>
      <c r="H15" s="30">
        <f>G15</f>
        <v>73.25</v>
      </c>
      <c r="I15" s="31" t="s">
        <v>24</v>
      </c>
      <c r="J15" s="16"/>
    </row>
    <row r="16" spans="8:8" s="26" ht="24.45" customFormat="1">
      <c r="A16" s="32" t="s">
        <v>38</v>
      </c>
      <c r="B16" s="28">
        <v>47.0</v>
      </c>
      <c r="C16" s="16">
        <v>4.0</v>
      </c>
      <c r="D16" s="16">
        <f>C16*5</f>
        <v>20.0</v>
      </c>
      <c r="E16" s="16">
        <v>6000.0</v>
      </c>
      <c r="F16" s="16">
        <f>E16*0.001</f>
        <v>6.0</v>
      </c>
      <c r="G16" s="29">
        <f>B16+D16+F16</f>
        <v>73.0</v>
      </c>
      <c r="H16" s="30">
        <f>G16</f>
        <v>73.0</v>
      </c>
      <c r="I16" s="31" t="s">
        <v>24</v>
      </c>
      <c r="J16" s="16"/>
    </row>
    <row r="17" spans="8:8" s="26" ht="24.45" customFormat="1">
      <c r="A17" s="32" t="s">
        <v>39</v>
      </c>
      <c r="B17" s="28">
        <v>47.0</v>
      </c>
      <c r="C17" s="16">
        <v>4.0</v>
      </c>
      <c r="D17" s="16">
        <f>C17*5</f>
        <v>20.0</v>
      </c>
      <c r="E17" s="16">
        <v>6000.0</v>
      </c>
      <c r="F17" s="16">
        <f>E17*0.001</f>
        <v>6.0</v>
      </c>
      <c r="G17" s="29">
        <f>B17+D17+F17</f>
        <v>73.0</v>
      </c>
      <c r="H17" s="30">
        <f>G17</f>
        <v>73.0</v>
      </c>
      <c r="I17" s="31" t="s">
        <v>24</v>
      </c>
      <c r="J17" s="16"/>
    </row>
    <row r="18" spans="8:8" s="26" ht="24.45" customFormat="1">
      <c r="A18" s="32" t="s">
        <v>64</v>
      </c>
      <c r="B18" s="28">
        <v>47.0</v>
      </c>
      <c r="C18" s="16">
        <v>4.0</v>
      </c>
      <c r="D18" s="16">
        <f>C18*5</f>
        <v>20.0</v>
      </c>
      <c r="E18" s="16">
        <v>6000.0</v>
      </c>
      <c r="F18" s="16">
        <f>E18*0.001</f>
        <v>6.0</v>
      </c>
      <c r="G18" s="29">
        <f>B18+D18+F18</f>
        <v>73.0</v>
      </c>
      <c r="H18" s="30">
        <f>G18</f>
        <v>73.0</v>
      </c>
      <c r="I18" s="31" t="s">
        <v>24</v>
      </c>
      <c r="J18" s="16"/>
    </row>
    <row r="19" spans="8:8" s="26" ht="24.45" customFormat="1">
      <c r="A19" s="32" t="s">
        <v>40</v>
      </c>
      <c r="B19" s="28">
        <v>47.0</v>
      </c>
      <c r="C19" s="16">
        <v>4.0</v>
      </c>
      <c r="D19" s="16">
        <f>C19*5</f>
        <v>20.0</v>
      </c>
      <c r="E19" s="16">
        <v>6000.0</v>
      </c>
      <c r="F19" s="16">
        <f>E19*0.001</f>
        <v>6.0</v>
      </c>
      <c r="G19" s="29">
        <f>B19+D19+F19</f>
        <v>73.0</v>
      </c>
      <c r="H19" s="30">
        <f>G19</f>
        <v>73.0</v>
      </c>
      <c r="I19" s="31" t="s">
        <v>24</v>
      </c>
      <c r="J19" s="16"/>
    </row>
    <row r="20" spans="8:8" s="26" ht="24.45" customFormat="1">
      <c r="A20" s="32" t="s">
        <v>41</v>
      </c>
      <c r="B20" s="28">
        <v>47.0</v>
      </c>
      <c r="C20" s="16">
        <v>3.0</v>
      </c>
      <c r="D20" s="16">
        <f>C20*5</f>
        <v>15.0</v>
      </c>
      <c r="E20" s="16">
        <v>6000.0</v>
      </c>
      <c r="F20" s="16">
        <f>E20*0.001</f>
        <v>6.0</v>
      </c>
      <c r="G20" s="29">
        <f>B20+D20+F20</f>
        <v>68.0</v>
      </c>
      <c r="H20" s="30">
        <f>G20</f>
        <v>68.0</v>
      </c>
      <c r="I20" s="31" t="s">
        <v>24</v>
      </c>
      <c r="J20" s="16"/>
    </row>
    <row r="21" spans="8:8" s="26" ht="24.45" customFormat="1">
      <c r="A21" s="32" t="s">
        <v>42</v>
      </c>
      <c r="B21" s="28">
        <v>40.0</v>
      </c>
      <c r="C21" s="16">
        <v>4.0</v>
      </c>
      <c r="D21" s="16">
        <f>C21*5</f>
        <v>20.0</v>
      </c>
      <c r="E21" s="16">
        <v>6000.0</v>
      </c>
      <c r="F21" s="16">
        <f>E21*0.001</f>
        <v>6.0</v>
      </c>
      <c r="G21" s="29">
        <f>B21+D21+F21</f>
        <v>66.0</v>
      </c>
      <c r="H21" s="30">
        <f>G21</f>
        <v>66.0</v>
      </c>
      <c r="I21" s="31" t="s">
        <v>24</v>
      </c>
      <c r="J21" s="16"/>
    </row>
    <row r="22" spans="8:8" s="26" ht="24.45" customFormat="1">
      <c r="A22" s="32" t="s">
        <v>35</v>
      </c>
      <c r="B22" s="28">
        <v>52.0</v>
      </c>
      <c r="C22" s="16">
        <v>1.0</v>
      </c>
      <c r="D22" s="16">
        <f>C22*5</f>
        <v>5.0</v>
      </c>
      <c r="E22" s="16">
        <v>6000.0</v>
      </c>
      <c r="F22" s="16">
        <f>E22*0.001</f>
        <v>6.0</v>
      </c>
      <c r="G22" s="29">
        <f>B22+D22+F22</f>
        <v>63.0</v>
      </c>
      <c r="H22" s="30">
        <f>G22</f>
        <v>63.0</v>
      </c>
      <c r="I22" s="31" t="s">
        <v>24</v>
      </c>
      <c r="J22" s="16"/>
    </row>
    <row r="23" spans="8:8" s="26" ht="24.45" customFormat="1">
      <c r="A23" s="32" t="s">
        <v>45</v>
      </c>
      <c r="B23" s="28">
        <v>27.0</v>
      </c>
      <c r="C23" s="16">
        <v>4.0</v>
      </c>
      <c r="D23" s="16">
        <f>C23*5</f>
        <v>20.0</v>
      </c>
      <c r="E23" s="16">
        <v>12000.0</v>
      </c>
      <c r="F23" s="16">
        <f>E23*0.001</f>
        <v>12.0</v>
      </c>
      <c r="G23" s="29">
        <f>B23+D23+F23</f>
        <v>59.0</v>
      </c>
      <c r="H23" s="30">
        <f>G23</f>
        <v>59.0</v>
      </c>
      <c r="I23" s="31" t="s">
        <v>24</v>
      </c>
      <c r="J23" s="16"/>
    </row>
    <row r="24" spans="8:8" s="26" ht="24.45" customFormat="1">
      <c r="A24" s="10" t="s">
        <v>43</v>
      </c>
      <c r="B24" s="11">
        <v>37.05</v>
      </c>
      <c r="C24" s="12">
        <v>2.0</v>
      </c>
      <c r="D24" s="12">
        <f>C24*5</f>
        <v>10.0</v>
      </c>
      <c r="E24" s="12">
        <v>6000.0</v>
      </c>
      <c r="F24" s="12">
        <f>E24*0.001</f>
        <v>6.0</v>
      </c>
      <c r="G24" s="13">
        <f>B24+D24+F24</f>
        <v>53.05</v>
      </c>
      <c r="H24" s="14">
        <f>G24</f>
        <v>53.05</v>
      </c>
      <c r="I24" s="15" t="s">
        <v>10</v>
      </c>
      <c r="J24" s="12" t="s">
        <v>69</v>
      </c>
    </row>
    <row r="25" spans="8:8" s="26" ht="24.45" customFormat="1">
      <c r="A25" s="32" t="s">
        <v>63</v>
      </c>
      <c r="B25" s="28">
        <v>23.65</v>
      </c>
      <c r="C25" s="16">
        <v>4.0</v>
      </c>
      <c r="D25" s="16">
        <f>C25*5</f>
        <v>20.0</v>
      </c>
      <c r="E25" s="16">
        <v>8000.0</v>
      </c>
      <c r="F25" s="16">
        <f>E25*0.001</f>
        <v>8.0</v>
      </c>
      <c r="G25" s="29">
        <f>B25+D25+F25</f>
        <v>51.65</v>
      </c>
      <c r="H25" s="30">
        <f>G25</f>
        <v>51.65</v>
      </c>
      <c r="I25" s="31" t="s">
        <v>24</v>
      </c>
      <c r="J25" s="16"/>
    </row>
    <row r="26" spans="8:8" s="26" ht="24.45" customFormat="1">
      <c r="A26" s="32" t="s">
        <v>46</v>
      </c>
      <c r="B26" s="28">
        <v>21.25</v>
      </c>
      <c r="C26" s="16">
        <v>4.0</v>
      </c>
      <c r="D26" s="16">
        <f>C26*5</f>
        <v>20.0</v>
      </c>
      <c r="E26" s="16">
        <v>6000.0</v>
      </c>
      <c r="F26" s="16">
        <f>E26*0.001</f>
        <v>6.0</v>
      </c>
      <c r="G26" s="29">
        <f>B26+D26+F26</f>
        <v>47.25</v>
      </c>
      <c r="H26" s="30">
        <f>G26</f>
        <v>47.25</v>
      </c>
      <c r="I26" s="31" t="s">
        <v>24</v>
      </c>
      <c r="J26" s="16"/>
    </row>
    <row r="27" spans="8:8" s="33" ht="24.45" customFormat="1">
      <c r="A27" s="32" t="s">
        <v>48</v>
      </c>
      <c r="B27" s="28">
        <v>21.25</v>
      </c>
      <c r="C27" s="16">
        <v>4.0</v>
      </c>
      <c r="D27" s="16">
        <f>C27*5</f>
        <v>20.0</v>
      </c>
      <c r="E27" s="16">
        <v>6000.0</v>
      </c>
      <c r="F27" s="16">
        <f>E27*0.001</f>
        <v>6.0</v>
      </c>
      <c r="G27" s="29">
        <f>B27+D27+F27</f>
        <v>47.25</v>
      </c>
      <c r="H27" s="30">
        <f>G27</f>
        <v>47.25</v>
      </c>
      <c r="I27" s="31" t="s">
        <v>24</v>
      </c>
      <c r="J27" s="16"/>
    </row>
    <row r="28" spans="8:8" s="26" ht="24.45" customFormat="1">
      <c r="A28" s="27" t="s">
        <v>50</v>
      </c>
      <c r="B28" s="28">
        <v>21.0</v>
      </c>
      <c r="C28" s="16">
        <v>4.0</v>
      </c>
      <c r="D28" s="16">
        <f>C28*5</f>
        <v>20.0</v>
      </c>
      <c r="E28" s="16">
        <v>6000.0</v>
      </c>
      <c r="F28" s="16">
        <f>E28*0.001</f>
        <v>6.0</v>
      </c>
      <c r="G28" s="29">
        <f>B28+D28+F28</f>
        <v>47.0</v>
      </c>
      <c r="H28" s="30">
        <f>G28</f>
        <v>47.0</v>
      </c>
      <c r="I28" s="31" t="s">
        <v>24</v>
      </c>
      <c r="J28" s="16"/>
    </row>
    <row r="29" spans="8:8" s="26" ht="24.45" customFormat="1">
      <c r="A29" s="32" t="s">
        <v>52</v>
      </c>
      <c r="B29" s="28">
        <v>21.0</v>
      </c>
      <c r="C29" s="16">
        <v>4.0</v>
      </c>
      <c r="D29" s="16">
        <f>C29*5</f>
        <v>20.0</v>
      </c>
      <c r="E29" s="16">
        <v>6000.0</v>
      </c>
      <c r="F29" s="16">
        <f>E29*0.001</f>
        <v>6.0</v>
      </c>
      <c r="G29" s="29">
        <f>B29+D29+F29</f>
        <v>47.0</v>
      </c>
      <c r="H29" s="30">
        <f>G29</f>
        <v>47.0</v>
      </c>
      <c r="I29" s="31" t="s">
        <v>10</v>
      </c>
      <c r="J29" s="16"/>
    </row>
    <row r="30" spans="8:8" s="26" ht="24.45" customFormat="1">
      <c r="A30" s="32" t="s">
        <v>55</v>
      </c>
      <c r="B30" s="28">
        <v>20.25</v>
      </c>
      <c r="C30" s="16">
        <v>4.0</v>
      </c>
      <c r="D30" s="16">
        <f>C30*5</f>
        <v>20.0</v>
      </c>
      <c r="E30" s="16">
        <v>6000.0</v>
      </c>
      <c r="F30" s="16">
        <f>E30*0.001</f>
        <v>6.0</v>
      </c>
      <c r="G30" s="29">
        <f>B30+D30+F30</f>
        <v>46.25</v>
      </c>
      <c r="H30" s="30">
        <f>G30</f>
        <v>46.25</v>
      </c>
      <c r="I30" s="31" t="s">
        <v>24</v>
      </c>
      <c r="J30" s="16"/>
    </row>
    <row r="31" spans="8:8" s="26" ht="24.45" customFormat="1">
      <c r="A31" s="32" t="s">
        <v>58</v>
      </c>
      <c r="B31" s="28">
        <v>16.0</v>
      </c>
      <c r="C31" s="16">
        <v>4.0</v>
      </c>
      <c r="D31" s="16">
        <f>C31*5</f>
        <v>20.0</v>
      </c>
      <c r="E31" s="16">
        <v>6000.0</v>
      </c>
      <c r="F31" s="16">
        <f>E31*0.001</f>
        <v>6.0</v>
      </c>
      <c r="G31" s="29">
        <f>B31+D31+F31</f>
        <v>42.0</v>
      </c>
      <c r="H31" s="30">
        <f>G31</f>
        <v>42.0</v>
      </c>
      <c r="I31" s="31" t="s">
        <v>24</v>
      </c>
      <c r="J31" s="16"/>
    </row>
    <row r="32" spans="8:8" s="26" ht="24.45" customFormat="1">
      <c r="A32" s="27" t="s">
        <v>51</v>
      </c>
      <c r="B32" s="28">
        <v>21.0</v>
      </c>
      <c r="C32" s="16">
        <v>3.0</v>
      </c>
      <c r="D32" s="16">
        <f>C32*5</f>
        <v>15.0</v>
      </c>
      <c r="E32" s="16">
        <v>6000.0</v>
      </c>
      <c r="F32" s="16">
        <f>E32*0.001</f>
        <v>6.0</v>
      </c>
      <c r="G32" s="29">
        <f>B32+D32+F32</f>
        <v>42.0</v>
      </c>
      <c r="H32" s="30">
        <f>G32</f>
        <v>42.0</v>
      </c>
      <c r="I32" s="31" t="s">
        <v>24</v>
      </c>
      <c r="J32" s="16"/>
    </row>
    <row r="33" spans="8:8" s="26" ht="24.45" customFormat="1">
      <c r="A33" s="32" t="s">
        <v>44</v>
      </c>
      <c r="B33" s="28">
        <v>35.0</v>
      </c>
      <c r="C33" s="16">
        <v>0.0</v>
      </c>
      <c r="D33" s="16">
        <f>C33*5</f>
        <v>0.0</v>
      </c>
      <c r="E33" s="16">
        <v>4000.0</v>
      </c>
      <c r="F33" s="16">
        <f>E33*0.001</f>
        <v>4.0</v>
      </c>
      <c r="G33" s="29">
        <f>B33+D33+F33</f>
        <v>39.0</v>
      </c>
      <c r="H33" s="30">
        <f>G33</f>
        <v>39.0</v>
      </c>
      <c r="I33" s="31" t="s">
        <v>24</v>
      </c>
      <c r="J33" s="16"/>
    </row>
    <row r="34" spans="8:8" s="26" ht="24.45" customFormat="1">
      <c r="A34" s="32" t="s">
        <v>56</v>
      </c>
      <c r="B34" s="28">
        <v>16.25</v>
      </c>
      <c r="C34" s="16">
        <v>3.0</v>
      </c>
      <c r="D34" s="16">
        <f>C34*5</f>
        <v>15.0</v>
      </c>
      <c r="E34" s="16">
        <v>6000.0</v>
      </c>
      <c r="F34" s="16">
        <f>E34*0.001</f>
        <v>6.0</v>
      </c>
      <c r="G34" s="29">
        <f>B34+D34+F34</f>
        <v>37.25</v>
      </c>
      <c r="H34" s="30">
        <f>G34</f>
        <v>37.25</v>
      </c>
      <c r="I34" s="31" t="s">
        <v>24</v>
      </c>
      <c r="J34" s="25"/>
    </row>
    <row r="35" spans="8:8" s="26" ht="24.45" customFormat="1">
      <c r="A35" s="32" t="s">
        <v>49</v>
      </c>
      <c r="B35" s="28">
        <v>21.0</v>
      </c>
      <c r="C35" s="16">
        <v>2.0</v>
      </c>
      <c r="D35" s="16">
        <f>C35*5</f>
        <v>10.0</v>
      </c>
      <c r="E35" s="16">
        <v>6000.0</v>
      </c>
      <c r="F35" s="16">
        <f>E35*0.001</f>
        <v>6.0</v>
      </c>
      <c r="G35" s="29">
        <f>B35+D35+F35</f>
        <v>37.0</v>
      </c>
      <c r="H35" s="30">
        <f>G35</f>
        <v>37.0</v>
      </c>
      <c r="I35" s="31" t="s">
        <v>24</v>
      </c>
      <c r="J35" s="16"/>
    </row>
    <row r="36" spans="8:8" s="26" ht="24.45" customFormat="1">
      <c r="A36" s="32" t="s">
        <v>54</v>
      </c>
      <c r="B36" s="28">
        <v>20.25</v>
      </c>
      <c r="C36" s="16">
        <v>2.0</v>
      </c>
      <c r="D36" s="16">
        <f>C36*5</f>
        <v>10.0</v>
      </c>
      <c r="E36" s="16">
        <v>6000.0</v>
      </c>
      <c r="F36" s="16">
        <f>E36*0.001</f>
        <v>6.0</v>
      </c>
      <c r="G36" s="29">
        <f>B36+D36+F36</f>
        <v>36.25</v>
      </c>
      <c r="H36" s="30">
        <f>G36</f>
        <v>36.25</v>
      </c>
      <c r="I36" s="31" t="s">
        <v>24</v>
      </c>
      <c r="J36" s="16"/>
    </row>
    <row r="37" spans="8:8" s="26" ht="24.45" customFormat="1">
      <c r="A37" s="32" t="s">
        <v>9</v>
      </c>
      <c r="B37" s="28">
        <v>0.0</v>
      </c>
      <c r="C37" s="16">
        <v>4.0</v>
      </c>
      <c r="D37" s="16">
        <f>C37*5</f>
        <v>20.0</v>
      </c>
      <c r="E37" s="16">
        <v>12000.0</v>
      </c>
      <c r="F37" s="16">
        <f>E37*0.001</f>
        <v>12.0</v>
      </c>
      <c r="G37" s="29">
        <f>B37+D37+F37</f>
        <v>32.0</v>
      </c>
      <c r="H37" s="30">
        <v>0.0</v>
      </c>
      <c r="I37" s="31" t="s">
        <v>24</v>
      </c>
      <c r="J37" s="16"/>
    </row>
    <row r="38" spans="8:8" s="26" ht="24.45" customFormat="1">
      <c r="A38" s="32" t="s">
        <v>16</v>
      </c>
      <c r="B38" s="28">
        <v>0.25</v>
      </c>
      <c r="C38" s="16">
        <v>4.0</v>
      </c>
      <c r="D38" s="16">
        <f>C38*5</f>
        <v>20.0</v>
      </c>
      <c r="E38" s="16">
        <v>6000.0</v>
      </c>
      <c r="F38" s="16">
        <f>E38*0.001</f>
        <v>6.0</v>
      </c>
      <c r="G38" s="29">
        <f>B38+D38+F38</f>
        <v>26.25</v>
      </c>
      <c r="H38" s="30">
        <v>0.25</v>
      </c>
      <c r="I38" s="31" t="s">
        <v>24</v>
      </c>
      <c r="J38" s="16"/>
    </row>
    <row r="39" spans="8:8" s="26" ht="24.45" customFormat="1">
      <c r="A39" s="32" t="s">
        <v>18</v>
      </c>
      <c r="B39" s="28">
        <v>0.25</v>
      </c>
      <c r="C39" s="16">
        <v>4.0</v>
      </c>
      <c r="D39" s="16">
        <f>C39*5</f>
        <v>20.0</v>
      </c>
      <c r="E39" s="16">
        <v>6000.0</v>
      </c>
      <c r="F39" s="16">
        <f>E39*0.001</f>
        <v>6.0</v>
      </c>
      <c r="G39" s="29">
        <f>B39+D39+F39</f>
        <v>26.25</v>
      </c>
      <c r="H39" s="30">
        <v>0.25</v>
      </c>
      <c r="I39" s="31" t="s">
        <v>24</v>
      </c>
      <c r="J39" s="16"/>
    </row>
    <row r="40" spans="8:8" s="26" ht="24.45" customFormat="1">
      <c r="A40" s="32" t="s">
        <v>19</v>
      </c>
      <c r="B40" s="28">
        <v>0.25</v>
      </c>
      <c r="C40" s="16">
        <v>4.0</v>
      </c>
      <c r="D40" s="16">
        <f>C40*5</f>
        <v>20.0</v>
      </c>
      <c r="E40" s="16">
        <v>6000.0</v>
      </c>
      <c r="F40" s="16">
        <f>E40*0.001</f>
        <v>6.0</v>
      </c>
      <c r="G40" s="29">
        <f>B40+D40+F40</f>
        <v>26.25</v>
      </c>
      <c r="H40" s="30">
        <v>0.25</v>
      </c>
      <c r="I40" s="31" t="s">
        <v>24</v>
      </c>
      <c r="J40" s="16"/>
    </row>
    <row r="41" spans="8:8" s="26" ht="24.45" customFormat="1">
      <c r="A41" s="32" t="s">
        <v>22</v>
      </c>
      <c r="B41" s="28">
        <v>0.25</v>
      </c>
      <c r="C41" s="16">
        <v>4.0</v>
      </c>
      <c r="D41" s="16">
        <f>C41*5</f>
        <v>20.0</v>
      </c>
      <c r="E41" s="16">
        <v>6000.0</v>
      </c>
      <c r="F41" s="16">
        <f>E41*0.001</f>
        <v>6.0</v>
      </c>
      <c r="G41" s="29">
        <f>B41+D41+F41</f>
        <v>26.25</v>
      </c>
      <c r="H41" s="30">
        <v>0.25</v>
      </c>
      <c r="I41" s="31" t="s">
        <v>24</v>
      </c>
      <c r="J41" s="16"/>
    </row>
    <row r="42" spans="8:8" s="26" ht="24.45" customFormat="1">
      <c r="A42" s="31" t="s">
        <v>13</v>
      </c>
      <c r="B42" s="28">
        <v>0.0</v>
      </c>
      <c r="C42" s="25">
        <v>4.0</v>
      </c>
      <c r="D42" s="16">
        <f>C42*5</f>
        <v>20.0</v>
      </c>
      <c r="E42" s="25">
        <v>6000.0</v>
      </c>
      <c r="F42" s="16">
        <f>E42*0.001</f>
        <v>6.0</v>
      </c>
      <c r="G42" s="29">
        <f>B42+D42+F42</f>
        <v>26.0</v>
      </c>
      <c r="H42" s="30">
        <v>0.0</v>
      </c>
      <c r="I42" s="31" t="s">
        <v>24</v>
      </c>
      <c r="J42" s="16"/>
    </row>
    <row r="43" spans="8:8" s="26" ht="24.45" customFormat="1">
      <c r="A43" s="32" t="s">
        <v>66</v>
      </c>
      <c r="B43" s="16">
        <v>0.0</v>
      </c>
      <c r="C43" s="16">
        <v>4.0</v>
      </c>
      <c r="D43" s="16">
        <f>C43*5</f>
        <v>20.0</v>
      </c>
      <c r="E43" s="16">
        <v>5000.0</v>
      </c>
      <c r="F43" s="16">
        <f>E43*0.001</f>
        <v>5.0</v>
      </c>
      <c r="G43" s="16">
        <f>B43+D43+F43</f>
        <v>25.0</v>
      </c>
      <c r="H43" s="16">
        <v>0.0</v>
      </c>
      <c r="I43" s="31" t="s">
        <v>24</v>
      </c>
      <c r="J43" s="16"/>
    </row>
    <row r="44" spans="8:8" s="26" ht="24.45" customFormat="1">
      <c r="A44" s="32" t="s">
        <v>21</v>
      </c>
      <c r="B44" s="28">
        <v>0.25</v>
      </c>
      <c r="C44" s="16">
        <v>3.0</v>
      </c>
      <c r="D44" s="16">
        <f>C44*5</f>
        <v>15.0</v>
      </c>
      <c r="E44" s="16">
        <v>6800.0</v>
      </c>
      <c r="F44" s="16">
        <f>E44*0.001</f>
        <v>6.8</v>
      </c>
      <c r="G44" s="29">
        <f>B44+D44+F44</f>
        <v>22.05</v>
      </c>
      <c r="H44" s="30">
        <v>0.25</v>
      </c>
      <c r="I44" s="31" t="s">
        <v>24</v>
      </c>
      <c r="J44" s="16"/>
    </row>
    <row r="45" spans="8:8" s="26" ht="24.45" customFormat="1">
      <c r="A45" s="32" t="s">
        <v>47</v>
      </c>
      <c r="B45" s="28">
        <v>21.25</v>
      </c>
      <c r="C45" s="16">
        <v>0.0</v>
      </c>
      <c r="D45" s="16">
        <f>C45*5</f>
        <v>0.0</v>
      </c>
      <c r="E45" s="16">
        <v>0.0</v>
      </c>
      <c r="F45" s="16">
        <f>E45*0.001</f>
        <v>0.0</v>
      </c>
      <c r="G45" s="29">
        <f>B45+D45+F45</f>
        <v>21.25</v>
      </c>
      <c r="H45" s="30">
        <f>G45</f>
        <v>21.25</v>
      </c>
      <c r="I45" s="31" t="s">
        <v>24</v>
      </c>
      <c r="J45" s="16"/>
    </row>
    <row r="46" spans="8:8" s="9" ht="24.45" customFormat="1">
      <c r="A46" s="32" t="s">
        <v>57</v>
      </c>
      <c r="B46" s="28">
        <v>16.0</v>
      </c>
      <c r="C46" s="16">
        <v>0.0</v>
      </c>
      <c r="D46" s="16">
        <f>C46*5</f>
        <v>0.0</v>
      </c>
      <c r="E46" s="16">
        <v>5000.0</v>
      </c>
      <c r="F46" s="16">
        <f>E46*0.001</f>
        <v>5.0</v>
      </c>
      <c r="G46" s="29">
        <f>B46+D46+F46</f>
        <v>21.0</v>
      </c>
      <c r="H46" s="30">
        <f>G46</f>
        <v>21.0</v>
      </c>
      <c r="I46" s="31" t="s">
        <v>24</v>
      </c>
      <c r="J46" s="16"/>
    </row>
    <row r="47" spans="8:8" s="26" ht="24.45" customFormat="1">
      <c r="A47" s="32" t="s">
        <v>11</v>
      </c>
      <c r="B47" s="28">
        <v>0.0</v>
      </c>
      <c r="C47" s="16">
        <v>3.0</v>
      </c>
      <c r="D47" s="16">
        <f>C47*5</f>
        <v>15.0</v>
      </c>
      <c r="E47" s="16">
        <v>6000.0</v>
      </c>
      <c r="F47" s="16">
        <f>E47*0.001</f>
        <v>6.0</v>
      </c>
      <c r="G47" s="29">
        <f>B47+D47+F47</f>
        <v>21.0</v>
      </c>
      <c r="H47" s="30">
        <v>0.0</v>
      </c>
      <c r="I47" s="31" t="s">
        <v>24</v>
      </c>
      <c r="J47" s="16"/>
    </row>
    <row r="48" spans="8:8" s="26" ht="24.45" customFormat="1">
      <c r="A48" s="32" t="s">
        <v>12</v>
      </c>
      <c r="B48" s="28">
        <v>0.0</v>
      </c>
      <c r="C48" s="16">
        <v>3.0</v>
      </c>
      <c r="D48" s="16">
        <f>C48*5</f>
        <v>15.0</v>
      </c>
      <c r="E48" s="16">
        <v>6000.0</v>
      </c>
      <c r="F48" s="16">
        <f>E48*0.001</f>
        <v>6.0</v>
      </c>
      <c r="G48" s="29">
        <f>B48+D48+F48</f>
        <v>21.0</v>
      </c>
      <c r="H48" s="30">
        <v>0.0</v>
      </c>
      <c r="I48" s="31" t="s">
        <v>24</v>
      </c>
      <c r="J48" s="16"/>
    </row>
    <row r="49" spans="8:8" s="26" ht="24.45" customFormat="1">
      <c r="A49" s="32" t="s">
        <v>15</v>
      </c>
      <c r="B49" s="28">
        <v>0.0</v>
      </c>
      <c r="C49" s="16">
        <v>3.0</v>
      </c>
      <c r="D49" s="16">
        <f>C49*5</f>
        <v>15.0</v>
      </c>
      <c r="E49" s="16">
        <v>6000.0</v>
      </c>
      <c r="F49" s="16">
        <f>E49*0.001</f>
        <v>6.0</v>
      </c>
      <c r="G49" s="29">
        <f>B49+D49+F49</f>
        <v>21.0</v>
      </c>
      <c r="H49" s="30">
        <v>0.0</v>
      </c>
      <c r="I49" s="31" t="s">
        <v>24</v>
      </c>
      <c r="J49" s="16"/>
      <c r="K49" s="34"/>
    </row>
    <row r="50" spans="8:8" s="35" ht="24.45" customFormat="1">
      <c r="A50" s="32" t="s">
        <v>20</v>
      </c>
      <c r="B50" s="28">
        <v>0.25</v>
      </c>
      <c r="C50" s="16">
        <v>2.0</v>
      </c>
      <c r="D50" s="16">
        <f>C50*5</f>
        <v>10.0</v>
      </c>
      <c r="E50" s="16">
        <v>6000.0</v>
      </c>
      <c r="F50" s="16">
        <f>E50*0.001</f>
        <v>6.0</v>
      </c>
      <c r="G50" s="29">
        <f>B50+D50+F50</f>
        <v>16.25</v>
      </c>
      <c r="H50" s="30">
        <v>0.25</v>
      </c>
      <c r="I50" s="31" t="s">
        <v>24</v>
      </c>
      <c r="J50" s="16"/>
    </row>
    <row r="51" spans="8:8" s="35" ht="25.8" customFormat="1" customHeight="1">
      <c r="A51" s="27" t="s">
        <v>65</v>
      </c>
      <c r="B51" s="28">
        <v>0.0</v>
      </c>
      <c r="C51" s="16">
        <v>2.0</v>
      </c>
      <c r="D51" s="16">
        <f>C51*5</f>
        <v>10.0</v>
      </c>
      <c r="E51" s="16">
        <v>6000.0</v>
      </c>
      <c r="F51" s="16">
        <f>E51*0.001</f>
        <v>6.0</v>
      </c>
      <c r="G51" s="29">
        <f>B51+D51+F51</f>
        <v>16.0</v>
      </c>
      <c r="H51" s="30">
        <v>0.0</v>
      </c>
      <c r="I51" s="31" t="s">
        <v>24</v>
      </c>
      <c r="J51" s="16"/>
    </row>
    <row r="52" spans="8:8" s="35" ht="24.45" customFormat="1">
      <c r="A52" s="32" t="s">
        <v>14</v>
      </c>
      <c r="B52" s="28">
        <v>0.0</v>
      </c>
      <c r="C52" s="16">
        <v>1.0</v>
      </c>
      <c r="D52" s="16">
        <f>C52*5</f>
        <v>5.0</v>
      </c>
      <c r="E52" s="16">
        <v>3000.0</v>
      </c>
      <c r="F52" s="16">
        <f>E52*0.001</f>
        <v>3.0</v>
      </c>
      <c r="G52" s="29">
        <f>B52+D52+F52</f>
        <v>8.0</v>
      </c>
      <c r="H52" s="30">
        <v>0.0</v>
      </c>
      <c r="I52" s="31" t="s">
        <v>24</v>
      </c>
      <c r="J52" s="16"/>
    </row>
    <row r="62" spans="8:8" s="26" ht="22.2" customFormat="1">
      <c r="A62" s="26" t="s">
        <v>59</v>
      </c>
      <c r="B62" s="36">
        <v>0.0</v>
      </c>
      <c r="C62" s="37">
        <v>3.0</v>
      </c>
      <c r="D62" s="37">
        <f t="shared" si="0" ref="D62">C62*5</f>
        <v>15.0</v>
      </c>
      <c r="E62" s="37">
        <v>5800.0</v>
      </c>
      <c r="F62" s="37">
        <f t="shared" si="1" ref="F62">E62*0.001</f>
        <v>5.8</v>
      </c>
      <c r="G62" s="38">
        <f t="shared" si="2" ref="G62">B62+D62+F62</f>
        <v>20.8</v>
      </c>
      <c r="H62" s="36">
        <f t="shared" si="3" ref="H62">G62</f>
        <v>20.8</v>
      </c>
      <c r="I62" s="33" t="s">
        <v>24</v>
      </c>
      <c r="J62" s="37"/>
    </row>
    <row r="63" spans="8:8" s="23" ht="22.2" customFormat="1">
      <c r="A63" s="23" t="s">
        <v>60</v>
      </c>
      <c r="B63" s="39">
        <v>55.0</v>
      </c>
      <c r="C63" s="40">
        <v>3.0</v>
      </c>
      <c r="D63" s="40">
        <f t="shared" si="4" ref="D63:D64">C63*5</f>
        <v>15.0</v>
      </c>
      <c r="E63" s="40">
        <v>6000.0</v>
      </c>
      <c r="F63" s="40">
        <f t="shared" si="5" ref="F63:F64">E63*0.001</f>
        <v>6.0</v>
      </c>
      <c r="G63" s="41">
        <f t="shared" si="6" ref="G63:G64">B63+D63+F63</f>
        <v>76.0</v>
      </c>
      <c r="H63" s="42">
        <v>0.25</v>
      </c>
      <c r="I63" s="43" t="s">
        <v>17</v>
      </c>
      <c r="J63" s="40"/>
    </row>
    <row r="64" spans="8:8" s="26" ht="22.2" customFormat="1">
      <c r="A64" s="26" t="s">
        <v>61</v>
      </c>
      <c r="B64" s="44">
        <v>0.0</v>
      </c>
      <c r="C64" s="44">
        <v>3.0</v>
      </c>
      <c r="D64" s="37">
        <f t="shared" si="4"/>
        <v>15.0</v>
      </c>
      <c r="E64" s="44">
        <v>6000.0</v>
      </c>
      <c r="F64" s="44">
        <f t="shared" si="5"/>
        <v>6.0</v>
      </c>
      <c r="G64" s="45">
        <f t="shared" si="6"/>
        <v>21.0</v>
      </c>
      <c r="H64" s="36">
        <f>G64</f>
        <v>21.0</v>
      </c>
      <c r="I64" s="33" t="s">
        <v>24</v>
      </c>
      <c r="J64" s="37"/>
    </row>
    <row r="65" spans="8:8" s="26" ht="22.2" customFormat="1">
      <c r="A65" s="26" t="s">
        <v>62</v>
      </c>
      <c r="B65" s="46">
        <v>0.0</v>
      </c>
      <c r="C65" s="44">
        <v>3.0</v>
      </c>
      <c r="D65" s="37">
        <f t="shared" si="7" ref="D65">C65*5</f>
        <v>15.0</v>
      </c>
      <c r="E65" s="44">
        <v>5000.0</v>
      </c>
      <c r="F65" s="44">
        <f t="shared" si="8" ref="F65">E65*0.001</f>
        <v>5.0</v>
      </c>
      <c r="G65" s="45">
        <f t="shared" si="9" ref="G65">B65+D65+F65</f>
        <v>20.0</v>
      </c>
      <c r="H65" s="36">
        <f t="shared" si="10" ref="H65">G65</f>
        <v>20.0</v>
      </c>
      <c r="I65" s="33" t="s">
        <v>24</v>
      </c>
      <c r="J65" s="37"/>
    </row>
  </sheetData>
  <autoFilter ref="A1:I55">
    <filterColumn colId="0" showButton="1"/>
  </autoFilter>
  <pageMargins left="0.75" right="0.75" top="1.0" bottom="1.0" header="0.5" footer="0.5"/>
  <drawing r:id="rId1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大脑壳</dc:creator>
  <cp:lastModifiedBy>醉酒托马斯</cp:lastModifiedBy>
  <dcterms:created xsi:type="dcterms:W3CDTF">2021-03-08T09:25:00Z</dcterms:created>
  <dcterms:modified xsi:type="dcterms:W3CDTF">2021-05-01T13:52:34Z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FE4499CED39B435D9BA8410F3BCF18E7</vt:lpwstr>
  </property>
  <property fmtid="{D5CDD505-2E9C-101B-9397-08002B2CF9AE}" pid="3" name="KSOProductBuildVer">
    <vt:lpwstr>2052-11.1.0.10495</vt:lpwstr>
  </property>
</Properties>
</file>